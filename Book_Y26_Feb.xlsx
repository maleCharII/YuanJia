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9.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D:\Github\YuanJia\"/>
    </mc:Choice>
  </mc:AlternateContent>
  <xr:revisionPtr revIDLastSave="0" documentId="13_ncr:1_{C0A95387-DDED-47E4-ADD1-F9F37D46E0BC}" xr6:coauthVersionLast="47" xr6:coauthVersionMax="47" xr10:uidLastSave="{00000000-0000-0000-0000-000000000000}"/>
  <bookViews>
    <workbookView xWindow="-120" yWindow="-120" windowWidth="29040" windowHeight="15720" activeTab="2" xr2:uid="{00000000-000D-0000-FFFF-FFFF00000000}"/>
  </bookViews>
  <sheets>
    <sheet name="参考说明" sheetId="8" r:id="rId1"/>
    <sheet name="src_trx" sheetId="2" r:id="rId2"/>
    <sheet name="src_jnl" sheetId="3" r:id="rId3"/>
    <sheet name="debug" sheetId="4" r:id="rId4"/>
    <sheet name="stmt_BS" sheetId="5" r:id="rId5"/>
    <sheet name="stmt_IS" sheetId="7" r:id="rId6"/>
    <sheet name="config" sheetId="1" r:id="rId7"/>
    <sheet name="dict" sheetId="6" r:id="rId8"/>
    <sheet name="摊销折旧明细" sheetId="9" r:id="rId9"/>
    <sheet name="arch" sheetId="10" r:id="rId10"/>
  </sheets>
  <definedNames>
    <definedName name="const_date_prior">config!$B$6</definedName>
    <definedName name="const_date_start">config!$B$5</definedName>
    <definedName name="const_default_str">config!$B$2</definedName>
    <definedName name="const_func_ccy">config!$B$3</definedName>
    <definedName name="debug_date_end">debug!$B$5</definedName>
    <definedName name="debug_date_start">debug!$B$4</definedName>
    <definedName name="Slicer_NameBSLv2">#N/A</definedName>
    <definedName name="stmt_BS_date_end">stmt_BS!$B$4</definedName>
    <definedName name="stmt_is_rev">stmt_IS!$B$2</definedName>
    <definedName name="切片器_IncType">#N/A</definedName>
    <definedName name="切片器_IncType1">#N/A</definedName>
    <definedName name="切片器_NameVehicle">#N/A</definedName>
    <definedName name="切片器_TrxDate">#N/A</definedName>
    <definedName name="切片器_Vehicle1">#N/A</definedName>
  </definedNames>
  <calcPr calcId="191029"/>
  <pivotCaches>
    <pivotCache cacheId="5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6" i="3" l="1"/>
  <c r="T116" i="3" s="1"/>
  <c r="C116" i="3"/>
  <c r="S116" i="3" s="1"/>
  <c r="D116" i="3"/>
  <c r="I116" i="3"/>
  <c r="K116" i="3"/>
  <c r="J116" i="3" s="1"/>
  <c r="L116" i="3"/>
  <c r="M116" i="3"/>
  <c r="P116" i="3" s="1"/>
  <c r="N116" i="3"/>
  <c r="O116" i="3" s="1"/>
  <c r="Q116" i="3"/>
  <c r="R116" i="3"/>
  <c r="H1376" i="3"/>
  <c r="U116" i="3" l="1"/>
  <c r="B115" i="3"/>
  <c r="U115" i="3" s="1"/>
  <c r="C115" i="3"/>
  <c r="S115" i="3" s="1"/>
  <c r="D115" i="3"/>
  <c r="I115" i="3"/>
  <c r="K115" i="3"/>
  <c r="J115" i="3" s="1"/>
  <c r="L115" i="3"/>
  <c r="M115" i="3"/>
  <c r="P115" i="3" s="1"/>
  <c r="N115" i="3"/>
  <c r="O115" i="3" s="1"/>
  <c r="Q115" i="3"/>
  <c r="R115" i="3"/>
  <c r="R3" i="9"/>
  <c r="C790" i="3"/>
  <c r="H1537" i="3"/>
  <c r="I1537" i="3" s="1"/>
  <c r="H1213" i="3"/>
  <c r="B1215" i="3"/>
  <c r="C1215" i="3"/>
  <c r="S1215" i="3" s="1"/>
  <c r="D1215" i="3"/>
  <c r="K1215" i="3"/>
  <c r="L1215" i="3"/>
  <c r="M1215" i="3"/>
  <c r="P1215" i="3" s="1"/>
  <c r="N1215" i="3"/>
  <c r="O1215" i="3" s="1"/>
  <c r="Q1215" i="3"/>
  <c r="R1215" i="3"/>
  <c r="B1507" i="3"/>
  <c r="C1507" i="3"/>
  <c r="S1507" i="3" s="1"/>
  <c r="D1507" i="3"/>
  <c r="I1507" i="3"/>
  <c r="K1507" i="3"/>
  <c r="J1507" i="3" s="1"/>
  <c r="L1507" i="3"/>
  <c r="M1507" i="3"/>
  <c r="P1507" i="3" s="1"/>
  <c r="N1507" i="3"/>
  <c r="O1507" i="3" s="1"/>
  <c r="Q1507" i="3"/>
  <c r="R1507" i="3"/>
  <c r="B1542" i="3"/>
  <c r="C1542" i="3"/>
  <c r="S1542" i="3" s="1"/>
  <c r="D1542" i="3"/>
  <c r="I1542" i="3"/>
  <c r="K1542" i="3"/>
  <c r="J1542" i="3" s="1"/>
  <c r="L1542" i="3"/>
  <c r="M1542" i="3"/>
  <c r="P1542" i="3" s="1"/>
  <c r="N1542" i="3"/>
  <c r="O1542" i="3" s="1"/>
  <c r="Q1542" i="3"/>
  <c r="R1542" i="3"/>
  <c r="H1541" i="3"/>
  <c r="B1541" i="3"/>
  <c r="C1541" i="3"/>
  <c r="S1541" i="3" s="1"/>
  <c r="D1541" i="3"/>
  <c r="I1541" i="3"/>
  <c r="K1541" i="3"/>
  <c r="L1541" i="3"/>
  <c r="M1541" i="3"/>
  <c r="P1541" i="3" s="1"/>
  <c r="N1541" i="3"/>
  <c r="O1541" i="3" s="1"/>
  <c r="Q1541" i="3"/>
  <c r="R1541" i="3"/>
  <c r="B1540" i="3"/>
  <c r="C1540" i="3"/>
  <c r="S1540" i="3" s="1"/>
  <c r="D1540" i="3"/>
  <c r="I1540" i="3"/>
  <c r="K1540" i="3"/>
  <c r="J1540" i="3" s="1"/>
  <c r="L1540" i="3"/>
  <c r="M1540" i="3"/>
  <c r="P1540" i="3" s="1"/>
  <c r="N1540" i="3"/>
  <c r="O1540" i="3" s="1"/>
  <c r="Q1540" i="3"/>
  <c r="R1540" i="3"/>
  <c r="B1539" i="3"/>
  <c r="C1539" i="3"/>
  <c r="S1539" i="3" s="1"/>
  <c r="D1539" i="3"/>
  <c r="I1539" i="3"/>
  <c r="K1539" i="3"/>
  <c r="J1539" i="3" s="1"/>
  <c r="L1539" i="3"/>
  <c r="M1539" i="3"/>
  <c r="P1539" i="3" s="1"/>
  <c r="N1539" i="3"/>
  <c r="O1539" i="3" s="1"/>
  <c r="Q1539" i="3"/>
  <c r="R1539" i="3"/>
  <c r="B1538" i="3"/>
  <c r="C1538" i="3"/>
  <c r="S1538" i="3" s="1"/>
  <c r="D1538" i="3"/>
  <c r="I1538" i="3"/>
  <c r="K1538" i="3"/>
  <c r="J1538" i="3" s="1"/>
  <c r="L1538" i="3"/>
  <c r="M1538" i="3"/>
  <c r="P1538" i="3" s="1"/>
  <c r="N1538" i="3"/>
  <c r="O1538" i="3" s="1"/>
  <c r="Q1538" i="3"/>
  <c r="R1538" i="3"/>
  <c r="B1537" i="3"/>
  <c r="C1537" i="3"/>
  <c r="S1537" i="3" s="1"/>
  <c r="D1537" i="3"/>
  <c r="K1537" i="3"/>
  <c r="L1537" i="3"/>
  <c r="M1537" i="3"/>
  <c r="P1537" i="3" s="1"/>
  <c r="N1537" i="3"/>
  <c r="O1537" i="3" s="1"/>
  <c r="Q1537" i="3"/>
  <c r="R1537" i="3"/>
  <c r="B1534" i="3"/>
  <c r="B1535" i="3"/>
  <c r="B1536" i="3"/>
  <c r="C1534" i="3"/>
  <c r="S1534" i="3" s="1"/>
  <c r="C1535" i="3"/>
  <c r="S1535" i="3" s="1"/>
  <c r="C1536" i="3"/>
  <c r="S1536" i="3" s="1"/>
  <c r="D1534" i="3"/>
  <c r="D1535" i="3"/>
  <c r="D1536" i="3"/>
  <c r="I1534" i="3"/>
  <c r="I1535" i="3"/>
  <c r="I1536" i="3"/>
  <c r="K1534" i="3"/>
  <c r="J1534" i="3" s="1"/>
  <c r="K1535" i="3"/>
  <c r="J1535" i="3" s="1"/>
  <c r="K1536" i="3"/>
  <c r="J1536" i="3" s="1"/>
  <c r="L1534" i="3"/>
  <c r="L1535" i="3"/>
  <c r="L1536" i="3"/>
  <c r="M1534" i="3"/>
  <c r="P1534" i="3" s="1"/>
  <c r="M1535" i="3"/>
  <c r="P1535" i="3" s="1"/>
  <c r="M1536" i="3"/>
  <c r="P1536" i="3" s="1"/>
  <c r="N1534" i="3"/>
  <c r="O1534" i="3" s="1"/>
  <c r="N1535" i="3"/>
  <c r="O1535" i="3" s="1"/>
  <c r="N1536" i="3"/>
  <c r="O1536" i="3" s="1"/>
  <c r="Q1534" i="3"/>
  <c r="Q1535" i="3"/>
  <c r="Q1536" i="3"/>
  <c r="R1534" i="3"/>
  <c r="R1535" i="3"/>
  <c r="R1536" i="3"/>
  <c r="B1532" i="3"/>
  <c r="B1533" i="3"/>
  <c r="C1532" i="3"/>
  <c r="S1532" i="3" s="1"/>
  <c r="C1533" i="3"/>
  <c r="S1533" i="3" s="1"/>
  <c r="D1532" i="3"/>
  <c r="D1533" i="3"/>
  <c r="I1532" i="3"/>
  <c r="I1533" i="3"/>
  <c r="K1532" i="3"/>
  <c r="J1532" i="3" s="1"/>
  <c r="K1533" i="3"/>
  <c r="J1533" i="3" s="1"/>
  <c r="L1532" i="3"/>
  <c r="L1533" i="3"/>
  <c r="M1532" i="3"/>
  <c r="P1532" i="3" s="1"/>
  <c r="M1533" i="3"/>
  <c r="P1533" i="3" s="1"/>
  <c r="N1532" i="3"/>
  <c r="O1532" i="3" s="1"/>
  <c r="N1533" i="3"/>
  <c r="O1533" i="3" s="1"/>
  <c r="Q1532" i="3"/>
  <c r="Q1533" i="3"/>
  <c r="R1532" i="3"/>
  <c r="R1533" i="3"/>
  <c r="B1531" i="3"/>
  <c r="C1531" i="3"/>
  <c r="S1531" i="3" s="1"/>
  <c r="D1531" i="3"/>
  <c r="I1531" i="3"/>
  <c r="K1531" i="3"/>
  <c r="J1531" i="3" s="1"/>
  <c r="L1531" i="3"/>
  <c r="M1531" i="3"/>
  <c r="P1531" i="3" s="1"/>
  <c r="N1531" i="3"/>
  <c r="O1531" i="3" s="1"/>
  <c r="Q1531" i="3"/>
  <c r="R1531" i="3"/>
  <c r="B1530" i="3"/>
  <c r="C1530" i="3"/>
  <c r="S1530" i="3" s="1"/>
  <c r="D1530" i="3"/>
  <c r="I1530" i="3"/>
  <c r="K1530" i="3"/>
  <c r="J1530" i="3" s="1"/>
  <c r="L1530" i="3"/>
  <c r="M1530" i="3"/>
  <c r="P1530" i="3" s="1"/>
  <c r="N1530" i="3"/>
  <c r="O1530" i="3" s="1"/>
  <c r="Q1530" i="3"/>
  <c r="R1530" i="3"/>
  <c r="B1529" i="3"/>
  <c r="C1529" i="3"/>
  <c r="S1529" i="3" s="1"/>
  <c r="D1529" i="3"/>
  <c r="I1529" i="3"/>
  <c r="K1529" i="3"/>
  <c r="J1529" i="3" s="1"/>
  <c r="L1529" i="3"/>
  <c r="M1529" i="3"/>
  <c r="P1529" i="3" s="1"/>
  <c r="N1529" i="3"/>
  <c r="O1529" i="3" s="1"/>
  <c r="Q1529" i="3"/>
  <c r="R1529" i="3"/>
  <c r="B1528" i="3"/>
  <c r="C1528" i="3"/>
  <c r="S1528" i="3" s="1"/>
  <c r="D1528" i="3"/>
  <c r="I1528" i="3"/>
  <c r="K1528" i="3"/>
  <c r="J1528" i="3" s="1"/>
  <c r="L1528" i="3"/>
  <c r="M1528" i="3"/>
  <c r="P1528" i="3" s="1"/>
  <c r="N1528" i="3"/>
  <c r="O1528" i="3" s="1"/>
  <c r="Q1528" i="3"/>
  <c r="R1528" i="3"/>
  <c r="B1527" i="3"/>
  <c r="C1527" i="3"/>
  <c r="S1527" i="3" s="1"/>
  <c r="D1527" i="3"/>
  <c r="I1527" i="3"/>
  <c r="K1527" i="3"/>
  <c r="J1527" i="3" s="1"/>
  <c r="L1527" i="3"/>
  <c r="M1527" i="3"/>
  <c r="P1527" i="3" s="1"/>
  <c r="N1527" i="3"/>
  <c r="O1527" i="3" s="1"/>
  <c r="Q1527" i="3"/>
  <c r="R1527" i="3"/>
  <c r="B1526" i="3"/>
  <c r="C1526" i="3"/>
  <c r="S1526" i="3" s="1"/>
  <c r="D1526" i="3"/>
  <c r="I1526" i="3"/>
  <c r="K1526" i="3"/>
  <c r="J1526" i="3" s="1"/>
  <c r="L1526" i="3"/>
  <c r="M1526" i="3"/>
  <c r="P1526" i="3" s="1"/>
  <c r="N1526" i="3"/>
  <c r="O1526" i="3" s="1"/>
  <c r="Q1526" i="3"/>
  <c r="R1526" i="3"/>
  <c r="H1525" i="3"/>
  <c r="I1525" i="3" s="1"/>
  <c r="B1524" i="3"/>
  <c r="B1525" i="3"/>
  <c r="C1524" i="3"/>
  <c r="S1524" i="3" s="1"/>
  <c r="C1525" i="3"/>
  <c r="S1525" i="3" s="1"/>
  <c r="D1524" i="3"/>
  <c r="D1525" i="3"/>
  <c r="I1524" i="3"/>
  <c r="K1524" i="3"/>
  <c r="J1524" i="3" s="1"/>
  <c r="K1525" i="3"/>
  <c r="L1524" i="3"/>
  <c r="L1525" i="3"/>
  <c r="M1524" i="3"/>
  <c r="P1524" i="3" s="1"/>
  <c r="M1525" i="3"/>
  <c r="P1525" i="3" s="1"/>
  <c r="N1524" i="3"/>
  <c r="O1524" i="3" s="1"/>
  <c r="N1525" i="3"/>
  <c r="O1525" i="3" s="1"/>
  <c r="Q1524" i="3"/>
  <c r="Q1525" i="3"/>
  <c r="R1524" i="3"/>
  <c r="R1525" i="3"/>
  <c r="B1523" i="3"/>
  <c r="C1523" i="3"/>
  <c r="S1523" i="3" s="1"/>
  <c r="D1523" i="3"/>
  <c r="I1523" i="3"/>
  <c r="K1523" i="3"/>
  <c r="J1523" i="3" s="1"/>
  <c r="L1523" i="3"/>
  <c r="M1523" i="3"/>
  <c r="P1523" i="3" s="1"/>
  <c r="N1523" i="3"/>
  <c r="O1523" i="3" s="1"/>
  <c r="Q1523" i="3"/>
  <c r="R1523" i="3"/>
  <c r="B1522" i="3"/>
  <c r="C1522" i="3"/>
  <c r="S1522" i="3" s="1"/>
  <c r="D1522" i="3"/>
  <c r="I1522" i="3"/>
  <c r="K1522" i="3"/>
  <c r="J1522" i="3" s="1"/>
  <c r="L1522" i="3"/>
  <c r="M1522" i="3"/>
  <c r="P1522" i="3" s="1"/>
  <c r="N1522" i="3"/>
  <c r="O1522" i="3" s="1"/>
  <c r="Q1522" i="3"/>
  <c r="R1522" i="3"/>
  <c r="B1521" i="3"/>
  <c r="C1521" i="3"/>
  <c r="S1521" i="3" s="1"/>
  <c r="D1521" i="3"/>
  <c r="I1521" i="3"/>
  <c r="K1521" i="3"/>
  <c r="J1521" i="3" s="1"/>
  <c r="L1521" i="3"/>
  <c r="M1521" i="3"/>
  <c r="P1521" i="3" s="1"/>
  <c r="N1521" i="3"/>
  <c r="O1521" i="3" s="1"/>
  <c r="Q1521" i="3"/>
  <c r="R1521" i="3"/>
  <c r="B1520" i="3"/>
  <c r="C1520" i="3"/>
  <c r="S1520" i="3" s="1"/>
  <c r="D1520" i="3"/>
  <c r="I1520" i="3"/>
  <c r="K1520" i="3"/>
  <c r="J1520" i="3" s="1"/>
  <c r="L1520" i="3"/>
  <c r="M1520" i="3"/>
  <c r="P1520" i="3" s="1"/>
  <c r="N1520" i="3"/>
  <c r="O1520" i="3" s="1"/>
  <c r="Q1520" i="3"/>
  <c r="R1520" i="3"/>
  <c r="B1519" i="3"/>
  <c r="C1519" i="3"/>
  <c r="S1519" i="3" s="1"/>
  <c r="D1519" i="3"/>
  <c r="I1519" i="3"/>
  <c r="K1519" i="3"/>
  <c r="J1519" i="3" s="1"/>
  <c r="L1519" i="3"/>
  <c r="M1519" i="3"/>
  <c r="P1519" i="3" s="1"/>
  <c r="N1519" i="3"/>
  <c r="O1519" i="3" s="1"/>
  <c r="Q1519" i="3"/>
  <c r="R1519" i="3"/>
  <c r="B1518" i="3"/>
  <c r="C1518" i="3"/>
  <c r="S1518" i="3" s="1"/>
  <c r="D1518" i="3"/>
  <c r="I1518" i="3"/>
  <c r="K1518" i="3"/>
  <c r="J1518" i="3" s="1"/>
  <c r="L1518" i="3"/>
  <c r="M1518" i="3"/>
  <c r="P1518" i="3" s="1"/>
  <c r="N1518" i="3"/>
  <c r="O1518" i="3" s="1"/>
  <c r="Q1518" i="3"/>
  <c r="R1518" i="3"/>
  <c r="B1517" i="3"/>
  <c r="C1517" i="3"/>
  <c r="S1517" i="3" s="1"/>
  <c r="D1517" i="3"/>
  <c r="I1517" i="3"/>
  <c r="K1517" i="3"/>
  <c r="J1517" i="3" s="1"/>
  <c r="L1517" i="3"/>
  <c r="M1517" i="3"/>
  <c r="P1517" i="3" s="1"/>
  <c r="N1517" i="3"/>
  <c r="O1517" i="3" s="1"/>
  <c r="Q1517" i="3"/>
  <c r="R1517" i="3"/>
  <c r="H969" i="3"/>
  <c r="B1516" i="3"/>
  <c r="C1516" i="3"/>
  <c r="S1516" i="3" s="1"/>
  <c r="D1516" i="3"/>
  <c r="I1516" i="3"/>
  <c r="K1516" i="3"/>
  <c r="J1516" i="3" s="1"/>
  <c r="L1516" i="3"/>
  <c r="M1516" i="3"/>
  <c r="P1516" i="3" s="1"/>
  <c r="N1516" i="3"/>
  <c r="O1516" i="3" s="1"/>
  <c r="Q1516" i="3"/>
  <c r="R1516" i="3"/>
  <c r="B1515" i="3"/>
  <c r="C1515" i="3"/>
  <c r="S1515" i="3" s="1"/>
  <c r="D1515" i="3"/>
  <c r="I1515" i="3"/>
  <c r="K1515" i="3"/>
  <c r="J1515" i="3" s="1"/>
  <c r="L1515" i="3"/>
  <c r="M1515" i="3"/>
  <c r="P1515" i="3" s="1"/>
  <c r="N1515" i="3"/>
  <c r="O1515" i="3" s="1"/>
  <c r="Q1515" i="3"/>
  <c r="R1515" i="3"/>
  <c r="B1514" i="3"/>
  <c r="C1514" i="3"/>
  <c r="S1514" i="3" s="1"/>
  <c r="D1514" i="3"/>
  <c r="I1514" i="3"/>
  <c r="K1514" i="3"/>
  <c r="J1514" i="3" s="1"/>
  <c r="L1514" i="3"/>
  <c r="M1514" i="3"/>
  <c r="P1514" i="3" s="1"/>
  <c r="N1514" i="3"/>
  <c r="O1514" i="3" s="1"/>
  <c r="Q1514" i="3"/>
  <c r="R1514" i="3"/>
  <c r="B1513" i="3"/>
  <c r="C1513" i="3"/>
  <c r="S1513" i="3" s="1"/>
  <c r="D1513" i="3"/>
  <c r="I1513" i="3"/>
  <c r="K1513" i="3"/>
  <c r="J1513" i="3" s="1"/>
  <c r="L1513" i="3"/>
  <c r="M1513" i="3"/>
  <c r="P1513" i="3" s="1"/>
  <c r="N1513" i="3"/>
  <c r="O1513" i="3" s="1"/>
  <c r="Q1513" i="3"/>
  <c r="R1513" i="3"/>
  <c r="H1113" i="3"/>
  <c r="B1512" i="3"/>
  <c r="C1512" i="3"/>
  <c r="S1512" i="3" s="1"/>
  <c r="D1512" i="3"/>
  <c r="I1512" i="3"/>
  <c r="K1512" i="3"/>
  <c r="J1512" i="3" s="1"/>
  <c r="L1512" i="3"/>
  <c r="M1512" i="3"/>
  <c r="P1512" i="3" s="1"/>
  <c r="N1512" i="3"/>
  <c r="O1512" i="3" s="1"/>
  <c r="Q1512" i="3"/>
  <c r="R1512" i="3"/>
  <c r="B1511" i="3"/>
  <c r="C1511" i="3"/>
  <c r="S1511" i="3" s="1"/>
  <c r="D1511" i="3"/>
  <c r="I1511" i="3"/>
  <c r="K1511" i="3"/>
  <c r="J1511" i="3" s="1"/>
  <c r="L1511" i="3"/>
  <c r="M1511" i="3"/>
  <c r="P1511" i="3" s="1"/>
  <c r="N1511" i="3"/>
  <c r="O1511" i="3" s="1"/>
  <c r="Q1511" i="3"/>
  <c r="R1511" i="3"/>
  <c r="B1510" i="3"/>
  <c r="C1510" i="3"/>
  <c r="S1510" i="3" s="1"/>
  <c r="D1510" i="3"/>
  <c r="I1510" i="3"/>
  <c r="K1510" i="3"/>
  <c r="J1510" i="3" s="1"/>
  <c r="L1510" i="3"/>
  <c r="M1510" i="3"/>
  <c r="P1510" i="3" s="1"/>
  <c r="N1510" i="3"/>
  <c r="O1510" i="3" s="1"/>
  <c r="Q1510" i="3"/>
  <c r="R1510" i="3"/>
  <c r="B1506" i="3"/>
  <c r="C1506" i="3"/>
  <c r="S1506" i="3" s="1"/>
  <c r="D1506" i="3"/>
  <c r="I1506" i="3"/>
  <c r="K1506" i="3"/>
  <c r="J1506" i="3" s="1"/>
  <c r="L1506" i="3"/>
  <c r="M1506" i="3"/>
  <c r="P1506" i="3" s="1"/>
  <c r="N1506" i="3"/>
  <c r="O1506" i="3" s="1"/>
  <c r="Q1506" i="3"/>
  <c r="R1506" i="3"/>
  <c r="H1509" i="3"/>
  <c r="I1509" i="3" s="1"/>
  <c r="B1509" i="3"/>
  <c r="C1509" i="3"/>
  <c r="S1509" i="3" s="1"/>
  <c r="D1509" i="3"/>
  <c r="K1509" i="3"/>
  <c r="L1509" i="3"/>
  <c r="M1509" i="3"/>
  <c r="P1509" i="3" s="1"/>
  <c r="N1509" i="3"/>
  <c r="O1509" i="3" s="1"/>
  <c r="Q1509" i="3"/>
  <c r="R1509" i="3"/>
  <c r="B1508" i="3"/>
  <c r="C1508" i="3"/>
  <c r="S1508" i="3" s="1"/>
  <c r="D1508" i="3"/>
  <c r="K1508" i="3"/>
  <c r="L1508" i="3"/>
  <c r="M1508" i="3"/>
  <c r="P1508" i="3" s="1"/>
  <c r="N1508" i="3"/>
  <c r="O1508" i="3" s="1"/>
  <c r="Q1508" i="3"/>
  <c r="R1508" i="3"/>
  <c r="B1505" i="3"/>
  <c r="C1505" i="3"/>
  <c r="S1505" i="3" s="1"/>
  <c r="D1505" i="3"/>
  <c r="K1505" i="3"/>
  <c r="L1505" i="3"/>
  <c r="M1505" i="3"/>
  <c r="P1505" i="3" s="1"/>
  <c r="N1505" i="3"/>
  <c r="O1505" i="3" s="1"/>
  <c r="Q1505" i="3"/>
  <c r="R1505" i="3"/>
  <c r="B1504" i="3"/>
  <c r="C1504" i="3"/>
  <c r="S1504" i="3" s="1"/>
  <c r="D1504" i="3"/>
  <c r="I1504" i="3"/>
  <c r="K1504" i="3"/>
  <c r="J1504" i="3" s="1"/>
  <c r="L1504" i="3"/>
  <c r="M1504" i="3"/>
  <c r="P1504" i="3" s="1"/>
  <c r="N1504" i="3"/>
  <c r="O1504" i="3" s="1"/>
  <c r="Q1504" i="3"/>
  <c r="R1504" i="3"/>
  <c r="B1503" i="3"/>
  <c r="C1503" i="3"/>
  <c r="S1503" i="3" s="1"/>
  <c r="D1503" i="3"/>
  <c r="I1503" i="3"/>
  <c r="K1503" i="3"/>
  <c r="J1503" i="3" s="1"/>
  <c r="L1503" i="3"/>
  <c r="M1503" i="3"/>
  <c r="P1503" i="3" s="1"/>
  <c r="N1503" i="3"/>
  <c r="O1503" i="3" s="1"/>
  <c r="Q1503" i="3"/>
  <c r="R1503" i="3"/>
  <c r="B1502" i="3"/>
  <c r="C1502" i="3"/>
  <c r="S1502" i="3" s="1"/>
  <c r="D1502" i="3"/>
  <c r="I1502" i="3"/>
  <c r="K1502" i="3"/>
  <c r="J1502" i="3" s="1"/>
  <c r="L1502" i="3"/>
  <c r="M1502" i="3"/>
  <c r="P1502" i="3" s="1"/>
  <c r="N1502" i="3"/>
  <c r="O1502" i="3" s="1"/>
  <c r="Q1502" i="3"/>
  <c r="R1502" i="3"/>
  <c r="B1501" i="3"/>
  <c r="C1501" i="3"/>
  <c r="S1501" i="3" s="1"/>
  <c r="D1501" i="3"/>
  <c r="I1501" i="3"/>
  <c r="K1501" i="3"/>
  <c r="J1501" i="3" s="1"/>
  <c r="L1501" i="3"/>
  <c r="M1501" i="3"/>
  <c r="P1501" i="3" s="1"/>
  <c r="N1501" i="3"/>
  <c r="O1501" i="3" s="1"/>
  <c r="Q1501" i="3"/>
  <c r="R1501" i="3"/>
  <c r="B1500" i="3"/>
  <c r="C1500" i="3"/>
  <c r="S1500" i="3" s="1"/>
  <c r="D1500" i="3"/>
  <c r="I1500" i="3"/>
  <c r="K1500" i="3"/>
  <c r="J1500" i="3" s="1"/>
  <c r="L1500" i="3"/>
  <c r="M1500" i="3"/>
  <c r="P1500" i="3" s="1"/>
  <c r="N1500" i="3"/>
  <c r="O1500" i="3" s="1"/>
  <c r="Q1500" i="3"/>
  <c r="R1500" i="3"/>
  <c r="H1499" i="3"/>
  <c r="I1499" i="3" s="1"/>
  <c r="B1499" i="3"/>
  <c r="C1499" i="3"/>
  <c r="S1499" i="3" s="1"/>
  <c r="D1499" i="3"/>
  <c r="K1499" i="3"/>
  <c r="L1499" i="3"/>
  <c r="M1499" i="3"/>
  <c r="P1499" i="3" s="1"/>
  <c r="N1499" i="3"/>
  <c r="O1499" i="3" s="1"/>
  <c r="Q1499" i="3"/>
  <c r="R1499" i="3"/>
  <c r="B1498" i="3"/>
  <c r="C1498" i="3"/>
  <c r="S1498" i="3" s="1"/>
  <c r="D1498" i="3"/>
  <c r="I1498" i="3"/>
  <c r="K1498" i="3"/>
  <c r="J1498" i="3" s="1"/>
  <c r="L1498" i="3"/>
  <c r="M1498" i="3"/>
  <c r="P1498" i="3" s="1"/>
  <c r="N1498" i="3"/>
  <c r="O1498" i="3" s="1"/>
  <c r="Q1498" i="3"/>
  <c r="R1498" i="3"/>
  <c r="B1497" i="3"/>
  <c r="C1497" i="3"/>
  <c r="S1497" i="3" s="1"/>
  <c r="D1497" i="3"/>
  <c r="I1497" i="3"/>
  <c r="K1497" i="3"/>
  <c r="J1497" i="3" s="1"/>
  <c r="L1497" i="3"/>
  <c r="M1497" i="3"/>
  <c r="P1497" i="3" s="1"/>
  <c r="N1497" i="3"/>
  <c r="O1497" i="3" s="1"/>
  <c r="Q1497" i="3"/>
  <c r="R1497" i="3"/>
  <c r="B1496" i="3"/>
  <c r="C1496" i="3"/>
  <c r="S1496" i="3" s="1"/>
  <c r="D1496" i="3"/>
  <c r="I1496" i="3"/>
  <c r="K1496" i="3"/>
  <c r="J1496" i="3" s="1"/>
  <c r="L1496" i="3"/>
  <c r="M1496" i="3"/>
  <c r="P1496" i="3" s="1"/>
  <c r="N1496" i="3"/>
  <c r="O1496" i="3" s="1"/>
  <c r="Q1496" i="3"/>
  <c r="R1496" i="3"/>
  <c r="B1495" i="3"/>
  <c r="C1495" i="3"/>
  <c r="S1495" i="3" s="1"/>
  <c r="D1495" i="3"/>
  <c r="I1495" i="3"/>
  <c r="K1495" i="3"/>
  <c r="J1495" i="3" s="1"/>
  <c r="L1495" i="3"/>
  <c r="M1495" i="3"/>
  <c r="P1495" i="3" s="1"/>
  <c r="N1495" i="3"/>
  <c r="O1495" i="3" s="1"/>
  <c r="Q1495" i="3"/>
  <c r="R1495" i="3"/>
  <c r="B1494" i="3"/>
  <c r="C1494" i="3"/>
  <c r="S1494" i="3" s="1"/>
  <c r="D1494" i="3"/>
  <c r="I1494" i="3"/>
  <c r="K1494" i="3"/>
  <c r="J1494" i="3" s="1"/>
  <c r="L1494" i="3"/>
  <c r="M1494" i="3"/>
  <c r="P1494" i="3" s="1"/>
  <c r="N1494" i="3"/>
  <c r="O1494" i="3" s="1"/>
  <c r="Q1494" i="3"/>
  <c r="R1494" i="3"/>
  <c r="B1493" i="3"/>
  <c r="C1493" i="3"/>
  <c r="S1493" i="3" s="1"/>
  <c r="D1493" i="3"/>
  <c r="I1493" i="3"/>
  <c r="K1493" i="3"/>
  <c r="J1493" i="3" s="1"/>
  <c r="L1493" i="3"/>
  <c r="M1493" i="3"/>
  <c r="P1493" i="3" s="1"/>
  <c r="N1493" i="3"/>
  <c r="O1493" i="3" s="1"/>
  <c r="Q1493" i="3"/>
  <c r="R1493" i="3"/>
  <c r="B1492" i="3"/>
  <c r="C1492" i="3"/>
  <c r="S1492" i="3" s="1"/>
  <c r="D1492" i="3"/>
  <c r="I1492" i="3"/>
  <c r="K1492" i="3"/>
  <c r="J1492" i="3" s="1"/>
  <c r="L1492" i="3"/>
  <c r="M1492" i="3"/>
  <c r="P1492" i="3" s="1"/>
  <c r="N1492" i="3"/>
  <c r="O1492" i="3" s="1"/>
  <c r="Q1492" i="3"/>
  <c r="R1492" i="3"/>
  <c r="B1491" i="3"/>
  <c r="C1491" i="3"/>
  <c r="S1491" i="3" s="1"/>
  <c r="D1491" i="3"/>
  <c r="I1491" i="3"/>
  <c r="K1491" i="3"/>
  <c r="J1491" i="3" s="1"/>
  <c r="L1491" i="3"/>
  <c r="M1491" i="3"/>
  <c r="P1491" i="3" s="1"/>
  <c r="N1491" i="3"/>
  <c r="O1491" i="3" s="1"/>
  <c r="Q1491" i="3"/>
  <c r="R1491" i="3"/>
  <c r="B1490" i="3"/>
  <c r="C1490" i="3"/>
  <c r="S1490" i="3" s="1"/>
  <c r="D1490" i="3"/>
  <c r="I1490" i="3"/>
  <c r="K1490" i="3"/>
  <c r="J1490" i="3" s="1"/>
  <c r="L1490" i="3"/>
  <c r="M1490" i="3"/>
  <c r="P1490" i="3" s="1"/>
  <c r="N1490" i="3"/>
  <c r="O1490" i="3" s="1"/>
  <c r="Q1490" i="3"/>
  <c r="R1490" i="3"/>
  <c r="B1489" i="3"/>
  <c r="C1489" i="3"/>
  <c r="S1489" i="3" s="1"/>
  <c r="D1489" i="3"/>
  <c r="I1489" i="3"/>
  <c r="K1489" i="3"/>
  <c r="J1489" i="3" s="1"/>
  <c r="L1489" i="3"/>
  <c r="M1489" i="3"/>
  <c r="P1489" i="3" s="1"/>
  <c r="N1489" i="3"/>
  <c r="O1489" i="3" s="1"/>
  <c r="Q1489" i="3"/>
  <c r="R1489" i="3"/>
  <c r="B1488" i="3"/>
  <c r="C1488" i="3"/>
  <c r="S1488" i="3" s="1"/>
  <c r="D1488" i="3"/>
  <c r="I1488" i="3"/>
  <c r="K1488" i="3"/>
  <c r="J1488" i="3" s="1"/>
  <c r="L1488" i="3"/>
  <c r="M1488" i="3"/>
  <c r="P1488" i="3" s="1"/>
  <c r="N1488" i="3"/>
  <c r="O1488" i="3" s="1"/>
  <c r="Q1488" i="3"/>
  <c r="R1488" i="3"/>
  <c r="B1487" i="3"/>
  <c r="C1487" i="3"/>
  <c r="S1487" i="3" s="1"/>
  <c r="D1487" i="3"/>
  <c r="I1487" i="3"/>
  <c r="K1487" i="3"/>
  <c r="J1487" i="3" s="1"/>
  <c r="L1487" i="3"/>
  <c r="M1487" i="3"/>
  <c r="P1487" i="3" s="1"/>
  <c r="N1487" i="3"/>
  <c r="O1487" i="3" s="1"/>
  <c r="Q1487" i="3"/>
  <c r="R1487" i="3"/>
  <c r="B1484" i="3"/>
  <c r="B1485" i="3"/>
  <c r="B1486" i="3"/>
  <c r="C1484" i="3"/>
  <c r="S1484" i="3" s="1"/>
  <c r="C1485" i="3"/>
  <c r="S1485" i="3" s="1"/>
  <c r="C1486" i="3"/>
  <c r="S1486" i="3" s="1"/>
  <c r="D1484" i="3"/>
  <c r="D1485" i="3"/>
  <c r="D1486" i="3"/>
  <c r="I1484" i="3"/>
  <c r="I1485" i="3"/>
  <c r="I1486" i="3"/>
  <c r="K1484" i="3"/>
  <c r="J1484" i="3" s="1"/>
  <c r="K1485" i="3"/>
  <c r="J1485" i="3" s="1"/>
  <c r="K1486" i="3"/>
  <c r="J1486" i="3" s="1"/>
  <c r="L1484" i="3"/>
  <c r="L1485" i="3"/>
  <c r="L1486" i="3"/>
  <c r="M1484" i="3"/>
  <c r="P1484" i="3" s="1"/>
  <c r="M1485" i="3"/>
  <c r="P1485" i="3" s="1"/>
  <c r="M1486" i="3"/>
  <c r="P1486" i="3" s="1"/>
  <c r="N1484" i="3"/>
  <c r="O1484" i="3" s="1"/>
  <c r="N1485" i="3"/>
  <c r="O1485" i="3" s="1"/>
  <c r="N1486" i="3"/>
  <c r="O1486" i="3" s="1"/>
  <c r="Q1484" i="3"/>
  <c r="Q1485" i="3"/>
  <c r="Q1486" i="3"/>
  <c r="R1484" i="3"/>
  <c r="R1485" i="3"/>
  <c r="R1486" i="3"/>
  <c r="B1483" i="3"/>
  <c r="C1483" i="3"/>
  <c r="S1483" i="3" s="1"/>
  <c r="D1483" i="3"/>
  <c r="I1483" i="3"/>
  <c r="K1483" i="3"/>
  <c r="J1483" i="3" s="1"/>
  <c r="L1483" i="3"/>
  <c r="M1483" i="3"/>
  <c r="P1483" i="3" s="1"/>
  <c r="N1483" i="3"/>
  <c r="O1483" i="3" s="1"/>
  <c r="Q1483" i="3"/>
  <c r="R1483" i="3"/>
  <c r="B1482" i="3"/>
  <c r="C1482" i="3"/>
  <c r="S1482" i="3" s="1"/>
  <c r="D1482" i="3"/>
  <c r="I1482" i="3"/>
  <c r="K1482" i="3"/>
  <c r="J1482" i="3" s="1"/>
  <c r="L1482" i="3"/>
  <c r="M1482" i="3"/>
  <c r="P1482" i="3" s="1"/>
  <c r="N1482" i="3"/>
  <c r="O1482" i="3" s="1"/>
  <c r="Q1482" i="3"/>
  <c r="R1482" i="3"/>
  <c r="B1481" i="3"/>
  <c r="C1481" i="3"/>
  <c r="S1481" i="3" s="1"/>
  <c r="D1481" i="3"/>
  <c r="I1481" i="3"/>
  <c r="K1481" i="3"/>
  <c r="J1481" i="3" s="1"/>
  <c r="L1481" i="3"/>
  <c r="M1481" i="3"/>
  <c r="P1481" i="3" s="1"/>
  <c r="N1481" i="3"/>
  <c r="O1481" i="3" s="1"/>
  <c r="Q1481" i="3"/>
  <c r="R1481" i="3"/>
  <c r="B1480" i="3"/>
  <c r="C1480" i="3"/>
  <c r="S1480" i="3" s="1"/>
  <c r="D1480" i="3"/>
  <c r="I1480" i="3"/>
  <c r="K1480" i="3"/>
  <c r="J1480" i="3" s="1"/>
  <c r="L1480" i="3"/>
  <c r="M1480" i="3"/>
  <c r="P1480" i="3" s="1"/>
  <c r="N1480" i="3"/>
  <c r="O1480" i="3" s="1"/>
  <c r="Q1480" i="3"/>
  <c r="R1480" i="3"/>
  <c r="B1479" i="3"/>
  <c r="C1479" i="3"/>
  <c r="S1479" i="3" s="1"/>
  <c r="D1479" i="3"/>
  <c r="I1479" i="3"/>
  <c r="K1479" i="3"/>
  <c r="J1479" i="3" s="1"/>
  <c r="L1479" i="3"/>
  <c r="M1479" i="3"/>
  <c r="P1479" i="3" s="1"/>
  <c r="N1479" i="3"/>
  <c r="O1479" i="3" s="1"/>
  <c r="Q1479" i="3"/>
  <c r="R1479" i="3"/>
  <c r="B1478" i="3"/>
  <c r="C1478" i="3"/>
  <c r="S1478" i="3" s="1"/>
  <c r="D1478" i="3"/>
  <c r="I1478" i="3"/>
  <c r="K1478" i="3"/>
  <c r="J1478" i="3" s="1"/>
  <c r="L1478" i="3"/>
  <c r="M1478" i="3"/>
  <c r="P1478" i="3" s="1"/>
  <c r="N1478" i="3"/>
  <c r="O1478" i="3" s="1"/>
  <c r="Q1478" i="3"/>
  <c r="R1478" i="3"/>
  <c r="B1477" i="3"/>
  <c r="C1477" i="3"/>
  <c r="S1477" i="3" s="1"/>
  <c r="D1477" i="3"/>
  <c r="I1477" i="3"/>
  <c r="K1477" i="3"/>
  <c r="J1477" i="3" s="1"/>
  <c r="L1477" i="3"/>
  <c r="M1477" i="3"/>
  <c r="P1477" i="3" s="1"/>
  <c r="N1477" i="3"/>
  <c r="O1477" i="3" s="1"/>
  <c r="Q1477" i="3"/>
  <c r="R1477" i="3"/>
  <c r="B1476" i="3"/>
  <c r="C1476" i="3"/>
  <c r="S1476" i="3" s="1"/>
  <c r="D1476" i="3"/>
  <c r="I1476" i="3"/>
  <c r="K1476" i="3"/>
  <c r="J1476" i="3" s="1"/>
  <c r="L1476" i="3"/>
  <c r="M1476" i="3"/>
  <c r="P1476" i="3" s="1"/>
  <c r="N1476" i="3"/>
  <c r="O1476" i="3" s="1"/>
  <c r="Q1476" i="3"/>
  <c r="R1476" i="3"/>
  <c r="B1475" i="3"/>
  <c r="C1475" i="3"/>
  <c r="S1475" i="3" s="1"/>
  <c r="D1475" i="3"/>
  <c r="I1475" i="3"/>
  <c r="K1475" i="3"/>
  <c r="J1475" i="3" s="1"/>
  <c r="L1475" i="3"/>
  <c r="M1475" i="3"/>
  <c r="P1475" i="3" s="1"/>
  <c r="N1475" i="3"/>
  <c r="O1475" i="3" s="1"/>
  <c r="Q1475" i="3"/>
  <c r="R1475" i="3"/>
  <c r="B1474" i="3"/>
  <c r="C1474" i="3"/>
  <c r="S1474" i="3" s="1"/>
  <c r="D1474" i="3"/>
  <c r="I1474" i="3"/>
  <c r="K1474" i="3"/>
  <c r="J1474" i="3" s="1"/>
  <c r="L1474" i="3"/>
  <c r="M1474" i="3"/>
  <c r="P1474" i="3" s="1"/>
  <c r="N1474" i="3"/>
  <c r="O1474" i="3" s="1"/>
  <c r="Q1474" i="3"/>
  <c r="R1474" i="3"/>
  <c r="B1473" i="3"/>
  <c r="C1473" i="3"/>
  <c r="S1473" i="3" s="1"/>
  <c r="D1473" i="3"/>
  <c r="I1473" i="3"/>
  <c r="K1473" i="3"/>
  <c r="J1473" i="3" s="1"/>
  <c r="L1473" i="3"/>
  <c r="M1473" i="3"/>
  <c r="P1473" i="3" s="1"/>
  <c r="N1473" i="3"/>
  <c r="O1473" i="3" s="1"/>
  <c r="Q1473" i="3"/>
  <c r="R1473" i="3"/>
  <c r="B1472" i="3"/>
  <c r="C1472" i="3"/>
  <c r="S1472" i="3" s="1"/>
  <c r="D1472" i="3"/>
  <c r="I1472" i="3"/>
  <c r="K1472" i="3"/>
  <c r="J1472" i="3" s="1"/>
  <c r="L1472" i="3"/>
  <c r="M1472" i="3"/>
  <c r="P1472" i="3" s="1"/>
  <c r="N1472" i="3"/>
  <c r="O1472" i="3" s="1"/>
  <c r="Q1472" i="3"/>
  <c r="R1472" i="3"/>
  <c r="B1471" i="3"/>
  <c r="C1471" i="3"/>
  <c r="S1471" i="3" s="1"/>
  <c r="D1471" i="3"/>
  <c r="I1471" i="3"/>
  <c r="K1471" i="3"/>
  <c r="J1471" i="3" s="1"/>
  <c r="L1471" i="3"/>
  <c r="M1471" i="3"/>
  <c r="P1471" i="3" s="1"/>
  <c r="N1471" i="3"/>
  <c r="O1471" i="3" s="1"/>
  <c r="Q1471" i="3"/>
  <c r="R1471" i="3"/>
  <c r="B1470" i="3"/>
  <c r="C1470" i="3"/>
  <c r="S1470" i="3" s="1"/>
  <c r="D1470" i="3"/>
  <c r="I1470" i="3"/>
  <c r="K1470" i="3"/>
  <c r="J1470" i="3" s="1"/>
  <c r="L1470" i="3"/>
  <c r="M1470" i="3"/>
  <c r="P1470" i="3" s="1"/>
  <c r="N1470" i="3"/>
  <c r="O1470" i="3" s="1"/>
  <c r="Q1470" i="3"/>
  <c r="R1470" i="3"/>
  <c r="B1469" i="3"/>
  <c r="C1469" i="3"/>
  <c r="S1469" i="3" s="1"/>
  <c r="D1469" i="3"/>
  <c r="I1469" i="3"/>
  <c r="K1469" i="3"/>
  <c r="J1469" i="3" s="1"/>
  <c r="L1469" i="3"/>
  <c r="M1469" i="3"/>
  <c r="P1469" i="3" s="1"/>
  <c r="N1469" i="3"/>
  <c r="O1469" i="3" s="1"/>
  <c r="Q1469" i="3"/>
  <c r="R1469" i="3"/>
  <c r="B1468" i="3"/>
  <c r="C1468" i="3"/>
  <c r="S1468" i="3" s="1"/>
  <c r="D1468" i="3"/>
  <c r="I1468" i="3"/>
  <c r="K1468" i="3"/>
  <c r="J1468" i="3" s="1"/>
  <c r="L1468" i="3"/>
  <c r="M1468" i="3"/>
  <c r="P1468" i="3" s="1"/>
  <c r="N1468" i="3"/>
  <c r="O1468" i="3" s="1"/>
  <c r="Q1468" i="3"/>
  <c r="R1468" i="3"/>
  <c r="B1467" i="3"/>
  <c r="C1467" i="3"/>
  <c r="S1467" i="3" s="1"/>
  <c r="D1467" i="3"/>
  <c r="I1467" i="3"/>
  <c r="K1467" i="3"/>
  <c r="J1467" i="3" s="1"/>
  <c r="L1467" i="3"/>
  <c r="M1467" i="3"/>
  <c r="P1467" i="3" s="1"/>
  <c r="N1467" i="3"/>
  <c r="O1467" i="3" s="1"/>
  <c r="Q1467" i="3"/>
  <c r="R1467" i="3"/>
  <c r="B1466" i="3"/>
  <c r="C1466" i="3"/>
  <c r="S1466" i="3" s="1"/>
  <c r="D1466" i="3"/>
  <c r="I1466" i="3"/>
  <c r="K1466" i="3"/>
  <c r="J1466" i="3" s="1"/>
  <c r="L1466" i="3"/>
  <c r="M1466" i="3"/>
  <c r="P1466" i="3" s="1"/>
  <c r="N1466" i="3"/>
  <c r="O1466" i="3" s="1"/>
  <c r="Q1466" i="3"/>
  <c r="R1466" i="3"/>
  <c r="B1465" i="3"/>
  <c r="C1465" i="3"/>
  <c r="S1465" i="3" s="1"/>
  <c r="D1465" i="3"/>
  <c r="I1465" i="3"/>
  <c r="K1465" i="3"/>
  <c r="J1465" i="3" s="1"/>
  <c r="L1465" i="3"/>
  <c r="M1465" i="3"/>
  <c r="P1465" i="3" s="1"/>
  <c r="N1465" i="3"/>
  <c r="O1465" i="3" s="1"/>
  <c r="Q1465" i="3"/>
  <c r="R1465" i="3"/>
  <c r="B1464" i="3"/>
  <c r="C1464" i="3"/>
  <c r="S1464" i="3" s="1"/>
  <c r="D1464" i="3"/>
  <c r="I1464" i="3"/>
  <c r="K1464" i="3"/>
  <c r="J1464" i="3" s="1"/>
  <c r="L1464" i="3"/>
  <c r="M1464" i="3"/>
  <c r="P1464" i="3" s="1"/>
  <c r="N1464" i="3"/>
  <c r="O1464" i="3" s="1"/>
  <c r="Q1464" i="3"/>
  <c r="R1464" i="3"/>
  <c r="B1463" i="3"/>
  <c r="C1463" i="3"/>
  <c r="S1463" i="3" s="1"/>
  <c r="D1463" i="3"/>
  <c r="I1463" i="3"/>
  <c r="K1463" i="3"/>
  <c r="J1463" i="3" s="1"/>
  <c r="L1463" i="3"/>
  <c r="M1463" i="3"/>
  <c r="P1463" i="3" s="1"/>
  <c r="N1463" i="3"/>
  <c r="O1463" i="3" s="1"/>
  <c r="Q1463" i="3"/>
  <c r="R1463" i="3"/>
  <c r="B1462" i="3"/>
  <c r="C1462" i="3"/>
  <c r="S1462" i="3" s="1"/>
  <c r="D1462" i="3"/>
  <c r="I1462" i="3"/>
  <c r="K1462" i="3"/>
  <c r="J1462" i="3" s="1"/>
  <c r="L1462" i="3"/>
  <c r="M1462" i="3"/>
  <c r="P1462" i="3" s="1"/>
  <c r="N1462" i="3"/>
  <c r="O1462" i="3" s="1"/>
  <c r="Q1462" i="3"/>
  <c r="R1462" i="3"/>
  <c r="B1461" i="3"/>
  <c r="C1461" i="3"/>
  <c r="S1461" i="3" s="1"/>
  <c r="D1461" i="3"/>
  <c r="I1461" i="3"/>
  <c r="K1461" i="3"/>
  <c r="J1461" i="3" s="1"/>
  <c r="L1461" i="3"/>
  <c r="M1461" i="3"/>
  <c r="P1461" i="3" s="1"/>
  <c r="N1461" i="3"/>
  <c r="O1461" i="3" s="1"/>
  <c r="Q1461" i="3"/>
  <c r="R1461" i="3"/>
  <c r="B1460" i="3"/>
  <c r="C1460" i="3"/>
  <c r="S1460" i="3" s="1"/>
  <c r="D1460" i="3"/>
  <c r="I1460" i="3"/>
  <c r="K1460" i="3"/>
  <c r="J1460" i="3" s="1"/>
  <c r="L1460" i="3"/>
  <c r="M1460" i="3"/>
  <c r="P1460" i="3" s="1"/>
  <c r="N1460" i="3"/>
  <c r="O1460" i="3" s="1"/>
  <c r="Q1460" i="3"/>
  <c r="R1460" i="3"/>
  <c r="B1459" i="3"/>
  <c r="C1459" i="3"/>
  <c r="S1459" i="3" s="1"/>
  <c r="D1459" i="3"/>
  <c r="I1459" i="3"/>
  <c r="K1459" i="3"/>
  <c r="J1459" i="3" s="1"/>
  <c r="L1459" i="3"/>
  <c r="M1459" i="3"/>
  <c r="P1459" i="3" s="1"/>
  <c r="N1459" i="3"/>
  <c r="O1459" i="3" s="1"/>
  <c r="Q1459" i="3"/>
  <c r="R1459" i="3"/>
  <c r="B1458" i="3"/>
  <c r="C1458" i="3"/>
  <c r="S1458" i="3" s="1"/>
  <c r="D1458" i="3"/>
  <c r="I1458" i="3"/>
  <c r="K1458" i="3"/>
  <c r="J1458" i="3" s="1"/>
  <c r="L1458" i="3"/>
  <c r="M1458" i="3"/>
  <c r="P1458" i="3" s="1"/>
  <c r="N1458" i="3"/>
  <c r="O1458" i="3" s="1"/>
  <c r="Q1458" i="3"/>
  <c r="R1458" i="3"/>
  <c r="B1457" i="3"/>
  <c r="C1457" i="3"/>
  <c r="S1457" i="3" s="1"/>
  <c r="D1457" i="3"/>
  <c r="I1457" i="3"/>
  <c r="K1457" i="3"/>
  <c r="J1457" i="3" s="1"/>
  <c r="L1457" i="3"/>
  <c r="M1457" i="3"/>
  <c r="P1457" i="3" s="1"/>
  <c r="N1457" i="3"/>
  <c r="O1457" i="3" s="1"/>
  <c r="Q1457" i="3"/>
  <c r="R1457" i="3"/>
  <c r="B1456" i="3"/>
  <c r="C1456" i="3"/>
  <c r="S1456" i="3" s="1"/>
  <c r="D1456" i="3"/>
  <c r="I1456" i="3"/>
  <c r="K1456" i="3"/>
  <c r="J1456" i="3" s="1"/>
  <c r="L1456" i="3"/>
  <c r="M1456" i="3"/>
  <c r="P1456" i="3" s="1"/>
  <c r="N1456" i="3"/>
  <c r="O1456" i="3" s="1"/>
  <c r="Q1456" i="3"/>
  <c r="R1456" i="3"/>
  <c r="B1455" i="3"/>
  <c r="C1455" i="3"/>
  <c r="S1455" i="3" s="1"/>
  <c r="D1455" i="3"/>
  <c r="I1455" i="3"/>
  <c r="K1455" i="3"/>
  <c r="J1455" i="3" s="1"/>
  <c r="L1455" i="3"/>
  <c r="M1455" i="3"/>
  <c r="P1455" i="3" s="1"/>
  <c r="N1455" i="3"/>
  <c r="O1455" i="3" s="1"/>
  <c r="Q1455" i="3"/>
  <c r="R1455" i="3"/>
  <c r="B1454" i="3"/>
  <c r="C1454" i="3"/>
  <c r="S1454" i="3" s="1"/>
  <c r="D1454" i="3"/>
  <c r="I1454" i="3"/>
  <c r="K1454" i="3"/>
  <c r="J1454" i="3" s="1"/>
  <c r="L1454" i="3"/>
  <c r="M1454" i="3"/>
  <c r="P1454" i="3" s="1"/>
  <c r="N1454" i="3"/>
  <c r="O1454" i="3" s="1"/>
  <c r="Q1454" i="3"/>
  <c r="R1454" i="3"/>
  <c r="B1453" i="3"/>
  <c r="C1453" i="3"/>
  <c r="S1453" i="3" s="1"/>
  <c r="D1453" i="3"/>
  <c r="I1453" i="3"/>
  <c r="K1453" i="3"/>
  <c r="J1453" i="3" s="1"/>
  <c r="L1453" i="3"/>
  <c r="M1453" i="3"/>
  <c r="P1453" i="3" s="1"/>
  <c r="N1453" i="3"/>
  <c r="O1453" i="3" s="1"/>
  <c r="Q1453" i="3"/>
  <c r="R1453" i="3"/>
  <c r="B1452" i="3"/>
  <c r="C1452" i="3"/>
  <c r="S1452" i="3" s="1"/>
  <c r="D1452" i="3"/>
  <c r="I1452" i="3"/>
  <c r="K1452" i="3"/>
  <c r="J1452" i="3" s="1"/>
  <c r="L1452" i="3"/>
  <c r="M1452" i="3"/>
  <c r="P1452" i="3" s="1"/>
  <c r="N1452" i="3"/>
  <c r="O1452" i="3" s="1"/>
  <c r="Q1452" i="3"/>
  <c r="R1452" i="3"/>
  <c r="B1451" i="3"/>
  <c r="C1451" i="3"/>
  <c r="S1451" i="3" s="1"/>
  <c r="D1451" i="3"/>
  <c r="I1451" i="3"/>
  <c r="K1451" i="3"/>
  <c r="J1451" i="3" s="1"/>
  <c r="L1451" i="3"/>
  <c r="M1451" i="3"/>
  <c r="P1451" i="3" s="1"/>
  <c r="N1451" i="3"/>
  <c r="O1451" i="3" s="1"/>
  <c r="Q1451" i="3"/>
  <c r="R1451" i="3"/>
  <c r="B1450" i="3"/>
  <c r="C1450" i="3"/>
  <c r="S1450" i="3" s="1"/>
  <c r="D1450" i="3"/>
  <c r="I1450" i="3"/>
  <c r="K1450" i="3"/>
  <c r="J1450" i="3" s="1"/>
  <c r="L1450" i="3"/>
  <c r="M1450" i="3"/>
  <c r="P1450" i="3" s="1"/>
  <c r="N1450" i="3"/>
  <c r="O1450" i="3" s="1"/>
  <c r="Q1450" i="3"/>
  <c r="R1450" i="3"/>
  <c r="B1449" i="3"/>
  <c r="C1449" i="3"/>
  <c r="S1449" i="3" s="1"/>
  <c r="D1449" i="3"/>
  <c r="I1449" i="3"/>
  <c r="K1449" i="3"/>
  <c r="J1449" i="3" s="1"/>
  <c r="L1449" i="3"/>
  <c r="M1449" i="3"/>
  <c r="P1449" i="3" s="1"/>
  <c r="N1449" i="3"/>
  <c r="O1449" i="3" s="1"/>
  <c r="Q1449" i="3"/>
  <c r="R1449" i="3"/>
  <c r="B1448" i="3"/>
  <c r="C1448" i="3"/>
  <c r="S1448" i="3" s="1"/>
  <c r="D1448" i="3"/>
  <c r="I1448" i="3"/>
  <c r="K1448" i="3"/>
  <c r="J1448" i="3" s="1"/>
  <c r="L1448" i="3"/>
  <c r="M1448" i="3"/>
  <c r="P1448" i="3" s="1"/>
  <c r="N1448" i="3"/>
  <c r="O1448" i="3" s="1"/>
  <c r="Q1448" i="3"/>
  <c r="R1448" i="3"/>
  <c r="B1447" i="3"/>
  <c r="C1447" i="3"/>
  <c r="S1447" i="3" s="1"/>
  <c r="D1447" i="3"/>
  <c r="I1447" i="3"/>
  <c r="K1447" i="3"/>
  <c r="J1447" i="3" s="1"/>
  <c r="L1447" i="3"/>
  <c r="M1447" i="3"/>
  <c r="P1447" i="3" s="1"/>
  <c r="N1447" i="3"/>
  <c r="O1447" i="3" s="1"/>
  <c r="Q1447" i="3"/>
  <c r="R1447" i="3"/>
  <c r="B1446" i="3"/>
  <c r="C1446" i="3"/>
  <c r="S1446" i="3" s="1"/>
  <c r="D1446" i="3"/>
  <c r="I1446" i="3"/>
  <c r="K1446" i="3"/>
  <c r="J1446" i="3" s="1"/>
  <c r="L1446" i="3"/>
  <c r="M1446" i="3"/>
  <c r="P1446" i="3" s="1"/>
  <c r="N1446" i="3"/>
  <c r="O1446" i="3" s="1"/>
  <c r="Q1446" i="3"/>
  <c r="R1446" i="3"/>
  <c r="B1445" i="3"/>
  <c r="C1445" i="3"/>
  <c r="S1445" i="3" s="1"/>
  <c r="D1445" i="3"/>
  <c r="I1445" i="3"/>
  <c r="K1445" i="3"/>
  <c r="J1445" i="3" s="1"/>
  <c r="L1445" i="3"/>
  <c r="M1445" i="3"/>
  <c r="P1445" i="3" s="1"/>
  <c r="N1445" i="3"/>
  <c r="O1445" i="3" s="1"/>
  <c r="Q1445" i="3"/>
  <c r="R1445" i="3"/>
  <c r="B1444" i="3"/>
  <c r="C1444" i="3"/>
  <c r="S1444" i="3" s="1"/>
  <c r="D1444" i="3"/>
  <c r="I1444" i="3"/>
  <c r="K1444" i="3"/>
  <c r="J1444" i="3" s="1"/>
  <c r="L1444" i="3"/>
  <c r="M1444" i="3"/>
  <c r="P1444" i="3" s="1"/>
  <c r="N1444" i="3"/>
  <c r="O1444" i="3" s="1"/>
  <c r="Q1444" i="3"/>
  <c r="R1444" i="3"/>
  <c r="B1443" i="3"/>
  <c r="C1443" i="3"/>
  <c r="S1443" i="3" s="1"/>
  <c r="D1443" i="3"/>
  <c r="I1443" i="3"/>
  <c r="K1443" i="3"/>
  <c r="J1443" i="3" s="1"/>
  <c r="L1443" i="3"/>
  <c r="M1443" i="3"/>
  <c r="P1443" i="3" s="1"/>
  <c r="N1443" i="3"/>
  <c r="O1443" i="3" s="1"/>
  <c r="Q1443" i="3"/>
  <c r="R1443" i="3"/>
  <c r="B1442" i="3"/>
  <c r="C1442" i="3"/>
  <c r="S1442" i="3" s="1"/>
  <c r="D1442" i="3"/>
  <c r="I1442" i="3"/>
  <c r="K1442" i="3"/>
  <c r="J1442" i="3" s="1"/>
  <c r="L1442" i="3"/>
  <c r="M1442" i="3"/>
  <c r="P1442" i="3" s="1"/>
  <c r="N1442" i="3"/>
  <c r="O1442" i="3" s="1"/>
  <c r="Q1442" i="3"/>
  <c r="R1442" i="3"/>
  <c r="B1441" i="3"/>
  <c r="C1441" i="3"/>
  <c r="S1441" i="3" s="1"/>
  <c r="D1441" i="3"/>
  <c r="I1441" i="3"/>
  <c r="K1441" i="3"/>
  <c r="J1441" i="3" s="1"/>
  <c r="L1441" i="3"/>
  <c r="M1441" i="3"/>
  <c r="P1441" i="3" s="1"/>
  <c r="N1441" i="3"/>
  <c r="O1441" i="3" s="1"/>
  <c r="Q1441" i="3"/>
  <c r="R1441" i="3"/>
  <c r="B1440" i="3"/>
  <c r="C1440" i="3"/>
  <c r="S1440" i="3" s="1"/>
  <c r="D1440" i="3"/>
  <c r="I1440" i="3"/>
  <c r="K1440" i="3"/>
  <c r="J1440" i="3" s="1"/>
  <c r="L1440" i="3"/>
  <c r="M1440" i="3"/>
  <c r="P1440" i="3" s="1"/>
  <c r="N1440" i="3"/>
  <c r="O1440" i="3" s="1"/>
  <c r="Q1440" i="3"/>
  <c r="R1440" i="3"/>
  <c r="B1439" i="3"/>
  <c r="C1439" i="3"/>
  <c r="S1439" i="3" s="1"/>
  <c r="D1439" i="3"/>
  <c r="I1439" i="3"/>
  <c r="K1439" i="3"/>
  <c r="J1439" i="3" s="1"/>
  <c r="L1439" i="3"/>
  <c r="M1439" i="3"/>
  <c r="P1439" i="3" s="1"/>
  <c r="N1439" i="3"/>
  <c r="O1439" i="3" s="1"/>
  <c r="Q1439" i="3"/>
  <c r="R1439" i="3"/>
  <c r="B1438" i="3"/>
  <c r="C1438" i="3"/>
  <c r="S1438" i="3" s="1"/>
  <c r="D1438" i="3"/>
  <c r="I1438" i="3"/>
  <c r="K1438" i="3"/>
  <c r="J1438" i="3" s="1"/>
  <c r="L1438" i="3"/>
  <c r="M1438" i="3"/>
  <c r="P1438" i="3" s="1"/>
  <c r="N1438" i="3"/>
  <c r="O1438" i="3" s="1"/>
  <c r="Q1438" i="3"/>
  <c r="R1438" i="3"/>
  <c r="B1437" i="3"/>
  <c r="C1437" i="3"/>
  <c r="S1437" i="3" s="1"/>
  <c r="D1437" i="3"/>
  <c r="I1437" i="3"/>
  <c r="K1437" i="3"/>
  <c r="J1437" i="3" s="1"/>
  <c r="L1437" i="3"/>
  <c r="M1437" i="3"/>
  <c r="P1437" i="3" s="1"/>
  <c r="N1437" i="3"/>
  <c r="O1437" i="3" s="1"/>
  <c r="Q1437" i="3"/>
  <c r="R1437" i="3"/>
  <c r="B1436" i="3"/>
  <c r="C1436" i="3"/>
  <c r="S1436" i="3" s="1"/>
  <c r="D1436" i="3"/>
  <c r="I1436" i="3"/>
  <c r="K1436" i="3"/>
  <c r="J1436" i="3" s="1"/>
  <c r="L1436" i="3"/>
  <c r="M1436" i="3"/>
  <c r="P1436" i="3" s="1"/>
  <c r="N1436" i="3"/>
  <c r="O1436" i="3" s="1"/>
  <c r="Q1436" i="3"/>
  <c r="R1436" i="3"/>
  <c r="B1435" i="3"/>
  <c r="C1435" i="3"/>
  <c r="S1435" i="3" s="1"/>
  <c r="D1435" i="3"/>
  <c r="I1435" i="3"/>
  <c r="K1435" i="3"/>
  <c r="J1435" i="3" s="1"/>
  <c r="L1435" i="3"/>
  <c r="M1435" i="3"/>
  <c r="P1435" i="3" s="1"/>
  <c r="N1435" i="3"/>
  <c r="O1435" i="3" s="1"/>
  <c r="Q1435" i="3"/>
  <c r="R1435" i="3"/>
  <c r="B1434" i="3"/>
  <c r="C1434" i="3"/>
  <c r="S1434" i="3" s="1"/>
  <c r="D1434" i="3"/>
  <c r="I1434" i="3"/>
  <c r="K1434" i="3"/>
  <c r="J1434" i="3" s="1"/>
  <c r="L1434" i="3"/>
  <c r="M1434" i="3"/>
  <c r="P1434" i="3" s="1"/>
  <c r="N1434" i="3"/>
  <c r="O1434" i="3" s="1"/>
  <c r="Q1434" i="3"/>
  <c r="R1434" i="3"/>
  <c r="B1433" i="3"/>
  <c r="C1433" i="3"/>
  <c r="S1433" i="3" s="1"/>
  <c r="D1433" i="3"/>
  <c r="I1433" i="3"/>
  <c r="K1433" i="3"/>
  <c r="J1433" i="3" s="1"/>
  <c r="L1433" i="3"/>
  <c r="M1433" i="3"/>
  <c r="P1433" i="3" s="1"/>
  <c r="N1433" i="3"/>
  <c r="O1433" i="3" s="1"/>
  <c r="Q1433" i="3"/>
  <c r="R1433" i="3"/>
  <c r="B1432" i="3"/>
  <c r="C1432" i="3"/>
  <c r="S1432" i="3" s="1"/>
  <c r="D1432" i="3"/>
  <c r="I1432" i="3"/>
  <c r="K1432" i="3"/>
  <c r="J1432" i="3" s="1"/>
  <c r="L1432" i="3"/>
  <c r="M1432" i="3"/>
  <c r="P1432" i="3" s="1"/>
  <c r="N1432" i="3"/>
  <c r="O1432" i="3" s="1"/>
  <c r="Q1432" i="3"/>
  <c r="R1432" i="3"/>
  <c r="B1431" i="3"/>
  <c r="C1431" i="3"/>
  <c r="S1431" i="3" s="1"/>
  <c r="D1431" i="3"/>
  <c r="I1431" i="3"/>
  <c r="K1431" i="3"/>
  <c r="J1431" i="3" s="1"/>
  <c r="L1431" i="3"/>
  <c r="M1431" i="3"/>
  <c r="P1431" i="3" s="1"/>
  <c r="N1431" i="3"/>
  <c r="O1431" i="3" s="1"/>
  <c r="Q1431" i="3"/>
  <c r="R1431" i="3"/>
  <c r="B1430" i="3"/>
  <c r="C1430" i="3"/>
  <c r="S1430" i="3" s="1"/>
  <c r="D1430" i="3"/>
  <c r="I1430" i="3"/>
  <c r="K1430" i="3"/>
  <c r="J1430" i="3" s="1"/>
  <c r="L1430" i="3"/>
  <c r="M1430" i="3"/>
  <c r="P1430" i="3" s="1"/>
  <c r="N1430" i="3"/>
  <c r="O1430" i="3" s="1"/>
  <c r="Q1430" i="3"/>
  <c r="R1430" i="3"/>
  <c r="B1429" i="3"/>
  <c r="C1429" i="3"/>
  <c r="S1429" i="3" s="1"/>
  <c r="D1429" i="3"/>
  <c r="I1429" i="3"/>
  <c r="K1429" i="3"/>
  <c r="J1429" i="3" s="1"/>
  <c r="L1429" i="3"/>
  <c r="M1429" i="3"/>
  <c r="P1429" i="3" s="1"/>
  <c r="N1429" i="3"/>
  <c r="O1429" i="3" s="1"/>
  <c r="Q1429" i="3"/>
  <c r="R1429" i="3"/>
  <c r="B1428" i="3"/>
  <c r="C1428" i="3"/>
  <c r="S1428" i="3" s="1"/>
  <c r="D1428" i="3"/>
  <c r="I1428" i="3"/>
  <c r="K1428" i="3"/>
  <c r="J1428" i="3" s="1"/>
  <c r="L1428" i="3"/>
  <c r="M1428" i="3"/>
  <c r="P1428" i="3" s="1"/>
  <c r="N1428" i="3"/>
  <c r="O1428" i="3" s="1"/>
  <c r="Q1428" i="3"/>
  <c r="R1428" i="3"/>
  <c r="B1427" i="3"/>
  <c r="C1427" i="3"/>
  <c r="S1427" i="3" s="1"/>
  <c r="D1427" i="3"/>
  <c r="I1427" i="3"/>
  <c r="K1427" i="3"/>
  <c r="J1427" i="3" s="1"/>
  <c r="L1427" i="3"/>
  <c r="M1427" i="3"/>
  <c r="P1427" i="3" s="1"/>
  <c r="N1427" i="3"/>
  <c r="O1427" i="3" s="1"/>
  <c r="Q1427" i="3"/>
  <c r="R1427" i="3"/>
  <c r="B1426" i="3"/>
  <c r="C1426" i="3"/>
  <c r="S1426" i="3" s="1"/>
  <c r="D1426" i="3"/>
  <c r="I1426" i="3"/>
  <c r="K1426" i="3"/>
  <c r="J1426" i="3" s="1"/>
  <c r="L1426" i="3"/>
  <c r="M1426" i="3"/>
  <c r="P1426" i="3" s="1"/>
  <c r="N1426" i="3"/>
  <c r="O1426" i="3" s="1"/>
  <c r="Q1426" i="3"/>
  <c r="R1426" i="3"/>
  <c r="B1425" i="3"/>
  <c r="C1425" i="3"/>
  <c r="S1425" i="3" s="1"/>
  <c r="D1425" i="3"/>
  <c r="I1425" i="3"/>
  <c r="K1425" i="3"/>
  <c r="J1425" i="3" s="1"/>
  <c r="L1425" i="3"/>
  <c r="M1425" i="3"/>
  <c r="P1425" i="3" s="1"/>
  <c r="N1425" i="3"/>
  <c r="O1425" i="3" s="1"/>
  <c r="Q1425" i="3"/>
  <c r="R1425" i="3"/>
  <c r="B1424" i="3"/>
  <c r="C1424" i="3"/>
  <c r="S1424" i="3" s="1"/>
  <c r="D1424" i="3"/>
  <c r="I1424" i="3"/>
  <c r="K1424" i="3"/>
  <c r="J1424" i="3" s="1"/>
  <c r="L1424" i="3"/>
  <c r="M1424" i="3"/>
  <c r="P1424" i="3" s="1"/>
  <c r="N1424" i="3"/>
  <c r="O1424" i="3" s="1"/>
  <c r="Q1424" i="3"/>
  <c r="R1424" i="3"/>
  <c r="B1423" i="3"/>
  <c r="C1423" i="3"/>
  <c r="S1423" i="3" s="1"/>
  <c r="D1423" i="3"/>
  <c r="I1423" i="3"/>
  <c r="K1423" i="3"/>
  <c r="J1423" i="3" s="1"/>
  <c r="L1423" i="3"/>
  <c r="M1423" i="3"/>
  <c r="P1423" i="3" s="1"/>
  <c r="N1423" i="3"/>
  <c r="O1423" i="3" s="1"/>
  <c r="Q1423" i="3"/>
  <c r="R1423" i="3"/>
  <c r="B1422" i="3"/>
  <c r="C1422" i="3"/>
  <c r="S1422" i="3" s="1"/>
  <c r="D1422" i="3"/>
  <c r="I1422" i="3"/>
  <c r="K1422" i="3"/>
  <c r="J1422" i="3" s="1"/>
  <c r="L1422" i="3"/>
  <c r="M1422" i="3"/>
  <c r="P1422" i="3" s="1"/>
  <c r="N1422" i="3"/>
  <c r="O1422" i="3" s="1"/>
  <c r="Q1422" i="3"/>
  <c r="R1422" i="3"/>
  <c r="B1421" i="3"/>
  <c r="C1421" i="3"/>
  <c r="S1421" i="3" s="1"/>
  <c r="D1421" i="3"/>
  <c r="I1421" i="3"/>
  <c r="K1421" i="3"/>
  <c r="J1421" i="3" s="1"/>
  <c r="L1421" i="3"/>
  <c r="M1421" i="3"/>
  <c r="P1421" i="3" s="1"/>
  <c r="N1421" i="3"/>
  <c r="O1421" i="3" s="1"/>
  <c r="Q1421" i="3"/>
  <c r="R1421" i="3"/>
  <c r="B1420" i="3"/>
  <c r="C1420" i="3"/>
  <c r="S1420" i="3" s="1"/>
  <c r="D1420" i="3"/>
  <c r="I1420" i="3"/>
  <c r="K1420" i="3"/>
  <c r="J1420" i="3" s="1"/>
  <c r="L1420" i="3"/>
  <c r="M1420" i="3"/>
  <c r="P1420" i="3" s="1"/>
  <c r="N1420" i="3"/>
  <c r="O1420" i="3" s="1"/>
  <c r="Q1420" i="3"/>
  <c r="R1420" i="3"/>
  <c r="B1419" i="3"/>
  <c r="C1419" i="3"/>
  <c r="S1419" i="3" s="1"/>
  <c r="D1419" i="3"/>
  <c r="I1419" i="3"/>
  <c r="K1419" i="3"/>
  <c r="J1419" i="3" s="1"/>
  <c r="L1419" i="3"/>
  <c r="M1419" i="3"/>
  <c r="P1419" i="3" s="1"/>
  <c r="N1419" i="3"/>
  <c r="O1419" i="3" s="1"/>
  <c r="Q1419" i="3"/>
  <c r="R1419" i="3"/>
  <c r="B1418" i="3"/>
  <c r="C1418" i="3"/>
  <c r="S1418" i="3" s="1"/>
  <c r="D1418" i="3"/>
  <c r="I1418" i="3"/>
  <c r="K1418" i="3"/>
  <c r="J1418" i="3" s="1"/>
  <c r="L1418" i="3"/>
  <c r="M1418" i="3"/>
  <c r="P1418" i="3" s="1"/>
  <c r="N1418" i="3"/>
  <c r="O1418" i="3" s="1"/>
  <c r="Q1418" i="3"/>
  <c r="R1418" i="3"/>
  <c r="B1417" i="3"/>
  <c r="C1417" i="3"/>
  <c r="S1417" i="3" s="1"/>
  <c r="D1417" i="3"/>
  <c r="I1417" i="3"/>
  <c r="K1417" i="3"/>
  <c r="J1417" i="3" s="1"/>
  <c r="L1417" i="3"/>
  <c r="M1417" i="3"/>
  <c r="P1417" i="3" s="1"/>
  <c r="N1417" i="3"/>
  <c r="O1417" i="3" s="1"/>
  <c r="Q1417" i="3"/>
  <c r="R1417" i="3"/>
  <c r="B1416" i="3"/>
  <c r="C1416" i="3"/>
  <c r="S1416" i="3" s="1"/>
  <c r="D1416" i="3"/>
  <c r="I1416" i="3"/>
  <c r="K1416" i="3"/>
  <c r="J1416" i="3" s="1"/>
  <c r="L1416" i="3"/>
  <c r="M1416" i="3"/>
  <c r="P1416" i="3" s="1"/>
  <c r="N1416" i="3"/>
  <c r="O1416" i="3" s="1"/>
  <c r="Q1416" i="3"/>
  <c r="R1416" i="3"/>
  <c r="H1415" i="3"/>
  <c r="I1415" i="3" s="1"/>
  <c r="B1415" i="3"/>
  <c r="C1415" i="3"/>
  <c r="S1415" i="3" s="1"/>
  <c r="D1415" i="3"/>
  <c r="K1415" i="3"/>
  <c r="L1415" i="3"/>
  <c r="M1415" i="3"/>
  <c r="P1415" i="3" s="1"/>
  <c r="N1415" i="3"/>
  <c r="O1415" i="3" s="1"/>
  <c r="Q1415" i="3"/>
  <c r="R1415" i="3"/>
  <c r="B1414" i="3"/>
  <c r="C1414" i="3"/>
  <c r="S1414" i="3" s="1"/>
  <c r="D1414" i="3"/>
  <c r="I1414" i="3"/>
  <c r="K1414" i="3"/>
  <c r="J1414" i="3" s="1"/>
  <c r="L1414" i="3"/>
  <c r="M1414" i="3"/>
  <c r="P1414" i="3" s="1"/>
  <c r="N1414" i="3"/>
  <c r="O1414" i="3" s="1"/>
  <c r="Q1414" i="3"/>
  <c r="R1414" i="3"/>
  <c r="H1382" i="3"/>
  <c r="B1384" i="3"/>
  <c r="C1384" i="3"/>
  <c r="S1384" i="3" s="1"/>
  <c r="D1384" i="3"/>
  <c r="I1384" i="3"/>
  <c r="K1384" i="3"/>
  <c r="J1384" i="3" s="1"/>
  <c r="L1384" i="3"/>
  <c r="M1384" i="3"/>
  <c r="P1384" i="3" s="1"/>
  <c r="N1384" i="3"/>
  <c r="O1384" i="3" s="1"/>
  <c r="Q1384" i="3"/>
  <c r="R1384" i="3"/>
  <c r="B1383" i="3"/>
  <c r="C1383" i="3"/>
  <c r="S1383" i="3" s="1"/>
  <c r="D1383" i="3"/>
  <c r="I1383" i="3"/>
  <c r="K1383" i="3"/>
  <c r="J1383" i="3" s="1"/>
  <c r="L1383" i="3"/>
  <c r="M1383" i="3"/>
  <c r="P1383" i="3" s="1"/>
  <c r="N1383" i="3"/>
  <c r="O1383" i="3" s="1"/>
  <c r="Q1383" i="3"/>
  <c r="R1383" i="3"/>
  <c r="H883" i="3"/>
  <c r="B885" i="3"/>
  <c r="C885" i="3"/>
  <c r="S885" i="3" s="1"/>
  <c r="D885" i="3"/>
  <c r="I885" i="3"/>
  <c r="K885" i="3"/>
  <c r="J885" i="3" s="1"/>
  <c r="L885" i="3"/>
  <c r="M885" i="3"/>
  <c r="P885" i="3" s="1"/>
  <c r="N885" i="3"/>
  <c r="O885" i="3" s="1"/>
  <c r="Q885" i="3"/>
  <c r="R885" i="3"/>
  <c r="B884" i="3"/>
  <c r="C884" i="3"/>
  <c r="S884" i="3" s="1"/>
  <c r="D884" i="3"/>
  <c r="I884" i="3"/>
  <c r="K884" i="3"/>
  <c r="J884" i="3" s="1"/>
  <c r="L884" i="3"/>
  <c r="M884" i="3"/>
  <c r="P884" i="3" s="1"/>
  <c r="N884" i="3"/>
  <c r="O884" i="3" s="1"/>
  <c r="Q884" i="3"/>
  <c r="R884" i="3"/>
  <c r="AC9" i="4"/>
  <c r="J1415" i="3" l="1"/>
  <c r="J1537" i="3"/>
  <c r="J1541" i="3"/>
  <c r="H1505" i="3"/>
  <c r="I1505" i="3" s="1"/>
  <c r="H1508" i="3"/>
  <c r="I1508" i="3" s="1"/>
  <c r="J1525" i="3"/>
  <c r="J1499" i="3"/>
  <c r="J1509" i="3"/>
  <c r="J1508" i="3" l="1"/>
  <c r="J1505" i="3"/>
  <c r="B1413" i="3"/>
  <c r="C1413" i="3"/>
  <c r="S1413" i="3" s="1"/>
  <c r="D1413" i="3"/>
  <c r="I1413" i="3"/>
  <c r="K1413" i="3"/>
  <c r="J1413" i="3" s="1"/>
  <c r="L1413" i="3"/>
  <c r="M1413" i="3"/>
  <c r="P1413" i="3" s="1"/>
  <c r="N1413" i="3"/>
  <c r="O1413" i="3" s="1"/>
  <c r="Q1413" i="3"/>
  <c r="R1413" i="3"/>
  <c r="H1246" i="3"/>
  <c r="B1412" i="3" l="1"/>
  <c r="C1412" i="3"/>
  <c r="S1412" i="3" s="1"/>
  <c r="D1412" i="3"/>
  <c r="I1412" i="3"/>
  <c r="K1412" i="3"/>
  <c r="J1412" i="3" s="1"/>
  <c r="L1412" i="3"/>
  <c r="M1412" i="3"/>
  <c r="P1412" i="3" s="1"/>
  <c r="N1412" i="3"/>
  <c r="O1412" i="3" s="1"/>
  <c r="Q1412" i="3"/>
  <c r="R1412" i="3"/>
  <c r="B1411" i="3"/>
  <c r="C1411" i="3"/>
  <c r="S1411" i="3" s="1"/>
  <c r="D1411" i="3"/>
  <c r="I1411" i="3"/>
  <c r="K1411" i="3"/>
  <c r="J1411" i="3" s="1"/>
  <c r="L1411" i="3"/>
  <c r="M1411" i="3"/>
  <c r="P1411" i="3" s="1"/>
  <c r="N1411" i="3"/>
  <c r="O1411" i="3" s="1"/>
  <c r="Q1411" i="3"/>
  <c r="R1411" i="3"/>
  <c r="B1410" i="3"/>
  <c r="C1410" i="3"/>
  <c r="S1410" i="3" s="1"/>
  <c r="D1410" i="3"/>
  <c r="I1410" i="3"/>
  <c r="K1410" i="3"/>
  <c r="J1410" i="3" s="1"/>
  <c r="L1410" i="3"/>
  <c r="M1410" i="3"/>
  <c r="P1410" i="3" s="1"/>
  <c r="N1410" i="3"/>
  <c r="O1410" i="3" s="1"/>
  <c r="Q1410" i="3"/>
  <c r="R1410" i="3"/>
  <c r="B1409" i="3"/>
  <c r="C1409" i="3"/>
  <c r="S1409" i="3" s="1"/>
  <c r="D1409" i="3"/>
  <c r="I1409" i="3"/>
  <c r="K1409" i="3"/>
  <c r="J1409" i="3" s="1"/>
  <c r="L1409" i="3"/>
  <c r="M1409" i="3"/>
  <c r="P1409" i="3" s="1"/>
  <c r="N1409" i="3"/>
  <c r="O1409" i="3" s="1"/>
  <c r="Q1409" i="3"/>
  <c r="R1409" i="3"/>
  <c r="B1408" i="3"/>
  <c r="C1408" i="3"/>
  <c r="S1408" i="3" s="1"/>
  <c r="D1408" i="3"/>
  <c r="I1408" i="3"/>
  <c r="K1408" i="3"/>
  <c r="J1408" i="3" s="1"/>
  <c r="L1408" i="3"/>
  <c r="M1408" i="3"/>
  <c r="P1408" i="3" s="1"/>
  <c r="N1408" i="3"/>
  <c r="O1408" i="3" s="1"/>
  <c r="Q1408" i="3"/>
  <c r="R1408" i="3"/>
  <c r="B1407" i="3"/>
  <c r="C1407" i="3"/>
  <c r="S1407" i="3" s="1"/>
  <c r="D1407" i="3"/>
  <c r="I1407" i="3"/>
  <c r="K1407" i="3"/>
  <c r="J1407" i="3" s="1"/>
  <c r="L1407" i="3"/>
  <c r="M1407" i="3"/>
  <c r="P1407" i="3" s="1"/>
  <c r="N1407" i="3"/>
  <c r="O1407" i="3" s="1"/>
  <c r="Q1407" i="3"/>
  <c r="R1407" i="3"/>
  <c r="B1406" i="3"/>
  <c r="C1406" i="3"/>
  <c r="S1406" i="3" s="1"/>
  <c r="D1406" i="3"/>
  <c r="I1406" i="3"/>
  <c r="K1406" i="3"/>
  <c r="J1406" i="3" s="1"/>
  <c r="L1406" i="3"/>
  <c r="M1406" i="3"/>
  <c r="P1406" i="3" s="1"/>
  <c r="N1406" i="3"/>
  <c r="O1406" i="3" s="1"/>
  <c r="Q1406" i="3"/>
  <c r="R1406" i="3"/>
  <c r="B1404" i="3"/>
  <c r="B1405" i="3"/>
  <c r="C1404" i="3"/>
  <c r="S1404" i="3" s="1"/>
  <c r="C1405" i="3"/>
  <c r="S1405" i="3" s="1"/>
  <c r="D1404" i="3"/>
  <c r="D1405" i="3"/>
  <c r="I1404" i="3"/>
  <c r="I1405" i="3"/>
  <c r="K1404" i="3"/>
  <c r="J1404" i="3" s="1"/>
  <c r="K1405" i="3"/>
  <c r="J1405" i="3" s="1"/>
  <c r="L1404" i="3"/>
  <c r="L1405" i="3"/>
  <c r="M1404" i="3"/>
  <c r="P1404" i="3" s="1"/>
  <c r="M1405" i="3"/>
  <c r="P1405" i="3" s="1"/>
  <c r="N1404" i="3"/>
  <c r="O1404" i="3" s="1"/>
  <c r="N1405" i="3"/>
  <c r="O1405" i="3" s="1"/>
  <c r="Q1404" i="3"/>
  <c r="Q1405" i="3"/>
  <c r="R1404" i="3"/>
  <c r="R1405" i="3"/>
  <c r="B1403" i="3"/>
  <c r="C1403" i="3"/>
  <c r="S1403" i="3" s="1"/>
  <c r="D1403" i="3"/>
  <c r="I1403" i="3"/>
  <c r="K1403" i="3"/>
  <c r="J1403" i="3" s="1"/>
  <c r="L1403" i="3"/>
  <c r="M1403" i="3"/>
  <c r="P1403" i="3" s="1"/>
  <c r="N1403" i="3"/>
  <c r="O1403" i="3" s="1"/>
  <c r="Q1403" i="3"/>
  <c r="R1403" i="3"/>
  <c r="B1402" i="3"/>
  <c r="C1402" i="3"/>
  <c r="S1402" i="3" s="1"/>
  <c r="D1402" i="3"/>
  <c r="I1402" i="3"/>
  <c r="K1402" i="3"/>
  <c r="J1402" i="3" s="1"/>
  <c r="L1402" i="3"/>
  <c r="M1402" i="3"/>
  <c r="P1402" i="3" s="1"/>
  <c r="N1402" i="3"/>
  <c r="O1402" i="3" s="1"/>
  <c r="Q1402" i="3"/>
  <c r="R1402" i="3"/>
  <c r="B1401" i="3"/>
  <c r="C1401" i="3"/>
  <c r="S1401" i="3" s="1"/>
  <c r="D1401" i="3"/>
  <c r="I1401" i="3"/>
  <c r="K1401" i="3"/>
  <c r="J1401" i="3" s="1"/>
  <c r="L1401" i="3"/>
  <c r="M1401" i="3"/>
  <c r="P1401" i="3" s="1"/>
  <c r="N1401" i="3"/>
  <c r="O1401" i="3" s="1"/>
  <c r="Q1401" i="3"/>
  <c r="R1401" i="3"/>
  <c r="B1400" i="3"/>
  <c r="C1400" i="3"/>
  <c r="S1400" i="3" s="1"/>
  <c r="D1400" i="3"/>
  <c r="I1400" i="3"/>
  <c r="K1400" i="3"/>
  <c r="J1400" i="3" s="1"/>
  <c r="L1400" i="3"/>
  <c r="M1400" i="3"/>
  <c r="P1400" i="3" s="1"/>
  <c r="N1400" i="3"/>
  <c r="O1400" i="3" s="1"/>
  <c r="Q1400" i="3"/>
  <c r="R1400" i="3"/>
  <c r="B1399" i="3"/>
  <c r="C1399" i="3"/>
  <c r="S1399" i="3" s="1"/>
  <c r="D1399" i="3"/>
  <c r="I1399" i="3"/>
  <c r="K1399" i="3"/>
  <c r="J1399" i="3" s="1"/>
  <c r="L1399" i="3"/>
  <c r="M1399" i="3"/>
  <c r="P1399" i="3" s="1"/>
  <c r="N1399" i="3"/>
  <c r="O1399" i="3" s="1"/>
  <c r="Q1399" i="3"/>
  <c r="R1399" i="3"/>
  <c r="B1396" i="3"/>
  <c r="C1396" i="3"/>
  <c r="S1396" i="3" s="1"/>
  <c r="D1396" i="3"/>
  <c r="I1396" i="3"/>
  <c r="K1396" i="3"/>
  <c r="J1396" i="3" s="1"/>
  <c r="L1396" i="3"/>
  <c r="M1396" i="3"/>
  <c r="P1396" i="3" s="1"/>
  <c r="N1396" i="3"/>
  <c r="O1396" i="3" s="1"/>
  <c r="Q1396" i="3"/>
  <c r="R1396" i="3"/>
  <c r="B1397" i="3"/>
  <c r="B1398" i="3"/>
  <c r="C1397" i="3"/>
  <c r="S1397" i="3" s="1"/>
  <c r="C1398" i="3"/>
  <c r="S1398" i="3" s="1"/>
  <c r="D1397" i="3"/>
  <c r="D1398" i="3"/>
  <c r="I1397" i="3"/>
  <c r="I1398" i="3"/>
  <c r="K1397" i="3"/>
  <c r="J1397" i="3" s="1"/>
  <c r="K1398" i="3"/>
  <c r="J1398" i="3" s="1"/>
  <c r="L1397" i="3"/>
  <c r="L1398" i="3"/>
  <c r="M1397" i="3"/>
  <c r="P1397" i="3" s="1"/>
  <c r="M1398" i="3"/>
  <c r="P1398" i="3" s="1"/>
  <c r="N1397" i="3"/>
  <c r="O1397" i="3" s="1"/>
  <c r="N1398" i="3"/>
  <c r="O1398" i="3" s="1"/>
  <c r="Q1397" i="3"/>
  <c r="Q1398" i="3"/>
  <c r="R1397" i="3"/>
  <c r="R1398" i="3"/>
  <c r="B1395" i="3"/>
  <c r="C1395" i="3"/>
  <c r="S1395" i="3" s="1"/>
  <c r="D1395" i="3"/>
  <c r="I1395" i="3"/>
  <c r="K1395" i="3"/>
  <c r="J1395" i="3" s="1"/>
  <c r="L1395" i="3"/>
  <c r="M1395" i="3"/>
  <c r="P1395" i="3" s="1"/>
  <c r="N1395" i="3"/>
  <c r="O1395" i="3" s="1"/>
  <c r="Q1395" i="3"/>
  <c r="R1395" i="3"/>
  <c r="B1394" i="3"/>
  <c r="C1394" i="3"/>
  <c r="S1394" i="3" s="1"/>
  <c r="D1394" i="3"/>
  <c r="I1394" i="3"/>
  <c r="K1394" i="3"/>
  <c r="J1394" i="3" s="1"/>
  <c r="L1394" i="3"/>
  <c r="M1394" i="3"/>
  <c r="P1394" i="3" s="1"/>
  <c r="N1394" i="3"/>
  <c r="O1394" i="3" s="1"/>
  <c r="Q1394" i="3"/>
  <c r="R1394" i="3"/>
  <c r="B1393" i="3"/>
  <c r="C1393" i="3"/>
  <c r="S1393" i="3" s="1"/>
  <c r="D1393" i="3"/>
  <c r="I1393" i="3"/>
  <c r="K1393" i="3"/>
  <c r="J1393" i="3" s="1"/>
  <c r="L1393" i="3"/>
  <c r="M1393" i="3"/>
  <c r="P1393" i="3" s="1"/>
  <c r="N1393" i="3"/>
  <c r="O1393" i="3" s="1"/>
  <c r="Q1393" i="3"/>
  <c r="R1393" i="3"/>
  <c r="B1392" i="3"/>
  <c r="C1392" i="3"/>
  <c r="S1392" i="3" s="1"/>
  <c r="D1392" i="3"/>
  <c r="I1392" i="3"/>
  <c r="K1392" i="3"/>
  <c r="J1392" i="3" s="1"/>
  <c r="L1392" i="3"/>
  <c r="M1392" i="3"/>
  <c r="P1392" i="3" s="1"/>
  <c r="N1392" i="3"/>
  <c r="O1392" i="3" s="1"/>
  <c r="Q1392" i="3"/>
  <c r="R1392" i="3"/>
  <c r="B1389" i="3"/>
  <c r="B1390" i="3"/>
  <c r="B1391" i="3"/>
  <c r="C1389" i="3"/>
  <c r="S1389" i="3" s="1"/>
  <c r="C1390" i="3"/>
  <c r="S1390" i="3" s="1"/>
  <c r="C1391" i="3"/>
  <c r="S1391" i="3" s="1"/>
  <c r="D1389" i="3"/>
  <c r="D1390" i="3"/>
  <c r="D1391" i="3"/>
  <c r="I1389" i="3"/>
  <c r="I1390" i="3"/>
  <c r="I1391" i="3"/>
  <c r="K1389" i="3"/>
  <c r="J1389" i="3" s="1"/>
  <c r="K1390" i="3"/>
  <c r="J1390" i="3" s="1"/>
  <c r="K1391" i="3"/>
  <c r="J1391" i="3" s="1"/>
  <c r="L1389" i="3"/>
  <c r="L1390" i="3"/>
  <c r="L1391" i="3"/>
  <c r="M1389" i="3"/>
  <c r="P1389" i="3" s="1"/>
  <c r="M1390" i="3"/>
  <c r="P1390" i="3" s="1"/>
  <c r="M1391" i="3"/>
  <c r="P1391" i="3" s="1"/>
  <c r="N1389" i="3"/>
  <c r="O1389" i="3" s="1"/>
  <c r="N1390" i="3"/>
  <c r="O1390" i="3" s="1"/>
  <c r="N1391" i="3"/>
  <c r="O1391" i="3" s="1"/>
  <c r="Q1389" i="3"/>
  <c r="Q1390" i="3"/>
  <c r="Q1391" i="3"/>
  <c r="R1389" i="3"/>
  <c r="R1390" i="3"/>
  <c r="R1391" i="3"/>
  <c r="B1388" i="3"/>
  <c r="C1388" i="3"/>
  <c r="S1388" i="3" s="1"/>
  <c r="D1388" i="3"/>
  <c r="I1388" i="3"/>
  <c r="K1388" i="3"/>
  <c r="J1388" i="3" s="1"/>
  <c r="L1388" i="3"/>
  <c r="M1388" i="3"/>
  <c r="P1388" i="3" s="1"/>
  <c r="N1388" i="3"/>
  <c r="O1388" i="3" s="1"/>
  <c r="Q1388" i="3"/>
  <c r="R1388" i="3"/>
  <c r="B1387" i="3"/>
  <c r="C1387" i="3"/>
  <c r="S1387" i="3" s="1"/>
  <c r="D1387" i="3"/>
  <c r="I1387" i="3"/>
  <c r="K1387" i="3"/>
  <c r="J1387" i="3" s="1"/>
  <c r="L1387" i="3"/>
  <c r="M1387" i="3"/>
  <c r="P1387" i="3" s="1"/>
  <c r="N1387" i="3"/>
  <c r="O1387" i="3" s="1"/>
  <c r="Q1387" i="3"/>
  <c r="R1387" i="3"/>
  <c r="B1386" i="3"/>
  <c r="C1386" i="3"/>
  <c r="S1386" i="3" s="1"/>
  <c r="D1386" i="3"/>
  <c r="I1386" i="3"/>
  <c r="K1386" i="3"/>
  <c r="J1386" i="3" s="1"/>
  <c r="L1386" i="3"/>
  <c r="M1386" i="3"/>
  <c r="P1386" i="3" s="1"/>
  <c r="N1386" i="3"/>
  <c r="O1386" i="3" s="1"/>
  <c r="Q1386" i="3"/>
  <c r="R1386" i="3"/>
  <c r="B1382" i="3"/>
  <c r="B1385" i="3"/>
  <c r="C1382" i="3"/>
  <c r="S1382" i="3" s="1"/>
  <c r="C1385" i="3"/>
  <c r="S1385" i="3" s="1"/>
  <c r="D1382" i="3"/>
  <c r="D1385" i="3"/>
  <c r="I1382" i="3"/>
  <c r="I1385" i="3"/>
  <c r="K1382" i="3"/>
  <c r="J1382" i="3" s="1"/>
  <c r="K1385" i="3"/>
  <c r="J1385" i="3" s="1"/>
  <c r="L1382" i="3"/>
  <c r="L1385" i="3"/>
  <c r="M1382" i="3"/>
  <c r="P1382" i="3" s="1"/>
  <c r="M1385" i="3"/>
  <c r="P1385" i="3" s="1"/>
  <c r="N1382" i="3"/>
  <c r="O1382" i="3" s="1"/>
  <c r="N1385" i="3"/>
  <c r="O1385" i="3" s="1"/>
  <c r="Q1382" i="3"/>
  <c r="Q1385" i="3"/>
  <c r="R1382" i="3"/>
  <c r="R1385" i="3"/>
  <c r="H1381" i="3"/>
  <c r="I1381" i="3" s="1"/>
  <c r="H1379" i="3"/>
  <c r="I1379" i="3" s="1"/>
  <c r="I1376" i="3"/>
  <c r="B1381" i="3"/>
  <c r="C1381" i="3"/>
  <c r="S1381" i="3" s="1"/>
  <c r="D1381" i="3"/>
  <c r="K1381" i="3"/>
  <c r="L1381" i="3"/>
  <c r="M1381" i="3"/>
  <c r="P1381" i="3" s="1"/>
  <c r="N1381" i="3"/>
  <c r="O1381" i="3" s="1"/>
  <c r="Q1381" i="3"/>
  <c r="R1381" i="3"/>
  <c r="B1380" i="3"/>
  <c r="C1380" i="3"/>
  <c r="S1380" i="3" s="1"/>
  <c r="D1380" i="3"/>
  <c r="I1380" i="3"/>
  <c r="K1380" i="3"/>
  <c r="J1380" i="3" s="1"/>
  <c r="L1380" i="3"/>
  <c r="M1380" i="3"/>
  <c r="P1380" i="3" s="1"/>
  <c r="N1380" i="3"/>
  <c r="O1380" i="3" s="1"/>
  <c r="Q1380" i="3"/>
  <c r="R1380" i="3"/>
  <c r="B1379" i="3"/>
  <c r="C1379" i="3"/>
  <c r="S1379" i="3" s="1"/>
  <c r="D1379" i="3"/>
  <c r="K1379" i="3"/>
  <c r="L1379" i="3"/>
  <c r="M1379" i="3"/>
  <c r="P1379" i="3" s="1"/>
  <c r="N1379" i="3"/>
  <c r="O1379" i="3" s="1"/>
  <c r="Q1379" i="3"/>
  <c r="R1379" i="3"/>
  <c r="B1378" i="3"/>
  <c r="C1378" i="3"/>
  <c r="S1378" i="3" s="1"/>
  <c r="D1378" i="3"/>
  <c r="I1378" i="3"/>
  <c r="K1378" i="3"/>
  <c r="J1378" i="3" s="1"/>
  <c r="L1378" i="3"/>
  <c r="M1378" i="3"/>
  <c r="P1378" i="3" s="1"/>
  <c r="N1378" i="3"/>
  <c r="O1378" i="3" s="1"/>
  <c r="Q1378" i="3"/>
  <c r="R1378" i="3"/>
  <c r="B1377" i="3"/>
  <c r="C1377" i="3"/>
  <c r="S1377" i="3" s="1"/>
  <c r="D1377" i="3"/>
  <c r="I1377" i="3"/>
  <c r="K1377" i="3"/>
  <c r="J1377" i="3" s="1"/>
  <c r="L1377" i="3"/>
  <c r="M1377" i="3"/>
  <c r="P1377" i="3" s="1"/>
  <c r="N1377" i="3"/>
  <c r="O1377" i="3" s="1"/>
  <c r="Q1377" i="3"/>
  <c r="R1377" i="3"/>
  <c r="B1376" i="3"/>
  <c r="C1376" i="3"/>
  <c r="S1376" i="3" s="1"/>
  <c r="D1376" i="3"/>
  <c r="K1376" i="3"/>
  <c r="L1376" i="3"/>
  <c r="M1376" i="3"/>
  <c r="P1376" i="3" s="1"/>
  <c r="N1376" i="3"/>
  <c r="O1376" i="3" s="1"/>
  <c r="Q1376" i="3"/>
  <c r="R1376" i="3"/>
  <c r="B1375" i="3"/>
  <c r="C1375" i="3"/>
  <c r="S1375" i="3" s="1"/>
  <c r="D1375" i="3"/>
  <c r="I1375" i="3"/>
  <c r="K1375" i="3"/>
  <c r="J1375" i="3" s="1"/>
  <c r="L1375" i="3"/>
  <c r="M1375" i="3"/>
  <c r="P1375" i="3" s="1"/>
  <c r="N1375" i="3"/>
  <c r="O1375" i="3" s="1"/>
  <c r="Q1375" i="3"/>
  <c r="R1375" i="3"/>
  <c r="B1374" i="3"/>
  <c r="C1374" i="3"/>
  <c r="S1374" i="3" s="1"/>
  <c r="D1374" i="3"/>
  <c r="I1374" i="3"/>
  <c r="K1374" i="3"/>
  <c r="J1374" i="3" s="1"/>
  <c r="L1374" i="3"/>
  <c r="M1374" i="3"/>
  <c r="P1374" i="3" s="1"/>
  <c r="N1374" i="3"/>
  <c r="O1374" i="3" s="1"/>
  <c r="Q1374" i="3"/>
  <c r="R1374" i="3"/>
  <c r="B1373" i="3"/>
  <c r="C1373" i="3"/>
  <c r="S1373" i="3" s="1"/>
  <c r="D1373" i="3"/>
  <c r="I1373" i="3"/>
  <c r="K1373" i="3"/>
  <c r="J1373" i="3" s="1"/>
  <c r="L1373" i="3"/>
  <c r="M1373" i="3"/>
  <c r="P1373" i="3" s="1"/>
  <c r="N1373" i="3"/>
  <c r="O1373" i="3" s="1"/>
  <c r="Q1373" i="3"/>
  <c r="R1373" i="3"/>
  <c r="B1372" i="3"/>
  <c r="C1372" i="3"/>
  <c r="S1372" i="3" s="1"/>
  <c r="D1372" i="3"/>
  <c r="I1372" i="3"/>
  <c r="K1372" i="3"/>
  <c r="J1372" i="3" s="1"/>
  <c r="L1372" i="3"/>
  <c r="M1372" i="3"/>
  <c r="P1372" i="3" s="1"/>
  <c r="N1372" i="3"/>
  <c r="O1372" i="3" s="1"/>
  <c r="Q1372" i="3"/>
  <c r="R1372" i="3"/>
  <c r="B1371" i="3"/>
  <c r="C1371" i="3"/>
  <c r="S1371" i="3" s="1"/>
  <c r="D1371" i="3"/>
  <c r="I1371" i="3"/>
  <c r="K1371" i="3"/>
  <c r="J1371" i="3" s="1"/>
  <c r="L1371" i="3"/>
  <c r="M1371" i="3"/>
  <c r="P1371" i="3" s="1"/>
  <c r="N1371" i="3"/>
  <c r="O1371" i="3" s="1"/>
  <c r="Q1371" i="3"/>
  <c r="R1371" i="3"/>
  <c r="B1370" i="3"/>
  <c r="C1370" i="3"/>
  <c r="S1370" i="3" s="1"/>
  <c r="D1370" i="3"/>
  <c r="I1370" i="3"/>
  <c r="K1370" i="3"/>
  <c r="J1370" i="3" s="1"/>
  <c r="L1370" i="3"/>
  <c r="M1370" i="3"/>
  <c r="P1370" i="3" s="1"/>
  <c r="N1370" i="3"/>
  <c r="O1370" i="3" s="1"/>
  <c r="Q1370" i="3"/>
  <c r="R1370" i="3"/>
  <c r="B1369" i="3"/>
  <c r="C1369" i="3"/>
  <c r="S1369" i="3" s="1"/>
  <c r="D1369" i="3"/>
  <c r="I1369" i="3"/>
  <c r="K1369" i="3"/>
  <c r="J1369" i="3" s="1"/>
  <c r="L1369" i="3"/>
  <c r="M1369" i="3"/>
  <c r="P1369" i="3" s="1"/>
  <c r="N1369" i="3"/>
  <c r="O1369" i="3" s="1"/>
  <c r="Q1369" i="3"/>
  <c r="R1369" i="3"/>
  <c r="B1368" i="3"/>
  <c r="C1368" i="3"/>
  <c r="S1368" i="3" s="1"/>
  <c r="D1368" i="3"/>
  <c r="I1368" i="3"/>
  <c r="K1368" i="3"/>
  <c r="J1368" i="3" s="1"/>
  <c r="L1368" i="3"/>
  <c r="M1368" i="3"/>
  <c r="P1368" i="3" s="1"/>
  <c r="N1368" i="3"/>
  <c r="O1368" i="3" s="1"/>
  <c r="Q1368" i="3"/>
  <c r="R1368" i="3"/>
  <c r="B1367" i="3"/>
  <c r="C1367" i="3"/>
  <c r="S1367" i="3" s="1"/>
  <c r="D1367" i="3"/>
  <c r="I1367" i="3"/>
  <c r="K1367" i="3"/>
  <c r="J1367" i="3" s="1"/>
  <c r="L1367" i="3"/>
  <c r="M1367" i="3"/>
  <c r="P1367" i="3" s="1"/>
  <c r="N1367" i="3"/>
  <c r="O1367" i="3" s="1"/>
  <c r="Q1367" i="3"/>
  <c r="R1367" i="3"/>
  <c r="B1366" i="3"/>
  <c r="C1366" i="3"/>
  <c r="S1366" i="3" s="1"/>
  <c r="D1366" i="3"/>
  <c r="I1366" i="3"/>
  <c r="K1366" i="3"/>
  <c r="J1366" i="3" s="1"/>
  <c r="L1366" i="3"/>
  <c r="M1366" i="3"/>
  <c r="P1366" i="3" s="1"/>
  <c r="N1366" i="3"/>
  <c r="O1366" i="3" s="1"/>
  <c r="Q1366" i="3"/>
  <c r="R1366" i="3"/>
  <c r="B1365" i="3"/>
  <c r="C1365" i="3"/>
  <c r="S1365" i="3" s="1"/>
  <c r="D1365" i="3"/>
  <c r="I1365" i="3"/>
  <c r="K1365" i="3"/>
  <c r="J1365" i="3" s="1"/>
  <c r="L1365" i="3"/>
  <c r="M1365" i="3"/>
  <c r="P1365" i="3" s="1"/>
  <c r="N1365" i="3"/>
  <c r="O1365" i="3" s="1"/>
  <c r="Q1365" i="3"/>
  <c r="R1365" i="3"/>
  <c r="B1364" i="3"/>
  <c r="C1364" i="3"/>
  <c r="S1364" i="3" s="1"/>
  <c r="D1364" i="3"/>
  <c r="I1364" i="3"/>
  <c r="K1364" i="3"/>
  <c r="J1364" i="3" s="1"/>
  <c r="L1364" i="3"/>
  <c r="M1364" i="3"/>
  <c r="P1364" i="3" s="1"/>
  <c r="N1364" i="3"/>
  <c r="O1364" i="3" s="1"/>
  <c r="Q1364" i="3"/>
  <c r="R1364" i="3"/>
  <c r="B1363" i="3"/>
  <c r="C1363" i="3"/>
  <c r="S1363" i="3" s="1"/>
  <c r="D1363" i="3"/>
  <c r="I1363" i="3"/>
  <c r="K1363" i="3"/>
  <c r="J1363" i="3" s="1"/>
  <c r="L1363" i="3"/>
  <c r="M1363" i="3"/>
  <c r="P1363" i="3" s="1"/>
  <c r="N1363" i="3"/>
  <c r="O1363" i="3" s="1"/>
  <c r="Q1363" i="3"/>
  <c r="R1363" i="3"/>
  <c r="B1362" i="3"/>
  <c r="C1362" i="3"/>
  <c r="S1362" i="3" s="1"/>
  <c r="D1362" i="3"/>
  <c r="I1362" i="3"/>
  <c r="K1362" i="3"/>
  <c r="J1362" i="3" s="1"/>
  <c r="L1362" i="3"/>
  <c r="M1362" i="3"/>
  <c r="P1362" i="3" s="1"/>
  <c r="N1362" i="3"/>
  <c r="O1362" i="3" s="1"/>
  <c r="Q1362" i="3"/>
  <c r="R1362" i="3"/>
  <c r="B1361" i="3"/>
  <c r="C1361" i="3"/>
  <c r="S1361" i="3" s="1"/>
  <c r="D1361" i="3"/>
  <c r="I1361" i="3"/>
  <c r="K1361" i="3"/>
  <c r="J1361" i="3" s="1"/>
  <c r="L1361" i="3"/>
  <c r="M1361" i="3"/>
  <c r="P1361" i="3" s="1"/>
  <c r="N1361" i="3"/>
  <c r="O1361" i="3" s="1"/>
  <c r="Q1361" i="3"/>
  <c r="R1361" i="3"/>
  <c r="B1360" i="3"/>
  <c r="C1360" i="3"/>
  <c r="S1360" i="3" s="1"/>
  <c r="D1360" i="3"/>
  <c r="I1360" i="3"/>
  <c r="K1360" i="3"/>
  <c r="J1360" i="3" s="1"/>
  <c r="L1360" i="3"/>
  <c r="M1360" i="3"/>
  <c r="P1360" i="3" s="1"/>
  <c r="N1360" i="3"/>
  <c r="O1360" i="3" s="1"/>
  <c r="Q1360" i="3"/>
  <c r="R1360" i="3"/>
  <c r="B1359" i="3"/>
  <c r="C1359" i="3"/>
  <c r="S1359" i="3" s="1"/>
  <c r="D1359" i="3"/>
  <c r="I1359" i="3"/>
  <c r="K1359" i="3"/>
  <c r="J1359" i="3" s="1"/>
  <c r="L1359" i="3"/>
  <c r="M1359" i="3"/>
  <c r="P1359" i="3" s="1"/>
  <c r="N1359" i="3"/>
  <c r="O1359" i="3" s="1"/>
  <c r="Q1359" i="3"/>
  <c r="R1359" i="3"/>
  <c r="B1358" i="3"/>
  <c r="C1358" i="3"/>
  <c r="S1358" i="3" s="1"/>
  <c r="D1358" i="3"/>
  <c r="I1358" i="3"/>
  <c r="K1358" i="3"/>
  <c r="J1358" i="3" s="1"/>
  <c r="L1358" i="3"/>
  <c r="M1358" i="3"/>
  <c r="P1358" i="3" s="1"/>
  <c r="N1358" i="3"/>
  <c r="O1358" i="3" s="1"/>
  <c r="Q1358" i="3"/>
  <c r="R1358" i="3"/>
  <c r="B1357" i="3"/>
  <c r="C1357" i="3"/>
  <c r="S1357" i="3" s="1"/>
  <c r="D1357" i="3"/>
  <c r="I1357" i="3"/>
  <c r="K1357" i="3"/>
  <c r="J1357" i="3" s="1"/>
  <c r="L1357" i="3"/>
  <c r="M1357" i="3"/>
  <c r="P1357" i="3" s="1"/>
  <c r="N1357" i="3"/>
  <c r="O1357" i="3" s="1"/>
  <c r="Q1357" i="3"/>
  <c r="R1357" i="3"/>
  <c r="B1356" i="3"/>
  <c r="C1356" i="3"/>
  <c r="S1356" i="3" s="1"/>
  <c r="D1356" i="3"/>
  <c r="I1356" i="3"/>
  <c r="K1356" i="3"/>
  <c r="J1356" i="3" s="1"/>
  <c r="L1356" i="3"/>
  <c r="M1356" i="3"/>
  <c r="P1356" i="3" s="1"/>
  <c r="N1356" i="3"/>
  <c r="O1356" i="3" s="1"/>
  <c r="Q1356" i="3"/>
  <c r="R1356" i="3"/>
  <c r="B1355" i="3"/>
  <c r="C1355" i="3"/>
  <c r="S1355" i="3" s="1"/>
  <c r="D1355" i="3"/>
  <c r="I1355" i="3"/>
  <c r="K1355" i="3"/>
  <c r="J1355" i="3" s="1"/>
  <c r="L1355" i="3"/>
  <c r="M1355" i="3"/>
  <c r="P1355" i="3" s="1"/>
  <c r="N1355" i="3"/>
  <c r="O1355" i="3" s="1"/>
  <c r="Q1355" i="3"/>
  <c r="R1355" i="3"/>
  <c r="B2" i="3"/>
  <c r="C2" i="3"/>
  <c r="S2" i="3" s="1"/>
  <c r="D2" i="3"/>
  <c r="I2" i="3"/>
  <c r="K2" i="3"/>
  <c r="J2" i="3" s="1"/>
  <c r="L2" i="3"/>
  <c r="M2" i="3"/>
  <c r="P2" i="3" s="1"/>
  <c r="N2" i="3"/>
  <c r="Q2" i="3"/>
  <c r="R2" i="3"/>
  <c r="B3" i="3"/>
  <c r="C3" i="3"/>
  <c r="S3" i="3" s="1"/>
  <c r="D3" i="3"/>
  <c r="I3" i="3"/>
  <c r="K3" i="3"/>
  <c r="J3" i="3" s="1"/>
  <c r="L3" i="3"/>
  <c r="M3" i="3"/>
  <c r="P3" i="3" s="1"/>
  <c r="N3" i="3"/>
  <c r="O3" i="3" s="1"/>
  <c r="Q3" i="3"/>
  <c r="R3" i="3"/>
  <c r="B4" i="3"/>
  <c r="C4" i="3"/>
  <c r="S4" i="3" s="1"/>
  <c r="D4" i="3"/>
  <c r="I4" i="3"/>
  <c r="K4" i="3"/>
  <c r="J4" i="3" s="1"/>
  <c r="L4" i="3"/>
  <c r="M4" i="3"/>
  <c r="P4" i="3" s="1"/>
  <c r="N4" i="3"/>
  <c r="O4" i="3" s="1"/>
  <c r="Q4" i="3"/>
  <c r="R4" i="3"/>
  <c r="B5" i="3"/>
  <c r="C5" i="3"/>
  <c r="S5" i="3" s="1"/>
  <c r="D5" i="3"/>
  <c r="I5" i="3"/>
  <c r="K5" i="3"/>
  <c r="J5" i="3" s="1"/>
  <c r="L5" i="3"/>
  <c r="M5" i="3"/>
  <c r="P5" i="3" s="1"/>
  <c r="N5" i="3"/>
  <c r="O5" i="3" s="1"/>
  <c r="Q5" i="3"/>
  <c r="R5" i="3"/>
  <c r="B6" i="3"/>
  <c r="C6" i="3"/>
  <c r="S6" i="3" s="1"/>
  <c r="D6" i="3"/>
  <c r="I6" i="3"/>
  <c r="K6" i="3"/>
  <c r="J6" i="3" s="1"/>
  <c r="L6" i="3"/>
  <c r="M6" i="3"/>
  <c r="P6" i="3" s="1"/>
  <c r="N6" i="3"/>
  <c r="O6" i="3" s="1"/>
  <c r="Q6" i="3"/>
  <c r="R6" i="3"/>
  <c r="B7" i="3"/>
  <c r="C7" i="3"/>
  <c r="S7" i="3" s="1"/>
  <c r="D7" i="3"/>
  <c r="I7" i="3"/>
  <c r="K7" i="3"/>
  <c r="J7" i="3" s="1"/>
  <c r="L7" i="3"/>
  <c r="M7" i="3"/>
  <c r="P7" i="3" s="1"/>
  <c r="N7" i="3"/>
  <c r="O7" i="3" s="1"/>
  <c r="Q7" i="3"/>
  <c r="R7" i="3"/>
  <c r="B8" i="3"/>
  <c r="C8" i="3"/>
  <c r="S8" i="3" s="1"/>
  <c r="D8" i="3"/>
  <c r="I8" i="3"/>
  <c r="K8" i="3"/>
  <c r="J8" i="3" s="1"/>
  <c r="L8" i="3"/>
  <c r="M8" i="3"/>
  <c r="P8" i="3" s="1"/>
  <c r="N8" i="3"/>
  <c r="O8" i="3" s="1"/>
  <c r="Q8" i="3"/>
  <c r="R8" i="3"/>
  <c r="B9" i="3"/>
  <c r="C9" i="3"/>
  <c r="S9" i="3" s="1"/>
  <c r="D9" i="3"/>
  <c r="I9" i="3"/>
  <c r="K9" i="3"/>
  <c r="J9" i="3" s="1"/>
  <c r="L9" i="3"/>
  <c r="M9" i="3"/>
  <c r="P9" i="3" s="1"/>
  <c r="N9" i="3"/>
  <c r="O9" i="3" s="1"/>
  <c r="Q9" i="3"/>
  <c r="R9" i="3"/>
  <c r="B10" i="3"/>
  <c r="C10" i="3"/>
  <c r="S10" i="3" s="1"/>
  <c r="D10" i="3"/>
  <c r="I10" i="3"/>
  <c r="K10" i="3"/>
  <c r="J10" i="3" s="1"/>
  <c r="L10" i="3"/>
  <c r="M10" i="3"/>
  <c r="P10" i="3" s="1"/>
  <c r="N10" i="3"/>
  <c r="O10" i="3" s="1"/>
  <c r="Q10" i="3"/>
  <c r="R10" i="3"/>
  <c r="B11" i="3"/>
  <c r="C11" i="3"/>
  <c r="S11" i="3" s="1"/>
  <c r="D11" i="3"/>
  <c r="I11" i="3"/>
  <c r="K11" i="3"/>
  <c r="J11" i="3" s="1"/>
  <c r="L11" i="3"/>
  <c r="M11" i="3"/>
  <c r="P11" i="3" s="1"/>
  <c r="N11" i="3"/>
  <c r="O11" i="3" s="1"/>
  <c r="Q11" i="3"/>
  <c r="R11" i="3"/>
  <c r="B12" i="3"/>
  <c r="C12" i="3"/>
  <c r="S12" i="3" s="1"/>
  <c r="D12" i="3"/>
  <c r="I12" i="3"/>
  <c r="K12" i="3"/>
  <c r="J12" i="3" s="1"/>
  <c r="L12" i="3"/>
  <c r="M12" i="3"/>
  <c r="P12" i="3" s="1"/>
  <c r="N12" i="3"/>
  <c r="O12" i="3" s="1"/>
  <c r="Q12" i="3"/>
  <c r="R12" i="3"/>
  <c r="B13" i="3"/>
  <c r="C13" i="3"/>
  <c r="S13" i="3" s="1"/>
  <c r="D13" i="3"/>
  <c r="I13" i="3"/>
  <c r="K13" i="3"/>
  <c r="J13" i="3" s="1"/>
  <c r="L13" i="3"/>
  <c r="M13" i="3"/>
  <c r="P13" i="3" s="1"/>
  <c r="N13" i="3"/>
  <c r="O13" i="3" s="1"/>
  <c r="Q13" i="3"/>
  <c r="R13" i="3"/>
  <c r="B14" i="3"/>
  <c r="C14" i="3"/>
  <c r="S14" i="3" s="1"/>
  <c r="D14" i="3"/>
  <c r="I14" i="3"/>
  <c r="K14" i="3"/>
  <c r="J14" i="3" s="1"/>
  <c r="L14" i="3"/>
  <c r="M14" i="3"/>
  <c r="P14" i="3" s="1"/>
  <c r="N14" i="3"/>
  <c r="O14" i="3" s="1"/>
  <c r="Q14" i="3"/>
  <c r="R14" i="3"/>
  <c r="B15" i="3"/>
  <c r="C15" i="3"/>
  <c r="S15" i="3" s="1"/>
  <c r="D15" i="3"/>
  <c r="I15" i="3"/>
  <c r="K15" i="3"/>
  <c r="J15" i="3" s="1"/>
  <c r="L15" i="3"/>
  <c r="M15" i="3"/>
  <c r="P15" i="3" s="1"/>
  <c r="N15" i="3"/>
  <c r="O15" i="3" s="1"/>
  <c r="Q15" i="3"/>
  <c r="R15" i="3"/>
  <c r="B16" i="3"/>
  <c r="C16" i="3"/>
  <c r="S16" i="3" s="1"/>
  <c r="D16" i="3"/>
  <c r="I16" i="3"/>
  <c r="K16" i="3"/>
  <c r="J16" i="3" s="1"/>
  <c r="L16" i="3"/>
  <c r="M16" i="3"/>
  <c r="P16" i="3" s="1"/>
  <c r="N16" i="3"/>
  <c r="O16" i="3" s="1"/>
  <c r="Q16" i="3"/>
  <c r="R16" i="3"/>
  <c r="B17" i="3"/>
  <c r="C17" i="3"/>
  <c r="S17" i="3" s="1"/>
  <c r="D17" i="3"/>
  <c r="I17" i="3"/>
  <c r="K17" i="3"/>
  <c r="J17" i="3" s="1"/>
  <c r="L17" i="3"/>
  <c r="M17" i="3"/>
  <c r="P17" i="3" s="1"/>
  <c r="N17" i="3"/>
  <c r="O17" i="3" s="1"/>
  <c r="Q17" i="3"/>
  <c r="R17" i="3"/>
  <c r="B18" i="3"/>
  <c r="C18" i="3"/>
  <c r="S18" i="3" s="1"/>
  <c r="D18" i="3"/>
  <c r="I18" i="3"/>
  <c r="K18" i="3"/>
  <c r="J18" i="3" s="1"/>
  <c r="L18" i="3"/>
  <c r="M18" i="3"/>
  <c r="P18" i="3" s="1"/>
  <c r="N18" i="3"/>
  <c r="O18" i="3" s="1"/>
  <c r="Q18" i="3"/>
  <c r="R18" i="3"/>
  <c r="B19" i="3"/>
  <c r="C19" i="3"/>
  <c r="S19" i="3" s="1"/>
  <c r="D19" i="3"/>
  <c r="I19" i="3"/>
  <c r="K19" i="3"/>
  <c r="J19" i="3" s="1"/>
  <c r="L19" i="3"/>
  <c r="M19" i="3"/>
  <c r="P19" i="3" s="1"/>
  <c r="N19" i="3"/>
  <c r="O19" i="3" s="1"/>
  <c r="Q19" i="3"/>
  <c r="R19" i="3"/>
  <c r="B20" i="3"/>
  <c r="C20" i="3"/>
  <c r="S20" i="3" s="1"/>
  <c r="D20" i="3"/>
  <c r="I20" i="3"/>
  <c r="K20" i="3"/>
  <c r="J20" i="3" s="1"/>
  <c r="L20" i="3"/>
  <c r="M20" i="3"/>
  <c r="P20" i="3" s="1"/>
  <c r="N20" i="3"/>
  <c r="O20" i="3" s="1"/>
  <c r="Q20" i="3"/>
  <c r="R20" i="3"/>
  <c r="B21" i="3"/>
  <c r="C21" i="3"/>
  <c r="S21" i="3" s="1"/>
  <c r="D21" i="3"/>
  <c r="I21" i="3"/>
  <c r="K21" i="3"/>
  <c r="J21" i="3" s="1"/>
  <c r="L21" i="3"/>
  <c r="M21" i="3"/>
  <c r="P21" i="3" s="1"/>
  <c r="N21" i="3"/>
  <c r="O21" i="3" s="1"/>
  <c r="Q21" i="3"/>
  <c r="R21" i="3"/>
  <c r="B22" i="3"/>
  <c r="C22" i="3"/>
  <c r="S22" i="3" s="1"/>
  <c r="D22" i="3"/>
  <c r="I22" i="3"/>
  <c r="K22" i="3"/>
  <c r="J22" i="3" s="1"/>
  <c r="L22" i="3"/>
  <c r="M22" i="3"/>
  <c r="P22" i="3" s="1"/>
  <c r="N22" i="3"/>
  <c r="O22" i="3" s="1"/>
  <c r="Q22" i="3"/>
  <c r="R22" i="3"/>
  <c r="B23" i="3"/>
  <c r="C23" i="3"/>
  <c r="S23" i="3" s="1"/>
  <c r="D23" i="3"/>
  <c r="I23" i="3"/>
  <c r="K23" i="3"/>
  <c r="J23" i="3" s="1"/>
  <c r="L23" i="3"/>
  <c r="M23" i="3"/>
  <c r="P23" i="3" s="1"/>
  <c r="N23" i="3"/>
  <c r="O23" i="3" s="1"/>
  <c r="Q23" i="3"/>
  <c r="R23" i="3"/>
  <c r="B24" i="3"/>
  <c r="C24" i="3"/>
  <c r="S24" i="3" s="1"/>
  <c r="D24" i="3"/>
  <c r="I24" i="3"/>
  <c r="K24" i="3"/>
  <c r="J24" i="3" s="1"/>
  <c r="L24" i="3"/>
  <c r="M24" i="3"/>
  <c r="P24" i="3" s="1"/>
  <c r="N24" i="3"/>
  <c r="O24" i="3" s="1"/>
  <c r="Q24" i="3"/>
  <c r="R24" i="3"/>
  <c r="B25" i="3"/>
  <c r="C25" i="3"/>
  <c r="S25" i="3" s="1"/>
  <c r="D25" i="3"/>
  <c r="I25" i="3"/>
  <c r="K25" i="3"/>
  <c r="J25" i="3" s="1"/>
  <c r="L25" i="3"/>
  <c r="M25" i="3"/>
  <c r="P25" i="3" s="1"/>
  <c r="N25" i="3"/>
  <c r="O25" i="3" s="1"/>
  <c r="Q25" i="3"/>
  <c r="R25" i="3"/>
  <c r="B26" i="3"/>
  <c r="C26" i="3"/>
  <c r="S26" i="3" s="1"/>
  <c r="D26" i="3"/>
  <c r="I26" i="3"/>
  <c r="K26" i="3"/>
  <c r="J26" i="3" s="1"/>
  <c r="L26" i="3"/>
  <c r="M26" i="3"/>
  <c r="P26" i="3" s="1"/>
  <c r="N26" i="3"/>
  <c r="O26" i="3" s="1"/>
  <c r="Q26" i="3"/>
  <c r="R26" i="3"/>
  <c r="B27" i="3"/>
  <c r="C27" i="3"/>
  <c r="S27" i="3" s="1"/>
  <c r="D27" i="3"/>
  <c r="I27" i="3"/>
  <c r="K27" i="3"/>
  <c r="J27" i="3" s="1"/>
  <c r="L27" i="3"/>
  <c r="M27" i="3"/>
  <c r="P27" i="3" s="1"/>
  <c r="N27" i="3"/>
  <c r="O27" i="3" s="1"/>
  <c r="Q27" i="3"/>
  <c r="R27" i="3"/>
  <c r="B28" i="3"/>
  <c r="C28" i="3"/>
  <c r="S28" i="3" s="1"/>
  <c r="D28" i="3"/>
  <c r="I28" i="3"/>
  <c r="K28" i="3"/>
  <c r="J28" i="3" s="1"/>
  <c r="L28" i="3"/>
  <c r="M28" i="3"/>
  <c r="P28" i="3" s="1"/>
  <c r="N28" i="3"/>
  <c r="O28" i="3" s="1"/>
  <c r="Q28" i="3"/>
  <c r="R28" i="3"/>
  <c r="B29" i="3"/>
  <c r="C29" i="3"/>
  <c r="S29" i="3" s="1"/>
  <c r="D29" i="3"/>
  <c r="I29" i="3"/>
  <c r="K29" i="3"/>
  <c r="J29" i="3" s="1"/>
  <c r="L29" i="3"/>
  <c r="M29" i="3"/>
  <c r="P29" i="3" s="1"/>
  <c r="N29" i="3"/>
  <c r="O29" i="3" s="1"/>
  <c r="Q29" i="3"/>
  <c r="R29" i="3"/>
  <c r="B30" i="3"/>
  <c r="C30" i="3"/>
  <c r="S30" i="3" s="1"/>
  <c r="D30" i="3"/>
  <c r="I30" i="3"/>
  <c r="K30" i="3"/>
  <c r="J30" i="3" s="1"/>
  <c r="L30" i="3"/>
  <c r="M30" i="3"/>
  <c r="P30" i="3" s="1"/>
  <c r="N30" i="3"/>
  <c r="O30" i="3" s="1"/>
  <c r="Q30" i="3"/>
  <c r="R30" i="3"/>
  <c r="B31" i="3"/>
  <c r="C31" i="3"/>
  <c r="S31" i="3" s="1"/>
  <c r="D31" i="3"/>
  <c r="I31" i="3"/>
  <c r="K31" i="3"/>
  <c r="J31" i="3" s="1"/>
  <c r="L31" i="3"/>
  <c r="M31" i="3"/>
  <c r="P31" i="3" s="1"/>
  <c r="N31" i="3"/>
  <c r="O31" i="3" s="1"/>
  <c r="Q31" i="3"/>
  <c r="R31" i="3"/>
  <c r="B32" i="3"/>
  <c r="C32" i="3"/>
  <c r="S32" i="3" s="1"/>
  <c r="D32" i="3"/>
  <c r="I32" i="3"/>
  <c r="K32" i="3"/>
  <c r="J32" i="3" s="1"/>
  <c r="L32" i="3"/>
  <c r="M32" i="3"/>
  <c r="P32" i="3" s="1"/>
  <c r="N32" i="3"/>
  <c r="O32" i="3" s="1"/>
  <c r="Q32" i="3"/>
  <c r="R32" i="3"/>
  <c r="B33" i="3"/>
  <c r="C33" i="3"/>
  <c r="S33" i="3" s="1"/>
  <c r="D33" i="3"/>
  <c r="I33" i="3"/>
  <c r="K33" i="3"/>
  <c r="J33" i="3" s="1"/>
  <c r="L33" i="3"/>
  <c r="M33" i="3"/>
  <c r="P33" i="3" s="1"/>
  <c r="N33" i="3"/>
  <c r="O33" i="3" s="1"/>
  <c r="Q33" i="3"/>
  <c r="R33" i="3"/>
  <c r="B34" i="3"/>
  <c r="C34" i="3"/>
  <c r="S34" i="3" s="1"/>
  <c r="D34" i="3"/>
  <c r="I34" i="3"/>
  <c r="K34" i="3"/>
  <c r="J34" i="3" s="1"/>
  <c r="L34" i="3"/>
  <c r="M34" i="3"/>
  <c r="P34" i="3" s="1"/>
  <c r="N34" i="3"/>
  <c r="O34" i="3" s="1"/>
  <c r="Q34" i="3"/>
  <c r="R34" i="3"/>
  <c r="B35" i="3"/>
  <c r="C35" i="3"/>
  <c r="S35" i="3" s="1"/>
  <c r="D35" i="3"/>
  <c r="I35" i="3"/>
  <c r="K35" i="3"/>
  <c r="J35" i="3" s="1"/>
  <c r="L35" i="3"/>
  <c r="M35" i="3"/>
  <c r="P35" i="3" s="1"/>
  <c r="N35" i="3"/>
  <c r="O35" i="3" s="1"/>
  <c r="Q35" i="3"/>
  <c r="R35" i="3"/>
  <c r="B36" i="3"/>
  <c r="C36" i="3"/>
  <c r="S36" i="3" s="1"/>
  <c r="D36" i="3"/>
  <c r="I36" i="3"/>
  <c r="K36" i="3"/>
  <c r="J36" i="3" s="1"/>
  <c r="L36" i="3"/>
  <c r="M36" i="3"/>
  <c r="P36" i="3" s="1"/>
  <c r="N36" i="3"/>
  <c r="O36" i="3" s="1"/>
  <c r="Q36" i="3"/>
  <c r="R36" i="3"/>
  <c r="B37" i="3"/>
  <c r="C37" i="3"/>
  <c r="S37" i="3" s="1"/>
  <c r="D37" i="3"/>
  <c r="I37" i="3"/>
  <c r="K37" i="3"/>
  <c r="J37" i="3" s="1"/>
  <c r="L37" i="3"/>
  <c r="M37" i="3"/>
  <c r="P37" i="3" s="1"/>
  <c r="N37" i="3"/>
  <c r="O37" i="3" s="1"/>
  <c r="Q37" i="3"/>
  <c r="R37" i="3"/>
  <c r="B38" i="3"/>
  <c r="C38" i="3"/>
  <c r="S38" i="3" s="1"/>
  <c r="D38" i="3"/>
  <c r="I38" i="3"/>
  <c r="K38" i="3"/>
  <c r="J38" i="3" s="1"/>
  <c r="L38" i="3"/>
  <c r="M38" i="3"/>
  <c r="P38" i="3" s="1"/>
  <c r="N38" i="3"/>
  <c r="O38" i="3" s="1"/>
  <c r="Q38" i="3"/>
  <c r="R38" i="3"/>
  <c r="B39" i="3"/>
  <c r="C39" i="3"/>
  <c r="S39" i="3" s="1"/>
  <c r="D39" i="3"/>
  <c r="I39" i="3"/>
  <c r="K39" i="3"/>
  <c r="J39" i="3" s="1"/>
  <c r="L39" i="3"/>
  <c r="M39" i="3"/>
  <c r="P39" i="3" s="1"/>
  <c r="N39" i="3"/>
  <c r="O39" i="3" s="1"/>
  <c r="Q39" i="3"/>
  <c r="R39" i="3"/>
  <c r="B40" i="3"/>
  <c r="C40" i="3"/>
  <c r="S40" i="3" s="1"/>
  <c r="D40" i="3"/>
  <c r="I40" i="3"/>
  <c r="K40" i="3"/>
  <c r="J40" i="3" s="1"/>
  <c r="L40" i="3"/>
  <c r="M40" i="3"/>
  <c r="P40" i="3" s="1"/>
  <c r="N40" i="3"/>
  <c r="O40" i="3" s="1"/>
  <c r="Q40" i="3"/>
  <c r="R40" i="3"/>
  <c r="B41" i="3"/>
  <c r="C41" i="3"/>
  <c r="S41" i="3" s="1"/>
  <c r="D41" i="3"/>
  <c r="I41" i="3"/>
  <c r="K41" i="3"/>
  <c r="J41" i="3" s="1"/>
  <c r="L41" i="3"/>
  <c r="M41" i="3"/>
  <c r="P41" i="3" s="1"/>
  <c r="N41" i="3"/>
  <c r="O41" i="3" s="1"/>
  <c r="Q41" i="3"/>
  <c r="R41" i="3"/>
  <c r="B42" i="3"/>
  <c r="C42" i="3"/>
  <c r="S42" i="3" s="1"/>
  <c r="D42" i="3"/>
  <c r="I42" i="3"/>
  <c r="K42" i="3"/>
  <c r="J42" i="3" s="1"/>
  <c r="L42" i="3"/>
  <c r="M42" i="3"/>
  <c r="P42" i="3" s="1"/>
  <c r="N42" i="3"/>
  <c r="O42" i="3" s="1"/>
  <c r="Q42" i="3"/>
  <c r="R42" i="3"/>
  <c r="B43" i="3"/>
  <c r="C43" i="3"/>
  <c r="S43" i="3" s="1"/>
  <c r="D43" i="3"/>
  <c r="I43" i="3"/>
  <c r="K43" i="3"/>
  <c r="J43" i="3" s="1"/>
  <c r="L43" i="3"/>
  <c r="M43" i="3"/>
  <c r="P43" i="3" s="1"/>
  <c r="N43" i="3"/>
  <c r="O43" i="3" s="1"/>
  <c r="Q43" i="3"/>
  <c r="R43" i="3"/>
  <c r="B44" i="3"/>
  <c r="C44" i="3"/>
  <c r="S44" i="3" s="1"/>
  <c r="D44" i="3"/>
  <c r="I44" i="3"/>
  <c r="K44" i="3"/>
  <c r="J44" i="3" s="1"/>
  <c r="L44" i="3"/>
  <c r="M44" i="3"/>
  <c r="P44" i="3" s="1"/>
  <c r="N44" i="3"/>
  <c r="O44" i="3" s="1"/>
  <c r="Q44" i="3"/>
  <c r="R44" i="3"/>
  <c r="B45" i="3"/>
  <c r="C45" i="3"/>
  <c r="S45" i="3" s="1"/>
  <c r="D45" i="3"/>
  <c r="I45" i="3"/>
  <c r="K45" i="3"/>
  <c r="J45" i="3" s="1"/>
  <c r="L45" i="3"/>
  <c r="M45" i="3"/>
  <c r="P45" i="3" s="1"/>
  <c r="N45" i="3"/>
  <c r="O45" i="3" s="1"/>
  <c r="Q45" i="3"/>
  <c r="R45" i="3"/>
  <c r="B46" i="3"/>
  <c r="C46" i="3"/>
  <c r="S46" i="3" s="1"/>
  <c r="D46" i="3"/>
  <c r="I46" i="3"/>
  <c r="K46" i="3"/>
  <c r="J46" i="3" s="1"/>
  <c r="L46" i="3"/>
  <c r="M46" i="3"/>
  <c r="P46" i="3" s="1"/>
  <c r="N46" i="3"/>
  <c r="O46" i="3" s="1"/>
  <c r="Q46" i="3"/>
  <c r="R46" i="3"/>
  <c r="B47" i="3"/>
  <c r="C47" i="3"/>
  <c r="S47" i="3" s="1"/>
  <c r="D47" i="3"/>
  <c r="I47" i="3"/>
  <c r="K47" i="3"/>
  <c r="J47" i="3" s="1"/>
  <c r="L47" i="3"/>
  <c r="M47" i="3"/>
  <c r="P47" i="3" s="1"/>
  <c r="N47" i="3"/>
  <c r="O47" i="3" s="1"/>
  <c r="Q47" i="3"/>
  <c r="R47" i="3"/>
  <c r="B48" i="3"/>
  <c r="C48" i="3"/>
  <c r="S48" i="3" s="1"/>
  <c r="D48" i="3"/>
  <c r="I48" i="3"/>
  <c r="K48" i="3"/>
  <c r="J48" i="3" s="1"/>
  <c r="L48" i="3"/>
  <c r="M48" i="3"/>
  <c r="P48" i="3" s="1"/>
  <c r="N48" i="3"/>
  <c r="O48" i="3" s="1"/>
  <c r="Q48" i="3"/>
  <c r="R48" i="3"/>
  <c r="B49" i="3"/>
  <c r="C49" i="3"/>
  <c r="S49" i="3" s="1"/>
  <c r="D49" i="3"/>
  <c r="I49" i="3"/>
  <c r="K49" i="3"/>
  <c r="J49" i="3" s="1"/>
  <c r="L49" i="3"/>
  <c r="M49" i="3"/>
  <c r="P49" i="3" s="1"/>
  <c r="N49" i="3"/>
  <c r="O49" i="3" s="1"/>
  <c r="Q49" i="3"/>
  <c r="R49" i="3"/>
  <c r="B50" i="3"/>
  <c r="C50" i="3"/>
  <c r="S50" i="3" s="1"/>
  <c r="D50" i="3"/>
  <c r="I50" i="3"/>
  <c r="K50" i="3"/>
  <c r="J50" i="3" s="1"/>
  <c r="L50" i="3"/>
  <c r="M50" i="3"/>
  <c r="P50" i="3" s="1"/>
  <c r="N50" i="3"/>
  <c r="O50" i="3" s="1"/>
  <c r="Q50" i="3"/>
  <c r="R50" i="3"/>
  <c r="B51" i="3"/>
  <c r="C51" i="3"/>
  <c r="S51" i="3" s="1"/>
  <c r="D51" i="3"/>
  <c r="I51" i="3"/>
  <c r="K51" i="3"/>
  <c r="J51" i="3" s="1"/>
  <c r="L51" i="3"/>
  <c r="M51" i="3"/>
  <c r="P51" i="3" s="1"/>
  <c r="N51" i="3"/>
  <c r="O51" i="3" s="1"/>
  <c r="Q51" i="3"/>
  <c r="R51" i="3"/>
  <c r="B52" i="3"/>
  <c r="C52" i="3"/>
  <c r="S52" i="3" s="1"/>
  <c r="D52" i="3"/>
  <c r="I52" i="3"/>
  <c r="K52" i="3"/>
  <c r="J52" i="3" s="1"/>
  <c r="L52" i="3"/>
  <c r="M52" i="3"/>
  <c r="P52" i="3" s="1"/>
  <c r="N52" i="3"/>
  <c r="O52" i="3" s="1"/>
  <c r="Q52" i="3"/>
  <c r="R52" i="3"/>
  <c r="B53" i="3"/>
  <c r="C53" i="3"/>
  <c r="S53" i="3" s="1"/>
  <c r="D53" i="3"/>
  <c r="I53" i="3"/>
  <c r="K53" i="3"/>
  <c r="J53" i="3" s="1"/>
  <c r="L53" i="3"/>
  <c r="M53" i="3"/>
  <c r="P53" i="3" s="1"/>
  <c r="N53" i="3"/>
  <c r="O53" i="3" s="1"/>
  <c r="Q53" i="3"/>
  <c r="R53" i="3"/>
  <c r="B54" i="3"/>
  <c r="C54" i="3"/>
  <c r="S54" i="3" s="1"/>
  <c r="D54" i="3"/>
  <c r="I54" i="3"/>
  <c r="K54" i="3"/>
  <c r="J54" i="3" s="1"/>
  <c r="L54" i="3"/>
  <c r="M54" i="3"/>
  <c r="P54" i="3" s="1"/>
  <c r="N54" i="3"/>
  <c r="O54" i="3" s="1"/>
  <c r="Q54" i="3"/>
  <c r="R54" i="3"/>
  <c r="B55" i="3"/>
  <c r="C55" i="3"/>
  <c r="S55" i="3" s="1"/>
  <c r="D55" i="3"/>
  <c r="I55" i="3"/>
  <c r="K55" i="3"/>
  <c r="J55" i="3" s="1"/>
  <c r="L55" i="3"/>
  <c r="M55" i="3"/>
  <c r="P55" i="3" s="1"/>
  <c r="N55" i="3"/>
  <c r="O55" i="3" s="1"/>
  <c r="Q55" i="3"/>
  <c r="R55" i="3"/>
  <c r="B56" i="3"/>
  <c r="C56" i="3"/>
  <c r="S56" i="3" s="1"/>
  <c r="D56" i="3"/>
  <c r="I56" i="3"/>
  <c r="K56" i="3"/>
  <c r="J56" i="3" s="1"/>
  <c r="L56" i="3"/>
  <c r="M56" i="3"/>
  <c r="P56" i="3" s="1"/>
  <c r="N56" i="3"/>
  <c r="O56" i="3" s="1"/>
  <c r="Q56" i="3"/>
  <c r="R56" i="3"/>
  <c r="B57" i="3"/>
  <c r="C57" i="3"/>
  <c r="S57" i="3" s="1"/>
  <c r="D57" i="3"/>
  <c r="I57" i="3"/>
  <c r="K57" i="3"/>
  <c r="J57" i="3" s="1"/>
  <c r="L57" i="3"/>
  <c r="M57" i="3"/>
  <c r="P57" i="3" s="1"/>
  <c r="N57" i="3"/>
  <c r="O57" i="3" s="1"/>
  <c r="Q57" i="3"/>
  <c r="R57" i="3"/>
  <c r="B58" i="3"/>
  <c r="C58" i="3"/>
  <c r="S58" i="3" s="1"/>
  <c r="D58" i="3"/>
  <c r="I58" i="3"/>
  <c r="K58" i="3"/>
  <c r="J58" i="3" s="1"/>
  <c r="L58" i="3"/>
  <c r="M58" i="3"/>
  <c r="P58" i="3" s="1"/>
  <c r="N58" i="3"/>
  <c r="O58" i="3" s="1"/>
  <c r="Q58" i="3"/>
  <c r="R58" i="3"/>
  <c r="B59" i="3"/>
  <c r="C59" i="3"/>
  <c r="S59" i="3" s="1"/>
  <c r="D59" i="3"/>
  <c r="I59" i="3"/>
  <c r="K59" i="3"/>
  <c r="J59" i="3" s="1"/>
  <c r="L59" i="3"/>
  <c r="M59" i="3"/>
  <c r="P59" i="3" s="1"/>
  <c r="N59" i="3"/>
  <c r="O59" i="3" s="1"/>
  <c r="Q59" i="3"/>
  <c r="R59" i="3"/>
  <c r="B60" i="3"/>
  <c r="C60" i="3"/>
  <c r="S60" i="3" s="1"/>
  <c r="D60" i="3"/>
  <c r="I60" i="3"/>
  <c r="K60" i="3"/>
  <c r="J60" i="3" s="1"/>
  <c r="L60" i="3"/>
  <c r="M60" i="3"/>
  <c r="P60" i="3" s="1"/>
  <c r="N60" i="3"/>
  <c r="O60" i="3" s="1"/>
  <c r="Q60" i="3"/>
  <c r="R60" i="3"/>
  <c r="B61" i="3"/>
  <c r="C61" i="3"/>
  <c r="S61" i="3" s="1"/>
  <c r="D61" i="3"/>
  <c r="I61" i="3"/>
  <c r="K61" i="3"/>
  <c r="J61" i="3" s="1"/>
  <c r="L61" i="3"/>
  <c r="M61" i="3"/>
  <c r="P61" i="3" s="1"/>
  <c r="N61" i="3"/>
  <c r="O61" i="3" s="1"/>
  <c r="Q61" i="3"/>
  <c r="R61" i="3"/>
  <c r="B62" i="3"/>
  <c r="C62" i="3"/>
  <c r="S62" i="3" s="1"/>
  <c r="D62" i="3"/>
  <c r="I62" i="3"/>
  <c r="K62" i="3"/>
  <c r="J62" i="3" s="1"/>
  <c r="L62" i="3"/>
  <c r="M62" i="3"/>
  <c r="P62" i="3" s="1"/>
  <c r="N62" i="3"/>
  <c r="O62" i="3" s="1"/>
  <c r="Q62" i="3"/>
  <c r="R62" i="3"/>
  <c r="B63" i="3"/>
  <c r="C63" i="3"/>
  <c r="S63" i="3" s="1"/>
  <c r="D63" i="3"/>
  <c r="I63" i="3"/>
  <c r="K63" i="3"/>
  <c r="J63" i="3" s="1"/>
  <c r="L63" i="3"/>
  <c r="M63" i="3"/>
  <c r="P63" i="3" s="1"/>
  <c r="N63" i="3"/>
  <c r="O63" i="3" s="1"/>
  <c r="Q63" i="3"/>
  <c r="R63" i="3"/>
  <c r="B64" i="3"/>
  <c r="C64" i="3"/>
  <c r="S64" i="3" s="1"/>
  <c r="D64" i="3"/>
  <c r="I64" i="3"/>
  <c r="K64" i="3"/>
  <c r="J64" i="3" s="1"/>
  <c r="L64" i="3"/>
  <c r="M64" i="3"/>
  <c r="P64" i="3" s="1"/>
  <c r="N64" i="3"/>
  <c r="O64" i="3" s="1"/>
  <c r="Q64" i="3"/>
  <c r="R64" i="3"/>
  <c r="B65" i="3"/>
  <c r="C65" i="3"/>
  <c r="S65" i="3" s="1"/>
  <c r="D65" i="3"/>
  <c r="I65" i="3"/>
  <c r="K65" i="3"/>
  <c r="J65" i="3" s="1"/>
  <c r="L65" i="3"/>
  <c r="M65" i="3"/>
  <c r="P65" i="3" s="1"/>
  <c r="N65" i="3"/>
  <c r="O65" i="3" s="1"/>
  <c r="Q65" i="3"/>
  <c r="R65" i="3"/>
  <c r="B66" i="3"/>
  <c r="C66" i="3"/>
  <c r="S66" i="3" s="1"/>
  <c r="D66" i="3"/>
  <c r="I66" i="3"/>
  <c r="K66" i="3"/>
  <c r="J66" i="3" s="1"/>
  <c r="L66" i="3"/>
  <c r="M66" i="3"/>
  <c r="P66" i="3" s="1"/>
  <c r="N66" i="3"/>
  <c r="O66" i="3" s="1"/>
  <c r="Q66" i="3"/>
  <c r="R66" i="3"/>
  <c r="B67" i="3"/>
  <c r="C67" i="3"/>
  <c r="S67" i="3" s="1"/>
  <c r="D67" i="3"/>
  <c r="I67" i="3"/>
  <c r="K67" i="3"/>
  <c r="J67" i="3" s="1"/>
  <c r="L67" i="3"/>
  <c r="M67" i="3"/>
  <c r="P67" i="3" s="1"/>
  <c r="N67" i="3"/>
  <c r="O67" i="3" s="1"/>
  <c r="Q67" i="3"/>
  <c r="R67" i="3"/>
  <c r="B68" i="3"/>
  <c r="C68" i="3"/>
  <c r="S68" i="3" s="1"/>
  <c r="D68" i="3"/>
  <c r="I68" i="3"/>
  <c r="K68" i="3"/>
  <c r="J68" i="3" s="1"/>
  <c r="L68" i="3"/>
  <c r="M68" i="3"/>
  <c r="P68" i="3" s="1"/>
  <c r="N68" i="3"/>
  <c r="O68" i="3" s="1"/>
  <c r="Q68" i="3"/>
  <c r="R68" i="3"/>
  <c r="B69" i="3"/>
  <c r="C69" i="3"/>
  <c r="S69" i="3" s="1"/>
  <c r="D69" i="3"/>
  <c r="I69" i="3"/>
  <c r="K69" i="3"/>
  <c r="J69" i="3" s="1"/>
  <c r="L69" i="3"/>
  <c r="M69" i="3"/>
  <c r="P69" i="3" s="1"/>
  <c r="N69" i="3"/>
  <c r="O69" i="3" s="1"/>
  <c r="Q69" i="3"/>
  <c r="R69" i="3"/>
  <c r="B70" i="3"/>
  <c r="C70" i="3"/>
  <c r="S70" i="3" s="1"/>
  <c r="D70" i="3"/>
  <c r="I70" i="3"/>
  <c r="K70" i="3"/>
  <c r="J70" i="3" s="1"/>
  <c r="L70" i="3"/>
  <c r="M70" i="3"/>
  <c r="P70" i="3" s="1"/>
  <c r="N70" i="3"/>
  <c r="O70" i="3" s="1"/>
  <c r="Q70" i="3"/>
  <c r="R70" i="3"/>
  <c r="B71" i="3"/>
  <c r="C71" i="3"/>
  <c r="S71" i="3" s="1"/>
  <c r="D71" i="3"/>
  <c r="I71" i="3"/>
  <c r="K71" i="3"/>
  <c r="J71" i="3" s="1"/>
  <c r="L71" i="3"/>
  <c r="M71" i="3"/>
  <c r="P71" i="3" s="1"/>
  <c r="N71" i="3"/>
  <c r="O71" i="3" s="1"/>
  <c r="Q71" i="3"/>
  <c r="R71" i="3"/>
  <c r="B72" i="3"/>
  <c r="C72" i="3"/>
  <c r="S72" i="3" s="1"/>
  <c r="D72" i="3"/>
  <c r="I72" i="3"/>
  <c r="K72" i="3"/>
  <c r="J72" i="3" s="1"/>
  <c r="L72" i="3"/>
  <c r="M72" i="3"/>
  <c r="P72" i="3" s="1"/>
  <c r="N72" i="3"/>
  <c r="O72" i="3" s="1"/>
  <c r="Q72" i="3"/>
  <c r="R72" i="3"/>
  <c r="B73" i="3"/>
  <c r="C73" i="3"/>
  <c r="S73" i="3" s="1"/>
  <c r="D73" i="3"/>
  <c r="I73" i="3"/>
  <c r="K73" i="3"/>
  <c r="J73" i="3" s="1"/>
  <c r="L73" i="3"/>
  <c r="M73" i="3"/>
  <c r="P73" i="3" s="1"/>
  <c r="N73" i="3"/>
  <c r="O73" i="3" s="1"/>
  <c r="Q73" i="3"/>
  <c r="R73" i="3"/>
  <c r="B74" i="3"/>
  <c r="C74" i="3"/>
  <c r="S74" i="3" s="1"/>
  <c r="D74" i="3"/>
  <c r="I74" i="3"/>
  <c r="K74" i="3"/>
  <c r="J74" i="3" s="1"/>
  <c r="L74" i="3"/>
  <c r="M74" i="3"/>
  <c r="P74" i="3" s="1"/>
  <c r="N74" i="3"/>
  <c r="O74" i="3" s="1"/>
  <c r="Q74" i="3"/>
  <c r="R74" i="3"/>
  <c r="B75" i="3"/>
  <c r="C75" i="3"/>
  <c r="S75" i="3" s="1"/>
  <c r="D75" i="3"/>
  <c r="I75" i="3"/>
  <c r="K75" i="3"/>
  <c r="J75" i="3" s="1"/>
  <c r="L75" i="3"/>
  <c r="M75" i="3"/>
  <c r="P75" i="3" s="1"/>
  <c r="N75" i="3"/>
  <c r="O75" i="3" s="1"/>
  <c r="Q75" i="3"/>
  <c r="R75" i="3"/>
  <c r="B76" i="3"/>
  <c r="C76" i="3"/>
  <c r="S76" i="3" s="1"/>
  <c r="D76" i="3"/>
  <c r="I76" i="3"/>
  <c r="K76" i="3"/>
  <c r="J76" i="3" s="1"/>
  <c r="L76" i="3"/>
  <c r="M76" i="3"/>
  <c r="P76" i="3" s="1"/>
  <c r="N76" i="3"/>
  <c r="O76" i="3" s="1"/>
  <c r="Q76" i="3"/>
  <c r="R76" i="3"/>
  <c r="B77" i="3"/>
  <c r="C77" i="3"/>
  <c r="S77" i="3" s="1"/>
  <c r="D77" i="3"/>
  <c r="I77" i="3"/>
  <c r="K77" i="3"/>
  <c r="J77" i="3" s="1"/>
  <c r="L77" i="3"/>
  <c r="M77" i="3"/>
  <c r="P77" i="3" s="1"/>
  <c r="N77" i="3"/>
  <c r="O77" i="3" s="1"/>
  <c r="Q77" i="3"/>
  <c r="R77" i="3"/>
  <c r="B78" i="3"/>
  <c r="C78" i="3"/>
  <c r="S78" i="3" s="1"/>
  <c r="D78" i="3"/>
  <c r="I78" i="3"/>
  <c r="K78" i="3"/>
  <c r="J78" i="3" s="1"/>
  <c r="L78" i="3"/>
  <c r="M78" i="3"/>
  <c r="P78" i="3" s="1"/>
  <c r="N78" i="3"/>
  <c r="O78" i="3" s="1"/>
  <c r="Q78" i="3"/>
  <c r="R78" i="3"/>
  <c r="B79" i="3"/>
  <c r="C79" i="3"/>
  <c r="S79" i="3" s="1"/>
  <c r="D79" i="3"/>
  <c r="I79" i="3"/>
  <c r="K79" i="3"/>
  <c r="J79" i="3" s="1"/>
  <c r="L79" i="3"/>
  <c r="M79" i="3"/>
  <c r="P79" i="3" s="1"/>
  <c r="N79" i="3"/>
  <c r="O79" i="3" s="1"/>
  <c r="Q79" i="3"/>
  <c r="R79" i="3"/>
  <c r="B80" i="3"/>
  <c r="C80" i="3"/>
  <c r="S80" i="3" s="1"/>
  <c r="D80" i="3"/>
  <c r="I80" i="3"/>
  <c r="K80" i="3"/>
  <c r="J80" i="3" s="1"/>
  <c r="L80" i="3"/>
  <c r="M80" i="3"/>
  <c r="P80" i="3" s="1"/>
  <c r="N80" i="3"/>
  <c r="O80" i="3" s="1"/>
  <c r="Q80" i="3"/>
  <c r="R80" i="3"/>
  <c r="B81" i="3"/>
  <c r="C81" i="3"/>
  <c r="S81" i="3" s="1"/>
  <c r="D81" i="3"/>
  <c r="I81" i="3"/>
  <c r="K81" i="3"/>
  <c r="J81" i="3" s="1"/>
  <c r="L81" i="3"/>
  <c r="M81" i="3"/>
  <c r="P81" i="3" s="1"/>
  <c r="N81" i="3"/>
  <c r="O81" i="3" s="1"/>
  <c r="Q81" i="3"/>
  <c r="R81" i="3"/>
  <c r="B82" i="3"/>
  <c r="C82" i="3"/>
  <c r="S82" i="3" s="1"/>
  <c r="D82" i="3"/>
  <c r="I82" i="3"/>
  <c r="K82" i="3"/>
  <c r="J82" i="3" s="1"/>
  <c r="L82" i="3"/>
  <c r="M82" i="3"/>
  <c r="P82" i="3" s="1"/>
  <c r="N82" i="3"/>
  <c r="O82" i="3" s="1"/>
  <c r="Q82" i="3"/>
  <c r="R82" i="3"/>
  <c r="B83" i="3"/>
  <c r="C83" i="3"/>
  <c r="S83" i="3" s="1"/>
  <c r="D83" i="3"/>
  <c r="I83" i="3"/>
  <c r="K83" i="3"/>
  <c r="J83" i="3" s="1"/>
  <c r="L83" i="3"/>
  <c r="M83" i="3"/>
  <c r="P83" i="3" s="1"/>
  <c r="N83" i="3"/>
  <c r="O83" i="3" s="1"/>
  <c r="Q83" i="3"/>
  <c r="R83" i="3"/>
  <c r="B84" i="3"/>
  <c r="C84" i="3"/>
  <c r="S84" i="3" s="1"/>
  <c r="D84" i="3"/>
  <c r="I84" i="3"/>
  <c r="K84" i="3"/>
  <c r="J84" i="3" s="1"/>
  <c r="L84" i="3"/>
  <c r="M84" i="3"/>
  <c r="P84" i="3" s="1"/>
  <c r="N84" i="3"/>
  <c r="O84" i="3" s="1"/>
  <c r="Q84" i="3"/>
  <c r="R84" i="3"/>
  <c r="B85" i="3"/>
  <c r="C85" i="3"/>
  <c r="S85" i="3" s="1"/>
  <c r="D85" i="3"/>
  <c r="I85" i="3"/>
  <c r="K85" i="3"/>
  <c r="J85" i="3" s="1"/>
  <c r="L85" i="3"/>
  <c r="M85" i="3"/>
  <c r="P85" i="3" s="1"/>
  <c r="N85" i="3"/>
  <c r="O85" i="3" s="1"/>
  <c r="Q85" i="3"/>
  <c r="R85" i="3"/>
  <c r="B86" i="3"/>
  <c r="C86" i="3"/>
  <c r="S86" i="3" s="1"/>
  <c r="D86" i="3"/>
  <c r="I86" i="3"/>
  <c r="K86" i="3"/>
  <c r="J86" i="3" s="1"/>
  <c r="L86" i="3"/>
  <c r="M86" i="3"/>
  <c r="P86" i="3" s="1"/>
  <c r="N86" i="3"/>
  <c r="O86" i="3" s="1"/>
  <c r="Q86" i="3"/>
  <c r="R86" i="3"/>
  <c r="B87" i="3"/>
  <c r="C87" i="3"/>
  <c r="S87" i="3" s="1"/>
  <c r="D87" i="3"/>
  <c r="I87" i="3"/>
  <c r="K87" i="3"/>
  <c r="J87" i="3" s="1"/>
  <c r="L87" i="3"/>
  <c r="M87" i="3"/>
  <c r="P87" i="3" s="1"/>
  <c r="N87" i="3"/>
  <c r="O87" i="3" s="1"/>
  <c r="Q87" i="3"/>
  <c r="R87" i="3"/>
  <c r="B88" i="3"/>
  <c r="C88" i="3"/>
  <c r="S88" i="3" s="1"/>
  <c r="D88" i="3"/>
  <c r="I88" i="3"/>
  <c r="K88" i="3"/>
  <c r="J88" i="3" s="1"/>
  <c r="L88" i="3"/>
  <c r="M88" i="3"/>
  <c r="P88" i="3" s="1"/>
  <c r="N88" i="3"/>
  <c r="O88" i="3" s="1"/>
  <c r="Q88" i="3"/>
  <c r="R88" i="3"/>
  <c r="B89" i="3"/>
  <c r="C89" i="3"/>
  <c r="S89" i="3" s="1"/>
  <c r="D89" i="3"/>
  <c r="I89" i="3"/>
  <c r="K89" i="3"/>
  <c r="J89" i="3" s="1"/>
  <c r="L89" i="3"/>
  <c r="M89" i="3"/>
  <c r="P89" i="3" s="1"/>
  <c r="N89" i="3"/>
  <c r="O89" i="3" s="1"/>
  <c r="Q89" i="3"/>
  <c r="R89" i="3"/>
  <c r="B90" i="3"/>
  <c r="C90" i="3"/>
  <c r="S90" i="3" s="1"/>
  <c r="D90" i="3"/>
  <c r="I90" i="3"/>
  <c r="K90" i="3"/>
  <c r="J90" i="3" s="1"/>
  <c r="L90" i="3"/>
  <c r="M90" i="3"/>
  <c r="P90" i="3" s="1"/>
  <c r="N90" i="3"/>
  <c r="O90" i="3" s="1"/>
  <c r="Q90" i="3"/>
  <c r="R90" i="3"/>
  <c r="B91" i="3"/>
  <c r="C91" i="3"/>
  <c r="S91" i="3" s="1"/>
  <c r="D91" i="3"/>
  <c r="I91" i="3"/>
  <c r="K91" i="3"/>
  <c r="J91" i="3" s="1"/>
  <c r="L91" i="3"/>
  <c r="M91" i="3"/>
  <c r="P91" i="3" s="1"/>
  <c r="N91" i="3"/>
  <c r="O91" i="3" s="1"/>
  <c r="Q91" i="3"/>
  <c r="R91" i="3"/>
  <c r="B92" i="3"/>
  <c r="C92" i="3"/>
  <c r="S92" i="3" s="1"/>
  <c r="D92" i="3"/>
  <c r="I92" i="3"/>
  <c r="K92" i="3"/>
  <c r="J92" i="3" s="1"/>
  <c r="L92" i="3"/>
  <c r="M92" i="3"/>
  <c r="P92" i="3" s="1"/>
  <c r="N92" i="3"/>
  <c r="O92" i="3" s="1"/>
  <c r="Q92" i="3"/>
  <c r="R92" i="3"/>
  <c r="B93" i="3"/>
  <c r="C93" i="3"/>
  <c r="S93" i="3" s="1"/>
  <c r="D93" i="3"/>
  <c r="I93" i="3"/>
  <c r="K93" i="3"/>
  <c r="J93" i="3" s="1"/>
  <c r="L93" i="3"/>
  <c r="M93" i="3"/>
  <c r="P93" i="3" s="1"/>
  <c r="N93" i="3"/>
  <c r="O93" i="3" s="1"/>
  <c r="Q93" i="3"/>
  <c r="R93" i="3"/>
  <c r="B94" i="3"/>
  <c r="C94" i="3"/>
  <c r="S94" i="3" s="1"/>
  <c r="D94" i="3"/>
  <c r="I94" i="3"/>
  <c r="K94" i="3"/>
  <c r="J94" i="3" s="1"/>
  <c r="L94" i="3"/>
  <c r="M94" i="3"/>
  <c r="P94" i="3" s="1"/>
  <c r="N94" i="3"/>
  <c r="O94" i="3" s="1"/>
  <c r="Q94" i="3"/>
  <c r="R94" i="3"/>
  <c r="B95" i="3"/>
  <c r="C95" i="3"/>
  <c r="S95" i="3" s="1"/>
  <c r="D95" i="3"/>
  <c r="I95" i="3"/>
  <c r="K95" i="3"/>
  <c r="J95" i="3" s="1"/>
  <c r="L95" i="3"/>
  <c r="M95" i="3"/>
  <c r="P95" i="3" s="1"/>
  <c r="N95" i="3"/>
  <c r="O95" i="3" s="1"/>
  <c r="Q95" i="3"/>
  <c r="R95" i="3"/>
  <c r="B96" i="3"/>
  <c r="C96" i="3"/>
  <c r="S96" i="3" s="1"/>
  <c r="D96" i="3"/>
  <c r="I96" i="3"/>
  <c r="K96" i="3"/>
  <c r="J96" i="3" s="1"/>
  <c r="L96" i="3"/>
  <c r="M96" i="3"/>
  <c r="P96" i="3" s="1"/>
  <c r="N96" i="3"/>
  <c r="O96" i="3" s="1"/>
  <c r="Q96" i="3"/>
  <c r="R96" i="3"/>
  <c r="B97" i="3"/>
  <c r="C97" i="3"/>
  <c r="S97" i="3" s="1"/>
  <c r="D97" i="3"/>
  <c r="I97" i="3"/>
  <c r="K97" i="3"/>
  <c r="J97" i="3" s="1"/>
  <c r="L97" i="3"/>
  <c r="M97" i="3"/>
  <c r="P97" i="3" s="1"/>
  <c r="N97" i="3"/>
  <c r="O97" i="3" s="1"/>
  <c r="Q97" i="3"/>
  <c r="R97" i="3"/>
  <c r="B98" i="3"/>
  <c r="C98" i="3"/>
  <c r="S98" i="3" s="1"/>
  <c r="D98" i="3"/>
  <c r="I98" i="3"/>
  <c r="K98" i="3"/>
  <c r="J98" i="3" s="1"/>
  <c r="L98" i="3"/>
  <c r="M98" i="3"/>
  <c r="P98" i="3" s="1"/>
  <c r="N98" i="3"/>
  <c r="O98" i="3" s="1"/>
  <c r="Q98" i="3"/>
  <c r="R98" i="3"/>
  <c r="B99" i="3"/>
  <c r="C99" i="3"/>
  <c r="S99" i="3" s="1"/>
  <c r="D99" i="3"/>
  <c r="I99" i="3"/>
  <c r="K99" i="3"/>
  <c r="J99" i="3" s="1"/>
  <c r="L99" i="3"/>
  <c r="M99" i="3"/>
  <c r="P99" i="3" s="1"/>
  <c r="N99" i="3"/>
  <c r="O99" i="3" s="1"/>
  <c r="Q99" i="3"/>
  <c r="R99" i="3"/>
  <c r="B100" i="3"/>
  <c r="C100" i="3"/>
  <c r="S100" i="3" s="1"/>
  <c r="D100" i="3"/>
  <c r="I100" i="3"/>
  <c r="K100" i="3"/>
  <c r="J100" i="3" s="1"/>
  <c r="L100" i="3"/>
  <c r="M100" i="3"/>
  <c r="P100" i="3" s="1"/>
  <c r="N100" i="3"/>
  <c r="O100" i="3" s="1"/>
  <c r="Q100" i="3"/>
  <c r="R100" i="3"/>
  <c r="B101" i="3"/>
  <c r="C101" i="3"/>
  <c r="S101" i="3" s="1"/>
  <c r="D101" i="3"/>
  <c r="I101" i="3"/>
  <c r="K101" i="3"/>
  <c r="J101" i="3" s="1"/>
  <c r="L101" i="3"/>
  <c r="M101" i="3"/>
  <c r="P101" i="3" s="1"/>
  <c r="N101" i="3"/>
  <c r="O101" i="3" s="1"/>
  <c r="Q101" i="3"/>
  <c r="R101" i="3"/>
  <c r="B102" i="3"/>
  <c r="C102" i="3"/>
  <c r="S102" i="3" s="1"/>
  <c r="D102" i="3"/>
  <c r="I102" i="3"/>
  <c r="K102" i="3"/>
  <c r="J102" i="3" s="1"/>
  <c r="L102" i="3"/>
  <c r="M102" i="3"/>
  <c r="P102" i="3" s="1"/>
  <c r="N102" i="3"/>
  <c r="O102" i="3" s="1"/>
  <c r="Q102" i="3"/>
  <c r="R102" i="3"/>
  <c r="B103" i="3"/>
  <c r="C103" i="3"/>
  <c r="S103" i="3" s="1"/>
  <c r="D103" i="3"/>
  <c r="I103" i="3"/>
  <c r="K103" i="3"/>
  <c r="J103" i="3" s="1"/>
  <c r="L103" i="3"/>
  <c r="M103" i="3"/>
  <c r="P103" i="3" s="1"/>
  <c r="N103" i="3"/>
  <c r="O103" i="3" s="1"/>
  <c r="Q103" i="3"/>
  <c r="R103" i="3"/>
  <c r="B104" i="3"/>
  <c r="C104" i="3"/>
  <c r="S104" i="3" s="1"/>
  <c r="D104" i="3"/>
  <c r="I104" i="3"/>
  <c r="K104" i="3"/>
  <c r="J104" i="3" s="1"/>
  <c r="L104" i="3"/>
  <c r="M104" i="3"/>
  <c r="P104" i="3" s="1"/>
  <c r="N104" i="3"/>
  <c r="O104" i="3" s="1"/>
  <c r="Q104" i="3"/>
  <c r="R104" i="3"/>
  <c r="B105" i="3"/>
  <c r="C105" i="3"/>
  <c r="S105" i="3" s="1"/>
  <c r="D105" i="3"/>
  <c r="I105" i="3"/>
  <c r="K105" i="3"/>
  <c r="J105" i="3" s="1"/>
  <c r="L105" i="3"/>
  <c r="M105" i="3"/>
  <c r="P105" i="3" s="1"/>
  <c r="N105" i="3"/>
  <c r="O105" i="3" s="1"/>
  <c r="Q105" i="3"/>
  <c r="R105" i="3"/>
  <c r="B106" i="3"/>
  <c r="C106" i="3"/>
  <c r="S106" i="3" s="1"/>
  <c r="D106" i="3"/>
  <c r="I106" i="3"/>
  <c r="K106" i="3"/>
  <c r="J106" i="3" s="1"/>
  <c r="L106" i="3"/>
  <c r="M106" i="3"/>
  <c r="P106" i="3" s="1"/>
  <c r="N106" i="3"/>
  <c r="O106" i="3" s="1"/>
  <c r="Q106" i="3"/>
  <c r="R106" i="3"/>
  <c r="B107" i="3"/>
  <c r="C107" i="3"/>
  <c r="S107" i="3" s="1"/>
  <c r="D107" i="3"/>
  <c r="I107" i="3"/>
  <c r="K107" i="3"/>
  <c r="J107" i="3" s="1"/>
  <c r="L107" i="3"/>
  <c r="M107" i="3"/>
  <c r="P107" i="3" s="1"/>
  <c r="N107" i="3"/>
  <c r="O107" i="3" s="1"/>
  <c r="Q107" i="3"/>
  <c r="R107" i="3"/>
  <c r="B108" i="3"/>
  <c r="C108" i="3"/>
  <c r="S108" i="3" s="1"/>
  <c r="D108" i="3"/>
  <c r="I108" i="3"/>
  <c r="K108" i="3"/>
  <c r="J108" i="3" s="1"/>
  <c r="L108" i="3"/>
  <c r="M108" i="3"/>
  <c r="P108" i="3" s="1"/>
  <c r="N108" i="3"/>
  <c r="O108" i="3" s="1"/>
  <c r="Q108" i="3"/>
  <c r="R108" i="3"/>
  <c r="B109" i="3"/>
  <c r="C109" i="3"/>
  <c r="S109" i="3" s="1"/>
  <c r="D109" i="3"/>
  <c r="I109" i="3"/>
  <c r="K109" i="3"/>
  <c r="J109" i="3" s="1"/>
  <c r="L109" i="3"/>
  <c r="M109" i="3"/>
  <c r="P109" i="3" s="1"/>
  <c r="N109" i="3"/>
  <c r="O109" i="3" s="1"/>
  <c r="Q109" i="3"/>
  <c r="R109" i="3"/>
  <c r="B110" i="3"/>
  <c r="C110" i="3"/>
  <c r="S110" i="3" s="1"/>
  <c r="D110" i="3"/>
  <c r="I110" i="3"/>
  <c r="K110" i="3"/>
  <c r="J110" i="3" s="1"/>
  <c r="L110" i="3"/>
  <c r="M110" i="3"/>
  <c r="P110" i="3" s="1"/>
  <c r="N110" i="3"/>
  <c r="O110" i="3" s="1"/>
  <c r="Q110" i="3"/>
  <c r="R110" i="3"/>
  <c r="B111" i="3"/>
  <c r="C111" i="3"/>
  <c r="S111" i="3" s="1"/>
  <c r="D111" i="3"/>
  <c r="I111" i="3"/>
  <c r="K111" i="3"/>
  <c r="J111" i="3" s="1"/>
  <c r="L111" i="3"/>
  <c r="M111" i="3"/>
  <c r="P111" i="3" s="1"/>
  <c r="N111" i="3"/>
  <c r="O111" i="3" s="1"/>
  <c r="Q111" i="3"/>
  <c r="R111" i="3"/>
  <c r="B112" i="3"/>
  <c r="C112" i="3"/>
  <c r="S112" i="3" s="1"/>
  <c r="D112" i="3"/>
  <c r="I112" i="3"/>
  <c r="K112" i="3"/>
  <c r="J112" i="3" s="1"/>
  <c r="L112" i="3"/>
  <c r="M112" i="3"/>
  <c r="P112" i="3" s="1"/>
  <c r="N112" i="3"/>
  <c r="O112" i="3" s="1"/>
  <c r="Q112" i="3"/>
  <c r="R112" i="3"/>
  <c r="B113" i="3"/>
  <c r="C113" i="3"/>
  <c r="S113" i="3" s="1"/>
  <c r="D113" i="3"/>
  <c r="H113" i="3"/>
  <c r="I113" i="3" s="1"/>
  <c r="K113" i="3"/>
  <c r="L113" i="3"/>
  <c r="M113" i="3"/>
  <c r="P113" i="3" s="1"/>
  <c r="N113" i="3"/>
  <c r="O113" i="3" s="1"/>
  <c r="Q113" i="3"/>
  <c r="R113" i="3"/>
  <c r="B114" i="3"/>
  <c r="C114" i="3"/>
  <c r="S114" i="3" s="1"/>
  <c r="D114" i="3"/>
  <c r="H114" i="3"/>
  <c r="K114" i="3"/>
  <c r="L114" i="3"/>
  <c r="M114" i="3"/>
  <c r="P114" i="3" s="1"/>
  <c r="N114" i="3"/>
  <c r="O114" i="3" s="1"/>
  <c r="Q114" i="3"/>
  <c r="R114" i="3"/>
  <c r="B117" i="3"/>
  <c r="C117" i="3"/>
  <c r="S117" i="3" s="1"/>
  <c r="D117" i="3"/>
  <c r="I117" i="3"/>
  <c r="K117" i="3"/>
  <c r="J117" i="3" s="1"/>
  <c r="L117" i="3"/>
  <c r="M117" i="3"/>
  <c r="P117" i="3" s="1"/>
  <c r="N117" i="3"/>
  <c r="O117" i="3" s="1"/>
  <c r="Q117" i="3"/>
  <c r="R117" i="3"/>
  <c r="B118" i="3"/>
  <c r="C118" i="3"/>
  <c r="S118" i="3" s="1"/>
  <c r="D118" i="3"/>
  <c r="I118" i="3"/>
  <c r="K118" i="3"/>
  <c r="J118" i="3" s="1"/>
  <c r="L118" i="3"/>
  <c r="M118" i="3"/>
  <c r="P118" i="3" s="1"/>
  <c r="N118" i="3"/>
  <c r="O118" i="3" s="1"/>
  <c r="Q118" i="3"/>
  <c r="R118" i="3"/>
  <c r="B119" i="3"/>
  <c r="C119" i="3"/>
  <c r="S119" i="3" s="1"/>
  <c r="D119" i="3"/>
  <c r="I119" i="3"/>
  <c r="K119" i="3"/>
  <c r="J119" i="3" s="1"/>
  <c r="L119" i="3"/>
  <c r="M119" i="3"/>
  <c r="P119" i="3" s="1"/>
  <c r="N119" i="3"/>
  <c r="O119" i="3" s="1"/>
  <c r="Q119" i="3"/>
  <c r="R119" i="3"/>
  <c r="B120" i="3"/>
  <c r="C120" i="3"/>
  <c r="S120" i="3" s="1"/>
  <c r="D120" i="3"/>
  <c r="I120" i="3"/>
  <c r="K120" i="3"/>
  <c r="J120" i="3" s="1"/>
  <c r="L120" i="3"/>
  <c r="M120" i="3"/>
  <c r="P120" i="3" s="1"/>
  <c r="N120" i="3"/>
  <c r="O120" i="3" s="1"/>
  <c r="Q120" i="3"/>
  <c r="R120" i="3"/>
  <c r="B121" i="3"/>
  <c r="C121" i="3"/>
  <c r="S121" i="3" s="1"/>
  <c r="D121" i="3"/>
  <c r="I121" i="3"/>
  <c r="K121" i="3"/>
  <c r="J121" i="3" s="1"/>
  <c r="L121" i="3"/>
  <c r="M121" i="3"/>
  <c r="P121" i="3" s="1"/>
  <c r="N121" i="3"/>
  <c r="O121" i="3" s="1"/>
  <c r="Q121" i="3"/>
  <c r="R121" i="3"/>
  <c r="B122" i="3"/>
  <c r="C122" i="3"/>
  <c r="S122" i="3" s="1"/>
  <c r="D122" i="3"/>
  <c r="I122" i="3"/>
  <c r="K122" i="3"/>
  <c r="J122" i="3" s="1"/>
  <c r="L122" i="3"/>
  <c r="M122" i="3"/>
  <c r="P122" i="3" s="1"/>
  <c r="N122" i="3"/>
  <c r="O122" i="3" s="1"/>
  <c r="Q122" i="3"/>
  <c r="R122" i="3"/>
  <c r="B123" i="3"/>
  <c r="C123" i="3"/>
  <c r="S123" i="3" s="1"/>
  <c r="D123" i="3"/>
  <c r="I123" i="3"/>
  <c r="K123" i="3"/>
  <c r="J123" i="3" s="1"/>
  <c r="L123" i="3"/>
  <c r="M123" i="3"/>
  <c r="P123" i="3" s="1"/>
  <c r="N123" i="3"/>
  <c r="O123" i="3" s="1"/>
  <c r="Q123" i="3"/>
  <c r="R123" i="3"/>
  <c r="B124" i="3"/>
  <c r="C124" i="3"/>
  <c r="S124" i="3" s="1"/>
  <c r="D124" i="3"/>
  <c r="I124" i="3"/>
  <c r="K124" i="3"/>
  <c r="J124" i="3" s="1"/>
  <c r="L124" i="3"/>
  <c r="M124" i="3"/>
  <c r="P124" i="3" s="1"/>
  <c r="N124" i="3"/>
  <c r="O124" i="3" s="1"/>
  <c r="Q124" i="3"/>
  <c r="R124" i="3"/>
  <c r="B125" i="3"/>
  <c r="C125" i="3"/>
  <c r="S125" i="3" s="1"/>
  <c r="D125" i="3"/>
  <c r="I125" i="3"/>
  <c r="K125" i="3"/>
  <c r="J125" i="3" s="1"/>
  <c r="L125" i="3"/>
  <c r="M125" i="3"/>
  <c r="P125" i="3" s="1"/>
  <c r="N125" i="3"/>
  <c r="O125" i="3" s="1"/>
  <c r="Q125" i="3"/>
  <c r="R125" i="3"/>
  <c r="B126" i="3"/>
  <c r="C126" i="3"/>
  <c r="S126" i="3" s="1"/>
  <c r="D126" i="3"/>
  <c r="I126" i="3"/>
  <c r="K126" i="3"/>
  <c r="J126" i="3" s="1"/>
  <c r="L126" i="3"/>
  <c r="M126" i="3"/>
  <c r="P126" i="3" s="1"/>
  <c r="N126" i="3"/>
  <c r="O126" i="3" s="1"/>
  <c r="Q126" i="3"/>
  <c r="R126" i="3"/>
  <c r="B127" i="3"/>
  <c r="C127" i="3"/>
  <c r="S127" i="3" s="1"/>
  <c r="D127" i="3"/>
  <c r="I127" i="3"/>
  <c r="K127" i="3"/>
  <c r="J127" i="3" s="1"/>
  <c r="L127" i="3"/>
  <c r="M127" i="3"/>
  <c r="P127" i="3" s="1"/>
  <c r="N127" i="3"/>
  <c r="O127" i="3" s="1"/>
  <c r="Q127" i="3"/>
  <c r="R127" i="3"/>
  <c r="B128" i="3"/>
  <c r="C128" i="3"/>
  <c r="S128" i="3" s="1"/>
  <c r="D128" i="3"/>
  <c r="I128" i="3"/>
  <c r="K128" i="3"/>
  <c r="J128" i="3" s="1"/>
  <c r="L128" i="3"/>
  <c r="M128" i="3"/>
  <c r="P128" i="3" s="1"/>
  <c r="N128" i="3"/>
  <c r="O128" i="3" s="1"/>
  <c r="Q128" i="3"/>
  <c r="R128" i="3"/>
  <c r="B129" i="3"/>
  <c r="C129" i="3"/>
  <c r="S129" i="3" s="1"/>
  <c r="D129" i="3"/>
  <c r="I129" i="3"/>
  <c r="K129" i="3"/>
  <c r="J129" i="3" s="1"/>
  <c r="L129" i="3"/>
  <c r="M129" i="3"/>
  <c r="P129" i="3" s="1"/>
  <c r="N129" i="3"/>
  <c r="O129" i="3" s="1"/>
  <c r="Q129" i="3"/>
  <c r="R129" i="3"/>
  <c r="B130" i="3"/>
  <c r="C130" i="3"/>
  <c r="S130" i="3" s="1"/>
  <c r="D130" i="3"/>
  <c r="I130" i="3"/>
  <c r="K130" i="3"/>
  <c r="J130" i="3" s="1"/>
  <c r="L130" i="3"/>
  <c r="M130" i="3"/>
  <c r="P130" i="3" s="1"/>
  <c r="N130" i="3"/>
  <c r="O130" i="3" s="1"/>
  <c r="Q130" i="3"/>
  <c r="R130" i="3"/>
  <c r="B131" i="3"/>
  <c r="C131" i="3"/>
  <c r="S131" i="3" s="1"/>
  <c r="D131" i="3"/>
  <c r="I131" i="3"/>
  <c r="K131" i="3"/>
  <c r="J131" i="3" s="1"/>
  <c r="L131" i="3"/>
  <c r="M131" i="3"/>
  <c r="P131" i="3" s="1"/>
  <c r="N131" i="3"/>
  <c r="O131" i="3" s="1"/>
  <c r="Q131" i="3"/>
  <c r="R131" i="3"/>
  <c r="B132" i="3"/>
  <c r="C132" i="3"/>
  <c r="S132" i="3" s="1"/>
  <c r="D132" i="3"/>
  <c r="I132" i="3"/>
  <c r="K132" i="3"/>
  <c r="J132" i="3" s="1"/>
  <c r="L132" i="3"/>
  <c r="M132" i="3"/>
  <c r="P132" i="3" s="1"/>
  <c r="N132" i="3"/>
  <c r="O132" i="3" s="1"/>
  <c r="Q132" i="3"/>
  <c r="R132" i="3"/>
  <c r="B133" i="3"/>
  <c r="C133" i="3"/>
  <c r="S133" i="3" s="1"/>
  <c r="D133" i="3"/>
  <c r="I133" i="3"/>
  <c r="K133" i="3"/>
  <c r="J133" i="3" s="1"/>
  <c r="L133" i="3"/>
  <c r="M133" i="3"/>
  <c r="P133" i="3" s="1"/>
  <c r="N133" i="3"/>
  <c r="O133" i="3" s="1"/>
  <c r="Q133" i="3"/>
  <c r="R133" i="3"/>
  <c r="B134" i="3"/>
  <c r="C134" i="3"/>
  <c r="S134" i="3" s="1"/>
  <c r="D134" i="3"/>
  <c r="I134" i="3"/>
  <c r="K134" i="3"/>
  <c r="J134" i="3" s="1"/>
  <c r="L134" i="3"/>
  <c r="M134" i="3"/>
  <c r="P134" i="3" s="1"/>
  <c r="N134" i="3"/>
  <c r="O134" i="3" s="1"/>
  <c r="Q134" i="3"/>
  <c r="R134" i="3"/>
  <c r="B135" i="3"/>
  <c r="C135" i="3"/>
  <c r="S135" i="3" s="1"/>
  <c r="D135" i="3"/>
  <c r="I135" i="3"/>
  <c r="K135" i="3"/>
  <c r="J135" i="3" s="1"/>
  <c r="L135" i="3"/>
  <c r="M135" i="3"/>
  <c r="P135" i="3" s="1"/>
  <c r="N135" i="3"/>
  <c r="O135" i="3" s="1"/>
  <c r="Q135" i="3"/>
  <c r="R135" i="3"/>
  <c r="B136" i="3"/>
  <c r="C136" i="3"/>
  <c r="S136" i="3" s="1"/>
  <c r="D136" i="3"/>
  <c r="I136" i="3"/>
  <c r="K136" i="3"/>
  <c r="J136" i="3" s="1"/>
  <c r="L136" i="3"/>
  <c r="M136" i="3"/>
  <c r="P136" i="3" s="1"/>
  <c r="N136" i="3"/>
  <c r="O136" i="3" s="1"/>
  <c r="Q136" i="3"/>
  <c r="R136" i="3"/>
  <c r="B137" i="3"/>
  <c r="C137" i="3"/>
  <c r="S137" i="3" s="1"/>
  <c r="D137" i="3"/>
  <c r="I137" i="3"/>
  <c r="K137" i="3"/>
  <c r="J137" i="3" s="1"/>
  <c r="L137" i="3"/>
  <c r="M137" i="3"/>
  <c r="P137" i="3" s="1"/>
  <c r="N137" i="3"/>
  <c r="O137" i="3" s="1"/>
  <c r="Q137" i="3"/>
  <c r="R137" i="3"/>
  <c r="B138" i="3"/>
  <c r="C138" i="3"/>
  <c r="S138" i="3" s="1"/>
  <c r="D138" i="3"/>
  <c r="I138" i="3"/>
  <c r="K138" i="3"/>
  <c r="J138" i="3" s="1"/>
  <c r="L138" i="3"/>
  <c r="M138" i="3"/>
  <c r="P138" i="3" s="1"/>
  <c r="N138" i="3"/>
  <c r="O138" i="3" s="1"/>
  <c r="Q138" i="3"/>
  <c r="R138" i="3"/>
  <c r="B139" i="3"/>
  <c r="C139" i="3"/>
  <c r="S139" i="3" s="1"/>
  <c r="D139" i="3"/>
  <c r="I139" i="3"/>
  <c r="K139" i="3"/>
  <c r="J139" i="3" s="1"/>
  <c r="L139" i="3"/>
  <c r="M139" i="3"/>
  <c r="P139" i="3" s="1"/>
  <c r="N139" i="3"/>
  <c r="O139" i="3" s="1"/>
  <c r="Q139" i="3"/>
  <c r="R139" i="3"/>
  <c r="B140" i="3"/>
  <c r="C140" i="3"/>
  <c r="S140" i="3" s="1"/>
  <c r="D140" i="3"/>
  <c r="I140" i="3"/>
  <c r="K140" i="3"/>
  <c r="J140" i="3" s="1"/>
  <c r="L140" i="3"/>
  <c r="M140" i="3"/>
  <c r="P140" i="3" s="1"/>
  <c r="N140" i="3"/>
  <c r="O140" i="3" s="1"/>
  <c r="Q140" i="3"/>
  <c r="R140" i="3"/>
  <c r="B141" i="3"/>
  <c r="C141" i="3"/>
  <c r="S141" i="3" s="1"/>
  <c r="D141" i="3"/>
  <c r="I141" i="3"/>
  <c r="K141" i="3"/>
  <c r="J141" i="3" s="1"/>
  <c r="L141" i="3"/>
  <c r="M141" i="3"/>
  <c r="P141" i="3" s="1"/>
  <c r="N141" i="3"/>
  <c r="O141" i="3" s="1"/>
  <c r="Q141" i="3"/>
  <c r="R141" i="3"/>
  <c r="B142" i="3"/>
  <c r="C142" i="3"/>
  <c r="S142" i="3" s="1"/>
  <c r="D142" i="3"/>
  <c r="I142" i="3"/>
  <c r="K142" i="3"/>
  <c r="J142" i="3" s="1"/>
  <c r="L142" i="3"/>
  <c r="M142" i="3"/>
  <c r="P142" i="3" s="1"/>
  <c r="N142" i="3"/>
  <c r="O142" i="3" s="1"/>
  <c r="Q142" i="3"/>
  <c r="R142" i="3"/>
  <c r="B143" i="3"/>
  <c r="C143" i="3"/>
  <c r="S143" i="3" s="1"/>
  <c r="D143" i="3"/>
  <c r="I143" i="3"/>
  <c r="K143" i="3"/>
  <c r="J143" i="3" s="1"/>
  <c r="L143" i="3"/>
  <c r="M143" i="3"/>
  <c r="P143" i="3" s="1"/>
  <c r="N143" i="3"/>
  <c r="O143" i="3" s="1"/>
  <c r="Q143" i="3"/>
  <c r="R143" i="3"/>
  <c r="B144" i="3"/>
  <c r="C144" i="3"/>
  <c r="S144" i="3" s="1"/>
  <c r="D144" i="3"/>
  <c r="I144" i="3"/>
  <c r="K144" i="3"/>
  <c r="J144" i="3" s="1"/>
  <c r="L144" i="3"/>
  <c r="M144" i="3"/>
  <c r="P144" i="3" s="1"/>
  <c r="N144" i="3"/>
  <c r="O144" i="3" s="1"/>
  <c r="Q144" i="3"/>
  <c r="R144" i="3"/>
  <c r="B145" i="3"/>
  <c r="C145" i="3"/>
  <c r="S145" i="3" s="1"/>
  <c r="D145" i="3"/>
  <c r="I145" i="3"/>
  <c r="K145" i="3"/>
  <c r="J145" i="3" s="1"/>
  <c r="L145" i="3"/>
  <c r="M145" i="3"/>
  <c r="P145" i="3" s="1"/>
  <c r="N145" i="3"/>
  <c r="O145" i="3" s="1"/>
  <c r="Q145" i="3"/>
  <c r="R145" i="3"/>
  <c r="B146" i="3"/>
  <c r="C146" i="3"/>
  <c r="S146" i="3" s="1"/>
  <c r="D146" i="3"/>
  <c r="I146" i="3"/>
  <c r="K146" i="3"/>
  <c r="J146" i="3" s="1"/>
  <c r="L146" i="3"/>
  <c r="M146" i="3"/>
  <c r="P146" i="3" s="1"/>
  <c r="N146" i="3"/>
  <c r="O146" i="3" s="1"/>
  <c r="Q146" i="3"/>
  <c r="R146" i="3"/>
  <c r="B147" i="3"/>
  <c r="C147" i="3"/>
  <c r="S147" i="3" s="1"/>
  <c r="D147" i="3"/>
  <c r="I147" i="3"/>
  <c r="K147" i="3"/>
  <c r="J147" i="3" s="1"/>
  <c r="L147" i="3"/>
  <c r="M147" i="3"/>
  <c r="P147" i="3" s="1"/>
  <c r="N147" i="3"/>
  <c r="O147" i="3" s="1"/>
  <c r="Q147" i="3"/>
  <c r="R147" i="3"/>
  <c r="B148" i="3"/>
  <c r="C148" i="3"/>
  <c r="S148" i="3" s="1"/>
  <c r="D148" i="3"/>
  <c r="I148" i="3"/>
  <c r="K148" i="3"/>
  <c r="J148" i="3" s="1"/>
  <c r="L148" i="3"/>
  <c r="M148" i="3"/>
  <c r="P148" i="3" s="1"/>
  <c r="N148" i="3"/>
  <c r="O148" i="3" s="1"/>
  <c r="Q148" i="3"/>
  <c r="R148" i="3"/>
  <c r="B149" i="3"/>
  <c r="C149" i="3"/>
  <c r="S149" i="3" s="1"/>
  <c r="D149" i="3"/>
  <c r="I149" i="3"/>
  <c r="K149" i="3"/>
  <c r="J149" i="3" s="1"/>
  <c r="L149" i="3"/>
  <c r="M149" i="3"/>
  <c r="P149" i="3" s="1"/>
  <c r="N149" i="3"/>
  <c r="O149" i="3" s="1"/>
  <c r="Q149" i="3"/>
  <c r="R149" i="3"/>
  <c r="B150" i="3"/>
  <c r="C150" i="3"/>
  <c r="S150" i="3" s="1"/>
  <c r="D150" i="3"/>
  <c r="I150" i="3"/>
  <c r="K150" i="3"/>
  <c r="J150" i="3" s="1"/>
  <c r="L150" i="3"/>
  <c r="M150" i="3"/>
  <c r="P150" i="3" s="1"/>
  <c r="N150" i="3"/>
  <c r="O150" i="3" s="1"/>
  <c r="Q150" i="3"/>
  <c r="R150" i="3"/>
  <c r="B151" i="3"/>
  <c r="C151" i="3"/>
  <c r="S151" i="3" s="1"/>
  <c r="D151" i="3"/>
  <c r="I151" i="3"/>
  <c r="K151" i="3"/>
  <c r="J151" i="3" s="1"/>
  <c r="L151" i="3"/>
  <c r="M151" i="3"/>
  <c r="P151" i="3" s="1"/>
  <c r="N151" i="3"/>
  <c r="O151" i="3" s="1"/>
  <c r="Q151" i="3"/>
  <c r="R151" i="3"/>
  <c r="B152" i="3"/>
  <c r="C152" i="3"/>
  <c r="S152" i="3" s="1"/>
  <c r="D152" i="3"/>
  <c r="I152" i="3"/>
  <c r="K152" i="3"/>
  <c r="J152" i="3" s="1"/>
  <c r="L152" i="3"/>
  <c r="M152" i="3"/>
  <c r="P152" i="3" s="1"/>
  <c r="N152" i="3"/>
  <c r="O152" i="3" s="1"/>
  <c r="Q152" i="3"/>
  <c r="R152" i="3"/>
  <c r="B153" i="3"/>
  <c r="C153" i="3"/>
  <c r="S153" i="3" s="1"/>
  <c r="D153" i="3"/>
  <c r="I153" i="3"/>
  <c r="K153" i="3"/>
  <c r="J153" i="3" s="1"/>
  <c r="L153" i="3"/>
  <c r="M153" i="3"/>
  <c r="P153" i="3" s="1"/>
  <c r="N153" i="3"/>
  <c r="O153" i="3" s="1"/>
  <c r="Q153" i="3"/>
  <c r="R153" i="3"/>
  <c r="B154" i="3"/>
  <c r="C154" i="3"/>
  <c r="S154" i="3" s="1"/>
  <c r="D154" i="3"/>
  <c r="I154" i="3"/>
  <c r="K154" i="3"/>
  <c r="J154" i="3" s="1"/>
  <c r="L154" i="3"/>
  <c r="M154" i="3"/>
  <c r="P154" i="3" s="1"/>
  <c r="N154" i="3"/>
  <c r="O154" i="3" s="1"/>
  <c r="Q154" i="3"/>
  <c r="R154" i="3"/>
  <c r="B155" i="3"/>
  <c r="C155" i="3"/>
  <c r="S155" i="3" s="1"/>
  <c r="D155" i="3"/>
  <c r="I155" i="3"/>
  <c r="K155" i="3"/>
  <c r="J155" i="3" s="1"/>
  <c r="L155" i="3"/>
  <c r="M155" i="3"/>
  <c r="P155" i="3" s="1"/>
  <c r="N155" i="3"/>
  <c r="O155" i="3" s="1"/>
  <c r="Q155" i="3"/>
  <c r="R155" i="3"/>
  <c r="B156" i="3"/>
  <c r="C156" i="3"/>
  <c r="S156" i="3" s="1"/>
  <c r="D156" i="3"/>
  <c r="I156" i="3"/>
  <c r="K156" i="3"/>
  <c r="J156" i="3" s="1"/>
  <c r="L156" i="3"/>
  <c r="M156" i="3"/>
  <c r="P156" i="3" s="1"/>
  <c r="N156" i="3"/>
  <c r="O156" i="3" s="1"/>
  <c r="Q156" i="3"/>
  <c r="R156" i="3"/>
  <c r="B157" i="3"/>
  <c r="C157" i="3"/>
  <c r="S157" i="3" s="1"/>
  <c r="D157" i="3"/>
  <c r="I157" i="3"/>
  <c r="K157" i="3"/>
  <c r="J157" i="3" s="1"/>
  <c r="L157" i="3"/>
  <c r="M157" i="3"/>
  <c r="P157" i="3" s="1"/>
  <c r="N157" i="3"/>
  <c r="O157" i="3" s="1"/>
  <c r="Q157" i="3"/>
  <c r="R157" i="3"/>
  <c r="B158" i="3"/>
  <c r="C158" i="3"/>
  <c r="S158" i="3" s="1"/>
  <c r="D158" i="3"/>
  <c r="I158" i="3"/>
  <c r="K158" i="3"/>
  <c r="J158" i="3" s="1"/>
  <c r="L158" i="3"/>
  <c r="M158" i="3"/>
  <c r="P158" i="3" s="1"/>
  <c r="N158" i="3"/>
  <c r="O158" i="3" s="1"/>
  <c r="Q158" i="3"/>
  <c r="R158" i="3"/>
  <c r="B159" i="3"/>
  <c r="C159" i="3"/>
  <c r="S159" i="3" s="1"/>
  <c r="D159" i="3"/>
  <c r="I159" i="3"/>
  <c r="K159" i="3"/>
  <c r="J159" i="3" s="1"/>
  <c r="L159" i="3"/>
  <c r="M159" i="3"/>
  <c r="P159" i="3" s="1"/>
  <c r="N159" i="3"/>
  <c r="O159" i="3" s="1"/>
  <c r="Q159" i="3"/>
  <c r="R159" i="3"/>
  <c r="B160" i="3"/>
  <c r="C160" i="3"/>
  <c r="S160" i="3" s="1"/>
  <c r="D160" i="3"/>
  <c r="I160" i="3"/>
  <c r="K160" i="3"/>
  <c r="J160" i="3" s="1"/>
  <c r="L160" i="3"/>
  <c r="M160" i="3"/>
  <c r="P160" i="3" s="1"/>
  <c r="N160" i="3"/>
  <c r="O160" i="3" s="1"/>
  <c r="Q160" i="3"/>
  <c r="R160" i="3"/>
  <c r="B161" i="3"/>
  <c r="C161" i="3"/>
  <c r="S161" i="3" s="1"/>
  <c r="D161" i="3"/>
  <c r="H161" i="3"/>
  <c r="I161" i="3" s="1"/>
  <c r="K161" i="3"/>
  <c r="L161" i="3"/>
  <c r="M161" i="3"/>
  <c r="P161" i="3" s="1"/>
  <c r="N161" i="3"/>
  <c r="O161" i="3" s="1"/>
  <c r="Q161" i="3"/>
  <c r="R161" i="3"/>
  <c r="B162" i="3"/>
  <c r="C162" i="3"/>
  <c r="S162" i="3" s="1"/>
  <c r="D162" i="3"/>
  <c r="I162" i="3"/>
  <c r="K162" i="3"/>
  <c r="J162" i="3" s="1"/>
  <c r="L162" i="3"/>
  <c r="M162" i="3"/>
  <c r="P162" i="3" s="1"/>
  <c r="N162" i="3"/>
  <c r="O162" i="3" s="1"/>
  <c r="Q162" i="3"/>
  <c r="R162" i="3"/>
  <c r="B163" i="3"/>
  <c r="C163" i="3"/>
  <c r="S163" i="3" s="1"/>
  <c r="D163" i="3"/>
  <c r="I163" i="3"/>
  <c r="K163" i="3"/>
  <c r="J163" i="3" s="1"/>
  <c r="L163" i="3"/>
  <c r="M163" i="3"/>
  <c r="P163" i="3" s="1"/>
  <c r="N163" i="3"/>
  <c r="O163" i="3" s="1"/>
  <c r="Q163" i="3"/>
  <c r="R163" i="3"/>
  <c r="B164" i="3"/>
  <c r="C164" i="3"/>
  <c r="S164" i="3" s="1"/>
  <c r="D164" i="3"/>
  <c r="I164" i="3"/>
  <c r="K164" i="3"/>
  <c r="J164" i="3" s="1"/>
  <c r="L164" i="3"/>
  <c r="M164" i="3"/>
  <c r="P164" i="3" s="1"/>
  <c r="N164" i="3"/>
  <c r="O164" i="3" s="1"/>
  <c r="Q164" i="3"/>
  <c r="R164" i="3"/>
  <c r="B165" i="3"/>
  <c r="C165" i="3"/>
  <c r="S165" i="3" s="1"/>
  <c r="D165" i="3"/>
  <c r="I165" i="3"/>
  <c r="K165" i="3"/>
  <c r="J165" i="3" s="1"/>
  <c r="L165" i="3"/>
  <c r="M165" i="3"/>
  <c r="P165" i="3" s="1"/>
  <c r="N165" i="3"/>
  <c r="O165" i="3" s="1"/>
  <c r="Q165" i="3"/>
  <c r="R165" i="3"/>
  <c r="B166" i="3"/>
  <c r="C166" i="3"/>
  <c r="S166" i="3" s="1"/>
  <c r="D166" i="3"/>
  <c r="I166" i="3"/>
  <c r="K166" i="3"/>
  <c r="J166" i="3" s="1"/>
  <c r="L166" i="3"/>
  <c r="M166" i="3"/>
  <c r="P166" i="3" s="1"/>
  <c r="N166" i="3"/>
  <c r="O166" i="3" s="1"/>
  <c r="Q166" i="3"/>
  <c r="R166" i="3"/>
  <c r="B167" i="3"/>
  <c r="C167" i="3"/>
  <c r="S167" i="3" s="1"/>
  <c r="D167" i="3"/>
  <c r="I167" i="3"/>
  <c r="K167" i="3"/>
  <c r="J167" i="3" s="1"/>
  <c r="L167" i="3"/>
  <c r="M167" i="3"/>
  <c r="P167" i="3" s="1"/>
  <c r="N167" i="3"/>
  <c r="O167" i="3" s="1"/>
  <c r="Q167" i="3"/>
  <c r="R167" i="3"/>
  <c r="B168" i="3"/>
  <c r="C168" i="3"/>
  <c r="S168" i="3" s="1"/>
  <c r="D168" i="3"/>
  <c r="I168" i="3"/>
  <c r="K168" i="3"/>
  <c r="J168" i="3" s="1"/>
  <c r="L168" i="3"/>
  <c r="M168" i="3"/>
  <c r="P168" i="3" s="1"/>
  <c r="N168" i="3"/>
  <c r="O168" i="3" s="1"/>
  <c r="Q168" i="3"/>
  <c r="R168" i="3"/>
  <c r="B169" i="3"/>
  <c r="C169" i="3"/>
  <c r="S169" i="3" s="1"/>
  <c r="D169" i="3"/>
  <c r="I169" i="3"/>
  <c r="K169" i="3"/>
  <c r="J169" i="3" s="1"/>
  <c r="L169" i="3"/>
  <c r="M169" i="3"/>
  <c r="P169" i="3" s="1"/>
  <c r="N169" i="3"/>
  <c r="O169" i="3" s="1"/>
  <c r="Q169" i="3"/>
  <c r="R169" i="3"/>
  <c r="B170" i="3"/>
  <c r="C170" i="3"/>
  <c r="S170" i="3" s="1"/>
  <c r="D170" i="3"/>
  <c r="I170" i="3"/>
  <c r="K170" i="3"/>
  <c r="J170" i="3" s="1"/>
  <c r="L170" i="3"/>
  <c r="M170" i="3"/>
  <c r="P170" i="3" s="1"/>
  <c r="N170" i="3"/>
  <c r="O170" i="3" s="1"/>
  <c r="Q170" i="3"/>
  <c r="R170" i="3"/>
  <c r="B171" i="3"/>
  <c r="C171" i="3"/>
  <c r="S171" i="3" s="1"/>
  <c r="D171" i="3"/>
  <c r="I171" i="3"/>
  <c r="K171" i="3"/>
  <c r="J171" i="3" s="1"/>
  <c r="L171" i="3"/>
  <c r="M171" i="3"/>
  <c r="P171" i="3" s="1"/>
  <c r="N171" i="3"/>
  <c r="O171" i="3" s="1"/>
  <c r="Q171" i="3"/>
  <c r="R171" i="3"/>
  <c r="B172" i="3"/>
  <c r="C172" i="3"/>
  <c r="S172" i="3" s="1"/>
  <c r="D172" i="3"/>
  <c r="I172" i="3"/>
  <c r="K172" i="3"/>
  <c r="J172" i="3" s="1"/>
  <c r="L172" i="3"/>
  <c r="M172" i="3"/>
  <c r="P172" i="3" s="1"/>
  <c r="N172" i="3"/>
  <c r="O172" i="3" s="1"/>
  <c r="Q172" i="3"/>
  <c r="R172" i="3"/>
  <c r="B173" i="3"/>
  <c r="C173" i="3"/>
  <c r="S173" i="3" s="1"/>
  <c r="D173" i="3"/>
  <c r="I173" i="3"/>
  <c r="K173" i="3"/>
  <c r="J173" i="3" s="1"/>
  <c r="L173" i="3"/>
  <c r="M173" i="3"/>
  <c r="P173" i="3" s="1"/>
  <c r="N173" i="3"/>
  <c r="O173" i="3" s="1"/>
  <c r="Q173" i="3"/>
  <c r="R173" i="3"/>
  <c r="B174" i="3"/>
  <c r="C174" i="3"/>
  <c r="S174" i="3" s="1"/>
  <c r="D174" i="3"/>
  <c r="I174" i="3"/>
  <c r="K174" i="3"/>
  <c r="J174" i="3" s="1"/>
  <c r="L174" i="3"/>
  <c r="M174" i="3"/>
  <c r="P174" i="3" s="1"/>
  <c r="N174" i="3"/>
  <c r="O174" i="3" s="1"/>
  <c r="Q174" i="3"/>
  <c r="R174" i="3"/>
  <c r="B175" i="3"/>
  <c r="C175" i="3"/>
  <c r="S175" i="3" s="1"/>
  <c r="D175" i="3"/>
  <c r="I175" i="3"/>
  <c r="K175" i="3"/>
  <c r="J175" i="3" s="1"/>
  <c r="L175" i="3"/>
  <c r="M175" i="3"/>
  <c r="P175" i="3" s="1"/>
  <c r="N175" i="3"/>
  <c r="O175" i="3" s="1"/>
  <c r="Q175" i="3"/>
  <c r="R175" i="3"/>
  <c r="B176" i="3"/>
  <c r="C176" i="3"/>
  <c r="S176" i="3" s="1"/>
  <c r="D176" i="3"/>
  <c r="I176" i="3"/>
  <c r="K176" i="3"/>
  <c r="J176" i="3" s="1"/>
  <c r="L176" i="3"/>
  <c r="M176" i="3"/>
  <c r="P176" i="3" s="1"/>
  <c r="N176" i="3"/>
  <c r="O176" i="3" s="1"/>
  <c r="Q176" i="3"/>
  <c r="R176" i="3"/>
  <c r="B177" i="3"/>
  <c r="C177" i="3"/>
  <c r="S177" i="3" s="1"/>
  <c r="D177" i="3"/>
  <c r="I177" i="3"/>
  <c r="K177" i="3"/>
  <c r="J177" i="3" s="1"/>
  <c r="L177" i="3"/>
  <c r="M177" i="3"/>
  <c r="P177" i="3" s="1"/>
  <c r="N177" i="3"/>
  <c r="O177" i="3" s="1"/>
  <c r="Q177" i="3"/>
  <c r="R177" i="3"/>
  <c r="B178" i="3"/>
  <c r="C178" i="3"/>
  <c r="S178" i="3" s="1"/>
  <c r="D178" i="3"/>
  <c r="I178" i="3"/>
  <c r="K178" i="3"/>
  <c r="J178" i="3" s="1"/>
  <c r="L178" i="3"/>
  <c r="M178" i="3"/>
  <c r="P178" i="3" s="1"/>
  <c r="N178" i="3"/>
  <c r="O178" i="3" s="1"/>
  <c r="Q178" i="3"/>
  <c r="R178" i="3"/>
  <c r="B179" i="3"/>
  <c r="C179" i="3"/>
  <c r="S179" i="3" s="1"/>
  <c r="D179" i="3"/>
  <c r="I179" i="3"/>
  <c r="K179" i="3"/>
  <c r="J179" i="3" s="1"/>
  <c r="L179" i="3"/>
  <c r="M179" i="3"/>
  <c r="P179" i="3" s="1"/>
  <c r="N179" i="3"/>
  <c r="O179" i="3" s="1"/>
  <c r="Q179" i="3"/>
  <c r="R179" i="3"/>
  <c r="B180" i="3"/>
  <c r="C180" i="3"/>
  <c r="S180" i="3" s="1"/>
  <c r="D180" i="3"/>
  <c r="I180" i="3"/>
  <c r="K180" i="3"/>
  <c r="J180" i="3" s="1"/>
  <c r="L180" i="3"/>
  <c r="M180" i="3"/>
  <c r="P180" i="3" s="1"/>
  <c r="N180" i="3"/>
  <c r="O180" i="3" s="1"/>
  <c r="Q180" i="3"/>
  <c r="R180" i="3"/>
  <c r="B181" i="3"/>
  <c r="C181" i="3"/>
  <c r="S181" i="3" s="1"/>
  <c r="D181" i="3"/>
  <c r="I181" i="3"/>
  <c r="K181" i="3"/>
  <c r="J181" i="3" s="1"/>
  <c r="L181" i="3"/>
  <c r="M181" i="3"/>
  <c r="P181" i="3" s="1"/>
  <c r="N181" i="3"/>
  <c r="O181" i="3" s="1"/>
  <c r="Q181" i="3"/>
  <c r="R181" i="3"/>
  <c r="B182" i="3"/>
  <c r="C182" i="3"/>
  <c r="S182" i="3" s="1"/>
  <c r="D182" i="3"/>
  <c r="I182" i="3"/>
  <c r="K182" i="3"/>
  <c r="J182" i="3" s="1"/>
  <c r="L182" i="3"/>
  <c r="M182" i="3"/>
  <c r="P182" i="3" s="1"/>
  <c r="N182" i="3"/>
  <c r="O182" i="3" s="1"/>
  <c r="Q182" i="3"/>
  <c r="R182" i="3"/>
  <c r="B183" i="3"/>
  <c r="C183" i="3"/>
  <c r="S183" i="3" s="1"/>
  <c r="D183" i="3"/>
  <c r="I183" i="3"/>
  <c r="K183" i="3"/>
  <c r="J183" i="3" s="1"/>
  <c r="L183" i="3"/>
  <c r="M183" i="3"/>
  <c r="P183" i="3" s="1"/>
  <c r="N183" i="3"/>
  <c r="O183" i="3" s="1"/>
  <c r="Q183" i="3"/>
  <c r="R183" i="3"/>
  <c r="B184" i="3"/>
  <c r="C184" i="3"/>
  <c r="S184" i="3" s="1"/>
  <c r="D184" i="3"/>
  <c r="I184" i="3"/>
  <c r="K184" i="3"/>
  <c r="J184" i="3" s="1"/>
  <c r="L184" i="3"/>
  <c r="M184" i="3"/>
  <c r="P184" i="3" s="1"/>
  <c r="N184" i="3"/>
  <c r="O184" i="3" s="1"/>
  <c r="Q184" i="3"/>
  <c r="R184" i="3"/>
  <c r="B185" i="3"/>
  <c r="C185" i="3"/>
  <c r="S185" i="3" s="1"/>
  <c r="D185" i="3"/>
  <c r="I185" i="3"/>
  <c r="K185" i="3"/>
  <c r="J185" i="3" s="1"/>
  <c r="L185" i="3"/>
  <c r="M185" i="3"/>
  <c r="P185" i="3" s="1"/>
  <c r="N185" i="3"/>
  <c r="O185" i="3" s="1"/>
  <c r="Q185" i="3"/>
  <c r="R185" i="3"/>
  <c r="B186" i="3"/>
  <c r="C186" i="3"/>
  <c r="S186" i="3" s="1"/>
  <c r="D186" i="3"/>
  <c r="I186" i="3"/>
  <c r="K186" i="3"/>
  <c r="J186" i="3" s="1"/>
  <c r="L186" i="3"/>
  <c r="M186" i="3"/>
  <c r="P186" i="3" s="1"/>
  <c r="N186" i="3"/>
  <c r="O186" i="3" s="1"/>
  <c r="Q186" i="3"/>
  <c r="R186" i="3"/>
  <c r="B187" i="3"/>
  <c r="C187" i="3"/>
  <c r="S187" i="3" s="1"/>
  <c r="D187" i="3"/>
  <c r="I187" i="3"/>
  <c r="K187" i="3"/>
  <c r="J187" i="3" s="1"/>
  <c r="L187" i="3"/>
  <c r="M187" i="3"/>
  <c r="P187" i="3" s="1"/>
  <c r="N187" i="3"/>
  <c r="O187" i="3" s="1"/>
  <c r="Q187" i="3"/>
  <c r="R187" i="3"/>
  <c r="B188" i="3"/>
  <c r="C188" i="3"/>
  <c r="S188" i="3" s="1"/>
  <c r="D188" i="3"/>
  <c r="I188" i="3"/>
  <c r="K188" i="3"/>
  <c r="J188" i="3" s="1"/>
  <c r="L188" i="3"/>
  <c r="M188" i="3"/>
  <c r="P188" i="3" s="1"/>
  <c r="N188" i="3"/>
  <c r="O188" i="3" s="1"/>
  <c r="Q188" i="3"/>
  <c r="R188" i="3"/>
  <c r="B189" i="3"/>
  <c r="C189" i="3"/>
  <c r="S189" i="3" s="1"/>
  <c r="D189" i="3"/>
  <c r="I189" i="3"/>
  <c r="K189" i="3"/>
  <c r="J189" i="3" s="1"/>
  <c r="L189" i="3"/>
  <c r="M189" i="3"/>
  <c r="P189" i="3" s="1"/>
  <c r="N189" i="3"/>
  <c r="O189" i="3" s="1"/>
  <c r="Q189" i="3"/>
  <c r="R189" i="3"/>
  <c r="B190" i="3"/>
  <c r="C190" i="3"/>
  <c r="S190" i="3" s="1"/>
  <c r="D190" i="3"/>
  <c r="I190" i="3"/>
  <c r="K190" i="3"/>
  <c r="J190" i="3" s="1"/>
  <c r="L190" i="3"/>
  <c r="M190" i="3"/>
  <c r="P190" i="3" s="1"/>
  <c r="N190" i="3"/>
  <c r="O190" i="3" s="1"/>
  <c r="Q190" i="3"/>
  <c r="R190" i="3"/>
  <c r="B191" i="3"/>
  <c r="C191" i="3"/>
  <c r="S191" i="3" s="1"/>
  <c r="D191" i="3"/>
  <c r="I191" i="3"/>
  <c r="K191" i="3"/>
  <c r="J191" i="3" s="1"/>
  <c r="L191" i="3"/>
  <c r="M191" i="3"/>
  <c r="P191" i="3" s="1"/>
  <c r="N191" i="3"/>
  <c r="O191" i="3" s="1"/>
  <c r="Q191" i="3"/>
  <c r="R191" i="3"/>
  <c r="B192" i="3"/>
  <c r="C192" i="3"/>
  <c r="S192" i="3" s="1"/>
  <c r="D192" i="3"/>
  <c r="I192" i="3"/>
  <c r="K192" i="3"/>
  <c r="J192" i="3" s="1"/>
  <c r="L192" i="3"/>
  <c r="M192" i="3"/>
  <c r="P192" i="3" s="1"/>
  <c r="N192" i="3"/>
  <c r="O192" i="3" s="1"/>
  <c r="Q192" i="3"/>
  <c r="R192" i="3"/>
  <c r="B193" i="3"/>
  <c r="C193" i="3"/>
  <c r="S193" i="3" s="1"/>
  <c r="D193" i="3"/>
  <c r="I193" i="3"/>
  <c r="K193" i="3"/>
  <c r="J193" i="3" s="1"/>
  <c r="L193" i="3"/>
  <c r="M193" i="3"/>
  <c r="P193" i="3" s="1"/>
  <c r="N193" i="3"/>
  <c r="O193" i="3" s="1"/>
  <c r="Q193" i="3"/>
  <c r="R193" i="3"/>
  <c r="B194" i="3"/>
  <c r="C194" i="3"/>
  <c r="S194" i="3" s="1"/>
  <c r="D194" i="3"/>
  <c r="I194" i="3"/>
  <c r="K194" i="3"/>
  <c r="J194" i="3" s="1"/>
  <c r="L194" i="3"/>
  <c r="M194" i="3"/>
  <c r="P194" i="3" s="1"/>
  <c r="N194" i="3"/>
  <c r="O194" i="3" s="1"/>
  <c r="Q194" i="3"/>
  <c r="R194" i="3"/>
  <c r="B195" i="3"/>
  <c r="C195" i="3"/>
  <c r="S195" i="3" s="1"/>
  <c r="D195" i="3"/>
  <c r="I195" i="3"/>
  <c r="K195" i="3"/>
  <c r="J195" i="3" s="1"/>
  <c r="L195" i="3"/>
  <c r="M195" i="3"/>
  <c r="P195" i="3" s="1"/>
  <c r="N195" i="3"/>
  <c r="O195" i="3" s="1"/>
  <c r="Q195" i="3"/>
  <c r="R195" i="3"/>
  <c r="B196" i="3"/>
  <c r="C196" i="3"/>
  <c r="S196" i="3" s="1"/>
  <c r="D196" i="3"/>
  <c r="I196" i="3"/>
  <c r="K196" i="3"/>
  <c r="J196" i="3" s="1"/>
  <c r="L196" i="3"/>
  <c r="M196" i="3"/>
  <c r="P196" i="3" s="1"/>
  <c r="N196" i="3"/>
  <c r="O196" i="3" s="1"/>
  <c r="Q196" i="3"/>
  <c r="R196" i="3"/>
  <c r="B197" i="3"/>
  <c r="C197" i="3"/>
  <c r="S197" i="3" s="1"/>
  <c r="D197" i="3"/>
  <c r="I197" i="3"/>
  <c r="K197" i="3"/>
  <c r="J197" i="3" s="1"/>
  <c r="L197" i="3"/>
  <c r="M197" i="3"/>
  <c r="P197" i="3" s="1"/>
  <c r="N197" i="3"/>
  <c r="O197" i="3" s="1"/>
  <c r="Q197" i="3"/>
  <c r="R197" i="3"/>
  <c r="B198" i="3"/>
  <c r="C198" i="3"/>
  <c r="S198" i="3" s="1"/>
  <c r="D198" i="3"/>
  <c r="I198" i="3"/>
  <c r="K198" i="3"/>
  <c r="J198" i="3" s="1"/>
  <c r="L198" i="3"/>
  <c r="M198" i="3"/>
  <c r="P198" i="3" s="1"/>
  <c r="N198" i="3"/>
  <c r="O198" i="3" s="1"/>
  <c r="Q198" i="3"/>
  <c r="R198" i="3"/>
  <c r="B199" i="3"/>
  <c r="C199" i="3"/>
  <c r="S199" i="3" s="1"/>
  <c r="D199" i="3"/>
  <c r="I199" i="3"/>
  <c r="K199" i="3"/>
  <c r="J199" i="3" s="1"/>
  <c r="L199" i="3"/>
  <c r="M199" i="3"/>
  <c r="P199" i="3" s="1"/>
  <c r="N199" i="3"/>
  <c r="O199" i="3" s="1"/>
  <c r="Q199" i="3"/>
  <c r="R199" i="3"/>
  <c r="B200" i="3"/>
  <c r="C200" i="3"/>
  <c r="S200" i="3" s="1"/>
  <c r="D200" i="3"/>
  <c r="I200" i="3"/>
  <c r="K200" i="3"/>
  <c r="J200" i="3" s="1"/>
  <c r="L200" i="3"/>
  <c r="M200" i="3"/>
  <c r="P200" i="3" s="1"/>
  <c r="N200" i="3"/>
  <c r="O200" i="3" s="1"/>
  <c r="Q200" i="3"/>
  <c r="R200" i="3"/>
  <c r="B201" i="3"/>
  <c r="C201" i="3"/>
  <c r="S201" i="3" s="1"/>
  <c r="D201" i="3"/>
  <c r="I201" i="3"/>
  <c r="K201" i="3"/>
  <c r="J201" i="3" s="1"/>
  <c r="L201" i="3"/>
  <c r="M201" i="3"/>
  <c r="P201" i="3" s="1"/>
  <c r="N201" i="3"/>
  <c r="O201" i="3" s="1"/>
  <c r="Q201" i="3"/>
  <c r="R201" i="3"/>
  <c r="B202" i="3"/>
  <c r="C202" i="3"/>
  <c r="S202" i="3" s="1"/>
  <c r="D202" i="3"/>
  <c r="I202" i="3"/>
  <c r="K202" i="3"/>
  <c r="J202" i="3" s="1"/>
  <c r="L202" i="3"/>
  <c r="M202" i="3"/>
  <c r="P202" i="3" s="1"/>
  <c r="N202" i="3"/>
  <c r="O202" i="3" s="1"/>
  <c r="Q202" i="3"/>
  <c r="R202" i="3"/>
  <c r="B203" i="3"/>
  <c r="C203" i="3"/>
  <c r="S203" i="3" s="1"/>
  <c r="D203" i="3"/>
  <c r="I203" i="3"/>
  <c r="K203" i="3"/>
  <c r="J203" i="3" s="1"/>
  <c r="L203" i="3"/>
  <c r="M203" i="3"/>
  <c r="P203" i="3" s="1"/>
  <c r="N203" i="3"/>
  <c r="O203" i="3" s="1"/>
  <c r="Q203" i="3"/>
  <c r="R203" i="3"/>
  <c r="B204" i="3"/>
  <c r="C204" i="3"/>
  <c r="S204" i="3" s="1"/>
  <c r="D204" i="3"/>
  <c r="I204" i="3"/>
  <c r="K204" i="3"/>
  <c r="J204" i="3" s="1"/>
  <c r="L204" i="3"/>
  <c r="M204" i="3"/>
  <c r="P204" i="3" s="1"/>
  <c r="N204" i="3"/>
  <c r="O204" i="3" s="1"/>
  <c r="Q204" i="3"/>
  <c r="R204" i="3"/>
  <c r="B205" i="3"/>
  <c r="C205" i="3"/>
  <c r="S205" i="3" s="1"/>
  <c r="D205" i="3"/>
  <c r="I205" i="3"/>
  <c r="K205" i="3"/>
  <c r="J205" i="3" s="1"/>
  <c r="L205" i="3"/>
  <c r="M205" i="3"/>
  <c r="P205" i="3" s="1"/>
  <c r="N205" i="3"/>
  <c r="O205" i="3" s="1"/>
  <c r="Q205" i="3"/>
  <c r="R205" i="3"/>
  <c r="B206" i="3"/>
  <c r="C206" i="3"/>
  <c r="S206" i="3" s="1"/>
  <c r="D206" i="3"/>
  <c r="I206" i="3"/>
  <c r="K206" i="3"/>
  <c r="J206" i="3" s="1"/>
  <c r="L206" i="3"/>
  <c r="M206" i="3"/>
  <c r="P206" i="3" s="1"/>
  <c r="N206" i="3"/>
  <c r="O206" i="3" s="1"/>
  <c r="Q206" i="3"/>
  <c r="R206" i="3"/>
  <c r="B207" i="3"/>
  <c r="C207" i="3"/>
  <c r="S207" i="3" s="1"/>
  <c r="D207" i="3"/>
  <c r="I207" i="3"/>
  <c r="K207" i="3"/>
  <c r="J207" i="3" s="1"/>
  <c r="L207" i="3"/>
  <c r="M207" i="3"/>
  <c r="P207" i="3" s="1"/>
  <c r="N207" i="3"/>
  <c r="O207" i="3" s="1"/>
  <c r="Q207" i="3"/>
  <c r="R207" i="3"/>
  <c r="B208" i="3"/>
  <c r="C208" i="3"/>
  <c r="S208" i="3" s="1"/>
  <c r="D208" i="3"/>
  <c r="I208" i="3"/>
  <c r="K208" i="3"/>
  <c r="J208" i="3" s="1"/>
  <c r="L208" i="3"/>
  <c r="M208" i="3"/>
  <c r="P208" i="3" s="1"/>
  <c r="N208" i="3"/>
  <c r="O208" i="3" s="1"/>
  <c r="Q208" i="3"/>
  <c r="R208" i="3"/>
  <c r="B209" i="3"/>
  <c r="C209" i="3"/>
  <c r="S209" i="3" s="1"/>
  <c r="D209" i="3"/>
  <c r="I209" i="3"/>
  <c r="K209" i="3"/>
  <c r="J209" i="3" s="1"/>
  <c r="L209" i="3"/>
  <c r="M209" i="3"/>
  <c r="P209" i="3" s="1"/>
  <c r="N209" i="3"/>
  <c r="O209" i="3" s="1"/>
  <c r="Q209" i="3"/>
  <c r="R209" i="3"/>
  <c r="B210" i="3"/>
  <c r="C210" i="3"/>
  <c r="S210" i="3" s="1"/>
  <c r="D210" i="3"/>
  <c r="I210" i="3"/>
  <c r="K210" i="3"/>
  <c r="J210" i="3" s="1"/>
  <c r="L210" i="3"/>
  <c r="M210" i="3"/>
  <c r="P210" i="3" s="1"/>
  <c r="N210" i="3"/>
  <c r="O210" i="3" s="1"/>
  <c r="Q210" i="3"/>
  <c r="R210" i="3"/>
  <c r="B211" i="3"/>
  <c r="C211" i="3"/>
  <c r="S211" i="3" s="1"/>
  <c r="D211" i="3"/>
  <c r="I211" i="3"/>
  <c r="K211" i="3"/>
  <c r="J211" i="3" s="1"/>
  <c r="L211" i="3"/>
  <c r="M211" i="3"/>
  <c r="P211" i="3" s="1"/>
  <c r="N211" i="3"/>
  <c r="O211" i="3" s="1"/>
  <c r="Q211" i="3"/>
  <c r="R211" i="3"/>
  <c r="B212" i="3"/>
  <c r="C212" i="3"/>
  <c r="S212" i="3" s="1"/>
  <c r="D212" i="3"/>
  <c r="I212" i="3"/>
  <c r="K212" i="3"/>
  <c r="J212" i="3" s="1"/>
  <c r="L212" i="3"/>
  <c r="M212" i="3"/>
  <c r="P212" i="3" s="1"/>
  <c r="N212" i="3"/>
  <c r="O212" i="3" s="1"/>
  <c r="Q212" i="3"/>
  <c r="R212" i="3"/>
  <c r="B213" i="3"/>
  <c r="C213" i="3"/>
  <c r="S213" i="3" s="1"/>
  <c r="D213" i="3"/>
  <c r="I213" i="3"/>
  <c r="K213" i="3"/>
  <c r="J213" i="3" s="1"/>
  <c r="L213" i="3"/>
  <c r="M213" i="3"/>
  <c r="P213" i="3" s="1"/>
  <c r="N213" i="3"/>
  <c r="O213" i="3" s="1"/>
  <c r="Q213" i="3"/>
  <c r="R213" i="3"/>
  <c r="B214" i="3"/>
  <c r="C214" i="3"/>
  <c r="S214" i="3" s="1"/>
  <c r="D214" i="3"/>
  <c r="I214" i="3"/>
  <c r="K214" i="3"/>
  <c r="J214" i="3" s="1"/>
  <c r="L214" i="3"/>
  <c r="M214" i="3"/>
  <c r="P214" i="3" s="1"/>
  <c r="N214" i="3"/>
  <c r="O214" i="3" s="1"/>
  <c r="Q214" i="3"/>
  <c r="R214" i="3"/>
  <c r="B215" i="3"/>
  <c r="C215" i="3"/>
  <c r="S215" i="3" s="1"/>
  <c r="D215" i="3"/>
  <c r="I215" i="3"/>
  <c r="K215" i="3"/>
  <c r="J215" i="3" s="1"/>
  <c r="L215" i="3"/>
  <c r="M215" i="3"/>
  <c r="P215" i="3" s="1"/>
  <c r="N215" i="3"/>
  <c r="O215" i="3" s="1"/>
  <c r="Q215" i="3"/>
  <c r="R215" i="3"/>
  <c r="B216" i="3"/>
  <c r="C216" i="3"/>
  <c r="S216" i="3" s="1"/>
  <c r="D216" i="3"/>
  <c r="I216" i="3"/>
  <c r="K216" i="3"/>
  <c r="J216" i="3" s="1"/>
  <c r="L216" i="3"/>
  <c r="M216" i="3"/>
  <c r="P216" i="3" s="1"/>
  <c r="N216" i="3"/>
  <c r="O216" i="3" s="1"/>
  <c r="Q216" i="3"/>
  <c r="R216" i="3"/>
  <c r="B217" i="3"/>
  <c r="C217" i="3"/>
  <c r="S217" i="3" s="1"/>
  <c r="D217" i="3"/>
  <c r="I217" i="3"/>
  <c r="K217" i="3"/>
  <c r="J217" i="3" s="1"/>
  <c r="L217" i="3"/>
  <c r="M217" i="3"/>
  <c r="P217" i="3" s="1"/>
  <c r="N217" i="3"/>
  <c r="O217" i="3" s="1"/>
  <c r="Q217" i="3"/>
  <c r="R217" i="3"/>
  <c r="B218" i="3"/>
  <c r="C218" i="3"/>
  <c r="S218" i="3" s="1"/>
  <c r="D218" i="3"/>
  <c r="I218" i="3"/>
  <c r="K218" i="3"/>
  <c r="J218" i="3" s="1"/>
  <c r="L218" i="3"/>
  <c r="M218" i="3"/>
  <c r="P218" i="3" s="1"/>
  <c r="N218" i="3"/>
  <c r="O218" i="3" s="1"/>
  <c r="Q218" i="3"/>
  <c r="R218" i="3"/>
  <c r="B219" i="3"/>
  <c r="C219" i="3"/>
  <c r="S219" i="3" s="1"/>
  <c r="D219" i="3"/>
  <c r="I219" i="3"/>
  <c r="K219" i="3"/>
  <c r="J219" i="3" s="1"/>
  <c r="L219" i="3"/>
  <c r="M219" i="3"/>
  <c r="P219" i="3" s="1"/>
  <c r="N219" i="3"/>
  <c r="O219" i="3" s="1"/>
  <c r="Q219" i="3"/>
  <c r="R219" i="3"/>
  <c r="B220" i="3"/>
  <c r="C220" i="3"/>
  <c r="S220" i="3" s="1"/>
  <c r="D220" i="3"/>
  <c r="I220" i="3"/>
  <c r="K220" i="3"/>
  <c r="J220" i="3" s="1"/>
  <c r="L220" i="3"/>
  <c r="M220" i="3"/>
  <c r="P220" i="3" s="1"/>
  <c r="N220" i="3"/>
  <c r="O220" i="3" s="1"/>
  <c r="Q220" i="3"/>
  <c r="R220" i="3"/>
  <c r="B221" i="3"/>
  <c r="C221" i="3"/>
  <c r="S221" i="3" s="1"/>
  <c r="D221" i="3"/>
  <c r="I221" i="3"/>
  <c r="K221" i="3"/>
  <c r="J221" i="3" s="1"/>
  <c r="L221" i="3"/>
  <c r="M221" i="3"/>
  <c r="P221" i="3" s="1"/>
  <c r="N221" i="3"/>
  <c r="O221" i="3" s="1"/>
  <c r="Q221" i="3"/>
  <c r="R221" i="3"/>
  <c r="B222" i="3"/>
  <c r="C222" i="3"/>
  <c r="S222" i="3" s="1"/>
  <c r="D222" i="3"/>
  <c r="I222" i="3"/>
  <c r="K222" i="3"/>
  <c r="J222" i="3" s="1"/>
  <c r="L222" i="3"/>
  <c r="M222" i="3"/>
  <c r="P222" i="3" s="1"/>
  <c r="N222" i="3"/>
  <c r="O222" i="3" s="1"/>
  <c r="Q222" i="3"/>
  <c r="R222" i="3"/>
  <c r="B223" i="3"/>
  <c r="C223" i="3"/>
  <c r="S223" i="3" s="1"/>
  <c r="D223" i="3"/>
  <c r="I223" i="3"/>
  <c r="K223" i="3"/>
  <c r="J223" i="3" s="1"/>
  <c r="L223" i="3"/>
  <c r="M223" i="3"/>
  <c r="P223" i="3" s="1"/>
  <c r="N223" i="3"/>
  <c r="O223" i="3" s="1"/>
  <c r="Q223" i="3"/>
  <c r="R223" i="3"/>
  <c r="B224" i="3"/>
  <c r="C224" i="3"/>
  <c r="S224" i="3" s="1"/>
  <c r="D224" i="3"/>
  <c r="I224" i="3"/>
  <c r="K224" i="3"/>
  <c r="J224" i="3" s="1"/>
  <c r="L224" i="3"/>
  <c r="M224" i="3"/>
  <c r="P224" i="3" s="1"/>
  <c r="N224" i="3"/>
  <c r="O224" i="3" s="1"/>
  <c r="Q224" i="3"/>
  <c r="R224" i="3"/>
  <c r="B225" i="3"/>
  <c r="C225" i="3"/>
  <c r="S225" i="3" s="1"/>
  <c r="D225" i="3"/>
  <c r="H225" i="3"/>
  <c r="I225" i="3" s="1"/>
  <c r="K225" i="3"/>
  <c r="L225" i="3"/>
  <c r="M225" i="3"/>
  <c r="P225" i="3" s="1"/>
  <c r="N225" i="3"/>
  <c r="O225" i="3" s="1"/>
  <c r="Q225" i="3"/>
  <c r="R225" i="3"/>
  <c r="B226" i="3"/>
  <c r="C226" i="3"/>
  <c r="S226" i="3" s="1"/>
  <c r="D226" i="3"/>
  <c r="I226" i="3"/>
  <c r="K226" i="3"/>
  <c r="J226" i="3" s="1"/>
  <c r="L226" i="3"/>
  <c r="M226" i="3"/>
  <c r="P226" i="3" s="1"/>
  <c r="N226" i="3"/>
  <c r="O226" i="3" s="1"/>
  <c r="Q226" i="3"/>
  <c r="R226" i="3"/>
  <c r="B227" i="3"/>
  <c r="C227" i="3"/>
  <c r="S227" i="3" s="1"/>
  <c r="D227" i="3"/>
  <c r="I227" i="3"/>
  <c r="K227" i="3"/>
  <c r="J227" i="3" s="1"/>
  <c r="L227" i="3"/>
  <c r="M227" i="3"/>
  <c r="P227" i="3" s="1"/>
  <c r="N227" i="3"/>
  <c r="O227" i="3" s="1"/>
  <c r="Q227" i="3"/>
  <c r="R227" i="3"/>
  <c r="B228" i="3"/>
  <c r="C228" i="3"/>
  <c r="S228" i="3" s="1"/>
  <c r="D228" i="3"/>
  <c r="I228" i="3"/>
  <c r="K228" i="3"/>
  <c r="J228" i="3" s="1"/>
  <c r="L228" i="3"/>
  <c r="M228" i="3"/>
  <c r="P228" i="3" s="1"/>
  <c r="N228" i="3"/>
  <c r="O228" i="3" s="1"/>
  <c r="Q228" i="3"/>
  <c r="R228" i="3"/>
  <c r="B229" i="3"/>
  <c r="C229" i="3"/>
  <c r="S229" i="3" s="1"/>
  <c r="D229" i="3"/>
  <c r="I229" i="3"/>
  <c r="K229" i="3"/>
  <c r="J229" i="3" s="1"/>
  <c r="L229" i="3"/>
  <c r="M229" i="3"/>
  <c r="P229" i="3" s="1"/>
  <c r="N229" i="3"/>
  <c r="O229" i="3" s="1"/>
  <c r="Q229" i="3"/>
  <c r="R229" i="3"/>
  <c r="B230" i="3"/>
  <c r="C230" i="3"/>
  <c r="S230" i="3" s="1"/>
  <c r="D230" i="3"/>
  <c r="I230" i="3"/>
  <c r="K230" i="3"/>
  <c r="J230" i="3" s="1"/>
  <c r="L230" i="3"/>
  <c r="M230" i="3"/>
  <c r="P230" i="3" s="1"/>
  <c r="N230" i="3"/>
  <c r="O230" i="3" s="1"/>
  <c r="Q230" i="3"/>
  <c r="R230" i="3"/>
  <c r="B231" i="3"/>
  <c r="C231" i="3"/>
  <c r="S231" i="3" s="1"/>
  <c r="D231" i="3"/>
  <c r="I231" i="3"/>
  <c r="K231" i="3"/>
  <c r="J231" i="3" s="1"/>
  <c r="L231" i="3"/>
  <c r="M231" i="3"/>
  <c r="P231" i="3" s="1"/>
  <c r="N231" i="3"/>
  <c r="O231" i="3" s="1"/>
  <c r="Q231" i="3"/>
  <c r="R231" i="3"/>
  <c r="B232" i="3"/>
  <c r="C232" i="3"/>
  <c r="S232" i="3" s="1"/>
  <c r="D232" i="3"/>
  <c r="I232" i="3"/>
  <c r="K232" i="3"/>
  <c r="J232" i="3" s="1"/>
  <c r="L232" i="3"/>
  <c r="M232" i="3"/>
  <c r="P232" i="3" s="1"/>
  <c r="N232" i="3"/>
  <c r="O232" i="3" s="1"/>
  <c r="Q232" i="3"/>
  <c r="R232" i="3"/>
  <c r="B233" i="3"/>
  <c r="C233" i="3"/>
  <c r="S233" i="3" s="1"/>
  <c r="D233" i="3"/>
  <c r="I233" i="3"/>
  <c r="K233" i="3"/>
  <c r="J233" i="3" s="1"/>
  <c r="L233" i="3"/>
  <c r="M233" i="3"/>
  <c r="P233" i="3" s="1"/>
  <c r="N233" i="3"/>
  <c r="O233" i="3" s="1"/>
  <c r="Q233" i="3"/>
  <c r="R233" i="3"/>
  <c r="B234" i="3"/>
  <c r="C234" i="3"/>
  <c r="S234" i="3" s="1"/>
  <c r="D234" i="3"/>
  <c r="I234" i="3"/>
  <c r="K234" i="3"/>
  <c r="J234" i="3" s="1"/>
  <c r="L234" i="3"/>
  <c r="M234" i="3"/>
  <c r="P234" i="3" s="1"/>
  <c r="N234" i="3"/>
  <c r="O234" i="3" s="1"/>
  <c r="Q234" i="3"/>
  <c r="R234" i="3"/>
  <c r="B235" i="3"/>
  <c r="C235" i="3"/>
  <c r="S235" i="3" s="1"/>
  <c r="D235" i="3"/>
  <c r="I235" i="3"/>
  <c r="K235" i="3"/>
  <c r="J235" i="3" s="1"/>
  <c r="L235" i="3"/>
  <c r="M235" i="3"/>
  <c r="P235" i="3" s="1"/>
  <c r="N235" i="3"/>
  <c r="O235" i="3" s="1"/>
  <c r="Q235" i="3"/>
  <c r="R235" i="3"/>
  <c r="B236" i="3"/>
  <c r="C236" i="3"/>
  <c r="S236" i="3" s="1"/>
  <c r="D236" i="3"/>
  <c r="I236" i="3"/>
  <c r="K236" i="3"/>
  <c r="J236" i="3" s="1"/>
  <c r="L236" i="3"/>
  <c r="M236" i="3"/>
  <c r="P236" i="3" s="1"/>
  <c r="N236" i="3"/>
  <c r="O236" i="3" s="1"/>
  <c r="Q236" i="3"/>
  <c r="R236" i="3"/>
  <c r="B237" i="3"/>
  <c r="C237" i="3"/>
  <c r="S237" i="3" s="1"/>
  <c r="D237" i="3"/>
  <c r="I237" i="3"/>
  <c r="K237" i="3"/>
  <c r="J237" i="3" s="1"/>
  <c r="L237" i="3"/>
  <c r="M237" i="3"/>
  <c r="P237" i="3" s="1"/>
  <c r="N237" i="3"/>
  <c r="O237" i="3" s="1"/>
  <c r="Q237" i="3"/>
  <c r="R237" i="3"/>
  <c r="B238" i="3"/>
  <c r="C238" i="3"/>
  <c r="S238" i="3" s="1"/>
  <c r="D238" i="3"/>
  <c r="I238" i="3"/>
  <c r="K238" i="3"/>
  <c r="J238" i="3" s="1"/>
  <c r="L238" i="3"/>
  <c r="M238" i="3"/>
  <c r="P238" i="3" s="1"/>
  <c r="N238" i="3"/>
  <c r="O238" i="3" s="1"/>
  <c r="Q238" i="3"/>
  <c r="R238" i="3"/>
  <c r="B239" i="3"/>
  <c r="C239" i="3"/>
  <c r="S239" i="3" s="1"/>
  <c r="D239" i="3"/>
  <c r="I239" i="3"/>
  <c r="K239" i="3"/>
  <c r="J239" i="3" s="1"/>
  <c r="L239" i="3"/>
  <c r="M239" i="3"/>
  <c r="P239" i="3" s="1"/>
  <c r="N239" i="3"/>
  <c r="O239" i="3" s="1"/>
  <c r="Q239" i="3"/>
  <c r="R239" i="3"/>
  <c r="B240" i="3"/>
  <c r="C240" i="3"/>
  <c r="S240" i="3" s="1"/>
  <c r="D240" i="3"/>
  <c r="I240" i="3"/>
  <c r="K240" i="3"/>
  <c r="J240" i="3" s="1"/>
  <c r="L240" i="3"/>
  <c r="M240" i="3"/>
  <c r="P240" i="3" s="1"/>
  <c r="N240" i="3"/>
  <c r="O240" i="3" s="1"/>
  <c r="Q240" i="3"/>
  <c r="R240" i="3"/>
  <c r="B241" i="3"/>
  <c r="C241" i="3"/>
  <c r="S241" i="3" s="1"/>
  <c r="D241" i="3"/>
  <c r="I241" i="3"/>
  <c r="K241" i="3"/>
  <c r="J241" i="3" s="1"/>
  <c r="L241" i="3"/>
  <c r="M241" i="3"/>
  <c r="P241" i="3" s="1"/>
  <c r="N241" i="3"/>
  <c r="O241" i="3" s="1"/>
  <c r="Q241" i="3"/>
  <c r="R241" i="3"/>
  <c r="B242" i="3"/>
  <c r="C242" i="3"/>
  <c r="S242" i="3" s="1"/>
  <c r="D242" i="3"/>
  <c r="I242" i="3"/>
  <c r="K242" i="3"/>
  <c r="J242" i="3" s="1"/>
  <c r="L242" i="3"/>
  <c r="M242" i="3"/>
  <c r="P242" i="3" s="1"/>
  <c r="N242" i="3"/>
  <c r="O242" i="3" s="1"/>
  <c r="Q242" i="3"/>
  <c r="R242" i="3"/>
  <c r="B243" i="3"/>
  <c r="C243" i="3"/>
  <c r="S243" i="3" s="1"/>
  <c r="D243" i="3"/>
  <c r="H243" i="3"/>
  <c r="I243" i="3" s="1"/>
  <c r="K243" i="3"/>
  <c r="L243" i="3"/>
  <c r="M243" i="3"/>
  <c r="P243" i="3" s="1"/>
  <c r="N243" i="3"/>
  <c r="O243" i="3" s="1"/>
  <c r="Q243" i="3"/>
  <c r="R243" i="3"/>
  <c r="B244" i="3"/>
  <c r="C244" i="3"/>
  <c r="S244" i="3" s="1"/>
  <c r="D244" i="3"/>
  <c r="I244" i="3"/>
  <c r="K244" i="3"/>
  <c r="J244" i="3" s="1"/>
  <c r="L244" i="3"/>
  <c r="M244" i="3"/>
  <c r="P244" i="3" s="1"/>
  <c r="N244" i="3"/>
  <c r="O244" i="3" s="1"/>
  <c r="Q244" i="3"/>
  <c r="R244" i="3"/>
  <c r="B245" i="3"/>
  <c r="C245" i="3"/>
  <c r="S245" i="3" s="1"/>
  <c r="D245" i="3"/>
  <c r="I245" i="3"/>
  <c r="K245" i="3"/>
  <c r="J245" i="3" s="1"/>
  <c r="L245" i="3"/>
  <c r="M245" i="3"/>
  <c r="P245" i="3" s="1"/>
  <c r="N245" i="3"/>
  <c r="O245" i="3" s="1"/>
  <c r="Q245" i="3"/>
  <c r="R245" i="3"/>
  <c r="B246" i="3"/>
  <c r="C246" i="3"/>
  <c r="S246" i="3" s="1"/>
  <c r="D246" i="3"/>
  <c r="I246" i="3"/>
  <c r="K246" i="3"/>
  <c r="J246" i="3" s="1"/>
  <c r="L246" i="3"/>
  <c r="M246" i="3"/>
  <c r="P246" i="3" s="1"/>
  <c r="N246" i="3"/>
  <c r="O246" i="3" s="1"/>
  <c r="Q246" i="3"/>
  <c r="R246" i="3"/>
  <c r="B247" i="3"/>
  <c r="C247" i="3"/>
  <c r="S247" i="3" s="1"/>
  <c r="D247" i="3"/>
  <c r="I247" i="3"/>
  <c r="K247" i="3"/>
  <c r="J247" i="3" s="1"/>
  <c r="L247" i="3"/>
  <c r="M247" i="3"/>
  <c r="P247" i="3" s="1"/>
  <c r="N247" i="3"/>
  <c r="O247" i="3" s="1"/>
  <c r="Q247" i="3"/>
  <c r="R247" i="3"/>
  <c r="B248" i="3"/>
  <c r="C248" i="3"/>
  <c r="S248" i="3" s="1"/>
  <c r="D248" i="3"/>
  <c r="I248" i="3"/>
  <c r="K248" i="3"/>
  <c r="J248" i="3" s="1"/>
  <c r="L248" i="3"/>
  <c r="M248" i="3"/>
  <c r="P248" i="3" s="1"/>
  <c r="N248" i="3"/>
  <c r="O248" i="3" s="1"/>
  <c r="Q248" i="3"/>
  <c r="R248" i="3"/>
  <c r="B249" i="3"/>
  <c r="C249" i="3"/>
  <c r="S249" i="3" s="1"/>
  <c r="D249" i="3"/>
  <c r="I249" i="3"/>
  <c r="K249" i="3"/>
  <c r="J249" i="3" s="1"/>
  <c r="L249" i="3"/>
  <c r="M249" i="3"/>
  <c r="P249" i="3" s="1"/>
  <c r="N249" i="3"/>
  <c r="O249" i="3" s="1"/>
  <c r="Q249" i="3"/>
  <c r="R249" i="3"/>
  <c r="B250" i="3"/>
  <c r="C250" i="3"/>
  <c r="S250" i="3" s="1"/>
  <c r="D250" i="3"/>
  <c r="I250" i="3"/>
  <c r="K250" i="3"/>
  <c r="J250" i="3" s="1"/>
  <c r="L250" i="3"/>
  <c r="M250" i="3"/>
  <c r="P250" i="3" s="1"/>
  <c r="N250" i="3"/>
  <c r="O250" i="3" s="1"/>
  <c r="Q250" i="3"/>
  <c r="R250" i="3"/>
  <c r="B251" i="3"/>
  <c r="C251" i="3"/>
  <c r="S251" i="3" s="1"/>
  <c r="D251" i="3"/>
  <c r="I251" i="3"/>
  <c r="K251" i="3"/>
  <c r="J251" i="3" s="1"/>
  <c r="L251" i="3"/>
  <c r="M251" i="3"/>
  <c r="P251" i="3" s="1"/>
  <c r="N251" i="3"/>
  <c r="O251" i="3" s="1"/>
  <c r="Q251" i="3"/>
  <c r="R251" i="3"/>
  <c r="B252" i="3"/>
  <c r="C252" i="3"/>
  <c r="S252" i="3" s="1"/>
  <c r="D252" i="3"/>
  <c r="I252" i="3"/>
  <c r="K252" i="3"/>
  <c r="J252" i="3" s="1"/>
  <c r="L252" i="3"/>
  <c r="M252" i="3"/>
  <c r="P252" i="3" s="1"/>
  <c r="N252" i="3"/>
  <c r="O252" i="3" s="1"/>
  <c r="Q252" i="3"/>
  <c r="R252" i="3"/>
  <c r="B253" i="3"/>
  <c r="C253" i="3"/>
  <c r="S253" i="3" s="1"/>
  <c r="D253" i="3"/>
  <c r="I253" i="3"/>
  <c r="K253" i="3"/>
  <c r="J253" i="3" s="1"/>
  <c r="L253" i="3"/>
  <c r="M253" i="3"/>
  <c r="P253" i="3" s="1"/>
  <c r="N253" i="3"/>
  <c r="O253" i="3" s="1"/>
  <c r="Q253" i="3"/>
  <c r="R253" i="3"/>
  <c r="B254" i="3"/>
  <c r="C254" i="3"/>
  <c r="S254" i="3" s="1"/>
  <c r="D254" i="3"/>
  <c r="I254" i="3"/>
  <c r="K254" i="3"/>
  <c r="J254" i="3" s="1"/>
  <c r="L254" i="3"/>
  <c r="M254" i="3"/>
  <c r="P254" i="3" s="1"/>
  <c r="N254" i="3"/>
  <c r="O254" i="3" s="1"/>
  <c r="Q254" i="3"/>
  <c r="R254" i="3"/>
  <c r="B255" i="3"/>
  <c r="C255" i="3"/>
  <c r="S255" i="3" s="1"/>
  <c r="D255" i="3"/>
  <c r="I255" i="3"/>
  <c r="K255" i="3"/>
  <c r="J255" i="3" s="1"/>
  <c r="L255" i="3"/>
  <c r="M255" i="3"/>
  <c r="P255" i="3" s="1"/>
  <c r="N255" i="3"/>
  <c r="O255" i="3" s="1"/>
  <c r="Q255" i="3"/>
  <c r="R255" i="3"/>
  <c r="B256" i="3"/>
  <c r="C256" i="3"/>
  <c r="S256" i="3" s="1"/>
  <c r="D256" i="3"/>
  <c r="I256" i="3"/>
  <c r="K256" i="3"/>
  <c r="J256" i="3" s="1"/>
  <c r="L256" i="3"/>
  <c r="M256" i="3"/>
  <c r="P256" i="3" s="1"/>
  <c r="N256" i="3"/>
  <c r="O256" i="3" s="1"/>
  <c r="Q256" i="3"/>
  <c r="R256" i="3"/>
  <c r="B257" i="3"/>
  <c r="C257" i="3"/>
  <c r="S257" i="3" s="1"/>
  <c r="D257" i="3"/>
  <c r="I257" i="3"/>
  <c r="K257" i="3"/>
  <c r="J257" i="3" s="1"/>
  <c r="L257" i="3"/>
  <c r="M257" i="3"/>
  <c r="P257" i="3" s="1"/>
  <c r="N257" i="3"/>
  <c r="O257" i="3" s="1"/>
  <c r="Q257" i="3"/>
  <c r="R257" i="3"/>
  <c r="B258" i="3"/>
  <c r="C258" i="3"/>
  <c r="S258" i="3" s="1"/>
  <c r="D258" i="3"/>
  <c r="I258" i="3"/>
  <c r="K258" i="3"/>
  <c r="J258" i="3" s="1"/>
  <c r="L258" i="3"/>
  <c r="M258" i="3"/>
  <c r="P258" i="3" s="1"/>
  <c r="N258" i="3"/>
  <c r="O258" i="3" s="1"/>
  <c r="Q258" i="3"/>
  <c r="R258" i="3"/>
  <c r="B259" i="3"/>
  <c r="C259" i="3"/>
  <c r="S259" i="3" s="1"/>
  <c r="D259" i="3"/>
  <c r="I259" i="3"/>
  <c r="K259" i="3"/>
  <c r="J259" i="3" s="1"/>
  <c r="L259" i="3"/>
  <c r="M259" i="3"/>
  <c r="P259" i="3" s="1"/>
  <c r="N259" i="3"/>
  <c r="O259" i="3" s="1"/>
  <c r="Q259" i="3"/>
  <c r="R259" i="3"/>
  <c r="B260" i="3"/>
  <c r="C260" i="3"/>
  <c r="S260" i="3" s="1"/>
  <c r="D260" i="3"/>
  <c r="I260" i="3"/>
  <c r="K260" i="3"/>
  <c r="J260" i="3" s="1"/>
  <c r="L260" i="3"/>
  <c r="M260" i="3"/>
  <c r="P260" i="3" s="1"/>
  <c r="N260" i="3"/>
  <c r="O260" i="3" s="1"/>
  <c r="Q260" i="3"/>
  <c r="R260" i="3"/>
  <c r="B261" i="3"/>
  <c r="C261" i="3"/>
  <c r="S261" i="3" s="1"/>
  <c r="D261" i="3"/>
  <c r="I261" i="3"/>
  <c r="K261" i="3"/>
  <c r="J261" i="3" s="1"/>
  <c r="L261" i="3"/>
  <c r="M261" i="3"/>
  <c r="P261" i="3" s="1"/>
  <c r="N261" i="3"/>
  <c r="O261" i="3" s="1"/>
  <c r="Q261" i="3"/>
  <c r="R261" i="3"/>
  <c r="B262" i="3"/>
  <c r="C262" i="3"/>
  <c r="S262" i="3" s="1"/>
  <c r="D262" i="3"/>
  <c r="I262" i="3"/>
  <c r="K262" i="3"/>
  <c r="J262" i="3" s="1"/>
  <c r="L262" i="3"/>
  <c r="M262" i="3"/>
  <c r="P262" i="3" s="1"/>
  <c r="N262" i="3"/>
  <c r="O262" i="3" s="1"/>
  <c r="Q262" i="3"/>
  <c r="R262" i="3"/>
  <c r="B263" i="3"/>
  <c r="C263" i="3"/>
  <c r="S263" i="3" s="1"/>
  <c r="D263" i="3"/>
  <c r="I263" i="3"/>
  <c r="K263" i="3"/>
  <c r="J263" i="3" s="1"/>
  <c r="L263" i="3"/>
  <c r="M263" i="3"/>
  <c r="P263" i="3" s="1"/>
  <c r="N263" i="3"/>
  <c r="O263" i="3" s="1"/>
  <c r="Q263" i="3"/>
  <c r="R263" i="3"/>
  <c r="B264" i="3"/>
  <c r="C264" i="3"/>
  <c r="S264" i="3" s="1"/>
  <c r="D264" i="3"/>
  <c r="I264" i="3"/>
  <c r="K264" i="3"/>
  <c r="J264" i="3" s="1"/>
  <c r="L264" i="3"/>
  <c r="M264" i="3"/>
  <c r="P264" i="3" s="1"/>
  <c r="N264" i="3"/>
  <c r="O264" i="3" s="1"/>
  <c r="Q264" i="3"/>
  <c r="R264" i="3"/>
  <c r="B265" i="3"/>
  <c r="C265" i="3"/>
  <c r="S265" i="3" s="1"/>
  <c r="D265" i="3"/>
  <c r="I265" i="3"/>
  <c r="K265" i="3"/>
  <c r="J265" i="3" s="1"/>
  <c r="L265" i="3"/>
  <c r="M265" i="3"/>
  <c r="P265" i="3" s="1"/>
  <c r="N265" i="3"/>
  <c r="O265" i="3" s="1"/>
  <c r="Q265" i="3"/>
  <c r="R265" i="3"/>
  <c r="B266" i="3"/>
  <c r="C266" i="3"/>
  <c r="S266" i="3" s="1"/>
  <c r="D266" i="3"/>
  <c r="I266" i="3"/>
  <c r="K266" i="3"/>
  <c r="J266" i="3" s="1"/>
  <c r="L266" i="3"/>
  <c r="M266" i="3"/>
  <c r="P266" i="3" s="1"/>
  <c r="N266" i="3"/>
  <c r="O266" i="3" s="1"/>
  <c r="Q266" i="3"/>
  <c r="R266" i="3"/>
  <c r="B267" i="3"/>
  <c r="C267" i="3"/>
  <c r="S267" i="3" s="1"/>
  <c r="D267" i="3"/>
  <c r="I267" i="3"/>
  <c r="K267" i="3"/>
  <c r="J267" i="3" s="1"/>
  <c r="L267" i="3"/>
  <c r="M267" i="3"/>
  <c r="P267" i="3" s="1"/>
  <c r="N267" i="3"/>
  <c r="O267" i="3" s="1"/>
  <c r="Q267" i="3"/>
  <c r="R267" i="3"/>
  <c r="B268" i="3"/>
  <c r="C268" i="3"/>
  <c r="S268" i="3" s="1"/>
  <c r="D268" i="3"/>
  <c r="I268" i="3"/>
  <c r="K268" i="3"/>
  <c r="J268" i="3" s="1"/>
  <c r="L268" i="3"/>
  <c r="M268" i="3"/>
  <c r="P268" i="3" s="1"/>
  <c r="N268" i="3"/>
  <c r="O268" i="3" s="1"/>
  <c r="Q268" i="3"/>
  <c r="R268" i="3"/>
  <c r="B269" i="3"/>
  <c r="C269" i="3"/>
  <c r="S269" i="3" s="1"/>
  <c r="D269" i="3"/>
  <c r="I269" i="3"/>
  <c r="K269" i="3"/>
  <c r="J269" i="3" s="1"/>
  <c r="L269" i="3"/>
  <c r="M269" i="3"/>
  <c r="P269" i="3" s="1"/>
  <c r="N269" i="3"/>
  <c r="O269" i="3" s="1"/>
  <c r="Q269" i="3"/>
  <c r="R269" i="3"/>
  <c r="B270" i="3"/>
  <c r="C270" i="3"/>
  <c r="S270" i="3" s="1"/>
  <c r="D270" i="3"/>
  <c r="I270" i="3"/>
  <c r="K270" i="3"/>
  <c r="J270" i="3" s="1"/>
  <c r="L270" i="3"/>
  <c r="M270" i="3"/>
  <c r="P270" i="3" s="1"/>
  <c r="N270" i="3"/>
  <c r="O270" i="3" s="1"/>
  <c r="Q270" i="3"/>
  <c r="R270" i="3"/>
  <c r="B271" i="3"/>
  <c r="C271" i="3"/>
  <c r="S271" i="3" s="1"/>
  <c r="D271" i="3"/>
  <c r="I271" i="3"/>
  <c r="K271" i="3"/>
  <c r="J271" i="3" s="1"/>
  <c r="L271" i="3"/>
  <c r="M271" i="3"/>
  <c r="P271" i="3" s="1"/>
  <c r="N271" i="3"/>
  <c r="O271" i="3" s="1"/>
  <c r="Q271" i="3"/>
  <c r="R271" i="3"/>
  <c r="B272" i="3"/>
  <c r="C272" i="3"/>
  <c r="S272" i="3" s="1"/>
  <c r="D272" i="3"/>
  <c r="I272" i="3"/>
  <c r="K272" i="3"/>
  <c r="J272" i="3" s="1"/>
  <c r="L272" i="3"/>
  <c r="M272" i="3"/>
  <c r="P272" i="3" s="1"/>
  <c r="N272" i="3"/>
  <c r="O272" i="3" s="1"/>
  <c r="Q272" i="3"/>
  <c r="R272" i="3"/>
  <c r="B273" i="3"/>
  <c r="C273" i="3"/>
  <c r="S273" i="3" s="1"/>
  <c r="D273" i="3"/>
  <c r="I273" i="3"/>
  <c r="K273" i="3"/>
  <c r="J273" i="3" s="1"/>
  <c r="L273" i="3"/>
  <c r="M273" i="3"/>
  <c r="P273" i="3" s="1"/>
  <c r="N273" i="3"/>
  <c r="O273" i="3" s="1"/>
  <c r="Q273" i="3"/>
  <c r="R273" i="3"/>
  <c r="B274" i="3"/>
  <c r="C274" i="3"/>
  <c r="S274" i="3" s="1"/>
  <c r="D274" i="3"/>
  <c r="I274" i="3"/>
  <c r="K274" i="3"/>
  <c r="J274" i="3" s="1"/>
  <c r="L274" i="3"/>
  <c r="M274" i="3"/>
  <c r="P274" i="3" s="1"/>
  <c r="N274" i="3"/>
  <c r="O274" i="3" s="1"/>
  <c r="Q274" i="3"/>
  <c r="R274" i="3"/>
  <c r="B275" i="3"/>
  <c r="C275" i="3"/>
  <c r="S275" i="3" s="1"/>
  <c r="D275" i="3"/>
  <c r="I275" i="3"/>
  <c r="K275" i="3"/>
  <c r="J275" i="3" s="1"/>
  <c r="L275" i="3"/>
  <c r="M275" i="3"/>
  <c r="P275" i="3" s="1"/>
  <c r="N275" i="3"/>
  <c r="O275" i="3" s="1"/>
  <c r="Q275" i="3"/>
  <c r="R275" i="3"/>
  <c r="B276" i="3"/>
  <c r="C276" i="3"/>
  <c r="S276" i="3" s="1"/>
  <c r="D276" i="3"/>
  <c r="I276" i="3"/>
  <c r="K276" i="3"/>
  <c r="J276" i="3" s="1"/>
  <c r="L276" i="3"/>
  <c r="M276" i="3"/>
  <c r="P276" i="3" s="1"/>
  <c r="N276" i="3"/>
  <c r="O276" i="3" s="1"/>
  <c r="Q276" i="3"/>
  <c r="R276" i="3"/>
  <c r="B277" i="3"/>
  <c r="C277" i="3"/>
  <c r="S277" i="3" s="1"/>
  <c r="D277" i="3"/>
  <c r="I277" i="3"/>
  <c r="K277" i="3"/>
  <c r="J277" i="3" s="1"/>
  <c r="L277" i="3"/>
  <c r="M277" i="3"/>
  <c r="P277" i="3" s="1"/>
  <c r="N277" i="3"/>
  <c r="O277" i="3" s="1"/>
  <c r="Q277" i="3"/>
  <c r="R277" i="3"/>
  <c r="B278" i="3"/>
  <c r="C278" i="3"/>
  <c r="S278" i="3" s="1"/>
  <c r="D278" i="3"/>
  <c r="I278" i="3"/>
  <c r="K278" i="3"/>
  <c r="J278" i="3" s="1"/>
  <c r="L278" i="3"/>
  <c r="M278" i="3"/>
  <c r="P278" i="3" s="1"/>
  <c r="N278" i="3"/>
  <c r="O278" i="3" s="1"/>
  <c r="Q278" i="3"/>
  <c r="R278" i="3"/>
  <c r="B279" i="3"/>
  <c r="C279" i="3"/>
  <c r="S279" i="3" s="1"/>
  <c r="D279" i="3"/>
  <c r="I279" i="3"/>
  <c r="K279" i="3"/>
  <c r="J279" i="3" s="1"/>
  <c r="L279" i="3"/>
  <c r="M279" i="3"/>
  <c r="P279" i="3" s="1"/>
  <c r="N279" i="3"/>
  <c r="O279" i="3" s="1"/>
  <c r="Q279" i="3"/>
  <c r="R279" i="3"/>
  <c r="B280" i="3"/>
  <c r="C280" i="3"/>
  <c r="S280" i="3" s="1"/>
  <c r="D280" i="3"/>
  <c r="I280" i="3"/>
  <c r="K280" i="3"/>
  <c r="J280" i="3" s="1"/>
  <c r="L280" i="3"/>
  <c r="M280" i="3"/>
  <c r="P280" i="3" s="1"/>
  <c r="N280" i="3"/>
  <c r="O280" i="3" s="1"/>
  <c r="Q280" i="3"/>
  <c r="R280" i="3"/>
  <c r="B281" i="3"/>
  <c r="C281" i="3"/>
  <c r="S281" i="3" s="1"/>
  <c r="D281" i="3"/>
  <c r="I281" i="3"/>
  <c r="K281" i="3"/>
  <c r="J281" i="3" s="1"/>
  <c r="L281" i="3"/>
  <c r="M281" i="3"/>
  <c r="P281" i="3" s="1"/>
  <c r="N281" i="3"/>
  <c r="O281" i="3" s="1"/>
  <c r="Q281" i="3"/>
  <c r="R281" i="3"/>
  <c r="B282" i="3"/>
  <c r="C282" i="3"/>
  <c r="S282" i="3" s="1"/>
  <c r="D282" i="3"/>
  <c r="I282" i="3"/>
  <c r="K282" i="3"/>
  <c r="J282" i="3" s="1"/>
  <c r="L282" i="3"/>
  <c r="M282" i="3"/>
  <c r="P282" i="3" s="1"/>
  <c r="N282" i="3"/>
  <c r="O282" i="3" s="1"/>
  <c r="Q282" i="3"/>
  <c r="R282" i="3"/>
  <c r="B283" i="3"/>
  <c r="C283" i="3"/>
  <c r="S283" i="3" s="1"/>
  <c r="D283" i="3"/>
  <c r="I283" i="3"/>
  <c r="K283" i="3"/>
  <c r="J283" i="3" s="1"/>
  <c r="L283" i="3"/>
  <c r="M283" i="3"/>
  <c r="P283" i="3" s="1"/>
  <c r="N283" i="3"/>
  <c r="O283" i="3" s="1"/>
  <c r="Q283" i="3"/>
  <c r="R283" i="3"/>
  <c r="B284" i="3"/>
  <c r="C284" i="3"/>
  <c r="S284" i="3" s="1"/>
  <c r="D284" i="3"/>
  <c r="I284" i="3"/>
  <c r="K284" i="3"/>
  <c r="J284" i="3" s="1"/>
  <c r="L284" i="3"/>
  <c r="M284" i="3"/>
  <c r="P284" i="3" s="1"/>
  <c r="N284" i="3"/>
  <c r="O284" i="3" s="1"/>
  <c r="Q284" i="3"/>
  <c r="R284" i="3"/>
  <c r="B285" i="3"/>
  <c r="C285" i="3"/>
  <c r="S285" i="3" s="1"/>
  <c r="D285" i="3"/>
  <c r="I285" i="3"/>
  <c r="K285" i="3"/>
  <c r="J285" i="3" s="1"/>
  <c r="L285" i="3"/>
  <c r="M285" i="3"/>
  <c r="P285" i="3" s="1"/>
  <c r="N285" i="3"/>
  <c r="O285" i="3" s="1"/>
  <c r="Q285" i="3"/>
  <c r="R285" i="3"/>
  <c r="B286" i="3"/>
  <c r="C286" i="3"/>
  <c r="S286" i="3" s="1"/>
  <c r="D286" i="3"/>
  <c r="I286" i="3"/>
  <c r="K286" i="3"/>
  <c r="J286" i="3" s="1"/>
  <c r="L286" i="3"/>
  <c r="M286" i="3"/>
  <c r="P286" i="3" s="1"/>
  <c r="N286" i="3"/>
  <c r="O286" i="3" s="1"/>
  <c r="Q286" i="3"/>
  <c r="R286" i="3"/>
  <c r="B287" i="3"/>
  <c r="C287" i="3"/>
  <c r="S287" i="3" s="1"/>
  <c r="D287" i="3"/>
  <c r="I287" i="3"/>
  <c r="K287" i="3"/>
  <c r="J287" i="3" s="1"/>
  <c r="L287" i="3"/>
  <c r="M287" i="3"/>
  <c r="P287" i="3" s="1"/>
  <c r="N287" i="3"/>
  <c r="O287" i="3" s="1"/>
  <c r="Q287" i="3"/>
  <c r="R287" i="3"/>
  <c r="B288" i="3"/>
  <c r="C288" i="3"/>
  <c r="S288" i="3" s="1"/>
  <c r="D288" i="3"/>
  <c r="I288" i="3"/>
  <c r="K288" i="3"/>
  <c r="J288" i="3" s="1"/>
  <c r="L288" i="3"/>
  <c r="M288" i="3"/>
  <c r="P288" i="3" s="1"/>
  <c r="N288" i="3"/>
  <c r="O288" i="3" s="1"/>
  <c r="Q288" i="3"/>
  <c r="R288" i="3"/>
  <c r="B289" i="3"/>
  <c r="C289" i="3"/>
  <c r="S289" i="3" s="1"/>
  <c r="D289" i="3"/>
  <c r="I289" i="3"/>
  <c r="K289" i="3"/>
  <c r="J289" i="3" s="1"/>
  <c r="L289" i="3"/>
  <c r="M289" i="3"/>
  <c r="P289" i="3" s="1"/>
  <c r="N289" i="3"/>
  <c r="O289" i="3" s="1"/>
  <c r="Q289" i="3"/>
  <c r="R289" i="3"/>
  <c r="B290" i="3"/>
  <c r="C290" i="3"/>
  <c r="S290" i="3" s="1"/>
  <c r="D290" i="3"/>
  <c r="I290" i="3"/>
  <c r="K290" i="3"/>
  <c r="J290" i="3" s="1"/>
  <c r="L290" i="3"/>
  <c r="M290" i="3"/>
  <c r="P290" i="3" s="1"/>
  <c r="N290" i="3"/>
  <c r="O290" i="3" s="1"/>
  <c r="Q290" i="3"/>
  <c r="R290" i="3"/>
  <c r="B291" i="3"/>
  <c r="C291" i="3"/>
  <c r="S291" i="3" s="1"/>
  <c r="D291" i="3"/>
  <c r="H291" i="3"/>
  <c r="I291" i="3" s="1"/>
  <c r="K291" i="3"/>
  <c r="L291" i="3"/>
  <c r="M291" i="3"/>
  <c r="P291" i="3" s="1"/>
  <c r="N291" i="3"/>
  <c r="O291" i="3" s="1"/>
  <c r="Q291" i="3"/>
  <c r="R291" i="3"/>
  <c r="B292" i="3"/>
  <c r="C292" i="3"/>
  <c r="S292" i="3" s="1"/>
  <c r="D292" i="3"/>
  <c r="I292" i="3"/>
  <c r="K292" i="3"/>
  <c r="J292" i="3" s="1"/>
  <c r="L292" i="3"/>
  <c r="M292" i="3"/>
  <c r="P292" i="3" s="1"/>
  <c r="N292" i="3"/>
  <c r="O292" i="3" s="1"/>
  <c r="Q292" i="3"/>
  <c r="R292" i="3"/>
  <c r="B293" i="3"/>
  <c r="C293" i="3"/>
  <c r="S293" i="3" s="1"/>
  <c r="D293" i="3"/>
  <c r="I293" i="3"/>
  <c r="K293" i="3"/>
  <c r="J293" i="3" s="1"/>
  <c r="L293" i="3"/>
  <c r="M293" i="3"/>
  <c r="P293" i="3" s="1"/>
  <c r="N293" i="3"/>
  <c r="O293" i="3" s="1"/>
  <c r="Q293" i="3"/>
  <c r="R293" i="3"/>
  <c r="B294" i="3"/>
  <c r="C294" i="3"/>
  <c r="S294" i="3" s="1"/>
  <c r="D294" i="3"/>
  <c r="I294" i="3"/>
  <c r="K294" i="3"/>
  <c r="J294" i="3" s="1"/>
  <c r="L294" i="3"/>
  <c r="M294" i="3"/>
  <c r="P294" i="3" s="1"/>
  <c r="N294" i="3"/>
  <c r="O294" i="3" s="1"/>
  <c r="Q294" i="3"/>
  <c r="R294" i="3"/>
  <c r="B295" i="3"/>
  <c r="C295" i="3"/>
  <c r="S295" i="3" s="1"/>
  <c r="D295" i="3"/>
  <c r="I295" i="3"/>
  <c r="K295" i="3"/>
  <c r="J295" i="3" s="1"/>
  <c r="L295" i="3"/>
  <c r="M295" i="3"/>
  <c r="P295" i="3" s="1"/>
  <c r="N295" i="3"/>
  <c r="O295" i="3" s="1"/>
  <c r="Q295" i="3"/>
  <c r="R295" i="3"/>
  <c r="B296" i="3"/>
  <c r="C296" i="3"/>
  <c r="S296" i="3" s="1"/>
  <c r="D296" i="3"/>
  <c r="I296" i="3"/>
  <c r="K296" i="3"/>
  <c r="J296" i="3" s="1"/>
  <c r="L296" i="3"/>
  <c r="M296" i="3"/>
  <c r="P296" i="3" s="1"/>
  <c r="N296" i="3"/>
  <c r="O296" i="3" s="1"/>
  <c r="Q296" i="3"/>
  <c r="R296" i="3"/>
  <c r="B297" i="3"/>
  <c r="C297" i="3"/>
  <c r="S297" i="3" s="1"/>
  <c r="D297" i="3"/>
  <c r="H297" i="3"/>
  <c r="I297" i="3" s="1"/>
  <c r="K297" i="3"/>
  <c r="L297" i="3"/>
  <c r="M297" i="3"/>
  <c r="P297" i="3" s="1"/>
  <c r="N297" i="3"/>
  <c r="O297" i="3" s="1"/>
  <c r="Q297" i="3"/>
  <c r="R297" i="3"/>
  <c r="B298" i="3"/>
  <c r="C298" i="3"/>
  <c r="S298" i="3" s="1"/>
  <c r="D298" i="3"/>
  <c r="I298" i="3"/>
  <c r="K298" i="3"/>
  <c r="J298" i="3" s="1"/>
  <c r="L298" i="3"/>
  <c r="M298" i="3"/>
  <c r="P298" i="3" s="1"/>
  <c r="N298" i="3"/>
  <c r="O298" i="3" s="1"/>
  <c r="Q298" i="3"/>
  <c r="R298" i="3"/>
  <c r="B299" i="3"/>
  <c r="C299" i="3"/>
  <c r="S299" i="3" s="1"/>
  <c r="D299" i="3"/>
  <c r="I299" i="3"/>
  <c r="K299" i="3"/>
  <c r="J299" i="3" s="1"/>
  <c r="L299" i="3"/>
  <c r="M299" i="3"/>
  <c r="P299" i="3" s="1"/>
  <c r="N299" i="3"/>
  <c r="O299" i="3" s="1"/>
  <c r="Q299" i="3"/>
  <c r="R299" i="3"/>
  <c r="B300" i="3"/>
  <c r="C300" i="3"/>
  <c r="S300" i="3" s="1"/>
  <c r="D300" i="3"/>
  <c r="I300" i="3"/>
  <c r="K300" i="3"/>
  <c r="J300" i="3" s="1"/>
  <c r="L300" i="3"/>
  <c r="M300" i="3"/>
  <c r="P300" i="3" s="1"/>
  <c r="N300" i="3"/>
  <c r="O300" i="3" s="1"/>
  <c r="Q300" i="3"/>
  <c r="R300" i="3"/>
  <c r="B301" i="3"/>
  <c r="C301" i="3"/>
  <c r="S301" i="3" s="1"/>
  <c r="D301" i="3"/>
  <c r="I301" i="3"/>
  <c r="K301" i="3"/>
  <c r="J301" i="3" s="1"/>
  <c r="L301" i="3"/>
  <c r="M301" i="3"/>
  <c r="P301" i="3" s="1"/>
  <c r="N301" i="3"/>
  <c r="O301" i="3" s="1"/>
  <c r="Q301" i="3"/>
  <c r="R301" i="3"/>
  <c r="B302" i="3"/>
  <c r="C302" i="3"/>
  <c r="S302" i="3" s="1"/>
  <c r="D302" i="3"/>
  <c r="I302" i="3"/>
  <c r="K302" i="3"/>
  <c r="J302" i="3" s="1"/>
  <c r="L302" i="3"/>
  <c r="M302" i="3"/>
  <c r="P302" i="3" s="1"/>
  <c r="N302" i="3"/>
  <c r="O302" i="3" s="1"/>
  <c r="Q302" i="3"/>
  <c r="R302" i="3"/>
  <c r="B303" i="3"/>
  <c r="C303" i="3"/>
  <c r="S303" i="3" s="1"/>
  <c r="D303" i="3"/>
  <c r="I303" i="3"/>
  <c r="K303" i="3"/>
  <c r="J303" i="3" s="1"/>
  <c r="L303" i="3"/>
  <c r="M303" i="3"/>
  <c r="P303" i="3" s="1"/>
  <c r="N303" i="3"/>
  <c r="O303" i="3" s="1"/>
  <c r="Q303" i="3"/>
  <c r="R303" i="3"/>
  <c r="B304" i="3"/>
  <c r="C304" i="3"/>
  <c r="S304" i="3" s="1"/>
  <c r="D304" i="3"/>
  <c r="I304" i="3"/>
  <c r="K304" i="3"/>
  <c r="J304" i="3" s="1"/>
  <c r="L304" i="3"/>
  <c r="M304" i="3"/>
  <c r="P304" i="3" s="1"/>
  <c r="N304" i="3"/>
  <c r="O304" i="3" s="1"/>
  <c r="Q304" i="3"/>
  <c r="R304" i="3"/>
  <c r="B305" i="3"/>
  <c r="C305" i="3"/>
  <c r="S305" i="3" s="1"/>
  <c r="D305" i="3"/>
  <c r="I305" i="3"/>
  <c r="K305" i="3"/>
  <c r="J305" i="3" s="1"/>
  <c r="L305" i="3"/>
  <c r="M305" i="3"/>
  <c r="P305" i="3" s="1"/>
  <c r="N305" i="3"/>
  <c r="O305" i="3" s="1"/>
  <c r="Q305" i="3"/>
  <c r="R305" i="3"/>
  <c r="B306" i="3"/>
  <c r="C306" i="3"/>
  <c r="S306" i="3" s="1"/>
  <c r="D306" i="3"/>
  <c r="I306" i="3"/>
  <c r="K306" i="3"/>
  <c r="J306" i="3" s="1"/>
  <c r="L306" i="3"/>
  <c r="M306" i="3"/>
  <c r="P306" i="3" s="1"/>
  <c r="N306" i="3"/>
  <c r="O306" i="3" s="1"/>
  <c r="Q306" i="3"/>
  <c r="R306" i="3"/>
  <c r="B307" i="3"/>
  <c r="C307" i="3"/>
  <c r="S307" i="3" s="1"/>
  <c r="D307" i="3"/>
  <c r="I307" i="3"/>
  <c r="K307" i="3"/>
  <c r="J307" i="3" s="1"/>
  <c r="L307" i="3"/>
  <c r="M307" i="3"/>
  <c r="P307" i="3" s="1"/>
  <c r="N307" i="3"/>
  <c r="O307" i="3" s="1"/>
  <c r="Q307" i="3"/>
  <c r="R307" i="3"/>
  <c r="B308" i="3"/>
  <c r="C308" i="3"/>
  <c r="S308" i="3" s="1"/>
  <c r="D308" i="3"/>
  <c r="I308" i="3"/>
  <c r="K308" i="3"/>
  <c r="J308" i="3" s="1"/>
  <c r="L308" i="3"/>
  <c r="M308" i="3"/>
  <c r="P308" i="3" s="1"/>
  <c r="N308" i="3"/>
  <c r="O308" i="3" s="1"/>
  <c r="Q308" i="3"/>
  <c r="R308" i="3"/>
  <c r="B309" i="3"/>
  <c r="C309" i="3"/>
  <c r="S309" i="3" s="1"/>
  <c r="D309" i="3"/>
  <c r="I309" i="3"/>
  <c r="K309" i="3"/>
  <c r="J309" i="3" s="1"/>
  <c r="L309" i="3"/>
  <c r="M309" i="3"/>
  <c r="P309" i="3" s="1"/>
  <c r="N309" i="3"/>
  <c r="O309" i="3" s="1"/>
  <c r="Q309" i="3"/>
  <c r="R309" i="3"/>
  <c r="B310" i="3"/>
  <c r="C310" i="3"/>
  <c r="S310" i="3" s="1"/>
  <c r="D310" i="3"/>
  <c r="I310" i="3"/>
  <c r="K310" i="3"/>
  <c r="J310" i="3" s="1"/>
  <c r="L310" i="3"/>
  <c r="M310" i="3"/>
  <c r="P310" i="3" s="1"/>
  <c r="N310" i="3"/>
  <c r="O310" i="3" s="1"/>
  <c r="Q310" i="3"/>
  <c r="R310" i="3"/>
  <c r="B311" i="3"/>
  <c r="C311" i="3"/>
  <c r="S311" i="3" s="1"/>
  <c r="D311" i="3"/>
  <c r="I311" i="3"/>
  <c r="K311" i="3"/>
  <c r="J311" i="3" s="1"/>
  <c r="L311" i="3"/>
  <c r="M311" i="3"/>
  <c r="P311" i="3" s="1"/>
  <c r="N311" i="3"/>
  <c r="O311" i="3" s="1"/>
  <c r="Q311" i="3"/>
  <c r="R311" i="3"/>
  <c r="B312" i="3"/>
  <c r="C312" i="3"/>
  <c r="S312" i="3" s="1"/>
  <c r="D312" i="3"/>
  <c r="I312" i="3"/>
  <c r="K312" i="3"/>
  <c r="J312" i="3" s="1"/>
  <c r="L312" i="3"/>
  <c r="M312" i="3"/>
  <c r="P312" i="3" s="1"/>
  <c r="N312" i="3"/>
  <c r="O312" i="3" s="1"/>
  <c r="Q312" i="3"/>
  <c r="R312" i="3"/>
  <c r="B313" i="3"/>
  <c r="C313" i="3"/>
  <c r="S313" i="3" s="1"/>
  <c r="D313" i="3"/>
  <c r="I313" i="3"/>
  <c r="K313" i="3"/>
  <c r="J313" i="3" s="1"/>
  <c r="L313" i="3"/>
  <c r="M313" i="3"/>
  <c r="P313" i="3" s="1"/>
  <c r="N313" i="3"/>
  <c r="O313" i="3" s="1"/>
  <c r="Q313" i="3"/>
  <c r="R313" i="3"/>
  <c r="B314" i="3"/>
  <c r="C314" i="3"/>
  <c r="S314" i="3" s="1"/>
  <c r="D314" i="3"/>
  <c r="I314" i="3"/>
  <c r="K314" i="3"/>
  <c r="J314" i="3" s="1"/>
  <c r="L314" i="3"/>
  <c r="M314" i="3"/>
  <c r="P314" i="3" s="1"/>
  <c r="N314" i="3"/>
  <c r="O314" i="3" s="1"/>
  <c r="Q314" i="3"/>
  <c r="R314" i="3"/>
  <c r="B315" i="3"/>
  <c r="C315" i="3"/>
  <c r="S315" i="3" s="1"/>
  <c r="D315" i="3"/>
  <c r="I315" i="3"/>
  <c r="K315" i="3"/>
  <c r="J315" i="3" s="1"/>
  <c r="L315" i="3"/>
  <c r="M315" i="3"/>
  <c r="P315" i="3" s="1"/>
  <c r="N315" i="3"/>
  <c r="O315" i="3" s="1"/>
  <c r="Q315" i="3"/>
  <c r="R315" i="3"/>
  <c r="B316" i="3"/>
  <c r="C316" i="3"/>
  <c r="S316" i="3" s="1"/>
  <c r="D316" i="3"/>
  <c r="I316" i="3"/>
  <c r="K316" i="3"/>
  <c r="J316" i="3" s="1"/>
  <c r="L316" i="3"/>
  <c r="M316" i="3"/>
  <c r="P316" i="3" s="1"/>
  <c r="N316" i="3"/>
  <c r="O316" i="3" s="1"/>
  <c r="Q316" i="3"/>
  <c r="R316" i="3"/>
  <c r="B317" i="3"/>
  <c r="C317" i="3"/>
  <c r="S317" i="3" s="1"/>
  <c r="D317" i="3"/>
  <c r="I317" i="3"/>
  <c r="K317" i="3"/>
  <c r="J317" i="3" s="1"/>
  <c r="L317" i="3"/>
  <c r="M317" i="3"/>
  <c r="P317" i="3" s="1"/>
  <c r="N317" i="3"/>
  <c r="O317" i="3" s="1"/>
  <c r="Q317" i="3"/>
  <c r="R317" i="3"/>
  <c r="B318" i="3"/>
  <c r="C318" i="3"/>
  <c r="S318" i="3" s="1"/>
  <c r="D318" i="3"/>
  <c r="I318" i="3"/>
  <c r="K318" i="3"/>
  <c r="J318" i="3" s="1"/>
  <c r="L318" i="3"/>
  <c r="M318" i="3"/>
  <c r="P318" i="3" s="1"/>
  <c r="N318" i="3"/>
  <c r="O318" i="3" s="1"/>
  <c r="Q318" i="3"/>
  <c r="R318" i="3"/>
  <c r="B319" i="3"/>
  <c r="C319" i="3"/>
  <c r="S319" i="3" s="1"/>
  <c r="D319" i="3"/>
  <c r="I319" i="3"/>
  <c r="K319" i="3"/>
  <c r="J319" i="3" s="1"/>
  <c r="L319" i="3"/>
  <c r="M319" i="3"/>
  <c r="P319" i="3" s="1"/>
  <c r="N319" i="3"/>
  <c r="O319" i="3" s="1"/>
  <c r="Q319" i="3"/>
  <c r="R319" i="3"/>
  <c r="B320" i="3"/>
  <c r="C320" i="3"/>
  <c r="S320" i="3" s="1"/>
  <c r="D320" i="3"/>
  <c r="I320" i="3"/>
  <c r="K320" i="3"/>
  <c r="J320" i="3" s="1"/>
  <c r="L320" i="3"/>
  <c r="M320" i="3"/>
  <c r="P320" i="3" s="1"/>
  <c r="N320" i="3"/>
  <c r="O320" i="3" s="1"/>
  <c r="Q320" i="3"/>
  <c r="R320" i="3"/>
  <c r="B321" i="3"/>
  <c r="C321" i="3"/>
  <c r="S321" i="3" s="1"/>
  <c r="D321" i="3"/>
  <c r="I321" i="3"/>
  <c r="K321" i="3"/>
  <c r="J321" i="3" s="1"/>
  <c r="L321" i="3"/>
  <c r="M321" i="3"/>
  <c r="P321" i="3" s="1"/>
  <c r="N321" i="3"/>
  <c r="O321" i="3" s="1"/>
  <c r="Q321" i="3"/>
  <c r="R321" i="3"/>
  <c r="B322" i="3"/>
  <c r="C322" i="3"/>
  <c r="S322" i="3" s="1"/>
  <c r="D322" i="3"/>
  <c r="I322" i="3"/>
  <c r="K322" i="3"/>
  <c r="J322" i="3" s="1"/>
  <c r="L322" i="3"/>
  <c r="M322" i="3"/>
  <c r="P322" i="3" s="1"/>
  <c r="N322" i="3"/>
  <c r="O322" i="3" s="1"/>
  <c r="Q322" i="3"/>
  <c r="R322" i="3"/>
  <c r="B323" i="3"/>
  <c r="C323" i="3"/>
  <c r="S323" i="3" s="1"/>
  <c r="D323" i="3"/>
  <c r="I323" i="3"/>
  <c r="K323" i="3"/>
  <c r="J323" i="3" s="1"/>
  <c r="L323" i="3"/>
  <c r="M323" i="3"/>
  <c r="P323" i="3" s="1"/>
  <c r="N323" i="3"/>
  <c r="O323" i="3" s="1"/>
  <c r="Q323" i="3"/>
  <c r="R323" i="3"/>
  <c r="B324" i="3"/>
  <c r="C324" i="3"/>
  <c r="S324" i="3" s="1"/>
  <c r="D324" i="3"/>
  <c r="I324" i="3"/>
  <c r="K324" i="3"/>
  <c r="J324" i="3" s="1"/>
  <c r="L324" i="3"/>
  <c r="M324" i="3"/>
  <c r="P324" i="3" s="1"/>
  <c r="N324" i="3"/>
  <c r="O324" i="3" s="1"/>
  <c r="Q324" i="3"/>
  <c r="R324" i="3"/>
  <c r="B325" i="3"/>
  <c r="C325" i="3"/>
  <c r="S325" i="3" s="1"/>
  <c r="D325" i="3"/>
  <c r="I325" i="3"/>
  <c r="K325" i="3"/>
  <c r="J325" i="3" s="1"/>
  <c r="L325" i="3"/>
  <c r="M325" i="3"/>
  <c r="P325" i="3" s="1"/>
  <c r="N325" i="3"/>
  <c r="O325" i="3" s="1"/>
  <c r="Q325" i="3"/>
  <c r="R325" i="3"/>
  <c r="B326" i="3"/>
  <c r="C326" i="3"/>
  <c r="S326" i="3" s="1"/>
  <c r="D326" i="3"/>
  <c r="I326" i="3"/>
  <c r="K326" i="3"/>
  <c r="J326" i="3" s="1"/>
  <c r="L326" i="3"/>
  <c r="M326" i="3"/>
  <c r="P326" i="3" s="1"/>
  <c r="N326" i="3"/>
  <c r="O326" i="3" s="1"/>
  <c r="Q326" i="3"/>
  <c r="R326" i="3"/>
  <c r="B327" i="3"/>
  <c r="C327" i="3"/>
  <c r="S327" i="3" s="1"/>
  <c r="D327" i="3"/>
  <c r="I327" i="3"/>
  <c r="K327" i="3"/>
  <c r="J327" i="3" s="1"/>
  <c r="L327" i="3"/>
  <c r="M327" i="3"/>
  <c r="P327" i="3" s="1"/>
  <c r="N327" i="3"/>
  <c r="O327" i="3" s="1"/>
  <c r="Q327" i="3"/>
  <c r="R327" i="3"/>
  <c r="B328" i="3"/>
  <c r="C328" i="3"/>
  <c r="S328" i="3" s="1"/>
  <c r="D328" i="3"/>
  <c r="I328" i="3"/>
  <c r="K328" i="3"/>
  <c r="J328" i="3" s="1"/>
  <c r="L328" i="3"/>
  <c r="M328" i="3"/>
  <c r="P328" i="3" s="1"/>
  <c r="N328" i="3"/>
  <c r="O328" i="3" s="1"/>
  <c r="Q328" i="3"/>
  <c r="R328" i="3"/>
  <c r="B329" i="3"/>
  <c r="C329" i="3"/>
  <c r="S329" i="3" s="1"/>
  <c r="D329" i="3"/>
  <c r="I329" i="3"/>
  <c r="K329" i="3"/>
  <c r="J329" i="3" s="1"/>
  <c r="L329" i="3"/>
  <c r="M329" i="3"/>
  <c r="P329" i="3" s="1"/>
  <c r="N329" i="3"/>
  <c r="O329" i="3" s="1"/>
  <c r="Q329" i="3"/>
  <c r="R329" i="3"/>
  <c r="B330" i="3"/>
  <c r="C330" i="3"/>
  <c r="S330" i="3" s="1"/>
  <c r="D330" i="3"/>
  <c r="I330" i="3"/>
  <c r="K330" i="3"/>
  <c r="J330" i="3" s="1"/>
  <c r="L330" i="3"/>
  <c r="M330" i="3"/>
  <c r="P330" i="3" s="1"/>
  <c r="N330" i="3"/>
  <c r="O330" i="3" s="1"/>
  <c r="Q330" i="3"/>
  <c r="R330" i="3"/>
  <c r="B331" i="3"/>
  <c r="C331" i="3"/>
  <c r="S331" i="3" s="1"/>
  <c r="D331" i="3"/>
  <c r="I331" i="3"/>
  <c r="K331" i="3"/>
  <c r="J331" i="3" s="1"/>
  <c r="L331" i="3"/>
  <c r="M331" i="3"/>
  <c r="P331" i="3" s="1"/>
  <c r="N331" i="3"/>
  <c r="O331" i="3" s="1"/>
  <c r="Q331" i="3"/>
  <c r="R331" i="3"/>
  <c r="B332" i="3"/>
  <c r="C332" i="3"/>
  <c r="S332" i="3" s="1"/>
  <c r="D332" i="3"/>
  <c r="I332" i="3"/>
  <c r="K332" i="3"/>
  <c r="J332" i="3" s="1"/>
  <c r="L332" i="3"/>
  <c r="M332" i="3"/>
  <c r="P332" i="3" s="1"/>
  <c r="N332" i="3"/>
  <c r="O332" i="3" s="1"/>
  <c r="Q332" i="3"/>
  <c r="R332" i="3"/>
  <c r="B333" i="3"/>
  <c r="C333" i="3"/>
  <c r="S333" i="3" s="1"/>
  <c r="D333" i="3"/>
  <c r="I333" i="3"/>
  <c r="K333" i="3"/>
  <c r="J333" i="3" s="1"/>
  <c r="L333" i="3"/>
  <c r="M333" i="3"/>
  <c r="P333" i="3" s="1"/>
  <c r="N333" i="3"/>
  <c r="O333" i="3" s="1"/>
  <c r="Q333" i="3"/>
  <c r="R333" i="3"/>
  <c r="B334" i="3"/>
  <c r="C334" i="3"/>
  <c r="S334" i="3" s="1"/>
  <c r="D334" i="3"/>
  <c r="I334" i="3"/>
  <c r="K334" i="3"/>
  <c r="J334" i="3" s="1"/>
  <c r="L334" i="3"/>
  <c r="M334" i="3"/>
  <c r="P334" i="3" s="1"/>
  <c r="N334" i="3"/>
  <c r="O334" i="3" s="1"/>
  <c r="Q334" i="3"/>
  <c r="R334" i="3"/>
  <c r="B335" i="3"/>
  <c r="C335" i="3"/>
  <c r="S335" i="3" s="1"/>
  <c r="D335" i="3"/>
  <c r="I335" i="3"/>
  <c r="K335" i="3"/>
  <c r="J335" i="3" s="1"/>
  <c r="L335" i="3"/>
  <c r="M335" i="3"/>
  <c r="P335" i="3" s="1"/>
  <c r="N335" i="3"/>
  <c r="O335" i="3" s="1"/>
  <c r="Q335" i="3"/>
  <c r="R335" i="3"/>
  <c r="B336" i="3"/>
  <c r="C336" i="3"/>
  <c r="S336" i="3" s="1"/>
  <c r="D336" i="3"/>
  <c r="I336" i="3"/>
  <c r="K336" i="3"/>
  <c r="J336" i="3" s="1"/>
  <c r="L336" i="3"/>
  <c r="M336" i="3"/>
  <c r="P336" i="3" s="1"/>
  <c r="N336" i="3"/>
  <c r="O336" i="3" s="1"/>
  <c r="Q336" i="3"/>
  <c r="R336" i="3"/>
  <c r="B337" i="3"/>
  <c r="C337" i="3"/>
  <c r="S337" i="3" s="1"/>
  <c r="D337" i="3"/>
  <c r="I337" i="3"/>
  <c r="K337" i="3"/>
  <c r="J337" i="3" s="1"/>
  <c r="L337" i="3"/>
  <c r="M337" i="3"/>
  <c r="P337" i="3" s="1"/>
  <c r="N337" i="3"/>
  <c r="O337" i="3" s="1"/>
  <c r="Q337" i="3"/>
  <c r="R337" i="3"/>
  <c r="B338" i="3"/>
  <c r="C338" i="3"/>
  <c r="S338" i="3" s="1"/>
  <c r="D338" i="3"/>
  <c r="I338" i="3"/>
  <c r="K338" i="3"/>
  <c r="J338" i="3" s="1"/>
  <c r="L338" i="3"/>
  <c r="M338" i="3"/>
  <c r="P338" i="3" s="1"/>
  <c r="N338" i="3"/>
  <c r="O338" i="3" s="1"/>
  <c r="Q338" i="3"/>
  <c r="R338" i="3"/>
  <c r="B339" i="3"/>
  <c r="C339" i="3"/>
  <c r="S339" i="3" s="1"/>
  <c r="D339" i="3"/>
  <c r="I339" i="3"/>
  <c r="K339" i="3"/>
  <c r="J339" i="3" s="1"/>
  <c r="L339" i="3"/>
  <c r="M339" i="3"/>
  <c r="P339" i="3" s="1"/>
  <c r="N339" i="3"/>
  <c r="O339" i="3" s="1"/>
  <c r="Q339" i="3"/>
  <c r="R339" i="3"/>
  <c r="B340" i="3"/>
  <c r="C340" i="3"/>
  <c r="S340" i="3" s="1"/>
  <c r="D340" i="3"/>
  <c r="I340" i="3"/>
  <c r="K340" i="3"/>
  <c r="J340" i="3" s="1"/>
  <c r="L340" i="3"/>
  <c r="M340" i="3"/>
  <c r="P340" i="3" s="1"/>
  <c r="N340" i="3"/>
  <c r="O340" i="3" s="1"/>
  <c r="Q340" i="3"/>
  <c r="R340" i="3"/>
  <c r="B341" i="3"/>
  <c r="C341" i="3"/>
  <c r="S341" i="3" s="1"/>
  <c r="D341" i="3"/>
  <c r="I341" i="3"/>
  <c r="K341" i="3"/>
  <c r="J341" i="3" s="1"/>
  <c r="L341" i="3"/>
  <c r="M341" i="3"/>
  <c r="P341" i="3" s="1"/>
  <c r="N341" i="3"/>
  <c r="O341" i="3" s="1"/>
  <c r="Q341" i="3"/>
  <c r="R341" i="3"/>
  <c r="B342" i="3"/>
  <c r="C342" i="3"/>
  <c r="S342" i="3" s="1"/>
  <c r="D342" i="3"/>
  <c r="I342" i="3"/>
  <c r="K342" i="3"/>
  <c r="J342" i="3" s="1"/>
  <c r="L342" i="3"/>
  <c r="M342" i="3"/>
  <c r="P342" i="3" s="1"/>
  <c r="N342" i="3"/>
  <c r="O342" i="3" s="1"/>
  <c r="Q342" i="3"/>
  <c r="R342" i="3"/>
  <c r="B343" i="3"/>
  <c r="C343" i="3"/>
  <c r="S343" i="3" s="1"/>
  <c r="D343" i="3"/>
  <c r="I343" i="3"/>
  <c r="K343" i="3"/>
  <c r="J343" i="3" s="1"/>
  <c r="L343" i="3"/>
  <c r="M343" i="3"/>
  <c r="P343" i="3" s="1"/>
  <c r="N343" i="3"/>
  <c r="O343" i="3" s="1"/>
  <c r="Q343" i="3"/>
  <c r="R343" i="3"/>
  <c r="B344" i="3"/>
  <c r="C344" i="3"/>
  <c r="S344" i="3" s="1"/>
  <c r="D344" i="3"/>
  <c r="I344" i="3"/>
  <c r="K344" i="3"/>
  <c r="J344" i="3" s="1"/>
  <c r="L344" i="3"/>
  <c r="M344" i="3"/>
  <c r="P344" i="3" s="1"/>
  <c r="N344" i="3"/>
  <c r="O344" i="3" s="1"/>
  <c r="Q344" i="3"/>
  <c r="R344" i="3"/>
  <c r="B345" i="3"/>
  <c r="C345" i="3"/>
  <c r="S345" i="3" s="1"/>
  <c r="D345" i="3"/>
  <c r="I345" i="3"/>
  <c r="K345" i="3"/>
  <c r="J345" i="3" s="1"/>
  <c r="L345" i="3"/>
  <c r="M345" i="3"/>
  <c r="P345" i="3" s="1"/>
  <c r="N345" i="3"/>
  <c r="O345" i="3" s="1"/>
  <c r="Q345" i="3"/>
  <c r="R345" i="3"/>
  <c r="B346" i="3"/>
  <c r="C346" i="3"/>
  <c r="S346" i="3" s="1"/>
  <c r="D346" i="3"/>
  <c r="I346" i="3"/>
  <c r="K346" i="3"/>
  <c r="J346" i="3" s="1"/>
  <c r="L346" i="3"/>
  <c r="M346" i="3"/>
  <c r="P346" i="3" s="1"/>
  <c r="N346" i="3"/>
  <c r="O346" i="3" s="1"/>
  <c r="Q346" i="3"/>
  <c r="R346" i="3"/>
  <c r="B347" i="3"/>
  <c r="C347" i="3"/>
  <c r="S347" i="3" s="1"/>
  <c r="D347" i="3"/>
  <c r="I347" i="3"/>
  <c r="K347" i="3"/>
  <c r="J347" i="3" s="1"/>
  <c r="L347" i="3"/>
  <c r="M347" i="3"/>
  <c r="P347" i="3" s="1"/>
  <c r="N347" i="3"/>
  <c r="O347" i="3" s="1"/>
  <c r="Q347" i="3"/>
  <c r="R347" i="3"/>
  <c r="B348" i="3"/>
  <c r="C348" i="3"/>
  <c r="S348" i="3" s="1"/>
  <c r="D348" i="3"/>
  <c r="I348" i="3"/>
  <c r="K348" i="3"/>
  <c r="J348" i="3" s="1"/>
  <c r="L348" i="3"/>
  <c r="M348" i="3"/>
  <c r="P348" i="3" s="1"/>
  <c r="N348" i="3"/>
  <c r="O348" i="3" s="1"/>
  <c r="Q348" i="3"/>
  <c r="R348" i="3"/>
  <c r="B349" i="3"/>
  <c r="C349" i="3"/>
  <c r="S349" i="3" s="1"/>
  <c r="D349" i="3"/>
  <c r="I349" i="3"/>
  <c r="K349" i="3"/>
  <c r="J349" i="3" s="1"/>
  <c r="L349" i="3"/>
  <c r="M349" i="3"/>
  <c r="P349" i="3" s="1"/>
  <c r="N349" i="3"/>
  <c r="O349" i="3" s="1"/>
  <c r="Q349" i="3"/>
  <c r="R349" i="3"/>
  <c r="B350" i="3"/>
  <c r="C350" i="3"/>
  <c r="S350" i="3" s="1"/>
  <c r="D350" i="3"/>
  <c r="I350" i="3"/>
  <c r="K350" i="3"/>
  <c r="J350" i="3" s="1"/>
  <c r="L350" i="3"/>
  <c r="M350" i="3"/>
  <c r="P350" i="3" s="1"/>
  <c r="N350" i="3"/>
  <c r="O350" i="3" s="1"/>
  <c r="Q350" i="3"/>
  <c r="R350" i="3"/>
  <c r="B351" i="3"/>
  <c r="C351" i="3"/>
  <c r="S351" i="3" s="1"/>
  <c r="D351" i="3"/>
  <c r="H351" i="3"/>
  <c r="I351" i="3" s="1"/>
  <c r="K351" i="3"/>
  <c r="L351" i="3"/>
  <c r="M351" i="3"/>
  <c r="P351" i="3" s="1"/>
  <c r="N351" i="3"/>
  <c r="O351" i="3" s="1"/>
  <c r="Q351" i="3"/>
  <c r="R351" i="3"/>
  <c r="B352" i="3"/>
  <c r="C352" i="3"/>
  <c r="S352" i="3" s="1"/>
  <c r="D352" i="3"/>
  <c r="I352" i="3"/>
  <c r="K352" i="3"/>
  <c r="J352" i="3" s="1"/>
  <c r="L352" i="3"/>
  <c r="M352" i="3"/>
  <c r="P352" i="3" s="1"/>
  <c r="N352" i="3"/>
  <c r="O352" i="3" s="1"/>
  <c r="Q352" i="3"/>
  <c r="R352" i="3"/>
  <c r="B353" i="3"/>
  <c r="C353" i="3"/>
  <c r="S353" i="3" s="1"/>
  <c r="D353" i="3"/>
  <c r="I353" i="3"/>
  <c r="K353" i="3"/>
  <c r="J353" i="3" s="1"/>
  <c r="L353" i="3"/>
  <c r="M353" i="3"/>
  <c r="P353" i="3" s="1"/>
  <c r="N353" i="3"/>
  <c r="O353" i="3" s="1"/>
  <c r="Q353" i="3"/>
  <c r="R353" i="3"/>
  <c r="B354" i="3"/>
  <c r="C354" i="3"/>
  <c r="S354" i="3" s="1"/>
  <c r="D354" i="3"/>
  <c r="I354" i="3"/>
  <c r="K354" i="3"/>
  <c r="J354" i="3" s="1"/>
  <c r="L354" i="3"/>
  <c r="M354" i="3"/>
  <c r="P354" i="3" s="1"/>
  <c r="N354" i="3"/>
  <c r="O354" i="3" s="1"/>
  <c r="Q354" i="3"/>
  <c r="R354" i="3"/>
  <c r="B355" i="3"/>
  <c r="C355" i="3"/>
  <c r="S355" i="3" s="1"/>
  <c r="D355" i="3"/>
  <c r="I355" i="3"/>
  <c r="K355" i="3"/>
  <c r="J355" i="3" s="1"/>
  <c r="L355" i="3"/>
  <c r="M355" i="3"/>
  <c r="P355" i="3" s="1"/>
  <c r="N355" i="3"/>
  <c r="O355" i="3" s="1"/>
  <c r="Q355" i="3"/>
  <c r="R355" i="3"/>
  <c r="B356" i="3"/>
  <c r="C356" i="3"/>
  <c r="S356" i="3" s="1"/>
  <c r="D356" i="3"/>
  <c r="I356" i="3"/>
  <c r="K356" i="3"/>
  <c r="J356" i="3" s="1"/>
  <c r="L356" i="3"/>
  <c r="M356" i="3"/>
  <c r="P356" i="3" s="1"/>
  <c r="N356" i="3"/>
  <c r="O356" i="3" s="1"/>
  <c r="Q356" i="3"/>
  <c r="R356" i="3"/>
  <c r="B357" i="3"/>
  <c r="C357" i="3"/>
  <c r="S357" i="3" s="1"/>
  <c r="D357" i="3"/>
  <c r="I357" i="3"/>
  <c r="K357" i="3"/>
  <c r="J357" i="3" s="1"/>
  <c r="L357" i="3"/>
  <c r="M357" i="3"/>
  <c r="P357" i="3" s="1"/>
  <c r="N357" i="3"/>
  <c r="O357" i="3" s="1"/>
  <c r="Q357" i="3"/>
  <c r="R357" i="3"/>
  <c r="B358" i="3"/>
  <c r="C358" i="3"/>
  <c r="S358" i="3" s="1"/>
  <c r="D358" i="3"/>
  <c r="I358" i="3"/>
  <c r="K358" i="3"/>
  <c r="J358" i="3" s="1"/>
  <c r="L358" i="3"/>
  <c r="M358" i="3"/>
  <c r="P358" i="3" s="1"/>
  <c r="N358" i="3"/>
  <c r="O358" i="3" s="1"/>
  <c r="Q358" i="3"/>
  <c r="R358" i="3"/>
  <c r="B359" i="3"/>
  <c r="C359" i="3"/>
  <c r="S359" i="3" s="1"/>
  <c r="D359" i="3"/>
  <c r="I359" i="3"/>
  <c r="K359" i="3"/>
  <c r="J359" i="3" s="1"/>
  <c r="L359" i="3"/>
  <c r="M359" i="3"/>
  <c r="P359" i="3" s="1"/>
  <c r="N359" i="3"/>
  <c r="O359" i="3" s="1"/>
  <c r="Q359" i="3"/>
  <c r="R359" i="3"/>
  <c r="B360" i="3"/>
  <c r="C360" i="3"/>
  <c r="S360" i="3" s="1"/>
  <c r="D360" i="3"/>
  <c r="I360" i="3"/>
  <c r="K360" i="3"/>
  <c r="J360" i="3" s="1"/>
  <c r="L360" i="3"/>
  <c r="M360" i="3"/>
  <c r="P360" i="3" s="1"/>
  <c r="N360" i="3"/>
  <c r="O360" i="3" s="1"/>
  <c r="Q360" i="3"/>
  <c r="R360" i="3"/>
  <c r="B361" i="3"/>
  <c r="C361" i="3"/>
  <c r="S361" i="3" s="1"/>
  <c r="D361" i="3"/>
  <c r="I361" i="3"/>
  <c r="K361" i="3"/>
  <c r="J361" i="3" s="1"/>
  <c r="L361" i="3"/>
  <c r="M361" i="3"/>
  <c r="P361" i="3" s="1"/>
  <c r="N361" i="3"/>
  <c r="O361" i="3" s="1"/>
  <c r="Q361" i="3"/>
  <c r="R361" i="3"/>
  <c r="B362" i="3"/>
  <c r="C362" i="3"/>
  <c r="S362" i="3" s="1"/>
  <c r="D362" i="3"/>
  <c r="I362" i="3"/>
  <c r="K362" i="3"/>
  <c r="J362" i="3" s="1"/>
  <c r="L362" i="3"/>
  <c r="M362" i="3"/>
  <c r="P362" i="3" s="1"/>
  <c r="N362" i="3"/>
  <c r="O362" i="3" s="1"/>
  <c r="Q362" i="3"/>
  <c r="R362" i="3"/>
  <c r="B363" i="3"/>
  <c r="C363" i="3"/>
  <c r="S363" i="3" s="1"/>
  <c r="D363" i="3"/>
  <c r="I363" i="3"/>
  <c r="K363" i="3"/>
  <c r="J363" i="3" s="1"/>
  <c r="L363" i="3"/>
  <c r="M363" i="3"/>
  <c r="P363" i="3" s="1"/>
  <c r="N363" i="3"/>
  <c r="O363" i="3" s="1"/>
  <c r="Q363" i="3"/>
  <c r="R363" i="3"/>
  <c r="B364" i="3"/>
  <c r="C364" i="3"/>
  <c r="S364" i="3" s="1"/>
  <c r="D364" i="3"/>
  <c r="I364" i="3"/>
  <c r="K364" i="3"/>
  <c r="J364" i="3" s="1"/>
  <c r="L364" i="3"/>
  <c r="M364" i="3"/>
  <c r="P364" i="3" s="1"/>
  <c r="N364" i="3"/>
  <c r="O364" i="3" s="1"/>
  <c r="Q364" i="3"/>
  <c r="R364" i="3"/>
  <c r="B365" i="3"/>
  <c r="C365" i="3"/>
  <c r="S365" i="3" s="1"/>
  <c r="D365" i="3"/>
  <c r="I365" i="3"/>
  <c r="K365" i="3"/>
  <c r="J365" i="3" s="1"/>
  <c r="L365" i="3"/>
  <c r="M365" i="3"/>
  <c r="P365" i="3" s="1"/>
  <c r="N365" i="3"/>
  <c r="O365" i="3" s="1"/>
  <c r="Q365" i="3"/>
  <c r="R365" i="3"/>
  <c r="B366" i="3"/>
  <c r="C366" i="3"/>
  <c r="S366" i="3" s="1"/>
  <c r="D366" i="3"/>
  <c r="I366" i="3"/>
  <c r="K366" i="3"/>
  <c r="J366" i="3" s="1"/>
  <c r="L366" i="3"/>
  <c r="M366" i="3"/>
  <c r="P366" i="3" s="1"/>
  <c r="N366" i="3"/>
  <c r="O366" i="3" s="1"/>
  <c r="Q366" i="3"/>
  <c r="R366" i="3"/>
  <c r="B367" i="3"/>
  <c r="C367" i="3"/>
  <c r="S367" i="3" s="1"/>
  <c r="D367" i="3"/>
  <c r="I367" i="3"/>
  <c r="K367" i="3"/>
  <c r="J367" i="3" s="1"/>
  <c r="L367" i="3"/>
  <c r="M367" i="3"/>
  <c r="P367" i="3" s="1"/>
  <c r="N367" i="3"/>
  <c r="O367" i="3" s="1"/>
  <c r="Q367" i="3"/>
  <c r="R367" i="3"/>
  <c r="B368" i="3"/>
  <c r="C368" i="3"/>
  <c r="S368" i="3" s="1"/>
  <c r="D368" i="3"/>
  <c r="I368" i="3"/>
  <c r="K368" i="3"/>
  <c r="J368" i="3" s="1"/>
  <c r="L368" i="3"/>
  <c r="M368" i="3"/>
  <c r="P368" i="3" s="1"/>
  <c r="N368" i="3"/>
  <c r="O368" i="3" s="1"/>
  <c r="Q368" i="3"/>
  <c r="R368" i="3"/>
  <c r="B369" i="3"/>
  <c r="C369" i="3"/>
  <c r="S369" i="3" s="1"/>
  <c r="D369" i="3"/>
  <c r="I369" i="3"/>
  <c r="K369" i="3"/>
  <c r="J369" i="3" s="1"/>
  <c r="L369" i="3"/>
  <c r="M369" i="3"/>
  <c r="P369" i="3" s="1"/>
  <c r="N369" i="3"/>
  <c r="O369" i="3" s="1"/>
  <c r="Q369" i="3"/>
  <c r="R369" i="3"/>
  <c r="B370" i="3"/>
  <c r="C370" i="3"/>
  <c r="S370" i="3" s="1"/>
  <c r="D370" i="3"/>
  <c r="I370" i="3"/>
  <c r="K370" i="3"/>
  <c r="J370" i="3" s="1"/>
  <c r="L370" i="3"/>
  <c r="M370" i="3"/>
  <c r="P370" i="3" s="1"/>
  <c r="N370" i="3"/>
  <c r="O370" i="3" s="1"/>
  <c r="Q370" i="3"/>
  <c r="R370" i="3"/>
  <c r="B371" i="3"/>
  <c r="C371" i="3"/>
  <c r="S371" i="3" s="1"/>
  <c r="D371" i="3"/>
  <c r="I371" i="3"/>
  <c r="K371" i="3"/>
  <c r="J371" i="3" s="1"/>
  <c r="L371" i="3"/>
  <c r="M371" i="3"/>
  <c r="P371" i="3" s="1"/>
  <c r="N371" i="3"/>
  <c r="O371" i="3" s="1"/>
  <c r="Q371" i="3"/>
  <c r="R371" i="3"/>
  <c r="B372" i="3"/>
  <c r="C372" i="3"/>
  <c r="S372" i="3" s="1"/>
  <c r="D372" i="3"/>
  <c r="I372" i="3"/>
  <c r="K372" i="3"/>
  <c r="J372" i="3" s="1"/>
  <c r="L372" i="3"/>
  <c r="M372" i="3"/>
  <c r="P372" i="3" s="1"/>
  <c r="N372" i="3"/>
  <c r="O372" i="3" s="1"/>
  <c r="Q372" i="3"/>
  <c r="R372" i="3"/>
  <c r="B373" i="3"/>
  <c r="C373" i="3"/>
  <c r="S373" i="3" s="1"/>
  <c r="D373" i="3"/>
  <c r="I373" i="3"/>
  <c r="K373" i="3"/>
  <c r="J373" i="3" s="1"/>
  <c r="L373" i="3"/>
  <c r="M373" i="3"/>
  <c r="P373" i="3" s="1"/>
  <c r="N373" i="3"/>
  <c r="O373" i="3" s="1"/>
  <c r="Q373" i="3"/>
  <c r="R373" i="3"/>
  <c r="B374" i="3"/>
  <c r="C374" i="3"/>
  <c r="S374" i="3" s="1"/>
  <c r="D374" i="3"/>
  <c r="I374" i="3"/>
  <c r="K374" i="3"/>
  <c r="J374" i="3" s="1"/>
  <c r="L374" i="3"/>
  <c r="M374" i="3"/>
  <c r="P374" i="3" s="1"/>
  <c r="N374" i="3"/>
  <c r="O374" i="3" s="1"/>
  <c r="Q374" i="3"/>
  <c r="R374" i="3"/>
  <c r="B375" i="3"/>
  <c r="C375" i="3"/>
  <c r="S375" i="3" s="1"/>
  <c r="D375" i="3"/>
  <c r="I375" i="3"/>
  <c r="K375" i="3"/>
  <c r="J375" i="3" s="1"/>
  <c r="L375" i="3"/>
  <c r="M375" i="3"/>
  <c r="P375" i="3" s="1"/>
  <c r="N375" i="3"/>
  <c r="O375" i="3" s="1"/>
  <c r="Q375" i="3"/>
  <c r="R375" i="3"/>
  <c r="B376" i="3"/>
  <c r="C376" i="3"/>
  <c r="S376" i="3" s="1"/>
  <c r="D376" i="3"/>
  <c r="I376" i="3"/>
  <c r="K376" i="3"/>
  <c r="J376" i="3" s="1"/>
  <c r="L376" i="3"/>
  <c r="M376" i="3"/>
  <c r="P376" i="3" s="1"/>
  <c r="N376" i="3"/>
  <c r="O376" i="3" s="1"/>
  <c r="Q376" i="3"/>
  <c r="R376" i="3"/>
  <c r="B377" i="3"/>
  <c r="C377" i="3"/>
  <c r="S377" i="3" s="1"/>
  <c r="D377" i="3"/>
  <c r="I377" i="3"/>
  <c r="K377" i="3"/>
  <c r="J377" i="3" s="1"/>
  <c r="L377" i="3"/>
  <c r="M377" i="3"/>
  <c r="P377" i="3" s="1"/>
  <c r="N377" i="3"/>
  <c r="O377" i="3" s="1"/>
  <c r="Q377" i="3"/>
  <c r="R377" i="3"/>
  <c r="B378" i="3"/>
  <c r="C378" i="3"/>
  <c r="S378" i="3" s="1"/>
  <c r="D378" i="3"/>
  <c r="I378" i="3"/>
  <c r="K378" i="3"/>
  <c r="J378" i="3" s="1"/>
  <c r="L378" i="3"/>
  <c r="M378" i="3"/>
  <c r="P378" i="3" s="1"/>
  <c r="N378" i="3"/>
  <c r="O378" i="3" s="1"/>
  <c r="Q378" i="3"/>
  <c r="R378" i="3"/>
  <c r="B379" i="3"/>
  <c r="C379" i="3"/>
  <c r="S379" i="3" s="1"/>
  <c r="D379" i="3"/>
  <c r="I379" i="3"/>
  <c r="K379" i="3"/>
  <c r="J379" i="3" s="1"/>
  <c r="L379" i="3"/>
  <c r="M379" i="3"/>
  <c r="P379" i="3" s="1"/>
  <c r="N379" i="3"/>
  <c r="O379" i="3" s="1"/>
  <c r="Q379" i="3"/>
  <c r="R379" i="3"/>
  <c r="B380" i="3"/>
  <c r="C380" i="3"/>
  <c r="S380" i="3" s="1"/>
  <c r="D380" i="3"/>
  <c r="I380" i="3"/>
  <c r="K380" i="3"/>
  <c r="J380" i="3" s="1"/>
  <c r="L380" i="3"/>
  <c r="M380" i="3"/>
  <c r="P380" i="3" s="1"/>
  <c r="N380" i="3"/>
  <c r="O380" i="3" s="1"/>
  <c r="Q380" i="3"/>
  <c r="R380" i="3"/>
  <c r="B381" i="3"/>
  <c r="C381" i="3"/>
  <c r="S381" i="3" s="1"/>
  <c r="D381" i="3"/>
  <c r="I381" i="3"/>
  <c r="K381" i="3"/>
  <c r="J381" i="3" s="1"/>
  <c r="L381" i="3"/>
  <c r="M381" i="3"/>
  <c r="P381" i="3" s="1"/>
  <c r="N381" i="3"/>
  <c r="O381" i="3" s="1"/>
  <c r="Q381" i="3"/>
  <c r="R381" i="3"/>
  <c r="B382" i="3"/>
  <c r="C382" i="3"/>
  <c r="S382" i="3" s="1"/>
  <c r="D382" i="3"/>
  <c r="H382" i="3"/>
  <c r="I382" i="3" s="1"/>
  <c r="K382" i="3"/>
  <c r="L382" i="3"/>
  <c r="M382" i="3"/>
  <c r="P382" i="3" s="1"/>
  <c r="N382" i="3"/>
  <c r="O382" i="3" s="1"/>
  <c r="Q382" i="3"/>
  <c r="R382" i="3"/>
  <c r="B383" i="3"/>
  <c r="C383" i="3"/>
  <c r="S383" i="3" s="1"/>
  <c r="D383" i="3"/>
  <c r="I383" i="3"/>
  <c r="K383" i="3"/>
  <c r="J383" i="3" s="1"/>
  <c r="L383" i="3"/>
  <c r="M383" i="3"/>
  <c r="P383" i="3" s="1"/>
  <c r="N383" i="3"/>
  <c r="O383" i="3" s="1"/>
  <c r="Q383" i="3"/>
  <c r="R383" i="3"/>
  <c r="B384" i="3"/>
  <c r="C384" i="3"/>
  <c r="S384" i="3" s="1"/>
  <c r="D384" i="3"/>
  <c r="I384" i="3"/>
  <c r="K384" i="3"/>
  <c r="J384" i="3" s="1"/>
  <c r="L384" i="3"/>
  <c r="M384" i="3"/>
  <c r="P384" i="3" s="1"/>
  <c r="N384" i="3"/>
  <c r="O384" i="3" s="1"/>
  <c r="Q384" i="3"/>
  <c r="R384" i="3"/>
  <c r="B385" i="3"/>
  <c r="C385" i="3"/>
  <c r="S385" i="3" s="1"/>
  <c r="D385" i="3"/>
  <c r="I385" i="3"/>
  <c r="K385" i="3"/>
  <c r="J385" i="3" s="1"/>
  <c r="L385" i="3"/>
  <c r="M385" i="3"/>
  <c r="P385" i="3" s="1"/>
  <c r="N385" i="3"/>
  <c r="O385" i="3" s="1"/>
  <c r="Q385" i="3"/>
  <c r="R385" i="3"/>
  <c r="B386" i="3"/>
  <c r="C386" i="3"/>
  <c r="S386" i="3" s="1"/>
  <c r="D386" i="3"/>
  <c r="I386" i="3"/>
  <c r="K386" i="3"/>
  <c r="J386" i="3" s="1"/>
  <c r="L386" i="3"/>
  <c r="M386" i="3"/>
  <c r="P386" i="3" s="1"/>
  <c r="N386" i="3"/>
  <c r="O386" i="3" s="1"/>
  <c r="Q386" i="3"/>
  <c r="R386" i="3"/>
  <c r="B387" i="3"/>
  <c r="C387" i="3"/>
  <c r="S387" i="3" s="1"/>
  <c r="D387" i="3"/>
  <c r="I387" i="3"/>
  <c r="K387" i="3"/>
  <c r="J387" i="3" s="1"/>
  <c r="L387" i="3"/>
  <c r="M387" i="3"/>
  <c r="P387" i="3" s="1"/>
  <c r="N387" i="3"/>
  <c r="O387" i="3" s="1"/>
  <c r="Q387" i="3"/>
  <c r="R387" i="3"/>
  <c r="B388" i="3"/>
  <c r="C388" i="3"/>
  <c r="S388" i="3" s="1"/>
  <c r="D388" i="3"/>
  <c r="H388" i="3"/>
  <c r="K388" i="3"/>
  <c r="L388" i="3"/>
  <c r="M388" i="3"/>
  <c r="P388" i="3" s="1"/>
  <c r="N388" i="3"/>
  <c r="O388" i="3" s="1"/>
  <c r="Q388" i="3"/>
  <c r="R388" i="3"/>
  <c r="B389" i="3"/>
  <c r="C389" i="3"/>
  <c r="S389" i="3" s="1"/>
  <c r="D389" i="3"/>
  <c r="H389" i="3"/>
  <c r="K389" i="3"/>
  <c r="L389" i="3"/>
  <c r="M389" i="3"/>
  <c r="P389" i="3" s="1"/>
  <c r="N389" i="3"/>
  <c r="O389" i="3" s="1"/>
  <c r="Q389" i="3"/>
  <c r="R389" i="3"/>
  <c r="B390" i="3"/>
  <c r="C390" i="3"/>
  <c r="S390" i="3" s="1"/>
  <c r="D390" i="3"/>
  <c r="I390" i="3"/>
  <c r="K390" i="3"/>
  <c r="J390" i="3" s="1"/>
  <c r="L390" i="3"/>
  <c r="M390" i="3"/>
  <c r="P390" i="3" s="1"/>
  <c r="N390" i="3"/>
  <c r="O390" i="3" s="1"/>
  <c r="Q390" i="3"/>
  <c r="R390" i="3"/>
  <c r="B391" i="3"/>
  <c r="C391" i="3"/>
  <c r="S391" i="3" s="1"/>
  <c r="D391" i="3"/>
  <c r="I391" i="3"/>
  <c r="K391" i="3"/>
  <c r="J391" i="3" s="1"/>
  <c r="L391" i="3"/>
  <c r="M391" i="3"/>
  <c r="P391" i="3" s="1"/>
  <c r="N391" i="3"/>
  <c r="O391" i="3" s="1"/>
  <c r="Q391" i="3"/>
  <c r="R391" i="3"/>
  <c r="B392" i="3"/>
  <c r="C392" i="3"/>
  <c r="S392" i="3" s="1"/>
  <c r="D392" i="3"/>
  <c r="I392" i="3"/>
  <c r="K392" i="3"/>
  <c r="J392" i="3" s="1"/>
  <c r="L392" i="3"/>
  <c r="M392" i="3"/>
  <c r="P392" i="3" s="1"/>
  <c r="N392" i="3"/>
  <c r="O392" i="3" s="1"/>
  <c r="Q392" i="3"/>
  <c r="R392" i="3"/>
  <c r="B393" i="3"/>
  <c r="C393" i="3"/>
  <c r="S393" i="3" s="1"/>
  <c r="D393" i="3"/>
  <c r="I393" i="3"/>
  <c r="K393" i="3"/>
  <c r="J393" i="3" s="1"/>
  <c r="L393" i="3"/>
  <c r="M393" i="3"/>
  <c r="P393" i="3" s="1"/>
  <c r="N393" i="3"/>
  <c r="O393" i="3" s="1"/>
  <c r="Q393" i="3"/>
  <c r="R393" i="3"/>
  <c r="B394" i="3"/>
  <c r="C394" i="3"/>
  <c r="S394" i="3" s="1"/>
  <c r="D394" i="3"/>
  <c r="I394" i="3"/>
  <c r="K394" i="3"/>
  <c r="J394" i="3" s="1"/>
  <c r="L394" i="3"/>
  <c r="M394" i="3"/>
  <c r="P394" i="3" s="1"/>
  <c r="N394" i="3"/>
  <c r="O394" i="3" s="1"/>
  <c r="Q394" i="3"/>
  <c r="R394" i="3"/>
  <c r="B395" i="3"/>
  <c r="C395" i="3"/>
  <c r="S395" i="3" s="1"/>
  <c r="D395" i="3"/>
  <c r="I395" i="3"/>
  <c r="K395" i="3"/>
  <c r="J395" i="3" s="1"/>
  <c r="L395" i="3"/>
  <c r="M395" i="3"/>
  <c r="P395" i="3" s="1"/>
  <c r="N395" i="3"/>
  <c r="O395" i="3" s="1"/>
  <c r="Q395" i="3"/>
  <c r="R395" i="3"/>
  <c r="B396" i="3"/>
  <c r="C396" i="3"/>
  <c r="S396" i="3" s="1"/>
  <c r="D396" i="3"/>
  <c r="I396" i="3"/>
  <c r="K396" i="3"/>
  <c r="J396" i="3" s="1"/>
  <c r="L396" i="3"/>
  <c r="M396" i="3"/>
  <c r="P396" i="3" s="1"/>
  <c r="N396" i="3"/>
  <c r="O396" i="3" s="1"/>
  <c r="Q396" i="3"/>
  <c r="R396" i="3"/>
  <c r="B397" i="3"/>
  <c r="C397" i="3"/>
  <c r="S397" i="3" s="1"/>
  <c r="D397" i="3"/>
  <c r="I397" i="3"/>
  <c r="K397" i="3"/>
  <c r="J397" i="3" s="1"/>
  <c r="L397" i="3"/>
  <c r="M397" i="3"/>
  <c r="P397" i="3" s="1"/>
  <c r="N397" i="3"/>
  <c r="O397" i="3" s="1"/>
  <c r="Q397" i="3"/>
  <c r="R397" i="3"/>
  <c r="B398" i="3"/>
  <c r="C398" i="3"/>
  <c r="S398" i="3" s="1"/>
  <c r="D398" i="3"/>
  <c r="I398" i="3"/>
  <c r="K398" i="3"/>
  <c r="J398" i="3" s="1"/>
  <c r="L398" i="3"/>
  <c r="M398" i="3"/>
  <c r="P398" i="3" s="1"/>
  <c r="N398" i="3"/>
  <c r="O398" i="3" s="1"/>
  <c r="Q398" i="3"/>
  <c r="R398" i="3"/>
  <c r="B399" i="3"/>
  <c r="C399" i="3"/>
  <c r="S399" i="3" s="1"/>
  <c r="D399" i="3"/>
  <c r="H399" i="3"/>
  <c r="I399" i="3" s="1"/>
  <c r="K399" i="3"/>
  <c r="L399" i="3"/>
  <c r="M399" i="3"/>
  <c r="P399" i="3" s="1"/>
  <c r="N399" i="3"/>
  <c r="O399" i="3" s="1"/>
  <c r="Q399" i="3"/>
  <c r="R399" i="3"/>
  <c r="B400" i="3"/>
  <c r="C400" i="3"/>
  <c r="S400" i="3" s="1"/>
  <c r="D400" i="3"/>
  <c r="I400" i="3"/>
  <c r="K400" i="3"/>
  <c r="J400" i="3" s="1"/>
  <c r="L400" i="3"/>
  <c r="M400" i="3"/>
  <c r="P400" i="3" s="1"/>
  <c r="N400" i="3"/>
  <c r="O400" i="3" s="1"/>
  <c r="Q400" i="3"/>
  <c r="R400" i="3"/>
  <c r="B401" i="3"/>
  <c r="C401" i="3"/>
  <c r="S401" i="3" s="1"/>
  <c r="D401" i="3"/>
  <c r="I401" i="3"/>
  <c r="K401" i="3"/>
  <c r="J401" i="3" s="1"/>
  <c r="L401" i="3"/>
  <c r="M401" i="3"/>
  <c r="P401" i="3" s="1"/>
  <c r="N401" i="3"/>
  <c r="O401" i="3" s="1"/>
  <c r="Q401" i="3"/>
  <c r="R401" i="3"/>
  <c r="B402" i="3"/>
  <c r="C402" i="3"/>
  <c r="S402" i="3" s="1"/>
  <c r="D402" i="3"/>
  <c r="I402" i="3"/>
  <c r="K402" i="3"/>
  <c r="J402" i="3" s="1"/>
  <c r="L402" i="3"/>
  <c r="M402" i="3"/>
  <c r="P402" i="3" s="1"/>
  <c r="N402" i="3"/>
  <c r="O402" i="3" s="1"/>
  <c r="Q402" i="3"/>
  <c r="R402" i="3"/>
  <c r="B403" i="3"/>
  <c r="C403" i="3"/>
  <c r="S403" i="3" s="1"/>
  <c r="D403" i="3"/>
  <c r="I403" i="3"/>
  <c r="K403" i="3"/>
  <c r="J403" i="3" s="1"/>
  <c r="L403" i="3"/>
  <c r="M403" i="3"/>
  <c r="P403" i="3" s="1"/>
  <c r="N403" i="3"/>
  <c r="O403" i="3" s="1"/>
  <c r="Q403" i="3"/>
  <c r="R403" i="3"/>
  <c r="B404" i="3"/>
  <c r="C404" i="3"/>
  <c r="S404" i="3" s="1"/>
  <c r="D404" i="3"/>
  <c r="I404" i="3"/>
  <c r="K404" i="3"/>
  <c r="J404" i="3" s="1"/>
  <c r="L404" i="3"/>
  <c r="M404" i="3"/>
  <c r="P404" i="3" s="1"/>
  <c r="N404" i="3"/>
  <c r="O404" i="3" s="1"/>
  <c r="Q404" i="3"/>
  <c r="R404" i="3"/>
  <c r="B405" i="3"/>
  <c r="C405" i="3"/>
  <c r="S405" i="3" s="1"/>
  <c r="D405" i="3"/>
  <c r="I405" i="3"/>
  <c r="K405" i="3"/>
  <c r="J405" i="3" s="1"/>
  <c r="L405" i="3"/>
  <c r="M405" i="3"/>
  <c r="P405" i="3" s="1"/>
  <c r="N405" i="3"/>
  <c r="O405" i="3" s="1"/>
  <c r="Q405" i="3"/>
  <c r="R405" i="3"/>
  <c r="B406" i="3"/>
  <c r="C406" i="3"/>
  <c r="S406" i="3" s="1"/>
  <c r="D406" i="3"/>
  <c r="I406" i="3"/>
  <c r="K406" i="3"/>
  <c r="J406" i="3" s="1"/>
  <c r="L406" i="3"/>
  <c r="M406" i="3"/>
  <c r="P406" i="3" s="1"/>
  <c r="N406" i="3"/>
  <c r="O406" i="3" s="1"/>
  <c r="Q406" i="3"/>
  <c r="R406" i="3"/>
  <c r="B407" i="3"/>
  <c r="C407" i="3"/>
  <c r="S407" i="3" s="1"/>
  <c r="D407" i="3"/>
  <c r="I407" i="3"/>
  <c r="K407" i="3"/>
  <c r="J407" i="3" s="1"/>
  <c r="L407" i="3"/>
  <c r="M407" i="3"/>
  <c r="P407" i="3" s="1"/>
  <c r="N407" i="3"/>
  <c r="O407" i="3" s="1"/>
  <c r="Q407" i="3"/>
  <c r="R407" i="3"/>
  <c r="B408" i="3"/>
  <c r="C408" i="3"/>
  <c r="S408" i="3" s="1"/>
  <c r="D408" i="3"/>
  <c r="I408" i="3"/>
  <c r="K408" i="3"/>
  <c r="J408" i="3" s="1"/>
  <c r="L408" i="3"/>
  <c r="M408" i="3"/>
  <c r="P408" i="3" s="1"/>
  <c r="N408" i="3"/>
  <c r="O408" i="3" s="1"/>
  <c r="Q408" i="3"/>
  <c r="R408" i="3"/>
  <c r="B409" i="3"/>
  <c r="C409" i="3"/>
  <c r="S409" i="3" s="1"/>
  <c r="D409" i="3"/>
  <c r="I409" i="3"/>
  <c r="K409" i="3"/>
  <c r="J409" i="3" s="1"/>
  <c r="L409" i="3"/>
  <c r="M409" i="3"/>
  <c r="P409" i="3" s="1"/>
  <c r="N409" i="3"/>
  <c r="O409" i="3" s="1"/>
  <c r="Q409" i="3"/>
  <c r="R409" i="3"/>
  <c r="B410" i="3"/>
  <c r="C410" i="3"/>
  <c r="S410" i="3" s="1"/>
  <c r="D410" i="3"/>
  <c r="I410" i="3"/>
  <c r="K410" i="3"/>
  <c r="J410" i="3" s="1"/>
  <c r="L410" i="3"/>
  <c r="M410" i="3"/>
  <c r="P410" i="3" s="1"/>
  <c r="N410" i="3"/>
  <c r="O410" i="3" s="1"/>
  <c r="Q410" i="3"/>
  <c r="R410" i="3"/>
  <c r="B411" i="3"/>
  <c r="C411" i="3"/>
  <c r="S411" i="3" s="1"/>
  <c r="D411" i="3"/>
  <c r="I411" i="3"/>
  <c r="K411" i="3"/>
  <c r="J411" i="3" s="1"/>
  <c r="L411" i="3"/>
  <c r="M411" i="3"/>
  <c r="P411" i="3" s="1"/>
  <c r="N411" i="3"/>
  <c r="O411" i="3" s="1"/>
  <c r="Q411" i="3"/>
  <c r="R411" i="3"/>
  <c r="B412" i="3"/>
  <c r="C412" i="3"/>
  <c r="S412" i="3" s="1"/>
  <c r="D412" i="3"/>
  <c r="I412" i="3"/>
  <c r="K412" i="3"/>
  <c r="J412" i="3" s="1"/>
  <c r="L412" i="3"/>
  <c r="M412" i="3"/>
  <c r="P412" i="3" s="1"/>
  <c r="N412" i="3"/>
  <c r="O412" i="3" s="1"/>
  <c r="Q412" i="3"/>
  <c r="R412" i="3"/>
  <c r="B413" i="3"/>
  <c r="C413" i="3"/>
  <c r="S413" i="3" s="1"/>
  <c r="D413" i="3"/>
  <c r="I413" i="3"/>
  <c r="K413" i="3"/>
  <c r="J413" i="3" s="1"/>
  <c r="L413" i="3"/>
  <c r="M413" i="3"/>
  <c r="P413" i="3" s="1"/>
  <c r="N413" i="3"/>
  <c r="O413" i="3" s="1"/>
  <c r="Q413" i="3"/>
  <c r="R413" i="3"/>
  <c r="B414" i="3"/>
  <c r="C414" i="3"/>
  <c r="S414" i="3" s="1"/>
  <c r="D414" i="3"/>
  <c r="I414" i="3"/>
  <c r="K414" i="3"/>
  <c r="J414" i="3" s="1"/>
  <c r="L414" i="3"/>
  <c r="M414" i="3"/>
  <c r="P414" i="3" s="1"/>
  <c r="N414" i="3"/>
  <c r="O414" i="3" s="1"/>
  <c r="Q414" i="3"/>
  <c r="R414" i="3"/>
  <c r="B415" i="3"/>
  <c r="C415" i="3"/>
  <c r="S415" i="3" s="1"/>
  <c r="D415" i="3"/>
  <c r="I415" i="3"/>
  <c r="K415" i="3"/>
  <c r="J415" i="3" s="1"/>
  <c r="L415" i="3"/>
  <c r="M415" i="3"/>
  <c r="P415" i="3" s="1"/>
  <c r="N415" i="3"/>
  <c r="O415" i="3" s="1"/>
  <c r="Q415" i="3"/>
  <c r="R415" i="3"/>
  <c r="B416" i="3"/>
  <c r="C416" i="3"/>
  <c r="S416" i="3" s="1"/>
  <c r="D416" i="3"/>
  <c r="I416" i="3"/>
  <c r="K416" i="3"/>
  <c r="J416" i="3" s="1"/>
  <c r="L416" i="3"/>
  <c r="M416" i="3"/>
  <c r="P416" i="3" s="1"/>
  <c r="N416" i="3"/>
  <c r="O416" i="3" s="1"/>
  <c r="Q416" i="3"/>
  <c r="R416" i="3"/>
  <c r="B417" i="3"/>
  <c r="C417" i="3"/>
  <c r="S417" i="3" s="1"/>
  <c r="D417" i="3"/>
  <c r="I417" i="3"/>
  <c r="K417" i="3"/>
  <c r="J417" i="3" s="1"/>
  <c r="L417" i="3"/>
  <c r="M417" i="3"/>
  <c r="P417" i="3" s="1"/>
  <c r="N417" i="3"/>
  <c r="O417" i="3" s="1"/>
  <c r="Q417" i="3"/>
  <c r="R417" i="3"/>
  <c r="B418" i="3"/>
  <c r="C418" i="3"/>
  <c r="S418" i="3" s="1"/>
  <c r="D418" i="3"/>
  <c r="I418" i="3"/>
  <c r="K418" i="3"/>
  <c r="J418" i="3" s="1"/>
  <c r="L418" i="3"/>
  <c r="M418" i="3"/>
  <c r="P418" i="3" s="1"/>
  <c r="N418" i="3"/>
  <c r="O418" i="3" s="1"/>
  <c r="Q418" i="3"/>
  <c r="R418" i="3"/>
  <c r="B419" i="3"/>
  <c r="C419" i="3"/>
  <c r="S419" i="3" s="1"/>
  <c r="D419" i="3"/>
  <c r="I419" i="3"/>
  <c r="K419" i="3"/>
  <c r="J419" i="3" s="1"/>
  <c r="L419" i="3"/>
  <c r="M419" i="3"/>
  <c r="P419" i="3" s="1"/>
  <c r="N419" i="3"/>
  <c r="O419" i="3" s="1"/>
  <c r="Q419" i="3"/>
  <c r="R419" i="3"/>
  <c r="B420" i="3"/>
  <c r="C420" i="3"/>
  <c r="S420" i="3" s="1"/>
  <c r="D420" i="3"/>
  <c r="I420" i="3"/>
  <c r="K420" i="3"/>
  <c r="J420" i="3" s="1"/>
  <c r="L420" i="3"/>
  <c r="M420" i="3"/>
  <c r="P420" i="3" s="1"/>
  <c r="N420" i="3"/>
  <c r="O420" i="3" s="1"/>
  <c r="Q420" i="3"/>
  <c r="R420" i="3"/>
  <c r="B421" i="3"/>
  <c r="C421" i="3"/>
  <c r="S421" i="3" s="1"/>
  <c r="D421" i="3"/>
  <c r="I421" i="3"/>
  <c r="K421" i="3"/>
  <c r="J421" i="3" s="1"/>
  <c r="L421" i="3"/>
  <c r="M421" i="3"/>
  <c r="P421" i="3" s="1"/>
  <c r="N421" i="3"/>
  <c r="O421" i="3" s="1"/>
  <c r="Q421" i="3"/>
  <c r="R421" i="3"/>
  <c r="B422" i="3"/>
  <c r="C422" i="3"/>
  <c r="S422" i="3" s="1"/>
  <c r="D422" i="3"/>
  <c r="I422" i="3"/>
  <c r="K422" i="3"/>
  <c r="J422" i="3" s="1"/>
  <c r="L422" i="3"/>
  <c r="M422" i="3"/>
  <c r="P422" i="3" s="1"/>
  <c r="N422" i="3"/>
  <c r="O422" i="3" s="1"/>
  <c r="Q422" i="3"/>
  <c r="R422" i="3"/>
  <c r="B423" i="3"/>
  <c r="C423" i="3"/>
  <c r="S423" i="3" s="1"/>
  <c r="D423" i="3"/>
  <c r="I423" i="3"/>
  <c r="K423" i="3"/>
  <c r="J423" i="3" s="1"/>
  <c r="L423" i="3"/>
  <c r="M423" i="3"/>
  <c r="P423" i="3" s="1"/>
  <c r="N423" i="3"/>
  <c r="O423" i="3" s="1"/>
  <c r="Q423" i="3"/>
  <c r="R423" i="3"/>
  <c r="B424" i="3"/>
  <c r="C424" i="3"/>
  <c r="S424" i="3" s="1"/>
  <c r="D424" i="3"/>
  <c r="I424" i="3"/>
  <c r="K424" i="3"/>
  <c r="J424" i="3" s="1"/>
  <c r="L424" i="3"/>
  <c r="M424" i="3"/>
  <c r="P424" i="3" s="1"/>
  <c r="N424" i="3"/>
  <c r="O424" i="3" s="1"/>
  <c r="Q424" i="3"/>
  <c r="R424" i="3"/>
  <c r="B425" i="3"/>
  <c r="C425" i="3"/>
  <c r="S425" i="3" s="1"/>
  <c r="D425" i="3"/>
  <c r="I425" i="3"/>
  <c r="K425" i="3"/>
  <c r="J425" i="3" s="1"/>
  <c r="L425" i="3"/>
  <c r="M425" i="3"/>
  <c r="P425" i="3" s="1"/>
  <c r="N425" i="3"/>
  <c r="O425" i="3" s="1"/>
  <c r="Q425" i="3"/>
  <c r="R425" i="3"/>
  <c r="B426" i="3"/>
  <c r="C426" i="3"/>
  <c r="S426" i="3" s="1"/>
  <c r="D426" i="3"/>
  <c r="I426" i="3"/>
  <c r="K426" i="3"/>
  <c r="J426" i="3" s="1"/>
  <c r="L426" i="3"/>
  <c r="M426" i="3"/>
  <c r="P426" i="3" s="1"/>
  <c r="N426" i="3"/>
  <c r="O426" i="3" s="1"/>
  <c r="Q426" i="3"/>
  <c r="R426" i="3"/>
  <c r="B427" i="3"/>
  <c r="C427" i="3"/>
  <c r="S427" i="3" s="1"/>
  <c r="D427" i="3"/>
  <c r="I427" i="3"/>
  <c r="K427" i="3"/>
  <c r="J427" i="3" s="1"/>
  <c r="L427" i="3"/>
  <c r="M427" i="3"/>
  <c r="P427" i="3" s="1"/>
  <c r="N427" i="3"/>
  <c r="O427" i="3" s="1"/>
  <c r="Q427" i="3"/>
  <c r="R427" i="3"/>
  <c r="B428" i="3"/>
  <c r="C428" i="3"/>
  <c r="S428" i="3" s="1"/>
  <c r="D428" i="3"/>
  <c r="I428" i="3"/>
  <c r="K428" i="3"/>
  <c r="J428" i="3" s="1"/>
  <c r="L428" i="3"/>
  <c r="M428" i="3"/>
  <c r="P428" i="3" s="1"/>
  <c r="N428" i="3"/>
  <c r="O428" i="3" s="1"/>
  <c r="Q428" i="3"/>
  <c r="R428" i="3"/>
  <c r="B429" i="3"/>
  <c r="C429" i="3"/>
  <c r="S429" i="3" s="1"/>
  <c r="D429" i="3"/>
  <c r="I429" i="3"/>
  <c r="K429" i="3"/>
  <c r="J429" i="3" s="1"/>
  <c r="L429" i="3"/>
  <c r="M429" i="3"/>
  <c r="P429" i="3" s="1"/>
  <c r="N429" i="3"/>
  <c r="O429" i="3" s="1"/>
  <c r="Q429" i="3"/>
  <c r="R429" i="3"/>
  <c r="B430" i="3"/>
  <c r="C430" i="3"/>
  <c r="S430" i="3" s="1"/>
  <c r="D430" i="3"/>
  <c r="I430" i="3"/>
  <c r="K430" i="3"/>
  <c r="J430" i="3" s="1"/>
  <c r="L430" i="3"/>
  <c r="M430" i="3"/>
  <c r="P430" i="3" s="1"/>
  <c r="N430" i="3"/>
  <c r="O430" i="3" s="1"/>
  <c r="Q430" i="3"/>
  <c r="R430" i="3"/>
  <c r="B431" i="3"/>
  <c r="C431" i="3"/>
  <c r="S431" i="3" s="1"/>
  <c r="D431" i="3"/>
  <c r="I431" i="3"/>
  <c r="K431" i="3"/>
  <c r="J431" i="3" s="1"/>
  <c r="L431" i="3"/>
  <c r="M431" i="3"/>
  <c r="P431" i="3" s="1"/>
  <c r="N431" i="3"/>
  <c r="O431" i="3" s="1"/>
  <c r="Q431" i="3"/>
  <c r="R431" i="3"/>
  <c r="B432" i="3"/>
  <c r="C432" i="3"/>
  <c r="S432" i="3" s="1"/>
  <c r="D432" i="3"/>
  <c r="I432" i="3"/>
  <c r="K432" i="3"/>
  <c r="J432" i="3" s="1"/>
  <c r="L432" i="3"/>
  <c r="M432" i="3"/>
  <c r="P432" i="3" s="1"/>
  <c r="N432" i="3"/>
  <c r="O432" i="3" s="1"/>
  <c r="Q432" i="3"/>
  <c r="R432" i="3"/>
  <c r="B433" i="3"/>
  <c r="C433" i="3"/>
  <c r="S433" i="3" s="1"/>
  <c r="D433" i="3"/>
  <c r="I433" i="3"/>
  <c r="K433" i="3"/>
  <c r="J433" i="3" s="1"/>
  <c r="L433" i="3"/>
  <c r="M433" i="3"/>
  <c r="P433" i="3" s="1"/>
  <c r="N433" i="3"/>
  <c r="O433" i="3" s="1"/>
  <c r="Q433" i="3"/>
  <c r="R433" i="3"/>
  <c r="B434" i="3"/>
  <c r="C434" i="3"/>
  <c r="S434" i="3" s="1"/>
  <c r="D434" i="3"/>
  <c r="I434" i="3"/>
  <c r="K434" i="3"/>
  <c r="J434" i="3" s="1"/>
  <c r="L434" i="3"/>
  <c r="M434" i="3"/>
  <c r="P434" i="3" s="1"/>
  <c r="N434" i="3"/>
  <c r="O434" i="3" s="1"/>
  <c r="Q434" i="3"/>
  <c r="R434" i="3"/>
  <c r="B435" i="3"/>
  <c r="C435" i="3"/>
  <c r="S435" i="3" s="1"/>
  <c r="D435" i="3"/>
  <c r="I435" i="3"/>
  <c r="K435" i="3"/>
  <c r="J435" i="3" s="1"/>
  <c r="L435" i="3"/>
  <c r="M435" i="3"/>
  <c r="P435" i="3" s="1"/>
  <c r="N435" i="3"/>
  <c r="O435" i="3" s="1"/>
  <c r="Q435" i="3"/>
  <c r="R435" i="3"/>
  <c r="B436" i="3"/>
  <c r="C436" i="3"/>
  <c r="S436" i="3" s="1"/>
  <c r="D436" i="3"/>
  <c r="I436" i="3"/>
  <c r="K436" i="3"/>
  <c r="J436" i="3" s="1"/>
  <c r="L436" i="3"/>
  <c r="M436" i="3"/>
  <c r="P436" i="3" s="1"/>
  <c r="N436" i="3"/>
  <c r="O436" i="3" s="1"/>
  <c r="Q436" i="3"/>
  <c r="R436" i="3"/>
  <c r="B437" i="3"/>
  <c r="C437" i="3"/>
  <c r="S437" i="3" s="1"/>
  <c r="D437" i="3"/>
  <c r="I437" i="3"/>
  <c r="K437" i="3"/>
  <c r="J437" i="3" s="1"/>
  <c r="L437" i="3"/>
  <c r="M437" i="3"/>
  <c r="P437" i="3" s="1"/>
  <c r="N437" i="3"/>
  <c r="O437" i="3" s="1"/>
  <c r="Q437" i="3"/>
  <c r="R437" i="3"/>
  <c r="B438" i="3"/>
  <c r="C438" i="3"/>
  <c r="S438" i="3" s="1"/>
  <c r="D438" i="3"/>
  <c r="H438" i="3"/>
  <c r="I438" i="3" s="1"/>
  <c r="K438" i="3"/>
  <c r="L438" i="3"/>
  <c r="M438" i="3"/>
  <c r="P438" i="3" s="1"/>
  <c r="N438" i="3"/>
  <c r="O438" i="3" s="1"/>
  <c r="Q438" i="3"/>
  <c r="R438" i="3"/>
  <c r="B439" i="3"/>
  <c r="C439" i="3"/>
  <c r="S439" i="3" s="1"/>
  <c r="D439" i="3"/>
  <c r="I439" i="3"/>
  <c r="K439" i="3"/>
  <c r="J439" i="3" s="1"/>
  <c r="L439" i="3"/>
  <c r="M439" i="3"/>
  <c r="P439" i="3" s="1"/>
  <c r="N439" i="3"/>
  <c r="O439" i="3" s="1"/>
  <c r="Q439" i="3"/>
  <c r="R439" i="3"/>
  <c r="B440" i="3"/>
  <c r="C440" i="3"/>
  <c r="S440" i="3" s="1"/>
  <c r="D440" i="3"/>
  <c r="I440" i="3"/>
  <c r="K440" i="3"/>
  <c r="J440" i="3" s="1"/>
  <c r="L440" i="3"/>
  <c r="M440" i="3"/>
  <c r="P440" i="3" s="1"/>
  <c r="N440" i="3"/>
  <c r="O440" i="3" s="1"/>
  <c r="Q440" i="3"/>
  <c r="R440" i="3"/>
  <c r="B441" i="3"/>
  <c r="C441" i="3"/>
  <c r="S441" i="3" s="1"/>
  <c r="D441" i="3"/>
  <c r="I441" i="3"/>
  <c r="K441" i="3"/>
  <c r="J441" i="3" s="1"/>
  <c r="L441" i="3"/>
  <c r="M441" i="3"/>
  <c r="P441" i="3" s="1"/>
  <c r="N441" i="3"/>
  <c r="O441" i="3" s="1"/>
  <c r="Q441" i="3"/>
  <c r="R441" i="3"/>
  <c r="B442" i="3"/>
  <c r="C442" i="3"/>
  <c r="S442" i="3" s="1"/>
  <c r="D442" i="3"/>
  <c r="I442" i="3"/>
  <c r="K442" i="3"/>
  <c r="J442" i="3" s="1"/>
  <c r="L442" i="3"/>
  <c r="M442" i="3"/>
  <c r="P442" i="3" s="1"/>
  <c r="N442" i="3"/>
  <c r="O442" i="3" s="1"/>
  <c r="Q442" i="3"/>
  <c r="R442" i="3"/>
  <c r="B443" i="3"/>
  <c r="C443" i="3"/>
  <c r="S443" i="3" s="1"/>
  <c r="D443" i="3"/>
  <c r="I443" i="3"/>
  <c r="K443" i="3"/>
  <c r="J443" i="3" s="1"/>
  <c r="L443" i="3"/>
  <c r="M443" i="3"/>
  <c r="P443" i="3" s="1"/>
  <c r="N443" i="3"/>
  <c r="O443" i="3" s="1"/>
  <c r="Q443" i="3"/>
  <c r="R443" i="3"/>
  <c r="B444" i="3"/>
  <c r="C444" i="3"/>
  <c r="S444" i="3" s="1"/>
  <c r="D444" i="3"/>
  <c r="I444" i="3"/>
  <c r="K444" i="3"/>
  <c r="J444" i="3" s="1"/>
  <c r="L444" i="3"/>
  <c r="M444" i="3"/>
  <c r="P444" i="3" s="1"/>
  <c r="N444" i="3"/>
  <c r="O444" i="3" s="1"/>
  <c r="Q444" i="3"/>
  <c r="R444" i="3"/>
  <c r="B445" i="3"/>
  <c r="C445" i="3"/>
  <c r="S445" i="3" s="1"/>
  <c r="D445" i="3"/>
  <c r="I445" i="3"/>
  <c r="K445" i="3"/>
  <c r="J445" i="3" s="1"/>
  <c r="L445" i="3"/>
  <c r="M445" i="3"/>
  <c r="P445" i="3" s="1"/>
  <c r="N445" i="3"/>
  <c r="O445" i="3" s="1"/>
  <c r="Q445" i="3"/>
  <c r="R445" i="3"/>
  <c r="B446" i="3"/>
  <c r="C446" i="3"/>
  <c r="S446" i="3" s="1"/>
  <c r="D446" i="3"/>
  <c r="I446" i="3"/>
  <c r="K446" i="3"/>
  <c r="J446" i="3" s="1"/>
  <c r="L446" i="3"/>
  <c r="M446" i="3"/>
  <c r="P446" i="3" s="1"/>
  <c r="N446" i="3"/>
  <c r="O446" i="3" s="1"/>
  <c r="Q446" i="3"/>
  <c r="R446" i="3"/>
  <c r="B447" i="3"/>
  <c r="C447" i="3"/>
  <c r="S447" i="3" s="1"/>
  <c r="D447" i="3"/>
  <c r="I447" i="3"/>
  <c r="K447" i="3"/>
  <c r="J447" i="3" s="1"/>
  <c r="L447" i="3"/>
  <c r="M447" i="3"/>
  <c r="P447" i="3" s="1"/>
  <c r="N447" i="3"/>
  <c r="O447" i="3" s="1"/>
  <c r="Q447" i="3"/>
  <c r="R447" i="3"/>
  <c r="B448" i="3"/>
  <c r="C448" i="3"/>
  <c r="S448" i="3" s="1"/>
  <c r="D448" i="3"/>
  <c r="I448" i="3"/>
  <c r="K448" i="3"/>
  <c r="J448" i="3" s="1"/>
  <c r="L448" i="3"/>
  <c r="M448" i="3"/>
  <c r="P448" i="3" s="1"/>
  <c r="N448" i="3"/>
  <c r="O448" i="3" s="1"/>
  <c r="Q448" i="3"/>
  <c r="R448" i="3"/>
  <c r="B449" i="3"/>
  <c r="C449" i="3"/>
  <c r="S449" i="3" s="1"/>
  <c r="D449" i="3"/>
  <c r="I449" i="3"/>
  <c r="K449" i="3"/>
  <c r="J449" i="3" s="1"/>
  <c r="L449" i="3"/>
  <c r="M449" i="3"/>
  <c r="P449" i="3" s="1"/>
  <c r="N449" i="3"/>
  <c r="O449" i="3" s="1"/>
  <c r="Q449" i="3"/>
  <c r="R449" i="3"/>
  <c r="B450" i="3"/>
  <c r="C450" i="3"/>
  <c r="S450" i="3" s="1"/>
  <c r="D450" i="3"/>
  <c r="I450" i="3"/>
  <c r="K450" i="3"/>
  <c r="J450" i="3" s="1"/>
  <c r="L450" i="3"/>
  <c r="M450" i="3"/>
  <c r="P450" i="3" s="1"/>
  <c r="N450" i="3"/>
  <c r="O450" i="3" s="1"/>
  <c r="Q450" i="3"/>
  <c r="R450" i="3"/>
  <c r="B451" i="3"/>
  <c r="C451" i="3"/>
  <c r="S451" i="3" s="1"/>
  <c r="D451" i="3"/>
  <c r="I451" i="3"/>
  <c r="K451" i="3"/>
  <c r="J451" i="3" s="1"/>
  <c r="L451" i="3"/>
  <c r="M451" i="3"/>
  <c r="P451" i="3" s="1"/>
  <c r="N451" i="3"/>
  <c r="O451" i="3" s="1"/>
  <c r="Q451" i="3"/>
  <c r="R451" i="3"/>
  <c r="B452" i="3"/>
  <c r="C452" i="3"/>
  <c r="S452" i="3" s="1"/>
  <c r="D452" i="3"/>
  <c r="I452" i="3"/>
  <c r="K452" i="3"/>
  <c r="J452" i="3" s="1"/>
  <c r="L452" i="3"/>
  <c r="M452" i="3"/>
  <c r="P452" i="3" s="1"/>
  <c r="N452" i="3"/>
  <c r="O452" i="3" s="1"/>
  <c r="Q452" i="3"/>
  <c r="R452" i="3"/>
  <c r="B453" i="3"/>
  <c r="C453" i="3"/>
  <c r="S453" i="3" s="1"/>
  <c r="D453" i="3"/>
  <c r="I453" i="3"/>
  <c r="K453" i="3"/>
  <c r="J453" i="3" s="1"/>
  <c r="L453" i="3"/>
  <c r="M453" i="3"/>
  <c r="P453" i="3" s="1"/>
  <c r="N453" i="3"/>
  <c r="O453" i="3" s="1"/>
  <c r="Q453" i="3"/>
  <c r="R453" i="3"/>
  <c r="B454" i="3"/>
  <c r="C454" i="3"/>
  <c r="S454" i="3" s="1"/>
  <c r="D454" i="3"/>
  <c r="I454" i="3"/>
  <c r="K454" i="3"/>
  <c r="J454" i="3" s="1"/>
  <c r="L454" i="3"/>
  <c r="M454" i="3"/>
  <c r="P454" i="3" s="1"/>
  <c r="N454" i="3"/>
  <c r="O454" i="3" s="1"/>
  <c r="Q454" i="3"/>
  <c r="R454" i="3"/>
  <c r="B455" i="3"/>
  <c r="C455" i="3"/>
  <c r="S455" i="3" s="1"/>
  <c r="D455" i="3"/>
  <c r="I455" i="3"/>
  <c r="K455" i="3"/>
  <c r="J455" i="3" s="1"/>
  <c r="L455" i="3"/>
  <c r="M455" i="3"/>
  <c r="P455" i="3" s="1"/>
  <c r="N455" i="3"/>
  <c r="O455" i="3" s="1"/>
  <c r="Q455" i="3"/>
  <c r="R455" i="3"/>
  <c r="B456" i="3"/>
  <c r="C456" i="3"/>
  <c r="S456" i="3" s="1"/>
  <c r="D456" i="3"/>
  <c r="I456" i="3"/>
  <c r="K456" i="3"/>
  <c r="J456" i="3" s="1"/>
  <c r="L456" i="3"/>
  <c r="M456" i="3"/>
  <c r="P456" i="3" s="1"/>
  <c r="N456" i="3"/>
  <c r="O456" i="3" s="1"/>
  <c r="Q456" i="3"/>
  <c r="R456" i="3"/>
  <c r="B457" i="3"/>
  <c r="C457" i="3"/>
  <c r="S457" i="3" s="1"/>
  <c r="D457" i="3"/>
  <c r="I457" i="3"/>
  <c r="K457" i="3"/>
  <c r="J457" i="3" s="1"/>
  <c r="L457" i="3"/>
  <c r="M457" i="3"/>
  <c r="P457" i="3" s="1"/>
  <c r="N457" i="3"/>
  <c r="O457" i="3" s="1"/>
  <c r="Q457" i="3"/>
  <c r="R457" i="3"/>
  <c r="B458" i="3"/>
  <c r="C458" i="3"/>
  <c r="S458" i="3" s="1"/>
  <c r="D458" i="3"/>
  <c r="I458" i="3"/>
  <c r="K458" i="3"/>
  <c r="J458" i="3" s="1"/>
  <c r="L458" i="3"/>
  <c r="M458" i="3"/>
  <c r="P458" i="3" s="1"/>
  <c r="N458" i="3"/>
  <c r="O458" i="3" s="1"/>
  <c r="Q458" i="3"/>
  <c r="R458" i="3"/>
  <c r="B459" i="3"/>
  <c r="C459" i="3"/>
  <c r="S459" i="3" s="1"/>
  <c r="D459" i="3"/>
  <c r="I459" i="3"/>
  <c r="K459" i="3"/>
  <c r="J459" i="3" s="1"/>
  <c r="L459" i="3"/>
  <c r="M459" i="3"/>
  <c r="P459" i="3" s="1"/>
  <c r="N459" i="3"/>
  <c r="O459" i="3" s="1"/>
  <c r="Q459" i="3"/>
  <c r="R459" i="3"/>
  <c r="B460" i="3"/>
  <c r="C460" i="3"/>
  <c r="S460" i="3" s="1"/>
  <c r="D460" i="3"/>
  <c r="I460" i="3"/>
  <c r="K460" i="3"/>
  <c r="J460" i="3" s="1"/>
  <c r="L460" i="3"/>
  <c r="M460" i="3"/>
  <c r="P460" i="3" s="1"/>
  <c r="N460" i="3"/>
  <c r="O460" i="3" s="1"/>
  <c r="Q460" i="3"/>
  <c r="R460" i="3"/>
  <c r="B461" i="3"/>
  <c r="C461" i="3"/>
  <c r="S461" i="3" s="1"/>
  <c r="D461" i="3"/>
  <c r="I461" i="3"/>
  <c r="K461" i="3"/>
  <c r="J461" i="3" s="1"/>
  <c r="L461" i="3"/>
  <c r="M461" i="3"/>
  <c r="P461" i="3" s="1"/>
  <c r="N461" i="3"/>
  <c r="O461" i="3" s="1"/>
  <c r="Q461" i="3"/>
  <c r="R461" i="3"/>
  <c r="B462" i="3"/>
  <c r="C462" i="3"/>
  <c r="S462" i="3" s="1"/>
  <c r="D462" i="3"/>
  <c r="I462" i="3"/>
  <c r="K462" i="3"/>
  <c r="J462" i="3" s="1"/>
  <c r="L462" i="3"/>
  <c r="M462" i="3"/>
  <c r="P462" i="3" s="1"/>
  <c r="N462" i="3"/>
  <c r="O462" i="3" s="1"/>
  <c r="Q462" i="3"/>
  <c r="R462" i="3"/>
  <c r="B463" i="3"/>
  <c r="C463" i="3"/>
  <c r="S463" i="3" s="1"/>
  <c r="D463" i="3"/>
  <c r="I463" i="3"/>
  <c r="K463" i="3"/>
  <c r="J463" i="3" s="1"/>
  <c r="L463" i="3"/>
  <c r="M463" i="3"/>
  <c r="P463" i="3" s="1"/>
  <c r="N463" i="3"/>
  <c r="O463" i="3" s="1"/>
  <c r="Q463" i="3"/>
  <c r="R463" i="3"/>
  <c r="B464" i="3"/>
  <c r="C464" i="3"/>
  <c r="S464" i="3" s="1"/>
  <c r="D464" i="3"/>
  <c r="I464" i="3"/>
  <c r="K464" i="3"/>
  <c r="J464" i="3" s="1"/>
  <c r="L464" i="3"/>
  <c r="M464" i="3"/>
  <c r="P464" i="3" s="1"/>
  <c r="N464" i="3"/>
  <c r="O464" i="3" s="1"/>
  <c r="Q464" i="3"/>
  <c r="R464" i="3"/>
  <c r="B465" i="3"/>
  <c r="C465" i="3"/>
  <c r="S465" i="3" s="1"/>
  <c r="D465" i="3"/>
  <c r="I465" i="3"/>
  <c r="K465" i="3"/>
  <c r="J465" i="3" s="1"/>
  <c r="L465" i="3"/>
  <c r="M465" i="3"/>
  <c r="P465" i="3" s="1"/>
  <c r="N465" i="3"/>
  <c r="O465" i="3" s="1"/>
  <c r="Q465" i="3"/>
  <c r="R465" i="3"/>
  <c r="B466" i="3"/>
  <c r="C466" i="3"/>
  <c r="S466" i="3" s="1"/>
  <c r="D466" i="3"/>
  <c r="I466" i="3"/>
  <c r="K466" i="3"/>
  <c r="J466" i="3" s="1"/>
  <c r="L466" i="3"/>
  <c r="M466" i="3"/>
  <c r="P466" i="3" s="1"/>
  <c r="N466" i="3"/>
  <c r="O466" i="3" s="1"/>
  <c r="Q466" i="3"/>
  <c r="R466" i="3"/>
  <c r="B467" i="3"/>
  <c r="C467" i="3"/>
  <c r="S467" i="3" s="1"/>
  <c r="D467" i="3"/>
  <c r="I467" i="3"/>
  <c r="K467" i="3"/>
  <c r="J467" i="3" s="1"/>
  <c r="L467" i="3"/>
  <c r="M467" i="3"/>
  <c r="P467" i="3" s="1"/>
  <c r="N467" i="3"/>
  <c r="O467" i="3" s="1"/>
  <c r="Q467" i="3"/>
  <c r="R467" i="3"/>
  <c r="B468" i="3"/>
  <c r="C468" i="3"/>
  <c r="S468" i="3" s="1"/>
  <c r="D468" i="3"/>
  <c r="I468" i="3"/>
  <c r="K468" i="3"/>
  <c r="J468" i="3" s="1"/>
  <c r="L468" i="3"/>
  <c r="M468" i="3"/>
  <c r="P468" i="3" s="1"/>
  <c r="N468" i="3"/>
  <c r="O468" i="3" s="1"/>
  <c r="Q468" i="3"/>
  <c r="R468" i="3"/>
  <c r="B469" i="3"/>
  <c r="C469" i="3"/>
  <c r="S469" i="3" s="1"/>
  <c r="D469" i="3"/>
  <c r="I469" i="3"/>
  <c r="K469" i="3"/>
  <c r="J469" i="3" s="1"/>
  <c r="L469" i="3"/>
  <c r="M469" i="3"/>
  <c r="P469" i="3" s="1"/>
  <c r="N469" i="3"/>
  <c r="O469" i="3" s="1"/>
  <c r="Q469" i="3"/>
  <c r="R469" i="3"/>
  <c r="B470" i="3"/>
  <c r="C470" i="3"/>
  <c r="S470" i="3" s="1"/>
  <c r="D470" i="3"/>
  <c r="I470" i="3"/>
  <c r="K470" i="3"/>
  <c r="J470" i="3" s="1"/>
  <c r="L470" i="3"/>
  <c r="M470" i="3"/>
  <c r="P470" i="3" s="1"/>
  <c r="N470" i="3"/>
  <c r="O470" i="3" s="1"/>
  <c r="Q470" i="3"/>
  <c r="R470" i="3"/>
  <c r="B471" i="3"/>
  <c r="C471" i="3"/>
  <c r="S471" i="3" s="1"/>
  <c r="D471" i="3"/>
  <c r="I471" i="3"/>
  <c r="K471" i="3"/>
  <c r="J471" i="3" s="1"/>
  <c r="L471" i="3"/>
  <c r="M471" i="3"/>
  <c r="P471" i="3" s="1"/>
  <c r="N471" i="3"/>
  <c r="O471" i="3" s="1"/>
  <c r="Q471" i="3"/>
  <c r="R471" i="3"/>
  <c r="B472" i="3"/>
  <c r="C472" i="3"/>
  <c r="S472" i="3" s="1"/>
  <c r="D472" i="3"/>
  <c r="I472" i="3"/>
  <c r="K472" i="3"/>
  <c r="J472" i="3" s="1"/>
  <c r="L472" i="3"/>
  <c r="M472" i="3"/>
  <c r="P472" i="3" s="1"/>
  <c r="N472" i="3"/>
  <c r="O472" i="3" s="1"/>
  <c r="Q472" i="3"/>
  <c r="R472" i="3"/>
  <c r="B473" i="3"/>
  <c r="C473" i="3"/>
  <c r="S473" i="3" s="1"/>
  <c r="D473" i="3"/>
  <c r="I473" i="3"/>
  <c r="K473" i="3"/>
  <c r="J473" i="3" s="1"/>
  <c r="L473" i="3"/>
  <c r="M473" i="3"/>
  <c r="P473" i="3" s="1"/>
  <c r="N473" i="3"/>
  <c r="O473" i="3" s="1"/>
  <c r="Q473" i="3"/>
  <c r="R473" i="3"/>
  <c r="B474" i="3"/>
  <c r="C474" i="3"/>
  <c r="S474" i="3" s="1"/>
  <c r="D474" i="3"/>
  <c r="I474" i="3"/>
  <c r="K474" i="3"/>
  <c r="J474" i="3" s="1"/>
  <c r="L474" i="3"/>
  <c r="M474" i="3"/>
  <c r="P474" i="3" s="1"/>
  <c r="N474" i="3"/>
  <c r="O474" i="3" s="1"/>
  <c r="Q474" i="3"/>
  <c r="R474" i="3"/>
  <c r="B475" i="3"/>
  <c r="C475" i="3"/>
  <c r="S475" i="3" s="1"/>
  <c r="D475" i="3"/>
  <c r="I475" i="3"/>
  <c r="K475" i="3"/>
  <c r="J475" i="3" s="1"/>
  <c r="L475" i="3"/>
  <c r="M475" i="3"/>
  <c r="P475" i="3" s="1"/>
  <c r="N475" i="3"/>
  <c r="O475" i="3" s="1"/>
  <c r="Q475" i="3"/>
  <c r="R475" i="3"/>
  <c r="B476" i="3"/>
  <c r="C476" i="3"/>
  <c r="S476" i="3" s="1"/>
  <c r="D476" i="3"/>
  <c r="I476" i="3"/>
  <c r="K476" i="3"/>
  <c r="J476" i="3" s="1"/>
  <c r="L476" i="3"/>
  <c r="M476" i="3"/>
  <c r="P476" i="3" s="1"/>
  <c r="N476" i="3"/>
  <c r="O476" i="3" s="1"/>
  <c r="Q476" i="3"/>
  <c r="R476" i="3"/>
  <c r="B477" i="3"/>
  <c r="C477" i="3"/>
  <c r="S477" i="3" s="1"/>
  <c r="D477" i="3"/>
  <c r="I477" i="3"/>
  <c r="K477" i="3"/>
  <c r="J477" i="3" s="1"/>
  <c r="L477" i="3"/>
  <c r="M477" i="3"/>
  <c r="P477" i="3" s="1"/>
  <c r="N477" i="3"/>
  <c r="O477" i="3" s="1"/>
  <c r="Q477" i="3"/>
  <c r="R477" i="3"/>
  <c r="B478" i="3"/>
  <c r="C478" i="3"/>
  <c r="S478" i="3" s="1"/>
  <c r="D478" i="3"/>
  <c r="H478" i="3"/>
  <c r="I478" i="3" s="1"/>
  <c r="K478" i="3"/>
  <c r="L478" i="3"/>
  <c r="M478" i="3"/>
  <c r="P478" i="3" s="1"/>
  <c r="N478" i="3"/>
  <c r="O478" i="3" s="1"/>
  <c r="Q478" i="3"/>
  <c r="R478" i="3"/>
  <c r="B479" i="3"/>
  <c r="C479" i="3"/>
  <c r="S479" i="3" s="1"/>
  <c r="D479" i="3"/>
  <c r="I479" i="3"/>
  <c r="K479" i="3"/>
  <c r="J479" i="3" s="1"/>
  <c r="L479" i="3"/>
  <c r="M479" i="3"/>
  <c r="P479" i="3" s="1"/>
  <c r="N479" i="3"/>
  <c r="O479" i="3" s="1"/>
  <c r="Q479" i="3"/>
  <c r="R479" i="3"/>
  <c r="B480" i="3"/>
  <c r="C480" i="3"/>
  <c r="S480" i="3" s="1"/>
  <c r="D480" i="3"/>
  <c r="I480" i="3"/>
  <c r="K480" i="3"/>
  <c r="J480" i="3" s="1"/>
  <c r="L480" i="3"/>
  <c r="M480" i="3"/>
  <c r="P480" i="3" s="1"/>
  <c r="N480" i="3"/>
  <c r="O480" i="3" s="1"/>
  <c r="Q480" i="3"/>
  <c r="R480" i="3"/>
  <c r="B481" i="3"/>
  <c r="C481" i="3"/>
  <c r="S481" i="3" s="1"/>
  <c r="D481" i="3"/>
  <c r="I481" i="3"/>
  <c r="K481" i="3"/>
  <c r="J481" i="3" s="1"/>
  <c r="L481" i="3"/>
  <c r="M481" i="3"/>
  <c r="P481" i="3" s="1"/>
  <c r="N481" i="3"/>
  <c r="O481" i="3" s="1"/>
  <c r="Q481" i="3"/>
  <c r="R481" i="3"/>
  <c r="B482" i="3"/>
  <c r="C482" i="3"/>
  <c r="S482" i="3" s="1"/>
  <c r="D482" i="3"/>
  <c r="I482" i="3"/>
  <c r="K482" i="3"/>
  <c r="J482" i="3" s="1"/>
  <c r="L482" i="3"/>
  <c r="M482" i="3"/>
  <c r="P482" i="3" s="1"/>
  <c r="N482" i="3"/>
  <c r="O482" i="3" s="1"/>
  <c r="Q482" i="3"/>
  <c r="R482" i="3"/>
  <c r="B483" i="3"/>
  <c r="C483" i="3"/>
  <c r="S483" i="3" s="1"/>
  <c r="D483" i="3"/>
  <c r="I483" i="3"/>
  <c r="K483" i="3"/>
  <c r="J483" i="3" s="1"/>
  <c r="L483" i="3"/>
  <c r="M483" i="3"/>
  <c r="P483" i="3" s="1"/>
  <c r="N483" i="3"/>
  <c r="O483" i="3" s="1"/>
  <c r="Q483" i="3"/>
  <c r="R483" i="3"/>
  <c r="B484" i="3"/>
  <c r="C484" i="3"/>
  <c r="S484" i="3" s="1"/>
  <c r="D484" i="3"/>
  <c r="H484" i="3"/>
  <c r="I484" i="3" s="1"/>
  <c r="K484" i="3"/>
  <c r="L484" i="3"/>
  <c r="M484" i="3"/>
  <c r="P484" i="3" s="1"/>
  <c r="N484" i="3"/>
  <c r="O484" i="3" s="1"/>
  <c r="Q484" i="3"/>
  <c r="R484" i="3"/>
  <c r="B485" i="3"/>
  <c r="C485" i="3"/>
  <c r="S485" i="3" s="1"/>
  <c r="D485" i="3"/>
  <c r="I485" i="3"/>
  <c r="K485" i="3"/>
  <c r="J485" i="3" s="1"/>
  <c r="L485" i="3"/>
  <c r="M485" i="3"/>
  <c r="P485" i="3" s="1"/>
  <c r="N485" i="3"/>
  <c r="O485" i="3" s="1"/>
  <c r="Q485" i="3"/>
  <c r="R485" i="3"/>
  <c r="B486" i="3"/>
  <c r="C486" i="3"/>
  <c r="S486" i="3" s="1"/>
  <c r="D486" i="3"/>
  <c r="I486" i="3"/>
  <c r="K486" i="3"/>
  <c r="J486" i="3" s="1"/>
  <c r="L486" i="3"/>
  <c r="M486" i="3"/>
  <c r="P486" i="3" s="1"/>
  <c r="N486" i="3"/>
  <c r="O486" i="3" s="1"/>
  <c r="Q486" i="3"/>
  <c r="R486" i="3"/>
  <c r="B487" i="3"/>
  <c r="C487" i="3"/>
  <c r="S487" i="3" s="1"/>
  <c r="D487" i="3"/>
  <c r="I487" i="3"/>
  <c r="K487" i="3"/>
  <c r="J487" i="3" s="1"/>
  <c r="L487" i="3"/>
  <c r="M487" i="3"/>
  <c r="P487" i="3" s="1"/>
  <c r="N487" i="3"/>
  <c r="O487" i="3" s="1"/>
  <c r="Q487" i="3"/>
  <c r="R487" i="3"/>
  <c r="B488" i="3"/>
  <c r="C488" i="3"/>
  <c r="S488" i="3" s="1"/>
  <c r="D488" i="3"/>
  <c r="I488" i="3"/>
  <c r="K488" i="3"/>
  <c r="J488" i="3" s="1"/>
  <c r="L488" i="3"/>
  <c r="M488" i="3"/>
  <c r="P488" i="3" s="1"/>
  <c r="N488" i="3"/>
  <c r="O488" i="3" s="1"/>
  <c r="Q488" i="3"/>
  <c r="R488" i="3"/>
  <c r="B489" i="3"/>
  <c r="C489" i="3"/>
  <c r="S489" i="3" s="1"/>
  <c r="D489" i="3"/>
  <c r="I489" i="3"/>
  <c r="K489" i="3"/>
  <c r="J489" i="3" s="1"/>
  <c r="L489" i="3"/>
  <c r="M489" i="3"/>
  <c r="P489" i="3" s="1"/>
  <c r="N489" i="3"/>
  <c r="O489" i="3" s="1"/>
  <c r="Q489" i="3"/>
  <c r="R489" i="3"/>
  <c r="B490" i="3"/>
  <c r="C490" i="3"/>
  <c r="S490" i="3" s="1"/>
  <c r="D490" i="3"/>
  <c r="I490" i="3"/>
  <c r="K490" i="3"/>
  <c r="J490" i="3" s="1"/>
  <c r="L490" i="3"/>
  <c r="M490" i="3"/>
  <c r="P490" i="3" s="1"/>
  <c r="N490" i="3"/>
  <c r="O490" i="3" s="1"/>
  <c r="Q490" i="3"/>
  <c r="R490" i="3"/>
  <c r="B491" i="3"/>
  <c r="C491" i="3"/>
  <c r="S491" i="3" s="1"/>
  <c r="D491" i="3"/>
  <c r="I491" i="3"/>
  <c r="K491" i="3"/>
  <c r="J491" i="3" s="1"/>
  <c r="L491" i="3"/>
  <c r="M491" i="3"/>
  <c r="P491" i="3" s="1"/>
  <c r="N491" i="3"/>
  <c r="O491" i="3" s="1"/>
  <c r="Q491" i="3"/>
  <c r="R491" i="3"/>
  <c r="B492" i="3"/>
  <c r="C492" i="3"/>
  <c r="S492" i="3" s="1"/>
  <c r="D492" i="3"/>
  <c r="I492" i="3"/>
  <c r="K492" i="3"/>
  <c r="J492" i="3" s="1"/>
  <c r="L492" i="3"/>
  <c r="M492" i="3"/>
  <c r="P492" i="3" s="1"/>
  <c r="N492" i="3"/>
  <c r="O492" i="3" s="1"/>
  <c r="Q492" i="3"/>
  <c r="R492" i="3"/>
  <c r="B493" i="3"/>
  <c r="C493" i="3"/>
  <c r="S493" i="3" s="1"/>
  <c r="D493" i="3"/>
  <c r="I493" i="3"/>
  <c r="K493" i="3"/>
  <c r="J493" i="3" s="1"/>
  <c r="L493" i="3"/>
  <c r="M493" i="3"/>
  <c r="P493" i="3" s="1"/>
  <c r="N493" i="3"/>
  <c r="O493" i="3" s="1"/>
  <c r="Q493" i="3"/>
  <c r="R493" i="3"/>
  <c r="B494" i="3"/>
  <c r="C494" i="3"/>
  <c r="S494" i="3" s="1"/>
  <c r="D494" i="3"/>
  <c r="I494" i="3"/>
  <c r="K494" i="3"/>
  <c r="J494" i="3" s="1"/>
  <c r="L494" i="3"/>
  <c r="M494" i="3"/>
  <c r="P494" i="3" s="1"/>
  <c r="N494" i="3"/>
  <c r="O494" i="3" s="1"/>
  <c r="Q494" i="3"/>
  <c r="R494" i="3"/>
  <c r="B495" i="3"/>
  <c r="C495" i="3"/>
  <c r="S495" i="3" s="1"/>
  <c r="D495" i="3"/>
  <c r="H495" i="3"/>
  <c r="I495" i="3" s="1"/>
  <c r="K495" i="3"/>
  <c r="L495" i="3"/>
  <c r="M495" i="3"/>
  <c r="P495" i="3" s="1"/>
  <c r="N495" i="3"/>
  <c r="O495" i="3" s="1"/>
  <c r="Q495" i="3"/>
  <c r="R495" i="3"/>
  <c r="B496" i="3"/>
  <c r="C496" i="3"/>
  <c r="S496" i="3" s="1"/>
  <c r="D496" i="3"/>
  <c r="I496" i="3"/>
  <c r="K496" i="3"/>
  <c r="J496" i="3" s="1"/>
  <c r="L496" i="3"/>
  <c r="M496" i="3"/>
  <c r="P496" i="3" s="1"/>
  <c r="N496" i="3"/>
  <c r="O496" i="3" s="1"/>
  <c r="Q496" i="3"/>
  <c r="R496" i="3"/>
  <c r="B497" i="3"/>
  <c r="C497" i="3"/>
  <c r="S497" i="3" s="1"/>
  <c r="D497" i="3"/>
  <c r="H497" i="3"/>
  <c r="I497" i="3" s="1"/>
  <c r="K497" i="3"/>
  <c r="J497" i="3" s="1"/>
  <c r="L497" i="3"/>
  <c r="M497" i="3"/>
  <c r="P497" i="3" s="1"/>
  <c r="N497" i="3"/>
  <c r="O497" i="3" s="1"/>
  <c r="Q497" i="3"/>
  <c r="R497" i="3"/>
  <c r="B498" i="3"/>
  <c r="C498" i="3"/>
  <c r="S498" i="3" s="1"/>
  <c r="D498" i="3"/>
  <c r="I498" i="3"/>
  <c r="K498" i="3"/>
  <c r="J498" i="3" s="1"/>
  <c r="L498" i="3"/>
  <c r="M498" i="3"/>
  <c r="P498" i="3" s="1"/>
  <c r="N498" i="3"/>
  <c r="O498" i="3" s="1"/>
  <c r="Q498" i="3"/>
  <c r="R498" i="3"/>
  <c r="B499" i="3"/>
  <c r="C499" i="3"/>
  <c r="S499" i="3" s="1"/>
  <c r="D499" i="3"/>
  <c r="H499" i="3"/>
  <c r="I499" i="3" s="1"/>
  <c r="K499" i="3"/>
  <c r="L499" i="3"/>
  <c r="M499" i="3"/>
  <c r="P499" i="3" s="1"/>
  <c r="N499" i="3"/>
  <c r="O499" i="3" s="1"/>
  <c r="Q499" i="3"/>
  <c r="R499" i="3"/>
  <c r="B500" i="3"/>
  <c r="C500" i="3"/>
  <c r="S500" i="3" s="1"/>
  <c r="D500" i="3"/>
  <c r="I500" i="3"/>
  <c r="K500" i="3"/>
  <c r="J500" i="3" s="1"/>
  <c r="L500" i="3"/>
  <c r="M500" i="3"/>
  <c r="P500" i="3" s="1"/>
  <c r="N500" i="3"/>
  <c r="O500" i="3" s="1"/>
  <c r="Q500" i="3"/>
  <c r="R500" i="3"/>
  <c r="B501" i="3"/>
  <c r="C501" i="3"/>
  <c r="S501" i="3" s="1"/>
  <c r="D501" i="3"/>
  <c r="H501" i="3"/>
  <c r="I501" i="3" s="1"/>
  <c r="K501" i="3"/>
  <c r="L501" i="3"/>
  <c r="M501" i="3"/>
  <c r="P501" i="3" s="1"/>
  <c r="N501" i="3"/>
  <c r="O501" i="3" s="1"/>
  <c r="Q501" i="3"/>
  <c r="R501" i="3"/>
  <c r="B502" i="3"/>
  <c r="C502" i="3"/>
  <c r="S502" i="3" s="1"/>
  <c r="D502" i="3"/>
  <c r="I502" i="3"/>
  <c r="K502" i="3"/>
  <c r="J502" i="3" s="1"/>
  <c r="L502" i="3"/>
  <c r="M502" i="3"/>
  <c r="P502" i="3" s="1"/>
  <c r="N502" i="3"/>
  <c r="O502" i="3" s="1"/>
  <c r="Q502" i="3"/>
  <c r="R502" i="3"/>
  <c r="B503" i="3"/>
  <c r="C503" i="3"/>
  <c r="S503" i="3" s="1"/>
  <c r="D503" i="3"/>
  <c r="I503" i="3"/>
  <c r="K503" i="3"/>
  <c r="J503" i="3" s="1"/>
  <c r="L503" i="3"/>
  <c r="M503" i="3"/>
  <c r="P503" i="3" s="1"/>
  <c r="N503" i="3"/>
  <c r="O503" i="3" s="1"/>
  <c r="Q503" i="3"/>
  <c r="R503" i="3"/>
  <c r="B504" i="3"/>
  <c r="C504" i="3"/>
  <c r="S504" i="3" s="1"/>
  <c r="D504" i="3"/>
  <c r="I504" i="3"/>
  <c r="K504" i="3"/>
  <c r="J504" i="3" s="1"/>
  <c r="L504" i="3"/>
  <c r="M504" i="3"/>
  <c r="P504" i="3" s="1"/>
  <c r="N504" i="3"/>
  <c r="O504" i="3" s="1"/>
  <c r="Q504" i="3"/>
  <c r="R504" i="3"/>
  <c r="B505" i="3"/>
  <c r="C505" i="3"/>
  <c r="S505" i="3" s="1"/>
  <c r="D505" i="3"/>
  <c r="I505" i="3"/>
  <c r="K505" i="3"/>
  <c r="J505" i="3" s="1"/>
  <c r="L505" i="3"/>
  <c r="M505" i="3"/>
  <c r="P505" i="3" s="1"/>
  <c r="N505" i="3"/>
  <c r="O505" i="3" s="1"/>
  <c r="Q505" i="3"/>
  <c r="R505" i="3"/>
  <c r="B506" i="3"/>
  <c r="C506" i="3"/>
  <c r="S506" i="3" s="1"/>
  <c r="D506" i="3"/>
  <c r="I506" i="3"/>
  <c r="K506" i="3"/>
  <c r="J506" i="3" s="1"/>
  <c r="L506" i="3"/>
  <c r="M506" i="3"/>
  <c r="P506" i="3" s="1"/>
  <c r="N506" i="3"/>
  <c r="O506" i="3" s="1"/>
  <c r="Q506" i="3"/>
  <c r="R506" i="3"/>
  <c r="B507" i="3"/>
  <c r="C507" i="3"/>
  <c r="S507" i="3" s="1"/>
  <c r="D507" i="3"/>
  <c r="I507" i="3"/>
  <c r="K507" i="3"/>
  <c r="J507" i="3" s="1"/>
  <c r="L507" i="3"/>
  <c r="M507" i="3"/>
  <c r="P507" i="3" s="1"/>
  <c r="N507" i="3"/>
  <c r="O507" i="3" s="1"/>
  <c r="Q507" i="3"/>
  <c r="R507" i="3"/>
  <c r="B508" i="3"/>
  <c r="C508" i="3"/>
  <c r="S508" i="3" s="1"/>
  <c r="D508" i="3"/>
  <c r="I508" i="3"/>
  <c r="K508" i="3"/>
  <c r="J508" i="3" s="1"/>
  <c r="L508" i="3"/>
  <c r="M508" i="3"/>
  <c r="P508" i="3" s="1"/>
  <c r="N508" i="3"/>
  <c r="O508" i="3" s="1"/>
  <c r="Q508" i="3"/>
  <c r="R508" i="3"/>
  <c r="B509" i="3"/>
  <c r="C509" i="3"/>
  <c r="S509" i="3" s="1"/>
  <c r="D509" i="3"/>
  <c r="H509" i="3"/>
  <c r="I509" i="3" s="1"/>
  <c r="K509" i="3"/>
  <c r="L509" i="3"/>
  <c r="M509" i="3"/>
  <c r="P509" i="3" s="1"/>
  <c r="N509" i="3"/>
  <c r="O509" i="3" s="1"/>
  <c r="Q509" i="3"/>
  <c r="R509" i="3"/>
  <c r="B510" i="3"/>
  <c r="C510" i="3"/>
  <c r="S510" i="3" s="1"/>
  <c r="D510" i="3"/>
  <c r="I510" i="3"/>
  <c r="K510" i="3"/>
  <c r="J510" i="3" s="1"/>
  <c r="L510" i="3"/>
  <c r="M510" i="3"/>
  <c r="P510" i="3" s="1"/>
  <c r="N510" i="3"/>
  <c r="O510" i="3" s="1"/>
  <c r="Q510" i="3"/>
  <c r="R510" i="3"/>
  <c r="B511" i="3"/>
  <c r="C511" i="3"/>
  <c r="S511" i="3" s="1"/>
  <c r="D511" i="3"/>
  <c r="I511" i="3"/>
  <c r="K511" i="3"/>
  <c r="J511" i="3" s="1"/>
  <c r="L511" i="3"/>
  <c r="M511" i="3"/>
  <c r="P511" i="3" s="1"/>
  <c r="N511" i="3"/>
  <c r="O511" i="3" s="1"/>
  <c r="Q511" i="3"/>
  <c r="R511" i="3"/>
  <c r="B512" i="3"/>
  <c r="C512" i="3"/>
  <c r="S512" i="3" s="1"/>
  <c r="D512" i="3"/>
  <c r="I512" i="3"/>
  <c r="K512" i="3"/>
  <c r="J512" i="3" s="1"/>
  <c r="L512" i="3"/>
  <c r="M512" i="3"/>
  <c r="P512" i="3" s="1"/>
  <c r="N512" i="3"/>
  <c r="O512" i="3" s="1"/>
  <c r="Q512" i="3"/>
  <c r="R512" i="3"/>
  <c r="B513" i="3"/>
  <c r="C513" i="3"/>
  <c r="S513" i="3" s="1"/>
  <c r="D513" i="3"/>
  <c r="I513" i="3"/>
  <c r="K513" i="3"/>
  <c r="J513" i="3" s="1"/>
  <c r="L513" i="3"/>
  <c r="M513" i="3"/>
  <c r="P513" i="3" s="1"/>
  <c r="N513" i="3"/>
  <c r="O513" i="3" s="1"/>
  <c r="Q513" i="3"/>
  <c r="R513" i="3"/>
  <c r="B514" i="3"/>
  <c r="C514" i="3"/>
  <c r="S514" i="3" s="1"/>
  <c r="D514" i="3"/>
  <c r="I514" i="3"/>
  <c r="K514" i="3"/>
  <c r="J514" i="3" s="1"/>
  <c r="L514" i="3"/>
  <c r="M514" i="3"/>
  <c r="P514" i="3" s="1"/>
  <c r="N514" i="3"/>
  <c r="O514" i="3" s="1"/>
  <c r="Q514" i="3"/>
  <c r="R514" i="3"/>
  <c r="B515" i="3"/>
  <c r="C515" i="3"/>
  <c r="S515" i="3" s="1"/>
  <c r="D515" i="3"/>
  <c r="I515" i="3"/>
  <c r="K515" i="3"/>
  <c r="J515" i="3" s="1"/>
  <c r="L515" i="3"/>
  <c r="M515" i="3"/>
  <c r="P515" i="3" s="1"/>
  <c r="N515" i="3"/>
  <c r="O515" i="3" s="1"/>
  <c r="Q515" i="3"/>
  <c r="R515" i="3"/>
  <c r="B516" i="3"/>
  <c r="C516" i="3"/>
  <c r="S516" i="3" s="1"/>
  <c r="D516" i="3"/>
  <c r="I516" i="3"/>
  <c r="K516" i="3"/>
  <c r="J516" i="3" s="1"/>
  <c r="L516" i="3"/>
  <c r="M516" i="3"/>
  <c r="P516" i="3" s="1"/>
  <c r="N516" i="3"/>
  <c r="O516" i="3" s="1"/>
  <c r="Q516" i="3"/>
  <c r="R516" i="3"/>
  <c r="B517" i="3"/>
  <c r="C517" i="3"/>
  <c r="S517" i="3" s="1"/>
  <c r="D517" i="3"/>
  <c r="I517" i="3"/>
  <c r="K517" i="3"/>
  <c r="J517" i="3" s="1"/>
  <c r="L517" i="3"/>
  <c r="M517" i="3"/>
  <c r="P517" i="3" s="1"/>
  <c r="N517" i="3"/>
  <c r="O517" i="3" s="1"/>
  <c r="Q517" i="3"/>
  <c r="R517" i="3"/>
  <c r="B518" i="3"/>
  <c r="C518" i="3"/>
  <c r="S518" i="3" s="1"/>
  <c r="D518" i="3"/>
  <c r="I518" i="3"/>
  <c r="K518" i="3"/>
  <c r="J518" i="3" s="1"/>
  <c r="L518" i="3"/>
  <c r="M518" i="3"/>
  <c r="P518" i="3" s="1"/>
  <c r="N518" i="3"/>
  <c r="O518" i="3" s="1"/>
  <c r="Q518" i="3"/>
  <c r="R518" i="3"/>
  <c r="B519" i="3"/>
  <c r="C519" i="3"/>
  <c r="S519" i="3" s="1"/>
  <c r="D519" i="3"/>
  <c r="I519" i="3"/>
  <c r="K519" i="3"/>
  <c r="J519" i="3" s="1"/>
  <c r="L519" i="3"/>
  <c r="M519" i="3"/>
  <c r="P519" i="3" s="1"/>
  <c r="N519" i="3"/>
  <c r="O519" i="3" s="1"/>
  <c r="Q519" i="3"/>
  <c r="R519" i="3"/>
  <c r="B520" i="3"/>
  <c r="C520" i="3"/>
  <c r="S520" i="3" s="1"/>
  <c r="D520" i="3"/>
  <c r="I520" i="3"/>
  <c r="K520" i="3"/>
  <c r="J520" i="3" s="1"/>
  <c r="L520" i="3"/>
  <c r="M520" i="3"/>
  <c r="P520" i="3" s="1"/>
  <c r="N520" i="3"/>
  <c r="O520" i="3" s="1"/>
  <c r="Q520" i="3"/>
  <c r="R520" i="3"/>
  <c r="B521" i="3"/>
  <c r="C521" i="3"/>
  <c r="S521" i="3" s="1"/>
  <c r="D521" i="3"/>
  <c r="I521" i="3"/>
  <c r="K521" i="3"/>
  <c r="J521" i="3" s="1"/>
  <c r="L521" i="3"/>
  <c r="M521" i="3"/>
  <c r="P521" i="3" s="1"/>
  <c r="N521" i="3"/>
  <c r="O521" i="3" s="1"/>
  <c r="Q521" i="3"/>
  <c r="R521" i="3"/>
  <c r="B522" i="3"/>
  <c r="C522" i="3"/>
  <c r="S522" i="3" s="1"/>
  <c r="D522" i="3"/>
  <c r="I522" i="3"/>
  <c r="K522" i="3"/>
  <c r="J522" i="3" s="1"/>
  <c r="L522" i="3"/>
  <c r="M522" i="3"/>
  <c r="P522" i="3" s="1"/>
  <c r="N522" i="3"/>
  <c r="O522" i="3" s="1"/>
  <c r="Q522" i="3"/>
  <c r="R522" i="3"/>
  <c r="B523" i="3"/>
  <c r="C523" i="3"/>
  <c r="S523" i="3" s="1"/>
  <c r="D523" i="3"/>
  <c r="I523" i="3"/>
  <c r="K523" i="3"/>
  <c r="J523" i="3" s="1"/>
  <c r="L523" i="3"/>
  <c r="M523" i="3"/>
  <c r="P523" i="3" s="1"/>
  <c r="N523" i="3"/>
  <c r="O523" i="3" s="1"/>
  <c r="Q523" i="3"/>
  <c r="R523" i="3"/>
  <c r="B524" i="3"/>
  <c r="C524" i="3"/>
  <c r="S524" i="3" s="1"/>
  <c r="D524" i="3"/>
  <c r="I524" i="3"/>
  <c r="K524" i="3"/>
  <c r="J524" i="3" s="1"/>
  <c r="L524" i="3"/>
  <c r="M524" i="3"/>
  <c r="P524" i="3" s="1"/>
  <c r="N524" i="3"/>
  <c r="O524" i="3" s="1"/>
  <c r="Q524" i="3"/>
  <c r="R524" i="3"/>
  <c r="B525" i="3"/>
  <c r="C525" i="3"/>
  <c r="S525" i="3" s="1"/>
  <c r="D525" i="3"/>
  <c r="I525" i="3"/>
  <c r="K525" i="3"/>
  <c r="J525" i="3" s="1"/>
  <c r="L525" i="3"/>
  <c r="M525" i="3"/>
  <c r="P525" i="3" s="1"/>
  <c r="N525" i="3"/>
  <c r="O525" i="3" s="1"/>
  <c r="Q525" i="3"/>
  <c r="R525" i="3"/>
  <c r="B526" i="3"/>
  <c r="C526" i="3"/>
  <c r="S526" i="3" s="1"/>
  <c r="D526" i="3"/>
  <c r="I526" i="3"/>
  <c r="K526" i="3"/>
  <c r="J526" i="3" s="1"/>
  <c r="L526" i="3"/>
  <c r="M526" i="3"/>
  <c r="P526" i="3" s="1"/>
  <c r="N526" i="3"/>
  <c r="O526" i="3" s="1"/>
  <c r="Q526" i="3"/>
  <c r="R526" i="3"/>
  <c r="B527" i="3"/>
  <c r="C527" i="3"/>
  <c r="S527" i="3" s="1"/>
  <c r="D527" i="3"/>
  <c r="H527" i="3"/>
  <c r="I527" i="3" s="1"/>
  <c r="K527" i="3"/>
  <c r="L527" i="3"/>
  <c r="M527" i="3"/>
  <c r="P527" i="3" s="1"/>
  <c r="N527" i="3"/>
  <c r="O527" i="3" s="1"/>
  <c r="Q527" i="3"/>
  <c r="R527" i="3"/>
  <c r="B528" i="3"/>
  <c r="C528" i="3"/>
  <c r="S528" i="3" s="1"/>
  <c r="D528" i="3"/>
  <c r="I528" i="3"/>
  <c r="K528" i="3"/>
  <c r="J528" i="3" s="1"/>
  <c r="L528" i="3"/>
  <c r="M528" i="3"/>
  <c r="P528" i="3" s="1"/>
  <c r="N528" i="3"/>
  <c r="O528" i="3" s="1"/>
  <c r="Q528" i="3"/>
  <c r="R528" i="3"/>
  <c r="B529" i="3"/>
  <c r="C529" i="3"/>
  <c r="S529" i="3" s="1"/>
  <c r="D529" i="3"/>
  <c r="I529" i="3"/>
  <c r="K529" i="3"/>
  <c r="J529" i="3" s="1"/>
  <c r="L529" i="3"/>
  <c r="M529" i="3"/>
  <c r="P529" i="3" s="1"/>
  <c r="N529" i="3"/>
  <c r="O529" i="3" s="1"/>
  <c r="Q529" i="3"/>
  <c r="R529" i="3"/>
  <c r="B530" i="3"/>
  <c r="C530" i="3"/>
  <c r="S530" i="3" s="1"/>
  <c r="D530" i="3"/>
  <c r="H530" i="3"/>
  <c r="I530" i="3" s="1"/>
  <c r="K530" i="3"/>
  <c r="L530" i="3"/>
  <c r="M530" i="3"/>
  <c r="P530" i="3" s="1"/>
  <c r="N530" i="3"/>
  <c r="O530" i="3" s="1"/>
  <c r="Q530" i="3"/>
  <c r="R530" i="3"/>
  <c r="B531" i="3"/>
  <c r="C531" i="3"/>
  <c r="S531" i="3" s="1"/>
  <c r="D531" i="3"/>
  <c r="I531" i="3"/>
  <c r="K531" i="3"/>
  <c r="J531" i="3" s="1"/>
  <c r="L531" i="3"/>
  <c r="M531" i="3"/>
  <c r="P531" i="3" s="1"/>
  <c r="N531" i="3"/>
  <c r="O531" i="3" s="1"/>
  <c r="Q531" i="3"/>
  <c r="R531" i="3"/>
  <c r="B532" i="3"/>
  <c r="C532" i="3"/>
  <c r="S532" i="3" s="1"/>
  <c r="D532" i="3"/>
  <c r="I532" i="3"/>
  <c r="K532" i="3"/>
  <c r="J532" i="3" s="1"/>
  <c r="L532" i="3"/>
  <c r="M532" i="3"/>
  <c r="P532" i="3" s="1"/>
  <c r="N532" i="3"/>
  <c r="O532" i="3" s="1"/>
  <c r="Q532" i="3"/>
  <c r="R532" i="3"/>
  <c r="B533" i="3"/>
  <c r="C533" i="3"/>
  <c r="S533" i="3" s="1"/>
  <c r="D533" i="3"/>
  <c r="I533" i="3"/>
  <c r="K533" i="3"/>
  <c r="J533" i="3" s="1"/>
  <c r="L533" i="3"/>
  <c r="M533" i="3"/>
  <c r="P533" i="3" s="1"/>
  <c r="N533" i="3"/>
  <c r="O533" i="3" s="1"/>
  <c r="Q533" i="3"/>
  <c r="R533" i="3"/>
  <c r="B534" i="3"/>
  <c r="C534" i="3"/>
  <c r="S534" i="3" s="1"/>
  <c r="D534" i="3"/>
  <c r="I534" i="3"/>
  <c r="K534" i="3"/>
  <c r="J534" i="3" s="1"/>
  <c r="L534" i="3"/>
  <c r="M534" i="3"/>
  <c r="P534" i="3" s="1"/>
  <c r="N534" i="3"/>
  <c r="O534" i="3" s="1"/>
  <c r="Q534" i="3"/>
  <c r="R534" i="3"/>
  <c r="B535" i="3"/>
  <c r="C535" i="3"/>
  <c r="S535" i="3" s="1"/>
  <c r="D535" i="3"/>
  <c r="I535" i="3"/>
  <c r="K535" i="3"/>
  <c r="J535" i="3" s="1"/>
  <c r="L535" i="3"/>
  <c r="M535" i="3"/>
  <c r="P535" i="3" s="1"/>
  <c r="N535" i="3"/>
  <c r="O535" i="3" s="1"/>
  <c r="Q535" i="3"/>
  <c r="R535" i="3"/>
  <c r="B536" i="3"/>
  <c r="C536" i="3"/>
  <c r="S536" i="3" s="1"/>
  <c r="D536" i="3"/>
  <c r="I536" i="3"/>
  <c r="K536" i="3"/>
  <c r="J536" i="3" s="1"/>
  <c r="L536" i="3"/>
  <c r="M536" i="3"/>
  <c r="P536" i="3" s="1"/>
  <c r="N536" i="3"/>
  <c r="O536" i="3" s="1"/>
  <c r="Q536" i="3"/>
  <c r="R536" i="3"/>
  <c r="B537" i="3"/>
  <c r="C537" i="3"/>
  <c r="S537" i="3" s="1"/>
  <c r="D537" i="3"/>
  <c r="H537" i="3"/>
  <c r="I537" i="3" s="1"/>
  <c r="K537" i="3"/>
  <c r="L537" i="3"/>
  <c r="M537" i="3"/>
  <c r="P537" i="3" s="1"/>
  <c r="N537" i="3"/>
  <c r="O537" i="3" s="1"/>
  <c r="Q537" i="3"/>
  <c r="R537" i="3"/>
  <c r="B538" i="3"/>
  <c r="C538" i="3"/>
  <c r="S538" i="3" s="1"/>
  <c r="D538" i="3"/>
  <c r="I538" i="3"/>
  <c r="K538" i="3"/>
  <c r="J538" i="3" s="1"/>
  <c r="L538" i="3"/>
  <c r="M538" i="3"/>
  <c r="P538" i="3" s="1"/>
  <c r="N538" i="3"/>
  <c r="O538" i="3" s="1"/>
  <c r="Q538" i="3"/>
  <c r="R538" i="3"/>
  <c r="B539" i="3"/>
  <c r="C539" i="3"/>
  <c r="S539" i="3" s="1"/>
  <c r="D539" i="3"/>
  <c r="I539" i="3"/>
  <c r="K539" i="3"/>
  <c r="J539" i="3" s="1"/>
  <c r="L539" i="3"/>
  <c r="M539" i="3"/>
  <c r="P539" i="3" s="1"/>
  <c r="N539" i="3"/>
  <c r="O539" i="3" s="1"/>
  <c r="Q539" i="3"/>
  <c r="R539" i="3"/>
  <c r="B540" i="3"/>
  <c r="C540" i="3"/>
  <c r="S540" i="3" s="1"/>
  <c r="D540" i="3"/>
  <c r="I540" i="3"/>
  <c r="K540" i="3"/>
  <c r="J540" i="3" s="1"/>
  <c r="L540" i="3"/>
  <c r="M540" i="3"/>
  <c r="P540" i="3" s="1"/>
  <c r="N540" i="3"/>
  <c r="O540" i="3" s="1"/>
  <c r="Q540" i="3"/>
  <c r="R540" i="3"/>
  <c r="B541" i="3"/>
  <c r="C541" i="3"/>
  <c r="S541" i="3" s="1"/>
  <c r="D541" i="3"/>
  <c r="I541" i="3"/>
  <c r="K541" i="3"/>
  <c r="J541" i="3" s="1"/>
  <c r="L541" i="3"/>
  <c r="M541" i="3"/>
  <c r="P541" i="3" s="1"/>
  <c r="N541" i="3"/>
  <c r="O541" i="3" s="1"/>
  <c r="Q541" i="3"/>
  <c r="R541" i="3"/>
  <c r="B542" i="3"/>
  <c r="C542" i="3"/>
  <c r="S542" i="3" s="1"/>
  <c r="D542" i="3"/>
  <c r="H542" i="3"/>
  <c r="I542" i="3" s="1"/>
  <c r="K542" i="3"/>
  <c r="L542" i="3"/>
  <c r="M542" i="3"/>
  <c r="P542" i="3" s="1"/>
  <c r="N542" i="3"/>
  <c r="O542" i="3" s="1"/>
  <c r="Q542" i="3"/>
  <c r="R542" i="3"/>
  <c r="B543" i="3"/>
  <c r="C543" i="3"/>
  <c r="S543" i="3" s="1"/>
  <c r="D543" i="3"/>
  <c r="I543" i="3"/>
  <c r="K543" i="3"/>
  <c r="J543" i="3" s="1"/>
  <c r="L543" i="3"/>
  <c r="M543" i="3"/>
  <c r="P543" i="3" s="1"/>
  <c r="N543" i="3"/>
  <c r="O543" i="3" s="1"/>
  <c r="Q543" i="3"/>
  <c r="R543" i="3"/>
  <c r="B544" i="3"/>
  <c r="C544" i="3"/>
  <c r="S544" i="3" s="1"/>
  <c r="D544" i="3"/>
  <c r="H544" i="3"/>
  <c r="I544" i="3" s="1"/>
  <c r="K544" i="3"/>
  <c r="L544" i="3"/>
  <c r="M544" i="3"/>
  <c r="P544" i="3" s="1"/>
  <c r="N544" i="3"/>
  <c r="O544" i="3" s="1"/>
  <c r="Q544" i="3"/>
  <c r="R544" i="3"/>
  <c r="B545" i="3"/>
  <c r="C545" i="3"/>
  <c r="S545" i="3" s="1"/>
  <c r="D545" i="3"/>
  <c r="I545" i="3"/>
  <c r="K545" i="3"/>
  <c r="J545" i="3" s="1"/>
  <c r="L545" i="3"/>
  <c r="M545" i="3"/>
  <c r="P545" i="3" s="1"/>
  <c r="N545" i="3"/>
  <c r="O545" i="3" s="1"/>
  <c r="Q545" i="3"/>
  <c r="R545" i="3"/>
  <c r="B546" i="3"/>
  <c r="C546" i="3"/>
  <c r="S546" i="3" s="1"/>
  <c r="D546" i="3"/>
  <c r="I546" i="3"/>
  <c r="K546" i="3"/>
  <c r="J546" i="3" s="1"/>
  <c r="L546" i="3"/>
  <c r="M546" i="3"/>
  <c r="P546" i="3" s="1"/>
  <c r="N546" i="3"/>
  <c r="O546" i="3" s="1"/>
  <c r="Q546" i="3"/>
  <c r="R546" i="3"/>
  <c r="B547" i="3"/>
  <c r="C547" i="3"/>
  <c r="S547" i="3" s="1"/>
  <c r="D547" i="3"/>
  <c r="H547" i="3"/>
  <c r="I547" i="3" s="1"/>
  <c r="K547" i="3"/>
  <c r="L547" i="3"/>
  <c r="M547" i="3"/>
  <c r="P547" i="3" s="1"/>
  <c r="N547" i="3"/>
  <c r="O547" i="3" s="1"/>
  <c r="Q547" i="3"/>
  <c r="R547" i="3"/>
  <c r="B548" i="3"/>
  <c r="C548" i="3"/>
  <c r="S548" i="3" s="1"/>
  <c r="D548" i="3"/>
  <c r="I548" i="3"/>
  <c r="K548" i="3"/>
  <c r="J548" i="3" s="1"/>
  <c r="L548" i="3"/>
  <c r="M548" i="3"/>
  <c r="P548" i="3" s="1"/>
  <c r="N548" i="3"/>
  <c r="O548" i="3" s="1"/>
  <c r="Q548" i="3"/>
  <c r="R548" i="3"/>
  <c r="B549" i="3"/>
  <c r="C549" i="3"/>
  <c r="S549" i="3" s="1"/>
  <c r="D549" i="3"/>
  <c r="I549" i="3"/>
  <c r="K549" i="3"/>
  <c r="J549" i="3" s="1"/>
  <c r="L549" i="3"/>
  <c r="M549" i="3"/>
  <c r="P549" i="3" s="1"/>
  <c r="N549" i="3"/>
  <c r="O549" i="3" s="1"/>
  <c r="Q549" i="3"/>
  <c r="R549" i="3"/>
  <c r="B550" i="3"/>
  <c r="C550" i="3"/>
  <c r="S550" i="3" s="1"/>
  <c r="D550" i="3"/>
  <c r="I550" i="3"/>
  <c r="K550" i="3"/>
  <c r="J550" i="3" s="1"/>
  <c r="L550" i="3"/>
  <c r="M550" i="3"/>
  <c r="P550" i="3" s="1"/>
  <c r="N550" i="3"/>
  <c r="O550" i="3" s="1"/>
  <c r="Q550" i="3"/>
  <c r="R550" i="3"/>
  <c r="B551" i="3"/>
  <c r="C551" i="3"/>
  <c r="S551" i="3" s="1"/>
  <c r="D551" i="3"/>
  <c r="I551" i="3"/>
  <c r="K551" i="3"/>
  <c r="J551" i="3" s="1"/>
  <c r="L551" i="3"/>
  <c r="M551" i="3"/>
  <c r="P551" i="3" s="1"/>
  <c r="N551" i="3"/>
  <c r="O551" i="3" s="1"/>
  <c r="Q551" i="3"/>
  <c r="R551" i="3"/>
  <c r="B552" i="3"/>
  <c r="C552" i="3"/>
  <c r="S552" i="3" s="1"/>
  <c r="D552" i="3"/>
  <c r="I552" i="3"/>
  <c r="K552" i="3"/>
  <c r="J552" i="3" s="1"/>
  <c r="L552" i="3"/>
  <c r="M552" i="3"/>
  <c r="P552" i="3" s="1"/>
  <c r="N552" i="3"/>
  <c r="O552" i="3" s="1"/>
  <c r="Q552" i="3"/>
  <c r="R552" i="3"/>
  <c r="B553" i="3"/>
  <c r="C553" i="3"/>
  <c r="S553" i="3" s="1"/>
  <c r="D553" i="3"/>
  <c r="H553" i="3"/>
  <c r="I553" i="3"/>
  <c r="K553" i="3"/>
  <c r="L553" i="3"/>
  <c r="M553" i="3"/>
  <c r="P553" i="3" s="1"/>
  <c r="N553" i="3"/>
  <c r="O553" i="3" s="1"/>
  <c r="Q553" i="3"/>
  <c r="R553" i="3"/>
  <c r="B554" i="3"/>
  <c r="C554" i="3"/>
  <c r="S554" i="3" s="1"/>
  <c r="D554" i="3"/>
  <c r="H554" i="3"/>
  <c r="I554" i="3" s="1"/>
  <c r="K554" i="3"/>
  <c r="L554" i="3"/>
  <c r="M554" i="3"/>
  <c r="P554" i="3" s="1"/>
  <c r="N554" i="3"/>
  <c r="O554" i="3" s="1"/>
  <c r="Q554" i="3"/>
  <c r="R554" i="3"/>
  <c r="B555" i="3"/>
  <c r="C555" i="3"/>
  <c r="S555" i="3" s="1"/>
  <c r="D555" i="3"/>
  <c r="I555" i="3"/>
  <c r="K555" i="3"/>
  <c r="J555" i="3" s="1"/>
  <c r="L555" i="3"/>
  <c r="M555" i="3"/>
  <c r="P555" i="3" s="1"/>
  <c r="N555" i="3"/>
  <c r="O555" i="3" s="1"/>
  <c r="Q555" i="3"/>
  <c r="R555" i="3"/>
  <c r="B556" i="3"/>
  <c r="C556" i="3"/>
  <c r="S556" i="3" s="1"/>
  <c r="D556" i="3"/>
  <c r="I556" i="3"/>
  <c r="K556" i="3"/>
  <c r="J556" i="3" s="1"/>
  <c r="L556" i="3"/>
  <c r="M556" i="3"/>
  <c r="P556" i="3" s="1"/>
  <c r="N556" i="3"/>
  <c r="O556" i="3" s="1"/>
  <c r="Q556" i="3"/>
  <c r="R556" i="3"/>
  <c r="B557" i="3"/>
  <c r="C557" i="3"/>
  <c r="S557" i="3" s="1"/>
  <c r="D557" i="3"/>
  <c r="I557" i="3"/>
  <c r="K557" i="3"/>
  <c r="J557" i="3" s="1"/>
  <c r="L557" i="3"/>
  <c r="M557" i="3"/>
  <c r="P557" i="3" s="1"/>
  <c r="N557" i="3"/>
  <c r="O557" i="3" s="1"/>
  <c r="Q557" i="3"/>
  <c r="R557" i="3"/>
  <c r="B558" i="3"/>
  <c r="C558" i="3"/>
  <c r="S558" i="3" s="1"/>
  <c r="D558" i="3"/>
  <c r="H558" i="3"/>
  <c r="I558" i="3" s="1"/>
  <c r="K558" i="3"/>
  <c r="L558" i="3"/>
  <c r="M558" i="3"/>
  <c r="P558" i="3" s="1"/>
  <c r="N558" i="3"/>
  <c r="O558" i="3" s="1"/>
  <c r="Q558" i="3"/>
  <c r="R558" i="3"/>
  <c r="B559" i="3"/>
  <c r="C559" i="3"/>
  <c r="S559" i="3" s="1"/>
  <c r="D559" i="3"/>
  <c r="I559" i="3"/>
  <c r="K559" i="3"/>
  <c r="J559" i="3" s="1"/>
  <c r="L559" i="3"/>
  <c r="M559" i="3"/>
  <c r="P559" i="3" s="1"/>
  <c r="N559" i="3"/>
  <c r="O559" i="3" s="1"/>
  <c r="Q559" i="3"/>
  <c r="R559" i="3"/>
  <c r="B560" i="3"/>
  <c r="C560" i="3"/>
  <c r="S560" i="3" s="1"/>
  <c r="D560" i="3"/>
  <c r="I560" i="3"/>
  <c r="K560" i="3"/>
  <c r="J560" i="3" s="1"/>
  <c r="L560" i="3"/>
  <c r="M560" i="3"/>
  <c r="P560" i="3" s="1"/>
  <c r="N560" i="3"/>
  <c r="O560" i="3" s="1"/>
  <c r="Q560" i="3"/>
  <c r="R560" i="3"/>
  <c r="B561" i="3"/>
  <c r="C561" i="3"/>
  <c r="S561" i="3" s="1"/>
  <c r="D561" i="3"/>
  <c r="I561" i="3"/>
  <c r="K561" i="3"/>
  <c r="J561" i="3" s="1"/>
  <c r="L561" i="3"/>
  <c r="M561" i="3"/>
  <c r="P561" i="3" s="1"/>
  <c r="N561" i="3"/>
  <c r="O561" i="3" s="1"/>
  <c r="Q561" i="3"/>
  <c r="R561" i="3"/>
  <c r="B562" i="3"/>
  <c r="C562" i="3"/>
  <c r="S562" i="3" s="1"/>
  <c r="D562" i="3"/>
  <c r="I562" i="3"/>
  <c r="K562" i="3"/>
  <c r="J562" i="3" s="1"/>
  <c r="L562" i="3"/>
  <c r="M562" i="3"/>
  <c r="P562" i="3" s="1"/>
  <c r="N562" i="3"/>
  <c r="O562" i="3" s="1"/>
  <c r="Q562" i="3"/>
  <c r="R562" i="3"/>
  <c r="B563" i="3"/>
  <c r="C563" i="3"/>
  <c r="S563" i="3" s="1"/>
  <c r="D563" i="3"/>
  <c r="I563" i="3"/>
  <c r="K563" i="3"/>
  <c r="J563" i="3" s="1"/>
  <c r="L563" i="3"/>
  <c r="M563" i="3"/>
  <c r="P563" i="3" s="1"/>
  <c r="N563" i="3"/>
  <c r="O563" i="3" s="1"/>
  <c r="Q563" i="3"/>
  <c r="R563" i="3"/>
  <c r="B564" i="3"/>
  <c r="C564" i="3"/>
  <c r="S564" i="3" s="1"/>
  <c r="D564" i="3"/>
  <c r="I564" i="3"/>
  <c r="K564" i="3"/>
  <c r="J564" i="3" s="1"/>
  <c r="L564" i="3"/>
  <c r="M564" i="3"/>
  <c r="P564" i="3" s="1"/>
  <c r="N564" i="3"/>
  <c r="O564" i="3" s="1"/>
  <c r="Q564" i="3"/>
  <c r="R564" i="3"/>
  <c r="B565" i="3"/>
  <c r="C565" i="3"/>
  <c r="S565" i="3" s="1"/>
  <c r="D565" i="3"/>
  <c r="I565" i="3"/>
  <c r="K565" i="3"/>
  <c r="J565" i="3" s="1"/>
  <c r="L565" i="3"/>
  <c r="M565" i="3"/>
  <c r="P565" i="3" s="1"/>
  <c r="N565" i="3"/>
  <c r="O565" i="3" s="1"/>
  <c r="Q565" i="3"/>
  <c r="R565" i="3"/>
  <c r="B566" i="3"/>
  <c r="C566" i="3"/>
  <c r="S566" i="3" s="1"/>
  <c r="D566" i="3"/>
  <c r="I566" i="3"/>
  <c r="K566" i="3"/>
  <c r="J566" i="3" s="1"/>
  <c r="L566" i="3"/>
  <c r="M566" i="3"/>
  <c r="P566" i="3" s="1"/>
  <c r="N566" i="3"/>
  <c r="O566" i="3" s="1"/>
  <c r="Q566" i="3"/>
  <c r="R566" i="3"/>
  <c r="B567" i="3"/>
  <c r="C567" i="3"/>
  <c r="S567" i="3" s="1"/>
  <c r="D567" i="3"/>
  <c r="H567" i="3"/>
  <c r="I567" i="3" s="1"/>
  <c r="K567" i="3"/>
  <c r="L567" i="3"/>
  <c r="M567" i="3"/>
  <c r="P567" i="3" s="1"/>
  <c r="N567" i="3"/>
  <c r="O567" i="3" s="1"/>
  <c r="Q567" i="3"/>
  <c r="R567" i="3"/>
  <c r="B568" i="3"/>
  <c r="C568" i="3"/>
  <c r="S568" i="3" s="1"/>
  <c r="D568" i="3"/>
  <c r="I568" i="3"/>
  <c r="K568" i="3"/>
  <c r="J568" i="3" s="1"/>
  <c r="L568" i="3"/>
  <c r="M568" i="3"/>
  <c r="P568" i="3" s="1"/>
  <c r="N568" i="3"/>
  <c r="O568" i="3" s="1"/>
  <c r="Q568" i="3"/>
  <c r="R568" i="3"/>
  <c r="B569" i="3"/>
  <c r="C569" i="3"/>
  <c r="S569" i="3" s="1"/>
  <c r="D569" i="3"/>
  <c r="I569" i="3"/>
  <c r="K569" i="3"/>
  <c r="J569" i="3" s="1"/>
  <c r="L569" i="3"/>
  <c r="M569" i="3"/>
  <c r="P569" i="3" s="1"/>
  <c r="N569" i="3"/>
  <c r="O569" i="3" s="1"/>
  <c r="Q569" i="3"/>
  <c r="R569" i="3"/>
  <c r="B570" i="3"/>
  <c r="C570" i="3"/>
  <c r="S570" i="3" s="1"/>
  <c r="D570" i="3"/>
  <c r="I570" i="3"/>
  <c r="K570" i="3"/>
  <c r="J570" i="3" s="1"/>
  <c r="L570" i="3"/>
  <c r="M570" i="3"/>
  <c r="P570" i="3" s="1"/>
  <c r="N570" i="3"/>
  <c r="O570" i="3" s="1"/>
  <c r="Q570" i="3"/>
  <c r="R570" i="3"/>
  <c r="B571" i="3"/>
  <c r="C571" i="3"/>
  <c r="S571" i="3" s="1"/>
  <c r="D571" i="3"/>
  <c r="I571" i="3"/>
  <c r="K571" i="3"/>
  <c r="J571" i="3" s="1"/>
  <c r="L571" i="3"/>
  <c r="M571" i="3"/>
  <c r="P571" i="3" s="1"/>
  <c r="N571" i="3"/>
  <c r="O571" i="3" s="1"/>
  <c r="Q571" i="3"/>
  <c r="R571" i="3"/>
  <c r="B572" i="3"/>
  <c r="C572" i="3"/>
  <c r="S572" i="3" s="1"/>
  <c r="D572" i="3"/>
  <c r="I572" i="3"/>
  <c r="K572" i="3"/>
  <c r="J572" i="3" s="1"/>
  <c r="L572" i="3"/>
  <c r="M572" i="3"/>
  <c r="P572" i="3" s="1"/>
  <c r="N572" i="3"/>
  <c r="O572" i="3" s="1"/>
  <c r="Q572" i="3"/>
  <c r="R572" i="3"/>
  <c r="B573" i="3"/>
  <c r="C573" i="3"/>
  <c r="S573" i="3" s="1"/>
  <c r="D573" i="3"/>
  <c r="H573" i="3"/>
  <c r="I573" i="3" s="1"/>
  <c r="K573" i="3"/>
  <c r="L573" i="3"/>
  <c r="M573" i="3"/>
  <c r="P573" i="3" s="1"/>
  <c r="N573" i="3"/>
  <c r="O573" i="3" s="1"/>
  <c r="Q573" i="3"/>
  <c r="R573" i="3"/>
  <c r="B574" i="3"/>
  <c r="C574" i="3"/>
  <c r="S574" i="3" s="1"/>
  <c r="D574" i="3"/>
  <c r="I574" i="3"/>
  <c r="K574" i="3"/>
  <c r="J574" i="3" s="1"/>
  <c r="L574" i="3"/>
  <c r="M574" i="3"/>
  <c r="P574" i="3" s="1"/>
  <c r="N574" i="3"/>
  <c r="O574" i="3" s="1"/>
  <c r="Q574" i="3"/>
  <c r="R574" i="3"/>
  <c r="B575" i="3"/>
  <c r="C575" i="3"/>
  <c r="S575" i="3" s="1"/>
  <c r="D575" i="3"/>
  <c r="I575" i="3"/>
  <c r="K575" i="3"/>
  <c r="J575" i="3" s="1"/>
  <c r="L575" i="3"/>
  <c r="M575" i="3"/>
  <c r="P575" i="3" s="1"/>
  <c r="N575" i="3"/>
  <c r="O575" i="3" s="1"/>
  <c r="Q575" i="3"/>
  <c r="R575" i="3"/>
  <c r="B576" i="3"/>
  <c r="C576" i="3"/>
  <c r="S576" i="3" s="1"/>
  <c r="D576" i="3"/>
  <c r="I576" i="3"/>
  <c r="K576" i="3"/>
  <c r="J576" i="3" s="1"/>
  <c r="L576" i="3"/>
  <c r="M576" i="3"/>
  <c r="P576" i="3" s="1"/>
  <c r="N576" i="3"/>
  <c r="O576" i="3" s="1"/>
  <c r="Q576" i="3"/>
  <c r="R576" i="3"/>
  <c r="B577" i="3"/>
  <c r="C577" i="3"/>
  <c r="S577" i="3" s="1"/>
  <c r="D577" i="3"/>
  <c r="I577" i="3"/>
  <c r="K577" i="3"/>
  <c r="J577" i="3" s="1"/>
  <c r="L577" i="3"/>
  <c r="M577" i="3"/>
  <c r="P577" i="3" s="1"/>
  <c r="N577" i="3"/>
  <c r="O577" i="3" s="1"/>
  <c r="Q577" i="3"/>
  <c r="R577" i="3"/>
  <c r="B578" i="3"/>
  <c r="C578" i="3"/>
  <c r="S578" i="3" s="1"/>
  <c r="D578" i="3"/>
  <c r="I578" i="3"/>
  <c r="K578" i="3"/>
  <c r="J578" i="3" s="1"/>
  <c r="L578" i="3"/>
  <c r="M578" i="3"/>
  <c r="P578" i="3" s="1"/>
  <c r="N578" i="3"/>
  <c r="O578" i="3" s="1"/>
  <c r="Q578" i="3"/>
  <c r="R578" i="3"/>
  <c r="B579" i="3"/>
  <c r="C579" i="3"/>
  <c r="S579" i="3" s="1"/>
  <c r="D579" i="3"/>
  <c r="I579" i="3"/>
  <c r="K579" i="3"/>
  <c r="J579" i="3" s="1"/>
  <c r="L579" i="3"/>
  <c r="M579" i="3"/>
  <c r="P579" i="3" s="1"/>
  <c r="N579" i="3"/>
  <c r="O579" i="3" s="1"/>
  <c r="Q579" i="3"/>
  <c r="R579" i="3"/>
  <c r="B580" i="3"/>
  <c r="C580" i="3"/>
  <c r="S580" i="3" s="1"/>
  <c r="D580" i="3"/>
  <c r="I580" i="3"/>
  <c r="K580" i="3"/>
  <c r="J580" i="3" s="1"/>
  <c r="L580" i="3"/>
  <c r="M580" i="3"/>
  <c r="P580" i="3" s="1"/>
  <c r="N580" i="3"/>
  <c r="O580" i="3" s="1"/>
  <c r="Q580" i="3"/>
  <c r="R580" i="3"/>
  <c r="B581" i="3"/>
  <c r="C581" i="3"/>
  <c r="S581" i="3" s="1"/>
  <c r="D581" i="3"/>
  <c r="I581" i="3"/>
  <c r="K581" i="3"/>
  <c r="J581" i="3" s="1"/>
  <c r="L581" i="3"/>
  <c r="M581" i="3"/>
  <c r="P581" i="3" s="1"/>
  <c r="N581" i="3"/>
  <c r="O581" i="3" s="1"/>
  <c r="Q581" i="3"/>
  <c r="R581" i="3"/>
  <c r="B582" i="3"/>
  <c r="C582" i="3"/>
  <c r="S582" i="3" s="1"/>
  <c r="D582" i="3"/>
  <c r="I582" i="3"/>
  <c r="K582" i="3"/>
  <c r="J582" i="3" s="1"/>
  <c r="L582" i="3"/>
  <c r="M582" i="3"/>
  <c r="P582" i="3" s="1"/>
  <c r="N582" i="3"/>
  <c r="O582" i="3" s="1"/>
  <c r="Q582" i="3"/>
  <c r="R582" i="3"/>
  <c r="B583" i="3"/>
  <c r="C583" i="3"/>
  <c r="S583" i="3" s="1"/>
  <c r="D583" i="3"/>
  <c r="I583" i="3"/>
  <c r="K583" i="3"/>
  <c r="J583" i="3" s="1"/>
  <c r="L583" i="3"/>
  <c r="M583" i="3"/>
  <c r="P583" i="3" s="1"/>
  <c r="N583" i="3"/>
  <c r="O583" i="3" s="1"/>
  <c r="Q583" i="3"/>
  <c r="R583" i="3"/>
  <c r="B584" i="3"/>
  <c r="C584" i="3"/>
  <c r="S584" i="3" s="1"/>
  <c r="D584" i="3"/>
  <c r="H584" i="3"/>
  <c r="I584" i="3" s="1"/>
  <c r="K584" i="3"/>
  <c r="L584" i="3"/>
  <c r="M584" i="3"/>
  <c r="P584" i="3" s="1"/>
  <c r="N584" i="3"/>
  <c r="O584" i="3" s="1"/>
  <c r="Q584" i="3"/>
  <c r="R584" i="3"/>
  <c r="B585" i="3"/>
  <c r="C585" i="3"/>
  <c r="S585" i="3" s="1"/>
  <c r="D585" i="3"/>
  <c r="I585" i="3"/>
  <c r="K585" i="3"/>
  <c r="J585" i="3" s="1"/>
  <c r="L585" i="3"/>
  <c r="M585" i="3"/>
  <c r="P585" i="3" s="1"/>
  <c r="N585" i="3"/>
  <c r="O585" i="3" s="1"/>
  <c r="Q585" i="3"/>
  <c r="R585" i="3"/>
  <c r="B586" i="3"/>
  <c r="C586" i="3"/>
  <c r="S586" i="3" s="1"/>
  <c r="D586" i="3"/>
  <c r="I586" i="3"/>
  <c r="K586" i="3"/>
  <c r="J586" i="3" s="1"/>
  <c r="L586" i="3"/>
  <c r="M586" i="3"/>
  <c r="P586" i="3" s="1"/>
  <c r="N586" i="3"/>
  <c r="O586" i="3" s="1"/>
  <c r="Q586" i="3"/>
  <c r="R586" i="3"/>
  <c r="B587" i="3"/>
  <c r="C587" i="3"/>
  <c r="S587" i="3" s="1"/>
  <c r="D587" i="3"/>
  <c r="I587" i="3"/>
  <c r="K587" i="3"/>
  <c r="J587" i="3" s="1"/>
  <c r="L587" i="3"/>
  <c r="M587" i="3"/>
  <c r="P587" i="3" s="1"/>
  <c r="N587" i="3"/>
  <c r="O587" i="3" s="1"/>
  <c r="Q587" i="3"/>
  <c r="R587" i="3"/>
  <c r="B588" i="3"/>
  <c r="C588" i="3"/>
  <c r="S588" i="3" s="1"/>
  <c r="D588" i="3"/>
  <c r="I588" i="3"/>
  <c r="K588" i="3"/>
  <c r="J588" i="3" s="1"/>
  <c r="L588" i="3"/>
  <c r="M588" i="3"/>
  <c r="P588" i="3" s="1"/>
  <c r="N588" i="3"/>
  <c r="O588" i="3" s="1"/>
  <c r="Q588" i="3"/>
  <c r="R588" i="3"/>
  <c r="B589" i="3"/>
  <c r="C589" i="3"/>
  <c r="S589" i="3" s="1"/>
  <c r="D589" i="3"/>
  <c r="I589" i="3"/>
  <c r="K589" i="3"/>
  <c r="J589" i="3" s="1"/>
  <c r="L589" i="3"/>
  <c r="M589" i="3"/>
  <c r="P589" i="3" s="1"/>
  <c r="N589" i="3"/>
  <c r="O589" i="3" s="1"/>
  <c r="Q589" i="3"/>
  <c r="R589" i="3"/>
  <c r="B590" i="3"/>
  <c r="C590" i="3"/>
  <c r="S590" i="3" s="1"/>
  <c r="D590" i="3"/>
  <c r="I590" i="3"/>
  <c r="K590" i="3"/>
  <c r="J590" i="3" s="1"/>
  <c r="L590" i="3"/>
  <c r="M590" i="3"/>
  <c r="P590" i="3" s="1"/>
  <c r="N590" i="3"/>
  <c r="O590" i="3" s="1"/>
  <c r="Q590" i="3"/>
  <c r="R590" i="3"/>
  <c r="B591" i="3"/>
  <c r="C591" i="3"/>
  <c r="S591" i="3" s="1"/>
  <c r="D591" i="3"/>
  <c r="I591" i="3"/>
  <c r="K591" i="3"/>
  <c r="J591" i="3" s="1"/>
  <c r="L591" i="3"/>
  <c r="M591" i="3"/>
  <c r="P591" i="3" s="1"/>
  <c r="N591" i="3"/>
  <c r="O591" i="3" s="1"/>
  <c r="Q591" i="3"/>
  <c r="R591" i="3"/>
  <c r="B592" i="3"/>
  <c r="C592" i="3"/>
  <c r="S592" i="3" s="1"/>
  <c r="D592" i="3"/>
  <c r="I592" i="3"/>
  <c r="K592" i="3"/>
  <c r="J592" i="3" s="1"/>
  <c r="L592" i="3"/>
  <c r="M592" i="3"/>
  <c r="P592" i="3" s="1"/>
  <c r="N592" i="3"/>
  <c r="O592" i="3" s="1"/>
  <c r="Q592" i="3"/>
  <c r="R592" i="3"/>
  <c r="B593" i="3"/>
  <c r="C593" i="3"/>
  <c r="S593" i="3" s="1"/>
  <c r="D593" i="3"/>
  <c r="I593" i="3"/>
  <c r="K593" i="3"/>
  <c r="J593" i="3" s="1"/>
  <c r="L593" i="3"/>
  <c r="M593" i="3"/>
  <c r="P593" i="3" s="1"/>
  <c r="N593" i="3"/>
  <c r="O593" i="3" s="1"/>
  <c r="Q593" i="3"/>
  <c r="R593" i="3"/>
  <c r="B594" i="3"/>
  <c r="C594" i="3"/>
  <c r="S594" i="3" s="1"/>
  <c r="D594" i="3"/>
  <c r="I594" i="3"/>
  <c r="K594" i="3"/>
  <c r="J594" i="3" s="1"/>
  <c r="L594" i="3"/>
  <c r="M594" i="3"/>
  <c r="P594" i="3" s="1"/>
  <c r="N594" i="3"/>
  <c r="O594" i="3" s="1"/>
  <c r="Q594" i="3"/>
  <c r="R594" i="3"/>
  <c r="B595" i="3"/>
  <c r="C595" i="3"/>
  <c r="S595" i="3" s="1"/>
  <c r="D595" i="3"/>
  <c r="I595" i="3"/>
  <c r="K595" i="3"/>
  <c r="J595" i="3" s="1"/>
  <c r="L595" i="3"/>
  <c r="M595" i="3"/>
  <c r="P595" i="3" s="1"/>
  <c r="N595" i="3"/>
  <c r="O595" i="3" s="1"/>
  <c r="Q595" i="3"/>
  <c r="R595" i="3"/>
  <c r="B596" i="3"/>
  <c r="C596" i="3"/>
  <c r="S596" i="3" s="1"/>
  <c r="D596" i="3"/>
  <c r="I596" i="3"/>
  <c r="K596" i="3"/>
  <c r="J596" i="3" s="1"/>
  <c r="L596" i="3"/>
  <c r="M596" i="3"/>
  <c r="P596" i="3" s="1"/>
  <c r="N596" i="3"/>
  <c r="O596" i="3" s="1"/>
  <c r="Q596" i="3"/>
  <c r="R596" i="3"/>
  <c r="B597" i="3"/>
  <c r="C597" i="3"/>
  <c r="S597" i="3" s="1"/>
  <c r="D597" i="3"/>
  <c r="I597" i="3"/>
  <c r="K597" i="3"/>
  <c r="J597" i="3" s="1"/>
  <c r="L597" i="3"/>
  <c r="M597" i="3"/>
  <c r="P597" i="3" s="1"/>
  <c r="N597" i="3"/>
  <c r="O597" i="3" s="1"/>
  <c r="Q597" i="3"/>
  <c r="R597" i="3"/>
  <c r="B598" i="3"/>
  <c r="C598" i="3"/>
  <c r="S598" i="3" s="1"/>
  <c r="D598" i="3"/>
  <c r="I598" i="3"/>
  <c r="K598" i="3"/>
  <c r="J598" i="3" s="1"/>
  <c r="L598" i="3"/>
  <c r="M598" i="3"/>
  <c r="P598" i="3" s="1"/>
  <c r="N598" i="3"/>
  <c r="O598" i="3" s="1"/>
  <c r="Q598" i="3"/>
  <c r="R598" i="3"/>
  <c r="B599" i="3"/>
  <c r="C599" i="3"/>
  <c r="S599" i="3" s="1"/>
  <c r="D599" i="3"/>
  <c r="I599" i="3"/>
  <c r="K599" i="3"/>
  <c r="J599" i="3" s="1"/>
  <c r="L599" i="3"/>
  <c r="M599" i="3"/>
  <c r="P599" i="3" s="1"/>
  <c r="N599" i="3"/>
  <c r="O599" i="3" s="1"/>
  <c r="Q599" i="3"/>
  <c r="R599" i="3"/>
  <c r="B600" i="3"/>
  <c r="C600" i="3"/>
  <c r="S600" i="3" s="1"/>
  <c r="D600" i="3"/>
  <c r="I600" i="3"/>
  <c r="K600" i="3"/>
  <c r="J600" i="3" s="1"/>
  <c r="L600" i="3"/>
  <c r="M600" i="3"/>
  <c r="P600" i="3" s="1"/>
  <c r="N600" i="3"/>
  <c r="O600" i="3" s="1"/>
  <c r="Q600" i="3"/>
  <c r="R600" i="3"/>
  <c r="B601" i="3"/>
  <c r="C601" i="3"/>
  <c r="S601" i="3" s="1"/>
  <c r="D601" i="3"/>
  <c r="I601" i="3"/>
  <c r="K601" i="3"/>
  <c r="J601" i="3" s="1"/>
  <c r="L601" i="3"/>
  <c r="M601" i="3"/>
  <c r="P601" i="3" s="1"/>
  <c r="N601" i="3"/>
  <c r="O601" i="3" s="1"/>
  <c r="Q601" i="3"/>
  <c r="R601" i="3"/>
  <c r="B602" i="3"/>
  <c r="C602" i="3"/>
  <c r="S602" i="3" s="1"/>
  <c r="D602" i="3"/>
  <c r="I602" i="3"/>
  <c r="K602" i="3"/>
  <c r="J602" i="3" s="1"/>
  <c r="L602" i="3"/>
  <c r="M602" i="3"/>
  <c r="P602" i="3" s="1"/>
  <c r="N602" i="3"/>
  <c r="O602" i="3" s="1"/>
  <c r="Q602" i="3"/>
  <c r="R602" i="3"/>
  <c r="B603" i="3"/>
  <c r="C603" i="3"/>
  <c r="S603" i="3" s="1"/>
  <c r="D603" i="3"/>
  <c r="H603" i="3"/>
  <c r="I603" i="3" s="1"/>
  <c r="K603" i="3"/>
  <c r="L603" i="3"/>
  <c r="M603" i="3"/>
  <c r="P603" i="3" s="1"/>
  <c r="N603" i="3"/>
  <c r="O603" i="3" s="1"/>
  <c r="Q603" i="3"/>
  <c r="R603" i="3"/>
  <c r="B604" i="3"/>
  <c r="C604" i="3"/>
  <c r="S604" i="3" s="1"/>
  <c r="D604" i="3"/>
  <c r="I604" i="3"/>
  <c r="K604" i="3"/>
  <c r="J604" i="3" s="1"/>
  <c r="L604" i="3"/>
  <c r="M604" i="3"/>
  <c r="P604" i="3" s="1"/>
  <c r="N604" i="3"/>
  <c r="O604" i="3" s="1"/>
  <c r="Q604" i="3"/>
  <c r="R604" i="3"/>
  <c r="B605" i="3"/>
  <c r="C605" i="3"/>
  <c r="S605" i="3" s="1"/>
  <c r="D605" i="3"/>
  <c r="I605" i="3"/>
  <c r="K605" i="3"/>
  <c r="J605" i="3" s="1"/>
  <c r="L605" i="3"/>
  <c r="M605" i="3"/>
  <c r="P605" i="3" s="1"/>
  <c r="N605" i="3"/>
  <c r="O605" i="3" s="1"/>
  <c r="Q605" i="3"/>
  <c r="R605" i="3"/>
  <c r="B606" i="3"/>
  <c r="C606" i="3"/>
  <c r="S606" i="3" s="1"/>
  <c r="D606" i="3"/>
  <c r="I606" i="3"/>
  <c r="K606" i="3"/>
  <c r="J606" i="3" s="1"/>
  <c r="L606" i="3"/>
  <c r="M606" i="3"/>
  <c r="P606" i="3" s="1"/>
  <c r="N606" i="3"/>
  <c r="O606" i="3" s="1"/>
  <c r="Q606" i="3"/>
  <c r="R606" i="3"/>
  <c r="B607" i="3"/>
  <c r="C607" i="3"/>
  <c r="S607" i="3" s="1"/>
  <c r="D607" i="3"/>
  <c r="I607" i="3"/>
  <c r="K607" i="3"/>
  <c r="J607" i="3" s="1"/>
  <c r="L607" i="3"/>
  <c r="M607" i="3"/>
  <c r="P607" i="3" s="1"/>
  <c r="N607" i="3"/>
  <c r="O607" i="3" s="1"/>
  <c r="Q607" i="3"/>
  <c r="R607" i="3"/>
  <c r="B608" i="3"/>
  <c r="C608" i="3"/>
  <c r="S608" i="3" s="1"/>
  <c r="D608" i="3"/>
  <c r="I608" i="3"/>
  <c r="K608" i="3"/>
  <c r="J608" i="3" s="1"/>
  <c r="L608" i="3"/>
  <c r="M608" i="3"/>
  <c r="P608" i="3" s="1"/>
  <c r="N608" i="3"/>
  <c r="O608" i="3" s="1"/>
  <c r="Q608" i="3"/>
  <c r="R608" i="3"/>
  <c r="B609" i="3"/>
  <c r="C609" i="3"/>
  <c r="S609" i="3" s="1"/>
  <c r="D609" i="3"/>
  <c r="I609" i="3"/>
  <c r="K609" i="3"/>
  <c r="J609" i="3" s="1"/>
  <c r="L609" i="3"/>
  <c r="M609" i="3"/>
  <c r="P609" i="3" s="1"/>
  <c r="N609" i="3"/>
  <c r="O609" i="3" s="1"/>
  <c r="Q609" i="3"/>
  <c r="R609" i="3"/>
  <c r="B610" i="3"/>
  <c r="C610" i="3"/>
  <c r="S610" i="3" s="1"/>
  <c r="D610" i="3"/>
  <c r="I610" i="3"/>
  <c r="K610" i="3"/>
  <c r="J610" i="3" s="1"/>
  <c r="L610" i="3"/>
  <c r="M610" i="3"/>
  <c r="P610" i="3" s="1"/>
  <c r="N610" i="3"/>
  <c r="O610" i="3" s="1"/>
  <c r="Q610" i="3"/>
  <c r="R610" i="3"/>
  <c r="B611" i="3"/>
  <c r="C611" i="3"/>
  <c r="S611" i="3" s="1"/>
  <c r="D611" i="3"/>
  <c r="I611" i="3"/>
  <c r="K611" i="3"/>
  <c r="J611" i="3" s="1"/>
  <c r="L611" i="3"/>
  <c r="M611" i="3"/>
  <c r="P611" i="3" s="1"/>
  <c r="N611" i="3"/>
  <c r="O611" i="3" s="1"/>
  <c r="Q611" i="3"/>
  <c r="R611" i="3"/>
  <c r="B612" i="3"/>
  <c r="C612" i="3"/>
  <c r="S612" i="3" s="1"/>
  <c r="D612" i="3"/>
  <c r="I612" i="3"/>
  <c r="K612" i="3"/>
  <c r="J612" i="3" s="1"/>
  <c r="L612" i="3"/>
  <c r="M612" i="3"/>
  <c r="P612" i="3" s="1"/>
  <c r="N612" i="3"/>
  <c r="O612" i="3" s="1"/>
  <c r="Q612" i="3"/>
  <c r="R612" i="3"/>
  <c r="B613" i="3"/>
  <c r="C613" i="3"/>
  <c r="S613" i="3" s="1"/>
  <c r="D613" i="3"/>
  <c r="H613" i="3"/>
  <c r="I613" i="3" s="1"/>
  <c r="K613" i="3"/>
  <c r="L613" i="3"/>
  <c r="M613" i="3"/>
  <c r="P613" i="3" s="1"/>
  <c r="N613" i="3"/>
  <c r="O613" i="3" s="1"/>
  <c r="Q613" i="3"/>
  <c r="R613" i="3"/>
  <c r="B614" i="3"/>
  <c r="C614" i="3"/>
  <c r="S614" i="3" s="1"/>
  <c r="D614" i="3"/>
  <c r="I614" i="3"/>
  <c r="K614" i="3"/>
  <c r="J614" i="3" s="1"/>
  <c r="L614" i="3"/>
  <c r="M614" i="3"/>
  <c r="P614" i="3" s="1"/>
  <c r="N614" i="3"/>
  <c r="O614" i="3" s="1"/>
  <c r="Q614" i="3"/>
  <c r="R614" i="3"/>
  <c r="B615" i="3"/>
  <c r="C615" i="3"/>
  <c r="S615" i="3" s="1"/>
  <c r="D615" i="3"/>
  <c r="I615" i="3"/>
  <c r="K615" i="3"/>
  <c r="J615" i="3" s="1"/>
  <c r="L615" i="3"/>
  <c r="M615" i="3"/>
  <c r="P615" i="3" s="1"/>
  <c r="N615" i="3"/>
  <c r="O615" i="3" s="1"/>
  <c r="Q615" i="3"/>
  <c r="R615" i="3"/>
  <c r="B616" i="3"/>
  <c r="C616" i="3"/>
  <c r="S616" i="3" s="1"/>
  <c r="D616" i="3"/>
  <c r="I616" i="3"/>
  <c r="K616" i="3"/>
  <c r="J616" i="3" s="1"/>
  <c r="L616" i="3"/>
  <c r="M616" i="3"/>
  <c r="P616" i="3" s="1"/>
  <c r="N616" i="3"/>
  <c r="O616" i="3" s="1"/>
  <c r="Q616" i="3"/>
  <c r="R616" i="3"/>
  <c r="B617" i="3"/>
  <c r="C617" i="3"/>
  <c r="S617" i="3" s="1"/>
  <c r="D617" i="3"/>
  <c r="I617" i="3"/>
  <c r="K617" i="3"/>
  <c r="J617" i="3" s="1"/>
  <c r="L617" i="3"/>
  <c r="M617" i="3"/>
  <c r="P617" i="3" s="1"/>
  <c r="N617" i="3"/>
  <c r="O617" i="3" s="1"/>
  <c r="Q617" i="3"/>
  <c r="R617" i="3"/>
  <c r="B618" i="3"/>
  <c r="C618" i="3"/>
  <c r="S618" i="3" s="1"/>
  <c r="D618" i="3"/>
  <c r="I618" i="3"/>
  <c r="K618" i="3"/>
  <c r="J618" i="3" s="1"/>
  <c r="L618" i="3"/>
  <c r="M618" i="3"/>
  <c r="P618" i="3" s="1"/>
  <c r="N618" i="3"/>
  <c r="O618" i="3" s="1"/>
  <c r="Q618" i="3"/>
  <c r="R618" i="3"/>
  <c r="B619" i="3"/>
  <c r="C619" i="3"/>
  <c r="S619" i="3" s="1"/>
  <c r="D619" i="3"/>
  <c r="H619" i="3"/>
  <c r="I619" i="3" s="1"/>
  <c r="K619" i="3"/>
  <c r="L619" i="3"/>
  <c r="M619" i="3"/>
  <c r="P619" i="3" s="1"/>
  <c r="N619" i="3"/>
  <c r="O619" i="3" s="1"/>
  <c r="Q619" i="3"/>
  <c r="R619" i="3"/>
  <c r="B620" i="3"/>
  <c r="C620" i="3"/>
  <c r="S620" i="3" s="1"/>
  <c r="D620" i="3"/>
  <c r="I620" i="3"/>
  <c r="K620" i="3"/>
  <c r="J620" i="3" s="1"/>
  <c r="L620" i="3"/>
  <c r="M620" i="3"/>
  <c r="P620" i="3" s="1"/>
  <c r="N620" i="3"/>
  <c r="O620" i="3" s="1"/>
  <c r="Q620" i="3"/>
  <c r="R620" i="3"/>
  <c r="B621" i="3"/>
  <c r="C621" i="3"/>
  <c r="S621" i="3" s="1"/>
  <c r="D621" i="3"/>
  <c r="I621" i="3"/>
  <c r="K621" i="3"/>
  <c r="J621" i="3" s="1"/>
  <c r="L621" i="3"/>
  <c r="M621" i="3"/>
  <c r="P621" i="3" s="1"/>
  <c r="N621" i="3"/>
  <c r="O621" i="3" s="1"/>
  <c r="Q621" i="3"/>
  <c r="R621" i="3"/>
  <c r="B622" i="3"/>
  <c r="C622" i="3"/>
  <c r="S622" i="3" s="1"/>
  <c r="D622" i="3"/>
  <c r="I622" i="3"/>
  <c r="K622" i="3"/>
  <c r="J622" i="3" s="1"/>
  <c r="L622" i="3"/>
  <c r="M622" i="3"/>
  <c r="P622" i="3" s="1"/>
  <c r="N622" i="3"/>
  <c r="O622" i="3" s="1"/>
  <c r="Q622" i="3"/>
  <c r="R622" i="3"/>
  <c r="B623" i="3"/>
  <c r="C623" i="3"/>
  <c r="S623" i="3" s="1"/>
  <c r="D623" i="3"/>
  <c r="I623" i="3"/>
  <c r="K623" i="3"/>
  <c r="J623" i="3" s="1"/>
  <c r="L623" i="3"/>
  <c r="M623" i="3"/>
  <c r="P623" i="3" s="1"/>
  <c r="N623" i="3"/>
  <c r="O623" i="3" s="1"/>
  <c r="Q623" i="3"/>
  <c r="R623" i="3"/>
  <c r="B624" i="3"/>
  <c r="C624" i="3"/>
  <c r="S624" i="3" s="1"/>
  <c r="D624" i="3"/>
  <c r="I624" i="3"/>
  <c r="K624" i="3"/>
  <c r="J624" i="3" s="1"/>
  <c r="L624" i="3"/>
  <c r="M624" i="3"/>
  <c r="P624" i="3" s="1"/>
  <c r="N624" i="3"/>
  <c r="O624" i="3" s="1"/>
  <c r="Q624" i="3"/>
  <c r="R624" i="3"/>
  <c r="B625" i="3"/>
  <c r="C625" i="3"/>
  <c r="S625" i="3" s="1"/>
  <c r="D625" i="3"/>
  <c r="I625" i="3"/>
  <c r="K625" i="3"/>
  <c r="J625" i="3" s="1"/>
  <c r="L625" i="3"/>
  <c r="M625" i="3"/>
  <c r="P625" i="3" s="1"/>
  <c r="N625" i="3"/>
  <c r="O625" i="3" s="1"/>
  <c r="Q625" i="3"/>
  <c r="R625" i="3"/>
  <c r="B626" i="3"/>
  <c r="C626" i="3"/>
  <c r="S626" i="3" s="1"/>
  <c r="D626" i="3"/>
  <c r="I626" i="3"/>
  <c r="K626" i="3"/>
  <c r="J626" i="3" s="1"/>
  <c r="L626" i="3"/>
  <c r="M626" i="3"/>
  <c r="P626" i="3" s="1"/>
  <c r="N626" i="3"/>
  <c r="O626" i="3" s="1"/>
  <c r="Q626" i="3"/>
  <c r="R626" i="3"/>
  <c r="B627" i="3"/>
  <c r="C627" i="3"/>
  <c r="S627" i="3" s="1"/>
  <c r="D627" i="3"/>
  <c r="I627" i="3"/>
  <c r="K627" i="3"/>
  <c r="J627" i="3" s="1"/>
  <c r="L627" i="3"/>
  <c r="M627" i="3"/>
  <c r="P627" i="3" s="1"/>
  <c r="N627" i="3"/>
  <c r="O627" i="3" s="1"/>
  <c r="Q627" i="3"/>
  <c r="R627" i="3"/>
  <c r="B628" i="3"/>
  <c r="C628" i="3"/>
  <c r="S628" i="3" s="1"/>
  <c r="D628" i="3"/>
  <c r="I628" i="3"/>
  <c r="K628" i="3"/>
  <c r="J628" i="3" s="1"/>
  <c r="L628" i="3"/>
  <c r="M628" i="3"/>
  <c r="P628" i="3" s="1"/>
  <c r="N628" i="3"/>
  <c r="O628" i="3" s="1"/>
  <c r="Q628" i="3"/>
  <c r="R628" i="3"/>
  <c r="B629" i="3"/>
  <c r="C629" i="3"/>
  <c r="S629" i="3" s="1"/>
  <c r="D629" i="3"/>
  <c r="I629" i="3"/>
  <c r="K629" i="3"/>
  <c r="J629" i="3" s="1"/>
  <c r="L629" i="3"/>
  <c r="M629" i="3"/>
  <c r="P629" i="3" s="1"/>
  <c r="N629" i="3"/>
  <c r="O629" i="3" s="1"/>
  <c r="Q629" i="3"/>
  <c r="R629" i="3"/>
  <c r="B630" i="3"/>
  <c r="C630" i="3"/>
  <c r="S630" i="3" s="1"/>
  <c r="D630" i="3"/>
  <c r="I630" i="3"/>
  <c r="K630" i="3"/>
  <c r="J630" i="3" s="1"/>
  <c r="L630" i="3"/>
  <c r="M630" i="3"/>
  <c r="P630" i="3" s="1"/>
  <c r="N630" i="3"/>
  <c r="O630" i="3" s="1"/>
  <c r="Q630" i="3"/>
  <c r="R630" i="3"/>
  <c r="B631" i="3"/>
  <c r="C631" i="3"/>
  <c r="S631" i="3" s="1"/>
  <c r="D631" i="3"/>
  <c r="I631" i="3"/>
  <c r="K631" i="3"/>
  <c r="J631" i="3" s="1"/>
  <c r="L631" i="3"/>
  <c r="M631" i="3"/>
  <c r="P631" i="3" s="1"/>
  <c r="N631" i="3"/>
  <c r="O631" i="3" s="1"/>
  <c r="Q631" i="3"/>
  <c r="R631" i="3"/>
  <c r="B632" i="3"/>
  <c r="C632" i="3"/>
  <c r="S632" i="3" s="1"/>
  <c r="D632" i="3"/>
  <c r="I632" i="3"/>
  <c r="K632" i="3"/>
  <c r="J632" i="3" s="1"/>
  <c r="L632" i="3"/>
  <c r="M632" i="3"/>
  <c r="P632" i="3" s="1"/>
  <c r="N632" i="3"/>
  <c r="O632" i="3" s="1"/>
  <c r="Q632" i="3"/>
  <c r="R632" i="3"/>
  <c r="B633" i="3"/>
  <c r="C633" i="3"/>
  <c r="S633" i="3" s="1"/>
  <c r="D633" i="3"/>
  <c r="I633" i="3"/>
  <c r="K633" i="3"/>
  <c r="J633" i="3" s="1"/>
  <c r="L633" i="3"/>
  <c r="M633" i="3"/>
  <c r="P633" i="3" s="1"/>
  <c r="N633" i="3"/>
  <c r="O633" i="3" s="1"/>
  <c r="Q633" i="3"/>
  <c r="R633" i="3"/>
  <c r="B634" i="3"/>
  <c r="C634" i="3"/>
  <c r="S634" i="3" s="1"/>
  <c r="D634" i="3"/>
  <c r="H634" i="3"/>
  <c r="I634" i="3" s="1"/>
  <c r="K634" i="3"/>
  <c r="L634" i="3"/>
  <c r="M634" i="3"/>
  <c r="P634" i="3" s="1"/>
  <c r="N634" i="3"/>
  <c r="O634" i="3" s="1"/>
  <c r="Q634" i="3"/>
  <c r="R634" i="3"/>
  <c r="B635" i="3"/>
  <c r="C635" i="3"/>
  <c r="S635" i="3" s="1"/>
  <c r="D635" i="3"/>
  <c r="I635" i="3"/>
  <c r="K635" i="3"/>
  <c r="J635" i="3" s="1"/>
  <c r="L635" i="3"/>
  <c r="M635" i="3"/>
  <c r="P635" i="3" s="1"/>
  <c r="N635" i="3"/>
  <c r="O635" i="3" s="1"/>
  <c r="Q635" i="3"/>
  <c r="R635" i="3"/>
  <c r="B636" i="3"/>
  <c r="C636" i="3"/>
  <c r="S636" i="3" s="1"/>
  <c r="D636" i="3"/>
  <c r="I636" i="3"/>
  <c r="K636" i="3"/>
  <c r="J636" i="3" s="1"/>
  <c r="L636" i="3"/>
  <c r="M636" i="3"/>
  <c r="P636" i="3" s="1"/>
  <c r="N636" i="3"/>
  <c r="O636" i="3" s="1"/>
  <c r="Q636" i="3"/>
  <c r="R636" i="3"/>
  <c r="B637" i="3"/>
  <c r="C637" i="3"/>
  <c r="S637" i="3" s="1"/>
  <c r="D637" i="3"/>
  <c r="I637" i="3"/>
  <c r="K637" i="3"/>
  <c r="J637" i="3" s="1"/>
  <c r="L637" i="3"/>
  <c r="M637" i="3"/>
  <c r="P637" i="3" s="1"/>
  <c r="N637" i="3"/>
  <c r="O637" i="3" s="1"/>
  <c r="Q637" i="3"/>
  <c r="R637" i="3"/>
  <c r="B638" i="3"/>
  <c r="C638" i="3"/>
  <c r="S638" i="3" s="1"/>
  <c r="D638" i="3"/>
  <c r="I638" i="3"/>
  <c r="K638" i="3"/>
  <c r="J638" i="3" s="1"/>
  <c r="L638" i="3"/>
  <c r="M638" i="3"/>
  <c r="P638" i="3" s="1"/>
  <c r="N638" i="3"/>
  <c r="O638" i="3" s="1"/>
  <c r="Q638" i="3"/>
  <c r="R638" i="3"/>
  <c r="B639" i="3"/>
  <c r="C639" i="3"/>
  <c r="S639" i="3" s="1"/>
  <c r="D639" i="3"/>
  <c r="H639" i="3"/>
  <c r="I639" i="3" s="1"/>
  <c r="K639" i="3"/>
  <c r="L639" i="3"/>
  <c r="M639" i="3"/>
  <c r="P639" i="3" s="1"/>
  <c r="N639" i="3"/>
  <c r="O639" i="3" s="1"/>
  <c r="Q639" i="3"/>
  <c r="R639" i="3"/>
  <c r="B640" i="3"/>
  <c r="C640" i="3"/>
  <c r="S640" i="3" s="1"/>
  <c r="D640" i="3"/>
  <c r="I640" i="3"/>
  <c r="K640" i="3"/>
  <c r="J640" i="3" s="1"/>
  <c r="L640" i="3"/>
  <c r="M640" i="3"/>
  <c r="P640" i="3" s="1"/>
  <c r="N640" i="3"/>
  <c r="O640" i="3" s="1"/>
  <c r="Q640" i="3"/>
  <c r="R640" i="3"/>
  <c r="B641" i="3"/>
  <c r="C641" i="3"/>
  <c r="S641" i="3" s="1"/>
  <c r="D641" i="3"/>
  <c r="I641" i="3"/>
  <c r="K641" i="3"/>
  <c r="J641" i="3" s="1"/>
  <c r="L641" i="3"/>
  <c r="M641" i="3"/>
  <c r="P641" i="3" s="1"/>
  <c r="N641" i="3"/>
  <c r="O641" i="3" s="1"/>
  <c r="Q641" i="3"/>
  <c r="R641" i="3"/>
  <c r="B642" i="3"/>
  <c r="C642" i="3"/>
  <c r="S642" i="3" s="1"/>
  <c r="D642" i="3"/>
  <c r="I642" i="3"/>
  <c r="K642" i="3"/>
  <c r="J642" i="3" s="1"/>
  <c r="L642" i="3"/>
  <c r="M642" i="3"/>
  <c r="P642" i="3" s="1"/>
  <c r="N642" i="3"/>
  <c r="O642" i="3" s="1"/>
  <c r="Q642" i="3"/>
  <c r="R642" i="3"/>
  <c r="B643" i="3"/>
  <c r="C643" i="3"/>
  <c r="S643" i="3" s="1"/>
  <c r="D643" i="3"/>
  <c r="I643" i="3"/>
  <c r="K643" i="3"/>
  <c r="J643" i="3" s="1"/>
  <c r="L643" i="3"/>
  <c r="M643" i="3"/>
  <c r="P643" i="3" s="1"/>
  <c r="N643" i="3"/>
  <c r="O643" i="3" s="1"/>
  <c r="Q643" i="3"/>
  <c r="R643" i="3"/>
  <c r="B644" i="3"/>
  <c r="C644" i="3"/>
  <c r="S644" i="3" s="1"/>
  <c r="D644" i="3"/>
  <c r="I644" i="3"/>
  <c r="K644" i="3"/>
  <c r="J644" i="3" s="1"/>
  <c r="L644" i="3"/>
  <c r="M644" i="3"/>
  <c r="P644" i="3" s="1"/>
  <c r="N644" i="3"/>
  <c r="O644" i="3" s="1"/>
  <c r="Q644" i="3"/>
  <c r="R644" i="3"/>
  <c r="B645" i="3"/>
  <c r="C645" i="3"/>
  <c r="S645" i="3" s="1"/>
  <c r="D645" i="3"/>
  <c r="I645" i="3"/>
  <c r="K645" i="3"/>
  <c r="J645" i="3" s="1"/>
  <c r="L645" i="3"/>
  <c r="M645" i="3"/>
  <c r="P645" i="3" s="1"/>
  <c r="N645" i="3"/>
  <c r="O645" i="3" s="1"/>
  <c r="Q645" i="3"/>
  <c r="R645" i="3"/>
  <c r="B646" i="3"/>
  <c r="C646" i="3"/>
  <c r="S646" i="3" s="1"/>
  <c r="D646" i="3"/>
  <c r="I646" i="3"/>
  <c r="K646" i="3"/>
  <c r="J646" i="3" s="1"/>
  <c r="L646" i="3"/>
  <c r="M646" i="3"/>
  <c r="P646" i="3" s="1"/>
  <c r="N646" i="3"/>
  <c r="O646" i="3" s="1"/>
  <c r="Q646" i="3"/>
  <c r="R646" i="3"/>
  <c r="B647" i="3"/>
  <c r="C647" i="3"/>
  <c r="S647" i="3" s="1"/>
  <c r="D647" i="3"/>
  <c r="I647" i="3"/>
  <c r="K647" i="3"/>
  <c r="J647" i="3" s="1"/>
  <c r="L647" i="3"/>
  <c r="M647" i="3"/>
  <c r="P647" i="3" s="1"/>
  <c r="N647" i="3"/>
  <c r="O647" i="3" s="1"/>
  <c r="Q647" i="3"/>
  <c r="R647" i="3"/>
  <c r="B648" i="3"/>
  <c r="C648" i="3"/>
  <c r="S648" i="3" s="1"/>
  <c r="D648" i="3"/>
  <c r="I648" i="3"/>
  <c r="K648" i="3"/>
  <c r="J648" i="3" s="1"/>
  <c r="L648" i="3"/>
  <c r="M648" i="3"/>
  <c r="P648" i="3" s="1"/>
  <c r="N648" i="3"/>
  <c r="O648" i="3" s="1"/>
  <c r="Q648" i="3"/>
  <c r="R648" i="3"/>
  <c r="B649" i="3"/>
  <c r="C649" i="3"/>
  <c r="S649" i="3" s="1"/>
  <c r="D649" i="3"/>
  <c r="I649" i="3"/>
  <c r="K649" i="3"/>
  <c r="J649" i="3" s="1"/>
  <c r="L649" i="3"/>
  <c r="M649" i="3"/>
  <c r="P649" i="3" s="1"/>
  <c r="N649" i="3"/>
  <c r="O649" i="3" s="1"/>
  <c r="Q649" i="3"/>
  <c r="R649" i="3"/>
  <c r="B650" i="3"/>
  <c r="C650" i="3"/>
  <c r="S650" i="3" s="1"/>
  <c r="D650" i="3"/>
  <c r="I650" i="3"/>
  <c r="K650" i="3"/>
  <c r="J650" i="3" s="1"/>
  <c r="L650" i="3"/>
  <c r="M650" i="3"/>
  <c r="P650" i="3" s="1"/>
  <c r="N650" i="3"/>
  <c r="O650" i="3" s="1"/>
  <c r="Q650" i="3"/>
  <c r="R650" i="3"/>
  <c r="B651" i="3"/>
  <c r="C651" i="3"/>
  <c r="S651" i="3" s="1"/>
  <c r="D651" i="3"/>
  <c r="I651" i="3"/>
  <c r="K651" i="3"/>
  <c r="J651" i="3" s="1"/>
  <c r="L651" i="3"/>
  <c r="M651" i="3"/>
  <c r="P651" i="3" s="1"/>
  <c r="N651" i="3"/>
  <c r="O651" i="3" s="1"/>
  <c r="Q651" i="3"/>
  <c r="R651" i="3"/>
  <c r="B652" i="3"/>
  <c r="C652" i="3"/>
  <c r="S652" i="3" s="1"/>
  <c r="D652" i="3"/>
  <c r="I652" i="3"/>
  <c r="K652" i="3"/>
  <c r="J652" i="3" s="1"/>
  <c r="L652" i="3"/>
  <c r="M652" i="3"/>
  <c r="P652" i="3" s="1"/>
  <c r="N652" i="3"/>
  <c r="O652" i="3" s="1"/>
  <c r="Q652" i="3"/>
  <c r="R652" i="3"/>
  <c r="B653" i="3"/>
  <c r="C653" i="3"/>
  <c r="S653" i="3" s="1"/>
  <c r="D653" i="3"/>
  <c r="I653" i="3"/>
  <c r="K653" i="3"/>
  <c r="J653" i="3" s="1"/>
  <c r="L653" i="3"/>
  <c r="M653" i="3"/>
  <c r="P653" i="3" s="1"/>
  <c r="N653" i="3"/>
  <c r="O653" i="3" s="1"/>
  <c r="Q653" i="3"/>
  <c r="R653" i="3"/>
  <c r="B654" i="3"/>
  <c r="C654" i="3"/>
  <c r="S654" i="3" s="1"/>
  <c r="D654" i="3"/>
  <c r="I654" i="3"/>
  <c r="K654" i="3"/>
  <c r="J654" i="3" s="1"/>
  <c r="L654" i="3"/>
  <c r="M654" i="3"/>
  <c r="P654" i="3" s="1"/>
  <c r="N654" i="3"/>
  <c r="O654" i="3" s="1"/>
  <c r="Q654" i="3"/>
  <c r="R654" i="3"/>
  <c r="B655" i="3"/>
  <c r="C655" i="3"/>
  <c r="S655" i="3" s="1"/>
  <c r="D655" i="3"/>
  <c r="I655" i="3"/>
  <c r="K655" i="3"/>
  <c r="J655" i="3" s="1"/>
  <c r="L655" i="3"/>
  <c r="M655" i="3"/>
  <c r="P655" i="3" s="1"/>
  <c r="N655" i="3"/>
  <c r="O655" i="3" s="1"/>
  <c r="Q655" i="3"/>
  <c r="R655" i="3"/>
  <c r="B656" i="3"/>
  <c r="C656" i="3"/>
  <c r="S656" i="3" s="1"/>
  <c r="D656" i="3"/>
  <c r="I656" i="3"/>
  <c r="K656" i="3"/>
  <c r="J656" i="3" s="1"/>
  <c r="L656" i="3"/>
  <c r="M656" i="3"/>
  <c r="P656" i="3" s="1"/>
  <c r="N656" i="3"/>
  <c r="O656" i="3" s="1"/>
  <c r="Q656" i="3"/>
  <c r="R656" i="3"/>
  <c r="B657" i="3"/>
  <c r="C657" i="3"/>
  <c r="S657" i="3" s="1"/>
  <c r="D657" i="3"/>
  <c r="I657" i="3"/>
  <c r="K657" i="3"/>
  <c r="J657" i="3" s="1"/>
  <c r="L657" i="3"/>
  <c r="M657" i="3"/>
  <c r="P657" i="3" s="1"/>
  <c r="N657" i="3"/>
  <c r="O657" i="3" s="1"/>
  <c r="Q657" i="3"/>
  <c r="R657" i="3"/>
  <c r="B658" i="3"/>
  <c r="C658" i="3"/>
  <c r="S658" i="3" s="1"/>
  <c r="D658" i="3"/>
  <c r="H658" i="3"/>
  <c r="I658" i="3" s="1"/>
  <c r="K658" i="3"/>
  <c r="L658" i="3"/>
  <c r="M658" i="3"/>
  <c r="P658" i="3" s="1"/>
  <c r="N658" i="3"/>
  <c r="O658" i="3" s="1"/>
  <c r="Q658" i="3"/>
  <c r="R658" i="3"/>
  <c r="B659" i="3"/>
  <c r="C659" i="3"/>
  <c r="S659" i="3" s="1"/>
  <c r="D659" i="3"/>
  <c r="I659" i="3"/>
  <c r="K659" i="3"/>
  <c r="J659" i="3" s="1"/>
  <c r="L659" i="3"/>
  <c r="M659" i="3"/>
  <c r="P659" i="3" s="1"/>
  <c r="N659" i="3"/>
  <c r="O659" i="3" s="1"/>
  <c r="Q659" i="3"/>
  <c r="R659" i="3"/>
  <c r="B660" i="3"/>
  <c r="C660" i="3"/>
  <c r="S660" i="3" s="1"/>
  <c r="D660" i="3"/>
  <c r="I660" i="3"/>
  <c r="K660" i="3"/>
  <c r="J660" i="3" s="1"/>
  <c r="L660" i="3"/>
  <c r="M660" i="3"/>
  <c r="P660" i="3" s="1"/>
  <c r="N660" i="3"/>
  <c r="O660" i="3" s="1"/>
  <c r="Q660" i="3"/>
  <c r="R660" i="3"/>
  <c r="B661" i="3"/>
  <c r="C661" i="3"/>
  <c r="S661" i="3" s="1"/>
  <c r="D661" i="3"/>
  <c r="I661" i="3"/>
  <c r="K661" i="3"/>
  <c r="J661" i="3" s="1"/>
  <c r="L661" i="3"/>
  <c r="M661" i="3"/>
  <c r="P661" i="3" s="1"/>
  <c r="N661" i="3"/>
  <c r="O661" i="3" s="1"/>
  <c r="Q661" i="3"/>
  <c r="R661" i="3"/>
  <c r="B662" i="3"/>
  <c r="C662" i="3"/>
  <c r="S662" i="3" s="1"/>
  <c r="D662" i="3"/>
  <c r="I662" i="3"/>
  <c r="K662" i="3"/>
  <c r="J662" i="3" s="1"/>
  <c r="L662" i="3"/>
  <c r="M662" i="3"/>
  <c r="P662" i="3" s="1"/>
  <c r="N662" i="3"/>
  <c r="O662" i="3" s="1"/>
  <c r="Q662" i="3"/>
  <c r="R662" i="3"/>
  <c r="B663" i="3"/>
  <c r="C663" i="3"/>
  <c r="S663" i="3" s="1"/>
  <c r="D663" i="3"/>
  <c r="I663" i="3"/>
  <c r="K663" i="3"/>
  <c r="J663" i="3" s="1"/>
  <c r="L663" i="3"/>
  <c r="M663" i="3"/>
  <c r="P663" i="3" s="1"/>
  <c r="N663" i="3"/>
  <c r="O663" i="3" s="1"/>
  <c r="Q663" i="3"/>
  <c r="R663" i="3"/>
  <c r="B664" i="3"/>
  <c r="C664" i="3"/>
  <c r="S664" i="3" s="1"/>
  <c r="D664" i="3"/>
  <c r="I664" i="3"/>
  <c r="K664" i="3"/>
  <c r="J664" i="3" s="1"/>
  <c r="L664" i="3"/>
  <c r="M664" i="3"/>
  <c r="P664" i="3" s="1"/>
  <c r="N664" i="3"/>
  <c r="O664" i="3" s="1"/>
  <c r="Q664" i="3"/>
  <c r="R664" i="3"/>
  <c r="B665" i="3"/>
  <c r="C665" i="3"/>
  <c r="S665" i="3" s="1"/>
  <c r="D665" i="3"/>
  <c r="I665" i="3"/>
  <c r="K665" i="3"/>
  <c r="J665" i="3" s="1"/>
  <c r="L665" i="3"/>
  <c r="M665" i="3"/>
  <c r="P665" i="3" s="1"/>
  <c r="N665" i="3"/>
  <c r="O665" i="3" s="1"/>
  <c r="Q665" i="3"/>
  <c r="R665" i="3"/>
  <c r="B666" i="3"/>
  <c r="C666" i="3"/>
  <c r="S666" i="3" s="1"/>
  <c r="D666" i="3"/>
  <c r="I666" i="3"/>
  <c r="K666" i="3"/>
  <c r="J666" i="3" s="1"/>
  <c r="L666" i="3"/>
  <c r="M666" i="3"/>
  <c r="P666" i="3" s="1"/>
  <c r="N666" i="3"/>
  <c r="O666" i="3" s="1"/>
  <c r="Q666" i="3"/>
  <c r="R666" i="3"/>
  <c r="B667" i="3"/>
  <c r="C667" i="3"/>
  <c r="S667" i="3" s="1"/>
  <c r="D667" i="3"/>
  <c r="I667" i="3"/>
  <c r="K667" i="3"/>
  <c r="J667" i="3" s="1"/>
  <c r="L667" i="3"/>
  <c r="M667" i="3"/>
  <c r="P667" i="3" s="1"/>
  <c r="N667" i="3"/>
  <c r="O667" i="3" s="1"/>
  <c r="Q667" i="3"/>
  <c r="R667" i="3"/>
  <c r="B668" i="3"/>
  <c r="C668" i="3"/>
  <c r="S668" i="3" s="1"/>
  <c r="D668" i="3"/>
  <c r="I668" i="3"/>
  <c r="K668" i="3"/>
  <c r="J668" i="3" s="1"/>
  <c r="L668" i="3"/>
  <c r="M668" i="3"/>
  <c r="P668" i="3" s="1"/>
  <c r="N668" i="3"/>
  <c r="O668" i="3" s="1"/>
  <c r="Q668" i="3"/>
  <c r="R668" i="3"/>
  <c r="B669" i="3"/>
  <c r="C669" i="3"/>
  <c r="S669" i="3" s="1"/>
  <c r="D669" i="3"/>
  <c r="I669" i="3"/>
  <c r="K669" i="3"/>
  <c r="J669" i="3" s="1"/>
  <c r="L669" i="3"/>
  <c r="M669" i="3"/>
  <c r="P669" i="3" s="1"/>
  <c r="N669" i="3"/>
  <c r="O669" i="3" s="1"/>
  <c r="Q669" i="3"/>
  <c r="R669" i="3"/>
  <c r="B670" i="3"/>
  <c r="C670" i="3"/>
  <c r="S670" i="3" s="1"/>
  <c r="D670" i="3"/>
  <c r="I670" i="3"/>
  <c r="K670" i="3"/>
  <c r="J670" i="3" s="1"/>
  <c r="L670" i="3"/>
  <c r="M670" i="3"/>
  <c r="P670" i="3" s="1"/>
  <c r="N670" i="3"/>
  <c r="O670" i="3" s="1"/>
  <c r="Q670" i="3"/>
  <c r="R670" i="3"/>
  <c r="B671" i="3"/>
  <c r="C671" i="3"/>
  <c r="S671" i="3" s="1"/>
  <c r="D671" i="3"/>
  <c r="I671" i="3"/>
  <c r="K671" i="3"/>
  <c r="J671" i="3" s="1"/>
  <c r="L671" i="3"/>
  <c r="M671" i="3"/>
  <c r="P671" i="3" s="1"/>
  <c r="N671" i="3"/>
  <c r="O671" i="3" s="1"/>
  <c r="Q671" i="3"/>
  <c r="R671" i="3"/>
  <c r="B672" i="3"/>
  <c r="C672" i="3"/>
  <c r="S672" i="3" s="1"/>
  <c r="D672" i="3"/>
  <c r="I672" i="3"/>
  <c r="K672" i="3"/>
  <c r="J672" i="3" s="1"/>
  <c r="L672" i="3"/>
  <c r="M672" i="3"/>
  <c r="P672" i="3" s="1"/>
  <c r="N672" i="3"/>
  <c r="O672" i="3" s="1"/>
  <c r="Q672" i="3"/>
  <c r="R672" i="3"/>
  <c r="B673" i="3"/>
  <c r="C673" i="3"/>
  <c r="S673" i="3" s="1"/>
  <c r="D673" i="3"/>
  <c r="I673" i="3"/>
  <c r="K673" i="3"/>
  <c r="J673" i="3" s="1"/>
  <c r="L673" i="3"/>
  <c r="M673" i="3"/>
  <c r="P673" i="3" s="1"/>
  <c r="N673" i="3"/>
  <c r="O673" i="3" s="1"/>
  <c r="Q673" i="3"/>
  <c r="R673" i="3"/>
  <c r="B674" i="3"/>
  <c r="C674" i="3"/>
  <c r="S674" i="3" s="1"/>
  <c r="D674" i="3"/>
  <c r="I674" i="3"/>
  <c r="K674" i="3"/>
  <c r="J674" i="3" s="1"/>
  <c r="L674" i="3"/>
  <c r="M674" i="3"/>
  <c r="P674" i="3" s="1"/>
  <c r="N674" i="3"/>
  <c r="O674" i="3" s="1"/>
  <c r="Q674" i="3"/>
  <c r="R674" i="3"/>
  <c r="B675" i="3"/>
  <c r="C675" i="3"/>
  <c r="S675" i="3" s="1"/>
  <c r="D675" i="3"/>
  <c r="H675" i="3"/>
  <c r="I675" i="3" s="1"/>
  <c r="K675" i="3"/>
  <c r="L675" i="3"/>
  <c r="M675" i="3"/>
  <c r="P675" i="3" s="1"/>
  <c r="N675" i="3"/>
  <c r="O675" i="3" s="1"/>
  <c r="Q675" i="3"/>
  <c r="R675" i="3"/>
  <c r="B676" i="3"/>
  <c r="C676" i="3"/>
  <c r="S676" i="3" s="1"/>
  <c r="D676" i="3"/>
  <c r="I676" i="3"/>
  <c r="K676" i="3"/>
  <c r="J676" i="3" s="1"/>
  <c r="L676" i="3"/>
  <c r="M676" i="3"/>
  <c r="P676" i="3" s="1"/>
  <c r="N676" i="3"/>
  <c r="O676" i="3" s="1"/>
  <c r="Q676" i="3"/>
  <c r="R676" i="3"/>
  <c r="B677" i="3"/>
  <c r="C677" i="3"/>
  <c r="S677" i="3" s="1"/>
  <c r="D677" i="3"/>
  <c r="I677" i="3"/>
  <c r="K677" i="3"/>
  <c r="J677" i="3" s="1"/>
  <c r="L677" i="3"/>
  <c r="M677" i="3"/>
  <c r="P677" i="3" s="1"/>
  <c r="N677" i="3"/>
  <c r="O677" i="3" s="1"/>
  <c r="Q677" i="3"/>
  <c r="R677" i="3"/>
  <c r="B678" i="3"/>
  <c r="C678" i="3"/>
  <c r="S678" i="3" s="1"/>
  <c r="D678" i="3"/>
  <c r="I678" i="3"/>
  <c r="K678" i="3"/>
  <c r="J678" i="3" s="1"/>
  <c r="L678" i="3"/>
  <c r="M678" i="3"/>
  <c r="P678" i="3" s="1"/>
  <c r="N678" i="3"/>
  <c r="O678" i="3" s="1"/>
  <c r="Q678" i="3"/>
  <c r="R678" i="3"/>
  <c r="B679" i="3"/>
  <c r="C679" i="3"/>
  <c r="S679" i="3" s="1"/>
  <c r="D679" i="3"/>
  <c r="I679" i="3"/>
  <c r="K679" i="3"/>
  <c r="J679" i="3" s="1"/>
  <c r="L679" i="3"/>
  <c r="M679" i="3"/>
  <c r="P679" i="3" s="1"/>
  <c r="N679" i="3"/>
  <c r="O679" i="3" s="1"/>
  <c r="Q679" i="3"/>
  <c r="R679" i="3"/>
  <c r="B680" i="3"/>
  <c r="C680" i="3"/>
  <c r="S680" i="3" s="1"/>
  <c r="D680" i="3"/>
  <c r="I680" i="3"/>
  <c r="K680" i="3"/>
  <c r="J680" i="3" s="1"/>
  <c r="L680" i="3"/>
  <c r="M680" i="3"/>
  <c r="P680" i="3" s="1"/>
  <c r="N680" i="3"/>
  <c r="O680" i="3" s="1"/>
  <c r="Q680" i="3"/>
  <c r="R680" i="3"/>
  <c r="B681" i="3"/>
  <c r="C681" i="3"/>
  <c r="S681" i="3" s="1"/>
  <c r="D681" i="3"/>
  <c r="I681" i="3"/>
  <c r="K681" i="3"/>
  <c r="J681" i="3" s="1"/>
  <c r="L681" i="3"/>
  <c r="M681" i="3"/>
  <c r="P681" i="3" s="1"/>
  <c r="N681" i="3"/>
  <c r="O681" i="3" s="1"/>
  <c r="Q681" i="3"/>
  <c r="R681" i="3"/>
  <c r="B682" i="3"/>
  <c r="C682" i="3"/>
  <c r="S682" i="3" s="1"/>
  <c r="D682" i="3"/>
  <c r="I682" i="3"/>
  <c r="K682" i="3"/>
  <c r="J682" i="3" s="1"/>
  <c r="L682" i="3"/>
  <c r="M682" i="3"/>
  <c r="P682" i="3" s="1"/>
  <c r="N682" i="3"/>
  <c r="O682" i="3" s="1"/>
  <c r="Q682" i="3"/>
  <c r="R682" i="3"/>
  <c r="B683" i="3"/>
  <c r="C683" i="3"/>
  <c r="S683" i="3" s="1"/>
  <c r="D683" i="3"/>
  <c r="I683" i="3"/>
  <c r="K683" i="3"/>
  <c r="J683" i="3" s="1"/>
  <c r="L683" i="3"/>
  <c r="M683" i="3"/>
  <c r="P683" i="3" s="1"/>
  <c r="N683" i="3"/>
  <c r="O683" i="3" s="1"/>
  <c r="Q683" i="3"/>
  <c r="R683" i="3"/>
  <c r="B684" i="3"/>
  <c r="C684" i="3"/>
  <c r="S684" i="3" s="1"/>
  <c r="D684" i="3"/>
  <c r="I684" i="3"/>
  <c r="K684" i="3"/>
  <c r="J684" i="3" s="1"/>
  <c r="L684" i="3"/>
  <c r="M684" i="3"/>
  <c r="P684" i="3" s="1"/>
  <c r="N684" i="3"/>
  <c r="O684" i="3" s="1"/>
  <c r="Q684" i="3"/>
  <c r="R684" i="3"/>
  <c r="B685" i="3"/>
  <c r="C685" i="3"/>
  <c r="S685" i="3" s="1"/>
  <c r="D685" i="3"/>
  <c r="I685" i="3"/>
  <c r="K685" i="3"/>
  <c r="J685" i="3" s="1"/>
  <c r="L685" i="3"/>
  <c r="M685" i="3"/>
  <c r="P685" i="3" s="1"/>
  <c r="N685" i="3"/>
  <c r="O685" i="3" s="1"/>
  <c r="Q685" i="3"/>
  <c r="R685" i="3"/>
  <c r="B686" i="3"/>
  <c r="C686" i="3"/>
  <c r="S686" i="3" s="1"/>
  <c r="D686" i="3"/>
  <c r="I686" i="3"/>
  <c r="K686" i="3"/>
  <c r="J686" i="3" s="1"/>
  <c r="L686" i="3"/>
  <c r="M686" i="3"/>
  <c r="P686" i="3" s="1"/>
  <c r="N686" i="3"/>
  <c r="O686" i="3" s="1"/>
  <c r="Q686" i="3"/>
  <c r="R686" i="3"/>
  <c r="B687" i="3"/>
  <c r="C687" i="3"/>
  <c r="S687" i="3" s="1"/>
  <c r="D687" i="3"/>
  <c r="I687" i="3"/>
  <c r="K687" i="3"/>
  <c r="J687" i="3" s="1"/>
  <c r="L687" i="3"/>
  <c r="M687" i="3"/>
  <c r="P687" i="3" s="1"/>
  <c r="N687" i="3"/>
  <c r="O687" i="3" s="1"/>
  <c r="Q687" i="3"/>
  <c r="R687" i="3"/>
  <c r="B688" i="3"/>
  <c r="C688" i="3"/>
  <c r="S688" i="3" s="1"/>
  <c r="D688" i="3"/>
  <c r="I688" i="3"/>
  <c r="K688" i="3"/>
  <c r="J688" i="3" s="1"/>
  <c r="L688" i="3"/>
  <c r="M688" i="3"/>
  <c r="P688" i="3" s="1"/>
  <c r="N688" i="3"/>
  <c r="O688" i="3" s="1"/>
  <c r="Q688" i="3"/>
  <c r="R688" i="3"/>
  <c r="B689" i="3"/>
  <c r="C689" i="3"/>
  <c r="S689" i="3" s="1"/>
  <c r="D689" i="3"/>
  <c r="I689" i="3"/>
  <c r="K689" i="3"/>
  <c r="J689" i="3" s="1"/>
  <c r="L689" i="3"/>
  <c r="M689" i="3"/>
  <c r="P689" i="3" s="1"/>
  <c r="N689" i="3"/>
  <c r="O689" i="3" s="1"/>
  <c r="Q689" i="3"/>
  <c r="R689" i="3"/>
  <c r="B690" i="3"/>
  <c r="C690" i="3"/>
  <c r="S690" i="3" s="1"/>
  <c r="D690" i="3"/>
  <c r="I690" i="3"/>
  <c r="K690" i="3"/>
  <c r="J690" i="3" s="1"/>
  <c r="L690" i="3"/>
  <c r="M690" i="3"/>
  <c r="P690" i="3" s="1"/>
  <c r="N690" i="3"/>
  <c r="O690" i="3" s="1"/>
  <c r="Q690" i="3"/>
  <c r="R690" i="3"/>
  <c r="B691" i="3"/>
  <c r="C691" i="3"/>
  <c r="S691" i="3" s="1"/>
  <c r="D691" i="3"/>
  <c r="I691" i="3"/>
  <c r="K691" i="3"/>
  <c r="J691" i="3" s="1"/>
  <c r="L691" i="3"/>
  <c r="M691" i="3"/>
  <c r="P691" i="3" s="1"/>
  <c r="N691" i="3"/>
  <c r="O691" i="3" s="1"/>
  <c r="Q691" i="3"/>
  <c r="R691" i="3"/>
  <c r="B692" i="3"/>
  <c r="C692" i="3"/>
  <c r="S692" i="3" s="1"/>
  <c r="D692" i="3"/>
  <c r="I692" i="3"/>
  <c r="K692" i="3"/>
  <c r="J692" i="3" s="1"/>
  <c r="L692" i="3"/>
  <c r="M692" i="3"/>
  <c r="P692" i="3" s="1"/>
  <c r="N692" i="3"/>
  <c r="O692" i="3" s="1"/>
  <c r="Q692" i="3"/>
  <c r="R692" i="3"/>
  <c r="B693" i="3"/>
  <c r="C693" i="3"/>
  <c r="S693" i="3" s="1"/>
  <c r="D693" i="3"/>
  <c r="I693" i="3"/>
  <c r="K693" i="3"/>
  <c r="J693" i="3" s="1"/>
  <c r="L693" i="3"/>
  <c r="M693" i="3"/>
  <c r="P693" i="3" s="1"/>
  <c r="N693" i="3"/>
  <c r="O693" i="3" s="1"/>
  <c r="Q693" i="3"/>
  <c r="R693" i="3"/>
  <c r="B694" i="3"/>
  <c r="C694" i="3"/>
  <c r="S694" i="3" s="1"/>
  <c r="D694" i="3"/>
  <c r="I694" i="3"/>
  <c r="K694" i="3"/>
  <c r="J694" i="3" s="1"/>
  <c r="L694" i="3"/>
  <c r="M694" i="3"/>
  <c r="P694" i="3" s="1"/>
  <c r="N694" i="3"/>
  <c r="O694" i="3" s="1"/>
  <c r="Q694" i="3"/>
  <c r="R694" i="3"/>
  <c r="B695" i="3"/>
  <c r="C695" i="3"/>
  <c r="S695" i="3" s="1"/>
  <c r="D695" i="3"/>
  <c r="I695" i="3"/>
  <c r="K695" i="3"/>
  <c r="J695" i="3" s="1"/>
  <c r="L695" i="3"/>
  <c r="M695" i="3"/>
  <c r="P695" i="3" s="1"/>
  <c r="N695" i="3"/>
  <c r="O695" i="3" s="1"/>
  <c r="Q695" i="3"/>
  <c r="R695" i="3"/>
  <c r="B696" i="3"/>
  <c r="C696" i="3"/>
  <c r="S696" i="3" s="1"/>
  <c r="D696" i="3"/>
  <c r="I696" i="3"/>
  <c r="K696" i="3"/>
  <c r="J696" i="3" s="1"/>
  <c r="L696" i="3"/>
  <c r="M696" i="3"/>
  <c r="P696" i="3" s="1"/>
  <c r="N696" i="3"/>
  <c r="O696" i="3" s="1"/>
  <c r="Q696" i="3"/>
  <c r="R696" i="3"/>
  <c r="B697" i="3"/>
  <c r="C697" i="3"/>
  <c r="S697" i="3" s="1"/>
  <c r="D697" i="3"/>
  <c r="I697" i="3"/>
  <c r="K697" i="3"/>
  <c r="J697" i="3" s="1"/>
  <c r="L697" i="3"/>
  <c r="M697" i="3"/>
  <c r="P697" i="3" s="1"/>
  <c r="N697" i="3"/>
  <c r="O697" i="3" s="1"/>
  <c r="Q697" i="3"/>
  <c r="R697" i="3"/>
  <c r="B698" i="3"/>
  <c r="C698" i="3"/>
  <c r="S698" i="3" s="1"/>
  <c r="D698" i="3"/>
  <c r="I698" i="3"/>
  <c r="K698" i="3"/>
  <c r="J698" i="3" s="1"/>
  <c r="L698" i="3"/>
  <c r="M698" i="3"/>
  <c r="P698" i="3" s="1"/>
  <c r="N698" i="3"/>
  <c r="O698" i="3" s="1"/>
  <c r="Q698" i="3"/>
  <c r="R698" i="3"/>
  <c r="B699" i="3"/>
  <c r="C699" i="3"/>
  <c r="S699" i="3" s="1"/>
  <c r="D699" i="3"/>
  <c r="I699" i="3"/>
  <c r="K699" i="3"/>
  <c r="J699" i="3" s="1"/>
  <c r="L699" i="3"/>
  <c r="M699" i="3"/>
  <c r="P699" i="3" s="1"/>
  <c r="N699" i="3"/>
  <c r="O699" i="3" s="1"/>
  <c r="Q699" i="3"/>
  <c r="R699" i="3"/>
  <c r="B700" i="3"/>
  <c r="C700" i="3"/>
  <c r="S700" i="3" s="1"/>
  <c r="D700" i="3"/>
  <c r="I700" i="3"/>
  <c r="K700" i="3"/>
  <c r="J700" i="3" s="1"/>
  <c r="L700" i="3"/>
  <c r="M700" i="3"/>
  <c r="P700" i="3" s="1"/>
  <c r="N700" i="3"/>
  <c r="O700" i="3" s="1"/>
  <c r="Q700" i="3"/>
  <c r="R700" i="3"/>
  <c r="B701" i="3"/>
  <c r="C701" i="3"/>
  <c r="S701" i="3" s="1"/>
  <c r="D701" i="3"/>
  <c r="I701" i="3"/>
  <c r="K701" i="3"/>
  <c r="J701" i="3" s="1"/>
  <c r="L701" i="3"/>
  <c r="M701" i="3"/>
  <c r="P701" i="3" s="1"/>
  <c r="N701" i="3"/>
  <c r="O701" i="3" s="1"/>
  <c r="Q701" i="3"/>
  <c r="R701" i="3"/>
  <c r="B702" i="3"/>
  <c r="C702" i="3"/>
  <c r="S702" i="3" s="1"/>
  <c r="D702" i="3"/>
  <c r="I702" i="3"/>
  <c r="K702" i="3"/>
  <c r="J702" i="3" s="1"/>
  <c r="L702" i="3"/>
  <c r="M702" i="3"/>
  <c r="P702" i="3" s="1"/>
  <c r="N702" i="3"/>
  <c r="O702" i="3" s="1"/>
  <c r="Q702" i="3"/>
  <c r="R702" i="3"/>
  <c r="B703" i="3"/>
  <c r="C703" i="3"/>
  <c r="S703" i="3" s="1"/>
  <c r="D703" i="3"/>
  <c r="I703" i="3"/>
  <c r="K703" i="3"/>
  <c r="J703" i="3" s="1"/>
  <c r="L703" i="3"/>
  <c r="M703" i="3"/>
  <c r="P703" i="3" s="1"/>
  <c r="N703" i="3"/>
  <c r="O703" i="3" s="1"/>
  <c r="Q703" i="3"/>
  <c r="R703" i="3"/>
  <c r="B704" i="3"/>
  <c r="C704" i="3"/>
  <c r="S704" i="3" s="1"/>
  <c r="D704" i="3"/>
  <c r="I704" i="3"/>
  <c r="K704" i="3"/>
  <c r="J704" i="3" s="1"/>
  <c r="L704" i="3"/>
  <c r="M704" i="3"/>
  <c r="P704" i="3" s="1"/>
  <c r="N704" i="3"/>
  <c r="O704" i="3" s="1"/>
  <c r="Q704" i="3"/>
  <c r="R704" i="3"/>
  <c r="B705" i="3"/>
  <c r="C705" i="3"/>
  <c r="S705" i="3" s="1"/>
  <c r="D705" i="3"/>
  <c r="I705" i="3"/>
  <c r="K705" i="3"/>
  <c r="J705" i="3" s="1"/>
  <c r="L705" i="3"/>
  <c r="M705" i="3"/>
  <c r="P705" i="3" s="1"/>
  <c r="N705" i="3"/>
  <c r="O705" i="3" s="1"/>
  <c r="Q705" i="3"/>
  <c r="R705" i="3"/>
  <c r="B706" i="3"/>
  <c r="C706" i="3"/>
  <c r="S706" i="3" s="1"/>
  <c r="D706" i="3"/>
  <c r="I706" i="3"/>
  <c r="K706" i="3"/>
  <c r="J706" i="3" s="1"/>
  <c r="L706" i="3"/>
  <c r="M706" i="3"/>
  <c r="P706" i="3" s="1"/>
  <c r="N706" i="3"/>
  <c r="O706" i="3" s="1"/>
  <c r="Q706" i="3"/>
  <c r="R706" i="3"/>
  <c r="B707" i="3"/>
  <c r="C707" i="3"/>
  <c r="S707" i="3" s="1"/>
  <c r="D707" i="3"/>
  <c r="I707" i="3"/>
  <c r="K707" i="3"/>
  <c r="J707" i="3" s="1"/>
  <c r="L707" i="3"/>
  <c r="M707" i="3"/>
  <c r="P707" i="3" s="1"/>
  <c r="N707" i="3"/>
  <c r="O707" i="3" s="1"/>
  <c r="Q707" i="3"/>
  <c r="R707" i="3"/>
  <c r="B708" i="3"/>
  <c r="C708" i="3"/>
  <c r="S708" i="3" s="1"/>
  <c r="D708" i="3"/>
  <c r="I708" i="3"/>
  <c r="K708" i="3"/>
  <c r="J708" i="3" s="1"/>
  <c r="L708" i="3"/>
  <c r="M708" i="3"/>
  <c r="P708" i="3" s="1"/>
  <c r="N708" i="3"/>
  <c r="O708" i="3" s="1"/>
  <c r="Q708" i="3"/>
  <c r="R708" i="3"/>
  <c r="B709" i="3"/>
  <c r="C709" i="3"/>
  <c r="S709" i="3" s="1"/>
  <c r="D709" i="3"/>
  <c r="I709" i="3"/>
  <c r="K709" i="3"/>
  <c r="J709" i="3" s="1"/>
  <c r="L709" i="3"/>
  <c r="M709" i="3"/>
  <c r="P709" i="3" s="1"/>
  <c r="N709" i="3"/>
  <c r="O709" i="3" s="1"/>
  <c r="Q709" i="3"/>
  <c r="R709" i="3"/>
  <c r="B710" i="3"/>
  <c r="C710" i="3"/>
  <c r="S710" i="3" s="1"/>
  <c r="D710" i="3"/>
  <c r="I710" i="3"/>
  <c r="K710" i="3"/>
  <c r="J710" i="3" s="1"/>
  <c r="L710" i="3"/>
  <c r="M710" i="3"/>
  <c r="P710" i="3" s="1"/>
  <c r="N710" i="3"/>
  <c r="O710" i="3" s="1"/>
  <c r="Q710" i="3"/>
  <c r="R710" i="3"/>
  <c r="B711" i="3"/>
  <c r="C711" i="3"/>
  <c r="S711" i="3" s="1"/>
  <c r="D711" i="3"/>
  <c r="I711" i="3"/>
  <c r="K711" i="3"/>
  <c r="J711" i="3" s="1"/>
  <c r="L711" i="3"/>
  <c r="M711" i="3"/>
  <c r="P711" i="3" s="1"/>
  <c r="N711" i="3"/>
  <c r="O711" i="3" s="1"/>
  <c r="Q711" i="3"/>
  <c r="R711" i="3"/>
  <c r="B712" i="3"/>
  <c r="C712" i="3"/>
  <c r="S712" i="3" s="1"/>
  <c r="D712" i="3"/>
  <c r="I712" i="3"/>
  <c r="K712" i="3"/>
  <c r="J712" i="3" s="1"/>
  <c r="L712" i="3"/>
  <c r="M712" i="3"/>
  <c r="P712" i="3" s="1"/>
  <c r="N712" i="3"/>
  <c r="O712" i="3" s="1"/>
  <c r="Q712" i="3"/>
  <c r="R712" i="3"/>
  <c r="B713" i="3"/>
  <c r="C713" i="3"/>
  <c r="S713" i="3" s="1"/>
  <c r="D713" i="3"/>
  <c r="I713" i="3"/>
  <c r="K713" i="3"/>
  <c r="J713" i="3" s="1"/>
  <c r="L713" i="3"/>
  <c r="M713" i="3"/>
  <c r="P713" i="3" s="1"/>
  <c r="N713" i="3"/>
  <c r="O713" i="3" s="1"/>
  <c r="Q713" i="3"/>
  <c r="R713" i="3"/>
  <c r="B714" i="3"/>
  <c r="C714" i="3"/>
  <c r="S714" i="3" s="1"/>
  <c r="D714" i="3"/>
  <c r="I714" i="3"/>
  <c r="K714" i="3"/>
  <c r="J714" i="3" s="1"/>
  <c r="L714" i="3"/>
  <c r="M714" i="3"/>
  <c r="P714" i="3" s="1"/>
  <c r="N714" i="3"/>
  <c r="O714" i="3" s="1"/>
  <c r="Q714" i="3"/>
  <c r="R714" i="3"/>
  <c r="B715" i="3"/>
  <c r="C715" i="3"/>
  <c r="S715" i="3" s="1"/>
  <c r="D715" i="3"/>
  <c r="H715" i="3"/>
  <c r="K715" i="3"/>
  <c r="L715" i="3"/>
  <c r="M715" i="3"/>
  <c r="P715" i="3" s="1"/>
  <c r="N715" i="3"/>
  <c r="O715" i="3" s="1"/>
  <c r="Q715" i="3"/>
  <c r="R715" i="3"/>
  <c r="B716" i="3"/>
  <c r="C716" i="3"/>
  <c r="S716" i="3" s="1"/>
  <c r="D716" i="3"/>
  <c r="I716" i="3"/>
  <c r="K716" i="3"/>
  <c r="J716" i="3" s="1"/>
  <c r="L716" i="3"/>
  <c r="M716" i="3"/>
  <c r="P716" i="3" s="1"/>
  <c r="N716" i="3"/>
  <c r="O716" i="3" s="1"/>
  <c r="Q716" i="3"/>
  <c r="R716" i="3"/>
  <c r="B717" i="3"/>
  <c r="C717" i="3"/>
  <c r="S717" i="3" s="1"/>
  <c r="D717" i="3"/>
  <c r="I717" i="3"/>
  <c r="K717" i="3"/>
  <c r="J717" i="3" s="1"/>
  <c r="L717" i="3"/>
  <c r="M717" i="3"/>
  <c r="P717" i="3" s="1"/>
  <c r="N717" i="3"/>
  <c r="O717" i="3" s="1"/>
  <c r="Q717" i="3"/>
  <c r="R717" i="3"/>
  <c r="B718" i="3"/>
  <c r="C718" i="3"/>
  <c r="S718" i="3" s="1"/>
  <c r="D718" i="3"/>
  <c r="I718" i="3"/>
  <c r="K718" i="3"/>
  <c r="J718" i="3" s="1"/>
  <c r="L718" i="3"/>
  <c r="M718" i="3"/>
  <c r="P718" i="3" s="1"/>
  <c r="N718" i="3"/>
  <c r="O718" i="3" s="1"/>
  <c r="Q718" i="3"/>
  <c r="R718" i="3"/>
  <c r="B719" i="3"/>
  <c r="C719" i="3"/>
  <c r="S719" i="3" s="1"/>
  <c r="D719" i="3"/>
  <c r="I719" i="3"/>
  <c r="K719" i="3"/>
  <c r="J719" i="3" s="1"/>
  <c r="L719" i="3"/>
  <c r="M719" i="3"/>
  <c r="P719" i="3" s="1"/>
  <c r="N719" i="3"/>
  <c r="O719" i="3" s="1"/>
  <c r="Q719" i="3"/>
  <c r="R719" i="3"/>
  <c r="B720" i="3"/>
  <c r="C720" i="3"/>
  <c r="S720" i="3" s="1"/>
  <c r="D720" i="3"/>
  <c r="I720" i="3"/>
  <c r="K720" i="3"/>
  <c r="J720" i="3" s="1"/>
  <c r="L720" i="3"/>
  <c r="M720" i="3"/>
  <c r="P720" i="3" s="1"/>
  <c r="N720" i="3"/>
  <c r="O720" i="3" s="1"/>
  <c r="Q720" i="3"/>
  <c r="R720" i="3"/>
  <c r="B721" i="3"/>
  <c r="C721" i="3"/>
  <c r="S721" i="3" s="1"/>
  <c r="D721" i="3"/>
  <c r="I721" i="3"/>
  <c r="K721" i="3"/>
  <c r="J721" i="3" s="1"/>
  <c r="L721" i="3"/>
  <c r="M721" i="3"/>
  <c r="P721" i="3" s="1"/>
  <c r="N721" i="3"/>
  <c r="O721" i="3" s="1"/>
  <c r="Q721" i="3"/>
  <c r="R721" i="3"/>
  <c r="B722" i="3"/>
  <c r="C722" i="3"/>
  <c r="S722" i="3" s="1"/>
  <c r="D722" i="3"/>
  <c r="I722" i="3"/>
  <c r="K722" i="3"/>
  <c r="J722" i="3" s="1"/>
  <c r="L722" i="3"/>
  <c r="M722" i="3"/>
  <c r="P722" i="3" s="1"/>
  <c r="N722" i="3"/>
  <c r="O722" i="3" s="1"/>
  <c r="Q722" i="3"/>
  <c r="R722" i="3"/>
  <c r="B723" i="3"/>
  <c r="C723" i="3"/>
  <c r="S723" i="3" s="1"/>
  <c r="D723" i="3"/>
  <c r="I723" i="3"/>
  <c r="K723" i="3"/>
  <c r="J723" i="3" s="1"/>
  <c r="L723" i="3"/>
  <c r="M723" i="3"/>
  <c r="P723" i="3" s="1"/>
  <c r="N723" i="3"/>
  <c r="O723" i="3" s="1"/>
  <c r="Q723" i="3"/>
  <c r="R723" i="3"/>
  <c r="B724" i="3"/>
  <c r="C724" i="3"/>
  <c r="S724" i="3" s="1"/>
  <c r="D724" i="3"/>
  <c r="I724" i="3"/>
  <c r="K724" i="3"/>
  <c r="J724" i="3" s="1"/>
  <c r="L724" i="3"/>
  <c r="M724" i="3"/>
  <c r="P724" i="3" s="1"/>
  <c r="N724" i="3"/>
  <c r="O724" i="3" s="1"/>
  <c r="Q724" i="3"/>
  <c r="R724" i="3"/>
  <c r="B725" i="3"/>
  <c r="C725" i="3"/>
  <c r="S725" i="3" s="1"/>
  <c r="D725" i="3"/>
  <c r="I725" i="3"/>
  <c r="K725" i="3"/>
  <c r="J725" i="3" s="1"/>
  <c r="L725" i="3"/>
  <c r="M725" i="3"/>
  <c r="P725" i="3" s="1"/>
  <c r="N725" i="3"/>
  <c r="O725" i="3" s="1"/>
  <c r="Q725" i="3"/>
  <c r="R725" i="3"/>
  <c r="B726" i="3"/>
  <c r="C726" i="3"/>
  <c r="S726" i="3" s="1"/>
  <c r="D726" i="3"/>
  <c r="I726" i="3"/>
  <c r="K726" i="3"/>
  <c r="J726" i="3" s="1"/>
  <c r="L726" i="3"/>
  <c r="M726" i="3"/>
  <c r="P726" i="3" s="1"/>
  <c r="N726" i="3"/>
  <c r="O726" i="3" s="1"/>
  <c r="Q726" i="3"/>
  <c r="R726" i="3"/>
  <c r="B727" i="3"/>
  <c r="C727" i="3"/>
  <c r="S727" i="3" s="1"/>
  <c r="D727" i="3"/>
  <c r="I727" i="3"/>
  <c r="K727" i="3"/>
  <c r="J727" i="3" s="1"/>
  <c r="L727" i="3"/>
  <c r="M727" i="3"/>
  <c r="P727" i="3" s="1"/>
  <c r="N727" i="3"/>
  <c r="O727" i="3" s="1"/>
  <c r="Q727" i="3"/>
  <c r="R727" i="3"/>
  <c r="B728" i="3"/>
  <c r="C728" i="3"/>
  <c r="S728" i="3" s="1"/>
  <c r="D728" i="3"/>
  <c r="I728" i="3"/>
  <c r="K728" i="3"/>
  <c r="J728" i="3" s="1"/>
  <c r="L728" i="3"/>
  <c r="M728" i="3"/>
  <c r="P728" i="3" s="1"/>
  <c r="N728" i="3"/>
  <c r="O728" i="3" s="1"/>
  <c r="Q728" i="3"/>
  <c r="R728" i="3"/>
  <c r="B729" i="3"/>
  <c r="C729" i="3"/>
  <c r="S729" i="3" s="1"/>
  <c r="D729" i="3"/>
  <c r="I729" i="3"/>
  <c r="K729" i="3"/>
  <c r="J729" i="3" s="1"/>
  <c r="L729" i="3"/>
  <c r="M729" i="3"/>
  <c r="P729" i="3" s="1"/>
  <c r="N729" i="3"/>
  <c r="O729" i="3" s="1"/>
  <c r="Q729" i="3"/>
  <c r="R729" i="3"/>
  <c r="B730" i="3"/>
  <c r="C730" i="3"/>
  <c r="S730" i="3" s="1"/>
  <c r="D730" i="3"/>
  <c r="I730" i="3"/>
  <c r="K730" i="3"/>
  <c r="J730" i="3" s="1"/>
  <c r="L730" i="3"/>
  <c r="M730" i="3"/>
  <c r="P730" i="3" s="1"/>
  <c r="N730" i="3"/>
  <c r="O730" i="3" s="1"/>
  <c r="Q730" i="3"/>
  <c r="R730" i="3"/>
  <c r="B731" i="3"/>
  <c r="C731" i="3"/>
  <c r="S731" i="3" s="1"/>
  <c r="D731" i="3"/>
  <c r="I731" i="3"/>
  <c r="K731" i="3"/>
  <c r="J731" i="3" s="1"/>
  <c r="L731" i="3"/>
  <c r="M731" i="3"/>
  <c r="P731" i="3" s="1"/>
  <c r="N731" i="3"/>
  <c r="O731" i="3" s="1"/>
  <c r="Q731" i="3"/>
  <c r="R731" i="3"/>
  <c r="B732" i="3"/>
  <c r="C732" i="3"/>
  <c r="S732" i="3" s="1"/>
  <c r="D732" i="3"/>
  <c r="I732" i="3"/>
  <c r="K732" i="3"/>
  <c r="J732" i="3" s="1"/>
  <c r="L732" i="3"/>
  <c r="M732" i="3"/>
  <c r="P732" i="3" s="1"/>
  <c r="N732" i="3"/>
  <c r="O732" i="3" s="1"/>
  <c r="Q732" i="3"/>
  <c r="R732" i="3"/>
  <c r="B733" i="3"/>
  <c r="C733" i="3"/>
  <c r="S733" i="3" s="1"/>
  <c r="D733" i="3"/>
  <c r="I733" i="3"/>
  <c r="K733" i="3"/>
  <c r="J733" i="3" s="1"/>
  <c r="L733" i="3"/>
  <c r="M733" i="3"/>
  <c r="P733" i="3" s="1"/>
  <c r="N733" i="3"/>
  <c r="O733" i="3" s="1"/>
  <c r="Q733" i="3"/>
  <c r="R733" i="3"/>
  <c r="B734" i="3"/>
  <c r="C734" i="3"/>
  <c r="S734" i="3" s="1"/>
  <c r="D734" i="3"/>
  <c r="I734" i="3"/>
  <c r="K734" i="3"/>
  <c r="J734" i="3" s="1"/>
  <c r="L734" i="3"/>
  <c r="M734" i="3"/>
  <c r="P734" i="3" s="1"/>
  <c r="N734" i="3"/>
  <c r="O734" i="3" s="1"/>
  <c r="Q734" i="3"/>
  <c r="R734" i="3"/>
  <c r="B735" i="3"/>
  <c r="C735" i="3"/>
  <c r="S735" i="3" s="1"/>
  <c r="D735" i="3"/>
  <c r="I735" i="3"/>
  <c r="K735" i="3"/>
  <c r="J735" i="3" s="1"/>
  <c r="L735" i="3"/>
  <c r="M735" i="3"/>
  <c r="P735" i="3" s="1"/>
  <c r="N735" i="3"/>
  <c r="O735" i="3" s="1"/>
  <c r="Q735" i="3"/>
  <c r="R735" i="3"/>
  <c r="B736" i="3"/>
  <c r="C736" i="3"/>
  <c r="S736" i="3" s="1"/>
  <c r="D736" i="3"/>
  <c r="I736" i="3"/>
  <c r="K736" i="3"/>
  <c r="J736" i="3" s="1"/>
  <c r="L736" i="3"/>
  <c r="M736" i="3"/>
  <c r="P736" i="3" s="1"/>
  <c r="N736" i="3"/>
  <c r="O736" i="3" s="1"/>
  <c r="Q736" i="3"/>
  <c r="R736" i="3"/>
  <c r="B737" i="3"/>
  <c r="C737" i="3"/>
  <c r="S737" i="3" s="1"/>
  <c r="D737" i="3"/>
  <c r="I737" i="3"/>
  <c r="K737" i="3"/>
  <c r="J737" i="3" s="1"/>
  <c r="L737" i="3"/>
  <c r="M737" i="3"/>
  <c r="P737" i="3" s="1"/>
  <c r="N737" i="3"/>
  <c r="O737" i="3" s="1"/>
  <c r="Q737" i="3"/>
  <c r="R737" i="3"/>
  <c r="B738" i="3"/>
  <c r="C738" i="3"/>
  <c r="S738" i="3" s="1"/>
  <c r="D738" i="3"/>
  <c r="I738" i="3"/>
  <c r="K738" i="3"/>
  <c r="J738" i="3" s="1"/>
  <c r="L738" i="3"/>
  <c r="M738" i="3"/>
  <c r="P738" i="3" s="1"/>
  <c r="N738" i="3"/>
  <c r="O738" i="3" s="1"/>
  <c r="Q738" i="3"/>
  <c r="R738" i="3"/>
  <c r="B739" i="3"/>
  <c r="C739" i="3"/>
  <c r="S739" i="3" s="1"/>
  <c r="D739" i="3"/>
  <c r="I739" i="3"/>
  <c r="K739" i="3"/>
  <c r="J739" i="3" s="1"/>
  <c r="L739" i="3"/>
  <c r="M739" i="3"/>
  <c r="P739" i="3" s="1"/>
  <c r="N739" i="3"/>
  <c r="O739" i="3" s="1"/>
  <c r="Q739" i="3"/>
  <c r="R739" i="3"/>
  <c r="B740" i="3"/>
  <c r="C740" i="3"/>
  <c r="S740" i="3" s="1"/>
  <c r="D740" i="3"/>
  <c r="I740" i="3"/>
  <c r="K740" i="3"/>
  <c r="J740" i="3" s="1"/>
  <c r="L740" i="3"/>
  <c r="M740" i="3"/>
  <c r="P740" i="3" s="1"/>
  <c r="N740" i="3"/>
  <c r="O740" i="3" s="1"/>
  <c r="Q740" i="3"/>
  <c r="R740" i="3"/>
  <c r="B741" i="3"/>
  <c r="C741" i="3"/>
  <c r="S741" i="3" s="1"/>
  <c r="D741" i="3"/>
  <c r="I741" i="3"/>
  <c r="K741" i="3"/>
  <c r="J741" i="3" s="1"/>
  <c r="L741" i="3"/>
  <c r="M741" i="3"/>
  <c r="P741" i="3" s="1"/>
  <c r="N741" i="3"/>
  <c r="O741" i="3" s="1"/>
  <c r="Q741" i="3"/>
  <c r="R741" i="3"/>
  <c r="B742" i="3"/>
  <c r="C742" i="3"/>
  <c r="S742" i="3" s="1"/>
  <c r="D742" i="3"/>
  <c r="H742" i="3"/>
  <c r="I742" i="3" s="1"/>
  <c r="K742" i="3"/>
  <c r="L742" i="3"/>
  <c r="M742" i="3"/>
  <c r="P742" i="3" s="1"/>
  <c r="N742" i="3"/>
  <c r="O742" i="3" s="1"/>
  <c r="Q742" i="3"/>
  <c r="R742" i="3"/>
  <c r="B743" i="3"/>
  <c r="C743" i="3"/>
  <c r="S743" i="3" s="1"/>
  <c r="D743" i="3"/>
  <c r="I743" i="3"/>
  <c r="K743" i="3"/>
  <c r="J743" i="3" s="1"/>
  <c r="L743" i="3"/>
  <c r="M743" i="3"/>
  <c r="P743" i="3" s="1"/>
  <c r="N743" i="3"/>
  <c r="O743" i="3" s="1"/>
  <c r="Q743" i="3"/>
  <c r="R743" i="3"/>
  <c r="B744" i="3"/>
  <c r="C744" i="3"/>
  <c r="S744" i="3" s="1"/>
  <c r="D744" i="3"/>
  <c r="I744" i="3"/>
  <c r="K744" i="3"/>
  <c r="J744" i="3" s="1"/>
  <c r="L744" i="3"/>
  <c r="M744" i="3"/>
  <c r="P744" i="3" s="1"/>
  <c r="N744" i="3"/>
  <c r="O744" i="3" s="1"/>
  <c r="Q744" i="3"/>
  <c r="R744" i="3"/>
  <c r="B745" i="3"/>
  <c r="C745" i="3"/>
  <c r="S745" i="3" s="1"/>
  <c r="D745" i="3"/>
  <c r="H745" i="3"/>
  <c r="I745" i="3" s="1"/>
  <c r="K745" i="3"/>
  <c r="L745" i="3"/>
  <c r="M745" i="3"/>
  <c r="P745" i="3" s="1"/>
  <c r="N745" i="3"/>
  <c r="O745" i="3" s="1"/>
  <c r="Q745" i="3"/>
  <c r="R745" i="3"/>
  <c r="B746" i="3"/>
  <c r="C746" i="3"/>
  <c r="S746" i="3" s="1"/>
  <c r="D746" i="3"/>
  <c r="I746" i="3"/>
  <c r="K746" i="3"/>
  <c r="J746" i="3" s="1"/>
  <c r="L746" i="3"/>
  <c r="M746" i="3"/>
  <c r="P746" i="3" s="1"/>
  <c r="N746" i="3"/>
  <c r="O746" i="3" s="1"/>
  <c r="Q746" i="3"/>
  <c r="R746" i="3"/>
  <c r="B747" i="3"/>
  <c r="C747" i="3"/>
  <c r="S747" i="3" s="1"/>
  <c r="D747" i="3"/>
  <c r="I747" i="3"/>
  <c r="K747" i="3"/>
  <c r="J747" i="3" s="1"/>
  <c r="L747" i="3"/>
  <c r="M747" i="3"/>
  <c r="P747" i="3" s="1"/>
  <c r="N747" i="3"/>
  <c r="O747" i="3" s="1"/>
  <c r="Q747" i="3"/>
  <c r="R747" i="3"/>
  <c r="B748" i="3"/>
  <c r="C748" i="3"/>
  <c r="S748" i="3" s="1"/>
  <c r="D748" i="3"/>
  <c r="I748" i="3"/>
  <c r="K748" i="3"/>
  <c r="J748" i="3" s="1"/>
  <c r="L748" i="3"/>
  <c r="M748" i="3"/>
  <c r="P748" i="3" s="1"/>
  <c r="N748" i="3"/>
  <c r="O748" i="3" s="1"/>
  <c r="Q748" i="3"/>
  <c r="R748" i="3"/>
  <c r="B749" i="3"/>
  <c r="C749" i="3"/>
  <c r="S749" i="3" s="1"/>
  <c r="D749" i="3"/>
  <c r="H749" i="3"/>
  <c r="I749" i="3" s="1"/>
  <c r="K749" i="3"/>
  <c r="L749" i="3"/>
  <c r="M749" i="3"/>
  <c r="P749" i="3" s="1"/>
  <c r="N749" i="3"/>
  <c r="O749" i="3" s="1"/>
  <c r="Q749" i="3"/>
  <c r="R749" i="3"/>
  <c r="B750" i="3"/>
  <c r="C750" i="3"/>
  <c r="S750" i="3" s="1"/>
  <c r="D750" i="3"/>
  <c r="I750" i="3"/>
  <c r="K750" i="3"/>
  <c r="J750" i="3" s="1"/>
  <c r="L750" i="3"/>
  <c r="M750" i="3"/>
  <c r="P750" i="3" s="1"/>
  <c r="N750" i="3"/>
  <c r="O750" i="3" s="1"/>
  <c r="Q750" i="3"/>
  <c r="R750" i="3"/>
  <c r="B751" i="3"/>
  <c r="C751" i="3"/>
  <c r="S751" i="3" s="1"/>
  <c r="D751" i="3"/>
  <c r="H751" i="3"/>
  <c r="K751" i="3"/>
  <c r="L751" i="3"/>
  <c r="M751" i="3"/>
  <c r="P751" i="3" s="1"/>
  <c r="N751" i="3"/>
  <c r="O751" i="3" s="1"/>
  <c r="Q751" i="3"/>
  <c r="R751" i="3"/>
  <c r="B752" i="3"/>
  <c r="C752" i="3"/>
  <c r="S752" i="3" s="1"/>
  <c r="D752" i="3"/>
  <c r="I752" i="3"/>
  <c r="K752" i="3"/>
  <c r="J752" i="3" s="1"/>
  <c r="L752" i="3"/>
  <c r="M752" i="3"/>
  <c r="P752" i="3" s="1"/>
  <c r="N752" i="3"/>
  <c r="O752" i="3" s="1"/>
  <c r="Q752" i="3"/>
  <c r="R752" i="3"/>
  <c r="B753" i="3"/>
  <c r="C753" i="3"/>
  <c r="S753" i="3" s="1"/>
  <c r="D753" i="3"/>
  <c r="I753" i="3"/>
  <c r="K753" i="3"/>
  <c r="J753" i="3" s="1"/>
  <c r="L753" i="3"/>
  <c r="M753" i="3"/>
  <c r="P753" i="3" s="1"/>
  <c r="N753" i="3"/>
  <c r="O753" i="3" s="1"/>
  <c r="Q753" i="3"/>
  <c r="R753" i="3"/>
  <c r="B754" i="3"/>
  <c r="C754" i="3"/>
  <c r="S754" i="3" s="1"/>
  <c r="D754" i="3"/>
  <c r="I754" i="3"/>
  <c r="K754" i="3"/>
  <c r="J754" i="3" s="1"/>
  <c r="L754" i="3"/>
  <c r="M754" i="3"/>
  <c r="P754" i="3" s="1"/>
  <c r="N754" i="3"/>
  <c r="O754" i="3" s="1"/>
  <c r="Q754" i="3"/>
  <c r="R754" i="3"/>
  <c r="B755" i="3"/>
  <c r="C755" i="3"/>
  <c r="S755" i="3" s="1"/>
  <c r="D755" i="3"/>
  <c r="I755" i="3"/>
  <c r="K755" i="3"/>
  <c r="J755" i="3" s="1"/>
  <c r="L755" i="3"/>
  <c r="M755" i="3"/>
  <c r="P755" i="3" s="1"/>
  <c r="N755" i="3"/>
  <c r="O755" i="3" s="1"/>
  <c r="Q755" i="3"/>
  <c r="R755" i="3"/>
  <c r="B756" i="3"/>
  <c r="C756" i="3"/>
  <c r="S756" i="3" s="1"/>
  <c r="D756" i="3"/>
  <c r="H756" i="3"/>
  <c r="I756" i="3" s="1"/>
  <c r="K756" i="3"/>
  <c r="L756" i="3"/>
  <c r="M756" i="3"/>
  <c r="P756" i="3" s="1"/>
  <c r="N756" i="3"/>
  <c r="O756" i="3" s="1"/>
  <c r="Q756" i="3"/>
  <c r="R756" i="3"/>
  <c r="B757" i="3"/>
  <c r="C757" i="3"/>
  <c r="S757" i="3" s="1"/>
  <c r="D757" i="3"/>
  <c r="I757" i="3"/>
  <c r="K757" i="3"/>
  <c r="J757" i="3" s="1"/>
  <c r="L757" i="3"/>
  <c r="M757" i="3"/>
  <c r="P757" i="3" s="1"/>
  <c r="N757" i="3"/>
  <c r="O757" i="3" s="1"/>
  <c r="Q757" i="3"/>
  <c r="R757" i="3"/>
  <c r="B758" i="3"/>
  <c r="C758" i="3"/>
  <c r="S758" i="3" s="1"/>
  <c r="D758" i="3"/>
  <c r="I758" i="3"/>
  <c r="K758" i="3"/>
  <c r="J758" i="3" s="1"/>
  <c r="L758" i="3"/>
  <c r="M758" i="3"/>
  <c r="P758" i="3" s="1"/>
  <c r="N758" i="3"/>
  <c r="O758" i="3" s="1"/>
  <c r="Q758" i="3"/>
  <c r="R758" i="3"/>
  <c r="B759" i="3"/>
  <c r="C759" i="3"/>
  <c r="S759" i="3" s="1"/>
  <c r="D759" i="3"/>
  <c r="I759" i="3"/>
  <c r="K759" i="3"/>
  <c r="J759" i="3" s="1"/>
  <c r="L759" i="3"/>
  <c r="M759" i="3"/>
  <c r="P759" i="3" s="1"/>
  <c r="N759" i="3"/>
  <c r="O759" i="3" s="1"/>
  <c r="Q759" i="3"/>
  <c r="R759" i="3"/>
  <c r="B760" i="3"/>
  <c r="C760" i="3"/>
  <c r="S760" i="3" s="1"/>
  <c r="D760" i="3"/>
  <c r="I760" i="3"/>
  <c r="K760" i="3"/>
  <c r="J760" i="3" s="1"/>
  <c r="L760" i="3"/>
  <c r="M760" i="3"/>
  <c r="P760" i="3" s="1"/>
  <c r="N760" i="3"/>
  <c r="O760" i="3" s="1"/>
  <c r="Q760" i="3"/>
  <c r="R760" i="3"/>
  <c r="B761" i="3"/>
  <c r="C761" i="3"/>
  <c r="S761" i="3" s="1"/>
  <c r="D761" i="3"/>
  <c r="I761" i="3"/>
  <c r="K761" i="3"/>
  <c r="J761" i="3" s="1"/>
  <c r="L761" i="3"/>
  <c r="M761" i="3"/>
  <c r="P761" i="3" s="1"/>
  <c r="N761" i="3"/>
  <c r="O761" i="3" s="1"/>
  <c r="Q761" i="3"/>
  <c r="R761" i="3"/>
  <c r="B762" i="3"/>
  <c r="C762" i="3"/>
  <c r="S762" i="3" s="1"/>
  <c r="D762" i="3"/>
  <c r="I762" i="3"/>
  <c r="K762" i="3"/>
  <c r="J762" i="3" s="1"/>
  <c r="L762" i="3"/>
  <c r="M762" i="3"/>
  <c r="P762" i="3" s="1"/>
  <c r="N762" i="3"/>
  <c r="O762" i="3" s="1"/>
  <c r="Q762" i="3"/>
  <c r="R762" i="3"/>
  <c r="B763" i="3"/>
  <c r="C763" i="3"/>
  <c r="S763" i="3" s="1"/>
  <c r="D763" i="3"/>
  <c r="I763" i="3"/>
  <c r="K763" i="3"/>
  <c r="J763" i="3" s="1"/>
  <c r="L763" i="3"/>
  <c r="M763" i="3"/>
  <c r="P763" i="3" s="1"/>
  <c r="N763" i="3"/>
  <c r="O763" i="3" s="1"/>
  <c r="Q763" i="3"/>
  <c r="R763" i="3"/>
  <c r="B764" i="3"/>
  <c r="C764" i="3"/>
  <c r="S764" i="3" s="1"/>
  <c r="D764" i="3"/>
  <c r="I764" i="3"/>
  <c r="K764" i="3"/>
  <c r="J764" i="3" s="1"/>
  <c r="L764" i="3"/>
  <c r="M764" i="3"/>
  <c r="P764" i="3" s="1"/>
  <c r="N764" i="3"/>
  <c r="O764" i="3" s="1"/>
  <c r="Q764" i="3"/>
  <c r="R764" i="3"/>
  <c r="B765" i="3"/>
  <c r="C765" i="3"/>
  <c r="S765" i="3" s="1"/>
  <c r="D765" i="3"/>
  <c r="I765" i="3"/>
  <c r="K765" i="3"/>
  <c r="J765" i="3" s="1"/>
  <c r="L765" i="3"/>
  <c r="M765" i="3"/>
  <c r="P765" i="3" s="1"/>
  <c r="N765" i="3"/>
  <c r="O765" i="3" s="1"/>
  <c r="Q765" i="3"/>
  <c r="R765" i="3"/>
  <c r="B766" i="3"/>
  <c r="C766" i="3"/>
  <c r="S766" i="3" s="1"/>
  <c r="D766" i="3"/>
  <c r="I766" i="3"/>
  <c r="K766" i="3"/>
  <c r="J766" i="3" s="1"/>
  <c r="L766" i="3"/>
  <c r="M766" i="3"/>
  <c r="P766" i="3" s="1"/>
  <c r="N766" i="3"/>
  <c r="O766" i="3" s="1"/>
  <c r="Q766" i="3"/>
  <c r="R766" i="3"/>
  <c r="B767" i="3"/>
  <c r="C767" i="3"/>
  <c r="S767" i="3" s="1"/>
  <c r="D767" i="3"/>
  <c r="I767" i="3"/>
  <c r="K767" i="3"/>
  <c r="J767" i="3" s="1"/>
  <c r="L767" i="3"/>
  <c r="M767" i="3"/>
  <c r="P767" i="3" s="1"/>
  <c r="N767" i="3"/>
  <c r="O767" i="3" s="1"/>
  <c r="Q767" i="3"/>
  <c r="R767" i="3"/>
  <c r="B768" i="3"/>
  <c r="C768" i="3"/>
  <c r="S768" i="3" s="1"/>
  <c r="D768" i="3"/>
  <c r="H768" i="3"/>
  <c r="I768" i="3" s="1"/>
  <c r="K768" i="3"/>
  <c r="L768" i="3"/>
  <c r="M768" i="3"/>
  <c r="P768" i="3" s="1"/>
  <c r="N768" i="3"/>
  <c r="O768" i="3" s="1"/>
  <c r="Q768" i="3"/>
  <c r="R768" i="3"/>
  <c r="B769" i="3"/>
  <c r="C769" i="3"/>
  <c r="S769" i="3" s="1"/>
  <c r="D769" i="3"/>
  <c r="I769" i="3"/>
  <c r="K769" i="3"/>
  <c r="J769" i="3" s="1"/>
  <c r="L769" i="3"/>
  <c r="M769" i="3"/>
  <c r="P769" i="3" s="1"/>
  <c r="N769" i="3"/>
  <c r="O769" i="3" s="1"/>
  <c r="Q769" i="3"/>
  <c r="R769" i="3"/>
  <c r="B770" i="3"/>
  <c r="C770" i="3"/>
  <c r="S770" i="3" s="1"/>
  <c r="D770" i="3"/>
  <c r="I770" i="3"/>
  <c r="K770" i="3"/>
  <c r="J770" i="3" s="1"/>
  <c r="L770" i="3"/>
  <c r="M770" i="3"/>
  <c r="P770" i="3" s="1"/>
  <c r="N770" i="3"/>
  <c r="O770" i="3" s="1"/>
  <c r="Q770" i="3"/>
  <c r="R770" i="3"/>
  <c r="B771" i="3"/>
  <c r="C771" i="3"/>
  <c r="S771" i="3" s="1"/>
  <c r="D771" i="3"/>
  <c r="I771" i="3"/>
  <c r="K771" i="3"/>
  <c r="J771" i="3" s="1"/>
  <c r="L771" i="3"/>
  <c r="M771" i="3"/>
  <c r="P771" i="3" s="1"/>
  <c r="N771" i="3"/>
  <c r="O771" i="3" s="1"/>
  <c r="Q771" i="3"/>
  <c r="R771" i="3"/>
  <c r="B772" i="3"/>
  <c r="C772" i="3"/>
  <c r="S772" i="3" s="1"/>
  <c r="D772" i="3"/>
  <c r="I772" i="3"/>
  <c r="K772" i="3"/>
  <c r="J772" i="3" s="1"/>
  <c r="L772" i="3"/>
  <c r="M772" i="3"/>
  <c r="P772" i="3" s="1"/>
  <c r="N772" i="3"/>
  <c r="O772" i="3" s="1"/>
  <c r="Q772" i="3"/>
  <c r="R772" i="3"/>
  <c r="B773" i="3"/>
  <c r="C773" i="3"/>
  <c r="S773" i="3" s="1"/>
  <c r="D773" i="3"/>
  <c r="I773" i="3"/>
  <c r="K773" i="3"/>
  <c r="J773" i="3" s="1"/>
  <c r="L773" i="3"/>
  <c r="M773" i="3"/>
  <c r="P773" i="3" s="1"/>
  <c r="N773" i="3"/>
  <c r="O773" i="3" s="1"/>
  <c r="Q773" i="3"/>
  <c r="R773" i="3"/>
  <c r="B774" i="3"/>
  <c r="C774" i="3"/>
  <c r="S774" i="3" s="1"/>
  <c r="D774" i="3"/>
  <c r="I774" i="3"/>
  <c r="K774" i="3"/>
  <c r="J774" i="3" s="1"/>
  <c r="L774" i="3"/>
  <c r="M774" i="3"/>
  <c r="P774" i="3" s="1"/>
  <c r="N774" i="3"/>
  <c r="O774" i="3" s="1"/>
  <c r="Q774" i="3"/>
  <c r="R774" i="3"/>
  <c r="B775" i="3"/>
  <c r="C775" i="3"/>
  <c r="S775" i="3" s="1"/>
  <c r="D775" i="3"/>
  <c r="I775" i="3"/>
  <c r="K775" i="3"/>
  <c r="J775" i="3" s="1"/>
  <c r="L775" i="3"/>
  <c r="M775" i="3"/>
  <c r="P775" i="3" s="1"/>
  <c r="N775" i="3"/>
  <c r="O775" i="3" s="1"/>
  <c r="Q775" i="3"/>
  <c r="R775" i="3"/>
  <c r="B776" i="3"/>
  <c r="C776" i="3"/>
  <c r="S776" i="3" s="1"/>
  <c r="D776" i="3"/>
  <c r="I776" i="3"/>
  <c r="K776" i="3"/>
  <c r="J776" i="3" s="1"/>
  <c r="L776" i="3"/>
  <c r="M776" i="3"/>
  <c r="P776" i="3" s="1"/>
  <c r="N776" i="3"/>
  <c r="O776" i="3" s="1"/>
  <c r="Q776" i="3"/>
  <c r="R776" i="3"/>
  <c r="B777" i="3"/>
  <c r="C777" i="3"/>
  <c r="S777" i="3" s="1"/>
  <c r="D777" i="3"/>
  <c r="I777" i="3"/>
  <c r="K777" i="3"/>
  <c r="J777" i="3" s="1"/>
  <c r="L777" i="3"/>
  <c r="M777" i="3"/>
  <c r="P777" i="3" s="1"/>
  <c r="N777" i="3"/>
  <c r="O777" i="3" s="1"/>
  <c r="Q777" i="3"/>
  <c r="R777" i="3"/>
  <c r="B778" i="3"/>
  <c r="C778" i="3"/>
  <c r="S778" i="3" s="1"/>
  <c r="D778" i="3"/>
  <c r="I778" i="3"/>
  <c r="K778" i="3"/>
  <c r="J778" i="3" s="1"/>
  <c r="L778" i="3"/>
  <c r="M778" i="3"/>
  <c r="P778" i="3" s="1"/>
  <c r="N778" i="3"/>
  <c r="O778" i="3" s="1"/>
  <c r="Q778" i="3"/>
  <c r="R778" i="3"/>
  <c r="B779" i="3"/>
  <c r="C779" i="3"/>
  <c r="S779" i="3" s="1"/>
  <c r="D779" i="3"/>
  <c r="I779" i="3"/>
  <c r="K779" i="3"/>
  <c r="J779" i="3" s="1"/>
  <c r="L779" i="3"/>
  <c r="M779" i="3"/>
  <c r="P779" i="3" s="1"/>
  <c r="N779" i="3"/>
  <c r="O779" i="3" s="1"/>
  <c r="Q779" i="3"/>
  <c r="R779" i="3"/>
  <c r="B780" i="3"/>
  <c r="C780" i="3"/>
  <c r="S780" i="3" s="1"/>
  <c r="D780" i="3"/>
  <c r="I780" i="3"/>
  <c r="K780" i="3"/>
  <c r="J780" i="3" s="1"/>
  <c r="L780" i="3"/>
  <c r="M780" i="3"/>
  <c r="P780" i="3" s="1"/>
  <c r="N780" i="3"/>
  <c r="O780" i="3" s="1"/>
  <c r="Q780" i="3"/>
  <c r="R780" i="3"/>
  <c r="B781" i="3"/>
  <c r="C781" i="3"/>
  <c r="S781" i="3" s="1"/>
  <c r="D781" i="3"/>
  <c r="I781" i="3"/>
  <c r="K781" i="3"/>
  <c r="J781" i="3" s="1"/>
  <c r="L781" i="3"/>
  <c r="M781" i="3"/>
  <c r="P781" i="3" s="1"/>
  <c r="N781" i="3"/>
  <c r="O781" i="3" s="1"/>
  <c r="Q781" i="3"/>
  <c r="R781" i="3"/>
  <c r="B782" i="3"/>
  <c r="C782" i="3"/>
  <c r="S782" i="3" s="1"/>
  <c r="D782" i="3"/>
  <c r="I782" i="3"/>
  <c r="K782" i="3"/>
  <c r="J782" i="3" s="1"/>
  <c r="L782" i="3"/>
  <c r="M782" i="3"/>
  <c r="P782" i="3" s="1"/>
  <c r="N782" i="3"/>
  <c r="O782" i="3" s="1"/>
  <c r="Q782" i="3"/>
  <c r="R782" i="3"/>
  <c r="B783" i="3"/>
  <c r="C783" i="3"/>
  <c r="S783" i="3" s="1"/>
  <c r="D783" i="3"/>
  <c r="I783" i="3"/>
  <c r="K783" i="3"/>
  <c r="J783" i="3" s="1"/>
  <c r="L783" i="3"/>
  <c r="M783" i="3"/>
  <c r="P783" i="3" s="1"/>
  <c r="N783" i="3"/>
  <c r="O783" i="3" s="1"/>
  <c r="Q783" i="3"/>
  <c r="R783" i="3"/>
  <c r="B784" i="3"/>
  <c r="C784" i="3"/>
  <c r="S784" i="3" s="1"/>
  <c r="D784" i="3"/>
  <c r="I784" i="3"/>
  <c r="K784" i="3"/>
  <c r="J784" i="3" s="1"/>
  <c r="L784" i="3"/>
  <c r="M784" i="3"/>
  <c r="P784" i="3" s="1"/>
  <c r="N784" i="3"/>
  <c r="O784" i="3" s="1"/>
  <c r="Q784" i="3"/>
  <c r="R784" i="3"/>
  <c r="B785" i="3"/>
  <c r="C785" i="3"/>
  <c r="S785" i="3" s="1"/>
  <c r="D785" i="3"/>
  <c r="I785" i="3"/>
  <c r="K785" i="3"/>
  <c r="J785" i="3" s="1"/>
  <c r="L785" i="3"/>
  <c r="M785" i="3"/>
  <c r="P785" i="3" s="1"/>
  <c r="N785" i="3"/>
  <c r="O785" i="3" s="1"/>
  <c r="Q785" i="3"/>
  <c r="R785" i="3"/>
  <c r="B786" i="3"/>
  <c r="C786" i="3"/>
  <c r="S786" i="3" s="1"/>
  <c r="D786" i="3"/>
  <c r="I786" i="3"/>
  <c r="K786" i="3"/>
  <c r="J786" i="3" s="1"/>
  <c r="L786" i="3"/>
  <c r="M786" i="3"/>
  <c r="P786" i="3" s="1"/>
  <c r="N786" i="3"/>
  <c r="O786" i="3" s="1"/>
  <c r="Q786" i="3"/>
  <c r="R786" i="3"/>
  <c r="B787" i="3"/>
  <c r="C787" i="3"/>
  <c r="S787" i="3" s="1"/>
  <c r="D787" i="3"/>
  <c r="H787" i="3"/>
  <c r="I787" i="3" s="1"/>
  <c r="K787" i="3"/>
  <c r="L787" i="3"/>
  <c r="M787" i="3"/>
  <c r="P787" i="3" s="1"/>
  <c r="N787" i="3"/>
  <c r="O787" i="3" s="1"/>
  <c r="Q787" i="3"/>
  <c r="R787" i="3"/>
  <c r="B788" i="3"/>
  <c r="C788" i="3"/>
  <c r="S788" i="3" s="1"/>
  <c r="D788" i="3"/>
  <c r="I788" i="3"/>
  <c r="K788" i="3"/>
  <c r="J788" i="3" s="1"/>
  <c r="L788" i="3"/>
  <c r="M788" i="3"/>
  <c r="P788" i="3" s="1"/>
  <c r="N788" i="3"/>
  <c r="O788" i="3" s="1"/>
  <c r="Q788" i="3"/>
  <c r="R788" i="3"/>
  <c r="B789" i="3"/>
  <c r="C789" i="3"/>
  <c r="S789" i="3" s="1"/>
  <c r="D789" i="3"/>
  <c r="I789" i="3"/>
  <c r="K789" i="3"/>
  <c r="J789" i="3" s="1"/>
  <c r="L789" i="3"/>
  <c r="M789" i="3"/>
  <c r="P789" i="3" s="1"/>
  <c r="N789" i="3"/>
  <c r="O789" i="3" s="1"/>
  <c r="Q789" i="3"/>
  <c r="R789" i="3"/>
  <c r="B790" i="3"/>
  <c r="S790" i="3"/>
  <c r="D790" i="3"/>
  <c r="I790" i="3"/>
  <c r="K790" i="3"/>
  <c r="J790" i="3" s="1"/>
  <c r="L790" i="3"/>
  <c r="M790" i="3"/>
  <c r="P790" i="3" s="1"/>
  <c r="N790" i="3"/>
  <c r="O790" i="3" s="1"/>
  <c r="Q790" i="3"/>
  <c r="R790" i="3"/>
  <c r="B791" i="3"/>
  <c r="C791" i="3"/>
  <c r="S791" i="3" s="1"/>
  <c r="D791" i="3"/>
  <c r="I791" i="3"/>
  <c r="K791" i="3"/>
  <c r="J791" i="3" s="1"/>
  <c r="L791" i="3"/>
  <c r="M791" i="3"/>
  <c r="P791" i="3" s="1"/>
  <c r="N791" i="3"/>
  <c r="O791" i="3" s="1"/>
  <c r="Q791" i="3"/>
  <c r="R791" i="3"/>
  <c r="B792" i="3"/>
  <c r="C792" i="3"/>
  <c r="S792" i="3" s="1"/>
  <c r="D792" i="3"/>
  <c r="H792" i="3"/>
  <c r="K792" i="3"/>
  <c r="L792" i="3"/>
  <c r="M792" i="3"/>
  <c r="P792" i="3" s="1"/>
  <c r="N792" i="3"/>
  <c r="O792" i="3" s="1"/>
  <c r="Q792" i="3"/>
  <c r="R792" i="3"/>
  <c r="B793" i="3"/>
  <c r="C793" i="3"/>
  <c r="S793" i="3" s="1"/>
  <c r="D793" i="3"/>
  <c r="I793" i="3"/>
  <c r="K793" i="3"/>
  <c r="J793" i="3" s="1"/>
  <c r="L793" i="3"/>
  <c r="M793" i="3"/>
  <c r="P793" i="3" s="1"/>
  <c r="N793" i="3"/>
  <c r="O793" i="3" s="1"/>
  <c r="Q793" i="3"/>
  <c r="R793" i="3"/>
  <c r="B794" i="3"/>
  <c r="C794" i="3"/>
  <c r="S794" i="3" s="1"/>
  <c r="D794" i="3"/>
  <c r="H794" i="3"/>
  <c r="I794" i="3" s="1"/>
  <c r="K794" i="3"/>
  <c r="L794" i="3"/>
  <c r="M794" i="3"/>
  <c r="P794" i="3" s="1"/>
  <c r="N794" i="3"/>
  <c r="O794" i="3" s="1"/>
  <c r="Q794" i="3"/>
  <c r="R794" i="3"/>
  <c r="B795" i="3"/>
  <c r="C795" i="3"/>
  <c r="S795" i="3" s="1"/>
  <c r="D795" i="3"/>
  <c r="I795" i="3"/>
  <c r="K795" i="3"/>
  <c r="J795" i="3" s="1"/>
  <c r="L795" i="3"/>
  <c r="M795" i="3"/>
  <c r="P795" i="3" s="1"/>
  <c r="N795" i="3"/>
  <c r="O795" i="3" s="1"/>
  <c r="Q795" i="3"/>
  <c r="R795" i="3"/>
  <c r="B796" i="3"/>
  <c r="C796" i="3"/>
  <c r="S796" i="3" s="1"/>
  <c r="D796" i="3"/>
  <c r="I796" i="3"/>
  <c r="K796" i="3"/>
  <c r="J796" i="3" s="1"/>
  <c r="L796" i="3"/>
  <c r="M796" i="3"/>
  <c r="P796" i="3" s="1"/>
  <c r="N796" i="3"/>
  <c r="O796" i="3" s="1"/>
  <c r="Q796" i="3"/>
  <c r="R796" i="3"/>
  <c r="B797" i="3"/>
  <c r="C797" i="3"/>
  <c r="S797" i="3" s="1"/>
  <c r="D797" i="3"/>
  <c r="I797" i="3"/>
  <c r="K797" i="3"/>
  <c r="J797" i="3" s="1"/>
  <c r="L797" i="3"/>
  <c r="M797" i="3"/>
  <c r="P797" i="3" s="1"/>
  <c r="N797" i="3"/>
  <c r="O797" i="3" s="1"/>
  <c r="Q797" i="3"/>
  <c r="R797" i="3"/>
  <c r="B798" i="3"/>
  <c r="C798" i="3"/>
  <c r="S798" i="3" s="1"/>
  <c r="D798" i="3"/>
  <c r="I798" i="3"/>
  <c r="K798" i="3"/>
  <c r="J798" i="3" s="1"/>
  <c r="L798" i="3"/>
  <c r="M798" i="3"/>
  <c r="P798" i="3" s="1"/>
  <c r="N798" i="3"/>
  <c r="O798" i="3" s="1"/>
  <c r="Q798" i="3"/>
  <c r="R798" i="3"/>
  <c r="B799" i="3"/>
  <c r="C799" i="3"/>
  <c r="S799" i="3" s="1"/>
  <c r="D799" i="3"/>
  <c r="I799" i="3"/>
  <c r="K799" i="3"/>
  <c r="J799" i="3" s="1"/>
  <c r="L799" i="3"/>
  <c r="M799" i="3"/>
  <c r="P799" i="3" s="1"/>
  <c r="N799" i="3"/>
  <c r="O799" i="3" s="1"/>
  <c r="Q799" i="3"/>
  <c r="R799" i="3"/>
  <c r="B800" i="3"/>
  <c r="C800" i="3"/>
  <c r="S800" i="3" s="1"/>
  <c r="D800" i="3"/>
  <c r="H800" i="3"/>
  <c r="I800" i="3" s="1"/>
  <c r="K800" i="3"/>
  <c r="L800" i="3"/>
  <c r="M800" i="3"/>
  <c r="P800" i="3" s="1"/>
  <c r="N800" i="3"/>
  <c r="O800" i="3" s="1"/>
  <c r="Q800" i="3"/>
  <c r="R800" i="3"/>
  <c r="B801" i="3"/>
  <c r="C801" i="3"/>
  <c r="S801" i="3" s="1"/>
  <c r="D801" i="3"/>
  <c r="I801" i="3"/>
  <c r="K801" i="3"/>
  <c r="J801" i="3" s="1"/>
  <c r="L801" i="3"/>
  <c r="M801" i="3"/>
  <c r="P801" i="3" s="1"/>
  <c r="N801" i="3"/>
  <c r="O801" i="3" s="1"/>
  <c r="Q801" i="3"/>
  <c r="R801" i="3"/>
  <c r="B802" i="3"/>
  <c r="C802" i="3"/>
  <c r="S802" i="3" s="1"/>
  <c r="D802" i="3"/>
  <c r="H802" i="3"/>
  <c r="I802" i="3" s="1"/>
  <c r="K802" i="3"/>
  <c r="L802" i="3"/>
  <c r="M802" i="3"/>
  <c r="P802" i="3" s="1"/>
  <c r="N802" i="3"/>
  <c r="O802" i="3" s="1"/>
  <c r="Q802" i="3"/>
  <c r="R802" i="3"/>
  <c r="B803" i="3"/>
  <c r="C803" i="3"/>
  <c r="S803" i="3" s="1"/>
  <c r="D803" i="3"/>
  <c r="I803" i="3"/>
  <c r="K803" i="3"/>
  <c r="J803" i="3" s="1"/>
  <c r="L803" i="3"/>
  <c r="M803" i="3"/>
  <c r="P803" i="3" s="1"/>
  <c r="N803" i="3"/>
  <c r="O803" i="3" s="1"/>
  <c r="Q803" i="3"/>
  <c r="R803" i="3"/>
  <c r="B804" i="3"/>
  <c r="C804" i="3"/>
  <c r="S804" i="3" s="1"/>
  <c r="D804" i="3"/>
  <c r="H804" i="3"/>
  <c r="I804" i="3" s="1"/>
  <c r="K804" i="3"/>
  <c r="L804" i="3"/>
  <c r="M804" i="3"/>
  <c r="P804" i="3" s="1"/>
  <c r="N804" i="3"/>
  <c r="O804" i="3" s="1"/>
  <c r="Q804" i="3"/>
  <c r="R804" i="3"/>
  <c r="B805" i="3"/>
  <c r="C805" i="3"/>
  <c r="S805" i="3" s="1"/>
  <c r="D805" i="3"/>
  <c r="I805" i="3"/>
  <c r="K805" i="3"/>
  <c r="J805" i="3" s="1"/>
  <c r="L805" i="3"/>
  <c r="M805" i="3"/>
  <c r="P805" i="3" s="1"/>
  <c r="N805" i="3"/>
  <c r="O805" i="3" s="1"/>
  <c r="Q805" i="3"/>
  <c r="R805" i="3"/>
  <c r="B806" i="3"/>
  <c r="C806" i="3"/>
  <c r="S806" i="3" s="1"/>
  <c r="D806" i="3"/>
  <c r="I806" i="3"/>
  <c r="K806" i="3"/>
  <c r="J806" i="3" s="1"/>
  <c r="L806" i="3"/>
  <c r="M806" i="3"/>
  <c r="P806" i="3" s="1"/>
  <c r="N806" i="3"/>
  <c r="O806" i="3" s="1"/>
  <c r="Q806" i="3"/>
  <c r="R806" i="3"/>
  <c r="B807" i="3"/>
  <c r="C807" i="3"/>
  <c r="S807" i="3" s="1"/>
  <c r="D807" i="3"/>
  <c r="I807" i="3"/>
  <c r="K807" i="3"/>
  <c r="J807" i="3" s="1"/>
  <c r="L807" i="3"/>
  <c r="M807" i="3"/>
  <c r="P807" i="3" s="1"/>
  <c r="N807" i="3"/>
  <c r="O807" i="3" s="1"/>
  <c r="Q807" i="3"/>
  <c r="R807" i="3"/>
  <c r="B808" i="3"/>
  <c r="C808" i="3"/>
  <c r="S808" i="3" s="1"/>
  <c r="D808" i="3"/>
  <c r="I808" i="3"/>
  <c r="K808" i="3"/>
  <c r="J808" i="3" s="1"/>
  <c r="L808" i="3"/>
  <c r="M808" i="3"/>
  <c r="P808" i="3" s="1"/>
  <c r="N808" i="3"/>
  <c r="O808" i="3" s="1"/>
  <c r="Q808" i="3"/>
  <c r="R808" i="3"/>
  <c r="B809" i="3"/>
  <c r="C809" i="3"/>
  <c r="S809" i="3" s="1"/>
  <c r="D809" i="3"/>
  <c r="I809" i="3"/>
  <c r="K809" i="3"/>
  <c r="J809" i="3" s="1"/>
  <c r="L809" i="3"/>
  <c r="M809" i="3"/>
  <c r="P809" i="3" s="1"/>
  <c r="N809" i="3"/>
  <c r="O809" i="3" s="1"/>
  <c r="Q809" i="3"/>
  <c r="R809" i="3"/>
  <c r="B810" i="3"/>
  <c r="C810" i="3"/>
  <c r="S810" i="3" s="1"/>
  <c r="D810" i="3"/>
  <c r="I810" i="3"/>
  <c r="K810" i="3"/>
  <c r="J810" i="3" s="1"/>
  <c r="L810" i="3"/>
  <c r="M810" i="3"/>
  <c r="P810" i="3" s="1"/>
  <c r="N810" i="3"/>
  <c r="O810" i="3" s="1"/>
  <c r="Q810" i="3"/>
  <c r="R810" i="3"/>
  <c r="B811" i="3"/>
  <c r="C811" i="3"/>
  <c r="S811" i="3" s="1"/>
  <c r="D811" i="3"/>
  <c r="I811" i="3"/>
  <c r="K811" i="3"/>
  <c r="J811" i="3" s="1"/>
  <c r="L811" i="3"/>
  <c r="M811" i="3"/>
  <c r="P811" i="3" s="1"/>
  <c r="N811" i="3"/>
  <c r="O811" i="3" s="1"/>
  <c r="Q811" i="3"/>
  <c r="R811" i="3"/>
  <c r="B812" i="3"/>
  <c r="C812" i="3"/>
  <c r="S812" i="3" s="1"/>
  <c r="D812" i="3"/>
  <c r="H812" i="3"/>
  <c r="I812" i="3" s="1"/>
  <c r="K812" i="3"/>
  <c r="L812" i="3"/>
  <c r="M812" i="3"/>
  <c r="P812" i="3" s="1"/>
  <c r="N812" i="3"/>
  <c r="O812" i="3" s="1"/>
  <c r="Q812" i="3"/>
  <c r="R812" i="3"/>
  <c r="B813" i="3"/>
  <c r="C813" i="3"/>
  <c r="S813" i="3" s="1"/>
  <c r="D813" i="3"/>
  <c r="I813" i="3"/>
  <c r="K813" i="3"/>
  <c r="J813" i="3" s="1"/>
  <c r="L813" i="3"/>
  <c r="M813" i="3"/>
  <c r="P813" i="3" s="1"/>
  <c r="N813" i="3"/>
  <c r="O813" i="3" s="1"/>
  <c r="Q813" i="3"/>
  <c r="R813" i="3"/>
  <c r="B814" i="3"/>
  <c r="C814" i="3"/>
  <c r="S814" i="3" s="1"/>
  <c r="D814" i="3"/>
  <c r="I814" i="3"/>
  <c r="K814" i="3"/>
  <c r="J814" i="3" s="1"/>
  <c r="L814" i="3"/>
  <c r="M814" i="3"/>
  <c r="P814" i="3" s="1"/>
  <c r="N814" i="3"/>
  <c r="O814" i="3" s="1"/>
  <c r="Q814" i="3"/>
  <c r="R814" i="3"/>
  <c r="B815" i="3"/>
  <c r="C815" i="3"/>
  <c r="S815" i="3" s="1"/>
  <c r="D815" i="3"/>
  <c r="I815" i="3"/>
  <c r="K815" i="3"/>
  <c r="J815" i="3" s="1"/>
  <c r="L815" i="3"/>
  <c r="M815" i="3"/>
  <c r="P815" i="3" s="1"/>
  <c r="N815" i="3"/>
  <c r="O815" i="3" s="1"/>
  <c r="Q815" i="3"/>
  <c r="R815" i="3"/>
  <c r="B816" i="3"/>
  <c r="C816" i="3"/>
  <c r="S816" i="3" s="1"/>
  <c r="D816" i="3"/>
  <c r="I816" i="3"/>
  <c r="K816" i="3"/>
  <c r="J816" i="3" s="1"/>
  <c r="L816" i="3"/>
  <c r="M816" i="3"/>
  <c r="P816" i="3" s="1"/>
  <c r="N816" i="3"/>
  <c r="O816" i="3" s="1"/>
  <c r="Q816" i="3"/>
  <c r="R816" i="3"/>
  <c r="B817" i="3"/>
  <c r="C817" i="3"/>
  <c r="S817" i="3" s="1"/>
  <c r="D817" i="3"/>
  <c r="I817" i="3"/>
  <c r="K817" i="3"/>
  <c r="J817" i="3" s="1"/>
  <c r="L817" i="3"/>
  <c r="M817" i="3"/>
  <c r="P817" i="3" s="1"/>
  <c r="N817" i="3"/>
  <c r="O817" i="3" s="1"/>
  <c r="Q817" i="3"/>
  <c r="R817" i="3"/>
  <c r="B818" i="3"/>
  <c r="C818" i="3"/>
  <c r="S818" i="3" s="1"/>
  <c r="D818" i="3"/>
  <c r="H818" i="3"/>
  <c r="I818" i="3" s="1"/>
  <c r="K818" i="3"/>
  <c r="L818" i="3"/>
  <c r="M818" i="3"/>
  <c r="P818" i="3" s="1"/>
  <c r="N818" i="3"/>
  <c r="O818" i="3" s="1"/>
  <c r="Q818" i="3"/>
  <c r="R818" i="3"/>
  <c r="B819" i="3"/>
  <c r="C819" i="3"/>
  <c r="S819" i="3" s="1"/>
  <c r="D819" i="3"/>
  <c r="I819" i="3"/>
  <c r="K819" i="3"/>
  <c r="J819" i="3" s="1"/>
  <c r="L819" i="3"/>
  <c r="M819" i="3"/>
  <c r="P819" i="3" s="1"/>
  <c r="N819" i="3"/>
  <c r="O819" i="3" s="1"/>
  <c r="Q819" i="3"/>
  <c r="R819" i="3"/>
  <c r="B820" i="3"/>
  <c r="C820" i="3"/>
  <c r="S820" i="3" s="1"/>
  <c r="D820" i="3"/>
  <c r="H820" i="3"/>
  <c r="I820" i="3" s="1"/>
  <c r="K820" i="3"/>
  <c r="L820" i="3"/>
  <c r="M820" i="3"/>
  <c r="P820" i="3" s="1"/>
  <c r="N820" i="3"/>
  <c r="O820" i="3" s="1"/>
  <c r="Q820" i="3"/>
  <c r="R820" i="3"/>
  <c r="B821" i="3"/>
  <c r="C821" i="3"/>
  <c r="S821" i="3" s="1"/>
  <c r="D821" i="3"/>
  <c r="I821" i="3"/>
  <c r="K821" i="3"/>
  <c r="J821" i="3" s="1"/>
  <c r="L821" i="3"/>
  <c r="M821" i="3"/>
  <c r="P821" i="3" s="1"/>
  <c r="N821" i="3"/>
  <c r="O821" i="3" s="1"/>
  <c r="Q821" i="3"/>
  <c r="R821" i="3"/>
  <c r="B822" i="3"/>
  <c r="C822" i="3"/>
  <c r="S822" i="3" s="1"/>
  <c r="D822" i="3"/>
  <c r="I822" i="3"/>
  <c r="K822" i="3"/>
  <c r="J822" i="3" s="1"/>
  <c r="L822" i="3"/>
  <c r="M822" i="3"/>
  <c r="P822" i="3" s="1"/>
  <c r="N822" i="3"/>
  <c r="O822" i="3" s="1"/>
  <c r="Q822" i="3"/>
  <c r="R822" i="3"/>
  <c r="B823" i="3"/>
  <c r="C823" i="3"/>
  <c r="S823" i="3" s="1"/>
  <c r="D823" i="3"/>
  <c r="I823" i="3"/>
  <c r="K823" i="3"/>
  <c r="J823" i="3" s="1"/>
  <c r="L823" i="3"/>
  <c r="M823" i="3"/>
  <c r="P823" i="3" s="1"/>
  <c r="N823" i="3"/>
  <c r="O823" i="3" s="1"/>
  <c r="Q823" i="3"/>
  <c r="R823" i="3"/>
  <c r="B824" i="3"/>
  <c r="C824" i="3"/>
  <c r="S824" i="3" s="1"/>
  <c r="D824" i="3"/>
  <c r="H824" i="3"/>
  <c r="I824" i="3" s="1"/>
  <c r="K824" i="3"/>
  <c r="L824" i="3"/>
  <c r="M824" i="3"/>
  <c r="P824" i="3" s="1"/>
  <c r="N824" i="3"/>
  <c r="O824" i="3" s="1"/>
  <c r="Q824" i="3"/>
  <c r="R824" i="3"/>
  <c r="B825" i="3"/>
  <c r="C825" i="3"/>
  <c r="S825" i="3" s="1"/>
  <c r="D825" i="3"/>
  <c r="I825" i="3"/>
  <c r="K825" i="3"/>
  <c r="J825" i="3" s="1"/>
  <c r="L825" i="3"/>
  <c r="M825" i="3"/>
  <c r="P825" i="3" s="1"/>
  <c r="N825" i="3"/>
  <c r="O825" i="3" s="1"/>
  <c r="Q825" i="3"/>
  <c r="R825" i="3"/>
  <c r="B826" i="3"/>
  <c r="C826" i="3"/>
  <c r="S826" i="3" s="1"/>
  <c r="D826" i="3"/>
  <c r="I826" i="3"/>
  <c r="K826" i="3"/>
  <c r="J826" i="3" s="1"/>
  <c r="L826" i="3"/>
  <c r="M826" i="3"/>
  <c r="P826" i="3" s="1"/>
  <c r="N826" i="3"/>
  <c r="O826" i="3" s="1"/>
  <c r="Q826" i="3"/>
  <c r="R826" i="3"/>
  <c r="B827" i="3"/>
  <c r="C827" i="3"/>
  <c r="S827" i="3" s="1"/>
  <c r="D827" i="3"/>
  <c r="H827" i="3"/>
  <c r="I827" i="3" s="1"/>
  <c r="K827" i="3"/>
  <c r="L827" i="3"/>
  <c r="M827" i="3"/>
  <c r="P827" i="3" s="1"/>
  <c r="N827" i="3"/>
  <c r="O827" i="3" s="1"/>
  <c r="Q827" i="3"/>
  <c r="R827" i="3"/>
  <c r="B828" i="3"/>
  <c r="C828" i="3"/>
  <c r="S828" i="3" s="1"/>
  <c r="D828" i="3"/>
  <c r="I828" i="3"/>
  <c r="K828" i="3"/>
  <c r="J828" i="3" s="1"/>
  <c r="L828" i="3"/>
  <c r="M828" i="3"/>
  <c r="P828" i="3" s="1"/>
  <c r="N828" i="3"/>
  <c r="O828" i="3" s="1"/>
  <c r="Q828" i="3"/>
  <c r="R828" i="3"/>
  <c r="B829" i="3"/>
  <c r="C829" i="3"/>
  <c r="S829" i="3" s="1"/>
  <c r="D829" i="3"/>
  <c r="I829" i="3"/>
  <c r="K829" i="3"/>
  <c r="J829" i="3" s="1"/>
  <c r="L829" i="3"/>
  <c r="M829" i="3"/>
  <c r="P829" i="3" s="1"/>
  <c r="N829" i="3"/>
  <c r="O829" i="3" s="1"/>
  <c r="Q829" i="3"/>
  <c r="R829" i="3"/>
  <c r="B830" i="3"/>
  <c r="C830" i="3"/>
  <c r="S830" i="3" s="1"/>
  <c r="D830" i="3"/>
  <c r="H830" i="3"/>
  <c r="I830" i="3" s="1"/>
  <c r="K830" i="3"/>
  <c r="L830" i="3"/>
  <c r="M830" i="3"/>
  <c r="P830" i="3" s="1"/>
  <c r="N830" i="3"/>
  <c r="O830" i="3" s="1"/>
  <c r="Q830" i="3"/>
  <c r="R830" i="3"/>
  <c r="B831" i="3"/>
  <c r="C831" i="3"/>
  <c r="S831" i="3" s="1"/>
  <c r="D831" i="3"/>
  <c r="I831" i="3"/>
  <c r="K831" i="3"/>
  <c r="J831" i="3" s="1"/>
  <c r="L831" i="3"/>
  <c r="M831" i="3"/>
  <c r="P831" i="3" s="1"/>
  <c r="N831" i="3"/>
  <c r="O831" i="3" s="1"/>
  <c r="Q831" i="3"/>
  <c r="R831" i="3"/>
  <c r="B832" i="3"/>
  <c r="C832" i="3"/>
  <c r="S832" i="3" s="1"/>
  <c r="D832" i="3"/>
  <c r="I832" i="3"/>
  <c r="K832" i="3"/>
  <c r="J832" i="3" s="1"/>
  <c r="L832" i="3"/>
  <c r="M832" i="3"/>
  <c r="P832" i="3" s="1"/>
  <c r="N832" i="3"/>
  <c r="O832" i="3" s="1"/>
  <c r="Q832" i="3"/>
  <c r="R832" i="3"/>
  <c r="B833" i="3"/>
  <c r="C833" i="3"/>
  <c r="S833" i="3" s="1"/>
  <c r="D833" i="3"/>
  <c r="I833" i="3"/>
  <c r="K833" i="3"/>
  <c r="J833" i="3" s="1"/>
  <c r="L833" i="3"/>
  <c r="M833" i="3"/>
  <c r="P833" i="3" s="1"/>
  <c r="N833" i="3"/>
  <c r="O833" i="3" s="1"/>
  <c r="Q833" i="3"/>
  <c r="R833" i="3"/>
  <c r="B834" i="3"/>
  <c r="C834" i="3"/>
  <c r="S834" i="3" s="1"/>
  <c r="D834" i="3"/>
  <c r="I834" i="3"/>
  <c r="K834" i="3"/>
  <c r="J834" i="3" s="1"/>
  <c r="L834" i="3"/>
  <c r="M834" i="3"/>
  <c r="P834" i="3" s="1"/>
  <c r="N834" i="3"/>
  <c r="O834" i="3" s="1"/>
  <c r="Q834" i="3"/>
  <c r="R834" i="3"/>
  <c r="B835" i="3"/>
  <c r="C835" i="3"/>
  <c r="S835" i="3" s="1"/>
  <c r="D835" i="3"/>
  <c r="I835" i="3"/>
  <c r="K835" i="3"/>
  <c r="J835" i="3" s="1"/>
  <c r="L835" i="3"/>
  <c r="M835" i="3"/>
  <c r="P835" i="3" s="1"/>
  <c r="N835" i="3"/>
  <c r="O835" i="3" s="1"/>
  <c r="Q835" i="3"/>
  <c r="R835" i="3"/>
  <c r="B836" i="3"/>
  <c r="C836" i="3"/>
  <c r="S836" i="3" s="1"/>
  <c r="D836" i="3"/>
  <c r="I836" i="3"/>
  <c r="K836" i="3"/>
  <c r="J836" i="3" s="1"/>
  <c r="L836" i="3"/>
  <c r="M836" i="3"/>
  <c r="P836" i="3" s="1"/>
  <c r="N836" i="3"/>
  <c r="O836" i="3" s="1"/>
  <c r="Q836" i="3"/>
  <c r="R836" i="3"/>
  <c r="B837" i="3"/>
  <c r="C837" i="3"/>
  <c r="S837" i="3" s="1"/>
  <c r="D837" i="3"/>
  <c r="I837" i="3"/>
  <c r="K837" i="3"/>
  <c r="J837" i="3" s="1"/>
  <c r="L837" i="3"/>
  <c r="M837" i="3"/>
  <c r="P837" i="3" s="1"/>
  <c r="N837" i="3"/>
  <c r="O837" i="3" s="1"/>
  <c r="Q837" i="3"/>
  <c r="R837" i="3"/>
  <c r="B838" i="3"/>
  <c r="C838" i="3"/>
  <c r="S838" i="3" s="1"/>
  <c r="D838" i="3"/>
  <c r="H838" i="3"/>
  <c r="I838" i="3" s="1"/>
  <c r="K838" i="3"/>
  <c r="L838" i="3"/>
  <c r="M838" i="3"/>
  <c r="P838" i="3" s="1"/>
  <c r="N838" i="3"/>
  <c r="O838" i="3" s="1"/>
  <c r="Q838" i="3"/>
  <c r="R838" i="3"/>
  <c r="B839" i="3"/>
  <c r="C839" i="3"/>
  <c r="S839" i="3" s="1"/>
  <c r="D839" i="3"/>
  <c r="I839" i="3"/>
  <c r="K839" i="3"/>
  <c r="J839" i="3" s="1"/>
  <c r="L839" i="3"/>
  <c r="M839" i="3"/>
  <c r="P839" i="3" s="1"/>
  <c r="N839" i="3"/>
  <c r="O839" i="3" s="1"/>
  <c r="Q839" i="3"/>
  <c r="R839" i="3"/>
  <c r="B840" i="3"/>
  <c r="C840" i="3"/>
  <c r="S840" i="3" s="1"/>
  <c r="D840" i="3"/>
  <c r="I840" i="3"/>
  <c r="K840" i="3"/>
  <c r="J840" i="3" s="1"/>
  <c r="L840" i="3"/>
  <c r="M840" i="3"/>
  <c r="P840" i="3" s="1"/>
  <c r="N840" i="3"/>
  <c r="O840" i="3" s="1"/>
  <c r="Q840" i="3"/>
  <c r="R840" i="3"/>
  <c r="B841" i="3"/>
  <c r="C841" i="3"/>
  <c r="S841" i="3" s="1"/>
  <c r="D841" i="3"/>
  <c r="I841" i="3"/>
  <c r="K841" i="3"/>
  <c r="J841" i="3" s="1"/>
  <c r="L841" i="3"/>
  <c r="M841" i="3"/>
  <c r="P841" i="3" s="1"/>
  <c r="N841" i="3"/>
  <c r="O841" i="3" s="1"/>
  <c r="Q841" i="3"/>
  <c r="R841" i="3"/>
  <c r="B842" i="3"/>
  <c r="C842" i="3"/>
  <c r="S842" i="3" s="1"/>
  <c r="D842" i="3"/>
  <c r="H842" i="3"/>
  <c r="I842" i="3" s="1"/>
  <c r="K842" i="3"/>
  <c r="L842" i="3"/>
  <c r="M842" i="3"/>
  <c r="P842" i="3" s="1"/>
  <c r="N842" i="3"/>
  <c r="O842" i="3" s="1"/>
  <c r="Q842" i="3"/>
  <c r="R842" i="3"/>
  <c r="B843" i="3"/>
  <c r="C843" i="3"/>
  <c r="S843" i="3" s="1"/>
  <c r="D843" i="3"/>
  <c r="I843" i="3"/>
  <c r="K843" i="3"/>
  <c r="J843" i="3" s="1"/>
  <c r="L843" i="3"/>
  <c r="M843" i="3"/>
  <c r="P843" i="3" s="1"/>
  <c r="N843" i="3"/>
  <c r="O843" i="3" s="1"/>
  <c r="Q843" i="3"/>
  <c r="R843" i="3"/>
  <c r="B844" i="3"/>
  <c r="C844" i="3"/>
  <c r="S844" i="3" s="1"/>
  <c r="D844" i="3"/>
  <c r="I844" i="3"/>
  <c r="K844" i="3"/>
  <c r="J844" i="3" s="1"/>
  <c r="L844" i="3"/>
  <c r="M844" i="3"/>
  <c r="P844" i="3" s="1"/>
  <c r="N844" i="3"/>
  <c r="O844" i="3" s="1"/>
  <c r="Q844" i="3"/>
  <c r="R844" i="3"/>
  <c r="B845" i="3"/>
  <c r="C845" i="3"/>
  <c r="S845" i="3" s="1"/>
  <c r="D845" i="3"/>
  <c r="I845" i="3"/>
  <c r="K845" i="3"/>
  <c r="J845" i="3" s="1"/>
  <c r="L845" i="3"/>
  <c r="M845" i="3"/>
  <c r="P845" i="3" s="1"/>
  <c r="N845" i="3"/>
  <c r="O845" i="3" s="1"/>
  <c r="Q845" i="3"/>
  <c r="R845" i="3"/>
  <c r="B846" i="3"/>
  <c r="C846" i="3"/>
  <c r="S846" i="3" s="1"/>
  <c r="D846" i="3"/>
  <c r="I846" i="3"/>
  <c r="K846" i="3"/>
  <c r="J846" i="3" s="1"/>
  <c r="L846" i="3"/>
  <c r="M846" i="3"/>
  <c r="P846" i="3" s="1"/>
  <c r="N846" i="3"/>
  <c r="O846" i="3" s="1"/>
  <c r="Q846" i="3"/>
  <c r="R846" i="3"/>
  <c r="B847" i="3"/>
  <c r="C847" i="3"/>
  <c r="S847" i="3" s="1"/>
  <c r="D847" i="3"/>
  <c r="I847" i="3"/>
  <c r="K847" i="3"/>
  <c r="J847" i="3" s="1"/>
  <c r="L847" i="3"/>
  <c r="M847" i="3"/>
  <c r="P847" i="3" s="1"/>
  <c r="N847" i="3"/>
  <c r="O847" i="3" s="1"/>
  <c r="Q847" i="3"/>
  <c r="R847" i="3"/>
  <c r="B848" i="3"/>
  <c r="C848" i="3"/>
  <c r="S848" i="3" s="1"/>
  <c r="D848" i="3"/>
  <c r="I848" i="3"/>
  <c r="K848" i="3"/>
  <c r="J848" i="3" s="1"/>
  <c r="L848" i="3"/>
  <c r="M848" i="3"/>
  <c r="P848" i="3" s="1"/>
  <c r="N848" i="3"/>
  <c r="O848" i="3" s="1"/>
  <c r="Q848" i="3"/>
  <c r="R848" i="3"/>
  <c r="B849" i="3"/>
  <c r="C849" i="3"/>
  <c r="S849" i="3" s="1"/>
  <c r="D849" i="3"/>
  <c r="I849" i="3"/>
  <c r="K849" i="3"/>
  <c r="J849" i="3" s="1"/>
  <c r="L849" i="3"/>
  <c r="M849" i="3"/>
  <c r="P849" i="3" s="1"/>
  <c r="N849" i="3"/>
  <c r="O849" i="3" s="1"/>
  <c r="Q849" i="3"/>
  <c r="R849" i="3"/>
  <c r="B850" i="3"/>
  <c r="C850" i="3"/>
  <c r="S850" i="3" s="1"/>
  <c r="D850" i="3"/>
  <c r="I850" i="3"/>
  <c r="K850" i="3"/>
  <c r="J850" i="3" s="1"/>
  <c r="L850" i="3"/>
  <c r="M850" i="3"/>
  <c r="P850" i="3" s="1"/>
  <c r="N850" i="3"/>
  <c r="O850" i="3" s="1"/>
  <c r="Q850" i="3"/>
  <c r="R850" i="3"/>
  <c r="B851" i="3"/>
  <c r="C851" i="3"/>
  <c r="S851" i="3" s="1"/>
  <c r="D851" i="3"/>
  <c r="H851" i="3"/>
  <c r="K851" i="3"/>
  <c r="L851" i="3"/>
  <c r="M851" i="3"/>
  <c r="P851" i="3" s="1"/>
  <c r="N851" i="3"/>
  <c r="O851" i="3" s="1"/>
  <c r="Q851" i="3"/>
  <c r="R851" i="3"/>
  <c r="B852" i="3"/>
  <c r="C852" i="3"/>
  <c r="S852" i="3" s="1"/>
  <c r="D852" i="3"/>
  <c r="I852" i="3"/>
  <c r="K852" i="3"/>
  <c r="J852" i="3" s="1"/>
  <c r="L852" i="3"/>
  <c r="M852" i="3"/>
  <c r="P852" i="3" s="1"/>
  <c r="N852" i="3"/>
  <c r="O852" i="3" s="1"/>
  <c r="Q852" i="3"/>
  <c r="R852" i="3"/>
  <c r="B853" i="3"/>
  <c r="C853" i="3"/>
  <c r="S853" i="3" s="1"/>
  <c r="D853" i="3"/>
  <c r="H853" i="3"/>
  <c r="I853" i="3" s="1"/>
  <c r="K853" i="3"/>
  <c r="L853" i="3"/>
  <c r="M853" i="3"/>
  <c r="P853" i="3" s="1"/>
  <c r="N853" i="3"/>
  <c r="O853" i="3" s="1"/>
  <c r="Q853" i="3"/>
  <c r="R853" i="3"/>
  <c r="B854" i="3"/>
  <c r="C854" i="3"/>
  <c r="S854" i="3" s="1"/>
  <c r="D854" i="3"/>
  <c r="I854" i="3"/>
  <c r="K854" i="3"/>
  <c r="J854" i="3" s="1"/>
  <c r="L854" i="3"/>
  <c r="M854" i="3"/>
  <c r="P854" i="3" s="1"/>
  <c r="N854" i="3"/>
  <c r="O854" i="3" s="1"/>
  <c r="Q854" i="3"/>
  <c r="R854" i="3"/>
  <c r="B855" i="3"/>
  <c r="C855" i="3"/>
  <c r="S855" i="3" s="1"/>
  <c r="D855" i="3"/>
  <c r="I855" i="3"/>
  <c r="K855" i="3"/>
  <c r="J855" i="3" s="1"/>
  <c r="L855" i="3"/>
  <c r="M855" i="3"/>
  <c r="P855" i="3" s="1"/>
  <c r="N855" i="3"/>
  <c r="O855" i="3" s="1"/>
  <c r="Q855" i="3"/>
  <c r="R855" i="3"/>
  <c r="B856" i="3"/>
  <c r="C856" i="3"/>
  <c r="S856" i="3" s="1"/>
  <c r="D856" i="3"/>
  <c r="I856" i="3"/>
  <c r="K856" i="3"/>
  <c r="J856" i="3" s="1"/>
  <c r="L856" i="3"/>
  <c r="M856" i="3"/>
  <c r="P856" i="3" s="1"/>
  <c r="N856" i="3"/>
  <c r="O856" i="3" s="1"/>
  <c r="Q856" i="3"/>
  <c r="R856" i="3"/>
  <c r="B857" i="3"/>
  <c r="C857" i="3"/>
  <c r="S857" i="3" s="1"/>
  <c r="D857" i="3"/>
  <c r="H857" i="3"/>
  <c r="I857" i="3" s="1"/>
  <c r="K857" i="3"/>
  <c r="L857" i="3"/>
  <c r="M857" i="3"/>
  <c r="P857" i="3" s="1"/>
  <c r="N857" i="3"/>
  <c r="O857" i="3" s="1"/>
  <c r="Q857" i="3"/>
  <c r="R857" i="3"/>
  <c r="B858" i="3"/>
  <c r="C858" i="3"/>
  <c r="S858" i="3" s="1"/>
  <c r="D858" i="3"/>
  <c r="I858" i="3"/>
  <c r="K858" i="3"/>
  <c r="J858" i="3" s="1"/>
  <c r="L858" i="3"/>
  <c r="M858" i="3"/>
  <c r="P858" i="3" s="1"/>
  <c r="N858" i="3"/>
  <c r="O858" i="3" s="1"/>
  <c r="Q858" i="3"/>
  <c r="R858" i="3"/>
  <c r="B859" i="3"/>
  <c r="C859" i="3"/>
  <c r="S859" i="3" s="1"/>
  <c r="D859" i="3"/>
  <c r="I859" i="3"/>
  <c r="K859" i="3"/>
  <c r="J859" i="3" s="1"/>
  <c r="L859" i="3"/>
  <c r="M859" i="3"/>
  <c r="P859" i="3" s="1"/>
  <c r="N859" i="3"/>
  <c r="O859" i="3" s="1"/>
  <c r="Q859" i="3"/>
  <c r="R859" i="3"/>
  <c r="B860" i="3"/>
  <c r="C860" i="3"/>
  <c r="S860" i="3" s="1"/>
  <c r="D860" i="3"/>
  <c r="H860" i="3"/>
  <c r="I860" i="3" s="1"/>
  <c r="K860" i="3"/>
  <c r="L860" i="3"/>
  <c r="M860" i="3"/>
  <c r="P860" i="3" s="1"/>
  <c r="N860" i="3"/>
  <c r="O860" i="3" s="1"/>
  <c r="Q860" i="3"/>
  <c r="R860" i="3"/>
  <c r="B861" i="3"/>
  <c r="C861" i="3"/>
  <c r="S861" i="3" s="1"/>
  <c r="D861" i="3"/>
  <c r="I861" i="3"/>
  <c r="K861" i="3"/>
  <c r="J861" i="3" s="1"/>
  <c r="L861" i="3"/>
  <c r="M861" i="3"/>
  <c r="P861" i="3" s="1"/>
  <c r="N861" i="3"/>
  <c r="O861" i="3" s="1"/>
  <c r="Q861" i="3"/>
  <c r="R861" i="3"/>
  <c r="B862" i="3"/>
  <c r="C862" i="3"/>
  <c r="S862" i="3" s="1"/>
  <c r="D862" i="3"/>
  <c r="H862" i="3"/>
  <c r="I862" i="3" s="1"/>
  <c r="K862" i="3"/>
  <c r="L862" i="3"/>
  <c r="M862" i="3"/>
  <c r="P862" i="3" s="1"/>
  <c r="N862" i="3"/>
  <c r="O862" i="3" s="1"/>
  <c r="Q862" i="3"/>
  <c r="R862" i="3"/>
  <c r="B863" i="3"/>
  <c r="C863" i="3"/>
  <c r="S863" i="3" s="1"/>
  <c r="D863" i="3"/>
  <c r="I863" i="3"/>
  <c r="K863" i="3"/>
  <c r="J863" i="3" s="1"/>
  <c r="L863" i="3"/>
  <c r="M863" i="3"/>
  <c r="P863" i="3" s="1"/>
  <c r="N863" i="3"/>
  <c r="O863" i="3" s="1"/>
  <c r="Q863" i="3"/>
  <c r="R863" i="3"/>
  <c r="B864" i="3"/>
  <c r="C864" i="3"/>
  <c r="S864" i="3" s="1"/>
  <c r="D864" i="3"/>
  <c r="I864" i="3"/>
  <c r="K864" i="3"/>
  <c r="J864" i="3" s="1"/>
  <c r="L864" i="3"/>
  <c r="M864" i="3"/>
  <c r="P864" i="3" s="1"/>
  <c r="N864" i="3"/>
  <c r="O864" i="3" s="1"/>
  <c r="Q864" i="3"/>
  <c r="R864" i="3"/>
  <c r="B865" i="3"/>
  <c r="C865" i="3"/>
  <c r="S865" i="3" s="1"/>
  <c r="D865" i="3"/>
  <c r="I865" i="3"/>
  <c r="K865" i="3"/>
  <c r="J865" i="3" s="1"/>
  <c r="L865" i="3"/>
  <c r="M865" i="3"/>
  <c r="P865" i="3" s="1"/>
  <c r="N865" i="3"/>
  <c r="O865" i="3" s="1"/>
  <c r="Q865" i="3"/>
  <c r="R865" i="3"/>
  <c r="B866" i="3"/>
  <c r="C866" i="3"/>
  <c r="S866" i="3" s="1"/>
  <c r="D866" i="3"/>
  <c r="I866" i="3"/>
  <c r="K866" i="3"/>
  <c r="J866" i="3" s="1"/>
  <c r="L866" i="3"/>
  <c r="M866" i="3"/>
  <c r="P866" i="3" s="1"/>
  <c r="N866" i="3"/>
  <c r="O866" i="3" s="1"/>
  <c r="Q866" i="3"/>
  <c r="R866" i="3"/>
  <c r="B867" i="3"/>
  <c r="C867" i="3"/>
  <c r="S867" i="3" s="1"/>
  <c r="D867" i="3"/>
  <c r="H867" i="3"/>
  <c r="I867" i="3" s="1"/>
  <c r="K867" i="3"/>
  <c r="L867" i="3"/>
  <c r="M867" i="3"/>
  <c r="P867" i="3" s="1"/>
  <c r="N867" i="3"/>
  <c r="O867" i="3" s="1"/>
  <c r="Q867" i="3"/>
  <c r="R867" i="3"/>
  <c r="B868" i="3"/>
  <c r="C868" i="3"/>
  <c r="S868" i="3" s="1"/>
  <c r="D868" i="3"/>
  <c r="I868" i="3"/>
  <c r="K868" i="3"/>
  <c r="J868" i="3" s="1"/>
  <c r="L868" i="3"/>
  <c r="M868" i="3"/>
  <c r="P868" i="3" s="1"/>
  <c r="N868" i="3"/>
  <c r="O868" i="3" s="1"/>
  <c r="Q868" i="3"/>
  <c r="R868" i="3"/>
  <c r="B869" i="3"/>
  <c r="C869" i="3"/>
  <c r="S869" i="3" s="1"/>
  <c r="D869" i="3"/>
  <c r="I869" i="3"/>
  <c r="K869" i="3"/>
  <c r="J869" i="3" s="1"/>
  <c r="L869" i="3"/>
  <c r="M869" i="3"/>
  <c r="P869" i="3" s="1"/>
  <c r="N869" i="3"/>
  <c r="O869" i="3" s="1"/>
  <c r="Q869" i="3"/>
  <c r="R869" i="3"/>
  <c r="B870" i="3"/>
  <c r="C870" i="3"/>
  <c r="S870" i="3" s="1"/>
  <c r="D870" i="3"/>
  <c r="I870" i="3"/>
  <c r="K870" i="3"/>
  <c r="J870" i="3" s="1"/>
  <c r="L870" i="3"/>
  <c r="M870" i="3"/>
  <c r="P870" i="3" s="1"/>
  <c r="N870" i="3"/>
  <c r="O870" i="3" s="1"/>
  <c r="Q870" i="3"/>
  <c r="R870" i="3"/>
  <c r="B871" i="3"/>
  <c r="C871" i="3"/>
  <c r="S871" i="3" s="1"/>
  <c r="D871" i="3"/>
  <c r="I871" i="3"/>
  <c r="K871" i="3"/>
  <c r="J871" i="3" s="1"/>
  <c r="L871" i="3"/>
  <c r="M871" i="3"/>
  <c r="P871" i="3" s="1"/>
  <c r="N871" i="3"/>
  <c r="O871" i="3" s="1"/>
  <c r="Q871" i="3"/>
  <c r="R871" i="3"/>
  <c r="B872" i="3"/>
  <c r="C872" i="3"/>
  <c r="S872" i="3" s="1"/>
  <c r="D872" i="3"/>
  <c r="I872" i="3"/>
  <c r="K872" i="3"/>
  <c r="J872" i="3" s="1"/>
  <c r="L872" i="3"/>
  <c r="M872" i="3"/>
  <c r="P872" i="3" s="1"/>
  <c r="N872" i="3"/>
  <c r="O872" i="3" s="1"/>
  <c r="Q872" i="3"/>
  <c r="R872" i="3"/>
  <c r="B873" i="3"/>
  <c r="C873" i="3"/>
  <c r="S873" i="3" s="1"/>
  <c r="D873" i="3"/>
  <c r="I873" i="3"/>
  <c r="K873" i="3"/>
  <c r="J873" i="3" s="1"/>
  <c r="L873" i="3"/>
  <c r="M873" i="3"/>
  <c r="P873" i="3" s="1"/>
  <c r="N873" i="3"/>
  <c r="O873" i="3" s="1"/>
  <c r="Q873" i="3"/>
  <c r="R873" i="3"/>
  <c r="B874" i="3"/>
  <c r="C874" i="3"/>
  <c r="S874" i="3" s="1"/>
  <c r="D874" i="3"/>
  <c r="I874" i="3"/>
  <c r="K874" i="3"/>
  <c r="J874" i="3" s="1"/>
  <c r="L874" i="3"/>
  <c r="M874" i="3"/>
  <c r="P874" i="3" s="1"/>
  <c r="N874" i="3"/>
  <c r="O874" i="3" s="1"/>
  <c r="Q874" i="3"/>
  <c r="R874" i="3"/>
  <c r="B875" i="3"/>
  <c r="C875" i="3"/>
  <c r="S875" i="3" s="1"/>
  <c r="D875" i="3"/>
  <c r="I875" i="3"/>
  <c r="K875" i="3"/>
  <c r="J875" i="3" s="1"/>
  <c r="L875" i="3"/>
  <c r="M875" i="3"/>
  <c r="P875" i="3" s="1"/>
  <c r="N875" i="3"/>
  <c r="O875" i="3" s="1"/>
  <c r="Q875" i="3"/>
  <c r="R875" i="3"/>
  <c r="B876" i="3"/>
  <c r="C876" i="3"/>
  <c r="S876" i="3" s="1"/>
  <c r="D876" i="3"/>
  <c r="I876" i="3"/>
  <c r="K876" i="3"/>
  <c r="J876" i="3" s="1"/>
  <c r="L876" i="3"/>
  <c r="M876" i="3"/>
  <c r="P876" i="3" s="1"/>
  <c r="N876" i="3"/>
  <c r="O876" i="3" s="1"/>
  <c r="Q876" i="3"/>
  <c r="R876" i="3"/>
  <c r="B877" i="3"/>
  <c r="C877" i="3"/>
  <c r="S877" i="3" s="1"/>
  <c r="D877" i="3"/>
  <c r="I877" i="3"/>
  <c r="K877" i="3"/>
  <c r="J877" i="3" s="1"/>
  <c r="L877" i="3"/>
  <c r="M877" i="3"/>
  <c r="P877" i="3" s="1"/>
  <c r="N877" i="3"/>
  <c r="O877" i="3" s="1"/>
  <c r="Q877" i="3"/>
  <c r="R877" i="3"/>
  <c r="B878" i="3"/>
  <c r="C878" i="3"/>
  <c r="S878" i="3" s="1"/>
  <c r="D878" i="3"/>
  <c r="I878" i="3"/>
  <c r="K878" i="3"/>
  <c r="J878" i="3" s="1"/>
  <c r="L878" i="3"/>
  <c r="M878" i="3"/>
  <c r="P878" i="3" s="1"/>
  <c r="N878" i="3"/>
  <c r="O878" i="3" s="1"/>
  <c r="Q878" i="3"/>
  <c r="R878" i="3"/>
  <c r="B879" i="3"/>
  <c r="C879" i="3"/>
  <c r="S879" i="3" s="1"/>
  <c r="D879" i="3"/>
  <c r="I879" i="3"/>
  <c r="K879" i="3"/>
  <c r="J879" i="3" s="1"/>
  <c r="L879" i="3"/>
  <c r="M879" i="3"/>
  <c r="P879" i="3" s="1"/>
  <c r="N879" i="3"/>
  <c r="O879" i="3" s="1"/>
  <c r="Q879" i="3"/>
  <c r="R879" i="3"/>
  <c r="B880" i="3"/>
  <c r="C880" i="3"/>
  <c r="S880" i="3" s="1"/>
  <c r="D880" i="3"/>
  <c r="I880" i="3"/>
  <c r="K880" i="3"/>
  <c r="J880" i="3" s="1"/>
  <c r="L880" i="3"/>
  <c r="M880" i="3"/>
  <c r="P880" i="3" s="1"/>
  <c r="N880" i="3"/>
  <c r="O880" i="3" s="1"/>
  <c r="Q880" i="3"/>
  <c r="R880" i="3"/>
  <c r="B881" i="3"/>
  <c r="C881" i="3"/>
  <c r="S881" i="3" s="1"/>
  <c r="D881" i="3"/>
  <c r="I881" i="3"/>
  <c r="K881" i="3"/>
  <c r="J881" i="3" s="1"/>
  <c r="L881" i="3"/>
  <c r="M881" i="3"/>
  <c r="P881" i="3" s="1"/>
  <c r="N881" i="3"/>
  <c r="O881" i="3" s="1"/>
  <c r="Q881" i="3"/>
  <c r="R881" i="3"/>
  <c r="B882" i="3"/>
  <c r="C882" i="3"/>
  <c r="S882" i="3" s="1"/>
  <c r="D882" i="3"/>
  <c r="I882" i="3"/>
  <c r="K882" i="3"/>
  <c r="J882" i="3" s="1"/>
  <c r="L882" i="3"/>
  <c r="M882" i="3"/>
  <c r="P882" i="3" s="1"/>
  <c r="N882" i="3"/>
  <c r="O882" i="3" s="1"/>
  <c r="Q882" i="3"/>
  <c r="R882" i="3"/>
  <c r="B883" i="3"/>
  <c r="C883" i="3"/>
  <c r="S883" i="3" s="1"/>
  <c r="D883" i="3"/>
  <c r="I883" i="3"/>
  <c r="K883" i="3"/>
  <c r="J883" i="3" s="1"/>
  <c r="L883" i="3"/>
  <c r="M883" i="3"/>
  <c r="P883" i="3" s="1"/>
  <c r="N883" i="3"/>
  <c r="O883" i="3" s="1"/>
  <c r="Q883" i="3"/>
  <c r="R883" i="3"/>
  <c r="B886" i="3"/>
  <c r="C886" i="3"/>
  <c r="S886" i="3" s="1"/>
  <c r="D886" i="3"/>
  <c r="I886" i="3"/>
  <c r="K886" i="3"/>
  <c r="J886" i="3" s="1"/>
  <c r="L886" i="3"/>
  <c r="M886" i="3"/>
  <c r="P886" i="3" s="1"/>
  <c r="N886" i="3"/>
  <c r="O886" i="3" s="1"/>
  <c r="Q886" i="3"/>
  <c r="R886" i="3"/>
  <c r="B887" i="3"/>
  <c r="C887" i="3"/>
  <c r="S887" i="3" s="1"/>
  <c r="D887" i="3"/>
  <c r="I887" i="3"/>
  <c r="K887" i="3"/>
  <c r="J887" i="3" s="1"/>
  <c r="L887" i="3"/>
  <c r="M887" i="3"/>
  <c r="P887" i="3" s="1"/>
  <c r="N887" i="3"/>
  <c r="O887" i="3" s="1"/>
  <c r="Q887" i="3"/>
  <c r="R887" i="3"/>
  <c r="B888" i="3"/>
  <c r="C888" i="3"/>
  <c r="S888" i="3" s="1"/>
  <c r="D888" i="3"/>
  <c r="I888" i="3"/>
  <c r="K888" i="3"/>
  <c r="J888" i="3" s="1"/>
  <c r="L888" i="3"/>
  <c r="M888" i="3"/>
  <c r="P888" i="3" s="1"/>
  <c r="N888" i="3"/>
  <c r="O888" i="3" s="1"/>
  <c r="Q888" i="3"/>
  <c r="R888" i="3"/>
  <c r="B889" i="3"/>
  <c r="C889" i="3"/>
  <c r="S889" i="3" s="1"/>
  <c r="D889" i="3"/>
  <c r="I889" i="3"/>
  <c r="K889" i="3"/>
  <c r="J889" i="3" s="1"/>
  <c r="L889" i="3"/>
  <c r="M889" i="3"/>
  <c r="P889" i="3" s="1"/>
  <c r="N889" i="3"/>
  <c r="O889" i="3" s="1"/>
  <c r="Q889" i="3"/>
  <c r="R889" i="3"/>
  <c r="B890" i="3"/>
  <c r="C890" i="3"/>
  <c r="S890" i="3" s="1"/>
  <c r="D890" i="3"/>
  <c r="I890" i="3"/>
  <c r="K890" i="3"/>
  <c r="J890" i="3" s="1"/>
  <c r="L890" i="3"/>
  <c r="M890" i="3"/>
  <c r="P890" i="3" s="1"/>
  <c r="N890" i="3"/>
  <c r="O890" i="3" s="1"/>
  <c r="Q890" i="3"/>
  <c r="R890" i="3"/>
  <c r="B891" i="3"/>
  <c r="C891" i="3"/>
  <c r="S891" i="3" s="1"/>
  <c r="D891" i="3"/>
  <c r="I891" i="3"/>
  <c r="K891" i="3"/>
  <c r="J891" i="3" s="1"/>
  <c r="L891" i="3"/>
  <c r="M891" i="3"/>
  <c r="P891" i="3" s="1"/>
  <c r="N891" i="3"/>
  <c r="O891" i="3" s="1"/>
  <c r="Q891" i="3"/>
  <c r="R891" i="3"/>
  <c r="B892" i="3"/>
  <c r="C892" i="3"/>
  <c r="S892" i="3" s="1"/>
  <c r="D892" i="3"/>
  <c r="H892" i="3"/>
  <c r="I892" i="3" s="1"/>
  <c r="K892" i="3"/>
  <c r="L892" i="3"/>
  <c r="M892" i="3"/>
  <c r="P892" i="3" s="1"/>
  <c r="N892" i="3"/>
  <c r="O892" i="3" s="1"/>
  <c r="Q892" i="3"/>
  <c r="R892" i="3"/>
  <c r="B893" i="3"/>
  <c r="C893" i="3"/>
  <c r="S893" i="3" s="1"/>
  <c r="D893" i="3"/>
  <c r="I893" i="3"/>
  <c r="K893" i="3"/>
  <c r="J893" i="3" s="1"/>
  <c r="L893" i="3"/>
  <c r="M893" i="3"/>
  <c r="P893" i="3" s="1"/>
  <c r="N893" i="3"/>
  <c r="O893" i="3" s="1"/>
  <c r="Q893" i="3"/>
  <c r="R893" i="3"/>
  <c r="B894" i="3"/>
  <c r="C894" i="3"/>
  <c r="S894" i="3" s="1"/>
  <c r="D894" i="3"/>
  <c r="I894" i="3"/>
  <c r="K894" i="3"/>
  <c r="J894" i="3" s="1"/>
  <c r="L894" i="3"/>
  <c r="M894" i="3"/>
  <c r="P894" i="3" s="1"/>
  <c r="N894" i="3"/>
  <c r="O894" i="3" s="1"/>
  <c r="Q894" i="3"/>
  <c r="R894" i="3"/>
  <c r="B895" i="3"/>
  <c r="C895" i="3"/>
  <c r="S895" i="3" s="1"/>
  <c r="D895" i="3"/>
  <c r="I895" i="3"/>
  <c r="K895" i="3"/>
  <c r="J895" i="3" s="1"/>
  <c r="L895" i="3"/>
  <c r="M895" i="3"/>
  <c r="P895" i="3" s="1"/>
  <c r="N895" i="3"/>
  <c r="O895" i="3" s="1"/>
  <c r="Q895" i="3"/>
  <c r="R895" i="3"/>
  <c r="B896" i="3"/>
  <c r="C896" i="3"/>
  <c r="S896" i="3" s="1"/>
  <c r="D896" i="3"/>
  <c r="I896" i="3"/>
  <c r="K896" i="3"/>
  <c r="J896" i="3" s="1"/>
  <c r="L896" i="3"/>
  <c r="M896" i="3"/>
  <c r="P896" i="3" s="1"/>
  <c r="N896" i="3"/>
  <c r="O896" i="3" s="1"/>
  <c r="Q896" i="3"/>
  <c r="R896" i="3"/>
  <c r="B897" i="3"/>
  <c r="C897" i="3"/>
  <c r="S897" i="3" s="1"/>
  <c r="D897" i="3"/>
  <c r="I897" i="3"/>
  <c r="K897" i="3"/>
  <c r="J897" i="3" s="1"/>
  <c r="L897" i="3"/>
  <c r="M897" i="3"/>
  <c r="P897" i="3" s="1"/>
  <c r="N897" i="3"/>
  <c r="O897" i="3" s="1"/>
  <c r="Q897" i="3"/>
  <c r="R897" i="3"/>
  <c r="B898" i="3"/>
  <c r="C898" i="3"/>
  <c r="S898" i="3" s="1"/>
  <c r="D898" i="3"/>
  <c r="I898" i="3"/>
  <c r="K898" i="3"/>
  <c r="J898" i="3" s="1"/>
  <c r="L898" i="3"/>
  <c r="M898" i="3"/>
  <c r="P898" i="3" s="1"/>
  <c r="N898" i="3"/>
  <c r="O898" i="3" s="1"/>
  <c r="Q898" i="3"/>
  <c r="R898" i="3"/>
  <c r="B899" i="3"/>
  <c r="C899" i="3"/>
  <c r="S899" i="3" s="1"/>
  <c r="D899" i="3"/>
  <c r="I899" i="3"/>
  <c r="K899" i="3"/>
  <c r="J899" i="3" s="1"/>
  <c r="L899" i="3"/>
  <c r="M899" i="3"/>
  <c r="P899" i="3" s="1"/>
  <c r="N899" i="3"/>
  <c r="O899" i="3" s="1"/>
  <c r="Q899" i="3"/>
  <c r="R899" i="3"/>
  <c r="B900" i="3"/>
  <c r="C900" i="3"/>
  <c r="S900" i="3" s="1"/>
  <c r="D900" i="3"/>
  <c r="I900" i="3"/>
  <c r="K900" i="3"/>
  <c r="J900" i="3" s="1"/>
  <c r="L900" i="3"/>
  <c r="M900" i="3"/>
  <c r="P900" i="3" s="1"/>
  <c r="N900" i="3"/>
  <c r="O900" i="3" s="1"/>
  <c r="Q900" i="3"/>
  <c r="R900" i="3"/>
  <c r="B901" i="3"/>
  <c r="C901" i="3"/>
  <c r="S901" i="3" s="1"/>
  <c r="D901" i="3"/>
  <c r="I901" i="3"/>
  <c r="K901" i="3"/>
  <c r="J901" i="3" s="1"/>
  <c r="L901" i="3"/>
  <c r="M901" i="3"/>
  <c r="P901" i="3" s="1"/>
  <c r="N901" i="3"/>
  <c r="O901" i="3" s="1"/>
  <c r="Q901" i="3"/>
  <c r="R901" i="3"/>
  <c r="B902" i="3"/>
  <c r="C902" i="3"/>
  <c r="S902" i="3" s="1"/>
  <c r="D902" i="3"/>
  <c r="H902" i="3"/>
  <c r="I902" i="3" s="1"/>
  <c r="K902" i="3"/>
  <c r="L902" i="3"/>
  <c r="M902" i="3"/>
  <c r="P902" i="3" s="1"/>
  <c r="N902" i="3"/>
  <c r="O902" i="3" s="1"/>
  <c r="Q902" i="3"/>
  <c r="R902" i="3"/>
  <c r="B903" i="3"/>
  <c r="C903" i="3"/>
  <c r="S903" i="3" s="1"/>
  <c r="D903" i="3"/>
  <c r="I903" i="3"/>
  <c r="K903" i="3"/>
  <c r="J903" i="3" s="1"/>
  <c r="L903" i="3"/>
  <c r="M903" i="3"/>
  <c r="P903" i="3" s="1"/>
  <c r="N903" i="3"/>
  <c r="O903" i="3" s="1"/>
  <c r="Q903" i="3"/>
  <c r="R903" i="3"/>
  <c r="B904" i="3"/>
  <c r="C904" i="3"/>
  <c r="S904" i="3" s="1"/>
  <c r="D904" i="3"/>
  <c r="I904" i="3"/>
  <c r="K904" i="3"/>
  <c r="J904" i="3" s="1"/>
  <c r="L904" i="3"/>
  <c r="M904" i="3"/>
  <c r="P904" i="3" s="1"/>
  <c r="N904" i="3"/>
  <c r="O904" i="3" s="1"/>
  <c r="Q904" i="3"/>
  <c r="R904" i="3"/>
  <c r="B905" i="3"/>
  <c r="C905" i="3"/>
  <c r="S905" i="3" s="1"/>
  <c r="D905" i="3"/>
  <c r="I905" i="3"/>
  <c r="K905" i="3"/>
  <c r="J905" i="3" s="1"/>
  <c r="L905" i="3"/>
  <c r="M905" i="3"/>
  <c r="P905" i="3" s="1"/>
  <c r="N905" i="3"/>
  <c r="O905" i="3" s="1"/>
  <c r="Q905" i="3"/>
  <c r="R905" i="3"/>
  <c r="B906" i="3"/>
  <c r="C906" i="3"/>
  <c r="S906" i="3" s="1"/>
  <c r="D906" i="3"/>
  <c r="I906" i="3"/>
  <c r="K906" i="3"/>
  <c r="J906" i="3" s="1"/>
  <c r="L906" i="3"/>
  <c r="M906" i="3"/>
  <c r="P906" i="3" s="1"/>
  <c r="N906" i="3"/>
  <c r="O906" i="3" s="1"/>
  <c r="Q906" i="3"/>
  <c r="R906" i="3"/>
  <c r="B907" i="3"/>
  <c r="C907" i="3"/>
  <c r="S907" i="3" s="1"/>
  <c r="D907" i="3"/>
  <c r="I907" i="3"/>
  <c r="K907" i="3"/>
  <c r="J907" i="3" s="1"/>
  <c r="L907" i="3"/>
  <c r="M907" i="3"/>
  <c r="P907" i="3" s="1"/>
  <c r="N907" i="3"/>
  <c r="O907" i="3" s="1"/>
  <c r="Q907" i="3"/>
  <c r="R907" i="3"/>
  <c r="B908" i="3"/>
  <c r="C908" i="3"/>
  <c r="S908" i="3" s="1"/>
  <c r="D908" i="3"/>
  <c r="H908" i="3"/>
  <c r="I908" i="3" s="1"/>
  <c r="K908" i="3"/>
  <c r="L908" i="3"/>
  <c r="M908" i="3"/>
  <c r="P908" i="3" s="1"/>
  <c r="N908" i="3"/>
  <c r="O908" i="3" s="1"/>
  <c r="Q908" i="3"/>
  <c r="R908" i="3"/>
  <c r="B909" i="3"/>
  <c r="C909" i="3"/>
  <c r="S909" i="3" s="1"/>
  <c r="D909" i="3"/>
  <c r="I909" i="3"/>
  <c r="K909" i="3"/>
  <c r="J909" i="3" s="1"/>
  <c r="L909" i="3"/>
  <c r="M909" i="3"/>
  <c r="P909" i="3" s="1"/>
  <c r="N909" i="3"/>
  <c r="O909" i="3" s="1"/>
  <c r="Q909" i="3"/>
  <c r="R909" i="3"/>
  <c r="B910" i="3"/>
  <c r="C910" i="3"/>
  <c r="S910" i="3" s="1"/>
  <c r="D910" i="3"/>
  <c r="I910" i="3"/>
  <c r="K910" i="3"/>
  <c r="J910" i="3" s="1"/>
  <c r="L910" i="3"/>
  <c r="M910" i="3"/>
  <c r="P910" i="3" s="1"/>
  <c r="N910" i="3"/>
  <c r="O910" i="3" s="1"/>
  <c r="Q910" i="3"/>
  <c r="R910" i="3"/>
  <c r="B911" i="3"/>
  <c r="C911" i="3"/>
  <c r="S911" i="3" s="1"/>
  <c r="D911" i="3"/>
  <c r="I911" i="3"/>
  <c r="K911" i="3"/>
  <c r="J911" i="3" s="1"/>
  <c r="L911" i="3"/>
  <c r="M911" i="3"/>
  <c r="P911" i="3" s="1"/>
  <c r="N911" i="3"/>
  <c r="O911" i="3" s="1"/>
  <c r="Q911" i="3"/>
  <c r="R911" i="3"/>
  <c r="B912" i="3"/>
  <c r="C912" i="3"/>
  <c r="S912" i="3" s="1"/>
  <c r="D912" i="3"/>
  <c r="I912" i="3"/>
  <c r="K912" i="3"/>
  <c r="J912" i="3" s="1"/>
  <c r="L912" i="3"/>
  <c r="M912" i="3"/>
  <c r="P912" i="3" s="1"/>
  <c r="N912" i="3"/>
  <c r="O912" i="3" s="1"/>
  <c r="Q912" i="3"/>
  <c r="R912" i="3"/>
  <c r="B913" i="3"/>
  <c r="C913" i="3"/>
  <c r="S913" i="3" s="1"/>
  <c r="D913" i="3"/>
  <c r="I913" i="3"/>
  <c r="K913" i="3"/>
  <c r="J913" i="3" s="1"/>
  <c r="L913" i="3"/>
  <c r="M913" i="3"/>
  <c r="P913" i="3" s="1"/>
  <c r="N913" i="3"/>
  <c r="O913" i="3" s="1"/>
  <c r="Q913" i="3"/>
  <c r="R913" i="3"/>
  <c r="B914" i="3"/>
  <c r="C914" i="3"/>
  <c r="S914" i="3" s="1"/>
  <c r="D914" i="3"/>
  <c r="I914" i="3"/>
  <c r="K914" i="3"/>
  <c r="J914" i="3" s="1"/>
  <c r="L914" i="3"/>
  <c r="M914" i="3"/>
  <c r="P914" i="3" s="1"/>
  <c r="N914" i="3"/>
  <c r="O914" i="3" s="1"/>
  <c r="Q914" i="3"/>
  <c r="R914" i="3"/>
  <c r="B915" i="3"/>
  <c r="C915" i="3"/>
  <c r="S915" i="3" s="1"/>
  <c r="D915" i="3"/>
  <c r="I915" i="3"/>
  <c r="K915" i="3"/>
  <c r="J915" i="3" s="1"/>
  <c r="L915" i="3"/>
  <c r="M915" i="3"/>
  <c r="P915" i="3" s="1"/>
  <c r="N915" i="3"/>
  <c r="O915" i="3" s="1"/>
  <c r="Q915" i="3"/>
  <c r="R915" i="3"/>
  <c r="B916" i="3"/>
  <c r="C916" i="3"/>
  <c r="S916" i="3" s="1"/>
  <c r="D916" i="3"/>
  <c r="I916" i="3"/>
  <c r="K916" i="3"/>
  <c r="J916" i="3" s="1"/>
  <c r="L916" i="3"/>
  <c r="M916" i="3"/>
  <c r="P916" i="3" s="1"/>
  <c r="N916" i="3"/>
  <c r="O916" i="3" s="1"/>
  <c r="Q916" i="3"/>
  <c r="R916" i="3"/>
  <c r="B917" i="3"/>
  <c r="C917" i="3"/>
  <c r="S917" i="3" s="1"/>
  <c r="D917" i="3"/>
  <c r="I917" i="3"/>
  <c r="K917" i="3"/>
  <c r="J917" i="3" s="1"/>
  <c r="L917" i="3"/>
  <c r="M917" i="3"/>
  <c r="P917" i="3" s="1"/>
  <c r="N917" i="3"/>
  <c r="O917" i="3" s="1"/>
  <c r="Q917" i="3"/>
  <c r="R917" i="3"/>
  <c r="B918" i="3"/>
  <c r="C918" i="3"/>
  <c r="S918" i="3" s="1"/>
  <c r="D918" i="3"/>
  <c r="H918" i="3"/>
  <c r="I918" i="3" s="1"/>
  <c r="K918" i="3"/>
  <c r="L918" i="3"/>
  <c r="M918" i="3"/>
  <c r="P918" i="3" s="1"/>
  <c r="N918" i="3"/>
  <c r="O918" i="3" s="1"/>
  <c r="Q918" i="3"/>
  <c r="R918" i="3"/>
  <c r="B919" i="3"/>
  <c r="C919" i="3"/>
  <c r="S919" i="3" s="1"/>
  <c r="D919" i="3"/>
  <c r="I919" i="3"/>
  <c r="K919" i="3"/>
  <c r="J919" i="3" s="1"/>
  <c r="L919" i="3"/>
  <c r="M919" i="3"/>
  <c r="P919" i="3" s="1"/>
  <c r="N919" i="3"/>
  <c r="O919" i="3" s="1"/>
  <c r="Q919" i="3"/>
  <c r="R919" i="3"/>
  <c r="B920" i="3"/>
  <c r="C920" i="3"/>
  <c r="S920" i="3" s="1"/>
  <c r="D920" i="3"/>
  <c r="I920" i="3"/>
  <c r="K920" i="3"/>
  <c r="J920" i="3" s="1"/>
  <c r="L920" i="3"/>
  <c r="M920" i="3"/>
  <c r="P920" i="3" s="1"/>
  <c r="N920" i="3"/>
  <c r="O920" i="3" s="1"/>
  <c r="Q920" i="3"/>
  <c r="R920" i="3"/>
  <c r="B921" i="3"/>
  <c r="C921" i="3"/>
  <c r="S921" i="3" s="1"/>
  <c r="D921" i="3"/>
  <c r="I921" i="3"/>
  <c r="K921" i="3"/>
  <c r="J921" i="3" s="1"/>
  <c r="L921" i="3"/>
  <c r="M921" i="3"/>
  <c r="P921" i="3" s="1"/>
  <c r="N921" i="3"/>
  <c r="O921" i="3" s="1"/>
  <c r="Q921" i="3"/>
  <c r="R921" i="3"/>
  <c r="B922" i="3"/>
  <c r="C922" i="3"/>
  <c r="S922" i="3" s="1"/>
  <c r="D922" i="3"/>
  <c r="I922" i="3"/>
  <c r="K922" i="3"/>
  <c r="J922" i="3" s="1"/>
  <c r="L922" i="3"/>
  <c r="M922" i="3"/>
  <c r="P922" i="3" s="1"/>
  <c r="N922" i="3"/>
  <c r="O922" i="3" s="1"/>
  <c r="Q922" i="3"/>
  <c r="R922" i="3"/>
  <c r="B923" i="3"/>
  <c r="C923" i="3"/>
  <c r="S923" i="3" s="1"/>
  <c r="D923" i="3"/>
  <c r="I923" i="3"/>
  <c r="K923" i="3"/>
  <c r="J923" i="3" s="1"/>
  <c r="L923" i="3"/>
  <c r="M923" i="3"/>
  <c r="P923" i="3" s="1"/>
  <c r="N923" i="3"/>
  <c r="O923" i="3" s="1"/>
  <c r="Q923" i="3"/>
  <c r="R923" i="3"/>
  <c r="B924" i="3"/>
  <c r="C924" i="3"/>
  <c r="S924" i="3" s="1"/>
  <c r="D924" i="3"/>
  <c r="I924" i="3"/>
  <c r="K924" i="3"/>
  <c r="J924" i="3" s="1"/>
  <c r="L924" i="3"/>
  <c r="M924" i="3"/>
  <c r="P924" i="3" s="1"/>
  <c r="N924" i="3"/>
  <c r="O924" i="3" s="1"/>
  <c r="Q924" i="3"/>
  <c r="R924" i="3"/>
  <c r="B925" i="3"/>
  <c r="C925" i="3"/>
  <c r="S925" i="3" s="1"/>
  <c r="D925" i="3"/>
  <c r="I925" i="3"/>
  <c r="K925" i="3"/>
  <c r="J925" i="3" s="1"/>
  <c r="L925" i="3"/>
  <c r="M925" i="3"/>
  <c r="P925" i="3" s="1"/>
  <c r="N925" i="3"/>
  <c r="O925" i="3" s="1"/>
  <c r="Q925" i="3"/>
  <c r="R925" i="3"/>
  <c r="B926" i="3"/>
  <c r="C926" i="3"/>
  <c r="S926" i="3" s="1"/>
  <c r="D926" i="3"/>
  <c r="I926" i="3"/>
  <c r="K926" i="3"/>
  <c r="J926" i="3" s="1"/>
  <c r="L926" i="3"/>
  <c r="M926" i="3"/>
  <c r="P926" i="3" s="1"/>
  <c r="N926" i="3"/>
  <c r="O926" i="3" s="1"/>
  <c r="Q926" i="3"/>
  <c r="R926" i="3"/>
  <c r="B927" i="3"/>
  <c r="C927" i="3"/>
  <c r="S927" i="3" s="1"/>
  <c r="D927" i="3"/>
  <c r="I927" i="3"/>
  <c r="K927" i="3"/>
  <c r="J927" i="3" s="1"/>
  <c r="L927" i="3"/>
  <c r="M927" i="3"/>
  <c r="P927" i="3" s="1"/>
  <c r="N927" i="3"/>
  <c r="O927" i="3" s="1"/>
  <c r="Q927" i="3"/>
  <c r="R927" i="3"/>
  <c r="B928" i="3"/>
  <c r="C928" i="3"/>
  <c r="S928" i="3" s="1"/>
  <c r="D928" i="3"/>
  <c r="I928" i="3"/>
  <c r="K928" i="3"/>
  <c r="J928" i="3" s="1"/>
  <c r="L928" i="3"/>
  <c r="M928" i="3"/>
  <c r="P928" i="3" s="1"/>
  <c r="N928" i="3"/>
  <c r="O928" i="3" s="1"/>
  <c r="Q928" i="3"/>
  <c r="R928" i="3"/>
  <c r="B929" i="3"/>
  <c r="C929" i="3"/>
  <c r="S929" i="3" s="1"/>
  <c r="D929" i="3"/>
  <c r="I929" i="3"/>
  <c r="K929" i="3"/>
  <c r="J929" i="3" s="1"/>
  <c r="L929" i="3"/>
  <c r="M929" i="3"/>
  <c r="P929" i="3" s="1"/>
  <c r="N929" i="3"/>
  <c r="O929" i="3" s="1"/>
  <c r="Q929" i="3"/>
  <c r="R929" i="3"/>
  <c r="B930" i="3"/>
  <c r="C930" i="3"/>
  <c r="S930" i="3" s="1"/>
  <c r="D930" i="3"/>
  <c r="I930" i="3"/>
  <c r="K930" i="3"/>
  <c r="J930" i="3" s="1"/>
  <c r="L930" i="3"/>
  <c r="M930" i="3"/>
  <c r="P930" i="3" s="1"/>
  <c r="N930" i="3"/>
  <c r="O930" i="3" s="1"/>
  <c r="Q930" i="3"/>
  <c r="R930" i="3"/>
  <c r="B931" i="3"/>
  <c r="C931" i="3"/>
  <c r="S931" i="3" s="1"/>
  <c r="D931" i="3"/>
  <c r="I931" i="3"/>
  <c r="K931" i="3"/>
  <c r="J931" i="3" s="1"/>
  <c r="L931" i="3"/>
  <c r="M931" i="3"/>
  <c r="P931" i="3" s="1"/>
  <c r="N931" i="3"/>
  <c r="O931" i="3" s="1"/>
  <c r="Q931" i="3"/>
  <c r="R931" i="3"/>
  <c r="B932" i="3"/>
  <c r="C932" i="3"/>
  <c r="S932" i="3" s="1"/>
  <c r="D932" i="3"/>
  <c r="I932" i="3"/>
  <c r="K932" i="3"/>
  <c r="J932" i="3" s="1"/>
  <c r="L932" i="3"/>
  <c r="M932" i="3"/>
  <c r="P932" i="3" s="1"/>
  <c r="N932" i="3"/>
  <c r="O932" i="3" s="1"/>
  <c r="Q932" i="3"/>
  <c r="R932" i="3"/>
  <c r="B933" i="3"/>
  <c r="C933" i="3"/>
  <c r="S933" i="3" s="1"/>
  <c r="D933" i="3"/>
  <c r="I933" i="3"/>
  <c r="K933" i="3"/>
  <c r="J933" i="3" s="1"/>
  <c r="L933" i="3"/>
  <c r="M933" i="3"/>
  <c r="P933" i="3" s="1"/>
  <c r="N933" i="3"/>
  <c r="O933" i="3" s="1"/>
  <c r="Q933" i="3"/>
  <c r="R933" i="3"/>
  <c r="B934" i="3"/>
  <c r="C934" i="3"/>
  <c r="S934" i="3" s="1"/>
  <c r="D934" i="3"/>
  <c r="I934" i="3"/>
  <c r="K934" i="3"/>
  <c r="J934" i="3" s="1"/>
  <c r="L934" i="3"/>
  <c r="M934" i="3"/>
  <c r="P934" i="3" s="1"/>
  <c r="N934" i="3"/>
  <c r="O934" i="3" s="1"/>
  <c r="Q934" i="3"/>
  <c r="R934" i="3"/>
  <c r="B935" i="3"/>
  <c r="C935" i="3"/>
  <c r="S935" i="3" s="1"/>
  <c r="D935" i="3"/>
  <c r="I935" i="3"/>
  <c r="K935" i="3"/>
  <c r="J935" i="3" s="1"/>
  <c r="L935" i="3"/>
  <c r="M935" i="3"/>
  <c r="P935" i="3" s="1"/>
  <c r="N935" i="3"/>
  <c r="O935" i="3" s="1"/>
  <c r="Q935" i="3"/>
  <c r="R935" i="3"/>
  <c r="B936" i="3"/>
  <c r="C936" i="3"/>
  <c r="S936" i="3" s="1"/>
  <c r="D936" i="3"/>
  <c r="I936" i="3"/>
  <c r="K936" i="3"/>
  <c r="J936" i="3" s="1"/>
  <c r="L936" i="3"/>
  <c r="M936" i="3"/>
  <c r="P936" i="3" s="1"/>
  <c r="N936" i="3"/>
  <c r="O936" i="3" s="1"/>
  <c r="Q936" i="3"/>
  <c r="R936" i="3"/>
  <c r="B937" i="3"/>
  <c r="C937" i="3"/>
  <c r="S937" i="3" s="1"/>
  <c r="D937" i="3"/>
  <c r="I937" i="3"/>
  <c r="K937" i="3"/>
  <c r="J937" i="3" s="1"/>
  <c r="L937" i="3"/>
  <c r="M937" i="3"/>
  <c r="P937" i="3" s="1"/>
  <c r="N937" i="3"/>
  <c r="O937" i="3" s="1"/>
  <c r="Q937" i="3"/>
  <c r="R937" i="3"/>
  <c r="B938" i="3"/>
  <c r="C938" i="3"/>
  <c r="S938" i="3" s="1"/>
  <c r="D938" i="3"/>
  <c r="I938" i="3"/>
  <c r="K938" i="3"/>
  <c r="J938" i="3" s="1"/>
  <c r="L938" i="3"/>
  <c r="M938" i="3"/>
  <c r="P938" i="3" s="1"/>
  <c r="N938" i="3"/>
  <c r="O938" i="3" s="1"/>
  <c r="Q938" i="3"/>
  <c r="R938" i="3"/>
  <c r="B939" i="3"/>
  <c r="C939" i="3"/>
  <c r="S939" i="3" s="1"/>
  <c r="D939" i="3"/>
  <c r="H939" i="3"/>
  <c r="I939" i="3" s="1"/>
  <c r="K939" i="3"/>
  <c r="L939" i="3"/>
  <c r="M939" i="3"/>
  <c r="P939" i="3" s="1"/>
  <c r="N939" i="3"/>
  <c r="O939" i="3" s="1"/>
  <c r="Q939" i="3"/>
  <c r="R939" i="3"/>
  <c r="B940" i="3"/>
  <c r="C940" i="3"/>
  <c r="S940" i="3" s="1"/>
  <c r="D940" i="3"/>
  <c r="I940" i="3"/>
  <c r="K940" i="3"/>
  <c r="J940" i="3" s="1"/>
  <c r="L940" i="3"/>
  <c r="M940" i="3"/>
  <c r="P940" i="3" s="1"/>
  <c r="N940" i="3"/>
  <c r="O940" i="3" s="1"/>
  <c r="Q940" i="3"/>
  <c r="R940" i="3"/>
  <c r="B941" i="3"/>
  <c r="C941" i="3"/>
  <c r="S941" i="3" s="1"/>
  <c r="D941" i="3"/>
  <c r="I941" i="3"/>
  <c r="K941" i="3"/>
  <c r="J941" i="3" s="1"/>
  <c r="L941" i="3"/>
  <c r="M941" i="3"/>
  <c r="P941" i="3" s="1"/>
  <c r="N941" i="3"/>
  <c r="O941" i="3" s="1"/>
  <c r="Q941" i="3"/>
  <c r="R941" i="3"/>
  <c r="B942" i="3"/>
  <c r="C942" i="3"/>
  <c r="S942" i="3" s="1"/>
  <c r="D942" i="3"/>
  <c r="I942" i="3"/>
  <c r="K942" i="3"/>
  <c r="J942" i="3" s="1"/>
  <c r="L942" i="3"/>
  <c r="M942" i="3"/>
  <c r="P942" i="3" s="1"/>
  <c r="N942" i="3"/>
  <c r="O942" i="3" s="1"/>
  <c r="Q942" i="3"/>
  <c r="R942" i="3"/>
  <c r="B943" i="3"/>
  <c r="C943" i="3"/>
  <c r="S943" i="3" s="1"/>
  <c r="D943" i="3"/>
  <c r="I943" i="3"/>
  <c r="K943" i="3"/>
  <c r="J943" i="3" s="1"/>
  <c r="L943" i="3"/>
  <c r="M943" i="3"/>
  <c r="P943" i="3" s="1"/>
  <c r="N943" i="3"/>
  <c r="O943" i="3" s="1"/>
  <c r="Q943" i="3"/>
  <c r="R943" i="3"/>
  <c r="B944" i="3"/>
  <c r="C944" i="3"/>
  <c r="S944" i="3" s="1"/>
  <c r="D944" i="3"/>
  <c r="I944" i="3"/>
  <c r="K944" i="3"/>
  <c r="J944" i="3" s="1"/>
  <c r="L944" i="3"/>
  <c r="M944" i="3"/>
  <c r="P944" i="3" s="1"/>
  <c r="N944" i="3"/>
  <c r="O944" i="3" s="1"/>
  <c r="Q944" i="3"/>
  <c r="R944" i="3"/>
  <c r="B945" i="3"/>
  <c r="C945" i="3"/>
  <c r="S945" i="3" s="1"/>
  <c r="D945" i="3"/>
  <c r="I945" i="3"/>
  <c r="K945" i="3"/>
  <c r="J945" i="3" s="1"/>
  <c r="L945" i="3"/>
  <c r="M945" i="3"/>
  <c r="P945" i="3" s="1"/>
  <c r="N945" i="3"/>
  <c r="O945" i="3" s="1"/>
  <c r="Q945" i="3"/>
  <c r="R945" i="3"/>
  <c r="B946" i="3"/>
  <c r="C946" i="3"/>
  <c r="S946" i="3" s="1"/>
  <c r="D946" i="3"/>
  <c r="I946" i="3"/>
  <c r="K946" i="3"/>
  <c r="J946" i="3" s="1"/>
  <c r="L946" i="3"/>
  <c r="M946" i="3"/>
  <c r="P946" i="3" s="1"/>
  <c r="N946" i="3"/>
  <c r="O946" i="3" s="1"/>
  <c r="Q946" i="3"/>
  <c r="R946" i="3"/>
  <c r="B947" i="3"/>
  <c r="C947" i="3"/>
  <c r="S947" i="3" s="1"/>
  <c r="D947" i="3"/>
  <c r="I947" i="3"/>
  <c r="K947" i="3"/>
  <c r="J947" i="3" s="1"/>
  <c r="L947" i="3"/>
  <c r="M947" i="3"/>
  <c r="P947" i="3" s="1"/>
  <c r="N947" i="3"/>
  <c r="O947" i="3" s="1"/>
  <c r="Q947" i="3"/>
  <c r="R947" i="3"/>
  <c r="B948" i="3"/>
  <c r="C948" i="3"/>
  <c r="S948" i="3" s="1"/>
  <c r="D948" i="3"/>
  <c r="I948" i="3"/>
  <c r="K948" i="3"/>
  <c r="J948" i="3" s="1"/>
  <c r="L948" i="3"/>
  <c r="M948" i="3"/>
  <c r="P948" i="3" s="1"/>
  <c r="N948" i="3"/>
  <c r="O948" i="3" s="1"/>
  <c r="Q948" i="3"/>
  <c r="R948" i="3"/>
  <c r="B949" i="3"/>
  <c r="C949" i="3"/>
  <c r="S949" i="3" s="1"/>
  <c r="D949" i="3"/>
  <c r="I949" i="3"/>
  <c r="K949" i="3"/>
  <c r="J949" i="3" s="1"/>
  <c r="L949" i="3"/>
  <c r="M949" i="3"/>
  <c r="P949" i="3" s="1"/>
  <c r="N949" i="3"/>
  <c r="O949" i="3" s="1"/>
  <c r="Q949" i="3"/>
  <c r="R949" i="3"/>
  <c r="B950" i="3"/>
  <c r="C950" i="3"/>
  <c r="S950" i="3" s="1"/>
  <c r="D950" i="3"/>
  <c r="I950" i="3"/>
  <c r="K950" i="3"/>
  <c r="J950" i="3" s="1"/>
  <c r="L950" i="3"/>
  <c r="M950" i="3"/>
  <c r="P950" i="3" s="1"/>
  <c r="N950" i="3"/>
  <c r="O950" i="3" s="1"/>
  <c r="Q950" i="3"/>
  <c r="R950" i="3"/>
  <c r="B951" i="3"/>
  <c r="C951" i="3"/>
  <c r="S951" i="3" s="1"/>
  <c r="D951" i="3"/>
  <c r="I951" i="3"/>
  <c r="K951" i="3"/>
  <c r="J951" i="3" s="1"/>
  <c r="L951" i="3"/>
  <c r="M951" i="3"/>
  <c r="P951" i="3" s="1"/>
  <c r="N951" i="3"/>
  <c r="O951" i="3" s="1"/>
  <c r="Q951" i="3"/>
  <c r="R951" i="3"/>
  <c r="B952" i="3"/>
  <c r="C952" i="3"/>
  <c r="S952" i="3" s="1"/>
  <c r="D952" i="3"/>
  <c r="I952" i="3"/>
  <c r="K952" i="3"/>
  <c r="J952" i="3" s="1"/>
  <c r="L952" i="3"/>
  <c r="M952" i="3"/>
  <c r="P952" i="3" s="1"/>
  <c r="N952" i="3"/>
  <c r="O952" i="3" s="1"/>
  <c r="Q952" i="3"/>
  <c r="R952" i="3"/>
  <c r="B953" i="3"/>
  <c r="C953" i="3"/>
  <c r="S953" i="3" s="1"/>
  <c r="D953" i="3"/>
  <c r="I953" i="3"/>
  <c r="K953" i="3"/>
  <c r="J953" i="3" s="1"/>
  <c r="L953" i="3"/>
  <c r="M953" i="3"/>
  <c r="P953" i="3" s="1"/>
  <c r="N953" i="3"/>
  <c r="O953" i="3" s="1"/>
  <c r="Q953" i="3"/>
  <c r="R953" i="3"/>
  <c r="B954" i="3"/>
  <c r="C954" i="3"/>
  <c r="S954" i="3" s="1"/>
  <c r="D954" i="3"/>
  <c r="I954" i="3"/>
  <c r="K954" i="3"/>
  <c r="J954" i="3" s="1"/>
  <c r="L954" i="3"/>
  <c r="M954" i="3"/>
  <c r="P954" i="3" s="1"/>
  <c r="N954" i="3"/>
  <c r="O954" i="3" s="1"/>
  <c r="Q954" i="3"/>
  <c r="R954" i="3"/>
  <c r="B955" i="3"/>
  <c r="C955" i="3"/>
  <c r="S955" i="3" s="1"/>
  <c r="D955" i="3"/>
  <c r="I955" i="3"/>
  <c r="K955" i="3"/>
  <c r="J955" i="3" s="1"/>
  <c r="L955" i="3"/>
  <c r="M955" i="3"/>
  <c r="P955" i="3" s="1"/>
  <c r="N955" i="3"/>
  <c r="O955" i="3" s="1"/>
  <c r="Q955" i="3"/>
  <c r="R955" i="3"/>
  <c r="B956" i="3"/>
  <c r="C956" i="3"/>
  <c r="S956" i="3" s="1"/>
  <c r="D956" i="3"/>
  <c r="I956" i="3"/>
  <c r="K956" i="3"/>
  <c r="J956" i="3" s="1"/>
  <c r="L956" i="3"/>
  <c r="M956" i="3"/>
  <c r="P956" i="3" s="1"/>
  <c r="N956" i="3"/>
  <c r="O956" i="3" s="1"/>
  <c r="Q956" i="3"/>
  <c r="R956" i="3"/>
  <c r="B957" i="3"/>
  <c r="C957" i="3"/>
  <c r="S957" i="3" s="1"/>
  <c r="D957" i="3"/>
  <c r="I957" i="3"/>
  <c r="K957" i="3"/>
  <c r="J957" i="3" s="1"/>
  <c r="L957" i="3"/>
  <c r="M957" i="3"/>
  <c r="P957" i="3" s="1"/>
  <c r="N957" i="3"/>
  <c r="O957" i="3" s="1"/>
  <c r="Q957" i="3"/>
  <c r="R957" i="3"/>
  <c r="B958" i="3"/>
  <c r="C958" i="3"/>
  <c r="S958" i="3" s="1"/>
  <c r="D958" i="3"/>
  <c r="I958" i="3"/>
  <c r="K958" i="3"/>
  <c r="J958" i="3" s="1"/>
  <c r="L958" i="3"/>
  <c r="M958" i="3"/>
  <c r="P958" i="3" s="1"/>
  <c r="N958" i="3"/>
  <c r="O958" i="3" s="1"/>
  <c r="Q958" i="3"/>
  <c r="R958" i="3"/>
  <c r="B959" i="3"/>
  <c r="C959" i="3"/>
  <c r="S959" i="3" s="1"/>
  <c r="D959" i="3"/>
  <c r="I959" i="3"/>
  <c r="K959" i="3"/>
  <c r="J959" i="3" s="1"/>
  <c r="L959" i="3"/>
  <c r="M959" i="3"/>
  <c r="P959" i="3" s="1"/>
  <c r="N959" i="3"/>
  <c r="O959" i="3" s="1"/>
  <c r="Q959" i="3"/>
  <c r="R959" i="3"/>
  <c r="B960" i="3"/>
  <c r="C960" i="3"/>
  <c r="S960" i="3" s="1"/>
  <c r="D960" i="3"/>
  <c r="I960" i="3"/>
  <c r="K960" i="3"/>
  <c r="J960" i="3" s="1"/>
  <c r="L960" i="3"/>
  <c r="M960" i="3"/>
  <c r="P960" i="3" s="1"/>
  <c r="N960" i="3"/>
  <c r="O960" i="3" s="1"/>
  <c r="Q960" i="3"/>
  <c r="R960" i="3"/>
  <c r="B961" i="3"/>
  <c r="C961" i="3"/>
  <c r="S961" i="3" s="1"/>
  <c r="D961" i="3"/>
  <c r="I961" i="3"/>
  <c r="K961" i="3"/>
  <c r="J961" i="3" s="1"/>
  <c r="L961" i="3"/>
  <c r="M961" i="3"/>
  <c r="P961" i="3" s="1"/>
  <c r="N961" i="3"/>
  <c r="O961" i="3" s="1"/>
  <c r="Q961" i="3"/>
  <c r="R961" i="3"/>
  <c r="B962" i="3"/>
  <c r="C962" i="3"/>
  <c r="S962" i="3" s="1"/>
  <c r="D962" i="3"/>
  <c r="I962" i="3"/>
  <c r="K962" i="3"/>
  <c r="J962" i="3" s="1"/>
  <c r="L962" i="3"/>
  <c r="M962" i="3"/>
  <c r="P962" i="3" s="1"/>
  <c r="N962" i="3"/>
  <c r="O962" i="3" s="1"/>
  <c r="Q962" i="3"/>
  <c r="R962" i="3"/>
  <c r="B963" i="3"/>
  <c r="C963" i="3"/>
  <c r="S963" i="3" s="1"/>
  <c r="D963" i="3"/>
  <c r="I963" i="3"/>
  <c r="K963" i="3"/>
  <c r="J963" i="3" s="1"/>
  <c r="L963" i="3"/>
  <c r="M963" i="3"/>
  <c r="P963" i="3" s="1"/>
  <c r="N963" i="3"/>
  <c r="O963" i="3" s="1"/>
  <c r="Q963" i="3"/>
  <c r="R963" i="3"/>
  <c r="B964" i="3"/>
  <c r="C964" i="3"/>
  <c r="S964" i="3" s="1"/>
  <c r="D964" i="3"/>
  <c r="I964" i="3"/>
  <c r="K964" i="3"/>
  <c r="J964" i="3" s="1"/>
  <c r="L964" i="3"/>
  <c r="M964" i="3"/>
  <c r="P964" i="3" s="1"/>
  <c r="N964" i="3"/>
  <c r="O964" i="3" s="1"/>
  <c r="Q964" i="3"/>
  <c r="R964" i="3"/>
  <c r="B965" i="3"/>
  <c r="C965" i="3"/>
  <c r="S965" i="3" s="1"/>
  <c r="D965" i="3"/>
  <c r="I965" i="3"/>
  <c r="K965" i="3"/>
  <c r="J965" i="3" s="1"/>
  <c r="L965" i="3"/>
  <c r="M965" i="3"/>
  <c r="P965" i="3" s="1"/>
  <c r="N965" i="3"/>
  <c r="O965" i="3" s="1"/>
  <c r="Q965" i="3"/>
  <c r="R965" i="3"/>
  <c r="B966" i="3"/>
  <c r="C966" i="3"/>
  <c r="S966" i="3" s="1"/>
  <c r="D966" i="3"/>
  <c r="H966" i="3"/>
  <c r="I966" i="3" s="1"/>
  <c r="K966" i="3"/>
  <c r="L966" i="3"/>
  <c r="M966" i="3"/>
  <c r="P966" i="3" s="1"/>
  <c r="N966" i="3"/>
  <c r="O966" i="3" s="1"/>
  <c r="Q966" i="3"/>
  <c r="R966" i="3"/>
  <c r="B967" i="3"/>
  <c r="C967" i="3"/>
  <c r="S967" i="3" s="1"/>
  <c r="D967" i="3"/>
  <c r="I967" i="3"/>
  <c r="K967" i="3"/>
  <c r="J967" i="3" s="1"/>
  <c r="L967" i="3"/>
  <c r="M967" i="3"/>
  <c r="P967" i="3" s="1"/>
  <c r="N967" i="3"/>
  <c r="O967" i="3" s="1"/>
  <c r="Q967" i="3"/>
  <c r="R967" i="3"/>
  <c r="B968" i="3"/>
  <c r="C968" i="3"/>
  <c r="S968" i="3" s="1"/>
  <c r="D968" i="3"/>
  <c r="I968" i="3"/>
  <c r="K968" i="3"/>
  <c r="J968" i="3" s="1"/>
  <c r="L968" i="3"/>
  <c r="M968" i="3"/>
  <c r="P968" i="3" s="1"/>
  <c r="N968" i="3"/>
  <c r="O968" i="3" s="1"/>
  <c r="Q968" i="3"/>
  <c r="R968" i="3"/>
  <c r="B969" i="3"/>
  <c r="C969" i="3"/>
  <c r="S969" i="3" s="1"/>
  <c r="D969" i="3"/>
  <c r="I969" i="3"/>
  <c r="K969" i="3"/>
  <c r="J969" i="3" s="1"/>
  <c r="L969" i="3"/>
  <c r="M969" i="3"/>
  <c r="P969" i="3" s="1"/>
  <c r="N969" i="3"/>
  <c r="O969" i="3" s="1"/>
  <c r="Q969" i="3"/>
  <c r="R969" i="3"/>
  <c r="B970" i="3"/>
  <c r="C970" i="3"/>
  <c r="S970" i="3" s="1"/>
  <c r="D970" i="3"/>
  <c r="I970" i="3"/>
  <c r="K970" i="3"/>
  <c r="J970" i="3" s="1"/>
  <c r="L970" i="3"/>
  <c r="M970" i="3"/>
  <c r="P970" i="3" s="1"/>
  <c r="N970" i="3"/>
  <c r="O970" i="3" s="1"/>
  <c r="Q970" i="3"/>
  <c r="R970" i="3"/>
  <c r="B971" i="3"/>
  <c r="C971" i="3"/>
  <c r="S971" i="3" s="1"/>
  <c r="D971" i="3"/>
  <c r="I971" i="3"/>
  <c r="K971" i="3"/>
  <c r="J971" i="3" s="1"/>
  <c r="L971" i="3"/>
  <c r="M971" i="3"/>
  <c r="P971" i="3" s="1"/>
  <c r="N971" i="3"/>
  <c r="O971" i="3" s="1"/>
  <c r="Q971" i="3"/>
  <c r="R971" i="3"/>
  <c r="B972" i="3"/>
  <c r="C972" i="3"/>
  <c r="S972" i="3" s="1"/>
  <c r="D972" i="3"/>
  <c r="I972" i="3"/>
  <c r="K972" i="3"/>
  <c r="J972" i="3" s="1"/>
  <c r="L972" i="3"/>
  <c r="M972" i="3"/>
  <c r="P972" i="3" s="1"/>
  <c r="N972" i="3"/>
  <c r="O972" i="3" s="1"/>
  <c r="Q972" i="3"/>
  <c r="R972" i="3"/>
  <c r="B973" i="3"/>
  <c r="C973" i="3"/>
  <c r="S973" i="3" s="1"/>
  <c r="D973" i="3"/>
  <c r="I973" i="3"/>
  <c r="K973" i="3"/>
  <c r="J973" i="3" s="1"/>
  <c r="L973" i="3"/>
  <c r="M973" i="3"/>
  <c r="P973" i="3" s="1"/>
  <c r="N973" i="3"/>
  <c r="O973" i="3" s="1"/>
  <c r="Q973" i="3"/>
  <c r="R973" i="3"/>
  <c r="B974" i="3"/>
  <c r="C974" i="3"/>
  <c r="S974" i="3" s="1"/>
  <c r="D974" i="3"/>
  <c r="I974" i="3"/>
  <c r="K974" i="3"/>
  <c r="J974" i="3" s="1"/>
  <c r="L974" i="3"/>
  <c r="M974" i="3"/>
  <c r="P974" i="3" s="1"/>
  <c r="N974" i="3"/>
  <c r="O974" i="3" s="1"/>
  <c r="Q974" i="3"/>
  <c r="R974" i="3"/>
  <c r="B975" i="3"/>
  <c r="C975" i="3"/>
  <c r="S975" i="3" s="1"/>
  <c r="D975" i="3"/>
  <c r="I975" i="3"/>
  <c r="K975" i="3"/>
  <c r="J975" i="3" s="1"/>
  <c r="L975" i="3"/>
  <c r="M975" i="3"/>
  <c r="P975" i="3" s="1"/>
  <c r="N975" i="3"/>
  <c r="O975" i="3" s="1"/>
  <c r="Q975" i="3"/>
  <c r="R975" i="3"/>
  <c r="B976" i="3"/>
  <c r="C976" i="3"/>
  <c r="S976" i="3" s="1"/>
  <c r="D976" i="3"/>
  <c r="I976" i="3"/>
  <c r="K976" i="3"/>
  <c r="J976" i="3" s="1"/>
  <c r="L976" i="3"/>
  <c r="M976" i="3"/>
  <c r="P976" i="3" s="1"/>
  <c r="N976" i="3"/>
  <c r="O976" i="3" s="1"/>
  <c r="Q976" i="3"/>
  <c r="R976" i="3"/>
  <c r="B977" i="3"/>
  <c r="C977" i="3"/>
  <c r="S977" i="3" s="1"/>
  <c r="D977" i="3"/>
  <c r="I977" i="3"/>
  <c r="K977" i="3"/>
  <c r="J977" i="3" s="1"/>
  <c r="L977" i="3"/>
  <c r="M977" i="3"/>
  <c r="P977" i="3" s="1"/>
  <c r="N977" i="3"/>
  <c r="O977" i="3" s="1"/>
  <c r="Q977" i="3"/>
  <c r="R977" i="3"/>
  <c r="B978" i="3"/>
  <c r="C978" i="3"/>
  <c r="S978" i="3" s="1"/>
  <c r="D978" i="3"/>
  <c r="I978" i="3"/>
  <c r="K978" i="3"/>
  <c r="J978" i="3" s="1"/>
  <c r="L978" i="3"/>
  <c r="M978" i="3"/>
  <c r="P978" i="3" s="1"/>
  <c r="N978" i="3"/>
  <c r="O978" i="3" s="1"/>
  <c r="Q978" i="3"/>
  <c r="R978" i="3"/>
  <c r="B979" i="3"/>
  <c r="C979" i="3"/>
  <c r="S979" i="3" s="1"/>
  <c r="D979" i="3"/>
  <c r="I979" i="3"/>
  <c r="K979" i="3"/>
  <c r="J979" i="3" s="1"/>
  <c r="L979" i="3"/>
  <c r="M979" i="3"/>
  <c r="P979" i="3" s="1"/>
  <c r="N979" i="3"/>
  <c r="O979" i="3" s="1"/>
  <c r="Q979" i="3"/>
  <c r="R979" i="3"/>
  <c r="B980" i="3"/>
  <c r="C980" i="3"/>
  <c r="S980" i="3" s="1"/>
  <c r="D980" i="3"/>
  <c r="I980" i="3"/>
  <c r="K980" i="3"/>
  <c r="J980" i="3" s="1"/>
  <c r="L980" i="3"/>
  <c r="M980" i="3"/>
  <c r="P980" i="3" s="1"/>
  <c r="N980" i="3"/>
  <c r="O980" i="3" s="1"/>
  <c r="Q980" i="3"/>
  <c r="R980" i="3"/>
  <c r="B981" i="3"/>
  <c r="C981" i="3"/>
  <c r="S981" i="3" s="1"/>
  <c r="D981" i="3"/>
  <c r="I981" i="3"/>
  <c r="K981" i="3"/>
  <c r="J981" i="3" s="1"/>
  <c r="L981" i="3"/>
  <c r="M981" i="3"/>
  <c r="P981" i="3" s="1"/>
  <c r="N981" i="3"/>
  <c r="O981" i="3" s="1"/>
  <c r="Q981" i="3"/>
  <c r="R981" i="3"/>
  <c r="B982" i="3"/>
  <c r="C982" i="3"/>
  <c r="S982" i="3" s="1"/>
  <c r="D982" i="3"/>
  <c r="I982" i="3"/>
  <c r="K982" i="3"/>
  <c r="J982" i="3" s="1"/>
  <c r="L982" i="3"/>
  <c r="M982" i="3"/>
  <c r="P982" i="3" s="1"/>
  <c r="N982" i="3"/>
  <c r="O982" i="3" s="1"/>
  <c r="Q982" i="3"/>
  <c r="R982" i="3"/>
  <c r="B983" i="3"/>
  <c r="C983" i="3"/>
  <c r="S983" i="3" s="1"/>
  <c r="D983" i="3"/>
  <c r="I983" i="3"/>
  <c r="K983" i="3"/>
  <c r="J983" i="3" s="1"/>
  <c r="L983" i="3"/>
  <c r="M983" i="3"/>
  <c r="P983" i="3" s="1"/>
  <c r="N983" i="3"/>
  <c r="O983" i="3" s="1"/>
  <c r="Q983" i="3"/>
  <c r="R983" i="3"/>
  <c r="B984" i="3"/>
  <c r="C984" i="3"/>
  <c r="S984" i="3" s="1"/>
  <c r="D984" i="3"/>
  <c r="I984" i="3"/>
  <c r="K984" i="3"/>
  <c r="J984" i="3" s="1"/>
  <c r="L984" i="3"/>
  <c r="M984" i="3"/>
  <c r="P984" i="3" s="1"/>
  <c r="N984" i="3"/>
  <c r="O984" i="3" s="1"/>
  <c r="Q984" i="3"/>
  <c r="R984" i="3"/>
  <c r="B985" i="3"/>
  <c r="C985" i="3"/>
  <c r="S985" i="3" s="1"/>
  <c r="D985" i="3"/>
  <c r="I985" i="3"/>
  <c r="K985" i="3"/>
  <c r="J985" i="3" s="1"/>
  <c r="L985" i="3"/>
  <c r="M985" i="3"/>
  <c r="P985" i="3" s="1"/>
  <c r="N985" i="3"/>
  <c r="O985" i="3" s="1"/>
  <c r="Q985" i="3"/>
  <c r="R985" i="3"/>
  <c r="B986" i="3"/>
  <c r="C986" i="3"/>
  <c r="S986" i="3" s="1"/>
  <c r="D986" i="3"/>
  <c r="I986" i="3"/>
  <c r="K986" i="3"/>
  <c r="J986" i="3" s="1"/>
  <c r="L986" i="3"/>
  <c r="M986" i="3"/>
  <c r="P986" i="3" s="1"/>
  <c r="N986" i="3"/>
  <c r="O986" i="3" s="1"/>
  <c r="Q986" i="3"/>
  <c r="R986" i="3"/>
  <c r="B987" i="3"/>
  <c r="C987" i="3"/>
  <c r="S987" i="3" s="1"/>
  <c r="D987" i="3"/>
  <c r="I987" i="3"/>
  <c r="K987" i="3"/>
  <c r="J987" i="3" s="1"/>
  <c r="L987" i="3"/>
  <c r="M987" i="3"/>
  <c r="P987" i="3" s="1"/>
  <c r="N987" i="3"/>
  <c r="O987" i="3" s="1"/>
  <c r="Q987" i="3"/>
  <c r="R987" i="3"/>
  <c r="B988" i="3"/>
  <c r="C988" i="3"/>
  <c r="S988" i="3" s="1"/>
  <c r="D988" i="3"/>
  <c r="I988" i="3"/>
  <c r="K988" i="3"/>
  <c r="J988" i="3" s="1"/>
  <c r="L988" i="3"/>
  <c r="M988" i="3"/>
  <c r="P988" i="3" s="1"/>
  <c r="N988" i="3"/>
  <c r="O988" i="3" s="1"/>
  <c r="Q988" i="3"/>
  <c r="R988" i="3"/>
  <c r="B989" i="3"/>
  <c r="C989" i="3"/>
  <c r="S989" i="3" s="1"/>
  <c r="D989" i="3"/>
  <c r="I989" i="3"/>
  <c r="K989" i="3"/>
  <c r="J989" i="3" s="1"/>
  <c r="L989" i="3"/>
  <c r="M989" i="3"/>
  <c r="P989" i="3" s="1"/>
  <c r="N989" i="3"/>
  <c r="O989" i="3" s="1"/>
  <c r="Q989" i="3"/>
  <c r="R989" i="3"/>
  <c r="B990" i="3"/>
  <c r="C990" i="3"/>
  <c r="S990" i="3" s="1"/>
  <c r="D990" i="3"/>
  <c r="I990" i="3"/>
  <c r="K990" i="3"/>
  <c r="J990" i="3" s="1"/>
  <c r="L990" i="3"/>
  <c r="M990" i="3"/>
  <c r="P990" i="3" s="1"/>
  <c r="N990" i="3"/>
  <c r="O990" i="3" s="1"/>
  <c r="Q990" i="3"/>
  <c r="R990" i="3"/>
  <c r="B991" i="3"/>
  <c r="C991" i="3"/>
  <c r="S991" i="3" s="1"/>
  <c r="D991" i="3"/>
  <c r="I991" i="3"/>
  <c r="K991" i="3"/>
  <c r="J991" i="3" s="1"/>
  <c r="L991" i="3"/>
  <c r="M991" i="3"/>
  <c r="P991" i="3" s="1"/>
  <c r="N991" i="3"/>
  <c r="O991" i="3" s="1"/>
  <c r="Q991" i="3"/>
  <c r="R991" i="3"/>
  <c r="B992" i="3"/>
  <c r="C992" i="3"/>
  <c r="S992" i="3" s="1"/>
  <c r="D992" i="3"/>
  <c r="I992" i="3"/>
  <c r="K992" i="3"/>
  <c r="J992" i="3" s="1"/>
  <c r="L992" i="3"/>
  <c r="M992" i="3"/>
  <c r="P992" i="3" s="1"/>
  <c r="N992" i="3"/>
  <c r="O992" i="3" s="1"/>
  <c r="Q992" i="3"/>
  <c r="R992" i="3"/>
  <c r="B993" i="3"/>
  <c r="C993" i="3"/>
  <c r="S993" i="3" s="1"/>
  <c r="D993" i="3"/>
  <c r="I993" i="3"/>
  <c r="K993" i="3"/>
  <c r="J993" i="3" s="1"/>
  <c r="L993" i="3"/>
  <c r="M993" i="3"/>
  <c r="P993" i="3" s="1"/>
  <c r="N993" i="3"/>
  <c r="O993" i="3" s="1"/>
  <c r="Q993" i="3"/>
  <c r="R993" i="3"/>
  <c r="B994" i="3"/>
  <c r="C994" i="3"/>
  <c r="S994" i="3" s="1"/>
  <c r="D994" i="3"/>
  <c r="I994" i="3"/>
  <c r="K994" i="3"/>
  <c r="J994" i="3" s="1"/>
  <c r="L994" i="3"/>
  <c r="M994" i="3"/>
  <c r="P994" i="3" s="1"/>
  <c r="N994" i="3"/>
  <c r="O994" i="3" s="1"/>
  <c r="Q994" i="3"/>
  <c r="R994" i="3"/>
  <c r="B995" i="3"/>
  <c r="C995" i="3"/>
  <c r="S995" i="3" s="1"/>
  <c r="D995" i="3"/>
  <c r="I995" i="3"/>
  <c r="K995" i="3"/>
  <c r="J995" i="3" s="1"/>
  <c r="L995" i="3"/>
  <c r="M995" i="3"/>
  <c r="P995" i="3" s="1"/>
  <c r="N995" i="3"/>
  <c r="O995" i="3" s="1"/>
  <c r="Q995" i="3"/>
  <c r="R995" i="3"/>
  <c r="B996" i="3"/>
  <c r="C996" i="3"/>
  <c r="S996" i="3" s="1"/>
  <c r="D996" i="3"/>
  <c r="I996" i="3"/>
  <c r="K996" i="3"/>
  <c r="J996" i="3" s="1"/>
  <c r="L996" i="3"/>
  <c r="M996" i="3"/>
  <c r="P996" i="3" s="1"/>
  <c r="N996" i="3"/>
  <c r="O996" i="3" s="1"/>
  <c r="Q996" i="3"/>
  <c r="R996" i="3"/>
  <c r="B997" i="3"/>
  <c r="C997" i="3"/>
  <c r="S997" i="3" s="1"/>
  <c r="D997" i="3"/>
  <c r="I997" i="3"/>
  <c r="K997" i="3"/>
  <c r="J997" i="3" s="1"/>
  <c r="L997" i="3"/>
  <c r="M997" i="3"/>
  <c r="P997" i="3" s="1"/>
  <c r="N997" i="3"/>
  <c r="O997" i="3" s="1"/>
  <c r="Q997" i="3"/>
  <c r="R997" i="3"/>
  <c r="B998" i="3"/>
  <c r="C998" i="3"/>
  <c r="S998" i="3" s="1"/>
  <c r="D998" i="3"/>
  <c r="I998" i="3"/>
  <c r="K998" i="3"/>
  <c r="J998" i="3" s="1"/>
  <c r="L998" i="3"/>
  <c r="M998" i="3"/>
  <c r="P998" i="3" s="1"/>
  <c r="N998" i="3"/>
  <c r="O998" i="3" s="1"/>
  <c r="Q998" i="3"/>
  <c r="R998" i="3"/>
  <c r="B999" i="3"/>
  <c r="C999" i="3"/>
  <c r="S999" i="3" s="1"/>
  <c r="D999" i="3"/>
  <c r="I999" i="3"/>
  <c r="K999" i="3"/>
  <c r="J999" i="3" s="1"/>
  <c r="L999" i="3"/>
  <c r="M999" i="3"/>
  <c r="P999" i="3" s="1"/>
  <c r="N999" i="3"/>
  <c r="O999" i="3" s="1"/>
  <c r="Q999" i="3"/>
  <c r="R999" i="3"/>
  <c r="B1000" i="3"/>
  <c r="C1000" i="3"/>
  <c r="S1000" i="3" s="1"/>
  <c r="D1000" i="3"/>
  <c r="I1000" i="3"/>
  <c r="K1000" i="3"/>
  <c r="J1000" i="3" s="1"/>
  <c r="L1000" i="3"/>
  <c r="M1000" i="3"/>
  <c r="P1000" i="3" s="1"/>
  <c r="N1000" i="3"/>
  <c r="O1000" i="3" s="1"/>
  <c r="Q1000" i="3"/>
  <c r="R1000" i="3"/>
  <c r="B1001" i="3"/>
  <c r="C1001" i="3"/>
  <c r="S1001" i="3" s="1"/>
  <c r="D1001" i="3"/>
  <c r="I1001" i="3"/>
  <c r="K1001" i="3"/>
  <c r="J1001" i="3" s="1"/>
  <c r="L1001" i="3"/>
  <c r="M1001" i="3"/>
  <c r="P1001" i="3" s="1"/>
  <c r="N1001" i="3"/>
  <c r="O1001" i="3" s="1"/>
  <c r="Q1001" i="3"/>
  <c r="R1001" i="3"/>
  <c r="B1002" i="3"/>
  <c r="C1002" i="3"/>
  <c r="S1002" i="3" s="1"/>
  <c r="D1002" i="3"/>
  <c r="H1002" i="3"/>
  <c r="I1002" i="3" s="1"/>
  <c r="K1002" i="3"/>
  <c r="L1002" i="3"/>
  <c r="M1002" i="3"/>
  <c r="P1002" i="3" s="1"/>
  <c r="N1002" i="3"/>
  <c r="O1002" i="3" s="1"/>
  <c r="Q1002" i="3"/>
  <c r="R1002" i="3"/>
  <c r="B1003" i="3"/>
  <c r="C1003" i="3"/>
  <c r="S1003" i="3" s="1"/>
  <c r="D1003" i="3"/>
  <c r="I1003" i="3"/>
  <c r="K1003" i="3"/>
  <c r="J1003" i="3" s="1"/>
  <c r="L1003" i="3"/>
  <c r="M1003" i="3"/>
  <c r="P1003" i="3" s="1"/>
  <c r="N1003" i="3"/>
  <c r="O1003" i="3" s="1"/>
  <c r="Q1003" i="3"/>
  <c r="R1003" i="3"/>
  <c r="B1004" i="3"/>
  <c r="C1004" i="3"/>
  <c r="S1004" i="3" s="1"/>
  <c r="D1004" i="3"/>
  <c r="I1004" i="3"/>
  <c r="K1004" i="3"/>
  <c r="J1004" i="3" s="1"/>
  <c r="L1004" i="3"/>
  <c r="M1004" i="3"/>
  <c r="P1004" i="3" s="1"/>
  <c r="N1004" i="3"/>
  <c r="O1004" i="3" s="1"/>
  <c r="Q1004" i="3"/>
  <c r="R1004" i="3"/>
  <c r="B1005" i="3"/>
  <c r="C1005" i="3"/>
  <c r="S1005" i="3" s="1"/>
  <c r="D1005" i="3"/>
  <c r="I1005" i="3"/>
  <c r="K1005" i="3"/>
  <c r="J1005" i="3" s="1"/>
  <c r="L1005" i="3"/>
  <c r="M1005" i="3"/>
  <c r="P1005" i="3" s="1"/>
  <c r="N1005" i="3"/>
  <c r="O1005" i="3" s="1"/>
  <c r="Q1005" i="3"/>
  <c r="R1005" i="3"/>
  <c r="B1006" i="3"/>
  <c r="C1006" i="3"/>
  <c r="S1006" i="3" s="1"/>
  <c r="D1006" i="3"/>
  <c r="I1006" i="3"/>
  <c r="K1006" i="3"/>
  <c r="J1006" i="3" s="1"/>
  <c r="L1006" i="3"/>
  <c r="M1006" i="3"/>
  <c r="P1006" i="3" s="1"/>
  <c r="N1006" i="3"/>
  <c r="O1006" i="3" s="1"/>
  <c r="Q1006" i="3"/>
  <c r="R1006" i="3"/>
  <c r="B1007" i="3"/>
  <c r="C1007" i="3"/>
  <c r="S1007" i="3" s="1"/>
  <c r="D1007" i="3"/>
  <c r="I1007" i="3"/>
  <c r="K1007" i="3"/>
  <c r="J1007" i="3" s="1"/>
  <c r="L1007" i="3"/>
  <c r="M1007" i="3"/>
  <c r="P1007" i="3" s="1"/>
  <c r="N1007" i="3"/>
  <c r="O1007" i="3" s="1"/>
  <c r="Q1007" i="3"/>
  <c r="R1007" i="3"/>
  <c r="B1008" i="3"/>
  <c r="C1008" i="3"/>
  <c r="S1008" i="3" s="1"/>
  <c r="D1008" i="3"/>
  <c r="I1008" i="3"/>
  <c r="K1008" i="3"/>
  <c r="J1008" i="3" s="1"/>
  <c r="L1008" i="3"/>
  <c r="M1008" i="3"/>
  <c r="P1008" i="3" s="1"/>
  <c r="N1008" i="3"/>
  <c r="O1008" i="3" s="1"/>
  <c r="Q1008" i="3"/>
  <c r="R1008" i="3"/>
  <c r="B1009" i="3"/>
  <c r="C1009" i="3"/>
  <c r="S1009" i="3" s="1"/>
  <c r="D1009" i="3"/>
  <c r="H1009" i="3"/>
  <c r="I1009" i="3" s="1"/>
  <c r="K1009" i="3"/>
  <c r="L1009" i="3"/>
  <c r="M1009" i="3"/>
  <c r="P1009" i="3" s="1"/>
  <c r="N1009" i="3"/>
  <c r="O1009" i="3" s="1"/>
  <c r="Q1009" i="3"/>
  <c r="R1009" i="3"/>
  <c r="B1010" i="3"/>
  <c r="C1010" i="3"/>
  <c r="S1010" i="3" s="1"/>
  <c r="D1010" i="3"/>
  <c r="I1010" i="3"/>
  <c r="K1010" i="3"/>
  <c r="J1010" i="3" s="1"/>
  <c r="L1010" i="3"/>
  <c r="M1010" i="3"/>
  <c r="P1010" i="3" s="1"/>
  <c r="N1010" i="3"/>
  <c r="O1010" i="3" s="1"/>
  <c r="Q1010" i="3"/>
  <c r="R1010" i="3"/>
  <c r="B1011" i="3"/>
  <c r="C1011" i="3"/>
  <c r="S1011" i="3" s="1"/>
  <c r="D1011" i="3"/>
  <c r="H1011" i="3"/>
  <c r="I1011" i="3" s="1"/>
  <c r="K1011" i="3"/>
  <c r="L1011" i="3"/>
  <c r="M1011" i="3"/>
  <c r="P1011" i="3" s="1"/>
  <c r="N1011" i="3"/>
  <c r="O1011" i="3" s="1"/>
  <c r="Q1011" i="3"/>
  <c r="R1011" i="3"/>
  <c r="B1012" i="3"/>
  <c r="C1012" i="3"/>
  <c r="S1012" i="3" s="1"/>
  <c r="D1012" i="3"/>
  <c r="I1012" i="3"/>
  <c r="K1012" i="3"/>
  <c r="J1012" i="3" s="1"/>
  <c r="L1012" i="3"/>
  <c r="M1012" i="3"/>
  <c r="P1012" i="3" s="1"/>
  <c r="N1012" i="3"/>
  <c r="O1012" i="3" s="1"/>
  <c r="Q1012" i="3"/>
  <c r="R1012" i="3"/>
  <c r="B1013" i="3"/>
  <c r="C1013" i="3"/>
  <c r="S1013" i="3" s="1"/>
  <c r="D1013" i="3"/>
  <c r="H1013" i="3"/>
  <c r="I1013" i="3" s="1"/>
  <c r="K1013" i="3"/>
  <c r="L1013" i="3"/>
  <c r="M1013" i="3"/>
  <c r="P1013" i="3" s="1"/>
  <c r="N1013" i="3"/>
  <c r="O1013" i="3" s="1"/>
  <c r="Q1013" i="3"/>
  <c r="R1013" i="3"/>
  <c r="B1014" i="3"/>
  <c r="C1014" i="3"/>
  <c r="S1014" i="3" s="1"/>
  <c r="D1014" i="3"/>
  <c r="I1014" i="3"/>
  <c r="K1014" i="3"/>
  <c r="J1014" i="3" s="1"/>
  <c r="L1014" i="3"/>
  <c r="M1014" i="3"/>
  <c r="P1014" i="3" s="1"/>
  <c r="N1014" i="3"/>
  <c r="O1014" i="3" s="1"/>
  <c r="Q1014" i="3"/>
  <c r="R1014" i="3"/>
  <c r="B1015" i="3"/>
  <c r="C1015" i="3"/>
  <c r="S1015" i="3" s="1"/>
  <c r="D1015" i="3"/>
  <c r="H1015" i="3"/>
  <c r="I1015" i="3" s="1"/>
  <c r="K1015" i="3"/>
  <c r="L1015" i="3"/>
  <c r="M1015" i="3"/>
  <c r="P1015" i="3" s="1"/>
  <c r="N1015" i="3"/>
  <c r="O1015" i="3" s="1"/>
  <c r="Q1015" i="3"/>
  <c r="R1015" i="3"/>
  <c r="B1016" i="3"/>
  <c r="C1016" i="3"/>
  <c r="S1016" i="3" s="1"/>
  <c r="D1016" i="3"/>
  <c r="I1016" i="3"/>
  <c r="K1016" i="3"/>
  <c r="J1016" i="3" s="1"/>
  <c r="L1016" i="3"/>
  <c r="M1016" i="3"/>
  <c r="P1016" i="3" s="1"/>
  <c r="N1016" i="3"/>
  <c r="O1016" i="3" s="1"/>
  <c r="Q1016" i="3"/>
  <c r="R1016" i="3"/>
  <c r="B1017" i="3"/>
  <c r="C1017" i="3"/>
  <c r="S1017" i="3" s="1"/>
  <c r="D1017" i="3"/>
  <c r="H1017" i="3"/>
  <c r="I1017" i="3" s="1"/>
  <c r="K1017" i="3"/>
  <c r="L1017" i="3"/>
  <c r="M1017" i="3"/>
  <c r="P1017" i="3" s="1"/>
  <c r="N1017" i="3"/>
  <c r="O1017" i="3" s="1"/>
  <c r="Q1017" i="3"/>
  <c r="R1017" i="3"/>
  <c r="B1018" i="3"/>
  <c r="C1018" i="3"/>
  <c r="S1018" i="3" s="1"/>
  <c r="D1018" i="3"/>
  <c r="I1018" i="3"/>
  <c r="K1018" i="3"/>
  <c r="J1018" i="3" s="1"/>
  <c r="L1018" i="3"/>
  <c r="M1018" i="3"/>
  <c r="P1018" i="3" s="1"/>
  <c r="N1018" i="3"/>
  <c r="O1018" i="3" s="1"/>
  <c r="Q1018" i="3"/>
  <c r="R1018" i="3"/>
  <c r="B1019" i="3"/>
  <c r="C1019" i="3"/>
  <c r="S1019" i="3" s="1"/>
  <c r="D1019" i="3"/>
  <c r="I1019" i="3"/>
  <c r="K1019" i="3"/>
  <c r="J1019" i="3" s="1"/>
  <c r="L1019" i="3"/>
  <c r="M1019" i="3"/>
  <c r="P1019" i="3" s="1"/>
  <c r="N1019" i="3"/>
  <c r="O1019" i="3" s="1"/>
  <c r="Q1019" i="3"/>
  <c r="R1019" i="3"/>
  <c r="B1020" i="3"/>
  <c r="C1020" i="3"/>
  <c r="S1020" i="3" s="1"/>
  <c r="D1020" i="3"/>
  <c r="I1020" i="3"/>
  <c r="K1020" i="3"/>
  <c r="J1020" i="3" s="1"/>
  <c r="L1020" i="3"/>
  <c r="M1020" i="3"/>
  <c r="P1020" i="3" s="1"/>
  <c r="N1020" i="3"/>
  <c r="O1020" i="3" s="1"/>
  <c r="Q1020" i="3"/>
  <c r="R1020" i="3"/>
  <c r="B1021" i="3"/>
  <c r="C1021" i="3"/>
  <c r="S1021" i="3" s="1"/>
  <c r="D1021" i="3"/>
  <c r="I1021" i="3"/>
  <c r="K1021" i="3"/>
  <c r="J1021" i="3" s="1"/>
  <c r="L1021" i="3"/>
  <c r="M1021" i="3"/>
  <c r="P1021" i="3" s="1"/>
  <c r="N1021" i="3"/>
  <c r="O1021" i="3" s="1"/>
  <c r="Q1021" i="3"/>
  <c r="R1021" i="3"/>
  <c r="B1022" i="3"/>
  <c r="C1022" i="3"/>
  <c r="S1022" i="3" s="1"/>
  <c r="D1022" i="3"/>
  <c r="H1022" i="3"/>
  <c r="I1022" i="3" s="1"/>
  <c r="K1022" i="3"/>
  <c r="L1022" i="3"/>
  <c r="M1022" i="3"/>
  <c r="P1022" i="3" s="1"/>
  <c r="N1022" i="3"/>
  <c r="O1022" i="3" s="1"/>
  <c r="Q1022" i="3"/>
  <c r="R1022" i="3"/>
  <c r="B1023" i="3"/>
  <c r="C1023" i="3"/>
  <c r="S1023" i="3" s="1"/>
  <c r="D1023" i="3"/>
  <c r="I1023" i="3"/>
  <c r="K1023" i="3"/>
  <c r="J1023" i="3" s="1"/>
  <c r="L1023" i="3"/>
  <c r="M1023" i="3"/>
  <c r="P1023" i="3" s="1"/>
  <c r="N1023" i="3"/>
  <c r="O1023" i="3" s="1"/>
  <c r="Q1023" i="3"/>
  <c r="R1023" i="3"/>
  <c r="B1024" i="3"/>
  <c r="C1024" i="3"/>
  <c r="S1024" i="3" s="1"/>
  <c r="D1024" i="3"/>
  <c r="I1024" i="3"/>
  <c r="K1024" i="3"/>
  <c r="J1024" i="3" s="1"/>
  <c r="L1024" i="3"/>
  <c r="M1024" i="3"/>
  <c r="P1024" i="3" s="1"/>
  <c r="N1024" i="3"/>
  <c r="O1024" i="3" s="1"/>
  <c r="Q1024" i="3"/>
  <c r="R1024" i="3"/>
  <c r="B1025" i="3"/>
  <c r="C1025" i="3"/>
  <c r="S1025" i="3" s="1"/>
  <c r="D1025" i="3"/>
  <c r="I1025" i="3"/>
  <c r="K1025" i="3"/>
  <c r="J1025" i="3" s="1"/>
  <c r="L1025" i="3"/>
  <c r="M1025" i="3"/>
  <c r="P1025" i="3" s="1"/>
  <c r="N1025" i="3"/>
  <c r="O1025" i="3" s="1"/>
  <c r="Q1025" i="3"/>
  <c r="R1025" i="3"/>
  <c r="B1026" i="3"/>
  <c r="C1026" i="3"/>
  <c r="S1026" i="3" s="1"/>
  <c r="D1026" i="3"/>
  <c r="I1026" i="3"/>
  <c r="K1026" i="3"/>
  <c r="J1026" i="3" s="1"/>
  <c r="L1026" i="3"/>
  <c r="M1026" i="3"/>
  <c r="P1026" i="3" s="1"/>
  <c r="N1026" i="3"/>
  <c r="O1026" i="3" s="1"/>
  <c r="Q1026" i="3"/>
  <c r="R1026" i="3"/>
  <c r="B1027" i="3"/>
  <c r="C1027" i="3"/>
  <c r="S1027" i="3" s="1"/>
  <c r="D1027" i="3"/>
  <c r="I1027" i="3"/>
  <c r="K1027" i="3"/>
  <c r="J1027" i="3" s="1"/>
  <c r="L1027" i="3"/>
  <c r="M1027" i="3"/>
  <c r="P1027" i="3" s="1"/>
  <c r="N1027" i="3"/>
  <c r="O1027" i="3" s="1"/>
  <c r="Q1027" i="3"/>
  <c r="R1027" i="3"/>
  <c r="B1028" i="3"/>
  <c r="C1028" i="3"/>
  <c r="S1028" i="3" s="1"/>
  <c r="D1028" i="3"/>
  <c r="I1028" i="3"/>
  <c r="K1028" i="3"/>
  <c r="J1028" i="3" s="1"/>
  <c r="L1028" i="3"/>
  <c r="M1028" i="3"/>
  <c r="P1028" i="3" s="1"/>
  <c r="N1028" i="3"/>
  <c r="O1028" i="3" s="1"/>
  <c r="Q1028" i="3"/>
  <c r="R1028" i="3"/>
  <c r="B1029" i="3"/>
  <c r="C1029" i="3"/>
  <c r="S1029" i="3" s="1"/>
  <c r="D1029" i="3"/>
  <c r="I1029" i="3"/>
  <c r="K1029" i="3"/>
  <c r="J1029" i="3" s="1"/>
  <c r="L1029" i="3"/>
  <c r="M1029" i="3"/>
  <c r="P1029" i="3" s="1"/>
  <c r="N1029" i="3"/>
  <c r="O1029" i="3" s="1"/>
  <c r="Q1029" i="3"/>
  <c r="R1029" i="3"/>
  <c r="B1030" i="3"/>
  <c r="C1030" i="3"/>
  <c r="S1030" i="3" s="1"/>
  <c r="D1030" i="3"/>
  <c r="I1030" i="3"/>
  <c r="K1030" i="3"/>
  <c r="J1030" i="3" s="1"/>
  <c r="L1030" i="3"/>
  <c r="M1030" i="3"/>
  <c r="P1030" i="3" s="1"/>
  <c r="N1030" i="3"/>
  <c r="O1030" i="3" s="1"/>
  <c r="Q1030" i="3"/>
  <c r="R1030" i="3"/>
  <c r="B1031" i="3"/>
  <c r="C1031" i="3"/>
  <c r="S1031" i="3" s="1"/>
  <c r="D1031" i="3"/>
  <c r="I1031" i="3"/>
  <c r="K1031" i="3"/>
  <c r="J1031" i="3" s="1"/>
  <c r="L1031" i="3"/>
  <c r="M1031" i="3"/>
  <c r="P1031" i="3" s="1"/>
  <c r="N1031" i="3"/>
  <c r="O1031" i="3" s="1"/>
  <c r="Q1031" i="3"/>
  <c r="R1031" i="3"/>
  <c r="B1032" i="3"/>
  <c r="C1032" i="3"/>
  <c r="S1032" i="3" s="1"/>
  <c r="D1032" i="3"/>
  <c r="I1032" i="3"/>
  <c r="K1032" i="3"/>
  <c r="J1032" i="3" s="1"/>
  <c r="L1032" i="3"/>
  <c r="M1032" i="3"/>
  <c r="P1032" i="3" s="1"/>
  <c r="N1032" i="3"/>
  <c r="O1032" i="3" s="1"/>
  <c r="Q1032" i="3"/>
  <c r="R1032" i="3"/>
  <c r="B1033" i="3"/>
  <c r="C1033" i="3"/>
  <c r="S1033" i="3" s="1"/>
  <c r="D1033" i="3"/>
  <c r="I1033" i="3"/>
  <c r="K1033" i="3"/>
  <c r="J1033" i="3" s="1"/>
  <c r="L1033" i="3"/>
  <c r="M1033" i="3"/>
  <c r="P1033" i="3" s="1"/>
  <c r="N1033" i="3"/>
  <c r="O1033" i="3" s="1"/>
  <c r="Q1033" i="3"/>
  <c r="R1033" i="3"/>
  <c r="B1034" i="3"/>
  <c r="C1034" i="3"/>
  <c r="S1034" i="3" s="1"/>
  <c r="D1034" i="3"/>
  <c r="I1034" i="3"/>
  <c r="K1034" i="3"/>
  <c r="J1034" i="3" s="1"/>
  <c r="L1034" i="3"/>
  <c r="M1034" i="3"/>
  <c r="P1034" i="3" s="1"/>
  <c r="N1034" i="3"/>
  <c r="O1034" i="3" s="1"/>
  <c r="Q1034" i="3"/>
  <c r="R1034" i="3"/>
  <c r="B1035" i="3"/>
  <c r="C1035" i="3"/>
  <c r="S1035" i="3" s="1"/>
  <c r="D1035" i="3"/>
  <c r="I1035" i="3"/>
  <c r="K1035" i="3"/>
  <c r="J1035" i="3" s="1"/>
  <c r="L1035" i="3"/>
  <c r="M1035" i="3"/>
  <c r="P1035" i="3" s="1"/>
  <c r="N1035" i="3"/>
  <c r="O1035" i="3" s="1"/>
  <c r="Q1035" i="3"/>
  <c r="R1035" i="3"/>
  <c r="B1036" i="3"/>
  <c r="C1036" i="3"/>
  <c r="S1036" i="3" s="1"/>
  <c r="D1036" i="3"/>
  <c r="I1036" i="3"/>
  <c r="K1036" i="3"/>
  <c r="J1036" i="3" s="1"/>
  <c r="L1036" i="3"/>
  <c r="M1036" i="3"/>
  <c r="P1036" i="3" s="1"/>
  <c r="N1036" i="3"/>
  <c r="O1036" i="3" s="1"/>
  <c r="Q1036" i="3"/>
  <c r="R1036" i="3"/>
  <c r="B1037" i="3"/>
  <c r="C1037" i="3"/>
  <c r="S1037" i="3" s="1"/>
  <c r="D1037" i="3"/>
  <c r="I1037" i="3"/>
  <c r="K1037" i="3"/>
  <c r="J1037" i="3" s="1"/>
  <c r="L1037" i="3"/>
  <c r="M1037" i="3"/>
  <c r="P1037" i="3" s="1"/>
  <c r="N1037" i="3"/>
  <c r="O1037" i="3" s="1"/>
  <c r="Q1037" i="3"/>
  <c r="R1037" i="3"/>
  <c r="B1038" i="3"/>
  <c r="C1038" i="3"/>
  <c r="S1038" i="3" s="1"/>
  <c r="D1038" i="3"/>
  <c r="I1038" i="3"/>
  <c r="K1038" i="3"/>
  <c r="J1038" i="3" s="1"/>
  <c r="L1038" i="3"/>
  <c r="M1038" i="3"/>
  <c r="P1038" i="3" s="1"/>
  <c r="N1038" i="3"/>
  <c r="O1038" i="3" s="1"/>
  <c r="Q1038" i="3"/>
  <c r="R1038" i="3"/>
  <c r="B1039" i="3"/>
  <c r="C1039" i="3"/>
  <c r="S1039" i="3" s="1"/>
  <c r="D1039" i="3"/>
  <c r="I1039" i="3"/>
  <c r="K1039" i="3"/>
  <c r="J1039" i="3" s="1"/>
  <c r="L1039" i="3"/>
  <c r="M1039" i="3"/>
  <c r="P1039" i="3" s="1"/>
  <c r="N1039" i="3"/>
  <c r="O1039" i="3" s="1"/>
  <c r="Q1039" i="3"/>
  <c r="R1039" i="3"/>
  <c r="B1040" i="3"/>
  <c r="C1040" i="3"/>
  <c r="S1040" i="3" s="1"/>
  <c r="D1040" i="3"/>
  <c r="I1040" i="3"/>
  <c r="K1040" i="3"/>
  <c r="J1040" i="3" s="1"/>
  <c r="L1040" i="3"/>
  <c r="M1040" i="3"/>
  <c r="P1040" i="3" s="1"/>
  <c r="N1040" i="3"/>
  <c r="O1040" i="3" s="1"/>
  <c r="Q1040" i="3"/>
  <c r="R1040" i="3"/>
  <c r="B1041" i="3"/>
  <c r="C1041" i="3"/>
  <c r="S1041" i="3" s="1"/>
  <c r="D1041" i="3"/>
  <c r="I1041" i="3"/>
  <c r="K1041" i="3"/>
  <c r="J1041" i="3" s="1"/>
  <c r="L1041" i="3"/>
  <c r="M1041" i="3"/>
  <c r="P1041" i="3" s="1"/>
  <c r="N1041" i="3"/>
  <c r="O1041" i="3" s="1"/>
  <c r="Q1041" i="3"/>
  <c r="R1041" i="3"/>
  <c r="B1042" i="3"/>
  <c r="C1042" i="3"/>
  <c r="S1042" i="3" s="1"/>
  <c r="D1042" i="3"/>
  <c r="I1042" i="3"/>
  <c r="K1042" i="3"/>
  <c r="J1042" i="3" s="1"/>
  <c r="L1042" i="3"/>
  <c r="M1042" i="3"/>
  <c r="P1042" i="3" s="1"/>
  <c r="N1042" i="3"/>
  <c r="O1042" i="3" s="1"/>
  <c r="Q1042" i="3"/>
  <c r="R1042" i="3"/>
  <c r="B1043" i="3"/>
  <c r="C1043" i="3"/>
  <c r="S1043" i="3" s="1"/>
  <c r="D1043" i="3"/>
  <c r="I1043" i="3"/>
  <c r="K1043" i="3"/>
  <c r="J1043" i="3" s="1"/>
  <c r="L1043" i="3"/>
  <c r="M1043" i="3"/>
  <c r="P1043" i="3" s="1"/>
  <c r="N1043" i="3"/>
  <c r="O1043" i="3" s="1"/>
  <c r="Q1043" i="3"/>
  <c r="R1043" i="3"/>
  <c r="B1044" i="3"/>
  <c r="C1044" i="3"/>
  <c r="S1044" i="3" s="1"/>
  <c r="D1044" i="3"/>
  <c r="I1044" i="3"/>
  <c r="K1044" i="3"/>
  <c r="J1044" i="3" s="1"/>
  <c r="L1044" i="3"/>
  <c r="M1044" i="3"/>
  <c r="P1044" i="3" s="1"/>
  <c r="N1044" i="3"/>
  <c r="O1044" i="3" s="1"/>
  <c r="Q1044" i="3"/>
  <c r="R1044" i="3"/>
  <c r="B1045" i="3"/>
  <c r="C1045" i="3"/>
  <c r="S1045" i="3" s="1"/>
  <c r="D1045" i="3"/>
  <c r="I1045" i="3"/>
  <c r="K1045" i="3"/>
  <c r="J1045" i="3" s="1"/>
  <c r="L1045" i="3"/>
  <c r="M1045" i="3"/>
  <c r="P1045" i="3" s="1"/>
  <c r="N1045" i="3"/>
  <c r="O1045" i="3" s="1"/>
  <c r="Q1045" i="3"/>
  <c r="R1045" i="3"/>
  <c r="B1046" i="3"/>
  <c r="C1046" i="3"/>
  <c r="S1046" i="3" s="1"/>
  <c r="D1046" i="3"/>
  <c r="I1046" i="3"/>
  <c r="K1046" i="3"/>
  <c r="J1046" i="3" s="1"/>
  <c r="L1046" i="3"/>
  <c r="M1046" i="3"/>
  <c r="P1046" i="3" s="1"/>
  <c r="N1046" i="3"/>
  <c r="O1046" i="3" s="1"/>
  <c r="Q1046" i="3"/>
  <c r="R1046" i="3"/>
  <c r="B1047" i="3"/>
  <c r="C1047" i="3"/>
  <c r="S1047" i="3" s="1"/>
  <c r="D1047" i="3"/>
  <c r="H1047" i="3"/>
  <c r="H1049" i="3" s="1"/>
  <c r="I1049" i="3" s="1"/>
  <c r="K1047" i="3"/>
  <c r="L1047" i="3"/>
  <c r="M1047" i="3"/>
  <c r="P1047" i="3" s="1"/>
  <c r="N1047" i="3"/>
  <c r="O1047" i="3" s="1"/>
  <c r="Q1047" i="3"/>
  <c r="R1047" i="3"/>
  <c r="B1048" i="3"/>
  <c r="C1048" i="3"/>
  <c r="S1048" i="3" s="1"/>
  <c r="D1048" i="3"/>
  <c r="I1048" i="3"/>
  <c r="K1048" i="3"/>
  <c r="J1048" i="3" s="1"/>
  <c r="L1048" i="3"/>
  <c r="M1048" i="3"/>
  <c r="P1048" i="3" s="1"/>
  <c r="N1048" i="3"/>
  <c r="O1048" i="3" s="1"/>
  <c r="Q1048" i="3"/>
  <c r="R1048" i="3"/>
  <c r="B1049" i="3"/>
  <c r="C1049" i="3"/>
  <c r="S1049" i="3" s="1"/>
  <c r="D1049" i="3"/>
  <c r="K1049" i="3"/>
  <c r="L1049" i="3"/>
  <c r="M1049" i="3"/>
  <c r="P1049" i="3" s="1"/>
  <c r="N1049" i="3"/>
  <c r="O1049" i="3" s="1"/>
  <c r="Q1049" i="3"/>
  <c r="R1049" i="3"/>
  <c r="B1050" i="3"/>
  <c r="C1050" i="3"/>
  <c r="S1050" i="3" s="1"/>
  <c r="D1050" i="3"/>
  <c r="I1050" i="3"/>
  <c r="K1050" i="3"/>
  <c r="J1050" i="3" s="1"/>
  <c r="L1050" i="3"/>
  <c r="M1050" i="3"/>
  <c r="P1050" i="3" s="1"/>
  <c r="N1050" i="3"/>
  <c r="O1050" i="3" s="1"/>
  <c r="Q1050" i="3"/>
  <c r="R1050" i="3"/>
  <c r="B1051" i="3"/>
  <c r="C1051" i="3"/>
  <c r="S1051" i="3" s="1"/>
  <c r="D1051" i="3"/>
  <c r="I1051" i="3"/>
  <c r="K1051" i="3"/>
  <c r="J1051" i="3" s="1"/>
  <c r="L1051" i="3"/>
  <c r="M1051" i="3"/>
  <c r="P1051" i="3" s="1"/>
  <c r="N1051" i="3"/>
  <c r="O1051" i="3" s="1"/>
  <c r="Q1051" i="3"/>
  <c r="R1051" i="3"/>
  <c r="B1052" i="3"/>
  <c r="C1052" i="3"/>
  <c r="S1052" i="3" s="1"/>
  <c r="D1052" i="3"/>
  <c r="I1052" i="3"/>
  <c r="K1052" i="3"/>
  <c r="J1052" i="3" s="1"/>
  <c r="L1052" i="3"/>
  <c r="M1052" i="3"/>
  <c r="P1052" i="3" s="1"/>
  <c r="N1052" i="3"/>
  <c r="O1052" i="3" s="1"/>
  <c r="Q1052" i="3"/>
  <c r="R1052" i="3"/>
  <c r="B1053" i="3"/>
  <c r="C1053" i="3"/>
  <c r="S1053" i="3" s="1"/>
  <c r="D1053" i="3"/>
  <c r="I1053" i="3"/>
  <c r="K1053" i="3"/>
  <c r="J1053" i="3" s="1"/>
  <c r="L1053" i="3"/>
  <c r="M1053" i="3"/>
  <c r="P1053" i="3" s="1"/>
  <c r="N1053" i="3"/>
  <c r="O1053" i="3" s="1"/>
  <c r="Q1053" i="3"/>
  <c r="R1053" i="3"/>
  <c r="B1054" i="3"/>
  <c r="C1054" i="3"/>
  <c r="S1054" i="3" s="1"/>
  <c r="D1054" i="3"/>
  <c r="H1054" i="3"/>
  <c r="I1054" i="3" s="1"/>
  <c r="K1054" i="3"/>
  <c r="L1054" i="3"/>
  <c r="M1054" i="3"/>
  <c r="P1054" i="3" s="1"/>
  <c r="N1054" i="3"/>
  <c r="O1054" i="3" s="1"/>
  <c r="Q1054" i="3"/>
  <c r="R1054" i="3"/>
  <c r="B1055" i="3"/>
  <c r="C1055" i="3"/>
  <c r="S1055" i="3" s="1"/>
  <c r="D1055" i="3"/>
  <c r="I1055" i="3"/>
  <c r="K1055" i="3"/>
  <c r="J1055" i="3" s="1"/>
  <c r="L1055" i="3"/>
  <c r="M1055" i="3"/>
  <c r="P1055" i="3" s="1"/>
  <c r="N1055" i="3"/>
  <c r="O1055" i="3" s="1"/>
  <c r="Q1055" i="3"/>
  <c r="R1055" i="3"/>
  <c r="B1056" i="3"/>
  <c r="C1056" i="3"/>
  <c r="S1056" i="3" s="1"/>
  <c r="D1056" i="3"/>
  <c r="I1056" i="3"/>
  <c r="K1056" i="3"/>
  <c r="J1056" i="3" s="1"/>
  <c r="L1056" i="3"/>
  <c r="M1056" i="3"/>
  <c r="P1056" i="3" s="1"/>
  <c r="N1056" i="3"/>
  <c r="O1056" i="3" s="1"/>
  <c r="Q1056" i="3"/>
  <c r="R1056" i="3"/>
  <c r="B1057" i="3"/>
  <c r="C1057" i="3"/>
  <c r="S1057" i="3" s="1"/>
  <c r="D1057" i="3"/>
  <c r="I1057" i="3"/>
  <c r="K1057" i="3"/>
  <c r="J1057" i="3" s="1"/>
  <c r="L1057" i="3"/>
  <c r="M1057" i="3"/>
  <c r="P1057" i="3" s="1"/>
  <c r="N1057" i="3"/>
  <c r="O1057" i="3" s="1"/>
  <c r="Q1057" i="3"/>
  <c r="R1057" i="3"/>
  <c r="B1058" i="3"/>
  <c r="C1058" i="3"/>
  <c r="S1058" i="3" s="1"/>
  <c r="D1058" i="3"/>
  <c r="I1058" i="3"/>
  <c r="K1058" i="3"/>
  <c r="J1058" i="3" s="1"/>
  <c r="L1058" i="3"/>
  <c r="M1058" i="3"/>
  <c r="P1058" i="3" s="1"/>
  <c r="N1058" i="3"/>
  <c r="O1058" i="3" s="1"/>
  <c r="Q1058" i="3"/>
  <c r="R1058" i="3"/>
  <c r="B1059" i="3"/>
  <c r="C1059" i="3"/>
  <c r="S1059" i="3" s="1"/>
  <c r="D1059" i="3"/>
  <c r="I1059" i="3"/>
  <c r="K1059" i="3"/>
  <c r="J1059" i="3" s="1"/>
  <c r="L1059" i="3"/>
  <c r="M1059" i="3"/>
  <c r="P1059" i="3" s="1"/>
  <c r="N1059" i="3"/>
  <c r="O1059" i="3" s="1"/>
  <c r="Q1059" i="3"/>
  <c r="R1059" i="3"/>
  <c r="B1060" i="3"/>
  <c r="C1060" i="3"/>
  <c r="S1060" i="3" s="1"/>
  <c r="D1060" i="3"/>
  <c r="I1060" i="3"/>
  <c r="K1060" i="3"/>
  <c r="J1060" i="3" s="1"/>
  <c r="L1060" i="3"/>
  <c r="M1060" i="3"/>
  <c r="P1060" i="3" s="1"/>
  <c r="N1060" i="3"/>
  <c r="O1060" i="3" s="1"/>
  <c r="Q1060" i="3"/>
  <c r="R1060" i="3"/>
  <c r="B1061" i="3"/>
  <c r="C1061" i="3"/>
  <c r="S1061" i="3" s="1"/>
  <c r="D1061" i="3"/>
  <c r="H1061" i="3"/>
  <c r="K1061" i="3"/>
  <c r="L1061" i="3"/>
  <c r="M1061" i="3"/>
  <c r="P1061" i="3" s="1"/>
  <c r="N1061" i="3"/>
  <c r="O1061" i="3" s="1"/>
  <c r="Q1061" i="3"/>
  <c r="R1061" i="3"/>
  <c r="B1062" i="3"/>
  <c r="C1062" i="3"/>
  <c r="S1062" i="3" s="1"/>
  <c r="D1062" i="3"/>
  <c r="I1062" i="3"/>
  <c r="K1062" i="3"/>
  <c r="J1062" i="3" s="1"/>
  <c r="L1062" i="3"/>
  <c r="M1062" i="3"/>
  <c r="P1062" i="3" s="1"/>
  <c r="N1062" i="3"/>
  <c r="O1062" i="3" s="1"/>
  <c r="Q1062" i="3"/>
  <c r="R1062" i="3"/>
  <c r="B1063" i="3"/>
  <c r="C1063" i="3"/>
  <c r="S1063" i="3" s="1"/>
  <c r="D1063" i="3"/>
  <c r="I1063" i="3"/>
  <c r="K1063" i="3"/>
  <c r="J1063" i="3" s="1"/>
  <c r="L1063" i="3"/>
  <c r="M1063" i="3"/>
  <c r="P1063" i="3" s="1"/>
  <c r="N1063" i="3"/>
  <c r="O1063" i="3" s="1"/>
  <c r="Q1063" i="3"/>
  <c r="R1063" i="3"/>
  <c r="B1064" i="3"/>
  <c r="C1064" i="3"/>
  <c r="S1064" i="3" s="1"/>
  <c r="D1064" i="3"/>
  <c r="I1064" i="3"/>
  <c r="K1064" i="3"/>
  <c r="J1064" i="3" s="1"/>
  <c r="L1064" i="3"/>
  <c r="M1064" i="3"/>
  <c r="P1064" i="3" s="1"/>
  <c r="N1064" i="3"/>
  <c r="O1064" i="3" s="1"/>
  <c r="Q1064" i="3"/>
  <c r="R1064" i="3"/>
  <c r="B1065" i="3"/>
  <c r="C1065" i="3"/>
  <c r="S1065" i="3" s="1"/>
  <c r="D1065" i="3"/>
  <c r="I1065" i="3"/>
  <c r="K1065" i="3"/>
  <c r="J1065" i="3" s="1"/>
  <c r="L1065" i="3"/>
  <c r="M1065" i="3"/>
  <c r="P1065" i="3" s="1"/>
  <c r="N1065" i="3"/>
  <c r="O1065" i="3" s="1"/>
  <c r="Q1065" i="3"/>
  <c r="R1065" i="3"/>
  <c r="B1066" i="3"/>
  <c r="C1066" i="3"/>
  <c r="S1066" i="3" s="1"/>
  <c r="D1066" i="3"/>
  <c r="I1066" i="3"/>
  <c r="K1066" i="3"/>
  <c r="J1066" i="3" s="1"/>
  <c r="L1066" i="3"/>
  <c r="M1066" i="3"/>
  <c r="P1066" i="3" s="1"/>
  <c r="N1066" i="3"/>
  <c r="O1066" i="3" s="1"/>
  <c r="Q1066" i="3"/>
  <c r="R1066" i="3"/>
  <c r="B1067" i="3"/>
  <c r="C1067" i="3"/>
  <c r="S1067" i="3" s="1"/>
  <c r="D1067" i="3"/>
  <c r="I1067" i="3"/>
  <c r="K1067" i="3"/>
  <c r="J1067" i="3" s="1"/>
  <c r="L1067" i="3"/>
  <c r="M1067" i="3"/>
  <c r="P1067" i="3" s="1"/>
  <c r="N1067" i="3"/>
  <c r="O1067" i="3" s="1"/>
  <c r="Q1067" i="3"/>
  <c r="R1067" i="3"/>
  <c r="B1068" i="3"/>
  <c r="C1068" i="3"/>
  <c r="S1068" i="3" s="1"/>
  <c r="D1068" i="3"/>
  <c r="I1068" i="3"/>
  <c r="K1068" i="3"/>
  <c r="J1068" i="3" s="1"/>
  <c r="L1068" i="3"/>
  <c r="M1068" i="3"/>
  <c r="P1068" i="3" s="1"/>
  <c r="N1068" i="3"/>
  <c r="O1068" i="3" s="1"/>
  <c r="Q1068" i="3"/>
  <c r="R1068" i="3"/>
  <c r="B1069" i="3"/>
  <c r="C1069" i="3"/>
  <c r="S1069" i="3" s="1"/>
  <c r="D1069" i="3"/>
  <c r="I1069" i="3"/>
  <c r="K1069" i="3"/>
  <c r="J1069" i="3" s="1"/>
  <c r="L1069" i="3"/>
  <c r="M1069" i="3"/>
  <c r="P1069" i="3" s="1"/>
  <c r="N1069" i="3"/>
  <c r="O1069" i="3" s="1"/>
  <c r="Q1069" i="3"/>
  <c r="R1069" i="3"/>
  <c r="B1070" i="3"/>
  <c r="C1070" i="3"/>
  <c r="S1070" i="3" s="1"/>
  <c r="D1070" i="3"/>
  <c r="I1070" i="3"/>
  <c r="K1070" i="3"/>
  <c r="J1070" i="3" s="1"/>
  <c r="L1070" i="3"/>
  <c r="M1070" i="3"/>
  <c r="P1070" i="3" s="1"/>
  <c r="N1070" i="3"/>
  <c r="O1070" i="3" s="1"/>
  <c r="Q1070" i="3"/>
  <c r="R1070" i="3"/>
  <c r="B1071" i="3"/>
  <c r="C1071" i="3"/>
  <c r="S1071" i="3" s="1"/>
  <c r="D1071" i="3"/>
  <c r="I1071" i="3"/>
  <c r="K1071" i="3"/>
  <c r="J1071" i="3" s="1"/>
  <c r="L1071" i="3"/>
  <c r="M1071" i="3"/>
  <c r="P1071" i="3" s="1"/>
  <c r="N1071" i="3"/>
  <c r="O1071" i="3" s="1"/>
  <c r="Q1071" i="3"/>
  <c r="R1071" i="3"/>
  <c r="B1072" i="3"/>
  <c r="C1072" i="3"/>
  <c r="S1072" i="3" s="1"/>
  <c r="D1072" i="3"/>
  <c r="I1072" i="3"/>
  <c r="K1072" i="3"/>
  <c r="J1072" i="3" s="1"/>
  <c r="L1072" i="3"/>
  <c r="M1072" i="3"/>
  <c r="P1072" i="3" s="1"/>
  <c r="N1072" i="3"/>
  <c r="O1072" i="3" s="1"/>
  <c r="Q1072" i="3"/>
  <c r="R1072" i="3"/>
  <c r="B1073" i="3"/>
  <c r="C1073" i="3"/>
  <c r="S1073" i="3" s="1"/>
  <c r="D1073" i="3"/>
  <c r="I1073" i="3"/>
  <c r="K1073" i="3"/>
  <c r="J1073" i="3" s="1"/>
  <c r="L1073" i="3"/>
  <c r="M1073" i="3"/>
  <c r="P1073" i="3" s="1"/>
  <c r="N1073" i="3"/>
  <c r="O1073" i="3" s="1"/>
  <c r="Q1073" i="3"/>
  <c r="R1073" i="3"/>
  <c r="B1074" i="3"/>
  <c r="C1074" i="3"/>
  <c r="S1074" i="3" s="1"/>
  <c r="D1074" i="3"/>
  <c r="H1074" i="3"/>
  <c r="I1074" i="3" s="1"/>
  <c r="K1074" i="3"/>
  <c r="L1074" i="3"/>
  <c r="M1074" i="3"/>
  <c r="P1074" i="3" s="1"/>
  <c r="N1074" i="3"/>
  <c r="O1074" i="3" s="1"/>
  <c r="Q1074" i="3"/>
  <c r="R1074" i="3"/>
  <c r="B1075" i="3"/>
  <c r="C1075" i="3"/>
  <c r="S1075" i="3" s="1"/>
  <c r="D1075" i="3"/>
  <c r="H1075" i="3"/>
  <c r="I1075" i="3" s="1"/>
  <c r="K1075" i="3"/>
  <c r="L1075" i="3"/>
  <c r="M1075" i="3"/>
  <c r="P1075" i="3" s="1"/>
  <c r="N1075" i="3"/>
  <c r="O1075" i="3" s="1"/>
  <c r="Q1075" i="3"/>
  <c r="R1075" i="3"/>
  <c r="B1076" i="3"/>
  <c r="C1076" i="3"/>
  <c r="S1076" i="3" s="1"/>
  <c r="D1076" i="3"/>
  <c r="H1076" i="3"/>
  <c r="I1076" i="3" s="1"/>
  <c r="K1076" i="3"/>
  <c r="L1076" i="3"/>
  <c r="M1076" i="3"/>
  <c r="P1076" i="3" s="1"/>
  <c r="N1076" i="3"/>
  <c r="O1076" i="3" s="1"/>
  <c r="Q1076" i="3"/>
  <c r="R1076" i="3"/>
  <c r="B1077" i="3"/>
  <c r="C1077" i="3"/>
  <c r="S1077" i="3" s="1"/>
  <c r="D1077" i="3"/>
  <c r="I1077" i="3"/>
  <c r="K1077" i="3"/>
  <c r="J1077" i="3" s="1"/>
  <c r="L1077" i="3"/>
  <c r="M1077" i="3"/>
  <c r="P1077" i="3" s="1"/>
  <c r="N1077" i="3"/>
  <c r="O1077" i="3" s="1"/>
  <c r="Q1077" i="3"/>
  <c r="R1077" i="3"/>
  <c r="B1078" i="3"/>
  <c r="C1078" i="3"/>
  <c r="S1078" i="3" s="1"/>
  <c r="D1078" i="3"/>
  <c r="I1078" i="3"/>
  <c r="K1078" i="3"/>
  <c r="J1078" i="3" s="1"/>
  <c r="L1078" i="3"/>
  <c r="M1078" i="3"/>
  <c r="P1078" i="3" s="1"/>
  <c r="N1078" i="3"/>
  <c r="O1078" i="3" s="1"/>
  <c r="Q1078" i="3"/>
  <c r="R1078" i="3"/>
  <c r="B1079" i="3"/>
  <c r="C1079" i="3"/>
  <c r="S1079" i="3" s="1"/>
  <c r="D1079" i="3"/>
  <c r="I1079" i="3"/>
  <c r="K1079" i="3"/>
  <c r="J1079" i="3" s="1"/>
  <c r="L1079" i="3"/>
  <c r="M1079" i="3"/>
  <c r="P1079" i="3" s="1"/>
  <c r="N1079" i="3"/>
  <c r="O1079" i="3" s="1"/>
  <c r="Q1079" i="3"/>
  <c r="R1079" i="3"/>
  <c r="B1080" i="3"/>
  <c r="C1080" i="3"/>
  <c r="S1080" i="3" s="1"/>
  <c r="D1080" i="3"/>
  <c r="I1080" i="3"/>
  <c r="K1080" i="3"/>
  <c r="J1080" i="3" s="1"/>
  <c r="L1080" i="3"/>
  <c r="M1080" i="3"/>
  <c r="P1080" i="3" s="1"/>
  <c r="N1080" i="3"/>
  <c r="O1080" i="3" s="1"/>
  <c r="Q1080" i="3"/>
  <c r="R1080" i="3"/>
  <c r="B1081" i="3"/>
  <c r="C1081" i="3"/>
  <c r="S1081" i="3" s="1"/>
  <c r="D1081" i="3"/>
  <c r="I1081" i="3"/>
  <c r="K1081" i="3"/>
  <c r="J1081" i="3" s="1"/>
  <c r="L1081" i="3"/>
  <c r="M1081" i="3"/>
  <c r="P1081" i="3" s="1"/>
  <c r="N1081" i="3"/>
  <c r="O1081" i="3" s="1"/>
  <c r="Q1081" i="3"/>
  <c r="R1081" i="3"/>
  <c r="B1082" i="3"/>
  <c r="C1082" i="3"/>
  <c r="S1082" i="3" s="1"/>
  <c r="D1082" i="3"/>
  <c r="I1082" i="3"/>
  <c r="K1082" i="3"/>
  <c r="J1082" i="3" s="1"/>
  <c r="L1082" i="3"/>
  <c r="M1082" i="3"/>
  <c r="P1082" i="3" s="1"/>
  <c r="N1082" i="3"/>
  <c r="O1082" i="3" s="1"/>
  <c r="Q1082" i="3"/>
  <c r="R1082" i="3"/>
  <c r="B1083" i="3"/>
  <c r="C1083" i="3"/>
  <c r="S1083" i="3" s="1"/>
  <c r="D1083" i="3"/>
  <c r="I1083" i="3"/>
  <c r="K1083" i="3"/>
  <c r="J1083" i="3" s="1"/>
  <c r="L1083" i="3"/>
  <c r="M1083" i="3"/>
  <c r="P1083" i="3" s="1"/>
  <c r="N1083" i="3"/>
  <c r="O1083" i="3" s="1"/>
  <c r="Q1083" i="3"/>
  <c r="R1083" i="3"/>
  <c r="B1084" i="3"/>
  <c r="C1084" i="3"/>
  <c r="S1084" i="3" s="1"/>
  <c r="D1084" i="3"/>
  <c r="I1084" i="3"/>
  <c r="K1084" i="3"/>
  <c r="J1084" i="3" s="1"/>
  <c r="L1084" i="3"/>
  <c r="M1084" i="3"/>
  <c r="P1084" i="3" s="1"/>
  <c r="N1084" i="3"/>
  <c r="O1084" i="3" s="1"/>
  <c r="Q1084" i="3"/>
  <c r="R1084" i="3"/>
  <c r="B1085" i="3"/>
  <c r="C1085" i="3"/>
  <c r="S1085" i="3" s="1"/>
  <c r="D1085" i="3"/>
  <c r="H1085" i="3"/>
  <c r="I1085" i="3" s="1"/>
  <c r="K1085" i="3"/>
  <c r="L1085" i="3"/>
  <c r="M1085" i="3"/>
  <c r="P1085" i="3" s="1"/>
  <c r="N1085" i="3"/>
  <c r="O1085" i="3" s="1"/>
  <c r="Q1085" i="3"/>
  <c r="R1085" i="3"/>
  <c r="B1086" i="3"/>
  <c r="C1086" i="3"/>
  <c r="S1086" i="3" s="1"/>
  <c r="D1086" i="3"/>
  <c r="I1086" i="3"/>
  <c r="K1086" i="3"/>
  <c r="J1086" i="3" s="1"/>
  <c r="L1086" i="3"/>
  <c r="M1086" i="3"/>
  <c r="P1086" i="3" s="1"/>
  <c r="N1086" i="3"/>
  <c r="O1086" i="3" s="1"/>
  <c r="Q1086" i="3"/>
  <c r="R1086" i="3"/>
  <c r="B1087" i="3"/>
  <c r="C1087" i="3"/>
  <c r="S1087" i="3" s="1"/>
  <c r="D1087" i="3"/>
  <c r="I1087" i="3"/>
  <c r="K1087" i="3"/>
  <c r="J1087" i="3" s="1"/>
  <c r="L1087" i="3"/>
  <c r="M1087" i="3"/>
  <c r="P1087" i="3" s="1"/>
  <c r="N1087" i="3"/>
  <c r="O1087" i="3" s="1"/>
  <c r="Q1087" i="3"/>
  <c r="R1087" i="3"/>
  <c r="B1088" i="3"/>
  <c r="C1088" i="3"/>
  <c r="S1088" i="3" s="1"/>
  <c r="D1088" i="3"/>
  <c r="I1088" i="3"/>
  <c r="K1088" i="3"/>
  <c r="J1088" i="3" s="1"/>
  <c r="L1088" i="3"/>
  <c r="M1088" i="3"/>
  <c r="P1088" i="3" s="1"/>
  <c r="N1088" i="3"/>
  <c r="O1088" i="3" s="1"/>
  <c r="Q1088" i="3"/>
  <c r="R1088" i="3"/>
  <c r="B1089" i="3"/>
  <c r="C1089" i="3"/>
  <c r="S1089" i="3" s="1"/>
  <c r="D1089" i="3"/>
  <c r="I1089" i="3"/>
  <c r="K1089" i="3"/>
  <c r="J1089" i="3" s="1"/>
  <c r="L1089" i="3"/>
  <c r="M1089" i="3"/>
  <c r="P1089" i="3" s="1"/>
  <c r="N1089" i="3"/>
  <c r="O1089" i="3" s="1"/>
  <c r="Q1089" i="3"/>
  <c r="R1089" i="3"/>
  <c r="B1090" i="3"/>
  <c r="C1090" i="3"/>
  <c r="S1090" i="3" s="1"/>
  <c r="D1090" i="3"/>
  <c r="I1090" i="3"/>
  <c r="K1090" i="3"/>
  <c r="J1090" i="3" s="1"/>
  <c r="L1090" i="3"/>
  <c r="M1090" i="3"/>
  <c r="P1090" i="3" s="1"/>
  <c r="N1090" i="3"/>
  <c r="O1090" i="3" s="1"/>
  <c r="Q1090" i="3"/>
  <c r="R1090" i="3"/>
  <c r="B1091" i="3"/>
  <c r="C1091" i="3"/>
  <c r="S1091" i="3" s="1"/>
  <c r="D1091" i="3"/>
  <c r="I1091" i="3"/>
  <c r="K1091" i="3"/>
  <c r="J1091" i="3" s="1"/>
  <c r="L1091" i="3"/>
  <c r="M1091" i="3"/>
  <c r="P1091" i="3" s="1"/>
  <c r="N1091" i="3"/>
  <c r="O1091" i="3" s="1"/>
  <c r="Q1091" i="3"/>
  <c r="R1091" i="3"/>
  <c r="B1092" i="3"/>
  <c r="C1092" i="3"/>
  <c r="S1092" i="3" s="1"/>
  <c r="D1092" i="3"/>
  <c r="I1092" i="3"/>
  <c r="K1092" i="3"/>
  <c r="J1092" i="3" s="1"/>
  <c r="L1092" i="3"/>
  <c r="M1092" i="3"/>
  <c r="P1092" i="3" s="1"/>
  <c r="N1092" i="3"/>
  <c r="O1092" i="3" s="1"/>
  <c r="Q1092" i="3"/>
  <c r="R1092" i="3"/>
  <c r="B1093" i="3"/>
  <c r="C1093" i="3"/>
  <c r="S1093" i="3" s="1"/>
  <c r="D1093" i="3"/>
  <c r="I1093" i="3"/>
  <c r="K1093" i="3"/>
  <c r="J1093" i="3" s="1"/>
  <c r="L1093" i="3"/>
  <c r="M1093" i="3"/>
  <c r="P1093" i="3" s="1"/>
  <c r="N1093" i="3"/>
  <c r="O1093" i="3" s="1"/>
  <c r="Q1093" i="3"/>
  <c r="R1093" i="3"/>
  <c r="B1094" i="3"/>
  <c r="C1094" i="3"/>
  <c r="S1094" i="3" s="1"/>
  <c r="D1094" i="3"/>
  <c r="I1094" i="3"/>
  <c r="K1094" i="3"/>
  <c r="J1094" i="3" s="1"/>
  <c r="L1094" i="3"/>
  <c r="M1094" i="3"/>
  <c r="P1094" i="3" s="1"/>
  <c r="N1094" i="3"/>
  <c r="O1094" i="3" s="1"/>
  <c r="Q1094" i="3"/>
  <c r="R1094" i="3"/>
  <c r="B1095" i="3"/>
  <c r="C1095" i="3"/>
  <c r="S1095" i="3" s="1"/>
  <c r="D1095" i="3"/>
  <c r="I1095" i="3"/>
  <c r="K1095" i="3"/>
  <c r="J1095" i="3" s="1"/>
  <c r="L1095" i="3"/>
  <c r="M1095" i="3"/>
  <c r="P1095" i="3" s="1"/>
  <c r="N1095" i="3"/>
  <c r="O1095" i="3" s="1"/>
  <c r="Q1095" i="3"/>
  <c r="R1095" i="3"/>
  <c r="B1096" i="3"/>
  <c r="C1096" i="3"/>
  <c r="S1096" i="3" s="1"/>
  <c r="D1096" i="3"/>
  <c r="I1096" i="3"/>
  <c r="K1096" i="3"/>
  <c r="J1096" i="3" s="1"/>
  <c r="L1096" i="3"/>
  <c r="M1096" i="3"/>
  <c r="P1096" i="3" s="1"/>
  <c r="N1096" i="3"/>
  <c r="O1096" i="3" s="1"/>
  <c r="Q1096" i="3"/>
  <c r="R1096" i="3"/>
  <c r="B1097" i="3"/>
  <c r="C1097" i="3"/>
  <c r="S1097" i="3" s="1"/>
  <c r="D1097" i="3"/>
  <c r="I1097" i="3"/>
  <c r="K1097" i="3"/>
  <c r="J1097" i="3" s="1"/>
  <c r="L1097" i="3"/>
  <c r="M1097" i="3"/>
  <c r="P1097" i="3" s="1"/>
  <c r="N1097" i="3"/>
  <c r="O1097" i="3" s="1"/>
  <c r="Q1097" i="3"/>
  <c r="R1097" i="3"/>
  <c r="B1098" i="3"/>
  <c r="C1098" i="3"/>
  <c r="S1098" i="3" s="1"/>
  <c r="D1098" i="3"/>
  <c r="I1098" i="3"/>
  <c r="K1098" i="3"/>
  <c r="J1098" i="3" s="1"/>
  <c r="L1098" i="3"/>
  <c r="M1098" i="3"/>
  <c r="P1098" i="3" s="1"/>
  <c r="N1098" i="3"/>
  <c r="O1098" i="3" s="1"/>
  <c r="Q1098" i="3"/>
  <c r="R1098" i="3"/>
  <c r="B1099" i="3"/>
  <c r="C1099" i="3"/>
  <c r="S1099" i="3" s="1"/>
  <c r="D1099" i="3"/>
  <c r="I1099" i="3"/>
  <c r="K1099" i="3"/>
  <c r="J1099" i="3" s="1"/>
  <c r="L1099" i="3"/>
  <c r="M1099" i="3"/>
  <c r="P1099" i="3" s="1"/>
  <c r="N1099" i="3"/>
  <c r="O1099" i="3" s="1"/>
  <c r="Q1099" i="3"/>
  <c r="R1099" i="3"/>
  <c r="B1100" i="3"/>
  <c r="C1100" i="3"/>
  <c r="S1100" i="3" s="1"/>
  <c r="D1100" i="3"/>
  <c r="I1100" i="3"/>
  <c r="K1100" i="3"/>
  <c r="J1100" i="3" s="1"/>
  <c r="L1100" i="3"/>
  <c r="M1100" i="3"/>
  <c r="P1100" i="3" s="1"/>
  <c r="N1100" i="3"/>
  <c r="O1100" i="3" s="1"/>
  <c r="Q1100" i="3"/>
  <c r="R1100" i="3"/>
  <c r="B1101" i="3"/>
  <c r="C1101" i="3"/>
  <c r="S1101" i="3" s="1"/>
  <c r="D1101" i="3"/>
  <c r="I1101" i="3"/>
  <c r="K1101" i="3"/>
  <c r="J1101" i="3" s="1"/>
  <c r="L1101" i="3"/>
  <c r="M1101" i="3"/>
  <c r="P1101" i="3" s="1"/>
  <c r="N1101" i="3"/>
  <c r="O1101" i="3" s="1"/>
  <c r="Q1101" i="3"/>
  <c r="R1101" i="3"/>
  <c r="B1102" i="3"/>
  <c r="C1102" i="3"/>
  <c r="S1102" i="3" s="1"/>
  <c r="D1102" i="3"/>
  <c r="I1102" i="3"/>
  <c r="K1102" i="3"/>
  <c r="J1102" i="3" s="1"/>
  <c r="L1102" i="3"/>
  <c r="M1102" i="3"/>
  <c r="P1102" i="3" s="1"/>
  <c r="N1102" i="3"/>
  <c r="O1102" i="3" s="1"/>
  <c r="Q1102" i="3"/>
  <c r="R1102" i="3"/>
  <c r="B1103" i="3"/>
  <c r="C1103" i="3"/>
  <c r="S1103" i="3" s="1"/>
  <c r="D1103" i="3"/>
  <c r="I1103" i="3"/>
  <c r="K1103" i="3"/>
  <c r="J1103" i="3" s="1"/>
  <c r="L1103" i="3"/>
  <c r="M1103" i="3"/>
  <c r="P1103" i="3" s="1"/>
  <c r="N1103" i="3"/>
  <c r="O1103" i="3" s="1"/>
  <c r="Q1103" i="3"/>
  <c r="R1103" i="3"/>
  <c r="B1104" i="3"/>
  <c r="C1104" i="3"/>
  <c r="S1104" i="3" s="1"/>
  <c r="D1104" i="3"/>
  <c r="I1104" i="3"/>
  <c r="K1104" i="3"/>
  <c r="J1104" i="3" s="1"/>
  <c r="L1104" i="3"/>
  <c r="M1104" i="3"/>
  <c r="P1104" i="3" s="1"/>
  <c r="N1104" i="3"/>
  <c r="O1104" i="3" s="1"/>
  <c r="Q1104" i="3"/>
  <c r="R1104" i="3"/>
  <c r="B1105" i="3"/>
  <c r="C1105" i="3"/>
  <c r="S1105" i="3" s="1"/>
  <c r="D1105" i="3"/>
  <c r="I1105" i="3"/>
  <c r="K1105" i="3"/>
  <c r="J1105" i="3" s="1"/>
  <c r="L1105" i="3"/>
  <c r="M1105" i="3"/>
  <c r="P1105" i="3" s="1"/>
  <c r="N1105" i="3"/>
  <c r="O1105" i="3" s="1"/>
  <c r="Q1105" i="3"/>
  <c r="R1105" i="3"/>
  <c r="B1106" i="3"/>
  <c r="C1106" i="3"/>
  <c r="S1106" i="3" s="1"/>
  <c r="D1106" i="3"/>
  <c r="I1106" i="3"/>
  <c r="K1106" i="3"/>
  <c r="J1106" i="3" s="1"/>
  <c r="L1106" i="3"/>
  <c r="M1106" i="3"/>
  <c r="P1106" i="3" s="1"/>
  <c r="N1106" i="3"/>
  <c r="O1106" i="3" s="1"/>
  <c r="Q1106" i="3"/>
  <c r="R1106" i="3"/>
  <c r="B1107" i="3"/>
  <c r="C1107" i="3"/>
  <c r="S1107" i="3" s="1"/>
  <c r="D1107" i="3"/>
  <c r="I1107" i="3"/>
  <c r="K1107" i="3"/>
  <c r="J1107" i="3" s="1"/>
  <c r="L1107" i="3"/>
  <c r="M1107" i="3"/>
  <c r="P1107" i="3" s="1"/>
  <c r="N1107" i="3"/>
  <c r="O1107" i="3" s="1"/>
  <c r="Q1107" i="3"/>
  <c r="R1107" i="3"/>
  <c r="B1108" i="3"/>
  <c r="C1108" i="3"/>
  <c r="S1108" i="3" s="1"/>
  <c r="D1108" i="3"/>
  <c r="I1108" i="3"/>
  <c r="K1108" i="3"/>
  <c r="J1108" i="3" s="1"/>
  <c r="L1108" i="3"/>
  <c r="M1108" i="3"/>
  <c r="P1108" i="3" s="1"/>
  <c r="N1108" i="3"/>
  <c r="O1108" i="3" s="1"/>
  <c r="Q1108" i="3"/>
  <c r="R1108" i="3"/>
  <c r="B1109" i="3"/>
  <c r="C1109" i="3"/>
  <c r="S1109" i="3" s="1"/>
  <c r="D1109" i="3"/>
  <c r="I1109" i="3"/>
  <c r="K1109" i="3"/>
  <c r="J1109" i="3" s="1"/>
  <c r="L1109" i="3"/>
  <c r="M1109" i="3"/>
  <c r="P1109" i="3" s="1"/>
  <c r="N1109" i="3"/>
  <c r="O1109" i="3" s="1"/>
  <c r="Q1109" i="3"/>
  <c r="R1109" i="3"/>
  <c r="B1110" i="3"/>
  <c r="C1110" i="3"/>
  <c r="S1110" i="3" s="1"/>
  <c r="D1110" i="3"/>
  <c r="I1110" i="3"/>
  <c r="K1110" i="3"/>
  <c r="J1110" i="3" s="1"/>
  <c r="L1110" i="3"/>
  <c r="M1110" i="3"/>
  <c r="P1110" i="3" s="1"/>
  <c r="N1110" i="3"/>
  <c r="O1110" i="3" s="1"/>
  <c r="Q1110" i="3"/>
  <c r="R1110" i="3"/>
  <c r="B1111" i="3"/>
  <c r="C1111" i="3"/>
  <c r="S1111" i="3" s="1"/>
  <c r="D1111" i="3"/>
  <c r="I1111" i="3"/>
  <c r="K1111" i="3"/>
  <c r="J1111" i="3" s="1"/>
  <c r="L1111" i="3"/>
  <c r="M1111" i="3"/>
  <c r="P1111" i="3" s="1"/>
  <c r="N1111" i="3"/>
  <c r="O1111" i="3" s="1"/>
  <c r="Q1111" i="3"/>
  <c r="R1111" i="3"/>
  <c r="B1112" i="3"/>
  <c r="C1112" i="3"/>
  <c r="S1112" i="3" s="1"/>
  <c r="D1112" i="3"/>
  <c r="I1112" i="3"/>
  <c r="K1112" i="3"/>
  <c r="J1112" i="3" s="1"/>
  <c r="L1112" i="3"/>
  <c r="M1112" i="3"/>
  <c r="P1112" i="3" s="1"/>
  <c r="N1112" i="3"/>
  <c r="O1112" i="3" s="1"/>
  <c r="Q1112" i="3"/>
  <c r="R1112" i="3"/>
  <c r="B1113" i="3"/>
  <c r="C1113" i="3"/>
  <c r="S1113" i="3" s="1"/>
  <c r="D1113" i="3"/>
  <c r="I1113" i="3"/>
  <c r="K1113" i="3"/>
  <c r="J1113" i="3" s="1"/>
  <c r="L1113" i="3"/>
  <c r="M1113" i="3"/>
  <c r="P1113" i="3" s="1"/>
  <c r="N1113" i="3"/>
  <c r="O1113" i="3" s="1"/>
  <c r="Q1113" i="3"/>
  <c r="R1113" i="3"/>
  <c r="B1114" i="3"/>
  <c r="C1114" i="3"/>
  <c r="S1114" i="3" s="1"/>
  <c r="D1114" i="3"/>
  <c r="I1114" i="3"/>
  <c r="K1114" i="3"/>
  <c r="J1114" i="3" s="1"/>
  <c r="L1114" i="3"/>
  <c r="M1114" i="3"/>
  <c r="P1114" i="3" s="1"/>
  <c r="N1114" i="3"/>
  <c r="O1114" i="3" s="1"/>
  <c r="Q1114" i="3"/>
  <c r="R1114" i="3"/>
  <c r="B1115" i="3"/>
  <c r="C1115" i="3"/>
  <c r="S1115" i="3" s="1"/>
  <c r="D1115" i="3"/>
  <c r="I1115" i="3"/>
  <c r="K1115" i="3"/>
  <c r="J1115" i="3" s="1"/>
  <c r="L1115" i="3"/>
  <c r="M1115" i="3"/>
  <c r="P1115" i="3" s="1"/>
  <c r="N1115" i="3"/>
  <c r="O1115" i="3" s="1"/>
  <c r="Q1115" i="3"/>
  <c r="R1115" i="3"/>
  <c r="B1116" i="3"/>
  <c r="C1116" i="3"/>
  <c r="S1116" i="3" s="1"/>
  <c r="D1116" i="3"/>
  <c r="H1116" i="3"/>
  <c r="I1116" i="3" s="1"/>
  <c r="K1116" i="3"/>
  <c r="L1116" i="3"/>
  <c r="M1116" i="3"/>
  <c r="P1116" i="3" s="1"/>
  <c r="N1116" i="3"/>
  <c r="O1116" i="3" s="1"/>
  <c r="Q1116" i="3"/>
  <c r="R1116" i="3"/>
  <c r="B1117" i="3"/>
  <c r="C1117" i="3"/>
  <c r="S1117" i="3" s="1"/>
  <c r="D1117" i="3"/>
  <c r="H1117" i="3"/>
  <c r="I1117" i="3" s="1"/>
  <c r="K1117" i="3"/>
  <c r="L1117" i="3"/>
  <c r="M1117" i="3"/>
  <c r="P1117" i="3" s="1"/>
  <c r="N1117" i="3"/>
  <c r="O1117" i="3" s="1"/>
  <c r="Q1117" i="3"/>
  <c r="R1117" i="3"/>
  <c r="B1118" i="3"/>
  <c r="C1118" i="3"/>
  <c r="S1118" i="3" s="1"/>
  <c r="D1118" i="3"/>
  <c r="I1118" i="3"/>
  <c r="K1118" i="3"/>
  <c r="J1118" i="3" s="1"/>
  <c r="L1118" i="3"/>
  <c r="M1118" i="3"/>
  <c r="P1118" i="3" s="1"/>
  <c r="N1118" i="3"/>
  <c r="O1118" i="3" s="1"/>
  <c r="Q1118" i="3"/>
  <c r="R1118" i="3"/>
  <c r="B1119" i="3"/>
  <c r="C1119" i="3"/>
  <c r="S1119" i="3" s="1"/>
  <c r="D1119" i="3"/>
  <c r="I1119" i="3"/>
  <c r="K1119" i="3"/>
  <c r="J1119" i="3" s="1"/>
  <c r="L1119" i="3"/>
  <c r="M1119" i="3"/>
  <c r="P1119" i="3" s="1"/>
  <c r="N1119" i="3"/>
  <c r="O1119" i="3" s="1"/>
  <c r="Q1119" i="3"/>
  <c r="R1119" i="3"/>
  <c r="B1120" i="3"/>
  <c r="C1120" i="3"/>
  <c r="S1120" i="3" s="1"/>
  <c r="D1120" i="3"/>
  <c r="H1120" i="3"/>
  <c r="I1120" i="3" s="1"/>
  <c r="K1120" i="3"/>
  <c r="L1120" i="3"/>
  <c r="M1120" i="3"/>
  <c r="P1120" i="3" s="1"/>
  <c r="N1120" i="3"/>
  <c r="O1120" i="3" s="1"/>
  <c r="Q1120" i="3"/>
  <c r="R1120" i="3"/>
  <c r="B1121" i="3"/>
  <c r="C1121" i="3"/>
  <c r="S1121" i="3" s="1"/>
  <c r="D1121" i="3"/>
  <c r="I1121" i="3"/>
  <c r="K1121" i="3"/>
  <c r="J1121" i="3" s="1"/>
  <c r="L1121" i="3"/>
  <c r="M1121" i="3"/>
  <c r="P1121" i="3" s="1"/>
  <c r="N1121" i="3"/>
  <c r="O1121" i="3" s="1"/>
  <c r="Q1121" i="3"/>
  <c r="R1121" i="3"/>
  <c r="B1122" i="3"/>
  <c r="C1122" i="3"/>
  <c r="S1122" i="3" s="1"/>
  <c r="D1122" i="3"/>
  <c r="I1122" i="3"/>
  <c r="K1122" i="3"/>
  <c r="J1122" i="3" s="1"/>
  <c r="L1122" i="3"/>
  <c r="M1122" i="3"/>
  <c r="P1122" i="3" s="1"/>
  <c r="N1122" i="3"/>
  <c r="O1122" i="3" s="1"/>
  <c r="Q1122" i="3"/>
  <c r="R1122" i="3"/>
  <c r="B1123" i="3"/>
  <c r="C1123" i="3"/>
  <c r="S1123" i="3" s="1"/>
  <c r="D1123" i="3"/>
  <c r="I1123" i="3"/>
  <c r="K1123" i="3"/>
  <c r="J1123" i="3" s="1"/>
  <c r="L1123" i="3"/>
  <c r="M1123" i="3"/>
  <c r="P1123" i="3" s="1"/>
  <c r="N1123" i="3"/>
  <c r="O1123" i="3" s="1"/>
  <c r="Q1123" i="3"/>
  <c r="R1123" i="3"/>
  <c r="B1124" i="3"/>
  <c r="C1124" i="3"/>
  <c r="S1124" i="3" s="1"/>
  <c r="D1124" i="3"/>
  <c r="I1124" i="3"/>
  <c r="K1124" i="3"/>
  <c r="J1124" i="3" s="1"/>
  <c r="L1124" i="3"/>
  <c r="M1124" i="3"/>
  <c r="P1124" i="3" s="1"/>
  <c r="N1124" i="3"/>
  <c r="O1124" i="3" s="1"/>
  <c r="Q1124" i="3"/>
  <c r="R1124" i="3"/>
  <c r="B1125" i="3"/>
  <c r="C1125" i="3"/>
  <c r="S1125" i="3" s="1"/>
  <c r="D1125" i="3"/>
  <c r="I1125" i="3"/>
  <c r="K1125" i="3"/>
  <c r="J1125" i="3" s="1"/>
  <c r="L1125" i="3"/>
  <c r="M1125" i="3"/>
  <c r="P1125" i="3" s="1"/>
  <c r="N1125" i="3"/>
  <c r="O1125" i="3" s="1"/>
  <c r="Q1125" i="3"/>
  <c r="R1125" i="3"/>
  <c r="B1126" i="3"/>
  <c r="C1126" i="3"/>
  <c r="S1126" i="3" s="1"/>
  <c r="D1126" i="3"/>
  <c r="I1126" i="3"/>
  <c r="K1126" i="3"/>
  <c r="J1126" i="3" s="1"/>
  <c r="L1126" i="3"/>
  <c r="M1126" i="3"/>
  <c r="P1126" i="3" s="1"/>
  <c r="N1126" i="3"/>
  <c r="O1126" i="3" s="1"/>
  <c r="Q1126" i="3"/>
  <c r="R1126" i="3"/>
  <c r="B1127" i="3"/>
  <c r="C1127" i="3"/>
  <c r="S1127" i="3" s="1"/>
  <c r="D1127" i="3"/>
  <c r="I1127" i="3"/>
  <c r="K1127" i="3"/>
  <c r="J1127" i="3" s="1"/>
  <c r="L1127" i="3"/>
  <c r="M1127" i="3"/>
  <c r="P1127" i="3" s="1"/>
  <c r="N1127" i="3"/>
  <c r="O1127" i="3" s="1"/>
  <c r="Q1127" i="3"/>
  <c r="R1127" i="3"/>
  <c r="B1128" i="3"/>
  <c r="C1128" i="3"/>
  <c r="S1128" i="3" s="1"/>
  <c r="D1128" i="3"/>
  <c r="I1128" i="3"/>
  <c r="K1128" i="3"/>
  <c r="J1128" i="3" s="1"/>
  <c r="L1128" i="3"/>
  <c r="M1128" i="3"/>
  <c r="P1128" i="3" s="1"/>
  <c r="N1128" i="3"/>
  <c r="O1128" i="3" s="1"/>
  <c r="Q1128" i="3"/>
  <c r="R1128" i="3"/>
  <c r="B1129" i="3"/>
  <c r="C1129" i="3"/>
  <c r="S1129" i="3" s="1"/>
  <c r="D1129" i="3"/>
  <c r="I1129" i="3"/>
  <c r="K1129" i="3"/>
  <c r="J1129" i="3" s="1"/>
  <c r="L1129" i="3"/>
  <c r="M1129" i="3"/>
  <c r="P1129" i="3" s="1"/>
  <c r="N1129" i="3"/>
  <c r="O1129" i="3" s="1"/>
  <c r="Q1129" i="3"/>
  <c r="R1129" i="3"/>
  <c r="B1130" i="3"/>
  <c r="C1130" i="3"/>
  <c r="S1130" i="3" s="1"/>
  <c r="D1130" i="3"/>
  <c r="I1130" i="3"/>
  <c r="K1130" i="3"/>
  <c r="J1130" i="3" s="1"/>
  <c r="L1130" i="3"/>
  <c r="M1130" i="3"/>
  <c r="P1130" i="3" s="1"/>
  <c r="N1130" i="3"/>
  <c r="O1130" i="3" s="1"/>
  <c r="Q1130" i="3"/>
  <c r="R1130" i="3"/>
  <c r="B1131" i="3"/>
  <c r="C1131" i="3"/>
  <c r="S1131" i="3" s="1"/>
  <c r="D1131" i="3"/>
  <c r="I1131" i="3"/>
  <c r="K1131" i="3"/>
  <c r="J1131" i="3" s="1"/>
  <c r="L1131" i="3"/>
  <c r="M1131" i="3"/>
  <c r="P1131" i="3" s="1"/>
  <c r="N1131" i="3"/>
  <c r="O1131" i="3" s="1"/>
  <c r="Q1131" i="3"/>
  <c r="R1131" i="3"/>
  <c r="B1132" i="3"/>
  <c r="C1132" i="3"/>
  <c r="S1132" i="3" s="1"/>
  <c r="D1132" i="3"/>
  <c r="I1132" i="3"/>
  <c r="K1132" i="3"/>
  <c r="J1132" i="3" s="1"/>
  <c r="L1132" i="3"/>
  <c r="M1132" i="3"/>
  <c r="P1132" i="3" s="1"/>
  <c r="N1132" i="3"/>
  <c r="O1132" i="3" s="1"/>
  <c r="Q1132" i="3"/>
  <c r="R1132" i="3"/>
  <c r="B1133" i="3"/>
  <c r="C1133" i="3"/>
  <c r="S1133" i="3" s="1"/>
  <c r="D1133" i="3"/>
  <c r="I1133" i="3"/>
  <c r="K1133" i="3"/>
  <c r="J1133" i="3" s="1"/>
  <c r="L1133" i="3"/>
  <c r="M1133" i="3"/>
  <c r="P1133" i="3" s="1"/>
  <c r="N1133" i="3"/>
  <c r="O1133" i="3" s="1"/>
  <c r="Q1133" i="3"/>
  <c r="R1133" i="3"/>
  <c r="B1134" i="3"/>
  <c r="C1134" i="3"/>
  <c r="S1134" i="3" s="1"/>
  <c r="D1134" i="3"/>
  <c r="H1134" i="3"/>
  <c r="I1134" i="3" s="1"/>
  <c r="K1134" i="3"/>
  <c r="L1134" i="3"/>
  <c r="M1134" i="3"/>
  <c r="P1134" i="3" s="1"/>
  <c r="N1134" i="3"/>
  <c r="O1134" i="3" s="1"/>
  <c r="Q1134" i="3"/>
  <c r="R1134" i="3"/>
  <c r="B1135" i="3"/>
  <c r="C1135" i="3"/>
  <c r="S1135" i="3" s="1"/>
  <c r="D1135" i="3"/>
  <c r="I1135" i="3"/>
  <c r="K1135" i="3"/>
  <c r="J1135" i="3" s="1"/>
  <c r="L1135" i="3"/>
  <c r="M1135" i="3"/>
  <c r="P1135" i="3" s="1"/>
  <c r="N1135" i="3"/>
  <c r="O1135" i="3" s="1"/>
  <c r="Q1135" i="3"/>
  <c r="R1135" i="3"/>
  <c r="B1136" i="3"/>
  <c r="C1136" i="3"/>
  <c r="S1136" i="3" s="1"/>
  <c r="D1136" i="3"/>
  <c r="H1136" i="3"/>
  <c r="I1136" i="3" s="1"/>
  <c r="K1136" i="3"/>
  <c r="L1136" i="3"/>
  <c r="M1136" i="3"/>
  <c r="P1136" i="3" s="1"/>
  <c r="N1136" i="3"/>
  <c r="O1136" i="3" s="1"/>
  <c r="Q1136" i="3"/>
  <c r="R1136" i="3"/>
  <c r="B1137" i="3"/>
  <c r="C1137" i="3"/>
  <c r="S1137" i="3" s="1"/>
  <c r="D1137" i="3"/>
  <c r="I1137" i="3"/>
  <c r="K1137" i="3"/>
  <c r="J1137" i="3" s="1"/>
  <c r="L1137" i="3"/>
  <c r="M1137" i="3"/>
  <c r="P1137" i="3" s="1"/>
  <c r="N1137" i="3"/>
  <c r="O1137" i="3" s="1"/>
  <c r="Q1137" i="3"/>
  <c r="R1137" i="3"/>
  <c r="B1138" i="3"/>
  <c r="C1138" i="3"/>
  <c r="S1138" i="3" s="1"/>
  <c r="D1138" i="3"/>
  <c r="I1138" i="3"/>
  <c r="K1138" i="3"/>
  <c r="J1138" i="3" s="1"/>
  <c r="L1138" i="3"/>
  <c r="M1138" i="3"/>
  <c r="P1138" i="3" s="1"/>
  <c r="N1138" i="3"/>
  <c r="O1138" i="3" s="1"/>
  <c r="Q1138" i="3"/>
  <c r="R1138" i="3"/>
  <c r="B1139" i="3"/>
  <c r="C1139" i="3"/>
  <c r="S1139" i="3" s="1"/>
  <c r="D1139" i="3"/>
  <c r="I1139" i="3"/>
  <c r="K1139" i="3"/>
  <c r="J1139" i="3" s="1"/>
  <c r="L1139" i="3"/>
  <c r="M1139" i="3"/>
  <c r="P1139" i="3" s="1"/>
  <c r="N1139" i="3"/>
  <c r="O1139" i="3" s="1"/>
  <c r="Q1139" i="3"/>
  <c r="R1139" i="3"/>
  <c r="B1140" i="3"/>
  <c r="C1140" i="3"/>
  <c r="S1140" i="3" s="1"/>
  <c r="D1140" i="3"/>
  <c r="I1140" i="3"/>
  <c r="K1140" i="3"/>
  <c r="J1140" i="3" s="1"/>
  <c r="L1140" i="3"/>
  <c r="M1140" i="3"/>
  <c r="P1140" i="3" s="1"/>
  <c r="N1140" i="3"/>
  <c r="O1140" i="3" s="1"/>
  <c r="Q1140" i="3"/>
  <c r="R1140" i="3"/>
  <c r="B1141" i="3"/>
  <c r="C1141" i="3"/>
  <c r="S1141" i="3" s="1"/>
  <c r="D1141" i="3"/>
  <c r="I1141" i="3"/>
  <c r="K1141" i="3"/>
  <c r="J1141" i="3" s="1"/>
  <c r="L1141" i="3"/>
  <c r="M1141" i="3"/>
  <c r="P1141" i="3" s="1"/>
  <c r="N1141" i="3"/>
  <c r="O1141" i="3" s="1"/>
  <c r="Q1141" i="3"/>
  <c r="R1141" i="3"/>
  <c r="B1142" i="3"/>
  <c r="C1142" i="3"/>
  <c r="S1142" i="3" s="1"/>
  <c r="D1142" i="3"/>
  <c r="I1142" i="3"/>
  <c r="K1142" i="3"/>
  <c r="J1142" i="3" s="1"/>
  <c r="L1142" i="3"/>
  <c r="M1142" i="3"/>
  <c r="P1142" i="3" s="1"/>
  <c r="N1142" i="3"/>
  <c r="O1142" i="3" s="1"/>
  <c r="Q1142" i="3"/>
  <c r="R1142" i="3"/>
  <c r="B1143" i="3"/>
  <c r="C1143" i="3"/>
  <c r="S1143" i="3" s="1"/>
  <c r="D1143" i="3"/>
  <c r="I1143" i="3"/>
  <c r="K1143" i="3"/>
  <c r="J1143" i="3" s="1"/>
  <c r="L1143" i="3"/>
  <c r="M1143" i="3"/>
  <c r="P1143" i="3" s="1"/>
  <c r="N1143" i="3"/>
  <c r="O1143" i="3" s="1"/>
  <c r="Q1143" i="3"/>
  <c r="R1143" i="3"/>
  <c r="B1144" i="3"/>
  <c r="C1144" i="3"/>
  <c r="S1144" i="3" s="1"/>
  <c r="D1144" i="3"/>
  <c r="I1144" i="3"/>
  <c r="K1144" i="3"/>
  <c r="J1144" i="3" s="1"/>
  <c r="L1144" i="3"/>
  <c r="M1144" i="3"/>
  <c r="P1144" i="3" s="1"/>
  <c r="N1144" i="3"/>
  <c r="O1144" i="3" s="1"/>
  <c r="Q1144" i="3"/>
  <c r="R1144" i="3"/>
  <c r="B1145" i="3"/>
  <c r="C1145" i="3"/>
  <c r="S1145" i="3" s="1"/>
  <c r="D1145" i="3"/>
  <c r="I1145" i="3"/>
  <c r="K1145" i="3"/>
  <c r="J1145" i="3" s="1"/>
  <c r="L1145" i="3"/>
  <c r="M1145" i="3"/>
  <c r="P1145" i="3" s="1"/>
  <c r="N1145" i="3"/>
  <c r="O1145" i="3" s="1"/>
  <c r="Q1145" i="3"/>
  <c r="R1145" i="3"/>
  <c r="B1146" i="3"/>
  <c r="C1146" i="3"/>
  <c r="S1146" i="3" s="1"/>
  <c r="D1146" i="3"/>
  <c r="I1146" i="3"/>
  <c r="K1146" i="3"/>
  <c r="J1146" i="3" s="1"/>
  <c r="L1146" i="3"/>
  <c r="M1146" i="3"/>
  <c r="P1146" i="3" s="1"/>
  <c r="N1146" i="3"/>
  <c r="O1146" i="3" s="1"/>
  <c r="Q1146" i="3"/>
  <c r="R1146" i="3"/>
  <c r="B1147" i="3"/>
  <c r="C1147" i="3"/>
  <c r="S1147" i="3" s="1"/>
  <c r="D1147" i="3"/>
  <c r="I1147" i="3"/>
  <c r="K1147" i="3"/>
  <c r="J1147" i="3" s="1"/>
  <c r="L1147" i="3"/>
  <c r="M1147" i="3"/>
  <c r="P1147" i="3" s="1"/>
  <c r="N1147" i="3"/>
  <c r="O1147" i="3" s="1"/>
  <c r="Q1147" i="3"/>
  <c r="R1147" i="3"/>
  <c r="B1148" i="3"/>
  <c r="C1148" i="3"/>
  <c r="S1148" i="3" s="1"/>
  <c r="D1148" i="3"/>
  <c r="I1148" i="3"/>
  <c r="K1148" i="3"/>
  <c r="J1148" i="3" s="1"/>
  <c r="L1148" i="3"/>
  <c r="M1148" i="3"/>
  <c r="P1148" i="3" s="1"/>
  <c r="N1148" i="3"/>
  <c r="O1148" i="3" s="1"/>
  <c r="Q1148" i="3"/>
  <c r="R1148" i="3"/>
  <c r="B1149" i="3"/>
  <c r="C1149" i="3"/>
  <c r="S1149" i="3" s="1"/>
  <c r="D1149" i="3"/>
  <c r="I1149" i="3"/>
  <c r="K1149" i="3"/>
  <c r="J1149" i="3" s="1"/>
  <c r="L1149" i="3"/>
  <c r="M1149" i="3"/>
  <c r="P1149" i="3" s="1"/>
  <c r="N1149" i="3"/>
  <c r="O1149" i="3" s="1"/>
  <c r="Q1149" i="3"/>
  <c r="R1149" i="3"/>
  <c r="B1150" i="3"/>
  <c r="C1150" i="3"/>
  <c r="S1150" i="3" s="1"/>
  <c r="D1150" i="3"/>
  <c r="I1150" i="3"/>
  <c r="K1150" i="3"/>
  <c r="J1150" i="3" s="1"/>
  <c r="L1150" i="3"/>
  <c r="M1150" i="3"/>
  <c r="P1150" i="3" s="1"/>
  <c r="N1150" i="3"/>
  <c r="O1150" i="3" s="1"/>
  <c r="Q1150" i="3"/>
  <c r="R1150" i="3"/>
  <c r="B1151" i="3"/>
  <c r="C1151" i="3"/>
  <c r="S1151" i="3" s="1"/>
  <c r="D1151" i="3"/>
  <c r="I1151" i="3"/>
  <c r="K1151" i="3"/>
  <c r="J1151" i="3" s="1"/>
  <c r="L1151" i="3"/>
  <c r="M1151" i="3"/>
  <c r="P1151" i="3" s="1"/>
  <c r="N1151" i="3"/>
  <c r="O1151" i="3" s="1"/>
  <c r="Q1151" i="3"/>
  <c r="R1151" i="3"/>
  <c r="B1152" i="3"/>
  <c r="C1152" i="3"/>
  <c r="S1152" i="3" s="1"/>
  <c r="D1152" i="3"/>
  <c r="I1152" i="3"/>
  <c r="K1152" i="3"/>
  <c r="J1152" i="3" s="1"/>
  <c r="L1152" i="3"/>
  <c r="M1152" i="3"/>
  <c r="P1152" i="3" s="1"/>
  <c r="N1152" i="3"/>
  <c r="O1152" i="3" s="1"/>
  <c r="Q1152" i="3"/>
  <c r="R1152" i="3"/>
  <c r="B1153" i="3"/>
  <c r="C1153" i="3"/>
  <c r="S1153" i="3" s="1"/>
  <c r="D1153" i="3"/>
  <c r="I1153" i="3"/>
  <c r="K1153" i="3"/>
  <c r="J1153" i="3" s="1"/>
  <c r="L1153" i="3"/>
  <c r="M1153" i="3"/>
  <c r="P1153" i="3" s="1"/>
  <c r="N1153" i="3"/>
  <c r="O1153" i="3" s="1"/>
  <c r="Q1153" i="3"/>
  <c r="R1153" i="3"/>
  <c r="B1154" i="3"/>
  <c r="C1154" i="3"/>
  <c r="S1154" i="3" s="1"/>
  <c r="D1154" i="3"/>
  <c r="I1154" i="3"/>
  <c r="K1154" i="3"/>
  <c r="J1154" i="3" s="1"/>
  <c r="L1154" i="3"/>
  <c r="M1154" i="3"/>
  <c r="P1154" i="3" s="1"/>
  <c r="N1154" i="3"/>
  <c r="O1154" i="3" s="1"/>
  <c r="Q1154" i="3"/>
  <c r="R1154" i="3"/>
  <c r="B1155" i="3"/>
  <c r="C1155" i="3"/>
  <c r="S1155" i="3" s="1"/>
  <c r="D1155" i="3"/>
  <c r="I1155" i="3"/>
  <c r="K1155" i="3"/>
  <c r="J1155" i="3" s="1"/>
  <c r="L1155" i="3"/>
  <c r="M1155" i="3"/>
  <c r="P1155" i="3" s="1"/>
  <c r="N1155" i="3"/>
  <c r="O1155" i="3" s="1"/>
  <c r="Q1155" i="3"/>
  <c r="R1155" i="3"/>
  <c r="B1156" i="3"/>
  <c r="C1156" i="3"/>
  <c r="S1156" i="3" s="1"/>
  <c r="D1156" i="3"/>
  <c r="I1156" i="3"/>
  <c r="K1156" i="3"/>
  <c r="J1156" i="3" s="1"/>
  <c r="L1156" i="3"/>
  <c r="M1156" i="3"/>
  <c r="P1156" i="3" s="1"/>
  <c r="N1156" i="3"/>
  <c r="O1156" i="3" s="1"/>
  <c r="Q1156" i="3"/>
  <c r="R1156" i="3"/>
  <c r="B1157" i="3"/>
  <c r="C1157" i="3"/>
  <c r="S1157" i="3" s="1"/>
  <c r="D1157" i="3"/>
  <c r="I1157" i="3"/>
  <c r="K1157" i="3"/>
  <c r="J1157" i="3" s="1"/>
  <c r="L1157" i="3"/>
  <c r="M1157" i="3"/>
  <c r="P1157" i="3" s="1"/>
  <c r="N1157" i="3"/>
  <c r="O1157" i="3" s="1"/>
  <c r="Q1157" i="3"/>
  <c r="R1157" i="3"/>
  <c r="B1158" i="3"/>
  <c r="C1158" i="3"/>
  <c r="S1158" i="3" s="1"/>
  <c r="D1158" i="3"/>
  <c r="I1158" i="3"/>
  <c r="K1158" i="3"/>
  <c r="J1158" i="3" s="1"/>
  <c r="L1158" i="3"/>
  <c r="M1158" i="3"/>
  <c r="P1158" i="3" s="1"/>
  <c r="N1158" i="3"/>
  <c r="O1158" i="3" s="1"/>
  <c r="Q1158" i="3"/>
  <c r="R1158" i="3"/>
  <c r="B1159" i="3"/>
  <c r="C1159" i="3"/>
  <c r="S1159" i="3" s="1"/>
  <c r="D1159" i="3"/>
  <c r="I1159" i="3"/>
  <c r="K1159" i="3"/>
  <c r="J1159" i="3" s="1"/>
  <c r="L1159" i="3"/>
  <c r="M1159" i="3"/>
  <c r="P1159" i="3" s="1"/>
  <c r="N1159" i="3"/>
  <c r="O1159" i="3" s="1"/>
  <c r="Q1159" i="3"/>
  <c r="R1159" i="3"/>
  <c r="B1160" i="3"/>
  <c r="C1160" i="3"/>
  <c r="S1160" i="3" s="1"/>
  <c r="D1160" i="3"/>
  <c r="I1160" i="3"/>
  <c r="K1160" i="3"/>
  <c r="J1160" i="3" s="1"/>
  <c r="L1160" i="3"/>
  <c r="M1160" i="3"/>
  <c r="P1160" i="3" s="1"/>
  <c r="N1160" i="3"/>
  <c r="O1160" i="3" s="1"/>
  <c r="Q1160" i="3"/>
  <c r="R1160" i="3"/>
  <c r="B1161" i="3"/>
  <c r="C1161" i="3"/>
  <c r="S1161" i="3" s="1"/>
  <c r="D1161" i="3"/>
  <c r="I1161" i="3"/>
  <c r="K1161" i="3"/>
  <c r="J1161" i="3" s="1"/>
  <c r="L1161" i="3"/>
  <c r="M1161" i="3"/>
  <c r="P1161" i="3" s="1"/>
  <c r="N1161" i="3"/>
  <c r="O1161" i="3" s="1"/>
  <c r="Q1161" i="3"/>
  <c r="R1161" i="3"/>
  <c r="B1162" i="3"/>
  <c r="C1162" i="3"/>
  <c r="S1162" i="3" s="1"/>
  <c r="D1162" i="3"/>
  <c r="I1162" i="3"/>
  <c r="K1162" i="3"/>
  <c r="J1162" i="3" s="1"/>
  <c r="L1162" i="3"/>
  <c r="M1162" i="3"/>
  <c r="P1162" i="3" s="1"/>
  <c r="N1162" i="3"/>
  <c r="O1162" i="3" s="1"/>
  <c r="Q1162" i="3"/>
  <c r="R1162" i="3"/>
  <c r="B1163" i="3"/>
  <c r="C1163" i="3"/>
  <c r="S1163" i="3" s="1"/>
  <c r="D1163" i="3"/>
  <c r="I1163" i="3"/>
  <c r="K1163" i="3"/>
  <c r="J1163" i="3" s="1"/>
  <c r="L1163" i="3"/>
  <c r="M1163" i="3"/>
  <c r="P1163" i="3" s="1"/>
  <c r="N1163" i="3"/>
  <c r="O1163" i="3" s="1"/>
  <c r="Q1163" i="3"/>
  <c r="R1163" i="3"/>
  <c r="B1164" i="3"/>
  <c r="C1164" i="3"/>
  <c r="S1164" i="3" s="1"/>
  <c r="D1164" i="3"/>
  <c r="I1164" i="3"/>
  <c r="K1164" i="3"/>
  <c r="J1164" i="3" s="1"/>
  <c r="L1164" i="3"/>
  <c r="M1164" i="3"/>
  <c r="P1164" i="3" s="1"/>
  <c r="N1164" i="3"/>
  <c r="O1164" i="3" s="1"/>
  <c r="Q1164" i="3"/>
  <c r="R1164" i="3"/>
  <c r="B1165" i="3"/>
  <c r="C1165" i="3"/>
  <c r="S1165" i="3" s="1"/>
  <c r="D1165" i="3"/>
  <c r="I1165" i="3"/>
  <c r="K1165" i="3"/>
  <c r="J1165" i="3" s="1"/>
  <c r="L1165" i="3"/>
  <c r="M1165" i="3"/>
  <c r="P1165" i="3" s="1"/>
  <c r="N1165" i="3"/>
  <c r="O1165" i="3" s="1"/>
  <c r="Q1165" i="3"/>
  <c r="R1165" i="3"/>
  <c r="B1166" i="3"/>
  <c r="C1166" i="3"/>
  <c r="S1166" i="3" s="1"/>
  <c r="D1166" i="3"/>
  <c r="I1166" i="3"/>
  <c r="K1166" i="3"/>
  <c r="J1166" i="3" s="1"/>
  <c r="L1166" i="3"/>
  <c r="M1166" i="3"/>
  <c r="P1166" i="3" s="1"/>
  <c r="N1166" i="3"/>
  <c r="O1166" i="3" s="1"/>
  <c r="Q1166" i="3"/>
  <c r="R1166" i="3"/>
  <c r="B1167" i="3"/>
  <c r="C1167" i="3"/>
  <c r="S1167" i="3" s="1"/>
  <c r="D1167" i="3"/>
  <c r="I1167" i="3"/>
  <c r="K1167" i="3"/>
  <c r="J1167" i="3" s="1"/>
  <c r="L1167" i="3"/>
  <c r="M1167" i="3"/>
  <c r="P1167" i="3" s="1"/>
  <c r="N1167" i="3"/>
  <c r="O1167" i="3" s="1"/>
  <c r="Q1167" i="3"/>
  <c r="R1167" i="3"/>
  <c r="B1168" i="3"/>
  <c r="C1168" i="3"/>
  <c r="S1168" i="3" s="1"/>
  <c r="D1168" i="3"/>
  <c r="I1168" i="3"/>
  <c r="K1168" i="3"/>
  <c r="J1168" i="3" s="1"/>
  <c r="L1168" i="3"/>
  <c r="M1168" i="3"/>
  <c r="P1168" i="3" s="1"/>
  <c r="N1168" i="3"/>
  <c r="O1168" i="3" s="1"/>
  <c r="Q1168" i="3"/>
  <c r="R1168" i="3"/>
  <c r="B1169" i="3"/>
  <c r="C1169" i="3"/>
  <c r="S1169" i="3" s="1"/>
  <c r="D1169" i="3"/>
  <c r="I1169" i="3"/>
  <c r="K1169" i="3"/>
  <c r="J1169" i="3" s="1"/>
  <c r="L1169" i="3"/>
  <c r="M1169" i="3"/>
  <c r="P1169" i="3" s="1"/>
  <c r="N1169" i="3"/>
  <c r="O1169" i="3" s="1"/>
  <c r="Q1169" i="3"/>
  <c r="R1169" i="3"/>
  <c r="B1170" i="3"/>
  <c r="C1170" i="3"/>
  <c r="S1170" i="3" s="1"/>
  <c r="D1170" i="3"/>
  <c r="I1170" i="3"/>
  <c r="K1170" i="3"/>
  <c r="J1170" i="3" s="1"/>
  <c r="L1170" i="3"/>
  <c r="M1170" i="3"/>
  <c r="P1170" i="3" s="1"/>
  <c r="N1170" i="3"/>
  <c r="O1170" i="3" s="1"/>
  <c r="Q1170" i="3"/>
  <c r="R1170" i="3"/>
  <c r="B1171" i="3"/>
  <c r="C1171" i="3"/>
  <c r="S1171" i="3" s="1"/>
  <c r="D1171" i="3"/>
  <c r="I1171" i="3"/>
  <c r="K1171" i="3"/>
  <c r="J1171" i="3" s="1"/>
  <c r="L1171" i="3"/>
  <c r="M1171" i="3"/>
  <c r="P1171" i="3" s="1"/>
  <c r="N1171" i="3"/>
  <c r="O1171" i="3" s="1"/>
  <c r="Q1171" i="3"/>
  <c r="R1171" i="3"/>
  <c r="B1172" i="3"/>
  <c r="C1172" i="3"/>
  <c r="S1172" i="3" s="1"/>
  <c r="D1172" i="3"/>
  <c r="I1172" i="3"/>
  <c r="K1172" i="3"/>
  <c r="J1172" i="3" s="1"/>
  <c r="L1172" i="3"/>
  <c r="M1172" i="3"/>
  <c r="P1172" i="3" s="1"/>
  <c r="N1172" i="3"/>
  <c r="O1172" i="3" s="1"/>
  <c r="Q1172" i="3"/>
  <c r="R1172" i="3"/>
  <c r="B1173" i="3"/>
  <c r="C1173" i="3"/>
  <c r="S1173" i="3" s="1"/>
  <c r="D1173" i="3"/>
  <c r="H1173" i="3"/>
  <c r="I1173" i="3" s="1"/>
  <c r="K1173" i="3"/>
  <c r="L1173" i="3"/>
  <c r="M1173" i="3"/>
  <c r="P1173" i="3" s="1"/>
  <c r="N1173" i="3"/>
  <c r="O1173" i="3" s="1"/>
  <c r="Q1173" i="3"/>
  <c r="R1173" i="3"/>
  <c r="B1174" i="3"/>
  <c r="C1174" i="3"/>
  <c r="S1174" i="3" s="1"/>
  <c r="D1174" i="3"/>
  <c r="I1174" i="3"/>
  <c r="K1174" i="3"/>
  <c r="J1174" i="3" s="1"/>
  <c r="L1174" i="3"/>
  <c r="M1174" i="3"/>
  <c r="P1174" i="3" s="1"/>
  <c r="N1174" i="3"/>
  <c r="O1174" i="3" s="1"/>
  <c r="Q1174" i="3"/>
  <c r="R1174" i="3"/>
  <c r="B1175" i="3"/>
  <c r="C1175" i="3"/>
  <c r="S1175" i="3" s="1"/>
  <c r="D1175" i="3"/>
  <c r="I1175" i="3"/>
  <c r="K1175" i="3"/>
  <c r="J1175" i="3" s="1"/>
  <c r="L1175" i="3"/>
  <c r="M1175" i="3"/>
  <c r="P1175" i="3" s="1"/>
  <c r="N1175" i="3"/>
  <c r="O1175" i="3" s="1"/>
  <c r="Q1175" i="3"/>
  <c r="R1175" i="3"/>
  <c r="B1176" i="3"/>
  <c r="C1176" i="3"/>
  <c r="S1176" i="3" s="1"/>
  <c r="D1176" i="3"/>
  <c r="I1176" i="3"/>
  <c r="K1176" i="3"/>
  <c r="J1176" i="3" s="1"/>
  <c r="L1176" i="3"/>
  <c r="M1176" i="3"/>
  <c r="P1176" i="3" s="1"/>
  <c r="N1176" i="3"/>
  <c r="O1176" i="3" s="1"/>
  <c r="Q1176" i="3"/>
  <c r="R1176" i="3"/>
  <c r="B1177" i="3"/>
  <c r="C1177" i="3"/>
  <c r="S1177" i="3" s="1"/>
  <c r="D1177" i="3"/>
  <c r="I1177" i="3"/>
  <c r="K1177" i="3"/>
  <c r="J1177" i="3" s="1"/>
  <c r="L1177" i="3"/>
  <c r="M1177" i="3"/>
  <c r="P1177" i="3" s="1"/>
  <c r="N1177" i="3"/>
  <c r="O1177" i="3" s="1"/>
  <c r="Q1177" i="3"/>
  <c r="R1177" i="3"/>
  <c r="B1178" i="3"/>
  <c r="C1178" i="3"/>
  <c r="S1178" i="3" s="1"/>
  <c r="D1178" i="3"/>
  <c r="I1178" i="3"/>
  <c r="K1178" i="3"/>
  <c r="J1178" i="3" s="1"/>
  <c r="L1178" i="3"/>
  <c r="M1178" i="3"/>
  <c r="P1178" i="3" s="1"/>
  <c r="N1178" i="3"/>
  <c r="O1178" i="3" s="1"/>
  <c r="Q1178" i="3"/>
  <c r="R1178" i="3"/>
  <c r="B1179" i="3"/>
  <c r="C1179" i="3"/>
  <c r="S1179" i="3" s="1"/>
  <c r="D1179" i="3"/>
  <c r="I1179" i="3"/>
  <c r="K1179" i="3"/>
  <c r="J1179" i="3" s="1"/>
  <c r="L1179" i="3"/>
  <c r="M1179" i="3"/>
  <c r="P1179" i="3" s="1"/>
  <c r="N1179" i="3"/>
  <c r="O1179" i="3" s="1"/>
  <c r="Q1179" i="3"/>
  <c r="R1179" i="3"/>
  <c r="B1180" i="3"/>
  <c r="C1180" i="3"/>
  <c r="S1180" i="3" s="1"/>
  <c r="D1180" i="3"/>
  <c r="I1180" i="3"/>
  <c r="K1180" i="3"/>
  <c r="J1180" i="3" s="1"/>
  <c r="L1180" i="3"/>
  <c r="M1180" i="3"/>
  <c r="P1180" i="3" s="1"/>
  <c r="N1180" i="3"/>
  <c r="O1180" i="3" s="1"/>
  <c r="Q1180" i="3"/>
  <c r="R1180" i="3"/>
  <c r="B1181" i="3"/>
  <c r="C1181" i="3"/>
  <c r="S1181" i="3" s="1"/>
  <c r="D1181" i="3"/>
  <c r="I1181" i="3"/>
  <c r="K1181" i="3"/>
  <c r="J1181" i="3" s="1"/>
  <c r="L1181" i="3"/>
  <c r="M1181" i="3"/>
  <c r="P1181" i="3" s="1"/>
  <c r="N1181" i="3"/>
  <c r="O1181" i="3" s="1"/>
  <c r="Q1181" i="3"/>
  <c r="R1181" i="3"/>
  <c r="B1182" i="3"/>
  <c r="C1182" i="3"/>
  <c r="S1182" i="3" s="1"/>
  <c r="D1182" i="3"/>
  <c r="I1182" i="3"/>
  <c r="K1182" i="3"/>
  <c r="J1182" i="3" s="1"/>
  <c r="L1182" i="3"/>
  <c r="M1182" i="3"/>
  <c r="P1182" i="3" s="1"/>
  <c r="N1182" i="3"/>
  <c r="O1182" i="3" s="1"/>
  <c r="Q1182" i="3"/>
  <c r="R1182" i="3"/>
  <c r="B1183" i="3"/>
  <c r="C1183" i="3"/>
  <c r="S1183" i="3" s="1"/>
  <c r="D1183" i="3"/>
  <c r="I1183" i="3"/>
  <c r="K1183" i="3"/>
  <c r="J1183" i="3" s="1"/>
  <c r="L1183" i="3"/>
  <c r="M1183" i="3"/>
  <c r="P1183" i="3" s="1"/>
  <c r="N1183" i="3"/>
  <c r="O1183" i="3" s="1"/>
  <c r="Q1183" i="3"/>
  <c r="R1183" i="3"/>
  <c r="B1184" i="3"/>
  <c r="C1184" i="3"/>
  <c r="S1184" i="3" s="1"/>
  <c r="D1184" i="3"/>
  <c r="I1184" i="3"/>
  <c r="K1184" i="3"/>
  <c r="J1184" i="3" s="1"/>
  <c r="L1184" i="3"/>
  <c r="M1184" i="3"/>
  <c r="P1184" i="3" s="1"/>
  <c r="N1184" i="3"/>
  <c r="O1184" i="3" s="1"/>
  <c r="Q1184" i="3"/>
  <c r="R1184" i="3"/>
  <c r="B1185" i="3"/>
  <c r="C1185" i="3"/>
  <c r="S1185" i="3" s="1"/>
  <c r="D1185" i="3"/>
  <c r="I1185" i="3"/>
  <c r="K1185" i="3"/>
  <c r="J1185" i="3" s="1"/>
  <c r="L1185" i="3"/>
  <c r="M1185" i="3"/>
  <c r="P1185" i="3" s="1"/>
  <c r="N1185" i="3"/>
  <c r="O1185" i="3" s="1"/>
  <c r="Q1185" i="3"/>
  <c r="R1185" i="3"/>
  <c r="B1186" i="3"/>
  <c r="C1186" i="3"/>
  <c r="S1186" i="3" s="1"/>
  <c r="D1186" i="3"/>
  <c r="H1186" i="3"/>
  <c r="I1186" i="3" s="1"/>
  <c r="K1186" i="3"/>
  <c r="L1186" i="3"/>
  <c r="M1186" i="3"/>
  <c r="P1186" i="3" s="1"/>
  <c r="N1186" i="3"/>
  <c r="O1186" i="3" s="1"/>
  <c r="Q1186" i="3"/>
  <c r="R1186" i="3"/>
  <c r="B1187" i="3"/>
  <c r="C1187" i="3"/>
  <c r="S1187" i="3" s="1"/>
  <c r="D1187" i="3"/>
  <c r="H1187" i="3"/>
  <c r="I1187" i="3" s="1"/>
  <c r="K1187" i="3"/>
  <c r="L1187" i="3"/>
  <c r="M1187" i="3"/>
  <c r="P1187" i="3" s="1"/>
  <c r="N1187" i="3"/>
  <c r="O1187" i="3" s="1"/>
  <c r="Q1187" i="3"/>
  <c r="R1187" i="3"/>
  <c r="B1188" i="3"/>
  <c r="C1188" i="3"/>
  <c r="S1188" i="3" s="1"/>
  <c r="D1188" i="3"/>
  <c r="I1188" i="3"/>
  <c r="K1188" i="3"/>
  <c r="J1188" i="3" s="1"/>
  <c r="L1188" i="3"/>
  <c r="M1188" i="3"/>
  <c r="P1188" i="3" s="1"/>
  <c r="N1188" i="3"/>
  <c r="O1188" i="3" s="1"/>
  <c r="Q1188" i="3"/>
  <c r="R1188" i="3"/>
  <c r="B1189" i="3"/>
  <c r="C1189" i="3"/>
  <c r="S1189" i="3" s="1"/>
  <c r="D1189" i="3"/>
  <c r="I1189" i="3"/>
  <c r="K1189" i="3"/>
  <c r="J1189" i="3" s="1"/>
  <c r="L1189" i="3"/>
  <c r="M1189" i="3"/>
  <c r="P1189" i="3" s="1"/>
  <c r="N1189" i="3"/>
  <c r="O1189" i="3" s="1"/>
  <c r="Q1189" i="3"/>
  <c r="R1189" i="3"/>
  <c r="B1190" i="3"/>
  <c r="C1190" i="3"/>
  <c r="S1190" i="3" s="1"/>
  <c r="D1190" i="3"/>
  <c r="I1190" i="3"/>
  <c r="K1190" i="3"/>
  <c r="J1190" i="3" s="1"/>
  <c r="L1190" i="3"/>
  <c r="M1190" i="3"/>
  <c r="P1190" i="3" s="1"/>
  <c r="N1190" i="3"/>
  <c r="O1190" i="3" s="1"/>
  <c r="Q1190" i="3"/>
  <c r="R1190" i="3"/>
  <c r="B1191" i="3"/>
  <c r="C1191" i="3"/>
  <c r="S1191" i="3" s="1"/>
  <c r="D1191" i="3"/>
  <c r="I1191" i="3"/>
  <c r="K1191" i="3"/>
  <c r="J1191" i="3" s="1"/>
  <c r="L1191" i="3"/>
  <c r="M1191" i="3"/>
  <c r="P1191" i="3" s="1"/>
  <c r="N1191" i="3"/>
  <c r="O1191" i="3" s="1"/>
  <c r="Q1191" i="3"/>
  <c r="R1191" i="3"/>
  <c r="B1192" i="3"/>
  <c r="C1192" i="3"/>
  <c r="S1192" i="3" s="1"/>
  <c r="D1192" i="3"/>
  <c r="I1192" i="3"/>
  <c r="K1192" i="3"/>
  <c r="J1192" i="3" s="1"/>
  <c r="L1192" i="3"/>
  <c r="M1192" i="3"/>
  <c r="P1192" i="3" s="1"/>
  <c r="N1192" i="3"/>
  <c r="O1192" i="3" s="1"/>
  <c r="Q1192" i="3"/>
  <c r="R1192" i="3"/>
  <c r="B1193" i="3"/>
  <c r="C1193" i="3"/>
  <c r="S1193" i="3" s="1"/>
  <c r="D1193" i="3"/>
  <c r="I1193" i="3"/>
  <c r="K1193" i="3"/>
  <c r="J1193" i="3" s="1"/>
  <c r="L1193" i="3"/>
  <c r="M1193" i="3"/>
  <c r="P1193" i="3" s="1"/>
  <c r="N1193" i="3"/>
  <c r="O1193" i="3" s="1"/>
  <c r="Q1193" i="3"/>
  <c r="R1193" i="3"/>
  <c r="B1194" i="3"/>
  <c r="C1194" i="3"/>
  <c r="S1194" i="3" s="1"/>
  <c r="D1194" i="3"/>
  <c r="I1194" i="3"/>
  <c r="K1194" i="3"/>
  <c r="J1194" i="3" s="1"/>
  <c r="L1194" i="3"/>
  <c r="M1194" i="3"/>
  <c r="P1194" i="3" s="1"/>
  <c r="N1194" i="3"/>
  <c r="O1194" i="3" s="1"/>
  <c r="Q1194" i="3"/>
  <c r="R1194" i="3"/>
  <c r="B1195" i="3"/>
  <c r="C1195" i="3"/>
  <c r="S1195" i="3" s="1"/>
  <c r="D1195" i="3"/>
  <c r="I1195" i="3"/>
  <c r="K1195" i="3"/>
  <c r="J1195" i="3" s="1"/>
  <c r="L1195" i="3"/>
  <c r="M1195" i="3"/>
  <c r="P1195" i="3" s="1"/>
  <c r="N1195" i="3"/>
  <c r="O1195" i="3" s="1"/>
  <c r="Q1195" i="3"/>
  <c r="R1195" i="3"/>
  <c r="B1196" i="3"/>
  <c r="C1196" i="3"/>
  <c r="S1196" i="3" s="1"/>
  <c r="D1196" i="3"/>
  <c r="H1196" i="3"/>
  <c r="I1196" i="3" s="1"/>
  <c r="K1196" i="3"/>
  <c r="L1196" i="3"/>
  <c r="M1196" i="3"/>
  <c r="P1196" i="3" s="1"/>
  <c r="N1196" i="3"/>
  <c r="O1196" i="3" s="1"/>
  <c r="Q1196" i="3"/>
  <c r="R1196" i="3"/>
  <c r="B1197" i="3"/>
  <c r="C1197" i="3"/>
  <c r="S1197" i="3" s="1"/>
  <c r="D1197" i="3"/>
  <c r="I1197" i="3"/>
  <c r="K1197" i="3"/>
  <c r="J1197" i="3" s="1"/>
  <c r="L1197" i="3"/>
  <c r="M1197" i="3"/>
  <c r="P1197" i="3" s="1"/>
  <c r="N1197" i="3"/>
  <c r="O1197" i="3" s="1"/>
  <c r="Q1197" i="3"/>
  <c r="R1197" i="3"/>
  <c r="B1198" i="3"/>
  <c r="C1198" i="3"/>
  <c r="S1198" i="3" s="1"/>
  <c r="D1198" i="3"/>
  <c r="H1198" i="3"/>
  <c r="I1198" i="3" s="1"/>
  <c r="K1198" i="3"/>
  <c r="L1198" i="3"/>
  <c r="M1198" i="3"/>
  <c r="P1198" i="3" s="1"/>
  <c r="N1198" i="3"/>
  <c r="O1198" i="3" s="1"/>
  <c r="Q1198" i="3"/>
  <c r="R1198" i="3"/>
  <c r="B1199" i="3"/>
  <c r="C1199" i="3"/>
  <c r="S1199" i="3" s="1"/>
  <c r="D1199" i="3"/>
  <c r="I1199" i="3"/>
  <c r="K1199" i="3"/>
  <c r="J1199" i="3" s="1"/>
  <c r="L1199" i="3"/>
  <c r="M1199" i="3"/>
  <c r="P1199" i="3" s="1"/>
  <c r="N1199" i="3"/>
  <c r="O1199" i="3" s="1"/>
  <c r="Q1199" i="3"/>
  <c r="R1199" i="3"/>
  <c r="B1200" i="3"/>
  <c r="C1200" i="3"/>
  <c r="S1200" i="3" s="1"/>
  <c r="D1200" i="3"/>
  <c r="H1200" i="3"/>
  <c r="I1200" i="3" s="1"/>
  <c r="K1200" i="3"/>
  <c r="L1200" i="3"/>
  <c r="M1200" i="3"/>
  <c r="P1200" i="3" s="1"/>
  <c r="N1200" i="3"/>
  <c r="O1200" i="3" s="1"/>
  <c r="Q1200" i="3"/>
  <c r="R1200" i="3"/>
  <c r="B1201" i="3"/>
  <c r="C1201" i="3"/>
  <c r="S1201" i="3" s="1"/>
  <c r="D1201" i="3"/>
  <c r="I1201" i="3"/>
  <c r="K1201" i="3"/>
  <c r="J1201" i="3" s="1"/>
  <c r="L1201" i="3"/>
  <c r="M1201" i="3"/>
  <c r="P1201" i="3" s="1"/>
  <c r="N1201" i="3"/>
  <c r="O1201" i="3" s="1"/>
  <c r="Q1201" i="3"/>
  <c r="R1201" i="3"/>
  <c r="B1202" i="3"/>
  <c r="C1202" i="3"/>
  <c r="S1202" i="3" s="1"/>
  <c r="D1202" i="3"/>
  <c r="H1202" i="3"/>
  <c r="I1202" i="3" s="1"/>
  <c r="K1202" i="3"/>
  <c r="L1202" i="3"/>
  <c r="M1202" i="3"/>
  <c r="P1202" i="3" s="1"/>
  <c r="N1202" i="3"/>
  <c r="O1202" i="3" s="1"/>
  <c r="Q1202" i="3"/>
  <c r="R1202" i="3"/>
  <c r="B1203" i="3"/>
  <c r="C1203" i="3"/>
  <c r="S1203" i="3" s="1"/>
  <c r="D1203" i="3"/>
  <c r="I1203" i="3"/>
  <c r="K1203" i="3"/>
  <c r="J1203" i="3" s="1"/>
  <c r="L1203" i="3"/>
  <c r="M1203" i="3"/>
  <c r="P1203" i="3" s="1"/>
  <c r="N1203" i="3"/>
  <c r="O1203" i="3" s="1"/>
  <c r="Q1203" i="3"/>
  <c r="R1203" i="3"/>
  <c r="B1204" i="3"/>
  <c r="C1204" i="3"/>
  <c r="S1204" i="3" s="1"/>
  <c r="D1204" i="3"/>
  <c r="I1204" i="3"/>
  <c r="K1204" i="3"/>
  <c r="J1204" i="3" s="1"/>
  <c r="L1204" i="3"/>
  <c r="M1204" i="3"/>
  <c r="P1204" i="3" s="1"/>
  <c r="N1204" i="3"/>
  <c r="O1204" i="3" s="1"/>
  <c r="Q1204" i="3"/>
  <c r="R1204" i="3"/>
  <c r="B1205" i="3"/>
  <c r="C1205" i="3"/>
  <c r="S1205" i="3" s="1"/>
  <c r="D1205" i="3"/>
  <c r="I1205" i="3"/>
  <c r="K1205" i="3"/>
  <c r="J1205" i="3" s="1"/>
  <c r="L1205" i="3"/>
  <c r="M1205" i="3"/>
  <c r="P1205" i="3" s="1"/>
  <c r="N1205" i="3"/>
  <c r="O1205" i="3" s="1"/>
  <c r="Q1205" i="3"/>
  <c r="R1205" i="3"/>
  <c r="B1206" i="3"/>
  <c r="C1206" i="3"/>
  <c r="S1206" i="3" s="1"/>
  <c r="D1206" i="3"/>
  <c r="I1206" i="3"/>
  <c r="K1206" i="3"/>
  <c r="J1206" i="3" s="1"/>
  <c r="L1206" i="3"/>
  <c r="M1206" i="3"/>
  <c r="P1206" i="3" s="1"/>
  <c r="N1206" i="3"/>
  <c r="O1206" i="3" s="1"/>
  <c r="Q1206" i="3"/>
  <c r="R1206" i="3"/>
  <c r="B1207" i="3"/>
  <c r="C1207" i="3"/>
  <c r="S1207" i="3" s="1"/>
  <c r="D1207" i="3"/>
  <c r="I1207" i="3"/>
  <c r="K1207" i="3"/>
  <c r="J1207" i="3" s="1"/>
  <c r="L1207" i="3"/>
  <c r="M1207" i="3"/>
  <c r="P1207" i="3" s="1"/>
  <c r="N1207" i="3"/>
  <c r="O1207" i="3" s="1"/>
  <c r="Q1207" i="3"/>
  <c r="R1207" i="3"/>
  <c r="B1208" i="3"/>
  <c r="C1208" i="3"/>
  <c r="S1208" i="3" s="1"/>
  <c r="D1208" i="3"/>
  <c r="I1208" i="3"/>
  <c r="K1208" i="3"/>
  <c r="J1208" i="3" s="1"/>
  <c r="L1208" i="3"/>
  <c r="M1208" i="3"/>
  <c r="P1208" i="3" s="1"/>
  <c r="N1208" i="3"/>
  <c r="O1208" i="3" s="1"/>
  <c r="Q1208" i="3"/>
  <c r="R1208" i="3"/>
  <c r="B1209" i="3"/>
  <c r="C1209" i="3"/>
  <c r="S1209" i="3" s="1"/>
  <c r="D1209" i="3"/>
  <c r="H1209" i="3"/>
  <c r="I1209" i="3" s="1"/>
  <c r="K1209" i="3"/>
  <c r="L1209" i="3"/>
  <c r="M1209" i="3"/>
  <c r="P1209" i="3" s="1"/>
  <c r="N1209" i="3"/>
  <c r="O1209" i="3" s="1"/>
  <c r="Q1209" i="3"/>
  <c r="R1209" i="3"/>
  <c r="B1210" i="3"/>
  <c r="C1210" i="3"/>
  <c r="S1210" i="3" s="1"/>
  <c r="D1210" i="3"/>
  <c r="I1210" i="3"/>
  <c r="K1210" i="3"/>
  <c r="J1210" i="3" s="1"/>
  <c r="L1210" i="3"/>
  <c r="M1210" i="3"/>
  <c r="P1210" i="3" s="1"/>
  <c r="N1210" i="3"/>
  <c r="O1210" i="3" s="1"/>
  <c r="Q1210" i="3"/>
  <c r="R1210" i="3"/>
  <c r="B1211" i="3"/>
  <c r="C1211" i="3"/>
  <c r="S1211" i="3" s="1"/>
  <c r="D1211" i="3"/>
  <c r="I1211" i="3"/>
  <c r="K1211" i="3"/>
  <c r="J1211" i="3" s="1"/>
  <c r="L1211" i="3"/>
  <c r="M1211" i="3"/>
  <c r="P1211" i="3" s="1"/>
  <c r="N1211" i="3"/>
  <c r="O1211" i="3" s="1"/>
  <c r="Q1211" i="3"/>
  <c r="R1211" i="3"/>
  <c r="B1212" i="3"/>
  <c r="C1212" i="3"/>
  <c r="S1212" i="3" s="1"/>
  <c r="D1212" i="3"/>
  <c r="I1212" i="3"/>
  <c r="K1212" i="3"/>
  <c r="J1212" i="3" s="1"/>
  <c r="L1212" i="3"/>
  <c r="M1212" i="3"/>
  <c r="P1212" i="3" s="1"/>
  <c r="N1212" i="3"/>
  <c r="O1212" i="3" s="1"/>
  <c r="Q1212" i="3"/>
  <c r="R1212" i="3"/>
  <c r="B1213" i="3"/>
  <c r="C1213" i="3"/>
  <c r="S1213" i="3" s="1"/>
  <c r="D1213" i="3"/>
  <c r="K1213" i="3"/>
  <c r="L1213" i="3"/>
  <c r="M1213" i="3"/>
  <c r="P1213" i="3" s="1"/>
  <c r="N1213" i="3"/>
  <c r="O1213" i="3" s="1"/>
  <c r="Q1213" i="3"/>
  <c r="R1213" i="3"/>
  <c r="B1214" i="3"/>
  <c r="C1214" i="3"/>
  <c r="S1214" i="3" s="1"/>
  <c r="D1214" i="3"/>
  <c r="K1214" i="3"/>
  <c r="L1214" i="3"/>
  <c r="M1214" i="3"/>
  <c r="P1214" i="3" s="1"/>
  <c r="N1214" i="3"/>
  <c r="O1214" i="3" s="1"/>
  <c r="Q1214" i="3"/>
  <c r="R1214" i="3"/>
  <c r="B1216" i="3"/>
  <c r="C1216" i="3"/>
  <c r="S1216" i="3" s="1"/>
  <c r="D1216" i="3"/>
  <c r="I1216" i="3"/>
  <c r="K1216" i="3"/>
  <c r="J1216" i="3" s="1"/>
  <c r="L1216" i="3"/>
  <c r="M1216" i="3"/>
  <c r="P1216" i="3" s="1"/>
  <c r="N1216" i="3"/>
  <c r="O1216" i="3" s="1"/>
  <c r="Q1216" i="3"/>
  <c r="R1216" i="3"/>
  <c r="B1217" i="3"/>
  <c r="C1217" i="3"/>
  <c r="S1217" i="3" s="1"/>
  <c r="D1217" i="3"/>
  <c r="I1217" i="3"/>
  <c r="K1217" i="3"/>
  <c r="J1217" i="3" s="1"/>
  <c r="L1217" i="3"/>
  <c r="M1217" i="3"/>
  <c r="P1217" i="3" s="1"/>
  <c r="N1217" i="3"/>
  <c r="O1217" i="3" s="1"/>
  <c r="Q1217" i="3"/>
  <c r="R1217" i="3"/>
  <c r="B1218" i="3"/>
  <c r="C1218" i="3"/>
  <c r="S1218" i="3" s="1"/>
  <c r="D1218" i="3"/>
  <c r="I1218" i="3"/>
  <c r="K1218" i="3"/>
  <c r="J1218" i="3" s="1"/>
  <c r="L1218" i="3"/>
  <c r="M1218" i="3"/>
  <c r="P1218" i="3" s="1"/>
  <c r="N1218" i="3"/>
  <c r="O1218" i="3" s="1"/>
  <c r="Q1218" i="3"/>
  <c r="R1218" i="3"/>
  <c r="B1219" i="3"/>
  <c r="C1219" i="3"/>
  <c r="S1219" i="3" s="1"/>
  <c r="D1219" i="3"/>
  <c r="I1219" i="3"/>
  <c r="K1219" i="3"/>
  <c r="J1219" i="3" s="1"/>
  <c r="L1219" i="3"/>
  <c r="M1219" i="3"/>
  <c r="P1219" i="3" s="1"/>
  <c r="N1219" i="3"/>
  <c r="O1219" i="3" s="1"/>
  <c r="Q1219" i="3"/>
  <c r="R1219" i="3"/>
  <c r="B1220" i="3"/>
  <c r="C1220" i="3"/>
  <c r="S1220" i="3" s="1"/>
  <c r="D1220" i="3"/>
  <c r="I1220" i="3"/>
  <c r="K1220" i="3"/>
  <c r="J1220" i="3" s="1"/>
  <c r="L1220" i="3"/>
  <c r="M1220" i="3"/>
  <c r="P1220" i="3" s="1"/>
  <c r="N1220" i="3"/>
  <c r="O1220" i="3" s="1"/>
  <c r="Q1220" i="3"/>
  <c r="R1220" i="3"/>
  <c r="B1221" i="3"/>
  <c r="C1221" i="3"/>
  <c r="S1221" i="3" s="1"/>
  <c r="D1221" i="3"/>
  <c r="I1221" i="3"/>
  <c r="K1221" i="3"/>
  <c r="J1221" i="3" s="1"/>
  <c r="L1221" i="3"/>
  <c r="M1221" i="3"/>
  <c r="P1221" i="3" s="1"/>
  <c r="N1221" i="3"/>
  <c r="O1221" i="3" s="1"/>
  <c r="Q1221" i="3"/>
  <c r="R1221" i="3"/>
  <c r="B1222" i="3"/>
  <c r="C1222" i="3"/>
  <c r="S1222" i="3" s="1"/>
  <c r="D1222" i="3"/>
  <c r="I1222" i="3"/>
  <c r="K1222" i="3"/>
  <c r="J1222" i="3" s="1"/>
  <c r="L1222" i="3"/>
  <c r="M1222" i="3"/>
  <c r="P1222" i="3" s="1"/>
  <c r="N1222" i="3"/>
  <c r="O1222" i="3" s="1"/>
  <c r="Q1222" i="3"/>
  <c r="R1222" i="3"/>
  <c r="B1223" i="3"/>
  <c r="C1223" i="3"/>
  <c r="S1223" i="3" s="1"/>
  <c r="D1223" i="3"/>
  <c r="I1223" i="3"/>
  <c r="K1223" i="3"/>
  <c r="J1223" i="3" s="1"/>
  <c r="L1223" i="3"/>
  <c r="M1223" i="3"/>
  <c r="P1223" i="3" s="1"/>
  <c r="N1223" i="3"/>
  <c r="O1223" i="3" s="1"/>
  <c r="Q1223" i="3"/>
  <c r="R1223" i="3"/>
  <c r="B1224" i="3"/>
  <c r="C1224" i="3"/>
  <c r="S1224" i="3" s="1"/>
  <c r="D1224" i="3"/>
  <c r="I1224" i="3"/>
  <c r="K1224" i="3"/>
  <c r="J1224" i="3" s="1"/>
  <c r="L1224" i="3"/>
  <c r="M1224" i="3"/>
  <c r="P1224" i="3" s="1"/>
  <c r="N1224" i="3"/>
  <c r="O1224" i="3" s="1"/>
  <c r="Q1224" i="3"/>
  <c r="R1224" i="3"/>
  <c r="B1225" i="3"/>
  <c r="C1225" i="3"/>
  <c r="S1225" i="3" s="1"/>
  <c r="D1225" i="3"/>
  <c r="I1225" i="3"/>
  <c r="K1225" i="3"/>
  <c r="J1225" i="3" s="1"/>
  <c r="L1225" i="3"/>
  <c r="M1225" i="3"/>
  <c r="P1225" i="3" s="1"/>
  <c r="N1225" i="3"/>
  <c r="O1225" i="3" s="1"/>
  <c r="Q1225" i="3"/>
  <c r="R1225" i="3"/>
  <c r="B1226" i="3"/>
  <c r="C1226" i="3"/>
  <c r="S1226" i="3" s="1"/>
  <c r="D1226" i="3"/>
  <c r="I1226" i="3"/>
  <c r="K1226" i="3"/>
  <c r="J1226" i="3" s="1"/>
  <c r="L1226" i="3"/>
  <c r="M1226" i="3"/>
  <c r="P1226" i="3" s="1"/>
  <c r="N1226" i="3"/>
  <c r="O1226" i="3" s="1"/>
  <c r="Q1226" i="3"/>
  <c r="R1226" i="3"/>
  <c r="B1227" i="3"/>
  <c r="C1227" i="3"/>
  <c r="S1227" i="3" s="1"/>
  <c r="D1227" i="3"/>
  <c r="I1227" i="3"/>
  <c r="K1227" i="3"/>
  <c r="J1227" i="3" s="1"/>
  <c r="L1227" i="3"/>
  <c r="M1227" i="3"/>
  <c r="P1227" i="3" s="1"/>
  <c r="N1227" i="3"/>
  <c r="O1227" i="3" s="1"/>
  <c r="Q1227" i="3"/>
  <c r="R1227" i="3"/>
  <c r="B1228" i="3"/>
  <c r="C1228" i="3"/>
  <c r="S1228" i="3" s="1"/>
  <c r="D1228" i="3"/>
  <c r="I1228" i="3"/>
  <c r="K1228" i="3"/>
  <c r="J1228" i="3" s="1"/>
  <c r="L1228" i="3"/>
  <c r="M1228" i="3"/>
  <c r="P1228" i="3" s="1"/>
  <c r="N1228" i="3"/>
  <c r="O1228" i="3" s="1"/>
  <c r="Q1228" i="3"/>
  <c r="R1228" i="3"/>
  <c r="B1229" i="3"/>
  <c r="C1229" i="3"/>
  <c r="S1229" i="3" s="1"/>
  <c r="D1229" i="3"/>
  <c r="I1229" i="3"/>
  <c r="K1229" i="3"/>
  <c r="J1229" i="3" s="1"/>
  <c r="L1229" i="3"/>
  <c r="M1229" i="3"/>
  <c r="P1229" i="3" s="1"/>
  <c r="N1229" i="3"/>
  <c r="O1229" i="3" s="1"/>
  <c r="Q1229" i="3"/>
  <c r="R1229" i="3"/>
  <c r="B1230" i="3"/>
  <c r="C1230" i="3"/>
  <c r="S1230" i="3" s="1"/>
  <c r="D1230" i="3"/>
  <c r="I1230" i="3"/>
  <c r="K1230" i="3"/>
  <c r="J1230" i="3" s="1"/>
  <c r="L1230" i="3"/>
  <c r="M1230" i="3"/>
  <c r="P1230" i="3" s="1"/>
  <c r="N1230" i="3"/>
  <c r="O1230" i="3" s="1"/>
  <c r="Q1230" i="3"/>
  <c r="R1230" i="3"/>
  <c r="B1231" i="3"/>
  <c r="C1231" i="3"/>
  <c r="S1231" i="3" s="1"/>
  <c r="D1231" i="3"/>
  <c r="I1231" i="3"/>
  <c r="K1231" i="3"/>
  <c r="J1231" i="3" s="1"/>
  <c r="L1231" i="3"/>
  <c r="M1231" i="3"/>
  <c r="P1231" i="3" s="1"/>
  <c r="N1231" i="3"/>
  <c r="O1231" i="3" s="1"/>
  <c r="Q1231" i="3"/>
  <c r="R1231" i="3"/>
  <c r="B1232" i="3"/>
  <c r="C1232" i="3"/>
  <c r="S1232" i="3" s="1"/>
  <c r="D1232" i="3"/>
  <c r="I1232" i="3"/>
  <c r="K1232" i="3"/>
  <c r="J1232" i="3" s="1"/>
  <c r="L1232" i="3"/>
  <c r="M1232" i="3"/>
  <c r="P1232" i="3" s="1"/>
  <c r="N1232" i="3"/>
  <c r="O1232" i="3" s="1"/>
  <c r="Q1232" i="3"/>
  <c r="R1232" i="3"/>
  <c r="B1233" i="3"/>
  <c r="C1233" i="3"/>
  <c r="S1233" i="3" s="1"/>
  <c r="D1233" i="3"/>
  <c r="I1233" i="3"/>
  <c r="K1233" i="3"/>
  <c r="J1233" i="3" s="1"/>
  <c r="L1233" i="3"/>
  <c r="M1233" i="3"/>
  <c r="P1233" i="3" s="1"/>
  <c r="N1233" i="3"/>
  <c r="O1233" i="3" s="1"/>
  <c r="Q1233" i="3"/>
  <c r="R1233" i="3"/>
  <c r="B1234" i="3"/>
  <c r="C1234" i="3"/>
  <c r="S1234" i="3" s="1"/>
  <c r="D1234" i="3"/>
  <c r="I1234" i="3"/>
  <c r="K1234" i="3"/>
  <c r="J1234" i="3" s="1"/>
  <c r="L1234" i="3"/>
  <c r="M1234" i="3"/>
  <c r="P1234" i="3" s="1"/>
  <c r="N1234" i="3"/>
  <c r="O1234" i="3" s="1"/>
  <c r="Q1234" i="3"/>
  <c r="R1234" i="3"/>
  <c r="B1235" i="3"/>
  <c r="C1235" i="3"/>
  <c r="S1235" i="3" s="1"/>
  <c r="D1235" i="3"/>
  <c r="I1235" i="3"/>
  <c r="K1235" i="3"/>
  <c r="J1235" i="3" s="1"/>
  <c r="L1235" i="3"/>
  <c r="M1235" i="3"/>
  <c r="P1235" i="3" s="1"/>
  <c r="N1235" i="3"/>
  <c r="O1235" i="3" s="1"/>
  <c r="Q1235" i="3"/>
  <c r="R1235" i="3"/>
  <c r="B1236" i="3"/>
  <c r="C1236" i="3"/>
  <c r="S1236" i="3" s="1"/>
  <c r="D1236" i="3"/>
  <c r="H1236" i="3"/>
  <c r="K1236" i="3"/>
  <c r="L1236" i="3"/>
  <c r="M1236" i="3"/>
  <c r="P1236" i="3" s="1"/>
  <c r="N1236" i="3"/>
  <c r="O1236" i="3" s="1"/>
  <c r="Q1236" i="3"/>
  <c r="R1236" i="3"/>
  <c r="B1237" i="3"/>
  <c r="C1237" i="3"/>
  <c r="S1237" i="3" s="1"/>
  <c r="D1237" i="3"/>
  <c r="I1237" i="3"/>
  <c r="K1237" i="3"/>
  <c r="J1237" i="3" s="1"/>
  <c r="L1237" i="3"/>
  <c r="M1237" i="3"/>
  <c r="P1237" i="3" s="1"/>
  <c r="N1237" i="3"/>
  <c r="O1237" i="3" s="1"/>
  <c r="Q1237" i="3"/>
  <c r="R1237" i="3"/>
  <c r="B1238" i="3"/>
  <c r="C1238" i="3"/>
  <c r="S1238" i="3" s="1"/>
  <c r="D1238" i="3"/>
  <c r="I1238" i="3"/>
  <c r="K1238" i="3"/>
  <c r="J1238" i="3" s="1"/>
  <c r="L1238" i="3"/>
  <c r="M1238" i="3"/>
  <c r="P1238" i="3" s="1"/>
  <c r="N1238" i="3"/>
  <c r="O1238" i="3" s="1"/>
  <c r="Q1238" i="3"/>
  <c r="R1238" i="3"/>
  <c r="B1239" i="3"/>
  <c r="C1239" i="3"/>
  <c r="S1239" i="3" s="1"/>
  <c r="D1239" i="3"/>
  <c r="I1239" i="3"/>
  <c r="K1239" i="3"/>
  <c r="J1239" i="3" s="1"/>
  <c r="L1239" i="3"/>
  <c r="M1239" i="3"/>
  <c r="P1239" i="3" s="1"/>
  <c r="N1239" i="3"/>
  <c r="O1239" i="3" s="1"/>
  <c r="Q1239" i="3"/>
  <c r="R1239" i="3"/>
  <c r="B1240" i="3"/>
  <c r="C1240" i="3"/>
  <c r="S1240" i="3" s="1"/>
  <c r="D1240" i="3"/>
  <c r="I1240" i="3"/>
  <c r="K1240" i="3"/>
  <c r="J1240" i="3" s="1"/>
  <c r="L1240" i="3"/>
  <c r="M1240" i="3"/>
  <c r="P1240" i="3" s="1"/>
  <c r="N1240" i="3"/>
  <c r="O1240" i="3" s="1"/>
  <c r="Q1240" i="3"/>
  <c r="R1240" i="3"/>
  <c r="B1241" i="3"/>
  <c r="C1241" i="3"/>
  <c r="S1241" i="3" s="1"/>
  <c r="D1241" i="3"/>
  <c r="I1241" i="3"/>
  <c r="K1241" i="3"/>
  <c r="J1241" i="3" s="1"/>
  <c r="L1241" i="3"/>
  <c r="M1241" i="3"/>
  <c r="P1241" i="3" s="1"/>
  <c r="N1241" i="3"/>
  <c r="O1241" i="3" s="1"/>
  <c r="Q1241" i="3"/>
  <c r="R1241" i="3"/>
  <c r="B1242" i="3"/>
  <c r="C1242" i="3"/>
  <c r="S1242" i="3" s="1"/>
  <c r="D1242" i="3"/>
  <c r="I1242" i="3"/>
  <c r="K1242" i="3"/>
  <c r="J1242" i="3" s="1"/>
  <c r="L1242" i="3"/>
  <c r="M1242" i="3"/>
  <c r="P1242" i="3" s="1"/>
  <c r="N1242" i="3"/>
  <c r="O1242" i="3" s="1"/>
  <c r="Q1242" i="3"/>
  <c r="R1242" i="3"/>
  <c r="B1243" i="3"/>
  <c r="C1243" i="3"/>
  <c r="S1243" i="3" s="1"/>
  <c r="D1243" i="3"/>
  <c r="H1243" i="3"/>
  <c r="I1243" i="3" s="1"/>
  <c r="K1243" i="3"/>
  <c r="L1243" i="3"/>
  <c r="M1243" i="3"/>
  <c r="P1243" i="3" s="1"/>
  <c r="N1243" i="3"/>
  <c r="O1243" i="3" s="1"/>
  <c r="Q1243" i="3"/>
  <c r="R1243" i="3"/>
  <c r="B1244" i="3"/>
  <c r="C1244" i="3"/>
  <c r="S1244" i="3" s="1"/>
  <c r="D1244" i="3"/>
  <c r="I1244" i="3"/>
  <c r="K1244" i="3"/>
  <c r="J1244" i="3" s="1"/>
  <c r="L1244" i="3"/>
  <c r="M1244" i="3"/>
  <c r="P1244" i="3" s="1"/>
  <c r="N1244" i="3"/>
  <c r="O1244" i="3" s="1"/>
  <c r="Q1244" i="3"/>
  <c r="R1244" i="3"/>
  <c r="B1245" i="3"/>
  <c r="C1245" i="3"/>
  <c r="S1245" i="3" s="1"/>
  <c r="D1245" i="3"/>
  <c r="I1245" i="3"/>
  <c r="K1245" i="3"/>
  <c r="J1245" i="3" s="1"/>
  <c r="L1245" i="3"/>
  <c r="M1245" i="3"/>
  <c r="P1245" i="3" s="1"/>
  <c r="N1245" i="3"/>
  <c r="O1245" i="3" s="1"/>
  <c r="Q1245" i="3"/>
  <c r="R1245" i="3"/>
  <c r="B1246" i="3"/>
  <c r="C1246" i="3"/>
  <c r="S1246" i="3" s="1"/>
  <c r="D1246" i="3"/>
  <c r="I1246" i="3"/>
  <c r="K1246" i="3"/>
  <c r="L1246" i="3"/>
  <c r="M1246" i="3"/>
  <c r="P1246" i="3" s="1"/>
  <c r="N1246" i="3"/>
  <c r="O1246" i="3" s="1"/>
  <c r="Q1246" i="3"/>
  <c r="R1246" i="3"/>
  <c r="B1247" i="3"/>
  <c r="C1247" i="3"/>
  <c r="S1247" i="3" s="1"/>
  <c r="D1247" i="3"/>
  <c r="I1247" i="3"/>
  <c r="K1247" i="3"/>
  <c r="J1247" i="3" s="1"/>
  <c r="L1247" i="3"/>
  <c r="M1247" i="3"/>
  <c r="P1247" i="3" s="1"/>
  <c r="N1247" i="3"/>
  <c r="O1247" i="3" s="1"/>
  <c r="Q1247" i="3"/>
  <c r="R1247" i="3"/>
  <c r="B1248" i="3"/>
  <c r="C1248" i="3"/>
  <c r="S1248" i="3" s="1"/>
  <c r="D1248" i="3"/>
  <c r="I1248" i="3"/>
  <c r="K1248" i="3"/>
  <c r="J1248" i="3" s="1"/>
  <c r="L1248" i="3"/>
  <c r="M1248" i="3"/>
  <c r="P1248" i="3" s="1"/>
  <c r="N1248" i="3"/>
  <c r="O1248" i="3" s="1"/>
  <c r="Q1248" i="3"/>
  <c r="R1248" i="3"/>
  <c r="B1249" i="3"/>
  <c r="C1249" i="3"/>
  <c r="S1249" i="3" s="1"/>
  <c r="D1249" i="3"/>
  <c r="I1249" i="3"/>
  <c r="K1249" i="3"/>
  <c r="J1249" i="3" s="1"/>
  <c r="L1249" i="3"/>
  <c r="M1249" i="3"/>
  <c r="P1249" i="3" s="1"/>
  <c r="N1249" i="3"/>
  <c r="O1249" i="3" s="1"/>
  <c r="Q1249" i="3"/>
  <c r="R1249" i="3"/>
  <c r="B1250" i="3"/>
  <c r="C1250" i="3"/>
  <c r="S1250" i="3" s="1"/>
  <c r="D1250" i="3"/>
  <c r="I1250" i="3"/>
  <c r="K1250" i="3"/>
  <c r="J1250" i="3" s="1"/>
  <c r="L1250" i="3"/>
  <c r="M1250" i="3"/>
  <c r="P1250" i="3" s="1"/>
  <c r="N1250" i="3"/>
  <c r="O1250" i="3" s="1"/>
  <c r="Q1250" i="3"/>
  <c r="R1250" i="3"/>
  <c r="B1251" i="3"/>
  <c r="C1251" i="3"/>
  <c r="S1251" i="3" s="1"/>
  <c r="D1251" i="3"/>
  <c r="I1251" i="3"/>
  <c r="K1251" i="3"/>
  <c r="J1251" i="3" s="1"/>
  <c r="L1251" i="3"/>
  <c r="M1251" i="3"/>
  <c r="P1251" i="3" s="1"/>
  <c r="N1251" i="3"/>
  <c r="O1251" i="3" s="1"/>
  <c r="Q1251" i="3"/>
  <c r="R1251" i="3"/>
  <c r="B1252" i="3"/>
  <c r="C1252" i="3"/>
  <c r="S1252" i="3" s="1"/>
  <c r="D1252" i="3"/>
  <c r="I1252" i="3"/>
  <c r="K1252" i="3"/>
  <c r="J1252" i="3" s="1"/>
  <c r="L1252" i="3"/>
  <c r="M1252" i="3"/>
  <c r="P1252" i="3" s="1"/>
  <c r="N1252" i="3"/>
  <c r="O1252" i="3" s="1"/>
  <c r="Q1252" i="3"/>
  <c r="R1252" i="3"/>
  <c r="B1253" i="3"/>
  <c r="C1253" i="3"/>
  <c r="S1253" i="3" s="1"/>
  <c r="D1253" i="3"/>
  <c r="I1253" i="3"/>
  <c r="K1253" i="3"/>
  <c r="J1253" i="3" s="1"/>
  <c r="L1253" i="3"/>
  <c r="M1253" i="3"/>
  <c r="P1253" i="3" s="1"/>
  <c r="N1253" i="3"/>
  <c r="O1253" i="3" s="1"/>
  <c r="Q1253" i="3"/>
  <c r="R1253" i="3"/>
  <c r="B1254" i="3"/>
  <c r="C1254" i="3"/>
  <c r="S1254" i="3" s="1"/>
  <c r="D1254" i="3"/>
  <c r="I1254" i="3"/>
  <c r="K1254" i="3"/>
  <c r="J1254" i="3" s="1"/>
  <c r="L1254" i="3"/>
  <c r="M1254" i="3"/>
  <c r="P1254" i="3" s="1"/>
  <c r="N1254" i="3"/>
  <c r="O1254" i="3" s="1"/>
  <c r="Q1254" i="3"/>
  <c r="R1254" i="3"/>
  <c r="B1255" i="3"/>
  <c r="C1255" i="3"/>
  <c r="S1255" i="3" s="1"/>
  <c r="D1255" i="3"/>
  <c r="I1255" i="3"/>
  <c r="K1255" i="3"/>
  <c r="J1255" i="3" s="1"/>
  <c r="L1255" i="3"/>
  <c r="M1255" i="3"/>
  <c r="P1255" i="3" s="1"/>
  <c r="N1255" i="3"/>
  <c r="O1255" i="3" s="1"/>
  <c r="Q1255" i="3"/>
  <c r="R1255" i="3"/>
  <c r="B1256" i="3"/>
  <c r="C1256" i="3"/>
  <c r="S1256" i="3" s="1"/>
  <c r="D1256" i="3"/>
  <c r="I1256" i="3"/>
  <c r="K1256" i="3"/>
  <c r="J1256" i="3" s="1"/>
  <c r="L1256" i="3"/>
  <c r="M1256" i="3"/>
  <c r="P1256" i="3" s="1"/>
  <c r="N1256" i="3"/>
  <c r="O1256" i="3" s="1"/>
  <c r="Q1256" i="3"/>
  <c r="R1256" i="3"/>
  <c r="B1257" i="3"/>
  <c r="C1257" i="3"/>
  <c r="S1257" i="3" s="1"/>
  <c r="D1257" i="3"/>
  <c r="I1257" i="3"/>
  <c r="K1257" i="3"/>
  <c r="J1257" i="3" s="1"/>
  <c r="L1257" i="3"/>
  <c r="M1257" i="3"/>
  <c r="P1257" i="3" s="1"/>
  <c r="N1257" i="3"/>
  <c r="O1257" i="3" s="1"/>
  <c r="Q1257" i="3"/>
  <c r="R1257" i="3"/>
  <c r="B1258" i="3"/>
  <c r="C1258" i="3"/>
  <c r="S1258" i="3" s="1"/>
  <c r="D1258" i="3"/>
  <c r="I1258" i="3"/>
  <c r="K1258" i="3"/>
  <c r="J1258" i="3" s="1"/>
  <c r="L1258" i="3"/>
  <c r="M1258" i="3"/>
  <c r="P1258" i="3" s="1"/>
  <c r="N1258" i="3"/>
  <c r="O1258" i="3" s="1"/>
  <c r="Q1258" i="3"/>
  <c r="R1258" i="3"/>
  <c r="B1259" i="3"/>
  <c r="C1259" i="3"/>
  <c r="S1259" i="3" s="1"/>
  <c r="D1259" i="3"/>
  <c r="I1259" i="3"/>
  <c r="K1259" i="3"/>
  <c r="J1259" i="3" s="1"/>
  <c r="L1259" i="3"/>
  <c r="M1259" i="3"/>
  <c r="P1259" i="3" s="1"/>
  <c r="N1259" i="3"/>
  <c r="O1259" i="3" s="1"/>
  <c r="Q1259" i="3"/>
  <c r="R1259" i="3"/>
  <c r="B1260" i="3"/>
  <c r="C1260" i="3"/>
  <c r="S1260" i="3" s="1"/>
  <c r="D1260" i="3"/>
  <c r="I1260" i="3"/>
  <c r="K1260" i="3"/>
  <c r="J1260" i="3" s="1"/>
  <c r="L1260" i="3"/>
  <c r="M1260" i="3"/>
  <c r="P1260" i="3" s="1"/>
  <c r="N1260" i="3"/>
  <c r="O1260" i="3" s="1"/>
  <c r="Q1260" i="3"/>
  <c r="R1260" i="3"/>
  <c r="B1261" i="3"/>
  <c r="C1261" i="3"/>
  <c r="S1261" i="3" s="1"/>
  <c r="D1261" i="3"/>
  <c r="I1261" i="3"/>
  <c r="K1261" i="3"/>
  <c r="J1261" i="3" s="1"/>
  <c r="L1261" i="3"/>
  <c r="M1261" i="3"/>
  <c r="P1261" i="3" s="1"/>
  <c r="N1261" i="3"/>
  <c r="O1261" i="3" s="1"/>
  <c r="Q1261" i="3"/>
  <c r="R1261" i="3"/>
  <c r="B1262" i="3"/>
  <c r="C1262" i="3"/>
  <c r="S1262" i="3" s="1"/>
  <c r="D1262" i="3"/>
  <c r="I1262" i="3"/>
  <c r="K1262" i="3"/>
  <c r="J1262" i="3" s="1"/>
  <c r="L1262" i="3"/>
  <c r="M1262" i="3"/>
  <c r="P1262" i="3" s="1"/>
  <c r="N1262" i="3"/>
  <c r="O1262" i="3" s="1"/>
  <c r="Q1262" i="3"/>
  <c r="R1262" i="3"/>
  <c r="B1263" i="3"/>
  <c r="C1263" i="3"/>
  <c r="S1263" i="3" s="1"/>
  <c r="D1263" i="3"/>
  <c r="I1263" i="3"/>
  <c r="K1263" i="3"/>
  <c r="J1263" i="3" s="1"/>
  <c r="L1263" i="3"/>
  <c r="M1263" i="3"/>
  <c r="P1263" i="3" s="1"/>
  <c r="N1263" i="3"/>
  <c r="O1263" i="3" s="1"/>
  <c r="Q1263" i="3"/>
  <c r="R1263" i="3"/>
  <c r="B1264" i="3"/>
  <c r="C1264" i="3"/>
  <c r="S1264" i="3" s="1"/>
  <c r="D1264" i="3"/>
  <c r="I1264" i="3"/>
  <c r="K1264" i="3"/>
  <c r="J1264" i="3" s="1"/>
  <c r="L1264" i="3"/>
  <c r="M1264" i="3"/>
  <c r="P1264" i="3" s="1"/>
  <c r="N1264" i="3"/>
  <c r="O1264" i="3" s="1"/>
  <c r="Q1264" i="3"/>
  <c r="R1264" i="3"/>
  <c r="B1265" i="3"/>
  <c r="C1265" i="3"/>
  <c r="S1265" i="3" s="1"/>
  <c r="D1265" i="3"/>
  <c r="I1265" i="3"/>
  <c r="K1265" i="3"/>
  <c r="J1265" i="3" s="1"/>
  <c r="L1265" i="3"/>
  <c r="M1265" i="3"/>
  <c r="P1265" i="3" s="1"/>
  <c r="N1265" i="3"/>
  <c r="O1265" i="3" s="1"/>
  <c r="Q1265" i="3"/>
  <c r="R1265" i="3"/>
  <c r="B1266" i="3"/>
  <c r="C1266" i="3"/>
  <c r="S1266" i="3" s="1"/>
  <c r="D1266" i="3"/>
  <c r="H1266" i="3"/>
  <c r="I1266" i="3" s="1"/>
  <c r="K1266" i="3"/>
  <c r="L1266" i="3"/>
  <c r="M1266" i="3"/>
  <c r="P1266" i="3" s="1"/>
  <c r="N1266" i="3"/>
  <c r="O1266" i="3" s="1"/>
  <c r="Q1266" i="3"/>
  <c r="R1266" i="3"/>
  <c r="B1267" i="3"/>
  <c r="C1267" i="3"/>
  <c r="S1267" i="3" s="1"/>
  <c r="D1267" i="3"/>
  <c r="I1267" i="3"/>
  <c r="K1267" i="3"/>
  <c r="J1267" i="3" s="1"/>
  <c r="L1267" i="3"/>
  <c r="M1267" i="3"/>
  <c r="P1267" i="3" s="1"/>
  <c r="N1267" i="3"/>
  <c r="O1267" i="3" s="1"/>
  <c r="Q1267" i="3"/>
  <c r="R1267" i="3"/>
  <c r="B1268" i="3"/>
  <c r="C1268" i="3"/>
  <c r="S1268" i="3" s="1"/>
  <c r="D1268" i="3"/>
  <c r="I1268" i="3"/>
  <c r="K1268" i="3"/>
  <c r="J1268" i="3" s="1"/>
  <c r="L1268" i="3"/>
  <c r="M1268" i="3"/>
  <c r="P1268" i="3" s="1"/>
  <c r="N1268" i="3"/>
  <c r="O1268" i="3" s="1"/>
  <c r="Q1268" i="3"/>
  <c r="R1268" i="3"/>
  <c r="B1269" i="3"/>
  <c r="C1269" i="3"/>
  <c r="S1269" i="3" s="1"/>
  <c r="D1269" i="3"/>
  <c r="I1269" i="3"/>
  <c r="K1269" i="3"/>
  <c r="J1269" i="3" s="1"/>
  <c r="L1269" i="3"/>
  <c r="M1269" i="3"/>
  <c r="P1269" i="3" s="1"/>
  <c r="N1269" i="3"/>
  <c r="O1269" i="3" s="1"/>
  <c r="Q1269" i="3"/>
  <c r="R1269" i="3"/>
  <c r="B1270" i="3"/>
  <c r="C1270" i="3"/>
  <c r="S1270" i="3" s="1"/>
  <c r="D1270" i="3"/>
  <c r="I1270" i="3"/>
  <c r="K1270" i="3"/>
  <c r="J1270" i="3" s="1"/>
  <c r="L1270" i="3"/>
  <c r="M1270" i="3"/>
  <c r="P1270" i="3" s="1"/>
  <c r="N1270" i="3"/>
  <c r="O1270" i="3" s="1"/>
  <c r="Q1270" i="3"/>
  <c r="R1270" i="3"/>
  <c r="B1271" i="3"/>
  <c r="C1271" i="3"/>
  <c r="S1271" i="3" s="1"/>
  <c r="D1271" i="3"/>
  <c r="I1271" i="3"/>
  <c r="K1271" i="3"/>
  <c r="J1271" i="3" s="1"/>
  <c r="L1271" i="3"/>
  <c r="M1271" i="3"/>
  <c r="P1271" i="3" s="1"/>
  <c r="N1271" i="3"/>
  <c r="O1271" i="3" s="1"/>
  <c r="Q1271" i="3"/>
  <c r="R1271" i="3"/>
  <c r="B1272" i="3"/>
  <c r="C1272" i="3"/>
  <c r="S1272" i="3" s="1"/>
  <c r="D1272" i="3"/>
  <c r="I1272" i="3"/>
  <c r="K1272" i="3"/>
  <c r="J1272" i="3" s="1"/>
  <c r="L1272" i="3"/>
  <c r="M1272" i="3"/>
  <c r="P1272" i="3" s="1"/>
  <c r="N1272" i="3"/>
  <c r="O1272" i="3" s="1"/>
  <c r="Q1272" i="3"/>
  <c r="R1272" i="3"/>
  <c r="B1273" i="3"/>
  <c r="C1273" i="3"/>
  <c r="S1273" i="3" s="1"/>
  <c r="D1273" i="3"/>
  <c r="I1273" i="3"/>
  <c r="K1273" i="3"/>
  <c r="J1273" i="3" s="1"/>
  <c r="L1273" i="3"/>
  <c r="M1273" i="3"/>
  <c r="P1273" i="3" s="1"/>
  <c r="N1273" i="3"/>
  <c r="O1273" i="3" s="1"/>
  <c r="Q1273" i="3"/>
  <c r="R1273" i="3"/>
  <c r="B1274" i="3"/>
  <c r="C1274" i="3"/>
  <c r="S1274" i="3" s="1"/>
  <c r="D1274" i="3"/>
  <c r="I1274" i="3"/>
  <c r="K1274" i="3"/>
  <c r="J1274" i="3" s="1"/>
  <c r="L1274" i="3"/>
  <c r="M1274" i="3"/>
  <c r="P1274" i="3" s="1"/>
  <c r="N1274" i="3"/>
  <c r="O1274" i="3" s="1"/>
  <c r="Q1274" i="3"/>
  <c r="R1274" i="3"/>
  <c r="B1275" i="3"/>
  <c r="C1275" i="3"/>
  <c r="S1275" i="3" s="1"/>
  <c r="D1275" i="3"/>
  <c r="I1275" i="3"/>
  <c r="K1275" i="3"/>
  <c r="J1275" i="3" s="1"/>
  <c r="L1275" i="3"/>
  <c r="M1275" i="3"/>
  <c r="P1275" i="3" s="1"/>
  <c r="N1275" i="3"/>
  <c r="O1275" i="3" s="1"/>
  <c r="Q1275" i="3"/>
  <c r="R1275" i="3"/>
  <c r="B1276" i="3"/>
  <c r="C1276" i="3"/>
  <c r="S1276" i="3" s="1"/>
  <c r="D1276" i="3"/>
  <c r="I1276" i="3"/>
  <c r="K1276" i="3"/>
  <c r="J1276" i="3" s="1"/>
  <c r="L1276" i="3"/>
  <c r="M1276" i="3"/>
  <c r="P1276" i="3" s="1"/>
  <c r="N1276" i="3"/>
  <c r="O1276" i="3" s="1"/>
  <c r="Q1276" i="3"/>
  <c r="R1276" i="3"/>
  <c r="B1277" i="3"/>
  <c r="C1277" i="3"/>
  <c r="S1277" i="3" s="1"/>
  <c r="D1277" i="3"/>
  <c r="I1277" i="3"/>
  <c r="K1277" i="3"/>
  <c r="J1277" i="3" s="1"/>
  <c r="L1277" i="3"/>
  <c r="M1277" i="3"/>
  <c r="P1277" i="3" s="1"/>
  <c r="N1277" i="3"/>
  <c r="O1277" i="3" s="1"/>
  <c r="Q1277" i="3"/>
  <c r="R1277" i="3"/>
  <c r="B1278" i="3"/>
  <c r="C1278" i="3"/>
  <c r="S1278" i="3" s="1"/>
  <c r="D1278" i="3"/>
  <c r="I1278" i="3"/>
  <c r="K1278" i="3"/>
  <c r="J1278" i="3" s="1"/>
  <c r="L1278" i="3"/>
  <c r="M1278" i="3"/>
  <c r="P1278" i="3" s="1"/>
  <c r="N1278" i="3"/>
  <c r="O1278" i="3" s="1"/>
  <c r="Q1278" i="3"/>
  <c r="R1278" i="3"/>
  <c r="B1279" i="3"/>
  <c r="C1279" i="3"/>
  <c r="S1279" i="3" s="1"/>
  <c r="D1279" i="3"/>
  <c r="I1279" i="3"/>
  <c r="K1279" i="3"/>
  <c r="J1279" i="3" s="1"/>
  <c r="L1279" i="3"/>
  <c r="M1279" i="3"/>
  <c r="P1279" i="3" s="1"/>
  <c r="N1279" i="3"/>
  <c r="O1279" i="3" s="1"/>
  <c r="Q1279" i="3"/>
  <c r="R1279" i="3"/>
  <c r="B1280" i="3"/>
  <c r="C1280" i="3"/>
  <c r="S1280" i="3" s="1"/>
  <c r="D1280" i="3"/>
  <c r="I1280" i="3"/>
  <c r="K1280" i="3"/>
  <c r="J1280" i="3" s="1"/>
  <c r="L1280" i="3"/>
  <c r="M1280" i="3"/>
  <c r="P1280" i="3" s="1"/>
  <c r="N1280" i="3"/>
  <c r="O1280" i="3" s="1"/>
  <c r="Q1280" i="3"/>
  <c r="R1280" i="3"/>
  <c r="B1281" i="3"/>
  <c r="C1281" i="3"/>
  <c r="S1281" i="3" s="1"/>
  <c r="D1281" i="3"/>
  <c r="I1281" i="3"/>
  <c r="K1281" i="3"/>
  <c r="J1281" i="3" s="1"/>
  <c r="L1281" i="3"/>
  <c r="M1281" i="3"/>
  <c r="P1281" i="3" s="1"/>
  <c r="N1281" i="3"/>
  <c r="O1281" i="3" s="1"/>
  <c r="Q1281" i="3"/>
  <c r="R1281" i="3"/>
  <c r="B1282" i="3"/>
  <c r="C1282" i="3"/>
  <c r="S1282" i="3" s="1"/>
  <c r="D1282" i="3"/>
  <c r="I1282" i="3"/>
  <c r="K1282" i="3"/>
  <c r="J1282" i="3" s="1"/>
  <c r="L1282" i="3"/>
  <c r="M1282" i="3"/>
  <c r="P1282" i="3" s="1"/>
  <c r="N1282" i="3"/>
  <c r="O1282" i="3" s="1"/>
  <c r="Q1282" i="3"/>
  <c r="R1282" i="3"/>
  <c r="B1283" i="3"/>
  <c r="C1283" i="3"/>
  <c r="S1283" i="3" s="1"/>
  <c r="D1283" i="3"/>
  <c r="I1283" i="3"/>
  <c r="K1283" i="3"/>
  <c r="J1283" i="3" s="1"/>
  <c r="L1283" i="3"/>
  <c r="M1283" i="3"/>
  <c r="P1283" i="3" s="1"/>
  <c r="N1283" i="3"/>
  <c r="O1283" i="3" s="1"/>
  <c r="Q1283" i="3"/>
  <c r="R1283" i="3"/>
  <c r="B1284" i="3"/>
  <c r="C1284" i="3"/>
  <c r="S1284" i="3" s="1"/>
  <c r="D1284" i="3"/>
  <c r="I1284" i="3"/>
  <c r="K1284" i="3"/>
  <c r="J1284" i="3" s="1"/>
  <c r="L1284" i="3"/>
  <c r="M1284" i="3"/>
  <c r="P1284" i="3" s="1"/>
  <c r="N1284" i="3"/>
  <c r="O1284" i="3" s="1"/>
  <c r="Q1284" i="3"/>
  <c r="R1284" i="3"/>
  <c r="B1285" i="3"/>
  <c r="C1285" i="3"/>
  <c r="S1285" i="3" s="1"/>
  <c r="D1285" i="3"/>
  <c r="I1285" i="3"/>
  <c r="K1285" i="3"/>
  <c r="J1285" i="3" s="1"/>
  <c r="L1285" i="3"/>
  <c r="M1285" i="3"/>
  <c r="P1285" i="3" s="1"/>
  <c r="N1285" i="3"/>
  <c r="O1285" i="3" s="1"/>
  <c r="Q1285" i="3"/>
  <c r="R1285" i="3"/>
  <c r="B1286" i="3"/>
  <c r="C1286" i="3"/>
  <c r="S1286" i="3" s="1"/>
  <c r="D1286" i="3"/>
  <c r="I1286" i="3"/>
  <c r="K1286" i="3"/>
  <c r="J1286" i="3" s="1"/>
  <c r="L1286" i="3"/>
  <c r="M1286" i="3"/>
  <c r="P1286" i="3" s="1"/>
  <c r="N1286" i="3"/>
  <c r="O1286" i="3" s="1"/>
  <c r="Q1286" i="3"/>
  <c r="R1286" i="3"/>
  <c r="B1287" i="3"/>
  <c r="C1287" i="3"/>
  <c r="S1287" i="3" s="1"/>
  <c r="D1287" i="3"/>
  <c r="I1287" i="3"/>
  <c r="K1287" i="3"/>
  <c r="J1287" i="3" s="1"/>
  <c r="L1287" i="3"/>
  <c r="M1287" i="3"/>
  <c r="P1287" i="3" s="1"/>
  <c r="N1287" i="3"/>
  <c r="O1287" i="3" s="1"/>
  <c r="Q1287" i="3"/>
  <c r="R1287" i="3"/>
  <c r="B1288" i="3"/>
  <c r="C1288" i="3"/>
  <c r="S1288" i="3" s="1"/>
  <c r="D1288" i="3"/>
  <c r="I1288" i="3"/>
  <c r="K1288" i="3"/>
  <c r="J1288" i="3" s="1"/>
  <c r="L1288" i="3"/>
  <c r="M1288" i="3"/>
  <c r="P1288" i="3" s="1"/>
  <c r="N1288" i="3"/>
  <c r="O1288" i="3" s="1"/>
  <c r="Q1288" i="3"/>
  <c r="R1288" i="3"/>
  <c r="B1289" i="3"/>
  <c r="C1289" i="3"/>
  <c r="S1289" i="3" s="1"/>
  <c r="D1289" i="3"/>
  <c r="I1289" i="3"/>
  <c r="K1289" i="3"/>
  <c r="J1289" i="3" s="1"/>
  <c r="L1289" i="3"/>
  <c r="M1289" i="3"/>
  <c r="P1289" i="3" s="1"/>
  <c r="N1289" i="3"/>
  <c r="O1289" i="3" s="1"/>
  <c r="Q1289" i="3"/>
  <c r="R1289" i="3"/>
  <c r="B1290" i="3"/>
  <c r="C1290" i="3"/>
  <c r="S1290" i="3" s="1"/>
  <c r="D1290" i="3"/>
  <c r="I1290" i="3"/>
  <c r="K1290" i="3"/>
  <c r="J1290" i="3" s="1"/>
  <c r="L1290" i="3"/>
  <c r="M1290" i="3"/>
  <c r="P1290" i="3" s="1"/>
  <c r="N1290" i="3"/>
  <c r="O1290" i="3" s="1"/>
  <c r="Q1290" i="3"/>
  <c r="R1290" i="3"/>
  <c r="B1291" i="3"/>
  <c r="C1291" i="3"/>
  <c r="S1291" i="3" s="1"/>
  <c r="D1291" i="3"/>
  <c r="I1291" i="3"/>
  <c r="K1291" i="3"/>
  <c r="J1291" i="3" s="1"/>
  <c r="L1291" i="3"/>
  <c r="M1291" i="3"/>
  <c r="P1291" i="3" s="1"/>
  <c r="N1291" i="3"/>
  <c r="O1291" i="3" s="1"/>
  <c r="Q1291" i="3"/>
  <c r="R1291" i="3"/>
  <c r="B1292" i="3"/>
  <c r="C1292" i="3"/>
  <c r="S1292" i="3" s="1"/>
  <c r="D1292" i="3"/>
  <c r="I1292" i="3"/>
  <c r="K1292" i="3"/>
  <c r="J1292" i="3" s="1"/>
  <c r="L1292" i="3"/>
  <c r="M1292" i="3"/>
  <c r="P1292" i="3" s="1"/>
  <c r="N1292" i="3"/>
  <c r="O1292" i="3" s="1"/>
  <c r="Q1292" i="3"/>
  <c r="R1292" i="3"/>
  <c r="B1293" i="3"/>
  <c r="C1293" i="3"/>
  <c r="S1293" i="3" s="1"/>
  <c r="D1293" i="3"/>
  <c r="H1293" i="3"/>
  <c r="I1293" i="3" s="1"/>
  <c r="K1293" i="3"/>
  <c r="L1293" i="3"/>
  <c r="M1293" i="3"/>
  <c r="P1293" i="3" s="1"/>
  <c r="N1293" i="3"/>
  <c r="O1293" i="3" s="1"/>
  <c r="Q1293" i="3"/>
  <c r="R1293" i="3"/>
  <c r="B1294" i="3"/>
  <c r="C1294" i="3"/>
  <c r="S1294" i="3" s="1"/>
  <c r="D1294" i="3"/>
  <c r="I1294" i="3"/>
  <c r="K1294" i="3"/>
  <c r="J1294" i="3" s="1"/>
  <c r="L1294" i="3"/>
  <c r="M1294" i="3"/>
  <c r="P1294" i="3" s="1"/>
  <c r="N1294" i="3"/>
  <c r="O1294" i="3" s="1"/>
  <c r="Q1294" i="3"/>
  <c r="R1294" i="3"/>
  <c r="B1295" i="3"/>
  <c r="C1295" i="3"/>
  <c r="S1295" i="3" s="1"/>
  <c r="D1295" i="3"/>
  <c r="I1295" i="3"/>
  <c r="K1295" i="3"/>
  <c r="J1295" i="3" s="1"/>
  <c r="L1295" i="3"/>
  <c r="M1295" i="3"/>
  <c r="P1295" i="3" s="1"/>
  <c r="N1295" i="3"/>
  <c r="O1295" i="3" s="1"/>
  <c r="Q1295" i="3"/>
  <c r="R1295" i="3"/>
  <c r="B1296" i="3"/>
  <c r="C1296" i="3"/>
  <c r="S1296" i="3" s="1"/>
  <c r="D1296" i="3"/>
  <c r="I1296" i="3"/>
  <c r="K1296" i="3"/>
  <c r="J1296" i="3" s="1"/>
  <c r="L1296" i="3"/>
  <c r="M1296" i="3"/>
  <c r="P1296" i="3" s="1"/>
  <c r="N1296" i="3"/>
  <c r="O1296" i="3" s="1"/>
  <c r="Q1296" i="3"/>
  <c r="R1296" i="3"/>
  <c r="B1297" i="3"/>
  <c r="C1297" i="3"/>
  <c r="S1297" i="3" s="1"/>
  <c r="D1297" i="3"/>
  <c r="I1297" i="3"/>
  <c r="K1297" i="3"/>
  <c r="J1297" i="3" s="1"/>
  <c r="L1297" i="3"/>
  <c r="M1297" i="3"/>
  <c r="P1297" i="3" s="1"/>
  <c r="N1297" i="3"/>
  <c r="O1297" i="3" s="1"/>
  <c r="Q1297" i="3"/>
  <c r="R1297" i="3"/>
  <c r="B1298" i="3"/>
  <c r="C1298" i="3"/>
  <c r="S1298" i="3" s="1"/>
  <c r="D1298" i="3"/>
  <c r="H1298" i="3"/>
  <c r="I1298" i="3" s="1"/>
  <c r="K1298" i="3"/>
  <c r="L1298" i="3"/>
  <c r="M1298" i="3"/>
  <c r="P1298" i="3" s="1"/>
  <c r="N1298" i="3"/>
  <c r="O1298" i="3" s="1"/>
  <c r="Q1298" i="3"/>
  <c r="R1298" i="3"/>
  <c r="B1299" i="3"/>
  <c r="C1299" i="3"/>
  <c r="S1299" i="3" s="1"/>
  <c r="D1299" i="3"/>
  <c r="I1299" i="3"/>
  <c r="K1299" i="3"/>
  <c r="J1299" i="3" s="1"/>
  <c r="L1299" i="3"/>
  <c r="M1299" i="3"/>
  <c r="P1299" i="3" s="1"/>
  <c r="N1299" i="3"/>
  <c r="O1299" i="3" s="1"/>
  <c r="Q1299" i="3"/>
  <c r="R1299" i="3"/>
  <c r="B1300" i="3"/>
  <c r="C1300" i="3"/>
  <c r="S1300" i="3" s="1"/>
  <c r="D1300" i="3"/>
  <c r="I1300" i="3"/>
  <c r="K1300" i="3"/>
  <c r="J1300" i="3" s="1"/>
  <c r="L1300" i="3"/>
  <c r="M1300" i="3"/>
  <c r="P1300" i="3" s="1"/>
  <c r="N1300" i="3"/>
  <c r="O1300" i="3" s="1"/>
  <c r="Q1300" i="3"/>
  <c r="R1300" i="3"/>
  <c r="B1301" i="3"/>
  <c r="C1301" i="3"/>
  <c r="S1301" i="3" s="1"/>
  <c r="D1301" i="3"/>
  <c r="I1301" i="3"/>
  <c r="K1301" i="3"/>
  <c r="J1301" i="3" s="1"/>
  <c r="L1301" i="3"/>
  <c r="M1301" i="3"/>
  <c r="P1301" i="3" s="1"/>
  <c r="N1301" i="3"/>
  <c r="O1301" i="3" s="1"/>
  <c r="Q1301" i="3"/>
  <c r="R1301" i="3"/>
  <c r="B1302" i="3"/>
  <c r="C1302" i="3"/>
  <c r="S1302" i="3" s="1"/>
  <c r="D1302" i="3"/>
  <c r="I1302" i="3"/>
  <c r="K1302" i="3"/>
  <c r="J1302" i="3" s="1"/>
  <c r="L1302" i="3"/>
  <c r="M1302" i="3"/>
  <c r="P1302" i="3" s="1"/>
  <c r="N1302" i="3"/>
  <c r="O1302" i="3" s="1"/>
  <c r="Q1302" i="3"/>
  <c r="R1302" i="3"/>
  <c r="B1303" i="3"/>
  <c r="C1303" i="3"/>
  <c r="S1303" i="3" s="1"/>
  <c r="D1303" i="3"/>
  <c r="I1303" i="3"/>
  <c r="K1303" i="3"/>
  <c r="J1303" i="3" s="1"/>
  <c r="L1303" i="3"/>
  <c r="M1303" i="3"/>
  <c r="P1303" i="3" s="1"/>
  <c r="N1303" i="3"/>
  <c r="O1303" i="3" s="1"/>
  <c r="Q1303" i="3"/>
  <c r="R1303" i="3"/>
  <c r="B1304" i="3"/>
  <c r="C1304" i="3"/>
  <c r="S1304" i="3" s="1"/>
  <c r="D1304" i="3"/>
  <c r="I1304" i="3"/>
  <c r="K1304" i="3"/>
  <c r="J1304" i="3" s="1"/>
  <c r="L1304" i="3"/>
  <c r="M1304" i="3"/>
  <c r="P1304" i="3" s="1"/>
  <c r="N1304" i="3"/>
  <c r="O1304" i="3" s="1"/>
  <c r="Q1304" i="3"/>
  <c r="R1304" i="3"/>
  <c r="B1305" i="3"/>
  <c r="C1305" i="3"/>
  <c r="S1305" i="3" s="1"/>
  <c r="D1305" i="3"/>
  <c r="I1305" i="3"/>
  <c r="K1305" i="3"/>
  <c r="J1305" i="3" s="1"/>
  <c r="L1305" i="3"/>
  <c r="M1305" i="3"/>
  <c r="P1305" i="3" s="1"/>
  <c r="N1305" i="3"/>
  <c r="O1305" i="3" s="1"/>
  <c r="Q1305" i="3"/>
  <c r="R1305" i="3"/>
  <c r="B1306" i="3"/>
  <c r="C1306" i="3"/>
  <c r="S1306" i="3" s="1"/>
  <c r="D1306" i="3"/>
  <c r="I1306" i="3"/>
  <c r="K1306" i="3"/>
  <c r="J1306" i="3" s="1"/>
  <c r="L1306" i="3"/>
  <c r="M1306" i="3"/>
  <c r="P1306" i="3" s="1"/>
  <c r="N1306" i="3"/>
  <c r="O1306" i="3" s="1"/>
  <c r="Q1306" i="3"/>
  <c r="R1306" i="3"/>
  <c r="B1307" i="3"/>
  <c r="C1307" i="3"/>
  <c r="S1307" i="3" s="1"/>
  <c r="D1307" i="3"/>
  <c r="I1307" i="3"/>
  <c r="K1307" i="3"/>
  <c r="J1307" i="3" s="1"/>
  <c r="L1307" i="3"/>
  <c r="M1307" i="3"/>
  <c r="P1307" i="3" s="1"/>
  <c r="N1307" i="3"/>
  <c r="O1307" i="3" s="1"/>
  <c r="Q1307" i="3"/>
  <c r="R1307" i="3"/>
  <c r="B1308" i="3"/>
  <c r="C1308" i="3"/>
  <c r="S1308" i="3" s="1"/>
  <c r="D1308" i="3"/>
  <c r="I1308" i="3"/>
  <c r="K1308" i="3"/>
  <c r="J1308" i="3" s="1"/>
  <c r="L1308" i="3"/>
  <c r="M1308" i="3"/>
  <c r="P1308" i="3" s="1"/>
  <c r="N1308" i="3"/>
  <c r="O1308" i="3" s="1"/>
  <c r="Q1308" i="3"/>
  <c r="R1308" i="3"/>
  <c r="B1309" i="3"/>
  <c r="C1309" i="3"/>
  <c r="S1309" i="3" s="1"/>
  <c r="D1309" i="3"/>
  <c r="I1309" i="3"/>
  <c r="K1309" i="3"/>
  <c r="J1309" i="3" s="1"/>
  <c r="L1309" i="3"/>
  <c r="M1309" i="3"/>
  <c r="P1309" i="3" s="1"/>
  <c r="N1309" i="3"/>
  <c r="O1309" i="3" s="1"/>
  <c r="Q1309" i="3"/>
  <c r="R1309" i="3"/>
  <c r="B1310" i="3"/>
  <c r="C1310" i="3"/>
  <c r="S1310" i="3" s="1"/>
  <c r="D1310" i="3"/>
  <c r="I1310" i="3"/>
  <c r="K1310" i="3"/>
  <c r="J1310" i="3" s="1"/>
  <c r="L1310" i="3"/>
  <c r="M1310" i="3"/>
  <c r="P1310" i="3" s="1"/>
  <c r="N1310" i="3"/>
  <c r="O1310" i="3" s="1"/>
  <c r="Q1310" i="3"/>
  <c r="R1310" i="3"/>
  <c r="B1311" i="3"/>
  <c r="C1311" i="3"/>
  <c r="S1311" i="3" s="1"/>
  <c r="D1311" i="3"/>
  <c r="I1311" i="3"/>
  <c r="K1311" i="3"/>
  <c r="J1311" i="3" s="1"/>
  <c r="L1311" i="3"/>
  <c r="M1311" i="3"/>
  <c r="P1311" i="3" s="1"/>
  <c r="N1311" i="3"/>
  <c r="O1311" i="3" s="1"/>
  <c r="Q1311" i="3"/>
  <c r="R1311" i="3"/>
  <c r="B1312" i="3"/>
  <c r="C1312" i="3"/>
  <c r="S1312" i="3" s="1"/>
  <c r="D1312" i="3"/>
  <c r="I1312" i="3"/>
  <c r="K1312" i="3"/>
  <c r="J1312" i="3" s="1"/>
  <c r="L1312" i="3"/>
  <c r="M1312" i="3"/>
  <c r="P1312" i="3" s="1"/>
  <c r="N1312" i="3"/>
  <c r="O1312" i="3" s="1"/>
  <c r="Q1312" i="3"/>
  <c r="R1312" i="3"/>
  <c r="B1313" i="3"/>
  <c r="C1313" i="3"/>
  <c r="S1313" i="3" s="1"/>
  <c r="D1313" i="3"/>
  <c r="I1313" i="3"/>
  <c r="K1313" i="3"/>
  <c r="J1313" i="3" s="1"/>
  <c r="L1313" i="3"/>
  <c r="M1313" i="3"/>
  <c r="P1313" i="3" s="1"/>
  <c r="N1313" i="3"/>
  <c r="O1313" i="3" s="1"/>
  <c r="Q1313" i="3"/>
  <c r="R1313" i="3"/>
  <c r="B1314" i="3"/>
  <c r="C1314" i="3"/>
  <c r="S1314" i="3" s="1"/>
  <c r="D1314" i="3"/>
  <c r="I1314" i="3"/>
  <c r="K1314" i="3"/>
  <c r="J1314" i="3" s="1"/>
  <c r="L1314" i="3"/>
  <c r="M1314" i="3"/>
  <c r="P1314" i="3" s="1"/>
  <c r="N1314" i="3"/>
  <c r="O1314" i="3" s="1"/>
  <c r="Q1314" i="3"/>
  <c r="R1314" i="3"/>
  <c r="B1315" i="3"/>
  <c r="C1315" i="3"/>
  <c r="S1315" i="3" s="1"/>
  <c r="D1315" i="3"/>
  <c r="I1315" i="3"/>
  <c r="K1315" i="3"/>
  <c r="J1315" i="3" s="1"/>
  <c r="L1315" i="3"/>
  <c r="M1315" i="3"/>
  <c r="P1315" i="3" s="1"/>
  <c r="N1315" i="3"/>
  <c r="O1315" i="3" s="1"/>
  <c r="Q1315" i="3"/>
  <c r="R1315" i="3"/>
  <c r="B1316" i="3"/>
  <c r="C1316" i="3"/>
  <c r="S1316" i="3" s="1"/>
  <c r="D1316" i="3"/>
  <c r="I1316" i="3"/>
  <c r="K1316" i="3"/>
  <c r="J1316" i="3" s="1"/>
  <c r="L1316" i="3"/>
  <c r="M1316" i="3"/>
  <c r="P1316" i="3" s="1"/>
  <c r="N1316" i="3"/>
  <c r="O1316" i="3" s="1"/>
  <c r="Q1316" i="3"/>
  <c r="R1316" i="3"/>
  <c r="B1317" i="3"/>
  <c r="C1317" i="3"/>
  <c r="S1317" i="3" s="1"/>
  <c r="D1317" i="3"/>
  <c r="I1317" i="3"/>
  <c r="K1317" i="3"/>
  <c r="J1317" i="3" s="1"/>
  <c r="L1317" i="3"/>
  <c r="M1317" i="3"/>
  <c r="P1317" i="3" s="1"/>
  <c r="N1317" i="3"/>
  <c r="O1317" i="3" s="1"/>
  <c r="Q1317" i="3"/>
  <c r="R1317" i="3"/>
  <c r="B1318" i="3"/>
  <c r="C1318" i="3"/>
  <c r="S1318" i="3" s="1"/>
  <c r="D1318" i="3"/>
  <c r="I1318" i="3"/>
  <c r="K1318" i="3"/>
  <c r="J1318" i="3" s="1"/>
  <c r="L1318" i="3"/>
  <c r="M1318" i="3"/>
  <c r="P1318" i="3" s="1"/>
  <c r="N1318" i="3"/>
  <c r="O1318" i="3" s="1"/>
  <c r="Q1318" i="3"/>
  <c r="R1318" i="3"/>
  <c r="B1319" i="3"/>
  <c r="C1319" i="3"/>
  <c r="S1319" i="3" s="1"/>
  <c r="D1319" i="3"/>
  <c r="I1319" i="3"/>
  <c r="K1319" i="3"/>
  <c r="J1319" i="3" s="1"/>
  <c r="L1319" i="3"/>
  <c r="M1319" i="3"/>
  <c r="P1319" i="3" s="1"/>
  <c r="N1319" i="3"/>
  <c r="O1319" i="3" s="1"/>
  <c r="Q1319" i="3"/>
  <c r="R1319" i="3"/>
  <c r="B1320" i="3"/>
  <c r="C1320" i="3"/>
  <c r="S1320" i="3" s="1"/>
  <c r="D1320" i="3"/>
  <c r="I1320" i="3"/>
  <c r="K1320" i="3"/>
  <c r="J1320" i="3" s="1"/>
  <c r="L1320" i="3"/>
  <c r="M1320" i="3"/>
  <c r="P1320" i="3" s="1"/>
  <c r="N1320" i="3"/>
  <c r="O1320" i="3" s="1"/>
  <c r="Q1320" i="3"/>
  <c r="R1320" i="3"/>
  <c r="B1321" i="3"/>
  <c r="C1321" i="3"/>
  <c r="S1321" i="3" s="1"/>
  <c r="D1321" i="3"/>
  <c r="I1321" i="3"/>
  <c r="K1321" i="3"/>
  <c r="J1321" i="3" s="1"/>
  <c r="L1321" i="3"/>
  <c r="M1321" i="3"/>
  <c r="P1321" i="3" s="1"/>
  <c r="N1321" i="3"/>
  <c r="O1321" i="3" s="1"/>
  <c r="Q1321" i="3"/>
  <c r="R1321" i="3"/>
  <c r="B1322" i="3"/>
  <c r="C1322" i="3"/>
  <c r="S1322" i="3" s="1"/>
  <c r="D1322" i="3"/>
  <c r="I1322" i="3"/>
  <c r="K1322" i="3"/>
  <c r="J1322" i="3" s="1"/>
  <c r="L1322" i="3"/>
  <c r="M1322" i="3"/>
  <c r="P1322" i="3" s="1"/>
  <c r="N1322" i="3"/>
  <c r="O1322" i="3" s="1"/>
  <c r="Q1322" i="3"/>
  <c r="R1322" i="3"/>
  <c r="B1323" i="3"/>
  <c r="C1323" i="3"/>
  <c r="S1323" i="3" s="1"/>
  <c r="D1323" i="3"/>
  <c r="I1323" i="3"/>
  <c r="K1323" i="3"/>
  <c r="J1323" i="3" s="1"/>
  <c r="L1323" i="3"/>
  <c r="M1323" i="3"/>
  <c r="P1323" i="3" s="1"/>
  <c r="N1323" i="3"/>
  <c r="O1323" i="3" s="1"/>
  <c r="Q1323" i="3"/>
  <c r="R1323" i="3"/>
  <c r="B1324" i="3"/>
  <c r="C1324" i="3"/>
  <c r="S1324" i="3" s="1"/>
  <c r="D1324" i="3"/>
  <c r="I1324" i="3"/>
  <c r="K1324" i="3"/>
  <c r="J1324" i="3" s="1"/>
  <c r="L1324" i="3"/>
  <c r="M1324" i="3"/>
  <c r="P1324" i="3" s="1"/>
  <c r="N1324" i="3"/>
  <c r="O1324" i="3" s="1"/>
  <c r="Q1324" i="3"/>
  <c r="R1324" i="3"/>
  <c r="B1325" i="3"/>
  <c r="C1325" i="3"/>
  <c r="S1325" i="3" s="1"/>
  <c r="D1325" i="3"/>
  <c r="I1325" i="3"/>
  <c r="K1325" i="3"/>
  <c r="J1325" i="3" s="1"/>
  <c r="L1325" i="3"/>
  <c r="M1325" i="3"/>
  <c r="P1325" i="3" s="1"/>
  <c r="N1325" i="3"/>
  <c r="O1325" i="3" s="1"/>
  <c r="Q1325" i="3"/>
  <c r="R1325" i="3"/>
  <c r="B1326" i="3"/>
  <c r="C1326" i="3"/>
  <c r="S1326" i="3" s="1"/>
  <c r="D1326" i="3"/>
  <c r="I1326" i="3"/>
  <c r="K1326" i="3"/>
  <c r="J1326" i="3" s="1"/>
  <c r="L1326" i="3"/>
  <c r="M1326" i="3"/>
  <c r="P1326" i="3" s="1"/>
  <c r="N1326" i="3"/>
  <c r="O1326" i="3" s="1"/>
  <c r="Q1326" i="3"/>
  <c r="R1326" i="3"/>
  <c r="B1327" i="3"/>
  <c r="C1327" i="3"/>
  <c r="S1327" i="3" s="1"/>
  <c r="D1327" i="3"/>
  <c r="I1327" i="3"/>
  <c r="K1327" i="3"/>
  <c r="J1327" i="3" s="1"/>
  <c r="L1327" i="3"/>
  <c r="M1327" i="3"/>
  <c r="P1327" i="3" s="1"/>
  <c r="N1327" i="3"/>
  <c r="O1327" i="3" s="1"/>
  <c r="Q1327" i="3"/>
  <c r="R1327" i="3"/>
  <c r="B1328" i="3"/>
  <c r="C1328" i="3"/>
  <c r="S1328" i="3" s="1"/>
  <c r="D1328" i="3"/>
  <c r="I1328" i="3"/>
  <c r="K1328" i="3"/>
  <c r="J1328" i="3" s="1"/>
  <c r="L1328" i="3"/>
  <c r="M1328" i="3"/>
  <c r="P1328" i="3" s="1"/>
  <c r="N1328" i="3"/>
  <c r="O1328" i="3" s="1"/>
  <c r="Q1328" i="3"/>
  <c r="R1328" i="3"/>
  <c r="B1329" i="3"/>
  <c r="C1329" i="3"/>
  <c r="S1329" i="3" s="1"/>
  <c r="D1329" i="3"/>
  <c r="I1329" i="3"/>
  <c r="K1329" i="3"/>
  <c r="J1329" i="3" s="1"/>
  <c r="L1329" i="3"/>
  <c r="M1329" i="3"/>
  <c r="P1329" i="3" s="1"/>
  <c r="N1329" i="3"/>
  <c r="O1329" i="3" s="1"/>
  <c r="Q1329" i="3"/>
  <c r="R1329" i="3"/>
  <c r="B1330" i="3"/>
  <c r="C1330" i="3"/>
  <c r="S1330" i="3" s="1"/>
  <c r="D1330" i="3"/>
  <c r="H1330" i="3"/>
  <c r="I1330" i="3" s="1"/>
  <c r="K1330" i="3"/>
  <c r="L1330" i="3"/>
  <c r="M1330" i="3"/>
  <c r="P1330" i="3" s="1"/>
  <c r="N1330" i="3"/>
  <c r="O1330" i="3" s="1"/>
  <c r="Q1330" i="3"/>
  <c r="R1330" i="3"/>
  <c r="B1331" i="3"/>
  <c r="C1331" i="3"/>
  <c r="S1331" i="3" s="1"/>
  <c r="D1331" i="3"/>
  <c r="I1331" i="3"/>
  <c r="K1331" i="3"/>
  <c r="J1331" i="3" s="1"/>
  <c r="L1331" i="3"/>
  <c r="M1331" i="3"/>
  <c r="P1331" i="3" s="1"/>
  <c r="N1331" i="3"/>
  <c r="O1331" i="3" s="1"/>
  <c r="Q1331" i="3"/>
  <c r="R1331" i="3"/>
  <c r="B1332" i="3"/>
  <c r="C1332" i="3"/>
  <c r="S1332" i="3" s="1"/>
  <c r="D1332" i="3"/>
  <c r="I1332" i="3"/>
  <c r="K1332" i="3"/>
  <c r="J1332" i="3" s="1"/>
  <c r="L1332" i="3"/>
  <c r="M1332" i="3"/>
  <c r="P1332" i="3" s="1"/>
  <c r="N1332" i="3"/>
  <c r="O1332" i="3" s="1"/>
  <c r="Q1332" i="3"/>
  <c r="R1332" i="3"/>
  <c r="B1333" i="3"/>
  <c r="C1333" i="3"/>
  <c r="S1333" i="3" s="1"/>
  <c r="D1333" i="3"/>
  <c r="I1333" i="3"/>
  <c r="K1333" i="3"/>
  <c r="J1333" i="3" s="1"/>
  <c r="L1333" i="3"/>
  <c r="M1333" i="3"/>
  <c r="P1333" i="3" s="1"/>
  <c r="N1333" i="3"/>
  <c r="O1333" i="3" s="1"/>
  <c r="Q1333" i="3"/>
  <c r="R1333" i="3"/>
  <c r="B1334" i="3"/>
  <c r="C1334" i="3"/>
  <c r="S1334" i="3" s="1"/>
  <c r="D1334" i="3"/>
  <c r="I1334" i="3"/>
  <c r="K1334" i="3"/>
  <c r="J1334" i="3" s="1"/>
  <c r="L1334" i="3"/>
  <c r="M1334" i="3"/>
  <c r="P1334" i="3" s="1"/>
  <c r="N1334" i="3"/>
  <c r="O1334" i="3" s="1"/>
  <c r="Q1334" i="3"/>
  <c r="R1334" i="3"/>
  <c r="B1335" i="3"/>
  <c r="C1335" i="3"/>
  <c r="S1335" i="3" s="1"/>
  <c r="D1335" i="3"/>
  <c r="I1335" i="3"/>
  <c r="K1335" i="3"/>
  <c r="J1335" i="3" s="1"/>
  <c r="L1335" i="3"/>
  <c r="M1335" i="3"/>
  <c r="P1335" i="3" s="1"/>
  <c r="N1335" i="3"/>
  <c r="O1335" i="3" s="1"/>
  <c r="Q1335" i="3"/>
  <c r="R1335" i="3"/>
  <c r="B1336" i="3"/>
  <c r="C1336" i="3"/>
  <c r="S1336" i="3" s="1"/>
  <c r="D1336" i="3"/>
  <c r="I1336" i="3"/>
  <c r="K1336" i="3"/>
  <c r="J1336" i="3" s="1"/>
  <c r="L1336" i="3"/>
  <c r="M1336" i="3"/>
  <c r="P1336" i="3" s="1"/>
  <c r="N1336" i="3"/>
  <c r="O1336" i="3" s="1"/>
  <c r="Q1336" i="3"/>
  <c r="R1336" i="3"/>
  <c r="B1337" i="3"/>
  <c r="C1337" i="3"/>
  <c r="S1337" i="3" s="1"/>
  <c r="D1337" i="3"/>
  <c r="I1337" i="3"/>
  <c r="K1337" i="3"/>
  <c r="J1337" i="3" s="1"/>
  <c r="L1337" i="3"/>
  <c r="M1337" i="3"/>
  <c r="P1337" i="3" s="1"/>
  <c r="N1337" i="3"/>
  <c r="O1337" i="3" s="1"/>
  <c r="Q1337" i="3"/>
  <c r="R1337" i="3"/>
  <c r="B1338" i="3"/>
  <c r="C1338" i="3"/>
  <c r="S1338" i="3" s="1"/>
  <c r="D1338" i="3"/>
  <c r="I1338" i="3"/>
  <c r="K1338" i="3"/>
  <c r="J1338" i="3" s="1"/>
  <c r="L1338" i="3"/>
  <c r="M1338" i="3"/>
  <c r="P1338" i="3" s="1"/>
  <c r="N1338" i="3"/>
  <c r="O1338" i="3" s="1"/>
  <c r="Q1338" i="3"/>
  <c r="R1338" i="3"/>
  <c r="B1339" i="3"/>
  <c r="C1339" i="3"/>
  <c r="S1339" i="3" s="1"/>
  <c r="D1339" i="3"/>
  <c r="I1339" i="3"/>
  <c r="K1339" i="3"/>
  <c r="J1339" i="3" s="1"/>
  <c r="L1339" i="3"/>
  <c r="M1339" i="3"/>
  <c r="P1339" i="3" s="1"/>
  <c r="N1339" i="3"/>
  <c r="O1339" i="3" s="1"/>
  <c r="Q1339" i="3"/>
  <c r="R1339" i="3"/>
  <c r="B1340" i="3"/>
  <c r="C1340" i="3"/>
  <c r="S1340" i="3" s="1"/>
  <c r="D1340" i="3"/>
  <c r="I1340" i="3"/>
  <c r="K1340" i="3"/>
  <c r="J1340" i="3" s="1"/>
  <c r="L1340" i="3"/>
  <c r="M1340" i="3"/>
  <c r="P1340" i="3" s="1"/>
  <c r="N1340" i="3"/>
  <c r="O1340" i="3" s="1"/>
  <c r="Q1340" i="3"/>
  <c r="R1340" i="3"/>
  <c r="B1341" i="3"/>
  <c r="C1341" i="3"/>
  <c r="S1341" i="3" s="1"/>
  <c r="D1341" i="3"/>
  <c r="I1341" i="3"/>
  <c r="K1341" i="3"/>
  <c r="J1341" i="3" s="1"/>
  <c r="L1341" i="3"/>
  <c r="M1341" i="3"/>
  <c r="P1341" i="3" s="1"/>
  <c r="N1341" i="3"/>
  <c r="O1341" i="3" s="1"/>
  <c r="Q1341" i="3"/>
  <c r="R1341" i="3"/>
  <c r="B1342" i="3"/>
  <c r="C1342" i="3"/>
  <c r="S1342" i="3" s="1"/>
  <c r="D1342" i="3"/>
  <c r="I1342" i="3"/>
  <c r="K1342" i="3"/>
  <c r="J1342" i="3" s="1"/>
  <c r="L1342" i="3"/>
  <c r="M1342" i="3"/>
  <c r="P1342" i="3" s="1"/>
  <c r="N1342" i="3"/>
  <c r="O1342" i="3" s="1"/>
  <c r="Q1342" i="3"/>
  <c r="R1342" i="3"/>
  <c r="B1343" i="3"/>
  <c r="C1343" i="3"/>
  <c r="S1343" i="3" s="1"/>
  <c r="D1343" i="3"/>
  <c r="I1343" i="3"/>
  <c r="K1343" i="3"/>
  <c r="J1343" i="3" s="1"/>
  <c r="L1343" i="3"/>
  <c r="M1343" i="3"/>
  <c r="P1343" i="3" s="1"/>
  <c r="N1343" i="3"/>
  <c r="O1343" i="3" s="1"/>
  <c r="Q1343" i="3"/>
  <c r="R1343" i="3"/>
  <c r="B1344" i="3"/>
  <c r="C1344" i="3"/>
  <c r="S1344" i="3" s="1"/>
  <c r="D1344" i="3"/>
  <c r="H1344" i="3"/>
  <c r="I1344" i="3" s="1"/>
  <c r="K1344" i="3"/>
  <c r="L1344" i="3"/>
  <c r="M1344" i="3"/>
  <c r="P1344" i="3" s="1"/>
  <c r="N1344" i="3"/>
  <c r="O1344" i="3" s="1"/>
  <c r="Q1344" i="3"/>
  <c r="R1344" i="3"/>
  <c r="B1345" i="3"/>
  <c r="C1345" i="3"/>
  <c r="S1345" i="3" s="1"/>
  <c r="D1345" i="3"/>
  <c r="I1345" i="3"/>
  <c r="K1345" i="3"/>
  <c r="J1345" i="3" s="1"/>
  <c r="L1345" i="3"/>
  <c r="M1345" i="3"/>
  <c r="P1345" i="3" s="1"/>
  <c r="N1345" i="3"/>
  <c r="O1345" i="3" s="1"/>
  <c r="Q1345" i="3"/>
  <c r="R1345" i="3"/>
  <c r="B1346" i="3"/>
  <c r="C1346" i="3"/>
  <c r="S1346" i="3" s="1"/>
  <c r="D1346" i="3"/>
  <c r="I1346" i="3"/>
  <c r="K1346" i="3"/>
  <c r="J1346" i="3" s="1"/>
  <c r="L1346" i="3"/>
  <c r="M1346" i="3"/>
  <c r="P1346" i="3" s="1"/>
  <c r="N1346" i="3"/>
  <c r="O1346" i="3" s="1"/>
  <c r="Q1346" i="3"/>
  <c r="R1346" i="3"/>
  <c r="B1347" i="3"/>
  <c r="C1347" i="3"/>
  <c r="S1347" i="3" s="1"/>
  <c r="D1347" i="3"/>
  <c r="I1347" i="3"/>
  <c r="K1347" i="3"/>
  <c r="J1347" i="3" s="1"/>
  <c r="L1347" i="3"/>
  <c r="M1347" i="3"/>
  <c r="P1347" i="3" s="1"/>
  <c r="N1347" i="3"/>
  <c r="O1347" i="3" s="1"/>
  <c r="Q1347" i="3"/>
  <c r="R1347" i="3"/>
  <c r="B1348" i="3"/>
  <c r="C1348" i="3"/>
  <c r="S1348" i="3" s="1"/>
  <c r="D1348" i="3"/>
  <c r="I1348" i="3"/>
  <c r="K1348" i="3"/>
  <c r="J1348" i="3" s="1"/>
  <c r="L1348" i="3"/>
  <c r="M1348" i="3"/>
  <c r="P1348" i="3" s="1"/>
  <c r="N1348" i="3"/>
  <c r="O1348" i="3" s="1"/>
  <c r="Q1348" i="3"/>
  <c r="R1348" i="3"/>
  <c r="B1349" i="3"/>
  <c r="C1349" i="3"/>
  <c r="S1349" i="3" s="1"/>
  <c r="D1349" i="3"/>
  <c r="I1349" i="3"/>
  <c r="K1349" i="3"/>
  <c r="J1349" i="3" s="1"/>
  <c r="L1349" i="3"/>
  <c r="M1349" i="3"/>
  <c r="P1349" i="3" s="1"/>
  <c r="N1349" i="3"/>
  <c r="O1349" i="3" s="1"/>
  <c r="Q1349" i="3"/>
  <c r="R1349" i="3"/>
  <c r="B1350" i="3"/>
  <c r="C1350" i="3"/>
  <c r="S1350" i="3" s="1"/>
  <c r="D1350" i="3"/>
  <c r="I1350" i="3"/>
  <c r="K1350" i="3"/>
  <c r="J1350" i="3" s="1"/>
  <c r="L1350" i="3"/>
  <c r="M1350" i="3"/>
  <c r="P1350" i="3" s="1"/>
  <c r="N1350" i="3"/>
  <c r="O1350" i="3" s="1"/>
  <c r="Q1350" i="3"/>
  <c r="R1350" i="3"/>
  <c r="B1351" i="3"/>
  <c r="C1351" i="3"/>
  <c r="S1351" i="3" s="1"/>
  <c r="D1351" i="3"/>
  <c r="I1351" i="3"/>
  <c r="K1351" i="3"/>
  <c r="J1351" i="3" s="1"/>
  <c r="L1351" i="3"/>
  <c r="M1351" i="3"/>
  <c r="P1351" i="3" s="1"/>
  <c r="N1351" i="3"/>
  <c r="O1351" i="3" s="1"/>
  <c r="Q1351" i="3"/>
  <c r="R1351" i="3"/>
  <c r="B1352" i="3"/>
  <c r="C1352" i="3"/>
  <c r="S1352" i="3" s="1"/>
  <c r="D1352" i="3"/>
  <c r="I1352" i="3"/>
  <c r="K1352" i="3"/>
  <c r="J1352" i="3" s="1"/>
  <c r="L1352" i="3"/>
  <c r="M1352" i="3"/>
  <c r="P1352" i="3" s="1"/>
  <c r="N1352" i="3"/>
  <c r="O1352" i="3" s="1"/>
  <c r="Q1352" i="3"/>
  <c r="R1352" i="3"/>
  <c r="B1353" i="3"/>
  <c r="C1353" i="3"/>
  <c r="S1353" i="3" s="1"/>
  <c r="D1353" i="3"/>
  <c r="I1353" i="3"/>
  <c r="K1353" i="3"/>
  <c r="J1353" i="3" s="1"/>
  <c r="L1353" i="3"/>
  <c r="M1353" i="3"/>
  <c r="P1353" i="3" s="1"/>
  <c r="N1353" i="3"/>
  <c r="O1353" i="3" s="1"/>
  <c r="Q1353" i="3"/>
  <c r="R1353" i="3"/>
  <c r="B1354" i="3"/>
  <c r="C1354" i="3"/>
  <c r="S1354" i="3" s="1"/>
  <c r="D1354" i="3"/>
  <c r="I1354" i="3"/>
  <c r="K1354" i="3"/>
  <c r="J1354" i="3" s="1"/>
  <c r="L1354" i="3"/>
  <c r="M1354" i="3"/>
  <c r="P1354" i="3" s="1"/>
  <c r="N1354" i="3"/>
  <c r="O1354" i="3" s="1"/>
  <c r="Q1354" i="3"/>
  <c r="R1354" i="3"/>
  <c r="I9" i="7" l="1"/>
  <c r="B7" i="7"/>
  <c r="B8" i="7"/>
  <c r="B6" i="7"/>
  <c r="B13" i="7"/>
  <c r="B16" i="7"/>
  <c r="O2" i="3"/>
  <c r="J1076" i="3"/>
  <c r="J1116" i="3"/>
  <c r="J1187" i="3"/>
  <c r="B5" i="7" s="1"/>
  <c r="J1117" i="3"/>
  <c r="J1085" i="3"/>
  <c r="B12" i="7" s="1"/>
  <c r="J1074" i="3"/>
  <c r="J1075" i="3"/>
  <c r="J243" i="3"/>
  <c r="J113" i="3"/>
  <c r="J1022" i="3"/>
  <c r="J553" i="3"/>
  <c r="J478" i="3"/>
  <c r="J438" i="3"/>
  <c r="J658" i="3"/>
  <c r="J542" i="3"/>
  <c r="J501" i="3"/>
  <c r="J824" i="3"/>
  <c r="J1013" i="3"/>
  <c r="J1376" i="3"/>
  <c r="J484" i="3"/>
  <c r="J892" i="3"/>
  <c r="J1209" i="3"/>
  <c r="J1381" i="3"/>
  <c r="J537" i="3"/>
  <c r="J1002" i="3"/>
  <c r="J745" i="3"/>
  <c r="J1379" i="3"/>
  <c r="J1198" i="3"/>
  <c r="J1196" i="3"/>
  <c r="J1015" i="3"/>
  <c r="J1011" i="3"/>
  <c r="J1054" i="3"/>
  <c r="J1136" i="3"/>
  <c r="J530" i="3"/>
  <c r="J399" i="3"/>
  <c r="J639" i="3"/>
  <c r="J603" i="3"/>
  <c r="J1200" i="3"/>
  <c r="J1186" i="3"/>
  <c r="J1017" i="3"/>
  <c r="J1344" i="3"/>
  <c r="J842" i="3"/>
  <c r="J804" i="3"/>
  <c r="J853" i="3"/>
  <c r="J1009" i="3"/>
  <c r="J918" i="3"/>
  <c r="I1047" i="3"/>
  <c r="J902" i="3"/>
  <c r="J554" i="3"/>
  <c r="J495" i="3"/>
  <c r="J860" i="3"/>
  <c r="J830" i="3"/>
  <c r="J787" i="3"/>
  <c r="J573" i="3"/>
  <c r="J527" i="3"/>
  <c r="J820" i="3"/>
  <c r="J584" i="3"/>
  <c r="J818" i="3"/>
  <c r="J966" i="3"/>
  <c r="J862" i="3"/>
  <c r="J802" i="3"/>
  <c r="J547" i="3"/>
  <c r="J1049" i="3"/>
  <c r="J794" i="3"/>
  <c r="J1202" i="3"/>
  <c r="J1134" i="3"/>
  <c r="J857" i="3"/>
  <c r="J838" i="3"/>
  <c r="J827" i="3"/>
  <c r="J800" i="3"/>
  <c r="J634" i="3"/>
  <c r="J297" i="3"/>
  <c r="J867" i="3"/>
  <c r="J742" i="3"/>
  <c r="J613" i="3"/>
  <c r="J225" i="3"/>
  <c r="J1330" i="3"/>
  <c r="J1298" i="3"/>
  <c r="J1047" i="3"/>
  <c r="J939" i="3"/>
  <c r="J351" i="3"/>
  <c r="J161" i="3"/>
  <c r="J619" i="3"/>
  <c r="J499" i="3"/>
  <c r="J1246" i="3"/>
  <c r="J1243" i="3"/>
  <c r="J382" i="3"/>
  <c r="J291" i="3"/>
  <c r="J1173" i="3"/>
  <c r="J768" i="3"/>
  <c r="J558" i="3"/>
  <c r="J749" i="3"/>
  <c r="J388" i="3"/>
  <c r="J1061" i="3"/>
  <c r="J715" i="3"/>
  <c r="J544" i="3"/>
  <c r="I1236" i="3"/>
  <c r="J1236" i="3"/>
  <c r="J1266" i="3"/>
  <c r="I792" i="3"/>
  <c r="J792" i="3"/>
  <c r="I1061" i="3"/>
  <c r="J908" i="3"/>
  <c r="J1120" i="3"/>
  <c r="J1293" i="3"/>
  <c r="I851" i="3"/>
  <c r="J851" i="3"/>
  <c r="J812" i="3"/>
  <c r="I715" i="3"/>
  <c r="I751" i="3"/>
  <c r="J751" i="3"/>
  <c r="J389" i="3"/>
  <c r="I389" i="3"/>
  <c r="J509" i="3"/>
  <c r="J567" i="3"/>
  <c r="J756" i="3"/>
  <c r="J675" i="3"/>
  <c r="I388" i="3"/>
  <c r="I114" i="3"/>
  <c r="J114" i="3"/>
  <c r="B13" i="4"/>
  <c r="B12" i="4"/>
  <c r="K9" i="7" l="1"/>
  <c r="J9" i="7" s="1"/>
  <c r="L9" i="7" s="1"/>
  <c r="B14" i="7"/>
  <c r="B20" i="7"/>
  <c r="B15" i="7"/>
  <c r="B2" i="7"/>
  <c r="B4" i="7"/>
  <c r="B9" i="7" s="1"/>
  <c r="H18" i="1"/>
  <c r="C9" i="7" l="1"/>
  <c r="I14" i="7"/>
  <c r="L14" i="7"/>
  <c r="L15" i="7"/>
  <c r="I13" i="7"/>
  <c r="L13" i="7"/>
  <c r="C5" i="7"/>
  <c r="C7" i="7"/>
  <c r="C8" i="7"/>
  <c r="C6" i="7"/>
  <c r="K3" i="7"/>
  <c r="C15" i="7"/>
  <c r="J3" i="7"/>
  <c r="J5" i="7"/>
  <c r="C12" i="7"/>
  <c r="K5" i="7"/>
  <c r="C13" i="7"/>
  <c r="J4" i="7"/>
  <c r="I4" i="7"/>
  <c r="K4" i="7"/>
  <c r="I5" i="7"/>
  <c r="C16" i="7"/>
  <c r="K15" i="7"/>
  <c r="J13" i="7"/>
  <c r="J15" i="7"/>
  <c r="I15" i="7"/>
  <c r="K14" i="7"/>
  <c r="J14" i="7"/>
  <c r="K13" i="7"/>
  <c r="I3" i="7"/>
  <c r="C2" i="7"/>
  <c r="C14" i="7"/>
  <c r="C4" i="7"/>
  <c r="E2" i="9"/>
  <c r="R4" i="9"/>
  <c r="L6" i="7" l="1"/>
  <c r="Q4" i="9"/>
  <c r="Q5" i="9"/>
  <c r="R5" i="9" s="1"/>
  <c r="Q3" i="9" l="1"/>
  <c r="Q2" i="9" l="1"/>
  <c r="R2" i="9" s="1"/>
  <c r="B6" i="1" l="1"/>
  <c r="B4" i="5" s="1"/>
  <c r="T115" i="3" s="1"/>
  <c r="F6" i="5"/>
  <c r="T1538" i="3" l="1"/>
  <c r="T1540" i="3"/>
  <c r="T1421" i="3"/>
  <c r="T1517" i="3"/>
  <c r="T1434" i="3"/>
  <c r="T1449" i="3"/>
  <c r="T1533" i="3"/>
  <c r="T1499" i="3"/>
  <c r="T1447" i="3"/>
  <c r="T1500" i="3"/>
  <c r="T1532" i="3"/>
  <c r="T1466" i="3"/>
  <c r="T1497" i="3"/>
  <c r="T1422" i="3"/>
  <c r="T1461" i="3"/>
  <c r="T1490" i="3"/>
  <c r="T1541" i="3"/>
  <c r="T1437" i="3"/>
  <c r="T1469" i="3"/>
  <c r="T1523" i="3"/>
  <c r="T1493" i="3"/>
  <c r="T1438" i="3"/>
  <c r="T1433" i="3"/>
  <c r="T1481" i="3"/>
  <c r="T1485" i="3"/>
  <c r="T1462" i="3"/>
  <c r="T1419" i="3"/>
  <c r="T1530" i="3"/>
  <c r="T1526" i="3"/>
  <c r="T1459" i="3"/>
  <c r="T1426" i="3"/>
  <c r="T1429" i="3"/>
  <c r="T1542" i="3"/>
  <c r="T1528" i="3"/>
  <c r="T1494" i="3"/>
  <c r="T1498" i="3"/>
  <c r="T1424" i="3"/>
  <c r="T1503" i="3"/>
  <c r="T1520" i="3"/>
  <c r="T1448" i="3"/>
  <c r="T1440" i="3"/>
  <c r="T1463" i="3"/>
  <c r="T1537" i="3"/>
  <c r="T1458" i="3"/>
  <c r="T1472" i="3"/>
  <c r="T1383" i="3"/>
  <c r="T1444" i="3"/>
  <c r="T1524" i="3"/>
  <c r="T1509" i="3"/>
  <c r="T1460" i="3"/>
  <c r="T1445" i="3"/>
  <c r="T1514" i="3"/>
  <c r="T1442" i="3"/>
  <c r="T1486" i="3"/>
  <c r="T1446" i="3"/>
  <c r="T1441" i="3"/>
  <c r="T1522" i="3"/>
  <c r="T1443" i="3"/>
  <c r="T1505" i="3"/>
  <c r="T1457" i="3"/>
  <c r="T1467" i="3"/>
  <c r="T1496" i="3"/>
  <c r="T1417" i="3"/>
  <c r="T1473" i="3"/>
  <c r="T1536" i="3"/>
  <c r="T1425" i="3"/>
  <c r="T1511" i="3"/>
  <c r="T1456" i="3"/>
  <c r="T1492" i="3"/>
  <c r="T1508" i="3"/>
  <c r="T1488" i="3"/>
  <c r="T1432" i="3"/>
  <c r="T1518" i="3"/>
  <c r="T1521" i="3"/>
  <c r="T1431" i="3"/>
  <c r="T1470" i="3"/>
  <c r="T1529" i="3"/>
  <c r="T1451" i="3"/>
  <c r="T1475" i="3"/>
  <c r="T1487" i="3"/>
  <c r="T1474" i="3"/>
  <c r="T1491" i="3"/>
  <c r="T1513" i="3"/>
  <c r="T1502" i="3"/>
  <c r="T1465" i="3"/>
  <c r="T1415" i="3"/>
  <c r="T885" i="3"/>
  <c r="T1504" i="3"/>
  <c r="T1384" i="3"/>
  <c r="T1534" i="3"/>
  <c r="T1516" i="3"/>
  <c r="T1501" i="3"/>
  <c r="T1414" i="3"/>
  <c r="T1453" i="3"/>
  <c r="T1430" i="3"/>
  <c r="T1483" i="3"/>
  <c r="T1436" i="3"/>
  <c r="T1477" i="3"/>
  <c r="T1215" i="3"/>
  <c r="T1454" i="3"/>
  <c r="T1439" i="3"/>
  <c r="T1480" i="3"/>
  <c r="T1455" i="3"/>
  <c r="T1478" i="3"/>
  <c r="T1435" i="3"/>
  <c r="T1479" i="3"/>
  <c r="T1476" i="3"/>
  <c r="T1484" i="3"/>
  <c r="T1482" i="3"/>
  <c r="T1428" i="3"/>
  <c r="T1515" i="3"/>
  <c r="T1495" i="3"/>
  <c r="T1427" i="3"/>
  <c r="T1539" i="3"/>
  <c r="T1512" i="3"/>
  <c r="T1519" i="3"/>
  <c r="T1506" i="3"/>
  <c r="T1527" i="3"/>
  <c r="T1525" i="3"/>
  <c r="T1507" i="3"/>
  <c r="T884" i="3"/>
  <c r="T1468" i="3"/>
  <c r="T1489" i="3"/>
  <c r="T1471" i="3"/>
  <c r="T1416" i="3"/>
  <c r="T1423" i="3"/>
  <c r="T1420" i="3"/>
  <c r="T1510" i="3"/>
  <c r="T1464" i="3"/>
  <c r="T1535" i="3"/>
  <c r="T1531" i="3"/>
  <c r="T1452" i="3"/>
  <c r="T1418" i="3"/>
  <c r="T1450" i="3"/>
  <c r="T1413" i="3"/>
  <c r="T482" i="3"/>
  <c r="T375" i="3"/>
  <c r="T874" i="3"/>
  <c r="T458" i="3"/>
  <c r="T279" i="3"/>
  <c r="T900" i="3"/>
  <c r="T1100" i="3"/>
  <c r="T370" i="3"/>
  <c r="T1023" i="3"/>
  <c r="T765" i="3"/>
  <c r="T1261" i="3"/>
  <c r="T517" i="3"/>
  <c r="T1411" i="3"/>
  <c r="T1194" i="3"/>
  <c r="T78" i="3"/>
  <c r="T595" i="3"/>
  <c r="T1149" i="3"/>
  <c r="T57" i="3"/>
  <c r="T904" i="3"/>
  <c r="T1270" i="3"/>
  <c r="T478" i="3"/>
  <c r="T1402" i="3"/>
  <c r="T745" i="3"/>
  <c r="T1233" i="3"/>
  <c r="T1059" i="3"/>
  <c r="T23" i="3"/>
  <c r="T966" i="3"/>
  <c r="T1324" i="3"/>
  <c r="T1070" i="3"/>
  <c r="T66" i="3"/>
  <c r="T1320" i="3"/>
  <c r="T54" i="3"/>
  <c r="T1214" i="3"/>
  <c r="T655" i="3"/>
  <c r="T1390" i="3"/>
  <c r="T1378" i="3"/>
  <c r="T490" i="3"/>
  <c r="T747" i="3"/>
  <c r="T243" i="3"/>
  <c r="T479" i="3"/>
  <c r="T1183" i="3"/>
  <c r="T947" i="3"/>
  <c r="T459" i="3"/>
  <c r="T695" i="3"/>
  <c r="T523" i="3"/>
  <c r="T402" i="3"/>
  <c r="T1168" i="3"/>
  <c r="T250" i="3"/>
  <c r="T831" i="3"/>
  <c r="T1137" i="3"/>
  <c r="T568" i="3"/>
  <c r="T619" i="3"/>
  <c r="T711" i="3"/>
  <c r="T206" i="3"/>
  <c r="T1054" i="3"/>
  <c r="T1175" i="3"/>
  <c r="T604" i="3"/>
  <c r="T921" i="3"/>
  <c r="T210" i="3"/>
  <c r="T280" i="3"/>
  <c r="T223" i="3"/>
  <c r="T737" i="3"/>
  <c r="T283" i="3"/>
  <c r="T166" i="3"/>
  <c r="T26" i="3"/>
  <c r="T433" i="3"/>
  <c r="T1085" i="3"/>
  <c r="T936" i="3"/>
  <c r="T1280" i="3"/>
  <c r="T1126" i="3"/>
  <c r="T1260" i="3"/>
  <c r="T1088" i="3"/>
  <c r="T898" i="3"/>
  <c r="T1351" i="3"/>
  <c r="T239" i="3"/>
  <c r="T858" i="3"/>
  <c r="T986" i="3"/>
  <c r="T215" i="3"/>
  <c r="T892" i="3"/>
  <c r="T1084" i="3"/>
  <c r="T266" i="3"/>
  <c r="T1015" i="3"/>
  <c r="T749" i="3"/>
  <c r="T1245" i="3"/>
  <c r="T509" i="3"/>
  <c r="T906" i="3"/>
  <c r="T1186" i="3"/>
  <c r="T14" i="3"/>
  <c r="T1398" i="3"/>
  <c r="T1141" i="3"/>
  <c r="T49" i="3"/>
  <c r="T878" i="3"/>
  <c r="T1246" i="3"/>
  <c r="T470" i="3"/>
  <c r="T1043" i="3"/>
  <c r="T729" i="3"/>
  <c r="T1225" i="3"/>
  <c r="T497" i="3"/>
  <c r="T7" i="3"/>
  <c r="T958" i="3"/>
  <c r="T1316" i="3"/>
  <c r="T1062" i="3"/>
  <c r="T58" i="3"/>
  <c r="T1288" i="3"/>
  <c r="T38" i="3"/>
  <c r="T1033" i="3"/>
  <c r="T615" i="3"/>
  <c r="T1391" i="3"/>
  <c r="T1372" i="3"/>
  <c r="T226" i="3"/>
  <c r="T774" i="3"/>
  <c r="T812" i="3"/>
  <c r="T240" i="3"/>
  <c r="T912" i="3"/>
  <c r="T532" i="3"/>
  <c r="T106" i="3"/>
  <c r="T161" i="3"/>
  <c r="T512" i="3"/>
  <c r="T556" i="3"/>
  <c r="T952" i="3"/>
  <c r="T218" i="3"/>
  <c r="T597" i="3"/>
  <c r="T985" i="3"/>
  <c r="T465" i="3"/>
  <c r="T567" i="3"/>
  <c r="T575" i="3"/>
  <c r="T1083" i="3"/>
  <c r="T969" i="3"/>
  <c r="T1158" i="3"/>
  <c r="T443" i="3"/>
  <c r="T1293" i="3"/>
  <c r="T179" i="3"/>
  <c r="T252" i="3"/>
  <c r="T135" i="3"/>
  <c r="T734" i="3"/>
  <c r="T83" i="3"/>
  <c r="T12" i="3"/>
  <c r="T5" i="3"/>
  <c r="T389" i="3"/>
  <c r="T825" i="3"/>
  <c r="T718" i="3"/>
  <c r="T1232" i="3"/>
  <c r="T919" i="3"/>
  <c r="T1259" i="3"/>
  <c r="T1079" i="3"/>
  <c r="T1330" i="3"/>
  <c r="T890" i="3"/>
  <c r="T693" i="3"/>
  <c r="T828" i="3"/>
  <c r="T152" i="3"/>
  <c r="T928" i="3"/>
  <c r="T493" i="3"/>
  <c r="T216" i="3"/>
  <c r="T519" i="3"/>
  <c r="T621" i="3"/>
  <c r="T397" i="3"/>
  <c r="T1343" i="3"/>
  <c r="T183" i="3"/>
  <c r="T802" i="3"/>
  <c r="T1319" i="3"/>
  <c r="T175" i="3"/>
  <c r="T882" i="3"/>
  <c r="T1076" i="3"/>
  <c r="T234" i="3"/>
  <c r="T1007" i="3"/>
  <c r="T677" i="3"/>
  <c r="T1229" i="3"/>
  <c r="T453" i="3"/>
  <c r="T880" i="3"/>
  <c r="T1154" i="3"/>
  <c r="T1374" i="3"/>
  <c r="T1347" i="3"/>
  <c r="T1133" i="3"/>
  <c r="T41" i="3"/>
  <c r="T870" i="3"/>
  <c r="T1230" i="3"/>
  <c r="T462" i="3"/>
  <c r="T1035" i="3"/>
  <c r="T673" i="3"/>
  <c r="T1203" i="3"/>
  <c r="T481" i="3"/>
  <c r="T1357" i="3"/>
  <c r="T950" i="3"/>
  <c r="T1300" i="3"/>
  <c r="T548" i="3"/>
  <c r="T34" i="3"/>
  <c r="T1224" i="3"/>
  <c r="T1358" i="3"/>
  <c r="T1025" i="3"/>
  <c r="T599" i="3"/>
  <c r="T1392" i="3"/>
  <c r="T1370" i="3"/>
  <c r="T111" i="3"/>
  <c r="T1308" i="3"/>
  <c r="T845" i="3"/>
  <c r="T609" i="3"/>
  <c r="T773" i="3"/>
  <c r="T374" i="3"/>
  <c r="T168" i="3"/>
  <c r="T717" i="3"/>
  <c r="T225" i="3"/>
  <c r="T1121" i="3"/>
  <c r="T678" i="3"/>
  <c r="T99" i="3"/>
  <c r="T390" i="3"/>
  <c r="T546" i="3"/>
  <c r="T292" i="3"/>
  <c r="T464" i="3"/>
  <c r="T963" i="3"/>
  <c r="T1110" i="3"/>
  <c r="T860" i="3"/>
  <c r="T1117" i="3"/>
  <c r="T1318" i="3"/>
  <c r="T1235" i="3"/>
  <c r="T510" i="3"/>
  <c r="T149" i="3"/>
  <c r="T18" i="3"/>
  <c r="T657" i="3"/>
  <c r="T44" i="3"/>
  <c r="T549" i="3"/>
  <c r="T670" i="3"/>
  <c r="T353" i="3"/>
  <c r="T1144" i="3"/>
  <c r="T1329" i="3"/>
  <c r="T1210" i="3"/>
  <c r="T1297" i="3"/>
  <c r="T1258" i="3"/>
  <c r="T1314" i="3"/>
  <c r="T841" i="3"/>
  <c r="T639" i="3"/>
  <c r="T347" i="3"/>
  <c r="T715" i="3"/>
  <c r="T205" i="3"/>
  <c r="T625" i="3"/>
  <c r="T630" i="3"/>
  <c r="T444" i="3"/>
  <c r="T310" i="3"/>
  <c r="T547" i="3"/>
  <c r="T326" i="3"/>
  <c r="T322" i="3"/>
  <c r="T120" i="3"/>
  <c r="T1287" i="3"/>
  <c r="T101" i="3"/>
  <c r="T618" i="3"/>
  <c r="T1271" i="3"/>
  <c r="T159" i="3"/>
  <c r="T738" i="3"/>
  <c r="T1034" i="3"/>
  <c r="T138" i="3"/>
  <c r="T983" i="3"/>
  <c r="T605" i="3"/>
  <c r="T1199" i="3"/>
  <c r="T373" i="3"/>
  <c r="T744" i="3"/>
  <c r="T1074" i="3"/>
  <c r="T1005" i="3"/>
  <c r="T1323" i="3"/>
  <c r="T1069" i="3"/>
  <c r="T1363" i="3"/>
  <c r="T838" i="3"/>
  <c r="T1192" i="3"/>
  <c r="T446" i="3"/>
  <c r="T1019" i="3"/>
  <c r="T649" i="3"/>
  <c r="T1187" i="3"/>
  <c r="T297" i="3"/>
  <c r="T1373" i="3"/>
  <c r="T918" i="3"/>
  <c r="T1284" i="3"/>
  <c r="T404" i="3"/>
  <c r="T2" i="3"/>
  <c r="T1130" i="3"/>
  <c r="T1029" i="3"/>
  <c r="T977" i="3"/>
  <c r="T1406" i="3"/>
  <c r="T1388" i="3"/>
  <c r="T1368" i="3"/>
  <c r="T469" i="3"/>
  <c r="T491" i="3"/>
  <c r="T1049" i="3"/>
  <c r="T741" i="3"/>
  <c r="T16" i="3"/>
  <c r="T192" i="3"/>
  <c r="T247" i="3"/>
  <c r="T1353" i="3"/>
  <c r="T1349" i="3"/>
  <c r="T1345" i="3"/>
  <c r="T934" i="3"/>
  <c r="T40" i="3"/>
  <c r="T1322" i="3"/>
  <c r="T835" i="3"/>
  <c r="T256" i="3"/>
  <c r="T364" i="3"/>
  <c r="T3" i="3"/>
  <c r="T1101" i="3"/>
  <c r="T1118" i="3"/>
  <c r="T902" i="3"/>
  <c r="T1273" i="3"/>
  <c r="T920" i="3"/>
  <c r="T199" i="3"/>
  <c r="T716" i="3"/>
  <c r="T1119" i="3"/>
  <c r="T456" i="3"/>
  <c r="T849" i="3"/>
  <c r="T21" i="3"/>
  <c r="T274" i="3"/>
  <c r="T231" i="3"/>
  <c r="T1313" i="3"/>
  <c r="T1065" i="3"/>
  <c r="T1142" i="3"/>
  <c r="T1256" i="3"/>
  <c r="T940" i="3"/>
  <c r="T675" i="3"/>
  <c r="T515" i="3"/>
  <c r="T628" i="3"/>
  <c r="T980" i="3"/>
  <c r="T840" i="3"/>
  <c r="T522" i="3"/>
  <c r="T411" i="3"/>
  <c r="T303" i="3"/>
  <c r="T305" i="3"/>
  <c r="T349" i="3"/>
  <c r="T476" i="3"/>
  <c r="T208" i="3"/>
  <c r="T1311" i="3"/>
  <c r="T1375" i="3"/>
  <c r="T1148" i="3"/>
  <c r="T167" i="3"/>
  <c r="T562" i="3"/>
  <c r="T450" i="3"/>
  <c r="T991" i="3"/>
  <c r="T1341" i="3"/>
  <c r="T1095" i="3"/>
  <c r="T760" i="3"/>
  <c r="T432" i="3"/>
  <c r="T843" i="3"/>
  <c r="T1077" i="3"/>
  <c r="T1032" i="3"/>
  <c r="T1334" i="3"/>
  <c r="T454" i="3"/>
  <c r="T971" i="3"/>
  <c r="T1337" i="3"/>
  <c r="T377" i="3"/>
  <c r="T1046" i="3"/>
  <c r="T724" i="3"/>
  <c r="T412" i="3"/>
  <c r="T872" i="3"/>
  <c r="T272" i="3"/>
  <c r="T1017" i="3"/>
  <c r="T81" i="3"/>
  <c r="T931" i="3"/>
  <c r="T122" i="3"/>
  <c r="T30" i="3"/>
  <c r="T557" i="3"/>
  <c r="T105" i="3"/>
  <c r="T682" i="3"/>
  <c r="T233" i="3"/>
  <c r="T282" i="3"/>
  <c r="T79" i="3"/>
  <c r="T1056" i="3"/>
  <c r="T852" i="3"/>
  <c r="T417" i="3"/>
  <c r="T993" i="3"/>
  <c r="T1221" i="3"/>
  <c r="T763" i="3"/>
  <c r="T447" i="3"/>
  <c r="T1134" i="3"/>
  <c r="T268" i="3"/>
  <c r="T689" i="3"/>
  <c r="T772" i="3"/>
  <c r="T126" i="3"/>
  <c r="T1143" i="3"/>
  <c r="T1222" i="3"/>
  <c r="T1332" i="3"/>
  <c r="T1240" i="3"/>
  <c r="T924" i="3"/>
  <c r="T842" i="3"/>
  <c r="T119" i="3"/>
  <c r="T839" i="3"/>
  <c r="T1010" i="3"/>
  <c r="T668" i="3"/>
  <c r="T436" i="3"/>
  <c r="T474" i="3"/>
  <c r="T366" i="3"/>
  <c r="T306" i="3"/>
  <c r="T451" i="3"/>
  <c r="T176" i="3"/>
  <c r="T323" i="3"/>
  <c r="T477" i="3"/>
  <c r="T123" i="3"/>
  <c r="T313" i="3"/>
  <c r="T148" i="3"/>
  <c r="T164" i="3"/>
  <c r="T132" i="3"/>
  <c r="T1044" i="3"/>
  <c r="T435" i="3"/>
  <c r="T273" i="3"/>
  <c r="T728" i="3"/>
  <c r="T746" i="3"/>
  <c r="T1255" i="3"/>
  <c r="T1393" i="3"/>
  <c r="T1132" i="3"/>
  <c r="T143" i="3"/>
  <c r="T1338" i="3"/>
  <c r="T418" i="3"/>
  <c r="T951" i="3"/>
  <c r="T1333" i="3"/>
  <c r="T1063" i="3"/>
  <c r="T736" i="3"/>
  <c r="T368" i="3"/>
  <c r="T827" i="3"/>
  <c r="T499" i="3"/>
  <c r="T1024" i="3"/>
  <c r="T1326" i="3"/>
  <c r="T286" i="3"/>
  <c r="T915" i="3"/>
  <c r="T1305" i="3"/>
  <c r="T289" i="3"/>
  <c r="T1038" i="3"/>
  <c r="T652" i="3"/>
  <c r="T388" i="3"/>
  <c r="T856" i="3"/>
  <c r="T200" i="3"/>
  <c r="T937" i="3"/>
  <c r="T70" i="3"/>
  <c r="T104" i="3"/>
  <c r="T170" i="3"/>
  <c r="T13" i="3"/>
  <c r="T576" i="3"/>
  <c r="T25" i="3"/>
  <c r="T89" i="3"/>
  <c r="T584" i="3"/>
  <c r="T229" i="3"/>
  <c r="T792" i="3"/>
  <c r="T1138" i="3"/>
  <c r="T811" i="3"/>
  <c r="T803" i="3"/>
  <c r="T396" i="3"/>
  <c r="T1302" i="3"/>
  <c r="T1178" i="3"/>
  <c r="T704" i="3"/>
  <c r="T238" i="3"/>
  <c r="T857" i="3"/>
  <c r="T154" i="3"/>
  <c r="T232" i="3"/>
  <c r="T269" i="3"/>
  <c r="T295" i="3"/>
  <c r="T810" i="3"/>
  <c r="T1315" i="3"/>
  <c r="T1211" i="3"/>
  <c r="T574" i="3"/>
  <c r="T627" i="3"/>
  <c r="T891" i="3"/>
  <c r="T801" i="3"/>
  <c r="T1009" i="3"/>
  <c r="T644" i="3"/>
  <c r="T460" i="3"/>
  <c r="T162" i="3"/>
  <c r="T136" i="3"/>
  <c r="T424" i="3"/>
  <c r="T661" i="3"/>
  <c r="T186" i="3"/>
  <c r="T461" i="3"/>
  <c r="T307" i="3"/>
  <c r="T1092" i="3"/>
  <c r="T1242" i="3"/>
  <c r="T887" i="3"/>
  <c r="T1317" i="3"/>
  <c r="T664" i="3"/>
  <c r="T635" i="3"/>
  <c r="T1278" i="3"/>
  <c r="T881" i="3"/>
  <c r="T1022" i="3"/>
  <c r="T260" i="3"/>
  <c r="T905" i="3"/>
  <c r="T251" i="3"/>
  <c r="T1239" i="3"/>
  <c r="T1401" i="3"/>
  <c r="T1116" i="3"/>
  <c r="T109" i="3"/>
  <c r="T1306" i="3"/>
  <c r="T410" i="3"/>
  <c r="T927" i="3"/>
  <c r="T1325" i="3"/>
  <c r="T533" i="3"/>
  <c r="T712" i="3"/>
  <c r="T352" i="3"/>
  <c r="T699" i="3"/>
  <c r="T475" i="3"/>
  <c r="T1008" i="3"/>
  <c r="T1286" i="3"/>
  <c r="T278" i="3"/>
  <c r="T899" i="3"/>
  <c r="T1249" i="3"/>
  <c r="T281" i="3"/>
  <c r="T1030" i="3"/>
  <c r="T1114" i="3"/>
  <c r="T276" i="3"/>
  <c r="T800" i="3"/>
  <c r="T128" i="3"/>
  <c r="T929" i="3"/>
  <c r="T582" i="3"/>
  <c r="T832" i="3"/>
  <c r="T1180" i="3"/>
  <c r="T185" i="3"/>
  <c r="T150" i="3"/>
  <c r="T1002" i="3"/>
  <c r="T71" i="3"/>
  <c r="T39" i="3"/>
  <c r="T769" i="3"/>
  <c r="T781" i="3"/>
  <c r="T706" i="3"/>
  <c r="T799" i="3"/>
  <c r="T1310" i="3"/>
  <c r="T1346" i="3"/>
  <c r="T1348" i="3"/>
  <c r="T613" i="3"/>
  <c r="T4" i="3"/>
  <c r="T752" i="3"/>
  <c r="T1153" i="3"/>
  <c r="T228" i="3"/>
  <c r="T213" i="3"/>
  <c r="T181" i="3"/>
  <c r="T1295" i="3"/>
  <c r="T1312" i="3"/>
  <c r="T1299" i="3"/>
  <c r="T1162" i="3"/>
  <c r="T939" i="3"/>
  <c r="T372" i="3"/>
  <c r="T823" i="3"/>
  <c r="T662" i="3"/>
  <c r="T999" i="3"/>
  <c r="T806" i="3"/>
  <c r="T540" i="3"/>
  <c r="T342" i="3"/>
  <c r="T541" i="3"/>
  <c r="T131" i="3"/>
  <c r="T321" i="3"/>
  <c r="T629" i="3"/>
  <c r="T445" i="3"/>
  <c r="T158" i="3"/>
  <c r="T1231" i="3"/>
  <c r="T394" i="3"/>
  <c r="T525" i="3"/>
  <c r="T288" i="3"/>
  <c r="T1000" i="3"/>
  <c r="T270" i="3"/>
  <c r="T1241" i="3"/>
  <c r="T1340" i="3"/>
  <c r="T94" i="3"/>
  <c r="T723" i="3"/>
  <c r="T93" i="3"/>
  <c r="T1185" i="3"/>
  <c r="T1020" i="3"/>
  <c r="T1303" i="3"/>
  <c r="T77" i="3"/>
  <c r="T1188" i="3"/>
  <c r="T202" i="3"/>
  <c r="T877" i="3"/>
  <c r="T1309" i="3"/>
  <c r="T437" i="3"/>
  <c r="T616" i="3"/>
  <c r="T184" i="3"/>
  <c r="T1339" i="3"/>
  <c r="T427" i="3"/>
  <c r="T992" i="3"/>
  <c r="T1200" i="3"/>
  <c r="T254" i="3"/>
  <c r="T873" i="3"/>
  <c r="T1195" i="3"/>
  <c r="T265" i="3"/>
  <c r="T1006" i="3"/>
  <c r="T1292" i="3"/>
  <c r="T220" i="3"/>
  <c r="T720" i="3"/>
  <c r="T1037" i="3"/>
  <c r="T897" i="3"/>
  <c r="T1394" i="3"/>
  <c r="T1371" i="3"/>
  <c r="T55" i="3"/>
  <c r="T756" i="3"/>
  <c r="T671" i="3"/>
  <c r="T244" i="3"/>
  <c r="T31" i="3"/>
  <c r="T182" i="3"/>
  <c r="T1081" i="3"/>
  <c r="T1352" i="3"/>
  <c r="T45" i="3"/>
  <c r="T442" i="3"/>
  <c r="T784" i="3"/>
  <c r="T449" i="3"/>
  <c r="T361" i="3"/>
  <c r="T743" i="3"/>
  <c r="T1073" i="3"/>
  <c r="T959" i="3"/>
  <c r="T708" i="3"/>
  <c r="T65" i="3"/>
  <c r="T530" i="3"/>
  <c r="T1061" i="3"/>
  <c r="T518" i="3"/>
  <c r="T780" i="3"/>
  <c r="T387" i="3"/>
  <c r="T1086" i="3"/>
  <c r="T1237" i="3"/>
  <c r="T1266" i="3"/>
  <c r="T1128" i="3"/>
  <c r="T851" i="3"/>
  <c r="T766" i="3"/>
  <c r="T653" i="3"/>
  <c r="T311" i="3"/>
  <c r="T324" i="3"/>
  <c r="T420" i="3"/>
  <c r="T308" i="3"/>
  <c r="T503" i="3"/>
  <c r="T638" i="3"/>
  <c r="T542" i="3"/>
  <c r="T623" i="3"/>
  <c r="T351" i="3"/>
  <c r="T197" i="3"/>
  <c r="T350" i="3"/>
  <c r="T1177" i="3"/>
  <c r="T1012" i="3"/>
  <c r="T1247" i="3"/>
  <c r="T61" i="3"/>
  <c r="T1172" i="3"/>
  <c r="T112" i="3"/>
  <c r="T869" i="3"/>
  <c r="T1301" i="3"/>
  <c r="T277" i="3"/>
  <c r="T600" i="3"/>
  <c r="T110" i="3"/>
  <c r="T1307" i="3"/>
  <c r="T379" i="3"/>
  <c r="T984" i="3"/>
  <c r="T1184" i="3"/>
  <c r="T174" i="3"/>
  <c r="T833" i="3"/>
  <c r="T1129" i="3"/>
  <c r="T1298" i="3"/>
  <c r="T1409" i="3"/>
  <c r="T946" i="3"/>
  <c r="T813" i="3"/>
  <c r="T261" i="3"/>
  <c r="T1106" i="3"/>
  <c r="T1267" i="3"/>
  <c r="T1082" i="3"/>
  <c r="T1104" i="3"/>
  <c r="T793" i="3"/>
  <c r="T1123" i="3"/>
  <c r="T998" i="3"/>
  <c r="T1198" i="3"/>
  <c r="T914" i="3"/>
  <c r="T893" i="3"/>
  <c r="T1404" i="3"/>
  <c r="T1379" i="3"/>
  <c r="T731" i="3"/>
  <c r="T714" i="3"/>
  <c r="T42" i="3"/>
  <c r="T748" i="3"/>
  <c r="T846" i="3"/>
  <c r="T1136" i="3"/>
  <c r="T585" i="3"/>
  <c r="T580" i="3"/>
  <c r="T596" i="3"/>
  <c r="T776" i="3"/>
  <c r="T894" i="3"/>
  <c r="T1060" i="3"/>
  <c r="T550" i="3"/>
  <c r="T730" i="3"/>
  <c r="T416" i="3"/>
  <c r="T608" i="3"/>
  <c r="T538" i="3"/>
  <c r="T909" i="3"/>
  <c r="T1328" i="3"/>
  <c r="T1262" i="3"/>
  <c r="T896" i="3"/>
  <c r="T816" i="3"/>
  <c r="T658" i="3"/>
  <c r="T1091" i="3"/>
  <c r="T683" i="3"/>
  <c r="T694" i="3"/>
  <c r="T440" i="3"/>
  <c r="T358" i="3"/>
  <c r="T484" i="3"/>
  <c r="T485" i="3"/>
  <c r="T505" i="3"/>
  <c r="T153" i="3"/>
  <c r="T147" i="3"/>
  <c r="T425" i="3"/>
  <c r="T130" i="3"/>
  <c r="T415" i="3"/>
  <c r="T487" i="3"/>
  <c r="T1099" i="3"/>
  <c r="T782" i="3"/>
  <c r="T850" i="3"/>
  <c r="T495" i="3"/>
  <c r="T1093" i="3"/>
  <c r="T979" i="3"/>
  <c r="T1066" i="3"/>
  <c r="T1014" i="3"/>
  <c r="T659" i="3"/>
  <c r="T187" i="3"/>
  <c r="T611" i="3"/>
  <c r="T1159" i="3"/>
  <c r="T997" i="3"/>
  <c r="T483" i="3"/>
  <c r="T624" i="3"/>
  <c r="T151" i="3"/>
  <c r="T1277" i="3"/>
  <c r="T142" i="3"/>
  <c r="T212" i="3"/>
  <c r="T1367" i="3"/>
  <c r="T194" i="3"/>
  <c r="T1071" i="3"/>
  <c r="T357" i="3"/>
  <c r="T528" i="3"/>
  <c r="T516" i="3"/>
  <c r="T304" i="3"/>
  <c r="T85" i="3"/>
  <c r="T1157" i="3"/>
  <c r="T241" i="3"/>
  <c r="T1113" i="3"/>
  <c r="T1218" i="3"/>
  <c r="T1036" i="3"/>
  <c r="T922" i="3"/>
  <c r="T789" i="3"/>
  <c r="T245" i="3"/>
  <c r="T1058" i="3"/>
  <c r="T1219" i="3"/>
  <c r="T1040" i="3"/>
  <c r="T1096" i="3"/>
  <c r="T761" i="3"/>
  <c r="T1115" i="3"/>
  <c r="T990" i="3"/>
  <c r="T1190" i="3"/>
  <c r="T680" i="3"/>
  <c r="T883" i="3"/>
  <c r="T1403" i="3"/>
  <c r="T645" i="3"/>
  <c r="T51" i="3"/>
  <c r="T960" i="3"/>
  <c r="T750" i="3"/>
  <c r="T583" i="3"/>
  <c r="T1072" i="3"/>
  <c r="T90" i="3"/>
  <c r="T125" i="3"/>
  <c r="T1327" i="3"/>
  <c r="T722" i="3"/>
  <c r="T785" i="3"/>
  <c r="T1102" i="3"/>
  <c r="T496" i="3"/>
  <c r="T606" i="3"/>
  <c r="T409" i="3"/>
  <c r="T422" i="3"/>
  <c r="T500" i="3"/>
  <c r="T1227" i="3"/>
  <c r="T1125" i="3"/>
  <c r="T1257" i="3"/>
  <c r="T817" i="3"/>
  <c r="T705" i="3"/>
  <c r="T339" i="3"/>
  <c r="T1052" i="3"/>
  <c r="T514" i="3"/>
  <c r="T561" i="3"/>
  <c r="T222" i="3"/>
  <c r="T354" i="3"/>
  <c r="T393" i="3"/>
  <c r="T414" i="3"/>
  <c r="T344" i="3"/>
  <c r="T1004" i="3"/>
  <c r="T589" i="3"/>
  <c r="T488" i="3"/>
  <c r="T1189" i="3"/>
  <c r="T1064" i="3"/>
  <c r="T942" i="3"/>
  <c r="T592" i="3"/>
  <c r="T29" i="3"/>
  <c r="T758" i="3"/>
  <c r="T35" i="3"/>
  <c r="T647" i="3"/>
  <c r="T603" i="3"/>
  <c r="T777" i="3"/>
  <c r="T285" i="3"/>
  <c r="T1253" i="3"/>
  <c r="T378" i="3"/>
  <c r="T632" i="3"/>
  <c r="T196" i="3"/>
  <c r="T328" i="3"/>
  <c r="T935" i="3"/>
  <c r="T1251" i="3"/>
  <c r="T709" i="3"/>
  <c r="T145" i="3"/>
  <c r="T1193" i="3"/>
  <c r="T1021" i="3"/>
  <c r="T593" i="3"/>
  <c r="T1098" i="3"/>
  <c r="T22" i="3"/>
  <c r="T248" i="3"/>
  <c r="T1169" i="3"/>
  <c r="T384" i="3"/>
  <c r="T1250" i="3"/>
  <c r="T660" i="3"/>
  <c r="T572" i="3"/>
  <c r="T1145" i="3"/>
  <c r="T1361" i="3"/>
  <c r="T108" i="3"/>
  <c r="T1057" i="3"/>
  <c r="T1204" i="3"/>
  <c r="T1028" i="3"/>
  <c r="T96" i="3"/>
  <c r="T637" i="3"/>
  <c r="T91" i="3"/>
  <c r="T544" i="3"/>
  <c r="T1197" i="3"/>
  <c r="T976" i="3"/>
  <c r="T1080" i="3"/>
  <c r="T665" i="3"/>
  <c r="T1107" i="3"/>
  <c r="T982" i="3"/>
  <c r="T1182" i="3"/>
  <c r="T648" i="3"/>
  <c r="T859" i="3"/>
  <c r="T1094" i="3"/>
  <c r="T9" i="3"/>
  <c r="T19" i="3"/>
  <c r="T419" i="3"/>
  <c r="T775" i="3"/>
  <c r="T757" i="3"/>
  <c r="T686" i="3"/>
  <c r="T32" i="3"/>
  <c r="T697" i="3"/>
  <c r="T587" i="3"/>
  <c r="T742" i="3"/>
  <c r="T944" i="3"/>
  <c r="T400" i="3"/>
  <c r="T211" i="3"/>
  <c r="T383" i="3"/>
  <c r="T36" i="3"/>
  <c r="T463" i="3"/>
  <c r="T913" i="3"/>
  <c r="T953" i="3"/>
  <c r="T1254" i="3"/>
  <c r="T855" i="3"/>
  <c r="T684" i="3"/>
  <c r="T685" i="3"/>
  <c r="T1041" i="3"/>
  <c r="T636" i="3"/>
  <c r="T363" i="3"/>
  <c r="T669" i="3"/>
  <c r="T702" i="3"/>
  <c r="T359" i="3"/>
  <c r="T340" i="3"/>
  <c r="T336" i="3"/>
  <c r="T1196" i="3"/>
  <c r="T75" i="3"/>
  <c r="T968" i="3"/>
  <c r="T641" i="3"/>
  <c r="T1174" i="3"/>
  <c r="T787" i="3"/>
  <c r="T654" i="3"/>
  <c r="T1290" i="3"/>
  <c r="T242" i="3"/>
  <c r="T1234" i="3"/>
  <c r="T492" i="3"/>
  <c r="T1213" i="3"/>
  <c r="T1208" i="3"/>
  <c r="T355" i="3"/>
  <c r="T325" i="3"/>
  <c r="T814" i="3"/>
  <c r="T988" i="3"/>
  <c r="T631" i="3"/>
  <c r="T333" i="3"/>
  <c r="T312" i="3"/>
  <c r="T602" i="3"/>
  <c r="T11" i="3"/>
  <c r="T646" i="3"/>
  <c r="T876" i="3"/>
  <c r="T930" i="3"/>
  <c r="T551" i="3"/>
  <c r="T237" i="3"/>
  <c r="T60" i="3"/>
  <c r="T28" i="3"/>
  <c r="T923" i="3"/>
  <c r="T207" i="3"/>
  <c r="T504" i="3"/>
  <c r="T506" i="3"/>
  <c r="T594" i="3"/>
  <c r="T614" i="3"/>
  <c r="T868" i="3"/>
  <c r="T72" i="3"/>
  <c r="T214" i="3"/>
  <c r="T471" i="3"/>
  <c r="T1223" i="3"/>
  <c r="T818" i="3"/>
  <c r="T64" i="3"/>
  <c r="T581" i="3"/>
  <c r="T43" i="3"/>
  <c r="T102" i="3"/>
  <c r="T1181" i="3"/>
  <c r="T862" i="3"/>
  <c r="T534" i="3"/>
  <c r="T617" i="3"/>
  <c r="T1075" i="3"/>
  <c r="T910" i="3"/>
  <c r="T1166" i="3"/>
  <c r="T1216" i="3"/>
  <c r="T651" i="3"/>
  <c r="T797" i="3"/>
  <c r="T1078" i="3"/>
  <c r="T539" i="3"/>
  <c r="T190" i="3"/>
  <c r="T691" i="3"/>
  <c r="T559" i="3"/>
  <c r="T448" i="3"/>
  <c r="T169" i="3"/>
  <c r="T296" i="3"/>
  <c r="T434" i="3"/>
  <c r="T588" i="3"/>
  <c r="T847" i="3"/>
  <c r="T134" i="3"/>
  <c r="T753" i="3"/>
  <c r="T955" i="3"/>
  <c r="T489" i="3"/>
  <c r="T76" i="3"/>
  <c r="T1279" i="3"/>
  <c r="T1238" i="3"/>
  <c r="T1252" i="3"/>
  <c r="T1281" i="3"/>
  <c r="T701" i="3"/>
  <c r="T1067" i="3"/>
  <c r="T967" i="3"/>
  <c r="T563" i="3"/>
  <c r="T507" i="3"/>
  <c r="T413" i="3"/>
  <c r="T318" i="3"/>
  <c r="T430" i="3"/>
  <c r="T146" i="3"/>
  <c r="T320" i="3"/>
  <c r="T423" i="3"/>
  <c r="T1209" i="3"/>
  <c r="T642" i="3"/>
  <c r="T56" i="3"/>
  <c r="T1377" i="3"/>
  <c r="T27" i="3"/>
  <c r="T86" i="3"/>
  <c r="T1173" i="3"/>
  <c r="T790" i="3"/>
  <c r="T494" i="3"/>
  <c r="T601" i="3"/>
  <c r="T257" i="3"/>
  <c r="T886" i="3"/>
  <c r="T1150" i="3"/>
  <c r="T1122" i="3"/>
  <c r="T643" i="3"/>
  <c r="T1366" i="3"/>
  <c r="T866" i="3"/>
  <c r="T97" i="3"/>
  <c r="T356" i="3"/>
  <c r="T6" i="3"/>
  <c r="T688" i="3"/>
  <c r="T545" i="3"/>
  <c r="T598" i="3"/>
  <c r="T107" i="3"/>
  <c r="T255" i="3"/>
  <c r="T399" i="3"/>
  <c r="T1055" i="3"/>
  <c r="T68" i="3"/>
  <c r="T457" i="3"/>
  <c r="T67" i="3"/>
  <c r="T751" i="3"/>
  <c r="T365" i="3"/>
  <c r="T343" i="3"/>
  <c r="T48" i="3"/>
  <c r="T1165" i="3"/>
  <c r="T249" i="3"/>
  <c r="T571" i="3"/>
  <c r="T672" i="3"/>
  <c r="T537" i="3"/>
  <c r="T63" i="3"/>
  <c r="T382" i="3"/>
  <c r="T945" i="3"/>
  <c r="T981" i="3"/>
  <c r="T298" i="3"/>
  <c r="T337" i="3"/>
  <c r="T1364" i="3"/>
  <c r="T973" i="3"/>
  <c r="T577" i="3"/>
  <c r="T916" i="3"/>
  <c r="T69" i="3"/>
  <c r="T1140" i="3"/>
  <c r="T1207" i="3"/>
  <c r="T965" i="3"/>
  <c r="T590" i="3"/>
  <c r="T1400" i="3"/>
  <c r="T788" i="3"/>
  <c r="T1412" i="3"/>
  <c r="T679" i="3"/>
  <c r="T160" i="3"/>
  <c r="T498" i="3"/>
  <c r="T739" i="3"/>
  <c r="T762" i="3"/>
  <c r="T796" i="3"/>
  <c r="T1243" i="3"/>
  <c r="T933" i="3"/>
  <c r="T258" i="3"/>
  <c r="T754" i="3"/>
  <c r="T821" i="3"/>
  <c r="T1161" i="3"/>
  <c r="T428" i="3"/>
  <c r="T334" i="3"/>
  <c r="T301" i="3"/>
  <c r="T467" i="3"/>
  <c r="T564" i="3"/>
  <c r="T314" i="3"/>
  <c r="T398" i="3"/>
  <c r="T579" i="3"/>
  <c r="T309" i="3"/>
  <c r="T371" i="3"/>
  <c r="T666" i="3"/>
  <c r="T1276" i="3"/>
  <c r="T236" i="3"/>
  <c r="T1335" i="3"/>
  <c r="T854" i="3"/>
  <c r="T299" i="3"/>
  <c r="T198" i="3"/>
  <c r="T224" i="3"/>
  <c r="T733" i="3"/>
  <c r="T405" i="3"/>
  <c r="T954" i="3"/>
  <c r="T1139" i="3"/>
  <c r="T1356" i="3"/>
  <c r="T59" i="3"/>
  <c r="T995" i="3"/>
  <c r="T1053" i="3"/>
  <c r="T407" i="3"/>
  <c r="T1103" i="3"/>
  <c r="T1112" i="3"/>
  <c r="T663" i="3"/>
  <c r="T798" i="3"/>
  <c r="T1265" i="3"/>
  <c r="T707" i="3"/>
  <c r="T620" i="3"/>
  <c r="T1097" i="3"/>
  <c r="T204" i="3"/>
  <c r="T634" i="3"/>
  <c r="T139" i="3"/>
  <c r="T996" i="3"/>
  <c r="T452" i="3"/>
  <c r="T259" i="3"/>
  <c r="T92" i="3"/>
  <c r="T271" i="3"/>
  <c r="T844" i="3"/>
  <c r="T871" i="3"/>
  <c r="T1263" i="3"/>
  <c r="T508" i="3"/>
  <c r="T511" i="3"/>
  <c r="T124" i="3"/>
  <c r="T1048" i="3"/>
  <c r="T795" i="3"/>
  <c r="T1248" i="3"/>
  <c r="T406" i="3"/>
  <c r="T335" i="3"/>
  <c r="T219" i="3"/>
  <c r="T47" i="3"/>
  <c r="T1387" i="3"/>
  <c r="T1321" i="3"/>
  <c r="T1179" i="3"/>
  <c r="T1201" i="3"/>
  <c r="T330" i="3"/>
  <c r="T195" i="3"/>
  <c r="T1365" i="3"/>
  <c r="T1386" i="3"/>
  <c r="T439" i="3"/>
  <c r="T53" i="3"/>
  <c r="T1042" i="3"/>
  <c r="T1191" i="3"/>
  <c r="T957" i="3"/>
  <c r="T566" i="3"/>
  <c r="T1045" i="3"/>
  <c r="T764" i="3"/>
  <c r="T1090" i="3"/>
  <c r="T1385" i="3"/>
  <c r="T1410" i="3"/>
  <c r="T230" i="3"/>
  <c r="T95" i="3"/>
  <c r="T555" i="3"/>
  <c r="T558" i="3"/>
  <c r="T692" i="3"/>
  <c r="T836" i="3"/>
  <c r="T808" i="3"/>
  <c r="T74" i="3"/>
  <c r="T607" i="3"/>
  <c r="T698" i="3"/>
  <c r="T895" i="3"/>
  <c r="T141" i="3"/>
  <c r="T820" i="3"/>
  <c r="T1018" i="3"/>
  <c r="T1342" i="3"/>
  <c r="T144" i="3"/>
  <c r="T385" i="3"/>
  <c r="T778" i="3"/>
  <c r="T137" i="3"/>
  <c r="T573" i="3"/>
  <c r="T319" i="3"/>
  <c r="T287" i="3"/>
  <c r="T395" i="3"/>
  <c r="T732" i="3"/>
  <c r="T513" i="3"/>
  <c r="T565" i="3"/>
  <c r="T1111" i="3"/>
  <c r="T1120" i="3"/>
  <c r="T262" i="3"/>
  <c r="T703" i="3"/>
  <c r="T284" i="3"/>
  <c r="T888" i="3"/>
  <c r="T441" i="3"/>
  <c r="T1105" i="3"/>
  <c r="T989" i="3"/>
  <c r="T15" i="3"/>
  <c r="T173" i="3"/>
  <c r="T626" i="3"/>
  <c r="T1047" i="3"/>
  <c r="T100" i="3"/>
  <c r="T380" i="3"/>
  <c r="T826" i="3"/>
  <c r="T1217" i="3"/>
  <c r="T317" i="3"/>
  <c r="T180" i="3"/>
  <c r="T1089" i="3"/>
  <c r="T901" i="3"/>
  <c r="T578" i="3"/>
  <c r="T8" i="3"/>
  <c r="T903" i="3"/>
  <c r="T804" i="3"/>
  <c r="T327" i="3"/>
  <c r="T560" i="3"/>
  <c r="T103" i="3"/>
  <c r="T1108" i="3"/>
  <c r="T386" i="3"/>
  <c r="T52" i="3"/>
  <c r="T1205" i="3"/>
  <c r="T431" i="3"/>
  <c r="T455" i="3"/>
  <c r="T807" i="3"/>
  <c r="T526" i="3"/>
  <c r="T20" i="3"/>
  <c r="T1146" i="3"/>
  <c r="T622" i="3"/>
  <c r="T391" i="3"/>
  <c r="T791" i="3"/>
  <c r="T473" i="3"/>
  <c r="T908" i="3"/>
  <c r="T1026" i="3"/>
  <c r="T1167" i="3"/>
  <c r="T941" i="3"/>
  <c r="T1376" i="3"/>
  <c r="T1171" i="3"/>
  <c r="T740" i="3"/>
  <c r="T480" i="3"/>
  <c r="T1405" i="3"/>
  <c r="T193" i="3"/>
  <c r="T721" i="3"/>
  <c r="T275" i="3"/>
  <c r="T246" i="3"/>
  <c r="T263" i="3"/>
  <c r="T771" i="3"/>
  <c r="T1294" i="3"/>
  <c r="T33" i="3"/>
  <c r="T536" i="3"/>
  <c r="T1156" i="3"/>
  <c r="T907" i="3"/>
  <c r="T656" i="3"/>
  <c r="T805" i="3"/>
  <c r="T570" i="3"/>
  <c r="T700" i="3"/>
  <c r="T1151" i="3"/>
  <c r="T925" i="3"/>
  <c r="T1163" i="3"/>
  <c r="T408" i="3"/>
  <c r="T552" i="3"/>
  <c r="T501" i="3"/>
  <c r="T294" i="3"/>
  <c r="T529" i="3"/>
  <c r="T468" i="3"/>
  <c r="T1001" i="3"/>
  <c r="T1289" i="3"/>
  <c r="T948" i="3"/>
  <c r="T520" i="3"/>
  <c r="T1354" i="3"/>
  <c r="T1236" i="3"/>
  <c r="T1291" i="3"/>
  <c r="T293" i="3"/>
  <c r="T926" i="3"/>
  <c r="T367" i="3"/>
  <c r="T1396" i="3"/>
  <c r="T1131" i="3"/>
  <c r="T113" i="3"/>
  <c r="T17" i="3"/>
  <c r="T253" i="3"/>
  <c r="T421" i="3"/>
  <c r="T369" i="3"/>
  <c r="T267" i="3"/>
  <c r="T217" i="3"/>
  <c r="T569" i="3"/>
  <c r="T755" i="3"/>
  <c r="T794" i="3"/>
  <c r="T1264" i="3"/>
  <c r="T188" i="3"/>
  <c r="T1039" i="3"/>
  <c r="T140" i="3"/>
  <c r="T133" i="3"/>
  <c r="T917" i="3"/>
  <c r="T710" i="3"/>
  <c r="T1031" i="3"/>
  <c r="T84" i="3"/>
  <c r="T1389" i="3"/>
  <c r="T943" i="3"/>
  <c r="T189" i="3"/>
  <c r="T1087" i="3"/>
  <c r="T129" i="3"/>
  <c r="T1344" i="3"/>
  <c r="T1360" i="3"/>
  <c r="T938" i="3"/>
  <c r="T865" i="3"/>
  <c r="T783" i="3"/>
  <c r="T994" i="3"/>
  <c r="T348" i="3"/>
  <c r="T853" i="3"/>
  <c r="T62" i="3"/>
  <c r="T822" i="3"/>
  <c r="T956" i="3"/>
  <c r="T1274" i="3"/>
  <c r="T165" i="3"/>
  <c r="T426" i="3"/>
  <c r="T586" i="3"/>
  <c r="T970" i="3"/>
  <c r="T1135" i="3"/>
  <c r="T875" i="3"/>
  <c r="T1176" i="3"/>
  <c r="T1155" i="3"/>
  <c r="T1268" i="3"/>
  <c r="T376" i="3"/>
  <c r="T535" i="3"/>
  <c r="T46" i="3"/>
  <c r="T362" i="3"/>
  <c r="T291" i="3"/>
  <c r="T591" i="3"/>
  <c r="T932" i="3"/>
  <c r="T1350" i="3"/>
  <c r="T676" i="3"/>
  <c r="T201" i="3"/>
  <c r="T1296" i="3"/>
  <c r="T978" i="3"/>
  <c r="T819" i="3"/>
  <c r="T690" i="3"/>
  <c r="T524" i="3"/>
  <c r="T429" i="3"/>
  <c r="T163" i="3"/>
  <c r="T502" i="3"/>
  <c r="T554" i="3"/>
  <c r="T962" i="3"/>
  <c r="T1127" i="3"/>
  <c r="T867" i="3"/>
  <c r="T1152" i="3"/>
  <c r="T1147" i="3"/>
  <c r="T1244" i="3"/>
  <c r="T360" i="3"/>
  <c r="T37" i="3"/>
  <c r="T650" i="3"/>
  <c r="T290" i="3"/>
  <c r="T438" i="3"/>
  <c r="T1228" i="3"/>
  <c r="T155" i="3"/>
  <c r="T338" i="3"/>
  <c r="T1283" i="3"/>
  <c r="T1013" i="3"/>
  <c r="T221" i="3"/>
  <c r="T1109" i="3"/>
  <c r="T1282" i="3"/>
  <c r="T640" i="3"/>
  <c r="T332" i="3"/>
  <c r="T1275" i="3"/>
  <c r="T1206" i="3"/>
  <c r="T553" i="3"/>
  <c r="T50" i="3"/>
  <c r="T961" i="3"/>
  <c r="T1212" i="3"/>
  <c r="T178" i="3"/>
  <c r="T1369" i="3"/>
  <c r="T949" i="3"/>
  <c r="T80" i="3"/>
  <c r="T191" i="3"/>
  <c r="T171" i="3"/>
  <c r="T346" i="3"/>
  <c r="T1395" i="3"/>
  <c r="T209" i="3"/>
  <c r="T24" i="3"/>
  <c r="T117" i="3"/>
  <c r="T824" i="3"/>
  <c r="T341" i="3"/>
  <c r="T235" i="3"/>
  <c r="T879" i="3"/>
  <c r="T972" i="3"/>
  <c r="T674" i="3"/>
  <c r="T1160" i="3"/>
  <c r="T156" i="3"/>
  <c r="T861" i="3"/>
  <c r="T114" i="3"/>
  <c r="T88" i="3"/>
  <c r="T848" i="3"/>
  <c r="T1124" i="3"/>
  <c r="T403" i="3"/>
  <c r="T521" i="3"/>
  <c r="T1336" i="3"/>
  <c r="T98" i="3"/>
  <c r="T863" i="3"/>
  <c r="T1359" i="3"/>
  <c r="T1399" i="3"/>
  <c r="T1380" i="3"/>
  <c r="T809" i="3"/>
  <c r="T713" i="3"/>
  <c r="T1050" i="3"/>
  <c r="T331" i="3"/>
  <c r="T1051" i="3"/>
  <c r="T316" i="3"/>
  <c r="T837" i="3"/>
  <c r="T610" i="3"/>
  <c r="T329" i="3"/>
  <c r="T759" i="3"/>
  <c r="T1226" i="3"/>
  <c r="T121" i="3"/>
  <c r="T687" i="3"/>
  <c r="T864" i="3"/>
  <c r="T834" i="3"/>
  <c r="T1016" i="3"/>
  <c r="T1027" i="3"/>
  <c r="T531" i="3"/>
  <c r="T1285" i="3"/>
  <c r="T392" i="3"/>
  <c r="T735" i="3"/>
  <c r="T300" i="3"/>
  <c r="T1381" i="3"/>
  <c r="T1382" i="3"/>
  <c r="T1407" i="3"/>
  <c r="T264" i="3"/>
  <c r="T1068" i="3"/>
  <c r="T82" i="3"/>
  <c r="T726" i="3"/>
  <c r="T1362" i="3"/>
  <c r="T472" i="3"/>
  <c r="T681" i="3"/>
  <c r="T1272" i="3"/>
  <c r="T975" i="3"/>
  <c r="T696" i="3"/>
  <c r="T73" i="3"/>
  <c r="T1331" i="3"/>
  <c r="T1397" i="3"/>
  <c r="T964" i="3"/>
  <c r="T345" i="3"/>
  <c r="T770" i="3"/>
  <c r="T725" i="3"/>
  <c r="T466" i="3"/>
  <c r="T987" i="3"/>
  <c r="T527" i="3"/>
  <c r="T1164" i="3"/>
  <c r="T1408" i="3"/>
  <c r="T767" i="3"/>
  <c r="T1170" i="3"/>
  <c r="T302" i="3"/>
  <c r="T633" i="3"/>
  <c r="T1304" i="3"/>
  <c r="T157" i="3"/>
  <c r="T87" i="3"/>
  <c r="T1202" i="3"/>
  <c r="T612" i="3"/>
  <c r="T779" i="3"/>
  <c r="T768" i="3"/>
  <c r="T172" i="3"/>
  <c r="T1011" i="3"/>
  <c r="T118" i="3"/>
  <c r="T1003" i="3"/>
  <c r="T719" i="3"/>
  <c r="T974" i="3"/>
  <c r="T829" i="3"/>
  <c r="T10" i="3"/>
  <c r="T911" i="3"/>
  <c r="T667" i="3"/>
  <c r="T127" i="3"/>
  <c r="T1269" i="3"/>
  <c r="T830" i="3"/>
  <c r="T381" i="3"/>
  <c r="T727" i="3"/>
  <c r="T486" i="3"/>
  <c r="T786" i="3"/>
  <c r="T227" i="3"/>
  <c r="T1355" i="3"/>
  <c r="T401" i="3"/>
  <c r="T815" i="3"/>
  <c r="T543" i="3"/>
  <c r="T889" i="3"/>
  <c r="T315" i="3"/>
  <c r="T203" i="3"/>
  <c r="T1220" i="3"/>
  <c r="T177" i="3"/>
  <c r="H6" i="1"/>
  <c r="H4" i="1"/>
  <c r="H9" i="1"/>
  <c r="H8" i="1"/>
  <c r="H13" i="1" l="1"/>
  <c r="H17" i="1" l="1"/>
  <c r="H16" i="1"/>
  <c r="H19" i="1"/>
  <c r="H20" i="1"/>
  <c r="H15" i="1"/>
  <c r="H11" i="1" l="1"/>
  <c r="H12" i="1" l="1"/>
  <c r="H10" i="1"/>
  <c r="H7" i="1"/>
  <c r="H14" i="1"/>
  <c r="H5" i="1"/>
  <c r="B3" i="4" l="1"/>
  <c r="F7" i="5"/>
  <c r="F8" i="5" s="1"/>
  <c r="H21" i="1"/>
  <c r="H2" i="1"/>
  <c r="H3" i="1"/>
  <c r="F16" i="5" l="1"/>
  <c r="F13" i="5"/>
  <c r="B2" i="5" l="1"/>
  <c r="B4" i="4" l="1"/>
  <c r="U81" i="3" l="1"/>
  <c r="U77" i="3"/>
  <c r="U43" i="3"/>
  <c r="U103" i="3"/>
  <c r="U25" i="3"/>
  <c r="U10" i="3"/>
  <c r="U58" i="3"/>
  <c r="U59" i="3"/>
  <c r="U68" i="3"/>
  <c r="U23" i="3"/>
  <c r="U47" i="3"/>
  <c r="U9" i="3"/>
  <c r="U19" i="3"/>
  <c r="U6" i="3"/>
  <c r="U24" i="3"/>
  <c r="U39" i="3"/>
  <c r="U108" i="3"/>
  <c r="U26" i="3"/>
  <c r="U87" i="3"/>
  <c r="U88" i="3"/>
  <c r="U95" i="3"/>
  <c r="U90" i="3"/>
  <c r="U72" i="3"/>
  <c r="U76" i="3"/>
  <c r="U37" i="3"/>
  <c r="U80" i="3"/>
  <c r="U55" i="3"/>
  <c r="U84" i="3"/>
  <c r="U104" i="3"/>
  <c r="U53" i="3"/>
  <c r="U33" i="3"/>
  <c r="U18" i="3"/>
  <c r="U21" i="3"/>
  <c r="U121" i="3"/>
  <c r="U113" i="3"/>
  <c r="U56" i="3"/>
  <c r="U110" i="3"/>
  <c r="U16" i="3"/>
  <c r="U109" i="3"/>
  <c r="U105" i="3"/>
  <c r="U111" i="3"/>
  <c r="U15" i="3"/>
  <c r="U13" i="3"/>
  <c r="U22" i="3"/>
  <c r="U49" i="3"/>
  <c r="U31" i="3"/>
  <c r="U117" i="3"/>
  <c r="U38" i="3"/>
  <c r="U101" i="3"/>
  <c r="U86" i="3"/>
  <c r="U14" i="3"/>
  <c r="U120" i="3"/>
  <c r="U7" i="3"/>
  <c r="U62" i="3"/>
  <c r="U70" i="3"/>
  <c r="U96" i="3"/>
  <c r="U94" i="3"/>
  <c r="U71" i="3"/>
  <c r="U63" i="3"/>
  <c r="U75" i="3"/>
  <c r="U91" i="3"/>
  <c r="U46" i="3"/>
  <c r="U65" i="3"/>
  <c r="U36" i="3"/>
  <c r="U5" i="3"/>
  <c r="U61" i="3"/>
  <c r="U11" i="3"/>
  <c r="U122" i="3"/>
  <c r="U35" i="3"/>
  <c r="U102" i="3"/>
  <c r="U17" i="3"/>
  <c r="U73" i="3"/>
  <c r="U51" i="3"/>
  <c r="U2" i="3"/>
  <c r="U64" i="3"/>
  <c r="U107" i="3"/>
  <c r="U4" i="3"/>
  <c r="U44" i="3"/>
  <c r="U66" i="3"/>
  <c r="U100" i="3"/>
  <c r="U98" i="3"/>
  <c r="U74" i="3"/>
  <c r="U28" i="3"/>
  <c r="U114" i="3"/>
  <c r="U40" i="3"/>
  <c r="U48" i="3"/>
  <c r="U60" i="3"/>
  <c r="U82" i="3"/>
  <c r="U106" i="3"/>
  <c r="U92" i="3"/>
  <c r="U78" i="3"/>
  <c r="U34" i="3"/>
  <c r="U54" i="3"/>
  <c r="U57" i="3"/>
  <c r="U52" i="3"/>
  <c r="U123" i="3"/>
  <c r="U12" i="3"/>
  <c r="U8" i="3"/>
  <c r="U30" i="3"/>
  <c r="U41" i="3"/>
  <c r="U42" i="3"/>
  <c r="U45" i="3"/>
  <c r="U99" i="3"/>
  <c r="U69" i="3"/>
  <c r="U79" i="3"/>
  <c r="U83" i="3"/>
  <c r="U67" i="3"/>
  <c r="U27" i="3"/>
  <c r="U29" i="3"/>
  <c r="U20" i="3"/>
  <c r="U3" i="3"/>
  <c r="U50" i="3"/>
  <c r="U97" i="3"/>
  <c r="U32" i="3"/>
  <c r="U118" i="3"/>
  <c r="U85" i="3"/>
  <c r="U112" i="3"/>
  <c r="U119" i="3"/>
  <c r="U93" i="3"/>
  <c r="U89" i="3"/>
  <c r="B5" i="4"/>
  <c r="U1436" i="3" s="1"/>
  <c r="U729" i="3" l="1"/>
  <c r="U141" i="3"/>
  <c r="U205" i="3"/>
  <c r="U139" i="3"/>
  <c r="U523" i="3"/>
  <c r="U558" i="3"/>
  <c r="U351" i="3"/>
  <c r="U825" i="3"/>
  <c r="U701" i="3"/>
  <c r="U715" i="3"/>
  <c r="U304" i="3"/>
  <c r="U700" i="3"/>
  <c r="U617" i="3"/>
  <c r="U824" i="3"/>
  <c r="U175" i="3"/>
  <c r="U402" i="3"/>
  <c r="U807" i="3"/>
  <c r="U292" i="3"/>
  <c r="U296" i="3"/>
  <c r="U724" i="3"/>
  <c r="U563" i="3"/>
  <c r="U373" i="3"/>
  <c r="U400" i="3"/>
  <c r="U619" i="3"/>
  <c r="U213" i="3"/>
  <c r="U428" i="3"/>
  <c r="U157" i="3"/>
  <c r="U744" i="3"/>
  <c r="U412" i="3"/>
  <c r="U463" i="3"/>
  <c r="U599" i="3"/>
  <c r="U263" i="3"/>
  <c r="U841" i="3"/>
  <c r="U199" i="3"/>
  <c r="U159" i="3"/>
  <c r="U203" i="3"/>
  <c r="U808" i="3"/>
  <c r="U690" i="3"/>
  <c r="U348" i="3"/>
  <c r="U860" i="3"/>
  <c r="U781" i="3"/>
  <c r="U285" i="3"/>
  <c r="U629" i="3"/>
  <c r="U352" i="3"/>
  <c r="U732" i="3"/>
  <c r="U140" i="3"/>
  <c r="U439" i="3"/>
  <c r="U493" i="3"/>
  <c r="U672" i="3"/>
  <c r="U408" i="3"/>
  <c r="U716" i="3"/>
  <c r="U607" i="3"/>
  <c r="U575" i="3"/>
  <c r="U237" i="3"/>
  <c r="U366" i="3"/>
  <c r="U433" i="3"/>
  <c r="U602" i="3"/>
  <c r="U451" i="3"/>
  <c r="U632" i="3"/>
  <c r="U268" i="3"/>
  <c r="U668" i="3"/>
  <c r="U418" i="3"/>
  <c r="U658" i="3"/>
  <c r="U557" i="3"/>
  <c r="U756" i="3"/>
  <c r="U683" i="3"/>
  <c r="U427" i="3"/>
  <c r="U889" i="3"/>
  <c r="U677" i="3"/>
  <c r="U693" i="3"/>
  <c r="U695" i="3"/>
  <c r="U136" i="3"/>
  <c r="U859" i="3"/>
  <c r="U652" i="3"/>
  <c r="U426" i="3"/>
  <c r="U245" i="3"/>
  <c r="U215" i="3"/>
  <c r="U547" i="3"/>
  <c r="U415" i="3"/>
  <c r="U881" i="3"/>
  <c r="U655" i="3"/>
  <c r="U522" i="3"/>
  <c r="U249" i="3"/>
  <c r="U818" i="3"/>
  <c r="U465" i="3"/>
  <c r="U224" i="3"/>
  <c r="U488" i="3"/>
  <c r="U324" i="3"/>
  <c r="U401" i="3"/>
  <c r="U430" i="3"/>
  <c r="U396" i="3"/>
  <c r="U513" i="3"/>
  <c r="U776" i="3"/>
  <c r="U639" i="3"/>
  <c r="U490" i="3"/>
  <c r="U1465" i="3"/>
  <c r="U1445" i="3"/>
  <c r="U1477" i="3"/>
  <c r="U1463" i="3"/>
  <c r="U823" i="3"/>
  <c r="U770" i="3"/>
  <c r="U505" i="3"/>
  <c r="U569" i="3"/>
  <c r="U533" i="3"/>
  <c r="U210" i="3"/>
  <c r="U248" i="3"/>
  <c r="U796" i="3"/>
  <c r="U625" i="3"/>
  <c r="U423" i="3"/>
  <c r="U318" i="3"/>
  <c r="U760" i="3"/>
  <c r="U124" i="3"/>
  <c r="U301" i="3"/>
  <c r="U385" i="3"/>
  <c r="U880" i="3"/>
  <c r="U681" i="3"/>
  <c r="U890" i="3"/>
  <c r="U888" i="3"/>
  <c r="U708" i="3"/>
  <c r="U424" i="3"/>
  <c r="U238" i="3"/>
  <c r="U374" i="3"/>
  <c r="U197" i="3"/>
  <c r="U755" i="3"/>
  <c r="U514" i="3"/>
  <c r="U183" i="3"/>
  <c r="U212" i="3"/>
  <c r="U538" i="3"/>
  <c r="U545" i="3"/>
  <c r="U1511" i="3"/>
  <c r="U154" i="3"/>
  <c r="U282" i="3"/>
  <c r="U414" i="3"/>
  <c r="U511" i="3"/>
  <c r="U510" i="3"/>
  <c r="U207" i="3"/>
  <c r="U873" i="3"/>
  <c r="U158" i="3"/>
  <c r="U496" i="3"/>
  <c r="U267" i="3"/>
  <c r="U779" i="3"/>
  <c r="U737" i="3"/>
  <c r="U125" i="3"/>
  <c r="U461" i="3"/>
  <c r="U718" i="3"/>
  <c r="U642" i="3"/>
  <c r="U193" i="3"/>
  <c r="U1096" i="3"/>
  <c r="U368" i="3"/>
  <c r="U644" i="3"/>
  <c r="U506" i="3"/>
  <c r="U696" i="3"/>
  <c r="U445" i="3"/>
  <c r="U229" i="3"/>
  <c r="U832" i="3"/>
  <c r="U606" i="3"/>
  <c r="U793" i="3"/>
  <c r="U612" i="3"/>
  <c r="U802" i="3"/>
  <c r="U1540" i="3"/>
  <c r="U1447" i="3"/>
  <c r="U682" i="3"/>
  <c r="U1483" i="3"/>
  <c r="U875" i="3"/>
  <c r="U343" i="3"/>
  <c r="U171" i="3"/>
  <c r="U576" i="3"/>
  <c r="U613" i="3"/>
  <c r="U764" i="3"/>
  <c r="U598" i="3"/>
  <c r="U497" i="3"/>
  <c r="U185" i="3"/>
  <c r="U604" i="3"/>
  <c r="U634" i="3"/>
  <c r="U457" i="3"/>
  <c r="U376" i="3"/>
  <c r="U425" i="3"/>
  <c r="U432" i="3"/>
  <c r="U869" i="3"/>
  <c r="U372" i="3"/>
  <c r="U769" i="3"/>
  <c r="U217" i="3"/>
  <c r="U390" i="3"/>
  <c r="U200" i="3"/>
  <c r="U581" i="3"/>
  <c r="U504" i="3"/>
  <c r="U198" i="3"/>
  <c r="U666" i="3"/>
  <c r="U371" i="3"/>
  <c r="U289" i="3"/>
  <c r="U811" i="3"/>
  <c r="U260" i="3"/>
  <c r="U410" i="3"/>
  <c r="U321" i="3"/>
  <c r="U520" i="3"/>
  <c r="U216" i="3"/>
  <c r="U858" i="3"/>
  <c r="U827" i="3"/>
  <c r="U852" i="3"/>
  <c r="U476" i="3"/>
  <c r="U135" i="3"/>
  <c r="U169" i="3"/>
  <c r="U593" i="3"/>
  <c r="U726" i="3"/>
  <c r="U739" i="3"/>
  <c r="U1515" i="3"/>
  <c r="U280" i="3"/>
  <c r="U168" i="3"/>
  <c r="U830" i="3"/>
  <c r="U164" i="3"/>
  <c r="U475" i="3"/>
  <c r="U615" i="3"/>
  <c r="U312" i="3"/>
  <c r="U477" i="3"/>
  <c r="U355" i="3"/>
  <c r="U603" i="3"/>
  <c r="U704" i="3"/>
  <c r="U600" i="3"/>
  <c r="U831" i="3"/>
  <c r="U126" i="3"/>
  <c r="U528" i="3"/>
  <c r="U789" i="3"/>
  <c r="U623" i="3"/>
  <c r="U134" i="3"/>
  <c r="U517" i="3"/>
  <c r="U819" i="3"/>
  <c r="U751" i="3"/>
  <c r="U358" i="3"/>
  <c r="U730" i="3"/>
  <c r="U336" i="3"/>
  <c r="U567" i="3"/>
  <c r="U1507" i="3"/>
  <c r="U1516" i="3"/>
  <c r="U1200" i="3"/>
  <c r="U1449" i="3"/>
  <c r="U1532" i="3"/>
  <c r="U941" i="3"/>
  <c r="U1419" i="3"/>
  <c r="U1440" i="3"/>
  <c r="U1467" i="3"/>
  <c r="U1514" i="3"/>
  <c r="U1425" i="3"/>
  <c r="U1453" i="3"/>
  <c r="U1441" i="3"/>
  <c r="U1414" i="3"/>
  <c r="U1487" i="3"/>
  <c r="U1493" i="3"/>
  <c r="U1472" i="3"/>
  <c r="U1360" i="3"/>
  <c r="U992" i="3"/>
  <c r="U1383" i="3"/>
  <c r="U1457" i="3"/>
  <c r="U924" i="3"/>
  <c r="U1461" i="3"/>
  <c r="U1432" i="3"/>
  <c r="U341" i="3"/>
  <c r="U633" i="3"/>
  <c r="U271" i="3"/>
  <c r="U259" i="3"/>
  <c r="U299" i="3"/>
  <c r="U264" i="3"/>
  <c r="U295" i="3"/>
  <c r="U866" i="3"/>
  <c r="U206" i="3"/>
  <c r="U1413" i="3"/>
  <c r="U1527" i="3"/>
  <c r="U1523" i="3"/>
  <c r="U1474" i="3"/>
  <c r="U1486" i="3"/>
  <c r="U839" i="3"/>
  <c r="U524" i="3"/>
  <c r="U380" i="3"/>
  <c r="U202" i="3"/>
  <c r="U757" i="3"/>
  <c r="U526" i="3"/>
  <c r="U441" i="3"/>
  <c r="U436" i="3"/>
  <c r="U861" i="3"/>
  <c r="U146" i="3"/>
  <c r="U246" i="3"/>
  <c r="U840" i="3"/>
  <c r="U689" i="3"/>
  <c r="U313" i="3"/>
  <c r="U247" i="3"/>
  <c r="U142" i="3"/>
  <c r="U540" i="3"/>
  <c r="U254" i="3"/>
  <c r="U846" i="3"/>
  <c r="U791" i="3"/>
  <c r="U397" i="3"/>
  <c r="U512" i="3"/>
  <c r="U330" i="3"/>
  <c r="U687" i="3"/>
  <c r="U950" i="3"/>
  <c r="U470" i="3"/>
  <c r="U516" i="3"/>
  <c r="U592" i="3"/>
  <c r="U597" i="3"/>
  <c r="U738" i="3"/>
  <c r="U553" i="3"/>
  <c r="U303" i="3"/>
  <c r="U466" i="3"/>
  <c r="U328" i="3"/>
  <c r="U221" i="3"/>
  <c r="U638" i="3"/>
  <c r="U1072" i="3"/>
  <c r="U323" i="3"/>
  <c r="U588" i="3"/>
  <c r="U294" i="3"/>
  <c r="U893" i="3"/>
  <c r="U194" i="3"/>
  <c r="U844" i="3"/>
  <c r="U469" i="3"/>
  <c r="U361" i="3"/>
  <c r="U1459" i="3"/>
  <c r="U1482" i="3"/>
  <c r="U1428" i="3"/>
  <c r="U1421" i="3"/>
  <c r="U1458" i="3"/>
  <c r="U792" i="3"/>
  <c r="U551" i="3"/>
  <c r="U699" i="3"/>
  <c r="U542" i="3"/>
  <c r="U447" i="3"/>
  <c r="U326" i="3"/>
  <c r="U631" i="3"/>
  <c r="U733" i="3"/>
  <c r="U273" i="3"/>
  <c r="U242" i="3"/>
  <c r="U820" i="3"/>
  <c r="U218" i="3"/>
  <c r="U150" i="3"/>
  <c r="U508" i="3"/>
  <c r="U762" i="3"/>
  <c r="U460" i="3"/>
  <c r="U721" i="3"/>
  <c r="U333" i="3"/>
  <c r="U223" i="3"/>
  <c r="U628" i="3"/>
  <c r="U438" i="3"/>
  <c r="U129" i="3"/>
  <c r="U235" i="3"/>
  <c r="U754" i="3"/>
  <c r="U837" i="3"/>
  <c r="U669" i="3"/>
  <c r="U502" i="3"/>
  <c r="U678" i="3"/>
  <c r="U503" i="3"/>
  <c r="U717" i="3"/>
  <c r="U583" i="3"/>
  <c r="U877" i="3"/>
  <c r="U378" i="3"/>
  <c r="U287" i="3"/>
  <c r="U386" i="3"/>
  <c r="U1475" i="3"/>
  <c r="U1513" i="3"/>
  <c r="U1479" i="3"/>
  <c r="U1469" i="3"/>
  <c r="U1480" i="3"/>
  <c r="U431" i="3"/>
  <c r="U406" i="3"/>
  <c r="U611" i="3"/>
  <c r="U405" i="3"/>
  <c r="U383" i="3"/>
  <c r="U667" i="3"/>
  <c r="U747" i="3"/>
  <c r="U145" i="3"/>
  <c r="U595" i="3"/>
  <c r="U777" i="3"/>
  <c r="U854" i="3"/>
  <c r="U515" i="3"/>
  <c r="U627" i="3"/>
  <c r="U848" i="3"/>
  <c r="U1408" i="3"/>
  <c r="U692" i="3"/>
  <c r="U530" i="3"/>
  <c r="U160" i="3"/>
  <c r="U444" i="3"/>
  <c r="U275" i="3"/>
  <c r="U363" i="3"/>
  <c r="U239" i="3"/>
  <c r="U694" i="3"/>
  <c r="U453" i="3"/>
  <c r="U698" i="3"/>
  <c r="U661" i="3"/>
  <c r="U472" i="3"/>
  <c r="U707" i="3"/>
  <c r="U626" i="3"/>
  <c r="U710" i="3"/>
  <c r="U879" i="3"/>
  <c r="U398" i="3"/>
  <c r="U584" i="3"/>
  <c r="U156" i="3"/>
  <c r="U749" i="3"/>
  <c r="U759" i="3"/>
  <c r="U591" i="3"/>
  <c r="U532" i="3"/>
  <c r="U842" i="3"/>
  <c r="U244" i="3"/>
  <c r="U585" i="3"/>
  <c r="U878" i="3"/>
  <c r="U665" i="3"/>
  <c r="U1535" i="3"/>
  <c r="U1443" i="3"/>
  <c r="U1525" i="3"/>
  <c r="U1517" i="3"/>
  <c r="U885" i="3"/>
  <c r="U1437" i="3"/>
  <c r="U1424" i="3"/>
  <c r="U1470" i="3"/>
  <c r="U1542" i="3"/>
  <c r="U1524" i="3"/>
  <c r="U1497" i="3"/>
  <c r="U1464" i="3"/>
  <c r="U1460" i="3"/>
  <c r="U479" i="3"/>
  <c r="U790" i="3"/>
  <c r="U750" i="3"/>
  <c r="U674" i="3"/>
  <c r="U419" i="3"/>
  <c r="U281" i="3"/>
  <c r="U308" i="3"/>
  <c r="U161" i="3"/>
  <c r="U165" i="3"/>
  <c r="U812" i="3"/>
  <c r="U970" i="3"/>
  <c r="U656" i="3"/>
  <c r="U331" i="3"/>
  <c r="U266" i="3"/>
  <c r="U765" i="3"/>
  <c r="U562" i="3"/>
  <c r="U316" i="3"/>
  <c r="U455" i="3"/>
  <c r="U548" i="3"/>
  <c r="U829" i="3"/>
  <c r="U459" i="3"/>
  <c r="U182" i="3"/>
  <c r="U382" i="3"/>
  <c r="U874" i="3"/>
  <c r="U727" i="3"/>
  <c r="U821" i="3"/>
  <c r="U443" i="3"/>
  <c r="U166" i="3"/>
  <c r="U748" i="3"/>
  <c r="U580" i="3"/>
  <c r="U549" i="3"/>
  <c r="U300" i="3"/>
  <c r="U892" i="3"/>
  <c r="U541" i="3"/>
  <c r="U272" i="3"/>
  <c r="U340" i="3"/>
  <c r="U334" i="3"/>
  <c r="U180" i="3"/>
  <c r="U403" i="3"/>
  <c r="U546" i="3"/>
  <c r="U746" i="3"/>
  <c r="U315" i="3"/>
  <c r="U826" i="3"/>
  <c r="U822" i="3"/>
  <c r="U774" i="3"/>
  <c r="U883" i="3"/>
  <c r="U186" i="3"/>
  <c r="U685" i="3"/>
  <c r="U265" i="3"/>
  <c r="U435" i="3"/>
  <c r="U641" i="3"/>
  <c r="U151" i="3"/>
  <c r="U384" i="3"/>
  <c r="U454" i="3"/>
  <c r="U660" i="3"/>
  <c r="U702" i="3"/>
  <c r="U697" i="3"/>
  <c r="U132" i="3"/>
  <c r="U525" i="3"/>
  <c r="U571" i="3"/>
  <c r="U867" i="3"/>
  <c r="U561" i="3"/>
  <c r="U799" i="3"/>
  <c r="U381" i="3"/>
  <c r="U814" i="3"/>
  <c r="U763" i="3"/>
  <c r="U680" i="3"/>
  <c r="U187" i="3"/>
  <c r="U1473" i="3"/>
  <c r="U786" i="3"/>
  <c r="U349" i="3"/>
  <c r="U686" i="3"/>
  <c r="U188" i="3"/>
  <c r="U387" i="3"/>
  <c r="U421" i="3"/>
  <c r="U138" i="3"/>
  <c r="U1530" i="3"/>
  <c r="U1505" i="3"/>
  <c r="U1476" i="3"/>
  <c r="U1454" i="3"/>
  <c r="U1498" i="3"/>
  <c r="U1506" i="3"/>
  <c r="U1484" i="3"/>
  <c r="U1501" i="3"/>
  <c r="U1384" i="3"/>
  <c r="U673" i="3"/>
  <c r="U279" i="3"/>
  <c r="U458" i="3"/>
  <c r="U290" i="3"/>
  <c r="U610" i="3"/>
  <c r="U651" i="3"/>
  <c r="U440" i="3"/>
  <c r="U226" i="3"/>
  <c r="U663" i="3"/>
  <c r="U862" i="3"/>
  <c r="U305" i="3"/>
  <c r="U250" i="3"/>
  <c r="U684" i="3"/>
  <c r="U752" i="3"/>
  <c r="U835" i="3"/>
  <c r="U728" i="3"/>
  <c r="U800" i="3"/>
  <c r="U720" i="3"/>
  <c r="U228" i="3"/>
  <c r="U240" i="3"/>
  <c r="U1333" i="3"/>
  <c r="U743" i="3"/>
  <c r="U362" i="3"/>
  <c r="U712" i="3"/>
  <c r="U622" i="3"/>
  <c r="U311" i="3"/>
  <c r="U566" i="3"/>
  <c r="U307" i="3"/>
  <c r="U1452" i="3"/>
  <c r="U1489" i="3"/>
  <c r="U1529" i="3"/>
  <c r="U1438" i="3"/>
  <c r="U1466" i="3"/>
  <c r="U1430" i="3"/>
  <c r="U1420" i="3"/>
  <c r="U1538" i="3"/>
  <c r="U1496" i="3"/>
  <c r="U190" i="3"/>
  <c r="U481" i="3"/>
  <c r="U509" i="3"/>
  <c r="U688" i="3"/>
  <c r="U389" i="3"/>
  <c r="U537" i="3"/>
  <c r="U232" i="3"/>
  <c r="U162" i="3"/>
  <c r="U181" i="3"/>
  <c r="U559" i="3"/>
  <c r="U573" i="3"/>
  <c r="U646" i="3"/>
  <c r="U768" i="3"/>
  <c r="U448" i="3"/>
  <c r="U653" i="3"/>
  <c r="U851" i="3"/>
  <c r="U256" i="3"/>
  <c r="U219" i="3"/>
  <c r="U456" i="3"/>
  <c r="U176" i="3"/>
  <c r="U353" i="3"/>
  <c r="U767" i="3"/>
  <c r="U705" i="3"/>
  <c r="U589" i="3"/>
  <c r="U189" i="3"/>
  <c r="U773" i="3"/>
  <c r="U643" i="3"/>
  <c r="U659" i="3"/>
  <c r="U636" i="3"/>
  <c r="U507" i="3"/>
  <c r="U536" i="3"/>
  <c r="U809" i="3"/>
  <c r="U529" i="3"/>
  <c r="U552" i="3"/>
  <c r="U220" i="3"/>
  <c r="U184" i="3"/>
  <c r="U887" i="3"/>
  <c r="U345" i="3"/>
  <c r="U803" i="3"/>
  <c r="U596" i="3"/>
  <c r="U782" i="3"/>
  <c r="U853" i="3"/>
  <c r="U446" i="3"/>
  <c r="U257" i="3"/>
  <c r="U178" i="3"/>
  <c r="U574" i="3"/>
  <c r="U868" i="3"/>
  <c r="U871" i="3"/>
  <c r="U486" i="3"/>
  <c r="U258" i="3"/>
  <c r="U531" i="3"/>
  <c r="U843" i="3"/>
  <c r="U411" i="3"/>
  <c r="U1537" i="3"/>
  <c r="U1541" i="3"/>
  <c r="U1433" i="3"/>
  <c r="U1500" i="3"/>
  <c r="U1536" i="3"/>
  <c r="U1495" i="3"/>
  <c r="U1491" i="3"/>
  <c r="U605" i="3"/>
  <c r="U344" i="3"/>
  <c r="U144" i="3"/>
  <c r="U253" i="3"/>
  <c r="U670" i="3"/>
  <c r="U676" i="3"/>
  <c r="U741" i="3"/>
  <c r="U291" i="3"/>
  <c r="U314" i="3"/>
  <c r="U1490" i="3"/>
  <c r="U1519" i="3"/>
  <c r="U1429" i="3"/>
  <c r="U1468" i="3"/>
  <c r="U1448" i="3"/>
  <c r="U1518" i="3"/>
  <c r="U1434" i="3"/>
  <c r="U1520" i="3"/>
  <c r="U731" i="3"/>
  <c r="U449" i="3"/>
  <c r="U339" i="3"/>
  <c r="U813" i="3"/>
  <c r="U649" i="3"/>
  <c r="U554" i="3"/>
  <c r="U577" i="3"/>
  <c r="U527" i="3"/>
  <c r="U565" i="3"/>
  <c r="U234" i="3"/>
  <c r="U815" i="3"/>
  <c r="U805" i="3"/>
  <c r="U416" i="3"/>
  <c r="U209" i="3"/>
  <c r="U170" i="3"/>
  <c r="U778" i="3"/>
  <c r="U196" i="3"/>
  <c r="U288" i="3"/>
  <c r="U329" i="3"/>
  <c r="U758" i="3"/>
  <c r="U320" i="3"/>
  <c r="U494" i="3"/>
  <c r="U473" i="3"/>
  <c r="U309" i="3"/>
  <c r="U722" i="3"/>
  <c r="U347" i="3"/>
  <c r="U350" i="3"/>
  <c r="U534" i="3"/>
  <c r="U714" i="3"/>
  <c r="U357" i="3"/>
  <c r="U283" i="3"/>
  <c r="U586" i="3"/>
  <c r="U579" i="3"/>
  <c r="U201" i="3"/>
  <c r="U325" i="3"/>
  <c r="U243" i="3"/>
  <c r="U499" i="3"/>
  <c r="U152" i="3"/>
  <c r="U856" i="3"/>
  <c r="U620" i="3"/>
  <c r="U298" i="3"/>
  <c r="U614" i="3"/>
  <c r="U468" i="3"/>
  <c r="U227" i="3"/>
  <c r="U624" i="3"/>
  <c r="U788" i="3"/>
  <c r="U630" i="3"/>
  <c r="U568" i="3"/>
  <c r="U1442" i="3"/>
  <c r="U1504" i="3"/>
  <c r="U1215" i="3"/>
  <c r="U1499" i="3"/>
  <c r="U1416" i="3"/>
  <c r="U1422" i="3"/>
  <c r="U1431" i="3"/>
  <c r="U1509" i="3"/>
  <c r="U364" i="3"/>
  <c r="U276" i="3"/>
  <c r="U450" i="3"/>
  <c r="U230" i="3"/>
  <c r="U487" i="3"/>
  <c r="U360" i="3"/>
  <c r="U745" i="3"/>
  <c r="U388" i="3"/>
  <c r="U725" i="3"/>
  <c r="U828" i="3"/>
  <c r="U654" i="3"/>
  <c r="U740" i="3"/>
  <c r="U498" i="3"/>
  <c r="U409" i="3"/>
  <c r="U429" i="3"/>
  <c r="U891" i="3"/>
  <c r="U560" i="3"/>
  <c r="U420" i="3"/>
  <c r="U233" i="3"/>
  <c r="U766" i="3"/>
  <c r="U865" i="3"/>
  <c r="U261" i="3"/>
  <c r="U543" i="3"/>
  <c r="U1095" i="3"/>
  <c r="U601" i="3"/>
  <c r="U1197" i="3"/>
  <c r="U539" i="3"/>
  <c r="U647" i="3"/>
  <c r="U489" i="3"/>
  <c r="U251" i="3"/>
  <c r="U635" i="3"/>
  <c r="U167" i="3"/>
  <c r="U394" i="3"/>
  <c r="U798" i="3"/>
  <c r="U131" i="3"/>
  <c r="U671" i="3"/>
  <c r="U500" i="3"/>
  <c r="U478" i="3"/>
  <c r="U735" i="3"/>
  <c r="U128" i="3"/>
  <c r="U709" i="3"/>
  <c r="U365" i="3"/>
  <c r="U783" i="3"/>
  <c r="U849" i="3"/>
  <c r="U1426" i="3"/>
  <c r="U884" i="3"/>
  <c r="U1478" i="3"/>
  <c r="U1456" i="3"/>
  <c r="U1502" i="3"/>
  <c r="U1435" i="3"/>
  <c r="U130" i="3"/>
  <c r="U621" i="3"/>
  <c r="U177" i="3"/>
  <c r="U462" i="3"/>
  <c r="U645" i="3"/>
  <c r="U836" i="3"/>
  <c r="U570" i="3"/>
  <c r="U578" i="3"/>
  <c r="U834" i="3"/>
  <c r="U780" i="3"/>
  <c r="U269" i="3"/>
  <c r="U367" i="3"/>
  <c r="U231" i="3"/>
  <c r="U1494" i="3"/>
  <c r="U1534" i="3"/>
  <c r="U544" i="3"/>
  <c r="U375" i="3"/>
  <c r="U555" i="3"/>
  <c r="U404" i="3"/>
  <c r="U137" i="3"/>
  <c r="U719" i="3"/>
  <c r="U143" i="3"/>
  <c r="U370" i="3"/>
  <c r="U255" i="3"/>
  <c r="U284" i="3"/>
  <c r="U417" i="3"/>
  <c r="U1450" i="3"/>
  <c r="U1512" i="3"/>
  <c r="U609" i="3"/>
  <c r="U491" i="3"/>
  <c r="U392" i="3"/>
  <c r="U804" i="3"/>
  <c r="U675" i="3"/>
  <c r="U564" i="3"/>
  <c r="U1135" i="3"/>
  <c r="U225" i="3"/>
  <c r="U342" i="3"/>
  <c r="U855" i="3"/>
  <c r="U354" i="3"/>
  <c r="U691" i="3"/>
  <c r="U356" i="3"/>
  <c r="U817" i="3"/>
  <c r="U816" i="3"/>
  <c r="U204" i="3"/>
  <c r="U484" i="3"/>
  <c r="U706" i="3"/>
  <c r="U319" i="3"/>
  <c r="U379" i="3"/>
  <c r="U149" i="3"/>
  <c r="U872" i="3"/>
  <c r="U772" i="3"/>
  <c r="U711" i="3"/>
  <c r="U302" i="3"/>
  <c r="U274" i="3"/>
  <c r="U391" i="3"/>
  <c r="U480" i="3"/>
  <c r="U1471" i="3"/>
  <c r="U1444" i="3"/>
  <c r="U1418" i="3"/>
  <c r="U1488" i="3"/>
  <c r="U1427" i="3"/>
  <c r="U1492" i="3"/>
  <c r="U195" i="3"/>
  <c r="U437" i="3"/>
  <c r="U422" i="3"/>
  <c r="U1481" i="3"/>
  <c r="U485" i="3"/>
  <c r="U133" i="3"/>
  <c r="U886" i="3"/>
  <c r="U572" i="3"/>
  <c r="U163" i="3"/>
  <c r="U742" i="3"/>
  <c r="U648" i="3"/>
  <c r="U1455" i="3"/>
  <c r="U483" i="3"/>
  <c r="U590" i="3"/>
  <c r="U277" i="3"/>
  <c r="U337" i="3"/>
  <c r="U179" i="3"/>
  <c r="U153" i="3"/>
  <c r="U703" i="3"/>
  <c r="U582" i="3"/>
  <c r="U594" i="3"/>
  <c r="U413" i="3"/>
  <c r="U286" i="3"/>
  <c r="U785" i="3"/>
  <c r="U535" i="3"/>
  <c r="U395" i="3"/>
  <c r="U1415" i="3"/>
  <c r="U1508" i="3"/>
  <c r="U1423" i="3"/>
  <c r="U1503" i="3"/>
  <c r="U1446" i="3"/>
  <c r="U191" i="3"/>
  <c r="U241" i="3"/>
  <c r="U192" i="3"/>
  <c r="U452" i="3"/>
  <c r="U857" i="3"/>
  <c r="U850" i="3"/>
  <c r="U1462" i="3"/>
  <c r="U1485" i="3"/>
  <c r="U1417" i="3"/>
  <c r="U1521" i="3"/>
  <c r="U474" i="3"/>
  <c r="U208" i="3"/>
  <c r="U359" i="3"/>
  <c r="U1084" i="3"/>
  <c r="U518" i="3"/>
  <c r="U864" i="3"/>
  <c r="U338" i="3"/>
  <c r="U127" i="3"/>
  <c r="U556" i="3"/>
  <c r="U464" i="3"/>
  <c r="U495" i="3"/>
  <c r="U662" i="3"/>
  <c r="U761" i="3"/>
  <c r="U236" i="3"/>
  <c r="U174" i="3"/>
  <c r="U211" i="3"/>
  <c r="U270" i="3"/>
  <c r="U1531" i="3"/>
  <c r="U1439" i="3"/>
  <c r="U608" i="3"/>
  <c r="U771" i="3"/>
  <c r="U637" i="3"/>
  <c r="U393" i="3"/>
  <c r="U657" i="3"/>
  <c r="U734" i="3"/>
  <c r="U640" i="3"/>
  <c r="U262" i="3"/>
  <c r="U795" i="3"/>
  <c r="U787" i="3"/>
  <c r="U252" i="3"/>
  <c r="U492" i="3"/>
  <c r="U650" i="3"/>
  <c r="U293" i="3"/>
  <c r="U172" i="3"/>
  <c r="U1539" i="3"/>
  <c r="U1510" i="3"/>
  <c r="U327" i="3"/>
  <c r="U434" i="3"/>
  <c r="U616" i="3"/>
  <c r="U882" i="3"/>
  <c r="U775" i="3"/>
  <c r="U407" i="3"/>
  <c r="U519" i="3"/>
  <c r="U664" i="3"/>
  <c r="U332" i="3"/>
  <c r="U369" i="3"/>
  <c r="U317" i="3"/>
  <c r="U173" i="3"/>
  <c r="U806" i="3"/>
  <c r="U550" i="3"/>
  <c r="U482" i="3"/>
  <c r="U214" i="3"/>
  <c r="U863" i="3"/>
  <c r="U713" i="3"/>
  <c r="U810" i="3"/>
  <c r="U679" i="3"/>
  <c r="U521" i="3"/>
  <c r="U155" i="3"/>
  <c r="U222" i="3"/>
  <c r="U322" i="3"/>
  <c r="U467" i="3"/>
  <c r="U736" i="3"/>
  <c r="U801" i="3"/>
  <c r="U753" i="3"/>
  <c r="U147" i="3"/>
  <c r="U794" i="3"/>
  <c r="U148" i="3"/>
  <c r="U399" i="3"/>
  <c r="U847" i="3"/>
  <c r="U587" i="3"/>
  <c r="U723" i="3"/>
  <c r="U618" i="3"/>
  <c r="U297" i="3"/>
  <c r="U377" i="3"/>
  <c r="U797" i="3"/>
  <c r="U876" i="3"/>
  <c r="U845" i="3"/>
  <c r="U310" i="3"/>
  <c r="U346" i="3"/>
  <c r="U870" i="3"/>
  <c r="U838" i="3"/>
  <c r="U335" i="3"/>
  <c r="U471" i="3"/>
  <c r="U784" i="3"/>
  <c r="U833" i="3"/>
  <c r="U278" i="3"/>
  <c r="U306" i="3"/>
  <c r="U442" i="3"/>
  <c r="U501" i="3"/>
  <c r="U1526" i="3"/>
  <c r="U1528" i="3"/>
  <c r="U1451" i="3"/>
  <c r="U1533" i="3"/>
  <c r="U1522" i="3"/>
  <c r="U1099" i="3"/>
  <c r="U1362" i="3"/>
  <c r="U1351" i="3"/>
  <c r="U940" i="3"/>
  <c r="U1411" i="3"/>
  <c r="U1167" i="3"/>
  <c r="U1330" i="3"/>
  <c r="U1231" i="3"/>
  <c r="U1259" i="3"/>
  <c r="U1251" i="3"/>
  <c r="U989" i="3"/>
  <c r="U1062" i="3"/>
  <c r="U1071" i="3"/>
  <c r="U1357" i="3"/>
  <c r="U1035" i="3"/>
  <c r="U1128" i="3"/>
  <c r="U1104" i="3"/>
  <c r="U1087" i="3"/>
  <c r="U1090" i="3"/>
  <c r="U1021" i="3"/>
  <c r="U1297" i="3"/>
  <c r="U1116" i="3"/>
  <c r="U1262" i="3"/>
  <c r="U945" i="3"/>
  <c r="U1374" i="3"/>
  <c r="U1254" i="3"/>
  <c r="U1406" i="3"/>
  <c r="U1073" i="3"/>
  <c r="U1232" i="3"/>
  <c r="U1300" i="3"/>
  <c r="U1236" i="3"/>
  <c r="U1382" i="3"/>
  <c r="U929" i="3"/>
  <c r="U937" i="3"/>
  <c r="U1307" i="3"/>
  <c r="U927" i="3"/>
  <c r="U1080" i="3"/>
  <c r="U1077" i="3"/>
  <c r="U1377" i="3"/>
  <c r="U949" i="3"/>
  <c r="U1168" i="3"/>
  <c r="U1036" i="3"/>
  <c r="U936" i="3"/>
  <c r="U921" i="3"/>
  <c r="U978" i="3"/>
  <c r="U1228" i="3"/>
  <c r="U1079" i="3"/>
  <c r="U1227" i="3"/>
  <c r="U1058" i="3"/>
  <c r="U1344" i="3"/>
  <c r="U1318" i="3"/>
  <c r="U1325" i="3"/>
  <c r="U1217" i="3"/>
  <c r="U971" i="3"/>
  <c r="U1287" i="3"/>
  <c r="U1247" i="3"/>
  <c r="U1171" i="3"/>
  <c r="U994" i="3"/>
  <c r="U1163" i="3"/>
  <c r="U1043" i="3"/>
  <c r="U1275" i="3"/>
  <c r="U1037" i="3"/>
  <c r="U1175" i="3"/>
  <c r="U1334" i="3"/>
  <c r="U958" i="3"/>
  <c r="U1412" i="3"/>
  <c r="U1277" i="3"/>
  <c r="U1076" i="3"/>
  <c r="U1212" i="3"/>
  <c r="U1067" i="3"/>
  <c r="U1137" i="3"/>
  <c r="U1272" i="3"/>
  <c r="U1191" i="3"/>
  <c r="U1180" i="3"/>
  <c r="U1111" i="3"/>
  <c r="U1032" i="3"/>
  <c r="U1091" i="3"/>
  <c r="U1031" i="3"/>
  <c r="U1256" i="3"/>
  <c r="U1296" i="3"/>
  <c r="U1348" i="3"/>
  <c r="U1380" i="3"/>
  <c r="U1289" i="3"/>
  <c r="U1196" i="3"/>
  <c r="U920" i="3"/>
  <c r="U1265" i="3"/>
  <c r="U933" i="3"/>
  <c r="U1218" i="3"/>
  <c r="U1387" i="3"/>
  <c r="U1055" i="3"/>
  <c r="U1097" i="3"/>
  <c r="U1290" i="3"/>
  <c r="U1189" i="3"/>
  <c r="U1270" i="3"/>
  <c r="U1224" i="3"/>
  <c r="U1255" i="3"/>
  <c r="U1140" i="3"/>
  <c r="U1007" i="3"/>
  <c r="U1120" i="3"/>
  <c r="U1402" i="3"/>
  <c r="U1367" i="3"/>
  <c r="U1306" i="3"/>
  <c r="U1399" i="3"/>
  <c r="U1336" i="3"/>
  <c r="U1082" i="3"/>
  <c r="U1010" i="3"/>
  <c r="U915" i="3"/>
  <c r="U1069" i="3"/>
  <c r="U1115" i="3"/>
  <c r="U1257" i="3"/>
  <c r="U959" i="3"/>
  <c r="U1246" i="3"/>
  <c r="U1311" i="3"/>
  <c r="U1229" i="3"/>
  <c r="U1222" i="3"/>
  <c r="U898" i="3"/>
  <c r="U1346" i="3"/>
  <c r="U1314" i="3"/>
  <c r="U908" i="3"/>
  <c r="U1063" i="3"/>
  <c r="U996" i="3"/>
  <c r="U986" i="3"/>
  <c r="U1359" i="3"/>
  <c r="U1378" i="3"/>
  <c r="U899" i="3"/>
  <c r="U1047" i="3"/>
  <c r="U1000" i="3"/>
  <c r="U1064" i="3"/>
  <c r="U1122" i="3"/>
  <c r="U1388" i="3"/>
  <c r="U1340" i="3"/>
  <c r="U1385" i="3"/>
  <c r="U1094" i="3"/>
  <c r="U1182" i="3"/>
  <c r="U1083" i="3"/>
  <c r="U1114" i="3"/>
  <c r="U1066" i="3"/>
  <c r="U902" i="3"/>
  <c r="U1164" i="3"/>
  <c r="U1248" i="3"/>
  <c r="U983" i="3"/>
  <c r="U1288" i="3"/>
  <c r="U1060" i="3"/>
  <c r="U1372" i="3"/>
  <c r="U1264" i="3"/>
  <c r="U1292" i="3"/>
  <c r="U1134" i="3"/>
  <c r="U911" i="3"/>
  <c r="U1169" i="3"/>
  <c r="U1368" i="3"/>
  <c r="U1386" i="3"/>
  <c r="U1260" i="3"/>
  <c r="U1278" i="3"/>
  <c r="U1153" i="3"/>
  <c r="U1151" i="3"/>
  <c r="U1078" i="3"/>
  <c r="U952" i="3"/>
  <c r="U1341" i="3"/>
  <c r="U1309" i="3"/>
  <c r="U973" i="3"/>
  <c r="U1223" i="3"/>
  <c r="U1331" i="3"/>
  <c r="U1364" i="3"/>
  <c r="U956" i="3"/>
  <c r="U1145" i="3"/>
  <c r="U1339" i="3"/>
  <c r="U1187" i="3"/>
  <c r="U1185" i="3"/>
  <c r="U1310" i="3"/>
  <c r="U1238" i="3"/>
  <c r="U1142" i="3"/>
  <c r="U1181" i="3"/>
  <c r="U965" i="3"/>
  <c r="U1281" i="3"/>
  <c r="U1347" i="3"/>
  <c r="U960" i="3"/>
  <c r="U914" i="3"/>
  <c r="U1068" i="3"/>
  <c r="U979" i="3"/>
  <c r="U1112" i="3"/>
  <c r="U951" i="3"/>
  <c r="U1012" i="3"/>
  <c r="U1401" i="3"/>
  <c r="U955" i="3"/>
  <c r="U1230" i="3"/>
  <c r="U1396" i="3"/>
  <c r="U1328" i="3"/>
  <c r="U903" i="3"/>
  <c r="U1014" i="3"/>
  <c r="U1239" i="3"/>
  <c r="U1106" i="3"/>
  <c r="U1354" i="3"/>
  <c r="U1269" i="3"/>
  <c r="U1033" i="3"/>
  <c r="U1124" i="3"/>
  <c r="U1081" i="3"/>
  <c r="U935" i="3"/>
  <c r="U1045" i="3"/>
  <c r="U1299" i="3"/>
  <c r="U1149" i="3"/>
  <c r="U1056" i="3"/>
  <c r="U1089" i="3"/>
  <c r="U1274" i="3"/>
  <c r="U1013" i="3"/>
  <c r="U1107" i="3"/>
  <c r="U1358" i="3"/>
  <c r="U895" i="3"/>
  <c r="U1117" i="3"/>
  <c r="U1199" i="3"/>
  <c r="U1376" i="3"/>
  <c r="U988" i="3"/>
  <c r="U1375" i="3"/>
  <c r="U1301" i="3"/>
  <c r="U1355" i="3"/>
  <c r="U1276" i="3"/>
  <c r="U1216" i="3"/>
  <c r="U976" i="3"/>
  <c r="U1155" i="3"/>
  <c r="U1400" i="3"/>
  <c r="U1235" i="3"/>
  <c r="U1352" i="3"/>
  <c r="U1304" i="3"/>
  <c r="U1146" i="3"/>
  <c r="U1319" i="3"/>
  <c r="U1048" i="3"/>
  <c r="U1016" i="3"/>
  <c r="U1337" i="3"/>
  <c r="U901" i="3"/>
  <c r="U1075" i="3"/>
  <c r="U1395" i="3"/>
  <c r="U1407" i="3"/>
  <c r="U1403" i="3"/>
  <c r="U1061" i="3"/>
  <c r="U985" i="3"/>
  <c r="U1404" i="3"/>
  <c r="U1113" i="3"/>
  <c r="U1028" i="3"/>
  <c r="U1379" i="3"/>
  <c r="U1042" i="3"/>
  <c r="U987" i="3"/>
  <c r="U1038" i="3"/>
  <c r="U1324" i="3"/>
  <c r="U1250" i="3"/>
  <c r="U1049" i="3"/>
  <c r="U1211" i="3"/>
  <c r="U1233" i="3"/>
  <c r="U1023" i="3"/>
  <c r="U1409" i="3"/>
  <c r="U1315" i="3"/>
  <c r="U1004" i="3"/>
  <c r="U1371" i="3"/>
  <c r="U1002" i="3"/>
  <c r="U1243" i="3"/>
  <c r="U1313" i="3"/>
  <c r="U1025" i="3"/>
  <c r="U1285" i="3"/>
  <c r="U1194" i="3"/>
  <c r="U1323" i="3"/>
  <c r="U906" i="3"/>
  <c r="U1085" i="3"/>
  <c r="U1092" i="3"/>
  <c r="U904" i="3"/>
  <c r="U962" i="3"/>
  <c r="U1361" i="3"/>
  <c r="U1118" i="3"/>
  <c r="U1101" i="3"/>
  <c r="U1312" i="3"/>
  <c r="U1019" i="3"/>
  <c r="U896" i="3"/>
  <c r="U966" i="3"/>
  <c r="U1165" i="3"/>
  <c r="U963" i="3"/>
  <c r="U1291" i="3"/>
  <c r="U1017" i="3"/>
  <c r="U967" i="3"/>
  <c r="U909" i="3"/>
  <c r="U1129" i="3"/>
  <c r="U1139" i="3"/>
  <c r="U993" i="3"/>
  <c r="U1356" i="3"/>
  <c r="U953" i="3"/>
  <c r="U1088" i="3"/>
  <c r="U1366" i="3"/>
  <c r="U1001" i="3"/>
  <c r="U894" i="3"/>
  <c r="U1273" i="3"/>
  <c r="U1051" i="3"/>
  <c r="U930" i="3"/>
  <c r="U1186" i="3"/>
  <c r="U913" i="3"/>
  <c r="U1282" i="3"/>
  <c r="U1015" i="3"/>
  <c r="U1158" i="3"/>
  <c r="U1126" i="3"/>
  <c r="U1110" i="3"/>
  <c r="U1405" i="3"/>
  <c r="U1279" i="3"/>
  <c r="U1003" i="3"/>
  <c r="U897" i="3"/>
  <c r="U1143" i="3"/>
  <c r="U1070" i="3"/>
  <c r="U944" i="3"/>
  <c r="U923" i="3"/>
  <c r="U1317" i="3"/>
  <c r="U991" i="3"/>
  <c r="U1152" i="3"/>
  <c r="U1204" i="3"/>
  <c r="U1009" i="3"/>
  <c r="U1130" i="3"/>
  <c r="U922" i="3"/>
  <c r="U1394" i="3"/>
  <c r="U1201" i="3"/>
  <c r="U1034" i="3"/>
  <c r="U1237" i="3"/>
  <c r="U1005" i="3"/>
  <c r="U1144" i="3"/>
  <c r="U1086" i="3"/>
  <c r="U942" i="3"/>
  <c r="U1109" i="3"/>
  <c r="U1020" i="3"/>
  <c r="U1029" i="3"/>
  <c r="U995" i="3"/>
  <c r="U1203" i="3"/>
  <c r="U1286" i="3"/>
  <c r="U1365" i="3"/>
  <c r="U1119" i="3"/>
  <c r="U1266" i="3"/>
  <c r="U1410" i="3"/>
  <c r="U1103" i="3"/>
  <c r="U968" i="3"/>
  <c r="U1123" i="3"/>
  <c r="U1353" i="3"/>
  <c r="U928" i="3"/>
  <c r="U1381" i="3"/>
  <c r="U1177" i="3"/>
  <c r="U1141" i="3"/>
  <c r="U1131" i="3"/>
  <c r="U969" i="3"/>
  <c r="U1179" i="3"/>
  <c r="U1280" i="3"/>
  <c r="U1093" i="3"/>
  <c r="U907" i="3"/>
  <c r="U1253" i="3"/>
  <c r="U1258" i="3"/>
  <c r="U1321" i="3"/>
  <c r="U1293" i="3"/>
  <c r="U1245" i="3"/>
  <c r="U1302" i="3"/>
  <c r="U1241" i="3"/>
  <c r="U934" i="3"/>
  <c r="U1147" i="3"/>
  <c r="U912" i="3"/>
  <c r="U948" i="3"/>
  <c r="U1074" i="3"/>
  <c r="U1308" i="3"/>
  <c r="U1195" i="3"/>
  <c r="U905" i="3"/>
  <c r="U1040" i="3"/>
  <c r="U1338" i="3"/>
  <c r="U1008" i="3"/>
  <c r="U1133" i="3"/>
  <c r="U1206" i="3"/>
  <c r="U1105" i="3"/>
  <c r="U1267" i="3"/>
  <c r="U1252" i="3"/>
  <c r="U1160" i="3"/>
  <c r="U1170" i="3"/>
  <c r="U1213" i="3"/>
  <c r="U1006" i="3"/>
  <c r="U1329" i="3"/>
  <c r="U1271" i="3"/>
  <c r="U1100" i="3"/>
  <c r="U1209" i="3"/>
  <c r="U1284" i="3"/>
  <c r="U1044" i="3"/>
  <c r="U1316" i="3"/>
  <c r="U1335" i="3"/>
  <c r="U1249" i="3"/>
  <c r="U1322" i="3"/>
  <c r="U1244" i="3"/>
  <c r="U946" i="3"/>
  <c r="U910" i="3"/>
  <c r="U1178" i="3"/>
  <c r="U1136" i="3"/>
  <c r="U1350" i="3"/>
  <c r="U1159" i="3"/>
  <c r="U1205" i="3"/>
  <c r="U1342" i="3"/>
  <c r="U1108" i="3"/>
  <c r="U1221" i="3"/>
  <c r="U1343" i="3"/>
  <c r="U1161" i="3"/>
  <c r="U1345" i="3"/>
  <c r="U1234" i="3"/>
  <c r="U990" i="3"/>
  <c r="U999" i="3"/>
  <c r="U975" i="3"/>
  <c r="U916" i="3"/>
  <c r="U1057" i="3"/>
  <c r="U1102" i="3"/>
  <c r="U918" i="3"/>
  <c r="U1332" i="3"/>
  <c r="U1011" i="3"/>
  <c r="U1295" i="3"/>
  <c r="U1214" i="3"/>
  <c r="U1127" i="3"/>
  <c r="U938" i="3"/>
  <c r="U1327" i="3"/>
  <c r="U900" i="3"/>
  <c r="U1192" i="3"/>
  <c r="U1193" i="3"/>
  <c r="U1046" i="3"/>
  <c r="U1268" i="3"/>
  <c r="U1363" i="3"/>
  <c r="U980" i="3"/>
  <c r="U972" i="3"/>
  <c r="U943" i="3"/>
  <c r="U1240" i="3"/>
  <c r="U1349" i="3"/>
  <c r="U1393" i="3"/>
  <c r="U1150" i="3"/>
  <c r="U1174" i="3"/>
  <c r="U1208" i="3"/>
  <c r="U981" i="3"/>
  <c r="U1039" i="3"/>
  <c r="U964" i="3"/>
  <c r="U1176" i="3"/>
  <c r="U932" i="3"/>
  <c r="U1370" i="3"/>
  <c r="U925" i="3"/>
  <c r="U1283" i="3"/>
  <c r="U1202" i="3"/>
  <c r="U1024" i="3"/>
  <c r="U1392" i="3"/>
  <c r="U1225" i="3"/>
  <c r="U1041" i="3"/>
  <c r="U1132" i="3"/>
  <c r="U1369" i="3"/>
  <c r="U1198" i="3"/>
  <c r="U954" i="3"/>
  <c r="U926" i="3"/>
  <c r="U1138" i="3"/>
  <c r="U1022" i="3"/>
  <c r="U961" i="3"/>
  <c r="U1298" i="3"/>
  <c r="U974" i="3"/>
  <c r="U1398" i="3"/>
  <c r="U1242" i="3"/>
  <c r="U1121" i="3"/>
  <c r="U1154" i="3"/>
  <c r="U1052" i="3"/>
  <c r="U1305" i="3"/>
  <c r="U1219" i="3"/>
  <c r="U1190" i="3"/>
  <c r="U1026" i="3"/>
  <c r="U919" i="3"/>
  <c r="U957" i="3"/>
  <c r="U982" i="3"/>
  <c r="U1018" i="3"/>
  <c r="U1261" i="3"/>
  <c r="U1188" i="3"/>
  <c r="U1125" i="3"/>
  <c r="U1156" i="3"/>
  <c r="U1059" i="3"/>
  <c r="U917" i="3"/>
  <c r="U1054" i="3"/>
  <c r="U1263" i="3"/>
  <c r="U1391" i="3"/>
  <c r="U1326" i="3"/>
  <c r="U1098" i="3"/>
  <c r="U1389" i="3"/>
  <c r="U1183" i="3"/>
  <c r="U1065" i="3"/>
  <c r="U1207" i="3"/>
  <c r="U1294" i="3"/>
  <c r="U931" i="3"/>
  <c r="U1210" i="3"/>
  <c r="U997" i="3"/>
  <c r="U984" i="3"/>
  <c r="U1157" i="3"/>
  <c r="U998" i="3"/>
  <c r="U1166" i="3"/>
  <c r="U1320" i="3"/>
  <c r="U1397" i="3"/>
  <c r="U1050" i="3"/>
  <c r="U1027" i="3"/>
  <c r="U1148" i="3"/>
  <c r="U1220" i="3"/>
  <c r="U1173" i="3"/>
  <c r="U1053" i="3"/>
  <c r="U1373" i="3"/>
  <c r="U1226" i="3"/>
  <c r="U947" i="3"/>
  <c r="U977" i="3"/>
  <c r="U1390" i="3"/>
  <c r="U1172" i="3"/>
  <c r="U1162" i="3"/>
  <c r="U1030" i="3"/>
  <c r="U1184" i="3"/>
  <c r="U939" i="3"/>
  <c r="U1303" i="3"/>
  <c r="G2" i="4" l="1"/>
  <c r="G3" i="4"/>
  <c r="J1213" i="3"/>
  <c r="I1213" i="3"/>
  <c r="J1214" i="3"/>
  <c r="H3" i="4" l="1"/>
  <c r="H1215" i="3"/>
  <c r="I1214" i="3"/>
  <c r="J1215" i="3" l="1"/>
  <c r="B11" i="7" s="1"/>
  <c r="B19" i="7" s="1"/>
  <c r="I1215" i="3"/>
  <c r="B21" i="7" l="1"/>
  <c r="C21" i="7" s="1"/>
  <c r="C19" i="7"/>
  <c r="C11" i="7"/>
  <c r="M16" i="7" s="1"/>
  <c r="N16" i="7" s="1"/>
  <c r="B17" i="7"/>
  <c r="C17" i="7" s="1"/>
  <c r="G4" i="4"/>
  <c r="H4" i="4" s="1"/>
  <c r="F12" i="5"/>
  <c r="G5" i="4" l="1"/>
  <c r="H5" i="4" s="1"/>
  <c r="F17" i="5"/>
  <c r="F1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tc={F2BAAA19-B511-4EEC-AB6A-62ADEB9CE566}</author>
  </authors>
  <commentList>
    <comment ref="H1" authorId="0" shapeId="0" xr:uid="{F2BAAA19-B511-4EEC-AB6A-62ADEB9CE566}">
      <text>
        <t>[Threaded comment]
Your version of Excel allows you to read this threaded comment; however, any edits to it will get removed if the file is opened in a newer version of Excel. Learn more: https://go.microsoft.com/fwlink/?linkid=870924
Comment:
    载体</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tc={734D34D1-A3B4-419C-91E5-2415CC7E1FF7}</author>
  </authors>
  <commentList>
    <comment ref="E1" authorId="0" shapeId="0" xr:uid="{734D34D1-A3B4-419C-91E5-2415CC7E1FF7}">
      <text>
        <t>[Threaded comment]
Your version of Excel allows you to read this threaded comment; however, any edits to it will get removed if the file is opened in a newer version of Excel. Learn more: https://go.microsoft.com/fwlink/?linkid=870924
Comment:
    载体</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tc={E68F4AA3-3D0A-4E51-9DB5-71D163687642}</author>
    <author>tc={60652D12-341E-458F-9404-85AE92F8BD45}</author>
    <author>tc={5D615C4E-EBE7-4C5B-AFF7-7BFD865942AD}</author>
    <author>tc={1AB846D4-C243-49DD-BFCE-0F152034E39C}</author>
    <author>tc={AF69EBA6-49A2-4E66-B2B5-ADDCB203CBBC}</author>
    <author>tc={89049742-F5D2-410B-B198-12AF77C32560}</author>
    <author>tc={8D1C1E60-2EA0-4CC8-8F9F-A8A7E37ADBA1}</author>
  </authors>
  <commentList>
    <comment ref="K2" authorId="0" shapeId="0" xr:uid="{E68F4AA3-3D0A-4E51-9DB5-71D163687642}">
      <text>
        <t xml:space="preserve">[Threaded comment]
Your version of Excel allows you to read this threaded comment; however, any edits to it will get removed if the file is opened in a newer version of Excel. Learn more: https://go.microsoft.com/fwlink/?linkid=870924
Comment:
    Operating经营性经常事件 </t>
      </text>
    </comment>
    <comment ref="F5" authorId="1" shapeId="0" xr:uid="{60652D12-341E-458F-9404-85AE92F8BD45}">
      <text>
        <t>[Threaded comment]
Your version of Excel allows you to read this threaded comment; however, any edits to it will get removed if the file is opened in a newer version of Excel. Learn more: https://go.microsoft.com/fwlink/?linkid=870924
Comment:
    Receivables and Payables 应付 应收</t>
      </text>
    </comment>
    <comment ref="J5" authorId="2" shapeId="0" xr:uid="{5D615C4E-EBE7-4C5B-AFF7-7BFD865942AD}">
      <text>
        <t>[Threaded comment]
Your version of Excel allows you to read this threaded comment; however, any edits to it will get removed if the file is opened in a newer version of Excel. Learn more: https://go.microsoft.com/fwlink/?linkid=870924
Comment:
    资产处置损益</t>
      </text>
    </comment>
    <comment ref="J6" authorId="3" shapeId="0" xr:uid="{1AB846D4-C243-49DD-BFCE-0F152034E39C}">
      <text>
        <t>[Threaded comment]
Your version of Excel allows you to read this threaded comment; however, any edits to it will get removed if the file is opened in a newer version of Excel. Learn more: https://go.microsoft.com/fwlink/?linkid=870924
Comment:
    自主活动损益 （类似 诗与歌 这样的活动）</t>
      </text>
    </comment>
    <comment ref="F10" authorId="4" shapeId="0" xr:uid="{AF69EBA6-49A2-4E66-B2B5-ADDCB203CBBC}">
      <text>
        <t>[Threaded comment]
Your version of Excel allows you to read this threaded comment; however, any edits to it will get removed if the file is opened in a newer version of Excel. Learn more: https://go.microsoft.com/fwlink/?linkid=870924
Comment:
    Inventories</t>
      </text>
    </comment>
    <comment ref="F19" authorId="5" shapeId="0" xr:uid="{89049742-F5D2-410B-B198-12AF77C32560}">
      <text>
        <t>[Threaded comment]
Your version of Excel allows you to read this threaded comment; however, any edits to it will get removed if the file is opened in a newer version of Excel. Learn more: https://go.microsoft.com/fwlink/?linkid=870924
Comment:
    Reserve 准备金</t>
      </text>
    </comment>
    <comment ref="E20" authorId="6" shapeId="0" xr:uid="{8D1C1E60-2EA0-4CC8-8F9F-A8A7E37ADBA1}">
      <text>
        <t>[Threaded comment]
Your version of Excel allows you to read this threaded comment; however, any edits to it will get removed if the file is opened in a newer version of Excel. Learn more: https://go.microsoft.com/fwlink/?linkid=870924
Comment:
    Additional Paid-In Capital 
Reply:
    差不多是 资本公积</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tc={1162A067-267B-4F1D-B71F-7C12A30DE0F0}</author>
  </authors>
  <commentList>
    <comment ref="A1" authorId="0" shapeId="0" xr:uid="{1162A067-267B-4F1D-B71F-7C12A30DE0F0}">
      <text>
        <t>[Threaded comment]
Your version of Excel allows you to read this threaded comment; however, any edits to it will get removed if the file is opened in a newer version of Excel. Learn more: https://go.microsoft.com/fwlink/?linkid=870924
Comment:
    载体</t>
      </text>
    </comment>
  </commentList>
</comments>
</file>

<file path=xl/sharedStrings.xml><?xml version="1.0" encoding="utf-8"?>
<sst xmlns="http://schemas.openxmlformats.org/spreadsheetml/2006/main" count="11376" uniqueCount="2002">
  <si>
    <t>Const</t>
  </si>
  <si>
    <t>default str</t>
  </si>
  <si>
    <t>*缺省</t>
  </si>
  <si>
    <t>…</t>
  </si>
  <si>
    <t>Func. CCY</t>
  </si>
  <si>
    <t>CNY</t>
  </si>
  <si>
    <t>*功能货币</t>
  </si>
  <si>
    <t>*起始日期</t>
  </si>
  <si>
    <t>Acct</t>
  </si>
  <si>
    <t>Lv2</t>
  </si>
  <si>
    <t>Lv1</t>
  </si>
  <si>
    <t>Lv0</t>
  </si>
  <si>
    <t>Bank</t>
  </si>
  <si>
    <t>Assets</t>
  </si>
  <si>
    <t>Phys.C</t>
  </si>
  <si>
    <t>Cap</t>
  </si>
  <si>
    <t>Common</t>
  </si>
  <si>
    <t>Equity</t>
  </si>
  <si>
    <t>RE</t>
  </si>
  <si>
    <t>Rsv</t>
  </si>
  <si>
    <t>Node</t>
  </si>
  <si>
    <t>Type</t>
  </si>
  <si>
    <t>Revenue</t>
  </si>
  <si>
    <t>Cost</t>
  </si>
  <si>
    <t>Expense</t>
  </si>
  <si>
    <t>Other</t>
  </si>
  <si>
    <t>Op</t>
  </si>
  <si>
    <t>Non-Op</t>
  </si>
  <si>
    <t>Id</t>
  </si>
  <si>
    <t>Shuijie</t>
  </si>
  <si>
    <t>MY</t>
  </si>
  <si>
    <t>明月村</t>
  </si>
  <si>
    <t>Note</t>
  </si>
  <si>
    <t>Brand</t>
  </si>
  <si>
    <t>品牌</t>
  </si>
  <si>
    <t>GM</t>
  </si>
  <si>
    <t>综合管理</t>
  </si>
  <si>
    <t>Ctrl</t>
  </si>
  <si>
    <t>Date</t>
  </si>
  <si>
    <t>Division</t>
  </si>
  <si>
    <t>Action</t>
  </si>
  <si>
    <t>IncNode</t>
  </si>
  <si>
    <t>TrxId</t>
  </si>
  <si>
    <t>Item</t>
  </si>
  <si>
    <t>Bal</t>
  </si>
  <si>
    <t>NetBal</t>
  </si>
  <si>
    <t>IsValid</t>
  </si>
  <si>
    <t>BSLv0</t>
  </si>
  <si>
    <t>BSLv1</t>
  </si>
  <si>
    <t>BSLv2</t>
  </si>
  <si>
    <t>JH.0682</t>
  </si>
  <si>
    <t>Name</t>
  </si>
  <si>
    <t>代持</t>
  </si>
  <si>
    <t>远家花园</t>
  </si>
  <si>
    <t>淘宝</t>
  </si>
  <si>
    <t>远家花园高新分公司</t>
  </si>
  <si>
    <t>水街活动</t>
  </si>
  <si>
    <t>喜家文化</t>
  </si>
  <si>
    <t>水街服装</t>
  </si>
  <si>
    <t>米小易</t>
  </si>
  <si>
    <t>水街餐饮</t>
  </si>
  <si>
    <t>远家文化</t>
  </si>
  <si>
    <t>明月村客房餐饮</t>
  </si>
  <si>
    <t>远家文化蒲江分公司</t>
  </si>
  <si>
    <t>明月村小程序</t>
  </si>
  <si>
    <t>榆乐</t>
  </si>
  <si>
    <t>已收购，为远家花园提供成本发票</t>
  </si>
  <si>
    <t>染匠文化</t>
  </si>
  <si>
    <t>驻色染色</t>
  </si>
  <si>
    <t>桑木</t>
  </si>
  <si>
    <t>合作实体收款；为远家花园提供成本发票</t>
  </si>
  <si>
    <t>张小喜</t>
  </si>
  <si>
    <t>明月村服装</t>
  </si>
  <si>
    <t>小月号</t>
  </si>
  <si>
    <t>明月村杂项</t>
  </si>
  <si>
    <t>创业园杂项</t>
  </si>
  <si>
    <t>郑术燕</t>
  </si>
  <si>
    <t>明月村采购</t>
  </si>
  <si>
    <t>法人</t>
  </si>
  <si>
    <t>分支机构</t>
  </si>
  <si>
    <t>HuaYuan</t>
  </si>
  <si>
    <t>XiJia</t>
  </si>
  <si>
    <t>MiXiaoYi</t>
  </si>
  <si>
    <t>YuanWH</t>
  </si>
  <si>
    <t>YuLe</t>
  </si>
  <si>
    <t>SangMu</t>
  </si>
  <si>
    <t>XiaoXi</t>
  </si>
  <si>
    <t>XiaoYue</t>
  </si>
  <si>
    <t>ZhengSY</t>
  </si>
  <si>
    <t>JH.7471</t>
  </si>
  <si>
    <t>JT.7708</t>
  </si>
  <si>
    <t>JH.2521</t>
  </si>
  <si>
    <t>创业园-琦</t>
  </si>
  <si>
    <t>CYY-Qi</t>
  </si>
  <si>
    <t>JH.1465</t>
  </si>
  <si>
    <t>JH.2131</t>
  </si>
  <si>
    <t>Casher.hd</t>
  </si>
  <si>
    <t>Casher.fz</t>
  </si>
  <si>
    <t>JH.4559</t>
  </si>
  <si>
    <t>Casher.cy</t>
  </si>
  <si>
    <t>NH.3284</t>
  </si>
  <si>
    <t>NS.3524</t>
  </si>
  <si>
    <t>JH.2761</t>
  </si>
  <si>
    <t>NH.5074</t>
  </si>
  <si>
    <t>NS.9539</t>
  </si>
  <si>
    <t>huotang</t>
  </si>
  <si>
    <t>HY-GaoX</t>
  </si>
  <si>
    <t>YWH-PuJ</t>
  </si>
  <si>
    <t>JH.0754</t>
  </si>
  <si>
    <t>JH.8952</t>
  </si>
  <si>
    <t>Sum of Bal</t>
  </si>
  <si>
    <t>RanJ</t>
  </si>
  <si>
    <t>Rec-Pay</t>
  </si>
  <si>
    <t>AR</t>
  </si>
  <si>
    <t>AP</t>
  </si>
  <si>
    <t>Order</t>
  </si>
  <si>
    <t>Curr</t>
  </si>
  <si>
    <t>A</t>
  </si>
  <si>
    <t>Prep-Sub</t>
  </si>
  <si>
    <t>Invtr</t>
  </si>
  <si>
    <t>PP&amp;E</t>
  </si>
  <si>
    <t>Property</t>
  </si>
  <si>
    <t>Vehicle</t>
    <phoneticPr fontId="6" type="noConversion"/>
  </si>
  <si>
    <t>Liability</t>
  </si>
  <si>
    <t>LC</t>
  </si>
  <si>
    <t xml:space="preserve"> </t>
    <phoneticPr fontId="6" type="noConversion"/>
  </si>
  <si>
    <t>ToTax</t>
  </si>
  <si>
    <t>ToTax</t>
    <phoneticPr fontId="6" type="noConversion"/>
  </si>
  <si>
    <t>Rec-Pay</t>
    <phoneticPr fontId="6" type="noConversion"/>
  </si>
  <si>
    <t>Prep-Sub</t>
    <phoneticPr fontId="6" type="noConversion"/>
  </si>
  <si>
    <t>ToOther</t>
  </si>
  <si>
    <t>ToOther</t>
    <phoneticPr fontId="6" type="noConversion"/>
  </si>
  <si>
    <t>Op</t>
    <phoneticPr fontId="6" type="noConversion"/>
  </si>
  <si>
    <t>Gain-Loss</t>
    <phoneticPr fontId="6" type="noConversion"/>
  </si>
  <si>
    <t>水街店</t>
    <phoneticPr fontId="6" type="noConversion"/>
  </si>
  <si>
    <t>Casher.myc</t>
    <phoneticPr fontId="6" type="noConversion"/>
  </si>
  <si>
    <t>货款</t>
    <phoneticPr fontId="6" type="noConversion"/>
  </si>
  <si>
    <t>个人社保</t>
  </si>
  <si>
    <t>平台</t>
  </si>
  <si>
    <t>保证金</t>
  </si>
  <si>
    <t>借款</t>
  </si>
  <si>
    <t>预付费用</t>
    <phoneticPr fontId="6" type="noConversion"/>
  </si>
  <si>
    <t>预付费用</t>
  </si>
  <si>
    <t>预付货款</t>
  </si>
  <si>
    <t>乐于斯</t>
    <phoneticPr fontId="6" type="noConversion"/>
  </si>
  <si>
    <t>低苦艾</t>
    <phoneticPr fontId="6" type="noConversion"/>
  </si>
  <si>
    <t>前期修建借款</t>
    <phoneticPr fontId="6" type="noConversion"/>
  </si>
  <si>
    <t>注册资本</t>
    <phoneticPr fontId="6" type="noConversion"/>
  </si>
  <si>
    <t>税金</t>
    <phoneticPr fontId="6" type="noConversion"/>
  </si>
  <si>
    <t>工资</t>
    <phoneticPr fontId="6" type="noConversion"/>
  </si>
  <si>
    <t>服饰</t>
  </si>
  <si>
    <t>服饰</t>
    <phoneticPr fontId="6" type="noConversion"/>
  </si>
  <si>
    <t>图书</t>
    <phoneticPr fontId="6" type="noConversion"/>
  </si>
  <si>
    <t>低耗</t>
    <phoneticPr fontId="6" type="noConversion"/>
  </si>
  <si>
    <t>APIC</t>
  </si>
  <si>
    <t>Discretion</t>
  </si>
  <si>
    <t>perc</t>
  </si>
  <si>
    <t>Key</t>
  </si>
  <si>
    <t>银行</t>
  </si>
  <si>
    <t>物理现金</t>
  </si>
  <si>
    <t>当期存货</t>
  </si>
  <si>
    <t>Old</t>
  </si>
  <si>
    <t>房地产</t>
  </si>
  <si>
    <t>权益性投资</t>
  </si>
  <si>
    <t>Eq-Inv</t>
  </si>
  <si>
    <t>应付-税款</t>
  </si>
  <si>
    <t>应付-薪资</t>
  </si>
  <si>
    <t>应付-其他</t>
  </si>
  <si>
    <t>可分配利润</t>
  </si>
  <si>
    <t>原始资本</t>
  </si>
  <si>
    <t>额外投入</t>
  </si>
  <si>
    <t>Case</t>
  </si>
  <si>
    <t>BS-Acct</t>
  </si>
  <si>
    <t>BS-Lv2</t>
  </si>
  <si>
    <t>1.应收-应付</t>
  </si>
  <si>
    <t>2.预付-订阅</t>
  </si>
  <si>
    <t>3.库存占款</t>
  </si>
  <si>
    <t>5.硬件设施</t>
  </si>
  <si>
    <t>6.投资与长期负债</t>
  </si>
  <si>
    <t>X.资本</t>
  </si>
  <si>
    <t>Invest-LTD</t>
  </si>
  <si>
    <t>NameAcct</t>
  </si>
  <si>
    <t>NameBSLv2</t>
  </si>
  <si>
    <t>应收-一般</t>
  </si>
  <si>
    <t>应付-一般</t>
  </si>
  <si>
    <t>明月村-累计折旧</t>
  </si>
  <si>
    <t>水街-累计折旧</t>
  </si>
  <si>
    <t>NameVehicle</t>
  </si>
  <si>
    <t>ToEmp</t>
  </si>
  <si>
    <t>OnEmp</t>
  </si>
  <si>
    <t>水街员工</t>
  </si>
  <si>
    <t>员工预支</t>
  </si>
  <si>
    <t>Depo</t>
  </si>
  <si>
    <t>押金</t>
  </si>
  <si>
    <t>尾款-工程</t>
  </si>
  <si>
    <t>MemShip</t>
  </si>
  <si>
    <t>会员充值</t>
  </si>
  <si>
    <t>住房押金</t>
  </si>
  <si>
    <t>FrOther</t>
  </si>
  <si>
    <t>应收-其他</t>
  </si>
  <si>
    <t>明月村-土地</t>
  </si>
  <si>
    <t>明月村-建筑</t>
  </si>
  <si>
    <t>水街-建筑</t>
  </si>
  <si>
    <t>配平</t>
  </si>
  <si>
    <t>*资产-负债/权益</t>
  </si>
  <si>
    <t>资本</t>
  </si>
  <si>
    <t>材料</t>
  </si>
  <si>
    <t>xxx</t>
  </si>
  <si>
    <t>营业额</t>
  </si>
  <si>
    <t>往期存货</t>
  </si>
  <si>
    <t>9.蓄水池</t>
  </si>
  <si>
    <t>2/3 meeting</t>
  </si>
  <si>
    <t>Tag</t>
  </si>
  <si>
    <t>估计原始库存价格</t>
  </si>
  <si>
    <t>deduct.Y25</t>
  </si>
  <si>
    <t>控制参数</t>
  </si>
  <si>
    <t>资本回报率</t>
  </si>
  <si>
    <t>总结:</t>
  </si>
  <si>
    <t>start</t>
  </si>
  <si>
    <t>prior</t>
  </si>
  <si>
    <t>*可调整，默认至 前账截止</t>
  </si>
  <si>
    <t>*前账截止</t>
  </si>
  <si>
    <t>净现金</t>
  </si>
  <si>
    <t>流动性</t>
  </si>
  <si>
    <t>业绩</t>
  </si>
  <si>
    <t>Cash alike</t>
  </si>
  <si>
    <t>0.现金及类似</t>
  </si>
  <si>
    <t>ScopeBS</t>
  </si>
  <si>
    <t>截止日期</t>
  </si>
  <si>
    <t>应付</t>
  </si>
  <si>
    <t>当期库存</t>
  </si>
  <si>
    <t>*一般不低于200%</t>
  </si>
  <si>
    <t>*可以再增加多少库存</t>
  </si>
  <si>
    <t>库存倍数</t>
  </si>
  <si>
    <t>支付倍数</t>
  </si>
  <si>
    <t>In</t>
  </si>
  <si>
    <t>T000</t>
  </si>
  <si>
    <t>T000.1</t>
  </si>
  <si>
    <t>T000.2</t>
  </si>
  <si>
    <t>报销</t>
  </si>
  <si>
    <t>采购</t>
  </si>
  <si>
    <t>过账</t>
  </si>
  <si>
    <t>销售</t>
  </si>
  <si>
    <t>桑木 低苦艾</t>
  </si>
  <si>
    <t>桑木 格物江南</t>
  </si>
  <si>
    <t>桑木 远家花园</t>
  </si>
  <si>
    <t>桑木 王洳琦</t>
  </si>
  <si>
    <t>结转</t>
  </si>
  <si>
    <t>年度结转； roll forward</t>
  </si>
  <si>
    <t>调整</t>
  </si>
  <si>
    <t>冲销</t>
  </si>
  <si>
    <t>往期库存：25占款 已抵扣</t>
  </si>
  <si>
    <t>T001</t>
  </si>
  <si>
    <t>T002</t>
  </si>
  <si>
    <t>T003</t>
  </si>
  <si>
    <t>T004</t>
  </si>
  <si>
    <t>T005</t>
  </si>
  <si>
    <t>T006</t>
  </si>
  <si>
    <t>T007</t>
  </si>
  <si>
    <t>T008</t>
  </si>
  <si>
    <t>T009</t>
  </si>
  <si>
    <t>T010</t>
  </si>
  <si>
    <t>T011</t>
  </si>
  <si>
    <t>T012</t>
  </si>
  <si>
    <t>T013</t>
  </si>
  <si>
    <t>T014</t>
  </si>
  <si>
    <t>T015</t>
  </si>
  <si>
    <t>T016</t>
  </si>
  <si>
    <t>T017</t>
  </si>
  <si>
    <t>T018</t>
  </si>
  <si>
    <t>T019</t>
  </si>
  <si>
    <t>T020</t>
  </si>
  <si>
    <t>T021</t>
  </si>
  <si>
    <t>T022</t>
  </si>
  <si>
    <t>T023</t>
  </si>
  <si>
    <t>T024</t>
  </si>
  <si>
    <t>T025</t>
  </si>
  <si>
    <t>T026</t>
  </si>
  <si>
    <t>T027</t>
  </si>
  <si>
    <t>T028</t>
  </si>
  <si>
    <t>T029</t>
  </si>
  <si>
    <t>工资</t>
  </si>
  <si>
    <t>增值税</t>
  </si>
  <si>
    <t>入库</t>
  </si>
  <si>
    <t>订购</t>
  </si>
  <si>
    <t>支付</t>
  </si>
  <si>
    <t>Start</t>
  </si>
  <si>
    <t>End</t>
  </si>
  <si>
    <t>ScopeDebug</t>
  </si>
  <si>
    <t>curr</t>
  </si>
  <si>
    <t>*隐藏筛选：不包含end之后的内容</t>
  </si>
  <si>
    <t>Sum of NetBal</t>
  </si>
  <si>
    <t>NameDiv</t>
  </si>
  <si>
    <t>内控合规</t>
  </si>
  <si>
    <t>网店</t>
  </si>
  <si>
    <t>Online</t>
  </si>
  <si>
    <t>附加</t>
  </si>
  <si>
    <t>所得税-企业</t>
  </si>
  <si>
    <t>所得税-个人</t>
  </si>
  <si>
    <t>附加税</t>
  </si>
  <si>
    <t>损益</t>
  </si>
  <si>
    <t>损益率</t>
  </si>
  <si>
    <t>期初数据结转，</t>
    <phoneticPr fontId="6" type="noConversion"/>
  </si>
  <si>
    <t>预付货款定金</t>
    <phoneticPr fontId="6" type="noConversion"/>
  </si>
  <si>
    <t>薪酬-社保</t>
    <phoneticPr fontId="6" type="noConversion"/>
  </si>
  <si>
    <t>预付结转入库</t>
    <phoneticPr fontId="6" type="noConversion"/>
  </si>
  <si>
    <t>付款直接入库</t>
    <phoneticPr fontId="6" type="noConversion"/>
  </si>
  <si>
    <t>增值税</t>
    <phoneticPr fontId="6" type="noConversion"/>
  </si>
  <si>
    <t>Action</t>
    <phoneticPr fontId="6" type="noConversion"/>
  </si>
  <si>
    <t>Item</t>
    <phoneticPr fontId="6" type="noConversion"/>
  </si>
  <si>
    <t>交通费</t>
    <phoneticPr fontId="6" type="noConversion"/>
  </si>
  <si>
    <t>内部资金收付</t>
    <phoneticPr fontId="6" type="noConversion"/>
  </si>
  <si>
    <t>ScopeBS</t>
    <phoneticPr fontId="6" type="noConversion"/>
  </si>
  <si>
    <t>物流费</t>
    <phoneticPr fontId="6" type="noConversion"/>
  </si>
  <si>
    <t>T030</t>
  </si>
  <si>
    <t>银行手续费</t>
    <phoneticPr fontId="6" type="noConversion"/>
  </si>
  <si>
    <t>T031</t>
  </si>
  <si>
    <t>T032</t>
  </si>
  <si>
    <t>奖金</t>
    <phoneticPr fontId="6" type="noConversion"/>
  </si>
  <si>
    <t>T033</t>
  </si>
  <si>
    <t>剪板面料</t>
    <phoneticPr fontId="6" type="noConversion"/>
  </si>
  <si>
    <t>水街餐饮现金</t>
    <phoneticPr fontId="6" type="noConversion"/>
  </si>
  <si>
    <t>水街服装现金</t>
    <phoneticPr fontId="6" type="noConversion"/>
  </si>
  <si>
    <t>水街活动现金</t>
    <phoneticPr fontId="6" type="noConversion"/>
  </si>
  <si>
    <t>远家文化一般户</t>
    <phoneticPr fontId="6" type="noConversion"/>
  </si>
  <si>
    <t>明月村现金</t>
    <phoneticPr fontId="6" type="noConversion"/>
  </si>
  <si>
    <t>火锅店（正在注销）</t>
    <phoneticPr fontId="6" type="noConversion"/>
  </si>
  <si>
    <t>T034</t>
  </si>
  <si>
    <t>招待费</t>
    <phoneticPr fontId="6" type="noConversion"/>
  </si>
  <si>
    <t>T035</t>
  </si>
  <si>
    <t>T035</t>
    <phoneticPr fontId="6" type="noConversion"/>
  </si>
  <si>
    <t>T036</t>
  </si>
  <si>
    <t>T036</t>
    <phoneticPr fontId="6" type="noConversion"/>
  </si>
  <si>
    <t>T037</t>
  </si>
  <si>
    <t>T038</t>
  </si>
  <si>
    <t>福利</t>
    <phoneticPr fontId="6" type="noConversion"/>
  </si>
  <si>
    <t>T039</t>
  </si>
  <si>
    <t>T040</t>
  </si>
  <si>
    <t>T041</t>
  </si>
  <si>
    <t>辅料</t>
    <phoneticPr fontId="6" type="noConversion"/>
  </si>
  <si>
    <t>T042</t>
  </si>
  <si>
    <t>T043</t>
  </si>
  <si>
    <t>个人所得税</t>
    <phoneticPr fontId="6" type="noConversion"/>
  </si>
  <si>
    <t>所得税-个人</t>
    <phoneticPr fontId="6" type="noConversion"/>
  </si>
  <si>
    <t>个人社保</t>
    <phoneticPr fontId="6" type="noConversion"/>
  </si>
  <si>
    <t>T044</t>
  </si>
  <si>
    <t>T045</t>
  </si>
  <si>
    <t>所得税-企业</t>
    <phoneticPr fontId="6" type="noConversion"/>
  </si>
  <si>
    <t>附加税</t>
    <phoneticPr fontId="6" type="noConversion"/>
  </si>
  <si>
    <t>印花税</t>
    <phoneticPr fontId="6" type="noConversion"/>
  </si>
  <si>
    <t>T046</t>
  </si>
  <si>
    <t>水电费</t>
    <phoneticPr fontId="6" type="noConversion"/>
  </si>
  <si>
    <t>T047</t>
  </si>
  <si>
    <t>T046</t>
    <phoneticPr fontId="6" type="noConversion"/>
  </si>
  <si>
    <t>T048</t>
  </si>
  <si>
    <t>T047</t>
    <phoneticPr fontId="6" type="noConversion"/>
  </si>
  <si>
    <t>T048</t>
    <phoneticPr fontId="6" type="noConversion"/>
  </si>
  <si>
    <t>T049</t>
  </si>
  <si>
    <t>T050</t>
  </si>
  <si>
    <t>薪酬-工资</t>
    <phoneticPr fontId="6" type="noConversion"/>
  </si>
  <si>
    <t>设计</t>
    <phoneticPr fontId="6" type="noConversion"/>
  </si>
  <si>
    <t>T051</t>
  </si>
  <si>
    <t>T052</t>
  </si>
  <si>
    <t>T053</t>
  </si>
  <si>
    <t>T054</t>
  </si>
  <si>
    <t>摄影费</t>
    <phoneticPr fontId="6" type="noConversion"/>
  </si>
  <si>
    <t>T055</t>
  </si>
  <si>
    <t>12-2 2026年房租</t>
    <phoneticPr fontId="6" type="noConversion"/>
  </si>
  <si>
    <t>T056</t>
  </si>
  <si>
    <t>T057</t>
  </si>
  <si>
    <t>过账</t>
    <phoneticPr fontId="6" type="noConversion"/>
  </si>
  <si>
    <t>榆乐 远家花园</t>
    <phoneticPr fontId="6" type="noConversion"/>
  </si>
  <si>
    <t>T058</t>
  </si>
  <si>
    <t>榆乐 喜家</t>
    <phoneticPr fontId="6" type="noConversion"/>
  </si>
  <si>
    <t>T059</t>
  </si>
  <si>
    <t>榆乐 王洳琦</t>
    <phoneticPr fontId="6" type="noConversion"/>
  </si>
  <si>
    <t>T060</t>
  </si>
  <si>
    <t>样品</t>
    <phoneticPr fontId="6" type="noConversion"/>
  </si>
  <si>
    <t>T061</t>
  </si>
  <si>
    <t>T062</t>
  </si>
  <si>
    <t>个税手续费退库</t>
    <phoneticPr fontId="6" type="noConversion"/>
  </si>
  <si>
    <t>补贴</t>
    <phoneticPr fontId="6" type="noConversion"/>
  </si>
  <si>
    <t>T063</t>
  </si>
  <si>
    <t>T064</t>
  </si>
  <si>
    <t>T065</t>
  </si>
  <si>
    <t>年终奖</t>
    <phoneticPr fontId="6" type="noConversion"/>
  </si>
  <si>
    <t>T066</t>
  </si>
  <si>
    <t>调整</t>
    <phoneticPr fontId="6" type="noConversion"/>
  </si>
  <si>
    <t>税费尾差</t>
    <phoneticPr fontId="6" type="noConversion"/>
  </si>
  <si>
    <t>T067</t>
  </si>
  <si>
    <t>JH.2521</t>
    <phoneticPr fontId="6" type="noConversion"/>
  </si>
  <si>
    <t>JH.0682</t>
    <phoneticPr fontId="6" type="noConversion"/>
  </si>
  <si>
    <t>JH.1465</t>
    <phoneticPr fontId="6" type="noConversion"/>
  </si>
  <si>
    <t>JH.7471</t>
    <phoneticPr fontId="6" type="noConversion"/>
  </si>
  <si>
    <t>王洳琦 张小喜</t>
    <phoneticPr fontId="6" type="noConversion"/>
  </si>
  <si>
    <t>T068</t>
  </si>
  <si>
    <t>分红</t>
    <phoneticPr fontId="6" type="noConversion"/>
  </si>
  <si>
    <t>王洳琦 陈晓</t>
    <phoneticPr fontId="6" type="noConversion"/>
  </si>
  <si>
    <t>T069</t>
  </si>
  <si>
    <t>快递私人件</t>
    <phoneticPr fontId="6" type="noConversion"/>
  </si>
  <si>
    <t>T070</t>
  </si>
  <si>
    <t>12月sunny提现（线下和内购）</t>
    <phoneticPr fontId="6" type="noConversion"/>
  </si>
  <si>
    <t>T071</t>
  </si>
  <si>
    <t>12月sunny提现（书写营）</t>
    <phoneticPr fontId="6" type="noConversion"/>
  </si>
  <si>
    <t>远姐装修款</t>
    <phoneticPr fontId="6" type="noConversion"/>
  </si>
  <si>
    <t>T072</t>
  </si>
  <si>
    <t>代付款</t>
    <phoneticPr fontId="6" type="noConversion"/>
  </si>
  <si>
    <t>T073</t>
  </si>
  <si>
    <t>废纸销售</t>
    <phoneticPr fontId="6" type="noConversion"/>
  </si>
  <si>
    <t>T074</t>
  </si>
  <si>
    <t>找票</t>
    <phoneticPr fontId="6" type="noConversion"/>
  </si>
  <si>
    <t>榆乐</t>
    <phoneticPr fontId="6" type="noConversion"/>
  </si>
  <si>
    <t>T075</t>
  </si>
  <si>
    <t>T076</t>
  </si>
  <si>
    <t>王洳琦 喜家</t>
    <phoneticPr fontId="6" type="noConversion"/>
  </si>
  <si>
    <t>T077</t>
  </si>
  <si>
    <t>厂家退多付款项</t>
    <phoneticPr fontId="6" type="noConversion"/>
  </si>
  <si>
    <t>T078</t>
  </si>
  <si>
    <t>桑木</t>
    <phoneticPr fontId="6" type="noConversion"/>
  </si>
  <si>
    <t>T079</t>
  </si>
  <si>
    <t>T080</t>
  </si>
  <si>
    <t>T081</t>
  </si>
  <si>
    <t>王洳琦 明月远家</t>
    <phoneticPr fontId="6" type="noConversion"/>
  </si>
  <si>
    <t>T082</t>
  </si>
  <si>
    <t>T082</t>
    <phoneticPr fontId="6" type="noConversion"/>
  </si>
  <si>
    <t>T083</t>
  </si>
  <si>
    <t>计提1月工资</t>
    <phoneticPr fontId="6" type="noConversion"/>
  </si>
  <si>
    <t>支付</t>
    <phoneticPr fontId="6" type="noConversion"/>
  </si>
  <si>
    <t>预付货款</t>
    <phoneticPr fontId="6" type="noConversion"/>
  </si>
  <si>
    <t>12月工资</t>
    <phoneticPr fontId="6" type="noConversion"/>
  </si>
  <si>
    <t>计提年终奖</t>
    <phoneticPr fontId="6" type="noConversion"/>
  </si>
  <si>
    <t>缴纳计提社保</t>
    <phoneticPr fontId="6" type="noConversion"/>
  </si>
  <si>
    <t>1月</t>
    <phoneticPr fontId="6" type="noConversion"/>
  </si>
  <si>
    <t>2月</t>
  </si>
  <si>
    <t>3月</t>
  </si>
  <si>
    <t>4月</t>
  </si>
  <si>
    <t>5月</t>
  </si>
  <si>
    <t>6月</t>
  </si>
  <si>
    <t>7月</t>
  </si>
  <si>
    <t>8月</t>
  </si>
  <si>
    <t>9月</t>
  </si>
  <si>
    <t>10月</t>
  </si>
  <si>
    <t>11月</t>
  </si>
  <si>
    <t>12月</t>
  </si>
  <si>
    <t>房租</t>
    <phoneticPr fontId="6" type="noConversion"/>
  </si>
  <si>
    <t>合计</t>
    <phoneticPr fontId="6" type="noConversion"/>
  </si>
  <si>
    <t>T084</t>
  </si>
  <si>
    <t xml:space="preserve">榆乐1月房租12-2 </t>
    <phoneticPr fontId="6" type="noConversion"/>
  </si>
  <si>
    <t>Depo</t>
    <phoneticPr fontId="6" type="noConversion"/>
  </si>
  <si>
    <t>T085</t>
  </si>
  <si>
    <t>T086</t>
  </si>
  <si>
    <t>第四季度税费</t>
    <phoneticPr fontId="6" type="noConversion"/>
  </si>
  <si>
    <t>T087</t>
  </si>
  <si>
    <t>驻色淘宝</t>
    <phoneticPr fontId="6" type="noConversion"/>
  </si>
  <si>
    <t>T088</t>
  </si>
  <si>
    <t>结转榆乐增值税</t>
    <phoneticPr fontId="6" type="noConversion"/>
  </si>
  <si>
    <t>T089</t>
  </si>
  <si>
    <t>T090</t>
  </si>
  <si>
    <t>个税手续费增值税</t>
    <phoneticPr fontId="6" type="noConversion"/>
  </si>
  <si>
    <t>T091</t>
  </si>
  <si>
    <t>福利费</t>
    <phoneticPr fontId="6" type="noConversion"/>
  </si>
  <si>
    <t>T092</t>
  </si>
  <si>
    <t>办公水电费等</t>
    <phoneticPr fontId="6" type="noConversion"/>
  </si>
  <si>
    <t>T093</t>
  </si>
  <si>
    <t>办公费</t>
    <phoneticPr fontId="6" type="noConversion"/>
  </si>
  <si>
    <t>T094</t>
  </si>
  <si>
    <t>T095</t>
  </si>
  <si>
    <t>蜡染服务费</t>
    <phoneticPr fontId="6" type="noConversion"/>
  </si>
  <si>
    <t>内部结算</t>
    <phoneticPr fontId="6" type="noConversion"/>
  </si>
  <si>
    <t>T096</t>
  </si>
  <si>
    <t>T097</t>
  </si>
  <si>
    <t>修理费</t>
    <phoneticPr fontId="6" type="noConversion"/>
  </si>
  <si>
    <t>T098</t>
  </si>
  <si>
    <t>染匠 远家花园</t>
    <phoneticPr fontId="6" type="noConversion"/>
  </si>
  <si>
    <t>T099</t>
  </si>
  <si>
    <t>T100</t>
  </si>
  <si>
    <t>驻色员工</t>
    <phoneticPr fontId="6" type="noConversion"/>
  </si>
  <si>
    <t>T101</t>
  </si>
  <si>
    <t>染匠 远家文化</t>
    <phoneticPr fontId="6" type="noConversion"/>
  </si>
  <si>
    <t>T102</t>
  </si>
  <si>
    <t>T103</t>
  </si>
  <si>
    <t>JH.2761</t>
    <phoneticPr fontId="6" type="noConversion"/>
  </si>
  <si>
    <t>JH.0754</t>
    <phoneticPr fontId="6" type="noConversion"/>
  </si>
  <si>
    <t>T104</t>
  </si>
  <si>
    <t>Zhuse</t>
  </si>
  <si>
    <t>Zhuse</t>
    <phoneticPr fontId="6" type="noConversion"/>
  </si>
  <si>
    <t>驻色</t>
    <phoneticPr fontId="6" type="noConversion"/>
  </si>
  <si>
    <t>打样收入</t>
    <phoneticPr fontId="6" type="noConversion"/>
  </si>
  <si>
    <t>T105</t>
  </si>
  <si>
    <t>收款</t>
    <phoneticPr fontId="6" type="noConversion"/>
  </si>
  <si>
    <t>T106</t>
  </si>
  <si>
    <t>餐饮图书</t>
    <phoneticPr fontId="6" type="noConversion"/>
  </si>
  <si>
    <t>T107</t>
  </si>
  <si>
    <t>Order</t>
    <phoneticPr fontId="6" type="noConversion"/>
  </si>
  <si>
    <t>T108</t>
  </si>
  <si>
    <t>采购</t>
    <phoneticPr fontId="6" type="noConversion"/>
  </si>
  <si>
    <t>水果</t>
    <phoneticPr fontId="6" type="noConversion"/>
  </si>
  <si>
    <t>T109</t>
  </si>
  <si>
    <t>牛奶</t>
    <phoneticPr fontId="6" type="noConversion"/>
  </si>
  <si>
    <t>T110</t>
  </si>
  <si>
    <t>茶叶</t>
    <phoneticPr fontId="6" type="noConversion"/>
  </si>
  <si>
    <t>T111</t>
  </si>
  <si>
    <t>甜品</t>
    <phoneticPr fontId="6" type="noConversion"/>
  </si>
  <si>
    <t>MiXiaoYi</t>
    <phoneticPr fontId="6" type="noConversion"/>
  </si>
  <si>
    <t>食材</t>
    <phoneticPr fontId="6" type="noConversion"/>
  </si>
  <si>
    <t>T112</t>
  </si>
  <si>
    <t>T113</t>
  </si>
  <si>
    <t>T114</t>
  </si>
  <si>
    <t>T115</t>
  </si>
  <si>
    <t>洗涤费</t>
    <phoneticPr fontId="6" type="noConversion"/>
  </si>
  <si>
    <t>T116</t>
  </si>
  <si>
    <t>T117</t>
  </si>
  <si>
    <t>鸡蛋</t>
    <phoneticPr fontId="6" type="noConversion"/>
  </si>
  <si>
    <t>T118</t>
  </si>
  <si>
    <t>T119</t>
  </si>
  <si>
    <t>干杂</t>
    <phoneticPr fontId="6" type="noConversion"/>
  </si>
  <si>
    <t>T120</t>
  </si>
  <si>
    <t>蔬菜</t>
    <phoneticPr fontId="6" type="noConversion"/>
  </si>
  <si>
    <t>T121</t>
  </si>
  <si>
    <t>咖啡</t>
    <phoneticPr fontId="6" type="noConversion"/>
  </si>
  <si>
    <t>T122</t>
  </si>
  <si>
    <t>冻品</t>
    <phoneticPr fontId="6" type="noConversion"/>
  </si>
  <si>
    <t>T123</t>
  </si>
  <si>
    <t>T124</t>
  </si>
  <si>
    <t>T125</t>
  </si>
  <si>
    <t>T126</t>
  </si>
  <si>
    <t>餐具低耗</t>
    <phoneticPr fontId="6" type="noConversion"/>
  </si>
  <si>
    <t>T127</t>
  </si>
  <si>
    <t>活动物料</t>
    <phoneticPr fontId="6" type="noConversion"/>
  </si>
  <si>
    <t>水街员工</t>
    <phoneticPr fontId="6" type="noConversion"/>
  </si>
  <si>
    <t>T128</t>
  </si>
  <si>
    <t>兼职</t>
    <phoneticPr fontId="6" type="noConversion"/>
  </si>
  <si>
    <t>T129</t>
  </si>
  <si>
    <t>T130</t>
  </si>
  <si>
    <t>啤酒</t>
    <phoneticPr fontId="6" type="noConversion"/>
  </si>
  <si>
    <t>T131</t>
  </si>
  <si>
    <t>第四季度税费 实际缴纳和前期计提有4分钱尾差</t>
    <phoneticPr fontId="6" type="noConversion"/>
  </si>
  <si>
    <t>第四季度税费 实际缴纳和前期计提有1分钱尾差</t>
    <phoneticPr fontId="6" type="noConversion"/>
  </si>
  <si>
    <t>T132</t>
  </si>
  <si>
    <t>T133</t>
  </si>
  <si>
    <t>T134</t>
  </si>
  <si>
    <t>税务代理</t>
    <phoneticPr fontId="6" type="noConversion"/>
  </si>
  <si>
    <t>T135</t>
  </si>
  <si>
    <t>T136</t>
  </si>
  <si>
    <t>T137</t>
  </si>
  <si>
    <t>T138</t>
  </si>
  <si>
    <t>水街员工预支款</t>
    <phoneticPr fontId="6" type="noConversion"/>
  </si>
  <si>
    <t>T139</t>
  </si>
  <si>
    <t>存现</t>
    <phoneticPr fontId="6" type="noConversion"/>
  </si>
  <si>
    <t>餐厅现金</t>
    <phoneticPr fontId="6" type="noConversion"/>
  </si>
  <si>
    <t>T140</t>
  </si>
  <si>
    <t>个税手续费返还</t>
    <phoneticPr fontId="6" type="noConversion"/>
  </si>
  <si>
    <t>T141</t>
  </si>
  <si>
    <t>T142</t>
  </si>
  <si>
    <t>T143</t>
  </si>
  <si>
    <t>葡萄酒</t>
    <phoneticPr fontId="6" type="noConversion"/>
  </si>
  <si>
    <t>T144</t>
  </si>
  <si>
    <t>T145</t>
  </si>
  <si>
    <t>T146</t>
  </si>
  <si>
    <t>T147</t>
  </si>
  <si>
    <t>低耗用品</t>
    <phoneticPr fontId="6" type="noConversion"/>
  </si>
  <si>
    <t>T148</t>
  </si>
  <si>
    <t>T149</t>
  </si>
  <si>
    <t>宽带费</t>
    <phoneticPr fontId="6" type="noConversion"/>
  </si>
  <si>
    <t>T150</t>
  </si>
  <si>
    <t>T151</t>
  </si>
  <si>
    <t>米小易 远家花园</t>
    <phoneticPr fontId="6" type="noConversion"/>
  </si>
  <si>
    <t>T152</t>
  </si>
  <si>
    <t>T153</t>
  </si>
  <si>
    <t>T154</t>
  </si>
  <si>
    <t>T155</t>
  </si>
  <si>
    <t>T156</t>
  </si>
  <si>
    <t>入库</t>
    <phoneticPr fontId="6" type="noConversion"/>
  </si>
  <si>
    <t>T157</t>
  </si>
  <si>
    <t>T158</t>
  </si>
  <si>
    <t>T159</t>
  </si>
  <si>
    <t>T160</t>
  </si>
  <si>
    <t>T161</t>
  </si>
  <si>
    <t>现金</t>
    <phoneticPr fontId="6" type="noConversion"/>
  </si>
  <si>
    <t>T162</t>
  </si>
  <si>
    <t>T163</t>
  </si>
  <si>
    <t>平台手续费</t>
    <phoneticPr fontId="6" type="noConversion"/>
  </si>
  <si>
    <t>T164</t>
  </si>
  <si>
    <t>T165</t>
  </si>
  <si>
    <t>T166</t>
  </si>
  <si>
    <t>成本结转</t>
    <phoneticPr fontId="6" type="noConversion"/>
  </si>
  <si>
    <t>T167</t>
  </si>
  <si>
    <t>T168</t>
  </si>
  <si>
    <t>T169</t>
  </si>
  <si>
    <t>T126</t>
    <phoneticPr fontId="6" type="noConversion"/>
  </si>
  <si>
    <t>Bank</t>
    <phoneticPr fontId="6" type="noConversion"/>
  </si>
  <si>
    <t>JH.8952</t>
    <phoneticPr fontId="6" type="noConversion"/>
  </si>
  <si>
    <t>JH.4559</t>
    <phoneticPr fontId="6" type="noConversion"/>
  </si>
  <si>
    <t>AR</t>
    <phoneticPr fontId="6" type="noConversion"/>
  </si>
  <si>
    <t>平台</t>
    <phoneticPr fontId="6" type="noConversion"/>
  </si>
  <si>
    <t>FrOther</t>
    <phoneticPr fontId="6" type="noConversion"/>
  </si>
  <si>
    <t>ToEmp</t>
    <phoneticPr fontId="6" type="noConversion"/>
  </si>
  <si>
    <t>OnEmp</t>
    <phoneticPr fontId="6" type="noConversion"/>
  </si>
  <si>
    <t>Curr</t>
    <phoneticPr fontId="6" type="noConversion"/>
  </si>
  <si>
    <t>Phys.C</t>
    <phoneticPr fontId="6" type="noConversion"/>
  </si>
  <si>
    <t>Casher.cy</t>
    <phoneticPr fontId="6" type="noConversion"/>
  </si>
  <si>
    <t>平台到账</t>
    <phoneticPr fontId="6" type="noConversion"/>
  </si>
  <si>
    <t>T170</t>
  </si>
  <si>
    <t>燃气费</t>
    <phoneticPr fontId="6" type="noConversion"/>
  </si>
  <si>
    <t>T171</t>
  </si>
  <si>
    <t>插花</t>
    <phoneticPr fontId="6" type="noConversion"/>
  </si>
  <si>
    <t>T172</t>
  </si>
  <si>
    <t>T173</t>
  </si>
  <si>
    <t>消杀</t>
    <phoneticPr fontId="6" type="noConversion"/>
  </si>
  <si>
    <t>T174</t>
  </si>
  <si>
    <t>T174</t>
    <phoneticPr fontId="6" type="noConversion"/>
  </si>
  <si>
    <t>T175</t>
  </si>
  <si>
    <t>电费</t>
    <phoneticPr fontId="6" type="noConversion"/>
  </si>
  <si>
    <t>T176</t>
  </si>
  <si>
    <t>T177</t>
  </si>
  <si>
    <t>T178</t>
  </si>
  <si>
    <t>消费税</t>
    <phoneticPr fontId="6" type="noConversion"/>
  </si>
  <si>
    <t>T179</t>
  </si>
  <si>
    <t>木板</t>
    <phoneticPr fontId="6" type="noConversion"/>
  </si>
  <si>
    <t>T180</t>
  </si>
  <si>
    <t>T181</t>
  </si>
  <si>
    <t>T182</t>
  </si>
  <si>
    <t>店家快递费</t>
    <phoneticPr fontId="6" type="noConversion"/>
  </si>
  <si>
    <t>T183</t>
  </si>
  <si>
    <t>喜家 远家花园</t>
    <phoneticPr fontId="6" type="noConversion"/>
  </si>
  <si>
    <t>T183</t>
    <phoneticPr fontId="6" type="noConversion"/>
  </si>
  <si>
    <t>T184</t>
  </si>
  <si>
    <t>T184</t>
    <phoneticPr fontId="6" type="noConversion"/>
  </si>
  <si>
    <t>T185</t>
  </si>
  <si>
    <t>T186</t>
  </si>
  <si>
    <t>T187</t>
  </si>
  <si>
    <t>T188</t>
  </si>
  <si>
    <t>T189</t>
  </si>
  <si>
    <t>服装</t>
    <phoneticPr fontId="6" type="noConversion"/>
  </si>
  <si>
    <t>T190</t>
  </si>
  <si>
    <t>T191</t>
  </si>
  <si>
    <t>T192</t>
  </si>
  <si>
    <t>T193</t>
  </si>
  <si>
    <t>时一</t>
    <phoneticPr fontId="6" type="noConversion"/>
  </si>
  <si>
    <t>T194</t>
  </si>
  <si>
    <t>T195</t>
  </si>
  <si>
    <t>T196</t>
  </si>
  <si>
    <t>T196</t>
    <phoneticPr fontId="6" type="noConversion"/>
  </si>
  <si>
    <t>T197</t>
  </si>
  <si>
    <t>T198</t>
  </si>
  <si>
    <t>T199</t>
  </si>
  <si>
    <t>T200</t>
  </si>
  <si>
    <t>T201</t>
  </si>
  <si>
    <t>T202</t>
  </si>
  <si>
    <t>平台下月到账</t>
    <phoneticPr fontId="6" type="noConversion"/>
  </si>
  <si>
    <t>12月多确认</t>
    <phoneticPr fontId="6" type="noConversion"/>
  </si>
  <si>
    <t>预付订单</t>
    <phoneticPr fontId="6" type="noConversion"/>
  </si>
  <si>
    <t>AP</t>
    <phoneticPr fontId="6" type="noConversion"/>
  </si>
  <si>
    <t>Casher.fz</t>
    <phoneticPr fontId="6" type="noConversion"/>
  </si>
  <si>
    <t>T203</t>
  </si>
  <si>
    <t>瑜伽课程费</t>
    <phoneticPr fontId="6" type="noConversion"/>
  </si>
  <si>
    <t>花艺课程费</t>
    <phoneticPr fontId="6" type="noConversion"/>
  </si>
  <si>
    <t>T204</t>
  </si>
  <si>
    <t>打印费</t>
    <phoneticPr fontId="6" type="noConversion"/>
  </si>
  <si>
    <t>T205</t>
  </si>
  <si>
    <t>T206</t>
  </si>
  <si>
    <t>T207</t>
  </si>
  <si>
    <t>T208</t>
  </si>
  <si>
    <t>T209</t>
  </si>
  <si>
    <t>T210</t>
  </si>
  <si>
    <t>T000</t>
    <phoneticPr fontId="6" type="noConversion"/>
  </si>
  <si>
    <t>T211</t>
  </si>
  <si>
    <t>T212</t>
  </si>
  <si>
    <t>T213</t>
  </si>
  <si>
    <t>T214</t>
  </si>
  <si>
    <t>原值</t>
    <phoneticPr fontId="6" type="noConversion"/>
  </si>
  <si>
    <t>装修</t>
    <phoneticPr fontId="6" type="noConversion"/>
  </si>
  <si>
    <t>剩余待摊金额</t>
    <phoneticPr fontId="6" type="noConversion"/>
  </si>
  <si>
    <t>T215</t>
  </si>
  <si>
    <t>装修费</t>
    <phoneticPr fontId="6" type="noConversion"/>
  </si>
  <si>
    <t>T216</t>
  </si>
  <si>
    <t>T217</t>
  </si>
  <si>
    <t>T218</t>
  </si>
  <si>
    <t>T219</t>
    <phoneticPr fontId="6" type="noConversion"/>
  </si>
  <si>
    <t>2026房租</t>
    <phoneticPr fontId="6" type="noConversion"/>
  </si>
  <si>
    <t>T220</t>
  </si>
  <si>
    <t>税费</t>
    <phoneticPr fontId="6" type="noConversion"/>
  </si>
  <si>
    <t>T221</t>
  </si>
  <si>
    <t>T222</t>
  </si>
  <si>
    <t>奖金 账面多9万</t>
    <phoneticPr fontId="6" type="noConversion"/>
  </si>
  <si>
    <t>XiJia</t>
    <phoneticPr fontId="6" type="noConversion"/>
  </si>
  <si>
    <t>前期累计摊销额</t>
    <phoneticPr fontId="6" type="noConversion"/>
  </si>
  <si>
    <t>JH.2131</t>
    <phoneticPr fontId="6" type="noConversion"/>
  </si>
  <si>
    <t>Casher.hd</t>
    <phoneticPr fontId="6" type="noConversion"/>
  </si>
  <si>
    <t>Property</t>
    <phoneticPr fontId="6" type="noConversion"/>
  </si>
  <si>
    <t>水街-累计折旧</t>
    <phoneticPr fontId="6" type="noConversion"/>
  </si>
  <si>
    <t>T223</t>
  </si>
  <si>
    <t>T224</t>
  </si>
  <si>
    <t>T225</t>
  </si>
  <si>
    <t>T228</t>
  </si>
  <si>
    <t>停车费</t>
    <phoneticPr fontId="6" type="noConversion"/>
  </si>
  <si>
    <t>T229</t>
  </si>
  <si>
    <t>T231</t>
  </si>
  <si>
    <t>T232</t>
  </si>
  <si>
    <t>淘宝</t>
    <phoneticPr fontId="6" type="noConversion"/>
  </si>
  <si>
    <t>T233</t>
  </si>
  <si>
    <t>T234</t>
  </si>
  <si>
    <t>工资发票形式</t>
    <phoneticPr fontId="6" type="noConversion"/>
  </si>
  <si>
    <t>T235</t>
  </si>
  <si>
    <t>贝壳报销交通、餐食</t>
    <phoneticPr fontId="6" type="noConversion"/>
  </si>
  <si>
    <t>T236</t>
  </si>
  <si>
    <t>T237</t>
  </si>
  <si>
    <t>T238</t>
  </si>
  <si>
    <t>T239</t>
  </si>
  <si>
    <t>T240</t>
  </si>
  <si>
    <t>T241</t>
  </si>
  <si>
    <t>T242</t>
  </si>
  <si>
    <t>T244</t>
  </si>
  <si>
    <t>T245</t>
  </si>
  <si>
    <t>T246</t>
  </si>
  <si>
    <t>T247</t>
  </si>
  <si>
    <t>T248</t>
  </si>
  <si>
    <t>T249</t>
  </si>
  <si>
    <t>T250</t>
  </si>
  <si>
    <t>T251</t>
  </si>
  <si>
    <t>T252</t>
  </si>
  <si>
    <t>T253</t>
  </si>
  <si>
    <t>包装费</t>
    <phoneticPr fontId="6" type="noConversion"/>
  </si>
  <si>
    <t>T254</t>
  </si>
  <si>
    <t>T255</t>
  </si>
  <si>
    <t>包装费等</t>
    <phoneticPr fontId="6" type="noConversion"/>
  </si>
  <si>
    <t>T256</t>
  </si>
  <si>
    <t>T258</t>
  </si>
  <si>
    <t>T259</t>
  </si>
  <si>
    <t>T260</t>
  </si>
  <si>
    <t>T261</t>
  </si>
  <si>
    <t>T262</t>
  </si>
  <si>
    <t>T263</t>
  </si>
  <si>
    <t>T264</t>
  </si>
  <si>
    <t>T265</t>
  </si>
  <si>
    <t>T266</t>
  </si>
  <si>
    <t>T267</t>
  </si>
  <si>
    <t>T268</t>
  </si>
  <si>
    <t>T269</t>
  </si>
  <si>
    <t>T270</t>
  </si>
  <si>
    <t>T271</t>
  </si>
  <si>
    <t>T272</t>
  </si>
  <si>
    <t>T273</t>
  </si>
  <si>
    <t>T275</t>
  </si>
  <si>
    <t>T276</t>
  </si>
  <si>
    <t>T277</t>
  </si>
  <si>
    <t>T278</t>
  </si>
  <si>
    <t>T279</t>
  </si>
  <si>
    <t>T280</t>
  </si>
  <si>
    <t>T282</t>
  </si>
  <si>
    <t>T283</t>
  </si>
  <si>
    <t>T285</t>
  </si>
  <si>
    <t>T286</t>
  </si>
  <si>
    <t>T287</t>
  </si>
  <si>
    <t>T288</t>
  </si>
  <si>
    <t>T289</t>
  </si>
  <si>
    <t>T290</t>
  </si>
  <si>
    <t>T291</t>
  </si>
  <si>
    <t>T292</t>
  </si>
  <si>
    <t>T293</t>
  </si>
  <si>
    <t>T294</t>
  </si>
  <si>
    <t>电脑设备</t>
    <phoneticPr fontId="6" type="noConversion"/>
  </si>
  <si>
    <t>T295</t>
  </si>
  <si>
    <t>T296</t>
  </si>
  <si>
    <t>T298</t>
  </si>
  <si>
    <t>T301</t>
  </si>
  <si>
    <t>T302</t>
  </si>
  <si>
    <t>外加工费</t>
    <phoneticPr fontId="6" type="noConversion"/>
  </si>
  <si>
    <t>T303</t>
  </si>
  <si>
    <t>T304</t>
  </si>
  <si>
    <t>T305</t>
  </si>
  <si>
    <t>T306</t>
  </si>
  <si>
    <t>T307</t>
  </si>
  <si>
    <t>T308</t>
  </si>
  <si>
    <t>T309</t>
  </si>
  <si>
    <t>T310</t>
  </si>
  <si>
    <t>T311</t>
  </si>
  <si>
    <t>油费</t>
    <phoneticPr fontId="6" type="noConversion"/>
  </si>
  <si>
    <t>T312</t>
  </si>
  <si>
    <t>T313</t>
  </si>
  <si>
    <t>商标代理费</t>
    <phoneticPr fontId="6" type="noConversion"/>
  </si>
  <si>
    <t>T314</t>
  </si>
  <si>
    <t>T315</t>
  </si>
  <si>
    <t>T316</t>
  </si>
  <si>
    <t>T317</t>
  </si>
  <si>
    <t>T318</t>
  </si>
  <si>
    <t>T319</t>
  </si>
  <si>
    <t>生产物料</t>
    <phoneticPr fontId="6" type="noConversion"/>
  </si>
  <si>
    <t>T320</t>
  </si>
  <si>
    <t>T321</t>
  </si>
  <si>
    <t>面料</t>
    <phoneticPr fontId="6" type="noConversion"/>
  </si>
  <si>
    <t>T323</t>
  </si>
  <si>
    <t>T324</t>
  </si>
  <si>
    <t>团建经费</t>
    <phoneticPr fontId="6" type="noConversion"/>
  </si>
  <si>
    <t>T325</t>
  </si>
  <si>
    <t>T326</t>
  </si>
  <si>
    <t>T327</t>
  </si>
  <si>
    <t>T330</t>
  </si>
  <si>
    <t>T331</t>
  </si>
  <si>
    <t>T332</t>
  </si>
  <si>
    <t>T333</t>
  </si>
  <si>
    <t>T334</t>
  </si>
  <si>
    <t>大货</t>
    <phoneticPr fontId="6" type="noConversion"/>
  </si>
  <si>
    <t>供应商退货款</t>
    <phoneticPr fontId="6" type="noConversion"/>
  </si>
  <si>
    <t>加工</t>
    <phoneticPr fontId="6" type="noConversion"/>
  </si>
  <si>
    <t>T333</t>
    <phoneticPr fontId="6" type="noConversion"/>
  </si>
  <si>
    <t>绣花</t>
    <phoneticPr fontId="6" type="noConversion"/>
  </si>
  <si>
    <t>T335</t>
  </si>
  <si>
    <t>T336</t>
  </si>
  <si>
    <t>T337</t>
  </si>
  <si>
    <t>T338</t>
  </si>
  <si>
    <t>T339</t>
  </si>
  <si>
    <t>T340</t>
  </si>
  <si>
    <t>T341</t>
  </si>
  <si>
    <t>T342</t>
  </si>
  <si>
    <t>T343</t>
  </si>
  <si>
    <t>办公杂项</t>
    <phoneticPr fontId="6" type="noConversion"/>
  </si>
  <si>
    <t>T344</t>
  </si>
  <si>
    <t>T345</t>
  </si>
  <si>
    <t>驻色染色</t>
    <phoneticPr fontId="6" type="noConversion"/>
  </si>
  <si>
    <t>T346</t>
  </si>
  <si>
    <t>T347</t>
  </si>
  <si>
    <t>T348</t>
  </si>
  <si>
    <t>T349</t>
  </si>
  <si>
    <t>T350</t>
  </si>
  <si>
    <t>T351</t>
  </si>
  <si>
    <t>T352</t>
  </si>
  <si>
    <t>费用退回</t>
    <phoneticPr fontId="6" type="noConversion"/>
  </si>
  <si>
    <t>T354</t>
  </si>
  <si>
    <t>视频号</t>
    <phoneticPr fontId="6" type="noConversion"/>
  </si>
  <si>
    <t>T355</t>
  </si>
  <si>
    <t>T356</t>
  </si>
  <si>
    <t>T357</t>
  </si>
  <si>
    <t>T358</t>
  </si>
  <si>
    <t>T359</t>
  </si>
  <si>
    <t>T360</t>
  </si>
  <si>
    <t>T361</t>
  </si>
  <si>
    <t>增值税销项</t>
    <phoneticPr fontId="6" type="noConversion"/>
  </si>
  <si>
    <t>增值税进项</t>
    <phoneticPr fontId="6" type="noConversion"/>
  </si>
  <si>
    <t>T362</t>
  </si>
  <si>
    <t>T363</t>
  </si>
  <si>
    <t>低耗</t>
  </si>
  <si>
    <t>图书</t>
  </si>
  <si>
    <t>T364</t>
  </si>
  <si>
    <t>增值税减免优惠</t>
    <phoneticPr fontId="6" type="noConversion"/>
  </si>
  <si>
    <t>T364</t>
    <phoneticPr fontId="6" type="noConversion"/>
  </si>
  <si>
    <t>NH.3284</t>
    <phoneticPr fontId="6" type="noConversion"/>
  </si>
  <si>
    <t>ETC</t>
    <phoneticPr fontId="6" type="noConversion"/>
  </si>
  <si>
    <t>薪酬-社保</t>
  </si>
  <si>
    <t>薪酬-工资</t>
  </si>
  <si>
    <t>薪酬-奖金</t>
  </si>
  <si>
    <t>设计</t>
  </si>
  <si>
    <t>补贴</t>
  </si>
  <si>
    <t>分红</t>
  </si>
  <si>
    <t>代付款</t>
  </si>
  <si>
    <t>找票</t>
  </si>
  <si>
    <t>内部结算</t>
  </si>
  <si>
    <t>摊销</t>
  </si>
  <si>
    <t>收款</t>
  </si>
  <si>
    <t>存现</t>
  </si>
  <si>
    <t>成本结转</t>
  </si>
  <si>
    <t>加工</t>
  </si>
  <si>
    <t>确认补贴收入</t>
    <phoneticPr fontId="6" type="noConversion"/>
  </si>
  <si>
    <t>确认销售收入</t>
    <phoneticPr fontId="6" type="noConversion"/>
  </si>
  <si>
    <t>缴纳并计提社保</t>
    <phoneticPr fontId="6" type="noConversion"/>
  </si>
  <si>
    <t>说明</t>
    <phoneticPr fontId="6" type="noConversion"/>
  </si>
  <si>
    <t>是否影响损益</t>
    <phoneticPr fontId="6" type="noConversion"/>
  </si>
  <si>
    <t>是</t>
    <phoneticPr fontId="6" type="noConversion"/>
  </si>
  <si>
    <t>否</t>
    <phoneticPr fontId="6" type="noConversion"/>
  </si>
  <si>
    <t xml:space="preserve">计提工资 </t>
    <phoneticPr fontId="6" type="noConversion"/>
  </si>
  <si>
    <t xml:space="preserve">计提奖金 </t>
    <phoneticPr fontId="6" type="noConversion"/>
  </si>
  <si>
    <t>支付剪板面料、样品</t>
    <phoneticPr fontId="6" type="noConversion"/>
  </si>
  <si>
    <t xml:space="preserve">股东分红  </t>
    <phoneticPr fontId="6" type="noConversion"/>
  </si>
  <si>
    <t>代收付款</t>
    <phoneticPr fontId="6" type="noConversion"/>
  </si>
  <si>
    <t>外部开票费用</t>
    <phoneticPr fontId="6" type="noConversion"/>
  </si>
  <si>
    <t xml:space="preserve">内部往来过账  </t>
    <phoneticPr fontId="6" type="noConversion"/>
  </si>
  <si>
    <t>房租 物管 装修</t>
    <phoneticPr fontId="6" type="noConversion"/>
  </si>
  <si>
    <t>计提税金</t>
    <phoneticPr fontId="6" type="noConversion"/>
  </si>
  <si>
    <t>附加税 消费税 印花税 所得税</t>
    <phoneticPr fontId="6" type="noConversion"/>
  </si>
  <si>
    <t>退款-客人</t>
    <phoneticPr fontId="6" type="noConversion"/>
  </si>
  <si>
    <t>退款给客人</t>
    <phoneticPr fontId="6" type="noConversion"/>
  </si>
  <si>
    <t>退款-供应商</t>
    <phoneticPr fontId="6" type="noConversion"/>
  </si>
  <si>
    <t>外加工费用</t>
    <phoneticPr fontId="6" type="noConversion"/>
  </si>
  <si>
    <t>已报销费用退回</t>
    <phoneticPr fontId="6" type="noConversion"/>
  </si>
  <si>
    <t>退费-供应商</t>
    <phoneticPr fontId="6" type="noConversion"/>
  </si>
  <si>
    <t>创业园3-5和5-2房租</t>
    <phoneticPr fontId="6" type="noConversion"/>
  </si>
  <si>
    <t>增值税销项 进项 减免优惠</t>
    <phoneticPr fontId="6" type="noConversion"/>
  </si>
  <si>
    <t>折旧</t>
    <phoneticPr fontId="6" type="noConversion"/>
  </si>
  <si>
    <t>房屋土地</t>
    <phoneticPr fontId="6" type="noConversion"/>
  </si>
  <si>
    <t>费用付款</t>
    <phoneticPr fontId="6" type="noConversion"/>
  </si>
  <si>
    <t>现金存入银行</t>
    <phoneticPr fontId="6" type="noConversion"/>
  </si>
  <si>
    <t>到账</t>
    <phoneticPr fontId="6" type="noConversion"/>
  </si>
  <si>
    <t>付款</t>
    <phoneticPr fontId="6" type="noConversion"/>
  </si>
  <si>
    <t>乐于斯</t>
  </si>
  <si>
    <t>低苦艾</t>
  </si>
  <si>
    <t>货款</t>
  </si>
  <si>
    <t>消费税</t>
  </si>
  <si>
    <t>印花税</t>
  </si>
  <si>
    <t>远姐装修款</t>
  </si>
  <si>
    <t>奖金</t>
  </si>
  <si>
    <t>NS.9539</t>
    <phoneticPr fontId="6" type="noConversion"/>
  </si>
  <si>
    <t>huotang</t>
    <phoneticPr fontId="6" type="noConversion"/>
  </si>
  <si>
    <t>驻色-建</t>
    <phoneticPr fontId="6" type="noConversion"/>
  </si>
  <si>
    <t>WeC1</t>
    <phoneticPr fontId="6" type="noConversion"/>
  </si>
  <si>
    <t>WeC2</t>
    <phoneticPr fontId="6" type="noConversion"/>
  </si>
  <si>
    <t>小月1号</t>
    <phoneticPr fontId="6" type="noConversion"/>
  </si>
  <si>
    <t>小月2号</t>
    <phoneticPr fontId="6" type="noConversion"/>
  </si>
  <si>
    <t>线上平台</t>
    <phoneticPr fontId="6" type="noConversion"/>
  </si>
  <si>
    <t>个人预支</t>
    <phoneticPr fontId="6" type="noConversion"/>
  </si>
  <si>
    <t>明月远家</t>
    <phoneticPr fontId="6" type="noConversion"/>
  </si>
  <si>
    <t>明月村低耗</t>
    <phoneticPr fontId="6" type="noConversion"/>
  </si>
  <si>
    <t>水街图书</t>
    <phoneticPr fontId="6" type="noConversion"/>
  </si>
  <si>
    <t>创业园服装</t>
    <phoneticPr fontId="6" type="noConversion"/>
  </si>
  <si>
    <t>应付货款</t>
    <phoneticPr fontId="6" type="noConversion"/>
  </si>
  <si>
    <t>会员充值</t>
    <phoneticPr fontId="6" type="noConversion"/>
  </si>
  <si>
    <t>水街充值预收账面余额</t>
    <phoneticPr fontId="6" type="noConversion"/>
  </si>
  <si>
    <t>收明月远家客人押金</t>
    <phoneticPr fontId="6" type="noConversion"/>
  </si>
  <si>
    <t>水街装修暂未付款</t>
    <phoneticPr fontId="6" type="noConversion"/>
  </si>
  <si>
    <t>借出款项</t>
    <phoneticPr fontId="6" type="noConversion"/>
  </si>
  <si>
    <t>付的押金</t>
    <phoneticPr fontId="6" type="noConversion"/>
  </si>
  <si>
    <t>至尊卡</t>
    <phoneticPr fontId="6" type="noConversion"/>
  </si>
  <si>
    <t>预售至尊卡</t>
    <phoneticPr fontId="6" type="noConversion"/>
  </si>
  <si>
    <t>榆乐、桑木</t>
    <phoneticPr fontId="6" type="noConversion"/>
  </si>
  <si>
    <t>采购入库直接计入远家花园Curr</t>
    <phoneticPr fontId="6" type="noConversion"/>
  </si>
  <si>
    <t>小规模纳税人</t>
    <phoneticPr fontId="6" type="noConversion"/>
  </si>
  <si>
    <t>一般纳税人</t>
    <phoneticPr fontId="6" type="noConversion"/>
  </si>
  <si>
    <t>note</t>
    <phoneticPr fontId="6" type="noConversion"/>
  </si>
  <si>
    <t>对象</t>
    <phoneticPr fontId="6" type="noConversion"/>
  </si>
  <si>
    <t>IncNode</t>
    <phoneticPr fontId="6" type="noConversion"/>
  </si>
  <si>
    <t>确认收入的时候记录附加：应交增值税，计入IncNode的Revenue</t>
    <phoneticPr fontId="6" type="noConversion"/>
  </si>
  <si>
    <t>结转增值税时，记录销项减进项、减免后的净额，计入IncNode的Revenue</t>
    <phoneticPr fontId="6" type="noConversion"/>
  </si>
  <si>
    <t>Division</t>
    <phoneticPr fontId="6" type="noConversion"/>
  </si>
  <si>
    <r>
      <t>按所属板块记录，</t>
    </r>
    <r>
      <rPr>
        <sz val="11"/>
        <color rgb="FFFF0000"/>
        <rFont val="Calibri"/>
        <family val="3"/>
        <charset val="134"/>
        <scheme val="minor"/>
      </rPr>
      <t>不记录在内控合规；方便看各板块的税负</t>
    </r>
    <phoneticPr fontId="6" type="noConversion"/>
  </si>
  <si>
    <t>1、喜家和远家花园：以过账银行抵消，不计往来</t>
    <phoneticPr fontId="6" type="noConversion"/>
  </si>
  <si>
    <t>2、琦琦和明月村：以往来记录抵消</t>
    <phoneticPr fontId="6" type="noConversion"/>
  </si>
  <si>
    <t>3、远家花园和明月远家（视频号）：以过账银行抵消，不计往来</t>
    <phoneticPr fontId="6" type="noConversion"/>
  </si>
  <si>
    <t>远家花园</t>
    <phoneticPr fontId="6" type="noConversion"/>
  </si>
  <si>
    <t>不记录预付货款，支付即入库成为存货占款</t>
    <phoneticPr fontId="6" type="noConversion"/>
  </si>
  <si>
    <t>T257</t>
  </si>
  <si>
    <t>两个分录，一个是报销AR（平台）减少，一个是销售AR（平台）增加（注意销售计入IncNode的Revenue）</t>
    <phoneticPr fontId="6" type="noConversion"/>
  </si>
  <si>
    <t>T365</t>
  </si>
  <si>
    <t>客房现金</t>
    <phoneticPr fontId="6" type="noConversion"/>
  </si>
  <si>
    <t>客房</t>
    <phoneticPr fontId="6" type="noConversion"/>
  </si>
  <si>
    <t>T366</t>
  </si>
  <si>
    <t>卖场</t>
    <phoneticPr fontId="6" type="noConversion"/>
  </si>
  <si>
    <t>T367</t>
  </si>
  <si>
    <t>T368</t>
  </si>
  <si>
    <t>餐厅</t>
    <phoneticPr fontId="6" type="noConversion"/>
  </si>
  <si>
    <t>T369</t>
  </si>
  <si>
    <t>T370</t>
  </si>
  <si>
    <t>卖场现金</t>
    <phoneticPr fontId="6" type="noConversion"/>
  </si>
  <si>
    <t>礼金现金</t>
    <phoneticPr fontId="6" type="noConversion"/>
  </si>
  <si>
    <t>T371</t>
  </si>
  <si>
    <t>T372</t>
  </si>
  <si>
    <t>T373</t>
  </si>
  <si>
    <t>临时工</t>
    <phoneticPr fontId="6" type="noConversion"/>
  </si>
  <si>
    <t>T374</t>
  </si>
  <si>
    <t>T375</t>
  </si>
  <si>
    <t>演出费</t>
    <phoneticPr fontId="6" type="noConversion"/>
  </si>
  <si>
    <t>T376</t>
  </si>
  <si>
    <t>清洗费</t>
    <phoneticPr fontId="6" type="noConversion"/>
  </si>
  <si>
    <t>T377</t>
  </si>
  <si>
    <t>T378</t>
  </si>
  <si>
    <t>客房（订单来了）</t>
    <phoneticPr fontId="6" type="noConversion"/>
  </si>
  <si>
    <t>T379</t>
  </si>
  <si>
    <t>客房（携程）</t>
    <phoneticPr fontId="6" type="noConversion"/>
  </si>
  <si>
    <t>T380</t>
  </si>
  <si>
    <t>T381</t>
  </si>
  <si>
    <t>退款-供应商</t>
  </si>
  <si>
    <t>供应商退货款A减库存不影响损益B减费用成本影响</t>
    <phoneticPr fontId="6" type="noConversion"/>
  </si>
  <si>
    <t>T382</t>
  </si>
  <si>
    <t>T383</t>
  </si>
  <si>
    <t>T384</t>
  </si>
  <si>
    <t>布草洗涤</t>
    <phoneticPr fontId="6" type="noConversion"/>
  </si>
  <si>
    <t>T385</t>
  </si>
  <si>
    <t>T386</t>
  </si>
  <si>
    <t>团队定金</t>
    <phoneticPr fontId="6" type="noConversion"/>
  </si>
  <si>
    <t>团队</t>
    <phoneticPr fontId="6" type="noConversion"/>
  </si>
  <si>
    <t>T387</t>
  </si>
  <si>
    <t>餐具</t>
    <phoneticPr fontId="6" type="noConversion"/>
  </si>
  <si>
    <t>1、布草洗涤、燃气实际支付时记录费用</t>
    <phoneticPr fontId="6" type="noConversion"/>
  </si>
  <si>
    <t>T388</t>
  </si>
  <si>
    <t>T389</t>
  </si>
  <si>
    <t>T390</t>
  </si>
  <si>
    <t>T391</t>
  </si>
  <si>
    <t>团队尾款</t>
    <phoneticPr fontId="6" type="noConversion"/>
  </si>
  <si>
    <t>T392</t>
  </si>
  <si>
    <t>T393</t>
  </si>
  <si>
    <t>T394</t>
  </si>
  <si>
    <t>T395</t>
  </si>
  <si>
    <t>酒店业保险</t>
    <phoneticPr fontId="6" type="noConversion"/>
  </si>
  <si>
    <t>重要说明：</t>
    <phoneticPr fontId="6" type="noConversion"/>
  </si>
  <si>
    <t>T396</t>
  </si>
  <si>
    <t>诗与歌费用结算</t>
    <phoneticPr fontId="6" type="noConversion"/>
  </si>
  <si>
    <t>T397</t>
  </si>
  <si>
    <t>T398</t>
  </si>
  <si>
    <t>客房（美团）</t>
    <phoneticPr fontId="6" type="noConversion"/>
  </si>
  <si>
    <t>T399</t>
  </si>
  <si>
    <t>T400</t>
  </si>
  <si>
    <t>远家文化 郑燕</t>
    <phoneticPr fontId="6" type="noConversion"/>
  </si>
  <si>
    <t>T401</t>
  </si>
  <si>
    <t>小程序</t>
    <phoneticPr fontId="6" type="noConversion"/>
  </si>
  <si>
    <t>T402</t>
  </si>
  <si>
    <t>T403</t>
  </si>
  <si>
    <t>T404</t>
  </si>
  <si>
    <t>爱媛</t>
    <phoneticPr fontId="6" type="noConversion"/>
  </si>
  <si>
    <t>T405</t>
  </si>
  <si>
    <t>白茶包装盒</t>
    <phoneticPr fontId="6" type="noConversion"/>
  </si>
  <si>
    <t>T406</t>
  </si>
  <si>
    <t>2、社保缴纳时未记录个人部分，暂全额记录为费用</t>
    <phoneticPr fontId="6" type="noConversion"/>
  </si>
  <si>
    <t>T407</t>
  </si>
  <si>
    <t>T408</t>
  </si>
  <si>
    <t>YuanWH</t>
    <phoneticPr fontId="6" type="noConversion"/>
  </si>
  <si>
    <t>3、只有银行和现金计入了相应的Vehicle，其他资产、往来皆在YuanWH</t>
    <phoneticPr fontId="6" type="noConversion"/>
  </si>
  <si>
    <t>T409</t>
  </si>
  <si>
    <t>远家文化分公司 郑燕</t>
    <phoneticPr fontId="6" type="noConversion"/>
  </si>
  <si>
    <t>T410</t>
  </si>
  <si>
    <t>小程序咖啡杯</t>
    <phoneticPr fontId="6" type="noConversion"/>
  </si>
  <si>
    <t>T411</t>
  </si>
  <si>
    <t>T412</t>
  </si>
  <si>
    <t>物流</t>
    <phoneticPr fontId="6" type="noConversion"/>
  </si>
  <si>
    <t>T413</t>
  </si>
  <si>
    <t>包装贴纸</t>
    <phoneticPr fontId="6" type="noConversion"/>
  </si>
  <si>
    <t>T414</t>
  </si>
  <si>
    <t>小程序销售采购</t>
    <phoneticPr fontId="6" type="noConversion"/>
  </si>
  <si>
    <t>T415</t>
  </si>
  <si>
    <t>T416</t>
  </si>
  <si>
    <t>充电桩</t>
    <phoneticPr fontId="6" type="noConversion"/>
  </si>
  <si>
    <t>T417</t>
  </si>
  <si>
    <t>T418</t>
  </si>
  <si>
    <t>T419</t>
  </si>
  <si>
    <t>厨房采购</t>
    <phoneticPr fontId="6" type="noConversion"/>
  </si>
  <si>
    <t>客房采购</t>
    <phoneticPr fontId="6" type="noConversion"/>
  </si>
  <si>
    <t>T420</t>
  </si>
  <si>
    <t>吧台采购</t>
    <phoneticPr fontId="6" type="noConversion"/>
  </si>
  <si>
    <t>T421</t>
  </si>
  <si>
    <t>餐厅耗品</t>
    <phoneticPr fontId="6" type="noConversion"/>
  </si>
  <si>
    <t>T422</t>
  </si>
  <si>
    <t>T423</t>
  </si>
  <si>
    <t>T424</t>
  </si>
  <si>
    <t>T425</t>
  </si>
  <si>
    <t>办公用品</t>
    <phoneticPr fontId="6" type="noConversion"/>
  </si>
  <si>
    <t>T426</t>
  </si>
  <si>
    <t>采购相机</t>
    <phoneticPr fontId="6" type="noConversion"/>
  </si>
  <si>
    <t>T427</t>
  </si>
  <si>
    <t>萝卜干</t>
    <phoneticPr fontId="6" type="noConversion"/>
  </si>
  <si>
    <t>T428</t>
  </si>
  <si>
    <t>手工教室采购</t>
    <phoneticPr fontId="6" type="noConversion"/>
  </si>
  <si>
    <t>T429</t>
  </si>
  <si>
    <t>T430</t>
  </si>
  <si>
    <t>T431</t>
  </si>
  <si>
    <t>T432</t>
  </si>
  <si>
    <t>前台采购</t>
    <phoneticPr fontId="6" type="noConversion"/>
  </si>
  <si>
    <t>T433</t>
  </si>
  <si>
    <t>T434</t>
  </si>
  <si>
    <t>手工课</t>
    <phoneticPr fontId="6" type="noConversion"/>
  </si>
  <si>
    <t>T435</t>
  </si>
  <si>
    <t>T436</t>
  </si>
  <si>
    <t>宿舍电费</t>
    <phoneticPr fontId="6" type="noConversion"/>
  </si>
  <si>
    <t>T437</t>
  </si>
  <si>
    <t>果园</t>
    <phoneticPr fontId="6" type="noConversion"/>
  </si>
  <si>
    <t>T438</t>
  </si>
  <si>
    <t>T439</t>
  </si>
  <si>
    <t>T440</t>
  </si>
  <si>
    <t>T441</t>
  </si>
  <si>
    <t>定金</t>
    <phoneticPr fontId="6" type="noConversion"/>
  </si>
  <si>
    <t>前期对公收款已确认收入</t>
    <phoneticPr fontId="6" type="noConversion"/>
  </si>
  <si>
    <t>T442</t>
  </si>
  <si>
    <t>T443</t>
  </si>
  <si>
    <t>T444</t>
  </si>
  <si>
    <t>T445</t>
  </si>
  <si>
    <t>T446</t>
  </si>
  <si>
    <t>饲料</t>
    <phoneticPr fontId="6" type="noConversion"/>
  </si>
  <si>
    <t>T447</t>
  </si>
  <si>
    <t>T448</t>
  </si>
  <si>
    <t>T449</t>
  </si>
  <si>
    <t>T450</t>
  </si>
  <si>
    <t>T451</t>
  </si>
  <si>
    <t>T452</t>
  </si>
  <si>
    <t>T453</t>
  </si>
  <si>
    <t>T454</t>
  </si>
  <si>
    <t>宿舍燃气费</t>
    <phoneticPr fontId="6" type="noConversion"/>
  </si>
  <si>
    <t>T455</t>
  </si>
  <si>
    <t>T456</t>
  </si>
  <si>
    <t>T457</t>
  </si>
  <si>
    <t>T458</t>
  </si>
  <si>
    <t>业务招待费</t>
    <phoneticPr fontId="6" type="noConversion"/>
  </si>
  <si>
    <t>T459</t>
  </si>
  <si>
    <t>T460</t>
  </si>
  <si>
    <t>香肠</t>
    <phoneticPr fontId="6" type="noConversion"/>
  </si>
  <si>
    <t>T461</t>
  </si>
  <si>
    <t>公车费用</t>
    <phoneticPr fontId="6" type="noConversion"/>
  </si>
  <si>
    <t>T462</t>
  </si>
  <si>
    <t>T463</t>
  </si>
  <si>
    <t>扑克</t>
    <phoneticPr fontId="6" type="noConversion"/>
  </si>
  <si>
    <t>T464</t>
  </si>
  <si>
    <t>T465</t>
  </si>
  <si>
    <t>T466</t>
  </si>
  <si>
    <t>T467</t>
  </si>
  <si>
    <t>团队佣金</t>
    <phoneticPr fontId="6" type="noConversion"/>
  </si>
  <si>
    <t>T468</t>
  </si>
  <si>
    <t>团队活动（麻将费用）</t>
    <phoneticPr fontId="6" type="noConversion"/>
  </si>
  <si>
    <t>T469</t>
  </si>
  <si>
    <t>张小喜 小月1</t>
    <phoneticPr fontId="6" type="noConversion"/>
  </si>
  <si>
    <t>T470</t>
  </si>
  <si>
    <t>提现手续费</t>
    <phoneticPr fontId="6" type="noConversion"/>
  </si>
  <si>
    <t>T471</t>
  </si>
  <si>
    <t>耙耙柑</t>
    <phoneticPr fontId="6" type="noConversion"/>
  </si>
  <si>
    <t>T472</t>
  </si>
  <si>
    <t>T473</t>
  </si>
  <si>
    <t>T474</t>
  </si>
  <si>
    <t>T475</t>
  </si>
  <si>
    <t>T476</t>
  </si>
  <si>
    <t>白露咬伤赔付</t>
    <phoneticPr fontId="6" type="noConversion"/>
  </si>
  <si>
    <t>T477</t>
  </si>
  <si>
    <t>差价</t>
    <phoneticPr fontId="6" type="noConversion"/>
  </si>
  <si>
    <t>T478</t>
  </si>
  <si>
    <t>T479</t>
  </si>
  <si>
    <t>T480</t>
  </si>
  <si>
    <t>T481</t>
  </si>
  <si>
    <t>创业园视频号</t>
    <phoneticPr fontId="6" type="noConversion"/>
  </si>
  <si>
    <t>T482</t>
  </si>
  <si>
    <t>T483</t>
  </si>
  <si>
    <t>T484</t>
  </si>
  <si>
    <t>张小喜 琦</t>
    <phoneticPr fontId="6" type="noConversion"/>
  </si>
  <si>
    <t>总部</t>
    <phoneticPr fontId="6" type="noConversion"/>
  </si>
  <si>
    <t>T485</t>
  </si>
  <si>
    <t>小商店</t>
    <phoneticPr fontId="6" type="noConversion"/>
  </si>
  <si>
    <t>T486</t>
  </si>
  <si>
    <t>T487</t>
  </si>
  <si>
    <t>订单来了</t>
    <phoneticPr fontId="6" type="noConversion"/>
  </si>
  <si>
    <t>T488</t>
  </si>
  <si>
    <t>快团团</t>
    <phoneticPr fontId="6" type="noConversion"/>
  </si>
  <si>
    <t>T489</t>
  </si>
  <si>
    <t>结转尾差</t>
    <phoneticPr fontId="6" type="noConversion"/>
  </si>
  <si>
    <t>T489</t>
    <phoneticPr fontId="6" type="noConversion"/>
  </si>
  <si>
    <t>4、应收账款的二级科目为Item</t>
    <phoneticPr fontId="6" type="noConversion"/>
  </si>
  <si>
    <t>T490</t>
  </si>
  <si>
    <t>T491</t>
  </si>
  <si>
    <t>团队活动</t>
    <phoneticPr fontId="6" type="noConversion"/>
  </si>
  <si>
    <t>T492</t>
  </si>
  <si>
    <t>T493</t>
  </si>
  <si>
    <t>T494</t>
  </si>
  <si>
    <t>T495</t>
  </si>
  <si>
    <t>T496</t>
  </si>
  <si>
    <t>T497</t>
  </si>
  <si>
    <t>明月远家房屋土地</t>
    <phoneticPr fontId="6" type="noConversion"/>
  </si>
  <si>
    <t>T498</t>
  </si>
  <si>
    <t>T365</t>
    <phoneticPr fontId="6" type="noConversion"/>
  </si>
  <si>
    <t>T366</t>
    <phoneticPr fontId="6" type="noConversion"/>
  </si>
  <si>
    <t>T367</t>
    <phoneticPr fontId="6" type="noConversion"/>
  </si>
  <si>
    <t>T368</t>
    <phoneticPr fontId="6" type="noConversion"/>
  </si>
  <si>
    <t>T369</t>
    <phoneticPr fontId="6" type="noConversion"/>
  </si>
  <si>
    <t>T370</t>
    <phoneticPr fontId="6" type="noConversion"/>
  </si>
  <si>
    <t>T371</t>
    <phoneticPr fontId="6" type="noConversion"/>
  </si>
  <si>
    <t>T372</t>
    <phoneticPr fontId="6" type="noConversion"/>
  </si>
  <si>
    <t>T373</t>
    <phoneticPr fontId="6" type="noConversion"/>
  </si>
  <si>
    <t>T374</t>
    <phoneticPr fontId="6" type="noConversion"/>
  </si>
  <si>
    <t>T375</t>
    <phoneticPr fontId="6" type="noConversion"/>
  </si>
  <si>
    <t>T376</t>
    <phoneticPr fontId="6" type="noConversion"/>
  </si>
  <si>
    <t>T377</t>
    <phoneticPr fontId="6" type="noConversion"/>
  </si>
  <si>
    <t>T378</t>
    <phoneticPr fontId="6" type="noConversion"/>
  </si>
  <si>
    <t>T379</t>
    <phoneticPr fontId="6" type="noConversion"/>
  </si>
  <si>
    <t>T380</t>
    <phoneticPr fontId="6" type="noConversion"/>
  </si>
  <si>
    <t>T381</t>
    <phoneticPr fontId="6" type="noConversion"/>
  </si>
  <si>
    <t>T382</t>
    <phoneticPr fontId="6" type="noConversion"/>
  </si>
  <si>
    <t>T383</t>
    <phoneticPr fontId="6" type="noConversion"/>
  </si>
  <si>
    <t>T384</t>
    <phoneticPr fontId="6" type="noConversion"/>
  </si>
  <si>
    <t>T385</t>
    <phoneticPr fontId="6" type="noConversion"/>
  </si>
  <si>
    <t>T386</t>
    <phoneticPr fontId="6" type="noConversion"/>
  </si>
  <si>
    <t>T387</t>
    <phoneticPr fontId="6" type="noConversion"/>
  </si>
  <si>
    <t>T388</t>
    <phoneticPr fontId="6" type="noConversion"/>
  </si>
  <si>
    <t>T389</t>
    <phoneticPr fontId="6" type="noConversion"/>
  </si>
  <si>
    <t>T390</t>
    <phoneticPr fontId="6" type="noConversion"/>
  </si>
  <si>
    <t>T391</t>
    <phoneticPr fontId="6" type="noConversion"/>
  </si>
  <si>
    <t>T392</t>
    <phoneticPr fontId="6" type="noConversion"/>
  </si>
  <si>
    <t>T393</t>
    <phoneticPr fontId="6" type="noConversion"/>
  </si>
  <si>
    <t>T394</t>
    <phoneticPr fontId="6" type="noConversion"/>
  </si>
  <si>
    <t>T395</t>
    <phoneticPr fontId="6" type="noConversion"/>
  </si>
  <si>
    <t>T396</t>
    <phoneticPr fontId="6" type="noConversion"/>
  </si>
  <si>
    <t>T397</t>
    <phoneticPr fontId="6" type="noConversion"/>
  </si>
  <si>
    <t>T398</t>
    <phoneticPr fontId="6" type="noConversion"/>
  </si>
  <si>
    <t>T399</t>
    <phoneticPr fontId="6" type="noConversion"/>
  </si>
  <si>
    <t>T400</t>
    <phoneticPr fontId="6" type="noConversion"/>
  </si>
  <si>
    <t>NH.5074</t>
    <phoneticPr fontId="6" type="noConversion"/>
  </si>
  <si>
    <t>T401</t>
    <phoneticPr fontId="6" type="noConversion"/>
  </si>
  <si>
    <t>NS.3524</t>
    <phoneticPr fontId="6" type="noConversion"/>
  </si>
  <si>
    <t>T402</t>
    <phoneticPr fontId="6" type="noConversion"/>
  </si>
  <si>
    <t>T403</t>
    <phoneticPr fontId="6" type="noConversion"/>
  </si>
  <si>
    <t>T404</t>
    <phoneticPr fontId="6" type="noConversion"/>
  </si>
  <si>
    <t>T405</t>
    <phoneticPr fontId="6" type="noConversion"/>
  </si>
  <si>
    <t>T406</t>
    <phoneticPr fontId="6" type="noConversion"/>
  </si>
  <si>
    <t>T407</t>
    <phoneticPr fontId="6" type="noConversion"/>
  </si>
  <si>
    <t>T408</t>
    <phoneticPr fontId="6" type="noConversion"/>
  </si>
  <si>
    <t>MemShip</t>
    <phoneticPr fontId="6" type="noConversion"/>
  </si>
  <si>
    <t>T409</t>
    <phoneticPr fontId="6" type="noConversion"/>
  </si>
  <si>
    <t>T410</t>
    <phoneticPr fontId="6" type="noConversion"/>
  </si>
  <si>
    <t>T411</t>
    <phoneticPr fontId="6" type="noConversion"/>
  </si>
  <si>
    <t>T412</t>
    <phoneticPr fontId="6" type="noConversion"/>
  </si>
  <si>
    <t>T413</t>
    <phoneticPr fontId="6" type="noConversion"/>
  </si>
  <si>
    <t>T414</t>
    <phoneticPr fontId="6" type="noConversion"/>
  </si>
  <si>
    <t>T415</t>
    <phoneticPr fontId="6" type="noConversion"/>
  </si>
  <si>
    <t>T416</t>
    <phoneticPr fontId="6" type="noConversion"/>
  </si>
  <si>
    <t>T417</t>
    <phoneticPr fontId="6" type="noConversion"/>
  </si>
  <si>
    <t>T418</t>
    <phoneticPr fontId="6" type="noConversion"/>
  </si>
  <si>
    <t>T419</t>
    <phoneticPr fontId="6" type="noConversion"/>
  </si>
  <si>
    <t>T420</t>
    <phoneticPr fontId="6" type="noConversion"/>
  </si>
  <si>
    <t>T421</t>
    <phoneticPr fontId="6" type="noConversion"/>
  </si>
  <si>
    <t>T422</t>
    <phoneticPr fontId="6" type="noConversion"/>
  </si>
  <si>
    <t>T423</t>
    <phoneticPr fontId="6" type="noConversion"/>
  </si>
  <si>
    <t>T424</t>
    <phoneticPr fontId="6" type="noConversion"/>
  </si>
  <si>
    <t>T425</t>
    <phoneticPr fontId="6" type="noConversion"/>
  </si>
  <si>
    <t>T426</t>
    <phoneticPr fontId="6" type="noConversion"/>
  </si>
  <si>
    <t>T427</t>
    <phoneticPr fontId="6" type="noConversion"/>
  </si>
  <si>
    <t>T428</t>
    <phoneticPr fontId="6" type="noConversion"/>
  </si>
  <si>
    <t>T429</t>
    <phoneticPr fontId="6" type="noConversion"/>
  </si>
  <si>
    <t>T430</t>
    <phoneticPr fontId="6" type="noConversion"/>
  </si>
  <si>
    <t>T431</t>
    <phoneticPr fontId="6" type="noConversion"/>
  </si>
  <si>
    <t>T432</t>
    <phoneticPr fontId="6" type="noConversion"/>
  </si>
  <si>
    <t>T433</t>
    <phoneticPr fontId="6" type="noConversion"/>
  </si>
  <si>
    <t>T434</t>
    <phoneticPr fontId="6" type="noConversion"/>
  </si>
  <si>
    <t>T435</t>
    <phoneticPr fontId="6" type="noConversion"/>
  </si>
  <si>
    <t>T436</t>
    <phoneticPr fontId="6" type="noConversion"/>
  </si>
  <si>
    <t>T437</t>
    <phoneticPr fontId="6" type="noConversion"/>
  </si>
  <si>
    <t>T438</t>
    <phoneticPr fontId="6" type="noConversion"/>
  </si>
  <si>
    <t>T439</t>
    <phoneticPr fontId="6" type="noConversion"/>
  </si>
  <si>
    <t>T440</t>
    <phoneticPr fontId="6" type="noConversion"/>
  </si>
  <si>
    <t>T441</t>
    <phoneticPr fontId="6" type="noConversion"/>
  </si>
  <si>
    <t>T442</t>
    <phoneticPr fontId="6" type="noConversion"/>
  </si>
  <si>
    <t>T443</t>
    <phoneticPr fontId="6" type="noConversion"/>
  </si>
  <si>
    <t>T444</t>
    <phoneticPr fontId="6" type="noConversion"/>
  </si>
  <si>
    <t>T445</t>
    <phoneticPr fontId="6" type="noConversion"/>
  </si>
  <si>
    <t>T446</t>
    <phoneticPr fontId="6" type="noConversion"/>
  </si>
  <si>
    <t>T447</t>
    <phoneticPr fontId="6" type="noConversion"/>
  </si>
  <si>
    <t>T448</t>
    <phoneticPr fontId="6" type="noConversion"/>
  </si>
  <si>
    <t>T449</t>
    <phoneticPr fontId="6" type="noConversion"/>
  </si>
  <si>
    <t>T450</t>
    <phoneticPr fontId="6" type="noConversion"/>
  </si>
  <si>
    <t>T451</t>
    <phoneticPr fontId="6" type="noConversion"/>
  </si>
  <si>
    <t>T452</t>
    <phoneticPr fontId="6" type="noConversion"/>
  </si>
  <si>
    <t>T453</t>
    <phoneticPr fontId="6" type="noConversion"/>
  </si>
  <si>
    <t>T454</t>
    <phoneticPr fontId="6" type="noConversion"/>
  </si>
  <si>
    <t>T455</t>
    <phoneticPr fontId="6" type="noConversion"/>
  </si>
  <si>
    <t>T456</t>
    <phoneticPr fontId="6" type="noConversion"/>
  </si>
  <si>
    <t>T457</t>
    <phoneticPr fontId="6" type="noConversion"/>
  </si>
  <si>
    <t>T458</t>
    <phoneticPr fontId="6" type="noConversion"/>
  </si>
  <si>
    <t>T459</t>
    <phoneticPr fontId="6" type="noConversion"/>
  </si>
  <si>
    <t>T460</t>
    <phoneticPr fontId="6" type="noConversion"/>
  </si>
  <si>
    <t>T461</t>
    <phoneticPr fontId="6" type="noConversion"/>
  </si>
  <si>
    <t>T462</t>
    <phoneticPr fontId="6" type="noConversion"/>
  </si>
  <si>
    <t>T463</t>
    <phoneticPr fontId="6" type="noConversion"/>
  </si>
  <si>
    <t>T464</t>
    <phoneticPr fontId="6" type="noConversion"/>
  </si>
  <si>
    <t>T465</t>
    <phoneticPr fontId="6" type="noConversion"/>
  </si>
  <si>
    <t>T466</t>
    <phoneticPr fontId="6" type="noConversion"/>
  </si>
  <si>
    <t>T467</t>
    <phoneticPr fontId="6" type="noConversion"/>
  </si>
  <si>
    <t>T468</t>
    <phoneticPr fontId="6" type="noConversion"/>
  </si>
  <si>
    <t>T469</t>
    <phoneticPr fontId="6" type="noConversion"/>
  </si>
  <si>
    <t>T470</t>
    <phoneticPr fontId="6" type="noConversion"/>
  </si>
  <si>
    <t>T471</t>
    <phoneticPr fontId="6" type="noConversion"/>
  </si>
  <si>
    <t>T472</t>
    <phoneticPr fontId="6" type="noConversion"/>
  </si>
  <si>
    <t>T473</t>
    <phoneticPr fontId="6" type="noConversion"/>
  </si>
  <si>
    <t>T474</t>
    <phoneticPr fontId="6" type="noConversion"/>
  </si>
  <si>
    <t>T475</t>
    <phoneticPr fontId="6" type="noConversion"/>
  </si>
  <si>
    <t>T476</t>
    <phoneticPr fontId="6" type="noConversion"/>
  </si>
  <si>
    <t>T477</t>
    <phoneticPr fontId="6" type="noConversion"/>
  </si>
  <si>
    <t>T478</t>
    <phoneticPr fontId="6" type="noConversion"/>
  </si>
  <si>
    <t>T479</t>
    <phoneticPr fontId="6" type="noConversion"/>
  </si>
  <si>
    <t>T480</t>
    <phoneticPr fontId="6" type="noConversion"/>
  </si>
  <si>
    <t>T481</t>
    <phoneticPr fontId="6" type="noConversion"/>
  </si>
  <si>
    <t>T482</t>
    <phoneticPr fontId="6" type="noConversion"/>
  </si>
  <si>
    <t>T483</t>
    <phoneticPr fontId="6" type="noConversion"/>
  </si>
  <si>
    <t>T484</t>
    <phoneticPr fontId="6" type="noConversion"/>
  </si>
  <si>
    <t>T485</t>
    <phoneticPr fontId="6" type="noConversion"/>
  </si>
  <si>
    <t>T486</t>
    <phoneticPr fontId="6" type="noConversion"/>
  </si>
  <si>
    <t>T487</t>
    <phoneticPr fontId="6" type="noConversion"/>
  </si>
  <si>
    <t>T488</t>
    <phoneticPr fontId="6" type="noConversion"/>
  </si>
  <si>
    <t>T490</t>
    <phoneticPr fontId="6" type="noConversion"/>
  </si>
  <si>
    <t>T491</t>
    <phoneticPr fontId="6" type="noConversion"/>
  </si>
  <si>
    <t>T492</t>
    <phoneticPr fontId="6" type="noConversion"/>
  </si>
  <si>
    <t>T493</t>
    <phoneticPr fontId="6" type="noConversion"/>
  </si>
  <si>
    <t>T494</t>
    <phoneticPr fontId="6" type="noConversion"/>
  </si>
  <si>
    <t>T495</t>
    <phoneticPr fontId="6" type="noConversion"/>
  </si>
  <si>
    <t>T496</t>
    <phoneticPr fontId="6" type="noConversion"/>
  </si>
  <si>
    <t>T497</t>
    <phoneticPr fontId="6" type="noConversion"/>
  </si>
  <si>
    <t>明月村-累计折旧</t>
    <phoneticPr fontId="6" type="noConversion"/>
  </si>
  <si>
    <t>T498</t>
    <phoneticPr fontId="6" type="noConversion"/>
  </si>
  <si>
    <t>T169-1</t>
    <phoneticPr fontId="6" type="noConversion"/>
  </si>
  <si>
    <t>T068</t>
    <phoneticPr fontId="6" type="noConversion"/>
  </si>
  <si>
    <t>T067-1</t>
    <phoneticPr fontId="6" type="noConversion"/>
  </si>
  <si>
    <t>T079-1</t>
    <phoneticPr fontId="6" type="noConversion"/>
  </si>
  <si>
    <t>ToInv</t>
    <phoneticPr fontId="6" type="noConversion"/>
  </si>
  <si>
    <t>应付-股东</t>
    <phoneticPr fontId="6" type="noConversion"/>
  </si>
  <si>
    <t>折旧</t>
  </si>
  <si>
    <t>书写营</t>
  </si>
  <si>
    <t>诗与歌</t>
  </si>
  <si>
    <t>年终奖</t>
  </si>
  <si>
    <t>餐饮</t>
  </si>
  <si>
    <t>计件</t>
  </si>
  <si>
    <t>其他销售</t>
  </si>
  <si>
    <t>课程</t>
  </si>
  <si>
    <t>住宿</t>
  </si>
  <si>
    <t>食材</t>
  </si>
  <si>
    <t>布草</t>
  </si>
  <si>
    <t>其他材料</t>
  </si>
  <si>
    <t>演出</t>
  </si>
  <si>
    <t>物流</t>
  </si>
  <si>
    <t>代理</t>
  </si>
  <si>
    <t>事故</t>
  </si>
  <si>
    <t>交通</t>
  </si>
  <si>
    <t>设备</t>
  </si>
  <si>
    <t>保险</t>
  </si>
  <si>
    <t>团建</t>
  </si>
  <si>
    <t>办公</t>
  </si>
  <si>
    <t>拍摄</t>
  </si>
  <si>
    <t>维护</t>
  </si>
  <si>
    <t>平台费</t>
  </si>
  <si>
    <t>银行费</t>
  </si>
  <si>
    <t>杂项</t>
  </si>
  <si>
    <t>临时人力</t>
  </si>
  <si>
    <t>福利</t>
  </si>
  <si>
    <t>房租</t>
  </si>
  <si>
    <t>商标</t>
  </si>
  <si>
    <t>招待</t>
  </si>
  <si>
    <t>公共设施</t>
  </si>
  <si>
    <t>佣金</t>
  </si>
  <si>
    <t>杂货</t>
    <phoneticPr fontId="6" type="noConversion"/>
  </si>
  <si>
    <t>T031.1</t>
    <phoneticPr fontId="6" type="noConversion"/>
  </si>
  <si>
    <t>桑木：财务在综合管理，其余在网店</t>
    <phoneticPr fontId="6" type="noConversion"/>
  </si>
  <si>
    <t>T064.1</t>
    <phoneticPr fontId="6" type="noConversion"/>
  </si>
  <si>
    <t>榆乐：4个设计师在综合管理，其余在网店</t>
    <phoneticPr fontId="6" type="noConversion"/>
  </si>
  <si>
    <t>T166.1</t>
    <phoneticPr fontId="6" type="noConversion"/>
  </si>
  <si>
    <t>驻色：全部在驻色</t>
    <phoneticPr fontId="6" type="noConversion"/>
  </si>
  <si>
    <t>米小易：小曼在综合管理，其余在水街</t>
    <phoneticPr fontId="6" type="noConversion"/>
  </si>
  <si>
    <t>喜家：全部在水街</t>
    <phoneticPr fontId="6" type="noConversion"/>
  </si>
  <si>
    <t>高新分公司：全部在综合管理</t>
    <phoneticPr fontId="6" type="noConversion"/>
  </si>
  <si>
    <t>T358.1</t>
    <phoneticPr fontId="6" type="noConversion"/>
  </si>
  <si>
    <t>远家花园：生产部为库存，品牌、视觉、股东、财务为综合，其余在网店</t>
    <phoneticPr fontId="6" type="noConversion"/>
  </si>
  <si>
    <t>T493.1</t>
    <phoneticPr fontId="6" type="noConversion"/>
  </si>
  <si>
    <t>明月远家：凉笑、雯子、坤坤3人在综合、其余在明月村</t>
    <phoneticPr fontId="6" type="noConversion"/>
  </si>
  <si>
    <t>生产部工资</t>
    <phoneticPr fontId="6" type="noConversion"/>
  </si>
  <si>
    <t>远家染色费记录为加工，成本</t>
    <phoneticPr fontId="6" type="noConversion"/>
  </si>
  <si>
    <t>住宿</t>
    <phoneticPr fontId="6" type="noConversion"/>
  </si>
  <si>
    <t>团队在外订房</t>
    <phoneticPr fontId="6" type="noConversion"/>
  </si>
  <si>
    <t>T363.1</t>
    <phoneticPr fontId="6" type="noConversion"/>
  </si>
  <si>
    <t>T363.2</t>
    <phoneticPr fontId="6" type="noConversion"/>
  </si>
  <si>
    <t>服装销售额的70%</t>
    <phoneticPr fontId="6" type="noConversion"/>
  </si>
  <si>
    <t>包装</t>
    <phoneticPr fontId="6" type="noConversion"/>
  </si>
  <si>
    <t>T491.1</t>
    <phoneticPr fontId="6" type="noConversion"/>
  </si>
  <si>
    <t>T491.2</t>
    <phoneticPr fontId="6" type="noConversion"/>
  </si>
  <si>
    <t>餐饮</t>
    <phoneticPr fontId="6" type="noConversion"/>
  </si>
  <si>
    <t>交通</t>
    <phoneticPr fontId="6" type="noConversion"/>
  </si>
  <si>
    <t>其他材料</t>
    <phoneticPr fontId="6" type="noConversion"/>
  </si>
  <si>
    <t>银行费</t>
    <phoneticPr fontId="6" type="noConversion"/>
  </si>
  <si>
    <t>股东停车费</t>
    <phoneticPr fontId="6" type="noConversion"/>
  </si>
  <si>
    <t>销售基数</t>
  </si>
  <si>
    <t>预估毛利</t>
  </si>
  <si>
    <t>*2025, cloth 55%, food 75%</t>
  </si>
  <si>
    <t>成本结转率</t>
  </si>
  <si>
    <t>T499</t>
  </si>
  <si>
    <t>T500</t>
  </si>
  <si>
    <t>T501</t>
  </si>
  <si>
    <t>T502</t>
  </si>
  <si>
    <t>T503</t>
  </si>
  <si>
    <t>T504</t>
  </si>
  <si>
    <t>T505</t>
  </si>
  <si>
    <t>T506</t>
  </si>
  <si>
    <t>T507</t>
  </si>
  <si>
    <t>T508</t>
  </si>
  <si>
    <t>T509</t>
  </si>
  <si>
    <t>T510</t>
  </si>
  <si>
    <t>T511</t>
  </si>
  <si>
    <t>T512</t>
  </si>
  <si>
    <t>T513</t>
  </si>
  <si>
    <t>T514</t>
  </si>
  <si>
    <t>T515</t>
  </si>
  <si>
    <t>T516</t>
  </si>
  <si>
    <t>T517</t>
  </si>
  <si>
    <t>T518</t>
  </si>
  <si>
    <t>T519</t>
  </si>
  <si>
    <t>T520</t>
  </si>
  <si>
    <t>T521</t>
  </si>
  <si>
    <t>T522</t>
  </si>
  <si>
    <t>T523</t>
  </si>
  <si>
    <t>T524</t>
  </si>
  <si>
    <t>T525</t>
  </si>
  <si>
    <t>T526</t>
  </si>
  <si>
    <t>T527</t>
  </si>
  <si>
    <t>T528</t>
  </si>
  <si>
    <t>T529</t>
  </si>
  <si>
    <t>T530</t>
  </si>
  <si>
    <t>T531</t>
  </si>
  <si>
    <t>T532</t>
  </si>
  <si>
    <t>T533</t>
  </si>
  <si>
    <t>T534</t>
  </si>
  <si>
    <t>T535</t>
  </si>
  <si>
    <t>T536</t>
  </si>
  <si>
    <t>T537</t>
  </si>
  <si>
    <t>T538</t>
  </si>
  <si>
    <t>T539</t>
  </si>
  <si>
    <t>T540</t>
  </si>
  <si>
    <t>T541</t>
  </si>
  <si>
    <t>T542</t>
  </si>
  <si>
    <t>T543</t>
  </si>
  <si>
    <t>T544</t>
  </si>
  <si>
    <t>T545</t>
  </si>
  <si>
    <t>T546</t>
  </si>
  <si>
    <t>T547</t>
  </si>
  <si>
    <t>T548</t>
  </si>
  <si>
    <t>Gain-Loss</t>
  </si>
  <si>
    <t>库存风险准备</t>
  </si>
  <si>
    <t>余额变动</t>
  </si>
  <si>
    <t>运营测度</t>
  </si>
  <si>
    <t>成本</t>
  </si>
  <si>
    <t>*毛利率</t>
  </si>
  <si>
    <t>费用</t>
  </si>
  <si>
    <t>*费用率</t>
  </si>
  <si>
    <t>运营利润</t>
  </si>
  <si>
    <t>*运营利润率</t>
  </si>
  <si>
    <t>T498.1</t>
    <phoneticPr fontId="6" type="noConversion"/>
  </si>
  <si>
    <t>平台费</t>
    <phoneticPr fontId="6" type="noConversion"/>
  </si>
  <si>
    <t>视频号保证金充值</t>
    <phoneticPr fontId="6" type="noConversion"/>
  </si>
  <si>
    <t>sunny号内购、线下</t>
    <phoneticPr fontId="6" type="noConversion"/>
  </si>
  <si>
    <t>书写营</t>
    <phoneticPr fontId="6" type="noConversion"/>
  </si>
  <si>
    <t>sunny号书写营</t>
    <phoneticPr fontId="6" type="noConversion"/>
  </si>
  <si>
    <t>琦 远家花园</t>
    <phoneticPr fontId="6" type="noConversion"/>
  </si>
  <si>
    <t>琦 喜家</t>
    <phoneticPr fontId="6" type="noConversion"/>
  </si>
  <si>
    <t>孤品现金</t>
    <phoneticPr fontId="6" type="noConversion"/>
  </si>
  <si>
    <t>琦 明月远家</t>
    <phoneticPr fontId="6" type="noConversion"/>
  </si>
  <si>
    <t>琦 桑木 榆乐</t>
    <phoneticPr fontId="6" type="noConversion"/>
  </si>
  <si>
    <t>T511</t>
    <phoneticPr fontId="6" type="noConversion"/>
  </si>
  <si>
    <t>琦 榆乐</t>
    <phoneticPr fontId="6" type="noConversion"/>
  </si>
  <si>
    <t>订购</t>
    <phoneticPr fontId="6" type="noConversion"/>
  </si>
  <si>
    <t>办公</t>
    <phoneticPr fontId="6" type="noConversion"/>
  </si>
  <si>
    <t>充电器</t>
    <phoneticPr fontId="6" type="noConversion"/>
  </si>
  <si>
    <t>大货、面料</t>
    <phoneticPr fontId="6" type="noConversion"/>
  </si>
  <si>
    <t>年会活动物资</t>
    <phoneticPr fontId="6" type="noConversion"/>
  </si>
  <si>
    <t>1月工资</t>
    <phoneticPr fontId="6" type="noConversion"/>
  </si>
  <si>
    <t>工资尾差</t>
    <phoneticPr fontId="6" type="noConversion"/>
  </si>
  <si>
    <t>格物江南</t>
    <phoneticPr fontId="6" type="noConversion"/>
  </si>
  <si>
    <t>桑木 远家花园</t>
    <phoneticPr fontId="6" type="noConversion"/>
  </si>
  <si>
    <t>T532</t>
    <phoneticPr fontId="6" type="noConversion"/>
  </si>
  <si>
    <t>计提2月工资</t>
    <phoneticPr fontId="6" type="noConversion"/>
  </si>
  <si>
    <t>T533</t>
    <phoneticPr fontId="6" type="noConversion"/>
  </si>
  <si>
    <t>差旅</t>
    <phoneticPr fontId="6" type="noConversion"/>
  </si>
  <si>
    <t>拍摄</t>
    <phoneticPr fontId="6" type="noConversion"/>
  </si>
  <si>
    <t>人台</t>
    <phoneticPr fontId="6" type="noConversion"/>
  </si>
  <si>
    <t>公共设施</t>
    <phoneticPr fontId="6" type="noConversion"/>
  </si>
  <si>
    <t>T549</t>
  </si>
  <si>
    <t>T550</t>
  </si>
  <si>
    <t>T551</t>
  </si>
  <si>
    <t>T552</t>
  </si>
  <si>
    <t>T553</t>
  </si>
  <si>
    <t>12-2</t>
    <phoneticPr fontId="6" type="noConversion"/>
  </si>
  <si>
    <t>T554</t>
  </si>
  <si>
    <t>T555</t>
  </si>
  <si>
    <t>T556</t>
  </si>
  <si>
    <t>T557</t>
  </si>
  <si>
    <t>其他销售</t>
    <phoneticPr fontId="6" type="noConversion"/>
  </si>
  <si>
    <t>T558</t>
  </si>
  <si>
    <t>T559</t>
  </si>
  <si>
    <t>T560</t>
  </si>
  <si>
    <t>染色费</t>
    <phoneticPr fontId="6" type="noConversion"/>
  </si>
  <si>
    <t>T561</t>
  </si>
  <si>
    <t>T562</t>
  </si>
  <si>
    <t>员工餐费</t>
    <phoneticPr fontId="6" type="noConversion"/>
  </si>
  <si>
    <t>T563</t>
  </si>
  <si>
    <t>维护</t>
    <phoneticPr fontId="6" type="noConversion"/>
  </si>
  <si>
    <t>清理后沟</t>
    <phoneticPr fontId="6" type="noConversion"/>
  </si>
  <si>
    <t>T564</t>
  </si>
  <si>
    <t>团建</t>
    <phoneticPr fontId="6" type="noConversion"/>
  </si>
  <si>
    <t>T565</t>
  </si>
  <si>
    <t>T566</t>
  </si>
  <si>
    <t>T567</t>
  </si>
  <si>
    <t>T568</t>
  </si>
  <si>
    <t>T569</t>
  </si>
  <si>
    <t>T570</t>
  </si>
  <si>
    <t>T571</t>
  </si>
  <si>
    <t>T572</t>
  </si>
  <si>
    <t>T573</t>
  </si>
  <si>
    <t>奖金-合伙人</t>
    <phoneticPr fontId="6" type="noConversion"/>
  </si>
  <si>
    <t>合伙人奖金</t>
    <phoneticPr fontId="6" type="noConversion"/>
  </si>
  <si>
    <t>T574</t>
  </si>
  <si>
    <t>T575</t>
  </si>
  <si>
    <t>T576</t>
  </si>
  <si>
    <t>T577</t>
  </si>
  <si>
    <t>T578</t>
  </si>
  <si>
    <t>咖啡原料</t>
    <phoneticPr fontId="6" type="noConversion"/>
  </si>
  <si>
    <t>T579</t>
  </si>
  <si>
    <t>T580</t>
  </si>
  <si>
    <t>茶</t>
    <phoneticPr fontId="6" type="noConversion"/>
  </si>
  <si>
    <t>T581</t>
  </si>
  <si>
    <t>T582</t>
  </si>
  <si>
    <t>T583</t>
  </si>
  <si>
    <t>冰激凌</t>
    <phoneticPr fontId="6" type="noConversion"/>
  </si>
  <si>
    <t>T584</t>
  </si>
  <si>
    <t>临时人力</t>
    <phoneticPr fontId="6" type="noConversion"/>
  </si>
  <si>
    <t>T585</t>
  </si>
  <si>
    <t>T586</t>
  </si>
  <si>
    <t>T587</t>
  </si>
  <si>
    <t>T588</t>
  </si>
  <si>
    <t>T589</t>
  </si>
  <si>
    <t>员工垫付</t>
    <phoneticPr fontId="6" type="noConversion"/>
  </si>
  <si>
    <t>T590</t>
  </si>
  <si>
    <t>T591</t>
  </si>
  <si>
    <t>T592</t>
  </si>
  <si>
    <t>T593</t>
  </si>
  <si>
    <t>T594</t>
  </si>
  <si>
    <t>T595</t>
  </si>
  <si>
    <t>T596</t>
  </si>
  <si>
    <t>T597</t>
  </si>
  <si>
    <t>T598</t>
  </si>
  <si>
    <t>葡萄汁</t>
    <phoneticPr fontId="6" type="noConversion"/>
  </si>
  <si>
    <t>T599</t>
  </si>
  <si>
    <t>T600</t>
  </si>
  <si>
    <t>T601</t>
  </si>
  <si>
    <t>T602</t>
  </si>
  <si>
    <t>T603</t>
  </si>
  <si>
    <t>T604</t>
  </si>
  <si>
    <t>T605</t>
  </si>
  <si>
    <t>T606</t>
  </si>
  <si>
    <t>T607</t>
  </si>
  <si>
    <t>T608</t>
  </si>
  <si>
    <t>T609</t>
  </si>
  <si>
    <t>T610</t>
  </si>
  <si>
    <t>陶瓷杯</t>
    <phoneticPr fontId="6" type="noConversion"/>
  </si>
  <si>
    <t>T611</t>
  </si>
  <si>
    <t>试岗</t>
    <phoneticPr fontId="6" type="noConversion"/>
  </si>
  <si>
    <t>T612</t>
  </si>
  <si>
    <t>T613</t>
  </si>
  <si>
    <t>冰淇淋</t>
    <phoneticPr fontId="6" type="noConversion"/>
  </si>
  <si>
    <t>T614</t>
  </si>
  <si>
    <t>T615</t>
  </si>
  <si>
    <t>手续费</t>
    <phoneticPr fontId="6" type="noConversion"/>
  </si>
  <si>
    <t>T616</t>
  </si>
  <si>
    <t>T617</t>
  </si>
  <si>
    <t>T618</t>
  </si>
  <si>
    <t>T619</t>
  </si>
  <si>
    <t>T620</t>
  </si>
  <si>
    <t>T621</t>
  </si>
  <si>
    <t>T622</t>
  </si>
  <si>
    <t>T623</t>
  </si>
  <si>
    <t>T624</t>
  </si>
  <si>
    <t>T625</t>
  </si>
  <si>
    <t>T626</t>
  </si>
  <si>
    <t>T627</t>
  </si>
  <si>
    <t>T628</t>
  </si>
  <si>
    <t>T629</t>
  </si>
  <si>
    <t>T630</t>
  </si>
  <si>
    <t>T631</t>
  </si>
  <si>
    <t>T632</t>
  </si>
  <si>
    <t>T633</t>
  </si>
  <si>
    <t>T634</t>
  </si>
  <si>
    <t>T635</t>
  </si>
  <si>
    <t>T636</t>
  </si>
  <si>
    <t>T637</t>
  </si>
  <si>
    <t>T638</t>
  </si>
  <si>
    <t>T639</t>
  </si>
  <si>
    <t>T640</t>
  </si>
  <si>
    <t>T641</t>
  </si>
  <si>
    <t>T642</t>
  </si>
  <si>
    <t>分公司 远家花园</t>
    <phoneticPr fontId="6" type="noConversion"/>
  </si>
  <si>
    <t>T643</t>
  </si>
  <si>
    <t>T644</t>
  </si>
  <si>
    <t>T645</t>
  </si>
  <si>
    <t>T646</t>
  </si>
  <si>
    <t>T647</t>
  </si>
  <si>
    <t>水街装修费</t>
    <phoneticPr fontId="6" type="noConversion"/>
  </si>
  <si>
    <t>T648</t>
  </si>
  <si>
    <t>充值和活动</t>
    <phoneticPr fontId="6" type="noConversion"/>
  </si>
  <si>
    <t>T649</t>
  </si>
  <si>
    <t>T650</t>
  </si>
  <si>
    <t>T651</t>
  </si>
  <si>
    <t>T652</t>
  </si>
  <si>
    <t>T653</t>
  </si>
  <si>
    <t>T654</t>
  </si>
  <si>
    <t>T655</t>
  </si>
  <si>
    <t>T656</t>
  </si>
  <si>
    <t>话费 电费</t>
    <phoneticPr fontId="6" type="noConversion"/>
  </si>
  <si>
    <t>T657</t>
  </si>
  <si>
    <t>办公物料</t>
    <phoneticPr fontId="6" type="noConversion"/>
  </si>
  <si>
    <t>T658</t>
  </si>
  <si>
    <t>T659</t>
  </si>
  <si>
    <t>店内消杀</t>
    <phoneticPr fontId="6" type="noConversion"/>
  </si>
  <si>
    <t>T660</t>
  </si>
  <si>
    <t>燃气</t>
    <phoneticPr fontId="6" type="noConversion"/>
  </si>
  <si>
    <t>T661</t>
  </si>
  <si>
    <t>T662</t>
  </si>
  <si>
    <t>T663</t>
  </si>
  <si>
    <t>T664</t>
  </si>
  <si>
    <t>T665</t>
  </si>
  <si>
    <t>T666</t>
  </si>
  <si>
    <t>T667</t>
  </si>
  <si>
    <t>T668</t>
  </si>
  <si>
    <t>T669</t>
  </si>
  <si>
    <t>T670</t>
  </si>
  <si>
    <t>T671</t>
  </si>
  <si>
    <t>T672</t>
  </si>
  <si>
    <t>上月手续费确认错误</t>
    <phoneticPr fontId="6" type="noConversion"/>
  </si>
  <si>
    <t>T673</t>
  </si>
  <si>
    <t>T674</t>
  </si>
  <si>
    <t>T675</t>
  </si>
  <si>
    <t>T676</t>
  </si>
  <si>
    <t>摊销</t>
    <phoneticPr fontId="6" type="noConversion"/>
  </si>
  <si>
    <t>T677</t>
  </si>
  <si>
    <t>T678</t>
  </si>
  <si>
    <t>T679</t>
  </si>
  <si>
    <t>T680</t>
  </si>
  <si>
    <t>T681</t>
  </si>
  <si>
    <t>T682</t>
  </si>
  <si>
    <t>T683</t>
  </si>
  <si>
    <t>T684</t>
  </si>
  <si>
    <t>T685</t>
  </si>
  <si>
    <t>会员充值余额</t>
    <phoneticPr fontId="6" type="noConversion"/>
  </si>
  <si>
    <t>T686</t>
  </si>
  <si>
    <t>T687</t>
  </si>
  <si>
    <t>合伙人团建</t>
    <phoneticPr fontId="6" type="noConversion"/>
  </si>
  <si>
    <t>T688</t>
  </si>
  <si>
    <t>T689</t>
  </si>
  <si>
    <t>T690</t>
  </si>
  <si>
    <t>礼金</t>
    <phoneticPr fontId="6" type="noConversion"/>
  </si>
  <si>
    <t>T691</t>
  </si>
  <si>
    <t>RE</t>
    <phoneticPr fontId="6" type="noConversion"/>
  </si>
  <si>
    <t>JT.7708</t>
    <phoneticPr fontId="6" type="noConversion"/>
  </si>
  <si>
    <t>T513</t>
    <phoneticPr fontId="6" type="noConversion"/>
  </si>
  <si>
    <t>T553</t>
    <phoneticPr fontId="6" type="noConversion"/>
  </si>
  <si>
    <t>T627</t>
    <phoneticPr fontId="6" type="noConversion"/>
  </si>
  <si>
    <t>远家服装50%</t>
    <phoneticPr fontId="6" type="noConversion"/>
  </si>
  <si>
    <t>T692</t>
  </si>
  <si>
    <t>卖场</t>
  </si>
  <si>
    <t>T693</t>
  </si>
  <si>
    <t>T694</t>
  </si>
  <si>
    <t>T695</t>
  </si>
  <si>
    <t>现金 郑术燕</t>
    <phoneticPr fontId="6" type="noConversion"/>
  </si>
  <si>
    <t>T696</t>
  </si>
  <si>
    <t>T697</t>
  </si>
  <si>
    <t>水土保持费</t>
    <phoneticPr fontId="6" type="noConversion"/>
  </si>
  <si>
    <t>T698</t>
  </si>
  <si>
    <t>T699</t>
  </si>
  <si>
    <t>T700</t>
  </si>
  <si>
    <t>远家文化 远家花园</t>
    <phoneticPr fontId="6" type="noConversion"/>
  </si>
  <si>
    <t>T701</t>
  </si>
  <si>
    <t>远家文化 郑术燕</t>
    <phoneticPr fontId="6" type="noConversion"/>
  </si>
  <si>
    <t>T702</t>
  </si>
  <si>
    <t>T703</t>
  </si>
  <si>
    <t>T704</t>
    <phoneticPr fontId="6" type="noConversion"/>
  </si>
  <si>
    <t>T705</t>
  </si>
  <si>
    <t>T705</t>
    <phoneticPr fontId="6" type="noConversion"/>
  </si>
  <si>
    <t>T706</t>
  </si>
  <si>
    <t>携程</t>
    <phoneticPr fontId="6" type="noConversion"/>
  </si>
  <si>
    <t>T706</t>
    <phoneticPr fontId="6" type="noConversion"/>
  </si>
  <si>
    <t>T707</t>
  </si>
  <si>
    <t>T707</t>
    <phoneticPr fontId="6" type="noConversion"/>
  </si>
  <si>
    <t>T708</t>
  </si>
  <si>
    <t>远家文化 远家文化分公司</t>
    <phoneticPr fontId="6" type="noConversion"/>
  </si>
  <si>
    <t>T708</t>
    <phoneticPr fontId="6" type="noConversion"/>
  </si>
  <si>
    <t>T709</t>
  </si>
  <si>
    <t>T709</t>
    <phoneticPr fontId="6" type="noConversion"/>
  </si>
  <si>
    <t>T710</t>
  </si>
  <si>
    <t>T711</t>
  </si>
  <si>
    <t>T712</t>
  </si>
  <si>
    <t>一次性拖鞋</t>
    <phoneticPr fontId="6" type="noConversion"/>
  </si>
  <si>
    <t>T713</t>
  </si>
  <si>
    <t>T714</t>
  </si>
  <si>
    <t>T715</t>
  </si>
  <si>
    <t>T716</t>
  </si>
  <si>
    <t>演出</t>
    <phoneticPr fontId="6" type="noConversion"/>
  </si>
  <si>
    <t>T717</t>
  </si>
  <si>
    <t>T718</t>
  </si>
  <si>
    <t>T719</t>
  </si>
  <si>
    <t>小程序商品</t>
    <phoneticPr fontId="6" type="noConversion"/>
  </si>
  <si>
    <t>T720</t>
  </si>
  <si>
    <t>T721</t>
  </si>
  <si>
    <t>贴纸</t>
    <phoneticPr fontId="6" type="noConversion"/>
  </si>
  <si>
    <t>T722</t>
  </si>
  <si>
    <t>T723</t>
  </si>
  <si>
    <t>T724</t>
  </si>
  <si>
    <t>T725</t>
  </si>
  <si>
    <t>T726</t>
  </si>
  <si>
    <t>T727</t>
  </si>
  <si>
    <t>T728</t>
  </si>
  <si>
    <t>T729</t>
  </si>
  <si>
    <t>T730</t>
  </si>
  <si>
    <t>T731</t>
  </si>
  <si>
    <t>T732</t>
  </si>
  <si>
    <t>电话费</t>
    <phoneticPr fontId="6" type="noConversion"/>
  </si>
  <si>
    <t>T733</t>
  </si>
  <si>
    <t>T734</t>
  </si>
  <si>
    <t>客房低耗</t>
    <phoneticPr fontId="6" type="noConversion"/>
  </si>
  <si>
    <t>T735</t>
  </si>
  <si>
    <t>退款</t>
    <phoneticPr fontId="6" type="noConversion"/>
  </si>
  <si>
    <t>亚克力展示架退款</t>
    <phoneticPr fontId="6" type="noConversion"/>
  </si>
  <si>
    <t>T736</t>
  </si>
  <si>
    <t>短信</t>
    <phoneticPr fontId="6" type="noConversion"/>
  </si>
  <si>
    <t>T737</t>
  </si>
  <si>
    <t>扫把</t>
    <phoneticPr fontId="6" type="noConversion"/>
  </si>
  <si>
    <t>T738</t>
  </si>
  <si>
    <t>床退款</t>
    <phoneticPr fontId="6" type="noConversion"/>
  </si>
  <si>
    <t>T739</t>
  </si>
  <si>
    <t>T740</t>
  </si>
  <si>
    <t>T741</t>
  </si>
  <si>
    <t>T742</t>
  </si>
  <si>
    <t>T743</t>
  </si>
  <si>
    <t>T744</t>
  </si>
  <si>
    <t>T745</t>
  </si>
  <si>
    <t>T746</t>
  </si>
  <si>
    <t>宿舍费用</t>
    <phoneticPr fontId="6" type="noConversion"/>
  </si>
  <si>
    <t>T747</t>
  </si>
  <si>
    <t>T748</t>
  </si>
  <si>
    <t>手工教室</t>
    <phoneticPr fontId="6" type="noConversion"/>
  </si>
  <si>
    <t>T749</t>
  </si>
  <si>
    <t>T750</t>
  </si>
  <si>
    <t>T751</t>
  </si>
  <si>
    <t>冬令营</t>
    <phoneticPr fontId="6" type="noConversion"/>
  </si>
  <si>
    <t>T752</t>
  </si>
  <si>
    <t>剪影会员</t>
    <phoneticPr fontId="6" type="noConversion"/>
  </si>
  <si>
    <t>T753</t>
  </si>
  <si>
    <t>T754</t>
  </si>
  <si>
    <t>T755</t>
  </si>
  <si>
    <t>T756</t>
  </si>
  <si>
    <t>T757</t>
  </si>
  <si>
    <t>T758</t>
  </si>
  <si>
    <t>T759</t>
  </si>
  <si>
    <t>T760</t>
  </si>
  <si>
    <t>T761</t>
  </si>
  <si>
    <t>T762</t>
  </si>
  <si>
    <t>T763</t>
  </si>
  <si>
    <t>T764</t>
  </si>
  <si>
    <t>T765</t>
  </si>
  <si>
    <t>T766</t>
  </si>
  <si>
    <t>T767</t>
  </si>
  <si>
    <t>T768</t>
  </si>
  <si>
    <t>T769</t>
  </si>
  <si>
    <t>T770</t>
  </si>
  <si>
    <t>T771</t>
  </si>
  <si>
    <t>T772</t>
  </si>
  <si>
    <t>烟花</t>
    <phoneticPr fontId="6" type="noConversion"/>
  </si>
  <si>
    <t>T773</t>
  </si>
  <si>
    <t>T774</t>
  </si>
  <si>
    <t>烂果赔付</t>
    <phoneticPr fontId="6" type="noConversion"/>
  </si>
  <si>
    <t>T775</t>
  </si>
  <si>
    <t>T776</t>
  </si>
  <si>
    <t>T777</t>
  </si>
  <si>
    <t>T778</t>
  </si>
  <si>
    <t>T779</t>
  </si>
  <si>
    <t>T780</t>
  </si>
  <si>
    <t>T781</t>
  </si>
  <si>
    <t>T782</t>
  </si>
  <si>
    <t>T783</t>
  </si>
  <si>
    <t>T784</t>
  </si>
  <si>
    <t>T785</t>
  </si>
  <si>
    <t>T786</t>
  </si>
  <si>
    <t>T787</t>
  </si>
  <si>
    <t>T788</t>
  </si>
  <si>
    <t>T789</t>
  </si>
  <si>
    <t>T790</t>
  </si>
  <si>
    <t>T791</t>
  </si>
  <si>
    <t>T792</t>
  </si>
  <si>
    <t>赔付</t>
    <phoneticPr fontId="6" type="noConversion"/>
  </si>
  <si>
    <t>客人摔倒赔付</t>
    <phoneticPr fontId="6" type="noConversion"/>
  </si>
  <si>
    <t>T793</t>
  </si>
  <si>
    <t>T794</t>
  </si>
  <si>
    <t>T795</t>
  </si>
  <si>
    <t>T796</t>
  </si>
  <si>
    <t>T797</t>
  </si>
  <si>
    <t>T798</t>
  </si>
  <si>
    <t>T799</t>
  </si>
  <si>
    <t>T800</t>
  </si>
  <si>
    <t>T801</t>
  </si>
  <si>
    <t>T802</t>
  </si>
  <si>
    <t>收代垫快递费</t>
    <phoneticPr fontId="6" type="noConversion"/>
  </si>
  <si>
    <t>T803</t>
  </si>
  <si>
    <t>T804</t>
  </si>
  <si>
    <t>明月村</t>
    <phoneticPr fontId="6" type="noConversion"/>
  </si>
  <si>
    <t>T806</t>
  </si>
  <si>
    <t>4、内部消费记录为费用\成本一正一负</t>
    <phoneticPr fontId="6" type="noConversion"/>
  </si>
  <si>
    <t>T806</t>
    <phoneticPr fontId="6" type="noConversion"/>
  </si>
  <si>
    <t>T807</t>
  </si>
  <si>
    <t>年会</t>
    <phoneticPr fontId="6" type="noConversion"/>
  </si>
  <si>
    <t>T807</t>
    <phoneticPr fontId="6" type="noConversion"/>
  </si>
  <si>
    <t>T808</t>
  </si>
  <si>
    <t>T809</t>
  </si>
  <si>
    <t>合伙人团建酒</t>
    <phoneticPr fontId="6" type="noConversion"/>
  </si>
  <si>
    <t>T810</t>
  </si>
  <si>
    <t>T811</t>
  </si>
  <si>
    <t>T812</t>
  </si>
  <si>
    <t>T813</t>
  </si>
  <si>
    <t>T814</t>
  </si>
  <si>
    <t>T815</t>
  </si>
  <si>
    <t>废铁销售</t>
    <phoneticPr fontId="6" type="noConversion"/>
  </si>
  <si>
    <t>T816</t>
  </si>
  <si>
    <t>T817</t>
  </si>
  <si>
    <t>T818</t>
  </si>
  <si>
    <t>T819</t>
  </si>
  <si>
    <t>T820</t>
  </si>
  <si>
    <t>T821</t>
  </si>
  <si>
    <t>T822</t>
  </si>
  <si>
    <t>小程序收入</t>
    <phoneticPr fontId="6" type="noConversion"/>
  </si>
  <si>
    <t>明月远家视频号</t>
    <phoneticPr fontId="6" type="noConversion"/>
  </si>
  <si>
    <t>T824</t>
  </si>
  <si>
    <t>T825</t>
  </si>
  <si>
    <t>T826</t>
  </si>
  <si>
    <t>T827</t>
  </si>
  <si>
    <t>T828</t>
  </si>
  <si>
    <t>小程序货品</t>
    <phoneticPr fontId="6" type="noConversion"/>
  </si>
  <si>
    <t>T829</t>
  </si>
  <si>
    <t>T830</t>
  </si>
  <si>
    <t>T831</t>
  </si>
  <si>
    <t>T832</t>
  </si>
  <si>
    <t>T833</t>
  </si>
  <si>
    <t>社保</t>
    <phoneticPr fontId="6" type="noConversion"/>
  </si>
  <si>
    <t>T834</t>
  </si>
  <si>
    <t>T835</t>
  </si>
  <si>
    <t>T836</t>
  </si>
  <si>
    <t>T837</t>
  </si>
  <si>
    <t>T838</t>
  </si>
  <si>
    <t>T839</t>
  </si>
  <si>
    <t>招待</t>
    <phoneticPr fontId="6" type="noConversion"/>
  </si>
  <si>
    <t>一楼茶点</t>
    <phoneticPr fontId="6" type="noConversion"/>
  </si>
  <si>
    <t>T840</t>
  </si>
  <si>
    <t>加油</t>
    <phoneticPr fontId="6" type="noConversion"/>
  </si>
  <si>
    <t>T841</t>
  </si>
  <si>
    <t>T842</t>
  </si>
  <si>
    <t>T843</t>
  </si>
  <si>
    <t>T844</t>
  </si>
  <si>
    <t>T845</t>
  </si>
  <si>
    <t>T846</t>
  </si>
  <si>
    <t>T847</t>
  </si>
  <si>
    <t>T848</t>
  </si>
  <si>
    <t>T849</t>
  </si>
  <si>
    <t>设备租赁</t>
    <phoneticPr fontId="6" type="noConversion"/>
  </si>
  <si>
    <t>T850</t>
  </si>
  <si>
    <t>T851</t>
  </si>
  <si>
    <t>T852</t>
  </si>
  <si>
    <t>T853</t>
  </si>
  <si>
    <t>T854</t>
  </si>
  <si>
    <t>摄影报销</t>
    <phoneticPr fontId="6" type="noConversion"/>
  </si>
  <si>
    <t>T855</t>
  </si>
  <si>
    <t>年会红包</t>
    <phoneticPr fontId="6" type="noConversion"/>
  </si>
  <si>
    <t>T856</t>
  </si>
  <si>
    <t>T857</t>
  </si>
  <si>
    <t>食堂食材</t>
    <phoneticPr fontId="6" type="noConversion"/>
  </si>
  <si>
    <t>T858</t>
  </si>
  <si>
    <t>贝壳报销</t>
    <phoneticPr fontId="6" type="noConversion"/>
  </si>
  <si>
    <t>T859</t>
  </si>
  <si>
    <t>直播晚餐</t>
    <phoneticPr fontId="6" type="noConversion"/>
  </si>
  <si>
    <t>T860</t>
  </si>
  <si>
    <t>T861</t>
  </si>
  <si>
    <t>T862</t>
  </si>
  <si>
    <t>T863</t>
  </si>
  <si>
    <t>T864</t>
  </si>
  <si>
    <t>活动福利</t>
    <phoneticPr fontId="6" type="noConversion"/>
  </si>
  <si>
    <t>T865</t>
  </si>
  <si>
    <t>设备</t>
    <phoneticPr fontId="6" type="noConversion"/>
  </si>
  <si>
    <t>电脑</t>
    <phoneticPr fontId="6" type="noConversion"/>
  </si>
  <si>
    <t>T866</t>
  </si>
  <si>
    <t>顺丰</t>
    <phoneticPr fontId="6" type="noConversion"/>
  </si>
  <si>
    <t>T867</t>
  </si>
  <si>
    <t>圆通</t>
    <phoneticPr fontId="6" type="noConversion"/>
  </si>
  <si>
    <t>T868</t>
  </si>
  <si>
    <t>T869</t>
  </si>
  <si>
    <t>T870</t>
  </si>
  <si>
    <t>T871</t>
  </si>
  <si>
    <t>染色</t>
    <phoneticPr fontId="6" type="noConversion"/>
  </si>
  <si>
    <t>T872</t>
  </si>
  <si>
    <t>T873</t>
  </si>
  <si>
    <t>T874</t>
  </si>
  <si>
    <t>包装盒</t>
    <phoneticPr fontId="6" type="noConversion"/>
  </si>
  <si>
    <t>T875</t>
  </si>
  <si>
    <t>T876</t>
  </si>
  <si>
    <t xml:space="preserve"> 面料</t>
    <phoneticPr fontId="6" type="noConversion"/>
  </si>
  <si>
    <t>T877</t>
  </si>
  <si>
    <t>T878</t>
  </si>
  <si>
    <t>包装袋</t>
    <phoneticPr fontId="6" type="noConversion"/>
  </si>
  <si>
    <t>T879</t>
  </si>
  <si>
    <t>报销</t>
    <phoneticPr fontId="6" type="noConversion"/>
  </si>
  <si>
    <t>T880</t>
  </si>
  <si>
    <t>T881</t>
  </si>
  <si>
    <t>微博认证</t>
    <phoneticPr fontId="6" type="noConversion"/>
  </si>
  <si>
    <t>T882</t>
  </si>
  <si>
    <t>京东</t>
    <phoneticPr fontId="6" type="noConversion"/>
  </si>
  <si>
    <t>T883</t>
  </si>
  <si>
    <t>印花</t>
    <phoneticPr fontId="6" type="noConversion"/>
  </si>
  <si>
    <t>T884</t>
  </si>
  <si>
    <t>哈哈报销摄影杂费</t>
    <phoneticPr fontId="6" type="noConversion"/>
  </si>
  <si>
    <t>T885</t>
  </si>
  <si>
    <t>T886</t>
  </si>
  <si>
    <t>T887</t>
  </si>
  <si>
    <t>吊牌</t>
    <phoneticPr fontId="6" type="noConversion"/>
  </si>
  <si>
    <t>T888</t>
  </si>
  <si>
    <t>T889</t>
  </si>
  <si>
    <t>T890</t>
  </si>
  <si>
    <t>T891</t>
  </si>
  <si>
    <t>T892</t>
  </si>
  <si>
    <t>T893</t>
  </si>
  <si>
    <t>T894</t>
  </si>
  <si>
    <t>话费</t>
    <phoneticPr fontId="6" type="noConversion"/>
  </si>
  <si>
    <t>T895</t>
  </si>
  <si>
    <t>T896</t>
  </si>
  <si>
    <t>T897</t>
  </si>
  <si>
    <t>T898</t>
  </si>
  <si>
    <t>大巴车</t>
    <phoneticPr fontId="6" type="noConversion"/>
  </si>
  <si>
    <t>T899</t>
  </si>
  <si>
    <t>T900</t>
  </si>
  <si>
    <t>稳岗补贴</t>
    <phoneticPr fontId="6" type="noConversion"/>
  </si>
  <si>
    <t>T901</t>
  </si>
  <si>
    <t>T902</t>
  </si>
  <si>
    <t>T903</t>
  </si>
  <si>
    <t>话费、燃气</t>
    <phoneticPr fontId="6" type="noConversion"/>
  </si>
  <si>
    <t>T904</t>
  </si>
  <si>
    <t>T905</t>
  </si>
  <si>
    <t>T906</t>
  </si>
  <si>
    <t>招聘、修理</t>
    <phoneticPr fontId="6" type="noConversion"/>
  </si>
  <si>
    <t>低耗、保洁</t>
    <phoneticPr fontId="6" type="noConversion"/>
  </si>
  <si>
    <t>T907</t>
  </si>
  <si>
    <t>聚餐</t>
    <phoneticPr fontId="6" type="noConversion"/>
  </si>
  <si>
    <t>T908</t>
  </si>
  <si>
    <t>T909</t>
  </si>
  <si>
    <t>T910</t>
  </si>
  <si>
    <t>T911</t>
  </si>
  <si>
    <t>T912</t>
  </si>
  <si>
    <t>T913</t>
  </si>
  <si>
    <t>T914</t>
  </si>
  <si>
    <t>T915</t>
  </si>
  <si>
    <t>T916</t>
  </si>
  <si>
    <t>创业园</t>
    <phoneticPr fontId="6" type="noConversion"/>
  </si>
  <si>
    <t>水街店</t>
  </si>
  <si>
    <t>T917</t>
  </si>
  <si>
    <t>服饰销售50%</t>
    <phoneticPr fontId="6" type="noConversion"/>
  </si>
  <si>
    <t>T918</t>
  </si>
  <si>
    <t>T892.1</t>
    <phoneticPr fontId="6" type="noConversion"/>
  </si>
  <si>
    <t>支付计提尾差0.01</t>
    <phoneticPr fontId="6" type="noConversion"/>
  </si>
  <si>
    <t>驻色</t>
  </si>
  <si>
    <t>琦 张小喜</t>
    <phoneticPr fontId="6" type="noConversion"/>
  </si>
  <si>
    <t>客房耗品</t>
    <phoneticPr fontId="6" type="noConversion"/>
  </si>
  <si>
    <t>求和项:NetBal</t>
  </si>
  <si>
    <t>包装</t>
  </si>
  <si>
    <t>计提税金</t>
  </si>
  <si>
    <t>退费-供应商</t>
  </si>
  <si>
    <t>差旅</t>
  </si>
  <si>
    <t>水果</t>
  </si>
  <si>
    <t>5、工资按雯子的往来记录</t>
    <phoneticPr fontId="6" type="noConversion"/>
  </si>
  <si>
    <t>板块</t>
    <phoneticPr fontId="6" type="noConversion"/>
  </si>
  <si>
    <t>营业额</t>
    <phoneticPr fontId="6" type="noConversion"/>
  </si>
  <si>
    <t>年度预算</t>
    <phoneticPr fontId="6" type="noConversion"/>
  </si>
  <si>
    <t>配置参数</t>
    <phoneticPr fontId="6" type="noConversion"/>
  </si>
  <si>
    <t>进度条</t>
    <phoneticPr fontId="6" type="noConversion"/>
  </si>
  <si>
    <t>成本</t>
    <phoneticPr fontId="6" type="noConversion"/>
  </si>
  <si>
    <t>*进度</t>
    <phoneticPr fontId="6" type="noConversion"/>
  </si>
  <si>
    <t>库存摊销</t>
  </si>
  <si>
    <t>库存摊销</t>
    <phoneticPr fontId="6" type="noConversion"/>
  </si>
  <si>
    <t>*销售占比</t>
    <phoneticPr fontId="6" type="noConversion"/>
  </si>
  <si>
    <t>其他</t>
    <phoneticPr fontId="6" type="noConversion"/>
  </si>
  <si>
    <t>*服装销售50% 摊销</t>
    <phoneticPr fontId="6" type="noConversion"/>
  </si>
  <si>
    <t>费用</t>
    <phoneticPr fontId="6" type="noConversion"/>
  </si>
  <si>
    <t>薪酬-*</t>
  </si>
  <si>
    <t>总体: 运营</t>
    <phoneticPr fontId="6" type="noConversion"/>
  </si>
  <si>
    <t>运营利润</t>
    <phoneticPr fontId="6" type="noConversion"/>
  </si>
  <si>
    <t>*运营利润率</t>
    <phoneticPr fontId="6" type="noConversion"/>
  </si>
  <si>
    <t>求和项:perc_rev</t>
  </si>
  <si>
    <t>网店</t>
    <phoneticPr fontId="6" type="noConversion"/>
  </si>
  <si>
    <t>日期</t>
    <phoneticPr fontId="6" type="noConversion"/>
  </si>
  <si>
    <t>金额</t>
    <phoneticPr fontId="6" type="noConversion"/>
  </si>
  <si>
    <t>库存风险准备</t>
    <phoneticPr fontId="6" type="noConversion"/>
  </si>
  <si>
    <t>*每个板块的逻辑</t>
    <phoneticPr fontId="6" type="noConversion"/>
  </si>
  <si>
    <t>网店：销售额 是否稳定</t>
    <phoneticPr fontId="6" type="noConversion"/>
  </si>
  <si>
    <t>水街：分析实体店 - 网店 的 优缺点</t>
    <phoneticPr fontId="6" type="noConversion"/>
  </si>
  <si>
    <t>明月村：自力更生</t>
    <phoneticPr fontId="6" type="noConversion"/>
  </si>
  <si>
    <t>后台：总数  问题不大</t>
    <phoneticPr fontId="6" type="noConversion"/>
  </si>
  <si>
    <t>抓大放小</t>
    <phoneticPr fontId="6" type="noConversion"/>
  </si>
  <si>
    <t>按销售额占比，基本稳定</t>
    <phoneticPr fontId="6" type="noConversion"/>
  </si>
  <si>
    <t>备注</t>
    <phoneticPr fontId="6" type="noConversion"/>
  </si>
  <si>
    <t>*op inc</t>
    <phoneticPr fontId="6" type="noConversion"/>
  </si>
  <si>
    <t>张文美艺术资金</t>
    <phoneticPr fontId="6" type="noConversion"/>
  </si>
  <si>
    <t>课程</t>
    <phoneticPr fontId="6" type="noConversion"/>
  </si>
  <si>
    <t>冬令营老师费用</t>
    <phoneticPr fontId="6" type="noConversion"/>
  </si>
  <si>
    <t>非日常运营利润：</t>
    <phoneticPr fontId="6" type="noConversion"/>
  </si>
  <si>
    <t>Discretion</t>
    <phoneticPr fontId="6" type="noConversion"/>
  </si>
  <si>
    <t>IncType</t>
    <phoneticPr fontId="6" type="noConversion"/>
  </si>
  <si>
    <t>Non-Op</t>
    <phoneticPr fontId="6" type="noConversion"/>
  </si>
  <si>
    <t>净利润</t>
    <phoneticPr fontId="6" type="noConversion"/>
  </si>
  <si>
    <t>*洁尘老师的课</t>
    <phoneticPr fontId="6" type="noConversion"/>
  </si>
  <si>
    <t>综合管理</t>
    <phoneticPr fontId="6" type="noConversion"/>
  </si>
  <si>
    <t>期初</t>
    <phoneticPr fontId="6" type="noConversion"/>
  </si>
  <si>
    <t>期末</t>
    <phoneticPr fontId="6" type="noConversion"/>
  </si>
  <si>
    <t>当期增加</t>
    <phoneticPr fontId="6" type="noConversion"/>
  </si>
  <si>
    <t>Acct</t>
    <phoneticPr fontId="6" type="noConversion"/>
  </si>
  <si>
    <t>TrxDate</t>
    <phoneticPr fontId="6" type="noConversion"/>
  </si>
  <si>
    <t>服饰库存占款</t>
    <phoneticPr fontId="6" type="noConversion"/>
  </si>
  <si>
    <t>*净利润率</t>
    <phoneticPr fontId="6" type="noConversion"/>
  </si>
  <si>
    <t>预付订单</t>
  </si>
  <si>
    <t>1、远姐20年个人转入明月远家100万，用于艺术驻留基金等，明月远家账务处理为往来，25年余额548813.93</t>
    <phoneticPr fontId="6" type="noConversion"/>
  </si>
  <si>
    <t>Column Labels</t>
  </si>
  <si>
    <t>Row Labels</t>
  </si>
  <si>
    <t>Grand Total</t>
  </si>
  <si>
    <t>Jan</t>
  </si>
  <si>
    <t>Feb</t>
  </si>
  <si>
    <t>Dec</t>
  </si>
  <si>
    <t>(All)</t>
  </si>
  <si>
    <t>前期修建借款</t>
  </si>
  <si>
    <t>张文美艺术资金</t>
  </si>
  <si>
    <t>T000.3</t>
  </si>
  <si>
    <t>远姐 文艺基金</t>
  </si>
  <si>
    <t>Acc.Inc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</si>
</sst>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mm/dd/yy"/>
    <numFmt numFmtId="166" formatCode="0.00%_);[Red]\(0.00%\)"/>
    <numFmt numFmtId="167" formatCode="#,##0.000000000000_ ;[Red]\-#,##0.000000000000\ "/>
    <numFmt numFmtId="168" formatCode="#,##0.0000000000_ ;[Red]\-#,##0.0000000000\ "/>
    <numFmt numFmtId="169" formatCode="0.0%"/>
    <numFmt numFmtId="171" formatCode="#,##0.00;[Red]\-#,##0.00"/>
  </numFmts>
  <fonts count="20">
    <font>
      <sz val="11"/>
      <color theme="1"/>
      <name val="Calibri"/>
      <family val="2"/>
      <scheme val="minor"/>
    </font>
    <font>
      <sz val="11"/>
      <color theme="1"/>
      <name val="Calibri"/>
      <family val="2"/>
      <charset val="134"/>
      <scheme val="minor"/>
    </font>
    <font>
      <sz val="11"/>
      <color theme="1"/>
      <name val="Calibri"/>
      <family val="2"/>
      <scheme val="minor"/>
    </font>
    <font>
      <i/>
      <sz val="11"/>
      <color rgb="FF7F7F7F"/>
      <name val="Calibri"/>
      <family val="2"/>
      <scheme val="minor"/>
    </font>
    <font>
      <b/>
      <sz val="11"/>
      <color theme="1"/>
      <name val="Calibri"/>
      <family val="2"/>
      <scheme val="minor"/>
    </font>
    <font>
      <sz val="11"/>
      <color rgb="FF3F3F76"/>
      <name val="Calibri"/>
      <family val="2"/>
      <scheme val="minor"/>
    </font>
    <font>
      <sz val="9"/>
      <name val="Calibri"/>
      <family val="3"/>
      <charset val="134"/>
      <scheme val="minor"/>
    </font>
    <font>
      <sz val="11"/>
      <color rgb="FFFF0000"/>
      <name val="Calibri"/>
      <family val="3"/>
      <charset val="134"/>
      <scheme val="minor"/>
    </font>
    <font>
      <sz val="11"/>
      <name val="Calibri"/>
      <family val="3"/>
      <charset val="134"/>
      <scheme val="minor"/>
    </font>
    <font>
      <b/>
      <sz val="11"/>
      <color rgb="FF3F3F3F"/>
      <name val="Calibri"/>
      <family val="2"/>
      <scheme val="minor"/>
    </font>
    <font>
      <b/>
      <sz val="11"/>
      <color theme="0"/>
      <name val="Calibri"/>
      <family val="2"/>
      <scheme val="minor"/>
    </font>
    <font>
      <sz val="11"/>
      <name val="Calibri"/>
      <family val="2"/>
      <scheme val="minor"/>
    </font>
    <font>
      <sz val="11"/>
      <color rgb="FFFF0000"/>
      <name val="Calibri"/>
      <family val="2"/>
      <scheme val="minor"/>
    </font>
    <font>
      <sz val="9"/>
      <color rgb="FF000000"/>
      <name val="新宋体"/>
      <family val="3"/>
      <charset val="134"/>
    </font>
    <font>
      <sz val="11"/>
      <color theme="1"/>
      <name val="Calibri"/>
      <family val="3"/>
      <charset val="134"/>
      <scheme val="minor"/>
    </font>
    <font>
      <i/>
      <sz val="9"/>
      <color rgb="FF7F7F7F"/>
      <name val="Calibri"/>
      <family val="2"/>
      <scheme val="minor"/>
    </font>
    <font>
      <sz val="11"/>
      <color rgb="FF00B0F0"/>
      <name val="Calibri"/>
      <family val="2"/>
      <scheme val="minor"/>
    </font>
    <font>
      <sz val="11"/>
      <color rgb="FF00B0F0"/>
      <name val="Calibri"/>
      <family val="3"/>
      <charset val="134"/>
      <scheme val="minor"/>
    </font>
    <font>
      <b/>
      <sz val="11"/>
      <color theme="1"/>
      <name val="Calibri"/>
      <family val="3"/>
      <charset val="134"/>
      <scheme val="minor"/>
    </font>
    <font>
      <b/>
      <sz val="8"/>
      <color theme="1"/>
      <name val="Calibri"/>
      <family val="3"/>
      <charset val="134"/>
      <scheme val="minor"/>
    </font>
  </fonts>
  <fills count="17">
    <fill>
      <patternFill patternType="none"/>
    </fill>
    <fill>
      <patternFill patternType="gray125"/>
    </fill>
    <fill>
      <patternFill patternType="solid">
        <fgColor rgb="FFFFFFCC"/>
      </patternFill>
    </fill>
    <fill>
      <patternFill patternType="solid">
        <fgColor theme="4" tint="0.39997558519241921"/>
        <bgColor indexed="65"/>
      </patternFill>
    </fill>
    <fill>
      <patternFill patternType="solid">
        <fgColor rgb="FFFFCC99"/>
      </patternFill>
    </fill>
    <fill>
      <patternFill patternType="solid">
        <fgColor theme="9" tint="0.59999389629810485"/>
        <bgColor indexed="64"/>
      </patternFill>
    </fill>
    <fill>
      <patternFill patternType="solid">
        <fgColor rgb="FFF2F2F2"/>
      </patternFill>
    </fill>
    <fill>
      <patternFill patternType="solid">
        <fgColor theme="0"/>
        <bgColor indexed="64"/>
      </patternFill>
    </fill>
    <fill>
      <patternFill patternType="solid">
        <fgColor theme="4"/>
        <bgColor theme="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8" tint="0.59999389629810485"/>
        <bgColor theme="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6" tint="0.79998168889431442"/>
        <bgColor indexed="64"/>
      </patternFill>
    </fill>
  </fills>
  <borders count="14">
    <border>
      <left/>
      <right/>
      <top/>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int="0.39997558519241921"/>
      </top>
      <bottom style="thin">
        <color theme="4" tint="0.39997558519241921"/>
      </bottom>
      <diagonal/>
    </border>
    <border>
      <left/>
      <right style="thin">
        <color theme="5" tint="0.39997558519241921"/>
      </right>
      <top style="thin">
        <color theme="5" tint="0.39997558519241921"/>
      </top>
      <bottom style="thin">
        <color theme="5"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rgb="FF7F7F7F"/>
      </left>
      <right style="thin">
        <color rgb="FFB2B2B2"/>
      </right>
      <top style="thin">
        <color rgb="FFB2B2B2"/>
      </top>
      <bottom style="thin">
        <color rgb="FFB2B2B2"/>
      </bottom>
      <diagonal/>
    </border>
    <border>
      <left/>
      <right style="thin">
        <color indexed="64"/>
      </right>
      <top style="thin">
        <color indexed="64"/>
      </top>
      <bottom/>
      <diagonal/>
    </border>
  </borders>
  <cellStyleXfs count="12">
    <xf numFmtId="0" fontId="0" fillId="0" borderId="0"/>
    <xf numFmtId="0" fontId="2" fillId="2" borderId="1" applyNumberFormat="0" applyFont="0" applyAlignment="0" applyProtection="0"/>
    <xf numFmtId="0" fontId="3" fillId="0" borderId="0" applyNumberFormat="0" applyFill="0" applyBorder="0" applyAlignment="0" applyProtection="0"/>
    <xf numFmtId="0" fontId="2" fillId="3" borderId="0" applyNumberFormat="0" applyBorder="0" applyAlignment="0" applyProtection="0"/>
    <xf numFmtId="0" fontId="5" fillId="4" borderId="2" applyNumberFormat="0" applyAlignment="0" applyProtection="0"/>
    <xf numFmtId="0" fontId="9" fillId="6" borderId="3" applyNumberFormat="0" applyAlignment="0" applyProtection="0"/>
    <xf numFmtId="164" fontId="2" fillId="0" borderId="0" applyFont="0" applyFill="0" applyBorder="0" applyAlignment="0" applyProtection="0">
      <alignment vertical="center"/>
    </xf>
    <xf numFmtId="40" fontId="13" fillId="0" borderId="7" applyFill="0" applyProtection="0">
      <alignment horizontal="right"/>
    </xf>
    <xf numFmtId="9" fontId="2" fillId="0" borderId="0" applyFont="0" applyFill="0" applyBorder="0" applyAlignment="0" applyProtection="0">
      <alignment vertical="center"/>
    </xf>
    <xf numFmtId="0" fontId="1"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cellStyleXfs>
  <cellXfs count="123">
    <xf numFmtId="0" fontId="0" fillId="0" borderId="0" xfId="0"/>
    <xf numFmtId="0" fontId="0" fillId="0" borderId="0" xfId="0" applyAlignment="1">
      <alignment horizontal="center" vertical="center"/>
    </xf>
    <xf numFmtId="0" fontId="4" fillId="3" borderId="0" xfId="3" applyFont="1"/>
    <xf numFmtId="0" fontId="3" fillId="0" borderId="0" xfId="2"/>
    <xf numFmtId="0" fontId="3" fillId="2" borderId="1" xfId="1" applyFont="1"/>
    <xf numFmtId="0" fontId="0" fillId="2" borderId="1" xfId="1" applyFont="1"/>
    <xf numFmtId="0" fontId="0" fillId="0" borderId="0" xfId="0" applyAlignment="1">
      <alignment horizontal="center"/>
    </xf>
    <xf numFmtId="165" fontId="0" fillId="0" borderId="0" xfId="0" applyNumberFormat="1"/>
    <xf numFmtId="165" fontId="0" fillId="2" borderId="1" xfId="1" applyNumberFormat="1" applyFont="1"/>
    <xf numFmtId="40" fontId="0" fillId="0" borderId="0" xfId="0" applyNumberFormat="1"/>
    <xf numFmtId="38" fontId="0" fillId="0" borderId="0" xfId="0" applyNumberFormat="1"/>
    <xf numFmtId="0" fontId="5" fillId="4" borderId="2" xfId="4"/>
    <xf numFmtId="0" fontId="0" fillId="0" borderId="0" xfId="0" pivotButton="1"/>
    <xf numFmtId="0" fontId="0" fillId="0" borderId="0" xfId="0" pivotButton="1" applyAlignment="1">
      <alignment horizontal="center"/>
    </xf>
    <xf numFmtId="0" fontId="0" fillId="0" borderId="0" xfId="0" applyAlignment="1">
      <alignment horizontal="left"/>
    </xf>
    <xf numFmtId="0" fontId="0" fillId="0" borderId="0" xfId="0" applyAlignment="1">
      <alignment horizontal="left" indent="1"/>
    </xf>
    <xf numFmtId="10" fontId="0" fillId="0" borderId="0" xfId="0" applyNumberFormat="1"/>
    <xf numFmtId="0" fontId="0" fillId="0" borderId="0" xfId="0" applyAlignment="1">
      <alignment horizontal="center" vertical="center" wrapText="1"/>
    </xf>
    <xf numFmtId="0" fontId="7" fillId="0" borderId="0" xfId="0" applyFont="1"/>
    <xf numFmtId="0" fontId="8" fillId="0" borderId="0" xfId="0" applyFont="1"/>
    <xf numFmtId="0" fontId="4" fillId="0" borderId="0" xfId="0" applyFont="1"/>
    <xf numFmtId="38" fontId="0" fillId="2" borderId="1" xfId="1" applyNumberFormat="1" applyFont="1"/>
    <xf numFmtId="38" fontId="9" fillId="6" borderId="3" xfId="5" applyNumberFormat="1"/>
    <xf numFmtId="0" fontId="4" fillId="0" borderId="0" xfId="0" applyFont="1" applyAlignment="1">
      <alignment horizontal="center"/>
    </xf>
    <xf numFmtId="165" fontId="9" fillId="6" borderId="3" xfId="5" applyNumberFormat="1"/>
    <xf numFmtId="0" fontId="3" fillId="0" borderId="0" xfId="2" applyAlignment="1">
      <alignment horizontal="center"/>
    </xf>
    <xf numFmtId="165" fontId="5" fillId="4" borderId="2" xfId="4" applyNumberFormat="1"/>
    <xf numFmtId="0" fontId="3" fillId="0" borderId="0" xfId="2" applyFill="1" applyBorder="1"/>
    <xf numFmtId="0" fontId="3" fillId="0" borderId="0" xfId="2" applyAlignment="1">
      <alignment horizontal="right"/>
    </xf>
    <xf numFmtId="166" fontId="3" fillId="0" borderId="0" xfId="2" applyNumberFormat="1"/>
    <xf numFmtId="40" fontId="3" fillId="0" borderId="0" xfId="2" applyNumberFormat="1"/>
    <xf numFmtId="0" fontId="3" fillId="0" borderId="0" xfId="2" applyFill="1" applyBorder="1" applyAlignment="1">
      <alignment horizontal="right"/>
    </xf>
    <xf numFmtId="0" fontId="0" fillId="0" borderId="4" xfId="0" applyBorder="1" applyAlignment="1">
      <alignment horizontal="center"/>
    </xf>
    <xf numFmtId="0" fontId="0" fillId="0" borderId="6" xfId="0" applyBorder="1" applyAlignment="1">
      <alignment horizontal="center"/>
    </xf>
    <xf numFmtId="0" fontId="12" fillId="0" borderId="0" xfId="0" applyFont="1"/>
    <xf numFmtId="14" fontId="0" fillId="0" borderId="0" xfId="0" applyNumberFormat="1" applyAlignment="1">
      <alignment horizontal="center"/>
    </xf>
    <xf numFmtId="14" fontId="0" fillId="0" borderId="0" xfId="0" applyNumberFormat="1"/>
    <xf numFmtId="0" fontId="11" fillId="0" borderId="0" xfId="0" applyFont="1"/>
    <xf numFmtId="0" fontId="10" fillId="8" borderId="7" xfId="0" applyFont="1" applyFill="1" applyBorder="1" applyAlignment="1">
      <alignment horizontal="center" vertical="center"/>
    </xf>
    <xf numFmtId="0" fontId="0" fillId="5" borderId="7" xfId="0" applyFill="1" applyBorder="1" applyAlignment="1">
      <alignment horizontal="center" vertical="center"/>
    </xf>
    <xf numFmtId="165" fontId="5" fillId="4" borderId="7" xfId="4" applyNumberFormat="1" applyBorder="1" applyAlignment="1">
      <alignment horizontal="center" vertical="center"/>
    </xf>
    <xf numFmtId="0" fontId="0" fillId="9" borderId="7" xfId="0" applyFill="1" applyBorder="1" applyAlignment="1">
      <alignment horizontal="center" vertical="center"/>
    </xf>
    <xf numFmtId="0" fontId="0" fillId="10" borderId="0" xfId="0" applyFill="1"/>
    <xf numFmtId="164" fontId="0" fillId="0" borderId="0" xfId="6" applyFont="1" applyAlignment="1"/>
    <xf numFmtId="164" fontId="0" fillId="9" borderId="7" xfId="6" applyFont="1" applyFill="1" applyBorder="1" applyAlignment="1">
      <alignment horizontal="center" vertical="center"/>
    </xf>
    <xf numFmtId="0" fontId="0" fillId="0" borderId="7" xfId="0" applyBorder="1" applyAlignment="1">
      <alignment horizontal="center" vertical="center"/>
    </xf>
    <xf numFmtId="164" fontId="0" fillId="0" borderId="7" xfId="6" applyFont="1" applyBorder="1" applyAlignment="1">
      <alignment horizontal="center" vertical="center"/>
    </xf>
    <xf numFmtId="164" fontId="0" fillId="0" borderId="7" xfId="0" applyNumberFormat="1" applyBorder="1" applyAlignment="1">
      <alignment horizontal="center"/>
    </xf>
    <xf numFmtId="165" fontId="5" fillId="4" borderId="7" xfId="4" applyNumberFormat="1" applyBorder="1" applyAlignment="1">
      <alignment horizontal="center"/>
    </xf>
    <xf numFmtId="167" fontId="0" fillId="0" borderId="0" xfId="0" applyNumberFormat="1"/>
    <xf numFmtId="0" fontId="0" fillId="9" borderId="0" xfId="0" applyFill="1"/>
    <xf numFmtId="0" fontId="0" fillId="11" borderId="0" xfId="0" applyFill="1"/>
    <xf numFmtId="168" fontId="0" fillId="0" borderId="0" xfId="0" applyNumberFormat="1"/>
    <xf numFmtId="0" fontId="14" fillId="0" borderId="4" xfId="0" applyFont="1" applyBorder="1" applyAlignment="1">
      <alignment horizontal="center"/>
    </xf>
    <xf numFmtId="0" fontId="14" fillId="0" borderId="0" xfId="0" applyFont="1" applyAlignment="1">
      <alignment horizontal="center"/>
    </xf>
    <xf numFmtId="0" fontId="10" fillId="12" borderId="5" xfId="0" applyFont="1" applyFill="1" applyBorder="1" applyAlignment="1">
      <alignment horizontal="center"/>
    </xf>
    <xf numFmtId="0" fontId="10" fillId="8" borderId="4" xfId="0" applyFont="1" applyFill="1" applyBorder="1" applyAlignment="1">
      <alignment horizontal="center"/>
    </xf>
    <xf numFmtId="0" fontId="15" fillId="0" borderId="0" xfId="2" applyFont="1"/>
    <xf numFmtId="0" fontId="0" fillId="0" borderId="7" xfId="0" applyBorder="1"/>
    <xf numFmtId="164" fontId="0" fillId="0" borderId="0" xfId="0" applyNumberFormat="1"/>
    <xf numFmtId="0" fontId="4" fillId="0" borderId="8" xfId="0" applyFont="1" applyBorder="1" applyAlignment="1">
      <alignment horizontal="left"/>
    </xf>
    <xf numFmtId="9" fontId="0" fillId="0" borderId="0" xfId="0" applyNumberFormat="1"/>
    <xf numFmtId="10" fontId="0" fillId="0" borderId="0" xfId="8" applyNumberFormat="1" applyFont="1" applyAlignment="1"/>
    <xf numFmtId="0" fontId="0" fillId="7" borderId="0" xfId="0" applyFill="1"/>
    <xf numFmtId="14" fontId="0" fillId="7" borderId="0" xfId="0" applyNumberFormat="1" applyFill="1"/>
    <xf numFmtId="0" fontId="3" fillId="7" borderId="0" xfId="2" applyFill="1"/>
    <xf numFmtId="9" fontId="9" fillId="6" borderId="3" xfId="5" applyNumberFormat="1"/>
    <xf numFmtId="9" fontId="5" fillId="4" borderId="2" xfId="4" applyNumberFormat="1"/>
    <xf numFmtId="38" fontId="5" fillId="4" borderId="2" xfId="4" applyNumberFormat="1"/>
    <xf numFmtId="0" fontId="0" fillId="0" borderId="9" xfId="0" applyBorder="1"/>
    <xf numFmtId="38" fontId="0" fillId="0" borderId="9" xfId="0" applyNumberFormat="1" applyBorder="1"/>
    <xf numFmtId="166" fontId="3" fillId="0" borderId="9" xfId="2" applyNumberFormat="1" applyBorder="1"/>
    <xf numFmtId="40" fontId="5" fillId="5" borderId="2" xfId="4" applyNumberFormat="1" applyFill="1"/>
    <xf numFmtId="0" fontId="0" fillId="0" borderId="0" xfId="0" applyAlignment="1">
      <alignment horizontal="left" indent="2"/>
    </xf>
    <xf numFmtId="9" fontId="0" fillId="0" borderId="0" xfId="8" applyFont="1" applyAlignment="1"/>
    <xf numFmtId="0" fontId="2" fillId="3" borderId="0" xfId="3"/>
    <xf numFmtId="0" fontId="18" fillId="0" borderId="0" xfId="0" applyFont="1"/>
    <xf numFmtId="0" fontId="18" fillId="3" borderId="0" xfId="3" applyFont="1"/>
    <xf numFmtId="0" fontId="2" fillId="3" borderId="0" xfId="3" applyAlignment="1">
      <alignment horizontal="center"/>
    </xf>
    <xf numFmtId="38" fontId="0" fillId="0" borderId="0" xfId="6" applyNumberFormat="1" applyFont="1" applyAlignment="1"/>
    <xf numFmtId="169" fontId="0" fillId="0" borderId="0" xfId="8" applyNumberFormat="1" applyFont="1" applyAlignment="1"/>
    <xf numFmtId="169" fontId="0" fillId="0" borderId="0" xfId="0" applyNumberFormat="1"/>
    <xf numFmtId="0" fontId="0" fillId="0" borderId="0" xfId="0" applyAlignment="1">
      <alignment horizontal="right"/>
    </xf>
    <xf numFmtId="38" fontId="9" fillId="6" borderId="3" xfId="5" applyNumberFormat="1" applyAlignment="1"/>
    <xf numFmtId="0" fontId="0" fillId="0" borderId="9" xfId="0" applyBorder="1" applyAlignment="1">
      <alignment horizontal="center"/>
    </xf>
    <xf numFmtId="0" fontId="0" fillId="2" borderId="12" xfId="1" applyFont="1" applyBorder="1"/>
    <xf numFmtId="0" fontId="19" fillId="0" borderId="0" xfId="0" applyFont="1"/>
    <xf numFmtId="0" fontId="1" fillId="15" borderId="9" xfId="11" applyBorder="1" applyAlignment="1">
      <alignment horizontal="center"/>
    </xf>
    <xf numFmtId="0" fontId="1" fillId="15" borderId="0" xfId="11" applyAlignment="1"/>
    <xf numFmtId="0" fontId="1" fillId="15" borderId="10" xfId="11" applyBorder="1" applyAlignment="1">
      <alignment horizontal="right"/>
    </xf>
    <xf numFmtId="169" fontId="1" fillId="15" borderId="0" xfId="11" applyNumberFormat="1" applyAlignment="1"/>
    <xf numFmtId="0" fontId="1" fillId="15" borderId="11" xfId="11" applyBorder="1" applyAlignment="1">
      <alignment horizontal="right"/>
    </xf>
    <xf numFmtId="169" fontId="1" fillId="15" borderId="9" xfId="11" applyNumberFormat="1" applyBorder="1" applyAlignment="1"/>
    <xf numFmtId="9" fontId="1" fillId="15" borderId="0" xfId="11" applyNumberFormat="1" applyAlignment="1"/>
    <xf numFmtId="0" fontId="1" fillId="13" borderId="9" xfId="9" applyBorder="1" applyAlignment="1">
      <alignment horizontal="center"/>
    </xf>
    <xf numFmtId="0" fontId="1" fillId="13" borderId="10" xfId="9" applyBorder="1" applyAlignment="1">
      <alignment horizontal="right"/>
    </xf>
    <xf numFmtId="169" fontId="1" fillId="13" borderId="0" xfId="9" applyNumberFormat="1" applyAlignment="1"/>
    <xf numFmtId="38" fontId="1" fillId="13" borderId="0" xfId="9" applyNumberFormat="1" applyAlignment="1"/>
    <xf numFmtId="169" fontId="1" fillId="13" borderId="9" xfId="9" applyNumberFormat="1" applyBorder="1" applyAlignment="1"/>
    <xf numFmtId="9" fontId="1" fillId="13" borderId="0" xfId="9" applyNumberFormat="1" applyAlignment="1"/>
    <xf numFmtId="0" fontId="18" fillId="15" borderId="11" xfId="11" applyFont="1" applyBorder="1" applyAlignment="1">
      <alignment horizontal="center"/>
    </xf>
    <xf numFmtId="0" fontId="18" fillId="13" borderId="11" xfId="9" applyFont="1" applyBorder="1" applyAlignment="1">
      <alignment horizontal="center"/>
    </xf>
    <xf numFmtId="0" fontId="1" fillId="13" borderId="13" xfId="9" applyBorder="1" applyAlignment="1">
      <alignment horizontal="right"/>
    </xf>
    <xf numFmtId="0" fontId="1" fillId="13" borderId="11" xfId="9" applyBorder="1" applyAlignment="1">
      <alignment horizontal="right"/>
    </xf>
    <xf numFmtId="0" fontId="1" fillId="14" borderId="0" xfId="10" applyAlignment="1">
      <alignment horizontal="center"/>
    </xf>
    <xf numFmtId="0" fontId="1" fillId="14" borderId="0" xfId="10" applyAlignment="1"/>
    <xf numFmtId="38" fontId="1" fillId="14" borderId="0" xfId="10" applyNumberFormat="1" applyAlignment="1"/>
    <xf numFmtId="0" fontId="18" fillId="14" borderId="0" xfId="10" applyFont="1" applyAlignment="1">
      <alignment horizontal="right"/>
    </xf>
    <xf numFmtId="40" fontId="0" fillId="7" borderId="0" xfId="0" applyNumberFormat="1" applyFill="1"/>
    <xf numFmtId="40" fontId="0" fillId="16" borderId="0" xfId="0" applyNumberFormat="1" applyFill="1"/>
    <xf numFmtId="0" fontId="16" fillId="0" borderId="0" xfId="0" applyFont="1" applyAlignment="1">
      <alignment horizontal="left" vertical="center" wrapText="1"/>
    </xf>
    <xf numFmtId="0" fontId="17" fillId="0" borderId="0" xfId="0" applyFont="1" applyAlignment="1">
      <alignment horizontal="left" vertical="center" wrapText="1"/>
    </xf>
    <xf numFmtId="0" fontId="0" fillId="0" borderId="0" xfId="0" applyAlignment="1">
      <alignment horizontal="center" vertical="center" wrapText="1"/>
    </xf>
    <xf numFmtId="0" fontId="0" fillId="0" borderId="0" xfId="0" applyAlignment="1">
      <alignment horizontal="center"/>
    </xf>
    <xf numFmtId="165" fontId="5" fillId="4" borderId="7" xfId="4" applyNumberFormat="1" applyBorder="1" applyAlignment="1">
      <alignment horizontal="center" vertical="center"/>
    </xf>
    <xf numFmtId="171" fontId="0" fillId="0" borderId="0" xfId="0" pivotButton="1" applyNumberFormat="1"/>
    <xf numFmtId="171" fontId="0" fillId="0" borderId="0" xfId="0" applyNumberFormat="1"/>
    <xf numFmtId="171" fontId="0" fillId="0" borderId="0" xfId="0" applyNumberFormat="1" applyAlignment="1">
      <alignment horizontal="left"/>
    </xf>
    <xf numFmtId="171" fontId="0" fillId="0" borderId="0" xfId="0" applyNumberFormat="1" applyAlignment="1">
      <alignment horizontal="left" indent="1"/>
    </xf>
    <xf numFmtId="171" fontId="0" fillId="0" borderId="0" xfId="0" applyNumberFormat="1" applyAlignment="1">
      <alignment horizontal="left" indent="2"/>
    </xf>
    <xf numFmtId="0" fontId="0" fillId="2" borderId="1" xfId="1" applyFont="1" applyBorder="1"/>
    <xf numFmtId="0" fontId="5" fillId="4" borderId="2" xfId="4" applyBorder="1"/>
    <xf numFmtId="0" fontId="0" fillId="0" borderId="0" xfId="0" applyNumberFormat="1"/>
  </cellXfs>
  <cellStyles count="12">
    <cellStyle name="20% - Accent4" xfId="9" builtinId="42"/>
    <cellStyle name="20% - Accent5" xfId="10" builtinId="46"/>
    <cellStyle name="20% - Accent6" xfId="11" builtinId="50"/>
    <cellStyle name="60% - Accent1" xfId="3" builtinId="32"/>
    <cellStyle name="Comma" xfId="6" builtinId="3"/>
    <cellStyle name="Explanatory Text" xfId="2" builtinId="53"/>
    <cellStyle name="Input" xfId="4" builtinId="20"/>
    <cellStyle name="Normal" xfId="0" builtinId="0"/>
    <cellStyle name="Note" xfId="1" builtinId="10"/>
    <cellStyle name="Output" xfId="5" builtinId="21"/>
    <cellStyle name="Percent" xfId="8" builtinId="5"/>
    <cellStyle name="periodEndBalanceAmountDrD" xfId="7" xr:uid="{95178045-CD64-4B3A-A6FA-AF4C148BC00E}"/>
  </cellStyles>
  <dxfs count="588">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6" tint="0.79998168889431442"/>
        </patternFill>
      </fill>
    </dxf>
    <dxf>
      <fill>
        <patternFill>
          <bgColor theme="0"/>
        </patternFill>
      </fill>
    </dxf>
    <dxf>
      <numFmt numFmtId="170" formatCode="#,##0.0;[Red]\-#,##0.0"/>
    </dxf>
    <dxf>
      <numFmt numFmtId="171" formatCode="#,##0.00;[Red]\-#,##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6" tint="0.79998168889431442"/>
        </patternFill>
      </fill>
    </dxf>
    <dxf>
      <fill>
        <patternFill>
          <bgColor theme="0"/>
        </patternFill>
      </fill>
    </dxf>
    <dxf>
      <numFmt numFmtId="170" formatCode="#,##0.0;[Red]\-#,##0.0"/>
    </dxf>
    <dxf>
      <numFmt numFmtId="171" formatCode="#,##0.00;[Red]\-#,##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6" tint="0.79998168889431442"/>
        </patternFill>
      </fill>
    </dxf>
    <dxf>
      <fill>
        <patternFill>
          <bgColor theme="0"/>
        </patternFill>
      </fill>
    </dxf>
    <dxf>
      <numFmt numFmtId="170" formatCode="#,##0.0;[Red]\-#,##0.0"/>
    </dxf>
    <dxf>
      <numFmt numFmtId="171" formatCode="#,##0.00;[Red]\-#,##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6" tint="0.79998168889431442"/>
        </patternFill>
      </fill>
    </dxf>
    <dxf>
      <fill>
        <patternFill>
          <bgColor theme="0"/>
        </patternFill>
      </fill>
    </dxf>
    <dxf>
      <numFmt numFmtId="170" formatCode="#,##0.0;[Red]\-#,##0.0"/>
    </dxf>
    <dxf>
      <numFmt numFmtId="171" formatCode="#,##0.00;[Red]\-#,##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6" tint="0.79998168889431442"/>
        </patternFill>
      </fill>
    </dxf>
    <dxf>
      <fill>
        <patternFill>
          <bgColor theme="0"/>
        </patternFill>
      </fill>
    </dxf>
    <dxf>
      <numFmt numFmtId="170" formatCode="#,##0.0;[Red]\-#,##0.0"/>
    </dxf>
    <dxf>
      <numFmt numFmtId="171" formatCode="#,##0.00;[Red]\-#,##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6" tint="0.79998168889431442"/>
        </patternFill>
      </fill>
    </dxf>
    <dxf>
      <fill>
        <patternFill>
          <bgColor theme="0"/>
        </patternFill>
      </fill>
    </dxf>
    <dxf>
      <numFmt numFmtId="170" formatCode="#,##0.0;[Red]\-#,##0.0"/>
    </dxf>
    <dxf>
      <numFmt numFmtId="171" formatCode="#,##0.00;[Red]\-#,##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6" tint="0.79998168889431442"/>
        </patternFill>
      </fill>
    </dxf>
    <dxf>
      <fill>
        <patternFill>
          <bgColor theme="0"/>
        </patternFill>
      </fill>
    </dxf>
    <dxf>
      <numFmt numFmtId="170" formatCode="#,##0.0;[Red]\-#,##0.0"/>
    </dxf>
    <dxf>
      <numFmt numFmtId="171" formatCode="#,##0.00;[Red]\-#,##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numFmt numFmtId="169" formatCode="0.0%"/>
    </dxf>
    <dxf>
      <numFmt numFmtId="170" formatCode="#,##0.0;[Red]\-#,##0.0"/>
    </dxf>
    <dxf>
      <numFmt numFmtId="171" formatCode="#,##0.00;[Red]\-#,##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6" tint="0.79998168889431442"/>
        </patternFill>
      </fill>
    </dxf>
    <dxf>
      <fill>
        <patternFill>
          <bgColor theme="0"/>
        </patternFill>
      </fill>
    </dxf>
    <dxf>
      <numFmt numFmtId="171" formatCode="#,##0.00;[Red]\-#,##0.00"/>
    </dxf>
    <dxf>
      <numFmt numFmtId="171" formatCode="#,##0.00;[Red]\-#,##0.00"/>
    </dxf>
    <dxf>
      <numFmt numFmtId="171" formatCode="#,##0.00;[Red]\-#,##0.00"/>
    </dxf>
    <dxf>
      <numFmt numFmtId="171" formatCode="#,##0.00;[Red]\-#,##0.00"/>
    </dxf>
    <dxf>
      <numFmt numFmtId="171" formatCode="#,##0.00;[Red]\-#,##0.00"/>
    </dxf>
    <dxf>
      <numFmt numFmtId="171" formatCode="#,##0.00;[Red]\-#,##0.00"/>
    </dxf>
    <dxf>
      <numFmt numFmtId="171" formatCode="#,##0.00;[Red]\-#,##0.00"/>
    </dxf>
    <dxf>
      <numFmt numFmtId="171" formatCode="#,##0.00;[Red]\-#,##0.00"/>
    </dxf>
    <dxf>
      <numFmt numFmtId="171" formatCode="#,##0.00;[Red]\-#,##0.00"/>
    </dxf>
    <dxf>
      <numFmt numFmtId="171" formatCode="#,##0.00;[Red]\-#,##0.00"/>
    </dxf>
    <dxf>
      <numFmt numFmtId="171" formatCode="#,##0.00;[Red]\-#,##0.00"/>
    </dxf>
    <dxf>
      <numFmt numFmtId="170" formatCode="#,##0.0;[Red]\-#,##0.0"/>
    </dxf>
    <dxf>
      <numFmt numFmtId="171" formatCode="#,##0.00;[Red]\-#,##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numFmt numFmtId="169" formatCode="0.0%"/>
    </dxf>
    <dxf>
      <numFmt numFmtId="170" formatCode="#,##0.0;[Red]\-#,##0.0"/>
    </dxf>
    <dxf>
      <numFmt numFmtId="171" formatCode="#,##0.00;[Red]\-#,##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6" tint="0.79998168889431442"/>
        </patternFill>
      </fill>
    </dxf>
    <dxf>
      <fill>
        <patternFill>
          <bgColor theme="0"/>
        </patternFill>
      </fill>
    </dxf>
    <dxf>
      <numFmt numFmtId="171" formatCode="#,##0.00;[Red]\-#,##0.00"/>
    </dxf>
    <dxf>
      <numFmt numFmtId="171" formatCode="#,##0.00;[Red]\-#,##0.00"/>
    </dxf>
    <dxf>
      <numFmt numFmtId="171" formatCode="#,##0.00;[Red]\-#,##0.00"/>
    </dxf>
    <dxf>
      <numFmt numFmtId="171" formatCode="#,##0.00;[Red]\-#,##0.00"/>
    </dxf>
    <dxf>
      <numFmt numFmtId="171" formatCode="#,##0.00;[Red]\-#,##0.00"/>
    </dxf>
    <dxf>
      <numFmt numFmtId="171" formatCode="#,##0.00;[Red]\-#,##0.00"/>
    </dxf>
    <dxf>
      <numFmt numFmtId="171" formatCode="#,##0.00;[Red]\-#,##0.00"/>
    </dxf>
    <dxf>
      <numFmt numFmtId="171" formatCode="#,##0.00;[Red]\-#,##0.00"/>
    </dxf>
    <dxf>
      <numFmt numFmtId="171" formatCode="#,##0.00;[Red]\-#,##0.00"/>
    </dxf>
    <dxf>
      <numFmt numFmtId="171" formatCode="#,##0.00;[Red]\-#,##0.00"/>
    </dxf>
    <dxf>
      <numFmt numFmtId="171" formatCode="#,##0.00;[Red]\-#,##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6" tint="0.79998168889431442"/>
        </patternFill>
      </fill>
    </dxf>
    <dxf>
      <fill>
        <patternFill>
          <bgColor theme="0"/>
        </patternFill>
      </fill>
    </dxf>
    <dxf>
      <numFmt numFmtId="170" formatCode="#,##0.0;[Red]\-#,##0.0"/>
    </dxf>
    <dxf>
      <numFmt numFmtId="171" formatCode="#,##0.00;[Red]\-#,##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6" tint="0.79998168889431442"/>
        </patternFill>
      </fill>
    </dxf>
    <dxf>
      <fill>
        <patternFill>
          <bgColor theme="0"/>
        </patternFill>
      </fill>
    </dxf>
    <dxf>
      <numFmt numFmtId="170" formatCode="#,##0.0;[Red]\-#,##0.0"/>
    </dxf>
    <dxf>
      <numFmt numFmtId="171" formatCode="#,##0.00;[Red]\-#,##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6" tint="0.79998168889431442"/>
        </patternFill>
      </fill>
    </dxf>
    <dxf>
      <fill>
        <patternFill>
          <bgColor theme="0"/>
        </patternFill>
      </fill>
    </dxf>
    <dxf>
      <numFmt numFmtId="170" formatCode="#,##0.0;[Red]\-#,##0.0"/>
    </dxf>
    <dxf>
      <numFmt numFmtId="171" formatCode="#,##0.00;[Red]\-#,##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6" tint="0.79998168889431442"/>
        </patternFill>
      </fill>
    </dxf>
    <dxf>
      <fill>
        <patternFill>
          <bgColor theme="0"/>
        </patternFill>
      </fill>
    </dxf>
    <dxf>
      <numFmt numFmtId="170" formatCode="#,##0.0;[Red]\-#,##0.0"/>
    </dxf>
    <dxf>
      <numFmt numFmtId="171" formatCode="#,##0.00;[Red]\-#,##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6" tint="0.79998168889431442"/>
        </patternFill>
      </fill>
    </dxf>
    <dxf>
      <fill>
        <patternFill>
          <bgColor theme="0"/>
        </patternFill>
      </fill>
    </dxf>
    <dxf>
      <numFmt numFmtId="170" formatCode="#,##0.0;[Red]\-#,##0.0"/>
    </dxf>
    <dxf>
      <numFmt numFmtId="171" formatCode="#,##0.00;[Red]\-#,##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6" tint="0.79998168889431442"/>
        </patternFill>
      </fill>
    </dxf>
    <dxf>
      <fill>
        <patternFill>
          <bgColor theme="0"/>
        </patternFill>
      </fill>
    </dxf>
    <dxf>
      <numFmt numFmtId="170" formatCode="#,##0.0;[Red]\-#,##0.0"/>
    </dxf>
    <dxf>
      <numFmt numFmtId="171" formatCode="#,##0.00;[Red]\-#,##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6" tint="0.79998168889431442"/>
        </patternFill>
      </fill>
    </dxf>
    <dxf>
      <fill>
        <patternFill>
          <bgColor theme="0"/>
        </patternFill>
      </fill>
    </dxf>
    <dxf>
      <numFmt numFmtId="170" formatCode="#,##0.0;[Red]\-#,##0.0"/>
    </dxf>
    <dxf>
      <numFmt numFmtId="171" formatCode="#,##0.00;[Red]\-#,##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6" tint="0.79998168889431442"/>
        </patternFill>
      </fill>
    </dxf>
    <dxf>
      <fill>
        <patternFill>
          <bgColor theme="0"/>
        </patternFill>
      </fill>
    </dxf>
    <dxf>
      <numFmt numFmtId="170" formatCode="#,##0.0;[Red]\-#,##0.0"/>
    </dxf>
    <dxf>
      <numFmt numFmtId="171" formatCode="#,##0.00;[Red]\-#,##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numFmt numFmtId="170" formatCode="#,##0.0;[Red]\-#,##0.0"/>
    </dxf>
    <dxf>
      <numFmt numFmtId="171" formatCode="#,##0.00;[Red]\-#,##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numFmt numFmtId="170" formatCode="#,##0.0;[Red]\-#,##0.0"/>
    </dxf>
    <dxf>
      <numFmt numFmtId="171" formatCode="#,##0.00;[Red]\-#,##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6" tint="0.79998168889431442"/>
        </patternFill>
      </fill>
    </dxf>
    <dxf>
      <fill>
        <patternFill>
          <bgColor theme="0"/>
        </patternFill>
      </fill>
    </dxf>
    <dxf>
      <numFmt numFmtId="170" formatCode="#,##0.0;[Red]\-#,##0.0"/>
    </dxf>
    <dxf>
      <numFmt numFmtId="171" formatCode="#,##0.00;[Red]\-#,##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numFmt numFmtId="170" formatCode="#,##0.0;[Red]\-#,##0.0"/>
    </dxf>
    <dxf>
      <numFmt numFmtId="171" formatCode="#,##0.00;[Red]\-#,##0.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numFmt numFmtId="171" formatCode="#,##0.00;[Red]\-#,##0.00"/>
    </dxf>
    <dxf>
      <numFmt numFmtId="171" formatCode="#,##0.00;[Red]\-#,##0.00"/>
    </dxf>
    <dxf>
      <numFmt numFmtId="171" formatCode="#,##0.00;[Red]\-#,##0.00"/>
    </dxf>
    <dxf>
      <numFmt numFmtId="171" formatCode="#,##0.00;[Red]\-#,##0.00"/>
    </dxf>
    <dxf>
      <numFmt numFmtId="171" formatCode="#,##0.00;[Red]\-#,##0.00"/>
    </dxf>
    <dxf>
      <numFmt numFmtId="171" formatCode="#,##0.00;[Red]\-#,##0.00"/>
    </dxf>
    <dxf>
      <numFmt numFmtId="171" formatCode="#,##0.00;[Red]\-#,##0.00"/>
    </dxf>
    <dxf>
      <numFmt numFmtId="171" formatCode="#,##0.00;[Red]\-#,##0.00"/>
    </dxf>
    <dxf>
      <numFmt numFmtId="171" formatCode="#,##0.00;[Red]\-#,##0.00"/>
    </dxf>
    <dxf>
      <numFmt numFmtId="171" formatCode="#,##0.00;[Red]\-#,##0.00"/>
    </dxf>
    <dxf>
      <numFmt numFmtId="171" formatCode="#,##0.00;[Red]\-#,##0.00"/>
    </dxf>
    <dxf>
      <fill>
        <patternFill>
          <bgColor theme="0"/>
        </patternFill>
      </fill>
    </dxf>
    <dxf>
      <fill>
        <patternFill>
          <bgColor theme="6" tint="0.79998168889431442"/>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fill>
        <patternFill patternType="solid">
          <bgColor rgb="FF92D050"/>
        </patternFill>
      </fill>
    </dxf>
    <dxf>
      <fill>
        <patternFill>
          <bgColor theme="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71" formatCode="#,##0.00;[Red]\-#,##0.00"/>
    </dxf>
    <dxf>
      <numFmt numFmtId="170" formatCode="#,##0.0;[Red]\-#,##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6" formatCode="#,##0_);[Red]\(#,##0\)"/>
    </dxf>
    <dxf>
      <border outline="0">
        <left style="thin">
          <color rgb="FF7F7F7F"/>
        </left>
      </border>
    </dxf>
    <dxf>
      <numFmt numFmtId="8" formatCode="#,##0.00_);[Red]\(#,##0.00\)"/>
      <fill>
        <patternFill patternType="solid">
          <fgColor indexed="64"/>
          <bgColor theme="9" tint="0.59999389629810485"/>
        </patternFill>
      </fill>
    </dxf>
    <dxf>
      <border outline="0">
        <right style="thin">
          <color rgb="FF7F7F7F"/>
        </right>
      </border>
    </dxf>
    <dxf>
      <numFmt numFmtId="165" formatCode="mm/dd/yy"/>
    </dxf>
    <dxf>
      <numFmt numFmtId="165" formatCode="mm/dd/yy"/>
    </dxf>
    <dxf>
      <numFmt numFmtId="165" formatCode="mm/dd/yy"/>
    </dxf>
    <dxf>
      <numFmt numFmtId="165" formatCode="mm/dd/yy"/>
    </dxf>
    <dxf>
      <alignment horizontal="center" vertical="bottom" textRotation="0" wrapText="0" indent="0" justifyLastLine="0" shrinkToFit="0" readingOrder="0"/>
    </dxf>
    <dxf>
      <numFmt numFmtId="19" formatCode="m/d/yyyy"/>
    </dxf>
    <dxf>
      <alignment horizontal="center" vertical="bottom" textRotation="0" wrapText="0" indent="0" justifyLastLine="0" shrinkToFit="0" readingOrder="0"/>
    </dxf>
    <dxf>
      <fill>
        <patternFill patternType="solid">
          <fgColor indexed="64"/>
          <bgColor theme="0"/>
        </patternFill>
      </fill>
    </dxf>
    <dxf>
      <fill>
        <patternFill patternType="solid">
          <fgColor theme="5"/>
          <bgColor theme="8" tint="0.59999389629810485"/>
        </patternFill>
      </fill>
      <alignment horizontal="center" vertical="bottom" textRotation="0" wrapText="0"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theme="1"/>
        <name val="等线"/>
        <family val="2"/>
        <scheme val="minor"/>
      </font>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alignment horizontal="center" vertical="bottom" textRotation="0" wrapText="0" indent="0" justifyLastLine="0" shrinkToFit="0" readingOrder="0"/>
    </dxf>
    <dxf>
      <numFmt numFmtId="169"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0</xdr:col>
      <xdr:colOff>143889</xdr:colOff>
      <xdr:row>15</xdr:row>
      <xdr:rowOff>99982</xdr:rowOff>
    </xdr:from>
    <xdr:to>
      <xdr:col>3</xdr:col>
      <xdr:colOff>315485</xdr:colOff>
      <xdr:row>23</xdr:row>
      <xdr:rowOff>63812</xdr:rowOff>
    </xdr:to>
    <mc:AlternateContent xmlns:mc="http://schemas.openxmlformats.org/markup-compatibility/2006" xmlns:a14="http://schemas.microsoft.com/office/drawing/2010/main">
      <mc:Choice Requires="a14">
        <xdr:graphicFrame macro="">
          <xdr:nvGraphicFramePr>
            <xdr:cNvPr id="4" name="NameBSLv2">
              <a:extLst>
                <a:ext uri="{FF2B5EF4-FFF2-40B4-BE49-F238E27FC236}">
                  <a16:creationId xmlns:a16="http://schemas.microsoft.com/office/drawing/2014/main" id="{D6AC8857-7DEF-FD02-60E5-8BC3535AA032}"/>
                </a:ext>
              </a:extLst>
            </xdr:cNvPr>
            <xdr:cNvGraphicFramePr/>
          </xdr:nvGraphicFramePr>
          <xdr:xfrm>
            <a:off x="0" y="0"/>
            <a:ext cx="0" cy="0"/>
          </xdr:xfrm>
          <a:graphic>
            <a:graphicData uri="http://schemas.microsoft.com/office/drawing/2010/slicer">
              <sle:slicer xmlns:sle="http://schemas.microsoft.com/office/drawing/2010/slicer" name="NameBSLv2"/>
            </a:graphicData>
          </a:graphic>
        </xdr:graphicFrame>
      </mc:Choice>
      <mc:Fallback xmlns="">
        <xdr:sp macro="" textlink="">
          <xdr:nvSpPr>
            <xdr:cNvPr id="0" name=""/>
            <xdr:cNvSpPr>
              <a:spLocks noTextEdit="1"/>
            </xdr:cNvSpPr>
          </xdr:nvSpPr>
          <xdr:spPr>
            <a:xfrm>
              <a:off x="143889" y="2957482"/>
              <a:ext cx="3115687" cy="14878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84251</xdr:colOff>
      <xdr:row>24</xdr:row>
      <xdr:rowOff>125219</xdr:rowOff>
    </xdr:from>
    <xdr:to>
      <xdr:col>3</xdr:col>
      <xdr:colOff>317771</xdr:colOff>
      <xdr:row>34</xdr:row>
      <xdr:rowOff>149683</xdr:rowOff>
    </xdr:to>
    <mc:AlternateContent xmlns:mc="http://schemas.openxmlformats.org/markup-compatibility/2006" xmlns:a14="http://schemas.microsoft.com/office/drawing/2010/main">
      <mc:Choice Requires="a14">
        <xdr:graphicFrame macro="">
          <xdr:nvGraphicFramePr>
            <xdr:cNvPr id="5" name="NameVehicle">
              <a:extLst>
                <a:ext uri="{FF2B5EF4-FFF2-40B4-BE49-F238E27FC236}">
                  <a16:creationId xmlns:a16="http://schemas.microsoft.com/office/drawing/2014/main" id="{EFF01727-AAB0-B6F2-9F99-CF03DA7893B5}"/>
                </a:ext>
              </a:extLst>
            </xdr:cNvPr>
            <xdr:cNvGraphicFramePr/>
          </xdr:nvGraphicFramePr>
          <xdr:xfrm>
            <a:off x="0" y="0"/>
            <a:ext cx="0" cy="0"/>
          </xdr:xfrm>
          <a:graphic>
            <a:graphicData uri="http://schemas.microsoft.com/office/drawing/2010/slicer">
              <sle:slicer xmlns:sle="http://schemas.microsoft.com/office/drawing/2010/slicer" name="NameVehicle"/>
            </a:graphicData>
          </a:graphic>
        </xdr:graphicFrame>
      </mc:Choice>
      <mc:Fallback xmlns="">
        <xdr:sp macro="" textlink="">
          <xdr:nvSpPr>
            <xdr:cNvPr id="0" name=""/>
            <xdr:cNvSpPr>
              <a:spLocks noTextEdit="1"/>
            </xdr:cNvSpPr>
          </xdr:nvSpPr>
          <xdr:spPr>
            <a:xfrm>
              <a:off x="84251" y="4697219"/>
              <a:ext cx="3177611" cy="19208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88518</xdr:colOff>
      <xdr:row>0</xdr:row>
      <xdr:rowOff>13854</xdr:rowOff>
    </xdr:from>
    <xdr:to>
      <xdr:col>10</xdr:col>
      <xdr:colOff>1564159</xdr:colOff>
      <xdr:row>10</xdr:row>
      <xdr:rowOff>172659</xdr:rowOff>
    </xdr:to>
    <mc:AlternateContent xmlns:mc="http://schemas.openxmlformats.org/markup-compatibility/2006" xmlns:a14="http://schemas.microsoft.com/office/drawing/2010/main">
      <mc:Choice Requires="a14">
        <xdr:graphicFrame macro="">
          <xdr:nvGraphicFramePr>
            <xdr:cNvPr id="6" name="TrxDate">
              <a:extLst>
                <a:ext uri="{FF2B5EF4-FFF2-40B4-BE49-F238E27FC236}">
                  <a16:creationId xmlns:a16="http://schemas.microsoft.com/office/drawing/2014/main" id="{CF1372F2-3AB5-7801-2A80-1A063F54F985}"/>
                </a:ext>
              </a:extLst>
            </xdr:cNvPr>
            <xdr:cNvGraphicFramePr/>
          </xdr:nvGraphicFramePr>
          <xdr:xfrm>
            <a:off x="0" y="0"/>
            <a:ext cx="0" cy="0"/>
          </xdr:xfrm>
          <a:graphic>
            <a:graphicData uri="http://schemas.microsoft.com/office/drawing/2010/slicer">
              <sle:slicer xmlns:sle="http://schemas.microsoft.com/office/drawing/2010/slicer" name="TrxDate"/>
            </a:graphicData>
          </a:graphic>
        </xdr:graphicFrame>
      </mc:Choice>
      <mc:Fallback xmlns="">
        <xdr:sp macro="" textlink="">
          <xdr:nvSpPr>
            <xdr:cNvPr id="0" name=""/>
            <xdr:cNvSpPr>
              <a:spLocks noTextEdit="1"/>
            </xdr:cNvSpPr>
          </xdr:nvSpPr>
          <xdr:spPr>
            <a:xfrm>
              <a:off x="9772845" y="13854"/>
              <a:ext cx="1475641" cy="1890623"/>
            </a:xfrm>
            <a:prstGeom prst="rect">
              <a:avLst/>
            </a:prstGeom>
            <a:solidFill>
              <a:prstClr val="white"/>
            </a:solidFill>
            <a:ln w="1">
              <a:solidFill>
                <a:prstClr val="green"/>
              </a:solidFill>
            </a:ln>
          </xdr:spPr>
          <xdr:txBody>
            <a:bodyPr vertOverflow="clip" horzOverflow="clip"/>
            <a:lstStyle/>
            <a:p>
              <a:r>
                <a:rPr lang="zh-CN" altLang="en-US" sz="1100"/>
                <a:t>此形状代表切片器。Excel 2010 或更高版本支持切片器。
如果形状是在较早版本的 Excel 中修改，或者工作簿是在 Excel 2003 或更早版本中保存，则无法使用切片器。</a:t>
              </a:r>
            </a:p>
          </xdr:txBody>
        </xdr:sp>
      </mc:Fallback>
    </mc:AlternateContent>
    <xdr:clientData/>
  </xdr:twoCellAnchor>
  <xdr:twoCellAnchor editAs="oneCell">
    <xdr:from>
      <xdr:col>10</xdr:col>
      <xdr:colOff>36617</xdr:colOff>
      <xdr:row>11</xdr:row>
      <xdr:rowOff>53689</xdr:rowOff>
    </xdr:from>
    <xdr:to>
      <xdr:col>10</xdr:col>
      <xdr:colOff>1569028</xdr:colOff>
      <xdr:row>28</xdr:row>
      <xdr:rowOff>117765</xdr:rowOff>
    </xdr:to>
    <mc:AlternateContent xmlns:mc="http://schemas.openxmlformats.org/markup-compatibility/2006" xmlns:a14="http://schemas.microsoft.com/office/drawing/2010/main">
      <mc:Choice Requires="a14">
        <xdr:graphicFrame macro="">
          <xdr:nvGraphicFramePr>
            <xdr:cNvPr id="3" name="NameVehicle 1">
              <a:extLst>
                <a:ext uri="{FF2B5EF4-FFF2-40B4-BE49-F238E27FC236}">
                  <a16:creationId xmlns:a16="http://schemas.microsoft.com/office/drawing/2014/main" id="{F51F91BB-5244-B4A6-D769-EBA489AE1A9B}"/>
                </a:ext>
              </a:extLst>
            </xdr:cNvPr>
            <xdr:cNvGraphicFramePr/>
          </xdr:nvGraphicFramePr>
          <xdr:xfrm>
            <a:off x="0" y="0"/>
            <a:ext cx="0" cy="0"/>
          </xdr:xfrm>
          <a:graphic>
            <a:graphicData uri="http://schemas.microsoft.com/office/drawing/2010/slicer">
              <sle:slicer xmlns:sle="http://schemas.microsoft.com/office/drawing/2010/slicer" name="NameVehicle 1"/>
            </a:graphicData>
          </a:graphic>
        </xdr:graphicFrame>
      </mc:Choice>
      <mc:Fallback xmlns="">
        <xdr:sp macro="" textlink="">
          <xdr:nvSpPr>
            <xdr:cNvPr id="0" name=""/>
            <xdr:cNvSpPr>
              <a:spLocks noTextEdit="1"/>
            </xdr:cNvSpPr>
          </xdr:nvSpPr>
          <xdr:spPr>
            <a:xfrm>
              <a:off x="9720944" y="1958689"/>
              <a:ext cx="1570511" cy="3015094"/>
            </a:xfrm>
            <a:prstGeom prst="rect">
              <a:avLst/>
            </a:prstGeom>
            <a:solidFill>
              <a:prstClr val="white"/>
            </a:solidFill>
            <a:ln w="1">
              <a:solidFill>
                <a:prstClr val="green"/>
              </a:solidFill>
            </a:ln>
          </xdr:spPr>
          <xdr:txBody>
            <a:bodyPr vertOverflow="clip" horzOverflow="clip"/>
            <a:lstStyle/>
            <a:p>
              <a:r>
                <a:rPr lang="zh-CN" altLang="en-US" sz="1100"/>
                <a:t>此形状代表切片器。Excel 2010 或更高版本支持切片器。
如果形状是在较早版本的 Excel 中修改，或者工作簿是在 Excel 2003 或更早版本中保存，则无法使用切片器。</a:t>
              </a:r>
            </a:p>
          </xdr:txBody>
        </xdr:sp>
      </mc:Fallback>
    </mc:AlternateContent>
    <xdr:clientData/>
  </xdr:twoCellAnchor>
  <xdr:twoCellAnchor editAs="oneCell">
    <xdr:from>
      <xdr:col>21</xdr:col>
      <xdr:colOff>33790</xdr:colOff>
      <xdr:row>6</xdr:row>
      <xdr:rowOff>89284</xdr:rowOff>
    </xdr:from>
    <xdr:to>
      <xdr:col>22</xdr:col>
      <xdr:colOff>902274</xdr:colOff>
      <xdr:row>13</xdr:row>
      <xdr:rowOff>149296</xdr:rowOff>
    </xdr:to>
    <mc:AlternateContent xmlns:mc="http://schemas.openxmlformats.org/markup-compatibility/2006" xmlns:a14="http://schemas.microsoft.com/office/drawing/2010/main">
      <mc:Choice Requires="a14">
        <xdr:graphicFrame macro="">
          <xdr:nvGraphicFramePr>
            <xdr:cNvPr id="2" name="IncType">
              <a:extLst>
                <a:ext uri="{FF2B5EF4-FFF2-40B4-BE49-F238E27FC236}">
                  <a16:creationId xmlns:a16="http://schemas.microsoft.com/office/drawing/2014/main" id="{B057D99D-8293-C85F-8388-4399572729FD}"/>
                </a:ext>
              </a:extLst>
            </xdr:cNvPr>
            <xdr:cNvGraphicFramePr/>
          </xdr:nvGraphicFramePr>
          <xdr:xfrm>
            <a:off x="0" y="0"/>
            <a:ext cx="0" cy="0"/>
          </xdr:xfrm>
          <a:graphic>
            <a:graphicData uri="http://schemas.microsoft.com/office/drawing/2010/slicer">
              <sle:slicer xmlns:sle="http://schemas.microsoft.com/office/drawing/2010/slicer" name="IncType"/>
            </a:graphicData>
          </a:graphic>
        </xdr:graphicFrame>
      </mc:Choice>
      <mc:Fallback xmlns="">
        <xdr:sp macro="" textlink="">
          <xdr:nvSpPr>
            <xdr:cNvPr id="0" name=""/>
            <xdr:cNvSpPr>
              <a:spLocks noTextEdit="1"/>
            </xdr:cNvSpPr>
          </xdr:nvSpPr>
          <xdr:spPr>
            <a:xfrm>
              <a:off x="21750790" y="1128375"/>
              <a:ext cx="1727466" cy="1272285"/>
            </a:xfrm>
            <a:prstGeom prst="rect">
              <a:avLst/>
            </a:prstGeom>
            <a:solidFill>
              <a:prstClr val="white"/>
            </a:solidFill>
            <a:ln w="1">
              <a:solidFill>
                <a:prstClr val="green"/>
              </a:solidFill>
            </a:ln>
          </xdr:spPr>
          <xdr:txBody>
            <a:bodyPr vertOverflow="clip" horzOverflow="clip"/>
            <a:lstStyle/>
            <a:p>
              <a:r>
                <a:rPr lang="zh-CN" altLang="en-US" sz="1100"/>
                <a:t>此形状代表切片器。Excel 2010 或更高版本支持切片器。
如果形状是在较早版本的 Excel 中修改，或者工作簿是在 Excel 2003 或更早版本中保存，则无法使用切片器。</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81915</xdr:colOff>
      <xdr:row>2</xdr:row>
      <xdr:rowOff>22860</xdr:rowOff>
    </xdr:from>
    <xdr:to>
      <xdr:col>17</xdr:col>
      <xdr:colOff>219075</xdr:colOff>
      <xdr:row>21</xdr:row>
      <xdr:rowOff>85725</xdr:rowOff>
    </xdr:to>
    <mc:AlternateContent xmlns:mc="http://schemas.openxmlformats.org/markup-compatibility/2006" xmlns:a14="http://schemas.microsoft.com/office/drawing/2010/main">
      <mc:Choice Requires="a14">
        <xdr:graphicFrame macro="">
          <xdr:nvGraphicFramePr>
            <xdr:cNvPr id="2" name="Vehicle 1">
              <a:extLst>
                <a:ext uri="{FF2B5EF4-FFF2-40B4-BE49-F238E27FC236}">
                  <a16:creationId xmlns:a16="http://schemas.microsoft.com/office/drawing/2014/main" id="{1579F694-06CC-0265-9EE3-C52613DB724B}"/>
                </a:ext>
              </a:extLst>
            </xdr:cNvPr>
            <xdr:cNvGraphicFramePr/>
          </xdr:nvGraphicFramePr>
          <xdr:xfrm>
            <a:off x="0" y="0"/>
            <a:ext cx="0" cy="0"/>
          </xdr:xfrm>
          <a:graphic>
            <a:graphicData uri="http://schemas.microsoft.com/office/drawing/2010/slicer">
              <sle:slicer xmlns:sle="http://schemas.microsoft.com/office/drawing/2010/slicer" name="Vehicle 1"/>
            </a:graphicData>
          </a:graphic>
        </xdr:graphicFrame>
      </mc:Choice>
      <mc:Fallback xmlns="">
        <xdr:sp macro="" textlink="">
          <xdr:nvSpPr>
            <xdr:cNvPr id="0" name=""/>
            <xdr:cNvSpPr>
              <a:spLocks noTextEdit="1"/>
            </xdr:cNvSpPr>
          </xdr:nvSpPr>
          <xdr:spPr>
            <a:xfrm>
              <a:off x="14045565" y="403860"/>
              <a:ext cx="1965960" cy="36823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6116</xdr:colOff>
      <xdr:row>38</xdr:row>
      <xdr:rowOff>14271</xdr:rowOff>
    </xdr:from>
    <xdr:to>
      <xdr:col>5</xdr:col>
      <xdr:colOff>208976</xdr:colOff>
      <xdr:row>42</xdr:row>
      <xdr:rowOff>43579</xdr:rowOff>
    </xdr:to>
    <mc:AlternateContent xmlns:mc="http://schemas.openxmlformats.org/markup-compatibility/2006" xmlns:a14="http://schemas.microsoft.com/office/drawing/2010/main">
      <mc:Choice Requires="a14">
        <xdr:graphicFrame macro="">
          <xdr:nvGraphicFramePr>
            <xdr:cNvPr id="3" name="IncType 2">
              <a:extLst>
                <a:ext uri="{FF2B5EF4-FFF2-40B4-BE49-F238E27FC236}">
                  <a16:creationId xmlns:a16="http://schemas.microsoft.com/office/drawing/2014/main" id="{AADE46F9-BA11-D3BB-1ADF-8BD97C08E56C}"/>
                </a:ext>
              </a:extLst>
            </xdr:cNvPr>
            <xdr:cNvGraphicFramePr/>
          </xdr:nvGraphicFramePr>
          <xdr:xfrm>
            <a:off x="0" y="0"/>
            <a:ext cx="0" cy="0"/>
          </xdr:xfrm>
          <a:graphic>
            <a:graphicData uri="http://schemas.microsoft.com/office/drawing/2010/slicer">
              <sle:slicer xmlns:sle="http://schemas.microsoft.com/office/drawing/2010/slicer" name="IncType 2"/>
            </a:graphicData>
          </a:graphic>
        </xdr:graphicFrame>
      </mc:Choice>
      <mc:Fallback xmlns="">
        <xdr:sp macro="" textlink="">
          <xdr:nvSpPr>
            <xdr:cNvPr id="0" name=""/>
            <xdr:cNvSpPr>
              <a:spLocks noTextEdit="1"/>
            </xdr:cNvSpPr>
          </xdr:nvSpPr>
          <xdr:spPr>
            <a:xfrm>
              <a:off x="2325246" y="6388567"/>
              <a:ext cx="1819625" cy="718421"/>
            </a:xfrm>
            <a:prstGeom prst="rect">
              <a:avLst/>
            </a:prstGeom>
            <a:solidFill>
              <a:prstClr val="white"/>
            </a:solidFill>
            <a:ln w="1">
              <a:solidFill>
                <a:prstClr val="green"/>
              </a:solidFill>
            </a:ln>
          </xdr:spPr>
          <xdr:txBody>
            <a:bodyPr vertOverflow="clip" horzOverflow="clip"/>
            <a:lstStyle/>
            <a:p>
              <a:r>
                <a:rPr lang="zh-CN" altLang="en-US" sz="1100"/>
                <a:t>此形状代表切片器。Excel 2010 或更高版本支持切片器。
如果形状是在较早版本的 Excel 中修改，或者工作簿是在 Excel 2003 或更早版本中保存，则无法使用切片器。</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二毛 邓" id="{D5AF6952-DFB4-4EB9-91BF-DCBDFE03949B}" userId="7a206d0ca3328fad" providerId="Windows Live"/>
  <person displayName="Yu Wang" id="{5762D9ED-58C9-4E54-8B3E-500022F66094}" userId="d45dba343eb289d6"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104.702532175928" createdVersion="8" refreshedVersion="8" minRefreshableVersion="3" recordCount="1541" xr:uid="{05F4C23F-DC46-422C-907A-0D04194B955D}">
  <cacheSource type="worksheet">
    <worksheetSource name="Jnl"/>
  </cacheSource>
  <cacheFields count="25">
    <cacheField name="TrxId" numFmtId="0">
      <sharedItems count="922">
        <s v="T000"/>
        <s v="T000.3"/>
        <s v="T000.1"/>
        <s v="T000.2"/>
        <s v="T001"/>
        <s v="T002"/>
        <s v="T003"/>
        <s v="T004"/>
        <s v="T005"/>
        <s v="T006"/>
        <s v="T007"/>
        <s v="T008"/>
        <s v="T009"/>
        <s v="T010"/>
        <s v="T011"/>
        <s v="T012"/>
        <s v="T013"/>
        <s v="T014"/>
        <s v="T015"/>
        <s v="T016"/>
        <s v="T017"/>
        <s v="T018"/>
        <s v="T019"/>
        <s v="T020"/>
        <s v="T021"/>
        <s v="T022"/>
        <s v="T023"/>
        <s v="T024"/>
        <s v="T025"/>
        <s v="T026"/>
        <s v="T027"/>
        <s v="T028"/>
        <s v="T029"/>
        <s v="T030"/>
        <s v="T031"/>
        <s v="T031.1"/>
        <s v="T032"/>
        <s v="T033"/>
        <s v="T034"/>
        <s v="T035"/>
        <s v="T036"/>
        <s v="T037"/>
        <s v="T038"/>
        <s v="T039"/>
        <s v="T040"/>
        <s v="T041"/>
        <s v="T042"/>
        <s v="T043"/>
        <s v="T044"/>
        <s v="T045"/>
        <s v="T046"/>
        <s v="T047"/>
        <s v="T048"/>
        <s v="T049"/>
        <s v="T050"/>
        <s v="T051"/>
        <s v="T052"/>
        <s v="T053"/>
        <s v="T054"/>
        <s v="T055"/>
        <s v="T056"/>
        <s v="T057"/>
        <s v="T058"/>
        <s v="T059"/>
        <s v="T060"/>
        <s v="T061"/>
        <s v="T062"/>
        <s v="T063"/>
        <s v="T064"/>
        <s v="T064.1"/>
        <s v="T065"/>
        <s v="T066"/>
        <s v="T067"/>
        <s v="T068"/>
        <s v="T069"/>
        <s v="T070"/>
        <s v="T071"/>
        <s v="T072"/>
        <s v="T073"/>
        <s v="T074"/>
        <s v="T075"/>
        <s v="T067-1"/>
        <s v="T076"/>
        <s v="T077"/>
        <s v="T078"/>
        <s v="T079"/>
        <s v="T080"/>
        <s v="T081"/>
        <s v="T082"/>
        <s v="T083"/>
        <s v="T084"/>
        <s v="T085"/>
        <s v="T086"/>
        <s v="T087"/>
        <s v="T088"/>
        <s v="T089"/>
        <s v="T090"/>
        <s v="T091"/>
        <s v="T092"/>
        <s v="T093"/>
        <s v="T094"/>
        <s v="T095"/>
        <s v="T096"/>
        <s v="T097"/>
        <s v="T098"/>
        <s v="T099"/>
        <s v="T100"/>
        <s v="T079-1"/>
        <s v="T101"/>
        <s v="T102"/>
        <s v="T103"/>
        <s v="T104"/>
        <s v="T105"/>
        <s v="T106"/>
        <s v="T107"/>
        <s v="T108"/>
        <s v="T109"/>
        <s v="T110"/>
        <s v="T111"/>
        <s v="T112"/>
        <s v="T113"/>
        <s v="T114"/>
        <s v="T115"/>
        <s v="T116"/>
        <s v="T117"/>
        <s v="T118"/>
        <s v="T119"/>
        <s v="T120"/>
        <s v="T121"/>
        <s v="T122"/>
        <s v="T123"/>
        <s v="T124"/>
        <s v="T125"/>
        <s v="T126"/>
        <s v="T127"/>
        <s v="T128"/>
        <s v="T129"/>
        <s v="T130"/>
        <s v="T131"/>
        <s v="T132"/>
        <s v="T133"/>
        <s v="T134"/>
        <s v="T135"/>
        <s v="T136"/>
        <s v="T137"/>
        <s v="T138"/>
        <s v="T139"/>
        <s v="T140"/>
        <s v="T141"/>
        <s v="T142"/>
        <s v="T143"/>
        <s v="T144"/>
        <s v="T145"/>
        <s v="T146"/>
        <s v="T147"/>
        <s v="T148"/>
        <s v="T149"/>
        <s v="T150"/>
        <s v="T151"/>
        <s v="T152"/>
        <s v="T153"/>
        <s v="T154"/>
        <s v="T155"/>
        <s v="T156"/>
        <s v="T157"/>
        <s v="T158"/>
        <s v="T159"/>
        <s v="T160"/>
        <s v="T161"/>
        <s v="T162"/>
        <s v="T163"/>
        <s v="T164"/>
        <s v="T165"/>
        <s v="T166"/>
        <s v="T166.1"/>
        <s v="T167"/>
        <s v="T168"/>
        <s v="T169"/>
        <s v="T169-1"/>
        <s v="T170"/>
        <s v="T171"/>
        <s v="T172"/>
        <s v="T173"/>
        <s v="T174"/>
        <s v="T175"/>
        <s v="T176"/>
        <s v="T177"/>
        <s v="T178"/>
        <s v="T179"/>
        <s v="T180"/>
        <s v="T181"/>
        <s v="T182"/>
        <s v="T183"/>
        <s v="T184"/>
        <s v="T185"/>
        <s v="T186"/>
        <s v="T187"/>
        <s v="T188"/>
        <s v="T189"/>
        <s v="T190"/>
        <s v="T191"/>
        <s v="T192"/>
        <s v="T193"/>
        <s v="T194"/>
        <s v="T195"/>
        <s v="T196"/>
        <s v="T197"/>
        <s v="T198"/>
        <s v="T199"/>
        <s v="T200"/>
        <s v="T201"/>
        <s v="T202"/>
        <s v="T203"/>
        <s v="T204"/>
        <s v="T205"/>
        <s v="T206"/>
        <s v="T207"/>
        <s v="T208"/>
        <s v="T209"/>
        <s v="T210"/>
        <s v="T211"/>
        <s v="T212"/>
        <s v="T213"/>
        <s v="T214"/>
        <s v="T215"/>
        <s v="T216"/>
        <s v="T217"/>
        <s v="T218"/>
        <s v="T219"/>
        <s v="T220"/>
        <s v="T221"/>
        <s v="T222"/>
        <s v="T223"/>
        <s v="T224"/>
        <s v="T225"/>
        <s v="T228"/>
        <s v="T229"/>
        <s v="T231"/>
        <s v="T232"/>
        <s v="T233"/>
        <s v="T234"/>
        <s v="T235"/>
        <s v="T236"/>
        <s v="T237"/>
        <s v="T238"/>
        <s v="T239"/>
        <s v="T240"/>
        <s v="T241"/>
        <s v="T242"/>
        <s v="T244"/>
        <s v="T245"/>
        <s v="T246"/>
        <s v="T247"/>
        <s v="T248"/>
        <s v="T249"/>
        <s v="T250"/>
        <s v="T251"/>
        <s v="T252"/>
        <s v="T253"/>
        <s v="T254"/>
        <s v="T255"/>
        <s v="T256"/>
        <s v="T257"/>
        <s v="T258"/>
        <s v="T260"/>
        <s v="T261"/>
        <s v="T262"/>
        <s v="T263"/>
        <s v="T264"/>
        <s v="T265"/>
        <s v="T266"/>
        <s v="T267"/>
        <s v="T268"/>
        <s v="T269"/>
        <s v="T270"/>
        <s v="T271"/>
        <s v="T272"/>
        <s v="T273"/>
        <s v="T275"/>
        <s v="T276"/>
        <s v="T277"/>
        <s v="T278"/>
        <s v="T279"/>
        <s v="T280"/>
        <s v="T282"/>
        <s v="T283"/>
        <s v="T285"/>
        <s v="T286"/>
        <s v="T287"/>
        <s v="T288"/>
        <s v="T289"/>
        <s v="T290"/>
        <s v="T291"/>
        <s v="T292"/>
        <s v="T293"/>
        <s v="T294"/>
        <s v="T295"/>
        <s v="T296"/>
        <s v="T298"/>
        <s v="T301"/>
        <s v="T302"/>
        <s v="T303"/>
        <s v="T304"/>
        <s v="T305"/>
        <s v="T306"/>
        <s v="T307"/>
        <s v="T308"/>
        <s v="T309"/>
        <s v="T310"/>
        <s v="T311"/>
        <s v="T312"/>
        <s v="T313"/>
        <s v="T314"/>
        <s v="T315"/>
        <s v="T316"/>
        <s v="T317"/>
        <s v="T318"/>
        <s v="T319"/>
        <s v="T320"/>
        <s v="T321"/>
        <s v="T323"/>
        <s v="T324"/>
        <s v="T325"/>
        <s v="T326"/>
        <s v="T327"/>
        <s v="T330"/>
        <s v="T331"/>
        <s v="T332"/>
        <s v="T333"/>
        <s v="T334"/>
        <s v="T335"/>
        <s v="T336"/>
        <s v="T337"/>
        <s v="T338"/>
        <s v="T339"/>
        <s v="T340"/>
        <s v="T341"/>
        <s v="T342"/>
        <s v="T343"/>
        <s v="T344"/>
        <s v="T345"/>
        <s v="T346"/>
        <s v="T347"/>
        <s v="T348"/>
        <s v="T349"/>
        <s v="T350"/>
        <s v="T351"/>
        <s v="T352"/>
        <s v="T354"/>
        <s v="T355"/>
        <s v="T356"/>
        <s v="T357"/>
        <s v="T358"/>
        <s v="T358.1"/>
        <s v="T359"/>
        <s v="T360"/>
        <s v="T361"/>
        <s v="T362"/>
        <s v="T363"/>
        <s v="T363.1"/>
        <s v="T363.2"/>
        <s v="T364"/>
        <s v="T365"/>
        <s v="T366"/>
        <s v="T367"/>
        <s v="T368"/>
        <s v="T369"/>
        <s v="T370"/>
        <s v="T371"/>
        <s v="T372"/>
        <s v="T373"/>
        <s v="T374"/>
        <s v="T375"/>
        <s v="T376"/>
        <s v="T377"/>
        <s v="T378"/>
        <s v="T379"/>
        <s v="T380"/>
        <s v="T381"/>
        <s v="T382"/>
        <s v="T383"/>
        <s v="T384"/>
        <s v="T385"/>
        <s v="T386"/>
        <s v="T387"/>
        <s v="T388"/>
        <s v="T389"/>
        <s v="T390"/>
        <s v="T391"/>
        <s v="T392"/>
        <s v="T393"/>
        <s v="T394"/>
        <s v="T395"/>
        <s v="T396"/>
        <s v="T397"/>
        <s v="T398"/>
        <s v="T399"/>
        <s v="T400"/>
        <s v="T401"/>
        <s v="T402"/>
        <s v="T403"/>
        <s v="T404"/>
        <s v="T405"/>
        <s v="T406"/>
        <s v="T407"/>
        <s v="T408"/>
        <s v="T409"/>
        <s v="T410"/>
        <s v="T411"/>
        <s v="T412"/>
        <s v="T413"/>
        <s v="T414"/>
        <s v="T415"/>
        <s v="T416"/>
        <s v="T417"/>
        <s v="T418"/>
        <s v="T419"/>
        <s v="T420"/>
        <s v="T421"/>
        <s v="T422"/>
        <s v="T423"/>
        <s v="T424"/>
        <s v="T425"/>
        <s v="T426"/>
        <s v="T427"/>
        <s v="T428"/>
        <s v="T429"/>
        <s v="T430"/>
        <s v="T431"/>
        <s v="T432"/>
        <s v="T433"/>
        <s v="T434"/>
        <s v="T435"/>
        <s v="T436"/>
        <s v="T437"/>
        <s v="T438"/>
        <s v="T439"/>
        <s v="T440"/>
        <s v="T441"/>
        <s v="T442"/>
        <s v="T443"/>
        <s v="T444"/>
        <s v="T445"/>
        <s v="T446"/>
        <s v="T447"/>
        <s v="T448"/>
        <s v="T449"/>
        <s v="T450"/>
        <s v="T451"/>
        <s v="T452"/>
        <s v="T453"/>
        <s v="T454"/>
        <s v="T455"/>
        <s v="T456"/>
        <s v="T457"/>
        <s v="T458"/>
        <s v="T459"/>
        <s v="T460"/>
        <s v="T461"/>
        <s v="T462"/>
        <s v="T463"/>
        <s v="T464"/>
        <s v="T465"/>
        <s v="T466"/>
        <s v="T467"/>
        <s v="T468"/>
        <s v="T469"/>
        <s v="T470"/>
        <s v="T471"/>
        <s v="T472"/>
        <s v="T473"/>
        <s v="T474"/>
        <s v="T475"/>
        <s v="T476"/>
        <s v="T477"/>
        <s v="T478"/>
        <s v="T479"/>
        <s v="T480"/>
        <s v="T481"/>
        <s v="T482"/>
        <s v="T483"/>
        <s v="T484"/>
        <s v="T485"/>
        <s v="T486"/>
        <s v="T487"/>
        <s v="T488"/>
        <s v="T489"/>
        <s v="T490"/>
        <s v="T491"/>
        <s v="T491.1"/>
        <s v="T491.2"/>
        <s v="T492"/>
        <s v="T493"/>
        <s v="T493.1"/>
        <s v="T494"/>
        <s v="T495"/>
        <s v="T496"/>
        <s v="T497"/>
        <s v="T498"/>
        <s v="T498.1"/>
        <s v="T499"/>
        <s v="T500"/>
        <s v="T501"/>
        <s v="T502"/>
        <s v="T503"/>
        <s v="T504"/>
        <s v="T505"/>
        <s v="T506"/>
        <s v="T507"/>
        <s v="T508"/>
        <s v="T509"/>
        <s v="T510"/>
        <s v="T511"/>
        <s v="T512"/>
        <s v="T513"/>
        <s v="T514"/>
        <s v="T515"/>
        <s v="T516"/>
        <s v="T517"/>
        <s v="T518"/>
        <s v="T519"/>
        <s v="T520"/>
        <s v="T521"/>
        <s v="T522"/>
        <s v="T523"/>
        <s v="T524"/>
        <s v="T525"/>
        <s v="T526"/>
        <s v="T527"/>
        <s v="T528"/>
        <s v="T529"/>
        <s v="T530"/>
        <s v="T531"/>
        <s v="T532"/>
        <s v="T533"/>
        <s v="T534"/>
        <s v="T535"/>
        <s v="T536"/>
        <s v="T537"/>
        <s v="T538"/>
        <s v="T539"/>
        <s v="T540"/>
        <s v="T541"/>
        <s v="T542"/>
        <s v="T543"/>
        <s v="T544"/>
        <s v="T545"/>
        <s v="T546"/>
        <s v="T547"/>
        <s v="T548"/>
        <s v="T549"/>
        <s v="T550"/>
        <s v="T551"/>
        <s v="T552"/>
        <s v="T553"/>
        <s v="T554"/>
        <s v="T555"/>
        <s v="T556"/>
        <s v="T557"/>
        <s v="T558"/>
        <s v="T559"/>
        <s v="T560"/>
        <s v="T561"/>
        <s v="T562"/>
        <s v="T563"/>
        <s v="T564"/>
        <s v="T565"/>
        <s v="T566"/>
        <s v="T567"/>
        <s v="T568"/>
        <s v="T569"/>
        <s v="T570"/>
        <s v="T571"/>
        <s v="T572"/>
        <s v="T573"/>
        <s v="T574"/>
        <s v="T575"/>
        <s v="T576"/>
        <s v="T577"/>
        <s v="T578"/>
        <s v="T579"/>
        <s v="T580"/>
        <s v="T581"/>
        <s v="T582"/>
        <s v="T583"/>
        <s v="T584"/>
        <s v="T585"/>
        <s v="T586"/>
        <s v="T587"/>
        <s v="T588"/>
        <s v="T589"/>
        <s v="T590"/>
        <s v="T591"/>
        <s v="T592"/>
        <s v="T593"/>
        <s v="T594"/>
        <s v="T595"/>
        <s v="T596"/>
        <s v="T597"/>
        <s v="T598"/>
        <s v="T599"/>
        <s v="T600"/>
        <s v="T601"/>
        <s v="T602"/>
        <s v="T603"/>
        <s v="T604"/>
        <s v="T605"/>
        <s v="T606"/>
        <s v="T607"/>
        <s v="T608"/>
        <s v="T609"/>
        <s v="T610"/>
        <s v="T611"/>
        <s v="T612"/>
        <s v="T613"/>
        <s v="T614"/>
        <s v="T615"/>
        <s v="T616"/>
        <s v="T617"/>
        <s v="T618"/>
        <s v="T619"/>
        <s v="T620"/>
        <s v="T621"/>
        <s v="T622"/>
        <s v="T623"/>
        <s v="T624"/>
        <s v="T625"/>
        <s v="T626"/>
        <s v="T627"/>
        <s v="T628"/>
        <s v="T629"/>
        <s v="T630"/>
        <s v="T631"/>
        <s v="T632"/>
        <s v="T633"/>
        <s v="T634"/>
        <s v="T635"/>
        <s v="T636"/>
        <s v="T637"/>
        <s v="T638"/>
        <s v="T639"/>
        <s v="T640"/>
        <s v="T641"/>
        <s v="T642"/>
        <s v="T643"/>
        <s v="T644"/>
        <s v="T645"/>
        <s v="T646"/>
        <s v="T647"/>
        <s v="T648"/>
        <s v="T649"/>
        <s v="T650"/>
        <s v="T651"/>
        <s v="T652"/>
        <s v="T653"/>
        <s v="T654"/>
        <s v="T655"/>
        <s v="T656"/>
        <s v="T657"/>
        <s v="T658"/>
        <s v="T659"/>
        <s v="T660"/>
        <s v="T661"/>
        <s v="T662"/>
        <s v="T663"/>
        <s v="T664"/>
        <s v="T665"/>
        <s v="T666"/>
        <s v="T667"/>
        <s v="T668"/>
        <s v="T669"/>
        <s v="T670"/>
        <s v="T671"/>
        <s v="T672"/>
        <s v="T673"/>
        <s v="T674"/>
        <s v="T675"/>
        <s v="T676"/>
        <s v="T677"/>
        <s v="T678"/>
        <s v="T679"/>
        <s v="T680"/>
        <s v="T681"/>
        <s v="T682"/>
        <s v="T683"/>
        <s v="T684"/>
        <s v="T685"/>
        <s v="T686"/>
        <s v="T687"/>
        <s v="T688"/>
        <s v="T689"/>
        <s v="T690"/>
        <s v="T691"/>
        <s v="T692"/>
        <s v="T693"/>
        <s v="T694"/>
        <s v="T695"/>
        <s v="T696"/>
        <s v="T697"/>
        <s v="T698"/>
        <s v="T699"/>
        <s v="T700"/>
        <s v="T701"/>
        <s v="T702"/>
        <s v="T703"/>
        <s v="T704"/>
        <s v="T705"/>
        <s v="T706"/>
        <s v="T707"/>
        <s v="T708"/>
        <s v="T709"/>
        <s v="T710"/>
        <s v="T711"/>
        <s v="T712"/>
        <s v="T713"/>
        <s v="T714"/>
        <s v="T715"/>
        <s v="T716"/>
        <s v="T717"/>
        <s v="T718"/>
        <s v="T719"/>
        <s v="T720"/>
        <s v="T721"/>
        <s v="T722"/>
        <s v="T723"/>
        <s v="T724"/>
        <s v="T725"/>
        <s v="T726"/>
        <s v="T727"/>
        <s v="T728"/>
        <s v="T729"/>
        <s v="T730"/>
        <s v="T731"/>
        <s v="T732"/>
        <s v="T733"/>
        <s v="T734"/>
        <s v="T735"/>
        <s v="T736"/>
        <s v="T737"/>
        <s v="T738"/>
        <s v="T739"/>
        <s v="T740"/>
        <s v="T741"/>
        <s v="T742"/>
        <s v="T743"/>
        <s v="T744"/>
        <s v="T745"/>
        <s v="T746"/>
        <s v="T747"/>
        <s v="T748"/>
        <s v="T749"/>
        <s v="T750"/>
        <s v="T751"/>
        <s v="T752"/>
        <s v="T753"/>
        <s v="T754"/>
        <s v="T755"/>
        <s v="T756"/>
        <s v="T757"/>
        <s v="T758"/>
        <s v="T759"/>
        <s v="T760"/>
        <s v="T761"/>
        <s v="T762"/>
        <s v="T763"/>
        <s v="T764"/>
        <s v="T765"/>
        <s v="T766"/>
        <s v="T767"/>
        <s v="T768"/>
        <s v="T769"/>
        <s v="T770"/>
        <s v="T771"/>
        <s v="T772"/>
        <s v="T773"/>
        <s v="T774"/>
        <s v="T775"/>
        <s v="T776"/>
        <s v="T777"/>
        <s v="T778"/>
        <s v="T779"/>
        <s v="T780"/>
        <s v="T781"/>
        <s v="T782"/>
        <s v="T783"/>
        <s v="T784"/>
        <s v="T785"/>
        <s v="T786"/>
        <s v="T787"/>
        <s v="T788"/>
        <s v="T789"/>
        <s v="T790"/>
        <s v="T791"/>
        <s v="T792"/>
        <s v="T793"/>
        <s v="T794"/>
        <s v="T795"/>
        <s v="T796"/>
        <s v="T797"/>
        <s v="T798"/>
        <s v="T799"/>
        <s v="T800"/>
        <s v="T801"/>
        <s v="T802"/>
        <s v="T803"/>
        <s v="T804"/>
        <s v="T806"/>
        <s v="T807"/>
        <s v="T808"/>
        <s v="T809"/>
        <s v="T810"/>
        <s v="T811"/>
        <s v="T812"/>
        <s v="T813"/>
        <s v="T814"/>
        <s v="T815"/>
        <s v="T816"/>
        <s v="T817"/>
        <s v="T818"/>
        <s v="T819"/>
        <s v="T820"/>
        <s v="T821"/>
        <s v="T822"/>
        <s v="T824"/>
        <s v="T825"/>
        <s v="T826"/>
        <s v="T827"/>
        <s v="T828"/>
        <s v="T829"/>
        <s v="T830"/>
        <s v="T831"/>
        <s v="T832"/>
        <s v="T833"/>
        <s v="T834"/>
        <s v="T835"/>
        <s v="T836"/>
        <s v="T837"/>
        <s v="T838"/>
        <s v="T839"/>
        <s v="T840"/>
        <s v="T841"/>
        <s v="T842"/>
        <s v="T843"/>
        <s v="T844"/>
        <s v="T845"/>
        <s v="T846"/>
        <s v="T847"/>
        <s v="T848"/>
        <s v="T849"/>
        <s v="T850"/>
        <s v="T851"/>
        <s v="T852"/>
        <s v="T853"/>
        <s v="T854"/>
        <s v="T855"/>
        <s v="T856"/>
        <s v="T857"/>
        <s v="T858"/>
        <s v="T859"/>
        <s v="T860"/>
        <s v="T861"/>
        <s v="T862"/>
        <s v="T863"/>
        <s v="T864"/>
        <s v="T865"/>
        <s v="T866"/>
        <s v="T867"/>
        <s v="T868"/>
        <s v="T869"/>
        <s v="T870"/>
        <s v="T871"/>
        <s v="T872"/>
        <s v="T873"/>
        <s v="T874"/>
        <s v="T875"/>
        <s v="T876"/>
        <s v="T877"/>
        <s v="T878"/>
        <s v="T879"/>
        <s v="T880"/>
        <s v="T881"/>
        <s v="T882"/>
        <s v="T883"/>
        <s v="T884"/>
        <s v="T885"/>
        <s v="T886"/>
        <s v="T887"/>
        <s v="T888"/>
        <s v="T889"/>
        <s v="T890"/>
        <s v="T891"/>
        <s v="T892"/>
        <s v="T892.1"/>
        <s v="T893"/>
        <s v="T894"/>
        <s v="T895"/>
        <s v="T896"/>
        <s v="T897"/>
        <s v="T898"/>
        <s v="T899"/>
        <s v="T900"/>
        <s v="T901"/>
        <s v="T902"/>
        <s v="T903"/>
        <s v="T904"/>
        <s v="T905"/>
        <s v="T906"/>
        <s v="T907"/>
        <s v="T908"/>
        <s v="T909"/>
        <s v="T910"/>
        <s v="T911"/>
        <s v="T912"/>
        <s v="T913"/>
        <s v="T914"/>
        <s v="T915"/>
        <s v="T916"/>
        <s v="T917"/>
        <s v="T918"/>
        <s v="T805" u="1"/>
        <s v="T823" u="1"/>
        <s v="T353" u="1"/>
      </sharedItems>
    </cacheField>
    <cacheField name="TrxDate" numFmtId="165">
      <sharedItems containsSemiMixedTypes="0" containsNonDate="0" containsDate="1" containsString="0" minDate="2025-12-31T00:00:00" maxDate="2026-03-01T00:00:00" count="17">
        <d v="2025-12-31T00:00:00"/>
        <d v="2026-01-31T00:00:00"/>
        <d v="2026-02-28T00:00:00"/>
        <d v="2026-01-01T00:00:00" u="1"/>
        <d v="2026-01-05T00:00:00" u="1"/>
        <d v="2026-01-06T00:00:00" u="1"/>
        <d v="2026-01-07T00:00:00" u="1"/>
        <d v="2026-01-12T00:00:00" u="1"/>
        <d v="2026-01-14T00:00:00" u="1"/>
        <d v="2026-01-19T00:00:00" u="1"/>
        <d v="2026-01-20T00:00:00" u="1"/>
        <d v="2026-01-21T00:00:00" u="1"/>
        <d v="2026-01-23T00:00:00" u="1"/>
        <d v="2026-01-26T00:00:00" u="1"/>
        <d v="2026-01-27T00:00:00" u="1"/>
        <d v="2026-01-30T00:00:00" u="1"/>
        <d v="2026-01-04T00:00:00" u="1"/>
      </sharedItems>
      <fieldGroup par="23"/>
    </cacheField>
    <cacheField name="Division" numFmtId="165">
      <sharedItems/>
    </cacheField>
    <cacheField name="Action" numFmtId="165">
      <sharedItems containsDate="1" containsMixedTypes="1" minDate="1899-12-30T00:00:00" maxDate="1899-12-31T00:00:00" count="108">
        <s v="结转"/>
        <s v="调整"/>
        <s v="冲销"/>
        <s v="交通"/>
        <s v="订购"/>
        <s v="入库"/>
        <s v="薪酬-社保"/>
        <s v="过账"/>
        <s v="支付"/>
        <s v="物流"/>
        <s v="服饰"/>
        <s v="采购"/>
        <s v="增值税"/>
        <s v="银行费"/>
        <s v="薪酬-工资"/>
        <s v="年终奖"/>
        <s v="设计"/>
        <s v="招待"/>
        <s v="福利"/>
        <s v="公共设施"/>
        <s v="拍摄"/>
        <s v="补贴"/>
        <s v="分红"/>
        <s v="其他销售"/>
        <s v="书写营"/>
        <s v="代付款"/>
        <s v="找票"/>
        <s v="退款-供应商"/>
        <s v="内部结算"/>
        <s v="房租"/>
        <s v="办公"/>
        <s v="加工"/>
        <s v="维护"/>
        <s v="收款"/>
        <s v="图书"/>
        <s v="食材"/>
        <s v="其他材料"/>
        <s v="临时人力"/>
        <s v="代理"/>
        <s v="存现"/>
        <s v="餐饮"/>
        <s v="杂项"/>
        <s v="平台费"/>
        <s v="库存摊销"/>
        <s v="计提税金"/>
        <s v="课程"/>
        <s v="折旧"/>
        <s v="包装"/>
        <s v="设备"/>
        <s v="商标"/>
        <s v="团建"/>
        <s v="退费-供应商"/>
        <s v="计件"/>
        <s v="演出"/>
        <s v="布草"/>
        <s v="住宿"/>
        <s v="保险"/>
        <s v="诗与歌"/>
        <s v="退款-客人"/>
        <s v="佣金"/>
        <s v="事故"/>
        <s v="杂货"/>
        <s v="库存风险准备"/>
        <s v="奖金-合伙人"/>
        <s v="差旅"/>
        <s v="水果"/>
        <s v="赔付"/>
        <s v="年会"/>
        <s v="客房"/>
        <s v="手工课"/>
        <s v="冬令营"/>
        <s v="果园"/>
        <s v="成本结转" u="1"/>
        <s v="摄影" u="1"/>
        <s v="物料" u="1"/>
        <s v="薪酬-奖金" u="1"/>
        <s v="报销" u="1"/>
        <s v="附加税" u="1"/>
        <s v="折扣" u="1"/>
        <s v="附加" u="1"/>
        <s v="染色" u="1"/>
        <s v="水电气网" u="1"/>
        <s v="摊销" u="1"/>
        <s v="水电" u="1"/>
        <s v="兼职" u="1"/>
        <s v="洗涤" u="1"/>
        <s v="银行手续" u="1"/>
        <s v="手续费" u="1"/>
        <s v="意外" u="1"/>
        <s v="服装" u="1"/>
        <s v="销售" u="1"/>
        <s v="结转损益" u="1"/>
        <s v="利润结转" u="1"/>
        <s v="销售附加" u="1"/>
        <s v="退款" u="1"/>
        <s v="结算" u="1"/>
        <s v="计提" u="1"/>
        <s v="退货" u="1"/>
        <s v="退费" u="1"/>
        <s v="结转成本" u="1"/>
        <d v="1899-12-30T00:00:00" u="1"/>
        <s v="设计-测试" u="1"/>
        <s v="内部销售" u="1"/>
        <s v="薪酬-个税" u="1"/>
        <s v="转账" u="1"/>
        <s v="工资" u="1"/>
        <s v="个税" u="1"/>
        <s v="销售税费" u="1"/>
      </sharedItems>
    </cacheField>
    <cacheField name="Vehicle" numFmtId="165">
      <sharedItems containsBlank="1" count="14">
        <s v="HuaYuan"/>
        <s v="CYY-Qi"/>
        <s v="SangMu"/>
        <s v="YuLe"/>
        <s v="XiJia"/>
        <s v="HY-GaoX"/>
        <s v="MiXiaoYi"/>
        <s v="YuanWH"/>
        <s v="YWH-PuJ"/>
        <s v="XiaoXi"/>
        <s v="XiaoYue"/>
        <s v="ZhengSY"/>
        <s v="RanJ"/>
        <m u="1"/>
      </sharedItems>
    </cacheField>
    <cacheField name="Acct" numFmtId="0">
      <sharedItems/>
    </cacheField>
    <cacheField name="Item" numFmtId="0">
      <sharedItems containsBlank="1" count="113">
        <s v="JH.0682"/>
        <s v="JH.7471"/>
        <s v="JT.7708"/>
        <s v="JH.2521"/>
        <s v="JH.1465"/>
        <s v="Casher.fz"/>
        <s v="JH.2131"/>
        <s v="Casher.hd"/>
        <s v="JH.4559"/>
        <s v="Casher.cy"/>
        <s v="NH.3284"/>
        <s v="NS.3524"/>
        <s v="JH.2761"/>
        <s v="WeC1"/>
        <s v="WeC2"/>
        <s v="NH.5074"/>
        <s v="NS.9539"/>
        <s v="huotang"/>
        <s v="Casher.myc"/>
        <s v="JH.0754"/>
        <s v="JH.8952"/>
        <s v="平台"/>
        <s v="个人社保"/>
        <s v="保证金"/>
        <s v="水街员工"/>
        <s v="卖场"/>
        <s v="餐厅"/>
        <s v="订单来了"/>
        <s v="客房（携程）"/>
        <s v="小程序"/>
        <s v="小商店"/>
        <s v="果园"/>
        <s v="借款"/>
        <s v="明月远家"/>
        <s v="预付费用"/>
        <s v="预付货款"/>
        <s v="低耗"/>
        <s v="图书"/>
        <s v="服饰"/>
        <s v="明月村-土地"/>
        <s v="明月村-建筑"/>
        <s v="明月村-累计折旧"/>
        <s v="水街-建筑"/>
        <s v="水街-累计折旧"/>
        <s v="乐于斯"/>
        <s v="低苦艾"/>
        <s v="货款"/>
        <s v="增值税"/>
        <s v="消费税"/>
        <s v="附加税"/>
        <s v="印花税"/>
        <s v="所得税-企业"/>
        <s v="工资"/>
        <s v="尾款-工程"/>
        <s v="所得税-个人"/>
        <s v="会员充值"/>
        <s v="税金"/>
        <s v="至尊卡"/>
        <s v="住房押金"/>
        <s v="总部"/>
        <s v="前期修建借款"/>
        <s v="注册资本"/>
        <s v="Acc.Inc"/>
        <s v="远姐装修款"/>
        <s v="张文美艺术资金"/>
        <s v="材料"/>
        <s v="xxx"/>
        <s v="deduct.Y25"/>
        <s v="奖金"/>
        <s v="客房"/>
        <s v="团队"/>
        <s v="定金"/>
        <s v="快团团"/>
        <s v="社保"/>
        <s v="陶瓷杯"/>
        <s v="手工教室"/>
        <s v="冬令营"/>
        <m/>
        <s v="明月村"/>
        <s v="accuInc" u="1"/>
        <s v="已入库" u="1"/>
        <s v="WeC" u="1"/>
        <s v="合作实体" u="1"/>
        <s v="水街" u="1"/>
        <s v="装修款" u="1"/>
        <s v="所得税" u="1"/>
        <s v="个人所得税" u="1"/>
        <s v="货物入库" u="1"/>
        <s v="存货" u="1"/>
        <s v="VAT" u="1"/>
        <s v="企业所得税" u="1"/>
        <s v="税金及附加" u="1"/>
        <s v="税" u="1"/>
        <s v="CD.0214" u="1"/>
        <s v="明月村-基础投资" u="1"/>
        <s v="水街-建设投资" u="1"/>
        <s v="充值" u="1"/>
        <s v="预收账款" u="1"/>
        <s v="客户押金" u="1"/>
        <s v="销售预付" u="1"/>
        <s v="员工预支款" u="1"/>
        <s v="明月村.基础投资" u="1"/>
        <s v="SJ.Base" u="1"/>
        <s v="SJ.AccuD" u="1"/>
        <s v="MYC.Base" u="1"/>
        <s v="MYC.AccuD" u="1"/>
        <s v="?" u="1"/>
        <s v="TaoBao" u="1"/>
        <s v="zzz" u="1"/>
        <s v="Alipay" u="1"/>
        <s v="div.withheld" u="1"/>
        <s v="accuDiv" u="1"/>
        <s v="land.MYC" u="1"/>
      </sharedItems>
    </cacheField>
    <cacheField name="Bal" numFmtId="40">
      <sharedItems containsSemiMixedTypes="0" containsString="0" containsNumber="1" minValue="-10513383.689999999" maxValue="21129338.43"/>
    </cacheField>
    <cacheField name="IsValid" numFmtId="0">
      <sharedItems/>
    </cacheField>
    <cacheField name="NetBal" numFmtId="38">
      <sharedItems containsSemiMixedTypes="0" containsString="0" containsNumber="1" minValue="-14402045" maxValue="21129338.43"/>
    </cacheField>
    <cacheField name="BSLv0" numFmtId="0">
      <sharedItems count="3">
        <s v="A"/>
        <s v="LC"/>
        <e v="#N/A" u="1"/>
      </sharedItems>
    </cacheField>
    <cacheField name="BSLv1" numFmtId="0">
      <sharedItems/>
    </cacheField>
    <cacheField name="BSLv2" numFmtId="0">
      <sharedItems/>
    </cacheField>
    <cacheField name="IncNode" numFmtId="0">
      <sharedItems containsMixedTypes="1" containsNumber="1" containsInteger="1" minValue="0" maxValue="0" count="7">
        <s v="Other"/>
        <s v="Expense"/>
        <s v="Cost"/>
        <s v="Revenue"/>
        <s v="Discretion"/>
        <s v="Gain-Loss"/>
        <n v="0" u="1"/>
      </sharedItems>
    </cacheField>
    <cacheField name="IncType" numFmtId="0">
      <sharedItems count="3">
        <s v="Non-Op"/>
        <s v="Op"/>
        <e v="#N/A" u="1"/>
      </sharedItems>
    </cacheField>
    <cacheField name="NameBSLv2" numFmtId="0">
      <sharedItems count="13">
        <s v="0.现金及类似"/>
        <s v="1.应收-应付"/>
        <s v="2.预付-订阅"/>
        <s v="3.库存占款"/>
        <s v="5.硬件设施"/>
        <s v="6.投资与长期负债"/>
        <s v="X.资本"/>
        <s v="9.蓄水池"/>
        <e v="#N/A" u="1"/>
        <s v="0.现金-预售" u="1"/>
        <s v="9.储备性权益" u="1"/>
        <s v="0.现金" u="1"/>
        <s v="0.待完成销售" u="1"/>
      </sharedItems>
    </cacheField>
    <cacheField name="NameAcct" numFmtId="0">
      <sharedItems count="24">
        <s v="银行"/>
        <s v="物理现金"/>
        <s v="应收-一般"/>
        <s v="应收-其他"/>
        <s v="押金"/>
        <s v="员工预支"/>
        <s v="预付订单"/>
        <s v="当期存货"/>
        <s v="房地产"/>
        <s v="权益性投资"/>
        <s v="应付-一般"/>
        <s v="应付-税款"/>
        <s v="应付-薪资"/>
        <s v="应付-其他"/>
        <s v="会员充值"/>
        <s v="额外投入"/>
        <s v="原始资本"/>
        <s v="可分配利润"/>
        <s v="往期存货"/>
        <e v="#N/A" u="1"/>
        <s v="订单" u="1"/>
        <s v="往期存过" u="1"/>
        <s v="应收账款-一般" u="1"/>
        <s v="应付账款-一般" u="1"/>
      </sharedItems>
    </cacheField>
    <cacheField name="NameVehicle" numFmtId="0">
      <sharedItems count="15">
        <s v="远家花园"/>
        <s v="创业园-琦"/>
        <s v="桑木"/>
        <s v="榆乐"/>
        <s v="喜家文化"/>
        <s v="远家花园高新分公司"/>
        <s v="米小易"/>
        <s v="远家文化"/>
        <s v="远家文化蒲江分公司"/>
        <s v="张小喜"/>
        <s v="小月号"/>
        <s v="郑术燕"/>
        <s v="染匠文化"/>
        <e v="#N/A" u="1"/>
        <s v="创业园-晓" u="1"/>
      </sharedItems>
    </cacheField>
    <cacheField name="NameDiv" numFmtId="0">
      <sharedItems count="9">
        <s v="内控合规"/>
        <s v="综合管理"/>
        <s v="网店"/>
        <s v="品牌"/>
        <s v="明月村"/>
        <s v="驻色"/>
        <s v="水街店"/>
        <e v="#N/A" u="1"/>
        <s v="主淘宝店" u="1"/>
      </sharedItems>
    </cacheField>
    <cacheField name="ScopeBS" numFmtId="0">
      <sharedItems count="3">
        <s v="In"/>
        <s v="Out" u="1"/>
        <s v="Up to" u="1"/>
      </sharedItems>
    </cacheField>
    <cacheField name="ScopeDebug" numFmtId="0">
      <sharedItems count="3">
        <s v="prior"/>
        <s v="curr"/>
        <s v="post" u="1"/>
      </sharedItems>
    </cacheField>
    <cacheField name="月(TrxDate)" numFmtId="0" databaseField="0">
      <fieldGroup base="1">
        <rangePr groupBy="months" startDate="2025-12-31T00:00:00" endDate="2026-03-01T00:00:00"/>
        <groupItems count="14">
          <s v="&lt;12/31/2025"/>
          <s v="Jan"/>
          <s v="Feb"/>
          <s v="Mar"/>
          <s v="Apr"/>
          <s v="May"/>
          <s v="Jun"/>
          <s v="Jul"/>
          <s v="Aug"/>
          <s v="Sep"/>
          <s v="Oct"/>
          <s v="Nov"/>
          <s v="Dec"/>
          <s v="&gt;3/1/2026"/>
        </groupItems>
      </fieldGroup>
    </cacheField>
    <cacheField name="季度(TrxDate)" numFmtId="0" databaseField="0">
      <fieldGroup base="1">
        <rangePr groupBy="quarters" startDate="2025-12-31T00:00:00" endDate="2026-03-01T00:00:00"/>
        <groupItems count="6">
          <s v="&lt;12/31/2025"/>
          <s v="Qtr1"/>
          <s v="Qtr2"/>
          <s v="Qtr3"/>
          <s v="Qtr4"/>
          <s v="&gt;3/1/2026"/>
        </groupItems>
      </fieldGroup>
    </cacheField>
    <cacheField name="年(TrxDate)" numFmtId="0" databaseField="0">
      <fieldGroup base="1">
        <rangePr groupBy="years" startDate="2025-12-31T00:00:00" endDate="2026-03-01T00:00:00"/>
        <groupItems count="4">
          <s v="&lt;12/31/2025"/>
          <s v="2025"/>
          <s v="2026"/>
          <s v="&gt;3/1/2026"/>
        </groupItems>
      </fieldGroup>
    </cacheField>
    <cacheField name="perc_rev" numFmtId="0" formula="NetBal/9871206" databaseField="0"/>
  </cacheFields>
  <extLst>
    <ext xmlns:x14="http://schemas.microsoft.com/office/spreadsheetml/2009/9/main" uri="{725AE2AE-9491-48be-B2B4-4EB974FC3084}">
      <x14:pivotCacheDefinition pivotCacheId="7399663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41">
  <r>
    <x v="0"/>
    <x v="0"/>
    <s v="Ctrl"/>
    <x v="0"/>
    <x v="0"/>
    <s v="Bank"/>
    <x v="0"/>
    <n v="1982899.24"/>
    <b v="1"/>
    <n v="1982899.24"/>
    <x v="0"/>
    <s v="Assets"/>
    <s v="Cash alike"/>
    <x v="0"/>
    <x v="0"/>
    <x v="0"/>
    <x v="0"/>
    <x v="0"/>
    <x v="0"/>
    <x v="0"/>
    <x v="0"/>
  </r>
  <r>
    <x v="0"/>
    <x v="0"/>
    <s v="Ctrl"/>
    <x v="0"/>
    <x v="1"/>
    <s v="Bank"/>
    <x v="1"/>
    <n v="1238274.1000000001"/>
    <b v="1"/>
    <n v="1238274.1000000001"/>
    <x v="0"/>
    <s v="Assets"/>
    <s v="Cash alike"/>
    <x v="0"/>
    <x v="0"/>
    <x v="0"/>
    <x v="0"/>
    <x v="1"/>
    <x v="0"/>
    <x v="0"/>
    <x v="0"/>
  </r>
  <r>
    <x v="0"/>
    <x v="0"/>
    <s v="Ctrl"/>
    <x v="0"/>
    <x v="2"/>
    <s v="Bank"/>
    <x v="2"/>
    <n v="1597158.42"/>
    <b v="1"/>
    <n v="1597158.42"/>
    <x v="0"/>
    <s v="Assets"/>
    <s v="Cash alike"/>
    <x v="0"/>
    <x v="0"/>
    <x v="0"/>
    <x v="0"/>
    <x v="2"/>
    <x v="0"/>
    <x v="0"/>
    <x v="0"/>
  </r>
  <r>
    <x v="0"/>
    <x v="0"/>
    <s v="Ctrl"/>
    <x v="0"/>
    <x v="3"/>
    <s v="Bank"/>
    <x v="3"/>
    <n v="2759122.91"/>
    <b v="1"/>
    <n v="2759122.91"/>
    <x v="0"/>
    <s v="Assets"/>
    <s v="Cash alike"/>
    <x v="0"/>
    <x v="0"/>
    <x v="0"/>
    <x v="0"/>
    <x v="3"/>
    <x v="0"/>
    <x v="0"/>
    <x v="0"/>
  </r>
  <r>
    <x v="0"/>
    <x v="0"/>
    <s v="Ctrl"/>
    <x v="0"/>
    <x v="4"/>
    <s v="Bank"/>
    <x v="4"/>
    <n v="838646.21"/>
    <b v="1"/>
    <n v="838646.21"/>
    <x v="0"/>
    <s v="Assets"/>
    <s v="Cash alike"/>
    <x v="0"/>
    <x v="0"/>
    <x v="0"/>
    <x v="0"/>
    <x v="4"/>
    <x v="0"/>
    <x v="0"/>
    <x v="0"/>
  </r>
  <r>
    <x v="0"/>
    <x v="0"/>
    <s v="Ctrl"/>
    <x v="0"/>
    <x v="4"/>
    <s v="Phys.C"/>
    <x v="5"/>
    <n v="25540.15"/>
    <b v="1"/>
    <n v="25540.15"/>
    <x v="0"/>
    <s v="Assets"/>
    <s v="Cash alike"/>
    <x v="0"/>
    <x v="0"/>
    <x v="0"/>
    <x v="1"/>
    <x v="4"/>
    <x v="0"/>
    <x v="0"/>
    <x v="0"/>
  </r>
  <r>
    <x v="0"/>
    <x v="0"/>
    <s v="Ctrl"/>
    <x v="0"/>
    <x v="5"/>
    <s v="Bank"/>
    <x v="6"/>
    <n v="125030.24"/>
    <b v="1"/>
    <n v="125030.24"/>
    <x v="0"/>
    <s v="Assets"/>
    <s v="Cash alike"/>
    <x v="0"/>
    <x v="0"/>
    <x v="0"/>
    <x v="0"/>
    <x v="5"/>
    <x v="0"/>
    <x v="0"/>
    <x v="0"/>
  </r>
  <r>
    <x v="0"/>
    <x v="0"/>
    <s v="Ctrl"/>
    <x v="0"/>
    <x v="5"/>
    <s v="Phys.C"/>
    <x v="7"/>
    <n v="2000"/>
    <b v="1"/>
    <n v="2000"/>
    <x v="0"/>
    <s v="Assets"/>
    <s v="Cash alike"/>
    <x v="0"/>
    <x v="0"/>
    <x v="0"/>
    <x v="1"/>
    <x v="5"/>
    <x v="0"/>
    <x v="0"/>
    <x v="0"/>
  </r>
  <r>
    <x v="0"/>
    <x v="0"/>
    <s v="Ctrl"/>
    <x v="0"/>
    <x v="6"/>
    <s v="Bank"/>
    <x v="8"/>
    <n v="1012107.86"/>
    <b v="1"/>
    <n v="1012107.86"/>
    <x v="0"/>
    <s v="Assets"/>
    <s v="Cash alike"/>
    <x v="0"/>
    <x v="0"/>
    <x v="0"/>
    <x v="0"/>
    <x v="6"/>
    <x v="0"/>
    <x v="0"/>
    <x v="0"/>
  </r>
  <r>
    <x v="0"/>
    <x v="0"/>
    <s v="Ctrl"/>
    <x v="0"/>
    <x v="6"/>
    <s v="Phys.C"/>
    <x v="9"/>
    <n v="1304"/>
    <b v="1"/>
    <n v="1304"/>
    <x v="0"/>
    <s v="Assets"/>
    <s v="Cash alike"/>
    <x v="0"/>
    <x v="0"/>
    <x v="0"/>
    <x v="1"/>
    <x v="6"/>
    <x v="0"/>
    <x v="0"/>
    <x v="0"/>
  </r>
  <r>
    <x v="0"/>
    <x v="0"/>
    <s v="Ctrl"/>
    <x v="0"/>
    <x v="7"/>
    <s v="Bank"/>
    <x v="10"/>
    <n v="174191.78"/>
    <b v="1"/>
    <n v="174191.78"/>
    <x v="0"/>
    <s v="Assets"/>
    <s v="Cash alike"/>
    <x v="0"/>
    <x v="0"/>
    <x v="0"/>
    <x v="0"/>
    <x v="7"/>
    <x v="0"/>
    <x v="0"/>
    <x v="0"/>
  </r>
  <r>
    <x v="0"/>
    <x v="0"/>
    <s v="Ctrl"/>
    <x v="0"/>
    <x v="8"/>
    <s v="Bank"/>
    <x v="11"/>
    <n v="21355.13"/>
    <b v="1"/>
    <n v="21355.13"/>
    <x v="0"/>
    <s v="Assets"/>
    <s v="Cash alike"/>
    <x v="0"/>
    <x v="0"/>
    <x v="0"/>
    <x v="0"/>
    <x v="8"/>
    <x v="0"/>
    <x v="0"/>
    <x v="0"/>
  </r>
  <r>
    <x v="0"/>
    <x v="0"/>
    <s v="Ctrl"/>
    <x v="0"/>
    <x v="9"/>
    <s v="Bank"/>
    <x v="12"/>
    <n v="143995.32"/>
    <b v="1"/>
    <n v="143995.32"/>
    <x v="0"/>
    <s v="Assets"/>
    <s v="Cash alike"/>
    <x v="0"/>
    <x v="0"/>
    <x v="0"/>
    <x v="0"/>
    <x v="9"/>
    <x v="0"/>
    <x v="0"/>
    <x v="0"/>
  </r>
  <r>
    <x v="0"/>
    <x v="0"/>
    <s v="Ctrl"/>
    <x v="0"/>
    <x v="10"/>
    <s v="Bank"/>
    <x v="13"/>
    <n v="435221.41"/>
    <b v="1"/>
    <n v="435221.41"/>
    <x v="0"/>
    <s v="Assets"/>
    <s v="Cash alike"/>
    <x v="0"/>
    <x v="0"/>
    <x v="0"/>
    <x v="0"/>
    <x v="10"/>
    <x v="0"/>
    <x v="0"/>
    <x v="0"/>
  </r>
  <r>
    <x v="0"/>
    <x v="0"/>
    <s v="Ctrl"/>
    <x v="0"/>
    <x v="10"/>
    <s v="Bank"/>
    <x v="14"/>
    <n v="12977.6"/>
    <b v="1"/>
    <n v="12977.6"/>
    <x v="0"/>
    <s v="Assets"/>
    <s v="Cash alike"/>
    <x v="0"/>
    <x v="0"/>
    <x v="0"/>
    <x v="0"/>
    <x v="10"/>
    <x v="0"/>
    <x v="0"/>
    <x v="0"/>
  </r>
  <r>
    <x v="0"/>
    <x v="0"/>
    <s v="Ctrl"/>
    <x v="0"/>
    <x v="11"/>
    <s v="Bank"/>
    <x v="15"/>
    <n v="30900.25"/>
    <b v="1"/>
    <n v="30900.25"/>
    <x v="0"/>
    <s v="Assets"/>
    <s v="Cash alike"/>
    <x v="0"/>
    <x v="0"/>
    <x v="0"/>
    <x v="0"/>
    <x v="11"/>
    <x v="0"/>
    <x v="0"/>
    <x v="0"/>
  </r>
  <r>
    <x v="0"/>
    <x v="0"/>
    <s v="Ctrl"/>
    <x v="0"/>
    <x v="7"/>
    <s v="Bank"/>
    <x v="16"/>
    <n v="6917.42"/>
    <b v="1"/>
    <n v="6917.42"/>
    <x v="0"/>
    <s v="Assets"/>
    <s v="Cash alike"/>
    <x v="0"/>
    <x v="0"/>
    <x v="0"/>
    <x v="0"/>
    <x v="7"/>
    <x v="0"/>
    <x v="0"/>
    <x v="0"/>
  </r>
  <r>
    <x v="0"/>
    <x v="0"/>
    <s v="Ctrl"/>
    <x v="0"/>
    <x v="8"/>
    <s v="Bank"/>
    <x v="17"/>
    <n v="709.51"/>
    <b v="1"/>
    <n v="709.51"/>
    <x v="0"/>
    <s v="Assets"/>
    <s v="Cash alike"/>
    <x v="0"/>
    <x v="0"/>
    <x v="0"/>
    <x v="0"/>
    <x v="8"/>
    <x v="0"/>
    <x v="0"/>
    <x v="0"/>
  </r>
  <r>
    <x v="0"/>
    <x v="0"/>
    <s v="Ctrl"/>
    <x v="0"/>
    <x v="8"/>
    <s v="Phys.C"/>
    <x v="18"/>
    <n v="20812"/>
    <b v="1"/>
    <n v="20812"/>
    <x v="0"/>
    <s v="Assets"/>
    <s v="Cash alike"/>
    <x v="0"/>
    <x v="0"/>
    <x v="0"/>
    <x v="1"/>
    <x v="8"/>
    <x v="0"/>
    <x v="0"/>
    <x v="0"/>
  </r>
  <r>
    <x v="0"/>
    <x v="0"/>
    <s v="Ctrl"/>
    <x v="0"/>
    <x v="12"/>
    <s v="Bank"/>
    <x v="19"/>
    <n v="630993.46"/>
    <b v="1"/>
    <n v="630993.46"/>
    <x v="0"/>
    <s v="Assets"/>
    <s v="Cash alike"/>
    <x v="0"/>
    <x v="0"/>
    <x v="0"/>
    <x v="0"/>
    <x v="12"/>
    <x v="0"/>
    <x v="0"/>
    <x v="0"/>
  </r>
  <r>
    <x v="0"/>
    <x v="0"/>
    <s v="Ctrl"/>
    <x v="0"/>
    <x v="12"/>
    <s v="Bank"/>
    <x v="20"/>
    <n v="20124.45"/>
    <b v="1"/>
    <n v="20124.45"/>
    <x v="0"/>
    <s v="Assets"/>
    <s v="Cash alike"/>
    <x v="0"/>
    <x v="0"/>
    <x v="0"/>
    <x v="0"/>
    <x v="12"/>
    <x v="0"/>
    <x v="0"/>
    <x v="0"/>
  </r>
  <r>
    <x v="0"/>
    <x v="0"/>
    <s v="Ctrl"/>
    <x v="0"/>
    <x v="4"/>
    <s v="AR"/>
    <x v="21"/>
    <n v="18526.13"/>
    <b v="1"/>
    <n v="18526.13"/>
    <x v="0"/>
    <s v="Assets"/>
    <s v="Rec-Pay"/>
    <x v="0"/>
    <x v="0"/>
    <x v="1"/>
    <x v="2"/>
    <x v="4"/>
    <x v="0"/>
    <x v="0"/>
    <x v="0"/>
  </r>
  <r>
    <x v="0"/>
    <x v="0"/>
    <s v="Ctrl"/>
    <x v="0"/>
    <x v="4"/>
    <s v="FrOther"/>
    <x v="22"/>
    <n v="2385.75"/>
    <b v="1"/>
    <n v="2385.75"/>
    <x v="0"/>
    <s v="Assets"/>
    <s v="Rec-Pay"/>
    <x v="0"/>
    <x v="0"/>
    <x v="1"/>
    <x v="3"/>
    <x v="4"/>
    <x v="0"/>
    <x v="0"/>
    <x v="0"/>
  </r>
  <r>
    <x v="0"/>
    <x v="0"/>
    <s v="Ctrl"/>
    <x v="0"/>
    <x v="4"/>
    <s v="Depo"/>
    <x v="23"/>
    <n v="100000"/>
    <b v="1"/>
    <n v="100000"/>
    <x v="0"/>
    <s v="Assets"/>
    <s v="Prep-Sub"/>
    <x v="0"/>
    <x v="0"/>
    <x v="2"/>
    <x v="4"/>
    <x v="4"/>
    <x v="0"/>
    <x v="0"/>
    <x v="0"/>
  </r>
  <r>
    <x v="0"/>
    <x v="0"/>
    <s v="Ctrl"/>
    <x v="0"/>
    <x v="0"/>
    <s v="AR"/>
    <x v="21"/>
    <n v="289043.94"/>
    <b v="1"/>
    <n v="289043.94"/>
    <x v="0"/>
    <s v="Assets"/>
    <s v="Rec-Pay"/>
    <x v="0"/>
    <x v="0"/>
    <x v="1"/>
    <x v="2"/>
    <x v="0"/>
    <x v="0"/>
    <x v="0"/>
    <x v="0"/>
  </r>
  <r>
    <x v="0"/>
    <x v="0"/>
    <s v="Ctrl"/>
    <x v="0"/>
    <x v="0"/>
    <s v="FrOther"/>
    <x v="22"/>
    <n v="24591.75"/>
    <b v="1"/>
    <n v="24591.75"/>
    <x v="0"/>
    <s v="Assets"/>
    <s v="Rec-Pay"/>
    <x v="0"/>
    <x v="0"/>
    <x v="1"/>
    <x v="3"/>
    <x v="0"/>
    <x v="0"/>
    <x v="0"/>
    <x v="0"/>
  </r>
  <r>
    <x v="0"/>
    <x v="0"/>
    <s v="Ctrl"/>
    <x v="0"/>
    <x v="0"/>
    <s v="Depo"/>
    <x v="23"/>
    <n v="66888.95"/>
    <b v="1"/>
    <n v="66888.95"/>
    <x v="0"/>
    <s v="Assets"/>
    <s v="Prep-Sub"/>
    <x v="0"/>
    <x v="0"/>
    <x v="2"/>
    <x v="4"/>
    <x v="0"/>
    <x v="0"/>
    <x v="0"/>
    <x v="0"/>
  </r>
  <r>
    <x v="0"/>
    <x v="0"/>
    <s v="Ctrl"/>
    <x v="0"/>
    <x v="5"/>
    <s v="AR"/>
    <x v="21"/>
    <n v="4640.3"/>
    <b v="1"/>
    <n v="4640.3"/>
    <x v="0"/>
    <s v="Assets"/>
    <s v="Rec-Pay"/>
    <x v="0"/>
    <x v="0"/>
    <x v="1"/>
    <x v="2"/>
    <x v="5"/>
    <x v="0"/>
    <x v="0"/>
    <x v="0"/>
  </r>
  <r>
    <x v="0"/>
    <x v="0"/>
    <s v="Ctrl"/>
    <x v="0"/>
    <x v="5"/>
    <s v="FrOther"/>
    <x v="22"/>
    <n v="1474.3"/>
    <b v="1"/>
    <n v="1474.3"/>
    <x v="0"/>
    <s v="Assets"/>
    <s v="Rec-Pay"/>
    <x v="0"/>
    <x v="0"/>
    <x v="1"/>
    <x v="3"/>
    <x v="5"/>
    <x v="0"/>
    <x v="0"/>
    <x v="0"/>
  </r>
  <r>
    <x v="0"/>
    <x v="0"/>
    <s v="Ctrl"/>
    <x v="0"/>
    <x v="12"/>
    <s v="FrOther"/>
    <x v="22"/>
    <n v="3340.05"/>
    <b v="1"/>
    <n v="3340.05"/>
    <x v="0"/>
    <s v="Assets"/>
    <s v="Rec-Pay"/>
    <x v="0"/>
    <x v="0"/>
    <x v="1"/>
    <x v="3"/>
    <x v="12"/>
    <x v="0"/>
    <x v="0"/>
    <x v="0"/>
  </r>
  <r>
    <x v="0"/>
    <x v="0"/>
    <s v="Ctrl"/>
    <x v="0"/>
    <x v="3"/>
    <s v="FrOther"/>
    <x v="22"/>
    <n v="14294.35"/>
    <b v="1"/>
    <n v="14294.35"/>
    <x v="0"/>
    <s v="Assets"/>
    <s v="Rec-Pay"/>
    <x v="0"/>
    <x v="0"/>
    <x v="1"/>
    <x v="3"/>
    <x v="3"/>
    <x v="0"/>
    <x v="0"/>
    <x v="0"/>
  </r>
  <r>
    <x v="0"/>
    <x v="0"/>
    <s v="Ctrl"/>
    <x v="0"/>
    <x v="2"/>
    <s v="FrOther"/>
    <x v="22"/>
    <n v="1431.45"/>
    <b v="1"/>
    <n v="1431.45"/>
    <x v="0"/>
    <s v="Assets"/>
    <s v="Rec-Pay"/>
    <x v="0"/>
    <x v="0"/>
    <x v="1"/>
    <x v="3"/>
    <x v="2"/>
    <x v="0"/>
    <x v="0"/>
    <x v="0"/>
  </r>
  <r>
    <x v="0"/>
    <x v="0"/>
    <s v="Ctrl"/>
    <x v="0"/>
    <x v="6"/>
    <s v="FrOther"/>
    <x v="22"/>
    <n v="11451.6"/>
    <b v="1"/>
    <n v="11451.6"/>
    <x v="0"/>
    <s v="Assets"/>
    <s v="Rec-Pay"/>
    <x v="0"/>
    <x v="0"/>
    <x v="1"/>
    <x v="3"/>
    <x v="6"/>
    <x v="0"/>
    <x v="0"/>
    <x v="0"/>
  </r>
  <r>
    <x v="0"/>
    <x v="0"/>
    <s v="Ctrl"/>
    <x v="0"/>
    <x v="6"/>
    <s v="Depo"/>
    <x v="23"/>
    <n v="4000"/>
    <b v="1"/>
    <n v="4000"/>
    <x v="0"/>
    <s v="Assets"/>
    <s v="Prep-Sub"/>
    <x v="0"/>
    <x v="0"/>
    <x v="2"/>
    <x v="4"/>
    <x v="6"/>
    <x v="0"/>
    <x v="0"/>
    <x v="0"/>
  </r>
  <r>
    <x v="0"/>
    <x v="0"/>
    <s v="Ctrl"/>
    <x v="0"/>
    <x v="6"/>
    <s v="AR"/>
    <x v="21"/>
    <n v="12892.74"/>
    <b v="1"/>
    <n v="12892.74"/>
    <x v="0"/>
    <s v="Assets"/>
    <s v="Rec-Pay"/>
    <x v="0"/>
    <x v="0"/>
    <x v="1"/>
    <x v="2"/>
    <x v="6"/>
    <x v="0"/>
    <x v="0"/>
    <x v="0"/>
  </r>
  <r>
    <x v="0"/>
    <x v="0"/>
    <s v="Ctrl"/>
    <x v="0"/>
    <x v="6"/>
    <s v="OnEmp"/>
    <x v="24"/>
    <n v="30000"/>
    <b v="1"/>
    <n v="30000"/>
    <x v="0"/>
    <s v="Assets"/>
    <s v="Prep-Sub"/>
    <x v="0"/>
    <x v="0"/>
    <x v="2"/>
    <x v="5"/>
    <x v="6"/>
    <x v="0"/>
    <x v="0"/>
    <x v="0"/>
  </r>
  <r>
    <x v="0"/>
    <x v="0"/>
    <s v="Ctrl"/>
    <x v="0"/>
    <x v="7"/>
    <s v="AR"/>
    <x v="25"/>
    <n v="1524.65"/>
    <b v="1"/>
    <n v="1524.65"/>
    <x v="0"/>
    <s v="Assets"/>
    <s v="Rec-Pay"/>
    <x v="0"/>
    <x v="0"/>
    <x v="1"/>
    <x v="2"/>
    <x v="7"/>
    <x v="0"/>
    <x v="0"/>
    <x v="0"/>
  </r>
  <r>
    <x v="0"/>
    <x v="0"/>
    <s v="Ctrl"/>
    <x v="0"/>
    <x v="7"/>
    <s v="AR"/>
    <x v="26"/>
    <n v="38471.800000000003"/>
    <b v="1"/>
    <n v="38471.800000000003"/>
    <x v="0"/>
    <s v="Assets"/>
    <s v="Rec-Pay"/>
    <x v="0"/>
    <x v="0"/>
    <x v="1"/>
    <x v="2"/>
    <x v="7"/>
    <x v="0"/>
    <x v="0"/>
    <x v="0"/>
  </r>
  <r>
    <x v="0"/>
    <x v="0"/>
    <s v="Ctrl"/>
    <x v="0"/>
    <x v="7"/>
    <s v="AR"/>
    <x v="27"/>
    <n v="3394.82"/>
    <b v="1"/>
    <n v="3394.82"/>
    <x v="0"/>
    <s v="Assets"/>
    <s v="Rec-Pay"/>
    <x v="0"/>
    <x v="0"/>
    <x v="1"/>
    <x v="2"/>
    <x v="7"/>
    <x v="0"/>
    <x v="0"/>
    <x v="0"/>
  </r>
  <r>
    <x v="0"/>
    <x v="0"/>
    <s v="Ctrl"/>
    <x v="0"/>
    <x v="7"/>
    <s v="AR"/>
    <x v="28"/>
    <n v="9243"/>
    <b v="1"/>
    <n v="9243"/>
    <x v="0"/>
    <s v="Assets"/>
    <s v="Rec-Pay"/>
    <x v="0"/>
    <x v="0"/>
    <x v="1"/>
    <x v="2"/>
    <x v="7"/>
    <x v="0"/>
    <x v="0"/>
    <x v="0"/>
  </r>
  <r>
    <x v="0"/>
    <x v="0"/>
    <s v="Ctrl"/>
    <x v="0"/>
    <x v="7"/>
    <s v="AR"/>
    <x v="29"/>
    <n v="163630.56"/>
    <b v="1"/>
    <n v="163630.56"/>
    <x v="0"/>
    <s v="Assets"/>
    <s v="Rec-Pay"/>
    <x v="0"/>
    <x v="0"/>
    <x v="1"/>
    <x v="2"/>
    <x v="7"/>
    <x v="0"/>
    <x v="0"/>
    <x v="0"/>
  </r>
  <r>
    <x v="0"/>
    <x v="0"/>
    <s v="Ctrl"/>
    <x v="0"/>
    <x v="7"/>
    <s v="AR"/>
    <x v="30"/>
    <n v="22937.1"/>
    <b v="1"/>
    <n v="22937.1"/>
    <x v="0"/>
    <s v="Assets"/>
    <s v="Rec-Pay"/>
    <x v="0"/>
    <x v="0"/>
    <x v="1"/>
    <x v="2"/>
    <x v="7"/>
    <x v="0"/>
    <x v="0"/>
    <x v="0"/>
  </r>
  <r>
    <x v="0"/>
    <x v="0"/>
    <s v="Ctrl"/>
    <x v="0"/>
    <x v="7"/>
    <s v="AR"/>
    <x v="31"/>
    <n v="811.3"/>
    <b v="1"/>
    <n v="811.3"/>
    <x v="0"/>
    <s v="Assets"/>
    <s v="Rec-Pay"/>
    <x v="0"/>
    <x v="0"/>
    <x v="1"/>
    <x v="2"/>
    <x v="7"/>
    <x v="0"/>
    <x v="0"/>
    <x v="0"/>
  </r>
  <r>
    <x v="0"/>
    <x v="0"/>
    <s v="Ctrl"/>
    <x v="0"/>
    <x v="7"/>
    <s v="AR"/>
    <x v="32"/>
    <n v="150000"/>
    <b v="1"/>
    <n v="150000"/>
    <x v="0"/>
    <s v="Assets"/>
    <s v="Rec-Pay"/>
    <x v="0"/>
    <x v="0"/>
    <x v="1"/>
    <x v="2"/>
    <x v="7"/>
    <x v="0"/>
    <x v="0"/>
    <x v="0"/>
  </r>
  <r>
    <x v="0"/>
    <x v="0"/>
    <s v="Ctrl"/>
    <x v="0"/>
    <x v="7"/>
    <s v="Depo"/>
    <x v="23"/>
    <n v="38389.65"/>
    <b v="1"/>
    <n v="38389.65"/>
    <x v="0"/>
    <s v="Assets"/>
    <s v="Prep-Sub"/>
    <x v="0"/>
    <x v="0"/>
    <x v="2"/>
    <x v="4"/>
    <x v="7"/>
    <x v="0"/>
    <x v="0"/>
    <x v="0"/>
  </r>
  <r>
    <x v="0"/>
    <x v="0"/>
    <s v="Ctrl"/>
    <x v="0"/>
    <x v="1"/>
    <s v="AR"/>
    <x v="33"/>
    <n v="25551.3"/>
    <b v="1"/>
    <n v="25551.3"/>
    <x v="0"/>
    <s v="Assets"/>
    <s v="Rec-Pay"/>
    <x v="0"/>
    <x v="0"/>
    <x v="1"/>
    <x v="2"/>
    <x v="1"/>
    <x v="0"/>
    <x v="0"/>
    <x v="0"/>
  </r>
  <r>
    <x v="0"/>
    <x v="0"/>
    <s v="Ctrl"/>
    <x v="0"/>
    <x v="4"/>
    <s v="Order"/>
    <x v="34"/>
    <n v="130521.15"/>
    <b v="1"/>
    <n v="130521.15"/>
    <x v="0"/>
    <s v="Assets"/>
    <s v="Prep-Sub"/>
    <x v="0"/>
    <x v="0"/>
    <x v="2"/>
    <x v="6"/>
    <x v="4"/>
    <x v="0"/>
    <x v="0"/>
    <x v="0"/>
  </r>
  <r>
    <x v="0"/>
    <x v="0"/>
    <s v="Ctrl"/>
    <x v="0"/>
    <x v="0"/>
    <s v="Order"/>
    <x v="34"/>
    <n v="87645.27"/>
    <b v="1"/>
    <n v="87645.27"/>
    <x v="0"/>
    <s v="Assets"/>
    <s v="Prep-Sub"/>
    <x v="0"/>
    <x v="0"/>
    <x v="2"/>
    <x v="6"/>
    <x v="0"/>
    <x v="0"/>
    <x v="0"/>
    <x v="0"/>
  </r>
  <r>
    <x v="0"/>
    <x v="0"/>
    <s v="Ctrl"/>
    <x v="0"/>
    <x v="2"/>
    <s v="Order"/>
    <x v="35"/>
    <n v="99417.5"/>
    <b v="1"/>
    <n v="99417.5"/>
    <x v="0"/>
    <s v="Assets"/>
    <s v="Prep-Sub"/>
    <x v="0"/>
    <x v="0"/>
    <x v="2"/>
    <x v="6"/>
    <x v="2"/>
    <x v="0"/>
    <x v="0"/>
    <x v="0"/>
  </r>
  <r>
    <x v="0"/>
    <x v="0"/>
    <s v="Ctrl"/>
    <x v="0"/>
    <x v="6"/>
    <s v="Order"/>
    <x v="34"/>
    <n v="1225"/>
    <b v="1"/>
    <n v="1225"/>
    <x v="0"/>
    <s v="Assets"/>
    <s v="Prep-Sub"/>
    <x v="0"/>
    <x v="0"/>
    <x v="2"/>
    <x v="6"/>
    <x v="6"/>
    <x v="0"/>
    <x v="0"/>
    <x v="0"/>
  </r>
  <r>
    <x v="0"/>
    <x v="0"/>
    <s v="Ctrl"/>
    <x v="0"/>
    <x v="7"/>
    <s v="Curr"/>
    <x v="36"/>
    <n v="192761.82"/>
    <b v="1"/>
    <n v="192761.82"/>
    <x v="0"/>
    <s v="Assets"/>
    <s v="Invtr"/>
    <x v="0"/>
    <x v="0"/>
    <x v="3"/>
    <x v="7"/>
    <x v="7"/>
    <x v="0"/>
    <x v="0"/>
    <x v="0"/>
  </r>
  <r>
    <x v="0"/>
    <x v="0"/>
    <s v="Ctrl"/>
    <x v="0"/>
    <x v="6"/>
    <s v="Curr"/>
    <x v="37"/>
    <n v="242182.81"/>
    <b v="1"/>
    <n v="242182.81"/>
    <x v="0"/>
    <s v="Assets"/>
    <s v="Invtr"/>
    <x v="0"/>
    <x v="0"/>
    <x v="3"/>
    <x v="7"/>
    <x v="6"/>
    <x v="0"/>
    <x v="0"/>
    <x v="0"/>
  </r>
  <r>
    <x v="0"/>
    <x v="0"/>
    <s v="Ctrl"/>
    <x v="0"/>
    <x v="0"/>
    <s v="Curr"/>
    <x v="38"/>
    <n v="10513383.689999999"/>
    <b v="1"/>
    <n v="10513383.689999999"/>
    <x v="0"/>
    <s v="Assets"/>
    <s v="Invtr"/>
    <x v="0"/>
    <x v="0"/>
    <x v="3"/>
    <x v="7"/>
    <x v="0"/>
    <x v="0"/>
    <x v="0"/>
    <x v="0"/>
  </r>
  <r>
    <x v="0"/>
    <x v="0"/>
    <s v="Ctrl"/>
    <x v="0"/>
    <x v="7"/>
    <s v="Property"/>
    <x v="39"/>
    <n v="2949723.27"/>
    <b v="1"/>
    <n v="2949723.27"/>
    <x v="0"/>
    <s v="Assets"/>
    <s v="PP&amp;E"/>
    <x v="0"/>
    <x v="0"/>
    <x v="4"/>
    <x v="8"/>
    <x v="7"/>
    <x v="0"/>
    <x v="0"/>
    <x v="0"/>
  </r>
  <r>
    <x v="0"/>
    <x v="0"/>
    <s v="Ctrl"/>
    <x v="0"/>
    <x v="7"/>
    <s v="Property"/>
    <x v="40"/>
    <n v="21129338.43"/>
    <b v="1"/>
    <n v="21129338.43"/>
    <x v="0"/>
    <s v="Assets"/>
    <s v="PP&amp;E"/>
    <x v="0"/>
    <x v="0"/>
    <x v="4"/>
    <x v="8"/>
    <x v="7"/>
    <x v="0"/>
    <x v="0"/>
    <x v="0"/>
  </r>
  <r>
    <x v="0"/>
    <x v="0"/>
    <s v="Ctrl"/>
    <x v="0"/>
    <x v="7"/>
    <s v="Property"/>
    <x v="41"/>
    <n v="-5217130.03"/>
    <b v="1"/>
    <n v="-5217130.03"/>
    <x v="0"/>
    <s v="Assets"/>
    <s v="PP&amp;E"/>
    <x v="0"/>
    <x v="0"/>
    <x v="4"/>
    <x v="8"/>
    <x v="7"/>
    <x v="0"/>
    <x v="0"/>
    <x v="0"/>
  </r>
  <r>
    <x v="0"/>
    <x v="0"/>
    <s v="Ctrl"/>
    <x v="0"/>
    <x v="5"/>
    <s v="Property"/>
    <x v="42"/>
    <n v="6467900"/>
    <b v="1"/>
    <n v="6467900"/>
    <x v="0"/>
    <s v="Assets"/>
    <s v="PP&amp;E"/>
    <x v="0"/>
    <x v="0"/>
    <x v="4"/>
    <x v="8"/>
    <x v="5"/>
    <x v="0"/>
    <x v="0"/>
    <x v="0"/>
  </r>
  <r>
    <x v="0"/>
    <x v="0"/>
    <s v="Ctrl"/>
    <x v="0"/>
    <x v="5"/>
    <s v="Property"/>
    <x v="43"/>
    <n v="-1065602.3999999999"/>
    <b v="1"/>
    <n v="-1065602.3999999999"/>
    <x v="0"/>
    <s v="Assets"/>
    <s v="PP&amp;E"/>
    <x v="0"/>
    <x v="0"/>
    <x v="4"/>
    <x v="8"/>
    <x v="5"/>
    <x v="0"/>
    <x v="0"/>
    <x v="0"/>
  </r>
  <r>
    <x v="0"/>
    <x v="0"/>
    <s v="Ctrl"/>
    <x v="0"/>
    <x v="4"/>
    <s v="Eq-Inv"/>
    <x v="44"/>
    <n v="2000000"/>
    <b v="1"/>
    <n v="2000000"/>
    <x v="0"/>
    <s v="Assets"/>
    <s v="Invest-LTD"/>
    <x v="0"/>
    <x v="0"/>
    <x v="5"/>
    <x v="9"/>
    <x v="4"/>
    <x v="0"/>
    <x v="0"/>
    <x v="0"/>
  </r>
  <r>
    <x v="0"/>
    <x v="0"/>
    <s v="Ctrl"/>
    <x v="0"/>
    <x v="4"/>
    <s v="Eq-Inv"/>
    <x v="45"/>
    <n v="100000"/>
    <b v="1"/>
    <n v="100000"/>
    <x v="0"/>
    <s v="Assets"/>
    <s v="Invest-LTD"/>
    <x v="0"/>
    <x v="0"/>
    <x v="5"/>
    <x v="9"/>
    <x v="4"/>
    <x v="0"/>
    <x v="0"/>
    <x v="0"/>
  </r>
  <r>
    <x v="0"/>
    <x v="0"/>
    <s v="Ctrl"/>
    <x v="0"/>
    <x v="4"/>
    <s v="AP"/>
    <x v="46"/>
    <n v="6891.7999999999993"/>
    <b v="1"/>
    <n v="-6891.7999999999993"/>
    <x v="1"/>
    <s v="Liability"/>
    <s v="Rec-Pay"/>
    <x v="0"/>
    <x v="0"/>
    <x v="1"/>
    <x v="10"/>
    <x v="4"/>
    <x v="0"/>
    <x v="0"/>
    <x v="0"/>
  </r>
  <r>
    <x v="0"/>
    <x v="0"/>
    <s v="Ctrl"/>
    <x v="0"/>
    <x v="4"/>
    <s v="ToTax"/>
    <x v="47"/>
    <n v="11047.53"/>
    <b v="1"/>
    <n v="-11047.53"/>
    <x v="1"/>
    <s v="Liability"/>
    <s v="Rec-Pay"/>
    <x v="0"/>
    <x v="0"/>
    <x v="1"/>
    <x v="11"/>
    <x v="4"/>
    <x v="0"/>
    <x v="0"/>
    <x v="0"/>
  </r>
  <r>
    <x v="0"/>
    <x v="0"/>
    <s v="Ctrl"/>
    <x v="0"/>
    <x v="4"/>
    <s v="ToTax"/>
    <x v="48"/>
    <n v="78.09"/>
    <b v="1"/>
    <n v="-78.09"/>
    <x v="1"/>
    <s v="Liability"/>
    <s v="Rec-Pay"/>
    <x v="0"/>
    <x v="0"/>
    <x v="1"/>
    <x v="11"/>
    <x v="4"/>
    <x v="0"/>
    <x v="0"/>
    <x v="0"/>
  </r>
  <r>
    <x v="0"/>
    <x v="0"/>
    <s v="Ctrl"/>
    <x v="0"/>
    <x v="4"/>
    <s v="ToTax"/>
    <x v="49"/>
    <n v="667.52"/>
    <b v="1"/>
    <n v="-667.52"/>
    <x v="1"/>
    <s v="Liability"/>
    <s v="Rec-Pay"/>
    <x v="0"/>
    <x v="0"/>
    <x v="1"/>
    <x v="11"/>
    <x v="4"/>
    <x v="0"/>
    <x v="0"/>
    <x v="0"/>
  </r>
  <r>
    <x v="0"/>
    <x v="0"/>
    <s v="Ctrl"/>
    <x v="0"/>
    <x v="4"/>
    <s v="ToTax"/>
    <x v="50"/>
    <n v="980.15"/>
    <b v="1"/>
    <n v="-980.15"/>
    <x v="1"/>
    <s v="Liability"/>
    <s v="Rec-Pay"/>
    <x v="0"/>
    <x v="0"/>
    <x v="1"/>
    <x v="11"/>
    <x v="4"/>
    <x v="0"/>
    <x v="0"/>
    <x v="0"/>
  </r>
  <r>
    <x v="0"/>
    <x v="0"/>
    <s v="Ctrl"/>
    <x v="0"/>
    <x v="4"/>
    <s v="ToTax"/>
    <x v="51"/>
    <n v="17957.240000000002"/>
    <b v="1"/>
    <n v="-17957.240000000002"/>
    <x v="1"/>
    <s v="Liability"/>
    <s v="Rec-Pay"/>
    <x v="0"/>
    <x v="0"/>
    <x v="1"/>
    <x v="11"/>
    <x v="4"/>
    <x v="0"/>
    <x v="0"/>
    <x v="0"/>
  </r>
  <r>
    <x v="0"/>
    <x v="0"/>
    <s v="Ctrl"/>
    <x v="0"/>
    <x v="4"/>
    <s v="ToEmp"/>
    <x v="52"/>
    <n v="37380.69"/>
    <b v="1"/>
    <n v="-37380.69"/>
    <x v="1"/>
    <s v="Liability"/>
    <s v="Rec-Pay"/>
    <x v="0"/>
    <x v="0"/>
    <x v="1"/>
    <x v="12"/>
    <x v="4"/>
    <x v="0"/>
    <x v="0"/>
    <x v="0"/>
  </r>
  <r>
    <x v="0"/>
    <x v="0"/>
    <s v="Ctrl"/>
    <x v="0"/>
    <x v="0"/>
    <s v="ToTax"/>
    <x v="47"/>
    <n v="379473.01"/>
    <b v="1"/>
    <n v="-379473.01"/>
    <x v="1"/>
    <s v="Liability"/>
    <s v="Rec-Pay"/>
    <x v="0"/>
    <x v="0"/>
    <x v="1"/>
    <x v="11"/>
    <x v="0"/>
    <x v="0"/>
    <x v="0"/>
    <x v="0"/>
  </r>
  <r>
    <x v="0"/>
    <x v="0"/>
    <s v="Ctrl"/>
    <x v="0"/>
    <x v="0"/>
    <s v="ToTax"/>
    <x v="49"/>
    <n v="22987.3"/>
    <b v="1"/>
    <n v="-22987.3"/>
    <x v="1"/>
    <s v="Liability"/>
    <s v="Rec-Pay"/>
    <x v="0"/>
    <x v="0"/>
    <x v="1"/>
    <x v="11"/>
    <x v="0"/>
    <x v="0"/>
    <x v="0"/>
    <x v="0"/>
  </r>
  <r>
    <x v="0"/>
    <x v="0"/>
    <s v="Ctrl"/>
    <x v="0"/>
    <x v="0"/>
    <s v="ToTax"/>
    <x v="50"/>
    <n v="583.9"/>
    <b v="1"/>
    <n v="-583.9"/>
    <x v="1"/>
    <s v="Liability"/>
    <s v="Rec-Pay"/>
    <x v="0"/>
    <x v="0"/>
    <x v="1"/>
    <x v="11"/>
    <x v="0"/>
    <x v="0"/>
    <x v="0"/>
    <x v="0"/>
  </r>
  <r>
    <x v="0"/>
    <x v="0"/>
    <s v="Ctrl"/>
    <x v="0"/>
    <x v="0"/>
    <s v="ToTax"/>
    <x v="48"/>
    <n v="1049.06"/>
    <b v="1"/>
    <n v="-1049.06"/>
    <x v="1"/>
    <s v="Liability"/>
    <s v="Rec-Pay"/>
    <x v="0"/>
    <x v="0"/>
    <x v="1"/>
    <x v="11"/>
    <x v="0"/>
    <x v="0"/>
    <x v="0"/>
    <x v="0"/>
  </r>
  <r>
    <x v="0"/>
    <x v="0"/>
    <s v="Ctrl"/>
    <x v="0"/>
    <x v="0"/>
    <s v="ToTax"/>
    <x v="51"/>
    <n v="37203.69"/>
    <b v="1"/>
    <n v="-37203.69"/>
    <x v="1"/>
    <s v="Liability"/>
    <s v="Rec-Pay"/>
    <x v="0"/>
    <x v="0"/>
    <x v="1"/>
    <x v="11"/>
    <x v="0"/>
    <x v="0"/>
    <x v="0"/>
    <x v="0"/>
  </r>
  <r>
    <x v="0"/>
    <x v="0"/>
    <s v="Ctrl"/>
    <x v="0"/>
    <x v="0"/>
    <s v="ToEmp"/>
    <x v="52"/>
    <n v="454010.9"/>
    <b v="1"/>
    <n v="-454010.9"/>
    <x v="1"/>
    <s v="Liability"/>
    <s v="Rec-Pay"/>
    <x v="0"/>
    <x v="0"/>
    <x v="1"/>
    <x v="12"/>
    <x v="0"/>
    <x v="0"/>
    <x v="0"/>
    <x v="0"/>
  </r>
  <r>
    <x v="0"/>
    <x v="0"/>
    <s v="Ctrl"/>
    <x v="0"/>
    <x v="5"/>
    <s v="ToTax"/>
    <x v="47"/>
    <n v="5178.93"/>
    <b v="1"/>
    <n v="-5178.93"/>
    <x v="1"/>
    <s v="Liability"/>
    <s v="Rec-Pay"/>
    <x v="0"/>
    <x v="0"/>
    <x v="1"/>
    <x v="11"/>
    <x v="5"/>
    <x v="0"/>
    <x v="0"/>
    <x v="0"/>
  </r>
  <r>
    <x v="0"/>
    <x v="0"/>
    <s v="Ctrl"/>
    <x v="0"/>
    <x v="5"/>
    <s v="ToTax"/>
    <x v="49"/>
    <n v="310.73"/>
    <b v="1"/>
    <n v="-310.73"/>
    <x v="1"/>
    <s v="Liability"/>
    <s v="Rec-Pay"/>
    <x v="0"/>
    <x v="0"/>
    <x v="1"/>
    <x v="11"/>
    <x v="5"/>
    <x v="0"/>
    <x v="0"/>
    <x v="0"/>
  </r>
  <r>
    <x v="0"/>
    <x v="0"/>
    <s v="Ctrl"/>
    <x v="0"/>
    <x v="5"/>
    <s v="ToEmp"/>
    <x v="52"/>
    <n v="34956.620000000003"/>
    <b v="1"/>
    <n v="-34956.620000000003"/>
    <x v="1"/>
    <s v="Liability"/>
    <s v="Rec-Pay"/>
    <x v="0"/>
    <x v="0"/>
    <x v="1"/>
    <x v="12"/>
    <x v="5"/>
    <x v="0"/>
    <x v="0"/>
    <x v="0"/>
  </r>
  <r>
    <x v="0"/>
    <x v="0"/>
    <s v="Ctrl"/>
    <x v="0"/>
    <x v="5"/>
    <s v="ToOther"/>
    <x v="53"/>
    <n v="2200"/>
    <b v="1"/>
    <n v="-2200"/>
    <x v="1"/>
    <s v="Liability"/>
    <s v="Rec-Pay"/>
    <x v="0"/>
    <x v="0"/>
    <x v="1"/>
    <x v="13"/>
    <x v="5"/>
    <x v="0"/>
    <x v="0"/>
    <x v="0"/>
  </r>
  <r>
    <x v="0"/>
    <x v="0"/>
    <s v="Ctrl"/>
    <x v="0"/>
    <x v="12"/>
    <s v="ToTax"/>
    <x v="47"/>
    <n v="4117.58"/>
    <b v="1"/>
    <n v="-4117.58"/>
    <x v="1"/>
    <s v="Liability"/>
    <s v="Rec-Pay"/>
    <x v="0"/>
    <x v="0"/>
    <x v="1"/>
    <x v="11"/>
    <x v="12"/>
    <x v="0"/>
    <x v="0"/>
    <x v="0"/>
  </r>
  <r>
    <x v="0"/>
    <x v="0"/>
    <s v="Ctrl"/>
    <x v="0"/>
    <x v="12"/>
    <s v="ToTax"/>
    <x v="49"/>
    <n v="205.87"/>
    <b v="1"/>
    <n v="-205.87"/>
    <x v="1"/>
    <s v="Liability"/>
    <s v="Rec-Pay"/>
    <x v="0"/>
    <x v="0"/>
    <x v="1"/>
    <x v="11"/>
    <x v="12"/>
    <x v="0"/>
    <x v="0"/>
    <x v="0"/>
  </r>
  <r>
    <x v="0"/>
    <x v="0"/>
    <s v="Ctrl"/>
    <x v="0"/>
    <x v="12"/>
    <s v="ToTax"/>
    <x v="50"/>
    <n v="2.96"/>
    <b v="1"/>
    <n v="-2.96"/>
    <x v="1"/>
    <s v="Liability"/>
    <s v="Rec-Pay"/>
    <x v="0"/>
    <x v="0"/>
    <x v="1"/>
    <x v="11"/>
    <x v="12"/>
    <x v="0"/>
    <x v="0"/>
    <x v="0"/>
  </r>
  <r>
    <x v="0"/>
    <x v="0"/>
    <s v="Ctrl"/>
    <x v="0"/>
    <x v="12"/>
    <s v="ToTax"/>
    <x v="51"/>
    <n v="11399.28"/>
    <b v="1"/>
    <n v="-11399.28"/>
    <x v="1"/>
    <s v="Liability"/>
    <s v="Rec-Pay"/>
    <x v="0"/>
    <x v="0"/>
    <x v="1"/>
    <x v="11"/>
    <x v="12"/>
    <x v="0"/>
    <x v="0"/>
    <x v="0"/>
  </r>
  <r>
    <x v="0"/>
    <x v="0"/>
    <s v="Ctrl"/>
    <x v="0"/>
    <x v="12"/>
    <s v="ToEmp"/>
    <x v="52"/>
    <n v="33541.86"/>
    <b v="1"/>
    <n v="-33541.86"/>
    <x v="1"/>
    <s v="Liability"/>
    <s v="Rec-Pay"/>
    <x v="0"/>
    <x v="0"/>
    <x v="1"/>
    <x v="12"/>
    <x v="12"/>
    <x v="0"/>
    <x v="0"/>
    <x v="0"/>
  </r>
  <r>
    <x v="0"/>
    <x v="0"/>
    <s v="Ctrl"/>
    <x v="0"/>
    <x v="3"/>
    <s v="ToTax"/>
    <x v="47"/>
    <n v="10950.5"/>
    <b v="1"/>
    <n v="-10950.5"/>
    <x v="1"/>
    <s v="Liability"/>
    <s v="Rec-Pay"/>
    <x v="0"/>
    <x v="0"/>
    <x v="1"/>
    <x v="11"/>
    <x v="3"/>
    <x v="0"/>
    <x v="0"/>
    <x v="0"/>
  </r>
  <r>
    <x v="0"/>
    <x v="0"/>
    <s v="Ctrl"/>
    <x v="0"/>
    <x v="3"/>
    <s v="ToTax"/>
    <x v="51"/>
    <n v="30620.29"/>
    <b v="1"/>
    <n v="-30620.29"/>
    <x v="1"/>
    <s v="Liability"/>
    <s v="Rec-Pay"/>
    <x v="0"/>
    <x v="0"/>
    <x v="1"/>
    <x v="11"/>
    <x v="3"/>
    <x v="0"/>
    <x v="0"/>
    <x v="0"/>
  </r>
  <r>
    <x v="0"/>
    <x v="0"/>
    <s v="Ctrl"/>
    <x v="0"/>
    <x v="3"/>
    <s v="ToTax"/>
    <x v="49"/>
    <n v="657.03"/>
    <b v="1"/>
    <n v="-657.03"/>
    <x v="1"/>
    <s v="Liability"/>
    <s v="Rec-Pay"/>
    <x v="0"/>
    <x v="0"/>
    <x v="1"/>
    <x v="11"/>
    <x v="3"/>
    <x v="0"/>
    <x v="0"/>
    <x v="0"/>
  </r>
  <r>
    <x v="0"/>
    <x v="0"/>
    <s v="Ctrl"/>
    <x v="0"/>
    <x v="3"/>
    <s v="ToTax"/>
    <x v="50"/>
    <n v="5.0199999999999996"/>
    <b v="1"/>
    <n v="-5.0199999999999996"/>
    <x v="1"/>
    <s v="Liability"/>
    <s v="Rec-Pay"/>
    <x v="0"/>
    <x v="0"/>
    <x v="1"/>
    <x v="11"/>
    <x v="3"/>
    <x v="0"/>
    <x v="0"/>
    <x v="0"/>
  </r>
  <r>
    <x v="0"/>
    <x v="0"/>
    <s v="Ctrl"/>
    <x v="0"/>
    <x v="3"/>
    <s v="ToEmp"/>
    <x v="52"/>
    <n v="76031.259999999995"/>
    <b v="1"/>
    <n v="-76031.259999999995"/>
    <x v="1"/>
    <s v="Liability"/>
    <s v="Rec-Pay"/>
    <x v="0"/>
    <x v="0"/>
    <x v="1"/>
    <x v="12"/>
    <x v="3"/>
    <x v="0"/>
    <x v="0"/>
    <x v="0"/>
  </r>
  <r>
    <x v="0"/>
    <x v="0"/>
    <s v="Ctrl"/>
    <x v="0"/>
    <x v="2"/>
    <s v="ToTax"/>
    <x v="54"/>
    <n v="40000"/>
    <b v="1"/>
    <n v="-40000"/>
    <x v="1"/>
    <s v="Liability"/>
    <s v="Rec-Pay"/>
    <x v="0"/>
    <x v="0"/>
    <x v="1"/>
    <x v="11"/>
    <x v="2"/>
    <x v="0"/>
    <x v="0"/>
    <x v="0"/>
  </r>
  <r>
    <x v="0"/>
    <x v="0"/>
    <s v="Ctrl"/>
    <x v="0"/>
    <x v="2"/>
    <s v="ToTax"/>
    <x v="51"/>
    <n v="20527.259999999998"/>
    <b v="1"/>
    <n v="-20527.259999999998"/>
    <x v="1"/>
    <s v="Liability"/>
    <s v="Rec-Pay"/>
    <x v="0"/>
    <x v="0"/>
    <x v="1"/>
    <x v="11"/>
    <x v="2"/>
    <x v="0"/>
    <x v="0"/>
    <x v="0"/>
  </r>
  <r>
    <x v="0"/>
    <x v="0"/>
    <s v="Ctrl"/>
    <x v="0"/>
    <x v="2"/>
    <s v="ToTax"/>
    <x v="47"/>
    <n v="15935.56"/>
    <b v="1"/>
    <n v="-15935.56"/>
    <x v="1"/>
    <s v="Liability"/>
    <s v="Rec-Pay"/>
    <x v="0"/>
    <x v="0"/>
    <x v="1"/>
    <x v="11"/>
    <x v="2"/>
    <x v="0"/>
    <x v="0"/>
    <x v="0"/>
  </r>
  <r>
    <x v="0"/>
    <x v="0"/>
    <s v="Ctrl"/>
    <x v="0"/>
    <x v="2"/>
    <s v="ToTax"/>
    <x v="49"/>
    <n v="1309.8399999999999"/>
    <b v="1"/>
    <n v="-1309.8399999999999"/>
    <x v="1"/>
    <s v="Liability"/>
    <s v="Rec-Pay"/>
    <x v="0"/>
    <x v="0"/>
    <x v="1"/>
    <x v="11"/>
    <x v="2"/>
    <x v="0"/>
    <x v="0"/>
    <x v="0"/>
  </r>
  <r>
    <x v="0"/>
    <x v="0"/>
    <s v="Ctrl"/>
    <x v="0"/>
    <x v="2"/>
    <s v="ToEmp"/>
    <x v="52"/>
    <n v="18440"/>
    <b v="1"/>
    <n v="-18440"/>
    <x v="1"/>
    <s v="Liability"/>
    <s v="Rec-Pay"/>
    <x v="0"/>
    <x v="0"/>
    <x v="1"/>
    <x v="12"/>
    <x v="2"/>
    <x v="0"/>
    <x v="0"/>
    <x v="0"/>
  </r>
  <r>
    <x v="0"/>
    <x v="0"/>
    <s v="Ctrl"/>
    <x v="0"/>
    <x v="6"/>
    <s v="ToTax"/>
    <x v="47"/>
    <n v="12329.72"/>
    <b v="1"/>
    <n v="-12329.72"/>
    <x v="1"/>
    <s v="Liability"/>
    <s v="Rec-Pay"/>
    <x v="0"/>
    <x v="0"/>
    <x v="1"/>
    <x v="11"/>
    <x v="6"/>
    <x v="0"/>
    <x v="0"/>
    <x v="0"/>
  </r>
  <r>
    <x v="0"/>
    <x v="0"/>
    <s v="Ctrl"/>
    <x v="0"/>
    <x v="6"/>
    <s v="ToTax"/>
    <x v="49"/>
    <n v="856.77"/>
    <b v="1"/>
    <n v="-856.77"/>
    <x v="1"/>
    <s v="Liability"/>
    <s v="Rec-Pay"/>
    <x v="0"/>
    <x v="0"/>
    <x v="1"/>
    <x v="11"/>
    <x v="6"/>
    <x v="0"/>
    <x v="0"/>
    <x v="0"/>
  </r>
  <r>
    <x v="0"/>
    <x v="0"/>
    <s v="Ctrl"/>
    <x v="0"/>
    <x v="6"/>
    <s v="ToTax"/>
    <x v="50"/>
    <n v="72.72"/>
    <b v="1"/>
    <n v="-72.72"/>
    <x v="1"/>
    <s v="Liability"/>
    <s v="Rec-Pay"/>
    <x v="0"/>
    <x v="0"/>
    <x v="1"/>
    <x v="11"/>
    <x v="6"/>
    <x v="0"/>
    <x v="0"/>
    <x v="0"/>
  </r>
  <r>
    <x v="0"/>
    <x v="0"/>
    <s v="Ctrl"/>
    <x v="0"/>
    <x v="6"/>
    <s v="ToTax"/>
    <x v="51"/>
    <n v="17202.16"/>
    <b v="1"/>
    <n v="-17202.16"/>
    <x v="1"/>
    <s v="Liability"/>
    <s v="Rec-Pay"/>
    <x v="0"/>
    <x v="0"/>
    <x v="1"/>
    <x v="11"/>
    <x v="6"/>
    <x v="0"/>
    <x v="0"/>
    <x v="0"/>
  </r>
  <r>
    <x v="0"/>
    <x v="0"/>
    <s v="Ctrl"/>
    <x v="0"/>
    <x v="6"/>
    <s v="ToEmp"/>
    <x v="52"/>
    <n v="156507.97"/>
    <b v="1"/>
    <n v="-156507.97"/>
    <x v="1"/>
    <s v="Liability"/>
    <s v="Rec-Pay"/>
    <x v="0"/>
    <x v="0"/>
    <x v="1"/>
    <x v="12"/>
    <x v="6"/>
    <x v="0"/>
    <x v="0"/>
    <x v="0"/>
  </r>
  <r>
    <x v="0"/>
    <x v="0"/>
    <s v="Ctrl"/>
    <x v="0"/>
    <x v="6"/>
    <s v="MemShip"/>
    <x v="55"/>
    <n v="268736.28000000003"/>
    <b v="1"/>
    <n v="-268736.28000000003"/>
    <x v="1"/>
    <s v="Liability"/>
    <s v="Cash alike"/>
    <x v="0"/>
    <x v="0"/>
    <x v="0"/>
    <x v="14"/>
    <x v="6"/>
    <x v="0"/>
    <x v="0"/>
    <x v="0"/>
  </r>
  <r>
    <x v="0"/>
    <x v="0"/>
    <s v="Ctrl"/>
    <x v="0"/>
    <x v="7"/>
    <s v="ToTax"/>
    <x v="56"/>
    <n v="12351.18"/>
    <b v="1"/>
    <n v="-12351.18"/>
    <x v="1"/>
    <s v="Liability"/>
    <s v="Rec-Pay"/>
    <x v="0"/>
    <x v="0"/>
    <x v="1"/>
    <x v="11"/>
    <x v="7"/>
    <x v="0"/>
    <x v="0"/>
    <x v="0"/>
  </r>
  <r>
    <x v="0"/>
    <x v="0"/>
    <s v="Ctrl"/>
    <x v="0"/>
    <x v="7"/>
    <s v="ToEmp"/>
    <x v="52"/>
    <n v="112127.37"/>
    <b v="1"/>
    <n v="-112127.37"/>
    <x v="1"/>
    <s v="Liability"/>
    <s v="Rec-Pay"/>
    <x v="0"/>
    <x v="0"/>
    <x v="1"/>
    <x v="12"/>
    <x v="7"/>
    <x v="0"/>
    <x v="0"/>
    <x v="0"/>
  </r>
  <r>
    <x v="0"/>
    <x v="0"/>
    <s v="Ctrl"/>
    <x v="0"/>
    <x v="7"/>
    <s v="MemShip"/>
    <x v="57"/>
    <n v="389468.04000000004"/>
    <b v="1"/>
    <n v="-389468.04000000004"/>
    <x v="1"/>
    <s v="Liability"/>
    <s v="Cash alike"/>
    <x v="0"/>
    <x v="0"/>
    <x v="0"/>
    <x v="14"/>
    <x v="7"/>
    <x v="0"/>
    <x v="0"/>
    <x v="0"/>
  </r>
  <r>
    <x v="0"/>
    <x v="0"/>
    <s v="Ctrl"/>
    <x v="0"/>
    <x v="7"/>
    <s v="ToOther"/>
    <x v="58"/>
    <n v="5997.5"/>
    <b v="1"/>
    <n v="-5997.5"/>
    <x v="1"/>
    <s v="Liability"/>
    <s v="Rec-Pay"/>
    <x v="0"/>
    <x v="0"/>
    <x v="1"/>
    <x v="13"/>
    <x v="7"/>
    <x v="0"/>
    <x v="0"/>
    <x v="0"/>
  </r>
  <r>
    <x v="0"/>
    <x v="0"/>
    <s v="Ctrl"/>
    <x v="0"/>
    <x v="7"/>
    <s v="AP"/>
    <x v="59"/>
    <n v="25551.3"/>
    <b v="1"/>
    <n v="-25551.3"/>
    <x v="1"/>
    <s v="Liability"/>
    <s v="Rec-Pay"/>
    <x v="0"/>
    <x v="0"/>
    <x v="1"/>
    <x v="10"/>
    <x v="7"/>
    <x v="0"/>
    <x v="0"/>
    <x v="0"/>
  </r>
  <r>
    <x v="0"/>
    <x v="0"/>
    <s v="Ctrl"/>
    <x v="0"/>
    <x v="7"/>
    <s v="APIC"/>
    <x v="60"/>
    <n v="14402045"/>
    <b v="1"/>
    <n v="-14402045"/>
    <x v="1"/>
    <s v="Equity"/>
    <s v="Cap"/>
    <x v="0"/>
    <x v="0"/>
    <x v="6"/>
    <x v="15"/>
    <x v="7"/>
    <x v="0"/>
    <x v="0"/>
    <x v="0"/>
  </r>
  <r>
    <x v="0"/>
    <x v="0"/>
    <s v="Ctrl"/>
    <x v="0"/>
    <x v="0"/>
    <s v="Common"/>
    <x v="61"/>
    <n v="1000000"/>
    <b v="1"/>
    <n v="-1000000"/>
    <x v="1"/>
    <s v="Equity"/>
    <s v="Cap"/>
    <x v="0"/>
    <x v="0"/>
    <x v="6"/>
    <x v="16"/>
    <x v="0"/>
    <x v="0"/>
    <x v="0"/>
    <x v="0"/>
  </r>
  <r>
    <x v="0"/>
    <x v="0"/>
    <s v="Ctrl"/>
    <x v="0"/>
    <x v="6"/>
    <s v="Common"/>
    <x v="61"/>
    <n v="100000"/>
    <b v="1"/>
    <n v="-100000"/>
    <x v="1"/>
    <s v="Equity"/>
    <s v="Cap"/>
    <x v="0"/>
    <x v="0"/>
    <x v="6"/>
    <x v="16"/>
    <x v="6"/>
    <x v="0"/>
    <x v="0"/>
    <x v="0"/>
  </r>
  <r>
    <x v="0"/>
    <x v="0"/>
    <s v="Ctrl"/>
    <x v="0"/>
    <x v="3"/>
    <s v="Common"/>
    <x v="61"/>
    <n v="100000"/>
    <b v="1"/>
    <n v="-100000"/>
    <x v="1"/>
    <s v="Equity"/>
    <s v="Cap"/>
    <x v="0"/>
    <x v="0"/>
    <x v="6"/>
    <x v="16"/>
    <x v="3"/>
    <x v="0"/>
    <x v="0"/>
    <x v="0"/>
  </r>
  <r>
    <x v="0"/>
    <x v="0"/>
    <s v="Ctrl"/>
    <x v="0"/>
    <x v="12"/>
    <s v="Common"/>
    <x v="61"/>
    <n v="500000"/>
    <b v="1"/>
    <n v="-500000"/>
    <x v="1"/>
    <s v="Equity"/>
    <s v="Cap"/>
    <x v="0"/>
    <x v="0"/>
    <x v="6"/>
    <x v="16"/>
    <x v="12"/>
    <x v="0"/>
    <x v="0"/>
    <x v="0"/>
  </r>
  <r>
    <x v="0"/>
    <x v="0"/>
    <s v="Ctrl"/>
    <x v="0"/>
    <x v="2"/>
    <s v="Common"/>
    <x v="61"/>
    <n v="100000"/>
    <b v="1"/>
    <n v="-100000"/>
    <x v="1"/>
    <s v="Equity"/>
    <s v="Cap"/>
    <x v="0"/>
    <x v="0"/>
    <x v="6"/>
    <x v="16"/>
    <x v="2"/>
    <x v="0"/>
    <x v="0"/>
    <x v="0"/>
  </r>
  <r>
    <x v="0"/>
    <x v="0"/>
    <s v="Ctrl"/>
    <x v="0"/>
    <x v="4"/>
    <s v="Common"/>
    <x v="61"/>
    <n v="13236191"/>
    <b v="1"/>
    <n v="-13236191"/>
    <x v="1"/>
    <s v="Equity"/>
    <s v="Cap"/>
    <x v="0"/>
    <x v="0"/>
    <x v="6"/>
    <x v="16"/>
    <x v="4"/>
    <x v="0"/>
    <x v="0"/>
    <x v="0"/>
  </r>
  <r>
    <x v="0"/>
    <x v="0"/>
    <s v="Ctrl"/>
    <x v="0"/>
    <x v="7"/>
    <s v="Common"/>
    <x v="61"/>
    <n v="10000000"/>
    <b v="1"/>
    <n v="-10000000"/>
    <x v="1"/>
    <s v="Equity"/>
    <s v="Cap"/>
    <x v="0"/>
    <x v="0"/>
    <x v="6"/>
    <x v="16"/>
    <x v="7"/>
    <x v="0"/>
    <x v="0"/>
    <x v="0"/>
  </r>
  <r>
    <x v="0"/>
    <x v="0"/>
    <s v="Ctrl"/>
    <x v="0"/>
    <x v="4"/>
    <s v="RE"/>
    <x v="62"/>
    <n v="8016166.0799999991"/>
    <b v="1"/>
    <n v="-8016166.0799999991"/>
    <x v="1"/>
    <s v="Equity"/>
    <s v="Rsv"/>
    <x v="0"/>
    <x v="0"/>
    <x v="7"/>
    <x v="17"/>
    <x v="4"/>
    <x v="0"/>
    <x v="0"/>
    <x v="0"/>
  </r>
  <r>
    <x v="0"/>
    <x v="0"/>
    <s v="Ctrl"/>
    <x v="0"/>
    <x v="1"/>
    <s v="ToOther"/>
    <x v="63"/>
    <n v="18258.900000000001"/>
    <b v="1"/>
    <n v="-18258.900000000001"/>
    <x v="1"/>
    <s v="Liability"/>
    <s v="Rec-Pay"/>
    <x v="0"/>
    <x v="0"/>
    <x v="1"/>
    <x v="13"/>
    <x v="1"/>
    <x v="0"/>
    <x v="0"/>
    <x v="0"/>
  </r>
  <r>
    <x v="1"/>
    <x v="0"/>
    <s v="Ctrl"/>
    <x v="1"/>
    <x v="7"/>
    <s v="APIC"/>
    <x v="64"/>
    <n v="548813.93000000005"/>
    <b v="1"/>
    <n v="-548813.93000000005"/>
    <x v="1"/>
    <s v="Equity"/>
    <s v="Cap"/>
    <x v="0"/>
    <x v="0"/>
    <x v="6"/>
    <x v="15"/>
    <x v="7"/>
    <x v="0"/>
    <x v="0"/>
    <x v="0"/>
  </r>
  <r>
    <x v="1"/>
    <x v="0"/>
    <s v="Ctrl"/>
    <x v="1"/>
    <x v="7"/>
    <s v="RE"/>
    <x v="62"/>
    <n v="-548813.93000000005"/>
    <b v="1"/>
    <n v="548813.93000000005"/>
    <x v="1"/>
    <s v="Equity"/>
    <s v="Rsv"/>
    <x v="0"/>
    <x v="0"/>
    <x v="7"/>
    <x v="17"/>
    <x v="7"/>
    <x v="0"/>
    <x v="0"/>
    <x v="0"/>
  </r>
  <r>
    <x v="2"/>
    <x v="0"/>
    <s v="Ctrl"/>
    <x v="1"/>
    <x v="0"/>
    <s v="Curr"/>
    <x v="38"/>
    <n v="-10513383.689999999"/>
    <b v="1"/>
    <n v="-10513383.689999999"/>
    <x v="0"/>
    <s v="Assets"/>
    <s v="Invtr"/>
    <x v="0"/>
    <x v="0"/>
    <x v="3"/>
    <x v="7"/>
    <x v="0"/>
    <x v="0"/>
    <x v="0"/>
    <x v="0"/>
  </r>
  <r>
    <x v="2"/>
    <x v="0"/>
    <s v="Ctrl"/>
    <x v="1"/>
    <x v="0"/>
    <s v="Curr"/>
    <x v="38"/>
    <n v="3926374.9699999997"/>
    <b v="1"/>
    <n v="3926374.9699999997"/>
    <x v="0"/>
    <s v="Assets"/>
    <s v="Invtr"/>
    <x v="0"/>
    <x v="0"/>
    <x v="3"/>
    <x v="7"/>
    <x v="0"/>
    <x v="0"/>
    <x v="0"/>
    <x v="0"/>
  </r>
  <r>
    <x v="2"/>
    <x v="0"/>
    <s v="Ctrl"/>
    <x v="1"/>
    <x v="0"/>
    <s v="Curr"/>
    <x v="65"/>
    <n v="2000000"/>
    <b v="1"/>
    <n v="2000000"/>
    <x v="0"/>
    <s v="Assets"/>
    <s v="Invtr"/>
    <x v="0"/>
    <x v="0"/>
    <x v="3"/>
    <x v="7"/>
    <x v="0"/>
    <x v="0"/>
    <x v="0"/>
    <x v="0"/>
  </r>
  <r>
    <x v="2"/>
    <x v="0"/>
    <s v="Ctrl"/>
    <x v="1"/>
    <x v="0"/>
    <s v="Old"/>
    <x v="66"/>
    <n v="7473076.1599999992"/>
    <b v="1"/>
    <n v="7473076.1599999992"/>
    <x v="0"/>
    <s v="Assets"/>
    <s v="Invtr"/>
    <x v="0"/>
    <x v="0"/>
    <x v="3"/>
    <x v="18"/>
    <x v="0"/>
    <x v="0"/>
    <x v="0"/>
    <x v="0"/>
  </r>
  <r>
    <x v="2"/>
    <x v="0"/>
    <s v="Ctrl"/>
    <x v="1"/>
    <x v="0"/>
    <s v="RE"/>
    <x v="62"/>
    <n v="2886067.4399999995"/>
    <b v="1"/>
    <n v="-2886067.4399999995"/>
    <x v="1"/>
    <s v="Equity"/>
    <s v="Rsv"/>
    <x v="0"/>
    <x v="0"/>
    <x v="7"/>
    <x v="17"/>
    <x v="0"/>
    <x v="0"/>
    <x v="0"/>
    <x v="0"/>
  </r>
  <r>
    <x v="3"/>
    <x v="0"/>
    <s v="Ctrl"/>
    <x v="2"/>
    <x v="0"/>
    <s v="Old"/>
    <x v="67"/>
    <n v="-7473076.1599999992"/>
    <b v="1"/>
    <n v="-7473076.1599999992"/>
    <x v="0"/>
    <s v="Assets"/>
    <s v="Invtr"/>
    <x v="0"/>
    <x v="0"/>
    <x v="3"/>
    <x v="18"/>
    <x v="0"/>
    <x v="0"/>
    <x v="0"/>
    <x v="0"/>
  </r>
  <r>
    <x v="3"/>
    <x v="0"/>
    <s v="Ctrl"/>
    <x v="2"/>
    <x v="0"/>
    <s v="RE"/>
    <x v="62"/>
    <n v="-7473076.1599999992"/>
    <b v="1"/>
    <n v="7473076.1599999992"/>
    <x v="1"/>
    <s v="Equity"/>
    <s v="Rsv"/>
    <x v="0"/>
    <x v="0"/>
    <x v="7"/>
    <x v="17"/>
    <x v="0"/>
    <x v="0"/>
    <x v="0"/>
    <x v="0"/>
  </r>
  <r>
    <x v="4"/>
    <x v="1"/>
    <s v="GM"/>
    <x v="3"/>
    <x v="2"/>
    <s v="Bank"/>
    <x v="2"/>
    <n v="-481.6"/>
    <b v="1"/>
    <n v="-481.6"/>
    <x v="0"/>
    <s v="Assets"/>
    <s v="Cash alike"/>
    <x v="1"/>
    <x v="1"/>
    <x v="0"/>
    <x v="0"/>
    <x v="2"/>
    <x v="1"/>
    <x v="0"/>
    <x v="0"/>
  </r>
  <r>
    <x v="5"/>
    <x v="1"/>
    <s v="Online"/>
    <x v="4"/>
    <x v="2"/>
    <s v="Order"/>
    <x v="35"/>
    <n v="38891.199999999997"/>
    <b v="1"/>
    <n v="38891.199999999997"/>
    <x v="0"/>
    <s v="Assets"/>
    <s v="Prep-Sub"/>
    <x v="2"/>
    <x v="1"/>
    <x v="2"/>
    <x v="6"/>
    <x v="2"/>
    <x v="2"/>
    <x v="0"/>
    <x v="0"/>
  </r>
  <r>
    <x v="5"/>
    <x v="1"/>
    <s v="Online"/>
    <x v="4"/>
    <x v="2"/>
    <s v="Bank"/>
    <x v="2"/>
    <n v="-38891.199999999997"/>
    <b v="1"/>
    <n v="-38891.199999999997"/>
    <x v="0"/>
    <s v="Assets"/>
    <s v="Cash alike"/>
    <x v="2"/>
    <x v="1"/>
    <x v="0"/>
    <x v="0"/>
    <x v="2"/>
    <x v="2"/>
    <x v="0"/>
    <x v="0"/>
  </r>
  <r>
    <x v="6"/>
    <x v="1"/>
    <s v="Online"/>
    <x v="5"/>
    <x v="0"/>
    <s v="Curr"/>
    <x v="38"/>
    <n v="52967.199999999997"/>
    <b v="1"/>
    <n v="52967.199999999997"/>
    <x v="0"/>
    <s v="Assets"/>
    <s v="Invtr"/>
    <x v="2"/>
    <x v="1"/>
    <x v="3"/>
    <x v="7"/>
    <x v="0"/>
    <x v="2"/>
    <x v="0"/>
    <x v="0"/>
  </r>
  <r>
    <x v="6"/>
    <x v="1"/>
    <s v="Online"/>
    <x v="5"/>
    <x v="2"/>
    <s v="Order"/>
    <x v="35"/>
    <n v="-52967.199999999997"/>
    <b v="1"/>
    <n v="-52967.199999999997"/>
    <x v="0"/>
    <s v="Assets"/>
    <s v="Prep-Sub"/>
    <x v="2"/>
    <x v="1"/>
    <x v="2"/>
    <x v="6"/>
    <x v="2"/>
    <x v="2"/>
    <x v="0"/>
    <x v="0"/>
  </r>
  <r>
    <x v="7"/>
    <x v="1"/>
    <s v="GM"/>
    <x v="6"/>
    <x v="2"/>
    <s v="FrOther"/>
    <x v="22"/>
    <n v="1431.45"/>
    <b v="1"/>
    <n v="1431.45"/>
    <x v="0"/>
    <s v="Assets"/>
    <s v="Rec-Pay"/>
    <x v="1"/>
    <x v="1"/>
    <x v="1"/>
    <x v="3"/>
    <x v="2"/>
    <x v="1"/>
    <x v="0"/>
    <x v="0"/>
  </r>
  <r>
    <x v="7"/>
    <x v="1"/>
    <s v="GM"/>
    <x v="6"/>
    <x v="2"/>
    <s v="Bank"/>
    <x v="2"/>
    <n v="-4913.7299999999996"/>
    <b v="1"/>
    <n v="-4913.7299999999996"/>
    <x v="0"/>
    <s v="Assets"/>
    <s v="Cash alike"/>
    <x v="1"/>
    <x v="1"/>
    <x v="0"/>
    <x v="0"/>
    <x v="2"/>
    <x v="1"/>
    <x v="0"/>
    <x v="0"/>
  </r>
  <r>
    <x v="8"/>
    <x v="1"/>
    <s v="Ctrl"/>
    <x v="7"/>
    <x v="2"/>
    <s v="Bank"/>
    <x v="2"/>
    <n v="-1800"/>
    <b v="1"/>
    <n v="-1800"/>
    <x v="0"/>
    <s v="Assets"/>
    <s v="Cash alike"/>
    <x v="0"/>
    <x v="0"/>
    <x v="0"/>
    <x v="0"/>
    <x v="2"/>
    <x v="0"/>
    <x v="0"/>
    <x v="0"/>
  </r>
  <r>
    <x v="8"/>
    <x v="1"/>
    <s v="Ctrl"/>
    <x v="7"/>
    <x v="1"/>
    <s v="Bank"/>
    <x v="1"/>
    <n v="1800"/>
    <b v="1"/>
    <n v="1800"/>
    <x v="0"/>
    <s v="Assets"/>
    <s v="Cash alike"/>
    <x v="0"/>
    <x v="0"/>
    <x v="0"/>
    <x v="0"/>
    <x v="1"/>
    <x v="0"/>
    <x v="0"/>
    <x v="0"/>
  </r>
  <r>
    <x v="9"/>
    <x v="1"/>
    <s v="Online"/>
    <x v="4"/>
    <x v="2"/>
    <s v="Order"/>
    <x v="35"/>
    <n v="33000"/>
    <b v="1"/>
    <n v="33000"/>
    <x v="0"/>
    <s v="Assets"/>
    <s v="Prep-Sub"/>
    <x v="2"/>
    <x v="1"/>
    <x v="2"/>
    <x v="6"/>
    <x v="2"/>
    <x v="2"/>
    <x v="0"/>
    <x v="0"/>
  </r>
  <r>
    <x v="9"/>
    <x v="1"/>
    <s v="Online"/>
    <x v="4"/>
    <x v="2"/>
    <s v="Bank"/>
    <x v="2"/>
    <n v="-33000"/>
    <b v="1"/>
    <n v="-33000"/>
    <x v="0"/>
    <s v="Assets"/>
    <s v="Cash alike"/>
    <x v="2"/>
    <x v="1"/>
    <x v="0"/>
    <x v="0"/>
    <x v="2"/>
    <x v="2"/>
    <x v="0"/>
    <x v="0"/>
  </r>
  <r>
    <x v="10"/>
    <x v="1"/>
    <s v="GM"/>
    <x v="8"/>
    <x v="2"/>
    <s v="ToTax"/>
    <x v="54"/>
    <n v="-40000"/>
    <b v="1"/>
    <n v="40000"/>
    <x v="1"/>
    <s v="Liability"/>
    <s v="Rec-Pay"/>
    <x v="1"/>
    <x v="1"/>
    <x v="1"/>
    <x v="11"/>
    <x v="2"/>
    <x v="1"/>
    <x v="0"/>
    <x v="0"/>
  </r>
  <r>
    <x v="10"/>
    <x v="1"/>
    <s v="GM"/>
    <x v="8"/>
    <x v="2"/>
    <s v="Bank"/>
    <x v="2"/>
    <n v="-40000"/>
    <b v="1"/>
    <n v="-40000"/>
    <x v="0"/>
    <s v="Assets"/>
    <s v="Cash alike"/>
    <x v="1"/>
    <x v="1"/>
    <x v="0"/>
    <x v="0"/>
    <x v="2"/>
    <x v="1"/>
    <x v="0"/>
    <x v="0"/>
  </r>
  <r>
    <x v="11"/>
    <x v="1"/>
    <s v="GM"/>
    <x v="8"/>
    <x v="2"/>
    <s v="ToEmp"/>
    <x v="52"/>
    <n v="-18440"/>
    <b v="1"/>
    <n v="18440"/>
    <x v="1"/>
    <s v="Liability"/>
    <s v="Rec-Pay"/>
    <x v="1"/>
    <x v="1"/>
    <x v="1"/>
    <x v="12"/>
    <x v="2"/>
    <x v="1"/>
    <x v="0"/>
    <x v="0"/>
  </r>
  <r>
    <x v="11"/>
    <x v="1"/>
    <s v="GM"/>
    <x v="8"/>
    <x v="2"/>
    <s v="Bank"/>
    <x v="2"/>
    <n v="-16946.37"/>
    <b v="1"/>
    <n v="-16946.37"/>
    <x v="0"/>
    <s v="Assets"/>
    <s v="Cash alike"/>
    <x v="1"/>
    <x v="1"/>
    <x v="0"/>
    <x v="0"/>
    <x v="2"/>
    <x v="1"/>
    <x v="0"/>
    <x v="0"/>
  </r>
  <r>
    <x v="11"/>
    <x v="1"/>
    <s v="GM"/>
    <x v="8"/>
    <x v="2"/>
    <s v="FrOther"/>
    <x v="22"/>
    <n v="-1431.45"/>
    <b v="1"/>
    <n v="-1431.45"/>
    <x v="0"/>
    <s v="Assets"/>
    <s v="Rec-Pay"/>
    <x v="1"/>
    <x v="1"/>
    <x v="1"/>
    <x v="3"/>
    <x v="2"/>
    <x v="1"/>
    <x v="0"/>
    <x v="0"/>
  </r>
  <r>
    <x v="11"/>
    <x v="1"/>
    <s v="GM"/>
    <x v="8"/>
    <x v="2"/>
    <s v="ToTax"/>
    <x v="54"/>
    <n v="62.18"/>
    <b v="1"/>
    <n v="-62.18"/>
    <x v="1"/>
    <s v="Liability"/>
    <s v="Rec-Pay"/>
    <x v="1"/>
    <x v="1"/>
    <x v="1"/>
    <x v="11"/>
    <x v="2"/>
    <x v="1"/>
    <x v="0"/>
    <x v="0"/>
  </r>
  <r>
    <x v="12"/>
    <x v="1"/>
    <s v="GM"/>
    <x v="8"/>
    <x v="2"/>
    <s v="ToTax"/>
    <x v="54"/>
    <n v="-62.18"/>
    <b v="1"/>
    <n v="62.18"/>
    <x v="1"/>
    <s v="Liability"/>
    <s v="Rec-Pay"/>
    <x v="1"/>
    <x v="1"/>
    <x v="1"/>
    <x v="11"/>
    <x v="2"/>
    <x v="1"/>
    <x v="0"/>
    <x v="0"/>
  </r>
  <r>
    <x v="12"/>
    <x v="1"/>
    <s v="GM"/>
    <x v="8"/>
    <x v="2"/>
    <s v="Bank"/>
    <x v="2"/>
    <n v="-62.18"/>
    <b v="1"/>
    <n v="-62.18"/>
    <x v="0"/>
    <s v="Assets"/>
    <s v="Cash alike"/>
    <x v="1"/>
    <x v="1"/>
    <x v="0"/>
    <x v="0"/>
    <x v="2"/>
    <x v="1"/>
    <x v="0"/>
    <x v="0"/>
  </r>
  <r>
    <x v="13"/>
    <x v="1"/>
    <s v="Online"/>
    <x v="9"/>
    <x v="2"/>
    <s v="Bank"/>
    <x v="2"/>
    <n v="-655"/>
    <b v="1"/>
    <n v="-655"/>
    <x v="0"/>
    <s v="Assets"/>
    <s v="Cash alike"/>
    <x v="1"/>
    <x v="1"/>
    <x v="0"/>
    <x v="0"/>
    <x v="2"/>
    <x v="2"/>
    <x v="0"/>
    <x v="0"/>
  </r>
  <r>
    <x v="14"/>
    <x v="1"/>
    <s v="Ctrl"/>
    <x v="8"/>
    <x v="2"/>
    <s v="ToTax"/>
    <x v="47"/>
    <n v="-15935.52"/>
    <b v="1"/>
    <n v="15935.52"/>
    <x v="1"/>
    <s v="Liability"/>
    <s v="Rec-Pay"/>
    <x v="1"/>
    <x v="1"/>
    <x v="1"/>
    <x v="11"/>
    <x v="2"/>
    <x v="0"/>
    <x v="0"/>
    <x v="0"/>
  </r>
  <r>
    <x v="14"/>
    <x v="1"/>
    <s v="Ctrl"/>
    <x v="8"/>
    <x v="2"/>
    <s v="ToTax"/>
    <x v="49"/>
    <n v="-1309.8399999999999"/>
    <b v="1"/>
    <n v="1309.8399999999999"/>
    <x v="1"/>
    <s v="Liability"/>
    <s v="Rec-Pay"/>
    <x v="1"/>
    <x v="1"/>
    <x v="1"/>
    <x v="11"/>
    <x v="2"/>
    <x v="0"/>
    <x v="0"/>
    <x v="0"/>
  </r>
  <r>
    <x v="14"/>
    <x v="1"/>
    <s v="Ctrl"/>
    <x v="8"/>
    <x v="2"/>
    <s v="ToTax"/>
    <x v="51"/>
    <n v="-20527.259999999998"/>
    <b v="1"/>
    <n v="20527.259999999998"/>
    <x v="1"/>
    <s v="Liability"/>
    <s v="Rec-Pay"/>
    <x v="1"/>
    <x v="1"/>
    <x v="1"/>
    <x v="11"/>
    <x v="2"/>
    <x v="0"/>
    <x v="0"/>
    <x v="0"/>
  </r>
  <r>
    <x v="14"/>
    <x v="1"/>
    <s v="Ctrl"/>
    <x v="8"/>
    <x v="2"/>
    <s v="Bank"/>
    <x v="2"/>
    <n v="-37772.620000000003"/>
    <b v="1"/>
    <n v="-37772.620000000003"/>
    <x v="0"/>
    <s v="Assets"/>
    <s v="Cash alike"/>
    <x v="1"/>
    <x v="1"/>
    <x v="0"/>
    <x v="0"/>
    <x v="2"/>
    <x v="0"/>
    <x v="0"/>
    <x v="0"/>
  </r>
  <r>
    <x v="15"/>
    <x v="1"/>
    <s v="Online"/>
    <x v="4"/>
    <x v="2"/>
    <s v="Order"/>
    <x v="35"/>
    <n v="36301.5"/>
    <b v="1"/>
    <n v="36301.5"/>
    <x v="0"/>
    <s v="Assets"/>
    <s v="Prep-Sub"/>
    <x v="2"/>
    <x v="1"/>
    <x v="2"/>
    <x v="6"/>
    <x v="2"/>
    <x v="2"/>
    <x v="0"/>
    <x v="0"/>
  </r>
  <r>
    <x v="15"/>
    <x v="1"/>
    <s v="Online"/>
    <x v="4"/>
    <x v="2"/>
    <s v="Bank"/>
    <x v="2"/>
    <n v="-36301.5"/>
    <b v="1"/>
    <n v="-36301.5"/>
    <x v="0"/>
    <s v="Assets"/>
    <s v="Cash alike"/>
    <x v="2"/>
    <x v="1"/>
    <x v="0"/>
    <x v="0"/>
    <x v="2"/>
    <x v="2"/>
    <x v="0"/>
    <x v="0"/>
  </r>
  <r>
    <x v="16"/>
    <x v="1"/>
    <s v="Online"/>
    <x v="5"/>
    <x v="0"/>
    <s v="Curr"/>
    <x v="38"/>
    <n v="48363"/>
    <b v="1"/>
    <n v="48363"/>
    <x v="0"/>
    <s v="Assets"/>
    <s v="Invtr"/>
    <x v="2"/>
    <x v="1"/>
    <x v="3"/>
    <x v="7"/>
    <x v="0"/>
    <x v="2"/>
    <x v="0"/>
    <x v="0"/>
  </r>
  <r>
    <x v="16"/>
    <x v="1"/>
    <s v="Online"/>
    <x v="5"/>
    <x v="2"/>
    <s v="Order"/>
    <x v="35"/>
    <n v="-48363"/>
    <b v="1"/>
    <n v="-48363"/>
    <x v="0"/>
    <s v="Assets"/>
    <s v="Prep-Sub"/>
    <x v="2"/>
    <x v="1"/>
    <x v="2"/>
    <x v="6"/>
    <x v="2"/>
    <x v="2"/>
    <x v="0"/>
    <x v="0"/>
  </r>
  <r>
    <x v="17"/>
    <x v="1"/>
    <s v="Online"/>
    <x v="4"/>
    <x v="2"/>
    <s v="Order"/>
    <x v="35"/>
    <n v="82225"/>
    <b v="1"/>
    <n v="82225"/>
    <x v="0"/>
    <s v="Assets"/>
    <s v="Prep-Sub"/>
    <x v="2"/>
    <x v="1"/>
    <x v="2"/>
    <x v="6"/>
    <x v="2"/>
    <x v="2"/>
    <x v="0"/>
    <x v="0"/>
  </r>
  <r>
    <x v="17"/>
    <x v="1"/>
    <s v="Online"/>
    <x v="4"/>
    <x v="2"/>
    <s v="Bank"/>
    <x v="2"/>
    <n v="-82225"/>
    <b v="1"/>
    <n v="-82225"/>
    <x v="0"/>
    <s v="Assets"/>
    <s v="Cash alike"/>
    <x v="2"/>
    <x v="1"/>
    <x v="0"/>
    <x v="0"/>
    <x v="2"/>
    <x v="2"/>
    <x v="0"/>
    <x v="0"/>
  </r>
  <r>
    <x v="18"/>
    <x v="1"/>
    <s v="Online"/>
    <x v="5"/>
    <x v="0"/>
    <s v="Curr"/>
    <x v="38"/>
    <n v="82225"/>
    <b v="1"/>
    <n v="82225"/>
    <x v="0"/>
    <s v="Assets"/>
    <s v="Invtr"/>
    <x v="2"/>
    <x v="1"/>
    <x v="3"/>
    <x v="7"/>
    <x v="0"/>
    <x v="2"/>
    <x v="0"/>
    <x v="0"/>
  </r>
  <r>
    <x v="18"/>
    <x v="1"/>
    <s v="Online"/>
    <x v="5"/>
    <x v="2"/>
    <s v="Order"/>
    <x v="35"/>
    <n v="-82225"/>
    <b v="1"/>
    <n v="-82225"/>
    <x v="0"/>
    <s v="Assets"/>
    <s v="Prep-Sub"/>
    <x v="2"/>
    <x v="1"/>
    <x v="2"/>
    <x v="6"/>
    <x v="2"/>
    <x v="2"/>
    <x v="0"/>
    <x v="0"/>
  </r>
  <r>
    <x v="19"/>
    <x v="1"/>
    <s v="Online"/>
    <x v="10"/>
    <x v="2"/>
    <s v="Bank"/>
    <x v="2"/>
    <n v="2917.8"/>
    <b v="1"/>
    <n v="2917.8"/>
    <x v="0"/>
    <s v="Assets"/>
    <s v="Cash alike"/>
    <x v="3"/>
    <x v="1"/>
    <x v="0"/>
    <x v="0"/>
    <x v="2"/>
    <x v="2"/>
    <x v="0"/>
    <x v="0"/>
  </r>
  <r>
    <x v="20"/>
    <x v="1"/>
    <s v="Online"/>
    <x v="10"/>
    <x v="2"/>
    <s v="Bank"/>
    <x v="2"/>
    <n v="19873.7"/>
    <b v="1"/>
    <n v="19873.7"/>
    <x v="0"/>
    <s v="Assets"/>
    <s v="Cash alike"/>
    <x v="3"/>
    <x v="1"/>
    <x v="0"/>
    <x v="0"/>
    <x v="2"/>
    <x v="2"/>
    <x v="0"/>
    <x v="0"/>
  </r>
  <r>
    <x v="21"/>
    <x v="1"/>
    <s v="Online"/>
    <x v="4"/>
    <x v="2"/>
    <s v="Order"/>
    <x v="35"/>
    <n v="12408"/>
    <b v="1"/>
    <n v="12408"/>
    <x v="0"/>
    <s v="Assets"/>
    <s v="Prep-Sub"/>
    <x v="2"/>
    <x v="1"/>
    <x v="2"/>
    <x v="6"/>
    <x v="2"/>
    <x v="2"/>
    <x v="0"/>
    <x v="0"/>
  </r>
  <r>
    <x v="21"/>
    <x v="1"/>
    <s v="Online"/>
    <x v="4"/>
    <x v="2"/>
    <s v="Bank"/>
    <x v="2"/>
    <n v="-12408"/>
    <b v="1"/>
    <n v="-12408"/>
    <x v="0"/>
    <s v="Assets"/>
    <s v="Cash alike"/>
    <x v="2"/>
    <x v="1"/>
    <x v="0"/>
    <x v="0"/>
    <x v="2"/>
    <x v="2"/>
    <x v="0"/>
    <x v="0"/>
  </r>
  <r>
    <x v="22"/>
    <x v="1"/>
    <s v="Ctrl"/>
    <x v="7"/>
    <x v="2"/>
    <s v="Bank"/>
    <x v="2"/>
    <n v="421668.55"/>
    <b v="1"/>
    <n v="421668.55"/>
    <x v="0"/>
    <s v="Assets"/>
    <s v="Cash alike"/>
    <x v="0"/>
    <x v="0"/>
    <x v="0"/>
    <x v="0"/>
    <x v="2"/>
    <x v="0"/>
    <x v="0"/>
    <x v="0"/>
  </r>
  <r>
    <x v="22"/>
    <x v="1"/>
    <s v="Ctrl"/>
    <x v="7"/>
    <x v="0"/>
    <s v="Bank"/>
    <x v="0"/>
    <n v="-421668.55"/>
    <b v="1"/>
    <n v="-421668.55"/>
    <x v="0"/>
    <s v="Assets"/>
    <s v="Cash alike"/>
    <x v="0"/>
    <x v="0"/>
    <x v="0"/>
    <x v="0"/>
    <x v="0"/>
    <x v="0"/>
    <x v="0"/>
    <x v="0"/>
  </r>
  <r>
    <x v="23"/>
    <x v="1"/>
    <s v="Ctrl"/>
    <x v="7"/>
    <x v="2"/>
    <s v="Bank"/>
    <x v="2"/>
    <n v="-180000"/>
    <b v="1"/>
    <n v="-180000"/>
    <x v="0"/>
    <s v="Assets"/>
    <s v="Cash alike"/>
    <x v="0"/>
    <x v="0"/>
    <x v="0"/>
    <x v="0"/>
    <x v="2"/>
    <x v="0"/>
    <x v="0"/>
    <x v="0"/>
  </r>
  <r>
    <x v="23"/>
    <x v="1"/>
    <s v="Ctrl"/>
    <x v="7"/>
    <x v="1"/>
    <s v="Bank"/>
    <x v="1"/>
    <n v="180000"/>
    <b v="1"/>
    <n v="180000"/>
    <x v="0"/>
    <s v="Assets"/>
    <s v="Cash alike"/>
    <x v="0"/>
    <x v="0"/>
    <x v="0"/>
    <x v="0"/>
    <x v="1"/>
    <x v="0"/>
    <x v="0"/>
    <x v="0"/>
  </r>
  <r>
    <x v="24"/>
    <x v="1"/>
    <s v="Online"/>
    <x v="11"/>
    <x v="2"/>
    <s v="Bank"/>
    <x v="2"/>
    <n v="-9960"/>
    <b v="1"/>
    <n v="-9960"/>
    <x v="0"/>
    <s v="Assets"/>
    <s v="Cash alike"/>
    <x v="2"/>
    <x v="1"/>
    <x v="0"/>
    <x v="0"/>
    <x v="2"/>
    <x v="2"/>
    <x v="0"/>
    <x v="0"/>
  </r>
  <r>
    <x v="24"/>
    <x v="1"/>
    <s v="Online"/>
    <x v="11"/>
    <x v="0"/>
    <s v="Curr"/>
    <x v="38"/>
    <n v="9960"/>
    <b v="1"/>
    <n v="9960"/>
    <x v="0"/>
    <s v="Assets"/>
    <s v="Invtr"/>
    <x v="2"/>
    <x v="1"/>
    <x v="3"/>
    <x v="7"/>
    <x v="0"/>
    <x v="2"/>
    <x v="0"/>
    <x v="0"/>
  </r>
  <r>
    <x v="25"/>
    <x v="1"/>
    <s v="Online"/>
    <x v="9"/>
    <x v="2"/>
    <s v="Bank"/>
    <x v="2"/>
    <n v="-2153.5"/>
    <b v="1"/>
    <n v="-2153.5"/>
    <x v="0"/>
    <s v="Assets"/>
    <s v="Cash alike"/>
    <x v="1"/>
    <x v="1"/>
    <x v="0"/>
    <x v="0"/>
    <x v="2"/>
    <x v="2"/>
    <x v="0"/>
    <x v="0"/>
  </r>
  <r>
    <x v="26"/>
    <x v="1"/>
    <s v="Ctrl"/>
    <x v="7"/>
    <x v="2"/>
    <s v="Bank"/>
    <x v="2"/>
    <n v="-200000"/>
    <b v="1"/>
    <n v="-200000"/>
    <x v="0"/>
    <s v="Assets"/>
    <s v="Cash alike"/>
    <x v="0"/>
    <x v="0"/>
    <x v="0"/>
    <x v="0"/>
    <x v="2"/>
    <x v="0"/>
    <x v="0"/>
    <x v="0"/>
  </r>
  <r>
    <x v="26"/>
    <x v="1"/>
    <s v="Ctrl"/>
    <x v="7"/>
    <x v="1"/>
    <s v="Bank"/>
    <x v="1"/>
    <n v="200000"/>
    <b v="1"/>
    <n v="200000"/>
    <x v="0"/>
    <s v="Assets"/>
    <s v="Cash alike"/>
    <x v="0"/>
    <x v="0"/>
    <x v="0"/>
    <x v="0"/>
    <x v="1"/>
    <x v="0"/>
    <x v="0"/>
    <x v="0"/>
  </r>
  <r>
    <x v="27"/>
    <x v="1"/>
    <s v="Online"/>
    <x v="4"/>
    <x v="2"/>
    <s v="Order"/>
    <x v="35"/>
    <n v="37000"/>
    <b v="1"/>
    <n v="37000"/>
    <x v="0"/>
    <s v="Assets"/>
    <s v="Prep-Sub"/>
    <x v="2"/>
    <x v="1"/>
    <x v="2"/>
    <x v="6"/>
    <x v="2"/>
    <x v="2"/>
    <x v="0"/>
    <x v="0"/>
  </r>
  <r>
    <x v="27"/>
    <x v="1"/>
    <s v="Online"/>
    <x v="4"/>
    <x v="2"/>
    <s v="Bank"/>
    <x v="2"/>
    <n v="-37000"/>
    <b v="1"/>
    <n v="-37000"/>
    <x v="0"/>
    <s v="Assets"/>
    <s v="Cash alike"/>
    <x v="2"/>
    <x v="1"/>
    <x v="0"/>
    <x v="0"/>
    <x v="2"/>
    <x v="2"/>
    <x v="0"/>
    <x v="0"/>
  </r>
  <r>
    <x v="28"/>
    <x v="1"/>
    <s v="Online"/>
    <x v="12"/>
    <x v="2"/>
    <s v="ToTax"/>
    <x v="47"/>
    <n v="4400.6000000000004"/>
    <b v="1"/>
    <n v="-4400.6000000000004"/>
    <x v="1"/>
    <s v="Liability"/>
    <s v="Rec-Pay"/>
    <x v="2"/>
    <x v="1"/>
    <x v="1"/>
    <x v="11"/>
    <x v="2"/>
    <x v="2"/>
    <x v="0"/>
    <x v="0"/>
  </r>
  <r>
    <x v="29"/>
    <x v="1"/>
    <s v="Online"/>
    <x v="4"/>
    <x v="2"/>
    <s v="Order"/>
    <x v="35"/>
    <n v="53395"/>
    <b v="1"/>
    <n v="53395"/>
    <x v="0"/>
    <s v="Assets"/>
    <s v="Prep-Sub"/>
    <x v="2"/>
    <x v="1"/>
    <x v="2"/>
    <x v="6"/>
    <x v="2"/>
    <x v="2"/>
    <x v="0"/>
    <x v="0"/>
  </r>
  <r>
    <x v="29"/>
    <x v="1"/>
    <s v="Online"/>
    <x v="4"/>
    <x v="2"/>
    <s v="Bank"/>
    <x v="2"/>
    <n v="-53395"/>
    <b v="1"/>
    <n v="-53395"/>
    <x v="0"/>
    <s v="Assets"/>
    <s v="Cash alike"/>
    <x v="2"/>
    <x v="1"/>
    <x v="0"/>
    <x v="0"/>
    <x v="2"/>
    <x v="2"/>
    <x v="0"/>
    <x v="0"/>
  </r>
  <r>
    <x v="30"/>
    <x v="1"/>
    <s v="Online"/>
    <x v="5"/>
    <x v="0"/>
    <s v="Curr"/>
    <x v="38"/>
    <n v="77395"/>
    <b v="1"/>
    <n v="77395"/>
    <x v="0"/>
    <s v="Assets"/>
    <s v="Invtr"/>
    <x v="2"/>
    <x v="1"/>
    <x v="3"/>
    <x v="7"/>
    <x v="0"/>
    <x v="2"/>
    <x v="0"/>
    <x v="0"/>
  </r>
  <r>
    <x v="30"/>
    <x v="1"/>
    <s v="Online"/>
    <x v="5"/>
    <x v="2"/>
    <s v="Order"/>
    <x v="35"/>
    <n v="-77395"/>
    <b v="1"/>
    <n v="-77395"/>
    <x v="0"/>
    <s v="Assets"/>
    <s v="Prep-Sub"/>
    <x v="2"/>
    <x v="1"/>
    <x v="2"/>
    <x v="6"/>
    <x v="2"/>
    <x v="2"/>
    <x v="0"/>
    <x v="0"/>
  </r>
  <r>
    <x v="31"/>
    <x v="1"/>
    <s v="Online"/>
    <x v="4"/>
    <x v="2"/>
    <s v="Order"/>
    <x v="35"/>
    <n v="40993"/>
    <b v="1"/>
    <n v="40993"/>
    <x v="0"/>
    <s v="Assets"/>
    <s v="Prep-Sub"/>
    <x v="2"/>
    <x v="1"/>
    <x v="2"/>
    <x v="6"/>
    <x v="2"/>
    <x v="2"/>
    <x v="0"/>
    <x v="0"/>
  </r>
  <r>
    <x v="31"/>
    <x v="1"/>
    <s v="Online"/>
    <x v="4"/>
    <x v="2"/>
    <s v="Bank"/>
    <x v="2"/>
    <n v="-40993"/>
    <b v="1"/>
    <n v="-40993"/>
    <x v="0"/>
    <s v="Assets"/>
    <s v="Cash alike"/>
    <x v="2"/>
    <x v="1"/>
    <x v="0"/>
    <x v="0"/>
    <x v="2"/>
    <x v="2"/>
    <x v="0"/>
    <x v="0"/>
  </r>
  <r>
    <x v="32"/>
    <x v="1"/>
    <s v="Online"/>
    <x v="5"/>
    <x v="0"/>
    <s v="Curr"/>
    <x v="38"/>
    <n v="40993"/>
    <b v="1"/>
    <n v="40993"/>
    <x v="0"/>
    <s v="Assets"/>
    <s v="Invtr"/>
    <x v="2"/>
    <x v="1"/>
    <x v="3"/>
    <x v="7"/>
    <x v="0"/>
    <x v="2"/>
    <x v="0"/>
    <x v="0"/>
  </r>
  <r>
    <x v="32"/>
    <x v="1"/>
    <s v="Online"/>
    <x v="5"/>
    <x v="2"/>
    <s v="Order"/>
    <x v="35"/>
    <n v="-40993"/>
    <b v="1"/>
    <n v="-40993"/>
    <x v="0"/>
    <s v="Assets"/>
    <s v="Prep-Sub"/>
    <x v="2"/>
    <x v="1"/>
    <x v="2"/>
    <x v="6"/>
    <x v="2"/>
    <x v="2"/>
    <x v="0"/>
    <x v="0"/>
  </r>
  <r>
    <x v="33"/>
    <x v="1"/>
    <s v="GM"/>
    <x v="13"/>
    <x v="2"/>
    <s v="Bank"/>
    <x v="2"/>
    <n v="-107"/>
    <b v="1"/>
    <n v="-107"/>
    <x v="0"/>
    <s v="Assets"/>
    <s v="Cash alike"/>
    <x v="1"/>
    <x v="1"/>
    <x v="0"/>
    <x v="0"/>
    <x v="2"/>
    <x v="1"/>
    <x v="0"/>
    <x v="0"/>
  </r>
  <r>
    <x v="34"/>
    <x v="1"/>
    <s v="GM"/>
    <x v="14"/>
    <x v="2"/>
    <s v="ToEmp"/>
    <x v="52"/>
    <n v="8646.67"/>
    <b v="1"/>
    <n v="-8646.67"/>
    <x v="1"/>
    <s v="Liability"/>
    <s v="Rec-Pay"/>
    <x v="1"/>
    <x v="1"/>
    <x v="1"/>
    <x v="12"/>
    <x v="2"/>
    <x v="1"/>
    <x v="0"/>
    <x v="0"/>
  </r>
  <r>
    <x v="35"/>
    <x v="1"/>
    <s v="Online"/>
    <x v="14"/>
    <x v="2"/>
    <s v="ToEmp"/>
    <x v="52"/>
    <n v="8106.66"/>
    <b v="1"/>
    <n v="-8106.66"/>
    <x v="1"/>
    <s v="Liability"/>
    <s v="Rec-Pay"/>
    <x v="1"/>
    <x v="1"/>
    <x v="1"/>
    <x v="12"/>
    <x v="2"/>
    <x v="2"/>
    <x v="0"/>
    <x v="0"/>
  </r>
  <r>
    <x v="36"/>
    <x v="1"/>
    <s v="GM"/>
    <x v="15"/>
    <x v="2"/>
    <s v="ToEmp"/>
    <x v="68"/>
    <n v="13975"/>
    <b v="1"/>
    <n v="-13975"/>
    <x v="1"/>
    <s v="Liability"/>
    <s v="Rec-Pay"/>
    <x v="4"/>
    <x v="0"/>
    <x v="1"/>
    <x v="12"/>
    <x v="2"/>
    <x v="1"/>
    <x v="0"/>
    <x v="0"/>
  </r>
  <r>
    <x v="37"/>
    <x v="1"/>
    <s v="Online"/>
    <x v="16"/>
    <x v="3"/>
    <s v="Bank"/>
    <x v="3"/>
    <n v="-2970"/>
    <b v="1"/>
    <n v="-2970"/>
    <x v="0"/>
    <s v="Assets"/>
    <s v="Cash alike"/>
    <x v="1"/>
    <x v="1"/>
    <x v="0"/>
    <x v="0"/>
    <x v="3"/>
    <x v="2"/>
    <x v="0"/>
    <x v="0"/>
  </r>
  <r>
    <x v="38"/>
    <x v="1"/>
    <s v="Online"/>
    <x v="16"/>
    <x v="3"/>
    <s v="Bank"/>
    <x v="3"/>
    <n v="-1230"/>
    <b v="1"/>
    <n v="-1230"/>
    <x v="0"/>
    <s v="Assets"/>
    <s v="Cash alike"/>
    <x v="1"/>
    <x v="1"/>
    <x v="0"/>
    <x v="0"/>
    <x v="3"/>
    <x v="2"/>
    <x v="0"/>
    <x v="0"/>
  </r>
  <r>
    <x v="39"/>
    <x v="1"/>
    <s v="GM"/>
    <x v="17"/>
    <x v="3"/>
    <s v="Bank"/>
    <x v="3"/>
    <n v="-458"/>
    <b v="1"/>
    <n v="-458"/>
    <x v="0"/>
    <s v="Assets"/>
    <s v="Cash alike"/>
    <x v="1"/>
    <x v="1"/>
    <x v="0"/>
    <x v="0"/>
    <x v="3"/>
    <x v="1"/>
    <x v="0"/>
    <x v="0"/>
  </r>
  <r>
    <x v="40"/>
    <x v="1"/>
    <s v="GM"/>
    <x v="17"/>
    <x v="3"/>
    <s v="Bank"/>
    <x v="3"/>
    <n v="-355"/>
    <b v="1"/>
    <n v="-355"/>
    <x v="0"/>
    <s v="Assets"/>
    <s v="Cash alike"/>
    <x v="1"/>
    <x v="1"/>
    <x v="0"/>
    <x v="0"/>
    <x v="3"/>
    <x v="1"/>
    <x v="0"/>
    <x v="0"/>
  </r>
  <r>
    <x v="41"/>
    <x v="1"/>
    <s v="Online"/>
    <x v="16"/>
    <x v="3"/>
    <s v="Bank"/>
    <x v="3"/>
    <n v="-990"/>
    <b v="1"/>
    <n v="-990"/>
    <x v="0"/>
    <s v="Assets"/>
    <s v="Cash alike"/>
    <x v="1"/>
    <x v="1"/>
    <x v="0"/>
    <x v="0"/>
    <x v="3"/>
    <x v="2"/>
    <x v="0"/>
    <x v="0"/>
  </r>
  <r>
    <x v="41"/>
    <x v="1"/>
    <s v="Online"/>
    <x v="16"/>
    <x v="0"/>
    <s v="Curr"/>
    <x v="38"/>
    <n v="990"/>
    <b v="1"/>
    <n v="990"/>
    <x v="0"/>
    <s v="Assets"/>
    <s v="Invtr"/>
    <x v="1"/>
    <x v="1"/>
    <x v="3"/>
    <x v="7"/>
    <x v="0"/>
    <x v="2"/>
    <x v="0"/>
    <x v="0"/>
  </r>
  <r>
    <x v="42"/>
    <x v="1"/>
    <s v="GM"/>
    <x v="18"/>
    <x v="3"/>
    <s v="Bank"/>
    <x v="3"/>
    <n v="-600"/>
    <b v="1"/>
    <n v="-600"/>
    <x v="0"/>
    <s v="Assets"/>
    <s v="Cash alike"/>
    <x v="1"/>
    <x v="1"/>
    <x v="0"/>
    <x v="0"/>
    <x v="3"/>
    <x v="1"/>
    <x v="0"/>
    <x v="0"/>
  </r>
  <r>
    <x v="43"/>
    <x v="1"/>
    <s v="GM"/>
    <x v="6"/>
    <x v="3"/>
    <s v="Bank"/>
    <x v="3"/>
    <n v="-13121.63"/>
    <b v="1"/>
    <n v="-13121.63"/>
    <x v="0"/>
    <s v="Assets"/>
    <s v="Cash alike"/>
    <x v="1"/>
    <x v="1"/>
    <x v="0"/>
    <x v="0"/>
    <x v="3"/>
    <x v="1"/>
    <x v="0"/>
    <x v="0"/>
  </r>
  <r>
    <x v="43"/>
    <x v="1"/>
    <s v="GM"/>
    <x v="6"/>
    <x v="3"/>
    <s v="FrOther"/>
    <x v="22"/>
    <n v="3817.2"/>
    <b v="1"/>
    <n v="3817.2"/>
    <x v="0"/>
    <s v="Assets"/>
    <s v="Rec-Pay"/>
    <x v="1"/>
    <x v="1"/>
    <x v="1"/>
    <x v="3"/>
    <x v="3"/>
    <x v="1"/>
    <x v="0"/>
    <x v="0"/>
  </r>
  <r>
    <x v="44"/>
    <x v="1"/>
    <s v="GM"/>
    <x v="3"/>
    <x v="3"/>
    <s v="Bank"/>
    <x v="3"/>
    <n v="-200"/>
    <b v="1"/>
    <n v="-200"/>
    <x v="0"/>
    <s v="Assets"/>
    <s v="Cash alike"/>
    <x v="1"/>
    <x v="1"/>
    <x v="0"/>
    <x v="0"/>
    <x v="3"/>
    <x v="1"/>
    <x v="0"/>
    <x v="0"/>
  </r>
  <r>
    <x v="45"/>
    <x v="1"/>
    <s v="Online"/>
    <x v="11"/>
    <x v="3"/>
    <s v="Bank"/>
    <x v="3"/>
    <n v="-3536"/>
    <b v="1"/>
    <n v="-3536"/>
    <x v="0"/>
    <s v="Assets"/>
    <s v="Cash alike"/>
    <x v="2"/>
    <x v="1"/>
    <x v="0"/>
    <x v="0"/>
    <x v="3"/>
    <x v="2"/>
    <x v="0"/>
    <x v="0"/>
  </r>
  <r>
    <x v="45"/>
    <x v="1"/>
    <s v="Online"/>
    <x v="11"/>
    <x v="0"/>
    <s v="Curr"/>
    <x v="38"/>
    <n v="3536"/>
    <b v="1"/>
    <n v="3536"/>
    <x v="0"/>
    <s v="Assets"/>
    <s v="Invtr"/>
    <x v="2"/>
    <x v="1"/>
    <x v="3"/>
    <x v="7"/>
    <x v="0"/>
    <x v="2"/>
    <x v="0"/>
    <x v="0"/>
  </r>
  <r>
    <x v="46"/>
    <x v="1"/>
    <s v="Online"/>
    <x v="16"/>
    <x v="3"/>
    <s v="Bank"/>
    <x v="3"/>
    <n v="-80"/>
    <b v="1"/>
    <n v="-80"/>
    <x v="0"/>
    <s v="Assets"/>
    <s v="Cash alike"/>
    <x v="1"/>
    <x v="1"/>
    <x v="0"/>
    <x v="0"/>
    <x v="3"/>
    <x v="2"/>
    <x v="0"/>
    <x v="0"/>
  </r>
  <r>
    <x v="47"/>
    <x v="1"/>
    <s v="Online"/>
    <x v="8"/>
    <x v="3"/>
    <s v="ToEmp"/>
    <x v="52"/>
    <n v="-76031.259999999995"/>
    <b v="1"/>
    <n v="76031.259999999995"/>
    <x v="1"/>
    <s v="Liability"/>
    <s v="Rec-Pay"/>
    <x v="1"/>
    <x v="1"/>
    <x v="1"/>
    <x v="12"/>
    <x v="3"/>
    <x v="2"/>
    <x v="0"/>
    <x v="0"/>
  </r>
  <r>
    <x v="47"/>
    <x v="1"/>
    <s v="Online"/>
    <x v="8"/>
    <x v="3"/>
    <s v="ToTax"/>
    <x v="54"/>
    <n v="572.79"/>
    <b v="1"/>
    <n v="-572.79"/>
    <x v="1"/>
    <s v="Liability"/>
    <s v="Rec-Pay"/>
    <x v="1"/>
    <x v="1"/>
    <x v="1"/>
    <x v="11"/>
    <x v="3"/>
    <x v="2"/>
    <x v="0"/>
    <x v="0"/>
  </r>
  <r>
    <x v="47"/>
    <x v="1"/>
    <s v="Online"/>
    <x v="8"/>
    <x v="3"/>
    <s v="FrOther"/>
    <x v="22"/>
    <n v="-4294.3500000000004"/>
    <b v="1"/>
    <n v="-4294.3500000000004"/>
    <x v="0"/>
    <s v="Assets"/>
    <s v="Rec-Pay"/>
    <x v="1"/>
    <x v="1"/>
    <x v="1"/>
    <x v="3"/>
    <x v="3"/>
    <x v="2"/>
    <x v="0"/>
    <x v="0"/>
  </r>
  <r>
    <x v="47"/>
    <x v="1"/>
    <s v="Online"/>
    <x v="8"/>
    <x v="3"/>
    <s v="Bank"/>
    <x v="3"/>
    <n v="-71164.12"/>
    <b v="1"/>
    <n v="-71164.12"/>
    <x v="0"/>
    <s v="Assets"/>
    <s v="Cash alike"/>
    <x v="1"/>
    <x v="1"/>
    <x v="0"/>
    <x v="0"/>
    <x v="3"/>
    <x v="2"/>
    <x v="0"/>
    <x v="0"/>
  </r>
  <r>
    <x v="48"/>
    <x v="1"/>
    <s v="GM"/>
    <x v="8"/>
    <x v="3"/>
    <s v="Bank"/>
    <x v="3"/>
    <n v="-572.79"/>
    <b v="1"/>
    <n v="-572.79"/>
    <x v="0"/>
    <s v="Assets"/>
    <s v="Cash alike"/>
    <x v="1"/>
    <x v="1"/>
    <x v="0"/>
    <x v="0"/>
    <x v="3"/>
    <x v="1"/>
    <x v="0"/>
    <x v="0"/>
  </r>
  <r>
    <x v="48"/>
    <x v="1"/>
    <s v="GM"/>
    <x v="8"/>
    <x v="3"/>
    <s v="ToTax"/>
    <x v="54"/>
    <n v="-572.79"/>
    <b v="1"/>
    <n v="572.79"/>
    <x v="1"/>
    <s v="Liability"/>
    <s v="Rec-Pay"/>
    <x v="1"/>
    <x v="1"/>
    <x v="1"/>
    <x v="11"/>
    <x v="3"/>
    <x v="1"/>
    <x v="0"/>
    <x v="0"/>
  </r>
  <r>
    <x v="49"/>
    <x v="1"/>
    <s v="Ctrl"/>
    <x v="8"/>
    <x v="3"/>
    <s v="ToTax"/>
    <x v="47"/>
    <n v="-10950.5"/>
    <b v="1"/>
    <n v="10950.5"/>
    <x v="1"/>
    <s v="Liability"/>
    <s v="Rec-Pay"/>
    <x v="1"/>
    <x v="1"/>
    <x v="1"/>
    <x v="11"/>
    <x v="3"/>
    <x v="0"/>
    <x v="0"/>
    <x v="0"/>
  </r>
  <r>
    <x v="49"/>
    <x v="1"/>
    <s v="Ctrl"/>
    <x v="8"/>
    <x v="3"/>
    <s v="ToTax"/>
    <x v="51"/>
    <n v="-30620.3"/>
    <b v="1"/>
    <n v="30620.3"/>
    <x v="1"/>
    <s v="Liability"/>
    <s v="Rec-Pay"/>
    <x v="1"/>
    <x v="1"/>
    <x v="1"/>
    <x v="11"/>
    <x v="3"/>
    <x v="0"/>
    <x v="0"/>
    <x v="0"/>
  </r>
  <r>
    <x v="49"/>
    <x v="1"/>
    <s v="Ctrl"/>
    <x v="8"/>
    <x v="3"/>
    <s v="ToTax"/>
    <x v="49"/>
    <n v="-657.03"/>
    <b v="1"/>
    <n v="657.03"/>
    <x v="1"/>
    <s v="Liability"/>
    <s v="Rec-Pay"/>
    <x v="1"/>
    <x v="1"/>
    <x v="1"/>
    <x v="11"/>
    <x v="3"/>
    <x v="0"/>
    <x v="0"/>
    <x v="0"/>
  </r>
  <r>
    <x v="49"/>
    <x v="1"/>
    <s v="Ctrl"/>
    <x v="8"/>
    <x v="3"/>
    <s v="ToTax"/>
    <x v="50"/>
    <n v="-5.0199999999999996"/>
    <b v="1"/>
    <n v="5.0199999999999996"/>
    <x v="1"/>
    <s v="Liability"/>
    <s v="Rec-Pay"/>
    <x v="1"/>
    <x v="1"/>
    <x v="1"/>
    <x v="11"/>
    <x v="3"/>
    <x v="0"/>
    <x v="0"/>
    <x v="0"/>
  </r>
  <r>
    <x v="49"/>
    <x v="1"/>
    <s v="Ctrl"/>
    <x v="8"/>
    <x v="3"/>
    <s v="Bank"/>
    <x v="3"/>
    <n v="-42232.85"/>
    <b v="1"/>
    <n v="-42232.85"/>
    <x v="0"/>
    <s v="Assets"/>
    <s v="Cash alike"/>
    <x v="1"/>
    <x v="1"/>
    <x v="0"/>
    <x v="0"/>
    <x v="3"/>
    <x v="0"/>
    <x v="0"/>
    <x v="0"/>
  </r>
  <r>
    <x v="50"/>
    <x v="1"/>
    <s v="GM"/>
    <x v="19"/>
    <x v="3"/>
    <s v="Bank"/>
    <x v="3"/>
    <n v="-2057.67"/>
    <b v="1"/>
    <n v="-2057.67"/>
    <x v="0"/>
    <s v="Assets"/>
    <s v="Cash alike"/>
    <x v="1"/>
    <x v="1"/>
    <x v="0"/>
    <x v="0"/>
    <x v="3"/>
    <x v="1"/>
    <x v="0"/>
    <x v="0"/>
  </r>
  <r>
    <x v="51"/>
    <x v="1"/>
    <s v="GM"/>
    <x v="3"/>
    <x v="3"/>
    <s v="Bank"/>
    <x v="3"/>
    <n v="-317"/>
    <b v="1"/>
    <n v="-317"/>
    <x v="0"/>
    <s v="Assets"/>
    <s v="Cash alike"/>
    <x v="1"/>
    <x v="1"/>
    <x v="0"/>
    <x v="0"/>
    <x v="3"/>
    <x v="1"/>
    <x v="0"/>
    <x v="0"/>
  </r>
  <r>
    <x v="52"/>
    <x v="1"/>
    <s v="Online"/>
    <x v="11"/>
    <x v="3"/>
    <s v="Bank"/>
    <x v="3"/>
    <n v="-150"/>
    <b v="1"/>
    <n v="-150"/>
    <x v="0"/>
    <s v="Assets"/>
    <s v="Cash alike"/>
    <x v="2"/>
    <x v="1"/>
    <x v="0"/>
    <x v="0"/>
    <x v="3"/>
    <x v="2"/>
    <x v="0"/>
    <x v="0"/>
  </r>
  <r>
    <x v="52"/>
    <x v="1"/>
    <s v="Online"/>
    <x v="11"/>
    <x v="0"/>
    <s v="Curr"/>
    <x v="38"/>
    <n v="150"/>
    <b v="1"/>
    <n v="150"/>
    <x v="0"/>
    <s v="Assets"/>
    <s v="Invtr"/>
    <x v="2"/>
    <x v="1"/>
    <x v="3"/>
    <x v="7"/>
    <x v="0"/>
    <x v="2"/>
    <x v="0"/>
    <x v="0"/>
  </r>
  <r>
    <x v="53"/>
    <x v="1"/>
    <s v="Online"/>
    <x v="11"/>
    <x v="3"/>
    <s v="Bank"/>
    <x v="3"/>
    <n v="-2990"/>
    <b v="1"/>
    <n v="-2990"/>
    <x v="0"/>
    <s v="Assets"/>
    <s v="Cash alike"/>
    <x v="2"/>
    <x v="1"/>
    <x v="0"/>
    <x v="0"/>
    <x v="3"/>
    <x v="2"/>
    <x v="0"/>
    <x v="0"/>
  </r>
  <r>
    <x v="53"/>
    <x v="1"/>
    <s v="Online"/>
    <x v="11"/>
    <x v="0"/>
    <s v="Curr"/>
    <x v="38"/>
    <n v="2990"/>
    <b v="1"/>
    <n v="2990"/>
    <x v="0"/>
    <s v="Assets"/>
    <s v="Invtr"/>
    <x v="2"/>
    <x v="1"/>
    <x v="3"/>
    <x v="7"/>
    <x v="0"/>
    <x v="2"/>
    <x v="0"/>
    <x v="0"/>
  </r>
  <r>
    <x v="54"/>
    <x v="1"/>
    <s v="Online"/>
    <x v="11"/>
    <x v="3"/>
    <s v="Bank"/>
    <x v="3"/>
    <n v="-80"/>
    <b v="1"/>
    <n v="-80"/>
    <x v="0"/>
    <s v="Assets"/>
    <s v="Cash alike"/>
    <x v="2"/>
    <x v="1"/>
    <x v="0"/>
    <x v="0"/>
    <x v="3"/>
    <x v="2"/>
    <x v="0"/>
    <x v="0"/>
  </r>
  <r>
    <x v="54"/>
    <x v="1"/>
    <s v="Online"/>
    <x v="11"/>
    <x v="0"/>
    <s v="Curr"/>
    <x v="38"/>
    <n v="80"/>
    <b v="1"/>
    <n v="80"/>
    <x v="0"/>
    <s v="Assets"/>
    <s v="Invtr"/>
    <x v="2"/>
    <x v="1"/>
    <x v="3"/>
    <x v="7"/>
    <x v="0"/>
    <x v="2"/>
    <x v="0"/>
    <x v="0"/>
  </r>
  <r>
    <x v="55"/>
    <x v="1"/>
    <s v="Online"/>
    <x v="16"/>
    <x v="3"/>
    <s v="Bank"/>
    <x v="3"/>
    <n v="-125.38"/>
    <b v="1"/>
    <n v="-125.38"/>
    <x v="0"/>
    <s v="Assets"/>
    <s v="Cash alike"/>
    <x v="1"/>
    <x v="1"/>
    <x v="0"/>
    <x v="0"/>
    <x v="3"/>
    <x v="2"/>
    <x v="0"/>
    <x v="0"/>
  </r>
  <r>
    <x v="56"/>
    <x v="1"/>
    <s v="Online"/>
    <x v="16"/>
    <x v="3"/>
    <s v="Bank"/>
    <x v="3"/>
    <n v="-100.45"/>
    <b v="1"/>
    <n v="-100.45"/>
    <x v="0"/>
    <s v="Assets"/>
    <s v="Cash alike"/>
    <x v="1"/>
    <x v="1"/>
    <x v="0"/>
    <x v="0"/>
    <x v="3"/>
    <x v="2"/>
    <x v="0"/>
    <x v="0"/>
  </r>
  <r>
    <x v="57"/>
    <x v="1"/>
    <s v="Online"/>
    <x v="11"/>
    <x v="3"/>
    <s v="Bank"/>
    <x v="3"/>
    <n v="-880"/>
    <b v="1"/>
    <n v="-880"/>
    <x v="0"/>
    <s v="Assets"/>
    <s v="Cash alike"/>
    <x v="2"/>
    <x v="1"/>
    <x v="0"/>
    <x v="0"/>
    <x v="3"/>
    <x v="2"/>
    <x v="0"/>
    <x v="0"/>
  </r>
  <r>
    <x v="57"/>
    <x v="1"/>
    <s v="Online"/>
    <x v="11"/>
    <x v="0"/>
    <s v="Curr"/>
    <x v="38"/>
    <n v="880"/>
    <b v="1"/>
    <n v="880"/>
    <x v="0"/>
    <s v="Assets"/>
    <s v="Invtr"/>
    <x v="2"/>
    <x v="1"/>
    <x v="3"/>
    <x v="7"/>
    <x v="0"/>
    <x v="2"/>
    <x v="0"/>
    <x v="0"/>
  </r>
  <r>
    <x v="58"/>
    <x v="1"/>
    <s v="Brand"/>
    <x v="20"/>
    <x v="3"/>
    <s v="Bank"/>
    <x v="3"/>
    <n v="-199.18"/>
    <b v="1"/>
    <n v="-199.18"/>
    <x v="0"/>
    <s v="Assets"/>
    <s v="Cash alike"/>
    <x v="1"/>
    <x v="1"/>
    <x v="0"/>
    <x v="0"/>
    <x v="3"/>
    <x v="3"/>
    <x v="0"/>
    <x v="0"/>
  </r>
  <r>
    <x v="59"/>
    <x v="1"/>
    <s v="GM"/>
    <x v="8"/>
    <x v="3"/>
    <s v="Bank"/>
    <x v="3"/>
    <n v="-155989.63"/>
    <b v="1"/>
    <n v="-155989.63"/>
    <x v="0"/>
    <s v="Assets"/>
    <s v="Cash alike"/>
    <x v="1"/>
    <x v="1"/>
    <x v="0"/>
    <x v="0"/>
    <x v="3"/>
    <x v="1"/>
    <x v="0"/>
    <x v="0"/>
  </r>
  <r>
    <x v="59"/>
    <x v="1"/>
    <s v="GM"/>
    <x v="8"/>
    <x v="3"/>
    <s v="Order"/>
    <x v="34"/>
    <n v="155989.63"/>
    <b v="1"/>
    <n v="155989.63"/>
    <x v="0"/>
    <s v="Assets"/>
    <s v="Prep-Sub"/>
    <x v="1"/>
    <x v="1"/>
    <x v="2"/>
    <x v="6"/>
    <x v="3"/>
    <x v="1"/>
    <x v="0"/>
    <x v="0"/>
  </r>
  <r>
    <x v="60"/>
    <x v="1"/>
    <s v="Online"/>
    <x v="16"/>
    <x v="3"/>
    <s v="Bank"/>
    <x v="3"/>
    <n v="-2400"/>
    <b v="1"/>
    <n v="-2400"/>
    <x v="0"/>
    <s v="Assets"/>
    <s v="Cash alike"/>
    <x v="1"/>
    <x v="1"/>
    <x v="0"/>
    <x v="0"/>
    <x v="3"/>
    <x v="2"/>
    <x v="0"/>
    <x v="0"/>
  </r>
  <r>
    <x v="61"/>
    <x v="1"/>
    <s v="Ctrl"/>
    <x v="7"/>
    <x v="3"/>
    <s v="Bank"/>
    <x v="3"/>
    <n v="340000"/>
    <b v="1"/>
    <n v="340000"/>
    <x v="0"/>
    <s v="Assets"/>
    <s v="Cash alike"/>
    <x v="0"/>
    <x v="0"/>
    <x v="0"/>
    <x v="0"/>
    <x v="3"/>
    <x v="0"/>
    <x v="0"/>
    <x v="0"/>
  </r>
  <r>
    <x v="61"/>
    <x v="1"/>
    <s v="Ctrl"/>
    <x v="7"/>
    <x v="0"/>
    <s v="Bank"/>
    <x v="0"/>
    <n v="-340000"/>
    <b v="1"/>
    <n v="-340000"/>
    <x v="0"/>
    <s v="Assets"/>
    <s v="Cash alike"/>
    <x v="0"/>
    <x v="0"/>
    <x v="0"/>
    <x v="0"/>
    <x v="0"/>
    <x v="0"/>
    <x v="0"/>
    <x v="0"/>
  </r>
  <r>
    <x v="62"/>
    <x v="1"/>
    <s v="Ctrl"/>
    <x v="7"/>
    <x v="3"/>
    <s v="Bank"/>
    <x v="3"/>
    <n v="-1000000"/>
    <b v="1"/>
    <n v="-1000000"/>
    <x v="0"/>
    <s v="Assets"/>
    <s v="Cash alike"/>
    <x v="0"/>
    <x v="0"/>
    <x v="0"/>
    <x v="0"/>
    <x v="3"/>
    <x v="0"/>
    <x v="0"/>
    <x v="0"/>
  </r>
  <r>
    <x v="62"/>
    <x v="1"/>
    <s v="Ctrl"/>
    <x v="7"/>
    <x v="4"/>
    <s v="Bank"/>
    <x v="4"/>
    <n v="1000000"/>
    <b v="1"/>
    <n v="1000000"/>
    <x v="0"/>
    <s v="Assets"/>
    <s v="Cash alike"/>
    <x v="0"/>
    <x v="0"/>
    <x v="0"/>
    <x v="0"/>
    <x v="4"/>
    <x v="0"/>
    <x v="0"/>
    <x v="0"/>
  </r>
  <r>
    <x v="63"/>
    <x v="1"/>
    <s v="Ctrl"/>
    <x v="7"/>
    <x v="3"/>
    <s v="Bank"/>
    <x v="3"/>
    <n v="-50000"/>
    <b v="1"/>
    <n v="-50000"/>
    <x v="0"/>
    <s v="Assets"/>
    <s v="Cash alike"/>
    <x v="0"/>
    <x v="0"/>
    <x v="0"/>
    <x v="0"/>
    <x v="3"/>
    <x v="0"/>
    <x v="0"/>
    <x v="0"/>
  </r>
  <r>
    <x v="63"/>
    <x v="1"/>
    <s v="Ctrl"/>
    <x v="7"/>
    <x v="1"/>
    <s v="Bank"/>
    <x v="1"/>
    <n v="50000"/>
    <b v="1"/>
    <n v="50000"/>
    <x v="0"/>
    <s v="Assets"/>
    <s v="Cash alike"/>
    <x v="0"/>
    <x v="0"/>
    <x v="0"/>
    <x v="0"/>
    <x v="1"/>
    <x v="0"/>
    <x v="0"/>
    <x v="0"/>
  </r>
  <r>
    <x v="64"/>
    <x v="1"/>
    <s v="Online"/>
    <x v="16"/>
    <x v="3"/>
    <s v="Bank"/>
    <x v="3"/>
    <n v="-274.22000000000003"/>
    <b v="1"/>
    <n v="-274.22000000000003"/>
    <x v="0"/>
    <s v="Assets"/>
    <s v="Cash alike"/>
    <x v="1"/>
    <x v="1"/>
    <x v="0"/>
    <x v="0"/>
    <x v="3"/>
    <x v="2"/>
    <x v="0"/>
    <x v="0"/>
  </r>
  <r>
    <x v="65"/>
    <x v="1"/>
    <s v="GM"/>
    <x v="3"/>
    <x v="3"/>
    <s v="Bank"/>
    <x v="3"/>
    <n v="-77.64"/>
    <b v="1"/>
    <n v="-77.64"/>
    <x v="0"/>
    <s v="Assets"/>
    <s v="Cash alike"/>
    <x v="1"/>
    <x v="1"/>
    <x v="0"/>
    <x v="0"/>
    <x v="3"/>
    <x v="1"/>
    <x v="0"/>
    <x v="0"/>
  </r>
  <r>
    <x v="66"/>
    <x v="1"/>
    <s v="GM"/>
    <x v="21"/>
    <x v="3"/>
    <s v="Bank"/>
    <x v="3"/>
    <n v="106.2"/>
    <b v="1"/>
    <n v="106.2"/>
    <x v="0"/>
    <s v="Assets"/>
    <s v="Cash alike"/>
    <x v="0"/>
    <x v="0"/>
    <x v="0"/>
    <x v="0"/>
    <x v="3"/>
    <x v="1"/>
    <x v="0"/>
    <x v="0"/>
  </r>
  <r>
    <x v="67"/>
    <x v="1"/>
    <s v="GM"/>
    <x v="13"/>
    <x v="3"/>
    <s v="Bank"/>
    <x v="3"/>
    <n v="-52.4"/>
    <b v="1"/>
    <n v="-52.4"/>
    <x v="0"/>
    <s v="Assets"/>
    <s v="Cash alike"/>
    <x v="1"/>
    <x v="1"/>
    <x v="0"/>
    <x v="0"/>
    <x v="3"/>
    <x v="1"/>
    <x v="0"/>
    <x v="0"/>
  </r>
  <r>
    <x v="68"/>
    <x v="1"/>
    <s v="GM"/>
    <x v="14"/>
    <x v="3"/>
    <s v="ToEmp"/>
    <x v="52"/>
    <n v="37619"/>
    <b v="1"/>
    <n v="-37619"/>
    <x v="1"/>
    <s v="Liability"/>
    <s v="Rec-Pay"/>
    <x v="1"/>
    <x v="1"/>
    <x v="1"/>
    <x v="12"/>
    <x v="3"/>
    <x v="1"/>
    <x v="0"/>
    <x v="0"/>
  </r>
  <r>
    <x v="69"/>
    <x v="1"/>
    <s v="Online"/>
    <x v="14"/>
    <x v="3"/>
    <s v="ToEmp"/>
    <x v="52"/>
    <n v="33231.339999999997"/>
    <b v="1"/>
    <n v="-33231.339999999997"/>
    <x v="1"/>
    <s v="Liability"/>
    <s v="Rec-Pay"/>
    <x v="1"/>
    <x v="1"/>
    <x v="1"/>
    <x v="12"/>
    <x v="3"/>
    <x v="2"/>
    <x v="0"/>
    <x v="0"/>
  </r>
  <r>
    <x v="70"/>
    <x v="1"/>
    <s v="GM"/>
    <x v="15"/>
    <x v="3"/>
    <s v="ToEmp"/>
    <x v="68"/>
    <n v="53731"/>
    <b v="1"/>
    <n v="-53731"/>
    <x v="1"/>
    <s v="Liability"/>
    <s v="Rec-Pay"/>
    <x v="4"/>
    <x v="0"/>
    <x v="1"/>
    <x v="12"/>
    <x v="3"/>
    <x v="1"/>
    <x v="0"/>
    <x v="0"/>
  </r>
  <r>
    <x v="71"/>
    <x v="1"/>
    <s v="Ctrl"/>
    <x v="1"/>
    <x v="3"/>
    <s v="ToTax"/>
    <x v="51"/>
    <n v="0.01"/>
    <b v="1"/>
    <n v="-0.01"/>
    <x v="1"/>
    <s v="Liability"/>
    <s v="Rec-Pay"/>
    <x v="0"/>
    <x v="0"/>
    <x v="1"/>
    <x v="11"/>
    <x v="3"/>
    <x v="0"/>
    <x v="0"/>
    <x v="0"/>
  </r>
  <r>
    <x v="71"/>
    <x v="1"/>
    <s v="Ctrl"/>
    <x v="1"/>
    <x v="2"/>
    <s v="ToTax"/>
    <x v="47"/>
    <n v="-0.04"/>
    <b v="1"/>
    <n v="0.04"/>
    <x v="1"/>
    <s v="Liability"/>
    <s v="Rec-Pay"/>
    <x v="0"/>
    <x v="0"/>
    <x v="1"/>
    <x v="11"/>
    <x v="2"/>
    <x v="0"/>
    <x v="0"/>
    <x v="0"/>
  </r>
  <r>
    <x v="72"/>
    <x v="1"/>
    <s v="Ctrl"/>
    <x v="7"/>
    <x v="1"/>
    <s v="Bank"/>
    <x v="1"/>
    <n v="93400"/>
    <b v="1"/>
    <n v="93400"/>
    <x v="0"/>
    <s v="Assets"/>
    <s v="Cash alike"/>
    <x v="0"/>
    <x v="0"/>
    <x v="0"/>
    <x v="0"/>
    <x v="1"/>
    <x v="0"/>
    <x v="0"/>
    <x v="0"/>
  </r>
  <r>
    <x v="72"/>
    <x v="1"/>
    <s v="Ctrl"/>
    <x v="7"/>
    <x v="9"/>
    <s v="Bank"/>
    <x v="12"/>
    <n v="-93400"/>
    <b v="1"/>
    <n v="-93400"/>
    <x v="0"/>
    <s v="Assets"/>
    <s v="Cash alike"/>
    <x v="0"/>
    <x v="0"/>
    <x v="0"/>
    <x v="0"/>
    <x v="9"/>
    <x v="0"/>
    <x v="0"/>
    <x v="0"/>
  </r>
  <r>
    <x v="73"/>
    <x v="1"/>
    <s v="GM"/>
    <x v="22"/>
    <x v="1"/>
    <s v="Bank"/>
    <x v="1"/>
    <n v="-1200000"/>
    <b v="1"/>
    <n v="-1200000"/>
    <x v="0"/>
    <s v="Assets"/>
    <s v="Cash alike"/>
    <x v="0"/>
    <x v="0"/>
    <x v="0"/>
    <x v="0"/>
    <x v="1"/>
    <x v="1"/>
    <x v="0"/>
    <x v="0"/>
  </r>
  <r>
    <x v="73"/>
    <x v="1"/>
    <s v="GM"/>
    <x v="22"/>
    <x v="4"/>
    <s v="RE"/>
    <x v="62"/>
    <n v="-1200000"/>
    <b v="1"/>
    <n v="1200000"/>
    <x v="1"/>
    <s v="Equity"/>
    <s v="Rsv"/>
    <x v="0"/>
    <x v="0"/>
    <x v="7"/>
    <x v="17"/>
    <x v="4"/>
    <x v="1"/>
    <x v="0"/>
    <x v="0"/>
  </r>
  <r>
    <x v="74"/>
    <x v="1"/>
    <s v="Online"/>
    <x v="23"/>
    <x v="1"/>
    <s v="Bank"/>
    <x v="1"/>
    <n v="99.149999999999991"/>
    <b v="1"/>
    <n v="99.149999999999991"/>
    <x v="0"/>
    <s v="Assets"/>
    <s v="Cash alike"/>
    <x v="3"/>
    <x v="1"/>
    <x v="0"/>
    <x v="0"/>
    <x v="1"/>
    <x v="2"/>
    <x v="0"/>
    <x v="0"/>
  </r>
  <r>
    <x v="75"/>
    <x v="1"/>
    <s v="Online"/>
    <x v="10"/>
    <x v="1"/>
    <s v="Bank"/>
    <x v="1"/>
    <n v="23384.05"/>
    <b v="1"/>
    <n v="23384.05"/>
    <x v="0"/>
    <s v="Assets"/>
    <s v="Cash alike"/>
    <x v="3"/>
    <x v="1"/>
    <x v="0"/>
    <x v="0"/>
    <x v="1"/>
    <x v="2"/>
    <x v="0"/>
    <x v="0"/>
  </r>
  <r>
    <x v="76"/>
    <x v="1"/>
    <s v="Brand"/>
    <x v="24"/>
    <x v="1"/>
    <s v="Bank"/>
    <x v="1"/>
    <n v="100000"/>
    <b v="1"/>
    <n v="100000"/>
    <x v="0"/>
    <s v="Assets"/>
    <s v="Cash alike"/>
    <x v="4"/>
    <x v="0"/>
    <x v="0"/>
    <x v="0"/>
    <x v="1"/>
    <x v="3"/>
    <x v="0"/>
    <x v="0"/>
  </r>
  <r>
    <x v="77"/>
    <x v="1"/>
    <s v="Ctrl"/>
    <x v="25"/>
    <x v="1"/>
    <s v="Bank"/>
    <x v="1"/>
    <n v="-5578.9"/>
    <b v="1"/>
    <n v="-5578.9"/>
    <x v="0"/>
    <s v="Assets"/>
    <s v="Cash alike"/>
    <x v="0"/>
    <x v="0"/>
    <x v="0"/>
    <x v="0"/>
    <x v="1"/>
    <x v="0"/>
    <x v="0"/>
    <x v="0"/>
  </r>
  <r>
    <x v="77"/>
    <x v="1"/>
    <s v="Ctrl"/>
    <x v="25"/>
    <x v="1"/>
    <s v="ToOther"/>
    <x v="63"/>
    <n v="-5578.9"/>
    <b v="1"/>
    <n v="5578.9"/>
    <x v="1"/>
    <s v="Liability"/>
    <s v="Rec-Pay"/>
    <x v="0"/>
    <x v="0"/>
    <x v="1"/>
    <x v="13"/>
    <x v="1"/>
    <x v="0"/>
    <x v="0"/>
    <x v="0"/>
  </r>
  <r>
    <x v="78"/>
    <x v="1"/>
    <s v="Online"/>
    <x v="23"/>
    <x v="1"/>
    <s v="Bank"/>
    <x v="1"/>
    <n v="65"/>
    <b v="1"/>
    <n v="65"/>
    <x v="0"/>
    <s v="Assets"/>
    <s v="Cash alike"/>
    <x v="3"/>
    <x v="1"/>
    <x v="0"/>
    <x v="0"/>
    <x v="1"/>
    <x v="2"/>
    <x v="0"/>
    <x v="0"/>
  </r>
  <r>
    <x v="79"/>
    <x v="1"/>
    <s v="Ctrl"/>
    <x v="26"/>
    <x v="1"/>
    <s v="Bank"/>
    <x v="1"/>
    <n v="-3000"/>
    <b v="1"/>
    <n v="-3000"/>
    <x v="0"/>
    <s v="Assets"/>
    <s v="Cash alike"/>
    <x v="1"/>
    <x v="1"/>
    <x v="0"/>
    <x v="0"/>
    <x v="1"/>
    <x v="0"/>
    <x v="0"/>
    <x v="0"/>
  </r>
  <r>
    <x v="80"/>
    <x v="1"/>
    <s v="Online"/>
    <x v="23"/>
    <x v="1"/>
    <s v="Bank"/>
    <x v="1"/>
    <n v="68"/>
    <b v="1"/>
    <n v="68"/>
    <x v="0"/>
    <s v="Assets"/>
    <s v="Cash alike"/>
    <x v="3"/>
    <x v="1"/>
    <x v="0"/>
    <x v="0"/>
    <x v="1"/>
    <x v="2"/>
    <x v="0"/>
    <x v="0"/>
  </r>
  <r>
    <x v="81"/>
    <x v="1"/>
    <s v="MY"/>
    <x v="12"/>
    <x v="7"/>
    <s v="ToTax"/>
    <x v="47"/>
    <n v="6600"/>
    <b v="1"/>
    <n v="-6600"/>
    <x v="1"/>
    <s v="Liability"/>
    <s v="Rec-Pay"/>
    <x v="2"/>
    <x v="1"/>
    <x v="1"/>
    <x v="11"/>
    <x v="7"/>
    <x v="4"/>
    <x v="0"/>
    <x v="0"/>
  </r>
  <r>
    <x v="82"/>
    <x v="1"/>
    <s v="Ctrl"/>
    <x v="7"/>
    <x v="1"/>
    <s v="Bank"/>
    <x v="1"/>
    <n v="500000"/>
    <b v="1"/>
    <n v="500000"/>
    <x v="0"/>
    <s v="Assets"/>
    <s v="Cash alike"/>
    <x v="0"/>
    <x v="0"/>
    <x v="0"/>
    <x v="0"/>
    <x v="1"/>
    <x v="0"/>
    <x v="0"/>
    <x v="0"/>
  </r>
  <r>
    <x v="82"/>
    <x v="1"/>
    <s v="Ctrl"/>
    <x v="7"/>
    <x v="4"/>
    <s v="Bank"/>
    <x v="4"/>
    <n v="-500000"/>
    <b v="1"/>
    <n v="-500000"/>
    <x v="0"/>
    <s v="Assets"/>
    <s v="Cash alike"/>
    <x v="0"/>
    <x v="0"/>
    <x v="0"/>
    <x v="0"/>
    <x v="4"/>
    <x v="0"/>
    <x v="0"/>
    <x v="0"/>
  </r>
  <r>
    <x v="83"/>
    <x v="1"/>
    <s v="Online"/>
    <x v="27"/>
    <x v="1"/>
    <s v="Bank"/>
    <x v="1"/>
    <n v="40.5"/>
    <b v="1"/>
    <n v="40.5"/>
    <x v="0"/>
    <s v="Assets"/>
    <s v="Cash alike"/>
    <x v="2"/>
    <x v="1"/>
    <x v="0"/>
    <x v="0"/>
    <x v="1"/>
    <x v="2"/>
    <x v="0"/>
    <x v="0"/>
  </r>
  <r>
    <x v="84"/>
    <x v="1"/>
    <s v="Ctrl"/>
    <x v="26"/>
    <x v="1"/>
    <s v="Bank"/>
    <x v="1"/>
    <n v="-8000"/>
    <b v="1"/>
    <n v="-8000"/>
    <x v="0"/>
    <s v="Assets"/>
    <s v="Cash alike"/>
    <x v="1"/>
    <x v="1"/>
    <x v="0"/>
    <x v="0"/>
    <x v="1"/>
    <x v="0"/>
    <x v="0"/>
    <x v="0"/>
  </r>
  <r>
    <x v="85"/>
    <x v="1"/>
    <s v="Ctrl"/>
    <x v="7"/>
    <x v="1"/>
    <s v="Bank"/>
    <x v="1"/>
    <n v="84100"/>
    <b v="1"/>
    <n v="84100"/>
    <x v="0"/>
    <s v="Assets"/>
    <s v="Cash alike"/>
    <x v="0"/>
    <x v="0"/>
    <x v="0"/>
    <x v="0"/>
    <x v="1"/>
    <x v="0"/>
    <x v="0"/>
    <x v="0"/>
  </r>
  <r>
    <x v="85"/>
    <x v="1"/>
    <s v="Ctrl"/>
    <x v="7"/>
    <x v="9"/>
    <s v="Bank"/>
    <x v="12"/>
    <n v="-84100"/>
    <b v="1"/>
    <n v="-84100"/>
    <x v="0"/>
    <s v="Assets"/>
    <s v="Cash alike"/>
    <x v="0"/>
    <x v="0"/>
    <x v="0"/>
    <x v="0"/>
    <x v="9"/>
    <x v="0"/>
    <x v="0"/>
    <x v="0"/>
  </r>
  <r>
    <x v="86"/>
    <x v="1"/>
    <s v="Online"/>
    <x v="23"/>
    <x v="1"/>
    <s v="Bank"/>
    <x v="1"/>
    <n v="60"/>
    <b v="1"/>
    <n v="60"/>
    <x v="0"/>
    <s v="Assets"/>
    <s v="Cash alike"/>
    <x v="3"/>
    <x v="1"/>
    <x v="0"/>
    <x v="0"/>
    <x v="1"/>
    <x v="2"/>
    <x v="0"/>
    <x v="0"/>
  </r>
  <r>
    <x v="87"/>
    <x v="1"/>
    <s v="Ctrl"/>
    <x v="28"/>
    <x v="1"/>
    <s v="Bank"/>
    <x v="1"/>
    <n v="25204.7"/>
    <b v="1"/>
    <n v="25204.7"/>
    <x v="0"/>
    <s v="Assets"/>
    <s v="Cash alike"/>
    <x v="0"/>
    <x v="0"/>
    <x v="0"/>
    <x v="0"/>
    <x v="1"/>
    <x v="0"/>
    <x v="0"/>
    <x v="0"/>
  </r>
  <r>
    <x v="87"/>
    <x v="1"/>
    <s v="Ctrl"/>
    <x v="28"/>
    <x v="1"/>
    <s v="AR"/>
    <x v="33"/>
    <n v="-25204.7"/>
    <b v="1"/>
    <n v="-25204.7"/>
    <x v="0"/>
    <s v="Assets"/>
    <s v="Rec-Pay"/>
    <x v="0"/>
    <x v="0"/>
    <x v="1"/>
    <x v="2"/>
    <x v="1"/>
    <x v="0"/>
    <x v="0"/>
    <x v="0"/>
  </r>
  <r>
    <x v="88"/>
    <x v="1"/>
    <s v="GM"/>
    <x v="6"/>
    <x v="12"/>
    <s v="Bank"/>
    <x v="19"/>
    <n v="-11465.37"/>
    <b v="1"/>
    <n v="-11465.37"/>
    <x v="0"/>
    <s v="Assets"/>
    <s v="Cash alike"/>
    <x v="1"/>
    <x v="1"/>
    <x v="0"/>
    <x v="0"/>
    <x v="12"/>
    <x v="1"/>
    <x v="0"/>
    <x v="0"/>
  </r>
  <r>
    <x v="88"/>
    <x v="1"/>
    <s v="GM"/>
    <x v="6"/>
    <x v="12"/>
    <s v="FrOther"/>
    <x v="22"/>
    <n v="3340.05"/>
    <b v="1"/>
    <n v="3340.05"/>
    <x v="0"/>
    <s v="Assets"/>
    <s v="Rec-Pay"/>
    <x v="1"/>
    <x v="1"/>
    <x v="1"/>
    <x v="3"/>
    <x v="12"/>
    <x v="1"/>
    <x v="0"/>
    <x v="0"/>
  </r>
  <r>
    <x v="89"/>
    <x v="1"/>
    <s v="GM"/>
    <x v="29"/>
    <x v="3"/>
    <s v="Order"/>
    <x v="34"/>
    <n v="-12999.135833333299"/>
    <b v="1"/>
    <n v="-12999.135833333299"/>
    <x v="0"/>
    <s v="Assets"/>
    <s v="Prep-Sub"/>
    <x v="1"/>
    <x v="1"/>
    <x v="2"/>
    <x v="6"/>
    <x v="3"/>
    <x v="1"/>
    <x v="0"/>
    <x v="0"/>
  </r>
  <r>
    <x v="90"/>
    <x v="1"/>
    <s v="GM"/>
    <x v="8"/>
    <x v="12"/>
    <s v="Bank"/>
    <x v="19"/>
    <n v="-29659.53"/>
    <b v="1"/>
    <n v="-29659.53"/>
    <x v="0"/>
    <s v="Assets"/>
    <s v="Cash alike"/>
    <x v="1"/>
    <x v="1"/>
    <x v="0"/>
    <x v="0"/>
    <x v="12"/>
    <x v="1"/>
    <x v="0"/>
    <x v="0"/>
  </r>
  <r>
    <x v="90"/>
    <x v="1"/>
    <s v="GM"/>
    <x v="8"/>
    <x v="12"/>
    <s v="FrOther"/>
    <x v="22"/>
    <n v="-3340.05"/>
    <b v="1"/>
    <n v="-3340.05"/>
    <x v="0"/>
    <s v="Assets"/>
    <s v="Rec-Pay"/>
    <x v="1"/>
    <x v="1"/>
    <x v="1"/>
    <x v="3"/>
    <x v="12"/>
    <x v="1"/>
    <x v="0"/>
    <x v="0"/>
  </r>
  <r>
    <x v="90"/>
    <x v="1"/>
    <s v="GM"/>
    <x v="8"/>
    <x v="12"/>
    <s v="ToTax"/>
    <x v="54"/>
    <n v="542.28"/>
    <b v="1"/>
    <n v="-542.28"/>
    <x v="1"/>
    <s v="Liability"/>
    <s v="Rec-Pay"/>
    <x v="1"/>
    <x v="1"/>
    <x v="1"/>
    <x v="11"/>
    <x v="12"/>
    <x v="1"/>
    <x v="0"/>
    <x v="0"/>
  </r>
  <r>
    <x v="90"/>
    <x v="1"/>
    <s v="GM"/>
    <x v="8"/>
    <x v="12"/>
    <s v="ToEmp"/>
    <x v="52"/>
    <n v="-33541.86"/>
    <b v="1"/>
    <n v="33541.86"/>
    <x v="1"/>
    <s v="Liability"/>
    <s v="Rec-Pay"/>
    <x v="1"/>
    <x v="1"/>
    <x v="1"/>
    <x v="12"/>
    <x v="12"/>
    <x v="1"/>
    <x v="0"/>
    <x v="0"/>
  </r>
  <r>
    <x v="91"/>
    <x v="1"/>
    <s v="GM"/>
    <x v="8"/>
    <x v="12"/>
    <s v="ToTax"/>
    <x v="54"/>
    <n v="-542.28"/>
    <b v="1"/>
    <n v="542.28"/>
    <x v="1"/>
    <s v="Liability"/>
    <s v="Rec-Pay"/>
    <x v="1"/>
    <x v="1"/>
    <x v="1"/>
    <x v="11"/>
    <x v="12"/>
    <x v="1"/>
    <x v="0"/>
    <x v="0"/>
  </r>
  <r>
    <x v="91"/>
    <x v="1"/>
    <s v="GM"/>
    <x v="8"/>
    <x v="12"/>
    <s v="Bank"/>
    <x v="19"/>
    <n v="-542.28"/>
    <b v="1"/>
    <n v="-542.28"/>
    <x v="0"/>
    <s v="Assets"/>
    <s v="Cash alike"/>
    <x v="1"/>
    <x v="1"/>
    <x v="0"/>
    <x v="0"/>
    <x v="12"/>
    <x v="1"/>
    <x v="0"/>
    <x v="0"/>
  </r>
  <r>
    <x v="92"/>
    <x v="1"/>
    <s v="Ctrl"/>
    <x v="8"/>
    <x v="12"/>
    <s v="Bank"/>
    <x v="19"/>
    <n v="-15725.69"/>
    <b v="1"/>
    <n v="-15725.69"/>
    <x v="0"/>
    <s v="Assets"/>
    <s v="Cash alike"/>
    <x v="1"/>
    <x v="1"/>
    <x v="0"/>
    <x v="0"/>
    <x v="12"/>
    <x v="0"/>
    <x v="0"/>
    <x v="0"/>
  </r>
  <r>
    <x v="92"/>
    <x v="1"/>
    <s v="Ctrl"/>
    <x v="8"/>
    <x v="12"/>
    <s v="ToTax"/>
    <x v="47"/>
    <n v="-4117.58"/>
    <b v="1"/>
    <n v="4117.58"/>
    <x v="1"/>
    <s v="Liability"/>
    <s v="Rec-Pay"/>
    <x v="1"/>
    <x v="1"/>
    <x v="1"/>
    <x v="11"/>
    <x v="12"/>
    <x v="0"/>
    <x v="0"/>
    <x v="0"/>
  </r>
  <r>
    <x v="92"/>
    <x v="1"/>
    <s v="Ctrl"/>
    <x v="8"/>
    <x v="12"/>
    <s v="ToTax"/>
    <x v="49"/>
    <n v="-205.87"/>
    <b v="1"/>
    <n v="205.87"/>
    <x v="1"/>
    <s v="Liability"/>
    <s v="Rec-Pay"/>
    <x v="1"/>
    <x v="1"/>
    <x v="1"/>
    <x v="11"/>
    <x v="12"/>
    <x v="0"/>
    <x v="0"/>
    <x v="0"/>
  </r>
  <r>
    <x v="92"/>
    <x v="1"/>
    <s v="Ctrl"/>
    <x v="8"/>
    <x v="12"/>
    <s v="ToTax"/>
    <x v="50"/>
    <n v="-2.96"/>
    <b v="1"/>
    <n v="2.96"/>
    <x v="1"/>
    <s v="Liability"/>
    <s v="Rec-Pay"/>
    <x v="1"/>
    <x v="1"/>
    <x v="1"/>
    <x v="11"/>
    <x v="12"/>
    <x v="0"/>
    <x v="0"/>
    <x v="0"/>
  </r>
  <r>
    <x v="92"/>
    <x v="1"/>
    <s v="Ctrl"/>
    <x v="8"/>
    <x v="12"/>
    <s v="ToTax"/>
    <x v="51"/>
    <n v="-11399.28"/>
    <b v="1"/>
    <n v="11399.28"/>
    <x v="1"/>
    <s v="Liability"/>
    <s v="Rec-Pay"/>
    <x v="1"/>
    <x v="1"/>
    <x v="1"/>
    <x v="11"/>
    <x v="12"/>
    <x v="0"/>
    <x v="0"/>
    <x v="0"/>
  </r>
  <r>
    <x v="93"/>
    <x v="1"/>
    <s v="Zhuse"/>
    <x v="23"/>
    <x v="12"/>
    <s v="Bank"/>
    <x v="19"/>
    <n v="495.53"/>
    <b v="1"/>
    <n v="495.53"/>
    <x v="0"/>
    <s v="Assets"/>
    <s v="Cash alike"/>
    <x v="3"/>
    <x v="1"/>
    <x v="0"/>
    <x v="0"/>
    <x v="12"/>
    <x v="5"/>
    <x v="0"/>
    <x v="0"/>
  </r>
  <r>
    <x v="94"/>
    <x v="1"/>
    <s v="Online"/>
    <x v="12"/>
    <x v="3"/>
    <s v="ToTax"/>
    <x v="47"/>
    <n v="3367.39"/>
    <b v="1"/>
    <n v="-3367.39"/>
    <x v="1"/>
    <s v="Liability"/>
    <s v="Rec-Pay"/>
    <x v="2"/>
    <x v="1"/>
    <x v="1"/>
    <x v="11"/>
    <x v="3"/>
    <x v="2"/>
    <x v="0"/>
    <x v="0"/>
  </r>
  <r>
    <x v="95"/>
    <x v="1"/>
    <s v="GM"/>
    <x v="21"/>
    <x v="12"/>
    <s v="Bank"/>
    <x v="19"/>
    <n v="93.81"/>
    <b v="1"/>
    <n v="93.81"/>
    <x v="0"/>
    <s v="Assets"/>
    <s v="Cash alike"/>
    <x v="0"/>
    <x v="0"/>
    <x v="0"/>
    <x v="0"/>
    <x v="12"/>
    <x v="1"/>
    <x v="0"/>
    <x v="0"/>
  </r>
  <r>
    <x v="96"/>
    <x v="1"/>
    <s v="Zhuse"/>
    <x v="12"/>
    <x v="12"/>
    <s v="ToTax"/>
    <x v="47"/>
    <n v="0.93"/>
    <b v="1"/>
    <n v="-0.93"/>
    <x v="1"/>
    <s v="Liability"/>
    <s v="Rec-Pay"/>
    <x v="2"/>
    <x v="1"/>
    <x v="1"/>
    <x v="11"/>
    <x v="12"/>
    <x v="5"/>
    <x v="0"/>
    <x v="0"/>
  </r>
  <r>
    <x v="97"/>
    <x v="1"/>
    <s v="GM"/>
    <x v="18"/>
    <x v="12"/>
    <s v="Bank"/>
    <x v="19"/>
    <n v="-164.54"/>
    <b v="1"/>
    <n v="-164.54"/>
    <x v="0"/>
    <s v="Assets"/>
    <s v="Cash alike"/>
    <x v="1"/>
    <x v="1"/>
    <x v="0"/>
    <x v="0"/>
    <x v="12"/>
    <x v="1"/>
    <x v="0"/>
    <x v="0"/>
  </r>
  <r>
    <x v="98"/>
    <x v="1"/>
    <s v="GM"/>
    <x v="30"/>
    <x v="12"/>
    <s v="Bank"/>
    <x v="19"/>
    <n v="-2953.64"/>
    <b v="1"/>
    <n v="-2953.64"/>
    <x v="0"/>
    <s v="Assets"/>
    <s v="Cash alike"/>
    <x v="1"/>
    <x v="1"/>
    <x v="0"/>
    <x v="0"/>
    <x v="12"/>
    <x v="1"/>
    <x v="0"/>
    <x v="0"/>
  </r>
  <r>
    <x v="99"/>
    <x v="1"/>
    <s v="GM"/>
    <x v="30"/>
    <x v="12"/>
    <s v="Bank"/>
    <x v="19"/>
    <n v="-462.08"/>
    <b v="1"/>
    <n v="-462.08"/>
    <x v="0"/>
    <s v="Assets"/>
    <s v="Cash alike"/>
    <x v="1"/>
    <x v="1"/>
    <x v="0"/>
    <x v="0"/>
    <x v="12"/>
    <x v="1"/>
    <x v="0"/>
    <x v="0"/>
  </r>
  <r>
    <x v="100"/>
    <x v="1"/>
    <s v="GM"/>
    <x v="18"/>
    <x v="12"/>
    <s v="Bank"/>
    <x v="19"/>
    <n v="-479"/>
    <b v="1"/>
    <n v="-479"/>
    <x v="0"/>
    <s v="Assets"/>
    <s v="Cash alike"/>
    <x v="1"/>
    <x v="1"/>
    <x v="0"/>
    <x v="0"/>
    <x v="12"/>
    <x v="1"/>
    <x v="0"/>
    <x v="0"/>
  </r>
  <r>
    <x v="101"/>
    <x v="1"/>
    <s v="Zhuse"/>
    <x v="31"/>
    <x v="12"/>
    <s v="Bank"/>
    <x v="19"/>
    <n v="-4500"/>
    <b v="1"/>
    <n v="-4500"/>
    <x v="0"/>
    <s v="Assets"/>
    <s v="Cash alike"/>
    <x v="2"/>
    <x v="1"/>
    <x v="0"/>
    <x v="0"/>
    <x v="12"/>
    <x v="5"/>
    <x v="0"/>
    <x v="0"/>
  </r>
  <r>
    <x v="102"/>
    <x v="1"/>
    <s v="GM"/>
    <x v="18"/>
    <x v="12"/>
    <s v="Bank"/>
    <x v="19"/>
    <n v="-2478"/>
    <b v="1"/>
    <n v="-2478"/>
    <x v="0"/>
    <s v="Assets"/>
    <s v="Cash alike"/>
    <x v="1"/>
    <x v="1"/>
    <x v="0"/>
    <x v="0"/>
    <x v="12"/>
    <x v="1"/>
    <x v="0"/>
    <x v="0"/>
  </r>
  <r>
    <x v="103"/>
    <x v="1"/>
    <s v="Zhuse"/>
    <x v="32"/>
    <x v="12"/>
    <s v="Bank"/>
    <x v="19"/>
    <n v="-3860"/>
    <b v="1"/>
    <n v="-3860"/>
    <x v="0"/>
    <s v="Assets"/>
    <s v="Cash alike"/>
    <x v="1"/>
    <x v="1"/>
    <x v="0"/>
    <x v="0"/>
    <x v="12"/>
    <x v="5"/>
    <x v="0"/>
    <x v="0"/>
  </r>
  <r>
    <x v="104"/>
    <x v="1"/>
    <s v="Zhuse"/>
    <x v="31"/>
    <x v="12"/>
    <s v="Bank"/>
    <x v="19"/>
    <n v="26300.7"/>
    <b v="1"/>
    <n v="26300.7"/>
    <x v="0"/>
    <s v="Assets"/>
    <s v="Cash alike"/>
    <x v="2"/>
    <x v="1"/>
    <x v="0"/>
    <x v="0"/>
    <x v="12"/>
    <x v="5"/>
    <x v="0"/>
    <x v="0"/>
  </r>
  <r>
    <x v="105"/>
    <x v="1"/>
    <s v="GM"/>
    <x v="13"/>
    <x v="12"/>
    <s v="Bank"/>
    <x v="19"/>
    <n v="-21"/>
    <b v="1"/>
    <n v="-21"/>
    <x v="0"/>
    <s v="Assets"/>
    <s v="Cash alike"/>
    <x v="1"/>
    <x v="1"/>
    <x v="0"/>
    <x v="0"/>
    <x v="12"/>
    <x v="1"/>
    <x v="0"/>
    <x v="0"/>
  </r>
  <r>
    <x v="106"/>
    <x v="1"/>
    <s v="GM"/>
    <x v="15"/>
    <x v="12"/>
    <s v="Bank"/>
    <x v="19"/>
    <n v="-15000"/>
    <b v="1"/>
    <n v="-15000"/>
    <x v="0"/>
    <s v="Assets"/>
    <s v="Cash alike"/>
    <x v="4"/>
    <x v="0"/>
    <x v="0"/>
    <x v="0"/>
    <x v="12"/>
    <x v="1"/>
    <x v="0"/>
    <x v="0"/>
  </r>
  <r>
    <x v="107"/>
    <x v="1"/>
    <s v="MY"/>
    <x v="12"/>
    <x v="7"/>
    <s v="ToTax"/>
    <x v="47"/>
    <n v="900"/>
    <b v="1"/>
    <n v="-900"/>
    <x v="1"/>
    <s v="Liability"/>
    <s v="Rec-Pay"/>
    <x v="2"/>
    <x v="1"/>
    <x v="1"/>
    <x v="11"/>
    <x v="7"/>
    <x v="4"/>
    <x v="0"/>
    <x v="0"/>
  </r>
  <r>
    <x v="108"/>
    <x v="1"/>
    <s v="Ctrl"/>
    <x v="7"/>
    <x v="12"/>
    <s v="Bank"/>
    <x v="19"/>
    <n v="-85000"/>
    <b v="1"/>
    <n v="-85000"/>
    <x v="0"/>
    <s v="Assets"/>
    <s v="Cash alike"/>
    <x v="0"/>
    <x v="0"/>
    <x v="0"/>
    <x v="0"/>
    <x v="12"/>
    <x v="0"/>
    <x v="0"/>
    <x v="0"/>
  </r>
  <r>
    <x v="108"/>
    <x v="1"/>
    <s v="Ctrl"/>
    <x v="7"/>
    <x v="8"/>
    <s v="Bank"/>
    <x v="11"/>
    <n v="85000"/>
    <b v="1"/>
    <n v="85000"/>
    <x v="0"/>
    <s v="Assets"/>
    <s v="Cash alike"/>
    <x v="0"/>
    <x v="0"/>
    <x v="0"/>
    <x v="0"/>
    <x v="8"/>
    <x v="0"/>
    <x v="0"/>
    <x v="0"/>
  </r>
  <r>
    <x v="109"/>
    <x v="1"/>
    <s v="Zhuse"/>
    <x v="14"/>
    <x v="12"/>
    <s v="ToEmp"/>
    <x v="52"/>
    <n v="36551.61"/>
    <b v="1"/>
    <n v="-36551.61"/>
    <x v="1"/>
    <s v="Liability"/>
    <s v="Rec-Pay"/>
    <x v="1"/>
    <x v="1"/>
    <x v="1"/>
    <x v="12"/>
    <x v="12"/>
    <x v="5"/>
    <x v="0"/>
    <x v="0"/>
  </r>
  <r>
    <x v="110"/>
    <x v="1"/>
    <s v="Zhuse"/>
    <x v="12"/>
    <x v="12"/>
    <s v="ToTax"/>
    <x v="47"/>
    <n v="265.31"/>
    <b v="1"/>
    <n v="-265.31"/>
    <x v="1"/>
    <s v="Liability"/>
    <s v="Rec-Pay"/>
    <x v="2"/>
    <x v="1"/>
    <x v="1"/>
    <x v="11"/>
    <x v="12"/>
    <x v="5"/>
    <x v="0"/>
    <x v="0"/>
  </r>
  <r>
    <x v="111"/>
    <x v="1"/>
    <s v="Zhuse"/>
    <x v="23"/>
    <x v="12"/>
    <s v="Bank"/>
    <x v="20"/>
    <n v="200"/>
    <b v="1"/>
    <n v="200"/>
    <x v="0"/>
    <s v="Assets"/>
    <s v="Cash alike"/>
    <x v="3"/>
    <x v="1"/>
    <x v="0"/>
    <x v="0"/>
    <x v="12"/>
    <x v="5"/>
    <x v="0"/>
    <x v="0"/>
  </r>
  <r>
    <x v="112"/>
    <x v="1"/>
    <s v="Shuijie"/>
    <x v="33"/>
    <x v="6"/>
    <s v="Bank"/>
    <x v="8"/>
    <n v="12892.74"/>
    <b v="1"/>
    <n v="12892.74"/>
    <x v="0"/>
    <s v="Assets"/>
    <s v="Cash alike"/>
    <x v="3"/>
    <x v="1"/>
    <x v="0"/>
    <x v="0"/>
    <x v="6"/>
    <x v="6"/>
    <x v="0"/>
    <x v="0"/>
  </r>
  <r>
    <x v="112"/>
    <x v="1"/>
    <s v="Shuijie"/>
    <x v="33"/>
    <x v="6"/>
    <s v="AR"/>
    <x v="21"/>
    <n v="-12892.74"/>
    <b v="1"/>
    <n v="-12892.74"/>
    <x v="0"/>
    <s v="Assets"/>
    <s v="Rec-Pay"/>
    <x v="3"/>
    <x v="1"/>
    <x v="1"/>
    <x v="2"/>
    <x v="6"/>
    <x v="6"/>
    <x v="0"/>
    <x v="0"/>
  </r>
  <r>
    <x v="113"/>
    <x v="1"/>
    <s v="Shuijie"/>
    <x v="34"/>
    <x v="6"/>
    <s v="Bank"/>
    <x v="8"/>
    <n v="373.69000000000051"/>
    <b v="1"/>
    <n v="373.69000000000051"/>
    <x v="0"/>
    <s v="Assets"/>
    <s v="Cash alike"/>
    <x v="3"/>
    <x v="1"/>
    <x v="0"/>
    <x v="0"/>
    <x v="6"/>
    <x v="6"/>
    <x v="0"/>
    <x v="0"/>
  </r>
  <r>
    <x v="114"/>
    <x v="1"/>
    <s v="Shuijie"/>
    <x v="8"/>
    <x v="6"/>
    <s v="Bank"/>
    <x v="8"/>
    <n v="-256"/>
    <b v="1"/>
    <n v="-256"/>
    <x v="0"/>
    <s v="Assets"/>
    <s v="Cash alike"/>
    <x v="2"/>
    <x v="1"/>
    <x v="0"/>
    <x v="0"/>
    <x v="6"/>
    <x v="6"/>
    <x v="0"/>
    <x v="0"/>
  </r>
  <r>
    <x v="114"/>
    <x v="1"/>
    <s v="Shuijie"/>
    <x v="8"/>
    <x v="6"/>
    <s v="Order"/>
    <x v="35"/>
    <n v="256"/>
    <b v="1"/>
    <n v="256"/>
    <x v="0"/>
    <s v="Assets"/>
    <s v="Prep-Sub"/>
    <x v="2"/>
    <x v="1"/>
    <x v="2"/>
    <x v="6"/>
    <x v="6"/>
    <x v="6"/>
    <x v="0"/>
    <x v="0"/>
  </r>
  <r>
    <x v="115"/>
    <x v="1"/>
    <s v="Shuijie"/>
    <x v="35"/>
    <x v="6"/>
    <s v="Bank"/>
    <x v="8"/>
    <n v="-3839"/>
    <b v="1"/>
    <n v="-3839"/>
    <x v="0"/>
    <s v="Assets"/>
    <s v="Cash alike"/>
    <x v="2"/>
    <x v="1"/>
    <x v="0"/>
    <x v="0"/>
    <x v="6"/>
    <x v="6"/>
    <x v="0"/>
    <x v="0"/>
  </r>
  <r>
    <x v="116"/>
    <x v="1"/>
    <s v="Shuijie"/>
    <x v="8"/>
    <x v="6"/>
    <s v="Bank"/>
    <x v="8"/>
    <n v="-6990"/>
    <b v="1"/>
    <n v="-6990"/>
    <x v="0"/>
    <s v="Assets"/>
    <s v="Cash alike"/>
    <x v="2"/>
    <x v="1"/>
    <x v="0"/>
    <x v="0"/>
    <x v="6"/>
    <x v="6"/>
    <x v="0"/>
    <x v="0"/>
  </r>
  <r>
    <x v="116"/>
    <x v="1"/>
    <s v="Shuijie"/>
    <x v="8"/>
    <x v="6"/>
    <s v="Order"/>
    <x v="35"/>
    <n v="6990"/>
    <b v="1"/>
    <n v="6990"/>
    <x v="0"/>
    <s v="Assets"/>
    <s v="Prep-Sub"/>
    <x v="2"/>
    <x v="1"/>
    <x v="2"/>
    <x v="6"/>
    <x v="6"/>
    <x v="6"/>
    <x v="0"/>
    <x v="0"/>
  </r>
  <r>
    <x v="117"/>
    <x v="1"/>
    <s v="Shuijie"/>
    <x v="8"/>
    <x v="6"/>
    <s v="Bank"/>
    <x v="8"/>
    <n v="-3000"/>
    <b v="1"/>
    <n v="-3000"/>
    <x v="0"/>
    <s v="Assets"/>
    <s v="Cash alike"/>
    <x v="2"/>
    <x v="1"/>
    <x v="0"/>
    <x v="0"/>
    <x v="6"/>
    <x v="6"/>
    <x v="0"/>
    <x v="0"/>
  </r>
  <r>
    <x v="117"/>
    <x v="1"/>
    <s v="Shuijie"/>
    <x v="8"/>
    <x v="6"/>
    <s v="Order"/>
    <x v="35"/>
    <n v="3000"/>
    <b v="1"/>
    <n v="3000"/>
    <x v="0"/>
    <s v="Assets"/>
    <s v="Prep-Sub"/>
    <x v="2"/>
    <x v="1"/>
    <x v="2"/>
    <x v="6"/>
    <x v="6"/>
    <x v="6"/>
    <x v="0"/>
    <x v="0"/>
  </r>
  <r>
    <x v="118"/>
    <x v="1"/>
    <s v="Shuijie"/>
    <x v="35"/>
    <x v="6"/>
    <s v="Bank"/>
    <x v="8"/>
    <n v="-2820"/>
    <b v="1"/>
    <n v="-2820"/>
    <x v="0"/>
    <s v="Assets"/>
    <s v="Cash alike"/>
    <x v="2"/>
    <x v="1"/>
    <x v="0"/>
    <x v="0"/>
    <x v="6"/>
    <x v="6"/>
    <x v="0"/>
    <x v="0"/>
  </r>
  <r>
    <x v="119"/>
    <x v="1"/>
    <s v="Shuijie"/>
    <x v="36"/>
    <x v="6"/>
    <s v="Bank"/>
    <x v="8"/>
    <n v="-2250"/>
    <b v="1"/>
    <n v="-2250"/>
    <x v="0"/>
    <s v="Assets"/>
    <s v="Cash alike"/>
    <x v="2"/>
    <x v="1"/>
    <x v="0"/>
    <x v="0"/>
    <x v="6"/>
    <x v="6"/>
    <x v="0"/>
    <x v="0"/>
  </r>
  <r>
    <x v="120"/>
    <x v="1"/>
    <s v="GM"/>
    <x v="6"/>
    <x v="6"/>
    <s v="Bank"/>
    <x v="8"/>
    <n v="-36070.720000000001"/>
    <b v="1"/>
    <n v="-36070.720000000001"/>
    <x v="0"/>
    <s v="Assets"/>
    <s v="Cash alike"/>
    <x v="1"/>
    <x v="1"/>
    <x v="0"/>
    <x v="0"/>
    <x v="6"/>
    <x v="1"/>
    <x v="0"/>
    <x v="0"/>
  </r>
  <r>
    <x v="120"/>
    <x v="1"/>
    <s v="GM"/>
    <x v="6"/>
    <x v="6"/>
    <s v="FrOther"/>
    <x v="22"/>
    <n v="10497.3"/>
    <b v="1"/>
    <n v="10497.3"/>
    <x v="0"/>
    <s v="Assets"/>
    <s v="Rec-Pay"/>
    <x v="1"/>
    <x v="1"/>
    <x v="1"/>
    <x v="3"/>
    <x v="6"/>
    <x v="1"/>
    <x v="0"/>
    <x v="0"/>
  </r>
  <r>
    <x v="121"/>
    <x v="1"/>
    <s v="Shuijie"/>
    <x v="36"/>
    <x v="6"/>
    <s v="Bank"/>
    <x v="8"/>
    <n v="-1300"/>
    <b v="1"/>
    <n v="-1300"/>
    <x v="0"/>
    <s v="Assets"/>
    <s v="Cash alike"/>
    <x v="2"/>
    <x v="1"/>
    <x v="0"/>
    <x v="0"/>
    <x v="6"/>
    <x v="6"/>
    <x v="0"/>
    <x v="0"/>
  </r>
  <r>
    <x v="122"/>
    <x v="1"/>
    <s v="Shuijie"/>
    <x v="8"/>
    <x v="6"/>
    <s v="Bank"/>
    <x v="8"/>
    <n v="-2015"/>
    <b v="1"/>
    <n v="-2015"/>
    <x v="0"/>
    <s v="Assets"/>
    <s v="Cash alike"/>
    <x v="1"/>
    <x v="1"/>
    <x v="0"/>
    <x v="0"/>
    <x v="6"/>
    <x v="6"/>
    <x v="0"/>
    <x v="0"/>
  </r>
  <r>
    <x v="122"/>
    <x v="1"/>
    <s v="Shuijie"/>
    <x v="8"/>
    <x v="6"/>
    <s v="Order"/>
    <x v="35"/>
    <n v="2015"/>
    <b v="1"/>
    <n v="2015"/>
    <x v="0"/>
    <s v="Assets"/>
    <s v="Prep-Sub"/>
    <x v="1"/>
    <x v="1"/>
    <x v="2"/>
    <x v="6"/>
    <x v="6"/>
    <x v="6"/>
    <x v="0"/>
    <x v="0"/>
  </r>
  <r>
    <x v="123"/>
    <x v="1"/>
    <s v="Shuijie"/>
    <x v="35"/>
    <x v="6"/>
    <s v="Bank"/>
    <x v="8"/>
    <n v="-22050"/>
    <b v="1"/>
    <n v="-22050"/>
    <x v="0"/>
    <s v="Assets"/>
    <s v="Cash alike"/>
    <x v="2"/>
    <x v="1"/>
    <x v="0"/>
    <x v="0"/>
    <x v="6"/>
    <x v="6"/>
    <x v="0"/>
    <x v="0"/>
  </r>
  <r>
    <x v="124"/>
    <x v="1"/>
    <s v="Shuijie"/>
    <x v="8"/>
    <x v="6"/>
    <s v="Order"/>
    <x v="35"/>
    <n v="564"/>
    <b v="1"/>
    <n v="564"/>
    <x v="0"/>
    <s v="Assets"/>
    <s v="Prep-Sub"/>
    <x v="2"/>
    <x v="1"/>
    <x v="2"/>
    <x v="6"/>
    <x v="6"/>
    <x v="6"/>
    <x v="0"/>
    <x v="0"/>
  </r>
  <r>
    <x v="124"/>
    <x v="1"/>
    <s v="Shuijie"/>
    <x v="8"/>
    <x v="6"/>
    <s v="Bank"/>
    <x v="8"/>
    <n v="-564"/>
    <b v="1"/>
    <n v="-564"/>
    <x v="0"/>
    <s v="Assets"/>
    <s v="Cash alike"/>
    <x v="2"/>
    <x v="1"/>
    <x v="0"/>
    <x v="0"/>
    <x v="6"/>
    <x v="6"/>
    <x v="0"/>
    <x v="0"/>
  </r>
  <r>
    <x v="125"/>
    <x v="1"/>
    <s v="Shuijie"/>
    <x v="8"/>
    <x v="6"/>
    <s v="Order"/>
    <x v="35"/>
    <n v="3360"/>
    <b v="1"/>
    <n v="3360"/>
    <x v="0"/>
    <s v="Assets"/>
    <s v="Prep-Sub"/>
    <x v="2"/>
    <x v="1"/>
    <x v="2"/>
    <x v="6"/>
    <x v="6"/>
    <x v="6"/>
    <x v="0"/>
    <x v="0"/>
  </r>
  <r>
    <x v="125"/>
    <x v="1"/>
    <s v="Shuijie"/>
    <x v="8"/>
    <x v="6"/>
    <s v="Bank"/>
    <x v="8"/>
    <n v="-3360"/>
    <b v="1"/>
    <n v="-3360"/>
    <x v="0"/>
    <s v="Assets"/>
    <s v="Cash alike"/>
    <x v="2"/>
    <x v="1"/>
    <x v="0"/>
    <x v="0"/>
    <x v="6"/>
    <x v="6"/>
    <x v="0"/>
    <x v="0"/>
  </r>
  <r>
    <x v="126"/>
    <x v="1"/>
    <s v="Shuijie"/>
    <x v="8"/>
    <x v="6"/>
    <s v="Order"/>
    <x v="35"/>
    <n v="5252"/>
    <b v="1"/>
    <n v="5252"/>
    <x v="0"/>
    <s v="Assets"/>
    <s v="Prep-Sub"/>
    <x v="2"/>
    <x v="1"/>
    <x v="2"/>
    <x v="6"/>
    <x v="6"/>
    <x v="6"/>
    <x v="0"/>
    <x v="0"/>
  </r>
  <r>
    <x v="126"/>
    <x v="1"/>
    <s v="Shuijie"/>
    <x v="8"/>
    <x v="6"/>
    <s v="Bank"/>
    <x v="8"/>
    <n v="-5252"/>
    <b v="1"/>
    <n v="-5252"/>
    <x v="0"/>
    <s v="Assets"/>
    <s v="Cash alike"/>
    <x v="2"/>
    <x v="1"/>
    <x v="0"/>
    <x v="0"/>
    <x v="6"/>
    <x v="6"/>
    <x v="0"/>
    <x v="0"/>
  </r>
  <r>
    <x v="127"/>
    <x v="1"/>
    <s v="Shuijie"/>
    <x v="35"/>
    <x v="6"/>
    <s v="Bank"/>
    <x v="8"/>
    <n v="-30085.119999999999"/>
    <b v="1"/>
    <n v="-30085.119999999999"/>
    <x v="0"/>
    <s v="Assets"/>
    <s v="Cash alike"/>
    <x v="2"/>
    <x v="1"/>
    <x v="0"/>
    <x v="0"/>
    <x v="6"/>
    <x v="6"/>
    <x v="0"/>
    <x v="0"/>
  </r>
  <r>
    <x v="128"/>
    <x v="1"/>
    <s v="Shuijie"/>
    <x v="8"/>
    <x v="6"/>
    <s v="Order"/>
    <x v="35"/>
    <n v="3218"/>
    <b v="1"/>
    <n v="3218"/>
    <x v="0"/>
    <s v="Assets"/>
    <s v="Prep-Sub"/>
    <x v="2"/>
    <x v="1"/>
    <x v="2"/>
    <x v="6"/>
    <x v="6"/>
    <x v="6"/>
    <x v="0"/>
    <x v="0"/>
  </r>
  <r>
    <x v="128"/>
    <x v="1"/>
    <s v="Shuijie"/>
    <x v="8"/>
    <x v="6"/>
    <s v="Bank"/>
    <x v="8"/>
    <n v="-3218"/>
    <b v="1"/>
    <n v="-3218"/>
    <x v="0"/>
    <s v="Assets"/>
    <s v="Cash alike"/>
    <x v="2"/>
    <x v="1"/>
    <x v="0"/>
    <x v="0"/>
    <x v="6"/>
    <x v="6"/>
    <x v="0"/>
    <x v="0"/>
  </r>
  <r>
    <x v="129"/>
    <x v="1"/>
    <s v="Shuijie"/>
    <x v="8"/>
    <x v="6"/>
    <s v="Order"/>
    <x v="35"/>
    <n v="3750"/>
    <b v="1"/>
    <n v="3750"/>
    <x v="0"/>
    <s v="Assets"/>
    <s v="Prep-Sub"/>
    <x v="2"/>
    <x v="1"/>
    <x v="2"/>
    <x v="6"/>
    <x v="6"/>
    <x v="6"/>
    <x v="0"/>
    <x v="0"/>
  </r>
  <r>
    <x v="129"/>
    <x v="1"/>
    <s v="Shuijie"/>
    <x v="8"/>
    <x v="6"/>
    <s v="Bank"/>
    <x v="8"/>
    <n v="-3750"/>
    <b v="1"/>
    <n v="-3750"/>
    <x v="0"/>
    <s v="Assets"/>
    <s v="Cash alike"/>
    <x v="2"/>
    <x v="1"/>
    <x v="0"/>
    <x v="0"/>
    <x v="6"/>
    <x v="6"/>
    <x v="0"/>
    <x v="0"/>
  </r>
  <r>
    <x v="130"/>
    <x v="1"/>
    <s v="Shuijie"/>
    <x v="8"/>
    <x v="6"/>
    <s v="Order"/>
    <x v="35"/>
    <n v="1990"/>
    <b v="1"/>
    <n v="1990"/>
    <x v="0"/>
    <s v="Assets"/>
    <s v="Prep-Sub"/>
    <x v="2"/>
    <x v="1"/>
    <x v="2"/>
    <x v="6"/>
    <x v="6"/>
    <x v="6"/>
    <x v="0"/>
    <x v="0"/>
  </r>
  <r>
    <x v="130"/>
    <x v="1"/>
    <s v="Shuijie"/>
    <x v="8"/>
    <x v="6"/>
    <s v="Bank"/>
    <x v="8"/>
    <n v="-1990"/>
    <b v="1"/>
    <n v="-1990"/>
    <x v="0"/>
    <s v="Assets"/>
    <s v="Cash alike"/>
    <x v="2"/>
    <x v="1"/>
    <x v="0"/>
    <x v="0"/>
    <x v="6"/>
    <x v="6"/>
    <x v="0"/>
    <x v="0"/>
  </r>
  <r>
    <x v="131"/>
    <x v="1"/>
    <s v="Shuijie"/>
    <x v="8"/>
    <x v="6"/>
    <s v="Order"/>
    <x v="35"/>
    <n v="2540"/>
    <b v="1"/>
    <n v="2540"/>
    <x v="0"/>
    <s v="Assets"/>
    <s v="Prep-Sub"/>
    <x v="2"/>
    <x v="1"/>
    <x v="2"/>
    <x v="6"/>
    <x v="6"/>
    <x v="6"/>
    <x v="0"/>
    <x v="0"/>
  </r>
  <r>
    <x v="131"/>
    <x v="1"/>
    <s v="Shuijie"/>
    <x v="8"/>
    <x v="6"/>
    <s v="Bank"/>
    <x v="8"/>
    <n v="-2540"/>
    <b v="1"/>
    <n v="-2540"/>
    <x v="0"/>
    <s v="Assets"/>
    <s v="Cash alike"/>
    <x v="2"/>
    <x v="1"/>
    <x v="0"/>
    <x v="0"/>
    <x v="6"/>
    <x v="6"/>
    <x v="0"/>
    <x v="0"/>
  </r>
  <r>
    <x v="132"/>
    <x v="1"/>
    <s v="GM"/>
    <x v="8"/>
    <x v="6"/>
    <s v="Bank"/>
    <x v="8"/>
    <n v="-143950.89000000001"/>
    <b v="1"/>
    <n v="-143950.89000000001"/>
    <x v="0"/>
    <s v="Assets"/>
    <s v="Cash alike"/>
    <x v="1"/>
    <x v="1"/>
    <x v="0"/>
    <x v="0"/>
    <x v="6"/>
    <x v="1"/>
    <x v="0"/>
    <x v="0"/>
  </r>
  <r>
    <x v="132"/>
    <x v="1"/>
    <s v="GM"/>
    <x v="8"/>
    <x v="6"/>
    <s v="FrOther"/>
    <x v="22"/>
    <n v="-11451.6"/>
    <b v="1"/>
    <n v="-11451.6"/>
    <x v="0"/>
    <s v="Assets"/>
    <s v="Rec-Pay"/>
    <x v="1"/>
    <x v="1"/>
    <x v="1"/>
    <x v="3"/>
    <x v="6"/>
    <x v="1"/>
    <x v="0"/>
    <x v="0"/>
  </r>
  <r>
    <x v="132"/>
    <x v="1"/>
    <s v="GM"/>
    <x v="8"/>
    <x v="6"/>
    <s v="ToTax"/>
    <x v="54"/>
    <n v="1105.48"/>
    <b v="1"/>
    <n v="-1105.48"/>
    <x v="1"/>
    <s v="Liability"/>
    <s v="Rec-Pay"/>
    <x v="1"/>
    <x v="1"/>
    <x v="1"/>
    <x v="11"/>
    <x v="6"/>
    <x v="1"/>
    <x v="0"/>
    <x v="0"/>
  </r>
  <r>
    <x v="132"/>
    <x v="1"/>
    <s v="GM"/>
    <x v="8"/>
    <x v="6"/>
    <s v="ToEmp"/>
    <x v="52"/>
    <n v="-156507.97"/>
    <b v="1"/>
    <n v="156507.97"/>
    <x v="1"/>
    <s v="Liability"/>
    <s v="Rec-Pay"/>
    <x v="1"/>
    <x v="1"/>
    <x v="1"/>
    <x v="12"/>
    <x v="6"/>
    <x v="1"/>
    <x v="0"/>
    <x v="0"/>
  </r>
  <r>
    <x v="133"/>
    <x v="1"/>
    <s v="GM"/>
    <x v="8"/>
    <x v="6"/>
    <s v="ToTax"/>
    <x v="54"/>
    <n v="-1105.48"/>
    <b v="1"/>
    <n v="1105.48"/>
    <x v="1"/>
    <s v="Liability"/>
    <s v="Rec-Pay"/>
    <x v="1"/>
    <x v="1"/>
    <x v="1"/>
    <x v="11"/>
    <x v="6"/>
    <x v="1"/>
    <x v="0"/>
    <x v="0"/>
  </r>
  <r>
    <x v="133"/>
    <x v="1"/>
    <s v="GM"/>
    <x v="8"/>
    <x v="6"/>
    <s v="Bank"/>
    <x v="8"/>
    <n v="-1105.48"/>
    <b v="1"/>
    <n v="-1105.48"/>
    <x v="0"/>
    <s v="Assets"/>
    <s v="Cash alike"/>
    <x v="1"/>
    <x v="1"/>
    <x v="0"/>
    <x v="0"/>
    <x v="6"/>
    <x v="1"/>
    <x v="0"/>
    <x v="0"/>
  </r>
  <r>
    <x v="134"/>
    <x v="1"/>
    <s v="Shuijie"/>
    <x v="8"/>
    <x v="6"/>
    <s v="Bank"/>
    <x v="8"/>
    <n v="-1922.72"/>
    <b v="1"/>
    <n v="-1922.72"/>
    <x v="0"/>
    <s v="Assets"/>
    <s v="Cash alike"/>
    <x v="1"/>
    <x v="1"/>
    <x v="0"/>
    <x v="0"/>
    <x v="6"/>
    <x v="6"/>
    <x v="0"/>
    <x v="0"/>
  </r>
  <r>
    <x v="134"/>
    <x v="1"/>
    <s v="Shuijie"/>
    <x v="8"/>
    <x v="6"/>
    <s v="OnEmp"/>
    <x v="24"/>
    <n v="1922.72"/>
    <b v="1"/>
    <n v="1922.72"/>
    <x v="0"/>
    <s v="Assets"/>
    <s v="Prep-Sub"/>
    <x v="1"/>
    <x v="1"/>
    <x v="2"/>
    <x v="5"/>
    <x v="6"/>
    <x v="6"/>
    <x v="0"/>
    <x v="0"/>
  </r>
  <r>
    <x v="135"/>
    <x v="1"/>
    <s v="Shuijie"/>
    <x v="37"/>
    <x v="6"/>
    <s v="Bank"/>
    <x v="8"/>
    <n v="-2959"/>
    <b v="1"/>
    <n v="-2959"/>
    <x v="0"/>
    <s v="Assets"/>
    <s v="Cash alike"/>
    <x v="1"/>
    <x v="1"/>
    <x v="0"/>
    <x v="0"/>
    <x v="6"/>
    <x v="6"/>
    <x v="0"/>
    <x v="0"/>
  </r>
  <r>
    <x v="136"/>
    <x v="1"/>
    <s v="Shuijie"/>
    <x v="35"/>
    <x v="6"/>
    <s v="Bank"/>
    <x v="8"/>
    <n v="-14186"/>
    <b v="1"/>
    <n v="-14186"/>
    <x v="0"/>
    <s v="Assets"/>
    <s v="Cash alike"/>
    <x v="2"/>
    <x v="1"/>
    <x v="0"/>
    <x v="0"/>
    <x v="6"/>
    <x v="6"/>
    <x v="0"/>
    <x v="0"/>
  </r>
  <r>
    <x v="137"/>
    <x v="1"/>
    <s v="Shuijie"/>
    <x v="8"/>
    <x v="6"/>
    <s v="Bank"/>
    <x v="8"/>
    <n v="-570"/>
    <b v="1"/>
    <n v="-570"/>
    <x v="0"/>
    <s v="Assets"/>
    <s v="Cash alike"/>
    <x v="2"/>
    <x v="1"/>
    <x v="0"/>
    <x v="0"/>
    <x v="6"/>
    <x v="6"/>
    <x v="0"/>
    <x v="0"/>
  </r>
  <r>
    <x v="137"/>
    <x v="1"/>
    <s v="Shuijie"/>
    <x v="8"/>
    <x v="6"/>
    <s v="Order"/>
    <x v="35"/>
    <n v="570"/>
    <b v="1"/>
    <n v="570"/>
    <x v="0"/>
    <s v="Assets"/>
    <s v="Prep-Sub"/>
    <x v="2"/>
    <x v="1"/>
    <x v="2"/>
    <x v="6"/>
    <x v="6"/>
    <x v="6"/>
    <x v="0"/>
    <x v="0"/>
  </r>
  <r>
    <x v="138"/>
    <x v="1"/>
    <s v="Ctrl"/>
    <x v="8"/>
    <x v="6"/>
    <s v="Bank"/>
    <x v="8"/>
    <n v="-30461.37"/>
    <b v="1"/>
    <n v="-30461.37"/>
    <x v="0"/>
    <s v="Assets"/>
    <s v="Cash alike"/>
    <x v="1"/>
    <x v="1"/>
    <x v="0"/>
    <x v="0"/>
    <x v="6"/>
    <x v="0"/>
    <x v="0"/>
    <x v="0"/>
  </r>
  <r>
    <x v="138"/>
    <x v="1"/>
    <s v="Ctrl"/>
    <x v="8"/>
    <x v="6"/>
    <s v="ToTax"/>
    <x v="47"/>
    <n v="-12329.72"/>
    <b v="1"/>
    <n v="12329.72"/>
    <x v="1"/>
    <s v="Liability"/>
    <s v="Rec-Pay"/>
    <x v="1"/>
    <x v="1"/>
    <x v="1"/>
    <x v="11"/>
    <x v="6"/>
    <x v="0"/>
    <x v="0"/>
    <x v="0"/>
  </r>
  <r>
    <x v="138"/>
    <x v="1"/>
    <s v="Ctrl"/>
    <x v="8"/>
    <x v="6"/>
    <s v="ToTax"/>
    <x v="49"/>
    <n v="-856.77"/>
    <b v="1"/>
    <n v="856.77"/>
    <x v="1"/>
    <s v="Liability"/>
    <s v="Rec-Pay"/>
    <x v="1"/>
    <x v="1"/>
    <x v="1"/>
    <x v="11"/>
    <x v="6"/>
    <x v="0"/>
    <x v="0"/>
    <x v="0"/>
  </r>
  <r>
    <x v="138"/>
    <x v="1"/>
    <s v="Ctrl"/>
    <x v="8"/>
    <x v="6"/>
    <s v="ToTax"/>
    <x v="50"/>
    <n v="-72.72"/>
    <b v="1"/>
    <n v="72.72"/>
    <x v="1"/>
    <s v="Liability"/>
    <s v="Rec-Pay"/>
    <x v="1"/>
    <x v="1"/>
    <x v="1"/>
    <x v="11"/>
    <x v="6"/>
    <x v="0"/>
    <x v="0"/>
    <x v="0"/>
  </r>
  <r>
    <x v="138"/>
    <x v="1"/>
    <s v="Ctrl"/>
    <x v="8"/>
    <x v="6"/>
    <s v="ToTax"/>
    <x v="51"/>
    <n v="-17202.16"/>
    <b v="1"/>
    <n v="17202.16"/>
    <x v="1"/>
    <s v="Liability"/>
    <s v="Rec-Pay"/>
    <x v="1"/>
    <x v="1"/>
    <x v="1"/>
    <x v="11"/>
    <x v="6"/>
    <x v="0"/>
    <x v="0"/>
    <x v="0"/>
  </r>
  <r>
    <x v="139"/>
    <x v="1"/>
    <s v="Shuijie"/>
    <x v="11"/>
    <x v="6"/>
    <s v="Bank"/>
    <x v="8"/>
    <n v="-1690"/>
    <b v="1"/>
    <n v="-1690"/>
    <x v="0"/>
    <s v="Assets"/>
    <s v="Cash alike"/>
    <x v="2"/>
    <x v="1"/>
    <x v="0"/>
    <x v="0"/>
    <x v="6"/>
    <x v="6"/>
    <x v="0"/>
    <x v="0"/>
  </r>
  <r>
    <x v="139"/>
    <x v="1"/>
    <s v="Shuijie"/>
    <x v="11"/>
    <x v="6"/>
    <s v="Curr"/>
    <x v="37"/>
    <n v="1690"/>
    <b v="1"/>
    <n v="1690"/>
    <x v="0"/>
    <s v="Assets"/>
    <s v="Invtr"/>
    <x v="2"/>
    <x v="1"/>
    <x v="3"/>
    <x v="7"/>
    <x v="6"/>
    <x v="6"/>
    <x v="0"/>
    <x v="0"/>
  </r>
  <r>
    <x v="140"/>
    <x v="1"/>
    <s v="Shuijie"/>
    <x v="8"/>
    <x v="6"/>
    <s v="Order"/>
    <x v="35"/>
    <n v="4828"/>
    <b v="1"/>
    <n v="4828"/>
    <x v="0"/>
    <s v="Assets"/>
    <s v="Prep-Sub"/>
    <x v="2"/>
    <x v="1"/>
    <x v="2"/>
    <x v="6"/>
    <x v="6"/>
    <x v="6"/>
    <x v="0"/>
    <x v="0"/>
  </r>
  <r>
    <x v="140"/>
    <x v="1"/>
    <s v="Shuijie"/>
    <x v="8"/>
    <x v="6"/>
    <s v="Bank"/>
    <x v="8"/>
    <n v="-4828"/>
    <b v="1"/>
    <n v="-4828"/>
    <x v="0"/>
    <s v="Assets"/>
    <s v="Cash alike"/>
    <x v="2"/>
    <x v="1"/>
    <x v="0"/>
    <x v="0"/>
    <x v="6"/>
    <x v="6"/>
    <x v="0"/>
    <x v="0"/>
  </r>
  <r>
    <x v="141"/>
    <x v="1"/>
    <s v="Ctrl"/>
    <x v="38"/>
    <x v="6"/>
    <s v="Bank"/>
    <x v="8"/>
    <n v="-1170"/>
    <b v="1"/>
    <n v="-1170"/>
    <x v="0"/>
    <s v="Assets"/>
    <s v="Cash alike"/>
    <x v="1"/>
    <x v="1"/>
    <x v="0"/>
    <x v="0"/>
    <x v="6"/>
    <x v="0"/>
    <x v="0"/>
    <x v="0"/>
  </r>
  <r>
    <x v="142"/>
    <x v="1"/>
    <s v="Shuijie"/>
    <x v="35"/>
    <x v="6"/>
    <s v="OnEmp"/>
    <x v="24"/>
    <n v="-26542.62"/>
    <b v="1"/>
    <n v="-26542.62"/>
    <x v="0"/>
    <s v="Assets"/>
    <s v="Prep-Sub"/>
    <x v="2"/>
    <x v="1"/>
    <x v="2"/>
    <x v="5"/>
    <x v="6"/>
    <x v="6"/>
    <x v="0"/>
    <x v="0"/>
  </r>
  <r>
    <x v="143"/>
    <x v="1"/>
    <s v="Shuijie"/>
    <x v="36"/>
    <x v="6"/>
    <s v="OnEmp"/>
    <x v="24"/>
    <n v="-10264.579999999998"/>
    <b v="1"/>
    <n v="-10264.579999999998"/>
    <x v="0"/>
    <s v="Assets"/>
    <s v="Prep-Sub"/>
    <x v="2"/>
    <x v="1"/>
    <x v="2"/>
    <x v="5"/>
    <x v="6"/>
    <x v="6"/>
    <x v="0"/>
    <x v="0"/>
  </r>
  <r>
    <x v="144"/>
    <x v="1"/>
    <s v="Shuijie"/>
    <x v="8"/>
    <x v="6"/>
    <s v="Bank"/>
    <x v="8"/>
    <n v="-6807.2"/>
    <b v="1"/>
    <n v="-6807.2"/>
    <x v="0"/>
    <s v="Assets"/>
    <s v="Cash alike"/>
    <x v="1"/>
    <x v="1"/>
    <x v="0"/>
    <x v="0"/>
    <x v="6"/>
    <x v="6"/>
    <x v="0"/>
    <x v="0"/>
  </r>
  <r>
    <x v="144"/>
    <x v="1"/>
    <s v="Shuijie"/>
    <x v="8"/>
    <x v="6"/>
    <s v="OnEmp"/>
    <x v="24"/>
    <n v="6807.2"/>
    <b v="1"/>
    <n v="6807.2"/>
    <x v="0"/>
    <s v="Assets"/>
    <s v="Prep-Sub"/>
    <x v="1"/>
    <x v="1"/>
    <x v="2"/>
    <x v="5"/>
    <x v="6"/>
    <x v="6"/>
    <x v="0"/>
    <x v="0"/>
  </r>
  <r>
    <x v="145"/>
    <x v="1"/>
    <s v="Shuijie"/>
    <x v="8"/>
    <x v="6"/>
    <s v="Bank"/>
    <x v="8"/>
    <n v="-30000"/>
    <b v="1"/>
    <n v="-30000"/>
    <x v="0"/>
    <s v="Assets"/>
    <s v="Cash alike"/>
    <x v="1"/>
    <x v="1"/>
    <x v="0"/>
    <x v="0"/>
    <x v="6"/>
    <x v="6"/>
    <x v="0"/>
    <x v="0"/>
  </r>
  <r>
    <x v="145"/>
    <x v="1"/>
    <s v="Shuijie"/>
    <x v="8"/>
    <x v="6"/>
    <s v="OnEmp"/>
    <x v="24"/>
    <n v="30000"/>
    <b v="1"/>
    <n v="30000"/>
    <x v="0"/>
    <s v="Assets"/>
    <s v="Prep-Sub"/>
    <x v="1"/>
    <x v="1"/>
    <x v="2"/>
    <x v="5"/>
    <x v="6"/>
    <x v="6"/>
    <x v="0"/>
    <x v="0"/>
  </r>
  <r>
    <x v="146"/>
    <x v="1"/>
    <s v="Shuijie"/>
    <x v="39"/>
    <x v="6"/>
    <s v="Bank"/>
    <x v="8"/>
    <n v="1304"/>
    <b v="1"/>
    <n v="1304"/>
    <x v="0"/>
    <s v="Assets"/>
    <s v="Cash alike"/>
    <x v="0"/>
    <x v="0"/>
    <x v="0"/>
    <x v="0"/>
    <x v="6"/>
    <x v="6"/>
    <x v="0"/>
    <x v="0"/>
  </r>
  <r>
    <x v="146"/>
    <x v="1"/>
    <s v="Shuijie"/>
    <x v="39"/>
    <x v="6"/>
    <s v="Phys.C"/>
    <x v="9"/>
    <n v="-1304"/>
    <b v="1"/>
    <n v="-1304"/>
    <x v="0"/>
    <s v="Assets"/>
    <s v="Cash alike"/>
    <x v="0"/>
    <x v="0"/>
    <x v="0"/>
    <x v="1"/>
    <x v="6"/>
    <x v="6"/>
    <x v="0"/>
    <x v="0"/>
  </r>
  <r>
    <x v="147"/>
    <x v="1"/>
    <s v="GM"/>
    <x v="21"/>
    <x v="6"/>
    <s v="Bank"/>
    <x v="8"/>
    <n v="200.64"/>
    <b v="1"/>
    <n v="200.64"/>
    <x v="0"/>
    <s v="Assets"/>
    <s v="Cash alike"/>
    <x v="0"/>
    <x v="0"/>
    <x v="0"/>
    <x v="0"/>
    <x v="6"/>
    <x v="1"/>
    <x v="0"/>
    <x v="0"/>
  </r>
  <r>
    <x v="148"/>
    <x v="1"/>
    <s v="Shuijie"/>
    <x v="12"/>
    <x v="6"/>
    <s v="ToTax"/>
    <x v="47"/>
    <n v="1.99"/>
    <b v="1"/>
    <n v="-1.99"/>
    <x v="1"/>
    <s v="Liability"/>
    <s v="Rec-Pay"/>
    <x v="2"/>
    <x v="1"/>
    <x v="1"/>
    <x v="11"/>
    <x v="6"/>
    <x v="6"/>
    <x v="0"/>
    <x v="0"/>
  </r>
  <r>
    <x v="149"/>
    <x v="1"/>
    <s v="Shuijie"/>
    <x v="8"/>
    <x v="6"/>
    <s v="Order"/>
    <x v="35"/>
    <n v="3210"/>
    <b v="1"/>
    <n v="3210"/>
    <x v="0"/>
    <s v="Assets"/>
    <s v="Prep-Sub"/>
    <x v="2"/>
    <x v="1"/>
    <x v="2"/>
    <x v="6"/>
    <x v="6"/>
    <x v="6"/>
    <x v="0"/>
    <x v="0"/>
  </r>
  <r>
    <x v="149"/>
    <x v="1"/>
    <s v="Shuijie"/>
    <x v="8"/>
    <x v="6"/>
    <s v="Bank"/>
    <x v="8"/>
    <n v="-3210"/>
    <b v="1"/>
    <n v="-3210"/>
    <x v="0"/>
    <s v="Assets"/>
    <s v="Cash alike"/>
    <x v="2"/>
    <x v="1"/>
    <x v="0"/>
    <x v="0"/>
    <x v="6"/>
    <x v="6"/>
    <x v="0"/>
    <x v="0"/>
  </r>
  <r>
    <x v="150"/>
    <x v="1"/>
    <s v="Shuijie"/>
    <x v="8"/>
    <x v="6"/>
    <s v="Order"/>
    <x v="35"/>
    <n v="346"/>
    <b v="1"/>
    <n v="346"/>
    <x v="0"/>
    <s v="Assets"/>
    <s v="Prep-Sub"/>
    <x v="2"/>
    <x v="1"/>
    <x v="2"/>
    <x v="6"/>
    <x v="6"/>
    <x v="6"/>
    <x v="0"/>
    <x v="0"/>
  </r>
  <r>
    <x v="150"/>
    <x v="1"/>
    <s v="Shuijie"/>
    <x v="8"/>
    <x v="6"/>
    <s v="Bank"/>
    <x v="8"/>
    <n v="-346"/>
    <b v="1"/>
    <n v="-346"/>
    <x v="0"/>
    <s v="Assets"/>
    <s v="Cash alike"/>
    <x v="2"/>
    <x v="1"/>
    <x v="0"/>
    <x v="0"/>
    <x v="6"/>
    <x v="6"/>
    <x v="0"/>
    <x v="0"/>
  </r>
  <r>
    <x v="151"/>
    <x v="1"/>
    <s v="Shuijie"/>
    <x v="35"/>
    <x v="6"/>
    <s v="Bank"/>
    <x v="8"/>
    <n v="-427.29"/>
    <b v="1"/>
    <n v="-427.29"/>
    <x v="0"/>
    <s v="Assets"/>
    <s v="Cash alike"/>
    <x v="2"/>
    <x v="1"/>
    <x v="0"/>
    <x v="0"/>
    <x v="6"/>
    <x v="6"/>
    <x v="0"/>
    <x v="0"/>
  </r>
  <r>
    <x v="152"/>
    <x v="1"/>
    <s v="Shuijie"/>
    <x v="32"/>
    <x v="6"/>
    <s v="Bank"/>
    <x v="8"/>
    <n v="-300"/>
    <b v="1"/>
    <n v="-300"/>
    <x v="0"/>
    <s v="Assets"/>
    <s v="Cash alike"/>
    <x v="1"/>
    <x v="1"/>
    <x v="0"/>
    <x v="0"/>
    <x v="6"/>
    <x v="6"/>
    <x v="0"/>
    <x v="0"/>
  </r>
  <r>
    <x v="153"/>
    <x v="1"/>
    <s v="Shuijie"/>
    <x v="8"/>
    <x v="6"/>
    <s v="Bank"/>
    <x v="8"/>
    <n v="-2259.63"/>
    <b v="1"/>
    <n v="-2259.63"/>
    <x v="0"/>
    <s v="Assets"/>
    <s v="Cash alike"/>
    <x v="1"/>
    <x v="1"/>
    <x v="0"/>
    <x v="0"/>
    <x v="6"/>
    <x v="6"/>
    <x v="0"/>
    <x v="0"/>
  </r>
  <r>
    <x v="153"/>
    <x v="1"/>
    <s v="Shuijie"/>
    <x v="8"/>
    <x v="6"/>
    <s v="OnEmp"/>
    <x v="24"/>
    <n v="2259.63"/>
    <b v="1"/>
    <n v="2259.63"/>
    <x v="0"/>
    <s v="Assets"/>
    <s v="Prep-Sub"/>
    <x v="1"/>
    <x v="1"/>
    <x v="2"/>
    <x v="5"/>
    <x v="6"/>
    <x v="6"/>
    <x v="0"/>
    <x v="0"/>
  </r>
  <r>
    <x v="154"/>
    <x v="1"/>
    <s v="Shuijie"/>
    <x v="36"/>
    <x v="6"/>
    <s v="Bank"/>
    <x v="8"/>
    <n v="-244.32"/>
    <b v="1"/>
    <n v="-244.32"/>
    <x v="0"/>
    <s v="Assets"/>
    <s v="Cash alike"/>
    <x v="2"/>
    <x v="1"/>
    <x v="0"/>
    <x v="0"/>
    <x v="6"/>
    <x v="6"/>
    <x v="0"/>
    <x v="0"/>
  </r>
  <r>
    <x v="155"/>
    <x v="1"/>
    <s v="Shuijie"/>
    <x v="32"/>
    <x v="6"/>
    <s v="Bank"/>
    <x v="8"/>
    <n v="-9400"/>
    <b v="1"/>
    <n v="-9400"/>
    <x v="0"/>
    <s v="Assets"/>
    <s v="Cash alike"/>
    <x v="1"/>
    <x v="1"/>
    <x v="0"/>
    <x v="0"/>
    <x v="6"/>
    <x v="6"/>
    <x v="0"/>
    <x v="0"/>
  </r>
  <r>
    <x v="156"/>
    <x v="1"/>
    <s v="GM"/>
    <x v="19"/>
    <x v="6"/>
    <s v="Bank"/>
    <x v="8"/>
    <n v="-3948"/>
    <b v="1"/>
    <n v="-3948"/>
    <x v="0"/>
    <s v="Assets"/>
    <s v="Cash alike"/>
    <x v="1"/>
    <x v="1"/>
    <x v="0"/>
    <x v="0"/>
    <x v="6"/>
    <x v="1"/>
    <x v="0"/>
    <x v="0"/>
  </r>
  <r>
    <x v="157"/>
    <x v="1"/>
    <s v="GM"/>
    <x v="13"/>
    <x v="6"/>
    <s v="Bank"/>
    <x v="8"/>
    <n v="-97.5"/>
    <b v="1"/>
    <n v="-97.5"/>
    <x v="0"/>
    <s v="Assets"/>
    <s v="Cash alike"/>
    <x v="1"/>
    <x v="1"/>
    <x v="0"/>
    <x v="0"/>
    <x v="6"/>
    <x v="1"/>
    <x v="0"/>
    <x v="0"/>
  </r>
  <r>
    <x v="158"/>
    <x v="1"/>
    <s v="Shuijie"/>
    <x v="40"/>
    <x v="6"/>
    <s v="Bank"/>
    <x v="8"/>
    <n v="1885.8"/>
    <b v="1"/>
    <n v="1885.8"/>
    <x v="0"/>
    <s v="Assets"/>
    <s v="Cash alike"/>
    <x v="3"/>
    <x v="1"/>
    <x v="0"/>
    <x v="0"/>
    <x v="6"/>
    <x v="6"/>
    <x v="0"/>
    <x v="0"/>
  </r>
  <r>
    <x v="159"/>
    <x v="1"/>
    <s v="Shuijie"/>
    <x v="40"/>
    <x v="6"/>
    <s v="Bank"/>
    <x v="8"/>
    <n v="448491.34"/>
    <b v="1"/>
    <n v="448491.34"/>
    <x v="0"/>
    <s v="Assets"/>
    <s v="Cash alike"/>
    <x v="3"/>
    <x v="1"/>
    <x v="0"/>
    <x v="0"/>
    <x v="6"/>
    <x v="6"/>
    <x v="0"/>
    <x v="0"/>
  </r>
  <r>
    <x v="160"/>
    <x v="1"/>
    <s v="Shuijie"/>
    <x v="34"/>
    <x v="6"/>
    <s v="Bank"/>
    <x v="8"/>
    <n v="3084.15"/>
    <b v="1"/>
    <n v="3084.15"/>
    <x v="0"/>
    <s v="Assets"/>
    <s v="Cash alike"/>
    <x v="3"/>
    <x v="1"/>
    <x v="0"/>
    <x v="0"/>
    <x v="6"/>
    <x v="6"/>
    <x v="0"/>
    <x v="0"/>
  </r>
  <r>
    <x v="161"/>
    <x v="1"/>
    <s v="Shuijie"/>
    <x v="35"/>
    <x v="6"/>
    <s v="Order"/>
    <x v="35"/>
    <n v="-31666"/>
    <b v="1"/>
    <n v="-31666"/>
    <x v="0"/>
    <s v="Assets"/>
    <s v="Prep-Sub"/>
    <x v="2"/>
    <x v="1"/>
    <x v="2"/>
    <x v="6"/>
    <x v="6"/>
    <x v="6"/>
    <x v="0"/>
    <x v="0"/>
  </r>
  <r>
    <x v="162"/>
    <x v="1"/>
    <s v="Shuijie"/>
    <x v="5"/>
    <x v="6"/>
    <s v="Curr"/>
    <x v="37"/>
    <n v="375"/>
    <b v="1"/>
    <n v="375"/>
    <x v="0"/>
    <s v="Assets"/>
    <s v="Invtr"/>
    <x v="2"/>
    <x v="1"/>
    <x v="3"/>
    <x v="7"/>
    <x v="6"/>
    <x v="6"/>
    <x v="0"/>
    <x v="0"/>
  </r>
  <r>
    <x v="162"/>
    <x v="1"/>
    <s v="Shuijie"/>
    <x v="5"/>
    <x v="6"/>
    <s v="Order"/>
    <x v="35"/>
    <n v="-375"/>
    <b v="1"/>
    <n v="-375"/>
    <x v="0"/>
    <s v="Assets"/>
    <s v="Prep-Sub"/>
    <x v="2"/>
    <x v="1"/>
    <x v="2"/>
    <x v="6"/>
    <x v="6"/>
    <x v="6"/>
    <x v="0"/>
    <x v="0"/>
  </r>
  <r>
    <x v="163"/>
    <x v="1"/>
    <s v="Shuijie"/>
    <x v="5"/>
    <x v="6"/>
    <s v="Curr"/>
    <x v="37"/>
    <n v="1873.57"/>
    <b v="1"/>
    <n v="1873.57"/>
    <x v="0"/>
    <s v="Assets"/>
    <s v="Invtr"/>
    <x v="2"/>
    <x v="1"/>
    <x v="3"/>
    <x v="7"/>
    <x v="6"/>
    <x v="6"/>
    <x v="0"/>
    <x v="0"/>
  </r>
  <r>
    <x v="163"/>
    <x v="1"/>
    <s v="Shuijie"/>
    <x v="5"/>
    <x v="6"/>
    <s v="OnEmp"/>
    <x v="24"/>
    <n v="-1873.57"/>
    <b v="1"/>
    <n v="-1873.57"/>
    <x v="0"/>
    <s v="Assets"/>
    <s v="Prep-Sub"/>
    <x v="2"/>
    <x v="1"/>
    <x v="2"/>
    <x v="5"/>
    <x v="6"/>
    <x v="6"/>
    <x v="0"/>
    <x v="0"/>
  </r>
  <r>
    <x v="164"/>
    <x v="1"/>
    <s v="Shuijie"/>
    <x v="36"/>
    <x v="6"/>
    <s v="OnEmp"/>
    <x v="24"/>
    <n v="-49.15"/>
    <b v="1"/>
    <n v="-49.15"/>
    <x v="0"/>
    <s v="Assets"/>
    <s v="Prep-Sub"/>
    <x v="2"/>
    <x v="1"/>
    <x v="2"/>
    <x v="5"/>
    <x v="6"/>
    <x v="6"/>
    <x v="0"/>
    <x v="0"/>
  </r>
  <r>
    <x v="165"/>
    <x v="1"/>
    <s v="Shuijie"/>
    <x v="5"/>
    <x v="6"/>
    <s v="Curr"/>
    <x v="37"/>
    <n v="2039.33"/>
    <b v="1"/>
    <n v="2039.33"/>
    <x v="0"/>
    <s v="Assets"/>
    <s v="Invtr"/>
    <x v="2"/>
    <x v="1"/>
    <x v="3"/>
    <x v="7"/>
    <x v="6"/>
    <x v="6"/>
    <x v="0"/>
    <x v="0"/>
  </r>
  <r>
    <x v="165"/>
    <x v="1"/>
    <s v="Shuijie"/>
    <x v="5"/>
    <x v="6"/>
    <s v="OnEmp"/>
    <x v="24"/>
    <n v="-2039.33"/>
    <b v="1"/>
    <n v="-2039.33"/>
    <x v="0"/>
    <s v="Assets"/>
    <s v="Prep-Sub"/>
    <x v="2"/>
    <x v="1"/>
    <x v="2"/>
    <x v="5"/>
    <x v="6"/>
    <x v="6"/>
    <x v="0"/>
    <x v="0"/>
  </r>
  <r>
    <x v="166"/>
    <x v="1"/>
    <s v="Shuijie"/>
    <x v="36"/>
    <x v="6"/>
    <s v="OnEmp"/>
    <x v="24"/>
    <n v="-220.3"/>
    <b v="1"/>
    <n v="-220.3"/>
    <x v="0"/>
    <s v="Assets"/>
    <s v="Prep-Sub"/>
    <x v="2"/>
    <x v="1"/>
    <x v="2"/>
    <x v="5"/>
    <x v="6"/>
    <x v="6"/>
    <x v="0"/>
    <x v="0"/>
  </r>
  <r>
    <x v="167"/>
    <x v="1"/>
    <s v="Shuijie"/>
    <x v="41"/>
    <x v="6"/>
    <s v="Order"/>
    <x v="35"/>
    <n v="-2015"/>
    <b v="1"/>
    <n v="-2015"/>
    <x v="0"/>
    <s v="Assets"/>
    <s v="Prep-Sub"/>
    <x v="1"/>
    <x v="1"/>
    <x v="2"/>
    <x v="6"/>
    <x v="6"/>
    <x v="6"/>
    <x v="0"/>
    <x v="0"/>
  </r>
  <r>
    <x v="168"/>
    <x v="1"/>
    <s v="Shuijie"/>
    <x v="40"/>
    <x v="6"/>
    <s v="Phys.C"/>
    <x v="9"/>
    <n v="3650"/>
    <b v="1"/>
    <n v="3650"/>
    <x v="0"/>
    <s v="Assets"/>
    <s v="Cash alike"/>
    <x v="3"/>
    <x v="1"/>
    <x v="0"/>
    <x v="1"/>
    <x v="6"/>
    <x v="6"/>
    <x v="0"/>
    <x v="0"/>
  </r>
  <r>
    <x v="168"/>
    <x v="1"/>
    <s v="Shuijie"/>
    <x v="40"/>
    <x v="6"/>
    <s v="AR"/>
    <x v="21"/>
    <n v="18780.21"/>
    <b v="1"/>
    <n v="18780.21"/>
    <x v="0"/>
    <s v="Assets"/>
    <s v="Rec-Pay"/>
    <x v="3"/>
    <x v="1"/>
    <x v="1"/>
    <x v="2"/>
    <x v="6"/>
    <x v="6"/>
    <x v="0"/>
    <x v="0"/>
  </r>
  <r>
    <x v="169"/>
    <x v="1"/>
    <s v="Shuijie"/>
    <x v="12"/>
    <x v="6"/>
    <s v="ToTax"/>
    <x v="47"/>
    <n v="4692.87"/>
    <b v="1"/>
    <n v="-4692.87"/>
    <x v="1"/>
    <s v="Liability"/>
    <s v="Rec-Pay"/>
    <x v="2"/>
    <x v="1"/>
    <x v="1"/>
    <x v="11"/>
    <x v="6"/>
    <x v="6"/>
    <x v="0"/>
    <x v="0"/>
  </r>
  <r>
    <x v="170"/>
    <x v="1"/>
    <s v="Shuijie"/>
    <x v="42"/>
    <x v="6"/>
    <s v="AR"/>
    <x v="21"/>
    <n v="-1791.71"/>
    <b v="1"/>
    <n v="-1791.71"/>
    <x v="0"/>
    <s v="Assets"/>
    <s v="Rec-Pay"/>
    <x v="1"/>
    <x v="1"/>
    <x v="1"/>
    <x v="2"/>
    <x v="6"/>
    <x v="6"/>
    <x v="0"/>
    <x v="0"/>
  </r>
  <r>
    <x v="171"/>
    <x v="1"/>
    <s v="Shuijie"/>
    <x v="40"/>
    <x v="6"/>
    <s v="AR"/>
    <x v="21"/>
    <n v="1791.71"/>
    <b v="1"/>
    <n v="1791.71"/>
    <x v="0"/>
    <s v="Assets"/>
    <s v="Rec-Pay"/>
    <x v="3"/>
    <x v="1"/>
    <x v="1"/>
    <x v="2"/>
    <x v="6"/>
    <x v="6"/>
    <x v="0"/>
    <x v="0"/>
  </r>
  <r>
    <x v="172"/>
    <x v="1"/>
    <s v="Shuijie"/>
    <x v="43"/>
    <x v="6"/>
    <s v="Curr"/>
    <x v="37"/>
    <n v="-2048.5"/>
    <b v="1"/>
    <n v="-2048.5"/>
    <x v="0"/>
    <s v="Assets"/>
    <s v="Invtr"/>
    <x v="2"/>
    <x v="1"/>
    <x v="3"/>
    <x v="7"/>
    <x v="6"/>
    <x v="6"/>
    <x v="0"/>
    <x v="0"/>
  </r>
  <r>
    <x v="173"/>
    <x v="1"/>
    <s v="GM"/>
    <x v="14"/>
    <x v="6"/>
    <s v="ToEmp"/>
    <x v="52"/>
    <n v="10923.39"/>
    <b v="1"/>
    <n v="-10923.39"/>
    <x v="1"/>
    <s v="Liability"/>
    <s v="Rec-Pay"/>
    <x v="1"/>
    <x v="1"/>
    <x v="1"/>
    <x v="12"/>
    <x v="6"/>
    <x v="1"/>
    <x v="0"/>
    <x v="0"/>
  </r>
  <r>
    <x v="174"/>
    <x v="1"/>
    <s v="Shuijie"/>
    <x v="14"/>
    <x v="6"/>
    <s v="ToEmp"/>
    <x v="52"/>
    <n v="135867.84"/>
    <b v="1"/>
    <n v="-135867.84"/>
    <x v="1"/>
    <s v="Liability"/>
    <s v="Rec-Pay"/>
    <x v="1"/>
    <x v="1"/>
    <x v="1"/>
    <x v="12"/>
    <x v="6"/>
    <x v="6"/>
    <x v="0"/>
    <x v="0"/>
  </r>
  <r>
    <x v="175"/>
    <x v="1"/>
    <s v="Ctrl"/>
    <x v="44"/>
    <x v="6"/>
    <s v="ToTax"/>
    <x v="49"/>
    <n v="281.69"/>
    <b v="1"/>
    <n v="-281.69"/>
    <x v="1"/>
    <s v="Liability"/>
    <s v="Rec-Pay"/>
    <x v="1"/>
    <x v="1"/>
    <x v="1"/>
    <x v="11"/>
    <x v="6"/>
    <x v="0"/>
    <x v="0"/>
    <x v="0"/>
  </r>
  <r>
    <x v="175"/>
    <x v="1"/>
    <s v="Ctrl"/>
    <x v="44"/>
    <x v="6"/>
    <s v="ToTax"/>
    <x v="50"/>
    <n v="22.66"/>
    <b v="1"/>
    <n v="-22.66"/>
    <x v="1"/>
    <s v="Liability"/>
    <s v="Rec-Pay"/>
    <x v="1"/>
    <x v="1"/>
    <x v="1"/>
    <x v="11"/>
    <x v="6"/>
    <x v="0"/>
    <x v="0"/>
    <x v="0"/>
  </r>
  <r>
    <x v="175"/>
    <x v="1"/>
    <s v="Ctrl"/>
    <x v="44"/>
    <x v="6"/>
    <s v="ToTax"/>
    <x v="51"/>
    <n v="1388.48"/>
    <b v="1"/>
    <n v="-1388.48"/>
    <x v="1"/>
    <s v="Liability"/>
    <s v="Rec-Pay"/>
    <x v="1"/>
    <x v="1"/>
    <x v="1"/>
    <x v="11"/>
    <x v="6"/>
    <x v="0"/>
    <x v="0"/>
    <x v="0"/>
  </r>
  <r>
    <x v="176"/>
    <x v="1"/>
    <s v="GM"/>
    <x v="15"/>
    <x v="6"/>
    <s v="ToEmp"/>
    <x v="68"/>
    <n v="88450.01"/>
    <b v="1"/>
    <n v="-88450.01"/>
    <x v="1"/>
    <s v="Liability"/>
    <s v="Rec-Pay"/>
    <x v="4"/>
    <x v="0"/>
    <x v="1"/>
    <x v="12"/>
    <x v="6"/>
    <x v="1"/>
    <x v="0"/>
    <x v="0"/>
  </r>
  <r>
    <x v="177"/>
    <x v="1"/>
    <s v="Shuijie"/>
    <x v="33"/>
    <x v="4"/>
    <s v="AR"/>
    <x v="21"/>
    <n v="-18526.13"/>
    <b v="1"/>
    <n v="-18526.13"/>
    <x v="0"/>
    <s v="Assets"/>
    <s v="Rec-Pay"/>
    <x v="3"/>
    <x v="1"/>
    <x v="1"/>
    <x v="2"/>
    <x v="4"/>
    <x v="6"/>
    <x v="0"/>
    <x v="0"/>
  </r>
  <r>
    <x v="177"/>
    <x v="1"/>
    <s v="Shuijie"/>
    <x v="33"/>
    <x v="4"/>
    <s v="Bank"/>
    <x v="4"/>
    <n v="18526.13"/>
    <b v="1"/>
    <n v="18526.13"/>
    <x v="0"/>
    <s v="Assets"/>
    <s v="Cash alike"/>
    <x v="3"/>
    <x v="1"/>
    <x v="0"/>
    <x v="0"/>
    <x v="4"/>
    <x v="6"/>
    <x v="0"/>
    <x v="0"/>
  </r>
  <r>
    <x v="178"/>
    <x v="1"/>
    <s v="Shuijie"/>
    <x v="10"/>
    <x v="4"/>
    <s v="Bank"/>
    <x v="4"/>
    <n v="92634.28"/>
    <b v="1"/>
    <n v="92634.28"/>
    <x v="0"/>
    <s v="Assets"/>
    <s v="Cash alike"/>
    <x v="3"/>
    <x v="1"/>
    <x v="0"/>
    <x v="0"/>
    <x v="4"/>
    <x v="6"/>
    <x v="0"/>
    <x v="0"/>
  </r>
  <r>
    <x v="179"/>
    <x v="1"/>
    <s v="Shuijie"/>
    <x v="8"/>
    <x v="4"/>
    <s v="Order"/>
    <x v="34"/>
    <n v="10000"/>
    <b v="1"/>
    <n v="10000"/>
    <x v="0"/>
    <s v="Assets"/>
    <s v="Prep-Sub"/>
    <x v="1"/>
    <x v="1"/>
    <x v="2"/>
    <x v="6"/>
    <x v="4"/>
    <x v="6"/>
    <x v="0"/>
    <x v="0"/>
  </r>
  <r>
    <x v="179"/>
    <x v="1"/>
    <s v="Shuijie"/>
    <x v="8"/>
    <x v="4"/>
    <s v="Bank"/>
    <x v="4"/>
    <n v="-10000"/>
    <b v="1"/>
    <n v="-10000"/>
    <x v="0"/>
    <s v="Assets"/>
    <s v="Cash alike"/>
    <x v="1"/>
    <x v="1"/>
    <x v="0"/>
    <x v="0"/>
    <x v="4"/>
    <x v="6"/>
    <x v="0"/>
    <x v="0"/>
  </r>
  <r>
    <x v="180"/>
    <x v="1"/>
    <s v="Shuijie"/>
    <x v="32"/>
    <x v="4"/>
    <s v="Bank"/>
    <x v="4"/>
    <n v="-1500"/>
    <b v="1"/>
    <n v="-1500"/>
    <x v="0"/>
    <s v="Assets"/>
    <s v="Cash alike"/>
    <x v="1"/>
    <x v="1"/>
    <x v="0"/>
    <x v="0"/>
    <x v="4"/>
    <x v="6"/>
    <x v="0"/>
    <x v="0"/>
  </r>
  <r>
    <x v="181"/>
    <x v="1"/>
    <s v="Shuijie"/>
    <x v="8"/>
    <x v="4"/>
    <s v="Bank"/>
    <x v="4"/>
    <n v="-6458.4"/>
    <b v="1"/>
    <n v="-6458.4"/>
    <x v="0"/>
    <s v="Assets"/>
    <s v="Cash alike"/>
    <x v="2"/>
    <x v="1"/>
    <x v="0"/>
    <x v="0"/>
    <x v="4"/>
    <x v="6"/>
    <x v="0"/>
    <x v="0"/>
  </r>
  <r>
    <x v="181"/>
    <x v="1"/>
    <s v="Shuijie"/>
    <x v="8"/>
    <x v="4"/>
    <s v="AP"/>
    <x v="46"/>
    <n v="-6458.4"/>
    <b v="1"/>
    <n v="6458.4"/>
    <x v="1"/>
    <s v="Liability"/>
    <s v="Rec-Pay"/>
    <x v="2"/>
    <x v="1"/>
    <x v="1"/>
    <x v="10"/>
    <x v="4"/>
    <x v="6"/>
    <x v="0"/>
    <x v="0"/>
  </r>
  <r>
    <x v="182"/>
    <x v="1"/>
    <s v="GM"/>
    <x v="6"/>
    <x v="4"/>
    <s v="Bank"/>
    <x v="4"/>
    <n v="-8189.55"/>
    <b v="1"/>
    <n v="-8189.55"/>
    <x v="0"/>
    <s v="Assets"/>
    <s v="Cash alike"/>
    <x v="1"/>
    <x v="1"/>
    <x v="0"/>
    <x v="0"/>
    <x v="4"/>
    <x v="1"/>
    <x v="0"/>
    <x v="0"/>
  </r>
  <r>
    <x v="182"/>
    <x v="1"/>
    <s v="GM"/>
    <x v="6"/>
    <x v="4"/>
    <s v="FrOther"/>
    <x v="22"/>
    <n v="2385.75"/>
    <b v="1"/>
    <n v="2385.75"/>
    <x v="0"/>
    <s v="Assets"/>
    <s v="Rec-Pay"/>
    <x v="1"/>
    <x v="1"/>
    <x v="1"/>
    <x v="3"/>
    <x v="4"/>
    <x v="1"/>
    <x v="0"/>
    <x v="0"/>
  </r>
  <r>
    <x v="183"/>
    <x v="1"/>
    <s v="Shuijie"/>
    <x v="8"/>
    <x v="4"/>
    <s v="Order"/>
    <x v="34"/>
    <n v="450"/>
    <b v="1"/>
    <n v="450"/>
    <x v="0"/>
    <s v="Assets"/>
    <s v="Prep-Sub"/>
    <x v="1"/>
    <x v="1"/>
    <x v="2"/>
    <x v="6"/>
    <x v="4"/>
    <x v="6"/>
    <x v="0"/>
    <x v="0"/>
  </r>
  <r>
    <x v="183"/>
    <x v="1"/>
    <s v="Shuijie"/>
    <x v="8"/>
    <x v="4"/>
    <s v="Bank"/>
    <x v="4"/>
    <n v="-450"/>
    <b v="1"/>
    <n v="-450"/>
    <x v="0"/>
    <s v="Assets"/>
    <s v="Cash alike"/>
    <x v="1"/>
    <x v="1"/>
    <x v="0"/>
    <x v="0"/>
    <x v="4"/>
    <x v="6"/>
    <x v="0"/>
    <x v="0"/>
  </r>
  <r>
    <x v="184"/>
    <x v="1"/>
    <s v="Shuijie"/>
    <x v="8"/>
    <x v="4"/>
    <s v="Order"/>
    <x v="34"/>
    <n v="10000"/>
    <b v="1"/>
    <n v="10000"/>
    <x v="0"/>
    <s v="Assets"/>
    <s v="Prep-Sub"/>
    <x v="1"/>
    <x v="1"/>
    <x v="2"/>
    <x v="6"/>
    <x v="4"/>
    <x v="6"/>
    <x v="0"/>
    <x v="0"/>
  </r>
  <r>
    <x v="184"/>
    <x v="1"/>
    <s v="Shuijie"/>
    <x v="8"/>
    <x v="4"/>
    <s v="Bank"/>
    <x v="4"/>
    <n v="-10000"/>
    <b v="1"/>
    <n v="-10000"/>
    <x v="0"/>
    <s v="Assets"/>
    <s v="Cash alike"/>
    <x v="1"/>
    <x v="1"/>
    <x v="0"/>
    <x v="0"/>
    <x v="4"/>
    <x v="6"/>
    <x v="0"/>
    <x v="0"/>
  </r>
  <r>
    <x v="185"/>
    <x v="1"/>
    <s v="GM"/>
    <x v="8"/>
    <x v="4"/>
    <s v="Bank"/>
    <x v="4"/>
    <n v="-34695.089999999997"/>
    <b v="1"/>
    <n v="-34695.089999999997"/>
    <x v="0"/>
    <s v="Assets"/>
    <s v="Cash alike"/>
    <x v="1"/>
    <x v="1"/>
    <x v="0"/>
    <x v="0"/>
    <x v="4"/>
    <x v="1"/>
    <x v="0"/>
    <x v="0"/>
  </r>
  <r>
    <x v="185"/>
    <x v="1"/>
    <s v="GM"/>
    <x v="8"/>
    <x v="4"/>
    <s v="ToEmp"/>
    <x v="52"/>
    <n v="-37380.69"/>
    <b v="1"/>
    <n v="37380.69"/>
    <x v="1"/>
    <s v="Liability"/>
    <s v="Rec-Pay"/>
    <x v="1"/>
    <x v="1"/>
    <x v="1"/>
    <x v="12"/>
    <x v="4"/>
    <x v="1"/>
    <x v="0"/>
    <x v="0"/>
  </r>
  <r>
    <x v="185"/>
    <x v="1"/>
    <s v="GM"/>
    <x v="8"/>
    <x v="4"/>
    <s v="FrOther"/>
    <x v="22"/>
    <n v="-2385.75"/>
    <b v="1"/>
    <n v="-2385.75"/>
    <x v="0"/>
    <s v="Assets"/>
    <s v="Rec-Pay"/>
    <x v="1"/>
    <x v="1"/>
    <x v="1"/>
    <x v="3"/>
    <x v="4"/>
    <x v="1"/>
    <x v="0"/>
    <x v="0"/>
  </r>
  <r>
    <x v="185"/>
    <x v="1"/>
    <s v="GM"/>
    <x v="8"/>
    <x v="4"/>
    <s v="ToTax"/>
    <x v="54"/>
    <n v="299.85000000000002"/>
    <b v="1"/>
    <n v="-299.85000000000002"/>
    <x v="1"/>
    <s v="Liability"/>
    <s v="Rec-Pay"/>
    <x v="1"/>
    <x v="1"/>
    <x v="1"/>
    <x v="11"/>
    <x v="4"/>
    <x v="1"/>
    <x v="0"/>
    <x v="0"/>
  </r>
  <r>
    <x v="186"/>
    <x v="1"/>
    <s v="GM"/>
    <x v="8"/>
    <x v="4"/>
    <s v="ToTax"/>
    <x v="54"/>
    <n v="-299.85000000000002"/>
    <b v="1"/>
    <n v="299.85000000000002"/>
    <x v="1"/>
    <s v="Liability"/>
    <s v="Rec-Pay"/>
    <x v="1"/>
    <x v="1"/>
    <x v="1"/>
    <x v="11"/>
    <x v="4"/>
    <x v="1"/>
    <x v="0"/>
    <x v="0"/>
  </r>
  <r>
    <x v="186"/>
    <x v="1"/>
    <s v="GM"/>
    <x v="8"/>
    <x v="4"/>
    <s v="Bank"/>
    <x v="4"/>
    <n v="-299.85000000000002"/>
    <b v="1"/>
    <n v="-299.85000000000002"/>
    <x v="0"/>
    <s v="Assets"/>
    <s v="Cash alike"/>
    <x v="1"/>
    <x v="1"/>
    <x v="0"/>
    <x v="0"/>
    <x v="4"/>
    <x v="1"/>
    <x v="0"/>
    <x v="0"/>
  </r>
  <r>
    <x v="187"/>
    <x v="1"/>
    <s v="Ctrl"/>
    <x v="8"/>
    <x v="4"/>
    <s v="ToTax"/>
    <x v="47"/>
    <n v="-11047.53"/>
    <b v="1"/>
    <n v="11047.53"/>
    <x v="1"/>
    <s v="Liability"/>
    <s v="Rec-Pay"/>
    <x v="1"/>
    <x v="1"/>
    <x v="1"/>
    <x v="11"/>
    <x v="4"/>
    <x v="0"/>
    <x v="0"/>
    <x v="0"/>
  </r>
  <r>
    <x v="187"/>
    <x v="1"/>
    <s v="Ctrl"/>
    <x v="8"/>
    <x v="4"/>
    <s v="ToTax"/>
    <x v="48"/>
    <n v="-78.09"/>
    <b v="1"/>
    <n v="78.09"/>
    <x v="1"/>
    <s v="Liability"/>
    <s v="Rec-Pay"/>
    <x v="1"/>
    <x v="1"/>
    <x v="1"/>
    <x v="11"/>
    <x v="4"/>
    <x v="0"/>
    <x v="0"/>
    <x v="0"/>
  </r>
  <r>
    <x v="187"/>
    <x v="1"/>
    <s v="Ctrl"/>
    <x v="8"/>
    <x v="4"/>
    <s v="ToTax"/>
    <x v="49"/>
    <n v="-667.52"/>
    <b v="1"/>
    <n v="667.52"/>
    <x v="1"/>
    <s v="Liability"/>
    <s v="Rec-Pay"/>
    <x v="1"/>
    <x v="1"/>
    <x v="1"/>
    <x v="11"/>
    <x v="4"/>
    <x v="0"/>
    <x v="0"/>
    <x v="0"/>
  </r>
  <r>
    <x v="187"/>
    <x v="1"/>
    <s v="Ctrl"/>
    <x v="8"/>
    <x v="4"/>
    <s v="ToTax"/>
    <x v="50"/>
    <n v="-980.15"/>
    <b v="1"/>
    <n v="980.15"/>
    <x v="1"/>
    <s v="Liability"/>
    <s v="Rec-Pay"/>
    <x v="1"/>
    <x v="1"/>
    <x v="1"/>
    <x v="11"/>
    <x v="4"/>
    <x v="0"/>
    <x v="0"/>
    <x v="0"/>
  </r>
  <r>
    <x v="187"/>
    <x v="1"/>
    <s v="Ctrl"/>
    <x v="8"/>
    <x v="4"/>
    <s v="ToTax"/>
    <x v="51"/>
    <n v="-17957.240000000002"/>
    <b v="1"/>
    <n v="17957.240000000002"/>
    <x v="1"/>
    <s v="Liability"/>
    <s v="Rec-Pay"/>
    <x v="1"/>
    <x v="1"/>
    <x v="1"/>
    <x v="11"/>
    <x v="4"/>
    <x v="0"/>
    <x v="0"/>
    <x v="0"/>
  </r>
  <r>
    <x v="187"/>
    <x v="1"/>
    <s v="Ctrl"/>
    <x v="8"/>
    <x v="4"/>
    <s v="Bank"/>
    <x v="4"/>
    <n v="-30730.53"/>
    <b v="1"/>
    <n v="-30730.53"/>
    <x v="0"/>
    <s v="Assets"/>
    <s v="Cash alike"/>
    <x v="1"/>
    <x v="1"/>
    <x v="0"/>
    <x v="0"/>
    <x v="4"/>
    <x v="0"/>
    <x v="0"/>
    <x v="0"/>
  </r>
  <r>
    <x v="188"/>
    <x v="1"/>
    <s v="Shuijie"/>
    <x v="32"/>
    <x v="4"/>
    <s v="Bank"/>
    <x v="4"/>
    <n v="-13366"/>
    <b v="1"/>
    <n v="-13366"/>
    <x v="0"/>
    <s v="Assets"/>
    <s v="Cash alike"/>
    <x v="1"/>
    <x v="1"/>
    <x v="0"/>
    <x v="0"/>
    <x v="4"/>
    <x v="6"/>
    <x v="0"/>
    <x v="0"/>
  </r>
  <r>
    <x v="189"/>
    <x v="1"/>
    <s v="GM"/>
    <x v="19"/>
    <x v="4"/>
    <s v="Order"/>
    <x v="34"/>
    <n v="-10066.98"/>
    <b v="1"/>
    <n v="-10066.98"/>
    <x v="0"/>
    <s v="Assets"/>
    <s v="Prep-Sub"/>
    <x v="1"/>
    <x v="1"/>
    <x v="2"/>
    <x v="6"/>
    <x v="4"/>
    <x v="1"/>
    <x v="0"/>
    <x v="0"/>
  </r>
  <r>
    <x v="190"/>
    <x v="1"/>
    <s v="Ctrl"/>
    <x v="1"/>
    <x v="4"/>
    <s v="AR"/>
    <x v="21"/>
    <n v="-115.67"/>
    <b v="1"/>
    <n v="-115.67"/>
    <x v="0"/>
    <s v="Assets"/>
    <s v="Rec-Pay"/>
    <x v="0"/>
    <x v="0"/>
    <x v="1"/>
    <x v="2"/>
    <x v="4"/>
    <x v="0"/>
    <x v="0"/>
    <x v="0"/>
  </r>
  <r>
    <x v="191"/>
    <x v="1"/>
    <s v="Shuijie"/>
    <x v="9"/>
    <x v="4"/>
    <s v="Bank"/>
    <x v="4"/>
    <n v="-1949.49"/>
    <b v="1"/>
    <n v="-1949.49"/>
    <x v="0"/>
    <s v="Assets"/>
    <s v="Cash alike"/>
    <x v="1"/>
    <x v="1"/>
    <x v="0"/>
    <x v="0"/>
    <x v="4"/>
    <x v="6"/>
    <x v="0"/>
    <x v="0"/>
  </r>
  <r>
    <x v="192"/>
    <x v="1"/>
    <s v="Shuijie"/>
    <x v="28"/>
    <x v="4"/>
    <s v="Bank"/>
    <x v="4"/>
    <n v="-349599.5"/>
    <b v="1"/>
    <n v="-349599.5"/>
    <x v="0"/>
    <s v="Assets"/>
    <s v="Cash alike"/>
    <x v="2"/>
    <x v="1"/>
    <x v="0"/>
    <x v="0"/>
    <x v="4"/>
    <x v="6"/>
    <x v="0"/>
    <x v="0"/>
  </r>
  <r>
    <x v="192"/>
    <x v="1"/>
    <s v="Shuijie"/>
    <x v="28"/>
    <x v="0"/>
    <s v="Bank"/>
    <x v="0"/>
    <n v="349599.5"/>
    <b v="1"/>
    <n v="349599.5"/>
    <x v="0"/>
    <s v="Assets"/>
    <s v="Cash alike"/>
    <x v="2"/>
    <x v="1"/>
    <x v="0"/>
    <x v="0"/>
    <x v="0"/>
    <x v="6"/>
    <x v="0"/>
    <x v="0"/>
  </r>
  <r>
    <x v="193"/>
    <x v="1"/>
    <s v="Shuijie"/>
    <x v="45"/>
    <x v="4"/>
    <s v="Bank"/>
    <x v="4"/>
    <n v="-7268.8"/>
    <b v="1"/>
    <n v="-7268.8"/>
    <x v="0"/>
    <s v="Assets"/>
    <s v="Cash alike"/>
    <x v="2"/>
    <x v="1"/>
    <x v="0"/>
    <x v="0"/>
    <x v="4"/>
    <x v="6"/>
    <x v="0"/>
    <x v="0"/>
  </r>
  <r>
    <x v="194"/>
    <x v="1"/>
    <s v="Shuijie"/>
    <x v="8"/>
    <x v="4"/>
    <s v="Order"/>
    <x v="34"/>
    <n v="3000"/>
    <b v="1"/>
    <n v="3000"/>
    <x v="0"/>
    <s v="Assets"/>
    <s v="Prep-Sub"/>
    <x v="1"/>
    <x v="1"/>
    <x v="2"/>
    <x v="6"/>
    <x v="4"/>
    <x v="6"/>
    <x v="0"/>
    <x v="0"/>
  </r>
  <r>
    <x v="194"/>
    <x v="1"/>
    <s v="Shuijie"/>
    <x v="8"/>
    <x v="4"/>
    <s v="Bank"/>
    <x v="4"/>
    <n v="-3000"/>
    <b v="1"/>
    <n v="-3000"/>
    <x v="0"/>
    <s v="Assets"/>
    <s v="Cash alike"/>
    <x v="1"/>
    <x v="1"/>
    <x v="0"/>
    <x v="0"/>
    <x v="4"/>
    <x v="6"/>
    <x v="0"/>
    <x v="0"/>
  </r>
  <r>
    <x v="195"/>
    <x v="1"/>
    <s v="Shuijie"/>
    <x v="39"/>
    <x v="4"/>
    <s v="Bank"/>
    <x v="4"/>
    <n v="25540.15"/>
    <b v="1"/>
    <n v="25540.15"/>
    <x v="0"/>
    <s v="Assets"/>
    <s v="Cash alike"/>
    <x v="0"/>
    <x v="0"/>
    <x v="0"/>
    <x v="0"/>
    <x v="4"/>
    <x v="6"/>
    <x v="0"/>
    <x v="0"/>
  </r>
  <r>
    <x v="195"/>
    <x v="1"/>
    <s v="Shuijie"/>
    <x v="39"/>
    <x v="4"/>
    <s v="Phys.C"/>
    <x v="5"/>
    <n v="-25540.15"/>
    <b v="1"/>
    <n v="-25540.15"/>
    <x v="0"/>
    <s v="Assets"/>
    <s v="Cash alike"/>
    <x v="0"/>
    <x v="0"/>
    <x v="0"/>
    <x v="1"/>
    <x v="4"/>
    <x v="6"/>
    <x v="0"/>
    <x v="0"/>
  </r>
  <r>
    <x v="196"/>
    <x v="1"/>
    <s v="Shuijie"/>
    <x v="8"/>
    <x v="4"/>
    <s v="Order"/>
    <x v="34"/>
    <n v="10000"/>
    <b v="1"/>
    <n v="10000"/>
    <x v="0"/>
    <s v="Assets"/>
    <s v="Prep-Sub"/>
    <x v="1"/>
    <x v="1"/>
    <x v="2"/>
    <x v="6"/>
    <x v="4"/>
    <x v="6"/>
    <x v="0"/>
    <x v="0"/>
  </r>
  <r>
    <x v="196"/>
    <x v="1"/>
    <s v="Shuijie"/>
    <x v="8"/>
    <x v="4"/>
    <s v="Bank"/>
    <x v="4"/>
    <n v="-10000"/>
    <b v="1"/>
    <n v="-10000"/>
    <x v="0"/>
    <s v="Assets"/>
    <s v="Cash alike"/>
    <x v="1"/>
    <x v="1"/>
    <x v="0"/>
    <x v="0"/>
    <x v="4"/>
    <x v="6"/>
    <x v="0"/>
    <x v="0"/>
  </r>
  <r>
    <x v="197"/>
    <x v="1"/>
    <s v="GM"/>
    <x v="13"/>
    <x v="4"/>
    <s v="Bank"/>
    <x v="4"/>
    <n v="-15.6"/>
    <b v="1"/>
    <n v="-15.6"/>
    <x v="0"/>
    <s v="Assets"/>
    <s v="Cash alike"/>
    <x v="1"/>
    <x v="1"/>
    <x v="0"/>
    <x v="0"/>
    <x v="4"/>
    <x v="1"/>
    <x v="0"/>
    <x v="0"/>
  </r>
  <r>
    <x v="198"/>
    <x v="1"/>
    <s v="Shuijie"/>
    <x v="10"/>
    <x v="4"/>
    <s v="Bank"/>
    <x v="4"/>
    <n v="470007.52"/>
    <b v="1"/>
    <n v="470007.52"/>
    <x v="0"/>
    <s v="Assets"/>
    <s v="Cash alike"/>
    <x v="3"/>
    <x v="1"/>
    <x v="0"/>
    <x v="0"/>
    <x v="4"/>
    <x v="6"/>
    <x v="0"/>
    <x v="0"/>
  </r>
  <r>
    <x v="199"/>
    <x v="1"/>
    <s v="GM"/>
    <x v="29"/>
    <x v="4"/>
    <s v="Order"/>
    <x v="34"/>
    <n v="-45370.49"/>
    <b v="1"/>
    <n v="-45370.49"/>
    <x v="0"/>
    <s v="Assets"/>
    <s v="Prep-Sub"/>
    <x v="1"/>
    <x v="1"/>
    <x v="2"/>
    <x v="6"/>
    <x v="4"/>
    <x v="1"/>
    <x v="0"/>
    <x v="0"/>
  </r>
  <r>
    <x v="200"/>
    <x v="1"/>
    <s v="Shuijie"/>
    <x v="32"/>
    <x v="4"/>
    <s v="Order"/>
    <x v="34"/>
    <n v="-3000"/>
    <b v="1"/>
    <n v="-3000"/>
    <x v="0"/>
    <s v="Assets"/>
    <s v="Prep-Sub"/>
    <x v="1"/>
    <x v="1"/>
    <x v="2"/>
    <x v="6"/>
    <x v="4"/>
    <x v="6"/>
    <x v="0"/>
    <x v="0"/>
  </r>
  <r>
    <x v="201"/>
    <x v="1"/>
    <s v="Shuijie"/>
    <x v="43"/>
    <x v="4"/>
    <s v="AP"/>
    <x v="46"/>
    <n v="14188.2"/>
    <b v="1"/>
    <n v="-14188.2"/>
    <x v="1"/>
    <s v="Liability"/>
    <s v="Rec-Pay"/>
    <x v="2"/>
    <x v="1"/>
    <x v="1"/>
    <x v="10"/>
    <x v="4"/>
    <x v="6"/>
    <x v="0"/>
    <x v="0"/>
  </r>
  <r>
    <x v="202"/>
    <x v="1"/>
    <s v="Shuijie"/>
    <x v="43"/>
    <x v="4"/>
    <s v="AP"/>
    <x v="46"/>
    <n v="306"/>
    <b v="1"/>
    <n v="-306"/>
    <x v="1"/>
    <s v="Liability"/>
    <s v="Rec-Pay"/>
    <x v="2"/>
    <x v="1"/>
    <x v="1"/>
    <x v="10"/>
    <x v="4"/>
    <x v="6"/>
    <x v="0"/>
    <x v="0"/>
  </r>
  <r>
    <x v="203"/>
    <x v="1"/>
    <s v="Shuijie"/>
    <x v="33"/>
    <x v="5"/>
    <s v="AR"/>
    <x v="21"/>
    <n v="-3984.8"/>
    <b v="1"/>
    <n v="-3984.8"/>
    <x v="0"/>
    <s v="Assets"/>
    <s v="Rec-Pay"/>
    <x v="3"/>
    <x v="1"/>
    <x v="1"/>
    <x v="2"/>
    <x v="5"/>
    <x v="6"/>
    <x v="0"/>
    <x v="0"/>
  </r>
  <r>
    <x v="203"/>
    <x v="1"/>
    <s v="Shuijie"/>
    <x v="33"/>
    <x v="5"/>
    <s v="Bank"/>
    <x v="6"/>
    <n v="3984.8"/>
    <b v="1"/>
    <n v="3984.8"/>
    <x v="0"/>
    <s v="Assets"/>
    <s v="Cash alike"/>
    <x v="3"/>
    <x v="1"/>
    <x v="0"/>
    <x v="0"/>
    <x v="5"/>
    <x v="6"/>
    <x v="0"/>
    <x v="0"/>
  </r>
  <r>
    <x v="204"/>
    <x v="1"/>
    <s v="Shuijie"/>
    <x v="10"/>
    <x v="4"/>
    <s v="AR"/>
    <x v="21"/>
    <n v="1888.88"/>
    <b v="1"/>
    <n v="1888.88"/>
    <x v="0"/>
    <s v="Assets"/>
    <s v="Rec-Pay"/>
    <x v="3"/>
    <x v="1"/>
    <x v="1"/>
    <x v="2"/>
    <x v="4"/>
    <x v="6"/>
    <x v="0"/>
    <x v="0"/>
  </r>
  <r>
    <x v="205"/>
    <x v="1"/>
    <s v="Shuijie"/>
    <x v="42"/>
    <x v="4"/>
    <s v="AR"/>
    <x v="21"/>
    <n v="-1888.88"/>
    <b v="1"/>
    <n v="-1888.88"/>
    <x v="0"/>
    <s v="Assets"/>
    <s v="Rec-Pay"/>
    <x v="1"/>
    <x v="1"/>
    <x v="1"/>
    <x v="2"/>
    <x v="4"/>
    <x v="6"/>
    <x v="0"/>
    <x v="0"/>
  </r>
  <r>
    <x v="206"/>
    <x v="1"/>
    <s v="Shuijie"/>
    <x v="12"/>
    <x v="4"/>
    <s v="ToTax"/>
    <x v="47"/>
    <n v="27625.07"/>
    <b v="1"/>
    <n v="-27625.07"/>
    <x v="1"/>
    <s v="Liability"/>
    <s v="Rec-Pay"/>
    <x v="2"/>
    <x v="1"/>
    <x v="1"/>
    <x v="11"/>
    <x v="4"/>
    <x v="6"/>
    <x v="0"/>
    <x v="0"/>
  </r>
  <r>
    <x v="207"/>
    <x v="1"/>
    <s v="Ctrl"/>
    <x v="44"/>
    <x v="4"/>
    <s v="ToTax"/>
    <x v="48"/>
    <n v="83.3"/>
    <b v="1"/>
    <n v="-83.3"/>
    <x v="1"/>
    <s v="Liability"/>
    <s v="Rec-Pay"/>
    <x v="1"/>
    <x v="1"/>
    <x v="1"/>
    <x v="11"/>
    <x v="4"/>
    <x v="0"/>
    <x v="0"/>
    <x v="0"/>
  </r>
  <r>
    <x v="207"/>
    <x v="1"/>
    <s v="Ctrl"/>
    <x v="44"/>
    <x v="4"/>
    <s v="ToTax"/>
    <x v="50"/>
    <n v="132.21"/>
    <b v="1"/>
    <n v="-132.21"/>
    <x v="1"/>
    <s v="Liability"/>
    <s v="Rec-Pay"/>
    <x v="1"/>
    <x v="1"/>
    <x v="1"/>
    <x v="11"/>
    <x v="4"/>
    <x v="0"/>
    <x v="0"/>
    <x v="0"/>
  </r>
  <r>
    <x v="207"/>
    <x v="1"/>
    <s v="Ctrl"/>
    <x v="44"/>
    <x v="4"/>
    <s v="ToTax"/>
    <x v="49"/>
    <n v="1662.48"/>
    <b v="1"/>
    <n v="-1662.48"/>
    <x v="1"/>
    <s v="Liability"/>
    <s v="Rec-Pay"/>
    <x v="1"/>
    <x v="1"/>
    <x v="1"/>
    <x v="11"/>
    <x v="4"/>
    <x v="0"/>
    <x v="0"/>
    <x v="0"/>
  </r>
  <r>
    <x v="207"/>
    <x v="1"/>
    <s v="Ctrl"/>
    <x v="44"/>
    <x v="4"/>
    <s v="ToTax"/>
    <x v="51"/>
    <n v="4322.99"/>
    <b v="1"/>
    <n v="-4322.99"/>
    <x v="1"/>
    <s v="Liability"/>
    <s v="Rec-Pay"/>
    <x v="1"/>
    <x v="1"/>
    <x v="1"/>
    <x v="11"/>
    <x v="4"/>
    <x v="0"/>
    <x v="0"/>
    <x v="0"/>
  </r>
  <r>
    <x v="208"/>
    <x v="1"/>
    <s v="Shuijie"/>
    <x v="14"/>
    <x v="4"/>
    <s v="ToEmp"/>
    <x v="52"/>
    <n v="36283.379999999997"/>
    <b v="1"/>
    <n v="-36283.379999999997"/>
    <x v="1"/>
    <s v="Liability"/>
    <s v="Rec-Pay"/>
    <x v="1"/>
    <x v="1"/>
    <x v="1"/>
    <x v="12"/>
    <x v="4"/>
    <x v="6"/>
    <x v="0"/>
    <x v="0"/>
  </r>
  <r>
    <x v="209"/>
    <x v="1"/>
    <s v="GM"/>
    <x v="15"/>
    <x v="4"/>
    <s v="ToEmp"/>
    <x v="68"/>
    <n v="11200"/>
    <b v="1"/>
    <n v="-11200"/>
    <x v="1"/>
    <s v="Liability"/>
    <s v="Rec-Pay"/>
    <x v="4"/>
    <x v="0"/>
    <x v="1"/>
    <x v="12"/>
    <x v="4"/>
    <x v="1"/>
    <x v="0"/>
    <x v="0"/>
  </r>
  <r>
    <x v="210"/>
    <x v="1"/>
    <s v="Shuijie"/>
    <x v="10"/>
    <x v="4"/>
    <s v="Phys.C"/>
    <x v="5"/>
    <n v="16770.2"/>
    <b v="1"/>
    <n v="16770.2"/>
    <x v="0"/>
    <s v="Assets"/>
    <s v="Cash alike"/>
    <x v="3"/>
    <x v="1"/>
    <x v="0"/>
    <x v="1"/>
    <x v="4"/>
    <x v="6"/>
    <x v="0"/>
    <x v="0"/>
  </r>
  <r>
    <x v="211"/>
    <x v="1"/>
    <s v="Shuijie"/>
    <x v="10"/>
    <x v="4"/>
    <s v="AR"/>
    <x v="21"/>
    <n v="42268.46"/>
    <b v="1"/>
    <n v="42268.46"/>
    <x v="0"/>
    <s v="Assets"/>
    <s v="Rec-Pay"/>
    <x v="3"/>
    <x v="1"/>
    <x v="1"/>
    <x v="2"/>
    <x v="4"/>
    <x v="6"/>
    <x v="0"/>
    <x v="0"/>
  </r>
  <r>
    <x v="212"/>
    <x v="1"/>
    <s v="Shuijie"/>
    <x v="45"/>
    <x v="5"/>
    <s v="Bank"/>
    <x v="6"/>
    <n v="-300"/>
    <b v="1"/>
    <n v="-300"/>
    <x v="0"/>
    <s v="Assets"/>
    <s v="Cash alike"/>
    <x v="2"/>
    <x v="1"/>
    <x v="0"/>
    <x v="0"/>
    <x v="5"/>
    <x v="6"/>
    <x v="0"/>
    <x v="0"/>
  </r>
  <r>
    <x v="213"/>
    <x v="1"/>
    <s v="Shuijie"/>
    <x v="30"/>
    <x v="5"/>
    <s v="Bank"/>
    <x v="6"/>
    <n v="-983"/>
    <b v="1"/>
    <n v="-983"/>
    <x v="0"/>
    <s v="Assets"/>
    <s v="Cash alike"/>
    <x v="1"/>
    <x v="1"/>
    <x v="0"/>
    <x v="0"/>
    <x v="5"/>
    <x v="6"/>
    <x v="0"/>
    <x v="0"/>
  </r>
  <r>
    <x v="214"/>
    <x v="1"/>
    <s v="Shuijie"/>
    <x v="36"/>
    <x v="5"/>
    <s v="Bank"/>
    <x v="6"/>
    <n v="-409.35"/>
    <b v="1"/>
    <n v="-409.35"/>
    <x v="0"/>
    <s v="Assets"/>
    <s v="Cash alike"/>
    <x v="2"/>
    <x v="1"/>
    <x v="0"/>
    <x v="0"/>
    <x v="5"/>
    <x v="6"/>
    <x v="0"/>
    <x v="0"/>
  </r>
  <r>
    <x v="215"/>
    <x v="1"/>
    <s v="GM"/>
    <x v="6"/>
    <x v="5"/>
    <s v="Bank"/>
    <x v="6"/>
    <n v="-5060.82"/>
    <b v="1"/>
    <n v="-5060.82"/>
    <x v="0"/>
    <s v="Assets"/>
    <s v="Cash alike"/>
    <x v="1"/>
    <x v="1"/>
    <x v="0"/>
    <x v="0"/>
    <x v="5"/>
    <x v="1"/>
    <x v="0"/>
    <x v="0"/>
  </r>
  <r>
    <x v="215"/>
    <x v="1"/>
    <s v="GM"/>
    <x v="6"/>
    <x v="5"/>
    <s v="FrOther"/>
    <x v="22"/>
    <n v="1474.3"/>
    <b v="1"/>
    <n v="1474.3"/>
    <x v="0"/>
    <s v="Assets"/>
    <s v="Rec-Pay"/>
    <x v="1"/>
    <x v="1"/>
    <x v="1"/>
    <x v="3"/>
    <x v="5"/>
    <x v="1"/>
    <x v="0"/>
    <x v="0"/>
  </r>
  <r>
    <x v="216"/>
    <x v="1"/>
    <s v="Shuijie"/>
    <x v="45"/>
    <x v="5"/>
    <s v="Bank"/>
    <x v="6"/>
    <n v="-300"/>
    <b v="1"/>
    <n v="-300"/>
    <x v="0"/>
    <s v="Assets"/>
    <s v="Cash alike"/>
    <x v="2"/>
    <x v="1"/>
    <x v="0"/>
    <x v="0"/>
    <x v="5"/>
    <x v="6"/>
    <x v="0"/>
    <x v="0"/>
  </r>
  <r>
    <x v="217"/>
    <x v="1"/>
    <s v="GM"/>
    <x v="8"/>
    <x v="5"/>
    <s v="Bank"/>
    <x v="6"/>
    <n v="-32200.32"/>
    <b v="1"/>
    <n v="-32200.32"/>
    <x v="0"/>
    <s v="Assets"/>
    <s v="Cash alike"/>
    <x v="1"/>
    <x v="1"/>
    <x v="0"/>
    <x v="0"/>
    <x v="5"/>
    <x v="1"/>
    <x v="0"/>
    <x v="0"/>
  </r>
  <r>
    <x v="217"/>
    <x v="1"/>
    <s v="GM"/>
    <x v="8"/>
    <x v="5"/>
    <s v="ToTax"/>
    <x v="54"/>
    <n v="1282"/>
    <b v="1"/>
    <n v="-1282"/>
    <x v="1"/>
    <s v="Liability"/>
    <s v="Rec-Pay"/>
    <x v="1"/>
    <x v="1"/>
    <x v="1"/>
    <x v="11"/>
    <x v="5"/>
    <x v="1"/>
    <x v="0"/>
    <x v="0"/>
  </r>
  <r>
    <x v="217"/>
    <x v="1"/>
    <s v="GM"/>
    <x v="8"/>
    <x v="5"/>
    <s v="ToEmp"/>
    <x v="52"/>
    <n v="-34956.620000000003"/>
    <b v="1"/>
    <n v="34956.620000000003"/>
    <x v="1"/>
    <s v="Liability"/>
    <s v="Rec-Pay"/>
    <x v="1"/>
    <x v="1"/>
    <x v="1"/>
    <x v="12"/>
    <x v="5"/>
    <x v="1"/>
    <x v="0"/>
    <x v="0"/>
  </r>
  <r>
    <x v="217"/>
    <x v="1"/>
    <s v="GM"/>
    <x v="8"/>
    <x v="5"/>
    <s v="FrOther"/>
    <x v="22"/>
    <n v="-1474.3"/>
    <b v="1"/>
    <n v="-1474.3"/>
    <x v="0"/>
    <s v="Assets"/>
    <s v="Rec-Pay"/>
    <x v="1"/>
    <x v="1"/>
    <x v="1"/>
    <x v="3"/>
    <x v="5"/>
    <x v="1"/>
    <x v="0"/>
    <x v="0"/>
  </r>
  <r>
    <x v="218"/>
    <x v="1"/>
    <s v="GM"/>
    <x v="8"/>
    <x v="5"/>
    <s v="ToTax"/>
    <x v="54"/>
    <n v="-1282"/>
    <b v="1"/>
    <n v="1282"/>
    <x v="1"/>
    <s v="Liability"/>
    <s v="Rec-Pay"/>
    <x v="1"/>
    <x v="1"/>
    <x v="1"/>
    <x v="11"/>
    <x v="5"/>
    <x v="1"/>
    <x v="0"/>
    <x v="0"/>
  </r>
  <r>
    <x v="218"/>
    <x v="1"/>
    <s v="GM"/>
    <x v="8"/>
    <x v="5"/>
    <s v="Bank"/>
    <x v="6"/>
    <n v="-1282"/>
    <b v="1"/>
    <n v="-1282"/>
    <x v="0"/>
    <s v="Assets"/>
    <s v="Cash alike"/>
    <x v="1"/>
    <x v="1"/>
    <x v="0"/>
    <x v="0"/>
    <x v="5"/>
    <x v="1"/>
    <x v="0"/>
    <x v="0"/>
  </r>
  <r>
    <x v="219"/>
    <x v="1"/>
    <s v="Ctrl"/>
    <x v="8"/>
    <x v="5"/>
    <s v="ToTax"/>
    <x v="47"/>
    <n v="-5178.93"/>
    <b v="1"/>
    <n v="5178.93"/>
    <x v="1"/>
    <s v="Liability"/>
    <s v="Rec-Pay"/>
    <x v="1"/>
    <x v="1"/>
    <x v="1"/>
    <x v="11"/>
    <x v="5"/>
    <x v="0"/>
    <x v="0"/>
    <x v="0"/>
  </r>
  <r>
    <x v="219"/>
    <x v="1"/>
    <s v="Ctrl"/>
    <x v="8"/>
    <x v="5"/>
    <s v="ToTax"/>
    <x v="49"/>
    <n v="-310.73"/>
    <b v="1"/>
    <n v="310.73"/>
    <x v="1"/>
    <s v="Liability"/>
    <s v="Rec-Pay"/>
    <x v="1"/>
    <x v="1"/>
    <x v="1"/>
    <x v="11"/>
    <x v="5"/>
    <x v="0"/>
    <x v="0"/>
    <x v="0"/>
  </r>
  <r>
    <x v="219"/>
    <x v="1"/>
    <s v="Ctrl"/>
    <x v="8"/>
    <x v="5"/>
    <s v="Bank"/>
    <x v="6"/>
    <n v="-5489.66"/>
    <b v="1"/>
    <n v="-5489.66"/>
    <x v="0"/>
    <s v="Assets"/>
    <s v="Cash alike"/>
    <x v="1"/>
    <x v="1"/>
    <x v="0"/>
    <x v="0"/>
    <x v="5"/>
    <x v="0"/>
    <x v="0"/>
    <x v="0"/>
  </r>
  <r>
    <x v="220"/>
    <x v="1"/>
    <s v="Shuijie"/>
    <x v="39"/>
    <x v="5"/>
    <s v="Bank"/>
    <x v="6"/>
    <n v="2000"/>
    <b v="1"/>
    <n v="2000"/>
    <x v="0"/>
    <s v="Assets"/>
    <s v="Cash alike"/>
    <x v="0"/>
    <x v="0"/>
    <x v="0"/>
    <x v="0"/>
    <x v="5"/>
    <x v="6"/>
    <x v="0"/>
    <x v="0"/>
  </r>
  <r>
    <x v="220"/>
    <x v="1"/>
    <s v="Shuijie"/>
    <x v="39"/>
    <x v="5"/>
    <s v="Phys.C"/>
    <x v="7"/>
    <n v="-2000"/>
    <b v="1"/>
    <n v="-2000"/>
    <x v="0"/>
    <s v="Assets"/>
    <s v="Cash alike"/>
    <x v="0"/>
    <x v="0"/>
    <x v="0"/>
    <x v="1"/>
    <x v="5"/>
    <x v="6"/>
    <x v="0"/>
    <x v="0"/>
  </r>
  <r>
    <x v="221"/>
    <x v="1"/>
    <s v="Shuijie"/>
    <x v="45"/>
    <x v="5"/>
    <s v="Bank"/>
    <x v="6"/>
    <n v="-300"/>
    <b v="1"/>
    <n v="-300"/>
    <x v="0"/>
    <s v="Assets"/>
    <s v="Cash alike"/>
    <x v="2"/>
    <x v="1"/>
    <x v="0"/>
    <x v="0"/>
    <x v="5"/>
    <x v="6"/>
    <x v="0"/>
    <x v="0"/>
  </r>
  <r>
    <x v="222"/>
    <x v="1"/>
    <s v="GM"/>
    <x v="13"/>
    <x v="5"/>
    <s v="Bank"/>
    <x v="6"/>
    <n v="-7"/>
    <b v="1"/>
    <n v="-7"/>
    <x v="0"/>
    <s v="Assets"/>
    <s v="Cash alike"/>
    <x v="1"/>
    <x v="1"/>
    <x v="0"/>
    <x v="0"/>
    <x v="5"/>
    <x v="1"/>
    <x v="0"/>
    <x v="0"/>
  </r>
  <r>
    <x v="223"/>
    <x v="1"/>
    <s v="Shuijie"/>
    <x v="33"/>
    <x v="5"/>
    <s v="Bank"/>
    <x v="6"/>
    <n v="65524.07"/>
    <b v="1"/>
    <n v="65524.07"/>
    <x v="0"/>
    <s v="Assets"/>
    <s v="Cash alike"/>
    <x v="3"/>
    <x v="1"/>
    <x v="0"/>
    <x v="0"/>
    <x v="5"/>
    <x v="6"/>
    <x v="0"/>
    <x v="0"/>
  </r>
  <r>
    <x v="223"/>
    <x v="1"/>
    <s v="Shuijie"/>
    <x v="33"/>
    <x v="5"/>
    <s v="AR"/>
    <x v="21"/>
    <n v="-65524.07"/>
    <b v="1"/>
    <n v="-65524.07"/>
    <x v="0"/>
    <s v="Assets"/>
    <s v="Rec-Pay"/>
    <x v="3"/>
    <x v="1"/>
    <x v="1"/>
    <x v="2"/>
    <x v="5"/>
    <x v="6"/>
    <x v="0"/>
    <x v="0"/>
  </r>
  <r>
    <x v="224"/>
    <x v="1"/>
    <s v="Brand"/>
    <x v="46"/>
    <x v="5"/>
    <s v="Property"/>
    <x v="43"/>
    <n v="-54022.96"/>
    <b v="1"/>
    <n v="-54022.96"/>
    <x v="0"/>
    <s v="Assets"/>
    <s v="PP&amp;E"/>
    <x v="1"/>
    <x v="1"/>
    <x v="4"/>
    <x v="8"/>
    <x v="5"/>
    <x v="3"/>
    <x v="0"/>
    <x v="0"/>
  </r>
  <r>
    <x v="225"/>
    <x v="1"/>
    <s v="Shuijie"/>
    <x v="40"/>
    <x v="5"/>
    <s v="Phys.C"/>
    <x v="7"/>
    <n v="1000"/>
    <b v="1"/>
    <n v="1000"/>
    <x v="0"/>
    <s v="Assets"/>
    <s v="Cash alike"/>
    <x v="3"/>
    <x v="1"/>
    <x v="0"/>
    <x v="1"/>
    <x v="5"/>
    <x v="6"/>
    <x v="0"/>
    <x v="0"/>
  </r>
  <r>
    <x v="225"/>
    <x v="1"/>
    <s v="Shuijie"/>
    <x v="40"/>
    <x v="5"/>
    <s v="AR"/>
    <x v="21"/>
    <n v="67558.31"/>
    <b v="1"/>
    <n v="67558.31"/>
    <x v="0"/>
    <s v="Assets"/>
    <s v="Rec-Pay"/>
    <x v="3"/>
    <x v="1"/>
    <x v="1"/>
    <x v="2"/>
    <x v="5"/>
    <x v="6"/>
    <x v="0"/>
    <x v="0"/>
  </r>
  <r>
    <x v="226"/>
    <x v="1"/>
    <s v="Shuijie"/>
    <x v="12"/>
    <x v="5"/>
    <s v="ToTax"/>
    <x v="47"/>
    <n v="681.35"/>
    <b v="1"/>
    <n v="-681.35"/>
    <x v="1"/>
    <s v="Liability"/>
    <s v="Rec-Pay"/>
    <x v="2"/>
    <x v="1"/>
    <x v="1"/>
    <x v="11"/>
    <x v="5"/>
    <x v="6"/>
    <x v="0"/>
    <x v="0"/>
  </r>
  <r>
    <x v="227"/>
    <x v="1"/>
    <s v="Shuijie"/>
    <x v="42"/>
    <x v="5"/>
    <s v="AR"/>
    <x v="21"/>
    <n v="-257.69"/>
    <b v="1"/>
    <n v="-257.69"/>
    <x v="0"/>
    <s v="Assets"/>
    <s v="Rec-Pay"/>
    <x v="1"/>
    <x v="1"/>
    <x v="1"/>
    <x v="2"/>
    <x v="5"/>
    <x v="6"/>
    <x v="0"/>
    <x v="0"/>
  </r>
  <r>
    <x v="228"/>
    <x v="1"/>
    <s v="Shuijie"/>
    <x v="40"/>
    <x v="5"/>
    <s v="AR"/>
    <x v="21"/>
    <n v="257.69"/>
    <b v="1"/>
    <n v="257.69"/>
    <x v="0"/>
    <s v="Assets"/>
    <s v="Rec-Pay"/>
    <x v="3"/>
    <x v="1"/>
    <x v="1"/>
    <x v="2"/>
    <x v="5"/>
    <x v="6"/>
    <x v="0"/>
    <x v="0"/>
  </r>
  <r>
    <x v="229"/>
    <x v="1"/>
    <s v="Ctrl"/>
    <x v="44"/>
    <x v="5"/>
    <s v="ToTax"/>
    <x v="49"/>
    <n v="40.869999999999997"/>
    <b v="1"/>
    <n v="-40.869999999999997"/>
    <x v="1"/>
    <s v="Liability"/>
    <s v="Rec-Pay"/>
    <x v="1"/>
    <x v="1"/>
    <x v="1"/>
    <x v="11"/>
    <x v="5"/>
    <x v="0"/>
    <x v="0"/>
    <x v="0"/>
  </r>
  <r>
    <x v="230"/>
    <x v="1"/>
    <s v="GM"/>
    <x v="14"/>
    <x v="5"/>
    <s v="ToEmp"/>
    <x v="52"/>
    <n v="35490.239999999998"/>
    <b v="1"/>
    <n v="-35490.239999999998"/>
    <x v="1"/>
    <s v="Liability"/>
    <s v="Rec-Pay"/>
    <x v="1"/>
    <x v="1"/>
    <x v="1"/>
    <x v="12"/>
    <x v="5"/>
    <x v="1"/>
    <x v="0"/>
    <x v="0"/>
  </r>
  <r>
    <x v="231"/>
    <x v="1"/>
    <s v="GM"/>
    <x v="15"/>
    <x v="5"/>
    <s v="ToEmp"/>
    <x v="68"/>
    <n v="50916.66"/>
    <b v="1"/>
    <n v="-50916.66"/>
    <x v="1"/>
    <s v="Liability"/>
    <s v="Rec-Pay"/>
    <x v="4"/>
    <x v="0"/>
    <x v="1"/>
    <x v="12"/>
    <x v="5"/>
    <x v="1"/>
    <x v="0"/>
    <x v="0"/>
  </r>
  <r>
    <x v="232"/>
    <x v="1"/>
    <s v="Online"/>
    <x v="16"/>
    <x v="0"/>
    <s v="Bank"/>
    <x v="0"/>
    <n v="-1060"/>
    <b v="1"/>
    <n v="-1060"/>
    <x v="0"/>
    <s v="Assets"/>
    <s v="Cash alike"/>
    <x v="1"/>
    <x v="1"/>
    <x v="0"/>
    <x v="0"/>
    <x v="0"/>
    <x v="2"/>
    <x v="0"/>
    <x v="0"/>
  </r>
  <r>
    <x v="233"/>
    <x v="1"/>
    <s v="Online"/>
    <x v="16"/>
    <x v="0"/>
    <s v="Bank"/>
    <x v="0"/>
    <n v="-342"/>
    <b v="1"/>
    <n v="-342"/>
    <x v="0"/>
    <s v="Assets"/>
    <s v="Cash alike"/>
    <x v="1"/>
    <x v="1"/>
    <x v="0"/>
    <x v="0"/>
    <x v="0"/>
    <x v="2"/>
    <x v="0"/>
    <x v="0"/>
  </r>
  <r>
    <x v="234"/>
    <x v="1"/>
    <s v="Online"/>
    <x v="11"/>
    <x v="0"/>
    <s v="Bank"/>
    <x v="0"/>
    <n v="-2079"/>
    <b v="1"/>
    <n v="-2079"/>
    <x v="0"/>
    <s v="Assets"/>
    <s v="Cash alike"/>
    <x v="2"/>
    <x v="1"/>
    <x v="0"/>
    <x v="0"/>
    <x v="0"/>
    <x v="2"/>
    <x v="0"/>
    <x v="0"/>
  </r>
  <r>
    <x v="234"/>
    <x v="1"/>
    <s v="Online"/>
    <x v="11"/>
    <x v="0"/>
    <s v="Curr"/>
    <x v="38"/>
    <n v="2079"/>
    <b v="1"/>
    <n v="2079"/>
    <x v="0"/>
    <s v="Assets"/>
    <s v="Invtr"/>
    <x v="2"/>
    <x v="1"/>
    <x v="3"/>
    <x v="7"/>
    <x v="0"/>
    <x v="2"/>
    <x v="0"/>
    <x v="0"/>
  </r>
  <r>
    <x v="235"/>
    <x v="1"/>
    <s v="Online"/>
    <x v="8"/>
    <x v="0"/>
    <s v="Order"/>
    <x v="34"/>
    <n v="2700"/>
    <b v="1"/>
    <n v="2700"/>
    <x v="0"/>
    <s v="Assets"/>
    <s v="Prep-Sub"/>
    <x v="1"/>
    <x v="1"/>
    <x v="2"/>
    <x v="6"/>
    <x v="0"/>
    <x v="2"/>
    <x v="0"/>
    <x v="0"/>
  </r>
  <r>
    <x v="235"/>
    <x v="1"/>
    <s v="Online"/>
    <x v="8"/>
    <x v="0"/>
    <s v="Bank"/>
    <x v="0"/>
    <n v="-2700"/>
    <b v="1"/>
    <n v="-2700"/>
    <x v="0"/>
    <s v="Assets"/>
    <s v="Cash alike"/>
    <x v="1"/>
    <x v="1"/>
    <x v="0"/>
    <x v="0"/>
    <x v="0"/>
    <x v="2"/>
    <x v="0"/>
    <x v="0"/>
  </r>
  <r>
    <x v="236"/>
    <x v="1"/>
    <s v="Online"/>
    <x v="11"/>
    <x v="0"/>
    <s v="Bank"/>
    <x v="0"/>
    <n v="-6546"/>
    <b v="1"/>
    <n v="-6546"/>
    <x v="0"/>
    <s v="Assets"/>
    <s v="Cash alike"/>
    <x v="2"/>
    <x v="1"/>
    <x v="0"/>
    <x v="0"/>
    <x v="0"/>
    <x v="2"/>
    <x v="0"/>
    <x v="0"/>
  </r>
  <r>
    <x v="236"/>
    <x v="1"/>
    <s v="Online"/>
    <x v="11"/>
    <x v="0"/>
    <s v="Curr"/>
    <x v="38"/>
    <n v="6546"/>
    <b v="1"/>
    <n v="6546"/>
    <x v="0"/>
    <s v="Assets"/>
    <s v="Invtr"/>
    <x v="2"/>
    <x v="1"/>
    <x v="3"/>
    <x v="7"/>
    <x v="0"/>
    <x v="2"/>
    <x v="0"/>
    <x v="0"/>
  </r>
  <r>
    <x v="237"/>
    <x v="1"/>
    <s v="Online"/>
    <x v="16"/>
    <x v="0"/>
    <s v="Bank"/>
    <x v="0"/>
    <n v="-160"/>
    <b v="1"/>
    <n v="-160"/>
    <x v="0"/>
    <s v="Assets"/>
    <s v="Cash alike"/>
    <x v="1"/>
    <x v="1"/>
    <x v="0"/>
    <x v="0"/>
    <x v="0"/>
    <x v="2"/>
    <x v="0"/>
    <x v="0"/>
  </r>
  <r>
    <x v="238"/>
    <x v="1"/>
    <s v="Online"/>
    <x v="33"/>
    <x v="0"/>
    <s v="Bank"/>
    <x v="0"/>
    <n v="289043.94"/>
    <b v="1"/>
    <n v="289043.94"/>
    <x v="0"/>
    <s v="Assets"/>
    <s v="Cash alike"/>
    <x v="3"/>
    <x v="1"/>
    <x v="0"/>
    <x v="0"/>
    <x v="0"/>
    <x v="2"/>
    <x v="0"/>
    <x v="0"/>
  </r>
  <r>
    <x v="238"/>
    <x v="1"/>
    <s v="Online"/>
    <x v="33"/>
    <x v="0"/>
    <s v="AR"/>
    <x v="21"/>
    <n v="-289043.94"/>
    <b v="1"/>
    <n v="-289043.94"/>
    <x v="0"/>
    <s v="Assets"/>
    <s v="Rec-Pay"/>
    <x v="3"/>
    <x v="1"/>
    <x v="1"/>
    <x v="2"/>
    <x v="0"/>
    <x v="2"/>
    <x v="0"/>
    <x v="0"/>
  </r>
  <r>
    <x v="239"/>
    <x v="1"/>
    <s v="Online"/>
    <x v="9"/>
    <x v="0"/>
    <s v="Bank"/>
    <x v="0"/>
    <n v="-36.4"/>
    <b v="1"/>
    <n v="-36.4"/>
    <x v="0"/>
    <s v="Assets"/>
    <s v="Cash alike"/>
    <x v="1"/>
    <x v="1"/>
    <x v="0"/>
    <x v="0"/>
    <x v="0"/>
    <x v="2"/>
    <x v="0"/>
    <x v="0"/>
  </r>
  <r>
    <x v="240"/>
    <x v="1"/>
    <s v="GM"/>
    <x v="14"/>
    <x v="0"/>
    <s v="Bank"/>
    <x v="0"/>
    <n v="-15000"/>
    <b v="1"/>
    <n v="-15000"/>
    <x v="0"/>
    <s v="Assets"/>
    <s v="Cash alike"/>
    <x v="1"/>
    <x v="1"/>
    <x v="0"/>
    <x v="0"/>
    <x v="0"/>
    <x v="1"/>
    <x v="0"/>
    <x v="0"/>
  </r>
  <r>
    <x v="241"/>
    <x v="1"/>
    <s v="GM"/>
    <x v="3"/>
    <x v="0"/>
    <s v="Bank"/>
    <x v="0"/>
    <n v="-370"/>
    <b v="1"/>
    <n v="-370"/>
    <x v="0"/>
    <s v="Assets"/>
    <s v="Cash alike"/>
    <x v="1"/>
    <x v="1"/>
    <x v="0"/>
    <x v="0"/>
    <x v="0"/>
    <x v="1"/>
    <x v="0"/>
    <x v="0"/>
  </r>
  <r>
    <x v="242"/>
    <x v="1"/>
    <s v="Online"/>
    <x v="11"/>
    <x v="0"/>
    <s v="Curr"/>
    <x v="38"/>
    <n v="17226"/>
    <b v="1"/>
    <n v="17226"/>
    <x v="0"/>
    <s v="Assets"/>
    <s v="Invtr"/>
    <x v="2"/>
    <x v="1"/>
    <x v="3"/>
    <x v="7"/>
    <x v="0"/>
    <x v="2"/>
    <x v="0"/>
    <x v="0"/>
  </r>
  <r>
    <x v="242"/>
    <x v="1"/>
    <s v="Online"/>
    <x v="11"/>
    <x v="0"/>
    <s v="Bank"/>
    <x v="0"/>
    <n v="-17226"/>
    <b v="1"/>
    <n v="-17226"/>
    <x v="0"/>
    <s v="Assets"/>
    <s v="Cash alike"/>
    <x v="2"/>
    <x v="1"/>
    <x v="0"/>
    <x v="0"/>
    <x v="0"/>
    <x v="2"/>
    <x v="0"/>
    <x v="0"/>
  </r>
  <r>
    <x v="243"/>
    <x v="1"/>
    <s v="Online"/>
    <x v="11"/>
    <x v="0"/>
    <s v="Curr"/>
    <x v="38"/>
    <n v="4387"/>
    <b v="1"/>
    <n v="4387"/>
    <x v="0"/>
    <s v="Assets"/>
    <s v="Invtr"/>
    <x v="2"/>
    <x v="1"/>
    <x v="3"/>
    <x v="7"/>
    <x v="0"/>
    <x v="2"/>
    <x v="0"/>
    <x v="0"/>
  </r>
  <r>
    <x v="243"/>
    <x v="1"/>
    <s v="Online"/>
    <x v="11"/>
    <x v="0"/>
    <s v="Bank"/>
    <x v="0"/>
    <n v="-4387"/>
    <b v="1"/>
    <n v="-4387"/>
    <x v="0"/>
    <s v="Assets"/>
    <s v="Cash alike"/>
    <x v="2"/>
    <x v="1"/>
    <x v="0"/>
    <x v="0"/>
    <x v="0"/>
    <x v="2"/>
    <x v="0"/>
    <x v="0"/>
  </r>
  <r>
    <x v="244"/>
    <x v="1"/>
    <s v="Online"/>
    <x v="11"/>
    <x v="0"/>
    <s v="Bank"/>
    <x v="0"/>
    <n v="-17220"/>
    <b v="1"/>
    <n v="-17220"/>
    <x v="0"/>
    <s v="Assets"/>
    <s v="Cash alike"/>
    <x v="2"/>
    <x v="1"/>
    <x v="0"/>
    <x v="0"/>
    <x v="0"/>
    <x v="2"/>
    <x v="0"/>
    <x v="0"/>
  </r>
  <r>
    <x v="244"/>
    <x v="1"/>
    <s v="Online"/>
    <x v="11"/>
    <x v="0"/>
    <s v="Curr"/>
    <x v="38"/>
    <n v="17220"/>
    <b v="1"/>
    <n v="17220"/>
    <x v="0"/>
    <s v="Assets"/>
    <s v="Invtr"/>
    <x v="2"/>
    <x v="1"/>
    <x v="3"/>
    <x v="7"/>
    <x v="0"/>
    <x v="2"/>
    <x v="0"/>
    <x v="0"/>
  </r>
  <r>
    <x v="245"/>
    <x v="1"/>
    <s v="GM"/>
    <x v="14"/>
    <x v="0"/>
    <s v="Bank"/>
    <x v="0"/>
    <n v="-10000"/>
    <b v="1"/>
    <n v="-10000"/>
    <x v="0"/>
    <s v="Assets"/>
    <s v="Cash alike"/>
    <x v="1"/>
    <x v="1"/>
    <x v="0"/>
    <x v="0"/>
    <x v="0"/>
    <x v="1"/>
    <x v="0"/>
    <x v="0"/>
  </r>
  <r>
    <x v="246"/>
    <x v="1"/>
    <s v="Online"/>
    <x v="11"/>
    <x v="0"/>
    <s v="Bank"/>
    <x v="0"/>
    <n v="-35459.949999999997"/>
    <b v="1"/>
    <n v="-35459.949999999997"/>
    <x v="0"/>
    <s v="Assets"/>
    <s v="Cash alike"/>
    <x v="2"/>
    <x v="1"/>
    <x v="0"/>
    <x v="0"/>
    <x v="0"/>
    <x v="2"/>
    <x v="0"/>
    <x v="0"/>
  </r>
  <r>
    <x v="246"/>
    <x v="1"/>
    <s v="Online"/>
    <x v="11"/>
    <x v="0"/>
    <s v="Curr"/>
    <x v="38"/>
    <n v="35459.949999999997"/>
    <b v="1"/>
    <n v="35459.949999999997"/>
    <x v="0"/>
    <s v="Assets"/>
    <s v="Invtr"/>
    <x v="2"/>
    <x v="1"/>
    <x v="3"/>
    <x v="7"/>
    <x v="0"/>
    <x v="2"/>
    <x v="0"/>
    <x v="0"/>
  </r>
  <r>
    <x v="247"/>
    <x v="1"/>
    <s v="Online"/>
    <x v="11"/>
    <x v="0"/>
    <s v="Bank"/>
    <x v="0"/>
    <n v="-77908.5"/>
    <b v="1"/>
    <n v="-77908.5"/>
    <x v="0"/>
    <s v="Assets"/>
    <s v="Cash alike"/>
    <x v="2"/>
    <x v="1"/>
    <x v="0"/>
    <x v="0"/>
    <x v="0"/>
    <x v="2"/>
    <x v="0"/>
    <x v="0"/>
  </r>
  <r>
    <x v="247"/>
    <x v="1"/>
    <s v="Online"/>
    <x v="11"/>
    <x v="0"/>
    <s v="Curr"/>
    <x v="38"/>
    <n v="77908.5"/>
    <b v="1"/>
    <n v="77908.5"/>
    <x v="0"/>
    <s v="Assets"/>
    <s v="Invtr"/>
    <x v="2"/>
    <x v="1"/>
    <x v="3"/>
    <x v="7"/>
    <x v="0"/>
    <x v="2"/>
    <x v="0"/>
    <x v="0"/>
  </r>
  <r>
    <x v="248"/>
    <x v="1"/>
    <s v="GM"/>
    <x v="6"/>
    <x v="0"/>
    <s v="Bank"/>
    <x v="0"/>
    <n v="-83998.38"/>
    <b v="1"/>
    <n v="-83998.38"/>
    <x v="0"/>
    <s v="Assets"/>
    <s v="Cash alike"/>
    <x v="1"/>
    <x v="1"/>
    <x v="0"/>
    <x v="0"/>
    <x v="0"/>
    <x v="1"/>
    <x v="0"/>
    <x v="0"/>
  </r>
  <r>
    <x v="248"/>
    <x v="1"/>
    <s v="GM"/>
    <x v="6"/>
    <x v="0"/>
    <s v="FrOther"/>
    <x v="22"/>
    <n v="24591.75"/>
    <b v="1"/>
    <n v="24591.75"/>
    <x v="0"/>
    <s v="Assets"/>
    <s v="Rec-Pay"/>
    <x v="1"/>
    <x v="1"/>
    <x v="1"/>
    <x v="3"/>
    <x v="0"/>
    <x v="1"/>
    <x v="0"/>
    <x v="0"/>
  </r>
  <r>
    <x v="249"/>
    <x v="1"/>
    <s v="Brand"/>
    <x v="20"/>
    <x v="0"/>
    <s v="Bank"/>
    <x v="0"/>
    <n v="-829.9"/>
    <b v="1"/>
    <n v="-829.9"/>
    <x v="0"/>
    <s v="Assets"/>
    <s v="Cash alike"/>
    <x v="1"/>
    <x v="1"/>
    <x v="0"/>
    <x v="0"/>
    <x v="0"/>
    <x v="3"/>
    <x v="0"/>
    <x v="0"/>
  </r>
  <r>
    <x v="250"/>
    <x v="1"/>
    <s v="GM"/>
    <x v="14"/>
    <x v="0"/>
    <s v="Bank"/>
    <x v="0"/>
    <n v="-5000"/>
    <b v="1"/>
    <n v="-5000"/>
    <x v="0"/>
    <s v="Assets"/>
    <s v="Cash alike"/>
    <x v="1"/>
    <x v="1"/>
    <x v="0"/>
    <x v="0"/>
    <x v="0"/>
    <x v="1"/>
    <x v="0"/>
    <x v="0"/>
  </r>
  <r>
    <x v="251"/>
    <x v="1"/>
    <s v="Online"/>
    <x v="33"/>
    <x v="0"/>
    <s v="Bank"/>
    <x v="0"/>
    <n v="720101.65"/>
    <b v="1"/>
    <n v="720101.65"/>
    <x v="0"/>
    <s v="Assets"/>
    <s v="Cash alike"/>
    <x v="3"/>
    <x v="1"/>
    <x v="0"/>
    <x v="0"/>
    <x v="0"/>
    <x v="2"/>
    <x v="0"/>
    <x v="0"/>
  </r>
  <r>
    <x v="251"/>
    <x v="1"/>
    <s v="Online"/>
    <x v="33"/>
    <x v="0"/>
    <s v="AR"/>
    <x v="21"/>
    <n v="-720101.65"/>
    <b v="1"/>
    <n v="-720101.65"/>
    <x v="0"/>
    <s v="Assets"/>
    <s v="Rec-Pay"/>
    <x v="3"/>
    <x v="1"/>
    <x v="1"/>
    <x v="2"/>
    <x v="0"/>
    <x v="2"/>
    <x v="0"/>
    <x v="0"/>
  </r>
  <r>
    <x v="252"/>
    <x v="1"/>
    <s v="GM"/>
    <x v="18"/>
    <x v="0"/>
    <s v="Bank"/>
    <x v="0"/>
    <n v="-1881.9"/>
    <b v="1"/>
    <n v="-1881.9"/>
    <x v="0"/>
    <s v="Assets"/>
    <s v="Cash alike"/>
    <x v="1"/>
    <x v="1"/>
    <x v="0"/>
    <x v="0"/>
    <x v="0"/>
    <x v="1"/>
    <x v="0"/>
    <x v="0"/>
  </r>
  <r>
    <x v="253"/>
    <x v="1"/>
    <s v="GM"/>
    <x v="18"/>
    <x v="0"/>
    <s v="Bank"/>
    <x v="0"/>
    <n v="-10283"/>
    <b v="1"/>
    <n v="-10283"/>
    <x v="0"/>
    <s v="Assets"/>
    <s v="Cash alike"/>
    <x v="1"/>
    <x v="1"/>
    <x v="0"/>
    <x v="0"/>
    <x v="0"/>
    <x v="1"/>
    <x v="0"/>
    <x v="0"/>
  </r>
  <r>
    <x v="254"/>
    <x v="1"/>
    <s v="Online"/>
    <x v="11"/>
    <x v="0"/>
    <s v="Bank"/>
    <x v="0"/>
    <n v="-1925"/>
    <b v="1"/>
    <n v="-1925"/>
    <x v="0"/>
    <s v="Assets"/>
    <s v="Cash alike"/>
    <x v="2"/>
    <x v="1"/>
    <x v="0"/>
    <x v="0"/>
    <x v="0"/>
    <x v="2"/>
    <x v="0"/>
    <x v="0"/>
  </r>
  <r>
    <x v="254"/>
    <x v="1"/>
    <s v="Online"/>
    <x v="11"/>
    <x v="0"/>
    <s v="Curr"/>
    <x v="38"/>
    <n v="1925"/>
    <b v="1"/>
    <n v="1925"/>
    <x v="0"/>
    <s v="Assets"/>
    <s v="Invtr"/>
    <x v="2"/>
    <x v="1"/>
    <x v="3"/>
    <x v="7"/>
    <x v="0"/>
    <x v="2"/>
    <x v="0"/>
    <x v="0"/>
  </r>
  <r>
    <x v="255"/>
    <x v="1"/>
    <s v="Online"/>
    <x v="9"/>
    <x v="0"/>
    <s v="Bank"/>
    <x v="0"/>
    <n v="-2771.95"/>
    <b v="1"/>
    <n v="-2771.95"/>
    <x v="0"/>
    <s v="Assets"/>
    <s v="Cash alike"/>
    <x v="1"/>
    <x v="1"/>
    <x v="0"/>
    <x v="0"/>
    <x v="0"/>
    <x v="2"/>
    <x v="0"/>
    <x v="0"/>
  </r>
  <r>
    <x v="256"/>
    <x v="1"/>
    <s v="Online"/>
    <x v="9"/>
    <x v="0"/>
    <s v="Bank"/>
    <x v="0"/>
    <n v="-62132"/>
    <b v="1"/>
    <n v="-62132"/>
    <x v="0"/>
    <s v="Assets"/>
    <s v="Cash alike"/>
    <x v="1"/>
    <x v="1"/>
    <x v="0"/>
    <x v="0"/>
    <x v="0"/>
    <x v="2"/>
    <x v="0"/>
    <x v="0"/>
  </r>
  <r>
    <x v="257"/>
    <x v="1"/>
    <s v="Online"/>
    <x v="9"/>
    <x v="0"/>
    <s v="Bank"/>
    <x v="0"/>
    <n v="-14284"/>
    <b v="1"/>
    <n v="-14284"/>
    <x v="0"/>
    <s v="Assets"/>
    <s v="Cash alike"/>
    <x v="1"/>
    <x v="1"/>
    <x v="0"/>
    <x v="0"/>
    <x v="0"/>
    <x v="2"/>
    <x v="0"/>
    <x v="0"/>
  </r>
  <r>
    <x v="258"/>
    <x v="1"/>
    <s v="Online"/>
    <x v="47"/>
    <x v="0"/>
    <s v="Bank"/>
    <x v="0"/>
    <n v="-277"/>
    <b v="1"/>
    <n v="-277"/>
    <x v="0"/>
    <s v="Assets"/>
    <s v="Cash alike"/>
    <x v="2"/>
    <x v="1"/>
    <x v="0"/>
    <x v="0"/>
    <x v="0"/>
    <x v="2"/>
    <x v="0"/>
    <x v="0"/>
  </r>
  <r>
    <x v="259"/>
    <x v="1"/>
    <s v="Online"/>
    <x v="47"/>
    <x v="0"/>
    <s v="Bank"/>
    <x v="0"/>
    <n v="-606.97"/>
    <b v="1"/>
    <n v="-606.97"/>
    <x v="0"/>
    <s v="Assets"/>
    <s v="Cash alike"/>
    <x v="2"/>
    <x v="1"/>
    <x v="0"/>
    <x v="0"/>
    <x v="0"/>
    <x v="2"/>
    <x v="0"/>
    <x v="0"/>
  </r>
  <r>
    <x v="260"/>
    <x v="1"/>
    <s v="Brand"/>
    <x v="20"/>
    <x v="0"/>
    <s v="Bank"/>
    <x v="0"/>
    <n v="-40.700000000000003"/>
    <b v="1"/>
    <n v="-40.700000000000003"/>
    <x v="0"/>
    <s v="Assets"/>
    <s v="Cash alike"/>
    <x v="1"/>
    <x v="1"/>
    <x v="0"/>
    <x v="0"/>
    <x v="0"/>
    <x v="3"/>
    <x v="0"/>
    <x v="0"/>
  </r>
  <r>
    <x v="261"/>
    <x v="1"/>
    <s v="Online"/>
    <x v="42"/>
    <x v="0"/>
    <s v="AR"/>
    <x v="21"/>
    <n v="-140991.12"/>
    <b v="1"/>
    <n v="-140991.12"/>
    <x v="0"/>
    <s v="Assets"/>
    <s v="Rec-Pay"/>
    <x v="1"/>
    <x v="1"/>
    <x v="1"/>
    <x v="2"/>
    <x v="0"/>
    <x v="2"/>
    <x v="0"/>
    <x v="0"/>
  </r>
  <r>
    <x v="262"/>
    <x v="1"/>
    <s v="Online"/>
    <x v="10"/>
    <x v="0"/>
    <s v="AR"/>
    <x v="21"/>
    <n v="140991.12"/>
    <b v="1"/>
    <n v="140991.12"/>
    <x v="0"/>
    <s v="Assets"/>
    <s v="Rec-Pay"/>
    <x v="3"/>
    <x v="1"/>
    <x v="1"/>
    <x v="2"/>
    <x v="0"/>
    <x v="2"/>
    <x v="0"/>
    <x v="0"/>
  </r>
  <r>
    <x v="263"/>
    <x v="1"/>
    <s v="Online"/>
    <x v="11"/>
    <x v="0"/>
    <s v="Curr"/>
    <x v="38"/>
    <n v="1625"/>
    <b v="1"/>
    <n v="1625"/>
    <x v="0"/>
    <s v="Assets"/>
    <s v="Invtr"/>
    <x v="2"/>
    <x v="1"/>
    <x v="3"/>
    <x v="7"/>
    <x v="0"/>
    <x v="2"/>
    <x v="0"/>
    <x v="0"/>
  </r>
  <r>
    <x v="263"/>
    <x v="1"/>
    <s v="Online"/>
    <x v="11"/>
    <x v="0"/>
    <s v="Bank"/>
    <x v="0"/>
    <n v="-1625"/>
    <b v="1"/>
    <n v="-1625"/>
    <x v="0"/>
    <s v="Assets"/>
    <s v="Cash alike"/>
    <x v="2"/>
    <x v="1"/>
    <x v="0"/>
    <x v="0"/>
    <x v="0"/>
    <x v="2"/>
    <x v="0"/>
    <x v="0"/>
  </r>
  <r>
    <x v="264"/>
    <x v="1"/>
    <s v="Online"/>
    <x v="11"/>
    <x v="0"/>
    <s v="Curr"/>
    <x v="38"/>
    <n v="12875"/>
    <b v="1"/>
    <n v="12875"/>
    <x v="0"/>
    <s v="Assets"/>
    <s v="Invtr"/>
    <x v="2"/>
    <x v="1"/>
    <x v="3"/>
    <x v="7"/>
    <x v="0"/>
    <x v="2"/>
    <x v="0"/>
    <x v="0"/>
  </r>
  <r>
    <x v="264"/>
    <x v="1"/>
    <s v="Online"/>
    <x v="11"/>
    <x v="0"/>
    <s v="Bank"/>
    <x v="0"/>
    <n v="-12875"/>
    <b v="1"/>
    <n v="-12875"/>
    <x v="0"/>
    <s v="Assets"/>
    <s v="Cash alike"/>
    <x v="2"/>
    <x v="1"/>
    <x v="0"/>
    <x v="0"/>
    <x v="0"/>
    <x v="2"/>
    <x v="0"/>
    <x v="0"/>
  </r>
  <r>
    <x v="265"/>
    <x v="1"/>
    <s v="GM"/>
    <x v="8"/>
    <x v="0"/>
    <s v="Bank"/>
    <x v="0"/>
    <n v="-421835.41"/>
    <b v="1"/>
    <n v="-421835.41"/>
    <x v="0"/>
    <s v="Assets"/>
    <s v="Cash alike"/>
    <x v="1"/>
    <x v="1"/>
    <x v="0"/>
    <x v="0"/>
    <x v="0"/>
    <x v="1"/>
    <x v="0"/>
    <x v="0"/>
  </r>
  <r>
    <x v="265"/>
    <x v="1"/>
    <s v="GM"/>
    <x v="8"/>
    <x v="0"/>
    <s v="ToEmp"/>
    <x v="52"/>
    <n v="-454010.9"/>
    <b v="1"/>
    <n v="454010.9"/>
    <x v="1"/>
    <s v="Liability"/>
    <s v="Rec-Pay"/>
    <x v="1"/>
    <x v="1"/>
    <x v="1"/>
    <x v="12"/>
    <x v="0"/>
    <x v="1"/>
    <x v="0"/>
    <x v="0"/>
  </r>
  <r>
    <x v="265"/>
    <x v="1"/>
    <s v="GM"/>
    <x v="8"/>
    <x v="0"/>
    <s v="FrOther"/>
    <x v="22"/>
    <n v="-24114.6"/>
    <b v="1"/>
    <n v="-24114.6"/>
    <x v="0"/>
    <s v="Assets"/>
    <s v="Rec-Pay"/>
    <x v="1"/>
    <x v="1"/>
    <x v="1"/>
    <x v="3"/>
    <x v="0"/>
    <x v="1"/>
    <x v="0"/>
    <x v="0"/>
  </r>
  <r>
    <x v="265"/>
    <x v="1"/>
    <s v="GM"/>
    <x v="8"/>
    <x v="0"/>
    <s v="ToTax"/>
    <x v="54"/>
    <n v="8060.89"/>
    <b v="1"/>
    <n v="-8060.89"/>
    <x v="1"/>
    <s v="Liability"/>
    <s v="Rec-Pay"/>
    <x v="1"/>
    <x v="1"/>
    <x v="1"/>
    <x v="11"/>
    <x v="0"/>
    <x v="1"/>
    <x v="0"/>
    <x v="0"/>
  </r>
  <r>
    <x v="266"/>
    <x v="1"/>
    <s v="GM"/>
    <x v="8"/>
    <x v="0"/>
    <s v="ToTax"/>
    <x v="54"/>
    <n v="-8060.89"/>
    <b v="1"/>
    <n v="8060.89"/>
    <x v="1"/>
    <s v="Liability"/>
    <s v="Rec-Pay"/>
    <x v="1"/>
    <x v="1"/>
    <x v="1"/>
    <x v="11"/>
    <x v="0"/>
    <x v="1"/>
    <x v="0"/>
    <x v="0"/>
  </r>
  <r>
    <x v="266"/>
    <x v="1"/>
    <s v="GM"/>
    <x v="8"/>
    <x v="0"/>
    <s v="Bank"/>
    <x v="0"/>
    <n v="-8060.89"/>
    <b v="1"/>
    <n v="-8060.89"/>
    <x v="0"/>
    <s v="Assets"/>
    <s v="Cash alike"/>
    <x v="1"/>
    <x v="1"/>
    <x v="0"/>
    <x v="0"/>
    <x v="0"/>
    <x v="1"/>
    <x v="0"/>
    <x v="0"/>
  </r>
  <r>
    <x v="267"/>
    <x v="1"/>
    <s v="GM"/>
    <x v="33"/>
    <x v="0"/>
    <s v="Bank"/>
    <x v="0"/>
    <n v="477.15"/>
    <b v="1"/>
    <n v="477.15"/>
    <x v="0"/>
    <s v="Assets"/>
    <s v="Cash alike"/>
    <x v="1"/>
    <x v="1"/>
    <x v="0"/>
    <x v="0"/>
    <x v="0"/>
    <x v="1"/>
    <x v="0"/>
    <x v="0"/>
  </r>
  <r>
    <x v="267"/>
    <x v="1"/>
    <s v="GM"/>
    <x v="33"/>
    <x v="0"/>
    <s v="FrOther"/>
    <x v="22"/>
    <n v="-477.15"/>
    <b v="1"/>
    <n v="-477.15"/>
    <x v="0"/>
    <s v="Assets"/>
    <s v="Rec-Pay"/>
    <x v="1"/>
    <x v="1"/>
    <x v="1"/>
    <x v="3"/>
    <x v="0"/>
    <x v="1"/>
    <x v="0"/>
    <x v="0"/>
  </r>
  <r>
    <x v="268"/>
    <x v="1"/>
    <s v="GM"/>
    <x v="14"/>
    <x v="0"/>
    <s v="Bank"/>
    <x v="0"/>
    <n v="-11932"/>
    <b v="1"/>
    <n v="-11932"/>
    <x v="0"/>
    <s v="Assets"/>
    <s v="Cash alike"/>
    <x v="1"/>
    <x v="1"/>
    <x v="0"/>
    <x v="0"/>
    <x v="0"/>
    <x v="1"/>
    <x v="0"/>
    <x v="0"/>
  </r>
  <r>
    <x v="269"/>
    <x v="1"/>
    <s v="Online"/>
    <x v="33"/>
    <x v="0"/>
    <s v="Bank"/>
    <x v="0"/>
    <n v="609035.81000000006"/>
    <b v="1"/>
    <n v="609035.81000000006"/>
    <x v="0"/>
    <s v="Assets"/>
    <s v="Cash alike"/>
    <x v="3"/>
    <x v="1"/>
    <x v="0"/>
    <x v="0"/>
    <x v="0"/>
    <x v="2"/>
    <x v="0"/>
    <x v="0"/>
  </r>
  <r>
    <x v="269"/>
    <x v="1"/>
    <s v="Online"/>
    <x v="33"/>
    <x v="0"/>
    <s v="AR"/>
    <x v="21"/>
    <n v="-609035.81000000006"/>
    <b v="1"/>
    <n v="-609035.81000000006"/>
    <x v="0"/>
    <s v="Assets"/>
    <s v="Rec-Pay"/>
    <x v="3"/>
    <x v="1"/>
    <x v="1"/>
    <x v="2"/>
    <x v="0"/>
    <x v="2"/>
    <x v="0"/>
    <x v="0"/>
  </r>
  <r>
    <x v="270"/>
    <x v="1"/>
    <s v="GM"/>
    <x v="8"/>
    <x v="0"/>
    <s v="Bank"/>
    <x v="0"/>
    <n v="-2514.09"/>
    <b v="1"/>
    <n v="-2514.09"/>
    <x v="0"/>
    <s v="Assets"/>
    <s v="Cash alike"/>
    <x v="1"/>
    <x v="1"/>
    <x v="0"/>
    <x v="0"/>
    <x v="0"/>
    <x v="1"/>
    <x v="0"/>
    <x v="0"/>
  </r>
  <r>
    <x v="270"/>
    <x v="1"/>
    <s v="GM"/>
    <x v="8"/>
    <x v="0"/>
    <s v="Order"/>
    <x v="34"/>
    <n v="2514.09"/>
    <b v="1"/>
    <n v="2514.09"/>
    <x v="0"/>
    <s v="Assets"/>
    <s v="Prep-Sub"/>
    <x v="1"/>
    <x v="1"/>
    <x v="2"/>
    <x v="6"/>
    <x v="0"/>
    <x v="1"/>
    <x v="0"/>
    <x v="0"/>
  </r>
  <r>
    <x v="271"/>
    <x v="1"/>
    <s v="GM"/>
    <x v="14"/>
    <x v="0"/>
    <s v="Bank"/>
    <x v="0"/>
    <n v="-10500.58"/>
    <b v="1"/>
    <n v="-10500.58"/>
    <x v="0"/>
    <s v="Assets"/>
    <s v="Cash alike"/>
    <x v="1"/>
    <x v="1"/>
    <x v="0"/>
    <x v="0"/>
    <x v="0"/>
    <x v="1"/>
    <x v="0"/>
    <x v="0"/>
  </r>
  <r>
    <x v="272"/>
    <x v="1"/>
    <s v="Online"/>
    <x v="11"/>
    <x v="0"/>
    <s v="Bank"/>
    <x v="0"/>
    <n v="-5940"/>
    <b v="1"/>
    <n v="-5940"/>
    <x v="0"/>
    <s v="Assets"/>
    <s v="Cash alike"/>
    <x v="2"/>
    <x v="1"/>
    <x v="0"/>
    <x v="0"/>
    <x v="0"/>
    <x v="2"/>
    <x v="0"/>
    <x v="0"/>
  </r>
  <r>
    <x v="272"/>
    <x v="1"/>
    <s v="Online"/>
    <x v="11"/>
    <x v="0"/>
    <s v="Curr"/>
    <x v="38"/>
    <n v="5940"/>
    <b v="1"/>
    <n v="5940"/>
    <x v="0"/>
    <s v="Assets"/>
    <s v="Invtr"/>
    <x v="2"/>
    <x v="1"/>
    <x v="3"/>
    <x v="7"/>
    <x v="0"/>
    <x v="2"/>
    <x v="0"/>
    <x v="0"/>
  </r>
  <r>
    <x v="273"/>
    <x v="1"/>
    <s v="Ctrl"/>
    <x v="8"/>
    <x v="0"/>
    <s v="ToTax"/>
    <x v="47"/>
    <n v="-379473.01"/>
    <b v="1"/>
    <n v="379473.01"/>
    <x v="1"/>
    <s v="Liability"/>
    <s v="Rec-Pay"/>
    <x v="1"/>
    <x v="1"/>
    <x v="1"/>
    <x v="11"/>
    <x v="0"/>
    <x v="0"/>
    <x v="0"/>
    <x v="0"/>
  </r>
  <r>
    <x v="273"/>
    <x v="1"/>
    <s v="Ctrl"/>
    <x v="8"/>
    <x v="0"/>
    <s v="ToTax"/>
    <x v="49"/>
    <n v="-22987.3"/>
    <b v="1"/>
    <n v="22987.3"/>
    <x v="1"/>
    <s v="Liability"/>
    <s v="Rec-Pay"/>
    <x v="1"/>
    <x v="1"/>
    <x v="1"/>
    <x v="11"/>
    <x v="0"/>
    <x v="0"/>
    <x v="0"/>
    <x v="0"/>
  </r>
  <r>
    <x v="273"/>
    <x v="1"/>
    <s v="Ctrl"/>
    <x v="8"/>
    <x v="0"/>
    <s v="ToTax"/>
    <x v="50"/>
    <n v="-583.9"/>
    <b v="1"/>
    <n v="583.9"/>
    <x v="1"/>
    <s v="Liability"/>
    <s v="Rec-Pay"/>
    <x v="1"/>
    <x v="1"/>
    <x v="1"/>
    <x v="11"/>
    <x v="0"/>
    <x v="0"/>
    <x v="0"/>
    <x v="0"/>
  </r>
  <r>
    <x v="273"/>
    <x v="1"/>
    <s v="Ctrl"/>
    <x v="8"/>
    <x v="0"/>
    <s v="ToTax"/>
    <x v="48"/>
    <n v="-1049.06"/>
    <b v="1"/>
    <n v="1049.06"/>
    <x v="1"/>
    <s v="Liability"/>
    <s v="Rec-Pay"/>
    <x v="1"/>
    <x v="1"/>
    <x v="1"/>
    <x v="11"/>
    <x v="0"/>
    <x v="0"/>
    <x v="0"/>
    <x v="0"/>
  </r>
  <r>
    <x v="273"/>
    <x v="1"/>
    <s v="Ctrl"/>
    <x v="8"/>
    <x v="0"/>
    <s v="ToTax"/>
    <x v="51"/>
    <n v="-37203.69"/>
    <b v="1"/>
    <n v="37203.69"/>
    <x v="1"/>
    <s v="Liability"/>
    <s v="Rec-Pay"/>
    <x v="1"/>
    <x v="1"/>
    <x v="1"/>
    <x v="11"/>
    <x v="0"/>
    <x v="0"/>
    <x v="0"/>
    <x v="0"/>
  </r>
  <r>
    <x v="273"/>
    <x v="1"/>
    <s v="Ctrl"/>
    <x v="8"/>
    <x v="0"/>
    <s v="Bank"/>
    <x v="0"/>
    <n v="-441296.96"/>
    <b v="1"/>
    <n v="-441296.96"/>
    <x v="0"/>
    <s v="Assets"/>
    <s v="Cash alike"/>
    <x v="1"/>
    <x v="1"/>
    <x v="0"/>
    <x v="0"/>
    <x v="0"/>
    <x v="0"/>
    <x v="0"/>
    <x v="0"/>
  </r>
  <r>
    <x v="274"/>
    <x v="1"/>
    <s v="Online"/>
    <x v="11"/>
    <x v="0"/>
    <s v="Curr"/>
    <x v="38"/>
    <n v="50640"/>
    <b v="1"/>
    <n v="50640"/>
    <x v="0"/>
    <s v="Assets"/>
    <s v="Invtr"/>
    <x v="2"/>
    <x v="1"/>
    <x v="3"/>
    <x v="7"/>
    <x v="0"/>
    <x v="2"/>
    <x v="0"/>
    <x v="0"/>
  </r>
  <r>
    <x v="274"/>
    <x v="1"/>
    <s v="Online"/>
    <x v="11"/>
    <x v="0"/>
    <s v="Bank"/>
    <x v="0"/>
    <n v="-50640"/>
    <b v="1"/>
    <n v="-50640"/>
    <x v="0"/>
    <s v="Assets"/>
    <s v="Cash alike"/>
    <x v="2"/>
    <x v="1"/>
    <x v="0"/>
    <x v="0"/>
    <x v="0"/>
    <x v="2"/>
    <x v="0"/>
    <x v="0"/>
  </r>
  <r>
    <x v="275"/>
    <x v="1"/>
    <s v="GM"/>
    <x v="14"/>
    <x v="0"/>
    <s v="Bank"/>
    <x v="0"/>
    <n v="-10000"/>
    <b v="1"/>
    <n v="-10000"/>
    <x v="0"/>
    <s v="Assets"/>
    <s v="Cash alike"/>
    <x v="1"/>
    <x v="1"/>
    <x v="0"/>
    <x v="0"/>
    <x v="0"/>
    <x v="1"/>
    <x v="0"/>
    <x v="0"/>
  </r>
  <r>
    <x v="276"/>
    <x v="1"/>
    <s v="Online"/>
    <x v="11"/>
    <x v="0"/>
    <s v="Bank"/>
    <x v="0"/>
    <n v="-9576"/>
    <b v="1"/>
    <n v="-9576"/>
    <x v="0"/>
    <s v="Assets"/>
    <s v="Cash alike"/>
    <x v="2"/>
    <x v="1"/>
    <x v="0"/>
    <x v="0"/>
    <x v="0"/>
    <x v="2"/>
    <x v="0"/>
    <x v="0"/>
  </r>
  <r>
    <x v="276"/>
    <x v="1"/>
    <s v="Online"/>
    <x v="11"/>
    <x v="0"/>
    <s v="Curr"/>
    <x v="38"/>
    <n v="9576"/>
    <b v="1"/>
    <n v="9576"/>
    <x v="0"/>
    <s v="Assets"/>
    <s v="Invtr"/>
    <x v="2"/>
    <x v="1"/>
    <x v="3"/>
    <x v="7"/>
    <x v="0"/>
    <x v="2"/>
    <x v="0"/>
    <x v="0"/>
  </r>
  <r>
    <x v="277"/>
    <x v="1"/>
    <s v="Online"/>
    <x v="11"/>
    <x v="0"/>
    <s v="Bank"/>
    <x v="0"/>
    <n v="-3465"/>
    <b v="1"/>
    <n v="-3465"/>
    <x v="0"/>
    <s v="Assets"/>
    <s v="Cash alike"/>
    <x v="2"/>
    <x v="1"/>
    <x v="0"/>
    <x v="0"/>
    <x v="0"/>
    <x v="2"/>
    <x v="0"/>
    <x v="0"/>
  </r>
  <r>
    <x v="277"/>
    <x v="1"/>
    <s v="Online"/>
    <x v="11"/>
    <x v="0"/>
    <s v="Curr"/>
    <x v="38"/>
    <n v="3465"/>
    <b v="1"/>
    <n v="3465"/>
    <x v="0"/>
    <s v="Assets"/>
    <s v="Invtr"/>
    <x v="2"/>
    <x v="1"/>
    <x v="3"/>
    <x v="7"/>
    <x v="0"/>
    <x v="2"/>
    <x v="0"/>
    <x v="0"/>
  </r>
  <r>
    <x v="278"/>
    <x v="1"/>
    <s v="Online"/>
    <x v="11"/>
    <x v="0"/>
    <s v="Curr"/>
    <x v="38"/>
    <n v="11886"/>
    <b v="1"/>
    <n v="11886"/>
    <x v="0"/>
    <s v="Assets"/>
    <s v="Invtr"/>
    <x v="2"/>
    <x v="1"/>
    <x v="3"/>
    <x v="7"/>
    <x v="0"/>
    <x v="2"/>
    <x v="0"/>
    <x v="0"/>
  </r>
  <r>
    <x v="278"/>
    <x v="1"/>
    <s v="Online"/>
    <x v="11"/>
    <x v="0"/>
    <s v="Bank"/>
    <x v="0"/>
    <n v="-11886"/>
    <b v="1"/>
    <n v="-11886"/>
    <x v="0"/>
    <s v="Assets"/>
    <s v="Cash alike"/>
    <x v="2"/>
    <x v="1"/>
    <x v="0"/>
    <x v="0"/>
    <x v="0"/>
    <x v="2"/>
    <x v="0"/>
    <x v="0"/>
  </r>
  <r>
    <x v="279"/>
    <x v="1"/>
    <s v="Online"/>
    <x v="16"/>
    <x v="0"/>
    <s v="Bank"/>
    <x v="0"/>
    <n v="-180"/>
    <b v="1"/>
    <n v="-180"/>
    <x v="0"/>
    <s v="Assets"/>
    <s v="Cash alike"/>
    <x v="1"/>
    <x v="1"/>
    <x v="0"/>
    <x v="0"/>
    <x v="0"/>
    <x v="2"/>
    <x v="0"/>
    <x v="0"/>
  </r>
  <r>
    <x v="280"/>
    <x v="1"/>
    <s v="Online"/>
    <x v="16"/>
    <x v="0"/>
    <s v="Bank"/>
    <x v="0"/>
    <n v="-240"/>
    <b v="1"/>
    <n v="-240"/>
    <x v="0"/>
    <s v="Assets"/>
    <s v="Cash alike"/>
    <x v="1"/>
    <x v="1"/>
    <x v="0"/>
    <x v="0"/>
    <x v="0"/>
    <x v="2"/>
    <x v="0"/>
    <x v="0"/>
  </r>
  <r>
    <x v="281"/>
    <x v="1"/>
    <s v="Online"/>
    <x v="11"/>
    <x v="0"/>
    <s v="Bank"/>
    <x v="0"/>
    <n v="-5000"/>
    <b v="1"/>
    <n v="-5000"/>
    <x v="0"/>
    <s v="Assets"/>
    <s v="Cash alike"/>
    <x v="2"/>
    <x v="1"/>
    <x v="0"/>
    <x v="0"/>
    <x v="0"/>
    <x v="2"/>
    <x v="0"/>
    <x v="0"/>
  </r>
  <r>
    <x v="281"/>
    <x v="1"/>
    <s v="Online"/>
    <x v="11"/>
    <x v="0"/>
    <s v="Curr"/>
    <x v="38"/>
    <n v="5000"/>
    <b v="1"/>
    <n v="5000"/>
    <x v="0"/>
    <s v="Assets"/>
    <s v="Invtr"/>
    <x v="2"/>
    <x v="1"/>
    <x v="3"/>
    <x v="7"/>
    <x v="0"/>
    <x v="2"/>
    <x v="0"/>
    <x v="0"/>
  </r>
  <r>
    <x v="282"/>
    <x v="1"/>
    <s v="Online"/>
    <x v="11"/>
    <x v="0"/>
    <s v="Curr"/>
    <x v="38"/>
    <n v="5071.5"/>
    <b v="1"/>
    <n v="5071.5"/>
    <x v="0"/>
    <s v="Assets"/>
    <s v="Invtr"/>
    <x v="2"/>
    <x v="1"/>
    <x v="3"/>
    <x v="7"/>
    <x v="0"/>
    <x v="2"/>
    <x v="0"/>
    <x v="0"/>
  </r>
  <r>
    <x v="282"/>
    <x v="1"/>
    <s v="Online"/>
    <x v="11"/>
    <x v="0"/>
    <s v="Bank"/>
    <x v="0"/>
    <n v="-5071.5"/>
    <b v="1"/>
    <n v="-5071.5"/>
    <x v="0"/>
    <s v="Assets"/>
    <s v="Cash alike"/>
    <x v="2"/>
    <x v="1"/>
    <x v="0"/>
    <x v="0"/>
    <x v="0"/>
    <x v="2"/>
    <x v="0"/>
    <x v="0"/>
  </r>
  <r>
    <x v="283"/>
    <x v="1"/>
    <s v="Online"/>
    <x v="11"/>
    <x v="0"/>
    <s v="Curr"/>
    <x v="38"/>
    <n v="8050"/>
    <b v="1"/>
    <n v="8050"/>
    <x v="0"/>
    <s v="Assets"/>
    <s v="Invtr"/>
    <x v="2"/>
    <x v="1"/>
    <x v="3"/>
    <x v="7"/>
    <x v="0"/>
    <x v="2"/>
    <x v="0"/>
    <x v="0"/>
  </r>
  <r>
    <x v="283"/>
    <x v="1"/>
    <s v="Online"/>
    <x v="11"/>
    <x v="0"/>
    <s v="Bank"/>
    <x v="0"/>
    <n v="-8050"/>
    <b v="1"/>
    <n v="-8050"/>
    <x v="0"/>
    <s v="Assets"/>
    <s v="Cash alike"/>
    <x v="2"/>
    <x v="1"/>
    <x v="0"/>
    <x v="0"/>
    <x v="0"/>
    <x v="2"/>
    <x v="0"/>
    <x v="0"/>
  </r>
  <r>
    <x v="284"/>
    <x v="1"/>
    <s v="GM"/>
    <x v="17"/>
    <x v="0"/>
    <s v="Bank"/>
    <x v="0"/>
    <n v="-1885.8"/>
    <b v="1"/>
    <n v="-1885.8"/>
    <x v="0"/>
    <s v="Assets"/>
    <s v="Cash alike"/>
    <x v="1"/>
    <x v="1"/>
    <x v="0"/>
    <x v="0"/>
    <x v="0"/>
    <x v="1"/>
    <x v="0"/>
    <x v="0"/>
  </r>
  <r>
    <x v="285"/>
    <x v="1"/>
    <s v="Online"/>
    <x v="11"/>
    <x v="0"/>
    <s v="Bank"/>
    <x v="0"/>
    <n v="-373634.5"/>
    <b v="1"/>
    <n v="-373634.5"/>
    <x v="0"/>
    <s v="Assets"/>
    <s v="Cash alike"/>
    <x v="2"/>
    <x v="1"/>
    <x v="0"/>
    <x v="0"/>
    <x v="0"/>
    <x v="2"/>
    <x v="0"/>
    <x v="0"/>
  </r>
  <r>
    <x v="285"/>
    <x v="1"/>
    <s v="Online"/>
    <x v="11"/>
    <x v="0"/>
    <s v="Curr"/>
    <x v="38"/>
    <n v="373634.5"/>
    <b v="1"/>
    <n v="373634.5"/>
    <x v="0"/>
    <s v="Assets"/>
    <s v="Invtr"/>
    <x v="2"/>
    <x v="1"/>
    <x v="3"/>
    <x v="7"/>
    <x v="0"/>
    <x v="2"/>
    <x v="0"/>
    <x v="0"/>
  </r>
  <r>
    <x v="286"/>
    <x v="1"/>
    <s v="Online"/>
    <x v="16"/>
    <x v="0"/>
    <s v="Bank"/>
    <x v="0"/>
    <n v="-259"/>
    <b v="1"/>
    <n v="-259"/>
    <x v="0"/>
    <s v="Assets"/>
    <s v="Cash alike"/>
    <x v="1"/>
    <x v="1"/>
    <x v="0"/>
    <x v="0"/>
    <x v="0"/>
    <x v="2"/>
    <x v="0"/>
    <x v="0"/>
  </r>
  <r>
    <x v="287"/>
    <x v="1"/>
    <s v="Ctrl"/>
    <x v="25"/>
    <x v="1"/>
    <s v="ToOther"/>
    <x v="63"/>
    <n v="-12680"/>
    <b v="1"/>
    <n v="12680"/>
    <x v="1"/>
    <s v="Liability"/>
    <s v="Rec-Pay"/>
    <x v="0"/>
    <x v="0"/>
    <x v="1"/>
    <x v="13"/>
    <x v="1"/>
    <x v="0"/>
    <x v="0"/>
    <x v="0"/>
  </r>
  <r>
    <x v="287"/>
    <x v="1"/>
    <s v="Ctrl"/>
    <x v="25"/>
    <x v="0"/>
    <s v="Bank"/>
    <x v="0"/>
    <n v="-12680"/>
    <b v="1"/>
    <n v="-12680"/>
    <x v="0"/>
    <s v="Assets"/>
    <s v="Cash alike"/>
    <x v="0"/>
    <x v="0"/>
    <x v="0"/>
    <x v="0"/>
    <x v="0"/>
    <x v="0"/>
    <x v="0"/>
    <x v="0"/>
  </r>
  <r>
    <x v="288"/>
    <x v="1"/>
    <s v="GM"/>
    <x v="17"/>
    <x v="0"/>
    <s v="Bank"/>
    <x v="0"/>
    <n v="-88.17"/>
    <b v="1"/>
    <n v="-88.17"/>
    <x v="0"/>
    <s v="Assets"/>
    <s v="Cash alike"/>
    <x v="1"/>
    <x v="1"/>
    <x v="0"/>
    <x v="0"/>
    <x v="0"/>
    <x v="1"/>
    <x v="0"/>
    <x v="0"/>
  </r>
  <r>
    <x v="289"/>
    <x v="1"/>
    <s v="Online"/>
    <x v="27"/>
    <x v="0"/>
    <s v="Curr"/>
    <x v="38"/>
    <n v="-16875"/>
    <b v="1"/>
    <n v="-16875"/>
    <x v="0"/>
    <s v="Assets"/>
    <s v="Invtr"/>
    <x v="2"/>
    <x v="1"/>
    <x v="3"/>
    <x v="7"/>
    <x v="0"/>
    <x v="2"/>
    <x v="0"/>
    <x v="0"/>
  </r>
  <r>
    <x v="289"/>
    <x v="1"/>
    <s v="Online"/>
    <x v="27"/>
    <x v="0"/>
    <s v="Bank"/>
    <x v="0"/>
    <n v="16875"/>
    <b v="1"/>
    <n v="16875"/>
    <x v="0"/>
    <s v="Assets"/>
    <s v="Cash alike"/>
    <x v="2"/>
    <x v="1"/>
    <x v="0"/>
    <x v="0"/>
    <x v="0"/>
    <x v="2"/>
    <x v="0"/>
    <x v="0"/>
  </r>
  <r>
    <x v="290"/>
    <x v="1"/>
    <s v="Online"/>
    <x v="11"/>
    <x v="0"/>
    <s v="Curr"/>
    <x v="38"/>
    <n v="3000"/>
    <b v="1"/>
    <n v="3000"/>
    <x v="0"/>
    <s v="Assets"/>
    <s v="Invtr"/>
    <x v="2"/>
    <x v="1"/>
    <x v="3"/>
    <x v="7"/>
    <x v="0"/>
    <x v="2"/>
    <x v="0"/>
    <x v="0"/>
  </r>
  <r>
    <x v="290"/>
    <x v="1"/>
    <s v="Online"/>
    <x v="11"/>
    <x v="0"/>
    <s v="Bank"/>
    <x v="0"/>
    <n v="-3000"/>
    <b v="1"/>
    <n v="-3000"/>
    <x v="0"/>
    <s v="Assets"/>
    <s v="Cash alike"/>
    <x v="2"/>
    <x v="1"/>
    <x v="0"/>
    <x v="0"/>
    <x v="0"/>
    <x v="2"/>
    <x v="0"/>
    <x v="0"/>
  </r>
  <r>
    <x v="291"/>
    <x v="1"/>
    <s v="Online"/>
    <x v="11"/>
    <x v="0"/>
    <s v="Curr"/>
    <x v="38"/>
    <n v="8064"/>
    <b v="1"/>
    <n v="8064"/>
    <x v="0"/>
    <s v="Assets"/>
    <s v="Invtr"/>
    <x v="2"/>
    <x v="1"/>
    <x v="3"/>
    <x v="7"/>
    <x v="0"/>
    <x v="2"/>
    <x v="0"/>
    <x v="0"/>
  </r>
  <r>
    <x v="291"/>
    <x v="1"/>
    <s v="Online"/>
    <x v="11"/>
    <x v="0"/>
    <s v="Bank"/>
    <x v="0"/>
    <n v="-8064"/>
    <b v="1"/>
    <n v="-8064"/>
    <x v="0"/>
    <s v="Assets"/>
    <s v="Cash alike"/>
    <x v="2"/>
    <x v="1"/>
    <x v="0"/>
    <x v="0"/>
    <x v="0"/>
    <x v="2"/>
    <x v="0"/>
    <x v="0"/>
  </r>
  <r>
    <x v="292"/>
    <x v="1"/>
    <s v="Online"/>
    <x v="11"/>
    <x v="0"/>
    <s v="Curr"/>
    <x v="38"/>
    <n v="20604"/>
    <b v="1"/>
    <n v="20604"/>
    <x v="0"/>
    <s v="Assets"/>
    <s v="Invtr"/>
    <x v="2"/>
    <x v="1"/>
    <x v="3"/>
    <x v="7"/>
    <x v="0"/>
    <x v="2"/>
    <x v="0"/>
    <x v="0"/>
  </r>
  <r>
    <x v="292"/>
    <x v="1"/>
    <s v="Online"/>
    <x v="11"/>
    <x v="0"/>
    <s v="Bank"/>
    <x v="0"/>
    <n v="-20604"/>
    <b v="1"/>
    <n v="-20604"/>
    <x v="0"/>
    <s v="Assets"/>
    <s v="Cash alike"/>
    <x v="2"/>
    <x v="1"/>
    <x v="0"/>
    <x v="0"/>
    <x v="0"/>
    <x v="2"/>
    <x v="0"/>
    <x v="0"/>
  </r>
  <r>
    <x v="293"/>
    <x v="1"/>
    <s v="Online"/>
    <x v="27"/>
    <x v="0"/>
    <s v="Curr"/>
    <x v="38"/>
    <n v="-660"/>
    <b v="1"/>
    <n v="-660"/>
    <x v="0"/>
    <s v="Assets"/>
    <s v="Invtr"/>
    <x v="2"/>
    <x v="1"/>
    <x v="3"/>
    <x v="7"/>
    <x v="0"/>
    <x v="2"/>
    <x v="0"/>
    <x v="0"/>
  </r>
  <r>
    <x v="293"/>
    <x v="1"/>
    <s v="Online"/>
    <x v="27"/>
    <x v="0"/>
    <s v="Bank"/>
    <x v="0"/>
    <n v="660"/>
    <b v="1"/>
    <n v="660"/>
    <x v="0"/>
    <s v="Assets"/>
    <s v="Cash alike"/>
    <x v="2"/>
    <x v="1"/>
    <x v="0"/>
    <x v="0"/>
    <x v="0"/>
    <x v="2"/>
    <x v="0"/>
    <x v="0"/>
  </r>
  <r>
    <x v="294"/>
    <x v="1"/>
    <s v="GM"/>
    <x v="13"/>
    <x v="0"/>
    <s v="Bank"/>
    <x v="0"/>
    <n v="-558.29999999999995"/>
    <b v="1"/>
    <n v="-558.29999999999995"/>
    <x v="0"/>
    <s v="Assets"/>
    <s v="Cash alike"/>
    <x v="1"/>
    <x v="1"/>
    <x v="0"/>
    <x v="0"/>
    <x v="0"/>
    <x v="1"/>
    <x v="0"/>
    <x v="0"/>
  </r>
  <r>
    <x v="295"/>
    <x v="1"/>
    <s v="GM"/>
    <x v="48"/>
    <x v="0"/>
    <s v="Bank"/>
    <x v="0"/>
    <n v="-2300"/>
    <b v="1"/>
    <n v="-2300"/>
    <x v="0"/>
    <s v="Assets"/>
    <s v="Cash alike"/>
    <x v="1"/>
    <x v="1"/>
    <x v="0"/>
    <x v="0"/>
    <x v="0"/>
    <x v="1"/>
    <x v="0"/>
    <x v="0"/>
  </r>
  <r>
    <x v="296"/>
    <x v="1"/>
    <s v="Online"/>
    <x v="11"/>
    <x v="0"/>
    <s v="Bank"/>
    <x v="0"/>
    <n v="-774"/>
    <b v="1"/>
    <n v="-774"/>
    <x v="0"/>
    <s v="Assets"/>
    <s v="Cash alike"/>
    <x v="2"/>
    <x v="1"/>
    <x v="0"/>
    <x v="0"/>
    <x v="0"/>
    <x v="2"/>
    <x v="0"/>
    <x v="0"/>
  </r>
  <r>
    <x v="296"/>
    <x v="1"/>
    <s v="Online"/>
    <x v="11"/>
    <x v="0"/>
    <s v="Curr"/>
    <x v="38"/>
    <n v="774"/>
    <b v="1"/>
    <n v="774"/>
    <x v="0"/>
    <s v="Assets"/>
    <s v="Invtr"/>
    <x v="2"/>
    <x v="1"/>
    <x v="3"/>
    <x v="7"/>
    <x v="0"/>
    <x v="2"/>
    <x v="0"/>
    <x v="0"/>
  </r>
  <r>
    <x v="297"/>
    <x v="1"/>
    <s v="Online"/>
    <x v="11"/>
    <x v="0"/>
    <s v="Bank"/>
    <x v="0"/>
    <n v="-57331.1"/>
    <b v="1"/>
    <n v="-57331.1"/>
    <x v="0"/>
    <s v="Assets"/>
    <s v="Cash alike"/>
    <x v="2"/>
    <x v="1"/>
    <x v="0"/>
    <x v="0"/>
    <x v="0"/>
    <x v="2"/>
    <x v="0"/>
    <x v="0"/>
  </r>
  <r>
    <x v="297"/>
    <x v="1"/>
    <s v="Online"/>
    <x v="11"/>
    <x v="0"/>
    <s v="Curr"/>
    <x v="38"/>
    <n v="57331.1"/>
    <b v="1"/>
    <n v="57331.1"/>
    <x v="0"/>
    <s v="Assets"/>
    <s v="Invtr"/>
    <x v="2"/>
    <x v="1"/>
    <x v="3"/>
    <x v="7"/>
    <x v="0"/>
    <x v="2"/>
    <x v="0"/>
    <x v="0"/>
  </r>
  <r>
    <x v="298"/>
    <x v="1"/>
    <s v="Ctrl"/>
    <x v="38"/>
    <x v="0"/>
    <s v="Bank"/>
    <x v="0"/>
    <n v="-1170"/>
    <b v="1"/>
    <n v="-1170"/>
    <x v="0"/>
    <s v="Assets"/>
    <s v="Cash alike"/>
    <x v="1"/>
    <x v="1"/>
    <x v="0"/>
    <x v="0"/>
    <x v="0"/>
    <x v="0"/>
    <x v="0"/>
    <x v="0"/>
  </r>
  <r>
    <x v="299"/>
    <x v="1"/>
    <s v="Online"/>
    <x v="11"/>
    <x v="0"/>
    <s v="Curr"/>
    <x v="38"/>
    <n v="6415"/>
    <b v="1"/>
    <n v="6415"/>
    <x v="0"/>
    <s v="Assets"/>
    <s v="Invtr"/>
    <x v="2"/>
    <x v="1"/>
    <x v="3"/>
    <x v="7"/>
    <x v="0"/>
    <x v="2"/>
    <x v="0"/>
    <x v="0"/>
  </r>
  <r>
    <x v="299"/>
    <x v="1"/>
    <s v="Online"/>
    <x v="11"/>
    <x v="0"/>
    <s v="Bank"/>
    <x v="0"/>
    <n v="-6415"/>
    <b v="1"/>
    <n v="-6415"/>
    <x v="0"/>
    <s v="Assets"/>
    <s v="Cash alike"/>
    <x v="2"/>
    <x v="1"/>
    <x v="0"/>
    <x v="0"/>
    <x v="0"/>
    <x v="2"/>
    <x v="0"/>
    <x v="0"/>
  </r>
  <r>
    <x v="300"/>
    <x v="1"/>
    <s v="Online"/>
    <x v="31"/>
    <x v="0"/>
    <s v="Order"/>
    <x v="35"/>
    <n v="44252"/>
    <b v="1"/>
    <n v="44252"/>
    <x v="0"/>
    <s v="Assets"/>
    <s v="Prep-Sub"/>
    <x v="2"/>
    <x v="1"/>
    <x v="2"/>
    <x v="6"/>
    <x v="0"/>
    <x v="2"/>
    <x v="0"/>
    <x v="0"/>
  </r>
  <r>
    <x v="300"/>
    <x v="1"/>
    <s v="Online"/>
    <x v="31"/>
    <x v="0"/>
    <s v="Bank"/>
    <x v="0"/>
    <n v="-44252"/>
    <b v="1"/>
    <n v="-44252"/>
    <x v="0"/>
    <s v="Assets"/>
    <s v="Cash alike"/>
    <x v="2"/>
    <x v="1"/>
    <x v="0"/>
    <x v="0"/>
    <x v="0"/>
    <x v="2"/>
    <x v="0"/>
    <x v="0"/>
  </r>
  <r>
    <x v="301"/>
    <x v="1"/>
    <s v="Online"/>
    <x v="11"/>
    <x v="0"/>
    <s v="Curr"/>
    <x v="38"/>
    <n v="4977.7"/>
    <b v="1"/>
    <n v="4977.7"/>
    <x v="0"/>
    <s v="Assets"/>
    <s v="Invtr"/>
    <x v="2"/>
    <x v="1"/>
    <x v="3"/>
    <x v="7"/>
    <x v="0"/>
    <x v="2"/>
    <x v="0"/>
    <x v="0"/>
  </r>
  <r>
    <x v="301"/>
    <x v="1"/>
    <s v="Online"/>
    <x v="11"/>
    <x v="0"/>
    <s v="Bank"/>
    <x v="0"/>
    <n v="-4977.7"/>
    <b v="1"/>
    <n v="-4977.7"/>
    <x v="0"/>
    <s v="Assets"/>
    <s v="Cash alike"/>
    <x v="2"/>
    <x v="1"/>
    <x v="0"/>
    <x v="0"/>
    <x v="0"/>
    <x v="2"/>
    <x v="0"/>
    <x v="0"/>
  </r>
  <r>
    <x v="302"/>
    <x v="1"/>
    <s v="Online"/>
    <x v="11"/>
    <x v="0"/>
    <s v="Curr"/>
    <x v="38"/>
    <n v="19338"/>
    <b v="1"/>
    <n v="19338"/>
    <x v="0"/>
    <s v="Assets"/>
    <s v="Invtr"/>
    <x v="2"/>
    <x v="1"/>
    <x v="3"/>
    <x v="7"/>
    <x v="0"/>
    <x v="2"/>
    <x v="0"/>
    <x v="0"/>
  </r>
  <r>
    <x v="302"/>
    <x v="1"/>
    <s v="Online"/>
    <x v="11"/>
    <x v="0"/>
    <s v="Bank"/>
    <x v="0"/>
    <n v="-19338"/>
    <b v="1"/>
    <n v="-19338"/>
    <x v="0"/>
    <s v="Assets"/>
    <s v="Cash alike"/>
    <x v="2"/>
    <x v="1"/>
    <x v="0"/>
    <x v="0"/>
    <x v="0"/>
    <x v="2"/>
    <x v="0"/>
    <x v="0"/>
  </r>
  <r>
    <x v="303"/>
    <x v="1"/>
    <s v="Online"/>
    <x v="11"/>
    <x v="0"/>
    <s v="Curr"/>
    <x v="38"/>
    <n v="28184"/>
    <b v="1"/>
    <n v="28184"/>
    <x v="0"/>
    <s v="Assets"/>
    <s v="Invtr"/>
    <x v="2"/>
    <x v="1"/>
    <x v="3"/>
    <x v="7"/>
    <x v="0"/>
    <x v="2"/>
    <x v="0"/>
    <x v="0"/>
  </r>
  <r>
    <x v="303"/>
    <x v="1"/>
    <s v="Online"/>
    <x v="11"/>
    <x v="0"/>
    <s v="Bank"/>
    <x v="0"/>
    <n v="-28184"/>
    <b v="1"/>
    <n v="-28184"/>
    <x v="0"/>
    <s v="Assets"/>
    <s v="Cash alike"/>
    <x v="2"/>
    <x v="1"/>
    <x v="0"/>
    <x v="0"/>
    <x v="0"/>
    <x v="2"/>
    <x v="0"/>
    <x v="0"/>
  </r>
  <r>
    <x v="304"/>
    <x v="1"/>
    <s v="GM"/>
    <x v="19"/>
    <x v="0"/>
    <s v="Order"/>
    <x v="34"/>
    <n v="-2514.09"/>
    <b v="1"/>
    <n v="-2514.09"/>
    <x v="0"/>
    <s v="Assets"/>
    <s v="Prep-Sub"/>
    <x v="1"/>
    <x v="1"/>
    <x v="2"/>
    <x v="6"/>
    <x v="0"/>
    <x v="1"/>
    <x v="0"/>
    <x v="0"/>
  </r>
  <r>
    <x v="305"/>
    <x v="1"/>
    <s v="GM"/>
    <x v="18"/>
    <x v="0"/>
    <s v="Order"/>
    <x v="34"/>
    <n v="-2700"/>
    <b v="1"/>
    <n v="-2700"/>
    <x v="0"/>
    <s v="Assets"/>
    <s v="Prep-Sub"/>
    <x v="1"/>
    <x v="1"/>
    <x v="2"/>
    <x v="6"/>
    <x v="0"/>
    <x v="1"/>
    <x v="0"/>
    <x v="0"/>
  </r>
  <r>
    <x v="306"/>
    <x v="1"/>
    <s v="GM"/>
    <x v="30"/>
    <x v="0"/>
    <s v="Bank"/>
    <x v="0"/>
    <n v="-1425.94"/>
    <b v="1"/>
    <n v="-1425.94"/>
    <x v="0"/>
    <s v="Assets"/>
    <s v="Cash alike"/>
    <x v="1"/>
    <x v="1"/>
    <x v="0"/>
    <x v="0"/>
    <x v="0"/>
    <x v="1"/>
    <x v="0"/>
    <x v="0"/>
  </r>
  <r>
    <x v="307"/>
    <x v="1"/>
    <s v="GM"/>
    <x v="18"/>
    <x v="0"/>
    <s v="Bank"/>
    <x v="0"/>
    <n v="-1432.66"/>
    <b v="1"/>
    <n v="-1432.66"/>
    <x v="0"/>
    <s v="Assets"/>
    <s v="Cash alike"/>
    <x v="1"/>
    <x v="1"/>
    <x v="0"/>
    <x v="0"/>
    <x v="0"/>
    <x v="1"/>
    <x v="0"/>
    <x v="0"/>
  </r>
  <r>
    <x v="308"/>
    <x v="1"/>
    <s v="GM"/>
    <x v="30"/>
    <x v="0"/>
    <s v="Bank"/>
    <x v="0"/>
    <n v="-666.24"/>
    <b v="1"/>
    <n v="-666.24"/>
    <x v="0"/>
    <s v="Assets"/>
    <s v="Cash alike"/>
    <x v="1"/>
    <x v="1"/>
    <x v="0"/>
    <x v="0"/>
    <x v="0"/>
    <x v="1"/>
    <x v="0"/>
    <x v="0"/>
  </r>
  <r>
    <x v="309"/>
    <x v="1"/>
    <s v="GM"/>
    <x v="3"/>
    <x v="0"/>
    <s v="Bank"/>
    <x v="0"/>
    <n v="-374.04"/>
    <b v="1"/>
    <n v="-374.04"/>
    <x v="0"/>
    <s v="Assets"/>
    <s v="Cash alike"/>
    <x v="1"/>
    <x v="1"/>
    <x v="0"/>
    <x v="0"/>
    <x v="0"/>
    <x v="1"/>
    <x v="0"/>
    <x v="0"/>
  </r>
  <r>
    <x v="310"/>
    <x v="1"/>
    <s v="Brand"/>
    <x v="20"/>
    <x v="0"/>
    <s v="Bank"/>
    <x v="0"/>
    <n v="-905"/>
    <b v="1"/>
    <n v="-905"/>
    <x v="0"/>
    <s v="Assets"/>
    <s v="Cash alike"/>
    <x v="1"/>
    <x v="1"/>
    <x v="0"/>
    <x v="0"/>
    <x v="0"/>
    <x v="3"/>
    <x v="0"/>
    <x v="0"/>
  </r>
  <r>
    <x v="311"/>
    <x v="1"/>
    <s v="Brand"/>
    <x v="49"/>
    <x v="0"/>
    <s v="Bank"/>
    <x v="0"/>
    <n v="-7200"/>
    <b v="1"/>
    <n v="-7200"/>
    <x v="0"/>
    <s v="Assets"/>
    <s v="Cash alike"/>
    <x v="1"/>
    <x v="1"/>
    <x v="0"/>
    <x v="0"/>
    <x v="0"/>
    <x v="3"/>
    <x v="0"/>
    <x v="0"/>
  </r>
  <r>
    <x v="312"/>
    <x v="1"/>
    <s v="Online"/>
    <x v="11"/>
    <x v="0"/>
    <s v="Curr"/>
    <x v="38"/>
    <n v="8377.5"/>
    <b v="1"/>
    <n v="8377.5"/>
    <x v="0"/>
    <s v="Assets"/>
    <s v="Invtr"/>
    <x v="2"/>
    <x v="1"/>
    <x v="3"/>
    <x v="7"/>
    <x v="0"/>
    <x v="2"/>
    <x v="0"/>
    <x v="0"/>
  </r>
  <r>
    <x v="312"/>
    <x v="1"/>
    <s v="Online"/>
    <x v="11"/>
    <x v="0"/>
    <s v="Bank"/>
    <x v="0"/>
    <n v="-8377.5"/>
    <b v="1"/>
    <n v="-8377.5"/>
    <x v="0"/>
    <s v="Assets"/>
    <s v="Cash alike"/>
    <x v="2"/>
    <x v="1"/>
    <x v="0"/>
    <x v="0"/>
    <x v="0"/>
    <x v="2"/>
    <x v="0"/>
    <x v="0"/>
  </r>
  <r>
    <x v="313"/>
    <x v="1"/>
    <s v="GM"/>
    <x v="17"/>
    <x v="0"/>
    <s v="Bank"/>
    <x v="0"/>
    <n v="-2900"/>
    <b v="1"/>
    <n v="-2900"/>
    <x v="0"/>
    <s v="Assets"/>
    <s v="Cash alike"/>
    <x v="1"/>
    <x v="1"/>
    <x v="0"/>
    <x v="0"/>
    <x v="0"/>
    <x v="1"/>
    <x v="0"/>
    <x v="0"/>
  </r>
  <r>
    <x v="314"/>
    <x v="1"/>
    <s v="Online"/>
    <x v="11"/>
    <x v="0"/>
    <s v="Bank"/>
    <x v="0"/>
    <n v="-4036.5"/>
    <b v="1"/>
    <n v="-4036.5"/>
    <x v="0"/>
    <s v="Assets"/>
    <s v="Cash alike"/>
    <x v="2"/>
    <x v="1"/>
    <x v="0"/>
    <x v="0"/>
    <x v="0"/>
    <x v="2"/>
    <x v="0"/>
    <x v="0"/>
  </r>
  <r>
    <x v="314"/>
    <x v="1"/>
    <s v="Online"/>
    <x v="11"/>
    <x v="0"/>
    <s v="Curr"/>
    <x v="38"/>
    <n v="4036.5"/>
    <b v="1"/>
    <n v="4036.5"/>
    <x v="0"/>
    <s v="Assets"/>
    <s v="Invtr"/>
    <x v="2"/>
    <x v="1"/>
    <x v="3"/>
    <x v="7"/>
    <x v="0"/>
    <x v="2"/>
    <x v="0"/>
    <x v="0"/>
  </r>
  <r>
    <x v="315"/>
    <x v="1"/>
    <s v="Online"/>
    <x v="33"/>
    <x v="0"/>
    <s v="Bank"/>
    <x v="0"/>
    <n v="874802.28"/>
    <b v="1"/>
    <n v="874802.28"/>
    <x v="0"/>
    <s v="Assets"/>
    <s v="Cash alike"/>
    <x v="3"/>
    <x v="1"/>
    <x v="0"/>
    <x v="0"/>
    <x v="0"/>
    <x v="2"/>
    <x v="0"/>
    <x v="0"/>
  </r>
  <r>
    <x v="315"/>
    <x v="1"/>
    <s v="Online"/>
    <x v="33"/>
    <x v="0"/>
    <s v="AR"/>
    <x v="21"/>
    <n v="-874802.28"/>
    <b v="1"/>
    <n v="-874802.28"/>
    <x v="0"/>
    <s v="Assets"/>
    <s v="Rec-Pay"/>
    <x v="3"/>
    <x v="1"/>
    <x v="1"/>
    <x v="2"/>
    <x v="0"/>
    <x v="2"/>
    <x v="0"/>
    <x v="0"/>
  </r>
  <r>
    <x v="316"/>
    <x v="1"/>
    <s v="Online"/>
    <x v="11"/>
    <x v="0"/>
    <s v="Bank"/>
    <x v="0"/>
    <n v="-2154"/>
    <b v="1"/>
    <n v="-2154"/>
    <x v="0"/>
    <s v="Assets"/>
    <s v="Cash alike"/>
    <x v="2"/>
    <x v="1"/>
    <x v="0"/>
    <x v="0"/>
    <x v="0"/>
    <x v="2"/>
    <x v="0"/>
    <x v="0"/>
  </r>
  <r>
    <x v="316"/>
    <x v="1"/>
    <s v="Online"/>
    <x v="11"/>
    <x v="0"/>
    <s v="Curr"/>
    <x v="38"/>
    <n v="2154"/>
    <b v="1"/>
    <n v="2154"/>
    <x v="0"/>
    <s v="Assets"/>
    <s v="Invtr"/>
    <x v="2"/>
    <x v="1"/>
    <x v="3"/>
    <x v="7"/>
    <x v="0"/>
    <x v="2"/>
    <x v="0"/>
    <x v="0"/>
  </r>
  <r>
    <x v="317"/>
    <x v="1"/>
    <s v="Online"/>
    <x v="36"/>
    <x v="0"/>
    <s v="Bank"/>
    <x v="0"/>
    <n v="-662"/>
    <b v="1"/>
    <n v="-662"/>
    <x v="0"/>
    <s v="Assets"/>
    <s v="Cash alike"/>
    <x v="2"/>
    <x v="1"/>
    <x v="0"/>
    <x v="0"/>
    <x v="0"/>
    <x v="2"/>
    <x v="0"/>
    <x v="0"/>
  </r>
  <r>
    <x v="318"/>
    <x v="1"/>
    <s v="Online"/>
    <x v="11"/>
    <x v="0"/>
    <s v="Bank"/>
    <x v="0"/>
    <n v="-8700"/>
    <b v="1"/>
    <n v="-8700"/>
    <x v="0"/>
    <s v="Assets"/>
    <s v="Cash alike"/>
    <x v="2"/>
    <x v="1"/>
    <x v="0"/>
    <x v="0"/>
    <x v="0"/>
    <x v="2"/>
    <x v="0"/>
    <x v="0"/>
  </r>
  <r>
    <x v="318"/>
    <x v="1"/>
    <s v="Online"/>
    <x v="11"/>
    <x v="0"/>
    <s v="Curr"/>
    <x v="38"/>
    <n v="8700"/>
    <b v="1"/>
    <n v="8700"/>
    <x v="0"/>
    <s v="Assets"/>
    <s v="Invtr"/>
    <x v="2"/>
    <x v="1"/>
    <x v="3"/>
    <x v="7"/>
    <x v="0"/>
    <x v="2"/>
    <x v="0"/>
    <x v="0"/>
  </r>
  <r>
    <x v="319"/>
    <x v="1"/>
    <s v="GM"/>
    <x v="17"/>
    <x v="0"/>
    <s v="Bank"/>
    <x v="0"/>
    <n v="-400"/>
    <b v="1"/>
    <n v="-400"/>
    <x v="0"/>
    <s v="Assets"/>
    <s v="Cash alike"/>
    <x v="1"/>
    <x v="1"/>
    <x v="0"/>
    <x v="0"/>
    <x v="0"/>
    <x v="1"/>
    <x v="0"/>
    <x v="0"/>
  </r>
  <r>
    <x v="320"/>
    <x v="1"/>
    <s v="Online"/>
    <x v="11"/>
    <x v="0"/>
    <s v="Curr"/>
    <x v="38"/>
    <n v="25800"/>
    <b v="1"/>
    <n v="25800"/>
    <x v="0"/>
    <s v="Assets"/>
    <s v="Invtr"/>
    <x v="2"/>
    <x v="1"/>
    <x v="3"/>
    <x v="7"/>
    <x v="0"/>
    <x v="2"/>
    <x v="0"/>
    <x v="0"/>
  </r>
  <r>
    <x v="320"/>
    <x v="1"/>
    <s v="Online"/>
    <x v="11"/>
    <x v="0"/>
    <s v="Bank"/>
    <x v="0"/>
    <n v="-25800"/>
    <b v="1"/>
    <n v="-25800"/>
    <x v="0"/>
    <s v="Assets"/>
    <s v="Cash alike"/>
    <x v="2"/>
    <x v="1"/>
    <x v="0"/>
    <x v="0"/>
    <x v="0"/>
    <x v="2"/>
    <x v="0"/>
    <x v="0"/>
  </r>
  <r>
    <x v="321"/>
    <x v="1"/>
    <s v="GM"/>
    <x v="50"/>
    <x v="0"/>
    <s v="Bank"/>
    <x v="0"/>
    <n v="-2182.6999999999998"/>
    <b v="1"/>
    <n v="-2182.6999999999998"/>
    <x v="0"/>
    <s v="Assets"/>
    <s v="Cash alike"/>
    <x v="1"/>
    <x v="1"/>
    <x v="0"/>
    <x v="0"/>
    <x v="0"/>
    <x v="1"/>
    <x v="0"/>
    <x v="0"/>
  </r>
  <r>
    <x v="322"/>
    <x v="1"/>
    <s v="Online"/>
    <x v="11"/>
    <x v="0"/>
    <s v="Curr"/>
    <x v="38"/>
    <n v="1000"/>
    <b v="1"/>
    <n v="1000"/>
    <x v="0"/>
    <s v="Assets"/>
    <s v="Invtr"/>
    <x v="2"/>
    <x v="1"/>
    <x v="3"/>
    <x v="7"/>
    <x v="0"/>
    <x v="2"/>
    <x v="0"/>
    <x v="0"/>
  </r>
  <r>
    <x v="322"/>
    <x v="1"/>
    <s v="Online"/>
    <x v="11"/>
    <x v="0"/>
    <s v="Bank"/>
    <x v="0"/>
    <n v="-1000"/>
    <b v="1"/>
    <n v="-1000"/>
    <x v="0"/>
    <s v="Assets"/>
    <s v="Cash alike"/>
    <x v="2"/>
    <x v="1"/>
    <x v="0"/>
    <x v="0"/>
    <x v="0"/>
    <x v="2"/>
    <x v="0"/>
    <x v="0"/>
  </r>
  <r>
    <x v="323"/>
    <x v="1"/>
    <s v="Online"/>
    <x v="16"/>
    <x v="0"/>
    <s v="Bank"/>
    <x v="0"/>
    <n v="-163"/>
    <b v="1"/>
    <n v="-163"/>
    <x v="0"/>
    <s v="Assets"/>
    <s v="Cash alike"/>
    <x v="1"/>
    <x v="1"/>
    <x v="0"/>
    <x v="0"/>
    <x v="0"/>
    <x v="2"/>
    <x v="0"/>
    <x v="0"/>
  </r>
  <r>
    <x v="324"/>
    <x v="1"/>
    <s v="Online"/>
    <x v="31"/>
    <x v="0"/>
    <s v="Order"/>
    <x v="35"/>
    <n v="-44252"/>
    <b v="1"/>
    <n v="-44252"/>
    <x v="0"/>
    <s v="Assets"/>
    <s v="Prep-Sub"/>
    <x v="2"/>
    <x v="1"/>
    <x v="2"/>
    <x v="6"/>
    <x v="0"/>
    <x v="2"/>
    <x v="0"/>
    <x v="0"/>
  </r>
  <r>
    <x v="324"/>
    <x v="1"/>
    <s v="Online"/>
    <x v="31"/>
    <x v="0"/>
    <s v="Curr"/>
    <x v="38"/>
    <n v="44252"/>
    <b v="1"/>
    <n v="44252"/>
    <x v="0"/>
    <s v="Assets"/>
    <s v="Invtr"/>
    <x v="2"/>
    <x v="1"/>
    <x v="3"/>
    <x v="7"/>
    <x v="0"/>
    <x v="2"/>
    <x v="0"/>
    <x v="0"/>
  </r>
  <r>
    <x v="325"/>
    <x v="1"/>
    <s v="Online"/>
    <x v="11"/>
    <x v="0"/>
    <s v="Curr"/>
    <x v="38"/>
    <n v="10878"/>
    <b v="1"/>
    <n v="10878"/>
    <x v="0"/>
    <s v="Assets"/>
    <s v="Invtr"/>
    <x v="2"/>
    <x v="1"/>
    <x v="3"/>
    <x v="7"/>
    <x v="0"/>
    <x v="2"/>
    <x v="0"/>
    <x v="0"/>
  </r>
  <r>
    <x v="325"/>
    <x v="1"/>
    <s v="Online"/>
    <x v="11"/>
    <x v="0"/>
    <s v="Bank"/>
    <x v="0"/>
    <n v="-10878"/>
    <b v="1"/>
    <n v="-10878"/>
    <x v="0"/>
    <s v="Assets"/>
    <s v="Cash alike"/>
    <x v="2"/>
    <x v="1"/>
    <x v="0"/>
    <x v="0"/>
    <x v="0"/>
    <x v="2"/>
    <x v="0"/>
    <x v="0"/>
  </r>
  <r>
    <x v="326"/>
    <x v="1"/>
    <s v="Online"/>
    <x v="11"/>
    <x v="0"/>
    <s v="Curr"/>
    <x v="38"/>
    <n v="4500"/>
    <b v="1"/>
    <n v="4500"/>
    <x v="0"/>
    <s v="Assets"/>
    <s v="Invtr"/>
    <x v="2"/>
    <x v="1"/>
    <x v="3"/>
    <x v="7"/>
    <x v="0"/>
    <x v="2"/>
    <x v="0"/>
    <x v="0"/>
  </r>
  <r>
    <x v="326"/>
    <x v="1"/>
    <s v="Online"/>
    <x v="11"/>
    <x v="0"/>
    <s v="Bank"/>
    <x v="0"/>
    <n v="-4500"/>
    <b v="1"/>
    <n v="-4500"/>
    <x v="0"/>
    <s v="Assets"/>
    <s v="Cash alike"/>
    <x v="2"/>
    <x v="1"/>
    <x v="0"/>
    <x v="0"/>
    <x v="0"/>
    <x v="2"/>
    <x v="0"/>
    <x v="0"/>
  </r>
  <r>
    <x v="327"/>
    <x v="1"/>
    <s v="GM"/>
    <x v="33"/>
    <x v="0"/>
    <s v="Bank"/>
    <x v="0"/>
    <n v="477.15"/>
    <b v="1"/>
    <n v="477.15"/>
    <x v="0"/>
    <s v="Assets"/>
    <s v="Cash alike"/>
    <x v="1"/>
    <x v="1"/>
    <x v="0"/>
    <x v="0"/>
    <x v="0"/>
    <x v="1"/>
    <x v="0"/>
    <x v="0"/>
  </r>
  <r>
    <x v="327"/>
    <x v="1"/>
    <s v="GM"/>
    <x v="33"/>
    <x v="0"/>
    <s v="FrOther"/>
    <x v="22"/>
    <n v="-477.15"/>
    <b v="1"/>
    <n v="-477.15"/>
    <x v="0"/>
    <s v="Assets"/>
    <s v="Rec-Pay"/>
    <x v="1"/>
    <x v="1"/>
    <x v="1"/>
    <x v="3"/>
    <x v="0"/>
    <x v="1"/>
    <x v="0"/>
    <x v="0"/>
  </r>
  <r>
    <x v="328"/>
    <x v="1"/>
    <s v="Online"/>
    <x v="11"/>
    <x v="0"/>
    <s v="Curr"/>
    <x v="38"/>
    <n v="6728"/>
    <b v="1"/>
    <n v="6728"/>
    <x v="0"/>
    <s v="Assets"/>
    <s v="Invtr"/>
    <x v="2"/>
    <x v="1"/>
    <x v="3"/>
    <x v="7"/>
    <x v="0"/>
    <x v="2"/>
    <x v="0"/>
    <x v="0"/>
  </r>
  <r>
    <x v="328"/>
    <x v="1"/>
    <s v="Online"/>
    <x v="11"/>
    <x v="0"/>
    <s v="Bank"/>
    <x v="0"/>
    <n v="-6728"/>
    <b v="1"/>
    <n v="-6728"/>
    <x v="0"/>
    <s v="Assets"/>
    <s v="Cash alike"/>
    <x v="2"/>
    <x v="1"/>
    <x v="0"/>
    <x v="0"/>
    <x v="0"/>
    <x v="2"/>
    <x v="0"/>
    <x v="0"/>
  </r>
  <r>
    <x v="329"/>
    <x v="1"/>
    <s v="Online"/>
    <x v="31"/>
    <x v="0"/>
    <s v="Curr"/>
    <x v="38"/>
    <n v="2550"/>
    <b v="1"/>
    <n v="2550"/>
    <x v="0"/>
    <s v="Assets"/>
    <s v="Invtr"/>
    <x v="2"/>
    <x v="1"/>
    <x v="3"/>
    <x v="7"/>
    <x v="0"/>
    <x v="2"/>
    <x v="0"/>
    <x v="0"/>
  </r>
  <r>
    <x v="329"/>
    <x v="1"/>
    <s v="Online"/>
    <x v="31"/>
    <x v="0"/>
    <s v="Bank"/>
    <x v="0"/>
    <n v="-2550"/>
    <b v="1"/>
    <n v="-2550"/>
    <x v="0"/>
    <s v="Assets"/>
    <s v="Cash alike"/>
    <x v="2"/>
    <x v="1"/>
    <x v="0"/>
    <x v="0"/>
    <x v="0"/>
    <x v="2"/>
    <x v="0"/>
    <x v="0"/>
  </r>
  <r>
    <x v="330"/>
    <x v="1"/>
    <s v="Online"/>
    <x v="11"/>
    <x v="0"/>
    <s v="Curr"/>
    <x v="38"/>
    <n v="24762.5"/>
    <b v="1"/>
    <n v="24762.5"/>
    <x v="0"/>
    <s v="Assets"/>
    <s v="Invtr"/>
    <x v="2"/>
    <x v="1"/>
    <x v="3"/>
    <x v="7"/>
    <x v="0"/>
    <x v="2"/>
    <x v="0"/>
    <x v="0"/>
  </r>
  <r>
    <x v="330"/>
    <x v="1"/>
    <s v="Online"/>
    <x v="11"/>
    <x v="0"/>
    <s v="Bank"/>
    <x v="0"/>
    <n v="-24762.5"/>
    <b v="1"/>
    <n v="-24762.5"/>
    <x v="0"/>
    <s v="Assets"/>
    <s v="Cash alike"/>
    <x v="2"/>
    <x v="1"/>
    <x v="0"/>
    <x v="0"/>
    <x v="0"/>
    <x v="2"/>
    <x v="0"/>
    <x v="0"/>
  </r>
  <r>
    <x v="331"/>
    <x v="1"/>
    <s v="Online"/>
    <x v="11"/>
    <x v="0"/>
    <s v="Curr"/>
    <x v="38"/>
    <n v="2000"/>
    <b v="1"/>
    <n v="2000"/>
    <x v="0"/>
    <s v="Assets"/>
    <s v="Invtr"/>
    <x v="2"/>
    <x v="1"/>
    <x v="3"/>
    <x v="7"/>
    <x v="0"/>
    <x v="2"/>
    <x v="0"/>
    <x v="0"/>
  </r>
  <r>
    <x v="331"/>
    <x v="1"/>
    <s v="Online"/>
    <x v="11"/>
    <x v="0"/>
    <s v="Bank"/>
    <x v="0"/>
    <n v="-2000"/>
    <b v="1"/>
    <n v="-2000"/>
    <x v="0"/>
    <s v="Assets"/>
    <s v="Cash alike"/>
    <x v="2"/>
    <x v="1"/>
    <x v="0"/>
    <x v="0"/>
    <x v="0"/>
    <x v="2"/>
    <x v="0"/>
    <x v="0"/>
  </r>
  <r>
    <x v="332"/>
    <x v="1"/>
    <s v="Online"/>
    <x v="31"/>
    <x v="0"/>
    <s v="Curr"/>
    <x v="38"/>
    <n v="29022"/>
    <b v="1"/>
    <n v="29022"/>
    <x v="0"/>
    <s v="Assets"/>
    <s v="Invtr"/>
    <x v="2"/>
    <x v="1"/>
    <x v="3"/>
    <x v="7"/>
    <x v="0"/>
    <x v="2"/>
    <x v="0"/>
    <x v="0"/>
  </r>
  <r>
    <x v="332"/>
    <x v="1"/>
    <s v="Online"/>
    <x v="31"/>
    <x v="0"/>
    <s v="Bank"/>
    <x v="0"/>
    <n v="-29022"/>
    <b v="1"/>
    <n v="-29022"/>
    <x v="0"/>
    <s v="Assets"/>
    <s v="Cash alike"/>
    <x v="2"/>
    <x v="1"/>
    <x v="0"/>
    <x v="0"/>
    <x v="0"/>
    <x v="2"/>
    <x v="0"/>
    <x v="0"/>
  </r>
  <r>
    <x v="333"/>
    <x v="1"/>
    <s v="Online"/>
    <x v="11"/>
    <x v="0"/>
    <s v="Curr"/>
    <x v="38"/>
    <n v="238743.9"/>
    <b v="1"/>
    <n v="238743.9"/>
    <x v="0"/>
    <s v="Assets"/>
    <s v="Invtr"/>
    <x v="2"/>
    <x v="1"/>
    <x v="3"/>
    <x v="7"/>
    <x v="0"/>
    <x v="2"/>
    <x v="0"/>
    <x v="0"/>
  </r>
  <r>
    <x v="333"/>
    <x v="1"/>
    <s v="Online"/>
    <x v="11"/>
    <x v="0"/>
    <s v="Bank"/>
    <x v="0"/>
    <n v="-238743.9"/>
    <b v="1"/>
    <n v="-238743.9"/>
    <x v="0"/>
    <s v="Assets"/>
    <s v="Cash alike"/>
    <x v="2"/>
    <x v="1"/>
    <x v="0"/>
    <x v="0"/>
    <x v="0"/>
    <x v="2"/>
    <x v="0"/>
    <x v="0"/>
  </r>
  <r>
    <x v="334"/>
    <x v="1"/>
    <s v="GM"/>
    <x v="18"/>
    <x v="0"/>
    <s v="Bank"/>
    <x v="0"/>
    <n v="-317.3"/>
    <b v="1"/>
    <n v="-317.3"/>
    <x v="0"/>
    <s v="Assets"/>
    <s v="Cash alike"/>
    <x v="1"/>
    <x v="1"/>
    <x v="0"/>
    <x v="0"/>
    <x v="0"/>
    <x v="1"/>
    <x v="0"/>
    <x v="0"/>
  </r>
  <r>
    <x v="335"/>
    <x v="1"/>
    <s v="Online"/>
    <x v="27"/>
    <x v="0"/>
    <s v="Bank"/>
    <x v="0"/>
    <n v="76101"/>
    <b v="1"/>
    <n v="76101"/>
    <x v="0"/>
    <s v="Assets"/>
    <s v="Cash alike"/>
    <x v="2"/>
    <x v="1"/>
    <x v="0"/>
    <x v="0"/>
    <x v="0"/>
    <x v="2"/>
    <x v="0"/>
    <x v="0"/>
  </r>
  <r>
    <x v="335"/>
    <x v="1"/>
    <s v="Online"/>
    <x v="27"/>
    <x v="0"/>
    <s v="Curr"/>
    <x v="38"/>
    <n v="-76101"/>
    <b v="1"/>
    <n v="-76101"/>
    <x v="0"/>
    <s v="Assets"/>
    <s v="Invtr"/>
    <x v="2"/>
    <x v="1"/>
    <x v="3"/>
    <x v="7"/>
    <x v="0"/>
    <x v="2"/>
    <x v="0"/>
    <x v="0"/>
  </r>
  <r>
    <x v="336"/>
    <x v="1"/>
    <s v="Online"/>
    <x v="27"/>
    <x v="0"/>
    <s v="Bank"/>
    <x v="0"/>
    <n v="292991.09999999998"/>
    <b v="1"/>
    <n v="292991.09999999998"/>
    <x v="0"/>
    <s v="Assets"/>
    <s v="Cash alike"/>
    <x v="2"/>
    <x v="1"/>
    <x v="0"/>
    <x v="0"/>
    <x v="0"/>
    <x v="2"/>
    <x v="0"/>
    <x v="0"/>
  </r>
  <r>
    <x v="336"/>
    <x v="1"/>
    <s v="Online"/>
    <x v="27"/>
    <x v="0"/>
    <s v="Curr"/>
    <x v="38"/>
    <n v="-292991.09999999998"/>
    <b v="1"/>
    <n v="-292991.09999999998"/>
    <x v="0"/>
    <s v="Assets"/>
    <s v="Invtr"/>
    <x v="2"/>
    <x v="1"/>
    <x v="3"/>
    <x v="7"/>
    <x v="0"/>
    <x v="2"/>
    <x v="0"/>
    <x v="0"/>
  </r>
  <r>
    <x v="337"/>
    <x v="1"/>
    <s v="Brand"/>
    <x v="20"/>
    <x v="0"/>
    <s v="Bank"/>
    <x v="0"/>
    <n v="-4078"/>
    <b v="1"/>
    <n v="-4078"/>
    <x v="0"/>
    <s v="Assets"/>
    <s v="Cash alike"/>
    <x v="1"/>
    <x v="1"/>
    <x v="0"/>
    <x v="0"/>
    <x v="0"/>
    <x v="3"/>
    <x v="0"/>
    <x v="0"/>
  </r>
  <r>
    <x v="338"/>
    <x v="1"/>
    <s v="GM"/>
    <x v="30"/>
    <x v="0"/>
    <s v="Bank"/>
    <x v="0"/>
    <n v="-2301.1999999999998"/>
    <b v="1"/>
    <n v="-2301.1999999999998"/>
    <x v="0"/>
    <s v="Assets"/>
    <s v="Cash alike"/>
    <x v="1"/>
    <x v="1"/>
    <x v="0"/>
    <x v="0"/>
    <x v="0"/>
    <x v="1"/>
    <x v="0"/>
    <x v="0"/>
  </r>
  <r>
    <x v="339"/>
    <x v="1"/>
    <s v="GM"/>
    <x v="14"/>
    <x v="0"/>
    <s v="Bank"/>
    <x v="0"/>
    <n v="-29800"/>
    <b v="1"/>
    <n v="-29800"/>
    <x v="0"/>
    <s v="Assets"/>
    <s v="Cash alike"/>
    <x v="1"/>
    <x v="1"/>
    <x v="0"/>
    <x v="0"/>
    <x v="0"/>
    <x v="1"/>
    <x v="0"/>
    <x v="0"/>
  </r>
  <r>
    <x v="340"/>
    <x v="1"/>
    <s v="Online"/>
    <x v="31"/>
    <x v="0"/>
    <s v="Bank"/>
    <x v="0"/>
    <n v="-26300.7"/>
    <b v="1"/>
    <n v="-26300.7"/>
    <x v="0"/>
    <s v="Assets"/>
    <s v="Cash alike"/>
    <x v="2"/>
    <x v="1"/>
    <x v="0"/>
    <x v="0"/>
    <x v="0"/>
    <x v="2"/>
    <x v="0"/>
    <x v="0"/>
  </r>
  <r>
    <x v="340"/>
    <x v="1"/>
    <s v="Online"/>
    <x v="31"/>
    <x v="0"/>
    <s v="Curr"/>
    <x v="38"/>
    <n v="26300.7"/>
    <b v="1"/>
    <n v="26300.7"/>
    <x v="0"/>
    <s v="Assets"/>
    <s v="Invtr"/>
    <x v="2"/>
    <x v="1"/>
    <x v="3"/>
    <x v="7"/>
    <x v="0"/>
    <x v="2"/>
    <x v="0"/>
    <x v="0"/>
  </r>
  <r>
    <x v="341"/>
    <x v="1"/>
    <s v="GM"/>
    <x v="18"/>
    <x v="0"/>
    <s v="Bank"/>
    <x v="0"/>
    <n v="-897.4"/>
    <b v="1"/>
    <n v="-897.4"/>
    <x v="0"/>
    <s v="Assets"/>
    <s v="Cash alike"/>
    <x v="1"/>
    <x v="1"/>
    <x v="0"/>
    <x v="0"/>
    <x v="0"/>
    <x v="1"/>
    <x v="0"/>
    <x v="0"/>
  </r>
  <r>
    <x v="342"/>
    <x v="1"/>
    <s v="Online"/>
    <x v="31"/>
    <x v="0"/>
    <s v="Curr"/>
    <x v="38"/>
    <n v="47022"/>
    <b v="1"/>
    <n v="47022"/>
    <x v="0"/>
    <s v="Assets"/>
    <s v="Invtr"/>
    <x v="2"/>
    <x v="1"/>
    <x v="3"/>
    <x v="7"/>
    <x v="0"/>
    <x v="2"/>
    <x v="0"/>
    <x v="0"/>
  </r>
  <r>
    <x v="342"/>
    <x v="1"/>
    <s v="Online"/>
    <x v="31"/>
    <x v="0"/>
    <s v="Bank"/>
    <x v="0"/>
    <n v="-47022"/>
    <b v="1"/>
    <n v="-47022"/>
    <x v="0"/>
    <s v="Assets"/>
    <s v="Cash alike"/>
    <x v="2"/>
    <x v="1"/>
    <x v="0"/>
    <x v="0"/>
    <x v="0"/>
    <x v="2"/>
    <x v="0"/>
    <x v="0"/>
  </r>
  <r>
    <x v="343"/>
    <x v="1"/>
    <s v="Online"/>
    <x v="31"/>
    <x v="0"/>
    <s v="Curr"/>
    <x v="38"/>
    <n v="26652"/>
    <b v="1"/>
    <n v="26652"/>
    <x v="0"/>
    <s v="Assets"/>
    <s v="Invtr"/>
    <x v="2"/>
    <x v="1"/>
    <x v="3"/>
    <x v="7"/>
    <x v="0"/>
    <x v="2"/>
    <x v="0"/>
    <x v="0"/>
  </r>
  <r>
    <x v="343"/>
    <x v="1"/>
    <s v="Online"/>
    <x v="31"/>
    <x v="0"/>
    <s v="Bank"/>
    <x v="0"/>
    <n v="-26652"/>
    <b v="1"/>
    <n v="-26652"/>
    <x v="0"/>
    <s v="Assets"/>
    <s v="Cash alike"/>
    <x v="2"/>
    <x v="1"/>
    <x v="0"/>
    <x v="0"/>
    <x v="0"/>
    <x v="2"/>
    <x v="0"/>
    <x v="0"/>
  </r>
  <r>
    <x v="344"/>
    <x v="1"/>
    <s v="Online"/>
    <x v="11"/>
    <x v="0"/>
    <s v="Curr"/>
    <x v="38"/>
    <n v="69198"/>
    <b v="1"/>
    <n v="69198"/>
    <x v="0"/>
    <s v="Assets"/>
    <s v="Invtr"/>
    <x v="2"/>
    <x v="1"/>
    <x v="3"/>
    <x v="7"/>
    <x v="0"/>
    <x v="2"/>
    <x v="0"/>
    <x v="0"/>
  </r>
  <r>
    <x v="344"/>
    <x v="1"/>
    <s v="Online"/>
    <x v="11"/>
    <x v="0"/>
    <s v="Bank"/>
    <x v="0"/>
    <n v="-69198"/>
    <b v="1"/>
    <n v="-69198"/>
    <x v="0"/>
    <s v="Assets"/>
    <s v="Cash alike"/>
    <x v="2"/>
    <x v="1"/>
    <x v="0"/>
    <x v="0"/>
    <x v="0"/>
    <x v="2"/>
    <x v="0"/>
    <x v="0"/>
  </r>
  <r>
    <x v="345"/>
    <x v="1"/>
    <s v="Online"/>
    <x v="11"/>
    <x v="0"/>
    <s v="Curr"/>
    <x v="38"/>
    <n v="522"/>
    <b v="1"/>
    <n v="522"/>
    <x v="0"/>
    <s v="Assets"/>
    <s v="Invtr"/>
    <x v="2"/>
    <x v="1"/>
    <x v="3"/>
    <x v="7"/>
    <x v="0"/>
    <x v="2"/>
    <x v="0"/>
    <x v="0"/>
  </r>
  <r>
    <x v="345"/>
    <x v="1"/>
    <s v="Online"/>
    <x v="11"/>
    <x v="0"/>
    <s v="Bank"/>
    <x v="0"/>
    <n v="-522"/>
    <b v="1"/>
    <n v="-522"/>
    <x v="0"/>
    <s v="Assets"/>
    <s v="Cash alike"/>
    <x v="2"/>
    <x v="1"/>
    <x v="0"/>
    <x v="0"/>
    <x v="0"/>
    <x v="2"/>
    <x v="0"/>
    <x v="0"/>
  </r>
  <r>
    <x v="346"/>
    <x v="1"/>
    <s v="Online"/>
    <x v="11"/>
    <x v="0"/>
    <s v="Curr"/>
    <x v="38"/>
    <n v="8292"/>
    <b v="1"/>
    <n v="8292"/>
    <x v="0"/>
    <s v="Assets"/>
    <s v="Invtr"/>
    <x v="2"/>
    <x v="1"/>
    <x v="3"/>
    <x v="7"/>
    <x v="0"/>
    <x v="2"/>
    <x v="0"/>
    <x v="0"/>
  </r>
  <r>
    <x v="346"/>
    <x v="1"/>
    <s v="Online"/>
    <x v="11"/>
    <x v="0"/>
    <s v="Bank"/>
    <x v="0"/>
    <n v="-8292"/>
    <b v="1"/>
    <n v="-8292"/>
    <x v="0"/>
    <s v="Assets"/>
    <s v="Cash alike"/>
    <x v="2"/>
    <x v="1"/>
    <x v="0"/>
    <x v="0"/>
    <x v="0"/>
    <x v="2"/>
    <x v="0"/>
    <x v="0"/>
  </r>
  <r>
    <x v="347"/>
    <x v="1"/>
    <s v="Online"/>
    <x v="51"/>
    <x v="0"/>
    <s v="Bank"/>
    <x v="0"/>
    <n v="1600"/>
    <b v="1"/>
    <n v="1600"/>
    <x v="0"/>
    <s v="Assets"/>
    <s v="Cash alike"/>
    <x v="1"/>
    <x v="1"/>
    <x v="0"/>
    <x v="0"/>
    <x v="0"/>
    <x v="2"/>
    <x v="0"/>
    <x v="0"/>
  </r>
  <r>
    <x v="348"/>
    <x v="1"/>
    <s v="Online"/>
    <x v="7"/>
    <x v="0"/>
    <s v="Bank"/>
    <x v="0"/>
    <n v="7704"/>
    <b v="1"/>
    <n v="7704"/>
    <x v="0"/>
    <s v="Assets"/>
    <s v="Cash alike"/>
    <x v="0"/>
    <x v="0"/>
    <x v="0"/>
    <x v="0"/>
    <x v="0"/>
    <x v="2"/>
    <x v="0"/>
    <x v="0"/>
  </r>
  <r>
    <x v="348"/>
    <x v="1"/>
    <s v="Online"/>
    <x v="7"/>
    <x v="7"/>
    <s v="Bank"/>
    <x v="10"/>
    <n v="-7704"/>
    <b v="1"/>
    <n v="-7704"/>
    <x v="0"/>
    <s v="Assets"/>
    <s v="Cash alike"/>
    <x v="0"/>
    <x v="0"/>
    <x v="0"/>
    <x v="0"/>
    <x v="7"/>
    <x v="2"/>
    <x v="0"/>
    <x v="0"/>
  </r>
  <r>
    <x v="349"/>
    <x v="1"/>
    <s v="GM"/>
    <x v="3"/>
    <x v="0"/>
    <s v="Bank"/>
    <x v="0"/>
    <n v="-49.32"/>
    <b v="1"/>
    <n v="-49.32"/>
    <x v="0"/>
    <s v="Assets"/>
    <s v="Cash alike"/>
    <x v="1"/>
    <x v="1"/>
    <x v="0"/>
    <x v="0"/>
    <x v="0"/>
    <x v="1"/>
    <x v="0"/>
    <x v="0"/>
  </r>
  <r>
    <x v="350"/>
    <x v="1"/>
    <s v="Ctrl"/>
    <x v="44"/>
    <x v="0"/>
    <s v="ToTax"/>
    <x v="48"/>
    <n v="915.28"/>
    <b v="1"/>
    <n v="-915.28"/>
    <x v="1"/>
    <s v="Liability"/>
    <s v="Rec-Pay"/>
    <x v="1"/>
    <x v="1"/>
    <x v="1"/>
    <x v="11"/>
    <x v="0"/>
    <x v="0"/>
    <x v="0"/>
    <x v="0"/>
  </r>
  <r>
    <x v="350"/>
    <x v="1"/>
    <s v="Ctrl"/>
    <x v="44"/>
    <x v="0"/>
    <s v="ToTax"/>
    <x v="49"/>
    <n v="17370.7"/>
    <b v="1"/>
    <n v="-17370.7"/>
    <x v="1"/>
    <s v="Liability"/>
    <s v="Rec-Pay"/>
    <x v="1"/>
    <x v="1"/>
    <x v="1"/>
    <x v="11"/>
    <x v="0"/>
    <x v="0"/>
    <x v="0"/>
    <x v="0"/>
  </r>
  <r>
    <x v="350"/>
    <x v="1"/>
    <s v="Ctrl"/>
    <x v="44"/>
    <x v="0"/>
    <s v="ToTax"/>
    <x v="50"/>
    <n v="343.28"/>
    <b v="1"/>
    <n v="-343.28"/>
    <x v="1"/>
    <s v="Liability"/>
    <s v="Rec-Pay"/>
    <x v="1"/>
    <x v="1"/>
    <x v="1"/>
    <x v="11"/>
    <x v="0"/>
    <x v="0"/>
    <x v="0"/>
    <x v="0"/>
  </r>
  <r>
    <x v="351"/>
    <x v="1"/>
    <s v="Online"/>
    <x v="52"/>
    <x v="0"/>
    <s v="Curr"/>
    <x v="38"/>
    <n v="70845.600000000006"/>
    <b v="1"/>
    <n v="70845.600000000006"/>
    <x v="0"/>
    <s v="Assets"/>
    <s v="Invtr"/>
    <x v="2"/>
    <x v="1"/>
    <x v="3"/>
    <x v="7"/>
    <x v="0"/>
    <x v="2"/>
    <x v="0"/>
    <x v="0"/>
  </r>
  <r>
    <x v="351"/>
    <x v="1"/>
    <s v="Online"/>
    <x v="52"/>
    <x v="0"/>
    <s v="ToEmp"/>
    <x v="52"/>
    <n v="70845.600000000006"/>
    <b v="1"/>
    <n v="-70845.600000000006"/>
    <x v="1"/>
    <s v="Liability"/>
    <s v="Rec-Pay"/>
    <x v="2"/>
    <x v="1"/>
    <x v="1"/>
    <x v="12"/>
    <x v="0"/>
    <x v="2"/>
    <x v="0"/>
    <x v="0"/>
  </r>
  <r>
    <x v="352"/>
    <x v="1"/>
    <s v="GM"/>
    <x v="14"/>
    <x v="0"/>
    <s v="ToEmp"/>
    <x v="52"/>
    <n v="230125.26"/>
    <b v="1"/>
    <n v="-230125.26"/>
    <x v="1"/>
    <s v="Liability"/>
    <s v="Rec-Pay"/>
    <x v="1"/>
    <x v="1"/>
    <x v="1"/>
    <x v="12"/>
    <x v="0"/>
    <x v="1"/>
    <x v="0"/>
    <x v="0"/>
  </r>
  <r>
    <x v="353"/>
    <x v="1"/>
    <s v="Online"/>
    <x v="14"/>
    <x v="0"/>
    <s v="ToEmp"/>
    <x v="52"/>
    <n v="120767.17"/>
    <b v="1"/>
    <n v="-120767.17"/>
    <x v="1"/>
    <s v="Liability"/>
    <s v="Rec-Pay"/>
    <x v="1"/>
    <x v="1"/>
    <x v="1"/>
    <x v="12"/>
    <x v="0"/>
    <x v="2"/>
    <x v="0"/>
    <x v="0"/>
  </r>
  <r>
    <x v="354"/>
    <x v="1"/>
    <s v="Online"/>
    <x v="10"/>
    <x v="0"/>
    <s v="AR"/>
    <x v="21"/>
    <n v="3312043.65"/>
    <b v="1"/>
    <n v="3312043.65"/>
    <x v="0"/>
    <s v="Assets"/>
    <s v="Rec-Pay"/>
    <x v="3"/>
    <x v="1"/>
    <x v="1"/>
    <x v="2"/>
    <x v="0"/>
    <x v="2"/>
    <x v="0"/>
    <x v="0"/>
  </r>
  <r>
    <x v="355"/>
    <x v="1"/>
    <s v="Online"/>
    <x v="12"/>
    <x v="0"/>
    <s v="ToTax"/>
    <x v="47"/>
    <n v="422122.49"/>
    <b v="1"/>
    <n v="-422122.49"/>
    <x v="1"/>
    <s v="Liability"/>
    <s v="Rec-Pay"/>
    <x v="2"/>
    <x v="1"/>
    <x v="1"/>
    <x v="11"/>
    <x v="0"/>
    <x v="2"/>
    <x v="0"/>
    <x v="0"/>
  </r>
  <r>
    <x v="356"/>
    <x v="1"/>
    <s v="Online"/>
    <x v="12"/>
    <x v="0"/>
    <s v="ToTax"/>
    <x v="47"/>
    <n v="-133525.85"/>
    <b v="1"/>
    <n v="133525.85"/>
    <x v="1"/>
    <s v="Liability"/>
    <s v="Rec-Pay"/>
    <x v="2"/>
    <x v="1"/>
    <x v="1"/>
    <x v="11"/>
    <x v="0"/>
    <x v="2"/>
    <x v="0"/>
    <x v="0"/>
  </r>
  <r>
    <x v="357"/>
    <x v="1"/>
    <s v="GM"/>
    <x v="29"/>
    <x v="0"/>
    <s v="Order"/>
    <x v="34"/>
    <n v="-28258.42"/>
    <b v="1"/>
    <n v="-28258.42"/>
    <x v="0"/>
    <s v="Assets"/>
    <s v="Prep-Sub"/>
    <x v="1"/>
    <x v="1"/>
    <x v="2"/>
    <x v="6"/>
    <x v="0"/>
    <x v="1"/>
    <x v="0"/>
    <x v="0"/>
  </r>
  <r>
    <x v="358"/>
    <x v="1"/>
    <s v="Online"/>
    <x v="43"/>
    <x v="0"/>
    <s v="Curr"/>
    <x v="38"/>
    <n v="-1756334.385"/>
    <b v="1"/>
    <n v="-1756334.385"/>
    <x v="0"/>
    <s v="Assets"/>
    <s v="Invtr"/>
    <x v="2"/>
    <x v="1"/>
    <x v="3"/>
    <x v="7"/>
    <x v="0"/>
    <x v="2"/>
    <x v="0"/>
    <x v="0"/>
  </r>
  <r>
    <x v="359"/>
    <x v="1"/>
    <s v="Shuijie"/>
    <x v="43"/>
    <x v="0"/>
    <s v="Curr"/>
    <x v="38"/>
    <n v="-311784.67000000004"/>
    <b v="1"/>
    <n v="-311784.67000000004"/>
    <x v="0"/>
    <s v="Assets"/>
    <s v="Invtr"/>
    <x v="2"/>
    <x v="1"/>
    <x v="3"/>
    <x v="7"/>
    <x v="0"/>
    <x v="6"/>
    <x v="0"/>
    <x v="0"/>
  </r>
  <r>
    <x v="360"/>
    <x v="1"/>
    <s v="MY"/>
    <x v="43"/>
    <x v="0"/>
    <s v="Curr"/>
    <x v="38"/>
    <n v="-24965.775000000001"/>
    <b v="1"/>
    <n v="-24965.775000000001"/>
    <x v="0"/>
    <s v="Assets"/>
    <s v="Invtr"/>
    <x v="2"/>
    <x v="1"/>
    <x v="3"/>
    <x v="7"/>
    <x v="0"/>
    <x v="4"/>
    <x v="0"/>
    <x v="0"/>
  </r>
  <r>
    <x v="361"/>
    <x v="1"/>
    <s v="Online"/>
    <x v="12"/>
    <x v="0"/>
    <s v="ToTax"/>
    <x v="47"/>
    <n v="-650"/>
    <b v="1"/>
    <n v="650"/>
    <x v="1"/>
    <s v="Liability"/>
    <s v="Rec-Pay"/>
    <x v="2"/>
    <x v="1"/>
    <x v="1"/>
    <x v="11"/>
    <x v="0"/>
    <x v="2"/>
    <x v="0"/>
    <x v="0"/>
  </r>
  <r>
    <x v="362"/>
    <x v="1"/>
    <s v="MY"/>
    <x v="33"/>
    <x v="7"/>
    <s v="Phys.C"/>
    <x v="18"/>
    <n v="770"/>
    <b v="1"/>
    <n v="770"/>
    <x v="0"/>
    <s v="Assets"/>
    <s v="Cash alike"/>
    <x v="3"/>
    <x v="1"/>
    <x v="0"/>
    <x v="1"/>
    <x v="7"/>
    <x v="4"/>
    <x v="0"/>
    <x v="0"/>
  </r>
  <r>
    <x v="362"/>
    <x v="1"/>
    <s v="MY"/>
    <x v="33"/>
    <x v="7"/>
    <s v="AR"/>
    <x v="69"/>
    <n v="-770"/>
    <b v="1"/>
    <n v="-770"/>
    <x v="0"/>
    <s v="Assets"/>
    <s v="Rec-Pay"/>
    <x v="3"/>
    <x v="1"/>
    <x v="1"/>
    <x v="2"/>
    <x v="7"/>
    <x v="4"/>
    <x v="0"/>
    <x v="0"/>
  </r>
  <r>
    <x v="363"/>
    <x v="1"/>
    <s v="MY"/>
    <x v="33"/>
    <x v="7"/>
    <s v="Phys.C"/>
    <x v="18"/>
    <n v="1212"/>
    <b v="1"/>
    <n v="1212"/>
    <x v="0"/>
    <s v="Assets"/>
    <s v="Cash alike"/>
    <x v="3"/>
    <x v="1"/>
    <x v="0"/>
    <x v="1"/>
    <x v="7"/>
    <x v="4"/>
    <x v="0"/>
    <x v="0"/>
  </r>
  <r>
    <x v="363"/>
    <x v="1"/>
    <s v="MY"/>
    <x v="33"/>
    <x v="7"/>
    <s v="AR"/>
    <x v="25"/>
    <n v="-1212"/>
    <b v="1"/>
    <n v="-1212"/>
    <x v="0"/>
    <s v="Assets"/>
    <s v="Rec-Pay"/>
    <x v="3"/>
    <x v="1"/>
    <x v="1"/>
    <x v="2"/>
    <x v="7"/>
    <x v="4"/>
    <x v="0"/>
    <x v="0"/>
  </r>
  <r>
    <x v="364"/>
    <x v="1"/>
    <s v="MY"/>
    <x v="33"/>
    <x v="7"/>
    <s v="Phys.C"/>
    <x v="18"/>
    <n v="80"/>
    <b v="1"/>
    <n v="80"/>
    <x v="0"/>
    <s v="Assets"/>
    <s v="Cash alike"/>
    <x v="3"/>
    <x v="1"/>
    <x v="0"/>
    <x v="1"/>
    <x v="7"/>
    <x v="4"/>
    <x v="0"/>
    <x v="0"/>
  </r>
  <r>
    <x v="364"/>
    <x v="1"/>
    <s v="MY"/>
    <x v="33"/>
    <x v="7"/>
    <s v="AR"/>
    <x v="25"/>
    <n v="-80"/>
    <b v="1"/>
    <n v="-80"/>
    <x v="0"/>
    <s v="Assets"/>
    <s v="Rec-Pay"/>
    <x v="3"/>
    <x v="1"/>
    <x v="1"/>
    <x v="2"/>
    <x v="7"/>
    <x v="4"/>
    <x v="0"/>
    <x v="0"/>
  </r>
  <r>
    <x v="365"/>
    <x v="1"/>
    <s v="MY"/>
    <x v="33"/>
    <x v="7"/>
    <s v="Phys.C"/>
    <x v="18"/>
    <n v="298"/>
    <b v="1"/>
    <n v="298"/>
    <x v="0"/>
    <s v="Assets"/>
    <s v="Cash alike"/>
    <x v="3"/>
    <x v="1"/>
    <x v="0"/>
    <x v="1"/>
    <x v="7"/>
    <x v="4"/>
    <x v="0"/>
    <x v="0"/>
  </r>
  <r>
    <x v="365"/>
    <x v="1"/>
    <s v="MY"/>
    <x v="33"/>
    <x v="7"/>
    <s v="AR"/>
    <x v="26"/>
    <n v="-298"/>
    <b v="1"/>
    <n v="-298"/>
    <x v="0"/>
    <s v="Assets"/>
    <s v="Rec-Pay"/>
    <x v="3"/>
    <x v="1"/>
    <x v="1"/>
    <x v="2"/>
    <x v="7"/>
    <x v="4"/>
    <x v="0"/>
    <x v="0"/>
  </r>
  <r>
    <x v="366"/>
    <x v="1"/>
    <s v="MY"/>
    <x v="18"/>
    <x v="7"/>
    <s v="Phys.C"/>
    <x v="18"/>
    <n v="-600"/>
    <b v="1"/>
    <n v="-600"/>
    <x v="0"/>
    <s v="Assets"/>
    <s v="Cash alike"/>
    <x v="1"/>
    <x v="1"/>
    <x v="0"/>
    <x v="1"/>
    <x v="7"/>
    <x v="4"/>
    <x v="0"/>
    <x v="0"/>
  </r>
  <r>
    <x v="367"/>
    <x v="1"/>
    <s v="MY"/>
    <x v="33"/>
    <x v="7"/>
    <s v="Bank"/>
    <x v="10"/>
    <n v="3438.72"/>
    <b v="1"/>
    <n v="3438.72"/>
    <x v="0"/>
    <s v="Assets"/>
    <s v="Cash alike"/>
    <x v="3"/>
    <x v="1"/>
    <x v="0"/>
    <x v="0"/>
    <x v="7"/>
    <x v="4"/>
    <x v="0"/>
    <x v="0"/>
  </r>
  <r>
    <x v="367"/>
    <x v="1"/>
    <s v="MY"/>
    <x v="33"/>
    <x v="7"/>
    <s v="AR"/>
    <x v="69"/>
    <n v="-3438.72"/>
    <b v="1"/>
    <n v="-3438.72"/>
    <x v="0"/>
    <s v="Assets"/>
    <s v="Rec-Pay"/>
    <x v="3"/>
    <x v="1"/>
    <x v="1"/>
    <x v="2"/>
    <x v="7"/>
    <x v="4"/>
    <x v="0"/>
    <x v="0"/>
  </r>
  <r>
    <x v="368"/>
    <x v="1"/>
    <s v="MY"/>
    <x v="35"/>
    <x v="7"/>
    <s v="Bank"/>
    <x v="10"/>
    <n v="-118"/>
    <b v="1"/>
    <n v="-118"/>
    <x v="0"/>
    <s v="Assets"/>
    <s v="Cash alike"/>
    <x v="2"/>
    <x v="1"/>
    <x v="0"/>
    <x v="0"/>
    <x v="7"/>
    <x v="4"/>
    <x v="0"/>
    <x v="0"/>
  </r>
  <r>
    <x v="369"/>
    <x v="1"/>
    <s v="GM"/>
    <x v="13"/>
    <x v="7"/>
    <s v="Bank"/>
    <x v="10"/>
    <n v="-100.5"/>
    <b v="1"/>
    <n v="-100.5"/>
    <x v="0"/>
    <s v="Assets"/>
    <s v="Cash alike"/>
    <x v="1"/>
    <x v="1"/>
    <x v="0"/>
    <x v="0"/>
    <x v="7"/>
    <x v="1"/>
    <x v="0"/>
    <x v="0"/>
  </r>
  <r>
    <x v="370"/>
    <x v="1"/>
    <s v="MY"/>
    <x v="37"/>
    <x v="7"/>
    <s v="Bank"/>
    <x v="10"/>
    <n v="-180"/>
    <b v="1"/>
    <n v="-180"/>
    <x v="0"/>
    <s v="Assets"/>
    <s v="Cash alike"/>
    <x v="1"/>
    <x v="1"/>
    <x v="0"/>
    <x v="0"/>
    <x v="7"/>
    <x v="4"/>
    <x v="0"/>
    <x v="0"/>
  </r>
  <r>
    <x v="371"/>
    <x v="1"/>
    <s v="MY"/>
    <x v="35"/>
    <x v="7"/>
    <s v="Bank"/>
    <x v="10"/>
    <n v="-1826"/>
    <b v="1"/>
    <n v="-1826"/>
    <x v="0"/>
    <s v="Assets"/>
    <s v="Cash alike"/>
    <x v="2"/>
    <x v="1"/>
    <x v="0"/>
    <x v="0"/>
    <x v="7"/>
    <x v="4"/>
    <x v="0"/>
    <x v="0"/>
  </r>
  <r>
    <x v="372"/>
    <x v="1"/>
    <s v="MY"/>
    <x v="53"/>
    <x v="7"/>
    <s v="Bank"/>
    <x v="10"/>
    <n v="-2000"/>
    <b v="1"/>
    <n v="-2000"/>
    <x v="0"/>
    <s v="Assets"/>
    <s v="Cash alike"/>
    <x v="2"/>
    <x v="1"/>
    <x v="0"/>
    <x v="0"/>
    <x v="7"/>
    <x v="4"/>
    <x v="0"/>
    <x v="0"/>
  </r>
  <r>
    <x v="373"/>
    <x v="1"/>
    <s v="MY"/>
    <x v="41"/>
    <x v="7"/>
    <s v="Bank"/>
    <x v="10"/>
    <n v="-1600"/>
    <b v="1"/>
    <n v="-1600"/>
    <x v="0"/>
    <s v="Assets"/>
    <s v="Cash alike"/>
    <x v="1"/>
    <x v="1"/>
    <x v="0"/>
    <x v="0"/>
    <x v="7"/>
    <x v="4"/>
    <x v="0"/>
    <x v="0"/>
  </r>
  <r>
    <x v="374"/>
    <x v="1"/>
    <s v="MY"/>
    <x v="33"/>
    <x v="7"/>
    <s v="Bank"/>
    <x v="10"/>
    <n v="4211.33"/>
    <b v="1"/>
    <n v="4211.33"/>
    <x v="0"/>
    <s v="Assets"/>
    <s v="Cash alike"/>
    <x v="3"/>
    <x v="1"/>
    <x v="0"/>
    <x v="0"/>
    <x v="7"/>
    <x v="4"/>
    <x v="0"/>
    <x v="0"/>
  </r>
  <r>
    <x v="374"/>
    <x v="1"/>
    <s v="MY"/>
    <x v="33"/>
    <x v="7"/>
    <s v="AR"/>
    <x v="69"/>
    <n v="-4211.33"/>
    <b v="1"/>
    <n v="-4211.33"/>
    <x v="0"/>
    <s v="Assets"/>
    <s v="Rec-Pay"/>
    <x v="3"/>
    <x v="1"/>
    <x v="1"/>
    <x v="2"/>
    <x v="7"/>
    <x v="4"/>
    <x v="0"/>
    <x v="0"/>
  </r>
  <r>
    <x v="375"/>
    <x v="1"/>
    <s v="MY"/>
    <x v="33"/>
    <x v="7"/>
    <s v="Bank"/>
    <x v="10"/>
    <n v="3394.82"/>
    <b v="1"/>
    <n v="3394.82"/>
    <x v="0"/>
    <s v="Assets"/>
    <s v="Cash alike"/>
    <x v="3"/>
    <x v="1"/>
    <x v="0"/>
    <x v="0"/>
    <x v="7"/>
    <x v="4"/>
    <x v="0"/>
    <x v="0"/>
  </r>
  <r>
    <x v="375"/>
    <x v="1"/>
    <s v="MY"/>
    <x v="33"/>
    <x v="7"/>
    <s v="AR"/>
    <x v="27"/>
    <n v="-3394.82"/>
    <b v="1"/>
    <n v="-3394.82"/>
    <x v="0"/>
    <s v="Assets"/>
    <s v="Rec-Pay"/>
    <x v="3"/>
    <x v="1"/>
    <x v="1"/>
    <x v="2"/>
    <x v="7"/>
    <x v="4"/>
    <x v="0"/>
    <x v="0"/>
  </r>
  <r>
    <x v="376"/>
    <x v="1"/>
    <s v="MY"/>
    <x v="33"/>
    <x v="7"/>
    <s v="Bank"/>
    <x v="10"/>
    <n v="9243"/>
    <b v="1"/>
    <n v="9243"/>
    <x v="0"/>
    <s v="Assets"/>
    <s v="Cash alike"/>
    <x v="3"/>
    <x v="1"/>
    <x v="0"/>
    <x v="0"/>
    <x v="7"/>
    <x v="4"/>
    <x v="0"/>
    <x v="0"/>
  </r>
  <r>
    <x v="376"/>
    <x v="1"/>
    <s v="MY"/>
    <x v="33"/>
    <x v="7"/>
    <s v="AR"/>
    <x v="28"/>
    <n v="-9243"/>
    <b v="1"/>
    <n v="-9243"/>
    <x v="0"/>
    <s v="Assets"/>
    <s v="Rec-Pay"/>
    <x v="3"/>
    <x v="1"/>
    <x v="1"/>
    <x v="2"/>
    <x v="7"/>
    <x v="4"/>
    <x v="0"/>
    <x v="0"/>
  </r>
  <r>
    <x v="377"/>
    <x v="1"/>
    <s v="MY"/>
    <x v="8"/>
    <x v="7"/>
    <s v="ToTax"/>
    <x v="54"/>
    <n v="-545.98"/>
    <b v="1"/>
    <n v="545.98"/>
    <x v="1"/>
    <s v="Liability"/>
    <s v="Rec-Pay"/>
    <x v="1"/>
    <x v="1"/>
    <x v="1"/>
    <x v="11"/>
    <x v="7"/>
    <x v="4"/>
    <x v="0"/>
    <x v="0"/>
  </r>
  <r>
    <x v="377"/>
    <x v="1"/>
    <s v="MY"/>
    <x v="8"/>
    <x v="7"/>
    <s v="Bank"/>
    <x v="10"/>
    <n v="-545.98"/>
    <b v="1"/>
    <n v="-545.98"/>
    <x v="0"/>
    <s v="Assets"/>
    <s v="Cash alike"/>
    <x v="1"/>
    <x v="1"/>
    <x v="0"/>
    <x v="0"/>
    <x v="7"/>
    <x v="4"/>
    <x v="0"/>
    <x v="0"/>
  </r>
  <r>
    <x v="378"/>
    <x v="1"/>
    <s v="MY"/>
    <x v="27"/>
    <x v="7"/>
    <s v="Bank"/>
    <x v="10"/>
    <n v="1320"/>
    <b v="1"/>
    <n v="1320"/>
    <x v="0"/>
    <s v="Assets"/>
    <s v="Cash alike"/>
    <x v="2"/>
    <x v="1"/>
    <x v="0"/>
    <x v="0"/>
    <x v="7"/>
    <x v="4"/>
    <x v="0"/>
    <x v="0"/>
  </r>
  <r>
    <x v="379"/>
    <x v="1"/>
    <s v="GM"/>
    <x v="6"/>
    <x v="7"/>
    <s v="Bank"/>
    <x v="10"/>
    <n v="-16287.4"/>
    <b v="1"/>
    <n v="-16287.4"/>
    <x v="0"/>
    <s v="Assets"/>
    <s v="Cash alike"/>
    <x v="1"/>
    <x v="1"/>
    <x v="0"/>
    <x v="0"/>
    <x v="7"/>
    <x v="1"/>
    <x v="0"/>
    <x v="0"/>
  </r>
  <r>
    <x v="380"/>
    <x v="1"/>
    <s v="MY"/>
    <x v="8"/>
    <x v="7"/>
    <s v="Bank"/>
    <x v="10"/>
    <n v="-56630.96"/>
    <b v="1"/>
    <n v="-56630.96"/>
    <x v="0"/>
    <s v="Assets"/>
    <s v="Cash alike"/>
    <x v="1"/>
    <x v="1"/>
    <x v="0"/>
    <x v="0"/>
    <x v="7"/>
    <x v="4"/>
    <x v="0"/>
    <x v="0"/>
  </r>
  <r>
    <x v="380"/>
    <x v="1"/>
    <s v="MY"/>
    <x v="8"/>
    <x v="7"/>
    <s v="ToEmp"/>
    <x v="52"/>
    <n v="-56630.96"/>
    <b v="1"/>
    <n v="56630.96"/>
    <x v="1"/>
    <s v="Liability"/>
    <s v="Rec-Pay"/>
    <x v="1"/>
    <x v="1"/>
    <x v="1"/>
    <x v="12"/>
    <x v="7"/>
    <x v="4"/>
    <x v="0"/>
    <x v="0"/>
  </r>
  <r>
    <x v="381"/>
    <x v="1"/>
    <s v="MY"/>
    <x v="54"/>
    <x v="7"/>
    <s v="Bank"/>
    <x v="10"/>
    <n v="-1767.4"/>
    <b v="1"/>
    <n v="-1767.4"/>
    <x v="0"/>
    <s v="Assets"/>
    <s v="Cash alike"/>
    <x v="2"/>
    <x v="1"/>
    <x v="0"/>
    <x v="0"/>
    <x v="7"/>
    <x v="4"/>
    <x v="0"/>
    <x v="0"/>
  </r>
  <r>
    <x v="381"/>
    <x v="1"/>
    <s v="MY"/>
    <x v="54"/>
    <x v="7"/>
    <s v="Bank"/>
    <x v="10"/>
    <n v="-858.8"/>
    <b v="1"/>
    <n v="-858.8"/>
    <x v="0"/>
    <s v="Assets"/>
    <s v="Cash alike"/>
    <x v="2"/>
    <x v="1"/>
    <x v="0"/>
    <x v="0"/>
    <x v="7"/>
    <x v="4"/>
    <x v="0"/>
    <x v="0"/>
  </r>
  <r>
    <x v="382"/>
    <x v="1"/>
    <s v="MY"/>
    <x v="33"/>
    <x v="7"/>
    <s v="Bank"/>
    <x v="10"/>
    <n v="443.77"/>
    <b v="1"/>
    <n v="443.77"/>
    <x v="0"/>
    <s v="Assets"/>
    <s v="Cash alike"/>
    <x v="3"/>
    <x v="1"/>
    <x v="0"/>
    <x v="0"/>
    <x v="7"/>
    <x v="4"/>
    <x v="0"/>
    <x v="0"/>
  </r>
  <r>
    <x v="382"/>
    <x v="1"/>
    <s v="MY"/>
    <x v="33"/>
    <x v="7"/>
    <s v="AR"/>
    <x v="25"/>
    <n v="-443.77"/>
    <b v="1"/>
    <n v="-443.77"/>
    <x v="0"/>
    <s v="Assets"/>
    <s v="Rec-Pay"/>
    <x v="3"/>
    <x v="1"/>
    <x v="1"/>
    <x v="2"/>
    <x v="7"/>
    <x v="4"/>
    <x v="0"/>
    <x v="0"/>
  </r>
  <r>
    <x v="383"/>
    <x v="1"/>
    <s v="MY"/>
    <x v="33"/>
    <x v="7"/>
    <s v="Bank"/>
    <x v="10"/>
    <n v="10000"/>
    <b v="1"/>
    <n v="10000"/>
    <x v="0"/>
    <s v="Assets"/>
    <s v="Cash alike"/>
    <x v="3"/>
    <x v="1"/>
    <x v="0"/>
    <x v="0"/>
    <x v="7"/>
    <x v="4"/>
    <x v="0"/>
    <x v="0"/>
  </r>
  <r>
    <x v="383"/>
    <x v="1"/>
    <s v="MY"/>
    <x v="33"/>
    <x v="7"/>
    <s v="AR"/>
    <x v="70"/>
    <n v="-10000"/>
    <b v="1"/>
    <n v="-10000"/>
    <x v="0"/>
    <s v="Assets"/>
    <s v="Rec-Pay"/>
    <x v="3"/>
    <x v="1"/>
    <x v="1"/>
    <x v="2"/>
    <x v="7"/>
    <x v="4"/>
    <x v="0"/>
    <x v="0"/>
  </r>
  <r>
    <x v="384"/>
    <x v="1"/>
    <s v="MY"/>
    <x v="36"/>
    <x v="7"/>
    <s v="Bank"/>
    <x v="10"/>
    <n v="-3745"/>
    <b v="1"/>
    <n v="-3745"/>
    <x v="0"/>
    <s v="Assets"/>
    <s v="Cash alike"/>
    <x v="2"/>
    <x v="1"/>
    <x v="0"/>
    <x v="0"/>
    <x v="7"/>
    <x v="4"/>
    <x v="0"/>
    <x v="0"/>
  </r>
  <r>
    <x v="385"/>
    <x v="1"/>
    <s v="GM"/>
    <x v="19"/>
    <x v="7"/>
    <s v="Bank"/>
    <x v="10"/>
    <n v="-19562.7"/>
    <b v="1"/>
    <n v="-19562.7"/>
    <x v="0"/>
    <s v="Assets"/>
    <s v="Cash alike"/>
    <x v="1"/>
    <x v="1"/>
    <x v="0"/>
    <x v="0"/>
    <x v="7"/>
    <x v="1"/>
    <x v="0"/>
    <x v="0"/>
  </r>
  <r>
    <x v="386"/>
    <x v="1"/>
    <s v="MY"/>
    <x v="8"/>
    <x v="7"/>
    <s v="Bank"/>
    <x v="10"/>
    <n v="-4381.96"/>
    <b v="1"/>
    <n v="-4381.96"/>
    <x v="0"/>
    <s v="Assets"/>
    <s v="Cash alike"/>
    <x v="1"/>
    <x v="1"/>
    <x v="0"/>
    <x v="0"/>
    <x v="7"/>
    <x v="4"/>
    <x v="0"/>
    <x v="0"/>
  </r>
  <r>
    <x v="386"/>
    <x v="1"/>
    <s v="MY"/>
    <x v="8"/>
    <x v="7"/>
    <s v="ToTax"/>
    <x v="47"/>
    <n v="-4381.96"/>
    <b v="1"/>
    <n v="4381.96"/>
    <x v="1"/>
    <s v="Liability"/>
    <s v="Rec-Pay"/>
    <x v="1"/>
    <x v="1"/>
    <x v="1"/>
    <x v="11"/>
    <x v="7"/>
    <x v="4"/>
    <x v="0"/>
    <x v="0"/>
  </r>
  <r>
    <x v="387"/>
    <x v="1"/>
    <s v="MY"/>
    <x v="33"/>
    <x v="7"/>
    <s v="AR"/>
    <x v="25"/>
    <n v="-2480.5300000000002"/>
    <b v="1"/>
    <n v="-2480.5300000000002"/>
    <x v="0"/>
    <s v="Assets"/>
    <s v="Rec-Pay"/>
    <x v="3"/>
    <x v="1"/>
    <x v="1"/>
    <x v="2"/>
    <x v="7"/>
    <x v="4"/>
    <x v="0"/>
    <x v="0"/>
  </r>
  <r>
    <x v="387"/>
    <x v="1"/>
    <s v="MY"/>
    <x v="33"/>
    <x v="7"/>
    <s v="Bank"/>
    <x v="10"/>
    <n v="2480.5300000000002"/>
    <b v="1"/>
    <n v="2480.5300000000002"/>
    <x v="0"/>
    <s v="Assets"/>
    <s v="Cash alike"/>
    <x v="3"/>
    <x v="1"/>
    <x v="0"/>
    <x v="0"/>
    <x v="7"/>
    <x v="4"/>
    <x v="0"/>
    <x v="0"/>
  </r>
  <r>
    <x v="388"/>
    <x v="1"/>
    <s v="MY"/>
    <x v="33"/>
    <x v="7"/>
    <s v="AR"/>
    <x v="70"/>
    <n v="-37947"/>
    <b v="1"/>
    <n v="-37947"/>
    <x v="0"/>
    <s v="Assets"/>
    <s v="Rec-Pay"/>
    <x v="3"/>
    <x v="1"/>
    <x v="1"/>
    <x v="2"/>
    <x v="7"/>
    <x v="4"/>
    <x v="0"/>
    <x v="0"/>
  </r>
  <r>
    <x v="388"/>
    <x v="1"/>
    <s v="MY"/>
    <x v="33"/>
    <x v="7"/>
    <s v="Bank"/>
    <x v="10"/>
    <n v="37947"/>
    <b v="1"/>
    <n v="37947"/>
    <x v="0"/>
    <s v="Assets"/>
    <s v="Cash alike"/>
    <x v="3"/>
    <x v="1"/>
    <x v="0"/>
    <x v="0"/>
    <x v="7"/>
    <x v="4"/>
    <x v="0"/>
    <x v="0"/>
  </r>
  <r>
    <x v="389"/>
    <x v="1"/>
    <s v="MY"/>
    <x v="55"/>
    <x v="7"/>
    <s v="Bank"/>
    <x v="10"/>
    <n v="-1800"/>
    <b v="1"/>
    <n v="-1800"/>
    <x v="0"/>
    <s v="Assets"/>
    <s v="Cash alike"/>
    <x v="2"/>
    <x v="1"/>
    <x v="0"/>
    <x v="0"/>
    <x v="7"/>
    <x v="4"/>
    <x v="0"/>
    <x v="0"/>
  </r>
  <r>
    <x v="390"/>
    <x v="1"/>
    <s v="MY"/>
    <x v="53"/>
    <x v="7"/>
    <s v="Bank"/>
    <x v="10"/>
    <n v="-1500"/>
    <b v="1"/>
    <n v="-1500"/>
    <x v="0"/>
    <s v="Assets"/>
    <s v="Cash alike"/>
    <x v="2"/>
    <x v="1"/>
    <x v="0"/>
    <x v="0"/>
    <x v="7"/>
    <x v="4"/>
    <x v="0"/>
    <x v="0"/>
  </r>
  <r>
    <x v="391"/>
    <x v="1"/>
    <s v="MY"/>
    <x v="37"/>
    <x v="7"/>
    <s v="Bank"/>
    <x v="10"/>
    <n v="-540"/>
    <b v="1"/>
    <n v="-540"/>
    <x v="0"/>
    <s v="Assets"/>
    <s v="Cash alike"/>
    <x v="1"/>
    <x v="1"/>
    <x v="0"/>
    <x v="0"/>
    <x v="7"/>
    <x v="4"/>
    <x v="0"/>
    <x v="0"/>
  </r>
  <r>
    <x v="392"/>
    <x v="1"/>
    <s v="MY"/>
    <x v="56"/>
    <x v="7"/>
    <s v="Bank"/>
    <x v="10"/>
    <n v="-1540"/>
    <b v="1"/>
    <n v="-1540"/>
    <x v="0"/>
    <s v="Assets"/>
    <s v="Cash alike"/>
    <x v="1"/>
    <x v="1"/>
    <x v="0"/>
    <x v="0"/>
    <x v="7"/>
    <x v="4"/>
    <x v="0"/>
    <x v="0"/>
  </r>
  <r>
    <x v="393"/>
    <x v="1"/>
    <s v="Brand"/>
    <x v="57"/>
    <x v="7"/>
    <s v="Bank"/>
    <x v="10"/>
    <n v="-36200"/>
    <b v="1"/>
    <n v="-36200"/>
    <x v="0"/>
    <s v="Assets"/>
    <s v="Cash alike"/>
    <x v="4"/>
    <x v="0"/>
    <x v="0"/>
    <x v="0"/>
    <x v="7"/>
    <x v="3"/>
    <x v="0"/>
    <x v="0"/>
  </r>
  <r>
    <x v="394"/>
    <x v="1"/>
    <s v="MY"/>
    <x v="35"/>
    <x v="7"/>
    <s v="Bank"/>
    <x v="10"/>
    <n v="-540"/>
    <b v="1"/>
    <n v="-540"/>
    <x v="0"/>
    <s v="Assets"/>
    <s v="Cash alike"/>
    <x v="2"/>
    <x v="1"/>
    <x v="0"/>
    <x v="0"/>
    <x v="7"/>
    <x v="4"/>
    <x v="0"/>
    <x v="0"/>
  </r>
  <r>
    <x v="395"/>
    <x v="1"/>
    <s v="MY"/>
    <x v="33"/>
    <x v="7"/>
    <s v="Bank"/>
    <x v="10"/>
    <n v="551.76"/>
    <b v="1"/>
    <n v="551.76"/>
    <x v="0"/>
    <s v="Assets"/>
    <s v="Cash alike"/>
    <x v="3"/>
    <x v="1"/>
    <x v="0"/>
    <x v="0"/>
    <x v="7"/>
    <x v="4"/>
    <x v="0"/>
    <x v="0"/>
  </r>
  <r>
    <x v="395"/>
    <x v="1"/>
    <s v="MY"/>
    <x v="33"/>
    <x v="7"/>
    <s v="AR"/>
    <x v="69"/>
    <n v="-551.76"/>
    <b v="1"/>
    <n v="-551.76"/>
    <x v="0"/>
    <s v="Assets"/>
    <s v="Rec-Pay"/>
    <x v="3"/>
    <x v="1"/>
    <x v="1"/>
    <x v="2"/>
    <x v="7"/>
    <x v="4"/>
    <x v="0"/>
    <x v="0"/>
  </r>
  <r>
    <x v="396"/>
    <x v="1"/>
    <s v="MY"/>
    <x v="35"/>
    <x v="7"/>
    <s v="Bank"/>
    <x v="10"/>
    <n v="-1470"/>
    <b v="1"/>
    <n v="-1470"/>
    <x v="0"/>
    <s v="Assets"/>
    <s v="Cash alike"/>
    <x v="2"/>
    <x v="1"/>
    <x v="0"/>
    <x v="0"/>
    <x v="7"/>
    <x v="4"/>
    <x v="0"/>
    <x v="0"/>
  </r>
  <r>
    <x v="397"/>
    <x v="1"/>
    <s v="MY"/>
    <x v="7"/>
    <x v="7"/>
    <s v="Bank"/>
    <x v="10"/>
    <n v="-40000"/>
    <b v="1"/>
    <n v="-40000"/>
    <x v="0"/>
    <s v="Assets"/>
    <s v="Cash alike"/>
    <x v="0"/>
    <x v="0"/>
    <x v="0"/>
    <x v="0"/>
    <x v="7"/>
    <x v="4"/>
    <x v="0"/>
    <x v="0"/>
  </r>
  <r>
    <x v="397"/>
    <x v="1"/>
    <s v="MY"/>
    <x v="7"/>
    <x v="11"/>
    <s v="Bank"/>
    <x v="15"/>
    <n v="40000"/>
    <b v="1"/>
    <n v="40000"/>
    <x v="0"/>
    <s v="Assets"/>
    <s v="Cash alike"/>
    <x v="0"/>
    <x v="0"/>
    <x v="0"/>
    <x v="0"/>
    <x v="11"/>
    <x v="4"/>
    <x v="0"/>
    <x v="0"/>
  </r>
  <r>
    <x v="398"/>
    <x v="1"/>
    <s v="MY"/>
    <x v="33"/>
    <x v="8"/>
    <s v="Bank"/>
    <x v="11"/>
    <n v="167617.9"/>
    <b v="1"/>
    <n v="167617.9"/>
    <x v="0"/>
    <s v="Assets"/>
    <s v="Cash alike"/>
    <x v="3"/>
    <x v="1"/>
    <x v="0"/>
    <x v="0"/>
    <x v="8"/>
    <x v="4"/>
    <x v="0"/>
    <x v="0"/>
  </r>
  <r>
    <x v="398"/>
    <x v="1"/>
    <s v="MY"/>
    <x v="33"/>
    <x v="7"/>
    <s v="AR"/>
    <x v="29"/>
    <n v="-167617.9"/>
    <b v="1"/>
    <n v="-167617.9"/>
    <x v="0"/>
    <s v="Assets"/>
    <s v="Rec-Pay"/>
    <x v="3"/>
    <x v="1"/>
    <x v="1"/>
    <x v="2"/>
    <x v="7"/>
    <x v="4"/>
    <x v="0"/>
    <x v="0"/>
  </r>
  <r>
    <x v="399"/>
    <x v="1"/>
    <s v="MY"/>
    <x v="33"/>
    <x v="8"/>
    <s v="Bank"/>
    <x v="11"/>
    <n v="2814"/>
    <b v="1"/>
    <n v="2814"/>
    <x v="0"/>
    <s v="Assets"/>
    <s v="Cash alike"/>
    <x v="3"/>
    <x v="1"/>
    <x v="0"/>
    <x v="0"/>
    <x v="8"/>
    <x v="4"/>
    <x v="0"/>
    <x v="0"/>
  </r>
  <r>
    <x v="399"/>
    <x v="1"/>
    <s v="MY"/>
    <x v="33"/>
    <x v="7"/>
    <s v="AR"/>
    <x v="26"/>
    <n v="-2814"/>
    <b v="1"/>
    <n v="-2814"/>
    <x v="0"/>
    <s v="Assets"/>
    <s v="Rec-Pay"/>
    <x v="3"/>
    <x v="1"/>
    <x v="1"/>
    <x v="2"/>
    <x v="7"/>
    <x v="4"/>
    <x v="0"/>
    <x v="0"/>
  </r>
  <r>
    <x v="400"/>
    <x v="1"/>
    <s v="MY"/>
    <x v="33"/>
    <x v="8"/>
    <s v="Bank"/>
    <x v="11"/>
    <n v="14820"/>
    <b v="1"/>
    <n v="14820"/>
    <x v="0"/>
    <s v="Assets"/>
    <s v="Cash alike"/>
    <x v="3"/>
    <x v="1"/>
    <x v="0"/>
    <x v="0"/>
    <x v="8"/>
    <x v="4"/>
    <x v="0"/>
    <x v="0"/>
  </r>
  <r>
    <x v="400"/>
    <x v="1"/>
    <s v="MY"/>
    <x v="33"/>
    <x v="7"/>
    <s v="AR"/>
    <x v="70"/>
    <n v="-14820"/>
    <b v="1"/>
    <n v="-14820"/>
    <x v="0"/>
    <s v="Assets"/>
    <s v="Rec-Pay"/>
    <x v="3"/>
    <x v="1"/>
    <x v="1"/>
    <x v="2"/>
    <x v="7"/>
    <x v="4"/>
    <x v="0"/>
    <x v="0"/>
  </r>
  <r>
    <x v="401"/>
    <x v="1"/>
    <s v="MY"/>
    <x v="35"/>
    <x v="8"/>
    <s v="Bank"/>
    <x v="11"/>
    <n v="-2708"/>
    <b v="1"/>
    <n v="-2708"/>
    <x v="0"/>
    <s v="Assets"/>
    <s v="Cash alike"/>
    <x v="2"/>
    <x v="1"/>
    <x v="0"/>
    <x v="0"/>
    <x v="8"/>
    <x v="4"/>
    <x v="0"/>
    <x v="0"/>
  </r>
  <r>
    <x v="402"/>
    <x v="1"/>
    <s v="MY"/>
    <x v="47"/>
    <x v="8"/>
    <s v="Bank"/>
    <x v="11"/>
    <n v="-611.62"/>
    <b v="1"/>
    <n v="-611.62"/>
    <x v="0"/>
    <s v="Assets"/>
    <s v="Cash alike"/>
    <x v="2"/>
    <x v="1"/>
    <x v="0"/>
    <x v="0"/>
    <x v="8"/>
    <x v="4"/>
    <x v="0"/>
    <x v="0"/>
  </r>
  <r>
    <x v="403"/>
    <x v="1"/>
    <s v="GM"/>
    <x v="6"/>
    <x v="8"/>
    <s v="Bank"/>
    <x v="11"/>
    <n v="-18017.009999999998"/>
    <b v="1"/>
    <n v="-18017.009999999998"/>
    <x v="0"/>
    <s v="Assets"/>
    <s v="Cash alike"/>
    <x v="1"/>
    <x v="1"/>
    <x v="0"/>
    <x v="0"/>
    <x v="8"/>
    <x v="1"/>
    <x v="0"/>
    <x v="0"/>
  </r>
  <r>
    <x v="404"/>
    <x v="1"/>
    <s v="MY"/>
    <x v="8"/>
    <x v="8"/>
    <s v="Bank"/>
    <x v="11"/>
    <n v="-47923.6"/>
    <b v="1"/>
    <n v="-47923.6"/>
    <x v="0"/>
    <s v="Assets"/>
    <s v="Cash alike"/>
    <x v="1"/>
    <x v="1"/>
    <x v="0"/>
    <x v="0"/>
    <x v="8"/>
    <x v="4"/>
    <x v="0"/>
    <x v="0"/>
  </r>
  <r>
    <x v="404"/>
    <x v="1"/>
    <s v="MY"/>
    <x v="8"/>
    <x v="7"/>
    <s v="ToEmp"/>
    <x v="52"/>
    <n v="-47923.6"/>
    <b v="1"/>
    <n v="47923.6"/>
    <x v="1"/>
    <s v="Liability"/>
    <s v="Rec-Pay"/>
    <x v="1"/>
    <x v="1"/>
    <x v="1"/>
    <x v="12"/>
    <x v="7"/>
    <x v="4"/>
    <x v="0"/>
    <x v="0"/>
  </r>
  <r>
    <x v="405"/>
    <x v="1"/>
    <s v="MY"/>
    <x v="58"/>
    <x v="8"/>
    <s v="Bank"/>
    <x v="11"/>
    <n v="-980"/>
    <b v="1"/>
    <n v="-980"/>
    <x v="0"/>
    <s v="Assets"/>
    <s v="Cash alike"/>
    <x v="3"/>
    <x v="1"/>
    <x v="0"/>
    <x v="0"/>
    <x v="8"/>
    <x v="4"/>
    <x v="0"/>
    <x v="0"/>
  </r>
  <r>
    <x v="405"/>
    <x v="1"/>
    <s v="MY"/>
    <x v="58"/>
    <x v="7"/>
    <s v="MemShip"/>
    <x v="57"/>
    <n v="-980"/>
    <b v="1"/>
    <n v="980"/>
    <x v="1"/>
    <s v="Liability"/>
    <s v="Cash alike"/>
    <x v="3"/>
    <x v="1"/>
    <x v="0"/>
    <x v="14"/>
    <x v="7"/>
    <x v="4"/>
    <x v="0"/>
    <x v="0"/>
  </r>
  <r>
    <x v="406"/>
    <x v="1"/>
    <s v="MY"/>
    <x v="7"/>
    <x v="11"/>
    <s v="Bank"/>
    <x v="15"/>
    <n v="30000"/>
    <b v="1"/>
    <n v="30000"/>
    <x v="0"/>
    <s v="Assets"/>
    <s v="Cash alike"/>
    <x v="0"/>
    <x v="0"/>
    <x v="0"/>
    <x v="0"/>
    <x v="11"/>
    <x v="4"/>
    <x v="0"/>
    <x v="0"/>
  </r>
  <r>
    <x v="406"/>
    <x v="1"/>
    <s v="MY"/>
    <x v="7"/>
    <x v="8"/>
    <s v="Bank"/>
    <x v="11"/>
    <n v="-30000"/>
    <b v="1"/>
    <n v="-30000"/>
    <x v="0"/>
    <s v="Assets"/>
    <s v="Cash alike"/>
    <x v="0"/>
    <x v="0"/>
    <x v="0"/>
    <x v="0"/>
    <x v="8"/>
    <x v="4"/>
    <x v="0"/>
    <x v="0"/>
  </r>
  <r>
    <x v="407"/>
    <x v="1"/>
    <s v="MY"/>
    <x v="36"/>
    <x v="8"/>
    <s v="Bank"/>
    <x v="11"/>
    <n v="-360"/>
    <b v="1"/>
    <n v="-360"/>
    <x v="0"/>
    <s v="Assets"/>
    <s v="Cash alike"/>
    <x v="2"/>
    <x v="1"/>
    <x v="0"/>
    <x v="0"/>
    <x v="8"/>
    <x v="4"/>
    <x v="0"/>
    <x v="0"/>
  </r>
  <r>
    <x v="408"/>
    <x v="1"/>
    <s v="MY"/>
    <x v="58"/>
    <x v="8"/>
    <s v="Bank"/>
    <x v="11"/>
    <n v="-2744"/>
    <b v="1"/>
    <n v="-2744"/>
    <x v="0"/>
    <s v="Assets"/>
    <s v="Cash alike"/>
    <x v="3"/>
    <x v="1"/>
    <x v="0"/>
    <x v="0"/>
    <x v="8"/>
    <x v="4"/>
    <x v="0"/>
    <x v="0"/>
  </r>
  <r>
    <x v="408"/>
    <x v="1"/>
    <s v="MY"/>
    <x v="58"/>
    <x v="7"/>
    <s v="MemShip"/>
    <x v="57"/>
    <n v="-2744"/>
    <b v="1"/>
    <n v="2744"/>
    <x v="1"/>
    <s v="Liability"/>
    <s v="Cash alike"/>
    <x v="3"/>
    <x v="1"/>
    <x v="0"/>
    <x v="14"/>
    <x v="7"/>
    <x v="4"/>
    <x v="0"/>
    <x v="0"/>
  </r>
  <r>
    <x v="409"/>
    <x v="1"/>
    <s v="MY"/>
    <x v="9"/>
    <x v="8"/>
    <s v="Bank"/>
    <x v="11"/>
    <n v="-9331.5"/>
    <b v="1"/>
    <n v="-9331.5"/>
    <x v="0"/>
    <s v="Assets"/>
    <s v="Cash alike"/>
    <x v="1"/>
    <x v="1"/>
    <x v="0"/>
    <x v="0"/>
    <x v="8"/>
    <x v="4"/>
    <x v="0"/>
    <x v="0"/>
  </r>
  <r>
    <x v="410"/>
    <x v="1"/>
    <s v="MY"/>
    <x v="47"/>
    <x v="8"/>
    <s v="Bank"/>
    <x v="11"/>
    <n v="-940"/>
    <b v="1"/>
    <n v="-940"/>
    <x v="0"/>
    <s v="Assets"/>
    <s v="Cash alike"/>
    <x v="2"/>
    <x v="1"/>
    <x v="0"/>
    <x v="0"/>
    <x v="8"/>
    <x v="4"/>
    <x v="0"/>
    <x v="0"/>
  </r>
  <r>
    <x v="411"/>
    <x v="1"/>
    <s v="MY"/>
    <x v="36"/>
    <x v="8"/>
    <s v="Bank"/>
    <x v="11"/>
    <n v="-384.3"/>
    <b v="1"/>
    <n v="-384.3"/>
    <x v="0"/>
    <s v="Assets"/>
    <s v="Cash alike"/>
    <x v="2"/>
    <x v="1"/>
    <x v="0"/>
    <x v="0"/>
    <x v="8"/>
    <x v="4"/>
    <x v="0"/>
    <x v="0"/>
  </r>
  <r>
    <x v="412"/>
    <x v="1"/>
    <s v="MY"/>
    <x v="33"/>
    <x v="9"/>
    <s v="Bank"/>
    <x v="12"/>
    <n v="43003.48"/>
    <b v="1"/>
    <n v="43003.48"/>
    <x v="0"/>
    <s v="Assets"/>
    <s v="Cash alike"/>
    <x v="3"/>
    <x v="1"/>
    <x v="0"/>
    <x v="0"/>
    <x v="9"/>
    <x v="4"/>
    <x v="0"/>
    <x v="0"/>
  </r>
  <r>
    <x v="412"/>
    <x v="1"/>
    <s v="MY"/>
    <x v="33"/>
    <x v="7"/>
    <s v="AR"/>
    <x v="25"/>
    <n v="-43003.48"/>
    <b v="1"/>
    <n v="-43003.48"/>
    <x v="0"/>
    <s v="Assets"/>
    <s v="Rec-Pay"/>
    <x v="3"/>
    <x v="1"/>
    <x v="1"/>
    <x v="2"/>
    <x v="7"/>
    <x v="4"/>
    <x v="0"/>
    <x v="0"/>
  </r>
  <r>
    <x v="413"/>
    <x v="1"/>
    <s v="MY"/>
    <x v="23"/>
    <x v="9"/>
    <s v="Bank"/>
    <x v="12"/>
    <n v="376.19"/>
    <b v="1"/>
    <n v="376.19"/>
    <x v="0"/>
    <s v="Assets"/>
    <s v="Cash alike"/>
    <x v="3"/>
    <x v="1"/>
    <x v="0"/>
    <x v="0"/>
    <x v="9"/>
    <x v="4"/>
    <x v="0"/>
    <x v="0"/>
  </r>
  <r>
    <x v="414"/>
    <x v="1"/>
    <s v="MY"/>
    <x v="35"/>
    <x v="11"/>
    <s v="Bank"/>
    <x v="15"/>
    <n v="-43824.95"/>
    <b v="1"/>
    <n v="-43824.95"/>
    <x v="0"/>
    <s v="Assets"/>
    <s v="Cash alike"/>
    <x v="2"/>
    <x v="1"/>
    <x v="0"/>
    <x v="0"/>
    <x v="11"/>
    <x v="4"/>
    <x v="0"/>
    <x v="0"/>
  </r>
  <r>
    <x v="415"/>
    <x v="1"/>
    <s v="MY"/>
    <x v="27"/>
    <x v="11"/>
    <s v="Bank"/>
    <x v="15"/>
    <n v="121.78"/>
    <b v="1"/>
    <n v="121.78"/>
    <x v="0"/>
    <s v="Assets"/>
    <s v="Cash alike"/>
    <x v="2"/>
    <x v="1"/>
    <x v="0"/>
    <x v="0"/>
    <x v="11"/>
    <x v="4"/>
    <x v="0"/>
    <x v="0"/>
  </r>
  <r>
    <x v="416"/>
    <x v="1"/>
    <s v="MY"/>
    <x v="36"/>
    <x v="11"/>
    <s v="Bank"/>
    <x v="15"/>
    <n v="-10151.14"/>
    <b v="1"/>
    <n v="-10151.14"/>
    <x v="0"/>
    <s v="Assets"/>
    <s v="Cash alike"/>
    <x v="2"/>
    <x v="1"/>
    <x v="0"/>
    <x v="0"/>
    <x v="11"/>
    <x v="4"/>
    <x v="0"/>
    <x v="0"/>
  </r>
  <r>
    <x v="417"/>
    <x v="1"/>
    <s v="MY"/>
    <x v="35"/>
    <x v="11"/>
    <s v="Bank"/>
    <x v="15"/>
    <n v="-4820.54"/>
    <b v="1"/>
    <n v="-4820.54"/>
    <x v="0"/>
    <s v="Assets"/>
    <s v="Cash alike"/>
    <x v="2"/>
    <x v="1"/>
    <x v="0"/>
    <x v="0"/>
    <x v="11"/>
    <x v="4"/>
    <x v="0"/>
    <x v="0"/>
  </r>
  <r>
    <x v="418"/>
    <x v="1"/>
    <s v="MY"/>
    <x v="36"/>
    <x v="11"/>
    <s v="Bank"/>
    <x v="15"/>
    <n v="-3989.13"/>
    <b v="1"/>
    <n v="-3989.13"/>
    <x v="0"/>
    <s v="Assets"/>
    <s v="Cash alike"/>
    <x v="2"/>
    <x v="1"/>
    <x v="0"/>
    <x v="0"/>
    <x v="11"/>
    <x v="4"/>
    <x v="0"/>
    <x v="0"/>
  </r>
  <r>
    <x v="419"/>
    <x v="1"/>
    <s v="GM"/>
    <x v="19"/>
    <x v="11"/>
    <s v="Bank"/>
    <x v="15"/>
    <n v="-11000"/>
    <b v="1"/>
    <n v="-11000"/>
    <x v="0"/>
    <s v="Assets"/>
    <s v="Cash alike"/>
    <x v="1"/>
    <x v="1"/>
    <x v="0"/>
    <x v="0"/>
    <x v="11"/>
    <x v="1"/>
    <x v="0"/>
    <x v="0"/>
  </r>
  <r>
    <x v="420"/>
    <x v="1"/>
    <s v="MY"/>
    <x v="35"/>
    <x v="11"/>
    <s v="Bank"/>
    <x v="15"/>
    <n v="-885.77"/>
    <b v="1"/>
    <n v="-885.77"/>
    <x v="0"/>
    <s v="Assets"/>
    <s v="Cash alike"/>
    <x v="2"/>
    <x v="1"/>
    <x v="0"/>
    <x v="0"/>
    <x v="11"/>
    <x v="4"/>
    <x v="0"/>
    <x v="0"/>
  </r>
  <r>
    <x v="421"/>
    <x v="1"/>
    <s v="MY"/>
    <x v="35"/>
    <x v="11"/>
    <s v="Bank"/>
    <x v="15"/>
    <n v="-480"/>
    <b v="1"/>
    <n v="-480"/>
    <x v="0"/>
    <s v="Assets"/>
    <s v="Cash alike"/>
    <x v="2"/>
    <x v="1"/>
    <x v="0"/>
    <x v="0"/>
    <x v="11"/>
    <x v="4"/>
    <x v="0"/>
    <x v="0"/>
  </r>
  <r>
    <x v="422"/>
    <x v="1"/>
    <s v="GM"/>
    <x v="30"/>
    <x v="11"/>
    <s v="Bank"/>
    <x v="15"/>
    <n v="-1163.4000000000001"/>
    <b v="1"/>
    <n v="-1163.4000000000001"/>
    <x v="0"/>
    <s v="Assets"/>
    <s v="Cash alike"/>
    <x v="1"/>
    <x v="1"/>
    <x v="0"/>
    <x v="0"/>
    <x v="11"/>
    <x v="1"/>
    <x v="0"/>
    <x v="0"/>
  </r>
  <r>
    <x v="423"/>
    <x v="1"/>
    <s v="Brand"/>
    <x v="48"/>
    <x v="11"/>
    <s v="Bank"/>
    <x v="15"/>
    <n v="-7874.41"/>
    <b v="1"/>
    <n v="-7874.41"/>
    <x v="0"/>
    <s v="Assets"/>
    <s v="Cash alike"/>
    <x v="1"/>
    <x v="1"/>
    <x v="0"/>
    <x v="0"/>
    <x v="11"/>
    <x v="3"/>
    <x v="0"/>
    <x v="0"/>
  </r>
  <r>
    <x v="424"/>
    <x v="1"/>
    <s v="MY"/>
    <x v="35"/>
    <x v="11"/>
    <s v="Bank"/>
    <x v="15"/>
    <n v="-2851.8"/>
    <b v="1"/>
    <n v="-2851.8"/>
    <x v="0"/>
    <s v="Assets"/>
    <s v="Cash alike"/>
    <x v="2"/>
    <x v="1"/>
    <x v="0"/>
    <x v="0"/>
    <x v="11"/>
    <x v="4"/>
    <x v="0"/>
    <x v="0"/>
  </r>
  <r>
    <x v="425"/>
    <x v="1"/>
    <s v="MY"/>
    <x v="45"/>
    <x v="11"/>
    <s v="Bank"/>
    <x v="15"/>
    <n v="-300"/>
    <b v="1"/>
    <n v="-300"/>
    <x v="0"/>
    <s v="Assets"/>
    <s v="Cash alike"/>
    <x v="2"/>
    <x v="1"/>
    <x v="0"/>
    <x v="0"/>
    <x v="11"/>
    <x v="4"/>
    <x v="0"/>
    <x v="0"/>
  </r>
  <r>
    <x v="426"/>
    <x v="1"/>
    <s v="MY"/>
    <x v="27"/>
    <x v="11"/>
    <s v="Bank"/>
    <x v="15"/>
    <n v="53"/>
    <b v="1"/>
    <n v="53"/>
    <x v="0"/>
    <s v="Assets"/>
    <s v="Cash alike"/>
    <x v="2"/>
    <x v="1"/>
    <x v="0"/>
    <x v="0"/>
    <x v="11"/>
    <x v="4"/>
    <x v="0"/>
    <x v="0"/>
  </r>
  <r>
    <x v="427"/>
    <x v="1"/>
    <s v="GM"/>
    <x v="30"/>
    <x v="11"/>
    <s v="Bank"/>
    <x v="15"/>
    <n v="-283.74"/>
    <b v="1"/>
    <n v="-283.74"/>
    <x v="0"/>
    <s v="Assets"/>
    <s v="Cash alike"/>
    <x v="1"/>
    <x v="1"/>
    <x v="0"/>
    <x v="0"/>
    <x v="11"/>
    <x v="1"/>
    <x v="0"/>
    <x v="0"/>
  </r>
  <r>
    <x v="428"/>
    <x v="1"/>
    <s v="MY"/>
    <x v="27"/>
    <x v="11"/>
    <s v="Bank"/>
    <x v="15"/>
    <n v="46.8"/>
    <b v="1"/>
    <n v="46.8"/>
    <x v="0"/>
    <s v="Assets"/>
    <s v="Cash alike"/>
    <x v="2"/>
    <x v="1"/>
    <x v="0"/>
    <x v="0"/>
    <x v="11"/>
    <x v="4"/>
    <x v="0"/>
    <x v="0"/>
  </r>
  <r>
    <x v="429"/>
    <x v="1"/>
    <s v="MY"/>
    <x v="36"/>
    <x v="11"/>
    <s v="Bank"/>
    <x v="15"/>
    <n v="-75.900000000000006"/>
    <b v="1"/>
    <n v="-75.900000000000006"/>
    <x v="0"/>
    <s v="Assets"/>
    <s v="Cash alike"/>
    <x v="2"/>
    <x v="1"/>
    <x v="0"/>
    <x v="0"/>
    <x v="11"/>
    <x v="4"/>
    <x v="0"/>
    <x v="0"/>
  </r>
  <r>
    <x v="430"/>
    <x v="1"/>
    <s v="MY"/>
    <x v="58"/>
    <x v="10"/>
    <s v="Bank"/>
    <x v="13"/>
    <n v="-1413"/>
    <b v="1"/>
    <n v="-1413"/>
    <x v="0"/>
    <s v="Assets"/>
    <s v="Cash alike"/>
    <x v="3"/>
    <x v="1"/>
    <x v="0"/>
    <x v="0"/>
    <x v="10"/>
    <x v="4"/>
    <x v="0"/>
    <x v="0"/>
  </r>
  <r>
    <x v="430"/>
    <x v="1"/>
    <s v="MY"/>
    <x v="58"/>
    <x v="7"/>
    <s v="AR"/>
    <x v="69"/>
    <n v="1413"/>
    <b v="1"/>
    <n v="1413"/>
    <x v="0"/>
    <s v="Assets"/>
    <s v="Rec-Pay"/>
    <x v="3"/>
    <x v="1"/>
    <x v="1"/>
    <x v="2"/>
    <x v="7"/>
    <x v="4"/>
    <x v="0"/>
    <x v="0"/>
  </r>
  <r>
    <x v="431"/>
    <x v="1"/>
    <s v="MY"/>
    <x v="23"/>
    <x v="10"/>
    <s v="Bank"/>
    <x v="13"/>
    <n v="500"/>
    <b v="1"/>
    <n v="500"/>
    <x v="0"/>
    <s v="Assets"/>
    <s v="Cash alike"/>
    <x v="3"/>
    <x v="1"/>
    <x v="0"/>
    <x v="0"/>
    <x v="10"/>
    <x v="4"/>
    <x v="0"/>
    <x v="0"/>
  </r>
  <r>
    <x v="432"/>
    <x v="1"/>
    <s v="MY"/>
    <x v="35"/>
    <x v="10"/>
    <s v="Bank"/>
    <x v="13"/>
    <n v="-96"/>
    <b v="1"/>
    <n v="-96"/>
    <x v="0"/>
    <s v="Assets"/>
    <s v="Cash alike"/>
    <x v="2"/>
    <x v="1"/>
    <x v="0"/>
    <x v="0"/>
    <x v="10"/>
    <x v="4"/>
    <x v="0"/>
    <x v="0"/>
  </r>
  <r>
    <x v="433"/>
    <x v="1"/>
    <s v="MY"/>
    <x v="18"/>
    <x v="10"/>
    <s v="Bank"/>
    <x v="13"/>
    <n v="-200"/>
    <b v="1"/>
    <n v="-200"/>
    <x v="0"/>
    <s v="Assets"/>
    <s v="Cash alike"/>
    <x v="1"/>
    <x v="1"/>
    <x v="0"/>
    <x v="0"/>
    <x v="10"/>
    <x v="4"/>
    <x v="0"/>
    <x v="0"/>
  </r>
  <r>
    <x v="434"/>
    <x v="1"/>
    <s v="MY"/>
    <x v="33"/>
    <x v="10"/>
    <s v="Bank"/>
    <x v="13"/>
    <n v="1105"/>
    <b v="1"/>
    <n v="1105"/>
    <x v="0"/>
    <s v="Assets"/>
    <s v="Cash alike"/>
    <x v="3"/>
    <x v="1"/>
    <x v="0"/>
    <x v="0"/>
    <x v="10"/>
    <x v="4"/>
    <x v="0"/>
    <x v="0"/>
  </r>
  <r>
    <x v="434"/>
    <x v="1"/>
    <s v="MY"/>
    <x v="33"/>
    <x v="7"/>
    <s v="AR"/>
    <x v="31"/>
    <n v="-1105"/>
    <b v="1"/>
    <n v="-1105"/>
    <x v="0"/>
    <s v="Assets"/>
    <s v="Rec-Pay"/>
    <x v="3"/>
    <x v="1"/>
    <x v="1"/>
    <x v="2"/>
    <x v="7"/>
    <x v="4"/>
    <x v="0"/>
    <x v="0"/>
  </r>
  <r>
    <x v="435"/>
    <x v="1"/>
    <s v="MY"/>
    <x v="33"/>
    <x v="10"/>
    <s v="Bank"/>
    <x v="13"/>
    <n v="4000"/>
    <b v="1"/>
    <n v="4000"/>
    <x v="0"/>
    <s v="Assets"/>
    <s v="Cash alike"/>
    <x v="3"/>
    <x v="1"/>
    <x v="0"/>
    <x v="0"/>
    <x v="10"/>
    <x v="4"/>
    <x v="0"/>
    <x v="0"/>
  </r>
  <r>
    <x v="435"/>
    <x v="1"/>
    <s v="MY"/>
    <x v="33"/>
    <x v="7"/>
    <s v="AR"/>
    <x v="69"/>
    <n v="-4000"/>
    <b v="1"/>
    <n v="-4000"/>
    <x v="0"/>
    <s v="Assets"/>
    <s v="Rec-Pay"/>
    <x v="3"/>
    <x v="1"/>
    <x v="1"/>
    <x v="2"/>
    <x v="7"/>
    <x v="4"/>
    <x v="0"/>
    <x v="0"/>
  </r>
  <r>
    <x v="436"/>
    <x v="1"/>
    <s v="MY"/>
    <x v="33"/>
    <x v="10"/>
    <s v="Bank"/>
    <x v="13"/>
    <n v="2465"/>
    <b v="1"/>
    <n v="2465"/>
    <x v="0"/>
    <s v="Assets"/>
    <s v="Cash alike"/>
    <x v="3"/>
    <x v="1"/>
    <x v="0"/>
    <x v="0"/>
    <x v="10"/>
    <x v="4"/>
    <x v="0"/>
    <x v="0"/>
  </r>
  <r>
    <x v="436"/>
    <x v="1"/>
    <s v="MY"/>
    <x v="33"/>
    <x v="7"/>
    <s v="AR"/>
    <x v="31"/>
    <n v="-2465"/>
    <b v="1"/>
    <n v="-2465"/>
    <x v="0"/>
    <s v="Assets"/>
    <s v="Rec-Pay"/>
    <x v="3"/>
    <x v="1"/>
    <x v="1"/>
    <x v="2"/>
    <x v="7"/>
    <x v="4"/>
    <x v="0"/>
    <x v="0"/>
  </r>
  <r>
    <x v="437"/>
    <x v="1"/>
    <s v="MY"/>
    <x v="58"/>
    <x v="10"/>
    <s v="Bank"/>
    <x v="13"/>
    <n v="-14820"/>
    <b v="1"/>
    <n v="-14820"/>
    <x v="0"/>
    <s v="Assets"/>
    <s v="Cash alike"/>
    <x v="3"/>
    <x v="1"/>
    <x v="0"/>
    <x v="0"/>
    <x v="10"/>
    <x v="4"/>
    <x v="0"/>
    <x v="0"/>
  </r>
  <r>
    <x v="437"/>
    <x v="1"/>
    <s v="MY"/>
    <x v="58"/>
    <x v="7"/>
    <s v="AR"/>
    <x v="70"/>
    <n v="14820"/>
    <b v="1"/>
    <n v="14820"/>
    <x v="0"/>
    <s v="Assets"/>
    <s v="Rec-Pay"/>
    <x v="3"/>
    <x v="1"/>
    <x v="1"/>
    <x v="2"/>
    <x v="7"/>
    <x v="4"/>
    <x v="0"/>
    <x v="0"/>
  </r>
  <r>
    <x v="438"/>
    <x v="1"/>
    <s v="MY"/>
    <x v="58"/>
    <x v="10"/>
    <s v="Bank"/>
    <x v="13"/>
    <n v="-500"/>
    <b v="1"/>
    <n v="-500"/>
    <x v="0"/>
    <s v="Assets"/>
    <s v="Cash alike"/>
    <x v="3"/>
    <x v="1"/>
    <x v="0"/>
    <x v="0"/>
    <x v="10"/>
    <x v="4"/>
    <x v="0"/>
    <x v="0"/>
  </r>
  <r>
    <x v="438"/>
    <x v="1"/>
    <s v="MY"/>
    <x v="58"/>
    <x v="7"/>
    <s v="AR"/>
    <x v="71"/>
    <n v="500"/>
    <b v="1"/>
    <n v="500"/>
    <x v="0"/>
    <s v="Assets"/>
    <s v="Rec-Pay"/>
    <x v="3"/>
    <x v="1"/>
    <x v="1"/>
    <x v="2"/>
    <x v="7"/>
    <x v="4"/>
    <x v="0"/>
    <x v="0"/>
  </r>
  <r>
    <x v="439"/>
    <x v="1"/>
    <s v="MY"/>
    <x v="58"/>
    <x v="10"/>
    <s v="Bank"/>
    <x v="13"/>
    <n v="-200"/>
    <b v="1"/>
    <n v="-200"/>
    <x v="0"/>
    <s v="Assets"/>
    <s v="Cash alike"/>
    <x v="3"/>
    <x v="1"/>
    <x v="0"/>
    <x v="0"/>
    <x v="10"/>
    <x v="4"/>
    <x v="0"/>
    <x v="0"/>
  </r>
  <r>
    <x v="439"/>
    <x v="1"/>
    <s v="MY"/>
    <x v="58"/>
    <x v="7"/>
    <s v="AR"/>
    <x v="71"/>
    <n v="200"/>
    <b v="1"/>
    <n v="200"/>
    <x v="0"/>
    <s v="Assets"/>
    <s v="Rec-Pay"/>
    <x v="3"/>
    <x v="1"/>
    <x v="1"/>
    <x v="2"/>
    <x v="7"/>
    <x v="4"/>
    <x v="0"/>
    <x v="0"/>
  </r>
  <r>
    <x v="440"/>
    <x v="1"/>
    <s v="GM"/>
    <x v="8"/>
    <x v="10"/>
    <s v="Bank"/>
    <x v="13"/>
    <n v="-7162"/>
    <b v="1"/>
    <n v="-7162"/>
    <x v="0"/>
    <s v="Assets"/>
    <s v="Cash alike"/>
    <x v="1"/>
    <x v="1"/>
    <x v="0"/>
    <x v="0"/>
    <x v="10"/>
    <x v="1"/>
    <x v="0"/>
    <x v="0"/>
  </r>
  <r>
    <x v="440"/>
    <x v="1"/>
    <s v="GM"/>
    <x v="8"/>
    <x v="7"/>
    <s v="ToEmp"/>
    <x v="52"/>
    <n v="-7162"/>
    <b v="1"/>
    <n v="7162"/>
    <x v="1"/>
    <s v="Liability"/>
    <s v="Rec-Pay"/>
    <x v="1"/>
    <x v="1"/>
    <x v="1"/>
    <x v="12"/>
    <x v="7"/>
    <x v="1"/>
    <x v="0"/>
    <x v="0"/>
  </r>
  <r>
    <x v="441"/>
    <x v="1"/>
    <s v="MY"/>
    <x v="33"/>
    <x v="10"/>
    <s v="Bank"/>
    <x v="13"/>
    <n v="758"/>
    <b v="1"/>
    <n v="758"/>
    <x v="0"/>
    <s v="Assets"/>
    <s v="Cash alike"/>
    <x v="3"/>
    <x v="1"/>
    <x v="0"/>
    <x v="0"/>
    <x v="10"/>
    <x v="4"/>
    <x v="0"/>
    <x v="0"/>
  </r>
  <r>
    <x v="441"/>
    <x v="1"/>
    <s v="MY"/>
    <x v="33"/>
    <x v="7"/>
    <s v="AR"/>
    <x v="29"/>
    <n v="-758"/>
    <b v="1"/>
    <n v="-758"/>
    <x v="0"/>
    <s v="Assets"/>
    <s v="Rec-Pay"/>
    <x v="3"/>
    <x v="1"/>
    <x v="1"/>
    <x v="2"/>
    <x v="7"/>
    <x v="4"/>
    <x v="0"/>
    <x v="0"/>
  </r>
  <r>
    <x v="442"/>
    <x v="1"/>
    <s v="MY"/>
    <x v="36"/>
    <x v="10"/>
    <s v="Bank"/>
    <x v="13"/>
    <n v="-44.1"/>
    <b v="1"/>
    <n v="-44.1"/>
    <x v="0"/>
    <s v="Assets"/>
    <s v="Cash alike"/>
    <x v="2"/>
    <x v="1"/>
    <x v="0"/>
    <x v="0"/>
    <x v="10"/>
    <x v="4"/>
    <x v="0"/>
    <x v="0"/>
  </r>
  <r>
    <x v="443"/>
    <x v="1"/>
    <s v="MY"/>
    <x v="36"/>
    <x v="10"/>
    <s v="Bank"/>
    <x v="13"/>
    <n v="-340"/>
    <b v="1"/>
    <n v="-340"/>
    <x v="0"/>
    <s v="Assets"/>
    <s v="Cash alike"/>
    <x v="2"/>
    <x v="1"/>
    <x v="0"/>
    <x v="0"/>
    <x v="10"/>
    <x v="4"/>
    <x v="0"/>
    <x v="0"/>
  </r>
  <r>
    <x v="444"/>
    <x v="1"/>
    <s v="MY"/>
    <x v="33"/>
    <x v="10"/>
    <s v="Bank"/>
    <x v="13"/>
    <n v="5000"/>
    <b v="1"/>
    <n v="5000"/>
    <x v="0"/>
    <s v="Assets"/>
    <s v="Cash alike"/>
    <x v="3"/>
    <x v="1"/>
    <x v="0"/>
    <x v="0"/>
    <x v="10"/>
    <x v="4"/>
    <x v="0"/>
    <x v="0"/>
  </r>
  <r>
    <x v="444"/>
    <x v="1"/>
    <s v="MY"/>
    <x v="33"/>
    <x v="7"/>
    <s v="AR"/>
    <x v="71"/>
    <n v="-5000"/>
    <b v="1"/>
    <n v="-5000"/>
    <x v="0"/>
    <s v="Assets"/>
    <s v="Rec-Pay"/>
    <x v="3"/>
    <x v="1"/>
    <x v="1"/>
    <x v="2"/>
    <x v="7"/>
    <x v="4"/>
    <x v="0"/>
    <x v="0"/>
  </r>
  <r>
    <x v="445"/>
    <x v="1"/>
    <s v="MY"/>
    <x v="33"/>
    <x v="10"/>
    <s v="Bank"/>
    <x v="13"/>
    <n v="1000"/>
    <b v="1"/>
    <n v="1000"/>
    <x v="0"/>
    <s v="Assets"/>
    <s v="Cash alike"/>
    <x v="3"/>
    <x v="1"/>
    <x v="0"/>
    <x v="0"/>
    <x v="10"/>
    <x v="4"/>
    <x v="0"/>
    <x v="0"/>
  </r>
  <r>
    <x v="445"/>
    <x v="1"/>
    <s v="MY"/>
    <x v="33"/>
    <x v="7"/>
    <s v="AR"/>
    <x v="71"/>
    <n v="-1000"/>
    <b v="1"/>
    <n v="-1000"/>
    <x v="0"/>
    <s v="Assets"/>
    <s v="Rec-Pay"/>
    <x v="3"/>
    <x v="1"/>
    <x v="1"/>
    <x v="2"/>
    <x v="7"/>
    <x v="4"/>
    <x v="0"/>
    <x v="0"/>
  </r>
  <r>
    <x v="446"/>
    <x v="1"/>
    <s v="MY"/>
    <x v="58"/>
    <x v="10"/>
    <s v="Bank"/>
    <x v="13"/>
    <n v="-5000"/>
    <b v="1"/>
    <n v="-5000"/>
    <x v="0"/>
    <s v="Assets"/>
    <s v="Cash alike"/>
    <x v="3"/>
    <x v="1"/>
    <x v="0"/>
    <x v="0"/>
    <x v="10"/>
    <x v="4"/>
    <x v="0"/>
    <x v="0"/>
  </r>
  <r>
    <x v="446"/>
    <x v="1"/>
    <s v="MY"/>
    <x v="58"/>
    <x v="7"/>
    <s v="AR"/>
    <x v="71"/>
    <n v="5000"/>
    <b v="1"/>
    <n v="5000"/>
    <x v="0"/>
    <s v="Assets"/>
    <s v="Rec-Pay"/>
    <x v="3"/>
    <x v="1"/>
    <x v="1"/>
    <x v="2"/>
    <x v="7"/>
    <x v="4"/>
    <x v="0"/>
    <x v="0"/>
  </r>
  <r>
    <x v="447"/>
    <x v="1"/>
    <s v="MY"/>
    <x v="33"/>
    <x v="10"/>
    <s v="Bank"/>
    <x v="13"/>
    <n v="1000"/>
    <b v="1"/>
    <n v="1000"/>
    <x v="0"/>
    <s v="Assets"/>
    <s v="Cash alike"/>
    <x v="3"/>
    <x v="1"/>
    <x v="0"/>
    <x v="0"/>
    <x v="10"/>
    <x v="4"/>
    <x v="0"/>
    <x v="0"/>
  </r>
  <r>
    <x v="447"/>
    <x v="1"/>
    <s v="MY"/>
    <x v="33"/>
    <x v="7"/>
    <s v="AR"/>
    <x v="71"/>
    <n v="-1000"/>
    <b v="1"/>
    <n v="-1000"/>
    <x v="0"/>
    <s v="Assets"/>
    <s v="Rec-Pay"/>
    <x v="3"/>
    <x v="1"/>
    <x v="1"/>
    <x v="2"/>
    <x v="7"/>
    <x v="4"/>
    <x v="0"/>
    <x v="0"/>
  </r>
  <r>
    <x v="448"/>
    <x v="1"/>
    <s v="MY"/>
    <x v="33"/>
    <x v="10"/>
    <s v="Bank"/>
    <x v="13"/>
    <n v="484"/>
    <b v="1"/>
    <n v="484"/>
    <x v="0"/>
    <s v="Assets"/>
    <s v="Cash alike"/>
    <x v="3"/>
    <x v="1"/>
    <x v="0"/>
    <x v="0"/>
    <x v="10"/>
    <x v="4"/>
    <x v="0"/>
    <x v="0"/>
  </r>
  <r>
    <x v="448"/>
    <x v="1"/>
    <s v="MY"/>
    <x v="33"/>
    <x v="7"/>
    <s v="AR"/>
    <x v="69"/>
    <n v="-484"/>
    <b v="1"/>
    <n v="-484"/>
    <x v="0"/>
    <s v="Assets"/>
    <s v="Rec-Pay"/>
    <x v="3"/>
    <x v="1"/>
    <x v="1"/>
    <x v="2"/>
    <x v="7"/>
    <x v="4"/>
    <x v="0"/>
    <x v="0"/>
  </r>
  <r>
    <x v="449"/>
    <x v="1"/>
    <s v="MY"/>
    <x v="33"/>
    <x v="10"/>
    <s v="Bank"/>
    <x v="13"/>
    <n v="3600"/>
    <b v="1"/>
    <n v="3600"/>
    <x v="0"/>
    <s v="Assets"/>
    <s v="Cash alike"/>
    <x v="3"/>
    <x v="1"/>
    <x v="0"/>
    <x v="0"/>
    <x v="10"/>
    <x v="4"/>
    <x v="0"/>
    <x v="0"/>
  </r>
  <r>
    <x v="449"/>
    <x v="1"/>
    <s v="MY"/>
    <x v="33"/>
    <x v="7"/>
    <s v="AR"/>
    <x v="26"/>
    <n v="-3600"/>
    <b v="1"/>
    <n v="-3600"/>
    <x v="0"/>
    <s v="Assets"/>
    <s v="Rec-Pay"/>
    <x v="3"/>
    <x v="1"/>
    <x v="1"/>
    <x v="2"/>
    <x v="7"/>
    <x v="4"/>
    <x v="0"/>
    <x v="0"/>
  </r>
  <r>
    <x v="450"/>
    <x v="1"/>
    <s v="MY"/>
    <x v="35"/>
    <x v="10"/>
    <s v="Bank"/>
    <x v="13"/>
    <n v="-159"/>
    <b v="1"/>
    <n v="-159"/>
    <x v="0"/>
    <s v="Assets"/>
    <s v="Cash alike"/>
    <x v="2"/>
    <x v="1"/>
    <x v="0"/>
    <x v="0"/>
    <x v="10"/>
    <x v="4"/>
    <x v="0"/>
    <x v="0"/>
  </r>
  <r>
    <x v="451"/>
    <x v="1"/>
    <s v="MY"/>
    <x v="18"/>
    <x v="10"/>
    <s v="Bank"/>
    <x v="13"/>
    <n v="-2027"/>
    <b v="1"/>
    <n v="-2027"/>
    <x v="0"/>
    <s v="Assets"/>
    <s v="Cash alike"/>
    <x v="1"/>
    <x v="1"/>
    <x v="0"/>
    <x v="0"/>
    <x v="10"/>
    <x v="4"/>
    <x v="0"/>
    <x v="0"/>
  </r>
  <r>
    <x v="452"/>
    <x v="1"/>
    <s v="MY"/>
    <x v="58"/>
    <x v="10"/>
    <s v="Bank"/>
    <x v="13"/>
    <n v="-900"/>
    <b v="1"/>
    <n v="-900"/>
    <x v="0"/>
    <s v="Assets"/>
    <s v="Cash alike"/>
    <x v="3"/>
    <x v="1"/>
    <x v="0"/>
    <x v="0"/>
    <x v="10"/>
    <x v="4"/>
    <x v="0"/>
    <x v="0"/>
  </r>
  <r>
    <x v="452"/>
    <x v="1"/>
    <s v="MY"/>
    <x v="58"/>
    <x v="7"/>
    <s v="AR"/>
    <x v="69"/>
    <n v="900"/>
    <b v="1"/>
    <n v="900"/>
    <x v="0"/>
    <s v="Assets"/>
    <s v="Rec-Pay"/>
    <x v="3"/>
    <x v="1"/>
    <x v="1"/>
    <x v="2"/>
    <x v="7"/>
    <x v="4"/>
    <x v="0"/>
    <x v="0"/>
  </r>
  <r>
    <x v="453"/>
    <x v="1"/>
    <s v="MY"/>
    <x v="45"/>
    <x v="10"/>
    <s v="Bank"/>
    <x v="13"/>
    <n v="-164"/>
    <b v="1"/>
    <n v="-164"/>
    <x v="0"/>
    <s v="Assets"/>
    <s v="Cash alike"/>
    <x v="2"/>
    <x v="1"/>
    <x v="0"/>
    <x v="0"/>
    <x v="10"/>
    <x v="4"/>
    <x v="0"/>
    <x v="0"/>
  </r>
  <r>
    <x v="454"/>
    <x v="1"/>
    <s v="MY"/>
    <x v="58"/>
    <x v="10"/>
    <s v="Bank"/>
    <x v="13"/>
    <n v="-278"/>
    <b v="1"/>
    <n v="-278"/>
    <x v="0"/>
    <s v="Assets"/>
    <s v="Cash alike"/>
    <x v="3"/>
    <x v="1"/>
    <x v="0"/>
    <x v="0"/>
    <x v="10"/>
    <x v="4"/>
    <x v="0"/>
    <x v="0"/>
  </r>
  <r>
    <x v="454"/>
    <x v="1"/>
    <s v="MY"/>
    <x v="58"/>
    <x v="7"/>
    <s v="AR"/>
    <x v="29"/>
    <n v="278"/>
    <b v="1"/>
    <n v="278"/>
    <x v="0"/>
    <s v="Assets"/>
    <s v="Rec-Pay"/>
    <x v="3"/>
    <x v="1"/>
    <x v="1"/>
    <x v="2"/>
    <x v="7"/>
    <x v="4"/>
    <x v="0"/>
    <x v="0"/>
  </r>
  <r>
    <x v="455"/>
    <x v="1"/>
    <s v="GM"/>
    <x v="17"/>
    <x v="10"/>
    <s v="Bank"/>
    <x v="13"/>
    <n v="-400"/>
    <b v="1"/>
    <n v="-400"/>
    <x v="0"/>
    <s v="Assets"/>
    <s v="Cash alike"/>
    <x v="1"/>
    <x v="1"/>
    <x v="0"/>
    <x v="0"/>
    <x v="10"/>
    <x v="1"/>
    <x v="0"/>
    <x v="0"/>
  </r>
  <r>
    <x v="456"/>
    <x v="1"/>
    <s v="MY"/>
    <x v="33"/>
    <x v="10"/>
    <s v="Bank"/>
    <x v="13"/>
    <n v="5000"/>
    <b v="1"/>
    <n v="5000"/>
    <x v="0"/>
    <s v="Assets"/>
    <s v="Cash alike"/>
    <x v="3"/>
    <x v="1"/>
    <x v="0"/>
    <x v="0"/>
    <x v="10"/>
    <x v="4"/>
    <x v="0"/>
    <x v="0"/>
  </r>
  <r>
    <x v="456"/>
    <x v="1"/>
    <s v="MY"/>
    <x v="33"/>
    <x v="7"/>
    <s v="AR"/>
    <x v="71"/>
    <n v="-5000"/>
    <b v="1"/>
    <n v="-5000"/>
    <x v="0"/>
    <s v="Assets"/>
    <s v="Rec-Pay"/>
    <x v="3"/>
    <x v="1"/>
    <x v="1"/>
    <x v="2"/>
    <x v="7"/>
    <x v="4"/>
    <x v="0"/>
    <x v="0"/>
  </r>
  <r>
    <x v="457"/>
    <x v="1"/>
    <s v="MY"/>
    <x v="35"/>
    <x v="10"/>
    <s v="Bank"/>
    <x v="13"/>
    <n v="-7110"/>
    <b v="1"/>
    <n v="-7110"/>
    <x v="0"/>
    <s v="Assets"/>
    <s v="Cash alike"/>
    <x v="2"/>
    <x v="1"/>
    <x v="0"/>
    <x v="0"/>
    <x v="10"/>
    <x v="4"/>
    <x v="0"/>
    <x v="0"/>
  </r>
  <r>
    <x v="458"/>
    <x v="1"/>
    <s v="MY"/>
    <x v="3"/>
    <x v="10"/>
    <s v="Bank"/>
    <x v="13"/>
    <n v="-453.9"/>
    <b v="1"/>
    <n v="-453.9"/>
    <x v="0"/>
    <s v="Assets"/>
    <s v="Cash alike"/>
    <x v="1"/>
    <x v="1"/>
    <x v="0"/>
    <x v="0"/>
    <x v="10"/>
    <x v="4"/>
    <x v="0"/>
    <x v="0"/>
  </r>
  <r>
    <x v="459"/>
    <x v="1"/>
    <s v="GM"/>
    <x v="17"/>
    <x v="10"/>
    <s v="Bank"/>
    <x v="13"/>
    <n v="400"/>
    <b v="1"/>
    <n v="400"/>
    <x v="0"/>
    <s v="Assets"/>
    <s v="Cash alike"/>
    <x v="1"/>
    <x v="1"/>
    <x v="0"/>
    <x v="0"/>
    <x v="10"/>
    <x v="1"/>
    <x v="0"/>
    <x v="0"/>
  </r>
  <r>
    <x v="460"/>
    <x v="1"/>
    <s v="MY"/>
    <x v="23"/>
    <x v="10"/>
    <s v="Bank"/>
    <x v="13"/>
    <n v="5"/>
    <b v="1"/>
    <n v="5"/>
    <x v="0"/>
    <s v="Assets"/>
    <s v="Cash alike"/>
    <x v="3"/>
    <x v="1"/>
    <x v="0"/>
    <x v="0"/>
    <x v="10"/>
    <x v="4"/>
    <x v="0"/>
    <x v="0"/>
  </r>
  <r>
    <x v="461"/>
    <x v="1"/>
    <s v="MY"/>
    <x v="3"/>
    <x v="10"/>
    <s v="Bank"/>
    <x v="13"/>
    <n v="-145.5"/>
    <b v="1"/>
    <n v="-145.5"/>
    <x v="0"/>
    <s v="Assets"/>
    <s v="Cash alike"/>
    <x v="1"/>
    <x v="1"/>
    <x v="0"/>
    <x v="0"/>
    <x v="10"/>
    <x v="4"/>
    <x v="0"/>
    <x v="0"/>
  </r>
  <r>
    <x v="462"/>
    <x v="1"/>
    <s v="MY"/>
    <x v="36"/>
    <x v="10"/>
    <s v="Bank"/>
    <x v="13"/>
    <n v="-90"/>
    <b v="1"/>
    <n v="-90"/>
    <x v="0"/>
    <s v="Assets"/>
    <s v="Cash alike"/>
    <x v="2"/>
    <x v="1"/>
    <x v="0"/>
    <x v="0"/>
    <x v="10"/>
    <x v="4"/>
    <x v="0"/>
    <x v="0"/>
  </r>
  <r>
    <x v="463"/>
    <x v="1"/>
    <s v="MY"/>
    <x v="33"/>
    <x v="10"/>
    <s v="Bank"/>
    <x v="13"/>
    <n v="3720"/>
    <b v="1"/>
    <n v="3720"/>
    <x v="0"/>
    <s v="Assets"/>
    <s v="Cash alike"/>
    <x v="3"/>
    <x v="1"/>
    <x v="0"/>
    <x v="0"/>
    <x v="10"/>
    <x v="4"/>
    <x v="0"/>
    <x v="0"/>
  </r>
  <r>
    <x v="463"/>
    <x v="1"/>
    <s v="MY"/>
    <x v="33"/>
    <x v="7"/>
    <s v="AR"/>
    <x v="29"/>
    <n v="-3720"/>
    <b v="1"/>
    <n v="-3720"/>
    <x v="0"/>
    <s v="Assets"/>
    <s v="Rec-Pay"/>
    <x v="3"/>
    <x v="1"/>
    <x v="1"/>
    <x v="2"/>
    <x v="7"/>
    <x v="4"/>
    <x v="0"/>
    <x v="0"/>
  </r>
  <r>
    <x v="464"/>
    <x v="1"/>
    <s v="MY"/>
    <x v="59"/>
    <x v="10"/>
    <s v="Bank"/>
    <x v="13"/>
    <n v="-2000"/>
    <b v="1"/>
    <n v="-2000"/>
    <x v="0"/>
    <s v="Assets"/>
    <s v="Cash alike"/>
    <x v="2"/>
    <x v="1"/>
    <x v="0"/>
    <x v="0"/>
    <x v="10"/>
    <x v="4"/>
    <x v="0"/>
    <x v="0"/>
  </r>
  <r>
    <x v="465"/>
    <x v="1"/>
    <s v="MY"/>
    <x v="36"/>
    <x v="10"/>
    <s v="Bank"/>
    <x v="13"/>
    <n v="-120"/>
    <b v="1"/>
    <n v="-120"/>
    <x v="0"/>
    <s v="Assets"/>
    <s v="Cash alike"/>
    <x v="2"/>
    <x v="1"/>
    <x v="0"/>
    <x v="0"/>
    <x v="10"/>
    <x v="4"/>
    <x v="0"/>
    <x v="0"/>
  </r>
  <r>
    <x v="466"/>
    <x v="1"/>
    <s v="MY"/>
    <x v="7"/>
    <x v="10"/>
    <s v="Bank"/>
    <x v="13"/>
    <n v="-100000"/>
    <b v="1"/>
    <n v="-100000"/>
    <x v="0"/>
    <s v="Assets"/>
    <s v="Cash alike"/>
    <x v="0"/>
    <x v="0"/>
    <x v="0"/>
    <x v="0"/>
    <x v="10"/>
    <x v="4"/>
    <x v="0"/>
    <x v="0"/>
  </r>
  <r>
    <x v="466"/>
    <x v="1"/>
    <s v="MY"/>
    <x v="7"/>
    <x v="9"/>
    <s v="Bank"/>
    <x v="12"/>
    <n v="100000"/>
    <b v="1"/>
    <n v="100000"/>
    <x v="0"/>
    <s v="Assets"/>
    <s v="Cash alike"/>
    <x v="0"/>
    <x v="0"/>
    <x v="0"/>
    <x v="0"/>
    <x v="9"/>
    <x v="4"/>
    <x v="0"/>
    <x v="0"/>
  </r>
  <r>
    <x v="467"/>
    <x v="1"/>
    <s v="GM"/>
    <x v="13"/>
    <x v="10"/>
    <s v="Bank"/>
    <x v="13"/>
    <n v="-100"/>
    <b v="1"/>
    <n v="-100"/>
    <x v="0"/>
    <s v="Assets"/>
    <s v="Cash alike"/>
    <x v="1"/>
    <x v="1"/>
    <x v="0"/>
    <x v="0"/>
    <x v="10"/>
    <x v="1"/>
    <x v="0"/>
    <x v="0"/>
  </r>
  <r>
    <x v="468"/>
    <x v="1"/>
    <s v="MY"/>
    <x v="33"/>
    <x v="10"/>
    <s v="Bank"/>
    <x v="13"/>
    <n v="162.4"/>
    <b v="1"/>
    <n v="162.4"/>
    <x v="0"/>
    <s v="Assets"/>
    <s v="Cash alike"/>
    <x v="3"/>
    <x v="1"/>
    <x v="0"/>
    <x v="0"/>
    <x v="10"/>
    <x v="4"/>
    <x v="0"/>
    <x v="0"/>
  </r>
  <r>
    <x v="468"/>
    <x v="1"/>
    <s v="MY"/>
    <x v="33"/>
    <x v="7"/>
    <s v="AR"/>
    <x v="31"/>
    <n v="-162.4"/>
    <b v="1"/>
    <n v="-162.4"/>
    <x v="0"/>
    <s v="Assets"/>
    <s v="Rec-Pay"/>
    <x v="3"/>
    <x v="1"/>
    <x v="1"/>
    <x v="2"/>
    <x v="7"/>
    <x v="4"/>
    <x v="0"/>
    <x v="0"/>
  </r>
  <r>
    <x v="469"/>
    <x v="1"/>
    <s v="MY"/>
    <x v="33"/>
    <x v="10"/>
    <s v="Bank"/>
    <x v="13"/>
    <n v="1000"/>
    <b v="1"/>
    <n v="1000"/>
    <x v="0"/>
    <s v="Assets"/>
    <s v="Cash alike"/>
    <x v="3"/>
    <x v="1"/>
    <x v="0"/>
    <x v="0"/>
    <x v="10"/>
    <x v="4"/>
    <x v="0"/>
    <x v="0"/>
  </r>
  <r>
    <x v="469"/>
    <x v="1"/>
    <s v="MY"/>
    <x v="33"/>
    <x v="7"/>
    <s v="AR"/>
    <x v="71"/>
    <n v="-1000"/>
    <b v="1"/>
    <n v="-1000"/>
    <x v="0"/>
    <s v="Assets"/>
    <s v="Rec-Pay"/>
    <x v="3"/>
    <x v="1"/>
    <x v="1"/>
    <x v="2"/>
    <x v="7"/>
    <x v="4"/>
    <x v="0"/>
    <x v="0"/>
  </r>
  <r>
    <x v="470"/>
    <x v="1"/>
    <s v="MY"/>
    <x v="33"/>
    <x v="10"/>
    <s v="Bank"/>
    <x v="13"/>
    <n v="409"/>
    <b v="1"/>
    <n v="409"/>
    <x v="0"/>
    <s v="Assets"/>
    <s v="Cash alike"/>
    <x v="3"/>
    <x v="1"/>
    <x v="0"/>
    <x v="0"/>
    <x v="10"/>
    <x v="4"/>
    <x v="0"/>
    <x v="0"/>
  </r>
  <r>
    <x v="470"/>
    <x v="1"/>
    <s v="MY"/>
    <x v="33"/>
    <x v="7"/>
    <s v="AR"/>
    <x v="29"/>
    <n v="-409"/>
    <b v="1"/>
    <n v="-409"/>
    <x v="0"/>
    <s v="Assets"/>
    <s v="Rec-Pay"/>
    <x v="3"/>
    <x v="1"/>
    <x v="1"/>
    <x v="2"/>
    <x v="7"/>
    <x v="4"/>
    <x v="0"/>
    <x v="0"/>
  </r>
  <r>
    <x v="471"/>
    <x v="1"/>
    <s v="MY"/>
    <x v="58"/>
    <x v="10"/>
    <s v="Bank"/>
    <x v="14"/>
    <n v="-1500"/>
    <b v="1"/>
    <n v="-1500"/>
    <x v="0"/>
    <s v="Assets"/>
    <s v="Cash alike"/>
    <x v="3"/>
    <x v="1"/>
    <x v="0"/>
    <x v="0"/>
    <x v="10"/>
    <x v="4"/>
    <x v="0"/>
    <x v="0"/>
  </r>
  <r>
    <x v="471"/>
    <x v="1"/>
    <s v="MY"/>
    <x v="58"/>
    <x v="7"/>
    <s v="AR"/>
    <x v="71"/>
    <n v="1500"/>
    <b v="1"/>
    <n v="1500"/>
    <x v="0"/>
    <s v="Assets"/>
    <s v="Rec-Pay"/>
    <x v="3"/>
    <x v="1"/>
    <x v="1"/>
    <x v="2"/>
    <x v="7"/>
    <x v="4"/>
    <x v="0"/>
    <x v="0"/>
  </r>
  <r>
    <x v="472"/>
    <x v="1"/>
    <s v="MY"/>
    <x v="58"/>
    <x v="10"/>
    <s v="Bank"/>
    <x v="14"/>
    <n v="-400"/>
    <b v="1"/>
    <n v="-400"/>
    <x v="0"/>
    <s v="Assets"/>
    <s v="Cash alike"/>
    <x v="3"/>
    <x v="1"/>
    <x v="0"/>
    <x v="0"/>
    <x v="10"/>
    <x v="4"/>
    <x v="0"/>
    <x v="0"/>
  </r>
  <r>
    <x v="472"/>
    <x v="1"/>
    <s v="MY"/>
    <x v="58"/>
    <x v="7"/>
    <s v="AR"/>
    <x v="71"/>
    <n v="400"/>
    <b v="1"/>
    <n v="400"/>
    <x v="0"/>
    <s v="Assets"/>
    <s v="Rec-Pay"/>
    <x v="3"/>
    <x v="1"/>
    <x v="1"/>
    <x v="2"/>
    <x v="7"/>
    <x v="4"/>
    <x v="0"/>
    <x v="0"/>
  </r>
  <r>
    <x v="473"/>
    <x v="1"/>
    <s v="MY"/>
    <x v="60"/>
    <x v="10"/>
    <s v="Bank"/>
    <x v="14"/>
    <n v="-275"/>
    <b v="1"/>
    <n v="-275"/>
    <x v="0"/>
    <s v="Assets"/>
    <s v="Cash alike"/>
    <x v="0"/>
    <x v="0"/>
    <x v="0"/>
    <x v="0"/>
    <x v="10"/>
    <x v="4"/>
    <x v="0"/>
    <x v="0"/>
  </r>
  <r>
    <x v="474"/>
    <x v="1"/>
    <s v="MY"/>
    <x v="58"/>
    <x v="10"/>
    <s v="Bank"/>
    <x v="14"/>
    <n v="-129.04"/>
    <b v="1"/>
    <n v="-129.04"/>
    <x v="0"/>
    <s v="Assets"/>
    <s v="Cash alike"/>
    <x v="3"/>
    <x v="1"/>
    <x v="0"/>
    <x v="0"/>
    <x v="10"/>
    <x v="4"/>
    <x v="0"/>
    <x v="0"/>
  </r>
  <r>
    <x v="474"/>
    <x v="1"/>
    <s v="MY"/>
    <x v="58"/>
    <x v="7"/>
    <s v="AR"/>
    <x v="69"/>
    <n v="129.04"/>
    <b v="1"/>
    <n v="129.04"/>
    <x v="0"/>
    <s v="Assets"/>
    <s v="Rec-Pay"/>
    <x v="3"/>
    <x v="1"/>
    <x v="1"/>
    <x v="2"/>
    <x v="7"/>
    <x v="4"/>
    <x v="0"/>
    <x v="0"/>
  </r>
  <r>
    <x v="475"/>
    <x v="1"/>
    <s v="MY"/>
    <x v="33"/>
    <x v="7"/>
    <s v="AR"/>
    <x v="71"/>
    <n v="-200"/>
    <b v="1"/>
    <n v="-200"/>
    <x v="0"/>
    <s v="Assets"/>
    <s v="Rec-Pay"/>
    <x v="3"/>
    <x v="1"/>
    <x v="1"/>
    <x v="2"/>
    <x v="7"/>
    <x v="4"/>
    <x v="0"/>
    <x v="0"/>
  </r>
  <r>
    <x v="475"/>
    <x v="1"/>
    <s v="MY"/>
    <x v="33"/>
    <x v="10"/>
    <s v="Bank"/>
    <x v="14"/>
    <n v="200"/>
    <b v="1"/>
    <n v="200"/>
    <x v="0"/>
    <s v="Assets"/>
    <s v="Cash alike"/>
    <x v="3"/>
    <x v="1"/>
    <x v="0"/>
    <x v="0"/>
    <x v="10"/>
    <x v="4"/>
    <x v="0"/>
    <x v="0"/>
  </r>
  <r>
    <x v="476"/>
    <x v="1"/>
    <s v="MY"/>
    <x v="33"/>
    <x v="7"/>
    <s v="MemShip"/>
    <x v="57"/>
    <n v="980"/>
    <b v="1"/>
    <n v="-980"/>
    <x v="1"/>
    <s v="Liability"/>
    <s v="Cash alike"/>
    <x v="3"/>
    <x v="1"/>
    <x v="0"/>
    <x v="14"/>
    <x v="7"/>
    <x v="4"/>
    <x v="0"/>
    <x v="0"/>
  </r>
  <r>
    <x v="476"/>
    <x v="1"/>
    <s v="MY"/>
    <x v="33"/>
    <x v="10"/>
    <s v="Bank"/>
    <x v="14"/>
    <n v="980"/>
    <b v="1"/>
    <n v="980"/>
    <x v="0"/>
    <s v="Assets"/>
    <s v="Cash alike"/>
    <x v="3"/>
    <x v="1"/>
    <x v="0"/>
    <x v="0"/>
    <x v="10"/>
    <x v="4"/>
    <x v="0"/>
    <x v="0"/>
  </r>
  <r>
    <x v="477"/>
    <x v="1"/>
    <s v="MY"/>
    <x v="33"/>
    <x v="7"/>
    <s v="Bank"/>
    <x v="10"/>
    <n v="22937"/>
    <b v="1"/>
    <n v="22937"/>
    <x v="0"/>
    <s v="Assets"/>
    <s v="Cash alike"/>
    <x v="3"/>
    <x v="1"/>
    <x v="0"/>
    <x v="0"/>
    <x v="7"/>
    <x v="4"/>
    <x v="0"/>
    <x v="0"/>
  </r>
  <r>
    <x v="477"/>
    <x v="1"/>
    <s v="MY"/>
    <x v="33"/>
    <x v="7"/>
    <s v="AR"/>
    <x v="30"/>
    <n v="-22937"/>
    <b v="1"/>
    <n v="-22937"/>
    <x v="0"/>
    <s v="Assets"/>
    <s v="Rec-Pay"/>
    <x v="3"/>
    <x v="1"/>
    <x v="1"/>
    <x v="2"/>
    <x v="7"/>
    <x v="4"/>
    <x v="0"/>
    <x v="0"/>
  </r>
  <r>
    <x v="478"/>
    <x v="1"/>
    <s v="Online"/>
    <x v="10"/>
    <x v="7"/>
    <s v="Bank"/>
    <x v="10"/>
    <n v="13458.45"/>
    <b v="1"/>
    <n v="13458.45"/>
    <x v="0"/>
    <s v="Assets"/>
    <s v="Cash alike"/>
    <x v="3"/>
    <x v="1"/>
    <x v="0"/>
    <x v="0"/>
    <x v="7"/>
    <x v="2"/>
    <x v="0"/>
    <x v="0"/>
  </r>
  <r>
    <x v="479"/>
    <x v="1"/>
    <s v="MY"/>
    <x v="23"/>
    <x v="9"/>
    <s v="Bank"/>
    <x v="12"/>
    <n v="14.9"/>
    <b v="1"/>
    <n v="14.9"/>
    <x v="0"/>
    <s v="Assets"/>
    <s v="Cash alike"/>
    <x v="3"/>
    <x v="1"/>
    <x v="0"/>
    <x v="0"/>
    <x v="9"/>
    <x v="4"/>
    <x v="0"/>
    <x v="0"/>
  </r>
  <r>
    <x v="480"/>
    <x v="1"/>
    <s v="GM"/>
    <x v="6"/>
    <x v="8"/>
    <s v="Bank"/>
    <x v="11"/>
    <n v="-274.27999999999997"/>
    <b v="1"/>
    <n v="-274.27999999999997"/>
    <x v="0"/>
    <s v="Assets"/>
    <s v="Cash alike"/>
    <x v="1"/>
    <x v="1"/>
    <x v="0"/>
    <x v="0"/>
    <x v="8"/>
    <x v="1"/>
    <x v="0"/>
    <x v="0"/>
  </r>
  <r>
    <x v="481"/>
    <x v="1"/>
    <s v="MY"/>
    <x v="28"/>
    <x v="9"/>
    <s v="Bank"/>
    <x v="12"/>
    <n v="-25204.7"/>
    <b v="1"/>
    <n v="-25204.7"/>
    <x v="0"/>
    <s v="Assets"/>
    <s v="Cash alike"/>
    <x v="0"/>
    <x v="0"/>
    <x v="0"/>
    <x v="0"/>
    <x v="9"/>
    <x v="4"/>
    <x v="0"/>
    <x v="0"/>
  </r>
  <r>
    <x v="481"/>
    <x v="1"/>
    <s v="MY"/>
    <x v="28"/>
    <x v="7"/>
    <s v="AP"/>
    <x v="59"/>
    <n v="-25204.7"/>
    <b v="1"/>
    <n v="25204.7"/>
    <x v="1"/>
    <s v="Liability"/>
    <s v="Rec-Pay"/>
    <x v="0"/>
    <x v="0"/>
    <x v="1"/>
    <x v="10"/>
    <x v="7"/>
    <x v="4"/>
    <x v="0"/>
    <x v="0"/>
  </r>
  <r>
    <x v="482"/>
    <x v="1"/>
    <s v="MY"/>
    <x v="10"/>
    <x v="7"/>
    <s v="AR"/>
    <x v="25"/>
    <n v="49931.55"/>
    <b v="1"/>
    <n v="49931.55"/>
    <x v="0"/>
    <s v="Assets"/>
    <s v="Rec-Pay"/>
    <x v="3"/>
    <x v="1"/>
    <x v="1"/>
    <x v="2"/>
    <x v="7"/>
    <x v="4"/>
    <x v="0"/>
    <x v="0"/>
  </r>
  <r>
    <x v="483"/>
    <x v="1"/>
    <s v="MY"/>
    <x v="55"/>
    <x v="7"/>
    <s v="AR"/>
    <x v="28"/>
    <n v="9205.5"/>
    <b v="1"/>
    <n v="9205.5"/>
    <x v="0"/>
    <s v="Assets"/>
    <s v="Rec-Pay"/>
    <x v="3"/>
    <x v="1"/>
    <x v="1"/>
    <x v="2"/>
    <x v="7"/>
    <x v="4"/>
    <x v="0"/>
    <x v="0"/>
  </r>
  <r>
    <x v="483"/>
    <x v="1"/>
    <s v="MY"/>
    <x v="55"/>
    <x v="7"/>
    <s v="AR"/>
    <x v="27"/>
    <n v="20245.97"/>
    <b v="1"/>
    <n v="20245.97"/>
    <x v="0"/>
    <s v="Assets"/>
    <s v="Rec-Pay"/>
    <x v="3"/>
    <x v="1"/>
    <x v="1"/>
    <x v="2"/>
    <x v="7"/>
    <x v="4"/>
    <x v="0"/>
    <x v="0"/>
  </r>
  <r>
    <x v="483"/>
    <x v="1"/>
    <s v="MY"/>
    <x v="55"/>
    <x v="7"/>
    <s v="AR"/>
    <x v="69"/>
    <n v="11013.77"/>
    <b v="1"/>
    <n v="11013.77"/>
    <x v="0"/>
    <s v="Assets"/>
    <s v="Rec-Pay"/>
    <x v="3"/>
    <x v="1"/>
    <x v="1"/>
    <x v="2"/>
    <x v="7"/>
    <x v="4"/>
    <x v="0"/>
    <x v="0"/>
  </r>
  <r>
    <x v="484"/>
    <x v="1"/>
    <s v="MY"/>
    <x v="40"/>
    <x v="7"/>
    <s v="AR"/>
    <x v="26"/>
    <n v="8300"/>
    <b v="1"/>
    <n v="8300"/>
    <x v="0"/>
    <s v="Assets"/>
    <s v="Rec-Pay"/>
    <x v="3"/>
    <x v="1"/>
    <x v="1"/>
    <x v="2"/>
    <x v="7"/>
    <x v="4"/>
    <x v="0"/>
    <x v="0"/>
  </r>
  <r>
    <x v="484"/>
    <x v="1"/>
    <s v="MY"/>
    <x v="40"/>
    <x v="7"/>
    <s v="AR"/>
    <x v="27"/>
    <n v="32476.36"/>
    <b v="1"/>
    <n v="32476.36"/>
    <x v="0"/>
    <s v="Assets"/>
    <s v="Rec-Pay"/>
    <x v="3"/>
    <x v="1"/>
    <x v="1"/>
    <x v="2"/>
    <x v="7"/>
    <x v="4"/>
    <x v="0"/>
    <x v="0"/>
  </r>
  <r>
    <x v="484"/>
    <x v="1"/>
    <s v="MY"/>
    <x v="40"/>
    <x v="7"/>
    <s v="MemShip"/>
    <x v="57"/>
    <n v="-5055"/>
    <b v="1"/>
    <n v="5055"/>
    <x v="1"/>
    <s v="Liability"/>
    <s v="Cash alike"/>
    <x v="3"/>
    <x v="1"/>
    <x v="0"/>
    <x v="14"/>
    <x v="7"/>
    <x v="4"/>
    <x v="0"/>
    <x v="0"/>
  </r>
  <r>
    <x v="485"/>
    <x v="1"/>
    <s v="MY"/>
    <x v="61"/>
    <x v="7"/>
    <s v="AR"/>
    <x v="72"/>
    <n v="34014.42"/>
    <b v="1"/>
    <n v="34014.42"/>
    <x v="0"/>
    <s v="Assets"/>
    <s v="Rec-Pay"/>
    <x v="3"/>
    <x v="1"/>
    <x v="1"/>
    <x v="2"/>
    <x v="7"/>
    <x v="4"/>
    <x v="0"/>
    <x v="0"/>
  </r>
  <r>
    <x v="486"/>
    <x v="1"/>
    <s v="Ctrl"/>
    <x v="1"/>
    <x v="7"/>
    <s v="AR"/>
    <x v="30"/>
    <n v="-0.1"/>
    <b v="1"/>
    <n v="-0.1"/>
    <x v="0"/>
    <s v="Assets"/>
    <s v="Rec-Pay"/>
    <x v="0"/>
    <x v="0"/>
    <x v="1"/>
    <x v="2"/>
    <x v="7"/>
    <x v="0"/>
    <x v="0"/>
    <x v="0"/>
  </r>
  <r>
    <x v="487"/>
    <x v="1"/>
    <s v="MY"/>
    <x v="61"/>
    <x v="7"/>
    <s v="AR"/>
    <x v="30"/>
    <n v="4014.4"/>
    <b v="1"/>
    <n v="4014.4"/>
    <x v="0"/>
    <s v="Assets"/>
    <s v="Rec-Pay"/>
    <x v="3"/>
    <x v="1"/>
    <x v="1"/>
    <x v="2"/>
    <x v="7"/>
    <x v="4"/>
    <x v="0"/>
    <x v="0"/>
  </r>
  <r>
    <x v="488"/>
    <x v="1"/>
    <s v="MY"/>
    <x v="55"/>
    <x v="7"/>
    <s v="AR"/>
    <x v="70"/>
    <n v="25984.6"/>
    <b v="1"/>
    <n v="25984.6"/>
    <x v="0"/>
    <s v="Assets"/>
    <s v="Rec-Pay"/>
    <x v="3"/>
    <x v="1"/>
    <x v="1"/>
    <x v="2"/>
    <x v="7"/>
    <x v="4"/>
    <x v="0"/>
    <x v="0"/>
  </r>
  <r>
    <x v="489"/>
    <x v="1"/>
    <s v="MY"/>
    <x v="40"/>
    <x v="7"/>
    <s v="AR"/>
    <x v="70"/>
    <n v="31249"/>
    <b v="1"/>
    <n v="31249"/>
    <x v="0"/>
    <s v="Assets"/>
    <s v="Rec-Pay"/>
    <x v="3"/>
    <x v="1"/>
    <x v="1"/>
    <x v="2"/>
    <x v="7"/>
    <x v="4"/>
    <x v="0"/>
    <x v="0"/>
  </r>
  <r>
    <x v="490"/>
    <x v="1"/>
    <s v="MY"/>
    <x v="61"/>
    <x v="7"/>
    <s v="AR"/>
    <x v="70"/>
    <n v="5533.4"/>
    <b v="1"/>
    <n v="5533.4"/>
    <x v="0"/>
    <s v="Assets"/>
    <s v="Rec-Pay"/>
    <x v="3"/>
    <x v="1"/>
    <x v="1"/>
    <x v="2"/>
    <x v="7"/>
    <x v="4"/>
    <x v="0"/>
    <x v="0"/>
  </r>
  <r>
    <x v="491"/>
    <x v="1"/>
    <s v="MY"/>
    <x v="61"/>
    <x v="7"/>
    <s v="AR"/>
    <x v="29"/>
    <n v="14532.1"/>
    <b v="1"/>
    <n v="14532.1"/>
    <x v="0"/>
    <s v="Assets"/>
    <s v="Rec-Pay"/>
    <x v="3"/>
    <x v="1"/>
    <x v="1"/>
    <x v="2"/>
    <x v="7"/>
    <x v="4"/>
    <x v="0"/>
    <x v="0"/>
  </r>
  <r>
    <x v="492"/>
    <x v="1"/>
    <s v="GM"/>
    <x v="14"/>
    <x v="7"/>
    <s v="ToEmp"/>
    <x v="52"/>
    <n v="26142"/>
    <b v="1"/>
    <n v="-26142"/>
    <x v="1"/>
    <s v="Liability"/>
    <s v="Rec-Pay"/>
    <x v="1"/>
    <x v="1"/>
    <x v="1"/>
    <x v="12"/>
    <x v="7"/>
    <x v="1"/>
    <x v="0"/>
    <x v="0"/>
  </r>
  <r>
    <x v="493"/>
    <x v="1"/>
    <s v="MY"/>
    <x v="14"/>
    <x v="7"/>
    <s v="ToEmp"/>
    <x v="52"/>
    <n v="82029.430000000008"/>
    <b v="1"/>
    <n v="-82029.430000000008"/>
    <x v="1"/>
    <s v="Liability"/>
    <s v="Rec-Pay"/>
    <x v="1"/>
    <x v="1"/>
    <x v="1"/>
    <x v="12"/>
    <x v="7"/>
    <x v="4"/>
    <x v="0"/>
    <x v="0"/>
  </r>
  <r>
    <x v="493"/>
    <x v="1"/>
    <s v="MY"/>
    <x v="14"/>
    <x v="7"/>
    <s v="ToTax"/>
    <x v="54"/>
    <n v="224.7"/>
    <b v="1"/>
    <n v="-224.7"/>
    <x v="1"/>
    <s v="Liability"/>
    <s v="Rec-Pay"/>
    <x v="1"/>
    <x v="1"/>
    <x v="1"/>
    <x v="11"/>
    <x v="7"/>
    <x v="4"/>
    <x v="0"/>
    <x v="0"/>
  </r>
  <r>
    <x v="493"/>
    <x v="1"/>
    <s v="MY"/>
    <x v="14"/>
    <x v="7"/>
    <s v="ToOther"/>
    <x v="73"/>
    <n v="10020.15"/>
    <b v="1"/>
    <n v="-10020.15"/>
    <x v="1"/>
    <s v="Liability"/>
    <s v="Rec-Pay"/>
    <x v="1"/>
    <x v="1"/>
    <x v="1"/>
    <x v="13"/>
    <x v="7"/>
    <x v="4"/>
    <x v="0"/>
    <x v="0"/>
  </r>
  <r>
    <x v="494"/>
    <x v="1"/>
    <s v="GM"/>
    <x v="15"/>
    <x v="7"/>
    <s v="ToEmp"/>
    <x v="68"/>
    <n v="99375"/>
    <b v="1"/>
    <n v="-99375"/>
    <x v="1"/>
    <s v="Liability"/>
    <s v="Rec-Pay"/>
    <x v="4"/>
    <x v="0"/>
    <x v="1"/>
    <x v="12"/>
    <x v="7"/>
    <x v="1"/>
    <x v="0"/>
    <x v="0"/>
  </r>
  <r>
    <x v="495"/>
    <x v="1"/>
    <s v="MY"/>
    <x v="58"/>
    <x v="10"/>
    <s v="Bank"/>
    <x v="14"/>
    <n v="-20"/>
    <b v="1"/>
    <n v="-20"/>
    <x v="0"/>
    <s v="Assets"/>
    <s v="Cash alike"/>
    <x v="3"/>
    <x v="1"/>
    <x v="0"/>
    <x v="0"/>
    <x v="10"/>
    <x v="4"/>
    <x v="0"/>
    <x v="0"/>
  </r>
  <r>
    <x v="495"/>
    <x v="1"/>
    <s v="MY"/>
    <x v="58"/>
    <x v="7"/>
    <s v="AR"/>
    <x v="31"/>
    <n v="20"/>
    <b v="1"/>
    <n v="20"/>
    <x v="0"/>
    <s v="Assets"/>
    <s v="Rec-Pay"/>
    <x v="3"/>
    <x v="1"/>
    <x v="1"/>
    <x v="2"/>
    <x v="7"/>
    <x v="4"/>
    <x v="0"/>
    <x v="0"/>
  </r>
  <r>
    <x v="496"/>
    <x v="1"/>
    <s v="MY"/>
    <x v="28"/>
    <x v="7"/>
    <s v="AP"/>
    <x v="59"/>
    <n v="-2975"/>
    <b v="1"/>
    <n v="2975"/>
    <x v="1"/>
    <s v="Liability"/>
    <s v="Rec-Pay"/>
    <x v="0"/>
    <x v="0"/>
    <x v="1"/>
    <x v="10"/>
    <x v="7"/>
    <x v="4"/>
    <x v="0"/>
    <x v="0"/>
  </r>
  <r>
    <x v="496"/>
    <x v="1"/>
    <s v="MY"/>
    <x v="28"/>
    <x v="1"/>
    <s v="AR"/>
    <x v="33"/>
    <n v="-2975"/>
    <b v="1"/>
    <n v="-2975"/>
    <x v="0"/>
    <s v="Assets"/>
    <s v="Rec-Pay"/>
    <x v="0"/>
    <x v="0"/>
    <x v="1"/>
    <x v="2"/>
    <x v="1"/>
    <x v="4"/>
    <x v="0"/>
    <x v="0"/>
  </r>
  <r>
    <x v="497"/>
    <x v="1"/>
    <s v="Brand"/>
    <x v="46"/>
    <x v="7"/>
    <s v="Property"/>
    <x v="41"/>
    <n v="-102296.66725490197"/>
    <b v="1"/>
    <n v="-102296.66725490197"/>
    <x v="0"/>
    <s v="Assets"/>
    <s v="PP&amp;E"/>
    <x v="1"/>
    <x v="1"/>
    <x v="4"/>
    <x v="8"/>
    <x v="7"/>
    <x v="3"/>
    <x v="0"/>
    <x v="0"/>
  </r>
  <r>
    <x v="498"/>
    <x v="1"/>
    <s v="GM"/>
    <x v="15"/>
    <x v="0"/>
    <s v="ToEmp"/>
    <x v="68"/>
    <n v="449869.55000000005"/>
    <b v="1"/>
    <n v="-449869.55000000005"/>
    <x v="1"/>
    <s v="Liability"/>
    <s v="Rec-Pay"/>
    <x v="4"/>
    <x v="0"/>
    <x v="1"/>
    <x v="12"/>
    <x v="0"/>
    <x v="1"/>
    <x v="0"/>
    <x v="0"/>
  </r>
  <r>
    <x v="499"/>
    <x v="1"/>
    <s v="Online"/>
    <x v="62"/>
    <x v="0"/>
    <s v="Curr"/>
    <x v="38"/>
    <n v="0"/>
    <b v="1"/>
    <n v="0"/>
    <x v="0"/>
    <s v="Assets"/>
    <s v="Invtr"/>
    <x v="5"/>
    <x v="0"/>
    <x v="3"/>
    <x v="7"/>
    <x v="0"/>
    <x v="2"/>
    <x v="0"/>
    <x v="0"/>
  </r>
  <r>
    <x v="500"/>
    <x v="2"/>
    <s v="Online"/>
    <x v="42"/>
    <x v="1"/>
    <s v="Bank"/>
    <x v="1"/>
    <n v="-10000"/>
    <b v="1"/>
    <n v="-10000"/>
    <x v="0"/>
    <s v="Assets"/>
    <s v="Cash alike"/>
    <x v="1"/>
    <x v="1"/>
    <x v="0"/>
    <x v="0"/>
    <x v="1"/>
    <x v="2"/>
    <x v="0"/>
    <x v="1"/>
  </r>
  <r>
    <x v="501"/>
    <x v="2"/>
    <s v="Online"/>
    <x v="10"/>
    <x v="1"/>
    <s v="Bank"/>
    <x v="1"/>
    <n v="17164.3"/>
    <b v="1"/>
    <n v="17164.3"/>
    <x v="0"/>
    <s v="Assets"/>
    <s v="Cash alike"/>
    <x v="3"/>
    <x v="1"/>
    <x v="0"/>
    <x v="0"/>
    <x v="1"/>
    <x v="2"/>
    <x v="0"/>
    <x v="1"/>
  </r>
  <r>
    <x v="502"/>
    <x v="2"/>
    <s v="Brand"/>
    <x v="24"/>
    <x v="1"/>
    <s v="Bank"/>
    <x v="1"/>
    <n v="44900"/>
    <b v="1"/>
    <n v="44900"/>
    <x v="0"/>
    <s v="Assets"/>
    <s v="Cash alike"/>
    <x v="4"/>
    <x v="0"/>
    <x v="0"/>
    <x v="0"/>
    <x v="1"/>
    <x v="3"/>
    <x v="0"/>
    <x v="1"/>
  </r>
  <r>
    <x v="503"/>
    <x v="2"/>
    <s v="Online"/>
    <x v="23"/>
    <x v="1"/>
    <s v="Bank"/>
    <x v="1"/>
    <n v="8"/>
    <b v="1"/>
    <n v="8"/>
    <x v="0"/>
    <s v="Assets"/>
    <s v="Cash alike"/>
    <x v="3"/>
    <x v="1"/>
    <x v="0"/>
    <x v="0"/>
    <x v="1"/>
    <x v="2"/>
    <x v="0"/>
    <x v="1"/>
  </r>
  <r>
    <x v="504"/>
    <x v="2"/>
    <s v="GM"/>
    <x v="63"/>
    <x v="1"/>
    <s v="Bank"/>
    <x v="1"/>
    <n v="-100000.01"/>
    <b v="1"/>
    <n v="-100000.01"/>
    <x v="0"/>
    <s v="Assets"/>
    <s v="Cash alike"/>
    <x v="4"/>
    <x v="0"/>
    <x v="0"/>
    <x v="0"/>
    <x v="1"/>
    <x v="1"/>
    <x v="0"/>
    <x v="1"/>
  </r>
  <r>
    <x v="505"/>
    <x v="2"/>
    <s v="Ctrl"/>
    <x v="7"/>
    <x v="1"/>
    <s v="Bank"/>
    <x v="1"/>
    <n v="100000"/>
    <b v="1"/>
    <n v="100000"/>
    <x v="0"/>
    <s v="Assets"/>
    <s v="Cash alike"/>
    <x v="0"/>
    <x v="0"/>
    <x v="0"/>
    <x v="0"/>
    <x v="1"/>
    <x v="0"/>
    <x v="0"/>
    <x v="1"/>
  </r>
  <r>
    <x v="505"/>
    <x v="2"/>
    <s v="Ctrl"/>
    <x v="7"/>
    <x v="0"/>
    <s v="Bank"/>
    <x v="0"/>
    <n v="-100000"/>
    <b v="1"/>
    <n v="-100000"/>
    <x v="0"/>
    <s v="Assets"/>
    <s v="Cash alike"/>
    <x v="0"/>
    <x v="0"/>
    <x v="0"/>
    <x v="0"/>
    <x v="0"/>
    <x v="0"/>
    <x v="0"/>
    <x v="1"/>
  </r>
  <r>
    <x v="506"/>
    <x v="2"/>
    <s v="Ctrl"/>
    <x v="7"/>
    <x v="1"/>
    <s v="Bank"/>
    <x v="1"/>
    <n v="500000"/>
    <b v="1"/>
    <n v="500000"/>
    <x v="0"/>
    <s v="Assets"/>
    <s v="Cash alike"/>
    <x v="0"/>
    <x v="0"/>
    <x v="0"/>
    <x v="0"/>
    <x v="1"/>
    <x v="0"/>
    <x v="0"/>
    <x v="1"/>
  </r>
  <r>
    <x v="506"/>
    <x v="2"/>
    <s v="Ctrl"/>
    <x v="7"/>
    <x v="4"/>
    <s v="Bank"/>
    <x v="4"/>
    <n v="-500000"/>
    <b v="1"/>
    <n v="-500000"/>
    <x v="0"/>
    <s v="Assets"/>
    <s v="Cash alike"/>
    <x v="0"/>
    <x v="0"/>
    <x v="0"/>
    <x v="0"/>
    <x v="4"/>
    <x v="0"/>
    <x v="0"/>
    <x v="1"/>
  </r>
  <r>
    <x v="507"/>
    <x v="2"/>
    <s v="Online"/>
    <x v="23"/>
    <x v="1"/>
    <s v="Bank"/>
    <x v="1"/>
    <n v="69"/>
    <b v="1"/>
    <n v="69"/>
    <x v="0"/>
    <s v="Assets"/>
    <s v="Cash alike"/>
    <x v="3"/>
    <x v="1"/>
    <x v="0"/>
    <x v="0"/>
    <x v="1"/>
    <x v="2"/>
    <x v="0"/>
    <x v="1"/>
  </r>
  <r>
    <x v="508"/>
    <x v="2"/>
    <s v="Online"/>
    <x v="10"/>
    <x v="1"/>
    <s v="Bank"/>
    <x v="1"/>
    <n v="800"/>
    <b v="1"/>
    <n v="800"/>
    <x v="0"/>
    <s v="Assets"/>
    <s v="Cash alike"/>
    <x v="3"/>
    <x v="1"/>
    <x v="0"/>
    <x v="0"/>
    <x v="1"/>
    <x v="2"/>
    <x v="0"/>
    <x v="1"/>
  </r>
  <r>
    <x v="509"/>
    <x v="2"/>
    <s v="Online"/>
    <x v="28"/>
    <x v="1"/>
    <s v="AR"/>
    <x v="33"/>
    <n v="4265"/>
    <b v="1"/>
    <n v="4265"/>
    <x v="0"/>
    <s v="Assets"/>
    <s v="Rec-Pay"/>
    <x v="0"/>
    <x v="0"/>
    <x v="1"/>
    <x v="2"/>
    <x v="1"/>
    <x v="2"/>
    <x v="0"/>
    <x v="1"/>
  </r>
  <r>
    <x v="509"/>
    <x v="2"/>
    <s v="Online"/>
    <x v="28"/>
    <x v="1"/>
    <s v="Bank"/>
    <x v="1"/>
    <n v="-4265"/>
    <b v="1"/>
    <n v="-4265"/>
    <x v="0"/>
    <s v="Assets"/>
    <s v="Cash alike"/>
    <x v="0"/>
    <x v="0"/>
    <x v="0"/>
    <x v="0"/>
    <x v="1"/>
    <x v="2"/>
    <x v="0"/>
    <x v="1"/>
  </r>
  <r>
    <x v="510"/>
    <x v="2"/>
    <s v="GM"/>
    <x v="22"/>
    <x v="1"/>
    <s v="Bank"/>
    <x v="1"/>
    <n v="-1800000"/>
    <b v="1"/>
    <n v="-1800000"/>
    <x v="0"/>
    <s v="Assets"/>
    <s v="Cash alike"/>
    <x v="0"/>
    <x v="0"/>
    <x v="0"/>
    <x v="0"/>
    <x v="1"/>
    <x v="1"/>
    <x v="0"/>
    <x v="1"/>
  </r>
  <r>
    <x v="510"/>
    <x v="2"/>
    <s v="GM"/>
    <x v="22"/>
    <x v="4"/>
    <s v="RE"/>
    <x v="62"/>
    <n v="-1800000"/>
    <b v="1"/>
    <n v="1800000"/>
    <x v="1"/>
    <s v="Equity"/>
    <s v="Rsv"/>
    <x v="0"/>
    <x v="0"/>
    <x v="7"/>
    <x v="17"/>
    <x v="4"/>
    <x v="1"/>
    <x v="0"/>
    <x v="1"/>
  </r>
  <r>
    <x v="511"/>
    <x v="2"/>
    <s v="Ctrl"/>
    <x v="7"/>
    <x v="1"/>
    <s v="Bank"/>
    <x v="1"/>
    <n v="7724.34"/>
    <b v="1"/>
    <n v="7724.34"/>
    <x v="0"/>
    <s v="Assets"/>
    <s v="Cash alike"/>
    <x v="0"/>
    <x v="0"/>
    <x v="0"/>
    <x v="0"/>
    <x v="1"/>
    <x v="0"/>
    <x v="0"/>
    <x v="1"/>
  </r>
  <r>
    <x v="511"/>
    <x v="2"/>
    <s v="Ctrl"/>
    <x v="7"/>
    <x v="2"/>
    <s v="Bank"/>
    <x v="2"/>
    <n v="-1826.87"/>
    <b v="1"/>
    <n v="-1826.87"/>
    <x v="0"/>
    <s v="Assets"/>
    <s v="Cash alike"/>
    <x v="0"/>
    <x v="0"/>
    <x v="0"/>
    <x v="0"/>
    <x v="2"/>
    <x v="0"/>
    <x v="0"/>
    <x v="1"/>
  </r>
  <r>
    <x v="511"/>
    <x v="2"/>
    <s v="Ctrl"/>
    <x v="7"/>
    <x v="3"/>
    <s v="Bank"/>
    <x v="3"/>
    <n v="-5897.47"/>
    <b v="1"/>
    <n v="-5897.47"/>
    <x v="0"/>
    <s v="Assets"/>
    <s v="Cash alike"/>
    <x v="0"/>
    <x v="0"/>
    <x v="0"/>
    <x v="0"/>
    <x v="3"/>
    <x v="0"/>
    <x v="0"/>
    <x v="1"/>
  </r>
  <r>
    <x v="512"/>
    <x v="2"/>
    <s v="Ctrl"/>
    <x v="7"/>
    <x v="1"/>
    <s v="Bank"/>
    <x v="1"/>
    <n v="50000"/>
    <b v="1"/>
    <n v="50000"/>
    <x v="0"/>
    <s v="Assets"/>
    <s v="Cash alike"/>
    <x v="0"/>
    <x v="0"/>
    <x v="0"/>
    <x v="0"/>
    <x v="1"/>
    <x v="0"/>
    <x v="0"/>
    <x v="1"/>
  </r>
  <r>
    <x v="512"/>
    <x v="2"/>
    <s v="Ctrl"/>
    <x v="7"/>
    <x v="3"/>
    <s v="Bank"/>
    <x v="3"/>
    <n v="-50000"/>
    <b v="1"/>
    <n v="-50000"/>
    <x v="0"/>
    <s v="Assets"/>
    <s v="Cash alike"/>
    <x v="0"/>
    <x v="0"/>
    <x v="0"/>
    <x v="0"/>
    <x v="3"/>
    <x v="0"/>
    <x v="0"/>
    <x v="1"/>
  </r>
  <r>
    <x v="513"/>
    <x v="2"/>
    <s v="Ctrl"/>
    <x v="26"/>
    <x v="1"/>
    <s v="Bank"/>
    <x v="1"/>
    <n v="-3000"/>
    <b v="1"/>
    <n v="-3000"/>
    <x v="0"/>
    <s v="Assets"/>
    <s v="Cash alike"/>
    <x v="1"/>
    <x v="1"/>
    <x v="0"/>
    <x v="0"/>
    <x v="1"/>
    <x v="0"/>
    <x v="0"/>
    <x v="1"/>
  </r>
  <r>
    <x v="514"/>
    <x v="2"/>
    <s v="GM"/>
    <x v="6"/>
    <x v="2"/>
    <s v="Bank"/>
    <x v="2"/>
    <n v="-4913.7299999999996"/>
    <b v="1"/>
    <n v="-4913.7299999999996"/>
    <x v="0"/>
    <s v="Assets"/>
    <s v="Cash alike"/>
    <x v="1"/>
    <x v="1"/>
    <x v="0"/>
    <x v="0"/>
    <x v="2"/>
    <x v="1"/>
    <x v="0"/>
    <x v="1"/>
  </r>
  <r>
    <x v="514"/>
    <x v="2"/>
    <s v="GM"/>
    <x v="6"/>
    <x v="2"/>
    <s v="FrOther"/>
    <x v="22"/>
    <n v="1431.45"/>
    <b v="1"/>
    <n v="1431.45"/>
    <x v="0"/>
    <s v="Assets"/>
    <s v="Rec-Pay"/>
    <x v="1"/>
    <x v="1"/>
    <x v="1"/>
    <x v="3"/>
    <x v="2"/>
    <x v="1"/>
    <x v="0"/>
    <x v="1"/>
  </r>
  <r>
    <x v="515"/>
    <x v="2"/>
    <s v="Online"/>
    <x v="4"/>
    <x v="2"/>
    <s v="Bank"/>
    <x v="2"/>
    <n v="-17250"/>
    <b v="1"/>
    <n v="-17250"/>
    <x v="0"/>
    <s v="Assets"/>
    <s v="Cash alike"/>
    <x v="2"/>
    <x v="1"/>
    <x v="0"/>
    <x v="0"/>
    <x v="2"/>
    <x v="2"/>
    <x v="0"/>
    <x v="1"/>
  </r>
  <r>
    <x v="515"/>
    <x v="2"/>
    <s v="Online"/>
    <x v="4"/>
    <x v="2"/>
    <s v="Order"/>
    <x v="35"/>
    <n v="17250"/>
    <b v="1"/>
    <n v="17250"/>
    <x v="0"/>
    <s v="Assets"/>
    <s v="Prep-Sub"/>
    <x v="2"/>
    <x v="1"/>
    <x v="2"/>
    <x v="6"/>
    <x v="2"/>
    <x v="2"/>
    <x v="0"/>
    <x v="1"/>
  </r>
  <r>
    <x v="516"/>
    <x v="2"/>
    <s v="Online"/>
    <x v="3"/>
    <x v="2"/>
    <s v="Bank"/>
    <x v="2"/>
    <n v="-21.74"/>
    <b v="1"/>
    <n v="-21.74"/>
    <x v="0"/>
    <s v="Assets"/>
    <s v="Cash alike"/>
    <x v="1"/>
    <x v="1"/>
    <x v="0"/>
    <x v="0"/>
    <x v="2"/>
    <x v="2"/>
    <x v="0"/>
    <x v="1"/>
  </r>
  <r>
    <x v="517"/>
    <x v="2"/>
    <s v="Online"/>
    <x v="30"/>
    <x v="2"/>
    <s v="Bank"/>
    <x v="2"/>
    <n v="-127.54"/>
    <b v="1"/>
    <n v="-127.54"/>
    <x v="0"/>
    <s v="Assets"/>
    <s v="Cash alike"/>
    <x v="1"/>
    <x v="1"/>
    <x v="0"/>
    <x v="0"/>
    <x v="2"/>
    <x v="2"/>
    <x v="0"/>
    <x v="1"/>
  </r>
  <r>
    <x v="518"/>
    <x v="2"/>
    <s v="Online"/>
    <x v="9"/>
    <x v="2"/>
    <s v="Bank"/>
    <x v="2"/>
    <n v="-1289.3800000000001"/>
    <b v="1"/>
    <n v="-1289.3800000000001"/>
    <x v="0"/>
    <s v="Assets"/>
    <s v="Cash alike"/>
    <x v="1"/>
    <x v="1"/>
    <x v="0"/>
    <x v="0"/>
    <x v="2"/>
    <x v="2"/>
    <x v="0"/>
    <x v="1"/>
  </r>
  <r>
    <x v="519"/>
    <x v="2"/>
    <s v="GM"/>
    <x v="30"/>
    <x v="2"/>
    <s v="Bank"/>
    <x v="2"/>
    <n v="-199.8"/>
    <b v="1"/>
    <n v="-199.8"/>
    <x v="0"/>
    <s v="Assets"/>
    <s v="Cash alike"/>
    <x v="1"/>
    <x v="1"/>
    <x v="0"/>
    <x v="0"/>
    <x v="2"/>
    <x v="1"/>
    <x v="0"/>
    <x v="1"/>
  </r>
  <r>
    <x v="520"/>
    <x v="2"/>
    <s v="GM"/>
    <x v="8"/>
    <x v="2"/>
    <s v="Bank"/>
    <x v="2"/>
    <n v="-15226.8"/>
    <b v="1"/>
    <n v="-15226.8"/>
    <x v="0"/>
    <s v="Assets"/>
    <s v="Cash alike"/>
    <x v="1"/>
    <x v="1"/>
    <x v="0"/>
    <x v="0"/>
    <x v="2"/>
    <x v="1"/>
    <x v="0"/>
    <x v="1"/>
  </r>
  <r>
    <x v="520"/>
    <x v="2"/>
    <s v="GM"/>
    <x v="8"/>
    <x v="2"/>
    <s v="FrOther"/>
    <x v="22"/>
    <n v="-1431.45"/>
    <b v="1"/>
    <n v="-1431.45"/>
    <x v="0"/>
    <s v="Assets"/>
    <s v="Rec-Pay"/>
    <x v="1"/>
    <x v="1"/>
    <x v="1"/>
    <x v="3"/>
    <x v="2"/>
    <x v="1"/>
    <x v="0"/>
    <x v="1"/>
  </r>
  <r>
    <x v="520"/>
    <x v="2"/>
    <s v="GM"/>
    <x v="8"/>
    <x v="2"/>
    <s v="ToTax"/>
    <x v="54"/>
    <n v="95.09"/>
    <b v="1"/>
    <n v="-95.09"/>
    <x v="1"/>
    <s v="Liability"/>
    <s v="Rec-Pay"/>
    <x v="1"/>
    <x v="1"/>
    <x v="1"/>
    <x v="11"/>
    <x v="2"/>
    <x v="1"/>
    <x v="0"/>
    <x v="1"/>
  </r>
  <r>
    <x v="520"/>
    <x v="2"/>
    <s v="GM"/>
    <x v="8"/>
    <x v="2"/>
    <s v="ToEmp"/>
    <x v="52"/>
    <n v="-16753.34"/>
    <b v="1"/>
    <n v="16753.34"/>
    <x v="1"/>
    <s v="Liability"/>
    <s v="Rec-Pay"/>
    <x v="1"/>
    <x v="1"/>
    <x v="1"/>
    <x v="12"/>
    <x v="2"/>
    <x v="1"/>
    <x v="0"/>
    <x v="1"/>
  </r>
  <r>
    <x v="521"/>
    <x v="2"/>
    <s v="GM"/>
    <x v="14"/>
    <x v="2"/>
    <s v="ToEmp"/>
    <x v="52"/>
    <n v="0.01"/>
    <b v="1"/>
    <n v="-0.01"/>
    <x v="1"/>
    <s v="Liability"/>
    <s v="Rec-Pay"/>
    <x v="1"/>
    <x v="1"/>
    <x v="1"/>
    <x v="12"/>
    <x v="2"/>
    <x v="1"/>
    <x v="0"/>
    <x v="1"/>
  </r>
  <r>
    <x v="522"/>
    <x v="2"/>
    <s v="Online"/>
    <x v="3"/>
    <x v="2"/>
    <s v="Bank"/>
    <x v="2"/>
    <n v="-104"/>
    <b v="1"/>
    <n v="-104"/>
    <x v="0"/>
    <s v="Assets"/>
    <s v="Cash alike"/>
    <x v="1"/>
    <x v="1"/>
    <x v="0"/>
    <x v="0"/>
    <x v="2"/>
    <x v="2"/>
    <x v="0"/>
    <x v="1"/>
  </r>
  <r>
    <x v="523"/>
    <x v="2"/>
    <s v="Online"/>
    <x v="5"/>
    <x v="0"/>
    <s v="Curr"/>
    <x v="38"/>
    <n v="25530"/>
    <b v="1"/>
    <n v="25530"/>
    <x v="0"/>
    <s v="Assets"/>
    <s v="Invtr"/>
    <x v="2"/>
    <x v="1"/>
    <x v="3"/>
    <x v="7"/>
    <x v="0"/>
    <x v="2"/>
    <x v="0"/>
    <x v="1"/>
  </r>
  <r>
    <x v="523"/>
    <x v="2"/>
    <s v="Online"/>
    <x v="5"/>
    <x v="2"/>
    <s v="Order"/>
    <x v="35"/>
    <n v="-25530"/>
    <b v="1"/>
    <n v="-25530"/>
    <x v="0"/>
    <s v="Assets"/>
    <s v="Prep-Sub"/>
    <x v="2"/>
    <x v="1"/>
    <x v="2"/>
    <x v="6"/>
    <x v="2"/>
    <x v="2"/>
    <x v="0"/>
    <x v="1"/>
  </r>
  <r>
    <x v="524"/>
    <x v="2"/>
    <s v="GM"/>
    <x v="8"/>
    <x v="2"/>
    <s v="ToEmp"/>
    <x v="68"/>
    <n v="-13975"/>
    <b v="1"/>
    <n v="13975"/>
    <x v="1"/>
    <s v="Liability"/>
    <s v="Rec-Pay"/>
    <x v="0"/>
    <x v="0"/>
    <x v="1"/>
    <x v="12"/>
    <x v="2"/>
    <x v="1"/>
    <x v="0"/>
    <x v="1"/>
  </r>
  <r>
    <x v="524"/>
    <x v="2"/>
    <s v="GM"/>
    <x v="8"/>
    <x v="2"/>
    <s v="Bank"/>
    <x v="2"/>
    <n v="-13555.75"/>
    <b v="1"/>
    <n v="-13555.75"/>
    <x v="0"/>
    <s v="Assets"/>
    <s v="Cash alike"/>
    <x v="0"/>
    <x v="0"/>
    <x v="0"/>
    <x v="0"/>
    <x v="2"/>
    <x v="1"/>
    <x v="0"/>
    <x v="1"/>
  </r>
  <r>
    <x v="524"/>
    <x v="2"/>
    <s v="GM"/>
    <x v="8"/>
    <x v="2"/>
    <s v="ToTax"/>
    <x v="54"/>
    <n v="419.25"/>
    <b v="1"/>
    <n v="-419.25"/>
    <x v="1"/>
    <s v="Liability"/>
    <s v="Rec-Pay"/>
    <x v="0"/>
    <x v="0"/>
    <x v="1"/>
    <x v="11"/>
    <x v="2"/>
    <x v="1"/>
    <x v="0"/>
    <x v="1"/>
  </r>
  <r>
    <x v="525"/>
    <x v="2"/>
    <s v="Online"/>
    <x v="10"/>
    <x v="2"/>
    <s v="Bank"/>
    <x v="2"/>
    <n v="2622"/>
    <b v="1"/>
    <n v="2622"/>
    <x v="0"/>
    <s v="Assets"/>
    <s v="Cash alike"/>
    <x v="3"/>
    <x v="1"/>
    <x v="0"/>
    <x v="0"/>
    <x v="2"/>
    <x v="2"/>
    <x v="0"/>
    <x v="1"/>
  </r>
  <r>
    <x v="526"/>
    <x v="2"/>
    <s v="Online"/>
    <x v="12"/>
    <x v="2"/>
    <s v="ToTax"/>
    <x v="47"/>
    <n v="25.96"/>
    <b v="1"/>
    <n v="-25.96"/>
    <x v="1"/>
    <s v="Liability"/>
    <s v="Rec-Pay"/>
    <x v="2"/>
    <x v="1"/>
    <x v="1"/>
    <x v="11"/>
    <x v="2"/>
    <x v="2"/>
    <x v="0"/>
    <x v="1"/>
  </r>
  <r>
    <x v="527"/>
    <x v="2"/>
    <s v="Online"/>
    <x v="10"/>
    <x v="2"/>
    <s v="Bank"/>
    <x v="2"/>
    <n v="11293.8"/>
    <b v="1"/>
    <n v="11293.8"/>
    <x v="0"/>
    <s v="Assets"/>
    <s v="Cash alike"/>
    <x v="3"/>
    <x v="1"/>
    <x v="0"/>
    <x v="0"/>
    <x v="2"/>
    <x v="2"/>
    <x v="0"/>
    <x v="1"/>
  </r>
  <r>
    <x v="528"/>
    <x v="2"/>
    <s v="Online"/>
    <x v="12"/>
    <x v="2"/>
    <s v="ToTax"/>
    <x v="47"/>
    <n v="111.82"/>
    <b v="1"/>
    <n v="-111.82"/>
    <x v="1"/>
    <s v="Liability"/>
    <s v="Rec-Pay"/>
    <x v="2"/>
    <x v="1"/>
    <x v="1"/>
    <x v="11"/>
    <x v="2"/>
    <x v="2"/>
    <x v="0"/>
    <x v="1"/>
  </r>
  <r>
    <x v="529"/>
    <x v="2"/>
    <s v="GM"/>
    <x v="8"/>
    <x v="2"/>
    <s v="Bank"/>
    <x v="2"/>
    <n v="-514.34"/>
    <b v="1"/>
    <n v="-514.34"/>
    <x v="0"/>
    <s v="Assets"/>
    <s v="Cash alike"/>
    <x v="1"/>
    <x v="1"/>
    <x v="0"/>
    <x v="0"/>
    <x v="2"/>
    <x v="1"/>
    <x v="0"/>
    <x v="1"/>
  </r>
  <r>
    <x v="529"/>
    <x v="2"/>
    <s v="GM"/>
    <x v="8"/>
    <x v="2"/>
    <s v="ToTax"/>
    <x v="54"/>
    <n v="-514.34"/>
    <b v="1"/>
    <n v="514.34"/>
    <x v="1"/>
    <s v="Liability"/>
    <s v="Rec-Pay"/>
    <x v="1"/>
    <x v="1"/>
    <x v="1"/>
    <x v="11"/>
    <x v="2"/>
    <x v="1"/>
    <x v="0"/>
    <x v="1"/>
  </r>
  <r>
    <x v="530"/>
    <x v="2"/>
    <s v="Ctrl"/>
    <x v="7"/>
    <x v="2"/>
    <s v="Bank"/>
    <x v="2"/>
    <n v="286631"/>
    <b v="1"/>
    <n v="286631"/>
    <x v="0"/>
    <s v="Assets"/>
    <s v="Cash alike"/>
    <x v="0"/>
    <x v="0"/>
    <x v="0"/>
    <x v="0"/>
    <x v="2"/>
    <x v="0"/>
    <x v="0"/>
    <x v="1"/>
  </r>
  <r>
    <x v="530"/>
    <x v="2"/>
    <s v="Ctrl"/>
    <x v="7"/>
    <x v="0"/>
    <s v="Bank"/>
    <x v="0"/>
    <n v="-286631"/>
    <b v="1"/>
    <n v="-286631"/>
    <x v="0"/>
    <s v="Assets"/>
    <s v="Cash alike"/>
    <x v="0"/>
    <x v="0"/>
    <x v="0"/>
    <x v="0"/>
    <x v="0"/>
    <x v="0"/>
    <x v="0"/>
    <x v="1"/>
  </r>
  <r>
    <x v="531"/>
    <x v="2"/>
    <s v="Online"/>
    <x v="12"/>
    <x v="2"/>
    <s v="ToTax"/>
    <x v="47"/>
    <n v="2837.93"/>
    <b v="1"/>
    <n v="-2837.93"/>
    <x v="1"/>
    <s v="Liability"/>
    <s v="Rec-Pay"/>
    <x v="2"/>
    <x v="1"/>
    <x v="1"/>
    <x v="11"/>
    <x v="2"/>
    <x v="2"/>
    <x v="0"/>
    <x v="1"/>
  </r>
  <r>
    <x v="532"/>
    <x v="2"/>
    <s v="GM"/>
    <x v="13"/>
    <x v="2"/>
    <s v="Bank"/>
    <x v="2"/>
    <n v="-30.5"/>
    <b v="1"/>
    <n v="-30.5"/>
    <x v="0"/>
    <s v="Assets"/>
    <s v="Cash alike"/>
    <x v="1"/>
    <x v="1"/>
    <x v="0"/>
    <x v="0"/>
    <x v="2"/>
    <x v="1"/>
    <x v="0"/>
    <x v="1"/>
  </r>
  <r>
    <x v="533"/>
    <x v="2"/>
    <s v="Online"/>
    <x v="14"/>
    <x v="2"/>
    <s v="ToEmp"/>
    <x v="52"/>
    <n v="7988"/>
    <b v="1"/>
    <n v="-7988"/>
    <x v="1"/>
    <s v="Liability"/>
    <s v="Rec-Pay"/>
    <x v="1"/>
    <x v="1"/>
    <x v="1"/>
    <x v="12"/>
    <x v="2"/>
    <x v="2"/>
    <x v="0"/>
    <x v="1"/>
  </r>
  <r>
    <x v="534"/>
    <x v="2"/>
    <s v="GM"/>
    <x v="14"/>
    <x v="2"/>
    <s v="ToEmp"/>
    <x v="52"/>
    <n v="9396.67"/>
    <b v="1"/>
    <n v="-9396.67"/>
    <x v="1"/>
    <s v="Liability"/>
    <s v="Rec-Pay"/>
    <x v="1"/>
    <x v="1"/>
    <x v="1"/>
    <x v="12"/>
    <x v="2"/>
    <x v="1"/>
    <x v="0"/>
    <x v="1"/>
  </r>
  <r>
    <x v="535"/>
    <x v="2"/>
    <s v="GM"/>
    <x v="6"/>
    <x v="3"/>
    <s v="Bank"/>
    <x v="3"/>
    <n v="-13121.63"/>
    <b v="1"/>
    <n v="-13121.63"/>
    <x v="0"/>
    <s v="Assets"/>
    <s v="Cash alike"/>
    <x v="1"/>
    <x v="1"/>
    <x v="0"/>
    <x v="0"/>
    <x v="3"/>
    <x v="1"/>
    <x v="0"/>
    <x v="1"/>
  </r>
  <r>
    <x v="535"/>
    <x v="2"/>
    <s v="GM"/>
    <x v="6"/>
    <x v="3"/>
    <s v="FrOther"/>
    <x v="22"/>
    <n v="3817.2"/>
    <b v="1"/>
    <n v="3817.2"/>
    <x v="0"/>
    <s v="Assets"/>
    <s v="Rec-Pay"/>
    <x v="1"/>
    <x v="1"/>
    <x v="1"/>
    <x v="3"/>
    <x v="3"/>
    <x v="1"/>
    <x v="0"/>
    <x v="1"/>
  </r>
  <r>
    <x v="536"/>
    <x v="2"/>
    <s v="Brand"/>
    <x v="64"/>
    <x v="3"/>
    <s v="Bank"/>
    <x v="3"/>
    <n v="-1615.04"/>
    <b v="1"/>
    <n v="-1615.04"/>
    <x v="0"/>
    <s v="Assets"/>
    <s v="Cash alike"/>
    <x v="1"/>
    <x v="1"/>
    <x v="0"/>
    <x v="0"/>
    <x v="3"/>
    <x v="3"/>
    <x v="0"/>
    <x v="1"/>
  </r>
  <r>
    <x v="537"/>
    <x v="2"/>
    <s v="Online"/>
    <x v="16"/>
    <x v="3"/>
    <s v="Bank"/>
    <x v="3"/>
    <n v="-880"/>
    <b v="1"/>
    <n v="-880"/>
    <x v="0"/>
    <s v="Assets"/>
    <s v="Cash alike"/>
    <x v="1"/>
    <x v="1"/>
    <x v="0"/>
    <x v="0"/>
    <x v="3"/>
    <x v="2"/>
    <x v="0"/>
    <x v="1"/>
  </r>
  <r>
    <x v="538"/>
    <x v="2"/>
    <s v="Online"/>
    <x v="16"/>
    <x v="3"/>
    <s v="Bank"/>
    <x v="3"/>
    <n v="-109.47"/>
    <b v="1"/>
    <n v="-109.47"/>
    <x v="0"/>
    <s v="Assets"/>
    <s v="Cash alike"/>
    <x v="1"/>
    <x v="1"/>
    <x v="0"/>
    <x v="0"/>
    <x v="3"/>
    <x v="2"/>
    <x v="0"/>
    <x v="1"/>
  </r>
  <r>
    <x v="539"/>
    <x v="2"/>
    <s v="Brand"/>
    <x v="64"/>
    <x v="3"/>
    <s v="Bank"/>
    <x v="3"/>
    <n v="-102.51"/>
    <b v="1"/>
    <n v="-102.51"/>
    <x v="0"/>
    <s v="Assets"/>
    <s v="Cash alike"/>
    <x v="1"/>
    <x v="1"/>
    <x v="0"/>
    <x v="0"/>
    <x v="3"/>
    <x v="3"/>
    <x v="0"/>
    <x v="1"/>
  </r>
  <r>
    <x v="540"/>
    <x v="2"/>
    <s v="Online"/>
    <x v="16"/>
    <x v="3"/>
    <s v="Bank"/>
    <x v="3"/>
    <n v="-152.47"/>
    <b v="1"/>
    <n v="-152.47"/>
    <x v="0"/>
    <s v="Assets"/>
    <s v="Cash alike"/>
    <x v="1"/>
    <x v="1"/>
    <x v="0"/>
    <x v="0"/>
    <x v="3"/>
    <x v="2"/>
    <x v="0"/>
    <x v="1"/>
  </r>
  <r>
    <x v="541"/>
    <x v="2"/>
    <s v="Online"/>
    <x v="30"/>
    <x v="3"/>
    <s v="Bank"/>
    <x v="3"/>
    <n v="-1180"/>
    <b v="1"/>
    <n v="-1180"/>
    <x v="0"/>
    <s v="Assets"/>
    <s v="Cash alike"/>
    <x v="1"/>
    <x v="1"/>
    <x v="0"/>
    <x v="0"/>
    <x v="3"/>
    <x v="2"/>
    <x v="0"/>
    <x v="1"/>
  </r>
  <r>
    <x v="542"/>
    <x v="2"/>
    <s v="GM"/>
    <x v="19"/>
    <x v="3"/>
    <s v="Bank"/>
    <x v="3"/>
    <n v="-2540.16"/>
    <b v="1"/>
    <n v="-2540.16"/>
    <x v="0"/>
    <s v="Assets"/>
    <s v="Cash alike"/>
    <x v="1"/>
    <x v="1"/>
    <x v="0"/>
    <x v="0"/>
    <x v="3"/>
    <x v="1"/>
    <x v="0"/>
    <x v="1"/>
  </r>
  <r>
    <x v="543"/>
    <x v="2"/>
    <s v="Online"/>
    <x v="11"/>
    <x v="0"/>
    <s v="Curr"/>
    <x v="38"/>
    <n v="264"/>
    <b v="1"/>
    <n v="264"/>
    <x v="0"/>
    <s v="Assets"/>
    <s v="Invtr"/>
    <x v="2"/>
    <x v="1"/>
    <x v="3"/>
    <x v="7"/>
    <x v="0"/>
    <x v="2"/>
    <x v="0"/>
    <x v="1"/>
  </r>
  <r>
    <x v="543"/>
    <x v="2"/>
    <s v="Online"/>
    <x v="11"/>
    <x v="3"/>
    <s v="Bank"/>
    <x v="3"/>
    <n v="-264"/>
    <b v="1"/>
    <n v="-264"/>
    <x v="0"/>
    <s v="Assets"/>
    <s v="Cash alike"/>
    <x v="2"/>
    <x v="1"/>
    <x v="0"/>
    <x v="0"/>
    <x v="3"/>
    <x v="2"/>
    <x v="0"/>
    <x v="1"/>
  </r>
  <r>
    <x v="544"/>
    <x v="2"/>
    <s v="Online"/>
    <x v="16"/>
    <x v="3"/>
    <s v="Bank"/>
    <x v="3"/>
    <n v="-325"/>
    <b v="1"/>
    <n v="-325"/>
    <x v="0"/>
    <s v="Assets"/>
    <s v="Cash alike"/>
    <x v="1"/>
    <x v="1"/>
    <x v="0"/>
    <x v="0"/>
    <x v="3"/>
    <x v="2"/>
    <x v="0"/>
    <x v="1"/>
  </r>
  <r>
    <x v="545"/>
    <x v="2"/>
    <s v="GM"/>
    <x v="8"/>
    <x v="3"/>
    <s v="Bank"/>
    <x v="3"/>
    <n v="-66863.37"/>
    <b v="1"/>
    <n v="-66863.37"/>
    <x v="0"/>
    <s v="Assets"/>
    <s v="Cash alike"/>
    <x v="1"/>
    <x v="1"/>
    <x v="0"/>
    <x v="0"/>
    <x v="3"/>
    <x v="1"/>
    <x v="0"/>
    <x v="1"/>
  </r>
  <r>
    <x v="545"/>
    <x v="2"/>
    <s v="GM"/>
    <x v="8"/>
    <x v="3"/>
    <s v="FrOther"/>
    <x v="22"/>
    <n v="-3817.2"/>
    <b v="1"/>
    <n v="-3817.2"/>
    <x v="0"/>
    <s v="Assets"/>
    <s v="Rec-Pay"/>
    <x v="1"/>
    <x v="1"/>
    <x v="1"/>
    <x v="3"/>
    <x v="3"/>
    <x v="1"/>
    <x v="0"/>
    <x v="1"/>
  </r>
  <r>
    <x v="545"/>
    <x v="2"/>
    <s v="GM"/>
    <x v="8"/>
    <x v="3"/>
    <s v="ToTax"/>
    <x v="54"/>
    <n v="169.77"/>
    <b v="1"/>
    <n v="-169.77"/>
    <x v="1"/>
    <s v="Liability"/>
    <s v="Rec-Pay"/>
    <x v="1"/>
    <x v="1"/>
    <x v="1"/>
    <x v="11"/>
    <x v="3"/>
    <x v="1"/>
    <x v="0"/>
    <x v="1"/>
  </r>
  <r>
    <x v="545"/>
    <x v="2"/>
    <s v="GM"/>
    <x v="8"/>
    <x v="3"/>
    <s v="ToEmp"/>
    <x v="52"/>
    <n v="-70850.34"/>
    <b v="1"/>
    <n v="70850.34"/>
    <x v="1"/>
    <s v="Liability"/>
    <s v="Rec-Pay"/>
    <x v="1"/>
    <x v="1"/>
    <x v="1"/>
    <x v="12"/>
    <x v="3"/>
    <x v="1"/>
    <x v="0"/>
    <x v="1"/>
  </r>
  <r>
    <x v="546"/>
    <x v="2"/>
    <s v="GM"/>
    <x v="8"/>
    <x v="3"/>
    <s v="ToEmp"/>
    <x v="68"/>
    <n v="-53731"/>
    <b v="1"/>
    <n v="53731"/>
    <x v="1"/>
    <s v="Liability"/>
    <s v="Rec-Pay"/>
    <x v="1"/>
    <x v="1"/>
    <x v="1"/>
    <x v="12"/>
    <x v="3"/>
    <x v="1"/>
    <x v="0"/>
    <x v="1"/>
  </r>
  <r>
    <x v="546"/>
    <x v="2"/>
    <s v="GM"/>
    <x v="8"/>
    <x v="3"/>
    <s v="Bank"/>
    <x v="3"/>
    <n v="-52119.07"/>
    <b v="1"/>
    <n v="-52119.07"/>
    <x v="0"/>
    <s v="Assets"/>
    <s v="Cash alike"/>
    <x v="1"/>
    <x v="1"/>
    <x v="0"/>
    <x v="0"/>
    <x v="3"/>
    <x v="1"/>
    <x v="0"/>
    <x v="1"/>
  </r>
  <r>
    <x v="546"/>
    <x v="2"/>
    <s v="GM"/>
    <x v="8"/>
    <x v="3"/>
    <s v="ToTax"/>
    <x v="54"/>
    <n v="1611.93"/>
    <b v="1"/>
    <n v="-1611.93"/>
    <x v="1"/>
    <s v="Liability"/>
    <s v="Rec-Pay"/>
    <x v="1"/>
    <x v="1"/>
    <x v="1"/>
    <x v="11"/>
    <x v="3"/>
    <x v="1"/>
    <x v="0"/>
    <x v="1"/>
  </r>
  <r>
    <x v="547"/>
    <x v="2"/>
    <s v="GM"/>
    <x v="8"/>
    <x v="3"/>
    <s v="ToTax"/>
    <x v="54"/>
    <n v="-1781.7"/>
    <b v="1"/>
    <n v="1781.7"/>
    <x v="1"/>
    <s v="Liability"/>
    <s v="Rec-Pay"/>
    <x v="1"/>
    <x v="1"/>
    <x v="1"/>
    <x v="11"/>
    <x v="3"/>
    <x v="1"/>
    <x v="0"/>
    <x v="1"/>
  </r>
  <r>
    <x v="547"/>
    <x v="2"/>
    <s v="GM"/>
    <x v="8"/>
    <x v="3"/>
    <s v="Bank"/>
    <x v="3"/>
    <n v="-1781.7"/>
    <b v="1"/>
    <n v="-1781.7"/>
    <x v="0"/>
    <s v="Assets"/>
    <s v="Cash alike"/>
    <x v="1"/>
    <x v="1"/>
    <x v="0"/>
    <x v="0"/>
    <x v="3"/>
    <x v="1"/>
    <x v="0"/>
    <x v="1"/>
  </r>
  <r>
    <x v="548"/>
    <x v="2"/>
    <s v="Online"/>
    <x v="16"/>
    <x v="3"/>
    <s v="Bank"/>
    <x v="3"/>
    <n v="-300"/>
    <b v="1"/>
    <n v="-300"/>
    <x v="0"/>
    <s v="Assets"/>
    <s v="Cash alike"/>
    <x v="1"/>
    <x v="1"/>
    <x v="0"/>
    <x v="0"/>
    <x v="3"/>
    <x v="2"/>
    <x v="0"/>
    <x v="1"/>
  </r>
  <r>
    <x v="549"/>
    <x v="2"/>
    <s v="Ctrl"/>
    <x v="7"/>
    <x v="3"/>
    <s v="Bank"/>
    <x v="3"/>
    <n v="257000"/>
    <b v="1"/>
    <n v="257000"/>
    <x v="0"/>
    <s v="Assets"/>
    <s v="Cash alike"/>
    <x v="0"/>
    <x v="0"/>
    <x v="0"/>
    <x v="0"/>
    <x v="3"/>
    <x v="0"/>
    <x v="0"/>
    <x v="1"/>
  </r>
  <r>
    <x v="549"/>
    <x v="2"/>
    <s v="Ctrl"/>
    <x v="7"/>
    <x v="0"/>
    <s v="Bank"/>
    <x v="0"/>
    <n v="-257000"/>
    <b v="1"/>
    <n v="-257000"/>
    <x v="0"/>
    <s v="Assets"/>
    <s v="Cash alike"/>
    <x v="0"/>
    <x v="0"/>
    <x v="0"/>
    <x v="0"/>
    <x v="0"/>
    <x v="0"/>
    <x v="0"/>
    <x v="1"/>
  </r>
  <r>
    <x v="550"/>
    <x v="2"/>
    <s v="Online"/>
    <x v="12"/>
    <x v="3"/>
    <s v="ToTax"/>
    <x v="47"/>
    <n v="2544.5500000000002"/>
    <b v="1"/>
    <n v="-2544.5500000000002"/>
    <x v="1"/>
    <s v="Liability"/>
    <s v="Rec-Pay"/>
    <x v="2"/>
    <x v="1"/>
    <x v="1"/>
    <x v="11"/>
    <x v="3"/>
    <x v="2"/>
    <x v="0"/>
    <x v="1"/>
  </r>
  <r>
    <x v="551"/>
    <x v="2"/>
    <s v="GM"/>
    <x v="13"/>
    <x v="3"/>
    <s v="Bank"/>
    <x v="3"/>
    <n v="-14.5"/>
    <b v="1"/>
    <n v="-14.5"/>
    <x v="0"/>
    <s v="Assets"/>
    <s v="Cash alike"/>
    <x v="1"/>
    <x v="1"/>
    <x v="0"/>
    <x v="0"/>
    <x v="3"/>
    <x v="1"/>
    <x v="0"/>
    <x v="1"/>
  </r>
  <r>
    <x v="552"/>
    <x v="2"/>
    <s v="Online"/>
    <x v="14"/>
    <x v="3"/>
    <s v="ToEmp"/>
    <x v="52"/>
    <n v="36342.339999999997"/>
    <b v="1"/>
    <n v="-36342.339999999997"/>
    <x v="1"/>
    <s v="Liability"/>
    <s v="Rec-Pay"/>
    <x v="1"/>
    <x v="1"/>
    <x v="1"/>
    <x v="12"/>
    <x v="3"/>
    <x v="2"/>
    <x v="0"/>
    <x v="1"/>
  </r>
  <r>
    <x v="553"/>
    <x v="2"/>
    <s v="GM"/>
    <x v="14"/>
    <x v="3"/>
    <s v="ToEmp"/>
    <x v="52"/>
    <n v="38882"/>
    <b v="1"/>
    <n v="-38882"/>
    <x v="1"/>
    <s v="Liability"/>
    <s v="Rec-Pay"/>
    <x v="1"/>
    <x v="1"/>
    <x v="1"/>
    <x v="12"/>
    <x v="3"/>
    <x v="1"/>
    <x v="0"/>
    <x v="1"/>
  </r>
  <r>
    <x v="554"/>
    <x v="2"/>
    <s v="GM"/>
    <x v="29"/>
    <x v="3"/>
    <s v="Order"/>
    <x v="34"/>
    <n v="-12999.135833333334"/>
    <b v="1"/>
    <n v="-12999.135833333334"/>
    <x v="0"/>
    <s v="Assets"/>
    <s v="Prep-Sub"/>
    <x v="1"/>
    <x v="1"/>
    <x v="2"/>
    <x v="6"/>
    <x v="3"/>
    <x v="1"/>
    <x v="0"/>
    <x v="1"/>
  </r>
  <r>
    <x v="555"/>
    <x v="2"/>
    <s v="GM"/>
    <x v="6"/>
    <x v="12"/>
    <s v="Bank"/>
    <x v="19"/>
    <n v="-6551.64"/>
    <b v="1"/>
    <n v="-6551.64"/>
    <x v="0"/>
    <s v="Assets"/>
    <s v="Cash alike"/>
    <x v="1"/>
    <x v="1"/>
    <x v="0"/>
    <x v="0"/>
    <x v="12"/>
    <x v="1"/>
    <x v="0"/>
    <x v="1"/>
  </r>
  <r>
    <x v="555"/>
    <x v="2"/>
    <s v="GM"/>
    <x v="6"/>
    <x v="12"/>
    <s v="FrOther"/>
    <x v="22"/>
    <n v="1908.6"/>
    <b v="1"/>
    <n v="1908.6"/>
    <x v="0"/>
    <s v="Assets"/>
    <s v="Rec-Pay"/>
    <x v="1"/>
    <x v="1"/>
    <x v="1"/>
    <x v="3"/>
    <x v="12"/>
    <x v="1"/>
    <x v="0"/>
    <x v="1"/>
  </r>
  <r>
    <x v="556"/>
    <x v="2"/>
    <s v="GM"/>
    <x v="8"/>
    <x v="12"/>
    <s v="Bank"/>
    <x v="19"/>
    <n v="-33000.870000000003"/>
    <b v="1"/>
    <n v="-33000.870000000003"/>
    <x v="0"/>
    <s v="Assets"/>
    <s v="Cash alike"/>
    <x v="1"/>
    <x v="1"/>
    <x v="0"/>
    <x v="0"/>
    <x v="12"/>
    <x v="1"/>
    <x v="0"/>
    <x v="1"/>
  </r>
  <r>
    <x v="556"/>
    <x v="2"/>
    <s v="GM"/>
    <x v="8"/>
    <x v="12"/>
    <s v="FrOther"/>
    <x v="22"/>
    <n v="-3340.05"/>
    <b v="1"/>
    <n v="-3340.05"/>
    <x v="0"/>
    <s v="Assets"/>
    <s v="Rec-Pay"/>
    <x v="1"/>
    <x v="1"/>
    <x v="1"/>
    <x v="3"/>
    <x v="12"/>
    <x v="1"/>
    <x v="0"/>
    <x v="1"/>
  </r>
  <r>
    <x v="556"/>
    <x v="2"/>
    <s v="GM"/>
    <x v="8"/>
    <x v="12"/>
    <s v="ToTax"/>
    <x v="54"/>
    <n v="210.69"/>
    <b v="1"/>
    <n v="-210.69"/>
    <x v="1"/>
    <s v="Liability"/>
    <s v="Rec-Pay"/>
    <x v="1"/>
    <x v="1"/>
    <x v="1"/>
    <x v="11"/>
    <x v="12"/>
    <x v="1"/>
    <x v="0"/>
    <x v="1"/>
  </r>
  <r>
    <x v="556"/>
    <x v="2"/>
    <s v="GM"/>
    <x v="8"/>
    <x v="12"/>
    <s v="ToEmp"/>
    <x v="52"/>
    <n v="-36551.61"/>
    <b v="1"/>
    <n v="36551.61"/>
    <x v="1"/>
    <s v="Liability"/>
    <s v="Rec-Pay"/>
    <x v="1"/>
    <x v="1"/>
    <x v="1"/>
    <x v="12"/>
    <x v="12"/>
    <x v="1"/>
    <x v="0"/>
    <x v="1"/>
  </r>
  <r>
    <x v="557"/>
    <x v="2"/>
    <s v="GM"/>
    <x v="15"/>
    <x v="12"/>
    <s v="Bank"/>
    <x v="19"/>
    <n v="-19109"/>
    <b v="1"/>
    <n v="-19109"/>
    <x v="0"/>
    <s v="Assets"/>
    <s v="Cash alike"/>
    <x v="4"/>
    <x v="0"/>
    <x v="0"/>
    <x v="0"/>
    <x v="12"/>
    <x v="1"/>
    <x v="0"/>
    <x v="1"/>
  </r>
  <r>
    <x v="557"/>
    <x v="2"/>
    <s v="GM"/>
    <x v="15"/>
    <x v="12"/>
    <s v="ToTax"/>
    <x v="54"/>
    <n v="591"/>
    <b v="1"/>
    <n v="-591"/>
    <x v="1"/>
    <s v="Liability"/>
    <s v="Rec-Pay"/>
    <x v="4"/>
    <x v="0"/>
    <x v="1"/>
    <x v="11"/>
    <x v="12"/>
    <x v="1"/>
    <x v="0"/>
    <x v="1"/>
  </r>
  <r>
    <x v="558"/>
    <x v="2"/>
    <s v="Zhuse"/>
    <x v="23"/>
    <x v="12"/>
    <s v="Bank"/>
    <x v="19"/>
    <n v="324.38"/>
    <b v="1"/>
    <n v="324.38"/>
    <x v="0"/>
    <s v="Assets"/>
    <s v="Cash alike"/>
    <x v="3"/>
    <x v="1"/>
    <x v="0"/>
    <x v="0"/>
    <x v="12"/>
    <x v="5"/>
    <x v="0"/>
    <x v="1"/>
  </r>
  <r>
    <x v="559"/>
    <x v="2"/>
    <s v="GM"/>
    <x v="8"/>
    <x v="12"/>
    <s v="ToTax"/>
    <x v="54"/>
    <n v="-801.69"/>
    <b v="1"/>
    <n v="801.69"/>
    <x v="1"/>
    <s v="Liability"/>
    <s v="Rec-Pay"/>
    <x v="1"/>
    <x v="1"/>
    <x v="1"/>
    <x v="11"/>
    <x v="12"/>
    <x v="1"/>
    <x v="0"/>
    <x v="1"/>
  </r>
  <r>
    <x v="559"/>
    <x v="2"/>
    <s v="GM"/>
    <x v="8"/>
    <x v="12"/>
    <s v="Bank"/>
    <x v="19"/>
    <n v="-801.69"/>
    <b v="1"/>
    <n v="-801.69"/>
    <x v="0"/>
    <s v="Assets"/>
    <s v="Cash alike"/>
    <x v="1"/>
    <x v="1"/>
    <x v="0"/>
    <x v="0"/>
    <x v="12"/>
    <x v="1"/>
    <x v="0"/>
    <x v="1"/>
  </r>
  <r>
    <x v="560"/>
    <x v="2"/>
    <s v="Ctrl"/>
    <x v="7"/>
    <x v="12"/>
    <s v="Bank"/>
    <x v="19"/>
    <n v="150000"/>
    <b v="1"/>
    <n v="150000"/>
    <x v="0"/>
    <s v="Assets"/>
    <s v="Cash alike"/>
    <x v="0"/>
    <x v="0"/>
    <x v="0"/>
    <x v="0"/>
    <x v="12"/>
    <x v="0"/>
    <x v="0"/>
    <x v="1"/>
  </r>
  <r>
    <x v="560"/>
    <x v="2"/>
    <s v="Ctrl"/>
    <x v="7"/>
    <x v="0"/>
    <s v="Bank"/>
    <x v="0"/>
    <n v="-150000"/>
    <b v="1"/>
    <n v="-150000"/>
    <x v="0"/>
    <s v="Assets"/>
    <s v="Cash alike"/>
    <x v="0"/>
    <x v="0"/>
    <x v="0"/>
    <x v="0"/>
    <x v="0"/>
    <x v="0"/>
    <x v="0"/>
    <x v="1"/>
  </r>
  <r>
    <x v="561"/>
    <x v="2"/>
    <s v="Zhuse"/>
    <x v="31"/>
    <x v="12"/>
    <s v="Bank"/>
    <x v="19"/>
    <n v="21104.66"/>
    <b v="1"/>
    <n v="21104.66"/>
    <x v="0"/>
    <s v="Assets"/>
    <s v="Cash alike"/>
    <x v="2"/>
    <x v="1"/>
    <x v="0"/>
    <x v="0"/>
    <x v="12"/>
    <x v="5"/>
    <x v="0"/>
    <x v="1"/>
  </r>
  <r>
    <x v="562"/>
    <x v="2"/>
    <s v="GM"/>
    <x v="13"/>
    <x v="12"/>
    <s v="Bank"/>
    <x v="19"/>
    <n v="-27.5"/>
    <b v="1"/>
    <n v="-27.5"/>
    <x v="0"/>
    <s v="Assets"/>
    <s v="Cash alike"/>
    <x v="1"/>
    <x v="1"/>
    <x v="0"/>
    <x v="0"/>
    <x v="12"/>
    <x v="1"/>
    <x v="0"/>
    <x v="1"/>
  </r>
  <r>
    <x v="563"/>
    <x v="2"/>
    <s v="Zhuse"/>
    <x v="18"/>
    <x v="12"/>
    <s v="Bank"/>
    <x v="19"/>
    <n v="-2380"/>
    <b v="1"/>
    <n v="-2380"/>
    <x v="0"/>
    <s v="Assets"/>
    <s v="Cash alike"/>
    <x v="1"/>
    <x v="1"/>
    <x v="0"/>
    <x v="0"/>
    <x v="12"/>
    <x v="5"/>
    <x v="0"/>
    <x v="1"/>
  </r>
  <r>
    <x v="564"/>
    <x v="2"/>
    <s v="Zhuse"/>
    <x v="32"/>
    <x v="12"/>
    <s v="Bank"/>
    <x v="19"/>
    <n v="-750"/>
    <b v="1"/>
    <n v="-750"/>
    <x v="0"/>
    <s v="Assets"/>
    <s v="Cash alike"/>
    <x v="1"/>
    <x v="1"/>
    <x v="0"/>
    <x v="0"/>
    <x v="12"/>
    <x v="5"/>
    <x v="0"/>
    <x v="1"/>
  </r>
  <r>
    <x v="565"/>
    <x v="2"/>
    <s v="Zhuse"/>
    <x v="18"/>
    <x v="12"/>
    <s v="Bank"/>
    <x v="19"/>
    <n v="-710"/>
    <b v="1"/>
    <n v="-710"/>
    <x v="0"/>
    <s v="Assets"/>
    <s v="Cash alike"/>
    <x v="1"/>
    <x v="1"/>
    <x v="0"/>
    <x v="0"/>
    <x v="12"/>
    <x v="5"/>
    <x v="0"/>
    <x v="1"/>
  </r>
  <r>
    <x v="566"/>
    <x v="2"/>
    <s v="Zhuse"/>
    <x v="30"/>
    <x v="12"/>
    <s v="Bank"/>
    <x v="19"/>
    <n v="-686.34"/>
    <b v="1"/>
    <n v="-686.34"/>
    <x v="0"/>
    <s v="Assets"/>
    <s v="Cash alike"/>
    <x v="1"/>
    <x v="1"/>
    <x v="0"/>
    <x v="0"/>
    <x v="12"/>
    <x v="5"/>
    <x v="0"/>
    <x v="1"/>
  </r>
  <r>
    <x v="567"/>
    <x v="2"/>
    <s v="Zhuse"/>
    <x v="9"/>
    <x v="12"/>
    <s v="Bank"/>
    <x v="19"/>
    <n v="-142.13"/>
    <b v="1"/>
    <n v="-142.13"/>
    <x v="0"/>
    <s v="Assets"/>
    <s v="Cash alike"/>
    <x v="1"/>
    <x v="1"/>
    <x v="0"/>
    <x v="0"/>
    <x v="12"/>
    <x v="5"/>
    <x v="0"/>
    <x v="1"/>
  </r>
  <r>
    <x v="568"/>
    <x v="2"/>
    <s v="Zhuse"/>
    <x v="12"/>
    <x v="12"/>
    <s v="ToTax"/>
    <x v="47"/>
    <n v="1697.32"/>
    <b v="1"/>
    <n v="-1697.32"/>
    <x v="1"/>
    <s v="Liability"/>
    <s v="Rec-Pay"/>
    <x v="2"/>
    <x v="1"/>
    <x v="1"/>
    <x v="11"/>
    <x v="12"/>
    <x v="5"/>
    <x v="0"/>
    <x v="1"/>
  </r>
  <r>
    <x v="569"/>
    <x v="2"/>
    <s v="Zhuse"/>
    <x v="14"/>
    <x v="12"/>
    <s v="ToEmp"/>
    <x v="52"/>
    <n v="19840.169999999998"/>
    <b v="1"/>
    <n v="-19840.169999999998"/>
    <x v="1"/>
    <s v="Liability"/>
    <s v="Rec-Pay"/>
    <x v="1"/>
    <x v="1"/>
    <x v="1"/>
    <x v="12"/>
    <x v="12"/>
    <x v="5"/>
    <x v="0"/>
    <x v="1"/>
  </r>
  <r>
    <x v="570"/>
    <x v="2"/>
    <s v="Shuijie"/>
    <x v="33"/>
    <x v="6"/>
    <s v="Bank"/>
    <x v="8"/>
    <n v="18310.86"/>
    <b v="1"/>
    <n v="18310.86"/>
    <x v="0"/>
    <s v="Assets"/>
    <s v="Cash alike"/>
    <x v="3"/>
    <x v="1"/>
    <x v="0"/>
    <x v="0"/>
    <x v="6"/>
    <x v="6"/>
    <x v="0"/>
    <x v="1"/>
  </r>
  <r>
    <x v="570"/>
    <x v="2"/>
    <s v="Shuijie"/>
    <x v="33"/>
    <x v="6"/>
    <s v="AR"/>
    <x v="21"/>
    <n v="-18310.86"/>
    <b v="1"/>
    <n v="-18310.86"/>
    <x v="0"/>
    <s v="Assets"/>
    <s v="Rec-Pay"/>
    <x v="3"/>
    <x v="1"/>
    <x v="1"/>
    <x v="2"/>
    <x v="6"/>
    <x v="6"/>
    <x v="0"/>
    <x v="1"/>
  </r>
  <r>
    <x v="571"/>
    <x v="2"/>
    <s v="Shuijie"/>
    <x v="33"/>
    <x v="6"/>
    <s v="Bank"/>
    <x v="8"/>
    <n v="778.27"/>
    <b v="1"/>
    <n v="778.27"/>
    <x v="0"/>
    <s v="Assets"/>
    <s v="Cash alike"/>
    <x v="3"/>
    <x v="1"/>
    <x v="0"/>
    <x v="0"/>
    <x v="6"/>
    <x v="6"/>
    <x v="0"/>
    <x v="1"/>
  </r>
  <r>
    <x v="571"/>
    <x v="2"/>
    <s v="Shuijie"/>
    <x v="33"/>
    <x v="6"/>
    <s v="AR"/>
    <x v="21"/>
    <n v="-778.27"/>
    <b v="1"/>
    <n v="-778.27"/>
    <x v="0"/>
    <s v="Assets"/>
    <s v="Rec-Pay"/>
    <x v="3"/>
    <x v="1"/>
    <x v="1"/>
    <x v="2"/>
    <x v="6"/>
    <x v="6"/>
    <x v="0"/>
    <x v="1"/>
  </r>
  <r>
    <x v="572"/>
    <x v="2"/>
    <s v="Shuijie"/>
    <x v="8"/>
    <x v="6"/>
    <s v="Bank"/>
    <x v="8"/>
    <n v="-4670"/>
    <b v="1"/>
    <n v="-4670"/>
    <x v="0"/>
    <s v="Assets"/>
    <s v="Cash alike"/>
    <x v="2"/>
    <x v="1"/>
    <x v="0"/>
    <x v="0"/>
    <x v="6"/>
    <x v="6"/>
    <x v="0"/>
    <x v="1"/>
  </r>
  <r>
    <x v="572"/>
    <x v="2"/>
    <s v="Shuijie"/>
    <x v="8"/>
    <x v="6"/>
    <s v="Order"/>
    <x v="35"/>
    <n v="4670"/>
    <b v="1"/>
    <n v="4670"/>
    <x v="0"/>
    <s v="Assets"/>
    <s v="Prep-Sub"/>
    <x v="2"/>
    <x v="1"/>
    <x v="2"/>
    <x v="6"/>
    <x v="6"/>
    <x v="6"/>
    <x v="0"/>
    <x v="1"/>
  </r>
  <r>
    <x v="573"/>
    <x v="2"/>
    <s v="GM"/>
    <x v="6"/>
    <x v="6"/>
    <s v="Bank"/>
    <x v="8"/>
    <n v="-36070.720000000001"/>
    <b v="1"/>
    <n v="-36070.720000000001"/>
    <x v="0"/>
    <s v="Assets"/>
    <s v="Cash alike"/>
    <x v="1"/>
    <x v="1"/>
    <x v="0"/>
    <x v="0"/>
    <x v="6"/>
    <x v="1"/>
    <x v="0"/>
    <x v="1"/>
  </r>
  <r>
    <x v="573"/>
    <x v="2"/>
    <s v="GM"/>
    <x v="6"/>
    <x v="6"/>
    <s v="FrOther"/>
    <x v="22"/>
    <n v="10497.3"/>
    <b v="1"/>
    <n v="10497.3"/>
    <x v="0"/>
    <s v="Assets"/>
    <s v="Rec-Pay"/>
    <x v="1"/>
    <x v="1"/>
    <x v="1"/>
    <x v="3"/>
    <x v="6"/>
    <x v="1"/>
    <x v="0"/>
    <x v="1"/>
  </r>
  <r>
    <x v="574"/>
    <x v="2"/>
    <s v="GM"/>
    <x v="63"/>
    <x v="6"/>
    <s v="Bank"/>
    <x v="8"/>
    <n v="-2238.81"/>
    <b v="1"/>
    <n v="-2238.81"/>
    <x v="0"/>
    <s v="Assets"/>
    <s v="Cash alike"/>
    <x v="4"/>
    <x v="0"/>
    <x v="0"/>
    <x v="0"/>
    <x v="6"/>
    <x v="1"/>
    <x v="0"/>
    <x v="1"/>
  </r>
  <r>
    <x v="575"/>
    <x v="2"/>
    <s v="GM"/>
    <x v="63"/>
    <x v="6"/>
    <s v="Bank"/>
    <x v="8"/>
    <n v="-2238.81"/>
    <b v="1"/>
    <n v="-2238.81"/>
    <x v="0"/>
    <s v="Assets"/>
    <s v="Cash alike"/>
    <x v="4"/>
    <x v="0"/>
    <x v="0"/>
    <x v="0"/>
    <x v="6"/>
    <x v="1"/>
    <x v="0"/>
    <x v="1"/>
  </r>
  <r>
    <x v="576"/>
    <x v="2"/>
    <s v="GM"/>
    <x v="63"/>
    <x v="6"/>
    <s v="Bank"/>
    <x v="8"/>
    <n v="-3731.34"/>
    <b v="1"/>
    <n v="-3731.34"/>
    <x v="0"/>
    <s v="Assets"/>
    <s v="Cash alike"/>
    <x v="4"/>
    <x v="0"/>
    <x v="0"/>
    <x v="0"/>
    <x v="6"/>
    <x v="1"/>
    <x v="0"/>
    <x v="1"/>
  </r>
  <r>
    <x v="577"/>
    <x v="2"/>
    <s v="Shuijie"/>
    <x v="39"/>
    <x v="6"/>
    <s v="Bank"/>
    <x v="8"/>
    <n v="3650"/>
    <b v="1"/>
    <n v="3650"/>
    <x v="0"/>
    <s v="Assets"/>
    <s v="Cash alike"/>
    <x v="3"/>
    <x v="1"/>
    <x v="0"/>
    <x v="0"/>
    <x v="6"/>
    <x v="6"/>
    <x v="0"/>
    <x v="1"/>
  </r>
  <r>
    <x v="577"/>
    <x v="2"/>
    <s v="Shuijie"/>
    <x v="39"/>
    <x v="6"/>
    <s v="Phys.C"/>
    <x v="9"/>
    <n v="-3650"/>
    <b v="1"/>
    <n v="-3650"/>
    <x v="0"/>
    <s v="Assets"/>
    <s v="Cash alike"/>
    <x v="3"/>
    <x v="1"/>
    <x v="0"/>
    <x v="1"/>
    <x v="6"/>
    <x v="6"/>
    <x v="0"/>
    <x v="1"/>
  </r>
  <r>
    <x v="578"/>
    <x v="2"/>
    <s v="Shuijie"/>
    <x v="8"/>
    <x v="6"/>
    <s v="Bank"/>
    <x v="8"/>
    <n v="-390"/>
    <b v="1"/>
    <n v="-390"/>
    <x v="0"/>
    <s v="Assets"/>
    <s v="Cash alike"/>
    <x v="2"/>
    <x v="1"/>
    <x v="0"/>
    <x v="0"/>
    <x v="6"/>
    <x v="6"/>
    <x v="0"/>
    <x v="1"/>
  </r>
  <r>
    <x v="578"/>
    <x v="2"/>
    <s v="Shuijie"/>
    <x v="8"/>
    <x v="6"/>
    <s v="Order"/>
    <x v="35"/>
    <n v="390"/>
    <b v="1"/>
    <n v="390"/>
    <x v="0"/>
    <s v="Assets"/>
    <s v="Prep-Sub"/>
    <x v="2"/>
    <x v="1"/>
    <x v="2"/>
    <x v="6"/>
    <x v="6"/>
    <x v="6"/>
    <x v="0"/>
    <x v="1"/>
  </r>
  <r>
    <x v="579"/>
    <x v="2"/>
    <s v="Shuijie"/>
    <x v="8"/>
    <x v="6"/>
    <s v="Bank"/>
    <x v="8"/>
    <n v="-2940"/>
    <b v="1"/>
    <n v="-2940"/>
    <x v="0"/>
    <s v="Assets"/>
    <s v="Cash alike"/>
    <x v="2"/>
    <x v="1"/>
    <x v="0"/>
    <x v="0"/>
    <x v="6"/>
    <x v="6"/>
    <x v="0"/>
    <x v="1"/>
  </r>
  <r>
    <x v="579"/>
    <x v="2"/>
    <s v="Shuijie"/>
    <x v="8"/>
    <x v="6"/>
    <s v="Order"/>
    <x v="35"/>
    <n v="2940"/>
    <b v="1"/>
    <n v="2940"/>
    <x v="0"/>
    <s v="Assets"/>
    <s v="Prep-Sub"/>
    <x v="2"/>
    <x v="1"/>
    <x v="2"/>
    <x v="6"/>
    <x v="6"/>
    <x v="6"/>
    <x v="0"/>
    <x v="1"/>
  </r>
  <r>
    <x v="580"/>
    <x v="2"/>
    <s v="Shuijie"/>
    <x v="8"/>
    <x v="6"/>
    <s v="Bank"/>
    <x v="8"/>
    <n v="-7020"/>
    <b v="1"/>
    <n v="-7020"/>
    <x v="0"/>
    <s v="Assets"/>
    <s v="Cash alike"/>
    <x v="2"/>
    <x v="1"/>
    <x v="0"/>
    <x v="0"/>
    <x v="6"/>
    <x v="6"/>
    <x v="0"/>
    <x v="1"/>
  </r>
  <r>
    <x v="580"/>
    <x v="2"/>
    <s v="Shuijie"/>
    <x v="8"/>
    <x v="6"/>
    <s v="Order"/>
    <x v="35"/>
    <n v="7020"/>
    <b v="1"/>
    <n v="7020"/>
    <x v="0"/>
    <s v="Assets"/>
    <s v="Prep-Sub"/>
    <x v="2"/>
    <x v="1"/>
    <x v="2"/>
    <x v="6"/>
    <x v="6"/>
    <x v="6"/>
    <x v="0"/>
    <x v="1"/>
  </r>
  <r>
    <x v="581"/>
    <x v="2"/>
    <s v="Shuijie"/>
    <x v="8"/>
    <x v="6"/>
    <s v="Bank"/>
    <x v="8"/>
    <n v="-14700"/>
    <b v="1"/>
    <n v="-14700"/>
    <x v="0"/>
    <s v="Assets"/>
    <s v="Cash alike"/>
    <x v="2"/>
    <x v="1"/>
    <x v="0"/>
    <x v="0"/>
    <x v="6"/>
    <x v="6"/>
    <x v="0"/>
    <x v="1"/>
  </r>
  <r>
    <x v="581"/>
    <x v="2"/>
    <s v="Shuijie"/>
    <x v="8"/>
    <x v="6"/>
    <s v="Order"/>
    <x v="35"/>
    <n v="14700"/>
    <b v="1"/>
    <n v="14700"/>
    <x v="0"/>
    <s v="Assets"/>
    <s v="Prep-Sub"/>
    <x v="2"/>
    <x v="1"/>
    <x v="2"/>
    <x v="6"/>
    <x v="6"/>
    <x v="6"/>
    <x v="0"/>
    <x v="1"/>
  </r>
  <r>
    <x v="582"/>
    <x v="2"/>
    <s v="Shuijie"/>
    <x v="35"/>
    <x v="6"/>
    <s v="Bank"/>
    <x v="8"/>
    <n v="-4646"/>
    <b v="1"/>
    <n v="-4646"/>
    <x v="0"/>
    <s v="Assets"/>
    <s v="Cash alike"/>
    <x v="2"/>
    <x v="1"/>
    <x v="0"/>
    <x v="0"/>
    <x v="6"/>
    <x v="6"/>
    <x v="0"/>
    <x v="1"/>
  </r>
  <r>
    <x v="583"/>
    <x v="2"/>
    <s v="Shuijie"/>
    <x v="35"/>
    <x v="6"/>
    <s v="Bank"/>
    <x v="8"/>
    <n v="-3450"/>
    <b v="1"/>
    <n v="-3450"/>
    <x v="0"/>
    <s v="Assets"/>
    <s v="Cash alike"/>
    <x v="2"/>
    <x v="1"/>
    <x v="0"/>
    <x v="0"/>
    <x v="6"/>
    <x v="6"/>
    <x v="0"/>
    <x v="1"/>
  </r>
  <r>
    <x v="584"/>
    <x v="2"/>
    <s v="Shuijie"/>
    <x v="8"/>
    <x v="6"/>
    <s v="Bank"/>
    <x v="8"/>
    <n v="-488"/>
    <b v="1"/>
    <n v="-488"/>
    <x v="0"/>
    <s v="Assets"/>
    <s v="Cash alike"/>
    <x v="2"/>
    <x v="1"/>
    <x v="0"/>
    <x v="0"/>
    <x v="6"/>
    <x v="6"/>
    <x v="0"/>
    <x v="1"/>
  </r>
  <r>
    <x v="584"/>
    <x v="2"/>
    <s v="Shuijie"/>
    <x v="8"/>
    <x v="6"/>
    <s v="Order"/>
    <x v="35"/>
    <n v="488"/>
    <b v="1"/>
    <n v="488"/>
    <x v="0"/>
    <s v="Assets"/>
    <s v="Prep-Sub"/>
    <x v="2"/>
    <x v="1"/>
    <x v="2"/>
    <x v="6"/>
    <x v="6"/>
    <x v="6"/>
    <x v="0"/>
    <x v="1"/>
  </r>
  <r>
    <x v="585"/>
    <x v="2"/>
    <s v="Shuijie"/>
    <x v="37"/>
    <x v="6"/>
    <s v="Bank"/>
    <x v="8"/>
    <n v="-6138"/>
    <b v="1"/>
    <n v="-6138"/>
    <x v="0"/>
    <s v="Assets"/>
    <s v="Cash alike"/>
    <x v="1"/>
    <x v="1"/>
    <x v="0"/>
    <x v="0"/>
    <x v="6"/>
    <x v="6"/>
    <x v="0"/>
    <x v="1"/>
  </r>
  <r>
    <x v="586"/>
    <x v="2"/>
    <s v="Shuijie"/>
    <x v="8"/>
    <x v="6"/>
    <s v="Order"/>
    <x v="35"/>
    <n v="3381.5"/>
    <b v="1"/>
    <n v="3381.5"/>
    <x v="0"/>
    <s v="Assets"/>
    <s v="Prep-Sub"/>
    <x v="2"/>
    <x v="1"/>
    <x v="2"/>
    <x v="6"/>
    <x v="6"/>
    <x v="6"/>
    <x v="0"/>
    <x v="1"/>
  </r>
  <r>
    <x v="586"/>
    <x v="2"/>
    <s v="Shuijie"/>
    <x v="8"/>
    <x v="6"/>
    <s v="Bank"/>
    <x v="8"/>
    <n v="-3381.5"/>
    <b v="1"/>
    <n v="-3381.5"/>
    <x v="0"/>
    <s v="Assets"/>
    <s v="Cash alike"/>
    <x v="2"/>
    <x v="1"/>
    <x v="0"/>
    <x v="0"/>
    <x v="6"/>
    <x v="6"/>
    <x v="0"/>
    <x v="1"/>
  </r>
  <r>
    <x v="587"/>
    <x v="2"/>
    <s v="Shuijie"/>
    <x v="35"/>
    <x v="6"/>
    <s v="Bank"/>
    <x v="8"/>
    <n v="-13592"/>
    <b v="1"/>
    <n v="-13592"/>
    <x v="0"/>
    <s v="Assets"/>
    <s v="Cash alike"/>
    <x v="2"/>
    <x v="1"/>
    <x v="0"/>
    <x v="0"/>
    <x v="6"/>
    <x v="6"/>
    <x v="0"/>
    <x v="1"/>
  </r>
  <r>
    <x v="588"/>
    <x v="2"/>
    <s v="Shuijie"/>
    <x v="8"/>
    <x v="6"/>
    <s v="Order"/>
    <x v="35"/>
    <n v="900"/>
    <b v="1"/>
    <n v="900"/>
    <x v="0"/>
    <s v="Assets"/>
    <s v="Prep-Sub"/>
    <x v="2"/>
    <x v="1"/>
    <x v="2"/>
    <x v="6"/>
    <x v="6"/>
    <x v="6"/>
    <x v="0"/>
    <x v="1"/>
  </r>
  <r>
    <x v="588"/>
    <x v="2"/>
    <s v="Shuijie"/>
    <x v="8"/>
    <x v="6"/>
    <s v="Bank"/>
    <x v="8"/>
    <n v="-900"/>
    <b v="1"/>
    <n v="-900"/>
    <x v="0"/>
    <s v="Assets"/>
    <s v="Cash alike"/>
    <x v="2"/>
    <x v="1"/>
    <x v="0"/>
    <x v="0"/>
    <x v="6"/>
    <x v="6"/>
    <x v="0"/>
    <x v="1"/>
  </r>
  <r>
    <x v="589"/>
    <x v="2"/>
    <s v="Shuijie"/>
    <x v="8"/>
    <x v="6"/>
    <s v="Order"/>
    <x v="35"/>
    <n v="877"/>
    <b v="1"/>
    <n v="877"/>
    <x v="0"/>
    <s v="Assets"/>
    <s v="Prep-Sub"/>
    <x v="2"/>
    <x v="1"/>
    <x v="2"/>
    <x v="6"/>
    <x v="6"/>
    <x v="6"/>
    <x v="0"/>
    <x v="1"/>
  </r>
  <r>
    <x v="589"/>
    <x v="2"/>
    <s v="Shuijie"/>
    <x v="8"/>
    <x v="6"/>
    <s v="Bank"/>
    <x v="8"/>
    <n v="-877"/>
    <b v="1"/>
    <n v="-877"/>
    <x v="0"/>
    <s v="Assets"/>
    <s v="Cash alike"/>
    <x v="2"/>
    <x v="1"/>
    <x v="0"/>
    <x v="0"/>
    <x v="6"/>
    <x v="6"/>
    <x v="0"/>
    <x v="1"/>
  </r>
  <r>
    <x v="590"/>
    <x v="2"/>
    <s v="Shuijie"/>
    <x v="8"/>
    <x v="6"/>
    <s v="OnEmp"/>
    <x v="24"/>
    <n v="1092.1400000000001"/>
    <b v="1"/>
    <n v="1092.1400000000001"/>
    <x v="0"/>
    <s v="Assets"/>
    <s v="Prep-Sub"/>
    <x v="2"/>
    <x v="1"/>
    <x v="2"/>
    <x v="5"/>
    <x v="6"/>
    <x v="6"/>
    <x v="0"/>
    <x v="1"/>
  </r>
  <r>
    <x v="590"/>
    <x v="2"/>
    <s v="Shuijie"/>
    <x v="8"/>
    <x v="6"/>
    <s v="Bank"/>
    <x v="8"/>
    <n v="-1092.1400000000001"/>
    <b v="1"/>
    <n v="-1092.1400000000001"/>
    <x v="0"/>
    <s v="Assets"/>
    <s v="Cash alike"/>
    <x v="2"/>
    <x v="1"/>
    <x v="0"/>
    <x v="0"/>
    <x v="6"/>
    <x v="6"/>
    <x v="0"/>
    <x v="1"/>
  </r>
  <r>
    <x v="591"/>
    <x v="2"/>
    <s v="Shuijie"/>
    <x v="8"/>
    <x v="6"/>
    <s v="Order"/>
    <x v="35"/>
    <n v="4990"/>
    <b v="1"/>
    <n v="4990"/>
    <x v="0"/>
    <s v="Assets"/>
    <s v="Prep-Sub"/>
    <x v="2"/>
    <x v="1"/>
    <x v="2"/>
    <x v="6"/>
    <x v="6"/>
    <x v="6"/>
    <x v="0"/>
    <x v="1"/>
  </r>
  <r>
    <x v="591"/>
    <x v="2"/>
    <s v="Shuijie"/>
    <x v="8"/>
    <x v="6"/>
    <s v="Bank"/>
    <x v="8"/>
    <n v="-4990"/>
    <b v="1"/>
    <n v="-4990"/>
    <x v="0"/>
    <s v="Assets"/>
    <s v="Cash alike"/>
    <x v="2"/>
    <x v="1"/>
    <x v="0"/>
    <x v="0"/>
    <x v="6"/>
    <x v="6"/>
    <x v="0"/>
    <x v="1"/>
  </r>
  <r>
    <x v="592"/>
    <x v="2"/>
    <s v="Shuijie"/>
    <x v="8"/>
    <x v="6"/>
    <s v="Order"/>
    <x v="35"/>
    <n v="7302"/>
    <b v="1"/>
    <n v="7302"/>
    <x v="0"/>
    <s v="Assets"/>
    <s v="Prep-Sub"/>
    <x v="2"/>
    <x v="1"/>
    <x v="2"/>
    <x v="6"/>
    <x v="6"/>
    <x v="6"/>
    <x v="0"/>
    <x v="1"/>
  </r>
  <r>
    <x v="592"/>
    <x v="2"/>
    <s v="Shuijie"/>
    <x v="8"/>
    <x v="6"/>
    <s v="Bank"/>
    <x v="8"/>
    <n v="-7302"/>
    <b v="1"/>
    <n v="-7302"/>
    <x v="0"/>
    <s v="Assets"/>
    <s v="Cash alike"/>
    <x v="2"/>
    <x v="1"/>
    <x v="0"/>
    <x v="0"/>
    <x v="6"/>
    <x v="6"/>
    <x v="0"/>
    <x v="1"/>
  </r>
  <r>
    <x v="593"/>
    <x v="2"/>
    <s v="Shuijie"/>
    <x v="8"/>
    <x v="6"/>
    <s v="Order"/>
    <x v="35"/>
    <n v="376"/>
    <b v="1"/>
    <n v="376"/>
    <x v="0"/>
    <s v="Assets"/>
    <s v="Prep-Sub"/>
    <x v="2"/>
    <x v="1"/>
    <x v="2"/>
    <x v="6"/>
    <x v="6"/>
    <x v="6"/>
    <x v="0"/>
    <x v="1"/>
  </r>
  <r>
    <x v="593"/>
    <x v="2"/>
    <s v="Shuijie"/>
    <x v="8"/>
    <x v="6"/>
    <s v="Bank"/>
    <x v="8"/>
    <n v="-376"/>
    <b v="1"/>
    <n v="-376"/>
    <x v="0"/>
    <s v="Assets"/>
    <s v="Cash alike"/>
    <x v="2"/>
    <x v="1"/>
    <x v="0"/>
    <x v="0"/>
    <x v="6"/>
    <x v="6"/>
    <x v="0"/>
    <x v="1"/>
  </r>
  <r>
    <x v="594"/>
    <x v="2"/>
    <s v="Shuijie"/>
    <x v="8"/>
    <x v="6"/>
    <s v="Order"/>
    <x v="35"/>
    <n v="1343"/>
    <b v="1"/>
    <n v="1343"/>
    <x v="0"/>
    <s v="Assets"/>
    <s v="Prep-Sub"/>
    <x v="2"/>
    <x v="1"/>
    <x v="2"/>
    <x v="6"/>
    <x v="6"/>
    <x v="6"/>
    <x v="0"/>
    <x v="1"/>
  </r>
  <r>
    <x v="594"/>
    <x v="2"/>
    <s v="Shuijie"/>
    <x v="8"/>
    <x v="6"/>
    <s v="Bank"/>
    <x v="8"/>
    <n v="-1343"/>
    <b v="1"/>
    <n v="-1343"/>
    <x v="0"/>
    <s v="Assets"/>
    <s v="Cash alike"/>
    <x v="2"/>
    <x v="1"/>
    <x v="0"/>
    <x v="0"/>
    <x v="6"/>
    <x v="6"/>
    <x v="0"/>
    <x v="1"/>
  </r>
  <r>
    <x v="595"/>
    <x v="2"/>
    <s v="Shuijie"/>
    <x v="35"/>
    <x v="6"/>
    <s v="Bank"/>
    <x v="8"/>
    <n v="-1411"/>
    <b v="1"/>
    <n v="-1411"/>
    <x v="0"/>
    <s v="Assets"/>
    <s v="Cash alike"/>
    <x v="2"/>
    <x v="1"/>
    <x v="0"/>
    <x v="0"/>
    <x v="6"/>
    <x v="6"/>
    <x v="0"/>
    <x v="1"/>
  </r>
  <r>
    <x v="596"/>
    <x v="2"/>
    <s v="Shuijie"/>
    <x v="36"/>
    <x v="6"/>
    <s v="Bank"/>
    <x v="8"/>
    <n v="-133.28"/>
    <b v="1"/>
    <n v="-133.28"/>
    <x v="0"/>
    <s v="Assets"/>
    <s v="Cash alike"/>
    <x v="2"/>
    <x v="1"/>
    <x v="0"/>
    <x v="0"/>
    <x v="6"/>
    <x v="6"/>
    <x v="0"/>
    <x v="1"/>
  </r>
  <r>
    <x v="597"/>
    <x v="2"/>
    <s v="Shuijie"/>
    <x v="35"/>
    <x v="6"/>
    <s v="Bank"/>
    <x v="8"/>
    <n v="-32656.959999999999"/>
    <b v="1"/>
    <n v="-32656.959999999999"/>
    <x v="0"/>
    <s v="Assets"/>
    <s v="Cash alike"/>
    <x v="2"/>
    <x v="1"/>
    <x v="0"/>
    <x v="0"/>
    <x v="6"/>
    <x v="6"/>
    <x v="0"/>
    <x v="1"/>
  </r>
  <r>
    <x v="598"/>
    <x v="2"/>
    <s v="Shuijie"/>
    <x v="35"/>
    <x v="6"/>
    <s v="Bank"/>
    <x v="8"/>
    <n v="-513.9"/>
    <b v="1"/>
    <n v="-513.9"/>
    <x v="0"/>
    <s v="Assets"/>
    <s v="Cash alike"/>
    <x v="2"/>
    <x v="1"/>
    <x v="0"/>
    <x v="0"/>
    <x v="6"/>
    <x v="6"/>
    <x v="0"/>
    <x v="1"/>
  </r>
  <r>
    <x v="599"/>
    <x v="2"/>
    <s v="Shuijie"/>
    <x v="8"/>
    <x v="6"/>
    <s v="Bank"/>
    <x v="8"/>
    <n v="-1040"/>
    <b v="1"/>
    <n v="-1040"/>
    <x v="0"/>
    <s v="Assets"/>
    <s v="Cash alike"/>
    <x v="2"/>
    <x v="1"/>
    <x v="0"/>
    <x v="0"/>
    <x v="6"/>
    <x v="6"/>
    <x v="0"/>
    <x v="1"/>
  </r>
  <r>
    <x v="599"/>
    <x v="2"/>
    <s v="Shuijie"/>
    <x v="8"/>
    <x v="6"/>
    <s v="Order"/>
    <x v="35"/>
    <n v="1040"/>
    <b v="1"/>
    <n v="1040"/>
    <x v="0"/>
    <s v="Assets"/>
    <s v="Prep-Sub"/>
    <x v="2"/>
    <x v="1"/>
    <x v="2"/>
    <x v="6"/>
    <x v="6"/>
    <x v="6"/>
    <x v="0"/>
    <x v="1"/>
  </r>
  <r>
    <x v="600"/>
    <x v="2"/>
    <s v="GM"/>
    <x v="8"/>
    <x v="6"/>
    <s v="ToEmp"/>
    <x v="52"/>
    <n v="-10923.39"/>
    <b v="1"/>
    <n v="10923.39"/>
    <x v="1"/>
    <s v="Liability"/>
    <s v="Rec-Pay"/>
    <x v="1"/>
    <x v="1"/>
    <x v="1"/>
    <x v="12"/>
    <x v="6"/>
    <x v="1"/>
    <x v="0"/>
    <x v="1"/>
  </r>
  <r>
    <x v="600"/>
    <x v="2"/>
    <s v="GM"/>
    <x v="8"/>
    <x v="6"/>
    <s v="Bank"/>
    <x v="8"/>
    <n v="-10923.39"/>
    <b v="1"/>
    <n v="-10923.39"/>
    <x v="0"/>
    <s v="Assets"/>
    <s v="Cash alike"/>
    <x v="1"/>
    <x v="1"/>
    <x v="0"/>
    <x v="0"/>
    <x v="6"/>
    <x v="1"/>
    <x v="0"/>
    <x v="1"/>
  </r>
  <r>
    <x v="601"/>
    <x v="2"/>
    <s v="Shuijie"/>
    <x v="8"/>
    <x v="6"/>
    <s v="ToEmp"/>
    <x v="52"/>
    <n v="-135867.84"/>
    <b v="1"/>
    <n v="135867.84"/>
    <x v="1"/>
    <s v="Liability"/>
    <s v="Rec-Pay"/>
    <x v="1"/>
    <x v="1"/>
    <x v="1"/>
    <x v="12"/>
    <x v="6"/>
    <x v="6"/>
    <x v="0"/>
    <x v="1"/>
  </r>
  <r>
    <x v="601"/>
    <x v="2"/>
    <s v="Shuijie"/>
    <x v="8"/>
    <x v="6"/>
    <s v="Bank"/>
    <x v="8"/>
    <n v="-124998.68999999999"/>
    <b v="1"/>
    <n v="-124998.68999999999"/>
    <x v="0"/>
    <s v="Assets"/>
    <s v="Cash alike"/>
    <x v="1"/>
    <x v="1"/>
    <x v="0"/>
    <x v="0"/>
    <x v="6"/>
    <x v="6"/>
    <x v="0"/>
    <x v="1"/>
  </r>
  <r>
    <x v="601"/>
    <x v="2"/>
    <s v="Shuijie"/>
    <x v="8"/>
    <x v="6"/>
    <s v="FrOther"/>
    <x v="22"/>
    <n v="-10497.3"/>
    <b v="1"/>
    <n v="-10497.3"/>
    <x v="0"/>
    <s v="Assets"/>
    <s v="Rec-Pay"/>
    <x v="1"/>
    <x v="1"/>
    <x v="1"/>
    <x v="3"/>
    <x v="6"/>
    <x v="6"/>
    <x v="0"/>
    <x v="1"/>
  </r>
  <r>
    <x v="601"/>
    <x v="2"/>
    <s v="Shuijie"/>
    <x v="8"/>
    <x v="6"/>
    <s v="ToTax"/>
    <x v="54"/>
    <n v="371.85"/>
    <b v="1"/>
    <n v="-371.85"/>
    <x v="1"/>
    <s v="Liability"/>
    <s v="Rec-Pay"/>
    <x v="1"/>
    <x v="1"/>
    <x v="1"/>
    <x v="11"/>
    <x v="6"/>
    <x v="6"/>
    <x v="0"/>
    <x v="1"/>
  </r>
  <r>
    <x v="602"/>
    <x v="2"/>
    <s v="Shuijie"/>
    <x v="35"/>
    <x v="6"/>
    <s v="Order"/>
    <x v="35"/>
    <n v="-488"/>
    <b v="1"/>
    <n v="-488"/>
    <x v="0"/>
    <s v="Assets"/>
    <s v="Prep-Sub"/>
    <x v="2"/>
    <x v="1"/>
    <x v="2"/>
    <x v="6"/>
    <x v="6"/>
    <x v="6"/>
    <x v="0"/>
    <x v="1"/>
  </r>
  <r>
    <x v="603"/>
    <x v="2"/>
    <s v="Shuijie"/>
    <x v="11"/>
    <x v="6"/>
    <s v="Order"/>
    <x v="35"/>
    <n v="-877"/>
    <b v="1"/>
    <n v="-877"/>
    <x v="0"/>
    <s v="Assets"/>
    <s v="Prep-Sub"/>
    <x v="2"/>
    <x v="1"/>
    <x v="2"/>
    <x v="6"/>
    <x v="6"/>
    <x v="6"/>
    <x v="0"/>
    <x v="1"/>
  </r>
  <r>
    <x v="603"/>
    <x v="2"/>
    <s v="Shuijie"/>
    <x v="11"/>
    <x v="6"/>
    <s v="Curr"/>
    <x v="37"/>
    <n v="877"/>
    <b v="1"/>
    <n v="877"/>
    <x v="0"/>
    <s v="Assets"/>
    <s v="Invtr"/>
    <x v="2"/>
    <x v="1"/>
    <x v="3"/>
    <x v="7"/>
    <x v="6"/>
    <x v="6"/>
    <x v="0"/>
    <x v="1"/>
  </r>
  <r>
    <x v="604"/>
    <x v="2"/>
    <s v="Shuijie"/>
    <x v="35"/>
    <x v="6"/>
    <s v="Order"/>
    <x v="35"/>
    <n v="-376"/>
    <b v="1"/>
    <n v="-376"/>
    <x v="0"/>
    <s v="Assets"/>
    <s v="Prep-Sub"/>
    <x v="2"/>
    <x v="1"/>
    <x v="2"/>
    <x v="6"/>
    <x v="6"/>
    <x v="6"/>
    <x v="0"/>
    <x v="1"/>
  </r>
  <r>
    <x v="605"/>
    <x v="2"/>
    <s v="Shuijie"/>
    <x v="35"/>
    <x v="6"/>
    <s v="Order"/>
    <x v="35"/>
    <n v="-14700"/>
    <b v="1"/>
    <n v="-14700"/>
    <x v="0"/>
    <s v="Assets"/>
    <s v="Prep-Sub"/>
    <x v="2"/>
    <x v="1"/>
    <x v="2"/>
    <x v="6"/>
    <x v="6"/>
    <x v="6"/>
    <x v="0"/>
    <x v="1"/>
  </r>
  <r>
    <x v="606"/>
    <x v="2"/>
    <s v="Shuijie"/>
    <x v="35"/>
    <x v="6"/>
    <s v="Order"/>
    <x v="35"/>
    <n v="-2940"/>
    <b v="1"/>
    <n v="-2940"/>
    <x v="0"/>
    <s v="Assets"/>
    <s v="Prep-Sub"/>
    <x v="2"/>
    <x v="1"/>
    <x v="2"/>
    <x v="6"/>
    <x v="6"/>
    <x v="6"/>
    <x v="0"/>
    <x v="1"/>
  </r>
  <r>
    <x v="607"/>
    <x v="2"/>
    <s v="Shuijie"/>
    <x v="35"/>
    <x v="6"/>
    <s v="Order"/>
    <x v="35"/>
    <n v="-1290"/>
    <b v="1"/>
    <n v="-1290"/>
    <x v="0"/>
    <s v="Assets"/>
    <s v="Prep-Sub"/>
    <x v="2"/>
    <x v="1"/>
    <x v="2"/>
    <x v="6"/>
    <x v="6"/>
    <x v="6"/>
    <x v="0"/>
    <x v="1"/>
  </r>
  <r>
    <x v="608"/>
    <x v="2"/>
    <s v="Shuijie"/>
    <x v="35"/>
    <x v="6"/>
    <s v="Order"/>
    <x v="35"/>
    <n v="-9998"/>
    <b v="1"/>
    <n v="-9998"/>
    <x v="0"/>
    <s v="Assets"/>
    <s v="Prep-Sub"/>
    <x v="2"/>
    <x v="1"/>
    <x v="2"/>
    <x v="6"/>
    <x v="6"/>
    <x v="6"/>
    <x v="0"/>
    <x v="1"/>
  </r>
  <r>
    <x v="609"/>
    <x v="2"/>
    <s v="Shuijie"/>
    <x v="8"/>
    <x v="6"/>
    <s v="ToEmp"/>
    <x v="68"/>
    <n v="-88450.01"/>
    <b v="1"/>
    <n v="88450.01"/>
    <x v="1"/>
    <s v="Liability"/>
    <s v="Rec-Pay"/>
    <x v="1"/>
    <x v="1"/>
    <x v="1"/>
    <x v="12"/>
    <x v="6"/>
    <x v="6"/>
    <x v="0"/>
    <x v="1"/>
  </r>
  <r>
    <x v="609"/>
    <x v="2"/>
    <s v="Shuijie"/>
    <x v="8"/>
    <x v="6"/>
    <s v="Bank"/>
    <x v="8"/>
    <n v="-85796.51"/>
    <b v="1"/>
    <n v="-85796.51"/>
    <x v="0"/>
    <s v="Assets"/>
    <s v="Cash alike"/>
    <x v="1"/>
    <x v="1"/>
    <x v="0"/>
    <x v="0"/>
    <x v="6"/>
    <x v="6"/>
    <x v="0"/>
    <x v="1"/>
  </r>
  <r>
    <x v="609"/>
    <x v="2"/>
    <s v="Shuijie"/>
    <x v="8"/>
    <x v="6"/>
    <s v="ToTax"/>
    <x v="54"/>
    <n v="2653.5"/>
    <b v="1"/>
    <n v="-2653.5"/>
    <x v="1"/>
    <s v="Liability"/>
    <s v="Rec-Pay"/>
    <x v="1"/>
    <x v="1"/>
    <x v="1"/>
    <x v="11"/>
    <x v="6"/>
    <x v="6"/>
    <x v="0"/>
    <x v="1"/>
  </r>
  <r>
    <x v="610"/>
    <x v="2"/>
    <s v="Shuijie"/>
    <x v="8"/>
    <x v="6"/>
    <s v="ToTax"/>
    <x v="54"/>
    <n v="-3025.35"/>
    <b v="1"/>
    <n v="3025.35"/>
    <x v="1"/>
    <s v="Liability"/>
    <s v="Rec-Pay"/>
    <x v="1"/>
    <x v="1"/>
    <x v="1"/>
    <x v="11"/>
    <x v="6"/>
    <x v="6"/>
    <x v="0"/>
    <x v="1"/>
  </r>
  <r>
    <x v="610"/>
    <x v="2"/>
    <s v="Shuijie"/>
    <x v="8"/>
    <x v="6"/>
    <s v="Bank"/>
    <x v="8"/>
    <n v="-3025.35"/>
    <b v="1"/>
    <n v="-3025.35"/>
    <x v="0"/>
    <s v="Assets"/>
    <s v="Cash alike"/>
    <x v="1"/>
    <x v="1"/>
    <x v="0"/>
    <x v="0"/>
    <x v="6"/>
    <x v="6"/>
    <x v="0"/>
    <x v="1"/>
  </r>
  <r>
    <x v="611"/>
    <x v="2"/>
    <s v="Shuijie"/>
    <x v="11"/>
    <x v="6"/>
    <s v="Curr"/>
    <x v="74"/>
    <n v="1524"/>
    <b v="1"/>
    <n v="1524"/>
    <x v="0"/>
    <s v="Assets"/>
    <s v="Invtr"/>
    <x v="2"/>
    <x v="1"/>
    <x v="3"/>
    <x v="7"/>
    <x v="6"/>
    <x v="6"/>
    <x v="0"/>
    <x v="1"/>
  </r>
  <r>
    <x v="611"/>
    <x v="2"/>
    <s v="Shuijie"/>
    <x v="11"/>
    <x v="6"/>
    <s v="Bank"/>
    <x v="8"/>
    <n v="-1524"/>
    <b v="1"/>
    <n v="-1524"/>
    <x v="0"/>
    <s v="Assets"/>
    <s v="Cash alike"/>
    <x v="2"/>
    <x v="1"/>
    <x v="0"/>
    <x v="0"/>
    <x v="6"/>
    <x v="6"/>
    <x v="0"/>
    <x v="1"/>
  </r>
  <r>
    <x v="612"/>
    <x v="2"/>
    <s v="Shuijie"/>
    <x v="14"/>
    <x v="6"/>
    <s v="Bank"/>
    <x v="8"/>
    <n v="-93.3"/>
    <b v="1"/>
    <n v="-93.3"/>
    <x v="0"/>
    <s v="Assets"/>
    <s v="Cash alike"/>
    <x v="1"/>
    <x v="1"/>
    <x v="0"/>
    <x v="0"/>
    <x v="6"/>
    <x v="6"/>
    <x v="0"/>
    <x v="1"/>
  </r>
  <r>
    <x v="613"/>
    <x v="2"/>
    <s v="Shuijie"/>
    <x v="8"/>
    <x v="6"/>
    <s v="Order"/>
    <x v="35"/>
    <n v="6563"/>
    <b v="1"/>
    <n v="6563"/>
    <x v="0"/>
    <s v="Assets"/>
    <s v="Prep-Sub"/>
    <x v="2"/>
    <x v="1"/>
    <x v="2"/>
    <x v="6"/>
    <x v="6"/>
    <x v="6"/>
    <x v="0"/>
    <x v="1"/>
  </r>
  <r>
    <x v="613"/>
    <x v="2"/>
    <s v="Shuijie"/>
    <x v="8"/>
    <x v="6"/>
    <s v="Bank"/>
    <x v="8"/>
    <n v="-6563"/>
    <b v="1"/>
    <n v="-6563"/>
    <x v="0"/>
    <s v="Assets"/>
    <s v="Cash alike"/>
    <x v="2"/>
    <x v="1"/>
    <x v="0"/>
    <x v="0"/>
    <x v="6"/>
    <x v="6"/>
    <x v="0"/>
    <x v="1"/>
  </r>
  <r>
    <x v="614"/>
    <x v="2"/>
    <s v="Shuijie"/>
    <x v="35"/>
    <x v="6"/>
    <s v="Bank"/>
    <x v="8"/>
    <n v="-1160"/>
    <b v="1"/>
    <n v="-1160"/>
    <x v="0"/>
    <s v="Assets"/>
    <s v="Cash alike"/>
    <x v="2"/>
    <x v="1"/>
    <x v="0"/>
    <x v="0"/>
    <x v="6"/>
    <x v="6"/>
    <x v="0"/>
    <x v="1"/>
  </r>
  <r>
    <x v="615"/>
    <x v="2"/>
    <s v="Shuijie"/>
    <x v="8"/>
    <x v="6"/>
    <s v="Bank"/>
    <x v="8"/>
    <n v="-1560"/>
    <b v="1"/>
    <n v="-1560"/>
    <x v="0"/>
    <s v="Assets"/>
    <s v="Cash alike"/>
    <x v="2"/>
    <x v="1"/>
    <x v="0"/>
    <x v="0"/>
    <x v="6"/>
    <x v="6"/>
    <x v="0"/>
    <x v="1"/>
  </r>
  <r>
    <x v="615"/>
    <x v="2"/>
    <s v="Shuijie"/>
    <x v="8"/>
    <x v="6"/>
    <s v="Order"/>
    <x v="35"/>
    <n v="1560"/>
    <b v="1"/>
    <n v="1560"/>
    <x v="0"/>
    <s v="Assets"/>
    <s v="Prep-Sub"/>
    <x v="2"/>
    <x v="1"/>
    <x v="2"/>
    <x v="6"/>
    <x v="6"/>
    <x v="6"/>
    <x v="0"/>
    <x v="1"/>
  </r>
  <r>
    <x v="616"/>
    <x v="2"/>
    <s v="GM"/>
    <x v="13"/>
    <x v="6"/>
    <s v="Bank"/>
    <x v="8"/>
    <n v="-47"/>
    <b v="1"/>
    <n v="-47"/>
    <x v="0"/>
    <s v="Assets"/>
    <s v="Cash alike"/>
    <x v="1"/>
    <x v="1"/>
    <x v="0"/>
    <x v="0"/>
    <x v="6"/>
    <x v="1"/>
    <x v="0"/>
    <x v="1"/>
  </r>
  <r>
    <x v="617"/>
    <x v="2"/>
    <s v="Shuijie"/>
    <x v="33"/>
    <x v="6"/>
    <s v="Bank"/>
    <x v="8"/>
    <n v="352023.23000000004"/>
    <b v="1"/>
    <n v="352023.23000000004"/>
    <x v="0"/>
    <s v="Assets"/>
    <s v="Cash alike"/>
    <x v="3"/>
    <x v="1"/>
    <x v="0"/>
    <x v="0"/>
    <x v="6"/>
    <x v="6"/>
    <x v="0"/>
    <x v="1"/>
  </r>
  <r>
    <x v="617"/>
    <x v="2"/>
    <s v="Shuijie"/>
    <x v="33"/>
    <x v="6"/>
    <s v="AR"/>
    <x v="21"/>
    <n v="-352023.23000000004"/>
    <b v="1"/>
    <n v="-352023.23000000004"/>
    <x v="0"/>
    <s v="Assets"/>
    <s v="Rec-Pay"/>
    <x v="3"/>
    <x v="1"/>
    <x v="1"/>
    <x v="2"/>
    <x v="6"/>
    <x v="6"/>
    <x v="0"/>
    <x v="1"/>
  </r>
  <r>
    <x v="618"/>
    <x v="2"/>
    <s v="Shuijie"/>
    <x v="40"/>
    <x v="6"/>
    <s v="AR"/>
    <x v="21"/>
    <n v="353964.75"/>
    <b v="1"/>
    <n v="353964.75"/>
    <x v="0"/>
    <s v="Assets"/>
    <s v="Rec-Pay"/>
    <x v="3"/>
    <x v="1"/>
    <x v="1"/>
    <x v="2"/>
    <x v="6"/>
    <x v="6"/>
    <x v="0"/>
    <x v="1"/>
  </r>
  <r>
    <x v="618"/>
    <x v="2"/>
    <s v="Shuijie"/>
    <x v="40"/>
    <x v="6"/>
    <s v="Phys.C"/>
    <x v="9"/>
    <n v="2504"/>
    <b v="1"/>
    <n v="2504"/>
    <x v="0"/>
    <s v="Assets"/>
    <s v="Cash alike"/>
    <x v="3"/>
    <x v="1"/>
    <x v="0"/>
    <x v="1"/>
    <x v="6"/>
    <x v="6"/>
    <x v="0"/>
    <x v="1"/>
  </r>
  <r>
    <x v="619"/>
    <x v="2"/>
    <s v="Shuijie"/>
    <x v="12"/>
    <x v="6"/>
    <s v="ToTax"/>
    <x v="47"/>
    <n v="3630.53"/>
    <b v="1"/>
    <n v="-3630.53"/>
    <x v="1"/>
    <s v="Liability"/>
    <s v="Rec-Pay"/>
    <x v="2"/>
    <x v="1"/>
    <x v="1"/>
    <x v="11"/>
    <x v="6"/>
    <x v="6"/>
    <x v="0"/>
    <x v="1"/>
  </r>
  <r>
    <x v="620"/>
    <x v="2"/>
    <s v="Shuijie"/>
    <x v="42"/>
    <x v="6"/>
    <s v="AR"/>
    <x v="21"/>
    <n v="-1381.56"/>
    <b v="1"/>
    <n v="-1381.56"/>
    <x v="0"/>
    <s v="Assets"/>
    <s v="Rec-Pay"/>
    <x v="1"/>
    <x v="1"/>
    <x v="1"/>
    <x v="2"/>
    <x v="6"/>
    <x v="6"/>
    <x v="0"/>
    <x v="1"/>
  </r>
  <r>
    <x v="621"/>
    <x v="2"/>
    <s v="Shuijie"/>
    <x v="34"/>
    <x v="6"/>
    <s v="AR"/>
    <x v="21"/>
    <n v="4197"/>
    <b v="1"/>
    <n v="4197"/>
    <x v="0"/>
    <s v="Assets"/>
    <s v="Rec-Pay"/>
    <x v="3"/>
    <x v="1"/>
    <x v="1"/>
    <x v="2"/>
    <x v="6"/>
    <x v="6"/>
    <x v="0"/>
    <x v="1"/>
  </r>
  <r>
    <x v="621"/>
    <x v="2"/>
    <s v="Shuijie"/>
    <x v="34"/>
    <x v="6"/>
    <s v="Phys.C"/>
    <x v="9"/>
    <n v="38"/>
    <b v="1"/>
    <n v="38"/>
    <x v="0"/>
    <s v="Assets"/>
    <s v="Cash alike"/>
    <x v="3"/>
    <x v="1"/>
    <x v="0"/>
    <x v="1"/>
    <x v="6"/>
    <x v="6"/>
    <x v="0"/>
    <x v="1"/>
  </r>
  <r>
    <x v="622"/>
    <x v="2"/>
    <s v="Shuijie"/>
    <x v="42"/>
    <x v="6"/>
    <s v="AR"/>
    <x v="21"/>
    <n v="-14.68"/>
    <b v="1"/>
    <n v="-14.68"/>
    <x v="0"/>
    <s v="Assets"/>
    <s v="Rec-Pay"/>
    <x v="1"/>
    <x v="1"/>
    <x v="1"/>
    <x v="2"/>
    <x v="6"/>
    <x v="6"/>
    <x v="0"/>
    <x v="1"/>
  </r>
  <r>
    <x v="623"/>
    <x v="2"/>
    <s v="Shuijie"/>
    <x v="43"/>
    <x v="6"/>
    <s v="Curr"/>
    <x v="37"/>
    <n v="-2127.5"/>
    <b v="1"/>
    <n v="-2127.5"/>
    <x v="0"/>
    <s v="Assets"/>
    <s v="Invtr"/>
    <x v="2"/>
    <x v="1"/>
    <x v="3"/>
    <x v="7"/>
    <x v="6"/>
    <x v="6"/>
    <x v="0"/>
    <x v="1"/>
  </r>
  <r>
    <x v="624"/>
    <x v="2"/>
    <s v="Shuijie"/>
    <x v="35"/>
    <x v="6"/>
    <s v="Order"/>
    <x v="35"/>
    <n v="-12576"/>
    <b v="1"/>
    <n v="-12576"/>
    <x v="0"/>
    <s v="Assets"/>
    <s v="Prep-Sub"/>
    <x v="2"/>
    <x v="1"/>
    <x v="2"/>
    <x v="6"/>
    <x v="6"/>
    <x v="6"/>
    <x v="0"/>
    <x v="1"/>
  </r>
  <r>
    <x v="625"/>
    <x v="2"/>
    <s v="Shuijie"/>
    <x v="14"/>
    <x v="6"/>
    <s v="ToEmp"/>
    <x v="52"/>
    <n v="124139.28"/>
    <b v="1"/>
    <n v="-124139.28"/>
    <x v="1"/>
    <s v="Liability"/>
    <s v="Rec-Pay"/>
    <x v="1"/>
    <x v="1"/>
    <x v="1"/>
    <x v="12"/>
    <x v="6"/>
    <x v="6"/>
    <x v="0"/>
    <x v="1"/>
  </r>
  <r>
    <x v="626"/>
    <x v="2"/>
    <s v="GM"/>
    <x v="14"/>
    <x v="6"/>
    <s v="ToEmp"/>
    <x v="52"/>
    <n v="8880.5"/>
    <b v="1"/>
    <n v="-8880.5"/>
    <x v="1"/>
    <s v="Liability"/>
    <s v="Rec-Pay"/>
    <x v="1"/>
    <x v="1"/>
    <x v="1"/>
    <x v="12"/>
    <x v="6"/>
    <x v="1"/>
    <x v="0"/>
    <x v="1"/>
  </r>
  <r>
    <x v="627"/>
    <x v="2"/>
    <s v="Shuijie"/>
    <x v="44"/>
    <x v="6"/>
    <s v="ToTax"/>
    <x v="49"/>
    <n v="217.82999999999998"/>
    <b v="1"/>
    <n v="-217.82999999999998"/>
    <x v="1"/>
    <s v="Liability"/>
    <s v="Rec-Pay"/>
    <x v="1"/>
    <x v="1"/>
    <x v="1"/>
    <x v="11"/>
    <x v="6"/>
    <x v="6"/>
    <x v="0"/>
    <x v="1"/>
  </r>
  <r>
    <x v="627"/>
    <x v="2"/>
    <s v="Shuijie"/>
    <x v="44"/>
    <x v="6"/>
    <s v="ToTax"/>
    <x v="50"/>
    <n v="18.809999999999999"/>
    <b v="1"/>
    <n v="-18.809999999999999"/>
    <x v="1"/>
    <s v="Liability"/>
    <s v="Rec-Pay"/>
    <x v="1"/>
    <x v="1"/>
    <x v="1"/>
    <x v="11"/>
    <x v="6"/>
    <x v="6"/>
    <x v="0"/>
    <x v="1"/>
  </r>
  <r>
    <x v="628"/>
    <x v="2"/>
    <s v="Shuijie"/>
    <x v="11"/>
    <x v="6"/>
    <s v="Curr"/>
    <x v="37"/>
    <n v="1092.1400000000001"/>
    <b v="1"/>
    <n v="1092.1400000000001"/>
    <x v="0"/>
    <s v="Assets"/>
    <s v="Invtr"/>
    <x v="2"/>
    <x v="1"/>
    <x v="3"/>
    <x v="7"/>
    <x v="6"/>
    <x v="6"/>
    <x v="0"/>
    <x v="1"/>
  </r>
  <r>
    <x v="628"/>
    <x v="2"/>
    <s v="Shuijie"/>
    <x v="11"/>
    <x v="6"/>
    <s v="OnEmp"/>
    <x v="24"/>
    <n v="-1092.1400000000001"/>
    <b v="1"/>
    <n v="-1092.1400000000001"/>
    <x v="0"/>
    <s v="Assets"/>
    <s v="Prep-Sub"/>
    <x v="2"/>
    <x v="1"/>
    <x v="2"/>
    <x v="5"/>
    <x v="6"/>
    <x v="6"/>
    <x v="0"/>
    <x v="1"/>
  </r>
  <r>
    <x v="629"/>
    <x v="2"/>
    <s v="Shuijie"/>
    <x v="35"/>
    <x v="6"/>
    <s v="Order"/>
    <x v="35"/>
    <n v="-3381.5"/>
    <b v="1"/>
    <n v="-3381.5"/>
    <x v="0"/>
    <s v="Assets"/>
    <s v="Prep-Sub"/>
    <x v="2"/>
    <x v="1"/>
    <x v="2"/>
    <x v="6"/>
    <x v="6"/>
    <x v="6"/>
    <x v="0"/>
    <x v="1"/>
  </r>
  <r>
    <x v="630"/>
    <x v="2"/>
    <s v="Shuijie"/>
    <x v="35"/>
    <x v="6"/>
    <s v="Order"/>
    <x v="35"/>
    <n v="-7020"/>
    <b v="1"/>
    <n v="-7020"/>
    <x v="0"/>
    <s v="Assets"/>
    <s v="Prep-Sub"/>
    <x v="2"/>
    <x v="1"/>
    <x v="2"/>
    <x v="6"/>
    <x v="6"/>
    <x v="6"/>
    <x v="0"/>
    <x v="1"/>
  </r>
  <r>
    <x v="631"/>
    <x v="2"/>
    <s v="Shuijie"/>
    <x v="35"/>
    <x v="6"/>
    <s v="Order"/>
    <x v="35"/>
    <n v="-7302"/>
    <b v="1"/>
    <n v="-7302"/>
    <x v="0"/>
    <s v="Assets"/>
    <s v="Prep-Sub"/>
    <x v="2"/>
    <x v="1"/>
    <x v="2"/>
    <x v="6"/>
    <x v="6"/>
    <x v="6"/>
    <x v="0"/>
    <x v="1"/>
  </r>
  <r>
    <x v="632"/>
    <x v="2"/>
    <s v="Shuijie"/>
    <x v="35"/>
    <x v="6"/>
    <s v="Order"/>
    <x v="35"/>
    <n v="-3218"/>
    <b v="1"/>
    <n v="-3218"/>
    <x v="0"/>
    <s v="Assets"/>
    <s v="Prep-Sub"/>
    <x v="2"/>
    <x v="1"/>
    <x v="2"/>
    <x v="6"/>
    <x v="6"/>
    <x v="6"/>
    <x v="0"/>
    <x v="1"/>
  </r>
  <r>
    <x v="633"/>
    <x v="2"/>
    <s v="Shuijie"/>
    <x v="35"/>
    <x v="6"/>
    <s v="Order"/>
    <x v="35"/>
    <n v="-1040"/>
    <b v="1"/>
    <n v="-1040"/>
    <x v="0"/>
    <s v="Assets"/>
    <s v="Prep-Sub"/>
    <x v="2"/>
    <x v="1"/>
    <x v="2"/>
    <x v="6"/>
    <x v="6"/>
    <x v="6"/>
    <x v="0"/>
    <x v="1"/>
  </r>
  <r>
    <x v="634"/>
    <x v="2"/>
    <s v="Shuijie"/>
    <x v="44"/>
    <x v="6"/>
    <s v="ToTax"/>
    <x v="51"/>
    <n v="2601.54"/>
    <b v="1"/>
    <n v="-2601.54"/>
    <x v="1"/>
    <s v="Liability"/>
    <s v="Rec-Pay"/>
    <x v="1"/>
    <x v="1"/>
    <x v="1"/>
    <x v="11"/>
    <x v="6"/>
    <x v="6"/>
    <x v="0"/>
    <x v="1"/>
  </r>
  <r>
    <x v="635"/>
    <x v="2"/>
    <s v="Shuijie"/>
    <x v="33"/>
    <x v="5"/>
    <s v="Bank"/>
    <x v="6"/>
    <n v="2689.74"/>
    <b v="1"/>
    <n v="2689.74"/>
    <x v="0"/>
    <s v="Assets"/>
    <s v="Cash alike"/>
    <x v="3"/>
    <x v="1"/>
    <x v="0"/>
    <x v="0"/>
    <x v="5"/>
    <x v="6"/>
    <x v="0"/>
    <x v="1"/>
  </r>
  <r>
    <x v="635"/>
    <x v="2"/>
    <s v="Shuijie"/>
    <x v="33"/>
    <x v="5"/>
    <s v="AR"/>
    <x v="21"/>
    <n v="-2689.74"/>
    <b v="1"/>
    <n v="-2689.74"/>
    <x v="0"/>
    <s v="Assets"/>
    <s v="Rec-Pay"/>
    <x v="3"/>
    <x v="1"/>
    <x v="1"/>
    <x v="2"/>
    <x v="5"/>
    <x v="6"/>
    <x v="0"/>
    <x v="1"/>
  </r>
  <r>
    <x v="636"/>
    <x v="2"/>
    <s v="GM"/>
    <x v="6"/>
    <x v="5"/>
    <s v="Bank"/>
    <x v="6"/>
    <n v="-5060.82"/>
    <b v="1"/>
    <n v="-5060.82"/>
    <x v="0"/>
    <s v="Assets"/>
    <s v="Cash alike"/>
    <x v="1"/>
    <x v="1"/>
    <x v="0"/>
    <x v="0"/>
    <x v="5"/>
    <x v="1"/>
    <x v="0"/>
    <x v="1"/>
  </r>
  <r>
    <x v="636"/>
    <x v="2"/>
    <s v="GM"/>
    <x v="6"/>
    <x v="5"/>
    <s v="FrOther"/>
    <x v="22"/>
    <n v="1474.3"/>
    <b v="1"/>
    <n v="1474.3"/>
    <x v="0"/>
    <s v="Assets"/>
    <s v="Rec-Pay"/>
    <x v="1"/>
    <x v="1"/>
    <x v="1"/>
    <x v="3"/>
    <x v="5"/>
    <x v="1"/>
    <x v="0"/>
    <x v="1"/>
  </r>
  <r>
    <x v="637"/>
    <x v="2"/>
    <s v="Shuijie"/>
    <x v="36"/>
    <x v="5"/>
    <s v="Bank"/>
    <x v="6"/>
    <n v="-2238.81"/>
    <b v="1"/>
    <n v="-2238.81"/>
    <x v="0"/>
    <s v="Assets"/>
    <s v="Cash alike"/>
    <x v="2"/>
    <x v="1"/>
    <x v="0"/>
    <x v="0"/>
    <x v="5"/>
    <x v="6"/>
    <x v="0"/>
    <x v="1"/>
  </r>
  <r>
    <x v="638"/>
    <x v="2"/>
    <s v="Shuijie"/>
    <x v="30"/>
    <x v="5"/>
    <s v="Bank"/>
    <x v="6"/>
    <n v="-794"/>
    <b v="1"/>
    <n v="-794"/>
    <x v="0"/>
    <s v="Assets"/>
    <s v="Cash alike"/>
    <x v="1"/>
    <x v="1"/>
    <x v="0"/>
    <x v="0"/>
    <x v="5"/>
    <x v="6"/>
    <x v="0"/>
    <x v="1"/>
  </r>
  <r>
    <x v="639"/>
    <x v="2"/>
    <s v="Shuijie"/>
    <x v="39"/>
    <x v="5"/>
    <s v="Bank"/>
    <x v="6"/>
    <n v="1000"/>
    <b v="1"/>
    <n v="1000"/>
    <x v="0"/>
    <s v="Assets"/>
    <s v="Cash alike"/>
    <x v="3"/>
    <x v="1"/>
    <x v="0"/>
    <x v="0"/>
    <x v="5"/>
    <x v="6"/>
    <x v="0"/>
    <x v="1"/>
  </r>
  <r>
    <x v="639"/>
    <x v="2"/>
    <s v="Shuijie"/>
    <x v="39"/>
    <x v="5"/>
    <s v="Phys.C"/>
    <x v="7"/>
    <n v="-1000"/>
    <b v="1"/>
    <n v="-1000"/>
    <x v="0"/>
    <s v="Assets"/>
    <s v="Cash alike"/>
    <x v="3"/>
    <x v="1"/>
    <x v="0"/>
    <x v="1"/>
    <x v="5"/>
    <x v="6"/>
    <x v="0"/>
    <x v="1"/>
  </r>
  <r>
    <x v="640"/>
    <x v="2"/>
    <s v="Shuijie"/>
    <x v="36"/>
    <x v="5"/>
    <s v="Bank"/>
    <x v="6"/>
    <n v="-1979.57"/>
    <b v="1"/>
    <n v="-1979.57"/>
    <x v="0"/>
    <s v="Assets"/>
    <s v="Cash alike"/>
    <x v="2"/>
    <x v="1"/>
    <x v="0"/>
    <x v="0"/>
    <x v="5"/>
    <x v="6"/>
    <x v="0"/>
    <x v="1"/>
  </r>
  <r>
    <x v="641"/>
    <x v="2"/>
    <s v="GM"/>
    <x v="8"/>
    <x v="5"/>
    <s v="Bank"/>
    <x v="6"/>
    <n v="-33595.449999999997"/>
    <b v="1"/>
    <n v="-33595.449999999997"/>
    <x v="0"/>
    <s v="Assets"/>
    <s v="Cash alike"/>
    <x v="1"/>
    <x v="1"/>
    <x v="0"/>
    <x v="0"/>
    <x v="5"/>
    <x v="1"/>
    <x v="0"/>
    <x v="1"/>
  </r>
  <r>
    <x v="641"/>
    <x v="2"/>
    <s v="GM"/>
    <x v="8"/>
    <x v="5"/>
    <s v="ToEmp"/>
    <x v="52"/>
    <n v="-35490.239999999998"/>
    <b v="1"/>
    <n v="35490.239999999998"/>
    <x v="1"/>
    <s v="Liability"/>
    <s v="Rec-Pay"/>
    <x v="1"/>
    <x v="1"/>
    <x v="1"/>
    <x v="12"/>
    <x v="5"/>
    <x v="1"/>
    <x v="0"/>
    <x v="1"/>
  </r>
  <r>
    <x v="641"/>
    <x v="2"/>
    <s v="GM"/>
    <x v="8"/>
    <x v="5"/>
    <s v="ToTax"/>
    <x v="54"/>
    <n v="420.49"/>
    <b v="1"/>
    <n v="-420.49"/>
    <x v="1"/>
    <s v="Liability"/>
    <s v="Rec-Pay"/>
    <x v="1"/>
    <x v="1"/>
    <x v="1"/>
    <x v="11"/>
    <x v="5"/>
    <x v="1"/>
    <x v="0"/>
    <x v="1"/>
  </r>
  <r>
    <x v="641"/>
    <x v="2"/>
    <s v="GM"/>
    <x v="8"/>
    <x v="5"/>
    <s v="FrOther"/>
    <x v="22"/>
    <n v="-1474.3"/>
    <b v="1"/>
    <n v="-1474.3"/>
    <x v="0"/>
    <s v="Assets"/>
    <s v="Rec-Pay"/>
    <x v="1"/>
    <x v="1"/>
    <x v="1"/>
    <x v="3"/>
    <x v="5"/>
    <x v="1"/>
    <x v="0"/>
    <x v="1"/>
  </r>
  <r>
    <x v="642"/>
    <x v="2"/>
    <s v="Shuijie"/>
    <x v="8"/>
    <x v="5"/>
    <s v="ToTax"/>
    <x v="54"/>
    <n v="-13578.82"/>
    <b v="1"/>
    <n v="13578.82"/>
    <x v="1"/>
    <s v="Liability"/>
    <s v="Rec-Pay"/>
    <x v="1"/>
    <x v="1"/>
    <x v="1"/>
    <x v="11"/>
    <x v="5"/>
    <x v="6"/>
    <x v="0"/>
    <x v="1"/>
  </r>
  <r>
    <x v="642"/>
    <x v="2"/>
    <s v="Shuijie"/>
    <x v="8"/>
    <x v="5"/>
    <s v="Bank"/>
    <x v="6"/>
    <n v="-13578.82"/>
    <b v="1"/>
    <n v="-13578.82"/>
    <x v="0"/>
    <s v="Assets"/>
    <s v="Cash alike"/>
    <x v="1"/>
    <x v="1"/>
    <x v="0"/>
    <x v="0"/>
    <x v="5"/>
    <x v="6"/>
    <x v="0"/>
    <x v="1"/>
  </r>
  <r>
    <x v="643"/>
    <x v="2"/>
    <s v="Ctrl"/>
    <x v="7"/>
    <x v="5"/>
    <s v="Bank"/>
    <x v="6"/>
    <n v="10000"/>
    <b v="1"/>
    <n v="10000"/>
    <x v="0"/>
    <s v="Assets"/>
    <s v="Cash alike"/>
    <x v="0"/>
    <x v="0"/>
    <x v="0"/>
    <x v="0"/>
    <x v="5"/>
    <x v="0"/>
    <x v="0"/>
    <x v="1"/>
  </r>
  <r>
    <x v="643"/>
    <x v="2"/>
    <s v="Ctrl"/>
    <x v="7"/>
    <x v="0"/>
    <s v="Bank"/>
    <x v="0"/>
    <n v="-10000"/>
    <b v="1"/>
    <n v="-10000"/>
    <x v="0"/>
    <s v="Assets"/>
    <s v="Cash alike"/>
    <x v="0"/>
    <x v="0"/>
    <x v="0"/>
    <x v="0"/>
    <x v="0"/>
    <x v="0"/>
    <x v="0"/>
    <x v="1"/>
  </r>
  <r>
    <x v="644"/>
    <x v="2"/>
    <s v="Shuijie"/>
    <x v="33"/>
    <x v="5"/>
    <s v="Bank"/>
    <x v="6"/>
    <n v="44701.51"/>
    <b v="1"/>
    <n v="44701.51"/>
    <x v="0"/>
    <s v="Assets"/>
    <s v="Cash alike"/>
    <x v="3"/>
    <x v="1"/>
    <x v="0"/>
    <x v="0"/>
    <x v="5"/>
    <x v="6"/>
    <x v="0"/>
    <x v="1"/>
  </r>
  <r>
    <x v="644"/>
    <x v="2"/>
    <s v="Shuijie"/>
    <x v="33"/>
    <x v="5"/>
    <s v="AR"/>
    <x v="21"/>
    <n v="-44701.51"/>
    <b v="1"/>
    <n v="-44701.51"/>
    <x v="0"/>
    <s v="Assets"/>
    <s v="Rec-Pay"/>
    <x v="3"/>
    <x v="1"/>
    <x v="1"/>
    <x v="2"/>
    <x v="5"/>
    <x v="6"/>
    <x v="0"/>
    <x v="1"/>
  </r>
  <r>
    <x v="645"/>
    <x v="2"/>
    <s v="Shuijie"/>
    <x v="8"/>
    <x v="5"/>
    <s v="Bank"/>
    <x v="6"/>
    <n v="-37758.33"/>
    <b v="1"/>
    <n v="-37758.33"/>
    <x v="0"/>
    <s v="Assets"/>
    <s v="Cash alike"/>
    <x v="1"/>
    <x v="1"/>
    <x v="0"/>
    <x v="0"/>
    <x v="5"/>
    <x v="6"/>
    <x v="0"/>
    <x v="1"/>
  </r>
  <r>
    <x v="645"/>
    <x v="2"/>
    <s v="Shuijie"/>
    <x v="8"/>
    <x v="5"/>
    <s v="ToEmp"/>
    <x v="68"/>
    <n v="-50916.66"/>
    <b v="1"/>
    <n v="50916.66"/>
    <x v="1"/>
    <s v="Liability"/>
    <s v="Rec-Pay"/>
    <x v="1"/>
    <x v="1"/>
    <x v="1"/>
    <x v="12"/>
    <x v="5"/>
    <x v="6"/>
    <x v="0"/>
    <x v="1"/>
  </r>
  <r>
    <x v="645"/>
    <x v="2"/>
    <s v="Shuijie"/>
    <x v="8"/>
    <x v="5"/>
    <s v="ToTax"/>
    <x v="54"/>
    <n v="13158.33"/>
    <b v="1"/>
    <n v="-13158.33"/>
    <x v="1"/>
    <s v="Liability"/>
    <s v="Rec-Pay"/>
    <x v="1"/>
    <x v="1"/>
    <x v="1"/>
    <x v="11"/>
    <x v="5"/>
    <x v="6"/>
    <x v="0"/>
    <x v="1"/>
  </r>
  <r>
    <x v="646"/>
    <x v="2"/>
    <s v="GM"/>
    <x v="22"/>
    <x v="5"/>
    <s v="Bank"/>
    <x v="6"/>
    <n v="-90000"/>
    <b v="1"/>
    <n v="-90000"/>
    <x v="0"/>
    <s v="Assets"/>
    <s v="Cash alike"/>
    <x v="0"/>
    <x v="0"/>
    <x v="0"/>
    <x v="0"/>
    <x v="5"/>
    <x v="1"/>
    <x v="0"/>
    <x v="1"/>
  </r>
  <r>
    <x v="646"/>
    <x v="2"/>
    <s v="GM"/>
    <x v="22"/>
    <x v="4"/>
    <s v="RE"/>
    <x v="62"/>
    <n v="-90000"/>
    <b v="1"/>
    <n v="90000"/>
    <x v="1"/>
    <s v="Equity"/>
    <s v="Rsv"/>
    <x v="0"/>
    <x v="0"/>
    <x v="7"/>
    <x v="17"/>
    <x v="4"/>
    <x v="1"/>
    <x v="0"/>
    <x v="1"/>
  </r>
  <r>
    <x v="647"/>
    <x v="2"/>
    <s v="GM"/>
    <x v="13"/>
    <x v="5"/>
    <s v="Bank"/>
    <x v="6"/>
    <n v="-5.8"/>
    <b v="1"/>
    <n v="-5.8"/>
    <x v="0"/>
    <s v="Assets"/>
    <s v="Cash alike"/>
    <x v="1"/>
    <x v="1"/>
    <x v="0"/>
    <x v="0"/>
    <x v="5"/>
    <x v="1"/>
    <x v="0"/>
    <x v="1"/>
  </r>
  <r>
    <x v="648"/>
    <x v="2"/>
    <s v="Brand"/>
    <x v="46"/>
    <x v="5"/>
    <s v="Property"/>
    <x v="43"/>
    <n v="-54022.96"/>
    <b v="1"/>
    <n v="-54022.96"/>
    <x v="0"/>
    <s v="Assets"/>
    <s v="PP&amp;E"/>
    <x v="1"/>
    <x v="1"/>
    <x v="4"/>
    <x v="8"/>
    <x v="5"/>
    <x v="3"/>
    <x v="0"/>
    <x v="1"/>
  </r>
  <r>
    <x v="649"/>
    <x v="2"/>
    <s v="Shuijie"/>
    <x v="40"/>
    <x v="5"/>
    <s v="AR"/>
    <x v="21"/>
    <n v="46550"/>
    <b v="1"/>
    <n v="46550"/>
    <x v="0"/>
    <s v="Assets"/>
    <s v="Rec-Pay"/>
    <x v="3"/>
    <x v="1"/>
    <x v="1"/>
    <x v="2"/>
    <x v="5"/>
    <x v="6"/>
    <x v="0"/>
    <x v="1"/>
  </r>
  <r>
    <x v="649"/>
    <x v="2"/>
    <s v="Shuijie"/>
    <x v="40"/>
    <x v="5"/>
    <s v="Phys.C"/>
    <x v="7"/>
    <n v="1000"/>
    <b v="1"/>
    <n v="1000"/>
    <x v="0"/>
    <s v="Assets"/>
    <s v="Cash alike"/>
    <x v="3"/>
    <x v="1"/>
    <x v="0"/>
    <x v="1"/>
    <x v="5"/>
    <x v="6"/>
    <x v="0"/>
    <x v="1"/>
  </r>
  <r>
    <x v="650"/>
    <x v="2"/>
    <s v="Shuijie"/>
    <x v="12"/>
    <x v="5"/>
    <s v="ToTax"/>
    <x v="47"/>
    <n v="470.79"/>
    <b v="1"/>
    <n v="-470.79"/>
    <x v="1"/>
    <s v="Liability"/>
    <s v="Rec-Pay"/>
    <x v="2"/>
    <x v="1"/>
    <x v="1"/>
    <x v="11"/>
    <x v="5"/>
    <x v="6"/>
    <x v="0"/>
    <x v="1"/>
  </r>
  <r>
    <x v="651"/>
    <x v="2"/>
    <s v="Shuijie"/>
    <x v="42"/>
    <x v="5"/>
    <s v="AR"/>
    <x v="21"/>
    <n v="-176.87"/>
    <b v="1"/>
    <n v="-176.87"/>
    <x v="0"/>
    <s v="Assets"/>
    <s v="Rec-Pay"/>
    <x v="1"/>
    <x v="1"/>
    <x v="1"/>
    <x v="2"/>
    <x v="5"/>
    <x v="6"/>
    <x v="0"/>
    <x v="1"/>
  </r>
  <r>
    <x v="652"/>
    <x v="2"/>
    <s v="Shuijie"/>
    <x v="44"/>
    <x v="5"/>
    <s v="ToTax"/>
    <x v="49"/>
    <n v="28.25"/>
    <b v="1"/>
    <n v="-28.25"/>
    <x v="1"/>
    <s v="Liability"/>
    <s v="Rec-Pay"/>
    <x v="1"/>
    <x v="1"/>
    <x v="1"/>
    <x v="11"/>
    <x v="5"/>
    <x v="6"/>
    <x v="0"/>
    <x v="1"/>
  </r>
  <r>
    <x v="653"/>
    <x v="2"/>
    <s v="GM"/>
    <x v="14"/>
    <x v="5"/>
    <s v="ToEmp"/>
    <x v="52"/>
    <n v="35255.71"/>
    <b v="1"/>
    <n v="-35255.71"/>
    <x v="1"/>
    <s v="Liability"/>
    <s v="Rec-Pay"/>
    <x v="1"/>
    <x v="1"/>
    <x v="1"/>
    <x v="12"/>
    <x v="5"/>
    <x v="1"/>
    <x v="0"/>
    <x v="1"/>
  </r>
  <r>
    <x v="654"/>
    <x v="2"/>
    <s v="Shuijie"/>
    <x v="33"/>
    <x v="4"/>
    <s v="AR"/>
    <x v="21"/>
    <n v="-60269.89"/>
    <b v="1"/>
    <n v="-60269.89"/>
    <x v="0"/>
    <s v="Assets"/>
    <s v="Rec-Pay"/>
    <x v="3"/>
    <x v="1"/>
    <x v="1"/>
    <x v="2"/>
    <x v="4"/>
    <x v="6"/>
    <x v="0"/>
    <x v="1"/>
  </r>
  <r>
    <x v="654"/>
    <x v="2"/>
    <s v="Shuijie"/>
    <x v="33"/>
    <x v="4"/>
    <s v="Bank"/>
    <x v="4"/>
    <n v="60269.89"/>
    <b v="1"/>
    <n v="60269.89"/>
    <x v="0"/>
    <s v="Assets"/>
    <s v="Cash alike"/>
    <x v="3"/>
    <x v="1"/>
    <x v="0"/>
    <x v="0"/>
    <x v="4"/>
    <x v="6"/>
    <x v="0"/>
    <x v="1"/>
  </r>
  <r>
    <x v="655"/>
    <x v="2"/>
    <s v="GM"/>
    <x v="6"/>
    <x v="4"/>
    <s v="Bank"/>
    <x v="4"/>
    <n v="-8189.55"/>
    <b v="1"/>
    <n v="-8189.55"/>
    <x v="0"/>
    <s v="Assets"/>
    <s v="Cash alike"/>
    <x v="1"/>
    <x v="1"/>
    <x v="0"/>
    <x v="0"/>
    <x v="4"/>
    <x v="1"/>
    <x v="0"/>
    <x v="1"/>
  </r>
  <r>
    <x v="655"/>
    <x v="2"/>
    <s v="GM"/>
    <x v="6"/>
    <x v="4"/>
    <s v="FrOther"/>
    <x v="22"/>
    <n v="2385.75"/>
    <b v="1"/>
    <n v="2385.75"/>
    <x v="0"/>
    <s v="Assets"/>
    <s v="Rec-Pay"/>
    <x v="1"/>
    <x v="1"/>
    <x v="1"/>
    <x v="3"/>
    <x v="4"/>
    <x v="1"/>
    <x v="0"/>
    <x v="1"/>
  </r>
  <r>
    <x v="656"/>
    <x v="2"/>
    <s v="Shuijie"/>
    <x v="8"/>
    <x v="4"/>
    <s v="Bank"/>
    <x v="4"/>
    <n v="-14188.2"/>
    <b v="1"/>
    <n v="-14188.2"/>
    <x v="0"/>
    <s v="Assets"/>
    <s v="Cash alike"/>
    <x v="2"/>
    <x v="1"/>
    <x v="0"/>
    <x v="0"/>
    <x v="4"/>
    <x v="6"/>
    <x v="0"/>
    <x v="1"/>
  </r>
  <r>
    <x v="656"/>
    <x v="2"/>
    <s v="Shuijie"/>
    <x v="8"/>
    <x v="4"/>
    <s v="AP"/>
    <x v="46"/>
    <n v="-14188.2"/>
    <b v="1"/>
    <n v="14188.2"/>
    <x v="1"/>
    <s v="Liability"/>
    <s v="Rec-Pay"/>
    <x v="2"/>
    <x v="1"/>
    <x v="1"/>
    <x v="10"/>
    <x v="4"/>
    <x v="6"/>
    <x v="0"/>
    <x v="1"/>
  </r>
  <r>
    <x v="657"/>
    <x v="2"/>
    <s v="Shuijie"/>
    <x v="8"/>
    <x v="4"/>
    <s v="OnEmp"/>
    <x v="24"/>
    <n v="11000"/>
    <b v="1"/>
    <n v="11000"/>
    <x v="0"/>
    <s v="Assets"/>
    <s v="Prep-Sub"/>
    <x v="1"/>
    <x v="1"/>
    <x v="2"/>
    <x v="5"/>
    <x v="4"/>
    <x v="6"/>
    <x v="0"/>
    <x v="1"/>
  </r>
  <r>
    <x v="657"/>
    <x v="2"/>
    <s v="Shuijie"/>
    <x v="8"/>
    <x v="4"/>
    <s v="Bank"/>
    <x v="4"/>
    <n v="-11000"/>
    <b v="1"/>
    <n v="-11000"/>
    <x v="0"/>
    <s v="Assets"/>
    <s v="Cash alike"/>
    <x v="1"/>
    <x v="1"/>
    <x v="0"/>
    <x v="0"/>
    <x v="4"/>
    <x v="6"/>
    <x v="0"/>
    <x v="1"/>
  </r>
  <r>
    <x v="658"/>
    <x v="2"/>
    <s v="Shuijie"/>
    <x v="30"/>
    <x v="4"/>
    <s v="Bank"/>
    <x v="4"/>
    <n v="-259.7"/>
    <b v="1"/>
    <n v="-259.7"/>
    <x v="0"/>
    <s v="Assets"/>
    <s v="Cash alike"/>
    <x v="1"/>
    <x v="1"/>
    <x v="0"/>
    <x v="0"/>
    <x v="4"/>
    <x v="6"/>
    <x v="0"/>
    <x v="1"/>
  </r>
  <r>
    <x v="659"/>
    <x v="2"/>
    <s v="Shuijie"/>
    <x v="39"/>
    <x v="4"/>
    <s v="Bank"/>
    <x v="4"/>
    <n v="16770.2"/>
    <b v="1"/>
    <n v="16770.2"/>
    <x v="0"/>
    <s v="Assets"/>
    <s v="Cash alike"/>
    <x v="3"/>
    <x v="1"/>
    <x v="0"/>
    <x v="0"/>
    <x v="4"/>
    <x v="6"/>
    <x v="0"/>
    <x v="1"/>
  </r>
  <r>
    <x v="659"/>
    <x v="2"/>
    <s v="Shuijie"/>
    <x v="39"/>
    <x v="4"/>
    <s v="Phys.C"/>
    <x v="5"/>
    <n v="-16770.2"/>
    <b v="1"/>
    <n v="-16770.2"/>
    <x v="0"/>
    <s v="Assets"/>
    <s v="Cash alike"/>
    <x v="3"/>
    <x v="1"/>
    <x v="0"/>
    <x v="1"/>
    <x v="4"/>
    <x v="6"/>
    <x v="0"/>
    <x v="1"/>
  </r>
  <r>
    <x v="660"/>
    <x v="2"/>
    <s v="Shuijie"/>
    <x v="8"/>
    <x v="4"/>
    <s v="Bank"/>
    <x v="4"/>
    <n v="-450"/>
    <b v="1"/>
    <n v="-450"/>
    <x v="0"/>
    <s v="Assets"/>
    <s v="Cash alike"/>
    <x v="1"/>
    <x v="1"/>
    <x v="0"/>
    <x v="0"/>
    <x v="4"/>
    <x v="6"/>
    <x v="0"/>
    <x v="1"/>
  </r>
  <r>
    <x v="660"/>
    <x v="2"/>
    <s v="Shuijie"/>
    <x v="8"/>
    <x v="4"/>
    <s v="Order"/>
    <x v="34"/>
    <n v="450"/>
    <b v="1"/>
    <n v="450"/>
    <x v="0"/>
    <s v="Assets"/>
    <s v="Prep-Sub"/>
    <x v="1"/>
    <x v="1"/>
    <x v="2"/>
    <x v="6"/>
    <x v="4"/>
    <x v="6"/>
    <x v="0"/>
    <x v="1"/>
  </r>
  <r>
    <x v="661"/>
    <x v="2"/>
    <s v="Shuijie"/>
    <x v="8"/>
    <x v="4"/>
    <s v="Bank"/>
    <x v="4"/>
    <n v="-20000"/>
    <b v="1"/>
    <n v="-20000"/>
    <x v="0"/>
    <s v="Assets"/>
    <s v="Cash alike"/>
    <x v="1"/>
    <x v="1"/>
    <x v="0"/>
    <x v="0"/>
    <x v="4"/>
    <x v="6"/>
    <x v="0"/>
    <x v="1"/>
  </r>
  <r>
    <x v="661"/>
    <x v="2"/>
    <s v="Shuijie"/>
    <x v="8"/>
    <x v="4"/>
    <s v="Order"/>
    <x v="34"/>
    <n v="20000"/>
    <b v="1"/>
    <n v="20000"/>
    <x v="0"/>
    <s v="Assets"/>
    <s v="Prep-Sub"/>
    <x v="1"/>
    <x v="1"/>
    <x v="2"/>
    <x v="6"/>
    <x v="4"/>
    <x v="6"/>
    <x v="0"/>
    <x v="1"/>
  </r>
  <r>
    <x v="662"/>
    <x v="2"/>
    <s v="Shuijie"/>
    <x v="8"/>
    <x v="4"/>
    <s v="Bank"/>
    <x v="4"/>
    <n v="-15000"/>
    <b v="1"/>
    <n v="-15000"/>
    <x v="0"/>
    <s v="Assets"/>
    <s v="Cash alike"/>
    <x v="1"/>
    <x v="1"/>
    <x v="0"/>
    <x v="0"/>
    <x v="4"/>
    <x v="6"/>
    <x v="0"/>
    <x v="1"/>
  </r>
  <r>
    <x v="662"/>
    <x v="2"/>
    <s v="Shuijie"/>
    <x v="8"/>
    <x v="4"/>
    <s v="Order"/>
    <x v="34"/>
    <n v="15000"/>
    <b v="1"/>
    <n v="15000"/>
    <x v="0"/>
    <s v="Assets"/>
    <s v="Prep-Sub"/>
    <x v="1"/>
    <x v="1"/>
    <x v="2"/>
    <x v="6"/>
    <x v="4"/>
    <x v="6"/>
    <x v="0"/>
    <x v="1"/>
  </r>
  <r>
    <x v="663"/>
    <x v="2"/>
    <s v="Shuijie"/>
    <x v="32"/>
    <x v="4"/>
    <s v="Bank"/>
    <x v="4"/>
    <n v="-2716"/>
    <b v="1"/>
    <n v="-2716"/>
    <x v="0"/>
    <s v="Assets"/>
    <s v="Cash alike"/>
    <x v="1"/>
    <x v="1"/>
    <x v="0"/>
    <x v="0"/>
    <x v="4"/>
    <x v="6"/>
    <x v="0"/>
    <x v="1"/>
  </r>
  <r>
    <x v="664"/>
    <x v="2"/>
    <s v="Shuijie"/>
    <x v="9"/>
    <x v="4"/>
    <s v="Bank"/>
    <x v="4"/>
    <n v="-3056.55"/>
    <b v="1"/>
    <n v="-3056.55"/>
    <x v="0"/>
    <s v="Assets"/>
    <s v="Cash alike"/>
    <x v="1"/>
    <x v="1"/>
    <x v="0"/>
    <x v="0"/>
    <x v="4"/>
    <x v="6"/>
    <x v="0"/>
    <x v="1"/>
  </r>
  <r>
    <x v="665"/>
    <x v="2"/>
    <s v="Shuijie"/>
    <x v="8"/>
    <x v="4"/>
    <s v="Bank"/>
    <x v="4"/>
    <n v="-33"/>
    <b v="1"/>
    <n v="-33"/>
    <x v="0"/>
    <s v="Assets"/>
    <s v="Cash alike"/>
    <x v="1"/>
    <x v="1"/>
    <x v="0"/>
    <x v="0"/>
    <x v="4"/>
    <x v="6"/>
    <x v="0"/>
    <x v="1"/>
  </r>
  <r>
    <x v="665"/>
    <x v="2"/>
    <s v="Shuijie"/>
    <x v="8"/>
    <x v="4"/>
    <s v="Order"/>
    <x v="34"/>
    <n v="33"/>
    <b v="1"/>
    <n v="33"/>
    <x v="0"/>
    <s v="Assets"/>
    <s v="Prep-Sub"/>
    <x v="1"/>
    <x v="1"/>
    <x v="2"/>
    <x v="6"/>
    <x v="4"/>
    <x v="6"/>
    <x v="0"/>
    <x v="1"/>
  </r>
  <r>
    <x v="666"/>
    <x v="2"/>
    <s v="Shuijie"/>
    <x v="8"/>
    <x v="4"/>
    <s v="ToEmp"/>
    <x v="52"/>
    <n v="-36283.379999999997"/>
    <b v="1"/>
    <n v="36283.379999999997"/>
    <x v="1"/>
    <s v="Liability"/>
    <s v="Rec-Pay"/>
    <x v="1"/>
    <x v="1"/>
    <x v="1"/>
    <x v="12"/>
    <x v="4"/>
    <x v="6"/>
    <x v="0"/>
    <x v="1"/>
  </r>
  <r>
    <x v="666"/>
    <x v="2"/>
    <s v="Shuijie"/>
    <x v="8"/>
    <x v="4"/>
    <s v="Bank"/>
    <x v="4"/>
    <n v="-33630.68"/>
    <b v="1"/>
    <n v="-33630.68"/>
    <x v="0"/>
    <s v="Assets"/>
    <s v="Cash alike"/>
    <x v="1"/>
    <x v="1"/>
    <x v="0"/>
    <x v="0"/>
    <x v="4"/>
    <x v="6"/>
    <x v="0"/>
    <x v="1"/>
  </r>
  <r>
    <x v="666"/>
    <x v="2"/>
    <s v="Shuijie"/>
    <x v="8"/>
    <x v="4"/>
    <s v="ToTax"/>
    <x v="54"/>
    <n v="266.95"/>
    <b v="1"/>
    <n v="-266.95"/>
    <x v="1"/>
    <s v="Liability"/>
    <s v="Rec-Pay"/>
    <x v="1"/>
    <x v="1"/>
    <x v="1"/>
    <x v="11"/>
    <x v="4"/>
    <x v="6"/>
    <x v="0"/>
    <x v="1"/>
  </r>
  <r>
    <x v="666"/>
    <x v="2"/>
    <s v="Shuijie"/>
    <x v="8"/>
    <x v="4"/>
    <s v="FrOther"/>
    <x v="22"/>
    <n v="-2385.75"/>
    <b v="1"/>
    <n v="-2385.75"/>
    <x v="0"/>
    <s v="Assets"/>
    <s v="Rec-Pay"/>
    <x v="1"/>
    <x v="1"/>
    <x v="1"/>
    <x v="3"/>
    <x v="4"/>
    <x v="6"/>
    <x v="0"/>
    <x v="1"/>
  </r>
  <r>
    <x v="667"/>
    <x v="2"/>
    <s v="Shuijie"/>
    <x v="8"/>
    <x v="4"/>
    <s v="Bank"/>
    <x v="4"/>
    <n v="-29370.85"/>
    <b v="1"/>
    <n v="-29370.85"/>
    <x v="0"/>
    <s v="Assets"/>
    <s v="Cash alike"/>
    <x v="1"/>
    <x v="1"/>
    <x v="0"/>
    <x v="0"/>
    <x v="4"/>
    <x v="6"/>
    <x v="0"/>
    <x v="1"/>
  </r>
  <r>
    <x v="667"/>
    <x v="2"/>
    <s v="Shuijie"/>
    <x v="8"/>
    <x v="4"/>
    <s v="ToTax"/>
    <x v="47"/>
    <n v="-27625.07"/>
    <b v="1"/>
    <n v="27625.07"/>
    <x v="1"/>
    <s v="Liability"/>
    <s v="Rec-Pay"/>
    <x v="1"/>
    <x v="1"/>
    <x v="1"/>
    <x v="11"/>
    <x v="4"/>
    <x v="6"/>
    <x v="0"/>
    <x v="1"/>
  </r>
  <r>
    <x v="667"/>
    <x v="2"/>
    <s v="Shuijie"/>
    <x v="8"/>
    <x v="4"/>
    <s v="ToTax"/>
    <x v="48"/>
    <n v="-83.3"/>
    <b v="1"/>
    <n v="83.3"/>
    <x v="1"/>
    <s v="Liability"/>
    <s v="Rec-Pay"/>
    <x v="1"/>
    <x v="1"/>
    <x v="1"/>
    <x v="11"/>
    <x v="4"/>
    <x v="6"/>
    <x v="0"/>
    <x v="1"/>
  </r>
  <r>
    <x v="667"/>
    <x v="2"/>
    <s v="Shuijie"/>
    <x v="8"/>
    <x v="4"/>
    <s v="ToTax"/>
    <x v="49"/>
    <n v="-1662.48"/>
    <b v="1"/>
    <n v="1662.48"/>
    <x v="1"/>
    <s v="Liability"/>
    <s v="Rec-Pay"/>
    <x v="1"/>
    <x v="1"/>
    <x v="1"/>
    <x v="11"/>
    <x v="4"/>
    <x v="6"/>
    <x v="0"/>
    <x v="1"/>
  </r>
  <r>
    <x v="668"/>
    <x v="2"/>
    <s v="Shuijie"/>
    <x v="8"/>
    <x v="4"/>
    <s v="ToTax"/>
    <x v="54"/>
    <n v="-602.95000000000005"/>
    <b v="1"/>
    <n v="602.95000000000005"/>
    <x v="1"/>
    <s v="Liability"/>
    <s v="Rec-Pay"/>
    <x v="1"/>
    <x v="1"/>
    <x v="1"/>
    <x v="11"/>
    <x v="4"/>
    <x v="6"/>
    <x v="0"/>
    <x v="1"/>
  </r>
  <r>
    <x v="668"/>
    <x v="2"/>
    <s v="Shuijie"/>
    <x v="8"/>
    <x v="4"/>
    <s v="Bank"/>
    <x v="4"/>
    <n v="-602.95000000000005"/>
    <b v="1"/>
    <n v="-602.95000000000005"/>
    <x v="0"/>
    <s v="Assets"/>
    <s v="Cash alike"/>
    <x v="1"/>
    <x v="1"/>
    <x v="0"/>
    <x v="0"/>
    <x v="4"/>
    <x v="6"/>
    <x v="0"/>
    <x v="1"/>
  </r>
  <r>
    <x v="669"/>
    <x v="2"/>
    <s v="Shuijie"/>
    <x v="8"/>
    <x v="4"/>
    <s v="Bank"/>
    <x v="4"/>
    <n v="-10864"/>
    <b v="1"/>
    <n v="-10864"/>
    <x v="0"/>
    <s v="Assets"/>
    <s v="Cash alike"/>
    <x v="1"/>
    <x v="1"/>
    <x v="0"/>
    <x v="0"/>
    <x v="4"/>
    <x v="6"/>
    <x v="0"/>
    <x v="1"/>
  </r>
  <r>
    <x v="669"/>
    <x v="2"/>
    <s v="Shuijie"/>
    <x v="8"/>
    <x v="4"/>
    <s v="ToEmp"/>
    <x v="68"/>
    <n v="-11200"/>
    <b v="1"/>
    <n v="11200"/>
    <x v="1"/>
    <s v="Liability"/>
    <s v="Rec-Pay"/>
    <x v="1"/>
    <x v="1"/>
    <x v="1"/>
    <x v="12"/>
    <x v="4"/>
    <x v="6"/>
    <x v="0"/>
    <x v="1"/>
  </r>
  <r>
    <x v="669"/>
    <x v="2"/>
    <s v="Shuijie"/>
    <x v="8"/>
    <x v="4"/>
    <s v="ToTax"/>
    <x v="54"/>
    <n v="336"/>
    <b v="1"/>
    <n v="-336"/>
    <x v="1"/>
    <s v="Liability"/>
    <s v="Rec-Pay"/>
    <x v="1"/>
    <x v="1"/>
    <x v="1"/>
    <x v="11"/>
    <x v="4"/>
    <x v="6"/>
    <x v="0"/>
    <x v="1"/>
  </r>
  <r>
    <x v="670"/>
    <x v="2"/>
    <s v="GM"/>
    <x v="13"/>
    <x v="4"/>
    <s v="Bank"/>
    <x v="4"/>
    <n v="-24.9"/>
    <b v="1"/>
    <n v="-24.9"/>
    <x v="0"/>
    <s v="Assets"/>
    <s v="Cash alike"/>
    <x v="1"/>
    <x v="1"/>
    <x v="0"/>
    <x v="0"/>
    <x v="4"/>
    <x v="1"/>
    <x v="0"/>
    <x v="1"/>
  </r>
  <r>
    <x v="671"/>
    <x v="2"/>
    <s v="Shuijie"/>
    <x v="33"/>
    <x v="4"/>
    <s v="Bank"/>
    <x v="4"/>
    <n v="423157.12"/>
    <b v="1"/>
    <n v="423157.12"/>
    <x v="0"/>
    <s v="Assets"/>
    <s v="Cash alike"/>
    <x v="3"/>
    <x v="1"/>
    <x v="0"/>
    <x v="0"/>
    <x v="4"/>
    <x v="6"/>
    <x v="0"/>
    <x v="1"/>
  </r>
  <r>
    <x v="671"/>
    <x v="2"/>
    <s v="Shuijie"/>
    <x v="33"/>
    <x v="4"/>
    <s v="AR"/>
    <x v="21"/>
    <n v="-423157.12"/>
    <b v="1"/>
    <n v="-423157.12"/>
    <x v="0"/>
    <s v="Assets"/>
    <s v="Rec-Pay"/>
    <x v="3"/>
    <x v="1"/>
    <x v="1"/>
    <x v="2"/>
    <x v="4"/>
    <x v="6"/>
    <x v="0"/>
    <x v="1"/>
  </r>
  <r>
    <x v="672"/>
    <x v="2"/>
    <s v="GM"/>
    <x v="21"/>
    <x v="4"/>
    <s v="Bank"/>
    <x v="4"/>
    <n v="122.15"/>
    <b v="1"/>
    <n v="122.15"/>
    <x v="0"/>
    <s v="Assets"/>
    <s v="Cash alike"/>
    <x v="0"/>
    <x v="0"/>
    <x v="0"/>
    <x v="0"/>
    <x v="4"/>
    <x v="1"/>
    <x v="0"/>
    <x v="1"/>
  </r>
  <r>
    <x v="673"/>
    <x v="2"/>
    <s v="Shuijie"/>
    <x v="42"/>
    <x v="4"/>
    <s v="AR"/>
    <x v="21"/>
    <n v="1888.88"/>
    <b v="1"/>
    <n v="1888.88"/>
    <x v="0"/>
    <s v="Assets"/>
    <s v="Rec-Pay"/>
    <x v="1"/>
    <x v="1"/>
    <x v="1"/>
    <x v="2"/>
    <x v="4"/>
    <x v="6"/>
    <x v="0"/>
    <x v="1"/>
  </r>
  <r>
    <x v="674"/>
    <x v="2"/>
    <s v="Shuijie"/>
    <x v="42"/>
    <x v="4"/>
    <s v="AR"/>
    <x v="21"/>
    <n v="-2134.44"/>
    <b v="1"/>
    <n v="-2134.44"/>
    <x v="0"/>
    <s v="Assets"/>
    <s v="Rec-Pay"/>
    <x v="1"/>
    <x v="1"/>
    <x v="1"/>
    <x v="2"/>
    <x v="4"/>
    <x v="6"/>
    <x v="0"/>
    <x v="1"/>
  </r>
  <r>
    <x v="675"/>
    <x v="2"/>
    <s v="Shuijie"/>
    <x v="32"/>
    <x v="4"/>
    <s v="Order"/>
    <x v="34"/>
    <n v="-450"/>
    <b v="1"/>
    <n v="-450"/>
    <x v="0"/>
    <s v="Assets"/>
    <s v="Prep-Sub"/>
    <x v="1"/>
    <x v="1"/>
    <x v="2"/>
    <x v="6"/>
    <x v="4"/>
    <x v="6"/>
    <x v="0"/>
    <x v="1"/>
  </r>
  <r>
    <x v="676"/>
    <x v="2"/>
    <s v="Shuijie"/>
    <x v="32"/>
    <x v="4"/>
    <s v="Order"/>
    <x v="34"/>
    <n v="-1450"/>
    <b v="1"/>
    <n v="-1450"/>
    <x v="0"/>
    <s v="Assets"/>
    <s v="Prep-Sub"/>
    <x v="1"/>
    <x v="1"/>
    <x v="2"/>
    <x v="6"/>
    <x v="4"/>
    <x v="6"/>
    <x v="0"/>
    <x v="1"/>
  </r>
  <r>
    <x v="677"/>
    <x v="2"/>
    <s v="GM"/>
    <x v="29"/>
    <x v="4"/>
    <s v="Order"/>
    <x v="34"/>
    <n v="-45370.49"/>
    <b v="1"/>
    <n v="-45370.49"/>
    <x v="0"/>
    <s v="Assets"/>
    <s v="Prep-Sub"/>
    <x v="1"/>
    <x v="1"/>
    <x v="2"/>
    <x v="6"/>
    <x v="4"/>
    <x v="1"/>
    <x v="0"/>
    <x v="1"/>
  </r>
  <r>
    <x v="678"/>
    <x v="2"/>
    <s v="Shuijie"/>
    <x v="5"/>
    <x v="4"/>
    <s v="AP"/>
    <x v="46"/>
    <n v="289.39999999999998"/>
    <b v="1"/>
    <n v="-289.39999999999998"/>
    <x v="1"/>
    <s v="Liability"/>
    <s v="Rec-Pay"/>
    <x v="2"/>
    <x v="1"/>
    <x v="1"/>
    <x v="10"/>
    <x v="4"/>
    <x v="6"/>
    <x v="0"/>
    <x v="1"/>
  </r>
  <r>
    <x v="678"/>
    <x v="2"/>
    <s v="Shuijie"/>
    <x v="5"/>
    <x v="4"/>
    <s v="Curr"/>
    <x v="38"/>
    <n v="289.39999999999998"/>
    <b v="1"/>
    <n v="289.39999999999998"/>
    <x v="0"/>
    <s v="Assets"/>
    <s v="Invtr"/>
    <x v="2"/>
    <x v="1"/>
    <x v="3"/>
    <x v="7"/>
    <x v="4"/>
    <x v="6"/>
    <x v="0"/>
    <x v="1"/>
  </r>
  <r>
    <x v="679"/>
    <x v="2"/>
    <s v="Shuijie"/>
    <x v="10"/>
    <x v="4"/>
    <s v="AR"/>
    <x v="21"/>
    <n v="508"/>
    <b v="1"/>
    <n v="508"/>
    <x v="0"/>
    <s v="Assets"/>
    <s v="Rec-Pay"/>
    <x v="3"/>
    <x v="1"/>
    <x v="1"/>
    <x v="2"/>
    <x v="4"/>
    <x v="6"/>
    <x v="0"/>
    <x v="1"/>
  </r>
  <r>
    <x v="680"/>
    <x v="2"/>
    <s v="Shuijie"/>
    <x v="10"/>
    <x v="4"/>
    <s v="AR"/>
    <x v="21"/>
    <n v="452769.26"/>
    <b v="1"/>
    <n v="452769.26"/>
    <x v="0"/>
    <s v="Assets"/>
    <s v="Rec-Pay"/>
    <x v="3"/>
    <x v="1"/>
    <x v="1"/>
    <x v="2"/>
    <x v="4"/>
    <x v="6"/>
    <x v="0"/>
    <x v="1"/>
  </r>
  <r>
    <x v="680"/>
    <x v="2"/>
    <s v="Shuijie"/>
    <x v="10"/>
    <x v="4"/>
    <s v="Phys.C"/>
    <x v="5"/>
    <n v="9954.25"/>
    <b v="1"/>
    <n v="9954.25"/>
    <x v="0"/>
    <s v="Assets"/>
    <s v="Cash alike"/>
    <x v="3"/>
    <x v="1"/>
    <x v="0"/>
    <x v="1"/>
    <x v="4"/>
    <x v="6"/>
    <x v="0"/>
    <x v="1"/>
  </r>
  <r>
    <x v="681"/>
    <x v="2"/>
    <s v="Shuijie"/>
    <x v="42"/>
    <x v="4"/>
    <s v="AR"/>
    <x v="21"/>
    <n v="-1504.54"/>
    <b v="1"/>
    <n v="-1504.54"/>
    <x v="0"/>
    <s v="Assets"/>
    <s v="Rec-Pay"/>
    <x v="1"/>
    <x v="1"/>
    <x v="1"/>
    <x v="2"/>
    <x v="4"/>
    <x v="6"/>
    <x v="0"/>
    <x v="1"/>
  </r>
  <r>
    <x v="682"/>
    <x v="2"/>
    <s v="Shuijie"/>
    <x v="12"/>
    <x v="4"/>
    <s v="ToTax"/>
    <x v="47"/>
    <n v="52680.04"/>
    <b v="1"/>
    <n v="-52680.04"/>
    <x v="1"/>
    <s v="Liability"/>
    <s v="Rec-Pay"/>
    <x v="2"/>
    <x v="1"/>
    <x v="1"/>
    <x v="11"/>
    <x v="4"/>
    <x v="6"/>
    <x v="0"/>
    <x v="1"/>
  </r>
  <r>
    <x v="683"/>
    <x v="2"/>
    <s v="Shuijie"/>
    <x v="44"/>
    <x v="4"/>
    <s v="ToTax"/>
    <x v="49"/>
    <n v="3164.65"/>
    <b v="1"/>
    <n v="-3164.65"/>
    <x v="1"/>
    <s v="Liability"/>
    <s v="Rec-Pay"/>
    <x v="1"/>
    <x v="1"/>
    <x v="1"/>
    <x v="11"/>
    <x v="4"/>
    <x v="6"/>
    <x v="0"/>
    <x v="1"/>
  </r>
  <r>
    <x v="683"/>
    <x v="2"/>
    <s v="Shuijie"/>
    <x v="44"/>
    <x v="4"/>
    <s v="ToTax"/>
    <x v="50"/>
    <n v="104.56"/>
    <b v="1"/>
    <n v="-104.56"/>
    <x v="1"/>
    <s v="Liability"/>
    <s v="Rec-Pay"/>
    <x v="1"/>
    <x v="1"/>
    <x v="1"/>
    <x v="11"/>
    <x v="4"/>
    <x v="6"/>
    <x v="0"/>
    <x v="1"/>
  </r>
  <r>
    <x v="683"/>
    <x v="2"/>
    <s v="Shuijie"/>
    <x v="44"/>
    <x v="4"/>
    <s v="ToTax"/>
    <x v="48"/>
    <n v="64.28"/>
    <b v="1"/>
    <n v="-64.28"/>
    <x v="1"/>
    <s v="Liability"/>
    <s v="Rec-Pay"/>
    <x v="1"/>
    <x v="1"/>
    <x v="1"/>
    <x v="11"/>
    <x v="4"/>
    <x v="6"/>
    <x v="0"/>
    <x v="1"/>
  </r>
  <r>
    <x v="683"/>
    <x v="2"/>
    <s v="Shuijie"/>
    <x v="44"/>
    <x v="4"/>
    <s v="ToTax"/>
    <x v="51"/>
    <n v="1557.97"/>
    <b v="1"/>
    <n v="-1557.97"/>
    <x v="1"/>
    <s v="Liability"/>
    <s v="Rec-Pay"/>
    <x v="1"/>
    <x v="1"/>
    <x v="1"/>
    <x v="11"/>
    <x v="4"/>
    <x v="6"/>
    <x v="0"/>
    <x v="1"/>
  </r>
  <r>
    <x v="684"/>
    <x v="2"/>
    <s v="Shuijie"/>
    <x v="14"/>
    <x v="4"/>
    <s v="ToEmp"/>
    <x v="52"/>
    <n v="28147.35"/>
    <b v="1"/>
    <n v="-28147.35"/>
    <x v="1"/>
    <s v="Liability"/>
    <s v="Rec-Pay"/>
    <x v="1"/>
    <x v="1"/>
    <x v="1"/>
    <x v="12"/>
    <x v="4"/>
    <x v="6"/>
    <x v="0"/>
    <x v="1"/>
  </r>
  <r>
    <x v="685"/>
    <x v="2"/>
    <s v="Shuijie"/>
    <x v="43"/>
    <x v="4"/>
    <s v="Curr"/>
    <x v="38"/>
    <n v="-289.39999999999998"/>
    <b v="1"/>
    <n v="-289.39999999999998"/>
    <x v="0"/>
    <s v="Assets"/>
    <s v="Invtr"/>
    <x v="2"/>
    <x v="1"/>
    <x v="3"/>
    <x v="7"/>
    <x v="4"/>
    <x v="6"/>
    <x v="0"/>
    <x v="1"/>
  </r>
  <r>
    <x v="686"/>
    <x v="2"/>
    <s v="Shuijie"/>
    <x v="1"/>
    <x v="6"/>
    <s v="MemShip"/>
    <x v="55"/>
    <n v="10215.06"/>
    <b v="1"/>
    <n v="-10215.06"/>
    <x v="1"/>
    <s v="Liability"/>
    <s v="Cash alike"/>
    <x v="3"/>
    <x v="1"/>
    <x v="0"/>
    <x v="14"/>
    <x v="6"/>
    <x v="6"/>
    <x v="0"/>
    <x v="1"/>
  </r>
  <r>
    <x v="686"/>
    <x v="2"/>
    <s v="Shuijie"/>
    <x v="1"/>
    <x v="6"/>
    <s v="AR"/>
    <x v="21"/>
    <n v="10215.06"/>
    <b v="1"/>
    <n v="10215.06"/>
    <x v="0"/>
    <s v="Assets"/>
    <s v="Rec-Pay"/>
    <x v="3"/>
    <x v="1"/>
    <x v="1"/>
    <x v="2"/>
    <x v="6"/>
    <x v="6"/>
    <x v="0"/>
    <x v="1"/>
  </r>
  <r>
    <x v="687"/>
    <x v="2"/>
    <s v="Shuijie"/>
    <x v="43"/>
    <x v="0"/>
    <s v="Curr"/>
    <x v="38"/>
    <n v="-231326.35500000001"/>
    <b v="1"/>
    <n v="-231326.35500000001"/>
    <x v="0"/>
    <s v="Assets"/>
    <s v="Invtr"/>
    <x v="2"/>
    <x v="1"/>
    <x v="3"/>
    <x v="7"/>
    <x v="0"/>
    <x v="6"/>
    <x v="0"/>
    <x v="1"/>
  </r>
  <r>
    <x v="688"/>
    <x v="2"/>
    <s v="GM"/>
    <x v="50"/>
    <x v="0"/>
    <s v="Bank"/>
    <x v="0"/>
    <n v="-6720"/>
    <b v="1"/>
    <n v="-6720"/>
    <x v="0"/>
    <s v="Assets"/>
    <s v="Cash alike"/>
    <x v="1"/>
    <x v="1"/>
    <x v="0"/>
    <x v="0"/>
    <x v="0"/>
    <x v="1"/>
    <x v="0"/>
    <x v="1"/>
  </r>
  <r>
    <x v="689"/>
    <x v="2"/>
    <s v="Online"/>
    <x v="33"/>
    <x v="0"/>
    <s v="Bank"/>
    <x v="0"/>
    <n v="1017208.81"/>
    <b v="1"/>
    <n v="1017208.81"/>
    <x v="0"/>
    <s v="Assets"/>
    <s v="Cash alike"/>
    <x v="3"/>
    <x v="1"/>
    <x v="0"/>
    <x v="0"/>
    <x v="0"/>
    <x v="2"/>
    <x v="0"/>
    <x v="1"/>
  </r>
  <r>
    <x v="689"/>
    <x v="2"/>
    <s v="Online"/>
    <x v="33"/>
    <x v="0"/>
    <s v="AR"/>
    <x v="21"/>
    <n v="-1017208.81"/>
    <b v="1"/>
    <n v="-1017208.81"/>
    <x v="0"/>
    <s v="Assets"/>
    <s v="Rec-Pay"/>
    <x v="3"/>
    <x v="1"/>
    <x v="1"/>
    <x v="2"/>
    <x v="0"/>
    <x v="2"/>
    <x v="0"/>
    <x v="1"/>
  </r>
  <r>
    <x v="690"/>
    <x v="2"/>
    <s v="Online"/>
    <x v="31"/>
    <x v="0"/>
    <s v="Curr"/>
    <x v="38"/>
    <n v="51414"/>
    <b v="1"/>
    <n v="51414"/>
    <x v="0"/>
    <s v="Assets"/>
    <s v="Invtr"/>
    <x v="2"/>
    <x v="1"/>
    <x v="3"/>
    <x v="7"/>
    <x v="0"/>
    <x v="2"/>
    <x v="0"/>
    <x v="1"/>
  </r>
  <r>
    <x v="690"/>
    <x v="2"/>
    <s v="Online"/>
    <x v="31"/>
    <x v="0"/>
    <s v="Bank"/>
    <x v="0"/>
    <n v="-51414"/>
    <b v="1"/>
    <n v="-51414"/>
    <x v="0"/>
    <s v="Assets"/>
    <s v="Cash alike"/>
    <x v="2"/>
    <x v="1"/>
    <x v="0"/>
    <x v="0"/>
    <x v="0"/>
    <x v="2"/>
    <x v="0"/>
    <x v="1"/>
  </r>
  <r>
    <x v="691"/>
    <x v="2"/>
    <s v="Online"/>
    <x v="18"/>
    <x v="0"/>
    <s v="Bank"/>
    <x v="0"/>
    <n v="-600"/>
    <b v="1"/>
    <n v="-600"/>
    <x v="0"/>
    <s v="Assets"/>
    <s v="Cash alike"/>
    <x v="1"/>
    <x v="1"/>
    <x v="0"/>
    <x v="0"/>
    <x v="0"/>
    <x v="2"/>
    <x v="0"/>
    <x v="1"/>
  </r>
  <r>
    <x v="692"/>
    <x v="2"/>
    <s v="Brand"/>
    <x v="20"/>
    <x v="0"/>
    <s v="Bank"/>
    <x v="0"/>
    <n v="-1324"/>
    <b v="1"/>
    <n v="-1324"/>
    <x v="0"/>
    <s v="Assets"/>
    <s v="Cash alike"/>
    <x v="1"/>
    <x v="1"/>
    <x v="0"/>
    <x v="0"/>
    <x v="0"/>
    <x v="3"/>
    <x v="0"/>
    <x v="1"/>
  </r>
  <r>
    <x v="693"/>
    <x v="2"/>
    <s v="MY"/>
    <x v="33"/>
    <x v="7"/>
    <s v="Phys.C"/>
    <x v="18"/>
    <n v="781"/>
    <b v="1"/>
    <n v="781"/>
    <x v="0"/>
    <s v="Assets"/>
    <s v="Cash alike"/>
    <x v="3"/>
    <x v="1"/>
    <x v="0"/>
    <x v="1"/>
    <x v="7"/>
    <x v="4"/>
    <x v="0"/>
    <x v="1"/>
  </r>
  <r>
    <x v="693"/>
    <x v="2"/>
    <s v="MY"/>
    <x v="33"/>
    <x v="7"/>
    <s v="AR"/>
    <x v="25"/>
    <n v="-781"/>
    <b v="1"/>
    <n v="-781"/>
    <x v="0"/>
    <s v="Assets"/>
    <s v="Rec-Pay"/>
    <x v="3"/>
    <x v="1"/>
    <x v="1"/>
    <x v="2"/>
    <x v="7"/>
    <x v="4"/>
    <x v="0"/>
    <x v="1"/>
  </r>
  <r>
    <x v="694"/>
    <x v="2"/>
    <s v="MY"/>
    <x v="33"/>
    <x v="7"/>
    <s v="Phys.C"/>
    <x v="18"/>
    <n v="23800"/>
    <b v="1"/>
    <n v="23800"/>
    <x v="0"/>
    <s v="Assets"/>
    <s v="Cash alike"/>
    <x v="3"/>
    <x v="1"/>
    <x v="0"/>
    <x v="1"/>
    <x v="7"/>
    <x v="4"/>
    <x v="0"/>
    <x v="1"/>
  </r>
  <r>
    <x v="694"/>
    <x v="2"/>
    <s v="MY"/>
    <x v="33"/>
    <x v="7"/>
    <s v="AR"/>
    <x v="26"/>
    <n v="-23800"/>
    <b v="1"/>
    <n v="-23800"/>
    <x v="0"/>
    <s v="Assets"/>
    <s v="Rec-Pay"/>
    <x v="3"/>
    <x v="1"/>
    <x v="1"/>
    <x v="2"/>
    <x v="7"/>
    <x v="4"/>
    <x v="0"/>
    <x v="1"/>
  </r>
  <r>
    <x v="695"/>
    <x v="2"/>
    <s v="MY"/>
    <x v="33"/>
    <x v="7"/>
    <s v="Phys.C"/>
    <x v="18"/>
    <n v="2019"/>
    <b v="1"/>
    <n v="2019"/>
    <x v="0"/>
    <s v="Assets"/>
    <s v="Cash alike"/>
    <x v="3"/>
    <x v="1"/>
    <x v="0"/>
    <x v="1"/>
    <x v="7"/>
    <x v="4"/>
    <x v="0"/>
    <x v="1"/>
  </r>
  <r>
    <x v="695"/>
    <x v="2"/>
    <s v="MY"/>
    <x v="33"/>
    <x v="7"/>
    <s v="AR"/>
    <x v="26"/>
    <n v="-2019"/>
    <b v="1"/>
    <n v="-2019"/>
    <x v="0"/>
    <s v="Assets"/>
    <s v="Rec-Pay"/>
    <x v="3"/>
    <x v="1"/>
    <x v="1"/>
    <x v="2"/>
    <x v="7"/>
    <x v="4"/>
    <x v="0"/>
    <x v="1"/>
  </r>
  <r>
    <x v="696"/>
    <x v="2"/>
    <s v="Ctrl"/>
    <x v="7"/>
    <x v="7"/>
    <s v="Phys.C"/>
    <x v="18"/>
    <n v="-30000"/>
    <b v="1"/>
    <n v="-30000"/>
    <x v="0"/>
    <s v="Assets"/>
    <s v="Cash alike"/>
    <x v="0"/>
    <x v="0"/>
    <x v="0"/>
    <x v="1"/>
    <x v="7"/>
    <x v="0"/>
    <x v="0"/>
    <x v="1"/>
  </r>
  <r>
    <x v="696"/>
    <x v="2"/>
    <s v="Ctrl"/>
    <x v="7"/>
    <x v="11"/>
    <s v="Bank"/>
    <x v="15"/>
    <n v="30000"/>
    <b v="1"/>
    <n v="30000"/>
    <x v="0"/>
    <s v="Assets"/>
    <s v="Cash alike"/>
    <x v="0"/>
    <x v="0"/>
    <x v="0"/>
    <x v="0"/>
    <x v="11"/>
    <x v="0"/>
    <x v="0"/>
    <x v="1"/>
  </r>
  <r>
    <x v="697"/>
    <x v="2"/>
    <s v="MY"/>
    <x v="3"/>
    <x v="7"/>
    <s v="Bank"/>
    <x v="10"/>
    <n v="-206.8"/>
    <b v="1"/>
    <n v="-206.8"/>
    <x v="0"/>
    <s v="Assets"/>
    <s v="Cash alike"/>
    <x v="1"/>
    <x v="1"/>
    <x v="0"/>
    <x v="0"/>
    <x v="7"/>
    <x v="4"/>
    <x v="0"/>
    <x v="1"/>
  </r>
  <r>
    <x v="698"/>
    <x v="2"/>
    <s v="MY"/>
    <x v="32"/>
    <x v="7"/>
    <s v="Bank"/>
    <x v="10"/>
    <n v="-5000"/>
    <b v="1"/>
    <n v="-5000"/>
    <x v="0"/>
    <s v="Assets"/>
    <s v="Cash alike"/>
    <x v="1"/>
    <x v="1"/>
    <x v="0"/>
    <x v="0"/>
    <x v="7"/>
    <x v="4"/>
    <x v="0"/>
    <x v="1"/>
  </r>
  <r>
    <x v="699"/>
    <x v="2"/>
    <s v="GM"/>
    <x v="13"/>
    <x v="7"/>
    <s v="Bank"/>
    <x v="10"/>
    <n v="-810"/>
    <b v="1"/>
    <n v="-810"/>
    <x v="0"/>
    <s v="Assets"/>
    <s v="Cash alike"/>
    <x v="1"/>
    <x v="1"/>
    <x v="0"/>
    <x v="0"/>
    <x v="7"/>
    <x v="1"/>
    <x v="0"/>
    <x v="1"/>
  </r>
  <r>
    <x v="700"/>
    <x v="2"/>
    <s v="MY"/>
    <x v="35"/>
    <x v="7"/>
    <s v="Bank"/>
    <x v="10"/>
    <n v="-1985"/>
    <b v="1"/>
    <n v="-1985"/>
    <x v="0"/>
    <s v="Assets"/>
    <s v="Cash alike"/>
    <x v="2"/>
    <x v="1"/>
    <x v="0"/>
    <x v="0"/>
    <x v="7"/>
    <x v="4"/>
    <x v="0"/>
    <x v="1"/>
  </r>
  <r>
    <x v="701"/>
    <x v="2"/>
    <s v="Online"/>
    <x v="10"/>
    <x v="7"/>
    <s v="Bank"/>
    <x v="10"/>
    <n v="18252.98"/>
    <b v="1"/>
    <n v="18252.98"/>
    <x v="0"/>
    <s v="Assets"/>
    <s v="Cash alike"/>
    <x v="3"/>
    <x v="1"/>
    <x v="0"/>
    <x v="0"/>
    <x v="7"/>
    <x v="2"/>
    <x v="0"/>
    <x v="1"/>
  </r>
  <r>
    <x v="702"/>
    <x v="2"/>
    <s v="Ctrl"/>
    <x v="7"/>
    <x v="11"/>
    <s v="Bank"/>
    <x v="15"/>
    <n v="40000"/>
    <b v="1"/>
    <n v="40000"/>
    <x v="0"/>
    <s v="Assets"/>
    <s v="Cash alike"/>
    <x v="0"/>
    <x v="0"/>
    <x v="0"/>
    <x v="0"/>
    <x v="11"/>
    <x v="0"/>
    <x v="0"/>
    <x v="1"/>
  </r>
  <r>
    <x v="702"/>
    <x v="2"/>
    <s v="Ctrl"/>
    <x v="7"/>
    <x v="7"/>
    <s v="Bank"/>
    <x v="10"/>
    <n v="-40000"/>
    <b v="1"/>
    <n v="-40000"/>
    <x v="0"/>
    <s v="Assets"/>
    <s v="Cash alike"/>
    <x v="0"/>
    <x v="0"/>
    <x v="0"/>
    <x v="0"/>
    <x v="7"/>
    <x v="0"/>
    <x v="0"/>
    <x v="1"/>
  </r>
  <r>
    <x v="703"/>
    <x v="2"/>
    <s v="Ctrl"/>
    <x v="7"/>
    <x v="7"/>
    <s v="Bank"/>
    <x v="10"/>
    <n v="-10518.5"/>
    <b v="1"/>
    <n v="-10518.5"/>
    <x v="0"/>
    <s v="Assets"/>
    <s v="Cash alike"/>
    <x v="0"/>
    <x v="0"/>
    <x v="0"/>
    <x v="0"/>
    <x v="7"/>
    <x v="0"/>
    <x v="0"/>
    <x v="1"/>
  </r>
  <r>
    <x v="703"/>
    <x v="2"/>
    <s v="Ctrl"/>
    <x v="7"/>
    <x v="0"/>
    <s v="Bank"/>
    <x v="0"/>
    <n v="10518.5"/>
    <b v="1"/>
    <n v="10518.5"/>
    <x v="0"/>
    <s v="Assets"/>
    <s v="Cash alike"/>
    <x v="0"/>
    <x v="0"/>
    <x v="0"/>
    <x v="0"/>
    <x v="0"/>
    <x v="0"/>
    <x v="0"/>
    <x v="1"/>
  </r>
  <r>
    <x v="704"/>
    <x v="2"/>
    <s v="GM"/>
    <x v="8"/>
    <x v="7"/>
    <s v="ToEmp"/>
    <x v="52"/>
    <n v="-26142"/>
    <b v="1"/>
    <n v="26142"/>
    <x v="1"/>
    <s v="Liability"/>
    <s v="Rec-Pay"/>
    <x v="1"/>
    <x v="1"/>
    <x v="1"/>
    <x v="12"/>
    <x v="7"/>
    <x v="1"/>
    <x v="0"/>
    <x v="1"/>
  </r>
  <r>
    <x v="704"/>
    <x v="2"/>
    <s v="GM"/>
    <x v="8"/>
    <x v="7"/>
    <s v="Bank"/>
    <x v="10"/>
    <n v="-26142"/>
    <b v="1"/>
    <n v="-26142"/>
    <x v="0"/>
    <s v="Assets"/>
    <s v="Cash alike"/>
    <x v="1"/>
    <x v="1"/>
    <x v="0"/>
    <x v="0"/>
    <x v="7"/>
    <x v="1"/>
    <x v="0"/>
    <x v="1"/>
  </r>
  <r>
    <x v="705"/>
    <x v="2"/>
    <s v="MY"/>
    <x v="8"/>
    <x v="7"/>
    <s v="ToEmp"/>
    <x v="52"/>
    <n v="-76729.929999999993"/>
    <b v="1"/>
    <n v="76729.929999999993"/>
    <x v="1"/>
    <s v="Liability"/>
    <s v="Rec-Pay"/>
    <x v="1"/>
    <x v="1"/>
    <x v="1"/>
    <x v="12"/>
    <x v="7"/>
    <x v="4"/>
    <x v="0"/>
    <x v="1"/>
  </r>
  <r>
    <x v="705"/>
    <x v="2"/>
    <s v="MY"/>
    <x v="8"/>
    <x v="7"/>
    <s v="Bank"/>
    <x v="10"/>
    <n v="-76729.929999999993"/>
    <b v="1"/>
    <n v="-76729.929999999993"/>
    <x v="0"/>
    <s v="Assets"/>
    <s v="Cash alike"/>
    <x v="1"/>
    <x v="1"/>
    <x v="0"/>
    <x v="0"/>
    <x v="7"/>
    <x v="4"/>
    <x v="0"/>
    <x v="1"/>
  </r>
  <r>
    <x v="706"/>
    <x v="2"/>
    <s v="GM"/>
    <x v="63"/>
    <x v="7"/>
    <s v="Bank"/>
    <x v="10"/>
    <n v="-14925.38"/>
    <b v="1"/>
    <n v="-14925.38"/>
    <x v="0"/>
    <s v="Assets"/>
    <s v="Cash alike"/>
    <x v="4"/>
    <x v="0"/>
    <x v="0"/>
    <x v="0"/>
    <x v="7"/>
    <x v="1"/>
    <x v="0"/>
    <x v="1"/>
  </r>
  <r>
    <x v="707"/>
    <x v="2"/>
    <s v="MY"/>
    <x v="33"/>
    <x v="7"/>
    <s v="Bank"/>
    <x v="10"/>
    <n v="9205.5"/>
    <b v="1"/>
    <n v="9205.5"/>
    <x v="0"/>
    <s v="Assets"/>
    <s v="Cash alike"/>
    <x v="3"/>
    <x v="1"/>
    <x v="0"/>
    <x v="0"/>
    <x v="7"/>
    <x v="4"/>
    <x v="0"/>
    <x v="1"/>
  </r>
  <r>
    <x v="707"/>
    <x v="2"/>
    <s v="MY"/>
    <x v="33"/>
    <x v="7"/>
    <s v="AR"/>
    <x v="28"/>
    <n v="-9205.5"/>
    <b v="1"/>
    <n v="-9205.5"/>
    <x v="0"/>
    <s v="Assets"/>
    <s v="Rec-Pay"/>
    <x v="3"/>
    <x v="1"/>
    <x v="1"/>
    <x v="2"/>
    <x v="7"/>
    <x v="4"/>
    <x v="0"/>
    <x v="1"/>
  </r>
  <r>
    <x v="708"/>
    <x v="2"/>
    <s v="MY"/>
    <x v="33"/>
    <x v="7"/>
    <s v="Bank"/>
    <x v="10"/>
    <n v="52722.33"/>
    <b v="1"/>
    <n v="52722.33"/>
    <x v="0"/>
    <s v="Assets"/>
    <s v="Cash alike"/>
    <x v="3"/>
    <x v="1"/>
    <x v="0"/>
    <x v="0"/>
    <x v="7"/>
    <x v="4"/>
    <x v="0"/>
    <x v="1"/>
  </r>
  <r>
    <x v="708"/>
    <x v="2"/>
    <s v="MY"/>
    <x v="33"/>
    <x v="7"/>
    <s v="AR"/>
    <x v="27"/>
    <n v="-52722.33"/>
    <b v="1"/>
    <n v="-52722.33"/>
    <x v="0"/>
    <s v="Assets"/>
    <s v="Rec-Pay"/>
    <x v="3"/>
    <x v="1"/>
    <x v="1"/>
    <x v="2"/>
    <x v="7"/>
    <x v="4"/>
    <x v="0"/>
    <x v="1"/>
  </r>
  <r>
    <x v="709"/>
    <x v="2"/>
    <s v="Ctrl"/>
    <x v="7"/>
    <x v="7"/>
    <s v="Bank"/>
    <x v="10"/>
    <n v="100000"/>
    <b v="1"/>
    <n v="100000"/>
    <x v="0"/>
    <s v="Assets"/>
    <s v="Cash alike"/>
    <x v="0"/>
    <x v="0"/>
    <x v="0"/>
    <x v="0"/>
    <x v="7"/>
    <x v="0"/>
    <x v="0"/>
    <x v="1"/>
  </r>
  <r>
    <x v="709"/>
    <x v="2"/>
    <s v="Ctrl"/>
    <x v="7"/>
    <x v="8"/>
    <s v="Bank"/>
    <x v="11"/>
    <n v="-100000"/>
    <b v="1"/>
    <n v="-100000"/>
    <x v="0"/>
    <s v="Assets"/>
    <s v="Cash alike"/>
    <x v="0"/>
    <x v="0"/>
    <x v="0"/>
    <x v="0"/>
    <x v="8"/>
    <x v="0"/>
    <x v="0"/>
    <x v="1"/>
  </r>
  <r>
    <x v="710"/>
    <x v="2"/>
    <s v="MY"/>
    <x v="8"/>
    <x v="7"/>
    <s v="Bank"/>
    <x v="10"/>
    <n v="-224.7"/>
    <b v="1"/>
    <n v="-224.7"/>
    <x v="0"/>
    <s v="Assets"/>
    <s v="Cash alike"/>
    <x v="1"/>
    <x v="1"/>
    <x v="0"/>
    <x v="0"/>
    <x v="7"/>
    <x v="4"/>
    <x v="0"/>
    <x v="1"/>
  </r>
  <r>
    <x v="710"/>
    <x v="2"/>
    <s v="MY"/>
    <x v="8"/>
    <x v="7"/>
    <s v="ToTax"/>
    <x v="54"/>
    <n v="-224.7"/>
    <b v="1"/>
    <n v="224.7"/>
    <x v="1"/>
    <s v="Liability"/>
    <s v="Rec-Pay"/>
    <x v="1"/>
    <x v="1"/>
    <x v="1"/>
    <x v="11"/>
    <x v="7"/>
    <x v="4"/>
    <x v="0"/>
    <x v="1"/>
  </r>
  <r>
    <x v="711"/>
    <x v="2"/>
    <s v="MY"/>
    <x v="3"/>
    <x v="7"/>
    <s v="Bank"/>
    <x v="10"/>
    <n v="-248.55"/>
    <b v="1"/>
    <n v="-248.55"/>
    <x v="0"/>
    <s v="Assets"/>
    <s v="Cash alike"/>
    <x v="1"/>
    <x v="1"/>
    <x v="0"/>
    <x v="0"/>
    <x v="7"/>
    <x v="4"/>
    <x v="0"/>
    <x v="1"/>
  </r>
  <r>
    <x v="712"/>
    <x v="2"/>
    <s v="MY"/>
    <x v="33"/>
    <x v="7"/>
    <s v="Bank"/>
    <x v="10"/>
    <n v="1587"/>
    <b v="1"/>
    <n v="1587"/>
    <x v="0"/>
    <s v="Assets"/>
    <s v="Cash alike"/>
    <x v="3"/>
    <x v="1"/>
    <x v="0"/>
    <x v="0"/>
    <x v="7"/>
    <x v="4"/>
    <x v="0"/>
    <x v="1"/>
  </r>
  <r>
    <x v="712"/>
    <x v="2"/>
    <s v="MY"/>
    <x v="33"/>
    <x v="7"/>
    <s v="AR"/>
    <x v="26"/>
    <n v="-1587"/>
    <b v="1"/>
    <n v="-1587"/>
    <x v="0"/>
    <s v="Assets"/>
    <s v="Rec-Pay"/>
    <x v="3"/>
    <x v="1"/>
    <x v="1"/>
    <x v="2"/>
    <x v="7"/>
    <x v="4"/>
    <x v="0"/>
    <x v="1"/>
  </r>
  <r>
    <x v="713"/>
    <x v="2"/>
    <s v="MY"/>
    <x v="36"/>
    <x v="7"/>
    <s v="Bank"/>
    <x v="10"/>
    <n v="-3062.5"/>
    <b v="1"/>
    <n v="-3062.5"/>
    <x v="0"/>
    <s v="Assets"/>
    <s v="Cash alike"/>
    <x v="2"/>
    <x v="1"/>
    <x v="0"/>
    <x v="0"/>
    <x v="7"/>
    <x v="4"/>
    <x v="0"/>
    <x v="1"/>
  </r>
  <r>
    <x v="714"/>
    <x v="2"/>
    <s v="MY"/>
    <x v="37"/>
    <x v="7"/>
    <s v="Bank"/>
    <x v="10"/>
    <n v="-377"/>
    <b v="1"/>
    <n v="-377"/>
    <x v="0"/>
    <s v="Assets"/>
    <s v="Cash alike"/>
    <x v="1"/>
    <x v="1"/>
    <x v="0"/>
    <x v="0"/>
    <x v="7"/>
    <x v="4"/>
    <x v="0"/>
    <x v="1"/>
  </r>
  <r>
    <x v="715"/>
    <x v="2"/>
    <s v="MY"/>
    <x v="8"/>
    <x v="7"/>
    <s v="Bank"/>
    <x v="10"/>
    <n v="-4704.7"/>
    <b v="1"/>
    <n v="-4704.7"/>
    <x v="0"/>
    <s v="Assets"/>
    <s v="Cash alike"/>
    <x v="2"/>
    <x v="1"/>
    <x v="0"/>
    <x v="0"/>
    <x v="7"/>
    <x v="4"/>
    <x v="0"/>
    <x v="1"/>
  </r>
  <r>
    <x v="715"/>
    <x v="2"/>
    <s v="MY"/>
    <x v="8"/>
    <x v="7"/>
    <s v="ToTax"/>
    <x v="47"/>
    <n v="-4704.7"/>
    <b v="1"/>
    <n v="4704.7"/>
    <x v="1"/>
    <s v="Liability"/>
    <s v="Rec-Pay"/>
    <x v="2"/>
    <x v="1"/>
    <x v="1"/>
    <x v="11"/>
    <x v="7"/>
    <x v="4"/>
    <x v="0"/>
    <x v="1"/>
  </r>
  <r>
    <x v="716"/>
    <x v="2"/>
    <s v="MY"/>
    <x v="37"/>
    <x v="7"/>
    <s v="Bank"/>
    <x v="10"/>
    <n v="-574"/>
    <b v="1"/>
    <n v="-574"/>
    <x v="0"/>
    <s v="Assets"/>
    <s v="Cash alike"/>
    <x v="1"/>
    <x v="1"/>
    <x v="0"/>
    <x v="0"/>
    <x v="7"/>
    <x v="4"/>
    <x v="0"/>
    <x v="1"/>
  </r>
  <r>
    <x v="717"/>
    <x v="2"/>
    <s v="MY"/>
    <x v="53"/>
    <x v="7"/>
    <s v="Bank"/>
    <x v="10"/>
    <n v="-1000"/>
    <b v="1"/>
    <n v="-1000"/>
    <x v="0"/>
    <s v="Assets"/>
    <s v="Cash alike"/>
    <x v="2"/>
    <x v="1"/>
    <x v="0"/>
    <x v="0"/>
    <x v="7"/>
    <x v="4"/>
    <x v="0"/>
    <x v="1"/>
  </r>
  <r>
    <x v="718"/>
    <x v="2"/>
    <s v="MY"/>
    <x v="3"/>
    <x v="7"/>
    <s v="Bank"/>
    <x v="10"/>
    <n v="-206.82"/>
    <b v="1"/>
    <n v="-206.82"/>
    <x v="0"/>
    <s v="Assets"/>
    <s v="Cash alike"/>
    <x v="1"/>
    <x v="1"/>
    <x v="0"/>
    <x v="0"/>
    <x v="7"/>
    <x v="4"/>
    <x v="0"/>
    <x v="1"/>
  </r>
  <r>
    <x v="719"/>
    <x v="2"/>
    <s v="MY"/>
    <x v="33"/>
    <x v="8"/>
    <s v="Bank"/>
    <x v="11"/>
    <n v="3900.94"/>
    <b v="1"/>
    <n v="3900.94"/>
    <x v="0"/>
    <s v="Assets"/>
    <s v="Cash alike"/>
    <x v="3"/>
    <x v="1"/>
    <x v="0"/>
    <x v="0"/>
    <x v="8"/>
    <x v="4"/>
    <x v="0"/>
    <x v="1"/>
  </r>
  <r>
    <x v="719"/>
    <x v="2"/>
    <s v="MY"/>
    <x v="33"/>
    <x v="7"/>
    <s v="AR"/>
    <x v="29"/>
    <n v="-3900.94"/>
    <b v="1"/>
    <n v="-3900.94"/>
    <x v="0"/>
    <s v="Assets"/>
    <s v="Rec-Pay"/>
    <x v="3"/>
    <x v="1"/>
    <x v="1"/>
    <x v="2"/>
    <x v="7"/>
    <x v="4"/>
    <x v="0"/>
    <x v="1"/>
  </r>
  <r>
    <x v="720"/>
    <x v="2"/>
    <s v="MY"/>
    <x v="36"/>
    <x v="8"/>
    <s v="Bank"/>
    <x v="11"/>
    <n v="-860"/>
    <b v="1"/>
    <n v="-860"/>
    <x v="0"/>
    <s v="Assets"/>
    <s v="Cash alike"/>
    <x v="2"/>
    <x v="1"/>
    <x v="0"/>
    <x v="0"/>
    <x v="8"/>
    <x v="4"/>
    <x v="0"/>
    <x v="1"/>
  </r>
  <r>
    <x v="721"/>
    <x v="2"/>
    <s v="MY"/>
    <x v="36"/>
    <x v="8"/>
    <s v="Bank"/>
    <x v="11"/>
    <n v="-588"/>
    <b v="1"/>
    <n v="-588"/>
    <x v="0"/>
    <s v="Assets"/>
    <s v="Cash alike"/>
    <x v="2"/>
    <x v="1"/>
    <x v="0"/>
    <x v="0"/>
    <x v="8"/>
    <x v="4"/>
    <x v="0"/>
    <x v="1"/>
  </r>
  <r>
    <x v="722"/>
    <x v="2"/>
    <s v="MY"/>
    <x v="47"/>
    <x v="8"/>
    <s v="Bank"/>
    <x v="11"/>
    <n v="-400"/>
    <b v="1"/>
    <n v="-400"/>
    <x v="0"/>
    <s v="Assets"/>
    <s v="Cash alike"/>
    <x v="2"/>
    <x v="1"/>
    <x v="0"/>
    <x v="0"/>
    <x v="8"/>
    <x v="4"/>
    <x v="0"/>
    <x v="1"/>
  </r>
  <r>
    <x v="723"/>
    <x v="2"/>
    <s v="MY"/>
    <x v="47"/>
    <x v="8"/>
    <s v="Bank"/>
    <x v="11"/>
    <n v="-125"/>
    <b v="1"/>
    <n v="-125"/>
    <x v="0"/>
    <s v="Assets"/>
    <s v="Cash alike"/>
    <x v="2"/>
    <x v="1"/>
    <x v="0"/>
    <x v="0"/>
    <x v="8"/>
    <x v="4"/>
    <x v="0"/>
    <x v="1"/>
  </r>
  <r>
    <x v="724"/>
    <x v="2"/>
    <s v="MY"/>
    <x v="65"/>
    <x v="8"/>
    <s v="Bank"/>
    <x v="11"/>
    <n v="-16300"/>
    <b v="1"/>
    <n v="-16300"/>
    <x v="0"/>
    <s v="Assets"/>
    <s v="Cash alike"/>
    <x v="2"/>
    <x v="1"/>
    <x v="0"/>
    <x v="0"/>
    <x v="8"/>
    <x v="4"/>
    <x v="0"/>
    <x v="1"/>
  </r>
  <r>
    <x v="725"/>
    <x v="2"/>
    <s v="MY"/>
    <x v="33"/>
    <x v="9"/>
    <s v="Bank"/>
    <x v="12"/>
    <n v="80077.45"/>
    <b v="1"/>
    <n v="80077.45"/>
    <x v="0"/>
    <s v="Assets"/>
    <s v="Cash alike"/>
    <x v="3"/>
    <x v="1"/>
    <x v="0"/>
    <x v="0"/>
    <x v="9"/>
    <x v="4"/>
    <x v="0"/>
    <x v="1"/>
  </r>
  <r>
    <x v="725"/>
    <x v="2"/>
    <s v="MY"/>
    <x v="33"/>
    <x v="7"/>
    <s v="AR"/>
    <x v="25"/>
    <n v="-80077.45"/>
    <b v="1"/>
    <n v="-80077.45"/>
    <x v="0"/>
    <s v="Assets"/>
    <s v="Rec-Pay"/>
    <x v="3"/>
    <x v="1"/>
    <x v="1"/>
    <x v="2"/>
    <x v="7"/>
    <x v="4"/>
    <x v="0"/>
    <x v="1"/>
  </r>
  <r>
    <x v="726"/>
    <x v="2"/>
    <s v="MY"/>
    <x v="23"/>
    <x v="9"/>
    <s v="Bank"/>
    <x v="12"/>
    <n v="212.22"/>
    <b v="1"/>
    <n v="212.22"/>
    <x v="0"/>
    <s v="Assets"/>
    <s v="Cash alike"/>
    <x v="3"/>
    <x v="1"/>
    <x v="0"/>
    <x v="0"/>
    <x v="9"/>
    <x v="4"/>
    <x v="0"/>
    <x v="1"/>
  </r>
  <r>
    <x v="727"/>
    <x v="2"/>
    <s v="MY"/>
    <x v="28"/>
    <x v="9"/>
    <s v="Bank"/>
    <x v="12"/>
    <n v="4265"/>
    <b v="1"/>
    <n v="4265"/>
    <x v="0"/>
    <s v="Assets"/>
    <s v="Cash alike"/>
    <x v="3"/>
    <x v="1"/>
    <x v="0"/>
    <x v="0"/>
    <x v="9"/>
    <x v="4"/>
    <x v="0"/>
    <x v="1"/>
  </r>
  <r>
    <x v="727"/>
    <x v="2"/>
    <s v="MY"/>
    <x v="28"/>
    <x v="7"/>
    <s v="AP"/>
    <x v="59"/>
    <n v="4265"/>
    <b v="1"/>
    <n v="-4265"/>
    <x v="1"/>
    <s v="Liability"/>
    <s v="Rec-Pay"/>
    <x v="3"/>
    <x v="1"/>
    <x v="1"/>
    <x v="10"/>
    <x v="7"/>
    <x v="4"/>
    <x v="0"/>
    <x v="1"/>
  </r>
  <r>
    <x v="728"/>
    <x v="2"/>
    <s v="MY"/>
    <x v="35"/>
    <x v="11"/>
    <s v="Bank"/>
    <x v="15"/>
    <n v="-13350.29"/>
    <b v="1"/>
    <n v="-13350.29"/>
    <x v="0"/>
    <s v="Assets"/>
    <s v="Cash alike"/>
    <x v="2"/>
    <x v="1"/>
    <x v="0"/>
    <x v="0"/>
    <x v="11"/>
    <x v="4"/>
    <x v="0"/>
    <x v="1"/>
  </r>
  <r>
    <x v="729"/>
    <x v="2"/>
    <s v="MY"/>
    <x v="35"/>
    <x v="11"/>
    <s v="Bank"/>
    <x v="15"/>
    <n v="-3234.1"/>
    <b v="1"/>
    <n v="-3234.1"/>
    <x v="0"/>
    <s v="Assets"/>
    <s v="Cash alike"/>
    <x v="2"/>
    <x v="1"/>
    <x v="0"/>
    <x v="0"/>
    <x v="11"/>
    <x v="4"/>
    <x v="0"/>
    <x v="1"/>
  </r>
  <r>
    <x v="730"/>
    <x v="2"/>
    <s v="MY"/>
    <x v="35"/>
    <x v="11"/>
    <s v="Bank"/>
    <x v="15"/>
    <n v="-9006.99"/>
    <b v="1"/>
    <n v="-9006.99"/>
    <x v="0"/>
    <s v="Assets"/>
    <s v="Cash alike"/>
    <x v="2"/>
    <x v="1"/>
    <x v="0"/>
    <x v="0"/>
    <x v="11"/>
    <x v="4"/>
    <x v="0"/>
    <x v="1"/>
  </r>
  <r>
    <x v="731"/>
    <x v="2"/>
    <s v="MY"/>
    <x v="36"/>
    <x v="11"/>
    <s v="Bank"/>
    <x v="15"/>
    <n v="-1319"/>
    <b v="1"/>
    <n v="-1319"/>
    <x v="0"/>
    <s v="Assets"/>
    <s v="Cash alike"/>
    <x v="2"/>
    <x v="1"/>
    <x v="0"/>
    <x v="0"/>
    <x v="11"/>
    <x v="4"/>
    <x v="0"/>
    <x v="1"/>
  </r>
  <r>
    <x v="732"/>
    <x v="2"/>
    <s v="MY"/>
    <x v="36"/>
    <x v="11"/>
    <s v="Bank"/>
    <x v="15"/>
    <n v="-1128.6099999999999"/>
    <b v="1"/>
    <n v="-1128.6099999999999"/>
    <x v="0"/>
    <s v="Assets"/>
    <s v="Cash alike"/>
    <x v="2"/>
    <x v="1"/>
    <x v="0"/>
    <x v="0"/>
    <x v="11"/>
    <x v="4"/>
    <x v="0"/>
    <x v="1"/>
  </r>
  <r>
    <x v="733"/>
    <x v="2"/>
    <s v="MY"/>
    <x v="30"/>
    <x v="11"/>
    <s v="Bank"/>
    <x v="15"/>
    <n v="-2242.4699999999998"/>
    <b v="1"/>
    <n v="-2242.4699999999998"/>
    <x v="0"/>
    <s v="Assets"/>
    <s v="Cash alike"/>
    <x v="1"/>
    <x v="1"/>
    <x v="0"/>
    <x v="0"/>
    <x v="11"/>
    <x v="4"/>
    <x v="0"/>
    <x v="1"/>
  </r>
  <r>
    <x v="734"/>
    <x v="2"/>
    <s v="GM"/>
    <x v="19"/>
    <x v="11"/>
    <s v="Bank"/>
    <x v="15"/>
    <n v="-9000"/>
    <b v="1"/>
    <n v="-9000"/>
    <x v="0"/>
    <s v="Assets"/>
    <s v="Cash alike"/>
    <x v="1"/>
    <x v="1"/>
    <x v="0"/>
    <x v="0"/>
    <x v="11"/>
    <x v="1"/>
    <x v="0"/>
    <x v="1"/>
  </r>
  <r>
    <x v="735"/>
    <x v="2"/>
    <s v="MY"/>
    <x v="36"/>
    <x v="11"/>
    <s v="Bank"/>
    <x v="15"/>
    <n v="-2148.4699999999998"/>
    <b v="1"/>
    <n v="-2148.4699999999998"/>
    <x v="0"/>
    <s v="Assets"/>
    <s v="Cash alike"/>
    <x v="2"/>
    <x v="1"/>
    <x v="0"/>
    <x v="0"/>
    <x v="11"/>
    <x v="4"/>
    <x v="0"/>
    <x v="1"/>
  </r>
  <r>
    <x v="736"/>
    <x v="2"/>
    <s v="MY"/>
    <x v="30"/>
    <x v="11"/>
    <s v="Bank"/>
    <x v="15"/>
    <n v="15"/>
    <b v="1"/>
    <n v="15"/>
    <x v="0"/>
    <s v="Assets"/>
    <s v="Cash alike"/>
    <x v="1"/>
    <x v="1"/>
    <x v="0"/>
    <x v="0"/>
    <x v="11"/>
    <x v="4"/>
    <x v="0"/>
    <x v="1"/>
  </r>
  <r>
    <x v="737"/>
    <x v="2"/>
    <s v="MY"/>
    <x v="30"/>
    <x v="11"/>
    <s v="Bank"/>
    <x v="15"/>
    <n v="-2"/>
    <b v="1"/>
    <n v="-2"/>
    <x v="0"/>
    <s v="Assets"/>
    <s v="Cash alike"/>
    <x v="1"/>
    <x v="1"/>
    <x v="0"/>
    <x v="0"/>
    <x v="11"/>
    <x v="4"/>
    <x v="0"/>
    <x v="1"/>
  </r>
  <r>
    <x v="738"/>
    <x v="2"/>
    <s v="MY"/>
    <x v="30"/>
    <x v="11"/>
    <s v="Bank"/>
    <x v="15"/>
    <n v="-10"/>
    <b v="1"/>
    <n v="-10"/>
    <x v="0"/>
    <s v="Assets"/>
    <s v="Cash alike"/>
    <x v="1"/>
    <x v="1"/>
    <x v="0"/>
    <x v="0"/>
    <x v="11"/>
    <x v="4"/>
    <x v="0"/>
    <x v="1"/>
  </r>
  <r>
    <x v="739"/>
    <x v="2"/>
    <s v="MY"/>
    <x v="36"/>
    <x v="11"/>
    <s v="Bank"/>
    <x v="15"/>
    <n v="146"/>
    <b v="1"/>
    <n v="146"/>
    <x v="0"/>
    <s v="Assets"/>
    <s v="Cash alike"/>
    <x v="2"/>
    <x v="1"/>
    <x v="0"/>
    <x v="0"/>
    <x v="11"/>
    <x v="4"/>
    <x v="0"/>
    <x v="1"/>
  </r>
  <r>
    <x v="740"/>
    <x v="2"/>
    <s v="MY"/>
    <x v="36"/>
    <x v="11"/>
    <s v="Bank"/>
    <x v="15"/>
    <n v="207.66"/>
    <b v="1"/>
    <n v="207.66"/>
    <x v="0"/>
    <s v="Assets"/>
    <s v="Cash alike"/>
    <x v="2"/>
    <x v="1"/>
    <x v="0"/>
    <x v="0"/>
    <x v="11"/>
    <x v="4"/>
    <x v="0"/>
    <x v="1"/>
  </r>
  <r>
    <x v="741"/>
    <x v="2"/>
    <s v="MY"/>
    <x v="35"/>
    <x v="11"/>
    <s v="Bank"/>
    <x v="15"/>
    <n v="167.8"/>
    <b v="1"/>
    <n v="167.8"/>
    <x v="0"/>
    <s v="Assets"/>
    <s v="Cash alike"/>
    <x v="2"/>
    <x v="1"/>
    <x v="0"/>
    <x v="0"/>
    <x v="11"/>
    <x v="4"/>
    <x v="0"/>
    <x v="1"/>
  </r>
  <r>
    <x v="742"/>
    <x v="2"/>
    <s v="MY"/>
    <x v="33"/>
    <x v="10"/>
    <s v="Bank"/>
    <x v="13"/>
    <n v="3441"/>
    <b v="1"/>
    <n v="3441"/>
    <x v="0"/>
    <s v="Assets"/>
    <s v="Cash alike"/>
    <x v="3"/>
    <x v="1"/>
    <x v="0"/>
    <x v="0"/>
    <x v="10"/>
    <x v="4"/>
    <x v="0"/>
    <x v="1"/>
  </r>
  <r>
    <x v="742"/>
    <x v="2"/>
    <s v="MY"/>
    <x v="33"/>
    <x v="7"/>
    <s v="AR"/>
    <x v="71"/>
    <n v="1000"/>
    <b v="1"/>
    <n v="1000"/>
    <x v="0"/>
    <s v="Assets"/>
    <s v="Rec-Pay"/>
    <x v="3"/>
    <x v="1"/>
    <x v="1"/>
    <x v="2"/>
    <x v="7"/>
    <x v="4"/>
    <x v="0"/>
    <x v="1"/>
  </r>
  <r>
    <x v="742"/>
    <x v="2"/>
    <s v="MY"/>
    <x v="33"/>
    <x v="7"/>
    <s v="AR"/>
    <x v="26"/>
    <n v="-3970"/>
    <b v="1"/>
    <n v="-3970"/>
    <x v="0"/>
    <s v="Assets"/>
    <s v="Rec-Pay"/>
    <x v="3"/>
    <x v="1"/>
    <x v="1"/>
    <x v="2"/>
    <x v="7"/>
    <x v="4"/>
    <x v="0"/>
    <x v="1"/>
  </r>
  <r>
    <x v="742"/>
    <x v="2"/>
    <s v="MY"/>
    <x v="33"/>
    <x v="7"/>
    <s v="AR"/>
    <x v="69"/>
    <n v="-471"/>
    <b v="1"/>
    <n v="-471"/>
    <x v="0"/>
    <s v="Assets"/>
    <s v="Rec-Pay"/>
    <x v="3"/>
    <x v="1"/>
    <x v="1"/>
    <x v="2"/>
    <x v="7"/>
    <x v="4"/>
    <x v="0"/>
    <x v="1"/>
  </r>
  <r>
    <x v="743"/>
    <x v="2"/>
    <s v="MY"/>
    <x v="33"/>
    <x v="10"/>
    <s v="Bank"/>
    <x v="13"/>
    <n v="576"/>
    <b v="1"/>
    <n v="576"/>
    <x v="0"/>
    <s v="Assets"/>
    <s v="Cash alike"/>
    <x v="3"/>
    <x v="1"/>
    <x v="0"/>
    <x v="0"/>
    <x v="10"/>
    <x v="4"/>
    <x v="0"/>
    <x v="1"/>
  </r>
  <r>
    <x v="743"/>
    <x v="2"/>
    <s v="MY"/>
    <x v="33"/>
    <x v="7"/>
    <s v="AR"/>
    <x v="29"/>
    <n v="-576"/>
    <b v="1"/>
    <n v="-576"/>
    <x v="0"/>
    <s v="Assets"/>
    <s v="Rec-Pay"/>
    <x v="3"/>
    <x v="1"/>
    <x v="1"/>
    <x v="2"/>
    <x v="7"/>
    <x v="4"/>
    <x v="0"/>
    <x v="1"/>
  </r>
  <r>
    <x v="744"/>
    <x v="2"/>
    <s v="MY"/>
    <x v="33"/>
    <x v="10"/>
    <s v="Bank"/>
    <x v="13"/>
    <n v="851"/>
    <b v="1"/>
    <n v="851"/>
    <x v="0"/>
    <s v="Assets"/>
    <s v="Cash alike"/>
    <x v="3"/>
    <x v="1"/>
    <x v="0"/>
    <x v="0"/>
    <x v="10"/>
    <x v="4"/>
    <x v="0"/>
    <x v="1"/>
  </r>
  <r>
    <x v="744"/>
    <x v="2"/>
    <s v="MY"/>
    <x v="33"/>
    <x v="7"/>
    <s v="AR"/>
    <x v="26"/>
    <n v="-851"/>
    <b v="1"/>
    <n v="-851"/>
    <x v="0"/>
    <s v="Assets"/>
    <s v="Rec-Pay"/>
    <x v="3"/>
    <x v="1"/>
    <x v="1"/>
    <x v="2"/>
    <x v="7"/>
    <x v="4"/>
    <x v="0"/>
    <x v="1"/>
  </r>
  <r>
    <x v="745"/>
    <x v="2"/>
    <s v="MY"/>
    <x v="3"/>
    <x v="10"/>
    <s v="Bank"/>
    <x v="13"/>
    <n v="-439.73"/>
    <b v="1"/>
    <n v="-439.73"/>
    <x v="0"/>
    <s v="Assets"/>
    <s v="Cash alike"/>
    <x v="1"/>
    <x v="1"/>
    <x v="0"/>
    <x v="0"/>
    <x v="10"/>
    <x v="4"/>
    <x v="0"/>
    <x v="1"/>
  </r>
  <r>
    <x v="746"/>
    <x v="2"/>
    <s v="MY"/>
    <x v="58"/>
    <x v="10"/>
    <s v="Bank"/>
    <x v="13"/>
    <n v="-980"/>
    <b v="1"/>
    <n v="-980"/>
    <x v="0"/>
    <s v="Assets"/>
    <s v="Cash alike"/>
    <x v="3"/>
    <x v="1"/>
    <x v="0"/>
    <x v="0"/>
    <x v="10"/>
    <x v="4"/>
    <x v="0"/>
    <x v="1"/>
  </r>
  <r>
    <x v="746"/>
    <x v="2"/>
    <s v="MY"/>
    <x v="58"/>
    <x v="7"/>
    <s v="MemShip"/>
    <x v="57"/>
    <n v="-980"/>
    <b v="1"/>
    <n v="980"/>
    <x v="1"/>
    <s v="Liability"/>
    <s v="Cash alike"/>
    <x v="3"/>
    <x v="1"/>
    <x v="0"/>
    <x v="14"/>
    <x v="7"/>
    <x v="4"/>
    <x v="0"/>
    <x v="1"/>
  </r>
  <r>
    <x v="747"/>
    <x v="2"/>
    <s v="MY"/>
    <x v="18"/>
    <x v="10"/>
    <s v="Bank"/>
    <x v="13"/>
    <n v="-136"/>
    <b v="1"/>
    <n v="-136"/>
    <x v="0"/>
    <s v="Assets"/>
    <s v="Cash alike"/>
    <x v="1"/>
    <x v="1"/>
    <x v="0"/>
    <x v="0"/>
    <x v="10"/>
    <x v="4"/>
    <x v="0"/>
    <x v="1"/>
  </r>
  <r>
    <x v="748"/>
    <x v="2"/>
    <s v="MY"/>
    <x v="18"/>
    <x v="10"/>
    <s v="Bank"/>
    <x v="13"/>
    <n v="-200"/>
    <b v="1"/>
    <n v="-200"/>
    <x v="0"/>
    <s v="Assets"/>
    <s v="Cash alike"/>
    <x v="1"/>
    <x v="1"/>
    <x v="0"/>
    <x v="0"/>
    <x v="10"/>
    <x v="4"/>
    <x v="0"/>
    <x v="1"/>
  </r>
  <r>
    <x v="749"/>
    <x v="2"/>
    <s v="MY"/>
    <x v="33"/>
    <x v="10"/>
    <s v="Bank"/>
    <x v="13"/>
    <n v="118"/>
    <b v="1"/>
    <n v="118"/>
    <x v="0"/>
    <s v="Assets"/>
    <s v="Cash alike"/>
    <x v="3"/>
    <x v="1"/>
    <x v="0"/>
    <x v="0"/>
    <x v="10"/>
    <x v="4"/>
    <x v="0"/>
    <x v="1"/>
  </r>
  <r>
    <x v="749"/>
    <x v="2"/>
    <s v="MY"/>
    <x v="33"/>
    <x v="7"/>
    <s v="AR"/>
    <x v="75"/>
    <n v="-118"/>
    <b v="1"/>
    <n v="-118"/>
    <x v="0"/>
    <s v="Assets"/>
    <s v="Rec-Pay"/>
    <x v="3"/>
    <x v="1"/>
    <x v="1"/>
    <x v="2"/>
    <x v="7"/>
    <x v="4"/>
    <x v="0"/>
    <x v="1"/>
  </r>
  <r>
    <x v="750"/>
    <x v="2"/>
    <s v="MY"/>
    <x v="33"/>
    <x v="10"/>
    <s v="Bank"/>
    <x v="13"/>
    <n v="2304"/>
    <b v="1"/>
    <n v="2304"/>
    <x v="0"/>
    <s v="Assets"/>
    <s v="Cash alike"/>
    <x v="3"/>
    <x v="1"/>
    <x v="0"/>
    <x v="0"/>
    <x v="10"/>
    <x v="4"/>
    <x v="0"/>
    <x v="1"/>
  </r>
  <r>
    <x v="750"/>
    <x v="2"/>
    <s v="MY"/>
    <x v="33"/>
    <x v="7"/>
    <s v="AR"/>
    <x v="29"/>
    <n v="-2304"/>
    <b v="1"/>
    <n v="-2304"/>
    <x v="0"/>
    <s v="Assets"/>
    <s v="Rec-Pay"/>
    <x v="3"/>
    <x v="1"/>
    <x v="1"/>
    <x v="2"/>
    <x v="7"/>
    <x v="4"/>
    <x v="0"/>
    <x v="1"/>
  </r>
  <r>
    <x v="751"/>
    <x v="2"/>
    <s v="MY"/>
    <x v="33"/>
    <x v="10"/>
    <s v="Bank"/>
    <x v="13"/>
    <n v="288"/>
    <b v="1"/>
    <n v="288"/>
    <x v="0"/>
    <s v="Assets"/>
    <s v="Cash alike"/>
    <x v="3"/>
    <x v="1"/>
    <x v="0"/>
    <x v="0"/>
    <x v="10"/>
    <x v="4"/>
    <x v="0"/>
    <x v="1"/>
  </r>
  <r>
    <x v="751"/>
    <x v="2"/>
    <s v="MY"/>
    <x v="33"/>
    <x v="7"/>
    <s v="AR"/>
    <x v="29"/>
    <n v="-288"/>
    <b v="1"/>
    <n v="-288"/>
    <x v="0"/>
    <s v="Assets"/>
    <s v="Rec-Pay"/>
    <x v="3"/>
    <x v="1"/>
    <x v="1"/>
    <x v="2"/>
    <x v="7"/>
    <x v="4"/>
    <x v="0"/>
    <x v="1"/>
  </r>
  <r>
    <x v="752"/>
    <x v="2"/>
    <s v="MY"/>
    <x v="33"/>
    <x v="10"/>
    <s v="Bank"/>
    <x v="13"/>
    <n v="18720"/>
    <b v="1"/>
    <n v="18720"/>
    <x v="0"/>
    <s v="Assets"/>
    <s v="Cash alike"/>
    <x v="3"/>
    <x v="1"/>
    <x v="0"/>
    <x v="0"/>
    <x v="10"/>
    <x v="4"/>
    <x v="0"/>
    <x v="1"/>
  </r>
  <r>
    <x v="752"/>
    <x v="2"/>
    <s v="MY"/>
    <x v="33"/>
    <x v="7"/>
    <s v="AR"/>
    <x v="76"/>
    <n v="-18720"/>
    <b v="1"/>
    <n v="-18720"/>
    <x v="0"/>
    <s v="Assets"/>
    <s v="Rec-Pay"/>
    <x v="3"/>
    <x v="1"/>
    <x v="1"/>
    <x v="2"/>
    <x v="7"/>
    <x v="4"/>
    <x v="0"/>
    <x v="1"/>
  </r>
  <r>
    <x v="753"/>
    <x v="2"/>
    <s v="MY"/>
    <x v="30"/>
    <x v="10"/>
    <s v="Bank"/>
    <x v="13"/>
    <n v="-29"/>
    <b v="1"/>
    <n v="-29"/>
    <x v="0"/>
    <s v="Assets"/>
    <s v="Cash alike"/>
    <x v="1"/>
    <x v="1"/>
    <x v="0"/>
    <x v="0"/>
    <x v="10"/>
    <x v="4"/>
    <x v="0"/>
    <x v="1"/>
  </r>
  <r>
    <x v="754"/>
    <x v="2"/>
    <s v="MY"/>
    <x v="9"/>
    <x v="10"/>
    <s v="Bank"/>
    <x v="13"/>
    <n v="-72"/>
    <b v="1"/>
    <n v="-72"/>
    <x v="0"/>
    <s v="Assets"/>
    <s v="Cash alike"/>
    <x v="1"/>
    <x v="1"/>
    <x v="0"/>
    <x v="0"/>
    <x v="10"/>
    <x v="4"/>
    <x v="0"/>
    <x v="1"/>
  </r>
  <r>
    <x v="755"/>
    <x v="2"/>
    <s v="MY"/>
    <x v="33"/>
    <x v="10"/>
    <s v="Bank"/>
    <x v="13"/>
    <n v="1000"/>
    <b v="1"/>
    <n v="1000"/>
    <x v="0"/>
    <s v="Assets"/>
    <s v="Cash alike"/>
    <x v="3"/>
    <x v="1"/>
    <x v="0"/>
    <x v="0"/>
    <x v="10"/>
    <x v="4"/>
    <x v="0"/>
    <x v="1"/>
  </r>
  <r>
    <x v="755"/>
    <x v="2"/>
    <s v="MY"/>
    <x v="33"/>
    <x v="7"/>
    <s v="AR"/>
    <x v="71"/>
    <n v="-1000"/>
    <b v="1"/>
    <n v="-1000"/>
    <x v="0"/>
    <s v="Assets"/>
    <s v="Rec-Pay"/>
    <x v="3"/>
    <x v="1"/>
    <x v="1"/>
    <x v="2"/>
    <x v="7"/>
    <x v="4"/>
    <x v="0"/>
    <x v="1"/>
  </r>
  <r>
    <x v="756"/>
    <x v="2"/>
    <s v="MY"/>
    <x v="33"/>
    <x v="10"/>
    <s v="Bank"/>
    <x v="13"/>
    <n v="4000"/>
    <b v="1"/>
    <n v="4000"/>
    <x v="0"/>
    <s v="Assets"/>
    <s v="Cash alike"/>
    <x v="3"/>
    <x v="1"/>
    <x v="0"/>
    <x v="0"/>
    <x v="10"/>
    <x v="4"/>
    <x v="0"/>
    <x v="1"/>
  </r>
  <r>
    <x v="756"/>
    <x v="2"/>
    <s v="MY"/>
    <x v="33"/>
    <x v="7"/>
    <s v="AR"/>
    <x v="77"/>
    <n v="-4000"/>
    <b v="0"/>
    <n v="-4000"/>
    <x v="0"/>
    <s v="Assets"/>
    <s v="Rec-Pay"/>
    <x v="3"/>
    <x v="1"/>
    <x v="1"/>
    <x v="2"/>
    <x v="7"/>
    <x v="4"/>
    <x v="0"/>
    <x v="1"/>
  </r>
  <r>
    <x v="757"/>
    <x v="2"/>
    <s v="MY"/>
    <x v="8"/>
    <x v="10"/>
    <s v="Bank"/>
    <x v="13"/>
    <n v="-5286"/>
    <b v="1"/>
    <n v="-5286"/>
    <x v="0"/>
    <s v="Assets"/>
    <s v="Cash alike"/>
    <x v="1"/>
    <x v="1"/>
    <x v="0"/>
    <x v="0"/>
    <x v="10"/>
    <x v="4"/>
    <x v="0"/>
    <x v="1"/>
  </r>
  <r>
    <x v="757"/>
    <x v="2"/>
    <s v="MY"/>
    <x v="8"/>
    <x v="7"/>
    <s v="ToEmp"/>
    <x v="52"/>
    <n v="-5286"/>
    <b v="1"/>
    <n v="5286"/>
    <x v="1"/>
    <s v="Liability"/>
    <s v="Rec-Pay"/>
    <x v="1"/>
    <x v="1"/>
    <x v="1"/>
    <x v="12"/>
    <x v="7"/>
    <x v="4"/>
    <x v="0"/>
    <x v="1"/>
  </r>
  <r>
    <x v="758"/>
    <x v="2"/>
    <s v="GM"/>
    <x v="8"/>
    <x v="10"/>
    <s v="Bank"/>
    <x v="13"/>
    <n v="-99375"/>
    <b v="1"/>
    <n v="-99375"/>
    <x v="0"/>
    <s v="Assets"/>
    <s v="Cash alike"/>
    <x v="1"/>
    <x v="1"/>
    <x v="0"/>
    <x v="0"/>
    <x v="10"/>
    <x v="1"/>
    <x v="0"/>
    <x v="1"/>
  </r>
  <r>
    <x v="758"/>
    <x v="2"/>
    <s v="GM"/>
    <x v="8"/>
    <x v="7"/>
    <s v="ToEmp"/>
    <x v="68"/>
    <n v="-99375"/>
    <b v="1"/>
    <n v="99375"/>
    <x v="1"/>
    <s v="Liability"/>
    <s v="Rec-Pay"/>
    <x v="1"/>
    <x v="1"/>
    <x v="1"/>
    <x v="12"/>
    <x v="7"/>
    <x v="1"/>
    <x v="0"/>
    <x v="1"/>
  </r>
  <r>
    <x v="759"/>
    <x v="2"/>
    <s v="MY"/>
    <x v="33"/>
    <x v="10"/>
    <s v="Bank"/>
    <x v="13"/>
    <n v="274.39999999999998"/>
    <b v="1"/>
    <n v="274.39999999999998"/>
    <x v="0"/>
    <s v="Assets"/>
    <s v="Cash alike"/>
    <x v="3"/>
    <x v="1"/>
    <x v="0"/>
    <x v="0"/>
    <x v="10"/>
    <x v="4"/>
    <x v="0"/>
    <x v="1"/>
  </r>
  <r>
    <x v="759"/>
    <x v="2"/>
    <s v="MY"/>
    <x v="33"/>
    <x v="7"/>
    <s v="AR"/>
    <x v="29"/>
    <n v="-274.39999999999998"/>
    <b v="1"/>
    <n v="-274.39999999999998"/>
    <x v="0"/>
    <s v="Assets"/>
    <s v="Rec-Pay"/>
    <x v="3"/>
    <x v="1"/>
    <x v="1"/>
    <x v="2"/>
    <x v="7"/>
    <x v="4"/>
    <x v="0"/>
    <x v="1"/>
  </r>
  <r>
    <x v="760"/>
    <x v="2"/>
    <s v="MY"/>
    <x v="33"/>
    <x v="10"/>
    <s v="Bank"/>
    <x v="13"/>
    <n v="4600"/>
    <b v="1"/>
    <n v="4600"/>
    <x v="0"/>
    <s v="Assets"/>
    <s v="Cash alike"/>
    <x v="3"/>
    <x v="1"/>
    <x v="0"/>
    <x v="0"/>
    <x v="10"/>
    <x v="4"/>
    <x v="0"/>
    <x v="1"/>
  </r>
  <r>
    <x v="760"/>
    <x v="2"/>
    <s v="MY"/>
    <x v="33"/>
    <x v="7"/>
    <s v="AR"/>
    <x v="26"/>
    <n v="-5600"/>
    <b v="1"/>
    <n v="-5600"/>
    <x v="0"/>
    <s v="Assets"/>
    <s v="Rec-Pay"/>
    <x v="3"/>
    <x v="1"/>
    <x v="1"/>
    <x v="2"/>
    <x v="7"/>
    <x v="4"/>
    <x v="0"/>
    <x v="1"/>
  </r>
  <r>
    <x v="760"/>
    <x v="2"/>
    <s v="MY"/>
    <x v="33"/>
    <x v="7"/>
    <s v="AR"/>
    <x v="71"/>
    <n v="1000"/>
    <b v="1"/>
    <n v="1000"/>
    <x v="0"/>
    <s v="Assets"/>
    <s v="Rec-Pay"/>
    <x v="3"/>
    <x v="1"/>
    <x v="1"/>
    <x v="2"/>
    <x v="7"/>
    <x v="4"/>
    <x v="0"/>
    <x v="1"/>
  </r>
  <r>
    <x v="761"/>
    <x v="2"/>
    <s v="MY"/>
    <x v="33"/>
    <x v="10"/>
    <s v="Bank"/>
    <x v="13"/>
    <n v="274.39999999999998"/>
    <b v="1"/>
    <n v="274.39999999999998"/>
    <x v="0"/>
    <s v="Assets"/>
    <s v="Cash alike"/>
    <x v="3"/>
    <x v="1"/>
    <x v="0"/>
    <x v="0"/>
    <x v="10"/>
    <x v="4"/>
    <x v="0"/>
    <x v="1"/>
  </r>
  <r>
    <x v="761"/>
    <x v="2"/>
    <s v="MY"/>
    <x v="33"/>
    <x v="7"/>
    <s v="AR"/>
    <x v="29"/>
    <n v="-274.39999999999998"/>
    <b v="1"/>
    <n v="-274.39999999999998"/>
    <x v="0"/>
    <s v="Assets"/>
    <s v="Rec-Pay"/>
    <x v="3"/>
    <x v="1"/>
    <x v="1"/>
    <x v="2"/>
    <x v="7"/>
    <x v="4"/>
    <x v="0"/>
    <x v="1"/>
  </r>
  <r>
    <x v="762"/>
    <x v="2"/>
    <s v="MY"/>
    <x v="33"/>
    <x v="10"/>
    <s v="Bank"/>
    <x v="13"/>
    <n v="165"/>
    <b v="1"/>
    <n v="165"/>
    <x v="0"/>
    <s v="Assets"/>
    <s v="Cash alike"/>
    <x v="3"/>
    <x v="1"/>
    <x v="0"/>
    <x v="0"/>
    <x v="10"/>
    <x v="4"/>
    <x v="0"/>
    <x v="1"/>
  </r>
  <r>
    <x v="762"/>
    <x v="2"/>
    <s v="MY"/>
    <x v="33"/>
    <x v="7"/>
    <s v="AR"/>
    <x v="77"/>
    <n v="-165"/>
    <b v="0"/>
    <n v="-165"/>
    <x v="0"/>
    <s v="Assets"/>
    <s v="Rec-Pay"/>
    <x v="3"/>
    <x v="1"/>
    <x v="1"/>
    <x v="2"/>
    <x v="7"/>
    <x v="4"/>
    <x v="0"/>
    <x v="1"/>
  </r>
  <r>
    <x v="763"/>
    <x v="2"/>
    <s v="MY"/>
    <x v="36"/>
    <x v="10"/>
    <s v="Bank"/>
    <x v="13"/>
    <n v="-252"/>
    <b v="1"/>
    <n v="-252"/>
    <x v="0"/>
    <s v="Assets"/>
    <s v="Cash alike"/>
    <x v="2"/>
    <x v="1"/>
    <x v="0"/>
    <x v="0"/>
    <x v="10"/>
    <x v="4"/>
    <x v="0"/>
    <x v="1"/>
  </r>
  <r>
    <x v="764"/>
    <x v="2"/>
    <s v="MY"/>
    <x v="30"/>
    <x v="10"/>
    <s v="Bank"/>
    <x v="13"/>
    <n v="-17"/>
    <b v="1"/>
    <n v="-17"/>
    <x v="0"/>
    <s v="Assets"/>
    <s v="Cash alike"/>
    <x v="1"/>
    <x v="1"/>
    <x v="0"/>
    <x v="0"/>
    <x v="10"/>
    <x v="4"/>
    <x v="0"/>
    <x v="1"/>
  </r>
  <r>
    <x v="765"/>
    <x v="2"/>
    <s v="MY"/>
    <x v="33"/>
    <x v="7"/>
    <s v="AR"/>
    <x v="71"/>
    <n v="-2000"/>
    <b v="1"/>
    <n v="-2000"/>
    <x v="0"/>
    <s v="Assets"/>
    <s v="Rec-Pay"/>
    <x v="3"/>
    <x v="1"/>
    <x v="1"/>
    <x v="2"/>
    <x v="7"/>
    <x v="4"/>
    <x v="0"/>
    <x v="1"/>
  </r>
  <r>
    <x v="765"/>
    <x v="2"/>
    <s v="MY"/>
    <x v="33"/>
    <x v="10"/>
    <s v="Bank"/>
    <x v="13"/>
    <n v="2000"/>
    <b v="1"/>
    <n v="2000"/>
    <x v="0"/>
    <s v="Assets"/>
    <s v="Cash alike"/>
    <x v="3"/>
    <x v="1"/>
    <x v="0"/>
    <x v="0"/>
    <x v="10"/>
    <x v="4"/>
    <x v="0"/>
    <x v="1"/>
  </r>
  <r>
    <x v="766"/>
    <x v="2"/>
    <s v="MY"/>
    <x v="58"/>
    <x v="7"/>
    <s v="AR"/>
    <x v="71"/>
    <n v="1000"/>
    <b v="1"/>
    <n v="1000"/>
    <x v="0"/>
    <s v="Assets"/>
    <s v="Rec-Pay"/>
    <x v="3"/>
    <x v="1"/>
    <x v="1"/>
    <x v="2"/>
    <x v="7"/>
    <x v="4"/>
    <x v="0"/>
    <x v="1"/>
  </r>
  <r>
    <x v="766"/>
    <x v="2"/>
    <s v="MY"/>
    <x v="58"/>
    <x v="10"/>
    <s v="Bank"/>
    <x v="13"/>
    <n v="-1000"/>
    <b v="1"/>
    <n v="-1000"/>
    <x v="0"/>
    <s v="Assets"/>
    <s v="Cash alike"/>
    <x v="3"/>
    <x v="1"/>
    <x v="0"/>
    <x v="0"/>
    <x v="10"/>
    <x v="4"/>
    <x v="0"/>
    <x v="1"/>
  </r>
  <r>
    <x v="767"/>
    <x v="2"/>
    <s v="MY"/>
    <x v="33"/>
    <x v="7"/>
    <s v="AR"/>
    <x v="31"/>
    <n v="-100"/>
    <b v="1"/>
    <n v="-100"/>
    <x v="0"/>
    <s v="Assets"/>
    <s v="Rec-Pay"/>
    <x v="3"/>
    <x v="1"/>
    <x v="1"/>
    <x v="2"/>
    <x v="7"/>
    <x v="4"/>
    <x v="0"/>
    <x v="1"/>
  </r>
  <r>
    <x v="767"/>
    <x v="2"/>
    <s v="MY"/>
    <x v="33"/>
    <x v="10"/>
    <s v="Bank"/>
    <x v="13"/>
    <n v="100"/>
    <b v="1"/>
    <n v="100"/>
    <x v="0"/>
    <s v="Assets"/>
    <s v="Cash alike"/>
    <x v="3"/>
    <x v="1"/>
    <x v="0"/>
    <x v="0"/>
    <x v="10"/>
    <x v="4"/>
    <x v="0"/>
    <x v="1"/>
  </r>
  <r>
    <x v="768"/>
    <x v="2"/>
    <s v="MY"/>
    <x v="33"/>
    <x v="7"/>
    <s v="AR"/>
    <x v="26"/>
    <n v="-2336"/>
    <b v="1"/>
    <n v="-2336"/>
    <x v="0"/>
    <s v="Assets"/>
    <s v="Rec-Pay"/>
    <x v="3"/>
    <x v="1"/>
    <x v="1"/>
    <x v="2"/>
    <x v="7"/>
    <x v="4"/>
    <x v="0"/>
    <x v="1"/>
  </r>
  <r>
    <x v="768"/>
    <x v="2"/>
    <s v="MY"/>
    <x v="33"/>
    <x v="10"/>
    <s v="Bank"/>
    <x v="13"/>
    <n v="2336"/>
    <b v="1"/>
    <n v="2336"/>
    <x v="0"/>
    <s v="Assets"/>
    <s v="Cash alike"/>
    <x v="3"/>
    <x v="1"/>
    <x v="0"/>
    <x v="0"/>
    <x v="10"/>
    <x v="4"/>
    <x v="0"/>
    <x v="1"/>
  </r>
  <r>
    <x v="769"/>
    <x v="2"/>
    <s v="MY"/>
    <x v="33"/>
    <x v="7"/>
    <s v="AR"/>
    <x v="26"/>
    <n v="-500"/>
    <b v="1"/>
    <n v="-500"/>
    <x v="0"/>
    <s v="Assets"/>
    <s v="Rec-Pay"/>
    <x v="3"/>
    <x v="1"/>
    <x v="1"/>
    <x v="2"/>
    <x v="7"/>
    <x v="4"/>
    <x v="0"/>
    <x v="1"/>
  </r>
  <r>
    <x v="769"/>
    <x v="2"/>
    <s v="MY"/>
    <x v="33"/>
    <x v="10"/>
    <s v="Bank"/>
    <x v="13"/>
    <n v="500"/>
    <b v="1"/>
    <n v="500"/>
    <x v="0"/>
    <s v="Assets"/>
    <s v="Cash alike"/>
    <x v="3"/>
    <x v="1"/>
    <x v="0"/>
    <x v="0"/>
    <x v="10"/>
    <x v="4"/>
    <x v="0"/>
    <x v="1"/>
  </r>
  <r>
    <x v="770"/>
    <x v="2"/>
    <s v="MY"/>
    <x v="33"/>
    <x v="7"/>
    <s v="AR"/>
    <x v="69"/>
    <n v="-3117"/>
    <b v="1"/>
    <n v="-3117"/>
    <x v="0"/>
    <s v="Assets"/>
    <s v="Rec-Pay"/>
    <x v="3"/>
    <x v="1"/>
    <x v="1"/>
    <x v="2"/>
    <x v="7"/>
    <x v="4"/>
    <x v="0"/>
    <x v="1"/>
  </r>
  <r>
    <x v="770"/>
    <x v="2"/>
    <s v="MY"/>
    <x v="33"/>
    <x v="10"/>
    <s v="Bank"/>
    <x v="13"/>
    <n v="3117"/>
    <b v="1"/>
    <n v="3117"/>
    <x v="0"/>
    <s v="Assets"/>
    <s v="Cash alike"/>
    <x v="3"/>
    <x v="1"/>
    <x v="0"/>
    <x v="0"/>
    <x v="10"/>
    <x v="4"/>
    <x v="0"/>
    <x v="1"/>
  </r>
  <r>
    <x v="771"/>
    <x v="2"/>
    <s v="MY"/>
    <x v="36"/>
    <x v="10"/>
    <s v="Bank"/>
    <x v="13"/>
    <n v="-360"/>
    <b v="1"/>
    <n v="-360"/>
    <x v="0"/>
    <s v="Assets"/>
    <s v="Cash alike"/>
    <x v="2"/>
    <x v="1"/>
    <x v="0"/>
    <x v="0"/>
    <x v="10"/>
    <x v="4"/>
    <x v="0"/>
    <x v="1"/>
  </r>
  <r>
    <x v="772"/>
    <x v="2"/>
    <s v="MY"/>
    <x v="58"/>
    <x v="7"/>
    <s v="AR"/>
    <x v="69"/>
    <n v="1558.5"/>
    <b v="1"/>
    <n v="1558.5"/>
    <x v="0"/>
    <s v="Assets"/>
    <s v="Rec-Pay"/>
    <x v="3"/>
    <x v="1"/>
    <x v="1"/>
    <x v="2"/>
    <x v="7"/>
    <x v="4"/>
    <x v="0"/>
    <x v="1"/>
  </r>
  <r>
    <x v="772"/>
    <x v="2"/>
    <s v="MY"/>
    <x v="58"/>
    <x v="10"/>
    <s v="Bank"/>
    <x v="13"/>
    <n v="-1558.5"/>
    <b v="1"/>
    <n v="-1558.5"/>
    <x v="0"/>
    <s v="Assets"/>
    <s v="Cash alike"/>
    <x v="3"/>
    <x v="1"/>
    <x v="0"/>
    <x v="0"/>
    <x v="10"/>
    <x v="4"/>
    <x v="0"/>
    <x v="1"/>
  </r>
  <r>
    <x v="773"/>
    <x v="2"/>
    <s v="MY"/>
    <x v="53"/>
    <x v="10"/>
    <s v="Bank"/>
    <x v="13"/>
    <n v="-900"/>
    <b v="1"/>
    <n v="-900"/>
    <x v="0"/>
    <s v="Assets"/>
    <s v="Cash alike"/>
    <x v="2"/>
    <x v="1"/>
    <x v="0"/>
    <x v="0"/>
    <x v="10"/>
    <x v="4"/>
    <x v="0"/>
    <x v="1"/>
  </r>
  <r>
    <x v="774"/>
    <x v="2"/>
    <s v="MY"/>
    <x v="58"/>
    <x v="7"/>
    <s v="AR"/>
    <x v="71"/>
    <n v="500"/>
    <b v="1"/>
    <n v="500"/>
    <x v="0"/>
    <s v="Assets"/>
    <s v="Rec-Pay"/>
    <x v="3"/>
    <x v="1"/>
    <x v="1"/>
    <x v="2"/>
    <x v="7"/>
    <x v="4"/>
    <x v="0"/>
    <x v="1"/>
  </r>
  <r>
    <x v="774"/>
    <x v="2"/>
    <s v="MY"/>
    <x v="58"/>
    <x v="10"/>
    <s v="Bank"/>
    <x v="13"/>
    <n v="-500"/>
    <b v="1"/>
    <n v="-500"/>
    <x v="0"/>
    <s v="Assets"/>
    <s v="Cash alike"/>
    <x v="3"/>
    <x v="1"/>
    <x v="0"/>
    <x v="0"/>
    <x v="10"/>
    <x v="4"/>
    <x v="0"/>
    <x v="1"/>
  </r>
  <r>
    <x v="775"/>
    <x v="2"/>
    <s v="MY"/>
    <x v="65"/>
    <x v="10"/>
    <s v="Bank"/>
    <x v="13"/>
    <n v="-20"/>
    <b v="1"/>
    <n v="-20"/>
    <x v="0"/>
    <s v="Assets"/>
    <s v="Cash alike"/>
    <x v="2"/>
    <x v="1"/>
    <x v="0"/>
    <x v="0"/>
    <x v="10"/>
    <x v="4"/>
    <x v="0"/>
    <x v="1"/>
  </r>
  <r>
    <x v="776"/>
    <x v="2"/>
    <s v="MY"/>
    <x v="9"/>
    <x v="10"/>
    <s v="Bank"/>
    <x v="13"/>
    <n v="-50.63"/>
    <b v="1"/>
    <n v="-50.63"/>
    <x v="0"/>
    <s v="Assets"/>
    <s v="Cash alike"/>
    <x v="1"/>
    <x v="1"/>
    <x v="0"/>
    <x v="0"/>
    <x v="10"/>
    <x v="4"/>
    <x v="0"/>
    <x v="1"/>
  </r>
  <r>
    <x v="777"/>
    <x v="2"/>
    <s v="MY"/>
    <x v="33"/>
    <x v="7"/>
    <s v="AR"/>
    <x v="71"/>
    <n v="-1000"/>
    <b v="1"/>
    <n v="-1000"/>
    <x v="0"/>
    <s v="Assets"/>
    <s v="Rec-Pay"/>
    <x v="3"/>
    <x v="1"/>
    <x v="1"/>
    <x v="2"/>
    <x v="7"/>
    <x v="4"/>
    <x v="0"/>
    <x v="1"/>
  </r>
  <r>
    <x v="777"/>
    <x v="2"/>
    <s v="MY"/>
    <x v="33"/>
    <x v="10"/>
    <s v="Bank"/>
    <x v="13"/>
    <n v="1000"/>
    <b v="1"/>
    <n v="1000"/>
    <x v="0"/>
    <s v="Assets"/>
    <s v="Cash alike"/>
    <x v="3"/>
    <x v="1"/>
    <x v="0"/>
    <x v="0"/>
    <x v="10"/>
    <x v="4"/>
    <x v="0"/>
    <x v="1"/>
  </r>
  <r>
    <x v="778"/>
    <x v="2"/>
    <s v="MY"/>
    <x v="36"/>
    <x v="10"/>
    <s v="Bank"/>
    <x v="13"/>
    <n v="-340"/>
    <b v="1"/>
    <n v="-340"/>
    <x v="0"/>
    <s v="Assets"/>
    <s v="Cash alike"/>
    <x v="2"/>
    <x v="1"/>
    <x v="0"/>
    <x v="0"/>
    <x v="10"/>
    <x v="4"/>
    <x v="0"/>
    <x v="1"/>
  </r>
  <r>
    <x v="779"/>
    <x v="2"/>
    <s v="MY"/>
    <x v="58"/>
    <x v="7"/>
    <s v="AR"/>
    <x v="71"/>
    <n v="1000"/>
    <b v="1"/>
    <n v="1000"/>
    <x v="0"/>
    <s v="Assets"/>
    <s v="Rec-Pay"/>
    <x v="3"/>
    <x v="1"/>
    <x v="1"/>
    <x v="2"/>
    <x v="7"/>
    <x v="4"/>
    <x v="0"/>
    <x v="1"/>
  </r>
  <r>
    <x v="779"/>
    <x v="2"/>
    <s v="MY"/>
    <x v="58"/>
    <x v="10"/>
    <s v="Bank"/>
    <x v="13"/>
    <n v="-44"/>
    <b v="1"/>
    <n v="-44"/>
    <x v="0"/>
    <s v="Assets"/>
    <s v="Cash alike"/>
    <x v="3"/>
    <x v="1"/>
    <x v="0"/>
    <x v="0"/>
    <x v="10"/>
    <x v="4"/>
    <x v="0"/>
    <x v="1"/>
  </r>
  <r>
    <x v="779"/>
    <x v="2"/>
    <s v="MY"/>
    <x v="58"/>
    <x v="7"/>
    <s v="AR"/>
    <x v="26"/>
    <n v="-956"/>
    <b v="1"/>
    <n v="-956"/>
    <x v="0"/>
    <s v="Assets"/>
    <s v="Rec-Pay"/>
    <x v="3"/>
    <x v="1"/>
    <x v="1"/>
    <x v="2"/>
    <x v="7"/>
    <x v="4"/>
    <x v="0"/>
    <x v="1"/>
  </r>
  <r>
    <x v="780"/>
    <x v="2"/>
    <s v="MY"/>
    <x v="33"/>
    <x v="7"/>
    <s v="AR"/>
    <x v="26"/>
    <n v="-168"/>
    <b v="1"/>
    <n v="-168"/>
    <x v="0"/>
    <s v="Assets"/>
    <s v="Rec-Pay"/>
    <x v="3"/>
    <x v="1"/>
    <x v="1"/>
    <x v="2"/>
    <x v="7"/>
    <x v="4"/>
    <x v="0"/>
    <x v="1"/>
  </r>
  <r>
    <x v="780"/>
    <x v="2"/>
    <s v="MY"/>
    <x v="33"/>
    <x v="10"/>
    <s v="Bank"/>
    <x v="13"/>
    <n v="168"/>
    <b v="1"/>
    <n v="168"/>
    <x v="0"/>
    <s v="Assets"/>
    <s v="Cash alike"/>
    <x v="3"/>
    <x v="1"/>
    <x v="0"/>
    <x v="0"/>
    <x v="10"/>
    <x v="4"/>
    <x v="0"/>
    <x v="1"/>
  </r>
  <r>
    <x v="781"/>
    <x v="2"/>
    <s v="MY"/>
    <x v="33"/>
    <x v="7"/>
    <s v="AR"/>
    <x v="69"/>
    <n v="-3600"/>
    <b v="1"/>
    <n v="-3600"/>
    <x v="0"/>
    <s v="Assets"/>
    <s v="Rec-Pay"/>
    <x v="3"/>
    <x v="1"/>
    <x v="1"/>
    <x v="2"/>
    <x v="7"/>
    <x v="4"/>
    <x v="0"/>
    <x v="1"/>
  </r>
  <r>
    <x v="781"/>
    <x v="2"/>
    <s v="MY"/>
    <x v="33"/>
    <x v="10"/>
    <s v="Bank"/>
    <x v="13"/>
    <n v="3600"/>
    <b v="1"/>
    <n v="3600"/>
    <x v="0"/>
    <s v="Assets"/>
    <s v="Cash alike"/>
    <x v="3"/>
    <x v="1"/>
    <x v="0"/>
    <x v="0"/>
    <x v="10"/>
    <x v="4"/>
    <x v="0"/>
    <x v="1"/>
  </r>
  <r>
    <x v="782"/>
    <x v="2"/>
    <s v="MY"/>
    <x v="33"/>
    <x v="7"/>
    <s v="AR"/>
    <x v="75"/>
    <n v="-186"/>
    <b v="1"/>
    <n v="-186"/>
    <x v="0"/>
    <s v="Assets"/>
    <s v="Rec-Pay"/>
    <x v="3"/>
    <x v="1"/>
    <x v="1"/>
    <x v="2"/>
    <x v="7"/>
    <x v="4"/>
    <x v="0"/>
    <x v="1"/>
  </r>
  <r>
    <x v="782"/>
    <x v="2"/>
    <s v="MY"/>
    <x v="33"/>
    <x v="10"/>
    <s v="Bank"/>
    <x v="13"/>
    <n v="186"/>
    <b v="1"/>
    <n v="186"/>
    <x v="0"/>
    <s v="Assets"/>
    <s v="Cash alike"/>
    <x v="3"/>
    <x v="1"/>
    <x v="0"/>
    <x v="0"/>
    <x v="10"/>
    <x v="4"/>
    <x v="0"/>
    <x v="1"/>
  </r>
  <r>
    <x v="783"/>
    <x v="2"/>
    <s v="MY"/>
    <x v="58"/>
    <x v="7"/>
    <s v="AR"/>
    <x v="71"/>
    <n v="1000"/>
    <b v="1"/>
    <n v="1000"/>
    <x v="0"/>
    <s v="Assets"/>
    <s v="Rec-Pay"/>
    <x v="3"/>
    <x v="1"/>
    <x v="1"/>
    <x v="2"/>
    <x v="7"/>
    <x v="4"/>
    <x v="0"/>
    <x v="1"/>
  </r>
  <r>
    <x v="783"/>
    <x v="2"/>
    <s v="MY"/>
    <x v="58"/>
    <x v="10"/>
    <s v="Bank"/>
    <x v="13"/>
    <n v="-1000"/>
    <b v="1"/>
    <n v="-1000"/>
    <x v="0"/>
    <s v="Assets"/>
    <s v="Cash alike"/>
    <x v="3"/>
    <x v="1"/>
    <x v="0"/>
    <x v="0"/>
    <x v="10"/>
    <x v="4"/>
    <x v="0"/>
    <x v="1"/>
  </r>
  <r>
    <x v="784"/>
    <x v="2"/>
    <s v="MY"/>
    <x v="58"/>
    <x v="7"/>
    <s v="AR"/>
    <x v="71"/>
    <n v="1000"/>
    <b v="1"/>
    <n v="1000"/>
    <x v="0"/>
    <s v="Assets"/>
    <s v="Rec-Pay"/>
    <x v="3"/>
    <x v="1"/>
    <x v="1"/>
    <x v="2"/>
    <x v="7"/>
    <x v="4"/>
    <x v="0"/>
    <x v="1"/>
  </r>
  <r>
    <x v="784"/>
    <x v="2"/>
    <s v="MY"/>
    <x v="58"/>
    <x v="10"/>
    <s v="Bank"/>
    <x v="13"/>
    <n v="-1000"/>
    <b v="1"/>
    <n v="-1000"/>
    <x v="0"/>
    <s v="Assets"/>
    <s v="Cash alike"/>
    <x v="3"/>
    <x v="1"/>
    <x v="0"/>
    <x v="0"/>
    <x v="10"/>
    <x v="4"/>
    <x v="0"/>
    <x v="1"/>
  </r>
  <r>
    <x v="785"/>
    <x v="2"/>
    <s v="MY"/>
    <x v="33"/>
    <x v="7"/>
    <s v="AR"/>
    <x v="69"/>
    <n v="-3600"/>
    <b v="1"/>
    <n v="-3600"/>
    <x v="0"/>
    <s v="Assets"/>
    <s v="Rec-Pay"/>
    <x v="3"/>
    <x v="1"/>
    <x v="1"/>
    <x v="2"/>
    <x v="7"/>
    <x v="4"/>
    <x v="0"/>
    <x v="1"/>
  </r>
  <r>
    <x v="785"/>
    <x v="2"/>
    <s v="MY"/>
    <x v="33"/>
    <x v="10"/>
    <s v="Bank"/>
    <x v="13"/>
    <n v="3600"/>
    <b v="1"/>
    <n v="3600"/>
    <x v="0"/>
    <s v="Assets"/>
    <s v="Cash alike"/>
    <x v="3"/>
    <x v="1"/>
    <x v="0"/>
    <x v="0"/>
    <x v="10"/>
    <x v="4"/>
    <x v="0"/>
    <x v="1"/>
  </r>
  <r>
    <x v="786"/>
    <x v="2"/>
    <s v="MY"/>
    <x v="33"/>
    <x v="7"/>
    <s v="AR"/>
    <x v="26"/>
    <n v="-5"/>
    <b v="1"/>
    <n v="-5"/>
    <x v="0"/>
    <s v="Assets"/>
    <s v="Rec-Pay"/>
    <x v="3"/>
    <x v="1"/>
    <x v="1"/>
    <x v="2"/>
    <x v="7"/>
    <x v="4"/>
    <x v="0"/>
    <x v="1"/>
  </r>
  <r>
    <x v="786"/>
    <x v="2"/>
    <s v="MY"/>
    <x v="33"/>
    <x v="10"/>
    <s v="Bank"/>
    <x v="13"/>
    <n v="5"/>
    <b v="1"/>
    <n v="5"/>
    <x v="0"/>
    <s v="Assets"/>
    <s v="Cash alike"/>
    <x v="3"/>
    <x v="1"/>
    <x v="0"/>
    <x v="0"/>
    <x v="10"/>
    <x v="4"/>
    <x v="0"/>
    <x v="1"/>
  </r>
  <r>
    <x v="787"/>
    <x v="2"/>
    <s v="MY"/>
    <x v="33"/>
    <x v="7"/>
    <s v="AR"/>
    <x v="69"/>
    <n v="-1127"/>
    <b v="1"/>
    <n v="-1127"/>
    <x v="0"/>
    <s v="Assets"/>
    <s v="Rec-Pay"/>
    <x v="3"/>
    <x v="1"/>
    <x v="1"/>
    <x v="2"/>
    <x v="7"/>
    <x v="4"/>
    <x v="0"/>
    <x v="1"/>
  </r>
  <r>
    <x v="787"/>
    <x v="2"/>
    <s v="MY"/>
    <x v="33"/>
    <x v="10"/>
    <s v="Bank"/>
    <x v="13"/>
    <n v="1127"/>
    <b v="1"/>
    <n v="1127"/>
    <x v="0"/>
    <s v="Assets"/>
    <s v="Cash alike"/>
    <x v="3"/>
    <x v="1"/>
    <x v="0"/>
    <x v="0"/>
    <x v="10"/>
    <x v="4"/>
    <x v="0"/>
    <x v="1"/>
  </r>
  <r>
    <x v="788"/>
    <x v="2"/>
    <s v="MY"/>
    <x v="33"/>
    <x v="7"/>
    <s v="AR"/>
    <x v="69"/>
    <n v="-6600"/>
    <b v="1"/>
    <n v="-6600"/>
    <x v="0"/>
    <s v="Assets"/>
    <s v="Rec-Pay"/>
    <x v="3"/>
    <x v="1"/>
    <x v="1"/>
    <x v="2"/>
    <x v="7"/>
    <x v="4"/>
    <x v="0"/>
    <x v="1"/>
  </r>
  <r>
    <x v="788"/>
    <x v="2"/>
    <s v="MY"/>
    <x v="33"/>
    <x v="10"/>
    <s v="Bank"/>
    <x v="13"/>
    <n v="6600"/>
    <b v="1"/>
    <n v="6600"/>
    <x v="0"/>
    <s v="Assets"/>
    <s v="Cash alike"/>
    <x v="3"/>
    <x v="1"/>
    <x v="0"/>
    <x v="0"/>
    <x v="10"/>
    <x v="4"/>
    <x v="0"/>
    <x v="1"/>
  </r>
  <r>
    <x v="789"/>
    <x v="2"/>
    <s v="MY"/>
    <x v="33"/>
    <x v="7"/>
    <s v="AR"/>
    <x v="26"/>
    <n v="-168"/>
    <b v="1"/>
    <n v="-168"/>
    <x v="0"/>
    <s v="Assets"/>
    <s v="Rec-Pay"/>
    <x v="3"/>
    <x v="1"/>
    <x v="1"/>
    <x v="2"/>
    <x v="7"/>
    <x v="4"/>
    <x v="0"/>
    <x v="1"/>
  </r>
  <r>
    <x v="789"/>
    <x v="2"/>
    <s v="MY"/>
    <x v="33"/>
    <x v="10"/>
    <s v="Bank"/>
    <x v="13"/>
    <n v="168"/>
    <b v="1"/>
    <n v="168"/>
    <x v="0"/>
    <s v="Assets"/>
    <s v="Cash alike"/>
    <x v="3"/>
    <x v="1"/>
    <x v="0"/>
    <x v="0"/>
    <x v="10"/>
    <x v="4"/>
    <x v="0"/>
    <x v="1"/>
  </r>
  <r>
    <x v="790"/>
    <x v="2"/>
    <s v="MY"/>
    <x v="33"/>
    <x v="7"/>
    <s v="AR"/>
    <x v="26"/>
    <n v="-823.2"/>
    <b v="1"/>
    <n v="-823.2"/>
    <x v="0"/>
    <s v="Assets"/>
    <s v="Rec-Pay"/>
    <x v="3"/>
    <x v="1"/>
    <x v="1"/>
    <x v="2"/>
    <x v="7"/>
    <x v="4"/>
    <x v="0"/>
    <x v="1"/>
  </r>
  <r>
    <x v="790"/>
    <x v="2"/>
    <s v="MY"/>
    <x v="33"/>
    <x v="10"/>
    <s v="Bank"/>
    <x v="13"/>
    <n v="823.2"/>
    <b v="1"/>
    <n v="823.2"/>
    <x v="0"/>
    <s v="Assets"/>
    <s v="Cash alike"/>
    <x v="3"/>
    <x v="1"/>
    <x v="0"/>
    <x v="0"/>
    <x v="10"/>
    <x v="4"/>
    <x v="0"/>
    <x v="1"/>
  </r>
  <r>
    <x v="791"/>
    <x v="2"/>
    <s v="MY"/>
    <x v="33"/>
    <x v="7"/>
    <s v="AR"/>
    <x v="31"/>
    <n v="-382"/>
    <b v="1"/>
    <n v="-382"/>
    <x v="0"/>
    <s v="Assets"/>
    <s v="Rec-Pay"/>
    <x v="3"/>
    <x v="1"/>
    <x v="1"/>
    <x v="2"/>
    <x v="7"/>
    <x v="4"/>
    <x v="0"/>
    <x v="1"/>
  </r>
  <r>
    <x v="791"/>
    <x v="2"/>
    <s v="MY"/>
    <x v="33"/>
    <x v="10"/>
    <s v="Bank"/>
    <x v="13"/>
    <n v="382"/>
    <b v="1"/>
    <n v="382"/>
    <x v="0"/>
    <s v="Assets"/>
    <s v="Cash alike"/>
    <x v="3"/>
    <x v="1"/>
    <x v="0"/>
    <x v="0"/>
    <x v="10"/>
    <x v="4"/>
    <x v="0"/>
    <x v="1"/>
  </r>
  <r>
    <x v="792"/>
    <x v="2"/>
    <s v="MY"/>
    <x v="33"/>
    <x v="7"/>
    <s v="AR"/>
    <x v="26"/>
    <n v="-300"/>
    <b v="1"/>
    <n v="-300"/>
    <x v="0"/>
    <s v="Assets"/>
    <s v="Rec-Pay"/>
    <x v="3"/>
    <x v="1"/>
    <x v="1"/>
    <x v="2"/>
    <x v="7"/>
    <x v="4"/>
    <x v="0"/>
    <x v="1"/>
  </r>
  <r>
    <x v="792"/>
    <x v="2"/>
    <s v="MY"/>
    <x v="33"/>
    <x v="10"/>
    <s v="Bank"/>
    <x v="13"/>
    <n v="300"/>
    <b v="1"/>
    <n v="300"/>
    <x v="0"/>
    <s v="Assets"/>
    <s v="Cash alike"/>
    <x v="3"/>
    <x v="1"/>
    <x v="0"/>
    <x v="0"/>
    <x v="10"/>
    <x v="4"/>
    <x v="0"/>
    <x v="1"/>
  </r>
  <r>
    <x v="793"/>
    <x v="2"/>
    <s v="MY"/>
    <x v="66"/>
    <x v="10"/>
    <s v="Bank"/>
    <x v="13"/>
    <n v="-3000"/>
    <b v="1"/>
    <n v="-3000"/>
    <x v="0"/>
    <s v="Assets"/>
    <s v="Cash alike"/>
    <x v="0"/>
    <x v="0"/>
    <x v="0"/>
    <x v="0"/>
    <x v="10"/>
    <x v="4"/>
    <x v="0"/>
    <x v="1"/>
  </r>
  <r>
    <x v="794"/>
    <x v="2"/>
    <s v="MY"/>
    <x v="33"/>
    <x v="7"/>
    <s v="AR"/>
    <x v="31"/>
    <n v="-4310"/>
    <b v="1"/>
    <n v="-4310"/>
    <x v="0"/>
    <s v="Assets"/>
    <s v="Rec-Pay"/>
    <x v="3"/>
    <x v="1"/>
    <x v="1"/>
    <x v="2"/>
    <x v="7"/>
    <x v="4"/>
    <x v="0"/>
    <x v="1"/>
  </r>
  <r>
    <x v="794"/>
    <x v="2"/>
    <s v="MY"/>
    <x v="33"/>
    <x v="10"/>
    <s v="Bank"/>
    <x v="14"/>
    <n v="4310"/>
    <b v="1"/>
    <n v="4310"/>
    <x v="0"/>
    <s v="Assets"/>
    <s v="Cash alike"/>
    <x v="3"/>
    <x v="1"/>
    <x v="0"/>
    <x v="0"/>
    <x v="10"/>
    <x v="4"/>
    <x v="0"/>
    <x v="1"/>
  </r>
  <r>
    <x v="795"/>
    <x v="2"/>
    <s v="MY"/>
    <x v="33"/>
    <x v="7"/>
    <s v="AR"/>
    <x v="75"/>
    <n v="-236"/>
    <b v="1"/>
    <n v="-236"/>
    <x v="0"/>
    <s v="Assets"/>
    <s v="Rec-Pay"/>
    <x v="3"/>
    <x v="1"/>
    <x v="1"/>
    <x v="2"/>
    <x v="7"/>
    <x v="4"/>
    <x v="0"/>
    <x v="1"/>
  </r>
  <r>
    <x v="795"/>
    <x v="2"/>
    <s v="MY"/>
    <x v="33"/>
    <x v="10"/>
    <s v="Bank"/>
    <x v="14"/>
    <n v="236"/>
    <b v="1"/>
    <n v="236"/>
    <x v="0"/>
    <s v="Assets"/>
    <s v="Cash alike"/>
    <x v="3"/>
    <x v="1"/>
    <x v="0"/>
    <x v="0"/>
    <x v="10"/>
    <x v="4"/>
    <x v="0"/>
    <x v="1"/>
  </r>
  <r>
    <x v="796"/>
    <x v="2"/>
    <s v="MY"/>
    <x v="33"/>
    <x v="7"/>
    <s v="AR"/>
    <x v="29"/>
    <n v="-82"/>
    <b v="1"/>
    <n v="-82"/>
    <x v="0"/>
    <s v="Assets"/>
    <s v="Rec-Pay"/>
    <x v="3"/>
    <x v="1"/>
    <x v="1"/>
    <x v="2"/>
    <x v="7"/>
    <x v="4"/>
    <x v="0"/>
    <x v="1"/>
  </r>
  <r>
    <x v="796"/>
    <x v="2"/>
    <s v="MY"/>
    <x v="33"/>
    <x v="10"/>
    <s v="Bank"/>
    <x v="14"/>
    <n v="82"/>
    <b v="1"/>
    <n v="82"/>
    <x v="0"/>
    <s v="Assets"/>
    <s v="Cash alike"/>
    <x v="3"/>
    <x v="1"/>
    <x v="0"/>
    <x v="0"/>
    <x v="10"/>
    <x v="4"/>
    <x v="0"/>
    <x v="1"/>
  </r>
  <r>
    <x v="797"/>
    <x v="2"/>
    <s v="MY"/>
    <x v="33"/>
    <x v="7"/>
    <s v="AR"/>
    <x v="31"/>
    <n v="-180"/>
    <b v="1"/>
    <n v="-180"/>
    <x v="0"/>
    <s v="Assets"/>
    <s v="Rec-Pay"/>
    <x v="3"/>
    <x v="1"/>
    <x v="1"/>
    <x v="2"/>
    <x v="7"/>
    <x v="4"/>
    <x v="0"/>
    <x v="1"/>
  </r>
  <r>
    <x v="797"/>
    <x v="2"/>
    <s v="MY"/>
    <x v="33"/>
    <x v="10"/>
    <s v="Bank"/>
    <x v="14"/>
    <n v="180"/>
    <b v="1"/>
    <n v="180"/>
    <x v="0"/>
    <s v="Assets"/>
    <s v="Cash alike"/>
    <x v="3"/>
    <x v="1"/>
    <x v="0"/>
    <x v="0"/>
    <x v="10"/>
    <x v="4"/>
    <x v="0"/>
    <x v="1"/>
  </r>
  <r>
    <x v="798"/>
    <x v="2"/>
    <s v="MY"/>
    <x v="65"/>
    <x v="10"/>
    <s v="Bank"/>
    <x v="14"/>
    <n v="-10.5"/>
    <b v="1"/>
    <n v="-10.5"/>
    <x v="0"/>
    <s v="Assets"/>
    <s v="Cash alike"/>
    <x v="2"/>
    <x v="1"/>
    <x v="0"/>
    <x v="0"/>
    <x v="10"/>
    <x v="4"/>
    <x v="0"/>
    <x v="1"/>
  </r>
  <r>
    <x v="799"/>
    <x v="2"/>
    <s v="MY"/>
    <x v="58"/>
    <x v="7"/>
    <s v="MemShip"/>
    <x v="57"/>
    <n v="-1960"/>
    <b v="1"/>
    <n v="1960"/>
    <x v="1"/>
    <s v="Liability"/>
    <s v="Cash alike"/>
    <x v="3"/>
    <x v="1"/>
    <x v="0"/>
    <x v="14"/>
    <x v="7"/>
    <x v="4"/>
    <x v="0"/>
    <x v="1"/>
  </r>
  <r>
    <x v="799"/>
    <x v="2"/>
    <s v="MY"/>
    <x v="58"/>
    <x v="10"/>
    <s v="Bank"/>
    <x v="14"/>
    <n v="-1960"/>
    <b v="1"/>
    <n v="-1960"/>
    <x v="0"/>
    <s v="Assets"/>
    <s v="Cash alike"/>
    <x v="3"/>
    <x v="1"/>
    <x v="0"/>
    <x v="0"/>
    <x v="10"/>
    <x v="4"/>
    <x v="0"/>
    <x v="1"/>
  </r>
  <r>
    <x v="800"/>
    <x v="2"/>
    <s v="MY"/>
    <x v="33"/>
    <x v="7"/>
    <s v="AR"/>
    <x v="69"/>
    <n v="-3048"/>
    <b v="1"/>
    <n v="-3048"/>
    <x v="0"/>
    <s v="Assets"/>
    <s v="Rec-Pay"/>
    <x v="3"/>
    <x v="1"/>
    <x v="1"/>
    <x v="2"/>
    <x v="7"/>
    <x v="4"/>
    <x v="0"/>
    <x v="1"/>
  </r>
  <r>
    <x v="800"/>
    <x v="2"/>
    <s v="MY"/>
    <x v="33"/>
    <x v="10"/>
    <s v="Bank"/>
    <x v="14"/>
    <n v="3048"/>
    <b v="1"/>
    <n v="3048"/>
    <x v="0"/>
    <s v="Assets"/>
    <s v="Cash alike"/>
    <x v="3"/>
    <x v="1"/>
    <x v="0"/>
    <x v="0"/>
    <x v="10"/>
    <x v="4"/>
    <x v="0"/>
    <x v="1"/>
  </r>
  <r>
    <x v="801"/>
    <x v="2"/>
    <s v="MY"/>
    <x v="33"/>
    <x v="7"/>
    <s v="AR"/>
    <x v="26"/>
    <n v="-1280"/>
    <b v="1"/>
    <n v="-1280"/>
    <x v="0"/>
    <s v="Assets"/>
    <s v="Rec-Pay"/>
    <x v="3"/>
    <x v="1"/>
    <x v="1"/>
    <x v="2"/>
    <x v="7"/>
    <x v="4"/>
    <x v="0"/>
    <x v="1"/>
  </r>
  <r>
    <x v="801"/>
    <x v="2"/>
    <s v="MY"/>
    <x v="33"/>
    <x v="10"/>
    <s v="Bank"/>
    <x v="14"/>
    <n v="1280"/>
    <b v="1"/>
    <n v="1280"/>
    <x v="0"/>
    <s v="Assets"/>
    <s v="Cash alike"/>
    <x v="3"/>
    <x v="1"/>
    <x v="0"/>
    <x v="0"/>
    <x v="10"/>
    <x v="4"/>
    <x v="0"/>
    <x v="1"/>
  </r>
  <r>
    <x v="802"/>
    <x v="2"/>
    <s v="MY"/>
    <x v="33"/>
    <x v="7"/>
    <s v="AR"/>
    <x v="26"/>
    <n v="-328"/>
    <b v="1"/>
    <n v="-328"/>
    <x v="0"/>
    <s v="Assets"/>
    <s v="Rec-Pay"/>
    <x v="3"/>
    <x v="1"/>
    <x v="1"/>
    <x v="2"/>
    <x v="7"/>
    <x v="4"/>
    <x v="0"/>
    <x v="1"/>
  </r>
  <r>
    <x v="802"/>
    <x v="2"/>
    <s v="MY"/>
    <x v="33"/>
    <x v="10"/>
    <s v="Bank"/>
    <x v="14"/>
    <n v="328"/>
    <b v="1"/>
    <n v="328"/>
    <x v="0"/>
    <s v="Assets"/>
    <s v="Cash alike"/>
    <x v="3"/>
    <x v="1"/>
    <x v="0"/>
    <x v="0"/>
    <x v="10"/>
    <x v="4"/>
    <x v="0"/>
    <x v="1"/>
  </r>
  <r>
    <x v="803"/>
    <x v="2"/>
    <s v="MY"/>
    <x v="9"/>
    <x v="10"/>
    <s v="Bank"/>
    <x v="14"/>
    <n v="8"/>
    <b v="1"/>
    <n v="8"/>
    <x v="0"/>
    <s v="Assets"/>
    <s v="Cash alike"/>
    <x v="1"/>
    <x v="1"/>
    <x v="0"/>
    <x v="0"/>
    <x v="10"/>
    <x v="4"/>
    <x v="0"/>
    <x v="1"/>
  </r>
  <r>
    <x v="804"/>
    <x v="2"/>
    <s v="MY"/>
    <x v="33"/>
    <x v="10"/>
    <s v="Bank"/>
    <x v="13"/>
    <n v="8234.2000000000007"/>
    <b v="1"/>
    <n v="8234.2000000000007"/>
    <x v="0"/>
    <s v="Assets"/>
    <s v="Cash alike"/>
    <x v="3"/>
    <x v="1"/>
    <x v="0"/>
    <x v="0"/>
    <x v="10"/>
    <x v="4"/>
    <x v="0"/>
    <x v="1"/>
  </r>
  <r>
    <x v="804"/>
    <x v="2"/>
    <s v="MY"/>
    <x v="33"/>
    <x v="7"/>
    <s v="AR"/>
    <x v="77"/>
    <n v="-8234.2000000000007"/>
    <b v="0"/>
    <n v="-8234.2000000000007"/>
    <x v="0"/>
    <s v="Assets"/>
    <s v="Rec-Pay"/>
    <x v="3"/>
    <x v="1"/>
    <x v="1"/>
    <x v="2"/>
    <x v="7"/>
    <x v="4"/>
    <x v="0"/>
    <x v="1"/>
  </r>
  <r>
    <x v="805"/>
    <x v="2"/>
    <s v="MY"/>
    <x v="28"/>
    <x v="7"/>
    <s v="AR"/>
    <x v="59"/>
    <n v="18953.2"/>
    <b v="1"/>
    <n v="18953.2"/>
    <x v="0"/>
    <s v="Assets"/>
    <s v="Rec-Pay"/>
    <x v="3"/>
    <x v="1"/>
    <x v="1"/>
    <x v="2"/>
    <x v="7"/>
    <x v="4"/>
    <x v="0"/>
    <x v="1"/>
  </r>
  <r>
    <x v="805"/>
    <x v="2"/>
    <s v="MY"/>
    <x v="28"/>
    <x v="1"/>
    <s v="AP"/>
    <x v="78"/>
    <n v="18953.2"/>
    <b v="1"/>
    <n v="-18953.2"/>
    <x v="1"/>
    <s v="Liability"/>
    <s v="Rec-Pay"/>
    <x v="3"/>
    <x v="1"/>
    <x v="1"/>
    <x v="10"/>
    <x v="1"/>
    <x v="4"/>
    <x v="0"/>
    <x v="1"/>
  </r>
  <r>
    <x v="806"/>
    <x v="2"/>
    <s v="MY"/>
    <x v="67"/>
    <x v="7"/>
    <s v="AR"/>
    <x v="59"/>
    <n v="33883.4"/>
    <b v="1"/>
    <n v="33883.4"/>
    <x v="0"/>
    <s v="Assets"/>
    <s v="Rec-Pay"/>
    <x v="4"/>
    <x v="0"/>
    <x v="1"/>
    <x v="2"/>
    <x v="7"/>
    <x v="4"/>
    <x v="0"/>
    <x v="1"/>
  </r>
  <r>
    <x v="807"/>
    <x v="2"/>
    <s v="GM"/>
    <x v="67"/>
    <x v="1"/>
    <s v="AP"/>
    <x v="78"/>
    <n v="33883.4"/>
    <b v="1"/>
    <n v="-33883.4"/>
    <x v="1"/>
    <s v="Liability"/>
    <s v="Rec-Pay"/>
    <x v="4"/>
    <x v="0"/>
    <x v="1"/>
    <x v="10"/>
    <x v="1"/>
    <x v="1"/>
    <x v="0"/>
    <x v="1"/>
  </r>
  <r>
    <x v="808"/>
    <x v="2"/>
    <s v="MY"/>
    <x v="50"/>
    <x v="7"/>
    <s v="AR"/>
    <x v="59"/>
    <n v="4390.3999999999996"/>
    <b v="1"/>
    <n v="4390.3999999999996"/>
    <x v="0"/>
    <s v="Assets"/>
    <s v="Rec-Pay"/>
    <x v="1"/>
    <x v="1"/>
    <x v="1"/>
    <x v="2"/>
    <x v="7"/>
    <x v="4"/>
    <x v="0"/>
    <x v="1"/>
  </r>
  <r>
    <x v="809"/>
    <x v="2"/>
    <s v="GM"/>
    <x v="50"/>
    <x v="1"/>
    <s v="AP"/>
    <x v="78"/>
    <n v="4390.3999999999996"/>
    <b v="1"/>
    <n v="-4390.3999999999996"/>
    <x v="1"/>
    <s v="Liability"/>
    <s v="Rec-Pay"/>
    <x v="1"/>
    <x v="1"/>
    <x v="1"/>
    <x v="10"/>
    <x v="1"/>
    <x v="1"/>
    <x v="0"/>
    <x v="1"/>
  </r>
  <r>
    <x v="810"/>
    <x v="2"/>
    <s v="MY"/>
    <x v="14"/>
    <x v="7"/>
    <s v="ToEmp"/>
    <x v="52"/>
    <n v="86123.47"/>
    <b v="1"/>
    <n v="-86123.47"/>
    <x v="1"/>
    <s v="Liability"/>
    <s v="Rec-Pay"/>
    <x v="1"/>
    <x v="1"/>
    <x v="1"/>
    <x v="12"/>
    <x v="7"/>
    <x v="4"/>
    <x v="0"/>
    <x v="1"/>
  </r>
  <r>
    <x v="810"/>
    <x v="2"/>
    <s v="MY"/>
    <x v="14"/>
    <x v="7"/>
    <s v="ToTax"/>
    <x v="54"/>
    <n v="171.61"/>
    <b v="1"/>
    <n v="-171.61"/>
    <x v="1"/>
    <s v="Liability"/>
    <s v="Rec-Pay"/>
    <x v="1"/>
    <x v="1"/>
    <x v="1"/>
    <x v="11"/>
    <x v="7"/>
    <x v="4"/>
    <x v="0"/>
    <x v="1"/>
  </r>
  <r>
    <x v="810"/>
    <x v="2"/>
    <s v="MY"/>
    <x v="14"/>
    <x v="7"/>
    <s v="ToOther"/>
    <x v="73"/>
    <n v="10020.15"/>
    <b v="1"/>
    <n v="-10020.15"/>
    <x v="1"/>
    <s v="Liability"/>
    <s v="Rec-Pay"/>
    <x v="1"/>
    <x v="1"/>
    <x v="1"/>
    <x v="13"/>
    <x v="7"/>
    <x v="4"/>
    <x v="0"/>
    <x v="1"/>
  </r>
  <r>
    <x v="811"/>
    <x v="2"/>
    <s v="GM"/>
    <x v="14"/>
    <x v="7"/>
    <s v="ToEmp"/>
    <x v="52"/>
    <n v="23854"/>
    <b v="1"/>
    <n v="-23854"/>
    <x v="1"/>
    <s v="Liability"/>
    <s v="Rec-Pay"/>
    <x v="1"/>
    <x v="1"/>
    <x v="1"/>
    <x v="12"/>
    <x v="7"/>
    <x v="1"/>
    <x v="0"/>
    <x v="1"/>
  </r>
  <r>
    <x v="812"/>
    <x v="2"/>
    <s v="MY"/>
    <x v="10"/>
    <x v="7"/>
    <s v="AR"/>
    <x v="25"/>
    <n v="76622.03"/>
    <b v="1"/>
    <n v="76622.03"/>
    <x v="0"/>
    <s v="Assets"/>
    <s v="Rec-Pay"/>
    <x v="3"/>
    <x v="1"/>
    <x v="1"/>
    <x v="2"/>
    <x v="7"/>
    <x v="4"/>
    <x v="0"/>
    <x v="1"/>
  </r>
  <r>
    <x v="812"/>
    <x v="2"/>
    <s v="MY"/>
    <x v="10"/>
    <x v="7"/>
    <s v="MemShip"/>
    <x v="57"/>
    <n v="-4530"/>
    <b v="1"/>
    <n v="4530"/>
    <x v="1"/>
    <s v="Liability"/>
    <s v="Cash alike"/>
    <x v="3"/>
    <x v="1"/>
    <x v="0"/>
    <x v="14"/>
    <x v="7"/>
    <x v="4"/>
    <x v="0"/>
    <x v="1"/>
  </r>
  <r>
    <x v="813"/>
    <x v="2"/>
    <s v="MY"/>
    <x v="40"/>
    <x v="7"/>
    <s v="AR"/>
    <x v="26"/>
    <n v="14897.64"/>
    <b v="1"/>
    <n v="14897.64"/>
    <x v="0"/>
    <s v="Assets"/>
    <s v="Rec-Pay"/>
    <x v="3"/>
    <x v="1"/>
    <x v="1"/>
    <x v="2"/>
    <x v="7"/>
    <x v="4"/>
    <x v="0"/>
    <x v="1"/>
  </r>
  <r>
    <x v="813"/>
    <x v="2"/>
    <s v="MY"/>
    <x v="40"/>
    <x v="7"/>
    <s v="AR"/>
    <x v="27"/>
    <n v="75200"/>
    <b v="1"/>
    <n v="75200"/>
    <x v="0"/>
    <s v="Assets"/>
    <s v="Rec-Pay"/>
    <x v="3"/>
    <x v="1"/>
    <x v="1"/>
    <x v="2"/>
    <x v="7"/>
    <x v="4"/>
    <x v="0"/>
    <x v="1"/>
  </r>
  <r>
    <x v="813"/>
    <x v="2"/>
    <s v="MY"/>
    <x v="40"/>
    <x v="7"/>
    <s v="MemShip"/>
    <x v="57"/>
    <n v="-10110"/>
    <b v="1"/>
    <n v="10110"/>
    <x v="1"/>
    <s v="Liability"/>
    <s v="Cash alike"/>
    <x v="3"/>
    <x v="1"/>
    <x v="0"/>
    <x v="14"/>
    <x v="7"/>
    <x v="4"/>
    <x v="0"/>
    <x v="1"/>
  </r>
  <r>
    <x v="814"/>
    <x v="2"/>
    <s v="MY"/>
    <x v="68"/>
    <x v="7"/>
    <s v="AR"/>
    <x v="27"/>
    <n v="22080.31"/>
    <b v="1"/>
    <n v="22080.31"/>
    <x v="0"/>
    <s v="Assets"/>
    <s v="Rec-Pay"/>
    <x v="3"/>
    <x v="1"/>
    <x v="1"/>
    <x v="2"/>
    <x v="7"/>
    <x v="4"/>
    <x v="0"/>
    <x v="1"/>
  </r>
  <r>
    <x v="814"/>
    <x v="2"/>
    <s v="MY"/>
    <x v="68"/>
    <x v="7"/>
    <s v="AR"/>
    <x v="28"/>
    <n v="12899.5"/>
    <b v="1"/>
    <n v="12899.5"/>
    <x v="0"/>
    <s v="Assets"/>
    <s v="Rec-Pay"/>
    <x v="3"/>
    <x v="1"/>
    <x v="1"/>
    <x v="2"/>
    <x v="7"/>
    <x v="4"/>
    <x v="0"/>
    <x v="1"/>
  </r>
  <r>
    <x v="814"/>
    <x v="2"/>
    <s v="MY"/>
    <x v="68"/>
    <x v="7"/>
    <s v="MemShip"/>
    <x v="57"/>
    <n v="-14760"/>
    <b v="1"/>
    <n v="14760"/>
    <x v="1"/>
    <s v="Liability"/>
    <s v="Cash alike"/>
    <x v="3"/>
    <x v="1"/>
    <x v="0"/>
    <x v="14"/>
    <x v="7"/>
    <x v="4"/>
    <x v="0"/>
    <x v="1"/>
  </r>
  <r>
    <x v="815"/>
    <x v="2"/>
    <s v="MY"/>
    <x v="23"/>
    <x v="10"/>
    <s v="Bank"/>
    <x v="13"/>
    <n v="370"/>
    <b v="1"/>
    <n v="370"/>
    <x v="0"/>
    <s v="Assets"/>
    <s v="Cash alike"/>
    <x v="3"/>
    <x v="1"/>
    <x v="0"/>
    <x v="0"/>
    <x v="10"/>
    <x v="4"/>
    <x v="0"/>
    <x v="1"/>
  </r>
  <r>
    <x v="816"/>
    <x v="2"/>
    <s v="MY"/>
    <x v="40"/>
    <x v="7"/>
    <s v="AR"/>
    <x v="71"/>
    <n v="1000"/>
    <b v="1"/>
    <n v="1000"/>
    <x v="0"/>
    <s v="Assets"/>
    <s v="Rec-Pay"/>
    <x v="3"/>
    <x v="1"/>
    <x v="1"/>
    <x v="2"/>
    <x v="7"/>
    <x v="4"/>
    <x v="0"/>
    <x v="1"/>
  </r>
  <r>
    <x v="816"/>
    <x v="2"/>
    <s v="MY"/>
    <x v="40"/>
    <x v="10"/>
    <s v="Bank"/>
    <x v="13"/>
    <n v="148"/>
    <b v="1"/>
    <n v="148"/>
    <x v="0"/>
    <s v="Assets"/>
    <s v="Cash alike"/>
    <x v="3"/>
    <x v="1"/>
    <x v="0"/>
    <x v="0"/>
    <x v="10"/>
    <x v="4"/>
    <x v="0"/>
    <x v="1"/>
  </r>
  <r>
    <x v="817"/>
    <x v="2"/>
    <s v="MY"/>
    <x v="68"/>
    <x v="10"/>
    <s v="Bank"/>
    <x v="13"/>
    <n v="2780"/>
    <b v="1"/>
    <n v="2780"/>
    <x v="0"/>
    <s v="Assets"/>
    <s v="Cash alike"/>
    <x v="3"/>
    <x v="1"/>
    <x v="0"/>
    <x v="0"/>
    <x v="10"/>
    <x v="4"/>
    <x v="0"/>
    <x v="1"/>
  </r>
  <r>
    <x v="818"/>
    <x v="2"/>
    <s v="MY"/>
    <x v="69"/>
    <x v="10"/>
    <s v="Bank"/>
    <x v="13"/>
    <n v="236"/>
    <b v="1"/>
    <n v="236"/>
    <x v="0"/>
    <s v="Assets"/>
    <s v="Cash alike"/>
    <x v="3"/>
    <x v="1"/>
    <x v="0"/>
    <x v="0"/>
    <x v="10"/>
    <x v="4"/>
    <x v="0"/>
    <x v="1"/>
  </r>
  <r>
    <x v="819"/>
    <x v="2"/>
    <s v="MY"/>
    <x v="70"/>
    <x v="7"/>
    <s v="AR"/>
    <x v="76"/>
    <n v="18720"/>
    <b v="1"/>
    <n v="18720"/>
    <x v="0"/>
    <s v="Assets"/>
    <s v="Rec-Pay"/>
    <x v="3"/>
    <x v="1"/>
    <x v="1"/>
    <x v="2"/>
    <x v="7"/>
    <x v="4"/>
    <x v="0"/>
    <x v="1"/>
  </r>
  <r>
    <x v="820"/>
    <x v="2"/>
    <s v="MY"/>
    <x v="45"/>
    <x v="7"/>
    <s v="AP"/>
    <x v="76"/>
    <n v="9000"/>
    <b v="1"/>
    <n v="-9000"/>
    <x v="1"/>
    <s v="Liability"/>
    <s v="Rec-Pay"/>
    <x v="2"/>
    <x v="1"/>
    <x v="1"/>
    <x v="10"/>
    <x v="7"/>
    <x v="4"/>
    <x v="0"/>
    <x v="1"/>
  </r>
  <r>
    <x v="821"/>
    <x v="2"/>
    <s v="MY"/>
    <x v="61"/>
    <x v="7"/>
    <s v="AR"/>
    <x v="29"/>
    <n v="33000.660000000003"/>
    <b v="1"/>
    <n v="33000.660000000003"/>
    <x v="0"/>
    <s v="Assets"/>
    <s v="Rec-Pay"/>
    <x v="3"/>
    <x v="1"/>
    <x v="1"/>
    <x v="2"/>
    <x v="7"/>
    <x v="4"/>
    <x v="0"/>
    <x v="1"/>
  </r>
  <r>
    <x v="822"/>
    <x v="2"/>
    <s v="MY"/>
    <x v="61"/>
    <x v="7"/>
    <s v="AR"/>
    <x v="30"/>
    <n v="2156"/>
    <b v="1"/>
    <n v="2156"/>
    <x v="0"/>
    <s v="Assets"/>
    <s v="Rec-Pay"/>
    <x v="3"/>
    <x v="1"/>
    <x v="1"/>
    <x v="2"/>
    <x v="7"/>
    <x v="4"/>
    <x v="0"/>
    <x v="1"/>
  </r>
  <r>
    <x v="823"/>
    <x v="2"/>
    <s v="MY"/>
    <x v="71"/>
    <x v="7"/>
    <s v="AP"/>
    <x v="59"/>
    <n v="-346.6"/>
    <b v="1"/>
    <n v="346.6"/>
    <x v="1"/>
    <s v="Liability"/>
    <s v="Rec-Pay"/>
    <x v="3"/>
    <x v="1"/>
    <x v="1"/>
    <x v="10"/>
    <x v="7"/>
    <x v="4"/>
    <x v="0"/>
    <x v="1"/>
  </r>
  <r>
    <x v="824"/>
    <x v="2"/>
    <s v="MY"/>
    <x v="23"/>
    <x v="7"/>
    <s v="AP"/>
    <x v="59"/>
    <n v="-1280"/>
    <b v="1"/>
    <n v="1280"/>
    <x v="1"/>
    <s v="Liability"/>
    <s v="Rec-Pay"/>
    <x v="3"/>
    <x v="1"/>
    <x v="1"/>
    <x v="10"/>
    <x v="7"/>
    <x v="4"/>
    <x v="0"/>
    <x v="1"/>
  </r>
  <r>
    <x v="825"/>
    <x v="2"/>
    <s v="MY"/>
    <x v="40"/>
    <x v="7"/>
    <s v="AP"/>
    <x v="59"/>
    <n v="-10"/>
    <b v="1"/>
    <n v="10"/>
    <x v="1"/>
    <s v="Liability"/>
    <s v="Rec-Pay"/>
    <x v="3"/>
    <x v="1"/>
    <x v="1"/>
    <x v="10"/>
    <x v="7"/>
    <x v="4"/>
    <x v="0"/>
    <x v="1"/>
  </r>
  <r>
    <x v="826"/>
    <x v="2"/>
    <s v="MY"/>
    <x v="36"/>
    <x v="7"/>
    <s v="Curr"/>
    <x v="36"/>
    <n v="-2000"/>
    <b v="1"/>
    <n v="-2000"/>
    <x v="0"/>
    <s v="Assets"/>
    <s v="Invtr"/>
    <x v="2"/>
    <x v="1"/>
    <x v="3"/>
    <x v="7"/>
    <x v="7"/>
    <x v="4"/>
    <x v="0"/>
    <x v="1"/>
  </r>
  <r>
    <x v="827"/>
    <x v="2"/>
    <s v="MY"/>
    <x v="43"/>
    <x v="7"/>
    <s v="Curr"/>
    <x v="36"/>
    <n v="-20182"/>
    <b v="1"/>
    <n v="-20182"/>
    <x v="0"/>
    <s v="Assets"/>
    <s v="Invtr"/>
    <x v="2"/>
    <x v="1"/>
    <x v="3"/>
    <x v="7"/>
    <x v="7"/>
    <x v="4"/>
    <x v="0"/>
    <x v="1"/>
  </r>
  <r>
    <x v="828"/>
    <x v="2"/>
    <s v="MY"/>
    <x v="12"/>
    <x v="7"/>
    <s v="ToTax"/>
    <x v="47"/>
    <n v="8000"/>
    <b v="1"/>
    <n v="-8000"/>
    <x v="1"/>
    <s v="Liability"/>
    <s v="Rec-Pay"/>
    <x v="2"/>
    <x v="1"/>
    <x v="1"/>
    <x v="11"/>
    <x v="7"/>
    <x v="4"/>
    <x v="0"/>
    <x v="1"/>
  </r>
  <r>
    <x v="829"/>
    <x v="2"/>
    <s v="MY"/>
    <x v="71"/>
    <x v="7"/>
    <s v="AR"/>
    <x v="31"/>
    <n v="7873.1"/>
    <b v="1"/>
    <n v="7873.1"/>
    <x v="0"/>
    <s v="Assets"/>
    <s v="Rec-Pay"/>
    <x v="3"/>
    <x v="1"/>
    <x v="1"/>
    <x v="2"/>
    <x v="7"/>
    <x v="4"/>
    <x v="0"/>
    <x v="1"/>
  </r>
  <r>
    <x v="830"/>
    <x v="2"/>
    <s v="MY"/>
    <x v="68"/>
    <x v="7"/>
    <s v="AR"/>
    <x v="69"/>
    <n v="20004.5"/>
    <b v="1"/>
    <n v="20004.5"/>
    <x v="0"/>
    <s v="Assets"/>
    <s v="Rec-Pay"/>
    <x v="3"/>
    <x v="1"/>
    <x v="1"/>
    <x v="2"/>
    <x v="7"/>
    <x v="4"/>
    <x v="0"/>
    <x v="1"/>
  </r>
  <r>
    <x v="830"/>
    <x v="2"/>
    <s v="MY"/>
    <x v="68"/>
    <x v="7"/>
    <s v="AR"/>
    <x v="77"/>
    <n v="12399.2"/>
    <b v="0"/>
    <n v="12399.2"/>
    <x v="0"/>
    <s v="Assets"/>
    <s v="Rec-Pay"/>
    <x v="3"/>
    <x v="1"/>
    <x v="1"/>
    <x v="2"/>
    <x v="7"/>
    <x v="4"/>
    <x v="0"/>
    <x v="1"/>
  </r>
  <r>
    <x v="831"/>
    <x v="2"/>
    <s v="MY"/>
    <x v="69"/>
    <x v="7"/>
    <s v="AR"/>
    <x v="75"/>
    <n v="540"/>
    <b v="1"/>
    <n v="540"/>
    <x v="0"/>
    <s v="Assets"/>
    <s v="Rec-Pay"/>
    <x v="3"/>
    <x v="1"/>
    <x v="1"/>
    <x v="2"/>
    <x v="7"/>
    <x v="4"/>
    <x v="0"/>
    <x v="1"/>
  </r>
  <r>
    <x v="832"/>
    <x v="2"/>
    <s v="Brand"/>
    <x v="46"/>
    <x v="7"/>
    <s v="Property"/>
    <x v="41"/>
    <n v="-102296.66725490197"/>
    <b v="1"/>
    <n v="-102296.66725490197"/>
    <x v="0"/>
    <s v="Assets"/>
    <s v="PP&amp;E"/>
    <x v="1"/>
    <x v="1"/>
    <x v="4"/>
    <x v="8"/>
    <x v="7"/>
    <x v="3"/>
    <x v="0"/>
    <x v="1"/>
  </r>
  <r>
    <x v="833"/>
    <x v="2"/>
    <s v="GM"/>
    <x v="6"/>
    <x v="7"/>
    <s v="ToOther"/>
    <x v="73"/>
    <n v="25983.02"/>
    <b v="1"/>
    <n v="-25983.02"/>
    <x v="1"/>
    <s v="Liability"/>
    <s v="Rec-Pay"/>
    <x v="1"/>
    <x v="1"/>
    <x v="1"/>
    <x v="13"/>
    <x v="7"/>
    <x v="1"/>
    <x v="0"/>
    <x v="1"/>
  </r>
  <r>
    <x v="834"/>
    <x v="2"/>
    <s v="MY"/>
    <x v="43"/>
    <x v="0"/>
    <s v="Curr"/>
    <x v="38"/>
    <n v="-40576.014999999999"/>
    <b v="1"/>
    <n v="-40576.014999999999"/>
    <x v="0"/>
    <s v="Assets"/>
    <s v="Invtr"/>
    <x v="2"/>
    <x v="1"/>
    <x v="3"/>
    <x v="7"/>
    <x v="0"/>
    <x v="4"/>
    <x v="0"/>
    <x v="1"/>
  </r>
  <r>
    <x v="835"/>
    <x v="2"/>
    <s v="Online"/>
    <x v="11"/>
    <x v="0"/>
    <s v="Curr"/>
    <x v="38"/>
    <n v="4345.8"/>
    <b v="1"/>
    <n v="4345.8"/>
    <x v="0"/>
    <s v="Assets"/>
    <s v="Invtr"/>
    <x v="2"/>
    <x v="1"/>
    <x v="3"/>
    <x v="7"/>
    <x v="0"/>
    <x v="2"/>
    <x v="0"/>
    <x v="1"/>
  </r>
  <r>
    <x v="835"/>
    <x v="2"/>
    <s v="Online"/>
    <x v="11"/>
    <x v="0"/>
    <s v="Bank"/>
    <x v="0"/>
    <n v="-4345.8"/>
    <b v="1"/>
    <n v="-4345.8"/>
    <x v="0"/>
    <s v="Assets"/>
    <s v="Cash alike"/>
    <x v="2"/>
    <x v="1"/>
    <x v="0"/>
    <x v="0"/>
    <x v="0"/>
    <x v="2"/>
    <x v="0"/>
    <x v="1"/>
  </r>
  <r>
    <x v="836"/>
    <x v="2"/>
    <s v="Online"/>
    <x v="11"/>
    <x v="0"/>
    <s v="Curr"/>
    <x v="38"/>
    <n v="4715"/>
    <b v="1"/>
    <n v="4715"/>
    <x v="0"/>
    <s v="Assets"/>
    <s v="Invtr"/>
    <x v="2"/>
    <x v="1"/>
    <x v="3"/>
    <x v="7"/>
    <x v="0"/>
    <x v="2"/>
    <x v="0"/>
    <x v="1"/>
  </r>
  <r>
    <x v="836"/>
    <x v="2"/>
    <s v="Online"/>
    <x v="11"/>
    <x v="0"/>
    <s v="Bank"/>
    <x v="0"/>
    <n v="-4715"/>
    <b v="1"/>
    <n v="-4715"/>
    <x v="0"/>
    <s v="Assets"/>
    <s v="Cash alike"/>
    <x v="2"/>
    <x v="1"/>
    <x v="0"/>
    <x v="0"/>
    <x v="0"/>
    <x v="2"/>
    <x v="0"/>
    <x v="1"/>
  </r>
  <r>
    <x v="837"/>
    <x v="2"/>
    <s v="GM"/>
    <x v="6"/>
    <x v="0"/>
    <s v="FrOther"/>
    <x v="22"/>
    <n v="24114.6"/>
    <b v="1"/>
    <n v="24114.6"/>
    <x v="0"/>
    <s v="Assets"/>
    <s v="Rec-Pay"/>
    <x v="1"/>
    <x v="1"/>
    <x v="1"/>
    <x v="3"/>
    <x v="0"/>
    <x v="1"/>
    <x v="0"/>
    <x v="1"/>
  </r>
  <r>
    <x v="837"/>
    <x v="2"/>
    <s v="GM"/>
    <x v="6"/>
    <x v="0"/>
    <s v="Bank"/>
    <x v="0"/>
    <n v="-82369.64"/>
    <b v="1"/>
    <n v="-82369.64"/>
    <x v="0"/>
    <s v="Assets"/>
    <s v="Cash alike"/>
    <x v="1"/>
    <x v="1"/>
    <x v="0"/>
    <x v="0"/>
    <x v="0"/>
    <x v="1"/>
    <x v="0"/>
    <x v="1"/>
  </r>
  <r>
    <x v="838"/>
    <x v="2"/>
    <s v="Online"/>
    <x v="17"/>
    <x v="0"/>
    <s v="Bank"/>
    <x v="0"/>
    <n v="-113.91"/>
    <b v="1"/>
    <n v="-113.91"/>
    <x v="0"/>
    <s v="Assets"/>
    <s v="Cash alike"/>
    <x v="1"/>
    <x v="1"/>
    <x v="0"/>
    <x v="0"/>
    <x v="0"/>
    <x v="2"/>
    <x v="0"/>
    <x v="1"/>
  </r>
  <r>
    <x v="839"/>
    <x v="2"/>
    <s v="Online"/>
    <x v="3"/>
    <x v="0"/>
    <s v="Bank"/>
    <x v="0"/>
    <n v="-329.94"/>
    <b v="1"/>
    <n v="-329.94"/>
    <x v="0"/>
    <s v="Assets"/>
    <s v="Cash alike"/>
    <x v="1"/>
    <x v="1"/>
    <x v="0"/>
    <x v="0"/>
    <x v="0"/>
    <x v="2"/>
    <x v="0"/>
    <x v="1"/>
  </r>
  <r>
    <x v="840"/>
    <x v="2"/>
    <s v="Online"/>
    <x v="11"/>
    <x v="0"/>
    <s v="Curr"/>
    <x v="38"/>
    <n v="10106"/>
    <b v="1"/>
    <n v="10106"/>
    <x v="0"/>
    <s v="Assets"/>
    <s v="Invtr"/>
    <x v="2"/>
    <x v="1"/>
    <x v="3"/>
    <x v="7"/>
    <x v="0"/>
    <x v="2"/>
    <x v="0"/>
    <x v="1"/>
  </r>
  <r>
    <x v="840"/>
    <x v="2"/>
    <s v="Online"/>
    <x v="11"/>
    <x v="0"/>
    <s v="Bank"/>
    <x v="0"/>
    <n v="-10106"/>
    <b v="1"/>
    <n v="-10106"/>
    <x v="0"/>
    <s v="Assets"/>
    <s v="Cash alike"/>
    <x v="2"/>
    <x v="1"/>
    <x v="0"/>
    <x v="0"/>
    <x v="0"/>
    <x v="2"/>
    <x v="0"/>
    <x v="1"/>
  </r>
  <r>
    <x v="841"/>
    <x v="2"/>
    <s v="Online"/>
    <x v="3"/>
    <x v="0"/>
    <s v="Bank"/>
    <x v="0"/>
    <n v="-59.22"/>
    <b v="1"/>
    <n v="-59.22"/>
    <x v="0"/>
    <s v="Assets"/>
    <s v="Cash alike"/>
    <x v="1"/>
    <x v="1"/>
    <x v="0"/>
    <x v="0"/>
    <x v="0"/>
    <x v="2"/>
    <x v="0"/>
    <x v="1"/>
  </r>
  <r>
    <x v="842"/>
    <x v="2"/>
    <s v="Online"/>
    <x v="11"/>
    <x v="0"/>
    <s v="Curr"/>
    <x v="38"/>
    <n v="20187.349999999999"/>
    <b v="1"/>
    <n v="20187.349999999999"/>
    <x v="0"/>
    <s v="Assets"/>
    <s v="Invtr"/>
    <x v="2"/>
    <x v="1"/>
    <x v="3"/>
    <x v="7"/>
    <x v="0"/>
    <x v="2"/>
    <x v="0"/>
    <x v="1"/>
  </r>
  <r>
    <x v="842"/>
    <x v="2"/>
    <s v="Online"/>
    <x v="11"/>
    <x v="0"/>
    <s v="Bank"/>
    <x v="0"/>
    <n v="-20187.349999999999"/>
    <b v="1"/>
    <n v="-20187.349999999999"/>
    <x v="0"/>
    <s v="Assets"/>
    <s v="Cash alike"/>
    <x v="2"/>
    <x v="1"/>
    <x v="0"/>
    <x v="0"/>
    <x v="0"/>
    <x v="2"/>
    <x v="0"/>
    <x v="1"/>
  </r>
  <r>
    <x v="843"/>
    <x v="2"/>
    <s v="Online"/>
    <x v="11"/>
    <x v="0"/>
    <s v="Curr"/>
    <x v="38"/>
    <n v="12381"/>
    <b v="1"/>
    <n v="12381"/>
    <x v="0"/>
    <s v="Assets"/>
    <s v="Invtr"/>
    <x v="2"/>
    <x v="1"/>
    <x v="3"/>
    <x v="7"/>
    <x v="0"/>
    <x v="2"/>
    <x v="0"/>
    <x v="1"/>
  </r>
  <r>
    <x v="843"/>
    <x v="2"/>
    <s v="Online"/>
    <x v="11"/>
    <x v="0"/>
    <s v="Bank"/>
    <x v="0"/>
    <n v="-12381"/>
    <b v="1"/>
    <n v="-12381"/>
    <x v="0"/>
    <s v="Assets"/>
    <s v="Cash alike"/>
    <x v="2"/>
    <x v="1"/>
    <x v="0"/>
    <x v="0"/>
    <x v="0"/>
    <x v="2"/>
    <x v="0"/>
    <x v="1"/>
  </r>
  <r>
    <x v="844"/>
    <x v="2"/>
    <s v="Online"/>
    <x v="11"/>
    <x v="0"/>
    <s v="Curr"/>
    <x v="38"/>
    <n v="3450"/>
    <b v="1"/>
    <n v="3450"/>
    <x v="0"/>
    <s v="Assets"/>
    <s v="Invtr"/>
    <x v="2"/>
    <x v="1"/>
    <x v="3"/>
    <x v="7"/>
    <x v="0"/>
    <x v="2"/>
    <x v="0"/>
    <x v="1"/>
  </r>
  <r>
    <x v="844"/>
    <x v="2"/>
    <s v="Online"/>
    <x v="11"/>
    <x v="0"/>
    <s v="Bank"/>
    <x v="0"/>
    <n v="-3450"/>
    <b v="1"/>
    <n v="-3450"/>
    <x v="0"/>
    <s v="Assets"/>
    <s v="Cash alike"/>
    <x v="2"/>
    <x v="1"/>
    <x v="0"/>
    <x v="0"/>
    <x v="0"/>
    <x v="2"/>
    <x v="0"/>
    <x v="1"/>
  </r>
  <r>
    <x v="845"/>
    <x v="2"/>
    <s v="Online"/>
    <x v="11"/>
    <x v="0"/>
    <s v="Curr"/>
    <x v="38"/>
    <n v="6444"/>
    <b v="1"/>
    <n v="6444"/>
    <x v="0"/>
    <s v="Assets"/>
    <s v="Invtr"/>
    <x v="2"/>
    <x v="1"/>
    <x v="3"/>
    <x v="7"/>
    <x v="0"/>
    <x v="2"/>
    <x v="0"/>
    <x v="1"/>
  </r>
  <r>
    <x v="845"/>
    <x v="2"/>
    <s v="Online"/>
    <x v="11"/>
    <x v="0"/>
    <s v="Bank"/>
    <x v="0"/>
    <n v="-6444"/>
    <b v="1"/>
    <n v="-6444"/>
    <x v="0"/>
    <s v="Assets"/>
    <s v="Cash alike"/>
    <x v="2"/>
    <x v="1"/>
    <x v="0"/>
    <x v="0"/>
    <x v="0"/>
    <x v="2"/>
    <x v="0"/>
    <x v="1"/>
  </r>
  <r>
    <x v="846"/>
    <x v="2"/>
    <s v="GM"/>
    <x v="19"/>
    <x v="0"/>
    <s v="Bank"/>
    <x v="0"/>
    <n v="-2072.2800000000002"/>
    <b v="1"/>
    <n v="-2072.2800000000002"/>
    <x v="0"/>
    <s v="Assets"/>
    <s v="Cash alike"/>
    <x v="1"/>
    <x v="1"/>
    <x v="0"/>
    <x v="0"/>
    <x v="0"/>
    <x v="1"/>
    <x v="0"/>
    <x v="1"/>
  </r>
  <r>
    <x v="847"/>
    <x v="2"/>
    <s v="Online"/>
    <x v="27"/>
    <x v="0"/>
    <s v="Curr"/>
    <x v="38"/>
    <n v="-5004"/>
    <b v="1"/>
    <n v="-5004"/>
    <x v="0"/>
    <s v="Assets"/>
    <s v="Invtr"/>
    <x v="2"/>
    <x v="1"/>
    <x v="3"/>
    <x v="7"/>
    <x v="0"/>
    <x v="2"/>
    <x v="0"/>
    <x v="1"/>
  </r>
  <r>
    <x v="847"/>
    <x v="2"/>
    <s v="Online"/>
    <x v="27"/>
    <x v="0"/>
    <s v="Bank"/>
    <x v="0"/>
    <n v="5004"/>
    <b v="1"/>
    <n v="5004"/>
    <x v="0"/>
    <s v="Assets"/>
    <s v="Cash alike"/>
    <x v="2"/>
    <x v="1"/>
    <x v="0"/>
    <x v="0"/>
    <x v="0"/>
    <x v="2"/>
    <x v="0"/>
    <x v="1"/>
  </r>
  <r>
    <x v="848"/>
    <x v="2"/>
    <s v="Brand"/>
    <x v="20"/>
    <x v="0"/>
    <s v="Bank"/>
    <x v="0"/>
    <n v="-627"/>
    <b v="1"/>
    <n v="-627"/>
    <x v="0"/>
    <s v="Assets"/>
    <s v="Cash alike"/>
    <x v="1"/>
    <x v="1"/>
    <x v="0"/>
    <x v="0"/>
    <x v="0"/>
    <x v="3"/>
    <x v="0"/>
    <x v="1"/>
  </r>
  <r>
    <x v="849"/>
    <x v="2"/>
    <s v="Online"/>
    <x v="11"/>
    <x v="0"/>
    <s v="Curr"/>
    <x v="38"/>
    <n v="1990"/>
    <b v="1"/>
    <n v="1990"/>
    <x v="0"/>
    <s v="Assets"/>
    <s v="Invtr"/>
    <x v="2"/>
    <x v="1"/>
    <x v="3"/>
    <x v="7"/>
    <x v="0"/>
    <x v="2"/>
    <x v="0"/>
    <x v="1"/>
  </r>
  <r>
    <x v="849"/>
    <x v="2"/>
    <s v="Online"/>
    <x v="11"/>
    <x v="0"/>
    <s v="Bank"/>
    <x v="0"/>
    <n v="-1990"/>
    <b v="1"/>
    <n v="-1990"/>
    <x v="0"/>
    <s v="Assets"/>
    <s v="Cash alike"/>
    <x v="2"/>
    <x v="1"/>
    <x v="0"/>
    <x v="0"/>
    <x v="0"/>
    <x v="2"/>
    <x v="0"/>
    <x v="1"/>
  </r>
  <r>
    <x v="850"/>
    <x v="2"/>
    <s v="Online"/>
    <x v="11"/>
    <x v="0"/>
    <s v="Curr"/>
    <x v="38"/>
    <n v="6854"/>
    <b v="1"/>
    <n v="6854"/>
    <x v="0"/>
    <s v="Assets"/>
    <s v="Invtr"/>
    <x v="2"/>
    <x v="1"/>
    <x v="3"/>
    <x v="7"/>
    <x v="0"/>
    <x v="2"/>
    <x v="0"/>
    <x v="1"/>
  </r>
  <r>
    <x v="850"/>
    <x v="2"/>
    <s v="Online"/>
    <x v="11"/>
    <x v="0"/>
    <s v="Bank"/>
    <x v="0"/>
    <n v="-6854"/>
    <b v="1"/>
    <n v="-6854"/>
    <x v="0"/>
    <s v="Assets"/>
    <s v="Cash alike"/>
    <x v="2"/>
    <x v="1"/>
    <x v="0"/>
    <x v="0"/>
    <x v="0"/>
    <x v="2"/>
    <x v="0"/>
    <x v="1"/>
  </r>
  <r>
    <x v="851"/>
    <x v="2"/>
    <s v="Online"/>
    <x v="11"/>
    <x v="0"/>
    <s v="Curr"/>
    <x v="38"/>
    <n v="16265.5"/>
    <b v="1"/>
    <n v="16265.5"/>
    <x v="0"/>
    <s v="Assets"/>
    <s v="Invtr"/>
    <x v="2"/>
    <x v="1"/>
    <x v="3"/>
    <x v="7"/>
    <x v="0"/>
    <x v="2"/>
    <x v="0"/>
    <x v="1"/>
  </r>
  <r>
    <x v="851"/>
    <x v="2"/>
    <s v="Online"/>
    <x v="11"/>
    <x v="0"/>
    <s v="Bank"/>
    <x v="0"/>
    <n v="-16265.5"/>
    <b v="1"/>
    <n v="-16265.5"/>
    <x v="0"/>
    <s v="Assets"/>
    <s v="Cash alike"/>
    <x v="2"/>
    <x v="1"/>
    <x v="0"/>
    <x v="0"/>
    <x v="0"/>
    <x v="2"/>
    <x v="0"/>
    <x v="1"/>
  </r>
  <r>
    <x v="852"/>
    <x v="2"/>
    <s v="Online"/>
    <x v="31"/>
    <x v="0"/>
    <s v="Curr"/>
    <x v="38"/>
    <n v="6112"/>
    <b v="1"/>
    <n v="6112"/>
    <x v="0"/>
    <s v="Assets"/>
    <s v="Invtr"/>
    <x v="2"/>
    <x v="1"/>
    <x v="3"/>
    <x v="7"/>
    <x v="0"/>
    <x v="2"/>
    <x v="0"/>
    <x v="1"/>
  </r>
  <r>
    <x v="852"/>
    <x v="2"/>
    <s v="Online"/>
    <x v="31"/>
    <x v="0"/>
    <s v="Bank"/>
    <x v="0"/>
    <n v="-6112"/>
    <b v="1"/>
    <n v="-6112"/>
    <x v="0"/>
    <s v="Assets"/>
    <s v="Cash alike"/>
    <x v="2"/>
    <x v="1"/>
    <x v="0"/>
    <x v="0"/>
    <x v="0"/>
    <x v="2"/>
    <x v="0"/>
    <x v="1"/>
  </r>
  <r>
    <x v="853"/>
    <x v="2"/>
    <s v="Brand"/>
    <x v="20"/>
    <x v="0"/>
    <s v="Bank"/>
    <x v="0"/>
    <n v="-988.41"/>
    <b v="1"/>
    <n v="-988.41"/>
    <x v="0"/>
    <s v="Assets"/>
    <s v="Cash alike"/>
    <x v="1"/>
    <x v="1"/>
    <x v="0"/>
    <x v="0"/>
    <x v="0"/>
    <x v="3"/>
    <x v="0"/>
    <x v="1"/>
  </r>
  <r>
    <x v="854"/>
    <x v="2"/>
    <s v="GM"/>
    <x v="67"/>
    <x v="0"/>
    <s v="Bank"/>
    <x v="0"/>
    <n v="-38000"/>
    <b v="1"/>
    <n v="-38000"/>
    <x v="0"/>
    <s v="Assets"/>
    <s v="Cash alike"/>
    <x v="4"/>
    <x v="0"/>
    <x v="0"/>
    <x v="0"/>
    <x v="0"/>
    <x v="1"/>
    <x v="0"/>
    <x v="1"/>
  </r>
  <r>
    <x v="855"/>
    <x v="2"/>
    <s v="Online"/>
    <x v="31"/>
    <x v="0"/>
    <s v="Curr"/>
    <x v="38"/>
    <n v="13340"/>
    <b v="1"/>
    <n v="13340"/>
    <x v="0"/>
    <s v="Assets"/>
    <s v="Invtr"/>
    <x v="2"/>
    <x v="1"/>
    <x v="3"/>
    <x v="7"/>
    <x v="0"/>
    <x v="2"/>
    <x v="0"/>
    <x v="1"/>
  </r>
  <r>
    <x v="855"/>
    <x v="2"/>
    <s v="Online"/>
    <x v="31"/>
    <x v="0"/>
    <s v="Bank"/>
    <x v="0"/>
    <n v="-13340"/>
    <b v="1"/>
    <n v="-13340"/>
    <x v="0"/>
    <s v="Assets"/>
    <s v="Cash alike"/>
    <x v="2"/>
    <x v="1"/>
    <x v="0"/>
    <x v="0"/>
    <x v="0"/>
    <x v="2"/>
    <x v="0"/>
    <x v="1"/>
  </r>
  <r>
    <x v="856"/>
    <x v="2"/>
    <s v="Online"/>
    <x v="18"/>
    <x v="0"/>
    <s v="Bank"/>
    <x v="0"/>
    <n v="-6870.8"/>
    <b v="1"/>
    <n v="-6870.8"/>
    <x v="0"/>
    <s v="Assets"/>
    <s v="Cash alike"/>
    <x v="1"/>
    <x v="1"/>
    <x v="0"/>
    <x v="0"/>
    <x v="0"/>
    <x v="2"/>
    <x v="0"/>
    <x v="1"/>
  </r>
  <r>
    <x v="857"/>
    <x v="2"/>
    <s v="GM"/>
    <x v="3"/>
    <x v="0"/>
    <s v="Bank"/>
    <x v="0"/>
    <n v="-142.5"/>
    <b v="1"/>
    <n v="-142.5"/>
    <x v="0"/>
    <s v="Assets"/>
    <s v="Cash alike"/>
    <x v="1"/>
    <x v="1"/>
    <x v="0"/>
    <x v="0"/>
    <x v="0"/>
    <x v="1"/>
    <x v="0"/>
    <x v="1"/>
  </r>
  <r>
    <x v="858"/>
    <x v="2"/>
    <s v="Online"/>
    <x v="18"/>
    <x v="0"/>
    <s v="Bank"/>
    <x v="0"/>
    <n v="-215"/>
    <b v="1"/>
    <n v="-215"/>
    <x v="0"/>
    <s v="Assets"/>
    <s v="Cash alike"/>
    <x v="1"/>
    <x v="1"/>
    <x v="0"/>
    <x v="0"/>
    <x v="0"/>
    <x v="2"/>
    <x v="0"/>
    <x v="1"/>
  </r>
  <r>
    <x v="859"/>
    <x v="2"/>
    <s v="GM"/>
    <x v="14"/>
    <x v="0"/>
    <s v="Bank"/>
    <x v="0"/>
    <n v="-11098.71"/>
    <b v="1"/>
    <n v="-11098.71"/>
    <x v="0"/>
    <s v="Assets"/>
    <s v="Cash alike"/>
    <x v="1"/>
    <x v="1"/>
    <x v="0"/>
    <x v="0"/>
    <x v="0"/>
    <x v="1"/>
    <x v="0"/>
    <x v="1"/>
  </r>
  <r>
    <x v="860"/>
    <x v="2"/>
    <s v="GM"/>
    <x v="14"/>
    <x v="0"/>
    <s v="Bank"/>
    <x v="0"/>
    <n v="-11564.2"/>
    <b v="1"/>
    <n v="-11564.2"/>
    <x v="0"/>
    <s v="Assets"/>
    <s v="Cash alike"/>
    <x v="1"/>
    <x v="1"/>
    <x v="0"/>
    <x v="0"/>
    <x v="0"/>
    <x v="1"/>
    <x v="0"/>
    <x v="1"/>
  </r>
  <r>
    <x v="861"/>
    <x v="2"/>
    <s v="GM"/>
    <x v="8"/>
    <x v="0"/>
    <s v="Bank"/>
    <x v="0"/>
    <n v="-395582.23"/>
    <b v="1"/>
    <n v="-395582.23"/>
    <x v="0"/>
    <s v="Assets"/>
    <s v="Cash alike"/>
    <x v="1"/>
    <x v="1"/>
    <x v="0"/>
    <x v="0"/>
    <x v="0"/>
    <x v="1"/>
    <x v="0"/>
    <x v="1"/>
  </r>
  <r>
    <x v="861"/>
    <x v="2"/>
    <s v="GM"/>
    <x v="8"/>
    <x v="0"/>
    <s v="ToTax"/>
    <x v="54"/>
    <n v="2041.2"/>
    <b v="1"/>
    <n v="-2041.2"/>
    <x v="1"/>
    <s v="Liability"/>
    <s v="Rec-Pay"/>
    <x v="1"/>
    <x v="1"/>
    <x v="1"/>
    <x v="11"/>
    <x v="0"/>
    <x v="1"/>
    <x v="0"/>
    <x v="1"/>
  </r>
  <r>
    <x v="861"/>
    <x v="2"/>
    <s v="GM"/>
    <x v="8"/>
    <x v="0"/>
    <s v="FrOther"/>
    <x v="22"/>
    <n v="-24114.6"/>
    <b v="1"/>
    <n v="-24114.6"/>
    <x v="0"/>
    <s v="Assets"/>
    <s v="Rec-Pay"/>
    <x v="1"/>
    <x v="1"/>
    <x v="1"/>
    <x v="3"/>
    <x v="0"/>
    <x v="1"/>
    <x v="0"/>
    <x v="1"/>
  </r>
  <r>
    <x v="861"/>
    <x v="2"/>
    <s v="GM"/>
    <x v="8"/>
    <x v="0"/>
    <s v="ToEmp"/>
    <x v="52"/>
    <n v="-421738.03"/>
    <b v="1"/>
    <n v="421738.03"/>
    <x v="1"/>
    <s v="Liability"/>
    <s v="Rec-Pay"/>
    <x v="1"/>
    <x v="1"/>
    <x v="1"/>
    <x v="12"/>
    <x v="0"/>
    <x v="1"/>
    <x v="0"/>
    <x v="1"/>
  </r>
  <r>
    <x v="862"/>
    <x v="2"/>
    <s v="Online"/>
    <x v="18"/>
    <x v="0"/>
    <s v="Bank"/>
    <x v="0"/>
    <n v="-17938"/>
    <b v="1"/>
    <n v="-17938"/>
    <x v="0"/>
    <s v="Assets"/>
    <s v="Cash alike"/>
    <x v="1"/>
    <x v="1"/>
    <x v="0"/>
    <x v="0"/>
    <x v="0"/>
    <x v="2"/>
    <x v="0"/>
    <x v="1"/>
  </r>
  <r>
    <x v="863"/>
    <x v="2"/>
    <s v="Online"/>
    <x v="18"/>
    <x v="0"/>
    <s v="Bank"/>
    <x v="0"/>
    <n v="-30"/>
    <b v="1"/>
    <n v="-30"/>
    <x v="0"/>
    <s v="Assets"/>
    <s v="Cash alike"/>
    <x v="1"/>
    <x v="1"/>
    <x v="0"/>
    <x v="0"/>
    <x v="0"/>
    <x v="2"/>
    <x v="0"/>
    <x v="1"/>
  </r>
  <r>
    <x v="864"/>
    <x v="2"/>
    <s v="Online"/>
    <x v="48"/>
    <x v="0"/>
    <s v="Bank"/>
    <x v="0"/>
    <n v="-4450"/>
    <b v="1"/>
    <n v="-4450"/>
    <x v="0"/>
    <s v="Assets"/>
    <s v="Cash alike"/>
    <x v="1"/>
    <x v="1"/>
    <x v="0"/>
    <x v="0"/>
    <x v="0"/>
    <x v="2"/>
    <x v="0"/>
    <x v="1"/>
  </r>
  <r>
    <x v="865"/>
    <x v="2"/>
    <s v="Online"/>
    <x v="9"/>
    <x v="0"/>
    <s v="Bank"/>
    <x v="0"/>
    <n v="-8391.14"/>
    <b v="1"/>
    <n v="-8391.14"/>
    <x v="0"/>
    <s v="Assets"/>
    <s v="Cash alike"/>
    <x v="1"/>
    <x v="1"/>
    <x v="0"/>
    <x v="0"/>
    <x v="0"/>
    <x v="2"/>
    <x v="0"/>
    <x v="1"/>
  </r>
  <r>
    <x v="866"/>
    <x v="2"/>
    <s v="Online"/>
    <x v="9"/>
    <x v="0"/>
    <s v="Bank"/>
    <x v="0"/>
    <n v="-44928.800000000003"/>
    <b v="1"/>
    <n v="-44928.800000000003"/>
    <x v="0"/>
    <s v="Assets"/>
    <s v="Cash alike"/>
    <x v="1"/>
    <x v="1"/>
    <x v="0"/>
    <x v="0"/>
    <x v="0"/>
    <x v="2"/>
    <x v="0"/>
    <x v="1"/>
  </r>
  <r>
    <x v="867"/>
    <x v="2"/>
    <s v="GM"/>
    <x v="67"/>
    <x v="0"/>
    <s v="Bank"/>
    <x v="0"/>
    <n v="-46800"/>
    <b v="1"/>
    <n v="-46800"/>
    <x v="0"/>
    <s v="Assets"/>
    <s v="Cash alike"/>
    <x v="4"/>
    <x v="0"/>
    <x v="0"/>
    <x v="0"/>
    <x v="0"/>
    <x v="1"/>
    <x v="0"/>
    <x v="1"/>
  </r>
  <r>
    <x v="868"/>
    <x v="2"/>
    <s v="Online"/>
    <x v="18"/>
    <x v="0"/>
    <s v="Bank"/>
    <x v="0"/>
    <n v="-2236.96"/>
    <b v="1"/>
    <n v="-2236.96"/>
    <x v="0"/>
    <s v="Assets"/>
    <s v="Cash alike"/>
    <x v="1"/>
    <x v="1"/>
    <x v="0"/>
    <x v="0"/>
    <x v="0"/>
    <x v="2"/>
    <x v="0"/>
    <x v="1"/>
  </r>
  <r>
    <x v="869"/>
    <x v="2"/>
    <s v="Online"/>
    <x v="11"/>
    <x v="0"/>
    <s v="Curr"/>
    <x v="38"/>
    <n v="219166"/>
    <b v="1"/>
    <n v="219166"/>
    <x v="0"/>
    <s v="Assets"/>
    <s v="Invtr"/>
    <x v="2"/>
    <x v="1"/>
    <x v="3"/>
    <x v="7"/>
    <x v="0"/>
    <x v="2"/>
    <x v="0"/>
    <x v="1"/>
  </r>
  <r>
    <x v="869"/>
    <x v="2"/>
    <s v="Online"/>
    <x v="11"/>
    <x v="0"/>
    <s v="Bank"/>
    <x v="0"/>
    <n v="-219166"/>
    <b v="1"/>
    <n v="-219166"/>
    <x v="0"/>
    <s v="Assets"/>
    <s v="Cash alike"/>
    <x v="2"/>
    <x v="1"/>
    <x v="0"/>
    <x v="0"/>
    <x v="0"/>
    <x v="2"/>
    <x v="0"/>
    <x v="1"/>
  </r>
  <r>
    <x v="870"/>
    <x v="2"/>
    <s v="Online"/>
    <x v="31"/>
    <x v="0"/>
    <s v="Curr"/>
    <x v="38"/>
    <n v="21104.66"/>
    <b v="1"/>
    <n v="21104.66"/>
    <x v="0"/>
    <s v="Assets"/>
    <s v="Invtr"/>
    <x v="2"/>
    <x v="1"/>
    <x v="3"/>
    <x v="7"/>
    <x v="0"/>
    <x v="2"/>
    <x v="0"/>
    <x v="1"/>
  </r>
  <r>
    <x v="870"/>
    <x v="2"/>
    <s v="Online"/>
    <x v="31"/>
    <x v="0"/>
    <s v="Bank"/>
    <x v="0"/>
    <n v="-21104.66"/>
    <b v="1"/>
    <n v="-21104.66"/>
    <x v="0"/>
    <s v="Assets"/>
    <s v="Cash alike"/>
    <x v="2"/>
    <x v="1"/>
    <x v="0"/>
    <x v="0"/>
    <x v="0"/>
    <x v="2"/>
    <x v="0"/>
    <x v="1"/>
  </r>
  <r>
    <x v="871"/>
    <x v="2"/>
    <s v="Online"/>
    <x v="11"/>
    <x v="0"/>
    <s v="Curr"/>
    <x v="38"/>
    <n v="5462.4"/>
    <b v="1"/>
    <n v="5462.4"/>
    <x v="0"/>
    <s v="Assets"/>
    <s v="Invtr"/>
    <x v="2"/>
    <x v="1"/>
    <x v="3"/>
    <x v="7"/>
    <x v="0"/>
    <x v="2"/>
    <x v="0"/>
    <x v="1"/>
  </r>
  <r>
    <x v="871"/>
    <x v="2"/>
    <s v="Online"/>
    <x v="11"/>
    <x v="0"/>
    <s v="Bank"/>
    <x v="0"/>
    <n v="-5462.4"/>
    <b v="1"/>
    <n v="-5462.4"/>
    <x v="0"/>
    <s v="Assets"/>
    <s v="Cash alike"/>
    <x v="2"/>
    <x v="1"/>
    <x v="0"/>
    <x v="0"/>
    <x v="0"/>
    <x v="2"/>
    <x v="0"/>
    <x v="1"/>
  </r>
  <r>
    <x v="872"/>
    <x v="2"/>
    <s v="Online"/>
    <x v="11"/>
    <x v="0"/>
    <s v="Curr"/>
    <x v="38"/>
    <n v="69421.5"/>
    <b v="1"/>
    <n v="69421.5"/>
    <x v="0"/>
    <s v="Assets"/>
    <s v="Invtr"/>
    <x v="2"/>
    <x v="1"/>
    <x v="3"/>
    <x v="7"/>
    <x v="0"/>
    <x v="2"/>
    <x v="0"/>
    <x v="1"/>
  </r>
  <r>
    <x v="872"/>
    <x v="2"/>
    <s v="Online"/>
    <x v="11"/>
    <x v="0"/>
    <s v="Bank"/>
    <x v="0"/>
    <n v="-69421.5"/>
    <b v="1"/>
    <n v="-69421.5"/>
    <x v="0"/>
    <s v="Assets"/>
    <s v="Cash alike"/>
    <x v="2"/>
    <x v="1"/>
    <x v="0"/>
    <x v="0"/>
    <x v="0"/>
    <x v="2"/>
    <x v="0"/>
    <x v="1"/>
  </r>
  <r>
    <x v="873"/>
    <x v="2"/>
    <s v="Online"/>
    <x v="47"/>
    <x v="0"/>
    <s v="Bank"/>
    <x v="0"/>
    <n v="-33578.81"/>
    <b v="1"/>
    <n v="-33578.81"/>
    <x v="0"/>
    <s v="Assets"/>
    <s v="Cash alike"/>
    <x v="2"/>
    <x v="1"/>
    <x v="0"/>
    <x v="0"/>
    <x v="0"/>
    <x v="2"/>
    <x v="0"/>
    <x v="1"/>
  </r>
  <r>
    <x v="874"/>
    <x v="2"/>
    <s v="Online"/>
    <x v="11"/>
    <x v="0"/>
    <s v="Curr"/>
    <x v="38"/>
    <n v="303.5"/>
    <b v="1"/>
    <n v="303.5"/>
    <x v="0"/>
    <s v="Assets"/>
    <s v="Invtr"/>
    <x v="2"/>
    <x v="1"/>
    <x v="3"/>
    <x v="7"/>
    <x v="0"/>
    <x v="2"/>
    <x v="0"/>
    <x v="1"/>
  </r>
  <r>
    <x v="874"/>
    <x v="2"/>
    <s v="Online"/>
    <x v="11"/>
    <x v="0"/>
    <s v="Bank"/>
    <x v="0"/>
    <n v="-303.5"/>
    <b v="1"/>
    <n v="-303.5"/>
    <x v="0"/>
    <s v="Assets"/>
    <s v="Cash alike"/>
    <x v="2"/>
    <x v="1"/>
    <x v="0"/>
    <x v="0"/>
    <x v="0"/>
    <x v="2"/>
    <x v="0"/>
    <x v="1"/>
  </r>
  <r>
    <x v="875"/>
    <x v="2"/>
    <s v="Online"/>
    <x v="11"/>
    <x v="0"/>
    <s v="Curr"/>
    <x v="38"/>
    <n v="39112.9"/>
    <b v="1"/>
    <n v="39112.9"/>
    <x v="0"/>
    <s v="Assets"/>
    <s v="Invtr"/>
    <x v="2"/>
    <x v="1"/>
    <x v="3"/>
    <x v="7"/>
    <x v="0"/>
    <x v="2"/>
    <x v="0"/>
    <x v="1"/>
  </r>
  <r>
    <x v="875"/>
    <x v="2"/>
    <s v="Online"/>
    <x v="11"/>
    <x v="0"/>
    <s v="Bank"/>
    <x v="0"/>
    <n v="-39112.9"/>
    <b v="1"/>
    <n v="-39112.9"/>
    <x v="0"/>
    <s v="Assets"/>
    <s v="Cash alike"/>
    <x v="2"/>
    <x v="1"/>
    <x v="0"/>
    <x v="0"/>
    <x v="0"/>
    <x v="2"/>
    <x v="0"/>
    <x v="1"/>
  </r>
  <r>
    <x v="876"/>
    <x v="2"/>
    <s v="Online"/>
    <x v="42"/>
    <x v="0"/>
    <s v="AR"/>
    <x v="21"/>
    <n v="-90895.1"/>
    <b v="1"/>
    <n v="-90895.1"/>
    <x v="0"/>
    <s v="Assets"/>
    <s v="Rec-Pay"/>
    <x v="1"/>
    <x v="1"/>
    <x v="1"/>
    <x v="2"/>
    <x v="0"/>
    <x v="2"/>
    <x v="0"/>
    <x v="1"/>
  </r>
  <r>
    <x v="877"/>
    <x v="2"/>
    <s v="Online"/>
    <x v="47"/>
    <x v="0"/>
    <s v="Bank"/>
    <x v="0"/>
    <n v="-6900"/>
    <b v="1"/>
    <n v="-6900"/>
    <x v="0"/>
    <s v="Assets"/>
    <s v="Cash alike"/>
    <x v="2"/>
    <x v="1"/>
    <x v="0"/>
    <x v="0"/>
    <x v="0"/>
    <x v="2"/>
    <x v="0"/>
    <x v="1"/>
  </r>
  <r>
    <x v="878"/>
    <x v="2"/>
    <s v="Online"/>
    <x v="9"/>
    <x v="0"/>
    <s v="Bank"/>
    <x v="0"/>
    <n v="-357"/>
    <b v="1"/>
    <n v="-357"/>
    <x v="0"/>
    <s v="Assets"/>
    <s v="Cash alike"/>
    <x v="1"/>
    <x v="1"/>
    <x v="0"/>
    <x v="0"/>
    <x v="0"/>
    <x v="2"/>
    <x v="0"/>
    <x v="1"/>
  </r>
  <r>
    <x v="879"/>
    <x v="2"/>
    <s v="Online"/>
    <x v="8"/>
    <x v="0"/>
    <s v="Bank"/>
    <x v="0"/>
    <n v="-306575.90000000002"/>
    <b v="1"/>
    <n v="-306575.90000000002"/>
    <x v="0"/>
    <s v="Assets"/>
    <s v="Cash alike"/>
    <x v="1"/>
    <x v="1"/>
    <x v="0"/>
    <x v="0"/>
    <x v="0"/>
    <x v="2"/>
    <x v="0"/>
    <x v="1"/>
  </r>
  <r>
    <x v="879"/>
    <x v="2"/>
    <s v="Online"/>
    <x v="8"/>
    <x v="0"/>
    <s v="ToTax"/>
    <x v="47"/>
    <n v="-287946.64"/>
    <b v="1"/>
    <n v="287946.64"/>
    <x v="1"/>
    <s v="Liability"/>
    <s v="Rec-Pay"/>
    <x v="1"/>
    <x v="1"/>
    <x v="1"/>
    <x v="11"/>
    <x v="0"/>
    <x v="2"/>
    <x v="0"/>
    <x v="1"/>
  </r>
  <r>
    <x v="879"/>
    <x v="2"/>
    <s v="Online"/>
    <x v="8"/>
    <x v="0"/>
    <s v="ToTax"/>
    <x v="49"/>
    <n v="-17370.7"/>
    <b v="1"/>
    <n v="17370.7"/>
    <x v="1"/>
    <s v="Liability"/>
    <s v="Rec-Pay"/>
    <x v="1"/>
    <x v="1"/>
    <x v="1"/>
    <x v="11"/>
    <x v="0"/>
    <x v="2"/>
    <x v="0"/>
    <x v="1"/>
  </r>
  <r>
    <x v="879"/>
    <x v="2"/>
    <s v="Online"/>
    <x v="8"/>
    <x v="0"/>
    <s v="ToTax"/>
    <x v="48"/>
    <n v="-915.28"/>
    <b v="1"/>
    <n v="915.28"/>
    <x v="1"/>
    <s v="Liability"/>
    <s v="Rec-Pay"/>
    <x v="1"/>
    <x v="1"/>
    <x v="1"/>
    <x v="11"/>
    <x v="0"/>
    <x v="2"/>
    <x v="0"/>
    <x v="1"/>
  </r>
  <r>
    <x v="879"/>
    <x v="2"/>
    <s v="Online"/>
    <x v="8"/>
    <x v="0"/>
    <s v="ToTax"/>
    <x v="50"/>
    <n v="-343.28"/>
    <b v="1"/>
    <n v="343.28"/>
    <x v="1"/>
    <s v="Liability"/>
    <s v="Rec-Pay"/>
    <x v="1"/>
    <x v="1"/>
    <x v="1"/>
    <x v="11"/>
    <x v="0"/>
    <x v="2"/>
    <x v="0"/>
    <x v="1"/>
  </r>
  <r>
    <x v="880"/>
    <x v="2"/>
    <s v="GM"/>
    <x v="30"/>
    <x v="0"/>
    <s v="Bank"/>
    <x v="0"/>
    <n v="-7100"/>
    <b v="1"/>
    <n v="-7100"/>
    <x v="0"/>
    <s v="Assets"/>
    <s v="Cash alike"/>
    <x v="1"/>
    <x v="1"/>
    <x v="0"/>
    <x v="0"/>
    <x v="0"/>
    <x v="1"/>
    <x v="0"/>
    <x v="1"/>
  </r>
  <r>
    <x v="881"/>
    <x v="2"/>
    <s v="Online"/>
    <x v="9"/>
    <x v="0"/>
    <s v="Bank"/>
    <x v="0"/>
    <n v="-297.36"/>
    <b v="1"/>
    <n v="-297.36"/>
    <x v="0"/>
    <s v="Assets"/>
    <s v="Cash alike"/>
    <x v="1"/>
    <x v="1"/>
    <x v="0"/>
    <x v="0"/>
    <x v="0"/>
    <x v="2"/>
    <x v="0"/>
    <x v="1"/>
  </r>
  <r>
    <x v="882"/>
    <x v="2"/>
    <s v="Online"/>
    <x v="31"/>
    <x v="0"/>
    <s v="Curr"/>
    <x v="38"/>
    <n v="850"/>
    <b v="1"/>
    <n v="850"/>
    <x v="0"/>
    <s v="Assets"/>
    <s v="Invtr"/>
    <x v="2"/>
    <x v="1"/>
    <x v="3"/>
    <x v="7"/>
    <x v="0"/>
    <x v="2"/>
    <x v="0"/>
    <x v="1"/>
  </r>
  <r>
    <x v="882"/>
    <x v="2"/>
    <s v="Online"/>
    <x v="31"/>
    <x v="0"/>
    <s v="Bank"/>
    <x v="0"/>
    <n v="-850"/>
    <b v="1"/>
    <n v="-850"/>
    <x v="0"/>
    <s v="Assets"/>
    <s v="Cash alike"/>
    <x v="2"/>
    <x v="1"/>
    <x v="0"/>
    <x v="0"/>
    <x v="0"/>
    <x v="2"/>
    <x v="0"/>
    <x v="1"/>
  </r>
  <r>
    <x v="883"/>
    <x v="2"/>
    <s v="Brand"/>
    <x v="20"/>
    <x v="0"/>
    <s v="Bank"/>
    <x v="0"/>
    <n v="-433.91"/>
    <b v="1"/>
    <n v="-433.91"/>
    <x v="0"/>
    <s v="Assets"/>
    <s v="Cash alike"/>
    <x v="1"/>
    <x v="1"/>
    <x v="0"/>
    <x v="0"/>
    <x v="0"/>
    <x v="3"/>
    <x v="0"/>
    <x v="1"/>
  </r>
  <r>
    <x v="884"/>
    <x v="2"/>
    <s v="Online"/>
    <x v="3"/>
    <x v="0"/>
    <s v="Bank"/>
    <x v="0"/>
    <n v="-534.66"/>
    <b v="1"/>
    <n v="-534.66"/>
    <x v="0"/>
    <s v="Assets"/>
    <s v="Cash alike"/>
    <x v="1"/>
    <x v="1"/>
    <x v="0"/>
    <x v="0"/>
    <x v="0"/>
    <x v="2"/>
    <x v="0"/>
    <x v="1"/>
  </r>
  <r>
    <x v="885"/>
    <x v="2"/>
    <s v="Online"/>
    <x v="18"/>
    <x v="0"/>
    <s v="Bank"/>
    <x v="0"/>
    <n v="-195.42"/>
    <b v="1"/>
    <n v="-195.42"/>
    <x v="0"/>
    <s v="Assets"/>
    <s v="Cash alike"/>
    <x v="1"/>
    <x v="1"/>
    <x v="0"/>
    <x v="0"/>
    <x v="0"/>
    <x v="2"/>
    <x v="0"/>
    <x v="1"/>
  </r>
  <r>
    <x v="886"/>
    <x v="2"/>
    <s v="Online"/>
    <x v="47"/>
    <x v="0"/>
    <s v="Bank"/>
    <x v="0"/>
    <n v="-2870"/>
    <b v="1"/>
    <n v="-2870"/>
    <x v="0"/>
    <s v="Assets"/>
    <s v="Cash alike"/>
    <x v="2"/>
    <x v="1"/>
    <x v="0"/>
    <x v="0"/>
    <x v="0"/>
    <x v="2"/>
    <x v="0"/>
    <x v="1"/>
  </r>
  <r>
    <x v="887"/>
    <x v="2"/>
    <s v="Online"/>
    <x v="31"/>
    <x v="0"/>
    <s v="Curr"/>
    <x v="38"/>
    <n v="14964"/>
    <b v="1"/>
    <n v="14964"/>
    <x v="0"/>
    <s v="Assets"/>
    <s v="Invtr"/>
    <x v="2"/>
    <x v="1"/>
    <x v="3"/>
    <x v="7"/>
    <x v="0"/>
    <x v="2"/>
    <x v="0"/>
    <x v="1"/>
  </r>
  <r>
    <x v="887"/>
    <x v="2"/>
    <s v="Online"/>
    <x v="31"/>
    <x v="0"/>
    <s v="Bank"/>
    <x v="0"/>
    <n v="-14964"/>
    <b v="1"/>
    <n v="-14964"/>
    <x v="0"/>
    <s v="Assets"/>
    <s v="Cash alike"/>
    <x v="2"/>
    <x v="1"/>
    <x v="0"/>
    <x v="0"/>
    <x v="0"/>
    <x v="2"/>
    <x v="0"/>
    <x v="1"/>
  </r>
  <r>
    <x v="888"/>
    <x v="2"/>
    <s v="Online"/>
    <x v="27"/>
    <x v="0"/>
    <s v="Bank"/>
    <x v="0"/>
    <n v="2870"/>
    <b v="1"/>
    <n v="2870"/>
    <x v="0"/>
    <s v="Assets"/>
    <s v="Cash alike"/>
    <x v="1"/>
    <x v="1"/>
    <x v="0"/>
    <x v="0"/>
    <x v="0"/>
    <x v="2"/>
    <x v="0"/>
    <x v="1"/>
  </r>
  <r>
    <x v="888"/>
    <x v="2"/>
    <s v="Online"/>
    <x v="27"/>
    <x v="0"/>
    <s v="Order"/>
    <x v="34"/>
    <n v="-2870"/>
    <b v="1"/>
    <n v="-2870"/>
    <x v="0"/>
    <s v="Assets"/>
    <s v="Prep-Sub"/>
    <x v="1"/>
    <x v="1"/>
    <x v="2"/>
    <x v="6"/>
    <x v="0"/>
    <x v="2"/>
    <x v="0"/>
    <x v="1"/>
  </r>
  <r>
    <x v="889"/>
    <x v="2"/>
    <s v="Online"/>
    <x v="11"/>
    <x v="0"/>
    <s v="Curr"/>
    <x v="38"/>
    <n v="29556"/>
    <b v="1"/>
    <n v="29556"/>
    <x v="0"/>
    <s v="Assets"/>
    <s v="Invtr"/>
    <x v="2"/>
    <x v="1"/>
    <x v="3"/>
    <x v="7"/>
    <x v="0"/>
    <x v="2"/>
    <x v="0"/>
    <x v="1"/>
  </r>
  <r>
    <x v="889"/>
    <x v="2"/>
    <s v="Online"/>
    <x v="11"/>
    <x v="0"/>
    <s v="Bank"/>
    <x v="0"/>
    <n v="-29556"/>
    <b v="1"/>
    <n v="-29556"/>
    <x v="0"/>
    <s v="Assets"/>
    <s v="Cash alike"/>
    <x v="2"/>
    <x v="1"/>
    <x v="0"/>
    <x v="0"/>
    <x v="0"/>
    <x v="2"/>
    <x v="0"/>
    <x v="1"/>
  </r>
  <r>
    <x v="890"/>
    <x v="2"/>
    <s v="Online"/>
    <x v="31"/>
    <x v="0"/>
    <s v="Curr"/>
    <x v="38"/>
    <n v="34563"/>
    <b v="1"/>
    <n v="34563"/>
    <x v="0"/>
    <s v="Assets"/>
    <s v="Invtr"/>
    <x v="2"/>
    <x v="1"/>
    <x v="3"/>
    <x v="7"/>
    <x v="0"/>
    <x v="2"/>
    <x v="0"/>
    <x v="1"/>
  </r>
  <r>
    <x v="890"/>
    <x v="2"/>
    <s v="Online"/>
    <x v="31"/>
    <x v="0"/>
    <s v="Bank"/>
    <x v="0"/>
    <n v="-34563"/>
    <b v="1"/>
    <n v="-34563"/>
    <x v="0"/>
    <s v="Assets"/>
    <s v="Cash alike"/>
    <x v="2"/>
    <x v="1"/>
    <x v="0"/>
    <x v="0"/>
    <x v="0"/>
    <x v="2"/>
    <x v="0"/>
    <x v="1"/>
  </r>
  <r>
    <x v="891"/>
    <x v="2"/>
    <s v="GM"/>
    <x v="8"/>
    <x v="0"/>
    <s v="ToEmp"/>
    <x v="68"/>
    <n v="-449869.55"/>
    <b v="1"/>
    <n v="449869.55"/>
    <x v="1"/>
    <s v="Liability"/>
    <s v="Rec-Pay"/>
    <x v="1"/>
    <x v="1"/>
    <x v="1"/>
    <x v="12"/>
    <x v="0"/>
    <x v="1"/>
    <x v="0"/>
    <x v="1"/>
  </r>
  <r>
    <x v="891"/>
    <x v="2"/>
    <s v="GM"/>
    <x v="8"/>
    <x v="0"/>
    <s v="Bank"/>
    <x v="0"/>
    <n v="-366970.95999999996"/>
    <b v="1"/>
    <n v="-366970.95999999996"/>
    <x v="0"/>
    <s v="Assets"/>
    <s v="Cash alike"/>
    <x v="1"/>
    <x v="1"/>
    <x v="0"/>
    <x v="0"/>
    <x v="0"/>
    <x v="1"/>
    <x v="0"/>
    <x v="1"/>
  </r>
  <r>
    <x v="891"/>
    <x v="2"/>
    <s v="GM"/>
    <x v="8"/>
    <x v="0"/>
    <s v="ToTax"/>
    <x v="54"/>
    <n v="82898.59"/>
    <b v="1"/>
    <n v="-82898.59"/>
    <x v="1"/>
    <s v="Liability"/>
    <s v="Rec-Pay"/>
    <x v="1"/>
    <x v="1"/>
    <x v="1"/>
    <x v="11"/>
    <x v="0"/>
    <x v="1"/>
    <x v="0"/>
    <x v="1"/>
  </r>
  <r>
    <x v="892"/>
    <x v="2"/>
    <s v="GM"/>
    <x v="14"/>
    <x v="0"/>
    <s v="Bank"/>
    <x v="0"/>
    <n v="-0.01"/>
    <b v="1"/>
    <n v="-0.01"/>
    <x v="0"/>
    <s v="Assets"/>
    <s v="Cash alike"/>
    <x v="1"/>
    <x v="1"/>
    <x v="0"/>
    <x v="0"/>
    <x v="0"/>
    <x v="1"/>
    <x v="0"/>
    <x v="1"/>
  </r>
  <r>
    <x v="893"/>
    <x v="2"/>
    <s v="GM"/>
    <x v="22"/>
    <x v="4"/>
    <s v="RE"/>
    <x v="62"/>
    <n v="-530000"/>
    <b v="1"/>
    <n v="530000"/>
    <x v="1"/>
    <s v="Equity"/>
    <s v="Rsv"/>
    <x v="0"/>
    <x v="0"/>
    <x v="7"/>
    <x v="17"/>
    <x v="4"/>
    <x v="1"/>
    <x v="0"/>
    <x v="1"/>
  </r>
  <r>
    <x v="893"/>
    <x v="2"/>
    <s v="GM"/>
    <x v="22"/>
    <x v="0"/>
    <s v="Bank"/>
    <x v="0"/>
    <n v="-530000"/>
    <b v="1"/>
    <n v="-530000"/>
    <x v="0"/>
    <s v="Assets"/>
    <s v="Cash alike"/>
    <x v="0"/>
    <x v="0"/>
    <x v="0"/>
    <x v="0"/>
    <x v="0"/>
    <x v="1"/>
    <x v="0"/>
    <x v="1"/>
  </r>
  <r>
    <x v="894"/>
    <x v="2"/>
    <s v="Online"/>
    <x v="30"/>
    <x v="0"/>
    <s v="Bank"/>
    <x v="0"/>
    <n v="-500"/>
    <b v="1"/>
    <n v="-500"/>
    <x v="0"/>
    <s v="Assets"/>
    <s v="Cash alike"/>
    <x v="1"/>
    <x v="1"/>
    <x v="0"/>
    <x v="0"/>
    <x v="0"/>
    <x v="2"/>
    <x v="0"/>
    <x v="1"/>
  </r>
  <r>
    <x v="895"/>
    <x v="2"/>
    <s v="Online"/>
    <x v="8"/>
    <x v="0"/>
    <s v="ToTax"/>
    <x v="54"/>
    <n v="-84939.79"/>
    <b v="1"/>
    <n v="84939.79"/>
    <x v="1"/>
    <s v="Liability"/>
    <s v="Rec-Pay"/>
    <x v="1"/>
    <x v="1"/>
    <x v="1"/>
    <x v="11"/>
    <x v="0"/>
    <x v="2"/>
    <x v="0"/>
    <x v="1"/>
  </r>
  <r>
    <x v="895"/>
    <x v="2"/>
    <s v="Online"/>
    <x v="8"/>
    <x v="0"/>
    <s v="Bank"/>
    <x v="0"/>
    <n v="-84939.79"/>
    <b v="1"/>
    <n v="-84939.79"/>
    <x v="0"/>
    <s v="Assets"/>
    <s v="Cash alike"/>
    <x v="1"/>
    <x v="1"/>
    <x v="0"/>
    <x v="0"/>
    <x v="0"/>
    <x v="2"/>
    <x v="0"/>
    <x v="1"/>
  </r>
  <r>
    <x v="896"/>
    <x v="2"/>
    <s v="Online"/>
    <x v="11"/>
    <x v="0"/>
    <s v="Curr"/>
    <x v="38"/>
    <n v="9992.4"/>
    <b v="1"/>
    <n v="9992.4"/>
    <x v="0"/>
    <s v="Assets"/>
    <s v="Invtr"/>
    <x v="2"/>
    <x v="1"/>
    <x v="3"/>
    <x v="7"/>
    <x v="0"/>
    <x v="2"/>
    <x v="0"/>
    <x v="1"/>
  </r>
  <r>
    <x v="896"/>
    <x v="2"/>
    <s v="Online"/>
    <x v="11"/>
    <x v="0"/>
    <s v="Bank"/>
    <x v="0"/>
    <n v="-9992.4"/>
    <b v="1"/>
    <n v="-9992.4"/>
    <x v="0"/>
    <s v="Assets"/>
    <s v="Cash alike"/>
    <x v="2"/>
    <x v="1"/>
    <x v="0"/>
    <x v="0"/>
    <x v="0"/>
    <x v="2"/>
    <x v="0"/>
    <x v="1"/>
  </r>
  <r>
    <x v="897"/>
    <x v="2"/>
    <s v="Online"/>
    <x v="11"/>
    <x v="0"/>
    <s v="Curr"/>
    <x v="38"/>
    <n v="2394"/>
    <b v="1"/>
    <n v="2394"/>
    <x v="0"/>
    <s v="Assets"/>
    <s v="Invtr"/>
    <x v="2"/>
    <x v="1"/>
    <x v="3"/>
    <x v="7"/>
    <x v="0"/>
    <x v="2"/>
    <x v="0"/>
    <x v="1"/>
  </r>
  <r>
    <x v="897"/>
    <x v="2"/>
    <s v="Online"/>
    <x v="11"/>
    <x v="0"/>
    <s v="Bank"/>
    <x v="0"/>
    <n v="-2394"/>
    <b v="1"/>
    <n v="-2394"/>
    <x v="0"/>
    <s v="Assets"/>
    <s v="Cash alike"/>
    <x v="2"/>
    <x v="1"/>
    <x v="0"/>
    <x v="0"/>
    <x v="0"/>
    <x v="2"/>
    <x v="0"/>
    <x v="1"/>
  </r>
  <r>
    <x v="898"/>
    <x v="2"/>
    <s v="GM"/>
    <x v="67"/>
    <x v="0"/>
    <s v="Bank"/>
    <x v="0"/>
    <n v="-6000"/>
    <b v="1"/>
    <n v="-6000"/>
    <x v="0"/>
    <s v="Assets"/>
    <s v="Cash alike"/>
    <x v="4"/>
    <x v="0"/>
    <x v="0"/>
    <x v="0"/>
    <x v="0"/>
    <x v="1"/>
    <x v="0"/>
    <x v="1"/>
  </r>
  <r>
    <x v="899"/>
    <x v="2"/>
    <s v="Online"/>
    <x v="33"/>
    <x v="0"/>
    <s v="Bank"/>
    <x v="0"/>
    <n v="3400806.86"/>
    <b v="1"/>
    <n v="3400806.86"/>
    <x v="0"/>
    <s v="Assets"/>
    <s v="Cash alike"/>
    <x v="3"/>
    <x v="1"/>
    <x v="0"/>
    <x v="0"/>
    <x v="0"/>
    <x v="2"/>
    <x v="0"/>
    <x v="1"/>
  </r>
  <r>
    <x v="899"/>
    <x v="2"/>
    <s v="Online"/>
    <x v="33"/>
    <x v="0"/>
    <s v="AR"/>
    <x v="21"/>
    <n v="-3400806.86"/>
    <b v="1"/>
    <n v="-3400806.86"/>
    <x v="0"/>
    <s v="Assets"/>
    <s v="Rec-Pay"/>
    <x v="3"/>
    <x v="1"/>
    <x v="1"/>
    <x v="2"/>
    <x v="0"/>
    <x v="2"/>
    <x v="0"/>
    <x v="1"/>
  </r>
  <r>
    <x v="900"/>
    <x v="2"/>
    <s v="GM"/>
    <x v="21"/>
    <x v="0"/>
    <s v="Bank"/>
    <x v="0"/>
    <n v="19885.12"/>
    <b v="1"/>
    <n v="19885.12"/>
    <x v="0"/>
    <s v="Assets"/>
    <s v="Cash alike"/>
    <x v="0"/>
    <x v="0"/>
    <x v="0"/>
    <x v="0"/>
    <x v="0"/>
    <x v="1"/>
    <x v="0"/>
    <x v="1"/>
  </r>
  <r>
    <x v="901"/>
    <x v="2"/>
    <s v="GM"/>
    <x v="13"/>
    <x v="0"/>
    <s v="Bank"/>
    <x v="0"/>
    <n v="-498.8"/>
    <b v="1"/>
    <n v="-498.8"/>
    <x v="0"/>
    <s v="Assets"/>
    <s v="Cash alike"/>
    <x v="1"/>
    <x v="1"/>
    <x v="0"/>
    <x v="0"/>
    <x v="0"/>
    <x v="1"/>
    <x v="0"/>
    <x v="1"/>
  </r>
  <r>
    <x v="902"/>
    <x v="2"/>
    <s v="Online"/>
    <x v="3"/>
    <x v="0"/>
    <s v="Bank"/>
    <x v="0"/>
    <n v="-32.880000000000003"/>
    <b v="1"/>
    <n v="-32.880000000000003"/>
    <x v="0"/>
    <s v="Assets"/>
    <s v="Cash alike"/>
    <x v="1"/>
    <x v="1"/>
    <x v="0"/>
    <x v="0"/>
    <x v="0"/>
    <x v="2"/>
    <x v="0"/>
    <x v="1"/>
  </r>
  <r>
    <x v="903"/>
    <x v="2"/>
    <s v="Online"/>
    <x v="30"/>
    <x v="0"/>
    <s v="Bank"/>
    <x v="0"/>
    <n v="-1958.57"/>
    <b v="1"/>
    <n v="-1958.57"/>
    <x v="0"/>
    <s v="Assets"/>
    <s v="Cash alike"/>
    <x v="1"/>
    <x v="1"/>
    <x v="0"/>
    <x v="0"/>
    <x v="0"/>
    <x v="2"/>
    <x v="0"/>
    <x v="1"/>
  </r>
  <r>
    <x v="904"/>
    <x v="2"/>
    <s v="Online"/>
    <x v="64"/>
    <x v="0"/>
    <s v="Bank"/>
    <x v="0"/>
    <n v="-25773"/>
    <b v="1"/>
    <n v="-25773"/>
    <x v="0"/>
    <s v="Assets"/>
    <s v="Cash alike"/>
    <x v="1"/>
    <x v="1"/>
    <x v="0"/>
    <x v="0"/>
    <x v="0"/>
    <x v="2"/>
    <x v="0"/>
    <x v="1"/>
  </r>
  <r>
    <x v="905"/>
    <x v="2"/>
    <s v="Online"/>
    <x v="30"/>
    <x v="0"/>
    <s v="Bank"/>
    <x v="0"/>
    <n v="-773"/>
    <b v="1"/>
    <n v="-773"/>
    <x v="0"/>
    <s v="Assets"/>
    <s v="Cash alike"/>
    <x v="1"/>
    <x v="1"/>
    <x v="0"/>
    <x v="0"/>
    <x v="0"/>
    <x v="2"/>
    <x v="0"/>
    <x v="1"/>
  </r>
  <r>
    <x v="906"/>
    <x v="2"/>
    <s v="Online"/>
    <x v="30"/>
    <x v="0"/>
    <s v="Bank"/>
    <x v="0"/>
    <n v="-826.36"/>
    <b v="1"/>
    <n v="-826.36"/>
    <x v="0"/>
    <s v="Assets"/>
    <s v="Cash alike"/>
    <x v="1"/>
    <x v="1"/>
    <x v="0"/>
    <x v="0"/>
    <x v="0"/>
    <x v="2"/>
    <x v="0"/>
    <x v="1"/>
  </r>
  <r>
    <x v="907"/>
    <x v="2"/>
    <s v="GM"/>
    <x v="67"/>
    <x v="0"/>
    <s v="Bank"/>
    <x v="0"/>
    <n v="-7405"/>
    <b v="1"/>
    <n v="-7405"/>
    <x v="0"/>
    <s v="Assets"/>
    <s v="Cash alike"/>
    <x v="4"/>
    <x v="0"/>
    <x v="0"/>
    <x v="0"/>
    <x v="0"/>
    <x v="1"/>
    <x v="0"/>
    <x v="1"/>
  </r>
  <r>
    <x v="908"/>
    <x v="2"/>
    <s v="Online"/>
    <x v="16"/>
    <x v="0"/>
    <s v="Bank"/>
    <x v="0"/>
    <n v="-120"/>
    <b v="1"/>
    <n v="-120"/>
    <x v="0"/>
    <s v="Assets"/>
    <s v="Cash alike"/>
    <x v="1"/>
    <x v="1"/>
    <x v="0"/>
    <x v="0"/>
    <x v="0"/>
    <x v="2"/>
    <x v="0"/>
    <x v="1"/>
  </r>
  <r>
    <x v="909"/>
    <x v="2"/>
    <s v="Online"/>
    <x v="27"/>
    <x v="0"/>
    <s v="Curr"/>
    <x v="38"/>
    <n v="-37665.4"/>
    <b v="1"/>
    <n v="-37665.4"/>
    <x v="0"/>
    <s v="Assets"/>
    <s v="Invtr"/>
    <x v="2"/>
    <x v="1"/>
    <x v="3"/>
    <x v="7"/>
    <x v="0"/>
    <x v="2"/>
    <x v="0"/>
    <x v="1"/>
  </r>
  <r>
    <x v="909"/>
    <x v="2"/>
    <s v="Online"/>
    <x v="27"/>
    <x v="0"/>
    <s v="Bank"/>
    <x v="0"/>
    <n v="37665.4"/>
    <b v="1"/>
    <n v="37665.4"/>
    <x v="0"/>
    <s v="Assets"/>
    <s v="Cash alike"/>
    <x v="2"/>
    <x v="1"/>
    <x v="0"/>
    <x v="0"/>
    <x v="0"/>
    <x v="2"/>
    <x v="0"/>
    <x v="1"/>
  </r>
  <r>
    <x v="910"/>
    <x v="2"/>
    <s v="Online"/>
    <x v="44"/>
    <x v="0"/>
    <s v="ToTax"/>
    <x v="50"/>
    <n v="266.38"/>
    <b v="1"/>
    <n v="-266.38"/>
    <x v="1"/>
    <s v="Liability"/>
    <s v="Rec-Pay"/>
    <x v="1"/>
    <x v="1"/>
    <x v="1"/>
    <x v="11"/>
    <x v="0"/>
    <x v="2"/>
    <x v="0"/>
    <x v="1"/>
  </r>
  <r>
    <x v="910"/>
    <x v="2"/>
    <s v="Online"/>
    <x v="44"/>
    <x v="0"/>
    <s v="ToTax"/>
    <x v="49"/>
    <n v="24156.59"/>
    <b v="1"/>
    <n v="-24156.59"/>
    <x v="1"/>
    <s v="Liability"/>
    <s v="Rec-Pay"/>
    <x v="1"/>
    <x v="1"/>
    <x v="1"/>
    <x v="11"/>
    <x v="0"/>
    <x v="2"/>
    <x v="0"/>
    <x v="1"/>
  </r>
  <r>
    <x v="910"/>
    <x v="2"/>
    <s v="Online"/>
    <x v="44"/>
    <x v="0"/>
    <s v="ToTax"/>
    <x v="48"/>
    <n v="725.58"/>
    <b v="1"/>
    <n v="-725.58"/>
    <x v="1"/>
    <s v="Liability"/>
    <s v="Rec-Pay"/>
    <x v="1"/>
    <x v="1"/>
    <x v="1"/>
    <x v="11"/>
    <x v="0"/>
    <x v="2"/>
    <x v="0"/>
    <x v="1"/>
  </r>
  <r>
    <x v="911"/>
    <x v="2"/>
    <s v="Online"/>
    <x v="14"/>
    <x v="0"/>
    <s v="ToEmp"/>
    <x v="52"/>
    <n v="122833.38"/>
    <b v="1"/>
    <n v="-122833.38"/>
    <x v="1"/>
    <s v="Liability"/>
    <s v="Rec-Pay"/>
    <x v="1"/>
    <x v="1"/>
    <x v="1"/>
    <x v="12"/>
    <x v="0"/>
    <x v="2"/>
    <x v="0"/>
    <x v="1"/>
  </r>
  <r>
    <x v="912"/>
    <x v="2"/>
    <s v="GM"/>
    <x v="14"/>
    <x v="0"/>
    <s v="ToEmp"/>
    <x v="52"/>
    <n v="232522.65"/>
    <b v="1"/>
    <n v="-232522.65"/>
    <x v="1"/>
    <s v="Liability"/>
    <s v="Rec-Pay"/>
    <x v="1"/>
    <x v="1"/>
    <x v="1"/>
    <x v="12"/>
    <x v="0"/>
    <x v="1"/>
    <x v="0"/>
    <x v="1"/>
  </r>
  <r>
    <x v="913"/>
    <x v="2"/>
    <s v="Online"/>
    <x v="31"/>
    <x v="0"/>
    <s v="ToEmp"/>
    <x v="52"/>
    <n v="52950.6"/>
    <b v="1"/>
    <n v="-52950.6"/>
    <x v="1"/>
    <s v="Liability"/>
    <s v="Rec-Pay"/>
    <x v="2"/>
    <x v="1"/>
    <x v="1"/>
    <x v="12"/>
    <x v="0"/>
    <x v="2"/>
    <x v="0"/>
    <x v="1"/>
  </r>
  <r>
    <x v="913"/>
    <x v="2"/>
    <s v="Online"/>
    <x v="31"/>
    <x v="0"/>
    <s v="Curr"/>
    <x v="38"/>
    <n v="52950.6"/>
    <b v="1"/>
    <n v="52950.6"/>
    <x v="0"/>
    <s v="Assets"/>
    <s v="Invtr"/>
    <x v="2"/>
    <x v="1"/>
    <x v="3"/>
    <x v="7"/>
    <x v="0"/>
    <x v="2"/>
    <x v="0"/>
    <x v="1"/>
  </r>
  <r>
    <x v="914"/>
    <x v="2"/>
    <s v="Online"/>
    <x v="10"/>
    <x v="0"/>
    <s v="AR"/>
    <x v="21"/>
    <n v="3680459.8400000003"/>
    <b v="1"/>
    <n v="3680459.8400000003"/>
    <x v="0"/>
    <s v="Assets"/>
    <s v="Rec-Pay"/>
    <x v="3"/>
    <x v="1"/>
    <x v="1"/>
    <x v="2"/>
    <x v="0"/>
    <x v="2"/>
    <x v="0"/>
    <x v="1"/>
  </r>
  <r>
    <x v="915"/>
    <x v="2"/>
    <s v="Online"/>
    <x v="12"/>
    <x v="0"/>
    <s v="ToTax"/>
    <x v="47"/>
    <n v="401234.55"/>
    <b v="1"/>
    <n v="-401234.55"/>
    <x v="1"/>
    <s v="Liability"/>
    <s v="Rec-Pay"/>
    <x v="2"/>
    <x v="1"/>
    <x v="1"/>
    <x v="11"/>
    <x v="0"/>
    <x v="2"/>
    <x v="0"/>
    <x v="1"/>
  </r>
  <r>
    <x v="916"/>
    <x v="2"/>
    <s v="GM"/>
    <x v="29"/>
    <x v="0"/>
    <s v="Order"/>
    <x v="34"/>
    <n v="-28258.42"/>
    <b v="1"/>
    <n v="-28258.42"/>
    <x v="0"/>
    <s v="Assets"/>
    <s v="Prep-Sub"/>
    <x v="1"/>
    <x v="1"/>
    <x v="2"/>
    <x v="6"/>
    <x v="0"/>
    <x v="1"/>
    <x v="0"/>
    <x v="1"/>
  </r>
  <r>
    <x v="917"/>
    <x v="2"/>
    <s v="Online"/>
    <x v="43"/>
    <x v="0"/>
    <s v="Curr"/>
    <x v="38"/>
    <n v="-1858338.56"/>
    <b v="1"/>
    <n v="-1858338.56"/>
    <x v="0"/>
    <s v="Assets"/>
    <s v="Invtr"/>
    <x v="2"/>
    <x v="1"/>
    <x v="3"/>
    <x v="7"/>
    <x v="0"/>
    <x v="2"/>
    <x v="0"/>
    <x v="1"/>
  </r>
  <r>
    <x v="918"/>
    <x v="2"/>
    <s v="Online"/>
    <x v="62"/>
    <x v="0"/>
    <s v="Curr"/>
    <x v="38"/>
    <n v="0"/>
    <b v="1"/>
    <n v="0"/>
    <x v="0"/>
    <s v="Assets"/>
    <s v="Invtr"/>
    <x v="5"/>
    <x v="0"/>
    <x v="3"/>
    <x v="7"/>
    <x v="0"/>
    <x v="2"/>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4EB143-4110-449C-99EF-233E79647EC8}" name="数据透视表3" cacheId="51"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X3:AB58" firstHeaderRow="1" firstDataRow="2" firstDataCol="1"/>
  <pivotFields count="25">
    <pivotField showAll="0"/>
    <pivotField numFmtId="165" showAll="0">
      <items count="18">
        <item x="0"/>
        <item m="1" x="3"/>
        <item m="1" x="16"/>
        <item m="1" x="4"/>
        <item m="1" x="5"/>
        <item m="1" x="6"/>
        <item m="1" x="7"/>
        <item m="1" x="8"/>
        <item m="1" x="9"/>
        <item m="1" x="10"/>
        <item m="1" x="11"/>
        <item m="1" x="12"/>
        <item m="1" x="13"/>
        <item m="1" x="14"/>
        <item m="1" x="15"/>
        <item x="1"/>
        <item x="2"/>
        <item t="default"/>
      </items>
    </pivotField>
    <pivotField showAll="0"/>
    <pivotField axis="axisRow" showAll="0" sortType="ascending">
      <items count="109">
        <item x="30"/>
        <item x="47"/>
        <item x="56"/>
        <item m="1" x="76"/>
        <item x="21"/>
        <item x="54"/>
        <item x="11"/>
        <item x="40"/>
        <item x="64"/>
        <item m="1" x="72"/>
        <item x="2"/>
        <item x="39"/>
        <item x="25"/>
        <item x="38"/>
        <item x="1"/>
        <item x="4"/>
        <item x="70"/>
        <item x="29"/>
        <item x="22"/>
        <item x="10"/>
        <item m="1" x="89"/>
        <item x="18"/>
        <item m="1" x="79"/>
        <item m="1" x="77"/>
        <item m="1" x="106"/>
        <item m="1" x="105"/>
        <item x="19"/>
        <item x="71"/>
        <item x="7"/>
        <item x="52"/>
        <item m="1" x="96"/>
        <item x="44"/>
        <item x="31"/>
        <item m="1" x="84"/>
        <item x="63"/>
        <item x="3"/>
        <item m="1" x="95"/>
        <item x="0"/>
        <item m="1" x="99"/>
        <item m="1" x="91"/>
        <item x="68"/>
        <item x="45"/>
        <item x="62"/>
        <item m="1" x="92"/>
        <item x="37"/>
        <item x="28"/>
        <item m="1" x="102"/>
        <item x="67"/>
        <item x="15"/>
        <item x="20"/>
        <item x="66"/>
        <item x="42"/>
        <item x="36"/>
        <item x="23"/>
        <item m="1" x="80"/>
        <item x="5"/>
        <item x="49"/>
        <item x="48"/>
        <item x="16"/>
        <item m="1" x="101"/>
        <item m="1" x="73"/>
        <item x="57"/>
        <item x="35"/>
        <item x="60"/>
        <item x="33"/>
        <item x="69"/>
        <item m="1" x="87"/>
        <item x="24"/>
        <item m="1" x="83"/>
        <item m="1" x="81"/>
        <item x="65"/>
        <item m="1" x="82"/>
        <item x="34"/>
        <item x="50"/>
        <item m="1" x="98"/>
        <item x="51"/>
        <item m="1" x="97"/>
        <item m="1" x="94"/>
        <item x="27"/>
        <item x="58"/>
        <item x="32"/>
        <item m="1" x="74"/>
        <item x="9"/>
        <item m="1" x="85"/>
        <item m="1" x="90"/>
        <item m="1" x="93"/>
        <item m="1" x="107"/>
        <item m="1" x="103"/>
        <item x="14"/>
        <item m="1" x="75"/>
        <item x="6"/>
        <item x="53"/>
        <item m="1" x="88"/>
        <item x="13"/>
        <item m="1" x="86"/>
        <item x="59"/>
        <item x="61"/>
        <item x="41"/>
        <item x="12"/>
        <item x="17"/>
        <item x="26"/>
        <item x="46"/>
        <item m="1" x="78"/>
        <item x="8"/>
        <item x="55"/>
        <item m="1" x="104"/>
        <item m="1" x="100"/>
        <item x="4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axis="axisRow" showAll="0">
      <items count="8">
        <item m="1" x="6"/>
        <item sd="0" x="3"/>
        <item x="2"/>
        <item sd="0" x="4"/>
        <item x="1"/>
        <item sd="0" x="5"/>
        <item sd="0" x="0"/>
        <item t="default"/>
      </items>
    </pivotField>
    <pivotField axis="axisRow" showAll="0">
      <items count="4">
        <item x="1"/>
        <item sd="0" x="0"/>
        <item m="1" x="2"/>
        <item t="default"/>
      </items>
    </pivotField>
    <pivotField showAll="0"/>
    <pivotField showAll="0"/>
    <pivotField showAll="0"/>
    <pivotField showAll="0"/>
    <pivotField showAll="0"/>
    <pivotField showAll="0"/>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x="0"/>
        <item x="1"/>
        <item x="2"/>
        <item x="3"/>
        <item x="4"/>
        <item x="5"/>
      </items>
    </pivotField>
    <pivotField showAll="0" defaultSubtotal="0">
      <items count="4">
        <item x="0"/>
        <item x="1"/>
        <item x="2"/>
        <item x="3"/>
      </items>
    </pivotField>
    <pivotField dragToRow="0" dragToCol="0" dragToPage="0" showAll="0" defaultSubtotal="0"/>
  </pivotFields>
  <rowFields count="3">
    <field x="14"/>
    <field x="13"/>
    <field x="3"/>
  </rowFields>
  <rowItems count="54">
    <i>
      <x/>
    </i>
    <i r="1">
      <x v="1"/>
    </i>
    <i r="1">
      <x v="2"/>
    </i>
    <i r="2">
      <x v="107"/>
    </i>
    <i r="2">
      <x v="98"/>
    </i>
    <i r="2">
      <x v="62"/>
    </i>
    <i r="2">
      <x v="52"/>
    </i>
    <i r="2">
      <x v="1"/>
    </i>
    <i r="2">
      <x v="41"/>
    </i>
    <i r="2">
      <x v="70"/>
    </i>
    <i r="2">
      <x v="91"/>
    </i>
    <i r="2">
      <x v="5"/>
    </i>
    <i r="2">
      <x v="95"/>
    </i>
    <i r="2">
      <x v="104"/>
    </i>
    <i r="2">
      <x v="55"/>
    </i>
    <i r="2">
      <x v="29"/>
    </i>
    <i r="2">
      <x v="15"/>
    </i>
    <i r="2">
      <x v="45"/>
    </i>
    <i r="2">
      <x v="6"/>
    </i>
    <i r="2">
      <x v="103"/>
    </i>
    <i r="2">
      <x v="78"/>
    </i>
    <i r="2">
      <x v="32"/>
    </i>
    <i r="1">
      <x v="4"/>
    </i>
    <i r="2">
      <x v="88"/>
    </i>
    <i r="2">
      <x v="101"/>
    </i>
    <i r="2">
      <x v="90"/>
    </i>
    <i r="2">
      <x v="51"/>
    </i>
    <i r="2">
      <x v="17"/>
    </i>
    <i r="2">
      <x v="82"/>
    </i>
    <i r="2">
      <x v="26"/>
    </i>
    <i r="2">
      <x v="31"/>
    </i>
    <i r="2">
      <x v="21"/>
    </i>
    <i r="2">
      <x v="80"/>
    </i>
    <i r="2">
      <x v="8"/>
    </i>
    <i r="2">
      <x/>
    </i>
    <i r="2">
      <x v="57"/>
    </i>
    <i r="2">
      <x v="100"/>
    </i>
    <i r="2">
      <x v="58"/>
    </i>
    <i r="2">
      <x v="44"/>
    </i>
    <i r="2">
      <x v="49"/>
    </i>
    <i r="2">
      <x v="73"/>
    </i>
    <i r="2">
      <x v="56"/>
    </i>
    <i r="2">
      <x v="99"/>
    </i>
    <i r="2">
      <x v="35"/>
    </i>
    <i r="2">
      <x v="97"/>
    </i>
    <i r="2">
      <x v="93"/>
    </i>
    <i r="2">
      <x v="13"/>
    </i>
    <i r="2">
      <x v="2"/>
    </i>
    <i r="2">
      <x v="78"/>
    </i>
    <i r="2">
      <x v="64"/>
    </i>
    <i r="2">
      <x v="103"/>
    </i>
    <i r="2">
      <x v="75"/>
    </i>
    <i>
      <x v="1"/>
    </i>
    <i t="grand">
      <x/>
    </i>
  </rowItems>
  <colFields count="1">
    <field x="21"/>
  </colFields>
  <colItems count="4">
    <i>
      <x v="1"/>
    </i>
    <i>
      <x v="2"/>
    </i>
    <i>
      <x v="12"/>
    </i>
    <i t="grand">
      <x/>
    </i>
  </colItems>
  <dataFields count="1">
    <dataField name="求和项:NetBal" fld="9" baseField="0" baseItem="0" numFmtId="40"/>
  </dataFields>
  <formats count="11">
    <format dxfId="540">
      <pivotArea type="all" dataOnly="0" outline="0" fieldPosition="0"/>
    </format>
    <format dxfId="539">
      <pivotArea outline="0" collapsedLevelsAreSubtotals="1" fieldPosition="0"/>
    </format>
    <format dxfId="538">
      <pivotArea type="origin" dataOnly="0" labelOnly="1" outline="0" fieldPosition="0"/>
    </format>
    <format dxfId="537">
      <pivotArea field="21" type="button" dataOnly="0" labelOnly="1" outline="0" axis="axisCol" fieldPosition="0"/>
    </format>
    <format dxfId="536">
      <pivotArea type="topRight" dataOnly="0" labelOnly="1" outline="0" fieldPosition="0"/>
    </format>
    <format dxfId="535">
      <pivotArea field="14" type="button" dataOnly="0" labelOnly="1" outline="0" axis="axisRow" fieldPosition="0"/>
    </format>
    <format dxfId="534">
      <pivotArea dataOnly="0" labelOnly="1" fieldPosition="0">
        <references count="1">
          <reference field="14" count="0"/>
        </references>
      </pivotArea>
    </format>
    <format dxfId="533">
      <pivotArea dataOnly="0" labelOnly="1" grandRow="1" outline="0" fieldPosition="0"/>
    </format>
    <format dxfId="532">
      <pivotArea dataOnly="0" labelOnly="1" fieldPosition="0">
        <references count="2">
          <reference field="13" count="3">
            <x v="1"/>
            <x v="2"/>
            <x v="4"/>
          </reference>
          <reference field="14" count="1" selected="0">
            <x v="0"/>
          </reference>
        </references>
      </pivotArea>
    </format>
    <format dxfId="531">
      <pivotArea dataOnly="0" labelOnly="1" fieldPosition="0">
        <references count="1">
          <reference field="21" count="3">
            <x v="1"/>
            <x v="2"/>
            <x v="12"/>
          </reference>
        </references>
      </pivotArea>
    </format>
    <format dxfId="53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C20B45-711D-46C3-859E-54BD320BCD18}" name="debug_pvt_item" cacheId="51" applyNumberFormats="0" applyBorderFormats="0" applyFontFormats="0" applyPatternFormats="0" applyAlignmentFormats="0" applyWidthHeightFormats="1" dataCaption="Values" grandTotalCaption="End" updatedVersion="8" minRefreshableVersion="3" rowGrandTotals="0" itemPrintTitles="1" mergeItem="1" createdVersion="8" indent="0" outline="1" outlineData="1" multipleFieldFilters="0">
  <location ref="F10:I20" firstHeaderRow="1" firstDataRow="2" firstDataCol="1"/>
  <pivotFields count="25">
    <pivotField axis="axisRow" showAll="0">
      <items count="923">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70"/>
        <item x="71"/>
        <item x="72"/>
        <item x="73"/>
        <item x="74"/>
        <item x="75"/>
        <item x="76"/>
        <item x="77"/>
        <item x="78"/>
        <item x="79"/>
        <item x="80"/>
        <item x="82"/>
        <item x="83"/>
        <item x="84"/>
        <item x="85"/>
        <item x="86"/>
        <item x="87"/>
        <item x="88"/>
        <item x="89"/>
        <item x="90"/>
        <item x="91"/>
        <item x="92"/>
        <item x="93"/>
        <item x="94"/>
        <item x="95"/>
        <item x="96"/>
        <item x="97"/>
        <item x="98"/>
        <item x="99"/>
        <item x="100"/>
        <item x="101"/>
        <item x="102"/>
        <item x="103"/>
        <item x="104"/>
        <item x="105"/>
        <item x="106"/>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5"/>
        <item x="176"/>
        <item x="177"/>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m="1" x="921"/>
        <item x="348"/>
        <item x="349"/>
        <item x="350"/>
        <item x="351"/>
        <item x="352"/>
        <item x="354"/>
        <item x="355"/>
        <item x="356"/>
        <item x="357"/>
        <item x="262"/>
        <item x="358"/>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91"/>
        <item x="492"/>
        <item x="494"/>
        <item x="495"/>
        <item x="496"/>
        <item x="497"/>
        <item x="498"/>
        <item x="500"/>
        <item x="178"/>
        <item x="81"/>
        <item x="107"/>
        <item x="35"/>
        <item x="69"/>
        <item x="174"/>
        <item x="353"/>
        <item x="493"/>
        <item x="359"/>
        <item x="360"/>
        <item x="489"/>
        <item x="490"/>
        <item x="499"/>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m="1" x="919"/>
        <item x="806"/>
        <item x="807"/>
        <item x="808"/>
        <item x="809"/>
        <item x="810"/>
        <item x="811"/>
        <item x="812"/>
        <item x="813"/>
        <item x="814"/>
        <item x="815"/>
        <item x="816"/>
        <item x="817"/>
        <item x="818"/>
        <item x="819"/>
        <item x="820"/>
        <item x="821"/>
        <item x="822"/>
        <item m="1" x="920"/>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3"/>
        <item x="894"/>
        <item x="895"/>
        <item x="896"/>
        <item x="897"/>
        <item x="898"/>
        <item x="899"/>
        <item x="900"/>
        <item x="901"/>
        <item x="902"/>
        <item x="903"/>
        <item x="904"/>
        <item x="905"/>
        <item x="906"/>
        <item x="907"/>
        <item x="908"/>
        <item x="909"/>
        <item x="910"/>
        <item x="911"/>
        <item x="912"/>
        <item x="913"/>
        <item x="914"/>
        <item x="915"/>
        <item x="916"/>
        <item x="917"/>
        <item x="918"/>
        <item x="892"/>
        <item x="1"/>
        <item t="default"/>
      </items>
    </pivotField>
    <pivotField numFmtId="165" showAll="0">
      <items count="18">
        <item x="0"/>
        <item m="1" x="3"/>
        <item m="1" x="16"/>
        <item m="1" x="4"/>
        <item m="1" x="5"/>
        <item m="1" x="6"/>
        <item m="1" x="7"/>
        <item m="1" x="8"/>
        <item m="1" x="9"/>
        <item m="1" x="10"/>
        <item m="1" x="11"/>
        <item m="1" x="12"/>
        <item m="1" x="13"/>
        <item m="1" x="14"/>
        <item m="1" x="15"/>
        <item x="1"/>
        <item x="2"/>
        <item t="default"/>
      </items>
    </pivotField>
    <pivotField showAll="0"/>
    <pivotField axis="axisRow" showAll="0">
      <items count="109">
        <item sd="0" m="1" x="106"/>
        <item sd="0" x="5"/>
        <item sd="0" x="2"/>
        <item sd="0" m="1" x="105"/>
        <item sd="0" m="1" x="76"/>
        <item sd="0" m="1" x="95"/>
        <item sd="0" m="1" x="103"/>
        <item sd="0" x="8"/>
        <item sd="0" x="4"/>
        <item sd="0" x="0"/>
        <item sd="0" x="1"/>
        <item sd="0" x="7"/>
        <item sd="0" x="11"/>
        <item sd="0" m="1" x="90"/>
        <item sd="0" m="1" x="107"/>
        <item sd="0" m="1" x="79"/>
        <item sd="0" m="1" x="104"/>
        <item sd="0" m="1" x="102"/>
        <item sd="0" x="6"/>
        <item sd="0" m="1" x="96"/>
        <item sd="0" x="14"/>
        <item sd="0" m="1" x="75"/>
        <item sd="0" m="1" x="101"/>
        <item sd="0" x="16"/>
        <item sd="0" x="21"/>
        <item sd="0" x="22"/>
        <item sd="0" x="25"/>
        <item sd="0" x="26"/>
        <item sd="0" m="1" x="94"/>
        <item sd="0" m="1" x="82"/>
        <item sd="0" x="28"/>
        <item sd="0" x="33"/>
        <item sd="0" x="39"/>
        <item sd="0" m="1" x="72"/>
        <item sd="0" x="44"/>
        <item sd="0" m="1" x="100"/>
        <item sd="0" m="1" x="93"/>
        <item sd="0" m="1" x="97"/>
        <item sd="0" x="31"/>
        <item sd="0" m="1" x="98"/>
        <item sd="0" x="29"/>
        <item sd="0" m="1" x="99"/>
        <item sd="0" x="27"/>
        <item sd="0" x="51"/>
        <item sd="0" x="58"/>
        <item sd="0" x="46"/>
        <item sd="0" m="1" x="92"/>
        <item sd="0" m="1" x="91"/>
        <item sd="0" x="24"/>
        <item sd="0" x="57"/>
        <item sd="0" x="15"/>
        <item sd="0" x="34"/>
        <item sd="0" x="40"/>
        <item sd="0" m="1" x="89"/>
        <item sd="0" x="52"/>
        <item sd="0" x="10"/>
        <item sd="0" x="23"/>
        <item sd="0" x="45"/>
        <item sd="0" x="68"/>
        <item sd="0" x="55"/>
        <item sd="0" x="35"/>
        <item sd="0" m="1" x="73"/>
        <item sd="0" x="54"/>
        <item sd="0" x="36"/>
        <item sd="0" x="9"/>
        <item sd="0" x="53"/>
        <item sd="0" x="38"/>
        <item sd="0" m="1" x="88"/>
        <item sd="0" m="1" x="86"/>
        <item sd="0" x="48"/>
        <item sd="0" x="50"/>
        <item sd="0" x="56"/>
        <item sd="0" x="3"/>
        <item sd="0" x="60"/>
        <item sd="0" x="20"/>
        <item sd="0" x="30"/>
        <item sd="0" m="1" x="78"/>
        <item sd="0" m="1" x="87"/>
        <item sd="0" m="1" x="84"/>
        <item sd="0" x="32"/>
        <item sd="0" m="1" x="83"/>
        <item sd="0" m="1" x="74"/>
        <item sd="0" m="1" x="85"/>
        <item sd="0" x="13"/>
        <item sd="0" x="42"/>
        <item sd="0" x="41"/>
        <item sd="0" m="1" x="81"/>
        <item sd="0" x="37"/>
        <item sd="0" x="18"/>
        <item sd="0" x="49"/>
        <item sd="0" x="17"/>
        <item sd="0" x="19"/>
        <item sd="0" x="59"/>
        <item sd="0" m="1" x="80"/>
        <item sd="0" x="61"/>
        <item sd="0" m="1" x="77"/>
        <item sd="0" x="12"/>
        <item sd="0" x="47"/>
        <item sd="0" x="62"/>
        <item sd="0" x="64"/>
        <item sd="0" x="63"/>
        <item sd="0" x="65"/>
        <item sd="0" x="69"/>
        <item sd="0" x="66"/>
        <item sd="0" x="67"/>
        <item sd="0" x="70"/>
        <item sd="0" x="71"/>
        <item sd="0" x="43"/>
        <item t="default" sd="0"/>
      </items>
    </pivotField>
    <pivotField showAll="0"/>
    <pivotField showAll="0"/>
    <pivotField axis="axisRow" showAll="0">
      <items count="114">
        <item sd="0" m="1" x="106"/>
        <item sd="0" m="1" x="111"/>
        <item sd="0" m="1" x="79"/>
        <item sd="0" m="1" x="109"/>
        <item sd="0" x="9"/>
        <item sd="0" x="5"/>
        <item sd="0" x="7"/>
        <item sd="0" x="18"/>
        <item sd="0" m="1" x="93"/>
        <item sd="0" x="67"/>
        <item sd="0" m="1" x="110"/>
        <item sd="0" x="17"/>
        <item sd="0" x="0"/>
        <item sd="0" x="19"/>
        <item sd="0" x="4"/>
        <item sd="0" x="6"/>
        <item sd="0" x="3"/>
        <item sd="0" x="12"/>
        <item sd="0" x="8"/>
        <item sd="0" x="1"/>
        <item sd="0" x="20"/>
        <item sd="0" x="2"/>
        <item sd="0" m="1" x="112"/>
        <item sd="0" m="1" x="105"/>
        <item sd="0" m="1" x="104"/>
        <item sd="0" x="10"/>
        <item sd="0" x="15"/>
        <item sd="0" x="11"/>
        <item sd="0" x="16"/>
        <item sd="0" m="1" x="103"/>
        <item sd="0" m="1" x="102"/>
        <item sd="0" m="1" x="107"/>
        <item sd="0" m="1" x="89"/>
        <item sd="0" m="1" x="81"/>
        <item sd="0" x="66"/>
        <item sd="0" m="1" x="108"/>
        <item sd="0" m="1" x="86"/>
        <item sd="0" x="44"/>
        <item sd="0" m="1" x="90"/>
        <item sd="0" x="36"/>
        <item sd="0" x="45"/>
        <item sd="0" x="58"/>
        <item sd="0" x="23"/>
        <item sd="0" x="32"/>
        <item sd="0" m="1" x="96"/>
        <item sd="0" x="60"/>
        <item sd="0" m="1" x="82"/>
        <item sd="0" m="1" x="100"/>
        <item sd="0" x="37"/>
        <item sd="0" x="47"/>
        <item sd="0" m="1" x="88"/>
        <item sd="0" m="1" x="98"/>
        <item sd="0" x="53"/>
        <item sd="0" x="52"/>
        <item sd="0" m="1" x="80"/>
        <item sd="0" x="21"/>
        <item sd="0" x="54"/>
        <item sd="0" x="51"/>
        <item sd="0" x="78"/>
        <item sd="0" m="1" x="101"/>
        <item sd="0" x="39"/>
        <item sd="0" m="1" x="94"/>
        <item sd="0" x="40"/>
        <item sd="0" x="41"/>
        <item sd="0" x="38"/>
        <item sd="0" x="65"/>
        <item sd="0" m="1" x="83"/>
        <item sd="0" x="24"/>
        <item sd="0" x="42"/>
        <item sd="0" m="1" x="95"/>
        <item sd="0" x="43"/>
        <item sd="0" x="61"/>
        <item sd="0" m="1" x="92"/>
        <item sd="0" x="56"/>
        <item sd="0" m="1" x="91"/>
        <item sd="0" x="46"/>
        <item sd="0" m="1" x="87"/>
        <item sd="0" m="1" x="99"/>
        <item sd="0" x="49"/>
        <item sd="0" x="35"/>
        <item sd="0" x="22"/>
        <item sd="0" x="34"/>
        <item sd="0" m="1" x="97"/>
        <item sd="0" x="77"/>
        <item sd="0" x="50"/>
        <item sd="0" x="68"/>
        <item sd="0" x="63"/>
        <item sd="0" m="1" x="84"/>
        <item sd="0" m="1" x="85"/>
        <item sd="0" x="48"/>
        <item sd="0" x="13"/>
        <item sd="0" x="14"/>
        <item sd="0" x="33"/>
        <item sd="0" x="55"/>
        <item sd="0" x="57"/>
        <item sd="0" x="25"/>
        <item sd="0" x="26"/>
        <item sd="0" x="27"/>
        <item sd="0" x="28"/>
        <item sd="0" x="29"/>
        <item sd="0" x="30"/>
        <item sd="0" x="31"/>
        <item sd="0" x="59"/>
        <item sd="0" x="69"/>
        <item sd="0" x="70"/>
        <item sd="0" x="71"/>
        <item sd="0" x="72"/>
        <item sd="0" x="74"/>
        <item sd="0" x="75"/>
        <item sd="0" x="76"/>
        <item sd="0" x="73"/>
        <item x="64"/>
        <item x="62"/>
        <item t="default" sd="0"/>
      </items>
    </pivotField>
    <pivotField dataField="1" numFmtId="40" showAll="0"/>
    <pivotField showAll="0"/>
    <pivotField numFmtId="38" showAll="0"/>
    <pivotField showAll="0"/>
    <pivotField showAll="0"/>
    <pivotField showAll="0"/>
    <pivotField showAll="0"/>
    <pivotField showAll="0"/>
    <pivotField showAll="0">
      <items count="14">
        <item h="1" m="1" x="12"/>
        <item h="1" m="1" x="11"/>
        <item h="1" x="0"/>
        <item h="1" m="1" x="9"/>
        <item x="1"/>
        <item x="2"/>
        <item h="1" x="3"/>
        <item h="1" x="4"/>
        <item h="1" x="5"/>
        <item h="1" m="1" x="10"/>
        <item h="1" x="7"/>
        <item h="1" x="6"/>
        <item h="1" m="1" x="8"/>
        <item t="default"/>
      </items>
    </pivotField>
    <pivotField axis="axisRow" showAll="0">
      <items count="25">
        <item sd="0" x="1"/>
        <item sd="0" x="0"/>
        <item sd="0" x="2"/>
        <item sd="0" x="3"/>
        <item sd="0" x="6"/>
        <item sd="0" x="4"/>
        <item x="7"/>
        <item sd="0" m="1" x="20"/>
        <item sd="0" x="14"/>
        <item sd="0" x="10"/>
        <item sd="0" x="13"/>
        <item sd="0" x="18"/>
        <item sd="0" x="12"/>
        <item sd="0" x="11"/>
        <item sd="0" x="5"/>
        <item m="1" x="23"/>
        <item m="1" x="22"/>
        <item m="1" x="21"/>
        <item sd="0" x="8"/>
        <item sd="0" x="9"/>
        <item sd="0" x="16"/>
        <item sd="0" x="17"/>
        <item sd="0" x="15"/>
        <item sd="0" m="1" x="19"/>
        <item t="default"/>
      </items>
    </pivotField>
    <pivotField axis="axisRow" showAll="0" sortType="descending">
      <items count="16">
        <item m="1" x="13"/>
        <item x="11"/>
        <item sd="0" x="5"/>
        <item sd="0" x="0"/>
        <item x="8"/>
        <item x="7"/>
        <item x="6"/>
        <item sd="0" x="3"/>
        <item x="2"/>
        <item x="12"/>
        <item x="9"/>
        <item x="10"/>
        <item sd="0" x="4"/>
        <item sd="0" x="1"/>
        <item m="1" x="14"/>
        <item t="default"/>
      </items>
    </pivotField>
    <pivotField showAll="0"/>
    <pivotField showAll="0"/>
    <pivotField axis="axisCol" showAll="0">
      <items count="4">
        <item x="0"/>
        <item x="1"/>
        <item m="1"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5">
    <field x="16"/>
    <field x="6"/>
    <field x="3"/>
    <field x="17"/>
    <field x="0"/>
  </rowFields>
  <rowItems count="9">
    <i>
      <x v="2"/>
    </i>
    <i>
      <x v="3"/>
    </i>
    <i>
      <x v="4"/>
    </i>
    <i>
      <x v="5"/>
    </i>
    <i>
      <x v="9"/>
    </i>
    <i>
      <x v="10"/>
    </i>
    <i>
      <x v="12"/>
    </i>
    <i>
      <x v="13"/>
    </i>
    <i>
      <x v="14"/>
    </i>
  </rowItems>
  <colFields count="1">
    <field x="20"/>
  </colFields>
  <colItems count="3">
    <i>
      <x/>
    </i>
    <i>
      <x v="1"/>
    </i>
    <i t="grand">
      <x/>
    </i>
  </colItems>
  <dataFields count="1">
    <dataField name="Sum of Bal" fld="7" baseField="0" baseItem="0" numFmtId="40"/>
  </dataFields>
  <formats count="7">
    <format dxfId="547">
      <pivotArea collapsedLevelsAreSubtotals="1" fieldPosition="0">
        <references count="4">
          <reference field="3" count="1">
            <x v="33"/>
          </reference>
          <reference field="6" count="1" selected="0">
            <x v="64"/>
          </reference>
          <reference field="16" count="1" selected="0">
            <x v="6"/>
          </reference>
          <reference field="20" count="1" selected="0">
            <x v="1"/>
          </reference>
        </references>
      </pivotArea>
    </format>
    <format dxfId="546">
      <pivotArea field="16" grandCol="1" collapsedLevelsAreSubtotals="1" axis="axisRow" fieldPosition="0">
        <references count="2">
          <reference field="6" count="1">
            <x v="104"/>
          </reference>
          <reference field="16" count="1" selected="0">
            <x v="2"/>
          </reference>
        </references>
      </pivotArea>
    </format>
    <format dxfId="545">
      <pivotArea field="16" grandCol="1" collapsedLevelsAreSubtotals="1" axis="axisRow" fieldPosition="0">
        <references count="1">
          <reference field="16" count="1">
            <x v="12"/>
          </reference>
        </references>
      </pivotArea>
    </format>
    <format dxfId="544">
      <pivotArea field="16" grandCol="1" collapsedLevelsAreSubtotals="1" axis="axisRow" fieldPosition="0">
        <references count="1">
          <reference field="16" count="1">
            <x v="13"/>
          </reference>
        </references>
      </pivotArea>
    </format>
    <format dxfId="543">
      <pivotArea field="16" grandCol="1" collapsedLevelsAreSubtotals="1" axis="axisRow" fieldPosition="0">
        <references count="1">
          <reference field="16" count="1">
            <x v="12"/>
          </reference>
        </references>
      </pivotArea>
    </format>
    <format dxfId="542">
      <pivotArea field="16" grandCol="1" collapsedLevelsAreSubtotals="1" axis="axisRow" fieldPosition="0">
        <references count="1">
          <reference field="16" count="1">
            <x v="13"/>
          </reference>
        </references>
      </pivotArea>
    </format>
    <format dxfId="541">
      <pivotArea field="16" grandCol="1" collapsedLevelsAreSubtotals="1" axis="axisRow" fieldPosition="0">
        <references count="2">
          <reference field="6" count="1">
            <x v="104"/>
          </reference>
          <reference field="16"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9B1638-C3EE-4F0C-BD2B-4B8B8D0C2A54}" name="debug_pvt_inc" cacheId="51" applyNumberFormats="0" applyBorderFormats="0" applyFontFormats="0" applyPatternFormats="0" applyAlignmentFormats="0" applyWidthHeightFormats="1" dataCaption="Values" updatedVersion="8" minRefreshableVersion="3" itemPrintTitles="1" mergeItem="1" createdVersion="8" indent="0" outline="1" outlineData="1" multipleFieldFilters="0">
  <location ref="L3:T14" firstHeaderRow="1" firstDataRow="2" firstDataCol="1" rowPageCount="1" colPageCount="1"/>
  <pivotFields count="25">
    <pivotField axis="axisRow" showAll="0" measureFilter="1">
      <items count="923">
        <item x="0"/>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70"/>
        <item x="71"/>
        <item x="72"/>
        <item x="73"/>
        <item x="74"/>
        <item x="75"/>
        <item x="76"/>
        <item x="77"/>
        <item x="78"/>
        <item x="79"/>
        <item x="80"/>
        <item x="82"/>
        <item x="83"/>
        <item x="84"/>
        <item x="85"/>
        <item x="86"/>
        <item x="87"/>
        <item x="88"/>
        <item x="89"/>
        <item x="90"/>
        <item x="91"/>
        <item x="92"/>
        <item x="93"/>
        <item x="94"/>
        <item x="95"/>
        <item x="96"/>
        <item x="97"/>
        <item x="98"/>
        <item x="99"/>
        <item x="100"/>
        <item x="101"/>
        <item x="102"/>
        <item x="103"/>
        <item x="104"/>
        <item x="105"/>
        <item x="106"/>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5"/>
        <item x="176"/>
        <item x="177"/>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m="1" x="921"/>
        <item x="348"/>
        <item x="349"/>
        <item x="350"/>
        <item x="351"/>
        <item x="352"/>
        <item x="354"/>
        <item x="355"/>
        <item x="356"/>
        <item x="357"/>
        <item x="262"/>
        <item x="358"/>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91"/>
        <item x="492"/>
        <item x="494"/>
        <item x="495"/>
        <item x="496"/>
        <item x="497"/>
        <item x="498"/>
        <item x="500"/>
        <item x="178"/>
        <item x="81"/>
        <item x="107"/>
        <item x="35"/>
        <item x="69"/>
        <item x="174"/>
        <item x="353"/>
        <item x="493"/>
        <item x="359"/>
        <item x="360"/>
        <item x="489"/>
        <item x="490"/>
        <item x="499"/>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m="1" x="919"/>
        <item x="806"/>
        <item x="807"/>
        <item x="808"/>
        <item x="809"/>
        <item x="810"/>
        <item x="811"/>
        <item x="812"/>
        <item x="813"/>
        <item x="814"/>
        <item x="815"/>
        <item x="816"/>
        <item x="817"/>
        <item x="818"/>
        <item x="819"/>
        <item x="820"/>
        <item x="821"/>
        <item x="822"/>
        <item m="1" x="920"/>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3"/>
        <item x="894"/>
        <item x="895"/>
        <item x="896"/>
        <item x="897"/>
        <item x="898"/>
        <item x="899"/>
        <item x="900"/>
        <item x="901"/>
        <item x="902"/>
        <item x="903"/>
        <item x="904"/>
        <item x="905"/>
        <item x="906"/>
        <item x="907"/>
        <item x="908"/>
        <item x="909"/>
        <item x="910"/>
        <item x="911"/>
        <item x="912"/>
        <item x="913"/>
        <item x="914"/>
        <item x="915"/>
        <item x="916"/>
        <item x="917"/>
        <item x="918"/>
        <item x="892"/>
        <item x="1"/>
        <item t="default"/>
      </items>
    </pivotField>
    <pivotField numFmtId="165" showAll="0">
      <items count="18">
        <item x="0"/>
        <item m="1" x="3"/>
        <item m="1" x="16"/>
        <item m="1" x="4"/>
        <item m="1" x="5"/>
        <item m="1" x="6"/>
        <item m="1" x="7"/>
        <item m="1" x="8"/>
        <item m="1" x="9"/>
        <item m="1" x="10"/>
        <item m="1" x="11"/>
        <item m="1" x="12"/>
        <item m="1" x="13"/>
        <item m="1" x="14"/>
        <item m="1" x="15"/>
        <item x="1"/>
        <item x="2"/>
        <item t="default"/>
      </items>
    </pivotField>
    <pivotField showAll="0"/>
    <pivotField axis="axisRow" showAll="0" sortType="ascending">
      <items count="109">
        <item sd="0" m="1" x="72"/>
        <item sd="0" x="10"/>
        <item sd="0" x="5"/>
        <item sd="0" x="2"/>
        <item sd="0" m="1" x="105"/>
        <item sd="0" m="1" x="76"/>
        <item x="8"/>
        <item sd="0" m="1" x="95"/>
        <item sd="0" x="0"/>
        <item sd="0" x="4"/>
        <item x="1"/>
        <item sd="0" x="7"/>
        <item sd="0" x="11"/>
        <item sd="0" m="1" x="107"/>
        <item sd="0" m="1" x="90"/>
        <item sd="0" m="1" x="79"/>
        <item sd="0" m="1" x="106"/>
        <item sd="0" m="1" x="103"/>
        <item sd="0" m="1" x="104"/>
        <item sd="0" m="1" x="102"/>
        <item sd="0" x="14"/>
        <item sd="0" x="6"/>
        <item sd="0" m="1" x="96"/>
        <item sd="0" m="1" x="75"/>
        <item sd="0" m="1" x="101"/>
        <item sd="0" x="16"/>
        <item sd="0" x="21"/>
        <item sd="0" x="22"/>
        <item sd="0" x="25"/>
        <item sd="0" x="26"/>
        <item sd="0" m="1" x="94"/>
        <item sd="0" m="1" x="82"/>
        <item sd="0" x="33"/>
        <item sd="0" x="39"/>
        <item sd="0" x="44"/>
        <item sd="0" m="1" x="100"/>
        <item sd="0" m="1" x="93"/>
        <item sd="0" m="1" x="97"/>
        <item sd="0" x="35"/>
        <item sd="0" x="36"/>
        <item sd="0" x="47"/>
        <item sd="0" m="1" x="98"/>
        <item sd="0" x="29"/>
        <item sd="0" m="1" x="99"/>
        <item sd="0" x="40"/>
        <item sd="0" x="68"/>
        <item sd="0" m="1" x="89"/>
        <item sd="0" x="61"/>
        <item sd="0" x="28"/>
        <item x="52"/>
        <item sd="0" x="27"/>
        <item sd="0" x="51"/>
        <item sd="0" x="58"/>
        <item sd="0" x="46"/>
        <item sd="0" m="1" x="92"/>
        <item sd="0" m="1" x="91"/>
        <item sd="0" x="24"/>
        <item sd="0" x="57"/>
        <item sd="0" x="15"/>
        <item sd="0" x="34"/>
        <item sd="0" x="23"/>
        <item sd="0" x="45"/>
        <item sd="0" x="55"/>
        <item sd="0" m="1" x="73"/>
        <item sd="0" x="54"/>
        <item sd="0" x="9"/>
        <item sd="0" x="38"/>
        <item sd="0" m="1" x="88"/>
        <item sd="0" m="1" x="86"/>
        <item sd="0" x="48"/>
        <item sd="0" x="56"/>
        <item sd="0" x="3"/>
        <item sd="0" x="50"/>
        <item sd="0" x="60"/>
        <item sd="0" x="20"/>
        <item sd="0" x="30"/>
        <item m="1" x="78"/>
        <item sd="0" m="1" x="87"/>
        <item sd="0" m="1" x="84"/>
        <item sd="0" x="32"/>
        <item sd="0" m="1" x="83"/>
        <item sd="0" m="1" x="74"/>
        <item sd="0" m="1" x="85"/>
        <item sd="0" x="13"/>
        <item sd="0" x="42"/>
        <item sd="0" x="41"/>
        <item sd="0" m="1" x="81"/>
        <item sd="0" x="37"/>
        <item sd="0" x="18"/>
        <item sd="0" x="49"/>
        <item sd="0" x="17"/>
        <item sd="0" x="19"/>
        <item sd="0" x="59"/>
        <item sd="0" m="1" x="80"/>
        <item sd="0" m="1" x="77"/>
        <item sd="0" x="12"/>
        <item sd="0" x="62"/>
        <item sd="0" x="64"/>
        <item sd="0" x="63"/>
        <item sd="0" x="53"/>
        <item sd="0" x="65"/>
        <item sd="0" x="69"/>
        <item sd="0" x="66"/>
        <item sd="0" x="67"/>
        <item sd="0" x="70"/>
        <item sd="0" x="31"/>
        <item sd="0" x="71"/>
        <item x="43"/>
        <item t="default" sd="0"/>
      </items>
      <autoSortScope>
        <pivotArea dataOnly="0" outline="0" fieldPosition="0">
          <references count="1">
            <reference field="4294967294" count="1" selected="0">
              <x v="0"/>
            </reference>
          </references>
        </pivotArea>
      </autoSortScope>
    </pivotField>
    <pivotField showAll="0"/>
    <pivotField showAll="0"/>
    <pivotField showAll="0"/>
    <pivotField numFmtId="40" showAll="0"/>
    <pivotField showAll="0"/>
    <pivotField dataField="1" numFmtId="38" showAll="0"/>
    <pivotField showAll="0"/>
    <pivotField showAll="0"/>
    <pivotField showAll="0"/>
    <pivotField axis="axisRow" showAll="0">
      <items count="8">
        <item sd="0" x="3"/>
        <item sd="0" x="2"/>
        <item sd="0" x="4"/>
        <item sd="0" x="0"/>
        <item m="1" x="6"/>
        <item sd="0" x="1"/>
        <item sd="0" x="5"/>
        <item t="default"/>
      </items>
    </pivotField>
    <pivotField axis="axisRow" showAll="0">
      <items count="4">
        <item x="1"/>
        <item x="0"/>
        <item h="1" m="1" x="2"/>
        <item t="default"/>
      </items>
    </pivotField>
    <pivotField showAll="0"/>
    <pivotField showAll="0"/>
    <pivotField showAll="0">
      <items count="16">
        <item m="1" x="14"/>
        <item x="1"/>
        <item x="4"/>
        <item x="10"/>
        <item x="9"/>
        <item x="12"/>
        <item x="2"/>
        <item x="3"/>
        <item x="6"/>
        <item x="7"/>
        <item x="8"/>
        <item x="0"/>
        <item x="5"/>
        <item x="11"/>
        <item m="1" x="13"/>
        <item t="default"/>
      </items>
    </pivotField>
    <pivotField axis="axisCol" showAll="0">
      <items count="10">
        <item m="1" x="8"/>
        <item x="2"/>
        <item x="6"/>
        <item m="1" x="7"/>
        <item x="4"/>
        <item x="5"/>
        <item x="1"/>
        <item x="3"/>
        <item x="0"/>
        <item t="default"/>
      </items>
    </pivotField>
    <pivotField showAll="0"/>
    <pivotField axis="axisPage" multipleItemSelectionAllowed="1" showAll="0">
      <items count="4">
        <item x="1"/>
        <item m="1" x="2"/>
        <item x="0"/>
        <item t="default"/>
      </items>
    </pivotField>
    <pivotField axis="axisRow" showAll="0">
      <items count="15">
        <item x="0"/>
        <item sd="0"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5">
    <field x="21"/>
    <field x="14"/>
    <field x="13"/>
    <field x="3"/>
    <field x="0"/>
  </rowFields>
  <rowItems count="10">
    <i>
      <x v="1"/>
    </i>
    <i>
      <x v="2"/>
    </i>
    <i r="1">
      <x/>
    </i>
    <i r="2">
      <x/>
    </i>
    <i r="2">
      <x v="1"/>
    </i>
    <i r="2">
      <x v="5"/>
    </i>
    <i r="1">
      <x v="1"/>
    </i>
    <i r="2">
      <x v="2"/>
    </i>
    <i r="2">
      <x v="3"/>
    </i>
    <i t="grand">
      <x/>
    </i>
  </rowItems>
  <colFields count="1">
    <field x="18"/>
  </colFields>
  <colItems count="8">
    <i>
      <x v="1"/>
    </i>
    <i>
      <x v="2"/>
    </i>
    <i>
      <x v="4"/>
    </i>
    <i>
      <x v="5"/>
    </i>
    <i>
      <x v="6"/>
    </i>
    <i>
      <x v="7"/>
    </i>
    <i>
      <x v="8"/>
    </i>
    <i t="grand">
      <x/>
    </i>
  </colItems>
  <pageFields count="1">
    <pageField fld="20" hier="-1"/>
  </pageFields>
  <dataFields count="1">
    <dataField name="Sum of NetBal" fld="9" baseField="0" baseItem="0" numFmtId="40"/>
  </dataFields>
  <formats count="17">
    <format dxfId="564">
      <pivotArea collapsedLevelsAreSubtotals="1" fieldPosition="0">
        <references count="4">
          <reference field="3" count="1">
            <x v="12"/>
          </reference>
          <reference field="13" count="1" selected="0">
            <x v="1"/>
          </reference>
          <reference field="14" count="1" selected="0">
            <x v="0"/>
          </reference>
          <reference field="18" count="1" selected="0">
            <x v="1"/>
          </reference>
        </references>
      </pivotArea>
    </format>
    <format dxfId="563">
      <pivotArea outline="0" collapsedLevelsAreSubtotals="1" fieldPosition="0"/>
    </format>
    <format dxfId="562">
      <pivotArea collapsedLevelsAreSubtotals="1" fieldPosition="0">
        <references count="4">
          <reference field="3" count="1">
            <x v="60"/>
          </reference>
          <reference field="13" count="1" selected="0">
            <x v="0"/>
          </reference>
          <reference field="14" count="1" selected="0">
            <x v="0"/>
          </reference>
          <reference field="18" count="1" selected="0">
            <x v="5"/>
          </reference>
        </references>
      </pivotArea>
    </format>
    <format dxfId="561">
      <pivotArea collapsedLevelsAreSubtotals="1" fieldPosition="0">
        <references count="4">
          <reference field="3" count="1">
            <x v="83"/>
          </reference>
          <reference field="13" count="1" selected="0">
            <x v="5"/>
          </reference>
          <reference field="14" count="1" selected="0">
            <x v="0"/>
          </reference>
          <reference field="18" count="1" selected="0">
            <x v="8"/>
          </reference>
        </references>
      </pivotArea>
    </format>
    <format dxfId="560">
      <pivotArea collapsedLevelsAreSubtotals="1" fieldPosition="0">
        <references count="4">
          <reference field="3" count="1">
            <x v="25"/>
          </reference>
          <reference field="13" count="1" selected="0">
            <x v="5"/>
          </reference>
          <reference field="14" count="1" selected="0">
            <x v="0"/>
          </reference>
          <reference field="18" count="1" selected="0">
            <x v="7"/>
          </reference>
        </references>
      </pivotArea>
    </format>
    <format dxfId="559">
      <pivotArea collapsedLevelsAreSubtotals="1" fieldPosition="0">
        <references count="5">
          <reference field="0" count="1">
            <x v="217"/>
          </reference>
          <reference field="3" count="1" selected="0">
            <x v="53"/>
          </reference>
          <reference field="13" count="1" selected="0">
            <x v="5"/>
          </reference>
          <reference field="14" count="1" selected="0">
            <x v="0"/>
          </reference>
          <reference field="18" count="1" selected="0">
            <x v="7"/>
          </reference>
        </references>
      </pivotArea>
    </format>
    <format dxfId="558">
      <pivotArea collapsedLevelsAreSubtotals="1" fieldPosition="0">
        <references count="5">
          <reference field="0" count="1">
            <x v="217"/>
          </reference>
          <reference field="3" count="1" selected="0">
            <x v="53"/>
          </reference>
          <reference field="13" count="1" selected="0">
            <x v="5"/>
          </reference>
          <reference field="14" count="1" selected="0">
            <x v="0"/>
          </reference>
          <reference field="18" count="1" selected="0">
            <x v="7"/>
          </reference>
        </references>
      </pivotArea>
    </format>
    <format dxfId="557">
      <pivotArea dataOnly="0" labelOnly="1" fieldPosition="0">
        <references count="3">
          <reference field="3" count="1">
            <x v="5"/>
          </reference>
          <reference field="13" count="1" selected="0">
            <x v="5"/>
          </reference>
          <reference field="14" count="1" selected="0">
            <x v="0"/>
          </reference>
        </references>
      </pivotArea>
    </format>
    <format dxfId="556">
      <pivotArea collapsedLevelsAreSubtotals="1" fieldPosition="0">
        <references count="5">
          <reference field="0" count="1">
            <x v="316"/>
          </reference>
          <reference field="3" count="1" selected="0">
            <x v="105"/>
          </reference>
          <reference field="13" count="1" selected="0">
            <x v="1"/>
          </reference>
          <reference field="14" count="1" selected="0">
            <x v="0"/>
          </reference>
          <reference field="18" count="1" selected="0">
            <x v="1"/>
          </reference>
        </references>
      </pivotArea>
    </format>
    <format dxfId="555">
      <pivotArea collapsedLevelsAreSubtotals="1" fieldPosition="0">
        <references count="4">
          <reference field="3" count="1">
            <x v="39"/>
          </reference>
          <reference field="13" count="1" selected="0">
            <x v="1"/>
          </reference>
          <reference field="14" count="1" selected="0">
            <x v="0"/>
          </reference>
          <reference field="18" count="1" selected="0">
            <x v="4"/>
          </reference>
        </references>
      </pivotArea>
    </format>
    <format dxfId="554">
      <pivotArea collapsedLevelsAreSubtotals="1" fieldPosition="0">
        <references count="4">
          <reference field="3" count="1">
            <x v="76"/>
          </reference>
          <reference field="13" count="1" selected="0">
            <x v="1"/>
          </reference>
          <reference field="14" count="1" selected="0">
            <x v="0"/>
          </reference>
          <reference field="18" count="1" selected="0">
            <x v="4"/>
          </reference>
        </references>
      </pivotArea>
    </format>
    <format dxfId="553">
      <pivotArea collapsedLevelsAreSubtotals="1" fieldPosition="0">
        <references count="4">
          <reference field="3" count="1">
            <x v="60"/>
          </reference>
          <reference field="13" count="1" selected="0">
            <x v="0"/>
          </reference>
          <reference field="14" count="1" selected="0">
            <x v="0"/>
          </reference>
          <reference field="18" count="1" selected="0">
            <x v="5"/>
          </reference>
        </references>
      </pivotArea>
    </format>
    <format dxfId="552">
      <pivotArea collapsedLevelsAreSubtotals="1" fieldPosition="0">
        <references count="4">
          <reference field="3" count="1">
            <x v="25"/>
          </reference>
          <reference field="13" count="1" selected="0">
            <x v="5"/>
          </reference>
          <reference field="14" count="1" selected="0">
            <x v="0"/>
          </reference>
          <reference field="18" count="1" selected="0">
            <x v="7"/>
          </reference>
        </references>
      </pivotArea>
    </format>
    <format dxfId="551">
      <pivotArea collapsedLevelsAreSubtotals="1" fieldPosition="0">
        <references count="4">
          <reference field="3" count="1">
            <x v="83"/>
          </reference>
          <reference field="13" count="1" selected="0">
            <x v="5"/>
          </reference>
          <reference field="14" count="1" selected="0">
            <x v="0"/>
          </reference>
          <reference field="18" count="1" selected="0">
            <x v="8"/>
          </reference>
        </references>
      </pivotArea>
    </format>
    <format dxfId="550">
      <pivotArea collapsedLevelsAreSubtotals="1" fieldPosition="0">
        <references count="4">
          <reference field="3" count="1">
            <x v="1"/>
          </reference>
          <reference field="13" count="1" selected="0">
            <x v="0"/>
          </reference>
          <reference field="14" count="1" selected="0">
            <x v="0"/>
          </reference>
          <reference field="18" count="1" selected="0">
            <x v="4"/>
          </reference>
        </references>
      </pivotArea>
    </format>
    <format dxfId="549">
      <pivotArea collapsedLevelsAreSubtotals="1" fieldPosition="0">
        <references count="4">
          <reference field="3" count="1">
            <x v="1"/>
          </reference>
          <reference field="13" count="1" selected="0">
            <x v="0"/>
          </reference>
          <reference field="14" count="1" selected="0">
            <x v="0"/>
          </reference>
          <reference field="18" count="1" selected="0">
            <x v="4"/>
          </reference>
        </references>
      </pivotArea>
    </format>
    <format dxfId="548">
      <pivotArea collapsedLevelsAreSubtotals="1" fieldPosition="0">
        <references count="4">
          <reference field="3" count="1">
            <x v="39"/>
          </reference>
          <reference field="13" count="1" selected="0">
            <x v="1"/>
          </reference>
          <reference field="14" count="1" selected="0">
            <x v="0"/>
          </reference>
          <reference field="18" count="1" selected="0">
            <x v="4"/>
          </reference>
        </references>
      </pivotArea>
    </format>
  </formats>
  <pivotTableStyleInfo name="PivotStyleLight16" showRowHeaders="1" showColHeaders="1" showRowStripes="0" showColStripes="0" showLastColumn="1"/>
  <filters count="1">
    <filter fld="0" type="valueNotBetween" evalOrder="-1" id="1" iMeasureFld="0">
      <autoFilter ref="A1">
        <filterColumn colId="0">
          <customFilters>
            <customFilter operator="lessThan" val="-1E-4"/>
            <customFilter operator="greaterThan" val="1E-4"/>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6B7771-E2BB-4B00-A506-AF7420A21A62}" name="PivotTable2" cacheId="51" applyNumberFormats="0" applyBorderFormats="0" applyFontFormats="0" applyPatternFormats="0" applyAlignmentFormats="0" applyWidthHeightFormats="1" dataCaption="Values" updatedVersion="8" minRefreshableVersion="3" colGrandTotals="0" itemPrintTitles="1" mergeItem="1" createdVersion="8" indent="0" outline="1" outlineData="1" multipleFieldFilters="0">
  <location ref="I3:M23" firstHeaderRow="1" firstDataRow="3" firstDataCol="1" rowPageCount="1" colPageCount="1"/>
  <pivotFields count="25">
    <pivotField showAll="0"/>
    <pivotField numFmtId="165" showAll="0">
      <items count="18">
        <item x="0"/>
        <item m="1" x="3"/>
        <item m="1" x="16"/>
        <item m="1" x="4"/>
        <item m="1" x="5"/>
        <item m="1" x="6"/>
        <item m="1" x="7"/>
        <item m="1" x="8"/>
        <item m="1" x="9"/>
        <item m="1" x="10"/>
        <item m="1" x="11"/>
        <item m="1" x="12"/>
        <item m="1" x="13"/>
        <item m="1" x="14"/>
        <item m="1" x="15"/>
        <item x="1"/>
        <item x="2"/>
        <item t="default"/>
      </items>
    </pivotField>
    <pivotField showAll="0"/>
    <pivotField showAll="0"/>
    <pivotField showAll="0">
      <items count="15">
        <item x="1"/>
        <item x="0"/>
        <item x="5"/>
        <item x="6"/>
        <item x="12"/>
        <item x="2"/>
        <item x="9"/>
        <item x="10"/>
        <item x="4"/>
        <item x="7"/>
        <item x="3"/>
        <item x="8"/>
        <item x="11"/>
        <item m="1" x="13"/>
        <item t="default"/>
      </items>
    </pivotField>
    <pivotField showAll="0"/>
    <pivotField axis="axisRow" showAll="0" measureFilter="1">
      <items count="114">
        <item m="1" x="106"/>
        <item m="1" x="111"/>
        <item m="1" x="79"/>
        <item m="1" x="109"/>
        <item x="9"/>
        <item x="5"/>
        <item x="7"/>
        <item x="18"/>
        <item m="1" x="93"/>
        <item x="66"/>
        <item x="67"/>
        <item m="1" x="110"/>
        <item x="17"/>
        <item x="0"/>
        <item x="19"/>
        <item x="4"/>
        <item x="6"/>
        <item x="3"/>
        <item x="12"/>
        <item x="8"/>
        <item x="1"/>
        <item x="20"/>
        <item x="2"/>
        <item m="1" x="112"/>
        <item m="1" x="105"/>
        <item m="1" x="104"/>
        <item x="10"/>
        <item x="15"/>
        <item x="11"/>
        <item x="16"/>
        <item m="1" x="103"/>
        <item m="1" x="102"/>
        <item m="1" x="107"/>
        <item m="1" x="81"/>
        <item m="1" x="108"/>
        <item m="1" x="86"/>
        <item x="22"/>
        <item x="44"/>
        <item m="1" x="90"/>
        <item x="36"/>
        <item x="45"/>
        <item x="58"/>
        <item x="23"/>
        <item x="32"/>
        <item m="1" x="96"/>
        <item x="60"/>
        <item m="1" x="82"/>
        <item m="1" x="100"/>
        <item x="37"/>
        <item x="47"/>
        <item m="1" x="88"/>
        <item m="1" x="98"/>
        <item x="53"/>
        <item x="52"/>
        <item m="1" x="80"/>
        <item x="21"/>
        <item x="78"/>
        <item m="1" x="101"/>
        <item x="39"/>
        <item m="1" x="94"/>
        <item x="40"/>
        <item x="41"/>
        <item x="38"/>
        <item x="65"/>
        <item m="1" x="83"/>
        <item x="24"/>
        <item x="42"/>
        <item m="1" x="95"/>
        <item x="43"/>
        <item x="61"/>
        <item m="1" x="92"/>
        <item x="56"/>
        <item m="1" x="91"/>
        <item x="46"/>
        <item m="1" x="87"/>
        <item m="1" x="99"/>
        <item x="35"/>
        <item x="34"/>
        <item m="1" x="97"/>
        <item x="77"/>
        <item m="1" x="89"/>
        <item x="54"/>
        <item x="51"/>
        <item x="49"/>
        <item x="50"/>
        <item x="68"/>
        <item x="63"/>
        <item m="1" x="84"/>
        <item m="1" x="85"/>
        <item x="48"/>
        <item x="13"/>
        <item x="14"/>
        <item x="33"/>
        <item x="55"/>
        <item x="57"/>
        <item x="25"/>
        <item x="26"/>
        <item x="27"/>
        <item x="28"/>
        <item x="29"/>
        <item x="30"/>
        <item x="31"/>
        <item x="59"/>
        <item x="69"/>
        <item x="70"/>
        <item x="71"/>
        <item x="72"/>
        <item x="74"/>
        <item x="75"/>
        <item x="76"/>
        <item x="73"/>
        <item x="64"/>
        <item x="62"/>
        <item t="default"/>
      </items>
    </pivotField>
    <pivotField dataField="1" numFmtId="40" showAll="0"/>
    <pivotField showAll="0"/>
    <pivotField numFmtId="38" showAll="0"/>
    <pivotField axis="axisCol" showAll="0">
      <items count="4">
        <item x="0"/>
        <item x="1"/>
        <item m="1" x="2"/>
        <item t="default"/>
      </items>
    </pivotField>
    <pivotField showAll="0"/>
    <pivotField showAll="0"/>
    <pivotField showAll="0"/>
    <pivotField showAll="0"/>
    <pivotField axis="axisRow" showAll="0" sortType="ascending">
      <items count="14">
        <item m="1" x="12"/>
        <item m="1" x="11"/>
        <item x="0"/>
        <item m="1" x="9"/>
        <item sd="0" x="1"/>
        <item sd="0" x="2"/>
        <item x="3"/>
        <item sd="0" x="4"/>
        <item sd="0" x="5"/>
        <item m="1" x="10"/>
        <item sd="0" x="7"/>
        <item x="6"/>
        <item m="1" x="8"/>
        <item t="default"/>
      </items>
    </pivotField>
    <pivotField axis="axisRow" showAll="0">
      <items count="25">
        <item x="15"/>
        <item sd="0" x="16"/>
        <item sd="0" x="17"/>
        <item sd="0" x="10"/>
        <item sd="0" x="12"/>
        <item sd="0" x="11"/>
        <item sd="0" x="13"/>
        <item sd="0" m="1" x="23"/>
        <item sd="0" x="2"/>
        <item sd="0" m="1" x="22"/>
        <item sd="0" x="7"/>
        <item x="8"/>
        <item sd="0" x="9"/>
        <item sd="0" x="0"/>
        <item sd="0" x="1"/>
        <item m="1" x="20"/>
        <item m="1" x="19"/>
        <item sd="0" x="5"/>
        <item sd="0" x="4"/>
        <item sd="0" x="14"/>
        <item sd="0" x="3"/>
        <item sd="0" m="1" x="21"/>
        <item sd="0" x="18"/>
        <item x="6"/>
        <item t="default" sd="0"/>
      </items>
    </pivotField>
    <pivotField showAll="0"/>
    <pivotField showAll="0"/>
    <pivotField axis="axisPage" showAll="0">
      <items count="4">
        <item m="1" x="2"/>
        <item x="0"/>
        <item m="1"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3">
    <field x="15"/>
    <field x="16"/>
    <field x="6"/>
  </rowFields>
  <rowItems count="18">
    <i>
      <x v="2"/>
    </i>
    <i r="1">
      <x v="13"/>
    </i>
    <i r="1">
      <x v="14"/>
    </i>
    <i r="1">
      <x v="19"/>
    </i>
    <i>
      <x v="4"/>
    </i>
    <i>
      <x v="5"/>
    </i>
    <i>
      <x v="6"/>
    </i>
    <i r="1">
      <x v="10"/>
    </i>
    <i r="1">
      <x v="22"/>
    </i>
    <i>
      <x v="7"/>
    </i>
    <i>
      <x v="8"/>
    </i>
    <i>
      <x v="10"/>
    </i>
    <i>
      <x v="11"/>
    </i>
    <i r="1">
      <x/>
    </i>
    <i r="2">
      <x v="45"/>
    </i>
    <i r="2">
      <x v="111"/>
    </i>
    <i r="1">
      <x v="1"/>
    </i>
    <i t="grand">
      <x/>
    </i>
  </rowItems>
  <colFields count="2">
    <field x="10"/>
    <field x="-2"/>
  </colFields>
  <colItems count="4">
    <i>
      <x/>
      <x/>
    </i>
    <i r="1" i="1">
      <x v="1"/>
    </i>
    <i>
      <x v="1"/>
      <x/>
    </i>
    <i r="1" i="1">
      <x v="1"/>
    </i>
  </colItems>
  <pageFields count="1">
    <pageField fld="19" item="1" hier="-1"/>
  </pageFields>
  <dataFields count="2">
    <dataField name="Sum of Bal" fld="7" baseField="0" baseItem="0" numFmtId="38"/>
    <dataField name="perc" fld="7" showDataAs="percentOfCol" baseField="16" baseItem="3" numFmtId="10"/>
  </dataFields>
  <conditionalFormats count="1">
    <conditionalFormat priority="1">
      <pivotAreas count="2">
        <pivotArea type="data" outline="0" collapsedLevelsAreSubtotals="1" fieldPosition="0">
          <references count="2">
            <reference field="4294967294" count="1" selected="0">
              <x v="1"/>
            </reference>
            <reference field="10" count="1" selected="0">
              <x v="0"/>
            </reference>
          </references>
        </pivotArea>
        <pivotArea type="data" outline="0" collapsedLevelsAreSubtotals="1" fieldPosition="0">
          <references count="2">
            <reference field="4294967294" count="1" selected="0">
              <x v="1"/>
            </reference>
            <reference field="10" count="1" selected="0">
              <x v="1"/>
            </reference>
          </references>
        </pivotArea>
      </pivotAreas>
    </conditionalFormat>
  </conditionalFormats>
  <pivotTableStyleInfo name="PivotStyleLight16" showRowHeaders="1" showColHeaders="1" showRowStripes="0" showColStripes="0" showLastColumn="1"/>
  <filters count="1">
    <filter fld="6" type="valueNotBetween" evalOrder="-1" id="1" iMeasureFld="0">
      <autoFilter ref="A1">
        <filterColumn colId="0">
          <customFilters>
            <customFilter operator="lessThan" val="-1E-3"/>
            <customFilter operator="greaterThan" val="1E-3"/>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D4C7E6-EA85-42E3-8244-8DCA6C04FEEF}" name="数据透视表1" cacheId="51" applyNumberFormats="0" applyBorderFormats="0" applyFontFormats="0" applyPatternFormats="0" applyAlignmentFormats="0" applyWidthHeightFormats="1" dataCaption="值" updatedVersion="8" minRefreshableVersion="3" itemPrintTitles="1" mergeItem="1" createdVersion="8" indent="0" outline="1" outlineData="1" multipleFieldFilters="0">
  <location ref="H25:P31" firstHeaderRow="1" firstDataRow="2" firstDataCol="1"/>
  <pivotFields count="25">
    <pivotField showAll="0"/>
    <pivotField numFmtId="165" showAll="0">
      <items count="18">
        <item x="0"/>
        <item m="1" x="3"/>
        <item m="1" x="16"/>
        <item m="1" x="4"/>
        <item m="1" x="5"/>
        <item m="1" x="6"/>
        <item m="1" x="7"/>
        <item m="1" x="8"/>
        <item m="1" x="9"/>
        <item m="1" x="10"/>
        <item m="1" x="11"/>
        <item m="1" x="12"/>
        <item m="1" x="13"/>
        <item m="1" x="14"/>
        <item m="1" x="15"/>
        <item x="1"/>
        <item x="2"/>
        <item t="default"/>
      </items>
    </pivotField>
    <pivotField showAll="0"/>
    <pivotField axis="axisRow" showAll="0" sortType="ascending">
      <items count="109">
        <item x="30"/>
        <item x="47"/>
        <item x="56"/>
        <item m="1" x="76"/>
        <item x="21"/>
        <item x="54"/>
        <item x="11"/>
        <item x="40"/>
        <item x="64"/>
        <item m="1" x="72"/>
        <item x="2"/>
        <item x="39"/>
        <item x="25"/>
        <item x="38"/>
        <item x="1"/>
        <item x="4"/>
        <item x="70"/>
        <item x="29"/>
        <item x="22"/>
        <item x="10"/>
        <item m="1" x="89"/>
        <item x="18"/>
        <item m="1" x="79"/>
        <item m="1" x="77"/>
        <item m="1" x="106"/>
        <item m="1" x="105"/>
        <item x="19"/>
        <item x="71"/>
        <item x="7"/>
        <item x="52"/>
        <item m="1" x="96"/>
        <item x="44"/>
        <item x="31"/>
        <item m="1" x="84"/>
        <item x="63"/>
        <item x="3"/>
        <item m="1" x="95"/>
        <item x="0"/>
        <item m="1" x="99"/>
        <item m="1" x="91"/>
        <item x="68"/>
        <item x="45"/>
        <item x="62"/>
        <item m="1" x="92"/>
        <item x="37"/>
        <item x="28"/>
        <item m="1" x="102"/>
        <item x="67"/>
        <item x="15"/>
        <item x="20"/>
        <item x="66"/>
        <item x="42"/>
        <item x="36"/>
        <item x="23"/>
        <item m="1" x="80"/>
        <item x="5"/>
        <item x="49"/>
        <item x="48"/>
        <item x="16"/>
        <item m="1" x="101"/>
        <item m="1" x="73"/>
        <item x="57"/>
        <item x="35"/>
        <item x="60"/>
        <item x="33"/>
        <item x="69"/>
        <item m="1" x="87"/>
        <item x="24"/>
        <item m="1" x="83"/>
        <item m="1" x="81"/>
        <item x="65"/>
        <item m="1" x="82"/>
        <item x="34"/>
        <item x="50"/>
        <item m="1" x="98"/>
        <item x="51"/>
        <item m="1" x="97"/>
        <item m="1" x="94"/>
        <item x="27"/>
        <item x="58"/>
        <item x="32"/>
        <item m="1" x="74"/>
        <item x="9"/>
        <item m="1" x="85"/>
        <item m="1" x="90"/>
        <item m="1" x="93"/>
        <item m="1" x="107"/>
        <item m="1" x="103"/>
        <item x="14"/>
        <item m="1" x="75"/>
        <item x="6"/>
        <item x="53"/>
        <item m="1" x="88"/>
        <item x="13"/>
        <item m="1" x="86"/>
        <item x="59"/>
        <item x="61"/>
        <item x="41"/>
        <item x="12"/>
        <item x="17"/>
        <item x="26"/>
        <item x="46"/>
        <item m="1" x="78"/>
        <item x="8"/>
        <item x="55"/>
        <item m="1" x="104"/>
        <item m="1" x="100"/>
        <item x="4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axis="axisRow" showAll="0">
      <items count="8">
        <item m="1" x="6"/>
        <item sd="0" x="3"/>
        <item sd="0" x="2"/>
        <item x="4"/>
        <item sd="0" x="1"/>
        <item x="5"/>
        <item x="0"/>
        <item t="default"/>
      </items>
    </pivotField>
    <pivotField axis="axisRow" showAll="0">
      <items count="4">
        <item x="1"/>
        <item h="1" x="0"/>
        <item h="1" m="1" x="2"/>
        <item t="default"/>
      </items>
    </pivotField>
    <pivotField showAll="0"/>
    <pivotField showAll="0"/>
    <pivotField showAll="0"/>
    <pivotField axis="axisCol" showAll="0">
      <items count="10">
        <item x="2"/>
        <item x="6"/>
        <item m="1" x="8"/>
        <item x="4"/>
        <item x="5"/>
        <item x="1"/>
        <item m="1" x="7"/>
        <item x="0"/>
        <item x="3"/>
        <item t="default"/>
      </items>
    </pivotField>
    <pivotField showAll="0"/>
    <pivotField showAll="0"/>
    <pivotField showAll="0" defaultSubtotal="0"/>
    <pivotField showAll="0" defaultSubtotal="0"/>
    <pivotField showAll="0" defaultSubtotal="0">
      <items count="4">
        <item x="0"/>
        <item x="1"/>
        <item x="2"/>
        <item x="3"/>
      </items>
    </pivotField>
    <pivotField dataField="1" dragToRow="0" dragToCol="0" dragToPage="0" showAll="0" defaultSubtotal="0"/>
  </pivotFields>
  <rowFields count="3">
    <field x="14"/>
    <field x="13"/>
    <field x="3"/>
  </rowFields>
  <rowItems count="5">
    <i>
      <x/>
    </i>
    <i r="1">
      <x v="1"/>
    </i>
    <i r="1">
      <x v="2"/>
    </i>
    <i r="1">
      <x v="4"/>
    </i>
    <i t="grand">
      <x/>
    </i>
  </rowItems>
  <colFields count="1">
    <field x="18"/>
  </colFields>
  <colItems count="8">
    <i>
      <x/>
    </i>
    <i>
      <x v="1"/>
    </i>
    <i>
      <x v="3"/>
    </i>
    <i>
      <x v="4"/>
    </i>
    <i>
      <x v="5"/>
    </i>
    <i>
      <x v="7"/>
    </i>
    <i>
      <x v="8"/>
    </i>
    <i t="grand">
      <x/>
    </i>
  </colItems>
  <dataFields count="1">
    <dataField name="求和项:perc_rev" fld="24" baseField="0" baseItem="0" numFmtId="169"/>
  </dataFields>
  <formats count="1">
    <format dxfId="587">
      <pivotArea outline="0" collapsedLevelsAreSubtotals="1" fieldPosition="0"/>
    </format>
  </formats>
  <conditionalFormats count="1">
    <conditionalFormat priority="6">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BSLv2" xr10:uid="{2240E3B7-FFF7-4A5D-954D-858B63168181}" sourceName="NameBSLv2">
  <pivotTables>
    <pivotTable tabId="4" name="debug_pvt_item"/>
  </pivotTables>
  <data>
    <tabular pivotCacheId="739966343" showMissing="0" crossFilter="showItemsWithNoData">
      <items count="13">
        <i x="0"/>
        <i x="1" s="1"/>
        <i x="2" s="1"/>
        <i x="3"/>
        <i x="4"/>
        <i x="5"/>
        <i x="7"/>
        <i x="6"/>
        <i x="12" nd="1"/>
        <i x="11" nd="1"/>
        <i x="9" nd="1"/>
        <i x="10" nd="1"/>
        <i x="8"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切片器_TrxDate" xr10:uid="{03B0B42C-527C-428E-BD22-4B59B924D638}" sourceName="TrxDate">
  <pivotTables>
    <pivotTable tabId="4" name="debug_pvt_inc"/>
    <pivotTable tabId="4" name="debug_pvt_item"/>
  </pivotTables>
  <data>
    <tabular pivotCacheId="739966343" showMissing="0" crossFilter="showItemsWithNoData">
      <items count="17">
        <i x="0" s="1"/>
        <i x="1" s="1"/>
        <i x="2" s="1"/>
        <i x="3" s="1" nd="1"/>
        <i x="16" s="1" nd="1"/>
        <i x="4" s="1" nd="1"/>
        <i x="5" s="1" nd="1"/>
        <i x="6" s="1" nd="1"/>
        <i x="7" s="1" nd="1"/>
        <i x="8" s="1" nd="1"/>
        <i x="9" s="1" nd="1"/>
        <i x="10" s="1" nd="1"/>
        <i x="11" s="1" nd="1"/>
        <i x="12" s="1" nd="1"/>
        <i x="13" s="1" nd="1"/>
        <i x="14" s="1" nd="1"/>
        <i x="1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切片器_Vehicle1" xr10:uid="{ACEF466A-2D0B-445A-8781-FDCD8391394A}" sourceName="Vehicle">
  <pivotTables>
    <pivotTable tabId="5" name="PivotTable2"/>
  </pivotTables>
  <data>
    <tabular pivotCacheId="739966343" showMissing="0" crossFilter="showItemsWithNoData">
      <items count="14">
        <i x="1" s="1"/>
        <i x="0" s="1"/>
        <i x="5" s="1"/>
        <i x="6" s="1"/>
        <i x="12" s="1"/>
        <i x="2" s="1"/>
        <i x="9" s="1"/>
        <i x="10" s="1"/>
        <i x="4" s="1"/>
        <i x="7" s="1"/>
        <i x="3" s="1"/>
        <i x="8" s="1"/>
        <i x="11" s="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切片器_NameVehicle" xr10:uid="{E90439A0-2789-4012-BF38-669D5F69F4D6}" sourceName="NameVehicle">
  <pivotTables>
    <pivotTable tabId="4" name="debug_pvt_inc"/>
    <pivotTable tabId="4" name="debug_pvt_item"/>
  </pivotTables>
  <data>
    <tabular pivotCacheId="739966343" showMissing="0" crossFilter="showItemsWithNoData">
      <items count="15">
        <i x="1" s="1"/>
        <i x="4" s="1"/>
        <i x="10" s="1"/>
        <i x="9" s="1"/>
        <i x="12" s="1"/>
        <i x="2" s="1"/>
        <i x="3" s="1"/>
        <i x="6" s="1"/>
        <i x="7" s="1"/>
        <i x="8" s="1"/>
        <i x="0" s="1"/>
        <i x="5" s="1"/>
        <i x="11" s="1"/>
        <i x="14"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切片器_IncType" xr10:uid="{DF82322B-7678-41B4-8ABB-7EF752E39033}" sourceName="IncType">
  <pivotTables>
    <pivotTable tabId="4" name="debug_pvt_inc"/>
  </pivotTables>
  <data>
    <tabular pivotCacheId="739966343" showMissing="0" crossFilter="showItemsWithNoData">
      <items count="3">
        <i x="0" s="1"/>
        <i x="1" s="1"/>
        <i x="2"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切片器_IncType1" xr10:uid="{606D8570-E521-4254-9BB3-425CB660981A}" sourceName="IncType">
  <pivotTables>
    <pivotTable tabId="7" name="数据透视表1"/>
  </pivotTables>
  <data>
    <tabular pivotCacheId="739966343" showMissing="0" crossFilter="showItemsWithNoData">
      <items count="3">
        <i x="0"/>
        <i x="1" s="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BSLv2" xr10:uid="{F1737169-4F51-405A-9393-CCC7EBB0D9F0}" cache="Slicer_NameBSLv2" caption="NameBSLv2" columnCount="3" rowHeight="241300"/>
  <slicer name="TrxDate" xr10:uid="{3E787AD4-D75C-47BE-B656-DC29D1170C7D}" cache="切片器_TrxDate" caption="TrxDate" rowHeight="209550"/>
  <slicer name="NameVehicle 1" xr10:uid="{DB713D74-FB9A-46EE-BE40-D5DBE10A8EBB}" cache="切片器_NameVehicle" caption="NameVehicle" rowHeight="209550"/>
  <slicer name="NameVehicle" xr10:uid="{40A647C9-B039-46EB-BB8B-AB447C7D26C4}" cache="切片器_NameVehicle" caption="NameVehicle" columnCount="3" rowHeight="241300"/>
  <slicer name="IncType" xr10:uid="{B99B4FE4-442F-43EF-B66D-D9C5F6430498}" cache="切片器_IncType" caption="IncType" columnCount="2"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hicle 1" xr10:uid="{D56FC6EA-CD0F-4A4F-9075-377BF0FEBA7F}" cache="切片器_Vehicle1" caption="Vehicle" rowHeight="2095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Type 2" xr10:uid="{9A88A1DC-F86E-45B8-B077-8880E96950A5}" cache="切片器_IncType1" caption="IncType" columnCount="2"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F826C62-4584-4E24-9160-0FB9E1AF4820}" name="表8" displayName="表8" ref="A1:C31" totalsRowShown="0" headerRowDxfId="586">
  <autoFilter ref="A1:C31" xr:uid="{2F826C62-4584-4E24-9160-0FB9E1AF4820}"/>
  <sortState xmlns:xlrd2="http://schemas.microsoft.com/office/spreadsheetml/2017/richdata2" ref="A2:C31">
    <sortCondition ref="C1:C31"/>
  </sortState>
  <tableColumns count="3">
    <tableColumn id="1" xr3:uid="{38ACFBA0-DDA4-44B2-96D7-AA39BCCADF39}" name="Action" dataDxfId="585"/>
    <tableColumn id="2" xr3:uid="{B6F9B8D2-2354-4F72-8950-772E847F37EC}" name="说明"/>
    <tableColumn id="3" xr3:uid="{0377E75F-C006-4FD0-9E36-5847D81A8776}" name="是否影响损益" dataDxfId="584"/>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F533FC8-310C-41C0-928F-D08C3A20A45E}" name="表9" displayName="表9" ref="E1:F54" totalsRowShown="0" headerRowDxfId="583">
  <autoFilter ref="E1:F54" xr:uid="{0F533FC8-310C-41C0-928F-D08C3A20A45E}"/>
  <tableColumns count="2">
    <tableColumn id="1" xr3:uid="{1DC03F63-0FCF-48DA-A5C2-950FF350C495}" name="Item" dataDxfId="582"/>
    <tableColumn id="2" xr3:uid="{86DA197E-F7DD-45DA-96CC-3D8402B07483}" name="说明"/>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7209837-6C83-4BBC-9E05-466D8E45337D}" name="Trx" displayName="Trx" ref="A1:G921" totalsRowShown="0" headerRowDxfId="581">
  <autoFilter ref="A1:G921" xr:uid="{07209837-6C83-4BBC-9E05-466D8E45337D}"/>
  <tableColumns count="7">
    <tableColumn id="1" xr3:uid="{F105BBBA-07BE-48EE-817A-250E3814BDFC}" name="Id"/>
    <tableColumn id="2" xr3:uid="{90198A57-84E0-4FF2-A6FA-AA81A96E49BD}" name="Date" dataDxfId="580"/>
    <tableColumn id="3" xr3:uid="{231C793D-9C6F-4B89-BC6D-1DCF5630A11C}" name="Division"/>
    <tableColumn id="4" xr3:uid="{1B3E9F40-C03A-4F2E-9F41-F9C4897D65AE}" name="Action"/>
    <tableColumn id="5" xr3:uid="{AC6C4E64-35C5-42B2-9EEB-564E7390898A}" name="IncNode"/>
    <tableColumn id="7" xr3:uid="{AD9616C7-DF9F-44F2-8FF5-D1402BFED68D}" name="Tag"/>
    <tableColumn id="6" xr3:uid="{8226D3E3-BBA5-4E7C-9525-8B6205AB704A}" name="Not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83E67F7-A626-4EB3-9931-2B8E4332E50D}" name="Jnl" displayName="Jnl" ref="A1:U1542" totalsRowShown="0" headerRowDxfId="579">
  <autoFilter ref="A1:U1542" xr:uid="{783E67F7-A626-4EB3-9931-2B8E4332E50D}"/>
  <tableColumns count="21">
    <tableColumn id="1" xr3:uid="{71B2C84B-D5B0-48D0-AF75-7AA4E674435E}" name="TrxId"/>
    <tableColumn id="2" xr3:uid="{7F3BB002-49F0-4622-91C3-EDE1BB39E037}" name="TrxDate" dataDxfId="578">
      <calculatedColumnFormula>_xlfn.XLOOKUP(Jnl[[#This Row],[TrxId]], Trx[Id], Trx[Date],,0)</calculatedColumnFormula>
    </tableColumn>
    <tableColumn id="3" xr3:uid="{5019CCD8-C251-41B8-8C65-1CECE1FEB799}" name="Division" dataDxfId="577">
      <calculatedColumnFormula>_xlfn.XLOOKUP(Jnl[[#This Row],[TrxId]], Trx[Id], Trx[Division],,0)</calculatedColumnFormula>
    </tableColumn>
    <tableColumn id="4" xr3:uid="{E7CB1B45-6F0A-4E0A-A77F-E495B0819870}" name="Action" dataDxfId="576">
      <calculatedColumnFormula>_xlfn.XLOOKUP(Jnl[[#This Row],[TrxId]], Trx[Id], Trx[Action],,0)</calculatedColumnFormula>
    </tableColumn>
    <tableColumn id="15" xr3:uid="{0610E7A0-7523-45EB-923A-5338328D8C72}" name="Vehicle" dataDxfId="575"/>
    <tableColumn id="5" xr3:uid="{88A5FA68-A048-4D06-AB82-9CA2F2E65F13}" name="Acct"/>
    <tableColumn id="6" xr3:uid="{8AFDC351-60CD-4DB0-A113-1B63BA458362}" name="Item" dataDxfId="574"/>
    <tableColumn id="7" xr3:uid="{FB5E3CB7-3053-4DE8-9454-AD102CDEA2EE}" name="Bal" dataDxfId="573"/>
    <tableColumn id="9" xr3:uid="{474871EF-24BE-4230-A2C9-7BD22A94BE52}" name="IsValid" dataDxfId="572">
      <calculatedColumnFormula>AND(Jnl[[#This Row],[TrxId]]&lt;&gt;"",Jnl[[#This Row],[Acct]]&lt;&gt;"",Jnl[[#This Row],[Item]]&lt;&gt;"",ISNUMBER(Jnl[[#This Row],[Bal]]))</calculatedColumnFormula>
    </tableColumn>
    <tableColumn id="8" xr3:uid="{44F3569E-1FE6-44B2-B6E4-DAE85FBDB137}" name="NetBal" dataDxfId="571">
      <calculatedColumnFormula>IF(Jnl[[#This Row],[BSLv0]]="A",1,-1)*Jnl[[#This Row],[Bal]]</calculatedColumnFormula>
    </tableColumn>
    <tableColumn id="10" xr3:uid="{2360B888-54E4-4D46-BEE4-CFC178D7B87B}" name="BSLv0">
      <calculatedColumnFormula>_xlfn.XLOOKUP(Jnl[[#This Row],[Acct]], config_BS[Acct], config_BS[Lv0],,0)</calculatedColumnFormula>
    </tableColumn>
    <tableColumn id="11" xr3:uid="{4DE429D6-713F-4B78-B939-8CB7D3F66F5B}" name="BSLv1">
      <calculatedColumnFormula>_xlfn.XLOOKUP(Jnl[[#This Row],[Acct]], config_BS[Acct], config_BS[Lv1],,0)</calculatedColumnFormula>
    </tableColumn>
    <tableColumn id="12" xr3:uid="{D47F5251-8C65-46AE-88D2-CE9E13D4C60A}" name="BSLv2">
      <calculatedColumnFormula>_xlfn.XLOOKUP(Jnl[[#This Row],[Acct]], config_BS[Acct], config_BS[Lv2],,0)</calculatedColumnFormula>
    </tableColumn>
    <tableColumn id="13" xr3:uid="{8BD86E94-EA46-4F32-9B93-D798F39951B2}" name="IncNode">
      <calculatedColumnFormula>_xlfn.XLOOKUP(Jnl[[#This Row],[TrxId]], Trx[Id], Trx[IncNode], ,0)</calculatedColumnFormula>
    </tableColumn>
    <tableColumn id="14" xr3:uid="{47A3BD5E-32C9-4C87-A6B9-3A4E06DF4708}" name="IncType">
      <calculatedColumnFormula>_xlfn.XLOOKUP(Jnl[[#This Row],[IncNode]], config_IS[Node], config_IS[Type],,0)</calculatedColumnFormula>
    </tableColumn>
    <tableColumn id="17" xr3:uid="{59AE45B9-EF65-4833-AE4C-9F11B24D0D43}" name="NameBSLv2" dataDxfId="570">
      <calculatedColumnFormula>_xlfn.XLOOKUP(Jnl[[#This Row],[BSLv2]], dict[Key], dict[Name],,0)</calculatedColumnFormula>
    </tableColumn>
    <tableColumn id="16" xr3:uid="{C6BD57E2-40E3-4AC5-8465-4FC651B85CA5}" name="NameAcct" dataDxfId="569">
      <calculatedColumnFormula>_xlfn.XLOOKUP(Jnl[[#This Row],[Acct]], dict[Key], dict[Name],,0)</calculatedColumnFormula>
    </tableColumn>
    <tableColumn id="18" xr3:uid="{C4A7C1EE-FFA2-4B8A-966B-288D5A8071DA}" name="NameVehicle" dataDxfId="568">
      <calculatedColumnFormula>_xlfn.XLOOKUP(Jnl[[#This Row],[Vehicle]],config_vehicle[Id], config_vehicle[Name],,0)</calculatedColumnFormula>
    </tableColumn>
    <tableColumn id="21" xr3:uid="{5EA007C2-5421-4ABA-96D0-01D17C402A1D}" name="NameDiv" dataDxfId="567">
      <calculatedColumnFormula>_xlfn.XLOOKUP(Jnl[[#This Row],[Division]],config_div[Id], config_div[Name],,0)</calculatedColumnFormula>
    </tableColumn>
    <tableColumn id="19" xr3:uid="{B4F5BED1-EA69-464B-9920-B674E68208DD}" name="ScopeBS" dataDxfId="566">
      <calculatedColumnFormula>IF(Jnl[[#This Row],[TrxDate]]&lt;=stmt_BS_date_end, "In", "Out")</calculatedColumnFormula>
    </tableColumn>
    <tableColumn id="20" xr3:uid="{C499837F-35AF-463A-A79C-B7B343D3C203}" name="ScopeDebug" dataDxfId="565">
      <calculatedColumnFormula>IF(Jnl[[#This Row],[TrxDate]]&lt;debug_date_start, "prior", IF(Jnl[[#This Row],[TrxDate]]&gt;debug_date_end, "post", "curr"))</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10FA55-B813-4EE9-940D-CEF2A6B4B916}" name="config_BS" displayName="config_BS" ref="E1:H21" totalsRowShown="0" headerRowDxfId="529">
  <autoFilter ref="E1:H21" xr:uid="{D710FA55-B813-4EE9-940D-CEF2A6B4B916}"/>
  <tableColumns count="4">
    <tableColumn id="1" xr3:uid="{7EA695D1-870E-4C08-9342-BF09B98EA310}" name="Acct"/>
    <tableColumn id="2" xr3:uid="{4785D38E-57FF-472D-BE2B-62F7C8A8ED1D}" name="Lv2"/>
    <tableColumn id="3" xr3:uid="{7460FDAD-9A94-406A-990F-CA16E4C2EE37}" name="Lv1"/>
    <tableColumn id="4" xr3:uid="{E4BB113B-98C5-4CEB-B566-D92BDD17941C}" name="Lv0" dataDxfId="528">
      <calculatedColumnFormula>IF(config_BS[[#This Row],[Lv1]]="Assets", "A","LC")</calculatedColumnFormula>
    </tableColumn>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E118F9-B6DA-4BA1-A5F8-AD7436D892BF}" name="config_IS" displayName="config_IS" ref="J1:K7" totalsRowShown="0" headerRowDxfId="527">
  <autoFilter ref="J1:K7" xr:uid="{07E118F9-B6DA-4BA1-A5F8-AD7436D892BF}"/>
  <tableColumns count="2">
    <tableColumn id="1" xr3:uid="{86CD6291-3219-4E28-96CE-EB8E9F1ADA73}" name="Node"/>
    <tableColumn id="2" xr3:uid="{56CE1806-3C50-410C-9568-35AE61893952}" name="Type"/>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7331B0E-5F28-455D-81F4-B5C75AC8F63C}" name="config_div" displayName="config_div" ref="M1:N8" totalsRowShown="0" headerRowDxfId="526">
  <autoFilter ref="M1:N8" xr:uid="{97331B0E-5F28-455D-81F4-B5C75AC8F63C}"/>
  <tableColumns count="2">
    <tableColumn id="1" xr3:uid="{4A0976A9-F08D-4FC3-AC46-D492AA68F7E6}" name="Id"/>
    <tableColumn id="2" xr3:uid="{67A75125-5098-44A5-B004-8A9ADBEBCBC2}" name="Name"/>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AC21B85-0121-4FEF-8DDD-28E68900BCF7}" name="config_vehicle" displayName="config_vehicle" ref="P1:S14" totalsRowShown="0" headerRowDxfId="525">
  <autoFilter ref="P1:S14" xr:uid="{FAC21B85-0121-4FEF-8DDD-28E68900BCF7}"/>
  <sortState xmlns:xlrd2="http://schemas.microsoft.com/office/spreadsheetml/2017/richdata2" ref="P2:S14">
    <sortCondition ref="Q1:Q14"/>
  </sortState>
  <tableColumns count="4">
    <tableColumn id="1" xr3:uid="{D098E912-7511-4647-9CD5-C7C1669169C3}" name="Id"/>
    <tableColumn id="2" xr3:uid="{974E95FB-0778-4F98-B419-06742B044B50}" name="Type"/>
    <tableColumn id="3" xr3:uid="{91DEC52D-D61E-4133-9B24-99F150E12AB2}" name="Name"/>
    <tableColumn id="4" xr3:uid="{A1019716-CAC5-42E2-9C0F-1C7CC15D42B6}" name="Note"/>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85134C-CD11-493E-AB79-5F297888CCE6}" name="dict" displayName="dict" ref="A1:C29" totalsRowShown="0" headerRowDxfId="524">
  <autoFilter ref="A1:C29" xr:uid="{8685134C-CD11-493E-AB79-5F297888CCE6}"/>
  <tableColumns count="3">
    <tableColumn id="1" xr3:uid="{E5A0AD05-34DE-4725-99E6-CE7AC7B8B5EA}" name="Key"/>
    <tableColumn id="2" xr3:uid="{A2DB06A5-0227-401C-AAF2-C0379C66B63D}" name="Name"/>
    <tableColumn id="3" xr3:uid="{81FCB9D4-DC28-4310-A11A-2DB14301A0A7}" name="Case"/>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 dT="2026-01-29T02:57:36.48" personId="{D5AF6952-DFB4-4EB9-91BF-DCBDFE03949B}" id="{F2BAAA19-B511-4EEC-AB6A-62ADEB9CE566}">
    <text>载体</text>
  </threadedComment>
</ThreadedComments>
</file>

<file path=xl/threadedComments/threadedComment2.xml><?xml version="1.0" encoding="utf-8"?>
<ThreadedComments xmlns="http://schemas.microsoft.com/office/spreadsheetml/2018/threadedcomments" xmlns:x="http://schemas.openxmlformats.org/spreadsheetml/2006/main">
  <threadedComment ref="E1" dT="2026-01-29T02:57:36.48" personId="{D5AF6952-DFB4-4EB9-91BF-DCBDFE03949B}" id="{734D34D1-A3B4-419C-91E5-2415CC7E1FF7}">
    <text>载体</text>
  </threadedComment>
</ThreadedComments>
</file>

<file path=xl/threadedComments/threadedComment3.xml><?xml version="1.0" encoding="utf-8"?>
<ThreadedComments xmlns="http://schemas.microsoft.com/office/spreadsheetml/2018/threadedcomments" xmlns:x="http://schemas.openxmlformats.org/spreadsheetml/2006/main">
  <threadedComment ref="K2" dT="2026-01-29T02:48:58.36" personId="{D5AF6952-DFB4-4EB9-91BF-DCBDFE03949B}" id="{E68F4AA3-3D0A-4E51-9DB5-71D163687642}">
    <text xml:space="preserve">Operating经营性经常事件 </text>
  </threadedComment>
  <threadedComment ref="F5" dT="2026-01-31T03:00:24.32" personId="{5762D9ED-58C9-4E54-8B3E-500022F66094}" id="{60652D12-341E-458F-9404-85AE92F8BD45}">
    <text>Receivables and Payables 应付 应收</text>
  </threadedComment>
  <threadedComment ref="J5" dT="2026-01-29T03:22:53.83" personId="{D5AF6952-DFB4-4EB9-91BF-DCBDFE03949B}" id="{5D615C4E-EBE7-4C5B-AFF7-7BFD865942AD}">
    <text>资产处置损益</text>
  </threadedComment>
  <threadedComment ref="J6" dT="2026-01-29T03:23:31.07" personId="{D5AF6952-DFB4-4EB9-91BF-DCBDFE03949B}" id="{1AB846D4-C243-49DD-BFCE-0F152034E39C}">
    <text>自主活动损益 （类似 诗与歌 这样的活动）</text>
  </threadedComment>
  <threadedComment ref="F10" dT="2026-01-29T02:41:32.49" personId="{D5AF6952-DFB4-4EB9-91BF-DCBDFE03949B}" id="{AF69EBA6-49A2-4E66-B2B5-ADDCB203CBBC}">
    <text>Inventories</text>
  </threadedComment>
  <threadedComment ref="F19" dT="2026-01-29T02:38:42.71" personId="{D5AF6952-DFB4-4EB9-91BF-DCBDFE03949B}" id="{89049742-F5D2-410B-B198-12AF77C32560}">
    <text>Reserve 准备金</text>
  </threadedComment>
  <threadedComment ref="E20" dT="2026-01-29T02:18:08.23" personId="{D5AF6952-DFB4-4EB9-91BF-DCBDFE03949B}" id="{8D1C1E60-2EA0-4CC8-8F9F-A8A7E37ADBA1}">
    <text xml:space="preserve">Additional Paid-In Capital </text>
  </threadedComment>
  <threadedComment ref="E20" dT="2026-01-31T03:01:08.25" personId="{5762D9ED-58C9-4E54-8B3E-500022F66094}" id="{9E8D9125-D17F-41F2-BC54-4C5F82000D86}" parentId="{8D1C1E60-2EA0-4CC8-8F9F-A8A7E37ADBA1}">
    <text>差不多是 资本公积</text>
  </threadedComment>
</ThreadedComments>
</file>

<file path=xl/threadedComments/threadedComment4.xml><?xml version="1.0" encoding="utf-8"?>
<ThreadedComments xmlns="http://schemas.microsoft.com/office/spreadsheetml/2018/threadedcomments" xmlns:x="http://schemas.openxmlformats.org/spreadsheetml/2006/main">
  <threadedComment ref="A1" dT="2026-01-29T02:57:36.48" personId="{D5AF6952-DFB4-4EB9-91BF-DCBDFE03949B}" id="{1162A067-267B-4F1D-B71F-7C12A30DE0F0}">
    <text>载体</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7" Type="http://schemas.microsoft.com/office/2017/10/relationships/threadedComment" Target="../threadedComments/threadedComment3.xml"/><Relationship Id="rId2" Type="http://schemas.openxmlformats.org/officeDocument/2006/relationships/table" Target="../tables/table5.xml"/><Relationship Id="rId1" Type="http://schemas.openxmlformats.org/officeDocument/2006/relationships/vmlDrawing" Target="../drawings/vmlDrawing3.vml"/><Relationship Id="rId6" Type="http://schemas.openxmlformats.org/officeDocument/2006/relationships/comments" Target="../comments3.xml"/><Relationship Id="rId5" Type="http://schemas.openxmlformats.org/officeDocument/2006/relationships/table" Target="../tables/table8.xml"/><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50B70-B8A6-485D-B65C-31DE07A6D302}">
  <sheetPr codeName="Sheet4">
    <tabColor theme="4" tint="0.39997558519241921"/>
  </sheetPr>
  <dimension ref="A1:L53"/>
  <sheetViews>
    <sheetView workbookViewId="0">
      <pane ySplit="1" topLeftCell="A11" activePane="bottomLeft" state="frozen"/>
      <selection pane="bottomLeft" activeCell="G26" sqref="G26"/>
    </sheetView>
  </sheetViews>
  <sheetFormatPr defaultRowHeight="15"/>
  <cols>
    <col min="1" max="1" width="11.5703125" style="6" customWidth="1"/>
    <col min="2" max="2" width="39" customWidth="1"/>
    <col min="3" max="3" width="15" customWidth="1"/>
    <col min="5" max="5" width="16.28515625" customWidth="1"/>
    <col min="6" max="6" width="24.5703125" customWidth="1"/>
    <col min="8" max="8" width="14.85546875" customWidth="1"/>
    <col min="9" max="9" width="75.28515625" customWidth="1"/>
    <col min="12" max="12" width="14.85546875" customWidth="1"/>
  </cols>
  <sheetData>
    <row r="1" spans="1:12">
      <c r="A1" s="6" t="s">
        <v>308</v>
      </c>
      <c r="B1" s="6" t="s">
        <v>865</v>
      </c>
      <c r="C1" t="s">
        <v>866</v>
      </c>
      <c r="E1" s="55" t="s">
        <v>309</v>
      </c>
      <c r="F1" s="55" t="s">
        <v>865</v>
      </c>
      <c r="H1" s="56" t="s">
        <v>927</v>
      </c>
      <c r="I1" s="56" t="s">
        <v>926</v>
      </c>
    </row>
    <row r="2" spans="1:12">
      <c r="A2" s="6" t="s">
        <v>284</v>
      </c>
      <c r="B2" t="s">
        <v>303</v>
      </c>
      <c r="C2" t="s">
        <v>868</v>
      </c>
      <c r="E2" t="s">
        <v>50</v>
      </c>
      <c r="F2" t="s">
        <v>53</v>
      </c>
      <c r="H2" s="6" t="s">
        <v>922</v>
      </c>
      <c r="I2" t="s">
        <v>923</v>
      </c>
      <c r="L2" s="60" t="s">
        <v>159</v>
      </c>
    </row>
    <row r="3" spans="1:12">
      <c r="A3" s="6" t="s">
        <v>283</v>
      </c>
      <c r="B3" t="s">
        <v>305</v>
      </c>
      <c r="C3" t="s">
        <v>868</v>
      </c>
      <c r="E3" t="s">
        <v>89</v>
      </c>
      <c r="F3" t="s">
        <v>92</v>
      </c>
      <c r="H3" s="6" t="s">
        <v>924</v>
      </c>
      <c r="I3" t="s">
        <v>929</v>
      </c>
      <c r="L3" s="60" t="s">
        <v>158</v>
      </c>
    </row>
    <row r="4" spans="1:12">
      <c r="A4" s="6" t="s">
        <v>241</v>
      </c>
      <c r="B4" t="s">
        <v>311</v>
      </c>
      <c r="C4" t="s">
        <v>868</v>
      </c>
      <c r="E4" t="s">
        <v>90</v>
      </c>
      <c r="F4" t="s">
        <v>69</v>
      </c>
      <c r="H4" s="6" t="s">
        <v>925</v>
      </c>
      <c r="I4" t="s">
        <v>930</v>
      </c>
      <c r="L4" s="60" t="s">
        <v>183</v>
      </c>
    </row>
    <row r="5" spans="1:12">
      <c r="A5" s="6" t="s">
        <v>285</v>
      </c>
      <c r="B5" t="s">
        <v>892</v>
      </c>
      <c r="C5" t="s">
        <v>868</v>
      </c>
      <c r="E5" t="s">
        <v>91</v>
      </c>
      <c r="F5" t="s">
        <v>65</v>
      </c>
      <c r="H5" s="6" t="s">
        <v>148</v>
      </c>
      <c r="I5" t="s">
        <v>932</v>
      </c>
      <c r="L5" s="60" t="s">
        <v>199</v>
      </c>
    </row>
    <row r="6" spans="1:12">
      <c r="A6" s="6" t="s">
        <v>240</v>
      </c>
      <c r="B6" t="s">
        <v>306</v>
      </c>
      <c r="C6" t="s">
        <v>868</v>
      </c>
      <c r="E6" t="s">
        <v>94</v>
      </c>
      <c r="F6" t="s">
        <v>57</v>
      </c>
      <c r="H6" s="1" t="s">
        <v>468</v>
      </c>
      <c r="I6" t="s">
        <v>933</v>
      </c>
      <c r="L6" s="60" t="s">
        <v>193</v>
      </c>
    </row>
    <row r="7" spans="1:12">
      <c r="A7" s="54" t="s">
        <v>853</v>
      </c>
      <c r="B7" t="s">
        <v>872</v>
      </c>
      <c r="C7" t="s">
        <v>868</v>
      </c>
      <c r="E7" t="s">
        <v>653</v>
      </c>
      <c r="F7" t="s">
        <v>322</v>
      </c>
      <c r="H7" s="1"/>
      <c r="I7" t="s">
        <v>934</v>
      </c>
      <c r="L7" s="60" t="s">
        <v>160</v>
      </c>
    </row>
    <row r="8" spans="1:12">
      <c r="A8" s="54" t="s">
        <v>854</v>
      </c>
      <c r="B8" t="s">
        <v>873</v>
      </c>
      <c r="C8" t="s">
        <v>868</v>
      </c>
      <c r="E8" t="s">
        <v>95</v>
      </c>
      <c r="F8" t="s">
        <v>55</v>
      </c>
      <c r="H8" s="1"/>
      <c r="I8" t="s">
        <v>935</v>
      </c>
      <c r="L8" s="60" t="s">
        <v>196</v>
      </c>
    </row>
    <row r="9" spans="1:12">
      <c r="A9" s="54" t="s">
        <v>879</v>
      </c>
      <c r="B9" t="s">
        <v>880</v>
      </c>
      <c r="C9" t="s">
        <v>868</v>
      </c>
      <c r="E9" t="s">
        <v>688</v>
      </c>
      <c r="F9" t="s">
        <v>323</v>
      </c>
      <c r="H9" s="1"/>
      <c r="I9" s="34" t="s">
        <v>1773</v>
      </c>
      <c r="L9" s="60" t="s">
        <v>184</v>
      </c>
    </row>
    <row r="10" spans="1:12">
      <c r="A10" s="54" t="s">
        <v>856</v>
      </c>
      <c r="B10" t="s">
        <v>875</v>
      </c>
      <c r="C10" t="s">
        <v>868</v>
      </c>
      <c r="E10" t="s">
        <v>98</v>
      </c>
      <c r="F10" t="s">
        <v>59</v>
      </c>
      <c r="H10" s="6" t="s">
        <v>581</v>
      </c>
      <c r="I10" t="s">
        <v>939</v>
      </c>
      <c r="L10" s="60" t="s">
        <v>167</v>
      </c>
    </row>
    <row r="11" spans="1:12">
      <c r="A11" s="54" t="s">
        <v>858</v>
      </c>
      <c r="B11" t="s">
        <v>891</v>
      </c>
      <c r="C11" t="s">
        <v>868</v>
      </c>
      <c r="E11" t="s">
        <v>600</v>
      </c>
      <c r="F11" t="s">
        <v>321</v>
      </c>
      <c r="H11" s="6" t="s">
        <v>936</v>
      </c>
      <c r="I11" s="34" t="s">
        <v>937</v>
      </c>
      <c r="L11" s="60" t="s">
        <v>166</v>
      </c>
    </row>
    <row r="12" spans="1:12">
      <c r="A12" s="53" t="s">
        <v>859</v>
      </c>
      <c r="B12" t="s">
        <v>890</v>
      </c>
      <c r="C12" t="s">
        <v>868</v>
      </c>
      <c r="E12" t="s">
        <v>100</v>
      </c>
      <c r="F12" t="s">
        <v>61</v>
      </c>
      <c r="H12" s="1" t="s">
        <v>909</v>
      </c>
      <c r="I12" t="s">
        <v>980</v>
      </c>
      <c r="L12" s="60" t="s">
        <v>165</v>
      </c>
    </row>
    <row r="13" spans="1:12">
      <c r="A13" s="53" t="s">
        <v>881</v>
      </c>
      <c r="B13" s="57" t="s">
        <v>969</v>
      </c>
      <c r="E13" t="s">
        <v>101</v>
      </c>
      <c r="F13" t="s">
        <v>63</v>
      </c>
      <c r="H13" s="1"/>
      <c r="I13" s="37" t="s">
        <v>1009</v>
      </c>
      <c r="L13" s="60" t="s">
        <v>162</v>
      </c>
    </row>
    <row r="14" spans="1:12">
      <c r="A14" s="33" t="s">
        <v>239</v>
      </c>
      <c r="B14" t="s">
        <v>889</v>
      </c>
      <c r="C14" t="s">
        <v>867</v>
      </c>
      <c r="E14" t="s">
        <v>102</v>
      </c>
      <c r="F14" t="s">
        <v>71</v>
      </c>
      <c r="H14" s="1"/>
      <c r="I14" t="s">
        <v>1013</v>
      </c>
      <c r="L14" s="60" t="s">
        <v>169</v>
      </c>
    </row>
    <row r="15" spans="1:12">
      <c r="A15" s="32" t="s">
        <v>848</v>
      </c>
      <c r="B15" t="s">
        <v>864</v>
      </c>
      <c r="C15" t="s">
        <v>867</v>
      </c>
      <c r="E15" t="s">
        <v>903</v>
      </c>
      <c r="F15" t="s">
        <v>905</v>
      </c>
      <c r="H15" s="1"/>
      <c r="I15" t="s">
        <v>1136</v>
      </c>
      <c r="L15" s="60" t="s">
        <v>170</v>
      </c>
    </row>
    <row r="16" spans="1:12">
      <c r="A16" s="32" t="s">
        <v>242</v>
      </c>
      <c r="B16" t="s">
        <v>863</v>
      </c>
      <c r="C16" t="s">
        <v>867</v>
      </c>
      <c r="E16" t="s">
        <v>904</v>
      </c>
      <c r="F16" t="s">
        <v>906</v>
      </c>
      <c r="H16" s="1"/>
      <c r="I16" t="s">
        <v>1939</v>
      </c>
    </row>
    <row r="17" spans="1:9">
      <c r="A17" s="32" t="s">
        <v>849</v>
      </c>
      <c r="B17" t="s">
        <v>869</v>
      </c>
      <c r="C17" t="s">
        <v>867</v>
      </c>
      <c r="E17" t="s">
        <v>103</v>
      </c>
      <c r="F17" t="s">
        <v>76</v>
      </c>
      <c r="H17" s="1" t="s">
        <v>149</v>
      </c>
      <c r="I17" t="s">
        <v>1326</v>
      </c>
    </row>
    <row r="18" spans="1:9">
      <c r="A18" s="32" t="s">
        <v>850</v>
      </c>
      <c r="B18" t="s">
        <v>870</v>
      </c>
      <c r="C18" t="s">
        <v>867</v>
      </c>
      <c r="E18" t="s">
        <v>900</v>
      </c>
      <c r="F18" t="s">
        <v>324</v>
      </c>
      <c r="H18" s="1"/>
      <c r="I18" t="s">
        <v>1328</v>
      </c>
    </row>
    <row r="19" spans="1:9">
      <c r="A19" s="32" t="s">
        <v>851</v>
      </c>
      <c r="B19" t="s">
        <v>871</v>
      </c>
      <c r="C19" t="s">
        <v>867</v>
      </c>
      <c r="E19" t="s">
        <v>901</v>
      </c>
      <c r="F19" t="s">
        <v>326</v>
      </c>
      <c r="H19" s="1"/>
      <c r="I19" t="s">
        <v>1330</v>
      </c>
    </row>
    <row r="20" spans="1:9">
      <c r="A20" s="53" t="s">
        <v>852</v>
      </c>
      <c r="B20" t="s">
        <v>862</v>
      </c>
      <c r="C20" t="s">
        <v>867</v>
      </c>
      <c r="E20" t="s">
        <v>135</v>
      </c>
      <c r="F20" t="s">
        <v>325</v>
      </c>
      <c r="H20" s="1"/>
      <c r="I20" t="s">
        <v>1331</v>
      </c>
    </row>
    <row r="21" spans="1:9">
      <c r="A21" s="53" t="s">
        <v>855</v>
      </c>
      <c r="B21" t="s">
        <v>874</v>
      </c>
      <c r="C21" t="s">
        <v>867</v>
      </c>
      <c r="E21" t="s">
        <v>108</v>
      </c>
      <c r="F21" t="s">
        <v>67</v>
      </c>
      <c r="H21" s="1"/>
      <c r="I21" t="s">
        <v>1332</v>
      </c>
    </row>
    <row r="22" spans="1:9">
      <c r="A22" s="53" t="s">
        <v>857</v>
      </c>
      <c r="B22" t="s">
        <v>876</v>
      </c>
      <c r="C22" t="s">
        <v>867</v>
      </c>
      <c r="E22" t="s">
        <v>109</v>
      </c>
      <c r="F22" t="s">
        <v>902</v>
      </c>
      <c r="H22" s="1"/>
      <c r="I22" t="s">
        <v>1333</v>
      </c>
    </row>
    <row r="23" spans="1:9">
      <c r="A23" s="53" t="s">
        <v>860</v>
      </c>
      <c r="C23" t="s">
        <v>867</v>
      </c>
      <c r="E23" t="s">
        <v>138</v>
      </c>
      <c r="F23" t="s">
        <v>907</v>
      </c>
      <c r="H23" s="1"/>
      <c r="I23" t="s">
        <v>1335</v>
      </c>
    </row>
    <row r="24" spans="1:9">
      <c r="A24" s="53" t="s">
        <v>877</v>
      </c>
      <c r="B24" t="s">
        <v>878</v>
      </c>
      <c r="C24" t="s">
        <v>867</v>
      </c>
      <c r="E24" t="s">
        <v>137</v>
      </c>
      <c r="H24" s="1"/>
      <c r="I24" t="s">
        <v>1337</v>
      </c>
    </row>
    <row r="25" spans="1:9">
      <c r="A25" s="53" t="s">
        <v>861</v>
      </c>
      <c r="B25" t="s">
        <v>882</v>
      </c>
      <c r="C25" t="s">
        <v>867</v>
      </c>
      <c r="E25" t="s">
        <v>139</v>
      </c>
      <c r="F25" t="s">
        <v>919</v>
      </c>
      <c r="H25" s="6" t="s">
        <v>486</v>
      </c>
      <c r="I25" t="s">
        <v>1339</v>
      </c>
    </row>
    <row r="26" spans="1:9">
      <c r="A26" s="53" t="s">
        <v>884</v>
      </c>
      <c r="B26" t="s">
        <v>883</v>
      </c>
      <c r="C26" t="s">
        <v>867</v>
      </c>
      <c r="E26" t="s">
        <v>190</v>
      </c>
      <c r="F26" t="s">
        <v>908</v>
      </c>
    </row>
    <row r="27" spans="1:9">
      <c r="A27" s="53" t="s">
        <v>296</v>
      </c>
      <c r="B27" t="s">
        <v>886</v>
      </c>
      <c r="C27" t="s">
        <v>867</v>
      </c>
      <c r="E27" t="s">
        <v>140</v>
      </c>
      <c r="F27" t="s">
        <v>918</v>
      </c>
    </row>
    <row r="28" spans="1:9">
      <c r="A28" s="53" t="s">
        <v>887</v>
      </c>
      <c r="B28" t="s">
        <v>888</v>
      </c>
      <c r="C28" t="s">
        <v>867</v>
      </c>
      <c r="E28" t="s">
        <v>142</v>
      </c>
    </row>
    <row r="29" spans="1:9">
      <c r="A29" s="32" t="s">
        <v>247</v>
      </c>
      <c r="B29" t="s">
        <v>302</v>
      </c>
      <c r="E29" t="s">
        <v>143</v>
      </c>
    </row>
    <row r="30" spans="1:9">
      <c r="A30" s="32" t="s">
        <v>249</v>
      </c>
      <c r="E30" t="s">
        <v>841</v>
      </c>
      <c r="F30" t="s">
        <v>910</v>
      </c>
    </row>
    <row r="31" spans="1:9">
      <c r="A31" s="32" t="s">
        <v>250</v>
      </c>
      <c r="E31" t="s">
        <v>842</v>
      </c>
      <c r="F31" t="s">
        <v>911</v>
      </c>
      <c r="H31" t="s">
        <v>991</v>
      </c>
      <c r="I31" s="110" t="s">
        <v>1989</v>
      </c>
    </row>
    <row r="32" spans="1:9">
      <c r="E32" t="s">
        <v>150</v>
      </c>
      <c r="F32" t="s">
        <v>912</v>
      </c>
      <c r="I32" s="111"/>
    </row>
    <row r="33" spans="5:6">
      <c r="E33" t="s">
        <v>200</v>
      </c>
    </row>
    <row r="34" spans="5:6">
      <c r="E34" t="s">
        <v>201</v>
      </c>
    </row>
    <row r="35" spans="5:6">
      <c r="E35" t="s">
        <v>185</v>
      </c>
    </row>
    <row r="36" spans="5:6">
      <c r="E36" t="s">
        <v>202</v>
      </c>
    </row>
    <row r="37" spans="5:6">
      <c r="E37" t="s">
        <v>186</v>
      </c>
    </row>
    <row r="38" spans="5:6">
      <c r="E38" t="s">
        <v>893</v>
      </c>
    </row>
    <row r="39" spans="5:6">
      <c r="E39" t="s">
        <v>894</v>
      </c>
    </row>
    <row r="40" spans="5:6">
      <c r="E40" t="s">
        <v>895</v>
      </c>
      <c r="F40" t="s">
        <v>913</v>
      </c>
    </row>
    <row r="41" spans="5:6">
      <c r="E41" t="s">
        <v>282</v>
      </c>
    </row>
    <row r="42" spans="5:6">
      <c r="E42" t="s">
        <v>896</v>
      </c>
    </row>
    <row r="43" spans="5:6">
      <c r="E43" t="s">
        <v>299</v>
      </c>
    </row>
    <row r="44" spans="5:6">
      <c r="E44" t="s">
        <v>897</v>
      </c>
    </row>
    <row r="45" spans="5:6">
      <c r="E45" t="s">
        <v>297</v>
      </c>
    </row>
    <row r="46" spans="5:6">
      <c r="E46" t="s">
        <v>281</v>
      </c>
    </row>
    <row r="47" spans="5:6">
      <c r="E47" t="s">
        <v>194</v>
      </c>
      <c r="F47" t="s">
        <v>917</v>
      </c>
    </row>
    <row r="48" spans="5:6">
      <c r="E48" t="s">
        <v>298</v>
      </c>
    </row>
    <row r="49" spans="5:6">
      <c r="E49" t="s">
        <v>914</v>
      </c>
      <c r="F49" t="s">
        <v>915</v>
      </c>
    </row>
    <row r="50" spans="5:6">
      <c r="E50" t="s">
        <v>920</v>
      </c>
      <c r="F50" t="s">
        <v>921</v>
      </c>
    </row>
    <row r="51" spans="5:6">
      <c r="E51" t="s">
        <v>197</v>
      </c>
      <c r="F51" t="s">
        <v>916</v>
      </c>
    </row>
    <row r="52" spans="5:6">
      <c r="E52" t="s">
        <v>898</v>
      </c>
    </row>
    <row r="53" spans="5:6">
      <c r="E53" t="s">
        <v>899</v>
      </c>
    </row>
  </sheetData>
  <mergeCells count="4">
    <mergeCell ref="H6:H9"/>
    <mergeCell ref="I31:I32"/>
    <mergeCell ref="H12:H16"/>
    <mergeCell ref="H17:H24"/>
  </mergeCells>
  <phoneticPr fontId="6" type="noConversion"/>
  <pageMargins left="0.7" right="0.7" top="0.75" bottom="0.75" header="0.3" footer="0.3"/>
  <legacy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C9BAA-A65D-4107-9786-832CAE980D1B}">
  <sheetPr codeName="Sheet2">
    <tabColor theme="4" tint="0.39997558519241921"/>
  </sheetPr>
  <dimension ref="A1:AE921"/>
  <sheetViews>
    <sheetView zoomScale="140" zoomScaleNormal="140" workbookViewId="0">
      <pane ySplit="1" topLeftCell="A5" activePane="bottomLeft" state="frozen"/>
      <selection pane="bottomLeft" activeCell="G5" sqref="G5"/>
    </sheetView>
  </sheetViews>
  <sheetFormatPr defaultRowHeight="15"/>
  <cols>
    <col min="1" max="1" width="9.5703125" customWidth="1"/>
    <col min="2" max="2" width="11.28515625" style="36" customWidth="1"/>
    <col min="3" max="3" width="11.7109375" customWidth="1"/>
    <col min="4" max="5" width="14.28515625" customWidth="1"/>
    <col min="6" max="6" width="16.140625" customWidth="1"/>
    <col min="7" max="7" width="39" customWidth="1"/>
  </cols>
  <sheetData>
    <row r="1" spans="1:8">
      <c r="A1" s="6" t="s">
        <v>28</v>
      </c>
      <c r="B1" s="35" t="s">
        <v>38</v>
      </c>
      <c r="C1" s="6" t="s">
        <v>931</v>
      </c>
      <c r="D1" s="6" t="s">
        <v>40</v>
      </c>
      <c r="E1" s="6" t="s">
        <v>928</v>
      </c>
      <c r="F1" s="6" t="s">
        <v>212</v>
      </c>
      <c r="G1" s="6" t="s">
        <v>32</v>
      </c>
    </row>
    <row r="2" spans="1:8">
      <c r="A2" t="s">
        <v>236</v>
      </c>
      <c r="B2" s="36">
        <v>46022</v>
      </c>
      <c r="C2" t="s">
        <v>37</v>
      </c>
      <c r="D2" t="s">
        <v>247</v>
      </c>
      <c r="E2" t="s">
        <v>25</v>
      </c>
      <c r="F2" s="3"/>
      <c r="G2" s="3" t="s">
        <v>248</v>
      </c>
    </row>
    <row r="3" spans="1:8">
      <c r="A3" t="s">
        <v>237</v>
      </c>
      <c r="B3" s="36">
        <v>46022</v>
      </c>
      <c r="C3" t="s">
        <v>37</v>
      </c>
      <c r="D3" t="s">
        <v>249</v>
      </c>
      <c r="E3" t="s">
        <v>25</v>
      </c>
      <c r="F3" s="3" t="s">
        <v>211</v>
      </c>
      <c r="G3" s="3" t="s">
        <v>213</v>
      </c>
    </row>
    <row r="4" spans="1:8">
      <c r="A4" t="s">
        <v>238</v>
      </c>
      <c r="B4" s="36">
        <v>46022</v>
      </c>
      <c r="C4" t="s">
        <v>37</v>
      </c>
      <c r="D4" t="s">
        <v>250</v>
      </c>
      <c r="E4" t="s">
        <v>25</v>
      </c>
      <c r="F4" s="3" t="s">
        <v>211</v>
      </c>
      <c r="G4" s="3" t="s">
        <v>251</v>
      </c>
    </row>
    <row r="5" spans="1:8">
      <c r="A5" t="s">
        <v>1999</v>
      </c>
      <c r="B5" s="36">
        <v>46022</v>
      </c>
      <c r="C5" t="s">
        <v>37</v>
      </c>
      <c r="D5" t="s">
        <v>249</v>
      </c>
      <c r="E5" t="s">
        <v>25</v>
      </c>
      <c r="F5" s="3"/>
      <c r="G5" s="3" t="s">
        <v>2000</v>
      </c>
    </row>
    <row r="6" spans="1:8">
      <c r="A6" t="s">
        <v>252</v>
      </c>
      <c r="B6" s="36">
        <v>46053</v>
      </c>
      <c r="C6" t="s">
        <v>35</v>
      </c>
      <c r="D6" t="s">
        <v>1307</v>
      </c>
      <c r="E6" t="s">
        <v>24</v>
      </c>
      <c r="F6" s="3"/>
      <c r="G6" s="3" t="s">
        <v>310</v>
      </c>
    </row>
    <row r="7" spans="1:8" s="19" customFormat="1">
      <c r="A7" t="s">
        <v>253</v>
      </c>
      <c r="B7" s="36">
        <v>46053</v>
      </c>
      <c r="C7" t="s">
        <v>295</v>
      </c>
      <c r="D7" t="s">
        <v>284</v>
      </c>
      <c r="E7" t="s">
        <v>23</v>
      </c>
      <c r="F7" s="3"/>
      <c r="G7" s="3" t="s">
        <v>428</v>
      </c>
    </row>
    <row r="8" spans="1:8">
      <c r="A8" t="s">
        <v>254</v>
      </c>
      <c r="B8" s="36">
        <v>46053</v>
      </c>
      <c r="C8" t="s">
        <v>295</v>
      </c>
      <c r="D8" t="s">
        <v>283</v>
      </c>
      <c r="E8" t="s">
        <v>23</v>
      </c>
      <c r="F8" s="3"/>
      <c r="G8" s="3"/>
    </row>
    <row r="9" spans="1:8">
      <c r="A9" t="s">
        <v>255</v>
      </c>
      <c r="B9" s="36">
        <v>46053</v>
      </c>
      <c r="C9" t="s">
        <v>35</v>
      </c>
      <c r="D9" t="s">
        <v>304</v>
      </c>
      <c r="E9" t="s">
        <v>24</v>
      </c>
      <c r="F9" s="3"/>
      <c r="G9" s="3" t="s">
        <v>431</v>
      </c>
    </row>
    <row r="10" spans="1:8">
      <c r="A10" t="s">
        <v>256</v>
      </c>
      <c r="B10" s="36">
        <v>46053</v>
      </c>
      <c r="C10" t="s">
        <v>37</v>
      </c>
      <c r="D10" t="s">
        <v>241</v>
      </c>
      <c r="E10" t="s">
        <v>25</v>
      </c>
      <c r="F10" s="3"/>
      <c r="G10" s="3" t="s">
        <v>246</v>
      </c>
    </row>
    <row r="11" spans="1:8">
      <c r="A11" t="s">
        <v>257</v>
      </c>
      <c r="B11" s="36">
        <v>46053</v>
      </c>
      <c r="C11" t="s">
        <v>295</v>
      </c>
      <c r="D11" t="s">
        <v>284</v>
      </c>
      <c r="E11" t="s">
        <v>23</v>
      </c>
      <c r="F11" s="3"/>
      <c r="G11" s="3" t="s">
        <v>428</v>
      </c>
    </row>
    <row r="12" spans="1:8">
      <c r="A12" t="s">
        <v>258</v>
      </c>
      <c r="B12" s="36">
        <v>46053</v>
      </c>
      <c r="C12" t="s">
        <v>35</v>
      </c>
      <c r="D12" t="s">
        <v>285</v>
      </c>
      <c r="E12" t="s">
        <v>24</v>
      </c>
      <c r="F12" s="3"/>
      <c r="G12" s="3" t="s">
        <v>342</v>
      </c>
    </row>
    <row r="13" spans="1:8">
      <c r="A13" t="s">
        <v>259</v>
      </c>
      <c r="B13" s="36">
        <v>46053</v>
      </c>
      <c r="C13" t="s">
        <v>35</v>
      </c>
      <c r="D13" t="s">
        <v>285</v>
      </c>
      <c r="E13" t="s">
        <v>24</v>
      </c>
      <c r="F13" s="3"/>
      <c r="G13" s="3" t="s">
        <v>429</v>
      </c>
    </row>
    <row r="14" spans="1:8">
      <c r="A14" t="s">
        <v>260</v>
      </c>
      <c r="B14" s="36">
        <v>46053</v>
      </c>
      <c r="C14" t="s">
        <v>35</v>
      </c>
      <c r="D14" t="s">
        <v>285</v>
      </c>
      <c r="E14" t="s">
        <v>24</v>
      </c>
      <c r="F14" s="3"/>
      <c r="G14" s="3" t="s">
        <v>342</v>
      </c>
    </row>
    <row r="15" spans="1:8">
      <c r="A15" t="s">
        <v>261</v>
      </c>
      <c r="B15" s="36">
        <v>46053</v>
      </c>
      <c r="C15" t="s">
        <v>295</v>
      </c>
      <c r="D15" t="s">
        <v>1304</v>
      </c>
      <c r="E15" t="s">
        <v>24</v>
      </c>
      <c r="F15" s="3"/>
      <c r="G15" s="3" t="s">
        <v>313</v>
      </c>
      <c r="H15" s="34"/>
    </row>
    <row r="16" spans="1:8">
      <c r="A16" t="s">
        <v>262</v>
      </c>
      <c r="B16" s="36">
        <v>46053</v>
      </c>
      <c r="C16" t="s">
        <v>37</v>
      </c>
      <c r="D16" t="s">
        <v>285</v>
      </c>
      <c r="E16" t="s">
        <v>24</v>
      </c>
      <c r="F16" s="3"/>
      <c r="G16" s="3" t="s">
        <v>536</v>
      </c>
    </row>
    <row r="17" spans="1:7">
      <c r="A17" t="s">
        <v>263</v>
      </c>
      <c r="B17" s="36">
        <v>46053</v>
      </c>
      <c r="C17" t="s">
        <v>295</v>
      </c>
      <c r="D17" t="s">
        <v>284</v>
      </c>
      <c r="E17" t="s">
        <v>23</v>
      </c>
      <c r="F17" s="3"/>
      <c r="G17" s="3"/>
    </row>
    <row r="18" spans="1:7">
      <c r="A18" t="s">
        <v>264</v>
      </c>
      <c r="B18" s="36">
        <v>46053</v>
      </c>
      <c r="C18" t="s">
        <v>295</v>
      </c>
      <c r="D18" t="s">
        <v>283</v>
      </c>
      <c r="E18" t="s">
        <v>23</v>
      </c>
      <c r="F18" s="3"/>
      <c r="G18" s="3"/>
    </row>
    <row r="19" spans="1:7">
      <c r="A19" t="s">
        <v>265</v>
      </c>
      <c r="B19" s="36">
        <v>46053</v>
      </c>
      <c r="C19" t="s">
        <v>295</v>
      </c>
      <c r="D19" t="s">
        <v>284</v>
      </c>
      <c r="E19" t="s">
        <v>23</v>
      </c>
      <c r="F19" s="3"/>
      <c r="G19" s="3"/>
    </row>
    <row r="20" spans="1:7">
      <c r="A20" t="s">
        <v>266</v>
      </c>
      <c r="B20" s="36">
        <v>46053</v>
      </c>
      <c r="C20" t="s">
        <v>295</v>
      </c>
      <c r="D20" t="s">
        <v>283</v>
      </c>
      <c r="E20" t="s">
        <v>23</v>
      </c>
      <c r="F20" s="3"/>
      <c r="G20" s="3"/>
    </row>
    <row r="21" spans="1:7">
      <c r="A21" t="s">
        <v>267</v>
      </c>
      <c r="B21" s="36">
        <v>46053</v>
      </c>
      <c r="C21" t="s">
        <v>295</v>
      </c>
      <c r="D21" t="s">
        <v>150</v>
      </c>
      <c r="E21" t="s">
        <v>22</v>
      </c>
      <c r="F21" s="3"/>
      <c r="G21" s="3" t="s">
        <v>243</v>
      </c>
    </row>
    <row r="22" spans="1:7">
      <c r="A22" t="s">
        <v>268</v>
      </c>
      <c r="B22" s="36">
        <v>46053</v>
      </c>
      <c r="C22" t="s">
        <v>295</v>
      </c>
      <c r="D22" t="s">
        <v>150</v>
      </c>
      <c r="E22" t="s">
        <v>22</v>
      </c>
      <c r="F22" s="3"/>
      <c r="G22" s="3" t="s">
        <v>244</v>
      </c>
    </row>
    <row r="23" spans="1:7">
      <c r="A23" t="s">
        <v>269</v>
      </c>
      <c r="B23" s="36">
        <v>46053</v>
      </c>
      <c r="C23" t="s">
        <v>295</v>
      </c>
      <c r="D23" t="s">
        <v>284</v>
      </c>
      <c r="E23" t="s">
        <v>23</v>
      </c>
      <c r="F23" s="3"/>
      <c r="G23" s="3"/>
    </row>
    <row r="24" spans="1:7">
      <c r="A24" t="s">
        <v>270</v>
      </c>
      <c r="B24" s="36">
        <v>46053</v>
      </c>
      <c r="C24" t="s">
        <v>37</v>
      </c>
      <c r="D24" t="s">
        <v>241</v>
      </c>
      <c r="E24" t="s">
        <v>25</v>
      </c>
      <c r="F24" s="3"/>
      <c r="G24" s="3" t="s">
        <v>245</v>
      </c>
    </row>
    <row r="25" spans="1:7">
      <c r="A25" t="s">
        <v>271</v>
      </c>
      <c r="B25" s="36">
        <v>46053</v>
      </c>
      <c r="C25" t="s">
        <v>37</v>
      </c>
      <c r="D25" t="s">
        <v>241</v>
      </c>
      <c r="E25" t="s">
        <v>25</v>
      </c>
      <c r="F25" s="3"/>
      <c r="G25" s="3" t="s">
        <v>246</v>
      </c>
    </row>
    <row r="26" spans="1:7">
      <c r="A26" t="s">
        <v>272</v>
      </c>
      <c r="B26" s="36">
        <v>46053</v>
      </c>
      <c r="C26" t="s">
        <v>295</v>
      </c>
      <c r="D26" t="s">
        <v>240</v>
      </c>
      <c r="E26" t="s">
        <v>23</v>
      </c>
      <c r="F26" s="3"/>
      <c r="G26" s="3" t="s">
        <v>802</v>
      </c>
    </row>
    <row r="27" spans="1:7">
      <c r="A27" t="s">
        <v>273</v>
      </c>
      <c r="B27" s="36">
        <v>46053</v>
      </c>
      <c r="C27" t="s">
        <v>295</v>
      </c>
      <c r="D27" t="s">
        <v>1304</v>
      </c>
      <c r="E27" t="s">
        <v>24</v>
      </c>
      <c r="F27" s="3"/>
      <c r="G27" s="3" t="s">
        <v>313</v>
      </c>
    </row>
    <row r="28" spans="1:7">
      <c r="A28" t="s">
        <v>274</v>
      </c>
      <c r="B28" s="36">
        <v>46053</v>
      </c>
      <c r="C28" t="s">
        <v>37</v>
      </c>
      <c r="D28" t="s">
        <v>241</v>
      </c>
      <c r="E28" t="s">
        <v>25</v>
      </c>
      <c r="F28" s="3"/>
      <c r="G28" s="3" t="s">
        <v>246</v>
      </c>
    </row>
    <row r="29" spans="1:7">
      <c r="A29" t="s">
        <v>275</v>
      </c>
      <c r="B29" s="36">
        <v>46053</v>
      </c>
      <c r="C29" t="s">
        <v>295</v>
      </c>
      <c r="D29" t="s">
        <v>284</v>
      </c>
      <c r="E29" t="s">
        <v>23</v>
      </c>
      <c r="F29" s="3"/>
      <c r="G29" s="3"/>
    </row>
    <row r="30" spans="1:7">
      <c r="A30" t="s">
        <v>276</v>
      </c>
      <c r="B30" s="36">
        <v>46053</v>
      </c>
      <c r="C30" t="s">
        <v>295</v>
      </c>
      <c r="D30" t="s">
        <v>307</v>
      </c>
      <c r="E30" t="s">
        <v>23</v>
      </c>
      <c r="F30" s="3"/>
      <c r="G30" s="3" t="s">
        <v>307</v>
      </c>
    </row>
    <row r="31" spans="1:7">
      <c r="A31" t="s">
        <v>277</v>
      </c>
      <c r="B31" s="36">
        <v>46053</v>
      </c>
      <c r="C31" t="s">
        <v>295</v>
      </c>
      <c r="D31" t="s">
        <v>284</v>
      </c>
      <c r="E31" t="s">
        <v>23</v>
      </c>
      <c r="F31" s="3"/>
      <c r="G31" s="3"/>
    </row>
    <row r="32" spans="1:7">
      <c r="A32" t="s">
        <v>278</v>
      </c>
      <c r="B32" s="36">
        <v>46053</v>
      </c>
      <c r="C32" t="s">
        <v>295</v>
      </c>
      <c r="D32" t="s">
        <v>283</v>
      </c>
      <c r="E32" t="s">
        <v>23</v>
      </c>
      <c r="F32" s="3"/>
      <c r="G32" s="3"/>
    </row>
    <row r="33" spans="1:7">
      <c r="A33" t="s">
        <v>279</v>
      </c>
      <c r="B33" s="36">
        <v>46053</v>
      </c>
      <c r="C33" t="s">
        <v>295</v>
      </c>
      <c r="D33" t="s">
        <v>284</v>
      </c>
      <c r="E33" t="s">
        <v>23</v>
      </c>
      <c r="F33" s="3"/>
      <c r="G33" s="3"/>
    </row>
    <row r="34" spans="1:7">
      <c r="A34" t="s">
        <v>280</v>
      </c>
      <c r="B34" s="36">
        <v>46053</v>
      </c>
      <c r="C34" t="s">
        <v>295</v>
      </c>
      <c r="D34" t="s">
        <v>283</v>
      </c>
      <c r="E34" t="s">
        <v>23</v>
      </c>
      <c r="F34" s="3"/>
      <c r="G34" s="3"/>
    </row>
    <row r="35" spans="1:7">
      <c r="A35" t="s">
        <v>314</v>
      </c>
      <c r="B35" s="36">
        <v>46053</v>
      </c>
      <c r="C35" t="s">
        <v>35</v>
      </c>
      <c r="D35" t="s">
        <v>1315</v>
      </c>
      <c r="E35" t="s">
        <v>24</v>
      </c>
      <c r="F35" s="3"/>
      <c r="G35" s="3" t="s">
        <v>315</v>
      </c>
    </row>
    <row r="36" spans="1:7">
      <c r="A36" t="s">
        <v>316</v>
      </c>
      <c r="B36" s="36">
        <v>46053</v>
      </c>
      <c r="C36" t="s">
        <v>35</v>
      </c>
      <c r="D36" t="s">
        <v>359</v>
      </c>
      <c r="E36" t="s">
        <v>24</v>
      </c>
      <c r="F36" s="3"/>
      <c r="G36" s="3" t="s">
        <v>426</v>
      </c>
    </row>
    <row r="37" spans="1:7">
      <c r="A37" t="s">
        <v>317</v>
      </c>
      <c r="B37" s="36">
        <v>46053</v>
      </c>
      <c r="C37" t="s">
        <v>35</v>
      </c>
      <c r="D37" t="s">
        <v>1294</v>
      </c>
      <c r="E37" t="s">
        <v>155</v>
      </c>
      <c r="F37" s="3"/>
      <c r="G37" s="3" t="s">
        <v>430</v>
      </c>
    </row>
    <row r="38" spans="1:7">
      <c r="A38" t="s">
        <v>319</v>
      </c>
      <c r="B38" s="36">
        <v>46053</v>
      </c>
      <c r="C38" t="s">
        <v>295</v>
      </c>
      <c r="D38" t="s">
        <v>360</v>
      </c>
      <c r="E38" t="s">
        <v>24</v>
      </c>
      <c r="F38" s="3"/>
      <c r="G38" s="3" t="s">
        <v>320</v>
      </c>
    </row>
    <row r="39" spans="1:7">
      <c r="A39" t="s">
        <v>327</v>
      </c>
      <c r="B39" s="36">
        <v>46053</v>
      </c>
      <c r="C39" t="s">
        <v>295</v>
      </c>
      <c r="D39" t="s">
        <v>360</v>
      </c>
      <c r="E39" t="s">
        <v>24</v>
      </c>
      <c r="F39" s="3"/>
      <c r="G39" s="3" t="s">
        <v>320</v>
      </c>
    </row>
    <row r="40" spans="1:7">
      <c r="A40" t="s">
        <v>330</v>
      </c>
      <c r="B40" s="36">
        <v>46053</v>
      </c>
      <c r="C40" t="s">
        <v>35</v>
      </c>
      <c r="D40" t="s">
        <v>1321</v>
      </c>
      <c r="E40" t="s">
        <v>24</v>
      </c>
      <c r="F40" s="3"/>
      <c r="G40" s="3" t="s">
        <v>328</v>
      </c>
    </row>
    <row r="41" spans="1:7">
      <c r="A41" t="s">
        <v>332</v>
      </c>
      <c r="B41" s="36">
        <v>46053</v>
      </c>
      <c r="C41" t="s">
        <v>35</v>
      </c>
      <c r="D41" t="s">
        <v>1321</v>
      </c>
      <c r="E41" t="s">
        <v>24</v>
      </c>
      <c r="F41" s="3"/>
      <c r="G41" s="3" t="s">
        <v>328</v>
      </c>
    </row>
    <row r="42" spans="1:7">
      <c r="A42" t="s">
        <v>333</v>
      </c>
      <c r="B42" s="36">
        <v>46053</v>
      </c>
      <c r="C42" t="s">
        <v>295</v>
      </c>
      <c r="D42" t="s">
        <v>360</v>
      </c>
      <c r="E42" t="s">
        <v>24</v>
      </c>
      <c r="F42" s="3"/>
      <c r="G42" s="3" t="s">
        <v>320</v>
      </c>
    </row>
    <row r="43" spans="1:7">
      <c r="A43" t="s">
        <v>334</v>
      </c>
      <c r="B43" s="36">
        <v>46053</v>
      </c>
      <c r="C43" t="s">
        <v>35</v>
      </c>
      <c r="D43" t="s">
        <v>1318</v>
      </c>
      <c r="E43" t="s">
        <v>24</v>
      </c>
      <c r="F43" s="3"/>
      <c r="G43" s="3" t="s">
        <v>335</v>
      </c>
    </row>
    <row r="44" spans="1:7">
      <c r="A44" t="s">
        <v>336</v>
      </c>
      <c r="B44" s="36">
        <v>46053</v>
      </c>
      <c r="C44" t="s">
        <v>35</v>
      </c>
      <c r="D44" t="s">
        <v>304</v>
      </c>
      <c r="E44" t="s">
        <v>24</v>
      </c>
      <c r="F44" s="3"/>
      <c r="G44" s="3" t="s">
        <v>431</v>
      </c>
    </row>
    <row r="45" spans="1:7">
      <c r="A45" t="s">
        <v>337</v>
      </c>
      <c r="B45" s="36">
        <v>46053</v>
      </c>
      <c r="C45" t="s">
        <v>35</v>
      </c>
      <c r="D45" t="s">
        <v>1307</v>
      </c>
      <c r="E45" t="s">
        <v>24</v>
      </c>
      <c r="F45" s="3"/>
      <c r="G45" s="3" t="s">
        <v>310</v>
      </c>
    </row>
    <row r="46" spans="1:7">
      <c r="A46" t="s">
        <v>338</v>
      </c>
      <c r="B46" s="36">
        <v>46053</v>
      </c>
      <c r="C46" t="s">
        <v>295</v>
      </c>
      <c r="D46" t="s">
        <v>240</v>
      </c>
      <c r="E46" t="s">
        <v>23</v>
      </c>
      <c r="F46" s="3"/>
      <c r="G46" s="3" t="s">
        <v>339</v>
      </c>
    </row>
    <row r="47" spans="1:7">
      <c r="A47" t="s">
        <v>340</v>
      </c>
      <c r="B47" s="36">
        <v>46053</v>
      </c>
      <c r="C47" t="s">
        <v>295</v>
      </c>
      <c r="D47" t="s">
        <v>360</v>
      </c>
      <c r="E47" t="s">
        <v>24</v>
      </c>
      <c r="F47" s="3"/>
      <c r="G47" s="3" t="s">
        <v>320</v>
      </c>
    </row>
    <row r="48" spans="1:7">
      <c r="A48" t="s">
        <v>341</v>
      </c>
      <c r="B48" s="36">
        <v>46053</v>
      </c>
      <c r="C48" t="s">
        <v>295</v>
      </c>
      <c r="D48" t="s">
        <v>285</v>
      </c>
      <c r="E48" t="s">
        <v>24</v>
      </c>
      <c r="F48" s="3"/>
      <c r="G48" s="3" t="s">
        <v>149</v>
      </c>
    </row>
    <row r="49" spans="1:7">
      <c r="A49" t="s">
        <v>345</v>
      </c>
      <c r="B49" s="36">
        <v>46053</v>
      </c>
      <c r="C49" t="s">
        <v>35</v>
      </c>
      <c r="D49" t="s">
        <v>285</v>
      </c>
      <c r="E49" t="s">
        <v>24</v>
      </c>
      <c r="F49" s="3"/>
      <c r="G49" s="3" t="s">
        <v>342</v>
      </c>
    </row>
    <row r="50" spans="1:7">
      <c r="A50" t="s">
        <v>346</v>
      </c>
      <c r="B50" s="36">
        <v>46053</v>
      </c>
      <c r="C50" t="s">
        <v>37</v>
      </c>
      <c r="D50" t="s">
        <v>285</v>
      </c>
      <c r="E50" t="s">
        <v>24</v>
      </c>
      <c r="F50" s="3"/>
      <c r="G50" s="3" t="s">
        <v>537</v>
      </c>
    </row>
    <row r="51" spans="1:7">
      <c r="A51" t="s">
        <v>350</v>
      </c>
      <c r="B51" s="36">
        <v>46053</v>
      </c>
      <c r="C51" t="s">
        <v>35</v>
      </c>
      <c r="D51" t="s">
        <v>1322</v>
      </c>
      <c r="E51" t="s">
        <v>24</v>
      </c>
      <c r="F51" s="3"/>
      <c r="G51" s="3" t="s">
        <v>351</v>
      </c>
    </row>
    <row r="52" spans="1:7">
      <c r="A52" t="s">
        <v>352</v>
      </c>
      <c r="B52" s="36">
        <v>46053</v>
      </c>
      <c r="C52" t="s">
        <v>35</v>
      </c>
      <c r="D52" t="s">
        <v>1307</v>
      </c>
      <c r="E52" t="s">
        <v>24</v>
      </c>
      <c r="F52" s="3"/>
      <c r="G52" s="3" t="s">
        <v>310</v>
      </c>
    </row>
    <row r="53" spans="1:7">
      <c r="A53" t="s">
        <v>354</v>
      </c>
      <c r="B53" s="36">
        <v>46053</v>
      </c>
      <c r="C53" t="s">
        <v>295</v>
      </c>
      <c r="D53" t="s">
        <v>240</v>
      </c>
      <c r="E53" t="s">
        <v>23</v>
      </c>
      <c r="F53" s="3"/>
      <c r="G53" s="3" t="s">
        <v>339</v>
      </c>
    </row>
    <row r="54" spans="1:7">
      <c r="A54" t="s">
        <v>357</v>
      </c>
      <c r="B54" s="36">
        <v>46053</v>
      </c>
      <c r="C54" t="s">
        <v>295</v>
      </c>
      <c r="D54" t="s">
        <v>240</v>
      </c>
      <c r="E54" t="s">
        <v>23</v>
      </c>
      <c r="F54" s="3"/>
      <c r="G54" s="3" t="s">
        <v>339</v>
      </c>
    </row>
    <row r="55" spans="1:7">
      <c r="A55" t="s">
        <v>358</v>
      </c>
      <c r="B55" s="36">
        <v>46053</v>
      </c>
      <c r="C55" t="s">
        <v>295</v>
      </c>
      <c r="D55" t="s">
        <v>240</v>
      </c>
      <c r="E55" t="s">
        <v>23</v>
      </c>
      <c r="F55" s="3"/>
      <c r="G55" s="3" t="s">
        <v>339</v>
      </c>
    </row>
    <row r="56" spans="1:7">
      <c r="A56" t="s">
        <v>361</v>
      </c>
      <c r="B56" s="36">
        <v>46053</v>
      </c>
      <c r="C56" t="s">
        <v>295</v>
      </c>
      <c r="D56" t="s">
        <v>360</v>
      </c>
      <c r="E56" t="s">
        <v>24</v>
      </c>
      <c r="F56" s="3"/>
      <c r="G56" s="3" t="s">
        <v>320</v>
      </c>
    </row>
    <row r="57" spans="1:7">
      <c r="A57" t="s">
        <v>362</v>
      </c>
      <c r="B57" s="36">
        <v>46053</v>
      </c>
      <c r="C57" t="s">
        <v>295</v>
      </c>
      <c r="D57" t="s">
        <v>360</v>
      </c>
      <c r="E57" t="s">
        <v>24</v>
      </c>
      <c r="F57" s="3"/>
      <c r="G57" s="3" t="s">
        <v>320</v>
      </c>
    </row>
    <row r="58" spans="1:7">
      <c r="A58" t="s">
        <v>363</v>
      </c>
      <c r="B58" s="36">
        <v>46053</v>
      </c>
      <c r="C58" t="s">
        <v>295</v>
      </c>
      <c r="D58" t="s">
        <v>240</v>
      </c>
      <c r="E58" t="s">
        <v>23</v>
      </c>
      <c r="F58" s="3"/>
      <c r="G58" s="3" t="s">
        <v>339</v>
      </c>
    </row>
    <row r="59" spans="1:7">
      <c r="A59" t="s">
        <v>364</v>
      </c>
      <c r="B59" s="36">
        <v>46053</v>
      </c>
      <c r="C59" t="s">
        <v>33</v>
      </c>
      <c r="D59" t="s">
        <v>1312</v>
      </c>
      <c r="E59" t="s">
        <v>24</v>
      </c>
      <c r="F59" s="3"/>
      <c r="G59" s="3" t="s">
        <v>365</v>
      </c>
    </row>
    <row r="60" spans="1:7">
      <c r="A60" t="s">
        <v>366</v>
      </c>
      <c r="B60" s="36">
        <v>46053</v>
      </c>
      <c r="C60" t="s">
        <v>35</v>
      </c>
      <c r="D60" t="s">
        <v>427</v>
      </c>
      <c r="E60" t="s">
        <v>24</v>
      </c>
      <c r="F60" s="3"/>
      <c r="G60" s="3" t="s">
        <v>367</v>
      </c>
    </row>
    <row r="61" spans="1:7">
      <c r="A61" t="s">
        <v>368</v>
      </c>
      <c r="B61" s="36">
        <v>46053</v>
      </c>
      <c r="C61" t="s">
        <v>295</v>
      </c>
      <c r="D61" t="s">
        <v>360</v>
      </c>
      <c r="E61" t="s">
        <v>24</v>
      </c>
      <c r="F61" s="3"/>
      <c r="G61" s="3" t="s">
        <v>320</v>
      </c>
    </row>
    <row r="62" spans="1:7">
      <c r="A62" t="s">
        <v>369</v>
      </c>
      <c r="B62" s="36">
        <v>46053</v>
      </c>
      <c r="C62" t="s">
        <v>37</v>
      </c>
      <c r="D62" t="s">
        <v>370</v>
      </c>
      <c r="E62" t="s">
        <v>25</v>
      </c>
      <c r="F62" s="3"/>
      <c r="G62" s="3" t="s">
        <v>371</v>
      </c>
    </row>
    <row r="63" spans="1:7">
      <c r="A63" t="s">
        <v>372</v>
      </c>
      <c r="B63" s="36">
        <v>46053</v>
      </c>
      <c r="C63" t="s">
        <v>37</v>
      </c>
      <c r="D63" t="s">
        <v>370</v>
      </c>
      <c r="E63" t="s">
        <v>25</v>
      </c>
      <c r="F63" s="3"/>
      <c r="G63" s="3" t="s">
        <v>373</v>
      </c>
    </row>
    <row r="64" spans="1:7">
      <c r="A64" t="s">
        <v>374</v>
      </c>
      <c r="B64" s="36">
        <v>46053</v>
      </c>
      <c r="C64" t="s">
        <v>37</v>
      </c>
      <c r="D64" t="s">
        <v>370</v>
      </c>
      <c r="E64" t="s">
        <v>25</v>
      </c>
      <c r="F64" s="3"/>
      <c r="G64" s="3" t="s">
        <v>375</v>
      </c>
    </row>
    <row r="65" spans="1:7">
      <c r="A65" t="s">
        <v>376</v>
      </c>
      <c r="B65" s="36">
        <v>46053</v>
      </c>
      <c r="C65" t="s">
        <v>295</v>
      </c>
      <c r="D65" t="s">
        <v>360</v>
      </c>
      <c r="E65" t="s">
        <v>24</v>
      </c>
      <c r="F65" s="3"/>
      <c r="G65" s="3" t="s">
        <v>377</v>
      </c>
    </row>
    <row r="66" spans="1:7">
      <c r="A66" t="s">
        <v>378</v>
      </c>
      <c r="B66" s="36">
        <v>46053</v>
      </c>
      <c r="C66" t="s">
        <v>35</v>
      </c>
      <c r="D66" t="s">
        <v>1307</v>
      </c>
      <c r="E66" t="s">
        <v>24</v>
      </c>
      <c r="F66" s="3"/>
      <c r="G66" s="3" t="s">
        <v>310</v>
      </c>
    </row>
    <row r="67" spans="1:7">
      <c r="A67" t="s">
        <v>379</v>
      </c>
      <c r="B67" s="36">
        <v>46053</v>
      </c>
      <c r="C67" t="s">
        <v>35</v>
      </c>
      <c r="D67" t="s">
        <v>381</v>
      </c>
      <c r="E67" t="s">
        <v>25</v>
      </c>
      <c r="F67" s="3"/>
      <c r="G67" s="3" t="s">
        <v>380</v>
      </c>
    </row>
    <row r="68" spans="1:7">
      <c r="A68" t="s">
        <v>382</v>
      </c>
      <c r="B68" s="36">
        <v>46053</v>
      </c>
      <c r="C68" t="s">
        <v>35</v>
      </c>
      <c r="D68" t="s">
        <v>1315</v>
      </c>
      <c r="E68" t="s">
        <v>24</v>
      </c>
      <c r="F68" s="3"/>
      <c r="G68" s="3" t="s">
        <v>315</v>
      </c>
    </row>
    <row r="69" spans="1:7">
      <c r="A69" t="s">
        <v>1325</v>
      </c>
      <c r="B69" s="36">
        <v>46053</v>
      </c>
      <c r="C69" t="s">
        <v>295</v>
      </c>
      <c r="D69" t="s">
        <v>359</v>
      </c>
      <c r="E69" t="s">
        <v>24</v>
      </c>
      <c r="F69" s="3"/>
      <c r="G69" s="3" t="s">
        <v>426</v>
      </c>
    </row>
    <row r="70" spans="1:7">
      <c r="A70" t="s">
        <v>383</v>
      </c>
      <c r="B70" s="36">
        <v>46053</v>
      </c>
      <c r="C70" t="s">
        <v>35</v>
      </c>
      <c r="D70" t="s">
        <v>359</v>
      </c>
      <c r="E70" t="s">
        <v>24</v>
      </c>
      <c r="F70" s="3"/>
      <c r="G70" s="3" t="s">
        <v>426</v>
      </c>
    </row>
    <row r="71" spans="1:7">
      <c r="A71" t="s">
        <v>384</v>
      </c>
      <c r="B71" s="36">
        <v>46053</v>
      </c>
      <c r="C71" t="s">
        <v>35</v>
      </c>
      <c r="D71" t="s">
        <v>1294</v>
      </c>
      <c r="E71" t="s">
        <v>155</v>
      </c>
      <c r="F71" s="3"/>
      <c r="G71" s="3" t="s">
        <v>385</v>
      </c>
    </row>
    <row r="72" spans="1:7">
      <c r="A72" t="s">
        <v>386</v>
      </c>
      <c r="B72" s="36">
        <v>46053</v>
      </c>
      <c r="C72" t="s">
        <v>37</v>
      </c>
      <c r="D72" t="s">
        <v>387</v>
      </c>
      <c r="E72" t="s">
        <v>25</v>
      </c>
      <c r="F72" s="3"/>
      <c r="G72" s="3" t="s">
        <v>388</v>
      </c>
    </row>
    <row r="73" spans="1:7">
      <c r="A73" t="s">
        <v>389</v>
      </c>
      <c r="B73" s="36">
        <v>46053</v>
      </c>
      <c r="C73" t="s">
        <v>37</v>
      </c>
      <c r="D73" t="s">
        <v>370</v>
      </c>
      <c r="E73" t="s">
        <v>25</v>
      </c>
      <c r="F73" s="3"/>
      <c r="G73" s="3" t="s">
        <v>394</v>
      </c>
    </row>
    <row r="74" spans="1:7" s="34" customFormat="1">
      <c r="A74" t="s">
        <v>1287</v>
      </c>
      <c r="B74" s="36">
        <v>46053</v>
      </c>
      <c r="C74" t="s">
        <v>30</v>
      </c>
      <c r="D74" t="s">
        <v>307</v>
      </c>
      <c r="E74" t="s">
        <v>23</v>
      </c>
      <c r="F74" s="3"/>
      <c r="G74" s="3" t="s">
        <v>307</v>
      </c>
    </row>
    <row r="75" spans="1:7">
      <c r="A75" t="s">
        <v>1286</v>
      </c>
      <c r="B75" s="36">
        <v>46053</v>
      </c>
      <c r="C75" t="s">
        <v>35</v>
      </c>
      <c r="D75" t="s">
        <v>396</v>
      </c>
      <c r="E75" t="s">
        <v>25</v>
      </c>
      <c r="F75" s="3"/>
      <c r="G75" s="3" t="s">
        <v>397</v>
      </c>
    </row>
    <row r="76" spans="1:7">
      <c r="A76" t="s">
        <v>398</v>
      </c>
      <c r="B76" s="36">
        <v>46053</v>
      </c>
      <c r="C76" t="s">
        <v>295</v>
      </c>
      <c r="D76" t="s">
        <v>1297</v>
      </c>
      <c r="E76" t="s">
        <v>22</v>
      </c>
      <c r="F76" s="3"/>
      <c r="G76" s="3" t="s">
        <v>399</v>
      </c>
    </row>
    <row r="77" spans="1:7" s="63" customFormat="1">
      <c r="A77" t="s">
        <v>400</v>
      </c>
      <c r="B77" s="36">
        <v>46053</v>
      </c>
      <c r="C77" t="s">
        <v>295</v>
      </c>
      <c r="D77" t="s">
        <v>150</v>
      </c>
      <c r="E77" t="s">
        <v>22</v>
      </c>
      <c r="F77" s="3"/>
      <c r="G77" s="3" t="s">
        <v>401</v>
      </c>
    </row>
    <row r="78" spans="1:7">
      <c r="A78" t="s">
        <v>402</v>
      </c>
      <c r="B78" s="36">
        <v>46053</v>
      </c>
      <c r="C78" t="s">
        <v>33</v>
      </c>
      <c r="D78" t="s">
        <v>1292</v>
      </c>
      <c r="E78" t="s">
        <v>155</v>
      </c>
      <c r="F78" s="3"/>
      <c r="G78" s="3" t="s">
        <v>403</v>
      </c>
    </row>
    <row r="79" spans="1:7">
      <c r="A79" t="s">
        <v>405</v>
      </c>
      <c r="B79" s="36">
        <v>46053</v>
      </c>
      <c r="C79" t="s">
        <v>37</v>
      </c>
      <c r="D79" t="s">
        <v>406</v>
      </c>
      <c r="E79" t="s">
        <v>25</v>
      </c>
      <c r="F79" s="3"/>
      <c r="G79" s="3" t="s">
        <v>404</v>
      </c>
    </row>
    <row r="80" spans="1:7">
      <c r="A80" t="s">
        <v>407</v>
      </c>
      <c r="B80" s="36">
        <v>46053</v>
      </c>
      <c r="C80" t="s">
        <v>295</v>
      </c>
      <c r="D80" t="s">
        <v>1297</v>
      </c>
      <c r="E80" t="s">
        <v>22</v>
      </c>
      <c r="F80" s="3"/>
      <c r="G80" s="3" t="s">
        <v>408</v>
      </c>
    </row>
    <row r="81" spans="1:7">
      <c r="A81" t="s">
        <v>409</v>
      </c>
      <c r="B81" s="36">
        <v>46053</v>
      </c>
      <c r="C81" t="s">
        <v>37</v>
      </c>
      <c r="D81" t="s">
        <v>410</v>
      </c>
      <c r="E81" t="s">
        <v>24</v>
      </c>
      <c r="F81" s="3"/>
      <c r="G81" s="3" t="s">
        <v>411</v>
      </c>
    </row>
    <row r="82" spans="1:7">
      <c r="A82" t="s">
        <v>412</v>
      </c>
      <c r="B82" s="36">
        <v>46053</v>
      </c>
      <c r="C82" t="s">
        <v>295</v>
      </c>
      <c r="D82" t="s">
        <v>1297</v>
      </c>
      <c r="E82" t="s">
        <v>22</v>
      </c>
      <c r="F82" s="3"/>
      <c r="G82" s="3" t="s">
        <v>408</v>
      </c>
    </row>
    <row r="83" spans="1:7">
      <c r="A83" t="s">
        <v>413</v>
      </c>
      <c r="B83" s="36">
        <v>46053</v>
      </c>
      <c r="C83" t="s">
        <v>37</v>
      </c>
      <c r="D83" t="s">
        <v>370</v>
      </c>
      <c r="E83" t="s">
        <v>25</v>
      </c>
      <c r="F83" s="3"/>
      <c r="G83" s="3" t="s">
        <v>414</v>
      </c>
    </row>
    <row r="84" spans="1:7">
      <c r="A84" t="s">
        <v>415</v>
      </c>
      <c r="B84" s="36">
        <v>46053</v>
      </c>
      <c r="C84" t="s">
        <v>295</v>
      </c>
      <c r="D84" t="s">
        <v>881</v>
      </c>
      <c r="E84" t="s">
        <v>23</v>
      </c>
      <c r="F84" s="3"/>
      <c r="G84" s="3" t="s">
        <v>416</v>
      </c>
    </row>
    <row r="85" spans="1:7">
      <c r="A85" t="s">
        <v>417</v>
      </c>
      <c r="B85" s="36">
        <v>46053</v>
      </c>
      <c r="C85" t="s">
        <v>37</v>
      </c>
      <c r="D85" t="s">
        <v>410</v>
      </c>
      <c r="E85" t="s">
        <v>24</v>
      </c>
      <c r="F85" s="3"/>
      <c r="G85" s="3" t="s">
        <v>418</v>
      </c>
    </row>
    <row r="86" spans="1:7">
      <c r="A86" t="s">
        <v>419</v>
      </c>
      <c r="B86" s="36">
        <v>46053</v>
      </c>
      <c r="C86" t="s">
        <v>37</v>
      </c>
      <c r="D86" t="s">
        <v>370</v>
      </c>
      <c r="E86" t="s">
        <v>25</v>
      </c>
      <c r="F86" s="3"/>
      <c r="G86" s="3" t="s">
        <v>394</v>
      </c>
    </row>
    <row r="87" spans="1:7">
      <c r="A87" t="s">
        <v>1288</v>
      </c>
      <c r="B87" s="36">
        <v>46053</v>
      </c>
      <c r="C87" t="s">
        <v>30</v>
      </c>
      <c r="D87" t="s">
        <v>307</v>
      </c>
      <c r="E87" t="s">
        <v>23</v>
      </c>
      <c r="F87" s="3"/>
      <c r="G87" s="3" t="s">
        <v>307</v>
      </c>
    </row>
    <row r="88" spans="1:7" s="19" customFormat="1">
      <c r="A88" t="s">
        <v>420</v>
      </c>
      <c r="B88" s="36">
        <v>46053</v>
      </c>
      <c r="C88" t="s">
        <v>295</v>
      </c>
      <c r="D88" t="s">
        <v>1297</v>
      </c>
      <c r="E88" t="s">
        <v>22</v>
      </c>
      <c r="F88" s="3"/>
      <c r="G88" s="3" t="s">
        <v>408</v>
      </c>
    </row>
    <row r="89" spans="1:7">
      <c r="A89" t="s">
        <v>421</v>
      </c>
      <c r="B89" s="36">
        <v>46053</v>
      </c>
      <c r="C89" t="s">
        <v>37</v>
      </c>
      <c r="D89" t="s">
        <v>468</v>
      </c>
      <c r="E89" t="s">
        <v>25</v>
      </c>
      <c r="F89" s="3"/>
      <c r="G89" s="3" t="s">
        <v>422</v>
      </c>
    </row>
    <row r="90" spans="1:7">
      <c r="A90" t="s">
        <v>423</v>
      </c>
      <c r="B90" s="36">
        <v>46053</v>
      </c>
      <c r="C90" t="s">
        <v>35</v>
      </c>
      <c r="D90" t="s">
        <v>304</v>
      </c>
      <c r="E90" t="s">
        <v>24</v>
      </c>
      <c r="F90" s="3"/>
      <c r="G90" s="3" t="s">
        <v>431</v>
      </c>
    </row>
    <row r="91" spans="1:7">
      <c r="A91" t="s">
        <v>425</v>
      </c>
      <c r="B91" s="36">
        <v>46053</v>
      </c>
      <c r="C91" t="s">
        <v>35</v>
      </c>
      <c r="D91" t="s">
        <v>444</v>
      </c>
      <c r="E91" t="s">
        <v>24</v>
      </c>
      <c r="F91" s="3"/>
      <c r="G91" s="3" t="s">
        <v>447</v>
      </c>
    </row>
    <row r="92" spans="1:7">
      <c r="A92" t="s">
        <v>446</v>
      </c>
      <c r="B92" s="36">
        <v>46053</v>
      </c>
      <c r="C92" t="s">
        <v>35</v>
      </c>
      <c r="D92" t="s">
        <v>427</v>
      </c>
      <c r="E92" t="s">
        <v>24</v>
      </c>
      <c r="F92" s="3"/>
      <c r="G92" s="3" t="s">
        <v>429</v>
      </c>
    </row>
    <row r="93" spans="1:7">
      <c r="A93" t="s">
        <v>449</v>
      </c>
      <c r="B93" s="36">
        <v>46053</v>
      </c>
      <c r="C93" t="s">
        <v>35</v>
      </c>
      <c r="D93" t="s">
        <v>427</v>
      </c>
      <c r="E93" t="s">
        <v>24</v>
      </c>
      <c r="F93" s="3"/>
      <c r="G93" s="3" t="s">
        <v>342</v>
      </c>
    </row>
    <row r="94" spans="1:7">
      <c r="A94" t="s">
        <v>450</v>
      </c>
      <c r="B94" s="36">
        <v>46053</v>
      </c>
      <c r="C94" t="s">
        <v>37</v>
      </c>
      <c r="D94" t="s">
        <v>427</v>
      </c>
      <c r="E94" t="s">
        <v>24</v>
      </c>
      <c r="F94" s="3"/>
      <c r="G94" s="3" t="s">
        <v>451</v>
      </c>
    </row>
    <row r="95" spans="1:7">
      <c r="A95" t="s">
        <v>452</v>
      </c>
      <c r="B95" s="36">
        <v>46053</v>
      </c>
      <c r="C95" t="s">
        <v>484</v>
      </c>
      <c r="D95" t="s">
        <v>1297</v>
      </c>
      <c r="E95" t="s">
        <v>22</v>
      </c>
      <c r="F95" s="3"/>
      <c r="G95" s="3" t="s">
        <v>453</v>
      </c>
    </row>
    <row r="96" spans="1:7">
      <c r="A96" t="s">
        <v>454</v>
      </c>
      <c r="B96" s="36">
        <v>46053</v>
      </c>
      <c r="C96" t="s">
        <v>295</v>
      </c>
      <c r="D96" t="s">
        <v>307</v>
      </c>
      <c r="E96" t="s">
        <v>23</v>
      </c>
      <c r="F96" s="3"/>
      <c r="G96" s="3" t="s">
        <v>455</v>
      </c>
    </row>
    <row r="97" spans="1:7">
      <c r="A97" t="s">
        <v>456</v>
      </c>
      <c r="B97" s="36">
        <v>46053</v>
      </c>
      <c r="C97" t="s">
        <v>35</v>
      </c>
      <c r="D97" t="s">
        <v>381</v>
      </c>
      <c r="E97" t="s">
        <v>25</v>
      </c>
      <c r="F97" s="3"/>
      <c r="G97" s="3" t="s">
        <v>380</v>
      </c>
    </row>
    <row r="98" spans="1:7">
      <c r="A98" t="s">
        <v>457</v>
      </c>
      <c r="B98" s="36">
        <v>46053</v>
      </c>
      <c r="C98" t="s">
        <v>484</v>
      </c>
      <c r="D98" t="s">
        <v>307</v>
      </c>
      <c r="E98" t="s">
        <v>23</v>
      </c>
      <c r="F98" s="3"/>
      <c r="G98" s="3" t="s">
        <v>458</v>
      </c>
    </row>
    <row r="99" spans="1:7">
      <c r="A99" t="s">
        <v>459</v>
      </c>
      <c r="B99" s="36">
        <v>46053</v>
      </c>
      <c r="C99" t="s">
        <v>35</v>
      </c>
      <c r="D99" t="s">
        <v>1318</v>
      </c>
      <c r="E99" t="s">
        <v>24</v>
      </c>
      <c r="F99" s="3"/>
      <c r="G99" s="3" t="s">
        <v>460</v>
      </c>
    </row>
    <row r="100" spans="1:7">
      <c r="A100" t="s">
        <v>461</v>
      </c>
      <c r="B100" s="36">
        <v>46053</v>
      </c>
      <c r="C100" t="s">
        <v>35</v>
      </c>
      <c r="D100" t="s">
        <v>1311</v>
      </c>
      <c r="E100" t="s">
        <v>24</v>
      </c>
      <c r="F100" s="3"/>
      <c r="G100" s="3" t="s">
        <v>462</v>
      </c>
    </row>
    <row r="101" spans="1:7">
      <c r="A101" t="s">
        <v>463</v>
      </c>
      <c r="B101" s="36">
        <v>46053</v>
      </c>
      <c r="C101" t="s">
        <v>35</v>
      </c>
      <c r="D101" t="s">
        <v>1311</v>
      </c>
      <c r="E101" t="s">
        <v>24</v>
      </c>
      <c r="F101" s="3"/>
      <c r="G101" s="3" t="s">
        <v>464</v>
      </c>
    </row>
    <row r="102" spans="1:7">
      <c r="A102" t="s">
        <v>465</v>
      </c>
      <c r="B102" s="36">
        <v>46053</v>
      </c>
      <c r="C102" t="s">
        <v>35</v>
      </c>
      <c r="D102" t="s">
        <v>1318</v>
      </c>
      <c r="E102" t="s">
        <v>24</v>
      </c>
      <c r="F102" s="3"/>
      <c r="G102" s="3" t="s">
        <v>460</v>
      </c>
    </row>
    <row r="103" spans="1:7">
      <c r="A103" t="s">
        <v>466</v>
      </c>
      <c r="B103" s="36">
        <v>46053</v>
      </c>
      <c r="C103" t="s">
        <v>484</v>
      </c>
      <c r="D103" t="s">
        <v>804</v>
      </c>
      <c r="E103" t="s">
        <v>23</v>
      </c>
      <c r="F103" s="3"/>
      <c r="G103" s="3" t="s">
        <v>467</v>
      </c>
    </row>
    <row r="104" spans="1:7">
      <c r="A104" t="s">
        <v>469</v>
      </c>
      <c r="B104" s="36">
        <v>46053</v>
      </c>
      <c r="C104" t="s">
        <v>35</v>
      </c>
      <c r="D104" t="s">
        <v>1318</v>
      </c>
      <c r="E104" t="s">
        <v>24</v>
      </c>
      <c r="F104" s="3"/>
      <c r="G104" s="3" t="s">
        <v>460</v>
      </c>
    </row>
    <row r="105" spans="1:7" s="63" customFormat="1">
      <c r="A105" t="s">
        <v>470</v>
      </c>
      <c r="B105" s="36">
        <v>46053</v>
      </c>
      <c r="C105" t="s">
        <v>484</v>
      </c>
      <c r="D105" t="s">
        <v>1313</v>
      </c>
      <c r="E105" t="s">
        <v>24</v>
      </c>
      <c r="F105" s="3"/>
      <c r="G105" s="3" t="s">
        <v>471</v>
      </c>
    </row>
    <row r="106" spans="1:7">
      <c r="A106" t="s">
        <v>472</v>
      </c>
      <c r="B106" s="36">
        <v>46053</v>
      </c>
      <c r="C106" t="s">
        <v>484</v>
      </c>
      <c r="D106" t="s">
        <v>804</v>
      </c>
      <c r="E106" t="s">
        <v>23</v>
      </c>
      <c r="F106" s="3"/>
      <c r="G106" s="3" t="s">
        <v>473</v>
      </c>
    </row>
    <row r="107" spans="1:7">
      <c r="A107" t="s">
        <v>474</v>
      </c>
      <c r="B107" s="36">
        <v>46053</v>
      </c>
      <c r="C107" t="s">
        <v>35</v>
      </c>
      <c r="D107" t="s">
        <v>1315</v>
      </c>
      <c r="E107" t="s">
        <v>24</v>
      </c>
      <c r="F107" s="3"/>
      <c r="G107" s="3" t="s">
        <v>315</v>
      </c>
    </row>
    <row r="108" spans="1:7">
      <c r="A108" t="s">
        <v>475</v>
      </c>
      <c r="B108" s="36">
        <v>46053</v>
      </c>
      <c r="C108" t="s">
        <v>35</v>
      </c>
      <c r="D108" t="s">
        <v>1294</v>
      </c>
      <c r="E108" t="s">
        <v>155</v>
      </c>
      <c r="F108" s="3"/>
      <c r="G108" s="3" t="s">
        <v>476</v>
      </c>
    </row>
    <row r="109" spans="1:7">
      <c r="A109" t="s">
        <v>477</v>
      </c>
      <c r="B109" s="36">
        <v>46053</v>
      </c>
      <c r="C109" t="s">
        <v>37</v>
      </c>
      <c r="D109" t="s">
        <v>370</v>
      </c>
      <c r="E109" t="s">
        <v>25</v>
      </c>
      <c r="F109" s="3"/>
      <c r="G109" s="3" t="s">
        <v>478</v>
      </c>
    </row>
    <row r="110" spans="1:7">
      <c r="A110" t="s">
        <v>1327</v>
      </c>
      <c r="B110" s="36">
        <v>46053</v>
      </c>
      <c r="C110" t="s">
        <v>295</v>
      </c>
      <c r="D110" t="s">
        <v>359</v>
      </c>
      <c r="E110" t="s">
        <v>24</v>
      </c>
      <c r="F110" s="3"/>
      <c r="G110" s="3" t="s">
        <v>426</v>
      </c>
    </row>
    <row r="111" spans="1:7">
      <c r="A111" t="s">
        <v>479</v>
      </c>
      <c r="B111" s="36">
        <v>46053</v>
      </c>
      <c r="C111" t="s">
        <v>484</v>
      </c>
      <c r="D111" t="s">
        <v>359</v>
      </c>
      <c r="E111" t="s">
        <v>24</v>
      </c>
      <c r="F111" s="3"/>
      <c r="G111" s="3" t="s">
        <v>426</v>
      </c>
    </row>
    <row r="112" spans="1:7">
      <c r="A112" t="s">
        <v>480</v>
      </c>
      <c r="B112" s="36">
        <v>46053</v>
      </c>
      <c r="C112" t="s">
        <v>484</v>
      </c>
      <c r="D112" t="s">
        <v>307</v>
      </c>
      <c r="E112" t="s">
        <v>23</v>
      </c>
      <c r="F112" s="3"/>
      <c r="G112" s="3" t="s">
        <v>307</v>
      </c>
    </row>
    <row r="113" spans="1:7">
      <c r="A113" t="s">
        <v>483</v>
      </c>
      <c r="B113" s="36">
        <v>46053</v>
      </c>
      <c r="C113" t="s">
        <v>484</v>
      </c>
      <c r="D113" t="s">
        <v>1297</v>
      </c>
      <c r="E113" t="s">
        <v>22</v>
      </c>
      <c r="F113" s="3"/>
      <c r="G113" s="3" t="s">
        <v>487</v>
      </c>
    </row>
    <row r="114" spans="1:7">
      <c r="A114" t="s">
        <v>488</v>
      </c>
      <c r="B114" s="36">
        <v>46053</v>
      </c>
      <c r="C114" t="s">
        <v>29</v>
      </c>
      <c r="D114" t="s">
        <v>489</v>
      </c>
      <c r="E114" t="s">
        <v>22</v>
      </c>
      <c r="F114" s="3"/>
      <c r="G114" s="3" t="s">
        <v>491</v>
      </c>
    </row>
    <row r="115" spans="1:7">
      <c r="A115" t="s">
        <v>490</v>
      </c>
      <c r="B115" s="36">
        <v>46053</v>
      </c>
      <c r="C115" t="s">
        <v>29</v>
      </c>
      <c r="D115" t="s">
        <v>842</v>
      </c>
      <c r="E115" t="s">
        <v>22</v>
      </c>
      <c r="F115" s="3"/>
      <c r="G115" s="3" t="s">
        <v>152</v>
      </c>
    </row>
    <row r="116" spans="1:7">
      <c r="A116" t="s">
        <v>492</v>
      </c>
      <c r="B116" s="36">
        <v>46053</v>
      </c>
      <c r="C116" t="s">
        <v>29</v>
      </c>
      <c r="D116" t="s">
        <v>427</v>
      </c>
      <c r="E116" t="s">
        <v>23</v>
      </c>
      <c r="F116" s="3"/>
      <c r="G116" s="3" t="s">
        <v>504</v>
      </c>
    </row>
    <row r="117" spans="1:7">
      <c r="A117" t="s">
        <v>494</v>
      </c>
      <c r="B117" s="36">
        <v>46053</v>
      </c>
      <c r="C117" t="s">
        <v>29</v>
      </c>
      <c r="D117" t="s">
        <v>1300</v>
      </c>
      <c r="E117" t="s">
        <v>23</v>
      </c>
      <c r="F117" s="3"/>
      <c r="G117" s="3" t="s">
        <v>496</v>
      </c>
    </row>
    <row r="118" spans="1:7">
      <c r="A118" t="s">
        <v>497</v>
      </c>
      <c r="B118" s="36">
        <v>46053</v>
      </c>
      <c r="C118" t="s">
        <v>29</v>
      </c>
      <c r="D118" t="s">
        <v>427</v>
      </c>
      <c r="E118" t="s">
        <v>23</v>
      </c>
      <c r="F118" s="3"/>
      <c r="G118" s="3" t="s">
        <v>498</v>
      </c>
    </row>
    <row r="119" spans="1:7">
      <c r="A119" t="s">
        <v>499</v>
      </c>
      <c r="B119" s="36">
        <v>46053</v>
      </c>
      <c r="C119" t="s">
        <v>29</v>
      </c>
      <c r="D119" t="s">
        <v>427</v>
      </c>
      <c r="E119" t="s">
        <v>23</v>
      </c>
      <c r="F119" s="3"/>
      <c r="G119" s="3" t="s">
        <v>500</v>
      </c>
    </row>
    <row r="120" spans="1:7">
      <c r="A120" t="s">
        <v>501</v>
      </c>
      <c r="B120" s="36">
        <v>46053</v>
      </c>
      <c r="C120" t="s">
        <v>29</v>
      </c>
      <c r="D120" t="s">
        <v>1300</v>
      </c>
      <c r="E120" t="s">
        <v>23</v>
      </c>
      <c r="F120" s="3"/>
      <c r="G120" s="3" t="s">
        <v>502</v>
      </c>
    </row>
    <row r="121" spans="1:7">
      <c r="A121" t="s">
        <v>505</v>
      </c>
      <c r="B121" s="36">
        <v>46053</v>
      </c>
      <c r="C121" t="s">
        <v>29</v>
      </c>
      <c r="D121" t="s">
        <v>1302</v>
      </c>
      <c r="E121" t="s">
        <v>23</v>
      </c>
      <c r="F121" s="3"/>
      <c r="G121" s="3" t="s">
        <v>526</v>
      </c>
    </row>
    <row r="122" spans="1:7">
      <c r="A122" t="s">
        <v>506</v>
      </c>
      <c r="B122" s="36">
        <v>46053</v>
      </c>
      <c r="C122" t="s">
        <v>35</v>
      </c>
      <c r="D122" t="s">
        <v>304</v>
      </c>
      <c r="E122" t="s">
        <v>24</v>
      </c>
      <c r="F122" s="3"/>
      <c r="G122" s="3" t="s">
        <v>431</v>
      </c>
    </row>
    <row r="123" spans="1:7">
      <c r="A123" t="s">
        <v>507</v>
      </c>
      <c r="B123" s="36">
        <v>46053</v>
      </c>
      <c r="C123" t="s">
        <v>29</v>
      </c>
      <c r="D123" t="s">
        <v>1302</v>
      </c>
      <c r="E123" t="s">
        <v>23</v>
      </c>
      <c r="F123" s="3"/>
      <c r="G123" s="3" t="s">
        <v>526</v>
      </c>
    </row>
    <row r="124" spans="1:7">
      <c r="A124" t="s">
        <v>508</v>
      </c>
      <c r="B124" s="36">
        <v>46053</v>
      </c>
      <c r="C124" t="s">
        <v>29</v>
      </c>
      <c r="D124" t="s">
        <v>427</v>
      </c>
      <c r="E124" t="s">
        <v>24</v>
      </c>
      <c r="F124" s="3"/>
      <c r="G124" s="3" t="s">
        <v>509</v>
      </c>
    </row>
    <row r="125" spans="1:7">
      <c r="A125" t="s">
        <v>510</v>
      </c>
      <c r="B125" s="36">
        <v>46053</v>
      </c>
      <c r="C125" t="s">
        <v>29</v>
      </c>
      <c r="D125" t="s">
        <v>1300</v>
      </c>
      <c r="E125" t="s">
        <v>23</v>
      </c>
      <c r="F125" s="3"/>
      <c r="G125" s="3" t="s">
        <v>500</v>
      </c>
    </row>
    <row r="126" spans="1:7">
      <c r="A126" t="s">
        <v>511</v>
      </c>
      <c r="B126" s="36">
        <v>46053</v>
      </c>
      <c r="C126" t="s">
        <v>29</v>
      </c>
      <c r="D126" t="s">
        <v>427</v>
      </c>
      <c r="E126" t="s">
        <v>23</v>
      </c>
      <c r="F126" s="3"/>
      <c r="G126" s="3" t="s">
        <v>512</v>
      </c>
    </row>
    <row r="127" spans="1:7">
      <c r="A127" t="s">
        <v>513</v>
      </c>
      <c r="B127" s="36">
        <v>46053</v>
      </c>
      <c r="C127" t="s">
        <v>29</v>
      </c>
      <c r="D127" t="s">
        <v>427</v>
      </c>
      <c r="E127" t="s">
        <v>23</v>
      </c>
      <c r="F127" s="3"/>
      <c r="G127" s="3" t="s">
        <v>498</v>
      </c>
    </row>
    <row r="128" spans="1:7">
      <c r="A128" t="s">
        <v>514</v>
      </c>
      <c r="B128" s="36">
        <v>46053</v>
      </c>
      <c r="C128" t="s">
        <v>29</v>
      </c>
      <c r="D128" t="s">
        <v>427</v>
      </c>
      <c r="E128" t="s">
        <v>23</v>
      </c>
      <c r="F128" s="3"/>
      <c r="G128" s="3" t="s">
        <v>515</v>
      </c>
    </row>
    <row r="129" spans="1:7">
      <c r="A129" t="s">
        <v>516</v>
      </c>
      <c r="B129" s="36">
        <v>46053</v>
      </c>
      <c r="C129" t="s">
        <v>29</v>
      </c>
      <c r="D129" t="s">
        <v>1300</v>
      </c>
      <c r="E129" t="s">
        <v>23</v>
      </c>
      <c r="F129" s="3"/>
      <c r="G129" s="3" t="s">
        <v>517</v>
      </c>
    </row>
    <row r="130" spans="1:7">
      <c r="A130" t="s">
        <v>518</v>
      </c>
      <c r="B130" s="36">
        <v>46053</v>
      </c>
      <c r="C130" t="s">
        <v>29</v>
      </c>
      <c r="D130" t="s">
        <v>427</v>
      </c>
      <c r="E130" t="s">
        <v>23</v>
      </c>
      <c r="F130" s="3"/>
      <c r="G130" s="3" t="s">
        <v>519</v>
      </c>
    </row>
    <row r="131" spans="1:7">
      <c r="A131" t="s">
        <v>520</v>
      </c>
      <c r="B131" s="36">
        <v>46053</v>
      </c>
      <c r="C131" t="s">
        <v>29</v>
      </c>
      <c r="D131" t="s">
        <v>427</v>
      </c>
      <c r="E131" t="s">
        <v>23</v>
      </c>
      <c r="F131" s="3"/>
      <c r="G131" s="3" t="s">
        <v>521</v>
      </c>
    </row>
    <row r="132" spans="1:7">
      <c r="A132" t="s">
        <v>522</v>
      </c>
      <c r="B132" s="36">
        <v>46053</v>
      </c>
      <c r="C132" t="s">
        <v>29</v>
      </c>
      <c r="D132" t="s">
        <v>427</v>
      </c>
      <c r="E132" t="s">
        <v>23</v>
      </c>
      <c r="F132" s="3"/>
      <c r="G132" s="3" t="s">
        <v>500</v>
      </c>
    </row>
    <row r="133" spans="1:7">
      <c r="A133" t="s">
        <v>523</v>
      </c>
      <c r="B133" s="36">
        <v>46053</v>
      </c>
      <c r="C133" t="s">
        <v>29</v>
      </c>
      <c r="D133" t="s">
        <v>427</v>
      </c>
      <c r="E133" t="s">
        <v>23</v>
      </c>
      <c r="F133" s="3"/>
      <c r="G133" s="3" t="s">
        <v>521</v>
      </c>
    </row>
    <row r="134" spans="1:7">
      <c r="A134" t="s">
        <v>524</v>
      </c>
      <c r="B134" s="36">
        <v>46053</v>
      </c>
      <c r="C134" t="s">
        <v>35</v>
      </c>
      <c r="D134" t="s">
        <v>427</v>
      </c>
      <c r="E134" t="s">
        <v>24</v>
      </c>
      <c r="F134" s="3"/>
      <c r="G134" s="3" t="s">
        <v>429</v>
      </c>
    </row>
    <row r="135" spans="1:7">
      <c r="A135" t="s">
        <v>525</v>
      </c>
      <c r="B135" s="36">
        <v>46053</v>
      </c>
      <c r="C135" t="s">
        <v>35</v>
      </c>
      <c r="D135" t="s">
        <v>427</v>
      </c>
      <c r="E135" t="s">
        <v>24</v>
      </c>
      <c r="F135" s="3"/>
      <c r="G135" s="3" t="s">
        <v>342</v>
      </c>
    </row>
    <row r="136" spans="1:7">
      <c r="A136" t="s">
        <v>527</v>
      </c>
      <c r="B136" s="36">
        <v>46053</v>
      </c>
      <c r="C136" t="s">
        <v>29</v>
      </c>
      <c r="D136" t="s">
        <v>427</v>
      </c>
      <c r="E136" t="s">
        <v>24</v>
      </c>
      <c r="F136" s="3"/>
      <c r="G136" s="3" t="s">
        <v>528</v>
      </c>
    </row>
    <row r="137" spans="1:7">
      <c r="A137" t="s">
        <v>530</v>
      </c>
      <c r="B137" s="36">
        <v>46053</v>
      </c>
      <c r="C137" t="s">
        <v>29</v>
      </c>
      <c r="D137" t="s">
        <v>1317</v>
      </c>
      <c r="E137" t="s">
        <v>24</v>
      </c>
      <c r="F137" s="3"/>
      <c r="G137" s="3" t="s">
        <v>531</v>
      </c>
    </row>
    <row r="138" spans="1:7">
      <c r="A138" t="s">
        <v>532</v>
      </c>
      <c r="B138" s="36">
        <v>46053</v>
      </c>
      <c r="C138" t="s">
        <v>29</v>
      </c>
      <c r="D138" t="s">
        <v>1300</v>
      </c>
      <c r="E138" t="s">
        <v>23</v>
      </c>
      <c r="F138" s="3"/>
      <c r="G138" s="3" t="s">
        <v>519</v>
      </c>
    </row>
    <row r="139" spans="1:7">
      <c r="A139" t="s">
        <v>533</v>
      </c>
      <c r="B139" s="36">
        <v>46053</v>
      </c>
      <c r="C139" t="s">
        <v>29</v>
      </c>
      <c r="D139" t="s">
        <v>427</v>
      </c>
      <c r="E139" t="s">
        <v>23</v>
      </c>
      <c r="F139" s="3"/>
      <c r="G139" s="3" t="s">
        <v>534</v>
      </c>
    </row>
    <row r="140" spans="1:7">
      <c r="A140" t="s">
        <v>535</v>
      </c>
      <c r="B140" s="36">
        <v>46053</v>
      </c>
      <c r="C140" t="s">
        <v>37</v>
      </c>
      <c r="D140" t="s">
        <v>427</v>
      </c>
      <c r="E140" t="s">
        <v>24</v>
      </c>
      <c r="F140" s="3"/>
      <c r="G140" s="3" t="s">
        <v>451</v>
      </c>
    </row>
    <row r="141" spans="1:7">
      <c r="A141" t="s">
        <v>538</v>
      </c>
      <c r="B141" s="36">
        <v>46053</v>
      </c>
      <c r="C141" t="s">
        <v>29</v>
      </c>
      <c r="D141" t="s">
        <v>495</v>
      </c>
      <c r="E141" t="s">
        <v>23</v>
      </c>
      <c r="F141" s="3"/>
      <c r="G141" s="3" t="s">
        <v>152</v>
      </c>
    </row>
    <row r="142" spans="1:7">
      <c r="A142" t="s">
        <v>539</v>
      </c>
      <c r="B142" s="36">
        <v>46053</v>
      </c>
      <c r="C142" t="s">
        <v>29</v>
      </c>
      <c r="D142" t="s">
        <v>427</v>
      </c>
      <c r="E142" t="s">
        <v>23</v>
      </c>
      <c r="F142" s="3"/>
      <c r="G142" s="3" t="s">
        <v>521</v>
      </c>
    </row>
    <row r="143" spans="1:7">
      <c r="A143" t="s">
        <v>540</v>
      </c>
      <c r="B143" s="36">
        <v>46053</v>
      </c>
      <c r="C143" t="s">
        <v>37</v>
      </c>
      <c r="D143" t="s">
        <v>1305</v>
      </c>
      <c r="E143" t="s">
        <v>24</v>
      </c>
      <c r="F143" s="3"/>
      <c r="G143" s="3" t="s">
        <v>541</v>
      </c>
    </row>
    <row r="144" spans="1:7">
      <c r="A144" t="s">
        <v>542</v>
      </c>
      <c r="B144" s="36">
        <v>46053</v>
      </c>
      <c r="C144" t="s">
        <v>29</v>
      </c>
      <c r="D144" t="s">
        <v>1300</v>
      </c>
      <c r="E144" t="s">
        <v>23</v>
      </c>
      <c r="F144" s="3"/>
      <c r="G144" s="3" t="s">
        <v>504</v>
      </c>
    </row>
    <row r="145" spans="1:7">
      <c r="A145" t="s">
        <v>543</v>
      </c>
      <c r="B145" s="36">
        <v>46053</v>
      </c>
      <c r="C145" t="s">
        <v>29</v>
      </c>
      <c r="D145" t="s">
        <v>1302</v>
      </c>
      <c r="E145" t="s">
        <v>23</v>
      </c>
      <c r="F145" s="3"/>
      <c r="G145" s="3" t="s">
        <v>153</v>
      </c>
    </row>
    <row r="146" spans="1:7">
      <c r="A146" t="s">
        <v>544</v>
      </c>
      <c r="B146" s="36">
        <v>46053</v>
      </c>
      <c r="C146" t="s">
        <v>29</v>
      </c>
      <c r="D146" t="s">
        <v>427</v>
      </c>
      <c r="E146" t="s">
        <v>24</v>
      </c>
      <c r="F146" s="3"/>
      <c r="G146" s="3" t="s">
        <v>546</v>
      </c>
    </row>
    <row r="147" spans="1:7">
      <c r="A147" t="s">
        <v>545</v>
      </c>
      <c r="B147" s="36">
        <v>46053</v>
      </c>
      <c r="C147" t="s">
        <v>29</v>
      </c>
      <c r="D147" t="s">
        <v>427</v>
      </c>
      <c r="E147" t="s">
        <v>24</v>
      </c>
      <c r="F147" s="3"/>
      <c r="G147" s="3" t="s">
        <v>546</v>
      </c>
    </row>
    <row r="148" spans="1:7">
      <c r="A148" t="s">
        <v>547</v>
      </c>
      <c r="B148" s="36">
        <v>46053</v>
      </c>
      <c r="C148" t="s">
        <v>29</v>
      </c>
      <c r="D148" t="s">
        <v>548</v>
      </c>
      <c r="E148" t="s">
        <v>25</v>
      </c>
      <c r="F148" s="3"/>
      <c r="G148" s="3" t="s">
        <v>549</v>
      </c>
    </row>
    <row r="149" spans="1:7">
      <c r="A149" t="s">
        <v>550</v>
      </c>
      <c r="B149" s="36">
        <v>46053</v>
      </c>
      <c r="C149" t="s">
        <v>35</v>
      </c>
      <c r="D149" t="s">
        <v>381</v>
      </c>
      <c r="E149" t="s">
        <v>25</v>
      </c>
      <c r="F149" s="3"/>
      <c r="G149" s="3" t="s">
        <v>551</v>
      </c>
    </row>
    <row r="150" spans="1:7">
      <c r="A150" t="s">
        <v>552</v>
      </c>
      <c r="B150" s="36">
        <v>46053</v>
      </c>
      <c r="C150" t="s">
        <v>29</v>
      </c>
      <c r="D150" t="s">
        <v>307</v>
      </c>
      <c r="E150" t="s">
        <v>23</v>
      </c>
      <c r="F150" s="3"/>
      <c r="G150" s="3" t="s">
        <v>551</v>
      </c>
    </row>
    <row r="151" spans="1:7">
      <c r="A151" t="s">
        <v>553</v>
      </c>
      <c r="B151" s="36">
        <v>46053</v>
      </c>
      <c r="C151" t="s">
        <v>29</v>
      </c>
      <c r="D151" t="s">
        <v>427</v>
      </c>
      <c r="E151" t="s">
        <v>23</v>
      </c>
      <c r="F151" s="3"/>
      <c r="G151" s="3" t="s">
        <v>521</v>
      </c>
    </row>
    <row r="152" spans="1:7">
      <c r="A152" t="s">
        <v>554</v>
      </c>
      <c r="B152" s="36">
        <v>46053</v>
      </c>
      <c r="C152" t="s">
        <v>29</v>
      </c>
      <c r="D152" t="s">
        <v>427</v>
      </c>
      <c r="E152" t="s">
        <v>23</v>
      </c>
      <c r="F152" s="3"/>
      <c r="G152" s="3" t="s">
        <v>555</v>
      </c>
    </row>
    <row r="153" spans="1:7">
      <c r="A153" t="s">
        <v>556</v>
      </c>
      <c r="B153" s="36">
        <v>46053</v>
      </c>
      <c r="C153" t="s">
        <v>29</v>
      </c>
      <c r="D153" t="s">
        <v>1300</v>
      </c>
      <c r="E153" t="s">
        <v>23</v>
      </c>
      <c r="F153" s="3"/>
      <c r="G153" s="3" t="s">
        <v>504</v>
      </c>
    </row>
    <row r="154" spans="1:7">
      <c r="A154" t="s">
        <v>557</v>
      </c>
      <c r="B154" s="36">
        <v>46053</v>
      </c>
      <c r="C154" t="s">
        <v>29</v>
      </c>
      <c r="D154" t="s">
        <v>1313</v>
      </c>
      <c r="E154" t="s">
        <v>24</v>
      </c>
      <c r="F154" s="3"/>
      <c r="G154" s="3" t="s">
        <v>471</v>
      </c>
    </row>
    <row r="155" spans="1:7">
      <c r="A155" t="s">
        <v>558</v>
      </c>
      <c r="B155" s="36">
        <v>46053</v>
      </c>
      <c r="C155" t="s">
        <v>29</v>
      </c>
      <c r="D155" t="s">
        <v>427</v>
      </c>
      <c r="E155" t="s">
        <v>24</v>
      </c>
      <c r="F155" s="3"/>
      <c r="G155" s="3" t="s">
        <v>546</v>
      </c>
    </row>
    <row r="156" spans="1:7">
      <c r="A156" t="s">
        <v>559</v>
      </c>
      <c r="B156" s="36">
        <v>46053</v>
      </c>
      <c r="C156" t="s">
        <v>29</v>
      </c>
      <c r="D156" t="s">
        <v>1302</v>
      </c>
      <c r="E156" t="s">
        <v>23</v>
      </c>
      <c r="F156" s="3"/>
      <c r="G156" s="3" t="s">
        <v>560</v>
      </c>
    </row>
    <row r="157" spans="1:7">
      <c r="A157" t="s">
        <v>561</v>
      </c>
      <c r="B157" s="36">
        <v>46053</v>
      </c>
      <c r="C157" t="s">
        <v>29</v>
      </c>
      <c r="D157" t="s">
        <v>1313</v>
      </c>
      <c r="E157" t="s">
        <v>24</v>
      </c>
      <c r="F157" s="3"/>
      <c r="G157" s="3" t="s">
        <v>471</v>
      </c>
    </row>
    <row r="158" spans="1:7">
      <c r="A158" t="s">
        <v>562</v>
      </c>
      <c r="B158" s="36">
        <v>46053</v>
      </c>
      <c r="C158" t="s">
        <v>35</v>
      </c>
      <c r="D158" t="s">
        <v>1322</v>
      </c>
      <c r="E158" t="s">
        <v>24</v>
      </c>
      <c r="F158" s="3"/>
      <c r="G158" s="3" t="s">
        <v>563</v>
      </c>
    </row>
    <row r="159" spans="1:7" s="19" customFormat="1">
      <c r="A159" t="s">
        <v>564</v>
      </c>
      <c r="B159" s="36">
        <v>46053</v>
      </c>
      <c r="C159" t="s">
        <v>35</v>
      </c>
      <c r="D159" t="s">
        <v>1315</v>
      </c>
      <c r="E159" t="s">
        <v>24</v>
      </c>
      <c r="F159" s="3"/>
      <c r="G159" s="3" t="s">
        <v>315</v>
      </c>
    </row>
    <row r="160" spans="1:7">
      <c r="A160" t="s">
        <v>565</v>
      </c>
      <c r="B160" s="36">
        <v>46053</v>
      </c>
      <c r="C160" t="s">
        <v>29</v>
      </c>
      <c r="D160" t="s">
        <v>1295</v>
      </c>
      <c r="E160" t="s">
        <v>22</v>
      </c>
      <c r="F160" s="3"/>
      <c r="G160" s="3" t="s">
        <v>566</v>
      </c>
    </row>
    <row r="161" spans="1:30">
      <c r="A161" t="s">
        <v>567</v>
      </c>
      <c r="B161" s="36">
        <v>46053</v>
      </c>
      <c r="C161" t="s">
        <v>29</v>
      </c>
      <c r="D161" t="s">
        <v>1295</v>
      </c>
      <c r="E161" t="s">
        <v>22</v>
      </c>
      <c r="F161" s="3"/>
      <c r="G161" s="3" t="s">
        <v>491</v>
      </c>
    </row>
    <row r="162" spans="1:30">
      <c r="A162" t="s">
        <v>568</v>
      </c>
      <c r="B162" s="36">
        <v>46053</v>
      </c>
      <c r="C162" t="s">
        <v>29</v>
      </c>
      <c r="D162" t="s">
        <v>842</v>
      </c>
      <c r="E162" t="s">
        <v>22</v>
      </c>
      <c r="F162" s="3"/>
      <c r="G162" s="3" t="s">
        <v>152</v>
      </c>
    </row>
    <row r="163" spans="1:30">
      <c r="A163" t="s">
        <v>569</v>
      </c>
      <c r="B163" s="36">
        <v>46053</v>
      </c>
      <c r="C163" t="s">
        <v>29</v>
      </c>
      <c r="D163" t="s">
        <v>1300</v>
      </c>
      <c r="E163" t="s">
        <v>23</v>
      </c>
      <c r="F163" s="3"/>
      <c r="G163" s="3" t="s">
        <v>504</v>
      </c>
    </row>
    <row r="164" spans="1:30">
      <c r="A164" t="s">
        <v>570</v>
      </c>
      <c r="B164" s="36">
        <v>46053</v>
      </c>
      <c r="C164" t="s">
        <v>29</v>
      </c>
      <c r="D164" t="s">
        <v>572</v>
      </c>
      <c r="E164" t="s">
        <v>23</v>
      </c>
      <c r="F164" s="3"/>
      <c r="G164" s="3" t="s">
        <v>152</v>
      </c>
    </row>
    <row r="165" spans="1:30">
      <c r="A165" t="s">
        <v>571</v>
      </c>
      <c r="B165" s="36">
        <v>46053</v>
      </c>
      <c r="C165" t="s">
        <v>29</v>
      </c>
      <c r="D165" t="s">
        <v>572</v>
      </c>
      <c r="E165" t="s">
        <v>23</v>
      </c>
      <c r="F165" s="3"/>
      <c r="G165" s="3" t="s">
        <v>152</v>
      </c>
    </row>
    <row r="166" spans="1:30">
      <c r="A166" t="s">
        <v>573</v>
      </c>
      <c r="B166" s="36">
        <v>46053</v>
      </c>
      <c r="C166" t="s">
        <v>29</v>
      </c>
      <c r="D166" t="s">
        <v>1350</v>
      </c>
      <c r="E166" t="s">
        <v>23</v>
      </c>
      <c r="F166" s="3"/>
      <c r="G166" s="3" t="s">
        <v>528</v>
      </c>
    </row>
    <row r="167" spans="1:30">
      <c r="A167" t="s">
        <v>574</v>
      </c>
      <c r="B167" s="36">
        <v>46053</v>
      </c>
      <c r="C167" t="s">
        <v>29</v>
      </c>
      <c r="D167" t="s">
        <v>572</v>
      </c>
      <c r="E167" t="s">
        <v>23</v>
      </c>
      <c r="F167" s="3"/>
      <c r="G167" s="3" t="s">
        <v>152</v>
      </c>
    </row>
    <row r="168" spans="1:30">
      <c r="A168" t="s">
        <v>575</v>
      </c>
      <c r="B168" s="36">
        <v>46053</v>
      </c>
      <c r="C168" t="s">
        <v>29</v>
      </c>
      <c r="D168" t="s">
        <v>1350</v>
      </c>
      <c r="E168" t="s">
        <v>23</v>
      </c>
      <c r="F168" s="3"/>
      <c r="G168" s="3" t="s">
        <v>528</v>
      </c>
    </row>
    <row r="169" spans="1:30">
      <c r="A169" t="s">
        <v>576</v>
      </c>
      <c r="B169" s="36">
        <v>46053</v>
      </c>
      <c r="C169" t="s">
        <v>29</v>
      </c>
      <c r="D169" t="s">
        <v>1316</v>
      </c>
      <c r="E169" t="s">
        <v>24</v>
      </c>
      <c r="F169" s="3"/>
      <c r="G169" s="3" t="s">
        <v>509</v>
      </c>
    </row>
    <row r="170" spans="1:30">
      <c r="A170" t="s">
        <v>577</v>
      </c>
      <c r="B170" s="36">
        <v>46053</v>
      </c>
      <c r="C170" t="s">
        <v>29</v>
      </c>
      <c r="D170" t="s">
        <v>1295</v>
      </c>
      <c r="E170" t="s">
        <v>22</v>
      </c>
      <c r="F170" s="3"/>
      <c r="G170" s="3" t="s">
        <v>578</v>
      </c>
    </row>
    <row r="171" spans="1:30">
      <c r="A171" t="s">
        <v>579</v>
      </c>
      <c r="B171" s="36">
        <v>46053</v>
      </c>
      <c r="C171" t="s">
        <v>29</v>
      </c>
      <c r="D171" t="s">
        <v>307</v>
      </c>
      <c r="E171" t="s">
        <v>23</v>
      </c>
      <c r="F171" s="3"/>
      <c r="G171" s="3" t="s">
        <v>307</v>
      </c>
    </row>
    <row r="172" spans="1:30">
      <c r="A172" t="s">
        <v>580</v>
      </c>
      <c r="B172" s="36">
        <v>46053</v>
      </c>
      <c r="C172" t="s">
        <v>29</v>
      </c>
      <c r="D172" t="s">
        <v>1314</v>
      </c>
      <c r="E172" t="s">
        <v>24</v>
      </c>
      <c r="F172" s="3"/>
      <c r="G172" s="3" t="s">
        <v>581</v>
      </c>
      <c r="I172" s="36"/>
      <c r="N172" s="3"/>
      <c r="P172" s="36"/>
      <c r="U172" s="3"/>
      <c r="W172" s="36"/>
      <c r="AB172" s="3"/>
      <c r="AD172" s="36"/>
    </row>
    <row r="173" spans="1:30">
      <c r="A173" t="s">
        <v>582</v>
      </c>
      <c r="B173" s="36">
        <v>46053</v>
      </c>
      <c r="C173" t="s">
        <v>29</v>
      </c>
      <c r="D173" t="s">
        <v>1295</v>
      </c>
      <c r="E173" t="s">
        <v>22</v>
      </c>
      <c r="F173" s="3"/>
      <c r="G173" s="3" t="s">
        <v>581</v>
      </c>
      <c r="I173" s="36"/>
      <c r="N173" s="3"/>
      <c r="P173" s="36"/>
      <c r="U173" s="3"/>
      <c r="W173" s="36"/>
      <c r="AB173" s="3"/>
      <c r="AD173" s="36"/>
    </row>
    <row r="174" spans="1:30">
      <c r="A174" t="s">
        <v>583</v>
      </c>
      <c r="B174" s="36">
        <v>46053</v>
      </c>
      <c r="C174" t="s">
        <v>29</v>
      </c>
      <c r="D174" t="s">
        <v>1948</v>
      </c>
      <c r="E174" t="s">
        <v>23</v>
      </c>
      <c r="F174" s="3"/>
      <c r="G174" s="3" t="s">
        <v>152</v>
      </c>
      <c r="I174" s="36"/>
      <c r="N174" s="3"/>
      <c r="P174" s="36"/>
      <c r="U174" s="3"/>
      <c r="W174" s="36"/>
      <c r="AB174" s="3"/>
      <c r="AD174" s="36"/>
    </row>
    <row r="175" spans="1:30">
      <c r="A175" t="s">
        <v>584</v>
      </c>
      <c r="B175" s="36">
        <v>46053</v>
      </c>
      <c r="C175" t="s">
        <v>35</v>
      </c>
      <c r="D175" t="s">
        <v>359</v>
      </c>
      <c r="E175" t="s">
        <v>24</v>
      </c>
      <c r="F175" s="3"/>
      <c r="G175" s="3" t="s">
        <v>426</v>
      </c>
      <c r="I175" s="36"/>
      <c r="N175" s="3"/>
      <c r="P175" s="36"/>
      <c r="U175" s="3"/>
      <c r="W175" s="36"/>
      <c r="AB175" s="3"/>
      <c r="AD175" s="36"/>
    </row>
    <row r="176" spans="1:30">
      <c r="A176" t="s">
        <v>586</v>
      </c>
      <c r="B176" s="36">
        <v>46053</v>
      </c>
      <c r="C176" t="s">
        <v>37</v>
      </c>
      <c r="D176" t="s">
        <v>877</v>
      </c>
      <c r="E176" t="s">
        <v>24</v>
      </c>
      <c r="F176" s="3"/>
      <c r="G176" s="3" t="s">
        <v>148</v>
      </c>
      <c r="I176" s="36"/>
      <c r="N176" s="3"/>
      <c r="P176" s="36"/>
      <c r="U176" s="3"/>
      <c r="W176" s="36"/>
      <c r="AB176" s="3"/>
      <c r="AD176" s="36"/>
    </row>
    <row r="177" spans="1:31">
      <c r="A177" t="s">
        <v>587</v>
      </c>
      <c r="B177" s="36">
        <v>46053</v>
      </c>
      <c r="C177" t="s">
        <v>35</v>
      </c>
      <c r="D177" t="s">
        <v>1294</v>
      </c>
      <c r="E177" t="s">
        <v>155</v>
      </c>
      <c r="F177" s="3"/>
      <c r="G177" s="3" t="s">
        <v>430</v>
      </c>
      <c r="I177" s="36"/>
      <c r="N177" s="3"/>
      <c r="P177" s="36"/>
      <c r="U177" s="3"/>
      <c r="W177" s="36"/>
      <c r="AB177" s="3"/>
      <c r="AD177" s="36"/>
    </row>
    <row r="178" spans="1:31">
      <c r="A178" t="s">
        <v>588</v>
      </c>
      <c r="B178" s="36">
        <v>46053</v>
      </c>
      <c r="C178" t="s">
        <v>29</v>
      </c>
      <c r="D178" t="s">
        <v>489</v>
      </c>
      <c r="E178" t="s">
        <v>22</v>
      </c>
      <c r="F178" s="3"/>
      <c r="G178" s="3" t="s">
        <v>601</v>
      </c>
      <c r="I178" s="36"/>
      <c r="N178" s="3"/>
      <c r="P178" s="36"/>
      <c r="U178" s="3"/>
      <c r="W178" s="36"/>
      <c r="AB178" s="3"/>
      <c r="AD178" s="36"/>
    </row>
    <row r="179" spans="1:31">
      <c r="A179" t="s">
        <v>1285</v>
      </c>
      <c r="B179" s="36">
        <v>46053</v>
      </c>
      <c r="C179" t="s">
        <v>29</v>
      </c>
      <c r="D179" t="s">
        <v>150</v>
      </c>
      <c r="E179" t="s">
        <v>22</v>
      </c>
      <c r="F179" s="3"/>
      <c r="G179" s="3" t="s">
        <v>601</v>
      </c>
      <c r="I179" s="36"/>
      <c r="N179" s="3"/>
      <c r="P179" s="36"/>
      <c r="U179" s="3"/>
      <c r="W179" s="36"/>
      <c r="AB179" s="3"/>
      <c r="AD179" s="36"/>
    </row>
    <row r="180" spans="1:31">
      <c r="A180" t="s">
        <v>602</v>
      </c>
      <c r="B180" s="36">
        <v>46053</v>
      </c>
      <c r="C180" t="s">
        <v>29</v>
      </c>
      <c r="D180" t="s">
        <v>427</v>
      </c>
      <c r="E180" t="s">
        <v>24</v>
      </c>
      <c r="F180" s="3"/>
      <c r="G180" s="3" t="s">
        <v>603</v>
      </c>
      <c r="I180" s="36"/>
      <c r="N180" s="3"/>
      <c r="P180" s="36"/>
      <c r="U180" s="3"/>
      <c r="W180" s="36"/>
      <c r="AB180" s="3"/>
      <c r="AD180" s="36"/>
    </row>
    <row r="181" spans="1:31">
      <c r="A181" t="s">
        <v>604</v>
      </c>
      <c r="B181" s="36">
        <v>46053</v>
      </c>
      <c r="C181" t="s">
        <v>29</v>
      </c>
      <c r="D181" t="s">
        <v>1313</v>
      </c>
      <c r="E181" t="s">
        <v>24</v>
      </c>
      <c r="F181" s="3"/>
      <c r="G181" s="3" t="s">
        <v>605</v>
      </c>
      <c r="I181" s="36"/>
      <c r="N181" s="3"/>
      <c r="P181" s="36"/>
      <c r="U181" s="3"/>
      <c r="W181" s="36"/>
      <c r="AB181" s="3"/>
      <c r="AD181" s="36"/>
    </row>
    <row r="182" spans="1:31">
      <c r="A182" t="s">
        <v>606</v>
      </c>
      <c r="B182" s="36">
        <v>46053</v>
      </c>
      <c r="C182" t="s">
        <v>29</v>
      </c>
      <c r="D182" t="s">
        <v>427</v>
      </c>
      <c r="E182" t="s">
        <v>23</v>
      </c>
      <c r="F182" s="3"/>
      <c r="G182" s="3" t="s">
        <v>145</v>
      </c>
      <c r="I182" s="36"/>
      <c r="N182" s="3"/>
      <c r="P182" s="36"/>
      <c r="U182" s="3"/>
      <c r="W182" s="36"/>
      <c r="AB182" s="3"/>
      <c r="AD182" s="36"/>
    </row>
    <row r="183" spans="1:31">
      <c r="A183" t="s">
        <v>607</v>
      </c>
      <c r="B183" s="36">
        <v>46053</v>
      </c>
      <c r="C183" t="s">
        <v>35</v>
      </c>
      <c r="D183" t="s">
        <v>304</v>
      </c>
      <c r="E183" t="s">
        <v>24</v>
      </c>
      <c r="F183" s="3"/>
      <c r="G183" s="3" t="s">
        <v>431</v>
      </c>
      <c r="I183" s="36"/>
      <c r="N183" s="3"/>
      <c r="P183" s="36"/>
      <c r="U183" s="3"/>
      <c r="W183" s="36"/>
      <c r="AB183" s="3"/>
      <c r="AD183" s="36"/>
    </row>
    <row r="184" spans="1:31">
      <c r="A184" t="s">
        <v>610</v>
      </c>
      <c r="B184" s="36">
        <v>46053</v>
      </c>
      <c r="C184" t="s">
        <v>29</v>
      </c>
      <c r="D184" t="s">
        <v>427</v>
      </c>
      <c r="E184" t="s">
        <v>24</v>
      </c>
      <c r="F184" s="3"/>
      <c r="G184" s="3" t="s">
        <v>608</v>
      </c>
      <c r="I184" s="36"/>
      <c r="N184" s="3"/>
      <c r="P184" s="36"/>
      <c r="U184" s="3"/>
      <c r="W184" s="36"/>
      <c r="AB184" s="3"/>
      <c r="AD184" s="36"/>
    </row>
    <row r="185" spans="1:31">
      <c r="A185" t="s">
        <v>611</v>
      </c>
      <c r="B185" s="36">
        <v>46053</v>
      </c>
      <c r="C185" t="s">
        <v>29</v>
      </c>
      <c r="D185" t="s">
        <v>427</v>
      </c>
      <c r="E185" t="s">
        <v>24</v>
      </c>
      <c r="F185" s="3"/>
      <c r="G185" s="3" t="s">
        <v>612</v>
      </c>
      <c r="I185" s="36"/>
      <c r="N185" s="3"/>
      <c r="P185" s="36"/>
      <c r="U185" s="3"/>
      <c r="W185" s="36"/>
      <c r="AB185" s="3"/>
      <c r="AD185" s="36"/>
    </row>
    <row r="186" spans="1:31">
      <c r="A186" t="s">
        <v>613</v>
      </c>
      <c r="B186" s="36">
        <v>46053</v>
      </c>
      <c r="C186" t="s">
        <v>35</v>
      </c>
      <c r="D186" t="s">
        <v>427</v>
      </c>
      <c r="E186" t="s">
        <v>24</v>
      </c>
      <c r="F186" s="3"/>
      <c r="G186" s="3" t="s">
        <v>149</v>
      </c>
      <c r="I186" s="36"/>
      <c r="N186" s="3"/>
      <c r="P186" s="36"/>
      <c r="U186" s="3"/>
      <c r="W186" s="36"/>
      <c r="AB186" s="3"/>
      <c r="AD186" s="36"/>
    </row>
    <row r="187" spans="1:31">
      <c r="A187" t="s">
        <v>614</v>
      </c>
      <c r="B187" s="36">
        <v>46053</v>
      </c>
      <c r="C187" t="s">
        <v>35</v>
      </c>
      <c r="D187" t="s">
        <v>427</v>
      </c>
      <c r="E187" t="s">
        <v>24</v>
      </c>
      <c r="F187" s="3"/>
      <c r="G187" s="3" t="s">
        <v>342</v>
      </c>
      <c r="I187" s="36"/>
      <c r="N187" s="3"/>
      <c r="P187" s="36"/>
      <c r="U187" s="3"/>
      <c r="W187" s="36"/>
      <c r="AB187" s="3"/>
      <c r="AD187" s="36"/>
    </row>
    <row r="188" spans="1:31">
      <c r="A188" t="s">
        <v>615</v>
      </c>
      <c r="B188" s="36">
        <v>46053</v>
      </c>
      <c r="C188" t="s">
        <v>37</v>
      </c>
      <c r="D188" t="s">
        <v>427</v>
      </c>
      <c r="E188" t="s">
        <v>24</v>
      </c>
      <c r="F188" s="3"/>
      <c r="G188" s="3" t="s">
        <v>451</v>
      </c>
      <c r="I188" s="36"/>
      <c r="N188" s="3"/>
      <c r="P188" s="36"/>
      <c r="U188" s="3"/>
      <c r="W188" s="36"/>
      <c r="AB188" s="3"/>
      <c r="AD188" s="36"/>
    </row>
    <row r="189" spans="1:31">
      <c r="A189" t="s">
        <v>617</v>
      </c>
      <c r="B189" s="36">
        <v>46053</v>
      </c>
      <c r="C189" t="s">
        <v>29</v>
      </c>
      <c r="D189" t="s">
        <v>1313</v>
      </c>
      <c r="E189" t="s">
        <v>24</v>
      </c>
      <c r="F189" s="3"/>
      <c r="G189" s="3" t="s">
        <v>618</v>
      </c>
      <c r="I189" s="36"/>
      <c r="N189" s="3"/>
      <c r="P189" s="36"/>
      <c r="U189" s="3"/>
      <c r="W189" s="36"/>
      <c r="AB189" s="3"/>
      <c r="AD189" s="36"/>
    </row>
    <row r="190" spans="1:31" s="63" customFormat="1">
      <c r="A190" t="s">
        <v>619</v>
      </c>
      <c r="B190" s="36">
        <v>46053</v>
      </c>
      <c r="C190" t="s">
        <v>35</v>
      </c>
      <c r="D190" t="s">
        <v>1322</v>
      </c>
      <c r="E190" t="s">
        <v>24</v>
      </c>
      <c r="F190" s="3"/>
      <c r="G190" s="3" t="s">
        <v>612</v>
      </c>
      <c r="I190" s="64"/>
      <c r="N190" s="65"/>
      <c r="P190" s="64"/>
      <c r="U190" s="65"/>
      <c r="W190" s="64"/>
      <c r="AB190" s="65"/>
      <c r="AD190" s="64"/>
    </row>
    <row r="191" spans="1:31">
      <c r="A191" t="s">
        <v>620</v>
      </c>
      <c r="B191" s="36">
        <v>46053</v>
      </c>
      <c r="C191" t="s">
        <v>37</v>
      </c>
      <c r="D191" t="s">
        <v>387</v>
      </c>
      <c r="E191" t="s">
        <v>25</v>
      </c>
      <c r="F191" s="3"/>
      <c r="G191" s="3" t="s">
        <v>650</v>
      </c>
      <c r="I191" s="36"/>
      <c r="N191" s="3"/>
      <c r="P191" s="36"/>
      <c r="U191" s="3"/>
      <c r="W191" s="36"/>
      <c r="AB191" s="3"/>
      <c r="AD191" s="36"/>
    </row>
    <row r="192" spans="1:31" s="19" customFormat="1">
      <c r="A192" t="s">
        <v>621</v>
      </c>
      <c r="B192" s="36">
        <v>46053</v>
      </c>
      <c r="C192" t="s">
        <v>29</v>
      </c>
      <c r="D192" t="s">
        <v>1304</v>
      </c>
      <c r="E192" t="s">
        <v>24</v>
      </c>
      <c r="F192" s="3"/>
      <c r="G192" s="3" t="s">
        <v>622</v>
      </c>
      <c r="H192"/>
      <c r="I192" s="36"/>
      <c r="J192"/>
      <c r="K192"/>
      <c r="L192"/>
      <c r="M192"/>
      <c r="N192" s="3"/>
      <c r="O192"/>
      <c r="P192" s="36"/>
      <c r="Q192"/>
      <c r="R192"/>
      <c r="S192"/>
      <c r="T192"/>
      <c r="U192" s="3"/>
      <c r="V192"/>
      <c r="W192" s="36"/>
      <c r="X192"/>
      <c r="Y192"/>
      <c r="Z192"/>
      <c r="AA192"/>
      <c r="AB192" s="3"/>
      <c r="AC192"/>
      <c r="AD192" s="36"/>
      <c r="AE192"/>
    </row>
    <row r="193" spans="1:30">
      <c r="A193" t="s">
        <v>623</v>
      </c>
      <c r="B193" s="36">
        <v>46053</v>
      </c>
      <c r="C193" t="s">
        <v>29</v>
      </c>
      <c r="D193" t="s">
        <v>468</v>
      </c>
      <c r="E193" t="s">
        <v>23</v>
      </c>
      <c r="F193" s="3"/>
      <c r="G193" s="3" t="s">
        <v>624</v>
      </c>
      <c r="I193" s="36"/>
      <c r="N193" s="3"/>
      <c r="P193" s="36"/>
      <c r="U193" s="3"/>
      <c r="W193" s="36"/>
      <c r="AB193" s="3"/>
      <c r="AD193" s="36"/>
    </row>
    <row r="194" spans="1:30">
      <c r="A194" t="s">
        <v>626</v>
      </c>
      <c r="B194" s="36">
        <v>46053</v>
      </c>
      <c r="C194" t="s">
        <v>29</v>
      </c>
      <c r="D194" t="s">
        <v>1298</v>
      </c>
      <c r="E194" t="s">
        <v>23</v>
      </c>
      <c r="F194" s="3"/>
      <c r="G194" s="3" t="s">
        <v>656</v>
      </c>
      <c r="I194" s="36"/>
      <c r="N194" s="3"/>
      <c r="P194" s="36"/>
      <c r="U194" s="3"/>
      <c r="W194" s="36"/>
      <c r="AB194" s="3"/>
      <c r="AD194" s="36"/>
    </row>
    <row r="195" spans="1:30">
      <c r="A195" t="s">
        <v>628</v>
      </c>
      <c r="B195" s="36">
        <v>46053</v>
      </c>
      <c r="C195" t="s">
        <v>29</v>
      </c>
      <c r="D195" t="s">
        <v>427</v>
      </c>
      <c r="E195" t="s">
        <v>24</v>
      </c>
      <c r="F195" s="3"/>
      <c r="G195" s="3" t="s">
        <v>605</v>
      </c>
      <c r="I195" s="36"/>
      <c r="N195" s="3"/>
      <c r="P195" s="36"/>
      <c r="U195" s="3"/>
      <c r="W195" s="36"/>
      <c r="AB195" s="3"/>
      <c r="AD195" s="36"/>
    </row>
    <row r="196" spans="1:30">
      <c r="A196" t="s">
        <v>629</v>
      </c>
      <c r="B196" s="36">
        <v>46053</v>
      </c>
      <c r="C196" t="s">
        <v>29</v>
      </c>
      <c r="D196" t="s">
        <v>548</v>
      </c>
      <c r="E196" t="s">
        <v>25</v>
      </c>
      <c r="F196" s="3"/>
      <c r="G196" s="3"/>
      <c r="I196" s="36"/>
      <c r="N196" s="3"/>
      <c r="P196" s="36"/>
      <c r="U196" s="3"/>
      <c r="W196" s="36"/>
      <c r="AB196" s="3"/>
      <c r="AD196" s="36"/>
    </row>
    <row r="197" spans="1:30">
      <c r="A197" t="s">
        <v>630</v>
      </c>
      <c r="B197" s="36">
        <v>46053</v>
      </c>
      <c r="C197" t="s">
        <v>29</v>
      </c>
      <c r="D197" t="s">
        <v>427</v>
      </c>
      <c r="E197" t="s">
        <v>24</v>
      </c>
      <c r="F197" s="3"/>
      <c r="G197" s="3" t="s">
        <v>603</v>
      </c>
      <c r="I197" s="36"/>
      <c r="N197" s="3"/>
      <c r="P197" s="36"/>
      <c r="U197" s="3"/>
      <c r="W197" s="36"/>
      <c r="AB197" s="3"/>
      <c r="AD197" s="36"/>
    </row>
    <row r="198" spans="1:30">
      <c r="A198" t="s">
        <v>631</v>
      </c>
      <c r="B198" s="36">
        <v>46053</v>
      </c>
      <c r="C198" t="s">
        <v>35</v>
      </c>
      <c r="D198" t="s">
        <v>1315</v>
      </c>
      <c r="E198" t="s">
        <v>24</v>
      </c>
      <c r="F198" s="3"/>
      <c r="G198" s="3" t="s">
        <v>315</v>
      </c>
      <c r="I198" s="36"/>
      <c r="N198" s="3"/>
      <c r="P198" s="36"/>
      <c r="U198" s="3"/>
      <c r="W198" s="36"/>
      <c r="AB198" s="3"/>
      <c r="AD198" s="36"/>
    </row>
    <row r="199" spans="1:30">
      <c r="A199" t="s">
        <v>632</v>
      </c>
      <c r="B199" s="36">
        <v>46053</v>
      </c>
      <c r="C199" t="s">
        <v>29</v>
      </c>
      <c r="D199" t="s">
        <v>150</v>
      </c>
      <c r="E199" t="s">
        <v>22</v>
      </c>
      <c r="F199" s="3"/>
      <c r="G199" s="3" t="s">
        <v>633</v>
      </c>
      <c r="I199" s="36"/>
      <c r="N199" s="3"/>
      <c r="P199" s="36"/>
      <c r="U199" s="3"/>
      <c r="W199" s="36"/>
      <c r="AB199" s="3"/>
      <c r="AD199" s="36"/>
    </row>
    <row r="200" spans="1:30">
      <c r="A200" t="s">
        <v>634</v>
      </c>
      <c r="B200" s="36">
        <v>46053</v>
      </c>
      <c r="C200" t="s">
        <v>35</v>
      </c>
      <c r="D200" t="s">
        <v>1319</v>
      </c>
      <c r="E200" t="s">
        <v>24</v>
      </c>
      <c r="F200" s="3"/>
      <c r="G200" s="3" t="s">
        <v>444</v>
      </c>
      <c r="I200" s="36"/>
      <c r="N200" s="3"/>
      <c r="P200" s="36"/>
      <c r="U200" s="3"/>
      <c r="W200" s="36"/>
      <c r="AB200" s="3"/>
      <c r="AD200" s="36"/>
    </row>
    <row r="201" spans="1:30">
      <c r="A201" t="s">
        <v>635</v>
      </c>
      <c r="B201" s="36">
        <v>46053</v>
      </c>
      <c r="C201" t="s">
        <v>29</v>
      </c>
      <c r="D201" t="s">
        <v>1313</v>
      </c>
      <c r="E201" t="s">
        <v>24</v>
      </c>
      <c r="F201" s="3"/>
      <c r="G201" s="3" t="s">
        <v>605</v>
      </c>
      <c r="I201" s="36"/>
      <c r="N201" s="3"/>
      <c r="P201" s="36"/>
      <c r="U201" s="3"/>
      <c r="W201" s="36"/>
      <c r="AB201" s="3"/>
      <c r="AD201" s="36"/>
    </row>
    <row r="202" spans="1:30">
      <c r="A202" t="s">
        <v>636</v>
      </c>
      <c r="B202" s="36">
        <v>46053</v>
      </c>
      <c r="C202" t="s">
        <v>29</v>
      </c>
      <c r="D202" t="s">
        <v>1948</v>
      </c>
      <c r="E202" t="s">
        <v>23</v>
      </c>
      <c r="F202" s="3"/>
      <c r="G202" s="3" t="s">
        <v>145</v>
      </c>
      <c r="I202" s="36"/>
      <c r="N202" s="3"/>
      <c r="P202" s="36"/>
      <c r="U202" s="3"/>
      <c r="W202" s="36"/>
      <c r="AB202" s="3"/>
      <c r="AD202" s="36"/>
    </row>
    <row r="203" spans="1:30">
      <c r="A203" t="s">
        <v>637</v>
      </c>
      <c r="B203" s="36">
        <v>46053</v>
      </c>
      <c r="C203" t="s">
        <v>29</v>
      </c>
      <c r="D203" t="s">
        <v>1948</v>
      </c>
      <c r="E203" t="s">
        <v>23</v>
      </c>
      <c r="F203" s="3"/>
      <c r="G203" s="3" t="s">
        <v>638</v>
      </c>
      <c r="I203" s="36"/>
      <c r="N203" s="3"/>
      <c r="P203" s="36"/>
      <c r="U203" s="3"/>
      <c r="W203" s="36"/>
      <c r="AB203" s="3"/>
      <c r="AD203" s="36"/>
    </row>
    <row r="204" spans="1:30">
      <c r="A204" t="s">
        <v>639</v>
      </c>
      <c r="B204" s="36">
        <v>46053</v>
      </c>
      <c r="C204" t="s">
        <v>29</v>
      </c>
      <c r="D204" t="s">
        <v>489</v>
      </c>
      <c r="E204" t="s">
        <v>22</v>
      </c>
      <c r="F204" s="3"/>
      <c r="G204" s="3" t="s">
        <v>601</v>
      </c>
      <c r="I204" s="36"/>
      <c r="N204" s="3"/>
      <c r="P204" s="36"/>
      <c r="U204" s="3"/>
      <c r="W204" s="36"/>
      <c r="AB204" s="3"/>
      <c r="AD204" s="36"/>
    </row>
    <row r="205" spans="1:30">
      <c r="A205" t="s">
        <v>640</v>
      </c>
      <c r="B205" s="36">
        <v>46053</v>
      </c>
      <c r="C205" t="s">
        <v>29</v>
      </c>
      <c r="D205" t="s">
        <v>150</v>
      </c>
      <c r="E205" t="s">
        <v>22</v>
      </c>
      <c r="F205" s="3"/>
      <c r="G205" s="3" t="s">
        <v>581</v>
      </c>
      <c r="I205" s="36"/>
      <c r="N205" s="3"/>
      <c r="P205" s="36"/>
      <c r="U205" s="3"/>
      <c r="W205" s="36"/>
      <c r="AB205" s="3"/>
      <c r="AD205" s="36"/>
    </row>
    <row r="206" spans="1:30">
      <c r="A206" t="s">
        <v>641</v>
      </c>
      <c r="B206" s="36">
        <v>46053</v>
      </c>
      <c r="C206" t="s">
        <v>29</v>
      </c>
      <c r="D206" t="s">
        <v>1314</v>
      </c>
      <c r="E206" t="s">
        <v>24</v>
      </c>
      <c r="F206" s="3"/>
      <c r="G206" s="3" t="s">
        <v>581</v>
      </c>
      <c r="I206" s="36"/>
      <c r="N206" s="3"/>
      <c r="P206" s="36"/>
      <c r="U206" s="3"/>
      <c r="W206" s="36"/>
      <c r="AB206" s="3"/>
      <c r="AD206" s="36"/>
    </row>
    <row r="207" spans="1:30">
      <c r="A207" t="s">
        <v>643</v>
      </c>
      <c r="B207" s="36">
        <v>46053</v>
      </c>
      <c r="C207" t="s">
        <v>29</v>
      </c>
      <c r="D207" t="s">
        <v>307</v>
      </c>
      <c r="E207" t="s">
        <v>23</v>
      </c>
      <c r="F207" s="3"/>
      <c r="G207" s="3" t="s">
        <v>307</v>
      </c>
      <c r="I207" s="36"/>
      <c r="N207" s="3"/>
      <c r="P207" s="36"/>
      <c r="U207" s="3"/>
      <c r="W207" s="36"/>
      <c r="AB207" s="3"/>
      <c r="AD207" s="36"/>
    </row>
    <row r="208" spans="1:30">
      <c r="A208" t="s">
        <v>644</v>
      </c>
      <c r="B208" s="36">
        <v>46053</v>
      </c>
      <c r="C208" t="s">
        <v>37</v>
      </c>
      <c r="D208" t="s">
        <v>877</v>
      </c>
      <c r="E208" t="s">
        <v>24</v>
      </c>
      <c r="F208" s="3"/>
      <c r="G208" s="3" t="s">
        <v>148</v>
      </c>
      <c r="I208" s="36"/>
      <c r="N208" s="3"/>
      <c r="P208" s="36"/>
      <c r="U208" s="3"/>
      <c r="W208" s="36"/>
      <c r="AB208" s="3"/>
      <c r="AD208" s="36"/>
    </row>
    <row r="209" spans="1:30">
      <c r="A209" t="s">
        <v>1329</v>
      </c>
      <c r="B209" s="36">
        <v>46053</v>
      </c>
      <c r="C209" t="s">
        <v>29</v>
      </c>
      <c r="D209" t="s">
        <v>359</v>
      </c>
      <c r="E209" t="s">
        <v>24</v>
      </c>
      <c r="F209" s="3"/>
      <c r="G209" s="3" t="s">
        <v>426</v>
      </c>
      <c r="I209" s="36"/>
      <c r="N209" s="3"/>
      <c r="P209" s="36"/>
      <c r="U209" s="3"/>
      <c r="W209" s="36"/>
      <c r="AB209" s="3"/>
      <c r="AD209" s="36"/>
    </row>
    <row r="210" spans="1:30">
      <c r="A210" t="s">
        <v>645</v>
      </c>
      <c r="B210" s="36">
        <v>46053</v>
      </c>
      <c r="C210" t="s">
        <v>29</v>
      </c>
      <c r="D210" t="s">
        <v>359</v>
      </c>
      <c r="E210" t="s">
        <v>24</v>
      </c>
      <c r="F210" s="3"/>
      <c r="G210" s="3" t="s">
        <v>426</v>
      </c>
      <c r="I210" s="36"/>
      <c r="N210" s="3"/>
      <c r="P210" s="36"/>
      <c r="U210" s="3"/>
      <c r="W210" s="36"/>
      <c r="AB210" s="3"/>
      <c r="AD210" s="36"/>
    </row>
    <row r="211" spans="1:30">
      <c r="A211" t="s">
        <v>646</v>
      </c>
      <c r="B211" s="36">
        <v>46053</v>
      </c>
      <c r="C211" t="s">
        <v>35</v>
      </c>
      <c r="D211" t="s">
        <v>1294</v>
      </c>
      <c r="E211" t="s">
        <v>155</v>
      </c>
      <c r="F211" s="3"/>
      <c r="G211" s="3"/>
      <c r="I211" s="36"/>
      <c r="N211" s="3"/>
      <c r="P211" s="36"/>
      <c r="U211" s="3"/>
      <c r="W211" s="36"/>
      <c r="AB211" s="3"/>
      <c r="AD211" s="36"/>
    </row>
    <row r="212" spans="1:30">
      <c r="A212" t="s">
        <v>647</v>
      </c>
      <c r="B212" s="36">
        <v>46053</v>
      </c>
      <c r="C212" t="s">
        <v>29</v>
      </c>
      <c r="D212" t="s">
        <v>150</v>
      </c>
      <c r="E212" t="s">
        <v>22</v>
      </c>
      <c r="F212" s="3"/>
      <c r="G212" s="3" t="s">
        <v>578</v>
      </c>
      <c r="I212" s="36"/>
      <c r="N212" s="3"/>
      <c r="P212" s="36"/>
      <c r="U212" s="3"/>
      <c r="W212" s="36"/>
      <c r="AB212" s="3"/>
      <c r="AD212" s="36"/>
    </row>
    <row r="213" spans="1:30">
      <c r="A213" t="s">
        <v>648</v>
      </c>
      <c r="B213" s="36">
        <v>46053</v>
      </c>
      <c r="C213" t="s">
        <v>29</v>
      </c>
      <c r="D213" t="s">
        <v>150</v>
      </c>
      <c r="E213" t="s">
        <v>22</v>
      </c>
      <c r="F213" s="3"/>
      <c r="G213" s="3" t="s">
        <v>649</v>
      </c>
      <c r="I213" s="36"/>
      <c r="N213" s="3"/>
      <c r="P213" s="36"/>
      <c r="U213" s="3"/>
      <c r="W213" s="36"/>
      <c r="AB213" s="3"/>
      <c r="AD213" s="36"/>
    </row>
    <row r="214" spans="1:30">
      <c r="A214" t="s">
        <v>654</v>
      </c>
      <c r="B214" s="36">
        <v>46053</v>
      </c>
      <c r="C214" t="s">
        <v>29</v>
      </c>
      <c r="D214" t="s">
        <v>1298</v>
      </c>
      <c r="E214" t="s">
        <v>23</v>
      </c>
      <c r="F214" s="3"/>
      <c r="G214" s="3" t="s">
        <v>655</v>
      </c>
      <c r="I214" s="36"/>
      <c r="N214" s="3"/>
      <c r="P214" s="36"/>
      <c r="U214" s="3"/>
      <c r="W214" s="36"/>
      <c r="AB214" s="3"/>
      <c r="AD214" s="36"/>
    </row>
    <row r="215" spans="1:30">
      <c r="A215" t="s">
        <v>657</v>
      </c>
      <c r="B215" s="36">
        <v>46053</v>
      </c>
      <c r="C215" t="s">
        <v>29</v>
      </c>
      <c r="D215" t="s">
        <v>1431</v>
      </c>
      <c r="E215" t="s">
        <v>24</v>
      </c>
      <c r="F215" s="3"/>
      <c r="G215" s="3" t="s">
        <v>658</v>
      </c>
      <c r="I215" s="36"/>
      <c r="N215" s="3"/>
      <c r="P215" s="36"/>
      <c r="U215" s="3"/>
      <c r="W215" s="36"/>
      <c r="AB215" s="3"/>
      <c r="AD215" s="36"/>
    </row>
    <row r="216" spans="1:30">
      <c r="A216" t="s">
        <v>659</v>
      </c>
      <c r="B216" s="36">
        <v>46053</v>
      </c>
      <c r="C216" t="s">
        <v>29</v>
      </c>
      <c r="D216" t="s">
        <v>1350</v>
      </c>
      <c r="E216" t="s">
        <v>23</v>
      </c>
      <c r="F216" s="3"/>
      <c r="G216" s="3" t="s">
        <v>528</v>
      </c>
      <c r="I216" s="36"/>
      <c r="N216" s="3"/>
      <c r="P216" s="36"/>
      <c r="U216" s="3"/>
      <c r="W216" s="36"/>
      <c r="AB216" s="3"/>
      <c r="AD216" s="36"/>
    </row>
    <row r="217" spans="1:30">
      <c r="A217" t="s">
        <v>660</v>
      </c>
      <c r="B217" s="36">
        <v>46053</v>
      </c>
      <c r="C217" t="s">
        <v>35</v>
      </c>
      <c r="D217" t="s">
        <v>304</v>
      </c>
      <c r="E217" t="s">
        <v>24</v>
      </c>
      <c r="F217" s="3"/>
      <c r="G217" s="3" t="s">
        <v>431</v>
      </c>
      <c r="I217" s="36"/>
      <c r="N217" s="3"/>
      <c r="P217" s="36"/>
      <c r="U217" s="3"/>
      <c r="W217" s="36"/>
      <c r="AB217" s="3"/>
      <c r="AD217" s="36"/>
    </row>
    <row r="218" spans="1:30">
      <c r="A218" t="s">
        <v>661</v>
      </c>
      <c r="B218" s="36">
        <v>46053</v>
      </c>
      <c r="C218" t="s">
        <v>29</v>
      </c>
      <c r="D218" t="s">
        <v>1298</v>
      </c>
      <c r="E218" t="s">
        <v>23</v>
      </c>
      <c r="F218" s="3"/>
      <c r="G218" s="3" t="s">
        <v>655</v>
      </c>
      <c r="I218" s="36"/>
      <c r="N218" s="3"/>
      <c r="P218" s="36"/>
      <c r="U218" s="3"/>
      <c r="W218" s="36"/>
      <c r="AB218" s="3"/>
      <c r="AD218" s="36"/>
    </row>
    <row r="219" spans="1:30">
      <c r="A219" t="s">
        <v>662</v>
      </c>
      <c r="B219" s="36">
        <v>46053</v>
      </c>
      <c r="C219" t="s">
        <v>35</v>
      </c>
      <c r="D219" t="s">
        <v>427</v>
      </c>
      <c r="E219" t="s">
        <v>24</v>
      </c>
      <c r="F219" s="3"/>
      <c r="G219" s="3" t="s">
        <v>149</v>
      </c>
      <c r="I219" s="36"/>
      <c r="N219" s="3"/>
      <c r="P219" s="36"/>
      <c r="U219" s="3"/>
      <c r="W219" s="36"/>
      <c r="AB219" s="3"/>
      <c r="AD219" s="36"/>
    </row>
    <row r="220" spans="1:30">
      <c r="A220" t="s">
        <v>663</v>
      </c>
      <c r="B220" s="36">
        <v>46053</v>
      </c>
      <c r="C220" t="s">
        <v>35</v>
      </c>
      <c r="D220" t="s">
        <v>427</v>
      </c>
      <c r="E220" t="s">
        <v>24</v>
      </c>
      <c r="F220" s="3"/>
      <c r="G220" s="3" t="s">
        <v>342</v>
      </c>
      <c r="I220" s="36"/>
      <c r="N220" s="3"/>
      <c r="P220" s="36"/>
      <c r="U220" s="3"/>
      <c r="W220" s="36"/>
      <c r="AB220" s="3"/>
      <c r="AD220" s="36"/>
    </row>
    <row r="221" spans="1:30">
      <c r="A221" t="s">
        <v>664</v>
      </c>
      <c r="B221" s="36">
        <v>46053</v>
      </c>
      <c r="C221" t="s">
        <v>37</v>
      </c>
      <c r="D221" t="s">
        <v>427</v>
      </c>
      <c r="E221" t="s">
        <v>24</v>
      </c>
      <c r="F221" s="3"/>
      <c r="G221" s="3" t="s">
        <v>451</v>
      </c>
      <c r="I221" s="36"/>
      <c r="N221" s="3"/>
      <c r="P221" s="36"/>
      <c r="U221" s="3"/>
      <c r="W221" s="36"/>
      <c r="AB221" s="3"/>
      <c r="AD221" s="36"/>
    </row>
    <row r="222" spans="1:30">
      <c r="A222" t="s">
        <v>666</v>
      </c>
      <c r="B222" s="36">
        <v>46053</v>
      </c>
      <c r="C222" t="s">
        <v>29</v>
      </c>
      <c r="D222" t="s">
        <v>548</v>
      </c>
      <c r="E222" t="s">
        <v>25</v>
      </c>
      <c r="F222" s="3"/>
      <c r="G222" s="3"/>
      <c r="I222" s="36"/>
      <c r="N222" s="3"/>
      <c r="P222" s="36"/>
      <c r="U222" s="3"/>
      <c r="W222" s="36"/>
      <c r="AB222" s="3"/>
      <c r="AD222" s="36"/>
    </row>
    <row r="223" spans="1:30">
      <c r="A223" t="s">
        <v>667</v>
      </c>
      <c r="B223" s="36">
        <v>46053</v>
      </c>
      <c r="C223" t="s">
        <v>29</v>
      </c>
      <c r="D223" t="s">
        <v>1298</v>
      </c>
      <c r="E223" t="s">
        <v>23</v>
      </c>
      <c r="F223" s="3"/>
      <c r="G223" s="3" t="s">
        <v>655</v>
      </c>
      <c r="I223" s="36"/>
      <c r="N223" s="3"/>
      <c r="P223" s="36"/>
      <c r="U223" s="3"/>
      <c r="W223" s="36"/>
      <c r="AB223" s="3"/>
      <c r="AD223" s="36"/>
    </row>
    <row r="224" spans="1:30">
      <c r="A224" t="s">
        <v>668</v>
      </c>
      <c r="B224" s="36">
        <v>46053</v>
      </c>
      <c r="C224" t="s">
        <v>35</v>
      </c>
      <c r="D224" t="s">
        <v>1315</v>
      </c>
      <c r="E224" t="s">
        <v>24</v>
      </c>
      <c r="F224" s="3"/>
      <c r="G224" s="3" t="s">
        <v>315</v>
      </c>
      <c r="I224" s="36"/>
      <c r="N224" s="3"/>
      <c r="P224" s="36"/>
      <c r="U224" s="3"/>
      <c r="W224" s="36"/>
      <c r="AB224" s="3"/>
      <c r="AD224" s="36"/>
    </row>
    <row r="225" spans="1:31">
      <c r="A225" t="s">
        <v>669</v>
      </c>
      <c r="B225" s="36">
        <v>46053</v>
      </c>
      <c r="C225" t="s">
        <v>29</v>
      </c>
      <c r="D225" t="s">
        <v>489</v>
      </c>
      <c r="E225" t="s">
        <v>22</v>
      </c>
      <c r="F225" s="3"/>
      <c r="G225" s="3"/>
      <c r="I225" s="36"/>
      <c r="N225" s="3"/>
      <c r="P225" s="36"/>
      <c r="U225" s="3"/>
      <c r="W225" s="36"/>
      <c r="AB225" s="3"/>
      <c r="AD225" s="36"/>
    </row>
    <row r="226" spans="1:31">
      <c r="A226" t="s">
        <v>673</v>
      </c>
      <c r="B226" s="36">
        <v>46053</v>
      </c>
      <c r="C226" t="s">
        <v>33</v>
      </c>
      <c r="D226" t="s">
        <v>1291</v>
      </c>
      <c r="E226" t="s">
        <v>24</v>
      </c>
      <c r="F226" s="3"/>
      <c r="G226" s="3" t="s">
        <v>674</v>
      </c>
      <c r="I226" s="36"/>
      <c r="N226" s="3"/>
      <c r="P226" s="36"/>
      <c r="U226" s="3"/>
      <c r="W226" s="36"/>
      <c r="AB226" s="3"/>
      <c r="AD226" s="36"/>
    </row>
    <row r="227" spans="1:31">
      <c r="A227" t="s">
        <v>675</v>
      </c>
      <c r="B227" s="36">
        <v>46053</v>
      </c>
      <c r="C227" t="s">
        <v>29</v>
      </c>
      <c r="D227" t="s">
        <v>1295</v>
      </c>
      <c r="E227" t="s">
        <v>22</v>
      </c>
      <c r="F227" s="3"/>
      <c r="G227" s="3"/>
      <c r="I227" s="36"/>
      <c r="N227" s="3"/>
      <c r="P227" s="36"/>
      <c r="U227" s="3"/>
      <c r="W227" s="36"/>
      <c r="AB227" s="3"/>
      <c r="AD227" s="36"/>
    </row>
    <row r="228" spans="1:31">
      <c r="A228" t="s">
        <v>676</v>
      </c>
      <c r="B228" s="36">
        <v>46053</v>
      </c>
      <c r="C228" t="s">
        <v>29</v>
      </c>
      <c r="D228" t="s">
        <v>307</v>
      </c>
      <c r="E228" t="s">
        <v>23</v>
      </c>
      <c r="F228" s="3"/>
      <c r="G228" s="3" t="s">
        <v>307</v>
      </c>
      <c r="I228" s="36"/>
      <c r="N228" s="3"/>
      <c r="P228" s="36"/>
      <c r="U228" s="3"/>
      <c r="W228" s="36"/>
      <c r="AB228" s="3"/>
      <c r="AD228" s="36"/>
    </row>
    <row r="229" spans="1:31">
      <c r="A229" t="s">
        <v>677</v>
      </c>
      <c r="B229" s="36">
        <v>46053</v>
      </c>
      <c r="C229" t="s">
        <v>29</v>
      </c>
      <c r="D229" t="s">
        <v>1314</v>
      </c>
      <c r="E229" t="s">
        <v>24</v>
      </c>
      <c r="F229" s="3"/>
      <c r="G229" s="3" t="s">
        <v>581</v>
      </c>
      <c r="I229" s="36"/>
      <c r="N229" s="3"/>
      <c r="P229" s="36"/>
      <c r="U229" s="3"/>
      <c r="W229" s="36"/>
      <c r="AB229" s="3"/>
      <c r="AD229" s="36"/>
    </row>
    <row r="230" spans="1:31">
      <c r="A230" t="s">
        <v>678</v>
      </c>
      <c r="B230" s="36">
        <v>46053</v>
      </c>
      <c r="C230" t="s">
        <v>29</v>
      </c>
      <c r="D230" t="s">
        <v>1295</v>
      </c>
      <c r="E230" t="s">
        <v>22</v>
      </c>
      <c r="F230" s="3"/>
      <c r="G230" s="3" t="s">
        <v>581</v>
      </c>
      <c r="I230" s="36"/>
      <c r="N230" s="3"/>
      <c r="P230" s="36"/>
      <c r="U230" s="3"/>
      <c r="W230" s="36"/>
      <c r="AB230" s="3"/>
      <c r="AD230" s="36"/>
    </row>
    <row r="231" spans="1:31">
      <c r="A231" t="s">
        <v>680</v>
      </c>
      <c r="B231" s="36">
        <v>46053</v>
      </c>
      <c r="C231" t="s">
        <v>37</v>
      </c>
      <c r="D231" t="s">
        <v>877</v>
      </c>
      <c r="E231" t="s">
        <v>24</v>
      </c>
      <c r="F231" s="3"/>
      <c r="G231" s="3" t="s">
        <v>681</v>
      </c>
      <c r="I231" s="36"/>
      <c r="N231" s="3"/>
      <c r="P231" s="36"/>
      <c r="U231" s="3"/>
      <c r="W231" s="36"/>
      <c r="AB231" s="3"/>
      <c r="AD231" s="36"/>
    </row>
    <row r="232" spans="1:31">
      <c r="A232" t="s">
        <v>682</v>
      </c>
      <c r="B232" s="36">
        <v>46053</v>
      </c>
      <c r="C232" t="s">
        <v>35</v>
      </c>
      <c r="D232" t="s">
        <v>359</v>
      </c>
      <c r="E232" t="s">
        <v>24</v>
      </c>
      <c r="F232" s="3"/>
      <c r="G232" s="3" t="s">
        <v>426</v>
      </c>
      <c r="I232" s="36"/>
      <c r="N232" s="3"/>
      <c r="P232" s="36"/>
      <c r="U232" s="3"/>
      <c r="W232" s="36"/>
      <c r="AB232" s="3"/>
      <c r="AD232" s="36"/>
    </row>
    <row r="233" spans="1:31">
      <c r="A233" t="s">
        <v>683</v>
      </c>
      <c r="B233" s="36">
        <v>46053</v>
      </c>
      <c r="C233" t="s">
        <v>35</v>
      </c>
      <c r="D233" t="s">
        <v>1294</v>
      </c>
      <c r="E233" t="s">
        <v>155</v>
      </c>
      <c r="F233" s="3"/>
      <c r="G233" s="3" t="s">
        <v>684</v>
      </c>
      <c r="I233" s="36"/>
      <c r="N233" s="3"/>
      <c r="P233" s="36"/>
      <c r="U233" s="3"/>
      <c r="W233" s="36"/>
      <c r="AB233" s="3"/>
      <c r="AD233" s="36"/>
    </row>
    <row r="234" spans="1:31">
      <c r="A234" t="s">
        <v>691</v>
      </c>
      <c r="B234" s="36">
        <v>46053</v>
      </c>
      <c r="C234" t="s">
        <v>295</v>
      </c>
      <c r="D234" t="s">
        <v>360</v>
      </c>
      <c r="E234" t="s">
        <v>24</v>
      </c>
      <c r="F234" s="3"/>
      <c r="G234" s="3" t="s">
        <v>320</v>
      </c>
      <c r="I234" s="36"/>
      <c r="N234" s="3"/>
      <c r="P234" s="36"/>
      <c r="U234" s="3"/>
      <c r="W234" s="36"/>
      <c r="AB234" s="3"/>
      <c r="AD234" s="36"/>
    </row>
    <row r="235" spans="1:31" s="42" customFormat="1">
      <c r="A235" t="s">
        <v>692</v>
      </c>
      <c r="B235" s="36">
        <v>46053</v>
      </c>
      <c r="C235" t="s">
        <v>295</v>
      </c>
      <c r="D235" t="s">
        <v>360</v>
      </c>
      <c r="E235" t="s">
        <v>24</v>
      </c>
      <c r="F235" s="3"/>
      <c r="G235" s="3" t="s">
        <v>320</v>
      </c>
      <c r="H235"/>
      <c r="I235" s="36"/>
      <c r="J235"/>
      <c r="K235"/>
      <c r="L235"/>
      <c r="M235"/>
      <c r="N235" s="3"/>
      <c r="O235"/>
      <c r="P235" s="36"/>
      <c r="Q235"/>
      <c r="R235"/>
      <c r="S235"/>
      <c r="T235"/>
      <c r="U235" s="3"/>
      <c r="V235"/>
      <c r="W235" s="36"/>
      <c r="X235"/>
      <c r="Y235"/>
      <c r="Z235"/>
      <c r="AA235"/>
      <c r="AB235" s="3"/>
      <c r="AC235"/>
      <c r="AD235" s="36"/>
      <c r="AE235"/>
    </row>
    <row r="236" spans="1:31">
      <c r="A236" t="s">
        <v>693</v>
      </c>
      <c r="B236" s="36">
        <v>46053</v>
      </c>
      <c r="C236" t="s">
        <v>295</v>
      </c>
      <c r="D236" t="s">
        <v>495</v>
      </c>
      <c r="E236" t="s">
        <v>23</v>
      </c>
      <c r="F236" s="3"/>
      <c r="G236" s="3" t="s">
        <v>802</v>
      </c>
      <c r="I236" s="36"/>
      <c r="N236" s="3"/>
      <c r="P236" s="36"/>
      <c r="U236" s="3"/>
      <c r="W236" s="36"/>
      <c r="AB236" s="3"/>
      <c r="AD236" s="36"/>
    </row>
    <row r="237" spans="1:31" s="50" customFormat="1">
      <c r="A237" t="s">
        <v>694</v>
      </c>
      <c r="B237" s="36">
        <v>46053</v>
      </c>
      <c r="C237" t="s">
        <v>295</v>
      </c>
      <c r="D237" t="s">
        <v>427</v>
      </c>
      <c r="E237" t="s">
        <v>24</v>
      </c>
      <c r="F237" s="3"/>
      <c r="G237" s="3" t="s">
        <v>695</v>
      </c>
      <c r="H237"/>
      <c r="I237" s="36"/>
      <c r="J237"/>
      <c r="K237"/>
      <c r="L237"/>
      <c r="M237"/>
      <c r="N237" s="3"/>
      <c r="O237"/>
      <c r="P237" s="36"/>
      <c r="Q237"/>
      <c r="R237"/>
      <c r="S237"/>
      <c r="T237"/>
      <c r="U237" s="3"/>
      <c r="V237"/>
      <c r="W237" s="36"/>
      <c r="X237"/>
      <c r="Y237"/>
      <c r="Z237"/>
      <c r="AA237"/>
      <c r="AB237" s="3"/>
      <c r="AC237"/>
      <c r="AD237" s="36"/>
      <c r="AE237"/>
    </row>
    <row r="238" spans="1:31" s="51" customFormat="1">
      <c r="A238" t="s">
        <v>696</v>
      </c>
      <c r="B238" s="36">
        <v>46053</v>
      </c>
      <c r="C238" t="s">
        <v>295</v>
      </c>
      <c r="D238" t="s">
        <v>495</v>
      </c>
      <c r="E238" t="s">
        <v>23</v>
      </c>
      <c r="F238" s="3"/>
      <c r="G238" s="3" t="s">
        <v>802</v>
      </c>
      <c r="H238"/>
      <c r="I238" s="36"/>
      <c r="J238"/>
      <c r="K238"/>
      <c r="L238"/>
      <c r="M238"/>
      <c r="N238" s="3"/>
      <c r="O238"/>
      <c r="P238" s="36"/>
      <c r="Q238"/>
      <c r="R238"/>
      <c r="S238"/>
      <c r="T238"/>
      <c r="U238" s="3"/>
      <c r="V238"/>
      <c r="W238" s="36"/>
      <c r="X238"/>
      <c r="Y238"/>
      <c r="Z238"/>
      <c r="AA238"/>
      <c r="AB238" s="3"/>
      <c r="AC238"/>
      <c r="AD238" s="36"/>
      <c r="AE238"/>
    </row>
    <row r="239" spans="1:31">
      <c r="A239" t="s">
        <v>697</v>
      </c>
      <c r="B239" s="36">
        <v>46053</v>
      </c>
      <c r="C239" t="s">
        <v>295</v>
      </c>
      <c r="D239" t="s">
        <v>360</v>
      </c>
      <c r="E239" t="s">
        <v>24</v>
      </c>
      <c r="F239" s="3"/>
      <c r="G239" s="3" t="s">
        <v>320</v>
      </c>
      <c r="I239" s="36"/>
      <c r="N239" s="3"/>
      <c r="P239" s="36"/>
      <c r="U239" s="3"/>
      <c r="W239" s="36"/>
      <c r="AB239" s="3"/>
      <c r="AD239" s="36"/>
    </row>
    <row r="240" spans="1:31">
      <c r="A240" t="s">
        <v>698</v>
      </c>
      <c r="B240" s="36">
        <v>46053</v>
      </c>
      <c r="C240" t="s">
        <v>295</v>
      </c>
      <c r="D240" t="s">
        <v>489</v>
      </c>
      <c r="E240" t="s">
        <v>22</v>
      </c>
      <c r="F240" s="3"/>
      <c r="G240" s="3" t="s">
        <v>699</v>
      </c>
      <c r="I240" s="36"/>
      <c r="N240" s="3"/>
      <c r="P240" s="36"/>
      <c r="U240" s="3"/>
      <c r="W240" s="36"/>
      <c r="AB240" s="3"/>
      <c r="AD240" s="36"/>
    </row>
    <row r="241" spans="1:31">
      <c r="A241" t="s">
        <v>700</v>
      </c>
      <c r="B241" s="36">
        <v>46053</v>
      </c>
      <c r="C241" t="s">
        <v>295</v>
      </c>
      <c r="D241" t="s">
        <v>1304</v>
      </c>
      <c r="E241" t="s">
        <v>24</v>
      </c>
      <c r="F241" s="3"/>
      <c r="G241" s="3" t="s">
        <v>313</v>
      </c>
      <c r="I241" s="36"/>
      <c r="N241" s="3"/>
      <c r="P241" s="36"/>
      <c r="U241" s="3"/>
      <c r="W241" s="36"/>
      <c r="AB241" s="3"/>
      <c r="AD241" s="36"/>
    </row>
    <row r="242" spans="1:31">
      <c r="A242" t="s">
        <v>701</v>
      </c>
      <c r="B242" s="36">
        <v>46053</v>
      </c>
      <c r="C242" t="s">
        <v>35</v>
      </c>
      <c r="D242" t="s">
        <v>359</v>
      </c>
      <c r="E242" t="s">
        <v>24</v>
      </c>
      <c r="F242" s="3"/>
      <c r="G242" s="3" t="s">
        <v>702</v>
      </c>
      <c r="I242" s="36"/>
      <c r="N242" s="3"/>
      <c r="P242" s="36"/>
      <c r="U242" s="3"/>
      <c r="W242" s="36"/>
      <c r="AB242" s="3"/>
      <c r="AD242" s="36"/>
    </row>
    <row r="243" spans="1:31" s="51" customFormat="1">
      <c r="A243" t="s">
        <v>703</v>
      </c>
      <c r="B243" s="36">
        <v>46053</v>
      </c>
      <c r="C243" t="s">
        <v>35</v>
      </c>
      <c r="D243" t="s">
        <v>1307</v>
      </c>
      <c r="E243" t="s">
        <v>24</v>
      </c>
      <c r="F243" s="3"/>
      <c r="G243" s="3" t="s">
        <v>704</v>
      </c>
      <c r="H243"/>
      <c r="I243" s="36"/>
      <c r="J243"/>
      <c r="K243"/>
      <c r="L243"/>
      <c r="M243"/>
      <c r="N243" s="3"/>
      <c r="O243"/>
      <c r="P243" s="36"/>
      <c r="Q243"/>
      <c r="R243"/>
      <c r="S243"/>
      <c r="T243"/>
      <c r="U243" s="3"/>
      <c r="V243"/>
      <c r="W243" s="36"/>
      <c r="X243"/>
      <c r="Y243"/>
      <c r="Z243"/>
      <c r="AA243"/>
      <c r="AB243" s="3"/>
      <c r="AC243"/>
      <c r="AD243" s="36"/>
      <c r="AE243"/>
    </row>
    <row r="244" spans="1:31">
      <c r="A244" t="s">
        <v>705</v>
      </c>
      <c r="B244" s="36">
        <v>46053</v>
      </c>
      <c r="C244" t="s">
        <v>295</v>
      </c>
      <c r="D244" t="s">
        <v>495</v>
      </c>
      <c r="E244" t="s">
        <v>23</v>
      </c>
      <c r="F244" s="3"/>
      <c r="G244" s="3" t="s">
        <v>802</v>
      </c>
      <c r="I244" s="36"/>
      <c r="N244" s="3"/>
      <c r="P244" s="36"/>
      <c r="U244" s="3"/>
      <c r="W244" s="36"/>
      <c r="AB244" s="3"/>
      <c r="AD244" s="36"/>
    </row>
    <row r="245" spans="1:31" s="51" customFormat="1">
      <c r="A245" t="s">
        <v>706</v>
      </c>
      <c r="B245" s="36">
        <v>46053</v>
      </c>
      <c r="C245" t="s">
        <v>295</v>
      </c>
      <c r="D245" t="s">
        <v>495</v>
      </c>
      <c r="E245" t="s">
        <v>23</v>
      </c>
      <c r="F245" s="3"/>
      <c r="G245" s="3" t="s">
        <v>802</v>
      </c>
      <c r="H245"/>
      <c r="I245" s="36"/>
      <c r="J245"/>
      <c r="K245"/>
      <c r="L245"/>
      <c r="M245"/>
      <c r="N245" s="3"/>
      <c r="O245"/>
      <c r="P245" s="36"/>
      <c r="Q245"/>
      <c r="R245"/>
      <c r="S245"/>
      <c r="T245"/>
      <c r="U245" s="3"/>
      <c r="V245"/>
      <c r="W245" s="36"/>
      <c r="X245"/>
      <c r="Y245"/>
      <c r="Z245"/>
      <c r="AA245"/>
      <c r="AB245" s="3"/>
      <c r="AC245"/>
      <c r="AD245" s="36"/>
      <c r="AE245"/>
    </row>
    <row r="246" spans="1:31">
      <c r="A246" t="s">
        <v>707</v>
      </c>
      <c r="B246" s="36">
        <v>46053</v>
      </c>
      <c r="C246" t="s">
        <v>295</v>
      </c>
      <c r="D246" t="s">
        <v>495</v>
      </c>
      <c r="E246" t="s">
        <v>23</v>
      </c>
      <c r="F246" s="3"/>
      <c r="G246" s="3" t="s">
        <v>802</v>
      </c>
      <c r="I246" s="36"/>
      <c r="N246" s="3"/>
      <c r="P246" s="36"/>
      <c r="U246" s="3"/>
      <c r="W246" s="36"/>
      <c r="AB246" s="3"/>
      <c r="AD246" s="36"/>
    </row>
    <row r="247" spans="1:31" s="51" customFormat="1">
      <c r="A247" t="s">
        <v>708</v>
      </c>
      <c r="B247" s="36">
        <v>46053</v>
      </c>
      <c r="C247" t="s">
        <v>35</v>
      </c>
      <c r="D247" t="s">
        <v>359</v>
      </c>
      <c r="E247" t="s">
        <v>24</v>
      </c>
      <c r="F247" s="3"/>
      <c r="G247" s="3" t="s">
        <v>702</v>
      </c>
      <c r="H247"/>
      <c r="I247" s="36"/>
      <c r="J247"/>
      <c r="K247"/>
      <c r="L247"/>
      <c r="M247"/>
      <c r="N247" s="3"/>
      <c r="O247"/>
      <c r="P247" s="36"/>
      <c r="Q247"/>
      <c r="R247"/>
      <c r="S247"/>
      <c r="T247"/>
      <c r="U247" s="3"/>
      <c r="V247"/>
      <c r="W247" s="36"/>
      <c r="X247"/>
      <c r="Y247"/>
      <c r="Z247"/>
      <c r="AA247"/>
      <c r="AB247" s="3"/>
      <c r="AC247"/>
      <c r="AD247" s="36"/>
      <c r="AE247"/>
    </row>
    <row r="248" spans="1:31" s="51" customFormat="1">
      <c r="A248" t="s">
        <v>709</v>
      </c>
      <c r="B248" s="36">
        <v>46053</v>
      </c>
      <c r="C248" t="s">
        <v>295</v>
      </c>
      <c r="D248" t="s">
        <v>495</v>
      </c>
      <c r="E248" t="s">
        <v>23</v>
      </c>
      <c r="F248" s="3"/>
      <c r="G248" s="3" t="s">
        <v>790</v>
      </c>
      <c r="H248"/>
      <c r="I248" s="36"/>
      <c r="J248"/>
      <c r="K248"/>
      <c r="L248"/>
      <c r="M248"/>
      <c r="N248" s="3"/>
      <c r="O248"/>
      <c r="P248" s="36"/>
      <c r="Q248"/>
      <c r="R248"/>
      <c r="S248"/>
      <c r="T248"/>
      <c r="U248" s="3"/>
      <c r="V248"/>
      <c r="W248" s="36"/>
      <c r="X248"/>
      <c r="Y248"/>
      <c r="Z248"/>
      <c r="AA248"/>
      <c r="AB248" s="3"/>
      <c r="AC248"/>
      <c r="AD248" s="36"/>
      <c r="AE248"/>
    </row>
    <row r="249" spans="1:31">
      <c r="A249" t="s">
        <v>710</v>
      </c>
      <c r="B249" s="36">
        <v>46053</v>
      </c>
      <c r="C249" t="s">
        <v>295</v>
      </c>
      <c r="D249" t="s">
        <v>495</v>
      </c>
      <c r="E249" t="s">
        <v>23</v>
      </c>
      <c r="F249" s="3"/>
      <c r="G249" s="3" t="s">
        <v>802</v>
      </c>
      <c r="I249" s="36"/>
      <c r="N249" s="3"/>
      <c r="P249" s="36"/>
      <c r="U249" s="3"/>
      <c r="W249" s="36"/>
      <c r="AB249" s="3"/>
      <c r="AD249" s="36"/>
    </row>
    <row r="250" spans="1:31">
      <c r="A250" t="s">
        <v>711</v>
      </c>
      <c r="B250" s="36">
        <v>46053</v>
      </c>
      <c r="C250" t="s">
        <v>35</v>
      </c>
      <c r="D250" t="s">
        <v>304</v>
      </c>
      <c r="E250" t="s">
        <v>24</v>
      </c>
      <c r="F250" s="3"/>
      <c r="G250" s="3" t="s">
        <v>431</v>
      </c>
      <c r="I250" s="36"/>
      <c r="N250" s="3"/>
      <c r="P250" s="36"/>
      <c r="U250" s="3"/>
      <c r="W250" s="36"/>
      <c r="AB250" s="3"/>
      <c r="AD250" s="36"/>
    </row>
    <row r="251" spans="1:31">
      <c r="A251" t="s">
        <v>712</v>
      </c>
      <c r="B251" s="36">
        <v>46053</v>
      </c>
      <c r="C251" t="s">
        <v>33</v>
      </c>
      <c r="D251" t="s">
        <v>1312</v>
      </c>
      <c r="E251" t="s">
        <v>24</v>
      </c>
      <c r="F251" s="3"/>
      <c r="G251" s="3" t="s">
        <v>365</v>
      </c>
      <c r="I251" s="36"/>
      <c r="N251" s="3"/>
      <c r="P251" s="36"/>
      <c r="U251" s="3"/>
      <c r="W251" s="36"/>
      <c r="AB251" s="3"/>
      <c r="AD251" s="36"/>
    </row>
    <row r="252" spans="1:31">
      <c r="A252" t="s">
        <v>713</v>
      </c>
      <c r="B252" s="36">
        <v>46053</v>
      </c>
      <c r="C252" t="s">
        <v>35</v>
      </c>
      <c r="D252" t="s">
        <v>359</v>
      </c>
      <c r="E252" t="s">
        <v>24</v>
      </c>
      <c r="F252" s="3"/>
      <c r="G252" s="3" t="s">
        <v>702</v>
      </c>
      <c r="I252" s="36"/>
      <c r="N252" s="3"/>
      <c r="P252" s="36"/>
      <c r="U252" s="3"/>
      <c r="W252" s="36"/>
      <c r="AB252" s="3"/>
      <c r="AD252" s="36"/>
    </row>
    <row r="253" spans="1:31">
      <c r="A253" t="s">
        <v>714</v>
      </c>
      <c r="B253" s="36">
        <v>46053</v>
      </c>
      <c r="C253" t="s">
        <v>295</v>
      </c>
      <c r="D253" t="s">
        <v>489</v>
      </c>
      <c r="E253" t="s">
        <v>22</v>
      </c>
      <c r="F253" s="3"/>
      <c r="G253" s="3" t="s">
        <v>699</v>
      </c>
      <c r="I253" s="36"/>
      <c r="N253" s="3"/>
      <c r="P253" s="36"/>
      <c r="U253" s="3"/>
      <c r="W253" s="36"/>
      <c r="AB253" s="3"/>
      <c r="AD253" s="36"/>
    </row>
    <row r="254" spans="1:31">
      <c r="A254" t="s">
        <v>715</v>
      </c>
      <c r="B254" s="36">
        <v>46053</v>
      </c>
      <c r="C254" t="s">
        <v>35</v>
      </c>
      <c r="D254" t="s">
        <v>1318</v>
      </c>
      <c r="E254" t="s">
        <v>24</v>
      </c>
      <c r="F254" s="3"/>
      <c r="G254" s="3" t="s">
        <v>335</v>
      </c>
      <c r="I254" s="36"/>
      <c r="N254" s="3"/>
      <c r="P254" s="36"/>
      <c r="U254" s="3"/>
      <c r="W254" s="36"/>
      <c r="AB254" s="3"/>
      <c r="AD254" s="36"/>
    </row>
    <row r="255" spans="1:31" s="51" customFormat="1">
      <c r="A255" t="s">
        <v>716</v>
      </c>
      <c r="B255" s="36">
        <v>46053</v>
      </c>
      <c r="C255" t="s">
        <v>35</v>
      </c>
      <c r="D255" t="s">
        <v>1318</v>
      </c>
      <c r="E255" t="s">
        <v>24</v>
      </c>
      <c r="F255" s="3"/>
      <c r="G255" s="3" t="s">
        <v>335</v>
      </c>
      <c r="H255"/>
      <c r="I255" s="36"/>
      <c r="J255"/>
      <c r="K255"/>
      <c r="L255"/>
      <c r="M255"/>
      <c r="N255" s="3"/>
      <c r="O255"/>
      <c r="P255" s="36"/>
      <c r="Q255"/>
      <c r="R255"/>
      <c r="S255"/>
      <c r="T255"/>
      <c r="U255" s="3"/>
      <c r="V255"/>
      <c r="W255" s="36"/>
      <c r="X255"/>
      <c r="Y255"/>
      <c r="Z255"/>
      <c r="AA255"/>
      <c r="AB255" s="3"/>
      <c r="AC255"/>
      <c r="AD255" s="36"/>
      <c r="AE255"/>
    </row>
    <row r="256" spans="1:31">
      <c r="A256" t="s">
        <v>717</v>
      </c>
      <c r="B256" s="36">
        <v>46053</v>
      </c>
      <c r="C256" t="s">
        <v>295</v>
      </c>
      <c r="D256" t="s">
        <v>495</v>
      </c>
      <c r="E256" t="s">
        <v>23</v>
      </c>
      <c r="F256" s="3"/>
      <c r="G256" s="3" t="s">
        <v>802</v>
      </c>
      <c r="I256" s="36"/>
      <c r="N256" s="3"/>
      <c r="P256" s="36"/>
      <c r="U256" s="3"/>
      <c r="W256" s="36"/>
      <c r="AB256" s="3"/>
      <c r="AD256" s="36"/>
    </row>
    <row r="257" spans="1:30">
      <c r="A257" t="s">
        <v>718</v>
      </c>
      <c r="B257" s="36">
        <v>46053</v>
      </c>
      <c r="C257" t="s">
        <v>295</v>
      </c>
      <c r="D257" t="s">
        <v>1304</v>
      </c>
      <c r="E257" t="s">
        <v>24</v>
      </c>
      <c r="F257" s="3"/>
      <c r="G257" s="3" t="s">
        <v>313</v>
      </c>
      <c r="I257" s="36"/>
      <c r="N257" s="3"/>
      <c r="P257" s="36"/>
      <c r="U257" s="3"/>
      <c r="W257" s="36"/>
      <c r="AB257" s="3"/>
      <c r="AD257" s="36"/>
    </row>
    <row r="258" spans="1:30">
      <c r="A258" t="s">
        <v>719</v>
      </c>
      <c r="B258" s="36">
        <v>46053</v>
      </c>
      <c r="C258" t="s">
        <v>295</v>
      </c>
      <c r="D258" t="s">
        <v>1304</v>
      </c>
      <c r="E258" t="s">
        <v>24</v>
      </c>
      <c r="F258" s="3"/>
      <c r="G258" s="3" t="s">
        <v>313</v>
      </c>
      <c r="I258" s="36"/>
      <c r="N258" s="3"/>
      <c r="P258" s="36"/>
      <c r="U258" s="3"/>
      <c r="W258" s="36"/>
      <c r="AB258" s="3"/>
      <c r="AD258" s="36"/>
    </row>
    <row r="259" spans="1:30">
      <c r="A259" t="s">
        <v>720</v>
      </c>
      <c r="B259" s="36">
        <v>46053</v>
      </c>
      <c r="C259" t="s">
        <v>295</v>
      </c>
      <c r="D259" t="s">
        <v>1304</v>
      </c>
      <c r="E259" t="s">
        <v>24</v>
      </c>
      <c r="F259" s="3"/>
      <c r="G259" s="3" t="s">
        <v>313</v>
      </c>
      <c r="I259" s="36"/>
      <c r="N259" s="3"/>
      <c r="P259" s="36"/>
      <c r="U259" s="3"/>
      <c r="W259" s="36"/>
      <c r="AB259" s="3"/>
      <c r="AD259" s="36"/>
    </row>
    <row r="260" spans="1:30">
      <c r="A260" t="s">
        <v>721</v>
      </c>
      <c r="B260" s="36">
        <v>46053</v>
      </c>
      <c r="C260" t="s">
        <v>295</v>
      </c>
      <c r="D260" t="s">
        <v>1345</v>
      </c>
      <c r="E260" t="s">
        <v>23</v>
      </c>
      <c r="F260" s="3"/>
      <c r="G260" s="3" t="s">
        <v>722</v>
      </c>
      <c r="I260" s="36"/>
      <c r="N260" s="3"/>
      <c r="P260" s="36"/>
      <c r="U260" s="3"/>
      <c r="W260" s="36"/>
      <c r="AB260" s="3"/>
      <c r="AD260" s="36"/>
    </row>
    <row r="261" spans="1:30">
      <c r="A261" t="s">
        <v>723</v>
      </c>
      <c r="B261" s="36">
        <v>46053</v>
      </c>
      <c r="C261" t="s">
        <v>295</v>
      </c>
      <c r="D261" t="s">
        <v>1345</v>
      </c>
      <c r="E261" t="s">
        <v>23</v>
      </c>
      <c r="F261" s="3"/>
      <c r="G261" s="3" t="s">
        <v>725</v>
      </c>
      <c r="I261" s="36"/>
      <c r="N261" s="3"/>
      <c r="P261" s="36"/>
      <c r="U261" s="3"/>
      <c r="W261" s="36"/>
      <c r="AB261" s="3"/>
      <c r="AD261" s="36"/>
    </row>
    <row r="262" spans="1:30">
      <c r="A262" t="s">
        <v>724</v>
      </c>
      <c r="B262" s="36">
        <v>46053</v>
      </c>
      <c r="C262" t="s">
        <v>33</v>
      </c>
      <c r="D262" t="s">
        <v>1312</v>
      </c>
      <c r="E262" t="s">
        <v>24</v>
      </c>
      <c r="F262" s="3"/>
      <c r="G262" s="3" t="s">
        <v>365</v>
      </c>
      <c r="I262" s="36"/>
      <c r="N262" s="3"/>
      <c r="P262" s="36"/>
      <c r="U262" s="3"/>
      <c r="W262" s="36"/>
      <c r="AB262" s="3"/>
      <c r="AD262" s="36"/>
    </row>
    <row r="263" spans="1:30">
      <c r="A263" t="s">
        <v>726</v>
      </c>
      <c r="B263" s="36">
        <v>46053</v>
      </c>
      <c r="C263" t="s">
        <v>295</v>
      </c>
      <c r="D263" t="s">
        <v>1314</v>
      </c>
      <c r="E263" t="s">
        <v>24</v>
      </c>
      <c r="F263" s="3"/>
      <c r="G263" s="3" t="s">
        <v>581</v>
      </c>
      <c r="I263" s="36"/>
      <c r="N263" s="3"/>
      <c r="P263" s="36"/>
      <c r="U263" s="3"/>
      <c r="W263" s="36"/>
      <c r="AB263" s="3"/>
      <c r="AD263" s="36"/>
    </row>
    <row r="264" spans="1:30">
      <c r="A264" t="s">
        <v>938</v>
      </c>
      <c r="B264" s="36">
        <v>46053</v>
      </c>
      <c r="C264" t="s">
        <v>295</v>
      </c>
      <c r="D264" t="s">
        <v>150</v>
      </c>
      <c r="E264" t="s">
        <v>22</v>
      </c>
      <c r="F264" s="3"/>
      <c r="G264" s="3" t="s">
        <v>581</v>
      </c>
      <c r="I264" s="36"/>
      <c r="N264" s="3"/>
      <c r="P264" s="36"/>
      <c r="U264" s="3"/>
      <c r="W264" s="36"/>
      <c r="AB264" s="3"/>
      <c r="AD264" s="36"/>
    </row>
    <row r="265" spans="1:30">
      <c r="A265" t="s">
        <v>727</v>
      </c>
      <c r="B265" s="36">
        <v>46053</v>
      </c>
      <c r="C265" t="s">
        <v>295</v>
      </c>
      <c r="D265" t="s">
        <v>495</v>
      </c>
      <c r="E265" t="s">
        <v>23</v>
      </c>
      <c r="F265" s="3"/>
      <c r="G265" s="3" t="s">
        <v>802</v>
      </c>
      <c r="I265" s="36"/>
      <c r="N265" s="3"/>
      <c r="P265" s="36"/>
      <c r="U265" s="3"/>
      <c r="W265" s="36"/>
      <c r="AB265" s="3"/>
      <c r="AD265" s="36"/>
    </row>
    <row r="266" spans="1:30">
      <c r="A266" t="s">
        <v>728</v>
      </c>
      <c r="B266" s="36">
        <v>46053</v>
      </c>
      <c r="C266" t="s">
        <v>295</v>
      </c>
      <c r="D266" t="s">
        <v>427</v>
      </c>
      <c r="E266" t="s">
        <v>23</v>
      </c>
      <c r="F266" s="3"/>
      <c r="G266" s="3" t="s">
        <v>136</v>
      </c>
      <c r="I266" s="36"/>
      <c r="N266" s="3"/>
      <c r="P266" s="36"/>
      <c r="U266" s="3"/>
      <c r="W266" s="36"/>
      <c r="AB266" s="3"/>
      <c r="AD266" s="36"/>
    </row>
    <row r="267" spans="1:30">
      <c r="A267" t="s">
        <v>729</v>
      </c>
      <c r="B267" s="36">
        <v>46053</v>
      </c>
      <c r="C267" t="s">
        <v>295</v>
      </c>
      <c r="D267" t="s">
        <v>495</v>
      </c>
      <c r="E267" t="s">
        <v>23</v>
      </c>
      <c r="F267" s="3"/>
      <c r="G267" s="3" t="s">
        <v>802</v>
      </c>
      <c r="I267" s="36"/>
      <c r="N267" s="3"/>
      <c r="P267" s="36"/>
      <c r="U267" s="3"/>
      <c r="W267" s="36"/>
      <c r="AB267" s="3"/>
      <c r="AD267" s="36"/>
    </row>
    <row r="268" spans="1:30">
      <c r="A268" t="s">
        <v>730</v>
      </c>
      <c r="B268" s="36">
        <v>46053</v>
      </c>
      <c r="C268" t="s">
        <v>35</v>
      </c>
      <c r="D268" t="s">
        <v>427</v>
      </c>
      <c r="E268" t="s">
        <v>24</v>
      </c>
      <c r="F268" s="3"/>
      <c r="G268" s="3" t="s">
        <v>149</v>
      </c>
      <c r="I268" s="36"/>
      <c r="N268" s="3"/>
      <c r="P268" s="36"/>
      <c r="U268" s="3"/>
      <c r="W268" s="36"/>
      <c r="AB268" s="3"/>
      <c r="AD268" s="36"/>
    </row>
    <row r="269" spans="1:30">
      <c r="A269" t="s">
        <v>731</v>
      </c>
      <c r="B269" s="36">
        <v>46053</v>
      </c>
      <c r="C269" t="s">
        <v>35</v>
      </c>
      <c r="D269" t="s">
        <v>427</v>
      </c>
      <c r="E269" t="s">
        <v>24</v>
      </c>
      <c r="F269" s="3"/>
      <c r="G269" s="3" t="s">
        <v>342</v>
      </c>
      <c r="I269" s="36"/>
      <c r="N269" s="3"/>
      <c r="P269" s="36"/>
      <c r="U269" s="3"/>
      <c r="W269" s="36"/>
      <c r="AB269" s="3"/>
      <c r="AD269" s="36"/>
    </row>
    <row r="270" spans="1:30">
      <c r="A270" t="s">
        <v>732</v>
      </c>
      <c r="B270" s="36">
        <v>46053</v>
      </c>
      <c r="C270" t="s">
        <v>35</v>
      </c>
      <c r="D270" t="s">
        <v>489</v>
      </c>
      <c r="E270" t="s">
        <v>24</v>
      </c>
      <c r="F270" s="3"/>
      <c r="G270" s="3" t="s">
        <v>344</v>
      </c>
      <c r="I270" s="36"/>
      <c r="N270" s="3"/>
      <c r="P270" s="36"/>
      <c r="U270" s="3"/>
      <c r="W270" s="36"/>
      <c r="AB270" s="3"/>
      <c r="AD270" s="36"/>
    </row>
    <row r="271" spans="1:30">
      <c r="A271" t="s">
        <v>733</v>
      </c>
      <c r="B271" s="36">
        <v>46053</v>
      </c>
      <c r="C271" t="s">
        <v>35</v>
      </c>
      <c r="D271" t="s">
        <v>359</v>
      </c>
      <c r="E271" t="s">
        <v>24</v>
      </c>
      <c r="F271" s="3"/>
      <c r="G271" s="3" t="s">
        <v>702</v>
      </c>
      <c r="I271" s="36"/>
      <c r="N271" s="3"/>
      <c r="P271" s="36"/>
      <c r="U271" s="3"/>
      <c r="W271" s="36"/>
      <c r="AB271" s="3"/>
      <c r="AD271" s="36"/>
    </row>
    <row r="272" spans="1:30">
      <c r="A272" t="s">
        <v>734</v>
      </c>
      <c r="B272" s="36">
        <v>46053</v>
      </c>
      <c r="C272" t="s">
        <v>295</v>
      </c>
      <c r="D272" t="s">
        <v>489</v>
      </c>
      <c r="E272" t="s">
        <v>22</v>
      </c>
      <c r="F272" s="3"/>
      <c r="G272" s="3" t="s">
        <v>699</v>
      </c>
      <c r="I272" s="36"/>
      <c r="N272" s="3"/>
      <c r="P272" s="36"/>
      <c r="U272" s="3"/>
      <c r="W272" s="36"/>
      <c r="AB272" s="3"/>
      <c r="AD272" s="36"/>
    </row>
    <row r="273" spans="1:31">
      <c r="A273" t="s">
        <v>735</v>
      </c>
      <c r="B273" s="36">
        <v>46053</v>
      </c>
      <c r="C273" t="s">
        <v>35</v>
      </c>
      <c r="D273" t="s">
        <v>427</v>
      </c>
      <c r="E273" t="s">
        <v>24</v>
      </c>
      <c r="F273" s="3"/>
      <c r="G273" s="3" t="s">
        <v>351</v>
      </c>
      <c r="I273" s="36"/>
      <c r="N273" s="3"/>
      <c r="P273" s="36"/>
      <c r="U273" s="3"/>
      <c r="W273" s="36"/>
      <c r="AB273" s="3"/>
      <c r="AD273" s="36"/>
    </row>
    <row r="274" spans="1:31" s="50" customFormat="1">
      <c r="A274" t="s">
        <v>736</v>
      </c>
      <c r="B274" s="36">
        <v>46053</v>
      </c>
      <c r="C274" t="s">
        <v>35</v>
      </c>
      <c r="D274" t="s">
        <v>359</v>
      </c>
      <c r="E274" t="s">
        <v>24</v>
      </c>
      <c r="F274" s="3"/>
      <c r="G274" s="3" t="s">
        <v>702</v>
      </c>
      <c r="H274"/>
      <c r="I274" s="36"/>
      <c r="J274"/>
      <c r="K274"/>
      <c r="L274"/>
      <c r="M274"/>
      <c r="N274" s="3"/>
      <c r="O274"/>
      <c r="P274" s="36"/>
      <c r="Q274"/>
      <c r="R274"/>
      <c r="S274"/>
      <c r="T274"/>
      <c r="U274" s="3"/>
      <c r="V274"/>
      <c r="W274" s="36"/>
      <c r="X274"/>
      <c r="Y274"/>
      <c r="Z274"/>
      <c r="AA274"/>
      <c r="AB274" s="3"/>
      <c r="AC274"/>
      <c r="AD274" s="36"/>
      <c r="AE274"/>
    </row>
    <row r="275" spans="1:31">
      <c r="A275" t="s">
        <v>737</v>
      </c>
      <c r="B275" s="36">
        <v>46053</v>
      </c>
      <c r="C275" t="s">
        <v>295</v>
      </c>
      <c r="D275" t="s">
        <v>495</v>
      </c>
      <c r="E275" t="s">
        <v>23</v>
      </c>
      <c r="F275" s="3"/>
      <c r="G275" s="3" t="s">
        <v>802</v>
      </c>
      <c r="I275" s="36"/>
      <c r="N275" s="3"/>
      <c r="P275" s="36"/>
      <c r="U275" s="3"/>
      <c r="W275" s="36"/>
      <c r="AB275" s="3"/>
      <c r="AD275" s="36"/>
    </row>
    <row r="276" spans="1:31">
      <c r="A276" t="s">
        <v>738</v>
      </c>
      <c r="B276" s="36">
        <v>46053</v>
      </c>
      <c r="C276" t="s">
        <v>37</v>
      </c>
      <c r="D276" t="s">
        <v>427</v>
      </c>
      <c r="E276" t="s">
        <v>24</v>
      </c>
      <c r="F276" s="3"/>
      <c r="G276" s="3" t="s">
        <v>451</v>
      </c>
      <c r="I276" s="36"/>
      <c r="N276" s="3"/>
      <c r="P276" s="36"/>
      <c r="U276" s="3"/>
      <c r="W276" s="36"/>
      <c r="AB276" s="3"/>
      <c r="AD276" s="36"/>
    </row>
    <row r="277" spans="1:31">
      <c r="A277" t="s">
        <v>739</v>
      </c>
      <c r="B277" s="36">
        <v>46053</v>
      </c>
      <c r="C277" t="s">
        <v>295</v>
      </c>
      <c r="D277" t="s">
        <v>495</v>
      </c>
      <c r="E277" t="s">
        <v>23</v>
      </c>
      <c r="F277" s="3"/>
      <c r="G277" s="3" t="s">
        <v>802</v>
      </c>
      <c r="I277" s="36"/>
      <c r="N277" s="3"/>
      <c r="P277" s="36"/>
      <c r="U277" s="3"/>
      <c r="W277" s="36"/>
      <c r="AB277" s="3"/>
      <c r="AD277" s="36"/>
    </row>
    <row r="278" spans="1:31" s="50" customFormat="1">
      <c r="A278" t="s">
        <v>740</v>
      </c>
      <c r="B278" s="36">
        <v>46053</v>
      </c>
      <c r="C278" t="s">
        <v>35</v>
      </c>
      <c r="D278" t="s">
        <v>359</v>
      </c>
      <c r="E278" t="s">
        <v>24</v>
      </c>
      <c r="F278" s="3"/>
      <c r="G278" s="3" t="s">
        <v>702</v>
      </c>
      <c r="H278"/>
      <c r="I278" s="36"/>
      <c r="J278"/>
      <c r="K278"/>
      <c r="L278"/>
      <c r="M278"/>
      <c r="N278" s="3"/>
      <c r="O278"/>
      <c r="P278" s="36"/>
      <c r="Q278"/>
      <c r="R278"/>
      <c r="S278"/>
      <c r="T278"/>
      <c r="U278" s="3"/>
      <c r="V278"/>
      <c r="W278" s="36"/>
      <c r="X278"/>
      <c r="Y278"/>
      <c r="Z278"/>
      <c r="AA278"/>
      <c r="AB278" s="3"/>
      <c r="AC278"/>
      <c r="AD278" s="36"/>
      <c r="AE278"/>
    </row>
    <row r="279" spans="1:31" s="50" customFormat="1">
      <c r="A279" t="s">
        <v>741</v>
      </c>
      <c r="B279" s="36">
        <v>46053</v>
      </c>
      <c r="C279" t="s">
        <v>295</v>
      </c>
      <c r="D279" t="s">
        <v>495</v>
      </c>
      <c r="E279" t="s">
        <v>23</v>
      </c>
      <c r="F279" s="3"/>
      <c r="G279" s="3" t="s">
        <v>802</v>
      </c>
      <c r="H279"/>
      <c r="I279" s="36"/>
      <c r="J279"/>
      <c r="K279"/>
      <c r="L279"/>
      <c r="M279"/>
      <c r="N279" s="3"/>
      <c r="O279"/>
      <c r="P279" s="36"/>
      <c r="Q279"/>
      <c r="R279"/>
      <c r="S279"/>
      <c r="T279"/>
      <c r="U279" s="3"/>
      <c r="V279"/>
      <c r="W279" s="36"/>
      <c r="X279"/>
      <c r="Y279"/>
      <c r="Z279"/>
      <c r="AA279"/>
      <c r="AB279" s="3"/>
      <c r="AC279"/>
      <c r="AD279" s="36"/>
      <c r="AE279"/>
    </row>
    <row r="280" spans="1:31">
      <c r="A280" t="s">
        <v>742</v>
      </c>
      <c r="B280" s="36">
        <v>46053</v>
      </c>
      <c r="C280" t="s">
        <v>295</v>
      </c>
      <c r="D280" t="s">
        <v>495</v>
      </c>
      <c r="E280" t="s">
        <v>23</v>
      </c>
      <c r="F280" s="3"/>
      <c r="G280" s="3" t="s">
        <v>802</v>
      </c>
      <c r="I280" s="36"/>
      <c r="N280" s="3"/>
      <c r="P280" s="36"/>
      <c r="U280" s="3"/>
      <c r="W280" s="36"/>
      <c r="AB280" s="3"/>
      <c r="AD280" s="36"/>
    </row>
    <row r="281" spans="1:31">
      <c r="A281" t="s">
        <v>743</v>
      </c>
      <c r="B281" s="36">
        <v>46053</v>
      </c>
      <c r="C281" t="s">
        <v>295</v>
      </c>
      <c r="D281" t="s">
        <v>495</v>
      </c>
      <c r="E281" t="s">
        <v>23</v>
      </c>
      <c r="F281" s="3"/>
      <c r="G281" s="3" t="s">
        <v>790</v>
      </c>
      <c r="I281" s="36"/>
      <c r="N281" s="3"/>
      <c r="P281" s="36"/>
      <c r="U281" s="3"/>
      <c r="W281" s="36"/>
      <c r="AB281" s="3"/>
      <c r="AD281" s="36"/>
    </row>
    <row r="282" spans="1:31" s="50" customFormat="1">
      <c r="A282" t="s">
        <v>744</v>
      </c>
      <c r="B282" s="36">
        <v>46053</v>
      </c>
      <c r="C282" t="s">
        <v>295</v>
      </c>
      <c r="D282" t="s">
        <v>360</v>
      </c>
      <c r="E282" t="s">
        <v>24</v>
      </c>
      <c r="F282" s="3"/>
      <c r="G282" s="3" t="s">
        <v>320</v>
      </c>
      <c r="H282"/>
      <c r="I282" s="36"/>
      <c r="J282"/>
      <c r="K282"/>
      <c r="L282"/>
      <c r="M282"/>
      <c r="N282" s="3"/>
      <c r="O282"/>
      <c r="P282" s="36"/>
      <c r="Q282"/>
      <c r="R282"/>
      <c r="S282"/>
      <c r="T282"/>
      <c r="U282" s="3"/>
      <c r="V282"/>
      <c r="W282" s="36"/>
      <c r="X282"/>
      <c r="Y282"/>
      <c r="Z282"/>
      <c r="AA282"/>
      <c r="AB282" s="3"/>
      <c r="AC282"/>
      <c r="AD282" s="36"/>
      <c r="AE282"/>
    </row>
    <row r="283" spans="1:31">
      <c r="A283" t="s">
        <v>745</v>
      </c>
      <c r="B283" s="36">
        <v>46053</v>
      </c>
      <c r="C283" t="s">
        <v>295</v>
      </c>
      <c r="D283" t="s">
        <v>360</v>
      </c>
      <c r="E283" t="s">
        <v>24</v>
      </c>
      <c r="F283" s="3"/>
      <c r="G283" s="3" t="s">
        <v>320</v>
      </c>
      <c r="I283" s="36"/>
      <c r="N283" s="3"/>
      <c r="P283" s="36"/>
      <c r="U283" s="3"/>
      <c r="W283" s="36"/>
      <c r="AB283" s="3"/>
      <c r="AD283" s="36"/>
    </row>
    <row r="284" spans="1:31">
      <c r="A284" t="s">
        <v>746</v>
      </c>
      <c r="B284" s="36">
        <v>46053</v>
      </c>
      <c r="C284" t="s">
        <v>295</v>
      </c>
      <c r="D284" t="s">
        <v>495</v>
      </c>
      <c r="E284" t="s">
        <v>23</v>
      </c>
      <c r="F284" s="3"/>
      <c r="G284" s="3" t="s">
        <v>790</v>
      </c>
      <c r="I284" s="36"/>
      <c r="N284" s="3"/>
      <c r="P284" s="36"/>
      <c r="U284" s="3"/>
      <c r="W284" s="36"/>
      <c r="AB284" s="3"/>
      <c r="AD284" s="36"/>
    </row>
    <row r="285" spans="1:31">
      <c r="A285" t="s">
        <v>747</v>
      </c>
      <c r="B285" s="36">
        <v>46053</v>
      </c>
      <c r="C285" t="s">
        <v>295</v>
      </c>
      <c r="D285" t="s">
        <v>495</v>
      </c>
      <c r="E285" t="s">
        <v>23</v>
      </c>
      <c r="F285" s="3"/>
      <c r="G285" s="3" t="s">
        <v>802</v>
      </c>
      <c r="I285" s="36"/>
      <c r="N285" s="3"/>
      <c r="P285" s="36"/>
      <c r="U285" s="3"/>
      <c r="W285" s="36"/>
      <c r="AB285" s="3"/>
      <c r="AD285" s="36"/>
    </row>
    <row r="286" spans="1:31">
      <c r="A286" t="s">
        <v>748</v>
      </c>
      <c r="B286" s="36">
        <v>46053</v>
      </c>
      <c r="C286" t="s">
        <v>295</v>
      </c>
      <c r="D286" t="s">
        <v>495</v>
      </c>
      <c r="E286" t="s">
        <v>23</v>
      </c>
      <c r="F286" s="3"/>
      <c r="G286" s="3" t="s">
        <v>802</v>
      </c>
      <c r="I286" s="36"/>
      <c r="N286" s="3"/>
      <c r="P286" s="36"/>
      <c r="U286" s="3"/>
      <c r="W286" s="36"/>
      <c r="AB286" s="3"/>
      <c r="AD286" s="36"/>
    </row>
    <row r="287" spans="1:31">
      <c r="A287" t="s">
        <v>749</v>
      </c>
      <c r="B287" s="36">
        <v>46053</v>
      </c>
      <c r="C287" t="s">
        <v>35</v>
      </c>
      <c r="D287" t="s">
        <v>1321</v>
      </c>
      <c r="E287" t="s">
        <v>24</v>
      </c>
      <c r="F287" s="3"/>
      <c r="G287" s="3" t="s">
        <v>328</v>
      </c>
      <c r="I287" s="36"/>
      <c r="N287" s="3"/>
      <c r="P287" s="36"/>
      <c r="U287" s="3"/>
      <c r="W287" s="36"/>
      <c r="AB287" s="3"/>
      <c r="AD287" s="36"/>
    </row>
    <row r="288" spans="1:31" s="50" customFormat="1">
      <c r="A288" t="s">
        <v>750</v>
      </c>
      <c r="B288" s="36">
        <v>46053</v>
      </c>
      <c r="C288" t="s">
        <v>295</v>
      </c>
      <c r="D288" t="s">
        <v>495</v>
      </c>
      <c r="E288" t="s">
        <v>23</v>
      </c>
      <c r="F288" s="3"/>
      <c r="G288" s="3" t="s">
        <v>802</v>
      </c>
      <c r="H288"/>
      <c r="I288" s="36"/>
      <c r="J288"/>
      <c r="K288"/>
      <c r="L288"/>
      <c r="M288"/>
      <c r="N288" s="3"/>
      <c r="O288"/>
      <c r="P288" s="36"/>
      <c r="Q288"/>
      <c r="R288"/>
      <c r="S288"/>
      <c r="T288"/>
      <c r="U288" s="3"/>
      <c r="V288"/>
      <c r="W288" s="36"/>
      <c r="X288"/>
      <c r="Y288"/>
      <c r="Z288"/>
      <c r="AA288"/>
      <c r="AB288" s="3"/>
      <c r="AC288"/>
      <c r="AD288" s="36"/>
      <c r="AE288"/>
    </row>
    <row r="289" spans="1:31">
      <c r="A289" t="s">
        <v>751</v>
      </c>
      <c r="B289" s="36">
        <v>46053</v>
      </c>
      <c r="C289" t="s">
        <v>295</v>
      </c>
      <c r="D289" t="s">
        <v>360</v>
      </c>
      <c r="E289" t="s">
        <v>24</v>
      </c>
      <c r="F289" s="3"/>
      <c r="G289" s="3" t="s">
        <v>320</v>
      </c>
      <c r="I289" s="36"/>
      <c r="N289" s="3"/>
      <c r="P289" s="36"/>
      <c r="U289" s="3"/>
      <c r="W289" s="36"/>
      <c r="AB289" s="3"/>
      <c r="AD289" s="36"/>
    </row>
    <row r="290" spans="1:31">
      <c r="A290" t="s">
        <v>752</v>
      </c>
      <c r="B290" s="36">
        <v>46053</v>
      </c>
      <c r="C290" t="s">
        <v>37</v>
      </c>
      <c r="D290" t="s">
        <v>406</v>
      </c>
      <c r="E290" t="s">
        <v>25</v>
      </c>
      <c r="F290" s="3"/>
      <c r="G290" s="3" t="s">
        <v>404</v>
      </c>
      <c r="I290" s="36"/>
      <c r="N290" s="3"/>
      <c r="P290" s="36"/>
      <c r="U290" s="3"/>
      <c r="W290" s="36"/>
      <c r="AB290" s="3"/>
      <c r="AD290" s="36"/>
    </row>
    <row r="291" spans="1:31">
      <c r="A291" t="s">
        <v>753</v>
      </c>
      <c r="B291" s="36">
        <v>46053</v>
      </c>
      <c r="C291" t="s">
        <v>35</v>
      </c>
      <c r="D291" t="s">
        <v>1321</v>
      </c>
      <c r="E291" t="s">
        <v>24</v>
      </c>
      <c r="F291" s="3"/>
      <c r="G291" s="3" t="s">
        <v>328</v>
      </c>
      <c r="I291" s="36"/>
      <c r="N291" s="3"/>
      <c r="P291" s="36"/>
      <c r="U291" s="3"/>
      <c r="W291" s="36"/>
      <c r="AB291" s="3"/>
      <c r="AD291" s="36"/>
    </row>
    <row r="292" spans="1:31">
      <c r="A292" t="s">
        <v>754</v>
      </c>
      <c r="B292" s="36">
        <v>46053</v>
      </c>
      <c r="C292" t="s">
        <v>295</v>
      </c>
      <c r="D292" t="s">
        <v>881</v>
      </c>
      <c r="E292" t="s">
        <v>23</v>
      </c>
      <c r="F292" s="3"/>
      <c r="G292" s="3" t="s">
        <v>803</v>
      </c>
      <c r="I292" s="36"/>
      <c r="N292" s="3"/>
      <c r="P292" s="36"/>
      <c r="U292" s="3"/>
      <c r="W292" s="36"/>
      <c r="AB292" s="3"/>
      <c r="AD292" s="36"/>
    </row>
    <row r="293" spans="1:31" s="50" customFormat="1">
      <c r="A293" t="s">
        <v>755</v>
      </c>
      <c r="B293" s="36">
        <v>46053</v>
      </c>
      <c r="C293" t="s">
        <v>295</v>
      </c>
      <c r="D293" t="s">
        <v>495</v>
      </c>
      <c r="E293" t="s">
        <v>23</v>
      </c>
      <c r="F293" s="3"/>
      <c r="G293" s="3" t="s">
        <v>790</v>
      </c>
      <c r="H293"/>
      <c r="I293" s="36"/>
      <c r="J293"/>
      <c r="K293"/>
      <c r="L293"/>
      <c r="M293"/>
      <c r="N293" s="3"/>
      <c r="O293"/>
      <c r="P293" s="36"/>
      <c r="Q293"/>
      <c r="R293"/>
      <c r="S293"/>
      <c r="T293"/>
      <c r="U293" s="3"/>
      <c r="V293"/>
      <c r="W293" s="36"/>
      <c r="X293"/>
      <c r="Y293"/>
      <c r="Z293"/>
      <c r="AA293"/>
      <c r="AB293" s="3"/>
      <c r="AC293"/>
      <c r="AD293" s="36"/>
      <c r="AE293"/>
    </row>
    <row r="294" spans="1:31">
      <c r="A294" t="s">
        <v>756</v>
      </c>
      <c r="B294" s="36">
        <v>46053</v>
      </c>
      <c r="C294" t="s">
        <v>295</v>
      </c>
      <c r="D294" t="s">
        <v>495</v>
      </c>
      <c r="E294" t="s">
        <v>23</v>
      </c>
      <c r="F294" s="3"/>
      <c r="G294" s="3" t="s">
        <v>790</v>
      </c>
      <c r="I294" s="36"/>
      <c r="N294" s="3"/>
      <c r="P294" s="36"/>
      <c r="U294" s="3"/>
      <c r="W294" s="36"/>
      <c r="AB294" s="3"/>
      <c r="AD294" s="36"/>
    </row>
    <row r="295" spans="1:31" s="50" customFormat="1">
      <c r="A295" t="s">
        <v>757</v>
      </c>
      <c r="B295" s="36">
        <v>46053</v>
      </c>
      <c r="C295" t="s">
        <v>295</v>
      </c>
      <c r="D295" t="s">
        <v>495</v>
      </c>
      <c r="E295" t="s">
        <v>23</v>
      </c>
      <c r="F295" s="3"/>
      <c r="G295" s="3" t="s">
        <v>802</v>
      </c>
      <c r="H295"/>
      <c r="I295" s="36"/>
      <c r="J295"/>
      <c r="K295"/>
      <c r="L295"/>
      <c r="M295"/>
      <c r="N295" s="3"/>
      <c r="O295"/>
      <c r="P295" s="36"/>
      <c r="Q295"/>
      <c r="R295"/>
      <c r="S295"/>
      <c r="T295"/>
      <c r="U295" s="3"/>
      <c r="V295"/>
      <c r="W295" s="36"/>
      <c r="X295"/>
      <c r="Y295"/>
      <c r="Z295"/>
      <c r="AA295"/>
      <c r="AB295" s="3"/>
      <c r="AC295"/>
      <c r="AD295" s="36"/>
      <c r="AE295"/>
    </row>
    <row r="296" spans="1:31">
      <c r="A296" t="s">
        <v>758</v>
      </c>
      <c r="B296" s="36">
        <v>46053</v>
      </c>
      <c r="C296" t="s">
        <v>295</v>
      </c>
      <c r="D296" t="s">
        <v>881</v>
      </c>
      <c r="E296" t="s">
        <v>23</v>
      </c>
      <c r="F296" s="3"/>
      <c r="G296" s="3" t="s">
        <v>803</v>
      </c>
      <c r="I296" s="36"/>
      <c r="N296" s="3"/>
      <c r="P296" s="36"/>
      <c r="U296" s="3"/>
      <c r="W296" s="36"/>
      <c r="AB296" s="3"/>
      <c r="AD296" s="36"/>
    </row>
    <row r="297" spans="1:31">
      <c r="A297" t="s">
        <v>759</v>
      </c>
      <c r="B297" s="36">
        <v>46053</v>
      </c>
      <c r="C297" t="s">
        <v>35</v>
      </c>
      <c r="D297" t="s">
        <v>1315</v>
      </c>
      <c r="E297" t="s">
        <v>24</v>
      </c>
      <c r="F297" s="3"/>
      <c r="G297" s="3" t="s">
        <v>315</v>
      </c>
      <c r="I297" s="36"/>
      <c r="N297" s="3"/>
      <c r="P297" s="36"/>
      <c r="U297" s="3"/>
      <c r="W297" s="36"/>
      <c r="AB297" s="3"/>
      <c r="AD297" s="36"/>
    </row>
    <row r="298" spans="1:31">
      <c r="A298" t="s">
        <v>760</v>
      </c>
      <c r="B298" s="36">
        <v>46053</v>
      </c>
      <c r="C298" t="s">
        <v>35</v>
      </c>
      <c r="D298" t="s">
        <v>1308</v>
      </c>
      <c r="E298" t="s">
        <v>24</v>
      </c>
      <c r="F298" s="3"/>
      <c r="G298" s="3" t="s">
        <v>761</v>
      </c>
      <c r="I298" s="36"/>
      <c r="N298" s="3"/>
      <c r="P298" s="36"/>
      <c r="U298" s="3"/>
      <c r="W298" s="36"/>
      <c r="AB298" s="3"/>
      <c r="AD298" s="36"/>
    </row>
    <row r="299" spans="1:31" s="63" customFormat="1">
      <c r="A299" t="s">
        <v>762</v>
      </c>
      <c r="B299" s="36">
        <v>46053</v>
      </c>
      <c r="C299" t="s">
        <v>295</v>
      </c>
      <c r="D299" t="s">
        <v>495</v>
      </c>
      <c r="E299" t="s">
        <v>23</v>
      </c>
      <c r="F299" s="3"/>
      <c r="G299" s="3" t="s">
        <v>339</v>
      </c>
      <c r="I299" s="64"/>
      <c r="N299" s="65"/>
      <c r="P299" s="64"/>
      <c r="U299" s="65"/>
      <c r="W299" s="64"/>
      <c r="AB299" s="65"/>
      <c r="AD299" s="64"/>
    </row>
    <row r="300" spans="1:31">
      <c r="A300" t="s">
        <v>763</v>
      </c>
      <c r="B300" s="36">
        <v>46053</v>
      </c>
      <c r="C300" t="s">
        <v>295</v>
      </c>
      <c r="D300" t="s">
        <v>240</v>
      </c>
      <c r="E300" t="s">
        <v>23</v>
      </c>
      <c r="F300" s="3"/>
      <c r="G300" s="3" t="s">
        <v>136</v>
      </c>
      <c r="I300" s="36"/>
      <c r="N300" s="3"/>
      <c r="P300" s="36"/>
      <c r="U300" s="3"/>
      <c r="W300" s="36"/>
      <c r="AB300" s="3"/>
      <c r="AD300" s="36"/>
    </row>
    <row r="301" spans="1:31">
      <c r="A301" t="s">
        <v>764</v>
      </c>
      <c r="B301" s="36">
        <v>46053</v>
      </c>
      <c r="C301" t="s">
        <v>37</v>
      </c>
      <c r="D301" t="s">
        <v>1305</v>
      </c>
      <c r="E301" t="s">
        <v>24</v>
      </c>
      <c r="F301" s="3"/>
      <c r="G301" s="3" t="s">
        <v>541</v>
      </c>
      <c r="I301" s="36"/>
      <c r="N301" s="3"/>
      <c r="P301" s="36"/>
      <c r="U301" s="3"/>
      <c r="W301" s="36"/>
      <c r="AB301" s="3"/>
      <c r="AD301" s="36"/>
    </row>
    <row r="302" spans="1:31">
      <c r="A302" t="s">
        <v>765</v>
      </c>
      <c r="B302" s="36">
        <v>46053</v>
      </c>
      <c r="C302" t="s">
        <v>295</v>
      </c>
      <c r="D302" t="s">
        <v>495</v>
      </c>
      <c r="E302" t="s">
        <v>23</v>
      </c>
      <c r="F302" s="3"/>
      <c r="G302" s="3" t="s">
        <v>802</v>
      </c>
      <c r="I302" s="36"/>
      <c r="N302" s="3"/>
      <c r="P302" s="36"/>
      <c r="U302" s="3"/>
      <c r="W302" s="36"/>
      <c r="AB302" s="3"/>
      <c r="AD302" s="36"/>
    </row>
    <row r="303" spans="1:31" s="50" customFormat="1">
      <c r="A303" t="s">
        <v>766</v>
      </c>
      <c r="B303" s="36">
        <v>46053</v>
      </c>
      <c r="C303" t="s">
        <v>295</v>
      </c>
      <c r="D303" t="s">
        <v>804</v>
      </c>
      <c r="E303" t="s">
        <v>23</v>
      </c>
      <c r="F303" s="3"/>
      <c r="G303" s="3" t="s">
        <v>767</v>
      </c>
      <c r="H303"/>
      <c r="I303" s="36"/>
      <c r="J303"/>
      <c r="K303"/>
      <c r="L303"/>
      <c r="M303"/>
      <c r="N303" s="3"/>
      <c r="O303"/>
      <c r="P303" s="36"/>
      <c r="Q303"/>
      <c r="R303"/>
      <c r="S303"/>
      <c r="T303"/>
      <c r="U303" s="3"/>
      <c r="V303"/>
      <c r="W303" s="36"/>
      <c r="X303"/>
      <c r="Y303"/>
      <c r="Z303"/>
      <c r="AA303"/>
      <c r="AB303" s="3"/>
      <c r="AC303"/>
      <c r="AD303" s="36"/>
      <c r="AE303"/>
    </row>
    <row r="304" spans="1:31">
      <c r="A304" t="s">
        <v>768</v>
      </c>
      <c r="B304" s="36">
        <v>46053</v>
      </c>
      <c r="C304" t="s">
        <v>295</v>
      </c>
      <c r="D304" t="s">
        <v>495</v>
      </c>
      <c r="E304" t="s">
        <v>23</v>
      </c>
      <c r="F304" s="3"/>
      <c r="G304" s="3" t="s">
        <v>339</v>
      </c>
      <c r="I304" s="36"/>
      <c r="N304" s="3"/>
      <c r="P304" s="36"/>
      <c r="U304" s="3"/>
      <c r="W304" s="36"/>
      <c r="AB304" s="3"/>
      <c r="AD304" s="36"/>
    </row>
    <row r="305" spans="1:30">
      <c r="A305" t="s">
        <v>769</v>
      </c>
      <c r="B305" s="36">
        <v>46053</v>
      </c>
      <c r="C305" t="s">
        <v>295</v>
      </c>
      <c r="D305" t="s">
        <v>495</v>
      </c>
      <c r="E305" t="s">
        <v>23</v>
      </c>
      <c r="F305" s="3"/>
      <c r="G305" s="3" t="s">
        <v>790</v>
      </c>
      <c r="I305" s="36"/>
      <c r="N305" s="3"/>
      <c r="P305" s="36"/>
      <c r="U305" s="3"/>
      <c r="W305" s="36"/>
      <c r="AB305" s="3"/>
      <c r="AD305" s="36"/>
    </row>
    <row r="306" spans="1:30">
      <c r="A306" t="s">
        <v>770</v>
      </c>
      <c r="B306" s="36">
        <v>46053</v>
      </c>
      <c r="C306" t="s">
        <v>295</v>
      </c>
      <c r="D306" t="s">
        <v>495</v>
      </c>
      <c r="E306" t="s">
        <v>23</v>
      </c>
      <c r="F306" s="3"/>
      <c r="G306" s="3" t="s">
        <v>802</v>
      </c>
      <c r="I306" s="36"/>
      <c r="N306" s="3"/>
      <c r="P306" s="36"/>
      <c r="U306" s="3"/>
      <c r="W306" s="36"/>
      <c r="AB306" s="3"/>
      <c r="AD306" s="36"/>
    </row>
    <row r="307" spans="1:30">
      <c r="A307" t="s">
        <v>771</v>
      </c>
      <c r="B307" s="36">
        <v>46053</v>
      </c>
      <c r="C307" t="s">
        <v>35</v>
      </c>
      <c r="D307" t="s">
        <v>1322</v>
      </c>
      <c r="E307" t="s">
        <v>24</v>
      </c>
      <c r="F307" s="3"/>
      <c r="G307" s="3" t="s">
        <v>351</v>
      </c>
      <c r="I307" s="36"/>
      <c r="N307" s="3"/>
      <c r="P307" s="36"/>
      <c r="U307" s="3"/>
      <c r="W307" s="36"/>
      <c r="AB307" s="3"/>
      <c r="AD307" s="36"/>
    </row>
    <row r="308" spans="1:30">
      <c r="A308" t="s">
        <v>772</v>
      </c>
      <c r="B308" s="36">
        <v>46053</v>
      </c>
      <c r="C308" t="s">
        <v>35</v>
      </c>
      <c r="D308" t="s">
        <v>335</v>
      </c>
      <c r="E308" t="s">
        <v>24</v>
      </c>
      <c r="F308" s="3"/>
      <c r="G308" s="3" t="s">
        <v>1352</v>
      </c>
      <c r="I308" s="36"/>
      <c r="N308" s="3"/>
      <c r="P308" s="36"/>
      <c r="U308" s="3"/>
      <c r="W308" s="36"/>
      <c r="AB308" s="3"/>
      <c r="AD308" s="36"/>
    </row>
    <row r="309" spans="1:30">
      <c r="A309" t="s">
        <v>773</v>
      </c>
      <c r="B309" s="36">
        <v>46053</v>
      </c>
      <c r="C309" t="s">
        <v>35</v>
      </c>
      <c r="D309" t="s">
        <v>1311</v>
      </c>
      <c r="E309" t="s">
        <v>24</v>
      </c>
      <c r="F309" s="3"/>
      <c r="G309" s="3" t="s">
        <v>464</v>
      </c>
      <c r="I309" s="36"/>
      <c r="N309" s="3"/>
      <c r="P309" s="36"/>
      <c r="U309" s="3"/>
      <c r="W309" s="36"/>
      <c r="AB309" s="3"/>
      <c r="AD309" s="36"/>
    </row>
    <row r="310" spans="1:30">
      <c r="A310" t="s">
        <v>774</v>
      </c>
      <c r="B310" s="36">
        <v>46053</v>
      </c>
      <c r="C310" t="s">
        <v>35</v>
      </c>
      <c r="D310" t="s">
        <v>1318</v>
      </c>
      <c r="E310" t="s">
        <v>24</v>
      </c>
      <c r="F310" s="3"/>
      <c r="G310" s="3" t="s">
        <v>460</v>
      </c>
      <c r="I310" s="36"/>
      <c r="N310" s="3"/>
      <c r="P310" s="36"/>
      <c r="U310" s="3"/>
      <c r="W310" s="36"/>
      <c r="AB310" s="3"/>
      <c r="AD310" s="36"/>
    </row>
    <row r="311" spans="1:30">
      <c r="A311" t="s">
        <v>775</v>
      </c>
      <c r="B311" s="36">
        <v>46053</v>
      </c>
      <c r="C311" t="s">
        <v>35</v>
      </c>
      <c r="D311" t="s">
        <v>1311</v>
      </c>
      <c r="E311" t="s">
        <v>24</v>
      </c>
      <c r="F311" s="3"/>
      <c r="G311" s="3" t="s">
        <v>464</v>
      </c>
      <c r="I311" s="36"/>
      <c r="N311" s="3"/>
      <c r="P311" s="36"/>
      <c r="U311" s="3"/>
      <c r="W311" s="36"/>
      <c r="AB311" s="3"/>
      <c r="AD311" s="36"/>
    </row>
    <row r="312" spans="1:30">
      <c r="A312" t="s">
        <v>776</v>
      </c>
      <c r="B312" s="36">
        <v>46053</v>
      </c>
      <c r="C312" t="s">
        <v>35</v>
      </c>
      <c r="D312" t="s">
        <v>1307</v>
      </c>
      <c r="E312" t="s">
        <v>24</v>
      </c>
      <c r="F312" s="3"/>
      <c r="G312" s="3" t="s">
        <v>777</v>
      </c>
      <c r="I312" s="36"/>
      <c r="N312" s="3"/>
      <c r="P312" s="36"/>
      <c r="U312" s="3"/>
      <c r="W312" s="36"/>
      <c r="AB312" s="3"/>
      <c r="AD312" s="36"/>
    </row>
    <row r="313" spans="1:30">
      <c r="A313" t="s">
        <v>778</v>
      </c>
      <c r="B313" s="36">
        <v>46053</v>
      </c>
      <c r="C313" t="s">
        <v>33</v>
      </c>
      <c r="D313" t="s">
        <v>1312</v>
      </c>
      <c r="E313" t="s">
        <v>24</v>
      </c>
      <c r="F313" s="3"/>
      <c r="G313" s="3" t="s">
        <v>365</v>
      </c>
      <c r="I313" s="36"/>
      <c r="N313" s="3"/>
      <c r="P313" s="36"/>
      <c r="U313" s="3"/>
      <c r="W313" s="36"/>
      <c r="AB313" s="3"/>
      <c r="AD313" s="36"/>
    </row>
    <row r="314" spans="1:30">
      <c r="A314" t="s">
        <v>779</v>
      </c>
      <c r="B314" s="36">
        <v>46053</v>
      </c>
      <c r="C314" t="s">
        <v>33</v>
      </c>
      <c r="D314" t="s">
        <v>1320</v>
      </c>
      <c r="E314" t="s">
        <v>24</v>
      </c>
      <c r="F314" s="3"/>
      <c r="G314" s="3" t="s">
        <v>780</v>
      </c>
      <c r="I314" s="36"/>
      <c r="N314" s="3"/>
      <c r="P314" s="36"/>
      <c r="U314" s="3"/>
      <c r="W314" s="36"/>
      <c r="AB314" s="3"/>
      <c r="AD314" s="36"/>
    </row>
    <row r="315" spans="1:30">
      <c r="A315" t="s">
        <v>781</v>
      </c>
      <c r="B315" s="36">
        <v>46053</v>
      </c>
      <c r="C315" t="s">
        <v>295</v>
      </c>
      <c r="D315" t="s">
        <v>495</v>
      </c>
      <c r="E315" t="s">
        <v>23</v>
      </c>
      <c r="F315" s="3"/>
      <c r="G315" s="3" t="s">
        <v>802</v>
      </c>
      <c r="I315" s="36"/>
      <c r="N315" s="3"/>
      <c r="P315" s="36"/>
      <c r="U315" s="3"/>
      <c r="W315" s="36"/>
      <c r="AB315" s="3"/>
      <c r="AD315" s="36"/>
    </row>
    <row r="316" spans="1:30">
      <c r="A316" t="s">
        <v>782</v>
      </c>
      <c r="B316" s="36">
        <v>46053</v>
      </c>
      <c r="C316" t="s">
        <v>35</v>
      </c>
      <c r="D316" t="s">
        <v>1321</v>
      </c>
      <c r="E316" t="s">
        <v>24</v>
      </c>
      <c r="F316" s="3"/>
      <c r="G316" s="3" t="s">
        <v>328</v>
      </c>
      <c r="I316" s="36"/>
      <c r="N316" s="3"/>
      <c r="P316" s="36"/>
      <c r="U316" s="3"/>
      <c r="W316" s="36"/>
      <c r="AB316" s="3"/>
      <c r="AD316" s="36"/>
    </row>
    <row r="317" spans="1:30">
      <c r="A317" t="s">
        <v>783</v>
      </c>
      <c r="B317" s="36">
        <v>46053</v>
      </c>
      <c r="C317" t="s">
        <v>295</v>
      </c>
      <c r="D317" t="s">
        <v>495</v>
      </c>
      <c r="E317" t="s">
        <v>23</v>
      </c>
      <c r="F317" s="3"/>
      <c r="G317" s="3" t="s">
        <v>802</v>
      </c>
      <c r="I317" s="36"/>
      <c r="N317" s="3"/>
      <c r="P317" s="36"/>
      <c r="U317" s="3"/>
      <c r="W317" s="36"/>
      <c r="AB317" s="3"/>
      <c r="AD317" s="36"/>
    </row>
    <row r="318" spans="1:30">
      <c r="A318" t="s">
        <v>784</v>
      </c>
      <c r="B318" s="36">
        <v>46053</v>
      </c>
      <c r="C318" t="s">
        <v>295</v>
      </c>
      <c r="D318" t="s">
        <v>489</v>
      </c>
      <c r="E318" t="s">
        <v>22</v>
      </c>
      <c r="F318" s="3"/>
      <c r="G318" s="3" t="s">
        <v>699</v>
      </c>
      <c r="I318" s="36"/>
      <c r="N318" s="3"/>
      <c r="P318" s="36"/>
      <c r="U318" s="3"/>
      <c r="W318" s="36"/>
      <c r="AB318" s="3"/>
      <c r="AD318" s="36"/>
    </row>
    <row r="319" spans="1:30">
      <c r="A319" t="s">
        <v>785</v>
      </c>
      <c r="B319" s="36">
        <v>46053</v>
      </c>
      <c r="C319" t="s">
        <v>295</v>
      </c>
      <c r="D319" t="s">
        <v>495</v>
      </c>
      <c r="E319" t="s">
        <v>23</v>
      </c>
      <c r="F319" s="3"/>
      <c r="G319" s="3" t="s">
        <v>136</v>
      </c>
      <c r="I319" s="36"/>
      <c r="N319" s="3"/>
      <c r="P319" s="36"/>
      <c r="U319" s="3"/>
      <c r="W319" s="36"/>
      <c r="AB319" s="3"/>
      <c r="AD319" s="36"/>
    </row>
    <row r="320" spans="1:30">
      <c r="A320" t="s">
        <v>786</v>
      </c>
      <c r="B320" s="36">
        <v>46053</v>
      </c>
      <c r="C320" t="s">
        <v>295</v>
      </c>
      <c r="D320" t="s">
        <v>1302</v>
      </c>
      <c r="E320" t="s">
        <v>23</v>
      </c>
      <c r="F320" s="3"/>
      <c r="G320" s="3" t="s">
        <v>787</v>
      </c>
      <c r="I320" s="36"/>
      <c r="N320" s="3"/>
      <c r="P320" s="36"/>
      <c r="U320" s="3"/>
      <c r="W320" s="36"/>
      <c r="AB320" s="3"/>
      <c r="AD320" s="36"/>
    </row>
    <row r="321" spans="1:31">
      <c r="A321" t="s">
        <v>788</v>
      </c>
      <c r="B321" s="36">
        <v>46053</v>
      </c>
      <c r="C321" t="s">
        <v>295</v>
      </c>
      <c r="D321" t="s">
        <v>495</v>
      </c>
      <c r="E321" t="s">
        <v>23</v>
      </c>
      <c r="F321" s="3"/>
      <c r="G321" s="3" t="s">
        <v>136</v>
      </c>
      <c r="I321" s="36"/>
      <c r="N321" s="3"/>
      <c r="P321" s="36"/>
      <c r="U321" s="3"/>
      <c r="W321" s="36"/>
      <c r="AB321" s="3"/>
      <c r="AD321" s="36"/>
    </row>
    <row r="322" spans="1:31">
      <c r="A322" t="s">
        <v>789</v>
      </c>
      <c r="B322" s="36">
        <v>46053</v>
      </c>
      <c r="C322" t="s">
        <v>35</v>
      </c>
      <c r="D322" t="s">
        <v>1321</v>
      </c>
      <c r="E322" t="s">
        <v>24</v>
      </c>
      <c r="F322" s="3"/>
      <c r="G322" s="3" t="s">
        <v>328</v>
      </c>
      <c r="I322" s="36"/>
      <c r="N322" s="3"/>
      <c r="P322" s="36"/>
      <c r="U322" s="3"/>
      <c r="W322" s="36"/>
      <c r="AB322" s="3"/>
      <c r="AD322" s="36"/>
    </row>
    <row r="323" spans="1:31">
      <c r="A323" t="s">
        <v>791</v>
      </c>
      <c r="B323" s="36">
        <v>46053</v>
      </c>
      <c r="C323" t="s">
        <v>295</v>
      </c>
      <c r="D323" t="s">
        <v>495</v>
      </c>
      <c r="E323" t="s">
        <v>23</v>
      </c>
      <c r="F323" s="3"/>
      <c r="G323" s="3" t="s">
        <v>802</v>
      </c>
      <c r="I323" s="36"/>
      <c r="N323" s="3"/>
      <c r="P323" s="36"/>
      <c r="U323" s="3"/>
      <c r="W323" s="36"/>
      <c r="AB323" s="3"/>
      <c r="AD323" s="36"/>
    </row>
    <row r="324" spans="1:31">
      <c r="A324" t="s">
        <v>792</v>
      </c>
      <c r="B324" s="36">
        <v>46053</v>
      </c>
      <c r="C324" t="s">
        <v>35</v>
      </c>
      <c r="D324" t="s">
        <v>1310</v>
      </c>
      <c r="E324" t="s">
        <v>24</v>
      </c>
      <c r="F324" s="3"/>
      <c r="G324" s="3" t="s">
        <v>793</v>
      </c>
      <c r="I324" s="36"/>
      <c r="N324" s="3"/>
      <c r="P324" s="36"/>
      <c r="U324" s="3"/>
      <c r="W324" s="36"/>
      <c r="AB324" s="3"/>
      <c r="AD324" s="36"/>
    </row>
    <row r="325" spans="1:31" s="50" customFormat="1">
      <c r="A325" t="s">
        <v>794</v>
      </c>
      <c r="B325" s="36">
        <v>46053</v>
      </c>
      <c r="C325" t="s">
        <v>295</v>
      </c>
      <c r="D325" t="s">
        <v>495</v>
      </c>
      <c r="E325" t="s">
        <v>23</v>
      </c>
      <c r="F325" s="3"/>
      <c r="G325" s="3" t="s">
        <v>790</v>
      </c>
      <c r="H325"/>
      <c r="I325" s="36"/>
      <c r="J325"/>
      <c r="K325"/>
      <c r="L325"/>
      <c r="M325"/>
      <c r="N325" s="3"/>
      <c r="O325"/>
      <c r="P325" s="36"/>
      <c r="Q325"/>
      <c r="R325"/>
      <c r="S325"/>
      <c r="T325"/>
      <c r="U325" s="3"/>
      <c r="V325"/>
      <c r="W325" s="36"/>
      <c r="X325"/>
      <c r="Y325"/>
      <c r="Z325"/>
      <c r="AA325"/>
      <c r="AB325" s="3"/>
      <c r="AC325"/>
      <c r="AD325" s="36"/>
      <c r="AE325"/>
    </row>
    <row r="326" spans="1:31" s="63" customFormat="1">
      <c r="A326" t="s">
        <v>795</v>
      </c>
      <c r="B326" s="36">
        <v>46053</v>
      </c>
      <c r="C326" t="s">
        <v>295</v>
      </c>
      <c r="D326" t="s">
        <v>360</v>
      </c>
      <c r="E326" t="s">
        <v>24</v>
      </c>
      <c r="F326" s="3"/>
      <c r="G326" s="3" t="s">
        <v>320</v>
      </c>
    </row>
    <row r="327" spans="1:31">
      <c r="A327" t="s">
        <v>796</v>
      </c>
      <c r="B327" s="36">
        <v>46053</v>
      </c>
      <c r="C327" t="s">
        <v>295</v>
      </c>
      <c r="D327" t="s">
        <v>861</v>
      </c>
      <c r="E327" t="s">
        <v>23</v>
      </c>
      <c r="F327" s="3"/>
      <c r="G327" s="3" t="s">
        <v>767</v>
      </c>
    </row>
    <row r="328" spans="1:31">
      <c r="A328" t="s">
        <v>797</v>
      </c>
      <c r="B328" s="36">
        <v>46053</v>
      </c>
      <c r="C328" t="s">
        <v>295</v>
      </c>
      <c r="D328" t="s">
        <v>495</v>
      </c>
      <c r="E328" t="s">
        <v>23</v>
      </c>
      <c r="F328" s="3"/>
      <c r="G328" s="3" t="s">
        <v>802</v>
      </c>
    </row>
    <row r="329" spans="1:31">
      <c r="A329" t="s">
        <v>798</v>
      </c>
      <c r="B329" s="36">
        <v>46053</v>
      </c>
      <c r="C329" t="s">
        <v>295</v>
      </c>
      <c r="D329" t="s">
        <v>495</v>
      </c>
      <c r="E329" t="s">
        <v>23</v>
      </c>
      <c r="F329" s="3"/>
      <c r="G329" s="3" t="s">
        <v>802</v>
      </c>
    </row>
    <row r="330" spans="1:31">
      <c r="A330" t="s">
        <v>799</v>
      </c>
      <c r="B330" s="36">
        <v>46053</v>
      </c>
      <c r="C330" t="s">
        <v>35</v>
      </c>
      <c r="D330" t="s">
        <v>489</v>
      </c>
      <c r="E330" t="s">
        <v>24</v>
      </c>
      <c r="F330" s="3"/>
      <c r="G330" s="3" t="s">
        <v>344</v>
      </c>
    </row>
    <row r="331" spans="1:31">
      <c r="A331" t="s">
        <v>805</v>
      </c>
      <c r="B331" s="36">
        <v>46053</v>
      </c>
      <c r="C331" t="s">
        <v>295</v>
      </c>
      <c r="D331" t="s">
        <v>495</v>
      </c>
      <c r="E331" t="s">
        <v>23</v>
      </c>
      <c r="F331" s="3"/>
      <c r="G331" s="3" t="s">
        <v>790</v>
      </c>
    </row>
    <row r="332" spans="1:31">
      <c r="A332" t="s">
        <v>801</v>
      </c>
      <c r="B332" s="36">
        <v>46053</v>
      </c>
      <c r="C332" t="s">
        <v>295</v>
      </c>
      <c r="D332" t="s">
        <v>804</v>
      </c>
      <c r="E332" t="s">
        <v>23</v>
      </c>
      <c r="F332" s="3"/>
      <c r="G332" s="3" t="s">
        <v>806</v>
      </c>
    </row>
    <row r="333" spans="1:31">
      <c r="A333" t="s">
        <v>807</v>
      </c>
      <c r="B333" s="36">
        <v>46053</v>
      </c>
      <c r="C333" t="s">
        <v>295</v>
      </c>
      <c r="D333" t="s">
        <v>495</v>
      </c>
      <c r="E333" t="s">
        <v>23</v>
      </c>
      <c r="F333" s="3"/>
      <c r="G333" s="3" t="s">
        <v>802</v>
      </c>
    </row>
    <row r="334" spans="1:31">
      <c r="A334" t="s">
        <v>808</v>
      </c>
      <c r="B334" s="36">
        <v>46053</v>
      </c>
      <c r="C334" t="s">
        <v>295</v>
      </c>
      <c r="D334" t="s">
        <v>495</v>
      </c>
      <c r="E334" t="s">
        <v>23</v>
      </c>
      <c r="F334" s="3"/>
      <c r="G334" s="3" t="s">
        <v>790</v>
      </c>
    </row>
    <row r="335" spans="1:31">
      <c r="A335" t="s">
        <v>809</v>
      </c>
      <c r="B335" s="36">
        <v>46053</v>
      </c>
      <c r="C335" t="s">
        <v>295</v>
      </c>
      <c r="D335" t="s">
        <v>804</v>
      </c>
      <c r="E335" t="s">
        <v>23</v>
      </c>
      <c r="F335" s="3"/>
      <c r="G335" s="3" t="s">
        <v>767</v>
      </c>
    </row>
    <row r="336" spans="1:31">
      <c r="A336" t="s">
        <v>810</v>
      </c>
      <c r="B336" s="36">
        <v>46053</v>
      </c>
      <c r="C336" t="s">
        <v>295</v>
      </c>
      <c r="D336" t="s">
        <v>495</v>
      </c>
      <c r="E336" t="s">
        <v>23</v>
      </c>
      <c r="F336" s="3"/>
      <c r="G336" s="3" t="s">
        <v>802</v>
      </c>
    </row>
    <row r="337" spans="1:7">
      <c r="A337" t="s">
        <v>811</v>
      </c>
      <c r="B337" s="36">
        <v>46053</v>
      </c>
      <c r="C337" t="s">
        <v>35</v>
      </c>
      <c r="D337" t="s">
        <v>1318</v>
      </c>
      <c r="E337" t="s">
        <v>24</v>
      </c>
      <c r="F337" s="3"/>
      <c r="G337" s="3" t="s">
        <v>335</v>
      </c>
    </row>
    <row r="338" spans="1:7">
      <c r="A338" t="s">
        <v>812</v>
      </c>
      <c r="B338" s="36">
        <v>46053</v>
      </c>
      <c r="C338" t="s">
        <v>295</v>
      </c>
      <c r="D338" t="s">
        <v>881</v>
      </c>
      <c r="E338" t="s">
        <v>23</v>
      </c>
      <c r="F338" s="3"/>
      <c r="G338" s="3" t="s">
        <v>803</v>
      </c>
    </row>
    <row r="339" spans="1:7">
      <c r="A339" t="s">
        <v>813</v>
      </c>
      <c r="B339" s="36">
        <v>46053</v>
      </c>
      <c r="C339" t="s">
        <v>295</v>
      </c>
      <c r="D339" t="s">
        <v>881</v>
      </c>
      <c r="E339" t="s">
        <v>23</v>
      </c>
      <c r="F339" s="3"/>
      <c r="G339" s="3" t="s">
        <v>803</v>
      </c>
    </row>
    <row r="340" spans="1:7">
      <c r="A340" t="s">
        <v>814</v>
      </c>
      <c r="B340" s="36">
        <v>46053</v>
      </c>
      <c r="C340" t="s">
        <v>33</v>
      </c>
      <c r="D340" t="s">
        <v>1312</v>
      </c>
      <c r="E340" t="s">
        <v>24</v>
      </c>
      <c r="F340" s="3"/>
      <c r="G340" s="3" t="s">
        <v>365</v>
      </c>
    </row>
    <row r="341" spans="1:7">
      <c r="A341" t="s">
        <v>815</v>
      </c>
      <c r="B341" s="36">
        <v>46053</v>
      </c>
      <c r="C341" t="s">
        <v>35</v>
      </c>
      <c r="D341" t="s">
        <v>1311</v>
      </c>
      <c r="E341" t="s">
        <v>24</v>
      </c>
      <c r="F341" s="3"/>
      <c r="G341" s="3" t="s">
        <v>816</v>
      </c>
    </row>
    <row r="342" spans="1:7">
      <c r="A342" t="s">
        <v>817</v>
      </c>
      <c r="B342" s="36">
        <v>46053</v>
      </c>
      <c r="C342" t="s">
        <v>35</v>
      </c>
      <c r="D342" t="s">
        <v>359</v>
      </c>
      <c r="E342" t="s">
        <v>24</v>
      </c>
      <c r="F342" s="3"/>
      <c r="G342" s="3" t="s">
        <v>702</v>
      </c>
    </row>
    <row r="343" spans="1:7">
      <c r="A343" t="s">
        <v>818</v>
      </c>
      <c r="B343" s="36">
        <v>46053</v>
      </c>
      <c r="C343" t="s">
        <v>295</v>
      </c>
      <c r="D343" t="s">
        <v>804</v>
      </c>
      <c r="E343" t="s">
        <v>23</v>
      </c>
      <c r="F343" s="3"/>
      <c r="G343" s="3" t="s">
        <v>819</v>
      </c>
    </row>
    <row r="344" spans="1:7">
      <c r="A344" t="s">
        <v>820</v>
      </c>
      <c r="B344" s="36">
        <v>46053</v>
      </c>
      <c r="C344" t="s">
        <v>35</v>
      </c>
      <c r="D344" t="s">
        <v>1318</v>
      </c>
      <c r="E344" t="s">
        <v>24</v>
      </c>
      <c r="F344" s="3"/>
      <c r="G344" s="3" t="s">
        <v>335</v>
      </c>
    </row>
    <row r="345" spans="1:7">
      <c r="A345" t="s">
        <v>821</v>
      </c>
      <c r="B345" s="36">
        <v>46053</v>
      </c>
      <c r="C345" t="s">
        <v>295</v>
      </c>
      <c r="D345" t="s">
        <v>804</v>
      </c>
      <c r="E345" t="s">
        <v>23</v>
      </c>
      <c r="F345" s="3"/>
      <c r="G345" s="3" t="s">
        <v>767</v>
      </c>
    </row>
    <row r="346" spans="1:7">
      <c r="A346" t="s">
        <v>822</v>
      </c>
      <c r="B346" s="36">
        <v>46053</v>
      </c>
      <c r="C346" t="s">
        <v>295</v>
      </c>
      <c r="D346" t="s">
        <v>804</v>
      </c>
      <c r="E346" t="s">
        <v>23</v>
      </c>
      <c r="F346" s="3"/>
      <c r="G346" s="3" t="s">
        <v>767</v>
      </c>
    </row>
    <row r="347" spans="1:7">
      <c r="A347" t="s">
        <v>823</v>
      </c>
      <c r="B347" s="36">
        <v>46053</v>
      </c>
      <c r="C347" t="s">
        <v>295</v>
      </c>
      <c r="D347" t="s">
        <v>495</v>
      </c>
      <c r="E347" t="s">
        <v>23</v>
      </c>
      <c r="F347" s="3"/>
      <c r="G347" s="3" t="s">
        <v>802</v>
      </c>
    </row>
    <row r="348" spans="1:7">
      <c r="A348" t="s">
        <v>824</v>
      </c>
      <c r="B348" s="36">
        <v>46053</v>
      </c>
      <c r="C348" t="s">
        <v>295</v>
      </c>
      <c r="D348" t="s">
        <v>495</v>
      </c>
      <c r="E348" t="s">
        <v>23</v>
      </c>
      <c r="F348" s="3"/>
      <c r="G348" s="3" t="s">
        <v>802</v>
      </c>
    </row>
    <row r="349" spans="1:7">
      <c r="A349" t="s">
        <v>825</v>
      </c>
      <c r="B349" s="36">
        <v>46053</v>
      </c>
      <c r="C349" t="s">
        <v>295</v>
      </c>
      <c r="D349" t="s">
        <v>495</v>
      </c>
      <c r="E349" t="s">
        <v>23</v>
      </c>
      <c r="F349" s="3"/>
      <c r="G349" s="3" t="s">
        <v>790</v>
      </c>
    </row>
    <row r="350" spans="1:7">
      <c r="A350" t="s">
        <v>826</v>
      </c>
      <c r="B350" s="36">
        <v>46053</v>
      </c>
      <c r="C350" t="s">
        <v>295</v>
      </c>
      <c r="D350" t="s">
        <v>884</v>
      </c>
      <c r="E350" t="s">
        <v>24</v>
      </c>
      <c r="F350" s="3"/>
      <c r="G350" s="3" t="s">
        <v>827</v>
      </c>
    </row>
    <row r="351" spans="1:7">
      <c r="A351" t="s">
        <v>828</v>
      </c>
      <c r="B351" s="36">
        <v>46053</v>
      </c>
      <c r="C351" t="s">
        <v>295</v>
      </c>
      <c r="D351" t="s">
        <v>370</v>
      </c>
      <c r="E351" t="s">
        <v>25</v>
      </c>
      <c r="F351" s="3"/>
      <c r="G351" s="3" t="s">
        <v>829</v>
      </c>
    </row>
    <row r="352" spans="1:7">
      <c r="A352" t="s">
        <v>830</v>
      </c>
      <c r="B352" s="36">
        <v>46053</v>
      </c>
      <c r="C352" t="s">
        <v>35</v>
      </c>
      <c r="D352" t="s">
        <v>1349</v>
      </c>
      <c r="E352" t="s">
        <v>24</v>
      </c>
      <c r="F352" s="3"/>
      <c r="G352" s="3" t="s">
        <v>847</v>
      </c>
    </row>
    <row r="353" spans="1:7">
      <c r="A353" t="s">
        <v>831</v>
      </c>
      <c r="B353" s="36">
        <v>46053</v>
      </c>
      <c r="C353" t="s">
        <v>37</v>
      </c>
      <c r="D353" t="s">
        <v>877</v>
      </c>
      <c r="E353" t="s">
        <v>24</v>
      </c>
      <c r="F353" s="3"/>
      <c r="G353" s="3" t="s">
        <v>148</v>
      </c>
    </row>
    <row r="354" spans="1:7">
      <c r="A354" t="s">
        <v>832</v>
      </c>
      <c r="B354" s="36">
        <v>46053</v>
      </c>
      <c r="C354" t="s">
        <v>295</v>
      </c>
      <c r="D354" t="s">
        <v>1296</v>
      </c>
      <c r="E354" t="s">
        <v>23</v>
      </c>
      <c r="F354" s="3"/>
      <c r="G354" s="3" t="s">
        <v>1338</v>
      </c>
    </row>
    <row r="355" spans="1:7">
      <c r="A355" t="s">
        <v>833</v>
      </c>
      <c r="B355" s="36">
        <v>46053</v>
      </c>
      <c r="C355" t="s">
        <v>35</v>
      </c>
      <c r="D355" t="s">
        <v>359</v>
      </c>
      <c r="E355" t="s">
        <v>24</v>
      </c>
      <c r="F355" s="3"/>
      <c r="G355" s="3" t="s">
        <v>426</v>
      </c>
    </row>
    <row r="356" spans="1:7">
      <c r="A356" t="s">
        <v>834</v>
      </c>
      <c r="B356" s="36">
        <v>46053</v>
      </c>
      <c r="C356" t="s">
        <v>295</v>
      </c>
      <c r="D356" t="s">
        <v>150</v>
      </c>
      <c r="E356" t="s">
        <v>22</v>
      </c>
      <c r="F356" s="3"/>
      <c r="G356" s="3" t="s">
        <v>699</v>
      </c>
    </row>
    <row r="357" spans="1:7">
      <c r="A357" t="s">
        <v>835</v>
      </c>
      <c r="B357" s="36">
        <v>46053</v>
      </c>
      <c r="C357" t="s">
        <v>295</v>
      </c>
      <c r="D357" t="s">
        <v>307</v>
      </c>
      <c r="E357" t="s">
        <v>23</v>
      </c>
      <c r="F357" s="3"/>
      <c r="G357" s="3" t="s">
        <v>837</v>
      </c>
    </row>
    <row r="358" spans="1:7">
      <c r="A358" t="s">
        <v>836</v>
      </c>
      <c r="B358" s="36">
        <v>46053</v>
      </c>
      <c r="C358" t="s">
        <v>295</v>
      </c>
      <c r="D358" t="s">
        <v>307</v>
      </c>
      <c r="E358" t="s">
        <v>23</v>
      </c>
      <c r="F358" s="3"/>
      <c r="G358" s="3" t="s">
        <v>838</v>
      </c>
    </row>
    <row r="359" spans="1:7" s="42" customFormat="1">
      <c r="A359" t="s">
        <v>839</v>
      </c>
      <c r="B359" s="36">
        <v>46053</v>
      </c>
      <c r="C359" t="s">
        <v>35</v>
      </c>
      <c r="D359" t="s">
        <v>1319</v>
      </c>
      <c r="E359" t="s">
        <v>24</v>
      </c>
      <c r="F359" s="3"/>
      <c r="G359" s="3" t="s">
        <v>885</v>
      </c>
    </row>
    <row r="360" spans="1:7" s="42" customFormat="1">
      <c r="A360" t="s">
        <v>840</v>
      </c>
      <c r="B360" s="36">
        <v>46053</v>
      </c>
      <c r="C360" t="s">
        <v>295</v>
      </c>
      <c r="D360" t="s">
        <v>1948</v>
      </c>
      <c r="E360" t="s">
        <v>23</v>
      </c>
      <c r="F360" s="3"/>
      <c r="G360" s="3" t="s">
        <v>1344</v>
      </c>
    </row>
    <row r="361" spans="1:7" s="42" customFormat="1">
      <c r="A361" t="s">
        <v>1342</v>
      </c>
      <c r="B361" s="36">
        <v>46053</v>
      </c>
      <c r="C361" t="s">
        <v>29</v>
      </c>
      <c r="D361" t="s">
        <v>1948</v>
      </c>
      <c r="E361" t="s">
        <v>23</v>
      </c>
      <c r="F361" s="3"/>
      <c r="G361" s="3" t="s">
        <v>1344</v>
      </c>
    </row>
    <row r="362" spans="1:7">
      <c r="A362" t="s">
        <v>1343</v>
      </c>
      <c r="B362" s="36">
        <v>46053</v>
      </c>
      <c r="C362" t="s">
        <v>30</v>
      </c>
      <c r="D362" t="s">
        <v>1948</v>
      </c>
      <c r="E362" t="s">
        <v>23</v>
      </c>
      <c r="F362" s="3"/>
      <c r="G362" s="3" t="s">
        <v>1344</v>
      </c>
    </row>
    <row r="363" spans="1:7">
      <c r="A363" t="s">
        <v>843</v>
      </c>
      <c r="B363" s="36">
        <v>46053</v>
      </c>
      <c r="C363" t="s">
        <v>295</v>
      </c>
      <c r="D363" t="s">
        <v>307</v>
      </c>
      <c r="E363" t="s">
        <v>23</v>
      </c>
      <c r="F363" s="3"/>
      <c r="G363" s="3" t="s">
        <v>844</v>
      </c>
    </row>
    <row r="364" spans="1:7">
      <c r="A364" t="s">
        <v>940</v>
      </c>
      <c r="B364" s="36">
        <v>46053</v>
      </c>
      <c r="C364" t="s">
        <v>30</v>
      </c>
      <c r="D364" t="s">
        <v>489</v>
      </c>
      <c r="E364" t="s">
        <v>22</v>
      </c>
      <c r="F364" s="3"/>
      <c r="G364" s="3" t="s">
        <v>941</v>
      </c>
    </row>
    <row r="365" spans="1:7">
      <c r="A365" t="s">
        <v>943</v>
      </c>
      <c r="B365" s="36">
        <v>46053</v>
      </c>
      <c r="C365" t="s">
        <v>30</v>
      </c>
      <c r="D365" t="s">
        <v>489</v>
      </c>
      <c r="E365" t="s">
        <v>22</v>
      </c>
      <c r="F365" s="3"/>
      <c r="G365" s="3" t="s">
        <v>950</v>
      </c>
    </row>
    <row r="366" spans="1:7">
      <c r="A366" t="s">
        <v>945</v>
      </c>
      <c r="B366" s="36">
        <v>46053</v>
      </c>
      <c r="C366" t="s">
        <v>30</v>
      </c>
      <c r="D366" t="s">
        <v>489</v>
      </c>
      <c r="E366" t="s">
        <v>22</v>
      </c>
      <c r="F366" s="3"/>
      <c r="G366" s="3" t="s">
        <v>950</v>
      </c>
    </row>
    <row r="367" spans="1:7">
      <c r="A367" t="s">
        <v>946</v>
      </c>
      <c r="B367" s="36">
        <v>46053</v>
      </c>
      <c r="C367" t="s">
        <v>30</v>
      </c>
      <c r="D367" t="s">
        <v>489</v>
      </c>
      <c r="E367" t="s">
        <v>22</v>
      </c>
      <c r="F367" s="3"/>
      <c r="G367" s="3" t="s">
        <v>549</v>
      </c>
    </row>
    <row r="368" spans="1:7">
      <c r="A368" t="s">
        <v>948</v>
      </c>
      <c r="B368" s="36">
        <v>46053</v>
      </c>
      <c r="C368" t="s">
        <v>30</v>
      </c>
      <c r="D368" t="s">
        <v>335</v>
      </c>
      <c r="E368" t="s">
        <v>24</v>
      </c>
      <c r="F368" s="3"/>
      <c r="G368" s="3" t="s">
        <v>951</v>
      </c>
    </row>
    <row r="369" spans="1:7">
      <c r="A369" t="s">
        <v>949</v>
      </c>
      <c r="B369" s="36">
        <v>46053</v>
      </c>
      <c r="C369" t="s">
        <v>30</v>
      </c>
      <c r="D369" t="s">
        <v>489</v>
      </c>
      <c r="E369" t="s">
        <v>22</v>
      </c>
      <c r="F369" s="3"/>
      <c r="G369" s="3" t="s">
        <v>942</v>
      </c>
    </row>
    <row r="370" spans="1:7">
      <c r="A370" t="s">
        <v>952</v>
      </c>
      <c r="B370" s="36">
        <v>46053</v>
      </c>
      <c r="C370" t="s">
        <v>30</v>
      </c>
      <c r="D370" t="s">
        <v>1300</v>
      </c>
      <c r="E370" t="s">
        <v>23</v>
      </c>
      <c r="F370" s="3"/>
      <c r="G370" s="3" t="s">
        <v>504</v>
      </c>
    </row>
    <row r="371" spans="1:7">
      <c r="A371" t="s">
        <v>953</v>
      </c>
      <c r="B371" s="36">
        <v>46053</v>
      </c>
      <c r="C371" t="s">
        <v>35</v>
      </c>
      <c r="D371" t="s">
        <v>1315</v>
      </c>
      <c r="E371" t="s">
        <v>24</v>
      </c>
      <c r="F371" s="3"/>
      <c r="G371" s="3" t="s">
        <v>315</v>
      </c>
    </row>
    <row r="372" spans="1:7">
      <c r="A372" t="s">
        <v>954</v>
      </c>
      <c r="B372" s="36">
        <v>46053</v>
      </c>
      <c r="C372" t="s">
        <v>30</v>
      </c>
      <c r="D372" t="s">
        <v>1317</v>
      </c>
      <c r="E372" t="s">
        <v>24</v>
      </c>
      <c r="F372" s="3"/>
      <c r="G372" s="3" t="s">
        <v>955</v>
      </c>
    </row>
    <row r="373" spans="1:7">
      <c r="A373" t="s">
        <v>956</v>
      </c>
      <c r="B373" s="36">
        <v>46053</v>
      </c>
      <c r="C373" t="s">
        <v>30</v>
      </c>
      <c r="D373" t="s">
        <v>1300</v>
      </c>
      <c r="E373" t="s">
        <v>23</v>
      </c>
      <c r="F373" s="3"/>
      <c r="G373" s="3" t="s">
        <v>504</v>
      </c>
    </row>
    <row r="374" spans="1:7">
      <c r="A374" t="s">
        <v>957</v>
      </c>
      <c r="B374" s="36">
        <v>46053</v>
      </c>
      <c r="C374" t="s">
        <v>30</v>
      </c>
      <c r="D374" t="s">
        <v>1303</v>
      </c>
      <c r="E374" t="s">
        <v>23</v>
      </c>
      <c r="F374" s="3"/>
      <c r="G374" s="3" t="s">
        <v>958</v>
      </c>
    </row>
    <row r="375" spans="1:7">
      <c r="A375" t="s">
        <v>959</v>
      </c>
      <c r="B375" s="36">
        <v>46053</v>
      </c>
      <c r="C375" t="s">
        <v>30</v>
      </c>
      <c r="D375" t="s">
        <v>1316</v>
      </c>
      <c r="E375" t="s">
        <v>24</v>
      </c>
      <c r="F375" s="3"/>
      <c r="G375" s="3" t="s">
        <v>960</v>
      </c>
    </row>
    <row r="376" spans="1:7">
      <c r="A376" t="s">
        <v>961</v>
      </c>
      <c r="B376" s="36">
        <v>46053</v>
      </c>
      <c r="C376" t="s">
        <v>30</v>
      </c>
      <c r="D376" t="s">
        <v>489</v>
      </c>
      <c r="E376" t="s">
        <v>22</v>
      </c>
      <c r="F376" s="3"/>
      <c r="G376" s="3" t="s">
        <v>942</v>
      </c>
    </row>
    <row r="377" spans="1:7">
      <c r="A377" t="s">
        <v>962</v>
      </c>
      <c r="B377" s="36">
        <v>46053</v>
      </c>
      <c r="C377" t="s">
        <v>30</v>
      </c>
      <c r="D377" t="s">
        <v>489</v>
      </c>
      <c r="E377" t="s">
        <v>22</v>
      </c>
      <c r="F377" s="3"/>
      <c r="G377" s="3" t="s">
        <v>963</v>
      </c>
    </row>
    <row r="378" spans="1:7">
      <c r="A378" t="s">
        <v>964</v>
      </c>
      <c r="B378" s="36">
        <v>46053</v>
      </c>
      <c r="C378" t="s">
        <v>30</v>
      </c>
      <c r="D378" t="s">
        <v>489</v>
      </c>
      <c r="E378" t="s">
        <v>22</v>
      </c>
      <c r="F378" s="3"/>
      <c r="G378" s="3" t="s">
        <v>965</v>
      </c>
    </row>
    <row r="379" spans="1:7">
      <c r="A379" t="s">
        <v>966</v>
      </c>
      <c r="B379" s="36">
        <v>46053</v>
      </c>
      <c r="C379" t="s">
        <v>30</v>
      </c>
      <c r="D379" t="s">
        <v>427</v>
      </c>
      <c r="E379" t="s">
        <v>24</v>
      </c>
      <c r="F379" s="3"/>
      <c r="G379" s="3" t="s">
        <v>342</v>
      </c>
    </row>
    <row r="380" spans="1:7">
      <c r="A380" t="s">
        <v>967</v>
      </c>
      <c r="B380" s="36">
        <v>46053</v>
      </c>
      <c r="C380" t="s">
        <v>30</v>
      </c>
      <c r="D380" t="s">
        <v>968</v>
      </c>
      <c r="E380" t="s">
        <v>23</v>
      </c>
      <c r="F380" s="3"/>
      <c r="G380" s="3" t="s">
        <v>803</v>
      </c>
    </row>
    <row r="381" spans="1:7">
      <c r="A381" t="s">
        <v>970</v>
      </c>
      <c r="B381" s="36">
        <v>46053</v>
      </c>
      <c r="C381" t="s">
        <v>35</v>
      </c>
      <c r="D381" t="s">
        <v>304</v>
      </c>
      <c r="E381" t="s">
        <v>24</v>
      </c>
      <c r="F381" s="3"/>
      <c r="G381" s="3"/>
    </row>
    <row r="382" spans="1:7">
      <c r="A382" t="s">
        <v>971</v>
      </c>
      <c r="B382" s="36">
        <v>46053</v>
      </c>
      <c r="C382" t="s">
        <v>30</v>
      </c>
      <c r="D382" t="s">
        <v>427</v>
      </c>
      <c r="E382" t="s">
        <v>24</v>
      </c>
      <c r="F382" s="3"/>
      <c r="G382" s="3" t="s">
        <v>149</v>
      </c>
    </row>
    <row r="383" spans="1:7">
      <c r="A383" t="s">
        <v>972</v>
      </c>
      <c r="B383" s="36">
        <v>46053</v>
      </c>
      <c r="C383" t="s">
        <v>30</v>
      </c>
      <c r="D383" t="s">
        <v>1301</v>
      </c>
      <c r="E383" t="s">
        <v>23</v>
      </c>
      <c r="F383" s="3"/>
      <c r="G383" s="3" t="s">
        <v>973</v>
      </c>
    </row>
    <row r="384" spans="1:7">
      <c r="A384" t="s">
        <v>974</v>
      </c>
      <c r="B384" s="36">
        <v>46053</v>
      </c>
      <c r="C384" t="s">
        <v>30</v>
      </c>
      <c r="D384" t="s">
        <v>489</v>
      </c>
      <c r="E384" t="s">
        <v>22</v>
      </c>
      <c r="F384" s="3"/>
      <c r="G384" s="3" t="s">
        <v>944</v>
      </c>
    </row>
    <row r="385" spans="1:7">
      <c r="A385" t="s">
        <v>975</v>
      </c>
      <c r="B385" s="36">
        <v>46053</v>
      </c>
      <c r="C385" t="s">
        <v>30</v>
      </c>
      <c r="D385" t="s">
        <v>489</v>
      </c>
      <c r="E385" t="s">
        <v>22</v>
      </c>
      <c r="F385" s="3"/>
      <c r="G385" s="3" t="s">
        <v>976</v>
      </c>
    </row>
    <row r="386" spans="1:7">
      <c r="A386" t="s">
        <v>978</v>
      </c>
      <c r="B386" s="36">
        <v>46053</v>
      </c>
      <c r="C386" t="s">
        <v>30</v>
      </c>
      <c r="D386" t="s">
        <v>1302</v>
      </c>
      <c r="E386" t="s">
        <v>23</v>
      </c>
      <c r="F386" s="3"/>
      <c r="G386" s="3" t="s">
        <v>979</v>
      </c>
    </row>
    <row r="387" spans="1:7">
      <c r="A387" t="s">
        <v>981</v>
      </c>
      <c r="B387" s="36">
        <v>46053</v>
      </c>
      <c r="C387" t="s">
        <v>35</v>
      </c>
      <c r="D387" t="s">
        <v>1322</v>
      </c>
      <c r="E387" t="s">
        <v>24</v>
      </c>
      <c r="F387" s="3"/>
      <c r="G387" s="3" t="s">
        <v>603</v>
      </c>
    </row>
    <row r="388" spans="1:7">
      <c r="A388" t="s">
        <v>982</v>
      </c>
      <c r="B388" s="36">
        <v>46053</v>
      </c>
      <c r="C388" t="s">
        <v>30</v>
      </c>
      <c r="D388" t="s">
        <v>427</v>
      </c>
      <c r="E388" t="s">
        <v>24</v>
      </c>
      <c r="F388" s="3"/>
      <c r="G388" s="3" t="s">
        <v>307</v>
      </c>
    </row>
    <row r="389" spans="1:7">
      <c r="A389" t="s">
        <v>983</v>
      </c>
      <c r="B389" s="36">
        <v>46053</v>
      </c>
      <c r="C389" t="s">
        <v>30</v>
      </c>
      <c r="D389" t="s">
        <v>489</v>
      </c>
      <c r="E389" t="s">
        <v>22</v>
      </c>
      <c r="F389" s="3"/>
      <c r="G389" s="3" t="s">
        <v>944</v>
      </c>
    </row>
    <row r="390" spans="1:7" s="63" customFormat="1">
      <c r="A390" t="s">
        <v>984</v>
      </c>
      <c r="B390" s="36">
        <v>46053</v>
      </c>
      <c r="C390" t="s">
        <v>30</v>
      </c>
      <c r="D390" t="s">
        <v>489</v>
      </c>
      <c r="E390" t="s">
        <v>22</v>
      </c>
      <c r="F390" s="3"/>
      <c r="G390" s="3" t="s">
        <v>985</v>
      </c>
    </row>
    <row r="391" spans="1:7">
      <c r="A391" t="s">
        <v>986</v>
      </c>
      <c r="B391" s="36">
        <v>46053</v>
      </c>
      <c r="C391" t="s">
        <v>30</v>
      </c>
      <c r="D391" t="s">
        <v>1340</v>
      </c>
      <c r="E391" t="s">
        <v>23</v>
      </c>
      <c r="F391" s="3"/>
      <c r="G391" s="3" t="s">
        <v>1341</v>
      </c>
    </row>
    <row r="392" spans="1:7">
      <c r="A392" t="s">
        <v>987</v>
      </c>
      <c r="B392" s="36">
        <v>46053</v>
      </c>
      <c r="C392" t="s">
        <v>30</v>
      </c>
      <c r="D392" t="s">
        <v>1303</v>
      </c>
      <c r="E392" t="s">
        <v>23</v>
      </c>
      <c r="F392" s="3"/>
      <c r="G392" s="3" t="s">
        <v>958</v>
      </c>
    </row>
    <row r="393" spans="1:7">
      <c r="A393" t="s">
        <v>988</v>
      </c>
      <c r="B393" s="36">
        <v>46053</v>
      </c>
      <c r="C393" t="s">
        <v>30</v>
      </c>
      <c r="D393" t="s">
        <v>1317</v>
      </c>
      <c r="E393" t="s">
        <v>24</v>
      </c>
      <c r="F393" s="3"/>
      <c r="G393" s="3" t="s">
        <v>955</v>
      </c>
    </row>
    <row r="394" spans="1:7" s="63" customFormat="1">
      <c r="A394" t="s">
        <v>989</v>
      </c>
      <c r="B394" s="36">
        <v>46053</v>
      </c>
      <c r="C394" t="s">
        <v>30</v>
      </c>
      <c r="D394" t="s">
        <v>1309</v>
      </c>
      <c r="E394" t="s">
        <v>24</v>
      </c>
      <c r="F394" s="3"/>
      <c r="G394" s="3" t="s">
        <v>990</v>
      </c>
    </row>
    <row r="395" spans="1:7">
      <c r="A395" t="s">
        <v>992</v>
      </c>
      <c r="B395" s="36">
        <v>46053</v>
      </c>
      <c r="C395" t="s">
        <v>33</v>
      </c>
      <c r="D395" t="s">
        <v>1293</v>
      </c>
      <c r="E395" t="s">
        <v>155</v>
      </c>
      <c r="F395" s="3"/>
      <c r="G395" s="3" t="s">
        <v>993</v>
      </c>
    </row>
    <row r="396" spans="1:7">
      <c r="A396" t="s">
        <v>994</v>
      </c>
      <c r="B396" s="36">
        <v>46053</v>
      </c>
      <c r="C396" t="s">
        <v>30</v>
      </c>
      <c r="D396" t="s">
        <v>1300</v>
      </c>
      <c r="E396" t="s">
        <v>23</v>
      </c>
      <c r="F396" s="3"/>
      <c r="G396" s="3" t="s">
        <v>504</v>
      </c>
    </row>
    <row r="397" spans="1:7">
      <c r="A397" t="s">
        <v>995</v>
      </c>
      <c r="B397" s="36">
        <v>46053</v>
      </c>
      <c r="C397" t="s">
        <v>30</v>
      </c>
      <c r="D397" t="s">
        <v>489</v>
      </c>
      <c r="E397" t="s">
        <v>22</v>
      </c>
      <c r="F397" s="3"/>
      <c r="G397" s="3" t="s">
        <v>996</v>
      </c>
    </row>
    <row r="398" spans="1:7">
      <c r="A398" t="s">
        <v>997</v>
      </c>
      <c r="B398" s="36">
        <v>46053</v>
      </c>
      <c r="C398" t="s">
        <v>30</v>
      </c>
      <c r="D398" t="s">
        <v>1300</v>
      </c>
      <c r="E398" t="s">
        <v>23</v>
      </c>
      <c r="F398" s="3"/>
      <c r="G398" s="3" t="s">
        <v>504</v>
      </c>
    </row>
    <row r="399" spans="1:7">
      <c r="A399" t="s">
        <v>998</v>
      </c>
      <c r="B399" s="36">
        <v>46053</v>
      </c>
      <c r="C399" t="s">
        <v>30</v>
      </c>
      <c r="D399" t="s">
        <v>370</v>
      </c>
      <c r="E399" t="s">
        <v>25</v>
      </c>
      <c r="F399" s="3"/>
      <c r="G399" s="3" t="s">
        <v>999</v>
      </c>
    </row>
    <row r="400" spans="1:7">
      <c r="A400" t="s">
        <v>1000</v>
      </c>
      <c r="B400" s="36">
        <v>46053</v>
      </c>
      <c r="C400" t="s">
        <v>30</v>
      </c>
      <c r="D400" t="s">
        <v>489</v>
      </c>
      <c r="E400" t="s">
        <v>22</v>
      </c>
      <c r="F400" s="3"/>
      <c r="G400" s="3" t="s">
        <v>1001</v>
      </c>
    </row>
    <row r="401" spans="1:7" ht="12.6" customHeight="1">
      <c r="A401" t="s">
        <v>1002</v>
      </c>
      <c r="B401" s="36">
        <v>46053</v>
      </c>
      <c r="C401" t="s">
        <v>30</v>
      </c>
      <c r="D401" t="s">
        <v>489</v>
      </c>
      <c r="E401" t="s">
        <v>22</v>
      </c>
      <c r="F401" s="3"/>
      <c r="G401" s="3" t="s">
        <v>947</v>
      </c>
    </row>
    <row r="402" spans="1:7">
      <c r="A402" t="s">
        <v>1003</v>
      </c>
      <c r="B402" s="36">
        <v>46053</v>
      </c>
      <c r="C402" t="s">
        <v>30</v>
      </c>
      <c r="D402" t="s">
        <v>489</v>
      </c>
      <c r="E402" t="s">
        <v>22</v>
      </c>
      <c r="F402" s="3"/>
      <c r="G402" s="3" t="s">
        <v>1139</v>
      </c>
    </row>
    <row r="403" spans="1:7">
      <c r="A403" t="s">
        <v>1004</v>
      </c>
      <c r="B403" s="36">
        <v>46053</v>
      </c>
      <c r="C403" t="s">
        <v>30</v>
      </c>
      <c r="D403" t="s">
        <v>1300</v>
      </c>
      <c r="E403" t="s">
        <v>23</v>
      </c>
      <c r="F403" s="3"/>
      <c r="G403" s="3" t="s">
        <v>1005</v>
      </c>
    </row>
    <row r="404" spans="1:7">
      <c r="A404" t="s">
        <v>1006</v>
      </c>
      <c r="B404" s="36">
        <v>46053</v>
      </c>
      <c r="C404" t="s">
        <v>30</v>
      </c>
      <c r="D404" t="s">
        <v>1345</v>
      </c>
      <c r="E404" t="s">
        <v>23</v>
      </c>
      <c r="F404" s="3"/>
      <c r="G404" s="3" t="s">
        <v>1007</v>
      </c>
    </row>
    <row r="405" spans="1:7">
      <c r="A405" t="s">
        <v>1008</v>
      </c>
      <c r="B405" s="36">
        <v>46053</v>
      </c>
      <c r="C405" t="s">
        <v>35</v>
      </c>
      <c r="D405" t="s">
        <v>304</v>
      </c>
      <c r="E405" t="s">
        <v>24</v>
      </c>
      <c r="F405" s="3"/>
      <c r="G405" s="3"/>
    </row>
    <row r="406" spans="1:7">
      <c r="A406" t="s">
        <v>1010</v>
      </c>
      <c r="B406" s="36">
        <v>46053</v>
      </c>
      <c r="C406" t="s">
        <v>30</v>
      </c>
      <c r="D406" t="s">
        <v>427</v>
      </c>
      <c r="E406" t="s">
        <v>24</v>
      </c>
      <c r="F406" s="3"/>
      <c r="G406" s="3" t="s">
        <v>149</v>
      </c>
    </row>
    <row r="407" spans="1:7">
      <c r="A407" t="s">
        <v>1011</v>
      </c>
      <c r="B407" s="36">
        <v>46053</v>
      </c>
      <c r="C407" t="s">
        <v>30</v>
      </c>
      <c r="D407" t="s">
        <v>879</v>
      </c>
      <c r="E407" t="s">
        <v>22</v>
      </c>
      <c r="F407" s="3"/>
      <c r="G407" s="3" t="s">
        <v>880</v>
      </c>
    </row>
    <row r="408" spans="1:7">
      <c r="A408" t="s">
        <v>1014</v>
      </c>
      <c r="B408" s="36">
        <v>46053</v>
      </c>
      <c r="C408" t="s">
        <v>30</v>
      </c>
      <c r="D408" t="s">
        <v>370</v>
      </c>
      <c r="E408" t="s">
        <v>25</v>
      </c>
      <c r="F408" s="3"/>
      <c r="G408" s="3" t="s">
        <v>1015</v>
      </c>
    </row>
    <row r="409" spans="1:7">
      <c r="A409" t="s">
        <v>1016</v>
      </c>
      <c r="B409" s="36">
        <v>46053</v>
      </c>
      <c r="C409" t="s">
        <v>30</v>
      </c>
      <c r="D409" t="s">
        <v>1302</v>
      </c>
      <c r="E409" t="s">
        <v>23</v>
      </c>
      <c r="F409" s="3"/>
      <c r="G409" s="3" t="s">
        <v>1017</v>
      </c>
    </row>
    <row r="410" spans="1:7">
      <c r="A410" t="s">
        <v>1018</v>
      </c>
      <c r="B410" s="36">
        <v>46053</v>
      </c>
      <c r="C410" t="s">
        <v>30</v>
      </c>
      <c r="D410" t="s">
        <v>879</v>
      </c>
      <c r="E410" t="s">
        <v>22</v>
      </c>
      <c r="F410" s="3"/>
      <c r="G410" s="3" t="s">
        <v>880</v>
      </c>
    </row>
    <row r="411" spans="1:7">
      <c r="A411" t="s">
        <v>1019</v>
      </c>
      <c r="B411" s="36">
        <v>46053</v>
      </c>
      <c r="C411" t="s">
        <v>30</v>
      </c>
      <c r="D411" t="s">
        <v>1304</v>
      </c>
      <c r="E411" t="s">
        <v>24</v>
      </c>
      <c r="F411" s="3"/>
      <c r="G411" s="3" t="s">
        <v>1020</v>
      </c>
    </row>
    <row r="412" spans="1:7">
      <c r="A412" t="s">
        <v>1021</v>
      </c>
      <c r="B412" s="36">
        <v>46053</v>
      </c>
      <c r="C412" t="s">
        <v>30</v>
      </c>
      <c r="D412" t="s">
        <v>1345</v>
      </c>
      <c r="E412" t="s">
        <v>23</v>
      </c>
      <c r="F412" s="3"/>
      <c r="G412" s="3" t="s">
        <v>1022</v>
      </c>
    </row>
    <row r="413" spans="1:7">
      <c r="A413" t="s">
        <v>1023</v>
      </c>
      <c r="B413" s="36">
        <v>46053</v>
      </c>
      <c r="C413" t="s">
        <v>30</v>
      </c>
      <c r="D413" t="s">
        <v>1302</v>
      </c>
      <c r="E413" t="s">
        <v>23</v>
      </c>
      <c r="F413" s="3"/>
      <c r="G413" s="3" t="s">
        <v>1024</v>
      </c>
    </row>
    <row r="414" spans="1:7">
      <c r="A414" t="s">
        <v>1025</v>
      </c>
      <c r="B414" s="36">
        <v>46053</v>
      </c>
      <c r="C414" t="s">
        <v>30</v>
      </c>
      <c r="D414" t="s">
        <v>489</v>
      </c>
      <c r="E414" t="s">
        <v>22</v>
      </c>
      <c r="F414" s="3"/>
      <c r="G414" s="3" t="s">
        <v>944</v>
      </c>
    </row>
    <row r="415" spans="1:7">
      <c r="A415" t="s">
        <v>1026</v>
      </c>
      <c r="B415" s="36">
        <v>46053</v>
      </c>
      <c r="C415" t="s">
        <v>30</v>
      </c>
      <c r="D415" t="s">
        <v>1297</v>
      </c>
      <c r="E415" t="s">
        <v>22</v>
      </c>
      <c r="F415" s="3"/>
      <c r="G415" s="3" t="s">
        <v>1027</v>
      </c>
    </row>
    <row r="416" spans="1:7">
      <c r="A416" t="s">
        <v>1028</v>
      </c>
      <c r="B416" s="36">
        <v>46053</v>
      </c>
      <c r="C416" t="s">
        <v>30</v>
      </c>
      <c r="D416" t="s">
        <v>504</v>
      </c>
      <c r="E416" t="s">
        <v>23</v>
      </c>
      <c r="F416" s="3"/>
      <c r="G416" s="3" t="s">
        <v>1031</v>
      </c>
    </row>
    <row r="417" spans="1:7">
      <c r="A417" t="s">
        <v>1029</v>
      </c>
      <c r="B417" s="36">
        <v>46053</v>
      </c>
      <c r="C417" t="s">
        <v>30</v>
      </c>
      <c r="D417" t="s">
        <v>968</v>
      </c>
      <c r="E417" t="s">
        <v>23</v>
      </c>
      <c r="F417" s="3"/>
      <c r="G417" s="3" t="s">
        <v>803</v>
      </c>
    </row>
    <row r="418" spans="1:7">
      <c r="A418" t="s">
        <v>1030</v>
      </c>
      <c r="B418" s="36">
        <v>46053</v>
      </c>
      <c r="C418" t="s">
        <v>30</v>
      </c>
      <c r="D418" t="s">
        <v>1302</v>
      </c>
      <c r="E418" t="s">
        <v>23</v>
      </c>
      <c r="F418" s="3"/>
      <c r="G418" s="3" t="s">
        <v>1032</v>
      </c>
    </row>
    <row r="419" spans="1:7">
      <c r="A419" t="s">
        <v>1033</v>
      </c>
      <c r="B419" s="36">
        <v>46053</v>
      </c>
      <c r="C419" t="s">
        <v>30</v>
      </c>
      <c r="D419" t="s">
        <v>504</v>
      </c>
      <c r="E419" t="s">
        <v>23</v>
      </c>
      <c r="F419" s="3"/>
      <c r="G419" s="3" t="s">
        <v>1034</v>
      </c>
    </row>
    <row r="420" spans="1:7">
      <c r="A420" t="s">
        <v>1035</v>
      </c>
      <c r="B420" s="36">
        <v>46053</v>
      </c>
      <c r="C420" t="s">
        <v>30</v>
      </c>
      <c r="D420" t="s">
        <v>1302</v>
      </c>
      <c r="E420" t="s">
        <v>23</v>
      </c>
      <c r="F420" s="3"/>
      <c r="G420" s="3" t="s">
        <v>1036</v>
      </c>
    </row>
    <row r="421" spans="1:7">
      <c r="A421" t="s">
        <v>1037</v>
      </c>
      <c r="B421" s="36">
        <v>46053</v>
      </c>
      <c r="C421" t="s">
        <v>35</v>
      </c>
      <c r="D421" t="s">
        <v>1322</v>
      </c>
      <c r="E421" t="s">
        <v>24</v>
      </c>
      <c r="F421" s="3"/>
      <c r="G421" s="3" t="s">
        <v>612</v>
      </c>
    </row>
    <row r="422" spans="1:7">
      <c r="A422" t="s">
        <v>1038</v>
      </c>
      <c r="B422" s="36">
        <v>46053</v>
      </c>
      <c r="C422" t="s">
        <v>30</v>
      </c>
      <c r="D422" t="s">
        <v>504</v>
      </c>
      <c r="E422" t="s">
        <v>23</v>
      </c>
      <c r="F422" s="3"/>
      <c r="G422" s="3" t="s">
        <v>1034</v>
      </c>
    </row>
    <row r="423" spans="1:7">
      <c r="A423" t="s">
        <v>1039</v>
      </c>
      <c r="B423" s="36">
        <v>46053</v>
      </c>
      <c r="C423" t="s">
        <v>30</v>
      </c>
      <c r="D423" t="s">
        <v>1300</v>
      </c>
      <c r="E423" t="s">
        <v>23</v>
      </c>
      <c r="F423" s="3"/>
      <c r="G423" s="3" t="s">
        <v>504</v>
      </c>
    </row>
    <row r="424" spans="1:7">
      <c r="A424" t="s">
        <v>1040</v>
      </c>
      <c r="B424" s="36">
        <v>46053</v>
      </c>
      <c r="C424" t="s">
        <v>35</v>
      </c>
      <c r="D424" t="s">
        <v>1311</v>
      </c>
      <c r="E424" t="s">
        <v>24</v>
      </c>
      <c r="F424" s="3"/>
      <c r="G424" s="3" t="s">
        <v>1041</v>
      </c>
    </row>
    <row r="425" spans="1:7">
      <c r="A425" t="s">
        <v>1042</v>
      </c>
      <c r="B425" s="36">
        <v>46053</v>
      </c>
      <c r="C425" t="s">
        <v>33</v>
      </c>
      <c r="D425" t="s">
        <v>1308</v>
      </c>
      <c r="E425" t="s">
        <v>24</v>
      </c>
      <c r="F425" s="3"/>
      <c r="G425" s="3" t="s">
        <v>1043</v>
      </c>
    </row>
    <row r="426" spans="1:7">
      <c r="A426" t="s">
        <v>1044</v>
      </c>
      <c r="B426" s="36">
        <v>46053</v>
      </c>
      <c r="C426" t="s">
        <v>30</v>
      </c>
      <c r="D426" t="s">
        <v>1300</v>
      </c>
      <c r="E426" t="s">
        <v>23</v>
      </c>
      <c r="F426" s="3"/>
      <c r="G426" s="3" t="s">
        <v>1045</v>
      </c>
    </row>
    <row r="427" spans="1:7">
      <c r="A427" t="s">
        <v>1046</v>
      </c>
      <c r="B427" s="36">
        <v>46053</v>
      </c>
      <c r="C427" t="s">
        <v>30</v>
      </c>
      <c r="D427" t="s">
        <v>1298</v>
      </c>
      <c r="E427" t="s">
        <v>23</v>
      </c>
      <c r="F427" s="3"/>
      <c r="G427" s="3" t="s">
        <v>1047</v>
      </c>
    </row>
    <row r="428" spans="1:7">
      <c r="A428" t="s">
        <v>1048</v>
      </c>
      <c r="B428" s="36">
        <v>46053</v>
      </c>
      <c r="C428" t="s">
        <v>30</v>
      </c>
      <c r="D428" t="s">
        <v>968</v>
      </c>
      <c r="E428" t="s">
        <v>23</v>
      </c>
      <c r="F428" s="3"/>
      <c r="G428" s="3" t="s">
        <v>803</v>
      </c>
    </row>
    <row r="429" spans="1:7">
      <c r="A429" t="s">
        <v>1049</v>
      </c>
      <c r="B429" s="36">
        <v>46053</v>
      </c>
      <c r="C429" t="s">
        <v>35</v>
      </c>
      <c r="D429" t="s">
        <v>1311</v>
      </c>
      <c r="E429" t="s">
        <v>24</v>
      </c>
      <c r="F429" s="3"/>
      <c r="G429" s="3" t="s">
        <v>1041</v>
      </c>
    </row>
    <row r="430" spans="1:7">
      <c r="A430" t="s">
        <v>1050</v>
      </c>
      <c r="B430" s="36">
        <v>46053</v>
      </c>
      <c r="C430" t="s">
        <v>30</v>
      </c>
      <c r="D430" t="s">
        <v>968</v>
      </c>
      <c r="E430" t="s">
        <v>23</v>
      </c>
      <c r="F430" s="3"/>
      <c r="G430" s="3" t="s">
        <v>803</v>
      </c>
    </row>
    <row r="431" spans="1:7">
      <c r="A431" t="s">
        <v>1051</v>
      </c>
      <c r="B431" s="36">
        <v>46053</v>
      </c>
      <c r="C431" t="s">
        <v>30</v>
      </c>
      <c r="D431" t="s">
        <v>1350</v>
      </c>
      <c r="E431" t="s">
        <v>23</v>
      </c>
      <c r="F431" s="3"/>
      <c r="G431" s="3" t="s">
        <v>1052</v>
      </c>
    </row>
    <row r="432" spans="1:7">
      <c r="A432" t="s">
        <v>1053</v>
      </c>
      <c r="B432" s="36">
        <v>46053</v>
      </c>
      <c r="C432" t="s">
        <v>30</v>
      </c>
      <c r="D432" t="s">
        <v>879</v>
      </c>
      <c r="E432" t="s">
        <v>22</v>
      </c>
      <c r="F432" s="3"/>
      <c r="G432" s="3" t="s">
        <v>942</v>
      </c>
    </row>
    <row r="433" spans="1:7">
      <c r="A433" t="s">
        <v>1054</v>
      </c>
      <c r="B433" s="36">
        <v>46053</v>
      </c>
      <c r="C433" t="s">
        <v>30</v>
      </c>
      <c r="D433" t="s">
        <v>1297</v>
      </c>
      <c r="E433" t="s">
        <v>22</v>
      </c>
      <c r="F433" s="3"/>
      <c r="G433" s="3" t="s">
        <v>1055</v>
      </c>
    </row>
    <row r="434" spans="1:7">
      <c r="A434" t="s">
        <v>1056</v>
      </c>
      <c r="B434" s="36">
        <v>46053</v>
      </c>
      <c r="C434" t="s">
        <v>30</v>
      </c>
      <c r="D434" t="s">
        <v>1300</v>
      </c>
      <c r="E434" t="s">
        <v>23</v>
      </c>
      <c r="F434" s="3"/>
      <c r="G434" s="3" t="s">
        <v>504</v>
      </c>
    </row>
    <row r="435" spans="1:7">
      <c r="A435" t="s">
        <v>1057</v>
      </c>
      <c r="B435" s="36">
        <v>46053</v>
      </c>
      <c r="C435" t="s">
        <v>30</v>
      </c>
      <c r="D435" t="s">
        <v>335</v>
      </c>
      <c r="E435" t="s">
        <v>24</v>
      </c>
      <c r="F435" s="3"/>
      <c r="G435" s="3" t="s">
        <v>1058</v>
      </c>
    </row>
    <row r="436" spans="1:7">
      <c r="A436" t="s">
        <v>1059</v>
      </c>
      <c r="B436" s="36">
        <v>46053</v>
      </c>
      <c r="C436" t="s">
        <v>30</v>
      </c>
      <c r="D436" t="s">
        <v>489</v>
      </c>
      <c r="E436" t="s">
        <v>22</v>
      </c>
      <c r="F436" s="3"/>
      <c r="G436" s="3" t="s">
        <v>1005</v>
      </c>
    </row>
    <row r="437" spans="1:7">
      <c r="A437" t="s">
        <v>1061</v>
      </c>
      <c r="B437" s="36">
        <v>46053</v>
      </c>
      <c r="C437" t="s">
        <v>30</v>
      </c>
      <c r="D437" t="s">
        <v>489</v>
      </c>
      <c r="E437" t="s">
        <v>22</v>
      </c>
      <c r="F437" s="3"/>
      <c r="G437" s="3" t="s">
        <v>942</v>
      </c>
    </row>
    <row r="438" spans="1:7">
      <c r="A438" t="s">
        <v>1062</v>
      </c>
      <c r="B438" s="36">
        <v>46053</v>
      </c>
      <c r="C438" t="s">
        <v>30</v>
      </c>
      <c r="D438" t="s">
        <v>489</v>
      </c>
      <c r="E438" t="s">
        <v>22</v>
      </c>
      <c r="F438" s="3"/>
      <c r="G438" s="3" t="s">
        <v>1005</v>
      </c>
    </row>
    <row r="439" spans="1:7">
      <c r="A439" t="s">
        <v>1063</v>
      </c>
      <c r="B439" s="36">
        <v>46053</v>
      </c>
      <c r="C439" t="s">
        <v>30</v>
      </c>
      <c r="D439" t="s">
        <v>879</v>
      </c>
      <c r="E439" t="s">
        <v>22</v>
      </c>
      <c r="F439" s="3"/>
      <c r="G439" s="3" t="s">
        <v>1066</v>
      </c>
    </row>
    <row r="440" spans="1:7">
      <c r="A440" t="s">
        <v>1064</v>
      </c>
      <c r="B440" s="36">
        <v>46053</v>
      </c>
      <c r="C440" t="s">
        <v>30</v>
      </c>
      <c r="D440" t="s">
        <v>879</v>
      </c>
      <c r="E440" t="s">
        <v>22</v>
      </c>
      <c r="F440" s="3"/>
      <c r="G440" s="3" t="s">
        <v>1065</v>
      </c>
    </row>
    <row r="441" spans="1:7">
      <c r="A441" t="s">
        <v>1067</v>
      </c>
      <c r="B441" s="36">
        <v>46053</v>
      </c>
      <c r="C441" t="s">
        <v>30</v>
      </c>
      <c r="D441" t="s">
        <v>879</v>
      </c>
      <c r="E441" t="s">
        <v>22</v>
      </c>
      <c r="F441" s="3"/>
      <c r="G441" s="3" t="s">
        <v>1065</v>
      </c>
    </row>
    <row r="442" spans="1:7">
      <c r="A442" t="s">
        <v>1068</v>
      </c>
      <c r="B442" s="36">
        <v>46053</v>
      </c>
      <c r="C442" t="s">
        <v>35</v>
      </c>
      <c r="D442" t="s">
        <v>427</v>
      </c>
      <c r="E442" t="s">
        <v>24</v>
      </c>
      <c r="F442" s="3"/>
      <c r="G442" s="3" t="s">
        <v>149</v>
      </c>
    </row>
    <row r="443" spans="1:7">
      <c r="A443" t="s">
        <v>1069</v>
      </c>
      <c r="B443" s="36">
        <v>46053</v>
      </c>
      <c r="C443" t="s">
        <v>30</v>
      </c>
      <c r="D443" t="s">
        <v>489</v>
      </c>
      <c r="E443" t="s">
        <v>22</v>
      </c>
      <c r="F443" s="3"/>
      <c r="G443" s="3" t="s">
        <v>1045</v>
      </c>
    </row>
    <row r="444" spans="1:7">
      <c r="A444" t="s">
        <v>1070</v>
      </c>
      <c r="B444" s="36">
        <v>46053</v>
      </c>
      <c r="C444" t="s">
        <v>30</v>
      </c>
      <c r="D444" t="s">
        <v>1302</v>
      </c>
      <c r="E444" t="s">
        <v>23</v>
      </c>
      <c r="F444" s="3"/>
      <c r="G444" s="3" t="s">
        <v>152</v>
      </c>
    </row>
    <row r="445" spans="1:7">
      <c r="A445" t="s">
        <v>1071</v>
      </c>
      <c r="B445" s="36">
        <v>46053</v>
      </c>
      <c r="C445" t="s">
        <v>30</v>
      </c>
      <c r="D445" t="s">
        <v>1302</v>
      </c>
      <c r="E445" t="s">
        <v>23</v>
      </c>
      <c r="F445" s="3"/>
      <c r="G445" s="3" t="s">
        <v>1072</v>
      </c>
    </row>
    <row r="446" spans="1:7">
      <c r="A446" t="s">
        <v>1073</v>
      </c>
      <c r="B446" s="36">
        <v>46053</v>
      </c>
      <c r="C446" t="s">
        <v>30</v>
      </c>
      <c r="D446" t="s">
        <v>489</v>
      </c>
      <c r="E446" t="s">
        <v>22</v>
      </c>
      <c r="F446" s="3"/>
      <c r="G446" s="3" t="s">
        <v>1065</v>
      </c>
    </row>
    <row r="447" spans="1:7">
      <c r="A447" t="s">
        <v>1074</v>
      </c>
      <c r="B447" s="36">
        <v>46053</v>
      </c>
      <c r="C447" t="s">
        <v>30</v>
      </c>
      <c r="D447" t="s">
        <v>489</v>
      </c>
      <c r="E447" t="s">
        <v>22</v>
      </c>
      <c r="F447" s="3"/>
      <c r="G447" s="3" t="s">
        <v>1065</v>
      </c>
    </row>
    <row r="448" spans="1:7">
      <c r="A448" t="s">
        <v>1075</v>
      </c>
      <c r="B448" s="36">
        <v>46053</v>
      </c>
      <c r="C448" t="s">
        <v>30</v>
      </c>
      <c r="D448" t="s">
        <v>879</v>
      </c>
      <c r="E448" t="s">
        <v>22</v>
      </c>
      <c r="F448" s="3"/>
      <c r="G448" s="3" t="s">
        <v>1065</v>
      </c>
    </row>
    <row r="449" spans="1:7">
      <c r="A449" t="s">
        <v>1076</v>
      </c>
      <c r="B449" s="36">
        <v>46053</v>
      </c>
      <c r="C449" t="s">
        <v>30</v>
      </c>
      <c r="D449" t="s">
        <v>489</v>
      </c>
      <c r="E449" t="s">
        <v>22</v>
      </c>
      <c r="F449" s="3"/>
      <c r="G449" s="3" t="s">
        <v>1065</v>
      </c>
    </row>
    <row r="450" spans="1:7">
      <c r="A450" t="s">
        <v>1077</v>
      </c>
      <c r="B450" s="36">
        <v>46053</v>
      </c>
      <c r="C450" t="s">
        <v>30</v>
      </c>
      <c r="D450" t="s">
        <v>489</v>
      </c>
      <c r="E450" t="s">
        <v>22</v>
      </c>
      <c r="F450" s="3"/>
      <c r="G450" s="3" t="s">
        <v>942</v>
      </c>
    </row>
    <row r="451" spans="1:7">
      <c r="A451" t="s">
        <v>1078</v>
      </c>
      <c r="B451" s="36">
        <v>46053</v>
      </c>
      <c r="C451" t="s">
        <v>30</v>
      </c>
      <c r="D451" t="s">
        <v>489</v>
      </c>
      <c r="E451" t="s">
        <v>22</v>
      </c>
      <c r="F451" s="3"/>
      <c r="G451" s="3" t="s">
        <v>947</v>
      </c>
    </row>
    <row r="452" spans="1:7" s="63" customFormat="1">
      <c r="A452" t="s">
        <v>1079</v>
      </c>
      <c r="B452" s="36">
        <v>46053</v>
      </c>
      <c r="C452" t="s">
        <v>30</v>
      </c>
      <c r="D452" t="s">
        <v>1300</v>
      </c>
      <c r="E452" t="s">
        <v>23</v>
      </c>
      <c r="F452" s="3"/>
      <c r="G452" s="3" t="s">
        <v>504</v>
      </c>
    </row>
    <row r="453" spans="1:7">
      <c r="A453" t="s">
        <v>1080</v>
      </c>
      <c r="B453" s="36">
        <v>46053</v>
      </c>
      <c r="C453" t="s">
        <v>30</v>
      </c>
      <c r="D453" t="s">
        <v>335</v>
      </c>
      <c r="E453" t="s">
        <v>24</v>
      </c>
      <c r="F453" s="3"/>
      <c r="G453" s="3" t="s">
        <v>1081</v>
      </c>
    </row>
    <row r="454" spans="1:7">
      <c r="A454" t="s">
        <v>1082</v>
      </c>
      <c r="B454" s="36">
        <v>46053</v>
      </c>
      <c r="C454" t="s">
        <v>30</v>
      </c>
      <c r="D454" t="s">
        <v>879</v>
      </c>
      <c r="E454" t="s">
        <v>22</v>
      </c>
      <c r="F454" s="3"/>
      <c r="G454" s="3" t="s">
        <v>942</v>
      </c>
    </row>
    <row r="455" spans="1:7">
      <c r="A455" t="s">
        <v>1083</v>
      </c>
      <c r="B455" s="36">
        <v>46053</v>
      </c>
      <c r="C455" t="s">
        <v>30</v>
      </c>
      <c r="D455" t="s">
        <v>1298</v>
      </c>
      <c r="E455" t="s">
        <v>23</v>
      </c>
      <c r="F455" s="3"/>
      <c r="G455" s="3" t="s">
        <v>1047</v>
      </c>
    </row>
    <row r="456" spans="1:7">
      <c r="A456" t="s">
        <v>1084</v>
      </c>
      <c r="B456" s="36">
        <v>46053</v>
      </c>
      <c r="C456" t="s">
        <v>30</v>
      </c>
      <c r="D456" t="s">
        <v>879</v>
      </c>
      <c r="E456" t="s">
        <v>22</v>
      </c>
      <c r="F456" s="3"/>
      <c r="G456" s="3" t="s">
        <v>1001</v>
      </c>
    </row>
    <row r="457" spans="1:7">
      <c r="A457" t="s">
        <v>1085</v>
      </c>
      <c r="B457" s="36">
        <v>46053</v>
      </c>
      <c r="C457" t="s">
        <v>35</v>
      </c>
      <c r="D457" t="s">
        <v>1321</v>
      </c>
      <c r="E457" t="s">
        <v>24</v>
      </c>
      <c r="F457" s="3"/>
      <c r="G457" s="3" t="s">
        <v>1086</v>
      </c>
    </row>
    <row r="458" spans="1:7">
      <c r="A458" t="s">
        <v>1087</v>
      </c>
      <c r="B458" s="36">
        <v>46053</v>
      </c>
      <c r="C458" t="s">
        <v>30</v>
      </c>
      <c r="D458" t="s">
        <v>489</v>
      </c>
      <c r="E458" t="s">
        <v>22</v>
      </c>
      <c r="F458" s="3"/>
      <c r="G458" s="3" t="s">
        <v>1065</v>
      </c>
    </row>
    <row r="459" spans="1:7">
      <c r="A459" t="s">
        <v>1088</v>
      </c>
      <c r="B459" s="36">
        <v>46053</v>
      </c>
      <c r="C459" t="s">
        <v>30</v>
      </c>
      <c r="D459" t="s">
        <v>1300</v>
      </c>
      <c r="E459" t="s">
        <v>23</v>
      </c>
      <c r="F459" s="3"/>
      <c r="G459" s="3" t="s">
        <v>1089</v>
      </c>
    </row>
    <row r="460" spans="1:7">
      <c r="A460" t="s">
        <v>1090</v>
      </c>
      <c r="B460" s="36">
        <v>46053</v>
      </c>
      <c r="C460" t="s">
        <v>30</v>
      </c>
      <c r="D460" t="s">
        <v>1307</v>
      </c>
      <c r="E460" t="s">
        <v>24</v>
      </c>
      <c r="F460" s="3"/>
      <c r="G460" s="3" t="s">
        <v>1091</v>
      </c>
    </row>
    <row r="461" spans="1:7">
      <c r="A461" t="s">
        <v>1092</v>
      </c>
      <c r="B461" s="36">
        <v>46053</v>
      </c>
      <c r="C461" t="s">
        <v>35</v>
      </c>
      <c r="D461" t="s">
        <v>1321</v>
      </c>
      <c r="E461" t="s">
        <v>24</v>
      </c>
      <c r="F461" s="3"/>
      <c r="G461" s="3" t="s">
        <v>1086</v>
      </c>
    </row>
    <row r="462" spans="1:7">
      <c r="A462" t="s">
        <v>1093</v>
      </c>
      <c r="B462" s="36">
        <v>46053</v>
      </c>
      <c r="C462" t="s">
        <v>30</v>
      </c>
      <c r="D462" t="s">
        <v>1297</v>
      </c>
      <c r="E462" t="s">
        <v>22</v>
      </c>
      <c r="F462" s="3"/>
      <c r="G462" s="3" t="s">
        <v>1094</v>
      </c>
    </row>
    <row r="463" spans="1:7">
      <c r="A463" t="s">
        <v>1095</v>
      </c>
      <c r="B463" s="36">
        <v>46053</v>
      </c>
      <c r="C463" t="s">
        <v>30</v>
      </c>
      <c r="D463" t="s">
        <v>1307</v>
      </c>
      <c r="E463" t="s">
        <v>24</v>
      </c>
      <c r="F463" s="3"/>
      <c r="G463" s="3" t="s">
        <v>310</v>
      </c>
    </row>
    <row r="464" spans="1:7">
      <c r="A464" t="s">
        <v>1096</v>
      </c>
      <c r="B464" s="36">
        <v>46053</v>
      </c>
      <c r="C464" t="s">
        <v>30</v>
      </c>
      <c r="D464" t="s">
        <v>1302</v>
      </c>
      <c r="E464" t="s">
        <v>23</v>
      </c>
      <c r="F464" s="3"/>
      <c r="G464" s="3" t="s">
        <v>979</v>
      </c>
    </row>
    <row r="465" spans="1:7">
      <c r="A465" t="s">
        <v>1097</v>
      </c>
      <c r="B465" s="36">
        <v>46053</v>
      </c>
      <c r="C465" t="s">
        <v>30</v>
      </c>
      <c r="D465" t="s">
        <v>489</v>
      </c>
      <c r="E465" t="s">
        <v>22</v>
      </c>
      <c r="F465" s="3"/>
      <c r="G465" s="3" t="s">
        <v>1001</v>
      </c>
    </row>
    <row r="466" spans="1:7">
      <c r="A466" t="s">
        <v>1098</v>
      </c>
      <c r="B466" s="36">
        <v>46053</v>
      </c>
      <c r="C466" t="s">
        <v>30</v>
      </c>
      <c r="D466" t="s">
        <v>1323</v>
      </c>
      <c r="E466" t="s">
        <v>23</v>
      </c>
      <c r="F466" s="3"/>
      <c r="G466" s="3" t="s">
        <v>1099</v>
      </c>
    </row>
    <row r="467" spans="1:7">
      <c r="A467" t="s">
        <v>1100</v>
      </c>
      <c r="B467" s="36">
        <v>46053</v>
      </c>
      <c r="C467" t="s">
        <v>30</v>
      </c>
      <c r="D467" t="s">
        <v>1302</v>
      </c>
      <c r="E467" t="s">
        <v>23</v>
      </c>
      <c r="F467" s="3"/>
      <c r="G467" s="3" t="s">
        <v>1101</v>
      </c>
    </row>
    <row r="468" spans="1:7">
      <c r="A468" t="s">
        <v>1102</v>
      </c>
      <c r="B468" s="36">
        <v>46053</v>
      </c>
      <c r="C468" t="s">
        <v>30</v>
      </c>
      <c r="D468" t="s">
        <v>370</v>
      </c>
      <c r="E468" t="s">
        <v>25</v>
      </c>
      <c r="F468" s="3"/>
      <c r="G468" s="3" t="s">
        <v>1103</v>
      </c>
    </row>
    <row r="469" spans="1:7">
      <c r="A469" t="s">
        <v>1104</v>
      </c>
      <c r="B469" s="36">
        <v>46053</v>
      </c>
      <c r="C469" t="s">
        <v>35</v>
      </c>
      <c r="D469" t="s">
        <v>1351</v>
      </c>
      <c r="E469" t="s">
        <v>24</v>
      </c>
      <c r="F469" s="3"/>
      <c r="G469" s="3" t="s">
        <v>1105</v>
      </c>
    </row>
    <row r="470" spans="1:7">
      <c r="A470" t="s">
        <v>1106</v>
      </c>
      <c r="B470" s="36">
        <v>46053</v>
      </c>
      <c r="C470" t="s">
        <v>30</v>
      </c>
      <c r="D470" t="s">
        <v>489</v>
      </c>
      <c r="E470" t="s">
        <v>22</v>
      </c>
      <c r="F470" s="3"/>
      <c r="G470" s="3" t="s">
        <v>1107</v>
      </c>
    </row>
    <row r="471" spans="1:7">
      <c r="A471" t="s">
        <v>1108</v>
      </c>
      <c r="B471" s="36">
        <v>46053</v>
      </c>
      <c r="C471" t="s">
        <v>30</v>
      </c>
      <c r="D471" t="s">
        <v>489</v>
      </c>
      <c r="E471" t="s">
        <v>22</v>
      </c>
      <c r="F471" s="3"/>
      <c r="G471" s="3" t="s">
        <v>1065</v>
      </c>
    </row>
    <row r="472" spans="1:7">
      <c r="A472" t="s">
        <v>1109</v>
      </c>
      <c r="B472" s="36">
        <v>46053</v>
      </c>
      <c r="C472" t="s">
        <v>30</v>
      </c>
      <c r="D472" t="s">
        <v>489</v>
      </c>
      <c r="E472" t="s">
        <v>22</v>
      </c>
      <c r="F472" s="3"/>
      <c r="G472" s="3" t="s">
        <v>1089</v>
      </c>
    </row>
    <row r="473" spans="1:7">
      <c r="A473" t="s">
        <v>1110</v>
      </c>
      <c r="B473" s="36">
        <v>46053</v>
      </c>
      <c r="C473" t="s">
        <v>30</v>
      </c>
      <c r="D473" t="s">
        <v>879</v>
      </c>
      <c r="E473" t="s">
        <v>22</v>
      </c>
      <c r="F473" s="3"/>
      <c r="G473" s="3" t="s">
        <v>1065</v>
      </c>
    </row>
    <row r="474" spans="1:7">
      <c r="A474" t="s">
        <v>1111</v>
      </c>
      <c r="B474" s="36">
        <v>46053</v>
      </c>
      <c r="C474" t="s">
        <v>30</v>
      </c>
      <c r="D474" t="s">
        <v>879</v>
      </c>
      <c r="E474" t="s">
        <v>22</v>
      </c>
      <c r="F474" s="3"/>
      <c r="G474" s="3" t="s">
        <v>1065</v>
      </c>
    </row>
    <row r="475" spans="1:7">
      <c r="A475" t="s">
        <v>1112</v>
      </c>
      <c r="B475" s="36">
        <v>46053</v>
      </c>
      <c r="C475" t="s">
        <v>30</v>
      </c>
      <c r="D475" t="s">
        <v>1306</v>
      </c>
      <c r="E475" t="s">
        <v>25</v>
      </c>
      <c r="F475" s="3"/>
      <c r="G475" s="3" t="s">
        <v>1113</v>
      </c>
    </row>
    <row r="476" spans="1:7">
      <c r="A476" t="s">
        <v>1114</v>
      </c>
      <c r="B476" s="36">
        <v>46053</v>
      </c>
      <c r="C476" t="s">
        <v>30</v>
      </c>
      <c r="D476" t="s">
        <v>879</v>
      </c>
      <c r="E476" t="s">
        <v>22</v>
      </c>
      <c r="F476" s="3"/>
      <c r="G476" s="3" t="s">
        <v>1115</v>
      </c>
    </row>
    <row r="477" spans="1:7">
      <c r="A477" t="s">
        <v>1116</v>
      </c>
      <c r="B477" s="36">
        <v>46053</v>
      </c>
      <c r="C477" t="s">
        <v>30</v>
      </c>
      <c r="D477" t="s">
        <v>489</v>
      </c>
      <c r="E477" t="s">
        <v>22</v>
      </c>
      <c r="F477" s="3"/>
      <c r="G477" s="3" t="s">
        <v>1065</v>
      </c>
    </row>
    <row r="478" spans="1:7">
      <c r="A478" t="s">
        <v>1117</v>
      </c>
      <c r="B478" s="36">
        <v>46053</v>
      </c>
      <c r="C478" t="s">
        <v>30</v>
      </c>
      <c r="D478" t="s">
        <v>489</v>
      </c>
      <c r="E478" t="s">
        <v>22</v>
      </c>
      <c r="F478" s="3"/>
      <c r="G478" s="3" t="s">
        <v>920</v>
      </c>
    </row>
    <row r="479" spans="1:7">
      <c r="A479" t="s">
        <v>1118</v>
      </c>
      <c r="B479" s="36">
        <v>46053</v>
      </c>
      <c r="C479" t="s">
        <v>30</v>
      </c>
      <c r="D479" t="s">
        <v>489</v>
      </c>
      <c r="E479" t="s">
        <v>22</v>
      </c>
      <c r="F479" s="3"/>
      <c r="G479" s="3" t="s">
        <v>1127</v>
      </c>
    </row>
    <row r="480" spans="1:7">
      <c r="A480" t="s">
        <v>1119</v>
      </c>
      <c r="B480" s="36">
        <v>46053</v>
      </c>
      <c r="C480" t="s">
        <v>295</v>
      </c>
      <c r="D480" t="s">
        <v>150</v>
      </c>
      <c r="E480" t="s">
        <v>22</v>
      </c>
      <c r="F480" s="3"/>
      <c r="G480" s="3" t="s">
        <v>1120</v>
      </c>
    </row>
    <row r="481" spans="1:7">
      <c r="A481" t="s">
        <v>1121</v>
      </c>
      <c r="B481" s="36">
        <v>46053</v>
      </c>
      <c r="C481" t="s">
        <v>30</v>
      </c>
      <c r="D481" t="s">
        <v>1297</v>
      </c>
      <c r="E481" t="s">
        <v>22</v>
      </c>
      <c r="F481" s="3"/>
      <c r="G481" s="3" t="s">
        <v>1027</v>
      </c>
    </row>
    <row r="482" spans="1:7">
      <c r="A482" t="s">
        <v>1122</v>
      </c>
      <c r="B482" s="36">
        <v>46053</v>
      </c>
      <c r="C482" t="s">
        <v>35</v>
      </c>
      <c r="D482" t="s">
        <v>304</v>
      </c>
      <c r="E482" t="s">
        <v>24</v>
      </c>
      <c r="F482" s="3"/>
      <c r="G482" s="3"/>
    </row>
    <row r="483" spans="1:7">
      <c r="A483" t="s">
        <v>1123</v>
      </c>
      <c r="B483" s="36">
        <v>46053</v>
      </c>
      <c r="C483" t="s">
        <v>30</v>
      </c>
      <c r="D483" t="s">
        <v>468</v>
      </c>
      <c r="E483" t="s">
        <v>25</v>
      </c>
      <c r="F483" s="3"/>
      <c r="G483" s="3" t="s">
        <v>1124</v>
      </c>
    </row>
    <row r="484" spans="1:7">
      <c r="A484" t="s">
        <v>1126</v>
      </c>
      <c r="B484" s="36">
        <v>46053</v>
      </c>
      <c r="C484" t="s">
        <v>30</v>
      </c>
      <c r="D484" t="s">
        <v>150</v>
      </c>
      <c r="E484" t="s">
        <v>22</v>
      </c>
      <c r="F484" s="3"/>
      <c r="G484" s="3" t="s">
        <v>944</v>
      </c>
    </row>
    <row r="485" spans="1:7">
      <c r="A485" t="s">
        <v>1128</v>
      </c>
      <c r="B485" s="36">
        <v>46053</v>
      </c>
      <c r="C485" t="s">
        <v>30</v>
      </c>
      <c r="D485" t="s">
        <v>1299</v>
      </c>
      <c r="E485" t="s">
        <v>22</v>
      </c>
      <c r="F485" s="3"/>
      <c r="G485" s="3" t="s">
        <v>942</v>
      </c>
    </row>
    <row r="486" spans="1:7">
      <c r="A486" t="s">
        <v>1129</v>
      </c>
      <c r="B486" s="36">
        <v>46053</v>
      </c>
      <c r="C486" t="s">
        <v>30</v>
      </c>
      <c r="D486" t="s">
        <v>1295</v>
      </c>
      <c r="E486" t="s">
        <v>22</v>
      </c>
      <c r="F486" s="3"/>
      <c r="G486" s="3" t="s">
        <v>947</v>
      </c>
    </row>
    <row r="487" spans="1:7">
      <c r="A487" t="s">
        <v>1131</v>
      </c>
      <c r="B487" s="36">
        <v>46053</v>
      </c>
      <c r="C487" t="s">
        <v>30</v>
      </c>
      <c r="D487" t="s">
        <v>1324</v>
      </c>
      <c r="E487" t="s">
        <v>22</v>
      </c>
      <c r="F487" s="3"/>
      <c r="G487" s="3" t="s">
        <v>1132</v>
      </c>
    </row>
    <row r="488" spans="1:7">
      <c r="A488" t="s">
        <v>1133</v>
      </c>
      <c r="B488" s="36">
        <v>46053</v>
      </c>
      <c r="C488" t="s">
        <v>37</v>
      </c>
      <c r="D488" t="s">
        <v>387</v>
      </c>
      <c r="E488" t="s">
        <v>25</v>
      </c>
      <c r="F488" s="3"/>
      <c r="G488" s="3" t="s">
        <v>1134</v>
      </c>
    </row>
    <row r="489" spans="1:7">
      <c r="A489" t="s">
        <v>1137</v>
      </c>
      <c r="B489" s="36">
        <v>46053</v>
      </c>
      <c r="C489" t="s">
        <v>30</v>
      </c>
      <c r="D489" t="s">
        <v>1324</v>
      </c>
      <c r="E489" t="s">
        <v>22</v>
      </c>
      <c r="F489" s="3"/>
      <c r="G489" s="3" t="s">
        <v>1127</v>
      </c>
    </row>
    <row r="490" spans="1:7">
      <c r="A490" t="s">
        <v>1138</v>
      </c>
      <c r="B490" s="36">
        <v>46053</v>
      </c>
      <c r="C490" t="s">
        <v>30</v>
      </c>
      <c r="D490" t="s">
        <v>1299</v>
      </c>
      <c r="E490" t="s">
        <v>22</v>
      </c>
      <c r="F490" s="3"/>
      <c r="G490" s="3" t="s">
        <v>977</v>
      </c>
    </row>
    <row r="491" spans="1:7">
      <c r="A491" t="s">
        <v>1346</v>
      </c>
      <c r="B491" s="36">
        <v>46053</v>
      </c>
      <c r="C491" t="s">
        <v>30</v>
      </c>
      <c r="D491" t="s">
        <v>1348</v>
      </c>
      <c r="E491" t="s">
        <v>22</v>
      </c>
      <c r="F491" s="3"/>
      <c r="G491" s="3" t="s">
        <v>977</v>
      </c>
    </row>
    <row r="492" spans="1:7">
      <c r="A492" t="s">
        <v>1347</v>
      </c>
      <c r="B492" s="36">
        <v>46053</v>
      </c>
      <c r="C492" t="s">
        <v>30</v>
      </c>
      <c r="D492" t="s">
        <v>1324</v>
      </c>
      <c r="E492" t="s">
        <v>22</v>
      </c>
      <c r="F492" s="3"/>
      <c r="G492" s="3" t="s">
        <v>977</v>
      </c>
    </row>
    <row r="493" spans="1:7">
      <c r="A493" t="s">
        <v>1140</v>
      </c>
      <c r="B493" s="36">
        <v>46053</v>
      </c>
      <c r="C493" t="s">
        <v>30</v>
      </c>
      <c r="D493" t="s">
        <v>1324</v>
      </c>
      <c r="E493" t="s">
        <v>22</v>
      </c>
      <c r="F493" s="3"/>
      <c r="G493" s="3" t="s">
        <v>1795</v>
      </c>
    </row>
    <row r="494" spans="1:7">
      <c r="A494" t="s">
        <v>1334</v>
      </c>
      <c r="B494" s="36">
        <v>46053</v>
      </c>
      <c r="C494" t="s">
        <v>295</v>
      </c>
      <c r="D494" t="s">
        <v>359</v>
      </c>
      <c r="E494" t="s">
        <v>24</v>
      </c>
      <c r="F494" s="3"/>
      <c r="G494" s="3" t="s">
        <v>426</v>
      </c>
    </row>
    <row r="495" spans="1:7">
      <c r="A495" t="s">
        <v>1141</v>
      </c>
      <c r="B495" s="36">
        <v>46053</v>
      </c>
      <c r="C495" t="s">
        <v>35</v>
      </c>
      <c r="D495" t="s">
        <v>359</v>
      </c>
      <c r="E495" t="s">
        <v>24</v>
      </c>
      <c r="F495" s="3"/>
      <c r="G495" s="3" t="s">
        <v>426</v>
      </c>
    </row>
    <row r="496" spans="1:7" s="63" customFormat="1">
      <c r="A496" t="s">
        <v>1336</v>
      </c>
      <c r="B496" s="36">
        <v>46053</v>
      </c>
      <c r="C496" t="s">
        <v>30</v>
      </c>
      <c r="D496" t="s">
        <v>359</v>
      </c>
      <c r="E496" t="s">
        <v>24</v>
      </c>
      <c r="F496" s="3"/>
      <c r="G496" s="3" t="s">
        <v>426</v>
      </c>
    </row>
    <row r="497" spans="1:7">
      <c r="A497" t="s">
        <v>1142</v>
      </c>
      <c r="B497" s="36">
        <v>46053</v>
      </c>
      <c r="C497" t="s">
        <v>35</v>
      </c>
      <c r="D497" t="s">
        <v>1294</v>
      </c>
      <c r="E497" t="s">
        <v>155</v>
      </c>
      <c r="F497" s="3"/>
      <c r="G497" s="3" t="s">
        <v>385</v>
      </c>
    </row>
    <row r="498" spans="1:7">
      <c r="A498" t="s">
        <v>1143</v>
      </c>
      <c r="B498" s="36">
        <v>46053</v>
      </c>
      <c r="C498" t="s">
        <v>30</v>
      </c>
      <c r="D498" t="s">
        <v>879</v>
      </c>
      <c r="E498" t="s">
        <v>22</v>
      </c>
      <c r="F498" s="3"/>
      <c r="G498" s="3" t="s">
        <v>1060</v>
      </c>
    </row>
    <row r="499" spans="1:7">
      <c r="A499" t="s">
        <v>1144</v>
      </c>
      <c r="B499" s="36">
        <v>46053</v>
      </c>
      <c r="C499" t="s">
        <v>30</v>
      </c>
      <c r="D499" t="s">
        <v>468</v>
      </c>
      <c r="E499" t="s">
        <v>25</v>
      </c>
      <c r="F499" s="3"/>
      <c r="G499" s="3" t="s">
        <v>1124</v>
      </c>
    </row>
    <row r="500" spans="1:7" s="63" customFormat="1">
      <c r="A500" t="s">
        <v>1145</v>
      </c>
      <c r="B500" s="36">
        <v>46053</v>
      </c>
      <c r="C500" t="s">
        <v>33</v>
      </c>
      <c r="D500" t="s">
        <v>887</v>
      </c>
      <c r="E500" t="s">
        <v>24</v>
      </c>
      <c r="F500" s="3"/>
      <c r="G500" s="3" t="s">
        <v>1146</v>
      </c>
    </row>
    <row r="501" spans="1:7">
      <c r="A501" t="s">
        <v>1147</v>
      </c>
      <c r="B501" s="36">
        <v>46053</v>
      </c>
      <c r="C501" t="s">
        <v>35</v>
      </c>
      <c r="D501" t="s">
        <v>1294</v>
      </c>
      <c r="E501" t="s">
        <v>155</v>
      </c>
      <c r="F501" s="3"/>
      <c r="G501" s="3" t="s">
        <v>385</v>
      </c>
    </row>
    <row r="502" spans="1:7">
      <c r="A502" t="s">
        <v>1417</v>
      </c>
      <c r="B502" s="36">
        <v>46053</v>
      </c>
      <c r="C502" t="s">
        <v>295</v>
      </c>
      <c r="D502" t="s">
        <v>1408</v>
      </c>
      <c r="E502" t="s">
        <v>1407</v>
      </c>
      <c r="F502" s="3"/>
      <c r="G502" s="3"/>
    </row>
    <row r="503" spans="1:7">
      <c r="A503" t="s">
        <v>1357</v>
      </c>
      <c r="B503" s="36">
        <v>46081</v>
      </c>
      <c r="C503" t="s">
        <v>295</v>
      </c>
      <c r="D503" t="s">
        <v>1418</v>
      </c>
      <c r="E503" t="s">
        <v>24</v>
      </c>
      <c r="G503" s="3" t="s">
        <v>1419</v>
      </c>
    </row>
    <row r="504" spans="1:7">
      <c r="A504" t="s">
        <v>1358</v>
      </c>
      <c r="B504" s="36">
        <v>46081</v>
      </c>
      <c r="C504" t="s">
        <v>295</v>
      </c>
      <c r="D504" t="s">
        <v>151</v>
      </c>
      <c r="E504" t="s">
        <v>22</v>
      </c>
      <c r="G504" s="3" t="s">
        <v>1420</v>
      </c>
    </row>
    <row r="505" spans="1:7">
      <c r="A505" t="s">
        <v>1359</v>
      </c>
      <c r="B505" s="36">
        <v>46081</v>
      </c>
      <c r="C505" t="s">
        <v>33</v>
      </c>
      <c r="D505" t="s">
        <v>1421</v>
      </c>
      <c r="E505" t="s">
        <v>155</v>
      </c>
      <c r="G505" s="3" t="s">
        <v>1422</v>
      </c>
    </row>
    <row r="506" spans="1:7">
      <c r="A506" t="s">
        <v>1360</v>
      </c>
      <c r="B506" s="36">
        <v>46081</v>
      </c>
      <c r="C506" t="s">
        <v>295</v>
      </c>
      <c r="D506" t="s">
        <v>1297</v>
      </c>
      <c r="E506" t="s">
        <v>22</v>
      </c>
      <c r="G506" s="3" t="s">
        <v>399</v>
      </c>
    </row>
    <row r="507" spans="1:7">
      <c r="A507" t="s">
        <v>1361</v>
      </c>
      <c r="B507" s="36">
        <v>46081</v>
      </c>
      <c r="C507" t="s">
        <v>35</v>
      </c>
      <c r="D507" t="s">
        <v>1478</v>
      </c>
      <c r="E507" t="s">
        <v>155</v>
      </c>
      <c r="G507" s="3" t="s">
        <v>1479</v>
      </c>
    </row>
    <row r="508" spans="1:7">
      <c r="A508" t="s">
        <v>1362</v>
      </c>
      <c r="B508" s="36">
        <v>46081</v>
      </c>
      <c r="C508" t="s">
        <v>37</v>
      </c>
      <c r="D508" t="s">
        <v>370</v>
      </c>
      <c r="E508" t="s">
        <v>25</v>
      </c>
      <c r="G508" s="3" t="s">
        <v>1423</v>
      </c>
    </row>
    <row r="509" spans="1:7">
      <c r="A509" t="s">
        <v>1363</v>
      </c>
      <c r="B509" s="36">
        <v>46081</v>
      </c>
      <c r="C509" t="s">
        <v>37</v>
      </c>
      <c r="D509" t="s">
        <v>370</v>
      </c>
      <c r="E509" t="s">
        <v>25</v>
      </c>
      <c r="G509" s="3" t="s">
        <v>1424</v>
      </c>
    </row>
    <row r="510" spans="1:7">
      <c r="A510" t="s">
        <v>1364</v>
      </c>
      <c r="B510" s="36">
        <v>46081</v>
      </c>
      <c r="C510" t="s">
        <v>295</v>
      </c>
      <c r="D510" t="s">
        <v>1297</v>
      </c>
      <c r="E510" t="s">
        <v>22</v>
      </c>
      <c r="G510" s="3" t="s">
        <v>399</v>
      </c>
    </row>
    <row r="511" spans="1:7">
      <c r="A511" t="s">
        <v>1365</v>
      </c>
      <c r="B511" s="36">
        <v>46081</v>
      </c>
      <c r="C511" t="s">
        <v>295</v>
      </c>
      <c r="D511" t="s">
        <v>151</v>
      </c>
      <c r="E511" t="s">
        <v>22</v>
      </c>
      <c r="G511" s="3" t="s">
        <v>1425</v>
      </c>
    </row>
    <row r="512" spans="1:7">
      <c r="A512" t="s">
        <v>1366</v>
      </c>
      <c r="B512" s="36">
        <v>46081</v>
      </c>
      <c r="C512" t="s">
        <v>295</v>
      </c>
      <c r="D512" t="s">
        <v>468</v>
      </c>
      <c r="E512" t="s">
        <v>25</v>
      </c>
      <c r="G512" s="3" t="s">
        <v>1426</v>
      </c>
    </row>
    <row r="513" spans="1:7">
      <c r="A513" t="s">
        <v>1367</v>
      </c>
      <c r="B513" s="36">
        <v>46081</v>
      </c>
      <c r="C513" t="s">
        <v>35</v>
      </c>
      <c r="D513" t="s">
        <v>396</v>
      </c>
      <c r="E513" t="s">
        <v>25</v>
      </c>
      <c r="G513" s="3"/>
    </row>
    <row r="514" spans="1:7">
      <c r="A514" t="s">
        <v>1368</v>
      </c>
      <c r="B514" s="36">
        <v>46081</v>
      </c>
      <c r="C514" t="s">
        <v>37</v>
      </c>
      <c r="D514" t="s">
        <v>370</v>
      </c>
      <c r="E514" t="s">
        <v>25</v>
      </c>
      <c r="G514" s="3" t="s">
        <v>1427</v>
      </c>
    </row>
    <row r="515" spans="1:7">
      <c r="A515" t="s">
        <v>1428</v>
      </c>
      <c r="B515" s="36">
        <v>46081</v>
      </c>
      <c r="C515" t="s">
        <v>37</v>
      </c>
      <c r="D515" t="s">
        <v>370</v>
      </c>
      <c r="E515" t="s">
        <v>25</v>
      </c>
      <c r="G515" s="3" t="s">
        <v>1429</v>
      </c>
    </row>
    <row r="516" spans="1:7">
      <c r="A516" t="s">
        <v>1370</v>
      </c>
      <c r="B516" s="36">
        <v>46081</v>
      </c>
      <c r="C516" t="s">
        <v>37</v>
      </c>
      <c r="D516" t="s">
        <v>410</v>
      </c>
      <c r="E516" t="s">
        <v>24</v>
      </c>
      <c r="G516" s="3"/>
    </row>
    <row r="517" spans="1:7">
      <c r="A517" t="s">
        <v>1371</v>
      </c>
      <c r="B517" s="36">
        <v>46081</v>
      </c>
      <c r="C517" t="s">
        <v>35</v>
      </c>
      <c r="D517" t="s">
        <v>304</v>
      </c>
      <c r="E517" t="s">
        <v>24</v>
      </c>
      <c r="G517" s="3"/>
    </row>
    <row r="518" spans="1:7">
      <c r="A518" t="s">
        <v>1372</v>
      </c>
      <c r="B518" s="36">
        <v>46081</v>
      </c>
      <c r="C518" t="s">
        <v>295</v>
      </c>
      <c r="D518" t="s">
        <v>1430</v>
      </c>
      <c r="E518" t="s">
        <v>23</v>
      </c>
    </row>
    <row r="519" spans="1:7">
      <c r="A519" t="s">
        <v>1373</v>
      </c>
      <c r="B519" s="36">
        <v>46081</v>
      </c>
      <c r="C519" t="s">
        <v>295</v>
      </c>
      <c r="D519" t="s">
        <v>1349</v>
      </c>
      <c r="E519" t="s">
        <v>24</v>
      </c>
    </row>
    <row r="520" spans="1:7">
      <c r="A520" t="s">
        <v>1374</v>
      </c>
      <c r="B520" s="36">
        <v>46081</v>
      </c>
      <c r="C520" t="s">
        <v>295</v>
      </c>
      <c r="D520" t="s">
        <v>1431</v>
      </c>
      <c r="E520" t="s">
        <v>24</v>
      </c>
      <c r="G520" s="3" t="s">
        <v>1432</v>
      </c>
    </row>
    <row r="521" spans="1:7">
      <c r="A521" t="s">
        <v>1375</v>
      </c>
      <c r="B521" s="36">
        <v>46081</v>
      </c>
      <c r="C521" t="s">
        <v>295</v>
      </c>
      <c r="D521" t="s">
        <v>1020</v>
      </c>
      <c r="E521" t="s">
        <v>24</v>
      </c>
      <c r="G521" s="3" t="s">
        <v>1433</v>
      </c>
    </row>
    <row r="522" spans="1:7">
      <c r="A522" t="s">
        <v>1376</v>
      </c>
      <c r="B522" s="36">
        <v>46081</v>
      </c>
      <c r="C522" t="s">
        <v>35</v>
      </c>
      <c r="D522" t="s">
        <v>1431</v>
      </c>
      <c r="E522" t="s">
        <v>24</v>
      </c>
      <c r="G522" s="3" t="s">
        <v>1434</v>
      </c>
    </row>
    <row r="523" spans="1:7">
      <c r="A523" t="s">
        <v>1377</v>
      </c>
      <c r="B523" s="36">
        <v>46081</v>
      </c>
      <c r="C523" t="s">
        <v>35</v>
      </c>
      <c r="D523" t="s">
        <v>427</v>
      </c>
      <c r="E523" t="s">
        <v>24</v>
      </c>
      <c r="G523" s="3" t="s">
        <v>1435</v>
      </c>
    </row>
    <row r="524" spans="1:7">
      <c r="A524" t="s">
        <v>1378</v>
      </c>
      <c r="B524" s="36">
        <v>46081</v>
      </c>
      <c r="C524" t="s">
        <v>35</v>
      </c>
      <c r="D524" t="s">
        <v>359</v>
      </c>
      <c r="E524" t="s">
        <v>24</v>
      </c>
      <c r="G524" s="3" t="s">
        <v>1436</v>
      </c>
    </row>
    <row r="525" spans="1:7">
      <c r="A525" t="s">
        <v>1379</v>
      </c>
      <c r="B525" s="36">
        <v>46081</v>
      </c>
      <c r="C525" t="s">
        <v>295</v>
      </c>
      <c r="D525" t="s">
        <v>1349</v>
      </c>
      <c r="E525" t="s">
        <v>24</v>
      </c>
      <c r="G525" s="3"/>
    </row>
    <row r="526" spans="1:7">
      <c r="A526" t="s">
        <v>1380</v>
      </c>
      <c r="B526" s="36">
        <v>46081</v>
      </c>
      <c r="C526" t="s">
        <v>295</v>
      </c>
      <c r="D526" t="s">
        <v>572</v>
      </c>
      <c r="E526" t="s">
        <v>23</v>
      </c>
      <c r="G526" s="3"/>
    </row>
    <row r="527" spans="1:7">
      <c r="A527" t="s">
        <v>1381</v>
      </c>
      <c r="B527" s="36">
        <v>46081</v>
      </c>
      <c r="C527" t="s">
        <v>35</v>
      </c>
      <c r="D527" t="s">
        <v>427</v>
      </c>
      <c r="E527" t="s">
        <v>25</v>
      </c>
      <c r="G527" s="3" t="s">
        <v>385</v>
      </c>
    </row>
    <row r="528" spans="1:7">
      <c r="A528" t="s">
        <v>1382</v>
      </c>
      <c r="B528" s="36">
        <v>46081</v>
      </c>
      <c r="C528" t="s">
        <v>295</v>
      </c>
      <c r="D528" t="s">
        <v>151</v>
      </c>
      <c r="E528" t="s">
        <v>22</v>
      </c>
      <c r="G528" s="3" t="s">
        <v>145</v>
      </c>
    </row>
    <row r="529" spans="1:7">
      <c r="A529" t="s">
        <v>1383</v>
      </c>
      <c r="B529" s="36">
        <v>46081</v>
      </c>
      <c r="C529" t="s">
        <v>295</v>
      </c>
      <c r="D529" t="s">
        <v>307</v>
      </c>
      <c r="E529" t="s">
        <v>23</v>
      </c>
      <c r="G529" s="3"/>
    </row>
    <row r="530" spans="1:7">
      <c r="A530" t="s">
        <v>1384</v>
      </c>
      <c r="B530" s="36">
        <v>46081</v>
      </c>
      <c r="C530" t="s">
        <v>295</v>
      </c>
      <c r="D530" t="s">
        <v>151</v>
      </c>
      <c r="E530" t="s">
        <v>22</v>
      </c>
      <c r="G530" s="3" t="s">
        <v>1437</v>
      </c>
    </row>
    <row r="531" spans="1:7">
      <c r="A531" t="s">
        <v>1385</v>
      </c>
      <c r="B531" s="36">
        <v>46081</v>
      </c>
      <c r="C531" t="s">
        <v>295</v>
      </c>
      <c r="D531" t="s">
        <v>307</v>
      </c>
      <c r="E531" t="s">
        <v>23</v>
      </c>
      <c r="G531" s="3"/>
    </row>
    <row r="532" spans="1:7">
      <c r="A532" t="s">
        <v>1386</v>
      </c>
      <c r="B532" s="36">
        <v>46081</v>
      </c>
      <c r="C532" t="s">
        <v>35</v>
      </c>
      <c r="D532" t="s">
        <v>427</v>
      </c>
      <c r="E532" t="s">
        <v>24</v>
      </c>
      <c r="G532" s="3" t="s">
        <v>342</v>
      </c>
    </row>
    <row r="533" spans="1:7">
      <c r="A533" t="s">
        <v>1387</v>
      </c>
      <c r="B533" s="36">
        <v>46081</v>
      </c>
      <c r="C533" t="s">
        <v>37</v>
      </c>
      <c r="D533" t="s">
        <v>370</v>
      </c>
      <c r="E533" t="s">
        <v>25</v>
      </c>
      <c r="G533" s="3" t="s">
        <v>1438</v>
      </c>
    </row>
    <row r="534" spans="1:7">
      <c r="A534" t="s">
        <v>1388</v>
      </c>
      <c r="B534" s="36">
        <v>46081</v>
      </c>
      <c r="C534" t="s">
        <v>295</v>
      </c>
      <c r="D534" t="s">
        <v>307</v>
      </c>
      <c r="E534" t="s">
        <v>23</v>
      </c>
      <c r="G534" s="3"/>
    </row>
    <row r="535" spans="1:7">
      <c r="A535" t="s">
        <v>1389</v>
      </c>
      <c r="B535" s="36">
        <v>46081</v>
      </c>
      <c r="C535" t="s">
        <v>35</v>
      </c>
      <c r="D535" t="s">
        <v>1351</v>
      </c>
      <c r="E535" t="s">
        <v>24</v>
      </c>
      <c r="G535" s="3" t="s">
        <v>315</v>
      </c>
    </row>
    <row r="536" spans="1:7">
      <c r="A536" t="s">
        <v>1439</v>
      </c>
      <c r="B536" s="36">
        <v>46081</v>
      </c>
      <c r="C536" t="s">
        <v>295</v>
      </c>
      <c r="D536" t="s">
        <v>359</v>
      </c>
      <c r="E536" t="s">
        <v>24</v>
      </c>
      <c r="G536" s="3" t="s">
        <v>1440</v>
      </c>
    </row>
    <row r="537" spans="1:7">
      <c r="A537" t="s">
        <v>1441</v>
      </c>
      <c r="B537" s="36">
        <v>46081</v>
      </c>
      <c r="C537" t="s">
        <v>35</v>
      </c>
      <c r="D537" t="s">
        <v>359</v>
      </c>
      <c r="E537" t="s">
        <v>24</v>
      </c>
      <c r="G537" s="3" t="s">
        <v>1440</v>
      </c>
    </row>
    <row r="538" spans="1:7">
      <c r="A538" t="s">
        <v>1392</v>
      </c>
      <c r="B538" s="36">
        <v>46081</v>
      </c>
      <c r="C538" t="s">
        <v>35</v>
      </c>
      <c r="D538" t="s">
        <v>304</v>
      </c>
      <c r="E538" t="s">
        <v>24</v>
      </c>
      <c r="G538" s="3"/>
    </row>
    <row r="539" spans="1:7">
      <c r="A539" t="s">
        <v>1393</v>
      </c>
      <c r="B539" s="36">
        <v>46081</v>
      </c>
      <c r="C539" t="s">
        <v>33</v>
      </c>
      <c r="D539" t="s">
        <v>1442</v>
      </c>
      <c r="E539" t="s">
        <v>24</v>
      </c>
      <c r="G539" s="3" t="s">
        <v>1443</v>
      </c>
    </row>
    <row r="540" spans="1:7">
      <c r="A540" t="s">
        <v>1394</v>
      </c>
      <c r="B540" s="36">
        <v>46081</v>
      </c>
      <c r="C540" t="s">
        <v>295</v>
      </c>
      <c r="D540" t="s">
        <v>360</v>
      </c>
      <c r="E540" t="s">
        <v>24</v>
      </c>
      <c r="G540" s="3" t="s">
        <v>320</v>
      </c>
    </row>
    <row r="541" spans="1:7">
      <c r="A541" t="s">
        <v>1395</v>
      </c>
      <c r="B541" s="36">
        <v>46081</v>
      </c>
      <c r="C541" t="s">
        <v>295</v>
      </c>
      <c r="D541" t="s">
        <v>360</v>
      </c>
      <c r="E541" t="s">
        <v>24</v>
      </c>
      <c r="G541" s="3" t="s">
        <v>320</v>
      </c>
    </row>
    <row r="542" spans="1:7">
      <c r="A542" t="s">
        <v>1396</v>
      </c>
      <c r="B542" s="36">
        <v>46081</v>
      </c>
      <c r="C542" t="s">
        <v>33</v>
      </c>
      <c r="D542" t="s">
        <v>1442</v>
      </c>
      <c r="E542" t="s">
        <v>24</v>
      </c>
      <c r="G542" s="3" t="s">
        <v>1443</v>
      </c>
    </row>
    <row r="543" spans="1:7">
      <c r="A543" t="s">
        <v>1397</v>
      </c>
      <c r="B543" s="36">
        <v>46081</v>
      </c>
      <c r="C543" t="s">
        <v>295</v>
      </c>
      <c r="D543" t="s">
        <v>360</v>
      </c>
      <c r="E543" t="s">
        <v>24</v>
      </c>
      <c r="G543" s="3" t="s">
        <v>320</v>
      </c>
    </row>
    <row r="544" spans="1:7">
      <c r="A544" t="s">
        <v>1398</v>
      </c>
      <c r="B544" s="36">
        <v>46081</v>
      </c>
      <c r="C544" t="s">
        <v>295</v>
      </c>
      <c r="D544" t="s">
        <v>1431</v>
      </c>
      <c r="E544" t="s">
        <v>24</v>
      </c>
      <c r="G544" s="3" t="s">
        <v>1444</v>
      </c>
    </row>
    <row r="545" spans="1:7">
      <c r="A545" t="s">
        <v>1399</v>
      </c>
      <c r="B545" s="36">
        <v>46081</v>
      </c>
      <c r="C545" t="s">
        <v>35</v>
      </c>
      <c r="D545" t="s">
        <v>1445</v>
      </c>
      <c r="E545" t="s">
        <v>24</v>
      </c>
      <c r="G545" s="3" t="s">
        <v>351</v>
      </c>
    </row>
    <row r="546" spans="1:7">
      <c r="A546" t="s">
        <v>1400</v>
      </c>
      <c r="B546" s="36">
        <v>46081</v>
      </c>
      <c r="C546" t="s">
        <v>295</v>
      </c>
      <c r="D546" t="s">
        <v>495</v>
      </c>
      <c r="E546" t="s">
        <v>23</v>
      </c>
      <c r="G546" s="3" t="s">
        <v>339</v>
      </c>
    </row>
    <row r="547" spans="1:7">
      <c r="A547" t="s">
        <v>1401</v>
      </c>
      <c r="B547" s="36">
        <v>46081</v>
      </c>
      <c r="C547" t="s">
        <v>295</v>
      </c>
      <c r="D547" t="s">
        <v>360</v>
      </c>
      <c r="E547" t="s">
        <v>24</v>
      </c>
      <c r="G547" s="3" t="s">
        <v>320</v>
      </c>
    </row>
    <row r="548" spans="1:7">
      <c r="A548" t="s">
        <v>1402</v>
      </c>
      <c r="B548" s="36">
        <v>46081</v>
      </c>
      <c r="C548" t="s">
        <v>35</v>
      </c>
      <c r="D548" t="s">
        <v>427</v>
      </c>
      <c r="E548" t="s">
        <v>24</v>
      </c>
      <c r="G548" s="3" t="s">
        <v>149</v>
      </c>
    </row>
    <row r="549" spans="1:7">
      <c r="A549" t="s">
        <v>1403</v>
      </c>
      <c r="B549" s="36">
        <v>46081</v>
      </c>
      <c r="C549" t="s">
        <v>35</v>
      </c>
      <c r="D549" t="s">
        <v>427</v>
      </c>
      <c r="E549" t="s">
        <v>24</v>
      </c>
      <c r="G549" s="3" t="s">
        <v>385</v>
      </c>
    </row>
    <row r="550" spans="1:7">
      <c r="A550" t="s">
        <v>1404</v>
      </c>
      <c r="B550" s="36">
        <v>46081</v>
      </c>
      <c r="C550" t="s">
        <v>35</v>
      </c>
      <c r="D550" t="s">
        <v>427</v>
      </c>
      <c r="E550" t="s">
        <v>24</v>
      </c>
      <c r="G550" s="3" t="s">
        <v>342</v>
      </c>
    </row>
    <row r="551" spans="1:7">
      <c r="A551" t="s">
        <v>1405</v>
      </c>
      <c r="B551" s="36">
        <v>46081</v>
      </c>
      <c r="C551" t="s">
        <v>295</v>
      </c>
      <c r="D551" t="s">
        <v>360</v>
      </c>
      <c r="E551" t="s">
        <v>24</v>
      </c>
      <c r="G551" s="3" t="s">
        <v>320</v>
      </c>
    </row>
    <row r="552" spans="1:7">
      <c r="A552" t="s">
        <v>1406</v>
      </c>
      <c r="B552" s="36">
        <v>46081</v>
      </c>
      <c r="C552" t="s">
        <v>37</v>
      </c>
      <c r="D552" t="s">
        <v>370</v>
      </c>
      <c r="E552" t="s">
        <v>25</v>
      </c>
      <c r="G552" s="3" t="s">
        <v>371</v>
      </c>
    </row>
    <row r="553" spans="1:7">
      <c r="A553" t="s">
        <v>1446</v>
      </c>
      <c r="B553" s="36">
        <v>46081</v>
      </c>
      <c r="C553" t="s">
        <v>295</v>
      </c>
      <c r="D553" t="s">
        <v>307</v>
      </c>
      <c r="E553" t="s">
        <v>23</v>
      </c>
      <c r="G553" s="3"/>
    </row>
    <row r="554" spans="1:7">
      <c r="A554" t="s">
        <v>1447</v>
      </c>
      <c r="B554" s="36">
        <v>46081</v>
      </c>
      <c r="C554" t="s">
        <v>35</v>
      </c>
      <c r="D554" t="s">
        <v>1351</v>
      </c>
      <c r="E554" t="s">
        <v>24</v>
      </c>
      <c r="G554" s="3" t="s">
        <v>315</v>
      </c>
    </row>
    <row r="555" spans="1:7">
      <c r="A555" t="s">
        <v>1448</v>
      </c>
      <c r="B555" s="36">
        <v>46081</v>
      </c>
      <c r="C555" t="s">
        <v>295</v>
      </c>
      <c r="D555" t="s">
        <v>359</v>
      </c>
      <c r="E555" t="s">
        <v>24</v>
      </c>
      <c r="G555" s="3" t="s">
        <v>1440</v>
      </c>
    </row>
    <row r="556" spans="1:7">
      <c r="A556" t="s">
        <v>1449</v>
      </c>
      <c r="B556" s="36">
        <v>46081</v>
      </c>
      <c r="C556" t="s">
        <v>35</v>
      </c>
      <c r="D556" t="s">
        <v>359</v>
      </c>
      <c r="E556" t="s">
        <v>24</v>
      </c>
      <c r="G556" s="3" t="s">
        <v>1440</v>
      </c>
    </row>
    <row r="557" spans="1:7">
      <c r="A557" t="s">
        <v>1450</v>
      </c>
      <c r="B557" s="36">
        <v>46081</v>
      </c>
      <c r="C557" t="s">
        <v>35</v>
      </c>
      <c r="D557" t="s">
        <v>444</v>
      </c>
      <c r="E557" t="s">
        <v>24</v>
      </c>
      <c r="G557" s="3" t="s">
        <v>1451</v>
      </c>
    </row>
    <row r="558" spans="1:7">
      <c r="A558" t="s">
        <v>1452</v>
      </c>
      <c r="B558" s="36">
        <v>46081</v>
      </c>
      <c r="C558" t="s">
        <v>35</v>
      </c>
      <c r="D558" t="s">
        <v>304</v>
      </c>
      <c r="E558" t="s">
        <v>24</v>
      </c>
      <c r="G558" s="3"/>
    </row>
    <row r="559" spans="1:7">
      <c r="A559" t="s">
        <v>1453</v>
      </c>
      <c r="B559" s="36">
        <v>46081</v>
      </c>
      <c r="C559" t="s">
        <v>35</v>
      </c>
      <c r="D559" t="s">
        <v>427</v>
      </c>
      <c r="E559" t="s">
        <v>24</v>
      </c>
      <c r="G559" s="3" t="s">
        <v>149</v>
      </c>
    </row>
    <row r="560" spans="1:7">
      <c r="A560" t="s">
        <v>1454</v>
      </c>
      <c r="B560" s="36">
        <v>46081</v>
      </c>
      <c r="C560" t="s">
        <v>35</v>
      </c>
      <c r="D560" t="s">
        <v>385</v>
      </c>
      <c r="E560" t="s">
        <v>155</v>
      </c>
      <c r="G560" s="3"/>
    </row>
    <row r="561" spans="1:7">
      <c r="A561" t="s">
        <v>1455</v>
      </c>
      <c r="B561" s="36">
        <v>46081</v>
      </c>
      <c r="C561" t="s">
        <v>484</v>
      </c>
      <c r="D561" t="s">
        <v>1456</v>
      </c>
      <c r="E561" t="s">
        <v>22</v>
      </c>
      <c r="G561" s="3" t="s">
        <v>453</v>
      </c>
    </row>
    <row r="562" spans="1:7">
      <c r="A562" t="s">
        <v>1457</v>
      </c>
      <c r="B562" s="36">
        <v>46081</v>
      </c>
      <c r="C562" t="s">
        <v>35</v>
      </c>
      <c r="D562" t="s">
        <v>427</v>
      </c>
      <c r="E562" t="s">
        <v>24</v>
      </c>
      <c r="G562" s="3" t="s">
        <v>342</v>
      </c>
    </row>
    <row r="563" spans="1:7">
      <c r="A563" t="s">
        <v>1458</v>
      </c>
      <c r="B563" s="36">
        <v>46081</v>
      </c>
      <c r="C563" t="s">
        <v>37</v>
      </c>
      <c r="D563" t="s">
        <v>370</v>
      </c>
      <c r="E563" t="s">
        <v>25</v>
      </c>
      <c r="G563" s="3" t="s">
        <v>473</v>
      </c>
    </row>
    <row r="564" spans="1:7">
      <c r="A564" t="s">
        <v>1459</v>
      </c>
      <c r="B564" s="36">
        <v>46081</v>
      </c>
      <c r="C564" t="s">
        <v>484</v>
      </c>
      <c r="D564" t="s">
        <v>804</v>
      </c>
      <c r="E564" t="s">
        <v>23</v>
      </c>
      <c r="G564" s="3" t="s">
        <v>1460</v>
      </c>
    </row>
    <row r="565" spans="1:7">
      <c r="A565" t="s">
        <v>1461</v>
      </c>
      <c r="B565" s="36">
        <v>46081</v>
      </c>
      <c r="C565" t="s">
        <v>35</v>
      </c>
      <c r="D565" t="s">
        <v>1351</v>
      </c>
      <c r="E565" t="s">
        <v>24</v>
      </c>
      <c r="G565" s="3" t="s">
        <v>315</v>
      </c>
    </row>
    <row r="566" spans="1:7">
      <c r="A566" t="s">
        <v>1462</v>
      </c>
      <c r="B566" s="36">
        <v>46081</v>
      </c>
      <c r="C566" t="s">
        <v>484</v>
      </c>
      <c r="D566" t="s">
        <v>335</v>
      </c>
      <c r="E566" t="s">
        <v>24</v>
      </c>
      <c r="G566" s="3" t="s">
        <v>1463</v>
      </c>
    </row>
    <row r="567" spans="1:7">
      <c r="A567" t="s">
        <v>1464</v>
      </c>
      <c r="B567" s="36">
        <v>46081</v>
      </c>
      <c r="C567" t="s">
        <v>484</v>
      </c>
      <c r="D567" t="s">
        <v>1465</v>
      </c>
      <c r="E567" t="s">
        <v>24</v>
      </c>
      <c r="G567" s="3" t="s">
        <v>1466</v>
      </c>
    </row>
    <row r="568" spans="1:7">
      <c r="A568" t="s">
        <v>1467</v>
      </c>
      <c r="B568" s="36">
        <v>46081</v>
      </c>
      <c r="C568" t="s">
        <v>484</v>
      </c>
      <c r="D568" t="s">
        <v>335</v>
      </c>
      <c r="E568" t="s">
        <v>24</v>
      </c>
      <c r="G568" s="3" t="s">
        <v>1468</v>
      </c>
    </row>
    <row r="569" spans="1:7">
      <c r="A569" t="s">
        <v>1469</v>
      </c>
      <c r="B569" s="36">
        <v>46081</v>
      </c>
      <c r="C569" t="s">
        <v>484</v>
      </c>
      <c r="D569" t="s">
        <v>1431</v>
      </c>
      <c r="E569" t="s">
        <v>24</v>
      </c>
      <c r="G569" s="3"/>
    </row>
    <row r="570" spans="1:7">
      <c r="A570" t="s">
        <v>1470</v>
      </c>
      <c r="B570" s="36">
        <v>46081</v>
      </c>
      <c r="C570" t="s">
        <v>484</v>
      </c>
      <c r="D570" t="s">
        <v>1020</v>
      </c>
      <c r="E570" t="s">
        <v>24</v>
      </c>
      <c r="G570" s="3"/>
    </row>
    <row r="571" spans="1:7">
      <c r="A571" t="s">
        <v>1471</v>
      </c>
      <c r="B571" s="36">
        <v>46081</v>
      </c>
      <c r="C571" t="s">
        <v>484</v>
      </c>
      <c r="D571" t="s">
        <v>307</v>
      </c>
      <c r="E571" t="s">
        <v>23</v>
      </c>
      <c r="G571" s="3"/>
    </row>
    <row r="572" spans="1:7">
      <c r="A572" t="s">
        <v>1472</v>
      </c>
      <c r="B572" s="36">
        <v>46081</v>
      </c>
      <c r="C572" t="s">
        <v>484</v>
      </c>
      <c r="D572" t="s">
        <v>359</v>
      </c>
      <c r="E572" t="s">
        <v>24</v>
      </c>
      <c r="G572" s="3" t="s">
        <v>1440</v>
      </c>
    </row>
    <row r="573" spans="1:7">
      <c r="A573" t="s">
        <v>1473</v>
      </c>
      <c r="B573" s="36">
        <v>46081</v>
      </c>
      <c r="C573" t="s">
        <v>29</v>
      </c>
      <c r="D573" t="s">
        <v>489</v>
      </c>
      <c r="E573" t="s">
        <v>22</v>
      </c>
      <c r="G573" s="3" t="s">
        <v>1348</v>
      </c>
    </row>
    <row r="574" spans="1:7">
      <c r="A574" t="s">
        <v>1474</v>
      </c>
      <c r="B574" s="36">
        <v>46081</v>
      </c>
      <c r="C574" t="s">
        <v>29</v>
      </c>
      <c r="D574" t="s">
        <v>489</v>
      </c>
      <c r="E574" t="s">
        <v>22</v>
      </c>
      <c r="G574" s="3" t="s">
        <v>152</v>
      </c>
    </row>
    <row r="575" spans="1:7">
      <c r="A575" t="s">
        <v>1475</v>
      </c>
      <c r="B575" s="36">
        <v>46081</v>
      </c>
      <c r="C575" t="s">
        <v>29</v>
      </c>
      <c r="D575" t="s">
        <v>427</v>
      </c>
      <c r="E575" t="s">
        <v>23</v>
      </c>
      <c r="G575" s="3" t="s">
        <v>504</v>
      </c>
    </row>
    <row r="576" spans="1:7">
      <c r="A576" t="s">
        <v>1476</v>
      </c>
      <c r="B576" s="36">
        <v>46081</v>
      </c>
      <c r="C576" t="s">
        <v>35</v>
      </c>
      <c r="D576" t="s">
        <v>304</v>
      </c>
      <c r="E576" t="s">
        <v>24</v>
      </c>
      <c r="G576" s="3"/>
    </row>
    <row r="577" spans="1:7">
      <c r="A577" t="s">
        <v>1477</v>
      </c>
      <c r="B577" s="36">
        <v>46081</v>
      </c>
      <c r="C577" t="s">
        <v>35</v>
      </c>
      <c r="D577" t="s">
        <v>1478</v>
      </c>
      <c r="E577" t="s">
        <v>155</v>
      </c>
      <c r="G577" s="3" t="s">
        <v>1479</v>
      </c>
    </row>
    <row r="578" spans="1:7">
      <c r="A578" t="s">
        <v>1480</v>
      </c>
      <c r="B578" s="36">
        <v>46081</v>
      </c>
      <c r="C578" t="s">
        <v>35</v>
      </c>
      <c r="D578" t="s">
        <v>1478</v>
      </c>
      <c r="E578" t="s">
        <v>155</v>
      </c>
      <c r="G578" s="3" t="s">
        <v>1479</v>
      </c>
    </row>
    <row r="579" spans="1:7">
      <c r="A579" t="s">
        <v>1481</v>
      </c>
      <c r="B579" s="36">
        <v>46081</v>
      </c>
      <c r="C579" t="s">
        <v>35</v>
      </c>
      <c r="D579" t="s">
        <v>1478</v>
      </c>
      <c r="E579" t="s">
        <v>155</v>
      </c>
      <c r="G579" s="3" t="s">
        <v>1479</v>
      </c>
    </row>
    <row r="580" spans="1:7">
      <c r="A580" t="s">
        <v>1482</v>
      </c>
      <c r="B580" s="36">
        <v>46081</v>
      </c>
      <c r="C580" t="s">
        <v>29</v>
      </c>
      <c r="D580" t="s">
        <v>548</v>
      </c>
      <c r="E580" t="s">
        <v>22</v>
      </c>
      <c r="G580" s="3"/>
    </row>
    <row r="581" spans="1:7">
      <c r="A581" t="s">
        <v>1483</v>
      </c>
      <c r="B581" s="36">
        <v>46081</v>
      </c>
      <c r="C581" t="s">
        <v>29</v>
      </c>
      <c r="D581" t="s">
        <v>427</v>
      </c>
      <c r="E581" t="s">
        <v>23</v>
      </c>
      <c r="G581" s="3" t="s">
        <v>504</v>
      </c>
    </row>
    <row r="582" spans="1:7">
      <c r="A582" t="s">
        <v>1484</v>
      </c>
      <c r="B582" s="36">
        <v>46081</v>
      </c>
      <c r="C582" t="s">
        <v>29</v>
      </c>
      <c r="D582" t="s">
        <v>427</v>
      </c>
      <c r="E582" t="s">
        <v>23</v>
      </c>
      <c r="G582" s="3" t="s">
        <v>1485</v>
      </c>
    </row>
    <row r="583" spans="1:7">
      <c r="A583" t="s">
        <v>1486</v>
      </c>
      <c r="B583" s="36">
        <v>46081</v>
      </c>
      <c r="C583" t="s">
        <v>29</v>
      </c>
      <c r="D583" t="s">
        <v>427</v>
      </c>
      <c r="E583" t="s">
        <v>23</v>
      </c>
      <c r="G583" s="3" t="s">
        <v>1485</v>
      </c>
    </row>
    <row r="584" spans="1:7">
      <c r="A584" t="s">
        <v>1487</v>
      </c>
      <c r="B584" s="36">
        <v>46081</v>
      </c>
      <c r="C584" t="s">
        <v>29</v>
      </c>
      <c r="D584" t="s">
        <v>427</v>
      </c>
      <c r="E584" t="s">
        <v>23</v>
      </c>
      <c r="G584" s="3" t="s">
        <v>1488</v>
      </c>
    </row>
    <row r="585" spans="1:7">
      <c r="A585" t="s">
        <v>1489</v>
      </c>
      <c r="B585" s="36">
        <v>46081</v>
      </c>
      <c r="C585" t="s">
        <v>29</v>
      </c>
      <c r="D585" t="s">
        <v>1300</v>
      </c>
      <c r="E585" t="s">
        <v>23</v>
      </c>
      <c r="G585" s="3" t="s">
        <v>496</v>
      </c>
    </row>
    <row r="586" spans="1:7">
      <c r="A586" t="s">
        <v>1490</v>
      </c>
      <c r="B586" s="36">
        <v>46081</v>
      </c>
      <c r="C586" t="s">
        <v>29</v>
      </c>
      <c r="D586" t="s">
        <v>1300</v>
      </c>
      <c r="E586" t="s">
        <v>23</v>
      </c>
      <c r="G586" s="3" t="s">
        <v>502</v>
      </c>
    </row>
    <row r="587" spans="1:7">
      <c r="A587" t="s">
        <v>1491</v>
      </c>
      <c r="B587" s="36">
        <v>46081</v>
      </c>
      <c r="C587" t="s">
        <v>29</v>
      </c>
      <c r="D587" t="s">
        <v>427</v>
      </c>
      <c r="E587" t="s">
        <v>23</v>
      </c>
      <c r="G587" s="3" t="s">
        <v>1492</v>
      </c>
    </row>
    <row r="588" spans="1:7">
      <c r="A588" t="s">
        <v>1493</v>
      </c>
      <c r="B588" s="36">
        <v>46081</v>
      </c>
      <c r="C588" t="s">
        <v>29</v>
      </c>
      <c r="D588" t="s">
        <v>1494</v>
      </c>
      <c r="E588" t="s">
        <v>24</v>
      </c>
      <c r="G588" s="3"/>
    </row>
    <row r="589" spans="1:7">
      <c r="A589" t="s">
        <v>1495</v>
      </c>
      <c r="B589" s="36">
        <v>46081</v>
      </c>
      <c r="C589" t="s">
        <v>29</v>
      </c>
      <c r="D589" t="s">
        <v>427</v>
      </c>
      <c r="E589" t="s">
        <v>23</v>
      </c>
      <c r="G589" s="3" t="s">
        <v>1485</v>
      </c>
    </row>
    <row r="590" spans="1:7">
      <c r="A590" t="s">
        <v>1496</v>
      </c>
      <c r="B590" s="36">
        <v>46081</v>
      </c>
      <c r="C590" t="s">
        <v>29</v>
      </c>
      <c r="D590" t="s">
        <v>1300</v>
      </c>
      <c r="E590" t="s">
        <v>23</v>
      </c>
      <c r="G590" s="3" t="s">
        <v>1485</v>
      </c>
    </row>
    <row r="591" spans="1:7">
      <c r="A591" t="s">
        <v>1497</v>
      </c>
      <c r="B591" s="36">
        <v>46081</v>
      </c>
      <c r="C591" t="s">
        <v>29</v>
      </c>
      <c r="D591" t="s">
        <v>427</v>
      </c>
      <c r="E591" t="s">
        <v>23</v>
      </c>
      <c r="G591" s="3" t="s">
        <v>504</v>
      </c>
    </row>
    <row r="592" spans="1:7">
      <c r="A592" t="s">
        <v>1498</v>
      </c>
      <c r="B592" s="36">
        <v>46081</v>
      </c>
      <c r="C592" t="s">
        <v>29</v>
      </c>
      <c r="D592" t="s">
        <v>427</v>
      </c>
      <c r="E592" t="s">
        <v>23</v>
      </c>
      <c r="G592" s="3" t="s">
        <v>152</v>
      </c>
    </row>
    <row r="593" spans="1:7">
      <c r="A593" t="s">
        <v>1499</v>
      </c>
      <c r="B593" s="36">
        <v>46081</v>
      </c>
      <c r="C593" t="s">
        <v>29</v>
      </c>
      <c r="D593" t="s">
        <v>427</v>
      </c>
      <c r="E593" t="s">
        <v>23</v>
      </c>
      <c r="G593" s="3" t="s">
        <v>1500</v>
      </c>
    </row>
    <row r="594" spans="1:7">
      <c r="A594" t="s">
        <v>1501</v>
      </c>
      <c r="B594" s="36">
        <v>46081</v>
      </c>
      <c r="C594" t="s">
        <v>29</v>
      </c>
      <c r="D594" t="s">
        <v>427</v>
      </c>
      <c r="E594" t="s">
        <v>23</v>
      </c>
      <c r="G594" s="3" t="s">
        <v>1488</v>
      </c>
    </row>
    <row r="595" spans="1:7">
      <c r="A595" t="s">
        <v>1502</v>
      </c>
      <c r="B595" s="36">
        <v>46081</v>
      </c>
      <c r="C595" t="s">
        <v>29</v>
      </c>
      <c r="D595" t="s">
        <v>427</v>
      </c>
      <c r="E595" t="s">
        <v>23</v>
      </c>
      <c r="G595" s="3" t="s">
        <v>515</v>
      </c>
    </row>
    <row r="596" spans="1:7">
      <c r="A596" t="s">
        <v>1503</v>
      </c>
      <c r="B596" s="36">
        <v>46081</v>
      </c>
      <c r="C596" t="s">
        <v>29</v>
      </c>
      <c r="D596" t="s">
        <v>427</v>
      </c>
      <c r="E596" t="s">
        <v>23</v>
      </c>
      <c r="G596" s="3" t="s">
        <v>504</v>
      </c>
    </row>
    <row r="597" spans="1:7">
      <c r="A597" t="s">
        <v>1504</v>
      </c>
      <c r="B597" s="36">
        <v>46081</v>
      </c>
      <c r="C597" t="s">
        <v>29</v>
      </c>
      <c r="D597" t="s">
        <v>427</v>
      </c>
      <c r="E597" t="s">
        <v>23</v>
      </c>
      <c r="G597" s="3" t="s">
        <v>504</v>
      </c>
    </row>
    <row r="598" spans="1:7">
      <c r="A598" t="s">
        <v>1505</v>
      </c>
      <c r="B598" s="36">
        <v>46081</v>
      </c>
      <c r="C598" t="s">
        <v>29</v>
      </c>
      <c r="D598" t="s">
        <v>1300</v>
      </c>
      <c r="E598" t="s">
        <v>23</v>
      </c>
      <c r="G598" s="3" t="s">
        <v>534</v>
      </c>
    </row>
    <row r="599" spans="1:7">
      <c r="A599" t="s">
        <v>1506</v>
      </c>
      <c r="B599" s="36">
        <v>46081</v>
      </c>
      <c r="C599" t="s">
        <v>29</v>
      </c>
      <c r="D599" t="s">
        <v>1350</v>
      </c>
      <c r="E599" t="s">
        <v>23</v>
      </c>
      <c r="G599" s="3"/>
    </row>
    <row r="600" spans="1:7">
      <c r="A600" t="s">
        <v>1507</v>
      </c>
      <c r="B600" s="36">
        <v>46081</v>
      </c>
      <c r="C600" t="s">
        <v>29</v>
      </c>
      <c r="D600" t="s">
        <v>1300</v>
      </c>
      <c r="E600" t="s">
        <v>23</v>
      </c>
      <c r="G600" s="3" t="s">
        <v>517</v>
      </c>
    </row>
    <row r="601" spans="1:7">
      <c r="A601" t="s">
        <v>1508</v>
      </c>
      <c r="B601" s="36">
        <v>46081</v>
      </c>
      <c r="C601" t="s">
        <v>29</v>
      </c>
      <c r="D601" t="s">
        <v>1300</v>
      </c>
      <c r="E601" t="s">
        <v>23</v>
      </c>
      <c r="G601" s="3"/>
    </row>
    <row r="602" spans="1:7">
      <c r="A602" t="s">
        <v>1509</v>
      </c>
      <c r="B602" s="36">
        <v>46081</v>
      </c>
      <c r="C602" t="s">
        <v>29</v>
      </c>
      <c r="D602" t="s">
        <v>427</v>
      </c>
      <c r="E602" t="s">
        <v>23</v>
      </c>
      <c r="G602" s="3" t="s">
        <v>1510</v>
      </c>
    </row>
    <row r="603" spans="1:7">
      <c r="A603" t="s">
        <v>1511</v>
      </c>
      <c r="B603" s="36">
        <v>46081</v>
      </c>
      <c r="C603" t="s">
        <v>35</v>
      </c>
      <c r="D603" t="s">
        <v>427</v>
      </c>
      <c r="E603" t="s">
        <v>24</v>
      </c>
      <c r="G603" s="3" t="s">
        <v>149</v>
      </c>
    </row>
    <row r="604" spans="1:7">
      <c r="A604" t="s">
        <v>1512</v>
      </c>
      <c r="B604" s="36">
        <v>46081</v>
      </c>
      <c r="C604" t="s">
        <v>29</v>
      </c>
      <c r="D604" t="s">
        <v>427</v>
      </c>
      <c r="E604" t="s">
        <v>24</v>
      </c>
      <c r="G604" s="3" t="s">
        <v>149</v>
      </c>
    </row>
    <row r="605" spans="1:7">
      <c r="A605" t="s">
        <v>1513</v>
      </c>
      <c r="B605" s="36">
        <v>46081</v>
      </c>
      <c r="C605" t="s">
        <v>29</v>
      </c>
      <c r="D605" t="s">
        <v>1300</v>
      </c>
      <c r="E605" t="s">
        <v>23</v>
      </c>
      <c r="G605" s="3" t="s">
        <v>1492</v>
      </c>
    </row>
    <row r="606" spans="1:7">
      <c r="A606" t="s">
        <v>1514</v>
      </c>
      <c r="B606" s="36">
        <v>46081</v>
      </c>
      <c r="C606" t="s">
        <v>29</v>
      </c>
      <c r="D606" t="s">
        <v>495</v>
      </c>
      <c r="E606" t="s">
        <v>23</v>
      </c>
      <c r="G606" s="3" t="s">
        <v>152</v>
      </c>
    </row>
    <row r="607" spans="1:7">
      <c r="A607" t="s">
        <v>1515</v>
      </c>
      <c r="B607" s="36">
        <v>46081</v>
      </c>
      <c r="C607" t="s">
        <v>29</v>
      </c>
      <c r="D607" t="s">
        <v>1300</v>
      </c>
      <c r="E607" t="s">
        <v>23</v>
      </c>
      <c r="G607" s="3" t="s">
        <v>512</v>
      </c>
    </row>
    <row r="608" spans="1:7">
      <c r="A608" t="s">
        <v>1516</v>
      </c>
      <c r="B608" s="36">
        <v>46081</v>
      </c>
      <c r="C608" t="s">
        <v>29</v>
      </c>
      <c r="D608" t="s">
        <v>1300</v>
      </c>
      <c r="E608" t="s">
        <v>23</v>
      </c>
      <c r="G608" s="3" t="s">
        <v>1488</v>
      </c>
    </row>
    <row r="609" spans="1:7">
      <c r="A609" t="s">
        <v>1517</v>
      </c>
      <c r="B609" s="36">
        <v>46081</v>
      </c>
      <c r="C609" t="s">
        <v>29</v>
      </c>
      <c r="D609" t="s">
        <v>1300</v>
      </c>
      <c r="E609" t="s">
        <v>23</v>
      </c>
      <c r="G609" s="3" t="s">
        <v>498</v>
      </c>
    </row>
    <row r="610" spans="1:7">
      <c r="A610" t="s">
        <v>1518</v>
      </c>
      <c r="B610" s="36">
        <v>46081</v>
      </c>
      <c r="C610" t="s">
        <v>29</v>
      </c>
      <c r="D610" t="s">
        <v>1300</v>
      </c>
      <c r="E610" t="s">
        <v>23</v>
      </c>
      <c r="G610" s="3" t="s">
        <v>1045</v>
      </c>
    </row>
    <row r="611" spans="1:7">
      <c r="A611" t="s">
        <v>1519</v>
      </c>
      <c r="B611" s="36">
        <v>46081</v>
      </c>
      <c r="C611" t="s">
        <v>29</v>
      </c>
      <c r="D611" t="s">
        <v>1300</v>
      </c>
      <c r="E611" t="s">
        <v>23</v>
      </c>
      <c r="G611" s="3" t="s">
        <v>1488</v>
      </c>
    </row>
    <row r="612" spans="1:7">
      <c r="A612" t="s">
        <v>1520</v>
      </c>
      <c r="B612" s="36">
        <v>46081</v>
      </c>
      <c r="C612" t="s">
        <v>29</v>
      </c>
      <c r="D612" t="s">
        <v>427</v>
      </c>
      <c r="E612" t="s">
        <v>24</v>
      </c>
      <c r="G612" s="3" t="s">
        <v>385</v>
      </c>
    </row>
    <row r="613" spans="1:7">
      <c r="A613" t="s">
        <v>1521</v>
      </c>
      <c r="B613" s="36">
        <v>46081</v>
      </c>
      <c r="C613" t="s">
        <v>29</v>
      </c>
      <c r="D613" t="s">
        <v>427</v>
      </c>
      <c r="E613" t="s">
        <v>24</v>
      </c>
      <c r="G613" s="3" t="s">
        <v>342</v>
      </c>
    </row>
    <row r="614" spans="1:7">
      <c r="A614" t="s">
        <v>1522</v>
      </c>
      <c r="B614" s="36">
        <v>46081</v>
      </c>
      <c r="C614" t="s">
        <v>29</v>
      </c>
      <c r="D614" t="s">
        <v>495</v>
      </c>
      <c r="E614" t="s">
        <v>23</v>
      </c>
      <c r="G614" s="3" t="s">
        <v>1523</v>
      </c>
    </row>
    <row r="615" spans="1:7">
      <c r="A615" t="s">
        <v>1524</v>
      </c>
      <c r="B615" s="36">
        <v>46081</v>
      </c>
      <c r="C615" t="s">
        <v>29</v>
      </c>
      <c r="D615" t="s">
        <v>359</v>
      </c>
      <c r="E615" t="s">
        <v>24</v>
      </c>
      <c r="G615" s="3" t="s">
        <v>1525</v>
      </c>
    </row>
    <row r="616" spans="1:7">
      <c r="A616" t="s">
        <v>1526</v>
      </c>
      <c r="B616" s="36">
        <v>46081</v>
      </c>
      <c r="C616" t="s">
        <v>29</v>
      </c>
      <c r="D616" t="s">
        <v>427</v>
      </c>
      <c r="E616" t="s">
        <v>23</v>
      </c>
      <c r="G616" s="3" t="s">
        <v>504</v>
      </c>
    </row>
    <row r="617" spans="1:7">
      <c r="A617" t="s">
        <v>1527</v>
      </c>
      <c r="B617" s="36">
        <v>46081</v>
      </c>
      <c r="C617" t="s">
        <v>29</v>
      </c>
      <c r="D617" t="s">
        <v>504</v>
      </c>
      <c r="E617" t="s">
        <v>23</v>
      </c>
      <c r="G617" s="3" t="s">
        <v>1528</v>
      </c>
    </row>
    <row r="618" spans="1:7">
      <c r="A618" t="s">
        <v>1529</v>
      </c>
      <c r="B618" s="36">
        <v>46081</v>
      </c>
      <c r="C618" t="s">
        <v>29</v>
      </c>
      <c r="D618" t="s">
        <v>427</v>
      </c>
      <c r="E618" t="s">
        <v>23</v>
      </c>
      <c r="G618" s="3" t="s">
        <v>152</v>
      </c>
    </row>
    <row r="619" spans="1:7">
      <c r="A619" t="s">
        <v>1530</v>
      </c>
      <c r="B619" s="36">
        <v>46081</v>
      </c>
      <c r="C619" t="s">
        <v>35</v>
      </c>
      <c r="D619" t="s">
        <v>1351</v>
      </c>
      <c r="E619" t="s">
        <v>24</v>
      </c>
      <c r="G619" s="3" t="s">
        <v>1531</v>
      </c>
    </row>
    <row r="620" spans="1:7">
      <c r="A620" t="s">
        <v>1532</v>
      </c>
      <c r="B620" s="36">
        <v>46081</v>
      </c>
      <c r="C620" t="s">
        <v>29</v>
      </c>
      <c r="D620" t="s">
        <v>489</v>
      </c>
      <c r="E620" t="s">
        <v>22</v>
      </c>
      <c r="G620" s="3"/>
    </row>
    <row r="621" spans="1:7">
      <c r="A621" t="s">
        <v>1533</v>
      </c>
      <c r="B621" s="36">
        <v>46081</v>
      </c>
      <c r="C621" t="s">
        <v>29</v>
      </c>
      <c r="D621" t="s">
        <v>1348</v>
      </c>
      <c r="E621" t="s">
        <v>22</v>
      </c>
      <c r="G621" s="3"/>
    </row>
    <row r="622" spans="1:7">
      <c r="A622" t="s">
        <v>1534</v>
      </c>
      <c r="B622" s="36">
        <v>46081</v>
      </c>
      <c r="C622" t="s">
        <v>29</v>
      </c>
      <c r="D622" t="s">
        <v>307</v>
      </c>
      <c r="E622" t="s">
        <v>23</v>
      </c>
      <c r="G622" s="3"/>
    </row>
    <row r="623" spans="1:7">
      <c r="A623" t="s">
        <v>1535</v>
      </c>
      <c r="B623" s="36">
        <v>46081</v>
      </c>
      <c r="C623" t="s">
        <v>29</v>
      </c>
      <c r="D623" t="s">
        <v>1418</v>
      </c>
      <c r="E623" t="s">
        <v>24</v>
      </c>
      <c r="G623" s="3"/>
    </row>
    <row r="624" spans="1:7">
      <c r="A624" t="s">
        <v>1536</v>
      </c>
      <c r="B624" s="36">
        <v>46081</v>
      </c>
      <c r="C624" t="s">
        <v>29</v>
      </c>
      <c r="D624" t="s">
        <v>152</v>
      </c>
      <c r="E624" t="s">
        <v>22</v>
      </c>
      <c r="G624" s="3"/>
    </row>
    <row r="625" spans="1:7">
      <c r="A625" t="s">
        <v>1537</v>
      </c>
      <c r="B625" s="36">
        <v>46081</v>
      </c>
      <c r="C625" t="s">
        <v>29</v>
      </c>
      <c r="D625" t="s">
        <v>1418</v>
      </c>
      <c r="E625" t="s">
        <v>24</v>
      </c>
      <c r="G625" s="3"/>
    </row>
    <row r="626" spans="1:7">
      <c r="A626" t="s">
        <v>1538</v>
      </c>
      <c r="B626" s="36">
        <v>46081</v>
      </c>
      <c r="C626" t="s">
        <v>29</v>
      </c>
      <c r="D626" t="s">
        <v>1948</v>
      </c>
      <c r="E626" t="s">
        <v>23</v>
      </c>
      <c r="G626" s="3" t="s">
        <v>152</v>
      </c>
    </row>
    <row r="627" spans="1:7">
      <c r="A627" t="s">
        <v>1539</v>
      </c>
      <c r="B627" s="36">
        <v>46081</v>
      </c>
      <c r="C627" t="s">
        <v>29</v>
      </c>
      <c r="D627" t="s">
        <v>504</v>
      </c>
      <c r="E627" t="s">
        <v>23</v>
      </c>
      <c r="G627" s="3" t="s">
        <v>521</v>
      </c>
    </row>
    <row r="628" spans="1:7">
      <c r="A628" t="s">
        <v>1540</v>
      </c>
      <c r="B628" s="36">
        <v>46081</v>
      </c>
      <c r="C628" t="s">
        <v>29</v>
      </c>
      <c r="D628" t="s">
        <v>359</v>
      </c>
      <c r="E628" t="s">
        <v>24</v>
      </c>
      <c r="G628" s="3" t="s">
        <v>1440</v>
      </c>
    </row>
    <row r="629" spans="1:7">
      <c r="A629" t="s">
        <v>1541</v>
      </c>
      <c r="B629" s="36">
        <v>46081</v>
      </c>
      <c r="C629" t="s">
        <v>35</v>
      </c>
      <c r="D629" t="s">
        <v>359</v>
      </c>
      <c r="E629" t="s">
        <v>24</v>
      </c>
      <c r="G629" s="3" t="s">
        <v>1440</v>
      </c>
    </row>
    <row r="630" spans="1:7">
      <c r="A630" t="s">
        <v>1542</v>
      </c>
      <c r="B630" s="36">
        <v>46081</v>
      </c>
      <c r="C630" t="s">
        <v>29</v>
      </c>
      <c r="D630" t="s">
        <v>877</v>
      </c>
      <c r="E630" t="s">
        <v>24</v>
      </c>
      <c r="G630" s="3"/>
    </row>
    <row r="631" spans="1:7">
      <c r="A631" t="s">
        <v>1543</v>
      </c>
      <c r="B631" s="36">
        <v>46081</v>
      </c>
      <c r="C631" t="s">
        <v>29</v>
      </c>
      <c r="D631" t="s">
        <v>495</v>
      </c>
      <c r="E631" t="s">
        <v>23</v>
      </c>
      <c r="G631" s="3" t="s">
        <v>152</v>
      </c>
    </row>
    <row r="632" spans="1:7">
      <c r="A632" t="s">
        <v>1544</v>
      </c>
      <c r="B632" s="36">
        <v>46081</v>
      </c>
      <c r="C632" t="s">
        <v>29</v>
      </c>
      <c r="D632" t="s">
        <v>504</v>
      </c>
      <c r="E632" t="s">
        <v>23</v>
      </c>
      <c r="G632" s="3" t="s">
        <v>1485</v>
      </c>
    </row>
    <row r="633" spans="1:7">
      <c r="A633" t="s">
        <v>1545</v>
      </c>
      <c r="B633" s="36">
        <v>46081</v>
      </c>
      <c r="C633" t="s">
        <v>29</v>
      </c>
      <c r="D633" t="s">
        <v>504</v>
      </c>
      <c r="E633" t="s">
        <v>23</v>
      </c>
      <c r="G633" s="3" t="s">
        <v>1485</v>
      </c>
    </row>
    <row r="634" spans="1:7">
      <c r="A634" t="s">
        <v>1546</v>
      </c>
      <c r="B634" s="36">
        <v>46081</v>
      </c>
      <c r="C634" t="s">
        <v>29</v>
      </c>
      <c r="D634" t="s">
        <v>504</v>
      </c>
      <c r="E634" t="s">
        <v>23</v>
      </c>
      <c r="G634" s="3" t="s">
        <v>515</v>
      </c>
    </row>
    <row r="635" spans="1:7">
      <c r="A635" t="s">
        <v>1547</v>
      </c>
      <c r="B635" s="36">
        <v>46081</v>
      </c>
      <c r="C635" t="s">
        <v>29</v>
      </c>
      <c r="D635" t="s">
        <v>504</v>
      </c>
      <c r="E635" t="s">
        <v>23</v>
      </c>
      <c r="G635" s="3" t="s">
        <v>1485</v>
      </c>
    </row>
    <row r="636" spans="1:7">
      <c r="A636" t="s">
        <v>1548</v>
      </c>
      <c r="B636" s="36">
        <v>46081</v>
      </c>
      <c r="C636" t="s">
        <v>29</v>
      </c>
      <c r="D636" t="s">
        <v>504</v>
      </c>
      <c r="E636" t="s">
        <v>23</v>
      </c>
      <c r="G636" s="3" t="s">
        <v>1510</v>
      </c>
    </row>
    <row r="637" spans="1:7">
      <c r="A637" t="s">
        <v>1549</v>
      </c>
      <c r="B637" s="36">
        <v>46081</v>
      </c>
      <c r="C637" t="s">
        <v>29</v>
      </c>
      <c r="D637" t="s">
        <v>877</v>
      </c>
      <c r="E637" t="s">
        <v>24</v>
      </c>
      <c r="G637" s="3"/>
    </row>
    <row r="638" spans="1:7">
      <c r="A638" t="s">
        <v>1550</v>
      </c>
      <c r="B638" s="36">
        <v>46081</v>
      </c>
      <c r="C638" t="s">
        <v>29</v>
      </c>
      <c r="D638" t="s">
        <v>489</v>
      </c>
      <c r="E638" t="s">
        <v>22</v>
      </c>
      <c r="G638" s="3"/>
    </row>
    <row r="639" spans="1:7">
      <c r="A639" t="s">
        <v>1551</v>
      </c>
      <c r="B639" s="36">
        <v>46081</v>
      </c>
      <c r="C639" t="s">
        <v>35</v>
      </c>
      <c r="D639" t="s">
        <v>304</v>
      </c>
      <c r="E639" t="s">
        <v>24</v>
      </c>
      <c r="G639" s="3"/>
    </row>
    <row r="640" spans="1:7">
      <c r="A640" t="s">
        <v>1552</v>
      </c>
      <c r="B640" s="36">
        <v>46081</v>
      </c>
      <c r="C640" t="s">
        <v>29</v>
      </c>
      <c r="D640" t="s">
        <v>1350</v>
      </c>
      <c r="E640" t="s">
        <v>23</v>
      </c>
      <c r="G640" s="3" t="s">
        <v>528</v>
      </c>
    </row>
    <row r="641" spans="1:7">
      <c r="A641" t="s">
        <v>1553</v>
      </c>
      <c r="B641" s="36">
        <v>46081</v>
      </c>
      <c r="C641" t="s">
        <v>29</v>
      </c>
      <c r="D641" t="s">
        <v>1431</v>
      </c>
      <c r="E641" t="s">
        <v>24</v>
      </c>
      <c r="G641" s="3" t="s">
        <v>658</v>
      </c>
    </row>
    <row r="642" spans="1:7">
      <c r="A642" t="s">
        <v>1554</v>
      </c>
      <c r="B642" s="36">
        <v>46081</v>
      </c>
      <c r="C642" t="s">
        <v>29</v>
      </c>
      <c r="D642" t="s">
        <v>548</v>
      </c>
      <c r="E642" t="s">
        <v>22</v>
      </c>
      <c r="G642" s="3"/>
    </row>
    <row r="643" spans="1:7">
      <c r="A643" t="s">
        <v>1555</v>
      </c>
      <c r="B643" s="36">
        <v>46081</v>
      </c>
      <c r="C643" t="s">
        <v>29</v>
      </c>
      <c r="D643" t="s">
        <v>1350</v>
      </c>
      <c r="E643" t="s">
        <v>23</v>
      </c>
      <c r="G643" s="3" t="s">
        <v>528</v>
      </c>
    </row>
    <row r="644" spans="1:7">
      <c r="A644" t="s">
        <v>1556</v>
      </c>
      <c r="B644" s="36">
        <v>46081</v>
      </c>
      <c r="C644" t="s">
        <v>35</v>
      </c>
      <c r="D644" t="s">
        <v>427</v>
      </c>
      <c r="E644" t="s">
        <v>24</v>
      </c>
      <c r="G644" s="3" t="s">
        <v>149</v>
      </c>
    </row>
    <row r="645" spans="1:7">
      <c r="A645" t="s">
        <v>1557</v>
      </c>
      <c r="B645" s="36">
        <v>46081</v>
      </c>
      <c r="C645" t="s">
        <v>29</v>
      </c>
      <c r="D645" t="s">
        <v>427</v>
      </c>
      <c r="E645" t="s">
        <v>24</v>
      </c>
      <c r="G645" s="3" t="s">
        <v>342</v>
      </c>
    </row>
    <row r="646" spans="1:7">
      <c r="A646" t="s">
        <v>1558</v>
      </c>
      <c r="B646" s="36">
        <v>46081</v>
      </c>
      <c r="C646" t="s">
        <v>37</v>
      </c>
      <c r="D646" t="s">
        <v>370</v>
      </c>
      <c r="E646" t="s">
        <v>25</v>
      </c>
      <c r="G646" s="3" t="s">
        <v>1559</v>
      </c>
    </row>
    <row r="647" spans="1:7">
      <c r="A647" t="s">
        <v>1560</v>
      </c>
      <c r="B647" s="36">
        <v>46081</v>
      </c>
      <c r="C647" t="s">
        <v>29</v>
      </c>
      <c r="D647" t="s">
        <v>489</v>
      </c>
      <c r="E647" t="s">
        <v>22</v>
      </c>
      <c r="G647" s="3"/>
    </row>
    <row r="648" spans="1:7">
      <c r="A648" t="s">
        <v>1561</v>
      </c>
      <c r="B648" s="36">
        <v>46081</v>
      </c>
      <c r="C648" t="s">
        <v>29</v>
      </c>
      <c r="D648" t="s">
        <v>427</v>
      </c>
      <c r="E648" t="s">
        <v>24</v>
      </c>
      <c r="G648" s="3" t="s">
        <v>385</v>
      </c>
    </row>
    <row r="649" spans="1:7">
      <c r="A649" t="s">
        <v>1562</v>
      </c>
      <c r="B649" s="36">
        <v>46081</v>
      </c>
      <c r="C649" t="s">
        <v>35</v>
      </c>
      <c r="D649" t="s">
        <v>396</v>
      </c>
      <c r="E649" t="s">
        <v>25</v>
      </c>
      <c r="G649" s="3"/>
    </row>
    <row r="650" spans="1:7">
      <c r="A650" t="s">
        <v>1563</v>
      </c>
      <c r="B650" s="36">
        <v>46081</v>
      </c>
      <c r="C650" t="s">
        <v>35</v>
      </c>
      <c r="D650" t="s">
        <v>1351</v>
      </c>
      <c r="E650" t="s">
        <v>24</v>
      </c>
      <c r="G650" s="3" t="s">
        <v>1531</v>
      </c>
    </row>
    <row r="651" spans="1:7">
      <c r="A651" t="s">
        <v>1564</v>
      </c>
      <c r="B651" s="36">
        <v>46081</v>
      </c>
      <c r="C651" t="s">
        <v>33</v>
      </c>
      <c r="D651" t="s">
        <v>1291</v>
      </c>
      <c r="E651" t="s">
        <v>24</v>
      </c>
      <c r="G651" s="3" t="s">
        <v>1565</v>
      </c>
    </row>
    <row r="652" spans="1:7">
      <c r="A652" t="s">
        <v>1566</v>
      </c>
      <c r="B652" s="36">
        <v>46081</v>
      </c>
      <c r="C652" t="s">
        <v>29</v>
      </c>
      <c r="D652" t="s">
        <v>1348</v>
      </c>
      <c r="E652" t="s">
        <v>22</v>
      </c>
      <c r="G652" s="3" t="s">
        <v>1567</v>
      </c>
    </row>
    <row r="653" spans="1:7">
      <c r="A653" t="s">
        <v>1568</v>
      </c>
      <c r="B653" s="36">
        <v>46081</v>
      </c>
      <c r="C653" t="s">
        <v>29</v>
      </c>
      <c r="D653" t="s">
        <v>307</v>
      </c>
      <c r="E653" t="s">
        <v>23</v>
      </c>
      <c r="G653" s="3"/>
    </row>
    <row r="654" spans="1:7">
      <c r="A654" t="s">
        <v>1569</v>
      </c>
      <c r="B654" s="36">
        <v>46081</v>
      </c>
      <c r="C654" t="s">
        <v>29</v>
      </c>
      <c r="D654" t="s">
        <v>1418</v>
      </c>
      <c r="E654" t="s">
        <v>24</v>
      </c>
      <c r="G654" s="3"/>
    </row>
    <row r="655" spans="1:7">
      <c r="A655" t="s">
        <v>1570</v>
      </c>
      <c r="B655" s="36">
        <v>46081</v>
      </c>
      <c r="C655" t="s">
        <v>29</v>
      </c>
      <c r="D655" t="s">
        <v>877</v>
      </c>
      <c r="E655" t="s">
        <v>24</v>
      </c>
      <c r="G655" s="3"/>
    </row>
    <row r="656" spans="1:7">
      <c r="A656" t="s">
        <v>1571</v>
      </c>
      <c r="B656" s="36">
        <v>46081</v>
      </c>
      <c r="C656" t="s">
        <v>35</v>
      </c>
      <c r="D656" t="s">
        <v>359</v>
      </c>
      <c r="E656" t="s">
        <v>24</v>
      </c>
      <c r="G656" s="3" t="s">
        <v>1440</v>
      </c>
    </row>
    <row r="657" spans="1:7">
      <c r="A657" t="s">
        <v>1572</v>
      </c>
      <c r="B657" s="36">
        <v>46081</v>
      </c>
      <c r="C657" t="s">
        <v>29</v>
      </c>
      <c r="D657" t="s">
        <v>489</v>
      </c>
      <c r="E657" t="s">
        <v>22</v>
      </c>
      <c r="G657" s="3"/>
    </row>
    <row r="658" spans="1:7">
      <c r="A658" t="s">
        <v>1573</v>
      </c>
      <c r="B658" s="36">
        <v>46081</v>
      </c>
      <c r="C658" t="s">
        <v>35</v>
      </c>
      <c r="D658" t="s">
        <v>304</v>
      </c>
      <c r="E658" t="s">
        <v>24</v>
      </c>
      <c r="G658" s="3"/>
    </row>
    <row r="659" spans="1:7">
      <c r="A659" t="s">
        <v>1574</v>
      </c>
      <c r="B659" s="36">
        <v>46081</v>
      </c>
      <c r="C659" t="s">
        <v>29</v>
      </c>
      <c r="D659" t="s">
        <v>427</v>
      </c>
      <c r="E659" t="s">
        <v>23</v>
      </c>
      <c r="G659" s="3" t="s">
        <v>145</v>
      </c>
    </row>
    <row r="660" spans="1:7">
      <c r="A660" t="s">
        <v>1575</v>
      </c>
      <c r="B660" s="36">
        <v>46081</v>
      </c>
      <c r="C660" t="s">
        <v>29</v>
      </c>
      <c r="D660" t="s">
        <v>427</v>
      </c>
      <c r="E660" t="s">
        <v>24</v>
      </c>
      <c r="G660" s="3" t="s">
        <v>1576</v>
      </c>
    </row>
    <row r="661" spans="1:7">
      <c r="A661" t="s">
        <v>1577</v>
      </c>
      <c r="B661" s="36">
        <v>46081</v>
      </c>
      <c r="C661" t="s">
        <v>29</v>
      </c>
      <c r="D661" t="s">
        <v>1431</v>
      </c>
      <c r="E661" t="s">
        <v>24</v>
      </c>
      <c r="G661" s="3" t="s">
        <v>1578</v>
      </c>
    </row>
    <row r="662" spans="1:7">
      <c r="A662" t="s">
        <v>1579</v>
      </c>
      <c r="B662" s="36">
        <v>46081</v>
      </c>
      <c r="C662" t="s">
        <v>29</v>
      </c>
      <c r="D662" t="s">
        <v>548</v>
      </c>
      <c r="E662" t="s">
        <v>22</v>
      </c>
      <c r="G662" s="3"/>
    </row>
    <row r="663" spans="1:7">
      <c r="A663" t="s">
        <v>1580</v>
      </c>
      <c r="B663" s="36">
        <v>46081</v>
      </c>
      <c r="C663" t="s">
        <v>29</v>
      </c>
      <c r="D663" t="s">
        <v>427</v>
      </c>
      <c r="E663" t="s">
        <v>24</v>
      </c>
      <c r="G663" s="3" t="s">
        <v>1581</v>
      </c>
    </row>
    <row r="664" spans="1:7">
      <c r="A664" t="s">
        <v>1582</v>
      </c>
      <c r="B664" s="36">
        <v>46081</v>
      </c>
      <c r="C664" t="s">
        <v>29</v>
      </c>
      <c r="D664" t="s">
        <v>427</v>
      </c>
      <c r="E664" t="s">
        <v>24</v>
      </c>
      <c r="G664" s="3" t="s">
        <v>1583</v>
      </c>
    </row>
    <row r="665" spans="1:7">
      <c r="A665" t="s">
        <v>1584</v>
      </c>
      <c r="B665" s="36">
        <v>46081</v>
      </c>
      <c r="C665" t="s">
        <v>29</v>
      </c>
      <c r="D665" t="s">
        <v>427</v>
      </c>
      <c r="E665" t="s">
        <v>24</v>
      </c>
      <c r="G665" s="3" t="s">
        <v>612</v>
      </c>
    </row>
    <row r="666" spans="1:7">
      <c r="A666" t="s">
        <v>1585</v>
      </c>
      <c r="B666" s="36">
        <v>46081</v>
      </c>
      <c r="C666" t="s">
        <v>29</v>
      </c>
      <c r="D666" t="s">
        <v>1313</v>
      </c>
      <c r="E666" t="s">
        <v>24</v>
      </c>
      <c r="G666" s="3" t="s">
        <v>605</v>
      </c>
    </row>
    <row r="667" spans="1:7">
      <c r="A667" t="s">
        <v>1586</v>
      </c>
      <c r="B667" s="36">
        <v>46081</v>
      </c>
      <c r="C667" t="s">
        <v>29</v>
      </c>
      <c r="D667" t="s">
        <v>1020</v>
      </c>
      <c r="E667" t="s">
        <v>24</v>
      </c>
      <c r="G667" s="3"/>
    </row>
    <row r="668" spans="1:7">
      <c r="A668" t="s">
        <v>1587</v>
      </c>
      <c r="B668" s="36">
        <v>46081</v>
      </c>
      <c r="C668" t="s">
        <v>29</v>
      </c>
      <c r="D668" t="s">
        <v>427</v>
      </c>
      <c r="E668" t="s">
        <v>24</v>
      </c>
      <c r="G668" s="3" t="s">
        <v>1020</v>
      </c>
    </row>
    <row r="669" spans="1:7">
      <c r="A669" t="s">
        <v>1588</v>
      </c>
      <c r="B669" s="36">
        <v>46081</v>
      </c>
      <c r="C669" t="s">
        <v>29</v>
      </c>
      <c r="D669" t="s">
        <v>427</v>
      </c>
      <c r="E669" t="s">
        <v>24</v>
      </c>
      <c r="G669" s="3" t="s">
        <v>149</v>
      </c>
    </row>
    <row r="670" spans="1:7">
      <c r="A670" t="s">
        <v>1589</v>
      </c>
      <c r="B670" s="36">
        <v>46081</v>
      </c>
      <c r="C670" t="s">
        <v>29</v>
      </c>
      <c r="D670" t="s">
        <v>427</v>
      </c>
      <c r="E670" t="s">
        <v>24</v>
      </c>
      <c r="G670" s="3" t="s">
        <v>681</v>
      </c>
    </row>
    <row r="671" spans="1:7">
      <c r="A671" t="s">
        <v>1590</v>
      </c>
      <c r="B671" s="36">
        <v>46081</v>
      </c>
      <c r="C671" t="s">
        <v>29</v>
      </c>
      <c r="D671" t="s">
        <v>427</v>
      </c>
      <c r="E671" t="s">
        <v>24</v>
      </c>
      <c r="G671" s="3" t="s">
        <v>342</v>
      </c>
    </row>
    <row r="672" spans="1:7">
      <c r="A672" t="s">
        <v>1591</v>
      </c>
      <c r="B672" s="36">
        <v>46081</v>
      </c>
      <c r="C672" t="s">
        <v>29</v>
      </c>
      <c r="D672" t="s">
        <v>427</v>
      </c>
      <c r="E672" t="s">
        <v>24</v>
      </c>
      <c r="G672" s="3" t="s">
        <v>385</v>
      </c>
    </row>
    <row r="673" spans="1:7">
      <c r="A673" t="s">
        <v>1592</v>
      </c>
      <c r="B673" s="36">
        <v>46081</v>
      </c>
      <c r="C673" t="s">
        <v>35</v>
      </c>
      <c r="D673" t="s">
        <v>1351</v>
      </c>
      <c r="E673" t="s">
        <v>24</v>
      </c>
      <c r="G673" s="3" t="s">
        <v>315</v>
      </c>
    </row>
    <row r="674" spans="1:7">
      <c r="A674" t="s">
        <v>1593</v>
      </c>
      <c r="B674" s="36">
        <v>46081</v>
      </c>
      <c r="C674" t="s">
        <v>29</v>
      </c>
      <c r="D674" t="s">
        <v>489</v>
      </c>
      <c r="E674" t="s">
        <v>22</v>
      </c>
      <c r="G674" s="3"/>
    </row>
    <row r="675" spans="1:7">
      <c r="A675" t="s">
        <v>1594</v>
      </c>
      <c r="B675" s="36">
        <v>46081</v>
      </c>
      <c r="C675" t="s">
        <v>35</v>
      </c>
      <c r="D675" t="s">
        <v>381</v>
      </c>
      <c r="E675" t="s">
        <v>25</v>
      </c>
      <c r="G675" s="3" t="s">
        <v>551</v>
      </c>
    </row>
    <row r="676" spans="1:7">
      <c r="A676" t="s">
        <v>1595</v>
      </c>
      <c r="B676" s="36">
        <v>46081</v>
      </c>
      <c r="C676" t="s">
        <v>29</v>
      </c>
      <c r="D676" t="s">
        <v>1418</v>
      </c>
      <c r="E676" t="s">
        <v>24</v>
      </c>
      <c r="G676" s="3" t="s">
        <v>1596</v>
      </c>
    </row>
    <row r="677" spans="1:7">
      <c r="A677" t="s">
        <v>1597</v>
      </c>
      <c r="B677" s="36">
        <v>46081</v>
      </c>
      <c r="C677" t="s">
        <v>29</v>
      </c>
      <c r="D677" t="s">
        <v>1418</v>
      </c>
      <c r="E677" t="s">
        <v>24</v>
      </c>
      <c r="G677" s="3"/>
    </row>
    <row r="678" spans="1:7">
      <c r="A678" t="s">
        <v>1598</v>
      </c>
      <c r="B678" s="36">
        <v>46081</v>
      </c>
      <c r="C678" t="s">
        <v>29</v>
      </c>
      <c r="D678" t="s">
        <v>1465</v>
      </c>
      <c r="E678" t="s">
        <v>24</v>
      </c>
      <c r="G678" s="3" t="s">
        <v>608</v>
      </c>
    </row>
    <row r="679" spans="1:7">
      <c r="A679" t="s">
        <v>1599</v>
      </c>
      <c r="B679" s="36">
        <v>46081</v>
      </c>
      <c r="C679" t="s">
        <v>29</v>
      </c>
      <c r="D679" t="s">
        <v>1465</v>
      </c>
      <c r="E679" t="s">
        <v>24</v>
      </c>
      <c r="G679" s="3" t="s">
        <v>608</v>
      </c>
    </row>
    <row r="680" spans="1:7">
      <c r="A680" t="s">
        <v>1600</v>
      </c>
      <c r="B680" s="36">
        <v>46081</v>
      </c>
      <c r="C680" t="s">
        <v>35</v>
      </c>
      <c r="D680" t="s">
        <v>444</v>
      </c>
      <c r="E680" t="s">
        <v>24</v>
      </c>
      <c r="G680" s="3" t="s">
        <v>1601</v>
      </c>
    </row>
    <row r="681" spans="1:7">
      <c r="A681" t="s">
        <v>1602</v>
      </c>
      <c r="B681" s="36">
        <v>46081</v>
      </c>
      <c r="C681" t="s">
        <v>29</v>
      </c>
      <c r="D681" t="s">
        <v>572</v>
      </c>
      <c r="E681" t="s">
        <v>23</v>
      </c>
      <c r="G681" s="3" t="s">
        <v>638</v>
      </c>
    </row>
    <row r="682" spans="1:7">
      <c r="A682" t="s">
        <v>1603</v>
      </c>
      <c r="B682" s="36">
        <v>46081</v>
      </c>
      <c r="C682" t="s">
        <v>29</v>
      </c>
      <c r="D682" t="s">
        <v>151</v>
      </c>
      <c r="E682" t="s">
        <v>22</v>
      </c>
      <c r="G682" s="3" t="s">
        <v>638</v>
      </c>
    </row>
    <row r="683" spans="1:7">
      <c r="A683" t="s">
        <v>1604</v>
      </c>
      <c r="B683" s="36">
        <v>46081</v>
      </c>
      <c r="C683" t="s">
        <v>29</v>
      </c>
      <c r="D683" t="s">
        <v>151</v>
      </c>
      <c r="E683" t="s">
        <v>22</v>
      </c>
      <c r="G683" s="3"/>
    </row>
    <row r="684" spans="1:7">
      <c r="A684" t="s">
        <v>1605</v>
      </c>
      <c r="B684" s="36">
        <v>46081</v>
      </c>
      <c r="C684" t="s">
        <v>29</v>
      </c>
      <c r="D684" t="s">
        <v>1418</v>
      </c>
      <c r="E684" t="s">
        <v>24</v>
      </c>
      <c r="G684" s="3"/>
    </row>
    <row r="685" spans="1:7">
      <c r="A685" t="s">
        <v>1606</v>
      </c>
      <c r="B685" s="36">
        <v>46081</v>
      </c>
      <c r="C685" t="s">
        <v>29</v>
      </c>
      <c r="D685" t="s">
        <v>307</v>
      </c>
      <c r="E685" t="s">
        <v>23</v>
      </c>
      <c r="G685" s="3"/>
    </row>
    <row r="686" spans="1:7">
      <c r="A686" t="s">
        <v>1607</v>
      </c>
      <c r="B686" s="36">
        <v>46081</v>
      </c>
      <c r="C686" t="s">
        <v>29</v>
      </c>
      <c r="D686" t="s">
        <v>877</v>
      </c>
      <c r="E686" t="s">
        <v>24</v>
      </c>
      <c r="G686" s="3"/>
    </row>
    <row r="687" spans="1:7">
      <c r="A687" t="s">
        <v>1608</v>
      </c>
      <c r="B687" s="36">
        <v>46081</v>
      </c>
      <c r="C687" t="s">
        <v>29</v>
      </c>
      <c r="D687" t="s">
        <v>359</v>
      </c>
      <c r="E687" t="s">
        <v>24</v>
      </c>
      <c r="G687" s="3"/>
    </row>
    <row r="688" spans="1:7">
      <c r="A688" t="s">
        <v>1609</v>
      </c>
      <c r="B688" s="36">
        <v>46081</v>
      </c>
      <c r="C688" t="s">
        <v>29</v>
      </c>
      <c r="D688" t="s">
        <v>1948</v>
      </c>
      <c r="E688" t="s">
        <v>23</v>
      </c>
      <c r="G688" s="3" t="s">
        <v>638</v>
      </c>
    </row>
    <row r="689" spans="1:7">
      <c r="A689" t="s">
        <v>1610</v>
      </c>
      <c r="B689" s="36">
        <v>46081</v>
      </c>
      <c r="C689" t="s">
        <v>29</v>
      </c>
      <c r="D689" t="s">
        <v>387</v>
      </c>
      <c r="E689" t="s">
        <v>22</v>
      </c>
      <c r="G689" s="3" t="s">
        <v>1611</v>
      </c>
    </row>
    <row r="690" spans="1:7">
      <c r="A690" t="s">
        <v>1612</v>
      </c>
      <c r="B690" s="36">
        <v>46081</v>
      </c>
      <c r="C690" t="s">
        <v>29</v>
      </c>
      <c r="D690" t="s">
        <v>1948</v>
      </c>
      <c r="E690" t="s">
        <v>23</v>
      </c>
      <c r="G690" s="3" t="s">
        <v>1625</v>
      </c>
    </row>
    <row r="691" spans="1:7">
      <c r="A691" t="s">
        <v>1613</v>
      </c>
      <c r="B691" s="36">
        <v>46081</v>
      </c>
      <c r="C691" t="s">
        <v>35</v>
      </c>
      <c r="D691" t="s">
        <v>1468</v>
      </c>
      <c r="E691" t="s">
        <v>24</v>
      </c>
      <c r="G691" s="3" t="s">
        <v>1614</v>
      </c>
    </row>
    <row r="692" spans="1:7">
      <c r="A692" t="s">
        <v>1615</v>
      </c>
      <c r="B692" s="36">
        <v>46081</v>
      </c>
      <c r="C692" t="s">
        <v>295</v>
      </c>
      <c r="D692" t="s">
        <v>489</v>
      </c>
      <c r="E692" t="s">
        <v>22</v>
      </c>
      <c r="G692" s="3"/>
    </row>
    <row r="693" spans="1:7">
      <c r="A693" t="s">
        <v>1616</v>
      </c>
      <c r="B693" s="36">
        <v>46081</v>
      </c>
      <c r="C693" t="s">
        <v>295</v>
      </c>
      <c r="D693" t="s">
        <v>804</v>
      </c>
      <c r="E693" t="s">
        <v>23</v>
      </c>
      <c r="G693" s="3"/>
    </row>
    <row r="694" spans="1:7">
      <c r="A694" t="s">
        <v>1617</v>
      </c>
      <c r="B694" s="36">
        <v>46081</v>
      </c>
      <c r="C694" t="s">
        <v>295</v>
      </c>
      <c r="D694" t="s">
        <v>335</v>
      </c>
      <c r="E694" t="s">
        <v>24</v>
      </c>
      <c r="G694" s="3" t="s">
        <v>1618</v>
      </c>
    </row>
    <row r="695" spans="1:7">
      <c r="A695" t="s">
        <v>1619</v>
      </c>
      <c r="B695" s="36">
        <v>46081</v>
      </c>
      <c r="C695" t="s">
        <v>33</v>
      </c>
      <c r="D695" t="s">
        <v>1443</v>
      </c>
      <c r="E695" t="s">
        <v>24</v>
      </c>
      <c r="G695" s="3"/>
    </row>
    <row r="696" spans="1:7">
      <c r="A696" t="s">
        <v>1626</v>
      </c>
      <c r="B696" s="36">
        <v>46081</v>
      </c>
      <c r="C696" t="s">
        <v>30</v>
      </c>
      <c r="D696" t="s">
        <v>489</v>
      </c>
      <c r="E696" t="s">
        <v>22</v>
      </c>
      <c r="G696" s="3" t="s">
        <v>950</v>
      </c>
    </row>
    <row r="697" spans="1:7">
      <c r="A697" t="s">
        <v>1628</v>
      </c>
      <c r="B697" s="36">
        <v>46081</v>
      </c>
      <c r="C697" t="s">
        <v>30</v>
      </c>
      <c r="D697" t="s">
        <v>489</v>
      </c>
      <c r="E697" t="s">
        <v>22</v>
      </c>
      <c r="G697" s="3" t="s">
        <v>549</v>
      </c>
    </row>
    <row r="698" spans="1:7">
      <c r="A698" t="s">
        <v>1629</v>
      </c>
      <c r="B698" s="36">
        <v>46081</v>
      </c>
      <c r="C698" t="s">
        <v>30</v>
      </c>
      <c r="D698" t="s">
        <v>489</v>
      </c>
      <c r="E698" t="s">
        <v>22</v>
      </c>
      <c r="G698" s="3" t="s">
        <v>549</v>
      </c>
    </row>
    <row r="699" spans="1:7">
      <c r="A699" t="s">
        <v>1630</v>
      </c>
      <c r="B699" s="36">
        <v>46081</v>
      </c>
      <c r="C699" t="s">
        <v>37</v>
      </c>
      <c r="D699" t="s">
        <v>370</v>
      </c>
      <c r="E699" t="s">
        <v>25</v>
      </c>
      <c r="G699" s="3" t="s">
        <v>1631</v>
      </c>
    </row>
    <row r="700" spans="1:7">
      <c r="A700" t="s">
        <v>1632</v>
      </c>
      <c r="B700" s="36">
        <v>46081</v>
      </c>
      <c r="C700" t="s">
        <v>30</v>
      </c>
      <c r="D700" t="s">
        <v>1349</v>
      </c>
      <c r="E700" t="s">
        <v>24</v>
      </c>
      <c r="G700" s="3"/>
    </row>
    <row r="701" spans="1:7">
      <c r="A701" t="s">
        <v>1633</v>
      </c>
      <c r="B701" s="36">
        <v>46081</v>
      </c>
      <c r="C701" t="s">
        <v>30</v>
      </c>
      <c r="D701" t="s">
        <v>1465</v>
      </c>
      <c r="E701" t="s">
        <v>24</v>
      </c>
      <c r="G701" s="3" t="s">
        <v>1634</v>
      </c>
    </row>
    <row r="702" spans="1:7">
      <c r="A702" t="s">
        <v>1635</v>
      </c>
      <c r="B702" s="36">
        <v>46081</v>
      </c>
      <c r="C702" t="s">
        <v>35</v>
      </c>
      <c r="D702" t="s">
        <v>1351</v>
      </c>
      <c r="E702" t="s">
        <v>24</v>
      </c>
      <c r="G702" s="3" t="s">
        <v>315</v>
      </c>
    </row>
    <row r="703" spans="1:7">
      <c r="A703" t="s">
        <v>1636</v>
      </c>
      <c r="B703" s="36">
        <v>46081</v>
      </c>
      <c r="C703" t="s">
        <v>30</v>
      </c>
      <c r="D703" t="s">
        <v>504</v>
      </c>
      <c r="E703" t="s">
        <v>23</v>
      </c>
      <c r="G703" s="3" t="s">
        <v>521</v>
      </c>
    </row>
    <row r="704" spans="1:7">
      <c r="A704" t="s">
        <v>1637</v>
      </c>
      <c r="B704" s="36">
        <v>46081</v>
      </c>
      <c r="C704" t="s">
        <v>295</v>
      </c>
      <c r="D704" t="s">
        <v>151</v>
      </c>
      <c r="E704" t="s">
        <v>22</v>
      </c>
      <c r="G704" s="3" t="s">
        <v>1120</v>
      </c>
    </row>
    <row r="705" spans="1:7">
      <c r="A705" t="s">
        <v>1639</v>
      </c>
      <c r="B705" s="36">
        <v>46081</v>
      </c>
      <c r="C705" t="s">
        <v>37</v>
      </c>
      <c r="D705" t="s">
        <v>370</v>
      </c>
      <c r="E705" t="s">
        <v>25</v>
      </c>
      <c r="G705" s="3" t="s">
        <v>1640</v>
      </c>
    </row>
    <row r="706" spans="1:7">
      <c r="A706" t="s">
        <v>1641</v>
      </c>
      <c r="B706" s="36">
        <v>46081</v>
      </c>
      <c r="C706" t="s">
        <v>37</v>
      </c>
      <c r="D706" t="s">
        <v>370</v>
      </c>
      <c r="E706" t="s">
        <v>25</v>
      </c>
      <c r="G706" s="3" t="s">
        <v>1638</v>
      </c>
    </row>
    <row r="707" spans="1:7">
      <c r="A707" t="s">
        <v>1642</v>
      </c>
      <c r="B707" s="36">
        <v>46081</v>
      </c>
      <c r="C707" t="s">
        <v>35</v>
      </c>
      <c r="D707" t="s">
        <v>427</v>
      </c>
      <c r="E707" t="s">
        <v>24</v>
      </c>
      <c r="G707" s="3" t="s">
        <v>149</v>
      </c>
    </row>
    <row r="708" spans="1:7">
      <c r="A708" t="s">
        <v>1643</v>
      </c>
      <c r="B708" s="36">
        <v>46081</v>
      </c>
      <c r="C708" t="s">
        <v>30</v>
      </c>
      <c r="D708" t="s">
        <v>427</v>
      </c>
      <c r="E708" t="s">
        <v>24</v>
      </c>
      <c r="G708" s="3" t="s">
        <v>149</v>
      </c>
    </row>
    <row r="709" spans="1:7">
      <c r="A709" t="s">
        <v>1644</v>
      </c>
      <c r="B709" s="36">
        <v>46081</v>
      </c>
      <c r="C709" t="s">
        <v>35</v>
      </c>
      <c r="D709" t="s">
        <v>1478</v>
      </c>
      <c r="E709" t="s">
        <v>155</v>
      </c>
      <c r="G709" s="3" t="s">
        <v>1479</v>
      </c>
    </row>
    <row r="710" spans="1:7">
      <c r="A710" t="s">
        <v>1646</v>
      </c>
      <c r="B710" s="36">
        <v>46081</v>
      </c>
      <c r="C710" t="s">
        <v>30</v>
      </c>
      <c r="D710" t="s">
        <v>489</v>
      </c>
      <c r="E710" t="s">
        <v>22</v>
      </c>
      <c r="G710" s="3" t="s">
        <v>1647</v>
      </c>
    </row>
    <row r="711" spans="1:7">
      <c r="A711" t="s">
        <v>1649</v>
      </c>
      <c r="B711" s="36">
        <v>46081</v>
      </c>
      <c r="C711" t="s">
        <v>30</v>
      </c>
      <c r="D711" t="s">
        <v>489</v>
      </c>
      <c r="E711" t="s">
        <v>22</v>
      </c>
      <c r="G711" s="3" t="s">
        <v>1130</v>
      </c>
    </row>
    <row r="712" spans="1:7">
      <c r="A712" t="s">
        <v>1651</v>
      </c>
      <c r="B712" s="36">
        <v>46081</v>
      </c>
      <c r="C712" t="s">
        <v>37</v>
      </c>
      <c r="D712" t="s">
        <v>370</v>
      </c>
      <c r="E712" t="s">
        <v>25</v>
      </c>
      <c r="G712" s="3" t="s">
        <v>1652</v>
      </c>
    </row>
    <row r="713" spans="1:7">
      <c r="A713" t="s">
        <v>1654</v>
      </c>
      <c r="B713" s="36">
        <v>46081</v>
      </c>
      <c r="C713" t="s">
        <v>30</v>
      </c>
      <c r="D713" t="s">
        <v>427</v>
      </c>
      <c r="E713" t="s">
        <v>24</v>
      </c>
      <c r="G713" s="3" t="s">
        <v>342</v>
      </c>
    </row>
    <row r="714" spans="1:7">
      <c r="A714" t="s">
        <v>1656</v>
      </c>
      <c r="B714" s="36">
        <v>46081</v>
      </c>
      <c r="C714" t="s">
        <v>30</v>
      </c>
      <c r="D714" t="s">
        <v>1349</v>
      </c>
      <c r="E714" t="s">
        <v>24</v>
      </c>
      <c r="G714" s="3"/>
    </row>
    <row r="715" spans="1:7">
      <c r="A715" t="s">
        <v>1657</v>
      </c>
      <c r="B715" s="36">
        <v>46081</v>
      </c>
      <c r="C715" t="s">
        <v>30</v>
      </c>
      <c r="D715" t="s">
        <v>489</v>
      </c>
      <c r="E715" t="s">
        <v>22</v>
      </c>
      <c r="G715" s="3" t="s">
        <v>947</v>
      </c>
    </row>
    <row r="716" spans="1:7">
      <c r="A716" t="s">
        <v>1658</v>
      </c>
      <c r="B716" s="36">
        <v>46081</v>
      </c>
      <c r="C716" t="s">
        <v>30</v>
      </c>
      <c r="D716" t="s">
        <v>1350</v>
      </c>
      <c r="E716" t="s">
        <v>23</v>
      </c>
      <c r="G716" s="3" t="s">
        <v>1659</v>
      </c>
    </row>
    <row r="717" spans="1:7">
      <c r="A717" t="s">
        <v>1660</v>
      </c>
      <c r="B717" s="36">
        <v>46081</v>
      </c>
      <c r="C717" t="s">
        <v>30</v>
      </c>
      <c r="D717" t="s">
        <v>1494</v>
      </c>
      <c r="E717" t="s">
        <v>24</v>
      </c>
      <c r="G717" s="3"/>
    </row>
    <row r="718" spans="1:7">
      <c r="A718" t="s">
        <v>1661</v>
      </c>
      <c r="B718" s="36">
        <v>46081</v>
      </c>
      <c r="C718" t="s">
        <v>30</v>
      </c>
      <c r="D718" t="s">
        <v>427</v>
      </c>
      <c r="E718" t="s">
        <v>23</v>
      </c>
      <c r="G718" s="3" t="s">
        <v>307</v>
      </c>
    </row>
    <row r="719" spans="1:7">
      <c r="A719" t="s">
        <v>1662</v>
      </c>
      <c r="B719" s="36">
        <v>46081</v>
      </c>
      <c r="C719" t="s">
        <v>30</v>
      </c>
      <c r="D719" t="s">
        <v>1494</v>
      </c>
      <c r="E719" t="s">
        <v>24</v>
      </c>
      <c r="G719" s="3"/>
    </row>
    <row r="720" spans="1:7">
      <c r="A720" t="s">
        <v>1663</v>
      </c>
      <c r="B720" s="36">
        <v>46081</v>
      </c>
      <c r="C720" t="s">
        <v>30</v>
      </c>
      <c r="D720" t="s">
        <v>1664</v>
      </c>
      <c r="E720" t="s">
        <v>23</v>
      </c>
      <c r="G720" s="3"/>
    </row>
    <row r="721" spans="1:7">
      <c r="A721" t="s">
        <v>1665</v>
      </c>
      <c r="B721" s="36">
        <v>46081</v>
      </c>
      <c r="C721" t="s">
        <v>30</v>
      </c>
      <c r="D721" t="s">
        <v>1349</v>
      </c>
      <c r="E721" t="s">
        <v>24</v>
      </c>
      <c r="G721" s="3"/>
    </row>
    <row r="722" spans="1:7">
      <c r="A722" t="s">
        <v>1666</v>
      </c>
      <c r="B722" s="36">
        <v>46081</v>
      </c>
      <c r="C722" t="s">
        <v>30</v>
      </c>
      <c r="D722" t="s">
        <v>489</v>
      </c>
      <c r="E722" t="s">
        <v>22</v>
      </c>
      <c r="G722" s="3" t="s">
        <v>1001</v>
      </c>
    </row>
    <row r="723" spans="1:7">
      <c r="A723" t="s">
        <v>1667</v>
      </c>
      <c r="B723" s="36">
        <v>46081</v>
      </c>
      <c r="C723" t="s">
        <v>30</v>
      </c>
      <c r="D723" t="s">
        <v>1302</v>
      </c>
      <c r="E723" t="s">
        <v>23</v>
      </c>
      <c r="G723" s="3" t="s">
        <v>1668</v>
      </c>
    </row>
    <row r="724" spans="1:7">
      <c r="A724" t="s">
        <v>1669</v>
      </c>
      <c r="B724" s="36">
        <v>46081</v>
      </c>
      <c r="C724" t="s">
        <v>30</v>
      </c>
      <c r="D724" t="s">
        <v>1302</v>
      </c>
      <c r="E724" t="s">
        <v>23</v>
      </c>
      <c r="G724" s="3" t="s">
        <v>1668</v>
      </c>
    </row>
    <row r="725" spans="1:7">
      <c r="A725" t="s">
        <v>1670</v>
      </c>
      <c r="B725" s="36">
        <v>46081</v>
      </c>
      <c r="C725" t="s">
        <v>30</v>
      </c>
      <c r="D725" t="s">
        <v>1345</v>
      </c>
      <c r="E725" t="s">
        <v>23</v>
      </c>
      <c r="G725" s="3" t="s">
        <v>1671</v>
      </c>
    </row>
    <row r="726" spans="1:7">
      <c r="A726" t="s">
        <v>1672</v>
      </c>
      <c r="B726" s="36">
        <v>46081</v>
      </c>
      <c r="C726" t="s">
        <v>30</v>
      </c>
      <c r="D726" t="s">
        <v>1345</v>
      </c>
      <c r="E726" t="s">
        <v>23</v>
      </c>
      <c r="G726" s="3"/>
    </row>
    <row r="727" spans="1:7">
      <c r="A727" t="s">
        <v>1673</v>
      </c>
      <c r="B727" s="36">
        <v>46081</v>
      </c>
      <c r="C727" t="s">
        <v>30</v>
      </c>
      <c r="D727" t="s">
        <v>496</v>
      </c>
      <c r="E727" t="s">
        <v>23</v>
      </c>
      <c r="G727" s="3" t="s">
        <v>1107</v>
      </c>
    </row>
    <row r="728" spans="1:7">
      <c r="A728" t="s">
        <v>1674</v>
      </c>
      <c r="B728" s="36">
        <v>46081</v>
      </c>
      <c r="C728" t="s">
        <v>30</v>
      </c>
      <c r="D728" t="s">
        <v>489</v>
      </c>
      <c r="E728" t="s">
        <v>22</v>
      </c>
      <c r="G728" s="3" t="s">
        <v>944</v>
      </c>
    </row>
    <row r="729" spans="1:7">
      <c r="A729" t="s">
        <v>1675</v>
      </c>
      <c r="B729" s="36">
        <v>46081</v>
      </c>
      <c r="C729" t="s">
        <v>30</v>
      </c>
      <c r="D729" t="s">
        <v>1297</v>
      </c>
      <c r="E729" t="s">
        <v>22</v>
      </c>
      <c r="G729" s="3" t="s">
        <v>1027</v>
      </c>
    </row>
    <row r="730" spans="1:7">
      <c r="A730" t="s">
        <v>1676</v>
      </c>
      <c r="B730" s="36">
        <v>46081</v>
      </c>
      <c r="C730" t="s">
        <v>30</v>
      </c>
      <c r="D730" t="s">
        <v>468</v>
      </c>
      <c r="E730" t="s">
        <v>22</v>
      </c>
      <c r="G730" s="3" t="s">
        <v>1124</v>
      </c>
    </row>
    <row r="731" spans="1:7">
      <c r="A731" t="s">
        <v>1677</v>
      </c>
      <c r="B731" s="36">
        <v>46081</v>
      </c>
      <c r="C731" t="s">
        <v>30</v>
      </c>
      <c r="D731" t="s">
        <v>504</v>
      </c>
      <c r="E731" t="s">
        <v>23</v>
      </c>
      <c r="G731" s="3"/>
    </row>
    <row r="732" spans="1:7">
      <c r="A732" t="s">
        <v>1678</v>
      </c>
      <c r="B732" s="36">
        <v>46081</v>
      </c>
      <c r="C732" t="s">
        <v>30</v>
      </c>
      <c r="D732" t="s">
        <v>504</v>
      </c>
      <c r="E732" t="s">
        <v>23</v>
      </c>
      <c r="G732" s="3"/>
    </row>
    <row r="733" spans="1:7">
      <c r="A733" t="s">
        <v>1679</v>
      </c>
      <c r="B733" s="36">
        <v>46081</v>
      </c>
      <c r="C733" t="s">
        <v>30</v>
      </c>
      <c r="D733" t="s">
        <v>504</v>
      </c>
      <c r="E733" t="s">
        <v>23</v>
      </c>
      <c r="G733" s="3"/>
    </row>
    <row r="734" spans="1:7">
      <c r="A734" t="s">
        <v>1680</v>
      </c>
      <c r="B734" s="36">
        <v>46081</v>
      </c>
      <c r="C734" t="s">
        <v>30</v>
      </c>
      <c r="D734" t="s">
        <v>1302</v>
      </c>
      <c r="E734" t="s">
        <v>23</v>
      </c>
      <c r="G734" s="3" t="s">
        <v>1668</v>
      </c>
    </row>
    <row r="735" spans="1:7">
      <c r="A735" t="s">
        <v>1681</v>
      </c>
      <c r="B735" s="36">
        <v>46081</v>
      </c>
      <c r="C735" t="s">
        <v>30</v>
      </c>
      <c r="D735" t="s">
        <v>1350</v>
      </c>
      <c r="E735" t="s">
        <v>23</v>
      </c>
      <c r="G735" s="3"/>
    </row>
    <row r="736" spans="1:7">
      <c r="A736" t="s">
        <v>1682</v>
      </c>
      <c r="B736" s="36">
        <v>46081</v>
      </c>
      <c r="C736" t="s">
        <v>30</v>
      </c>
      <c r="D736" t="s">
        <v>1431</v>
      </c>
      <c r="E736" t="s">
        <v>24</v>
      </c>
      <c r="G736" s="3" t="s">
        <v>1683</v>
      </c>
    </row>
    <row r="737" spans="1:7">
      <c r="A737" t="s">
        <v>1684</v>
      </c>
      <c r="B737" s="36">
        <v>46081</v>
      </c>
      <c r="C737" t="s">
        <v>35</v>
      </c>
      <c r="D737" t="s">
        <v>1445</v>
      </c>
      <c r="E737" t="s">
        <v>24</v>
      </c>
      <c r="G737" s="3" t="s">
        <v>612</v>
      </c>
    </row>
    <row r="738" spans="1:7">
      <c r="A738" t="s">
        <v>1685</v>
      </c>
      <c r="B738" s="36">
        <v>46081</v>
      </c>
      <c r="C738" t="s">
        <v>30</v>
      </c>
      <c r="D738" t="s">
        <v>1350</v>
      </c>
      <c r="E738" t="s">
        <v>23</v>
      </c>
      <c r="G738" s="3" t="s">
        <v>1686</v>
      </c>
    </row>
    <row r="739" spans="1:7">
      <c r="A739" t="s">
        <v>1687</v>
      </c>
      <c r="B739" s="36">
        <v>46081</v>
      </c>
      <c r="C739" t="s">
        <v>30</v>
      </c>
      <c r="D739" t="s">
        <v>1431</v>
      </c>
      <c r="E739" t="s">
        <v>24</v>
      </c>
      <c r="G739" s="3" t="s">
        <v>1689</v>
      </c>
    </row>
    <row r="740" spans="1:7">
      <c r="A740" t="s">
        <v>1690</v>
      </c>
      <c r="B740" s="36">
        <v>46081</v>
      </c>
      <c r="C740" t="s">
        <v>30</v>
      </c>
      <c r="D740" t="s">
        <v>1431</v>
      </c>
      <c r="E740" t="s">
        <v>24</v>
      </c>
      <c r="G740" s="3" t="s">
        <v>1691</v>
      </c>
    </row>
    <row r="741" spans="1:7">
      <c r="A741" t="s">
        <v>1692</v>
      </c>
      <c r="B741" s="36">
        <v>46081</v>
      </c>
      <c r="C741" t="s">
        <v>30</v>
      </c>
      <c r="D741" t="s">
        <v>1431</v>
      </c>
      <c r="E741" t="s">
        <v>24</v>
      </c>
      <c r="G741" s="3" t="s">
        <v>1693</v>
      </c>
    </row>
    <row r="742" spans="1:7">
      <c r="A742" t="s">
        <v>1694</v>
      </c>
      <c r="B742" s="36">
        <v>46081</v>
      </c>
      <c r="C742" t="s">
        <v>30</v>
      </c>
      <c r="D742" t="s">
        <v>1350</v>
      </c>
      <c r="E742" t="s">
        <v>23</v>
      </c>
      <c r="G742" s="3" t="s">
        <v>1695</v>
      </c>
    </row>
    <row r="743" spans="1:7">
      <c r="A743" t="s">
        <v>1696</v>
      </c>
      <c r="B743" s="36">
        <v>46081</v>
      </c>
      <c r="C743" t="s">
        <v>30</v>
      </c>
      <c r="D743" t="s">
        <v>1350</v>
      </c>
      <c r="E743" t="s">
        <v>23</v>
      </c>
      <c r="G743" s="3" t="s">
        <v>1688</v>
      </c>
    </row>
    <row r="744" spans="1:7">
      <c r="A744" t="s">
        <v>1697</v>
      </c>
      <c r="B744" s="36">
        <v>46081</v>
      </c>
      <c r="C744" t="s">
        <v>30</v>
      </c>
      <c r="D744" t="s">
        <v>504</v>
      </c>
      <c r="E744" t="s">
        <v>23</v>
      </c>
      <c r="G744" s="3" t="s">
        <v>1688</v>
      </c>
    </row>
    <row r="745" spans="1:7">
      <c r="A745" t="s">
        <v>1698</v>
      </c>
      <c r="B745" s="36">
        <v>46081</v>
      </c>
      <c r="C745" t="s">
        <v>30</v>
      </c>
      <c r="D745" t="s">
        <v>489</v>
      </c>
      <c r="E745" t="s">
        <v>22</v>
      </c>
      <c r="G745" s="3"/>
    </row>
    <row r="746" spans="1:7">
      <c r="A746" t="s">
        <v>1699</v>
      </c>
      <c r="B746" s="36">
        <v>46081</v>
      </c>
      <c r="C746" t="s">
        <v>30</v>
      </c>
      <c r="D746" t="s">
        <v>489</v>
      </c>
      <c r="E746" t="s">
        <v>22</v>
      </c>
      <c r="G746" s="3"/>
    </row>
    <row r="747" spans="1:7">
      <c r="A747" t="s">
        <v>1700</v>
      </c>
      <c r="B747" s="36">
        <v>46081</v>
      </c>
      <c r="C747" t="s">
        <v>30</v>
      </c>
      <c r="D747" t="s">
        <v>489</v>
      </c>
      <c r="E747" t="s">
        <v>22</v>
      </c>
      <c r="G747" s="3"/>
    </row>
    <row r="748" spans="1:7">
      <c r="A748" t="s">
        <v>1701</v>
      </c>
      <c r="B748" s="36">
        <v>46081</v>
      </c>
      <c r="C748" t="s">
        <v>30</v>
      </c>
      <c r="D748" t="s">
        <v>1349</v>
      </c>
      <c r="E748" t="s">
        <v>24</v>
      </c>
      <c r="G748" s="3"/>
    </row>
    <row r="749" spans="1:7">
      <c r="A749" t="s">
        <v>1702</v>
      </c>
      <c r="B749" s="36">
        <v>46081</v>
      </c>
      <c r="C749" t="s">
        <v>30</v>
      </c>
      <c r="D749" t="s">
        <v>879</v>
      </c>
      <c r="E749" t="s">
        <v>22</v>
      </c>
      <c r="G749" s="3"/>
    </row>
    <row r="750" spans="1:7">
      <c r="A750" t="s">
        <v>1703</v>
      </c>
      <c r="B750" s="36">
        <v>46081</v>
      </c>
      <c r="C750" t="s">
        <v>30</v>
      </c>
      <c r="D750" t="s">
        <v>335</v>
      </c>
      <c r="E750" t="s">
        <v>24</v>
      </c>
      <c r="G750" s="3" t="s">
        <v>1704</v>
      </c>
    </row>
    <row r="751" spans="1:7">
      <c r="A751" t="s">
        <v>1705</v>
      </c>
      <c r="B751" s="36">
        <v>46081</v>
      </c>
      <c r="C751" t="s">
        <v>30</v>
      </c>
      <c r="D751" t="s">
        <v>335</v>
      </c>
      <c r="E751" t="s">
        <v>24</v>
      </c>
      <c r="G751" s="3" t="s">
        <v>1704</v>
      </c>
    </row>
    <row r="752" spans="1:7">
      <c r="A752" t="s">
        <v>1706</v>
      </c>
      <c r="B752" s="36">
        <v>46081</v>
      </c>
      <c r="C752" t="s">
        <v>30</v>
      </c>
      <c r="D752" t="s">
        <v>489</v>
      </c>
      <c r="E752" t="s">
        <v>22</v>
      </c>
      <c r="G752" s="3"/>
    </row>
    <row r="753" spans="1:7">
      <c r="A753" t="s">
        <v>1708</v>
      </c>
      <c r="B753" s="36">
        <v>46081</v>
      </c>
      <c r="C753" t="s">
        <v>30</v>
      </c>
      <c r="D753" t="s">
        <v>489</v>
      </c>
      <c r="E753" t="s">
        <v>22</v>
      </c>
      <c r="G753" s="3"/>
    </row>
    <row r="754" spans="1:7">
      <c r="A754" t="s">
        <v>1709</v>
      </c>
      <c r="B754" s="36">
        <v>46081</v>
      </c>
      <c r="C754" t="s">
        <v>30</v>
      </c>
      <c r="D754" t="s">
        <v>489</v>
      </c>
      <c r="E754" t="s">
        <v>22</v>
      </c>
      <c r="G754" s="3"/>
    </row>
    <row r="755" spans="1:7">
      <c r="A755" t="s">
        <v>1710</v>
      </c>
      <c r="B755" s="36">
        <v>46081</v>
      </c>
      <c r="C755" t="s">
        <v>30</v>
      </c>
      <c r="D755" t="s">
        <v>489</v>
      </c>
      <c r="E755" t="s">
        <v>22</v>
      </c>
      <c r="G755" s="3"/>
    </row>
    <row r="756" spans="1:7">
      <c r="A756" t="s">
        <v>1712</v>
      </c>
      <c r="B756" s="36">
        <v>46081</v>
      </c>
      <c r="C756" t="s">
        <v>30</v>
      </c>
      <c r="D756" t="s">
        <v>1431</v>
      </c>
      <c r="E756" t="s">
        <v>24</v>
      </c>
      <c r="G756" s="3" t="s">
        <v>1713</v>
      </c>
    </row>
    <row r="757" spans="1:7">
      <c r="A757" t="s">
        <v>1714</v>
      </c>
      <c r="B757" s="36">
        <v>46081</v>
      </c>
      <c r="C757" t="s">
        <v>30</v>
      </c>
      <c r="D757" t="s">
        <v>1020</v>
      </c>
      <c r="E757" t="s">
        <v>24</v>
      </c>
      <c r="G757" s="3"/>
    </row>
    <row r="758" spans="1:7">
      <c r="A758" t="s">
        <v>1715</v>
      </c>
      <c r="B758" s="36">
        <v>46081</v>
      </c>
      <c r="C758" t="s">
        <v>30</v>
      </c>
      <c r="D758" t="s">
        <v>489</v>
      </c>
      <c r="E758" t="s">
        <v>22</v>
      </c>
      <c r="G758" s="3"/>
    </row>
    <row r="759" spans="1:7">
      <c r="A759" t="s">
        <v>1716</v>
      </c>
      <c r="B759" s="36">
        <v>46081</v>
      </c>
      <c r="C759" t="s">
        <v>30</v>
      </c>
      <c r="D759" t="s">
        <v>489</v>
      </c>
      <c r="E759" t="s">
        <v>22</v>
      </c>
      <c r="G759" s="3"/>
    </row>
    <row r="760" spans="1:7">
      <c r="A760" t="s">
        <v>1717</v>
      </c>
      <c r="B760" s="36">
        <v>46081</v>
      </c>
      <c r="C760" t="s">
        <v>30</v>
      </c>
      <c r="D760" t="s">
        <v>427</v>
      </c>
      <c r="E760" t="s">
        <v>24</v>
      </c>
      <c r="G760" s="3" t="s">
        <v>149</v>
      </c>
    </row>
    <row r="761" spans="1:7">
      <c r="A761" t="s">
        <v>1718</v>
      </c>
      <c r="B761" s="36">
        <v>46081</v>
      </c>
      <c r="C761" t="s">
        <v>35</v>
      </c>
      <c r="D761" t="s">
        <v>427</v>
      </c>
      <c r="E761" t="s">
        <v>24</v>
      </c>
      <c r="G761" s="3" t="s">
        <v>385</v>
      </c>
    </row>
    <row r="762" spans="1:7">
      <c r="A762" t="s">
        <v>1719</v>
      </c>
      <c r="B762" s="36">
        <v>46081</v>
      </c>
      <c r="C762" t="s">
        <v>30</v>
      </c>
      <c r="D762" t="s">
        <v>489</v>
      </c>
      <c r="E762" t="s">
        <v>22</v>
      </c>
      <c r="G762" s="3"/>
    </row>
    <row r="763" spans="1:7">
      <c r="A763" t="s">
        <v>1720</v>
      </c>
      <c r="B763" s="36">
        <v>46081</v>
      </c>
      <c r="C763" t="s">
        <v>30</v>
      </c>
      <c r="D763" t="s">
        <v>489</v>
      </c>
      <c r="E763" t="s">
        <v>22</v>
      </c>
      <c r="G763" s="3"/>
    </row>
    <row r="764" spans="1:7">
      <c r="A764" t="s">
        <v>1721</v>
      </c>
      <c r="B764" s="36">
        <v>46081</v>
      </c>
      <c r="C764" t="s">
        <v>30</v>
      </c>
      <c r="D764" t="s">
        <v>489</v>
      </c>
      <c r="E764" t="s">
        <v>22</v>
      </c>
      <c r="G764" s="3"/>
    </row>
    <row r="765" spans="1:7">
      <c r="A765" t="s">
        <v>1722</v>
      </c>
      <c r="B765" s="36">
        <v>46081</v>
      </c>
      <c r="C765" t="s">
        <v>30</v>
      </c>
      <c r="D765" t="s">
        <v>489</v>
      </c>
      <c r="E765" t="s">
        <v>22</v>
      </c>
      <c r="G765" s="3"/>
    </row>
    <row r="766" spans="1:7">
      <c r="A766" t="s">
        <v>1723</v>
      </c>
      <c r="B766" s="36">
        <v>46081</v>
      </c>
      <c r="C766" t="s">
        <v>30</v>
      </c>
      <c r="D766" t="s">
        <v>1350</v>
      </c>
      <c r="E766" t="s">
        <v>23</v>
      </c>
      <c r="G766" s="3" t="s">
        <v>979</v>
      </c>
    </row>
    <row r="767" spans="1:7">
      <c r="A767" t="s">
        <v>1724</v>
      </c>
      <c r="B767" s="36">
        <v>46081</v>
      </c>
      <c r="C767" t="s">
        <v>30</v>
      </c>
      <c r="D767" t="s">
        <v>1431</v>
      </c>
      <c r="E767" t="s">
        <v>24</v>
      </c>
      <c r="G767" s="3" t="s">
        <v>658</v>
      </c>
    </row>
    <row r="768" spans="1:7">
      <c r="A768" t="s">
        <v>1725</v>
      </c>
      <c r="B768" s="36">
        <v>46081</v>
      </c>
      <c r="C768" t="s">
        <v>30</v>
      </c>
      <c r="D768" t="s">
        <v>489</v>
      </c>
      <c r="E768" t="s">
        <v>22</v>
      </c>
      <c r="G768" s="3"/>
    </row>
    <row r="769" spans="1:7">
      <c r="A769" t="s">
        <v>1726</v>
      </c>
      <c r="B769" s="36">
        <v>46081</v>
      </c>
      <c r="C769" t="s">
        <v>30</v>
      </c>
      <c r="D769" t="s">
        <v>879</v>
      </c>
      <c r="E769" t="s">
        <v>22</v>
      </c>
      <c r="G769" s="3"/>
    </row>
    <row r="770" spans="1:7">
      <c r="A770" t="s">
        <v>1727</v>
      </c>
      <c r="B770" s="36">
        <v>46081</v>
      </c>
      <c r="C770" t="s">
        <v>30</v>
      </c>
      <c r="D770" t="s">
        <v>489</v>
      </c>
      <c r="E770" t="s">
        <v>22</v>
      </c>
      <c r="G770" s="3"/>
    </row>
    <row r="771" spans="1:7">
      <c r="A771" t="s">
        <v>1728</v>
      </c>
      <c r="B771" s="36">
        <v>46081</v>
      </c>
      <c r="C771" t="s">
        <v>30</v>
      </c>
      <c r="D771" t="s">
        <v>489</v>
      </c>
      <c r="E771" t="s">
        <v>22</v>
      </c>
      <c r="G771" s="3"/>
    </row>
    <row r="772" spans="1:7">
      <c r="A772" t="s">
        <v>1729</v>
      </c>
      <c r="B772" s="36">
        <v>46081</v>
      </c>
      <c r="C772" t="s">
        <v>30</v>
      </c>
      <c r="D772" t="s">
        <v>489</v>
      </c>
      <c r="E772" t="s">
        <v>22</v>
      </c>
      <c r="G772" s="3"/>
    </row>
    <row r="773" spans="1:7">
      <c r="A773" t="s">
        <v>1730</v>
      </c>
      <c r="B773" s="36">
        <v>46081</v>
      </c>
      <c r="C773" t="s">
        <v>30</v>
      </c>
      <c r="D773" t="s">
        <v>489</v>
      </c>
      <c r="E773" t="s">
        <v>22</v>
      </c>
      <c r="G773" s="3"/>
    </row>
    <row r="774" spans="1:7">
      <c r="A774" t="s">
        <v>1731</v>
      </c>
      <c r="B774" s="36">
        <v>46081</v>
      </c>
      <c r="C774" t="s">
        <v>30</v>
      </c>
      <c r="D774" t="s">
        <v>1350</v>
      </c>
      <c r="E774" t="s">
        <v>23</v>
      </c>
      <c r="G774" s="3" t="s">
        <v>979</v>
      </c>
    </row>
    <row r="775" spans="1:7">
      <c r="A775" t="s">
        <v>1732</v>
      </c>
      <c r="B775" s="36">
        <v>46081</v>
      </c>
      <c r="C775" t="s">
        <v>30</v>
      </c>
      <c r="D775" t="s">
        <v>879</v>
      </c>
      <c r="E775" t="s">
        <v>22</v>
      </c>
      <c r="G775" s="3"/>
    </row>
    <row r="776" spans="1:7">
      <c r="A776" t="s">
        <v>1733</v>
      </c>
      <c r="B776" s="36">
        <v>46081</v>
      </c>
      <c r="C776" t="s">
        <v>30</v>
      </c>
      <c r="D776" t="s">
        <v>1664</v>
      </c>
      <c r="E776" t="s">
        <v>23</v>
      </c>
      <c r="G776" s="3" t="s">
        <v>1734</v>
      </c>
    </row>
    <row r="777" spans="1:7">
      <c r="A777" t="s">
        <v>1735</v>
      </c>
      <c r="B777" s="36">
        <v>46081</v>
      </c>
      <c r="C777" t="s">
        <v>30</v>
      </c>
      <c r="D777" t="s">
        <v>879</v>
      </c>
      <c r="E777" t="s">
        <v>22</v>
      </c>
      <c r="G777" s="3"/>
    </row>
    <row r="778" spans="1:7">
      <c r="A778" t="s">
        <v>1736</v>
      </c>
      <c r="B778" s="36">
        <v>46081</v>
      </c>
      <c r="C778" t="s">
        <v>30</v>
      </c>
      <c r="D778" t="s">
        <v>496</v>
      </c>
      <c r="E778" t="s">
        <v>23</v>
      </c>
      <c r="G778" s="3" t="s">
        <v>1737</v>
      </c>
    </row>
    <row r="779" spans="1:7">
      <c r="A779" t="s">
        <v>1738</v>
      </c>
      <c r="B779" s="36">
        <v>46081</v>
      </c>
      <c r="C779" t="s">
        <v>30</v>
      </c>
      <c r="D779" t="s">
        <v>1020</v>
      </c>
      <c r="E779" t="s">
        <v>24</v>
      </c>
      <c r="G779" s="3"/>
    </row>
    <row r="780" spans="1:7">
      <c r="A780" t="s">
        <v>1739</v>
      </c>
      <c r="B780" s="36">
        <v>46081</v>
      </c>
      <c r="C780" t="s">
        <v>30</v>
      </c>
      <c r="D780" t="s">
        <v>489</v>
      </c>
      <c r="E780" t="s">
        <v>22</v>
      </c>
      <c r="G780" s="3"/>
    </row>
    <row r="781" spans="1:7">
      <c r="A781" t="s">
        <v>1740</v>
      </c>
      <c r="B781" s="36">
        <v>46081</v>
      </c>
      <c r="C781" t="s">
        <v>30</v>
      </c>
      <c r="D781" t="s">
        <v>1350</v>
      </c>
      <c r="E781" t="s">
        <v>23</v>
      </c>
      <c r="G781" s="3" t="s">
        <v>1072</v>
      </c>
    </row>
    <row r="782" spans="1:7">
      <c r="A782" t="s">
        <v>1741</v>
      </c>
      <c r="B782" s="36">
        <v>46081</v>
      </c>
      <c r="C782" t="s">
        <v>30</v>
      </c>
      <c r="D782" t="s">
        <v>879</v>
      </c>
      <c r="E782" t="s">
        <v>22</v>
      </c>
      <c r="G782" s="3"/>
    </row>
    <row r="783" spans="1:7">
      <c r="A783" t="s">
        <v>1742</v>
      </c>
      <c r="B783" s="36">
        <v>46081</v>
      </c>
      <c r="C783" t="s">
        <v>30</v>
      </c>
      <c r="D783" t="s">
        <v>489</v>
      </c>
      <c r="E783" t="s">
        <v>22</v>
      </c>
      <c r="G783" s="3"/>
    </row>
    <row r="784" spans="1:7">
      <c r="A784" t="s">
        <v>1743</v>
      </c>
      <c r="B784" s="36">
        <v>46081</v>
      </c>
      <c r="C784" t="s">
        <v>30</v>
      </c>
      <c r="D784" t="s">
        <v>489</v>
      </c>
      <c r="E784" t="s">
        <v>22</v>
      </c>
      <c r="G784" s="3"/>
    </row>
    <row r="785" spans="1:7">
      <c r="A785" t="s">
        <v>1744</v>
      </c>
      <c r="B785" s="36">
        <v>46081</v>
      </c>
      <c r="C785" t="s">
        <v>30</v>
      </c>
      <c r="D785" t="s">
        <v>489</v>
      </c>
      <c r="E785" t="s">
        <v>22</v>
      </c>
      <c r="G785" s="3"/>
    </row>
    <row r="786" spans="1:7">
      <c r="A786" t="s">
        <v>1745</v>
      </c>
      <c r="B786" s="36">
        <v>46081</v>
      </c>
      <c r="C786" t="s">
        <v>30</v>
      </c>
      <c r="D786" t="s">
        <v>879</v>
      </c>
      <c r="E786" t="s">
        <v>22</v>
      </c>
      <c r="G786" s="3"/>
    </row>
    <row r="787" spans="1:7">
      <c r="A787" t="s">
        <v>1746</v>
      </c>
      <c r="B787" s="36">
        <v>46081</v>
      </c>
      <c r="C787" t="s">
        <v>30</v>
      </c>
      <c r="D787" t="s">
        <v>879</v>
      </c>
      <c r="E787" t="s">
        <v>22</v>
      </c>
      <c r="G787" s="3"/>
    </row>
    <row r="788" spans="1:7">
      <c r="A788" t="s">
        <v>1747</v>
      </c>
      <c r="B788" s="36">
        <v>46081</v>
      </c>
      <c r="C788" t="s">
        <v>30</v>
      </c>
      <c r="D788" t="s">
        <v>489</v>
      </c>
      <c r="E788" t="s">
        <v>22</v>
      </c>
      <c r="G788" s="3"/>
    </row>
    <row r="789" spans="1:7">
      <c r="A789" t="s">
        <v>1748</v>
      </c>
      <c r="B789" s="36">
        <v>46081</v>
      </c>
      <c r="C789" t="s">
        <v>30</v>
      </c>
      <c r="D789" t="s">
        <v>489</v>
      </c>
      <c r="E789" t="s">
        <v>22</v>
      </c>
      <c r="G789" s="3"/>
    </row>
    <row r="790" spans="1:7">
      <c r="A790" t="s">
        <v>1749</v>
      </c>
      <c r="B790" s="36">
        <v>46081</v>
      </c>
      <c r="C790" t="s">
        <v>30</v>
      </c>
      <c r="D790" t="s">
        <v>489</v>
      </c>
      <c r="E790" t="s">
        <v>22</v>
      </c>
      <c r="G790" s="3"/>
    </row>
    <row r="791" spans="1:7">
      <c r="A791" t="s">
        <v>1750</v>
      </c>
      <c r="B791" s="36">
        <v>46081</v>
      </c>
      <c r="C791" t="s">
        <v>30</v>
      </c>
      <c r="D791" t="s">
        <v>489</v>
      </c>
      <c r="E791" t="s">
        <v>22</v>
      </c>
      <c r="G791" s="3"/>
    </row>
    <row r="792" spans="1:7">
      <c r="A792" t="s">
        <v>1751</v>
      </c>
      <c r="B792" s="36">
        <v>46081</v>
      </c>
      <c r="C792" t="s">
        <v>30</v>
      </c>
      <c r="D792" t="s">
        <v>489</v>
      </c>
      <c r="E792" t="s">
        <v>22</v>
      </c>
      <c r="G792" s="3"/>
    </row>
    <row r="793" spans="1:7">
      <c r="A793" t="s">
        <v>1752</v>
      </c>
      <c r="B793" s="36">
        <v>46081</v>
      </c>
      <c r="C793" t="s">
        <v>30</v>
      </c>
      <c r="D793" t="s">
        <v>489</v>
      </c>
      <c r="E793" t="s">
        <v>22</v>
      </c>
      <c r="G793" s="3"/>
    </row>
    <row r="794" spans="1:7">
      <c r="A794" t="s">
        <v>1753</v>
      </c>
      <c r="B794" s="36">
        <v>46081</v>
      </c>
      <c r="C794" t="s">
        <v>30</v>
      </c>
      <c r="D794" t="s">
        <v>489</v>
      </c>
      <c r="E794" t="s">
        <v>22</v>
      </c>
      <c r="G794" s="3"/>
    </row>
    <row r="795" spans="1:7">
      <c r="A795" t="s">
        <v>1754</v>
      </c>
      <c r="B795" s="36">
        <v>46081</v>
      </c>
      <c r="C795" t="s">
        <v>30</v>
      </c>
      <c r="D795" t="s">
        <v>489</v>
      </c>
      <c r="E795" t="s">
        <v>22</v>
      </c>
      <c r="G795" s="3"/>
    </row>
    <row r="796" spans="1:7">
      <c r="A796" t="s">
        <v>1755</v>
      </c>
      <c r="B796" s="36">
        <v>46081</v>
      </c>
      <c r="C796" t="s">
        <v>30</v>
      </c>
      <c r="D796" t="s">
        <v>1756</v>
      </c>
      <c r="E796" t="s">
        <v>25</v>
      </c>
      <c r="G796" s="3" t="s">
        <v>1757</v>
      </c>
    </row>
    <row r="797" spans="1:7">
      <c r="A797" t="s">
        <v>1758</v>
      </c>
      <c r="B797" s="36">
        <v>46081</v>
      </c>
      <c r="C797" t="s">
        <v>30</v>
      </c>
      <c r="D797" t="s">
        <v>489</v>
      </c>
      <c r="E797" t="s">
        <v>22</v>
      </c>
      <c r="G797" s="3"/>
    </row>
    <row r="798" spans="1:7">
      <c r="A798" t="s">
        <v>1759</v>
      </c>
      <c r="B798" s="36">
        <v>46081</v>
      </c>
      <c r="C798" t="s">
        <v>30</v>
      </c>
      <c r="D798" t="s">
        <v>489</v>
      </c>
      <c r="E798" t="s">
        <v>22</v>
      </c>
      <c r="G798" s="3"/>
    </row>
    <row r="799" spans="1:7">
      <c r="A799" t="s">
        <v>1760</v>
      </c>
      <c r="B799" s="36">
        <v>46081</v>
      </c>
      <c r="C799" t="s">
        <v>30</v>
      </c>
      <c r="D799" t="s">
        <v>489</v>
      </c>
      <c r="E799" t="s">
        <v>22</v>
      </c>
      <c r="G799" s="3"/>
    </row>
    <row r="800" spans="1:7">
      <c r="A800" t="s">
        <v>1761</v>
      </c>
      <c r="B800" s="36">
        <v>46081</v>
      </c>
      <c r="C800" t="s">
        <v>30</v>
      </c>
      <c r="D800" t="s">
        <v>489</v>
      </c>
      <c r="E800" t="s">
        <v>22</v>
      </c>
      <c r="G800" s="3"/>
    </row>
    <row r="801" spans="1:7">
      <c r="A801" t="s">
        <v>1762</v>
      </c>
      <c r="B801" s="36">
        <v>46081</v>
      </c>
      <c r="C801" t="s">
        <v>30</v>
      </c>
      <c r="D801" t="s">
        <v>496</v>
      </c>
      <c r="E801" t="s">
        <v>23</v>
      </c>
      <c r="G801" s="3" t="s">
        <v>1737</v>
      </c>
    </row>
    <row r="802" spans="1:7">
      <c r="A802" t="s">
        <v>1763</v>
      </c>
      <c r="B802" s="36">
        <v>46081</v>
      </c>
      <c r="C802" t="s">
        <v>30</v>
      </c>
      <c r="D802" t="s">
        <v>879</v>
      </c>
      <c r="E802" t="s">
        <v>22</v>
      </c>
      <c r="G802" s="3"/>
    </row>
    <row r="803" spans="1:7">
      <c r="A803" t="s">
        <v>1764</v>
      </c>
      <c r="B803" s="36">
        <v>46081</v>
      </c>
      <c r="C803" t="s">
        <v>30</v>
      </c>
      <c r="D803" t="s">
        <v>489</v>
      </c>
      <c r="E803" t="s">
        <v>22</v>
      </c>
      <c r="G803" s="3"/>
    </row>
    <row r="804" spans="1:7">
      <c r="A804" t="s">
        <v>1765</v>
      </c>
      <c r="B804" s="36">
        <v>46081</v>
      </c>
      <c r="C804" t="s">
        <v>30</v>
      </c>
      <c r="D804" t="s">
        <v>489</v>
      </c>
      <c r="E804" t="s">
        <v>22</v>
      </c>
      <c r="G804" s="3"/>
    </row>
    <row r="805" spans="1:7">
      <c r="A805" t="s">
        <v>1766</v>
      </c>
      <c r="B805" s="36">
        <v>46081</v>
      </c>
      <c r="C805" t="s">
        <v>30</v>
      </c>
      <c r="D805" t="s">
        <v>489</v>
      </c>
      <c r="E805" t="s">
        <v>22</v>
      </c>
      <c r="G805" s="3"/>
    </row>
    <row r="806" spans="1:7">
      <c r="A806" t="s">
        <v>1767</v>
      </c>
      <c r="B806" s="36">
        <v>46081</v>
      </c>
      <c r="C806" t="s">
        <v>30</v>
      </c>
      <c r="D806" t="s">
        <v>1020</v>
      </c>
      <c r="E806" t="s">
        <v>24</v>
      </c>
      <c r="G806" s="3" t="s">
        <v>1768</v>
      </c>
    </row>
    <row r="807" spans="1:7">
      <c r="A807" t="s">
        <v>1769</v>
      </c>
      <c r="B807" s="36">
        <v>46081</v>
      </c>
      <c r="C807" t="s">
        <v>30</v>
      </c>
      <c r="D807" t="s">
        <v>489</v>
      </c>
      <c r="E807" t="s">
        <v>22</v>
      </c>
      <c r="G807" s="3"/>
    </row>
    <row r="808" spans="1:7">
      <c r="A808" t="s">
        <v>1770</v>
      </c>
      <c r="B808" s="36">
        <v>46081</v>
      </c>
      <c r="C808" t="s">
        <v>30</v>
      </c>
      <c r="D808" t="s">
        <v>468</v>
      </c>
      <c r="E808" t="s">
        <v>22</v>
      </c>
      <c r="G808" s="3" t="s">
        <v>1931</v>
      </c>
    </row>
    <row r="809" spans="1:7">
      <c r="A809" t="s">
        <v>1772</v>
      </c>
      <c r="B809" s="36">
        <v>46081</v>
      </c>
      <c r="C809" t="s">
        <v>30</v>
      </c>
      <c r="D809" t="s">
        <v>1776</v>
      </c>
      <c r="E809" t="s">
        <v>155</v>
      </c>
      <c r="G809" s="3"/>
    </row>
    <row r="810" spans="1:7">
      <c r="A810" t="s">
        <v>1775</v>
      </c>
      <c r="B810" s="36">
        <v>46081</v>
      </c>
      <c r="C810" t="s">
        <v>35</v>
      </c>
      <c r="D810" t="s">
        <v>1776</v>
      </c>
      <c r="E810" t="s">
        <v>155</v>
      </c>
      <c r="G810" s="3"/>
    </row>
    <row r="811" spans="1:7">
      <c r="A811" t="s">
        <v>1778</v>
      </c>
      <c r="B811" s="36">
        <v>46081</v>
      </c>
      <c r="C811" t="s">
        <v>30</v>
      </c>
      <c r="D811" t="s">
        <v>1468</v>
      </c>
      <c r="E811" t="s">
        <v>24</v>
      </c>
      <c r="G811" s="3" t="s">
        <v>1780</v>
      </c>
    </row>
    <row r="812" spans="1:7">
      <c r="A812" t="s">
        <v>1779</v>
      </c>
      <c r="B812" s="36">
        <v>46081</v>
      </c>
      <c r="C812" t="s">
        <v>35</v>
      </c>
      <c r="D812" t="s">
        <v>1468</v>
      </c>
      <c r="E812" t="s">
        <v>24</v>
      </c>
      <c r="G812" s="3" t="s">
        <v>1780</v>
      </c>
    </row>
    <row r="813" spans="1:7">
      <c r="A813" t="s">
        <v>1781</v>
      </c>
      <c r="B813" s="36">
        <v>46081</v>
      </c>
      <c r="C813" t="s">
        <v>30</v>
      </c>
      <c r="D813" t="s">
        <v>359</v>
      </c>
      <c r="E813" t="s">
        <v>24</v>
      </c>
      <c r="G813" s="3"/>
    </row>
    <row r="814" spans="1:7">
      <c r="A814" t="s">
        <v>1782</v>
      </c>
      <c r="B814" s="36">
        <v>46081</v>
      </c>
      <c r="C814" t="s">
        <v>35</v>
      </c>
      <c r="D814" t="s">
        <v>359</v>
      </c>
      <c r="E814" t="s">
        <v>24</v>
      </c>
      <c r="G814" s="3"/>
    </row>
    <row r="815" spans="1:7">
      <c r="A815" t="s">
        <v>1783</v>
      </c>
      <c r="B815" s="36">
        <v>46081</v>
      </c>
      <c r="C815" t="s">
        <v>30</v>
      </c>
      <c r="D815" t="s">
        <v>151</v>
      </c>
      <c r="E815" t="s">
        <v>22</v>
      </c>
      <c r="G815" s="3"/>
    </row>
    <row r="816" spans="1:7">
      <c r="A816" t="s">
        <v>1784</v>
      </c>
      <c r="B816" s="36">
        <v>46081</v>
      </c>
      <c r="C816" t="s">
        <v>30</v>
      </c>
      <c r="D816" t="s">
        <v>1348</v>
      </c>
      <c r="E816" t="s">
        <v>22</v>
      </c>
      <c r="G816" s="3"/>
    </row>
    <row r="817" spans="1:7">
      <c r="A817" t="s">
        <v>1785</v>
      </c>
      <c r="B817" s="36">
        <v>46081</v>
      </c>
      <c r="C817" t="s">
        <v>30</v>
      </c>
      <c r="D817" t="s">
        <v>942</v>
      </c>
      <c r="E817" t="s">
        <v>22</v>
      </c>
      <c r="G817" s="3"/>
    </row>
    <row r="818" spans="1:7">
      <c r="A818" t="s">
        <v>1786</v>
      </c>
      <c r="B818" s="36">
        <v>46081</v>
      </c>
      <c r="C818" t="s">
        <v>30</v>
      </c>
      <c r="D818" t="s">
        <v>1456</v>
      </c>
      <c r="E818" t="s">
        <v>22</v>
      </c>
      <c r="G818" s="3" t="s">
        <v>1787</v>
      </c>
    </row>
    <row r="819" spans="1:7">
      <c r="A819" t="s">
        <v>1788</v>
      </c>
      <c r="B819" s="36">
        <v>46081</v>
      </c>
      <c r="C819" t="s">
        <v>30</v>
      </c>
      <c r="D819" t="s">
        <v>1348</v>
      </c>
      <c r="E819" t="s">
        <v>22</v>
      </c>
      <c r="G819" s="3" t="s">
        <v>977</v>
      </c>
    </row>
    <row r="820" spans="1:7">
      <c r="A820" t="s">
        <v>1789</v>
      </c>
      <c r="B820" s="36">
        <v>46081</v>
      </c>
      <c r="C820" t="s">
        <v>30</v>
      </c>
      <c r="D820" t="s">
        <v>942</v>
      </c>
      <c r="E820" t="s">
        <v>22</v>
      </c>
      <c r="G820" s="3" t="s">
        <v>977</v>
      </c>
    </row>
    <row r="821" spans="1:7">
      <c r="A821" t="s">
        <v>1790</v>
      </c>
      <c r="B821" s="36">
        <v>46081</v>
      </c>
      <c r="C821" t="s">
        <v>30</v>
      </c>
      <c r="D821" t="s">
        <v>1055</v>
      </c>
      <c r="E821" t="s">
        <v>22</v>
      </c>
      <c r="G821" s="3" t="s">
        <v>977</v>
      </c>
    </row>
    <row r="822" spans="1:7">
      <c r="A822" t="s">
        <v>1791</v>
      </c>
      <c r="B822" s="36">
        <v>46081</v>
      </c>
      <c r="C822" t="s">
        <v>30</v>
      </c>
      <c r="D822" t="s">
        <v>1711</v>
      </c>
      <c r="E822" t="s">
        <v>22</v>
      </c>
      <c r="G822" s="3"/>
    </row>
    <row r="823" spans="1:7">
      <c r="A823" t="s">
        <v>1792</v>
      </c>
      <c r="B823" s="36">
        <v>46081</v>
      </c>
      <c r="C823" t="s">
        <v>30</v>
      </c>
      <c r="D823" t="s">
        <v>1972</v>
      </c>
      <c r="E823" t="s">
        <v>23</v>
      </c>
      <c r="G823" s="3" t="s">
        <v>1973</v>
      </c>
    </row>
    <row r="824" spans="1:7">
      <c r="A824" t="s">
        <v>1793</v>
      </c>
      <c r="B824" s="36">
        <v>46081</v>
      </c>
      <c r="C824" t="s">
        <v>30</v>
      </c>
      <c r="D824" t="s">
        <v>1324</v>
      </c>
      <c r="E824" t="s">
        <v>22</v>
      </c>
      <c r="G824" s="3" t="s">
        <v>1795</v>
      </c>
    </row>
    <row r="825" spans="1:7">
      <c r="A825" t="s">
        <v>1794</v>
      </c>
      <c r="B825" s="36">
        <v>46081</v>
      </c>
      <c r="C825" t="s">
        <v>30</v>
      </c>
      <c r="D825" t="s">
        <v>1324</v>
      </c>
      <c r="E825" t="s">
        <v>22</v>
      </c>
      <c r="G825" s="3" t="s">
        <v>1796</v>
      </c>
    </row>
    <row r="826" spans="1:7">
      <c r="A826" t="s">
        <v>1797</v>
      </c>
      <c r="B826" s="36">
        <v>46081</v>
      </c>
      <c r="C826" t="s">
        <v>30</v>
      </c>
      <c r="D826" t="s">
        <v>1060</v>
      </c>
      <c r="E826" t="s">
        <v>22</v>
      </c>
      <c r="G826" s="3"/>
    </row>
    <row r="827" spans="1:7">
      <c r="A827" t="s">
        <v>1798</v>
      </c>
      <c r="B827" s="36">
        <v>46081</v>
      </c>
      <c r="C827" t="s">
        <v>30</v>
      </c>
      <c r="D827" t="s">
        <v>1456</v>
      </c>
      <c r="E827" t="s">
        <v>22</v>
      </c>
      <c r="G827" s="3"/>
    </row>
    <row r="828" spans="1:7">
      <c r="A828" t="s">
        <v>1799</v>
      </c>
      <c r="B828" s="36">
        <v>46081</v>
      </c>
      <c r="C828" t="s">
        <v>30</v>
      </c>
      <c r="D828" t="s">
        <v>1348</v>
      </c>
      <c r="E828" t="s">
        <v>22</v>
      </c>
      <c r="G828" s="3"/>
    </row>
    <row r="829" spans="1:7">
      <c r="A829" t="s">
        <v>1800</v>
      </c>
      <c r="B829" s="36">
        <v>46081</v>
      </c>
      <c r="C829" t="s">
        <v>30</v>
      </c>
      <c r="D829" t="s">
        <v>1350</v>
      </c>
      <c r="E829" t="s">
        <v>23</v>
      </c>
      <c r="G829" s="3" t="s">
        <v>1932</v>
      </c>
    </row>
    <row r="830" spans="1:7">
      <c r="A830" t="s">
        <v>1801</v>
      </c>
      <c r="B830" s="36">
        <v>46081</v>
      </c>
      <c r="C830" t="s">
        <v>30</v>
      </c>
      <c r="D830" t="s">
        <v>1948</v>
      </c>
      <c r="E830" t="s">
        <v>23</v>
      </c>
      <c r="G830" s="3" t="s">
        <v>1802</v>
      </c>
    </row>
    <row r="831" spans="1:7">
      <c r="A831" t="s">
        <v>1803</v>
      </c>
      <c r="B831" s="36">
        <v>46081</v>
      </c>
      <c r="C831" t="s">
        <v>30</v>
      </c>
      <c r="D831" t="s">
        <v>307</v>
      </c>
      <c r="E831" t="s">
        <v>23</v>
      </c>
      <c r="G831" s="3"/>
    </row>
    <row r="832" spans="1:7">
      <c r="A832" t="s">
        <v>1804</v>
      </c>
      <c r="B832" s="36">
        <v>46081</v>
      </c>
      <c r="C832" t="s">
        <v>30</v>
      </c>
      <c r="D832" t="s">
        <v>1060</v>
      </c>
      <c r="E832" t="s">
        <v>22</v>
      </c>
      <c r="G832" s="3"/>
    </row>
    <row r="833" spans="1:7">
      <c r="A833" t="s">
        <v>1805</v>
      </c>
      <c r="B833" s="36">
        <v>46081</v>
      </c>
      <c r="C833" t="s">
        <v>30</v>
      </c>
      <c r="D833" t="s">
        <v>942</v>
      </c>
      <c r="E833" t="s">
        <v>22</v>
      </c>
      <c r="G833" s="3"/>
    </row>
    <row r="834" spans="1:7">
      <c r="A834" t="s">
        <v>1806</v>
      </c>
      <c r="B834" s="36">
        <v>46081</v>
      </c>
      <c r="C834" t="s">
        <v>30</v>
      </c>
      <c r="D834" t="s">
        <v>1055</v>
      </c>
      <c r="E834" t="s">
        <v>22</v>
      </c>
      <c r="G834" s="3"/>
    </row>
    <row r="835" spans="1:7">
      <c r="A835" t="s">
        <v>1807</v>
      </c>
      <c r="B835" s="36">
        <v>46081</v>
      </c>
      <c r="C835" t="s">
        <v>33</v>
      </c>
      <c r="D835" t="s">
        <v>887</v>
      </c>
      <c r="E835" t="s">
        <v>24</v>
      </c>
      <c r="G835" s="3" t="s">
        <v>888</v>
      </c>
    </row>
    <row r="836" spans="1:7">
      <c r="A836" t="s">
        <v>1809</v>
      </c>
      <c r="B836" s="36">
        <v>46081</v>
      </c>
      <c r="C836" t="s">
        <v>35</v>
      </c>
      <c r="D836" t="s">
        <v>304</v>
      </c>
      <c r="E836" t="s">
        <v>24</v>
      </c>
      <c r="G836" s="3"/>
    </row>
    <row r="837" spans="1:7">
      <c r="A837" t="s">
        <v>1810</v>
      </c>
      <c r="B837" s="36">
        <v>46081</v>
      </c>
      <c r="C837" t="s">
        <v>30</v>
      </c>
      <c r="D837" t="s">
        <v>1948</v>
      </c>
      <c r="E837" t="s">
        <v>23</v>
      </c>
      <c r="G837" s="3" t="s">
        <v>151</v>
      </c>
    </row>
    <row r="838" spans="1:7">
      <c r="A838" t="s">
        <v>1811</v>
      </c>
      <c r="B838" s="36">
        <v>46081</v>
      </c>
      <c r="C838" t="s">
        <v>295</v>
      </c>
      <c r="D838" t="s">
        <v>495</v>
      </c>
      <c r="E838" t="s">
        <v>23</v>
      </c>
      <c r="G838" s="3"/>
    </row>
    <row r="839" spans="1:7">
      <c r="A839" t="s">
        <v>1812</v>
      </c>
      <c r="B839" s="36">
        <v>46081</v>
      </c>
      <c r="C839" t="s">
        <v>295</v>
      </c>
      <c r="D839" t="s">
        <v>495</v>
      </c>
      <c r="E839" t="s">
        <v>23</v>
      </c>
      <c r="G839" s="3"/>
    </row>
    <row r="840" spans="1:7">
      <c r="A840" t="s">
        <v>1813</v>
      </c>
      <c r="B840" s="36">
        <v>46081</v>
      </c>
      <c r="C840" t="s">
        <v>35</v>
      </c>
      <c r="D840" t="s">
        <v>304</v>
      </c>
      <c r="E840" t="s">
        <v>24</v>
      </c>
      <c r="G840" s="3"/>
    </row>
    <row r="841" spans="1:7">
      <c r="A841" t="s">
        <v>1814</v>
      </c>
      <c r="B841" s="36">
        <v>46081</v>
      </c>
      <c r="C841" t="s">
        <v>295</v>
      </c>
      <c r="D841" t="s">
        <v>1815</v>
      </c>
      <c r="E841" t="s">
        <v>24</v>
      </c>
      <c r="G841" s="3" t="s">
        <v>1816</v>
      </c>
    </row>
    <row r="842" spans="1:7">
      <c r="A842" t="s">
        <v>1817</v>
      </c>
      <c r="B842" s="36">
        <v>46081</v>
      </c>
      <c r="C842" t="s">
        <v>295</v>
      </c>
      <c r="D842" t="s">
        <v>1349</v>
      </c>
      <c r="E842" t="s">
        <v>24</v>
      </c>
      <c r="G842" s="3" t="s">
        <v>1818</v>
      </c>
    </row>
    <row r="843" spans="1:7">
      <c r="A843" t="s">
        <v>1819</v>
      </c>
      <c r="B843" s="36">
        <v>46081</v>
      </c>
      <c r="C843" t="s">
        <v>295</v>
      </c>
      <c r="D843" t="s">
        <v>495</v>
      </c>
      <c r="E843" t="s">
        <v>23</v>
      </c>
      <c r="G843" s="3" t="s">
        <v>790</v>
      </c>
    </row>
    <row r="844" spans="1:7">
      <c r="A844" t="s">
        <v>1820</v>
      </c>
      <c r="B844" s="36">
        <v>46081</v>
      </c>
      <c r="C844" t="s">
        <v>295</v>
      </c>
      <c r="D844" t="s">
        <v>1349</v>
      </c>
      <c r="E844" t="s">
        <v>24</v>
      </c>
      <c r="G844" s="3" t="s">
        <v>847</v>
      </c>
    </row>
    <row r="845" spans="1:7">
      <c r="A845" t="s">
        <v>1821</v>
      </c>
      <c r="B845" s="36">
        <v>46081</v>
      </c>
      <c r="C845" t="s">
        <v>295</v>
      </c>
      <c r="D845" t="s">
        <v>495</v>
      </c>
      <c r="E845" t="s">
        <v>23</v>
      </c>
      <c r="G845" s="3" t="s">
        <v>802</v>
      </c>
    </row>
    <row r="846" spans="1:7">
      <c r="A846" t="s">
        <v>1822</v>
      </c>
      <c r="B846" s="36">
        <v>46081</v>
      </c>
      <c r="C846" t="s">
        <v>295</v>
      </c>
      <c r="D846" t="s">
        <v>495</v>
      </c>
      <c r="E846" t="s">
        <v>23</v>
      </c>
      <c r="G846" s="3" t="s">
        <v>802</v>
      </c>
    </row>
    <row r="847" spans="1:7">
      <c r="A847" t="s">
        <v>1823</v>
      </c>
      <c r="B847" s="36">
        <v>46081</v>
      </c>
      <c r="C847" t="s">
        <v>295</v>
      </c>
      <c r="D847" t="s">
        <v>495</v>
      </c>
      <c r="E847" t="s">
        <v>23</v>
      </c>
      <c r="G847" s="3" t="s">
        <v>339</v>
      </c>
    </row>
    <row r="848" spans="1:7">
      <c r="A848" t="s">
        <v>1824</v>
      </c>
      <c r="B848" s="36">
        <v>46081</v>
      </c>
      <c r="C848" t="s">
        <v>295</v>
      </c>
      <c r="D848" t="s">
        <v>495</v>
      </c>
      <c r="E848" t="s">
        <v>23</v>
      </c>
      <c r="G848" s="3" t="s">
        <v>802</v>
      </c>
    </row>
    <row r="849" spans="1:7">
      <c r="A849" t="s">
        <v>1825</v>
      </c>
      <c r="B849" s="36">
        <v>46081</v>
      </c>
      <c r="C849" t="s">
        <v>35</v>
      </c>
      <c r="D849" t="s">
        <v>1445</v>
      </c>
      <c r="E849" t="s">
        <v>24</v>
      </c>
      <c r="G849" s="3" t="s">
        <v>351</v>
      </c>
    </row>
    <row r="850" spans="1:7">
      <c r="A850" t="s">
        <v>1826</v>
      </c>
      <c r="B850" s="36">
        <v>46081</v>
      </c>
      <c r="C850" t="s">
        <v>295</v>
      </c>
      <c r="D850" t="s">
        <v>881</v>
      </c>
      <c r="E850" t="s">
        <v>23</v>
      </c>
      <c r="G850" s="3"/>
    </row>
    <row r="851" spans="1:7">
      <c r="A851" t="s">
        <v>1827</v>
      </c>
      <c r="B851" s="36">
        <v>46081</v>
      </c>
      <c r="C851" t="s">
        <v>33</v>
      </c>
      <c r="D851" t="s">
        <v>1443</v>
      </c>
      <c r="E851" t="s">
        <v>24</v>
      </c>
      <c r="G851" s="3" t="s">
        <v>1828</v>
      </c>
    </row>
    <row r="852" spans="1:7">
      <c r="A852" t="s">
        <v>1829</v>
      </c>
      <c r="B852" s="36">
        <v>46081</v>
      </c>
      <c r="C852" t="s">
        <v>295</v>
      </c>
      <c r="D852" t="s">
        <v>495</v>
      </c>
      <c r="E852" t="s">
        <v>23</v>
      </c>
      <c r="G852" s="3" t="s">
        <v>802</v>
      </c>
    </row>
    <row r="853" spans="1:7">
      <c r="A853" t="s">
        <v>1830</v>
      </c>
      <c r="B853" s="36">
        <v>46081</v>
      </c>
      <c r="C853" t="s">
        <v>295</v>
      </c>
      <c r="D853" t="s">
        <v>495</v>
      </c>
      <c r="E853" t="s">
        <v>23</v>
      </c>
      <c r="G853" s="3" t="s">
        <v>802</v>
      </c>
    </row>
    <row r="854" spans="1:7">
      <c r="A854" t="s">
        <v>1831</v>
      </c>
      <c r="B854" s="36">
        <v>46081</v>
      </c>
      <c r="C854" t="s">
        <v>295</v>
      </c>
      <c r="D854" t="s">
        <v>495</v>
      </c>
      <c r="E854" t="s">
        <v>23</v>
      </c>
      <c r="G854" s="3" t="s">
        <v>790</v>
      </c>
    </row>
    <row r="855" spans="1:7">
      <c r="A855" t="s">
        <v>1832</v>
      </c>
      <c r="B855" s="36">
        <v>46081</v>
      </c>
      <c r="C855" t="s">
        <v>295</v>
      </c>
      <c r="D855" t="s">
        <v>804</v>
      </c>
      <c r="E855" t="s">
        <v>23</v>
      </c>
      <c r="G855" s="3" t="s">
        <v>806</v>
      </c>
    </row>
    <row r="856" spans="1:7">
      <c r="A856" t="s">
        <v>1833</v>
      </c>
      <c r="B856" s="36">
        <v>46081</v>
      </c>
      <c r="C856" t="s">
        <v>33</v>
      </c>
      <c r="D856" t="s">
        <v>1443</v>
      </c>
      <c r="E856" t="s">
        <v>24</v>
      </c>
      <c r="G856" s="3" t="s">
        <v>1834</v>
      </c>
    </row>
    <row r="857" spans="1:7">
      <c r="A857" t="s">
        <v>1835</v>
      </c>
      <c r="B857" s="36">
        <v>46081</v>
      </c>
      <c r="C857" t="s">
        <v>35</v>
      </c>
      <c r="D857" t="s">
        <v>1776</v>
      </c>
      <c r="E857" t="s">
        <v>155</v>
      </c>
      <c r="G857" s="3" t="s">
        <v>1836</v>
      </c>
    </row>
    <row r="858" spans="1:7">
      <c r="A858" t="s">
        <v>1837</v>
      </c>
      <c r="B858" s="36">
        <v>46081</v>
      </c>
      <c r="C858" t="s">
        <v>295</v>
      </c>
      <c r="D858" t="s">
        <v>804</v>
      </c>
      <c r="E858" t="s">
        <v>23</v>
      </c>
      <c r="G858" s="3"/>
    </row>
    <row r="859" spans="1:7">
      <c r="A859" t="s">
        <v>1838</v>
      </c>
      <c r="B859" s="36">
        <v>46081</v>
      </c>
      <c r="C859" t="s">
        <v>295</v>
      </c>
      <c r="D859" t="s">
        <v>335</v>
      </c>
      <c r="E859" t="s">
        <v>24</v>
      </c>
      <c r="G859" s="3" t="s">
        <v>1839</v>
      </c>
    </row>
    <row r="860" spans="1:7">
      <c r="A860" t="s">
        <v>1840</v>
      </c>
      <c r="B860" s="36">
        <v>46081</v>
      </c>
      <c r="C860" t="s">
        <v>35</v>
      </c>
      <c r="D860" t="s">
        <v>1349</v>
      </c>
      <c r="E860" t="s">
        <v>24</v>
      </c>
      <c r="G860" s="3" t="s">
        <v>1841</v>
      </c>
    </row>
    <row r="861" spans="1:7">
      <c r="A861" t="s">
        <v>1842</v>
      </c>
      <c r="B861" s="36">
        <v>46081</v>
      </c>
      <c r="C861" t="s">
        <v>295</v>
      </c>
      <c r="D861" t="s">
        <v>335</v>
      </c>
      <c r="E861" t="s">
        <v>24</v>
      </c>
      <c r="G861" s="3" t="s">
        <v>1843</v>
      </c>
    </row>
    <row r="862" spans="1:7">
      <c r="A862" t="s">
        <v>1844</v>
      </c>
      <c r="B862" s="36">
        <v>46081</v>
      </c>
      <c r="C862" t="s">
        <v>35</v>
      </c>
      <c r="D862" t="s">
        <v>359</v>
      </c>
      <c r="E862" t="s">
        <v>24</v>
      </c>
      <c r="G862" s="3" t="s">
        <v>702</v>
      </c>
    </row>
    <row r="863" spans="1:7">
      <c r="A863" t="s">
        <v>1845</v>
      </c>
      <c r="B863" s="36">
        <v>46081</v>
      </c>
      <c r="C863" t="s">
        <v>35</v>
      </c>
      <c r="D863" t="s">
        <v>359</v>
      </c>
      <c r="E863" t="s">
        <v>24</v>
      </c>
      <c r="G863" s="3" t="s">
        <v>702</v>
      </c>
    </row>
    <row r="864" spans="1:7">
      <c r="A864" t="s">
        <v>1846</v>
      </c>
      <c r="B864" s="36">
        <v>46081</v>
      </c>
      <c r="C864" t="s">
        <v>35</v>
      </c>
      <c r="D864" t="s">
        <v>427</v>
      </c>
      <c r="E864" t="s">
        <v>24</v>
      </c>
      <c r="G864" s="3" t="s">
        <v>149</v>
      </c>
    </row>
    <row r="865" spans="1:7">
      <c r="A865" t="s">
        <v>1847</v>
      </c>
      <c r="B865" s="36">
        <v>46081</v>
      </c>
      <c r="C865" t="s">
        <v>295</v>
      </c>
      <c r="D865" t="s">
        <v>335</v>
      </c>
      <c r="E865" t="s">
        <v>24</v>
      </c>
      <c r="G865" s="3" t="s">
        <v>1704</v>
      </c>
    </row>
    <row r="866" spans="1:7">
      <c r="A866" t="s">
        <v>1848</v>
      </c>
      <c r="B866" s="36">
        <v>46081</v>
      </c>
      <c r="C866" t="s">
        <v>295</v>
      </c>
      <c r="D866" t="s">
        <v>335</v>
      </c>
      <c r="E866" t="s">
        <v>24</v>
      </c>
      <c r="G866" s="3" t="s">
        <v>1849</v>
      </c>
    </row>
    <row r="867" spans="1:7">
      <c r="A867" t="s">
        <v>1850</v>
      </c>
      <c r="B867" s="36">
        <v>46081</v>
      </c>
      <c r="C867" t="s">
        <v>295</v>
      </c>
      <c r="D867" t="s">
        <v>1851</v>
      </c>
      <c r="E867" t="s">
        <v>24</v>
      </c>
      <c r="G867" s="3" t="s">
        <v>1852</v>
      </c>
    </row>
    <row r="868" spans="1:7">
      <c r="A868" t="s">
        <v>1853</v>
      </c>
      <c r="B868" s="36">
        <v>46081</v>
      </c>
      <c r="C868" t="s">
        <v>295</v>
      </c>
      <c r="D868" t="s">
        <v>1020</v>
      </c>
      <c r="E868" t="s">
        <v>24</v>
      </c>
      <c r="G868" s="3" t="s">
        <v>1854</v>
      </c>
    </row>
    <row r="869" spans="1:7">
      <c r="A869" t="s">
        <v>1855</v>
      </c>
      <c r="B869" s="36">
        <v>46081</v>
      </c>
      <c r="C869" t="s">
        <v>295</v>
      </c>
      <c r="D869" t="s">
        <v>1020</v>
      </c>
      <c r="E869" t="s">
        <v>24</v>
      </c>
      <c r="G869" s="3" t="s">
        <v>1856</v>
      </c>
    </row>
    <row r="870" spans="1:7">
      <c r="A870" t="s">
        <v>1857</v>
      </c>
      <c r="B870" s="36">
        <v>46081</v>
      </c>
      <c r="C870" t="s">
        <v>35</v>
      </c>
      <c r="D870" t="s">
        <v>1776</v>
      </c>
      <c r="E870" t="s">
        <v>155</v>
      </c>
      <c r="G870" s="3" t="s">
        <v>1836</v>
      </c>
    </row>
    <row r="871" spans="1:7">
      <c r="A871" t="s">
        <v>1858</v>
      </c>
      <c r="B871" s="36">
        <v>46081</v>
      </c>
      <c r="C871" t="s">
        <v>295</v>
      </c>
      <c r="D871" t="s">
        <v>335</v>
      </c>
      <c r="E871" t="s">
        <v>24</v>
      </c>
      <c r="G871" s="3" t="s">
        <v>1839</v>
      </c>
    </row>
    <row r="872" spans="1:7">
      <c r="A872" t="s">
        <v>1859</v>
      </c>
      <c r="B872" s="36">
        <v>46081</v>
      </c>
      <c r="C872" t="s">
        <v>295</v>
      </c>
      <c r="D872" t="s">
        <v>495</v>
      </c>
      <c r="E872" t="s">
        <v>23</v>
      </c>
      <c r="G872" s="3" t="s">
        <v>802</v>
      </c>
    </row>
    <row r="873" spans="1:7">
      <c r="A873" t="s">
        <v>1860</v>
      </c>
      <c r="B873" s="36">
        <v>46081</v>
      </c>
      <c r="C873" t="s">
        <v>295</v>
      </c>
      <c r="D873" t="s">
        <v>804</v>
      </c>
      <c r="E873" t="s">
        <v>23</v>
      </c>
      <c r="G873" s="3" t="s">
        <v>1861</v>
      </c>
    </row>
    <row r="874" spans="1:7">
      <c r="A874" t="s">
        <v>1862</v>
      </c>
      <c r="B874" s="36">
        <v>46081</v>
      </c>
      <c r="C874" t="s">
        <v>295</v>
      </c>
      <c r="D874" t="s">
        <v>495</v>
      </c>
      <c r="E874" t="s">
        <v>23</v>
      </c>
      <c r="G874" s="3" t="s">
        <v>802</v>
      </c>
    </row>
    <row r="875" spans="1:7">
      <c r="A875" t="s">
        <v>1863</v>
      </c>
      <c r="B875" s="36">
        <v>46081</v>
      </c>
      <c r="C875" t="s">
        <v>295</v>
      </c>
      <c r="D875" t="s">
        <v>495</v>
      </c>
      <c r="E875" t="s">
        <v>23</v>
      </c>
      <c r="G875" s="3" t="s">
        <v>802</v>
      </c>
    </row>
    <row r="876" spans="1:7">
      <c r="A876" t="s">
        <v>1864</v>
      </c>
      <c r="B876" s="36">
        <v>46081</v>
      </c>
      <c r="C876" t="s">
        <v>295</v>
      </c>
      <c r="D876" t="s">
        <v>1345</v>
      </c>
      <c r="E876" t="s">
        <v>23</v>
      </c>
      <c r="G876" s="3" t="s">
        <v>1865</v>
      </c>
    </row>
    <row r="877" spans="1:7">
      <c r="A877" t="s">
        <v>1866</v>
      </c>
      <c r="B877" s="36">
        <v>46081</v>
      </c>
      <c r="C877" t="s">
        <v>295</v>
      </c>
      <c r="D877" t="s">
        <v>495</v>
      </c>
      <c r="E877" t="s">
        <v>23</v>
      </c>
      <c r="G877" s="3" t="s">
        <v>802</v>
      </c>
    </row>
    <row r="878" spans="1:7">
      <c r="A878" t="s">
        <v>1867</v>
      </c>
      <c r="B878" s="36">
        <v>46081</v>
      </c>
      <c r="C878" t="s">
        <v>295</v>
      </c>
      <c r="D878" t="s">
        <v>495</v>
      </c>
      <c r="E878" t="s">
        <v>23</v>
      </c>
      <c r="G878" s="3" t="s">
        <v>1868</v>
      </c>
    </row>
    <row r="879" spans="1:7">
      <c r="A879" t="s">
        <v>1869</v>
      </c>
      <c r="B879" s="36">
        <v>46081</v>
      </c>
      <c r="C879" t="s">
        <v>295</v>
      </c>
      <c r="D879" t="s">
        <v>1418</v>
      </c>
      <c r="E879" t="s">
        <v>24</v>
      </c>
      <c r="G879" s="3" t="s">
        <v>699</v>
      </c>
    </row>
    <row r="880" spans="1:7">
      <c r="A880" t="s">
        <v>1870</v>
      </c>
      <c r="B880" s="36">
        <v>46081</v>
      </c>
      <c r="C880" t="s">
        <v>295</v>
      </c>
      <c r="D880" t="s">
        <v>1345</v>
      </c>
      <c r="E880" t="s">
        <v>23</v>
      </c>
      <c r="G880" s="3" t="s">
        <v>1871</v>
      </c>
    </row>
    <row r="881" spans="1:7">
      <c r="A881" t="s">
        <v>1872</v>
      </c>
      <c r="B881" s="36">
        <v>46081</v>
      </c>
      <c r="C881" t="s">
        <v>295</v>
      </c>
      <c r="D881" t="s">
        <v>1020</v>
      </c>
      <c r="E881" t="s">
        <v>24</v>
      </c>
      <c r="G881" s="3" t="s">
        <v>1873</v>
      </c>
    </row>
    <row r="882" spans="1:7">
      <c r="A882" t="s">
        <v>1874</v>
      </c>
      <c r="B882" s="36">
        <v>46081</v>
      </c>
      <c r="C882" t="s">
        <v>295</v>
      </c>
      <c r="D882" t="s">
        <v>427</v>
      </c>
      <c r="E882" t="s">
        <v>24</v>
      </c>
      <c r="G882" s="3" t="s">
        <v>681</v>
      </c>
    </row>
    <row r="883" spans="1:7">
      <c r="A883" t="s">
        <v>1875</v>
      </c>
      <c r="B883" s="36">
        <v>46081</v>
      </c>
      <c r="C883" t="s">
        <v>35</v>
      </c>
      <c r="D883" t="s">
        <v>1431</v>
      </c>
      <c r="E883" t="s">
        <v>24</v>
      </c>
      <c r="G883" s="3" t="s">
        <v>1876</v>
      </c>
    </row>
    <row r="884" spans="1:7">
      <c r="A884" t="s">
        <v>1877</v>
      </c>
      <c r="B884" s="36">
        <v>46081</v>
      </c>
      <c r="C884" t="s">
        <v>295</v>
      </c>
      <c r="D884" t="s">
        <v>1020</v>
      </c>
      <c r="E884" t="s">
        <v>24</v>
      </c>
      <c r="G884" s="3" t="s">
        <v>1878</v>
      </c>
    </row>
    <row r="885" spans="1:7">
      <c r="A885" t="s">
        <v>1879</v>
      </c>
      <c r="B885" s="36">
        <v>46081</v>
      </c>
      <c r="C885" t="s">
        <v>295</v>
      </c>
      <c r="D885" t="s">
        <v>804</v>
      </c>
      <c r="E885" t="s">
        <v>23</v>
      </c>
      <c r="G885" s="3" t="s">
        <v>1880</v>
      </c>
    </row>
    <row r="886" spans="1:7">
      <c r="A886" t="s">
        <v>1881</v>
      </c>
      <c r="B886" s="36">
        <v>46081</v>
      </c>
      <c r="C886" t="s">
        <v>33</v>
      </c>
      <c r="D886" t="s">
        <v>1443</v>
      </c>
      <c r="E886" t="s">
        <v>24</v>
      </c>
      <c r="G886" s="3" t="s">
        <v>1882</v>
      </c>
    </row>
    <row r="887" spans="1:7">
      <c r="A887" t="s">
        <v>1883</v>
      </c>
      <c r="B887" s="36">
        <v>46081</v>
      </c>
      <c r="C887" t="s">
        <v>295</v>
      </c>
      <c r="D887" t="s">
        <v>1349</v>
      </c>
      <c r="E887" t="s">
        <v>24</v>
      </c>
      <c r="G887" s="3"/>
    </row>
    <row r="888" spans="1:7">
      <c r="A888" t="s">
        <v>1884</v>
      </c>
      <c r="B888" s="36">
        <v>46081</v>
      </c>
      <c r="C888" t="s">
        <v>295</v>
      </c>
      <c r="D888" t="s">
        <v>335</v>
      </c>
      <c r="E888" t="s">
        <v>24</v>
      </c>
      <c r="G888" s="3" t="s">
        <v>1839</v>
      </c>
    </row>
    <row r="889" spans="1:7">
      <c r="A889" t="s">
        <v>1885</v>
      </c>
      <c r="B889" s="36">
        <v>46081</v>
      </c>
      <c r="C889" t="s">
        <v>295</v>
      </c>
      <c r="D889" t="s">
        <v>1345</v>
      </c>
      <c r="E889" t="s">
        <v>23</v>
      </c>
      <c r="G889" s="3" t="s">
        <v>1886</v>
      </c>
    </row>
    <row r="890" spans="1:7">
      <c r="A890" t="s">
        <v>1887</v>
      </c>
      <c r="B890" s="36">
        <v>46081</v>
      </c>
      <c r="C890" t="s">
        <v>295</v>
      </c>
      <c r="D890" t="s">
        <v>804</v>
      </c>
      <c r="E890" t="s">
        <v>23</v>
      </c>
      <c r="G890" s="3"/>
    </row>
    <row r="891" spans="1:7">
      <c r="A891" t="s">
        <v>1888</v>
      </c>
      <c r="B891" s="36">
        <v>46081</v>
      </c>
      <c r="C891" t="s">
        <v>295</v>
      </c>
      <c r="D891" t="s">
        <v>881</v>
      </c>
      <c r="E891" t="s">
        <v>24</v>
      </c>
      <c r="G891" s="3"/>
    </row>
    <row r="892" spans="1:7">
      <c r="A892" t="s">
        <v>1889</v>
      </c>
      <c r="B892" s="36">
        <v>46081</v>
      </c>
      <c r="C892" t="s">
        <v>295</v>
      </c>
      <c r="D892" t="s">
        <v>495</v>
      </c>
      <c r="E892" t="s">
        <v>23</v>
      </c>
      <c r="G892" s="3" t="s">
        <v>802</v>
      </c>
    </row>
    <row r="893" spans="1:7">
      <c r="A893" t="s">
        <v>1890</v>
      </c>
      <c r="B893" s="36">
        <v>46081</v>
      </c>
      <c r="C893" t="s">
        <v>295</v>
      </c>
      <c r="D893" t="s">
        <v>804</v>
      </c>
      <c r="E893" t="s">
        <v>23</v>
      </c>
      <c r="G893" s="3"/>
    </row>
    <row r="894" spans="1:7">
      <c r="A894" t="s">
        <v>1891</v>
      </c>
      <c r="B894" s="36">
        <v>46081</v>
      </c>
      <c r="C894" t="s">
        <v>35</v>
      </c>
      <c r="D894" t="s">
        <v>427</v>
      </c>
      <c r="E894" t="s">
        <v>24</v>
      </c>
      <c r="G894" s="3" t="s">
        <v>385</v>
      </c>
    </row>
    <row r="895" spans="1:7">
      <c r="A895" t="s">
        <v>1928</v>
      </c>
      <c r="B895" s="36">
        <v>46081</v>
      </c>
      <c r="C895" t="s">
        <v>35</v>
      </c>
      <c r="D895" t="s">
        <v>359</v>
      </c>
      <c r="E895" t="s">
        <v>24</v>
      </c>
      <c r="G895" s="3" t="s">
        <v>1929</v>
      </c>
    </row>
    <row r="896" spans="1:7">
      <c r="A896" t="s">
        <v>1892</v>
      </c>
      <c r="B896" s="36">
        <v>46081</v>
      </c>
      <c r="C896" t="s">
        <v>35</v>
      </c>
      <c r="D896" t="s">
        <v>396</v>
      </c>
      <c r="E896" t="s">
        <v>25</v>
      </c>
      <c r="G896" s="3"/>
    </row>
    <row r="897" spans="1:7">
      <c r="A897" t="s">
        <v>1893</v>
      </c>
      <c r="B897" s="36">
        <v>46081</v>
      </c>
      <c r="C897" t="s">
        <v>295</v>
      </c>
      <c r="D897" t="s">
        <v>1431</v>
      </c>
      <c r="E897" t="s">
        <v>24</v>
      </c>
      <c r="G897" s="3" t="s">
        <v>1894</v>
      </c>
    </row>
    <row r="898" spans="1:7">
      <c r="A898" t="s">
        <v>1895</v>
      </c>
      <c r="B898" s="36">
        <v>46081</v>
      </c>
      <c r="C898" t="s">
        <v>295</v>
      </c>
      <c r="D898" t="s">
        <v>427</v>
      </c>
      <c r="E898" t="s">
        <v>24</v>
      </c>
      <c r="G898" s="3" t="s">
        <v>342</v>
      </c>
    </row>
    <row r="899" spans="1:7">
      <c r="A899" t="s">
        <v>1896</v>
      </c>
      <c r="B899" s="36">
        <v>46081</v>
      </c>
      <c r="C899" t="s">
        <v>295</v>
      </c>
      <c r="D899" t="s">
        <v>495</v>
      </c>
      <c r="E899" t="s">
        <v>23</v>
      </c>
      <c r="G899" s="3" t="s">
        <v>790</v>
      </c>
    </row>
    <row r="900" spans="1:7">
      <c r="A900" t="s">
        <v>1897</v>
      </c>
      <c r="B900" s="36">
        <v>46081</v>
      </c>
      <c r="C900" t="s">
        <v>295</v>
      </c>
      <c r="D900" t="s">
        <v>495</v>
      </c>
      <c r="E900" t="s">
        <v>23</v>
      </c>
      <c r="G900" s="3" t="s">
        <v>790</v>
      </c>
    </row>
    <row r="901" spans="1:7">
      <c r="A901" t="s">
        <v>1898</v>
      </c>
      <c r="B901" s="36">
        <v>46081</v>
      </c>
      <c r="C901" t="s">
        <v>35</v>
      </c>
      <c r="D901" t="s">
        <v>1776</v>
      </c>
      <c r="E901" t="s">
        <v>155</v>
      </c>
      <c r="G901" s="3" t="s">
        <v>1899</v>
      </c>
    </row>
    <row r="902" spans="1:7">
      <c r="A902" t="s">
        <v>1900</v>
      </c>
      <c r="B902" s="36">
        <v>46081</v>
      </c>
      <c r="C902" t="s">
        <v>295</v>
      </c>
      <c r="D902" t="s">
        <v>489</v>
      </c>
      <c r="E902" t="s">
        <v>22</v>
      </c>
      <c r="G902" s="3" t="s">
        <v>699</v>
      </c>
    </row>
    <row r="903" spans="1:7">
      <c r="A903" t="s">
        <v>1901</v>
      </c>
      <c r="B903" s="36">
        <v>46081</v>
      </c>
      <c r="C903" t="s">
        <v>35</v>
      </c>
      <c r="D903" t="s">
        <v>381</v>
      </c>
      <c r="E903" t="s">
        <v>25</v>
      </c>
      <c r="G903" s="3" t="s">
        <v>1902</v>
      </c>
    </row>
    <row r="904" spans="1:7">
      <c r="A904" t="s">
        <v>1903</v>
      </c>
      <c r="B904" s="36">
        <v>46081</v>
      </c>
      <c r="C904" t="s">
        <v>35</v>
      </c>
      <c r="D904" t="s">
        <v>1351</v>
      </c>
      <c r="E904" t="s">
        <v>24</v>
      </c>
      <c r="G904" s="3" t="s">
        <v>1531</v>
      </c>
    </row>
    <row r="905" spans="1:7">
      <c r="A905" t="s">
        <v>1904</v>
      </c>
      <c r="B905" s="36">
        <v>46081</v>
      </c>
      <c r="C905" t="s">
        <v>295</v>
      </c>
      <c r="D905" t="s">
        <v>1349</v>
      </c>
      <c r="E905" t="s">
        <v>24</v>
      </c>
      <c r="G905" s="3" t="s">
        <v>847</v>
      </c>
    </row>
    <row r="906" spans="1:7">
      <c r="A906" t="s">
        <v>1905</v>
      </c>
      <c r="B906" s="36">
        <v>46081</v>
      </c>
      <c r="C906" t="s">
        <v>295</v>
      </c>
      <c r="D906" t="s">
        <v>1431</v>
      </c>
      <c r="E906" t="s">
        <v>24</v>
      </c>
      <c r="G906" s="3" t="s">
        <v>1906</v>
      </c>
    </row>
    <row r="907" spans="1:7">
      <c r="A907" t="s">
        <v>1907</v>
      </c>
      <c r="B907" s="36">
        <v>46081</v>
      </c>
      <c r="C907" t="s">
        <v>295</v>
      </c>
      <c r="D907" t="s">
        <v>1442</v>
      </c>
      <c r="E907" t="s">
        <v>24</v>
      </c>
      <c r="G907" s="3"/>
    </row>
    <row r="908" spans="1:7">
      <c r="A908" t="s">
        <v>1908</v>
      </c>
      <c r="B908" s="36">
        <v>46081</v>
      </c>
      <c r="C908" t="s">
        <v>295</v>
      </c>
      <c r="D908" t="s">
        <v>1431</v>
      </c>
      <c r="E908" t="s">
        <v>24</v>
      </c>
      <c r="G908" s="3" t="s">
        <v>1910</v>
      </c>
    </row>
    <row r="909" spans="1:7">
      <c r="A909" t="s">
        <v>1909</v>
      </c>
      <c r="B909" s="36">
        <v>46081</v>
      </c>
      <c r="C909" t="s">
        <v>295</v>
      </c>
      <c r="D909" t="s">
        <v>1431</v>
      </c>
      <c r="E909" t="s">
        <v>24</v>
      </c>
      <c r="G909" s="3" t="s">
        <v>1911</v>
      </c>
    </row>
    <row r="910" spans="1:7">
      <c r="A910" t="s">
        <v>1912</v>
      </c>
      <c r="B910" s="36">
        <v>46081</v>
      </c>
      <c r="C910" t="s">
        <v>35</v>
      </c>
      <c r="D910" t="s">
        <v>1776</v>
      </c>
      <c r="E910" t="s">
        <v>155</v>
      </c>
      <c r="G910" s="3" t="s">
        <v>1913</v>
      </c>
    </row>
    <row r="911" spans="1:7">
      <c r="A911" t="s">
        <v>1914</v>
      </c>
      <c r="B911" s="36">
        <v>46081</v>
      </c>
      <c r="C911" t="s">
        <v>295</v>
      </c>
      <c r="D911" t="s">
        <v>360</v>
      </c>
      <c r="E911" t="s">
        <v>24</v>
      </c>
      <c r="G911" s="3" t="s">
        <v>320</v>
      </c>
    </row>
    <row r="912" spans="1:7">
      <c r="A912" t="s">
        <v>1915</v>
      </c>
      <c r="B912" s="36">
        <v>46081</v>
      </c>
      <c r="C912" t="s">
        <v>295</v>
      </c>
      <c r="D912" t="s">
        <v>881</v>
      </c>
      <c r="E912" t="s">
        <v>23</v>
      </c>
      <c r="G912" s="3"/>
    </row>
    <row r="913" spans="1:7">
      <c r="A913" t="s">
        <v>1916</v>
      </c>
      <c r="B913" s="36">
        <v>46081</v>
      </c>
      <c r="C913" t="s">
        <v>295</v>
      </c>
      <c r="D913" t="s">
        <v>877</v>
      </c>
      <c r="E913" t="s">
        <v>24</v>
      </c>
      <c r="G913" s="3"/>
    </row>
    <row r="914" spans="1:7">
      <c r="A914" t="s">
        <v>1917</v>
      </c>
      <c r="B914" s="36">
        <v>46081</v>
      </c>
      <c r="C914" t="s">
        <v>295</v>
      </c>
      <c r="D914" t="s">
        <v>359</v>
      </c>
      <c r="E914" t="s">
        <v>24</v>
      </c>
      <c r="G914" s="3"/>
    </row>
    <row r="915" spans="1:7">
      <c r="A915" t="s">
        <v>1918</v>
      </c>
      <c r="B915" s="36">
        <v>46081</v>
      </c>
      <c r="C915" t="s">
        <v>35</v>
      </c>
      <c r="D915" t="s">
        <v>359</v>
      </c>
      <c r="E915" t="s">
        <v>24</v>
      </c>
      <c r="G915" s="3"/>
    </row>
    <row r="916" spans="1:7">
      <c r="A916" t="s">
        <v>1919</v>
      </c>
      <c r="B916" s="36">
        <v>46081</v>
      </c>
      <c r="C916" t="s">
        <v>295</v>
      </c>
      <c r="D916" t="s">
        <v>804</v>
      </c>
      <c r="E916" t="s">
        <v>23</v>
      </c>
      <c r="G916" s="3" t="s">
        <v>1338</v>
      </c>
    </row>
    <row r="917" spans="1:7">
      <c r="A917" t="s">
        <v>1920</v>
      </c>
      <c r="B917" s="36">
        <v>46081</v>
      </c>
      <c r="C917" t="s">
        <v>295</v>
      </c>
      <c r="D917" t="s">
        <v>151</v>
      </c>
      <c r="E917" t="s">
        <v>22</v>
      </c>
      <c r="G917" s="3"/>
    </row>
    <row r="918" spans="1:7">
      <c r="A918" t="s">
        <v>1921</v>
      </c>
      <c r="B918" s="36">
        <v>46081</v>
      </c>
      <c r="C918" t="s">
        <v>295</v>
      </c>
      <c r="D918" t="s">
        <v>307</v>
      </c>
      <c r="E918" t="s">
        <v>23</v>
      </c>
      <c r="G918" s="3"/>
    </row>
    <row r="919" spans="1:7">
      <c r="A919" t="s">
        <v>1922</v>
      </c>
      <c r="B919" s="36">
        <v>46081</v>
      </c>
      <c r="C919" t="s">
        <v>35</v>
      </c>
      <c r="D919" t="s">
        <v>444</v>
      </c>
      <c r="E919" t="s">
        <v>24</v>
      </c>
      <c r="G919" s="3" t="s">
        <v>1923</v>
      </c>
    </row>
    <row r="920" spans="1:7">
      <c r="A920" t="s">
        <v>1925</v>
      </c>
      <c r="B920" s="36">
        <v>46081</v>
      </c>
      <c r="C920" t="s">
        <v>295</v>
      </c>
      <c r="D920" t="s">
        <v>1948</v>
      </c>
      <c r="E920" t="s">
        <v>23</v>
      </c>
      <c r="G920" s="3" t="s">
        <v>1926</v>
      </c>
    </row>
    <row r="921" spans="1:7">
      <c r="A921" t="s">
        <v>1927</v>
      </c>
      <c r="B921" s="36">
        <v>46081</v>
      </c>
      <c r="C921" t="s">
        <v>295</v>
      </c>
      <c r="D921" t="s">
        <v>1408</v>
      </c>
      <c r="E921" t="s">
        <v>1407</v>
      </c>
      <c r="G921" s="3"/>
    </row>
  </sheetData>
  <phoneticPr fontId="6" type="noConversion"/>
  <dataValidations count="2">
    <dataValidation type="list" allowBlank="1" showInputMessage="1" showErrorMessage="1" sqref="F444 E2:E921" xr:uid="{50238286-9FDA-4270-A137-4DEDC07F7916}">
      <formula1>INDIRECT("config_IS[Node]")</formula1>
    </dataValidation>
    <dataValidation type="list" allowBlank="1" showInputMessage="1" showErrorMessage="1" sqref="C2:C921" xr:uid="{2A9839A0-BEAC-420B-BAC2-7B57A3D95195}">
      <formula1>INDIRECT("config_div[Id]")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0F9EA-B3A0-459C-94FC-994ACB80C5A6}">
  <sheetPr codeName="Sheet3">
    <tabColor theme="4" tint="0.39997558519241921"/>
  </sheetPr>
  <dimension ref="A1:W1542"/>
  <sheetViews>
    <sheetView tabSelected="1" zoomScaleNormal="100" workbookViewId="0">
      <pane ySplit="1" topLeftCell="A71" activePane="bottomLeft" state="frozen"/>
      <selection pane="bottomLeft" activeCell="D1" sqref="D1"/>
    </sheetView>
  </sheetViews>
  <sheetFormatPr defaultRowHeight="15"/>
  <cols>
    <col min="1" max="1" width="10" bestFit="1" customWidth="1"/>
    <col min="2" max="2" width="12.42578125" bestFit="1" customWidth="1"/>
    <col min="3" max="3" width="7.28515625" customWidth="1"/>
    <col min="4" max="4" width="14" bestFit="1" customWidth="1"/>
    <col min="5" max="5" width="12.28515625" bestFit="1" customWidth="1"/>
    <col min="6" max="6" width="9.42578125" bestFit="1" customWidth="1"/>
    <col min="7" max="7" width="16.85546875" bestFit="1" customWidth="1"/>
    <col min="8" max="8" width="15.28515625" customWidth="1"/>
    <col min="9" max="9" width="9.5703125" customWidth="1"/>
    <col min="10" max="10" width="13.140625" customWidth="1"/>
    <col min="11" max="11" width="5.28515625" customWidth="1"/>
    <col min="12" max="12" width="7.42578125" customWidth="1"/>
    <col min="13" max="13" width="10" customWidth="1"/>
    <col min="14" max="15" width="8.140625" customWidth="1"/>
    <col min="16" max="16" width="14.28515625" customWidth="1"/>
    <col min="17" max="17" width="15.85546875" bestFit="1" customWidth="1"/>
    <col min="18" max="18" width="10.42578125" customWidth="1"/>
    <col min="19" max="19" width="9.28515625" customWidth="1"/>
    <col min="20" max="20" width="5.28515625" customWidth="1"/>
    <col min="21" max="21" width="6.85546875" customWidth="1"/>
    <col min="23" max="23" width="9.85546875" bestFit="1" customWidth="1"/>
  </cols>
  <sheetData>
    <row r="1" spans="1:21">
      <c r="A1" s="6" t="s">
        <v>42</v>
      </c>
      <c r="B1" s="6" t="s">
        <v>1985</v>
      </c>
      <c r="C1" s="6" t="s">
        <v>39</v>
      </c>
      <c r="D1" s="6" t="s">
        <v>308</v>
      </c>
      <c r="E1" s="6" t="s">
        <v>122</v>
      </c>
      <c r="F1" s="6" t="s">
        <v>1984</v>
      </c>
      <c r="G1" s="6" t="s">
        <v>43</v>
      </c>
      <c r="H1" s="6" t="s">
        <v>44</v>
      </c>
      <c r="I1" s="6" t="s">
        <v>46</v>
      </c>
      <c r="J1" s="6" t="s">
        <v>45</v>
      </c>
      <c r="K1" s="6" t="s">
        <v>47</v>
      </c>
      <c r="L1" s="6" t="s">
        <v>48</v>
      </c>
      <c r="M1" s="6" t="s">
        <v>49</v>
      </c>
      <c r="N1" s="6" t="s">
        <v>41</v>
      </c>
      <c r="O1" s="6" t="s">
        <v>1976</v>
      </c>
      <c r="P1" s="6" t="s">
        <v>182</v>
      </c>
      <c r="Q1" s="6" t="s">
        <v>181</v>
      </c>
      <c r="R1" s="6" t="s">
        <v>187</v>
      </c>
      <c r="S1" s="6" t="s">
        <v>292</v>
      </c>
      <c r="T1" s="6" t="s">
        <v>312</v>
      </c>
      <c r="U1" s="6" t="s">
        <v>288</v>
      </c>
    </row>
    <row r="2" spans="1:21">
      <c r="A2" s="11" t="s">
        <v>236</v>
      </c>
      <c r="B2" s="7">
        <f>_xlfn.XLOOKUP(Jnl[[#This Row],[TrxId]], Trx[Id], Trx[Date],,0)</f>
        <v>46022</v>
      </c>
      <c r="C2" s="7" t="str">
        <f>_xlfn.XLOOKUP(Jnl[[#This Row],[TrxId]], Trx[Id], Trx[Division],,0)</f>
        <v>Ctrl</v>
      </c>
      <c r="D2" s="7" t="str">
        <f>_xlfn.XLOOKUP(Jnl[[#This Row],[TrxId]], Trx[Id], Trx[Action],,0)</f>
        <v>结转</v>
      </c>
      <c r="E2" s="26" t="s">
        <v>80</v>
      </c>
      <c r="F2" s="11" t="s">
        <v>12</v>
      </c>
      <c r="G2" s="11" t="s">
        <v>50</v>
      </c>
      <c r="H2" s="72">
        <v>1982899.24</v>
      </c>
      <c r="I2" s="5" t="b">
        <f>AND(Jnl[[#This Row],[TrxId]]&lt;&gt;"",Jnl[[#This Row],[Acct]]&lt;&gt;"",Jnl[[#This Row],[Item]]&lt;&gt;"",ISNUMBER(Jnl[[#This Row],[Bal]]))</f>
        <v>1</v>
      </c>
      <c r="J2" s="10">
        <f>IF(Jnl[[#This Row],[BSLv0]]="A",1,-1)*Jnl[[#This Row],[Bal]]</f>
        <v>1982899.24</v>
      </c>
      <c r="K2" t="str">
        <f>_xlfn.XLOOKUP(Jnl[[#This Row],[Acct]], config_BS[Acct], config_BS[Lv0],,0)</f>
        <v>A</v>
      </c>
      <c r="L2" t="str">
        <f>_xlfn.XLOOKUP(Jnl[[#This Row],[Acct]], config_BS[Acct], config_BS[Lv1],,0)</f>
        <v>Assets</v>
      </c>
      <c r="M2" t="str">
        <f>_xlfn.XLOOKUP(Jnl[[#This Row],[Acct]], config_BS[Acct], config_BS[Lv2],,0)</f>
        <v>Cash alike</v>
      </c>
      <c r="N2" t="str">
        <f>_xlfn.XLOOKUP(Jnl[[#This Row],[TrxId]], Trx[Id], Trx[IncNode], ,0)</f>
        <v>Other</v>
      </c>
      <c r="O2" t="str">
        <f>_xlfn.XLOOKUP(Jnl[[#This Row],[IncNode]], config_IS[Node], config_IS[Type],,0)</f>
        <v>Non-Op</v>
      </c>
      <c r="P2" t="str">
        <f>_xlfn.XLOOKUP(Jnl[[#This Row],[BSLv2]], dict[Key], dict[Name],,0)</f>
        <v>0.现金及类似</v>
      </c>
      <c r="Q2" t="str">
        <f>_xlfn.XLOOKUP(Jnl[[#This Row],[Acct]], dict[Key], dict[Name],,0)</f>
        <v>银行</v>
      </c>
      <c r="R2" t="str">
        <f>_xlfn.XLOOKUP(Jnl[[#This Row],[Vehicle]],config_vehicle[Id], config_vehicle[Name],,0)</f>
        <v>远家花园</v>
      </c>
      <c r="S2" t="str">
        <f>_xlfn.XLOOKUP(Jnl[[#This Row],[Division]],config_div[Id], config_div[Name],,0)</f>
        <v>内控合规</v>
      </c>
      <c r="T2" t="str">
        <f>IF(Jnl[[#This Row],[TrxDate]]&lt;=stmt_BS_date_end, "In", "Out")</f>
        <v>In</v>
      </c>
      <c r="U2" t="str">
        <f>IF(Jnl[[#This Row],[TrxDate]]&lt;debug_date_start, "prior", IF(Jnl[[#This Row],[TrxDate]]&gt;debug_date_end, "post", "curr"))</f>
        <v>prior</v>
      </c>
    </row>
    <row r="3" spans="1:21">
      <c r="A3" s="11" t="s">
        <v>236</v>
      </c>
      <c r="B3" s="7">
        <f>_xlfn.XLOOKUP(Jnl[[#This Row],[TrxId]], Trx[Id], Trx[Date],,0)</f>
        <v>46022</v>
      </c>
      <c r="C3" s="7" t="str">
        <f>_xlfn.XLOOKUP(Jnl[[#This Row],[TrxId]], Trx[Id], Trx[Division],,0)</f>
        <v>Ctrl</v>
      </c>
      <c r="D3" s="7" t="str">
        <f>_xlfn.XLOOKUP(Jnl[[#This Row],[TrxId]], Trx[Id], Trx[Action],,0)</f>
        <v>结转</v>
      </c>
      <c r="E3" s="26" t="s">
        <v>93</v>
      </c>
      <c r="F3" s="11" t="s">
        <v>12</v>
      </c>
      <c r="G3" s="11" t="s">
        <v>89</v>
      </c>
      <c r="H3" s="72">
        <v>1238274.1000000001</v>
      </c>
      <c r="I3" s="5" t="b">
        <f>AND(Jnl[[#This Row],[TrxId]]&lt;&gt;"",Jnl[[#This Row],[Acct]]&lt;&gt;"",Jnl[[#This Row],[Item]]&lt;&gt;"",ISNUMBER(Jnl[[#This Row],[Bal]]))</f>
        <v>1</v>
      </c>
      <c r="J3" s="10">
        <f>IF(Jnl[[#This Row],[BSLv0]]="A",1,-1)*Jnl[[#This Row],[Bal]]</f>
        <v>1238274.1000000001</v>
      </c>
      <c r="K3" t="str">
        <f>_xlfn.XLOOKUP(Jnl[[#This Row],[Acct]], config_BS[Acct], config_BS[Lv0],,0)</f>
        <v>A</v>
      </c>
      <c r="L3" t="str">
        <f>_xlfn.XLOOKUP(Jnl[[#This Row],[Acct]], config_BS[Acct], config_BS[Lv1],,0)</f>
        <v>Assets</v>
      </c>
      <c r="M3" t="str">
        <f>_xlfn.XLOOKUP(Jnl[[#This Row],[Acct]], config_BS[Acct], config_BS[Lv2],,0)</f>
        <v>Cash alike</v>
      </c>
      <c r="N3" t="str">
        <f>_xlfn.XLOOKUP(Jnl[[#This Row],[TrxId]], Trx[Id], Trx[IncNode], ,0)</f>
        <v>Other</v>
      </c>
      <c r="O3" t="str">
        <f>_xlfn.XLOOKUP(Jnl[[#This Row],[IncNode]], config_IS[Node], config_IS[Type],,0)</f>
        <v>Non-Op</v>
      </c>
      <c r="P3" t="str">
        <f>_xlfn.XLOOKUP(Jnl[[#This Row],[BSLv2]], dict[Key], dict[Name],,0)</f>
        <v>0.现金及类似</v>
      </c>
      <c r="Q3" t="str">
        <f>_xlfn.XLOOKUP(Jnl[[#This Row],[Acct]], dict[Key], dict[Name],,0)</f>
        <v>银行</v>
      </c>
      <c r="R3" t="str">
        <f>_xlfn.XLOOKUP(Jnl[[#This Row],[Vehicle]],config_vehicle[Id], config_vehicle[Name],,0)</f>
        <v>创业园-琦</v>
      </c>
      <c r="S3" t="str">
        <f>_xlfn.XLOOKUP(Jnl[[#This Row],[Division]],config_div[Id], config_div[Name],,0)</f>
        <v>内控合规</v>
      </c>
      <c r="T3" t="str">
        <f>IF(Jnl[[#This Row],[TrxDate]]&lt;=stmt_BS_date_end, "In", "Out")</f>
        <v>In</v>
      </c>
      <c r="U3" t="str">
        <f>IF(Jnl[[#This Row],[TrxDate]]&lt;debug_date_start, "prior", IF(Jnl[[#This Row],[TrxDate]]&gt;debug_date_end, "post", "curr"))</f>
        <v>prior</v>
      </c>
    </row>
    <row r="4" spans="1:21">
      <c r="A4" s="11" t="s">
        <v>236</v>
      </c>
      <c r="B4" s="7">
        <f>_xlfn.XLOOKUP(Jnl[[#This Row],[TrxId]], Trx[Id], Trx[Date],,0)</f>
        <v>46022</v>
      </c>
      <c r="C4" s="7" t="str">
        <f>_xlfn.XLOOKUP(Jnl[[#This Row],[TrxId]], Trx[Id], Trx[Division],,0)</f>
        <v>Ctrl</v>
      </c>
      <c r="D4" s="7" t="str">
        <f>_xlfn.XLOOKUP(Jnl[[#This Row],[TrxId]], Trx[Id], Trx[Action],,0)</f>
        <v>结转</v>
      </c>
      <c r="E4" s="26" t="s">
        <v>85</v>
      </c>
      <c r="F4" s="11" t="s">
        <v>12</v>
      </c>
      <c r="G4" s="11" t="s">
        <v>90</v>
      </c>
      <c r="H4" s="72">
        <v>1597158.42</v>
      </c>
      <c r="I4" s="5" t="b">
        <f>AND(Jnl[[#This Row],[TrxId]]&lt;&gt;"",Jnl[[#This Row],[Acct]]&lt;&gt;"",Jnl[[#This Row],[Item]]&lt;&gt;"",ISNUMBER(Jnl[[#This Row],[Bal]]))</f>
        <v>1</v>
      </c>
      <c r="J4" s="10">
        <f>IF(Jnl[[#This Row],[BSLv0]]="A",1,-1)*Jnl[[#This Row],[Bal]]</f>
        <v>1597158.42</v>
      </c>
      <c r="K4" t="str">
        <f>_xlfn.XLOOKUP(Jnl[[#This Row],[Acct]], config_BS[Acct], config_BS[Lv0],,0)</f>
        <v>A</v>
      </c>
      <c r="L4" t="str">
        <f>_xlfn.XLOOKUP(Jnl[[#This Row],[Acct]], config_BS[Acct], config_BS[Lv1],,0)</f>
        <v>Assets</v>
      </c>
      <c r="M4" t="str">
        <f>_xlfn.XLOOKUP(Jnl[[#This Row],[Acct]], config_BS[Acct], config_BS[Lv2],,0)</f>
        <v>Cash alike</v>
      </c>
      <c r="N4" t="str">
        <f>_xlfn.XLOOKUP(Jnl[[#This Row],[TrxId]], Trx[Id], Trx[IncNode], ,0)</f>
        <v>Other</v>
      </c>
      <c r="O4" t="str">
        <f>_xlfn.XLOOKUP(Jnl[[#This Row],[IncNode]], config_IS[Node], config_IS[Type],,0)</f>
        <v>Non-Op</v>
      </c>
      <c r="P4" t="str">
        <f>_xlfn.XLOOKUP(Jnl[[#This Row],[BSLv2]], dict[Key], dict[Name],,0)</f>
        <v>0.现金及类似</v>
      </c>
      <c r="Q4" t="str">
        <f>_xlfn.XLOOKUP(Jnl[[#This Row],[Acct]], dict[Key], dict[Name],,0)</f>
        <v>银行</v>
      </c>
      <c r="R4" t="str">
        <f>_xlfn.XLOOKUP(Jnl[[#This Row],[Vehicle]],config_vehicle[Id], config_vehicle[Name],,0)</f>
        <v>桑木</v>
      </c>
      <c r="S4" t="str">
        <f>_xlfn.XLOOKUP(Jnl[[#This Row],[Division]],config_div[Id], config_div[Name],,0)</f>
        <v>内控合规</v>
      </c>
      <c r="T4" t="str">
        <f>IF(Jnl[[#This Row],[TrxDate]]&lt;=stmt_BS_date_end, "In", "Out")</f>
        <v>In</v>
      </c>
      <c r="U4" t="str">
        <f>IF(Jnl[[#This Row],[TrxDate]]&lt;debug_date_start, "prior", IF(Jnl[[#This Row],[TrxDate]]&gt;debug_date_end, "post", "curr"))</f>
        <v>prior</v>
      </c>
    </row>
    <row r="5" spans="1:21">
      <c r="A5" s="11" t="s">
        <v>236</v>
      </c>
      <c r="B5" s="7">
        <f>_xlfn.XLOOKUP(Jnl[[#This Row],[TrxId]], Trx[Id], Trx[Date],,0)</f>
        <v>46022</v>
      </c>
      <c r="C5" s="7" t="str">
        <f>_xlfn.XLOOKUP(Jnl[[#This Row],[TrxId]], Trx[Id], Trx[Division],,0)</f>
        <v>Ctrl</v>
      </c>
      <c r="D5" s="7" t="str">
        <f>_xlfn.XLOOKUP(Jnl[[#This Row],[TrxId]], Trx[Id], Trx[Action],,0)</f>
        <v>结转</v>
      </c>
      <c r="E5" s="26" t="s">
        <v>84</v>
      </c>
      <c r="F5" s="11" t="s">
        <v>12</v>
      </c>
      <c r="G5" s="11" t="s">
        <v>91</v>
      </c>
      <c r="H5" s="72">
        <v>2759122.91</v>
      </c>
      <c r="I5" s="5" t="b">
        <f>AND(Jnl[[#This Row],[TrxId]]&lt;&gt;"",Jnl[[#This Row],[Acct]]&lt;&gt;"",Jnl[[#This Row],[Item]]&lt;&gt;"",ISNUMBER(Jnl[[#This Row],[Bal]]))</f>
        <v>1</v>
      </c>
      <c r="J5" s="10">
        <f>IF(Jnl[[#This Row],[BSLv0]]="A",1,-1)*Jnl[[#This Row],[Bal]]</f>
        <v>2759122.91</v>
      </c>
      <c r="K5" t="str">
        <f>_xlfn.XLOOKUP(Jnl[[#This Row],[Acct]], config_BS[Acct], config_BS[Lv0],,0)</f>
        <v>A</v>
      </c>
      <c r="L5" t="str">
        <f>_xlfn.XLOOKUP(Jnl[[#This Row],[Acct]], config_BS[Acct], config_BS[Lv1],,0)</f>
        <v>Assets</v>
      </c>
      <c r="M5" t="str">
        <f>_xlfn.XLOOKUP(Jnl[[#This Row],[Acct]], config_BS[Acct], config_BS[Lv2],,0)</f>
        <v>Cash alike</v>
      </c>
      <c r="N5" t="str">
        <f>_xlfn.XLOOKUP(Jnl[[#This Row],[TrxId]], Trx[Id], Trx[IncNode], ,0)</f>
        <v>Other</v>
      </c>
      <c r="O5" t="str">
        <f>_xlfn.XLOOKUP(Jnl[[#This Row],[IncNode]], config_IS[Node], config_IS[Type],,0)</f>
        <v>Non-Op</v>
      </c>
      <c r="P5" t="str">
        <f>_xlfn.XLOOKUP(Jnl[[#This Row],[BSLv2]], dict[Key], dict[Name],,0)</f>
        <v>0.现金及类似</v>
      </c>
      <c r="Q5" t="str">
        <f>_xlfn.XLOOKUP(Jnl[[#This Row],[Acct]], dict[Key], dict[Name],,0)</f>
        <v>银行</v>
      </c>
      <c r="R5" t="str">
        <f>_xlfn.XLOOKUP(Jnl[[#This Row],[Vehicle]],config_vehicle[Id], config_vehicle[Name],,0)</f>
        <v>榆乐</v>
      </c>
      <c r="S5" t="str">
        <f>_xlfn.XLOOKUP(Jnl[[#This Row],[Division]],config_div[Id], config_div[Name],,0)</f>
        <v>内控合规</v>
      </c>
      <c r="T5" t="str">
        <f>IF(Jnl[[#This Row],[TrxDate]]&lt;=stmt_BS_date_end, "In", "Out")</f>
        <v>In</v>
      </c>
      <c r="U5" t="str">
        <f>IF(Jnl[[#This Row],[TrxDate]]&lt;debug_date_start, "prior", IF(Jnl[[#This Row],[TrxDate]]&gt;debug_date_end, "post", "curr"))</f>
        <v>prior</v>
      </c>
    </row>
    <row r="6" spans="1:21">
      <c r="A6" s="11" t="s">
        <v>236</v>
      </c>
      <c r="B6" s="7">
        <f>_xlfn.XLOOKUP(Jnl[[#This Row],[TrxId]], Trx[Id], Trx[Date],,0)</f>
        <v>46022</v>
      </c>
      <c r="C6" s="7" t="str">
        <f>_xlfn.XLOOKUP(Jnl[[#This Row],[TrxId]], Trx[Id], Trx[Division],,0)</f>
        <v>Ctrl</v>
      </c>
      <c r="D6" s="7" t="str">
        <f>_xlfn.XLOOKUP(Jnl[[#This Row],[TrxId]], Trx[Id], Trx[Action],,0)</f>
        <v>结转</v>
      </c>
      <c r="E6" s="26" t="s">
        <v>81</v>
      </c>
      <c r="F6" s="11" t="s">
        <v>12</v>
      </c>
      <c r="G6" s="11" t="s">
        <v>94</v>
      </c>
      <c r="H6" s="72">
        <v>838646.21</v>
      </c>
      <c r="I6" s="5" t="b">
        <f>AND(Jnl[[#This Row],[TrxId]]&lt;&gt;"",Jnl[[#This Row],[Acct]]&lt;&gt;"",Jnl[[#This Row],[Item]]&lt;&gt;"",ISNUMBER(Jnl[[#This Row],[Bal]]))</f>
        <v>1</v>
      </c>
      <c r="J6" s="10">
        <f>IF(Jnl[[#This Row],[BSLv0]]="A",1,-1)*Jnl[[#This Row],[Bal]]</f>
        <v>838646.21</v>
      </c>
      <c r="K6" t="str">
        <f>_xlfn.XLOOKUP(Jnl[[#This Row],[Acct]], config_BS[Acct], config_BS[Lv0],,0)</f>
        <v>A</v>
      </c>
      <c r="L6" t="str">
        <f>_xlfn.XLOOKUP(Jnl[[#This Row],[Acct]], config_BS[Acct], config_BS[Lv1],,0)</f>
        <v>Assets</v>
      </c>
      <c r="M6" t="str">
        <f>_xlfn.XLOOKUP(Jnl[[#This Row],[Acct]], config_BS[Acct], config_BS[Lv2],,0)</f>
        <v>Cash alike</v>
      </c>
      <c r="N6" t="str">
        <f>_xlfn.XLOOKUP(Jnl[[#This Row],[TrxId]], Trx[Id], Trx[IncNode], ,0)</f>
        <v>Other</v>
      </c>
      <c r="O6" t="str">
        <f>_xlfn.XLOOKUP(Jnl[[#This Row],[IncNode]], config_IS[Node], config_IS[Type],,0)</f>
        <v>Non-Op</v>
      </c>
      <c r="P6" t="str">
        <f>_xlfn.XLOOKUP(Jnl[[#This Row],[BSLv2]], dict[Key], dict[Name],,0)</f>
        <v>0.现金及类似</v>
      </c>
      <c r="Q6" t="str">
        <f>_xlfn.XLOOKUP(Jnl[[#This Row],[Acct]], dict[Key], dict[Name],,0)</f>
        <v>银行</v>
      </c>
      <c r="R6" t="str">
        <f>_xlfn.XLOOKUP(Jnl[[#This Row],[Vehicle]],config_vehicle[Id], config_vehicle[Name],,0)</f>
        <v>喜家文化</v>
      </c>
      <c r="S6" t="str">
        <f>_xlfn.XLOOKUP(Jnl[[#This Row],[Division]],config_div[Id], config_div[Name],,0)</f>
        <v>内控合规</v>
      </c>
      <c r="T6" t="str">
        <f>IF(Jnl[[#This Row],[TrxDate]]&lt;=stmt_BS_date_end, "In", "Out")</f>
        <v>In</v>
      </c>
      <c r="U6" t="str">
        <f>IF(Jnl[[#This Row],[TrxDate]]&lt;debug_date_start, "prior", IF(Jnl[[#This Row],[TrxDate]]&gt;debug_date_end, "post", "curr"))</f>
        <v>prior</v>
      </c>
    </row>
    <row r="7" spans="1:21">
      <c r="A7" s="11" t="s">
        <v>236</v>
      </c>
      <c r="B7" s="7">
        <f>_xlfn.XLOOKUP(Jnl[[#This Row],[TrxId]], Trx[Id], Trx[Date],,0)</f>
        <v>46022</v>
      </c>
      <c r="C7" s="7" t="str">
        <f>_xlfn.XLOOKUP(Jnl[[#This Row],[TrxId]], Trx[Id], Trx[Division],,0)</f>
        <v>Ctrl</v>
      </c>
      <c r="D7" s="7" t="str">
        <f>_xlfn.XLOOKUP(Jnl[[#This Row],[TrxId]], Trx[Id], Trx[Action],,0)</f>
        <v>结转</v>
      </c>
      <c r="E7" s="26" t="s">
        <v>81</v>
      </c>
      <c r="F7" s="11" t="s">
        <v>14</v>
      </c>
      <c r="G7" s="11" t="s">
        <v>97</v>
      </c>
      <c r="H7" s="72">
        <v>25540.15</v>
      </c>
      <c r="I7" s="5" t="b">
        <f>AND(Jnl[[#This Row],[TrxId]]&lt;&gt;"",Jnl[[#This Row],[Acct]]&lt;&gt;"",Jnl[[#This Row],[Item]]&lt;&gt;"",ISNUMBER(Jnl[[#This Row],[Bal]]))</f>
        <v>1</v>
      </c>
      <c r="J7" s="10">
        <f>IF(Jnl[[#This Row],[BSLv0]]="A",1,-1)*Jnl[[#This Row],[Bal]]</f>
        <v>25540.15</v>
      </c>
      <c r="K7" t="str">
        <f>_xlfn.XLOOKUP(Jnl[[#This Row],[Acct]], config_BS[Acct], config_BS[Lv0],,0)</f>
        <v>A</v>
      </c>
      <c r="L7" t="str">
        <f>_xlfn.XLOOKUP(Jnl[[#This Row],[Acct]], config_BS[Acct], config_BS[Lv1],,0)</f>
        <v>Assets</v>
      </c>
      <c r="M7" t="str">
        <f>_xlfn.XLOOKUP(Jnl[[#This Row],[Acct]], config_BS[Acct], config_BS[Lv2],,0)</f>
        <v>Cash alike</v>
      </c>
      <c r="N7" t="str">
        <f>_xlfn.XLOOKUP(Jnl[[#This Row],[TrxId]], Trx[Id], Trx[IncNode], ,0)</f>
        <v>Other</v>
      </c>
      <c r="O7" t="str">
        <f>_xlfn.XLOOKUP(Jnl[[#This Row],[IncNode]], config_IS[Node], config_IS[Type],,0)</f>
        <v>Non-Op</v>
      </c>
      <c r="P7" t="str">
        <f>_xlfn.XLOOKUP(Jnl[[#This Row],[BSLv2]], dict[Key], dict[Name],,0)</f>
        <v>0.现金及类似</v>
      </c>
      <c r="Q7" t="str">
        <f>_xlfn.XLOOKUP(Jnl[[#This Row],[Acct]], dict[Key], dict[Name],,0)</f>
        <v>物理现金</v>
      </c>
      <c r="R7" t="str">
        <f>_xlfn.XLOOKUP(Jnl[[#This Row],[Vehicle]],config_vehicle[Id], config_vehicle[Name],,0)</f>
        <v>喜家文化</v>
      </c>
      <c r="S7" t="str">
        <f>_xlfn.XLOOKUP(Jnl[[#This Row],[Division]],config_div[Id], config_div[Name],,0)</f>
        <v>内控合规</v>
      </c>
      <c r="T7" t="str">
        <f>IF(Jnl[[#This Row],[TrxDate]]&lt;=stmt_BS_date_end, "In", "Out")</f>
        <v>In</v>
      </c>
      <c r="U7" t="str">
        <f>IF(Jnl[[#This Row],[TrxDate]]&lt;debug_date_start, "prior", IF(Jnl[[#This Row],[TrxDate]]&gt;debug_date_end, "post", "curr"))</f>
        <v>prior</v>
      </c>
    </row>
    <row r="8" spans="1:21">
      <c r="A8" s="11" t="s">
        <v>236</v>
      </c>
      <c r="B8" s="7">
        <f>_xlfn.XLOOKUP(Jnl[[#This Row],[TrxId]], Trx[Id], Trx[Date],,0)</f>
        <v>46022</v>
      </c>
      <c r="C8" s="7" t="str">
        <f>_xlfn.XLOOKUP(Jnl[[#This Row],[TrxId]], Trx[Id], Trx[Division],,0)</f>
        <v>Ctrl</v>
      </c>
      <c r="D8" s="7" t="str">
        <f>_xlfn.XLOOKUP(Jnl[[#This Row],[TrxId]], Trx[Id], Trx[Action],,0)</f>
        <v>结转</v>
      </c>
      <c r="E8" s="26" t="s">
        <v>106</v>
      </c>
      <c r="F8" s="11" t="s">
        <v>12</v>
      </c>
      <c r="G8" s="11" t="s">
        <v>95</v>
      </c>
      <c r="H8" s="72">
        <v>125030.24</v>
      </c>
      <c r="I8" s="5" t="b">
        <f>AND(Jnl[[#This Row],[TrxId]]&lt;&gt;"",Jnl[[#This Row],[Acct]]&lt;&gt;"",Jnl[[#This Row],[Item]]&lt;&gt;"",ISNUMBER(Jnl[[#This Row],[Bal]]))</f>
        <v>1</v>
      </c>
      <c r="J8" s="10">
        <f>IF(Jnl[[#This Row],[BSLv0]]="A",1,-1)*Jnl[[#This Row],[Bal]]</f>
        <v>125030.24</v>
      </c>
      <c r="K8" t="str">
        <f>_xlfn.XLOOKUP(Jnl[[#This Row],[Acct]], config_BS[Acct], config_BS[Lv0],,0)</f>
        <v>A</v>
      </c>
      <c r="L8" t="str">
        <f>_xlfn.XLOOKUP(Jnl[[#This Row],[Acct]], config_BS[Acct], config_BS[Lv1],,0)</f>
        <v>Assets</v>
      </c>
      <c r="M8" t="str">
        <f>_xlfn.XLOOKUP(Jnl[[#This Row],[Acct]], config_BS[Acct], config_BS[Lv2],,0)</f>
        <v>Cash alike</v>
      </c>
      <c r="N8" t="str">
        <f>_xlfn.XLOOKUP(Jnl[[#This Row],[TrxId]], Trx[Id], Trx[IncNode], ,0)</f>
        <v>Other</v>
      </c>
      <c r="O8" t="str">
        <f>_xlfn.XLOOKUP(Jnl[[#This Row],[IncNode]], config_IS[Node], config_IS[Type],,0)</f>
        <v>Non-Op</v>
      </c>
      <c r="P8" t="str">
        <f>_xlfn.XLOOKUP(Jnl[[#This Row],[BSLv2]], dict[Key], dict[Name],,0)</f>
        <v>0.现金及类似</v>
      </c>
      <c r="Q8" t="str">
        <f>_xlfn.XLOOKUP(Jnl[[#This Row],[Acct]], dict[Key], dict[Name],,0)</f>
        <v>银行</v>
      </c>
      <c r="R8" t="str">
        <f>_xlfn.XLOOKUP(Jnl[[#This Row],[Vehicle]],config_vehicle[Id], config_vehicle[Name],,0)</f>
        <v>远家花园高新分公司</v>
      </c>
      <c r="S8" t="str">
        <f>_xlfn.XLOOKUP(Jnl[[#This Row],[Division]],config_div[Id], config_div[Name],,0)</f>
        <v>内控合规</v>
      </c>
      <c r="T8" t="str">
        <f>IF(Jnl[[#This Row],[TrxDate]]&lt;=stmt_BS_date_end, "In", "Out")</f>
        <v>In</v>
      </c>
      <c r="U8" t="str">
        <f>IF(Jnl[[#This Row],[TrxDate]]&lt;debug_date_start, "prior", IF(Jnl[[#This Row],[TrxDate]]&gt;debug_date_end, "post", "curr"))</f>
        <v>prior</v>
      </c>
    </row>
    <row r="9" spans="1:21">
      <c r="A9" s="11" t="s">
        <v>236</v>
      </c>
      <c r="B9" s="7">
        <f>_xlfn.XLOOKUP(Jnl[[#This Row],[TrxId]], Trx[Id], Trx[Date],,0)</f>
        <v>46022</v>
      </c>
      <c r="C9" s="7" t="str">
        <f>_xlfn.XLOOKUP(Jnl[[#This Row],[TrxId]], Trx[Id], Trx[Division],,0)</f>
        <v>Ctrl</v>
      </c>
      <c r="D9" s="7" t="str">
        <f>_xlfn.XLOOKUP(Jnl[[#This Row],[TrxId]], Trx[Id], Trx[Action],,0)</f>
        <v>结转</v>
      </c>
      <c r="E9" s="26" t="s">
        <v>106</v>
      </c>
      <c r="F9" s="11" t="s">
        <v>14</v>
      </c>
      <c r="G9" s="11" t="s">
        <v>96</v>
      </c>
      <c r="H9" s="72">
        <v>2000</v>
      </c>
      <c r="I9" s="5" t="b">
        <f>AND(Jnl[[#This Row],[TrxId]]&lt;&gt;"",Jnl[[#This Row],[Acct]]&lt;&gt;"",Jnl[[#This Row],[Item]]&lt;&gt;"",ISNUMBER(Jnl[[#This Row],[Bal]]))</f>
        <v>1</v>
      </c>
      <c r="J9" s="10">
        <f>IF(Jnl[[#This Row],[BSLv0]]="A",1,-1)*Jnl[[#This Row],[Bal]]</f>
        <v>2000</v>
      </c>
      <c r="K9" t="str">
        <f>_xlfn.XLOOKUP(Jnl[[#This Row],[Acct]], config_BS[Acct], config_BS[Lv0],,0)</f>
        <v>A</v>
      </c>
      <c r="L9" t="str">
        <f>_xlfn.XLOOKUP(Jnl[[#This Row],[Acct]], config_BS[Acct], config_BS[Lv1],,0)</f>
        <v>Assets</v>
      </c>
      <c r="M9" t="str">
        <f>_xlfn.XLOOKUP(Jnl[[#This Row],[Acct]], config_BS[Acct], config_BS[Lv2],,0)</f>
        <v>Cash alike</v>
      </c>
      <c r="N9" t="str">
        <f>_xlfn.XLOOKUP(Jnl[[#This Row],[TrxId]], Trx[Id], Trx[IncNode], ,0)</f>
        <v>Other</v>
      </c>
      <c r="O9" t="str">
        <f>_xlfn.XLOOKUP(Jnl[[#This Row],[IncNode]], config_IS[Node], config_IS[Type],,0)</f>
        <v>Non-Op</v>
      </c>
      <c r="P9" t="str">
        <f>_xlfn.XLOOKUP(Jnl[[#This Row],[BSLv2]], dict[Key], dict[Name],,0)</f>
        <v>0.现金及类似</v>
      </c>
      <c r="Q9" t="str">
        <f>_xlfn.XLOOKUP(Jnl[[#This Row],[Acct]], dict[Key], dict[Name],,0)</f>
        <v>物理现金</v>
      </c>
      <c r="R9" t="str">
        <f>_xlfn.XLOOKUP(Jnl[[#This Row],[Vehicle]],config_vehicle[Id], config_vehicle[Name],,0)</f>
        <v>远家花园高新分公司</v>
      </c>
      <c r="S9" t="str">
        <f>_xlfn.XLOOKUP(Jnl[[#This Row],[Division]],config_div[Id], config_div[Name],,0)</f>
        <v>内控合规</v>
      </c>
      <c r="T9" t="str">
        <f>IF(Jnl[[#This Row],[TrxDate]]&lt;=stmt_BS_date_end, "In", "Out")</f>
        <v>In</v>
      </c>
      <c r="U9" t="str">
        <f>IF(Jnl[[#This Row],[TrxDate]]&lt;debug_date_start, "prior", IF(Jnl[[#This Row],[TrxDate]]&gt;debug_date_end, "post", "curr"))</f>
        <v>prior</v>
      </c>
    </row>
    <row r="10" spans="1:21">
      <c r="A10" s="11" t="s">
        <v>236</v>
      </c>
      <c r="B10" s="7">
        <f>_xlfn.XLOOKUP(Jnl[[#This Row],[TrxId]], Trx[Id], Trx[Date],,0)</f>
        <v>46022</v>
      </c>
      <c r="C10" s="7" t="str">
        <f>_xlfn.XLOOKUP(Jnl[[#This Row],[TrxId]], Trx[Id], Trx[Division],,0)</f>
        <v>Ctrl</v>
      </c>
      <c r="D10" s="7" t="str">
        <f>_xlfn.XLOOKUP(Jnl[[#This Row],[TrxId]], Trx[Id], Trx[Action],,0)</f>
        <v>结转</v>
      </c>
      <c r="E10" s="26" t="s">
        <v>82</v>
      </c>
      <c r="F10" s="11" t="s">
        <v>12</v>
      </c>
      <c r="G10" s="11" t="s">
        <v>98</v>
      </c>
      <c r="H10" s="72">
        <v>1012107.86</v>
      </c>
      <c r="I10" s="5" t="b">
        <f>AND(Jnl[[#This Row],[TrxId]]&lt;&gt;"",Jnl[[#This Row],[Acct]]&lt;&gt;"",Jnl[[#This Row],[Item]]&lt;&gt;"",ISNUMBER(Jnl[[#This Row],[Bal]]))</f>
        <v>1</v>
      </c>
      <c r="J10" s="10">
        <f>IF(Jnl[[#This Row],[BSLv0]]="A",1,-1)*Jnl[[#This Row],[Bal]]</f>
        <v>1012107.86</v>
      </c>
      <c r="K10" t="str">
        <f>_xlfn.XLOOKUP(Jnl[[#This Row],[Acct]], config_BS[Acct], config_BS[Lv0],,0)</f>
        <v>A</v>
      </c>
      <c r="L10" t="str">
        <f>_xlfn.XLOOKUP(Jnl[[#This Row],[Acct]], config_BS[Acct], config_BS[Lv1],,0)</f>
        <v>Assets</v>
      </c>
      <c r="M10" t="str">
        <f>_xlfn.XLOOKUP(Jnl[[#This Row],[Acct]], config_BS[Acct], config_BS[Lv2],,0)</f>
        <v>Cash alike</v>
      </c>
      <c r="N10" t="str">
        <f>_xlfn.XLOOKUP(Jnl[[#This Row],[TrxId]], Trx[Id], Trx[IncNode], ,0)</f>
        <v>Other</v>
      </c>
      <c r="O10" t="str">
        <f>_xlfn.XLOOKUP(Jnl[[#This Row],[IncNode]], config_IS[Node], config_IS[Type],,0)</f>
        <v>Non-Op</v>
      </c>
      <c r="P10" t="str">
        <f>_xlfn.XLOOKUP(Jnl[[#This Row],[BSLv2]], dict[Key], dict[Name],,0)</f>
        <v>0.现金及类似</v>
      </c>
      <c r="Q10" t="str">
        <f>_xlfn.XLOOKUP(Jnl[[#This Row],[Acct]], dict[Key], dict[Name],,0)</f>
        <v>银行</v>
      </c>
      <c r="R10" t="str">
        <f>_xlfn.XLOOKUP(Jnl[[#This Row],[Vehicle]],config_vehicle[Id], config_vehicle[Name],,0)</f>
        <v>米小易</v>
      </c>
      <c r="S10" t="str">
        <f>_xlfn.XLOOKUP(Jnl[[#This Row],[Division]],config_div[Id], config_div[Name],,0)</f>
        <v>内控合规</v>
      </c>
      <c r="T10" t="str">
        <f>IF(Jnl[[#This Row],[TrxDate]]&lt;=stmt_BS_date_end, "In", "Out")</f>
        <v>In</v>
      </c>
      <c r="U10" t="str">
        <f>IF(Jnl[[#This Row],[TrxDate]]&lt;debug_date_start, "prior", IF(Jnl[[#This Row],[TrxDate]]&gt;debug_date_end, "post", "curr"))</f>
        <v>prior</v>
      </c>
    </row>
    <row r="11" spans="1:21">
      <c r="A11" s="11" t="s">
        <v>236</v>
      </c>
      <c r="B11" s="7">
        <f>_xlfn.XLOOKUP(Jnl[[#This Row],[TrxId]], Trx[Id], Trx[Date],,0)</f>
        <v>46022</v>
      </c>
      <c r="C11" s="7" t="str">
        <f>_xlfn.XLOOKUP(Jnl[[#This Row],[TrxId]], Trx[Id], Trx[Division],,0)</f>
        <v>Ctrl</v>
      </c>
      <c r="D11" s="7" t="str">
        <f>_xlfn.XLOOKUP(Jnl[[#This Row],[TrxId]], Trx[Id], Trx[Action],,0)</f>
        <v>结转</v>
      </c>
      <c r="E11" s="26" t="s">
        <v>82</v>
      </c>
      <c r="F11" s="11" t="s">
        <v>14</v>
      </c>
      <c r="G11" s="11" t="s">
        <v>99</v>
      </c>
      <c r="H11" s="72">
        <v>1304</v>
      </c>
      <c r="I11" s="5" t="b">
        <f>AND(Jnl[[#This Row],[TrxId]]&lt;&gt;"",Jnl[[#This Row],[Acct]]&lt;&gt;"",Jnl[[#This Row],[Item]]&lt;&gt;"",ISNUMBER(Jnl[[#This Row],[Bal]]))</f>
        <v>1</v>
      </c>
      <c r="J11" s="10">
        <f>IF(Jnl[[#This Row],[BSLv0]]="A",1,-1)*Jnl[[#This Row],[Bal]]</f>
        <v>1304</v>
      </c>
      <c r="K11" t="str">
        <f>_xlfn.XLOOKUP(Jnl[[#This Row],[Acct]], config_BS[Acct], config_BS[Lv0],,0)</f>
        <v>A</v>
      </c>
      <c r="L11" t="str">
        <f>_xlfn.XLOOKUP(Jnl[[#This Row],[Acct]], config_BS[Acct], config_BS[Lv1],,0)</f>
        <v>Assets</v>
      </c>
      <c r="M11" t="str">
        <f>_xlfn.XLOOKUP(Jnl[[#This Row],[Acct]], config_BS[Acct], config_BS[Lv2],,0)</f>
        <v>Cash alike</v>
      </c>
      <c r="N11" t="str">
        <f>_xlfn.XLOOKUP(Jnl[[#This Row],[TrxId]], Trx[Id], Trx[IncNode], ,0)</f>
        <v>Other</v>
      </c>
      <c r="O11" t="str">
        <f>_xlfn.XLOOKUP(Jnl[[#This Row],[IncNode]], config_IS[Node], config_IS[Type],,0)</f>
        <v>Non-Op</v>
      </c>
      <c r="P11" t="str">
        <f>_xlfn.XLOOKUP(Jnl[[#This Row],[BSLv2]], dict[Key], dict[Name],,0)</f>
        <v>0.现金及类似</v>
      </c>
      <c r="Q11" t="str">
        <f>_xlfn.XLOOKUP(Jnl[[#This Row],[Acct]], dict[Key], dict[Name],,0)</f>
        <v>物理现金</v>
      </c>
      <c r="R11" t="str">
        <f>_xlfn.XLOOKUP(Jnl[[#This Row],[Vehicle]],config_vehicle[Id], config_vehicle[Name],,0)</f>
        <v>米小易</v>
      </c>
      <c r="S11" t="str">
        <f>_xlfn.XLOOKUP(Jnl[[#This Row],[Division]],config_div[Id], config_div[Name],,0)</f>
        <v>内控合规</v>
      </c>
      <c r="T11" t="str">
        <f>IF(Jnl[[#This Row],[TrxDate]]&lt;=stmt_BS_date_end, "In", "Out")</f>
        <v>In</v>
      </c>
      <c r="U11" t="str">
        <f>IF(Jnl[[#This Row],[TrxDate]]&lt;debug_date_start, "prior", IF(Jnl[[#This Row],[TrxDate]]&gt;debug_date_end, "post", "curr"))</f>
        <v>prior</v>
      </c>
    </row>
    <row r="12" spans="1:21">
      <c r="A12" s="11" t="s">
        <v>236</v>
      </c>
      <c r="B12" s="7">
        <f>_xlfn.XLOOKUP(Jnl[[#This Row],[TrxId]], Trx[Id], Trx[Date],,0)</f>
        <v>46022</v>
      </c>
      <c r="C12" s="7" t="str">
        <f>_xlfn.XLOOKUP(Jnl[[#This Row],[TrxId]], Trx[Id], Trx[Division],,0)</f>
        <v>Ctrl</v>
      </c>
      <c r="D12" s="7" t="str">
        <f>_xlfn.XLOOKUP(Jnl[[#This Row],[TrxId]], Trx[Id], Trx[Action],,0)</f>
        <v>结转</v>
      </c>
      <c r="E12" s="26" t="s">
        <v>83</v>
      </c>
      <c r="F12" s="11" t="s">
        <v>12</v>
      </c>
      <c r="G12" s="11" t="s">
        <v>100</v>
      </c>
      <c r="H12" s="72">
        <v>174191.78</v>
      </c>
      <c r="I12" s="5" t="b">
        <f>AND(Jnl[[#This Row],[TrxId]]&lt;&gt;"",Jnl[[#This Row],[Acct]]&lt;&gt;"",Jnl[[#This Row],[Item]]&lt;&gt;"",ISNUMBER(Jnl[[#This Row],[Bal]]))</f>
        <v>1</v>
      </c>
      <c r="J12" s="10">
        <f>IF(Jnl[[#This Row],[BSLv0]]="A",1,-1)*Jnl[[#This Row],[Bal]]</f>
        <v>174191.78</v>
      </c>
      <c r="K12" t="str">
        <f>_xlfn.XLOOKUP(Jnl[[#This Row],[Acct]], config_BS[Acct], config_BS[Lv0],,0)</f>
        <v>A</v>
      </c>
      <c r="L12" t="str">
        <f>_xlfn.XLOOKUP(Jnl[[#This Row],[Acct]], config_BS[Acct], config_BS[Lv1],,0)</f>
        <v>Assets</v>
      </c>
      <c r="M12" t="str">
        <f>_xlfn.XLOOKUP(Jnl[[#This Row],[Acct]], config_BS[Acct], config_BS[Lv2],,0)</f>
        <v>Cash alike</v>
      </c>
      <c r="N12" t="str">
        <f>_xlfn.XLOOKUP(Jnl[[#This Row],[TrxId]], Trx[Id], Trx[IncNode], ,0)</f>
        <v>Other</v>
      </c>
      <c r="O12" t="str">
        <f>_xlfn.XLOOKUP(Jnl[[#This Row],[IncNode]], config_IS[Node], config_IS[Type],,0)</f>
        <v>Non-Op</v>
      </c>
      <c r="P12" t="str">
        <f>_xlfn.XLOOKUP(Jnl[[#This Row],[BSLv2]], dict[Key], dict[Name],,0)</f>
        <v>0.现金及类似</v>
      </c>
      <c r="Q12" t="str">
        <f>_xlfn.XLOOKUP(Jnl[[#This Row],[Acct]], dict[Key], dict[Name],,0)</f>
        <v>银行</v>
      </c>
      <c r="R12" t="str">
        <f>_xlfn.XLOOKUP(Jnl[[#This Row],[Vehicle]],config_vehicle[Id], config_vehicle[Name],,0)</f>
        <v>远家文化</v>
      </c>
      <c r="S12" t="str">
        <f>_xlfn.XLOOKUP(Jnl[[#This Row],[Division]],config_div[Id], config_div[Name],,0)</f>
        <v>内控合规</v>
      </c>
      <c r="T12" t="str">
        <f>IF(Jnl[[#This Row],[TrxDate]]&lt;=stmt_BS_date_end, "In", "Out")</f>
        <v>In</v>
      </c>
      <c r="U12" t="str">
        <f>IF(Jnl[[#This Row],[TrxDate]]&lt;debug_date_start, "prior", IF(Jnl[[#This Row],[TrxDate]]&gt;debug_date_end, "post", "curr"))</f>
        <v>prior</v>
      </c>
    </row>
    <row r="13" spans="1:21">
      <c r="A13" s="11" t="s">
        <v>236</v>
      </c>
      <c r="B13" s="7">
        <f>_xlfn.XLOOKUP(Jnl[[#This Row],[TrxId]], Trx[Id], Trx[Date],,0)</f>
        <v>46022</v>
      </c>
      <c r="C13" s="7" t="str">
        <f>_xlfn.XLOOKUP(Jnl[[#This Row],[TrxId]], Trx[Id], Trx[Division],,0)</f>
        <v>Ctrl</v>
      </c>
      <c r="D13" s="7" t="str">
        <f>_xlfn.XLOOKUP(Jnl[[#This Row],[TrxId]], Trx[Id], Trx[Action],,0)</f>
        <v>结转</v>
      </c>
      <c r="E13" s="26" t="s">
        <v>107</v>
      </c>
      <c r="F13" s="11" t="s">
        <v>12</v>
      </c>
      <c r="G13" s="11" t="s">
        <v>101</v>
      </c>
      <c r="H13" s="72">
        <v>21355.13</v>
      </c>
      <c r="I13" s="5" t="b">
        <f>AND(Jnl[[#This Row],[TrxId]]&lt;&gt;"",Jnl[[#This Row],[Acct]]&lt;&gt;"",Jnl[[#This Row],[Item]]&lt;&gt;"",ISNUMBER(Jnl[[#This Row],[Bal]]))</f>
        <v>1</v>
      </c>
      <c r="J13" s="10">
        <f>IF(Jnl[[#This Row],[BSLv0]]="A",1,-1)*Jnl[[#This Row],[Bal]]</f>
        <v>21355.13</v>
      </c>
      <c r="K13" t="str">
        <f>_xlfn.XLOOKUP(Jnl[[#This Row],[Acct]], config_BS[Acct], config_BS[Lv0],,0)</f>
        <v>A</v>
      </c>
      <c r="L13" t="str">
        <f>_xlfn.XLOOKUP(Jnl[[#This Row],[Acct]], config_BS[Acct], config_BS[Lv1],,0)</f>
        <v>Assets</v>
      </c>
      <c r="M13" t="str">
        <f>_xlfn.XLOOKUP(Jnl[[#This Row],[Acct]], config_BS[Acct], config_BS[Lv2],,0)</f>
        <v>Cash alike</v>
      </c>
      <c r="N13" t="str">
        <f>_xlfn.XLOOKUP(Jnl[[#This Row],[TrxId]], Trx[Id], Trx[IncNode], ,0)</f>
        <v>Other</v>
      </c>
      <c r="O13" t="str">
        <f>_xlfn.XLOOKUP(Jnl[[#This Row],[IncNode]], config_IS[Node], config_IS[Type],,0)</f>
        <v>Non-Op</v>
      </c>
      <c r="P13" t="str">
        <f>_xlfn.XLOOKUP(Jnl[[#This Row],[BSLv2]], dict[Key], dict[Name],,0)</f>
        <v>0.现金及类似</v>
      </c>
      <c r="Q13" t="str">
        <f>_xlfn.XLOOKUP(Jnl[[#This Row],[Acct]], dict[Key], dict[Name],,0)</f>
        <v>银行</v>
      </c>
      <c r="R13" t="str">
        <f>_xlfn.XLOOKUP(Jnl[[#This Row],[Vehicle]],config_vehicle[Id], config_vehicle[Name],,0)</f>
        <v>远家文化蒲江分公司</v>
      </c>
      <c r="S13" t="str">
        <f>_xlfn.XLOOKUP(Jnl[[#This Row],[Division]],config_div[Id], config_div[Name],,0)</f>
        <v>内控合规</v>
      </c>
      <c r="T13" t="str">
        <f>IF(Jnl[[#This Row],[TrxDate]]&lt;=stmt_BS_date_end, "In", "Out")</f>
        <v>In</v>
      </c>
      <c r="U13" t="str">
        <f>IF(Jnl[[#This Row],[TrxDate]]&lt;debug_date_start, "prior", IF(Jnl[[#This Row],[TrxDate]]&gt;debug_date_end, "post", "curr"))</f>
        <v>prior</v>
      </c>
    </row>
    <row r="14" spans="1:21">
      <c r="A14" s="11" t="s">
        <v>236</v>
      </c>
      <c r="B14" s="7">
        <f>_xlfn.XLOOKUP(Jnl[[#This Row],[TrxId]], Trx[Id], Trx[Date],,0)</f>
        <v>46022</v>
      </c>
      <c r="C14" s="7" t="str">
        <f>_xlfn.XLOOKUP(Jnl[[#This Row],[TrxId]], Trx[Id], Trx[Division],,0)</f>
        <v>Ctrl</v>
      </c>
      <c r="D14" s="7" t="str">
        <f>_xlfn.XLOOKUP(Jnl[[#This Row],[TrxId]], Trx[Id], Trx[Action],,0)</f>
        <v>结转</v>
      </c>
      <c r="E14" s="26" t="s">
        <v>86</v>
      </c>
      <c r="F14" s="11" t="s">
        <v>12</v>
      </c>
      <c r="G14" s="11" t="s">
        <v>102</v>
      </c>
      <c r="H14" s="72">
        <v>143995.32</v>
      </c>
      <c r="I14" s="5" t="b">
        <f>AND(Jnl[[#This Row],[TrxId]]&lt;&gt;"",Jnl[[#This Row],[Acct]]&lt;&gt;"",Jnl[[#This Row],[Item]]&lt;&gt;"",ISNUMBER(Jnl[[#This Row],[Bal]]))</f>
        <v>1</v>
      </c>
      <c r="J14" s="10">
        <f>IF(Jnl[[#This Row],[BSLv0]]="A",1,-1)*Jnl[[#This Row],[Bal]]</f>
        <v>143995.32</v>
      </c>
      <c r="K14" t="str">
        <f>_xlfn.XLOOKUP(Jnl[[#This Row],[Acct]], config_BS[Acct], config_BS[Lv0],,0)</f>
        <v>A</v>
      </c>
      <c r="L14" t="str">
        <f>_xlfn.XLOOKUP(Jnl[[#This Row],[Acct]], config_BS[Acct], config_BS[Lv1],,0)</f>
        <v>Assets</v>
      </c>
      <c r="M14" t="str">
        <f>_xlfn.XLOOKUP(Jnl[[#This Row],[Acct]], config_BS[Acct], config_BS[Lv2],,0)</f>
        <v>Cash alike</v>
      </c>
      <c r="N14" t="str">
        <f>_xlfn.XLOOKUP(Jnl[[#This Row],[TrxId]], Trx[Id], Trx[IncNode], ,0)</f>
        <v>Other</v>
      </c>
      <c r="O14" t="str">
        <f>_xlfn.XLOOKUP(Jnl[[#This Row],[IncNode]], config_IS[Node], config_IS[Type],,0)</f>
        <v>Non-Op</v>
      </c>
      <c r="P14" t="str">
        <f>_xlfn.XLOOKUP(Jnl[[#This Row],[BSLv2]], dict[Key], dict[Name],,0)</f>
        <v>0.现金及类似</v>
      </c>
      <c r="Q14" t="str">
        <f>_xlfn.XLOOKUP(Jnl[[#This Row],[Acct]], dict[Key], dict[Name],,0)</f>
        <v>银行</v>
      </c>
      <c r="R14" t="str">
        <f>_xlfn.XLOOKUP(Jnl[[#This Row],[Vehicle]],config_vehicle[Id], config_vehicle[Name],,0)</f>
        <v>张小喜</v>
      </c>
      <c r="S14" t="str">
        <f>_xlfn.XLOOKUP(Jnl[[#This Row],[Division]],config_div[Id], config_div[Name],,0)</f>
        <v>内控合规</v>
      </c>
      <c r="T14" t="str">
        <f>IF(Jnl[[#This Row],[TrxDate]]&lt;=stmt_BS_date_end, "In", "Out")</f>
        <v>In</v>
      </c>
      <c r="U14" t="str">
        <f>IF(Jnl[[#This Row],[TrxDate]]&lt;debug_date_start, "prior", IF(Jnl[[#This Row],[TrxDate]]&gt;debug_date_end, "post", "curr"))</f>
        <v>prior</v>
      </c>
    </row>
    <row r="15" spans="1:21">
      <c r="A15" s="11" t="s">
        <v>236</v>
      </c>
      <c r="B15" s="7">
        <f>_xlfn.XLOOKUP(Jnl[[#This Row],[TrxId]], Trx[Id], Trx[Date],,0)</f>
        <v>46022</v>
      </c>
      <c r="C15" s="7" t="str">
        <f>_xlfn.XLOOKUP(Jnl[[#This Row],[TrxId]], Trx[Id], Trx[Division],,0)</f>
        <v>Ctrl</v>
      </c>
      <c r="D15" s="7" t="str">
        <f>_xlfn.XLOOKUP(Jnl[[#This Row],[TrxId]], Trx[Id], Trx[Action],,0)</f>
        <v>结转</v>
      </c>
      <c r="E15" s="26" t="s">
        <v>87</v>
      </c>
      <c r="F15" s="11" t="s">
        <v>12</v>
      </c>
      <c r="G15" s="11" t="s">
        <v>903</v>
      </c>
      <c r="H15" s="72">
        <v>435221.41</v>
      </c>
      <c r="I15" s="5" t="b">
        <f>AND(Jnl[[#This Row],[TrxId]]&lt;&gt;"",Jnl[[#This Row],[Acct]]&lt;&gt;"",Jnl[[#This Row],[Item]]&lt;&gt;"",ISNUMBER(Jnl[[#This Row],[Bal]]))</f>
        <v>1</v>
      </c>
      <c r="J15" s="10">
        <f>IF(Jnl[[#This Row],[BSLv0]]="A",1,-1)*Jnl[[#This Row],[Bal]]</f>
        <v>435221.41</v>
      </c>
      <c r="K15" t="str">
        <f>_xlfn.XLOOKUP(Jnl[[#This Row],[Acct]], config_BS[Acct], config_BS[Lv0],,0)</f>
        <v>A</v>
      </c>
      <c r="L15" t="str">
        <f>_xlfn.XLOOKUP(Jnl[[#This Row],[Acct]], config_BS[Acct], config_BS[Lv1],,0)</f>
        <v>Assets</v>
      </c>
      <c r="M15" t="str">
        <f>_xlfn.XLOOKUP(Jnl[[#This Row],[Acct]], config_BS[Acct], config_BS[Lv2],,0)</f>
        <v>Cash alike</v>
      </c>
      <c r="N15" t="str">
        <f>_xlfn.XLOOKUP(Jnl[[#This Row],[TrxId]], Trx[Id], Trx[IncNode], ,0)</f>
        <v>Other</v>
      </c>
      <c r="O15" t="str">
        <f>_xlfn.XLOOKUP(Jnl[[#This Row],[IncNode]], config_IS[Node], config_IS[Type],,0)</f>
        <v>Non-Op</v>
      </c>
      <c r="P15" t="str">
        <f>_xlfn.XLOOKUP(Jnl[[#This Row],[BSLv2]], dict[Key], dict[Name],,0)</f>
        <v>0.现金及类似</v>
      </c>
      <c r="Q15" t="str">
        <f>_xlfn.XLOOKUP(Jnl[[#This Row],[Acct]], dict[Key], dict[Name],,0)</f>
        <v>银行</v>
      </c>
      <c r="R15" t="str">
        <f>_xlfn.XLOOKUP(Jnl[[#This Row],[Vehicle]],config_vehicle[Id], config_vehicle[Name],,0)</f>
        <v>小月号</v>
      </c>
      <c r="S15" t="str">
        <f>_xlfn.XLOOKUP(Jnl[[#This Row],[Division]],config_div[Id], config_div[Name],,0)</f>
        <v>内控合规</v>
      </c>
      <c r="T15" t="str">
        <f>IF(Jnl[[#This Row],[TrxDate]]&lt;=stmt_BS_date_end, "In", "Out")</f>
        <v>In</v>
      </c>
      <c r="U15" t="str">
        <f>IF(Jnl[[#This Row],[TrxDate]]&lt;debug_date_start, "prior", IF(Jnl[[#This Row],[TrxDate]]&gt;debug_date_end, "post", "curr"))</f>
        <v>prior</v>
      </c>
    </row>
    <row r="16" spans="1:21">
      <c r="A16" s="11" t="s">
        <v>236</v>
      </c>
      <c r="B16" s="7">
        <f>_xlfn.XLOOKUP(Jnl[[#This Row],[TrxId]], Trx[Id], Trx[Date],,0)</f>
        <v>46022</v>
      </c>
      <c r="C16" s="7" t="str">
        <f>_xlfn.XLOOKUP(Jnl[[#This Row],[TrxId]], Trx[Id], Trx[Division],,0)</f>
        <v>Ctrl</v>
      </c>
      <c r="D16" s="7" t="str">
        <f>_xlfn.XLOOKUP(Jnl[[#This Row],[TrxId]], Trx[Id], Trx[Action],,0)</f>
        <v>结转</v>
      </c>
      <c r="E16" s="26" t="s">
        <v>87</v>
      </c>
      <c r="F16" s="11" t="s">
        <v>12</v>
      </c>
      <c r="G16" s="11" t="s">
        <v>904</v>
      </c>
      <c r="H16" s="72">
        <v>12977.6</v>
      </c>
      <c r="I16" s="5" t="b">
        <f>AND(Jnl[[#This Row],[TrxId]]&lt;&gt;"",Jnl[[#This Row],[Acct]]&lt;&gt;"",Jnl[[#This Row],[Item]]&lt;&gt;"",ISNUMBER(Jnl[[#This Row],[Bal]]))</f>
        <v>1</v>
      </c>
      <c r="J16" s="10">
        <f>IF(Jnl[[#This Row],[BSLv0]]="A",1,-1)*Jnl[[#This Row],[Bal]]</f>
        <v>12977.6</v>
      </c>
      <c r="K16" t="str">
        <f>_xlfn.XLOOKUP(Jnl[[#This Row],[Acct]], config_BS[Acct], config_BS[Lv0],,0)</f>
        <v>A</v>
      </c>
      <c r="L16" t="str">
        <f>_xlfn.XLOOKUP(Jnl[[#This Row],[Acct]], config_BS[Acct], config_BS[Lv1],,0)</f>
        <v>Assets</v>
      </c>
      <c r="M16" t="str">
        <f>_xlfn.XLOOKUP(Jnl[[#This Row],[Acct]], config_BS[Acct], config_BS[Lv2],,0)</f>
        <v>Cash alike</v>
      </c>
      <c r="N16" t="str">
        <f>_xlfn.XLOOKUP(Jnl[[#This Row],[TrxId]], Trx[Id], Trx[IncNode], ,0)</f>
        <v>Other</v>
      </c>
      <c r="O16" t="str">
        <f>_xlfn.XLOOKUP(Jnl[[#This Row],[IncNode]], config_IS[Node], config_IS[Type],,0)</f>
        <v>Non-Op</v>
      </c>
      <c r="P16" t="str">
        <f>_xlfn.XLOOKUP(Jnl[[#This Row],[BSLv2]], dict[Key], dict[Name],,0)</f>
        <v>0.现金及类似</v>
      </c>
      <c r="Q16" t="str">
        <f>_xlfn.XLOOKUP(Jnl[[#This Row],[Acct]], dict[Key], dict[Name],,0)</f>
        <v>银行</v>
      </c>
      <c r="R16" t="str">
        <f>_xlfn.XLOOKUP(Jnl[[#This Row],[Vehicle]],config_vehicle[Id], config_vehicle[Name],,0)</f>
        <v>小月号</v>
      </c>
      <c r="S16" t="str">
        <f>_xlfn.XLOOKUP(Jnl[[#This Row],[Division]],config_div[Id], config_div[Name],,0)</f>
        <v>内控合规</v>
      </c>
      <c r="T16" t="str">
        <f>IF(Jnl[[#This Row],[TrxDate]]&lt;=stmt_BS_date_end, "In", "Out")</f>
        <v>In</v>
      </c>
      <c r="U16" t="str">
        <f>IF(Jnl[[#This Row],[TrxDate]]&lt;debug_date_start, "prior", IF(Jnl[[#This Row],[TrxDate]]&gt;debug_date_end, "post", "curr"))</f>
        <v>prior</v>
      </c>
    </row>
    <row r="17" spans="1:21">
      <c r="A17" s="11" t="s">
        <v>236</v>
      </c>
      <c r="B17" s="7">
        <f>_xlfn.XLOOKUP(Jnl[[#This Row],[TrxId]], Trx[Id], Trx[Date],,0)</f>
        <v>46022</v>
      </c>
      <c r="C17" s="7" t="str">
        <f>_xlfn.XLOOKUP(Jnl[[#This Row],[TrxId]], Trx[Id], Trx[Division],,0)</f>
        <v>Ctrl</v>
      </c>
      <c r="D17" s="7" t="str">
        <f>_xlfn.XLOOKUP(Jnl[[#This Row],[TrxId]], Trx[Id], Trx[Action],,0)</f>
        <v>结转</v>
      </c>
      <c r="E17" s="26" t="s">
        <v>88</v>
      </c>
      <c r="F17" s="11" t="s">
        <v>12</v>
      </c>
      <c r="G17" s="11" t="s">
        <v>103</v>
      </c>
      <c r="H17" s="72">
        <v>30900.25</v>
      </c>
      <c r="I17" s="5" t="b">
        <f>AND(Jnl[[#This Row],[TrxId]]&lt;&gt;"",Jnl[[#This Row],[Acct]]&lt;&gt;"",Jnl[[#This Row],[Item]]&lt;&gt;"",ISNUMBER(Jnl[[#This Row],[Bal]]))</f>
        <v>1</v>
      </c>
      <c r="J17" s="10">
        <f>IF(Jnl[[#This Row],[BSLv0]]="A",1,-1)*Jnl[[#This Row],[Bal]]</f>
        <v>30900.25</v>
      </c>
      <c r="K17" t="str">
        <f>_xlfn.XLOOKUP(Jnl[[#This Row],[Acct]], config_BS[Acct], config_BS[Lv0],,0)</f>
        <v>A</v>
      </c>
      <c r="L17" t="str">
        <f>_xlfn.XLOOKUP(Jnl[[#This Row],[Acct]], config_BS[Acct], config_BS[Lv1],,0)</f>
        <v>Assets</v>
      </c>
      <c r="M17" t="str">
        <f>_xlfn.XLOOKUP(Jnl[[#This Row],[Acct]], config_BS[Acct], config_BS[Lv2],,0)</f>
        <v>Cash alike</v>
      </c>
      <c r="N17" t="str">
        <f>_xlfn.XLOOKUP(Jnl[[#This Row],[TrxId]], Trx[Id], Trx[IncNode], ,0)</f>
        <v>Other</v>
      </c>
      <c r="O17" t="str">
        <f>_xlfn.XLOOKUP(Jnl[[#This Row],[IncNode]], config_IS[Node], config_IS[Type],,0)</f>
        <v>Non-Op</v>
      </c>
      <c r="P17" t="str">
        <f>_xlfn.XLOOKUP(Jnl[[#This Row],[BSLv2]], dict[Key], dict[Name],,0)</f>
        <v>0.现金及类似</v>
      </c>
      <c r="Q17" t="str">
        <f>_xlfn.XLOOKUP(Jnl[[#This Row],[Acct]], dict[Key], dict[Name],,0)</f>
        <v>银行</v>
      </c>
      <c r="R17" t="str">
        <f>_xlfn.XLOOKUP(Jnl[[#This Row],[Vehicle]],config_vehicle[Id], config_vehicle[Name],,0)</f>
        <v>郑术燕</v>
      </c>
      <c r="S17" t="str">
        <f>_xlfn.XLOOKUP(Jnl[[#This Row],[Division]],config_div[Id], config_div[Name],,0)</f>
        <v>内控合规</v>
      </c>
      <c r="T17" t="str">
        <f>IF(Jnl[[#This Row],[TrxDate]]&lt;=stmt_BS_date_end, "In", "Out")</f>
        <v>In</v>
      </c>
      <c r="U17" t="str">
        <f>IF(Jnl[[#This Row],[TrxDate]]&lt;debug_date_start, "prior", IF(Jnl[[#This Row],[TrxDate]]&gt;debug_date_end, "post", "curr"))</f>
        <v>prior</v>
      </c>
    </row>
    <row r="18" spans="1:21">
      <c r="A18" s="11" t="s">
        <v>236</v>
      </c>
      <c r="B18" s="7">
        <f>_xlfn.XLOOKUP(Jnl[[#This Row],[TrxId]], Trx[Id], Trx[Date],,0)</f>
        <v>46022</v>
      </c>
      <c r="C18" s="7" t="str">
        <f>_xlfn.XLOOKUP(Jnl[[#This Row],[TrxId]], Trx[Id], Trx[Division],,0)</f>
        <v>Ctrl</v>
      </c>
      <c r="D18" s="7" t="str">
        <f>_xlfn.XLOOKUP(Jnl[[#This Row],[TrxId]], Trx[Id], Trx[Action],,0)</f>
        <v>结转</v>
      </c>
      <c r="E18" s="26" t="s">
        <v>83</v>
      </c>
      <c r="F18" s="11" t="s">
        <v>12</v>
      </c>
      <c r="G18" s="11" t="s">
        <v>104</v>
      </c>
      <c r="H18" s="72">
        <v>6917.42</v>
      </c>
      <c r="I18" s="5" t="b">
        <f>AND(Jnl[[#This Row],[TrxId]]&lt;&gt;"",Jnl[[#This Row],[Acct]]&lt;&gt;"",Jnl[[#This Row],[Item]]&lt;&gt;"",ISNUMBER(Jnl[[#This Row],[Bal]]))</f>
        <v>1</v>
      </c>
      <c r="J18" s="10">
        <f>IF(Jnl[[#This Row],[BSLv0]]="A",1,-1)*Jnl[[#This Row],[Bal]]</f>
        <v>6917.42</v>
      </c>
      <c r="K18" t="str">
        <f>_xlfn.XLOOKUP(Jnl[[#This Row],[Acct]], config_BS[Acct], config_BS[Lv0],,0)</f>
        <v>A</v>
      </c>
      <c r="L18" t="str">
        <f>_xlfn.XLOOKUP(Jnl[[#This Row],[Acct]], config_BS[Acct], config_BS[Lv1],,0)</f>
        <v>Assets</v>
      </c>
      <c r="M18" t="str">
        <f>_xlfn.XLOOKUP(Jnl[[#This Row],[Acct]], config_BS[Acct], config_BS[Lv2],,0)</f>
        <v>Cash alike</v>
      </c>
      <c r="N18" t="str">
        <f>_xlfn.XLOOKUP(Jnl[[#This Row],[TrxId]], Trx[Id], Trx[IncNode], ,0)</f>
        <v>Other</v>
      </c>
      <c r="O18" t="str">
        <f>_xlfn.XLOOKUP(Jnl[[#This Row],[IncNode]], config_IS[Node], config_IS[Type],,0)</f>
        <v>Non-Op</v>
      </c>
      <c r="P18" t="str">
        <f>_xlfn.XLOOKUP(Jnl[[#This Row],[BSLv2]], dict[Key], dict[Name],,0)</f>
        <v>0.现金及类似</v>
      </c>
      <c r="Q18" t="str">
        <f>_xlfn.XLOOKUP(Jnl[[#This Row],[Acct]], dict[Key], dict[Name],,0)</f>
        <v>银行</v>
      </c>
      <c r="R18" t="str">
        <f>_xlfn.XLOOKUP(Jnl[[#This Row],[Vehicle]],config_vehicle[Id], config_vehicle[Name],,0)</f>
        <v>远家文化</v>
      </c>
      <c r="S18" t="str">
        <f>_xlfn.XLOOKUP(Jnl[[#This Row],[Division]],config_div[Id], config_div[Name],,0)</f>
        <v>内控合规</v>
      </c>
      <c r="T18" t="str">
        <f>IF(Jnl[[#This Row],[TrxDate]]&lt;=stmt_BS_date_end, "In", "Out")</f>
        <v>In</v>
      </c>
      <c r="U18" t="str">
        <f>IF(Jnl[[#This Row],[TrxDate]]&lt;debug_date_start, "prior", IF(Jnl[[#This Row],[TrxDate]]&gt;debug_date_end, "post", "curr"))</f>
        <v>prior</v>
      </c>
    </row>
    <row r="19" spans="1:21">
      <c r="A19" s="11" t="s">
        <v>236</v>
      </c>
      <c r="B19" s="7">
        <f>_xlfn.XLOOKUP(Jnl[[#This Row],[TrxId]], Trx[Id], Trx[Date],,0)</f>
        <v>46022</v>
      </c>
      <c r="C19" s="7" t="str">
        <f>_xlfn.XLOOKUP(Jnl[[#This Row],[TrxId]], Trx[Id], Trx[Division],,0)</f>
        <v>Ctrl</v>
      </c>
      <c r="D19" s="7" t="str">
        <f>_xlfn.XLOOKUP(Jnl[[#This Row],[TrxId]], Trx[Id], Trx[Action],,0)</f>
        <v>结转</v>
      </c>
      <c r="E19" s="26" t="s">
        <v>107</v>
      </c>
      <c r="F19" s="11" t="s">
        <v>12</v>
      </c>
      <c r="G19" s="11" t="s">
        <v>105</v>
      </c>
      <c r="H19" s="72">
        <v>709.51</v>
      </c>
      <c r="I19" s="5" t="b">
        <f>AND(Jnl[[#This Row],[TrxId]]&lt;&gt;"",Jnl[[#This Row],[Acct]]&lt;&gt;"",Jnl[[#This Row],[Item]]&lt;&gt;"",ISNUMBER(Jnl[[#This Row],[Bal]]))</f>
        <v>1</v>
      </c>
      <c r="J19" s="10">
        <f>IF(Jnl[[#This Row],[BSLv0]]="A",1,-1)*Jnl[[#This Row],[Bal]]</f>
        <v>709.51</v>
      </c>
      <c r="K19" t="str">
        <f>_xlfn.XLOOKUP(Jnl[[#This Row],[Acct]], config_BS[Acct], config_BS[Lv0],,0)</f>
        <v>A</v>
      </c>
      <c r="L19" t="str">
        <f>_xlfn.XLOOKUP(Jnl[[#This Row],[Acct]], config_BS[Acct], config_BS[Lv1],,0)</f>
        <v>Assets</v>
      </c>
      <c r="M19" t="str">
        <f>_xlfn.XLOOKUP(Jnl[[#This Row],[Acct]], config_BS[Acct], config_BS[Lv2],,0)</f>
        <v>Cash alike</v>
      </c>
      <c r="N19" t="str">
        <f>_xlfn.XLOOKUP(Jnl[[#This Row],[TrxId]], Trx[Id], Trx[IncNode], ,0)</f>
        <v>Other</v>
      </c>
      <c r="O19" t="str">
        <f>_xlfn.XLOOKUP(Jnl[[#This Row],[IncNode]], config_IS[Node], config_IS[Type],,0)</f>
        <v>Non-Op</v>
      </c>
      <c r="P19" t="str">
        <f>_xlfn.XLOOKUP(Jnl[[#This Row],[BSLv2]], dict[Key], dict[Name],,0)</f>
        <v>0.现金及类似</v>
      </c>
      <c r="Q19" t="str">
        <f>_xlfn.XLOOKUP(Jnl[[#This Row],[Acct]], dict[Key], dict[Name],,0)</f>
        <v>银行</v>
      </c>
      <c r="R19" t="str">
        <f>_xlfn.XLOOKUP(Jnl[[#This Row],[Vehicle]],config_vehicle[Id], config_vehicle[Name],,0)</f>
        <v>远家文化蒲江分公司</v>
      </c>
      <c r="S19" t="str">
        <f>_xlfn.XLOOKUP(Jnl[[#This Row],[Division]],config_div[Id], config_div[Name],,0)</f>
        <v>内控合规</v>
      </c>
      <c r="T19" t="str">
        <f>IF(Jnl[[#This Row],[TrxDate]]&lt;=stmt_BS_date_end, "In", "Out")</f>
        <v>In</v>
      </c>
      <c r="U19" t="str">
        <f>IF(Jnl[[#This Row],[TrxDate]]&lt;debug_date_start, "prior", IF(Jnl[[#This Row],[TrxDate]]&gt;debug_date_end, "post", "curr"))</f>
        <v>prior</v>
      </c>
    </row>
    <row r="20" spans="1:21">
      <c r="A20" s="11" t="s">
        <v>236</v>
      </c>
      <c r="B20" s="7">
        <f>_xlfn.XLOOKUP(Jnl[[#This Row],[TrxId]], Trx[Id], Trx[Date],,0)</f>
        <v>46022</v>
      </c>
      <c r="C20" s="7" t="str">
        <f>_xlfn.XLOOKUP(Jnl[[#This Row],[TrxId]], Trx[Id], Trx[Division],,0)</f>
        <v>Ctrl</v>
      </c>
      <c r="D20" s="7" t="str">
        <f>_xlfn.XLOOKUP(Jnl[[#This Row],[TrxId]], Trx[Id], Trx[Action],,0)</f>
        <v>结转</v>
      </c>
      <c r="E20" s="26" t="s">
        <v>107</v>
      </c>
      <c r="F20" s="11" t="s">
        <v>14</v>
      </c>
      <c r="G20" s="11" t="s">
        <v>135</v>
      </c>
      <c r="H20" s="72">
        <v>20812</v>
      </c>
      <c r="I20" s="5" t="b">
        <f>AND(Jnl[[#This Row],[TrxId]]&lt;&gt;"",Jnl[[#This Row],[Acct]]&lt;&gt;"",Jnl[[#This Row],[Item]]&lt;&gt;"",ISNUMBER(Jnl[[#This Row],[Bal]]))</f>
        <v>1</v>
      </c>
      <c r="J20" s="10">
        <f>IF(Jnl[[#This Row],[BSLv0]]="A",1,-1)*Jnl[[#This Row],[Bal]]</f>
        <v>20812</v>
      </c>
      <c r="K20" t="str">
        <f>_xlfn.XLOOKUP(Jnl[[#This Row],[Acct]], config_BS[Acct], config_BS[Lv0],,0)</f>
        <v>A</v>
      </c>
      <c r="L20" t="str">
        <f>_xlfn.XLOOKUP(Jnl[[#This Row],[Acct]], config_BS[Acct], config_BS[Lv1],,0)</f>
        <v>Assets</v>
      </c>
      <c r="M20" t="str">
        <f>_xlfn.XLOOKUP(Jnl[[#This Row],[Acct]], config_BS[Acct], config_BS[Lv2],,0)</f>
        <v>Cash alike</v>
      </c>
      <c r="N20" t="str">
        <f>_xlfn.XLOOKUP(Jnl[[#This Row],[TrxId]], Trx[Id], Trx[IncNode], ,0)</f>
        <v>Other</v>
      </c>
      <c r="O20" t="str">
        <f>_xlfn.XLOOKUP(Jnl[[#This Row],[IncNode]], config_IS[Node], config_IS[Type],,0)</f>
        <v>Non-Op</v>
      </c>
      <c r="P20" t="str">
        <f>_xlfn.XLOOKUP(Jnl[[#This Row],[BSLv2]], dict[Key], dict[Name],,0)</f>
        <v>0.现金及类似</v>
      </c>
      <c r="Q20" t="str">
        <f>_xlfn.XLOOKUP(Jnl[[#This Row],[Acct]], dict[Key], dict[Name],,0)</f>
        <v>物理现金</v>
      </c>
      <c r="R20" t="str">
        <f>_xlfn.XLOOKUP(Jnl[[#This Row],[Vehicle]],config_vehicle[Id], config_vehicle[Name],,0)</f>
        <v>远家文化蒲江分公司</v>
      </c>
      <c r="S20" t="str">
        <f>_xlfn.XLOOKUP(Jnl[[#This Row],[Division]],config_div[Id], config_div[Name],,0)</f>
        <v>内控合规</v>
      </c>
      <c r="T20" t="str">
        <f>IF(Jnl[[#This Row],[TrxDate]]&lt;=stmt_BS_date_end, "In", "Out")</f>
        <v>In</v>
      </c>
      <c r="U20" t="str">
        <f>IF(Jnl[[#This Row],[TrxDate]]&lt;debug_date_start, "prior", IF(Jnl[[#This Row],[TrxDate]]&gt;debug_date_end, "post", "curr"))</f>
        <v>prior</v>
      </c>
    </row>
    <row r="21" spans="1:21">
      <c r="A21" s="11" t="s">
        <v>236</v>
      </c>
      <c r="B21" s="7">
        <f>_xlfn.XLOOKUP(Jnl[[#This Row],[TrxId]], Trx[Id], Trx[Date],,0)</f>
        <v>46022</v>
      </c>
      <c r="C21" s="7" t="str">
        <f>_xlfn.XLOOKUP(Jnl[[#This Row],[TrxId]], Trx[Id], Trx[Division],,0)</f>
        <v>Ctrl</v>
      </c>
      <c r="D21" s="7" t="str">
        <f>_xlfn.XLOOKUP(Jnl[[#This Row],[TrxId]], Trx[Id], Trx[Action],,0)</f>
        <v>结转</v>
      </c>
      <c r="E21" s="26" t="s">
        <v>111</v>
      </c>
      <c r="F21" s="11" t="s">
        <v>12</v>
      </c>
      <c r="G21" s="11" t="s">
        <v>108</v>
      </c>
      <c r="H21" s="72">
        <v>630993.46</v>
      </c>
      <c r="I21" s="5" t="b">
        <f>AND(Jnl[[#This Row],[TrxId]]&lt;&gt;"",Jnl[[#This Row],[Acct]]&lt;&gt;"",Jnl[[#This Row],[Item]]&lt;&gt;"",ISNUMBER(Jnl[[#This Row],[Bal]]))</f>
        <v>1</v>
      </c>
      <c r="J21" s="10">
        <f>IF(Jnl[[#This Row],[BSLv0]]="A",1,-1)*Jnl[[#This Row],[Bal]]</f>
        <v>630993.46</v>
      </c>
      <c r="K21" t="str">
        <f>_xlfn.XLOOKUP(Jnl[[#This Row],[Acct]], config_BS[Acct], config_BS[Lv0],,0)</f>
        <v>A</v>
      </c>
      <c r="L21" t="str">
        <f>_xlfn.XLOOKUP(Jnl[[#This Row],[Acct]], config_BS[Acct], config_BS[Lv1],,0)</f>
        <v>Assets</v>
      </c>
      <c r="M21" t="str">
        <f>_xlfn.XLOOKUP(Jnl[[#This Row],[Acct]], config_BS[Acct], config_BS[Lv2],,0)</f>
        <v>Cash alike</v>
      </c>
      <c r="N21" t="str">
        <f>_xlfn.XLOOKUP(Jnl[[#This Row],[TrxId]], Trx[Id], Trx[IncNode], ,0)</f>
        <v>Other</v>
      </c>
      <c r="O21" t="str">
        <f>_xlfn.XLOOKUP(Jnl[[#This Row],[IncNode]], config_IS[Node], config_IS[Type],,0)</f>
        <v>Non-Op</v>
      </c>
      <c r="P21" t="str">
        <f>_xlfn.XLOOKUP(Jnl[[#This Row],[BSLv2]], dict[Key], dict[Name],,0)</f>
        <v>0.现金及类似</v>
      </c>
      <c r="Q21" t="str">
        <f>_xlfn.XLOOKUP(Jnl[[#This Row],[Acct]], dict[Key], dict[Name],,0)</f>
        <v>银行</v>
      </c>
      <c r="R21" t="str">
        <f>_xlfn.XLOOKUP(Jnl[[#This Row],[Vehicle]],config_vehicle[Id], config_vehicle[Name],,0)</f>
        <v>染匠文化</v>
      </c>
      <c r="S21" t="str">
        <f>_xlfn.XLOOKUP(Jnl[[#This Row],[Division]],config_div[Id], config_div[Name],,0)</f>
        <v>内控合规</v>
      </c>
      <c r="T21" t="str">
        <f>IF(Jnl[[#This Row],[TrxDate]]&lt;=stmt_BS_date_end, "In", "Out")</f>
        <v>In</v>
      </c>
      <c r="U21" t="str">
        <f>IF(Jnl[[#This Row],[TrxDate]]&lt;debug_date_start, "prior", IF(Jnl[[#This Row],[TrxDate]]&gt;debug_date_end, "post", "curr"))</f>
        <v>prior</v>
      </c>
    </row>
    <row r="22" spans="1:21">
      <c r="A22" s="11" t="s">
        <v>236</v>
      </c>
      <c r="B22" s="7">
        <f>_xlfn.XLOOKUP(Jnl[[#This Row],[TrxId]], Trx[Id], Trx[Date],,0)</f>
        <v>46022</v>
      </c>
      <c r="C22" s="7" t="str">
        <f>_xlfn.XLOOKUP(Jnl[[#This Row],[TrxId]], Trx[Id], Trx[Division],,0)</f>
        <v>Ctrl</v>
      </c>
      <c r="D22" s="7" t="str">
        <f>_xlfn.XLOOKUP(Jnl[[#This Row],[TrxId]], Trx[Id], Trx[Action],,0)</f>
        <v>结转</v>
      </c>
      <c r="E22" s="26" t="s">
        <v>111</v>
      </c>
      <c r="F22" s="11" t="s">
        <v>12</v>
      </c>
      <c r="G22" s="11" t="s">
        <v>109</v>
      </c>
      <c r="H22" s="72">
        <v>20124.45</v>
      </c>
      <c r="I22" s="5" t="b">
        <f>AND(Jnl[[#This Row],[TrxId]]&lt;&gt;"",Jnl[[#This Row],[Acct]]&lt;&gt;"",Jnl[[#This Row],[Item]]&lt;&gt;"",ISNUMBER(Jnl[[#This Row],[Bal]]))</f>
        <v>1</v>
      </c>
      <c r="J22" s="10">
        <f>IF(Jnl[[#This Row],[BSLv0]]="A",1,-1)*Jnl[[#This Row],[Bal]]</f>
        <v>20124.45</v>
      </c>
      <c r="K22" t="str">
        <f>_xlfn.XLOOKUP(Jnl[[#This Row],[Acct]], config_BS[Acct], config_BS[Lv0],,0)</f>
        <v>A</v>
      </c>
      <c r="L22" t="str">
        <f>_xlfn.XLOOKUP(Jnl[[#This Row],[Acct]], config_BS[Acct], config_BS[Lv1],,0)</f>
        <v>Assets</v>
      </c>
      <c r="M22" t="str">
        <f>_xlfn.XLOOKUP(Jnl[[#This Row],[Acct]], config_BS[Acct], config_BS[Lv2],,0)</f>
        <v>Cash alike</v>
      </c>
      <c r="N22" t="str">
        <f>_xlfn.XLOOKUP(Jnl[[#This Row],[TrxId]], Trx[Id], Trx[IncNode], ,0)</f>
        <v>Other</v>
      </c>
      <c r="O22" t="str">
        <f>_xlfn.XLOOKUP(Jnl[[#This Row],[IncNode]], config_IS[Node], config_IS[Type],,0)</f>
        <v>Non-Op</v>
      </c>
      <c r="P22" t="str">
        <f>_xlfn.XLOOKUP(Jnl[[#This Row],[BSLv2]], dict[Key], dict[Name],,0)</f>
        <v>0.现金及类似</v>
      </c>
      <c r="Q22" t="str">
        <f>_xlfn.XLOOKUP(Jnl[[#This Row],[Acct]], dict[Key], dict[Name],,0)</f>
        <v>银行</v>
      </c>
      <c r="R22" t="str">
        <f>_xlfn.XLOOKUP(Jnl[[#This Row],[Vehicle]],config_vehicle[Id], config_vehicle[Name],,0)</f>
        <v>染匠文化</v>
      </c>
      <c r="S22" t="str">
        <f>_xlfn.XLOOKUP(Jnl[[#This Row],[Division]],config_div[Id], config_div[Name],,0)</f>
        <v>内控合规</v>
      </c>
      <c r="T22" t="str">
        <f>IF(Jnl[[#This Row],[TrxDate]]&lt;=stmt_BS_date_end, "In", "Out")</f>
        <v>In</v>
      </c>
      <c r="U22" t="str">
        <f>IF(Jnl[[#This Row],[TrxDate]]&lt;debug_date_start, "prior", IF(Jnl[[#This Row],[TrxDate]]&gt;debug_date_end, "post", "curr"))</f>
        <v>prior</v>
      </c>
    </row>
    <row r="23" spans="1:21">
      <c r="A23" s="11" t="s">
        <v>236</v>
      </c>
      <c r="B23" s="7">
        <f>_xlfn.XLOOKUP(Jnl[[#This Row],[TrxId]], Trx[Id], Trx[Date],,0)</f>
        <v>46022</v>
      </c>
      <c r="C23" s="7" t="str">
        <f>_xlfn.XLOOKUP(Jnl[[#This Row],[TrxId]], Trx[Id], Trx[Division],,0)</f>
        <v>Ctrl</v>
      </c>
      <c r="D23" s="7" t="str">
        <f>_xlfn.XLOOKUP(Jnl[[#This Row],[TrxId]], Trx[Id], Trx[Action],,0)</f>
        <v>结转</v>
      </c>
      <c r="E23" s="26" t="s">
        <v>81</v>
      </c>
      <c r="F23" s="11" t="s">
        <v>113</v>
      </c>
      <c r="G23" s="11" t="s">
        <v>138</v>
      </c>
      <c r="H23" s="72">
        <v>18526.13</v>
      </c>
      <c r="I23" s="5" t="b">
        <f>AND(Jnl[[#This Row],[TrxId]]&lt;&gt;"",Jnl[[#This Row],[Acct]]&lt;&gt;"",Jnl[[#This Row],[Item]]&lt;&gt;"",ISNUMBER(Jnl[[#This Row],[Bal]]))</f>
        <v>1</v>
      </c>
      <c r="J23" s="10">
        <f>IF(Jnl[[#This Row],[BSLv0]]="A",1,-1)*Jnl[[#This Row],[Bal]]</f>
        <v>18526.13</v>
      </c>
      <c r="K23" t="str">
        <f>_xlfn.XLOOKUP(Jnl[[#This Row],[Acct]], config_BS[Acct], config_BS[Lv0],,0)</f>
        <v>A</v>
      </c>
      <c r="L23" t="str">
        <f>_xlfn.XLOOKUP(Jnl[[#This Row],[Acct]], config_BS[Acct], config_BS[Lv1],,0)</f>
        <v>Assets</v>
      </c>
      <c r="M23" t="str">
        <f>_xlfn.XLOOKUP(Jnl[[#This Row],[Acct]], config_BS[Acct], config_BS[Lv2],,0)</f>
        <v>Rec-Pay</v>
      </c>
      <c r="N23" t="str">
        <f>_xlfn.XLOOKUP(Jnl[[#This Row],[TrxId]], Trx[Id], Trx[IncNode], ,0)</f>
        <v>Other</v>
      </c>
      <c r="O23" t="str">
        <f>_xlfn.XLOOKUP(Jnl[[#This Row],[IncNode]], config_IS[Node], config_IS[Type],,0)</f>
        <v>Non-Op</v>
      </c>
      <c r="P23" t="str">
        <f>_xlfn.XLOOKUP(Jnl[[#This Row],[BSLv2]], dict[Key], dict[Name],,0)</f>
        <v>1.应收-应付</v>
      </c>
      <c r="Q23" t="str">
        <f>_xlfn.XLOOKUP(Jnl[[#This Row],[Acct]], dict[Key], dict[Name],,0)</f>
        <v>应收-一般</v>
      </c>
      <c r="R23" t="str">
        <f>_xlfn.XLOOKUP(Jnl[[#This Row],[Vehicle]],config_vehicle[Id], config_vehicle[Name],,0)</f>
        <v>喜家文化</v>
      </c>
      <c r="S23" t="str">
        <f>_xlfn.XLOOKUP(Jnl[[#This Row],[Division]],config_div[Id], config_div[Name],,0)</f>
        <v>内控合规</v>
      </c>
      <c r="T23" t="str">
        <f>IF(Jnl[[#This Row],[TrxDate]]&lt;=stmt_BS_date_end, "In", "Out")</f>
        <v>In</v>
      </c>
      <c r="U23" t="str">
        <f>IF(Jnl[[#This Row],[TrxDate]]&lt;debug_date_start, "prior", IF(Jnl[[#This Row],[TrxDate]]&gt;debug_date_end, "post", "curr"))</f>
        <v>prior</v>
      </c>
    </row>
    <row r="24" spans="1:21">
      <c r="A24" s="11" t="s">
        <v>236</v>
      </c>
      <c r="B24" s="7">
        <f>_xlfn.XLOOKUP(Jnl[[#This Row],[TrxId]], Trx[Id], Trx[Date],,0)</f>
        <v>46022</v>
      </c>
      <c r="C24" s="7" t="str">
        <f>_xlfn.XLOOKUP(Jnl[[#This Row],[TrxId]], Trx[Id], Trx[Division],,0)</f>
        <v>Ctrl</v>
      </c>
      <c r="D24" s="7" t="str">
        <f>_xlfn.XLOOKUP(Jnl[[#This Row],[TrxId]], Trx[Id], Trx[Action],,0)</f>
        <v>结转</v>
      </c>
      <c r="E24" s="26" t="s">
        <v>81</v>
      </c>
      <c r="F24" s="11" t="s">
        <v>198</v>
      </c>
      <c r="G24" s="11" t="s">
        <v>137</v>
      </c>
      <c r="H24" s="72">
        <v>2385.75</v>
      </c>
      <c r="I24" s="5" t="b">
        <f>AND(Jnl[[#This Row],[TrxId]]&lt;&gt;"",Jnl[[#This Row],[Acct]]&lt;&gt;"",Jnl[[#This Row],[Item]]&lt;&gt;"",ISNUMBER(Jnl[[#This Row],[Bal]]))</f>
        <v>1</v>
      </c>
      <c r="J24" s="10">
        <f>IF(Jnl[[#This Row],[BSLv0]]="A",1,-1)*Jnl[[#This Row],[Bal]]</f>
        <v>2385.75</v>
      </c>
      <c r="K24" t="str">
        <f>_xlfn.XLOOKUP(Jnl[[#This Row],[Acct]], config_BS[Acct], config_BS[Lv0],,0)</f>
        <v>A</v>
      </c>
      <c r="L24" t="str">
        <f>_xlfn.XLOOKUP(Jnl[[#This Row],[Acct]], config_BS[Acct], config_BS[Lv1],,0)</f>
        <v>Assets</v>
      </c>
      <c r="M24" t="str">
        <f>_xlfn.XLOOKUP(Jnl[[#This Row],[Acct]], config_BS[Acct], config_BS[Lv2],,0)</f>
        <v>Rec-Pay</v>
      </c>
      <c r="N24" t="str">
        <f>_xlfn.XLOOKUP(Jnl[[#This Row],[TrxId]], Trx[Id], Trx[IncNode], ,0)</f>
        <v>Other</v>
      </c>
      <c r="O24" t="str">
        <f>_xlfn.XLOOKUP(Jnl[[#This Row],[IncNode]], config_IS[Node], config_IS[Type],,0)</f>
        <v>Non-Op</v>
      </c>
      <c r="P24" t="str">
        <f>_xlfn.XLOOKUP(Jnl[[#This Row],[BSLv2]], dict[Key], dict[Name],,0)</f>
        <v>1.应收-应付</v>
      </c>
      <c r="Q24" t="str">
        <f>_xlfn.XLOOKUP(Jnl[[#This Row],[Acct]], dict[Key], dict[Name],,0)</f>
        <v>应收-其他</v>
      </c>
      <c r="R24" t="str">
        <f>_xlfn.XLOOKUP(Jnl[[#This Row],[Vehicle]],config_vehicle[Id], config_vehicle[Name],,0)</f>
        <v>喜家文化</v>
      </c>
      <c r="S24" t="str">
        <f>_xlfn.XLOOKUP(Jnl[[#This Row],[Division]],config_div[Id], config_div[Name],,0)</f>
        <v>内控合规</v>
      </c>
      <c r="T24" t="str">
        <f>IF(Jnl[[#This Row],[TrxDate]]&lt;=stmt_BS_date_end, "In", "Out")</f>
        <v>In</v>
      </c>
      <c r="U24" t="str">
        <f>IF(Jnl[[#This Row],[TrxDate]]&lt;debug_date_start, "prior", IF(Jnl[[#This Row],[TrxDate]]&gt;debug_date_end, "post", "curr"))</f>
        <v>prior</v>
      </c>
    </row>
    <row r="25" spans="1:21">
      <c r="A25" s="11" t="s">
        <v>236</v>
      </c>
      <c r="B25" s="7">
        <f>_xlfn.XLOOKUP(Jnl[[#This Row],[TrxId]], Trx[Id], Trx[Date],,0)</f>
        <v>46022</v>
      </c>
      <c r="C25" s="7" t="str">
        <f>_xlfn.XLOOKUP(Jnl[[#This Row],[TrxId]], Trx[Id], Trx[Division],,0)</f>
        <v>Ctrl</v>
      </c>
      <c r="D25" s="7" t="str">
        <f>_xlfn.XLOOKUP(Jnl[[#This Row],[TrxId]], Trx[Id], Trx[Action],,0)</f>
        <v>结转</v>
      </c>
      <c r="E25" s="26" t="s">
        <v>81</v>
      </c>
      <c r="F25" s="11" t="s">
        <v>192</v>
      </c>
      <c r="G25" s="11" t="s">
        <v>139</v>
      </c>
      <c r="H25" s="72">
        <v>100000</v>
      </c>
      <c r="I25" s="5" t="b">
        <f>AND(Jnl[[#This Row],[TrxId]]&lt;&gt;"",Jnl[[#This Row],[Acct]]&lt;&gt;"",Jnl[[#This Row],[Item]]&lt;&gt;"",ISNUMBER(Jnl[[#This Row],[Bal]]))</f>
        <v>1</v>
      </c>
      <c r="J25" s="10">
        <f>IF(Jnl[[#This Row],[BSLv0]]="A",1,-1)*Jnl[[#This Row],[Bal]]</f>
        <v>100000</v>
      </c>
      <c r="K25" t="str">
        <f>_xlfn.XLOOKUP(Jnl[[#This Row],[Acct]], config_BS[Acct], config_BS[Lv0],,0)</f>
        <v>A</v>
      </c>
      <c r="L25" t="str">
        <f>_xlfn.XLOOKUP(Jnl[[#This Row],[Acct]], config_BS[Acct], config_BS[Lv1],,0)</f>
        <v>Assets</v>
      </c>
      <c r="M25" t="str">
        <f>_xlfn.XLOOKUP(Jnl[[#This Row],[Acct]], config_BS[Acct], config_BS[Lv2],,0)</f>
        <v>Prep-Sub</v>
      </c>
      <c r="N25" t="str">
        <f>_xlfn.XLOOKUP(Jnl[[#This Row],[TrxId]], Trx[Id], Trx[IncNode], ,0)</f>
        <v>Other</v>
      </c>
      <c r="O25" t="str">
        <f>_xlfn.XLOOKUP(Jnl[[#This Row],[IncNode]], config_IS[Node], config_IS[Type],,0)</f>
        <v>Non-Op</v>
      </c>
      <c r="P25" t="str">
        <f>_xlfn.XLOOKUP(Jnl[[#This Row],[BSLv2]], dict[Key], dict[Name],,0)</f>
        <v>2.预付-订阅</v>
      </c>
      <c r="Q25" t="str">
        <f>_xlfn.XLOOKUP(Jnl[[#This Row],[Acct]], dict[Key], dict[Name],,0)</f>
        <v>押金</v>
      </c>
      <c r="R25" t="str">
        <f>_xlfn.XLOOKUP(Jnl[[#This Row],[Vehicle]],config_vehicle[Id], config_vehicle[Name],,0)</f>
        <v>喜家文化</v>
      </c>
      <c r="S25" t="str">
        <f>_xlfn.XLOOKUP(Jnl[[#This Row],[Division]],config_div[Id], config_div[Name],,0)</f>
        <v>内控合规</v>
      </c>
      <c r="T25" t="str">
        <f>IF(Jnl[[#This Row],[TrxDate]]&lt;=stmt_BS_date_end, "In", "Out")</f>
        <v>In</v>
      </c>
      <c r="U25" t="str">
        <f>IF(Jnl[[#This Row],[TrxDate]]&lt;debug_date_start, "prior", IF(Jnl[[#This Row],[TrxDate]]&gt;debug_date_end, "post", "curr"))</f>
        <v>prior</v>
      </c>
    </row>
    <row r="26" spans="1:21">
      <c r="A26" s="11" t="s">
        <v>236</v>
      </c>
      <c r="B26" s="7">
        <f>_xlfn.XLOOKUP(Jnl[[#This Row],[TrxId]], Trx[Id], Trx[Date],,0)</f>
        <v>46022</v>
      </c>
      <c r="C26" s="7" t="str">
        <f>_xlfn.XLOOKUP(Jnl[[#This Row],[TrxId]], Trx[Id], Trx[Division],,0)</f>
        <v>Ctrl</v>
      </c>
      <c r="D26" s="7" t="str">
        <f>_xlfn.XLOOKUP(Jnl[[#This Row],[TrxId]], Trx[Id], Trx[Action],,0)</f>
        <v>结转</v>
      </c>
      <c r="E26" s="26" t="s">
        <v>80</v>
      </c>
      <c r="F26" s="11" t="s">
        <v>113</v>
      </c>
      <c r="G26" s="11" t="s">
        <v>138</v>
      </c>
      <c r="H26" s="72">
        <v>289043.94</v>
      </c>
      <c r="I26" s="5" t="b">
        <f>AND(Jnl[[#This Row],[TrxId]]&lt;&gt;"",Jnl[[#This Row],[Acct]]&lt;&gt;"",Jnl[[#This Row],[Item]]&lt;&gt;"",ISNUMBER(Jnl[[#This Row],[Bal]]))</f>
        <v>1</v>
      </c>
      <c r="J26" s="10">
        <f>IF(Jnl[[#This Row],[BSLv0]]="A",1,-1)*Jnl[[#This Row],[Bal]]</f>
        <v>289043.94</v>
      </c>
      <c r="K26" t="str">
        <f>_xlfn.XLOOKUP(Jnl[[#This Row],[Acct]], config_BS[Acct], config_BS[Lv0],,0)</f>
        <v>A</v>
      </c>
      <c r="L26" t="str">
        <f>_xlfn.XLOOKUP(Jnl[[#This Row],[Acct]], config_BS[Acct], config_BS[Lv1],,0)</f>
        <v>Assets</v>
      </c>
      <c r="M26" t="str">
        <f>_xlfn.XLOOKUP(Jnl[[#This Row],[Acct]], config_BS[Acct], config_BS[Lv2],,0)</f>
        <v>Rec-Pay</v>
      </c>
      <c r="N26" t="str">
        <f>_xlfn.XLOOKUP(Jnl[[#This Row],[TrxId]], Trx[Id], Trx[IncNode], ,0)</f>
        <v>Other</v>
      </c>
      <c r="O26" t="str">
        <f>_xlfn.XLOOKUP(Jnl[[#This Row],[IncNode]], config_IS[Node], config_IS[Type],,0)</f>
        <v>Non-Op</v>
      </c>
      <c r="P26" t="str">
        <f>_xlfn.XLOOKUP(Jnl[[#This Row],[BSLv2]], dict[Key], dict[Name],,0)</f>
        <v>1.应收-应付</v>
      </c>
      <c r="Q26" t="str">
        <f>_xlfn.XLOOKUP(Jnl[[#This Row],[Acct]], dict[Key], dict[Name],,0)</f>
        <v>应收-一般</v>
      </c>
      <c r="R26" t="str">
        <f>_xlfn.XLOOKUP(Jnl[[#This Row],[Vehicle]],config_vehicle[Id], config_vehicle[Name],,0)</f>
        <v>远家花园</v>
      </c>
      <c r="S26" t="str">
        <f>_xlfn.XLOOKUP(Jnl[[#This Row],[Division]],config_div[Id], config_div[Name],,0)</f>
        <v>内控合规</v>
      </c>
      <c r="T26" t="str">
        <f>IF(Jnl[[#This Row],[TrxDate]]&lt;=stmt_BS_date_end, "In", "Out")</f>
        <v>In</v>
      </c>
      <c r="U26" t="str">
        <f>IF(Jnl[[#This Row],[TrxDate]]&lt;debug_date_start, "prior", IF(Jnl[[#This Row],[TrxDate]]&gt;debug_date_end, "post", "curr"))</f>
        <v>prior</v>
      </c>
    </row>
    <row r="27" spans="1:21">
      <c r="A27" s="11" t="s">
        <v>236</v>
      </c>
      <c r="B27" s="7">
        <f>_xlfn.XLOOKUP(Jnl[[#This Row],[TrxId]], Trx[Id], Trx[Date],,0)</f>
        <v>46022</v>
      </c>
      <c r="C27" s="7" t="str">
        <f>_xlfn.XLOOKUP(Jnl[[#This Row],[TrxId]], Trx[Id], Trx[Division],,0)</f>
        <v>Ctrl</v>
      </c>
      <c r="D27" s="7" t="str">
        <f>_xlfn.XLOOKUP(Jnl[[#This Row],[TrxId]], Trx[Id], Trx[Action],,0)</f>
        <v>结转</v>
      </c>
      <c r="E27" s="26" t="s">
        <v>80</v>
      </c>
      <c r="F27" s="11" t="s">
        <v>198</v>
      </c>
      <c r="G27" s="11" t="s">
        <v>137</v>
      </c>
      <c r="H27" s="72">
        <v>24591.75</v>
      </c>
      <c r="I27" s="5" t="b">
        <f>AND(Jnl[[#This Row],[TrxId]]&lt;&gt;"",Jnl[[#This Row],[Acct]]&lt;&gt;"",Jnl[[#This Row],[Item]]&lt;&gt;"",ISNUMBER(Jnl[[#This Row],[Bal]]))</f>
        <v>1</v>
      </c>
      <c r="J27" s="10">
        <f>IF(Jnl[[#This Row],[BSLv0]]="A",1,-1)*Jnl[[#This Row],[Bal]]</f>
        <v>24591.75</v>
      </c>
      <c r="K27" t="str">
        <f>_xlfn.XLOOKUP(Jnl[[#This Row],[Acct]], config_BS[Acct], config_BS[Lv0],,0)</f>
        <v>A</v>
      </c>
      <c r="L27" t="str">
        <f>_xlfn.XLOOKUP(Jnl[[#This Row],[Acct]], config_BS[Acct], config_BS[Lv1],,0)</f>
        <v>Assets</v>
      </c>
      <c r="M27" t="str">
        <f>_xlfn.XLOOKUP(Jnl[[#This Row],[Acct]], config_BS[Acct], config_BS[Lv2],,0)</f>
        <v>Rec-Pay</v>
      </c>
      <c r="N27" t="str">
        <f>_xlfn.XLOOKUP(Jnl[[#This Row],[TrxId]], Trx[Id], Trx[IncNode], ,0)</f>
        <v>Other</v>
      </c>
      <c r="O27" t="str">
        <f>_xlfn.XLOOKUP(Jnl[[#This Row],[IncNode]], config_IS[Node], config_IS[Type],,0)</f>
        <v>Non-Op</v>
      </c>
      <c r="P27" t="str">
        <f>_xlfn.XLOOKUP(Jnl[[#This Row],[BSLv2]], dict[Key], dict[Name],,0)</f>
        <v>1.应收-应付</v>
      </c>
      <c r="Q27" t="str">
        <f>_xlfn.XLOOKUP(Jnl[[#This Row],[Acct]], dict[Key], dict[Name],,0)</f>
        <v>应收-其他</v>
      </c>
      <c r="R27" t="str">
        <f>_xlfn.XLOOKUP(Jnl[[#This Row],[Vehicle]],config_vehicle[Id], config_vehicle[Name],,0)</f>
        <v>远家花园</v>
      </c>
      <c r="S27" t="str">
        <f>_xlfn.XLOOKUP(Jnl[[#This Row],[Division]],config_div[Id], config_div[Name],,0)</f>
        <v>内控合规</v>
      </c>
      <c r="T27" t="str">
        <f>IF(Jnl[[#This Row],[TrxDate]]&lt;=stmt_BS_date_end, "In", "Out")</f>
        <v>In</v>
      </c>
      <c r="U27" t="str">
        <f>IF(Jnl[[#This Row],[TrxDate]]&lt;debug_date_start, "prior", IF(Jnl[[#This Row],[TrxDate]]&gt;debug_date_end, "post", "curr"))</f>
        <v>prior</v>
      </c>
    </row>
    <row r="28" spans="1:21">
      <c r="A28" s="11" t="s">
        <v>236</v>
      </c>
      <c r="B28" s="7">
        <f>_xlfn.XLOOKUP(Jnl[[#This Row],[TrxId]], Trx[Id], Trx[Date],,0)</f>
        <v>46022</v>
      </c>
      <c r="C28" s="7" t="str">
        <f>_xlfn.XLOOKUP(Jnl[[#This Row],[TrxId]], Trx[Id], Trx[Division],,0)</f>
        <v>Ctrl</v>
      </c>
      <c r="D28" s="7" t="str">
        <f>_xlfn.XLOOKUP(Jnl[[#This Row],[TrxId]], Trx[Id], Trx[Action],,0)</f>
        <v>结转</v>
      </c>
      <c r="E28" s="26" t="s">
        <v>80</v>
      </c>
      <c r="F28" s="11" t="s">
        <v>192</v>
      </c>
      <c r="G28" s="11" t="s">
        <v>139</v>
      </c>
      <c r="H28" s="72">
        <v>66888.95</v>
      </c>
      <c r="I28" s="5" t="b">
        <f>AND(Jnl[[#This Row],[TrxId]]&lt;&gt;"",Jnl[[#This Row],[Acct]]&lt;&gt;"",Jnl[[#This Row],[Item]]&lt;&gt;"",ISNUMBER(Jnl[[#This Row],[Bal]]))</f>
        <v>1</v>
      </c>
      <c r="J28" s="10">
        <f>IF(Jnl[[#This Row],[BSLv0]]="A",1,-1)*Jnl[[#This Row],[Bal]]</f>
        <v>66888.95</v>
      </c>
      <c r="K28" t="str">
        <f>_xlfn.XLOOKUP(Jnl[[#This Row],[Acct]], config_BS[Acct], config_BS[Lv0],,0)</f>
        <v>A</v>
      </c>
      <c r="L28" t="str">
        <f>_xlfn.XLOOKUP(Jnl[[#This Row],[Acct]], config_BS[Acct], config_BS[Lv1],,0)</f>
        <v>Assets</v>
      </c>
      <c r="M28" t="str">
        <f>_xlfn.XLOOKUP(Jnl[[#This Row],[Acct]], config_BS[Acct], config_BS[Lv2],,0)</f>
        <v>Prep-Sub</v>
      </c>
      <c r="N28" t="str">
        <f>_xlfn.XLOOKUP(Jnl[[#This Row],[TrxId]], Trx[Id], Trx[IncNode], ,0)</f>
        <v>Other</v>
      </c>
      <c r="O28" t="str">
        <f>_xlfn.XLOOKUP(Jnl[[#This Row],[IncNode]], config_IS[Node], config_IS[Type],,0)</f>
        <v>Non-Op</v>
      </c>
      <c r="P28" t="str">
        <f>_xlfn.XLOOKUP(Jnl[[#This Row],[BSLv2]], dict[Key], dict[Name],,0)</f>
        <v>2.预付-订阅</v>
      </c>
      <c r="Q28" t="str">
        <f>_xlfn.XLOOKUP(Jnl[[#This Row],[Acct]], dict[Key], dict[Name],,0)</f>
        <v>押金</v>
      </c>
      <c r="R28" t="str">
        <f>_xlfn.XLOOKUP(Jnl[[#This Row],[Vehicle]],config_vehicle[Id], config_vehicle[Name],,0)</f>
        <v>远家花园</v>
      </c>
      <c r="S28" t="str">
        <f>_xlfn.XLOOKUP(Jnl[[#This Row],[Division]],config_div[Id], config_div[Name],,0)</f>
        <v>内控合规</v>
      </c>
      <c r="T28" t="str">
        <f>IF(Jnl[[#This Row],[TrxDate]]&lt;=stmt_BS_date_end, "In", "Out")</f>
        <v>In</v>
      </c>
      <c r="U28" t="str">
        <f>IF(Jnl[[#This Row],[TrxDate]]&lt;debug_date_start, "prior", IF(Jnl[[#This Row],[TrxDate]]&gt;debug_date_end, "post", "curr"))</f>
        <v>prior</v>
      </c>
    </row>
    <row r="29" spans="1:21">
      <c r="A29" s="11" t="s">
        <v>236</v>
      </c>
      <c r="B29" s="7">
        <f>_xlfn.XLOOKUP(Jnl[[#This Row],[TrxId]], Trx[Id], Trx[Date],,0)</f>
        <v>46022</v>
      </c>
      <c r="C29" s="7" t="str">
        <f>_xlfn.XLOOKUP(Jnl[[#This Row],[TrxId]], Trx[Id], Trx[Division],,0)</f>
        <v>Ctrl</v>
      </c>
      <c r="D29" s="7" t="str">
        <f>_xlfn.XLOOKUP(Jnl[[#This Row],[TrxId]], Trx[Id], Trx[Action],,0)</f>
        <v>结转</v>
      </c>
      <c r="E29" s="26" t="s">
        <v>106</v>
      </c>
      <c r="F29" s="11" t="s">
        <v>113</v>
      </c>
      <c r="G29" s="11" t="s">
        <v>138</v>
      </c>
      <c r="H29" s="72">
        <v>4640.3</v>
      </c>
      <c r="I29" s="5" t="b">
        <f>AND(Jnl[[#This Row],[TrxId]]&lt;&gt;"",Jnl[[#This Row],[Acct]]&lt;&gt;"",Jnl[[#This Row],[Item]]&lt;&gt;"",ISNUMBER(Jnl[[#This Row],[Bal]]))</f>
        <v>1</v>
      </c>
      <c r="J29" s="10">
        <f>IF(Jnl[[#This Row],[BSLv0]]="A",1,-1)*Jnl[[#This Row],[Bal]]</f>
        <v>4640.3</v>
      </c>
      <c r="K29" t="str">
        <f>_xlfn.XLOOKUP(Jnl[[#This Row],[Acct]], config_BS[Acct], config_BS[Lv0],,0)</f>
        <v>A</v>
      </c>
      <c r="L29" t="str">
        <f>_xlfn.XLOOKUP(Jnl[[#This Row],[Acct]], config_BS[Acct], config_BS[Lv1],,0)</f>
        <v>Assets</v>
      </c>
      <c r="M29" t="str">
        <f>_xlfn.XLOOKUP(Jnl[[#This Row],[Acct]], config_BS[Acct], config_BS[Lv2],,0)</f>
        <v>Rec-Pay</v>
      </c>
      <c r="N29" t="str">
        <f>_xlfn.XLOOKUP(Jnl[[#This Row],[TrxId]], Trx[Id], Trx[IncNode], ,0)</f>
        <v>Other</v>
      </c>
      <c r="O29" t="str">
        <f>_xlfn.XLOOKUP(Jnl[[#This Row],[IncNode]], config_IS[Node], config_IS[Type],,0)</f>
        <v>Non-Op</v>
      </c>
      <c r="P29" t="str">
        <f>_xlfn.XLOOKUP(Jnl[[#This Row],[BSLv2]], dict[Key], dict[Name],,0)</f>
        <v>1.应收-应付</v>
      </c>
      <c r="Q29" t="str">
        <f>_xlfn.XLOOKUP(Jnl[[#This Row],[Acct]], dict[Key], dict[Name],,0)</f>
        <v>应收-一般</v>
      </c>
      <c r="R29" t="str">
        <f>_xlfn.XLOOKUP(Jnl[[#This Row],[Vehicle]],config_vehicle[Id], config_vehicle[Name],,0)</f>
        <v>远家花园高新分公司</v>
      </c>
      <c r="S29" t="str">
        <f>_xlfn.XLOOKUP(Jnl[[#This Row],[Division]],config_div[Id], config_div[Name],,0)</f>
        <v>内控合规</v>
      </c>
      <c r="T29" t="str">
        <f>IF(Jnl[[#This Row],[TrxDate]]&lt;=stmt_BS_date_end, "In", "Out")</f>
        <v>In</v>
      </c>
      <c r="U29" t="str">
        <f>IF(Jnl[[#This Row],[TrxDate]]&lt;debug_date_start, "prior", IF(Jnl[[#This Row],[TrxDate]]&gt;debug_date_end, "post", "curr"))</f>
        <v>prior</v>
      </c>
    </row>
    <row r="30" spans="1:21">
      <c r="A30" s="11" t="s">
        <v>236</v>
      </c>
      <c r="B30" s="7">
        <f>_xlfn.XLOOKUP(Jnl[[#This Row],[TrxId]], Trx[Id], Trx[Date],,0)</f>
        <v>46022</v>
      </c>
      <c r="C30" s="7" t="str">
        <f>_xlfn.XLOOKUP(Jnl[[#This Row],[TrxId]], Trx[Id], Trx[Division],,0)</f>
        <v>Ctrl</v>
      </c>
      <c r="D30" s="7" t="str">
        <f>_xlfn.XLOOKUP(Jnl[[#This Row],[TrxId]], Trx[Id], Trx[Action],,0)</f>
        <v>结转</v>
      </c>
      <c r="E30" s="26" t="s">
        <v>106</v>
      </c>
      <c r="F30" s="11" t="s">
        <v>198</v>
      </c>
      <c r="G30" s="11" t="s">
        <v>137</v>
      </c>
      <c r="H30" s="72">
        <v>1474.3</v>
      </c>
      <c r="I30" s="5" t="b">
        <f>AND(Jnl[[#This Row],[TrxId]]&lt;&gt;"",Jnl[[#This Row],[Acct]]&lt;&gt;"",Jnl[[#This Row],[Item]]&lt;&gt;"",ISNUMBER(Jnl[[#This Row],[Bal]]))</f>
        <v>1</v>
      </c>
      <c r="J30" s="10">
        <f>IF(Jnl[[#This Row],[BSLv0]]="A",1,-1)*Jnl[[#This Row],[Bal]]</f>
        <v>1474.3</v>
      </c>
      <c r="K30" t="str">
        <f>_xlfn.XLOOKUP(Jnl[[#This Row],[Acct]], config_BS[Acct], config_BS[Lv0],,0)</f>
        <v>A</v>
      </c>
      <c r="L30" t="str">
        <f>_xlfn.XLOOKUP(Jnl[[#This Row],[Acct]], config_BS[Acct], config_BS[Lv1],,0)</f>
        <v>Assets</v>
      </c>
      <c r="M30" t="str">
        <f>_xlfn.XLOOKUP(Jnl[[#This Row],[Acct]], config_BS[Acct], config_BS[Lv2],,0)</f>
        <v>Rec-Pay</v>
      </c>
      <c r="N30" t="str">
        <f>_xlfn.XLOOKUP(Jnl[[#This Row],[TrxId]], Trx[Id], Trx[IncNode], ,0)</f>
        <v>Other</v>
      </c>
      <c r="O30" t="str">
        <f>_xlfn.XLOOKUP(Jnl[[#This Row],[IncNode]], config_IS[Node], config_IS[Type],,0)</f>
        <v>Non-Op</v>
      </c>
      <c r="P30" t="str">
        <f>_xlfn.XLOOKUP(Jnl[[#This Row],[BSLv2]], dict[Key], dict[Name],,0)</f>
        <v>1.应收-应付</v>
      </c>
      <c r="Q30" t="str">
        <f>_xlfn.XLOOKUP(Jnl[[#This Row],[Acct]], dict[Key], dict[Name],,0)</f>
        <v>应收-其他</v>
      </c>
      <c r="R30" t="str">
        <f>_xlfn.XLOOKUP(Jnl[[#This Row],[Vehicle]],config_vehicle[Id], config_vehicle[Name],,0)</f>
        <v>远家花园高新分公司</v>
      </c>
      <c r="S30" t="str">
        <f>_xlfn.XLOOKUP(Jnl[[#This Row],[Division]],config_div[Id], config_div[Name],,0)</f>
        <v>内控合规</v>
      </c>
      <c r="T30" t="str">
        <f>IF(Jnl[[#This Row],[TrxDate]]&lt;=stmt_BS_date_end, "In", "Out")</f>
        <v>In</v>
      </c>
      <c r="U30" t="str">
        <f>IF(Jnl[[#This Row],[TrxDate]]&lt;debug_date_start, "prior", IF(Jnl[[#This Row],[TrxDate]]&gt;debug_date_end, "post", "curr"))</f>
        <v>prior</v>
      </c>
    </row>
    <row r="31" spans="1:21">
      <c r="A31" s="11" t="s">
        <v>236</v>
      </c>
      <c r="B31" s="7">
        <f>_xlfn.XLOOKUP(Jnl[[#This Row],[TrxId]], Trx[Id], Trx[Date],,0)</f>
        <v>46022</v>
      </c>
      <c r="C31" s="7" t="str">
        <f>_xlfn.XLOOKUP(Jnl[[#This Row],[TrxId]], Trx[Id], Trx[Division],,0)</f>
        <v>Ctrl</v>
      </c>
      <c r="D31" s="7" t="str">
        <f>_xlfn.XLOOKUP(Jnl[[#This Row],[TrxId]], Trx[Id], Trx[Action],,0)</f>
        <v>结转</v>
      </c>
      <c r="E31" s="26" t="s">
        <v>111</v>
      </c>
      <c r="F31" s="11" t="s">
        <v>198</v>
      </c>
      <c r="G31" s="11" t="s">
        <v>137</v>
      </c>
      <c r="H31" s="72">
        <v>3340.05</v>
      </c>
      <c r="I31" s="5" t="b">
        <f>AND(Jnl[[#This Row],[TrxId]]&lt;&gt;"",Jnl[[#This Row],[Acct]]&lt;&gt;"",Jnl[[#This Row],[Item]]&lt;&gt;"",ISNUMBER(Jnl[[#This Row],[Bal]]))</f>
        <v>1</v>
      </c>
      <c r="J31" s="10">
        <f>IF(Jnl[[#This Row],[BSLv0]]="A",1,-1)*Jnl[[#This Row],[Bal]]</f>
        <v>3340.05</v>
      </c>
      <c r="K31" t="str">
        <f>_xlfn.XLOOKUP(Jnl[[#This Row],[Acct]], config_BS[Acct], config_BS[Lv0],,0)</f>
        <v>A</v>
      </c>
      <c r="L31" t="str">
        <f>_xlfn.XLOOKUP(Jnl[[#This Row],[Acct]], config_BS[Acct], config_BS[Lv1],,0)</f>
        <v>Assets</v>
      </c>
      <c r="M31" t="str">
        <f>_xlfn.XLOOKUP(Jnl[[#This Row],[Acct]], config_BS[Acct], config_BS[Lv2],,0)</f>
        <v>Rec-Pay</v>
      </c>
      <c r="N31" t="str">
        <f>_xlfn.XLOOKUP(Jnl[[#This Row],[TrxId]], Trx[Id], Trx[IncNode], ,0)</f>
        <v>Other</v>
      </c>
      <c r="O31" t="str">
        <f>_xlfn.XLOOKUP(Jnl[[#This Row],[IncNode]], config_IS[Node], config_IS[Type],,0)</f>
        <v>Non-Op</v>
      </c>
      <c r="P31" t="str">
        <f>_xlfn.XLOOKUP(Jnl[[#This Row],[BSLv2]], dict[Key], dict[Name],,0)</f>
        <v>1.应收-应付</v>
      </c>
      <c r="Q31" t="str">
        <f>_xlfn.XLOOKUP(Jnl[[#This Row],[Acct]], dict[Key], dict[Name],,0)</f>
        <v>应收-其他</v>
      </c>
      <c r="R31" t="str">
        <f>_xlfn.XLOOKUP(Jnl[[#This Row],[Vehicle]],config_vehicle[Id], config_vehicle[Name],,0)</f>
        <v>染匠文化</v>
      </c>
      <c r="S31" t="str">
        <f>_xlfn.XLOOKUP(Jnl[[#This Row],[Division]],config_div[Id], config_div[Name],,0)</f>
        <v>内控合规</v>
      </c>
      <c r="T31" t="str">
        <f>IF(Jnl[[#This Row],[TrxDate]]&lt;=stmt_BS_date_end, "In", "Out")</f>
        <v>In</v>
      </c>
      <c r="U31" t="str">
        <f>IF(Jnl[[#This Row],[TrxDate]]&lt;debug_date_start, "prior", IF(Jnl[[#This Row],[TrxDate]]&gt;debug_date_end, "post", "curr"))</f>
        <v>prior</v>
      </c>
    </row>
    <row r="32" spans="1:21">
      <c r="A32" s="11" t="s">
        <v>236</v>
      </c>
      <c r="B32" s="7">
        <f>_xlfn.XLOOKUP(Jnl[[#This Row],[TrxId]], Trx[Id], Trx[Date],,0)</f>
        <v>46022</v>
      </c>
      <c r="C32" s="7" t="str">
        <f>_xlfn.XLOOKUP(Jnl[[#This Row],[TrxId]], Trx[Id], Trx[Division],,0)</f>
        <v>Ctrl</v>
      </c>
      <c r="D32" s="7" t="str">
        <f>_xlfn.XLOOKUP(Jnl[[#This Row],[TrxId]], Trx[Id], Trx[Action],,0)</f>
        <v>结转</v>
      </c>
      <c r="E32" s="26" t="s">
        <v>84</v>
      </c>
      <c r="F32" s="11" t="s">
        <v>198</v>
      </c>
      <c r="G32" s="11" t="s">
        <v>137</v>
      </c>
      <c r="H32" s="72">
        <v>14294.35</v>
      </c>
      <c r="I32" s="5" t="b">
        <f>AND(Jnl[[#This Row],[TrxId]]&lt;&gt;"",Jnl[[#This Row],[Acct]]&lt;&gt;"",Jnl[[#This Row],[Item]]&lt;&gt;"",ISNUMBER(Jnl[[#This Row],[Bal]]))</f>
        <v>1</v>
      </c>
      <c r="J32" s="10">
        <f>IF(Jnl[[#This Row],[BSLv0]]="A",1,-1)*Jnl[[#This Row],[Bal]]</f>
        <v>14294.35</v>
      </c>
      <c r="K32" t="str">
        <f>_xlfn.XLOOKUP(Jnl[[#This Row],[Acct]], config_BS[Acct], config_BS[Lv0],,0)</f>
        <v>A</v>
      </c>
      <c r="L32" t="str">
        <f>_xlfn.XLOOKUP(Jnl[[#This Row],[Acct]], config_BS[Acct], config_BS[Lv1],,0)</f>
        <v>Assets</v>
      </c>
      <c r="M32" t="str">
        <f>_xlfn.XLOOKUP(Jnl[[#This Row],[Acct]], config_BS[Acct], config_BS[Lv2],,0)</f>
        <v>Rec-Pay</v>
      </c>
      <c r="N32" t="str">
        <f>_xlfn.XLOOKUP(Jnl[[#This Row],[TrxId]], Trx[Id], Trx[IncNode], ,0)</f>
        <v>Other</v>
      </c>
      <c r="O32" t="str">
        <f>_xlfn.XLOOKUP(Jnl[[#This Row],[IncNode]], config_IS[Node], config_IS[Type],,0)</f>
        <v>Non-Op</v>
      </c>
      <c r="P32" t="str">
        <f>_xlfn.XLOOKUP(Jnl[[#This Row],[BSLv2]], dict[Key], dict[Name],,0)</f>
        <v>1.应收-应付</v>
      </c>
      <c r="Q32" t="str">
        <f>_xlfn.XLOOKUP(Jnl[[#This Row],[Acct]], dict[Key], dict[Name],,0)</f>
        <v>应收-其他</v>
      </c>
      <c r="R32" t="str">
        <f>_xlfn.XLOOKUP(Jnl[[#This Row],[Vehicle]],config_vehicle[Id], config_vehicle[Name],,0)</f>
        <v>榆乐</v>
      </c>
      <c r="S32" t="str">
        <f>_xlfn.XLOOKUP(Jnl[[#This Row],[Division]],config_div[Id], config_div[Name],,0)</f>
        <v>内控合规</v>
      </c>
      <c r="T32" t="str">
        <f>IF(Jnl[[#This Row],[TrxDate]]&lt;=stmt_BS_date_end, "In", "Out")</f>
        <v>In</v>
      </c>
      <c r="U32" t="str">
        <f>IF(Jnl[[#This Row],[TrxDate]]&lt;debug_date_start, "prior", IF(Jnl[[#This Row],[TrxDate]]&gt;debug_date_end, "post", "curr"))</f>
        <v>prior</v>
      </c>
    </row>
    <row r="33" spans="1:21">
      <c r="A33" s="11" t="s">
        <v>236</v>
      </c>
      <c r="B33" s="7">
        <f>_xlfn.XLOOKUP(Jnl[[#This Row],[TrxId]], Trx[Id], Trx[Date],,0)</f>
        <v>46022</v>
      </c>
      <c r="C33" s="7" t="str">
        <f>_xlfn.XLOOKUP(Jnl[[#This Row],[TrxId]], Trx[Id], Trx[Division],,0)</f>
        <v>Ctrl</v>
      </c>
      <c r="D33" s="7" t="str">
        <f>_xlfn.XLOOKUP(Jnl[[#This Row],[TrxId]], Trx[Id], Trx[Action],,0)</f>
        <v>结转</v>
      </c>
      <c r="E33" s="26" t="s">
        <v>85</v>
      </c>
      <c r="F33" s="11" t="s">
        <v>198</v>
      </c>
      <c r="G33" s="11" t="s">
        <v>137</v>
      </c>
      <c r="H33" s="72">
        <v>1431.45</v>
      </c>
      <c r="I33" s="5" t="b">
        <f>AND(Jnl[[#This Row],[TrxId]]&lt;&gt;"",Jnl[[#This Row],[Acct]]&lt;&gt;"",Jnl[[#This Row],[Item]]&lt;&gt;"",ISNUMBER(Jnl[[#This Row],[Bal]]))</f>
        <v>1</v>
      </c>
      <c r="J33" s="10">
        <f>IF(Jnl[[#This Row],[BSLv0]]="A",1,-1)*Jnl[[#This Row],[Bal]]</f>
        <v>1431.45</v>
      </c>
      <c r="K33" t="str">
        <f>_xlfn.XLOOKUP(Jnl[[#This Row],[Acct]], config_BS[Acct], config_BS[Lv0],,0)</f>
        <v>A</v>
      </c>
      <c r="L33" t="str">
        <f>_xlfn.XLOOKUP(Jnl[[#This Row],[Acct]], config_BS[Acct], config_BS[Lv1],,0)</f>
        <v>Assets</v>
      </c>
      <c r="M33" t="str">
        <f>_xlfn.XLOOKUP(Jnl[[#This Row],[Acct]], config_BS[Acct], config_BS[Lv2],,0)</f>
        <v>Rec-Pay</v>
      </c>
      <c r="N33" t="str">
        <f>_xlfn.XLOOKUP(Jnl[[#This Row],[TrxId]], Trx[Id], Trx[IncNode], ,0)</f>
        <v>Other</v>
      </c>
      <c r="O33" t="str">
        <f>_xlfn.XLOOKUP(Jnl[[#This Row],[IncNode]], config_IS[Node], config_IS[Type],,0)</f>
        <v>Non-Op</v>
      </c>
      <c r="P33" t="str">
        <f>_xlfn.XLOOKUP(Jnl[[#This Row],[BSLv2]], dict[Key], dict[Name],,0)</f>
        <v>1.应收-应付</v>
      </c>
      <c r="Q33" t="str">
        <f>_xlfn.XLOOKUP(Jnl[[#This Row],[Acct]], dict[Key], dict[Name],,0)</f>
        <v>应收-其他</v>
      </c>
      <c r="R33" t="str">
        <f>_xlfn.XLOOKUP(Jnl[[#This Row],[Vehicle]],config_vehicle[Id], config_vehicle[Name],,0)</f>
        <v>桑木</v>
      </c>
      <c r="S33" t="str">
        <f>_xlfn.XLOOKUP(Jnl[[#This Row],[Division]],config_div[Id], config_div[Name],,0)</f>
        <v>内控合规</v>
      </c>
      <c r="T33" t="str">
        <f>IF(Jnl[[#This Row],[TrxDate]]&lt;=stmt_BS_date_end, "In", "Out")</f>
        <v>In</v>
      </c>
      <c r="U33" t="str">
        <f>IF(Jnl[[#This Row],[TrxDate]]&lt;debug_date_start, "prior", IF(Jnl[[#This Row],[TrxDate]]&gt;debug_date_end, "post", "curr"))</f>
        <v>prior</v>
      </c>
    </row>
    <row r="34" spans="1:21">
      <c r="A34" s="11" t="s">
        <v>236</v>
      </c>
      <c r="B34" s="7">
        <f>_xlfn.XLOOKUP(Jnl[[#This Row],[TrxId]], Trx[Id], Trx[Date],,0)</f>
        <v>46022</v>
      </c>
      <c r="C34" s="7" t="str">
        <f>_xlfn.XLOOKUP(Jnl[[#This Row],[TrxId]], Trx[Id], Trx[Division],,0)</f>
        <v>Ctrl</v>
      </c>
      <c r="D34" s="7" t="str">
        <f>_xlfn.XLOOKUP(Jnl[[#This Row],[TrxId]], Trx[Id], Trx[Action],,0)</f>
        <v>结转</v>
      </c>
      <c r="E34" s="26" t="s">
        <v>82</v>
      </c>
      <c r="F34" s="11" t="s">
        <v>198</v>
      </c>
      <c r="G34" s="11" t="s">
        <v>137</v>
      </c>
      <c r="H34" s="72">
        <v>11451.6</v>
      </c>
      <c r="I34" s="5" t="b">
        <f>AND(Jnl[[#This Row],[TrxId]]&lt;&gt;"",Jnl[[#This Row],[Acct]]&lt;&gt;"",Jnl[[#This Row],[Item]]&lt;&gt;"",ISNUMBER(Jnl[[#This Row],[Bal]]))</f>
        <v>1</v>
      </c>
      <c r="J34" s="10">
        <f>IF(Jnl[[#This Row],[BSLv0]]="A",1,-1)*Jnl[[#This Row],[Bal]]</f>
        <v>11451.6</v>
      </c>
      <c r="K34" t="str">
        <f>_xlfn.XLOOKUP(Jnl[[#This Row],[Acct]], config_BS[Acct], config_BS[Lv0],,0)</f>
        <v>A</v>
      </c>
      <c r="L34" t="str">
        <f>_xlfn.XLOOKUP(Jnl[[#This Row],[Acct]], config_BS[Acct], config_BS[Lv1],,0)</f>
        <v>Assets</v>
      </c>
      <c r="M34" t="str">
        <f>_xlfn.XLOOKUP(Jnl[[#This Row],[Acct]], config_BS[Acct], config_BS[Lv2],,0)</f>
        <v>Rec-Pay</v>
      </c>
      <c r="N34" t="str">
        <f>_xlfn.XLOOKUP(Jnl[[#This Row],[TrxId]], Trx[Id], Trx[IncNode], ,0)</f>
        <v>Other</v>
      </c>
      <c r="O34" t="str">
        <f>_xlfn.XLOOKUP(Jnl[[#This Row],[IncNode]], config_IS[Node], config_IS[Type],,0)</f>
        <v>Non-Op</v>
      </c>
      <c r="P34" t="str">
        <f>_xlfn.XLOOKUP(Jnl[[#This Row],[BSLv2]], dict[Key], dict[Name],,0)</f>
        <v>1.应收-应付</v>
      </c>
      <c r="Q34" t="str">
        <f>_xlfn.XLOOKUP(Jnl[[#This Row],[Acct]], dict[Key], dict[Name],,0)</f>
        <v>应收-其他</v>
      </c>
      <c r="R34" t="str">
        <f>_xlfn.XLOOKUP(Jnl[[#This Row],[Vehicle]],config_vehicle[Id], config_vehicle[Name],,0)</f>
        <v>米小易</v>
      </c>
      <c r="S34" t="str">
        <f>_xlfn.XLOOKUP(Jnl[[#This Row],[Division]],config_div[Id], config_div[Name],,0)</f>
        <v>内控合规</v>
      </c>
      <c r="T34" t="str">
        <f>IF(Jnl[[#This Row],[TrxDate]]&lt;=stmt_BS_date_end, "In", "Out")</f>
        <v>In</v>
      </c>
      <c r="U34" t="str">
        <f>IF(Jnl[[#This Row],[TrxDate]]&lt;debug_date_start, "prior", IF(Jnl[[#This Row],[TrxDate]]&gt;debug_date_end, "post", "curr"))</f>
        <v>prior</v>
      </c>
    </row>
    <row r="35" spans="1:21">
      <c r="A35" s="11" t="s">
        <v>236</v>
      </c>
      <c r="B35" s="7">
        <f>_xlfn.XLOOKUP(Jnl[[#This Row],[TrxId]], Trx[Id], Trx[Date],,0)</f>
        <v>46022</v>
      </c>
      <c r="C35" s="7" t="str">
        <f>_xlfn.XLOOKUP(Jnl[[#This Row],[TrxId]], Trx[Id], Trx[Division],,0)</f>
        <v>Ctrl</v>
      </c>
      <c r="D35" s="7" t="str">
        <f>_xlfn.XLOOKUP(Jnl[[#This Row],[TrxId]], Trx[Id], Trx[Action],,0)</f>
        <v>结转</v>
      </c>
      <c r="E35" s="26" t="s">
        <v>82</v>
      </c>
      <c r="F35" s="11" t="s">
        <v>192</v>
      </c>
      <c r="G35" s="11" t="s">
        <v>139</v>
      </c>
      <c r="H35" s="72">
        <v>4000</v>
      </c>
      <c r="I35" s="5" t="b">
        <f>AND(Jnl[[#This Row],[TrxId]]&lt;&gt;"",Jnl[[#This Row],[Acct]]&lt;&gt;"",Jnl[[#This Row],[Item]]&lt;&gt;"",ISNUMBER(Jnl[[#This Row],[Bal]]))</f>
        <v>1</v>
      </c>
      <c r="J35" s="10">
        <f>IF(Jnl[[#This Row],[BSLv0]]="A",1,-1)*Jnl[[#This Row],[Bal]]</f>
        <v>4000</v>
      </c>
      <c r="K35" t="str">
        <f>_xlfn.XLOOKUP(Jnl[[#This Row],[Acct]], config_BS[Acct], config_BS[Lv0],,0)</f>
        <v>A</v>
      </c>
      <c r="L35" t="str">
        <f>_xlfn.XLOOKUP(Jnl[[#This Row],[Acct]], config_BS[Acct], config_BS[Lv1],,0)</f>
        <v>Assets</v>
      </c>
      <c r="M35" t="str">
        <f>_xlfn.XLOOKUP(Jnl[[#This Row],[Acct]], config_BS[Acct], config_BS[Lv2],,0)</f>
        <v>Prep-Sub</v>
      </c>
      <c r="N35" t="str">
        <f>_xlfn.XLOOKUP(Jnl[[#This Row],[TrxId]], Trx[Id], Trx[IncNode], ,0)</f>
        <v>Other</v>
      </c>
      <c r="O35" t="str">
        <f>_xlfn.XLOOKUP(Jnl[[#This Row],[IncNode]], config_IS[Node], config_IS[Type],,0)</f>
        <v>Non-Op</v>
      </c>
      <c r="P35" t="str">
        <f>_xlfn.XLOOKUP(Jnl[[#This Row],[BSLv2]], dict[Key], dict[Name],,0)</f>
        <v>2.预付-订阅</v>
      </c>
      <c r="Q35" t="str">
        <f>_xlfn.XLOOKUP(Jnl[[#This Row],[Acct]], dict[Key], dict[Name],,0)</f>
        <v>押金</v>
      </c>
      <c r="R35" t="str">
        <f>_xlfn.XLOOKUP(Jnl[[#This Row],[Vehicle]],config_vehicle[Id], config_vehicle[Name],,0)</f>
        <v>米小易</v>
      </c>
      <c r="S35" t="str">
        <f>_xlfn.XLOOKUP(Jnl[[#This Row],[Division]],config_div[Id], config_div[Name],,0)</f>
        <v>内控合规</v>
      </c>
      <c r="T35" t="str">
        <f>IF(Jnl[[#This Row],[TrxDate]]&lt;=stmt_BS_date_end, "In", "Out")</f>
        <v>In</v>
      </c>
      <c r="U35" t="str">
        <f>IF(Jnl[[#This Row],[TrxDate]]&lt;debug_date_start, "prior", IF(Jnl[[#This Row],[TrxDate]]&gt;debug_date_end, "post", "curr"))</f>
        <v>prior</v>
      </c>
    </row>
    <row r="36" spans="1:21">
      <c r="A36" s="11" t="s">
        <v>236</v>
      </c>
      <c r="B36" s="7">
        <f>_xlfn.XLOOKUP(Jnl[[#This Row],[TrxId]], Trx[Id], Trx[Date],,0)</f>
        <v>46022</v>
      </c>
      <c r="C36" s="7" t="str">
        <f>_xlfn.XLOOKUP(Jnl[[#This Row],[TrxId]], Trx[Id], Trx[Division],,0)</f>
        <v>Ctrl</v>
      </c>
      <c r="D36" s="7" t="str">
        <f>_xlfn.XLOOKUP(Jnl[[#This Row],[TrxId]], Trx[Id], Trx[Action],,0)</f>
        <v>结转</v>
      </c>
      <c r="E36" s="26" t="s">
        <v>82</v>
      </c>
      <c r="F36" s="11" t="s">
        <v>113</v>
      </c>
      <c r="G36" s="11" t="s">
        <v>138</v>
      </c>
      <c r="H36" s="72">
        <v>12892.74</v>
      </c>
      <c r="I36" s="5" t="b">
        <f>AND(Jnl[[#This Row],[TrxId]]&lt;&gt;"",Jnl[[#This Row],[Acct]]&lt;&gt;"",Jnl[[#This Row],[Item]]&lt;&gt;"",ISNUMBER(Jnl[[#This Row],[Bal]]))</f>
        <v>1</v>
      </c>
      <c r="J36" s="10">
        <f>IF(Jnl[[#This Row],[BSLv0]]="A",1,-1)*Jnl[[#This Row],[Bal]]</f>
        <v>12892.74</v>
      </c>
      <c r="K36" t="str">
        <f>_xlfn.XLOOKUP(Jnl[[#This Row],[Acct]], config_BS[Acct], config_BS[Lv0],,0)</f>
        <v>A</v>
      </c>
      <c r="L36" t="str">
        <f>_xlfn.XLOOKUP(Jnl[[#This Row],[Acct]], config_BS[Acct], config_BS[Lv1],,0)</f>
        <v>Assets</v>
      </c>
      <c r="M36" t="str">
        <f>_xlfn.XLOOKUP(Jnl[[#This Row],[Acct]], config_BS[Acct], config_BS[Lv2],,0)</f>
        <v>Rec-Pay</v>
      </c>
      <c r="N36" t="str">
        <f>_xlfn.XLOOKUP(Jnl[[#This Row],[TrxId]], Trx[Id], Trx[IncNode], ,0)</f>
        <v>Other</v>
      </c>
      <c r="O36" t="str">
        <f>_xlfn.XLOOKUP(Jnl[[#This Row],[IncNode]], config_IS[Node], config_IS[Type],,0)</f>
        <v>Non-Op</v>
      </c>
      <c r="P36" t="str">
        <f>_xlfn.XLOOKUP(Jnl[[#This Row],[BSLv2]], dict[Key], dict[Name],,0)</f>
        <v>1.应收-应付</v>
      </c>
      <c r="Q36" t="str">
        <f>_xlfn.XLOOKUP(Jnl[[#This Row],[Acct]], dict[Key], dict[Name],,0)</f>
        <v>应收-一般</v>
      </c>
      <c r="R36" t="str">
        <f>_xlfn.XLOOKUP(Jnl[[#This Row],[Vehicle]],config_vehicle[Id], config_vehicle[Name],,0)</f>
        <v>米小易</v>
      </c>
      <c r="S36" t="str">
        <f>_xlfn.XLOOKUP(Jnl[[#This Row],[Division]],config_div[Id], config_div[Name],,0)</f>
        <v>内控合规</v>
      </c>
      <c r="T36" t="str">
        <f>IF(Jnl[[#This Row],[TrxDate]]&lt;=stmt_BS_date_end, "In", "Out")</f>
        <v>In</v>
      </c>
      <c r="U36" t="str">
        <f>IF(Jnl[[#This Row],[TrxDate]]&lt;debug_date_start, "prior", IF(Jnl[[#This Row],[TrxDate]]&gt;debug_date_end, "post", "curr"))</f>
        <v>prior</v>
      </c>
    </row>
    <row r="37" spans="1:21">
      <c r="A37" s="11" t="s">
        <v>236</v>
      </c>
      <c r="B37" s="7">
        <f>_xlfn.XLOOKUP(Jnl[[#This Row],[TrxId]], Trx[Id], Trx[Date],,0)</f>
        <v>46022</v>
      </c>
      <c r="C37" s="7" t="str">
        <f>_xlfn.XLOOKUP(Jnl[[#This Row],[TrxId]], Trx[Id], Trx[Division],,0)</f>
        <v>Ctrl</v>
      </c>
      <c r="D37" s="7" t="str">
        <f>_xlfn.XLOOKUP(Jnl[[#This Row],[TrxId]], Trx[Id], Trx[Action],,0)</f>
        <v>结转</v>
      </c>
      <c r="E37" s="26" t="s">
        <v>82</v>
      </c>
      <c r="F37" s="11" t="s">
        <v>189</v>
      </c>
      <c r="G37" s="11" t="s">
        <v>190</v>
      </c>
      <c r="H37" s="72">
        <v>30000</v>
      </c>
      <c r="I37" s="5" t="b">
        <f>AND(Jnl[[#This Row],[TrxId]]&lt;&gt;"",Jnl[[#This Row],[Acct]]&lt;&gt;"",Jnl[[#This Row],[Item]]&lt;&gt;"",ISNUMBER(Jnl[[#This Row],[Bal]]))</f>
        <v>1</v>
      </c>
      <c r="J37" s="10">
        <f>IF(Jnl[[#This Row],[BSLv0]]="A",1,-1)*Jnl[[#This Row],[Bal]]</f>
        <v>30000</v>
      </c>
      <c r="K37" t="str">
        <f>_xlfn.XLOOKUP(Jnl[[#This Row],[Acct]], config_BS[Acct], config_BS[Lv0],,0)</f>
        <v>A</v>
      </c>
      <c r="L37" t="str">
        <f>_xlfn.XLOOKUP(Jnl[[#This Row],[Acct]], config_BS[Acct], config_BS[Lv1],,0)</f>
        <v>Assets</v>
      </c>
      <c r="M37" t="str">
        <f>_xlfn.XLOOKUP(Jnl[[#This Row],[Acct]], config_BS[Acct], config_BS[Lv2],,0)</f>
        <v>Prep-Sub</v>
      </c>
      <c r="N37" t="str">
        <f>_xlfn.XLOOKUP(Jnl[[#This Row],[TrxId]], Trx[Id], Trx[IncNode], ,0)</f>
        <v>Other</v>
      </c>
      <c r="O37" t="str">
        <f>_xlfn.XLOOKUP(Jnl[[#This Row],[IncNode]], config_IS[Node], config_IS[Type],,0)</f>
        <v>Non-Op</v>
      </c>
      <c r="P37" t="str">
        <f>_xlfn.XLOOKUP(Jnl[[#This Row],[BSLv2]], dict[Key], dict[Name],,0)</f>
        <v>2.预付-订阅</v>
      </c>
      <c r="Q37" t="str">
        <f>_xlfn.XLOOKUP(Jnl[[#This Row],[Acct]], dict[Key], dict[Name],,0)</f>
        <v>员工预支</v>
      </c>
      <c r="R37" t="str">
        <f>_xlfn.XLOOKUP(Jnl[[#This Row],[Vehicle]],config_vehicle[Id], config_vehicle[Name],,0)</f>
        <v>米小易</v>
      </c>
      <c r="S37" t="str">
        <f>_xlfn.XLOOKUP(Jnl[[#This Row],[Division]],config_div[Id], config_div[Name],,0)</f>
        <v>内控合规</v>
      </c>
      <c r="T37" t="str">
        <f>IF(Jnl[[#This Row],[TrxDate]]&lt;=stmt_BS_date_end, "In", "Out")</f>
        <v>In</v>
      </c>
      <c r="U37" t="str">
        <f>IF(Jnl[[#This Row],[TrxDate]]&lt;debug_date_start, "prior", IF(Jnl[[#This Row],[TrxDate]]&gt;debug_date_end, "post", "curr"))</f>
        <v>prior</v>
      </c>
    </row>
    <row r="38" spans="1:21">
      <c r="A38" s="11" t="s">
        <v>236</v>
      </c>
      <c r="B38" s="7">
        <f>_xlfn.XLOOKUP(Jnl[[#This Row],[TrxId]], Trx[Id], Trx[Date],,0)</f>
        <v>46022</v>
      </c>
      <c r="C38" s="7" t="str">
        <f>_xlfn.XLOOKUP(Jnl[[#This Row],[TrxId]], Trx[Id], Trx[Division],,0)</f>
        <v>Ctrl</v>
      </c>
      <c r="D38" s="7" t="str">
        <f>_xlfn.XLOOKUP(Jnl[[#This Row],[TrxId]], Trx[Id], Trx[Action],,0)</f>
        <v>结转</v>
      </c>
      <c r="E38" s="26" t="s">
        <v>83</v>
      </c>
      <c r="F38" s="11" t="s">
        <v>113</v>
      </c>
      <c r="G38" s="11" t="s">
        <v>944</v>
      </c>
      <c r="H38" s="72">
        <v>1524.65</v>
      </c>
      <c r="I38" s="5" t="b">
        <f>AND(Jnl[[#This Row],[TrxId]]&lt;&gt;"",Jnl[[#This Row],[Acct]]&lt;&gt;"",Jnl[[#This Row],[Item]]&lt;&gt;"",ISNUMBER(Jnl[[#This Row],[Bal]]))</f>
        <v>1</v>
      </c>
      <c r="J38" s="10">
        <f>IF(Jnl[[#This Row],[BSLv0]]="A",1,-1)*Jnl[[#This Row],[Bal]]</f>
        <v>1524.65</v>
      </c>
      <c r="K38" t="str">
        <f>_xlfn.XLOOKUP(Jnl[[#This Row],[Acct]], config_BS[Acct], config_BS[Lv0],,0)</f>
        <v>A</v>
      </c>
      <c r="L38" t="str">
        <f>_xlfn.XLOOKUP(Jnl[[#This Row],[Acct]], config_BS[Acct], config_BS[Lv1],,0)</f>
        <v>Assets</v>
      </c>
      <c r="M38" t="str">
        <f>_xlfn.XLOOKUP(Jnl[[#This Row],[Acct]], config_BS[Acct], config_BS[Lv2],,0)</f>
        <v>Rec-Pay</v>
      </c>
      <c r="N38" t="str">
        <f>_xlfn.XLOOKUP(Jnl[[#This Row],[TrxId]], Trx[Id], Trx[IncNode], ,0)</f>
        <v>Other</v>
      </c>
      <c r="O38" t="str">
        <f>_xlfn.XLOOKUP(Jnl[[#This Row],[IncNode]], config_IS[Node], config_IS[Type],,0)</f>
        <v>Non-Op</v>
      </c>
      <c r="P38" t="str">
        <f>_xlfn.XLOOKUP(Jnl[[#This Row],[BSLv2]], dict[Key], dict[Name],,0)</f>
        <v>1.应收-应付</v>
      </c>
      <c r="Q38" t="str">
        <f>_xlfn.XLOOKUP(Jnl[[#This Row],[Acct]], dict[Key], dict[Name],,0)</f>
        <v>应收-一般</v>
      </c>
      <c r="R38" t="str">
        <f>_xlfn.XLOOKUP(Jnl[[#This Row],[Vehicle]],config_vehicle[Id], config_vehicle[Name],,0)</f>
        <v>远家文化</v>
      </c>
      <c r="S38" t="str">
        <f>_xlfn.XLOOKUP(Jnl[[#This Row],[Division]],config_div[Id], config_div[Name],,0)</f>
        <v>内控合规</v>
      </c>
      <c r="T38" t="str">
        <f>IF(Jnl[[#This Row],[TrxDate]]&lt;=stmt_BS_date_end, "In", "Out")</f>
        <v>In</v>
      </c>
      <c r="U38" t="str">
        <f>IF(Jnl[[#This Row],[TrxDate]]&lt;debug_date_start, "prior", IF(Jnl[[#This Row],[TrxDate]]&gt;debug_date_end, "post", "curr"))</f>
        <v>prior</v>
      </c>
    </row>
    <row r="39" spans="1:21">
      <c r="A39" s="11" t="s">
        <v>236</v>
      </c>
      <c r="B39" s="7">
        <f>_xlfn.XLOOKUP(Jnl[[#This Row],[TrxId]], Trx[Id], Trx[Date],,0)</f>
        <v>46022</v>
      </c>
      <c r="C39" s="7" t="str">
        <f>_xlfn.XLOOKUP(Jnl[[#This Row],[TrxId]], Trx[Id], Trx[Division],,0)</f>
        <v>Ctrl</v>
      </c>
      <c r="D39" s="7" t="str">
        <f>_xlfn.XLOOKUP(Jnl[[#This Row],[TrxId]], Trx[Id], Trx[Action],,0)</f>
        <v>结转</v>
      </c>
      <c r="E39" s="26" t="s">
        <v>83</v>
      </c>
      <c r="F39" s="11" t="s">
        <v>113</v>
      </c>
      <c r="G39" s="11" t="s">
        <v>947</v>
      </c>
      <c r="H39" s="72">
        <v>38471.800000000003</v>
      </c>
      <c r="I39" s="5" t="b">
        <f>AND(Jnl[[#This Row],[TrxId]]&lt;&gt;"",Jnl[[#This Row],[Acct]]&lt;&gt;"",Jnl[[#This Row],[Item]]&lt;&gt;"",ISNUMBER(Jnl[[#This Row],[Bal]]))</f>
        <v>1</v>
      </c>
      <c r="J39" s="10">
        <f>IF(Jnl[[#This Row],[BSLv0]]="A",1,-1)*Jnl[[#This Row],[Bal]]</f>
        <v>38471.800000000003</v>
      </c>
      <c r="K39" t="str">
        <f>_xlfn.XLOOKUP(Jnl[[#This Row],[Acct]], config_BS[Acct], config_BS[Lv0],,0)</f>
        <v>A</v>
      </c>
      <c r="L39" t="str">
        <f>_xlfn.XLOOKUP(Jnl[[#This Row],[Acct]], config_BS[Acct], config_BS[Lv1],,0)</f>
        <v>Assets</v>
      </c>
      <c r="M39" t="str">
        <f>_xlfn.XLOOKUP(Jnl[[#This Row],[Acct]], config_BS[Acct], config_BS[Lv2],,0)</f>
        <v>Rec-Pay</v>
      </c>
      <c r="N39" t="str">
        <f>_xlfn.XLOOKUP(Jnl[[#This Row],[TrxId]], Trx[Id], Trx[IncNode], ,0)</f>
        <v>Other</v>
      </c>
      <c r="O39" t="str">
        <f>_xlfn.XLOOKUP(Jnl[[#This Row],[IncNode]], config_IS[Node], config_IS[Type],,0)</f>
        <v>Non-Op</v>
      </c>
      <c r="P39" t="str">
        <f>_xlfn.XLOOKUP(Jnl[[#This Row],[BSLv2]], dict[Key], dict[Name],,0)</f>
        <v>1.应收-应付</v>
      </c>
      <c r="Q39" t="str">
        <f>_xlfn.XLOOKUP(Jnl[[#This Row],[Acct]], dict[Key], dict[Name],,0)</f>
        <v>应收-一般</v>
      </c>
      <c r="R39" t="str">
        <f>_xlfn.XLOOKUP(Jnl[[#This Row],[Vehicle]],config_vehicle[Id], config_vehicle[Name],,0)</f>
        <v>远家文化</v>
      </c>
      <c r="S39" t="str">
        <f>_xlfn.XLOOKUP(Jnl[[#This Row],[Division]],config_div[Id], config_div[Name],,0)</f>
        <v>内控合规</v>
      </c>
      <c r="T39" t="str">
        <f>IF(Jnl[[#This Row],[TrxDate]]&lt;=stmt_BS_date_end, "In", "Out")</f>
        <v>In</v>
      </c>
      <c r="U39" t="str">
        <f>IF(Jnl[[#This Row],[TrxDate]]&lt;debug_date_start, "prior", IF(Jnl[[#This Row],[TrxDate]]&gt;debug_date_end, "post", "curr"))</f>
        <v>prior</v>
      </c>
    </row>
    <row r="40" spans="1:21">
      <c r="A40" s="11" t="s">
        <v>236</v>
      </c>
      <c r="B40" s="7">
        <f>_xlfn.XLOOKUP(Jnl[[#This Row],[TrxId]], Trx[Id], Trx[Date],,0)</f>
        <v>46022</v>
      </c>
      <c r="C40" s="7" t="str">
        <f>_xlfn.XLOOKUP(Jnl[[#This Row],[TrxId]], Trx[Id], Trx[Division],,0)</f>
        <v>Ctrl</v>
      </c>
      <c r="D40" s="7" t="str">
        <f>_xlfn.XLOOKUP(Jnl[[#This Row],[TrxId]], Trx[Id], Trx[Action],,0)</f>
        <v>结转</v>
      </c>
      <c r="E40" s="26" t="s">
        <v>83</v>
      </c>
      <c r="F40" s="11" t="s">
        <v>113</v>
      </c>
      <c r="G40" s="11" t="s">
        <v>1130</v>
      </c>
      <c r="H40" s="72">
        <v>3394.82</v>
      </c>
      <c r="I40" s="5" t="b">
        <f>AND(Jnl[[#This Row],[TrxId]]&lt;&gt;"",Jnl[[#This Row],[Acct]]&lt;&gt;"",Jnl[[#This Row],[Item]]&lt;&gt;"",ISNUMBER(Jnl[[#This Row],[Bal]]))</f>
        <v>1</v>
      </c>
      <c r="J40" s="10">
        <f>IF(Jnl[[#This Row],[BSLv0]]="A",1,-1)*Jnl[[#This Row],[Bal]]</f>
        <v>3394.82</v>
      </c>
      <c r="K40" t="str">
        <f>_xlfn.XLOOKUP(Jnl[[#This Row],[Acct]], config_BS[Acct], config_BS[Lv0],,0)</f>
        <v>A</v>
      </c>
      <c r="L40" t="str">
        <f>_xlfn.XLOOKUP(Jnl[[#This Row],[Acct]], config_BS[Acct], config_BS[Lv1],,0)</f>
        <v>Assets</v>
      </c>
      <c r="M40" t="str">
        <f>_xlfn.XLOOKUP(Jnl[[#This Row],[Acct]], config_BS[Acct], config_BS[Lv2],,0)</f>
        <v>Rec-Pay</v>
      </c>
      <c r="N40" t="str">
        <f>_xlfn.XLOOKUP(Jnl[[#This Row],[TrxId]], Trx[Id], Trx[IncNode], ,0)</f>
        <v>Other</v>
      </c>
      <c r="O40" t="str">
        <f>_xlfn.XLOOKUP(Jnl[[#This Row],[IncNode]], config_IS[Node], config_IS[Type],,0)</f>
        <v>Non-Op</v>
      </c>
      <c r="P40" t="str">
        <f>_xlfn.XLOOKUP(Jnl[[#This Row],[BSLv2]], dict[Key], dict[Name],,0)</f>
        <v>1.应收-应付</v>
      </c>
      <c r="Q40" t="str">
        <f>_xlfn.XLOOKUP(Jnl[[#This Row],[Acct]], dict[Key], dict[Name],,0)</f>
        <v>应收-一般</v>
      </c>
      <c r="R40" t="str">
        <f>_xlfn.XLOOKUP(Jnl[[#This Row],[Vehicle]],config_vehicle[Id], config_vehicle[Name],,0)</f>
        <v>远家文化</v>
      </c>
      <c r="S40" t="str">
        <f>_xlfn.XLOOKUP(Jnl[[#This Row],[Division]],config_div[Id], config_div[Name],,0)</f>
        <v>内控合规</v>
      </c>
      <c r="T40" t="str">
        <f>IF(Jnl[[#This Row],[TrxDate]]&lt;=stmt_BS_date_end, "In", "Out")</f>
        <v>In</v>
      </c>
      <c r="U40" t="str">
        <f>IF(Jnl[[#This Row],[TrxDate]]&lt;debug_date_start, "prior", IF(Jnl[[#This Row],[TrxDate]]&gt;debug_date_end, "post", "curr"))</f>
        <v>prior</v>
      </c>
    </row>
    <row r="41" spans="1:21">
      <c r="A41" s="11" t="s">
        <v>236</v>
      </c>
      <c r="B41" s="7">
        <f>_xlfn.XLOOKUP(Jnl[[#This Row],[TrxId]], Trx[Id], Trx[Date],,0)</f>
        <v>46022</v>
      </c>
      <c r="C41" s="7" t="str">
        <f>_xlfn.XLOOKUP(Jnl[[#This Row],[TrxId]], Trx[Id], Trx[Division],,0)</f>
        <v>Ctrl</v>
      </c>
      <c r="D41" s="7" t="str">
        <f>_xlfn.XLOOKUP(Jnl[[#This Row],[TrxId]], Trx[Id], Trx[Action],,0)</f>
        <v>结转</v>
      </c>
      <c r="E41" s="26" t="s">
        <v>83</v>
      </c>
      <c r="F41" s="11" t="s">
        <v>113</v>
      </c>
      <c r="G41" s="11" t="s">
        <v>965</v>
      </c>
      <c r="H41" s="72">
        <v>9243</v>
      </c>
      <c r="I41" s="5" t="b">
        <f>AND(Jnl[[#This Row],[TrxId]]&lt;&gt;"",Jnl[[#This Row],[Acct]]&lt;&gt;"",Jnl[[#This Row],[Item]]&lt;&gt;"",ISNUMBER(Jnl[[#This Row],[Bal]]))</f>
        <v>1</v>
      </c>
      <c r="J41" s="10">
        <f>IF(Jnl[[#This Row],[BSLv0]]="A",1,-1)*Jnl[[#This Row],[Bal]]</f>
        <v>9243</v>
      </c>
      <c r="K41" t="str">
        <f>_xlfn.XLOOKUP(Jnl[[#This Row],[Acct]], config_BS[Acct], config_BS[Lv0],,0)</f>
        <v>A</v>
      </c>
      <c r="L41" t="str">
        <f>_xlfn.XLOOKUP(Jnl[[#This Row],[Acct]], config_BS[Acct], config_BS[Lv1],,0)</f>
        <v>Assets</v>
      </c>
      <c r="M41" t="str">
        <f>_xlfn.XLOOKUP(Jnl[[#This Row],[Acct]], config_BS[Acct], config_BS[Lv2],,0)</f>
        <v>Rec-Pay</v>
      </c>
      <c r="N41" t="str">
        <f>_xlfn.XLOOKUP(Jnl[[#This Row],[TrxId]], Trx[Id], Trx[IncNode], ,0)</f>
        <v>Other</v>
      </c>
      <c r="O41" t="str">
        <f>_xlfn.XLOOKUP(Jnl[[#This Row],[IncNode]], config_IS[Node], config_IS[Type],,0)</f>
        <v>Non-Op</v>
      </c>
      <c r="P41" t="str">
        <f>_xlfn.XLOOKUP(Jnl[[#This Row],[BSLv2]], dict[Key], dict[Name],,0)</f>
        <v>1.应收-应付</v>
      </c>
      <c r="Q41" t="str">
        <f>_xlfn.XLOOKUP(Jnl[[#This Row],[Acct]], dict[Key], dict[Name],,0)</f>
        <v>应收-一般</v>
      </c>
      <c r="R41" t="str">
        <f>_xlfn.XLOOKUP(Jnl[[#This Row],[Vehicle]],config_vehicle[Id], config_vehicle[Name],,0)</f>
        <v>远家文化</v>
      </c>
      <c r="S41" t="str">
        <f>_xlfn.XLOOKUP(Jnl[[#This Row],[Division]],config_div[Id], config_div[Name],,0)</f>
        <v>内控合规</v>
      </c>
      <c r="T41" t="str">
        <f>IF(Jnl[[#This Row],[TrxDate]]&lt;=stmt_BS_date_end, "In", "Out")</f>
        <v>In</v>
      </c>
      <c r="U41" t="str">
        <f>IF(Jnl[[#This Row],[TrxDate]]&lt;debug_date_start, "prior", IF(Jnl[[#This Row],[TrxDate]]&gt;debug_date_end, "post", "curr"))</f>
        <v>prior</v>
      </c>
    </row>
    <row r="42" spans="1:21">
      <c r="A42" s="11" t="s">
        <v>236</v>
      </c>
      <c r="B42" s="7">
        <f>_xlfn.XLOOKUP(Jnl[[#This Row],[TrxId]], Trx[Id], Trx[Date],,0)</f>
        <v>46022</v>
      </c>
      <c r="C42" s="7" t="str">
        <f>_xlfn.XLOOKUP(Jnl[[#This Row],[TrxId]], Trx[Id], Trx[Division],,0)</f>
        <v>Ctrl</v>
      </c>
      <c r="D42" s="7" t="str">
        <f>_xlfn.XLOOKUP(Jnl[[#This Row],[TrxId]], Trx[Id], Trx[Action],,0)</f>
        <v>结转</v>
      </c>
      <c r="E42" s="26" t="s">
        <v>83</v>
      </c>
      <c r="F42" s="11" t="s">
        <v>113</v>
      </c>
      <c r="G42" s="11" t="s">
        <v>1001</v>
      </c>
      <c r="H42" s="72">
        <v>163630.56</v>
      </c>
      <c r="I42" s="5" t="b">
        <f>AND(Jnl[[#This Row],[TrxId]]&lt;&gt;"",Jnl[[#This Row],[Acct]]&lt;&gt;"",Jnl[[#This Row],[Item]]&lt;&gt;"",ISNUMBER(Jnl[[#This Row],[Bal]]))</f>
        <v>1</v>
      </c>
      <c r="J42" s="10">
        <f>IF(Jnl[[#This Row],[BSLv0]]="A",1,-1)*Jnl[[#This Row],[Bal]]</f>
        <v>163630.56</v>
      </c>
      <c r="K42" t="str">
        <f>_xlfn.XLOOKUP(Jnl[[#This Row],[Acct]], config_BS[Acct], config_BS[Lv0],,0)</f>
        <v>A</v>
      </c>
      <c r="L42" t="str">
        <f>_xlfn.XLOOKUP(Jnl[[#This Row],[Acct]], config_BS[Acct], config_BS[Lv1],,0)</f>
        <v>Assets</v>
      </c>
      <c r="M42" t="str">
        <f>_xlfn.XLOOKUP(Jnl[[#This Row],[Acct]], config_BS[Acct], config_BS[Lv2],,0)</f>
        <v>Rec-Pay</v>
      </c>
      <c r="N42" t="str">
        <f>_xlfn.XLOOKUP(Jnl[[#This Row],[TrxId]], Trx[Id], Trx[IncNode], ,0)</f>
        <v>Other</v>
      </c>
      <c r="O42" t="str">
        <f>_xlfn.XLOOKUP(Jnl[[#This Row],[IncNode]], config_IS[Node], config_IS[Type],,0)</f>
        <v>Non-Op</v>
      </c>
      <c r="P42" t="str">
        <f>_xlfn.XLOOKUP(Jnl[[#This Row],[BSLv2]], dict[Key], dict[Name],,0)</f>
        <v>1.应收-应付</v>
      </c>
      <c r="Q42" t="str">
        <f>_xlfn.XLOOKUP(Jnl[[#This Row],[Acct]], dict[Key], dict[Name],,0)</f>
        <v>应收-一般</v>
      </c>
      <c r="R42" t="str">
        <f>_xlfn.XLOOKUP(Jnl[[#This Row],[Vehicle]],config_vehicle[Id], config_vehicle[Name],,0)</f>
        <v>远家文化</v>
      </c>
      <c r="S42" t="str">
        <f>_xlfn.XLOOKUP(Jnl[[#This Row],[Division]],config_div[Id], config_div[Name],,0)</f>
        <v>内控合规</v>
      </c>
      <c r="T42" t="str">
        <f>IF(Jnl[[#This Row],[TrxDate]]&lt;=stmt_BS_date_end, "In", "Out")</f>
        <v>In</v>
      </c>
      <c r="U42" t="str">
        <f>IF(Jnl[[#This Row],[TrxDate]]&lt;debug_date_start, "prior", IF(Jnl[[#This Row],[TrxDate]]&gt;debug_date_end, "post", "curr"))</f>
        <v>prior</v>
      </c>
    </row>
    <row r="43" spans="1:21">
      <c r="A43" s="11" t="s">
        <v>236</v>
      </c>
      <c r="B43" s="7">
        <f>_xlfn.XLOOKUP(Jnl[[#This Row],[TrxId]], Trx[Id], Trx[Date],,0)</f>
        <v>46022</v>
      </c>
      <c r="C43" s="7" t="str">
        <f>_xlfn.XLOOKUP(Jnl[[#This Row],[TrxId]], Trx[Id], Trx[Division],,0)</f>
        <v>Ctrl</v>
      </c>
      <c r="D43" s="7" t="str">
        <f>_xlfn.XLOOKUP(Jnl[[#This Row],[TrxId]], Trx[Id], Trx[Action],,0)</f>
        <v>结转</v>
      </c>
      <c r="E43" s="26" t="s">
        <v>83</v>
      </c>
      <c r="F43" s="11" t="s">
        <v>113</v>
      </c>
      <c r="G43" s="11" t="s">
        <v>1127</v>
      </c>
      <c r="H43" s="72">
        <v>22937.1</v>
      </c>
      <c r="I43" s="5" t="b">
        <f>AND(Jnl[[#This Row],[TrxId]]&lt;&gt;"",Jnl[[#This Row],[Acct]]&lt;&gt;"",Jnl[[#This Row],[Item]]&lt;&gt;"",ISNUMBER(Jnl[[#This Row],[Bal]]))</f>
        <v>1</v>
      </c>
      <c r="J43" s="10">
        <f>IF(Jnl[[#This Row],[BSLv0]]="A",1,-1)*Jnl[[#This Row],[Bal]]</f>
        <v>22937.1</v>
      </c>
      <c r="K43" t="str">
        <f>_xlfn.XLOOKUP(Jnl[[#This Row],[Acct]], config_BS[Acct], config_BS[Lv0],,0)</f>
        <v>A</v>
      </c>
      <c r="L43" t="str">
        <f>_xlfn.XLOOKUP(Jnl[[#This Row],[Acct]], config_BS[Acct], config_BS[Lv1],,0)</f>
        <v>Assets</v>
      </c>
      <c r="M43" t="str">
        <f>_xlfn.XLOOKUP(Jnl[[#This Row],[Acct]], config_BS[Acct], config_BS[Lv2],,0)</f>
        <v>Rec-Pay</v>
      </c>
      <c r="N43" t="str">
        <f>_xlfn.XLOOKUP(Jnl[[#This Row],[TrxId]], Trx[Id], Trx[IncNode], ,0)</f>
        <v>Other</v>
      </c>
      <c r="O43" t="str">
        <f>_xlfn.XLOOKUP(Jnl[[#This Row],[IncNode]], config_IS[Node], config_IS[Type],,0)</f>
        <v>Non-Op</v>
      </c>
      <c r="P43" t="str">
        <f>_xlfn.XLOOKUP(Jnl[[#This Row],[BSLv2]], dict[Key], dict[Name],,0)</f>
        <v>1.应收-应付</v>
      </c>
      <c r="Q43" t="str">
        <f>_xlfn.XLOOKUP(Jnl[[#This Row],[Acct]], dict[Key], dict[Name],,0)</f>
        <v>应收-一般</v>
      </c>
      <c r="R43" t="str">
        <f>_xlfn.XLOOKUP(Jnl[[#This Row],[Vehicle]],config_vehicle[Id], config_vehicle[Name],,0)</f>
        <v>远家文化</v>
      </c>
      <c r="S43" t="str">
        <f>_xlfn.XLOOKUP(Jnl[[#This Row],[Division]],config_div[Id], config_div[Name],,0)</f>
        <v>内控合规</v>
      </c>
      <c r="T43" t="str">
        <f>IF(Jnl[[#This Row],[TrxDate]]&lt;=stmt_BS_date_end, "In", "Out")</f>
        <v>In</v>
      </c>
      <c r="U43" t="str">
        <f>IF(Jnl[[#This Row],[TrxDate]]&lt;debug_date_start, "prior", IF(Jnl[[#This Row],[TrxDate]]&gt;debug_date_end, "post", "curr"))</f>
        <v>prior</v>
      </c>
    </row>
    <row r="44" spans="1:21">
      <c r="A44" s="11" t="s">
        <v>236</v>
      </c>
      <c r="B44" s="7">
        <f>_xlfn.XLOOKUP(Jnl[[#This Row],[TrxId]], Trx[Id], Trx[Date],,0)</f>
        <v>46022</v>
      </c>
      <c r="C44" s="7" t="str">
        <f>_xlfn.XLOOKUP(Jnl[[#This Row],[TrxId]], Trx[Id], Trx[Division],,0)</f>
        <v>Ctrl</v>
      </c>
      <c r="D44" s="7" t="str">
        <f>_xlfn.XLOOKUP(Jnl[[#This Row],[TrxId]], Trx[Id], Trx[Action],,0)</f>
        <v>结转</v>
      </c>
      <c r="E44" s="26" t="s">
        <v>83</v>
      </c>
      <c r="F44" s="11" t="s">
        <v>113</v>
      </c>
      <c r="G44" s="11" t="s">
        <v>1060</v>
      </c>
      <c r="H44" s="72">
        <v>811.3</v>
      </c>
      <c r="I44" s="5" t="b">
        <f>AND(Jnl[[#This Row],[TrxId]]&lt;&gt;"",Jnl[[#This Row],[Acct]]&lt;&gt;"",Jnl[[#This Row],[Item]]&lt;&gt;"",ISNUMBER(Jnl[[#This Row],[Bal]]))</f>
        <v>1</v>
      </c>
      <c r="J44" s="10">
        <f>IF(Jnl[[#This Row],[BSLv0]]="A",1,-1)*Jnl[[#This Row],[Bal]]</f>
        <v>811.3</v>
      </c>
      <c r="K44" t="str">
        <f>_xlfn.XLOOKUP(Jnl[[#This Row],[Acct]], config_BS[Acct], config_BS[Lv0],,0)</f>
        <v>A</v>
      </c>
      <c r="L44" t="str">
        <f>_xlfn.XLOOKUP(Jnl[[#This Row],[Acct]], config_BS[Acct], config_BS[Lv1],,0)</f>
        <v>Assets</v>
      </c>
      <c r="M44" t="str">
        <f>_xlfn.XLOOKUP(Jnl[[#This Row],[Acct]], config_BS[Acct], config_BS[Lv2],,0)</f>
        <v>Rec-Pay</v>
      </c>
      <c r="N44" t="str">
        <f>_xlfn.XLOOKUP(Jnl[[#This Row],[TrxId]], Trx[Id], Trx[IncNode], ,0)</f>
        <v>Other</v>
      </c>
      <c r="O44" t="str">
        <f>_xlfn.XLOOKUP(Jnl[[#This Row],[IncNode]], config_IS[Node], config_IS[Type],,0)</f>
        <v>Non-Op</v>
      </c>
      <c r="P44" t="str">
        <f>_xlfn.XLOOKUP(Jnl[[#This Row],[BSLv2]], dict[Key], dict[Name],,0)</f>
        <v>1.应收-应付</v>
      </c>
      <c r="Q44" t="str">
        <f>_xlfn.XLOOKUP(Jnl[[#This Row],[Acct]], dict[Key], dict[Name],,0)</f>
        <v>应收-一般</v>
      </c>
      <c r="R44" t="str">
        <f>_xlfn.XLOOKUP(Jnl[[#This Row],[Vehicle]],config_vehicle[Id], config_vehicle[Name],,0)</f>
        <v>远家文化</v>
      </c>
      <c r="S44" t="str">
        <f>_xlfn.XLOOKUP(Jnl[[#This Row],[Division]],config_div[Id], config_div[Name],,0)</f>
        <v>内控合规</v>
      </c>
      <c r="T44" t="str">
        <f>IF(Jnl[[#This Row],[TrxDate]]&lt;=stmt_BS_date_end, "In", "Out")</f>
        <v>In</v>
      </c>
      <c r="U44" t="str">
        <f>IF(Jnl[[#This Row],[TrxDate]]&lt;debug_date_start, "prior", IF(Jnl[[#This Row],[TrxDate]]&gt;debug_date_end, "post", "curr"))</f>
        <v>prior</v>
      </c>
    </row>
    <row r="45" spans="1:21">
      <c r="A45" s="11" t="s">
        <v>665</v>
      </c>
      <c r="B45" s="7">
        <f>_xlfn.XLOOKUP(Jnl[[#This Row],[TrxId]], Trx[Id], Trx[Date],,0)</f>
        <v>46022</v>
      </c>
      <c r="C45" s="7" t="str">
        <f>_xlfn.XLOOKUP(Jnl[[#This Row],[TrxId]], Trx[Id], Trx[Division],,0)</f>
        <v>Ctrl</v>
      </c>
      <c r="D45" s="7" t="str">
        <f>_xlfn.XLOOKUP(Jnl[[#This Row],[TrxId]], Trx[Id], Trx[Action],,0)</f>
        <v>结转</v>
      </c>
      <c r="E45" s="26" t="s">
        <v>83</v>
      </c>
      <c r="F45" s="11" t="s">
        <v>113</v>
      </c>
      <c r="G45" s="11" t="s">
        <v>140</v>
      </c>
      <c r="H45" s="72">
        <v>150000</v>
      </c>
      <c r="I45" s="5" t="b">
        <f>AND(Jnl[[#This Row],[TrxId]]&lt;&gt;"",Jnl[[#This Row],[Acct]]&lt;&gt;"",Jnl[[#This Row],[Item]]&lt;&gt;"",ISNUMBER(Jnl[[#This Row],[Bal]]))</f>
        <v>1</v>
      </c>
      <c r="J45" s="10">
        <f>IF(Jnl[[#This Row],[BSLv0]]="A",1,-1)*Jnl[[#This Row],[Bal]]</f>
        <v>150000</v>
      </c>
      <c r="K45" t="str">
        <f>_xlfn.XLOOKUP(Jnl[[#This Row],[Acct]], config_BS[Acct], config_BS[Lv0],,0)</f>
        <v>A</v>
      </c>
      <c r="L45" t="str">
        <f>_xlfn.XLOOKUP(Jnl[[#This Row],[Acct]], config_BS[Acct], config_BS[Lv1],,0)</f>
        <v>Assets</v>
      </c>
      <c r="M45" t="str">
        <f>_xlfn.XLOOKUP(Jnl[[#This Row],[Acct]], config_BS[Acct], config_BS[Lv2],,0)</f>
        <v>Rec-Pay</v>
      </c>
      <c r="N45" t="str">
        <f>_xlfn.XLOOKUP(Jnl[[#This Row],[TrxId]], Trx[Id], Trx[IncNode], ,0)</f>
        <v>Other</v>
      </c>
      <c r="O45" t="str">
        <f>_xlfn.XLOOKUP(Jnl[[#This Row],[IncNode]], config_IS[Node], config_IS[Type],,0)</f>
        <v>Non-Op</v>
      </c>
      <c r="P45" t="str">
        <f>_xlfn.XLOOKUP(Jnl[[#This Row],[BSLv2]], dict[Key], dict[Name],,0)</f>
        <v>1.应收-应付</v>
      </c>
      <c r="Q45" t="str">
        <f>_xlfn.XLOOKUP(Jnl[[#This Row],[Acct]], dict[Key], dict[Name],,0)</f>
        <v>应收-一般</v>
      </c>
      <c r="R45" t="str">
        <f>_xlfn.XLOOKUP(Jnl[[#This Row],[Vehicle]],config_vehicle[Id], config_vehicle[Name],,0)</f>
        <v>远家文化</v>
      </c>
      <c r="S45" t="str">
        <f>_xlfn.XLOOKUP(Jnl[[#This Row],[Division]],config_div[Id], config_div[Name],,0)</f>
        <v>内控合规</v>
      </c>
      <c r="T45" t="str">
        <f>IF(Jnl[[#This Row],[TrxDate]]&lt;=stmt_BS_date_end, "In", "Out")</f>
        <v>In</v>
      </c>
      <c r="U45" t="str">
        <f>IF(Jnl[[#This Row],[TrxDate]]&lt;debug_date_start, "prior", IF(Jnl[[#This Row],[TrxDate]]&gt;debug_date_end, "post", "curr"))</f>
        <v>prior</v>
      </c>
    </row>
    <row r="46" spans="1:21">
      <c r="A46" s="11" t="s">
        <v>236</v>
      </c>
      <c r="B46" s="7">
        <f>_xlfn.XLOOKUP(Jnl[[#This Row],[TrxId]], Trx[Id], Trx[Date],,0)</f>
        <v>46022</v>
      </c>
      <c r="C46" s="7" t="str">
        <f>_xlfn.XLOOKUP(Jnl[[#This Row],[TrxId]], Trx[Id], Trx[Division],,0)</f>
        <v>Ctrl</v>
      </c>
      <c r="D46" s="7" t="str">
        <f>_xlfn.XLOOKUP(Jnl[[#This Row],[TrxId]], Trx[Id], Trx[Action],,0)</f>
        <v>结转</v>
      </c>
      <c r="E46" s="26" t="s">
        <v>83</v>
      </c>
      <c r="F46" s="11" t="s">
        <v>192</v>
      </c>
      <c r="G46" s="11" t="s">
        <v>139</v>
      </c>
      <c r="H46" s="72">
        <v>38389.65</v>
      </c>
      <c r="I46" s="5" t="b">
        <f>AND(Jnl[[#This Row],[TrxId]]&lt;&gt;"",Jnl[[#This Row],[Acct]]&lt;&gt;"",Jnl[[#This Row],[Item]]&lt;&gt;"",ISNUMBER(Jnl[[#This Row],[Bal]]))</f>
        <v>1</v>
      </c>
      <c r="J46" s="10">
        <f>IF(Jnl[[#This Row],[BSLv0]]="A",1,-1)*Jnl[[#This Row],[Bal]]</f>
        <v>38389.65</v>
      </c>
      <c r="K46" t="str">
        <f>_xlfn.XLOOKUP(Jnl[[#This Row],[Acct]], config_BS[Acct], config_BS[Lv0],,0)</f>
        <v>A</v>
      </c>
      <c r="L46" t="str">
        <f>_xlfn.XLOOKUP(Jnl[[#This Row],[Acct]], config_BS[Acct], config_BS[Lv1],,0)</f>
        <v>Assets</v>
      </c>
      <c r="M46" t="str">
        <f>_xlfn.XLOOKUP(Jnl[[#This Row],[Acct]], config_BS[Acct], config_BS[Lv2],,0)</f>
        <v>Prep-Sub</v>
      </c>
      <c r="N46" t="str">
        <f>_xlfn.XLOOKUP(Jnl[[#This Row],[TrxId]], Trx[Id], Trx[IncNode], ,0)</f>
        <v>Other</v>
      </c>
      <c r="O46" t="str">
        <f>_xlfn.XLOOKUP(Jnl[[#This Row],[IncNode]], config_IS[Node], config_IS[Type],,0)</f>
        <v>Non-Op</v>
      </c>
      <c r="P46" t="str">
        <f>_xlfn.XLOOKUP(Jnl[[#This Row],[BSLv2]], dict[Key], dict[Name],,0)</f>
        <v>2.预付-订阅</v>
      </c>
      <c r="Q46" t="str">
        <f>_xlfn.XLOOKUP(Jnl[[#This Row],[Acct]], dict[Key], dict[Name],,0)</f>
        <v>押金</v>
      </c>
      <c r="R46" t="str">
        <f>_xlfn.XLOOKUP(Jnl[[#This Row],[Vehicle]],config_vehicle[Id], config_vehicle[Name],,0)</f>
        <v>远家文化</v>
      </c>
      <c r="S46" t="str">
        <f>_xlfn.XLOOKUP(Jnl[[#This Row],[Division]],config_div[Id], config_div[Name],,0)</f>
        <v>内控合规</v>
      </c>
      <c r="T46" t="str">
        <f>IF(Jnl[[#This Row],[TrxDate]]&lt;=stmt_BS_date_end, "In", "Out")</f>
        <v>In</v>
      </c>
      <c r="U46" t="str">
        <f>IF(Jnl[[#This Row],[TrxDate]]&lt;debug_date_start, "prior", IF(Jnl[[#This Row],[TrxDate]]&gt;debug_date_end, "post", "curr"))</f>
        <v>prior</v>
      </c>
    </row>
    <row r="47" spans="1:21">
      <c r="A47" s="11" t="s">
        <v>236</v>
      </c>
      <c r="B47" s="7">
        <f>_xlfn.XLOOKUP(Jnl[[#This Row],[TrxId]], Trx[Id], Trx[Date],,0)</f>
        <v>46022</v>
      </c>
      <c r="C47" s="7" t="str">
        <f>_xlfn.XLOOKUP(Jnl[[#This Row],[TrxId]], Trx[Id], Trx[Division],,0)</f>
        <v>Ctrl</v>
      </c>
      <c r="D47" s="7" t="str">
        <f>_xlfn.XLOOKUP(Jnl[[#This Row],[TrxId]], Trx[Id], Trx[Action],,0)</f>
        <v>结转</v>
      </c>
      <c r="E47" s="26" t="s">
        <v>93</v>
      </c>
      <c r="F47" s="11" t="s">
        <v>113</v>
      </c>
      <c r="G47" s="11" t="s">
        <v>909</v>
      </c>
      <c r="H47" s="72">
        <v>25551.3</v>
      </c>
      <c r="I47" s="5" t="b">
        <f>AND(Jnl[[#This Row],[TrxId]]&lt;&gt;"",Jnl[[#This Row],[Acct]]&lt;&gt;"",Jnl[[#This Row],[Item]]&lt;&gt;"",ISNUMBER(Jnl[[#This Row],[Bal]]))</f>
        <v>1</v>
      </c>
      <c r="J47" s="10">
        <f>IF(Jnl[[#This Row],[BSLv0]]="A",1,-1)*Jnl[[#This Row],[Bal]]</f>
        <v>25551.3</v>
      </c>
      <c r="K47" t="str">
        <f>_xlfn.XLOOKUP(Jnl[[#This Row],[Acct]], config_BS[Acct], config_BS[Lv0],,0)</f>
        <v>A</v>
      </c>
      <c r="L47" t="str">
        <f>_xlfn.XLOOKUP(Jnl[[#This Row],[Acct]], config_BS[Acct], config_BS[Lv1],,0)</f>
        <v>Assets</v>
      </c>
      <c r="M47" t="str">
        <f>_xlfn.XLOOKUP(Jnl[[#This Row],[Acct]], config_BS[Acct], config_BS[Lv2],,0)</f>
        <v>Rec-Pay</v>
      </c>
      <c r="N47" t="str">
        <f>_xlfn.XLOOKUP(Jnl[[#This Row],[TrxId]], Trx[Id], Trx[IncNode], ,0)</f>
        <v>Other</v>
      </c>
      <c r="O47" t="str">
        <f>_xlfn.XLOOKUP(Jnl[[#This Row],[IncNode]], config_IS[Node], config_IS[Type],,0)</f>
        <v>Non-Op</v>
      </c>
      <c r="P47" t="str">
        <f>_xlfn.XLOOKUP(Jnl[[#This Row],[BSLv2]], dict[Key], dict[Name],,0)</f>
        <v>1.应收-应付</v>
      </c>
      <c r="Q47" t="str">
        <f>_xlfn.XLOOKUP(Jnl[[#This Row],[Acct]], dict[Key], dict[Name],,0)</f>
        <v>应收-一般</v>
      </c>
      <c r="R47" t="str">
        <f>_xlfn.XLOOKUP(Jnl[[#This Row],[Vehicle]],config_vehicle[Id], config_vehicle[Name],,0)</f>
        <v>创业园-琦</v>
      </c>
      <c r="S47" t="str">
        <f>_xlfn.XLOOKUP(Jnl[[#This Row],[Division]],config_div[Id], config_div[Name],,0)</f>
        <v>内控合规</v>
      </c>
      <c r="T47" t="str">
        <f>IF(Jnl[[#This Row],[TrxDate]]&lt;=stmt_BS_date_end, "In", "Out")</f>
        <v>In</v>
      </c>
      <c r="U47" t="str">
        <f>IF(Jnl[[#This Row],[TrxDate]]&lt;debug_date_start, "prior", IF(Jnl[[#This Row],[TrxDate]]&gt;debug_date_end, "post", "curr"))</f>
        <v>prior</v>
      </c>
    </row>
    <row r="48" spans="1:21">
      <c r="A48" s="11" t="s">
        <v>236</v>
      </c>
      <c r="B48" s="7">
        <f>_xlfn.XLOOKUP(Jnl[[#This Row],[TrxId]], Trx[Id], Trx[Date],,0)</f>
        <v>46022</v>
      </c>
      <c r="C48" s="7" t="str">
        <f>_xlfn.XLOOKUP(Jnl[[#This Row],[TrxId]], Trx[Id], Trx[Division],,0)</f>
        <v>Ctrl</v>
      </c>
      <c r="D48" s="7" t="str">
        <f>_xlfn.XLOOKUP(Jnl[[#This Row],[TrxId]], Trx[Id], Trx[Action],,0)</f>
        <v>结转</v>
      </c>
      <c r="E48" s="26" t="s">
        <v>81</v>
      </c>
      <c r="F48" s="11" t="s">
        <v>115</v>
      </c>
      <c r="G48" s="11" t="s">
        <v>141</v>
      </c>
      <c r="H48" s="72">
        <v>130521.15</v>
      </c>
      <c r="I48" s="5" t="b">
        <f>AND(Jnl[[#This Row],[TrxId]]&lt;&gt;"",Jnl[[#This Row],[Acct]]&lt;&gt;"",Jnl[[#This Row],[Item]]&lt;&gt;"",ISNUMBER(Jnl[[#This Row],[Bal]]))</f>
        <v>1</v>
      </c>
      <c r="J48" s="10">
        <f>IF(Jnl[[#This Row],[BSLv0]]="A",1,-1)*Jnl[[#This Row],[Bal]]</f>
        <v>130521.15</v>
      </c>
      <c r="K48" t="str">
        <f>_xlfn.XLOOKUP(Jnl[[#This Row],[Acct]], config_BS[Acct], config_BS[Lv0],,0)</f>
        <v>A</v>
      </c>
      <c r="L48" t="str">
        <f>_xlfn.XLOOKUP(Jnl[[#This Row],[Acct]], config_BS[Acct], config_BS[Lv1],,0)</f>
        <v>Assets</v>
      </c>
      <c r="M48" t="str">
        <f>_xlfn.XLOOKUP(Jnl[[#This Row],[Acct]], config_BS[Acct], config_BS[Lv2],,0)</f>
        <v>Prep-Sub</v>
      </c>
      <c r="N48" t="str">
        <f>_xlfn.XLOOKUP(Jnl[[#This Row],[TrxId]], Trx[Id], Trx[IncNode], ,0)</f>
        <v>Other</v>
      </c>
      <c r="O48" t="str">
        <f>_xlfn.XLOOKUP(Jnl[[#This Row],[IncNode]], config_IS[Node], config_IS[Type],,0)</f>
        <v>Non-Op</v>
      </c>
      <c r="P48" t="str">
        <f>_xlfn.XLOOKUP(Jnl[[#This Row],[BSLv2]], dict[Key], dict[Name],,0)</f>
        <v>2.预付-订阅</v>
      </c>
      <c r="Q48" t="str">
        <f>_xlfn.XLOOKUP(Jnl[[#This Row],[Acct]], dict[Key], dict[Name],,0)</f>
        <v>预付订单</v>
      </c>
      <c r="R48" t="str">
        <f>_xlfn.XLOOKUP(Jnl[[#This Row],[Vehicle]],config_vehicle[Id], config_vehicle[Name],,0)</f>
        <v>喜家文化</v>
      </c>
      <c r="S48" t="str">
        <f>_xlfn.XLOOKUP(Jnl[[#This Row],[Division]],config_div[Id], config_div[Name],,0)</f>
        <v>内控合规</v>
      </c>
      <c r="T48" t="str">
        <f>IF(Jnl[[#This Row],[TrxDate]]&lt;=stmt_BS_date_end, "In", "Out")</f>
        <v>In</v>
      </c>
      <c r="U48" t="str">
        <f>IF(Jnl[[#This Row],[TrxDate]]&lt;debug_date_start, "prior", IF(Jnl[[#This Row],[TrxDate]]&gt;debug_date_end, "post", "curr"))</f>
        <v>prior</v>
      </c>
    </row>
    <row r="49" spans="1:21">
      <c r="A49" s="11" t="s">
        <v>236</v>
      </c>
      <c r="B49" s="7">
        <f>_xlfn.XLOOKUP(Jnl[[#This Row],[TrxId]], Trx[Id], Trx[Date],,0)</f>
        <v>46022</v>
      </c>
      <c r="C49" s="7" t="str">
        <f>_xlfn.XLOOKUP(Jnl[[#This Row],[TrxId]], Trx[Id], Trx[Division],,0)</f>
        <v>Ctrl</v>
      </c>
      <c r="D49" s="7" t="str">
        <f>_xlfn.XLOOKUP(Jnl[[#This Row],[TrxId]], Trx[Id], Trx[Action],,0)</f>
        <v>结转</v>
      </c>
      <c r="E49" s="26" t="s">
        <v>80</v>
      </c>
      <c r="F49" s="11" t="s">
        <v>115</v>
      </c>
      <c r="G49" s="11" t="s">
        <v>142</v>
      </c>
      <c r="H49" s="72">
        <v>87645.27</v>
      </c>
      <c r="I49" s="5" t="b">
        <f>AND(Jnl[[#This Row],[TrxId]]&lt;&gt;"",Jnl[[#This Row],[Acct]]&lt;&gt;"",Jnl[[#This Row],[Item]]&lt;&gt;"",ISNUMBER(Jnl[[#This Row],[Bal]]))</f>
        <v>1</v>
      </c>
      <c r="J49" s="10">
        <f>IF(Jnl[[#This Row],[BSLv0]]="A",1,-1)*Jnl[[#This Row],[Bal]]</f>
        <v>87645.27</v>
      </c>
      <c r="K49" t="str">
        <f>_xlfn.XLOOKUP(Jnl[[#This Row],[Acct]], config_BS[Acct], config_BS[Lv0],,0)</f>
        <v>A</v>
      </c>
      <c r="L49" t="str">
        <f>_xlfn.XLOOKUP(Jnl[[#This Row],[Acct]], config_BS[Acct], config_BS[Lv1],,0)</f>
        <v>Assets</v>
      </c>
      <c r="M49" t="str">
        <f>_xlfn.XLOOKUP(Jnl[[#This Row],[Acct]], config_BS[Acct], config_BS[Lv2],,0)</f>
        <v>Prep-Sub</v>
      </c>
      <c r="N49" t="str">
        <f>_xlfn.XLOOKUP(Jnl[[#This Row],[TrxId]], Trx[Id], Trx[IncNode], ,0)</f>
        <v>Other</v>
      </c>
      <c r="O49" t="str">
        <f>_xlfn.XLOOKUP(Jnl[[#This Row],[IncNode]], config_IS[Node], config_IS[Type],,0)</f>
        <v>Non-Op</v>
      </c>
      <c r="P49" t="str">
        <f>_xlfn.XLOOKUP(Jnl[[#This Row],[BSLv2]], dict[Key], dict[Name],,0)</f>
        <v>2.预付-订阅</v>
      </c>
      <c r="Q49" t="str">
        <f>_xlfn.XLOOKUP(Jnl[[#This Row],[Acct]], dict[Key], dict[Name],,0)</f>
        <v>预付订单</v>
      </c>
      <c r="R49" t="str">
        <f>_xlfn.XLOOKUP(Jnl[[#This Row],[Vehicle]],config_vehicle[Id], config_vehicle[Name],,0)</f>
        <v>远家花园</v>
      </c>
      <c r="S49" t="str">
        <f>_xlfn.XLOOKUP(Jnl[[#This Row],[Division]],config_div[Id], config_div[Name],,0)</f>
        <v>内控合规</v>
      </c>
      <c r="T49" t="str">
        <f>IF(Jnl[[#This Row],[TrxDate]]&lt;=stmt_BS_date_end, "In", "Out")</f>
        <v>In</v>
      </c>
      <c r="U49" t="str">
        <f>IF(Jnl[[#This Row],[TrxDate]]&lt;debug_date_start, "prior", IF(Jnl[[#This Row],[TrxDate]]&gt;debug_date_end, "post", "curr"))</f>
        <v>prior</v>
      </c>
    </row>
    <row r="50" spans="1:21">
      <c r="A50" s="11" t="s">
        <v>236</v>
      </c>
      <c r="B50" s="7">
        <f>_xlfn.XLOOKUP(Jnl[[#This Row],[TrxId]], Trx[Id], Trx[Date],,0)</f>
        <v>46022</v>
      </c>
      <c r="C50" s="7" t="str">
        <f>_xlfn.XLOOKUP(Jnl[[#This Row],[TrxId]], Trx[Id], Trx[Division],,0)</f>
        <v>Ctrl</v>
      </c>
      <c r="D50" s="7" t="str">
        <f>_xlfn.XLOOKUP(Jnl[[#This Row],[TrxId]], Trx[Id], Trx[Action],,0)</f>
        <v>结转</v>
      </c>
      <c r="E50" s="26" t="s">
        <v>85</v>
      </c>
      <c r="F50" s="11" t="s">
        <v>115</v>
      </c>
      <c r="G50" s="11" t="s">
        <v>143</v>
      </c>
      <c r="H50" s="72">
        <v>99417.5</v>
      </c>
      <c r="I50" s="5" t="b">
        <f>AND(Jnl[[#This Row],[TrxId]]&lt;&gt;"",Jnl[[#This Row],[Acct]]&lt;&gt;"",Jnl[[#This Row],[Item]]&lt;&gt;"",ISNUMBER(Jnl[[#This Row],[Bal]]))</f>
        <v>1</v>
      </c>
      <c r="J50" s="10">
        <f>IF(Jnl[[#This Row],[BSLv0]]="A",1,-1)*Jnl[[#This Row],[Bal]]</f>
        <v>99417.5</v>
      </c>
      <c r="K50" t="str">
        <f>_xlfn.XLOOKUP(Jnl[[#This Row],[Acct]], config_BS[Acct], config_BS[Lv0],,0)</f>
        <v>A</v>
      </c>
      <c r="L50" t="str">
        <f>_xlfn.XLOOKUP(Jnl[[#This Row],[Acct]], config_BS[Acct], config_BS[Lv1],,0)</f>
        <v>Assets</v>
      </c>
      <c r="M50" t="str">
        <f>_xlfn.XLOOKUP(Jnl[[#This Row],[Acct]], config_BS[Acct], config_BS[Lv2],,0)</f>
        <v>Prep-Sub</v>
      </c>
      <c r="N50" t="str">
        <f>_xlfn.XLOOKUP(Jnl[[#This Row],[TrxId]], Trx[Id], Trx[IncNode], ,0)</f>
        <v>Other</v>
      </c>
      <c r="O50" t="str">
        <f>_xlfn.XLOOKUP(Jnl[[#This Row],[IncNode]], config_IS[Node], config_IS[Type],,0)</f>
        <v>Non-Op</v>
      </c>
      <c r="P50" t="str">
        <f>_xlfn.XLOOKUP(Jnl[[#This Row],[BSLv2]], dict[Key], dict[Name],,0)</f>
        <v>2.预付-订阅</v>
      </c>
      <c r="Q50" t="str">
        <f>_xlfn.XLOOKUP(Jnl[[#This Row],[Acct]], dict[Key], dict[Name],,0)</f>
        <v>预付订单</v>
      </c>
      <c r="R50" t="str">
        <f>_xlfn.XLOOKUP(Jnl[[#This Row],[Vehicle]],config_vehicle[Id], config_vehicle[Name],,0)</f>
        <v>桑木</v>
      </c>
      <c r="S50" t="str">
        <f>_xlfn.XLOOKUP(Jnl[[#This Row],[Division]],config_div[Id], config_div[Name],,0)</f>
        <v>内控合规</v>
      </c>
      <c r="T50" t="str">
        <f>IF(Jnl[[#This Row],[TrxDate]]&lt;=stmt_BS_date_end, "In", "Out")</f>
        <v>In</v>
      </c>
      <c r="U50" t="str">
        <f>IF(Jnl[[#This Row],[TrxDate]]&lt;debug_date_start, "prior", IF(Jnl[[#This Row],[TrxDate]]&gt;debug_date_end, "post", "curr"))</f>
        <v>prior</v>
      </c>
    </row>
    <row r="51" spans="1:21">
      <c r="A51" s="11" t="s">
        <v>236</v>
      </c>
      <c r="B51" s="7">
        <f>_xlfn.XLOOKUP(Jnl[[#This Row],[TrxId]], Trx[Id], Trx[Date],,0)</f>
        <v>46022</v>
      </c>
      <c r="C51" s="7" t="str">
        <f>_xlfn.XLOOKUP(Jnl[[#This Row],[TrxId]], Trx[Id], Trx[Division],,0)</f>
        <v>Ctrl</v>
      </c>
      <c r="D51" s="7" t="str">
        <f>_xlfn.XLOOKUP(Jnl[[#This Row],[TrxId]], Trx[Id], Trx[Action],,0)</f>
        <v>结转</v>
      </c>
      <c r="E51" s="26" t="s">
        <v>82</v>
      </c>
      <c r="F51" s="11" t="s">
        <v>115</v>
      </c>
      <c r="G51" s="11" t="s">
        <v>142</v>
      </c>
      <c r="H51" s="72">
        <v>1225</v>
      </c>
      <c r="I51" s="5" t="b">
        <f>AND(Jnl[[#This Row],[TrxId]]&lt;&gt;"",Jnl[[#This Row],[Acct]]&lt;&gt;"",Jnl[[#This Row],[Item]]&lt;&gt;"",ISNUMBER(Jnl[[#This Row],[Bal]]))</f>
        <v>1</v>
      </c>
      <c r="J51" s="10">
        <f>IF(Jnl[[#This Row],[BSLv0]]="A",1,-1)*Jnl[[#This Row],[Bal]]</f>
        <v>1225</v>
      </c>
      <c r="K51" t="str">
        <f>_xlfn.XLOOKUP(Jnl[[#This Row],[Acct]], config_BS[Acct], config_BS[Lv0],,0)</f>
        <v>A</v>
      </c>
      <c r="L51" t="str">
        <f>_xlfn.XLOOKUP(Jnl[[#This Row],[Acct]], config_BS[Acct], config_BS[Lv1],,0)</f>
        <v>Assets</v>
      </c>
      <c r="M51" t="str">
        <f>_xlfn.XLOOKUP(Jnl[[#This Row],[Acct]], config_BS[Acct], config_BS[Lv2],,0)</f>
        <v>Prep-Sub</v>
      </c>
      <c r="N51" t="str">
        <f>_xlfn.XLOOKUP(Jnl[[#This Row],[TrxId]], Trx[Id], Trx[IncNode], ,0)</f>
        <v>Other</v>
      </c>
      <c r="O51" t="str">
        <f>_xlfn.XLOOKUP(Jnl[[#This Row],[IncNode]], config_IS[Node], config_IS[Type],,0)</f>
        <v>Non-Op</v>
      </c>
      <c r="P51" t="str">
        <f>_xlfn.XLOOKUP(Jnl[[#This Row],[BSLv2]], dict[Key], dict[Name],,0)</f>
        <v>2.预付-订阅</v>
      </c>
      <c r="Q51" t="str">
        <f>_xlfn.XLOOKUP(Jnl[[#This Row],[Acct]], dict[Key], dict[Name],,0)</f>
        <v>预付订单</v>
      </c>
      <c r="R51" t="str">
        <f>_xlfn.XLOOKUP(Jnl[[#This Row],[Vehicle]],config_vehicle[Id], config_vehicle[Name],,0)</f>
        <v>米小易</v>
      </c>
      <c r="S51" t="str">
        <f>_xlfn.XLOOKUP(Jnl[[#This Row],[Division]],config_div[Id], config_div[Name],,0)</f>
        <v>内控合规</v>
      </c>
      <c r="T51" t="str">
        <f>IF(Jnl[[#This Row],[TrxDate]]&lt;=stmt_BS_date_end, "In", "Out")</f>
        <v>In</v>
      </c>
      <c r="U51" t="str">
        <f>IF(Jnl[[#This Row],[TrxDate]]&lt;debug_date_start, "prior", IF(Jnl[[#This Row],[TrxDate]]&gt;debug_date_end, "post", "curr"))</f>
        <v>prior</v>
      </c>
    </row>
    <row r="52" spans="1:21">
      <c r="A52" s="11" t="s">
        <v>236</v>
      </c>
      <c r="B52" s="7">
        <f>_xlfn.XLOOKUP(Jnl[[#This Row],[TrxId]], Trx[Id], Trx[Date],,0)</f>
        <v>46022</v>
      </c>
      <c r="C52" s="7" t="str">
        <f>_xlfn.XLOOKUP(Jnl[[#This Row],[TrxId]], Trx[Id], Trx[Division],,0)</f>
        <v>Ctrl</v>
      </c>
      <c r="D52" s="7" t="str">
        <f>_xlfn.XLOOKUP(Jnl[[#This Row],[TrxId]], Trx[Id], Trx[Action],,0)</f>
        <v>结转</v>
      </c>
      <c r="E52" s="26" t="s">
        <v>83</v>
      </c>
      <c r="F52" s="11" t="s">
        <v>116</v>
      </c>
      <c r="G52" s="11" t="s">
        <v>153</v>
      </c>
      <c r="H52" s="72">
        <v>192761.82</v>
      </c>
      <c r="I52" s="5" t="b">
        <f>AND(Jnl[[#This Row],[TrxId]]&lt;&gt;"",Jnl[[#This Row],[Acct]]&lt;&gt;"",Jnl[[#This Row],[Item]]&lt;&gt;"",ISNUMBER(Jnl[[#This Row],[Bal]]))</f>
        <v>1</v>
      </c>
      <c r="J52" s="10">
        <f>IF(Jnl[[#This Row],[BSLv0]]="A",1,-1)*Jnl[[#This Row],[Bal]]</f>
        <v>192761.82</v>
      </c>
      <c r="K52" t="str">
        <f>_xlfn.XLOOKUP(Jnl[[#This Row],[Acct]], config_BS[Acct], config_BS[Lv0],,0)</f>
        <v>A</v>
      </c>
      <c r="L52" t="str">
        <f>_xlfn.XLOOKUP(Jnl[[#This Row],[Acct]], config_BS[Acct], config_BS[Lv1],,0)</f>
        <v>Assets</v>
      </c>
      <c r="M52" t="str">
        <f>_xlfn.XLOOKUP(Jnl[[#This Row],[Acct]], config_BS[Acct], config_BS[Lv2],,0)</f>
        <v>Invtr</v>
      </c>
      <c r="N52" t="str">
        <f>_xlfn.XLOOKUP(Jnl[[#This Row],[TrxId]], Trx[Id], Trx[IncNode], ,0)</f>
        <v>Other</v>
      </c>
      <c r="O52" t="str">
        <f>_xlfn.XLOOKUP(Jnl[[#This Row],[IncNode]], config_IS[Node], config_IS[Type],,0)</f>
        <v>Non-Op</v>
      </c>
      <c r="P52" t="str">
        <f>_xlfn.XLOOKUP(Jnl[[#This Row],[BSLv2]], dict[Key], dict[Name],,0)</f>
        <v>3.库存占款</v>
      </c>
      <c r="Q52" t="str">
        <f>_xlfn.XLOOKUP(Jnl[[#This Row],[Acct]], dict[Key], dict[Name],,0)</f>
        <v>当期存货</v>
      </c>
      <c r="R52" t="str">
        <f>_xlfn.XLOOKUP(Jnl[[#This Row],[Vehicle]],config_vehicle[Id], config_vehicle[Name],,0)</f>
        <v>远家文化</v>
      </c>
      <c r="S52" t="str">
        <f>_xlfn.XLOOKUP(Jnl[[#This Row],[Division]],config_div[Id], config_div[Name],,0)</f>
        <v>内控合规</v>
      </c>
      <c r="T52" t="str">
        <f>IF(Jnl[[#This Row],[TrxDate]]&lt;=stmt_BS_date_end, "In", "Out")</f>
        <v>In</v>
      </c>
      <c r="U52" t="str">
        <f>IF(Jnl[[#This Row],[TrxDate]]&lt;debug_date_start, "prior", IF(Jnl[[#This Row],[TrxDate]]&gt;debug_date_end, "post", "curr"))</f>
        <v>prior</v>
      </c>
    </row>
    <row r="53" spans="1:21">
      <c r="A53" s="11" t="s">
        <v>236</v>
      </c>
      <c r="B53" s="7">
        <f>_xlfn.XLOOKUP(Jnl[[#This Row],[TrxId]], Trx[Id], Trx[Date],,0)</f>
        <v>46022</v>
      </c>
      <c r="C53" s="7" t="str">
        <f>_xlfn.XLOOKUP(Jnl[[#This Row],[TrxId]], Trx[Id], Trx[Division],,0)</f>
        <v>Ctrl</v>
      </c>
      <c r="D53" s="7" t="str">
        <f>_xlfn.XLOOKUP(Jnl[[#This Row],[TrxId]], Trx[Id], Trx[Action],,0)</f>
        <v>结转</v>
      </c>
      <c r="E53" s="26" t="s">
        <v>82</v>
      </c>
      <c r="F53" s="11" t="s">
        <v>116</v>
      </c>
      <c r="G53" s="11" t="s">
        <v>152</v>
      </c>
      <c r="H53" s="72">
        <v>242182.81</v>
      </c>
      <c r="I53" s="5" t="b">
        <f>AND(Jnl[[#This Row],[TrxId]]&lt;&gt;"",Jnl[[#This Row],[Acct]]&lt;&gt;"",Jnl[[#This Row],[Item]]&lt;&gt;"",ISNUMBER(Jnl[[#This Row],[Bal]]))</f>
        <v>1</v>
      </c>
      <c r="J53" s="10">
        <f>IF(Jnl[[#This Row],[BSLv0]]="A",1,-1)*Jnl[[#This Row],[Bal]]</f>
        <v>242182.81</v>
      </c>
      <c r="K53" t="str">
        <f>_xlfn.XLOOKUP(Jnl[[#This Row],[Acct]], config_BS[Acct], config_BS[Lv0],,0)</f>
        <v>A</v>
      </c>
      <c r="L53" t="str">
        <f>_xlfn.XLOOKUP(Jnl[[#This Row],[Acct]], config_BS[Acct], config_BS[Lv1],,0)</f>
        <v>Assets</v>
      </c>
      <c r="M53" t="str">
        <f>_xlfn.XLOOKUP(Jnl[[#This Row],[Acct]], config_BS[Acct], config_BS[Lv2],,0)</f>
        <v>Invtr</v>
      </c>
      <c r="N53" t="str">
        <f>_xlfn.XLOOKUP(Jnl[[#This Row],[TrxId]], Trx[Id], Trx[IncNode], ,0)</f>
        <v>Other</v>
      </c>
      <c r="O53" t="str">
        <f>_xlfn.XLOOKUP(Jnl[[#This Row],[IncNode]], config_IS[Node], config_IS[Type],,0)</f>
        <v>Non-Op</v>
      </c>
      <c r="P53" t="str">
        <f>_xlfn.XLOOKUP(Jnl[[#This Row],[BSLv2]], dict[Key], dict[Name],,0)</f>
        <v>3.库存占款</v>
      </c>
      <c r="Q53" t="str">
        <f>_xlfn.XLOOKUP(Jnl[[#This Row],[Acct]], dict[Key], dict[Name],,0)</f>
        <v>当期存货</v>
      </c>
      <c r="R53" t="str">
        <f>_xlfn.XLOOKUP(Jnl[[#This Row],[Vehicle]],config_vehicle[Id], config_vehicle[Name],,0)</f>
        <v>米小易</v>
      </c>
      <c r="S53" t="str">
        <f>_xlfn.XLOOKUP(Jnl[[#This Row],[Division]],config_div[Id], config_div[Name],,0)</f>
        <v>内控合规</v>
      </c>
      <c r="T53" t="str">
        <f>IF(Jnl[[#This Row],[TrxDate]]&lt;=stmt_BS_date_end, "In", "Out")</f>
        <v>In</v>
      </c>
      <c r="U53" t="str">
        <f>IF(Jnl[[#This Row],[TrxDate]]&lt;debug_date_start, "prior", IF(Jnl[[#This Row],[TrxDate]]&gt;debug_date_end, "post", "curr"))</f>
        <v>prior</v>
      </c>
    </row>
    <row r="54" spans="1:21">
      <c r="A54" s="11" t="s">
        <v>236</v>
      </c>
      <c r="B54" s="7">
        <f>_xlfn.XLOOKUP(Jnl[[#This Row],[TrxId]], Trx[Id], Trx[Date],,0)</f>
        <v>46022</v>
      </c>
      <c r="C54" s="7" t="str">
        <f>_xlfn.XLOOKUP(Jnl[[#This Row],[TrxId]], Trx[Id], Trx[Division],,0)</f>
        <v>Ctrl</v>
      </c>
      <c r="D54" s="7" t="str">
        <f>_xlfn.XLOOKUP(Jnl[[#This Row],[TrxId]], Trx[Id], Trx[Action],,0)</f>
        <v>结转</v>
      </c>
      <c r="E54" s="26" t="s">
        <v>80</v>
      </c>
      <c r="F54" s="11" t="s">
        <v>116</v>
      </c>
      <c r="G54" s="11" t="s">
        <v>151</v>
      </c>
      <c r="H54" s="72">
        <v>10513383.689999999</v>
      </c>
      <c r="I54" s="5" t="b">
        <f>AND(Jnl[[#This Row],[TrxId]]&lt;&gt;"",Jnl[[#This Row],[Acct]]&lt;&gt;"",Jnl[[#This Row],[Item]]&lt;&gt;"",ISNUMBER(Jnl[[#This Row],[Bal]]))</f>
        <v>1</v>
      </c>
      <c r="J54" s="10">
        <f>IF(Jnl[[#This Row],[BSLv0]]="A",1,-1)*Jnl[[#This Row],[Bal]]</f>
        <v>10513383.689999999</v>
      </c>
      <c r="K54" t="str">
        <f>_xlfn.XLOOKUP(Jnl[[#This Row],[Acct]], config_BS[Acct], config_BS[Lv0],,0)</f>
        <v>A</v>
      </c>
      <c r="L54" t="str">
        <f>_xlfn.XLOOKUP(Jnl[[#This Row],[Acct]], config_BS[Acct], config_BS[Lv1],,0)</f>
        <v>Assets</v>
      </c>
      <c r="M54" t="str">
        <f>_xlfn.XLOOKUP(Jnl[[#This Row],[Acct]], config_BS[Acct], config_BS[Lv2],,0)</f>
        <v>Invtr</v>
      </c>
      <c r="N54" t="str">
        <f>_xlfn.XLOOKUP(Jnl[[#This Row],[TrxId]], Trx[Id], Trx[IncNode], ,0)</f>
        <v>Other</v>
      </c>
      <c r="O54" t="str">
        <f>_xlfn.XLOOKUP(Jnl[[#This Row],[IncNode]], config_IS[Node], config_IS[Type],,0)</f>
        <v>Non-Op</v>
      </c>
      <c r="P54" t="str">
        <f>_xlfn.XLOOKUP(Jnl[[#This Row],[BSLv2]], dict[Key], dict[Name],,0)</f>
        <v>3.库存占款</v>
      </c>
      <c r="Q54" t="str">
        <f>_xlfn.XLOOKUP(Jnl[[#This Row],[Acct]], dict[Key], dict[Name],,0)</f>
        <v>当期存货</v>
      </c>
      <c r="R54" t="str">
        <f>_xlfn.XLOOKUP(Jnl[[#This Row],[Vehicle]],config_vehicle[Id], config_vehicle[Name],,0)</f>
        <v>远家花园</v>
      </c>
      <c r="S54" t="str">
        <f>_xlfn.XLOOKUP(Jnl[[#This Row],[Division]],config_div[Id], config_div[Name],,0)</f>
        <v>内控合规</v>
      </c>
      <c r="T54" t="str">
        <f>IF(Jnl[[#This Row],[TrxDate]]&lt;=stmt_BS_date_end, "In", "Out")</f>
        <v>In</v>
      </c>
      <c r="U54" t="str">
        <f>IF(Jnl[[#This Row],[TrxDate]]&lt;debug_date_start, "prior", IF(Jnl[[#This Row],[TrxDate]]&gt;debug_date_end, "post", "curr"))</f>
        <v>prior</v>
      </c>
    </row>
    <row r="55" spans="1:21">
      <c r="A55" s="11" t="s">
        <v>236</v>
      </c>
      <c r="B55" s="7">
        <f>_xlfn.XLOOKUP(Jnl[[#This Row],[TrxId]], Trx[Id], Trx[Date],,0)</f>
        <v>46022</v>
      </c>
      <c r="C55" s="7" t="str">
        <f>_xlfn.XLOOKUP(Jnl[[#This Row],[TrxId]], Trx[Id], Trx[Division],,0)</f>
        <v>Ctrl</v>
      </c>
      <c r="D55" s="7" t="str">
        <f>_xlfn.XLOOKUP(Jnl[[#This Row],[TrxId]], Trx[Id], Trx[Action],,0)</f>
        <v>结转</v>
      </c>
      <c r="E55" s="26" t="s">
        <v>83</v>
      </c>
      <c r="F55" s="11" t="s">
        <v>121</v>
      </c>
      <c r="G55" s="11" t="s">
        <v>200</v>
      </c>
      <c r="H55" s="72">
        <v>2949723.27</v>
      </c>
      <c r="I55" s="5" t="b">
        <f>AND(Jnl[[#This Row],[TrxId]]&lt;&gt;"",Jnl[[#This Row],[Acct]]&lt;&gt;"",Jnl[[#This Row],[Item]]&lt;&gt;"",ISNUMBER(Jnl[[#This Row],[Bal]]))</f>
        <v>1</v>
      </c>
      <c r="J55" s="10">
        <f>IF(Jnl[[#This Row],[BSLv0]]="A",1,-1)*Jnl[[#This Row],[Bal]]</f>
        <v>2949723.27</v>
      </c>
      <c r="K55" t="str">
        <f>_xlfn.XLOOKUP(Jnl[[#This Row],[Acct]], config_BS[Acct], config_BS[Lv0],,0)</f>
        <v>A</v>
      </c>
      <c r="L55" t="str">
        <f>_xlfn.XLOOKUP(Jnl[[#This Row],[Acct]], config_BS[Acct], config_BS[Lv1],,0)</f>
        <v>Assets</v>
      </c>
      <c r="M55" t="str">
        <f>_xlfn.XLOOKUP(Jnl[[#This Row],[Acct]], config_BS[Acct], config_BS[Lv2],,0)</f>
        <v>PP&amp;E</v>
      </c>
      <c r="N55" t="str">
        <f>_xlfn.XLOOKUP(Jnl[[#This Row],[TrxId]], Trx[Id], Trx[IncNode], ,0)</f>
        <v>Other</v>
      </c>
      <c r="O55" t="str">
        <f>_xlfn.XLOOKUP(Jnl[[#This Row],[IncNode]], config_IS[Node], config_IS[Type],,0)</f>
        <v>Non-Op</v>
      </c>
      <c r="P55" t="str">
        <f>_xlfn.XLOOKUP(Jnl[[#This Row],[BSLv2]], dict[Key], dict[Name],,0)</f>
        <v>5.硬件设施</v>
      </c>
      <c r="Q55" t="str">
        <f>_xlfn.XLOOKUP(Jnl[[#This Row],[Acct]], dict[Key], dict[Name],,0)</f>
        <v>房地产</v>
      </c>
      <c r="R55" t="str">
        <f>_xlfn.XLOOKUP(Jnl[[#This Row],[Vehicle]],config_vehicle[Id], config_vehicle[Name],,0)</f>
        <v>远家文化</v>
      </c>
      <c r="S55" t="str">
        <f>_xlfn.XLOOKUP(Jnl[[#This Row],[Division]],config_div[Id], config_div[Name],,0)</f>
        <v>内控合规</v>
      </c>
      <c r="T55" t="str">
        <f>IF(Jnl[[#This Row],[TrxDate]]&lt;=stmt_BS_date_end, "In", "Out")</f>
        <v>In</v>
      </c>
      <c r="U55" t="str">
        <f>IF(Jnl[[#This Row],[TrxDate]]&lt;debug_date_start, "prior", IF(Jnl[[#This Row],[TrxDate]]&gt;debug_date_end, "post", "curr"))</f>
        <v>prior</v>
      </c>
    </row>
    <row r="56" spans="1:21">
      <c r="A56" s="11" t="s">
        <v>236</v>
      </c>
      <c r="B56" s="7">
        <f>_xlfn.XLOOKUP(Jnl[[#This Row],[TrxId]], Trx[Id], Trx[Date],,0)</f>
        <v>46022</v>
      </c>
      <c r="C56" s="7" t="str">
        <f>_xlfn.XLOOKUP(Jnl[[#This Row],[TrxId]], Trx[Id], Trx[Division],,0)</f>
        <v>Ctrl</v>
      </c>
      <c r="D56" s="7" t="str">
        <f>_xlfn.XLOOKUP(Jnl[[#This Row],[TrxId]], Trx[Id], Trx[Action],,0)</f>
        <v>结转</v>
      </c>
      <c r="E56" s="26" t="s">
        <v>83</v>
      </c>
      <c r="F56" s="11" t="s">
        <v>121</v>
      </c>
      <c r="G56" s="11" t="s">
        <v>201</v>
      </c>
      <c r="H56" s="72">
        <v>21129338.43</v>
      </c>
      <c r="I56" s="5" t="b">
        <f>AND(Jnl[[#This Row],[TrxId]]&lt;&gt;"",Jnl[[#This Row],[Acct]]&lt;&gt;"",Jnl[[#This Row],[Item]]&lt;&gt;"",ISNUMBER(Jnl[[#This Row],[Bal]]))</f>
        <v>1</v>
      </c>
      <c r="J56" s="10">
        <f>IF(Jnl[[#This Row],[BSLv0]]="A",1,-1)*Jnl[[#This Row],[Bal]]</f>
        <v>21129338.43</v>
      </c>
      <c r="K56" t="str">
        <f>_xlfn.XLOOKUP(Jnl[[#This Row],[Acct]], config_BS[Acct], config_BS[Lv0],,0)</f>
        <v>A</v>
      </c>
      <c r="L56" t="str">
        <f>_xlfn.XLOOKUP(Jnl[[#This Row],[Acct]], config_BS[Acct], config_BS[Lv1],,0)</f>
        <v>Assets</v>
      </c>
      <c r="M56" t="str">
        <f>_xlfn.XLOOKUP(Jnl[[#This Row],[Acct]], config_BS[Acct], config_BS[Lv2],,0)</f>
        <v>PP&amp;E</v>
      </c>
      <c r="N56" t="str">
        <f>_xlfn.XLOOKUP(Jnl[[#This Row],[TrxId]], Trx[Id], Trx[IncNode], ,0)</f>
        <v>Other</v>
      </c>
      <c r="O56" t="str">
        <f>_xlfn.XLOOKUP(Jnl[[#This Row],[IncNode]], config_IS[Node], config_IS[Type],,0)</f>
        <v>Non-Op</v>
      </c>
      <c r="P56" t="str">
        <f>_xlfn.XLOOKUP(Jnl[[#This Row],[BSLv2]], dict[Key], dict[Name],,0)</f>
        <v>5.硬件设施</v>
      </c>
      <c r="Q56" t="str">
        <f>_xlfn.XLOOKUP(Jnl[[#This Row],[Acct]], dict[Key], dict[Name],,0)</f>
        <v>房地产</v>
      </c>
      <c r="R56" t="str">
        <f>_xlfn.XLOOKUP(Jnl[[#This Row],[Vehicle]],config_vehicle[Id], config_vehicle[Name],,0)</f>
        <v>远家文化</v>
      </c>
      <c r="S56" t="str">
        <f>_xlfn.XLOOKUP(Jnl[[#This Row],[Division]],config_div[Id], config_div[Name],,0)</f>
        <v>内控合规</v>
      </c>
      <c r="T56" t="str">
        <f>IF(Jnl[[#This Row],[TrxDate]]&lt;=stmt_BS_date_end, "In", "Out")</f>
        <v>In</v>
      </c>
      <c r="U56" t="str">
        <f>IF(Jnl[[#This Row],[TrxDate]]&lt;debug_date_start, "prior", IF(Jnl[[#This Row],[TrxDate]]&gt;debug_date_end, "post", "curr"))</f>
        <v>prior</v>
      </c>
    </row>
    <row r="57" spans="1:21">
      <c r="A57" s="11" t="s">
        <v>236</v>
      </c>
      <c r="B57" s="7">
        <f>_xlfn.XLOOKUP(Jnl[[#This Row],[TrxId]], Trx[Id], Trx[Date],,0)</f>
        <v>46022</v>
      </c>
      <c r="C57" s="7" t="str">
        <f>_xlfn.XLOOKUP(Jnl[[#This Row],[TrxId]], Trx[Id], Trx[Division],,0)</f>
        <v>Ctrl</v>
      </c>
      <c r="D57" s="7" t="str">
        <f>_xlfn.XLOOKUP(Jnl[[#This Row],[TrxId]], Trx[Id], Trx[Action],,0)</f>
        <v>结转</v>
      </c>
      <c r="E57" s="26" t="s">
        <v>83</v>
      </c>
      <c r="F57" s="11" t="s">
        <v>121</v>
      </c>
      <c r="G57" s="11" t="s">
        <v>185</v>
      </c>
      <c r="H57" s="72">
        <v>-5217130.03</v>
      </c>
      <c r="I57" s="5" t="b">
        <f>AND(Jnl[[#This Row],[TrxId]]&lt;&gt;"",Jnl[[#This Row],[Acct]]&lt;&gt;"",Jnl[[#This Row],[Item]]&lt;&gt;"",ISNUMBER(Jnl[[#This Row],[Bal]]))</f>
        <v>1</v>
      </c>
      <c r="J57" s="10">
        <f>IF(Jnl[[#This Row],[BSLv0]]="A",1,-1)*Jnl[[#This Row],[Bal]]</f>
        <v>-5217130.03</v>
      </c>
      <c r="K57" t="str">
        <f>_xlfn.XLOOKUP(Jnl[[#This Row],[Acct]], config_BS[Acct], config_BS[Lv0],,0)</f>
        <v>A</v>
      </c>
      <c r="L57" t="str">
        <f>_xlfn.XLOOKUP(Jnl[[#This Row],[Acct]], config_BS[Acct], config_BS[Lv1],,0)</f>
        <v>Assets</v>
      </c>
      <c r="M57" t="str">
        <f>_xlfn.XLOOKUP(Jnl[[#This Row],[Acct]], config_BS[Acct], config_BS[Lv2],,0)</f>
        <v>PP&amp;E</v>
      </c>
      <c r="N57" t="str">
        <f>_xlfn.XLOOKUP(Jnl[[#This Row],[TrxId]], Trx[Id], Trx[IncNode], ,0)</f>
        <v>Other</v>
      </c>
      <c r="O57" t="str">
        <f>_xlfn.XLOOKUP(Jnl[[#This Row],[IncNode]], config_IS[Node], config_IS[Type],,0)</f>
        <v>Non-Op</v>
      </c>
      <c r="P57" t="str">
        <f>_xlfn.XLOOKUP(Jnl[[#This Row],[BSLv2]], dict[Key], dict[Name],,0)</f>
        <v>5.硬件设施</v>
      </c>
      <c r="Q57" t="str">
        <f>_xlfn.XLOOKUP(Jnl[[#This Row],[Acct]], dict[Key], dict[Name],,0)</f>
        <v>房地产</v>
      </c>
      <c r="R57" t="str">
        <f>_xlfn.XLOOKUP(Jnl[[#This Row],[Vehicle]],config_vehicle[Id], config_vehicle[Name],,0)</f>
        <v>远家文化</v>
      </c>
      <c r="S57" t="str">
        <f>_xlfn.XLOOKUP(Jnl[[#This Row],[Division]],config_div[Id], config_div[Name],,0)</f>
        <v>内控合规</v>
      </c>
      <c r="T57" t="str">
        <f>IF(Jnl[[#This Row],[TrxDate]]&lt;=stmt_BS_date_end, "In", "Out")</f>
        <v>In</v>
      </c>
      <c r="U57" t="str">
        <f>IF(Jnl[[#This Row],[TrxDate]]&lt;debug_date_start, "prior", IF(Jnl[[#This Row],[TrxDate]]&gt;debug_date_end, "post", "curr"))</f>
        <v>prior</v>
      </c>
    </row>
    <row r="58" spans="1:21">
      <c r="A58" s="11" t="s">
        <v>236</v>
      </c>
      <c r="B58" s="7">
        <f>_xlfn.XLOOKUP(Jnl[[#This Row],[TrxId]], Trx[Id], Trx[Date],,0)</f>
        <v>46022</v>
      </c>
      <c r="C58" s="7" t="str">
        <f>_xlfn.XLOOKUP(Jnl[[#This Row],[TrxId]], Trx[Id], Trx[Division],,0)</f>
        <v>Ctrl</v>
      </c>
      <c r="D58" s="7" t="str">
        <f>_xlfn.XLOOKUP(Jnl[[#This Row],[TrxId]], Trx[Id], Trx[Action],,0)</f>
        <v>结转</v>
      </c>
      <c r="E58" s="26" t="s">
        <v>106</v>
      </c>
      <c r="F58" s="11" t="s">
        <v>121</v>
      </c>
      <c r="G58" s="11" t="s">
        <v>202</v>
      </c>
      <c r="H58" s="72">
        <v>6467900</v>
      </c>
      <c r="I58" s="5" t="b">
        <f>AND(Jnl[[#This Row],[TrxId]]&lt;&gt;"",Jnl[[#This Row],[Acct]]&lt;&gt;"",Jnl[[#This Row],[Item]]&lt;&gt;"",ISNUMBER(Jnl[[#This Row],[Bal]]))</f>
        <v>1</v>
      </c>
      <c r="J58" s="10">
        <f>IF(Jnl[[#This Row],[BSLv0]]="A",1,-1)*Jnl[[#This Row],[Bal]]</f>
        <v>6467900</v>
      </c>
      <c r="K58" t="str">
        <f>_xlfn.XLOOKUP(Jnl[[#This Row],[Acct]], config_BS[Acct], config_BS[Lv0],,0)</f>
        <v>A</v>
      </c>
      <c r="L58" t="str">
        <f>_xlfn.XLOOKUP(Jnl[[#This Row],[Acct]], config_BS[Acct], config_BS[Lv1],,0)</f>
        <v>Assets</v>
      </c>
      <c r="M58" t="str">
        <f>_xlfn.XLOOKUP(Jnl[[#This Row],[Acct]], config_BS[Acct], config_BS[Lv2],,0)</f>
        <v>PP&amp;E</v>
      </c>
      <c r="N58" t="str">
        <f>_xlfn.XLOOKUP(Jnl[[#This Row],[TrxId]], Trx[Id], Trx[IncNode], ,0)</f>
        <v>Other</v>
      </c>
      <c r="O58" t="str">
        <f>_xlfn.XLOOKUP(Jnl[[#This Row],[IncNode]], config_IS[Node], config_IS[Type],,0)</f>
        <v>Non-Op</v>
      </c>
      <c r="P58" t="str">
        <f>_xlfn.XLOOKUP(Jnl[[#This Row],[BSLv2]], dict[Key], dict[Name],,0)</f>
        <v>5.硬件设施</v>
      </c>
      <c r="Q58" t="str">
        <f>_xlfn.XLOOKUP(Jnl[[#This Row],[Acct]], dict[Key], dict[Name],,0)</f>
        <v>房地产</v>
      </c>
      <c r="R58" t="str">
        <f>_xlfn.XLOOKUP(Jnl[[#This Row],[Vehicle]],config_vehicle[Id], config_vehicle[Name],,0)</f>
        <v>远家花园高新分公司</v>
      </c>
      <c r="S58" t="str">
        <f>_xlfn.XLOOKUP(Jnl[[#This Row],[Division]],config_div[Id], config_div[Name],,0)</f>
        <v>内控合规</v>
      </c>
      <c r="T58" t="str">
        <f>IF(Jnl[[#This Row],[TrxDate]]&lt;=stmt_BS_date_end, "In", "Out")</f>
        <v>In</v>
      </c>
      <c r="U58" t="str">
        <f>IF(Jnl[[#This Row],[TrxDate]]&lt;debug_date_start, "prior", IF(Jnl[[#This Row],[TrxDate]]&gt;debug_date_end, "post", "curr"))</f>
        <v>prior</v>
      </c>
    </row>
    <row r="59" spans="1:21">
      <c r="A59" s="11" t="s">
        <v>236</v>
      </c>
      <c r="B59" s="7">
        <f>_xlfn.XLOOKUP(Jnl[[#This Row],[TrxId]], Trx[Id], Trx[Date],,0)</f>
        <v>46022</v>
      </c>
      <c r="C59" s="7" t="str">
        <f>_xlfn.XLOOKUP(Jnl[[#This Row],[TrxId]], Trx[Id], Trx[Division],,0)</f>
        <v>Ctrl</v>
      </c>
      <c r="D59" s="7" t="str">
        <f>_xlfn.XLOOKUP(Jnl[[#This Row],[TrxId]], Trx[Id], Trx[Action],,0)</f>
        <v>结转</v>
      </c>
      <c r="E59" s="26" t="s">
        <v>106</v>
      </c>
      <c r="F59" s="11" t="s">
        <v>121</v>
      </c>
      <c r="G59" s="11" t="s">
        <v>186</v>
      </c>
      <c r="H59" s="72">
        <v>-1065602.3999999999</v>
      </c>
      <c r="I59" s="5" t="b">
        <f>AND(Jnl[[#This Row],[TrxId]]&lt;&gt;"",Jnl[[#This Row],[Acct]]&lt;&gt;"",Jnl[[#This Row],[Item]]&lt;&gt;"",ISNUMBER(Jnl[[#This Row],[Bal]]))</f>
        <v>1</v>
      </c>
      <c r="J59" s="10">
        <f>IF(Jnl[[#This Row],[BSLv0]]="A",1,-1)*Jnl[[#This Row],[Bal]]</f>
        <v>-1065602.3999999999</v>
      </c>
      <c r="K59" t="str">
        <f>_xlfn.XLOOKUP(Jnl[[#This Row],[Acct]], config_BS[Acct], config_BS[Lv0],,0)</f>
        <v>A</v>
      </c>
      <c r="L59" t="str">
        <f>_xlfn.XLOOKUP(Jnl[[#This Row],[Acct]], config_BS[Acct], config_BS[Lv1],,0)</f>
        <v>Assets</v>
      </c>
      <c r="M59" t="str">
        <f>_xlfn.XLOOKUP(Jnl[[#This Row],[Acct]], config_BS[Acct], config_BS[Lv2],,0)</f>
        <v>PP&amp;E</v>
      </c>
      <c r="N59" t="str">
        <f>_xlfn.XLOOKUP(Jnl[[#This Row],[TrxId]], Trx[Id], Trx[IncNode], ,0)</f>
        <v>Other</v>
      </c>
      <c r="O59" t="str">
        <f>_xlfn.XLOOKUP(Jnl[[#This Row],[IncNode]], config_IS[Node], config_IS[Type],,0)</f>
        <v>Non-Op</v>
      </c>
      <c r="P59" t="str">
        <f>_xlfn.XLOOKUP(Jnl[[#This Row],[BSLv2]], dict[Key], dict[Name],,0)</f>
        <v>5.硬件设施</v>
      </c>
      <c r="Q59" t="str">
        <f>_xlfn.XLOOKUP(Jnl[[#This Row],[Acct]], dict[Key], dict[Name],,0)</f>
        <v>房地产</v>
      </c>
      <c r="R59" t="str">
        <f>_xlfn.XLOOKUP(Jnl[[#This Row],[Vehicle]],config_vehicle[Id], config_vehicle[Name],,0)</f>
        <v>远家花园高新分公司</v>
      </c>
      <c r="S59" t="str">
        <f>_xlfn.XLOOKUP(Jnl[[#This Row],[Division]],config_div[Id], config_div[Name],,0)</f>
        <v>内控合规</v>
      </c>
      <c r="T59" t="str">
        <f>IF(Jnl[[#This Row],[TrxDate]]&lt;=stmt_BS_date_end, "In", "Out")</f>
        <v>In</v>
      </c>
      <c r="U59" t="str">
        <f>IF(Jnl[[#This Row],[TrxDate]]&lt;debug_date_start, "prior", IF(Jnl[[#This Row],[TrxDate]]&gt;debug_date_end, "post", "curr"))</f>
        <v>prior</v>
      </c>
    </row>
    <row r="60" spans="1:21">
      <c r="A60" s="11" t="s">
        <v>236</v>
      </c>
      <c r="B60" s="7">
        <f>_xlfn.XLOOKUP(Jnl[[#This Row],[TrxId]], Trx[Id], Trx[Date],,0)</f>
        <v>46022</v>
      </c>
      <c r="C60" s="7" t="str">
        <f>_xlfn.XLOOKUP(Jnl[[#This Row],[TrxId]], Trx[Id], Trx[Division],,0)</f>
        <v>Ctrl</v>
      </c>
      <c r="D60" s="7" t="str">
        <f>_xlfn.XLOOKUP(Jnl[[#This Row],[TrxId]], Trx[Id], Trx[Action],,0)</f>
        <v>结转</v>
      </c>
      <c r="E60" s="26" t="s">
        <v>81</v>
      </c>
      <c r="F60" s="11" t="s">
        <v>164</v>
      </c>
      <c r="G60" s="11" t="s">
        <v>144</v>
      </c>
      <c r="H60" s="72">
        <v>2000000</v>
      </c>
      <c r="I60" s="5" t="b">
        <f>AND(Jnl[[#This Row],[TrxId]]&lt;&gt;"",Jnl[[#This Row],[Acct]]&lt;&gt;"",Jnl[[#This Row],[Item]]&lt;&gt;"",ISNUMBER(Jnl[[#This Row],[Bal]]))</f>
        <v>1</v>
      </c>
      <c r="J60" s="10">
        <f>IF(Jnl[[#This Row],[BSLv0]]="A",1,-1)*Jnl[[#This Row],[Bal]]</f>
        <v>2000000</v>
      </c>
      <c r="K60" t="str">
        <f>_xlfn.XLOOKUP(Jnl[[#This Row],[Acct]], config_BS[Acct], config_BS[Lv0],,0)</f>
        <v>A</v>
      </c>
      <c r="L60" t="str">
        <f>_xlfn.XLOOKUP(Jnl[[#This Row],[Acct]], config_BS[Acct], config_BS[Lv1],,0)</f>
        <v>Assets</v>
      </c>
      <c r="M60" t="str">
        <f>_xlfn.XLOOKUP(Jnl[[#This Row],[Acct]], config_BS[Acct], config_BS[Lv2],,0)</f>
        <v>Invest-LTD</v>
      </c>
      <c r="N60" t="str">
        <f>_xlfn.XLOOKUP(Jnl[[#This Row],[TrxId]], Trx[Id], Trx[IncNode], ,0)</f>
        <v>Other</v>
      </c>
      <c r="O60" t="str">
        <f>_xlfn.XLOOKUP(Jnl[[#This Row],[IncNode]], config_IS[Node], config_IS[Type],,0)</f>
        <v>Non-Op</v>
      </c>
      <c r="P60" t="str">
        <f>_xlfn.XLOOKUP(Jnl[[#This Row],[BSLv2]], dict[Key], dict[Name],,0)</f>
        <v>6.投资与长期负债</v>
      </c>
      <c r="Q60" t="str">
        <f>_xlfn.XLOOKUP(Jnl[[#This Row],[Acct]], dict[Key], dict[Name],,0)</f>
        <v>权益性投资</v>
      </c>
      <c r="R60" t="str">
        <f>_xlfn.XLOOKUP(Jnl[[#This Row],[Vehicle]],config_vehicle[Id], config_vehicle[Name],,0)</f>
        <v>喜家文化</v>
      </c>
      <c r="S60" t="str">
        <f>_xlfn.XLOOKUP(Jnl[[#This Row],[Division]],config_div[Id], config_div[Name],,0)</f>
        <v>内控合规</v>
      </c>
      <c r="T60" t="str">
        <f>IF(Jnl[[#This Row],[TrxDate]]&lt;=stmt_BS_date_end, "In", "Out")</f>
        <v>In</v>
      </c>
      <c r="U60" t="str">
        <f>IF(Jnl[[#This Row],[TrxDate]]&lt;debug_date_start, "prior", IF(Jnl[[#This Row],[TrxDate]]&gt;debug_date_end, "post", "curr"))</f>
        <v>prior</v>
      </c>
    </row>
    <row r="61" spans="1:21">
      <c r="A61" s="11" t="s">
        <v>236</v>
      </c>
      <c r="B61" s="7">
        <f>_xlfn.XLOOKUP(Jnl[[#This Row],[TrxId]], Trx[Id], Trx[Date],,0)</f>
        <v>46022</v>
      </c>
      <c r="C61" s="7" t="str">
        <f>_xlfn.XLOOKUP(Jnl[[#This Row],[TrxId]], Trx[Id], Trx[Division],,0)</f>
        <v>Ctrl</v>
      </c>
      <c r="D61" s="7" t="str">
        <f>_xlfn.XLOOKUP(Jnl[[#This Row],[TrxId]], Trx[Id], Trx[Action],,0)</f>
        <v>结转</v>
      </c>
      <c r="E61" s="26" t="s">
        <v>81</v>
      </c>
      <c r="F61" s="11" t="s">
        <v>164</v>
      </c>
      <c r="G61" s="11" t="s">
        <v>145</v>
      </c>
      <c r="H61" s="72">
        <v>100000</v>
      </c>
      <c r="I61" s="5" t="b">
        <f>AND(Jnl[[#This Row],[TrxId]]&lt;&gt;"",Jnl[[#This Row],[Acct]]&lt;&gt;"",Jnl[[#This Row],[Item]]&lt;&gt;"",ISNUMBER(Jnl[[#This Row],[Bal]]))</f>
        <v>1</v>
      </c>
      <c r="J61" s="10">
        <f>IF(Jnl[[#This Row],[BSLv0]]="A",1,-1)*Jnl[[#This Row],[Bal]]</f>
        <v>100000</v>
      </c>
      <c r="K61" t="str">
        <f>_xlfn.XLOOKUP(Jnl[[#This Row],[Acct]], config_BS[Acct], config_BS[Lv0],,0)</f>
        <v>A</v>
      </c>
      <c r="L61" t="str">
        <f>_xlfn.XLOOKUP(Jnl[[#This Row],[Acct]], config_BS[Acct], config_BS[Lv1],,0)</f>
        <v>Assets</v>
      </c>
      <c r="M61" t="str">
        <f>_xlfn.XLOOKUP(Jnl[[#This Row],[Acct]], config_BS[Acct], config_BS[Lv2],,0)</f>
        <v>Invest-LTD</v>
      </c>
      <c r="N61" t="str">
        <f>_xlfn.XLOOKUP(Jnl[[#This Row],[TrxId]], Trx[Id], Trx[IncNode], ,0)</f>
        <v>Other</v>
      </c>
      <c r="O61" t="str">
        <f>_xlfn.XLOOKUP(Jnl[[#This Row],[IncNode]], config_IS[Node], config_IS[Type],,0)</f>
        <v>Non-Op</v>
      </c>
      <c r="P61" t="str">
        <f>_xlfn.XLOOKUP(Jnl[[#This Row],[BSLv2]], dict[Key], dict[Name],,0)</f>
        <v>6.投资与长期负债</v>
      </c>
      <c r="Q61" t="str">
        <f>_xlfn.XLOOKUP(Jnl[[#This Row],[Acct]], dict[Key], dict[Name],,0)</f>
        <v>权益性投资</v>
      </c>
      <c r="R61" t="str">
        <f>_xlfn.XLOOKUP(Jnl[[#This Row],[Vehicle]],config_vehicle[Id], config_vehicle[Name],,0)</f>
        <v>喜家文化</v>
      </c>
      <c r="S61" t="str">
        <f>_xlfn.XLOOKUP(Jnl[[#This Row],[Division]],config_div[Id], config_div[Name],,0)</f>
        <v>内控合规</v>
      </c>
      <c r="T61" t="str">
        <f>IF(Jnl[[#This Row],[TrxDate]]&lt;=stmt_BS_date_end, "In", "Out")</f>
        <v>In</v>
      </c>
      <c r="U61" t="str">
        <f>IF(Jnl[[#This Row],[TrxDate]]&lt;debug_date_start, "prior", IF(Jnl[[#This Row],[TrxDate]]&gt;debug_date_end, "post", "curr"))</f>
        <v>prior</v>
      </c>
    </row>
    <row r="62" spans="1:21">
      <c r="A62" s="11" t="s">
        <v>236</v>
      </c>
      <c r="B62" s="7">
        <f>_xlfn.XLOOKUP(Jnl[[#This Row],[TrxId]], Trx[Id], Trx[Date],,0)</f>
        <v>46022</v>
      </c>
      <c r="C62" s="7" t="str">
        <f>_xlfn.XLOOKUP(Jnl[[#This Row],[TrxId]], Trx[Id], Trx[Division],,0)</f>
        <v>Ctrl</v>
      </c>
      <c r="D62" s="7" t="str">
        <f>_xlfn.XLOOKUP(Jnl[[#This Row],[TrxId]], Trx[Id], Trx[Action],,0)</f>
        <v>结转</v>
      </c>
      <c r="E62" s="26" t="s">
        <v>81</v>
      </c>
      <c r="F62" s="11" t="s">
        <v>114</v>
      </c>
      <c r="G62" s="11" t="s">
        <v>136</v>
      </c>
      <c r="H62" s="72">
        <v>6891.7999999999993</v>
      </c>
      <c r="I62" s="5" t="b">
        <f>AND(Jnl[[#This Row],[TrxId]]&lt;&gt;"",Jnl[[#This Row],[Acct]]&lt;&gt;"",Jnl[[#This Row],[Item]]&lt;&gt;"",ISNUMBER(Jnl[[#This Row],[Bal]]))</f>
        <v>1</v>
      </c>
      <c r="J62" s="10">
        <f>IF(Jnl[[#This Row],[BSLv0]]="A",1,-1)*Jnl[[#This Row],[Bal]]</f>
        <v>-6891.7999999999993</v>
      </c>
      <c r="K62" t="str">
        <f>_xlfn.XLOOKUP(Jnl[[#This Row],[Acct]], config_BS[Acct], config_BS[Lv0],,0)</f>
        <v>LC</v>
      </c>
      <c r="L62" t="str">
        <f>_xlfn.XLOOKUP(Jnl[[#This Row],[Acct]], config_BS[Acct], config_BS[Lv1],,0)</f>
        <v>Liability</v>
      </c>
      <c r="M62" t="str">
        <f>_xlfn.XLOOKUP(Jnl[[#This Row],[Acct]], config_BS[Acct], config_BS[Lv2],,0)</f>
        <v>Rec-Pay</v>
      </c>
      <c r="N62" t="str">
        <f>_xlfn.XLOOKUP(Jnl[[#This Row],[TrxId]], Trx[Id], Trx[IncNode], ,0)</f>
        <v>Other</v>
      </c>
      <c r="O62" t="str">
        <f>_xlfn.XLOOKUP(Jnl[[#This Row],[IncNode]], config_IS[Node], config_IS[Type],,0)</f>
        <v>Non-Op</v>
      </c>
      <c r="P62" t="str">
        <f>_xlfn.XLOOKUP(Jnl[[#This Row],[BSLv2]], dict[Key], dict[Name],,0)</f>
        <v>1.应收-应付</v>
      </c>
      <c r="Q62" t="str">
        <f>_xlfn.XLOOKUP(Jnl[[#This Row],[Acct]], dict[Key], dict[Name],,0)</f>
        <v>应付-一般</v>
      </c>
      <c r="R62" t="str">
        <f>_xlfn.XLOOKUP(Jnl[[#This Row],[Vehicle]],config_vehicle[Id], config_vehicle[Name],,0)</f>
        <v>喜家文化</v>
      </c>
      <c r="S62" t="str">
        <f>_xlfn.XLOOKUP(Jnl[[#This Row],[Division]],config_div[Id], config_div[Name],,0)</f>
        <v>内控合规</v>
      </c>
      <c r="T62" t="str">
        <f>IF(Jnl[[#This Row],[TrxDate]]&lt;=stmt_BS_date_end, "In", "Out")</f>
        <v>In</v>
      </c>
      <c r="U62" t="str">
        <f>IF(Jnl[[#This Row],[TrxDate]]&lt;debug_date_start, "prior", IF(Jnl[[#This Row],[TrxDate]]&gt;debug_date_end, "post", "curr"))</f>
        <v>prior</v>
      </c>
    </row>
    <row r="63" spans="1:21">
      <c r="A63" s="11" t="s">
        <v>236</v>
      </c>
      <c r="B63" s="7">
        <f>_xlfn.XLOOKUP(Jnl[[#This Row],[TrxId]], Trx[Id], Trx[Date],,0)</f>
        <v>46022</v>
      </c>
      <c r="C63" s="7" t="str">
        <f>_xlfn.XLOOKUP(Jnl[[#This Row],[TrxId]], Trx[Id], Trx[Division],,0)</f>
        <v>Ctrl</v>
      </c>
      <c r="D63" s="7" t="str">
        <f>_xlfn.XLOOKUP(Jnl[[#This Row],[TrxId]], Trx[Id], Trx[Action],,0)</f>
        <v>结转</v>
      </c>
      <c r="E63" s="26" t="s">
        <v>81</v>
      </c>
      <c r="F63" s="11" t="s">
        <v>126</v>
      </c>
      <c r="G63" s="11" t="s">
        <v>307</v>
      </c>
      <c r="H63" s="72">
        <v>11047.53</v>
      </c>
      <c r="I63" s="5" t="b">
        <f>AND(Jnl[[#This Row],[TrxId]]&lt;&gt;"",Jnl[[#This Row],[Acct]]&lt;&gt;"",Jnl[[#This Row],[Item]]&lt;&gt;"",ISNUMBER(Jnl[[#This Row],[Bal]]))</f>
        <v>1</v>
      </c>
      <c r="J63" s="10">
        <f>IF(Jnl[[#This Row],[BSLv0]]="A",1,-1)*Jnl[[#This Row],[Bal]]</f>
        <v>-11047.53</v>
      </c>
      <c r="K63" t="str">
        <f>_xlfn.XLOOKUP(Jnl[[#This Row],[Acct]], config_BS[Acct], config_BS[Lv0],,0)</f>
        <v>LC</v>
      </c>
      <c r="L63" t="str">
        <f>_xlfn.XLOOKUP(Jnl[[#This Row],[Acct]], config_BS[Acct], config_BS[Lv1],,0)</f>
        <v>Liability</v>
      </c>
      <c r="M63" t="str">
        <f>_xlfn.XLOOKUP(Jnl[[#This Row],[Acct]], config_BS[Acct], config_BS[Lv2],,0)</f>
        <v>Rec-Pay</v>
      </c>
      <c r="N63" t="str">
        <f>_xlfn.XLOOKUP(Jnl[[#This Row],[TrxId]], Trx[Id], Trx[IncNode], ,0)</f>
        <v>Other</v>
      </c>
      <c r="O63" t="str">
        <f>_xlfn.XLOOKUP(Jnl[[#This Row],[IncNode]], config_IS[Node], config_IS[Type],,0)</f>
        <v>Non-Op</v>
      </c>
      <c r="P63" t="str">
        <f>_xlfn.XLOOKUP(Jnl[[#This Row],[BSLv2]], dict[Key], dict[Name],,0)</f>
        <v>1.应收-应付</v>
      </c>
      <c r="Q63" t="str">
        <f>_xlfn.XLOOKUP(Jnl[[#This Row],[Acct]], dict[Key], dict[Name],,0)</f>
        <v>应付-税款</v>
      </c>
      <c r="R63" t="str">
        <f>_xlfn.XLOOKUP(Jnl[[#This Row],[Vehicle]],config_vehicle[Id], config_vehicle[Name],,0)</f>
        <v>喜家文化</v>
      </c>
      <c r="S63" t="str">
        <f>_xlfn.XLOOKUP(Jnl[[#This Row],[Division]],config_div[Id], config_div[Name],,0)</f>
        <v>内控合规</v>
      </c>
      <c r="T63" t="str">
        <f>IF(Jnl[[#This Row],[TrxDate]]&lt;=stmt_BS_date_end, "In", "Out")</f>
        <v>In</v>
      </c>
      <c r="U63" t="str">
        <f>IF(Jnl[[#This Row],[TrxDate]]&lt;debug_date_start, "prior", IF(Jnl[[#This Row],[TrxDate]]&gt;debug_date_end, "post", "curr"))</f>
        <v>prior</v>
      </c>
    </row>
    <row r="64" spans="1:21">
      <c r="A64" s="11" t="s">
        <v>236</v>
      </c>
      <c r="B64" s="7">
        <f>_xlfn.XLOOKUP(Jnl[[#This Row],[TrxId]], Trx[Id], Trx[Date],,0)</f>
        <v>46022</v>
      </c>
      <c r="C64" s="7" t="str">
        <f>_xlfn.XLOOKUP(Jnl[[#This Row],[TrxId]], Trx[Id], Trx[Division],,0)</f>
        <v>Ctrl</v>
      </c>
      <c r="D64" s="7" t="str">
        <f>_xlfn.XLOOKUP(Jnl[[#This Row],[TrxId]], Trx[Id], Trx[Action],,0)</f>
        <v>结转</v>
      </c>
      <c r="E64" s="26" t="s">
        <v>81</v>
      </c>
      <c r="F64" s="11" t="s">
        <v>126</v>
      </c>
      <c r="G64" s="11" t="s">
        <v>616</v>
      </c>
      <c r="H64" s="72">
        <v>78.09</v>
      </c>
      <c r="I64" s="5" t="b">
        <f>AND(Jnl[[#This Row],[TrxId]]&lt;&gt;"",Jnl[[#This Row],[Acct]]&lt;&gt;"",Jnl[[#This Row],[Item]]&lt;&gt;"",ISNUMBER(Jnl[[#This Row],[Bal]]))</f>
        <v>1</v>
      </c>
      <c r="J64" s="10">
        <f>IF(Jnl[[#This Row],[BSLv0]]="A",1,-1)*Jnl[[#This Row],[Bal]]</f>
        <v>-78.09</v>
      </c>
      <c r="K64" t="str">
        <f>_xlfn.XLOOKUP(Jnl[[#This Row],[Acct]], config_BS[Acct], config_BS[Lv0],,0)</f>
        <v>LC</v>
      </c>
      <c r="L64" t="str">
        <f>_xlfn.XLOOKUP(Jnl[[#This Row],[Acct]], config_BS[Acct], config_BS[Lv1],,0)</f>
        <v>Liability</v>
      </c>
      <c r="M64" t="str">
        <f>_xlfn.XLOOKUP(Jnl[[#This Row],[Acct]], config_BS[Acct], config_BS[Lv2],,0)</f>
        <v>Rec-Pay</v>
      </c>
      <c r="N64" t="str">
        <f>_xlfn.XLOOKUP(Jnl[[#This Row],[TrxId]], Trx[Id], Trx[IncNode], ,0)</f>
        <v>Other</v>
      </c>
      <c r="O64" t="str">
        <f>_xlfn.XLOOKUP(Jnl[[#This Row],[IncNode]], config_IS[Node], config_IS[Type],,0)</f>
        <v>Non-Op</v>
      </c>
      <c r="P64" t="str">
        <f>_xlfn.XLOOKUP(Jnl[[#This Row],[BSLv2]], dict[Key], dict[Name],,0)</f>
        <v>1.应收-应付</v>
      </c>
      <c r="Q64" t="str">
        <f>_xlfn.XLOOKUP(Jnl[[#This Row],[Acct]], dict[Key], dict[Name],,0)</f>
        <v>应付-税款</v>
      </c>
      <c r="R64" t="str">
        <f>_xlfn.XLOOKUP(Jnl[[#This Row],[Vehicle]],config_vehicle[Id], config_vehicle[Name],,0)</f>
        <v>喜家文化</v>
      </c>
      <c r="S64" t="str">
        <f>_xlfn.XLOOKUP(Jnl[[#This Row],[Division]],config_div[Id], config_div[Name],,0)</f>
        <v>内控合规</v>
      </c>
      <c r="T64" t="str">
        <f>IF(Jnl[[#This Row],[TrxDate]]&lt;=stmt_BS_date_end, "In", "Out")</f>
        <v>In</v>
      </c>
      <c r="U64" t="str">
        <f>IF(Jnl[[#This Row],[TrxDate]]&lt;debug_date_start, "prior", IF(Jnl[[#This Row],[TrxDate]]&gt;debug_date_end, "post", "curr"))</f>
        <v>prior</v>
      </c>
    </row>
    <row r="65" spans="1:21">
      <c r="A65" s="11" t="s">
        <v>236</v>
      </c>
      <c r="B65" s="7">
        <f>_xlfn.XLOOKUP(Jnl[[#This Row],[TrxId]], Trx[Id], Trx[Date],,0)</f>
        <v>46022</v>
      </c>
      <c r="C65" s="7" t="str">
        <f>_xlfn.XLOOKUP(Jnl[[#This Row],[TrxId]], Trx[Id], Trx[Division],,0)</f>
        <v>Ctrl</v>
      </c>
      <c r="D65" s="7" t="str">
        <f>_xlfn.XLOOKUP(Jnl[[#This Row],[TrxId]], Trx[Id], Trx[Action],,0)</f>
        <v>结转</v>
      </c>
      <c r="E65" s="26" t="s">
        <v>81</v>
      </c>
      <c r="F65" s="11" t="s">
        <v>126</v>
      </c>
      <c r="G65" s="11" t="s">
        <v>348</v>
      </c>
      <c r="H65" s="72">
        <v>667.52</v>
      </c>
      <c r="I65" s="5" t="b">
        <f>AND(Jnl[[#This Row],[TrxId]]&lt;&gt;"",Jnl[[#This Row],[Acct]]&lt;&gt;"",Jnl[[#This Row],[Item]]&lt;&gt;"",ISNUMBER(Jnl[[#This Row],[Bal]]))</f>
        <v>1</v>
      </c>
      <c r="J65" s="10">
        <f>IF(Jnl[[#This Row],[BSLv0]]="A",1,-1)*Jnl[[#This Row],[Bal]]</f>
        <v>-667.52</v>
      </c>
      <c r="K65" t="str">
        <f>_xlfn.XLOOKUP(Jnl[[#This Row],[Acct]], config_BS[Acct], config_BS[Lv0],,0)</f>
        <v>LC</v>
      </c>
      <c r="L65" t="str">
        <f>_xlfn.XLOOKUP(Jnl[[#This Row],[Acct]], config_BS[Acct], config_BS[Lv1],,0)</f>
        <v>Liability</v>
      </c>
      <c r="M65" t="str">
        <f>_xlfn.XLOOKUP(Jnl[[#This Row],[Acct]], config_BS[Acct], config_BS[Lv2],,0)</f>
        <v>Rec-Pay</v>
      </c>
      <c r="N65" t="str">
        <f>_xlfn.XLOOKUP(Jnl[[#This Row],[TrxId]], Trx[Id], Trx[IncNode], ,0)</f>
        <v>Other</v>
      </c>
      <c r="O65" t="str">
        <f>_xlfn.XLOOKUP(Jnl[[#This Row],[IncNode]], config_IS[Node], config_IS[Type],,0)</f>
        <v>Non-Op</v>
      </c>
      <c r="P65" t="str">
        <f>_xlfn.XLOOKUP(Jnl[[#This Row],[BSLv2]], dict[Key], dict[Name],,0)</f>
        <v>1.应收-应付</v>
      </c>
      <c r="Q65" t="str">
        <f>_xlfn.XLOOKUP(Jnl[[#This Row],[Acct]], dict[Key], dict[Name],,0)</f>
        <v>应付-税款</v>
      </c>
      <c r="R65" t="str">
        <f>_xlfn.XLOOKUP(Jnl[[#This Row],[Vehicle]],config_vehicle[Id], config_vehicle[Name],,0)</f>
        <v>喜家文化</v>
      </c>
      <c r="S65" t="str">
        <f>_xlfn.XLOOKUP(Jnl[[#This Row],[Division]],config_div[Id], config_div[Name],,0)</f>
        <v>内控合规</v>
      </c>
      <c r="T65" t="str">
        <f>IF(Jnl[[#This Row],[TrxDate]]&lt;=stmt_BS_date_end, "In", "Out")</f>
        <v>In</v>
      </c>
      <c r="U65" t="str">
        <f>IF(Jnl[[#This Row],[TrxDate]]&lt;debug_date_start, "prior", IF(Jnl[[#This Row],[TrxDate]]&gt;debug_date_end, "post", "curr"))</f>
        <v>prior</v>
      </c>
    </row>
    <row r="66" spans="1:21">
      <c r="A66" s="11" t="s">
        <v>236</v>
      </c>
      <c r="B66" s="7">
        <f>_xlfn.XLOOKUP(Jnl[[#This Row],[TrxId]], Trx[Id], Trx[Date],,0)</f>
        <v>46022</v>
      </c>
      <c r="C66" s="7" t="str">
        <f>_xlfn.XLOOKUP(Jnl[[#This Row],[TrxId]], Trx[Id], Trx[Division],,0)</f>
        <v>Ctrl</v>
      </c>
      <c r="D66" s="7" t="str">
        <f>_xlfn.XLOOKUP(Jnl[[#This Row],[TrxId]], Trx[Id], Trx[Action],,0)</f>
        <v>结转</v>
      </c>
      <c r="E66" s="26" t="s">
        <v>81</v>
      </c>
      <c r="F66" s="11" t="s">
        <v>126</v>
      </c>
      <c r="G66" s="11" t="s">
        <v>349</v>
      </c>
      <c r="H66" s="72">
        <v>980.15</v>
      </c>
      <c r="I66" s="5" t="b">
        <f>AND(Jnl[[#This Row],[TrxId]]&lt;&gt;"",Jnl[[#This Row],[Acct]]&lt;&gt;"",Jnl[[#This Row],[Item]]&lt;&gt;"",ISNUMBER(Jnl[[#This Row],[Bal]]))</f>
        <v>1</v>
      </c>
      <c r="J66" s="10">
        <f>IF(Jnl[[#This Row],[BSLv0]]="A",1,-1)*Jnl[[#This Row],[Bal]]</f>
        <v>-980.15</v>
      </c>
      <c r="K66" t="str">
        <f>_xlfn.XLOOKUP(Jnl[[#This Row],[Acct]], config_BS[Acct], config_BS[Lv0],,0)</f>
        <v>LC</v>
      </c>
      <c r="L66" t="str">
        <f>_xlfn.XLOOKUP(Jnl[[#This Row],[Acct]], config_BS[Acct], config_BS[Lv1],,0)</f>
        <v>Liability</v>
      </c>
      <c r="M66" t="str">
        <f>_xlfn.XLOOKUP(Jnl[[#This Row],[Acct]], config_BS[Acct], config_BS[Lv2],,0)</f>
        <v>Rec-Pay</v>
      </c>
      <c r="N66" t="str">
        <f>_xlfn.XLOOKUP(Jnl[[#This Row],[TrxId]], Trx[Id], Trx[IncNode], ,0)</f>
        <v>Other</v>
      </c>
      <c r="O66" t="str">
        <f>_xlfn.XLOOKUP(Jnl[[#This Row],[IncNode]], config_IS[Node], config_IS[Type],,0)</f>
        <v>Non-Op</v>
      </c>
      <c r="P66" t="str">
        <f>_xlfn.XLOOKUP(Jnl[[#This Row],[BSLv2]], dict[Key], dict[Name],,0)</f>
        <v>1.应收-应付</v>
      </c>
      <c r="Q66" t="str">
        <f>_xlfn.XLOOKUP(Jnl[[#This Row],[Acct]], dict[Key], dict[Name],,0)</f>
        <v>应付-税款</v>
      </c>
      <c r="R66" t="str">
        <f>_xlfn.XLOOKUP(Jnl[[#This Row],[Vehicle]],config_vehicle[Id], config_vehicle[Name],,0)</f>
        <v>喜家文化</v>
      </c>
      <c r="S66" t="str">
        <f>_xlfn.XLOOKUP(Jnl[[#This Row],[Division]],config_div[Id], config_div[Name],,0)</f>
        <v>内控合规</v>
      </c>
      <c r="T66" t="str">
        <f>IF(Jnl[[#This Row],[TrxDate]]&lt;=stmt_BS_date_end, "In", "Out")</f>
        <v>In</v>
      </c>
      <c r="U66" t="str">
        <f>IF(Jnl[[#This Row],[TrxDate]]&lt;debug_date_start, "prior", IF(Jnl[[#This Row],[TrxDate]]&gt;debug_date_end, "post", "curr"))</f>
        <v>prior</v>
      </c>
    </row>
    <row r="67" spans="1:21">
      <c r="A67" s="11" t="s">
        <v>236</v>
      </c>
      <c r="B67" s="7">
        <f>_xlfn.XLOOKUP(Jnl[[#This Row],[TrxId]], Trx[Id], Trx[Date],,0)</f>
        <v>46022</v>
      </c>
      <c r="C67" s="7" t="str">
        <f>_xlfn.XLOOKUP(Jnl[[#This Row],[TrxId]], Trx[Id], Trx[Division],,0)</f>
        <v>Ctrl</v>
      </c>
      <c r="D67" s="7" t="str">
        <f>_xlfn.XLOOKUP(Jnl[[#This Row],[TrxId]], Trx[Id], Trx[Action],,0)</f>
        <v>结转</v>
      </c>
      <c r="E67" s="26" t="s">
        <v>81</v>
      </c>
      <c r="F67" s="11" t="s">
        <v>126</v>
      </c>
      <c r="G67" s="11" t="s">
        <v>347</v>
      </c>
      <c r="H67" s="72">
        <v>17957.240000000002</v>
      </c>
      <c r="I67" s="5" t="b">
        <f>AND(Jnl[[#This Row],[TrxId]]&lt;&gt;"",Jnl[[#This Row],[Acct]]&lt;&gt;"",Jnl[[#This Row],[Item]]&lt;&gt;"",ISNUMBER(Jnl[[#This Row],[Bal]]))</f>
        <v>1</v>
      </c>
      <c r="J67" s="10">
        <f>IF(Jnl[[#This Row],[BSLv0]]="A",1,-1)*Jnl[[#This Row],[Bal]]</f>
        <v>-17957.240000000002</v>
      </c>
      <c r="K67" t="str">
        <f>_xlfn.XLOOKUP(Jnl[[#This Row],[Acct]], config_BS[Acct], config_BS[Lv0],,0)</f>
        <v>LC</v>
      </c>
      <c r="L67" t="str">
        <f>_xlfn.XLOOKUP(Jnl[[#This Row],[Acct]], config_BS[Acct], config_BS[Lv1],,0)</f>
        <v>Liability</v>
      </c>
      <c r="M67" t="str">
        <f>_xlfn.XLOOKUP(Jnl[[#This Row],[Acct]], config_BS[Acct], config_BS[Lv2],,0)</f>
        <v>Rec-Pay</v>
      </c>
      <c r="N67" t="str">
        <f>_xlfn.XLOOKUP(Jnl[[#This Row],[TrxId]], Trx[Id], Trx[IncNode], ,0)</f>
        <v>Other</v>
      </c>
      <c r="O67" t="str">
        <f>_xlfn.XLOOKUP(Jnl[[#This Row],[IncNode]], config_IS[Node], config_IS[Type],,0)</f>
        <v>Non-Op</v>
      </c>
      <c r="P67" t="str">
        <f>_xlfn.XLOOKUP(Jnl[[#This Row],[BSLv2]], dict[Key], dict[Name],,0)</f>
        <v>1.应收-应付</v>
      </c>
      <c r="Q67" t="str">
        <f>_xlfn.XLOOKUP(Jnl[[#This Row],[Acct]], dict[Key], dict[Name],,0)</f>
        <v>应付-税款</v>
      </c>
      <c r="R67" t="str">
        <f>_xlfn.XLOOKUP(Jnl[[#This Row],[Vehicle]],config_vehicle[Id], config_vehicle[Name],,0)</f>
        <v>喜家文化</v>
      </c>
      <c r="S67" t="str">
        <f>_xlfn.XLOOKUP(Jnl[[#This Row],[Division]],config_div[Id], config_div[Name],,0)</f>
        <v>内控合规</v>
      </c>
      <c r="T67" t="str">
        <f>IF(Jnl[[#This Row],[TrxDate]]&lt;=stmt_BS_date_end, "In", "Out")</f>
        <v>In</v>
      </c>
      <c r="U67" t="str">
        <f>IF(Jnl[[#This Row],[TrxDate]]&lt;debug_date_start, "prior", IF(Jnl[[#This Row],[TrxDate]]&gt;debug_date_end, "post", "curr"))</f>
        <v>prior</v>
      </c>
    </row>
    <row r="68" spans="1:21">
      <c r="A68" s="11" t="s">
        <v>236</v>
      </c>
      <c r="B68" s="7">
        <f>_xlfn.XLOOKUP(Jnl[[#This Row],[TrxId]], Trx[Id], Trx[Date],,0)</f>
        <v>46022</v>
      </c>
      <c r="C68" s="7" t="str">
        <f>_xlfn.XLOOKUP(Jnl[[#This Row],[TrxId]], Trx[Id], Trx[Division],,0)</f>
        <v>Ctrl</v>
      </c>
      <c r="D68" s="7" t="str">
        <f>_xlfn.XLOOKUP(Jnl[[#This Row],[TrxId]], Trx[Id], Trx[Action],,0)</f>
        <v>结转</v>
      </c>
      <c r="E68" s="26" t="s">
        <v>81</v>
      </c>
      <c r="F68" s="11" t="s">
        <v>188</v>
      </c>
      <c r="G68" s="11" t="s">
        <v>149</v>
      </c>
      <c r="H68" s="72">
        <v>37380.69</v>
      </c>
      <c r="I68" s="5" t="b">
        <f>AND(Jnl[[#This Row],[TrxId]]&lt;&gt;"",Jnl[[#This Row],[Acct]]&lt;&gt;"",Jnl[[#This Row],[Item]]&lt;&gt;"",ISNUMBER(Jnl[[#This Row],[Bal]]))</f>
        <v>1</v>
      </c>
      <c r="J68" s="10">
        <f>IF(Jnl[[#This Row],[BSLv0]]="A",1,-1)*Jnl[[#This Row],[Bal]]</f>
        <v>-37380.69</v>
      </c>
      <c r="K68" t="str">
        <f>_xlfn.XLOOKUP(Jnl[[#This Row],[Acct]], config_BS[Acct], config_BS[Lv0],,0)</f>
        <v>LC</v>
      </c>
      <c r="L68" t="str">
        <f>_xlfn.XLOOKUP(Jnl[[#This Row],[Acct]], config_BS[Acct], config_BS[Lv1],,0)</f>
        <v>Liability</v>
      </c>
      <c r="M68" t="str">
        <f>_xlfn.XLOOKUP(Jnl[[#This Row],[Acct]], config_BS[Acct], config_BS[Lv2],,0)</f>
        <v>Rec-Pay</v>
      </c>
      <c r="N68" t="str">
        <f>_xlfn.XLOOKUP(Jnl[[#This Row],[TrxId]], Trx[Id], Trx[IncNode], ,0)</f>
        <v>Other</v>
      </c>
      <c r="O68" t="str">
        <f>_xlfn.XLOOKUP(Jnl[[#This Row],[IncNode]], config_IS[Node], config_IS[Type],,0)</f>
        <v>Non-Op</v>
      </c>
      <c r="P68" t="str">
        <f>_xlfn.XLOOKUP(Jnl[[#This Row],[BSLv2]], dict[Key], dict[Name],,0)</f>
        <v>1.应收-应付</v>
      </c>
      <c r="Q68" t="str">
        <f>_xlfn.XLOOKUP(Jnl[[#This Row],[Acct]], dict[Key], dict[Name],,0)</f>
        <v>应付-薪资</v>
      </c>
      <c r="R68" t="str">
        <f>_xlfn.XLOOKUP(Jnl[[#This Row],[Vehicle]],config_vehicle[Id], config_vehicle[Name],,0)</f>
        <v>喜家文化</v>
      </c>
      <c r="S68" t="str">
        <f>_xlfn.XLOOKUP(Jnl[[#This Row],[Division]],config_div[Id], config_div[Name],,0)</f>
        <v>内控合规</v>
      </c>
      <c r="T68" t="str">
        <f>IF(Jnl[[#This Row],[TrxDate]]&lt;=stmt_BS_date_end, "In", "Out")</f>
        <v>In</v>
      </c>
      <c r="U68" t="str">
        <f>IF(Jnl[[#This Row],[TrxDate]]&lt;debug_date_start, "prior", IF(Jnl[[#This Row],[TrxDate]]&gt;debug_date_end, "post", "curr"))</f>
        <v>prior</v>
      </c>
    </row>
    <row r="69" spans="1:21">
      <c r="A69" s="11" t="s">
        <v>236</v>
      </c>
      <c r="B69" s="7">
        <f>_xlfn.XLOOKUP(Jnl[[#This Row],[TrxId]], Trx[Id], Trx[Date],,0)</f>
        <v>46022</v>
      </c>
      <c r="C69" s="7" t="str">
        <f>_xlfn.XLOOKUP(Jnl[[#This Row],[TrxId]], Trx[Id], Trx[Division],,0)</f>
        <v>Ctrl</v>
      </c>
      <c r="D69" s="7" t="str">
        <f>_xlfn.XLOOKUP(Jnl[[#This Row],[TrxId]], Trx[Id], Trx[Action],,0)</f>
        <v>结转</v>
      </c>
      <c r="E69" s="26" t="s">
        <v>80</v>
      </c>
      <c r="F69" s="11" t="s">
        <v>126</v>
      </c>
      <c r="G69" s="11" t="s">
        <v>307</v>
      </c>
      <c r="H69" s="72">
        <v>379473.01</v>
      </c>
      <c r="I69" s="5" t="b">
        <f>AND(Jnl[[#This Row],[TrxId]]&lt;&gt;"",Jnl[[#This Row],[Acct]]&lt;&gt;"",Jnl[[#This Row],[Item]]&lt;&gt;"",ISNUMBER(Jnl[[#This Row],[Bal]]))</f>
        <v>1</v>
      </c>
      <c r="J69" s="10">
        <f>IF(Jnl[[#This Row],[BSLv0]]="A",1,-1)*Jnl[[#This Row],[Bal]]</f>
        <v>-379473.01</v>
      </c>
      <c r="K69" t="str">
        <f>_xlfn.XLOOKUP(Jnl[[#This Row],[Acct]], config_BS[Acct], config_BS[Lv0],,0)</f>
        <v>LC</v>
      </c>
      <c r="L69" t="str">
        <f>_xlfn.XLOOKUP(Jnl[[#This Row],[Acct]], config_BS[Acct], config_BS[Lv1],,0)</f>
        <v>Liability</v>
      </c>
      <c r="M69" t="str">
        <f>_xlfn.XLOOKUP(Jnl[[#This Row],[Acct]], config_BS[Acct], config_BS[Lv2],,0)</f>
        <v>Rec-Pay</v>
      </c>
      <c r="N69" t="str">
        <f>_xlfn.XLOOKUP(Jnl[[#This Row],[TrxId]], Trx[Id], Trx[IncNode], ,0)</f>
        <v>Other</v>
      </c>
      <c r="O69" t="str">
        <f>_xlfn.XLOOKUP(Jnl[[#This Row],[IncNode]], config_IS[Node], config_IS[Type],,0)</f>
        <v>Non-Op</v>
      </c>
      <c r="P69" t="str">
        <f>_xlfn.XLOOKUP(Jnl[[#This Row],[BSLv2]], dict[Key], dict[Name],,0)</f>
        <v>1.应收-应付</v>
      </c>
      <c r="Q69" t="str">
        <f>_xlfn.XLOOKUP(Jnl[[#This Row],[Acct]], dict[Key], dict[Name],,0)</f>
        <v>应付-税款</v>
      </c>
      <c r="R69" t="str">
        <f>_xlfn.XLOOKUP(Jnl[[#This Row],[Vehicle]],config_vehicle[Id], config_vehicle[Name],,0)</f>
        <v>远家花园</v>
      </c>
      <c r="S69" t="str">
        <f>_xlfn.XLOOKUP(Jnl[[#This Row],[Division]],config_div[Id], config_div[Name],,0)</f>
        <v>内控合规</v>
      </c>
      <c r="T69" t="str">
        <f>IF(Jnl[[#This Row],[TrxDate]]&lt;=stmt_BS_date_end, "In", "Out")</f>
        <v>In</v>
      </c>
      <c r="U69" t="str">
        <f>IF(Jnl[[#This Row],[TrxDate]]&lt;debug_date_start, "prior", IF(Jnl[[#This Row],[TrxDate]]&gt;debug_date_end, "post", "curr"))</f>
        <v>prior</v>
      </c>
    </row>
    <row r="70" spans="1:21">
      <c r="A70" s="11" t="s">
        <v>236</v>
      </c>
      <c r="B70" s="7">
        <f>_xlfn.XLOOKUP(Jnl[[#This Row],[TrxId]], Trx[Id], Trx[Date],,0)</f>
        <v>46022</v>
      </c>
      <c r="C70" s="7" t="str">
        <f>_xlfn.XLOOKUP(Jnl[[#This Row],[TrxId]], Trx[Id], Trx[Division],,0)</f>
        <v>Ctrl</v>
      </c>
      <c r="D70" s="7" t="str">
        <f>_xlfn.XLOOKUP(Jnl[[#This Row],[TrxId]], Trx[Id], Trx[Action],,0)</f>
        <v>结转</v>
      </c>
      <c r="E70" s="26" t="s">
        <v>80</v>
      </c>
      <c r="F70" s="11" t="s">
        <v>126</v>
      </c>
      <c r="G70" s="11" t="s">
        <v>348</v>
      </c>
      <c r="H70" s="72">
        <v>22987.3</v>
      </c>
      <c r="I70" s="5" t="b">
        <f>AND(Jnl[[#This Row],[TrxId]]&lt;&gt;"",Jnl[[#This Row],[Acct]]&lt;&gt;"",Jnl[[#This Row],[Item]]&lt;&gt;"",ISNUMBER(Jnl[[#This Row],[Bal]]))</f>
        <v>1</v>
      </c>
      <c r="J70" s="10">
        <f>IF(Jnl[[#This Row],[BSLv0]]="A",1,-1)*Jnl[[#This Row],[Bal]]</f>
        <v>-22987.3</v>
      </c>
      <c r="K70" t="str">
        <f>_xlfn.XLOOKUP(Jnl[[#This Row],[Acct]], config_BS[Acct], config_BS[Lv0],,0)</f>
        <v>LC</v>
      </c>
      <c r="L70" t="str">
        <f>_xlfn.XLOOKUP(Jnl[[#This Row],[Acct]], config_BS[Acct], config_BS[Lv1],,0)</f>
        <v>Liability</v>
      </c>
      <c r="M70" t="str">
        <f>_xlfn.XLOOKUP(Jnl[[#This Row],[Acct]], config_BS[Acct], config_BS[Lv2],,0)</f>
        <v>Rec-Pay</v>
      </c>
      <c r="N70" t="str">
        <f>_xlfn.XLOOKUP(Jnl[[#This Row],[TrxId]], Trx[Id], Trx[IncNode], ,0)</f>
        <v>Other</v>
      </c>
      <c r="O70" t="str">
        <f>_xlfn.XLOOKUP(Jnl[[#This Row],[IncNode]], config_IS[Node], config_IS[Type],,0)</f>
        <v>Non-Op</v>
      </c>
      <c r="P70" t="str">
        <f>_xlfn.XLOOKUP(Jnl[[#This Row],[BSLv2]], dict[Key], dict[Name],,0)</f>
        <v>1.应收-应付</v>
      </c>
      <c r="Q70" t="str">
        <f>_xlfn.XLOOKUP(Jnl[[#This Row],[Acct]], dict[Key], dict[Name],,0)</f>
        <v>应付-税款</v>
      </c>
      <c r="R70" t="str">
        <f>_xlfn.XLOOKUP(Jnl[[#This Row],[Vehicle]],config_vehicle[Id], config_vehicle[Name],,0)</f>
        <v>远家花园</v>
      </c>
      <c r="S70" t="str">
        <f>_xlfn.XLOOKUP(Jnl[[#This Row],[Division]],config_div[Id], config_div[Name],,0)</f>
        <v>内控合规</v>
      </c>
      <c r="T70" t="str">
        <f>IF(Jnl[[#This Row],[TrxDate]]&lt;=stmt_BS_date_end, "In", "Out")</f>
        <v>In</v>
      </c>
      <c r="U70" t="str">
        <f>IF(Jnl[[#This Row],[TrxDate]]&lt;debug_date_start, "prior", IF(Jnl[[#This Row],[TrxDate]]&gt;debug_date_end, "post", "curr"))</f>
        <v>prior</v>
      </c>
    </row>
    <row r="71" spans="1:21">
      <c r="A71" s="11" t="s">
        <v>236</v>
      </c>
      <c r="B71" s="7">
        <f>_xlfn.XLOOKUP(Jnl[[#This Row],[TrxId]], Trx[Id], Trx[Date],,0)</f>
        <v>46022</v>
      </c>
      <c r="C71" s="7" t="str">
        <f>_xlfn.XLOOKUP(Jnl[[#This Row],[TrxId]], Trx[Id], Trx[Division],,0)</f>
        <v>Ctrl</v>
      </c>
      <c r="D71" s="7" t="str">
        <f>_xlfn.XLOOKUP(Jnl[[#This Row],[TrxId]], Trx[Id], Trx[Action],,0)</f>
        <v>结转</v>
      </c>
      <c r="E71" s="26" t="s">
        <v>80</v>
      </c>
      <c r="F71" s="11" t="s">
        <v>126</v>
      </c>
      <c r="G71" s="11" t="s">
        <v>349</v>
      </c>
      <c r="H71" s="72">
        <v>583.9</v>
      </c>
      <c r="I71" s="5" t="b">
        <f>AND(Jnl[[#This Row],[TrxId]]&lt;&gt;"",Jnl[[#This Row],[Acct]]&lt;&gt;"",Jnl[[#This Row],[Item]]&lt;&gt;"",ISNUMBER(Jnl[[#This Row],[Bal]]))</f>
        <v>1</v>
      </c>
      <c r="J71" s="10">
        <f>IF(Jnl[[#This Row],[BSLv0]]="A",1,-1)*Jnl[[#This Row],[Bal]]</f>
        <v>-583.9</v>
      </c>
      <c r="K71" t="str">
        <f>_xlfn.XLOOKUP(Jnl[[#This Row],[Acct]], config_BS[Acct], config_BS[Lv0],,0)</f>
        <v>LC</v>
      </c>
      <c r="L71" t="str">
        <f>_xlfn.XLOOKUP(Jnl[[#This Row],[Acct]], config_BS[Acct], config_BS[Lv1],,0)</f>
        <v>Liability</v>
      </c>
      <c r="M71" t="str">
        <f>_xlfn.XLOOKUP(Jnl[[#This Row],[Acct]], config_BS[Acct], config_BS[Lv2],,0)</f>
        <v>Rec-Pay</v>
      </c>
      <c r="N71" t="str">
        <f>_xlfn.XLOOKUP(Jnl[[#This Row],[TrxId]], Trx[Id], Trx[IncNode], ,0)</f>
        <v>Other</v>
      </c>
      <c r="O71" t="str">
        <f>_xlfn.XLOOKUP(Jnl[[#This Row],[IncNode]], config_IS[Node], config_IS[Type],,0)</f>
        <v>Non-Op</v>
      </c>
      <c r="P71" t="str">
        <f>_xlfn.XLOOKUP(Jnl[[#This Row],[BSLv2]], dict[Key], dict[Name],,0)</f>
        <v>1.应收-应付</v>
      </c>
      <c r="Q71" t="str">
        <f>_xlfn.XLOOKUP(Jnl[[#This Row],[Acct]], dict[Key], dict[Name],,0)</f>
        <v>应付-税款</v>
      </c>
      <c r="R71" t="str">
        <f>_xlfn.XLOOKUP(Jnl[[#This Row],[Vehicle]],config_vehicle[Id], config_vehicle[Name],,0)</f>
        <v>远家花园</v>
      </c>
      <c r="S71" t="str">
        <f>_xlfn.XLOOKUP(Jnl[[#This Row],[Division]],config_div[Id], config_div[Name],,0)</f>
        <v>内控合规</v>
      </c>
      <c r="T71" t="str">
        <f>IF(Jnl[[#This Row],[TrxDate]]&lt;=stmt_BS_date_end, "In", "Out")</f>
        <v>In</v>
      </c>
      <c r="U71" t="str">
        <f>IF(Jnl[[#This Row],[TrxDate]]&lt;debug_date_start, "prior", IF(Jnl[[#This Row],[TrxDate]]&gt;debug_date_end, "post", "curr"))</f>
        <v>prior</v>
      </c>
    </row>
    <row r="72" spans="1:21">
      <c r="A72" s="11" t="s">
        <v>236</v>
      </c>
      <c r="B72" s="7">
        <f>_xlfn.XLOOKUP(Jnl[[#This Row],[TrxId]], Trx[Id], Trx[Date],,0)</f>
        <v>46022</v>
      </c>
      <c r="C72" s="7" t="str">
        <f>_xlfn.XLOOKUP(Jnl[[#This Row],[TrxId]], Trx[Id], Trx[Division],,0)</f>
        <v>Ctrl</v>
      </c>
      <c r="D72" s="7" t="str">
        <f>_xlfn.XLOOKUP(Jnl[[#This Row],[TrxId]], Trx[Id], Trx[Action],,0)</f>
        <v>结转</v>
      </c>
      <c r="E72" s="26" t="s">
        <v>80</v>
      </c>
      <c r="F72" s="11" t="s">
        <v>126</v>
      </c>
      <c r="G72" s="11" t="s">
        <v>616</v>
      </c>
      <c r="H72" s="72">
        <v>1049.06</v>
      </c>
      <c r="I72" s="5" t="b">
        <f>AND(Jnl[[#This Row],[TrxId]]&lt;&gt;"",Jnl[[#This Row],[Acct]]&lt;&gt;"",Jnl[[#This Row],[Item]]&lt;&gt;"",ISNUMBER(Jnl[[#This Row],[Bal]]))</f>
        <v>1</v>
      </c>
      <c r="J72" s="10">
        <f>IF(Jnl[[#This Row],[BSLv0]]="A",1,-1)*Jnl[[#This Row],[Bal]]</f>
        <v>-1049.06</v>
      </c>
      <c r="K72" t="str">
        <f>_xlfn.XLOOKUP(Jnl[[#This Row],[Acct]], config_BS[Acct], config_BS[Lv0],,0)</f>
        <v>LC</v>
      </c>
      <c r="L72" t="str">
        <f>_xlfn.XLOOKUP(Jnl[[#This Row],[Acct]], config_BS[Acct], config_BS[Lv1],,0)</f>
        <v>Liability</v>
      </c>
      <c r="M72" t="str">
        <f>_xlfn.XLOOKUP(Jnl[[#This Row],[Acct]], config_BS[Acct], config_BS[Lv2],,0)</f>
        <v>Rec-Pay</v>
      </c>
      <c r="N72" t="str">
        <f>_xlfn.XLOOKUP(Jnl[[#This Row],[TrxId]], Trx[Id], Trx[IncNode], ,0)</f>
        <v>Other</v>
      </c>
      <c r="O72" t="str">
        <f>_xlfn.XLOOKUP(Jnl[[#This Row],[IncNode]], config_IS[Node], config_IS[Type],,0)</f>
        <v>Non-Op</v>
      </c>
      <c r="P72" t="str">
        <f>_xlfn.XLOOKUP(Jnl[[#This Row],[BSLv2]], dict[Key], dict[Name],,0)</f>
        <v>1.应收-应付</v>
      </c>
      <c r="Q72" t="str">
        <f>_xlfn.XLOOKUP(Jnl[[#This Row],[Acct]], dict[Key], dict[Name],,0)</f>
        <v>应付-税款</v>
      </c>
      <c r="R72" t="str">
        <f>_xlfn.XLOOKUP(Jnl[[#This Row],[Vehicle]],config_vehicle[Id], config_vehicle[Name],,0)</f>
        <v>远家花园</v>
      </c>
      <c r="S72" t="str">
        <f>_xlfn.XLOOKUP(Jnl[[#This Row],[Division]],config_div[Id], config_div[Name],,0)</f>
        <v>内控合规</v>
      </c>
      <c r="T72" t="str">
        <f>IF(Jnl[[#This Row],[TrxDate]]&lt;=stmt_BS_date_end, "In", "Out")</f>
        <v>In</v>
      </c>
      <c r="U72" t="str">
        <f>IF(Jnl[[#This Row],[TrxDate]]&lt;debug_date_start, "prior", IF(Jnl[[#This Row],[TrxDate]]&gt;debug_date_end, "post", "curr"))</f>
        <v>prior</v>
      </c>
    </row>
    <row r="73" spans="1:21">
      <c r="A73" s="11" t="s">
        <v>236</v>
      </c>
      <c r="B73" s="7">
        <f>_xlfn.XLOOKUP(Jnl[[#This Row],[TrxId]], Trx[Id], Trx[Date],,0)</f>
        <v>46022</v>
      </c>
      <c r="C73" s="7" t="str">
        <f>_xlfn.XLOOKUP(Jnl[[#This Row],[TrxId]], Trx[Id], Trx[Division],,0)</f>
        <v>Ctrl</v>
      </c>
      <c r="D73" s="7" t="str">
        <f>_xlfn.XLOOKUP(Jnl[[#This Row],[TrxId]], Trx[Id], Trx[Action],,0)</f>
        <v>结转</v>
      </c>
      <c r="E73" s="26" t="s">
        <v>80</v>
      </c>
      <c r="F73" s="11" t="s">
        <v>126</v>
      </c>
      <c r="G73" s="11" t="s">
        <v>347</v>
      </c>
      <c r="H73" s="72">
        <v>37203.69</v>
      </c>
      <c r="I73" s="5" t="b">
        <f>AND(Jnl[[#This Row],[TrxId]]&lt;&gt;"",Jnl[[#This Row],[Acct]]&lt;&gt;"",Jnl[[#This Row],[Item]]&lt;&gt;"",ISNUMBER(Jnl[[#This Row],[Bal]]))</f>
        <v>1</v>
      </c>
      <c r="J73" s="10">
        <f>IF(Jnl[[#This Row],[BSLv0]]="A",1,-1)*Jnl[[#This Row],[Bal]]</f>
        <v>-37203.69</v>
      </c>
      <c r="K73" t="str">
        <f>_xlfn.XLOOKUP(Jnl[[#This Row],[Acct]], config_BS[Acct], config_BS[Lv0],,0)</f>
        <v>LC</v>
      </c>
      <c r="L73" t="str">
        <f>_xlfn.XLOOKUP(Jnl[[#This Row],[Acct]], config_BS[Acct], config_BS[Lv1],,0)</f>
        <v>Liability</v>
      </c>
      <c r="M73" t="str">
        <f>_xlfn.XLOOKUP(Jnl[[#This Row],[Acct]], config_BS[Acct], config_BS[Lv2],,0)</f>
        <v>Rec-Pay</v>
      </c>
      <c r="N73" t="str">
        <f>_xlfn.XLOOKUP(Jnl[[#This Row],[TrxId]], Trx[Id], Trx[IncNode], ,0)</f>
        <v>Other</v>
      </c>
      <c r="O73" t="str">
        <f>_xlfn.XLOOKUP(Jnl[[#This Row],[IncNode]], config_IS[Node], config_IS[Type],,0)</f>
        <v>Non-Op</v>
      </c>
      <c r="P73" t="str">
        <f>_xlfn.XLOOKUP(Jnl[[#This Row],[BSLv2]], dict[Key], dict[Name],,0)</f>
        <v>1.应收-应付</v>
      </c>
      <c r="Q73" t="str">
        <f>_xlfn.XLOOKUP(Jnl[[#This Row],[Acct]], dict[Key], dict[Name],,0)</f>
        <v>应付-税款</v>
      </c>
      <c r="R73" t="str">
        <f>_xlfn.XLOOKUP(Jnl[[#This Row],[Vehicle]],config_vehicle[Id], config_vehicle[Name],,0)</f>
        <v>远家花园</v>
      </c>
      <c r="S73" t="str">
        <f>_xlfn.XLOOKUP(Jnl[[#This Row],[Division]],config_div[Id], config_div[Name],,0)</f>
        <v>内控合规</v>
      </c>
      <c r="T73" t="str">
        <f>IF(Jnl[[#This Row],[TrxDate]]&lt;=stmt_BS_date_end, "In", "Out")</f>
        <v>In</v>
      </c>
      <c r="U73" t="str">
        <f>IF(Jnl[[#This Row],[TrxDate]]&lt;debug_date_start, "prior", IF(Jnl[[#This Row],[TrxDate]]&gt;debug_date_end, "post", "curr"))</f>
        <v>prior</v>
      </c>
    </row>
    <row r="74" spans="1:21">
      <c r="A74" s="11" t="s">
        <v>236</v>
      </c>
      <c r="B74" s="7">
        <f>_xlfn.XLOOKUP(Jnl[[#This Row],[TrxId]], Trx[Id], Trx[Date],,0)</f>
        <v>46022</v>
      </c>
      <c r="C74" s="7" t="str">
        <f>_xlfn.XLOOKUP(Jnl[[#This Row],[TrxId]], Trx[Id], Trx[Division],,0)</f>
        <v>Ctrl</v>
      </c>
      <c r="D74" s="7" t="str">
        <f>_xlfn.XLOOKUP(Jnl[[#This Row],[TrxId]], Trx[Id], Trx[Action],,0)</f>
        <v>结转</v>
      </c>
      <c r="E74" s="26" t="s">
        <v>80</v>
      </c>
      <c r="F74" s="11" t="s">
        <v>188</v>
      </c>
      <c r="G74" s="11" t="s">
        <v>149</v>
      </c>
      <c r="H74" s="72">
        <v>454010.9</v>
      </c>
      <c r="I74" s="5" t="b">
        <f>AND(Jnl[[#This Row],[TrxId]]&lt;&gt;"",Jnl[[#This Row],[Acct]]&lt;&gt;"",Jnl[[#This Row],[Item]]&lt;&gt;"",ISNUMBER(Jnl[[#This Row],[Bal]]))</f>
        <v>1</v>
      </c>
      <c r="J74" s="10">
        <f>IF(Jnl[[#This Row],[BSLv0]]="A",1,-1)*Jnl[[#This Row],[Bal]]</f>
        <v>-454010.9</v>
      </c>
      <c r="K74" t="str">
        <f>_xlfn.XLOOKUP(Jnl[[#This Row],[Acct]], config_BS[Acct], config_BS[Lv0],,0)</f>
        <v>LC</v>
      </c>
      <c r="L74" t="str">
        <f>_xlfn.XLOOKUP(Jnl[[#This Row],[Acct]], config_BS[Acct], config_BS[Lv1],,0)</f>
        <v>Liability</v>
      </c>
      <c r="M74" t="str">
        <f>_xlfn.XLOOKUP(Jnl[[#This Row],[Acct]], config_BS[Acct], config_BS[Lv2],,0)</f>
        <v>Rec-Pay</v>
      </c>
      <c r="N74" t="str">
        <f>_xlfn.XLOOKUP(Jnl[[#This Row],[TrxId]], Trx[Id], Trx[IncNode], ,0)</f>
        <v>Other</v>
      </c>
      <c r="O74" t="str">
        <f>_xlfn.XLOOKUP(Jnl[[#This Row],[IncNode]], config_IS[Node], config_IS[Type],,0)</f>
        <v>Non-Op</v>
      </c>
      <c r="P74" t="str">
        <f>_xlfn.XLOOKUP(Jnl[[#This Row],[BSLv2]], dict[Key], dict[Name],,0)</f>
        <v>1.应收-应付</v>
      </c>
      <c r="Q74" t="str">
        <f>_xlfn.XLOOKUP(Jnl[[#This Row],[Acct]], dict[Key], dict[Name],,0)</f>
        <v>应付-薪资</v>
      </c>
      <c r="R74" t="str">
        <f>_xlfn.XLOOKUP(Jnl[[#This Row],[Vehicle]],config_vehicle[Id], config_vehicle[Name],,0)</f>
        <v>远家花园</v>
      </c>
      <c r="S74" t="str">
        <f>_xlfn.XLOOKUP(Jnl[[#This Row],[Division]],config_div[Id], config_div[Name],,0)</f>
        <v>内控合规</v>
      </c>
      <c r="T74" t="str">
        <f>IF(Jnl[[#This Row],[TrxDate]]&lt;=stmt_BS_date_end, "In", "Out")</f>
        <v>In</v>
      </c>
      <c r="U74" t="str">
        <f>IF(Jnl[[#This Row],[TrxDate]]&lt;debug_date_start, "prior", IF(Jnl[[#This Row],[TrxDate]]&gt;debug_date_end, "post", "curr"))</f>
        <v>prior</v>
      </c>
    </row>
    <row r="75" spans="1:21">
      <c r="A75" s="11" t="s">
        <v>236</v>
      </c>
      <c r="B75" s="7">
        <f>_xlfn.XLOOKUP(Jnl[[#This Row],[TrxId]], Trx[Id], Trx[Date],,0)</f>
        <v>46022</v>
      </c>
      <c r="C75" s="7" t="str">
        <f>_xlfn.XLOOKUP(Jnl[[#This Row],[TrxId]], Trx[Id], Trx[Division],,0)</f>
        <v>Ctrl</v>
      </c>
      <c r="D75" s="7" t="str">
        <f>_xlfn.XLOOKUP(Jnl[[#This Row],[TrxId]], Trx[Id], Trx[Action],,0)</f>
        <v>结转</v>
      </c>
      <c r="E75" s="26" t="s">
        <v>106</v>
      </c>
      <c r="F75" s="11" t="s">
        <v>126</v>
      </c>
      <c r="G75" s="11" t="s">
        <v>307</v>
      </c>
      <c r="H75" s="72">
        <v>5178.93</v>
      </c>
      <c r="I75" s="5" t="b">
        <f>AND(Jnl[[#This Row],[TrxId]]&lt;&gt;"",Jnl[[#This Row],[Acct]]&lt;&gt;"",Jnl[[#This Row],[Item]]&lt;&gt;"",ISNUMBER(Jnl[[#This Row],[Bal]]))</f>
        <v>1</v>
      </c>
      <c r="J75" s="10">
        <f>IF(Jnl[[#This Row],[BSLv0]]="A",1,-1)*Jnl[[#This Row],[Bal]]</f>
        <v>-5178.93</v>
      </c>
      <c r="K75" t="str">
        <f>_xlfn.XLOOKUP(Jnl[[#This Row],[Acct]], config_BS[Acct], config_BS[Lv0],,0)</f>
        <v>LC</v>
      </c>
      <c r="L75" t="str">
        <f>_xlfn.XLOOKUP(Jnl[[#This Row],[Acct]], config_BS[Acct], config_BS[Lv1],,0)</f>
        <v>Liability</v>
      </c>
      <c r="M75" t="str">
        <f>_xlfn.XLOOKUP(Jnl[[#This Row],[Acct]], config_BS[Acct], config_BS[Lv2],,0)</f>
        <v>Rec-Pay</v>
      </c>
      <c r="N75" t="str">
        <f>_xlfn.XLOOKUP(Jnl[[#This Row],[TrxId]], Trx[Id], Trx[IncNode], ,0)</f>
        <v>Other</v>
      </c>
      <c r="O75" t="str">
        <f>_xlfn.XLOOKUP(Jnl[[#This Row],[IncNode]], config_IS[Node], config_IS[Type],,0)</f>
        <v>Non-Op</v>
      </c>
      <c r="P75" t="str">
        <f>_xlfn.XLOOKUP(Jnl[[#This Row],[BSLv2]], dict[Key], dict[Name],,0)</f>
        <v>1.应收-应付</v>
      </c>
      <c r="Q75" t="str">
        <f>_xlfn.XLOOKUP(Jnl[[#This Row],[Acct]], dict[Key], dict[Name],,0)</f>
        <v>应付-税款</v>
      </c>
      <c r="R75" t="str">
        <f>_xlfn.XLOOKUP(Jnl[[#This Row],[Vehicle]],config_vehicle[Id], config_vehicle[Name],,0)</f>
        <v>远家花园高新分公司</v>
      </c>
      <c r="S75" t="str">
        <f>_xlfn.XLOOKUP(Jnl[[#This Row],[Division]],config_div[Id], config_div[Name],,0)</f>
        <v>内控合规</v>
      </c>
      <c r="T75" t="str">
        <f>IF(Jnl[[#This Row],[TrxDate]]&lt;=stmt_BS_date_end, "In", "Out")</f>
        <v>In</v>
      </c>
      <c r="U75" t="str">
        <f>IF(Jnl[[#This Row],[TrxDate]]&lt;debug_date_start, "prior", IF(Jnl[[#This Row],[TrxDate]]&gt;debug_date_end, "post", "curr"))</f>
        <v>prior</v>
      </c>
    </row>
    <row r="76" spans="1:21">
      <c r="A76" s="11" t="s">
        <v>236</v>
      </c>
      <c r="B76" s="7">
        <f>_xlfn.XLOOKUP(Jnl[[#This Row],[TrxId]], Trx[Id], Trx[Date],,0)</f>
        <v>46022</v>
      </c>
      <c r="C76" s="7" t="str">
        <f>_xlfn.XLOOKUP(Jnl[[#This Row],[TrxId]], Trx[Id], Trx[Division],,0)</f>
        <v>Ctrl</v>
      </c>
      <c r="D76" s="7" t="str">
        <f>_xlfn.XLOOKUP(Jnl[[#This Row],[TrxId]], Trx[Id], Trx[Action],,0)</f>
        <v>结转</v>
      </c>
      <c r="E76" s="26" t="s">
        <v>106</v>
      </c>
      <c r="F76" s="11" t="s">
        <v>126</v>
      </c>
      <c r="G76" s="11" t="s">
        <v>348</v>
      </c>
      <c r="H76" s="72">
        <v>310.73</v>
      </c>
      <c r="I76" s="5" t="b">
        <f>AND(Jnl[[#This Row],[TrxId]]&lt;&gt;"",Jnl[[#This Row],[Acct]]&lt;&gt;"",Jnl[[#This Row],[Item]]&lt;&gt;"",ISNUMBER(Jnl[[#This Row],[Bal]]))</f>
        <v>1</v>
      </c>
      <c r="J76" s="10">
        <f>IF(Jnl[[#This Row],[BSLv0]]="A",1,-1)*Jnl[[#This Row],[Bal]]</f>
        <v>-310.73</v>
      </c>
      <c r="K76" t="str">
        <f>_xlfn.XLOOKUP(Jnl[[#This Row],[Acct]], config_BS[Acct], config_BS[Lv0],,0)</f>
        <v>LC</v>
      </c>
      <c r="L76" t="str">
        <f>_xlfn.XLOOKUP(Jnl[[#This Row],[Acct]], config_BS[Acct], config_BS[Lv1],,0)</f>
        <v>Liability</v>
      </c>
      <c r="M76" t="str">
        <f>_xlfn.XLOOKUP(Jnl[[#This Row],[Acct]], config_BS[Acct], config_BS[Lv2],,0)</f>
        <v>Rec-Pay</v>
      </c>
      <c r="N76" t="str">
        <f>_xlfn.XLOOKUP(Jnl[[#This Row],[TrxId]], Trx[Id], Trx[IncNode], ,0)</f>
        <v>Other</v>
      </c>
      <c r="O76" t="str">
        <f>_xlfn.XLOOKUP(Jnl[[#This Row],[IncNode]], config_IS[Node], config_IS[Type],,0)</f>
        <v>Non-Op</v>
      </c>
      <c r="P76" t="str">
        <f>_xlfn.XLOOKUP(Jnl[[#This Row],[BSLv2]], dict[Key], dict[Name],,0)</f>
        <v>1.应收-应付</v>
      </c>
      <c r="Q76" t="str">
        <f>_xlfn.XLOOKUP(Jnl[[#This Row],[Acct]], dict[Key], dict[Name],,0)</f>
        <v>应付-税款</v>
      </c>
      <c r="R76" t="str">
        <f>_xlfn.XLOOKUP(Jnl[[#This Row],[Vehicle]],config_vehicle[Id], config_vehicle[Name],,0)</f>
        <v>远家花园高新分公司</v>
      </c>
      <c r="S76" t="str">
        <f>_xlfn.XLOOKUP(Jnl[[#This Row],[Division]],config_div[Id], config_div[Name],,0)</f>
        <v>内控合规</v>
      </c>
      <c r="T76" t="str">
        <f>IF(Jnl[[#This Row],[TrxDate]]&lt;=stmt_BS_date_end, "In", "Out")</f>
        <v>In</v>
      </c>
      <c r="U76" t="str">
        <f>IF(Jnl[[#This Row],[TrxDate]]&lt;debug_date_start, "prior", IF(Jnl[[#This Row],[TrxDate]]&gt;debug_date_end, "post", "curr"))</f>
        <v>prior</v>
      </c>
    </row>
    <row r="77" spans="1:21">
      <c r="A77" s="11" t="s">
        <v>665</v>
      </c>
      <c r="B77" s="7">
        <f>_xlfn.XLOOKUP(Jnl[[#This Row],[TrxId]], Trx[Id], Trx[Date],,0)</f>
        <v>46022</v>
      </c>
      <c r="C77" s="7" t="str">
        <f>_xlfn.XLOOKUP(Jnl[[#This Row],[TrxId]], Trx[Id], Trx[Division],,0)</f>
        <v>Ctrl</v>
      </c>
      <c r="D77" s="7" t="str">
        <f>_xlfn.XLOOKUP(Jnl[[#This Row],[TrxId]], Trx[Id], Trx[Action],,0)</f>
        <v>结转</v>
      </c>
      <c r="E77" s="26" t="s">
        <v>106</v>
      </c>
      <c r="F77" s="11" t="s">
        <v>188</v>
      </c>
      <c r="G77" s="11" t="s">
        <v>149</v>
      </c>
      <c r="H77" s="72">
        <v>34956.620000000003</v>
      </c>
      <c r="I77" s="5" t="b">
        <f>AND(Jnl[[#This Row],[TrxId]]&lt;&gt;"",Jnl[[#This Row],[Acct]]&lt;&gt;"",Jnl[[#This Row],[Item]]&lt;&gt;"",ISNUMBER(Jnl[[#This Row],[Bal]]))</f>
        <v>1</v>
      </c>
      <c r="J77" s="10">
        <f>IF(Jnl[[#This Row],[BSLv0]]="A",1,-1)*Jnl[[#This Row],[Bal]]</f>
        <v>-34956.620000000003</v>
      </c>
      <c r="K77" t="str">
        <f>_xlfn.XLOOKUP(Jnl[[#This Row],[Acct]], config_BS[Acct], config_BS[Lv0],,0)</f>
        <v>LC</v>
      </c>
      <c r="L77" t="str">
        <f>_xlfn.XLOOKUP(Jnl[[#This Row],[Acct]], config_BS[Acct], config_BS[Lv1],,0)</f>
        <v>Liability</v>
      </c>
      <c r="M77" t="str">
        <f>_xlfn.XLOOKUP(Jnl[[#This Row],[Acct]], config_BS[Acct], config_BS[Lv2],,0)</f>
        <v>Rec-Pay</v>
      </c>
      <c r="N77" t="str">
        <f>_xlfn.XLOOKUP(Jnl[[#This Row],[TrxId]], Trx[Id], Trx[IncNode], ,0)</f>
        <v>Other</v>
      </c>
      <c r="O77" t="str">
        <f>_xlfn.XLOOKUP(Jnl[[#This Row],[IncNode]], config_IS[Node], config_IS[Type],,0)</f>
        <v>Non-Op</v>
      </c>
      <c r="P77" t="str">
        <f>_xlfn.XLOOKUP(Jnl[[#This Row],[BSLv2]], dict[Key], dict[Name],,0)</f>
        <v>1.应收-应付</v>
      </c>
      <c r="Q77" t="str">
        <f>_xlfn.XLOOKUP(Jnl[[#This Row],[Acct]], dict[Key], dict[Name],,0)</f>
        <v>应付-薪资</v>
      </c>
      <c r="R77" t="str">
        <f>_xlfn.XLOOKUP(Jnl[[#This Row],[Vehicle]],config_vehicle[Id], config_vehicle[Name],,0)</f>
        <v>远家花园高新分公司</v>
      </c>
      <c r="S77" t="str">
        <f>_xlfn.XLOOKUP(Jnl[[#This Row],[Division]],config_div[Id], config_div[Name],,0)</f>
        <v>内控合规</v>
      </c>
      <c r="T77" t="str">
        <f>IF(Jnl[[#This Row],[TrxDate]]&lt;=stmt_BS_date_end, "In", "Out")</f>
        <v>In</v>
      </c>
      <c r="U77" t="str">
        <f>IF(Jnl[[#This Row],[TrxDate]]&lt;debug_date_start, "prior", IF(Jnl[[#This Row],[TrxDate]]&gt;debug_date_end, "post", "curr"))</f>
        <v>prior</v>
      </c>
    </row>
    <row r="78" spans="1:21">
      <c r="A78" s="11" t="s">
        <v>236</v>
      </c>
      <c r="B78" s="7">
        <f>_xlfn.XLOOKUP(Jnl[[#This Row],[TrxId]], Trx[Id], Trx[Date],,0)</f>
        <v>46022</v>
      </c>
      <c r="C78" s="7" t="str">
        <f>_xlfn.XLOOKUP(Jnl[[#This Row],[TrxId]], Trx[Id], Trx[Division],,0)</f>
        <v>Ctrl</v>
      </c>
      <c r="D78" s="7" t="str">
        <f>_xlfn.XLOOKUP(Jnl[[#This Row],[TrxId]], Trx[Id], Trx[Action],,0)</f>
        <v>结转</v>
      </c>
      <c r="E78" s="26" t="s">
        <v>106</v>
      </c>
      <c r="F78" s="11" t="s">
        <v>130</v>
      </c>
      <c r="G78" s="11" t="s">
        <v>194</v>
      </c>
      <c r="H78" s="72">
        <v>2200</v>
      </c>
      <c r="I78" s="5" t="b">
        <f>AND(Jnl[[#This Row],[TrxId]]&lt;&gt;"",Jnl[[#This Row],[Acct]]&lt;&gt;"",Jnl[[#This Row],[Item]]&lt;&gt;"",ISNUMBER(Jnl[[#This Row],[Bal]]))</f>
        <v>1</v>
      </c>
      <c r="J78" s="10">
        <f>IF(Jnl[[#This Row],[BSLv0]]="A",1,-1)*Jnl[[#This Row],[Bal]]</f>
        <v>-2200</v>
      </c>
      <c r="K78" t="str">
        <f>_xlfn.XLOOKUP(Jnl[[#This Row],[Acct]], config_BS[Acct], config_BS[Lv0],,0)</f>
        <v>LC</v>
      </c>
      <c r="L78" t="str">
        <f>_xlfn.XLOOKUP(Jnl[[#This Row],[Acct]], config_BS[Acct], config_BS[Lv1],,0)</f>
        <v>Liability</v>
      </c>
      <c r="M78" t="str">
        <f>_xlfn.XLOOKUP(Jnl[[#This Row],[Acct]], config_BS[Acct], config_BS[Lv2],,0)</f>
        <v>Rec-Pay</v>
      </c>
      <c r="N78" t="str">
        <f>_xlfn.XLOOKUP(Jnl[[#This Row],[TrxId]], Trx[Id], Trx[IncNode], ,0)</f>
        <v>Other</v>
      </c>
      <c r="O78" t="str">
        <f>_xlfn.XLOOKUP(Jnl[[#This Row],[IncNode]], config_IS[Node], config_IS[Type],,0)</f>
        <v>Non-Op</v>
      </c>
      <c r="P78" t="str">
        <f>_xlfn.XLOOKUP(Jnl[[#This Row],[BSLv2]], dict[Key], dict[Name],,0)</f>
        <v>1.应收-应付</v>
      </c>
      <c r="Q78" t="str">
        <f>_xlfn.XLOOKUP(Jnl[[#This Row],[Acct]], dict[Key], dict[Name],,0)</f>
        <v>应付-其他</v>
      </c>
      <c r="R78" t="str">
        <f>_xlfn.XLOOKUP(Jnl[[#This Row],[Vehicle]],config_vehicle[Id], config_vehicle[Name],,0)</f>
        <v>远家花园高新分公司</v>
      </c>
      <c r="S78" t="str">
        <f>_xlfn.XLOOKUP(Jnl[[#This Row],[Division]],config_div[Id], config_div[Name],,0)</f>
        <v>内控合规</v>
      </c>
      <c r="T78" t="str">
        <f>IF(Jnl[[#This Row],[TrxDate]]&lt;=stmt_BS_date_end, "In", "Out")</f>
        <v>In</v>
      </c>
      <c r="U78" t="str">
        <f>IF(Jnl[[#This Row],[TrxDate]]&lt;debug_date_start, "prior", IF(Jnl[[#This Row],[TrxDate]]&gt;debug_date_end, "post", "curr"))</f>
        <v>prior</v>
      </c>
    </row>
    <row r="79" spans="1:21">
      <c r="A79" s="11" t="s">
        <v>236</v>
      </c>
      <c r="B79" s="7">
        <f>_xlfn.XLOOKUP(Jnl[[#This Row],[TrxId]], Trx[Id], Trx[Date],,0)</f>
        <v>46022</v>
      </c>
      <c r="C79" s="7" t="str">
        <f>_xlfn.XLOOKUP(Jnl[[#This Row],[TrxId]], Trx[Id], Trx[Division],,0)</f>
        <v>Ctrl</v>
      </c>
      <c r="D79" s="7" t="str">
        <f>_xlfn.XLOOKUP(Jnl[[#This Row],[TrxId]], Trx[Id], Trx[Action],,0)</f>
        <v>结转</v>
      </c>
      <c r="E79" s="26" t="s">
        <v>111</v>
      </c>
      <c r="F79" s="11" t="s">
        <v>126</v>
      </c>
      <c r="G79" s="11" t="s">
        <v>307</v>
      </c>
      <c r="H79" s="72">
        <v>4117.58</v>
      </c>
      <c r="I79" s="5" t="b">
        <f>AND(Jnl[[#This Row],[TrxId]]&lt;&gt;"",Jnl[[#This Row],[Acct]]&lt;&gt;"",Jnl[[#This Row],[Item]]&lt;&gt;"",ISNUMBER(Jnl[[#This Row],[Bal]]))</f>
        <v>1</v>
      </c>
      <c r="J79" s="10">
        <f>IF(Jnl[[#This Row],[BSLv0]]="A",1,-1)*Jnl[[#This Row],[Bal]]</f>
        <v>-4117.58</v>
      </c>
      <c r="K79" t="str">
        <f>_xlfn.XLOOKUP(Jnl[[#This Row],[Acct]], config_BS[Acct], config_BS[Lv0],,0)</f>
        <v>LC</v>
      </c>
      <c r="L79" t="str">
        <f>_xlfn.XLOOKUP(Jnl[[#This Row],[Acct]], config_BS[Acct], config_BS[Lv1],,0)</f>
        <v>Liability</v>
      </c>
      <c r="M79" t="str">
        <f>_xlfn.XLOOKUP(Jnl[[#This Row],[Acct]], config_BS[Acct], config_BS[Lv2],,0)</f>
        <v>Rec-Pay</v>
      </c>
      <c r="N79" t="str">
        <f>_xlfn.XLOOKUP(Jnl[[#This Row],[TrxId]], Trx[Id], Trx[IncNode], ,0)</f>
        <v>Other</v>
      </c>
      <c r="O79" t="str">
        <f>_xlfn.XLOOKUP(Jnl[[#This Row],[IncNode]], config_IS[Node], config_IS[Type],,0)</f>
        <v>Non-Op</v>
      </c>
      <c r="P79" t="str">
        <f>_xlfn.XLOOKUP(Jnl[[#This Row],[BSLv2]], dict[Key], dict[Name],,0)</f>
        <v>1.应收-应付</v>
      </c>
      <c r="Q79" t="str">
        <f>_xlfn.XLOOKUP(Jnl[[#This Row],[Acct]], dict[Key], dict[Name],,0)</f>
        <v>应付-税款</v>
      </c>
      <c r="R79" t="str">
        <f>_xlfn.XLOOKUP(Jnl[[#This Row],[Vehicle]],config_vehicle[Id], config_vehicle[Name],,0)</f>
        <v>染匠文化</v>
      </c>
      <c r="S79" t="str">
        <f>_xlfn.XLOOKUP(Jnl[[#This Row],[Division]],config_div[Id], config_div[Name],,0)</f>
        <v>内控合规</v>
      </c>
      <c r="T79" t="str">
        <f>IF(Jnl[[#This Row],[TrxDate]]&lt;=stmt_BS_date_end, "In", "Out")</f>
        <v>In</v>
      </c>
      <c r="U79" t="str">
        <f>IF(Jnl[[#This Row],[TrxDate]]&lt;debug_date_start, "prior", IF(Jnl[[#This Row],[TrxDate]]&gt;debug_date_end, "post", "curr"))</f>
        <v>prior</v>
      </c>
    </row>
    <row r="80" spans="1:21">
      <c r="A80" s="11" t="s">
        <v>236</v>
      </c>
      <c r="B80" s="7">
        <f>_xlfn.XLOOKUP(Jnl[[#This Row],[TrxId]], Trx[Id], Trx[Date],,0)</f>
        <v>46022</v>
      </c>
      <c r="C80" s="7" t="str">
        <f>_xlfn.XLOOKUP(Jnl[[#This Row],[TrxId]], Trx[Id], Trx[Division],,0)</f>
        <v>Ctrl</v>
      </c>
      <c r="D80" s="7" t="str">
        <f>_xlfn.XLOOKUP(Jnl[[#This Row],[TrxId]], Trx[Id], Trx[Action],,0)</f>
        <v>结转</v>
      </c>
      <c r="E80" s="26" t="s">
        <v>111</v>
      </c>
      <c r="F80" s="11" t="s">
        <v>126</v>
      </c>
      <c r="G80" s="11" t="s">
        <v>348</v>
      </c>
      <c r="H80" s="72">
        <v>205.87</v>
      </c>
      <c r="I80" s="5" t="b">
        <f>AND(Jnl[[#This Row],[TrxId]]&lt;&gt;"",Jnl[[#This Row],[Acct]]&lt;&gt;"",Jnl[[#This Row],[Item]]&lt;&gt;"",ISNUMBER(Jnl[[#This Row],[Bal]]))</f>
        <v>1</v>
      </c>
      <c r="J80" s="10">
        <f>IF(Jnl[[#This Row],[BSLv0]]="A",1,-1)*Jnl[[#This Row],[Bal]]</f>
        <v>-205.87</v>
      </c>
      <c r="K80" t="str">
        <f>_xlfn.XLOOKUP(Jnl[[#This Row],[Acct]], config_BS[Acct], config_BS[Lv0],,0)</f>
        <v>LC</v>
      </c>
      <c r="L80" t="str">
        <f>_xlfn.XLOOKUP(Jnl[[#This Row],[Acct]], config_BS[Acct], config_BS[Lv1],,0)</f>
        <v>Liability</v>
      </c>
      <c r="M80" t="str">
        <f>_xlfn.XLOOKUP(Jnl[[#This Row],[Acct]], config_BS[Acct], config_BS[Lv2],,0)</f>
        <v>Rec-Pay</v>
      </c>
      <c r="N80" t="str">
        <f>_xlfn.XLOOKUP(Jnl[[#This Row],[TrxId]], Trx[Id], Trx[IncNode], ,0)</f>
        <v>Other</v>
      </c>
      <c r="O80" t="str">
        <f>_xlfn.XLOOKUP(Jnl[[#This Row],[IncNode]], config_IS[Node], config_IS[Type],,0)</f>
        <v>Non-Op</v>
      </c>
      <c r="P80" t="str">
        <f>_xlfn.XLOOKUP(Jnl[[#This Row],[BSLv2]], dict[Key], dict[Name],,0)</f>
        <v>1.应收-应付</v>
      </c>
      <c r="Q80" t="str">
        <f>_xlfn.XLOOKUP(Jnl[[#This Row],[Acct]], dict[Key], dict[Name],,0)</f>
        <v>应付-税款</v>
      </c>
      <c r="R80" t="str">
        <f>_xlfn.XLOOKUP(Jnl[[#This Row],[Vehicle]],config_vehicle[Id], config_vehicle[Name],,0)</f>
        <v>染匠文化</v>
      </c>
      <c r="S80" t="str">
        <f>_xlfn.XLOOKUP(Jnl[[#This Row],[Division]],config_div[Id], config_div[Name],,0)</f>
        <v>内控合规</v>
      </c>
      <c r="T80" t="str">
        <f>IF(Jnl[[#This Row],[TrxDate]]&lt;=stmt_BS_date_end, "In", "Out")</f>
        <v>In</v>
      </c>
      <c r="U80" t="str">
        <f>IF(Jnl[[#This Row],[TrxDate]]&lt;debug_date_start, "prior", IF(Jnl[[#This Row],[TrxDate]]&gt;debug_date_end, "post", "curr"))</f>
        <v>prior</v>
      </c>
    </row>
    <row r="81" spans="1:21">
      <c r="A81" s="11" t="s">
        <v>236</v>
      </c>
      <c r="B81" s="7">
        <f>_xlfn.XLOOKUP(Jnl[[#This Row],[TrxId]], Trx[Id], Trx[Date],,0)</f>
        <v>46022</v>
      </c>
      <c r="C81" s="7" t="str">
        <f>_xlfn.XLOOKUP(Jnl[[#This Row],[TrxId]], Trx[Id], Trx[Division],,0)</f>
        <v>Ctrl</v>
      </c>
      <c r="D81" s="7" t="str">
        <f>_xlfn.XLOOKUP(Jnl[[#This Row],[TrxId]], Trx[Id], Trx[Action],,0)</f>
        <v>结转</v>
      </c>
      <c r="E81" s="26" t="s">
        <v>111</v>
      </c>
      <c r="F81" s="11" t="s">
        <v>126</v>
      </c>
      <c r="G81" s="11" t="s">
        <v>349</v>
      </c>
      <c r="H81" s="72">
        <v>2.96</v>
      </c>
      <c r="I81" s="5" t="b">
        <f>AND(Jnl[[#This Row],[TrxId]]&lt;&gt;"",Jnl[[#This Row],[Acct]]&lt;&gt;"",Jnl[[#This Row],[Item]]&lt;&gt;"",ISNUMBER(Jnl[[#This Row],[Bal]]))</f>
        <v>1</v>
      </c>
      <c r="J81" s="10">
        <f>IF(Jnl[[#This Row],[BSLv0]]="A",1,-1)*Jnl[[#This Row],[Bal]]</f>
        <v>-2.96</v>
      </c>
      <c r="K81" t="str">
        <f>_xlfn.XLOOKUP(Jnl[[#This Row],[Acct]], config_BS[Acct], config_BS[Lv0],,0)</f>
        <v>LC</v>
      </c>
      <c r="L81" t="str">
        <f>_xlfn.XLOOKUP(Jnl[[#This Row],[Acct]], config_BS[Acct], config_BS[Lv1],,0)</f>
        <v>Liability</v>
      </c>
      <c r="M81" t="str">
        <f>_xlfn.XLOOKUP(Jnl[[#This Row],[Acct]], config_BS[Acct], config_BS[Lv2],,0)</f>
        <v>Rec-Pay</v>
      </c>
      <c r="N81" t="str">
        <f>_xlfn.XLOOKUP(Jnl[[#This Row],[TrxId]], Trx[Id], Trx[IncNode], ,0)</f>
        <v>Other</v>
      </c>
      <c r="O81" t="str">
        <f>_xlfn.XLOOKUP(Jnl[[#This Row],[IncNode]], config_IS[Node], config_IS[Type],,0)</f>
        <v>Non-Op</v>
      </c>
      <c r="P81" t="str">
        <f>_xlfn.XLOOKUP(Jnl[[#This Row],[BSLv2]], dict[Key], dict[Name],,0)</f>
        <v>1.应收-应付</v>
      </c>
      <c r="Q81" t="str">
        <f>_xlfn.XLOOKUP(Jnl[[#This Row],[Acct]], dict[Key], dict[Name],,0)</f>
        <v>应付-税款</v>
      </c>
      <c r="R81" t="str">
        <f>_xlfn.XLOOKUP(Jnl[[#This Row],[Vehicle]],config_vehicle[Id], config_vehicle[Name],,0)</f>
        <v>染匠文化</v>
      </c>
      <c r="S81" t="str">
        <f>_xlfn.XLOOKUP(Jnl[[#This Row],[Division]],config_div[Id], config_div[Name],,0)</f>
        <v>内控合规</v>
      </c>
      <c r="T81" t="str">
        <f>IF(Jnl[[#This Row],[TrxDate]]&lt;=stmt_BS_date_end, "In", "Out")</f>
        <v>In</v>
      </c>
      <c r="U81" t="str">
        <f>IF(Jnl[[#This Row],[TrxDate]]&lt;debug_date_start, "prior", IF(Jnl[[#This Row],[TrxDate]]&gt;debug_date_end, "post", "curr"))</f>
        <v>prior</v>
      </c>
    </row>
    <row r="82" spans="1:21">
      <c r="A82" s="11" t="s">
        <v>236</v>
      </c>
      <c r="B82" s="7">
        <f>_xlfn.XLOOKUP(Jnl[[#This Row],[TrxId]], Trx[Id], Trx[Date],,0)</f>
        <v>46022</v>
      </c>
      <c r="C82" s="7" t="str">
        <f>_xlfn.XLOOKUP(Jnl[[#This Row],[TrxId]], Trx[Id], Trx[Division],,0)</f>
        <v>Ctrl</v>
      </c>
      <c r="D82" s="7" t="str">
        <f>_xlfn.XLOOKUP(Jnl[[#This Row],[TrxId]], Trx[Id], Trx[Action],,0)</f>
        <v>结转</v>
      </c>
      <c r="E82" s="26" t="s">
        <v>111</v>
      </c>
      <c r="F82" s="11" t="s">
        <v>126</v>
      </c>
      <c r="G82" s="11" t="s">
        <v>347</v>
      </c>
      <c r="H82" s="72">
        <v>11399.28</v>
      </c>
      <c r="I82" s="5" t="b">
        <f>AND(Jnl[[#This Row],[TrxId]]&lt;&gt;"",Jnl[[#This Row],[Acct]]&lt;&gt;"",Jnl[[#This Row],[Item]]&lt;&gt;"",ISNUMBER(Jnl[[#This Row],[Bal]]))</f>
        <v>1</v>
      </c>
      <c r="J82" s="10">
        <f>IF(Jnl[[#This Row],[BSLv0]]="A",1,-1)*Jnl[[#This Row],[Bal]]</f>
        <v>-11399.28</v>
      </c>
      <c r="K82" t="str">
        <f>_xlfn.XLOOKUP(Jnl[[#This Row],[Acct]], config_BS[Acct], config_BS[Lv0],,0)</f>
        <v>LC</v>
      </c>
      <c r="L82" t="str">
        <f>_xlfn.XLOOKUP(Jnl[[#This Row],[Acct]], config_BS[Acct], config_BS[Lv1],,0)</f>
        <v>Liability</v>
      </c>
      <c r="M82" t="str">
        <f>_xlfn.XLOOKUP(Jnl[[#This Row],[Acct]], config_BS[Acct], config_BS[Lv2],,0)</f>
        <v>Rec-Pay</v>
      </c>
      <c r="N82" t="str">
        <f>_xlfn.XLOOKUP(Jnl[[#This Row],[TrxId]], Trx[Id], Trx[IncNode], ,0)</f>
        <v>Other</v>
      </c>
      <c r="O82" t="str">
        <f>_xlfn.XLOOKUP(Jnl[[#This Row],[IncNode]], config_IS[Node], config_IS[Type],,0)</f>
        <v>Non-Op</v>
      </c>
      <c r="P82" t="str">
        <f>_xlfn.XLOOKUP(Jnl[[#This Row],[BSLv2]], dict[Key], dict[Name],,0)</f>
        <v>1.应收-应付</v>
      </c>
      <c r="Q82" t="str">
        <f>_xlfn.XLOOKUP(Jnl[[#This Row],[Acct]], dict[Key], dict[Name],,0)</f>
        <v>应付-税款</v>
      </c>
      <c r="R82" t="str">
        <f>_xlfn.XLOOKUP(Jnl[[#This Row],[Vehicle]],config_vehicle[Id], config_vehicle[Name],,0)</f>
        <v>染匠文化</v>
      </c>
      <c r="S82" t="str">
        <f>_xlfn.XLOOKUP(Jnl[[#This Row],[Division]],config_div[Id], config_div[Name],,0)</f>
        <v>内控合规</v>
      </c>
      <c r="T82" t="str">
        <f>IF(Jnl[[#This Row],[TrxDate]]&lt;=stmt_BS_date_end, "In", "Out")</f>
        <v>In</v>
      </c>
      <c r="U82" t="str">
        <f>IF(Jnl[[#This Row],[TrxDate]]&lt;debug_date_start, "prior", IF(Jnl[[#This Row],[TrxDate]]&gt;debug_date_end, "post", "curr"))</f>
        <v>prior</v>
      </c>
    </row>
    <row r="83" spans="1:21">
      <c r="A83" s="11" t="s">
        <v>236</v>
      </c>
      <c r="B83" s="7">
        <f>_xlfn.XLOOKUP(Jnl[[#This Row],[TrxId]], Trx[Id], Trx[Date],,0)</f>
        <v>46022</v>
      </c>
      <c r="C83" s="7" t="str">
        <f>_xlfn.XLOOKUP(Jnl[[#This Row],[TrxId]], Trx[Id], Trx[Division],,0)</f>
        <v>Ctrl</v>
      </c>
      <c r="D83" s="7" t="str">
        <f>_xlfn.XLOOKUP(Jnl[[#This Row],[TrxId]], Trx[Id], Trx[Action],,0)</f>
        <v>结转</v>
      </c>
      <c r="E83" s="26" t="s">
        <v>111</v>
      </c>
      <c r="F83" s="11" t="s">
        <v>188</v>
      </c>
      <c r="G83" s="11" t="s">
        <v>149</v>
      </c>
      <c r="H83" s="72">
        <v>33541.86</v>
      </c>
      <c r="I83" s="5" t="b">
        <f>AND(Jnl[[#This Row],[TrxId]]&lt;&gt;"",Jnl[[#This Row],[Acct]]&lt;&gt;"",Jnl[[#This Row],[Item]]&lt;&gt;"",ISNUMBER(Jnl[[#This Row],[Bal]]))</f>
        <v>1</v>
      </c>
      <c r="J83" s="10">
        <f>IF(Jnl[[#This Row],[BSLv0]]="A",1,-1)*Jnl[[#This Row],[Bal]]</f>
        <v>-33541.86</v>
      </c>
      <c r="K83" t="str">
        <f>_xlfn.XLOOKUP(Jnl[[#This Row],[Acct]], config_BS[Acct], config_BS[Lv0],,0)</f>
        <v>LC</v>
      </c>
      <c r="L83" t="str">
        <f>_xlfn.XLOOKUP(Jnl[[#This Row],[Acct]], config_BS[Acct], config_BS[Lv1],,0)</f>
        <v>Liability</v>
      </c>
      <c r="M83" t="str">
        <f>_xlfn.XLOOKUP(Jnl[[#This Row],[Acct]], config_BS[Acct], config_BS[Lv2],,0)</f>
        <v>Rec-Pay</v>
      </c>
      <c r="N83" t="str">
        <f>_xlfn.XLOOKUP(Jnl[[#This Row],[TrxId]], Trx[Id], Trx[IncNode], ,0)</f>
        <v>Other</v>
      </c>
      <c r="O83" t="str">
        <f>_xlfn.XLOOKUP(Jnl[[#This Row],[IncNode]], config_IS[Node], config_IS[Type],,0)</f>
        <v>Non-Op</v>
      </c>
      <c r="P83" t="str">
        <f>_xlfn.XLOOKUP(Jnl[[#This Row],[BSLv2]], dict[Key], dict[Name],,0)</f>
        <v>1.应收-应付</v>
      </c>
      <c r="Q83" t="str">
        <f>_xlfn.XLOOKUP(Jnl[[#This Row],[Acct]], dict[Key], dict[Name],,0)</f>
        <v>应付-薪资</v>
      </c>
      <c r="R83" t="str">
        <f>_xlfn.XLOOKUP(Jnl[[#This Row],[Vehicle]],config_vehicle[Id], config_vehicle[Name],,0)</f>
        <v>染匠文化</v>
      </c>
      <c r="S83" t="str">
        <f>_xlfn.XLOOKUP(Jnl[[#This Row],[Division]],config_div[Id], config_div[Name],,0)</f>
        <v>内控合规</v>
      </c>
      <c r="T83" t="str">
        <f>IF(Jnl[[#This Row],[TrxDate]]&lt;=stmt_BS_date_end, "In", "Out")</f>
        <v>In</v>
      </c>
      <c r="U83" t="str">
        <f>IF(Jnl[[#This Row],[TrxDate]]&lt;debug_date_start, "prior", IF(Jnl[[#This Row],[TrxDate]]&gt;debug_date_end, "post", "curr"))</f>
        <v>prior</v>
      </c>
    </row>
    <row r="84" spans="1:21">
      <c r="A84" s="11" t="s">
        <v>236</v>
      </c>
      <c r="B84" s="7">
        <f>_xlfn.XLOOKUP(Jnl[[#This Row],[TrxId]], Trx[Id], Trx[Date],,0)</f>
        <v>46022</v>
      </c>
      <c r="C84" s="7" t="str">
        <f>_xlfn.XLOOKUP(Jnl[[#This Row],[TrxId]], Trx[Id], Trx[Division],,0)</f>
        <v>Ctrl</v>
      </c>
      <c r="D84" s="7" t="str">
        <f>_xlfn.XLOOKUP(Jnl[[#This Row],[TrxId]], Trx[Id], Trx[Action],,0)</f>
        <v>结转</v>
      </c>
      <c r="E84" s="26" t="s">
        <v>84</v>
      </c>
      <c r="F84" s="11" t="s">
        <v>126</v>
      </c>
      <c r="G84" s="11" t="s">
        <v>307</v>
      </c>
      <c r="H84" s="72">
        <v>10950.5</v>
      </c>
      <c r="I84" s="5" t="b">
        <f>AND(Jnl[[#This Row],[TrxId]]&lt;&gt;"",Jnl[[#This Row],[Acct]]&lt;&gt;"",Jnl[[#This Row],[Item]]&lt;&gt;"",ISNUMBER(Jnl[[#This Row],[Bal]]))</f>
        <v>1</v>
      </c>
      <c r="J84" s="10">
        <f>IF(Jnl[[#This Row],[BSLv0]]="A",1,-1)*Jnl[[#This Row],[Bal]]</f>
        <v>-10950.5</v>
      </c>
      <c r="K84" t="str">
        <f>_xlfn.XLOOKUP(Jnl[[#This Row],[Acct]], config_BS[Acct], config_BS[Lv0],,0)</f>
        <v>LC</v>
      </c>
      <c r="L84" t="str">
        <f>_xlfn.XLOOKUP(Jnl[[#This Row],[Acct]], config_BS[Acct], config_BS[Lv1],,0)</f>
        <v>Liability</v>
      </c>
      <c r="M84" t="str">
        <f>_xlfn.XLOOKUP(Jnl[[#This Row],[Acct]], config_BS[Acct], config_BS[Lv2],,0)</f>
        <v>Rec-Pay</v>
      </c>
      <c r="N84" t="str">
        <f>_xlfn.XLOOKUP(Jnl[[#This Row],[TrxId]], Trx[Id], Trx[IncNode], ,0)</f>
        <v>Other</v>
      </c>
      <c r="O84" t="str">
        <f>_xlfn.XLOOKUP(Jnl[[#This Row],[IncNode]], config_IS[Node], config_IS[Type],,0)</f>
        <v>Non-Op</v>
      </c>
      <c r="P84" t="str">
        <f>_xlfn.XLOOKUP(Jnl[[#This Row],[BSLv2]], dict[Key], dict[Name],,0)</f>
        <v>1.应收-应付</v>
      </c>
      <c r="Q84" t="str">
        <f>_xlfn.XLOOKUP(Jnl[[#This Row],[Acct]], dict[Key], dict[Name],,0)</f>
        <v>应付-税款</v>
      </c>
      <c r="R84" t="str">
        <f>_xlfn.XLOOKUP(Jnl[[#This Row],[Vehicle]],config_vehicle[Id], config_vehicle[Name],,0)</f>
        <v>榆乐</v>
      </c>
      <c r="S84" t="str">
        <f>_xlfn.XLOOKUP(Jnl[[#This Row],[Division]],config_div[Id], config_div[Name],,0)</f>
        <v>内控合规</v>
      </c>
      <c r="T84" t="str">
        <f>IF(Jnl[[#This Row],[TrxDate]]&lt;=stmt_BS_date_end, "In", "Out")</f>
        <v>In</v>
      </c>
      <c r="U84" t="str">
        <f>IF(Jnl[[#This Row],[TrxDate]]&lt;debug_date_start, "prior", IF(Jnl[[#This Row],[TrxDate]]&gt;debug_date_end, "post", "curr"))</f>
        <v>prior</v>
      </c>
    </row>
    <row r="85" spans="1:21">
      <c r="A85" s="11" t="s">
        <v>236</v>
      </c>
      <c r="B85" s="7">
        <f>_xlfn.XLOOKUP(Jnl[[#This Row],[TrxId]], Trx[Id], Trx[Date],,0)</f>
        <v>46022</v>
      </c>
      <c r="C85" s="7" t="str">
        <f>_xlfn.XLOOKUP(Jnl[[#This Row],[TrxId]], Trx[Id], Trx[Division],,0)</f>
        <v>Ctrl</v>
      </c>
      <c r="D85" s="7" t="str">
        <f>_xlfn.XLOOKUP(Jnl[[#This Row],[TrxId]], Trx[Id], Trx[Action],,0)</f>
        <v>结转</v>
      </c>
      <c r="E85" s="26" t="s">
        <v>84</v>
      </c>
      <c r="F85" s="11" t="s">
        <v>126</v>
      </c>
      <c r="G85" s="11" t="s">
        <v>347</v>
      </c>
      <c r="H85" s="72">
        <v>30620.29</v>
      </c>
      <c r="I85" s="5" t="b">
        <f>AND(Jnl[[#This Row],[TrxId]]&lt;&gt;"",Jnl[[#This Row],[Acct]]&lt;&gt;"",Jnl[[#This Row],[Item]]&lt;&gt;"",ISNUMBER(Jnl[[#This Row],[Bal]]))</f>
        <v>1</v>
      </c>
      <c r="J85" s="10">
        <f>IF(Jnl[[#This Row],[BSLv0]]="A",1,-1)*Jnl[[#This Row],[Bal]]</f>
        <v>-30620.29</v>
      </c>
      <c r="K85" t="str">
        <f>_xlfn.XLOOKUP(Jnl[[#This Row],[Acct]], config_BS[Acct], config_BS[Lv0],,0)</f>
        <v>LC</v>
      </c>
      <c r="L85" t="str">
        <f>_xlfn.XLOOKUP(Jnl[[#This Row],[Acct]], config_BS[Acct], config_BS[Lv1],,0)</f>
        <v>Liability</v>
      </c>
      <c r="M85" t="str">
        <f>_xlfn.XLOOKUP(Jnl[[#This Row],[Acct]], config_BS[Acct], config_BS[Lv2],,0)</f>
        <v>Rec-Pay</v>
      </c>
      <c r="N85" t="str">
        <f>_xlfn.XLOOKUP(Jnl[[#This Row],[TrxId]], Trx[Id], Trx[IncNode], ,0)</f>
        <v>Other</v>
      </c>
      <c r="O85" t="str">
        <f>_xlfn.XLOOKUP(Jnl[[#This Row],[IncNode]], config_IS[Node], config_IS[Type],,0)</f>
        <v>Non-Op</v>
      </c>
      <c r="P85" t="str">
        <f>_xlfn.XLOOKUP(Jnl[[#This Row],[BSLv2]], dict[Key], dict[Name],,0)</f>
        <v>1.应收-应付</v>
      </c>
      <c r="Q85" t="str">
        <f>_xlfn.XLOOKUP(Jnl[[#This Row],[Acct]], dict[Key], dict[Name],,0)</f>
        <v>应付-税款</v>
      </c>
      <c r="R85" t="str">
        <f>_xlfn.XLOOKUP(Jnl[[#This Row],[Vehicle]],config_vehicle[Id], config_vehicle[Name],,0)</f>
        <v>榆乐</v>
      </c>
      <c r="S85" t="str">
        <f>_xlfn.XLOOKUP(Jnl[[#This Row],[Division]],config_div[Id], config_div[Name],,0)</f>
        <v>内控合规</v>
      </c>
      <c r="T85" t="str">
        <f>IF(Jnl[[#This Row],[TrxDate]]&lt;=stmt_BS_date_end, "In", "Out")</f>
        <v>In</v>
      </c>
      <c r="U85" t="str">
        <f>IF(Jnl[[#This Row],[TrxDate]]&lt;debug_date_start, "prior", IF(Jnl[[#This Row],[TrxDate]]&gt;debug_date_end, "post", "curr"))</f>
        <v>prior</v>
      </c>
    </row>
    <row r="86" spans="1:21">
      <c r="A86" s="11" t="s">
        <v>236</v>
      </c>
      <c r="B86" s="7">
        <f>_xlfn.XLOOKUP(Jnl[[#This Row],[TrxId]], Trx[Id], Trx[Date],,0)</f>
        <v>46022</v>
      </c>
      <c r="C86" s="7" t="str">
        <f>_xlfn.XLOOKUP(Jnl[[#This Row],[TrxId]], Trx[Id], Trx[Division],,0)</f>
        <v>Ctrl</v>
      </c>
      <c r="D86" s="7" t="str">
        <f>_xlfn.XLOOKUP(Jnl[[#This Row],[TrxId]], Trx[Id], Trx[Action],,0)</f>
        <v>结转</v>
      </c>
      <c r="E86" s="26" t="s">
        <v>84</v>
      </c>
      <c r="F86" s="11" t="s">
        <v>126</v>
      </c>
      <c r="G86" s="11" t="s">
        <v>348</v>
      </c>
      <c r="H86" s="72">
        <v>657.03</v>
      </c>
      <c r="I86" s="5" t="b">
        <f>AND(Jnl[[#This Row],[TrxId]]&lt;&gt;"",Jnl[[#This Row],[Acct]]&lt;&gt;"",Jnl[[#This Row],[Item]]&lt;&gt;"",ISNUMBER(Jnl[[#This Row],[Bal]]))</f>
        <v>1</v>
      </c>
      <c r="J86" s="10">
        <f>IF(Jnl[[#This Row],[BSLv0]]="A",1,-1)*Jnl[[#This Row],[Bal]]</f>
        <v>-657.03</v>
      </c>
      <c r="K86" t="str">
        <f>_xlfn.XLOOKUP(Jnl[[#This Row],[Acct]], config_BS[Acct], config_BS[Lv0],,0)</f>
        <v>LC</v>
      </c>
      <c r="L86" t="str">
        <f>_xlfn.XLOOKUP(Jnl[[#This Row],[Acct]], config_BS[Acct], config_BS[Lv1],,0)</f>
        <v>Liability</v>
      </c>
      <c r="M86" t="str">
        <f>_xlfn.XLOOKUP(Jnl[[#This Row],[Acct]], config_BS[Acct], config_BS[Lv2],,0)</f>
        <v>Rec-Pay</v>
      </c>
      <c r="N86" t="str">
        <f>_xlfn.XLOOKUP(Jnl[[#This Row],[TrxId]], Trx[Id], Trx[IncNode], ,0)</f>
        <v>Other</v>
      </c>
      <c r="O86" t="str">
        <f>_xlfn.XLOOKUP(Jnl[[#This Row],[IncNode]], config_IS[Node], config_IS[Type],,0)</f>
        <v>Non-Op</v>
      </c>
      <c r="P86" t="str">
        <f>_xlfn.XLOOKUP(Jnl[[#This Row],[BSLv2]], dict[Key], dict[Name],,0)</f>
        <v>1.应收-应付</v>
      </c>
      <c r="Q86" t="str">
        <f>_xlfn.XLOOKUP(Jnl[[#This Row],[Acct]], dict[Key], dict[Name],,0)</f>
        <v>应付-税款</v>
      </c>
      <c r="R86" t="str">
        <f>_xlfn.XLOOKUP(Jnl[[#This Row],[Vehicle]],config_vehicle[Id], config_vehicle[Name],,0)</f>
        <v>榆乐</v>
      </c>
      <c r="S86" t="str">
        <f>_xlfn.XLOOKUP(Jnl[[#This Row],[Division]],config_div[Id], config_div[Name],,0)</f>
        <v>内控合规</v>
      </c>
      <c r="T86" t="str">
        <f>IF(Jnl[[#This Row],[TrxDate]]&lt;=stmt_BS_date_end, "In", "Out")</f>
        <v>In</v>
      </c>
      <c r="U86" t="str">
        <f>IF(Jnl[[#This Row],[TrxDate]]&lt;debug_date_start, "prior", IF(Jnl[[#This Row],[TrxDate]]&gt;debug_date_end, "post", "curr"))</f>
        <v>prior</v>
      </c>
    </row>
    <row r="87" spans="1:21">
      <c r="A87" s="11" t="s">
        <v>236</v>
      </c>
      <c r="B87" s="7">
        <f>_xlfn.XLOOKUP(Jnl[[#This Row],[TrxId]], Trx[Id], Trx[Date],,0)</f>
        <v>46022</v>
      </c>
      <c r="C87" s="7" t="str">
        <f>_xlfn.XLOOKUP(Jnl[[#This Row],[TrxId]], Trx[Id], Trx[Division],,0)</f>
        <v>Ctrl</v>
      </c>
      <c r="D87" s="7" t="str">
        <f>_xlfn.XLOOKUP(Jnl[[#This Row],[TrxId]], Trx[Id], Trx[Action],,0)</f>
        <v>结转</v>
      </c>
      <c r="E87" s="26" t="s">
        <v>84</v>
      </c>
      <c r="F87" s="11" t="s">
        <v>126</v>
      </c>
      <c r="G87" s="11" t="s">
        <v>349</v>
      </c>
      <c r="H87" s="72">
        <v>5.0199999999999996</v>
      </c>
      <c r="I87" s="5" t="b">
        <f>AND(Jnl[[#This Row],[TrxId]]&lt;&gt;"",Jnl[[#This Row],[Acct]]&lt;&gt;"",Jnl[[#This Row],[Item]]&lt;&gt;"",ISNUMBER(Jnl[[#This Row],[Bal]]))</f>
        <v>1</v>
      </c>
      <c r="J87" s="10">
        <f>IF(Jnl[[#This Row],[BSLv0]]="A",1,-1)*Jnl[[#This Row],[Bal]]</f>
        <v>-5.0199999999999996</v>
      </c>
      <c r="K87" t="str">
        <f>_xlfn.XLOOKUP(Jnl[[#This Row],[Acct]], config_BS[Acct], config_BS[Lv0],,0)</f>
        <v>LC</v>
      </c>
      <c r="L87" t="str">
        <f>_xlfn.XLOOKUP(Jnl[[#This Row],[Acct]], config_BS[Acct], config_BS[Lv1],,0)</f>
        <v>Liability</v>
      </c>
      <c r="M87" t="str">
        <f>_xlfn.XLOOKUP(Jnl[[#This Row],[Acct]], config_BS[Acct], config_BS[Lv2],,0)</f>
        <v>Rec-Pay</v>
      </c>
      <c r="N87" t="str">
        <f>_xlfn.XLOOKUP(Jnl[[#This Row],[TrxId]], Trx[Id], Trx[IncNode], ,0)</f>
        <v>Other</v>
      </c>
      <c r="O87" t="str">
        <f>_xlfn.XLOOKUP(Jnl[[#This Row],[IncNode]], config_IS[Node], config_IS[Type],,0)</f>
        <v>Non-Op</v>
      </c>
      <c r="P87" t="str">
        <f>_xlfn.XLOOKUP(Jnl[[#This Row],[BSLv2]], dict[Key], dict[Name],,0)</f>
        <v>1.应收-应付</v>
      </c>
      <c r="Q87" t="str">
        <f>_xlfn.XLOOKUP(Jnl[[#This Row],[Acct]], dict[Key], dict[Name],,0)</f>
        <v>应付-税款</v>
      </c>
      <c r="R87" t="str">
        <f>_xlfn.XLOOKUP(Jnl[[#This Row],[Vehicle]],config_vehicle[Id], config_vehicle[Name],,0)</f>
        <v>榆乐</v>
      </c>
      <c r="S87" t="str">
        <f>_xlfn.XLOOKUP(Jnl[[#This Row],[Division]],config_div[Id], config_div[Name],,0)</f>
        <v>内控合规</v>
      </c>
      <c r="T87" t="str">
        <f>IF(Jnl[[#This Row],[TrxDate]]&lt;=stmt_BS_date_end, "In", "Out")</f>
        <v>In</v>
      </c>
      <c r="U87" t="str">
        <f>IF(Jnl[[#This Row],[TrxDate]]&lt;debug_date_start, "prior", IF(Jnl[[#This Row],[TrxDate]]&gt;debug_date_end, "post", "curr"))</f>
        <v>prior</v>
      </c>
    </row>
    <row r="88" spans="1:21">
      <c r="A88" s="11" t="s">
        <v>236</v>
      </c>
      <c r="B88" s="7">
        <f>_xlfn.XLOOKUP(Jnl[[#This Row],[TrxId]], Trx[Id], Trx[Date],,0)</f>
        <v>46022</v>
      </c>
      <c r="C88" s="7" t="str">
        <f>_xlfn.XLOOKUP(Jnl[[#This Row],[TrxId]], Trx[Id], Trx[Division],,0)</f>
        <v>Ctrl</v>
      </c>
      <c r="D88" s="7" t="str">
        <f>_xlfn.XLOOKUP(Jnl[[#This Row],[TrxId]], Trx[Id], Trx[Action],,0)</f>
        <v>结转</v>
      </c>
      <c r="E88" s="26" t="s">
        <v>84</v>
      </c>
      <c r="F88" s="11" t="s">
        <v>188</v>
      </c>
      <c r="G88" s="11" t="s">
        <v>149</v>
      </c>
      <c r="H88" s="72">
        <v>76031.259999999995</v>
      </c>
      <c r="I88" s="5" t="b">
        <f>AND(Jnl[[#This Row],[TrxId]]&lt;&gt;"",Jnl[[#This Row],[Acct]]&lt;&gt;"",Jnl[[#This Row],[Item]]&lt;&gt;"",ISNUMBER(Jnl[[#This Row],[Bal]]))</f>
        <v>1</v>
      </c>
      <c r="J88" s="10">
        <f>IF(Jnl[[#This Row],[BSLv0]]="A",1,-1)*Jnl[[#This Row],[Bal]]</f>
        <v>-76031.259999999995</v>
      </c>
      <c r="K88" t="str">
        <f>_xlfn.XLOOKUP(Jnl[[#This Row],[Acct]], config_BS[Acct], config_BS[Lv0],,0)</f>
        <v>LC</v>
      </c>
      <c r="L88" t="str">
        <f>_xlfn.XLOOKUP(Jnl[[#This Row],[Acct]], config_BS[Acct], config_BS[Lv1],,0)</f>
        <v>Liability</v>
      </c>
      <c r="M88" t="str">
        <f>_xlfn.XLOOKUP(Jnl[[#This Row],[Acct]], config_BS[Acct], config_BS[Lv2],,0)</f>
        <v>Rec-Pay</v>
      </c>
      <c r="N88" t="str">
        <f>_xlfn.XLOOKUP(Jnl[[#This Row],[TrxId]], Trx[Id], Trx[IncNode], ,0)</f>
        <v>Other</v>
      </c>
      <c r="O88" t="str">
        <f>_xlfn.XLOOKUP(Jnl[[#This Row],[IncNode]], config_IS[Node], config_IS[Type],,0)</f>
        <v>Non-Op</v>
      </c>
      <c r="P88" t="str">
        <f>_xlfn.XLOOKUP(Jnl[[#This Row],[BSLv2]], dict[Key], dict[Name],,0)</f>
        <v>1.应收-应付</v>
      </c>
      <c r="Q88" t="str">
        <f>_xlfn.XLOOKUP(Jnl[[#This Row],[Acct]], dict[Key], dict[Name],,0)</f>
        <v>应付-薪资</v>
      </c>
      <c r="R88" t="str">
        <f>_xlfn.XLOOKUP(Jnl[[#This Row],[Vehicle]],config_vehicle[Id], config_vehicle[Name],,0)</f>
        <v>榆乐</v>
      </c>
      <c r="S88" t="str">
        <f>_xlfn.XLOOKUP(Jnl[[#This Row],[Division]],config_div[Id], config_div[Name],,0)</f>
        <v>内控合规</v>
      </c>
      <c r="T88" t="str">
        <f>IF(Jnl[[#This Row],[TrxDate]]&lt;=stmt_BS_date_end, "In", "Out")</f>
        <v>In</v>
      </c>
      <c r="U88" t="str">
        <f>IF(Jnl[[#This Row],[TrxDate]]&lt;debug_date_start, "prior", IF(Jnl[[#This Row],[TrxDate]]&gt;debug_date_end, "post", "curr"))</f>
        <v>prior</v>
      </c>
    </row>
    <row r="89" spans="1:21">
      <c r="A89" s="11" t="s">
        <v>236</v>
      </c>
      <c r="B89" s="7">
        <f>_xlfn.XLOOKUP(Jnl[[#This Row],[TrxId]], Trx[Id], Trx[Date],,0)</f>
        <v>46022</v>
      </c>
      <c r="C89" s="7" t="str">
        <f>_xlfn.XLOOKUP(Jnl[[#This Row],[TrxId]], Trx[Id], Trx[Division],,0)</f>
        <v>Ctrl</v>
      </c>
      <c r="D89" s="7" t="str">
        <f>_xlfn.XLOOKUP(Jnl[[#This Row],[TrxId]], Trx[Id], Trx[Action],,0)</f>
        <v>结转</v>
      </c>
      <c r="E89" s="26" t="s">
        <v>85</v>
      </c>
      <c r="F89" s="11" t="s">
        <v>126</v>
      </c>
      <c r="G89" s="11" t="s">
        <v>298</v>
      </c>
      <c r="H89" s="72">
        <v>40000</v>
      </c>
      <c r="I89" s="5" t="b">
        <f>AND(Jnl[[#This Row],[TrxId]]&lt;&gt;"",Jnl[[#This Row],[Acct]]&lt;&gt;"",Jnl[[#This Row],[Item]]&lt;&gt;"",ISNUMBER(Jnl[[#This Row],[Bal]]))</f>
        <v>1</v>
      </c>
      <c r="J89" s="10">
        <f>IF(Jnl[[#This Row],[BSLv0]]="A",1,-1)*Jnl[[#This Row],[Bal]]</f>
        <v>-40000</v>
      </c>
      <c r="K89" t="str">
        <f>_xlfn.XLOOKUP(Jnl[[#This Row],[Acct]], config_BS[Acct], config_BS[Lv0],,0)</f>
        <v>LC</v>
      </c>
      <c r="L89" t="str">
        <f>_xlfn.XLOOKUP(Jnl[[#This Row],[Acct]], config_BS[Acct], config_BS[Lv1],,0)</f>
        <v>Liability</v>
      </c>
      <c r="M89" t="str">
        <f>_xlfn.XLOOKUP(Jnl[[#This Row],[Acct]], config_BS[Acct], config_BS[Lv2],,0)</f>
        <v>Rec-Pay</v>
      </c>
      <c r="N89" t="str">
        <f>_xlfn.XLOOKUP(Jnl[[#This Row],[TrxId]], Trx[Id], Trx[IncNode], ,0)</f>
        <v>Other</v>
      </c>
      <c r="O89" t="str">
        <f>_xlfn.XLOOKUP(Jnl[[#This Row],[IncNode]], config_IS[Node], config_IS[Type],,0)</f>
        <v>Non-Op</v>
      </c>
      <c r="P89" t="str">
        <f>_xlfn.XLOOKUP(Jnl[[#This Row],[BSLv2]], dict[Key], dict[Name],,0)</f>
        <v>1.应收-应付</v>
      </c>
      <c r="Q89" t="str">
        <f>_xlfn.XLOOKUP(Jnl[[#This Row],[Acct]], dict[Key], dict[Name],,0)</f>
        <v>应付-税款</v>
      </c>
      <c r="R89" t="str">
        <f>_xlfn.XLOOKUP(Jnl[[#This Row],[Vehicle]],config_vehicle[Id], config_vehicle[Name],,0)</f>
        <v>桑木</v>
      </c>
      <c r="S89" t="str">
        <f>_xlfn.XLOOKUP(Jnl[[#This Row],[Division]],config_div[Id], config_div[Name],,0)</f>
        <v>内控合规</v>
      </c>
      <c r="T89" t="str">
        <f>IF(Jnl[[#This Row],[TrxDate]]&lt;=stmt_BS_date_end, "In", "Out")</f>
        <v>In</v>
      </c>
      <c r="U89" t="str">
        <f>IF(Jnl[[#This Row],[TrxDate]]&lt;debug_date_start, "prior", IF(Jnl[[#This Row],[TrxDate]]&gt;debug_date_end, "post", "curr"))</f>
        <v>prior</v>
      </c>
    </row>
    <row r="90" spans="1:21">
      <c r="A90" s="11" t="s">
        <v>236</v>
      </c>
      <c r="B90" s="7">
        <f>_xlfn.XLOOKUP(Jnl[[#This Row],[TrxId]], Trx[Id], Trx[Date],,0)</f>
        <v>46022</v>
      </c>
      <c r="C90" s="7" t="str">
        <f>_xlfn.XLOOKUP(Jnl[[#This Row],[TrxId]], Trx[Id], Trx[Division],,0)</f>
        <v>Ctrl</v>
      </c>
      <c r="D90" s="7" t="str">
        <f>_xlfn.XLOOKUP(Jnl[[#This Row],[TrxId]], Trx[Id], Trx[Action],,0)</f>
        <v>结转</v>
      </c>
      <c r="E90" s="26" t="s">
        <v>85</v>
      </c>
      <c r="F90" s="11" t="s">
        <v>126</v>
      </c>
      <c r="G90" s="11" t="s">
        <v>297</v>
      </c>
      <c r="H90" s="72">
        <v>20527.259999999998</v>
      </c>
      <c r="I90" s="5" t="b">
        <f>AND(Jnl[[#This Row],[TrxId]]&lt;&gt;"",Jnl[[#This Row],[Acct]]&lt;&gt;"",Jnl[[#This Row],[Item]]&lt;&gt;"",ISNUMBER(Jnl[[#This Row],[Bal]]))</f>
        <v>1</v>
      </c>
      <c r="J90" s="10">
        <f>IF(Jnl[[#This Row],[BSLv0]]="A",1,-1)*Jnl[[#This Row],[Bal]]</f>
        <v>-20527.259999999998</v>
      </c>
      <c r="K90" t="str">
        <f>_xlfn.XLOOKUP(Jnl[[#This Row],[Acct]], config_BS[Acct], config_BS[Lv0],,0)</f>
        <v>LC</v>
      </c>
      <c r="L90" t="str">
        <f>_xlfn.XLOOKUP(Jnl[[#This Row],[Acct]], config_BS[Acct], config_BS[Lv1],,0)</f>
        <v>Liability</v>
      </c>
      <c r="M90" t="str">
        <f>_xlfn.XLOOKUP(Jnl[[#This Row],[Acct]], config_BS[Acct], config_BS[Lv2],,0)</f>
        <v>Rec-Pay</v>
      </c>
      <c r="N90" t="str">
        <f>_xlfn.XLOOKUP(Jnl[[#This Row],[TrxId]], Trx[Id], Trx[IncNode], ,0)</f>
        <v>Other</v>
      </c>
      <c r="O90" t="str">
        <f>_xlfn.XLOOKUP(Jnl[[#This Row],[IncNode]], config_IS[Node], config_IS[Type],,0)</f>
        <v>Non-Op</v>
      </c>
      <c r="P90" t="str">
        <f>_xlfn.XLOOKUP(Jnl[[#This Row],[BSLv2]], dict[Key], dict[Name],,0)</f>
        <v>1.应收-应付</v>
      </c>
      <c r="Q90" t="str">
        <f>_xlfn.XLOOKUP(Jnl[[#This Row],[Acct]], dict[Key], dict[Name],,0)</f>
        <v>应付-税款</v>
      </c>
      <c r="R90" t="str">
        <f>_xlfn.XLOOKUP(Jnl[[#This Row],[Vehicle]],config_vehicle[Id], config_vehicle[Name],,0)</f>
        <v>桑木</v>
      </c>
      <c r="S90" t="str">
        <f>_xlfn.XLOOKUP(Jnl[[#This Row],[Division]],config_div[Id], config_div[Name],,0)</f>
        <v>内控合规</v>
      </c>
      <c r="T90" t="str">
        <f>IF(Jnl[[#This Row],[TrxDate]]&lt;=stmt_BS_date_end, "In", "Out")</f>
        <v>In</v>
      </c>
      <c r="U90" t="str">
        <f>IF(Jnl[[#This Row],[TrxDate]]&lt;debug_date_start, "prior", IF(Jnl[[#This Row],[TrxDate]]&gt;debug_date_end, "post", "curr"))</f>
        <v>prior</v>
      </c>
    </row>
    <row r="91" spans="1:21">
      <c r="A91" s="11" t="s">
        <v>236</v>
      </c>
      <c r="B91" s="7">
        <f>_xlfn.XLOOKUP(Jnl[[#This Row],[TrxId]], Trx[Id], Trx[Date],,0)</f>
        <v>46022</v>
      </c>
      <c r="C91" s="7" t="str">
        <f>_xlfn.XLOOKUP(Jnl[[#This Row],[TrxId]], Trx[Id], Trx[Division],,0)</f>
        <v>Ctrl</v>
      </c>
      <c r="D91" s="7" t="str">
        <f>_xlfn.XLOOKUP(Jnl[[#This Row],[TrxId]], Trx[Id], Trx[Action],,0)</f>
        <v>结转</v>
      </c>
      <c r="E91" s="26" t="s">
        <v>85</v>
      </c>
      <c r="F91" s="11" t="s">
        <v>126</v>
      </c>
      <c r="G91" s="11" t="s">
        <v>282</v>
      </c>
      <c r="H91" s="72">
        <v>15935.56</v>
      </c>
      <c r="I91" s="5" t="b">
        <f>AND(Jnl[[#This Row],[TrxId]]&lt;&gt;"",Jnl[[#This Row],[Acct]]&lt;&gt;"",Jnl[[#This Row],[Item]]&lt;&gt;"",ISNUMBER(Jnl[[#This Row],[Bal]]))</f>
        <v>1</v>
      </c>
      <c r="J91" s="10">
        <f>IF(Jnl[[#This Row],[BSLv0]]="A",1,-1)*Jnl[[#This Row],[Bal]]</f>
        <v>-15935.56</v>
      </c>
      <c r="K91" t="str">
        <f>_xlfn.XLOOKUP(Jnl[[#This Row],[Acct]], config_BS[Acct], config_BS[Lv0],,0)</f>
        <v>LC</v>
      </c>
      <c r="L91" t="str">
        <f>_xlfn.XLOOKUP(Jnl[[#This Row],[Acct]], config_BS[Acct], config_BS[Lv1],,0)</f>
        <v>Liability</v>
      </c>
      <c r="M91" t="str">
        <f>_xlfn.XLOOKUP(Jnl[[#This Row],[Acct]], config_BS[Acct], config_BS[Lv2],,0)</f>
        <v>Rec-Pay</v>
      </c>
      <c r="N91" t="str">
        <f>_xlfn.XLOOKUP(Jnl[[#This Row],[TrxId]], Trx[Id], Trx[IncNode], ,0)</f>
        <v>Other</v>
      </c>
      <c r="O91" t="str">
        <f>_xlfn.XLOOKUP(Jnl[[#This Row],[IncNode]], config_IS[Node], config_IS[Type],,0)</f>
        <v>Non-Op</v>
      </c>
      <c r="P91" t="str">
        <f>_xlfn.XLOOKUP(Jnl[[#This Row],[BSLv2]], dict[Key], dict[Name],,0)</f>
        <v>1.应收-应付</v>
      </c>
      <c r="Q91" t="str">
        <f>_xlfn.XLOOKUP(Jnl[[#This Row],[Acct]], dict[Key], dict[Name],,0)</f>
        <v>应付-税款</v>
      </c>
      <c r="R91" t="str">
        <f>_xlfn.XLOOKUP(Jnl[[#This Row],[Vehicle]],config_vehicle[Id], config_vehicle[Name],,0)</f>
        <v>桑木</v>
      </c>
      <c r="S91" t="str">
        <f>_xlfn.XLOOKUP(Jnl[[#This Row],[Division]],config_div[Id], config_div[Name],,0)</f>
        <v>内控合规</v>
      </c>
      <c r="T91" t="str">
        <f>IF(Jnl[[#This Row],[TrxDate]]&lt;=stmt_BS_date_end, "In", "Out")</f>
        <v>In</v>
      </c>
      <c r="U91" t="str">
        <f>IF(Jnl[[#This Row],[TrxDate]]&lt;debug_date_start, "prior", IF(Jnl[[#This Row],[TrxDate]]&gt;debug_date_end, "post", "curr"))</f>
        <v>prior</v>
      </c>
    </row>
    <row r="92" spans="1:21">
      <c r="A92" s="11" t="s">
        <v>236</v>
      </c>
      <c r="B92" s="7">
        <f>_xlfn.XLOOKUP(Jnl[[#This Row],[TrxId]], Trx[Id], Trx[Date],,0)</f>
        <v>46022</v>
      </c>
      <c r="C92" s="7" t="str">
        <f>_xlfn.XLOOKUP(Jnl[[#This Row],[TrxId]], Trx[Id], Trx[Division],,0)</f>
        <v>Ctrl</v>
      </c>
      <c r="D92" s="7" t="str">
        <f>_xlfn.XLOOKUP(Jnl[[#This Row],[TrxId]], Trx[Id], Trx[Action],,0)</f>
        <v>结转</v>
      </c>
      <c r="E92" s="26" t="s">
        <v>85</v>
      </c>
      <c r="F92" s="11" t="s">
        <v>126</v>
      </c>
      <c r="G92" s="11" t="s">
        <v>299</v>
      </c>
      <c r="H92" s="72">
        <v>1309.8399999999999</v>
      </c>
      <c r="I92" s="5" t="b">
        <f>AND(Jnl[[#This Row],[TrxId]]&lt;&gt;"",Jnl[[#This Row],[Acct]]&lt;&gt;"",Jnl[[#This Row],[Item]]&lt;&gt;"",ISNUMBER(Jnl[[#This Row],[Bal]]))</f>
        <v>1</v>
      </c>
      <c r="J92" s="10">
        <f>IF(Jnl[[#This Row],[BSLv0]]="A",1,-1)*Jnl[[#This Row],[Bal]]</f>
        <v>-1309.8399999999999</v>
      </c>
      <c r="K92" t="str">
        <f>_xlfn.XLOOKUP(Jnl[[#This Row],[Acct]], config_BS[Acct], config_BS[Lv0],,0)</f>
        <v>LC</v>
      </c>
      <c r="L92" t="str">
        <f>_xlfn.XLOOKUP(Jnl[[#This Row],[Acct]], config_BS[Acct], config_BS[Lv1],,0)</f>
        <v>Liability</v>
      </c>
      <c r="M92" t="str">
        <f>_xlfn.XLOOKUP(Jnl[[#This Row],[Acct]], config_BS[Acct], config_BS[Lv2],,0)</f>
        <v>Rec-Pay</v>
      </c>
      <c r="N92" t="str">
        <f>_xlfn.XLOOKUP(Jnl[[#This Row],[TrxId]], Trx[Id], Trx[IncNode], ,0)</f>
        <v>Other</v>
      </c>
      <c r="O92" t="str">
        <f>_xlfn.XLOOKUP(Jnl[[#This Row],[IncNode]], config_IS[Node], config_IS[Type],,0)</f>
        <v>Non-Op</v>
      </c>
      <c r="P92" t="str">
        <f>_xlfn.XLOOKUP(Jnl[[#This Row],[BSLv2]], dict[Key], dict[Name],,0)</f>
        <v>1.应收-应付</v>
      </c>
      <c r="Q92" t="str">
        <f>_xlfn.XLOOKUP(Jnl[[#This Row],[Acct]], dict[Key], dict[Name],,0)</f>
        <v>应付-税款</v>
      </c>
      <c r="R92" t="str">
        <f>_xlfn.XLOOKUP(Jnl[[#This Row],[Vehicle]],config_vehicle[Id], config_vehicle[Name],,0)</f>
        <v>桑木</v>
      </c>
      <c r="S92" t="str">
        <f>_xlfn.XLOOKUP(Jnl[[#This Row],[Division]],config_div[Id], config_div[Name],,0)</f>
        <v>内控合规</v>
      </c>
      <c r="T92" t="str">
        <f>IF(Jnl[[#This Row],[TrxDate]]&lt;=stmt_BS_date_end, "In", "Out")</f>
        <v>In</v>
      </c>
      <c r="U92" t="str">
        <f>IF(Jnl[[#This Row],[TrxDate]]&lt;debug_date_start, "prior", IF(Jnl[[#This Row],[TrxDate]]&gt;debug_date_end, "post", "curr"))</f>
        <v>prior</v>
      </c>
    </row>
    <row r="93" spans="1:21">
      <c r="A93" s="11" t="s">
        <v>236</v>
      </c>
      <c r="B93" s="7">
        <f>_xlfn.XLOOKUP(Jnl[[#This Row],[TrxId]], Trx[Id], Trx[Date],,0)</f>
        <v>46022</v>
      </c>
      <c r="C93" s="7" t="str">
        <f>_xlfn.XLOOKUP(Jnl[[#This Row],[TrxId]], Trx[Id], Trx[Division],,0)</f>
        <v>Ctrl</v>
      </c>
      <c r="D93" s="7" t="str">
        <f>_xlfn.XLOOKUP(Jnl[[#This Row],[TrxId]], Trx[Id], Trx[Action],,0)</f>
        <v>结转</v>
      </c>
      <c r="E93" s="26" t="s">
        <v>85</v>
      </c>
      <c r="F93" s="11" t="s">
        <v>188</v>
      </c>
      <c r="G93" s="11" t="s">
        <v>149</v>
      </c>
      <c r="H93" s="72">
        <v>18440</v>
      </c>
      <c r="I93" s="5" t="b">
        <f>AND(Jnl[[#This Row],[TrxId]]&lt;&gt;"",Jnl[[#This Row],[Acct]]&lt;&gt;"",Jnl[[#This Row],[Item]]&lt;&gt;"",ISNUMBER(Jnl[[#This Row],[Bal]]))</f>
        <v>1</v>
      </c>
      <c r="J93" s="10">
        <f>IF(Jnl[[#This Row],[BSLv0]]="A",1,-1)*Jnl[[#This Row],[Bal]]</f>
        <v>-18440</v>
      </c>
      <c r="K93" t="str">
        <f>_xlfn.XLOOKUP(Jnl[[#This Row],[Acct]], config_BS[Acct], config_BS[Lv0],,0)</f>
        <v>LC</v>
      </c>
      <c r="L93" t="str">
        <f>_xlfn.XLOOKUP(Jnl[[#This Row],[Acct]], config_BS[Acct], config_BS[Lv1],,0)</f>
        <v>Liability</v>
      </c>
      <c r="M93" t="str">
        <f>_xlfn.XLOOKUP(Jnl[[#This Row],[Acct]], config_BS[Acct], config_BS[Lv2],,0)</f>
        <v>Rec-Pay</v>
      </c>
      <c r="N93" t="str">
        <f>_xlfn.XLOOKUP(Jnl[[#This Row],[TrxId]], Trx[Id], Trx[IncNode], ,0)</f>
        <v>Other</v>
      </c>
      <c r="O93" t="str">
        <f>_xlfn.XLOOKUP(Jnl[[#This Row],[IncNode]], config_IS[Node], config_IS[Type],,0)</f>
        <v>Non-Op</v>
      </c>
      <c r="P93" t="str">
        <f>_xlfn.XLOOKUP(Jnl[[#This Row],[BSLv2]], dict[Key], dict[Name],,0)</f>
        <v>1.应收-应付</v>
      </c>
      <c r="Q93" t="str">
        <f>_xlfn.XLOOKUP(Jnl[[#This Row],[Acct]], dict[Key], dict[Name],,0)</f>
        <v>应付-薪资</v>
      </c>
      <c r="R93" t="str">
        <f>_xlfn.XLOOKUP(Jnl[[#This Row],[Vehicle]],config_vehicle[Id], config_vehicle[Name],,0)</f>
        <v>桑木</v>
      </c>
      <c r="S93" t="str">
        <f>_xlfn.XLOOKUP(Jnl[[#This Row],[Division]],config_div[Id], config_div[Name],,0)</f>
        <v>内控合规</v>
      </c>
      <c r="T93" t="str">
        <f>IF(Jnl[[#This Row],[TrxDate]]&lt;=stmt_BS_date_end, "In", "Out")</f>
        <v>In</v>
      </c>
      <c r="U93" t="str">
        <f>IF(Jnl[[#This Row],[TrxDate]]&lt;debug_date_start, "prior", IF(Jnl[[#This Row],[TrxDate]]&gt;debug_date_end, "post", "curr"))</f>
        <v>prior</v>
      </c>
    </row>
    <row r="94" spans="1:21">
      <c r="A94" s="11" t="s">
        <v>236</v>
      </c>
      <c r="B94" s="7">
        <f>_xlfn.XLOOKUP(Jnl[[#This Row],[TrxId]], Trx[Id], Trx[Date],,0)</f>
        <v>46022</v>
      </c>
      <c r="C94" s="7" t="str">
        <f>_xlfn.XLOOKUP(Jnl[[#This Row],[TrxId]], Trx[Id], Trx[Division],,0)</f>
        <v>Ctrl</v>
      </c>
      <c r="D94" s="7" t="str">
        <f>_xlfn.XLOOKUP(Jnl[[#This Row],[TrxId]], Trx[Id], Trx[Action],,0)</f>
        <v>结转</v>
      </c>
      <c r="E94" s="26" t="s">
        <v>82</v>
      </c>
      <c r="F94" s="11" t="s">
        <v>126</v>
      </c>
      <c r="G94" s="11" t="s">
        <v>307</v>
      </c>
      <c r="H94" s="72">
        <v>12329.72</v>
      </c>
      <c r="I94" s="5" t="b">
        <f>AND(Jnl[[#This Row],[TrxId]]&lt;&gt;"",Jnl[[#This Row],[Acct]]&lt;&gt;"",Jnl[[#This Row],[Item]]&lt;&gt;"",ISNUMBER(Jnl[[#This Row],[Bal]]))</f>
        <v>1</v>
      </c>
      <c r="J94" s="10">
        <f>IF(Jnl[[#This Row],[BSLv0]]="A",1,-1)*Jnl[[#This Row],[Bal]]</f>
        <v>-12329.72</v>
      </c>
      <c r="K94" t="str">
        <f>_xlfn.XLOOKUP(Jnl[[#This Row],[Acct]], config_BS[Acct], config_BS[Lv0],,0)</f>
        <v>LC</v>
      </c>
      <c r="L94" t="str">
        <f>_xlfn.XLOOKUP(Jnl[[#This Row],[Acct]], config_BS[Acct], config_BS[Lv1],,0)</f>
        <v>Liability</v>
      </c>
      <c r="M94" t="str">
        <f>_xlfn.XLOOKUP(Jnl[[#This Row],[Acct]], config_BS[Acct], config_BS[Lv2],,0)</f>
        <v>Rec-Pay</v>
      </c>
      <c r="N94" t="str">
        <f>_xlfn.XLOOKUP(Jnl[[#This Row],[TrxId]], Trx[Id], Trx[IncNode], ,0)</f>
        <v>Other</v>
      </c>
      <c r="O94" t="str">
        <f>_xlfn.XLOOKUP(Jnl[[#This Row],[IncNode]], config_IS[Node], config_IS[Type],,0)</f>
        <v>Non-Op</v>
      </c>
      <c r="P94" t="str">
        <f>_xlfn.XLOOKUP(Jnl[[#This Row],[BSLv2]], dict[Key], dict[Name],,0)</f>
        <v>1.应收-应付</v>
      </c>
      <c r="Q94" t="str">
        <f>_xlfn.XLOOKUP(Jnl[[#This Row],[Acct]], dict[Key], dict[Name],,0)</f>
        <v>应付-税款</v>
      </c>
      <c r="R94" t="str">
        <f>_xlfn.XLOOKUP(Jnl[[#This Row],[Vehicle]],config_vehicle[Id], config_vehicle[Name],,0)</f>
        <v>米小易</v>
      </c>
      <c r="S94" t="str">
        <f>_xlfn.XLOOKUP(Jnl[[#This Row],[Division]],config_div[Id], config_div[Name],,0)</f>
        <v>内控合规</v>
      </c>
      <c r="T94" t="str">
        <f>IF(Jnl[[#This Row],[TrxDate]]&lt;=stmt_BS_date_end, "In", "Out")</f>
        <v>In</v>
      </c>
      <c r="U94" t="str">
        <f>IF(Jnl[[#This Row],[TrxDate]]&lt;debug_date_start, "prior", IF(Jnl[[#This Row],[TrxDate]]&gt;debug_date_end, "post", "curr"))</f>
        <v>prior</v>
      </c>
    </row>
    <row r="95" spans="1:21">
      <c r="A95" s="11" t="s">
        <v>236</v>
      </c>
      <c r="B95" s="7">
        <f>_xlfn.XLOOKUP(Jnl[[#This Row],[TrxId]], Trx[Id], Trx[Date],,0)</f>
        <v>46022</v>
      </c>
      <c r="C95" s="7" t="str">
        <f>_xlfn.XLOOKUP(Jnl[[#This Row],[TrxId]], Trx[Id], Trx[Division],,0)</f>
        <v>Ctrl</v>
      </c>
      <c r="D95" s="7" t="str">
        <f>_xlfn.XLOOKUP(Jnl[[#This Row],[TrxId]], Trx[Id], Trx[Action],,0)</f>
        <v>结转</v>
      </c>
      <c r="E95" s="26" t="s">
        <v>82</v>
      </c>
      <c r="F95" s="11" t="s">
        <v>126</v>
      </c>
      <c r="G95" s="11" t="s">
        <v>348</v>
      </c>
      <c r="H95" s="72">
        <v>856.77</v>
      </c>
      <c r="I95" s="5" t="b">
        <f>AND(Jnl[[#This Row],[TrxId]]&lt;&gt;"",Jnl[[#This Row],[Acct]]&lt;&gt;"",Jnl[[#This Row],[Item]]&lt;&gt;"",ISNUMBER(Jnl[[#This Row],[Bal]]))</f>
        <v>1</v>
      </c>
      <c r="J95" s="10">
        <f>IF(Jnl[[#This Row],[BSLv0]]="A",1,-1)*Jnl[[#This Row],[Bal]]</f>
        <v>-856.77</v>
      </c>
      <c r="K95" t="str">
        <f>_xlfn.XLOOKUP(Jnl[[#This Row],[Acct]], config_BS[Acct], config_BS[Lv0],,0)</f>
        <v>LC</v>
      </c>
      <c r="L95" t="str">
        <f>_xlfn.XLOOKUP(Jnl[[#This Row],[Acct]], config_BS[Acct], config_BS[Lv1],,0)</f>
        <v>Liability</v>
      </c>
      <c r="M95" t="str">
        <f>_xlfn.XLOOKUP(Jnl[[#This Row],[Acct]], config_BS[Acct], config_BS[Lv2],,0)</f>
        <v>Rec-Pay</v>
      </c>
      <c r="N95" t="str">
        <f>_xlfn.XLOOKUP(Jnl[[#This Row],[TrxId]], Trx[Id], Trx[IncNode], ,0)</f>
        <v>Other</v>
      </c>
      <c r="O95" t="str">
        <f>_xlfn.XLOOKUP(Jnl[[#This Row],[IncNode]], config_IS[Node], config_IS[Type],,0)</f>
        <v>Non-Op</v>
      </c>
      <c r="P95" t="str">
        <f>_xlfn.XLOOKUP(Jnl[[#This Row],[BSLv2]], dict[Key], dict[Name],,0)</f>
        <v>1.应收-应付</v>
      </c>
      <c r="Q95" t="str">
        <f>_xlfn.XLOOKUP(Jnl[[#This Row],[Acct]], dict[Key], dict[Name],,0)</f>
        <v>应付-税款</v>
      </c>
      <c r="R95" t="str">
        <f>_xlfn.XLOOKUP(Jnl[[#This Row],[Vehicle]],config_vehicle[Id], config_vehicle[Name],,0)</f>
        <v>米小易</v>
      </c>
      <c r="S95" t="str">
        <f>_xlfn.XLOOKUP(Jnl[[#This Row],[Division]],config_div[Id], config_div[Name],,0)</f>
        <v>内控合规</v>
      </c>
      <c r="T95" t="str">
        <f>IF(Jnl[[#This Row],[TrxDate]]&lt;=stmt_BS_date_end, "In", "Out")</f>
        <v>In</v>
      </c>
      <c r="U95" t="str">
        <f>IF(Jnl[[#This Row],[TrxDate]]&lt;debug_date_start, "prior", IF(Jnl[[#This Row],[TrxDate]]&gt;debug_date_end, "post", "curr"))</f>
        <v>prior</v>
      </c>
    </row>
    <row r="96" spans="1:21">
      <c r="A96" s="11" t="s">
        <v>236</v>
      </c>
      <c r="B96" s="7">
        <f>_xlfn.XLOOKUP(Jnl[[#This Row],[TrxId]], Trx[Id], Trx[Date],,0)</f>
        <v>46022</v>
      </c>
      <c r="C96" s="7" t="str">
        <f>_xlfn.XLOOKUP(Jnl[[#This Row],[TrxId]], Trx[Id], Trx[Division],,0)</f>
        <v>Ctrl</v>
      </c>
      <c r="D96" s="7" t="str">
        <f>_xlfn.XLOOKUP(Jnl[[#This Row],[TrxId]], Trx[Id], Trx[Action],,0)</f>
        <v>结转</v>
      </c>
      <c r="E96" s="26" t="s">
        <v>82</v>
      </c>
      <c r="F96" s="11" t="s">
        <v>126</v>
      </c>
      <c r="G96" s="11" t="s">
        <v>349</v>
      </c>
      <c r="H96" s="72">
        <v>72.72</v>
      </c>
      <c r="I96" s="5" t="b">
        <f>AND(Jnl[[#This Row],[TrxId]]&lt;&gt;"",Jnl[[#This Row],[Acct]]&lt;&gt;"",Jnl[[#This Row],[Item]]&lt;&gt;"",ISNUMBER(Jnl[[#This Row],[Bal]]))</f>
        <v>1</v>
      </c>
      <c r="J96" s="10">
        <f>IF(Jnl[[#This Row],[BSLv0]]="A",1,-1)*Jnl[[#This Row],[Bal]]</f>
        <v>-72.72</v>
      </c>
      <c r="K96" t="str">
        <f>_xlfn.XLOOKUP(Jnl[[#This Row],[Acct]], config_BS[Acct], config_BS[Lv0],,0)</f>
        <v>LC</v>
      </c>
      <c r="L96" t="str">
        <f>_xlfn.XLOOKUP(Jnl[[#This Row],[Acct]], config_BS[Acct], config_BS[Lv1],,0)</f>
        <v>Liability</v>
      </c>
      <c r="M96" t="str">
        <f>_xlfn.XLOOKUP(Jnl[[#This Row],[Acct]], config_BS[Acct], config_BS[Lv2],,0)</f>
        <v>Rec-Pay</v>
      </c>
      <c r="N96" t="str">
        <f>_xlfn.XLOOKUP(Jnl[[#This Row],[TrxId]], Trx[Id], Trx[IncNode], ,0)</f>
        <v>Other</v>
      </c>
      <c r="O96" t="str">
        <f>_xlfn.XLOOKUP(Jnl[[#This Row],[IncNode]], config_IS[Node], config_IS[Type],,0)</f>
        <v>Non-Op</v>
      </c>
      <c r="P96" t="str">
        <f>_xlfn.XLOOKUP(Jnl[[#This Row],[BSLv2]], dict[Key], dict[Name],,0)</f>
        <v>1.应收-应付</v>
      </c>
      <c r="Q96" t="str">
        <f>_xlfn.XLOOKUP(Jnl[[#This Row],[Acct]], dict[Key], dict[Name],,0)</f>
        <v>应付-税款</v>
      </c>
      <c r="R96" t="str">
        <f>_xlfn.XLOOKUP(Jnl[[#This Row],[Vehicle]],config_vehicle[Id], config_vehicle[Name],,0)</f>
        <v>米小易</v>
      </c>
      <c r="S96" t="str">
        <f>_xlfn.XLOOKUP(Jnl[[#This Row],[Division]],config_div[Id], config_div[Name],,0)</f>
        <v>内控合规</v>
      </c>
      <c r="T96" t="str">
        <f>IF(Jnl[[#This Row],[TrxDate]]&lt;=stmt_BS_date_end, "In", "Out")</f>
        <v>In</v>
      </c>
      <c r="U96" t="str">
        <f>IF(Jnl[[#This Row],[TrxDate]]&lt;debug_date_start, "prior", IF(Jnl[[#This Row],[TrxDate]]&gt;debug_date_end, "post", "curr"))</f>
        <v>prior</v>
      </c>
    </row>
    <row r="97" spans="1:21">
      <c r="A97" s="11" t="s">
        <v>236</v>
      </c>
      <c r="B97" s="7">
        <f>_xlfn.XLOOKUP(Jnl[[#This Row],[TrxId]], Trx[Id], Trx[Date],,0)</f>
        <v>46022</v>
      </c>
      <c r="C97" s="7" t="str">
        <f>_xlfn.XLOOKUP(Jnl[[#This Row],[TrxId]], Trx[Id], Trx[Division],,0)</f>
        <v>Ctrl</v>
      </c>
      <c r="D97" s="7" t="str">
        <f>_xlfn.XLOOKUP(Jnl[[#This Row],[TrxId]], Trx[Id], Trx[Action],,0)</f>
        <v>结转</v>
      </c>
      <c r="E97" s="26" t="s">
        <v>82</v>
      </c>
      <c r="F97" s="11" t="s">
        <v>126</v>
      </c>
      <c r="G97" s="11" t="s">
        <v>347</v>
      </c>
      <c r="H97" s="72">
        <v>17202.16</v>
      </c>
      <c r="I97" s="5" t="b">
        <f>AND(Jnl[[#This Row],[TrxId]]&lt;&gt;"",Jnl[[#This Row],[Acct]]&lt;&gt;"",Jnl[[#This Row],[Item]]&lt;&gt;"",ISNUMBER(Jnl[[#This Row],[Bal]]))</f>
        <v>1</v>
      </c>
      <c r="J97" s="10">
        <f>IF(Jnl[[#This Row],[BSLv0]]="A",1,-1)*Jnl[[#This Row],[Bal]]</f>
        <v>-17202.16</v>
      </c>
      <c r="K97" t="str">
        <f>_xlfn.XLOOKUP(Jnl[[#This Row],[Acct]], config_BS[Acct], config_BS[Lv0],,0)</f>
        <v>LC</v>
      </c>
      <c r="L97" t="str">
        <f>_xlfn.XLOOKUP(Jnl[[#This Row],[Acct]], config_BS[Acct], config_BS[Lv1],,0)</f>
        <v>Liability</v>
      </c>
      <c r="M97" t="str">
        <f>_xlfn.XLOOKUP(Jnl[[#This Row],[Acct]], config_BS[Acct], config_BS[Lv2],,0)</f>
        <v>Rec-Pay</v>
      </c>
      <c r="N97" t="str">
        <f>_xlfn.XLOOKUP(Jnl[[#This Row],[TrxId]], Trx[Id], Trx[IncNode], ,0)</f>
        <v>Other</v>
      </c>
      <c r="O97" t="str">
        <f>_xlfn.XLOOKUP(Jnl[[#This Row],[IncNode]], config_IS[Node], config_IS[Type],,0)</f>
        <v>Non-Op</v>
      </c>
      <c r="P97" t="str">
        <f>_xlfn.XLOOKUP(Jnl[[#This Row],[BSLv2]], dict[Key], dict[Name],,0)</f>
        <v>1.应收-应付</v>
      </c>
      <c r="Q97" t="str">
        <f>_xlfn.XLOOKUP(Jnl[[#This Row],[Acct]], dict[Key], dict[Name],,0)</f>
        <v>应付-税款</v>
      </c>
      <c r="R97" t="str">
        <f>_xlfn.XLOOKUP(Jnl[[#This Row],[Vehicle]],config_vehicle[Id], config_vehicle[Name],,0)</f>
        <v>米小易</v>
      </c>
      <c r="S97" t="str">
        <f>_xlfn.XLOOKUP(Jnl[[#This Row],[Division]],config_div[Id], config_div[Name],,0)</f>
        <v>内控合规</v>
      </c>
      <c r="T97" t="str">
        <f>IF(Jnl[[#This Row],[TrxDate]]&lt;=stmt_BS_date_end, "In", "Out")</f>
        <v>In</v>
      </c>
      <c r="U97" t="str">
        <f>IF(Jnl[[#This Row],[TrxDate]]&lt;debug_date_start, "prior", IF(Jnl[[#This Row],[TrxDate]]&gt;debug_date_end, "post", "curr"))</f>
        <v>prior</v>
      </c>
    </row>
    <row r="98" spans="1:21">
      <c r="A98" s="11" t="s">
        <v>236</v>
      </c>
      <c r="B98" s="7">
        <f>_xlfn.XLOOKUP(Jnl[[#This Row],[TrxId]], Trx[Id], Trx[Date],,0)</f>
        <v>46022</v>
      </c>
      <c r="C98" s="7" t="str">
        <f>_xlfn.XLOOKUP(Jnl[[#This Row],[TrxId]], Trx[Id], Trx[Division],,0)</f>
        <v>Ctrl</v>
      </c>
      <c r="D98" s="7" t="str">
        <f>_xlfn.XLOOKUP(Jnl[[#This Row],[TrxId]], Trx[Id], Trx[Action],,0)</f>
        <v>结转</v>
      </c>
      <c r="E98" s="26" t="s">
        <v>82</v>
      </c>
      <c r="F98" s="11" t="s">
        <v>188</v>
      </c>
      <c r="G98" s="11" t="s">
        <v>149</v>
      </c>
      <c r="H98" s="72">
        <v>156507.97</v>
      </c>
      <c r="I98" s="5" t="b">
        <f>AND(Jnl[[#This Row],[TrxId]]&lt;&gt;"",Jnl[[#This Row],[Acct]]&lt;&gt;"",Jnl[[#This Row],[Item]]&lt;&gt;"",ISNUMBER(Jnl[[#This Row],[Bal]]))</f>
        <v>1</v>
      </c>
      <c r="J98" s="10">
        <f>IF(Jnl[[#This Row],[BSLv0]]="A",1,-1)*Jnl[[#This Row],[Bal]]</f>
        <v>-156507.97</v>
      </c>
      <c r="K98" t="str">
        <f>_xlfn.XLOOKUP(Jnl[[#This Row],[Acct]], config_BS[Acct], config_BS[Lv0],,0)</f>
        <v>LC</v>
      </c>
      <c r="L98" t="str">
        <f>_xlfn.XLOOKUP(Jnl[[#This Row],[Acct]], config_BS[Acct], config_BS[Lv1],,0)</f>
        <v>Liability</v>
      </c>
      <c r="M98" t="str">
        <f>_xlfn.XLOOKUP(Jnl[[#This Row],[Acct]], config_BS[Acct], config_BS[Lv2],,0)</f>
        <v>Rec-Pay</v>
      </c>
      <c r="N98" t="str">
        <f>_xlfn.XLOOKUP(Jnl[[#This Row],[TrxId]], Trx[Id], Trx[IncNode], ,0)</f>
        <v>Other</v>
      </c>
      <c r="O98" t="str">
        <f>_xlfn.XLOOKUP(Jnl[[#This Row],[IncNode]], config_IS[Node], config_IS[Type],,0)</f>
        <v>Non-Op</v>
      </c>
      <c r="P98" t="str">
        <f>_xlfn.XLOOKUP(Jnl[[#This Row],[BSLv2]], dict[Key], dict[Name],,0)</f>
        <v>1.应收-应付</v>
      </c>
      <c r="Q98" t="str">
        <f>_xlfn.XLOOKUP(Jnl[[#This Row],[Acct]], dict[Key], dict[Name],,0)</f>
        <v>应付-薪资</v>
      </c>
      <c r="R98" t="str">
        <f>_xlfn.XLOOKUP(Jnl[[#This Row],[Vehicle]],config_vehicle[Id], config_vehicle[Name],,0)</f>
        <v>米小易</v>
      </c>
      <c r="S98" t="str">
        <f>_xlfn.XLOOKUP(Jnl[[#This Row],[Division]],config_div[Id], config_div[Name],,0)</f>
        <v>内控合规</v>
      </c>
      <c r="T98" t="str">
        <f>IF(Jnl[[#This Row],[TrxDate]]&lt;=stmt_BS_date_end, "In", "Out")</f>
        <v>In</v>
      </c>
      <c r="U98" t="str">
        <f>IF(Jnl[[#This Row],[TrxDate]]&lt;debug_date_start, "prior", IF(Jnl[[#This Row],[TrxDate]]&gt;debug_date_end, "post", "curr"))</f>
        <v>prior</v>
      </c>
    </row>
    <row r="99" spans="1:21">
      <c r="A99" s="11" t="s">
        <v>236</v>
      </c>
      <c r="B99" s="7">
        <f>_xlfn.XLOOKUP(Jnl[[#This Row],[TrxId]], Trx[Id], Trx[Date],,0)</f>
        <v>46022</v>
      </c>
      <c r="C99" s="7" t="str">
        <f>_xlfn.XLOOKUP(Jnl[[#This Row],[TrxId]], Trx[Id], Trx[Division],,0)</f>
        <v>Ctrl</v>
      </c>
      <c r="D99" s="7" t="str">
        <f>_xlfn.XLOOKUP(Jnl[[#This Row],[TrxId]], Trx[Id], Trx[Action],,0)</f>
        <v>结转</v>
      </c>
      <c r="E99" s="26" t="s">
        <v>82</v>
      </c>
      <c r="F99" s="11" t="s">
        <v>195</v>
      </c>
      <c r="G99" s="11" t="s">
        <v>914</v>
      </c>
      <c r="H99" s="72">
        <v>268736.28000000003</v>
      </c>
      <c r="I99" s="5" t="b">
        <f>AND(Jnl[[#This Row],[TrxId]]&lt;&gt;"",Jnl[[#This Row],[Acct]]&lt;&gt;"",Jnl[[#This Row],[Item]]&lt;&gt;"",ISNUMBER(Jnl[[#This Row],[Bal]]))</f>
        <v>1</v>
      </c>
      <c r="J99" s="10">
        <f>IF(Jnl[[#This Row],[BSLv0]]="A",1,-1)*Jnl[[#This Row],[Bal]]</f>
        <v>-268736.28000000003</v>
      </c>
      <c r="K99" t="str">
        <f>_xlfn.XLOOKUP(Jnl[[#This Row],[Acct]], config_BS[Acct], config_BS[Lv0],,0)</f>
        <v>LC</v>
      </c>
      <c r="L99" t="str">
        <f>_xlfn.XLOOKUP(Jnl[[#This Row],[Acct]], config_BS[Acct], config_BS[Lv1],,0)</f>
        <v>Liability</v>
      </c>
      <c r="M99" t="str">
        <f>_xlfn.XLOOKUP(Jnl[[#This Row],[Acct]], config_BS[Acct], config_BS[Lv2],,0)</f>
        <v>Cash alike</v>
      </c>
      <c r="N99" t="str">
        <f>_xlfn.XLOOKUP(Jnl[[#This Row],[TrxId]], Trx[Id], Trx[IncNode], ,0)</f>
        <v>Other</v>
      </c>
      <c r="O99" t="str">
        <f>_xlfn.XLOOKUP(Jnl[[#This Row],[IncNode]], config_IS[Node], config_IS[Type],,0)</f>
        <v>Non-Op</v>
      </c>
      <c r="P99" t="str">
        <f>_xlfn.XLOOKUP(Jnl[[#This Row],[BSLv2]], dict[Key], dict[Name],,0)</f>
        <v>0.现金及类似</v>
      </c>
      <c r="Q99" t="str">
        <f>_xlfn.XLOOKUP(Jnl[[#This Row],[Acct]], dict[Key], dict[Name],,0)</f>
        <v>会员充值</v>
      </c>
      <c r="R99" t="str">
        <f>_xlfn.XLOOKUP(Jnl[[#This Row],[Vehicle]],config_vehicle[Id], config_vehicle[Name],,0)</f>
        <v>米小易</v>
      </c>
      <c r="S99" t="str">
        <f>_xlfn.XLOOKUP(Jnl[[#This Row],[Division]],config_div[Id], config_div[Name],,0)</f>
        <v>内控合规</v>
      </c>
      <c r="T99" t="str">
        <f>IF(Jnl[[#This Row],[TrxDate]]&lt;=stmt_BS_date_end, "In", "Out")</f>
        <v>In</v>
      </c>
      <c r="U99" t="str">
        <f>IF(Jnl[[#This Row],[TrxDate]]&lt;debug_date_start, "prior", IF(Jnl[[#This Row],[TrxDate]]&gt;debug_date_end, "post", "curr"))</f>
        <v>prior</v>
      </c>
    </row>
    <row r="100" spans="1:21">
      <c r="A100" s="11" t="s">
        <v>236</v>
      </c>
      <c r="B100" s="7">
        <f>_xlfn.XLOOKUP(Jnl[[#This Row],[TrxId]], Trx[Id], Trx[Date],,0)</f>
        <v>46022</v>
      </c>
      <c r="C100" s="7" t="str">
        <f>_xlfn.XLOOKUP(Jnl[[#This Row],[TrxId]], Trx[Id], Trx[Division],,0)</f>
        <v>Ctrl</v>
      </c>
      <c r="D100" s="7" t="str">
        <f>_xlfn.XLOOKUP(Jnl[[#This Row],[TrxId]], Trx[Id], Trx[Action],,0)</f>
        <v>结转</v>
      </c>
      <c r="E100" s="26" t="s">
        <v>83</v>
      </c>
      <c r="F100" s="11" t="s">
        <v>126</v>
      </c>
      <c r="G100" s="11" t="s">
        <v>148</v>
      </c>
      <c r="H100" s="72">
        <v>12351.18</v>
      </c>
      <c r="I100" s="5" t="b">
        <f>AND(Jnl[[#This Row],[TrxId]]&lt;&gt;"",Jnl[[#This Row],[Acct]]&lt;&gt;"",Jnl[[#This Row],[Item]]&lt;&gt;"",ISNUMBER(Jnl[[#This Row],[Bal]]))</f>
        <v>1</v>
      </c>
      <c r="J100" s="10">
        <f>IF(Jnl[[#This Row],[BSLv0]]="A",1,-1)*Jnl[[#This Row],[Bal]]</f>
        <v>-12351.18</v>
      </c>
      <c r="K100" t="str">
        <f>_xlfn.XLOOKUP(Jnl[[#This Row],[Acct]], config_BS[Acct], config_BS[Lv0],,0)</f>
        <v>LC</v>
      </c>
      <c r="L100" t="str">
        <f>_xlfn.XLOOKUP(Jnl[[#This Row],[Acct]], config_BS[Acct], config_BS[Lv1],,0)</f>
        <v>Liability</v>
      </c>
      <c r="M100" t="str">
        <f>_xlfn.XLOOKUP(Jnl[[#This Row],[Acct]], config_BS[Acct], config_BS[Lv2],,0)</f>
        <v>Rec-Pay</v>
      </c>
      <c r="N100" t="str">
        <f>_xlfn.XLOOKUP(Jnl[[#This Row],[TrxId]], Trx[Id], Trx[IncNode], ,0)</f>
        <v>Other</v>
      </c>
      <c r="O100" t="str">
        <f>_xlfn.XLOOKUP(Jnl[[#This Row],[IncNode]], config_IS[Node], config_IS[Type],,0)</f>
        <v>Non-Op</v>
      </c>
      <c r="P100" t="str">
        <f>_xlfn.XLOOKUP(Jnl[[#This Row],[BSLv2]], dict[Key], dict[Name],,0)</f>
        <v>1.应收-应付</v>
      </c>
      <c r="Q100" t="str">
        <f>_xlfn.XLOOKUP(Jnl[[#This Row],[Acct]], dict[Key], dict[Name],,0)</f>
        <v>应付-税款</v>
      </c>
      <c r="R100" t="str">
        <f>_xlfn.XLOOKUP(Jnl[[#This Row],[Vehicle]],config_vehicle[Id], config_vehicle[Name],,0)</f>
        <v>远家文化</v>
      </c>
      <c r="S100" t="str">
        <f>_xlfn.XLOOKUP(Jnl[[#This Row],[Division]],config_div[Id], config_div[Name],,0)</f>
        <v>内控合规</v>
      </c>
      <c r="T100" t="str">
        <f>IF(Jnl[[#This Row],[TrxDate]]&lt;=stmt_BS_date_end, "In", "Out")</f>
        <v>In</v>
      </c>
      <c r="U100" t="str">
        <f>IF(Jnl[[#This Row],[TrxDate]]&lt;debug_date_start, "prior", IF(Jnl[[#This Row],[TrxDate]]&gt;debug_date_end, "post", "curr"))</f>
        <v>prior</v>
      </c>
    </row>
    <row r="101" spans="1:21">
      <c r="A101" s="11" t="s">
        <v>236</v>
      </c>
      <c r="B101" s="7">
        <f>_xlfn.XLOOKUP(Jnl[[#This Row],[TrxId]], Trx[Id], Trx[Date],,0)</f>
        <v>46022</v>
      </c>
      <c r="C101" s="7" t="str">
        <f>_xlfn.XLOOKUP(Jnl[[#This Row],[TrxId]], Trx[Id], Trx[Division],,0)</f>
        <v>Ctrl</v>
      </c>
      <c r="D101" s="7" t="str">
        <f>_xlfn.XLOOKUP(Jnl[[#This Row],[TrxId]], Trx[Id], Trx[Action],,0)</f>
        <v>结转</v>
      </c>
      <c r="E101" s="26" t="s">
        <v>83</v>
      </c>
      <c r="F101" s="11" t="s">
        <v>188</v>
      </c>
      <c r="G101" s="11" t="s">
        <v>149</v>
      </c>
      <c r="H101" s="72">
        <v>112127.37</v>
      </c>
      <c r="I101" s="5" t="b">
        <f>AND(Jnl[[#This Row],[TrxId]]&lt;&gt;"",Jnl[[#This Row],[Acct]]&lt;&gt;"",Jnl[[#This Row],[Item]]&lt;&gt;"",ISNUMBER(Jnl[[#This Row],[Bal]]))</f>
        <v>1</v>
      </c>
      <c r="J101" s="10">
        <f>IF(Jnl[[#This Row],[BSLv0]]="A",1,-1)*Jnl[[#This Row],[Bal]]</f>
        <v>-112127.37</v>
      </c>
      <c r="K101" t="str">
        <f>_xlfn.XLOOKUP(Jnl[[#This Row],[Acct]], config_BS[Acct], config_BS[Lv0],,0)</f>
        <v>LC</v>
      </c>
      <c r="L101" t="str">
        <f>_xlfn.XLOOKUP(Jnl[[#This Row],[Acct]], config_BS[Acct], config_BS[Lv1],,0)</f>
        <v>Liability</v>
      </c>
      <c r="M101" t="str">
        <f>_xlfn.XLOOKUP(Jnl[[#This Row],[Acct]], config_BS[Acct], config_BS[Lv2],,0)</f>
        <v>Rec-Pay</v>
      </c>
      <c r="N101" t="str">
        <f>_xlfn.XLOOKUP(Jnl[[#This Row],[TrxId]], Trx[Id], Trx[IncNode], ,0)</f>
        <v>Other</v>
      </c>
      <c r="O101" t="str">
        <f>_xlfn.XLOOKUP(Jnl[[#This Row],[IncNode]], config_IS[Node], config_IS[Type],,0)</f>
        <v>Non-Op</v>
      </c>
      <c r="P101" t="str">
        <f>_xlfn.XLOOKUP(Jnl[[#This Row],[BSLv2]], dict[Key], dict[Name],,0)</f>
        <v>1.应收-应付</v>
      </c>
      <c r="Q101" t="str">
        <f>_xlfn.XLOOKUP(Jnl[[#This Row],[Acct]], dict[Key], dict[Name],,0)</f>
        <v>应付-薪资</v>
      </c>
      <c r="R101" t="str">
        <f>_xlfn.XLOOKUP(Jnl[[#This Row],[Vehicle]],config_vehicle[Id], config_vehicle[Name],,0)</f>
        <v>远家文化</v>
      </c>
      <c r="S101" t="str">
        <f>_xlfn.XLOOKUP(Jnl[[#This Row],[Division]],config_div[Id], config_div[Name],,0)</f>
        <v>内控合规</v>
      </c>
      <c r="T101" t="str">
        <f>IF(Jnl[[#This Row],[TrxDate]]&lt;=stmt_BS_date_end, "In", "Out")</f>
        <v>In</v>
      </c>
      <c r="U101" t="str">
        <f>IF(Jnl[[#This Row],[TrxDate]]&lt;debug_date_start, "prior", IF(Jnl[[#This Row],[TrxDate]]&gt;debug_date_end, "post", "curr"))</f>
        <v>prior</v>
      </c>
    </row>
    <row r="102" spans="1:21">
      <c r="A102" s="11" t="s">
        <v>236</v>
      </c>
      <c r="B102" s="7">
        <f>_xlfn.XLOOKUP(Jnl[[#This Row],[TrxId]], Trx[Id], Trx[Date],,0)</f>
        <v>46022</v>
      </c>
      <c r="C102" s="7" t="str">
        <f>_xlfn.XLOOKUP(Jnl[[#This Row],[TrxId]], Trx[Id], Trx[Division],,0)</f>
        <v>Ctrl</v>
      </c>
      <c r="D102" s="7" t="str">
        <f>_xlfn.XLOOKUP(Jnl[[#This Row],[TrxId]], Trx[Id], Trx[Action],,0)</f>
        <v>结转</v>
      </c>
      <c r="E102" s="26" t="s">
        <v>83</v>
      </c>
      <c r="F102" s="11" t="s">
        <v>195</v>
      </c>
      <c r="G102" s="11" t="s">
        <v>920</v>
      </c>
      <c r="H102" s="72">
        <v>389468.04000000004</v>
      </c>
      <c r="I102" s="5" t="b">
        <f>AND(Jnl[[#This Row],[TrxId]]&lt;&gt;"",Jnl[[#This Row],[Acct]]&lt;&gt;"",Jnl[[#This Row],[Item]]&lt;&gt;"",ISNUMBER(Jnl[[#This Row],[Bal]]))</f>
        <v>1</v>
      </c>
      <c r="J102" s="10">
        <f>IF(Jnl[[#This Row],[BSLv0]]="A",1,-1)*Jnl[[#This Row],[Bal]]</f>
        <v>-389468.04000000004</v>
      </c>
      <c r="K102" t="str">
        <f>_xlfn.XLOOKUP(Jnl[[#This Row],[Acct]], config_BS[Acct], config_BS[Lv0],,0)</f>
        <v>LC</v>
      </c>
      <c r="L102" t="str">
        <f>_xlfn.XLOOKUP(Jnl[[#This Row],[Acct]], config_BS[Acct], config_BS[Lv1],,0)</f>
        <v>Liability</v>
      </c>
      <c r="M102" t="str">
        <f>_xlfn.XLOOKUP(Jnl[[#This Row],[Acct]], config_BS[Acct], config_BS[Lv2],,0)</f>
        <v>Cash alike</v>
      </c>
      <c r="N102" t="str">
        <f>_xlfn.XLOOKUP(Jnl[[#This Row],[TrxId]], Trx[Id], Trx[IncNode], ,0)</f>
        <v>Other</v>
      </c>
      <c r="O102" t="str">
        <f>_xlfn.XLOOKUP(Jnl[[#This Row],[IncNode]], config_IS[Node], config_IS[Type],,0)</f>
        <v>Non-Op</v>
      </c>
      <c r="P102" t="str">
        <f>_xlfn.XLOOKUP(Jnl[[#This Row],[BSLv2]], dict[Key], dict[Name],,0)</f>
        <v>0.现金及类似</v>
      </c>
      <c r="Q102" t="str">
        <f>_xlfn.XLOOKUP(Jnl[[#This Row],[Acct]], dict[Key], dict[Name],,0)</f>
        <v>会员充值</v>
      </c>
      <c r="R102" t="str">
        <f>_xlfn.XLOOKUP(Jnl[[#This Row],[Vehicle]],config_vehicle[Id], config_vehicle[Name],,0)</f>
        <v>远家文化</v>
      </c>
      <c r="S102" t="str">
        <f>_xlfn.XLOOKUP(Jnl[[#This Row],[Division]],config_div[Id], config_div[Name],,0)</f>
        <v>内控合规</v>
      </c>
      <c r="T102" t="str">
        <f>IF(Jnl[[#This Row],[TrxDate]]&lt;=stmt_BS_date_end, "In", "Out")</f>
        <v>In</v>
      </c>
      <c r="U102" t="str">
        <f>IF(Jnl[[#This Row],[TrxDate]]&lt;debug_date_start, "prior", IF(Jnl[[#This Row],[TrxDate]]&gt;debug_date_end, "post", "curr"))</f>
        <v>prior</v>
      </c>
    </row>
    <row r="103" spans="1:21">
      <c r="A103" s="11" t="s">
        <v>236</v>
      </c>
      <c r="B103" s="7">
        <f>_xlfn.XLOOKUP(Jnl[[#This Row],[TrxId]], Trx[Id], Trx[Date],,0)</f>
        <v>46022</v>
      </c>
      <c r="C103" s="7" t="str">
        <f>_xlfn.XLOOKUP(Jnl[[#This Row],[TrxId]], Trx[Id], Trx[Division],,0)</f>
        <v>Ctrl</v>
      </c>
      <c r="D103" s="7" t="str">
        <f>_xlfn.XLOOKUP(Jnl[[#This Row],[TrxId]], Trx[Id], Trx[Action],,0)</f>
        <v>结转</v>
      </c>
      <c r="E103" s="26" t="s">
        <v>83</v>
      </c>
      <c r="F103" s="11" t="s">
        <v>130</v>
      </c>
      <c r="G103" s="11" t="s">
        <v>197</v>
      </c>
      <c r="H103" s="72">
        <v>5997.5</v>
      </c>
      <c r="I103" s="5" t="b">
        <f>AND(Jnl[[#This Row],[TrxId]]&lt;&gt;"",Jnl[[#This Row],[Acct]]&lt;&gt;"",Jnl[[#This Row],[Item]]&lt;&gt;"",ISNUMBER(Jnl[[#This Row],[Bal]]))</f>
        <v>1</v>
      </c>
      <c r="J103" s="10">
        <f>IF(Jnl[[#This Row],[BSLv0]]="A",1,-1)*Jnl[[#This Row],[Bal]]</f>
        <v>-5997.5</v>
      </c>
      <c r="K103" t="str">
        <f>_xlfn.XLOOKUP(Jnl[[#This Row],[Acct]], config_BS[Acct], config_BS[Lv0],,0)</f>
        <v>LC</v>
      </c>
      <c r="L103" t="str">
        <f>_xlfn.XLOOKUP(Jnl[[#This Row],[Acct]], config_BS[Acct], config_BS[Lv1],,0)</f>
        <v>Liability</v>
      </c>
      <c r="M103" t="str">
        <f>_xlfn.XLOOKUP(Jnl[[#This Row],[Acct]], config_BS[Acct], config_BS[Lv2],,0)</f>
        <v>Rec-Pay</v>
      </c>
      <c r="N103" t="str">
        <f>_xlfn.XLOOKUP(Jnl[[#This Row],[TrxId]], Trx[Id], Trx[IncNode], ,0)</f>
        <v>Other</v>
      </c>
      <c r="O103" t="str">
        <f>_xlfn.XLOOKUP(Jnl[[#This Row],[IncNode]], config_IS[Node], config_IS[Type],,0)</f>
        <v>Non-Op</v>
      </c>
      <c r="P103" t="str">
        <f>_xlfn.XLOOKUP(Jnl[[#This Row],[BSLv2]], dict[Key], dict[Name],,0)</f>
        <v>1.应收-应付</v>
      </c>
      <c r="Q103" t="str">
        <f>_xlfn.XLOOKUP(Jnl[[#This Row],[Acct]], dict[Key], dict[Name],,0)</f>
        <v>应付-其他</v>
      </c>
      <c r="R103" t="str">
        <f>_xlfn.XLOOKUP(Jnl[[#This Row],[Vehicle]],config_vehicle[Id], config_vehicle[Name],,0)</f>
        <v>远家文化</v>
      </c>
      <c r="S103" t="str">
        <f>_xlfn.XLOOKUP(Jnl[[#This Row],[Division]],config_div[Id], config_div[Name],,0)</f>
        <v>内控合规</v>
      </c>
      <c r="T103" t="str">
        <f>IF(Jnl[[#This Row],[TrxDate]]&lt;=stmt_BS_date_end, "In", "Out")</f>
        <v>In</v>
      </c>
      <c r="U103" t="str">
        <f>IF(Jnl[[#This Row],[TrxDate]]&lt;debug_date_start, "prior", IF(Jnl[[#This Row],[TrxDate]]&gt;debug_date_end, "post", "curr"))</f>
        <v>prior</v>
      </c>
    </row>
    <row r="104" spans="1:21">
      <c r="A104" s="11" t="s">
        <v>236</v>
      </c>
      <c r="B104" s="7">
        <f>_xlfn.XLOOKUP(Jnl[[#This Row],[TrxId]], Trx[Id], Trx[Date],,0)</f>
        <v>46022</v>
      </c>
      <c r="C104" s="7" t="str">
        <f>_xlfn.XLOOKUP(Jnl[[#This Row],[TrxId]], Trx[Id], Trx[Division],,0)</f>
        <v>Ctrl</v>
      </c>
      <c r="D104" s="7" t="str">
        <f>_xlfn.XLOOKUP(Jnl[[#This Row],[TrxId]], Trx[Id], Trx[Action],,0)</f>
        <v>结转</v>
      </c>
      <c r="E104" s="26" t="s">
        <v>83</v>
      </c>
      <c r="F104" s="11" t="s">
        <v>114</v>
      </c>
      <c r="G104" s="11" t="s">
        <v>1125</v>
      </c>
      <c r="H104" s="72">
        <v>25551.3</v>
      </c>
      <c r="I104" s="5" t="b">
        <f>AND(Jnl[[#This Row],[TrxId]]&lt;&gt;"",Jnl[[#This Row],[Acct]]&lt;&gt;"",Jnl[[#This Row],[Item]]&lt;&gt;"",ISNUMBER(Jnl[[#This Row],[Bal]]))</f>
        <v>1</v>
      </c>
      <c r="J104" s="10">
        <f>IF(Jnl[[#This Row],[BSLv0]]="A",1,-1)*Jnl[[#This Row],[Bal]]</f>
        <v>-25551.3</v>
      </c>
      <c r="K104" t="str">
        <f>_xlfn.XLOOKUP(Jnl[[#This Row],[Acct]], config_BS[Acct], config_BS[Lv0],,0)</f>
        <v>LC</v>
      </c>
      <c r="L104" t="str">
        <f>_xlfn.XLOOKUP(Jnl[[#This Row],[Acct]], config_BS[Acct], config_BS[Lv1],,0)</f>
        <v>Liability</v>
      </c>
      <c r="M104" t="str">
        <f>_xlfn.XLOOKUP(Jnl[[#This Row],[Acct]], config_BS[Acct], config_BS[Lv2],,0)</f>
        <v>Rec-Pay</v>
      </c>
      <c r="N104" t="str">
        <f>_xlfn.XLOOKUP(Jnl[[#This Row],[TrxId]], Trx[Id], Trx[IncNode], ,0)</f>
        <v>Other</v>
      </c>
      <c r="O104" t="str">
        <f>_xlfn.XLOOKUP(Jnl[[#This Row],[IncNode]], config_IS[Node], config_IS[Type],,0)</f>
        <v>Non-Op</v>
      </c>
      <c r="P104" t="str">
        <f>_xlfn.XLOOKUP(Jnl[[#This Row],[BSLv2]], dict[Key], dict[Name],,0)</f>
        <v>1.应收-应付</v>
      </c>
      <c r="Q104" t="str">
        <f>_xlfn.XLOOKUP(Jnl[[#This Row],[Acct]], dict[Key], dict[Name],,0)</f>
        <v>应付-一般</v>
      </c>
      <c r="R104" t="str">
        <f>_xlfn.XLOOKUP(Jnl[[#This Row],[Vehicle]],config_vehicle[Id], config_vehicle[Name],,0)</f>
        <v>远家文化</v>
      </c>
      <c r="S104" t="str">
        <f>_xlfn.XLOOKUP(Jnl[[#This Row],[Division]],config_div[Id], config_div[Name],,0)</f>
        <v>内控合规</v>
      </c>
      <c r="T104" t="str">
        <f>IF(Jnl[[#This Row],[TrxDate]]&lt;=stmt_BS_date_end, "In", "Out")</f>
        <v>In</v>
      </c>
      <c r="U104" t="str">
        <f>IF(Jnl[[#This Row],[TrxDate]]&lt;debug_date_start, "prior", IF(Jnl[[#This Row],[TrxDate]]&gt;debug_date_end, "post", "curr"))</f>
        <v>prior</v>
      </c>
    </row>
    <row r="105" spans="1:21">
      <c r="A105" s="11" t="s">
        <v>236</v>
      </c>
      <c r="B105" s="7">
        <f>_xlfn.XLOOKUP(Jnl[[#This Row],[TrxId]], Trx[Id], Trx[Date],,0)</f>
        <v>46022</v>
      </c>
      <c r="C105" s="7" t="str">
        <f>_xlfn.XLOOKUP(Jnl[[#This Row],[TrxId]], Trx[Id], Trx[Division],,0)</f>
        <v>Ctrl</v>
      </c>
      <c r="D105" s="7" t="str">
        <f>_xlfn.XLOOKUP(Jnl[[#This Row],[TrxId]], Trx[Id], Trx[Action],,0)</f>
        <v>结转</v>
      </c>
      <c r="E105" s="26" t="s">
        <v>83</v>
      </c>
      <c r="F105" s="11" t="s">
        <v>154</v>
      </c>
      <c r="G105" s="11" t="s">
        <v>146</v>
      </c>
      <c r="H105" s="72">
        <v>14402045</v>
      </c>
      <c r="I105" s="5" t="b">
        <f>AND(Jnl[[#This Row],[TrxId]]&lt;&gt;"",Jnl[[#This Row],[Acct]]&lt;&gt;"",Jnl[[#This Row],[Item]]&lt;&gt;"",ISNUMBER(Jnl[[#This Row],[Bal]]))</f>
        <v>1</v>
      </c>
      <c r="J105" s="10">
        <f>IF(Jnl[[#This Row],[BSLv0]]="A",1,-1)*Jnl[[#This Row],[Bal]]</f>
        <v>-14402045</v>
      </c>
      <c r="K105" t="str">
        <f>_xlfn.XLOOKUP(Jnl[[#This Row],[Acct]], config_BS[Acct], config_BS[Lv0],,0)</f>
        <v>LC</v>
      </c>
      <c r="L105" t="str">
        <f>_xlfn.XLOOKUP(Jnl[[#This Row],[Acct]], config_BS[Acct], config_BS[Lv1],,0)</f>
        <v>Equity</v>
      </c>
      <c r="M105" t="str">
        <f>_xlfn.XLOOKUP(Jnl[[#This Row],[Acct]], config_BS[Acct], config_BS[Lv2],,0)</f>
        <v>Cap</v>
      </c>
      <c r="N105" t="str">
        <f>_xlfn.XLOOKUP(Jnl[[#This Row],[TrxId]], Trx[Id], Trx[IncNode], ,0)</f>
        <v>Other</v>
      </c>
      <c r="O105" t="str">
        <f>_xlfn.XLOOKUP(Jnl[[#This Row],[IncNode]], config_IS[Node], config_IS[Type],,0)</f>
        <v>Non-Op</v>
      </c>
      <c r="P105" t="str">
        <f>_xlfn.XLOOKUP(Jnl[[#This Row],[BSLv2]], dict[Key], dict[Name],,0)</f>
        <v>X.资本</v>
      </c>
      <c r="Q105" t="str">
        <f>_xlfn.XLOOKUP(Jnl[[#This Row],[Acct]], dict[Key], dict[Name],,0)</f>
        <v>额外投入</v>
      </c>
      <c r="R105" t="str">
        <f>_xlfn.XLOOKUP(Jnl[[#This Row],[Vehicle]],config_vehicle[Id], config_vehicle[Name],,0)</f>
        <v>远家文化</v>
      </c>
      <c r="S105" t="str">
        <f>_xlfn.XLOOKUP(Jnl[[#This Row],[Division]],config_div[Id], config_div[Name],,0)</f>
        <v>内控合规</v>
      </c>
      <c r="T105" t="str">
        <f>IF(Jnl[[#This Row],[TrxDate]]&lt;=stmt_BS_date_end, "In", "Out")</f>
        <v>In</v>
      </c>
      <c r="U105" t="str">
        <f>IF(Jnl[[#This Row],[TrxDate]]&lt;debug_date_start, "prior", IF(Jnl[[#This Row],[TrxDate]]&gt;debug_date_end, "post", "curr"))</f>
        <v>prior</v>
      </c>
    </row>
    <row r="106" spans="1:21">
      <c r="A106" s="11" t="s">
        <v>236</v>
      </c>
      <c r="B106" s="7">
        <f>_xlfn.XLOOKUP(Jnl[[#This Row],[TrxId]], Trx[Id], Trx[Date],,0)</f>
        <v>46022</v>
      </c>
      <c r="C106" s="7" t="str">
        <f>_xlfn.XLOOKUP(Jnl[[#This Row],[TrxId]], Trx[Id], Trx[Division],,0)</f>
        <v>Ctrl</v>
      </c>
      <c r="D106" s="7" t="str">
        <f>_xlfn.XLOOKUP(Jnl[[#This Row],[TrxId]], Trx[Id], Trx[Action],,0)</f>
        <v>结转</v>
      </c>
      <c r="E106" s="26" t="s">
        <v>80</v>
      </c>
      <c r="F106" s="11" t="s">
        <v>16</v>
      </c>
      <c r="G106" s="11" t="s">
        <v>147</v>
      </c>
      <c r="H106" s="72">
        <v>1000000</v>
      </c>
      <c r="I106" s="5" t="b">
        <f>AND(Jnl[[#This Row],[TrxId]]&lt;&gt;"",Jnl[[#This Row],[Acct]]&lt;&gt;"",Jnl[[#This Row],[Item]]&lt;&gt;"",ISNUMBER(Jnl[[#This Row],[Bal]]))</f>
        <v>1</v>
      </c>
      <c r="J106" s="10">
        <f>IF(Jnl[[#This Row],[BSLv0]]="A",1,-1)*Jnl[[#This Row],[Bal]]</f>
        <v>-1000000</v>
      </c>
      <c r="K106" t="str">
        <f>_xlfn.XLOOKUP(Jnl[[#This Row],[Acct]], config_BS[Acct], config_BS[Lv0],,0)</f>
        <v>LC</v>
      </c>
      <c r="L106" t="str">
        <f>_xlfn.XLOOKUP(Jnl[[#This Row],[Acct]], config_BS[Acct], config_BS[Lv1],,0)</f>
        <v>Equity</v>
      </c>
      <c r="M106" t="str">
        <f>_xlfn.XLOOKUP(Jnl[[#This Row],[Acct]], config_BS[Acct], config_BS[Lv2],,0)</f>
        <v>Cap</v>
      </c>
      <c r="N106" t="str">
        <f>_xlfn.XLOOKUP(Jnl[[#This Row],[TrxId]], Trx[Id], Trx[IncNode], ,0)</f>
        <v>Other</v>
      </c>
      <c r="O106" t="str">
        <f>_xlfn.XLOOKUP(Jnl[[#This Row],[IncNode]], config_IS[Node], config_IS[Type],,0)</f>
        <v>Non-Op</v>
      </c>
      <c r="P106" t="str">
        <f>_xlfn.XLOOKUP(Jnl[[#This Row],[BSLv2]], dict[Key], dict[Name],,0)</f>
        <v>X.资本</v>
      </c>
      <c r="Q106" t="str">
        <f>_xlfn.XLOOKUP(Jnl[[#This Row],[Acct]], dict[Key], dict[Name],,0)</f>
        <v>原始资本</v>
      </c>
      <c r="R106" t="str">
        <f>_xlfn.XLOOKUP(Jnl[[#This Row],[Vehicle]],config_vehicle[Id], config_vehicle[Name],,0)</f>
        <v>远家花园</v>
      </c>
      <c r="S106" t="str">
        <f>_xlfn.XLOOKUP(Jnl[[#This Row],[Division]],config_div[Id], config_div[Name],,0)</f>
        <v>内控合规</v>
      </c>
      <c r="T106" t="str">
        <f>IF(Jnl[[#This Row],[TrxDate]]&lt;=stmt_BS_date_end, "In", "Out")</f>
        <v>In</v>
      </c>
      <c r="U106" t="str">
        <f>IF(Jnl[[#This Row],[TrxDate]]&lt;debug_date_start, "prior", IF(Jnl[[#This Row],[TrxDate]]&gt;debug_date_end, "post", "curr"))</f>
        <v>prior</v>
      </c>
    </row>
    <row r="107" spans="1:21">
      <c r="A107" s="11" t="s">
        <v>236</v>
      </c>
      <c r="B107" s="7">
        <f>_xlfn.XLOOKUP(Jnl[[#This Row],[TrxId]], Trx[Id], Trx[Date],,0)</f>
        <v>46022</v>
      </c>
      <c r="C107" s="7" t="str">
        <f>_xlfn.XLOOKUP(Jnl[[#This Row],[TrxId]], Trx[Id], Trx[Division],,0)</f>
        <v>Ctrl</v>
      </c>
      <c r="D107" s="7" t="str">
        <f>_xlfn.XLOOKUP(Jnl[[#This Row],[TrxId]], Trx[Id], Trx[Action],,0)</f>
        <v>结转</v>
      </c>
      <c r="E107" s="26" t="s">
        <v>82</v>
      </c>
      <c r="F107" s="11" t="s">
        <v>16</v>
      </c>
      <c r="G107" s="11" t="s">
        <v>147</v>
      </c>
      <c r="H107" s="72">
        <v>100000</v>
      </c>
      <c r="I107" s="5" t="b">
        <f>AND(Jnl[[#This Row],[TrxId]]&lt;&gt;"",Jnl[[#This Row],[Acct]]&lt;&gt;"",Jnl[[#This Row],[Item]]&lt;&gt;"",ISNUMBER(Jnl[[#This Row],[Bal]]))</f>
        <v>1</v>
      </c>
      <c r="J107" s="10">
        <f>IF(Jnl[[#This Row],[BSLv0]]="A",1,-1)*Jnl[[#This Row],[Bal]]</f>
        <v>-100000</v>
      </c>
      <c r="K107" t="str">
        <f>_xlfn.XLOOKUP(Jnl[[#This Row],[Acct]], config_BS[Acct], config_BS[Lv0],,0)</f>
        <v>LC</v>
      </c>
      <c r="L107" t="str">
        <f>_xlfn.XLOOKUP(Jnl[[#This Row],[Acct]], config_BS[Acct], config_BS[Lv1],,0)</f>
        <v>Equity</v>
      </c>
      <c r="M107" t="str">
        <f>_xlfn.XLOOKUP(Jnl[[#This Row],[Acct]], config_BS[Acct], config_BS[Lv2],,0)</f>
        <v>Cap</v>
      </c>
      <c r="N107" t="str">
        <f>_xlfn.XLOOKUP(Jnl[[#This Row],[TrxId]], Trx[Id], Trx[IncNode], ,0)</f>
        <v>Other</v>
      </c>
      <c r="O107" t="str">
        <f>_xlfn.XLOOKUP(Jnl[[#This Row],[IncNode]], config_IS[Node], config_IS[Type],,0)</f>
        <v>Non-Op</v>
      </c>
      <c r="P107" t="str">
        <f>_xlfn.XLOOKUP(Jnl[[#This Row],[BSLv2]], dict[Key], dict[Name],,0)</f>
        <v>X.资本</v>
      </c>
      <c r="Q107" t="str">
        <f>_xlfn.XLOOKUP(Jnl[[#This Row],[Acct]], dict[Key], dict[Name],,0)</f>
        <v>原始资本</v>
      </c>
      <c r="R107" t="str">
        <f>_xlfn.XLOOKUP(Jnl[[#This Row],[Vehicle]],config_vehicle[Id], config_vehicle[Name],,0)</f>
        <v>米小易</v>
      </c>
      <c r="S107" t="str">
        <f>_xlfn.XLOOKUP(Jnl[[#This Row],[Division]],config_div[Id], config_div[Name],,0)</f>
        <v>内控合规</v>
      </c>
      <c r="T107" t="str">
        <f>IF(Jnl[[#This Row],[TrxDate]]&lt;=stmt_BS_date_end, "In", "Out")</f>
        <v>In</v>
      </c>
      <c r="U107" t="str">
        <f>IF(Jnl[[#This Row],[TrxDate]]&lt;debug_date_start, "prior", IF(Jnl[[#This Row],[TrxDate]]&gt;debug_date_end, "post", "curr"))</f>
        <v>prior</v>
      </c>
    </row>
    <row r="108" spans="1:21">
      <c r="A108" s="11" t="s">
        <v>236</v>
      </c>
      <c r="B108" s="7">
        <f>_xlfn.XLOOKUP(Jnl[[#This Row],[TrxId]], Trx[Id], Trx[Date],,0)</f>
        <v>46022</v>
      </c>
      <c r="C108" s="7" t="str">
        <f>_xlfn.XLOOKUP(Jnl[[#This Row],[TrxId]], Trx[Id], Trx[Division],,0)</f>
        <v>Ctrl</v>
      </c>
      <c r="D108" s="7" t="str">
        <f>_xlfn.XLOOKUP(Jnl[[#This Row],[TrxId]], Trx[Id], Trx[Action],,0)</f>
        <v>结转</v>
      </c>
      <c r="E108" s="26" t="s">
        <v>84</v>
      </c>
      <c r="F108" s="11" t="s">
        <v>16</v>
      </c>
      <c r="G108" s="11" t="s">
        <v>147</v>
      </c>
      <c r="H108" s="72">
        <v>100000</v>
      </c>
      <c r="I108" s="5" t="b">
        <f>AND(Jnl[[#This Row],[TrxId]]&lt;&gt;"",Jnl[[#This Row],[Acct]]&lt;&gt;"",Jnl[[#This Row],[Item]]&lt;&gt;"",ISNUMBER(Jnl[[#This Row],[Bal]]))</f>
        <v>1</v>
      </c>
      <c r="J108" s="10">
        <f>IF(Jnl[[#This Row],[BSLv0]]="A",1,-1)*Jnl[[#This Row],[Bal]]</f>
        <v>-100000</v>
      </c>
      <c r="K108" t="str">
        <f>_xlfn.XLOOKUP(Jnl[[#This Row],[Acct]], config_BS[Acct], config_BS[Lv0],,0)</f>
        <v>LC</v>
      </c>
      <c r="L108" t="str">
        <f>_xlfn.XLOOKUP(Jnl[[#This Row],[Acct]], config_BS[Acct], config_BS[Lv1],,0)</f>
        <v>Equity</v>
      </c>
      <c r="M108" t="str">
        <f>_xlfn.XLOOKUP(Jnl[[#This Row],[Acct]], config_BS[Acct], config_BS[Lv2],,0)</f>
        <v>Cap</v>
      </c>
      <c r="N108" t="str">
        <f>_xlfn.XLOOKUP(Jnl[[#This Row],[TrxId]], Trx[Id], Trx[IncNode], ,0)</f>
        <v>Other</v>
      </c>
      <c r="O108" t="str">
        <f>_xlfn.XLOOKUP(Jnl[[#This Row],[IncNode]], config_IS[Node], config_IS[Type],,0)</f>
        <v>Non-Op</v>
      </c>
      <c r="P108" t="str">
        <f>_xlfn.XLOOKUP(Jnl[[#This Row],[BSLv2]], dict[Key], dict[Name],,0)</f>
        <v>X.资本</v>
      </c>
      <c r="Q108" t="str">
        <f>_xlfn.XLOOKUP(Jnl[[#This Row],[Acct]], dict[Key], dict[Name],,0)</f>
        <v>原始资本</v>
      </c>
      <c r="R108" t="str">
        <f>_xlfn.XLOOKUP(Jnl[[#This Row],[Vehicle]],config_vehicle[Id], config_vehicle[Name],,0)</f>
        <v>榆乐</v>
      </c>
      <c r="S108" t="str">
        <f>_xlfn.XLOOKUP(Jnl[[#This Row],[Division]],config_div[Id], config_div[Name],,0)</f>
        <v>内控合规</v>
      </c>
      <c r="T108" t="str">
        <f>IF(Jnl[[#This Row],[TrxDate]]&lt;=stmt_BS_date_end, "In", "Out")</f>
        <v>In</v>
      </c>
      <c r="U108" t="str">
        <f>IF(Jnl[[#This Row],[TrxDate]]&lt;debug_date_start, "prior", IF(Jnl[[#This Row],[TrxDate]]&gt;debug_date_end, "post", "curr"))</f>
        <v>prior</v>
      </c>
    </row>
    <row r="109" spans="1:21">
      <c r="A109" s="11" t="s">
        <v>236</v>
      </c>
      <c r="B109" s="7">
        <f>_xlfn.XLOOKUP(Jnl[[#This Row],[TrxId]], Trx[Id], Trx[Date],,0)</f>
        <v>46022</v>
      </c>
      <c r="C109" s="7" t="str">
        <f>_xlfn.XLOOKUP(Jnl[[#This Row],[TrxId]], Trx[Id], Trx[Division],,0)</f>
        <v>Ctrl</v>
      </c>
      <c r="D109" s="7" t="str">
        <f>_xlfn.XLOOKUP(Jnl[[#This Row],[TrxId]], Trx[Id], Trx[Action],,0)</f>
        <v>结转</v>
      </c>
      <c r="E109" s="26" t="s">
        <v>111</v>
      </c>
      <c r="F109" s="11" t="s">
        <v>16</v>
      </c>
      <c r="G109" s="11" t="s">
        <v>147</v>
      </c>
      <c r="H109" s="72">
        <v>500000</v>
      </c>
      <c r="I109" s="5" t="b">
        <f>AND(Jnl[[#This Row],[TrxId]]&lt;&gt;"",Jnl[[#This Row],[Acct]]&lt;&gt;"",Jnl[[#This Row],[Item]]&lt;&gt;"",ISNUMBER(Jnl[[#This Row],[Bal]]))</f>
        <v>1</v>
      </c>
      <c r="J109" s="10">
        <f>IF(Jnl[[#This Row],[BSLv0]]="A",1,-1)*Jnl[[#This Row],[Bal]]</f>
        <v>-500000</v>
      </c>
      <c r="K109" t="str">
        <f>_xlfn.XLOOKUP(Jnl[[#This Row],[Acct]], config_BS[Acct], config_BS[Lv0],,0)</f>
        <v>LC</v>
      </c>
      <c r="L109" t="str">
        <f>_xlfn.XLOOKUP(Jnl[[#This Row],[Acct]], config_BS[Acct], config_BS[Lv1],,0)</f>
        <v>Equity</v>
      </c>
      <c r="M109" t="str">
        <f>_xlfn.XLOOKUP(Jnl[[#This Row],[Acct]], config_BS[Acct], config_BS[Lv2],,0)</f>
        <v>Cap</v>
      </c>
      <c r="N109" t="str">
        <f>_xlfn.XLOOKUP(Jnl[[#This Row],[TrxId]], Trx[Id], Trx[IncNode], ,0)</f>
        <v>Other</v>
      </c>
      <c r="O109" t="str">
        <f>_xlfn.XLOOKUP(Jnl[[#This Row],[IncNode]], config_IS[Node], config_IS[Type],,0)</f>
        <v>Non-Op</v>
      </c>
      <c r="P109" t="str">
        <f>_xlfn.XLOOKUP(Jnl[[#This Row],[BSLv2]], dict[Key], dict[Name],,0)</f>
        <v>X.资本</v>
      </c>
      <c r="Q109" t="str">
        <f>_xlfn.XLOOKUP(Jnl[[#This Row],[Acct]], dict[Key], dict[Name],,0)</f>
        <v>原始资本</v>
      </c>
      <c r="R109" t="str">
        <f>_xlfn.XLOOKUP(Jnl[[#This Row],[Vehicle]],config_vehicle[Id], config_vehicle[Name],,0)</f>
        <v>染匠文化</v>
      </c>
      <c r="S109" t="str">
        <f>_xlfn.XLOOKUP(Jnl[[#This Row],[Division]],config_div[Id], config_div[Name],,0)</f>
        <v>内控合规</v>
      </c>
      <c r="T109" t="str">
        <f>IF(Jnl[[#This Row],[TrxDate]]&lt;=stmt_BS_date_end, "In", "Out")</f>
        <v>In</v>
      </c>
      <c r="U109" t="str">
        <f>IF(Jnl[[#This Row],[TrxDate]]&lt;debug_date_start, "prior", IF(Jnl[[#This Row],[TrxDate]]&gt;debug_date_end, "post", "curr"))</f>
        <v>prior</v>
      </c>
    </row>
    <row r="110" spans="1:21">
      <c r="A110" s="11" t="s">
        <v>236</v>
      </c>
      <c r="B110" s="7">
        <f>_xlfn.XLOOKUP(Jnl[[#This Row],[TrxId]], Trx[Id], Trx[Date],,0)</f>
        <v>46022</v>
      </c>
      <c r="C110" s="7" t="str">
        <f>_xlfn.XLOOKUP(Jnl[[#This Row],[TrxId]], Trx[Id], Trx[Division],,0)</f>
        <v>Ctrl</v>
      </c>
      <c r="D110" s="7" t="str">
        <f>_xlfn.XLOOKUP(Jnl[[#This Row],[TrxId]], Trx[Id], Trx[Action],,0)</f>
        <v>结转</v>
      </c>
      <c r="E110" s="26" t="s">
        <v>85</v>
      </c>
      <c r="F110" s="11" t="s">
        <v>16</v>
      </c>
      <c r="G110" s="11" t="s">
        <v>147</v>
      </c>
      <c r="H110" s="72">
        <v>100000</v>
      </c>
      <c r="I110" s="5" t="b">
        <f>AND(Jnl[[#This Row],[TrxId]]&lt;&gt;"",Jnl[[#This Row],[Acct]]&lt;&gt;"",Jnl[[#This Row],[Item]]&lt;&gt;"",ISNUMBER(Jnl[[#This Row],[Bal]]))</f>
        <v>1</v>
      </c>
      <c r="J110" s="10">
        <f>IF(Jnl[[#This Row],[BSLv0]]="A",1,-1)*Jnl[[#This Row],[Bal]]</f>
        <v>-100000</v>
      </c>
      <c r="K110" t="str">
        <f>_xlfn.XLOOKUP(Jnl[[#This Row],[Acct]], config_BS[Acct], config_BS[Lv0],,0)</f>
        <v>LC</v>
      </c>
      <c r="L110" t="str">
        <f>_xlfn.XLOOKUP(Jnl[[#This Row],[Acct]], config_BS[Acct], config_BS[Lv1],,0)</f>
        <v>Equity</v>
      </c>
      <c r="M110" t="str">
        <f>_xlfn.XLOOKUP(Jnl[[#This Row],[Acct]], config_BS[Acct], config_BS[Lv2],,0)</f>
        <v>Cap</v>
      </c>
      <c r="N110" t="str">
        <f>_xlfn.XLOOKUP(Jnl[[#This Row],[TrxId]], Trx[Id], Trx[IncNode], ,0)</f>
        <v>Other</v>
      </c>
      <c r="O110" t="str">
        <f>_xlfn.XLOOKUP(Jnl[[#This Row],[IncNode]], config_IS[Node], config_IS[Type],,0)</f>
        <v>Non-Op</v>
      </c>
      <c r="P110" t="str">
        <f>_xlfn.XLOOKUP(Jnl[[#This Row],[BSLv2]], dict[Key], dict[Name],,0)</f>
        <v>X.资本</v>
      </c>
      <c r="Q110" t="str">
        <f>_xlfn.XLOOKUP(Jnl[[#This Row],[Acct]], dict[Key], dict[Name],,0)</f>
        <v>原始资本</v>
      </c>
      <c r="R110" t="str">
        <f>_xlfn.XLOOKUP(Jnl[[#This Row],[Vehicle]],config_vehicle[Id], config_vehicle[Name],,0)</f>
        <v>桑木</v>
      </c>
      <c r="S110" t="str">
        <f>_xlfn.XLOOKUP(Jnl[[#This Row],[Division]],config_div[Id], config_div[Name],,0)</f>
        <v>内控合规</v>
      </c>
      <c r="T110" t="str">
        <f>IF(Jnl[[#This Row],[TrxDate]]&lt;=stmt_BS_date_end, "In", "Out")</f>
        <v>In</v>
      </c>
      <c r="U110" t="str">
        <f>IF(Jnl[[#This Row],[TrxDate]]&lt;debug_date_start, "prior", IF(Jnl[[#This Row],[TrxDate]]&gt;debug_date_end, "post", "curr"))</f>
        <v>prior</v>
      </c>
    </row>
    <row r="111" spans="1:21">
      <c r="A111" s="11" t="s">
        <v>236</v>
      </c>
      <c r="B111" s="7">
        <f>_xlfn.XLOOKUP(Jnl[[#This Row],[TrxId]], Trx[Id], Trx[Date],,0)</f>
        <v>46022</v>
      </c>
      <c r="C111" s="7" t="str">
        <f>_xlfn.XLOOKUP(Jnl[[#This Row],[TrxId]], Trx[Id], Trx[Division],,0)</f>
        <v>Ctrl</v>
      </c>
      <c r="D111" s="7" t="str">
        <f>_xlfn.XLOOKUP(Jnl[[#This Row],[TrxId]], Trx[Id], Trx[Action],,0)</f>
        <v>结转</v>
      </c>
      <c r="E111" s="26" t="s">
        <v>81</v>
      </c>
      <c r="F111" s="11" t="s">
        <v>16</v>
      </c>
      <c r="G111" s="11" t="s">
        <v>147</v>
      </c>
      <c r="H111" s="72">
        <v>13236191</v>
      </c>
      <c r="I111" s="5" t="b">
        <f>AND(Jnl[[#This Row],[TrxId]]&lt;&gt;"",Jnl[[#This Row],[Acct]]&lt;&gt;"",Jnl[[#This Row],[Item]]&lt;&gt;"",ISNUMBER(Jnl[[#This Row],[Bal]]))</f>
        <v>1</v>
      </c>
      <c r="J111" s="10">
        <f>IF(Jnl[[#This Row],[BSLv0]]="A",1,-1)*Jnl[[#This Row],[Bal]]</f>
        <v>-13236191</v>
      </c>
      <c r="K111" t="str">
        <f>_xlfn.XLOOKUP(Jnl[[#This Row],[Acct]], config_BS[Acct], config_BS[Lv0],,0)</f>
        <v>LC</v>
      </c>
      <c r="L111" t="str">
        <f>_xlfn.XLOOKUP(Jnl[[#This Row],[Acct]], config_BS[Acct], config_BS[Lv1],,0)</f>
        <v>Equity</v>
      </c>
      <c r="M111" t="str">
        <f>_xlfn.XLOOKUP(Jnl[[#This Row],[Acct]], config_BS[Acct], config_BS[Lv2],,0)</f>
        <v>Cap</v>
      </c>
      <c r="N111" t="str">
        <f>_xlfn.XLOOKUP(Jnl[[#This Row],[TrxId]], Trx[Id], Trx[IncNode], ,0)</f>
        <v>Other</v>
      </c>
      <c r="O111" t="str">
        <f>_xlfn.XLOOKUP(Jnl[[#This Row],[IncNode]], config_IS[Node], config_IS[Type],,0)</f>
        <v>Non-Op</v>
      </c>
      <c r="P111" t="str">
        <f>_xlfn.XLOOKUP(Jnl[[#This Row],[BSLv2]], dict[Key], dict[Name],,0)</f>
        <v>X.资本</v>
      </c>
      <c r="Q111" t="str">
        <f>_xlfn.XLOOKUP(Jnl[[#This Row],[Acct]], dict[Key], dict[Name],,0)</f>
        <v>原始资本</v>
      </c>
      <c r="R111" t="str">
        <f>_xlfn.XLOOKUP(Jnl[[#This Row],[Vehicle]],config_vehicle[Id], config_vehicle[Name],,0)</f>
        <v>喜家文化</v>
      </c>
      <c r="S111" t="str">
        <f>_xlfn.XLOOKUP(Jnl[[#This Row],[Division]],config_div[Id], config_div[Name],,0)</f>
        <v>内控合规</v>
      </c>
      <c r="T111" t="str">
        <f>IF(Jnl[[#This Row],[TrxDate]]&lt;=stmt_BS_date_end, "In", "Out")</f>
        <v>In</v>
      </c>
      <c r="U111" t="str">
        <f>IF(Jnl[[#This Row],[TrxDate]]&lt;debug_date_start, "prior", IF(Jnl[[#This Row],[TrxDate]]&gt;debug_date_end, "post", "curr"))</f>
        <v>prior</v>
      </c>
    </row>
    <row r="112" spans="1:21">
      <c r="A112" s="11" t="s">
        <v>236</v>
      </c>
      <c r="B112" s="7">
        <f>_xlfn.XLOOKUP(Jnl[[#This Row],[TrxId]], Trx[Id], Trx[Date],,0)</f>
        <v>46022</v>
      </c>
      <c r="C112" s="7" t="str">
        <f>_xlfn.XLOOKUP(Jnl[[#This Row],[TrxId]], Trx[Id], Trx[Division],,0)</f>
        <v>Ctrl</v>
      </c>
      <c r="D112" s="7" t="str">
        <f>_xlfn.XLOOKUP(Jnl[[#This Row],[TrxId]], Trx[Id], Trx[Action],,0)</f>
        <v>结转</v>
      </c>
      <c r="E112" s="26" t="s">
        <v>83</v>
      </c>
      <c r="F112" s="11" t="s">
        <v>16</v>
      </c>
      <c r="G112" s="11" t="s">
        <v>147</v>
      </c>
      <c r="H112" s="72">
        <v>10000000</v>
      </c>
      <c r="I112" s="5" t="b">
        <f>AND(Jnl[[#This Row],[TrxId]]&lt;&gt;"",Jnl[[#This Row],[Acct]]&lt;&gt;"",Jnl[[#This Row],[Item]]&lt;&gt;"",ISNUMBER(Jnl[[#This Row],[Bal]]))</f>
        <v>1</v>
      </c>
      <c r="J112" s="10">
        <f>IF(Jnl[[#This Row],[BSLv0]]="A",1,-1)*Jnl[[#This Row],[Bal]]</f>
        <v>-10000000</v>
      </c>
      <c r="K112" t="str">
        <f>_xlfn.XLOOKUP(Jnl[[#This Row],[Acct]], config_BS[Acct], config_BS[Lv0],,0)</f>
        <v>LC</v>
      </c>
      <c r="L112" t="str">
        <f>_xlfn.XLOOKUP(Jnl[[#This Row],[Acct]], config_BS[Acct], config_BS[Lv1],,0)</f>
        <v>Equity</v>
      </c>
      <c r="M112" t="str">
        <f>_xlfn.XLOOKUP(Jnl[[#This Row],[Acct]], config_BS[Acct], config_BS[Lv2],,0)</f>
        <v>Cap</v>
      </c>
      <c r="N112" t="str">
        <f>_xlfn.XLOOKUP(Jnl[[#This Row],[TrxId]], Trx[Id], Trx[IncNode], ,0)</f>
        <v>Other</v>
      </c>
      <c r="O112" t="str">
        <f>_xlfn.XLOOKUP(Jnl[[#This Row],[IncNode]], config_IS[Node], config_IS[Type],,0)</f>
        <v>Non-Op</v>
      </c>
      <c r="P112" t="str">
        <f>_xlfn.XLOOKUP(Jnl[[#This Row],[BSLv2]], dict[Key], dict[Name],,0)</f>
        <v>X.资本</v>
      </c>
      <c r="Q112" t="str">
        <f>_xlfn.XLOOKUP(Jnl[[#This Row],[Acct]], dict[Key], dict[Name],,0)</f>
        <v>原始资本</v>
      </c>
      <c r="R112" t="str">
        <f>_xlfn.XLOOKUP(Jnl[[#This Row],[Vehicle]],config_vehicle[Id], config_vehicle[Name],,0)</f>
        <v>远家文化</v>
      </c>
      <c r="S112" t="str">
        <f>_xlfn.XLOOKUP(Jnl[[#This Row],[Division]],config_div[Id], config_div[Name],,0)</f>
        <v>内控合规</v>
      </c>
      <c r="T112" t="str">
        <f>IF(Jnl[[#This Row],[TrxDate]]&lt;=stmt_BS_date_end, "In", "Out")</f>
        <v>In</v>
      </c>
      <c r="U112" t="str">
        <f>IF(Jnl[[#This Row],[TrxDate]]&lt;debug_date_start, "prior", IF(Jnl[[#This Row],[TrxDate]]&gt;debug_date_end, "post", "curr"))</f>
        <v>prior</v>
      </c>
    </row>
    <row r="113" spans="1:23">
      <c r="A113" s="11" t="s">
        <v>236</v>
      </c>
      <c r="B113" s="7">
        <f>_xlfn.XLOOKUP(Jnl[[#This Row],[TrxId]], Trx[Id], Trx[Date],,0)</f>
        <v>46022</v>
      </c>
      <c r="C113" s="7" t="str">
        <f>_xlfn.XLOOKUP(Jnl[[#This Row],[TrxId]], Trx[Id], Trx[Division],,0)</f>
        <v>Ctrl</v>
      </c>
      <c r="D113" s="7" t="str">
        <f>_xlfn.XLOOKUP(Jnl[[#This Row],[TrxId]], Trx[Id], Trx[Action],,0)</f>
        <v>结转</v>
      </c>
      <c r="E113" s="26" t="s">
        <v>81</v>
      </c>
      <c r="F113" s="11" t="s">
        <v>18</v>
      </c>
      <c r="G113" s="11" t="s">
        <v>2001</v>
      </c>
      <c r="H113" s="72">
        <f>8247075.17000001-12680-218229.090000011</f>
        <v>8016166.0799999991</v>
      </c>
      <c r="I113" s="5" t="b">
        <f>AND(Jnl[[#This Row],[TrxId]]&lt;&gt;"",Jnl[[#This Row],[Acct]]&lt;&gt;"",Jnl[[#This Row],[Item]]&lt;&gt;"",ISNUMBER(Jnl[[#This Row],[Bal]]))</f>
        <v>1</v>
      </c>
      <c r="J113" s="10">
        <f>IF(Jnl[[#This Row],[BSLv0]]="A",1,-1)*Jnl[[#This Row],[Bal]]</f>
        <v>-8016166.0799999991</v>
      </c>
      <c r="K113" t="str">
        <f>_xlfn.XLOOKUP(Jnl[[#This Row],[Acct]], config_BS[Acct], config_BS[Lv0],,0)</f>
        <v>LC</v>
      </c>
      <c r="L113" t="str">
        <f>_xlfn.XLOOKUP(Jnl[[#This Row],[Acct]], config_BS[Acct], config_BS[Lv1],,0)</f>
        <v>Equity</v>
      </c>
      <c r="M113" t="str">
        <f>_xlfn.XLOOKUP(Jnl[[#This Row],[Acct]], config_BS[Acct], config_BS[Lv2],,0)</f>
        <v>Rsv</v>
      </c>
      <c r="N113" t="str">
        <f>_xlfn.XLOOKUP(Jnl[[#This Row],[TrxId]], Trx[Id], Trx[IncNode], ,0)</f>
        <v>Other</v>
      </c>
      <c r="O113" t="str">
        <f>_xlfn.XLOOKUP(Jnl[[#This Row],[IncNode]], config_IS[Node], config_IS[Type],,0)</f>
        <v>Non-Op</v>
      </c>
      <c r="P113" t="str">
        <f>_xlfn.XLOOKUP(Jnl[[#This Row],[BSLv2]], dict[Key], dict[Name],,0)</f>
        <v>9.蓄水池</v>
      </c>
      <c r="Q113" t="str">
        <f>_xlfn.XLOOKUP(Jnl[[#This Row],[Acct]], dict[Key], dict[Name],,0)</f>
        <v>可分配利润</v>
      </c>
      <c r="R113" t="str">
        <f>_xlfn.XLOOKUP(Jnl[[#This Row],[Vehicle]],config_vehicle[Id], config_vehicle[Name],,0)</f>
        <v>喜家文化</v>
      </c>
      <c r="S113" t="str">
        <f>_xlfn.XLOOKUP(Jnl[[#This Row],[Division]],config_div[Id], config_div[Name],,0)</f>
        <v>内控合规</v>
      </c>
      <c r="T113" t="str">
        <f>IF(Jnl[[#This Row],[TrxDate]]&lt;=stmt_BS_date_end, "In", "Out")</f>
        <v>In</v>
      </c>
      <c r="U113" t="str">
        <f>IF(Jnl[[#This Row],[TrxDate]]&lt;debug_date_start, "prior", IF(Jnl[[#This Row],[TrxDate]]&gt;debug_date_end, "post", "curr"))</f>
        <v>prior</v>
      </c>
    </row>
    <row r="114" spans="1:23">
      <c r="A114" s="11" t="s">
        <v>236</v>
      </c>
      <c r="B114" s="7">
        <f>_xlfn.XLOOKUP(Jnl[[#This Row],[TrxId]], Trx[Id], Trx[Date],,0)</f>
        <v>46022</v>
      </c>
      <c r="C114" s="7" t="str">
        <f>_xlfn.XLOOKUP(Jnl[[#This Row],[TrxId]], Trx[Id], Trx[Division],,0)</f>
        <v>Ctrl</v>
      </c>
      <c r="D114" s="7" t="str">
        <f>_xlfn.XLOOKUP(Jnl[[#This Row],[TrxId]], Trx[Id], Trx[Action],,0)</f>
        <v>结转</v>
      </c>
      <c r="E114" s="26" t="s">
        <v>93</v>
      </c>
      <c r="F114" s="11" t="s">
        <v>131</v>
      </c>
      <c r="G114" s="11" t="s">
        <v>404</v>
      </c>
      <c r="H114" s="72">
        <f>5578.9+12680</f>
        <v>18258.900000000001</v>
      </c>
      <c r="I114" s="5" t="b">
        <f>AND(Jnl[[#This Row],[TrxId]]&lt;&gt;"",Jnl[[#This Row],[Acct]]&lt;&gt;"",Jnl[[#This Row],[Item]]&lt;&gt;"",ISNUMBER(Jnl[[#This Row],[Bal]]))</f>
        <v>1</v>
      </c>
      <c r="J114" s="10">
        <f>IF(Jnl[[#This Row],[BSLv0]]="A",1,-1)*Jnl[[#This Row],[Bal]]</f>
        <v>-18258.900000000001</v>
      </c>
      <c r="K114" t="str">
        <f>_xlfn.XLOOKUP(Jnl[[#This Row],[Acct]], config_BS[Acct], config_BS[Lv0],,0)</f>
        <v>LC</v>
      </c>
      <c r="L114" t="str">
        <f>_xlfn.XLOOKUP(Jnl[[#This Row],[Acct]], config_BS[Acct], config_BS[Lv1],,0)</f>
        <v>Liability</v>
      </c>
      <c r="M114" t="str">
        <f>_xlfn.XLOOKUP(Jnl[[#This Row],[Acct]], config_BS[Acct], config_BS[Lv2],,0)</f>
        <v>Rec-Pay</v>
      </c>
      <c r="N114" t="str">
        <f>_xlfn.XLOOKUP(Jnl[[#This Row],[TrxId]], Trx[Id], Trx[IncNode], ,0)</f>
        <v>Other</v>
      </c>
      <c r="O114" t="str">
        <f>_xlfn.XLOOKUP(Jnl[[#This Row],[IncNode]], config_IS[Node], config_IS[Type],,0)</f>
        <v>Non-Op</v>
      </c>
      <c r="P114" t="str">
        <f>_xlfn.XLOOKUP(Jnl[[#This Row],[BSLv2]], dict[Key], dict[Name],,0)</f>
        <v>1.应收-应付</v>
      </c>
      <c r="Q114" t="str">
        <f>_xlfn.XLOOKUP(Jnl[[#This Row],[Acct]], dict[Key], dict[Name],,0)</f>
        <v>应付-其他</v>
      </c>
      <c r="R114" t="str">
        <f>_xlfn.XLOOKUP(Jnl[[#This Row],[Vehicle]],config_vehicle[Id], config_vehicle[Name],,0)</f>
        <v>创业园-琦</v>
      </c>
      <c r="S114" t="str">
        <f>_xlfn.XLOOKUP(Jnl[[#This Row],[Division]],config_div[Id], config_div[Name],,0)</f>
        <v>内控合规</v>
      </c>
      <c r="T114" t="str">
        <f>IF(Jnl[[#This Row],[TrxDate]]&lt;=stmt_BS_date_end, "In", "Out")</f>
        <v>In</v>
      </c>
      <c r="U114" t="str">
        <f>IF(Jnl[[#This Row],[TrxDate]]&lt;debug_date_start, "prior", IF(Jnl[[#This Row],[TrxDate]]&gt;debug_date_end, "post", "curr"))</f>
        <v>prior</v>
      </c>
    </row>
    <row r="115" spans="1:23">
      <c r="A115" s="11" t="s">
        <v>1999</v>
      </c>
      <c r="B115" s="7">
        <f>_xlfn.XLOOKUP(Jnl[[#This Row],[TrxId]], Trx[Id], Trx[Date],,0)</f>
        <v>46022</v>
      </c>
      <c r="C115" s="7" t="str">
        <f>_xlfn.XLOOKUP(Jnl[[#This Row],[TrxId]], Trx[Id], Trx[Division],,0)</f>
        <v>Ctrl</v>
      </c>
      <c r="D115" s="7" t="str">
        <f>_xlfn.XLOOKUP(Jnl[[#This Row],[TrxId]], Trx[Id], Trx[Action],,0)</f>
        <v>调整</v>
      </c>
      <c r="E115" s="26" t="s">
        <v>83</v>
      </c>
      <c r="F115" s="11" t="s">
        <v>154</v>
      </c>
      <c r="G115" s="11" t="s">
        <v>1971</v>
      </c>
      <c r="H115" s="72">
        <v>548813.93000000005</v>
      </c>
      <c r="I115" s="85" t="b">
        <f>AND(Jnl[[#This Row],[TrxId]]&lt;&gt;"",Jnl[[#This Row],[Acct]]&lt;&gt;"",Jnl[[#This Row],[Item]]&lt;&gt;"",ISNUMBER(Jnl[[#This Row],[Bal]]))</f>
        <v>1</v>
      </c>
      <c r="J115" s="10">
        <f>IF(Jnl[[#This Row],[BSLv0]]="A",1,-1)*Jnl[[#This Row],[Bal]]</f>
        <v>-548813.93000000005</v>
      </c>
      <c r="K115" t="str">
        <f>_xlfn.XLOOKUP(Jnl[[#This Row],[Acct]], config_BS[Acct], config_BS[Lv0],,0)</f>
        <v>LC</v>
      </c>
      <c r="L115" t="str">
        <f>_xlfn.XLOOKUP(Jnl[[#This Row],[Acct]], config_BS[Acct], config_BS[Lv1],,0)</f>
        <v>Equity</v>
      </c>
      <c r="M115" t="str">
        <f>_xlfn.XLOOKUP(Jnl[[#This Row],[Acct]], config_BS[Acct], config_BS[Lv2],,0)</f>
        <v>Cap</v>
      </c>
      <c r="N115" t="str">
        <f>_xlfn.XLOOKUP(Jnl[[#This Row],[TrxId]], Trx[Id], Trx[IncNode], ,0)</f>
        <v>Other</v>
      </c>
      <c r="O115" t="str">
        <f>_xlfn.XLOOKUP(Jnl[[#This Row],[IncNode]], config_IS[Node], config_IS[Type],,0)</f>
        <v>Non-Op</v>
      </c>
      <c r="P115" t="str">
        <f>_xlfn.XLOOKUP(Jnl[[#This Row],[BSLv2]], dict[Key], dict[Name],,0)</f>
        <v>X.资本</v>
      </c>
      <c r="Q115" t="str">
        <f>_xlfn.XLOOKUP(Jnl[[#This Row],[Acct]], dict[Key], dict[Name],,0)</f>
        <v>额外投入</v>
      </c>
      <c r="R115" t="str">
        <f>_xlfn.XLOOKUP(Jnl[[#This Row],[Vehicle]],config_vehicle[Id], config_vehicle[Name],,0)</f>
        <v>远家文化</v>
      </c>
      <c r="S115" t="str">
        <f>_xlfn.XLOOKUP(Jnl[[#This Row],[Division]],config_div[Id], config_div[Name],,0)</f>
        <v>内控合规</v>
      </c>
      <c r="T115" t="str">
        <f>IF(Jnl[[#This Row],[TrxDate]]&lt;=stmt_BS_date_end, "In", "Out")</f>
        <v>In</v>
      </c>
      <c r="U115" t="str">
        <f>IF(Jnl[[#This Row],[TrxDate]]&lt;debug_date_start, "prior", IF(Jnl[[#This Row],[TrxDate]]&gt;debug_date_end, "post", "curr"))</f>
        <v>prior</v>
      </c>
    </row>
    <row r="116" spans="1:23">
      <c r="A116" s="11" t="s">
        <v>1999</v>
      </c>
      <c r="B116" s="7">
        <f>_xlfn.XLOOKUP(Jnl[[#This Row],[TrxId]], Trx[Id], Trx[Date],,0)</f>
        <v>46022</v>
      </c>
      <c r="C116" s="7" t="str">
        <f>_xlfn.XLOOKUP(Jnl[[#This Row],[TrxId]], Trx[Id], Trx[Division],,0)</f>
        <v>Ctrl</v>
      </c>
      <c r="D116" s="7" t="str">
        <f>_xlfn.XLOOKUP(Jnl[[#This Row],[TrxId]], Trx[Id], Trx[Action],,0)</f>
        <v>调整</v>
      </c>
      <c r="E116" s="26" t="s">
        <v>83</v>
      </c>
      <c r="F116" s="11" t="s">
        <v>18</v>
      </c>
      <c r="G116" s="121" t="s">
        <v>2001</v>
      </c>
      <c r="H116" s="72">
        <v>-548813.93000000005</v>
      </c>
      <c r="I116" s="85" t="b">
        <f>AND(Jnl[[#This Row],[TrxId]]&lt;&gt;"",Jnl[[#This Row],[Acct]]&lt;&gt;"",Jnl[[#This Row],[Item]]&lt;&gt;"",ISNUMBER(Jnl[[#This Row],[Bal]]))</f>
        <v>1</v>
      </c>
      <c r="J116" s="10">
        <f>IF(Jnl[[#This Row],[BSLv0]]="A",1,-1)*Jnl[[#This Row],[Bal]]</f>
        <v>548813.93000000005</v>
      </c>
      <c r="K116" t="str">
        <f>_xlfn.XLOOKUP(Jnl[[#This Row],[Acct]], config_BS[Acct], config_BS[Lv0],,0)</f>
        <v>LC</v>
      </c>
      <c r="L116" t="str">
        <f>_xlfn.XLOOKUP(Jnl[[#This Row],[Acct]], config_BS[Acct], config_BS[Lv1],,0)</f>
        <v>Equity</v>
      </c>
      <c r="M116" t="str">
        <f>_xlfn.XLOOKUP(Jnl[[#This Row],[Acct]], config_BS[Acct], config_BS[Lv2],,0)</f>
        <v>Rsv</v>
      </c>
      <c r="N116" t="str">
        <f>_xlfn.XLOOKUP(Jnl[[#This Row],[TrxId]], Trx[Id], Trx[IncNode], ,0)</f>
        <v>Other</v>
      </c>
      <c r="O116" t="str">
        <f>_xlfn.XLOOKUP(Jnl[[#This Row],[IncNode]], config_IS[Node], config_IS[Type],,0)</f>
        <v>Non-Op</v>
      </c>
      <c r="P116" s="122" t="str">
        <f>_xlfn.XLOOKUP(Jnl[[#This Row],[BSLv2]], dict[Key], dict[Name],,0)</f>
        <v>9.蓄水池</v>
      </c>
      <c r="Q116" s="122" t="str">
        <f>_xlfn.XLOOKUP(Jnl[[#This Row],[Acct]], dict[Key], dict[Name],,0)</f>
        <v>可分配利润</v>
      </c>
      <c r="R116" s="122" t="str">
        <f>_xlfn.XLOOKUP(Jnl[[#This Row],[Vehicle]],config_vehicle[Id], config_vehicle[Name],,0)</f>
        <v>远家文化</v>
      </c>
      <c r="S116" s="122" t="str">
        <f>_xlfn.XLOOKUP(Jnl[[#This Row],[Division]],config_div[Id], config_div[Name],,0)</f>
        <v>内控合规</v>
      </c>
      <c r="T116" s="122" t="str">
        <f>IF(Jnl[[#This Row],[TrxDate]]&lt;=stmt_BS_date_end, "In", "Out")</f>
        <v>In</v>
      </c>
      <c r="U116" s="122" t="str">
        <f>IF(Jnl[[#This Row],[TrxDate]]&lt;debug_date_start, "prior", IF(Jnl[[#This Row],[TrxDate]]&gt;debug_date_end, "post", "curr"))</f>
        <v>prior</v>
      </c>
    </row>
    <row r="117" spans="1:23">
      <c r="A117" s="11" t="s">
        <v>237</v>
      </c>
      <c r="B117" s="7">
        <f>_xlfn.XLOOKUP(Jnl[[#This Row],[TrxId]], Trx[Id], Trx[Date],,0)</f>
        <v>46022</v>
      </c>
      <c r="C117" s="7" t="str">
        <f>_xlfn.XLOOKUP(Jnl[[#This Row],[TrxId]], Trx[Id], Trx[Division],,0)</f>
        <v>Ctrl</v>
      </c>
      <c r="D117" s="7" t="str">
        <f>_xlfn.XLOOKUP(Jnl[[#This Row],[TrxId]], Trx[Id], Trx[Action],,0)</f>
        <v>调整</v>
      </c>
      <c r="E117" s="26" t="s">
        <v>80</v>
      </c>
      <c r="F117" s="11" t="s">
        <v>116</v>
      </c>
      <c r="G117" s="11" t="s">
        <v>150</v>
      </c>
      <c r="H117" s="72">
        <v>-10513383.689999999</v>
      </c>
      <c r="I117" s="5" t="b">
        <f>AND(Jnl[[#This Row],[TrxId]]&lt;&gt;"",Jnl[[#This Row],[Acct]]&lt;&gt;"",Jnl[[#This Row],[Item]]&lt;&gt;"",ISNUMBER(Jnl[[#This Row],[Bal]]))</f>
        <v>1</v>
      </c>
      <c r="J117" s="10">
        <f>IF(Jnl[[#This Row],[BSLv0]]="A",1,-1)*Jnl[[#This Row],[Bal]]</f>
        <v>-10513383.689999999</v>
      </c>
      <c r="K117" t="str">
        <f>_xlfn.XLOOKUP(Jnl[[#This Row],[Acct]], config_BS[Acct], config_BS[Lv0],,0)</f>
        <v>A</v>
      </c>
      <c r="L117" t="str">
        <f>_xlfn.XLOOKUP(Jnl[[#This Row],[Acct]], config_BS[Acct], config_BS[Lv1],,0)</f>
        <v>Assets</v>
      </c>
      <c r="M117" t="str">
        <f>_xlfn.XLOOKUP(Jnl[[#This Row],[Acct]], config_BS[Acct], config_BS[Lv2],,0)</f>
        <v>Invtr</v>
      </c>
      <c r="N117" t="str">
        <f>_xlfn.XLOOKUP(Jnl[[#This Row],[TrxId]], Trx[Id], Trx[IncNode], ,0)</f>
        <v>Other</v>
      </c>
      <c r="O117" t="str">
        <f>_xlfn.XLOOKUP(Jnl[[#This Row],[IncNode]], config_IS[Node], config_IS[Type],,0)</f>
        <v>Non-Op</v>
      </c>
      <c r="P117" t="str">
        <f>_xlfn.XLOOKUP(Jnl[[#This Row],[BSLv2]], dict[Key], dict[Name],,0)</f>
        <v>3.库存占款</v>
      </c>
      <c r="Q117" t="str">
        <f>_xlfn.XLOOKUP(Jnl[[#This Row],[Acct]], dict[Key], dict[Name],,0)</f>
        <v>当期存货</v>
      </c>
      <c r="R117" t="str">
        <f>_xlfn.XLOOKUP(Jnl[[#This Row],[Vehicle]],config_vehicle[Id], config_vehicle[Name],,0)</f>
        <v>远家花园</v>
      </c>
      <c r="S117" t="str">
        <f>_xlfn.XLOOKUP(Jnl[[#This Row],[Division]],config_div[Id], config_div[Name],,0)</f>
        <v>内控合规</v>
      </c>
      <c r="T117" t="str">
        <f>IF(Jnl[[#This Row],[TrxDate]]&lt;=stmt_BS_date_end, "In", "Out")</f>
        <v>In</v>
      </c>
      <c r="U117" t="str">
        <f>IF(Jnl[[#This Row],[TrxDate]]&lt;debug_date_start, "prior", IF(Jnl[[#This Row],[TrxDate]]&gt;debug_date_end, "post", "curr"))</f>
        <v>prior</v>
      </c>
    </row>
    <row r="118" spans="1:23">
      <c r="A118" s="11" t="s">
        <v>237</v>
      </c>
      <c r="B118" s="7">
        <f>_xlfn.XLOOKUP(Jnl[[#This Row],[TrxId]], Trx[Id], Trx[Date],,0)</f>
        <v>46022</v>
      </c>
      <c r="C118" s="7" t="str">
        <f>_xlfn.XLOOKUP(Jnl[[#This Row],[TrxId]], Trx[Id], Trx[Division],,0)</f>
        <v>Ctrl</v>
      </c>
      <c r="D118" s="7" t="str">
        <f>_xlfn.XLOOKUP(Jnl[[#This Row],[TrxId]], Trx[Id], Trx[Action],,0)</f>
        <v>调整</v>
      </c>
      <c r="E118" s="26" t="s">
        <v>80</v>
      </c>
      <c r="F118" s="11" t="s">
        <v>116</v>
      </c>
      <c r="G118" s="11" t="s">
        <v>150</v>
      </c>
      <c r="H118" s="72">
        <v>3926374.9699999997</v>
      </c>
      <c r="I118" s="5" t="b">
        <f>AND(Jnl[[#This Row],[TrxId]]&lt;&gt;"",Jnl[[#This Row],[Acct]]&lt;&gt;"",Jnl[[#This Row],[Item]]&lt;&gt;"",ISNUMBER(Jnl[[#This Row],[Bal]]))</f>
        <v>1</v>
      </c>
      <c r="J118" s="10">
        <f>IF(Jnl[[#This Row],[BSLv0]]="A",1,-1)*Jnl[[#This Row],[Bal]]</f>
        <v>3926374.9699999997</v>
      </c>
      <c r="K118" t="str">
        <f>_xlfn.XLOOKUP(Jnl[[#This Row],[Acct]], config_BS[Acct], config_BS[Lv0],,0)</f>
        <v>A</v>
      </c>
      <c r="L118" t="str">
        <f>_xlfn.XLOOKUP(Jnl[[#This Row],[Acct]], config_BS[Acct], config_BS[Lv1],,0)</f>
        <v>Assets</v>
      </c>
      <c r="M118" t="str">
        <f>_xlfn.XLOOKUP(Jnl[[#This Row],[Acct]], config_BS[Acct], config_BS[Lv2],,0)</f>
        <v>Invtr</v>
      </c>
      <c r="N118" t="str">
        <f>_xlfn.XLOOKUP(Jnl[[#This Row],[TrxId]], Trx[Id], Trx[IncNode], ,0)</f>
        <v>Other</v>
      </c>
      <c r="O118" t="str">
        <f>_xlfn.XLOOKUP(Jnl[[#This Row],[IncNode]], config_IS[Node], config_IS[Type],,0)</f>
        <v>Non-Op</v>
      </c>
      <c r="P118" t="str">
        <f>_xlfn.XLOOKUP(Jnl[[#This Row],[BSLv2]], dict[Key], dict[Name],,0)</f>
        <v>3.库存占款</v>
      </c>
      <c r="Q118" t="str">
        <f>_xlfn.XLOOKUP(Jnl[[#This Row],[Acct]], dict[Key], dict[Name],,0)</f>
        <v>当期存货</v>
      </c>
      <c r="R118" t="str">
        <f>_xlfn.XLOOKUP(Jnl[[#This Row],[Vehicle]],config_vehicle[Id], config_vehicle[Name],,0)</f>
        <v>远家花园</v>
      </c>
      <c r="S118" t="str">
        <f>_xlfn.XLOOKUP(Jnl[[#This Row],[Division]],config_div[Id], config_div[Name],,0)</f>
        <v>内控合规</v>
      </c>
      <c r="T118" t="str">
        <f>IF(Jnl[[#This Row],[TrxDate]]&lt;=stmt_BS_date_end, "In", "Out")</f>
        <v>In</v>
      </c>
      <c r="U118" t="str">
        <f>IF(Jnl[[#This Row],[TrxDate]]&lt;debug_date_start, "prior", IF(Jnl[[#This Row],[TrxDate]]&gt;debug_date_end, "post", "curr"))</f>
        <v>prior</v>
      </c>
    </row>
    <row r="119" spans="1:23">
      <c r="A119" s="11" t="s">
        <v>237</v>
      </c>
      <c r="B119" s="7">
        <f>_xlfn.XLOOKUP(Jnl[[#This Row],[TrxId]], Trx[Id], Trx[Date],,0)</f>
        <v>46022</v>
      </c>
      <c r="C119" s="7" t="str">
        <f>_xlfn.XLOOKUP(Jnl[[#This Row],[TrxId]], Trx[Id], Trx[Division],,0)</f>
        <v>Ctrl</v>
      </c>
      <c r="D119" s="7" t="str">
        <f>_xlfn.XLOOKUP(Jnl[[#This Row],[TrxId]], Trx[Id], Trx[Action],,0)</f>
        <v>调整</v>
      </c>
      <c r="E119" s="26" t="s">
        <v>80</v>
      </c>
      <c r="F119" s="11" t="s">
        <v>116</v>
      </c>
      <c r="G119" s="11" t="s">
        <v>206</v>
      </c>
      <c r="H119" s="72">
        <v>2000000</v>
      </c>
      <c r="I119" s="5" t="b">
        <f>AND(Jnl[[#This Row],[TrxId]]&lt;&gt;"",Jnl[[#This Row],[Acct]]&lt;&gt;"",Jnl[[#This Row],[Item]]&lt;&gt;"",ISNUMBER(Jnl[[#This Row],[Bal]]))</f>
        <v>1</v>
      </c>
      <c r="J119" s="10">
        <f>IF(Jnl[[#This Row],[BSLv0]]="A",1,-1)*Jnl[[#This Row],[Bal]]</f>
        <v>2000000</v>
      </c>
      <c r="K119" t="str">
        <f>_xlfn.XLOOKUP(Jnl[[#This Row],[Acct]], config_BS[Acct], config_BS[Lv0],,0)</f>
        <v>A</v>
      </c>
      <c r="L119" t="str">
        <f>_xlfn.XLOOKUP(Jnl[[#This Row],[Acct]], config_BS[Acct], config_BS[Lv1],,0)</f>
        <v>Assets</v>
      </c>
      <c r="M119" t="str">
        <f>_xlfn.XLOOKUP(Jnl[[#This Row],[Acct]], config_BS[Acct], config_BS[Lv2],,0)</f>
        <v>Invtr</v>
      </c>
      <c r="N119" t="str">
        <f>_xlfn.XLOOKUP(Jnl[[#This Row],[TrxId]], Trx[Id], Trx[IncNode], ,0)</f>
        <v>Other</v>
      </c>
      <c r="O119" t="str">
        <f>_xlfn.XLOOKUP(Jnl[[#This Row],[IncNode]], config_IS[Node], config_IS[Type],,0)</f>
        <v>Non-Op</v>
      </c>
      <c r="P119" t="str">
        <f>_xlfn.XLOOKUP(Jnl[[#This Row],[BSLv2]], dict[Key], dict[Name],,0)</f>
        <v>3.库存占款</v>
      </c>
      <c r="Q119" t="str">
        <f>_xlfn.XLOOKUP(Jnl[[#This Row],[Acct]], dict[Key], dict[Name],,0)</f>
        <v>当期存货</v>
      </c>
      <c r="R119" t="str">
        <f>_xlfn.XLOOKUP(Jnl[[#This Row],[Vehicle]],config_vehicle[Id], config_vehicle[Name],,0)</f>
        <v>远家花园</v>
      </c>
      <c r="S119" t="str">
        <f>_xlfn.XLOOKUP(Jnl[[#This Row],[Division]],config_div[Id], config_div[Name],,0)</f>
        <v>内控合规</v>
      </c>
      <c r="T119" t="str">
        <f>IF(Jnl[[#This Row],[TrxDate]]&lt;=stmt_BS_date_end, "In", "Out")</f>
        <v>In</v>
      </c>
      <c r="U119" t="str">
        <f>IF(Jnl[[#This Row],[TrxDate]]&lt;debug_date_start, "prior", IF(Jnl[[#This Row],[TrxDate]]&gt;debug_date_end, "post", "curr"))</f>
        <v>prior</v>
      </c>
    </row>
    <row r="120" spans="1:23">
      <c r="A120" s="11" t="s">
        <v>237</v>
      </c>
      <c r="B120" s="7">
        <f>_xlfn.XLOOKUP(Jnl[[#This Row],[TrxId]], Trx[Id], Trx[Date],,0)</f>
        <v>46022</v>
      </c>
      <c r="C120" s="7" t="str">
        <f>_xlfn.XLOOKUP(Jnl[[#This Row],[TrxId]], Trx[Id], Trx[Division],,0)</f>
        <v>Ctrl</v>
      </c>
      <c r="D120" s="7" t="str">
        <f>_xlfn.XLOOKUP(Jnl[[#This Row],[TrxId]], Trx[Id], Trx[Action],,0)</f>
        <v>调整</v>
      </c>
      <c r="E120" s="26" t="s">
        <v>80</v>
      </c>
      <c r="F120" s="11" t="s">
        <v>161</v>
      </c>
      <c r="G120" s="11" t="s">
        <v>207</v>
      </c>
      <c r="H120" s="72">
        <v>7473076.1599999992</v>
      </c>
      <c r="I120" s="5" t="b">
        <f>AND(Jnl[[#This Row],[TrxId]]&lt;&gt;"",Jnl[[#This Row],[Acct]]&lt;&gt;"",Jnl[[#This Row],[Item]]&lt;&gt;"",ISNUMBER(Jnl[[#This Row],[Bal]]))</f>
        <v>1</v>
      </c>
      <c r="J120" s="10">
        <f>IF(Jnl[[#This Row],[BSLv0]]="A",1,-1)*Jnl[[#This Row],[Bal]]</f>
        <v>7473076.1599999992</v>
      </c>
      <c r="K120" t="str">
        <f>_xlfn.XLOOKUP(Jnl[[#This Row],[Acct]], config_BS[Acct], config_BS[Lv0],,0)</f>
        <v>A</v>
      </c>
      <c r="L120" t="str">
        <f>_xlfn.XLOOKUP(Jnl[[#This Row],[Acct]], config_BS[Acct], config_BS[Lv1],,0)</f>
        <v>Assets</v>
      </c>
      <c r="M120" t="str">
        <f>_xlfn.XLOOKUP(Jnl[[#This Row],[Acct]], config_BS[Acct], config_BS[Lv2],,0)</f>
        <v>Invtr</v>
      </c>
      <c r="N120" t="str">
        <f>_xlfn.XLOOKUP(Jnl[[#This Row],[TrxId]], Trx[Id], Trx[IncNode], ,0)</f>
        <v>Other</v>
      </c>
      <c r="O120" t="str">
        <f>_xlfn.XLOOKUP(Jnl[[#This Row],[IncNode]], config_IS[Node], config_IS[Type],,0)</f>
        <v>Non-Op</v>
      </c>
      <c r="P120" t="str">
        <f>_xlfn.XLOOKUP(Jnl[[#This Row],[BSLv2]], dict[Key], dict[Name],,0)</f>
        <v>3.库存占款</v>
      </c>
      <c r="Q120" t="str">
        <f>_xlfn.XLOOKUP(Jnl[[#This Row],[Acct]], dict[Key], dict[Name],,0)</f>
        <v>往期存货</v>
      </c>
      <c r="R120" t="str">
        <f>_xlfn.XLOOKUP(Jnl[[#This Row],[Vehicle]],config_vehicle[Id], config_vehicle[Name],,0)</f>
        <v>远家花园</v>
      </c>
      <c r="S120" t="str">
        <f>_xlfn.XLOOKUP(Jnl[[#This Row],[Division]],config_div[Id], config_div[Name],,0)</f>
        <v>内控合规</v>
      </c>
      <c r="T120" t="str">
        <f>IF(Jnl[[#This Row],[TrxDate]]&lt;=stmt_BS_date_end, "In", "Out")</f>
        <v>In</v>
      </c>
      <c r="U120" t="str">
        <f>IF(Jnl[[#This Row],[TrxDate]]&lt;debug_date_start, "prior", IF(Jnl[[#This Row],[TrxDate]]&gt;debug_date_end, "post", "curr"))</f>
        <v>prior</v>
      </c>
    </row>
    <row r="121" spans="1:23">
      <c r="A121" s="11" t="s">
        <v>237</v>
      </c>
      <c r="B121" s="7">
        <f>_xlfn.XLOOKUP(Jnl[[#This Row],[TrxId]], Trx[Id], Trx[Date],,0)</f>
        <v>46022</v>
      </c>
      <c r="C121" s="7" t="str">
        <f>_xlfn.XLOOKUP(Jnl[[#This Row],[TrxId]], Trx[Id], Trx[Division],,0)</f>
        <v>Ctrl</v>
      </c>
      <c r="D121" s="7" t="str">
        <f>_xlfn.XLOOKUP(Jnl[[#This Row],[TrxId]], Trx[Id], Trx[Action],,0)</f>
        <v>调整</v>
      </c>
      <c r="E121" s="26" t="s">
        <v>80</v>
      </c>
      <c r="F121" s="11" t="s">
        <v>18</v>
      </c>
      <c r="G121" s="11" t="s">
        <v>2001</v>
      </c>
      <c r="H121" s="72">
        <v>2886067.4399999995</v>
      </c>
      <c r="I121" s="5" t="b">
        <f>AND(Jnl[[#This Row],[TrxId]]&lt;&gt;"",Jnl[[#This Row],[Acct]]&lt;&gt;"",Jnl[[#This Row],[Item]]&lt;&gt;"",ISNUMBER(Jnl[[#This Row],[Bal]]))</f>
        <v>1</v>
      </c>
      <c r="J121" s="10">
        <f>IF(Jnl[[#This Row],[BSLv0]]="A",1,-1)*Jnl[[#This Row],[Bal]]</f>
        <v>-2886067.4399999995</v>
      </c>
      <c r="K121" t="str">
        <f>_xlfn.XLOOKUP(Jnl[[#This Row],[Acct]], config_BS[Acct], config_BS[Lv0],,0)</f>
        <v>LC</v>
      </c>
      <c r="L121" t="str">
        <f>_xlfn.XLOOKUP(Jnl[[#This Row],[Acct]], config_BS[Acct], config_BS[Lv1],,0)</f>
        <v>Equity</v>
      </c>
      <c r="M121" t="str">
        <f>_xlfn.XLOOKUP(Jnl[[#This Row],[Acct]], config_BS[Acct], config_BS[Lv2],,0)</f>
        <v>Rsv</v>
      </c>
      <c r="N121" t="str">
        <f>_xlfn.XLOOKUP(Jnl[[#This Row],[TrxId]], Trx[Id], Trx[IncNode], ,0)</f>
        <v>Other</v>
      </c>
      <c r="O121" t="str">
        <f>_xlfn.XLOOKUP(Jnl[[#This Row],[IncNode]], config_IS[Node], config_IS[Type],,0)</f>
        <v>Non-Op</v>
      </c>
      <c r="P121" t="str">
        <f>_xlfn.XLOOKUP(Jnl[[#This Row],[BSLv2]], dict[Key], dict[Name],,0)</f>
        <v>9.蓄水池</v>
      </c>
      <c r="Q121" t="str">
        <f>_xlfn.XLOOKUP(Jnl[[#This Row],[Acct]], dict[Key], dict[Name],,0)</f>
        <v>可分配利润</v>
      </c>
      <c r="R121" t="str">
        <f>_xlfn.XLOOKUP(Jnl[[#This Row],[Vehicle]],config_vehicle[Id], config_vehicle[Name],,0)</f>
        <v>远家花园</v>
      </c>
      <c r="S121" t="str">
        <f>_xlfn.XLOOKUP(Jnl[[#This Row],[Division]],config_div[Id], config_div[Name],,0)</f>
        <v>内控合规</v>
      </c>
      <c r="T121" t="str">
        <f>IF(Jnl[[#This Row],[TrxDate]]&lt;=stmt_BS_date_end, "In", "Out")</f>
        <v>In</v>
      </c>
      <c r="U121" t="str">
        <f>IF(Jnl[[#This Row],[TrxDate]]&lt;debug_date_start, "prior", IF(Jnl[[#This Row],[TrxDate]]&gt;debug_date_end, "post", "curr"))</f>
        <v>prior</v>
      </c>
    </row>
    <row r="122" spans="1:23">
      <c r="A122" s="11" t="s">
        <v>238</v>
      </c>
      <c r="B122" s="7">
        <f>_xlfn.XLOOKUP(Jnl[[#This Row],[TrxId]], Trx[Id], Trx[Date],,0)</f>
        <v>46022</v>
      </c>
      <c r="C122" s="7" t="str">
        <f>_xlfn.XLOOKUP(Jnl[[#This Row],[TrxId]], Trx[Id], Trx[Division],,0)</f>
        <v>Ctrl</v>
      </c>
      <c r="D122" s="7" t="str">
        <f>_xlfn.XLOOKUP(Jnl[[#This Row],[TrxId]], Trx[Id], Trx[Action],,0)</f>
        <v>冲销</v>
      </c>
      <c r="E122" s="26" t="s">
        <v>80</v>
      </c>
      <c r="F122" s="11" t="s">
        <v>161</v>
      </c>
      <c r="G122" s="11" t="s">
        <v>214</v>
      </c>
      <c r="H122" s="72">
        <v>-7473076.1599999992</v>
      </c>
      <c r="I122" s="5" t="b">
        <f>AND(Jnl[[#This Row],[TrxId]]&lt;&gt;"",Jnl[[#This Row],[Acct]]&lt;&gt;"",Jnl[[#This Row],[Item]]&lt;&gt;"",ISNUMBER(Jnl[[#This Row],[Bal]]))</f>
        <v>1</v>
      </c>
      <c r="J122" s="10">
        <f>IF(Jnl[[#This Row],[BSLv0]]="A",1,-1)*Jnl[[#This Row],[Bal]]</f>
        <v>-7473076.1599999992</v>
      </c>
      <c r="K122" t="str">
        <f>_xlfn.XLOOKUP(Jnl[[#This Row],[Acct]], config_BS[Acct], config_BS[Lv0],,0)</f>
        <v>A</v>
      </c>
      <c r="L122" t="str">
        <f>_xlfn.XLOOKUP(Jnl[[#This Row],[Acct]], config_BS[Acct], config_BS[Lv1],,0)</f>
        <v>Assets</v>
      </c>
      <c r="M122" t="str">
        <f>_xlfn.XLOOKUP(Jnl[[#This Row],[Acct]], config_BS[Acct], config_BS[Lv2],,0)</f>
        <v>Invtr</v>
      </c>
      <c r="N122" t="str">
        <f>_xlfn.XLOOKUP(Jnl[[#This Row],[TrxId]], Trx[Id], Trx[IncNode], ,0)</f>
        <v>Other</v>
      </c>
      <c r="O122" t="str">
        <f>_xlfn.XLOOKUP(Jnl[[#This Row],[IncNode]], config_IS[Node], config_IS[Type],,0)</f>
        <v>Non-Op</v>
      </c>
      <c r="P122" t="str">
        <f>_xlfn.XLOOKUP(Jnl[[#This Row],[BSLv2]], dict[Key], dict[Name],,0)</f>
        <v>3.库存占款</v>
      </c>
      <c r="Q122" t="str">
        <f>_xlfn.XLOOKUP(Jnl[[#This Row],[Acct]], dict[Key], dict[Name],,0)</f>
        <v>往期存货</v>
      </c>
      <c r="R122" t="str">
        <f>_xlfn.XLOOKUP(Jnl[[#This Row],[Vehicle]],config_vehicle[Id], config_vehicle[Name],,0)</f>
        <v>远家花园</v>
      </c>
      <c r="S122" t="str">
        <f>_xlfn.XLOOKUP(Jnl[[#This Row],[Division]],config_div[Id], config_div[Name],,0)</f>
        <v>内控合规</v>
      </c>
      <c r="T122" t="str">
        <f>IF(Jnl[[#This Row],[TrxDate]]&lt;=stmt_BS_date_end, "In", "Out")</f>
        <v>In</v>
      </c>
      <c r="U122" t="str">
        <f>IF(Jnl[[#This Row],[TrxDate]]&lt;debug_date_start, "prior", IF(Jnl[[#This Row],[TrxDate]]&gt;debug_date_end, "post", "curr"))</f>
        <v>prior</v>
      </c>
    </row>
    <row r="123" spans="1:23">
      <c r="A123" s="11" t="s">
        <v>238</v>
      </c>
      <c r="B123" s="7">
        <f>_xlfn.XLOOKUP(Jnl[[#This Row],[TrxId]], Trx[Id], Trx[Date],,0)</f>
        <v>46022</v>
      </c>
      <c r="C123" s="7" t="str">
        <f>_xlfn.XLOOKUP(Jnl[[#This Row],[TrxId]], Trx[Id], Trx[Division],,0)</f>
        <v>Ctrl</v>
      </c>
      <c r="D123" s="7" t="str">
        <f>_xlfn.XLOOKUP(Jnl[[#This Row],[TrxId]], Trx[Id], Trx[Action],,0)</f>
        <v>冲销</v>
      </c>
      <c r="E123" s="26" t="s">
        <v>80</v>
      </c>
      <c r="F123" s="11" t="s">
        <v>18</v>
      </c>
      <c r="G123" s="11" t="s">
        <v>2001</v>
      </c>
      <c r="H123" s="72">
        <v>-7473076.1599999992</v>
      </c>
      <c r="I123" s="5" t="b">
        <f>AND(Jnl[[#This Row],[TrxId]]&lt;&gt;"",Jnl[[#This Row],[Acct]]&lt;&gt;"",Jnl[[#This Row],[Item]]&lt;&gt;"",ISNUMBER(Jnl[[#This Row],[Bal]]))</f>
        <v>1</v>
      </c>
      <c r="J123" s="10">
        <f>IF(Jnl[[#This Row],[BSLv0]]="A",1,-1)*Jnl[[#This Row],[Bal]]</f>
        <v>7473076.1599999992</v>
      </c>
      <c r="K123" t="str">
        <f>_xlfn.XLOOKUP(Jnl[[#This Row],[Acct]], config_BS[Acct], config_BS[Lv0],,0)</f>
        <v>LC</v>
      </c>
      <c r="L123" t="str">
        <f>_xlfn.XLOOKUP(Jnl[[#This Row],[Acct]], config_BS[Acct], config_BS[Lv1],,0)</f>
        <v>Equity</v>
      </c>
      <c r="M123" t="str">
        <f>_xlfn.XLOOKUP(Jnl[[#This Row],[Acct]], config_BS[Acct], config_BS[Lv2],,0)</f>
        <v>Rsv</v>
      </c>
      <c r="N123" t="str">
        <f>_xlfn.XLOOKUP(Jnl[[#This Row],[TrxId]], Trx[Id], Trx[IncNode], ,0)</f>
        <v>Other</v>
      </c>
      <c r="O123" t="str">
        <f>_xlfn.XLOOKUP(Jnl[[#This Row],[IncNode]], config_IS[Node], config_IS[Type],,0)</f>
        <v>Non-Op</v>
      </c>
      <c r="P123" t="str">
        <f>_xlfn.XLOOKUP(Jnl[[#This Row],[BSLv2]], dict[Key], dict[Name],,0)</f>
        <v>9.蓄水池</v>
      </c>
      <c r="Q123" t="str">
        <f>_xlfn.XLOOKUP(Jnl[[#This Row],[Acct]], dict[Key], dict[Name],,0)</f>
        <v>可分配利润</v>
      </c>
      <c r="R123" t="str">
        <f>_xlfn.XLOOKUP(Jnl[[#This Row],[Vehicle]],config_vehicle[Id], config_vehicle[Name],,0)</f>
        <v>远家花园</v>
      </c>
      <c r="S123" t="str">
        <f>_xlfn.XLOOKUP(Jnl[[#This Row],[Division]],config_div[Id], config_div[Name],,0)</f>
        <v>内控合规</v>
      </c>
      <c r="T123" t="str">
        <f>IF(Jnl[[#This Row],[TrxDate]]&lt;=stmt_BS_date_end, "In", "Out")</f>
        <v>In</v>
      </c>
      <c r="U123" t="str">
        <f>IF(Jnl[[#This Row],[TrxDate]]&lt;debug_date_start, "prior", IF(Jnl[[#This Row],[TrxDate]]&gt;debug_date_end, "post", "curr"))</f>
        <v>prior</v>
      </c>
    </row>
    <row r="124" spans="1:23">
      <c r="A124" s="11" t="s">
        <v>252</v>
      </c>
      <c r="B124" s="7">
        <f>_xlfn.XLOOKUP(Jnl[[#This Row],[TrxId]], Trx[Id], Trx[Date],,0)</f>
        <v>46053</v>
      </c>
      <c r="C124" s="7" t="str">
        <f>_xlfn.XLOOKUP(Jnl[[#This Row],[TrxId]], Trx[Id], Trx[Division],,0)</f>
        <v>GM</v>
      </c>
      <c r="D124" s="7" t="str">
        <f>_xlfn.XLOOKUP(Jnl[[#This Row],[TrxId]], Trx[Id], Trx[Action],,0)</f>
        <v>交通</v>
      </c>
      <c r="E124" s="26" t="s">
        <v>85</v>
      </c>
      <c r="F124" s="11" t="s">
        <v>12</v>
      </c>
      <c r="G124" s="11" t="s">
        <v>90</v>
      </c>
      <c r="H124" s="72">
        <v>-481.6</v>
      </c>
      <c r="I124" s="5" t="b">
        <f>AND(Jnl[[#This Row],[TrxId]]&lt;&gt;"",Jnl[[#This Row],[Acct]]&lt;&gt;"",Jnl[[#This Row],[Item]]&lt;&gt;"",ISNUMBER(Jnl[[#This Row],[Bal]]))</f>
        <v>1</v>
      </c>
      <c r="J124" s="10">
        <f>IF(Jnl[[#This Row],[BSLv0]]="A",1,-1)*Jnl[[#This Row],[Bal]]</f>
        <v>-481.6</v>
      </c>
      <c r="K124" t="str">
        <f>_xlfn.XLOOKUP(Jnl[[#This Row],[Acct]], config_BS[Acct], config_BS[Lv0],,0)</f>
        <v>A</v>
      </c>
      <c r="L124" t="str">
        <f>_xlfn.XLOOKUP(Jnl[[#This Row],[Acct]], config_BS[Acct], config_BS[Lv1],,0)</f>
        <v>Assets</v>
      </c>
      <c r="M124" t="str">
        <f>_xlfn.XLOOKUP(Jnl[[#This Row],[Acct]], config_BS[Acct], config_BS[Lv2],,0)</f>
        <v>Cash alike</v>
      </c>
      <c r="N124" t="str">
        <f>_xlfn.XLOOKUP(Jnl[[#This Row],[TrxId]], Trx[Id], Trx[IncNode], ,0)</f>
        <v>Expense</v>
      </c>
      <c r="O124" t="str">
        <f>_xlfn.XLOOKUP(Jnl[[#This Row],[IncNode]], config_IS[Node], config_IS[Type],,0)</f>
        <v>Op</v>
      </c>
      <c r="P124" t="str">
        <f>_xlfn.XLOOKUP(Jnl[[#This Row],[BSLv2]], dict[Key], dict[Name],,0)</f>
        <v>0.现金及类似</v>
      </c>
      <c r="Q124" t="str">
        <f>_xlfn.XLOOKUP(Jnl[[#This Row],[Acct]], dict[Key], dict[Name],,0)</f>
        <v>银行</v>
      </c>
      <c r="R124" t="str">
        <f>_xlfn.XLOOKUP(Jnl[[#This Row],[Vehicle]],config_vehicle[Id], config_vehicle[Name],,0)</f>
        <v>桑木</v>
      </c>
      <c r="S124" t="str">
        <f>_xlfn.XLOOKUP(Jnl[[#This Row],[Division]],config_div[Id], config_div[Name],,0)</f>
        <v>综合管理</v>
      </c>
      <c r="T124" t="str">
        <f>IF(Jnl[[#This Row],[TrxDate]]&lt;=stmt_BS_date_end, "In", "Out")</f>
        <v>In</v>
      </c>
      <c r="U124" t="str">
        <f>IF(Jnl[[#This Row],[TrxDate]]&lt;debug_date_start, "prior", IF(Jnl[[#This Row],[TrxDate]]&gt;debug_date_end, "post", "curr"))</f>
        <v>prior</v>
      </c>
      <c r="W124" s="10"/>
    </row>
    <row r="125" spans="1:23">
      <c r="A125" s="11" t="s">
        <v>253</v>
      </c>
      <c r="B125" s="7">
        <f>_xlfn.XLOOKUP(Jnl[[#This Row],[TrxId]], Trx[Id], Trx[Date],,0)</f>
        <v>46053</v>
      </c>
      <c r="C125" s="7" t="str">
        <f>_xlfn.XLOOKUP(Jnl[[#This Row],[TrxId]], Trx[Id], Trx[Division],,0)</f>
        <v>Online</v>
      </c>
      <c r="D125" s="7" t="str">
        <f>_xlfn.XLOOKUP(Jnl[[#This Row],[TrxId]], Trx[Id], Trx[Action],,0)</f>
        <v>订购</v>
      </c>
      <c r="E125" s="26" t="s">
        <v>85</v>
      </c>
      <c r="F125" s="11" t="s">
        <v>115</v>
      </c>
      <c r="G125" s="11" t="s">
        <v>143</v>
      </c>
      <c r="H125" s="72">
        <v>38891.199999999997</v>
      </c>
      <c r="I125" s="5" t="b">
        <f>AND(Jnl[[#This Row],[TrxId]]&lt;&gt;"",Jnl[[#This Row],[Acct]]&lt;&gt;"",Jnl[[#This Row],[Item]]&lt;&gt;"",ISNUMBER(Jnl[[#This Row],[Bal]]))</f>
        <v>1</v>
      </c>
      <c r="J125" s="10">
        <f>IF(Jnl[[#This Row],[BSLv0]]="A",1,-1)*Jnl[[#This Row],[Bal]]</f>
        <v>38891.199999999997</v>
      </c>
      <c r="K125" t="str">
        <f>_xlfn.XLOOKUP(Jnl[[#This Row],[Acct]], config_BS[Acct], config_BS[Lv0],,0)</f>
        <v>A</v>
      </c>
      <c r="L125" t="str">
        <f>_xlfn.XLOOKUP(Jnl[[#This Row],[Acct]], config_BS[Acct], config_BS[Lv1],,0)</f>
        <v>Assets</v>
      </c>
      <c r="M125" t="str">
        <f>_xlfn.XLOOKUP(Jnl[[#This Row],[Acct]], config_BS[Acct], config_BS[Lv2],,0)</f>
        <v>Prep-Sub</v>
      </c>
      <c r="N125" t="str">
        <f>_xlfn.XLOOKUP(Jnl[[#This Row],[TrxId]], Trx[Id], Trx[IncNode], ,0)</f>
        <v>Cost</v>
      </c>
      <c r="O125" t="str">
        <f>_xlfn.XLOOKUP(Jnl[[#This Row],[IncNode]], config_IS[Node], config_IS[Type],,0)</f>
        <v>Op</v>
      </c>
      <c r="P125" t="str">
        <f>_xlfn.XLOOKUP(Jnl[[#This Row],[BSLv2]], dict[Key], dict[Name],,0)</f>
        <v>2.预付-订阅</v>
      </c>
      <c r="Q125" t="str">
        <f>_xlfn.XLOOKUP(Jnl[[#This Row],[Acct]], dict[Key], dict[Name],,0)</f>
        <v>预付订单</v>
      </c>
      <c r="R125" t="str">
        <f>_xlfn.XLOOKUP(Jnl[[#This Row],[Vehicle]],config_vehicle[Id], config_vehicle[Name],,0)</f>
        <v>桑木</v>
      </c>
      <c r="S125" t="str">
        <f>_xlfn.XLOOKUP(Jnl[[#This Row],[Division]],config_div[Id], config_div[Name],,0)</f>
        <v>网店</v>
      </c>
      <c r="T125" t="str">
        <f>IF(Jnl[[#This Row],[TrxDate]]&lt;=stmt_BS_date_end, "In", "Out")</f>
        <v>In</v>
      </c>
      <c r="U125" t="str">
        <f>IF(Jnl[[#This Row],[TrxDate]]&lt;debug_date_start, "prior", IF(Jnl[[#This Row],[TrxDate]]&gt;debug_date_end, "post", "curr"))</f>
        <v>prior</v>
      </c>
    </row>
    <row r="126" spans="1:23">
      <c r="A126" s="11" t="s">
        <v>253</v>
      </c>
      <c r="B126" s="7">
        <f>_xlfn.XLOOKUP(Jnl[[#This Row],[TrxId]], Trx[Id], Trx[Date],,0)</f>
        <v>46053</v>
      </c>
      <c r="C126" s="7" t="str">
        <f>_xlfn.XLOOKUP(Jnl[[#This Row],[TrxId]], Trx[Id], Trx[Division],,0)</f>
        <v>Online</v>
      </c>
      <c r="D126" s="7" t="str">
        <f>_xlfn.XLOOKUP(Jnl[[#This Row],[TrxId]], Trx[Id], Trx[Action],,0)</f>
        <v>订购</v>
      </c>
      <c r="E126" s="26" t="s">
        <v>85</v>
      </c>
      <c r="F126" s="11" t="s">
        <v>12</v>
      </c>
      <c r="G126" s="11" t="s">
        <v>90</v>
      </c>
      <c r="H126" s="72">
        <v>-38891.199999999997</v>
      </c>
      <c r="I126" s="5" t="b">
        <f>AND(Jnl[[#This Row],[TrxId]]&lt;&gt;"",Jnl[[#This Row],[Acct]]&lt;&gt;"",Jnl[[#This Row],[Item]]&lt;&gt;"",ISNUMBER(Jnl[[#This Row],[Bal]]))</f>
        <v>1</v>
      </c>
      <c r="J126" s="10">
        <f>IF(Jnl[[#This Row],[BSLv0]]="A",1,-1)*Jnl[[#This Row],[Bal]]</f>
        <v>-38891.199999999997</v>
      </c>
      <c r="K126" t="str">
        <f>_xlfn.XLOOKUP(Jnl[[#This Row],[Acct]], config_BS[Acct], config_BS[Lv0],,0)</f>
        <v>A</v>
      </c>
      <c r="L126" t="str">
        <f>_xlfn.XLOOKUP(Jnl[[#This Row],[Acct]], config_BS[Acct], config_BS[Lv1],,0)</f>
        <v>Assets</v>
      </c>
      <c r="M126" t="str">
        <f>_xlfn.XLOOKUP(Jnl[[#This Row],[Acct]], config_BS[Acct], config_BS[Lv2],,0)</f>
        <v>Cash alike</v>
      </c>
      <c r="N126" t="str">
        <f>_xlfn.XLOOKUP(Jnl[[#This Row],[TrxId]], Trx[Id], Trx[IncNode], ,0)</f>
        <v>Cost</v>
      </c>
      <c r="O126" t="str">
        <f>_xlfn.XLOOKUP(Jnl[[#This Row],[IncNode]], config_IS[Node], config_IS[Type],,0)</f>
        <v>Op</v>
      </c>
      <c r="P126" t="str">
        <f>_xlfn.XLOOKUP(Jnl[[#This Row],[BSLv2]], dict[Key], dict[Name],,0)</f>
        <v>0.现金及类似</v>
      </c>
      <c r="Q126" t="str">
        <f>_xlfn.XLOOKUP(Jnl[[#This Row],[Acct]], dict[Key], dict[Name],,0)</f>
        <v>银行</v>
      </c>
      <c r="R126" t="str">
        <f>_xlfn.XLOOKUP(Jnl[[#This Row],[Vehicle]],config_vehicle[Id], config_vehicle[Name],,0)</f>
        <v>桑木</v>
      </c>
      <c r="S126" t="str">
        <f>_xlfn.XLOOKUP(Jnl[[#This Row],[Division]],config_div[Id], config_div[Name],,0)</f>
        <v>网店</v>
      </c>
      <c r="T126" t="str">
        <f>IF(Jnl[[#This Row],[TrxDate]]&lt;=stmt_BS_date_end, "In", "Out")</f>
        <v>In</v>
      </c>
      <c r="U126" t="str">
        <f>IF(Jnl[[#This Row],[TrxDate]]&lt;debug_date_start, "prior", IF(Jnl[[#This Row],[TrxDate]]&gt;debug_date_end, "post", "curr"))</f>
        <v>prior</v>
      </c>
    </row>
    <row r="127" spans="1:23">
      <c r="A127" s="11" t="s">
        <v>254</v>
      </c>
      <c r="B127" s="7">
        <f>_xlfn.XLOOKUP(Jnl[[#This Row],[TrxId]], Trx[Id], Trx[Date],,0)</f>
        <v>46053</v>
      </c>
      <c r="C127" s="7" t="str">
        <f>_xlfn.XLOOKUP(Jnl[[#This Row],[TrxId]], Trx[Id], Trx[Division],,0)</f>
        <v>Online</v>
      </c>
      <c r="D127" s="7" t="str">
        <f>_xlfn.XLOOKUP(Jnl[[#This Row],[TrxId]], Trx[Id], Trx[Action],,0)</f>
        <v>入库</v>
      </c>
      <c r="E127" s="26" t="s">
        <v>80</v>
      </c>
      <c r="F127" s="11" t="s">
        <v>116</v>
      </c>
      <c r="G127" s="11" t="s">
        <v>150</v>
      </c>
      <c r="H127" s="72">
        <v>52967.199999999997</v>
      </c>
      <c r="I127" s="5" t="b">
        <f>AND(Jnl[[#This Row],[TrxId]]&lt;&gt;"",Jnl[[#This Row],[Acct]]&lt;&gt;"",Jnl[[#This Row],[Item]]&lt;&gt;"",ISNUMBER(Jnl[[#This Row],[Bal]]))</f>
        <v>1</v>
      </c>
      <c r="J127" s="10">
        <f>IF(Jnl[[#This Row],[BSLv0]]="A",1,-1)*Jnl[[#This Row],[Bal]]</f>
        <v>52967.199999999997</v>
      </c>
      <c r="K127" t="str">
        <f>_xlfn.XLOOKUP(Jnl[[#This Row],[Acct]], config_BS[Acct], config_BS[Lv0],,0)</f>
        <v>A</v>
      </c>
      <c r="L127" t="str">
        <f>_xlfn.XLOOKUP(Jnl[[#This Row],[Acct]], config_BS[Acct], config_BS[Lv1],,0)</f>
        <v>Assets</v>
      </c>
      <c r="M127" t="str">
        <f>_xlfn.XLOOKUP(Jnl[[#This Row],[Acct]], config_BS[Acct], config_BS[Lv2],,0)</f>
        <v>Invtr</v>
      </c>
      <c r="N127" t="str">
        <f>_xlfn.XLOOKUP(Jnl[[#This Row],[TrxId]], Trx[Id], Trx[IncNode], ,0)</f>
        <v>Cost</v>
      </c>
      <c r="O127" t="str">
        <f>_xlfn.XLOOKUP(Jnl[[#This Row],[IncNode]], config_IS[Node], config_IS[Type],,0)</f>
        <v>Op</v>
      </c>
      <c r="P127" t="str">
        <f>_xlfn.XLOOKUP(Jnl[[#This Row],[BSLv2]], dict[Key], dict[Name],,0)</f>
        <v>3.库存占款</v>
      </c>
      <c r="Q127" t="str">
        <f>_xlfn.XLOOKUP(Jnl[[#This Row],[Acct]], dict[Key], dict[Name],,0)</f>
        <v>当期存货</v>
      </c>
      <c r="R127" t="str">
        <f>_xlfn.XLOOKUP(Jnl[[#This Row],[Vehicle]],config_vehicle[Id], config_vehicle[Name],,0)</f>
        <v>远家花园</v>
      </c>
      <c r="S127" t="str">
        <f>_xlfn.XLOOKUP(Jnl[[#This Row],[Division]],config_div[Id], config_div[Name],,0)</f>
        <v>网店</v>
      </c>
      <c r="T127" t="str">
        <f>IF(Jnl[[#This Row],[TrxDate]]&lt;=stmt_BS_date_end, "In", "Out")</f>
        <v>In</v>
      </c>
      <c r="U127" t="str">
        <f>IF(Jnl[[#This Row],[TrxDate]]&lt;debug_date_start, "prior", IF(Jnl[[#This Row],[TrxDate]]&gt;debug_date_end, "post", "curr"))</f>
        <v>prior</v>
      </c>
    </row>
    <row r="128" spans="1:23">
      <c r="A128" s="11" t="s">
        <v>254</v>
      </c>
      <c r="B128" s="7">
        <f>_xlfn.XLOOKUP(Jnl[[#This Row],[TrxId]], Trx[Id], Trx[Date],,0)</f>
        <v>46053</v>
      </c>
      <c r="C128" s="7" t="str">
        <f>_xlfn.XLOOKUP(Jnl[[#This Row],[TrxId]], Trx[Id], Trx[Division],,0)</f>
        <v>Online</v>
      </c>
      <c r="D128" s="7" t="str">
        <f>_xlfn.XLOOKUP(Jnl[[#This Row],[TrxId]], Trx[Id], Trx[Action],,0)</f>
        <v>入库</v>
      </c>
      <c r="E128" s="26" t="s">
        <v>85</v>
      </c>
      <c r="F128" s="11" t="s">
        <v>115</v>
      </c>
      <c r="G128" s="11" t="s">
        <v>143</v>
      </c>
      <c r="H128" s="72">
        <v>-52967.199999999997</v>
      </c>
      <c r="I128" s="5" t="b">
        <f>AND(Jnl[[#This Row],[TrxId]]&lt;&gt;"",Jnl[[#This Row],[Acct]]&lt;&gt;"",Jnl[[#This Row],[Item]]&lt;&gt;"",ISNUMBER(Jnl[[#This Row],[Bal]]))</f>
        <v>1</v>
      </c>
      <c r="J128" s="10">
        <f>IF(Jnl[[#This Row],[BSLv0]]="A",1,-1)*Jnl[[#This Row],[Bal]]</f>
        <v>-52967.199999999997</v>
      </c>
      <c r="K128" t="str">
        <f>_xlfn.XLOOKUP(Jnl[[#This Row],[Acct]], config_BS[Acct], config_BS[Lv0],,0)</f>
        <v>A</v>
      </c>
      <c r="L128" t="str">
        <f>_xlfn.XLOOKUP(Jnl[[#This Row],[Acct]], config_BS[Acct], config_BS[Lv1],,0)</f>
        <v>Assets</v>
      </c>
      <c r="M128" t="str">
        <f>_xlfn.XLOOKUP(Jnl[[#This Row],[Acct]], config_BS[Acct], config_BS[Lv2],,0)</f>
        <v>Prep-Sub</v>
      </c>
      <c r="N128" t="str">
        <f>_xlfn.XLOOKUP(Jnl[[#This Row],[TrxId]], Trx[Id], Trx[IncNode], ,0)</f>
        <v>Cost</v>
      </c>
      <c r="O128" t="str">
        <f>_xlfn.XLOOKUP(Jnl[[#This Row],[IncNode]], config_IS[Node], config_IS[Type],,0)</f>
        <v>Op</v>
      </c>
      <c r="P128" t="str">
        <f>_xlfn.XLOOKUP(Jnl[[#This Row],[BSLv2]], dict[Key], dict[Name],,0)</f>
        <v>2.预付-订阅</v>
      </c>
      <c r="Q128" t="str">
        <f>_xlfn.XLOOKUP(Jnl[[#This Row],[Acct]], dict[Key], dict[Name],,0)</f>
        <v>预付订单</v>
      </c>
      <c r="R128" t="str">
        <f>_xlfn.XLOOKUP(Jnl[[#This Row],[Vehicle]],config_vehicle[Id], config_vehicle[Name],,0)</f>
        <v>桑木</v>
      </c>
      <c r="S128" t="str">
        <f>_xlfn.XLOOKUP(Jnl[[#This Row],[Division]],config_div[Id], config_div[Name],,0)</f>
        <v>网店</v>
      </c>
      <c r="T128" t="str">
        <f>IF(Jnl[[#This Row],[TrxDate]]&lt;=stmt_BS_date_end, "In", "Out")</f>
        <v>In</v>
      </c>
      <c r="U128" t="str">
        <f>IF(Jnl[[#This Row],[TrxDate]]&lt;debug_date_start, "prior", IF(Jnl[[#This Row],[TrxDate]]&gt;debug_date_end, "post", "curr"))</f>
        <v>prior</v>
      </c>
    </row>
    <row r="129" spans="1:21">
      <c r="A129" s="11" t="s">
        <v>255</v>
      </c>
      <c r="B129" s="7">
        <f>_xlfn.XLOOKUP(Jnl[[#This Row],[TrxId]], Trx[Id], Trx[Date],,0)</f>
        <v>46053</v>
      </c>
      <c r="C129" s="7" t="str">
        <f>_xlfn.XLOOKUP(Jnl[[#This Row],[TrxId]], Trx[Id], Trx[Division],,0)</f>
        <v>GM</v>
      </c>
      <c r="D129" s="7" t="str">
        <f>_xlfn.XLOOKUP(Jnl[[#This Row],[TrxId]], Trx[Id], Trx[Action],,0)</f>
        <v>薪酬-社保</v>
      </c>
      <c r="E129" s="26" t="s">
        <v>85</v>
      </c>
      <c r="F129" s="11" t="s">
        <v>198</v>
      </c>
      <c r="G129" s="11" t="s">
        <v>137</v>
      </c>
      <c r="H129" s="72">
        <v>1431.45</v>
      </c>
      <c r="I129" s="5" t="b">
        <f>AND(Jnl[[#This Row],[TrxId]]&lt;&gt;"",Jnl[[#This Row],[Acct]]&lt;&gt;"",Jnl[[#This Row],[Item]]&lt;&gt;"",ISNUMBER(Jnl[[#This Row],[Bal]]))</f>
        <v>1</v>
      </c>
      <c r="J129" s="10">
        <f>IF(Jnl[[#This Row],[BSLv0]]="A",1,-1)*Jnl[[#This Row],[Bal]]</f>
        <v>1431.45</v>
      </c>
      <c r="K129" t="str">
        <f>_xlfn.XLOOKUP(Jnl[[#This Row],[Acct]], config_BS[Acct], config_BS[Lv0],,0)</f>
        <v>A</v>
      </c>
      <c r="L129" t="str">
        <f>_xlfn.XLOOKUP(Jnl[[#This Row],[Acct]], config_BS[Acct], config_BS[Lv1],,0)</f>
        <v>Assets</v>
      </c>
      <c r="M129" t="str">
        <f>_xlfn.XLOOKUP(Jnl[[#This Row],[Acct]], config_BS[Acct], config_BS[Lv2],,0)</f>
        <v>Rec-Pay</v>
      </c>
      <c r="N129" t="str">
        <f>_xlfn.XLOOKUP(Jnl[[#This Row],[TrxId]], Trx[Id], Trx[IncNode], ,0)</f>
        <v>Expense</v>
      </c>
      <c r="O129" t="str">
        <f>_xlfn.XLOOKUP(Jnl[[#This Row],[IncNode]], config_IS[Node], config_IS[Type],,0)</f>
        <v>Op</v>
      </c>
      <c r="P129" t="str">
        <f>_xlfn.XLOOKUP(Jnl[[#This Row],[BSLv2]], dict[Key], dict[Name],,0)</f>
        <v>1.应收-应付</v>
      </c>
      <c r="Q129" t="str">
        <f>_xlfn.XLOOKUP(Jnl[[#This Row],[Acct]], dict[Key], dict[Name],,0)</f>
        <v>应收-其他</v>
      </c>
      <c r="R129" t="str">
        <f>_xlfn.XLOOKUP(Jnl[[#This Row],[Vehicle]],config_vehicle[Id], config_vehicle[Name],,0)</f>
        <v>桑木</v>
      </c>
      <c r="S129" t="str">
        <f>_xlfn.XLOOKUP(Jnl[[#This Row],[Division]],config_div[Id], config_div[Name],,0)</f>
        <v>综合管理</v>
      </c>
      <c r="T129" t="str">
        <f>IF(Jnl[[#This Row],[TrxDate]]&lt;=stmt_BS_date_end, "In", "Out")</f>
        <v>In</v>
      </c>
      <c r="U129" t="str">
        <f>IF(Jnl[[#This Row],[TrxDate]]&lt;debug_date_start, "prior", IF(Jnl[[#This Row],[TrxDate]]&gt;debug_date_end, "post", "curr"))</f>
        <v>prior</v>
      </c>
    </row>
    <row r="130" spans="1:21">
      <c r="A130" s="11" t="s">
        <v>255</v>
      </c>
      <c r="B130" s="7">
        <f>_xlfn.XLOOKUP(Jnl[[#This Row],[TrxId]], Trx[Id], Trx[Date],,0)</f>
        <v>46053</v>
      </c>
      <c r="C130" s="7" t="str">
        <f>_xlfn.XLOOKUP(Jnl[[#This Row],[TrxId]], Trx[Id], Trx[Division],,0)</f>
        <v>GM</v>
      </c>
      <c r="D130" s="7" t="str">
        <f>_xlfn.XLOOKUP(Jnl[[#This Row],[TrxId]], Trx[Id], Trx[Action],,0)</f>
        <v>薪酬-社保</v>
      </c>
      <c r="E130" s="26" t="s">
        <v>85</v>
      </c>
      <c r="F130" s="11" t="s">
        <v>12</v>
      </c>
      <c r="G130" s="11" t="s">
        <v>90</v>
      </c>
      <c r="H130" s="72">
        <v>-4913.7299999999996</v>
      </c>
      <c r="I130" s="5" t="b">
        <f>AND(Jnl[[#This Row],[TrxId]]&lt;&gt;"",Jnl[[#This Row],[Acct]]&lt;&gt;"",Jnl[[#This Row],[Item]]&lt;&gt;"",ISNUMBER(Jnl[[#This Row],[Bal]]))</f>
        <v>1</v>
      </c>
      <c r="J130" s="10">
        <f>IF(Jnl[[#This Row],[BSLv0]]="A",1,-1)*Jnl[[#This Row],[Bal]]</f>
        <v>-4913.7299999999996</v>
      </c>
      <c r="K130" t="str">
        <f>_xlfn.XLOOKUP(Jnl[[#This Row],[Acct]], config_BS[Acct], config_BS[Lv0],,0)</f>
        <v>A</v>
      </c>
      <c r="L130" t="str">
        <f>_xlfn.XLOOKUP(Jnl[[#This Row],[Acct]], config_BS[Acct], config_BS[Lv1],,0)</f>
        <v>Assets</v>
      </c>
      <c r="M130" t="str">
        <f>_xlfn.XLOOKUP(Jnl[[#This Row],[Acct]], config_BS[Acct], config_BS[Lv2],,0)</f>
        <v>Cash alike</v>
      </c>
      <c r="N130" t="str">
        <f>_xlfn.XLOOKUP(Jnl[[#This Row],[TrxId]], Trx[Id], Trx[IncNode], ,0)</f>
        <v>Expense</v>
      </c>
      <c r="O130" t="str">
        <f>_xlfn.XLOOKUP(Jnl[[#This Row],[IncNode]], config_IS[Node], config_IS[Type],,0)</f>
        <v>Op</v>
      </c>
      <c r="P130" t="str">
        <f>_xlfn.XLOOKUP(Jnl[[#This Row],[BSLv2]], dict[Key], dict[Name],,0)</f>
        <v>0.现金及类似</v>
      </c>
      <c r="Q130" t="str">
        <f>_xlfn.XLOOKUP(Jnl[[#This Row],[Acct]], dict[Key], dict[Name],,0)</f>
        <v>银行</v>
      </c>
      <c r="R130" t="str">
        <f>_xlfn.XLOOKUP(Jnl[[#This Row],[Vehicle]],config_vehicle[Id], config_vehicle[Name],,0)</f>
        <v>桑木</v>
      </c>
      <c r="S130" t="str">
        <f>_xlfn.XLOOKUP(Jnl[[#This Row],[Division]],config_div[Id], config_div[Name],,0)</f>
        <v>综合管理</v>
      </c>
      <c r="T130" t="str">
        <f>IF(Jnl[[#This Row],[TrxDate]]&lt;=stmt_BS_date_end, "In", "Out")</f>
        <v>In</v>
      </c>
      <c r="U130" t="str">
        <f>IF(Jnl[[#This Row],[TrxDate]]&lt;debug_date_start, "prior", IF(Jnl[[#This Row],[TrxDate]]&gt;debug_date_end, "post", "curr"))</f>
        <v>prior</v>
      </c>
    </row>
    <row r="131" spans="1:21">
      <c r="A131" s="11" t="s">
        <v>256</v>
      </c>
      <c r="B131" s="7">
        <f>_xlfn.XLOOKUP(Jnl[[#This Row],[TrxId]], Trx[Id], Trx[Date],,0)</f>
        <v>46053</v>
      </c>
      <c r="C131" s="7" t="str">
        <f>_xlfn.XLOOKUP(Jnl[[#This Row],[TrxId]], Trx[Id], Trx[Division],,0)</f>
        <v>Ctrl</v>
      </c>
      <c r="D131" s="7" t="str">
        <f>_xlfn.XLOOKUP(Jnl[[#This Row],[TrxId]], Trx[Id], Trx[Action],,0)</f>
        <v>过账</v>
      </c>
      <c r="E131" s="26" t="s">
        <v>85</v>
      </c>
      <c r="F131" s="11" t="s">
        <v>12</v>
      </c>
      <c r="G131" s="11" t="s">
        <v>90</v>
      </c>
      <c r="H131" s="72">
        <v>-1800</v>
      </c>
      <c r="I131" s="5" t="b">
        <f>AND(Jnl[[#This Row],[TrxId]]&lt;&gt;"",Jnl[[#This Row],[Acct]]&lt;&gt;"",Jnl[[#This Row],[Item]]&lt;&gt;"",ISNUMBER(Jnl[[#This Row],[Bal]]))</f>
        <v>1</v>
      </c>
      <c r="J131" s="10">
        <f>IF(Jnl[[#This Row],[BSLv0]]="A",1,-1)*Jnl[[#This Row],[Bal]]</f>
        <v>-1800</v>
      </c>
      <c r="K131" t="str">
        <f>_xlfn.XLOOKUP(Jnl[[#This Row],[Acct]], config_BS[Acct], config_BS[Lv0],,0)</f>
        <v>A</v>
      </c>
      <c r="L131" t="str">
        <f>_xlfn.XLOOKUP(Jnl[[#This Row],[Acct]], config_BS[Acct], config_BS[Lv1],,0)</f>
        <v>Assets</v>
      </c>
      <c r="M131" t="str">
        <f>_xlfn.XLOOKUP(Jnl[[#This Row],[Acct]], config_BS[Acct], config_BS[Lv2],,0)</f>
        <v>Cash alike</v>
      </c>
      <c r="N131" t="str">
        <f>_xlfn.XLOOKUP(Jnl[[#This Row],[TrxId]], Trx[Id], Trx[IncNode], ,0)</f>
        <v>Other</v>
      </c>
      <c r="O131" t="str">
        <f>_xlfn.XLOOKUP(Jnl[[#This Row],[IncNode]], config_IS[Node], config_IS[Type],,0)</f>
        <v>Non-Op</v>
      </c>
      <c r="P131" t="str">
        <f>_xlfn.XLOOKUP(Jnl[[#This Row],[BSLv2]], dict[Key], dict[Name],,0)</f>
        <v>0.现金及类似</v>
      </c>
      <c r="Q131" t="str">
        <f>_xlfn.XLOOKUP(Jnl[[#This Row],[Acct]], dict[Key], dict[Name],,0)</f>
        <v>银行</v>
      </c>
      <c r="R131" t="str">
        <f>_xlfn.XLOOKUP(Jnl[[#This Row],[Vehicle]],config_vehicle[Id], config_vehicle[Name],,0)</f>
        <v>桑木</v>
      </c>
      <c r="S131" t="str">
        <f>_xlfn.XLOOKUP(Jnl[[#This Row],[Division]],config_div[Id], config_div[Name],,0)</f>
        <v>内控合规</v>
      </c>
      <c r="T131" t="str">
        <f>IF(Jnl[[#This Row],[TrxDate]]&lt;=stmt_BS_date_end, "In", "Out")</f>
        <v>In</v>
      </c>
      <c r="U131" t="str">
        <f>IF(Jnl[[#This Row],[TrxDate]]&lt;debug_date_start, "prior", IF(Jnl[[#This Row],[TrxDate]]&gt;debug_date_end, "post", "curr"))</f>
        <v>prior</v>
      </c>
    </row>
    <row r="132" spans="1:21">
      <c r="A132" s="11" t="s">
        <v>256</v>
      </c>
      <c r="B132" s="7">
        <f>_xlfn.XLOOKUP(Jnl[[#This Row],[TrxId]], Trx[Id], Trx[Date],,0)</f>
        <v>46053</v>
      </c>
      <c r="C132" s="7" t="str">
        <f>_xlfn.XLOOKUP(Jnl[[#This Row],[TrxId]], Trx[Id], Trx[Division],,0)</f>
        <v>Ctrl</v>
      </c>
      <c r="D132" s="7" t="str">
        <f>_xlfn.XLOOKUP(Jnl[[#This Row],[TrxId]], Trx[Id], Trx[Action],,0)</f>
        <v>过账</v>
      </c>
      <c r="E132" s="26" t="s">
        <v>93</v>
      </c>
      <c r="F132" s="11" t="s">
        <v>12</v>
      </c>
      <c r="G132" s="11" t="s">
        <v>89</v>
      </c>
      <c r="H132" s="72">
        <v>1800</v>
      </c>
      <c r="I132" s="5" t="b">
        <f>AND(Jnl[[#This Row],[TrxId]]&lt;&gt;"",Jnl[[#This Row],[Acct]]&lt;&gt;"",Jnl[[#This Row],[Item]]&lt;&gt;"",ISNUMBER(Jnl[[#This Row],[Bal]]))</f>
        <v>1</v>
      </c>
      <c r="J132" s="10">
        <f>IF(Jnl[[#This Row],[BSLv0]]="A",1,-1)*Jnl[[#This Row],[Bal]]</f>
        <v>1800</v>
      </c>
      <c r="K132" t="str">
        <f>_xlfn.XLOOKUP(Jnl[[#This Row],[Acct]], config_BS[Acct], config_BS[Lv0],,0)</f>
        <v>A</v>
      </c>
      <c r="L132" t="str">
        <f>_xlfn.XLOOKUP(Jnl[[#This Row],[Acct]], config_BS[Acct], config_BS[Lv1],,0)</f>
        <v>Assets</v>
      </c>
      <c r="M132" t="str">
        <f>_xlfn.XLOOKUP(Jnl[[#This Row],[Acct]], config_BS[Acct], config_BS[Lv2],,0)</f>
        <v>Cash alike</v>
      </c>
      <c r="N132" t="str">
        <f>_xlfn.XLOOKUP(Jnl[[#This Row],[TrxId]], Trx[Id], Trx[IncNode], ,0)</f>
        <v>Other</v>
      </c>
      <c r="O132" t="str">
        <f>_xlfn.XLOOKUP(Jnl[[#This Row],[IncNode]], config_IS[Node], config_IS[Type],,0)</f>
        <v>Non-Op</v>
      </c>
      <c r="P132" t="str">
        <f>_xlfn.XLOOKUP(Jnl[[#This Row],[BSLv2]], dict[Key], dict[Name],,0)</f>
        <v>0.现金及类似</v>
      </c>
      <c r="Q132" t="str">
        <f>_xlfn.XLOOKUP(Jnl[[#This Row],[Acct]], dict[Key], dict[Name],,0)</f>
        <v>银行</v>
      </c>
      <c r="R132" t="str">
        <f>_xlfn.XLOOKUP(Jnl[[#This Row],[Vehicle]],config_vehicle[Id], config_vehicle[Name],,0)</f>
        <v>创业园-琦</v>
      </c>
      <c r="S132" t="str">
        <f>_xlfn.XLOOKUP(Jnl[[#This Row],[Division]],config_div[Id], config_div[Name],,0)</f>
        <v>内控合规</v>
      </c>
      <c r="T132" t="str">
        <f>IF(Jnl[[#This Row],[TrxDate]]&lt;=stmt_BS_date_end, "In", "Out")</f>
        <v>In</v>
      </c>
      <c r="U132" t="str">
        <f>IF(Jnl[[#This Row],[TrxDate]]&lt;debug_date_start, "prior", IF(Jnl[[#This Row],[TrxDate]]&gt;debug_date_end, "post", "curr"))</f>
        <v>prior</v>
      </c>
    </row>
    <row r="133" spans="1:21">
      <c r="A133" s="11" t="s">
        <v>257</v>
      </c>
      <c r="B133" s="7">
        <f>_xlfn.XLOOKUP(Jnl[[#This Row],[TrxId]], Trx[Id], Trx[Date],,0)</f>
        <v>46053</v>
      </c>
      <c r="C133" s="7" t="str">
        <f>_xlfn.XLOOKUP(Jnl[[#This Row],[TrxId]], Trx[Id], Trx[Division],,0)</f>
        <v>Online</v>
      </c>
      <c r="D133" s="7" t="str">
        <f>_xlfn.XLOOKUP(Jnl[[#This Row],[TrxId]], Trx[Id], Trx[Action],,0)</f>
        <v>订购</v>
      </c>
      <c r="E133" s="26" t="s">
        <v>85</v>
      </c>
      <c r="F133" s="11" t="s">
        <v>115</v>
      </c>
      <c r="G133" s="11" t="s">
        <v>143</v>
      </c>
      <c r="H133" s="72">
        <v>33000</v>
      </c>
      <c r="I133" s="5" t="b">
        <f>AND(Jnl[[#This Row],[TrxId]]&lt;&gt;"",Jnl[[#This Row],[Acct]]&lt;&gt;"",Jnl[[#This Row],[Item]]&lt;&gt;"",ISNUMBER(Jnl[[#This Row],[Bal]]))</f>
        <v>1</v>
      </c>
      <c r="J133" s="10">
        <f>IF(Jnl[[#This Row],[BSLv0]]="A",1,-1)*Jnl[[#This Row],[Bal]]</f>
        <v>33000</v>
      </c>
      <c r="K133" t="str">
        <f>_xlfn.XLOOKUP(Jnl[[#This Row],[Acct]], config_BS[Acct], config_BS[Lv0],,0)</f>
        <v>A</v>
      </c>
      <c r="L133" t="str">
        <f>_xlfn.XLOOKUP(Jnl[[#This Row],[Acct]], config_BS[Acct], config_BS[Lv1],,0)</f>
        <v>Assets</v>
      </c>
      <c r="M133" t="str">
        <f>_xlfn.XLOOKUP(Jnl[[#This Row],[Acct]], config_BS[Acct], config_BS[Lv2],,0)</f>
        <v>Prep-Sub</v>
      </c>
      <c r="N133" t="str">
        <f>_xlfn.XLOOKUP(Jnl[[#This Row],[TrxId]], Trx[Id], Trx[IncNode], ,0)</f>
        <v>Cost</v>
      </c>
      <c r="O133" t="str">
        <f>_xlfn.XLOOKUP(Jnl[[#This Row],[IncNode]], config_IS[Node], config_IS[Type],,0)</f>
        <v>Op</v>
      </c>
      <c r="P133" t="str">
        <f>_xlfn.XLOOKUP(Jnl[[#This Row],[BSLv2]], dict[Key], dict[Name],,0)</f>
        <v>2.预付-订阅</v>
      </c>
      <c r="Q133" t="str">
        <f>_xlfn.XLOOKUP(Jnl[[#This Row],[Acct]], dict[Key], dict[Name],,0)</f>
        <v>预付订单</v>
      </c>
      <c r="R133" t="str">
        <f>_xlfn.XLOOKUP(Jnl[[#This Row],[Vehicle]],config_vehicle[Id], config_vehicle[Name],,0)</f>
        <v>桑木</v>
      </c>
      <c r="S133" t="str">
        <f>_xlfn.XLOOKUP(Jnl[[#This Row],[Division]],config_div[Id], config_div[Name],,0)</f>
        <v>网店</v>
      </c>
      <c r="T133" t="str">
        <f>IF(Jnl[[#This Row],[TrxDate]]&lt;=stmt_BS_date_end, "In", "Out")</f>
        <v>In</v>
      </c>
      <c r="U133" t="str">
        <f>IF(Jnl[[#This Row],[TrxDate]]&lt;debug_date_start, "prior", IF(Jnl[[#This Row],[TrxDate]]&gt;debug_date_end, "post", "curr"))</f>
        <v>prior</v>
      </c>
    </row>
    <row r="134" spans="1:21">
      <c r="A134" s="11" t="s">
        <v>257</v>
      </c>
      <c r="B134" s="7">
        <f>_xlfn.XLOOKUP(Jnl[[#This Row],[TrxId]], Trx[Id], Trx[Date],,0)</f>
        <v>46053</v>
      </c>
      <c r="C134" s="7" t="str">
        <f>_xlfn.XLOOKUP(Jnl[[#This Row],[TrxId]], Trx[Id], Trx[Division],,0)</f>
        <v>Online</v>
      </c>
      <c r="D134" s="7" t="str">
        <f>_xlfn.XLOOKUP(Jnl[[#This Row],[TrxId]], Trx[Id], Trx[Action],,0)</f>
        <v>订购</v>
      </c>
      <c r="E134" s="26" t="s">
        <v>85</v>
      </c>
      <c r="F134" s="11" t="s">
        <v>12</v>
      </c>
      <c r="G134" s="11" t="s">
        <v>90</v>
      </c>
      <c r="H134" s="72">
        <v>-33000</v>
      </c>
      <c r="I134" s="5" t="b">
        <f>AND(Jnl[[#This Row],[TrxId]]&lt;&gt;"",Jnl[[#This Row],[Acct]]&lt;&gt;"",Jnl[[#This Row],[Item]]&lt;&gt;"",ISNUMBER(Jnl[[#This Row],[Bal]]))</f>
        <v>1</v>
      </c>
      <c r="J134" s="10">
        <f>IF(Jnl[[#This Row],[BSLv0]]="A",1,-1)*Jnl[[#This Row],[Bal]]</f>
        <v>-33000</v>
      </c>
      <c r="K134" t="str">
        <f>_xlfn.XLOOKUP(Jnl[[#This Row],[Acct]], config_BS[Acct], config_BS[Lv0],,0)</f>
        <v>A</v>
      </c>
      <c r="L134" t="str">
        <f>_xlfn.XLOOKUP(Jnl[[#This Row],[Acct]], config_BS[Acct], config_BS[Lv1],,0)</f>
        <v>Assets</v>
      </c>
      <c r="M134" t="str">
        <f>_xlfn.XLOOKUP(Jnl[[#This Row],[Acct]], config_BS[Acct], config_BS[Lv2],,0)</f>
        <v>Cash alike</v>
      </c>
      <c r="N134" t="str">
        <f>_xlfn.XLOOKUP(Jnl[[#This Row],[TrxId]], Trx[Id], Trx[IncNode], ,0)</f>
        <v>Cost</v>
      </c>
      <c r="O134" t="str">
        <f>_xlfn.XLOOKUP(Jnl[[#This Row],[IncNode]], config_IS[Node], config_IS[Type],,0)</f>
        <v>Op</v>
      </c>
      <c r="P134" t="str">
        <f>_xlfn.XLOOKUP(Jnl[[#This Row],[BSLv2]], dict[Key], dict[Name],,0)</f>
        <v>0.现金及类似</v>
      </c>
      <c r="Q134" t="str">
        <f>_xlfn.XLOOKUP(Jnl[[#This Row],[Acct]], dict[Key], dict[Name],,0)</f>
        <v>银行</v>
      </c>
      <c r="R134" t="str">
        <f>_xlfn.XLOOKUP(Jnl[[#This Row],[Vehicle]],config_vehicle[Id], config_vehicle[Name],,0)</f>
        <v>桑木</v>
      </c>
      <c r="S134" t="str">
        <f>_xlfn.XLOOKUP(Jnl[[#This Row],[Division]],config_div[Id], config_div[Name],,0)</f>
        <v>网店</v>
      </c>
      <c r="T134" t="str">
        <f>IF(Jnl[[#This Row],[TrxDate]]&lt;=stmt_BS_date_end, "In", "Out")</f>
        <v>In</v>
      </c>
      <c r="U134" t="str">
        <f>IF(Jnl[[#This Row],[TrxDate]]&lt;debug_date_start, "prior", IF(Jnl[[#This Row],[TrxDate]]&gt;debug_date_end, "post", "curr"))</f>
        <v>prior</v>
      </c>
    </row>
    <row r="135" spans="1:21">
      <c r="A135" s="11" t="s">
        <v>258</v>
      </c>
      <c r="B135" s="7">
        <f>_xlfn.XLOOKUP(Jnl[[#This Row],[TrxId]], Trx[Id], Trx[Date],,0)</f>
        <v>46053</v>
      </c>
      <c r="C135" s="7" t="str">
        <f>_xlfn.XLOOKUP(Jnl[[#This Row],[TrxId]], Trx[Id], Trx[Division],,0)</f>
        <v>GM</v>
      </c>
      <c r="D135" s="7" t="str">
        <f>_xlfn.XLOOKUP(Jnl[[#This Row],[TrxId]], Trx[Id], Trx[Action],,0)</f>
        <v>支付</v>
      </c>
      <c r="E135" s="26" t="s">
        <v>85</v>
      </c>
      <c r="F135" s="11" t="s">
        <v>126</v>
      </c>
      <c r="G135" s="11" t="s">
        <v>298</v>
      </c>
      <c r="H135" s="72">
        <v>-40000</v>
      </c>
      <c r="I135" s="5" t="b">
        <f>AND(Jnl[[#This Row],[TrxId]]&lt;&gt;"",Jnl[[#This Row],[Acct]]&lt;&gt;"",Jnl[[#This Row],[Item]]&lt;&gt;"",ISNUMBER(Jnl[[#This Row],[Bal]]))</f>
        <v>1</v>
      </c>
      <c r="J135" s="10">
        <f>IF(Jnl[[#This Row],[BSLv0]]="A",1,-1)*Jnl[[#This Row],[Bal]]</f>
        <v>40000</v>
      </c>
      <c r="K135" t="str">
        <f>_xlfn.XLOOKUP(Jnl[[#This Row],[Acct]], config_BS[Acct], config_BS[Lv0],,0)</f>
        <v>LC</v>
      </c>
      <c r="L135" t="str">
        <f>_xlfn.XLOOKUP(Jnl[[#This Row],[Acct]], config_BS[Acct], config_BS[Lv1],,0)</f>
        <v>Liability</v>
      </c>
      <c r="M135" t="str">
        <f>_xlfn.XLOOKUP(Jnl[[#This Row],[Acct]], config_BS[Acct], config_BS[Lv2],,0)</f>
        <v>Rec-Pay</v>
      </c>
      <c r="N135" t="str">
        <f>_xlfn.XLOOKUP(Jnl[[#This Row],[TrxId]], Trx[Id], Trx[IncNode], ,0)</f>
        <v>Expense</v>
      </c>
      <c r="O135" t="str">
        <f>_xlfn.XLOOKUP(Jnl[[#This Row],[IncNode]], config_IS[Node], config_IS[Type],,0)</f>
        <v>Op</v>
      </c>
      <c r="P135" t="str">
        <f>_xlfn.XLOOKUP(Jnl[[#This Row],[BSLv2]], dict[Key], dict[Name],,0)</f>
        <v>1.应收-应付</v>
      </c>
      <c r="Q135" t="str">
        <f>_xlfn.XLOOKUP(Jnl[[#This Row],[Acct]], dict[Key], dict[Name],,0)</f>
        <v>应付-税款</v>
      </c>
      <c r="R135" t="str">
        <f>_xlfn.XLOOKUP(Jnl[[#This Row],[Vehicle]],config_vehicle[Id], config_vehicle[Name],,0)</f>
        <v>桑木</v>
      </c>
      <c r="S135" t="str">
        <f>_xlfn.XLOOKUP(Jnl[[#This Row],[Division]],config_div[Id], config_div[Name],,0)</f>
        <v>综合管理</v>
      </c>
      <c r="T135" t="str">
        <f>IF(Jnl[[#This Row],[TrxDate]]&lt;=stmt_BS_date_end, "In", "Out")</f>
        <v>In</v>
      </c>
      <c r="U135" t="str">
        <f>IF(Jnl[[#This Row],[TrxDate]]&lt;debug_date_start, "prior", IF(Jnl[[#This Row],[TrxDate]]&gt;debug_date_end, "post", "curr"))</f>
        <v>prior</v>
      </c>
    </row>
    <row r="136" spans="1:21">
      <c r="A136" s="11" t="s">
        <v>258</v>
      </c>
      <c r="B136" s="7">
        <f>_xlfn.XLOOKUP(Jnl[[#This Row],[TrxId]], Trx[Id], Trx[Date],,0)</f>
        <v>46053</v>
      </c>
      <c r="C136" s="7" t="str">
        <f>_xlfn.XLOOKUP(Jnl[[#This Row],[TrxId]], Trx[Id], Trx[Division],,0)</f>
        <v>GM</v>
      </c>
      <c r="D136" s="7" t="str">
        <f>_xlfn.XLOOKUP(Jnl[[#This Row],[TrxId]], Trx[Id], Trx[Action],,0)</f>
        <v>支付</v>
      </c>
      <c r="E136" s="26" t="s">
        <v>85</v>
      </c>
      <c r="F136" s="11" t="s">
        <v>12</v>
      </c>
      <c r="G136" s="11" t="s">
        <v>90</v>
      </c>
      <c r="H136" s="72">
        <v>-40000</v>
      </c>
      <c r="I136" s="5" t="b">
        <f>AND(Jnl[[#This Row],[TrxId]]&lt;&gt;"",Jnl[[#This Row],[Acct]]&lt;&gt;"",Jnl[[#This Row],[Item]]&lt;&gt;"",ISNUMBER(Jnl[[#This Row],[Bal]]))</f>
        <v>1</v>
      </c>
      <c r="J136" s="10">
        <f>IF(Jnl[[#This Row],[BSLv0]]="A",1,-1)*Jnl[[#This Row],[Bal]]</f>
        <v>-40000</v>
      </c>
      <c r="K136" t="str">
        <f>_xlfn.XLOOKUP(Jnl[[#This Row],[Acct]], config_BS[Acct], config_BS[Lv0],,0)</f>
        <v>A</v>
      </c>
      <c r="L136" t="str">
        <f>_xlfn.XLOOKUP(Jnl[[#This Row],[Acct]], config_BS[Acct], config_BS[Lv1],,0)</f>
        <v>Assets</v>
      </c>
      <c r="M136" t="str">
        <f>_xlfn.XLOOKUP(Jnl[[#This Row],[Acct]], config_BS[Acct], config_BS[Lv2],,0)</f>
        <v>Cash alike</v>
      </c>
      <c r="N136" t="str">
        <f>_xlfn.XLOOKUP(Jnl[[#This Row],[TrxId]], Trx[Id], Trx[IncNode], ,0)</f>
        <v>Expense</v>
      </c>
      <c r="O136" t="str">
        <f>_xlfn.XLOOKUP(Jnl[[#This Row],[IncNode]], config_IS[Node], config_IS[Type],,0)</f>
        <v>Op</v>
      </c>
      <c r="P136" t="str">
        <f>_xlfn.XLOOKUP(Jnl[[#This Row],[BSLv2]], dict[Key], dict[Name],,0)</f>
        <v>0.现金及类似</v>
      </c>
      <c r="Q136" t="str">
        <f>_xlfn.XLOOKUP(Jnl[[#This Row],[Acct]], dict[Key], dict[Name],,0)</f>
        <v>银行</v>
      </c>
      <c r="R136" t="str">
        <f>_xlfn.XLOOKUP(Jnl[[#This Row],[Vehicle]],config_vehicle[Id], config_vehicle[Name],,0)</f>
        <v>桑木</v>
      </c>
      <c r="S136" t="str">
        <f>_xlfn.XLOOKUP(Jnl[[#This Row],[Division]],config_div[Id], config_div[Name],,0)</f>
        <v>综合管理</v>
      </c>
      <c r="T136" t="str">
        <f>IF(Jnl[[#This Row],[TrxDate]]&lt;=stmt_BS_date_end, "In", "Out")</f>
        <v>In</v>
      </c>
      <c r="U136" t="str">
        <f>IF(Jnl[[#This Row],[TrxDate]]&lt;debug_date_start, "prior", IF(Jnl[[#This Row],[TrxDate]]&gt;debug_date_end, "post", "curr"))</f>
        <v>prior</v>
      </c>
    </row>
    <row r="137" spans="1:21">
      <c r="A137" s="11" t="s">
        <v>259</v>
      </c>
      <c r="B137" s="7">
        <f>_xlfn.XLOOKUP(Jnl[[#This Row],[TrxId]], Trx[Id], Trx[Date],,0)</f>
        <v>46053</v>
      </c>
      <c r="C137" s="7" t="str">
        <f>_xlfn.XLOOKUP(Jnl[[#This Row],[TrxId]], Trx[Id], Trx[Division],,0)</f>
        <v>GM</v>
      </c>
      <c r="D137" s="7" t="str">
        <f>_xlfn.XLOOKUP(Jnl[[#This Row],[TrxId]], Trx[Id], Trx[Action],,0)</f>
        <v>支付</v>
      </c>
      <c r="E137" s="26" t="s">
        <v>85</v>
      </c>
      <c r="F137" s="11" t="s">
        <v>188</v>
      </c>
      <c r="G137" s="11" t="s">
        <v>281</v>
      </c>
      <c r="H137" s="72">
        <v>-18440</v>
      </c>
      <c r="I137" s="5" t="b">
        <f>AND(Jnl[[#This Row],[TrxId]]&lt;&gt;"",Jnl[[#This Row],[Acct]]&lt;&gt;"",Jnl[[#This Row],[Item]]&lt;&gt;"",ISNUMBER(Jnl[[#This Row],[Bal]]))</f>
        <v>1</v>
      </c>
      <c r="J137" s="10">
        <f>IF(Jnl[[#This Row],[BSLv0]]="A",1,-1)*Jnl[[#This Row],[Bal]]</f>
        <v>18440</v>
      </c>
      <c r="K137" t="str">
        <f>_xlfn.XLOOKUP(Jnl[[#This Row],[Acct]], config_BS[Acct], config_BS[Lv0],,0)</f>
        <v>LC</v>
      </c>
      <c r="L137" t="str">
        <f>_xlfn.XLOOKUP(Jnl[[#This Row],[Acct]], config_BS[Acct], config_BS[Lv1],,0)</f>
        <v>Liability</v>
      </c>
      <c r="M137" t="str">
        <f>_xlfn.XLOOKUP(Jnl[[#This Row],[Acct]], config_BS[Acct], config_BS[Lv2],,0)</f>
        <v>Rec-Pay</v>
      </c>
      <c r="N137" t="str">
        <f>_xlfn.XLOOKUP(Jnl[[#This Row],[TrxId]], Trx[Id], Trx[IncNode], ,0)</f>
        <v>Expense</v>
      </c>
      <c r="O137" t="str">
        <f>_xlfn.XLOOKUP(Jnl[[#This Row],[IncNode]], config_IS[Node], config_IS[Type],,0)</f>
        <v>Op</v>
      </c>
      <c r="P137" t="str">
        <f>_xlfn.XLOOKUP(Jnl[[#This Row],[BSLv2]], dict[Key], dict[Name],,0)</f>
        <v>1.应收-应付</v>
      </c>
      <c r="Q137" t="str">
        <f>_xlfn.XLOOKUP(Jnl[[#This Row],[Acct]], dict[Key], dict[Name],,0)</f>
        <v>应付-薪资</v>
      </c>
      <c r="R137" t="str">
        <f>_xlfn.XLOOKUP(Jnl[[#This Row],[Vehicle]],config_vehicle[Id], config_vehicle[Name],,0)</f>
        <v>桑木</v>
      </c>
      <c r="S137" t="str">
        <f>_xlfn.XLOOKUP(Jnl[[#This Row],[Division]],config_div[Id], config_div[Name],,0)</f>
        <v>综合管理</v>
      </c>
      <c r="T137" t="str">
        <f>IF(Jnl[[#This Row],[TrxDate]]&lt;=stmt_BS_date_end, "In", "Out")</f>
        <v>In</v>
      </c>
      <c r="U137" t="str">
        <f>IF(Jnl[[#This Row],[TrxDate]]&lt;debug_date_start, "prior", IF(Jnl[[#This Row],[TrxDate]]&gt;debug_date_end, "post", "curr"))</f>
        <v>prior</v>
      </c>
    </row>
    <row r="138" spans="1:21">
      <c r="A138" s="11" t="s">
        <v>259</v>
      </c>
      <c r="B138" s="7">
        <f>_xlfn.XLOOKUP(Jnl[[#This Row],[TrxId]], Trx[Id], Trx[Date],,0)</f>
        <v>46053</v>
      </c>
      <c r="C138" s="7" t="str">
        <f>_xlfn.XLOOKUP(Jnl[[#This Row],[TrxId]], Trx[Id], Trx[Division],,0)</f>
        <v>GM</v>
      </c>
      <c r="D138" s="7" t="str">
        <f>_xlfn.XLOOKUP(Jnl[[#This Row],[TrxId]], Trx[Id], Trx[Action],,0)</f>
        <v>支付</v>
      </c>
      <c r="E138" s="26" t="s">
        <v>85</v>
      </c>
      <c r="F138" s="11" t="s">
        <v>12</v>
      </c>
      <c r="G138" s="11" t="s">
        <v>90</v>
      </c>
      <c r="H138" s="72">
        <v>-16946.37</v>
      </c>
      <c r="I138" s="5" t="b">
        <f>AND(Jnl[[#This Row],[TrxId]]&lt;&gt;"",Jnl[[#This Row],[Acct]]&lt;&gt;"",Jnl[[#This Row],[Item]]&lt;&gt;"",ISNUMBER(Jnl[[#This Row],[Bal]]))</f>
        <v>1</v>
      </c>
      <c r="J138" s="10">
        <f>IF(Jnl[[#This Row],[BSLv0]]="A",1,-1)*Jnl[[#This Row],[Bal]]</f>
        <v>-16946.37</v>
      </c>
      <c r="K138" t="str">
        <f>_xlfn.XLOOKUP(Jnl[[#This Row],[Acct]], config_BS[Acct], config_BS[Lv0],,0)</f>
        <v>A</v>
      </c>
      <c r="L138" t="str">
        <f>_xlfn.XLOOKUP(Jnl[[#This Row],[Acct]], config_BS[Acct], config_BS[Lv1],,0)</f>
        <v>Assets</v>
      </c>
      <c r="M138" t="str">
        <f>_xlfn.XLOOKUP(Jnl[[#This Row],[Acct]], config_BS[Acct], config_BS[Lv2],,0)</f>
        <v>Cash alike</v>
      </c>
      <c r="N138" t="str">
        <f>_xlfn.XLOOKUP(Jnl[[#This Row],[TrxId]], Trx[Id], Trx[IncNode], ,0)</f>
        <v>Expense</v>
      </c>
      <c r="O138" t="str">
        <f>_xlfn.XLOOKUP(Jnl[[#This Row],[IncNode]], config_IS[Node], config_IS[Type],,0)</f>
        <v>Op</v>
      </c>
      <c r="P138" t="str">
        <f>_xlfn.XLOOKUP(Jnl[[#This Row],[BSLv2]], dict[Key], dict[Name],,0)</f>
        <v>0.现金及类似</v>
      </c>
      <c r="Q138" t="str">
        <f>_xlfn.XLOOKUP(Jnl[[#This Row],[Acct]], dict[Key], dict[Name],,0)</f>
        <v>银行</v>
      </c>
      <c r="R138" t="str">
        <f>_xlfn.XLOOKUP(Jnl[[#This Row],[Vehicle]],config_vehicle[Id], config_vehicle[Name],,0)</f>
        <v>桑木</v>
      </c>
      <c r="S138" t="str">
        <f>_xlfn.XLOOKUP(Jnl[[#This Row],[Division]],config_div[Id], config_div[Name],,0)</f>
        <v>综合管理</v>
      </c>
      <c r="T138" t="str">
        <f>IF(Jnl[[#This Row],[TrxDate]]&lt;=stmt_BS_date_end, "In", "Out")</f>
        <v>In</v>
      </c>
      <c r="U138" t="str">
        <f>IF(Jnl[[#This Row],[TrxDate]]&lt;debug_date_start, "prior", IF(Jnl[[#This Row],[TrxDate]]&gt;debug_date_end, "post", "curr"))</f>
        <v>prior</v>
      </c>
    </row>
    <row r="139" spans="1:21">
      <c r="A139" s="11" t="s">
        <v>259</v>
      </c>
      <c r="B139" s="7">
        <f>_xlfn.XLOOKUP(Jnl[[#This Row],[TrxId]], Trx[Id], Trx[Date],,0)</f>
        <v>46053</v>
      </c>
      <c r="C139" s="7" t="str">
        <f>_xlfn.XLOOKUP(Jnl[[#This Row],[TrxId]], Trx[Id], Trx[Division],,0)</f>
        <v>GM</v>
      </c>
      <c r="D139" s="7" t="str">
        <f>_xlfn.XLOOKUP(Jnl[[#This Row],[TrxId]], Trx[Id], Trx[Action],,0)</f>
        <v>支付</v>
      </c>
      <c r="E139" s="26" t="s">
        <v>85</v>
      </c>
      <c r="F139" s="11" t="s">
        <v>198</v>
      </c>
      <c r="G139" s="11" t="s">
        <v>137</v>
      </c>
      <c r="H139" s="72">
        <v>-1431.45</v>
      </c>
      <c r="I139" s="5" t="b">
        <f>AND(Jnl[[#This Row],[TrxId]]&lt;&gt;"",Jnl[[#This Row],[Acct]]&lt;&gt;"",Jnl[[#This Row],[Item]]&lt;&gt;"",ISNUMBER(Jnl[[#This Row],[Bal]]))</f>
        <v>1</v>
      </c>
      <c r="J139" s="10">
        <f>IF(Jnl[[#This Row],[BSLv0]]="A",1,-1)*Jnl[[#This Row],[Bal]]</f>
        <v>-1431.45</v>
      </c>
      <c r="K139" t="str">
        <f>_xlfn.XLOOKUP(Jnl[[#This Row],[Acct]], config_BS[Acct], config_BS[Lv0],,0)</f>
        <v>A</v>
      </c>
      <c r="L139" t="str">
        <f>_xlfn.XLOOKUP(Jnl[[#This Row],[Acct]], config_BS[Acct], config_BS[Lv1],,0)</f>
        <v>Assets</v>
      </c>
      <c r="M139" t="str">
        <f>_xlfn.XLOOKUP(Jnl[[#This Row],[Acct]], config_BS[Acct], config_BS[Lv2],,0)</f>
        <v>Rec-Pay</v>
      </c>
      <c r="N139" t="str">
        <f>_xlfn.XLOOKUP(Jnl[[#This Row],[TrxId]], Trx[Id], Trx[IncNode], ,0)</f>
        <v>Expense</v>
      </c>
      <c r="O139" t="str">
        <f>_xlfn.XLOOKUP(Jnl[[#This Row],[IncNode]], config_IS[Node], config_IS[Type],,0)</f>
        <v>Op</v>
      </c>
      <c r="P139" t="str">
        <f>_xlfn.XLOOKUP(Jnl[[#This Row],[BSLv2]], dict[Key], dict[Name],,0)</f>
        <v>1.应收-应付</v>
      </c>
      <c r="Q139" t="str">
        <f>_xlfn.XLOOKUP(Jnl[[#This Row],[Acct]], dict[Key], dict[Name],,0)</f>
        <v>应收-其他</v>
      </c>
      <c r="R139" t="str">
        <f>_xlfn.XLOOKUP(Jnl[[#This Row],[Vehicle]],config_vehicle[Id], config_vehicle[Name],,0)</f>
        <v>桑木</v>
      </c>
      <c r="S139" t="str">
        <f>_xlfn.XLOOKUP(Jnl[[#This Row],[Division]],config_div[Id], config_div[Name],,0)</f>
        <v>综合管理</v>
      </c>
      <c r="T139" t="str">
        <f>IF(Jnl[[#This Row],[TrxDate]]&lt;=stmt_BS_date_end, "In", "Out")</f>
        <v>In</v>
      </c>
      <c r="U139" t="str">
        <f>IF(Jnl[[#This Row],[TrxDate]]&lt;debug_date_start, "prior", IF(Jnl[[#This Row],[TrxDate]]&gt;debug_date_end, "post", "curr"))</f>
        <v>prior</v>
      </c>
    </row>
    <row r="140" spans="1:21">
      <c r="A140" s="11" t="s">
        <v>259</v>
      </c>
      <c r="B140" s="7">
        <f>_xlfn.XLOOKUP(Jnl[[#This Row],[TrxId]], Trx[Id], Trx[Date],,0)</f>
        <v>46053</v>
      </c>
      <c r="C140" s="7" t="str">
        <f>_xlfn.XLOOKUP(Jnl[[#This Row],[TrxId]], Trx[Id], Trx[Division],,0)</f>
        <v>GM</v>
      </c>
      <c r="D140" s="7" t="str">
        <f>_xlfn.XLOOKUP(Jnl[[#This Row],[TrxId]], Trx[Id], Trx[Action],,0)</f>
        <v>支付</v>
      </c>
      <c r="E140" s="26" t="s">
        <v>85</v>
      </c>
      <c r="F140" s="11" t="s">
        <v>126</v>
      </c>
      <c r="G140" s="11" t="s">
        <v>298</v>
      </c>
      <c r="H140" s="72">
        <v>62.18</v>
      </c>
      <c r="I140" s="5" t="b">
        <f>AND(Jnl[[#This Row],[TrxId]]&lt;&gt;"",Jnl[[#This Row],[Acct]]&lt;&gt;"",Jnl[[#This Row],[Item]]&lt;&gt;"",ISNUMBER(Jnl[[#This Row],[Bal]]))</f>
        <v>1</v>
      </c>
      <c r="J140" s="10">
        <f>IF(Jnl[[#This Row],[BSLv0]]="A",1,-1)*Jnl[[#This Row],[Bal]]</f>
        <v>-62.18</v>
      </c>
      <c r="K140" t="str">
        <f>_xlfn.XLOOKUP(Jnl[[#This Row],[Acct]], config_BS[Acct], config_BS[Lv0],,0)</f>
        <v>LC</v>
      </c>
      <c r="L140" t="str">
        <f>_xlfn.XLOOKUP(Jnl[[#This Row],[Acct]], config_BS[Acct], config_BS[Lv1],,0)</f>
        <v>Liability</v>
      </c>
      <c r="M140" t="str">
        <f>_xlfn.XLOOKUP(Jnl[[#This Row],[Acct]], config_BS[Acct], config_BS[Lv2],,0)</f>
        <v>Rec-Pay</v>
      </c>
      <c r="N140" t="str">
        <f>_xlfn.XLOOKUP(Jnl[[#This Row],[TrxId]], Trx[Id], Trx[IncNode], ,0)</f>
        <v>Expense</v>
      </c>
      <c r="O140" t="str">
        <f>_xlfn.XLOOKUP(Jnl[[#This Row],[IncNode]], config_IS[Node], config_IS[Type],,0)</f>
        <v>Op</v>
      </c>
      <c r="P140" t="str">
        <f>_xlfn.XLOOKUP(Jnl[[#This Row],[BSLv2]], dict[Key], dict[Name],,0)</f>
        <v>1.应收-应付</v>
      </c>
      <c r="Q140" t="str">
        <f>_xlfn.XLOOKUP(Jnl[[#This Row],[Acct]], dict[Key], dict[Name],,0)</f>
        <v>应付-税款</v>
      </c>
      <c r="R140" t="str">
        <f>_xlfn.XLOOKUP(Jnl[[#This Row],[Vehicle]],config_vehicle[Id], config_vehicle[Name],,0)</f>
        <v>桑木</v>
      </c>
      <c r="S140" t="str">
        <f>_xlfn.XLOOKUP(Jnl[[#This Row],[Division]],config_div[Id], config_div[Name],,0)</f>
        <v>综合管理</v>
      </c>
      <c r="T140" t="str">
        <f>IF(Jnl[[#This Row],[TrxDate]]&lt;=stmt_BS_date_end, "In", "Out")</f>
        <v>In</v>
      </c>
      <c r="U140" t="str">
        <f>IF(Jnl[[#This Row],[TrxDate]]&lt;debug_date_start, "prior", IF(Jnl[[#This Row],[TrxDate]]&gt;debug_date_end, "post", "curr"))</f>
        <v>prior</v>
      </c>
    </row>
    <row r="141" spans="1:21">
      <c r="A141" s="11" t="s">
        <v>260</v>
      </c>
      <c r="B141" s="7">
        <f>_xlfn.XLOOKUP(Jnl[[#This Row],[TrxId]], Trx[Id], Trx[Date],,0)</f>
        <v>46053</v>
      </c>
      <c r="C141" s="7" t="str">
        <f>_xlfn.XLOOKUP(Jnl[[#This Row],[TrxId]], Trx[Id], Trx[Division],,0)</f>
        <v>GM</v>
      </c>
      <c r="D141" s="7" t="str">
        <f>_xlfn.XLOOKUP(Jnl[[#This Row],[TrxId]], Trx[Id], Trx[Action],,0)</f>
        <v>支付</v>
      </c>
      <c r="E141" s="26" t="s">
        <v>85</v>
      </c>
      <c r="F141" s="11" t="s">
        <v>126</v>
      </c>
      <c r="G141" s="11" t="s">
        <v>298</v>
      </c>
      <c r="H141" s="72">
        <v>-62.18</v>
      </c>
      <c r="I141" s="5" t="b">
        <f>AND(Jnl[[#This Row],[TrxId]]&lt;&gt;"",Jnl[[#This Row],[Acct]]&lt;&gt;"",Jnl[[#This Row],[Item]]&lt;&gt;"",ISNUMBER(Jnl[[#This Row],[Bal]]))</f>
        <v>1</v>
      </c>
      <c r="J141" s="10">
        <f>IF(Jnl[[#This Row],[BSLv0]]="A",1,-1)*Jnl[[#This Row],[Bal]]</f>
        <v>62.18</v>
      </c>
      <c r="K141" t="str">
        <f>_xlfn.XLOOKUP(Jnl[[#This Row],[Acct]], config_BS[Acct], config_BS[Lv0],,0)</f>
        <v>LC</v>
      </c>
      <c r="L141" t="str">
        <f>_xlfn.XLOOKUP(Jnl[[#This Row],[Acct]], config_BS[Acct], config_BS[Lv1],,0)</f>
        <v>Liability</v>
      </c>
      <c r="M141" t="str">
        <f>_xlfn.XLOOKUP(Jnl[[#This Row],[Acct]], config_BS[Acct], config_BS[Lv2],,0)</f>
        <v>Rec-Pay</v>
      </c>
      <c r="N141" t="str">
        <f>_xlfn.XLOOKUP(Jnl[[#This Row],[TrxId]], Trx[Id], Trx[IncNode], ,0)</f>
        <v>Expense</v>
      </c>
      <c r="O141" t="str">
        <f>_xlfn.XLOOKUP(Jnl[[#This Row],[IncNode]], config_IS[Node], config_IS[Type],,0)</f>
        <v>Op</v>
      </c>
      <c r="P141" t="str">
        <f>_xlfn.XLOOKUP(Jnl[[#This Row],[BSLv2]], dict[Key], dict[Name],,0)</f>
        <v>1.应收-应付</v>
      </c>
      <c r="Q141" t="str">
        <f>_xlfn.XLOOKUP(Jnl[[#This Row],[Acct]], dict[Key], dict[Name],,0)</f>
        <v>应付-税款</v>
      </c>
      <c r="R141" t="str">
        <f>_xlfn.XLOOKUP(Jnl[[#This Row],[Vehicle]],config_vehicle[Id], config_vehicle[Name],,0)</f>
        <v>桑木</v>
      </c>
      <c r="S141" t="str">
        <f>_xlfn.XLOOKUP(Jnl[[#This Row],[Division]],config_div[Id], config_div[Name],,0)</f>
        <v>综合管理</v>
      </c>
      <c r="T141" t="str">
        <f>IF(Jnl[[#This Row],[TrxDate]]&lt;=stmt_BS_date_end, "In", "Out")</f>
        <v>In</v>
      </c>
      <c r="U141" t="str">
        <f>IF(Jnl[[#This Row],[TrxDate]]&lt;debug_date_start, "prior", IF(Jnl[[#This Row],[TrxDate]]&gt;debug_date_end, "post", "curr"))</f>
        <v>prior</v>
      </c>
    </row>
    <row r="142" spans="1:21">
      <c r="A142" s="11" t="s">
        <v>260</v>
      </c>
      <c r="B142" s="7">
        <f>_xlfn.XLOOKUP(Jnl[[#This Row],[TrxId]], Trx[Id], Trx[Date],,0)</f>
        <v>46053</v>
      </c>
      <c r="C142" s="7" t="str">
        <f>_xlfn.XLOOKUP(Jnl[[#This Row],[TrxId]], Trx[Id], Trx[Division],,0)</f>
        <v>GM</v>
      </c>
      <c r="D142" s="7" t="str">
        <f>_xlfn.XLOOKUP(Jnl[[#This Row],[TrxId]], Trx[Id], Trx[Action],,0)</f>
        <v>支付</v>
      </c>
      <c r="E142" s="26" t="s">
        <v>85</v>
      </c>
      <c r="F142" s="11" t="s">
        <v>12</v>
      </c>
      <c r="G142" s="11" t="s">
        <v>90</v>
      </c>
      <c r="H142" s="72">
        <v>-62.18</v>
      </c>
      <c r="I142" s="5" t="b">
        <f>AND(Jnl[[#This Row],[TrxId]]&lt;&gt;"",Jnl[[#This Row],[Acct]]&lt;&gt;"",Jnl[[#This Row],[Item]]&lt;&gt;"",ISNUMBER(Jnl[[#This Row],[Bal]]))</f>
        <v>1</v>
      </c>
      <c r="J142" s="10">
        <f>IF(Jnl[[#This Row],[BSLv0]]="A",1,-1)*Jnl[[#This Row],[Bal]]</f>
        <v>-62.18</v>
      </c>
      <c r="K142" t="str">
        <f>_xlfn.XLOOKUP(Jnl[[#This Row],[Acct]], config_BS[Acct], config_BS[Lv0],,0)</f>
        <v>A</v>
      </c>
      <c r="L142" t="str">
        <f>_xlfn.XLOOKUP(Jnl[[#This Row],[Acct]], config_BS[Acct], config_BS[Lv1],,0)</f>
        <v>Assets</v>
      </c>
      <c r="M142" t="str">
        <f>_xlfn.XLOOKUP(Jnl[[#This Row],[Acct]], config_BS[Acct], config_BS[Lv2],,0)</f>
        <v>Cash alike</v>
      </c>
      <c r="N142" t="str">
        <f>_xlfn.XLOOKUP(Jnl[[#This Row],[TrxId]], Trx[Id], Trx[IncNode], ,0)</f>
        <v>Expense</v>
      </c>
      <c r="O142" t="str">
        <f>_xlfn.XLOOKUP(Jnl[[#This Row],[IncNode]], config_IS[Node], config_IS[Type],,0)</f>
        <v>Op</v>
      </c>
      <c r="P142" t="str">
        <f>_xlfn.XLOOKUP(Jnl[[#This Row],[BSLv2]], dict[Key], dict[Name],,0)</f>
        <v>0.现金及类似</v>
      </c>
      <c r="Q142" t="str">
        <f>_xlfn.XLOOKUP(Jnl[[#This Row],[Acct]], dict[Key], dict[Name],,0)</f>
        <v>银行</v>
      </c>
      <c r="R142" t="str">
        <f>_xlfn.XLOOKUP(Jnl[[#This Row],[Vehicle]],config_vehicle[Id], config_vehicle[Name],,0)</f>
        <v>桑木</v>
      </c>
      <c r="S142" t="str">
        <f>_xlfn.XLOOKUP(Jnl[[#This Row],[Division]],config_div[Id], config_div[Name],,0)</f>
        <v>综合管理</v>
      </c>
      <c r="T142" t="str">
        <f>IF(Jnl[[#This Row],[TrxDate]]&lt;=stmt_BS_date_end, "In", "Out")</f>
        <v>In</v>
      </c>
      <c r="U142" t="str">
        <f>IF(Jnl[[#This Row],[TrxDate]]&lt;debug_date_start, "prior", IF(Jnl[[#This Row],[TrxDate]]&gt;debug_date_end, "post", "curr"))</f>
        <v>prior</v>
      </c>
    </row>
    <row r="143" spans="1:21">
      <c r="A143" s="11" t="s">
        <v>261</v>
      </c>
      <c r="B143" s="7">
        <f>_xlfn.XLOOKUP(Jnl[[#This Row],[TrxId]], Trx[Id], Trx[Date],,0)</f>
        <v>46053</v>
      </c>
      <c r="C143" s="7" t="str">
        <f>_xlfn.XLOOKUP(Jnl[[#This Row],[TrxId]], Trx[Id], Trx[Division],,0)</f>
        <v>Online</v>
      </c>
      <c r="D143" s="7" t="str">
        <f>_xlfn.XLOOKUP(Jnl[[#This Row],[TrxId]], Trx[Id], Trx[Action],,0)</f>
        <v>物流</v>
      </c>
      <c r="E143" s="26" t="s">
        <v>85</v>
      </c>
      <c r="F143" s="11" t="s">
        <v>12</v>
      </c>
      <c r="G143" s="11" t="s">
        <v>90</v>
      </c>
      <c r="H143" s="72">
        <v>-655</v>
      </c>
      <c r="I143" s="5" t="b">
        <f>AND(Jnl[[#This Row],[TrxId]]&lt;&gt;"",Jnl[[#This Row],[Acct]]&lt;&gt;"",Jnl[[#This Row],[Item]]&lt;&gt;"",ISNUMBER(Jnl[[#This Row],[Bal]]))</f>
        <v>1</v>
      </c>
      <c r="J143" s="10">
        <f>IF(Jnl[[#This Row],[BSLv0]]="A",1,-1)*Jnl[[#This Row],[Bal]]</f>
        <v>-655</v>
      </c>
      <c r="K143" t="str">
        <f>_xlfn.XLOOKUP(Jnl[[#This Row],[Acct]], config_BS[Acct], config_BS[Lv0],,0)</f>
        <v>A</v>
      </c>
      <c r="L143" t="str">
        <f>_xlfn.XLOOKUP(Jnl[[#This Row],[Acct]], config_BS[Acct], config_BS[Lv1],,0)</f>
        <v>Assets</v>
      </c>
      <c r="M143" t="str">
        <f>_xlfn.XLOOKUP(Jnl[[#This Row],[Acct]], config_BS[Acct], config_BS[Lv2],,0)</f>
        <v>Cash alike</v>
      </c>
      <c r="N143" t="str">
        <f>_xlfn.XLOOKUP(Jnl[[#This Row],[TrxId]], Trx[Id], Trx[IncNode], ,0)</f>
        <v>Expense</v>
      </c>
      <c r="O143" t="str">
        <f>_xlfn.XLOOKUP(Jnl[[#This Row],[IncNode]], config_IS[Node], config_IS[Type],,0)</f>
        <v>Op</v>
      </c>
      <c r="P143" t="str">
        <f>_xlfn.XLOOKUP(Jnl[[#This Row],[BSLv2]], dict[Key], dict[Name],,0)</f>
        <v>0.现金及类似</v>
      </c>
      <c r="Q143" t="str">
        <f>_xlfn.XLOOKUP(Jnl[[#This Row],[Acct]], dict[Key], dict[Name],,0)</f>
        <v>银行</v>
      </c>
      <c r="R143" t="str">
        <f>_xlfn.XLOOKUP(Jnl[[#This Row],[Vehicle]],config_vehicle[Id], config_vehicle[Name],,0)</f>
        <v>桑木</v>
      </c>
      <c r="S143" t="str">
        <f>_xlfn.XLOOKUP(Jnl[[#This Row],[Division]],config_div[Id], config_div[Name],,0)</f>
        <v>网店</v>
      </c>
      <c r="T143" t="str">
        <f>IF(Jnl[[#This Row],[TrxDate]]&lt;=stmt_BS_date_end, "In", "Out")</f>
        <v>In</v>
      </c>
      <c r="U143" t="str">
        <f>IF(Jnl[[#This Row],[TrxDate]]&lt;debug_date_start, "prior", IF(Jnl[[#This Row],[TrxDate]]&gt;debug_date_end, "post", "curr"))</f>
        <v>prior</v>
      </c>
    </row>
    <row r="144" spans="1:21">
      <c r="A144" s="11" t="s">
        <v>262</v>
      </c>
      <c r="B144" s="7">
        <f>_xlfn.XLOOKUP(Jnl[[#This Row],[TrxId]], Trx[Id], Trx[Date],,0)</f>
        <v>46053</v>
      </c>
      <c r="C144" s="7" t="str">
        <f>_xlfn.XLOOKUP(Jnl[[#This Row],[TrxId]], Trx[Id], Trx[Division],,0)</f>
        <v>Ctrl</v>
      </c>
      <c r="D144" s="7" t="str">
        <f>_xlfn.XLOOKUP(Jnl[[#This Row],[TrxId]], Trx[Id], Trx[Action],,0)</f>
        <v>支付</v>
      </c>
      <c r="E144" s="26" t="s">
        <v>85</v>
      </c>
      <c r="F144" s="11" t="s">
        <v>126</v>
      </c>
      <c r="G144" s="11" t="s">
        <v>282</v>
      </c>
      <c r="H144" s="72">
        <v>-15935.52</v>
      </c>
      <c r="I144" s="5" t="b">
        <f>AND(Jnl[[#This Row],[TrxId]]&lt;&gt;"",Jnl[[#This Row],[Acct]]&lt;&gt;"",Jnl[[#This Row],[Item]]&lt;&gt;"",ISNUMBER(Jnl[[#This Row],[Bal]]))</f>
        <v>1</v>
      </c>
      <c r="J144" s="10">
        <f>IF(Jnl[[#This Row],[BSLv0]]="A",1,-1)*Jnl[[#This Row],[Bal]]</f>
        <v>15935.52</v>
      </c>
      <c r="K144" t="str">
        <f>_xlfn.XLOOKUP(Jnl[[#This Row],[Acct]], config_BS[Acct], config_BS[Lv0],,0)</f>
        <v>LC</v>
      </c>
      <c r="L144" t="str">
        <f>_xlfn.XLOOKUP(Jnl[[#This Row],[Acct]], config_BS[Acct], config_BS[Lv1],,0)</f>
        <v>Liability</v>
      </c>
      <c r="M144" t="str">
        <f>_xlfn.XLOOKUP(Jnl[[#This Row],[Acct]], config_BS[Acct], config_BS[Lv2],,0)</f>
        <v>Rec-Pay</v>
      </c>
      <c r="N144" t="str">
        <f>_xlfn.XLOOKUP(Jnl[[#This Row],[TrxId]], Trx[Id], Trx[IncNode], ,0)</f>
        <v>Expense</v>
      </c>
      <c r="O144" t="str">
        <f>_xlfn.XLOOKUP(Jnl[[#This Row],[IncNode]], config_IS[Node], config_IS[Type],,0)</f>
        <v>Op</v>
      </c>
      <c r="P144" t="str">
        <f>_xlfn.XLOOKUP(Jnl[[#This Row],[BSLv2]], dict[Key], dict[Name],,0)</f>
        <v>1.应收-应付</v>
      </c>
      <c r="Q144" t="str">
        <f>_xlfn.XLOOKUP(Jnl[[#This Row],[Acct]], dict[Key], dict[Name],,0)</f>
        <v>应付-税款</v>
      </c>
      <c r="R144" t="str">
        <f>_xlfn.XLOOKUP(Jnl[[#This Row],[Vehicle]],config_vehicle[Id], config_vehicle[Name],,0)</f>
        <v>桑木</v>
      </c>
      <c r="S144" t="str">
        <f>_xlfn.XLOOKUP(Jnl[[#This Row],[Division]],config_div[Id], config_div[Name],,0)</f>
        <v>内控合规</v>
      </c>
      <c r="T144" t="str">
        <f>IF(Jnl[[#This Row],[TrxDate]]&lt;=stmt_BS_date_end, "In", "Out")</f>
        <v>In</v>
      </c>
      <c r="U144" t="str">
        <f>IF(Jnl[[#This Row],[TrxDate]]&lt;debug_date_start, "prior", IF(Jnl[[#This Row],[TrxDate]]&gt;debug_date_end, "post", "curr"))</f>
        <v>prior</v>
      </c>
    </row>
    <row r="145" spans="1:21">
      <c r="A145" s="11" t="s">
        <v>262</v>
      </c>
      <c r="B145" s="7">
        <f>_xlfn.XLOOKUP(Jnl[[#This Row],[TrxId]], Trx[Id], Trx[Date],,0)</f>
        <v>46053</v>
      </c>
      <c r="C145" s="7" t="str">
        <f>_xlfn.XLOOKUP(Jnl[[#This Row],[TrxId]], Trx[Id], Trx[Division],,0)</f>
        <v>Ctrl</v>
      </c>
      <c r="D145" s="7" t="str">
        <f>_xlfn.XLOOKUP(Jnl[[#This Row],[TrxId]], Trx[Id], Trx[Action],,0)</f>
        <v>支付</v>
      </c>
      <c r="E145" s="26" t="s">
        <v>85</v>
      </c>
      <c r="F145" s="11" t="s">
        <v>126</v>
      </c>
      <c r="G145" s="11" t="s">
        <v>299</v>
      </c>
      <c r="H145" s="72">
        <v>-1309.8399999999999</v>
      </c>
      <c r="I145" s="5" t="b">
        <f>AND(Jnl[[#This Row],[TrxId]]&lt;&gt;"",Jnl[[#This Row],[Acct]]&lt;&gt;"",Jnl[[#This Row],[Item]]&lt;&gt;"",ISNUMBER(Jnl[[#This Row],[Bal]]))</f>
        <v>1</v>
      </c>
      <c r="J145" s="10">
        <f>IF(Jnl[[#This Row],[BSLv0]]="A",1,-1)*Jnl[[#This Row],[Bal]]</f>
        <v>1309.8399999999999</v>
      </c>
      <c r="K145" t="str">
        <f>_xlfn.XLOOKUP(Jnl[[#This Row],[Acct]], config_BS[Acct], config_BS[Lv0],,0)</f>
        <v>LC</v>
      </c>
      <c r="L145" t="str">
        <f>_xlfn.XLOOKUP(Jnl[[#This Row],[Acct]], config_BS[Acct], config_BS[Lv1],,0)</f>
        <v>Liability</v>
      </c>
      <c r="M145" t="str">
        <f>_xlfn.XLOOKUP(Jnl[[#This Row],[Acct]], config_BS[Acct], config_BS[Lv2],,0)</f>
        <v>Rec-Pay</v>
      </c>
      <c r="N145" t="str">
        <f>_xlfn.XLOOKUP(Jnl[[#This Row],[TrxId]], Trx[Id], Trx[IncNode], ,0)</f>
        <v>Expense</v>
      </c>
      <c r="O145" t="str">
        <f>_xlfn.XLOOKUP(Jnl[[#This Row],[IncNode]], config_IS[Node], config_IS[Type],,0)</f>
        <v>Op</v>
      </c>
      <c r="P145" t="str">
        <f>_xlfn.XLOOKUP(Jnl[[#This Row],[BSLv2]], dict[Key], dict[Name],,0)</f>
        <v>1.应收-应付</v>
      </c>
      <c r="Q145" t="str">
        <f>_xlfn.XLOOKUP(Jnl[[#This Row],[Acct]], dict[Key], dict[Name],,0)</f>
        <v>应付-税款</v>
      </c>
      <c r="R145" t="str">
        <f>_xlfn.XLOOKUP(Jnl[[#This Row],[Vehicle]],config_vehicle[Id], config_vehicle[Name],,0)</f>
        <v>桑木</v>
      </c>
      <c r="S145" t="str">
        <f>_xlfn.XLOOKUP(Jnl[[#This Row],[Division]],config_div[Id], config_div[Name],,0)</f>
        <v>内控合规</v>
      </c>
      <c r="T145" t="str">
        <f>IF(Jnl[[#This Row],[TrxDate]]&lt;=stmt_BS_date_end, "In", "Out")</f>
        <v>In</v>
      </c>
      <c r="U145" t="str">
        <f>IF(Jnl[[#This Row],[TrxDate]]&lt;debug_date_start, "prior", IF(Jnl[[#This Row],[TrxDate]]&gt;debug_date_end, "post", "curr"))</f>
        <v>prior</v>
      </c>
    </row>
    <row r="146" spans="1:21">
      <c r="A146" s="11" t="s">
        <v>262</v>
      </c>
      <c r="B146" s="7">
        <f>_xlfn.XLOOKUP(Jnl[[#This Row],[TrxId]], Trx[Id], Trx[Date],,0)</f>
        <v>46053</v>
      </c>
      <c r="C146" s="7" t="str">
        <f>_xlfn.XLOOKUP(Jnl[[#This Row],[TrxId]], Trx[Id], Trx[Division],,0)</f>
        <v>Ctrl</v>
      </c>
      <c r="D146" s="7" t="str">
        <f>_xlfn.XLOOKUP(Jnl[[#This Row],[TrxId]], Trx[Id], Trx[Action],,0)</f>
        <v>支付</v>
      </c>
      <c r="E146" s="26" t="s">
        <v>85</v>
      </c>
      <c r="F146" s="11" t="s">
        <v>126</v>
      </c>
      <c r="G146" s="11" t="s">
        <v>297</v>
      </c>
      <c r="H146" s="72">
        <v>-20527.259999999998</v>
      </c>
      <c r="I146" s="5" t="b">
        <f>AND(Jnl[[#This Row],[TrxId]]&lt;&gt;"",Jnl[[#This Row],[Acct]]&lt;&gt;"",Jnl[[#This Row],[Item]]&lt;&gt;"",ISNUMBER(Jnl[[#This Row],[Bal]]))</f>
        <v>1</v>
      </c>
      <c r="J146" s="10">
        <f>IF(Jnl[[#This Row],[BSLv0]]="A",1,-1)*Jnl[[#This Row],[Bal]]</f>
        <v>20527.259999999998</v>
      </c>
      <c r="K146" t="str">
        <f>_xlfn.XLOOKUP(Jnl[[#This Row],[Acct]], config_BS[Acct], config_BS[Lv0],,0)</f>
        <v>LC</v>
      </c>
      <c r="L146" t="str">
        <f>_xlfn.XLOOKUP(Jnl[[#This Row],[Acct]], config_BS[Acct], config_BS[Lv1],,0)</f>
        <v>Liability</v>
      </c>
      <c r="M146" t="str">
        <f>_xlfn.XLOOKUP(Jnl[[#This Row],[Acct]], config_BS[Acct], config_BS[Lv2],,0)</f>
        <v>Rec-Pay</v>
      </c>
      <c r="N146" t="str">
        <f>_xlfn.XLOOKUP(Jnl[[#This Row],[TrxId]], Trx[Id], Trx[IncNode], ,0)</f>
        <v>Expense</v>
      </c>
      <c r="O146" t="str">
        <f>_xlfn.XLOOKUP(Jnl[[#This Row],[IncNode]], config_IS[Node], config_IS[Type],,0)</f>
        <v>Op</v>
      </c>
      <c r="P146" t="str">
        <f>_xlfn.XLOOKUP(Jnl[[#This Row],[BSLv2]], dict[Key], dict[Name],,0)</f>
        <v>1.应收-应付</v>
      </c>
      <c r="Q146" t="str">
        <f>_xlfn.XLOOKUP(Jnl[[#This Row],[Acct]], dict[Key], dict[Name],,0)</f>
        <v>应付-税款</v>
      </c>
      <c r="R146" t="str">
        <f>_xlfn.XLOOKUP(Jnl[[#This Row],[Vehicle]],config_vehicle[Id], config_vehicle[Name],,0)</f>
        <v>桑木</v>
      </c>
      <c r="S146" t="str">
        <f>_xlfn.XLOOKUP(Jnl[[#This Row],[Division]],config_div[Id], config_div[Name],,0)</f>
        <v>内控合规</v>
      </c>
      <c r="T146" t="str">
        <f>IF(Jnl[[#This Row],[TrxDate]]&lt;=stmt_BS_date_end, "In", "Out")</f>
        <v>In</v>
      </c>
      <c r="U146" t="str">
        <f>IF(Jnl[[#This Row],[TrxDate]]&lt;debug_date_start, "prior", IF(Jnl[[#This Row],[TrxDate]]&gt;debug_date_end, "post", "curr"))</f>
        <v>prior</v>
      </c>
    </row>
    <row r="147" spans="1:21">
      <c r="A147" s="11" t="s">
        <v>262</v>
      </c>
      <c r="B147" s="7">
        <f>_xlfn.XLOOKUP(Jnl[[#This Row],[TrxId]], Trx[Id], Trx[Date],,0)</f>
        <v>46053</v>
      </c>
      <c r="C147" s="7" t="str">
        <f>_xlfn.XLOOKUP(Jnl[[#This Row],[TrxId]], Trx[Id], Trx[Division],,0)</f>
        <v>Ctrl</v>
      </c>
      <c r="D147" s="7" t="str">
        <f>_xlfn.XLOOKUP(Jnl[[#This Row],[TrxId]], Trx[Id], Trx[Action],,0)</f>
        <v>支付</v>
      </c>
      <c r="E147" s="26" t="s">
        <v>85</v>
      </c>
      <c r="F147" s="11" t="s">
        <v>12</v>
      </c>
      <c r="G147" s="11" t="s">
        <v>90</v>
      </c>
      <c r="H147" s="72">
        <v>-37772.620000000003</v>
      </c>
      <c r="I147" s="5" t="b">
        <f>AND(Jnl[[#This Row],[TrxId]]&lt;&gt;"",Jnl[[#This Row],[Acct]]&lt;&gt;"",Jnl[[#This Row],[Item]]&lt;&gt;"",ISNUMBER(Jnl[[#This Row],[Bal]]))</f>
        <v>1</v>
      </c>
      <c r="J147" s="10">
        <f>IF(Jnl[[#This Row],[BSLv0]]="A",1,-1)*Jnl[[#This Row],[Bal]]</f>
        <v>-37772.620000000003</v>
      </c>
      <c r="K147" t="str">
        <f>_xlfn.XLOOKUP(Jnl[[#This Row],[Acct]], config_BS[Acct], config_BS[Lv0],,0)</f>
        <v>A</v>
      </c>
      <c r="L147" t="str">
        <f>_xlfn.XLOOKUP(Jnl[[#This Row],[Acct]], config_BS[Acct], config_BS[Lv1],,0)</f>
        <v>Assets</v>
      </c>
      <c r="M147" t="str">
        <f>_xlfn.XLOOKUP(Jnl[[#This Row],[Acct]], config_BS[Acct], config_BS[Lv2],,0)</f>
        <v>Cash alike</v>
      </c>
      <c r="N147" t="str">
        <f>_xlfn.XLOOKUP(Jnl[[#This Row],[TrxId]], Trx[Id], Trx[IncNode], ,0)</f>
        <v>Expense</v>
      </c>
      <c r="O147" t="str">
        <f>_xlfn.XLOOKUP(Jnl[[#This Row],[IncNode]], config_IS[Node], config_IS[Type],,0)</f>
        <v>Op</v>
      </c>
      <c r="P147" t="str">
        <f>_xlfn.XLOOKUP(Jnl[[#This Row],[BSLv2]], dict[Key], dict[Name],,0)</f>
        <v>0.现金及类似</v>
      </c>
      <c r="Q147" t="str">
        <f>_xlfn.XLOOKUP(Jnl[[#This Row],[Acct]], dict[Key], dict[Name],,0)</f>
        <v>银行</v>
      </c>
      <c r="R147" t="str">
        <f>_xlfn.XLOOKUP(Jnl[[#This Row],[Vehicle]],config_vehicle[Id], config_vehicle[Name],,0)</f>
        <v>桑木</v>
      </c>
      <c r="S147" t="str">
        <f>_xlfn.XLOOKUP(Jnl[[#This Row],[Division]],config_div[Id], config_div[Name],,0)</f>
        <v>内控合规</v>
      </c>
      <c r="T147" t="str">
        <f>IF(Jnl[[#This Row],[TrxDate]]&lt;=stmt_BS_date_end, "In", "Out")</f>
        <v>In</v>
      </c>
      <c r="U147" t="str">
        <f>IF(Jnl[[#This Row],[TrxDate]]&lt;debug_date_start, "prior", IF(Jnl[[#This Row],[TrxDate]]&gt;debug_date_end, "post", "curr"))</f>
        <v>prior</v>
      </c>
    </row>
    <row r="148" spans="1:21">
      <c r="A148" s="11" t="s">
        <v>263</v>
      </c>
      <c r="B148" s="7">
        <f>_xlfn.XLOOKUP(Jnl[[#This Row],[TrxId]], Trx[Id], Trx[Date],,0)</f>
        <v>46053</v>
      </c>
      <c r="C148" s="7" t="str">
        <f>_xlfn.XLOOKUP(Jnl[[#This Row],[TrxId]], Trx[Id], Trx[Division],,0)</f>
        <v>Online</v>
      </c>
      <c r="D148" s="7" t="str">
        <f>_xlfn.XLOOKUP(Jnl[[#This Row],[TrxId]], Trx[Id], Trx[Action],,0)</f>
        <v>订购</v>
      </c>
      <c r="E148" s="26" t="s">
        <v>85</v>
      </c>
      <c r="F148" s="11" t="s">
        <v>115</v>
      </c>
      <c r="G148" s="11" t="s">
        <v>143</v>
      </c>
      <c r="H148" s="72">
        <v>36301.5</v>
      </c>
      <c r="I148" s="5" t="b">
        <f>AND(Jnl[[#This Row],[TrxId]]&lt;&gt;"",Jnl[[#This Row],[Acct]]&lt;&gt;"",Jnl[[#This Row],[Item]]&lt;&gt;"",ISNUMBER(Jnl[[#This Row],[Bal]]))</f>
        <v>1</v>
      </c>
      <c r="J148" s="10">
        <f>IF(Jnl[[#This Row],[BSLv0]]="A",1,-1)*Jnl[[#This Row],[Bal]]</f>
        <v>36301.5</v>
      </c>
      <c r="K148" t="str">
        <f>_xlfn.XLOOKUP(Jnl[[#This Row],[Acct]], config_BS[Acct], config_BS[Lv0],,0)</f>
        <v>A</v>
      </c>
      <c r="L148" t="str">
        <f>_xlfn.XLOOKUP(Jnl[[#This Row],[Acct]], config_BS[Acct], config_BS[Lv1],,0)</f>
        <v>Assets</v>
      </c>
      <c r="M148" t="str">
        <f>_xlfn.XLOOKUP(Jnl[[#This Row],[Acct]], config_BS[Acct], config_BS[Lv2],,0)</f>
        <v>Prep-Sub</v>
      </c>
      <c r="N148" t="str">
        <f>_xlfn.XLOOKUP(Jnl[[#This Row],[TrxId]], Trx[Id], Trx[IncNode], ,0)</f>
        <v>Cost</v>
      </c>
      <c r="O148" t="str">
        <f>_xlfn.XLOOKUP(Jnl[[#This Row],[IncNode]], config_IS[Node], config_IS[Type],,0)</f>
        <v>Op</v>
      </c>
      <c r="P148" t="str">
        <f>_xlfn.XLOOKUP(Jnl[[#This Row],[BSLv2]], dict[Key], dict[Name],,0)</f>
        <v>2.预付-订阅</v>
      </c>
      <c r="Q148" t="str">
        <f>_xlfn.XLOOKUP(Jnl[[#This Row],[Acct]], dict[Key], dict[Name],,0)</f>
        <v>预付订单</v>
      </c>
      <c r="R148" t="str">
        <f>_xlfn.XLOOKUP(Jnl[[#This Row],[Vehicle]],config_vehicle[Id], config_vehicle[Name],,0)</f>
        <v>桑木</v>
      </c>
      <c r="S148" t="str">
        <f>_xlfn.XLOOKUP(Jnl[[#This Row],[Division]],config_div[Id], config_div[Name],,0)</f>
        <v>网店</v>
      </c>
      <c r="T148" t="str">
        <f>IF(Jnl[[#This Row],[TrxDate]]&lt;=stmt_BS_date_end, "In", "Out")</f>
        <v>In</v>
      </c>
      <c r="U148" t="str">
        <f>IF(Jnl[[#This Row],[TrxDate]]&lt;debug_date_start, "prior", IF(Jnl[[#This Row],[TrxDate]]&gt;debug_date_end, "post", "curr"))</f>
        <v>prior</v>
      </c>
    </row>
    <row r="149" spans="1:21">
      <c r="A149" s="11" t="s">
        <v>263</v>
      </c>
      <c r="B149" s="7">
        <f>_xlfn.XLOOKUP(Jnl[[#This Row],[TrxId]], Trx[Id], Trx[Date],,0)</f>
        <v>46053</v>
      </c>
      <c r="C149" s="7" t="str">
        <f>_xlfn.XLOOKUP(Jnl[[#This Row],[TrxId]], Trx[Id], Trx[Division],,0)</f>
        <v>Online</v>
      </c>
      <c r="D149" s="7" t="str">
        <f>_xlfn.XLOOKUP(Jnl[[#This Row],[TrxId]], Trx[Id], Trx[Action],,0)</f>
        <v>订购</v>
      </c>
      <c r="E149" s="26" t="s">
        <v>85</v>
      </c>
      <c r="F149" s="11" t="s">
        <v>12</v>
      </c>
      <c r="G149" s="11" t="s">
        <v>90</v>
      </c>
      <c r="H149" s="72">
        <v>-36301.5</v>
      </c>
      <c r="I149" s="5" t="b">
        <f>AND(Jnl[[#This Row],[TrxId]]&lt;&gt;"",Jnl[[#This Row],[Acct]]&lt;&gt;"",Jnl[[#This Row],[Item]]&lt;&gt;"",ISNUMBER(Jnl[[#This Row],[Bal]]))</f>
        <v>1</v>
      </c>
      <c r="J149" s="10">
        <f>IF(Jnl[[#This Row],[BSLv0]]="A",1,-1)*Jnl[[#This Row],[Bal]]</f>
        <v>-36301.5</v>
      </c>
      <c r="K149" t="str">
        <f>_xlfn.XLOOKUP(Jnl[[#This Row],[Acct]], config_BS[Acct], config_BS[Lv0],,0)</f>
        <v>A</v>
      </c>
      <c r="L149" t="str">
        <f>_xlfn.XLOOKUP(Jnl[[#This Row],[Acct]], config_BS[Acct], config_BS[Lv1],,0)</f>
        <v>Assets</v>
      </c>
      <c r="M149" t="str">
        <f>_xlfn.XLOOKUP(Jnl[[#This Row],[Acct]], config_BS[Acct], config_BS[Lv2],,0)</f>
        <v>Cash alike</v>
      </c>
      <c r="N149" t="str">
        <f>_xlfn.XLOOKUP(Jnl[[#This Row],[TrxId]], Trx[Id], Trx[IncNode], ,0)</f>
        <v>Cost</v>
      </c>
      <c r="O149" t="str">
        <f>_xlfn.XLOOKUP(Jnl[[#This Row],[IncNode]], config_IS[Node], config_IS[Type],,0)</f>
        <v>Op</v>
      </c>
      <c r="P149" t="str">
        <f>_xlfn.XLOOKUP(Jnl[[#This Row],[BSLv2]], dict[Key], dict[Name],,0)</f>
        <v>0.现金及类似</v>
      </c>
      <c r="Q149" t="str">
        <f>_xlfn.XLOOKUP(Jnl[[#This Row],[Acct]], dict[Key], dict[Name],,0)</f>
        <v>银行</v>
      </c>
      <c r="R149" t="str">
        <f>_xlfn.XLOOKUP(Jnl[[#This Row],[Vehicle]],config_vehicle[Id], config_vehicle[Name],,0)</f>
        <v>桑木</v>
      </c>
      <c r="S149" t="str">
        <f>_xlfn.XLOOKUP(Jnl[[#This Row],[Division]],config_div[Id], config_div[Name],,0)</f>
        <v>网店</v>
      </c>
      <c r="T149" t="str">
        <f>IF(Jnl[[#This Row],[TrxDate]]&lt;=stmt_BS_date_end, "In", "Out")</f>
        <v>In</v>
      </c>
      <c r="U149" t="str">
        <f>IF(Jnl[[#This Row],[TrxDate]]&lt;debug_date_start, "prior", IF(Jnl[[#This Row],[TrxDate]]&gt;debug_date_end, "post", "curr"))</f>
        <v>prior</v>
      </c>
    </row>
    <row r="150" spans="1:21">
      <c r="A150" s="11" t="s">
        <v>264</v>
      </c>
      <c r="B150" s="7">
        <f>_xlfn.XLOOKUP(Jnl[[#This Row],[TrxId]], Trx[Id], Trx[Date],,0)</f>
        <v>46053</v>
      </c>
      <c r="C150" s="7" t="str">
        <f>_xlfn.XLOOKUP(Jnl[[#This Row],[TrxId]], Trx[Id], Trx[Division],,0)</f>
        <v>Online</v>
      </c>
      <c r="D150" s="7" t="str">
        <f>_xlfn.XLOOKUP(Jnl[[#This Row],[TrxId]], Trx[Id], Trx[Action],,0)</f>
        <v>入库</v>
      </c>
      <c r="E150" s="26" t="s">
        <v>80</v>
      </c>
      <c r="F150" s="11" t="s">
        <v>116</v>
      </c>
      <c r="G150" s="11" t="s">
        <v>150</v>
      </c>
      <c r="H150" s="72">
        <v>48363</v>
      </c>
      <c r="I150" s="5" t="b">
        <f>AND(Jnl[[#This Row],[TrxId]]&lt;&gt;"",Jnl[[#This Row],[Acct]]&lt;&gt;"",Jnl[[#This Row],[Item]]&lt;&gt;"",ISNUMBER(Jnl[[#This Row],[Bal]]))</f>
        <v>1</v>
      </c>
      <c r="J150" s="10">
        <f>IF(Jnl[[#This Row],[BSLv0]]="A",1,-1)*Jnl[[#This Row],[Bal]]</f>
        <v>48363</v>
      </c>
      <c r="K150" t="str">
        <f>_xlfn.XLOOKUP(Jnl[[#This Row],[Acct]], config_BS[Acct], config_BS[Lv0],,0)</f>
        <v>A</v>
      </c>
      <c r="L150" t="str">
        <f>_xlfn.XLOOKUP(Jnl[[#This Row],[Acct]], config_BS[Acct], config_BS[Lv1],,0)</f>
        <v>Assets</v>
      </c>
      <c r="M150" t="str">
        <f>_xlfn.XLOOKUP(Jnl[[#This Row],[Acct]], config_BS[Acct], config_BS[Lv2],,0)</f>
        <v>Invtr</v>
      </c>
      <c r="N150" t="str">
        <f>_xlfn.XLOOKUP(Jnl[[#This Row],[TrxId]], Trx[Id], Trx[IncNode], ,0)</f>
        <v>Cost</v>
      </c>
      <c r="O150" t="str">
        <f>_xlfn.XLOOKUP(Jnl[[#This Row],[IncNode]], config_IS[Node], config_IS[Type],,0)</f>
        <v>Op</v>
      </c>
      <c r="P150" t="str">
        <f>_xlfn.XLOOKUP(Jnl[[#This Row],[BSLv2]], dict[Key], dict[Name],,0)</f>
        <v>3.库存占款</v>
      </c>
      <c r="Q150" t="str">
        <f>_xlfn.XLOOKUP(Jnl[[#This Row],[Acct]], dict[Key], dict[Name],,0)</f>
        <v>当期存货</v>
      </c>
      <c r="R150" t="str">
        <f>_xlfn.XLOOKUP(Jnl[[#This Row],[Vehicle]],config_vehicle[Id], config_vehicle[Name],,0)</f>
        <v>远家花园</v>
      </c>
      <c r="S150" t="str">
        <f>_xlfn.XLOOKUP(Jnl[[#This Row],[Division]],config_div[Id], config_div[Name],,0)</f>
        <v>网店</v>
      </c>
      <c r="T150" t="str">
        <f>IF(Jnl[[#This Row],[TrxDate]]&lt;=stmt_BS_date_end, "In", "Out")</f>
        <v>In</v>
      </c>
      <c r="U150" t="str">
        <f>IF(Jnl[[#This Row],[TrxDate]]&lt;debug_date_start, "prior", IF(Jnl[[#This Row],[TrxDate]]&gt;debug_date_end, "post", "curr"))</f>
        <v>prior</v>
      </c>
    </row>
    <row r="151" spans="1:21">
      <c r="A151" s="11" t="s">
        <v>264</v>
      </c>
      <c r="B151" s="7">
        <f>_xlfn.XLOOKUP(Jnl[[#This Row],[TrxId]], Trx[Id], Trx[Date],,0)</f>
        <v>46053</v>
      </c>
      <c r="C151" s="7" t="str">
        <f>_xlfn.XLOOKUP(Jnl[[#This Row],[TrxId]], Trx[Id], Trx[Division],,0)</f>
        <v>Online</v>
      </c>
      <c r="D151" s="7" t="str">
        <f>_xlfn.XLOOKUP(Jnl[[#This Row],[TrxId]], Trx[Id], Trx[Action],,0)</f>
        <v>入库</v>
      </c>
      <c r="E151" s="26" t="s">
        <v>85</v>
      </c>
      <c r="F151" s="11" t="s">
        <v>115</v>
      </c>
      <c r="G151" s="11" t="s">
        <v>143</v>
      </c>
      <c r="H151" s="72">
        <v>-48363</v>
      </c>
      <c r="I151" s="5" t="b">
        <f>AND(Jnl[[#This Row],[TrxId]]&lt;&gt;"",Jnl[[#This Row],[Acct]]&lt;&gt;"",Jnl[[#This Row],[Item]]&lt;&gt;"",ISNUMBER(Jnl[[#This Row],[Bal]]))</f>
        <v>1</v>
      </c>
      <c r="J151" s="10">
        <f>IF(Jnl[[#This Row],[BSLv0]]="A",1,-1)*Jnl[[#This Row],[Bal]]</f>
        <v>-48363</v>
      </c>
      <c r="K151" t="str">
        <f>_xlfn.XLOOKUP(Jnl[[#This Row],[Acct]], config_BS[Acct], config_BS[Lv0],,0)</f>
        <v>A</v>
      </c>
      <c r="L151" t="str">
        <f>_xlfn.XLOOKUP(Jnl[[#This Row],[Acct]], config_BS[Acct], config_BS[Lv1],,0)</f>
        <v>Assets</v>
      </c>
      <c r="M151" t="str">
        <f>_xlfn.XLOOKUP(Jnl[[#This Row],[Acct]], config_BS[Acct], config_BS[Lv2],,0)</f>
        <v>Prep-Sub</v>
      </c>
      <c r="N151" t="str">
        <f>_xlfn.XLOOKUP(Jnl[[#This Row],[TrxId]], Trx[Id], Trx[IncNode], ,0)</f>
        <v>Cost</v>
      </c>
      <c r="O151" t="str">
        <f>_xlfn.XLOOKUP(Jnl[[#This Row],[IncNode]], config_IS[Node], config_IS[Type],,0)</f>
        <v>Op</v>
      </c>
      <c r="P151" t="str">
        <f>_xlfn.XLOOKUP(Jnl[[#This Row],[BSLv2]], dict[Key], dict[Name],,0)</f>
        <v>2.预付-订阅</v>
      </c>
      <c r="Q151" t="str">
        <f>_xlfn.XLOOKUP(Jnl[[#This Row],[Acct]], dict[Key], dict[Name],,0)</f>
        <v>预付订单</v>
      </c>
      <c r="R151" t="str">
        <f>_xlfn.XLOOKUP(Jnl[[#This Row],[Vehicle]],config_vehicle[Id], config_vehicle[Name],,0)</f>
        <v>桑木</v>
      </c>
      <c r="S151" t="str">
        <f>_xlfn.XLOOKUP(Jnl[[#This Row],[Division]],config_div[Id], config_div[Name],,0)</f>
        <v>网店</v>
      </c>
      <c r="T151" t="str">
        <f>IF(Jnl[[#This Row],[TrxDate]]&lt;=stmt_BS_date_end, "In", "Out")</f>
        <v>In</v>
      </c>
      <c r="U151" t="str">
        <f>IF(Jnl[[#This Row],[TrxDate]]&lt;debug_date_start, "prior", IF(Jnl[[#This Row],[TrxDate]]&gt;debug_date_end, "post", "curr"))</f>
        <v>prior</v>
      </c>
    </row>
    <row r="152" spans="1:21">
      <c r="A152" s="11" t="s">
        <v>265</v>
      </c>
      <c r="B152" s="7">
        <f>_xlfn.XLOOKUP(Jnl[[#This Row],[TrxId]], Trx[Id], Trx[Date],,0)</f>
        <v>46053</v>
      </c>
      <c r="C152" s="7" t="str">
        <f>_xlfn.XLOOKUP(Jnl[[#This Row],[TrxId]], Trx[Id], Trx[Division],,0)</f>
        <v>Online</v>
      </c>
      <c r="D152" s="7" t="str">
        <f>_xlfn.XLOOKUP(Jnl[[#This Row],[TrxId]], Trx[Id], Trx[Action],,0)</f>
        <v>订购</v>
      </c>
      <c r="E152" s="26" t="s">
        <v>85</v>
      </c>
      <c r="F152" s="11" t="s">
        <v>115</v>
      </c>
      <c r="G152" s="11" t="s">
        <v>143</v>
      </c>
      <c r="H152" s="72">
        <v>82225</v>
      </c>
      <c r="I152" s="5" t="b">
        <f>AND(Jnl[[#This Row],[TrxId]]&lt;&gt;"",Jnl[[#This Row],[Acct]]&lt;&gt;"",Jnl[[#This Row],[Item]]&lt;&gt;"",ISNUMBER(Jnl[[#This Row],[Bal]]))</f>
        <v>1</v>
      </c>
      <c r="J152" s="10">
        <f>IF(Jnl[[#This Row],[BSLv0]]="A",1,-1)*Jnl[[#This Row],[Bal]]</f>
        <v>82225</v>
      </c>
      <c r="K152" t="str">
        <f>_xlfn.XLOOKUP(Jnl[[#This Row],[Acct]], config_BS[Acct], config_BS[Lv0],,0)</f>
        <v>A</v>
      </c>
      <c r="L152" t="str">
        <f>_xlfn.XLOOKUP(Jnl[[#This Row],[Acct]], config_BS[Acct], config_BS[Lv1],,0)</f>
        <v>Assets</v>
      </c>
      <c r="M152" t="str">
        <f>_xlfn.XLOOKUP(Jnl[[#This Row],[Acct]], config_BS[Acct], config_BS[Lv2],,0)</f>
        <v>Prep-Sub</v>
      </c>
      <c r="N152" t="str">
        <f>_xlfn.XLOOKUP(Jnl[[#This Row],[TrxId]], Trx[Id], Trx[IncNode], ,0)</f>
        <v>Cost</v>
      </c>
      <c r="O152" t="str">
        <f>_xlfn.XLOOKUP(Jnl[[#This Row],[IncNode]], config_IS[Node], config_IS[Type],,0)</f>
        <v>Op</v>
      </c>
      <c r="P152" t="str">
        <f>_xlfn.XLOOKUP(Jnl[[#This Row],[BSLv2]], dict[Key], dict[Name],,0)</f>
        <v>2.预付-订阅</v>
      </c>
      <c r="Q152" t="str">
        <f>_xlfn.XLOOKUP(Jnl[[#This Row],[Acct]], dict[Key], dict[Name],,0)</f>
        <v>预付订单</v>
      </c>
      <c r="R152" t="str">
        <f>_xlfn.XLOOKUP(Jnl[[#This Row],[Vehicle]],config_vehicle[Id], config_vehicle[Name],,0)</f>
        <v>桑木</v>
      </c>
      <c r="S152" t="str">
        <f>_xlfn.XLOOKUP(Jnl[[#This Row],[Division]],config_div[Id], config_div[Name],,0)</f>
        <v>网店</v>
      </c>
      <c r="T152" t="str">
        <f>IF(Jnl[[#This Row],[TrxDate]]&lt;=stmt_BS_date_end, "In", "Out")</f>
        <v>In</v>
      </c>
      <c r="U152" t="str">
        <f>IF(Jnl[[#This Row],[TrxDate]]&lt;debug_date_start, "prior", IF(Jnl[[#This Row],[TrxDate]]&gt;debug_date_end, "post", "curr"))</f>
        <v>prior</v>
      </c>
    </row>
    <row r="153" spans="1:21">
      <c r="A153" s="11" t="s">
        <v>265</v>
      </c>
      <c r="B153" s="7">
        <f>_xlfn.XLOOKUP(Jnl[[#This Row],[TrxId]], Trx[Id], Trx[Date],,0)</f>
        <v>46053</v>
      </c>
      <c r="C153" s="7" t="str">
        <f>_xlfn.XLOOKUP(Jnl[[#This Row],[TrxId]], Trx[Id], Trx[Division],,0)</f>
        <v>Online</v>
      </c>
      <c r="D153" s="7" t="str">
        <f>_xlfn.XLOOKUP(Jnl[[#This Row],[TrxId]], Trx[Id], Trx[Action],,0)</f>
        <v>订购</v>
      </c>
      <c r="E153" s="26" t="s">
        <v>85</v>
      </c>
      <c r="F153" s="11" t="s">
        <v>12</v>
      </c>
      <c r="G153" s="11" t="s">
        <v>90</v>
      </c>
      <c r="H153" s="72">
        <v>-82225</v>
      </c>
      <c r="I153" s="5" t="b">
        <f>AND(Jnl[[#This Row],[TrxId]]&lt;&gt;"",Jnl[[#This Row],[Acct]]&lt;&gt;"",Jnl[[#This Row],[Item]]&lt;&gt;"",ISNUMBER(Jnl[[#This Row],[Bal]]))</f>
        <v>1</v>
      </c>
      <c r="J153" s="10">
        <f>IF(Jnl[[#This Row],[BSLv0]]="A",1,-1)*Jnl[[#This Row],[Bal]]</f>
        <v>-82225</v>
      </c>
      <c r="K153" t="str">
        <f>_xlfn.XLOOKUP(Jnl[[#This Row],[Acct]], config_BS[Acct], config_BS[Lv0],,0)</f>
        <v>A</v>
      </c>
      <c r="L153" t="str">
        <f>_xlfn.XLOOKUP(Jnl[[#This Row],[Acct]], config_BS[Acct], config_BS[Lv1],,0)</f>
        <v>Assets</v>
      </c>
      <c r="M153" t="str">
        <f>_xlfn.XLOOKUP(Jnl[[#This Row],[Acct]], config_BS[Acct], config_BS[Lv2],,0)</f>
        <v>Cash alike</v>
      </c>
      <c r="N153" t="str">
        <f>_xlfn.XLOOKUP(Jnl[[#This Row],[TrxId]], Trx[Id], Trx[IncNode], ,0)</f>
        <v>Cost</v>
      </c>
      <c r="O153" t="str">
        <f>_xlfn.XLOOKUP(Jnl[[#This Row],[IncNode]], config_IS[Node], config_IS[Type],,0)</f>
        <v>Op</v>
      </c>
      <c r="P153" t="str">
        <f>_xlfn.XLOOKUP(Jnl[[#This Row],[BSLv2]], dict[Key], dict[Name],,0)</f>
        <v>0.现金及类似</v>
      </c>
      <c r="Q153" t="str">
        <f>_xlfn.XLOOKUP(Jnl[[#This Row],[Acct]], dict[Key], dict[Name],,0)</f>
        <v>银行</v>
      </c>
      <c r="R153" t="str">
        <f>_xlfn.XLOOKUP(Jnl[[#This Row],[Vehicle]],config_vehicle[Id], config_vehicle[Name],,0)</f>
        <v>桑木</v>
      </c>
      <c r="S153" t="str">
        <f>_xlfn.XLOOKUP(Jnl[[#This Row],[Division]],config_div[Id], config_div[Name],,0)</f>
        <v>网店</v>
      </c>
      <c r="T153" t="str">
        <f>IF(Jnl[[#This Row],[TrxDate]]&lt;=stmt_BS_date_end, "In", "Out")</f>
        <v>In</v>
      </c>
      <c r="U153" t="str">
        <f>IF(Jnl[[#This Row],[TrxDate]]&lt;debug_date_start, "prior", IF(Jnl[[#This Row],[TrxDate]]&gt;debug_date_end, "post", "curr"))</f>
        <v>prior</v>
      </c>
    </row>
    <row r="154" spans="1:21">
      <c r="A154" s="11" t="s">
        <v>266</v>
      </c>
      <c r="B154" s="7">
        <f>_xlfn.XLOOKUP(Jnl[[#This Row],[TrxId]], Trx[Id], Trx[Date],,0)</f>
        <v>46053</v>
      </c>
      <c r="C154" s="7" t="str">
        <f>_xlfn.XLOOKUP(Jnl[[#This Row],[TrxId]], Trx[Id], Trx[Division],,0)</f>
        <v>Online</v>
      </c>
      <c r="D154" s="7" t="str">
        <f>_xlfn.XLOOKUP(Jnl[[#This Row],[TrxId]], Trx[Id], Trx[Action],,0)</f>
        <v>入库</v>
      </c>
      <c r="E154" s="26" t="s">
        <v>80</v>
      </c>
      <c r="F154" s="11" t="s">
        <v>116</v>
      </c>
      <c r="G154" s="11" t="s">
        <v>150</v>
      </c>
      <c r="H154" s="72">
        <v>82225</v>
      </c>
      <c r="I154" s="5" t="b">
        <f>AND(Jnl[[#This Row],[TrxId]]&lt;&gt;"",Jnl[[#This Row],[Acct]]&lt;&gt;"",Jnl[[#This Row],[Item]]&lt;&gt;"",ISNUMBER(Jnl[[#This Row],[Bal]]))</f>
        <v>1</v>
      </c>
      <c r="J154" s="10">
        <f>IF(Jnl[[#This Row],[BSLv0]]="A",1,-1)*Jnl[[#This Row],[Bal]]</f>
        <v>82225</v>
      </c>
      <c r="K154" t="str">
        <f>_xlfn.XLOOKUP(Jnl[[#This Row],[Acct]], config_BS[Acct], config_BS[Lv0],,0)</f>
        <v>A</v>
      </c>
      <c r="L154" t="str">
        <f>_xlfn.XLOOKUP(Jnl[[#This Row],[Acct]], config_BS[Acct], config_BS[Lv1],,0)</f>
        <v>Assets</v>
      </c>
      <c r="M154" t="str">
        <f>_xlfn.XLOOKUP(Jnl[[#This Row],[Acct]], config_BS[Acct], config_BS[Lv2],,0)</f>
        <v>Invtr</v>
      </c>
      <c r="N154" t="str">
        <f>_xlfn.XLOOKUP(Jnl[[#This Row],[TrxId]], Trx[Id], Trx[IncNode], ,0)</f>
        <v>Cost</v>
      </c>
      <c r="O154" t="str">
        <f>_xlfn.XLOOKUP(Jnl[[#This Row],[IncNode]], config_IS[Node], config_IS[Type],,0)</f>
        <v>Op</v>
      </c>
      <c r="P154" t="str">
        <f>_xlfn.XLOOKUP(Jnl[[#This Row],[BSLv2]], dict[Key], dict[Name],,0)</f>
        <v>3.库存占款</v>
      </c>
      <c r="Q154" t="str">
        <f>_xlfn.XLOOKUP(Jnl[[#This Row],[Acct]], dict[Key], dict[Name],,0)</f>
        <v>当期存货</v>
      </c>
      <c r="R154" t="str">
        <f>_xlfn.XLOOKUP(Jnl[[#This Row],[Vehicle]],config_vehicle[Id], config_vehicle[Name],,0)</f>
        <v>远家花园</v>
      </c>
      <c r="S154" t="str">
        <f>_xlfn.XLOOKUP(Jnl[[#This Row],[Division]],config_div[Id], config_div[Name],,0)</f>
        <v>网店</v>
      </c>
      <c r="T154" t="str">
        <f>IF(Jnl[[#This Row],[TrxDate]]&lt;=stmt_BS_date_end, "In", "Out")</f>
        <v>In</v>
      </c>
      <c r="U154" t="str">
        <f>IF(Jnl[[#This Row],[TrxDate]]&lt;debug_date_start, "prior", IF(Jnl[[#This Row],[TrxDate]]&gt;debug_date_end, "post", "curr"))</f>
        <v>prior</v>
      </c>
    </row>
    <row r="155" spans="1:21">
      <c r="A155" s="11" t="s">
        <v>266</v>
      </c>
      <c r="B155" s="7">
        <f>_xlfn.XLOOKUP(Jnl[[#This Row],[TrxId]], Trx[Id], Trx[Date],,0)</f>
        <v>46053</v>
      </c>
      <c r="C155" s="7" t="str">
        <f>_xlfn.XLOOKUP(Jnl[[#This Row],[TrxId]], Trx[Id], Trx[Division],,0)</f>
        <v>Online</v>
      </c>
      <c r="D155" s="7" t="str">
        <f>_xlfn.XLOOKUP(Jnl[[#This Row],[TrxId]], Trx[Id], Trx[Action],,0)</f>
        <v>入库</v>
      </c>
      <c r="E155" s="26" t="s">
        <v>85</v>
      </c>
      <c r="F155" s="11" t="s">
        <v>115</v>
      </c>
      <c r="G155" s="11" t="s">
        <v>143</v>
      </c>
      <c r="H155" s="72">
        <v>-82225</v>
      </c>
      <c r="I155" s="5" t="b">
        <f>AND(Jnl[[#This Row],[TrxId]]&lt;&gt;"",Jnl[[#This Row],[Acct]]&lt;&gt;"",Jnl[[#This Row],[Item]]&lt;&gt;"",ISNUMBER(Jnl[[#This Row],[Bal]]))</f>
        <v>1</v>
      </c>
      <c r="J155" s="10">
        <f>IF(Jnl[[#This Row],[BSLv0]]="A",1,-1)*Jnl[[#This Row],[Bal]]</f>
        <v>-82225</v>
      </c>
      <c r="K155" t="str">
        <f>_xlfn.XLOOKUP(Jnl[[#This Row],[Acct]], config_BS[Acct], config_BS[Lv0],,0)</f>
        <v>A</v>
      </c>
      <c r="L155" t="str">
        <f>_xlfn.XLOOKUP(Jnl[[#This Row],[Acct]], config_BS[Acct], config_BS[Lv1],,0)</f>
        <v>Assets</v>
      </c>
      <c r="M155" t="str">
        <f>_xlfn.XLOOKUP(Jnl[[#This Row],[Acct]], config_BS[Acct], config_BS[Lv2],,0)</f>
        <v>Prep-Sub</v>
      </c>
      <c r="N155" t="str">
        <f>_xlfn.XLOOKUP(Jnl[[#This Row],[TrxId]], Trx[Id], Trx[IncNode], ,0)</f>
        <v>Cost</v>
      </c>
      <c r="O155" t="str">
        <f>_xlfn.XLOOKUP(Jnl[[#This Row],[IncNode]], config_IS[Node], config_IS[Type],,0)</f>
        <v>Op</v>
      </c>
      <c r="P155" t="str">
        <f>_xlfn.XLOOKUP(Jnl[[#This Row],[BSLv2]], dict[Key], dict[Name],,0)</f>
        <v>2.预付-订阅</v>
      </c>
      <c r="Q155" t="str">
        <f>_xlfn.XLOOKUP(Jnl[[#This Row],[Acct]], dict[Key], dict[Name],,0)</f>
        <v>预付订单</v>
      </c>
      <c r="R155" t="str">
        <f>_xlfn.XLOOKUP(Jnl[[#This Row],[Vehicle]],config_vehicle[Id], config_vehicle[Name],,0)</f>
        <v>桑木</v>
      </c>
      <c r="S155" t="str">
        <f>_xlfn.XLOOKUP(Jnl[[#This Row],[Division]],config_div[Id], config_div[Name],,0)</f>
        <v>网店</v>
      </c>
      <c r="T155" t="str">
        <f>IF(Jnl[[#This Row],[TrxDate]]&lt;=stmt_BS_date_end, "In", "Out")</f>
        <v>In</v>
      </c>
      <c r="U155" t="str">
        <f>IF(Jnl[[#This Row],[TrxDate]]&lt;debug_date_start, "prior", IF(Jnl[[#This Row],[TrxDate]]&gt;debug_date_end, "post", "curr"))</f>
        <v>prior</v>
      </c>
    </row>
    <row r="156" spans="1:21">
      <c r="A156" s="11" t="s">
        <v>267</v>
      </c>
      <c r="B156" s="7">
        <f>_xlfn.XLOOKUP(Jnl[[#This Row],[TrxId]], Trx[Id], Trx[Date],,0)</f>
        <v>46053</v>
      </c>
      <c r="C156" s="7" t="str">
        <f>_xlfn.XLOOKUP(Jnl[[#This Row],[TrxId]], Trx[Id], Trx[Division],,0)</f>
        <v>Online</v>
      </c>
      <c r="D156" s="7" t="str">
        <f>_xlfn.XLOOKUP(Jnl[[#This Row],[TrxId]], Trx[Id], Trx[Action],,0)</f>
        <v>服饰</v>
      </c>
      <c r="E156" s="26" t="s">
        <v>85</v>
      </c>
      <c r="F156" s="11" t="s">
        <v>12</v>
      </c>
      <c r="G156" s="11" t="s">
        <v>90</v>
      </c>
      <c r="H156" s="72">
        <v>2917.8</v>
      </c>
      <c r="I156" s="5" t="b">
        <f>AND(Jnl[[#This Row],[TrxId]]&lt;&gt;"",Jnl[[#This Row],[Acct]]&lt;&gt;"",Jnl[[#This Row],[Item]]&lt;&gt;"",ISNUMBER(Jnl[[#This Row],[Bal]]))</f>
        <v>1</v>
      </c>
      <c r="J156" s="10">
        <f>IF(Jnl[[#This Row],[BSLv0]]="A",1,-1)*Jnl[[#This Row],[Bal]]</f>
        <v>2917.8</v>
      </c>
      <c r="K156" t="str">
        <f>_xlfn.XLOOKUP(Jnl[[#This Row],[Acct]], config_BS[Acct], config_BS[Lv0],,0)</f>
        <v>A</v>
      </c>
      <c r="L156" t="str">
        <f>_xlfn.XLOOKUP(Jnl[[#This Row],[Acct]], config_BS[Acct], config_BS[Lv1],,0)</f>
        <v>Assets</v>
      </c>
      <c r="M156" t="str">
        <f>_xlfn.XLOOKUP(Jnl[[#This Row],[Acct]], config_BS[Acct], config_BS[Lv2],,0)</f>
        <v>Cash alike</v>
      </c>
      <c r="N156" t="str">
        <f>_xlfn.XLOOKUP(Jnl[[#This Row],[TrxId]], Trx[Id], Trx[IncNode], ,0)</f>
        <v>Revenue</v>
      </c>
      <c r="O156" t="str">
        <f>_xlfn.XLOOKUP(Jnl[[#This Row],[IncNode]], config_IS[Node], config_IS[Type],,0)</f>
        <v>Op</v>
      </c>
      <c r="P156" t="str">
        <f>_xlfn.XLOOKUP(Jnl[[#This Row],[BSLv2]], dict[Key], dict[Name],,0)</f>
        <v>0.现金及类似</v>
      </c>
      <c r="Q156" t="str">
        <f>_xlfn.XLOOKUP(Jnl[[#This Row],[Acct]], dict[Key], dict[Name],,0)</f>
        <v>银行</v>
      </c>
      <c r="R156" t="str">
        <f>_xlfn.XLOOKUP(Jnl[[#This Row],[Vehicle]],config_vehicle[Id], config_vehicle[Name],,0)</f>
        <v>桑木</v>
      </c>
      <c r="S156" t="str">
        <f>_xlfn.XLOOKUP(Jnl[[#This Row],[Division]],config_div[Id], config_div[Name],,0)</f>
        <v>网店</v>
      </c>
      <c r="T156" t="str">
        <f>IF(Jnl[[#This Row],[TrxDate]]&lt;=stmt_BS_date_end, "In", "Out")</f>
        <v>In</v>
      </c>
      <c r="U156" t="str">
        <f>IF(Jnl[[#This Row],[TrxDate]]&lt;debug_date_start, "prior", IF(Jnl[[#This Row],[TrxDate]]&gt;debug_date_end, "post", "curr"))</f>
        <v>prior</v>
      </c>
    </row>
    <row r="157" spans="1:21">
      <c r="A157" s="11" t="s">
        <v>268</v>
      </c>
      <c r="B157" s="7">
        <f>_xlfn.XLOOKUP(Jnl[[#This Row],[TrxId]], Trx[Id], Trx[Date],,0)</f>
        <v>46053</v>
      </c>
      <c r="C157" s="7" t="str">
        <f>_xlfn.XLOOKUP(Jnl[[#This Row],[TrxId]], Trx[Id], Trx[Division],,0)</f>
        <v>Online</v>
      </c>
      <c r="D157" s="7" t="str">
        <f>_xlfn.XLOOKUP(Jnl[[#This Row],[TrxId]], Trx[Id], Trx[Action],,0)</f>
        <v>服饰</v>
      </c>
      <c r="E157" s="26" t="s">
        <v>85</v>
      </c>
      <c r="F157" s="11" t="s">
        <v>12</v>
      </c>
      <c r="G157" s="11" t="s">
        <v>90</v>
      </c>
      <c r="H157" s="72">
        <v>19873.7</v>
      </c>
      <c r="I157" s="5" t="b">
        <f>AND(Jnl[[#This Row],[TrxId]]&lt;&gt;"",Jnl[[#This Row],[Acct]]&lt;&gt;"",Jnl[[#This Row],[Item]]&lt;&gt;"",ISNUMBER(Jnl[[#This Row],[Bal]]))</f>
        <v>1</v>
      </c>
      <c r="J157" s="10">
        <f>IF(Jnl[[#This Row],[BSLv0]]="A",1,-1)*Jnl[[#This Row],[Bal]]</f>
        <v>19873.7</v>
      </c>
      <c r="K157" t="str">
        <f>_xlfn.XLOOKUP(Jnl[[#This Row],[Acct]], config_BS[Acct], config_BS[Lv0],,0)</f>
        <v>A</v>
      </c>
      <c r="L157" t="str">
        <f>_xlfn.XLOOKUP(Jnl[[#This Row],[Acct]], config_BS[Acct], config_BS[Lv1],,0)</f>
        <v>Assets</v>
      </c>
      <c r="M157" t="str">
        <f>_xlfn.XLOOKUP(Jnl[[#This Row],[Acct]], config_BS[Acct], config_BS[Lv2],,0)</f>
        <v>Cash alike</v>
      </c>
      <c r="N157" t="str">
        <f>_xlfn.XLOOKUP(Jnl[[#This Row],[TrxId]], Trx[Id], Trx[IncNode], ,0)</f>
        <v>Revenue</v>
      </c>
      <c r="O157" t="str">
        <f>_xlfn.XLOOKUP(Jnl[[#This Row],[IncNode]], config_IS[Node], config_IS[Type],,0)</f>
        <v>Op</v>
      </c>
      <c r="P157" t="str">
        <f>_xlfn.XLOOKUP(Jnl[[#This Row],[BSLv2]], dict[Key], dict[Name],,0)</f>
        <v>0.现金及类似</v>
      </c>
      <c r="Q157" t="str">
        <f>_xlfn.XLOOKUP(Jnl[[#This Row],[Acct]], dict[Key], dict[Name],,0)</f>
        <v>银行</v>
      </c>
      <c r="R157" t="str">
        <f>_xlfn.XLOOKUP(Jnl[[#This Row],[Vehicle]],config_vehicle[Id], config_vehicle[Name],,0)</f>
        <v>桑木</v>
      </c>
      <c r="S157" t="str">
        <f>_xlfn.XLOOKUP(Jnl[[#This Row],[Division]],config_div[Id], config_div[Name],,0)</f>
        <v>网店</v>
      </c>
      <c r="T157" t="str">
        <f>IF(Jnl[[#This Row],[TrxDate]]&lt;=stmt_BS_date_end, "In", "Out")</f>
        <v>In</v>
      </c>
      <c r="U157" t="str">
        <f>IF(Jnl[[#This Row],[TrxDate]]&lt;debug_date_start, "prior", IF(Jnl[[#This Row],[TrxDate]]&gt;debug_date_end, "post", "curr"))</f>
        <v>prior</v>
      </c>
    </row>
    <row r="158" spans="1:21">
      <c r="A158" s="11" t="s">
        <v>269</v>
      </c>
      <c r="B158" s="7">
        <f>_xlfn.XLOOKUP(Jnl[[#This Row],[TrxId]], Trx[Id], Trx[Date],,0)</f>
        <v>46053</v>
      </c>
      <c r="C158" s="7" t="str">
        <f>_xlfn.XLOOKUP(Jnl[[#This Row],[TrxId]], Trx[Id], Trx[Division],,0)</f>
        <v>Online</v>
      </c>
      <c r="D158" s="7" t="str">
        <f>_xlfn.XLOOKUP(Jnl[[#This Row],[TrxId]], Trx[Id], Trx[Action],,0)</f>
        <v>订购</v>
      </c>
      <c r="E158" s="26" t="s">
        <v>85</v>
      </c>
      <c r="F158" s="11" t="s">
        <v>115</v>
      </c>
      <c r="G158" s="11" t="s">
        <v>143</v>
      </c>
      <c r="H158" s="72">
        <v>12408</v>
      </c>
      <c r="I158" s="5" t="b">
        <f>AND(Jnl[[#This Row],[TrxId]]&lt;&gt;"",Jnl[[#This Row],[Acct]]&lt;&gt;"",Jnl[[#This Row],[Item]]&lt;&gt;"",ISNUMBER(Jnl[[#This Row],[Bal]]))</f>
        <v>1</v>
      </c>
      <c r="J158" s="10">
        <f>IF(Jnl[[#This Row],[BSLv0]]="A",1,-1)*Jnl[[#This Row],[Bal]]</f>
        <v>12408</v>
      </c>
      <c r="K158" t="str">
        <f>_xlfn.XLOOKUP(Jnl[[#This Row],[Acct]], config_BS[Acct], config_BS[Lv0],,0)</f>
        <v>A</v>
      </c>
      <c r="L158" t="str">
        <f>_xlfn.XLOOKUP(Jnl[[#This Row],[Acct]], config_BS[Acct], config_BS[Lv1],,0)</f>
        <v>Assets</v>
      </c>
      <c r="M158" t="str">
        <f>_xlfn.XLOOKUP(Jnl[[#This Row],[Acct]], config_BS[Acct], config_BS[Lv2],,0)</f>
        <v>Prep-Sub</v>
      </c>
      <c r="N158" t="str">
        <f>_xlfn.XLOOKUP(Jnl[[#This Row],[TrxId]], Trx[Id], Trx[IncNode], ,0)</f>
        <v>Cost</v>
      </c>
      <c r="O158" t="str">
        <f>_xlfn.XLOOKUP(Jnl[[#This Row],[IncNode]], config_IS[Node], config_IS[Type],,0)</f>
        <v>Op</v>
      </c>
      <c r="P158" t="str">
        <f>_xlfn.XLOOKUP(Jnl[[#This Row],[BSLv2]], dict[Key], dict[Name],,0)</f>
        <v>2.预付-订阅</v>
      </c>
      <c r="Q158" t="str">
        <f>_xlfn.XLOOKUP(Jnl[[#This Row],[Acct]], dict[Key], dict[Name],,0)</f>
        <v>预付订单</v>
      </c>
      <c r="R158" t="str">
        <f>_xlfn.XLOOKUP(Jnl[[#This Row],[Vehicle]],config_vehicle[Id], config_vehicle[Name],,0)</f>
        <v>桑木</v>
      </c>
      <c r="S158" t="str">
        <f>_xlfn.XLOOKUP(Jnl[[#This Row],[Division]],config_div[Id], config_div[Name],,0)</f>
        <v>网店</v>
      </c>
      <c r="T158" t="str">
        <f>IF(Jnl[[#This Row],[TrxDate]]&lt;=stmt_BS_date_end, "In", "Out")</f>
        <v>In</v>
      </c>
      <c r="U158" t="str">
        <f>IF(Jnl[[#This Row],[TrxDate]]&lt;debug_date_start, "prior", IF(Jnl[[#This Row],[TrxDate]]&gt;debug_date_end, "post", "curr"))</f>
        <v>prior</v>
      </c>
    </row>
    <row r="159" spans="1:21">
      <c r="A159" s="11" t="s">
        <v>269</v>
      </c>
      <c r="B159" s="7">
        <f>_xlfn.XLOOKUP(Jnl[[#This Row],[TrxId]], Trx[Id], Trx[Date],,0)</f>
        <v>46053</v>
      </c>
      <c r="C159" s="7" t="str">
        <f>_xlfn.XLOOKUP(Jnl[[#This Row],[TrxId]], Trx[Id], Trx[Division],,0)</f>
        <v>Online</v>
      </c>
      <c r="D159" s="7" t="str">
        <f>_xlfn.XLOOKUP(Jnl[[#This Row],[TrxId]], Trx[Id], Trx[Action],,0)</f>
        <v>订购</v>
      </c>
      <c r="E159" s="26" t="s">
        <v>85</v>
      </c>
      <c r="F159" s="11" t="s">
        <v>12</v>
      </c>
      <c r="G159" s="11" t="s">
        <v>90</v>
      </c>
      <c r="H159" s="72">
        <v>-12408</v>
      </c>
      <c r="I159" s="5" t="b">
        <f>AND(Jnl[[#This Row],[TrxId]]&lt;&gt;"",Jnl[[#This Row],[Acct]]&lt;&gt;"",Jnl[[#This Row],[Item]]&lt;&gt;"",ISNUMBER(Jnl[[#This Row],[Bal]]))</f>
        <v>1</v>
      </c>
      <c r="J159" s="10">
        <f>IF(Jnl[[#This Row],[BSLv0]]="A",1,-1)*Jnl[[#This Row],[Bal]]</f>
        <v>-12408</v>
      </c>
      <c r="K159" t="str">
        <f>_xlfn.XLOOKUP(Jnl[[#This Row],[Acct]], config_BS[Acct], config_BS[Lv0],,0)</f>
        <v>A</v>
      </c>
      <c r="L159" t="str">
        <f>_xlfn.XLOOKUP(Jnl[[#This Row],[Acct]], config_BS[Acct], config_BS[Lv1],,0)</f>
        <v>Assets</v>
      </c>
      <c r="M159" t="str">
        <f>_xlfn.XLOOKUP(Jnl[[#This Row],[Acct]], config_BS[Acct], config_BS[Lv2],,0)</f>
        <v>Cash alike</v>
      </c>
      <c r="N159" t="str">
        <f>_xlfn.XLOOKUP(Jnl[[#This Row],[TrxId]], Trx[Id], Trx[IncNode], ,0)</f>
        <v>Cost</v>
      </c>
      <c r="O159" t="str">
        <f>_xlfn.XLOOKUP(Jnl[[#This Row],[IncNode]], config_IS[Node], config_IS[Type],,0)</f>
        <v>Op</v>
      </c>
      <c r="P159" t="str">
        <f>_xlfn.XLOOKUP(Jnl[[#This Row],[BSLv2]], dict[Key], dict[Name],,0)</f>
        <v>0.现金及类似</v>
      </c>
      <c r="Q159" t="str">
        <f>_xlfn.XLOOKUP(Jnl[[#This Row],[Acct]], dict[Key], dict[Name],,0)</f>
        <v>银行</v>
      </c>
      <c r="R159" t="str">
        <f>_xlfn.XLOOKUP(Jnl[[#This Row],[Vehicle]],config_vehicle[Id], config_vehicle[Name],,0)</f>
        <v>桑木</v>
      </c>
      <c r="S159" t="str">
        <f>_xlfn.XLOOKUP(Jnl[[#This Row],[Division]],config_div[Id], config_div[Name],,0)</f>
        <v>网店</v>
      </c>
      <c r="T159" t="str">
        <f>IF(Jnl[[#This Row],[TrxDate]]&lt;=stmt_BS_date_end, "In", "Out")</f>
        <v>In</v>
      </c>
      <c r="U159" t="str">
        <f>IF(Jnl[[#This Row],[TrxDate]]&lt;debug_date_start, "prior", IF(Jnl[[#This Row],[TrxDate]]&gt;debug_date_end, "post", "curr"))</f>
        <v>prior</v>
      </c>
    </row>
    <row r="160" spans="1:21">
      <c r="A160" s="11" t="s">
        <v>270</v>
      </c>
      <c r="B160" s="7">
        <f>_xlfn.XLOOKUP(Jnl[[#This Row],[TrxId]], Trx[Id], Trx[Date],,0)</f>
        <v>46053</v>
      </c>
      <c r="C160" s="7" t="str">
        <f>_xlfn.XLOOKUP(Jnl[[#This Row],[TrxId]], Trx[Id], Trx[Division],,0)</f>
        <v>Ctrl</v>
      </c>
      <c r="D160" s="7" t="str">
        <f>_xlfn.XLOOKUP(Jnl[[#This Row],[TrxId]], Trx[Id], Trx[Action],,0)</f>
        <v>过账</v>
      </c>
      <c r="E160" s="26" t="s">
        <v>85</v>
      </c>
      <c r="F160" s="11" t="s">
        <v>12</v>
      </c>
      <c r="G160" s="11" t="s">
        <v>90</v>
      </c>
      <c r="H160" s="72">
        <v>421668.55</v>
      </c>
      <c r="I160" s="5" t="b">
        <f>AND(Jnl[[#This Row],[TrxId]]&lt;&gt;"",Jnl[[#This Row],[Acct]]&lt;&gt;"",Jnl[[#This Row],[Item]]&lt;&gt;"",ISNUMBER(Jnl[[#This Row],[Bal]]))</f>
        <v>1</v>
      </c>
      <c r="J160" s="10">
        <f>IF(Jnl[[#This Row],[BSLv0]]="A",1,-1)*Jnl[[#This Row],[Bal]]</f>
        <v>421668.55</v>
      </c>
      <c r="K160" t="str">
        <f>_xlfn.XLOOKUP(Jnl[[#This Row],[Acct]], config_BS[Acct], config_BS[Lv0],,0)</f>
        <v>A</v>
      </c>
      <c r="L160" t="str">
        <f>_xlfn.XLOOKUP(Jnl[[#This Row],[Acct]], config_BS[Acct], config_BS[Lv1],,0)</f>
        <v>Assets</v>
      </c>
      <c r="M160" t="str">
        <f>_xlfn.XLOOKUP(Jnl[[#This Row],[Acct]], config_BS[Acct], config_BS[Lv2],,0)</f>
        <v>Cash alike</v>
      </c>
      <c r="N160" t="str">
        <f>_xlfn.XLOOKUP(Jnl[[#This Row],[TrxId]], Trx[Id], Trx[IncNode], ,0)</f>
        <v>Other</v>
      </c>
      <c r="O160" t="str">
        <f>_xlfn.XLOOKUP(Jnl[[#This Row],[IncNode]], config_IS[Node], config_IS[Type],,0)</f>
        <v>Non-Op</v>
      </c>
      <c r="P160" t="str">
        <f>_xlfn.XLOOKUP(Jnl[[#This Row],[BSLv2]], dict[Key], dict[Name],,0)</f>
        <v>0.现金及类似</v>
      </c>
      <c r="Q160" t="str">
        <f>_xlfn.XLOOKUP(Jnl[[#This Row],[Acct]], dict[Key], dict[Name],,0)</f>
        <v>银行</v>
      </c>
      <c r="R160" t="str">
        <f>_xlfn.XLOOKUP(Jnl[[#This Row],[Vehicle]],config_vehicle[Id], config_vehicle[Name],,0)</f>
        <v>桑木</v>
      </c>
      <c r="S160" t="str">
        <f>_xlfn.XLOOKUP(Jnl[[#This Row],[Division]],config_div[Id], config_div[Name],,0)</f>
        <v>内控合规</v>
      </c>
      <c r="T160" t="str">
        <f>IF(Jnl[[#This Row],[TrxDate]]&lt;=stmt_BS_date_end, "In", "Out")</f>
        <v>In</v>
      </c>
      <c r="U160" t="str">
        <f>IF(Jnl[[#This Row],[TrxDate]]&lt;debug_date_start, "prior", IF(Jnl[[#This Row],[TrxDate]]&gt;debug_date_end, "post", "curr"))</f>
        <v>prior</v>
      </c>
    </row>
    <row r="161" spans="1:21">
      <c r="A161" s="11" t="s">
        <v>270</v>
      </c>
      <c r="B161" s="7">
        <f>_xlfn.XLOOKUP(Jnl[[#This Row],[TrxId]], Trx[Id], Trx[Date],,0)</f>
        <v>46053</v>
      </c>
      <c r="C161" s="7" t="str">
        <f>_xlfn.XLOOKUP(Jnl[[#This Row],[TrxId]], Trx[Id], Trx[Division],,0)</f>
        <v>Ctrl</v>
      </c>
      <c r="D161" s="7" t="str">
        <f>_xlfn.XLOOKUP(Jnl[[#This Row],[TrxId]], Trx[Id], Trx[Action],,0)</f>
        <v>过账</v>
      </c>
      <c r="E161" s="26" t="s">
        <v>80</v>
      </c>
      <c r="F161" s="11" t="s">
        <v>12</v>
      </c>
      <c r="G161" s="11" t="s">
        <v>50</v>
      </c>
      <c r="H161" s="72">
        <f>-H160</f>
        <v>-421668.55</v>
      </c>
      <c r="I161" s="5" t="b">
        <f>AND(Jnl[[#This Row],[TrxId]]&lt;&gt;"",Jnl[[#This Row],[Acct]]&lt;&gt;"",Jnl[[#This Row],[Item]]&lt;&gt;"",ISNUMBER(Jnl[[#This Row],[Bal]]))</f>
        <v>1</v>
      </c>
      <c r="J161" s="10">
        <f>IF(Jnl[[#This Row],[BSLv0]]="A",1,-1)*Jnl[[#This Row],[Bal]]</f>
        <v>-421668.55</v>
      </c>
      <c r="K161" t="str">
        <f>_xlfn.XLOOKUP(Jnl[[#This Row],[Acct]], config_BS[Acct], config_BS[Lv0],,0)</f>
        <v>A</v>
      </c>
      <c r="L161" t="str">
        <f>_xlfn.XLOOKUP(Jnl[[#This Row],[Acct]], config_BS[Acct], config_BS[Lv1],,0)</f>
        <v>Assets</v>
      </c>
      <c r="M161" t="str">
        <f>_xlfn.XLOOKUP(Jnl[[#This Row],[Acct]], config_BS[Acct], config_BS[Lv2],,0)</f>
        <v>Cash alike</v>
      </c>
      <c r="N161" t="str">
        <f>_xlfn.XLOOKUP(Jnl[[#This Row],[TrxId]], Trx[Id], Trx[IncNode], ,0)</f>
        <v>Other</v>
      </c>
      <c r="O161" t="str">
        <f>_xlfn.XLOOKUP(Jnl[[#This Row],[IncNode]], config_IS[Node], config_IS[Type],,0)</f>
        <v>Non-Op</v>
      </c>
      <c r="P161" t="str">
        <f>_xlfn.XLOOKUP(Jnl[[#This Row],[BSLv2]], dict[Key], dict[Name],,0)</f>
        <v>0.现金及类似</v>
      </c>
      <c r="Q161" t="str">
        <f>_xlfn.XLOOKUP(Jnl[[#This Row],[Acct]], dict[Key], dict[Name],,0)</f>
        <v>银行</v>
      </c>
      <c r="R161" t="str">
        <f>_xlfn.XLOOKUP(Jnl[[#This Row],[Vehicle]],config_vehicle[Id], config_vehicle[Name],,0)</f>
        <v>远家花园</v>
      </c>
      <c r="S161" t="str">
        <f>_xlfn.XLOOKUP(Jnl[[#This Row],[Division]],config_div[Id], config_div[Name],,0)</f>
        <v>内控合规</v>
      </c>
      <c r="T161" t="str">
        <f>IF(Jnl[[#This Row],[TrxDate]]&lt;=stmt_BS_date_end, "In", "Out")</f>
        <v>In</v>
      </c>
      <c r="U161" t="str">
        <f>IF(Jnl[[#This Row],[TrxDate]]&lt;debug_date_start, "prior", IF(Jnl[[#This Row],[TrxDate]]&gt;debug_date_end, "post", "curr"))</f>
        <v>prior</v>
      </c>
    </row>
    <row r="162" spans="1:21">
      <c r="A162" s="11" t="s">
        <v>271</v>
      </c>
      <c r="B162" s="7">
        <f>_xlfn.XLOOKUP(Jnl[[#This Row],[TrxId]], Trx[Id], Trx[Date],,0)</f>
        <v>46053</v>
      </c>
      <c r="C162" s="7" t="str">
        <f>_xlfn.XLOOKUP(Jnl[[#This Row],[TrxId]], Trx[Id], Trx[Division],,0)</f>
        <v>Ctrl</v>
      </c>
      <c r="D162" s="7" t="str">
        <f>_xlfn.XLOOKUP(Jnl[[#This Row],[TrxId]], Trx[Id], Trx[Action],,0)</f>
        <v>过账</v>
      </c>
      <c r="E162" s="26" t="s">
        <v>85</v>
      </c>
      <c r="F162" s="11" t="s">
        <v>12</v>
      </c>
      <c r="G162" s="11" t="s">
        <v>90</v>
      </c>
      <c r="H162" s="72">
        <v>-180000</v>
      </c>
      <c r="I162" s="5" t="b">
        <f>AND(Jnl[[#This Row],[TrxId]]&lt;&gt;"",Jnl[[#This Row],[Acct]]&lt;&gt;"",Jnl[[#This Row],[Item]]&lt;&gt;"",ISNUMBER(Jnl[[#This Row],[Bal]]))</f>
        <v>1</v>
      </c>
      <c r="J162" s="10">
        <f>IF(Jnl[[#This Row],[BSLv0]]="A",1,-1)*Jnl[[#This Row],[Bal]]</f>
        <v>-180000</v>
      </c>
      <c r="K162" t="str">
        <f>_xlfn.XLOOKUP(Jnl[[#This Row],[Acct]], config_BS[Acct], config_BS[Lv0],,0)</f>
        <v>A</v>
      </c>
      <c r="L162" t="str">
        <f>_xlfn.XLOOKUP(Jnl[[#This Row],[Acct]], config_BS[Acct], config_BS[Lv1],,0)</f>
        <v>Assets</v>
      </c>
      <c r="M162" t="str">
        <f>_xlfn.XLOOKUP(Jnl[[#This Row],[Acct]], config_BS[Acct], config_BS[Lv2],,0)</f>
        <v>Cash alike</v>
      </c>
      <c r="N162" t="str">
        <f>_xlfn.XLOOKUP(Jnl[[#This Row],[TrxId]], Trx[Id], Trx[IncNode], ,0)</f>
        <v>Other</v>
      </c>
      <c r="O162" t="str">
        <f>_xlfn.XLOOKUP(Jnl[[#This Row],[IncNode]], config_IS[Node], config_IS[Type],,0)</f>
        <v>Non-Op</v>
      </c>
      <c r="P162" t="str">
        <f>_xlfn.XLOOKUP(Jnl[[#This Row],[BSLv2]], dict[Key], dict[Name],,0)</f>
        <v>0.现金及类似</v>
      </c>
      <c r="Q162" t="str">
        <f>_xlfn.XLOOKUP(Jnl[[#This Row],[Acct]], dict[Key], dict[Name],,0)</f>
        <v>银行</v>
      </c>
      <c r="R162" t="str">
        <f>_xlfn.XLOOKUP(Jnl[[#This Row],[Vehicle]],config_vehicle[Id], config_vehicle[Name],,0)</f>
        <v>桑木</v>
      </c>
      <c r="S162" t="str">
        <f>_xlfn.XLOOKUP(Jnl[[#This Row],[Division]],config_div[Id], config_div[Name],,0)</f>
        <v>内控合规</v>
      </c>
      <c r="T162" t="str">
        <f>IF(Jnl[[#This Row],[TrxDate]]&lt;=stmt_BS_date_end, "In", "Out")</f>
        <v>In</v>
      </c>
      <c r="U162" t="str">
        <f>IF(Jnl[[#This Row],[TrxDate]]&lt;debug_date_start, "prior", IF(Jnl[[#This Row],[TrxDate]]&gt;debug_date_end, "post", "curr"))</f>
        <v>prior</v>
      </c>
    </row>
    <row r="163" spans="1:21">
      <c r="A163" s="11" t="s">
        <v>271</v>
      </c>
      <c r="B163" s="7">
        <f>_xlfn.XLOOKUP(Jnl[[#This Row],[TrxId]], Trx[Id], Trx[Date],,0)</f>
        <v>46053</v>
      </c>
      <c r="C163" s="7" t="str">
        <f>_xlfn.XLOOKUP(Jnl[[#This Row],[TrxId]], Trx[Id], Trx[Division],,0)</f>
        <v>Ctrl</v>
      </c>
      <c r="D163" s="7" t="str">
        <f>_xlfn.XLOOKUP(Jnl[[#This Row],[TrxId]], Trx[Id], Trx[Action],,0)</f>
        <v>过账</v>
      </c>
      <c r="E163" s="26" t="s">
        <v>93</v>
      </c>
      <c r="F163" s="11" t="s">
        <v>12</v>
      </c>
      <c r="G163" s="11" t="s">
        <v>89</v>
      </c>
      <c r="H163" s="72">
        <v>180000</v>
      </c>
      <c r="I163" s="5" t="b">
        <f>AND(Jnl[[#This Row],[TrxId]]&lt;&gt;"",Jnl[[#This Row],[Acct]]&lt;&gt;"",Jnl[[#This Row],[Item]]&lt;&gt;"",ISNUMBER(Jnl[[#This Row],[Bal]]))</f>
        <v>1</v>
      </c>
      <c r="J163" s="10">
        <f>IF(Jnl[[#This Row],[BSLv0]]="A",1,-1)*Jnl[[#This Row],[Bal]]</f>
        <v>180000</v>
      </c>
      <c r="K163" t="str">
        <f>_xlfn.XLOOKUP(Jnl[[#This Row],[Acct]], config_BS[Acct], config_BS[Lv0],,0)</f>
        <v>A</v>
      </c>
      <c r="L163" t="str">
        <f>_xlfn.XLOOKUP(Jnl[[#This Row],[Acct]], config_BS[Acct], config_BS[Lv1],,0)</f>
        <v>Assets</v>
      </c>
      <c r="M163" t="str">
        <f>_xlfn.XLOOKUP(Jnl[[#This Row],[Acct]], config_BS[Acct], config_BS[Lv2],,0)</f>
        <v>Cash alike</v>
      </c>
      <c r="N163" t="str">
        <f>_xlfn.XLOOKUP(Jnl[[#This Row],[TrxId]], Trx[Id], Trx[IncNode], ,0)</f>
        <v>Other</v>
      </c>
      <c r="O163" t="str">
        <f>_xlfn.XLOOKUP(Jnl[[#This Row],[IncNode]], config_IS[Node], config_IS[Type],,0)</f>
        <v>Non-Op</v>
      </c>
      <c r="P163" t="str">
        <f>_xlfn.XLOOKUP(Jnl[[#This Row],[BSLv2]], dict[Key], dict[Name],,0)</f>
        <v>0.现金及类似</v>
      </c>
      <c r="Q163" t="str">
        <f>_xlfn.XLOOKUP(Jnl[[#This Row],[Acct]], dict[Key], dict[Name],,0)</f>
        <v>银行</v>
      </c>
      <c r="R163" t="str">
        <f>_xlfn.XLOOKUP(Jnl[[#This Row],[Vehicle]],config_vehicle[Id], config_vehicle[Name],,0)</f>
        <v>创业园-琦</v>
      </c>
      <c r="S163" t="str">
        <f>_xlfn.XLOOKUP(Jnl[[#This Row],[Division]],config_div[Id], config_div[Name],,0)</f>
        <v>内控合规</v>
      </c>
      <c r="T163" t="str">
        <f>IF(Jnl[[#This Row],[TrxDate]]&lt;=stmt_BS_date_end, "In", "Out")</f>
        <v>In</v>
      </c>
      <c r="U163" t="str">
        <f>IF(Jnl[[#This Row],[TrxDate]]&lt;debug_date_start, "prior", IF(Jnl[[#This Row],[TrxDate]]&gt;debug_date_end, "post", "curr"))</f>
        <v>prior</v>
      </c>
    </row>
    <row r="164" spans="1:21">
      <c r="A164" s="11" t="s">
        <v>272</v>
      </c>
      <c r="B164" s="7">
        <f>_xlfn.XLOOKUP(Jnl[[#This Row],[TrxId]], Trx[Id], Trx[Date],,0)</f>
        <v>46053</v>
      </c>
      <c r="C164" s="7" t="str">
        <f>_xlfn.XLOOKUP(Jnl[[#This Row],[TrxId]], Trx[Id], Trx[Division],,0)</f>
        <v>Online</v>
      </c>
      <c r="D164" s="7" t="str">
        <f>_xlfn.XLOOKUP(Jnl[[#This Row],[TrxId]], Trx[Id], Trx[Action],,0)</f>
        <v>采购</v>
      </c>
      <c r="E164" s="26" t="s">
        <v>85</v>
      </c>
      <c r="F164" s="11" t="s">
        <v>12</v>
      </c>
      <c r="G164" s="11" t="s">
        <v>90</v>
      </c>
      <c r="H164" s="72">
        <v>-9960</v>
      </c>
      <c r="I164" s="5" t="b">
        <f>AND(Jnl[[#This Row],[TrxId]]&lt;&gt;"",Jnl[[#This Row],[Acct]]&lt;&gt;"",Jnl[[#This Row],[Item]]&lt;&gt;"",ISNUMBER(Jnl[[#This Row],[Bal]]))</f>
        <v>1</v>
      </c>
      <c r="J164" s="10">
        <f>IF(Jnl[[#This Row],[BSLv0]]="A",1,-1)*Jnl[[#This Row],[Bal]]</f>
        <v>-9960</v>
      </c>
      <c r="K164" t="str">
        <f>_xlfn.XLOOKUP(Jnl[[#This Row],[Acct]], config_BS[Acct], config_BS[Lv0],,0)</f>
        <v>A</v>
      </c>
      <c r="L164" t="str">
        <f>_xlfn.XLOOKUP(Jnl[[#This Row],[Acct]], config_BS[Acct], config_BS[Lv1],,0)</f>
        <v>Assets</v>
      </c>
      <c r="M164" t="str">
        <f>_xlfn.XLOOKUP(Jnl[[#This Row],[Acct]], config_BS[Acct], config_BS[Lv2],,0)</f>
        <v>Cash alike</v>
      </c>
      <c r="N164" t="str">
        <f>_xlfn.XLOOKUP(Jnl[[#This Row],[TrxId]], Trx[Id], Trx[IncNode], ,0)</f>
        <v>Cost</v>
      </c>
      <c r="O164" t="str">
        <f>_xlfn.XLOOKUP(Jnl[[#This Row],[IncNode]], config_IS[Node], config_IS[Type],,0)</f>
        <v>Op</v>
      </c>
      <c r="P164" t="str">
        <f>_xlfn.XLOOKUP(Jnl[[#This Row],[BSLv2]], dict[Key], dict[Name],,0)</f>
        <v>0.现金及类似</v>
      </c>
      <c r="Q164" t="str">
        <f>_xlfn.XLOOKUP(Jnl[[#This Row],[Acct]], dict[Key], dict[Name],,0)</f>
        <v>银行</v>
      </c>
      <c r="R164" t="str">
        <f>_xlfn.XLOOKUP(Jnl[[#This Row],[Vehicle]],config_vehicle[Id], config_vehicle[Name],,0)</f>
        <v>桑木</v>
      </c>
      <c r="S164" t="str">
        <f>_xlfn.XLOOKUP(Jnl[[#This Row],[Division]],config_div[Id], config_div[Name],,0)</f>
        <v>网店</v>
      </c>
      <c r="T164" t="str">
        <f>IF(Jnl[[#This Row],[TrxDate]]&lt;=stmt_BS_date_end, "In", "Out")</f>
        <v>In</v>
      </c>
      <c r="U164" t="str">
        <f>IF(Jnl[[#This Row],[TrxDate]]&lt;debug_date_start, "prior", IF(Jnl[[#This Row],[TrxDate]]&gt;debug_date_end, "post", "curr"))</f>
        <v>prior</v>
      </c>
    </row>
    <row r="165" spans="1:21">
      <c r="A165" s="11" t="s">
        <v>272</v>
      </c>
      <c r="B165" s="7">
        <f>_xlfn.XLOOKUP(Jnl[[#This Row],[TrxId]], Trx[Id], Trx[Date],,0)</f>
        <v>46053</v>
      </c>
      <c r="C165" s="7" t="str">
        <f>_xlfn.XLOOKUP(Jnl[[#This Row],[TrxId]], Trx[Id], Trx[Division],,0)</f>
        <v>Online</v>
      </c>
      <c r="D165" s="7" t="str">
        <f>_xlfn.XLOOKUP(Jnl[[#This Row],[TrxId]], Trx[Id], Trx[Action],,0)</f>
        <v>采购</v>
      </c>
      <c r="E165" s="26" t="s">
        <v>80</v>
      </c>
      <c r="F165" s="11" t="s">
        <v>116</v>
      </c>
      <c r="G165" s="11" t="s">
        <v>150</v>
      </c>
      <c r="H165" s="72">
        <v>9960</v>
      </c>
      <c r="I165" s="5" t="b">
        <f>AND(Jnl[[#This Row],[TrxId]]&lt;&gt;"",Jnl[[#This Row],[Acct]]&lt;&gt;"",Jnl[[#This Row],[Item]]&lt;&gt;"",ISNUMBER(Jnl[[#This Row],[Bal]]))</f>
        <v>1</v>
      </c>
      <c r="J165" s="10">
        <f>IF(Jnl[[#This Row],[BSLv0]]="A",1,-1)*Jnl[[#This Row],[Bal]]</f>
        <v>9960</v>
      </c>
      <c r="K165" t="str">
        <f>_xlfn.XLOOKUP(Jnl[[#This Row],[Acct]], config_BS[Acct], config_BS[Lv0],,0)</f>
        <v>A</v>
      </c>
      <c r="L165" t="str">
        <f>_xlfn.XLOOKUP(Jnl[[#This Row],[Acct]], config_BS[Acct], config_BS[Lv1],,0)</f>
        <v>Assets</v>
      </c>
      <c r="M165" t="str">
        <f>_xlfn.XLOOKUP(Jnl[[#This Row],[Acct]], config_BS[Acct], config_BS[Lv2],,0)</f>
        <v>Invtr</v>
      </c>
      <c r="N165" t="str">
        <f>_xlfn.XLOOKUP(Jnl[[#This Row],[TrxId]], Trx[Id], Trx[IncNode], ,0)</f>
        <v>Cost</v>
      </c>
      <c r="O165" t="str">
        <f>_xlfn.XLOOKUP(Jnl[[#This Row],[IncNode]], config_IS[Node], config_IS[Type],,0)</f>
        <v>Op</v>
      </c>
      <c r="P165" t="str">
        <f>_xlfn.XLOOKUP(Jnl[[#This Row],[BSLv2]], dict[Key], dict[Name],,0)</f>
        <v>3.库存占款</v>
      </c>
      <c r="Q165" t="str">
        <f>_xlfn.XLOOKUP(Jnl[[#This Row],[Acct]], dict[Key], dict[Name],,0)</f>
        <v>当期存货</v>
      </c>
      <c r="R165" t="str">
        <f>_xlfn.XLOOKUP(Jnl[[#This Row],[Vehicle]],config_vehicle[Id], config_vehicle[Name],,0)</f>
        <v>远家花园</v>
      </c>
      <c r="S165" t="str">
        <f>_xlfn.XLOOKUP(Jnl[[#This Row],[Division]],config_div[Id], config_div[Name],,0)</f>
        <v>网店</v>
      </c>
      <c r="T165" t="str">
        <f>IF(Jnl[[#This Row],[TrxDate]]&lt;=stmt_BS_date_end, "In", "Out")</f>
        <v>In</v>
      </c>
      <c r="U165" t="str">
        <f>IF(Jnl[[#This Row],[TrxDate]]&lt;debug_date_start, "prior", IF(Jnl[[#This Row],[TrxDate]]&gt;debug_date_end, "post", "curr"))</f>
        <v>prior</v>
      </c>
    </row>
    <row r="166" spans="1:21">
      <c r="A166" s="11" t="s">
        <v>273</v>
      </c>
      <c r="B166" s="7">
        <f>_xlfn.XLOOKUP(Jnl[[#This Row],[TrxId]], Trx[Id], Trx[Date],,0)</f>
        <v>46053</v>
      </c>
      <c r="C166" s="7" t="str">
        <f>_xlfn.XLOOKUP(Jnl[[#This Row],[TrxId]], Trx[Id], Trx[Division],,0)</f>
        <v>Online</v>
      </c>
      <c r="D166" s="7" t="str">
        <f>_xlfn.XLOOKUP(Jnl[[#This Row],[TrxId]], Trx[Id], Trx[Action],,0)</f>
        <v>物流</v>
      </c>
      <c r="E166" s="26" t="s">
        <v>85</v>
      </c>
      <c r="F166" s="11" t="s">
        <v>12</v>
      </c>
      <c r="G166" s="11" t="s">
        <v>90</v>
      </c>
      <c r="H166" s="72">
        <v>-2153.5</v>
      </c>
      <c r="I166" s="5" t="b">
        <f>AND(Jnl[[#This Row],[TrxId]]&lt;&gt;"",Jnl[[#This Row],[Acct]]&lt;&gt;"",Jnl[[#This Row],[Item]]&lt;&gt;"",ISNUMBER(Jnl[[#This Row],[Bal]]))</f>
        <v>1</v>
      </c>
      <c r="J166" s="10">
        <f>IF(Jnl[[#This Row],[BSLv0]]="A",1,-1)*Jnl[[#This Row],[Bal]]</f>
        <v>-2153.5</v>
      </c>
      <c r="K166" t="str">
        <f>_xlfn.XLOOKUP(Jnl[[#This Row],[Acct]], config_BS[Acct], config_BS[Lv0],,0)</f>
        <v>A</v>
      </c>
      <c r="L166" t="str">
        <f>_xlfn.XLOOKUP(Jnl[[#This Row],[Acct]], config_BS[Acct], config_BS[Lv1],,0)</f>
        <v>Assets</v>
      </c>
      <c r="M166" t="str">
        <f>_xlfn.XLOOKUP(Jnl[[#This Row],[Acct]], config_BS[Acct], config_BS[Lv2],,0)</f>
        <v>Cash alike</v>
      </c>
      <c r="N166" t="str">
        <f>_xlfn.XLOOKUP(Jnl[[#This Row],[TrxId]], Trx[Id], Trx[IncNode], ,0)</f>
        <v>Expense</v>
      </c>
      <c r="O166" t="str">
        <f>_xlfn.XLOOKUP(Jnl[[#This Row],[IncNode]], config_IS[Node], config_IS[Type],,0)</f>
        <v>Op</v>
      </c>
      <c r="P166" t="str">
        <f>_xlfn.XLOOKUP(Jnl[[#This Row],[BSLv2]], dict[Key], dict[Name],,0)</f>
        <v>0.现金及类似</v>
      </c>
      <c r="Q166" t="str">
        <f>_xlfn.XLOOKUP(Jnl[[#This Row],[Acct]], dict[Key], dict[Name],,0)</f>
        <v>银行</v>
      </c>
      <c r="R166" t="str">
        <f>_xlfn.XLOOKUP(Jnl[[#This Row],[Vehicle]],config_vehicle[Id], config_vehicle[Name],,0)</f>
        <v>桑木</v>
      </c>
      <c r="S166" t="str">
        <f>_xlfn.XLOOKUP(Jnl[[#This Row],[Division]],config_div[Id], config_div[Name],,0)</f>
        <v>网店</v>
      </c>
      <c r="T166" t="str">
        <f>IF(Jnl[[#This Row],[TrxDate]]&lt;=stmt_BS_date_end, "In", "Out")</f>
        <v>In</v>
      </c>
      <c r="U166" t="str">
        <f>IF(Jnl[[#This Row],[TrxDate]]&lt;debug_date_start, "prior", IF(Jnl[[#This Row],[TrxDate]]&gt;debug_date_end, "post", "curr"))</f>
        <v>prior</v>
      </c>
    </row>
    <row r="167" spans="1:21">
      <c r="A167" s="11" t="s">
        <v>274</v>
      </c>
      <c r="B167" s="7">
        <f>_xlfn.XLOOKUP(Jnl[[#This Row],[TrxId]], Trx[Id], Trx[Date],,0)</f>
        <v>46053</v>
      </c>
      <c r="C167" s="7" t="str">
        <f>_xlfn.XLOOKUP(Jnl[[#This Row],[TrxId]], Trx[Id], Trx[Division],,0)</f>
        <v>Ctrl</v>
      </c>
      <c r="D167" s="7" t="str">
        <f>_xlfn.XLOOKUP(Jnl[[#This Row],[TrxId]], Trx[Id], Trx[Action],,0)</f>
        <v>过账</v>
      </c>
      <c r="E167" s="26" t="s">
        <v>85</v>
      </c>
      <c r="F167" s="11" t="s">
        <v>12</v>
      </c>
      <c r="G167" s="11" t="s">
        <v>90</v>
      </c>
      <c r="H167" s="72">
        <v>-200000</v>
      </c>
      <c r="I167" s="5" t="b">
        <f>AND(Jnl[[#This Row],[TrxId]]&lt;&gt;"",Jnl[[#This Row],[Acct]]&lt;&gt;"",Jnl[[#This Row],[Item]]&lt;&gt;"",ISNUMBER(Jnl[[#This Row],[Bal]]))</f>
        <v>1</v>
      </c>
      <c r="J167" s="10">
        <f>IF(Jnl[[#This Row],[BSLv0]]="A",1,-1)*Jnl[[#This Row],[Bal]]</f>
        <v>-200000</v>
      </c>
      <c r="K167" t="str">
        <f>_xlfn.XLOOKUP(Jnl[[#This Row],[Acct]], config_BS[Acct], config_BS[Lv0],,0)</f>
        <v>A</v>
      </c>
      <c r="L167" t="str">
        <f>_xlfn.XLOOKUP(Jnl[[#This Row],[Acct]], config_BS[Acct], config_BS[Lv1],,0)</f>
        <v>Assets</v>
      </c>
      <c r="M167" t="str">
        <f>_xlfn.XLOOKUP(Jnl[[#This Row],[Acct]], config_BS[Acct], config_BS[Lv2],,0)</f>
        <v>Cash alike</v>
      </c>
      <c r="N167" t="str">
        <f>_xlfn.XLOOKUP(Jnl[[#This Row],[TrxId]], Trx[Id], Trx[IncNode], ,0)</f>
        <v>Other</v>
      </c>
      <c r="O167" t="str">
        <f>_xlfn.XLOOKUP(Jnl[[#This Row],[IncNode]], config_IS[Node], config_IS[Type],,0)</f>
        <v>Non-Op</v>
      </c>
      <c r="P167" t="str">
        <f>_xlfn.XLOOKUP(Jnl[[#This Row],[BSLv2]], dict[Key], dict[Name],,0)</f>
        <v>0.现金及类似</v>
      </c>
      <c r="Q167" t="str">
        <f>_xlfn.XLOOKUP(Jnl[[#This Row],[Acct]], dict[Key], dict[Name],,0)</f>
        <v>银行</v>
      </c>
      <c r="R167" t="str">
        <f>_xlfn.XLOOKUP(Jnl[[#This Row],[Vehicle]],config_vehicle[Id], config_vehicle[Name],,0)</f>
        <v>桑木</v>
      </c>
      <c r="S167" t="str">
        <f>_xlfn.XLOOKUP(Jnl[[#This Row],[Division]],config_div[Id], config_div[Name],,0)</f>
        <v>内控合规</v>
      </c>
      <c r="T167" t="str">
        <f>IF(Jnl[[#This Row],[TrxDate]]&lt;=stmt_BS_date_end, "In", "Out")</f>
        <v>In</v>
      </c>
      <c r="U167" t="str">
        <f>IF(Jnl[[#This Row],[TrxDate]]&lt;debug_date_start, "prior", IF(Jnl[[#This Row],[TrxDate]]&gt;debug_date_end, "post", "curr"))</f>
        <v>prior</v>
      </c>
    </row>
    <row r="168" spans="1:21">
      <c r="A168" s="11" t="s">
        <v>274</v>
      </c>
      <c r="B168" s="7">
        <f>_xlfn.XLOOKUP(Jnl[[#This Row],[TrxId]], Trx[Id], Trx[Date],,0)</f>
        <v>46053</v>
      </c>
      <c r="C168" s="7" t="str">
        <f>_xlfn.XLOOKUP(Jnl[[#This Row],[TrxId]], Trx[Id], Trx[Division],,0)</f>
        <v>Ctrl</v>
      </c>
      <c r="D168" s="7" t="str">
        <f>_xlfn.XLOOKUP(Jnl[[#This Row],[TrxId]], Trx[Id], Trx[Action],,0)</f>
        <v>过账</v>
      </c>
      <c r="E168" s="26" t="s">
        <v>93</v>
      </c>
      <c r="F168" s="11" t="s">
        <v>12</v>
      </c>
      <c r="G168" s="11" t="s">
        <v>89</v>
      </c>
      <c r="H168" s="72">
        <v>200000</v>
      </c>
      <c r="I168" s="5" t="b">
        <f>AND(Jnl[[#This Row],[TrxId]]&lt;&gt;"",Jnl[[#This Row],[Acct]]&lt;&gt;"",Jnl[[#This Row],[Item]]&lt;&gt;"",ISNUMBER(Jnl[[#This Row],[Bal]]))</f>
        <v>1</v>
      </c>
      <c r="J168" s="10">
        <f>IF(Jnl[[#This Row],[BSLv0]]="A",1,-1)*Jnl[[#This Row],[Bal]]</f>
        <v>200000</v>
      </c>
      <c r="K168" t="str">
        <f>_xlfn.XLOOKUP(Jnl[[#This Row],[Acct]], config_BS[Acct], config_BS[Lv0],,0)</f>
        <v>A</v>
      </c>
      <c r="L168" t="str">
        <f>_xlfn.XLOOKUP(Jnl[[#This Row],[Acct]], config_BS[Acct], config_BS[Lv1],,0)</f>
        <v>Assets</v>
      </c>
      <c r="M168" t="str">
        <f>_xlfn.XLOOKUP(Jnl[[#This Row],[Acct]], config_BS[Acct], config_BS[Lv2],,0)</f>
        <v>Cash alike</v>
      </c>
      <c r="N168" t="str">
        <f>_xlfn.XLOOKUP(Jnl[[#This Row],[TrxId]], Trx[Id], Trx[IncNode], ,0)</f>
        <v>Other</v>
      </c>
      <c r="O168" t="str">
        <f>_xlfn.XLOOKUP(Jnl[[#This Row],[IncNode]], config_IS[Node], config_IS[Type],,0)</f>
        <v>Non-Op</v>
      </c>
      <c r="P168" t="str">
        <f>_xlfn.XLOOKUP(Jnl[[#This Row],[BSLv2]], dict[Key], dict[Name],,0)</f>
        <v>0.现金及类似</v>
      </c>
      <c r="Q168" t="str">
        <f>_xlfn.XLOOKUP(Jnl[[#This Row],[Acct]], dict[Key], dict[Name],,0)</f>
        <v>银行</v>
      </c>
      <c r="R168" t="str">
        <f>_xlfn.XLOOKUP(Jnl[[#This Row],[Vehicle]],config_vehicle[Id], config_vehicle[Name],,0)</f>
        <v>创业园-琦</v>
      </c>
      <c r="S168" t="str">
        <f>_xlfn.XLOOKUP(Jnl[[#This Row],[Division]],config_div[Id], config_div[Name],,0)</f>
        <v>内控合规</v>
      </c>
      <c r="T168" t="str">
        <f>IF(Jnl[[#This Row],[TrxDate]]&lt;=stmt_BS_date_end, "In", "Out")</f>
        <v>In</v>
      </c>
      <c r="U168" t="str">
        <f>IF(Jnl[[#This Row],[TrxDate]]&lt;debug_date_start, "prior", IF(Jnl[[#This Row],[TrxDate]]&gt;debug_date_end, "post", "curr"))</f>
        <v>prior</v>
      </c>
    </row>
    <row r="169" spans="1:21">
      <c r="A169" s="11" t="s">
        <v>275</v>
      </c>
      <c r="B169" s="7">
        <f>_xlfn.XLOOKUP(Jnl[[#This Row],[TrxId]], Trx[Id], Trx[Date],,0)</f>
        <v>46053</v>
      </c>
      <c r="C169" s="7" t="str">
        <f>_xlfn.XLOOKUP(Jnl[[#This Row],[TrxId]], Trx[Id], Trx[Division],,0)</f>
        <v>Online</v>
      </c>
      <c r="D169" s="7" t="str">
        <f>_xlfn.XLOOKUP(Jnl[[#This Row],[TrxId]], Trx[Id], Trx[Action],,0)</f>
        <v>订购</v>
      </c>
      <c r="E169" s="26" t="s">
        <v>85</v>
      </c>
      <c r="F169" s="11" t="s">
        <v>115</v>
      </c>
      <c r="G169" s="11" t="s">
        <v>143</v>
      </c>
      <c r="H169" s="72">
        <v>37000</v>
      </c>
      <c r="I169" s="5" t="b">
        <f>AND(Jnl[[#This Row],[TrxId]]&lt;&gt;"",Jnl[[#This Row],[Acct]]&lt;&gt;"",Jnl[[#This Row],[Item]]&lt;&gt;"",ISNUMBER(Jnl[[#This Row],[Bal]]))</f>
        <v>1</v>
      </c>
      <c r="J169" s="10">
        <f>IF(Jnl[[#This Row],[BSLv0]]="A",1,-1)*Jnl[[#This Row],[Bal]]</f>
        <v>37000</v>
      </c>
      <c r="K169" t="str">
        <f>_xlfn.XLOOKUP(Jnl[[#This Row],[Acct]], config_BS[Acct], config_BS[Lv0],,0)</f>
        <v>A</v>
      </c>
      <c r="L169" t="str">
        <f>_xlfn.XLOOKUP(Jnl[[#This Row],[Acct]], config_BS[Acct], config_BS[Lv1],,0)</f>
        <v>Assets</v>
      </c>
      <c r="M169" t="str">
        <f>_xlfn.XLOOKUP(Jnl[[#This Row],[Acct]], config_BS[Acct], config_BS[Lv2],,0)</f>
        <v>Prep-Sub</v>
      </c>
      <c r="N169" t="str">
        <f>_xlfn.XLOOKUP(Jnl[[#This Row],[TrxId]], Trx[Id], Trx[IncNode], ,0)</f>
        <v>Cost</v>
      </c>
      <c r="O169" t="str">
        <f>_xlfn.XLOOKUP(Jnl[[#This Row],[IncNode]], config_IS[Node], config_IS[Type],,0)</f>
        <v>Op</v>
      </c>
      <c r="P169" t="str">
        <f>_xlfn.XLOOKUP(Jnl[[#This Row],[BSLv2]], dict[Key], dict[Name],,0)</f>
        <v>2.预付-订阅</v>
      </c>
      <c r="Q169" t="str">
        <f>_xlfn.XLOOKUP(Jnl[[#This Row],[Acct]], dict[Key], dict[Name],,0)</f>
        <v>预付订单</v>
      </c>
      <c r="R169" t="str">
        <f>_xlfn.XLOOKUP(Jnl[[#This Row],[Vehicle]],config_vehicle[Id], config_vehicle[Name],,0)</f>
        <v>桑木</v>
      </c>
      <c r="S169" t="str">
        <f>_xlfn.XLOOKUP(Jnl[[#This Row],[Division]],config_div[Id], config_div[Name],,0)</f>
        <v>网店</v>
      </c>
      <c r="T169" t="str">
        <f>IF(Jnl[[#This Row],[TrxDate]]&lt;=stmt_BS_date_end, "In", "Out")</f>
        <v>In</v>
      </c>
      <c r="U169" t="str">
        <f>IF(Jnl[[#This Row],[TrxDate]]&lt;debug_date_start, "prior", IF(Jnl[[#This Row],[TrxDate]]&gt;debug_date_end, "post", "curr"))</f>
        <v>prior</v>
      </c>
    </row>
    <row r="170" spans="1:21">
      <c r="A170" s="11" t="s">
        <v>275</v>
      </c>
      <c r="B170" s="7">
        <f>_xlfn.XLOOKUP(Jnl[[#This Row],[TrxId]], Trx[Id], Trx[Date],,0)</f>
        <v>46053</v>
      </c>
      <c r="C170" s="7" t="str">
        <f>_xlfn.XLOOKUP(Jnl[[#This Row],[TrxId]], Trx[Id], Trx[Division],,0)</f>
        <v>Online</v>
      </c>
      <c r="D170" s="7" t="str">
        <f>_xlfn.XLOOKUP(Jnl[[#This Row],[TrxId]], Trx[Id], Trx[Action],,0)</f>
        <v>订购</v>
      </c>
      <c r="E170" s="26" t="s">
        <v>85</v>
      </c>
      <c r="F170" s="11" t="s">
        <v>12</v>
      </c>
      <c r="G170" s="11" t="s">
        <v>90</v>
      </c>
      <c r="H170" s="72">
        <v>-37000</v>
      </c>
      <c r="I170" s="5" t="b">
        <f>AND(Jnl[[#This Row],[TrxId]]&lt;&gt;"",Jnl[[#This Row],[Acct]]&lt;&gt;"",Jnl[[#This Row],[Item]]&lt;&gt;"",ISNUMBER(Jnl[[#This Row],[Bal]]))</f>
        <v>1</v>
      </c>
      <c r="J170" s="10">
        <f>IF(Jnl[[#This Row],[BSLv0]]="A",1,-1)*Jnl[[#This Row],[Bal]]</f>
        <v>-37000</v>
      </c>
      <c r="K170" t="str">
        <f>_xlfn.XLOOKUP(Jnl[[#This Row],[Acct]], config_BS[Acct], config_BS[Lv0],,0)</f>
        <v>A</v>
      </c>
      <c r="L170" t="str">
        <f>_xlfn.XLOOKUP(Jnl[[#This Row],[Acct]], config_BS[Acct], config_BS[Lv1],,0)</f>
        <v>Assets</v>
      </c>
      <c r="M170" t="str">
        <f>_xlfn.XLOOKUP(Jnl[[#This Row],[Acct]], config_BS[Acct], config_BS[Lv2],,0)</f>
        <v>Cash alike</v>
      </c>
      <c r="N170" t="str">
        <f>_xlfn.XLOOKUP(Jnl[[#This Row],[TrxId]], Trx[Id], Trx[IncNode], ,0)</f>
        <v>Cost</v>
      </c>
      <c r="O170" t="str">
        <f>_xlfn.XLOOKUP(Jnl[[#This Row],[IncNode]], config_IS[Node], config_IS[Type],,0)</f>
        <v>Op</v>
      </c>
      <c r="P170" t="str">
        <f>_xlfn.XLOOKUP(Jnl[[#This Row],[BSLv2]], dict[Key], dict[Name],,0)</f>
        <v>0.现金及类似</v>
      </c>
      <c r="Q170" t="str">
        <f>_xlfn.XLOOKUP(Jnl[[#This Row],[Acct]], dict[Key], dict[Name],,0)</f>
        <v>银行</v>
      </c>
      <c r="R170" t="str">
        <f>_xlfn.XLOOKUP(Jnl[[#This Row],[Vehicle]],config_vehicle[Id], config_vehicle[Name],,0)</f>
        <v>桑木</v>
      </c>
      <c r="S170" t="str">
        <f>_xlfn.XLOOKUP(Jnl[[#This Row],[Division]],config_div[Id], config_div[Name],,0)</f>
        <v>网店</v>
      </c>
      <c r="T170" t="str">
        <f>IF(Jnl[[#This Row],[TrxDate]]&lt;=stmt_BS_date_end, "In", "Out")</f>
        <v>In</v>
      </c>
      <c r="U170" t="str">
        <f>IF(Jnl[[#This Row],[TrxDate]]&lt;debug_date_start, "prior", IF(Jnl[[#This Row],[TrxDate]]&gt;debug_date_end, "post", "curr"))</f>
        <v>prior</v>
      </c>
    </row>
    <row r="171" spans="1:21">
      <c r="A171" s="11" t="s">
        <v>276</v>
      </c>
      <c r="B171" s="7">
        <f>_xlfn.XLOOKUP(Jnl[[#This Row],[TrxId]], Trx[Id], Trx[Date],,0)</f>
        <v>46053</v>
      </c>
      <c r="C171" s="7" t="str">
        <f>_xlfn.XLOOKUP(Jnl[[#This Row],[TrxId]], Trx[Id], Trx[Division],,0)</f>
        <v>Online</v>
      </c>
      <c r="D171" s="7" t="str">
        <f>_xlfn.XLOOKUP(Jnl[[#This Row],[TrxId]], Trx[Id], Trx[Action],,0)</f>
        <v>增值税</v>
      </c>
      <c r="E171" s="26" t="s">
        <v>85</v>
      </c>
      <c r="F171" s="11" t="s">
        <v>126</v>
      </c>
      <c r="G171" s="11" t="s">
        <v>282</v>
      </c>
      <c r="H171" s="72">
        <v>4400.6000000000004</v>
      </c>
      <c r="I171" s="5" t="b">
        <f>AND(Jnl[[#This Row],[TrxId]]&lt;&gt;"",Jnl[[#This Row],[Acct]]&lt;&gt;"",Jnl[[#This Row],[Item]]&lt;&gt;"",ISNUMBER(Jnl[[#This Row],[Bal]]))</f>
        <v>1</v>
      </c>
      <c r="J171" s="10">
        <f>IF(Jnl[[#This Row],[BSLv0]]="A",1,-1)*Jnl[[#This Row],[Bal]]</f>
        <v>-4400.6000000000004</v>
      </c>
      <c r="K171" t="str">
        <f>_xlfn.XLOOKUP(Jnl[[#This Row],[Acct]], config_BS[Acct], config_BS[Lv0],,0)</f>
        <v>LC</v>
      </c>
      <c r="L171" t="str">
        <f>_xlfn.XLOOKUP(Jnl[[#This Row],[Acct]], config_BS[Acct], config_BS[Lv1],,0)</f>
        <v>Liability</v>
      </c>
      <c r="M171" t="str">
        <f>_xlfn.XLOOKUP(Jnl[[#This Row],[Acct]], config_BS[Acct], config_BS[Lv2],,0)</f>
        <v>Rec-Pay</v>
      </c>
      <c r="N171" t="str">
        <f>_xlfn.XLOOKUP(Jnl[[#This Row],[TrxId]], Trx[Id], Trx[IncNode], ,0)</f>
        <v>Cost</v>
      </c>
      <c r="O171" t="str">
        <f>_xlfn.XLOOKUP(Jnl[[#This Row],[IncNode]], config_IS[Node], config_IS[Type],,0)</f>
        <v>Op</v>
      </c>
      <c r="P171" t="str">
        <f>_xlfn.XLOOKUP(Jnl[[#This Row],[BSLv2]], dict[Key], dict[Name],,0)</f>
        <v>1.应收-应付</v>
      </c>
      <c r="Q171" t="str">
        <f>_xlfn.XLOOKUP(Jnl[[#This Row],[Acct]], dict[Key], dict[Name],,0)</f>
        <v>应付-税款</v>
      </c>
      <c r="R171" t="str">
        <f>_xlfn.XLOOKUP(Jnl[[#This Row],[Vehicle]],config_vehicle[Id], config_vehicle[Name],,0)</f>
        <v>桑木</v>
      </c>
      <c r="S171" t="str">
        <f>_xlfn.XLOOKUP(Jnl[[#This Row],[Division]],config_div[Id], config_div[Name],,0)</f>
        <v>网店</v>
      </c>
      <c r="T171" t="str">
        <f>IF(Jnl[[#This Row],[TrxDate]]&lt;=stmt_BS_date_end, "In", "Out")</f>
        <v>In</v>
      </c>
      <c r="U171" t="str">
        <f>IF(Jnl[[#This Row],[TrxDate]]&lt;debug_date_start, "prior", IF(Jnl[[#This Row],[TrxDate]]&gt;debug_date_end, "post", "curr"))</f>
        <v>prior</v>
      </c>
    </row>
    <row r="172" spans="1:21">
      <c r="A172" s="11" t="s">
        <v>277</v>
      </c>
      <c r="B172" s="7">
        <f>_xlfn.XLOOKUP(Jnl[[#This Row],[TrxId]], Trx[Id], Trx[Date],,0)</f>
        <v>46053</v>
      </c>
      <c r="C172" s="7" t="str">
        <f>_xlfn.XLOOKUP(Jnl[[#This Row],[TrxId]], Trx[Id], Trx[Division],,0)</f>
        <v>Online</v>
      </c>
      <c r="D172" s="7" t="str">
        <f>_xlfn.XLOOKUP(Jnl[[#This Row],[TrxId]], Trx[Id], Trx[Action],,0)</f>
        <v>订购</v>
      </c>
      <c r="E172" s="26" t="s">
        <v>85</v>
      </c>
      <c r="F172" s="11" t="s">
        <v>115</v>
      </c>
      <c r="G172" s="11" t="s">
        <v>143</v>
      </c>
      <c r="H172" s="72">
        <v>53395</v>
      </c>
      <c r="I172" s="5" t="b">
        <f>AND(Jnl[[#This Row],[TrxId]]&lt;&gt;"",Jnl[[#This Row],[Acct]]&lt;&gt;"",Jnl[[#This Row],[Item]]&lt;&gt;"",ISNUMBER(Jnl[[#This Row],[Bal]]))</f>
        <v>1</v>
      </c>
      <c r="J172" s="10">
        <f>IF(Jnl[[#This Row],[BSLv0]]="A",1,-1)*Jnl[[#This Row],[Bal]]</f>
        <v>53395</v>
      </c>
      <c r="K172" t="str">
        <f>_xlfn.XLOOKUP(Jnl[[#This Row],[Acct]], config_BS[Acct], config_BS[Lv0],,0)</f>
        <v>A</v>
      </c>
      <c r="L172" t="str">
        <f>_xlfn.XLOOKUP(Jnl[[#This Row],[Acct]], config_BS[Acct], config_BS[Lv1],,0)</f>
        <v>Assets</v>
      </c>
      <c r="M172" t="str">
        <f>_xlfn.XLOOKUP(Jnl[[#This Row],[Acct]], config_BS[Acct], config_BS[Lv2],,0)</f>
        <v>Prep-Sub</v>
      </c>
      <c r="N172" t="str">
        <f>_xlfn.XLOOKUP(Jnl[[#This Row],[TrxId]], Trx[Id], Trx[IncNode], ,0)</f>
        <v>Cost</v>
      </c>
      <c r="O172" t="str">
        <f>_xlfn.XLOOKUP(Jnl[[#This Row],[IncNode]], config_IS[Node], config_IS[Type],,0)</f>
        <v>Op</v>
      </c>
      <c r="P172" t="str">
        <f>_xlfn.XLOOKUP(Jnl[[#This Row],[BSLv2]], dict[Key], dict[Name],,0)</f>
        <v>2.预付-订阅</v>
      </c>
      <c r="Q172" t="str">
        <f>_xlfn.XLOOKUP(Jnl[[#This Row],[Acct]], dict[Key], dict[Name],,0)</f>
        <v>预付订单</v>
      </c>
      <c r="R172" t="str">
        <f>_xlfn.XLOOKUP(Jnl[[#This Row],[Vehicle]],config_vehicle[Id], config_vehicle[Name],,0)</f>
        <v>桑木</v>
      </c>
      <c r="S172" t="str">
        <f>_xlfn.XLOOKUP(Jnl[[#This Row],[Division]],config_div[Id], config_div[Name],,0)</f>
        <v>网店</v>
      </c>
      <c r="T172" t="str">
        <f>IF(Jnl[[#This Row],[TrxDate]]&lt;=stmt_BS_date_end, "In", "Out")</f>
        <v>In</v>
      </c>
      <c r="U172" t="str">
        <f>IF(Jnl[[#This Row],[TrxDate]]&lt;debug_date_start, "prior", IF(Jnl[[#This Row],[TrxDate]]&gt;debug_date_end, "post", "curr"))</f>
        <v>prior</v>
      </c>
    </row>
    <row r="173" spans="1:21">
      <c r="A173" s="11" t="s">
        <v>277</v>
      </c>
      <c r="B173" s="7">
        <f>_xlfn.XLOOKUP(Jnl[[#This Row],[TrxId]], Trx[Id], Trx[Date],,0)</f>
        <v>46053</v>
      </c>
      <c r="C173" s="7" t="str">
        <f>_xlfn.XLOOKUP(Jnl[[#This Row],[TrxId]], Trx[Id], Trx[Division],,0)</f>
        <v>Online</v>
      </c>
      <c r="D173" s="7" t="str">
        <f>_xlfn.XLOOKUP(Jnl[[#This Row],[TrxId]], Trx[Id], Trx[Action],,0)</f>
        <v>订购</v>
      </c>
      <c r="E173" s="26" t="s">
        <v>85</v>
      </c>
      <c r="F173" s="11" t="s">
        <v>12</v>
      </c>
      <c r="G173" s="11" t="s">
        <v>90</v>
      </c>
      <c r="H173" s="72">
        <v>-53395</v>
      </c>
      <c r="I173" s="5" t="b">
        <f>AND(Jnl[[#This Row],[TrxId]]&lt;&gt;"",Jnl[[#This Row],[Acct]]&lt;&gt;"",Jnl[[#This Row],[Item]]&lt;&gt;"",ISNUMBER(Jnl[[#This Row],[Bal]]))</f>
        <v>1</v>
      </c>
      <c r="J173" s="10">
        <f>IF(Jnl[[#This Row],[BSLv0]]="A",1,-1)*Jnl[[#This Row],[Bal]]</f>
        <v>-53395</v>
      </c>
      <c r="K173" t="str">
        <f>_xlfn.XLOOKUP(Jnl[[#This Row],[Acct]], config_BS[Acct], config_BS[Lv0],,0)</f>
        <v>A</v>
      </c>
      <c r="L173" t="str">
        <f>_xlfn.XLOOKUP(Jnl[[#This Row],[Acct]], config_BS[Acct], config_BS[Lv1],,0)</f>
        <v>Assets</v>
      </c>
      <c r="M173" t="str">
        <f>_xlfn.XLOOKUP(Jnl[[#This Row],[Acct]], config_BS[Acct], config_BS[Lv2],,0)</f>
        <v>Cash alike</v>
      </c>
      <c r="N173" t="str">
        <f>_xlfn.XLOOKUP(Jnl[[#This Row],[TrxId]], Trx[Id], Trx[IncNode], ,0)</f>
        <v>Cost</v>
      </c>
      <c r="O173" t="str">
        <f>_xlfn.XLOOKUP(Jnl[[#This Row],[IncNode]], config_IS[Node], config_IS[Type],,0)</f>
        <v>Op</v>
      </c>
      <c r="P173" t="str">
        <f>_xlfn.XLOOKUP(Jnl[[#This Row],[BSLv2]], dict[Key], dict[Name],,0)</f>
        <v>0.现金及类似</v>
      </c>
      <c r="Q173" t="str">
        <f>_xlfn.XLOOKUP(Jnl[[#This Row],[Acct]], dict[Key], dict[Name],,0)</f>
        <v>银行</v>
      </c>
      <c r="R173" t="str">
        <f>_xlfn.XLOOKUP(Jnl[[#This Row],[Vehicle]],config_vehicle[Id], config_vehicle[Name],,0)</f>
        <v>桑木</v>
      </c>
      <c r="S173" t="str">
        <f>_xlfn.XLOOKUP(Jnl[[#This Row],[Division]],config_div[Id], config_div[Name],,0)</f>
        <v>网店</v>
      </c>
      <c r="T173" t="str">
        <f>IF(Jnl[[#This Row],[TrxDate]]&lt;=stmt_BS_date_end, "In", "Out")</f>
        <v>In</v>
      </c>
      <c r="U173" t="str">
        <f>IF(Jnl[[#This Row],[TrxDate]]&lt;debug_date_start, "prior", IF(Jnl[[#This Row],[TrxDate]]&gt;debug_date_end, "post", "curr"))</f>
        <v>prior</v>
      </c>
    </row>
    <row r="174" spans="1:21">
      <c r="A174" s="11" t="s">
        <v>278</v>
      </c>
      <c r="B174" s="7">
        <f>_xlfn.XLOOKUP(Jnl[[#This Row],[TrxId]], Trx[Id], Trx[Date],,0)</f>
        <v>46053</v>
      </c>
      <c r="C174" s="7" t="str">
        <f>_xlfn.XLOOKUP(Jnl[[#This Row],[TrxId]], Trx[Id], Trx[Division],,0)</f>
        <v>Online</v>
      </c>
      <c r="D174" s="7" t="str">
        <f>_xlfn.XLOOKUP(Jnl[[#This Row],[TrxId]], Trx[Id], Trx[Action],,0)</f>
        <v>入库</v>
      </c>
      <c r="E174" s="26" t="s">
        <v>80</v>
      </c>
      <c r="F174" s="11" t="s">
        <v>116</v>
      </c>
      <c r="G174" s="11" t="s">
        <v>150</v>
      </c>
      <c r="H174" s="72">
        <v>77395</v>
      </c>
      <c r="I174" s="5" t="b">
        <f>AND(Jnl[[#This Row],[TrxId]]&lt;&gt;"",Jnl[[#This Row],[Acct]]&lt;&gt;"",Jnl[[#This Row],[Item]]&lt;&gt;"",ISNUMBER(Jnl[[#This Row],[Bal]]))</f>
        <v>1</v>
      </c>
      <c r="J174" s="10">
        <f>IF(Jnl[[#This Row],[BSLv0]]="A",1,-1)*Jnl[[#This Row],[Bal]]</f>
        <v>77395</v>
      </c>
      <c r="K174" t="str">
        <f>_xlfn.XLOOKUP(Jnl[[#This Row],[Acct]], config_BS[Acct], config_BS[Lv0],,0)</f>
        <v>A</v>
      </c>
      <c r="L174" t="str">
        <f>_xlfn.XLOOKUP(Jnl[[#This Row],[Acct]], config_BS[Acct], config_BS[Lv1],,0)</f>
        <v>Assets</v>
      </c>
      <c r="M174" t="str">
        <f>_xlfn.XLOOKUP(Jnl[[#This Row],[Acct]], config_BS[Acct], config_BS[Lv2],,0)</f>
        <v>Invtr</v>
      </c>
      <c r="N174" t="str">
        <f>_xlfn.XLOOKUP(Jnl[[#This Row],[TrxId]], Trx[Id], Trx[IncNode], ,0)</f>
        <v>Cost</v>
      </c>
      <c r="O174" t="str">
        <f>_xlfn.XLOOKUP(Jnl[[#This Row],[IncNode]], config_IS[Node], config_IS[Type],,0)</f>
        <v>Op</v>
      </c>
      <c r="P174" t="str">
        <f>_xlfn.XLOOKUP(Jnl[[#This Row],[BSLv2]], dict[Key], dict[Name],,0)</f>
        <v>3.库存占款</v>
      </c>
      <c r="Q174" t="str">
        <f>_xlfn.XLOOKUP(Jnl[[#This Row],[Acct]], dict[Key], dict[Name],,0)</f>
        <v>当期存货</v>
      </c>
      <c r="R174" t="str">
        <f>_xlfn.XLOOKUP(Jnl[[#This Row],[Vehicle]],config_vehicle[Id], config_vehicle[Name],,0)</f>
        <v>远家花园</v>
      </c>
      <c r="S174" t="str">
        <f>_xlfn.XLOOKUP(Jnl[[#This Row],[Division]],config_div[Id], config_div[Name],,0)</f>
        <v>网店</v>
      </c>
      <c r="T174" t="str">
        <f>IF(Jnl[[#This Row],[TrxDate]]&lt;=stmt_BS_date_end, "In", "Out")</f>
        <v>In</v>
      </c>
      <c r="U174" t="str">
        <f>IF(Jnl[[#This Row],[TrxDate]]&lt;debug_date_start, "prior", IF(Jnl[[#This Row],[TrxDate]]&gt;debug_date_end, "post", "curr"))</f>
        <v>prior</v>
      </c>
    </row>
    <row r="175" spans="1:21">
      <c r="A175" s="11" t="s">
        <v>278</v>
      </c>
      <c r="B175" s="7">
        <f>_xlfn.XLOOKUP(Jnl[[#This Row],[TrxId]], Trx[Id], Trx[Date],,0)</f>
        <v>46053</v>
      </c>
      <c r="C175" s="7" t="str">
        <f>_xlfn.XLOOKUP(Jnl[[#This Row],[TrxId]], Trx[Id], Trx[Division],,0)</f>
        <v>Online</v>
      </c>
      <c r="D175" s="7" t="str">
        <f>_xlfn.XLOOKUP(Jnl[[#This Row],[TrxId]], Trx[Id], Trx[Action],,0)</f>
        <v>入库</v>
      </c>
      <c r="E175" s="26" t="s">
        <v>85</v>
      </c>
      <c r="F175" s="11" t="s">
        <v>115</v>
      </c>
      <c r="G175" s="11" t="s">
        <v>143</v>
      </c>
      <c r="H175" s="72">
        <v>-77395</v>
      </c>
      <c r="I175" s="5" t="b">
        <f>AND(Jnl[[#This Row],[TrxId]]&lt;&gt;"",Jnl[[#This Row],[Acct]]&lt;&gt;"",Jnl[[#This Row],[Item]]&lt;&gt;"",ISNUMBER(Jnl[[#This Row],[Bal]]))</f>
        <v>1</v>
      </c>
      <c r="J175" s="10">
        <f>IF(Jnl[[#This Row],[BSLv0]]="A",1,-1)*Jnl[[#This Row],[Bal]]</f>
        <v>-77395</v>
      </c>
      <c r="K175" t="str">
        <f>_xlfn.XLOOKUP(Jnl[[#This Row],[Acct]], config_BS[Acct], config_BS[Lv0],,0)</f>
        <v>A</v>
      </c>
      <c r="L175" t="str">
        <f>_xlfn.XLOOKUP(Jnl[[#This Row],[Acct]], config_BS[Acct], config_BS[Lv1],,0)</f>
        <v>Assets</v>
      </c>
      <c r="M175" t="str">
        <f>_xlfn.XLOOKUP(Jnl[[#This Row],[Acct]], config_BS[Acct], config_BS[Lv2],,0)</f>
        <v>Prep-Sub</v>
      </c>
      <c r="N175" t="str">
        <f>_xlfn.XLOOKUP(Jnl[[#This Row],[TrxId]], Trx[Id], Trx[IncNode], ,0)</f>
        <v>Cost</v>
      </c>
      <c r="O175" t="str">
        <f>_xlfn.XLOOKUP(Jnl[[#This Row],[IncNode]], config_IS[Node], config_IS[Type],,0)</f>
        <v>Op</v>
      </c>
      <c r="P175" t="str">
        <f>_xlfn.XLOOKUP(Jnl[[#This Row],[BSLv2]], dict[Key], dict[Name],,0)</f>
        <v>2.预付-订阅</v>
      </c>
      <c r="Q175" t="str">
        <f>_xlfn.XLOOKUP(Jnl[[#This Row],[Acct]], dict[Key], dict[Name],,0)</f>
        <v>预付订单</v>
      </c>
      <c r="R175" t="str">
        <f>_xlfn.XLOOKUP(Jnl[[#This Row],[Vehicle]],config_vehicle[Id], config_vehicle[Name],,0)</f>
        <v>桑木</v>
      </c>
      <c r="S175" t="str">
        <f>_xlfn.XLOOKUP(Jnl[[#This Row],[Division]],config_div[Id], config_div[Name],,0)</f>
        <v>网店</v>
      </c>
      <c r="T175" t="str">
        <f>IF(Jnl[[#This Row],[TrxDate]]&lt;=stmt_BS_date_end, "In", "Out")</f>
        <v>In</v>
      </c>
      <c r="U175" t="str">
        <f>IF(Jnl[[#This Row],[TrxDate]]&lt;debug_date_start, "prior", IF(Jnl[[#This Row],[TrxDate]]&gt;debug_date_end, "post", "curr"))</f>
        <v>prior</v>
      </c>
    </row>
    <row r="176" spans="1:21">
      <c r="A176" s="11" t="s">
        <v>279</v>
      </c>
      <c r="B176" s="7">
        <f>_xlfn.XLOOKUP(Jnl[[#This Row],[TrxId]], Trx[Id], Trx[Date],,0)</f>
        <v>46053</v>
      </c>
      <c r="C176" s="7" t="str">
        <f>_xlfn.XLOOKUP(Jnl[[#This Row],[TrxId]], Trx[Id], Trx[Division],,0)</f>
        <v>Online</v>
      </c>
      <c r="D176" s="7" t="str">
        <f>_xlfn.XLOOKUP(Jnl[[#This Row],[TrxId]], Trx[Id], Trx[Action],,0)</f>
        <v>订购</v>
      </c>
      <c r="E176" s="26" t="s">
        <v>85</v>
      </c>
      <c r="F176" s="11" t="s">
        <v>115</v>
      </c>
      <c r="G176" s="11" t="s">
        <v>143</v>
      </c>
      <c r="H176" s="72">
        <v>40993</v>
      </c>
      <c r="I176" s="5" t="b">
        <f>AND(Jnl[[#This Row],[TrxId]]&lt;&gt;"",Jnl[[#This Row],[Acct]]&lt;&gt;"",Jnl[[#This Row],[Item]]&lt;&gt;"",ISNUMBER(Jnl[[#This Row],[Bal]]))</f>
        <v>1</v>
      </c>
      <c r="J176" s="10">
        <f>IF(Jnl[[#This Row],[BSLv0]]="A",1,-1)*Jnl[[#This Row],[Bal]]</f>
        <v>40993</v>
      </c>
      <c r="K176" t="str">
        <f>_xlfn.XLOOKUP(Jnl[[#This Row],[Acct]], config_BS[Acct], config_BS[Lv0],,0)</f>
        <v>A</v>
      </c>
      <c r="L176" t="str">
        <f>_xlfn.XLOOKUP(Jnl[[#This Row],[Acct]], config_BS[Acct], config_BS[Lv1],,0)</f>
        <v>Assets</v>
      </c>
      <c r="M176" t="str">
        <f>_xlfn.XLOOKUP(Jnl[[#This Row],[Acct]], config_BS[Acct], config_BS[Lv2],,0)</f>
        <v>Prep-Sub</v>
      </c>
      <c r="N176" t="str">
        <f>_xlfn.XLOOKUP(Jnl[[#This Row],[TrxId]], Trx[Id], Trx[IncNode], ,0)</f>
        <v>Cost</v>
      </c>
      <c r="O176" t="str">
        <f>_xlfn.XLOOKUP(Jnl[[#This Row],[IncNode]], config_IS[Node], config_IS[Type],,0)</f>
        <v>Op</v>
      </c>
      <c r="P176" t="str">
        <f>_xlfn.XLOOKUP(Jnl[[#This Row],[BSLv2]], dict[Key], dict[Name],,0)</f>
        <v>2.预付-订阅</v>
      </c>
      <c r="Q176" t="str">
        <f>_xlfn.XLOOKUP(Jnl[[#This Row],[Acct]], dict[Key], dict[Name],,0)</f>
        <v>预付订单</v>
      </c>
      <c r="R176" t="str">
        <f>_xlfn.XLOOKUP(Jnl[[#This Row],[Vehicle]],config_vehicle[Id], config_vehicle[Name],,0)</f>
        <v>桑木</v>
      </c>
      <c r="S176" t="str">
        <f>_xlfn.XLOOKUP(Jnl[[#This Row],[Division]],config_div[Id], config_div[Name],,0)</f>
        <v>网店</v>
      </c>
      <c r="T176" t="str">
        <f>IF(Jnl[[#This Row],[TrxDate]]&lt;=stmt_BS_date_end, "In", "Out")</f>
        <v>In</v>
      </c>
      <c r="U176" t="str">
        <f>IF(Jnl[[#This Row],[TrxDate]]&lt;debug_date_start, "prior", IF(Jnl[[#This Row],[TrxDate]]&gt;debug_date_end, "post", "curr"))</f>
        <v>prior</v>
      </c>
    </row>
    <row r="177" spans="1:21">
      <c r="A177" s="11" t="s">
        <v>279</v>
      </c>
      <c r="B177" s="7">
        <f>_xlfn.XLOOKUP(Jnl[[#This Row],[TrxId]], Trx[Id], Trx[Date],,0)</f>
        <v>46053</v>
      </c>
      <c r="C177" s="7" t="str">
        <f>_xlfn.XLOOKUP(Jnl[[#This Row],[TrxId]], Trx[Id], Trx[Division],,0)</f>
        <v>Online</v>
      </c>
      <c r="D177" s="7" t="str">
        <f>_xlfn.XLOOKUP(Jnl[[#This Row],[TrxId]], Trx[Id], Trx[Action],,0)</f>
        <v>订购</v>
      </c>
      <c r="E177" s="26" t="s">
        <v>85</v>
      </c>
      <c r="F177" s="11" t="s">
        <v>12</v>
      </c>
      <c r="G177" s="11" t="s">
        <v>90</v>
      </c>
      <c r="H177" s="72">
        <v>-40993</v>
      </c>
      <c r="I177" s="5" t="b">
        <f>AND(Jnl[[#This Row],[TrxId]]&lt;&gt;"",Jnl[[#This Row],[Acct]]&lt;&gt;"",Jnl[[#This Row],[Item]]&lt;&gt;"",ISNUMBER(Jnl[[#This Row],[Bal]]))</f>
        <v>1</v>
      </c>
      <c r="J177" s="10">
        <f>IF(Jnl[[#This Row],[BSLv0]]="A",1,-1)*Jnl[[#This Row],[Bal]]</f>
        <v>-40993</v>
      </c>
      <c r="K177" t="str">
        <f>_xlfn.XLOOKUP(Jnl[[#This Row],[Acct]], config_BS[Acct], config_BS[Lv0],,0)</f>
        <v>A</v>
      </c>
      <c r="L177" t="str">
        <f>_xlfn.XLOOKUP(Jnl[[#This Row],[Acct]], config_BS[Acct], config_BS[Lv1],,0)</f>
        <v>Assets</v>
      </c>
      <c r="M177" t="str">
        <f>_xlfn.XLOOKUP(Jnl[[#This Row],[Acct]], config_BS[Acct], config_BS[Lv2],,0)</f>
        <v>Cash alike</v>
      </c>
      <c r="N177" t="str">
        <f>_xlfn.XLOOKUP(Jnl[[#This Row],[TrxId]], Trx[Id], Trx[IncNode], ,0)</f>
        <v>Cost</v>
      </c>
      <c r="O177" t="str">
        <f>_xlfn.XLOOKUP(Jnl[[#This Row],[IncNode]], config_IS[Node], config_IS[Type],,0)</f>
        <v>Op</v>
      </c>
      <c r="P177" t="str">
        <f>_xlfn.XLOOKUP(Jnl[[#This Row],[BSLv2]], dict[Key], dict[Name],,0)</f>
        <v>0.现金及类似</v>
      </c>
      <c r="Q177" t="str">
        <f>_xlfn.XLOOKUP(Jnl[[#This Row],[Acct]], dict[Key], dict[Name],,0)</f>
        <v>银行</v>
      </c>
      <c r="R177" t="str">
        <f>_xlfn.XLOOKUP(Jnl[[#This Row],[Vehicle]],config_vehicle[Id], config_vehicle[Name],,0)</f>
        <v>桑木</v>
      </c>
      <c r="S177" t="str">
        <f>_xlfn.XLOOKUP(Jnl[[#This Row],[Division]],config_div[Id], config_div[Name],,0)</f>
        <v>网店</v>
      </c>
      <c r="T177" t="str">
        <f>IF(Jnl[[#This Row],[TrxDate]]&lt;=stmt_BS_date_end, "In", "Out")</f>
        <v>In</v>
      </c>
      <c r="U177" t="str">
        <f>IF(Jnl[[#This Row],[TrxDate]]&lt;debug_date_start, "prior", IF(Jnl[[#This Row],[TrxDate]]&gt;debug_date_end, "post", "curr"))</f>
        <v>prior</v>
      </c>
    </row>
    <row r="178" spans="1:21">
      <c r="A178" s="11" t="s">
        <v>280</v>
      </c>
      <c r="B178" s="7">
        <f>_xlfn.XLOOKUP(Jnl[[#This Row],[TrxId]], Trx[Id], Trx[Date],,0)</f>
        <v>46053</v>
      </c>
      <c r="C178" s="7" t="str">
        <f>_xlfn.XLOOKUP(Jnl[[#This Row],[TrxId]], Trx[Id], Trx[Division],,0)</f>
        <v>Online</v>
      </c>
      <c r="D178" s="7" t="str">
        <f>_xlfn.XLOOKUP(Jnl[[#This Row],[TrxId]], Trx[Id], Trx[Action],,0)</f>
        <v>入库</v>
      </c>
      <c r="E178" s="26" t="s">
        <v>80</v>
      </c>
      <c r="F178" s="11" t="s">
        <v>116</v>
      </c>
      <c r="G178" s="11" t="s">
        <v>150</v>
      </c>
      <c r="H178" s="72">
        <v>40993</v>
      </c>
      <c r="I178" s="5" t="b">
        <f>AND(Jnl[[#This Row],[TrxId]]&lt;&gt;"",Jnl[[#This Row],[Acct]]&lt;&gt;"",Jnl[[#This Row],[Item]]&lt;&gt;"",ISNUMBER(Jnl[[#This Row],[Bal]]))</f>
        <v>1</v>
      </c>
      <c r="J178" s="10">
        <f>IF(Jnl[[#This Row],[BSLv0]]="A",1,-1)*Jnl[[#This Row],[Bal]]</f>
        <v>40993</v>
      </c>
      <c r="K178" t="str">
        <f>_xlfn.XLOOKUP(Jnl[[#This Row],[Acct]], config_BS[Acct], config_BS[Lv0],,0)</f>
        <v>A</v>
      </c>
      <c r="L178" t="str">
        <f>_xlfn.XLOOKUP(Jnl[[#This Row],[Acct]], config_BS[Acct], config_BS[Lv1],,0)</f>
        <v>Assets</v>
      </c>
      <c r="M178" t="str">
        <f>_xlfn.XLOOKUP(Jnl[[#This Row],[Acct]], config_BS[Acct], config_BS[Lv2],,0)</f>
        <v>Invtr</v>
      </c>
      <c r="N178" t="str">
        <f>_xlfn.XLOOKUP(Jnl[[#This Row],[TrxId]], Trx[Id], Trx[IncNode], ,0)</f>
        <v>Cost</v>
      </c>
      <c r="O178" t="str">
        <f>_xlfn.XLOOKUP(Jnl[[#This Row],[IncNode]], config_IS[Node], config_IS[Type],,0)</f>
        <v>Op</v>
      </c>
      <c r="P178" t="str">
        <f>_xlfn.XLOOKUP(Jnl[[#This Row],[BSLv2]], dict[Key], dict[Name],,0)</f>
        <v>3.库存占款</v>
      </c>
      <c r="Q178" t="str">
        <f>_xlfn.XLOOKUP(Jnl[[#This Row],[Acct]], dict[Key], dict[Name],,0)</f>
        <v>当期存货</v>
      </c>
      <c r="R178" t="str">
        <f>_xlfn.XLOOKUP(Jnl[[#This Row],[Vehicle]],config_vehicle[Id], config_vehicle[Name],,0)</f>
        <v>远家花园</v>
      </c>
      <c r="S178" t="str">
        <f>_xlfn.XLOOKUP(Jnl[[#This Row],[Division]],config_div[Id], config_div[Name],,0)</f>
        <v>网店</v>
      </c>
      <c r="T178" t="str">
        <f>IF(Jnl[[#This Row],[TrxDate]]&lt;=stmt_BS_date_end, "In", "Out")</f>
        <v>In</v>
      </c>
      <c r="U178" t="str">
        <f>IF(Jnl[[#This Row],[TrxDate]]&lt;debug_date_start, "prior", IF(Jnl[[#This Row],[TrxDate]]&gt;debug_date_end, "post", "curr"))</f>
        <v>prior</v>
      </c>
    </row>
    <row r="179" spans="1:21">
      <c r="A179" s="11" t="s">
        <v>280</v>
      </c>
      <c r="B179" s="7">
        <f>_xlfn.XLOOKUP(Jnl[[#This Row],[TrxId]], Trx[Id], Trx[Date],,0)</f>
        <v>46053</v>
      </c>
      <c r="C179" s="7" t="str">
        <f>_xlfn.XLOOKUP(Jnl[[#This Row],[TrxId]], Trx[Id], Trx[Division],,0)</f>
        <v>Online</v>
      </c>
      <c r="D179" s="7" t="str">
        <f>_xlfn.XLOOKUP(Jnl[[#This Row],[TrxId]], Trx[Id], Trx[Action],,0)</f>
        <v>入库</v>
      </c>
      <c r="E179" s="26" t="s">
        <v>85</v>
      </c>
      <c r="F179" s="11" t="s">
        <v>115</v>
      </c>
      <c r="G179" s="11" t="s">
        <v>143</v>
      </c>
      <c r="H179" s="72">
        <v>-40993</v>
      </c>
      <c r="I179" s="5" t="b">
        <f>AND(Jnl[[#This Row],[TrxId]]&lt;&gt;"",Jnl[[#This Row],[Acct]]&lt;&gt;"",Jnl[[#This Row],[Item]]&lt;&gt;"",ISNUMBER(Jnl[[#This Row],[Bal]]))</f>
        <v>1</v>
      </c>
      <c r="J179" s="10">
        <f>IF(Jnl[[#This Row],[BSLv0]]="A",1,-1)*Jnl[[#This Row],[Bal]]</f>
        <v>-40993</v>
      </c>
      <c r="K179" t="str">
        <f>_xlfn.XLOOKUP(Jnl[[#This Row],[Acct]], config_BS[Acct], config_BS[Lv0],,0)</f>
        <v>A</v>
      </c>
      <c r="L179" t="str">
        <f>_xlfn.XLOOKUP(Jnl[[#This Row],[Acct]], config_BS[Acct], config_BS[Lv1],,0)</f>
        <v>Assets</v>
      </c>
      <c r="M179" t="str">
        <f>_xlfn.XLOOKUP(Jnl[[#This Row],[Acct]], config_BS[Acct], config_BS[Lv2],,0)</f>
        <v>Prep-Sub</v>
      </c>
      <c r="N179" t="str">
        <f>_xlfn.XLOOKUP(Jnl[[#This Row],[TrxId]], Trx[Id], Trx[IncNode], ,0)</f>
        <v>Cost</v>
      </c>
      <c r="O179" t="str">
        <f>_xlfn.XLOOKUP(Jnl[[#This Row],[IncNode]], config_IS[Node], config_IS[Type],,0)</f>
        <v>Op</v>
      </c>
      <c r="P179" t="str">
        <f>_xlfn.XLOOKUP(Jnl[[#This Row],[BSLv2]], dict[Key], dict[Name],,0)</f>
        <v>2.预付-订阅</v>
      </c>
      <c r="Q179" t="str">
        <f>_xlfn.XLOOKUP(Jnl[[#This Row],[Acct]], dict[Key], dict[Name],,0)</f>
        <v>预付订单</v>
      </c>
      <c r="R179" t="str">
        <f>_xlfn.XLOOKUP(Jnl[[#This Row],[Vehicle]],config_vehicle[Id], config_vehicle[Name],,0)</f>
        <v>桑木</v>
      </c>
      <c r="S179" t="str">
        <f>_xlfn.XLOOKUP(Jnl[[#This Row],[Division]],config_div[Id], config_div[Name],,0)</f>
        <v>网店</v>
      </c>
      <c r="T179" t="str">
        <f>IF(Jnl[[#This Row],[TrxDate]]&lt;=stmt_BS_date_end, "In", "Out")</f>
        <v>In</v>
      </c>
      <c r="U179" t="str">
        <f>IF(Jnl[[#This Row],[TrxDate]]&lt;debug_date_start, "prior", IF(Jnl[[#This Row],[TrxDate]]&gt;debug_date_end, "post", "curr"))</f>
        <v>prior</v>
      </c>
    </row>
    <row r="180" spans="1:21">
      <c r="A180" s="11" t="s">
        <v>314</v>
      </c>
      <c r="B180" s="7">
        <f>_xlfn.XLOOKUP(Jnl[[#This Row],[TrxId]], Trx[Id], Trx[Date],,0)</f>
        <v>46053</v>
      </c>
      <c r="C180" s="7" t="str">
        <f>_xlfn.XLOOKUP(Jnl[[#This Row],[TrxId]], Trx[Id], Trx[Division],,0)</f>
        <v>GM</v>
      </c>
      <c r="D180" s="7" t="str">
        <f>_xlfn.XLOOKUP(Jnl[[#This Row],[TrxId]], Trx[Id], Trx[Action],,0)</f>
        <v>银行费</v>
      </c>
      <c r="E180" s="26" t="s">
        <v>85</v>
      </c>
      <c r="F180" s="11" t="s">
        <v>12</v>
      </c>
      <c r="G180" s="11" t="s">
        <v>90</v>
      </c>
      <c r="H180" s="72">
        <v>-107</v>
      </c>
      <c r="I180" s="5" t="b">
        <f>AND(Jnl[[#This Row],[TrxId]]&lt;&gt;"",Jnl[[#This Row],[Acct]]&lt;&gt;"",Jnl[[#This Row],[Item]]&lt;&gt;"",ISNUMBER(Jnl[[#This Row],[Bal]]))</f>
        <v>1</v>
      </c>
      <c r="J180" s="10">
        <f>IF(Jnl[[#This Row],[BSLv0]]="A",1,-1)*Jnl[[#This Row],[Bal]]</f>
        <v>-107</v>
      </c>
      <c r="K180" t="str">
        <f>_xlfn.XLOOKUP(Jnl[[#This Row],[Acct]], config_BS[Acct], config_BS[Lv0],,0)</f>
        <v>A</v>
      </c>
      <c r="L180" t="str">
        <f>_xlfn.XLOOKUP(Jnl[[#This Row],[Acct]], config_BS[Acct], config_BS[Lv1],,0)</f>
        <v>Assets</v>
      </c>
      <c r="M180" t="str">
        <f>_xlfn.XLOOKUP(Jnl[[#This Row],[Acct]], config_BS[Acct], config_BS[Lv2],,0)</f>
        <v>Cash alike</v>
      </c>
      <c r="N180" t="str">
        <f>_xlfn.XLOOKUP(Jnl[[#This Row],[TrxId]], Trx[Id], Trx[IncNode], ,0)</f>
        <v>Expense</v>
      </c>
      <c r="O180" t="str">
        <f>_xlfn.XLOOKUP(Jnl[[#This Row],[IncNode]], config_IS[Node], config_IS[Type],,0)</f>
        <v>Op</v>
      </c>
      <c r="P180" t="str">
        <f>_xlfn.XLOOKUP(Jnl[[#This Row],[BSLv2]], dict[Key], dict[Name],,0)</f>
        <v>0.现金及类似</v>
      </c>
      <c r="Q180" t="str">
        <f>_xlfn.XLOOKUP(Jnl[[#This Row],[Acct]], dict[Key], dict[Name],,0)</f>
        <v>银行</v>
      </c>
      <c r="R180" t="str">
        <f>_xlfn.XLOOKUP(Jnl[[#This Row],[Vehicle]],config_vehicle[Id], config_vehicle[Name],,0)</f>
        <v>桑木</v>
      </c>
      <c r="S180" t="str">
        <f>_xlfn.XLOOKUP(Jnl[[#This Row],[Division]],config_div[Id], config_div[Name],,0)</f>
        <v>综合管理</v>
      </c>
      <c r="T180" t="str">
        <f>IF(Jnl[[#This Row],[TrxDate]]&lt;=stmt_BS_date_end, "In", "Out")</f>
        <v>In</v>
      </c>
      <c r="U180" t="str">
        <f>IF(Jnl[[#This Row],[TrxDate]]&lt;debug_date_start, "prior", IF(Jnl[[#This Row],[TrxDate]]&gt;debug_date_end, "post", "curr"))</f>
        <v>prior</v>
      </c>
    </row>
    <row r="181" spans="1:21">
      <c r="A181" s="11" t="s">
        <v>316</v>
      </c>
      <c r="B181" s="7">
        <f>_xlfn.XLOOKUP(Jnl[[#This Row],[TrxId]], Trx[Id], Trx[Date],,0)</f>
        <v>46053</v>
      </c>
      <c r="C181" s="7" t="str">
        <f>_xlfn.XLOOKUP(Jnl[[#This Row],[TrxId]], Trx[Id], Trx[Division],,0)</f>
        <v>GM</v>
      </c>
      <c r="D181" s="7" t="str">
        <f>_xlfn.XLOOKUP(Jnl[[#This Row],[TrxId]], Trx[Id], Trx[Action],,0)</f>
        <v>薪酬-工资</v>
      </c>
      <c r="E181" s="26" t="s">
        <v>85</v>
      </c>
      <c r="F181" s="11" t="s">
        <v>188</v>
      </c>
      <c r="G181" s="11" t="s">
        <v>149</v>
      </c>
      <c r="H181" s="72">
        <v>8646.67</v>
      </c>
      <c r="I181" s="5" t="b">
        <f>AND(Jnl[[#This Row],[TrxId]]&lt;&gt;"",Jnl[[#This Row],[Acct]]&lt;&gt;"",Jnl[[#This Row],[Item]]&lt;&gt;"",ISNUMBER(Jnl[[#This Row],[Bal]]))</f>
        <v>1</v>
      </c>
      <c r="J181" s="10">
        <f>IF(Jnl[[#This Row],[BSLv0]]="A",1,-1)*Jnl[[#This Row],[Bal]]</f>
        <v>-8646.67</v>
      </c>
      <c r="K181" t="str">
        <f>_xlfn.XLOOKUP(Jnl[[#This Row],[Acct]], config_BS[Acct], config_BS[Lv0],,0)</f>
        <v>LC</v>
      </c>
      <c r="L181" t="str">
        <f>_xlfn.XLOOKUP(Jnl[[#This Row],[Acct]], config_BS[Acct], config_BS[Lv1],,0)</f>
        <v>Liability</v>
      </c>
      <c r="M181" t="str">
        <f>_xlfn.XLOOKUP(Jnl[[#This Row],[Acct]], config_BS[Acct], config_BS[Lv2],,0)</f>
        <v>Rec-Pay</v>
      </c>
      <c r="N181" t="str">
        <f>_xlfn.XLOOKUP(Jnl[[#This Row],[TrxId]], Trx[Id], Trx[IncNode], ,0)</f>
        <v>Expense</v>
      </c>
      <c r="O181" t="str">
        <f>_xlfn.XLOOKUP(Jnl[[#This Row],[IncNode]], config_IS[Node], config_IS[Type],,0)</f>
        <v>Op</v>
      </c>
      <c r="P181" t="str">
        <f>_xlfn.XLOOKUP(Jnl[[#This Row],[BSLv2]], dict[Key], dict[Name],,0)</f>
        <v>1.应收-应付</v>
      </c>
      <c r="Q181" t="str">
        <f>_xlfn.XLOOKUP(Jnl[[#This Row],[Acct]], dict[Key], dict[Name],,0)</f>
        <v>应付-薪资</v>
      </c>
      <c r="R181" t="str">
        <f>_xlfn.XLOOKUP(Jnl[[#This Row],[Vehicle]],config_vehicle[Id], config_vehicle[Name],,0)</f>
        <v>桑木</v>
      </c>
      <c r="S181" t="str">
        <f>_xlfn.XLOOKUP(Jnl[[#This Row],[Division]],config_div[Id], config_div[Name],,0)</f>
        <v>综合管理</v>
      </c>
      <c r="T181" t="str">
        <f>IF(Jnl[[#This Row],[TrxDate]]&lt;=stmt_BS_date_end, "In", "Out")</f>
        <v>In</v>
      </c>
      <c r="U181" t="str">
        <f>IF(Jnl[[#This Row],[TrxDate]]&lt;debug_date_start, "prior", IF(Jnl[[#This Row],[TrxDate]]&gt;debug_date_end, "post", "curr"))</f>
        <v>prior</v>
      </c>
    </row>
    <row r="182" spans="1:21">
      <c r="A182" s="11" t="s">
        <v>1325</v>
      </c>
      <c r="B182" s="7">
        <f>_xlfn.XLOOKUP(Jnl[[#This Row],[TrxId]], Trx[Id], Trx[Date],,0)</f>
        <v>46053</v>
      </c>
      <c r="C182" s="7" t="str">
        <f>_xlfn.XLOOKUP(Jnl[[#This Row],[TrxId]], Trx[Id], Trx[Division],,0)</f>
        <v>Online</v>
      </c>
      <c r="D182" s="7" t="str">
        <f>_xlfn.XLOOKUP(Jnl[[#This Row],[TrxId]], Trx[Id], Trx[Action],,0)</f>
        <v>薪酬-工资</v>
      </c>
      <c r="E182" s="26" t="s">
        <v>85</v>
      </c>
      <c r="F182" s="11" t="s">
        <v>188</v>
      </c>
      <c r="G182" s="11" t="s">
        <v>149</v>
      </c>
      <c r="H182" s="72">
        <v>8106.66</v>
      </c>
      <c r="I182" s="5" t="b">
        <f>AND(Jnl[[#This Row],[TrxId]]&lt;&gt;"",Jnl[[#This Row],[Acct]]&lt;&gt;"",Jnl[[#This Row],[Item]]&lt;&gt;"",ISNUMBER(Jnl[[#This Row],[Bal]]))</f>
        <v>1</v>
      </c>
      <c r="J182" s="10">
        <f>IF(Jnl[[#This Row],[BSLv0]]="A",1,-1)*Jnl[[#This Row],[Bal]]</f>
        <v>-8106.66</v>
      </c>
      <c r="K182" t="str">
        <f>_xlfn.XLOOKUP(Jnl[[#This Row],[Acct]], config_BS[Acct], config_BS[Lv0],,0)</f>
        <v>LC</v>
      </c>
      <c r="L182" t="str">
        <f>_xlfn.XLOOKUP(Jnl[[#This Row],[Acct]], config_BS[Acct], config_BS[Lv1],,0)</f>
        <v>Liability</v>
      </c>
      <c r="M182" t="str">
        <f>_xlfn.XLOOKUP(Jnl[[#This Row],[Acct]], config_BS[Acct], config_BS[Lv2],,0)</f>
        <v>Rec-Pay</v>
      </c>
      <c r="N182" t="str">
        <f>_xlfn.XLOOKUP(Jnl[[#This Row],[TrxId]], Trx[Id], Trx[IncNode], ,0)</f>
        <v>Expense</v>
      </c>
      <c r="O182" t="str">
        <f>_xlfn.XLOOKUP(Jnl[[#This Row],[IncNode]], config_IS[Node], config_IS[Type],,0)</f>
        <v>Op</v>
      </c>
      <c r="P182" t="str">
        <f>_xlfn.XLOOKUP(Jnl[[#This Row],[BSLv2]], dict[Key], dict[Name],,0)</f>
        <v>1.应收-应付</v>
      </c>
      <c r="Q182" t="str">
        <f>_xlfn.XLOOKUP(Jnl[[#This Row],[Acct]], dict[Key], dict[Name],,0)</f>
        <v>应付-薪资</v>
      </c>
      <c r="R182" t="str">
        <f>_xlfn.XLOOKUP(Jnl[[#This Row],[Vehicle]],config_vehicle[Id], config_vehicle[Name],,0)</f>
        <v>桑木</v>
      </c>
      <c r="S182" t="str">
        <f>_xlfn.XLOOKUP(Jnl[[#This Row],[Division]],config_div[Id], config_div[Name],,0)</f>
        <v>网店</v>
      </c>
      <c r="T182" t="str">
        <f>IF(Jnl[[#This Row],[TrxDate]]&lt;=stmt_BS_date_end, "In", "Out")</f>
        <v>In</v>
      </c>
      <c r="U182" t="str">
        <f>IF(Jnl[[#This Row],[TrxDate]]&lt;debug_date_start, "prior", IF(Jnl[[#This Row],[TrxDate]]&gt;debug_date_end, "post", "curr"))</f>
        <v>prior</v>
      </c>
    </row>
    <row r="183" spans="1:21">
      <c r="A183" s="11" t="s">
        <v>317</v>
      </c>
      <c r="B183" s="7">
        <f>_xlfn.XLOOKUP(Jnl[[#This Row],[TrxId]], Trx[Id], Trx[Date],,0)</f>
        <v>46053</v>
      </c>
      <c r="C183" s="7" t="str">
        <f>_xlfn.XLOOKUP(Jnl[[#This Row],[TrxId]], Trx[Id], Trx[Division],,0)</f>
        <v>GM</v>
      </c>
      <c r="D183" s="7" t="str">
        <f>_xlfn.XLOOKUP(Jnl[[#This Row],[TrxId]], Trx[Id], Trx[Action],,0)</f>
        <v>年终奖</v>
      </c>
      <c r="E183" s="26" t="s">
        <v>85</v>
      </c>
      <c r="F183" s="11" t="s">
        <v>188</v>
      </c>
      <c r="G183" s="11" t="s">
        <v>318</v>
      </c>
      <c r="H183" s="72">
        <v>13975</v>
      </c>
      <c r="I183" s="5" t="b">
        <f>AND(Jnl[[#This Row],[TrxId]]&lt;&gt;"",Jnl[[#This Row],[Acct]]&lt;&gt;"",Jnl[[#This Row],[Item]]&lt;&gt;"",ISNUMBER(Jnl[[#This Row],[Bal]]))</f>
        <v>1</v>
      </c>
      <c r="J183" s="10">
        <f>IF(Jnl[[#This Row],[BSLv0]]="A",1,-1)*Jnl[[#This Row],[Bal]]</f>
        <v>-13975</v>
      </c>
      <c r="K183" t="str">
        <f>_xlfn.XLOOKUP(Jnl[[#This Row],[Acct]], config_BS[Acct], config_BS[Lv0],,0)</f>
        <v>LC</v>
      </c>
      <c r="L183" t="str">
        <f>_xlfn.XLOOKUP(Jnl[[#This Row],[Acct]], config_BS[Acct], config_BS[Lv1],,0)</f>
        <v>Liability</v>
      </c>
      <c r="M183" t="str">
        <f>_xlfn.XLOOKUP(Jnl[[#This Row],[Acct]], config_BS[Acct], config_BS[Lv2],,0)</f>
        <v>Rec-Pay</v>
      </c>
      <c r="N183" t="str">
        <f>_xlfn.XLOOKUP(Jnl[[#This Row],[TrxId]], Trx[Id], Trx[IncNode], ,0)</f>
        <v>Discretion</v>
      </c>
      <c r="O183" t="str">
        <f>_xlfn.XLOOKUP(Jnl[[#This Row],[IncNode]], config_IS[Node], config_IS[Type],,0)</f>
        <v>Non-Op</v>
      </c>
      <c r="P183" t="str">
        <f>_xlfn.XLOOKUP(Jnl[[#This Row],[BSLv2]], dict[Key], dict[Name],,0)</f>
        <v>1.应收-应付</v>
      </c>
      <c r="Q183" t="str">
        <f>_xlfn.XLOOKUP(Jnl[[#This Row],[Acct]], dict[Key], dict[Name],,0)</f>
        <v>应付-薪资</v>
      </c>
      <c r="R183" t="str">
        <f>_xlfn.XLOOKUP(Jnl[[#This Row],[Vehicle]],config_vehicle[Id], config_vehicle[Name],,0)</f>
        <v>桑木</v>
      </c>
      <c r="S183" t="str">
        <f>_xlfn.XLOOKUP(Jnl[[#This Row],[Division]],config_div[Id], config_div[Name],,0)</f>
        <v>综合管理</v>
      </c>
      <c r="T183" t="str">
        <f>IF(Jnl[[#This Row],[TrxDate]]&lt;=stmt_BS_date_end, "In", "Out")</f>
        <v>In</v>
      </c>
      <c r="U183" t="str">
        <f>IF(Jnl[[#This Row],[TrxDate]]&lt;debug_date_start, "prior", IF(Jnl[[#This Row],[TrxDate]]&gt;debug_date_end, "post", "curr"))</f>
        <v>prior</v>
      </c>
    </row>
    <row r="184" spans="1:21">
      <c r="A184" s="11" t="s">
        <v>319</v>
      </c>
      <c r="B184" s="7">
        <f>_xlfn.XLOOKUP(Jnl[[#This Row],[TrxId]], Trx[Id], Trx[Date],,0)</f>
        <v>46053</v>
      </c>
      <c r="C184" s="7" t="str">
        <f>_xlfn.XLOOKUP(Jnl[[#This Row],[TrxId]], Trx[Id], Trx[Division],,0)</f>
        <v>Online</v>
      </c>
      <c r="D184" s="7" t="str">
        <f>_xlfn.XLOOKUP(Jnl[[#This Row],[TrxId]], Trx[Id], Trx[Action],,0)</f>
        <v>设计</v>
      </c>
      <c r="E184" s="26" t="s">
        <v>84</v>
      </c>
      <c r="F184" s="11" t="s">
        <v>12</v>
      </c>
      <c r="G184" s="11" t="s">
        <v>390</v>
      </c>
      <c r="H184" s="72">
        <v>-2970</v>
      </c>
      <c r="I184" s="5" t="b">
        <f>AND(Jnl[[#This Row],[TrxId]]&lt;&gt;"",Jnl[[#This Row],[Acct]]&lt;&gt;"",Jnl[[#This Row],[Item]]&lt;&gt;"",ISNUMBER(Jnl[[#This Row],[Bal]]))</f>
        <v>1</v>
      </c>
      <c r="J184" s="10">
        <f>IF(Jnl[[#This Row],[BSLv0]]="A",1,-1)*Jnl[[#This Row],[Bal]]</f>
        <v>-2970</v>
      </c>
      <c r="K184" t="str">
        <f>_xlfn.XLOOKUP(Jnl[[#This Row],[Acct]], config_BS[Acct], config_BS[Lv0],,0)</f>
        <v>A</v>
      </c>
      <c r="L184" t="str">
        <f>_xlfn.XLOOKUP(Jnl[[#This Row],[Acct]], config_BS[Acct], config_BS[Lv1],,0)</f>
        <v>Assets</v>
      </c>
      <c r="M184" t="str">
        <f>_xlfn.XLOOKUP(Jnl[[#This Row],[Acct]], config_BS[Acct], config_BS[Lv2],,0)</f>
        <v>Cash alike</v>
      </c>
      <c r="N184" t="str">
        <f>_xlfn.XLOOKUP(Jnl[[#This Row],[TrxId]], Trx[Id], Trx[IncNode], ,0)</f>
        <v>Expense</v>
      </c>
      <c r="O184" t="str">
        <f>_xlfn.XLOOKUP(Jnl[[#This Row],[IncNode]], config_IS[Node], config_IS[Type],,0)</f>
        <v>Op</v>
      </c>
      <c r="P184" t="str">
        <f>_xlfn.XLOOKUP(Jnl[[#This Row],[BSLv2]], dict[Key], dict[Name],,0)</f>
        <v>0.现金及类似</v>
      </c>
      <c r="Q184" t="str">
        <f>_xlfn.XLOOKUP(Jnl[[#This Row],[Acct]], dict[Key], dict[Name],,0)</f>
        <v>银行</v>
      </c>
      <c r="R184" t="str">
        <f>_xlfn.XLOOKUP(Jnl[[#This Row],[Vehicle]],config_vehicle[Id], config_vehicle[Name],,0)</f>
        <v>榆乐</v>
      </c>
      <c r="S184" t="str">
        <f>_xlfn.XLOOKUP(Jnl[[#This Row],[Division]],config_div[Id], config_div[Name],,0)</f>
        <v>网店</v>
      </c>
      <c r="T184" t="str">
        <f>IF(Jnl[[#This Row],[TrxDate]]&lt;=stmt_BS_date_end, "In", "Out")</f>
        <v>In</v>
      </c>
      <c r="U184" t="str">
        <f>IF(Jnl[[#This Row],[TrxDate]]&lt;debug_date_start, "prior", IF(Jnl[[#This Row],[TrxDate]]&gt;debug_date_end, "post", "curr"))</f>
        <v>prior</v>
      </c>
    </row>
    <row r="185" spans="1:21">
      <c r="A185" s="11" t="s">
        <v>327</v>
      </c>
      <c r="B185" s="7">
        <f>_xlfn.XLOOKUP(Jnl[[#This Row],[TrxId]], Trx[Id], Trx[Date],,0)</f>
        <v>46053</v>
      </c>
      <c r="C185" s="7" t="str">
        <f>_xlfn.XLOOKUP(Jnl[[#This Row],[TrxId]], Trx[Id], Trx[Division],,0)</f>
        <v>Online</v>
      </c>
      <c r="D185" s="7" t="str">
        <f>_xlfn.XLOOKUP(Jnl[[#This Row],[TrxId]], Trx[Id], Trx[Action],,0)</f>
        <v>设计</v>
      </c>
      <c r="E185" s="26" t="s">
        <v>84</v>
      </c>
      <c r="F185" s="11" t="s">
        <v>12</v>
      </c>
      <c r="G185" s="11" t="s">
        <v>390</v>
      </c>
      <c r="H185" s="72">
        <v>-1230</v>
      </c>
      <c r="I185" s="5" t="b">
        <f>AND(Jnl[[#This Row],[TrxId]]&lt;&gt;"",Jnl[[#This Row],[Acct]]&lt;&gt;"",Jnl[[#This Row],[Item]]&lt;&gt;"",ISNUMBER(Jnl[[#This Row],[Bal]]))</f>
        <v>1</v>
      </c>
      <c r="J185" s="10">
        <f>IF(Jnl[[#This Row],[BSLv0]]="A",1,-1)*Jnl[[#This Row],[Bal]]</f>
        <v>-1230</v>
      </c>
      <c r="K185" t="str">
        <f>_xlfn.XLOOKUP(Jnl[[#This Row],[Acct]], config_BS[Acct], config_BS[Lv0],,0)</f>
        <v>A</v>
      </c>
      <c r="L185" t="str">
        <f>_xlfn.XLOOKUP(Jnl[[#This Row],[Acct]], config_BS[Acct], config_BS[Lv1],,0)</f>
        <v>Assets</v>
      </c>
      <c r="M185" t="str">
        <f>_xlfn.XLOOKUP(Jnl[[#This Row],[Acct]], config_BS[Acct], config_BS[Lv2],,0)</f>
        <v>Cash alike</v>
      </c>
      <c r="N185" t="str">
        <f>_xlfn.XLOOKUP(Jnl[[#This Row],[TrxId]], Trx[Id], Trx[IncNode], ,0)</f>
        <v>Expense</v>
      </c>
      <c r="O185" t="str">
        <f>_xlfn.XLOOKUP(Jnl[[#This Row],[IncNode]], config_IS[Node], config_IS[Type],,0)</f>
        <v>Op</v>
      </c>
      <c r="P185" t="str">
        <f>_xlfn.XLOOKUP(Jnl[[#This Row],[BSLv2]], dict[Key], dict[Name],,0)</f>
        <v>0.现金及类似</v>
      </c>
      <c r="Q185" t="str">
        <f>_xlfn.XLOOKUP(Jnl[[#This Row],[Acct]], dict[Key], dict[Name],,0)</f>
        <v>银行</v>
      </c>
      <c r="R185" t="str">
        <f>_xlfn.XLOOKUP(Jnl[[#This Row],[Vehicle]],config_vehicle[Id], config_vehicle[Name],,0)</f>
        <v>榆乐</v>
      </c>
      <c r="S185" t="str">
        <f>_xlfn.XLOOKUP(Jnl[[#This Row],[Division]],config_div[Id], config_div[Name],,0)</f>
        <v>网店</v>
      </c>
      <c r="T185" t="str">
        <f>IF(Jnl[[#This Row],[TrxDate]]&lt;=stmt_BS_date_end, "In", "Out")</f>
        <v>In</v>
      </c>
      <c r="U185" t="str">
        <f>IF(Jnl[[#This Row],[TrxDate]]&lt;debug_date_start, "prior", IF(Jnl[[#This Row],[TrxDate]]&gt;debug_date_end, "post", "curr"))</f>
        <v>prior</v>
      </c>
    </row>
    <row r="186" spans="1:21">
      <c r="A186" s="11" t="s">
        <v>329</v>
      </c>
      <c r="B186" s="7">
        <f>_xlfn.XLOOKUP(Jnl[[#This Row],[TrxId]], Trx[Id], Trx[Date],,0)</f>
        <v>46053</v>
      </c>
      <c r="C186" s="7" t="str">
        <f>_xlfn.XLOOKUP(Jnl[[#This Row],[TrxId]], Trx[Id], Trx[Division],,0)</f>
        <v>GM</v>
      </c>
      <c r="D186" s="7" t="str">
        <f>_xlfn.XLOOKUP(Jnl[[#This Row],[TrxId]], Trx[Id], Trx[Action],,0)</f>
        <v>招待</v>
      </c>
      <c r="E186" s="26" t="s">
        <v>84</v>
      </c>
      <c r="F186" s="11" t="s">
        <v>12</v>
      </c>
      <c r="G186" s="11" t="s">
        <v>390</v>
      </c>
      <c r="H186" s="72">
        <v>-458</v>
      </c>
      <c r="I186" s="5" t="b">
        <f>AND(Jnl[[#This Row],[TrxId]]&lt;&gt;"",Jnl[[#This Row],[Acct]]&lt;&gt;"",Jnl[[#This Row],[Item]]&lt;&gt;"",ISNUMBER(Jnl[[#This Row],[Bal]]))</f>
        <v>1</v>
      </c>
      <c r="J186" s="10">
        <f>IF(Jnl[[#This Row],[BSLv0]]="A",1,-1)*Jnl[[#This Row],[Bal]]</f>
        <v>-458</v>
      </c>
      <c r="K186" t="str">
        <f>_xlfn.XLOOKUP(Jnl[[#This Row],[Acct]], config_BS[Acct], config_BS[Lv0],,0)</f>
        <v>A</v>
      </c>
      <c r="L186" t="str">
        <f>_xlfn.XLOOKUP(Jnl[[#This Row],[Acct]], config_BS[Acct], config_BS[Lv1],,0)</f>
        <v>Assets</v>
      </c>
      <c r="M186" t="str">
        <f>_xlfn.XLOOKUP(Jnl[[#This Row],[Acct]], config_BS[Acct], config_BS[Lv2],,0)</f>
        <v>Cash alike</v>
      </c>
      <c r="N186" t="str">
        <f>_xlfn.XLOOKUP(Jnl[[#This Row],[TrxId]], Trx[Id], Trx[IncNode], ,0)</f>
        <v>Expense</v>
      </c>
      <c r="O186" t="str">
        <f>_xlfn.XLOOKUP(Jnl[[#This Row],[IncNode]], config_IS[Node], config_IS[Type],,0)</f>
        <v>Op</v>
      </c>
      <c r="P186" t="str">
        <f>_xlfn.XLOOKUP(Jnl[[#This Row],[BSLv2]], dict[Key], dict[Name],,0)</f>
        <v>0.现金及类似</v>
      </c>
      <c r="Q186" t="str">
        <f>_xlfn.XLOOKUP(Jnl[[#This Row],[Acct]], dict[Key], dict[Name],,0)</f>
        <v>银行</v>
      </c>
      <c r="R186" t="str">
        <f>_xlfn.XLOOKUP(Jnl[[#This Row],[Vehicle]],config_vehicle[Id], config_vehicle[Name],,0)</f>
        <v>榆乐</v>
      </c>
      <c r="S186" t="str">
        <f>_xlfn.XLOOKUP(Jnl[[#This Row],[Division]],config_div[Id], config_div[Name],,0)</f>
        <v>综合管理</v>
      </c>
      <c r="T186" t="str">
        <f>IF(Jnl[[#This Row],[TrxDate]]&lt;=stmt_BS_date_end, "In", "Out")</f>
        <v>In</v>
      </c>
      <c r="U186" t="str">
        <f>IF(Jnl[[#This Row],[TrxDate]]&lt;debug_date_start, "prior", IF(Jnl[[#This Row],[TrxDate]]&gt;debug_date_end, "post", "curr"))</f>
        <v>prior</v>
      </c>
    </row>
    <row r="187" spans="1:21">
      <c r="A187" s="11" t="s">
        <v>331</v>
      </c>
      <c r="B187" s="7">
        <f>_xlfn.XLOOKUP(Jnl[[#This Row],[TrxId]], Trx[Id], Trx[Date],,0)</f>
        <v>46053</v>
      </c>
      <c r="C187" s="7" t="str">
        <f>_xlfn.XLOOKUP(Jnl[[#This Row],[TrxId]], Trx[Id], Trx[Division],,0)</f>
        <v>GM</v>
      </c>
      <c r="D187" s="7" t="str">
        <f>_xlfn.XLOOKUP(Jnl[[#This Row],[TrxId]], Trx[Id], Trx[Action],,0)</f>
        <v>招待</v>
      </c>
      <c r="E187" s="26" t="s">
        <v>84</v>
      </c>
      <c r="F187" s="11" t="s">
        <v>12</v>
      </c>
      <c r="G187" s="11" t="s">
        <v>390</v>
      </c>
      <c r="H187" s="72">
        <v>-355</v>
      </c>
      <c r="I187" s="5" t="b">
        <f>AND(Jnl[[#This Row],[TrxId]]&lt;&gt;"",Jnl[[#This Row],[Acct]]&lt;&gt;"",Jnl[[#This Row],[Item]]&lt;&gt;"",ISNUMBER(Jnl[[#This Row],[Bal]]))</f>
        <v>1</v>
      </c>
      <c r="J187" s="10">
        <f>IF(Jnl[[#This Row],[BSLv0]]="A",1,-1)*Jnl[[#This Row],[Bal]]</f>
        <v>-355</v>
      </c>
      <c r="K187" t="str">
        <f>_xlfn.XLOOKUP(Jnl[[#This Row],[Acct]], config_BS[Acct], config_BS[Lv0],,0)</f>
        <v>A</v>
      </c>
      <c r="L187" t="str">
        <f>_xlfn.XLOOKUP(Jnl[[#This Row],[Acct]], config_BS[Acct], config_BS[Lv1],,0)</f>
        <v>Assets</v>
      </c>
      <c r="M187" t="str">
        <f>_xlfn.XLOOKUP(Jnl[[#This Row],[Acct]], config_BS[Acct], config_BS[Lv2],,0)</f>
        <v>Cash alike</v>
      </c>
      <c r="N187" t="str">
        <f>_xlfn.XLOOKUP(Jnl[[#This Row],[TrxId]], Trx[Id], Trx[IncNode], ,0)</f>
        <v>Expense</v>
      </c>
      <c r="O187" t="str">
        <f>_xlfn.XLOOKUP(Jnl[[#This Row],[IncNode]], config_IS[Node], config_IS[Type],,0)</f>
        <v>Op</v>
      </c>
      <c r="P187" t="str">
        <f>_xlfn.XLOOKUP(Jnl[[#This Row],[BSLv2]], dict[Key], dict[Name],,0)</f>
        <v>0.现金及类似</v>
      </c>
      <c r="Q187" t="str">
        <f>_xlfn.XLOOKUP(Jnl[[#This Row],[Acct]], dict[Key], dict[Name],,0)</f>
        <v>银行</v>
      </c>
      <c r="R187" t="str">
        <f>_xlfn.XLOOKUP(Jnl[[#This Row],[Vehicle]],config_vehicle[Id], config_vehicle[Name],,0)</f>
        <v>榆乐</v>
      </c>
      <c r="S187" t="str">
        <f>_xlfn.XLOOKUP(Jnl[[#This Row],[Division]],config_div[Id], config_div[Name],,0)</f>
        <v>综合管理</v>
      </c>
      <c r="T187" t="str">
        <f>IF(Jnl[[#This Row],[TrxDate]]&lt;=stmt_BS_date_end, "In", "Out")</f>
        <v>In</v>
      </c>
      <c r="U187" t="str">
        <f>IF(Jnl[[#This Row],[TrxDate]]&lt;debug_date_start, "prior", IF(Jnl[[#This Row],[TrxDate]]&gt;debug_date_end, "post", "curr"))</f>
        <v>prior</v>
      </c>
    </row>
    <row r="188" spans="1:21">
      <c r="A188" s="11" t="s">
        <v>333</v>
      </c>
      <c r="B188" s="7">
        <f>_xlfn.XLOOKUP(Jnl[[#This Row],[TrxId]], Trx[Id], Trx[Date],,0)</f>
        <v>46053</v>
      </c>
      <c r="C188" s="7" t="str">
        <f>_xlfn.XLOOKUP(Jnl[[#This Row],[TrxId]], Trx[Id], Trx[Division],,0)</f>
        <v>Online</v>
      </c>
      <c r="D188" s="7" t="str">
        <f>_xlfn.XLOOKUP(Jnl[[#This Row],[TrxId]], Trx[Id], Trx[Action],,0)</f>
        <v>设计</v>
      </c>
      <c r="E188" s="26" t="s">
        <v>84</v>
      </c>
      <c r="F188" s="11" t="s">
        <v>12</v>
      </c>
      <c r="G188" s="11" t="s">
        <v>390</v>
      </c>
      <c r="H188" s="72">
        <v>-990</v>
      </c>
      <c r="I188" s="5" t="b">
        <f>AND(Jnl[[#This Row],[TrxId]]&lt;&gt;"",Jnl[[#This Row],[Acct]]&lt;&gt;"",Jnl[[#This Row],[Item]]&lt;&gt;"",ISNUMBER(Jnl[[#This Row],[Bal]]))</f>
        <v>1</v>
      </c>
      <c r="J188" s="10">
        <f>IF(Jnl[[#This Row],[BSLv0]]="A",1,-1)*Jnl[[#This Row],[Bal]]</f>
        <v>-990</v>
      </c>
      <c r="K188" t="str">
        <f>_xlfn.XLOOKUP(Jnl[[#This Row],[Acct]], config_BS[Acct], config_BS[Lv0],,0)</f>
        <v>A</v>
      </c>
      <c r="L188" t="str">
        <f>_xlfn.XLOOKUP(Jnl[[#This Row],[Acct]], config_BS[Acct], config_BS[Lv1],,0)</f>
        <v>Assets</v>
      </c>
      <c r="M188" t="str">
        <f>_xlfn.XLOOKUP(Jnl[[#This Row],[Acct]], config_BS[Acct], config_BS[Lv2],,0)</f>
        <v>Cash alike</v>
      </c>
      <c r="N188" t="str">
        <f>_xlfn.XLOOKUP(Jnl[[#This Row],[TrxId]], Trx[Id], Trx[IncNode], ,0)</f>
        <v>Expense</v>
      </c>
      <c r="O188" t="str">
        <f>_xlfn.XLOOKUP(Jnl[[#This Row],[IncNode]], config_IS[Node], config_IS[Type],,0)</f>
        <v>Op</v>
      </c>
      <c r="P188" t="str">
        <f>_xlfn.XLOOKUP(Jnl[[#This Row],[BSLv2]], dict[Key], dict[Name],,0)</f>
        <v>0.现金及类似</v>
      </c>
      <c r="Q188" t="str">
        <f>_xlfn.XLOOKUP(Jnl[[#This Row],[Acct]], dict[Key], dict[Name],,0)</f>
        <v>银行</v>
      </c>
      <c r="R188" t="str">
        <f>_xlfn.XLOOKUP(Jnl[[#This Row],[Vehicle]],config_vehicle[Id], config_vehicle[Name],,0)</f>
        <v>榆乐</v>
      </c>
      <c r="S188" t="str">
        <f>_xlfn.XLOOKUP(Jnl[[#This Row],[Division]],config_div[Id], config_div[Name],,0)</f>
        <v>网店</v>
      </c>
      <c r="T188" t="str">
        <f>IF(Jnl[[#This Row],[TrxDate]]&lt;=stmt_BS_date_end, "In", "Out")</f>
        <v>In</v>
      </c>
      <c r="U188" t="str">
        <f>IF(Jnl[[#This Row],[TrxDate]]&lt;debug_date_start, "prior", IF(Jnl[[#This Row],[TrxDate]]&gt;debug_date_end, "post", "curr"))</f>
        <v>prior</v>
      </c>
    </row>
    <row r="189" spans="1:21">
      <c r="A189" s="11" t="s">
        <v>333</v>
      </c>
      <c r="B189" s="7">
        <f>_xlfn.XLOOKUP(Jnl[[#This Row],[TrxId]], Trx[Id], Trx[Date],,0)</f>
        <v>46053</v>
      </c>
      <c r="C189" s="7" t="str">
        <f>_xlfn.XLOOKUP(Jnl[[#This Row],[TrxId]], Trx[Id], Trx[Division],,0)</f>
        <v>Online</v>
      </c>
      <c r="D189" s="7" t="str">
        <f>_xlfn.XLOOKUP(Jnl[[#This Row],[TrxId]], Trx[Id], Trx[Action],,0)</f>
        <v>设计</v>
      </c>
      <c r="E189" s="26" t="s">
        <v>80</v>
      </c>
      <c r="F189" s="11" t="s">
        <v>116</v>
      </c>
      <c r="G189" s="11" t="s">
        <v>151</v>
      </c>
      <c r="H189" s="72">
        <v>990</v>
      </c>
      <c r="I189" s="5" t="b">
        <f>AND(Jnl[[#This Row],[TrxId]]&lt;&gt;"",Jnl[[#This Row],[Acct]]&lt;&gt;"",Jnl[[#This Row],[Item]]&lt;&gt;"",ISNUMBER(Jnl[[#This Row],[Bal]]))</f>
        <v>1</v>
      </c>
      <c r="J189" s="10">
        <f>IF(Jnl[[#This Row],[BSLv0]]="A",1,-1)*Jnl[[#This Row],[Bal]]</f>
        <v>990</v>
      </c>
      <c r="K189" t="str">
        <f>_xlfn.XLOOKUP(Jnl[[#This Row],[Acct]], config_BS[Acct], config_BS[Lv0],,0)</f>
        <v>A</v>
      </c>
      <c r="L189" t="str">
        <f>_xlfn.XLOOKUP(Jnl[[#This Row],[Acct]], config_BS[Acct], config_BS[Lv1],,0)</f>
        <v>Assets</v>
      </c>
      <c r="M189" t="str">
        <f>_xlfn.XLOOKUP(Jnl[[#This Row],[Acct]], config_BS[Acct], config_BS[Lv2],,0)</f>
        <v>Invtr</v>
      </c>
      <c r="N189" t="str">
        <f>_xlfn.XLOOKUP(Jnl[[#This Row],[TrxId]], Trx[Id], Trx[IncNode], ,0)</f>
        <v>Expense</v>
      </c>
      <c r="O189" t="str">
        <f>_xlfn.XLOOKUP(Jnl[[#This Row],[IncNode]], config_IS[Node], config_IS[Type],,0)</f>
        <v>Op</v>
      </c>
      <c r="P189" t="str">
        <f>_xlfn.XLOOKUP(Jnl[[#This Row],[BSLv2]], dict[Key], dict[Name],,0)</f>
        <v>3.库存占款</v>
      </c>
      <c r="Q189" t="str">
        <f>_xlfn.XLOOKUP(Jnl[[#This Row],[Acct]], dict[Key], dict[Name],,0)</f>
        <v>当期存货</v>
      </c>
      <c r="R189" t="str">
        <f>_xlfn.XLOOKUP(Jnl[[#This Row],[Vehicle]],config_vehicle[Id], config_vehicle[Name],,0)</f>
        <v>远家花园</v>
      </c>
      <c r="S189" t="str">
        <f>_xlfn.XLOOKUP(Jnl[[#This Row],[Division]],config_div[Id], config_div[Name],,0)</f>
        <v>网店</v>
      </c>
      <c r="T189" t="str">
        <f>IF(Jnl[[#This Row],[TrxDate]]&lt;=stmt_BS_date_end, "In", "Out")</f>
        <v>In</v>
      </c>
      <c r="U189" t="str">
        <f>IF(Jnl[[#This Row],[TrxDate]]&lt;debug_date_start, "prior", IF(Jnl[[#This Row],[TrxDate]]&gt;debug_date_end, "post", "curr"))</f>
        <v>prior</v>
      </c>
    </row>
    <row r="190" spans="1:21">
      <c r="A190" s="11" t="s">
        <v>334</v>
      </c>
      <c r="B190" s="7">
        <f>_xlfn.XLOOKUP(Jnl[[#This Row],[TrxId]], Trx[Id], Trx[Date],,0)</f>
        <v>46053</v>
      </c>
      <c r="C190" s="7" t="str">
        <f>_xlfn.XLOOKUP(Jnl[[#This Row],[TrxId]], Trx[Id], Trx[Division],,0)</f>
        <v>GM</v>
      </c>
      <c r="D190" s="7" t="str">
        <f>_xlfn.XLOOKUP(Jnl[[#This Row],[TrxId]], Trx[Id], Trx[Action],,0)</f>
        <v>福利</v>
      </c>
      <c r="E190" s="26" t="s">
        <v>84</v>
      </c>
      <c r="F190" s="11" t="s">
        <v>12</v>
      </c>
      <c r="G190" s="11" t="s">
        <v>390</v>
      </c>
      <c r="H190" s="72">
        <v>-600</v>
      </c>
      <c r="I190" s="5" t="b">
        <f>AND(Jnl[[#This Row],[TrxId]]&lt;&gt;"",Jnl[[#This Row],[Acct]]&lt;&gt;"",Jnl[[#This Row],[Item]]&lt;&gt;"",ISNUMBER(Jnl[[#This Row],[Bal]]))</f>
        <v>1</v>
      </c>
      <c r="J190" s="10">
        <f>IF(Jnl[[#This Row],[BSLv0]]="A",1,-1)*Jnl[[#This Row],[Bal]]</f>
        <v>-600</v>
      </c>
      <c r="K190" t="str">
        <f>_xlfn.XLOOKUP(Jnl[[#This Row],[Acct]], config_BS[Acct], config_BS[Lv0],,0)</f>
        <v>A</v>
      </c>
      <c r="L190" t="str">
        <f>_xlfn.XLOOKUP(Jnl[[#This Row],[Acct]], config_BS[Acct], config_BS[Lv1],,0)</f>
        <v>Assets</v>
      </c>
      <c r="M190" t="str">
        <f>_xlfn.XLOOKUP(Jnl[[#This Row],[Acct]], config_BS[Acct], config_BS[Lv2],,0)</f>
        <v>Cash alike</v>
      </c>
      <c r="N190" t="str">
        <f>_xlfn.XLOOKUP(Jnl[[#This Row],[TrxId]], Trx[Id], Trx[IncNode], ,0)</f>
        <v>Expense</v>
      </c>
      <c r="O190" t="str">
        <f>_xlfn.XLOOKUP(Jnl[[#This Row],[IncNode]], config_IS[Node], config_IS[Type],,0)</f>
        <v>Op</v>
      </c>
      <c r="P190" t="str">
        <f>_xlfn.XLOOKUP(Jnl[[#This Row],[BSLv2]], dict[Key], dict[Name],,0)</f>
        <v>0.现金及类似</v>
      </c>
      <c r="Q190" t="str">
        <f>_xlfn.XLOOKUP(Jnl[[#This Row],[Acct]], dict[Key], dict[Name],,0)</f>
        <v>银行</v>
      </c>
      <c r="R190" t="str">
        <f>_xlfn.XLOOKUP(Jnl[[#This Row],[Vehicle]],config_vehicle[Id], config_vehicle[Name],,0)</f>
        <v>榆乐</v>
      </c>
      <c r="S190" t="str">
        <f>_xlfn.XLOOKUP(Jnl[[#This Row],[Division]],config_div[Id], config_div[Name],,0)</f>
        <v>综合管理</v>
      </c>
      <c r="T190" t="str">
        <f>IF(Jnl[[#This Row],[TrxDate]]&lt;=stmt_BS_date_end, "In", "Out")</f>
        <v>In</v>
      </c>
      <c r="U190" t="str">
        <f>IF(Jnl[[#This Row],[TrxDate]]&lt;debug_date_start, "prior", IF(Jnl[[#This Row],[TrxDate]]&gt;debug_date_end, "post", "curr"))</f>
        <v>prior</v>
      </c>
    </row>
    <row r="191" spans="1:21">
      <c r="A191" s="11" t="s">
        <v>336</v>
      </c>
      <c r="B191" s="7">
        <f>_xlfn.XLOOKUP(Jnl[[#This Row],[TrxId]], Trx[Id], Trx[Date],,0)</f>
        <v>46053</v>
      </c>
      <c r="C191" s="7" t="str">
        <f>_xlfn.XLOOKUP(Jnl[[#This Row],[TrxId]], Trx[Id], Trx[Division],,0)</f>
        <v>GM</v>
      </c>
      <c r="D191" s="7" t="str">
        <f>_xlfn.XLOOKUP(Jnl[[#This Row],[TrxId]], Trx[Id], Trx[Action],,0)</f>
        <v>薪酬-社保</v>
      </c>
      <c r="E191" s="26" t="s">
        <v>84</v>
      </c>
      <c r="F191" s="11" t="s">
        <v>12</v>
      </c>
      <c r="G191" s="11" t="s">
        <v>390</v>
      </c>
      <c r="H191" s="72">
        <v>-13121.63</v>
      </c>
      <c r="I191" s="5" t="b">
        <f>AND(Jnl[[#This Row],[TrxId]]&lt;&gt;"",Jnl[[#This Row],[Acct]]&lt;&gt;"",Jnl[[#This Row],[Item]]&lt;&gt;"",ISNUMBER(Jnl[[#This Row],[Bal]]))</f>
        <v>1</v>
      </c>
      <c r="J191" s="10">
        <f>IF(Jnl[[#This Row],[BSLv0]]="A",1,-1)*Jnl[[#This Row],[Bal]]</f>
        <v>-13121.63</v>
      </c>
      <c r="K191" t="str">
        <f>_xlfn.XLOOKUP(Jnl[[#This Row],[Acct]], config_BS[Acct], config_BS[Lv0],,0)</f>
        <v>A</v>
      </c>
      <c r="L191" t="str">
        <f>_xlfn.XLOOKUP(Jnl[[#This Row],[Acct]], config_BS[Acct], config_BS[Lv1],,0)</f>
        <v>Assets</v>
      </c>
      <c r="M191" t="str">
        <f>_xlfn.XLOOKUP(Jnl[[#This Row],[Acct]], config_BS[Acct], config_BS[Lv2],,0)</f>
        <v>Cash alike</v>
      </c>
      <c r="N191" t="str">
        <f>_xlfn.XLOOKUP(Jnl[[#This Row],[TrxId]], Trx[Id], Trx[IncNode], ,0)</f>
        <v>Expense</v>
      </c>
      <c r="O191" t="str">
        <f>_xlfn.XLOOKUP(Jnl[[#This Row],[IncNode]], config_IS[Node], config_IS[Type],,0)</f>
        <v>Op</v>
      </c>
      <c r="P191" t="str">
        <f>_xlfn.XLOOKUP(Jnl[[#This Row],[BSLv2]], dict[Key], dict[Name],,0)</f>
        <v>0.现金及类似</v>
      </c>
      <c r="Q191" t="str">
        <f>_xlfn.XLOOKUP(Jnl[[#This Row],[Acct]], dict[Key], dict[Name],,0)</f>
        <v>银行</v>
      </c>
      <c r="R191" t="str">
        <f>_xlfn.XLOOKUP(Jnl[[#This Row],[Vehicle]],config_vehicle[Id], config_vehicle[Name],,0)</f>
        <v>榆乐</v>
      </c>
      <c r="S191" t="str">
        <f>_xlfn.XLOOKUP(Jnl[[#This Row],[Division]],config_div[Id], config_div[Name],,0)</f>
        <v>综合管理</v>
      </c>
      <c r="T191" t="str">
        <f>IF(Jnl[[#This Row],[TrxDate]]&lt;=stmt_BS_date_end, "In", "Out")</f>
        <v>In</v>
      </c>
      <c r="U191" t="str">
        <f>IF(Jnl[[#This Row],[TrxDate]]&lt;debug_date_start, "prior", IF(Jnl[[#This Row],[TrxDate]]&gt;debug_date_end, "post", "curr"))</f>
        <v>prior</v>
      </c>
    </row>
    <row r="192" spans="1:21">
      <c r="A192" s="11" t="s">
        <v>336</v>
      </c>
      <c r="B192" s="7">
        <f>_xlfn.XLOOKUP(Jnl[[#This Row],[TrxId]], Trx[Id], Trx[Date],,0)</f>
        <v>46053</v>
      </c>
      <c r="C192" s="7" t="str">
        <f>_xlfn.XLOOKUP(Jnl[[#This Row],[TrxId]], Trx[Id], Trx[Division],,0)</f>
        <v>GM</v>
      </c>
      <c r="D192" s="7" t="str">
        <f>_xlfn.XLOOKUP(Jnl[[#This Row],[TrxId]], Trx[Id], Trx[Action],,0)</f>
        <v>薪酬-社保</v>
      </c>
      <c r="E192" s="26" t="s">
        <v>84</v>
      </c>
      <c r="F192" s="11" t="s">
        <v>198</v>
      </c>
      <c r="G192" s="11" t="s">
        <v>344</v>
      </c>
      <c r="H192" s="72">
        <v>3817.2</v>
      </c>
      <c r="I192" s="5" t="b">
        <f>AND(Jnl[[#This Row],[TrxId]]&lt;&gt;"",Jnl[[#This Row],[Acct]]&lt;&gt;"",Jnl[[#This Row],[Item]]&lt;&gt;"",ISNUMBER(Jnl[[#This Row],[Bal]]))</f>
        <v>1</v>
      </c>
      <c r="J192" s="10">
        <f>IF(Jnl[[#This Row],[BSLv0]]="A",1,-1)*Jnl[[#This Row],[Bal]]</f>
        <v>3817.2</v>
      </c>
      <c r="K192" t="str">
        <f>_xlfn.XLOOKUP(Jnl[[#This Row],[Acct]], config_BS[Acct], config_BS[Lv0],,0)</f>
        <v>A</v>
      </c>
      <c r="L192" t="str">
        <f>_xlfn.XLOOKUP(Jnl[[#This Row],[Acct]], config_BS[Acct], config_BS[Lv1],,0)</f>
        <v>Assets</v>
      </c>
      <c r="M192" t="str">
        <f>_xlfn.XLOOKUP(Jnl[[#This Row],[Acct]], config_BS[Acct], config_BS[Lv2],,0)</f>
        <v>Rec-Pay</v>
      </c>
      <c r="N192" t="str">
        <f>_xlfn.XLOOKUP(Jnl[[#This Row],[TrxId]], Trx[Id], Trx[IncNode], ,0)</f>
        <v>Expense</v>
      </c>
      <c r="O192" t="str">
        <f>_xlfn.XLOOKUP(Jnl[[#This Row],[IncNode]], config_IS[Node], config_IS[Type],,0)</f>
        <v>Op</v>
      </c>
      <c r="P192" t="str">
        <f>_xlfn.XLOOKUP(Jnl[[#This Row],[BSLv2]], dict[Key], dict[Name],,0)</f>
        <v>1.应收-应付</v>
      </c>
      <c r="Q192" t="str">
        <f>_xlfn.XLOOKUP(Jnl[[#This Row],[Acct]], dict[Key], dict[Name],,0)</f>
        <v>应收-其他</v>
      </c>
      <c r="R192" t="str">
        <f>_xlfn.XLOOKUP(Jnl[[#This Row],[Vehicle]],config_vehicle[Id], config_vehicle[Name],,0)</f>
        <v>榆乐</v>
      </c>
      <c r="S192" t="str">
        <f>_xlfn.XLOOKUP(Jnl[[#This Row],[Division]],config_div[Id], config_div[Name],,0)</f>
        <v>综合管理</v>
      </c>
      <c r="T192" t="str">
        <f>IF(Jnl[[#This Row],[TrxDate]]&lt;=stmt_BS_date_end, "In", "Out")</f>
        <v>In</v>
      </c>
      <c r="U192" t="str">
        <f>IF(Jnl[[#This Row],[TrxDate]]&lt;debug_date_start, "prior", IF(Jnl[[#This Row],[TrxDate]]&gt;debug_date_end, "post", "curr"))</f>
        <v>prior</v>
      </c>
    </row>
    <row r="193" spans="1:21">
      <c r="A193" s="11" t="s">
        <v>337</v>
      </c>
      <c r="B193" s="7">
        <f>_xlfn.XLOOKUP(Jnl[[#This Row],[TrxId]], Trx[Id], Trx[Date],,0)</f>
        <v>46053</v>
      </c>
      <c r="C193" s="7" t="str">
        <f>_xlfn.XLOOKUP(Jnl[[#This Row],[TrxId]], Trx[Id], Trx[Division],,0)</f>
        <v>GM</v>
      </c>
      <c r="D193" s="7" t="str">
        <f>_xlfn.XLOOKUP(Jnl[[#This Row],[TrxId]], Trx[Id], Trx[Action],,0)</f>
        <v>交通</v>
      </c>
      <c r="E193" s="26" t="s">
        <v>84</v>
      </c>
      <c r="F193" s="11" t="s">
        <v>12</v>
      </c>
      <c r="G193" s="11" t="s">
        <v>390</v>
      </c>
      <c r="H193" s="72">
        <v>-200</v>
      </c>
      <c r="I193" s="5" t="b">
        <f>AND(Jnl[[#This Row],[TrxId]]&lt;&gt;"",Jnl[[#This Row],[Acct]]&lt;&gt;"",Jnl[[#This Row],[Item]]&lt;&gt;"",ISNUMBER(Jnl[[#This Row],[Bal]]))</f>
        <v>1</v>
      </c>
      <c r="J193" s="10">
        <f>IF(Jnl[[#This Row],[BSLv0]]="A",1,-1)*Jnl[[#This Row],[Bal]]</f>
        <v>-200</v>
      </c>
      <c r="K193" t="str">
        <f>_xlfn.XLOOKUP(Jnl[[#This Row],[Acct]], config_BS[Acct], config_BS[Lv0],,0)</f>
        <v>A</v>
      </c>
      <c r="L193" t="str">
        <f>_xlfn.XLOOKUP(Jnl[[#This Row],[Acct]], config_BS[Acct], config_BS[Lv1],,0)</f>
        <v>Assets</v>
      </c>
      <c r="M193" t="str">
        <f>_xlfn.XLOOKUP(Jnl[[#This Row],[Acct]], config_BS[Acct], config_BS[Lv2],,0)</f>
        <v>Cash alike</v>
      </c>
      <c r="N193" t="str">
        <f>_xlfn.XLOOKUP(Jnl[[#This Row],[TrxId]], Trx[Id], Trx[IncNode], ,0)</f>
        <v>Expense</v>
      </c>
      <c r="O193" t="str">
        <f>_xlfn.XLOOKUP(Jnl[[#This Row],[IncNode]], config_IS[Node], config_IS[Type],,0)</f>
        <v>Op</v>
      </c>
      <c r="P193" t="str">
        <f>_xlfn.XLOOKUP(Jnl[[#This Row],[BSLv2]], dict[Key], dict[Name],,0)</f>
        <v>0.现金及类似</v>
      </c>
      <c r="Q193" t="str">
        <f>_xlfn.XLOOKUP(Jnl[[#This Row],[Acct]], dict[Key], dict[Name],,0)</f>
        <v>银行</v>
      </c>
      <c r="R193" t="str">
        <f>_xlfn.XLOOKUP(Jnl[[#This Row],[Vehicle]],config_vehicle[Id], config_vehicle[Name],,0)</f>
        <v>榆乐</v>
      </c>
      <c r="S193" t="str">
        <f>_xlfn.XLOOKUP(Jnl[[#This Row],[Division]],config_div[Id], config_div[Name],,0)</f>
        <v>综合管理</v>
      </c>
      <c r="T193" t="str">
        <f>IF(Jnl[[#This Row],[TrxDate]]&lt;=stmt_BS_date_end, "In", "Out")</f>
        <v>In</v>
      </c>
      <c r="U193" t="str">
        <f>IF(Jnl[[#This Row],[TrxDate]]&lt;debug_date_start, "prior", IF(Jnl[[#This Row],[TrxDate]]&gt;debug_date_end, "post", "curr"))</f>
        <v>prior</v>
      </c>
    </row>
    <row r="194" spans="1:21">
      <c r="A194" s="11" t="s">
        <v>338</v>
      </c>
      <c r="B194" s="7">
        <f>_xlfn.XLOOKUP(Jnl[[#This Row],[TrxId]], Trx[Id], Trx[Date],,0)</f>
        <v>46053</v>
      </c>
      <c r="C194" s="7" t="str">
        <f>_xlfn.XLOOKUP(Jnl[[#This Row],[TrxId]], Trx[Id], Trx[Division],,0)</f>
        <v>Online</v>
      </c>
      <c r="D194" s="7" t="str">
        <f>_xlfn.XLOOKUP(Jnl[[#This Row],[TrxId]], Trx[Id], Trx[Action],,0)</f>
        <v>采购</v>
      </c>
      <c r="E194" s="26" t="s">
        <v>84</v>
      </c>
      <c r="F194" s="11" t="s">
        <v>12</v>
      </c>
      <c r="G194" s="11" t="s">
        <v>390</v>
      </c>
      <c r="H194" s="72">
        <v>-3536</v>
      </c>
      <c r="I194" s="5" t="b">
        <f>AND(Jnl[[#This Row],[TrxId]]&lt;&gt;"",Jnl[[#This Row],[Acct]]&lt;&gt;"",Jnl[[#This Row],[Item]]&lt;&gt;"",ISNUMBER(Jnl[[#This Row],[Bal]]))</f>
        <v>1</v>
      </c>
      <c r="J194" s="10">
        <f>IF(Jnl[[#This Row],[BSLv0]]="A",1,-1)*Jnl[[#This Row],[Bal]]</f>
        <v>-3536</v>
      </c>
      <c r="K194" t="str">
        <f>_xlfn.XLOOKUP(Jnl[[#This Row],[Acct]], config_BS[Acct], config_BS[Lv0],,0)</f>
        <v>A</v>
      </c>
      <c r="L194" t="str">
        <f>_xlfn.XLOOKUP(Jnl[[#This Row],[Acct]], config_BS[Acct], config_BS[Lv1],,0)</f>
        <v>Assets</v>
      </c>
      <c r="M194" t="str">
        <f>_xlfn.XLOOKUP(Jnl[[#This Row],[Acct]], config_BS[Acct], config_BS[Lv2],,0)</f>
        <v>Cash alike</v>
      </c>
      <c r="N194" t="str">
        <f>_xlfn.XLOOKUP(Jnl[[#This Row],[TrxId]], Trx[Id], Trx[IncNode], ,0)</f>
        <v>Cost</v>
      </c>
      <c r="O194" t="str">
        <f>_xlfn.XLOOKUP(Jnl[[#This Row],[IncNode]], config_IS[Node], config_IS[Type],,0)</f>
        <v>Op</v>
      </c>
      <c r="P194" t="str">
        <f>_xlfn.XLOOKUP(Jnl[[#This Row],[BSLv2]], dict[Key], dict[Name],,0)</f>
        <v>0.现金及类似</v>
      </c>
      <c r="Q194" t="str">
        <f>_xlfn.XLOOKUP(Jnl[[#This Row],[Acct]], dict[Key], dict[Name],,0)</f>
        <v>银行</v>
      </c>
      <c r="R194" t="str">
        <f>_xlfn.XLOOKUP(Jnl[[#This Row],[Vehicle]],config_vehicle[Id], config_vehicle[Name],,0)</f>
        <v>榆乐</v>
      </c>
      <c r="S194" t="str">
        <f>_xlfn.XLOOKUP(Jnl[[#This Row],[Division]],config_div[Id], config_div[Name],,0)</f>
        <v>网店</v>
      </c>
      <c r="T194" t="str">
        <f>IF(Jnl[[#This Row],[TrxDate]]&lt;=stmt_BS_date_end, "In", "Out")</f>
        <v>In</v>
      </c>
      <c r="U194" t="str">
        <f>IF(Jnl[[#This Row],[TrxDate]]&lt;debug_date_start, "prior", IF(Jnl[[#This Row],[TrxDate]]&gt;debug_date_end, "post", "curr"))</f>
        <v>prior</v>
      </c>
    </row>
    <row r="195" spans="1:21">
      <c r="A195" s="11" t="s">
        <v>338</v>
      </c>
      <c r="B195" s="7">
        <f>_xlfn.XLOOKUP(Jnl[[#This Row],[TrxId]], Trx[Id], Trx[Date],,0)</f>
        <v>46053</v>
      </c>
      <c r="C195" s="7" t="str">
        <f>_xlfn.XLOOKUP(Jnl[[#This Row],[TrxId]], Trx[Id], Trx[Division],,0)</f>
        <v>Online</v>
      </c>
      <c r="D195" s="7" t="str">
        <f>_xlfn.XLOOKUP(Jnl[[#This Row],[TrxId]], Trx[Id], Trx[Action],,0)</f>
        <v>采购</v>
      </c>
      <c r="E195" s="26" t="s">
        <v>80</v>
      </c>
      <c r="F195" s="11" t="s">
        <v>116</v>
      </c>
      <c r="G195" s="11" t="s">
        <v>151</v>
      </c>
      <c r="H195" s="72">
        <v>3536</v>
      </c>
      <c r="I195" s="5" t="b">
        <f>AND(Jnl[[#This Row],[TrxId]]&lt;&gt;"",Jnl[[#This Row],[Acct]]&lt;&gt;"",Jnl[[#This Row],[Item]]&lt;&gt;"",ISNUMBER(Jnl[[#This Row],[Bal]]))</f>
        <v>1</v>
      </c>
      <c r="J195" s="10">
        <f>IF(Jnl[[#This Row],[BSLv0]]="A",1,-1)*Jnl[[#This Row],[Bal]]</f>
        <v>3536</v>
      </c>
      <c r="K195" t="str">
        <f>_xlfn.XLOOKUP(Jnl[[#This Row],[Acct]], config_BS[Acct], config_BS[Lv0],,0)</f>
        <v>A</v>
      </c>
      <c r="L195" t="str">
        <f>_xlfn.XLOOKUP(Jnl[[#This Row],[Acct]], config_BS[Acct], config_BS[Lv1],,0)</f>
        <v>Assets</v>
      </c>
      <c r="M195" t="str">
        <f>_xlfn.XLOOKUP(Jnl[[#This Row],[Acct]], config_BS[Acct], config_BS[Lv2],,0)</f>
        <v>Invtr</v>
      </c>
      <c r="N195" t="str">
        <f>_xlfn.XLOOKUP(Jnl[[#This Row],[TrxId]], Trx[Id], Trx[IncNode], ,0)</f>
        <v>Cost</v>
      </c>
      <c r="O195" t="str">
        <f>_xlfn.XLOOKUP(Jnl[[#This Row],[IncNode]], config_IS[Node], config_IS[Type],,0)</f>
        <v>Op</v>
      </c>
      <c r="P195" t="str">
        <f>_xlfn.XLOOKUP(Jnl[[#This Row],[BSLv2]], dict[Key], dict[Name],,0)</f>
        <v>3.库存占款</v>
      </c>
      <c r="Q195" t="str">
        <f>_xlfn.XLOOKUP(Jnl[[#This Row],[Acct]], dict[Key], dict[Name],,0)</f>
        <v>当期存货</v>
      </c>
      <c r="R195" t="str">
        <f>_xlfn.XLOOKUP(Jnl[[#This Row],[Vehicle]],config_vehicle[Id], config_vehicle[Name],,0)</f>
        <v>远家花园</v>
      </c>
      <c r="S195" t="str">
        <f>_xlfn.XLOOKUP(Jnl[[#This Row],[Division]],config_div[Id], config_div[Name],,0)</f>
        <v>网店</v>
      </c>
      <c r="T195" t="str">
        <f>IF(Jnl[[#This Row],[TrxDate]]&lt;=stmt_BS_date_end, "In", "Out")</f>
        <v>In</v>
      </c>
      <c r="U195" t="str">
        <f>IF(Jnl[[#This Row],[TrxDate]]&lt;debug_date_start, "prior", IF(Jnl[[#This Row],[TrxDate]]&gt;debug_date_end, "post", "curr"))</f>
        <v>prior</v>
      </c>
    </row>
    <row r="196" spans="1:21">
      <c r="A196" s="11" t="s">
        <v>340</v>
      </c>
      <c r="B196" s="7">
        <f>_xlfn.XLOOKUP(Jnl[[#This Row],[TrxId]], Trx[Id], Trx[Date],,0)</f>
        <v>46053</v>
      </c>
      <c r="C196" s="7" t="str">
        <f>_xlfn.XLOOKUP(Jnl[[#This Row],[TrxId]], Trx[Id], Trx[Division],,0)</f>
        <v>Online</v>
      </c>
      <c r="D196" s="7" t="str">
        <f>_xlfn.XLOOKUP(Jnl[[#This Row],[TrxId]], Trx[Id], Trx[Action],,0)</f>
        <v>设计</v>
      </c>
      <c r="E196" s="26" t="s">
        <v>84</v>
      </c>
      <c r="F196" s="11" t="s">
        <v>12</v>
      </c>
      <c r="G196" s="11" t="s">
        <v>390</v>
      </c>
      <c r="H196" s="72">
        <v>-80</v>
      </c>
      <c r="I196" s="5" t="b">
        <f>AND(Jnl[[#This Row],[TrxId]]&lt;&gt;"",Jnl[[#This Row],[Acct]]&lt;&gt;"",Jnl[[#This Row],[Item]]&lt;&gt;"",ISNUMBER(Jnl[[#This Row],[Bal]]))</f>
        <v>1</v>
      </c>
      <c r="J196" s="10">
        <f>IF(Jnl[[#This Row],[BSLv0]]="A",1,-1)*Jnl[[#This Row],[Bal]]</f>
        <v>-80</v>
      </c>
      <c r="K196" t="str">
        <f>_xlfn.XLOOKUP(Jnl[[#This Row],[Acct]], config_BS[Acct], config_BS[Lv0],,0)</f>
        <v>A</v>
      </c>
      <c r="L196" t="str">
        <f>_xlfn.XLOOKUP(Jnl[[#This Row],[Acct]], config_BS[Acct], config_BS[Lv1],,0)</f>
        <v>Assets</v>
      </c>
      <c r="M196" t="str">
        <f>_xlfn.XLOOKUP(Jnl[[#This Row],[Acct]], config_BS[Acct], config_BS[Lv2],,0)</f>
        <v>Cash alike</v>
      </c>
      <c r="N196" t="str">
        <f>_xlfn.XLOOKUP(Jnl[[#This Row],[TrxId]], Trx[Id], Trx[IncNode], ,0)</f>
        <v>Expense</v>
      </c>
      <c r="O196" t="str">
        <f>_xlfn.XLOOKUP(Jnl[[#This Row],[IncNode]], config_IS[Node], config_IS[Type],,0)</f>
        <v>Op</v>
      </c>
      <c r="P196" t="str">
        <f>_xlfn.XLOOKUP(Jnl[[#This Row],[BSLv2]], dict[Key], dict[Name],,0)</f>
        <v>0.现金及类似</v>
      </c>
      <c r="Q196" t="str">
        <f>_xlfn.XLOOKUP(Jnl[[#This Row],[Acct]], dict[Key], dict[Name],,0)</f>
        <v>银行</v>
      </c>
      <c r="R196" t="str">
        <f>_xlfn.XLOOKUP(Jnl[[#This Row],[Vehicle]],config_vehicle[Id], config_vehicle[Name],,0)</f>
        <v>榆乐</v>
      </c>
      <c r="S196" t="str">
        <f>_xlfn.XLOOKUP(Jnl[[#This Row],[Division]],config_div[Id], config_div[Name],,0)</f>
        <v>网店</v>
      </c>
      <c r="T196" t="str">
        <f>IF(Jnl[[#This Row],[TrxDate]]&lt;=stmt_BS_date_end, "In", "Out")</f>
        <v>In</v>
      </c>
      <c r="U196" t="str">
        <f>IF(Jnl[[#This Row],[TrxDate]]&lt;debug_date_start, "prior", IF(Jnl[[#This Row],[TrxDate]]&gt;debug_date_end, "post", "curr"))</f>
        <v>prior</v>
      </c>
    </row>
    <row r="197" spans="1:21">
      <c r="A197" s="11" t="s">
        <v>341</v>
      </c>
      <c r="B197" s="7">
        <f>_xlfn.XLOOKUP(Jnl[[#This Row],[TrxId]], Trx[Id], Trx[Date],,0)</f>
        <v>46053</v>
      </c>
      <c r="C197" s="7" t="str">
        <f>_xlfn.XLOOKUP(Jnl[[#This Row],[TrxId]], Trx[Id], Trx[Division],,0)</f>
        <v>Online</v>
      </c>
      <c r="D197" s="7" t="str">
        <f>_xlfn.XLOOKUP(Jnl[[#This Row],[TrxId]], Trx[Id], Trx[Action],,0)</f>
        <v>支付</v>
      </c>
      <c r="E197" s="26" t="s">
        <v>84</v>
      </c>
      <c r="F197" s="11" t="s">
        <v>188</v>
      </c>
      <c r="G197" s="11" t="s">
        <v>149</v>
      </c>
      <c r="H197" s="72">
        <v>-76031.259999999995</v>
      </c>
      <c r="I197" s="5" t="b">
        <f>AND(Jnl[[#This Row],[TrxId]]&lt;&gt;"",Jnl[[#This Row],[Acct]]&lt;&gt;"",Jnl[[#This Row],[Item]]&lt;&gt;"",ISNUMBER(Jnl[[#This Row],[Bal]]))</f>
        <v>1</v>
      </c>
      <c r="J197" s="10">
        <f>IF(Jnl[[#This Row],[BSLv0]]="A",1,-1)*Jnl[[#This Row],[Bal]]</f>
        <v>76031.259999999995</v>
      </c>
      <c r="K197" t="str">
        <f>_xlfn.XLOOKUP(Jnl[[#This Row],[Acct]], config_BS[Acct], config_BS[Lv0],,0)</f>
        <v>LC</v>
      </c>
      <c r="L197" t="str">
        <f>_xlfn.XLOOKUP(Jnl[[#This Row],[Acct]], config_BS[Acct], config_BS[Lv1],,0)</f>
        <v>Liability</v>
      </c>
      <c r="M197" t="str">
        <f>_xlfn.XLOOKUP(Jnl[[#This Row],[Acct]], config_BS[Acct], config_BS[Lv2],,0)</f>
        <v>Rec-Pay</v>
      </c>
      <c r="N197" t="str">
        <f>_xlfn.XLOOKUP(Jnl[[#This Row],[TrxId]], Trx[Id], Trx[IncNode], ,0)</f>
        <v>Expense</v>
      </c>
      <c r="O197" t="str">
        <f>_xlfn.XLOOKUP(Jnl[[#This Row],[IncNode]], config_IS[Node], config_IS[Type],,0)</f>
        <v>Op</v>
      </c>
      <c r="P197" t="str">
        <f>_xlfn.XLOOKUP(Jnl[[#This Row],[BSLv2]], dict[Key], dict[Name],,0)</f>
        <v>1.应收-应付</v>
      </c>
      <c r="Q197" t="str">
        <f>_xlfn.XLOOKUP(Jnl[[#This Row],[Acct]], dict[Key], dict[Name],,0)</f>
        <v>应付-薪资</v>
      </c>
      <c r="R197" t="str">
        <f>_xlfn.XLOOKUP(Jnl[[#This Row],[Vehicle]],config_vehicle[Id], config_vehicle[Name],,0)</f>
        <v>榆乐</v>
      </c>
      <c r="S197" t="str">
        <f>_xlfn.XLOOKUP(Jnl[[#This Row],[Division]],config_div[Id], config_div[Name],,0)</f>
        <v>网店</v>
      </c>
      <c r="T197" t="str">
        <f>IF(Jnl[[#This Row],[TrxDate]]&lt;=stmt_BS_date_end, "In", "Out")</f>
        <v>In</v>
      </c>
      <c r="U197" t="str">
        <f>IF(Jnl[[#This Row],[TrxDate]]&lt;debug_date_start, "prior", IF(Jnl[[#This Row],[TrxDate]]&gt;debug_date_end, "post", "curr"))</f>
        <v>prior</v>
      </c>
    </row>
    <row r="198" spans="1:21">
      <c r="A198" s="11" t="s">
        <v>341</v>
      </c>
      <c r="B198" s="7">
        <f>_xlfn.XLOOKUP(Jnl[[#This Row],[TrxId]], Trx[Id], Trx[Date],,0)</f>
        <v>46053</v>
      </c>
      <c r="C198" s="7" t="str">
        <f>_xlfn.XLOOKUP(Jnl[[#This Row],[TrxId]], Trx[Id], Trx[Division],,0)</f>
        <v>Online</v>
      </c>
      <c r="D198" s="7" t="str">
        <f>_xlfn.XLOOKUP(Jnl[[#This Row],[TrxId]], Trx[Id], Trx[Action],,0)</f>
        <v>支付</v>
      </c>
      <c r="E198" s="26" t="s">
        <v>84</v>
      </c>
      <c r="F198" s="11" t="s">
        <v>126</v>
      </c>
      <c r="G198" s="11" t="s">
        <v>343</v>
      </c>
      <c r="H198" s="72">
        <v>572.79</v>
      </c>
      <c r="I198" s="5" t="b">
        <f>AND(Jnl[[#This Row],[TrxId]]&lt;&gt;"",Jnl[[#This Row],[Acct]]&lt;&gt;"",Jnl[[#This Row],[Item]]&lt;&gt;"",ISNUMBER(Jnl[[#This Row],[Bal]]))</f>
        <v>1</v>
      </c>
      <c r="J198" s="10">
        <f>IF(Jnl[[#This Row],[BSLv0]]="A",1,-1)*Jnl[[#This Row],[Bal]]</f>
        <v>-572.79</v>
      </c>
      <c r="K198" t="str">
        <f>_xlfn.XLOOKUP(Jnl[[#This Row],[Acct]], config_BS[Acct], config_BS[Lv0],,0)</f>
        <v>LC</v>
      </c>
      <c r="L198" t="str">
        <f>_xlfn.XLOOKUP(Jnl[[#This Row],[Acct]], config_BS[Acct], config_BS[Lv1],,0)</f>
        <v>Liability</v>
      </c>
      <c r="M198" t="str">
        <f>_xlfn.XLOOKUP(Jnl[[#This Row],[Acct]], config_BS[Acct], config_BS[Lv2],,0)</f>
        <v>Rec-Pay</v>
      </c>
      <c r="N198" t="str">
        <f>_xlfn.XLOOKUP(Jnl[[#This Row],[TrxId]], Trx[Id], Trx[IncNode], ,0)</f>
        <v>Expense</v>
      </c>
      <c r="O198" t="str">
        <f>_xlfn.XLOOKUP(Jnl[[#This Row],[IncNode]], config_IS[Node], config_IS[Type],,0)</f>
        <v>Op</v>
      </c>
      <c r="P198" t="str">
        <f>_xlfn.XLOOKUP(Jnl[[#This Row],[BSLv2]], dict[Key], dict[Name],,0)</f>
        <v>1.应收-应付</v>
      </c>
      <c r="Q198" t="str">
        <f>_xlfn.XLOOKUP(Jnl[[#This Row],[Acct]], dict[Key], dict[Name],,0)</f>
        <v>应付-税款</v>
      </c>
      <c r="R198" t="str">
        <f>_xlfn.XLOOKUP(Jnl[[#This Row],[Vehicle]],config_vehicle[Id], config_vehicle[Name],,0)</f>
        <v>榆乐</v>
      </c>
      <c r="S198" t="str">
        <f>_xlfn.XLOOKUP(Jnl[[#This Row],[Division]],config_div[Id], config_div[Name],,0)</f>
        <v>网店</v>
      </c>
      <c r="T198" t="str">
        <f>IF(Jnl[[#This Row],[TrxDate]]&lt;=stmt_BS_date_end, "In", "Out")</f>
        <v>In</v>
      </c>
      <c r="U198" t="str">
        <f>IF(Jnl[[#This Row],[TrxDate]]&lt;debug_date_start, "prior", IF(Jnl[[#This Row],[TrxDate]]&gt;debug_date_end, "post", "curr"))</f>
        <v>prior</v>
      </c>
    </row>
    <row r="199" spans="1:21">
      <c r="A199" s="11" t="s">
        <v>341</v>
      </c>
      <c r="B199" s="7">
        <f>_xlfn.XLOOKUP(Jnl[[#This Row],[TrxId]], Trx[Id], Trx[Date],,0)</f>
        <v>46053</v>
      </c>
      <c r="C199" s="7" t="str">
        <f>_xlfn.XLOOKUP(Jnl[[#This Row],[TrxId]], Trx[Id], Trx[Division],,0)</f>
        <v>Online</v>
      </c>
      <c r="D199" s="7" t="str">
        <f>_xlfn.XLOOKUP(Jnl[[#This Row],[TrxId]], Trx[Id], Trx[Action],,0)</f>
        <v>支付</v>
      </c>
      <c r="E199" s="26" t="s">
        <v>84</v>
      </c>
      <c r="F199" s="11" t="s">
        <v>198</v>
      </c>
      <c r="G199" s="11" t="s">
        <v>344</v>
      </c>
      <c r="H199" s="72">
        <v>-4294.3500000000004</v>
      </c>
      <c r="I199" s="5" t="b">
        <f>AND(Jnl[[#This Row],[TrxId]]&lt;&gt;"",Jnl[[#This Row],[Acct]]&lt;&gt;"",Jnl[[#This Row],[Item]]&lt;&gt;"",ISNUMBER(Jnl[[#This Row],[Bal]]))</f>
        <v>1</v>
      </c>
      <c r="J199" s="10">
        <f>IF(Jnl[[#This Row],[BSLv0]]="A",1,-1)*Jnl[[#This Row],[Bal]]</f>
        <v>-4294.3500000000004</v>
      </c>
      <c r="K199" t="str">
        <f>_xlfn.XLOOKUP(Jnl[[#This Row],[Acct]], config_BS[Acct], config_BS[Lv0],,0)</f>
        <v>A</v>
      </c>
      <c r="L199" t="str">
        <f>_xlfn.XLOOKUP(Jnl[[#This Row],[Acct]], config_BS[Acct], config_BS[Lv1],,0)</f>
        <v>Assets</v>
      </c>
      <c r="M199" t="str">
        <f>_xlfn.XLOOKUP(Jnl[[#This Row],[Acct]], config_BS[Acct], config_BS[Lv2],,0)</f>
        <v>Rec-Pay</v>
      </c>
      <c r="N199" t="str">
        <f>_xlfn.XLOOKUP(Jnl[[#This Row],[TrxId]], Trx[Id], Trx[IncNode], ,0)</f>
        <v>Expense</v>
      </c>
      <c r="O199" t="str">
        <f>_xlfn.XLOOKUP(Jnl[[#This Row],[IncNode]], config_IS[Node], config_IS[Type],,0)</f>
        <v>Op</v>
      </c>
      <c r="P199" t="str">
        <f>_xlfn.XLOOKUP(Jnl[[#This Row],[BSLv2]], dict[Key], dict[Name],,0)</f>
        <v>1.应收-应付</v>
      </c>
      <c r="Q199" t="str">
        <f>_xlfn.XLOOKUP(Jnl[[#This Row],[Acct]], dict[Key], dict[Name],,0)</f>
        <v>应收-其他</v>
      </c>
      <c r="R199" t="str">
        <f>_xlfn.XLOOKUP(Jnl[[#This Row],[Vehicle]],config_vehicle[Id], config_vehicle[Name],,0)</f>
        <v>榆乐</v>
      </c>
      <c r="S199" t="str">
        <f>_xlfn.XLOOKUP(Jnl[[#This Row],[Division]],config_div[Id], config_div[Name],,0)</f>
        <v>网店</v>
      </c>
      <c r="T199" t="str">
        <f>IF(Jnl[[#This Row],[TrxDate]]&lt;=stmt_BS_date_end, "In", "Out")</f>
        <v>In</v>
      </c>
      <c r="U199" t="str">
        <f>IF(Jnl[[#This Row],[TrxDate]]&lt;debug_date_start, "prior", IF(Jnl[[#This Row],[TrxDate]]&gt;debug_date_end, "post", "curr"))</f>
        <v>prior</v>
      </c>
    </row>
    <row r="200" spans="1:21">
      <c r="A200" s="11" t="s">
        <v>341</v>
      </c>
      <c r="B200" s="7">
        <f>_xlfn.XLOOKUP(Jnl[[#This Row],[TrxId]], Trx[Id], Trx[Date],,0)</f>
        <v>46053</v>
      </c>
      <c r="C200" s="7" t="str">
        <f>_xlfn.XLOOKUP(Jnl[[#This Row],[TrxId]], Trx[Id], Trx[Division],,0)</f>
        <v>Online</v>
      </c>
      <c r="D200" s="7" t="str">
        <f>_xlfn.XLOOKUP(Jnl[[#This Row],[TrxId]], Trx[Id], Trx[Action],,0)</f>
        <v>支付</v>
      </c>
      <c r="E200" s="26" t="s">
        <v>84</v>
      </c>
      <c r="F200" s="11" t="s">
        <v>12</v>
      </c>
      <c r="G200" s="11" t="s">
        <v>390</v>
      </c>
      <c r="H200" s="72">
        <v>-71164.12</v>
      </c>
      <c r="I200" s="5" t="b">
        <f>AND(Jnl[[#This Row],[TrxId]]&lt;&gt;"",Jnl[[#This Row],[Acct]]&lt;&gt;"",Jnl[[#This Row],[Item]]&lt;&gt;"",ISNUMBER(Jnl[[#This Row],[Bal]]))</f>
        <v>1</v>
      </c>
      <c r="J200" s="10">
        <f>IF(Jnl[[#This Row],[BSLv0]]="A",1,-1)*Jnl[[#This Row],[Bal]]</f>
        <v>-71164.12</v>
      </c>
      <c r="K200" t="str">
        <f>_xlfn.XLOOKUP(Jnl[[#This Row],[Acct]], config_BS[Acct], config_BS[Lv0],,0)</f>
        <v>A</v>
      </c>
      <c r="L200" t="str">
        <f>_xlfn.XLOOKUP(Jnl[[#This Row],[Acct]], config_BS[Acct], config_BS[Lv1],,0)</f>
        <v>Assets</v>
      </c>
      <c r="M200" t="str">
        <f>_xlfn.XLOOKUP(Jnl[[#This Row],[Acct]], config_BS[Acct], config_BS[Lv2],,0)</f>
        <v>Cash alike</v>
      </c>
      <c r="N200" t="str">
        <f>_xlfn.XLOOKUP(Jnl[[#This Row],[TrxId]], Trx[Id], Trx[IncNode], ,0)</f>
        <v>Expense</v>
      </c>
      <c r="O200" t="str">
        <f>_xlfn.XLOOKUP(Jnl[[#This Row],[IncNode]], config_IS[Node], config_IS[Type],,0)</f>
        <v>Op</v>
      </c>
      <c r="P200" t="str">
        <f>_xlfn.XLOOKUP(Jnl[[#This Row],[BSLv2]], dict[Key], dict[Name],,0)</f>
        <v>0.现金及类似</v>
      </c>
      <c r="Q200" t="str">
        <f>_xlfn.XLOOKUP(Jnl[[#This Row],[Acct]], dict[Key], dict[Name],,0)</f>
        <v>银行</v>
      </c>
      <c r="R200" t="str">
        <f>_xlfn.XLOOKUP(Jnl[[#This Row],[Vehicle]],config_vehicle[Id], config_vehicle[Name],,0)</f>
        <v>榆乐</v>
      </c>
      <c r="S200" t="str">
        <f>_xlfn.XLOOKUP(Jnl[[#This Row],[Division]],config_div[Id], config_div[Name],,0)</f>
        <v>网店</v>
      </c>
      <c r="T200" t="str">
        <f>IF(Jnl[[#This Row],[TrxDate]]&lt;=stmt_BS_date_end, "In", "Out")</f>
        <v>In</v>
      </c>
      <c r="U200" t="str">
        <f>IF(Jnl[[#This Row],[TrxDate]]&lt;debug_date_start, "prior", IF(Jnl[[#This Row],[TrxDate]]&gt;debug_date_end, "post", "curr"))</f>
        <v>prior</v>
      </c>
    </row>
    <row r="201" spans="1:21">
      <c r="A201" s="11" t="s">
        <v>345</v>
      </c>
      <c r="B201" s="7">
        <f>_xlfn.XLOOKUP(Jnl[[#This Row],[TrxId]], Trx[Id], Trx[Date],,0)</f>
        <v>46053</v>
      </c>
      <c r="C201" s="7" t="str">
        <f>_xlfn.XLOOKUP(Jnl[[#This Row],[TrxId]], Trx[Id], Trx[Division],,0)</f>
        <v>GM</v>
      </c>
      <c r="D201" s="7" t="str">
        <f>_xlfn.XLOOKUP(Jnl[[#This Row],[TrxId]], Trx[Id], Trx[Action],,0)</f>
        <v>支付</v>
      </c>
      <c r="E201" s="26" t="s">
        <v>84</v>
      </c>
      <c r="F201" s="11" t="s">
        <v>12</v>
      </c>
      <c r="G201" s="11" t="s">
        <v>390</v>
      </c>
      <c r="H201" s="72">
        <v>-572.79</v>
      </c>
      <c r="I201" s="5" t="b">
        <f>AND(Jnl[[#This Row],[TrxId]]&lt;&gt;"",Jnl[[#This Row],[Acct]]&lt;&gt;"",Jnl[[#This Row],[Item]]&lt;&gt;"",ISNUMBER(Jnl[[#This Row],[Bal]]))</f>
        <v>1</v>
      </c>
      <c r="J201" s="10">
        <f>IF(Jnl[[#This Row],[BSLv0]]="A",1,-1)*Jnl[[#This Row],[Bal]]</f>
        <v>-572.79</v>
      </c>
      <c r="K201" t="str">
        <f>_xlfn.XLOOKUP(Jnl[[#This Row],[Acct]], config_BS[Acct], config_BS[Lv0],,0)</f>
        <v>A</v>
      </c>
      <c r="L201" t="str">
        <f>_xlfn.XLOOKUP(Jnl[[#This Row],[Acct]], config_BS[Acct], config_BS[Lv1],,0)</f>
        <v>Assets</v>
      </c>
      <c r="M201" t="str">
        <f>_xlfn.XLOOKUP(Jnl[[#This Row],[Acct]], config_BS[Acct], config_BS[Lv2],,0)</f>
        <v>Cash alike</v>
      </c>
      <c r="N201" t="str">
        <f>_xlfn.XLOOKUP(Jnl[[#This Row],[TrxId]], Trx[Id], Trx[IncNode], ,0)</f>
        <v>Expense</v>
      </c>
      <c r="O201" t="str">
        <f>_xlfn.XLOOKUP(Jnl[[#This Row],[IncNode]], config_IS[Node], config_IS[Type],,0)</f>
        <v>Op</v>
      </c>
      <c r="P201" t="str">
        <f>_xlfn.XLOOKUP(Jnl[[#This Row],[BSLv2]], dict[Key], dict[Name],,0)</f>
        <v>0.现金及类似</v>
      </c>
      <c r="Q201" t="str">
        <f>_xlfn.XLOOKUP(Jnl[[#This Row],[Acct]], dict[Key], dict[Name],,0)</f>
        <v>银行</v>
      </c>
      <c r="R201" t="str">
        <f>_xlfn.XLOOKUP(Jnl[[#This Row],[Vehicle]],config_vehicle[Id], config_vehicle[Name],,0)</f>
        <v>榆乐</v>
      </c>
      <c r="S201" t="str">
        <f>_xlfn.XLOOKUP(Jnl[[#This Row],[Division]],config_div[Id], config_div[Name],,0)</f>
        <v>综合管理</v>
      </c>
      <c r="T201" t="str">
        <f>IF(Jnl[[#This Row],[TrxDate]]&lt;=stmt_BS_date_end, "In", "Out")</f>
        <v>In</v>
      </c>
      <c r="U201" t="str">
        <f>IF(Jnl[[#This Row],[TrxDate]]&lt;debug_date_start, "prior", IF(Jnl[[#This Row],[TrxDate]]&gt;debug_date_end, "post", "curr"))</f>
        <v>prior</v>
      </c>
    </row>
    <row r="202" spans="1:21">
      <c r="A202" s="11" t="s">
        <v>345</v>
      </c>
      <c r="B202" s="7">
        <f>_xlfn.XLOOKUP(Jnl[[#This Row],[TrxId]], Trx[Id], Trx[Date],,0)</f>
        <v>46053</v>
      </c>
      <c r="C202" s="7" t="str">
        <f>_xlfn.XLOOKUP(Jnl[[#This Row],[TrxId]], Trx[Id], Trx[Division],,0)</f>
        <v>GM</v>
      </c>
      <c r="D202" s="7" t="str">
        <f>_xlfn.XLOOKUP(Jnl[[#This Row],[TrxId]], Trx[Id], Trx[Action],,0)</f>
        <v>支付</v>
      </c>
      <c r="E202" s="26" t="s">
        <v>84</v>
      </c>
      <c r="F202" s="11" t="s">
        <v>126</v>
      </c>
      <c r="G202" s="11" t="s">
        <v>343</v>
      </c>
      <c r="H202" s="72">
        <v>-572.79</v>
      </c>
      <c r="I202" s="5" t="b">
        <f>AND(Jnl[[#This Row],[TrxId]]&lt;&gt;"",Jnl[[#This Row],[Acct]]&lt;&gt;"",Jnl[[#This Row],[Item]]&lt;&gt;"",ISNUMBER(Jnl[[#This Row],[Bal]]))</f>
        <v>1</v>
      </c>
      <c r="J202" s="10">
        <f>IF(Jnl[[#This Row],[BSLv0]]="A",1,-1)*Jnl[[#This Row],[Bal]]</f>
        <v>572.79</v>
      </c>
      <c r="K202" t="str">
        <f>_xlfn.XLOOKUP(Jnl[[#This Row],[Acct]], config_BS[Acct], config_BS[Lv0],,0)</f>
        <v>LC</v>
      </c>
      <c r="L202" t="str">
        <f>_xlfn.XLOOKUP(Jnl[[#This Row],[Acct]], config_BS[Acct], config_BS[Lv1],,0)</f>
        <v>Liability</v>
      </c>
      <c r="M202" t="str">
        <f>_xlfn.XLOOKUP(Jnl[[#This Row],[Acct]], config_BS[Acct], config_BS[Lv2],,0)</f>
        <v>Rec-Pay</v>
      </c>
      <c r="N202" t="str">
        <f>_xlfn.XLOOKUP(Jnl[[#This Row],[TrxId]], Trx[Id], Trx[IncNode], ,0)</f>
        <v>Expense</v>
      </c>
      <c r="O202" t="str">
        <f>_xlfn.XLOOKUP(Jnl[[#This Row],[IncNode]], config_IS[Node], config_IS[Type],,0)</f>
        <v>Op</v>
      </c>
      <c r="P202" t="str">
        <f>_xlfn.XLOOKUP(Jnl[[#This Row],[BSLv2]], dict[Key], dict[Name],,0)</f>
        <v>1.应收-应付</v>
      </c>
      <c r="Q202" t="str">
        <f>_xlfn.XLOOKUP(Jnl[[#This Row],[Acct]], dict[Key], dict[Name],,0)</f>
        <v>应付-税款</v>
      </c>
      <c r="R202" t="str">
        <f>_xlfn.XLOOKUP(Jnl[[#This Row],[Vehicle]],config_vehicle[Id], config_vehicle[Name],,0)</f>
        <v>榆乐</v>
      </c>
      <c r="S202" t="str">
        <f>_xlfn.XLOOKUP(Jnl[[#This Row],[Division]],config_div[Id], config_div[Name],,0)</f>
        <v>综合管理</v>
      </c>
      <c r="T202" t="str">
        <f>IF(Jnl[[#This Row],[TrxDate]]&lt;=stmt_BS_date_end, "In", "Out")</f>
        <v>In</v>
      </c>
      <c r="U202" t="str">
        <f>IF(Jnl[[#This Row],[TrxDate]]&lt;debug_date_start, "prior", IF(Jnl[[#This Row],[TrxDate]]&gt;debug_date_end, "post", "curr"))</f>
        <v>prior</v>
      </c>
    </row>
    <row r="203" spans="1:21">
      <c r="A203" s="11" t="s">
        <v>346</v>
      </c>
      <c r="B203" s="7">
        <f>_xlfn.XLOOKUP(Jnl[[#This Row],[TrxId]], Trx[Id], Trx[Date],,0)</f>
        <v>46053</v>
      </c>
      <c r="C203" s="7" t="str">
        <f>_xlfn.XLOOKUP(Jnl[[#This Row],[TrxId]], Trx[Id], Trx[Division],,0)</f>
        <v>Ctrl</v>
      </c>
      <c r="D203" s="7" t="str">
        <f>_xlfn.XLOOKUP(Jnl[[#This Row],[TrxId]], Trx[Id], Trx[Action],,0)</f>
        <v>支付</v>
      </c>
      <c r="E203" s="26" t="s">
        <v>84</v>
      </c>
      <c r="F203" s="11" t="s">
        <v>126</v>
      </c>
      <c r="G203" s="11" t="s">
        <v>307</v>
      </c>
      <c r="H203" s="72">
        <v>-10950.5</v>
      </c>
      <c r="I203" s="5" t="b">
        <f>AND(Jnl[[#This Row],[TrxId]]&lt;&gt;"",Jnl[[#This Row],[Acct]]&lt;&gt;"",Jnl[[#This Row],[Item]]&lt;&gt;"",ISNUMBER(Jnl[[#This Row],[Bal]]))</f>
        <v>1</v>
      </c>
      <c r="J203" s="10">
        <f>IF(Jnl[[#This Row],[BSLv0]]="A",1,-1)*Jnl[[#This Row],[Bal]]</f>
        <v>10950.5</v>
      </c>
      <c r="K203" t="str">
        <f>_xlfn.XLOOKUP(Jnl[[#This Row],[Acct]], config_BS[Acct], config_BS[Lv0],,0)</f>
        <v>LC</v>
      </c>
      <c r="L203" t="str">
        <f>_xlfn.XLOOKUP(Jnl[[#This Row],[Acct]], config_BS[Acct], config_BS[Lv1],,0)</f>
        <v>Liability</v>
      </c>
      <c r="M203" t="str">
        <f>_xlfn.XLOOKUP(Jnl[[#This Row],[Acct]], config_BS[Acct], config_BS[Lv2],,0)</f>
        <v>Rec-Pay</v>
      </c>
      <c r="N203" t="str">
        <f>_xlfn.XLOOKUP(Jnl[[#This Row],[TrxId]], Trx[Id], Trx[IncNode], ,0)</f>
        <v>Expense</v>
      </c>
      <c r="O203" t="str">
        <f>_xlfn.XLOOKUP(Jnl[[#This Row],[IncNode]], config_IS[Node], config_IS[Type],,0)</f>
        <v>Op</v>
      </c>
      <c r="P203" t="str">
        <f>_xlfn.XLOOKUP(Jnl[[#This Row],[BSLv2]], dict[Key], dict[Name],,0)</f>
        <v>1.应收-应付</v>
      </c>
      <c r="Q203" t="str">
        <f>_xlfn.XLOOKUP(Jnl[[#This Row],[Acct]], dict[Key], dict[Name],,0)</f>
        <v>应付-税款</v>
      </c>
      <c r="R203" t="str">
        <f>_xlfn.XLOOKUP(Jnl[[#This Row],[Vehicle]],config_vehicle[Id], config_vehicle[Name],,0)</f>
        <v>榆乐</v>
      </c>
      <c r="S203" t="str">
        <f>_xlfn.XLOOKUP(Jnl[[#This Row],[Division]],config_div[Id], config_div[Name],,0)</f>
        <v>内控合规</v>
      </c>
      <c r="T203" t="str">
        <f>IF(Jnl[[#This Row],[TrxDate]]&lt;=stmt_BS_date_end, "In", "Out")</f>
        <v>In</v>
      </c>
      <c r="U203" t="str">
        <f>IF(Jnl[[#This Row],[TrxDate]]&lt;debug_date_start, "prior", IF(Jnl[[#This Row],[TrxDate]]&gt;debug_date_end, "post", "curr"))</f>
        <v>prior</v>
      </c>
    </row>
    <row r="204" spans="1:21">
      <c r="A204" s="11" t="s">
        <v>346</v>
      </c>
      <c r="B204" s="7">
        <f>_xlfn.XLOOKUP(Jnl[[#This Row],[TrxId]], Trx[Id], Trx[Date],,0)</f>
        <v>46053</v>
      </c>
      <c r="C204" s="7" t="str">
        <f>_xlfn.XLOOKUP(Jnl[[#This Row],[TrxId]], Trx[Id], Trx[Division],,0)</f>
        <v>Ctrl</v>
      </c>
      <c r="D204" s="7" t="str">
        <f>_xlfn.XLOOKUP(Jnl[[#This Row],[TrxId]], Trx[Id], Trx[Action],,0)</f>
        <v>支付</v>
      </c>
      <c r="E204" s="26" t="s">
        <v>84</v>
      </c>
      <c r="F204" s="11" t="s">
        <v>126</v>
      </c>
      <c r="G204" s="11" t="s">
        <v>347</v>
      </c>
      <c r="H204" s="72">
        <v>-30620.3</v>
      </c>
      <c r="I204" s="5" t="b">
        <f>AND(Jnl[[#This Row],[TrxId]]&lt;&gt;"",Jnl[[#This Row],[Acct]]&lt;&gt;"",Jnl[[#This Row],[Item]]&lt;&gt;"",ISNUMBER(Jnl[[#This Row],[Bal]]))</f>
        <v>1</v>
      </c>
      <c r="J204" s="10">
        <f>IF(Jnl[[#This Row],[BSLv0]]="A",1,-1)*Jnl[[#This Row],[Bal]]</f>
        <v>30620.3</v>
      </c>
      <c r="K204" t="str">
        <f>_xlfn.XLOOKUP(Jnl[[#This Row],[Acct]], config_BS[Acct], config_BS[Lv0],,0)</f>
        <v>LC</v>
      </c>
      <c r="L204" t="str">
        <f>_xlfn.XLOOKUP(Jnl[[#This Row],[Acct]], config_BS[Acct], config_BS[Lv1],,0)</f>
        <v>Liability</v>
      </c>
      <c r="M204" t="str">
        <f>_xlfn.XLOOKUP(Jnl[[#This Row],[Acct]], config_BS[Acct], config_BS[Lv2],,0)</f>
        <v>Rec-Pay</v>
      </c>
      <c r="N204" t="str">
        <f>_xlfn.XLOOKUP(Jnl[[#This Row],[TrxId]], Trx[Id], Trx[IncNode], ,0)</f>
        <v>Expense</v>
      </c>
      <c r="O204" t="str">
        <f>_xlfn.XLOOKUP(Jnl[[#This Row],[IncNode]], config_IS[Node], config_IS[Type],,0)</f>
        <v>Op</v>
      </c>
      <c r="P204" t="str">
        <f>_xlfn.XLOOKUP(Jnl[[#This Row],[BSLv2]], dict[Key], dict[Name],,0)</f>
        <v>1.应收-应付</v>
      </c>
      <c r="Q204" t="str">
        <f>_xlfn.XLOOKUP(Jnl[[#This Row],[Acct]], dict[Key], dict[Name],,0)</f>
        <v>应付-税款</v>
      </c>
      <c r="R204" t="str">
        <f>_xlfn.XLOOKUP(Jnl[[#This Row],[Vehicle]],config_vehicle[Id], config_vehicle[Name],,0)</f>
        <v>榆乐</v>
      </c>
      <c r="S204" t="str">
        <f>_xlfn.XLOOKUP(Jnl[[#This Row],[Division]],config_div[Id], config_div[Name],,0)</f>
        <v>内控合规</v>
      </c>
      <c r="T204" t="str">
        <f>IF(Jnl[[#This Row],[TrxDate]]&lt;=stmt_BS_date_end, "In", "Out")</f>
        <v>In</v>
      </c>
      <c r="U204" t="str">
        <f>IF(Jnl[[#This Row],[TrxDate]]&lt;debug_date_start, "prior", IF(Jnl[[#This Row],[TrxDate]]&gt;debug_date_end, "post", "curr"))</f>
        <v>prior</v>
      </c>
    </row>
    <row r="205" spans="1:21">
      <c r="A205" s="11" t="s">
        <v>346</v>
      </c>
      <c r="B205" s="7">
        <f>_xlfn.XLOOKUP(Jnl[[#This Row],[TrxId]], Trx[Id], Trx[Date],,0)</f>
        <v>46053</v>
      </c>
      <c r="C205" s="7" t="str">
        <f>_xlfn.XLOOKUP(Jnl[[#This Row],[TrxId]], Trx[Id], Trx[Division],,0)</f>
        <v>Ctrl</v>
      </c>
      <c r="D205" s="7" t="str">
        <f>_xlfn.XLOOKUP(Jnl[[#This Row],[TrxId]], Trx[Id], Trx[Action],,0)</f>
        <v>支付</v>
      </c>
      <c r="E205" s="26" t="s">
        <v>84</v>
      </c>
      <c r="F205" s="11" t="s">
        <v>126</v>
      </c>
      <c r="G205" s="11" t="s">
        <v>348</v>
      </c>
      <c r="H205" s="72">
        <v>-657.03</v>
      </c>
      <c r="I205" s="5" t="b">
        <f>AND(Jnl[[#This Row],[TrxId]]&lt;&gt;"",Jnl[[#This Row],[Acct]]&lt;&gt;"",Jnl[[#This Row],[Item]]&lt;&gt;"",ISNUMBER(Jnl[[#This Row],[Bal]]))</f>
        <v>1</v>
      </c>
      <c r="J205" s="10">
        <f>IF(Jnl[[#This Row],[BSLv0]]="A",1,-1)*Jnl[[#This Row],[Bal]]</f>
        <v>657.03</v>
      </c>
      <c r="K205" t="str">
        <f>_xlfn.XLOOKUP(Jnl[[#This Row],[Acct]], config_BS[Acct], config_BS[Lv0],,0)</f>
        <v>LC</v>
      </c>
      <c r="L205" t="str">
        <f>_xlfn.XLOOKUP(Jnl[[#This Row],[Acct]], config_BS[Acct], config_BS[Lv1],,0)</f>
        <v>Liability</v>
      </c>
      <c r="M205" t="str">
        <f>_xlfn.XLOOKUP(Jnl[[#This Row],[Acct]], config_BS[Acct], config_BS[Lv2],,0)</f>
        <v>Rec-Pay</v>
      </c>
      <c r="N205" t="str">
        <f>_xlfn.XLOOKUP(Jnl[[#This Row],[TrxId]], Trx[Id], Trx[IncNode], ,0)</f>
        <v>Expense</v>
      </c>
      <c r="O205" t="str">
        <f>_xlfn.XLOOKUP(Jnl[[#This Row],[IncNode]], config_IS[Node], config_IS[Type],,0)</f>
        <v>Op</v>
      </c>
      <c r="P205" t="str">
        <f>_xlfn.XLOOKUP(Jnl[[#This Row],[BSLv2]], dict[Key], dict[Name],,0)</f>
        <v>1.应收-应付</v>
      </c>
      <c r="Q205" t="str">
        <f>_xlfn.XLOOKUP(Jnl[[#This Row],[Acct]], dict[Key], dict[Name],,0)</f>
        <v>应付-税款</v>
      </c>
      <c r="R205" t="str">
        <f>_xlfn.XLOOKUP(Jnl[[#This Row],[Vehicle]],config_vehicle[Id], config_vehicle[Name],,0)</f>
        <v>榆乐</v>
      </c>
      <c r="S205" t="str">
        <f>_xlfn.XLOOKUP(Jnl[[#This Row],[Division]],config_div[Id], config_div[Name],,0)</f>
        <v>内控合规</v>
      </c>
      <c r="T205" t="str">
        <f>IF(Jnl[[#This Row],[TrxDate]]&lt;=stmt_BS_date_end, "In", "Out")</f>
        <v>In</v>
      </c>
      <c r="U205" t="str">
        <f>IF(Jnl[[#This Row],[TrxDate]]&lt;debug_date_start, "prior", IF(Jnl[[#This Row],[TrxDate]]&gt;debug_date_end, "post", "curr"))</f>
        <v>prior</v>
      </c>
    </row>
    <row r="206" spans="1:21">
      <c r="A206" s="11" t="s">
        <v>346</v>
      </c>
      <c r="B206" s="7">
        <f>_xlfn.XLOOKUP(Jnl[[#This Row],[TrxId]], Trx[Id], Trx[Date],,0)</f>
        <v>46053</v>
      </c>
      <c r="C206" s="7" t="str">
        <f>_xlfn.XLOOKUP(Jnl[[#This Row],[TrxId]], Trx[Id], Trx[Division],,0)</f>
        <v>Ctrl</v>
      </c>
      <c r="D206" s="7" t="str">
        <f>_xlfn.XLOOKUP(Jnl[[#This Row],[TrxId]], Trx[Id], Trx[Action],,0)</f>
        <v>支付</v>
      </c>
      <c r="E206" s="26" t="s">
        <v>84</v>
      </c>
      <c r="F206" s="11" t="s">
        <v>126</v>
      </c>
      <c r="G206" s="11" t="s">
        <v>349</v>
      </c>
      <c r="H206" s="72">
        <v>-5.0199999999999996</v>
      </c>
      <c r="I206" s="5" t="b">
        <f>AND(Jnl[[#This Row],[TrxId]]&lt;&gt;"",Jnl[[#This Row],[Acct]]&lt;&gt;"",Jnl[[#This Row],[Item]]&lt;&gt;"",ISNUMBER(Jnl[[#This Row],[Bal]]))</f>
        <v>1</v>
      </c>
      <c r="J206" s="10">
        <f>IF(Jnl[[#This Row],[BSLv0]]="A",1,-1)*Jnl[[#This Row],[Bal]]</f>
        <v>5.0199999999999996</v>
      </c>
      <c r="K206" t="str">
        <f>_xlfn.XLOOKUP(Jnl[[#This Row],[Acct]], config_BS[Acct], config_BS[Lv0],,0)</f>
        <v>LC</v>
      </c>
      <c r="L206" t="str">
        <f>_xlfn.XLOOKUP(Jnl[[#This Row],[Acct]], config_BS[Acct], config_BS[Lv1],,0)</f>
        <v>Liability</v>
      </c>
      <c r="M206" t="str">
        <f>_xlfn.XLOOKUP(Jnl[[#This Row],[Acct]], config_BS[Acct], config_BS[Lv2],,0)</f>
        <v>Rec-Pay</v>
      </c>
      <c r="N206" t="str">
        <f>_xlfn.XLOOKUP(Jnl[[#This Row],[TrxId]], Trx[Id], Trx[IncNode], ,0)</f>
        <v>Expense</v>
      </c>
      <c r="O206" t="str">
        <f>_xlfn.XLOOKUP(Jnl[[#This Row],[IncNode]], config_IS[Node], config_IS[Type],,0)</f>
        <v>Op</v>
      </c>
      <c r="P206" t="str">
        <f>_xlfn.XLOOKUP(Jnl[[#This Row],[BSLv2]], dict[Key], dict[Name],,0)</f>
        <v>1.应收-应付</v>
      </c>
      <c r="Q206" t="str">
        <f>_xlfn.XLOOKUP(Jnl[[#This Row],[Acct]], dict[Key], dict[Name],,0)</f>
        <v>应付-税款</v>
      </c>
      <c r="R206" t="str">
        <f>_xlfn.XLOOKUP(Jnl[[#This Row],[Vehicle]],config_vehicle[Id], config_vehicle[Name],,0)</f>
        <v>榆乐</v>
      </c>
      <c r="S206" t="str">
        <f>_xlfn.XLOOKUP(Jnl[[#This Row],[Division]],config_div[Id], config_div[Name],,0)</f>
        <v>内控合规</v>
      </c>
      <c r="T206" t="str">
        <f>IF(Jnl[[#This Row],[TrxDate]]&lt;=stmt_BS_date_end, "In", "Out")</f>
        <v>In</v>
      </c>
      <c r="U206" t="str">
        <f>IF(Jnl[[#This Row],[TrxDate]]&lt;debug_date_start, "prior", IF(Jnl[[#This Row],[TrxDate]]&gt;debug_date_end, "post", "curr"))</f>
        <v>prior</v>
      </c>
    </row>
    <row r="207" spans="1:21">
      <c r="A207" s="11" t="s">
        <v>346</v>
      </c>
      <c r="B207" s="7">
        <f>_xlfn.XLOOKUP(Jnl[[#This Row],[TrxId]], Trx[Id], Trx[Date],,0)</f>
        <v>46053</v>
      </c>
      <c r="C207" s="7" t="str">
        <f>_xlfn.XLOOKUP(Jnl[[#This Row],[TrxId]], Trx[Id], Trx[Division],,0)</f>
        <v>Ctrl</v>
      </c>
      <c r="D207" s="7" t="str">
        <f>_xlfn.XLOOKUP(Jnl[[#This Row],[TrxId]], Trx[Id], Trx[Action],,0)</f>
        <v>支付</v>
      </c>
      <c r="E207" s="26" t="s">
        <v>84</v>
      </c>
      <c r="F207" s="11" t="s">
        <v>12</v>
      </c>
      <c r="G207" s="11" t="s">
        <v>390</v>
      </c>
      <c r="H207" s="72">
        <v>-42232.85</v>
      </c>
      <c r="I207" s="5" t="b">
        <f>AND(Jnl[[#This Row],[TrxId]]&lt;&gt;"",Jnl[[#This Row],[Acct]]&lt;&gt;"",Jnl[[#This Row],[Item]]&lt;&gt;"",ISNUMBER(Jnl[[#This Row],[Bal]]))</f>
        <v>1</v>
      </c>
      <c r="J207" s="10">
        <f>IF(Jnl[[#This Row],[BSLv0]]="A",1,-1)*Jnl[[#This Row],[Bal]]</f>
        <v>-42232.85</v>
      </c>
      <c r="K207" t="str">
        <f>_xlfn.XLOOKUP(Jnl[[#This Row],[Acct]], config_BS[Acct], config_BS[Lv0],,0)</f>
        <v>A</v>
      </c>
      <c r="L207" t="str">
        <f>_xlfn.XLOOKUP(Jnl[[#This Row],[Acct]], config_BS[Acct], config_BS[Lv1],,0)</f>
        <v>Assets</v>
      </c>
      <c r="M207" t="str">
        <f>_xlfn.XLOOKUP(Jnl[[#This Row],[Acct]], config_BS[Acct], config_BS[Lv2],,0)</f>
        <v>Cash alike</v>
      </c>
      <c r="N207" t="str">
        <f>_xlfn.XLOOKUP(Jnl[[#This Row],[TrxId]], Trx[Id], Trx[IncNode], ,0)</f>
        <v>Expense</v>
      </c>
      <c r="O207" t="str">
        <f>_xlfn.XLOOKUP(Jnl[[#This Row],[IncNode]], config_IS[Node], config_IS[Type],,0)</f>
        <v>Op</v>
      </c>
      <c r="P207" t="str">
        <f>_xlfn.XLOOKUP(Jnl[[#This Row],[BSLv2]], dict[Key], dict[Name],,0)</f>
        <v>0.现金及类似</v>
      </c>
      <c r="Q207" t="str">
        <f>_xlfn.XLOOKUP(Jnl[[#This Row],[Acct]], dict[Key], dict[Name],,0)</f>
        <v>银行</v>
      </c>
      <c r="R207" t="str">
        <f>_xlfn.XLOOKUP(Jnl[[#This Row],[Vehicle]],config_vehicle[Id], config_vehicle[Name],,0)</f>
        <v>榆乐</v>
      </c>
      <c r="S207" t="str">
        <f>_xlfn.XLOOKUP(Jnl[[#This Row],[Division]],config_div[Id], config_div[Name],,0)</f>
        <v>内控合规</v>
      </c>
      <c r="T207" t="str">
        <f>IF(Jnl[[#This Row],[TrxDate]]&lt;=stmt_BS_date_end, "In", "Out")</f>
        <v>In</v>
      </c>
      <c r="U207" t="str">
        <f>IF(Jnl[[#This Row],[TrxDate]]&lt;debug_date_start, "prior", IF(Jnl[[#This Row],[TrxDate]]&gt;debug_date_end, "post", "curr"))</f>
        <v>prior</v>
      </c>
    </row>
    <row r="208" spans="1:21">
      <c r="A208" s="11" t="s">
        <v>353</v>
      </c>
      <c r="B208" s="7">
        <f>_xlfn.XLOOKUP(Jnl[[#This Row],[TrxId]], Trx[Id], Trx[Date],,0)</f>
        <v>46053</v>
      </c>
      <c r="C208" s="7" t="str">
        <f>_xlfn.XLOOKUP(Jnl[[#This Row],[TrxId]], Trx[Id], Trx[Division],,0)</f>
        <v>GM</v>
      </c>
      <c r="D208" s="7" t="str">
        <f>_xlfn.XLOOKUP(Jnl[[#This Row],[TrxId]], Trx[Id], Trx[Action],,0)</f>
        <v>公共设施</v>
      </c>
      <c r="E208" s="26" t="s">
        <v>84</v>
      </c>
      <c r="F208" s="11" t="s">
        <v>12</v>
      </c>
      <c r="G208" s="11" t="s">
        <v>390</v>
      </c>
      <c r="H208" s="72">
        <v>-2057.67</v>
      </c>
      <c r="I208" s="5" t="b">
        <f>AND(Jnl[[#This Row],[TrxId]]&lt;&gt;"",Jnl[[#This Row],[Acct]]&lt;&gt;"",Jnl[[#This Row],[Item]]&lt;&gt;"",ISNUMBER(Jnl[[#This Row],[Bal]]))</f>
        <v>1</v>
      </c>
      <c r="J208" s="10">
        <f>IF(Jnl[[#This Row],[BSLv0]]="A",1,-1)*Jnl[[#This Row],[Bal]]</f>
        <v>-2057.67</v>
      </c>
      <c r="K208" t="str">
        <f>_xlfn.XLOOKUP(Jnl[[#This Row],[Acct]], config_BS[Acct], config_BS[Lv0],,0)</f>
        <v>A</v>
      </c>
      <c r="L208" t="str">
        <f>_xlfn.XLOOKUP(Jnl[[#This Row],[Acct]], config_BS[Acct], config_BS[Lv1],,0)</f>
        <v>Assets</v>
      </c>
      <c r="M208" t="str">
        <f>_xlfn.XLOOKUP(Jnl[[#This Row],[Acct]], config_BS[Acct], config_BS[Lv2],,0)</f>
        <v>Cash alike</v>
      </c>
      <c r="N208" t="str">
        <f>_xlfn.XLOOKUP(Jnl[[#This Row],[TrxId]], Trx[Id], Trx[IncNode], ,0)</f>
        <v>Expense</v>
      </c>
      <c r="O208" t="str">
        <f>_xlfn.XLOOKUP(Jnl[[#This Row],[IncNode]], config_IS[Node], config_IS[Type],,0)</f>
        <v>Op</v>
      </c>
      <c r="P208" t="str">
        <f>_xlfn.XLOOKUP(Jnl[[#This Row],[BSLv2]], dict[Key], dict[Name],,0)</f>
        <v>0.现金及类似</v>
      </c>
      <c r="Q208" t="str">
        <f>_xlfn.XLOOKUP(Jnl[[#This Row],[Acct]], dict[Key], dict[Name],,0)</f>
        <v>银行</v>
      </c>
      <c r="R208" t="str">
        <f>_xlfn.XLOOKUP(Jnl[[#This Row],[Vehicle]],config_vehicle[Id], config_vehicle[Name],,0)</f>
        <v>榆乐</v>
      </c>
      <c r="S208" t="str">
        <f>_xlfn.XLOOKUP(Jnl[[#This Row],[Division]],config_div[Id], config_div[Name],,0)</f>
        <v>综合管理</v>
      </c>
      <c r="T208" t="str">
        <f>IF(Jnl[[#This Row],[TrxDate]]&lt;=stmt_BS_date_end, "In", "Out")</f>
        <v>In</v>
      </c>
      <c r="U208" t="str">
        <f>IF(Jnl[[#This Row],[TrxDate]]&lt;debug_date_start, "prior", IF(Jnl[[#This Row],[TrxDate]]&gt;debug_date_end, "post", "curr"))</f>
        <v>prior</v>
      </c>
    </row>
    <row r="209" spans="1:21">
      <c r="A209" s="11" t="s">
        <v>355</v>
      </c>
      <c r="B209" s="7">
        <f>_xlfn.XLOOKUP(Jnl[[#This Row],[TrxId]], Trx[Id], Trx[Date],,0)</f>
        <v>46053</v>
      </c>
      <c r="C209" s="7" t="str">
        <f>_xlfn.XLOOKUP(Jnl[[#This Row],[TrxId]], Trx[Id], Trx[Division],,0)</f>
        <v>GM</v>
      </c>
      <c r="D209" s="7" t="str">
        <f>_xlfn.XLOOKUP(Jnl[[#This Row],[TrxId]], Trx[Id], Trx[Action],,0)</f>
        <v>交通</v>
      </c>
      <c r="E209" s="26" t="s">
        <v>84</v>
      </c>
      <c r="F209" s="11" t="s">
        <v>12</v>
      </c>
      <c r="G209" s="11" t="s">
        <v>390</v>
      </c>
      <c r="H209" s="72">
        <v>-317</v>
      </c>
      <c r="I209" s="5" t="b">
        <f>AND(Jnl[[#This Row],[TrxId]]&lt;&gt;"",Jnl[[#This Row],[Acct]]&lt;&gt;"",Jnl[[#This Row],[Item]]&lt;&gt;"",ISNUMBER(Jnl[[#This Row],[Bal]]))</f>
        <v>1</v>
      </c>
      <c r="J209" s="10">
        <f>IF(Jnl[[#This Row],[BSLv0]]="A",1,-1)*Jnl[[#This Row],[Bal]]</f>
        <v>-317</v>
      </c>
      <c r="K209" t="str">
        <f>_xlfn.XLOOKUP(Jnl[[#This Row],[Acct]], config_BS[Acct], config_BS[Lv0],,0)</f>
        <v>A</v>
      </c>
      <c r="L209" t="str">
        <f>_xlfn.XLOOKUP(Jnl[[#This Row],[Acct]], config_BS[Acct], config_BS[Lv1],,0)</f>
        <v>Assets</v>
      </c>
      <c r="M209" t="str">
        <f>_xlfn.XLOOKUP(Jnl[[#This Row],[Acct]], config_BS[Acct], config_BS[Lv2],,0)</f>
        <v>Cash alike</v>
      </c>
      <c r="N209" t="str">
        <f>_xlfn.XLOOKUP(Jnl[[#This Row],[TrxId]], Trx[Id], Trx[IncNode], ,0)</f>
        <v>Expense</v>
      </c>
      <c r="O209" t="str">
        <f>_xlfn.XLOOKUP(Jnl[[#This Row],[IncNode]], config_IS[Node], config_IS[Type],,0)</f>
        <v>Op</v>
      </c>
      <c r="P209" t="str">
        <f>_xlfn.XLOOKUP(Jnl[[#This Row],[BSLv2]], dict[Key], dict[Name],,0)</f>
        <v>0.现金及类似</v>
      </c>
      <c r="Q209" t="str">
        <f>_xlfn.XLOOKUP(Jnl[[#This Row],[Acct]], dict[Key], dict[Name],,0)</f>
        <v>银行</v>
      </c>
      <c r="R209" t="str">
        <f>_xlfn.XLOOKUP(Jnl[[#This Row],[Vehicle]],config_vehicle[Id], config_vehicle[Name],,0)</f>
        <v>榆乐</v>
      </c>
      <c r="S209" t="str">
        <f>_xlfn.XLOOKUP(Jnl[[#This Row],[Division]],config_div[Id], config_div[Name],,0)</f>
        <v>综合管理</v>
      </c>
      <c r="T209" t="str">
        <f>IF(Jnl[[#This Row],[TrxDate]]&lt;=stmt_BS_date_end, "In", "Out")</f>
        <v>In</v>
      </c>
      <c r="U209" t="str">
        <f>IF(Jnl[[#This Row],[TrxDate]]&lt;debug_date_start, "prior", IF(Jnl[[#This Row],[TrxDate]]&gt;debug_date_end, "post", "curr"))</f>
        <v>prior</v>
      </c>
    </row>
    <row r="210" spans="1:21">
      <c r="A210" s="11" t="s">
        <v>356</v>
      </c>
      <c r="B210" s="7">
        <f>_xlfn.XLOOKUP(Jnl[[#This Row],[TrxId]], Trx[Id], Trx[Date],,0)</f>
        <v>46053</v>
      </c>
      <c r="C210" s="7" t="str">
        <f>_xlfn.XLOOKUP(Jnl[[#This Row],[TrxId]], Trx[Id], Trx[Division],,0)</f>
        <v>Online</v>
      </c>
      <c r="D210" s="7" t="str">
        <f>_xlfn.XLOOKUP(Jnl[[#This Row],[TrxId]], Trx[Id], Trx[Action],,0)</f>
        <v>采购</v>
      </c>
      <c r="E210" s="26" t="s">
        <v>84</v>
      </c>
      <c r="F210" s="11" t="s">
        <v>12</v>
      </c>
      <c r="G210" s="11" t="s">
        <v>390</v>
      </c>
      <c r="H210" s="72">
        <v>-150</v>
      </c>
      <c r="I210" s="5" t="b">
        <f>AND(Jnl[[#This Row],[TrxId]]&lt;&gt;"",Jnl[[#This Row],[Acct]]&lt;&gt;"",Jnl[[#This Row],[Item]]&lt;&gt;"",ISNUMBER(Jnl[[#This Row],[Bal]]))</f>
        <v>1</v>
      </c>
      <c r="J210" s="10">
        <f>IF(Jnl[[#This Row],[BSLv0]]="A",1,-1)*Jnl[[#This Row],[Bal]]</f>
        <v>-150</v>
      </c>
      <c r="K210" t="str">
        <f>_xlfn.XLOOKUP(Jnl[[#This Row],[Acct]], config_BS[Acct], config_BS[Lv0],,0)</f>
        <v>A</v>
      </c>
      <c r="L210" t="str">
        <f>_xlfn.XLOOKUP(Jnl[[#This Row],[Acct]], config_BS[Acct], config_BS[Lv1],,0)</f>
        <v>Assets</v>
      </c>
      <c r="M210" t="str">
        <f>_xlfn.XLOOKUP(Jnl[[#This Row],[Acct]], config_BS[Acct], config_BS[Lv2],,0)</f>
        <v>Cash alike</v>
      </c>
      <c r="N210" t="str">
        <f>_xlfn.XLOOKUP(Jnl[[#This Row],[TrxId]], Trx[Id], Trx[IncNode], ,0)</f>
        <v>Cost</v>
      </c>
      <c r="O210" t="str">
        <f>_xlfn.XLOOKUP(Jnl[[#This Row],[IncNode]], config_IS[Node], config_IS[Type],,0)</f>
        <v>Op</v>
      </c>
      <c r="P210" t="str">
        <f>_xlfn.XLOOKUP(Jnl[[#This Row],[BSLv2]], dict[Key], dict[Name],,0)</f>
        <v>0.现金及类似</v>
      </c>
      <c r="Q210" t="str">
        <f>_xlfn.XLOOKUP(Jnl[[#This Row],[Acct]], dict[Key], dict[Name],,0)</f>
        <v>银行</v>
      </c>
      <c r="R210" t="str">
        <f>_xlfn.XLOOKUP(Jnl[[#This Row],[Vehicle]],config_vehicle[Id], config_vehicle[Name],,0)</f>
        <v>榆乐</v>
      </c>
      <c r="S210" t="str">
        <f>_xlfn.XLOOKUP(Jnl[[#This Row],[Division]],config_div[Id], config_div[Name],,0)</f>
        <v>网店</v>
      </c>
      <c r="T210" t="str">
        <f>IF(Jnl[[#This Row],[TrxDate]]&lt;=stmt_BS_date_end, "In", "Out")</f>
        <v>In</v>
      </c>
      <c r="U210" t="str">
        <f>IF(Jnl[[#This Row],[TrxDate]]&lt;debug_date_start, "prior", IF(Jnl[[#This Row],[TrxDate]]&gt;debug_date_end, "post", "curr"))</f>
        <v>prior</v>
      </c>
    </row>
    <row r="211" spans="1:21">
      <c r="A211" s="11" t="s">
        <v>356</v>
      </c>
      <c r="B211" s="7">
        <f>_xlfn.XLOOKUP(Jnl[[#This Row],[TrxId]], Trx[Id], Trx[Date],,0)</f>
        <v>46053</v>
      </c>
      <c r="C211" s="7" t="str">
        <f>_xlfn.XLOOKUP(Jnl[[#This Row],[TrxId]], Trx[Id], Trx[Division],,0)</f>
        <v>Online</v>
      </c>
      <c r="D211" s="7" t="str">
        <f>_xlfn.XLOOKUP(Jnl[[#This Row],[TrxId]], Trx[Id], Trx[Action],,0)</f>
        <v>采购</v>
      </c>
      <c r="E211" s="26" t="s">
        <v>80</v>
      </c>
      <c r="F211" s="11" t="s">
        <v>116</v>
      </c>
      <c r="G211" s="11" t="s">
        <v>151</v>
      </c>
      <c r="H211" s="72">
        <v>150</v>
      </c>
      <c r="I211" s="5" t="b">
        <f>AND(Jnl[[#This Row],[TrxId]]&lt;&gt;"",Jnl[[#This Row],[Acct]]&lt;&gt;"",Jnl[[#This Row],[Item]]&lt;&gt;"",ISNUMBER(Jnl[[#This Row],[Bal]]))</f>
        <v>1</v>
      </c>
      <c r="J211" s="10">
        <f>IF(Jnl[[#This Row],[BSLv0]]="A",1,-1)*Jnl[[#This Row],[Bal]]</f>
        <v>150</v>
      </c>
      <c r="K211" t="str">
        <f>_xlfn.XLOOKUP(Jnl[[#This Row],[Acct]], config_BS[Acct], config_BS[Lv0],,0)</f>
        <v>A</v>
      </c>
      <c r="L211" t="str">
        <f>_xlfn.XLOOKUP(Jnl[[#This Row],[Acct]], config_BS[Acct], config_BS[Lv1],,0)</f>
        <v>Assets</v>
      </c>
      <c r="M211" t="str">
        <f>_xlfn.XLOOKUP(Jnl[[#This Row],[Acct]], config_BS[Acct], config_BS[Lv2],,0)</f>
        <v>Invtr</v>
      </c>
      <c r="N211" t="str">
        <f>_xlfn.XLOOKUP(Jnl[[#This Row],[TrxId]], Trx[Id], Trx[IncNode], ,0)</f>
        <v>Cost</v>
      </c>
      <c r="O211" t="str">
        <f>_xlfn.XLOOKUP(Jnl[[#This Row],[IncNode]], config_IS[Node], config_IS[Type],,0)</f>
        <v>Op</v>
      </c>
      <c r="P211" t="str">
        <f>_xlfn.XLOOKUP(Jnl[[#This Row],[BSLv2]], dict[Key], dict[Name],,0)</f>
        <v>3.库存占款</v>
      </c>
      <c r="Q211" t="str">
        <f>_xlfn.XLOOKUP(Jnl[[#This Row],[Acct]], dict[Key], dict[Name],,0)</f>
        <v>当期存货</v>
      </c>
      <c r="R211" t="str">
        <f>_xlfn.XLOOKUP(Jnl[[#This Row],[Vehicle]],config_vehicle[Id], config_vehicle[Name],,0)</f>
        <v>远家花园</v>
      </c>
      <c r="S211" t="str">
        <f>_xlfn.XLOOKUP(Jnl[[#This Row],[Division]],config_div[Id], config_div[Name],,0)</f>
        <v>网店</v>
      </c>
      <c r="T211" t="str">
        <f>IF(Jnl[[#This Row],[TrxDate]]&lt;=stmt_BS_date_end, "In", "Out")</f>
        <v>In</v>
      </c>
      <c r="U211" t="str">
        <f>IF(Jnl[[#This Row],[TrxDate]]&lt;debug_date_start, "prior", IF(Jnl[[#This Row],[TrxDate]]&gt;debug_date_end, "post", "curr"))</f>
        <v>prior</v>
      </c>
    </row>
    <row r="212" spans="1:21">
      <c r="A212" s="11" t="s">
        <v>357</v>
      </c>
      <c r="B212" s="7">
        <f>_xlfn.XLOOKUP(Jnl[[#This Row],[TrxId]], Trx[Id], Trx[Date],,0)</f>
        <v>46053</v>
      </c>
      <c r="C212" s="7" t="str">
        <f>_xlfn.XLOOKUP(Jnl[[#This Row],[TrxId]], Trx[Id], Trx[Division],,0)</f>
        <v>Online</v>
      </c>
      <c r="D212" s="7" t="str">
        <f>_xlfn.XLOOKUP(Jnl[[#This Row],[TrxId]], Trx[Id], Trx[Action],,0)</f>
        <v>采购</v>
      </c>
      <c r="E212" s="26" t="s">
        <v>84</v>
      </c>
      <c r="F212" s="11" t="s">
        <v>12</v>
      </c>
      <c r="G212" s="11" t="s">
        <v>390</v>
      </c>
      <c r="H212" s="72">
        <v>-2990</v>
      </c>
      <c r="I212" s="5" t="b">
        <f>AND(Jnl[[#This Row],[TrxId]]&lt;&gt;"",Jnl[[#This Row],[Acct]]&lt;&gt;"",Jnl[[#This Row],[Item]]&lt;&gt;"",ISNUMBER(Jnl[[#This Row],[Bal]]))</f>
        <v>1</v>
      </c>
      <c r="J212" s="10">
        <f>IF(Jnl[[#This Row],[BSLv0]]="A",1,-1)*Jnl[[#This Row],[Bal]]</f>
        <v>-2990</v>
      </c>
      <c r="K212" t="str">
        <f>_xlfn.XLOOKUP(Jnl[[#This Row],[Acct]], config_BS[Acct], config_BS[Lv0],,0)</f>
        <v>A</v>
      </c>
      <c r="L212" t="str">
        <f>_xlfn.XLOOKUP(Jnl[[#This Row],[Acct]], config_BS[Acct], config_BS[Lv1],,0)</f>
        <v>Assets</v>
      </c>
      <c r="M212" t="str">
        <f>_xlfn.XLOOKUP(Jnl[[#This Row],[Acct]], config_BS[Acct], config_BS[Lv2],,0)</f>
        <v>Cash alike</v>
      </c>
      <c r="N212" t="str">
        <f>_xlfn.XLOOKUP(Jnl[[#This Row],[TrxId]], Trx[Id], Trx[IncNode], ,0)</f>
        <v>Cost</v>
      </c>
      <c r="O212" t="str">
        <f>_xlfn.XLOOKUP(Jnl[[#This Row],[IncNode]], config_IS[Node], config_IS[Type],,0)</f>
        <v>Op</v>
      </c>
      <c r="P212" t="str">
        <f>_xlfn.XLOOKUP(Jnl[[#This Row],[BSLv2]], dict[Key], dict[Name],,0)</f>
        <v>0.现金及类似</v>
      </c>
      <c r="Q212" t="str">
        <f>_xlfn.XLOOKUP(Jnl[[#This Row],[Acct]], dict[Key], dict[Name],,0)</f>
        <v>银行</v>
      </c>
      <c r="R212" t="str">
        <f>_xlfn.XLOOKUP(Jnl[[#This Row],[Vehicle]],config_vehicle[Id], config_vehicle[Name],,0)</f>
        <v>榆乐</v>
      </c>
      <c r="S212" t="str">
        <f>_xlfn.XLOOKUP(Jnl[[#This Row],[Division]],config_div[Id], config_div[Name],,0)</f>
        <v>网店</v>
      </c>
      <c r="T212" t="str">
        <f>IF(Jnl[[#This Row],[TrxDate]]&lt;=stmt_BS_date_end, "In", "Out")</f>
        <v>In</v>
      </c>
      <c r="U212" t="str">
        <f>IF(Jnl[[#This Row],[TrxDate]]&lt;debug_date_start, "prior", IF(Jnl[[#This Row],[TrxDate]]&gt;debug_date_end, "post", "curr"))</f>
        <v>prior</v>
      </c>
    </row>
    <row r="213" spans="1:21">
      <c r="A213" s="11" t="s">
        <v>357</v>
      </c>
      <c r="B213" s="7">
        <f>_xlfn.XLOOKUP(Jnl[[#This Row],[TrxId]], Trx[Id], Trx[Date],,0)</f>
        <v>46053</v>
      </c>
      <c r="C213" s="7" t="str">
        <f>_xlfn.XLOOKUP(Jnl[[#This Row],[TrxId]], Trx[Id], Trx[Division],,0)</f>
        <v>Online</v>
      </c>
      <c r="D213" s="7" t="str">
        <f>_xlfn.XLOOKUP(Jnl[[#This Row],[TrxId]], Trx[Id], Trx[Action],,0)</f>
        <v>采购</v>
      </c>
      <c r="E213" s="26" t="s">
        <v>80</v>
      </c>
      <c r="F213" s="11" t="s">
        <v>116</v>
      </c>
      <c r="G213" s="11" t="s">
        <v>151</v>
      </c>
      <c r="H213" s="72">
        <v>2990</v>
      </c>
      <c r="I213" s="5" t="b">
        <f>AND(Jnl[[#This Row],[TrxId]]&lt;&gt;"",Jnl[[#This Row],[Acct]]&lt;&gt;"",Jnl[[#This Row],[Item]]&lt;&gt;"",ISNUMBER(Jnl[[#This Row],[Bal]]))</f>
        <v>1</v>
      </c>
      <c r="J213" s="10">
        <f>IF(Jnl[[#This Row],[BSLv0]]="A",1,-1)*Jnl[[#This Row],[Bal]]</f>
        <v>2990</v>
      </c>
      <c r="K213" t="str">
        <f>_xlfn.XLOOKUP(Jnl[[#This Row],[Acct]], config_BS[Acct], config_BS[Lv0],,0)</f>
        <v>A</v>
      </c>
      <c r="L213" t="str">
        <f>_xlfn.XLOOKUP(Jnl[[#This Row],[Acct]], config_BS[Acct], config_BS[Lv1],,0)</f>
        <v>Assets</v>
      </c>
      <c r="M213" t="str">
        <f>_xlfn.XLOOKUP(Jnl[[#This Row],[Acct]], config_BS[Acct], config_BS[Lv2],,0)</f>
        <v>Invtr</v>
      </c>
      <c r="N213" t="str">
        <f>_xlfn.XLOOKUP(Jnl[[#This Row],[TrxId]], Trx[Id], Trx[IncNode], ,0)</f>
        <v>Cost</v>
      </c>
      <c r="O213" t="str">
        <f>_xlfn.XLOOKUP(Jnl[[#This Row],[IncNode]], config_IS[Node], config_IS[Type],,0)</f>
        <v>Op</v>
      </c>
      <c r="P213" t="str">
        <f>_xlfn.XLOOKUP(Jnl[[#This Row],[BSLv2]], dict[Key], dict[Name],,0)</f>
        <v>3.库存占款</v>
      </c>
      <c r="Q213" t="str">
        <f>_xlfn.XLOOKUP(Jnl[[#This Row],[Acct]], dict[Key], dict[Name],,0)</f>
        <v>当期存货</v>
      </c>
      <c r="R213" t="str">
        <f>_xlfn.XLOOKUP(Jnl[[#This Row],[Vehicle]],config_vehicle[Id], config_vehicle[Name],,0)</f>
        <v>远家花园</v>
      </c>
      <c r="S213" t="str">
        <f>_xlfn.XLOOKUP(Jnl[[#This Row],[Division]],config_div[Id], config_div[Name],,0)</f>
        <v>网店</v>
      </c>
      <c r="T213" t="str">
        <f>IF(Jnl[[#This Row],[TrxDate]]&lt;=stmt_BS_date_end, "In", "Out")</f>
        <v>In</v>
      </c>
      <c r="U213" t="str">
        <f>IF(Jnl[[#This Row],[TrxDate]]&lt;debug_date_start, "prior", IF(Jnl[[#This Row],[TrxDate]]&gt;debug_date_end, "post", "curr"))</f>
        <v>prior</v>
      </c>
    </row>
    <row r="214" spans="1:21">
      <c r="A214" s="11" t="s">
        <v>358</v>
      </c>
      <c r="B214" s="7">
        <f>_xlfn.XLOOKUP(Jnl[[#This Row],[TrxId]], Trx[Id], Trx[Date],,0)</f>
        <v>46053</v>
      </c>
      <c r="C214" s="7" t="str">
        <f>_xlfn.XLOOKUP(Jnl[[#This Row],[TrxId]], Trx[Id], Trx[Division],,0)</f>
        <v>Online</v>
      </c>
      <c r="D214" s="7" t="str">
        <f>_xlfn.XLOOKUP(Jnl[[#This Row],[TrxId]], Trx[Id], Trx[Action],,0)</f>
        <v>采购</v>
      </c>
      <c r="E214" s="26" t="s">
        <v>84</v>
      </c>
      <c r="F214" s="11" t="s">
        <v>12</v>
      </c>
      <c r="G214" s="11" t="s">
        <v>390</v>
      </c>
      <c r="H214" s="72">
        <v>-80</v>
      </c>
      <c r="I214" s="5" t="b">
        <f>AND(Jnl[[#This Row],[TrxId]]&lt;&gt;"",Jnl[[#This Row],[Acct]]&lt;&gt;"",Jnl[[#This Row],[Item]]&lt;&gt;"",ISNUMBER(Jnl[[#This Row],[Bal]]))</f>
        <v>1</v>
      </c>
      <c r="J214" s="10">
        <f>IF(Jnl[[#This Row],[BSLv0]]="A",1,-1)*Jnl[[#This Row],[Bal]]</f>
        <v>-80</v>
      </c>
      <c r="K214" t="str">
        <f>_xlfn.XLOOKUP(Jnl[[#This Row],[Acct]], config_BS[Acct], config_BS[Lv0],,0)</f>
        <v>A</v>
      </c>
      <c r="L214" t="str">
        <f>_xlfn.XLOOKUP(Jnl[[#This Row],[Acct]], config_BS[Acct], config_BS[Lv1],,0)</f>
        <v>Assets</v>
      </c>
      <c r="M214" t="str">
        <f>_xlfn.XLOOKUP(Jnl[[#This Row],[Acct]], config_BS[Acct], config_BS[Lv2],,0)</f>
        <v>Cash alike</v>
      </c>
      <c r="N214" t="str">
        <f>_xlfn.XLOOKUP(Jnl[[#This Row],[TrxId]], Trx[Id], Trx[IncNode], ,0)</f>
        <v>Cost</v>
      </c>
      <c r="O214" t="str">
        <f>_xlfn.XLOOKUP(Jnl[[#This Row],[IncNode]], config_IS[Node], config_IS[Type],,0)</f>
        <v>Op</v>
      </c>
      <c r="P214" t="str">
        <f>_xlfn.XLOOKUP(Jnl[[#This Row],[BSLv2]], dict[Key], dict[Name],,0)</f>
        <v>0.现金及类似</v>
      </c>
      <c r="Q214" t="str">
        <f>_xlfn.XLOOKUP(Jnl[[#This Row],[Acct]], dict[Key], dict[Name],,0)</f>
        <v>银行</v>
      </c>
      <c r="R214" t="str">
        <f>_xlfn.XLOOKUP(Jnl[[#This Row],[Vehicle]],config_vehicle[Id], config_vehicle[Name],,0)</f>
        <v>榆乐</v>
      </c>
      <c r="S214" t="str">
        <f>_xlfn.XLOOKUP(Jnl[[#This Row],[Division]],config_div[Id], config_div[Name],,0)</f>
        <v>网店</v>
      </c>
      <c r="T214" t="str">
        <f>IF(Jnl[[#This Row],[TrxDate]]&lt;=stmt_BS_date_end, "In", "Out")</f>
        <v>In</v>
      </c>
      <c r="U214" t="str">
        <f>IF(Jnl[[#This Row],[TrxDate]]&lt;debug_date_start, "prior", IF(Jnl[[#This Row],[TrxDate]]&gt;debug_date_end, "post", "curr"))</f>
        <v>prior</v>
      </c>
    </row>
    <row r="215" spans="1:21">
      <c r="A215" s="11" t="s">
        <v>358</v>
      </c>
      <c r="B215" s="7">
        <f>_xlfn.XLOOKUP(Jnl[[#This Row],[TrxId]], Trx[Id], Trx[Date],,0)</f>
        <v>46053</v>
      </c>
      <c r="C215" s="7" t="str">
        <f>_xlfn.XLOOKUP(Jnl[[#This Row],[TrxId]], Trx[Id], Trx[Division],,0)</f>
        <v>Online</v>
      </c>
      <c r="D215" s="7" t="str">
        <f>_xlfn.XLOOKUP(Jnl[[#This Row],[TrxId]], Trx[Id], Trx[Action],,0)</f>
        <v>采购</v>
      </c>
      <c r="E215" s="26" t="s">
        <v>80</v>
      </c>
      <c r="F215" s="11" t="s">
        <v>116</v>
      </c>
      <c r="G215" s="11" t="s">
        <v>151</v>
      </c>
      <c r="H215" s="72">
        <v>80</v>
      </c>
      <c r="I215" s="5" t="b">
        <f>AND(Jnl[[#This Row],[TrxId]]&lt;&gt;"",Jnl[[#This Row],[Acct]]&lt;&gt;"",Jnl[[#This Row],[Item]]&lt;&gt;"",ISNUMBER(Jnl[[#This Row],[Bal]]))</f>
        <v>1</v>
      </c>
      <c r="J215" s="10">
        <f>IF(Jnl[[#This Row],[BSLv0]]="A",1,-1)*Jnl[[#This Row],[Bal]]</f>
        <v>80</v>
      </c>
      <c r="K215" t="str">
        <f>_xlfn.XLOOKUP(Jnl[[#This Row],[Acct]], config_BS[Acct], config_BS[Lv0],,0)</f>
        <v>A</v>
      </c>
      <c r="L215" t="str">
        <f>_xlfn.XLOOKUP(Jnl[[#This Row],[Acct]], config_BS[Acct], config_BS[Lv1],,0)</f>
        <v>Assets</v>
      </c>
      <c r="M215" t="str">
        <f>_xlfn.XLOOKUP(Jnl[[#This Row],[Acct]], config_BS[Acct], config_BS[Lv2],,0)</f>
        <v>Invtr</v>
      </c>
      <c r="N215" t="str">
        <f>_xlfn.XLOOKUP(Jnl[[#This Row],[TrxId]], Trx[Id], Trx[IncNode], ,0)</f>
        <v>Cost</v>
      </c>
      <c r="O215" t="str">
        <f>_xlfn.XLOOKUP(Jnl[[#This Row],[IncNode]], config_IS[Node], config_IS[Type],,0)</f>
        <v>Op</v>
      </c>
      <c r="P215" t="str">
        <f>_xlfn.XLOOKUP(Jnl[[#This Row],[BSLv2]], dict[Key], dict[Name],,0)</f>
        <v>3.库存占款</v>
      </c>
      <c r="Q215" t="str">
        <f>_xlfn.XLOOKUP(Jnl[[#This Row],[Acct]], dict[Key], dict[Name],,0)</f>
        <v>当期存货</v>
      </c>
      <c r="R215" t="str">
        <f>_xlfn.XLOOKUP(Jnl[[#This Row],[Vehicle]],config_vehicle[Id], config_vehicle[Name],,0)</f>
        <v>远家花园</v>
      </c>
      <c r="S215" t="str">
        <f>_xlfn.XLOOKUP(Jnl[[#This Row],[Division]],config_div[Id], config_div[Name],,0)</f>
        <v>网店</v>
      </c>
      <c r="T215" t="str">
        <f>IF(Jnl[[#This Row],[TrxDate]]&lt;=stmt_BS_date_end, "In", "Out")</f>
        <v>In</v>
      </c>
      <c r="U215" t="str">
        <f>IF(Jnl[[#This Row],[TrxDate]]&lt;debug_date_start, "prior", IF(Jnl[[#This Row],[TrxDate]]&gt;debug_date_end, "post", "curr"))</f>
        <v>prior</v>
      </c>
    </row>
    <row r="216" spans="1:21">
      <c r="A216" s="11" t="s">
        <v>361</v>
      </c>
      <c r="B216" s="7">
        <f>_xlfn.XLOOKUP(Jnl[[#This Row],[TrxId]], Trx[Id], Trx[Date],,0)</f>
        <v>46053</v>
      </c>
      <c r="C216" s="7" t="str">
        <f>_xlfn.XLOOKUP(Jnl[[#This Row],[TrxId]], Trx[Id], Trx[Division],,0)</f>
        <v>Online</v>
      </c>
      <c r="D216" s="7" t="str">
        <f>_xlfn.XLOOKUP(Jnl[[#This Row],[TrxId]], Trx[Id], Trx[Action],,0)</f>
        <v>设计</v>
      </c>
      <c r="E216" s="26" t="s">
        <v>84</v>
      </c>
      <c r="F216" s="11" t="s">
        <v>12</v>
      </c>
      <c r="G216" s="11" t="s">
        <v>390</v>
      </c>
      <c r="H216" s="72">
        <v>-125.38</v>
      </c>
      <c r="I216" s="5" t="b">
        <f>AND(Jnl[[#This Row],[TrxId]]&lt;&gt;"",Jnl[[#This Row],[Acct]]&lt;&gt;"",Jnl[[#This Row],[Item]]&lt;&gt;"",ISNUMBER(Jnl[[#This Row],[Bal]]))</f>
        <v>1</v>
      </c>
      <c r="J216" s="10">
        <f>IF(Jnl[[#This Row],[BSLv0]]="A",1,-1)*Jnl[[#This Row],[Bal]]</f>
        <v>-125.38</v>
      </c>
      <c r="K216" t="str">
        <f>_xlfn.XLOOKUP(Jnl[[#This Row],[Acct]], config_BS[Acct], config_BS[Lv0],,0)</f>
        <v>A</v>
      </c>
      <c r="L216" t="str">
        <f>_xlfn.XLOOKUP(Jnl[[#This Row],[Acct]], config_BS[Acct], config_BS[Lv1],,0)</f>
        <v>Assets</v>
      </c>
      <c r="M216" t="str">
        <f>_xlfn.XLOOKUP(Jnl[[#This Row],[Acct]], config_BS[Acct], config_BS[Lv2],,0)</f>
        <v>Cash alike</v>
      </c>
      <c r="N216" t="str">
        <f>_xlfn.XLOOKUP(Jnl[[#This Row],[TrxId]], Trx[Id], Trx[IncNode], ,0)</f>
        <v>Expense</v>
      </c>
      <c r="O216" t="str">
        <f>_xlfn.XLOOKUP(Jnl[[#This Row],[IncNode]], config_IS[Node], config_IS[Type],,0)</f>
        <v>Op</v>
      </c>
      <c r="P216" t="str">
        <f>_xlfn.XLOOKUP(Jnl[[#This Row],[BSLv2]], dict[Key], dict[Name],,0)</f>
        <v>0.现金及类似</v>
      </c>
      <c r="Q216" t="str">
        <f>_xlfn.XLOOKUP(Jnl[[#This Row],[Acct]], dict[Key], dict[Name],,0)</f>
        <v>银行</v>
      </c>
      <c r="R216" t="str">
        <f>_xlfn.XLOOKUP(Jnl[[#This Row],[Vehicle]],config_vehicle[Id], config_vehicle[Name],,0)</f>
        <v>榆乐</v>
      </c>
      <c r="S216" t="str">
        <f>_xlfn.XLOOKUP(Jnl[[#This Row],[Division]],config_div[Id], config_div[Name],,0)</f>
        <v>网店</v>
      </c>
      <c r="T216" t="str">
        <f>IF(Jnl[[#This Row],[TrxDate]]&lt;=stmt_BS_date_end, "In", "Out")</f>
        <v>In</v>
      </c>
      <c r="U216" t="str">
        <f>IF(Jnl[[#This Row],[TrxDate]]&lt;debug_date_start, "prior", IF(Jnl[[#This Row],[TrxDate]]&gt;debug_date_end, "post", "curr"))</f>
        <v>prior</v>
      </c>
    </row>
    <row r="217" spans="1:21">
      <c r="A217" s="11" t="s">
        <v>362</v>
      </c>
      <c r="B217" s="7">
        <f>_xlfn.XLOOKUP(Jnl[[#This Row],[TrxId]], Trx[Id], Trx[Date],,0)</f>
        <v>46053</v>
      </c>
      <c r="C217" s="7" t="str">
        <f>_xlfn.XLOOKUP(Jnl[[#This Row],[TrxId]], Trx[Id], Trx[Division],,0)</f>
        <v>Online</v>
      </c>
      <c r="D217" s="7" t="str">
        <f>_xlfn.XLOOKUP(Jnl[[#This Row],[TrxId]], Trx[Id], Trx[Action],,0)</f>
        <v>设计</v>
      </c>
      <c r="E217" s="26" t="s">
        <v>84</v>
      </c>
      <c r="F217" s="11" t="s">
        <v>12</v>
      </c>
      <c r="G217" s="11" t="s">
        <v>390</v>
      </c>
      <c r="H217" s="72">
        <v>-100.45</v>
      </c>
      <c r="I217" s="5" t="b">
        <f>AND(Jnl[[#This Row],[TrxId]]&lt;&gt;"",Jnl[[#This Row],[Acct]]&lt;&gt;"",Jnl[[#This Row],[Item]]&lt;&gt;"",ISNUMBER(Jnl[[#This Row],[Bal]]))</f>
        <v>1</v>
      </c>
      <c r="J217" s="10">
        <f>IF(Jnl[[#This Row],[BSLv0]]="A",1,-1)*Jnl[[#This Row],[Bal]]</f>
        <v>-100.45</v>
      </c>
      <c r="K217" t="str">
        <f>_xlfn.XLOOKUP(Jnl[[#This Row],[Acct]], config_BS[Acct], config_BS[Lv0],,0)</f>
        <v>A</v>
      </c>
      <c r="L217" t="str">
        <f>_xlfn.XLOOKUP(Jnl[[#This Row],[Acct]], config_BS[Acct], config_BS[Lv1],,0)</f>
        <v>Assets</v>
      </c>
      <c r="M217" t="str">
        <f>_xlfn.XLOOKUP(Jnl[[#This Row],[Acct]], config_BS[Acct], config_BS[Lv2],,0)</f>
        <v>Cash alike</v>
      </c>
      <c r="N217" t="str">
        <f>_xlfn.XLOOKUP(Jnl[[#This Row],[TrxId]], Trx[Id], Trx[IncNode], ,0)</f>
        <v>Expense</v>
      </c>
      <c r="O217" t="str">
        <f>_xlfn.XLOOKUP(Jnl[[#This Row],[IncNode]], config_IS[Node], config_IS[Type],,0)</f>
        <v>Op</v>
      </c>
      <c r="P217" t="str">
        <f>_xlfn.XLOOKUP(Jnl[[#This Row],[BSLv2]], dict[Key], dict[Name],,0)</f>
        <v>0.现金及类似</v>
      </c>
      <c r="Q217" t="str">
        <f>_xlfn.XLOOKUP(Jnl[[#This Row],[Acct]], dict[Key], dict[Name],,0)</f>
        <v>银行</v>
      </c>
      <c r="R217" t="str">
        <f>_xlfn.XLOOKUP(Jnl[[#This Row],[Vehicle]],config_vehicle[Id], config_vehicle[Name],,0)</f>
        <v>榆乐</v>
      </c>
      <c r="S217" t="str">
        <f>_xlfn.XLOOKUP(Jnl[[#This Row],[Division]],config_div[Id], config_div[Name],,0)</f>
        <v>网店</v>
      </c>
      <c r="T217" t="str">
        <f>IF(Jnl[[#This Row],[TrxDate]]&lt;=stmt_BS_date_end, "In", "Out")</f>
        <v>In</v>
      </c>
      <c r="U217" t="str">
        <f>IF(Jnl[[#This Row],[TrxDate]]&lt;debug_date_start, "prior", IF(Jnl[[#This Row],[TrxDate]]&gt;debug_date_end, "post", "curr"))</f>
        <v>prior</v>
      </c>
    </row>
    <row r="218" spans="1:21">
      <c r="A218" s="11" t="s">
        <v>363</v>
      </c>
      <c r="B218" s="7">
        <f>_xlfn.XLOOKUP(Jnl[[#This Row],[TrxId]], Trx[Id], Trx[Date],,0)</f>
        <v>46053</v>
      </c>
      <c r="C218" s="7" t="str">
        <f>_xlfn.XLOOKUP(Jnl[[#This Row],[TrxId]], Trx[Id], Trx[Division],,0)</f>
        <v>Online</v>
      </c>
      <c r="D218" s="7" t="str">
        <f>_xlfn.XLOOKUP(Jnl[[#This Row],[TrxId]], Trx[Id], Trx[Action],,0)</f>
        <v>采购</v>
      </c>
      <c r="E218" s="26" t="s">
        <v>84</v>
      </c>
      <c r="F218" s="11" t="s">
        <v>12</v>
      </c>
      <c r="G218" s="11" t="s">
        <v>390</v>
      </c>
      <c r="H218" s="72">
        <v>-880</v>
      </c>
      <c r="I218" s="5" t="b">
        <f>AND(Jnl[[#This Row],[TrxId]]&lt;&gt;"",Jnl[[#This Row],[Acct]]&lt;&gt;"",Jnl[[#This Row],[Item]]&lt;&gt;"",ISNUMBER(Jnl[[#This Row],[Bal]]))</f>
        <v>1</v>
      </c>
      <c r="J218" s="10">
        <f>IF(Jnl[[#This Row],[BSLv0]]="A",1,-1)*Jnl[[#This Row],[Bal]]</f>
        <v>-880</v>
      </c>
      <c r="K218" t="str">
        <f>_xlfn.XLOOKUP(Jnl[[#This Row],[Acct]], config_BS[Acct], config_BS[Lv0],,0)</f>
        <v>A</v>
      </c>
      <c r="L218" t="str">
        <f>_xlfn.XLOOKUP(Jnl[[#This Row],[Acct]], config_BS[Acct], config_BS[Lv1],,0)</f>
        <v>Assets</v>
      </c>
      <c r="M218" t="str">
        <f>_xlfn.XLOOKUP(Jnl[[#This Row],[Acct]], config_BS[Acct], config_BS[Lv2],,0)</f>
        <v>Cash alike</v>
      </c>
      <c r="N218" t="str">
        <f>_xlfn.XLOOKUP(Jnl[[#This Row],[TrxId]], Trx[Id], Trx[IncNode], ,0)</f>
        <v>Cost</v>
      </c>
      <c r="O218" t="str">
        <f>_xlfn.XLOOKUP(Jnl[[#This Row],[IncNode]], config_IS[Node], config_IS[Type],,0)</f>
        <v>Op</v>
      </c>
      <c r="P218" t="str">
        <f>_xlfn.XLOOKUP(Jnl[[#This Row],[BSLv2]], dict[Key], dict[Name],,0)</f>
        <v>0.现金及类似</v>
      </c>
      <c r="Q218" t="str">
        <f>_xlfn.XLOOKUP(Jnl[[#This Row],[Acct]], dict[Key], dict[Name],,0)</f>
        <v>银行</v>
      </c>
      <c r="R218" t="str">
        <f>_xlfn.XLOOKUP(Jnl[[#This Row],[Vehicle]],config_vehicle[Id], config_vehicle[Name],,0)</f>
        <v>榆乐</v>
      </c>
      <c r="S218" t="str">
        <f>_xlfn.XLOOKUP(Jnl[[#This Row],[Division]],config_div[Id], config_div[Name],,0)</f>
        <v>网店</v>
      </c>
      <c r="T218" t="str">
        <f>IF(Jnl[[#This Row],[TrxDate]]&lt;=stmt_BS_date_end, "In", "Out")</f>
        <v>In</v>
      </c>
      <c r="U218" t="str">
        <f>IF(Jnl[[#This Row],[TrxDate]]&lt;debug_date_start, "prior", IF(Jnl[[#This Row],[TrxDate]]&gt;debug_date_end, "post", "curr"))</f>
        <v>prior</v>
      </c>
    </row>
    <row r="219" spans="1:21">
      <c r="A219" s="11" t="s">
        <v>363</v>
      </c>
      <c r="B219" s="7">
        <f>_xlfn.XLOOKUP(Jnl[[#This Row],[TrxId]], Trx[Id], Trx[Date],,0)</f>
        <v>46053</v>
      </c>
      <c r="C219" s="7" t="str">
        <f>_xlfn.XLOOKUP(Jnl[[#This Row],[TrxId]], Trx[Id], Trx[Division],,0)</f>
        <v>Online</v>
      </c>
      <c r="D219" s="7" t="str">
        <f>_xlfn.XLOOKUP(Jnl[[#This Row],[TrxId]], Trx[Id], Trx[Action],,0)</f>
        <v>采购</v>
      </c>
      <c r="E219" s="26" t="s">
        <v>80</v>
      </c>
      <c r="F219" s="11" t="s">
        <v>116</v>
      </c>
      <c r="G219" s="11" t="s">
        <v>151</v>
      </c>
      <c r="H219" s="72">
        <v>880</v>
      </c>
      <c r="I219" s="5" t="b">
        <f>AND(Jnl[[#This Row],[TrxId]]&lt;&gt;"",Jnl[[#This Row],[Acct]]&lt;&gt;"",Jnl[[#This Row],[Item]]&lt;&gt;"",ISNUMBER(Jnl[[#This Row],[Bal]]))</f>
        <v>1</v>
      </c>
      <c r="J219" s="10">
        <f>IF(Jnl[[#This Row],[BSLv0]]="A",1,-1)*Jnl[[#This Row],[Bal]]</f>
        <v>880</v>
      </c>
      <c r="K219" t="str">
        <f>_xlfn.XLOOKUP(Jnl[[#This Row],[Acct]], config_BS[Acct], config_BS[Lv0],,0)</f>
        <v>A</v>
      </c>
      <c r="L219" t="str">
        <f>_xlfn.XLOOKUP(Jnl[[#This Row],[Acct]], config_BS[Acct], config_BS[Lv1],,0)</f>
        <v>Assets</v>
      </c>
      <c r="M219" t="str">
        <f>_xlfn.XLOOKUP(Jnl[[#This Row],[Acct]], config_BS[Acct], config_BS[Lv2],,0)</f>
        <v>Invtr</v>
      </c>
      <c r="N219" t="str">
        <f>_xlfn.XLOOKUP(Jnl[[#This Row],[TrxId]], Trx[Id], Trx[IncNode], ,0)</f>
        <v>Cost</v>
      </c>
      <c r="O219" t="str">
        <f>_xlfn.XLOOKUP(Jnl[[#This Row],[IncNode]], config_IS[Node], config_IS[Type],,0)</f>
        <v>Op</v>
      </c>
      <c r="P219" t="str">
        <f>_xlfn.XLOOKUP(Jnl[[#This Row],[BSLv2]], dict[Key], dict[Name],,0)</f>
        <v>3.库存占款</v>
      </c>
      <c r="Q219" t="str">
        <f>_xlfn.XLOOKUP(Jnl[[#This Row],[Acct]], dict[Key], dict[Name],,0)</f>
        <v>当期存货</v>
      </c>
      <c r="R219" t="str">
        <f>_xlfn.XLOOKUP(Jnl[[#This Row],[Vehicle]],config_vehicle[Id], config_vehicle[Name],,0)</f>
        <v>远家花园</v>
      </c>
      <c r="S219" t="str">
        <f>_xlfn.XLOOKUP(Jnl[[#This Row],[Division]],config_div[Id], config_div[Name],,0)</f>
        <v>网店</v>
      </c>
      <c r="T219" t="str">
        <f>IF(Jnl[[#This Row],[TrxDate]]&lt;=stmt_BS_date_end, "In", "Out")</f>
        <v>In</v>
      </c>
      <c r="U219" t="str">
        <f>IF(Jnl[[#This Row],[TrxDate]]&lt;debug_date_start, "prior", IF(Jnl[[#This Row],[TrxDate]]&gt;debug_date_end, "post", "curr"))</f>
        <v>prior</v>
      </c>
    </row>
    <row r="220" spans="1:21">
      <c r="A220" s="11" t="s">
        <v>364</v>
      </c>
      <c r="B220" s="7">
        <f>_xlfn.XLOOKUP(Jnl[[#This Row],[TrxId]], Trx[Id], Trx[Date],,0)</f>
        <v>46053</v>
      </c>
      <c r="C220" s="7" t="str">
        <f>_xlfn.XLOOKUP(Jnl[[#This Row],[TrxId]], Trx[Id], Trx[Division],,0)</f>
        <v>Brand</v>
      </c>
      <c r="D220" s="7" t="str">
        <f>_xlfn.XLOOKUP(Jnl[[#This Row],[TrxId]], Trx[Id], Trx[Action],,0)</f>
        <v>拍摄</v>
      </c>
      <c r="E220" s="26" t="s">
        <v>84</v>
      </c>
      <c r="F220" s="11" t="s">
        <v>12</v>
      </c>
      <c r="G220" s="11" t="s">
        <v>390</v>
      </c>
      <c r="H220" s="72">
        <v>-199.18</v>
      </c>
      <c r="I220" s="5" t="b">
        <f>AND(Jnl[[#This Row],[TrxId]]&lt;&gt;"",Jnl[[#This Row],[Acct]]&lt;&gt;"",Jnl[[#This Row],[Item]]&lt;&gt;"",ISNUMBER(Jnl[[#This Row],[Bal]]))</f>
        <v>1</v>
      </c>
      <c r="J220" s="10">
        <f>IF(Jnl[[#This Row],[BSLv0]]="A",1,-1)*Jnl[[#This Row],[Bal]]</f>
        <v>-199.18</v>
      </c>
      <c r="K220" t="str">
        <f>_xlfn.XLOOKUP(Jnl[[#This Row],[Acct]], config_BS[Acct], config_BS[Lv0],,0)</f>
        <v>A</v>
      </c>
      <c r="L220" t="str">
        <f>_xlfn.XLOOKUP(Jnl[[#This Row],[Acct]], config_BS[Acct], config_BS[Lv1],,0)</f>
        <v>Assets</v>
      </c>
      <c r="M220" t="str">
        <f>_xlfn.XLOOKUP(Jnl[[#This Row],[Acct]], config_BS[Acct], config_BS[Lv2],,0)</f>
        <v>Cash alike</v>
      </c>
      <c r="N220" t="str">
        <f>_xlfn.XLOOKUP(Jnl[[#This Row],[TrxId]], Trx[Id], Trx[IncNode], ,0)</f>
        <v>Expense</v>
      </c>
      <c r="O220" t="str">
        <f>_xlfn.XLOOKUP(Jnl[[#This Row],[IncNode]], config_IS[Node], config_IS[Type],,0)</f>
        <v>Op</v>
      </c>
      <c r="P220" t="str">
        <f>_xlfn.XLOOKUP(Jnl[[#This Row],[BSLv2]], dict[Key], dict[Name],,0)</f>
        <v>0.现金及类似</v>
      </c>
      <c r="Q220" t="str">
        <f>_xlfn.XLOOKUP(Jnl[[#This Row],[Acct]], dict[Key], dict[Name],,0)</f>
        <v>银行</v>
      </c>
      <c r="R220" t="str">
        <f>_xlfn.XLOOKUP(Jnl[[#This Row],[Vehicle]],config_vehicle[Id], config_vehicle[Name],,0)</f>
        <v>榆乐</v>
      </c>
      <c r="S220" t="str">
        <f>_xlfn.XLOOKUP(Jnl[[#This Row],[Division]],config_div[Id], config_div[Name],,0)</f>
        <v>品牌</v>
      </c>
      <c r="T220" t="str">
        <f>IF(Jnl[[#This Row],[TrxDate]]&lt;=stmt_BS_date_end, "In", "Out")</f>
        <v>In</v>
      </c>
      <c r="U220" t="str">
        <f>IF(Jnl[[#This Row],[TrxDate]]&lt;debug_date_start, "prior", IF(Jnl[[#This Row],[TrxDate]]&gt;debug_date_end, "post", "curr"))</f>
        <v>prior</v>
      </c>
    </row>
    <row r="221" spans="1:21">
      <c r="A221" s="11" t="s">
        <v>366</v>
      </c>
      <c r="B221" s="7">
        <f>_xlfn.XLOOKUP(Jnl[[#This Row],[TrxId]], Trx[Id], Trx[Date],,0)</f>
        <v>46053</v>
      </c>
      <c r="C221" s="7" t="str">
        <f>_xlfn.XLOOKUP(Jnl[[#This Row],[TrxId]], Trx[Id], Trx[Division],,0)</f>
        <v>GM</v>
      </c>
      <c r="D221" s="7" t="str">
        <f>_xlfn.XLOOKUP(Jnl[[#This Row],[TrxId]], Trx[Id], Trx[Action],,0)</f>
        <v>支付</v>
      </c>
      <c r="E221" s="26" t="s">
        <v>84</v>
      </c>
      <c r="F221" s="11" t="s">
        <v>12</v>
      </c>
      <c r="G221" s="11" t="s">
        <v>390</v>
      </c>
      <c r="H221" s="72">
        <v>-155989.63</v>
      </c>
      <c r="I221" s="5" t="b">
        <f>AND(Jnl[[#This Row],[TrxId]]&lt;&gt;"",Jnl[[#This Row],[Acct]]&lt;&gt;"",Jnl[[#This Row],[Item]]&lt;&gt;"",ISNUMBER(Jnl[[#This Row],[Bal]]))</f>
        <v>1</v>
      </c>
      <c r="J221" s="10">
        <f>IF(Jnl[[#This Row],[BSLv0]]="A",1,-1)*Jnl[[#This Row],[Bal]]</f>
        <v>-155989.63</v>
      </c>
      <c r="K221" t="str">
        <f>_xlfn.XLOOKUP(Jnl[[#This Row],[Acct]], config_BS[Acct], config_BS[Lv0],,0)</f>
        <v>A</v>
      </c>
      <c r="L221" t="str">
        <f>_xlfn.XLOOKUP(Jnl[[#This Row],[Acct]], config_BS[Acct], config_BS[Lv1],,0)</f>
        <v>Assets</v>
      </c>
      <c r="M221" t="str">
        <f>_xlfn.XLOOKUP(Jnl[[#This Row],[Acct]], config_BS[Acct], config_BS[Lv2],,0)</f>
        <v>Cash alike</v>
      </c>
      <c r="N221" t="str">
        <f>_xlfn.XLOOKUP(Jnl[[#This Row],[TrxId]], Trx[Id], Trx[IncNode], ,0)</f>
        <v>Expense</v>
      </c>
      <c r="O221" t="str">
        <f>_xlfn.XLOOKUP(Jnl[[#This Row],[IncNode]], config_IS[Node], config_IS[Type],,0)</f>
        <v>Op</v>
      </c>
      <c r="P221" t="str">
        <f>_xlfn.XLOOKUP(Jnl[[#This Row],[BSLv2]], dict[Key], dict[Name],,0)</f>
        <v>0.现金及类似</v>
      </c>
      <c r="Q221" t="str">
        <f>_xlfn.XLOOKUP(Jnl[[#This Row],[Acct]], dict[Key], dict[Name],,0)</f>
        <v>银行</v>
      </c>
      <c r="R221" t="str">
        <f>_xlfn.XLOOKUP(Jnl[[#This Row],[Vehicle]],config_vehicle[Id], config_vehicle[Name],,0)</f>
        <v>榆乐</v>
      </c>
      <c r="S221" t="str">
        <f>_xlfn.XLOOKUP(Jnl[[#This Row],[Division]],config_div[Id], config_div[Name],,0)</f>
        <v>综合管理</v>
      </c>
      <c r="T221" t="str">
        <f>IF(Jnl[[#This Row],[TrxDate]]&lt;=stmt_BS_date_end, "In", "Out")</f>
        <v>In</v>
      </c>
      <c r="U221" t="str">
        <f>IF(Jnl[[#This Row],[TrxDate]]&lt;debug_date_start, "prior", IF(Jnl[[#This Row],[TrxDate]]&gt;debug_date_end, "post", "curr"))</f>
        <v>prior</v>
      </c>
    </row>
    <row r="222" spans="1:21">
      <c r="A222" s="11" t="s">
        <v>366</v>
      </c>
      <c r="B222" s="7">
        <f>_xlfn.XLOOKUP(Jnl[[#This Row],[TrxId]], Trx[Id], Trx[Date],,0)</f>
        <v>46053</v>
      </c>
      <c r="C222" s="7" t="str">
        <f>_xlfn.XLOOKUP(Jnl[[#This Row],[TrxId]], Trx[Id], Trx[Division],,0)</f>
        <v>GM</v>
      </c>
      <c r="D222" s="7" t="str">
        <f>_xlfn.XLOOKUP(Jnl[[#This Row],[TrxId]], Trx[Id], Trx[Action],,0)</f>
        <v>支付</v>
      </c>
      <c r="E222" s="26" t="s">
        <v>84</v>
      </c>
      <c r="F222" s="11" t="s">
        <v>115</v>
      </c>
      <c r="G222" s="11" t="s">
        <v>142</v>
      </c>
      <c r="H222" s="72">
        <v>155989.63</v>
      </c>
      <c r="I222" s="5" t="b">
        <f>AND(Jnl[[#This Row],[TrxId]]&lt;&gt;"",Jnl[[#This Row],[Acct]]&lt;&gt;"",Jnl[[#This Row],[Item]]&lt;&gt;"",ISNUMBER(Jnl[[#This Row],[Bal]]))</f>
        <v>1</v>
      </c>
      <c r="J222" s="10">
        <f>IF(Jnl[[#This Row],[BSLv0]]="A",1,-1)*Jnl[[#This Row],[Bal]]</f>
        <v>155989.63</v>
      </c>
      <c r="K222" t="str">
        <f>_xlfn.XLOOKUP(Jnl[[#This Row],[Acct]], config_BS[Acct], config_BS[Lv0],,0)</f>
        <v>A</v>
      </c>
      <c r="L222" t="str">
        <f>_xlfn.XLOOKUP(Jnl[[#This Row],[Acct]], config_BS[Acct], config_BS[Lv1],,0)</f>
        <v>Assets</v>
      </c>
      <c r="M222" t="str">
        <f>_xlfn.XLOOKUP(Jnl[[#This Row],[Acct]], config_BS[Acct], config_BS[Lv2],,0)</f>
        <v>Prep-Sub</v>
      </c>
      <c r="N222" t="str">
        <f>_xlfn.XLOOKUP(Jnl[[#This Row],[TrxId]], Trx[Id], Trx[IncNode], ,0)</f>
        <v>Expense</v>
      </c>
      <c r="O222" t="str">
        <f>_xlfn.XLOOKUP(Jnl[[#This Row],[IncNode]], config_IS[Node], config_IS[Type],,0)</f>
        <v>Op</v>
      </c>
      <c r="P222" t="str">
        <f>_xlfn.XLOOKUP(Jnl[[#This Row],[BSLv2]], dict[Key], dict[Name],,0)</f>
        <v>2.预付-订阅</v>
      </c>
      <c r="Q222" t="str">
        <f>_xlfn.XLOOKUP(Jnl[[#This Row],[Acct]], dict[Key], dict[Name],,0)</f>
        <v>预付订单</v>
      </c>
      <c r="R222" t="str">
        <f>_xlfn.XLOOKUP(Jnl[[#This Row],[Vehicle]],config_vehicle[Id], config_vehicle[Name],,0)</f>
        <v>榆乐</v>
      </c>
      <c r="S222" t="str">
        <f>_xlfn.XLOOKUP(Jnl[[#This Row],[Division]],config_div[Id], config_div[Name],,0)</f>
        <v>综合管理</v>
      </c>
      <c r="T222" t="str">
        <f>IF(Jnl[[#This Row],[TrxDate]]&lt;=stmt_BS_date_end, "In", "Out")</f>
        <v>In</v>
      </c>
      <c r="U222" t="str">
        <f>IF(Jnl[[#This Row],[TrxDate]]&lt;debug_date_start, "prior", IF(Jnl[[#This Row],[TrxDate]]&gt;debug_date_end, "post", "curr"))</f>
        <v>prior</v>
      </c>
    </row>
    <row r="223" spans="1:21">
      <c r="A223" s="11" t="s">
        <v>368</v>
      </c>
      <c r="B223" s="7">
        <f>_xlfn.XLOOKUP(Jnl[[#This Row],[TrxId]], Trx[Id], Trx[Date],,0)</f>
        <v>46053</v>
      </c>
      <c r="C223" s="7" t="str">
        <f>_xlfn.XLOOKUP(Jnl[[#This Row],[TrxId]], Trx[Id], Trx[Division],,0)</f>
        <v>Online</v>
      </c>
      <c r="D223" s="7" t="str">
        <f>_xlfn.XLOOKUP(Jnl[[#This Row],[TrxId]], Trx[Id], Trx[Action],,0)</f>
        <v>设计</v>
      </c>
      <c r="E223" s="26" t="s">
        <v>84</v>
      </c>
      <c r="F223" s="11" t="s">
        <v>12</v>
      </c>
      <c r="G223" s="11" t="s">
        <v>390</v>
      </c>
      <c r="H223" s="72">
        <v>-2400</v>
      </c>
      <c r="I223" s="5" t="b">
        <f>AND(Jnl[[#This Row],[TrxId]]&lt;&gt;"",Jnl[[#This Row],[Acct]]&lt;&gt;"",Jnl[[#This Row],[Item]]&lt;&gt;"",ISNUMBER(Jnl[[#This Row],[Bal]]))</f>
        <v>1</v>
      </c>
      <c r="J223" s="10">
        <f>IF(Jnl[[#This Row],[BSLv0]]="A",1,-1)*Jnl[[#This Row],[Bal]]</f>
        <v>-2400</v>
      </c>
      <c r="K223" t="str">
        <f>_xlfn.XLOOKUP(Jnl[[#This Row],[Acct]], config_BS[Acct], config_BS[Lv0],,0)</f>
        <v>A</v>
      </c>
      <c r="L223" t="str">
        <f>_xlfn.XLOOKUP(Jnl[[#This Row],[Acct]], config_BS[Acct], config_BS[Lv1],,0)</f>
        <v>Assets</v>
      </c>
      <c r="M223" t="str">
        <f>_xlfn.XLOOKUP(Jnl[[#This Row],[Acct]], config_BS[Acct], config_BS[Lv2],,0)</f>
        <v>Cash alike</v>
      </c>
      <c r="N223" t="str">
        <f>_xlfn.XLOOKUP(Jnl[[#This Row],[TrxId]], Trx[Id], Trx[IncNode], ,0)</f>
        <v>Expense</v>
      </c>
      <c r="O223" t="str">
        <f>_xlfn.XLOOKUP(Jnl[[#This Row],[IncNode]], config_IS[Node], config_IS[Type],,0)</f>
        <v>Op</v>
      </c>
      <c r="P223" t="str">
        <f>_xlfn.XLOOKUP(Jnl[[#This Row],[BSLv2]], dict[Key], dict[Name],,0)</f>
        <v>0.现金及类似</v>
      </c>
      <c r="Q223" t="str">
        <f>_xlfn.XLOOKUP(Jnl[[#This Row],[Acct]], dict[Key], dict[Name],,0)</f>
        <v>银行</v>
      </c>
      <c r="R223" t="str">
        <f>_xlfn.XLOOKUP(Jnl[[#This Row],[Vehicle]],config_vehicle[Id], config_vehicle[Name],,0)</f>
        <v>榆乐</v>
      </c>
      <c r="S223" t="str">
        <f>_xlfn.XLOOKUP(Jnl[[#This Row],[Division]],config_div[Id], config_div[Name],,0)</f>
        <v>网店</v>
      </c>
      <c r="T223" t="str">
        <f>IF(Jnl[[#This Row],[TrxDate]]&lt;=stmt_BS_date_end, "In", "Out")</f>
        <v>In</v>
      </c>
      <c r="U223" t="str">
        <f>IF(Jnl[[#This Row],[TrxDate]]&lt;debug_date_start, "prior", IF(Jnl[[#This Row],[TrxDate]]&gt;debug_date_end, "post", "curr"))</f>
        <v>prior</v>
      </c>
    </row>
    <row r="224" spans="1:21">
      <c r="A224" s="11" t="s">
        <v>369</v>
      </c>
      <c r="B224" s="7">
        <f>_xlfn.XLOOKUP(Jnl[[#This Row],[TrxId]], Trx[Id], Trx[Date],,0)</f>
        <v>46053</v>
      </c>
      <c r="C224" s="7" t="str">
        <f>_xlfn.XLOOKUP(Jnl[[#This Row],[TrxId]], Trx[Id], Trx[Division],,0)</f>
        <v>Ctrl</v>
      </c>
      <c r="D224" s="7" t="str">
        <f>_xlfn.XLOOKUP(Jnl[[#This Row],[TrxId]], Trx[Id], Trx[Action],,0)</f>
        <v>过账</v>
      </c>
      <c r="E224" s="26" t="s">
        <v>84</v>
      </c>
      <c r="F224" s="11" t="s">
        <v>12</v>
      </c>
      <c r="G224" s="11" t="s">
        <v>390</v>
      </c>
      <c r="H224" s="72">
        <v>340000</v>
      </c>
      <c r="I224" s="5" t="b">
        <f>AND(Jnl[[#This Row],[TrxId]]&lt;&gt;"",Jnl[[#This Row],[Acct]]&lt;&gt;"",Jnl[[#This Row],[Item]]&lt;&gt;"",ISNUMBER(Jnl[[#This Row],[Bal]]))</f>
        <v>1</v>
      </c>
      <c r="J224" s="10">
        <f>IF(Jnl[[#This Row],[BSLv0]]="A",1,-1)*Jnl[[#This Row],[Bal]]</f>
        <v>340000</v>
      </c>
      <c r="K224" t="str">
        <f>_xlfn.XLOOKUP(Jnl[[#This Row],[Acct]], config_BS[Acct], config_BS[Lv0],,0)</f>
        <v>A</v>
      </c>
      <c r="L224" t="str">
        <f>_xlfn.XLOOKUP(Jnl[[#This Row],[Acct]], config_BS[Acct], config_BS[Lv1],,0)</f>
        <v>Assets</v>
      </c>
      <c r="M224" t="str">
        <f>_xlfn.XLOOKUP(Jnl[[#This Row],[Acct]], config_BS[Acct], config_BS[Lv2],,0)</f>
        <v>Cash alike</v>
      </c>
      <c r="N224" t="str">
        <f>_xlfn.XLOOKUP(Jnl[[#This Row],[TrxId]], Trx[Id], Trx[IncNode], ,0)</f>
        <v>Other</v>
      </c>
      <c r="O224" t="str">
        <f>_xlfn.XLOOKUP(Jnl[[#This Row],[IncNode]], config_IS[Node], config_IS[Type],,0)</f>
        <v>Non-Op</v>
      </c>
      <c r="P224" t="str">
        <f>_xlfn.XLOOKUP(Jnl[[#This Row],[BSLv2]], dict[Key], dict[Name],,0)</f>
        <v>0.现金及类似</v>
      </c>
      <c r="Q224" t="str">
        <f>_xlfn.XLOOKUP(Jnl[[#This Row],[Acct]], dict[Key], dict[Name],,0)</f>
        <v>银行</v>
      </c>
      <c r="R224" t="str">
        <f>_xlfn.XLOOKUP(Jnl[[#This Row],[Vehicle]],config_vehicle[Id], config_vehicle[Name],,0)</f>
        <v>榆乐</v>
      </c>
      <c r="S224" t="str">
        <f>_xlfn.XLOOKUP(Jnl[[#This Row],[Division]],config_div[Id], config_div[Name],,0)</f>
        <v>内控合规</v>
      </c>
      <c r="T224" t="str">
        <f>IF(Jnl[[#This Row],[TrxDate]]&lt;=stmt_BS_date_end, "In", "Out")</f>
        <v>In</v>
      </c>
      <c r="U224" t="str">
        <f>IF(Jnl[[#This Row],[TrxDate]]&lt;debug_date_start, "prior", IF(Jnl[[#This Row],[TrxDate]]&gt;debug_date_end, "post", "curr"))</f>
        <v>prior</v>
      </c>
    </row>
    <row r="225" spans="1:21">
      <c r="A225" s="11" t="s">
        <v>369</v>
      </c>
      <c r="B225" s="7">
        <f>_xlfn.XLOOKUP(Jnl[[#This Row],[TrxId]], Trx[Id], Trx[Date],,0)</f>
        <v>46053</v>
      </c>
      <c r="C225" s="7" t="str">
        <f>_xlfn.XLOOKUP(Jnl[[#This Row],[TrxId]], Trx[Id], Trx[Division],,0)</f>
        <v>Ctrl</v>
      </c>
      <c r="D225" s="7" t="str">
        <f>_xlfn.XLOOKUP(Jnl[[#This Row],[TrxId]], Trx[Id], Trx[Action],,0)</f>
        <v>过账</v>
      </c>
      <c r="E225" s="26" t="s">
        <v>80</v>
      </c>
      <c r="F225" s="11" t="s">
        <v>12</v>
      </c>
      <c r="G225" s="11" t="s">
        <v>391</v>
      </c>
      <c r="H225" s="72">
        <f>-H224</f>
        <v>-340000</v>
      </c>
      <c r="I225" s="5" t="b">
        <f>AND(Jnl[[#This Row],[TrxId]]&lt;&gt;"",Jnl[[#This Row],[Acct]]&lt;&gt;"",Jnl[[#This Row],[Item]]&lt;&gt;"",ISNUMBER(Jnl[[#This Row],[Bal]]))</f>
        <v>1</v>
      </c>
      <c r="J225" s="10">
        <f>IF(Jnl[[#This Row],[BSLv0]]="A",1,-1)*Jnl[[#This Row],[Bal]]</f>
        <v>-340000</v>
      </c>
      <c r="K225" t="str">
        <f>_xlfn.XLOOKUP(Jnl[[#This Row],[Acct]], config_BS[Acct], config_BS[Lv0],,0)</f>
        <v>A</v>
      </c>
      <c r="L225" t="str">
        <f>_xlfn.XLOOKUP(Jnl[[#This Row],[Acct]], config_BS[Acct], config_BS[Lv1],,0)</f>
        <v>Assets</v>
      </c>
      <c r="M225" t="str">
        <f>_xlfn.XLOOKUP(Jnl[[#This Row],[Acct]], config_BS[Acct], config_BS[Lv2],,0)</f>
        <v>Cash alike</v>
      </c>
      <c r="N225" t="str">
        <f>_xlfn.XLOOKUP(Jnl[[#This Row],[TrxId]], Trx[Id], Trx[IncNode], ,0)</f>
        <v>Other</v>
      </c>
      <c r="O225" t="str">
        <f>_xlfn.XLOOKUP(Jnl[[#This Row],[IncNode]], config_IS[Node], config_IS[Type],,0)</f>
        <v>Non-Op</v>
      </c>
      <c r="P225" t="str">
        <f>_xlfn.XLOOKUP(Jnl[[#This Row],[BSLv2]], dict[Key], dict[Name],,0)</f>
        <v>0.现金及类似</v>
      </c>
      <c r="Q225" t="str">
        <f>_xlfn.XLOOKUP(Jnl[[#This Row],[Acct]], dict[Key], dict[Name],,0)</f>
        <v>银行</v>
      </c>
      <c r="R225" t="str">
        <f>_xlfn.XLOOKUP(Jnl[[#This Row],[Vehicle]],config_vehicle[Id], config_vehicle[Name],,0)</f>
        <v>远家花园</v>
      </c>
      <c r="S225" t="str">
        <f>_xlfn.XLOOKUP(Jnl[[#This Row],[Division]],config_div[Id], config_div[Name],,0)</f>
        <v>内控合规</v>
      </c>
      <c r="T225" t="str">
        <f>IF(Jnl[[#This Row],[TrxDate]]&lt;=stmt_BS_date_end, "In", "Out")</f>
        <v>In</v>
      </c>
      <c r="U225" t="str">
        <f>IF(Jnl[[#This Row],[TrxDate]]&lt;debug_date_start, "prior", IF(Jnl[[#This Row],[TrxDate]]&gt;debug_date_end, "post", "curr"))</f>
        <v>prior</v>
      </c>
    </row>
    <row r="226" spans="1:21">
      <c r="A226" s="11" t="s">
        <v>372</v>
      </c>
      <c r="B226" s="7">
        <f>_xlfn.XLOOKUP(Jnl[[#This Row],[TrxId]], Trx[Id], Trx[Date],,0)</f>
        <v>46053</v>
      </c>
      <c r="C226" s="7" t="str">
        <f>_xlfn.XLOOKUP(Jnl[[#This Row],[TrxId]], Trx[Id], Trx[Division],,0)</f>
        <v>Ctrl</v>
      </c>
      <c r="D226" s="7" t="str">
        <f>_xlfn.XLOOKUP(Jnl[[#This Row],[TrxId]], Trx[Id], Trx[Action],,0)</f>
        <v>过账</v>
      </c>
      <c r="E226" s="26" t="s">
        <v>84</v>
      </c>
      <c r="F226" s="11" t="s">
        <v>12</v>
      </c>
      <c r="G226" s="11" t="s">
        <v>390</v>
      </c>
      <c r="H226" s="72">
        <v>-1000000</v>
      </c>
      <c r="I226" s="5" t="b">
        <f>AND(Jnl[[#This Row],[TrxId]]&lt;&gt;"",Jnl[[#This Row],[Acct]]&lt;&gt;"",Jnl[[#This Row],[Item]]&lt;&gt;"",ISNUMBER(Jnl[[#This Row],[Bal]]))</f>
        <v>1</v>
      </c>
      <c r="J226" s="10">
        <f>IF(Jnl[[#This Row],[BSLv0]]="A",1,-1)*Jnl[[#This Row],[Bal]]</f>
        <v>-1000000</v>
      </c>
      <c r="K226" t="str">
        <f>_xlfn.XLOOKUP(Jnl[[#This Row],[Acct]], config_BS[Acct], config_BS[Lv0],,0)</f>
        <v>A</v>
      </c>
      <c r="L226" t="str">
        <f>_xlfn.XLOOKUP(Jnl[[#This Row],[Acct]], config_BS[Acct], config_BS[Lv1],,0)</f>
        <v>Assets</v>
      </c>
      <c r="M226" t="str">
        <f>_xlfn.XLOOKUP(Jnl[[#This Row],[Acct]], config_BS[Acct], config_BS[Lv2],,0)</f>
        <v>Cash alike</v>
      </c>
      <c r="N226" t="str">
        <f>_xlfn.XLOOKUP(Jnl[[#This Row],[TrxId]], Trx[Id], Trx[IncNode], ,0)</f>
        <v>Other</v>
      </c>
      <c r="O226" t="str">
        <f>_xlfn.XLOOKUP(Jnl[[#This Row],[IncNode]], config_IS[Node], config_IS[Type],,0)</f>
        <v>Non-Op</v>
      </c>
      <c r="P226" t="str">
        <f>_xlfn.XLOOKUP(Jnl[[#This Row],[BSLv2]], dict[Key], dict[Name],,0)</f>
        <v>0.现金及类似</v>
      </c>
      <c r="Q226" t="str">
        <f>_xlfn.XLOOKUP(Jnl[[#This Row],[Acct]], dict[Key], dict[Name],,0)</f>
        <v>银行</v>
      </c>
      <c r="R226" t="str">
        <f>_xlfn.XLOOKUP(Jnl[[#This Row],[Vehicle]],config_vehicle[Id], config_vehicle[Name],,0)</f>
        <v>榆乐</v>
      </c>
      <c r="S226" t="str">
        <f>_xlfn.XLOOKUP(Jnl[[#This Row],[Division]],config_div[Id], config_div[Name],,0)</f>
        <v>内控合规</v>
      </c>
      <c r="T226" t="str">
        <f>IF(Jnl[[#This Row],[TrxDate]]&lt;=stmt_BS_date_end, "In", "Out")</f>
        <v>In</v>
      </c>
      <c r="U226" t="str">
        <f>IF(Jnl[[#This Row],[TrxDate]]&lt;debug_date_start, "prior", IF(Jnl[[#This Row],[TrxDate]]&gt;debug_date_end, "post", "curr"))</f>
        <v>prior</v>
      </c>
    </row>
    <row r="227" spans="1:21">
      <c r="A227" s="11" t="s">
        <v>372</v>
      </c>
      <c r="B227" s="7">
        <f>_xlfn.XLOOKUP(Jnl[[#This Row],[TrxId]], Trx[Id], Trx[Date],,0)</f>
        <v>46053</v>
      </c>
      <c r="C227" s="7" t="str">
        <f>_xlfn.XLOOKUP(Jnl[[#This Row],[TrxId]], Trx[Id], Trx[Division],,0)</f>
        <v>Ctrl</v>
      </c>
      <c r="D227" s="7" t="str">
        <f>_xlfn.XLOOKUP(Jnl[[#This Row],[TrxId]], Trx[Id], Trx[Action],,0)</f>
        <v>过账</v>
      </c>
      <c r="E227" s="26" t="s">
        <v>81</v>
      </c>
      <c r="F227" s="11" t="s">
        <v>12</v>
      </c>
      <c r="G227" s="11" t="s">
        <v>392</v>
      </c>
      <c r="H227" s="72">
        <v>1000000</v>
      </c>
      <c r="I227" s="5" t="b">
        <f>AND(Jnl[[#This Row],[TrxId]]&lt;&gt;"",Jnl[[#This Row],[Acct]]&lt;&gt;"",Jnl[[#This Row],[Item]]&lt;&gt;"",ISNUMBER(Jnl[[#This Row],[Bal]]))</f>
        <v>1</v>
      </c>
      <c r="J227" s="10">
        <f>IF(Jnl[[#This Row],[BSLv0]]="A",1,-1)*Jnl[[#This Row],[Bal]]</f>
        <v>1000000</v>
      </c>
      <c r="K227" t="str">
        <f>_xlfn.XLOOKUP(Jnl[[#This Row],[Acct]], config_BS[Acct], config_BS[Lv0],,0)</f>
        <v>A</v>
      </c>
      <c r="L227" t="str">
        <f>_xlfn.XLOOKUP(Jnl[[#This Row],[Acct]], config_BS[Acct], config_BS[Lv1],,0)</f>
        <v>Assets</v>
      </c>
      <c r="M227" t="str">
        <f>_xlfn.XLOOKUP(Jnl[[#This Row],[Acct]], config_BS[Acct], config_BS[Lv2],,0)</f>
        <v>Cash alike</v>
      </c>
      <c r="N227" t="str">
        <f>_xlfn.XLOOKUP(Jnl[[#This Row],[TrxId]], Trx[Id], Trx[IncNode], ,0)</f>
        <v>Other</v>
      </c>
      <c r="O227" t="str">
        <f>_xlfn.XLOOKUP(Jnl[[#This Row],[IncNode]], config_IS[Node], config_IS[Type],,0)</f>
        <v>Non-Op</v>
      </c>
      <c r="P227" t="str">
        <f>_xlfn.XLOOKUP(Jnl[[#This Row],[BSLv2]], dict[Key], dict[Name],,0)</f>
        <v>0.现金及类似</v>
      </c>
      <c r="Q227" t="str">
        <f>_xlfn.XLOOKUP(Jnl[[#This Row],[Acct]], dict[Key], dict[Name],,0)</f>
        <v>银行</v>
      </c>
      <c r="R227" t="str">
        <f>_xlfn.XLOOKUP(Jnl[[#This Row],[Vehicle]],config_vehicle[Id], config_vehicle[Name],,0)</f>
        <v>喜家文化</v>
      </c>
      <c r="S227" t="str">
        <f>_xlfn.XLOOKUP(Jnl[[#This Row],[Division]],config_div[Id], config_div[Name],,0)</f>
        <v>内控合规</v>
      </c>
      <c r="T227" t="str">
        <f>IF(Jnl[[#This Row],[TrxDate]]&lt;=stmt_BS_date_end, "In", "Out")</f>
        <v>In</v>
      </c>
      <c r="U227" t="str">
        <f>IF(Jnl[[#This Row],[TrxDate]]&lt;debug_date_start, "prior", IF(Jnl[[#This Row],[TrxDate]]&gt;debug_date_end, "post", "curr"))</f>
        <v>prior</v>
      </c>
    </row>
    <row r="228" spans="1:21">
      <c r="A228" s="11" t="s">
        <v>374</v>
      </c>
      <c r="B228" s="7">
        <f>_xlfn.XLOOKUP(Jnl[[#This Row],[TrxId]], Trx[Id], Trx[Date],,0)</f>
        <v>46053</v>
      </c>
      <c r="C228" s="7" t="str">
        <f>_xlfn.XLOOKUP(Jnl[[#This Row],[TrxId]], Trx[Id], Trx[Division],,0)</f>
        <v>Ctrl</v>
      </c>
      <c r="D228" s="7" t="str">
        <f>_xlfn.XLOOKUP(Jnl[[#This Row],[TrxId]], Trx[Id], Trx[Action],,0)</f>
        <v>过账</v>
      </c>
      <c r="E228" s="26" t="s">
        <v>84</v>
      </c>
      <c r="F228" s="11" t="s">
        <v>12</v>
      </c>
      <c r="G228" s="11" t="s">
        <v>390</v>
      </c>
      <c r="H228" s="72">
        <v>-50000</v>
      </c>
      <c r="I228" s="5" t="b">
        <f>AND(Jnl[[#This Row],[TrxId]]&lt;&gt;"",Jnl[[#This Row],[Acct]]&lt;&gt;"",Jnl[[#This Row],[Item]]&lt;&gt;"",ISNUMBER(Jnl[[#This Row],[Bal]]))</f>
        <v>1</v>
      </c>
      <c r="J228" s="10">
        <f>IF(Jnl[[#This Row],[BSLv0]]="A",1,-1)*Jnl[[#This Row],[Bal]]</f>
        <v>-50000</v>
      </c>
      <c r="K228" t="str">
        <f>_xlfn.XLOOKUP(Jnl[[#This Row],[Acct]], config_BS[Acct], config_BS[Lv0],,0)</f>
        <v>A</v>
      </c>
      <c r="L228" t="str">
        <f>_xlfn.XLOOKUP(Jnl[[#This Row],[Acct]], config_BS[Acct], config_BS[Lv1],,0)</f>
        <v>Assets</v>
      </c>
      <c r="M228" t="str">
        <f>_xlfn.XLOOKUP(Jnl[[#This Row],[Acct]], config_BS[Acct], config_BS[Lv2],,0)</f>
        <v>Cash alike</v>
      </c>
      <c r="N228" t="str">
        <f>_xlfn.XLOOKUP(Jnl[[#This Row],[TrxId]], Trx[Id], Trx[IncNode], ,0)</f>
        <v>Other</v>
      </c>
      <c r="O228" t="str">
        <f>_xlfn.XLOOKUP(Jnl[[#This Row],[IncNode]], config_IS[Node], config_IS[Type],,0)</f>
        <v>Non-Op</v>
      </c>
      <c r="P228" t="str">
        <f>_xlfn.XLOOKUP(Jnl[[#This Row],[BSLv2]], dict[Key], dict[Name],,0)</f>
        <v>0.现金及类似</v>
      </c>
      <c r="Q228" t="str">
        <f>_xlfn.XLOOKUP(Jnl[[#This Row],[Acct]], dict[Key], dict[Name],,0)</f>
        <v>银行</v>
      </c>
      <c r="R228" t="str">
        <f>_xlfn.XLOOKUP(Jnl[[#This Row],[Vehicle]],config_vehicle[Id], config_vehicle[Name],,0)</f>
        <v>榆乐</v>
      </c>
      <c r="S228" t="str">
        <f>_xlfn.XLOOKUP(Jnl[[#This Row],[Division]],config_div[Id], config_div[Name],,0)</f>
        <v>内控合规</v>
      </c>
      <c r="T228" t="str">
        <f>IF(Jnl[[#This Row],[TrxDate]]&lt;=stmt_BS_date_end, "In", "Out")</f>
        <v>In</v>
      </c>
      <c r="U228" t="str">
        <f>IF(Jnl[[#This Row],[TrxDate]]&lt;debug_date_start, "prior", IF(Jnl[[#This Row],[TrxDate]]&gt;debug_date_end, "post", "curr"))</f>
        <v>prior</v>
      </c>
    </row>
    <row r="229" spans="1:21">
      <c r="A229" s="11" t="s">
        <v>374</v>
      </c>
      <c r="B229" s="7">
        <f>_xlfn.XLOOKUP(Jnl[[#This Row],[TrxId]], Trx[Id], Trx[Date],,0)</f>
        <v>46053</v>
      </c>
      <c r="C229" s="7" t="str">
        <f>_xlfn.XLOOKUP(Jnl[[#This Row],[TrxId]], Trx[Id], Trx[Division],,0)</f>
        <v>Ctrl</v>
      </c>
      <c r="D229" s="7" t="str">
        <f>_xlfn.XLOOKUP(Jnl[[#This Row],[TrxId]], Trx[Id], Trx[Action],,0)</f>
        <v>过账</v>
      </c>
      <c r="E229" s="26" t="s">
        <v>93</v>
      </c>
      <c r="F229" s="11" t="s">
        <v>12</v>
      </c>
      <c r="G229" s="11" t="s">
        <v>393</v>
      </c>
      <c r="H229" s="72">
        <v>50000</v>
      </c>
      <c r="I229" s="5" t="b">
        <f>AND(Jnl[[#This Row],[TrxId]]&lt;&gt;"",Jnl[[#This Row],[Acct]]&lt;&gt;"",Jnl[[#This Row],[Item]]&lt;&gt;"",ISNUMBER(Jnl[[#This Row],[Bal]]))</f>
        <v>1</v>
      </c>
      <c r="J229" s="10">
        <f>IF(Jnl[[#This Row],[BSLv0]]="A",1,-1)*Jnl[[#This Row],[Bal]]</f>
        <v>50000</v>
      </c>
      <c r="K229" t="str">
        <f>_xlfn.XLOOKUP(Jnl[[#This Row],[Acct]], config_BS[Acct], config_BS[Lv0],,0)</f>
        <v>A</v>
      </c>
      <c r="L229" t="str">
        <f>_xlfn.XLOOKUP(Jnl[[#This Row],[Acct]], config_BS[Acct], config_BS[Lv1],,0)</f>
        <v>Assets</v>
      </c>
      <c r="M229" t="str">
        <f>_xlfn.XLOOKUP(Jnl[[#This Row],[Acct]], config_BS[Acct], config_BS[Lv2],,0)</f>
        <v>Cash alike</v>
      </c>
      <c r="N229" t="str">
        <f>_xlfn.XLOOKUP(Jnl[[#This Row],[TrxId]], Trx[Id], Trx[IncNode], ,0)</f>
        <v>Other</v>
      </c>
      <c r="O229" t="str">
        <f>_xlfn.XLOOKUP(Jnl[[#This Row],[IncNode]], config_IS[Node], config_IS[Type],,0)</f>
        <v>Non-Op</v>
      </c>
      <c r="P229" t="str">
        <f>_xlfn.XLOOKUP(Jnl[[#This Row],[BSLv2]], dict[Key], dict[Name],,0)</f>
        <v>0.现金及类似</v>
      </c>
      <c r="Q229" t="str">
        <f>_xlfn.XLOOKUP(Jnl[[#This Row],[Acct]], dict[Key], dict[Name],,0)</f>
        <v>银行</v>
      </c>
      <c r="R229" t="str">
        <f>_xlfn.XLOOKUP(Jnl[[#This Row],[Vehicle]],config_vehicle[Id], config_vehicle[Name],,0)</f>
        <v>创业园-琦</v>
      </c>
      <c r="S229" t="str">
        <f>_xlfn.XLOOKUP(Jnl[[#This Row],[Division]],config_div[Id], config_div[Name],,0)</f>
        <v>内控合规</v>
      </c>
      <c r="T229" t="str">
        <f>IF(Jnl[[#This Row],[TrxDate]]&lt;=stmt_BS_date_end, "In", "Out")</f>
        <v>In</v>
      </c>
      <c r="U229" t="str">
        <f>IF(Jnl[[#This Row],[TrxDate]]&lt;debug_date_start, "prior", IF(Jnl[[#This Row],[TrxDate]]&gt;debug_date_end, "post", "curr"))</f>
        <v>prior</v>
      </c>
    </row>
    <row r="230" spans="1:21">
      <c r="A230" s="11" t="s">
        <v>376</v>
      </c>
      <c r="B230" s="7">
        <f>_xlfn.XLOOKUP(Jnl[[#This Row],[TrxId]], Trx[Id], Trx[Date],,0)</f>
        <v>46053</v>
      </c>
      <c r="C230" s="7" t="str">
        <f>_xlfn.XLOOKUP(Jnl[[#This Row],[TrxId]], Trx[Id], Trx[Division],,0)</f>
        <v>Online</v>
      </c>
      <c r="D230" s="7" t="str">
        <f>_xlfn.XLOOKUP(Jnl[[#This Row],[TrxId]], Trx[Id], Trx[Action],,0)</f>
        <v>设计</v>
      </c>
      <c r="E230" s="26" t="s">
        <v>84</v>
      </c>
      <c r="F230" s="11" t="s">
        <v>12</v>
      </c>
      <c r="G230" s="11" t="s">
        <v>390</v>
      </c>
      <c r="H230" s="72">
        <v>-274.22000000000003</v>
      </c>
      <c r="I230" s="5" t="b">
        <f>AND(Jnl[[#This Row],[TrxId]]&lt;&gt;"",Jnl[[#This Row],[Acct]]&lt;&gt;"",Jnl[[#This Row],[Item]]&lt;&gt;"",ISNUMBER(Jnl[[#This Row],[Bal]]))</f>
        <v>1</v>
      </c>
      <c r="J230" s="10">
        <f>IF(Jnl[[#This Row],[BSLv0]]="A",1,-1)*Jnl[[#This Row],[Bal]]</f>
        <v>-274.22000000000003</v>
      </c>
      <c r="K230" t="str">
        <f>_xlfn.XLOOKUP(Jnl[[#This Row],[Acct]], config_BS[Acct], config_BS[Lv0],,0)</f>
        <v>A</v>
      </c>
      <c r="L230" t="str">
        <f>_xlfn.XLOOKUP(Jnl[[#This Row],[Acct]], config_BS[Acct], config_BS[Lv1],,0)</f>
        <v>Assets</v>
      </c>
      <c r="M230" t="str">
        <f>_xlfn.XLOOKUP(Jnl[[#This Row],[Acct]], config_BS[Acct], config_BS[Lv2],,0)</f>
        <v>Cash alike</v>
      </c>
      <c r="N230" t="str">
        <f>_xlfn.XLOOKUP(Jnl[[#This Row],[TrxId]], Trx[Id], Trx[IncNode], ,0)</f>
        <v>Expense</v>
      </c>
      <c r="O230" t="str">
        <f>_xlfn.XLOOKUP(Jnl[[#This Row],[IncNode]], config_IS[Node], config_IS[Type],,0)</f>
        <v>Op</v>
      </c>
      <c r="P230" t="str">
        <f>_xlfn.XLOOKUP(Jnl[[#This Row],[BSLv2]], dict[Key], dict[Name],,0)</f>
        <v>0.现金及类似</v>
      </c>
      <c r="Q230" t="str">
        <f>_xlfn.XLOOKUP(Jnl[[#This Row],[Acct]], dict[Key], dict[Name],,0)</f>
        <v>银行</v>
      </c>
      <c r="R230" t="str">
        <f>_xlfn.XLOOKUP(Jnl[[#This Row],[Vehicle]],config_vehicle[Id], config_vehicle[Name],,0)</f>
        <v>榆乐</v>
      </c>
      <c r="S230" t="str">
        <f>_xlfn.XLOOKUP(Jnl[[#This Row],[Division]],config_div[Id], config_div[Name],,0)</f>
        <v>网店</v>
      </c>
      <c r="T230" t="str">
        <f>IF(Jnl[[#This Row],[TrxDate]]&lt;=stmt_BS_date_end, "In", "Out")</f>
        <v>In</v>
      </c>
      <c r="U230" t="str">
        <f>IF(Jnl[[#This Row],[TrxDate]]&lt;debug_date_start, "prior", IF(Jnl[[#This Row],[TrxDate]]&gt;debug_date_end, "post", "curr"))</f>
        <v>prior</v>
      </c>
    </row>
    <row r="231" spans="1:21">
      <c r="A231" s="11" t="s">
        <v>378</v>
      </c>
      <c r="B231" s="7">
        <f>_xlfn.XLOOKUP(Jnl[[#This Row],[TrxId]], Trx[Id], Trx[Date],,0)</f>
        <v>46053</v>
      </c>
      <c r="C231" s="7" t="str">
        <f>_xlfn.XLOOKUP(Jnl[[#This Row],[TrxId]], Trx[Id], Trx[Division],,0)</f>
        <v>GM</v>
      </c>
      <c r="D231" s="7" t="str">
        <f>_xlfn.XLOOKUP(Jnl[[#This Row],[TrxId]], Trx[Id], Trx[Action],,0)</f>
        <v>交通</v>
      </c>
      <c r="E231" s="26" t="s">
        <v>84</v>
      </c>
      <c r="F231" s="11" t="s">
        <v>12</v>
      </c>
      <c r="G231" s="11" t="s">
        <v>390</v>
      </c>
      <c r="H231" s="72">
        <v>-77.64</v>
      </c>
      <c r="I231" s="5" t="b">
        <f>AND(Jnl[[#This Row],[TrxId]]&lt;&gt;"",Jnl[[#This Row],[Acct]]&lt;&gt;"",Jnl[[#This Row],[Item]]&lt;&gt;"",ISNUMBER(Jnl[[#This Row],[Bal]]))</f>
        <v>1</v>
      </c>
      <c r="J231" s="10">
        <f>IF(Jnl[[#This Row],[BSLv0]]="A",1,-1)*Jnl[[#This Row],[Bal]]</f>
        <v>-77.64</v>
      </c>
      <c r="K231" t="str">
        <f>_xlfn.XLOOKUP(Jnl[[#This Row],[Acct]], config_BS[Acct], config_BS[Lv0],,0)</f>
        <v>A</v>
      </c>
      <c r="L231" t="str">
        <f>_xlfn.XLOOKUP(Jnl[[#This Row],[Acct]], config_BS[Acct], config_BS[Lv1],,0)</f>
        <v>Assets</v>
      </c>
      <c r="M231" t="str">
        <f>_xlfn.XLOOKUP(Jnl[[#This Row],[Acct]], config_BS[Acct], config_BS[Lv2],,0)</f>
        <v>Cash alike</v>
      </c>
      <c r="N231" t="str">
        <f>_xlfn.XLOOKUP(Jnl[[#This Row],[TrxId]], Trx[Id], Trx[IncNode], ,0)</f>
        <v>Expense</v>
      </c>
      <c r="O231" t="str">
        <f>_xlfn.XLOOKUP(Jnl[[#This Row],[IncNode]], config_IS[Node], config_IS[Type],,0)</f>
        <v>Op</v>
      </c>
      <c r="P231" t="str">
        <f>_xlfn.XLOOKUP(Jnl[[#This Row],[BSLv2]], dict[Key], dict[Name],,0)</f>
        <v>0.现金及类似</v>
      </c>
      <c r="Q231" t="str">
        <f>_xlfn.XLOOKUP(Jnl[[#This Row],[Acct]], dict[Key], dict[Name],,0)</f>
        <v>银行</v>
      </c>
      <c r="R231" t="str">
        <f>_xlfn.XLOOKUP(Jnl[[#This Row],[Vehicle]],config_vehicle[Id], config_vehicle[Name],,0)</f>
        <v>榆乐</v>
      </c>
      <c r="S231" t="str">
        <f>_xlfn.XLOOKUP(Jnl[[#This Row],[Division]],config_div[Id], config_div[Name],,0)</f>
        <v>综合管理</v>
      </c>
      <c r="T231" t="str">
        <f>IF(Jnl[[#This Row],[TrxDate]]&lt;=stmt_BS_date_end, "In", "Out")</f>
        <v>In</v>
      </c>
      <c r="U231" t="str">
        <f>IF(Jnl[[#This Row],[TrxDate]]&lt;debug_date_start, "prior", IF(Jnl[[#This Row],[TrxDate]]&gt;debug_date_end, "post", "curr"))</f>
        <v>prior</v>
      </c>
    </row>
    <row r="232" spans="1:21">
      <c r="A232" s="11" t="s">
        <v>379</v>
      </c>
      <c r="B232" s="7">
        <f>_xlfn.XLOOKUP(Jnl[[#This Row],[TrxId]], Trx[Id], Trx[Date],,0)</f>
        <v>46053</v>
      </c>
      <c r="C232" s="7" t="str">
        <f>_xlfn.XLOOKUP(Jnl[[#This Row],[TrxId]], Trx[Id], Trx[Division],,0)</f>
        <v>GM</v>
      </c>
      <c r="D232" s="7" t="str">
        <f>_xlfn.XLOOKUP(Jnl[[#This Row],[TrxId]], Trx[Id], Trx[Action],,0)</f>
        <v>补贴</v>
      </c>
      <c r="E232" s="26" t="s">
        <v>84</v>
      </c>
      <c r="F232" s="11" t="s">
        <v>12</v>
      </c>
      <c r="G232" s="11" t="s">
        <v>390</v>
      </c>
      <c r="H232" s="72">
        <v>106.2</v>
      </c>
      <c r="I232" s="5" t="b">
        <f>AND(Jnl[[#This Row],[TrxId]]&lt;&gt;"",Jnl[[#This Row],[Acct]]&lt;&gt;"",Jnl[[#This Row],[Item]]&lt;&gt;"",ISNUMBER(Jnl[[#This Row],[Bal]]))</f>
        <v>1</v>
      </c>
      <c r="J232" s="10">
        <f>IF(Jnl[[#This Row],[BSLv0]]="A",1,-1)*Jnl[[#This Row],[Bal]]</f>
        <v>106.2</v>
      </c>
      <c r="K232" t="str">
        <f>_xlfn.XLOOKUP(Jnl[[#This Row],[Acct]], config_BS[Acct], config_BS[Lv0],,0)</f>
        <v>A</v>
      </c>
      <c r="L232" t="str">
        <f>_xlfn.XLOOKUP(Jnl[[#This Row],[Acct]], config_BS[Acct], config_BS[Lv1],,0)</f>
        <v>Assets</v>
      </c>
      <c r="M232" t="str">
        <f>_xlfn.XLOOKUP(Jnl[[#This Row],[Acct]], config_BS[Acct], config_BS[Lv2],,0)</f>
        <v>Cash alike</v>
      </c>
      <c r="N232" t="str">
        <f>_xlfn.XLOOKUP(Jnl[[#This Row],[TrxId]], Trx[Id], Trx[IncNode], ,0)</f>
        <v>Other</v>
      </c>
      <c r="O232" t="str">
        <f>_xlfn.XLOOKUP(Jnl[[#This Row],[IncNode]], config_IS[Node], config_IS[Type],,0)</f>
        <v>Non-Op</v>
      </c>
      <c r="P232" t="str">
        <f>_xlfn.XLOOKUP(Jnl[[#This Row],[BSLv2]], dict[Key], dict[Name],,0)</f>
        <v>0.现金及类似</v>
      </c>
      <c r="Q232" t="str">
        <f>_xlfn.XLOOKUP(Jnl[[#This Row],[Acct]], dict[Key], dict[Name],,0)</f>
        <v>银行</v>
      </c>
      <c r="R232" t="str">
        <f>_xlfn.XLOOKUP(Jnl[[#This Row],[Vehicle]],config_vehicle[Id], config_vehicle[Name],,0)</f>
        <v>榆乐</v>
      </c>
      <c r="S232" t="str">
        <f>_xlfn.XLOOKUP(Jnl[[#This Row],[Division]],config_div[Id], config_div[Name],,0)</f>
        <v>综合管理</v>
      </c>
      <c r="T232" t="str">
        <f>IF(Jnl[[#This Row],[TrxDate]]&lt;=stmt_BS_date_end, "In", "Out")</f>
        <v>In</v>
      </c>
      <c r="U232" t="str">
        <f>IF(Jnl[[#This Row],[TrxDate]]&lt;debug_date_start, "prior", IF(Jnl[[#This Row],[TrxDate]]&gt;debug_date_end, "post", "curr"))</f>
        <v>prior</v>
      </c>
    </row>
    <row r="233" spans="1:21">
      <c r="A233" s="11" t="s">
        <v>382</v>
      </c>
      <c r="B233" s="7">
        <f>_xlfn.XLOOKUP(Jnl[[#This Row],[TrxId]], Trx[Id], Trx[Date],,0)</f>
        <v>46053</v>
      </c>
      <c r="C233" s="7" t="str">
        <f>_xlfn.XLOOKUP(Jnl[[#This Row],[TrxId]], Trx[Id], Trx[Division],,0)</f>
        <v>GM</v>
      </c>
      <c r="D233" s="7" t="str">
        <f>_xlfn.XLOOKUP(Jnl[[#This Row],[TrxId]], Trx[Id], Trx[Action],,0)</f>
        <v>银行费</v>
      </c>
      <c r="E233" s="26" t="s">
        <v>84</v>
      </c>
      <c r="F233" s="11" t="s">
        <v>12</v>
      </c>
      <c r="G233" s="11" t="s">
        <v>390</v>
      </c>
      <c r="H233" s="72">
        <v>-52.4</v>
      </c>
      <c r="I233" s="5" t="b">
        <f>AND(Jnl[[#This Row],[TrxId]]&lt;&gt;"",Jnl[[#This Row],[Acct]]&lt;&gt;"",Jnl[[#This Row],[Item]]&lt;&gt;"",ISNUMBER(Jnl[[#This Row],[Bal]]))</f>
        <v>1</v>
      </c>
      <c r="J233" s="10">
        <f>IF(Jnl[[#This Row],[BSLv0]]="A",1,-1)*Jnl[[#This Row],[Bal]]</f>
        <v>-52.4</v>
      </c>
      <c r="K233" t="str">
        <f>_xlfn.XLOOKUP(Jnl[[#This Row],[Acct]], config_BS[Acct], config_BS[Lv0],,0)</f>
        <v>A</v>
      </c>
      <c r="L233" t="str">
        <f>_xlfn.XLOOKUP(Jnl[[#This Row],[Acct]], config_BS[Acct], config_BS[Lv1],,0)</f>
        <v>Assets</v>
      </c>
      <c r="M233" t="str">
        <f>_xlfn.XLOOKUP(Jnl[[#This Row],[Acct]], config_BS[Acct], config_BS[Lv2],,0)</f>
        <v>Cash alike</v>
      </c>
      <c r="N233" t="str">
        <f>_xlfn.XLOOKUP(Jnl[[#This Row],[TrxId]], Trx[Id], Trx[IncNode], ,0)</f>
        <v>Expense</v>
      </c>
      <c r="O233" t="str">
        <f>_xlfn.XLOOKUP(Jnl[[#This Row],[IncNode]], config_IS[Node], config_IS[Type],,0)</f>
        <v>Op</v>
      </c>
      <c r="P233" t="str">
        <f>_xlfn.XLOOKUP(Jnl[[#This Row],[BSLv2]], dict[Key], dict[Name],,0)</f>
        <v>0.现金及类似</v>
      </c>
      <c r="Q233" t="str">
        <f>_xlfn.XLOOKUP(Jnl[[#This Row],[Acct]], dict[Key], dict[Name],,0)</f>
        <v>银行</v>
      </c>
      <c r="R233" t="str">
        <f>_xlfn.XLOOKUP(Jnl[[#This Row],[Vehicle]],config_vehicle[Id], config_vehicle[Name],,0)</f>
        <v>榆乐</v>
      </c>
      <c r="S233" t="str">
        <f>_xlfn.XLOOKUP(Jnl[[#This Row],[Division]],config_div[Id], config_div[Name],,0)</f>
        <v>综合管理</v>
      </c>
      <c r="T233" t="str">
        <f>IF(Jnl[[#This Row],[TrxDate]]&lt;=stmt_BS_date_end, "In", "Out")</f>
        <v>In</v>
      </c>
      <c r="U233" t="str">
        <f>IF(Jnl[[#This Row],[TrxDate]]&lt;debug_date_start, "prior", IF(Jnl[[#This Row],[TrxDate]]&gt;debug_date_end, "post", "curr"))</f>
        <v>prior</v>
      </c>
    </row>
    <row r="234" spans="1:21">
      <c r="A234" s="11" t="s">
        <v>383</v>
      </c>
      <c r="B234" s="7">
        <f>_xlfn.XLOOKUP(Jnl[[#This Row],[TrxId]], Trx[Id], Trx[Date],,0)</f>
        <v>46053</v>
      </c>
      <c r="C234" s="7" t="str">
        <f>_xlfn.XLOOKUP(Jnl[[#This Row],[TrxId]], Trx[Id], Trx[Division],,0)</f>
        <v>GM</v>
      </c>
      <c r="D234" s="7" t="str">
        <f>_xlfn.XLOOKUP(Jnl[[#This Row],[TrxId]], Trx[Id], Trx[Action],,0)</f>
        <v>薪酬-工资</v>
      </c>
      <c r="E234" s="26" t="s">
        <v>84</v>
      </c>
      <c r="F234" s="11" t="s">
        <v>188</v>
      </c>
      <c r="G234" s="11" t="s">
        <v>149</v>
      </c>
      <c r="H234" s="72">
        <v>37619</v>
      </c>
      <c r="I234" s="5" t="b">
        <f>AND(Jnl[[#This Row],[TrxId]]&lt;&gt;"",Jnl[[#This Row],[Acct]]&lt;&gt;"",Jnl[[#This Row],[Item]]&lt;&gt;"",ISNUMBER(Jnl[[#This Row],[Bal]]))</f>
        <v>1</v>
      </c>
      <c r="J234" s="10">
        <f>IF(Jnl[[#This Row],[BSLv0]]="A",1,-1)*Jnl[[#This Row],[Bal]]</f>
        <v>-37619</v>
      </c>
      <c r="K234" t="str">
        <f>_xlfn.XLOOKUP(Jnl[[#This Row],[Acct]], config_BS[Acct], config_BS[Lv0],,0)</f>
        <v>LC</v>
      </c>
      <c r="L234" t="str">
        <f>_xlfn.XLOOKUP(Jnl[[#This Row],[Acct]], config_BS[Acct], config_BS[Lv1],,0)</f>
        <v>Liability</v>
      </c>
      <c r="M234" t="str">
        <f>_xlfn.XLOOKUP(Jnl[[#This Row],[Acct]], config_BS[Acct], config_BS[Lv2],,0)</f>
        <v>Rec-Pay</v>
      </c>
      <c r="N234" t="str">
        <f>_xlfn.XLOOKUP(Jnl[[#This Row],[TrxId]], Trx[Id], Trx[IncNode], ,0)</f>
        <v>Expense</v>
      </c>
      <c r="O234" t="str">
        <f>_xlfn.XLOOKUP(Jnl[[#This Row],[IncNode]], config_IS[Node], config_IS[Type],,0)</f>
        <v>Op</v>
      </c>
      <c r="P234" t="str">
        <f>_xlfn.XLOOKUP(Jnl[[#This Row],[BSLv2]], dict[Key], dict[Name],,0)</f>
        <v>1.应收-应付</v>
      </c>
      <c r="Q234" t="str">
        <f>_xlfn.XLOOKUP(Jnl[[#This Row],[Acct]], dict[Key], dict[Name],,0)</f>
        <v>应付-薪资</v>
      </c>
      <c r="R234" t="str">
        <f>_xlfn.XLOOKUP(Jnl[[#This Row],[Vehicle]],config_vehicle[Id], config_vehicle[Name],,0)</f>
        <v>榆乐</v>
      </c>
      <c r="S234" t="str">
        <f>_xlfn.XLOOKUP(Jnl[[#This Row],[Division]],config_div[Id], config_div[Name],,0)</f>
        <v>综合管理</v>
      </c>
      <c r="T234" t="str">
        <f>IF(Jnl[[#This Row],[TrxDate]]&lt;=stmt_BS_date_end, "In", "Out")</f>
        <v>In</v>
      </c>
      <c r="U234" t="str">
        <f>IF(Jnl[[#This Row],[TrxDate]]&lt;debug_date_start, "prior", IF(Jnl[[#This Row],[TrxDate]]&gt;debug_date_end, "post", "curr"))</f>
        <v>prior</v>
      </c>
    </row>
    <row r="235" spans="1:21">
      <c r="A235" s="11" t="s">
        <v>1327</v>
      </c>
      <c r="B235" s="7">
        <f>_xlfn.XLOOKUP(Jnl[[#This Row],[TrxId]], Trx[Id], Trx[Date],,0)</f>
        <v>46053</v>
      </c>
      <c r="C235" s="7" t="str">
        <f>_xlfn.XLOOKUP(Jnl[[#This Row],[TrxId]], Trx[Id], Trx[Division],,0)</f>
        <v>Online</v>
      </c>
      <c r="D235" s="7" t="str">
        <f>_xlfn.XLOOKUP(Jnl[[#This Row],[TrxId]], Trx[Id], Trx[Action],,0)</f>
        <v>薪酬-工资</v>
      </c>
      <c r="E235" s="26" t="s">
        <v>84</v>
      </c>
      <c r="F235" s="11" t="s">
        <v>188</v>
      </c>
      <c r="G235" s="11" t="s">
        <v>149</v>
      </c>
      <c r="H235" s="72">
        <v>33231.339999999997</v>
      </c>
      <c r="I235" s="5" t="b">
        <f>AND(Jnl[[#This Row],[TrxId]]&lt;&gt;"",Jnl[[#This Row],[Acct]]&lt;&gt;"",Jnl[[#This Row],[Item]]&lt;&gt;"",ISNUMBER(Jnl[[#This Row],[Bal]]))</f>
        <v>1</v>
      </c>
      <c r="J235" s="10">
        <f>IF(Jnl[[#This Row],[BSLv0]]="A",1,-1)*Jnl[[#This Row],[Bal]]</f>
        <v>-33231.339999999997</v>
      </c>
      <c r="K235" t="str">
        <f>_xlfn.XLOOKUP(Jnl[[#This Row],[Acct]], config_BS[Acct], config_BS[Lv0],,0)</f>
        <v>LC</v>
      </c>
      <c r="L235" t="str">
        <f>_xlfn.XLOOKUP(Jnl[[#This Row],[Acct]], config_BS[Acct], config_BS[Lv1],,0)</f>
        <v>Liability</v>
      </c>
      <c r="M235" t="str">
        <f>_xlfn.XLOOKUP(Jnl[[#This Row],[Acct]], config_BS[Acct], config_BS[Lv2],,0)</f>
        <v>Rec-Pay</v>
      </c>
      <c r="N235" t="str">
        <f>_xlfn.XLOOKUP(Jnl[[#This Row],[TrxId]], Trx[Id], Trx[IncNode], ,0)</f>
        <v>Expense</v>
      </c>
      <c r="O235" t="str">
        <f>_xlfn.XLOOKUP(Jnl[[#This Row],[IncNode]], config_IS[Node], config_IS[Type],,0)</f>
        <v>Op</v>
      </c>
      <c r="P235" t="str">
        <f>_xlfn.XLOOKUP(Jnl[[#This Row],[BSLv2]], dict[Key], dict[Name],,0)</f>
        <v>1.应收-应付</v>
      </c>
      <c r="Q235" t="str">
        <f>_xlfn.XLOOKUP(Jnl[[#This Row],[Acct]], dict[Key], dict[Name],,0)</f>
        <v>应付-薪资</v>
      </c>
      <c r="R235" t="str">
        <f>_xlfn.XLOOKUP(Jnl[[#This Row],[Vehicle]],config_vehicle[Id], config_vehicle[Name],,0)</f>
        <v>榆乐</v>
      </c>
      <c r="S235" t="str">
        <f>_xlfn.XLOOKUP(Jnl[[#This Row],[Division]],config_div[Id], config_div[Name],,0)</f>
        <v>网店</v>
      </c>
      <c r="T235" t="str">
        <f>IF(Jnl[[#This Row],[TrxDate]]&lt;=stmt_BS_date_end, "In", "Out")</f>
        <v>In</v>
      </c>
      <c r="U235" t="str">
        <f>IF(Jnl[[#This Row],[TrxDate]]&lt;debug_date_start, "prior", IF(Jnl[[#This Row],[TrxDate]]&gt;debug_date_end, "post", "curr"))</f>
        <v>prior</v>
      </c>
    </row>
    <row r="236" spans="1:21">
      <c r="A236" s="11" t="s">
        <v>384</v>
      </c>
      <c r="B236" s="7">
        <f>_xlfn.XLOOKUP(Jnl[[#This Row],[TrxId]], Trx[Id], Trx[Date],,0)</f>
        <v>46053</v>
      </c>
      <c r="C236" s="7" t="str">
        <f>_xlfn.XLOOKUP(Jnl[[#This Row],[TrxId]], Trx[Id], Trx[Division],,0)</f>
        <v>GM</v>
      </c>
      <c r="D236" s="7" t="str">
        <f>_xlfn.XLOOKUP(Jnl[[#This Row],[TrxId]], Trx[Id], Trx[Action],,0)</f>
        <v>年终奖</v>
      </c>
      <c r="E236" s="26" t="s">
        <v>84</v>
      </c>
      <c r="F236" s="11" t="s">
        <v>188</v>
      </c>
      <c r="G236" s="11" t="s">
        <v>318</v>
      </c>
      <c r="H236" s="72">
        <v>53731</v>
      </c>
      <c r="I236" s="5" t="b">
        <f>AND(Jnl[[#This Row],[TrxId]]&lt;&gt;"",Jnl[[#This Row],[Acct]]&lt;&gt;"",Jnl[[#This Row],[Item]]&lt;&gt;"",ISNUMBER(Jnl[[#This Row],[Bal]]))</f>
        <v>1</v>
      </c>
      <c r="J236" s="10">
        <f>IF(Jnl[[#This Row],[BSLv0]]="A",1,-1)*Jnl[[#This Row],[Bal]]</f>
        <v>-53731</v>
      </c>
      <c r="K236" t="str">
        <f>_xlfn.XLOOKUP(Jnl[[#This Row],[Acct]], config_BS[Acct], config_BS[Lv0],,0)</f>
        <v>LC</v>
      </c>
      <c r="L236" t="str">
        <f>_xlfn.XLOOKUP(Jnl[[#This Row],[Acct]], config_BS[Acct], config_BS[Lv1],,0)</f>
        <v>Liability</v>
      </c>
      <c r="M236" t="str">
        <f>_xlfn.XLOOKUP(Jnl[[#This Row],[Acct]], config_BS[Acct], config_BS[Lv2],,0)</f>
        <v>Rec-Pay</v>
      </c>
      <c r="N236" t="str">
        <f>_xlfn.XLOOKUP(Jnl[[#This Row],[TrxId]], Trx[Id], Trx[IncNode], ,0)</f>
        <v>Discretion</v>
      </c>
      <c r="O236" t="str">
        <f>_xlfn.XLOOKUP(Jnl[[#This Row],[IncNode]], config_IS[Node], config_IS[Type],,0)</f>
        <v>Non-Op</v>
      </c>
      <c r="P236" t="str">
        <f>_xlfn.XLOOKUP(Jnl[[#This Row],[BSLv2]], dict[Key], dict[Name],,0)</f>
        <v>1.应收-应付</v>
      </c>
      <c r="Q236" t="str">
        <f>_xlfn.XLOOKUP(Jnl[[#This Row],[Acct]], dict[Key], dict[Name],,0)</f>
        <v>应付-薪资</v>
      </c>
      <c r="R236" t="str">
        <f>_xlfn.XLOOKUP(Jnl[[#This Row],[Vehicle]],config_vehicle[Id], config_vehicle[Name],,0)</f>
        <v>榆乐</v>
      </c>
      <c r="S236" t="str">
        <f>_xlfn.XLOOKUP(Jnl[[#This Row],[Division]],config_div[Id], config_div[Name],,0)</f>
        <v>综合管理</v>
      </c>
      <c r="T236" t="str">
        <f>IF(Jnl[[#This Row],[TrxDate]]&lt;=stmt_BS_date_end, "In", "Out")</f>
        <v>In</v>
      </c>
      <c r="U236" t="str">
        <f>IF(Jnl[[#This Row],[TrxDate]]&lt;debug_date_start, "prior", IF(Jnl[[#This Row],[TrxDate]]&gt;debug_date_end, "post", "curr"))</f>
        <v>prior</v>
      </c>
    </row>
    <row r="237" spans="1:21">
      <c r="A237" s="11" t="s">
        <v>386</v>
      </c>
      <c r="B237" s="7">
        <f>_xlfn.XLOOKUP(Jnl[[#This Row],[TrxId]], Trx[Id], Trx[Date],,0)</f>
        <v>46053</v>
      </c>
      <c r="C237" s="7" t="str">
        <f>_xlfn.XLOOKUP(Jnl[[#This Row],[TrxId]], Trx[Id], Trx[Division],,0)</f>
        <v>Ctrl</v>
      </c>
      <c r="D237" s="7" t="str">
        <f>_xlfn.XLOOKUP(Jnl[[#This Row],[TrxId]], Trx[Id], Trx[Action],,0)</f>
        <v>调整</v>
      </c>
      <c r="E237" s="26" t="s">
        <v>84</v>
      </c>
      <c r="F237" s="11" t="s">
        <v>126</v>
      </c>
      <c r="G237" s="11" t="s">
        <v>347</v>
      </c>
      <c r="H237" s="72">
        <v>0.01</v>
      </c>
      <c r="I237" s="5" t="b">
        <f>AND(Jnl[[#This Row],[TrxId]]&lt;&gt;"",Jnl[[#This Row],[Acct]]&lt;&gt;"",Jnl[[#This Row],[Item]]&lt;&gt;"",ISNUMBER(Jnl[[#This Row],[Bal]]))</f>
        <v>1</v>
      </c>
      <c r="J237" s="10">
        <f>IF(Jnl[[#This Row],[BSLv0]]="A",1,-1)*Jnl[[#This Row],[Bal]]</f>
        <v>-0.01</v>
      </c>
      <c r="K237" t="str">
        <f>_xlfn.XLOOKUP(Jnl[[#This Row],[Acct]], config_BS[Acct], config_BS[Lv0],,0)</f>
        <v>LC</v>
      </c>
      <c r="L237" t="str">
        <f>_xlfn.XLOOKUP(Jnl[[#This Row],[Acct]], config_BS[Acct], config_BS[Lv1],,0)</f>
        <v>Liability</v>
      </c>
      <c r="M237" t="str">
        <f>_xlfn.XLOOKUP(Jnl[[#This Row],[Acct]], config_BS[Acct], config_BS[Lv2],,0)</f>
        <v>Rec-Pay</v>
      </c>
      <c r="N237" t="str">
        <f>_xlfn.XLOOKUP(Jnl[[#This Row],[TrxId]], Trx[Id], Trx[IncNode], ,0)</f>
        <v>Other</v>
      </c>
      <c r="O237" t="str">
        <f>_xlfn.XLOOKUP(Jnl[[#This Row],[IncNode]], config_IS[Node], config_IS[Type],,0)</f>
        <v>Non-Op</v>
      </c>
      <c r="P237" t="str">
        <f>_xlfn.XLOOKUP(Jnl[[#This Row],[BSLv2]], dict[Key], dict[Name],,0)</f>
        <v>1.应收-应付</v>
      </c>
      <c r="Q237" t="str">
        <f>_xlfn.XLOOKUP(Jnl[[#This Row],[Acct]], dict[Key], dict[Name],,0)</f>
        <v>应付-税款</v>
      </c>
      <c r="R237" t="str">
        <f>_xlfn.XLOOKUP(Jnl[[#This Row],[Vehicle]],config_vehicle[Id], config_vehicle[Name],,0)</f>
        <v>榆乐</v>
      </c>
      <c r="S237" t="str">
        <f>_xlfn.XLOOKUP(Jnl[[#This Row],[Division]],config_div[Id], config_div[Name],,0)</f>
        <v>内控合规</v>
      </c>
      <c r="T237" t="str">
        <f>IF(Jnl[[#This Row],[TrxDate]]&lt;=stmt_BS_date_end, "In", "Out")</f>
        <v>In</v>
      </c>
      <c r="U237" t="str">
        <f>IF(Jnl[[#This Row],[TrxDate]]&lt;debug_date_start, "prior", IF(Jnl[[#This Row],[TrxDate]]&gt;debug_date_end, "post", "curr"))</f>
        <v>prior</v>
      </c>
    </row>
    <row r="238" spans="1:21">
      <c r="A238" s="11" t="s">
        <v>386</v>
      </c>
      <c r="B238" s="7">
        <f>_xlfn.XLOOKUP(Jnl[[#This Row],[TrxId]], Trx[Id], Trx[Date],,0)</f>
        <v>46053</v>
      </c>
      <c r="C238" s="7" t="str">
        <f>_xlfn.XLOOKUP(Jnl[[#This Row],[TrxId]], Trx[Id], Trx[Division],,0)</f>
        <v>Ctrl</v>
      </c>
      <c r="D238" s="7" t="str">
        <f>_xlfn.XLOOKUP(Jnl[[#This Row],[TrxId]], Trx[Id], Trx[Action],,0)</f>
        <v>调整</v>
      </c>
      <c r="E238" s="26" t="s">
        <v>85</v>
      </c>
      <c r="F238" s="11" t="s">
        <v>126</v>
      </c>
      <c r="G238" s="11" t="s">
        <v>307</v>
      </c>
      <c r="H238" s="72">
        <v>-0.04</v>
      </c>
      <c r="I238" s="5" t="b">
        <f>AND(Jnl[[#This Row],[TrxId]]&lt;&gt;"",Jnl[[#This Row],[Acct]]&lt;&gt;"",Jnl[[#This Row],[Item]]&lt;&gt;"",ISNUMBER(Jnl[[#This Row],[Bal]]))</f>
        <v>1</v>
      </c>
      <c r="J238" s="10">
        <f>IF(Jnl[[#This Row],[BSLv0]]="A",1,-1)*Jnl[[#This Row],[Bal]]</f>
        <v>0.04</v>
      </c>
      <c r="K238" t="str">
        <f>_xlfn.XLOOKUP(Jnl[[#This Row],[Acct]], config_BS[Acct], config_BS[Lv0],,0)</f>
        <v>LC</v>
      </c>
      <c r="L238" t="str">
        <f>_xlfn.XLOOKUP(Jnl[[#This Row],[Acct]], config_BS[Acct], config_BS[Lv1],,0)</f>
        <v>Liability</v>
      </c>
      <c r="M238" t="str">
        <f>_xlfn.XLOOKUP(Jnl[[#This Row],[Acct]], config_BS[Acct], config_BS[Lv2],,0)</f>
        <v>Rec-Pay</v>
      </c>
      <c r="N238" t="str">
        <f>_xlfn.XLOOKUP(Jnl[[#This Row],[TrxId]], Trx[Id], Trx[IncNode], ,0)</f>
        <v>Other</v>
      </c>
      <c r="O238" t="str">
        <f>_xlfn.XLOOKUP(Jnl[[#This Row],[IncNode]], config_IS[Node], config_IS[Type],,0)</f>
        <v>Non-Op</v>
      </c>
      <c r="P238" t="str">
        <f>_xlfn.XLOOKUP(Jnl[[#This Row],[BSLv2]], dict[Key], dict[Name],,0)</f>
        <v>1.应收-应付</v>
      </c>
      <c r="Q238" t="str">
        <f>_xlfn.XLOOKUP(Jnl[[#This Row],[Acct]], dict[Key], dict[Name],,0)</f>
        <v>应付-税款</v>
      </c>
      <c r="R238" t="str">
        <f>_xlfn.XLOOKUP(Jnl[[#This Row],[Vehicle]],config_vehicle[Id], config_vehicle[Name],,0)</f>
        <v>桑木</v>
      </c>
      <c r="S238" t="str">
        <f>_xlfn.XLOOKUP(Jnl[[#This Row],[Division]],config_div[Id], config_div[Name],,0)</f>
        <v>内控合规</v>
      </c>
      <c r="T238" t="str">
        <f>IF(Jnl[[#This Row],[TrxDate]]&lt;=stmt_BS_date_end, "In", "Out")</f>
        <v>In</v>
      </c>
      <c r="U238" t="str">
        <f>IF(Jnl[[#This Row],[TrxDate]]&lt;debug_date_start, "prior", IF(Jnl[[#This Row],[TrxDate]]&gt;debug_date_end, "post", "curr"))</f>
        <v>prior</v>
      </c>
    </row>
    <row r="239" spans="1:21">
      <c r="A239" s="11" t="s">
        <v>389</v>
      </c>
      <c r="B239" s="7">
        <f>_xlfn.XLOOKUP(Jnl[[#This Row],[TrxId]], Trx[Id], Trx[Date],,0)</f>
        <v>46053</v>
      </c>
      <c r="C239" s="7" t="str">
        <f>_xlfn.XLOOKUP(Jnl[[#This Row],[TrxId]], Trx[Id], Trx[Division],,0)</f>
        <v>Ctrl</v>
      </c>
      <c r="D239" s="7" t="str">
        <f>_xlfn.XLOOKUP(Jnl[[#This Row],[TrxId]], Trx[Id], Trx[Action],,0)</f>
        <v>过账</v>
      </c>
      <c r="E239" s="26" t="s">
        <v>93</v>
      </c>
      <c r="F239" s="11" t="s">
        <v>12</v>
      </c>
      <c r="G239" s="11" t="s">
        <v>393</v>
      </c>
      <c r="H239" s="72">
        <v>93400</v>
      </c>
      <c r="I239" s="5" t="b">
        <f>AND(Jnl[[#This Row],[TrxId]]&lt;&gt;"",Jnl[[#This Row],[Acct]]&lt;&gt;"",Jnl[[#This Row],[Item]]&lt;&gt;"",ISNUMBER(Jnl[[#This Row],[Bal]]))</f>
        <v>1</v>
      </c>
      <c r="J239" s="10">
        <f>IF(Jnl[[#This Row],[BSLv0]]="A",1,-1)*Jnl[[#This Row],[Bal]]</f>
        <v>93400</v>
      </c>
      <c r="K239" t="str">
        <f>_xlfn.XLOOKUP(Jnl[[#This Row],[Acct]], config_BS[Acct], config_BS[Lv0],,0)</f>
        <v>A</v>
      </c>
      <c r="L239" t="str">
        <f>_xlfn.XLOOKUP(Jnl[[#This Row],[Acct]], config_BS[Acct], config_BS[Lv1],,0)</f>
        <v>Assets</v>
      </c>
      <c r="M239" t="str">
        <f>_xlfn.XLOOKUP(Jnl[[#This Row],[Acct]], config_BS[Acct], config_BS[Lv2],,0)</f>
        <v>Cash alike</v>
      </c>
      <c r="N239" t="str">
        <f>_xlfn.XLOOKUP(Jnl[[#This Row],[TrxId]], Trx[Id], Trx[IncNode], ,0)</f>
        <v>Other</v>
      </c>
      <c r="O239" t="str">
        <f>_xlfn.XLOOKUP(Jnl[[#This Row],[IncNode]], config_IS[Node], config_IS[Type],,0)</f>
        <v>Non-Op</v>
      </c>
      <c r="P239" t="str">
        <f>_xlfn.XLOOKUP(Jnl[[#This Row],[BSLv2]], dict[Key], dict[Name],,0)</f>
        <v>0.现金及类似</v>
      </c>
      <c r="Q239" t="str">
        <f>_xlfn.XLOOKUP(Jnl[[#This Row],[Acct]], dict[Key], dict[Name],,0)</f>
        <v>银行</v>
      </c>
      <c r="R239" t="str">
        <f>_xlfn.XLOOKUP(Jnl[[#This Row],[Vehicle]],config_vehicle[Id], config_vehicle[Name],,0)</f>
        <v>创业园-琦</v>
      </c>
      <c r="S239" t="str">
        <f>_xlfn.XLOOKUP(Jnl[[#This Row],[Division]],config_div[Id], config_div[Name],,0)</f>
        <v>内控合规</v>
      </c>
      <c r="T239" t="str">
        <f>IF(Jnl[[#This Row],[TrxDate]]&lt;=stmt_BS_date_end, "In", "Out")</f>
        <v>In</v>
      </c>
      <c r="U239" t="str">
        <f>IF(Jnl[[#This Row],[TrxDate]]&lt;debug_date_start, "prior", IF(Jnl[[#This Row],[TrxDate]]&gt;debug_date_end, "post", "curr"))</f>
        <v>prior</v>
      </c>
    </row>
    <row r="240" spans="1:21">
      <c r="A240" s="11" t="s">
        <v>389</v>
      </c>
      <c r="B240" s="7">
        <f>_xlfn.XLOOKUP(Jnl[[#This Row],[TrxId]], Trx[Id], Trx[Date],,0)</f>
        <v>46053</v>
      </c>
      <c r="C240" s="7" t="str">
        <f>_xlfn.XLOOKUP(Jnl[[#This Row],[TrxId]], Trx[Id], Trx[Division],,0)</f>
        <v>Ctrl</v>
      </c>
      <c r="D240" s="7" t="str">
        <f>_xlfn.XLOOKUP(Jnl[[#This Row],[TrxId]], Trx[Id], Trx[Action],,0)</f>
        <v>过账</v>
      </c>
      <c r="E240" s="26" t="s">
        <v>86</v>
      </c>
      <c r="F240" s="11" t="s">
        <v>12</v>
      </c>
      <c r="G240" s="11" t="s">
        <v>481</v>
      </c>
      <c r="H240" s="72">
        <v>-93400</v>
      </c>
      <c r="I240" s="5" t="b">
        <f>AND(Jnl[[#This Row],[TrxId]]&lt;&gt;"",Jnl[[#This Row],[Acct]]&lt;&gt;"",Jnl[[#This Row],[Item]]&lt;&gt;"",ISNUMBER(Jnl[[#This Row],[Bal]]))</f>
        <v>1</v>
      </c>
      <c r="J240" s="10">
        <f>IF(Jnl[[#This Row],[BSLv0]]="A",1,-1)*Jnl[[#This Row],[Bal]]</f>
        <v>-93400</v>
      </c>
      <c r="K240" t="str">
        <f>_xlfn.XLOOKUP(Jnl[[#This Row],[Acct]], config_BS[Acct], config_BS[Lv0],,0)</f>
        <v>A</v>
      </c>
      <c r="L240" t="str">
        <f>_xlfn.XLOOKUP(Jnl[[#This Row],[Acct]], config_BS[Acct], config_BS[Lv1],,0)</f>
        <v>Assets</v>
      </c>
      <c r="M240" t="str">
        <f>_xlfn.XLOOKUP(Jnl[[#This Row],[Acct]], config_BS[Acct], config_BS[Lv2],,0)</f>
        <v>Cash alike</v>
      </c>
      <c r="N240" t="str">
        <f>_xlfn.XLOOKUP(Jnl[[#This Row],[TrxId]], Trx[Id], Trx[IncNode], ,0)</f>
        <v>Other</v>
      </c>
      <c r="O240" t="str">
        <f>_xlfn.XLOOKUP(Jnl[[#This Row],[IncNode]], config_IS[Node], config_IS[Type],,0)</f>
        <v>Non-Op</v>
      </c>
      <c r="P240" t="str">
        <f>_xlfn.XLOOKUP(Jnl[[#This Row],[BSLv2]], dict[Key], dict[Name],,0)</f>
        <v>0.现金及类似</v>
      </c>
      <c r="Q240" t="str">
        <f>_xlfn.XLOOKUP(Jnl[[#This Row],[Acct]], dict[Key], dict[Name],,0)</f>
        <v>银行</v>
      </c>
      <c r="R240" t="str">
        <f>_xlfn.XLOOKUP(Jnl[[#This Row],[Vehicle]],config_vehicle[Id], config_vehicle[Name],,0)</f>
        <v>张小喜</v>
      </c>
      <c r="S240" t="str">
        <f>_xlfn.XLOOKUP(Jnl[[#This Row],[Division]],config_div[Id], config_div[Name],,0)</f>
        <v>内控合规</v>
      </c>
      <c r="T240" t="str">
        <f>IF(Jnl[[#This Row],[TrxDate]]&lt;=stmt_BS_date_end, "In", "Out")</f>
        <v>In</v>
      </c>
      <c r="U240" t="str">
        <f>IF(Jnl[[#This Row],[TrxDate]]&lt;debug_date_start, "prior", IF(Jnl[[#This Row],[TrxDate]]&gt;debug_date_end, "post", "curr"))</f>
        <v>prior</v>
      </c>
    </row>
    <row r="241" spans="1:21">
      <c r="A241" s="11" t="s">
        <v>395</v>
      </c>
      <c r="B241" s="7">
        <f>_xlfn.XLOOKUP(Jnl[[#This Row],[TrxId]], Trx[Id], Trx[Date],,0)</f>
        <v>46053</v>
      </c>
      <c r="C241" s="7" t="str">
        <f>_xlfn.XLOOKUP(Jnl[[#This Row],[TrxId]], Trx[Id], Trx[Division],,0)</f>
        <v>GM</v>
      </c>
      <c r="D241" s="7" t="str">
        <f>_xlfn.XLOOKUP(Jnl[[#This Row],[TrxId]], Trx[Id], Trx[Action],,0)</f>
        <v>分红</v>
      </c>
      <c r="E241" s="26" t="s">
        <v>93</v>
      </c>
      <c r="F241" s="11" t="s">
        <v>12</v>
      </c>
      <c r="G241" s="11" t="s">
        <v>393</v>
      </c>
      <c r="H241" s="72">
        <v>-1200000</v>
      </c>
      <c r="I241" s="5" t="b">
        <f>AND(Jnl[[#This Row],[TrxId]]&lt;&gt;"",Jnl[[#This Row],[Acct]]&lt;&gt;"",Jnl[[#This Row],[Item]]&lt;&gt;"",ISNUMBER(Jnl[[#This Row],[Bal]]))</f>
        <v>1</v>
      </c>
      <c r="J241" s="10">
        <f>IF(Jnl[[#This Row],[BSLv0]]="A",1,-1)*Jnl[[#This Row],[Bal]]</f>
        <v>-1200000</v>
      </c>
      <c r="K241" t="str">
        <f>_xlfn.XLOOKUP(Jnl[[#This Row],[Acct]], config_BS[Acct], config_BS[Lv0],,0)</f>
        <v>A</v>
      </c>
      <c r="L241" t="str">
        <f>_xlfn.XLOOKUP(Jnl[[#This Row],[Acct]], config_BS[Acct], config_BS[Lv1],,0)</f>
        <v>Assets</v>
      </c>
      <c r="M241" t="str">
        <f>_xlfn.XLOOKUP(Jnl[[#This Row],[Acct]], config_BS[Acct], config_BS[Lv2],,0)</f>
        <v>Cash alike</v>
      </c>
      <c r="N241" t="str">
        <f>_xlfn.XLOOKUP(Jnl[[#This Row],[TrxId]], Trx[Id], Trx[IncNode], ,0)</f>
        <v>Other</v>
      </c>
      <c r="O241" t="str">
        <f>_xlfn.XLOOKUP(Jnl[[#This Row],[IncNode]], config_IS[Node], config_IS[Type],,0)</f>
        <v>Non-Op</v>
      </c>
      <c r="P241" t="str">
        <f>_xlfn.XLOOKUP(Jnl[[#This Row],[BSLv2]], dict[Key], dict[Name],,0)</f>
        <v>0.现金及类似</v>
      </c>
      <c r="Q241" t="str">
        <f>_xlfn.XLOOKUP(Jnl[[#This Row],[Acct]], dict[Key], dict[Name],,0)</f>
        <v>银行</v>
      </c>
      <c r="R241" t="str">
        <f>_xlfn.XLOOKUP(Jnl[[#This Row],[Vehicle]],config_vehicle[Id], config_vehicle[Name],,0)</f>
        <v>创业园-琦</v>
      </c>
      <c r="S241" t="str">
        <f>_xlfn.XLOOKUP(Jnl[[#This Row],[Division]],config_div[Id], config_div[Name],,0)</f>
        <v>综合管理</v>
      </c>
      <c r="T241" t="str">
        <f>IF(Jnl[[#This Row],[TrxDate]]&lt;=stmt_BS_date_end, "In", "Out")</f>
        <v>In</v>
      </c>
      <c r="U241" t="str">
        <f>IF(Jnl[[#This Row],[TrxDate]]&lt;debug_date_start, "prior", IF(Jnl[[#This Row],[TrxDate]]&gt;debug_date_end, "post", "curr"))</f>
        <v>prior</v>
      </c>
    </row>
    <row r="242" spans="1:21">
      <c r="A242" s="11" t="s">
        <v>395</v>
      </c>
      <c r="B242" s="7">
        <f>_xlfn.XLOOKUP(Jnl[[#This Row],[TrxId]], Trx[Id], Trx[Date],,0)</f>
        <v>46053</v>
      </c>
      <c r="C242" s="7" t="str">
        <f>_xlfn.XLOOKUP(Jnl[[#This Row],[TrxId]], Trx[Id], Trx[Division],,0)</f>
        <v>GM</v>
      </c>
      <c r="D242" s="7" t="str">
        <f>_xlfn.XLOOKUP(Jnl[[#This Row],[TrxId]], Trx[Id], Trx[Action],,0)</f>
        <v>分红</v>
      </c>
      <c r="E242" s="26" t="s">
        <v>81</v>
      </c>
      <c r="F242" s="11" t="s">
        <v>18</v>
      </c>
      <c r="G242" s="11" t="s">
        <v>2001</v>
      </c>
      <c r="H242" s="72">
        <v>-1200000</v>
      </c>
      <c r="I242" s="5" t="b">
        <f>AND(Jnl[[#This Row],[TrxId]]&lt;&gt;"",Jnl[[#This Row],[Acct]]&lt;&gt;"",Jnl[[#This Row],[Item]]&lt;&gt;"",ISNUMBER(Jnl[[#This Row],[Bal]]))</f>
        <v>1</v>
      </c>
      <c r="J242" s="10">
        <f>IF(Jnl[[#This Row],[BSLv0]]="A",1,-1)*Jnl[[#This Row],[Bal]]</f>
        <v>1200000</v>
      </c>
      <c r="K242" t="str">
        <f>_xlfn.XLOOKUP(Jnl[[#This Row],[Acct]], config_BS[Acct], config_BS[Lv0],,0)</f>
        <v>LC</v>
      </c>
      <c r="L242" t="str">
        <f>_xlfn.XLOOKUP(Jnl[[#This Row],[Acct]], config_BS[Acct], config_BS[Lv1],,0)</f>
        <v>Equity</v>
      </c>
      <c r="M242" t="str">
        <f>_xlfn.XLOOKUP(Jnl[[#This Row],[Acct]], config_BS[Acct], config_BS[Lv2],,0)</f>
        <v>Rsv</v>
      </c>
      <c r="N242" t="str">
        <f>_xlfn.XLOOKUP(Jnl[[#This Row],[TrxId]], Trx[Id], Trx[IncNode], ,0)</f>
        <v>Other</v>
      </c>
      <c r="O242" t="str">
        <f>_xlfn.XLOOKUP(Jnl[[#This Row],[IncNode]], config_IS[Node], config_IS[Type],,0)</f>
        <v>Non-Op</v>
      </c>
      <c r="P242" t="str">
        <f>_xlfn.XLOOKUP(Jnl[[#This Row],[BSLv2]], dict[Key], dict[Name],,0)</f>
        <v>9.蓄水池</v>
      </c>
      <c r="Q242" t="str">
        <f>_xlfn.XLOOKUP(Jnl[[#This Row],[Acct]], dict[Key], dict[Name],,0)</f>
        <v>可分配利润</v>
      </c>
      <c r="R242" t="str">
        <f>_xlfn.XLOOKUP(Jnl[[#This Row],[Vehicle]],config_vehicle[Id], config_vehicle[Name],,0)</f>
        <v>喜家文化</v>
      </c>
      <c r="S242" t="str">
        <f>_xlfn.XLOOKUP(Jnl[[#This Row],[Division]],config_div[Id], config_div[Name],,0)</f>
        <v>综合管理</v>
      </c>
      <c r="T242" t="str">
        <f>IF(Jnl[[#This Row],[TrxDate]]&lt;=stmt_BS_date_end, "In", "Out")</f>
        <v>In</v>
      </c>
      <c r="U242" t="str">
        <f>IF(Jnl[[#This Row],[TrxDate]]&lt;debug_date_start, "prior", IF(Jnl[[#This Row],[TrxDate]]&gt;debug_date_end, "post", "curr"))</f>
        <v>prior</v>
      </c>
    </row>
    <row r="243" spans="1:21">
      <c r="A243" s="11" t="s">
        <v>398</v>
      </c>
      <c r="B243" s="7">
        <f>_xlfn.XLOOKUP(Jnl[[#This Row],[TrxId]], Trx[Id], Trx[Date],,0)</f>
        <v>46053</v>
      </c>
      <c r="C243" s="7" t="str">
        <f>_xlfn.XLOOKUP(Jnl[[#This Row],[TrxId]], Trx[Id], Trx[Division],,0)</f>
        <v>Online</v>
      </c>
      <c r="D243" s="7" t="str">
        <f>_xlfn.XLOOKUP(Jnl[[#This Row],[TrxId]], Trx[Id], Trx[Action],,0)</f>
        <v>其他销售</v>
      </c>
      <c r="E243" s="26" t="s">
        <v>93</v>
      </c>
      <c r="F243" s="11" t="s">
        <v>12</v>
      </c>
      <c r="G243" s="11" t="s">
        <v>393</v>
      </c>
      <c r="H243" s="72">
        <f>21.05+78.1</f>
        <v>99.149999999999991</v>
      </c>
      <c r="I243" s="5" t="b">
        <f>AND(Jnl[[#This Row],[TrxId]]&lt;&gt;"",Jnl[[#This Row],[Acct]]&lt;&gt;"",Jnl[[#This Row],[Item]]&lt;&gt;"",ISNUMBER(Jnl[[#This Row],[Bal]]))</f>
        <v>1</v>
      </c>
      <c r="J243" s="10">
        <f>IF(Jnl[[#This Row],[BSLv0]]="A",1,-1)*Jnl[[#This Row],[Bal]]</f>
        <v>99.149999999999991</v>
      </c>
      <c r="K243" t="str">
        <f>_xlfn.XLOOKUP(Jnl[[#This Row],[Acct]], config_BS[Acct], config_BS[Lv0],,0)</f>
        <v>A</v>
      </c>
      <c r="L243" t="str">
        <f>_xlfn.XLOOKUP(Jnl[[#This Row],[Acct]], config_BS[Acct], config_BS[Lv1],,0)</f>
        <v>Assets</v>
      </c>
      <c r="M243" t="str">
        <f>_xlfn.XLOOKUP(Jnl[[#This Row],[Acct]], config_BS[Acct], config_BS[Lv2],,0)</f>
        <v>Cash alike</v>
      </c>
      <c r="N243" t="str">
        <f>_xlfn.XLOOKUP(Jnl[[#This Row],[TrxId]], Trx[Id], Trx[IncNode], ,0)</f>
        <v>Revenue</v>
      </c>
      <c r="O243" t="str">
        <f>_xlfn.XLOOKUP(Jnl[[#This Row],[IncNode]], config_IS[Node], config_IS[Type],,0)</f>
        <v>Op</v>
      </c>
      <c r="P243" t="str">
        <f>_xlfn.XLOOKUP(Jnl[[#This Row],[BSLv2]], dict[Key], dict[Name],,0)</f>
        <v>0.现金及类似</v>
      </c>
      <c r="Q243" t="str">
        <f>_xlfn.XLOOKUP(Jnl[[#This Row],[Acct]], dict[Key], dict[Name],,0)</f>
        <v>银行</v>
      </c>
      <c r="R243" t="str">
        <f>_xlfn.XLOOKUP(Jnl[[#This Row],[Vehicle]],config_vehicle[Id], config_vehicle[Name],,0)</f>
        <v>创业园-琦</v>
      </c>
      <c r="S243" t="str">
        <f>_xlfn.XLOOKUP(Jnl[[#This Row],[Division]],config_div[Id], config_div[Name],,0)</f>
        <v>网店</v>
      </c>
      <c r="T243" t="str">
        <f>IF(Jnl[[#This Row],[TrxDate]]&lt;=stmt_BS_date_end, "In", "Out")</f>
        <v>In</v>
      </c>
      <c r="U243" t="str">
        <f>IF(Jnl[[#This Row],[TrxDate]]&lt;debug_date_start, "prior", IF(Jnl[[#This Row],[TrxDate]]&gt;debug_date_end, "post", "curr"))</f>
        <v>prior</v>
      </c>
    </row>
    <row r="244" spans="1:21">
      <c r="A244" s="11" t="s">
        <v>400</v>
      </c>
      <c r="B244" s="7">
        <f>_xlfn.XLOOKUP(Jnl[[#This Row],[TrxId]], Trx[Id], Trx[Date],,0)</f>
        <v>46053</v>
      </c>
      <c r="C244" s="7" t="str">
        <f>_xlfn.XLOOKUP(Jnl[[#This Row],[TrxId]], Trx[Id], Trx[Division],,0)</f>
        <v>Online</v>
      </c>
      <c r="D244" s="7" t="str">
        <f>_xlfn.XLOOKUP(Jnl[[#This Row],[TrxId]], Trx[Id], Trx[Action],,0)</f>
        <v>服饰</v>
      </c>
      <c r="E244" s="26" t="s">
        <v>93</v>
      </c>
      <c r="F244" s="11" t="s">
        <v>12</v>
      </c>
      <c r="G244" s="11" t="s">
        <v>393</v>
      </c>
      <c r="H244" s="72">
        <v>23384.05</v>
      </c>
      <c r="I244" s="5" t="b">
        <f>AND(Jnl[[#This Row],[TrxId]]&lt;&gt;"",Jnl[[#This Row],[Acct]]&lt;&gt;"",Jnl[[#This Row],[Item]]&lt;&gt;"",ISNUMBER(Jnl[[#This Row],[Bal]]))</f>
        <v>1</v>
      </c>
      <c r="J244" s="10">
        <f>IF(Jnl[[#This Row],[BSLv0]]="A",1,-1)*Jnl[[#This Row],[Bal]]</f>
        <v>23384.05</v>
      </c>
      <c r="K244" t="str">
        <f>_xlfn.XLOOKUP(Jnl[[#This Row],[Acct]], config_BS[Acct], config_BS[Lv0],,0)</f>
        <v>A</v>
      </c>
      <c r="L244" t="str">
        <f>_xlfn.XLOOKUP(Jnl[[#This Row],[Acct]], config_BS[Acct], config_BS[Lv1],,0)</f>
        <v>Assets</v>
      </c>
      <c r="M244" t="str">
        <f>_xlfn.XLOOKUP(Jnl[[#This Row],[Acct]], config_BS[Acct], config_BS[Lv2],,0)</f>
        <v>Cash alike</v>
      </c>
      <c r="N244" t="str">
        <f>_xlfn.XLOOKUP(Jnl[[#This Row],[TrxId]], Trx[Id], Trx[IncNode], ,0)</f>
        <v>Revenue</v>
      </c>
      <c r="O244" t="str">
        <f>_xlfn.XLOOKUP(Jnl[[#This Row],[IncNode]], config_IS[Node], config_IS[Type],,0)</f>
        <v>Op</v>
      </c>
      <c r="P244" t="str">
        <f>_xlfn.XLOOKUP(Jnl[[#This Row],[BSLv2]], dict[Key], dict[Name],,0)</f>
        <v>0.现金及类似</v>
      </c>
      <c r="Q244" t="str">
        <f>_xlfn.XLOOKUP(Jnl[[#This Row],[Acct]], dict[Key], dict[Name],,0)</f>
        <v>银行</v>
      </c>
      <c r="R244" t="str">
        <f>_xlfn.XLOOKUP(Jnl[[#This Row],[Vehicle]],config_vehicle[Id], config_vehicle[Name],,0)</f>
        <v>创业园-琦</v>
      </c>
      <c r="S244" t="str">
        <f>_xlfn.XLOOKUP(Jnl[[#This Row],[Division]],config_div[Id], config_div[Name],,0)</f>
        <v>网店</v>
      </c>
      <c r="T244" t="str">
        <f>IF(Jnl[[#This Row],[TrxDate]]&lt;=stmt_BS_date_end, "In", "Out")</f>
        <v>In</v>
      </c>
      <c r="U244" t="str">
        <f>IF(Jnl[[#This Row],[TrxDate]]&lt;debug_date_start, "prior", IF(Jnl[[#This Row],[TrxDate]]&gt;debug_date_end, "post", "curr"))</f>
        <v>prior</v>
      </c>
    </row>
    <row r="245" spans="1:21">
      <c r="A245" s="11" t="s">
        <v>402</v>
      </c>
      <c r="B245" s="7">
        <f>_xlfn.XLOOKUP(Jnl[[#This Row],[TrxId]], Trx[Id], Trx[Date],,0)</f>
        <v>46053</v>
      </c>
      <c r="C245" s="7" t="str">
        <f>_xlfn.XLOOKUP(Jnl[[#This Row],[TrxId]], Trx[Id], Trx[Division],,0)</f>
        <v>Brand</v>
      </c>
      <c r="D245" s="7" t="str">
        <f>_xlfn.XLOOKUP(Jnl[[#This Row],[TrxId]], Trx[Id], Trx[Action],,0)</f>
        <v>书写营</v>
      </c>
      <c r="E245" s="26" t="s">
        <v>93</v>
      </c>
      <c r="F245" s="11" t="s">
        <v>12</v>
      </c>
      <c r="G245" s="11" t="s">
        <v>393</v>
      </c>
      <c r="H245" s="72">
        <v>100000</v>
      </c>
      <c r="I245" s="5" t="b">
        <f>AND(Jnl[[#This Row],[TrxId]]&lt;&gt;"",Jnl[[#This Row],[Acct]]&lt;&gt;"",Jnl[[#This Row],[Item]]&lt;&gt;"",ISNUMBER(Jnl[[#This Row],[Bal]]))</f>
        <v>1</v>
      </c>
      <c r="J245" s="10">
        <f>IF(Jnl[[#This Row],[BSLv0]]="A",1,-1)*Jnl[[#This Row],[Bal]]</f>
        <v>100000</v>
      </c>
      <c r="K245" t="str">
        <f>_xlfn.XLOOKUP(Jnl[[#This Row],[Acct]], config_BS[Acct], config_BS[Lv0],,0)</f>
        <v>A</v>
      </c>
      <c r="L245" t="str">
        <f>_xlfn.XLOOKUP(Jnl[[#This Row],[Acct]], config_BS[Acct], config_BS[Lv1],,0)</f>
        <v>Assets</v>
      </c>
      <c r="M245" t="str">
        <f>_xlfn.XLOOKUP(Jnl[[#This Row],[Acct]], config_BS[Acct], config_BS[Lv2],,0)</f>
        <v>Cash alike</v>
      </c>
      <c r="N245" t="str">
        <f>_xlfn.XLOOKUP(Jnl[[#This Row],[TrxId]], Trx[Id], Trx[IncNode], ,0)</f>
        <v>Discretion</v>
      </c>
      <c r="O245" t="str">
        <f>_xlfn.XLOOKUP(Jnl[[#This Row],[IncNode]], config_IS[Node], config_IS[Type],,0)</f>
        <v>Non-Op</v>
      </c>
      <c r="P245" t="str">
        <f>_xlfn.XLOOKUP(Jnl[[#This Row],[BSLv2]], dict[Key], dict[Name],,0)</f>
        <v>0.现金及类似</v>
      </c>
      <c r="Q245" t="str">
        <f>_xlfn.XLOOKUP(Jnl[[#This Row],[Acct]], dict[Key], dict[Name],,0)</f>
        <v>银行</v>
      </c>
      <c r="R245" t="str">
        <f>_xlfn.XLOOKUP(Jnl[[#This Row],[Vehicle]],config_vehicle[Id], config_vehicle[Name],,0)</f>
        <v>创业园-琦</v>
      </c>
      <c r="S245" t="str">
        <f>_xlfn.XLOOKUP(Jnl[[#This Row],[Division]],config_div[Id], config_div[Name],,0)</f>
        <v>品牌</v>
      </c>
      <c r="T245" t="str">
        <f>IF(Jnl[[#This Row],[TrxDate]]&lt;=stmt_BS_date_end, "In", "Out")</f>
        <v>In</v>
      </c>
      <c r="U245" t="str">
        <f>IF(Jnl[[#This Row],[TrxDate]]&lt;debug_date_start, "prior", IF(Jnl[[#This Row],[TrxDate]]&gt;debug_date_end, "post", "curr"))</f>
        <v>prior</v>
      </c>
    </row>
    <row r="246" spans="1:21">
      <c r="A246" s="11" t="s">
        <v>405</v>
      </c>
      <c r="B246" s="7">
        <f>_xlfn.XLOOKUP(Jnl[[#This Row],[TrxId]], Trx[Id], Trx[Date],,0)</f>
        <v>46053</v>
      </c>
      <c r="C246" s="7" t="str">
        <f>_xlfn.XLOOKUP(Jnl[[#This Row],[TrxId]], Trx[Id], Trx[Division],,0)</f>
        <v>Ctrl</v>
      </c>
      <c r="D246" s="7" t="str">
        <f>_xlfn.XLOOKUP(Jnl[[#This Row],[TrxId]], Trx[Id], Trx[Action],,0)</f>
        <v>代付款</v>
      </c>
      <c r="E246" s="26" t="s">
        <v>93</v>
      </c>
      <c r="F246" s="11" t="s">
        <v>12</v>
      </c>
      <c r="G246" s="11" t="s">
        <v>393</v>
      </c>
      <c r="H246" s="72">
        <v>-5578.9</v>
      </c>
      <c r="I246" s="5" t="b">
        <f>AND(Jnl[[#This Row],[TrxId]]&lt;&gt;"",Jnl[[#This Row],[Acct]]&lt;&gt;"",Jnl[[#This Row],[Item]]&lt;&gt;"",ISNUMBER(Jnl[[#This Row],[Bal]]))</f>
        <v>1</v>
      </c>
      <c r="J246" s="10">
        <f>IF(Jnl[[#This Row],[BSLv0]]="A",1,-1)*Jnl[[#This Row],[Bal]]</f>
        <v>-5578.9</v>
      </c>
      <c r="K246" t="str">
        <f>_xlfn.XLOOKUP(Jnl[[#This Row],[Acct]], config_BS[Acct], config_BS[Lv0],,0)</f>
        <v>A</v>
      </c>
      <c r="L246" t="str">
        <f>_xlfn.XLOOKUP(Jnl[[#This Row],[Acct]], config_BS[Acct], config_BS[Lv1],,0)</f>
        <v>Assets</v>
      </c>
      <c r="M246" t="str">
        <f>_xlfn.XLOOKUP(Jnl[[#This Row],[Acct]], config_BS[Acct], config_BS[Lv2],,0)</f>
        <v>Cash alike</v>
      </c>
      <c r="N246" t="str">
        <f>_xlfn.XLOOKUP(Jnl[[#This Row],[TrxId]], Trx[Id], Trx[IncNode], ,0)</f>
        <v>Other</v>
      </c>
      <c r="O246" t="str">
        <f>_xlfn.XLOOKUP(Jnl[[#This Row],[IncNode]], config_IS[Node], config_IS[Type],,0)</f>
        <v>Non-Op</v>
      </c>
      <c r="P246" t="str">
        <f>_xlfn.XLOOKUP(Jnl[[#This Row],[BSLv2]], dict[Key], dict[Name],,0)</f>
        <v>0.现金及类似</v>
      </c>
      <c r="Q246" t="str">
        <f>_xlfn.XLOOKUP(Jnl[[#This Row],[Acct]], dict[Key], dict[Name],,0)</f>
        <v>银行</v>
      </c>
      <c r="R246" t="str">
        <f>_xlfn.XLOOKUP(Jnl[[#This Row],[Vehicle]],config_vehicle[Id], config_vehicle[Name],,0)</f>
        <v>创业园-琦</v>
      </c>
      <c r="S246" t="str">
        <f>_xlfn.XLOOKUP(Jnl[[#This Row],[Division]],config_div[Id], config_div[Name],,0)</f>
        <v>内控合规</v>
      </c>
      <c r="T246" t="str">
        <f>IF(Jnl[[#This Row],[TrxDate]]&lt;=stmt_BS_date_end, "In", "Out")</f>
        <v>In</v>
      </c>
      <c r="U246" t="str">
        <f>IF(Jnl[[#This Row],[TrxDate]]&lt;debug_date_start, "prior", IF(Jnl[[#This Row],[TrxDate]]&gt;debug_date_end, "post", "curr"))</f>
        <v>prior</v>
      </c>
    </row>
    <row r="247" spans="1:21">
      <c r="A247" s="11" t="s">
        <v>405</v>
      </c>
      <c r="B247" s="7">
        <f>_xlfn.XLOOKUP(Jnl[[#This Row],[TrxId]], Trx[Id], Trx[Date],,0)</f>
        <v>46053</v>
      </c>
      <c r="C247" s="7" t="str">
        <f>_xlfn.XLOOKUP(Jnl[[#This Row],[TrxId]], Trx[Id], Trx[Division],,0)</f>
        <v>Ctrl</v>
      </c>
      <c r="D247" s="7" t="str">
        <f>_xlfn.XLOOKUP(Jnl[[#This Row],[TrxId]], Trx[Id], Trx[Action],,0)</f>
        <v>代付款</v>
      </c>
      <c r="E247" s="26" t="s">
        <v>93</v>
      </c>
      <c r="F247" s="11" t="s">
        <v>131</v>
      </c>
      <c r="G247" s="11" t="s">
        <v>404</v>
      </c>
      <c r="H247" s="72">
        <v>-5578.9</v>
      </c>
      <c r="I247" s="5" t="b">
        <f>AND(Jnl[[#This Row],[TrxId]]&lt;&gt;"",Jnl[[#This Row],[Acct]]&lt;&gt;"",Jnl[[#This Row],[Item]]&lt;&gt;"",ISNUMBER(Jnl[[#This Row],[Bal]]))</f>
        <v>1</v>
      </c>
      <c r="J247" s="10">
        <f>IF(Jnl[[#This Row],[BSLv0]]="A",1,-1)*Jnl[[#This Row],[Bal]]</f>
        <v>5578.9</v>
      </c>
      <c r="K247" t="str">
        <f>_xlfn.XLOOKUP(Jnl[[#This Row],[Acct]], config_BS[Acct], config_BS[Lv0],,0)</f>
        <v>LC</v>
      </c>
      <c r="L247" t="str">
        <f>_xlfn.XLOOKUP(Jnl[[#This Row],[Acct]], config_BS[Acct], config_BS[Lv1],,0)</f>
        <v>Liability</v>
      </c>
      <c r="M247" t="str">
        <f>_xlfn.XLOOKUP(Jnl[[#This Row],[Acct]], config_BS[Acct], config_BS[Lv2],,0)</f>
        <v>Rec-Pay</v>
      </c>
      <c r="N247" t="str">
        <f>_xlfn.XLOOKUP(Jnl[[#This Row],[TrxId]], Trx[Id], Trx[IncNode], ,0)</f>
        <v>Other</v>
      </c>
      <c r="O247" t="str">
        <f>_xlfn.XLOOKUP(Jnl[[#This Row],[IncNode]], config_IS[Node], config_IS[Type],,0)</f>
        <v>Non-Op</v>
      </c>
      <c r="P247" t="str">
        <f>_xlfn.XLOOKUP(Jnl[[#This Row],[BSLv2]], dict[Key], dict[Name],,0)</f>
        <v>1.应收-应付</v>
      </c>
      <c r="Q247" t="str">
        <f>_xlfn.XLOOKUP(Jnl[[#This Row],[Acct]], dict[Key], dict[Name],,0)</f>
        <v>应付-其他</v>
      </c>
      <c r="R247" t="str">
        <f>_xlfn.XLOOKUP(Jnl[[#This Row],[Vehicle]],config_vehicle[Id], config_vehicle[Name],,0)</f>
        <v>创业园-琦</v>
      </c>
      <c r="S247" t="str">
        <f>_xlfn.XLOOKUP(Jnl[[#This Row],[Division]],config_div[Id], config_div[Name],,0)</f>
        <v>内控合规</v>
      </c>
      <c r="T247" t="str">
        <f>IF(Jnl[[#This Row],[TrxDate]]&lt;=stmt_BS_date_end, "In", "Out")</f>
        <v>In</v>
      </c>
      <c r="U247" t="str">
        <f>IF(Jnl[[#This Row],[TrxDate]]&lt;debug_date_start, "prior", IF(Jnl[[#This Row],[TrxDate]]&gt;debug_date_end, "post", "curr"))</f>
        <v>prior</v>
      </c>
    </row>
    <row r="248" spans="1:21">
      <c r="A248" s="11" t="s">
        <v>407</v>
      </c>
      <c r="B248" s="7">
        <f>_xlfn.XLOOKUP(Jnl[[#This Row],[TrxId]], Trx[Id], Trx[Date],,0)</f>
        <v>46053</v>
      </c>
      <c r="C248" s="7" t="str">
        <f>_xlfn.XLOOKUP(Jnl[[#This Row],[TrxId]], Trx[Id], Trx[Division],,0)</f>
        <v>Online</v>
      </c>
      <c r="D248" s="7" t="str">
        <f>_xlfn.XLOOKUP(Jnl[[#This Row],[TrxId]], Trx[Id], Trx[Action],,0)</f>
        <v>其他销售</v>
      </c>
      <c r="E248" s="26" t="s">
        <v>93</v>
      </c>
      <c r="F248" s="11" t="s">
        <v>12</v>
      </c>
      <c r="G248" s="11" t="s">
        <v>393</v>
      </c>
      <c r="H248" s="72">
        <v>65</v>
      </c>
      <c r="I248" s="5" t="b">
        <f>AND(Jnl[[#This Row],[TrxId]]&lt;&gt;"",Jnl[[#This Row],[Acct]]&lt;&gt;"",Jnl[[#This Row],[Item]]&lt;&gt;"",ISNUMBER(Jnl[[#This Row],[Bal]]))</f>
        <v>1</v>
      </c>
      <c r="J248" s="10">
        <f>IF(Jnl[[#This Row],[BSLv0]]="A",1,-1)*Jnl[[#This Row],[Bal]]</f>
        <v>65</v>
      </c>
      <c r="K248" t="str">
        <f>_xlfn.XLOOKUP(Jnl[[#This Row],[Acct]], config_BS[Acct], config_BS[Lv0],,0)</f>
        <v>A</v>
      </c>
      <c r="L248" t="str">
        <f>_xlfn.XLOOKUP(Jnl[[#This Row],[Acct]], config_BS[Acct], config_BS[Lv1],,0)</f>
        <v>Assets</v>
      </c>
      <c r="M248" t="str">
        <f>_xlfn.XLOOKUP(Jnl[[#This Row],[Acct]], config_BS[Acct], config_BS[Lv2],,0)</f>
        <v>Cash alike</v>
      </c>
      <c r="N248" t="str">
        <f>_xlfn.XLOOKUP(Jnl[[#This Row],[TrxId]], Trx[Id], Trx[IncNode], ,0)</f>
        <v>Revenue</v>
      </c>
      <c r="O248" t="str">
        <f>_xlfn.XLOOKUP(Jnl[[#This Row],[IncNode]], config_IS[Node], config_IS[Type],,0)</f>
        <v>Op</v>
      </c>
      <c r="P248" t="str">
        <f>_xlfn.XLOOKUP(Jnl[[#This Row],[BSLv2]], dict[Key], dict[Name],,0)</f>
        <v>0.现金及类似</v>
      </c>
      <c r="Q248" t="str">
        <f>_xlfn.XLOOKUP(Jnl[[#This Row],[Acct]], dict[Key], dict[Name],,0)</f>
        <v>银行</v>
      </c>
      <c r="R248" t="str">
        <f>_xlfn.XLOOKUP(Jnl[[#This Row],[Vehicle]],config_vehicle[Id], config_vehicle[Name],,0)</f>
        <v>创业园-琦</v>
      </c>
      <c r="S248" t="str">
        <f>_xlfn.XLOOKUP(Jnl[[#This Row],[Division]],config_div[Id], config_div[Name],,0)</f>
        <v>网店</v>
      </c>
      <c r="T248" t="str">
        <f>IF(Jnl[[#This Row],[TrxDate]]&lt;=stmt_BS_date_end, "In", "Out")</f>
        <v>In</v>
      </c>
      <c r="U248" t="str">
        <f>IF(Jnl[[#This Row],[TrxDate]]&lt;debug_date_start, "prior", IF(Jnl[[#This Row],[TrxDate]]&gt;debug_date_end, "post", "curr"))</f>
        <v>prior</v>
      </c>
    </row>
    <row r="249" spans="1:21">
      <c r="A249" s="11" t="s">
        <v>409</v>
      </c>
      <c r="B249" s="7">
        <f>_xlfn.XLOOKUP(Jnl[[#This Row],[TrxId]], Trx[Id], Trx[Date],,0)</f>
        <v>46053</v>
      </c>
      <c r="C249" s="7" t="str">
        <f>_xlfn.XLOOKUP(Jnl[[#This Row],[TrxId]], Trx[Id], Trx[Division],,0)</f>
        <v>Ctrl</v>
      </c>
      <c r="D249" s="7" t="str">
        <f>_xlfn.XLOOKUP(Jnl[[#This Row],[TrxId]], Trx[Id], Trx[Action],,0)</f>
        <v>找票</v>
      </c>
      <c r="E249" s="26" t="s">
        <v>93</v>
      </c>
      <c r="F249" s="11" t="s">
        <v>12</v>
      </c>
      <c r="G249" s="11" t="s">
        <v>393</v>
      </c>
      <c r="H249" s="72">
        <v>-3000</v>
      </c>
      <c r="I249" s="5" t="b">
        <f>AND(Jnl[[#This Row],[TrxId]]&lt;&gt;"",Jnl[[#This Row],[Acct]]&lt;&gt;"",Jnl[[#This Row],[Item]]&lt;&gt;"",ISNUMBER(Jnl[[#This Row],[Bal]]))</f>
        <v>1</v>
      </c>
      <c r="J249" s="10">
        <f>IF(Jnl[[#This Row],[BSLv0]]="A",1,-1)*Jnl[[#This Row],[Bal]]</f>
        <v>-3000</v>
      </c>
      <c r="K249" t="str">
        <f>_xlfn.XLOOKUP(Jnl[[#This Row],[Acct]], config_BS[Acct], config_BS[Lv0],,0)</f>
        <v>A</v>
      </c>
      <c r="L249" t="str">
        <f>_xlfn.XLOOKUP(Jnl[[#This Row],[Acct]], config_BS[Acct], config_BS[Lv1],,0)</f>
        <v>Assets</v>
      </c>
      <c r="M249" t="str">
        <f>_xlfn.XLOOKUP(Jnl[[#This Row],[Acct]], config_BS[Acct], config_BS[Lv2],,0)</f>
        <v>Cash alike</v>
      </c>
      <c r="N249" t="str">
        <f>_xlfn.XLOOKUP(Jnl[[#This Row],[TrxId]], Trx[Id], Trx[IncNode], ,0)</f>
        <v>Expense</v>
      </c>
      <c r="O249" t="str">
        <f>_xlfn.XLOOKUP(Jnl[[#This Row],[IncNode]], config_IS[Node], config_IS[Type],,0)</f>
        <v>Op</v>
      </c>
      <c r="P249" t="str">
        <f>_xlfn.XLOOKUP(Jnl[[#This Row],[BSLv2]], dict[Key], dict[Name],,0)</f>
        <v>0.现金及类似</v>
      </c>
      <c r="Q249" t="str">
        <f>_xlfn.XLOOKUP(Jnl[[#This Row],[Acct]], dict[Key], dict[Name],,0)</f>
        <v>银行</v>
      </c>
      <c r="R249" t="str">
        <f>_xlfn.XLOOKUP(Jnl[[#This Row],[Vehicle]],config_vehicle[Id], config_vehicle[Name],,0)</f>
        <v>创业园-琦</v>
      </c>
      <c r="S249" t="str">
        <f>_xlfn.XLOOKUP(Jnl[[#This Row],[Division]],config_div[Id], config_div[Name],,0)</f>
        <v>内控合规</v>
      </c>
      <c r="T249" t="str">
        <f>IF(Jnl[[#This Row],[TrxDate]]&lt;=stmt_BS_date_end, "In", "Out")</f>
        <v>In</v>
      </c>
      <c r="U249" t="str">
        <f>IF(Jnl[[#This Row],[TrxDate]]&lt;debug_date_start, "prior", IF(Jnl[[#This Row],[TrxDate]]&gt;debug_date_end, "post", "curr"))</f>
        <v>prior</v>
      </c>
    </row>
    <row r="250" spans="1:21">
      <c r="A250" s="11" t="s">
        <v>412</v>
      </c>
      <c r="B250" s="7">
        <f>_xlfn.XLOOKUP(Jnl[[#This Row],[TrxId]], Trx[Id], Trx[Date],,0)</f>
        <v>46053</v>
      </c>
      <c r="C250" s="7" t="str">
        <f>_xlfn.XLOOKUP(Jnl[[#This Row],[TrxId]], Trx[Id], Trx[Division],,0)</f>
        <v>Online</v>
      </c>
      <c r="D250" s="7" t="str">
        <f>_xlfn.XLOOKUP(Jnl[[#This Row],[TrxId]], Trx[Id], Trx[Action],,0)</f>
        <v>其他销售</v>
      </c>
      <c r="E250" s="26" t="s">
        <v>93</v>
      </c>
      <c r="F250" s="11" t="s">
        <v>12</v>
      </c>
      <c r="G250" s="11" t="s">
        <v>393</v>
      </c>
      <c r="H250" s="72">
        <v>68</v>
      </c>
      <c r="I250" s="5" t="b">
        <f>AND(Jnl[[#This Row],[TrxId]]&lt;&gt;"",Jnl[[#This Row],[Acct]]&lt;&gt;"",Jnl[[#This Row],[Item]]&lt;&gt;"",ISNUMBER(Jnl[[#This Row],[Bal]]))</f>
        <v>1</v>
      </c>
      <c r="J250" s="10">
        <f>IF(Jnl[[#This Row],[BSLv0]]="A",1,-1)*Jnl[[#This Row],[Bal]]</f>
        <v>68</v>
      </c>
      <c r="K250" t="str">
        <f>_xlfn.XLOOKUP(Jnl[[#This Row],[Acct]], config_BS[Acct], config_BS[Lv0],,0)</f>
        <v>A</v>
      </c>
      <c r="L250" t="str">
        <f>_xlfn.XLOOKUP(Jnl[[#This Row],[Acct]], config_BS[Acct], config_BS[Lv1],,0)</f>
        <v>Assets</v>
      </c>
      <c r="M250" t="str">
        <f>_xlfn.XLOOKUP(Jnl[[#This Row],[Acct]], config_BS[Acct], config_BS[Lv2],,0)</f>
        <v>Cash alike</v>
      </c>
      <c r="N250" t="str">
        <f>_xlfn.XLOOKUP(Jnl[[#This Row],[TrxId]], Trx[Id], Trx[IncNode], ,0)</f>
        <v>Revenue</v>
      </c>
      <c r="O250" t="str">
        <f>_xlfn.XLOOKUP(Jnl[[#This Row],[IncNode]], config_IS[Node], config_IS[Type],,0)</f>
        <v>Op</v>
      </c>
      <c r="P250" t="str">
        <f>_xlfn.XLOOKUP(Jnl[[#This Row],[BSLv2]], dict[Key], dict[Name],,0)</f>
        <v>0.现金及类似</v>
      </c>
      <c r="Q250" t="str">
        <f>_xlfn.XLOOKUP(Jnl[[#This Row],[Acct]], dict[Key], dict[Name],,0)</f>
        <v>银行</v>
      </c>
      <c r="R250" t="str">
        <f>_xlfn.XLOOKUP(Jnl[[#This Row],[Vehicle]],config_vehicle[Id], config_vehicle[Name],,0)</f>
        <v>创业园-琦</v>
      </c>
      <c r="S250" t="str">
        <f>_xlfn.XLOOKUP(Jnl[[#This Row],[Division]],config_div[Id], config_div[Name],,0)</f>
        <v>网店</v>
      </c>
      <c r="T250" t="str">
        <f>IF(Jnl[[#This Row],[TrxDate]]&lt;=stmt_BS_date_end, "In", "Out")</f>
        <v>In</v>
      </c>
      <c r="U250" t="str">
        <f>IF(Jnl[[#This Row],[TrxDate]]&lt;debug_date_start, "prior", IF(Jnl[[#This Row],[TrxDate]]&gt;debug_date_end, "post", "curr"))</f>
        <v>prior</v>
      </c>
    </row>
    <row r="251" spans="1:21">
      <c r="A251" s="11" t="s">
        <v>1287</v>
      </c>
      <c r="B251" s="7">
        <f>_xlfn.XLOOKUP(Jnl[[#This Row],[TrxId]], Trx[Id], Trx[Date],,0)</f>
        <v>46053</v>
      </c>
      <c r="C251" s="7" t="str">
        <f>_xlfn.XLOOKUP(Jnl[[#This Row],[TrxId]], Trx[Id], Trx[Division],,0)</f>
        <v>MY</v>
      </c>
      <c r="D251" s="7" t="str">
        <f>_xlfn.XLOOKUP(Jnl[[#This Row],[TrxId]], Trx[Id], Trx[Action],,0)</f>
        <v>增值税</v>
      </c>
      <c r="E251" s="26" t="s">
        <v>83</v>
      </c>
      <c r="F251" s="11" t="s">
        <v>127</v>
      </c>
      <c r="G251" s="11" t="s">
        <v>307</v>
      </c>
      <c r="H251" s="72">
        <v>6600</v>
      </c>
      <c r="I251" s="5" t="b">
        <f>AND(Jnl[[#This Row],[TrxId]]&lt;&gt;"",Jnl[[#This Row],[Acct]]&lt;&gt;"",Jnl[[#This Row],[Item]]&lt;&gt;"",ISNUMBER(Jnl[[#This Row],[Bal]]))</f>
        <v>1</v>
      </c>
      <c r="J251" s="10">
        <f>IF(Jnl[[#This Row],[BSLv0]]="A",1,-1)*Jnl[[#This Row],[Bal]]</f>
        <v>-6600</v>
      </c>
      <c r="K251" t="str">
        <f>_xlfn.XLOOKUP(Jnl[[#This Row],[Acct]], config_BS[Acct], config_BS[Lv0],,0)</f>
        <v>LC</v>
      </c>
      <c r="L251" t="str">
        <f>_xlfn.XLOOKUP(Jnl[[#This Row],[Acct]], config_BS[Acct], config_BS[Lv1],,0)</f>
        <v>Liability</v>
      </c>
      <c r="M251" t="str">
        <f>_xlfn.XLOOKUP(Jnl[[#This Row],[Acct]], config_BS[Acct], config_BS[Lv2],,0)</f>
        <v>Rec-Pay</v>
      </c>
      <c r="N251" t="str">
        <f>_xlfn.XLOOKUP(Jnl[[#This Row],[TrxId]], Trx[Id], Trx[IncNode], ,0)</f>
        <v>Cost</v>
      </c>
      <c r="O251" t="str">
        <f>_xlfn.XLOOKUP(Jnl[[#This Row],[IncNode]], config_IS[Node], config_IS[Type],,0)</f>
        <v>Op</v>
      </c>
      <c r="P251" t="str">
        <f>_xlfn.XLOOKUP(Jnl[[#This Row],[BSLv2]], dict[Key], dict[Name],,0)</f>
        <v>1.应收-应付</v>
      </c>
      <c r="Q251" t="str">
        <f>_xlfn.XLOOKUP(Jnl[[#This Row],[Acct]], dict[Key], dict[Name],,0)</f>
        <v>应付-税款</v>
      </c>
      <c r="R251" t="str">
        <f>_xlfn.XLOOKUP(Jnl[[#This Row],[Vehicle]],config_vehicle[Id], config_vehicle[Name],,0)</f>
        <v>远家文化</v>
      </c>
      <c r="S251" t="str">
        <f>_xlfn.XLOOKUP(Jnl[[#This Row],[Division]],config_div[Id], config_div[Name],,0)</f>
        <v>明月村</v>
      </c>
      <c r="T251" t="str">
        <f>IF(Jnl[[#This Row],[TrxDate]]&lt;=stmt_BS_date_end, "In", "Out")</f>
        <v>In</v>
      </c>
      <c r="U251" t="str">
        <f>IF(Jnl[[#This Row],[TrxDate]]&lt;debug_date_start, "prior", IF(Jnl[[#This Row],[TrxDate]]&gt;debug_date_end, "post", "curr"))</f>
        <v>prior</v>
      </c>
    </row>
    <row r="252" spans="1:21">
      <c r="A252" s="11" t="s">
        <v>413</v>
      </c>
      <c r="B252" s="7">
        <f>_xlfn.XLOOKUP(Jnl[[#This Row],[TrxId]], Trx[Id], Trx[Date],,0)</f>
        <v>46053</v>
      </c>
      <c r="C252" s="7" t="str">
        <f>_xlfn.XLOOKUP(Jnl[[#This Row],[TrxId]], Trx[Id], Trx[Division],,0)</f>
        <v>Ctrl</v>
      </c>
      <c r="D252" s="7" t="str">
        <f>_xlfn.XLOOKUP(Jnl[[#This Row],[TrxId]], Trx[Id], Trx[Action],,0)</f>
        <v>过账</v>
      </c>
      <c r="E252" s="26" t="s">
        <v>93</v>
      </c>
      <c r="F252" s="11" t="s">
        <v>12</v>
      </c>
      <c r="G252" s="11" t="s">
        <v>393</v>
      </c>
      <c r="H252" s="72">
        <v>500000</v>
      </c>
      <c r="I252" s="5" t="b">
        <f>AND(Jnl[[#This Row],[TrxId]]&lt;&gt;"",Jnl[[#This Row],[Acct]]&lt;&gt;"",Jnl[[#This Row],[Item]]&lt;&gt;"",ISNUMBER(Jnl[[#This Row],[Bal]]))</f>
        <v>1</v>
      </c>
      <c r="J252" s="10">
        <f>IF(Jnl[[#This Row],[BSLv0]]="A",1,-1)*Jnl[[#This Row],[Bal]]</f>
        <v>500000</v>
      </c>
      <c r="K252" t="str">
        <f>_xlfn.XLOOKUP(Jnl[[#This Row],[Acct]], config_BS[Acct], config_BS[Lv0],,0)</f>
        <v>A</v>
      </c>
      <c r="L252" t="str">
        <f>_xlfn.XLOOKUP(Jnl[[#This Row],[Acct]], config_BS[Acct], config_BS[Lv1],,0)</f>
        <v>Assets</v>
      </c>
      <c r="M252" t="str">
        <f>_xlfn.XLOOKUP(Jnl[[#This Row],[Acct]], config_BS[Acct], config_BS[Lv2],,0)</f>
        <v>Cash alike</v>
      </c>
      <c r="N252" t="str">
        <f>_xlfn.XLOOKUP(Jnl[[#This Row],[TrxId]], Trx[Id], Trx[IncNode], ,0)</f>
        <v>Other</v>
      </c>
      <c r="O252" t="str">
        <f>_xlfn.XLOOKUP(Jnl[[#This Row],[IncNode]], config_IS[Node], config_IS[Type],,0)</f>
        <v>Non-Op</v>
      </c>
      <c r="P252" t="str">
        <f>_xlfn.XLOOKUP(Jnl[[#This Row],[BSLv2]], dict[Key], dict[Name],,0)</f>
        <v>0.现金及类似</v>
      </c>
      <c r="Q252" t="str">
        <f>_xlfn.XLOOKUP(Jnl[[#This Row],[Acct]], dict[Key], dict[Name],,0)</f>
        <v>银行</v>
      </c>
      <c r="R252" t="str">
        <f>_xlfn.XLOOKUP(Jnl[[#This Row],[Vehicle]],config_vehicle[Id], config_vehicle[Name],,0)</f>
        <v>创业园-琦</v>
      </c>
      <c r="S252" t="str">
        <f>_xlfn.XLOOKUP(Jnl[[#This Row],[Division]],config_div[Id], config_div[Name],,0)</f>
        <v>内控合规</v>
      </c>
      <c r="T252" t="str">
        <f>IF(Jnl[[#This Row],[TrxDate]]&lt;=stmt_BS_date_end, "In", "Out")</f>
        <v>In</v>
      </c>
      <c r="U252" t="str">
        <f>IF(Jnl[[#This Row],[TrxDate]]&lt;debug_date_start, "prior", IF(Jnl[[#This Row],[TrxDate]]&gt;debug_date_end, "post", "curr"))</f>
        <v>prior</v>
      </c>
    </row>
    <row r="253" spans="1:21">
      <c r="A253" s="11" t="s">
        <v>413</v>
      </c>
      <c r="B253" s="7">
        <f>_xlfn.XLOOKUP(Jnl[[#This Row],[TrxId]], Trx[Id], Trx[Date],,0)</f>
        <v>46053</v>
      </c>
      <c r="C253" s="7" t="str">
        <f>_xlfn.XLOOKUP(Jnl[[#This Row],[TrxId]], Trx[Id], Trx[Division],,0)</f>
        <v>Ctrl</v>
      </c>
      <c r="D253" s="7" t="str">
        <f>_xlfn.XLOOKUP(Jnl[[#This Row],[TrxId]], Trx[Id], Trx[Action],,0)</f>
        <v>过账</v>
      </c>
      <c r="E253" s="26" t="s">
        <v>81</v>
      </c>
      <c r="F253" s="11" t="s">
        <v>12</v>
      </c>
      <c r="G253" s="11" t="s">
        <v>392</v>
      </c>
      <c r="H253" s="72">
        <v>-500000</v>
      </c>
      <c r="I253" s="5" t="b">
        <f>AND(Jnl[[#This Row],[TrxId]]&lt;&gt;"",Jnl[[#This Row],[Acct]]&lt;&gt;"",Jnl[[#This Row],[Item]]&lt;&gt;"",ISNUMBER(Jnl[[#This Row],[Bal]]))</f>
        <v>1</v>
      </c>
      <c r="J253" s="10">
        <f>IF(Jnl[[#This Row],[BSLv0]]="A",1,-1)*Jnl[[#This Row],[Bal]]</f>
        <v>-500000</v>
      </c>
      <c r="K253" t="str">
        <f>_xlfn.XLOOKUP(Jnl[[#This Row],[Acct]], config_BS[Acct], config_BS[Lv0],,0)</f>
        <v>A</v>
      </c>
      <c r="L253" t="str">
        <f>_xlfn.XLOOKUP(Jnl[[#This Row],[Acct]], config_BS[Acct], config_BS[Lv1],,0)</f>
        <v>Assets</v>
      </c>
      <c r="M253" t="str">
        <f>_xlfn.XLOOKUP(Jnl[[#This Row],[Acct]], config_BS[Acct], config_BS[Lv2],,0)</f>
        <v>Cash alike</v>
      </c>
      <c r="N253" t="str">
        <f>_xlfn.XLOOKUP(Jnl[[#This Row],[TrxId]], Trx[Id], Trx[IncNode], ,0)</f>
        <v>Other</v>
      </c>
      <c r="O253" t="str">
        <f>_xlfn.XLOOKUP(Jnl[[#This Row],[IncNode]], config_IS[Node], config_IS[Type],,0)</f>
        <v>Non-Op</v>
      </c>
      <c r="P253" t="str">
        <f>_xlfn.XLOOKUP(Jnl[[#This Row],[BSLv2]], dict[Key], dict[Name],,0)</f>
        <v>0.现金及类似</v>
      </c>
      <c r="Q253" t="str">
        <f>_xlfn.XLOOKUP(Jnl[[#This Row],[Acct]], dict[Key], dict[Name],,0)</f>
        <v>银行</v>
      </c>
      <c r="R253" t="str">
        <f>_xlfn.XLOOKUP(Jnl[[#This Row],[Vehicle]],config_vehicle[Id], config_vehicle[Name],,0)</f>
        <v>喜家文化</v>
      </c>
      <c r="S253" t="str">
        <f>_xlfn.XLOOKUP(Jnl[[#This Row],[Division]],config_div[Id], config_div[Name],,0)</f>
        <v>内控合规</v>
      </c>
      <c r="T253" t="str">
        <f>IF(Jnl[[#This Row],[TrxDate]]&lt;=stmt_BS_date_end, "In", "Out")</f>
        <v>In</v>
      </c>
      <c r="U253" t="str">
        <f>IF(Jnl[[#This Row],[TrxDate]]&lt;debug_date_start, "prior", IF(Jnl[[#This Row],[TrxDate]]&gt;debug_date_end, "post", "curr"))</f>
        <v>prior</v>
      </c>
    </row>
    <row r="254" spans="1:21">
      <c r="A254" s="11" t="s">
        <v>415</v>
      </c>
      <c r="B254" s="7">
        <f>_xlfn.XLOOKUP(Jnl[[#This Row],[TrxId]], Trx[Id], Trx[Date],,0)</f>
        <v>46053</v>
      </c>
      <c r="C254" s="7" t="str">
        <f>_xlfn.XLOOKUP(Jnl[[#This Row],[TrxId]], Trx[Id], Trx[Division],,0)</f>
        <v>Online</v>
      </c>
      <c r="D254" s="7" t="str">
        <f>_xlfn.XLOOKUP(Jnl[[#This Row],[TrxId]], Trx[Id], Trx[Action],,0)</f>
        <v>退款-供应商</v>
      </c>
      <c r="E254" s="26" t="s">
        <v>93</v>
      </c>
      <c r="F254" s="11" t="s">
        <v>12</v>
      </c>
      <c r="G254" s="11" t="s">
        <v>393</v>
      </c>
      <c r="H254" s="72">
        <v>40.5</v>
      </c>
      <c r="I254" s="5" t="b">
        <f>AND(Jnl[[#This Row],[TrxId]]&lt;&gt;"",Jnl[[#This Row],[Acct]]&lt;&gt;"",Jnl[[#This Row],[Item]]&lt;&gt;"",ISNUMBER(Jnl[[#This Row],[Bal]]))</f>
        <v>1</v>
      </c>
      <c r="J254" s="10">
        <f>IF(Jnl[[#This Row],[BSLv0]]="A",1,-1)*Jnl[[#This Row],[Bal]]</f>
        <v>40.5</v>
      </c>
      <c r="K254" t="str">
        <f>_xlfn.XLOOKUP(Jnl[[#This Row],[Acct]], config_BS[Acct], config_BS[Lv0],,0)</f>
        <v>A</v>
      </c>
      <c r="L254" t="str">
        <f>_xlfn.XLOOKUP(Jnl[[#This Row],[Acct]], config_BS[Acct], config_BS[Lv1],,0)</f>
        <v>Assets</v>
      </c>
      <c r="M254" t="str">
        <f>_xlfn.XLOOKUP(Jnl[[#This Row],[Acct]], config_BS[Acct], config_BS[Lv2],,0)</f>
        <v>Cash alike</v>
      </c>
      <c r="N254" t="str">
        <f>_xlfn.XLOOKUP(Jnl[[#This Row],[TrxId]], Trx[Id], Trx[IncNode], ,0)</f>
        <v>Cost</v>
      </c>
      <c r="O254" t="str">
        <f>_xlfn.XLOOKUP(Jnl[[#This Row],[IncNode]], config_IS[Node], config_IS[Type],,0)</f>
        <v>Op</v>
      </c>
      <c r="P254" t="str">
        <f>_xlfn.XLOOKUP(Jnl[[#This Row],[BSLv2]], dict[Key], dict[Name],,0)</f>
        <v>0.现金及类似</v>
      </c>
      <c r="Q254" t="str">
        <f>_xlfn.XLOOKUP(Jnl[[#This Row],[Acct]], dict[Key], dict[Name],,0)</f>
        <v>银行</v>
      </c>
      <c r="R254" t="str">
        <f>_xlfn.XLOOKUP(Jnl[[#This Row],[Vehicle]],config_vehicle[Id], config_vehicle[Name],,0)</f>
        <v>创业园-琦</v>
      </c>
      <c r="S254" t="str">
        <f>_xlfn.XLOOKUP(Jnl[[#This Row],[Division]],config_div[Id], config_div[Name],,0)</f>
        <v>网店</v>
      </c>
      <c r="T254" t="str">
        <f>IF(Jnl[[#This Row],[TrxDate]]&lt;=stmt_BS_date_end, "In", "Out")</f>
        <v>In</v>
      </c>
      <c r="U254" t="str">
        <f>IF(Jnl[[#This Row],[TrxDate]]&lt;debug_date_start, "prior", IF(Jnl[[#This Row],[TrxDate]]&gt;debug_date_end, "post", "curr"))</f>
        <v>prior</v>
      </c>
    </row>
    <row r="255" spans="1:21">
      <c r="A255" s="11" t="s">
        <v>417</v>
      </c>
      <c r="B255" s="7">
        <f>_xlfn.XLOOKUP(Jnl[[#This Row],[TrxId]], Trx[Id], Trx[Date],,0)</f>
        <v>46053</v>
      </c>
      <c r="C255" s="7" t="str">
        <f>_xlfn.XLOOKUP(Jnl[[#This Row],[TrxId]], Trx[Id], Trx[Division],,0)</f>
        <v>Ctrl</v>
      </c>
      <c r="D255" s="7" t="str">
        <f>_xlfn.XLOOKUP(Jnl[[#This Row],[TrxId]], Trx[Id], Trx[Action],,0)</f>
        <v>找票</v>
      </c>
      <c r="E255" s="26" t="s">
        <v>93</v>
      </c>
      <c r="F255" s="11" t="s">
        <v>12</v>
      </c>
      <c r="G255" s="11" t="s">
        <v>393</v>
      </c>
      <c r="H255" s="72">
        <v>-8000</v>
      </c>
      <c r="I255" s="5" t="b">
        <f>AND(Jnl[[#This Row],[TrxId]]&lt;&gt;"",Jnl[[#This Row],[Acct]]&lt;&gt;"",Jnl[[#This Row],[Item]]&lt;&gt;"",ISNUMBER(Jnl[[#This Row],[Bal]]))</f>
        <v>1</v>
      </c>
      <c r="J255" s="10">
        <f>IF(Jnl[[#This Row],[BSLv0]]="A",1,-1)*Jnl[[#This Row],[Bal]]</f>
        <v>-8000</v>
      </c>
      <c r="K255" t="str">
        <f>_xlfn.XLOOKUP(Jnl[[#This Row],[Acct]], config_BS[Acct], config_BS[Lv0],,0)</f>
        <v>A</v>
      </c>
      <c r="L255" t="str">
        <f>_xlfn.XLOOKUP(Jnl[[#This Row],[Acct]], config_BS[Acct], config_BS[Lv1],,0)</f>
        <v>Assets</v>
      </c>
      <c r="M255" t="str">
        <f>_xlfn.XLOOKUP(Jnl[[#This Row],[Acct]], config_BS[Acct], config_BS[Lv2],,0)</f>
        <v>Cash alike</v>
      </c>
      <c r="N255" t="str">
        <f>_xlfn.XLOOKUP(Jnl[[#This Row],[TrxId]], Trx[Id], Trx[IncNode], ,0)</f>
        <v>Expense</v>
      </c>
      <c r="O255" t="str">
        <f>_xlfn.XLOOKUP(Jnl[[#This Row],[IncNode]], config_IS[Node], config_IS[Type],,0)</f>
        <v>Op</v>
      </c>
      <c r="P255" t="str">
        <f>_xlfn.XLOOKUP(Jnl[[#This Row],[BSLv2]], dict[Key], dict[Name],,0)</f>
        <v>0.现金及类似</v>
      </c>
      <c r="Q255" t="str">
        <f>_xlfn.XLOOKUP(Jnl[[#This Row],[Acct]], dict[Key], dict[Name],,0)</f>
        <v>银行</v>
      </c>
      <c r="R255" t="str">
        <f>_xlfn.XLOOKUP(Jnl[[#This Row],[Vehicle]],config_vehicle[Id], config_vehicle[Name],,0)</f>
        <v>创业园-琦</v>
      </c>
      <c r="S255" t="str">
        <f>_xlfn.XLOOKUP(Jnl[[#This Row],[Division]],config_div[Id], config_div[Name],,0)</f>
        <v>内控合规</v>
      </c>
      <c r="T255" t="str">
        <f>IF(Jnl[[#This Row],[TrxDate]]&lt;=stmt_BS_date_end, "In", "Out")</f>
        <v>In</v>
      </c>
      <c r="U255" t="str">
        <f>IF(Jnl[[#This Row],[TrxDate]]&lt;debug_date_start, "prior", IF(Jnl[[#This Row],[TrxDate]]&gt;debug_date_end, "post", "curr"))</f>
        <v>prior</v>
      </c>
    </row>
    <row r="256" spans="1:21">
      <c r="A256" s="11" t="s">
        <v>419</v>
      </c>
      <c r="B256" s="7">
        <f>_xlfn.XLOOKUP(Jnl[[#This Row],[TrxId]], Trx[Id], Trx[Date],,0)</f>
        <v>46053</v>
      </c>
      <c r="C256" s="7" t="str">
        <f>_xlfn.XLOOKUP(Jnl[[#This Row],[TrxId]], Trx[Id], Trx[Division],,0)</f>
        <v>Ctrl</v>
      </c>
      <c r="D256" s="7" t="str">
        <f>_xlfn.XLOOKUP(Jnl[[#This Row],[TrxId]], Trx[Id], Trx[Action],,0)</f>
        <v>过账</v>
      </c>
      <c r="E256" s="26" t="s">
        <v>93</v>
      </c>
      <c r="F256" s="11" t="s">
        <v>12</v>
      </c>
      <c r="G256" s="11" t="s">
        <v>393</v>
      </c>
      <c r="H256" s="72">
        <v>84100</v>
      </c>
      <c r="I256" s="5" t="b">
        <f>AND(Jnl[[#This Row],[TrxId]]&lt;&gt;"",Jnl[[#This Row],[Acct]]&lt;&gt;"",Jnl[[#This Row],[Item]]&lt;&gt;"",ISNUMBER(Jnl[[#This Row],[Bal]]))</f>
        <v>1</v>
      </c>
      <c r="J256" s="10">
        <f>IF(Jnl[[#This Row],[BSLv0]]="A",1,-1)*Jnl[[#This Row],[Bal]]</f>
        <v>84100</v>
      </c>
      <c r="K256" t="str">
        <f>_xlfn.XLOOKUP(Jnl[[#This Row],[Acct]], config_BS[Acct], config_BS[Lv0],,0)</f>
        <v>A</v>
      </c>
      <c r="L256" t="str">
        <f>_xlfn.XLOOKUP(Jnl[[#This Row],[Acct]], config_BS[Acct], config_BS[Lv1],,0)</f>
        <v>Assets</v>
      </c>
      <c r="M256" t="str">
        <f>_xlfn.XLOOKUP(Jnl[[#This Row],[Acct]], config_BS[Acct], config_BS[Lv2],,0)</f>
        <v>Cash alike</v>
      </c>
      <c r="N256" t="str">
        <f>_xlfn.XLOOKUP(Jnl[[#This Row],[TrxId]], Trx[Id], Trx[IncNode], ,0)</f>
        <v>Other</v>
      </c>
      <c r="O256" t="str">
        <f>_xlfn.XLOOKUP(Jnl[[#This Row],[IncNode]], config_IS[Node], config_IS[Type],,0)</f>
        <v>Non-Op</v>
      </c>
      <c r="P256" t="str">
        <f>_xlfn.XLOOKUP(Jnl[[#This Row],[BSLv2]], dict[Key], dict[Name],,0)</f>
        <v>0.现金及类似</v>
      </c>
      <c r="Q256" t="str">
        <f>_xlfn.XLOOKUP(Jnl[[#This Row],[Acct]], dict[Key], dict[Name],,0)</f>
        <v>银行</v>
      </c>
      <c r="R256" t="str">
        <f>_xlfn.XLOOKUP(Jnl[[#This Row],[Vehicle]],config_vehicle[Id], config_vehicle[Name],,0)</f>
        <v>创业园-琦</v>
      </c>
      <c r="S256" t="str">
        <f>_xlfn.XLOOKUP(Jnl[[#This Row],[Division]],config_div[Id], config_div[Name],,0)</f>
        <v>内控合规</v>
      </c>
      <c r="T256" t="str">
        <f>IF(Jnl[[#This Row],[TrxDate]]&lt;=stmt_BS_date_end, "In", "Out")</f>
        <v>In</v>
      </c>
      <c r="U256" t="str">
        <f>IF(Jnl[[#This Row],[TrxDate]]&lt;debug_date_start, "prior", IF(Jnl[[#This Row],[TrxDate]]&gt;debug_date_end, "post", "curr"))</f>
        <v>prior</v>
      </c>
    </row>
    <row r="257" spans="1:21">
      <c r="A257" s="11" t="s">
        <v>419</v>
      </c>
      <c r="B257" s="7">
        <f>_xlfn.XLOOKUP(Jnl[[#This Row],[TrxId]], Trx[Id], Trx[Date],,0)</f>
        <v>46053</v>
      </c>
      <c r="C257" s="7" t="str">
        <f>_xlfn.XLOOKUP(Jnl[[#This Row],[TrxId]], Trx[Id], Trx[Division],,0)</f>
        <v>Ctrl</v>
      </c>
      <c r="D257" s="7" t="str">
        <f>_xlfn.XLOOKUP(Jnl[[#This Row],[TrxId]], Trx[Id], Trx[Action],,0)</f>
        <v>过账</v>
      </c>
      <c r="E257" s="26" t="s">
        <v>86</v>
      </c>
      <c r="F257" s="11" t="s">
        <v>12</v>
      </c>
      <c r="G257" s="11" t="s">
        <v>102</v>
      </c>
      <c r="H257" s="72">
        <v>-84100</v>
      </c>
      <c r="I257" s="5" t="b">
        <f>AND(Jnl[[#This Row],[TrxId]]&lt;&gt;"",Jnl[[#This Row],[Acct]]&lt;&gt;"",Jnl[[#This Row],[Item]]&lt;&gt;"",ISNUMBER(Jnl[[#This Row],[Bal]]))</f>
        <v>1</v>
      </c>
      <c r="J257" s="10">
        <f>IF(Jnl[[#This Row],[BSLv0]]="A",1,-1)*Jnl[[#This Row],[Bal]]</f>
        <v>-84100</v>
      </c>
      <c r="K257" t="str">
        <f>_xlfn.XLOOKUP(Jnl[[#This Row],[Acct]], config_BS[Acct], config_BS[Lv0],,0)</f>
        <v>A</v>
      </c>
      <c r="L257" t="str">
        <f>_xlfn.XLOOKUP(Jnl[[#This Row],[Acct]], config_BS[Acct], config_BS[Lv1],,0)</f>
        <v>Assets</v>
      </c>
      <c r="M257" t="str">
        <f>_xlfn.XLOOKUP(Jnl[[#This Row],[Acct]], config_BS[Acct], config_BS[Lv2],,0)</f>
        <v>Cash alike</v>
      </c>
      <c r="N257" t="str">
        <f>_xlfn.XLOOKUP(Jnl[[#This Row],[TrxId]], Trx[Id], Trx[IncNode], ,0)</f>
        <v>Other</v>
      </c>
      <c r="O257" t="str">
        <f>_xlfn.XLOOKUP(Jnl[[#This Row],[IncNode]], config_IS[Node], config_IS[Type],,0)</f>
        <v>Non-Op</v>
      </c>
      <c r="P257" t="str">
        <f>_xlfn.XLOOKUP(Jnl[[#This Row],[BSLv2]], dict[Key], dict[Name],,0)</f>
        <v>0.现金及类似</v>
      </c>
      <c r="Q257" t="str">
        <f>_xlfn.XLOOKUP(Jnl[[#This Row],[Acct]], dict[Key], dict[Name],,0)</f>
        <v>银行</v>
      </c>
      <c r="R257" t="str">
        <f>_xlfn.XLOOKUP(Jnl[[#This Row],[Vehicle]],config_vehicle[Id], config_vehicle[Name],,0)</f>
        <v>张小喜</v>
      </c>
      <c r="S257" t="str">
        <f>_xlfn.XLOOKUP(Jnl[[#This Row],[Division]],config_div[Id], config_div[Name],,0)</f>
        <v>内控合规</v>
      </c>
      <c r="T257" t="str">
        <f>IF(Jnl[[#This Row],[TrxDate]]&lt;=stmt_BS_date_end, "In", "Out")</f>
        <v>In</v>
      </c>
      <c r="U257" t="str">
        <f>IF(Jnl[[#This Row],[TrxDate]]&lt;debug_date_start, "prior", IF(Jnl[[#This Row],[TrxDate]]&gt;debug_date_end, "post", "curr"))</f>
        <v>prior</v>
      </c>
    </row>
    <row r="258" spans="1:21">
      <c r="A258" s="11" t="s">
        <v>420</v>
      </c>
      <c r="B258" s="7">
        <f>_xlfn.XLOOKUP(Jnl[[#This Row],[TrxId]], Trx[Id], Trx[Date],,0)</f>
        <v>46053</v>
      </c>
      <c r="C258" s="7" t="str">
        <f>_xlfn.XLOOKUP(Jnl[[#This Row],[TrxId]], Trx[Id], Trx[Division],,0)</f>
        <v>Online</v>
      </c>
      <c r="D258" s="7" t="str">
        <f>_xlfn.XLOOKUP(Jnl[[#This Row],[TrxId]], Trx[Id], Trx[Action],,0)</f>
        <v>其他销售</v>
      </c>
      <c r="E258" s="26" t="s">
        <v>93</v>
      </c>
      <c r="F258" s="11" t="s">
        <v>12</v>
      </c>
      <c r="G258" s="11" t="s">
        <v>393</v>
      </c>
      <c r="H258" s="72">
        <v>60</v>
      </c>
      <c r="I258" s="5" t="b">
        <f>AND(Jnl[[#This Row],[TrxId]]&lt;&gt;"",Jnl[[#This Row],[Acct]]&lt;&gt;"",Jnl[[#This Row],[Item]]&lt;&gt;"",ISNUMBER(Jnl[[#This Row],[Bal]]))</f>
        <v>1</v>
      </c>
      <c r="J258" s="10">
        <f>IF(Jnl[[#This Row],[BSLv0]]="A",1,-1)*Jnl[[#This Row],[Bal]]</f>
        <v>60</v>
      </c>
      <c r="K258" t="str">
        <f>_xlfn.XLOOKUP(Jnl[[#This Row],[Acct]], config_BS[Acct], config_BS[Lv0],,0)</f>
        <v>A</v>
      </c>
      <c r="L258" t="str">
        <f>_xlfn.XLOOKUP(Jnl[[#This Row],[Acct]], config_BS[Acct], config_BS[Lv1],,0)</f>
        <v>Assets</v>
      </c>
      <c r="M258" t="str">
        <f>_xlfn.XLOOKUP(Jnl[[#This Row],[Acct]], config_BS[Acct], config_BS[Lv2],,0)</f>
        <v>Cash alike</v>
      </c>
      <c r="N258" t="str">
        <f>_xlfn.XLOOKUP(Jnl[[#This Row],[TrxId]], Trx[Id], Trx[IncNode], ,0)</f>
        <v>Revenue</v>
      </c>
      <c r="O258" t="str">
        <f>_xlfn.XLOOKUP(Jnl[[#This Row],[IncNode]], config_IS[Node], config_IS[Type],,0)</f>
        <v>Op</v>
      </c>
      <c r="P258" t="str">
        <f>_xlfn.XLOOKUP(Jnl[[#This Row],[BSLv2]], dict[Key], dict[Name],,0)</f>
        <v>0.现金及类似</v>
      </c>
      <c r="Q258" t="str">
        <f>_xlfn.XLOOKUP(Jnl[[#This Row],[Acct]], dict[Key], dict[Name],,0)</f>
        <v>银行</v>
      </c>
      <c r="R258" t="str">
        <f>_xlfn.XLOOKUP(Jnl[[#This Row],[Vehicle]],config_vehicle[Id], config_vehicle[Name],,0)</f>
        <v>创业园-琦</v>
      </c>
      <c r="S258" t="str">
        <f>_xlfn.XLOOKUP(Jnl[[#This Row],[Division]],config_div[Id], config_div[Name],,0)</f>
        <v>网店</v>
      </c>
      <c r="T258" t="str">
        <f>IF(Jnl[[#This Row],[TrxDate]]&lt;=stmt_BS_date_end, "In", "Out")</f>
        <v>In</v>
      </c>
      <c r="U258" t="str">
        <f>IF(Jnl[[#This Row],[TrxDate]]&lt;debug_date_start, "prior", IF(Jnl[[#This Row],[TrxDate]]&gt;debug_date_end, "post", "curr"))</f>
        <v>prior</v>
      </c>
    </row>
    <row r="259" spans="1:21">
      <c r="A259" s="11" t="s">
        <v>421</v>
      </c>
      <c r="B259" s="7">
        <f>_xlfn.XLOOKUP(Jnl[[#This Row],[TrxId]], Trx[Id], Trx[Date],,0)</f>
        <v>46053</v>
      </c>
      <c r="C259" s="7" t="str">
        <f>_xlfn.XLOOKUP(Jnl[[#This Row],[TrxId]], Trx[Id], Trx[Division],,0)</f>
        <v>Ctrl</v>
      </c>
      <c r="D259" s="7" t="str">
        <f>_xlfn.XLOOKUP(Jnl[[#This Row],[TrxId]], Trx[Id], Trx[Action],,0)</f>
        <v>内部结算</v>
      </c>
      <c r="E259" s="26" t="s">
        <v>93</v>
      </c>
      <c r="F259" s="11" t="s">
        <v>12</v>
      </c>
      <c r="G259" s="11" t="s">
        <v>393</v>
      </c>
      <c r="H259" s="72">
        <v>25204.7</v>
      </c>
      <c r="I259" s="5" t="b">
        <f>AND(Jnl[[#This Row],[TrxId]]&lt;&gt;"",Jnl[[#This Row],[Acct]]&lt;&gt;"",Jnl[[#This Row],[Item]]&lt;&gt;"",ISNUMBER(Jnl[[#This Row],[Bal]]))</f>
        <v>1</v>
      </c>
      <c r="J259" s="10">
        <f>IF(Jnl[[#This Row],[BSLv0]]="A",1,-1)*Jnl[[#This Row],[Bal]]</f>
        <v>25204.7</v>
      </c>
      <c r="K259" t="str">
        <f>_xlfn.XLOOKUP(Jnl[[#This Row],[Acct]], config_BS[Acct], config_BS[Lv0],,0)</f>
        <v>A</v>
      </c>
      <c r="L259" t="str">
        <f>_xlfn.XLOOKUP(Jnl[[#This Row],[Acct]], config_BS[Acct], config_BS[Lv1],,0)</f>
        <v>Assets</v>
      </c>
      <c r="M259" t="str">
        <f>_xlfn.XLOOKUP(Jnl[[#This Row],[Acct]], config_BS[Acct], config_BS[Lv2],,0)</f>
        <v>Cash alike</v>
      </c>
      <c r="N259" t="str">
        <f>_xlfn.XLOOKUP(Jnl[[#This Row],[TrxId]], Trx[Id], Trx[IncNode], ,0)</f>
        <v>Other</v>
      </c>
      <c r="O259" t="str">
        <f>_xlfn.XLOOKUP(Jnl[[#This Row],[IncNode]], config_IS[Node], config_IS[Type],,0)</f>
        <v>Non-Op</v>
      </c>
      <c r="P259" t="str">
        <f>_xlfn.XLOOKUP(Jnl[[#This Row],[BSLv2]], dict[Key], dict[Name],,0)</f>
        <v>0.现金及类似</v>
      </c>
      <c r="Q259" t="str">
        <f>_xlfn.XLOOKUP(Jnl[[#This Row],[Acct]], dict[Key], dict[Name],,0)</f>
        <v>银行</v>
      </c>
      <c r="R259" t="str">
        <f>_xlfn.XLOOKUP(Jnl[[#This Row],[Vehicle]],config_vehicle[Id], config_vehicle[Name],,0)</f>
        <v>创业园-琦</v>
      </c>
      <c r="S259" t="str">
        <f>_xlfn.XLOOKUP(Jnl[[#This Row],[Division]],config_div[Id], config_div[Name],,0)</f>
        <v>内控合规</v>
      </c>
      <c r="T259" t="str">
        <f>IF(Jnl[[#This Row],[TrxDate]]&lt;=stmt_BS_date_end, "In", "Out")</f>
        <v>In</v>
      </c>
      <c r="U259" t="str">
        <f>IF(Jnl[[#This Row],[TrxDate]]&lt;debug_date_start, "prior", IF(Jnl[[#This Row],[TrxDate]]&gt;debug_date_end, "post", "curr"))</f>
        <v>prior</v>
      </c>
    </row>
    <row r="260" spans="1:21">
      <c r="A260" s="11" t="s">
        <v>421</v>
      </c>
      <c r="B260" s="7">
        <f>_xlfn.XLOOKUP(Jnl[[#This Row],[TrxId]], Trx[Id], Trx[Date],,0)</f>
        <v>46053</v>
      </c>
      <c r="C260" s="7" t="str">
        <f>_xlfn.XLOOKUP(Jnl[[#This Row],[TrxId]], Trx[Id], Trx[Division],,0)</f>
        <v>Ctrl</v>
      </c>
      <c r="D260" s="7" t="str">
        <f>_xlfn.XLOOKUP(Jnl[[#This Row],[TrxId]], Trx[Id], Trx[Action],,0)</f>
        <v>内部结算</v>
      </c>
      <c r="E260" s="26" t="s">
        <v>93</v>
      </c>
      <c r="F260" s="11" t="s">
        <v>113</v>
      </c>
      <c r="G260" s="11" t="s">
        <v>909</v>
      </c>
      <c r="H260" s="72">
        <v>-25204.7</v>
      </c>
      <c r="I260" s="5" t="b">
        <f>AND(Jnl[[#This Row],[TrxId]]&lt;&gt;"",Jnl[[#This Row],[Acct]]&lt;&gt;"",Jnl[[#This Row],[Item]]&lt;&gt;"",ISNUMBER(Jnl[[#This Row],[Bal]]))</f>
        <v>1</v>
      </c>
      <c r="J260" s="10">
        <f>IF(Jnl[[#This Row],[BSLv0]]="A",1,-1)*Jnl[[#This Row],[Bal]]</f>
        <v>-25204.7</v>
      </c>
      <c r="K260" t="str">
        <f>_xlfn.XLOOKUP(Jnl[[#This Row],[Acct]], config_BS[Acct], config_BS[Lv0],,0)</f>
        <v>A</v>
      </c>
      <c r="L260" t="str">
        <f>_xlfn.XLOOKUP(Jnl[[#This Row],[Acct]], config_BS[Acct], config_BS[Lv1],,0)</f>
        <v>Assets</v>
      </c>
      <c r="M260" t="str">
        <f>_xlfn.XLOOKUP(Jnl[[#This Row],[Acct]], config_BS[Acct], config_BS[Lv2],,0)</f>
        <v>Rec-Pay</v>
      </c>
      <c r="N260" t="str">
        <f>_xlfn.XLOOKUP(Jnl[[#This Row],[TrxId]], Trx[Id], Trx[IncNode], ,0)</f>
        <v>Other</v>
      </c>
      <c r="O260" t="str">
        <f>_xlfn.XLOOKUP(Jnl[[#This Row],[IncNode]], config_IS[Node], config_IS[Type],,0)</f>
        <v>Non-Op</v>
      </c>
      <c r="P260" t="str">
        <f>_xlfn.XLOOKUP(Jnl[[#This Row],[BSLv2]], dict[Key], dict[Name],,0)</f>
        <v>1.应收-应付</v>
      </c>
      <c r="Q260" t="str">
        <f>_xlfn.XLOOKUP(Jnl[[#This Row],[Acct]], dict[Key], dict[Name],,0)</f>
        <v>应收-一般</v>
      </c>
      <c r="R260" t="str">
        <f>_xlfn.XLOOKUP(Jnl[[#This Row],[Vehicle]],config_vehicle[Id], config_vehicle[Name],,0)</f>
        <v>创业园-琦</v>
      </c>
      <c r="S260" t="str">
        <f>_xlfn.XLOOKUP(Jnl[[#This Row],[Division]],config_div[Id], config_div[Name],,0)</f>
        <v>内控合规</v>
      </c>
      <c r="T260" t="str">
        <f>IF(Jnl[[#This Row],[TrxDate]]&lt;=stmt_BS_date_end, "In", "Out")</f>
        <v>In</v>
      </c>
      <c r="U260" t="str">
        <f>IF(Jnl[[#This Row],[TrxDate]]&lt;debug_date_start, "prior", IF(Jnl[[#This Row],[TrxDate]]&gt;debug_date_end, "post", "curr"))</f>
        <v>prior</v>
      </c>
    </row>
    <row r="261" spans="1:21">
      <c r="A261" s="11" t="s">
        <v>424</v>
      </c>
      <c r="B261" s="7">
        <f>_xlfn.XLOOKUP(Jnl[[#This Row],[TrxId]], Trx[Id], Trx[Date],,0)</f>
        <v>46053</v>
      </c>
      <c r="C261" s="7" t="str">
        <f>_xlfn.XLOOKUP(Jnl[[#This Row],[TrxId]], Trx[Id], Trx[Division],,0)</f>
        <v>GM</v>
      </c>
      <c r="D261" s="7" t="str">
        <f>_xlfn.XLOOKUP(Jnl[[#This Row],[TrxId]], Trx[Id], Trx[Action],,0)</f>
        <v>薪酬-社保</v>
      </c>
      <c r="E261" s="26" t="s">
        <v>111</v>
      </c>
      <c r="F261" s="11" t="s">
        <v>12</v>
      </c>
      <c r="G261" s="11" t="s">
        <v>482</v>
      </c>
      <c r="H261" s="72">
        <v>-11465.37</v>
      </c>
      <c r="I261" s="5" t="b">
        <f>AND(Jnl[[#This Row],[TrxId]]&lt;&gt;"",Jnl[[#This Row],[Acct]]&lt;&gt;"",Jnl[[#This Row],[Item]]&lt;&gt;"",ISNUMBER(Jnl[[#This Row],[Bal]]))</f>
        <v>1</v>
      </c>
      <c r="J261" s="10">
        <f>IF(Jnl[[#This Row],[BSLv0]]="A",1,-1)*Jnl[[#This Row],[Bal]]</f>
        <v>-11465.37</v>
      </c>
      <c r="K261" t="str">
        <f>_xlfn.XLOOKUP(Jnl[[#This Row],[Acct]], config_BS[Acct], config_BS[Lv0],,0)</f>
        <v>A</v>
      </c>
      <c r="L261" t="str">
        <f>_xlfn.XLOOKUP(Jnl[[#This Row],[Acct]], config_BS[Acct], config_BS[Lv1],,0)</f>
        <v>Assets</v>
      </c>
      <c r="M261" t="str">
        <f>_xlfn.XLOOKUP(Jnl[[#This Row],[Acct]], config_BS[Acct], config_BS[Lv2],,0)</f>
        <v>Cash alike</v>
      </c>
      <c r="N261" t="str">
        <f>_xlfn.XLOOKUP(Jnl[[#This Row],[TrxId]], Trx[Id], Trx[IncNode], ,0)</f>
        <v>Expense</v>
      </c>
      <c r="O261" t="str">
        <f>_xlfn.XLOOKUP(Jnl[[#This Row],[IncNode]], config_IS[Node], config_IS[Type],,0)</f>
        <v>Op</v>
      </c>
      <c r="P261" t="str">
        <f>_xlfn.XLOOKUP(Jnl[[#This Row],[BSLv2]], dict[Key], dict[Name],,0)</f>
        <v>0.现金及类似</v>
      </c>
      <c r="Q261" t="str">
        <f>_xlfn.XLOOKUP(Jnl[[#This Row],[Acct]], dict[Key], dict[Name],,0)</f>
        <v>银行</v>
      </c>
      <c r="R261" t="str">
        <f>_xlfn.XLOOKUP(Jnl[[#This Row],[Vehicle]],config_vehicle[Id], config_vehicle[Name],,0)</f>
        <v>染匠文化</v>
      </c>
      <c r="S261" t="str">
        <f>_xlfn.XLOOKUP(Jnl[[#This Row],[Division]],config_div[Id], config_div[Name],,0)</f>
        <v>综合管理</v>
      </c>
      <c r="T261" t="str">
        <f>IF(Jnl[[#This Row],[TrxDate]]&lt;=stmt_BS_date_end, "In", "Out")</f>
        <v>In</v>
      </c>
      <c r="U261" t="str">
        <f>IF(Jnl[[#This Row],[TrxDate]]&lt;debug_date_start, "prior", IF(Jnl[[#This Row],[TrxDate]]&gt;debug_date_end, "post", "curr"))</f>
        <v>prior</v>
      </c>
    </row>
    <row r="262" spans="1:21">
      <c r="A262" s="11" t="s">
        <v>424</v>
      </c>
      <c r="B262" s="7">
        <f>_xlfn.XLOOKUP(Jnl[[#This Row],[TrxId]], Trx[Id], Trx[Date],,0)</f>
        <v>46053</v>
      </c>
      <c r="C262" s="7" t="str">
        <f>_xlfn.XLOOKUP(Jnl[[#This Row],[TrxId]], Trx[Id], Trx[Division],,0)</f>
        <v>GM</v>
      </c>
      <c r="D262" s="7" t="str">
        <f>_xlfn.XLOOKUP(Jnl[[#This Row],[TrxId]], Trx[Id], Trx[Action],,0)</f>
        <v>薪酬-社保</v>
      </c>
      <c r="E262" s="26" t="s">
        <v>111</v>
      </c>
      <c r="F262" s="11" t="s">
        <v>198</v>
      </c>
      <c r="G262" s="11" t="s">
        <v>344</v>
      </c>
      <c r="H262" s="72">
        <v>3340.05</v>
      </c>
      <c r="I262" s="5" t="b">
        <f>AND(Jnl[[#This Row],[TrxId]]&lt;&gt;"",Jnl[[#This Row],[Acct]]&lt;&gt;"",Jnl[[#This Row],[Item]]&lt;&gt;"",ISNUMBER(Jnl[[#This Row],[Bal]]))</f>
        <v>1</v>
      </c>
      <c r="J262" s="10">
        <f>IF(Jnl[[#This Row],[BSLv0]]="A",1,-1)*Jnl[[#This Row],[Bal]]</f>
        <v>3340.05</v>
      </c>
      <c r="K262" t="str">
        <f>_xlfn.XLOOKUP(Jnl[[#This Row],[Acct]], config_BS[Acct], config_BS[Lv0],,0)</f>
        <v>A</v>
      </c>
      <c r="L262" t="str">
        <f>_xlfn.XLOOKUP(Jnl[[#This Row],[Acct]], config_BS[Acct], config_BS[Lv1],,0)</f>
        <v>Assets</v>
      </c>
      <c r="M262" t="str">
        <f>_xlfn.XLOOKUP(Jnl[[#This Row],[Acct]], config_BS[Acct], config_BS[Lv2],,0)</f>
        <v>Rec-Pay</v>
      </c>
      <c r="N262" t="str">
        <f>_xlfn.XLOOKUP(Jnl[[#This Row],[TrxId]], Trx[Id], Trx[IncNode], ,0)</f>
        <v>Expense</v>
      </c>
      <c r="O262" t="str">
        <f>_xlfn.XLOOKUP(Jnl[[#This Row],[IncNode]], config_IS[Node], config_IS[Type],,0)</f>
        <v>Op</v>
      </c>
      <c r="P262" t="str">
        <f>_xlfn.XLOOKUP(Jnl[[#This Row],[BSLv2]], dict[Key], dict[Name],,0)</f>
        <v>1.应收-应付</v>
      </c>
      <c r="Q262" t="str">
        <f>_xlfn.XLOOKUP(Jnl[[#This Row],[Acct]], dict[Key], dict[Name],,0)</f>
        <v>应收-其他</v>
      </c>
      <c r="R262" t="str">
        <f>_xlfn.XLOOKUP(Jnl[[#This Row],[Vehicle]],config_vehicle[Id], config_vehicle[Name],,0)</f>
        <v>染匠文化</v>
      </c>
      <c r="S262" t="str">
        <f>_xlfn.XLOOKUP(Jnl[[#This Row],[Division]],config_div[Id], config_div[Name],,0)</f>
        <v>综合管理</v>
      </c>
      <c r="T262" t="str">
        <f>IF(Jnl[[#This Row],[TrxDate]]&lt;=stmt_BS_date_end, "In", "Out")</f>
        <v>In</v>
      </c>
      <c r="U262" t="str">
        <f>IF(Jnl[[#This Row],[TrxDate]]&lt;debug_date_start, "prior", IF(Jnl[[#This Row],[TrxDate]]&gt;debug_date_end, "post", "curr"))</f>
        <v>prior</v>
      </c>
    </row>
    <row r="263" spans="1:21">
      <c r="A263" s="11" t="s">
        <v>425</v>
      </c>
      <c r="B263" s="7">
        <f>_xlfn.XLOOKUP(Jnl[[#This Row],[TrxId]], Trx[Id], Trx[Date],,0)</f>
        <v>46053</v>
      </c>
      <c r="C263" s="7" t="str">
        <f>_xlfn.XLOOKUP(Jnl[[#This Row],[TrxId]], Trx[Id], Trx[Division],,0)</f>
        <v>GM</v>
      </c>
      <c r="D263" s="7" t="str">
        <f>_xlfn.XLOOKUP(Jnl[[#This Row],[TrxId]], Trx[Id], Trx[Action],,0)</f>
        <v>房租</v>
      </c>
      <c r="E263" s="26" t="s">
        <v>84</v>
      </c>
      <c r="F263" s="11" t="s">
        <v>115</v>
      </c>
      <c r="G263" s="11" t="s">
        <v>141</v>
      </c>
      <c r="H263" s="72">
        <v>-12999.135833333299</v>
      </c>
      <c r="I263" s="5" t="b">
        <f>AND(Jnl[[#This Row],[TrxId]]&lt;&gt;"",Jnl[[#This Row],[Acct]]&lt;&gt;"",Jnl[[#This Row],[Item]]&lt;&gt;"",ISNUMBER(Jnl[[#This Row],[Bal]]))</f>
        <v>1</v>
      </c>
      <c r="J263" s="10">
        <f>IF(Jnl[[#This Row],[BSLv0]]="A",1,-1)*Jnl[[#This Row],[Bal]]</f>
        <v>-12999.135833333299</v>
      </c>
      <c r="K263" t="str">
        <f>_xlfn.XLOOKUP(Jnl[[#This Row],[Acct]], config_BS[Acct], config_BS[Lv0],,0)</f>
        <v>A</v>
      </c>
      <c r="L263" t="str">
        <f>_xlfn.XLOOKUP(Jnl[[#This Row],[Acct]], config_BS[Acct], config_BS[Lv1],,0)</f>
        <v>Assets</v>
      </c>
      <c r="M263" t="str">
        <f>_xlfn.XLOOKUP(Jnl[[#This Row],[Acct]], config_BS[Acct], config_BS[Lv2],,0)</f>
        <v>Prep-Sub</v>
      </c>
      <c r="N263" t="str">
        <f>_xlfn.XLOOKUP(Jnl[[#This Row],[TrxId]], Trx[Id], Trx[IncNode], ,0)</f>
        <v>Expense</v>
      </c>
      <c r="O263" t="str">
        <f>_xlfn.XLOOKUP(Jnl[[#This Row],[IncNode]], config_IS[Node], config_IS[Type],,0)</f>
        <v>Op</v>
      </c>
      <c r="P263" t="str">
        <f>_xlfn.XLOOKUP(Jnl[[#This Row],[BSLv2]], dict[Key], dict[Name],,0)</f>
        <v>2.预付-订阅</v>
      </c>
      <c r="Q263" t="str">
        <f>_xlfn.XLOOKUP(Jnl[[#This Row],[Acct]], dict[Key], dict[Name],,0)</f>
        <v>预付订单</v>
      </c>
      <c r="R263" t="str">
        <f>_xlfn.XLOOKUP(Jnl[[#This Row],[Vehicle]],config_vehicle[Id], config_vehicle[Name],,0)</f>
        <v>榆乐</v>
      </c>
      <c r="S263" t="str">
        <f>_xlfn.XLOOKUP(Jnl[[#This Row],[Division]],config_div[Id], config_div[Name],,0)</f>
        <v>综合管理</v>
      </c>
      <c r="T263" t="str">
        <f>IF(Jnl[[#This Row],[TrxDate]]&lt;=stmt_BS_date_end, "In", "Out")</f>
        <v>In</v>
      </c>
      <c r="U263" t="str">
        <f>IF(Jnl[[#This Row],[TrxDate]]&lt;debug_date_start, "prior", IF(Jnl[[#This Row],[TrxDate]]&gt;debug_date_end, "post", "curr"))</f>
        <v>prior</v>
      </c>
    </row>
    <row r="264" spans="1:21">
      <c r="A264" s="11" t="s">
        <v>446</v>
      </c>
      <c r="B264" s="7">
        <f>_xlfn.XLOOKUP(Jnl[[#This Row],[TrxId]], Trx[Id], Trx[Date],,0)</f>
        <v>46053</v>
      </c>
      <c r="C264" s="7" t="str">
        <f>_xlfn.XLOOKUP(Jnl[[#This Row],[TrxId]], Trx[Id], Trx[Division],,0)</f>
        <v>GM</v>
      </c>
      <c r="D264" s="7" t="str">
        <f>_xlfn.XLOOKUP(Jnl[[#This Row],[TrxId]], Trx[Id], Trx[Action],,0)</f>
        <v>支付</v>
      </c>
      <c r="E264" s="26" t="s">
        <v>111</v>
      </c>
      <c r="F264" s="11" t="s">
        <v>12</v>
      </c>
      <c r="G264" s="11" t="s">
        <v>482</v>
      </c>
      <c r="H264" s="72">
        <v>-29659.53</v>
      </c>
      <c r="I264" s="5" t="b">
        <f>AND(Jnl[[#This Row],[TrxId]]&lt;&gt;"",Jnl[[#This Row],[Acct]]&lt;&gt;"",Jnl[[#This Row],[Item]]&lt;&gt;"",ISNUMBER(Jnl[[#This Row],[Bal]]))</f>
        <v>1</v>
      </c>
      <c r="J264" s="10">
        <f>IF(Jnl[[#This Row],[BSLv0]]="A",1,-1)*Jnl[[#This Row],[Bal]]</f>
        <v>-29659.53</v>
      </c>
      <c r="K264" t="str">
        <f>_xlfn.XLOOKUP(Jnl[[#This Row],[Acct]], config_BS[Acct], config_BS[Lv0],,0)</f>
        <v>A</v>
      </c>
      <c r="L264" t="str">
        <f>_xlfn.XLOOKUP(Jnl[[#This Row],[Acct]], config_BS[Acct], config_BS[Lv1],,0)</f>
        <v>Assets</v>
      </c>
      <c r="M264" t="str">
        <f>_xlfn.XLOOKUP(Jnl[[#This Row],[Acct]], config_BS[Acct], config_BS[Lv2],,0)</f>
        <v>Cash alike</v>
      </c>
      <c r="N264" t="str">
        <f>_xlfn.XLOOKUP(Jnl[[#This Row],[TrxId]], Trx[Id], Trx[IncNode], ,0)</f>
        <v>Expense</v>
      </c>
      <c r="O264" t="str">
        <f>_xlfn.XLOOKUP(Jnl[[#This Row],[IncNode]], config_IS[Node], config_IS[Type],,0)</f>
        <v>Op</v>
      </c>
      <c r="P264" t="str">
        <f>_xlfn.XLOOKUP(Jnl[[#This Row],[BSLv2]], dict[Key], dict[Name],,0)</f>
        <v>0.现金及类似</v>
      </c>
      <c r="Q264" t="str">
        <f>_xlfn.XLOOKUP(Jnl[[#This Row],[Acct]], dict[Key], dict[Name],,0)</f>
        <v>银行</v>
      </c>
      <c r="R264" t="str">
        <f>_xlfn.XLOOKUP(Jnl[[#This Row],[Vehicle]],config_vehicle[Id], config_vehicle[Name],,0)</f>
        <v>染匠文化</v>
      </c>
      <c r="S264" t="str">
        <f>_xlfn.XLOOKUP(Jnl[[#This Row],[Division]],config_div[Id], config_div[Name],,0)</f>
        <v>综合管理</v>
      </c>
      <c r="T264" t="str">
        <f>IF(Jnl[[#This Row],[TrxDate]]&lt;=stmt_BS_date_end, "In", "Out")</f>
        <v>In</v>
      </c>
      <c r="U264" t="str">
        <f>IF(Jnl[[#This Row],[TrxDate]]&lt;debug_date_start, "prior", IF(Jnl[[#This Row],[TrxDate]]&gt;debug_date_end, "post", "curr"))</f>
        <v>prior</v>
      </c>
    </row>
    <row r="265" spans="1:21">
      <c r="A265" s="11" t="s">
        <v>446</v>
      </c>
      <c r="B265" s="7">
        <f>_xlfn.XLOOKUP(Jnl[[#This Row],[TrxId]], Trx[Id], Trx[Date],,0)</f>
        <v>46053</v>
      </c>
      <c r="C265" s="7" t="str">
        <f>_xlfn.XLOOKUP(Jnl[[#This Row],[TrxId]], Trx[Id], Trx[Division],,0)</f>
        <v>GM</v>
      </c>
      <c r="D265" s="7" t="str">
        <f>_xlfn.XLOOKUP(Jnl[[#This Row],[TrxId]], Trx[Id], Trx[Action],,0)</f>
        <v>支付</v>
      </c>
      <c r="E265" s="26" t="s">
        <v>111</v>
      </c>
      <c r="F265" s="11" t="s">
        <v>198</v>
      </c>
      <c r="G265" s="11" t="s">
        <v>344</v>
      </c>
      <c r="H265" s="72">
        <v>-3340.05</v>
      </c>
      <c r="I265" s="5" t="b">
        <f>AND(Jnl[[#This Row],[TrxId]]&lt;&gt;"",Jnl[[#This Row],[Acct]]&lt;&gt;"",Jnl[[#This Row],[Item]]&lt;&gt;"",ISNUMBER(Jnl[[#This Row],[Bal]]))</f>
        <v>1</v>
      </c>
      <c r="J265" s="10">
        <f>IF(Jnl[[#This Row],[BSLv0]]="A",1,-1)*Jnl[[#This Row],[Bal]]</f>
        <v>-3340.05</v>
      </c>
      <c r="K265" t="str">
        <f>_xlfn.XLOOKUP(Jnl[[#This Row],[Acct]], config_BS[Acct], config_BS[Lv0],,0)</f>
        <v>A</v>
      </c>
      <c r="L265" t="str">
        <f>_xlfn.XLOOKUP(Jnl[[#This Row],[Acct]], config_BS[Acct], config_BS[Lv1],,0)</f>
        <v>Assets</v>
      </c>
      <c r="M265" t="str">
        <f>_xlfn.XLOOKUP(Jnl[[#This Row],[Acct]], config_BS[Acct], config_BS[Lv2],,0)</f>
        <v>Rec-Pay</v>
      </c>
      <c r="N265" t="str">
        <f>_xlfn.XLOOKUP(Jnl[[#This Row],[TrxId]], Trx[Id], Trx[IncNode], ,0)</f>
        <v>Expense</v>
      </c>
      <c r="O265" t="str">
        <f>_xlfn.XLOOKUP(Jnl[[#This Row],[IncNode]], config_IS[Node], config_IS[Type],,0)</f>
        <v>Op</v>
      </c>
      <c r="P265" t="str">
        <f>_xlfn.XLOOKUP(Jnl[[#This Row],[BSLv2]], dict[Key], dict[Name],,0)</f>
        <v>1.应收-应付</v>
      </c>
      <c r="Q265" t="str">
        <f>_xlfn.XLOOKUP(Jnl[[#This Row],[Acct]], dict[Key], dict[Name],,0)</f>
        <v>应收-其他</v>
      </c>
      <c r="R265" t="str">
        <f>_xlfn.XLOOKUP(Jnl[[#This Row],[Vehicle]],config_vehicle[Id], config_vehicle[Name],,0)</f>
        <v>染匠文化</v>
      </c>
      <c r="S265" t="str">
        <f>_xlfn.XLOOKUP(Jnl[[#This Row],[Division]],config_div[Id], config_div[Name],,0)</f>
        <v>综合管理</v>
      </c>
      <c r="T265" t="str">
        <f>IF(Jnl[[#This Row],[TrxDate]]&lt;=stmt_BS_date_end, "In", "Out")</f>
        <v>In</v>
      </c>
      <c r="U265" t="str">
        <f>IF(Jnl[[#This Row],[TrxDate]]&lt;debug_date_start, "prior", IF(Jnl[[#This Row],[TrxDate]]&gt;debug_date_end, "post", "curr"))</f>
        <v>prior</v>
      </c>
    </row>
    <row r="266" spans="1:21">
      <c r="A266" s="11" t="s">
        <v>446</v>
      </c>
      <c r="B266" s="7">
        <f>_xlfn.XLOOKUP(Jnl[[#This Row],[TrxId]], Trx[Id], Trx[Date],,0)</f>
        <v>46053</v>
      </c>
      <c r="C266" s="7" t="str">
        <f>_xlfn.XLOOKUP(Jnl[[#This Row],[TrxId]], Trx[Id], Trx[Division],,0)</f>
        <v>GM</v>
      </c>
      <c r="D266" s="7" t="str">
        <f>_xlfn.XLOOKUP(Jnl[[#This Row],[TrxId]], Trx[Id], Trx[Action],,0)</f>
        <v>支付</v>
      </c>
      <c r="E266" s="26" t="s">
        <v>111</v>
      </c>
      <c r="F266" s="11" t="s">
        <v>127</v>
      </c>
      <c r="G266" s="11" t="s">
        <v>343</v>
      </c>
      <c r="H266" s="72">
        <v>542.28</v>
      </c>
      <c r="I266" s="5" t="b">
        <f>AND(Jnl[[#This Row],[TrxId]]&lt;&gt;"",Jnl[[#This Row],[Acct]]&lt;&gt;"",Jnl[[#This Row],[Item]]&lt;&gt;"",ISNUMBER(Jnl[[#This Row],[Bal]]))</f>
        <v>1</v>
      </c>
      <c r="J266" s="10">
        <f>IF(Jnl[[#This Row],[BSLv0]]="A",1,-1)*Jnl[[#This Row],[Bal]]</f>
        <v>-542.28</v>
      </c>
      <c r="K266" t="str">
        <f>_xlfn.XLOOKUP(Jnl[[#This Row],[Acct]], config_BS[Acct], config_BS[Lv0],,0)</f>
        <v>LC</v>
      </c>
      <c r="L266" t="str">
        <f>_xlfn.XLOOKUP(Jnl[[#This Row],[Acct]], config_BS[Acct], config_BS[Lv1],,0)</f>
        <v>Liability</v>
      </c>
      <c r="M266" t="str">
        <f>_xlfn.XLOOKUP(Jnl[[#This Row],[Acct]], config_BS[Acct], config_BS[Lv2],,0)</f>
        <v>Rec-Pay</v>
      </c>
      <c r="N266" t="str">
        <f>_xlfn.XLOOKUP(Jnl[[#This Row],[TrxId]], Trx[Id], Trx[IncNode], ,0)</f>
        <v>Expense</v>
      </c>
      <c r="O266" t="str">
        <f>_xlfn.XLOOKUP(Jnl[[#This Row],[IncNode]], config_IS[Node], config_IS[Type],,0)</f>
        <v>Op</v>
      </c>
      <c r="P266" t="str">
        <f>_xlfn.XLOOKUP(Jnl[[#This Row],[BSLv2]], dict[Key], dict[Name],,0)</f>
        <v>1.应收-应付</v>
      </c>
      <c r="Q266" t="str">
        <f>_xlfn.XLOOKUP(Jnl[[#This Row],[Acct]], dict[Key], dict[Name],,0)</f>
        <v>应付-税款</v>
      </c>
      <c r="R266" t="str">
        <f>_xlfn.XLOOKUP(Jnl[[#This Row],[Vehicle]],config_vehicle[Id], config_vehicle[Name],,0)</f>
        <v>染匠文化</v>
      </c>
      <c r="S266" t="str">
        <f>_xlfn.XLOOKUP(Jnl[[#This Row],[Division]],config_div[Id], config_div[Name],,0)</f>
        <v>综合管理</v>
      </c>
      <c r="T266" t="str">
        <f>IF(Jnl[[#This Row],[TrxDate]]&lt;=stmt_BS_date_end, "In", "Out")</f>
        <v>In</v>
      </c>
      <c r="U266" t="str">
        <f>IF(Jnl[[#This Row],[TrxDate]]&lt;debug_date_start, "prior", IF(Jnl[[#This Row],[TrxDate]]&gt;debug_date_end, "post", "curr"))</f>
        <v>prior</v>
      </c>
    </row>
    <row r="267" spans="1:21">
      <c r="A267" s="11" t="s">
        <v>446</v>
      </c>
      <c r="B267" s="7">
        <f>_xlfn.XLOOKUP(Jnl[[#This Row],[TrxId]], Trx[Id], Trx[Date],,0)</f>
        <v>46053</v>
      </c>
      <c r="C267" s="7" t="str">
        <f>_xlfn.XLOOKUP(Jnl[[#This Row],[TrxId]], Trx[Id], Trx[Division],,0)</f>
        <v>GM</v>
      </c>
      <c r="D267" s="7" t="str">
        <f>_xlfn.XLOOKUP(Jnl[[#This Row],[TrxId]], Trx[Id], Trx[Action],,0)</f>
        <v>支付</v>
      </c>
      <c r="E267" s="26" t="s">
        <v>111</v>
      </c>
      <c r="F267" s="11" t="s">
        <v>188</v>
      </c>
      <c r="G267" s="11" t="s">
        <v>149</v>
      </c>
      <c r="H267" s="72">
        <v>-33541.86</v>
      </c>
      <c r="I267" s="5" t="b">
        <f>AND(Jnl[[#This Row],[TrxId]]&lt;&gt;"",Jnl[[#This Row],[Acct]]&lt;&gt;"",Jnl[[#This Row],[Item]]&lt;&gt;"",ISNUMBER(Jnl[[#This Row],[Bal]]))</f>
        <v>1</v>
      </c>
      <c r="J267" s="10">
        <f>IF(Jnl[[#This Row],[BSLv0]]="A",1,-1)*Jnl[[#This Row],[Bal]]</f>
        <v>33541.86</v>
      </c>
      <c r="K267" t="str">
        <f>_xlfn.XLOOKUP(Jnl[[#This Row],[Acct]], config_BS[Acct], config_BS[Lv0],,0)</f>
        <v>LC</v>
      </c>
      <c r="L267" t="str">
        <f>_xlfn.XLOOKUP(Jnl[[#This Row],[Acct]], config_BS[Acct], config_BS[Lv1],,0)</f>
        <v>Liability</v>
      </c>
      <c r="M267" t="str">
        <f>_xlfn.XLOOKUP(Jnl[[#This Row],[Acct]], config_BS[Acct], config_BS[Lv2],,0)</f>
        <v>Rec-Pay</v>
      </c>
      <c r="N267" t="str">
        <f>_xlfn.XLOOKUP(Jnl[[#This Row],[TrxId]], Trx[Id], Trx[IncNode], ,0)</f>
        <v>Expense</v>
      </c>
      <c r="O267" t="str">
        <f>_xlfn.XLOOKUP(Jnl[[#This Row],[IncNode]], config_IS[Node], config_IS[Type],,0)</f>
        <v>Op</v>
      </c>
      <c r="P267" t="str">
        <f>_xlfn.XLOOKUP(Jnl[[#This Row],[BSLv2]], dict[Key], dict[Name],,0)</f>
        <v>1.应收-应付</v>
      </c>
      <c r="Q267" t="str">
        <f>_xlfn.XLOOKUP(Jnl[[#This Row],[Acct]], dict[Key], dict[Name],,0)</f>
        <v>应付-薪资</v>
      </c>
      <c r="R267" t="str">
        <f>_xlfn.XLOOKUP(Jnl[[#This Row],[Vehicle]],config_vehicle[Id], config_vehicle[Name],,0)</f>
        <v>染匠文化</v>
      </c>
      <c r="S267" t="str">
        <f>_xlfn.XLOOKUP(Jnl[[#This Row],[Division]],config_div[Id], config_div[Name],,0)</f>
        <v>综合管理</v>
      </c>
      <c r="T267" t="str">
        <f>IF(Jnl[[#This Row],[TrxDate]]&lt;=stmt_BS_date_end, "In", "Out")</f>
        <v>In</v>
      </c>
      <c r="U267" t="str">
        <f>IF(Jnl[[#This Row],[TrxDate]]&lt;debug_date_start, "prior", IF(Jnl[[#This Row],[TrxDate]]&gt;debug_date_end, "post", "curr"))</f>
        <v>prior</v>
      </c>
    </row>
    <row r="268" spans="1:21">
      <c r="A268" s="11" t="s">
        <v>449</v>
      </c>
      <c r="B268" s="7">
        <f>_xlfn.XLOOKUP(Jnl[[#This Row],[TrxId]], Trx[Id], Trx[Date],,0)</f>
        <v>46053</v>
      </c>
      <c r="C268" s="7" t="str">
        <f>_xlfn.XLOOKUP(Jnl[[#This Row],[TrxId]], Trx[Id], Trx[Division],,0)</f>
        <v>GM</v>
      </c>
      <c r="D268" s="7" t="str">
        <f>_xlfn.XLOOKUP(Jnl[[#This Row],[TrxId]], Trx[Id], Trx[Action],,0)</f>
        <v>支付</v>
      </c>
      <c r="E268" s="26" t="s">
        <v>111</v>
      </c>
      <c r="F268" s="11" t="s">
        <v>127</v>
      </c>
      <c r="G268" s="11" t="s">
        <v>343</v>
      </c>
      <c r="H268" s="72">
        <v>-542.28</v>
      </c>
      <c r="I268" s="5" t="b">
        <f>AND(Jnl[[#This Row],[TrxId]]&lt;&gt;"",Jnl[[#This Row],[Acct]]&lt;&gt;"",Jnl[[#This Row],[Item]]&lt;&gt;"",ISNUMBER(Jnl[[#This Row],[Bal]]))</f>
        <v>1</v>
      </c>
      <c r="J268" s="10">
        <f>IF(Jnl[[#This Row],[BSLv0]]="A",1,-1)*Jnl[[#This Row],[Bal]]</f>
        <v>542.28</v>
      </c>
      <c r="K268" t="str">
        <f>_xlfn.XLOOKUP(Jnl[[#This Row],[Acct]], config_BS[Acct], config_BS[Lv0],,0)</f>
        <v>LC</v>
      </c>
      <c r="L268" t="str">
        <f>_xlfn.XLOOKUP(Jnl[[#This Row],[Acct]], config_BS[Acct], config_BS[Lv1],,0)</f>
        <v>Liability</v>
      </c>
      <c r="M268" t="str">
        <f>_xlfn.XLOOKUP(Jnl[[#This Row],[Acct]], config_BS[Acct], config_BS[Lv2],,0)</f>
        <v>Rec-Pay</v>
      </c>
      <c r="N268" t="str">
        <f>_xlfn.XLOOKUP(Jnl[[#This Row],[TrxId]], Trx[Id], Trx[IncNode], ,0)</f>
        <v>Expense</v>
      </c>
      <c r="O268" t="str">
        <f>_xlfn.XLOOKUP(Jnl[[#This Row],[IncNode]], config_IS[Node], config_IS[Type],,0)</f>
        <v>Op</v>
      </c>
      <c r="P268" t="str">
        <f>_xlfn.XLOOKUP(Jnl[[#This Row],[BSLv2]], dict[Key], dict[Name],,0)</f>
        <v>1.应收-应付</v>
      </c>
      <c r="Q268" t="str">
        <f>_xlfn.XLOOKUP(Jnl[[#This Row],[Acct]], dict[Key], dict[Name],,0)</f>
        <v>应付-税款</v>
      </c>
      <c r="R268" t="str">
        <f>_xlfn.XLOOKUP(Jnl[[#This Row],[Vehicle]],config_vehicle[Id], config_vehicle[Name],,0)</f>
        <v>染匠文化</v>
      </c>
      <c r="S268" t="str">
        <f>_xlfn.XLOOKUP(Jnl[[#This Row],[Division]],config_div[Id], config_div[Name],,0)</f>
        <v>综合管理</v>
      </c>
      <c r="T268" t="str">
        <f>IF(Jnl[[#This Row],[TrxDate]]&lt;=stmt_BS_date_end, "In", "Out")</f>
        <v>In</v>
      </c>
      <c r="U268" t="str">
        <f>IF(Jnl[[#This Row],[TrxDate]]&lt;debug_date_start, "prior", IF(Jnl[[#This Row],[TrxDate]]&gt;debug_date_end, "post", "curr"))</f>
        <v>prior</v>
      </c>
    </row>
    <row r="269" spans="1:21">
      <c r="A269" s="11" t="s">
        <v>449</v>
      </c>
      <c r="B269" s="7">
        <f>_xlfn.XLOOKUP(Jnl[[#This Row],[TrxId]], Trx[Id], Trx[Date],,0)</f>
        <v>46053</v>
      </c>
      <c r="C269" s="7" t="str">
        <f>_xlfn.XLOOKUP(Jnl[[#This Row],[TrxId]], Trx[Id], Trx[Division],,0)</f>
        <v>GM</v>
      </c>
      <c r="D269" s="7" t="str">
        <f>_xlfn.XLOOKUP(Jnl[[#This Row],[TrxId]], Trx[Id], Trx[Action],,0)</f>
        <v>支付</v>
      </c>
      <c r="E269" s="26" t="s">
        <v>111</v>
      </c>
      <c r="F269" s="11" t="s">
        <v>12</v>
      </c>
      <c r="G269" s="11" t="s">
        <v>482</v>
      </c>
      <c r="H269" s="72">
        <v>-542.28</v>
      </c>
      <c r="I269" s="5" t="b">
        <f>AND(Jnl[[#This Row],[TrxId]]&lt;&gt;"",Jnl[[#This Row],[Acct]]&lt;&gt;"",Jnl[[#This Row],[Item]]&lt;&gt;"",ISNUMBER(Jnl[[#This Row],[Bal]]))</f>
        <v>1</v>
      </c>
      <c r="J269" s="10">
        <f>IF(Jnl[[#This Row],[BSLv0]]="A",1,-1)*Jnl[[#This Row],[Bal]]</f>
        <v>-542.28</v>
      </c>
      <c r="K269" t="str">
        <f>_xlfn.XLOOKUP(Jnl[[#This Row],[Acct]], config_BS[Acct], config_BS[Lv0],,0)</f>
        <v>A</v>
      </c>
      <c r="L269" t="str">
        <f>_xlfn.XLOOKUP(Jnl[[#This Row],[Acct]], config_BS[Acct], config_BS[Lv1],,0)</f>
        <v>Assets</v>
      </c>
      <c r="M269" t="str">
        <f>_xlfn.XLOOKUP(Jnl[[#This Row],[Acct]], config_BS[Acct], config_BS[Lv2],,0)</f>
        <v>Cash alike</v>
      </c>
      <c r="N269" t="str">
        <f>_xlfn.XLOOKUP(Jnl[[#This Row],[TrxId]], Trx[Id], Trx[IncNode], ,0)</f>
        <v>Expense</v>
      </c>
      <c r="O269" t="str">
        <f>_xlfn.XLOOKUP(Jnl[[#This Row],[IncNode]], config_IS[Node], config_IS[Type],,0)</f>
        <v>Op</v>
      </c>
      <c r="P269" t="str">
        <f>_xlfn.XLOOKUP(Jnl[[#This Row],[BSLv2]], dict[Key], dict[Name],,0)</f>
        <v>0.现金及类似</v>
      </c>
      <c r="Q269" t="str">
        <f>_xlfn.XLOOKUP(Jnl[[#This Row],[Acct]], dict[Key], dict[Name],,0)</f>
        <v>银行</v>
      </c>
      <c r="R269" t="str">
        <f>_xlfn.XLOOKUP(Jnl[[#This Row],[Vehicle]],config_vehicle[Id], config_vehicle[Name],,0)</f>
        <v>染匠文化</v>
      </c>
      <c r="S269" t="str">
        <f>_xlfn.XLOOKUP(Jnl[[#This Row],[Division]],config_div[Id], config_div[Name],,0)</f>
        <v>综合管理</v>
      </c>
      <c r="T269" t="str">
        <f>IF(Jnl[[#This Row],[TrxDate]]&lt;=stmt_BS_date_end, "In", "Out")</f>
        <v>In</v>
      </c>
      <c r="U269" t="str">
        <f>IF(Jnl[[#This Row],[TrxDate]]&lt;debug_date_start, "prior", IF(Jnl[[#This Row],[TrxDate]]&gt;debug_date_end, "post", "curr"))</f>
        <v>prior</v>
      </c>
    </row>
    <row r="270" spans="1:21">
      <c r="A270" s="11" t="s">
        <v>450</v>
      </c>
      <c r="B270" s="7">
        <f>_xlfn.XLOOKUP(Jnl[[#This Row],[TrxId]], Trx[Id], Trx[Date],,0)</f>
        <v>46053</v>
      </c>
      <c r="C270" s="7" t="str">
        <f>_xlfn.XLOOKUP(Jnl[[#This Row],[TrxId]], Trx[Id], Trx[Division],,0)</f>
        <v>Ctrl</v>
      </c>
      <c r="D270" s="7" t="str">
        <f>_xlfn.XLOOKUP(Jnl[[#This Row],[TrxId]], Trx[Id], Trx[Action],,0)</f>
        <v>支付</v>
      </c>
      <c r="E270" s="26" t="s">
        <v>111</v>
      </c>
      <c r="F270" s="11" t="s">
        <v>12</v>
      </c>
      <c r="G270" s="11" t="s">
        <v>482</v>
      </c>
      <c r="H270" s="72">
        <v>-15725.69</v>
      </c>
      <c r="I270" s="5" t="b">
        <f>AND(Jnl[[#This Row],[TrxId]]&lt;&gt;"",Jnl[[#This Row],[Acct]]&lt;&gt;"",Jnl[[#This Row],[Item]]&lt;&gt;"",ISNUMBER(Jnl[[#This Row],[Bal]]))</f>
        <v>1</v>
      </c>
      <c r="J270" s="10">
        <f>IF(Jnl[[#This Row],[BSLv0]]="A",1,-1)*Jnl[[#This Row],[Bal]]</f>
        <v>-15725.69</v>
      </c>
      <c r="K270" t="str">
        <f>_xlfn.XLOOKUP(Jnl[[#This Row],[Acct]], config_BS[Acct], config_BS[Lv0],,0)</f>
        <v>A</v>
      </c>
      <c r="L270" t="str">
        <f>_xlfn.XLOOKUP(Jnl[[#This Row],[Acct]], config_BS[Acct], config_BS[Lv1],,0)</f>
        <v>Assets</v>
      </c>
      <c r="M270" t="str">
        <f>_xlfn.XLOOKUP(Jnl[[#This Row],[Acct]], config_BS[Acct], config_BS[Lv2],,0)</f>
        <v>Cash alike</v>
      </c>
      <c r="N270" t="str">
        <f>_xlfn.XLOOKUP(Jnl[[#This Row],[TrxId]], Trx[Id], Trx[IncNode], ,0)</f>
        <v>Expense</v>
      </c>
      <c r="O270" t="str">
        <f>_xlfn.XLOOKUP(Jnl[[#This Row],[IncNode]], config_IS[Node], config_IS[Type],,0)</f>
        <v>Op</v>
      </c>
      <c r="P270" t="str">
        <f>_xlfn.XLOOKUP(Jnl[[#This Row],[BSLv2]], dict[Key], dict[Name],,0)</f>
        <v>0.现金及类似</v>
      </c>
      <c r="Q270" t="str">
        <f>_xlfn.XLOOKUP(Jnl[[#This Row],[Acct]], dict[Key], dict[Name],,0)</f>
        <v>银行</v>
      </c>
      <c r="R270" t="str">
        <f>_xlfn.XLOOKUP(Jnl[[#This Row],[Vehicle]],config_vehicle[Id], config_vehicle[Name],,0)</f>
        <v>染匠文化</v>
      </c>
      <c r="S270" t="str">
        <f>_xlfn.XLOOKUP(Jnl[[#This Row],[Division]],config_div[Id], config_div[Name],,0)</f>
        <v>内控合规</v>
      </c>
      <c r="T270" t="str">
        <f>IF(Jnl[[#This Row],[TrxDate]]&lt;=stmt_BS_date_end, "In", "Out")</f>
        <v>In</v>
      </c>
      <c r="U270" t="str">
        <f>IF(Jnl[[#This Row],[TrxDate]]&lt;debug_date_start, "prior", IF(Jnl[[#This Row],[TrxDate]]&gt;debug_date_end, "post", "curr"))</f>
        <v>prior</v>
      </c>
    </row>
    <row r="271" spans="1:21">
      <c r="A271" s="11" t="s">
        <v>450</v>
      </c>
      <c r="B271" s="7">
        <f>_xlfn.XLOOKUP(Jnl[[#This Row],[TrxId]], Trx[Id], Trx[Date],,0)</f>
        <v>46053</v>
      </c>
      <c r="C271" s="7" t="str">
        <f>_xlfn.XLOOKUP(Jnl[[#This Row],[TrxId]], Trx[Id], Trx[Division],,0)</f>
        <v>Ctrl</v>
      </c>
      <c r="D271" s="7" t="str">
        <f>_xlfn.XLOOKUP(Jnl[[#This Row],[TrxId]], Trx[Id], Trx[Action],,0)</f>
        <v>支付</v>
      </c>
      <c r="E271" s="26" t="s">
        <v>111</v>
      </c>
      <c r="F271" s="11" t="s">
        <v>127</v>
      </c>
      <c r="G271" s="11" t="s">
        <v>307</v>
      </c>
      <c r="H271" s="72">
        <v>-4117.58</v>
      </c>
      <c r="I271" s="5" t="b">
        <f>AND(Jnl[[#This Row],[TrxId]]&lt;&gt;"",Jnl[[#This Row],[Acct]]&lt;&gt;"",Jnl[[#This Row],[Item]]&lt;&gt;"",ISNUMBER(Jnl[[#This Row],[Bal]]))</f>
        <v>1</v>
      </c>
      <c r="J271" s="10">
        <f>IF(Jnl[[#This Row],[BSLv0]]="A",1,-1)*Jnl[[#This Row],[Bal]]</f>
        <v>4117.58</v>
      </c>
      <c r="K271" t="str">
        <f>_xlfn.XLOOKUP(Jnl[[#This Row],[Acct]], config_BS[Acct], config_BS[Lv0],,0)</f>
        <v>LC</v>
      </c>
      <c r="L271" t="str">
        <f>_xlfn.XLOOKUP(Jnl[[#This Row],[Acct]], config_BS[Acct], config_BS[Lv1],,0)</f>
        <v>Liability</v>
      </c>
      <c r="M271" t="str">
        <f>_xlfn.XLOOKUP(Jnl[[#This Row],[Acct]], config_BS[Acct], config_BS[Lv2],,0)</f>
        <v>Rec-Pay</v>
      </c>
      <c r="N271" t="str">
        <f>_xlfn.XLOOKUP(Jnl[[#This Row],[TrxId]], Trx[Id], Trx[IncNode], ,0)</f>
        <v>Expense</v>
      </c>
      <c r="O271" t="str">
        <f>_xlfn.XLOOKUP(Jnl[[#This Row],[IncNode]], config_IS[Node], config_IS[Type],,0)</f>
        <v>Op</v>
      </c>
      <c r="P271" t="str">
        <f>_xlfn.XLOOKUP(Jnl[[#This Row],[BSLv2]], dict[Key], dict[Name],,0)</f>
        <v>1.应收-应付</v>
      </c>
      <c r="Q271" t="str">
        <f>_xlfn.XLOOKUP(Jnl[[#This Row],[Acct]], dict[Key], dict[Name],,0)</f>
        <v>应付-税款</v>
      </c>
      <c r="R271" t="str">
        <f>_xlfn.XLOOKUP(Jnl[[#This Row],[Vehicle]],config_vehicle[Id], config_vehicle[Name],,0)</f>
        <v>染匠文化</v>
      </c>
      <c r="S271" t="str">
        <f>_xlfn.XLOOKUP(Jnl[[#This Row],[Division]],config_div[Id], config_div[Name],,0)</f>
        <v>内控合规</v>
      </c>
      <c r="T271" t="str">
        <f>IF(Jnl[[#This Row],[TrxDate]]&lt;=stmt_BS_date_end, "In", "Out")</f>
        <v>In</v>
      </c>
      <c r="U271" t="str">
        <f>IF(Jnl[[#This Row],[TrxDate]]&lt;debug_date_start, "prior", IF(Jnl[[#This Row],[TrxDate]]&gt;debug_date_end, "post", "curr"))</f>
        <v>prior</v>
      </c>
    </row>
    <row r="272" spans="1:21">
      <c r="A272" s="11" t="s">
        <v>450</v>
      </c>
      <c r="B272" s="7">
        <f>_xlfn.XLOOKUP(Jnl[[#This Row],[TrxId]], Trx[Id], Trx[Date],,0)</f>
        <v>46053</v>
      </c>
      <c r="C272" s="7" t="str">
        <f>_xlfn.XLOOKUP(Jnl[[#This Row],[TrxId]], Trx[Id], Trx[Division],,0)</f>
        <v>Ctrl</v>
      </c>
      <c r="D272" s="7" t="str">
        <f>_xlfn.XLOOKUP(Jnl[[#This Row],[TrxId]], Trx[Id], Trx[Action],,0)</f>
        <v>支付</v>
      </c>
      <c r="E272" s="26" t="s">
        <v>111</v>
      </c>
      <c r="F272" s="11" t="s">
        <v>127</v>
      </c>
      <c r="G272" s="11" t="s">
        <v>348</v>
      </c>
      <c r="H272" s="72">
        <v>-205.87</v>
      </c>
      <c r="I272" s="5" t="b">
        <f>AND(Jnl[[#This Row],[TrxId]]&lt;&gt;"",Jnl[[#This Row],[Acct]]&lt;&gt;"",Jnl[[#This Row],[Item]]&lt;&gt;"",ISNUMBER(Jnl[[#This Row],[Bal]]))</f>
        <v>1</v>
      </c>
      <c r="J272" s="10">
        <f>IF(Jnl[[#This Row],[BSLv0]]="A",1,-1)*Jnl[[#This Row],[Bal]]</f>
        <v>205.87</v>
      </c>
      <c r="K272" t="str">
        <f>_xlfn.XLOOKUP(Jnl[[#This Row],[Acct]], config_BS[Acct], config_BS[Lv0],,0)</f>
        <v>LC</v>
      </c>
      <c r="L272" t="str">
        <f>_xlfn.XLOOKUP(Jnl[[#This Row],[Acct]], config_BS[Acct], config_BS[Lv1],,0)</f>
        <v>Liability</v>
      </c>
      <c r="M272" t="str">
        <f>_xlfn.XLOOKUP(Jnl[[#This Row],[Acct]], config_BS[Acct], config_BS[Lv2],,0)</f>
        <v>Rec-Pay</v>
      </c>
      <c r="N272" t="str">
        <f>_xlfn.XLOOKUP(Jnl[[#This Row],[TrxId]], Trx[Id], Trx[IncNode], ,0)</f>
        <v>Expense</v>
      </c>
      <c r="O272" t="str">
        <f>_xlfn.XLOOKUP(Jnl[[#This Row],[IncNode]], config_IS[Node], config_IS[Type],,0)</f>
        <v>Op</v>
      </c>
      <c r="P272" t="str">
        <f>_xlfn.XLOOKUP(Jnl[[#This Row],[BSLv2]], dict[Key], dict[Name],,0)</f>
        <v>1.应收-应付</v>
      </c>
      <c r="Q272" t="str">
        <f>_xlfn.XLOOKUP(Jnl[[#This Row],[Acct]], dict[Key], dict[Name],,0)</f>
        <v>应付-税款</v>
      </c>
      <c r="R272" t="str">
        <f>_xlfn.XLOOKUP(Jnl[[#This Row],[Vehicle]],config_vehicle[Id], config_vehicle[Name],,0)</f>
        <v>染匠文化</v>
      </c>
      <c r="S272" t="str">
        <f>_xlfn.XLOOKUP(Jnl[[#This Row],[Division]],config_div[Id], config_div[Name],,0)</f>
        <v>内控合规</v>
      </c>
      <c r="T272" t="str">
        <f>IF(Jnl[[#This Row],[TrxDate]]&lt;=stmt_BS_date_end, "In", "Out")</f>
        <v>In</v>
      </c>
      <c r="U272" t="str">
        <f>IF(Jnl[[#This Row],[TrxDate]]&lt;debug_date_start, "prior", IF(Jnl[[#This Row],[TrxDate]]&gt;debug_date_end, "post", "curr"))</f>
        <v>prior</v>
      </c>
    </row>
    <row r="273" spans="1:21">
      <c r="A273" s="11" t="s">
        <v>450</v>
      </c>
      <c r="B273" s="7">
        <f>_xlfn.XLOOKUP(Jnl[[#This Row],[TrxId]], Trx[Id], Trx[Date],,0)</f>
        <v>46053</v>
      </c>
      <c r="C273" s="7" t="str">
        <f>_xlfn.XLOOKUP(Jnl[[#This Row],[TrxId]], Trx[Id], Trx[Division],,0)</f>
        <v>Ctrl</v>
      </c>
      <c r="D273" s="7" t="str">
        <f>_xlfn.XLOOKUP(Jnl[[#This Row],[TrxId]], Trx[Id], Trx[Action],,0)</f>
        <v>支付</v>
      </c>
      <c r="E273" s="26" t="s">
        <v>111</v>
      </c>
      <c r="F273" s="11" t="s">
        <v>127</v>
      </c>
      <c r="G273" s="11" t="s">
        <v>349</v>
      </c>
      <c r="H273" s="72">
        <v>-2.96</v>
      </c>
      <c r="I273" s="5" t="b">
        <f>AND(Jnl[[#This Row],[TrxId]]&lt;&gt;"",Jnl[[#This Row],[Acct]]&lt;&gt;"",Jnl[[#This Row],[Item]]&lt;&gt;"",ISNUMBER(Jnl[[#This Row],[Bal]]))</f>
        <v>1</v>
      </c>
      <c r="J273" s="10">
        <f>IF(Jnl[[#This Row],[BSLv0]]="A",1,-1)*Jnl[[#This Row],[Bal]]</f>
        <v>2.96</v>
      </c>
      <c r="K273" t="str">
        <f>_xlfn.XLOOKUP(Jnl[[#This Row],[Acct]], config_BS[Acct], config_BS[Lv0],,0)</f>
        <v>LC</v>
      </c>
      <c r="L273" t="str">
        <f>_xlfn.XLOOKUP(Jnl[[#This Row],[Acct]], config_BS[Acct], config_BS[Lv1],,0)</f>
        <v>Liability</v>
      </c>
      <c r="M273" t="str">
        <f>_xlfn.XLOOKUP(Jnl[[#This Row],[Acct]], config_BS[Acct], config_BS[Lv2],,0)</f>
        <v>Rec-Pay</v>
      </c>
      <c r="N273" t="str">
        <f>_xlfn.XLOOKUP(Jnl[[#This Row],[TrxId]], Trx[Id], Trx[IncNode], ,0)</f>
        <v>Expense</v>
      </c>
      <c r="O273" t="str">
        <f>_xlfn.XLOOKUP(Jnl[[#This Row],[IncNode]], config_IS[Node], config_IS[Type],,0)</f>
        <v>Op</v>
      </c>
      <c r="P273" t="str">
        <f>_xlfn.XLOOKUP(Jnl[[#This Row],[BSLv2]], dict[Key], dict[Name],,0)</f>
        <v>1.应收-应付</v>
      </c>
      <c r="Q273" t="str">
        <f>_xlfn.XLOOKUP(Jnl[[#This Row],[Acct]], dict[Key], dict[Name],,0)</f>
        <v>应付-税款</v>
      </c>
      <c r="R273" t="str">
        <f>_xlfn.XLOOKUP(Jnl[[#This Row],[Vehicle]],config_vehicle[Id], config_vehicle[Name],,0)</f>
        <v>染匠文化</v>
      </c>
      <c r="S273" t="str">
        <f>_xlfn.XLOOKUP(Jnl[[#This Row],[Division]],config_div[Id], config_div[Name],,0)</f>
        <v>内控合规</v>
      </c>
      <c r="T273" t="str">
        <f>IF(Jnl[[#This Row],[TrxDate]]&lt;=stmt_BS_date_end, "In", "Out")</f>
        <v>In</v>
      </c>
      <c r="U273" t="str">
        <f>IF(Jnl[[#This Row],[TrxDate]]&lt;debug_date_start, "prior", IF(Jnl[[#This Row],[TrxDate]]&gt;debug_date_end, "post", "curr"))</f>
        <v>prior</v>
      </c>
    </row>
    <row r="274" spans="1:21">
      <c r="A274" s="11" t="s">
        <v>450</v>
      </c>
      <c r="B274" s="7">
        <f>_xlfn.XLOOKUP(Jnl[[#This Row],[TrxId]], Trx[Id], Trx[Date],,0)</f>
        <v>46053</v>
      </c>
      <c r="C274" s="7" t="str">
        <f>_xlfn.XLOOKUP(Jnl[[#This Row],[TrxId]], Trx[Id], Trx[Division],,0)</f>
        <v>Ctrl</v>
      </c>
      <c r="D274" s="7" t="str">
        <f>_xlfn.XLOOKUP(Jnl[[#This Row],[TrxId]], Trx[Id], Trx[Action],,0)</f>
        <v>支付</v>
      </c>
      <c r="E274" s="26" t="s">
        <v>111</v>
      </c>
      <c r="F274" s="11" t="s">
        <v>127</v>
      </c>
      <c r="G274" s="11" t="s">
        <v>347</v>
      </c>
      <c r="H274" s="72">
        <v>-11399.28</v>
      </c>
      <c r="I274" s="5" t="b">
        <f>AND(Jnl[[#This Row],[TrxId]]&lt;&gt;"",Jnl[[#This Row],[Acct]]&lt;&gt;"",Jnl[[#This Row],[Item]]&lt;&gt;"",ISNUMBER(Jnl[[#This Row],[Bal]]))</f>
        <v>1</v>
      </c>
      <c r="J274" s="10">
        <f>IF(Jnl[[#This Row],[BSLv0]]="A",1,-1)*Jnl[[#This Row],[Bal]]</f>
        <v>11399.28</v>
      </c>
      <c r="K274" t="str">
        <f>_xlfn.XLOOKUP(Jnl[[#This Row],[Acct]], config_BS[Acct], config_BS[Lv0],,0)</f>
        <v>LC</v>
      </c>
      <c r="L274" t="str">
        <f>_xlfn.XLOOKUP(Jnl[[#This Row],[Acct]], config_BS[Acct], config_BS[Lv1],,0)</f>
        <v>Liability</v>
      </c>
      <c r="M274" t="str">
        <f>_xlfn.XLOOKUP(Jnl[[#This Row],[Acct]], config_BS[Acct], config_BS[Lv2],,0)</f>
        <v>Rec-Pay</v>
      </c>
      <c r="N274" t="str">
        <f>_xlfn.XLOOKUP(Jnl[[#This Row],[TrxId]], Trx[Id], Trx[IncNode], ,0)</f>
        <v>Expense</v>
      </c>
      <c r="O274" t="str">
        <f>_xlfn.XLOOKUP(Jnl[[#This Row],[IncNode]], config_IS[Node], config_IS[Type],,0)</f>
        <v>Op</v>
      </c>
      <c r="P274" t="str">
        <f>_xlfn.XLOOKUP(Jnl[[#This Row],[BSLv2]], dict[Key], dict[Name],,0)</f>
        <v>1.应收-应付</v>
      </c>
      <c r="Q274" t="str">
        <f>_xlfn.XLOOKUP(Jnl[[#This Row],[Acct]], dict[Key], dict[Name],,0)</f>
        <v>应付-税款</v>
      </c>
      <c r="R274" t="str">
        <f>_xlfn.XLOOKUP(Jnl[[#This Row],[Vehicle]],config_vehicle[Id], config_vehicle[Name],,0)</f>
        <v>染匠文化</v>
      </c>
      <c r="S274" t="str">
        <f>_xlfn.XLOOKUP(Jnl[[#This Row],[Division]],config_div[Id], config_div[Name],,0)</f>
        <v>内控合规</v>
      </c>
      <c r="T274" t="str">
        <f>IF(Jnl[[#This Row],[TrxDate]]&lt;=stmt_BS_date_end, "In", "Out")</f>
        <v>In</v>
      </c>
      <c r="U274" t="str">
        <f>IF(Jnl[[#This Row],[TrxDate]]&lt;debug_date_start, "prior", IF(Jnl[[#This Row],[TrxDate]]&gt;debug_date_end, "post", "curr"))</f>
        <v>prior</v>
      </c>
    </row>
    <row r="275" spans="1:21">
      <c r="A275" s="11" t="s">
        <v>452</v>
      </c>
      <c r="B275" s="7">
        <f>_xlfn.XLOOKUP(Jnl[[#This Row],[TrxId]], Trx[Id], Trx[Date],,0)</f>
        <v>46053</v>
      </c>
      <c r="C275" s="7" t="str">
        <f>_xlfn.XLOOKUP(Jnl[[#This Row],[TrxId]], Trx[Id], Trx[Division],,0)</f>
        <v>Zhuse</v>
      </c>
      <c r="D275" s="7" t="str">
        <f>_xlfn.XLOOKUP(Jnl[[#This Row],[TrxId]], Trx[Id], Trx[Action],,0)</f>
        <v>其他销售</v>
      </c>
      <c r="E275" s="26" t="s">
        <v>111</v>
      </c>
      <c r="F275" s="11" t="s">
        <v>12</v>
      </c>
      <c r="G275" s="11" t="s">
        <v>482</v>
      </c>
      <c r="H275" s="72">
        <v>495.53</v>
      </c>
      <c r="I275" s="5" t="b">
        <f>AND(Jnl[[#This Row],[TrxId]]&lt;&gt;"",Jnl[[#This Row],[Acct]]&lt;&gt;"",Jnl[[#This Row],[Item]]&lt;&gt;"",ISNUMBER(Jnl[[#This Row],[Bal]]))</f>
        <v>1</v>
      </c>
      <c r="J275" s="10">
        <f>IF(Jnl[[#This Row],[BSLv0]]="A",1,-1)*Jnl[[#This Row],[Bal]]</f>
        <v>495.53</v>
      </c>
      <c r="K275" t="str">
        <f>_xlfn.XLOOKUP(Jnl[[#This Row],[Acct]], config_BS[Acct], config_BS[Lv0],,0)</f>
        <v>A</v>
      </c>
      <c r="L275" t="str">
        <f>_xlfn.XLOOKUP(Jnl[[#This Row],[Acct]], config_BS[Acct], config_BS[Lv1],,0)</f>
        <v>Assets</v>
      </c>
      <c r="M275" t="str">
        <f>_xlfn.XLOOKUP(Jnl[[#This Row],[Acct]], config_BS[Acct], config_BS[Lv2],,0)</f>
        <v>Cash alike</v>
      </c>
      <c r="N275" t="str">
        <f>_xlfn.XLOOKUP(Jnl[[#This Row],[TrxId]], Trx[Id], Trx[IncNode], ,0)</f>
        <v>Revenue</v>
      </c>
      <c r="O275" t="str">
        <f>_xlfn.XLOOKUP(Jnl[[#This Row],[IncNode]], config_IS[Node], config_IS[Type],,0)</f>
        <v>Op</v>
      </c>
      <c r="P275" t="str">
        <f>_xlfn.XLOOKUP(Jnl[[#This Row],[BSLv2]], dict[Key], dict[Name],,0)</f>
        <v>0.现金及类似</v>
      </c>
      <c r="Q275" t="str">
        <f>_xlfn.XLOOKUP(Jnl[[#This Row],[Acct]], dict[Key], dict[Name],,0)</f>
        <v>银行</v>
      </c>
      <c r="R275" t="str">
        <f>_xlfn.XLOOKUP(Jnl[[#This Row],[Vehicle]],config_vehicle[Id], config_vehicle[Name],,0)</f>
        <v>染匠文化</v>
      </c>
      <c r="S275" t="str">
        <f>_xlfn.XLOOKUP(Jnl[[#This Row],[Division]],config_div[Id], config_div[Name],,0)</f>
        <v>驻色</v>
      </c>
      <c r="T275" t="str">
        <f>IF(Jnl[[#This Row],[TrxDate]]&lt;=stmt_BS_date_end, "In", "Out")</f>
        <v>In</v>
      </c>
      <c r="U275" t="str">
        <f>IF(Jnl[[#This Row],[TrxDate]]&lt;debug_date_start, "prior", IF(Jnl[[#This Row],[TrxDate]]&gt;debug_date_end, "post", "curr"))</f>
        <v>prior</v>
      </c>
    </row>
    <row r="276" spans="1:21">
      <c r="A276" s="11" t="s">
        <v>454</v>
      </c>
      <c r="B276" s="7">
        <f>_xlfn.XLOOKUP(Jnl[[#This Row],[TrxId]], Trx[Id], Trx[Date],,0)</f>
        <v>46053</v>
      </c>
      <c r="C276" s="7" t="str">
        <f>_xlfn.XLOOKUP(Jnl[[#This Row],[TrxId]], Trx[Id], Trx[Division],,0)</f>
        <v>Online</v>
      </c>
      <c r="D276" s="7" t="str">
        <f>_xlfn.XLOOKUP(Jnl[[#This Row],[TrxId]], Trx[Id], Trx[Action],,0)</f>
        <v>增值税</v>
      </c>
      <c r="E276" s="26" t="s">
        <v>84</v>
      </c>
      <c r="F276" s="11" t="s">
        <v>127</v>
      </c>
      <c r="G276" s="11" t="s">
        <v>307</v>
      </c>
      <c r="H276" s="72">
        <v>3367.39</v>
      </c>
      <c r="I276" s="5" t="b">
        <f>AND(Jnl[[#This Row],[TrxId]]&lt;&gt;"",Jnl[[#This Row],[Acct]]&lt;&gt;"",Jnl[[#This Row],[Item]]&lt;&gt;"",ISNUMBER(Jnl[[#This Row],[Bal]]))</f>
        <v>1</v>
      </c>
      <c r="J276" s="10">
        <f>IF(Jnl[[#This Row],[BSLv0]]="A",1,-1)*Jnl[[#This Row],[Bal]]</f>
        <v>-3367.39</v>
      </c>
      <c r="K276" t="str">
        <f>_xlfn.XLOOKUP(Jnl[[#This Row],[Acct]], config_BS[Acct], config_BS[Lv0],,0)</f>
        <v>LC</v>
      </c>
      <c r="L276" t="str">
        <f>_xlfn.XLOOKUP(Jnl[[#This Row],[Acct]], config_BS[Acct], config_BS[Lv1],,0)</f>
        <v>Liability</v>
      </c>
      <c r="M276" t="str">
        <f>_xlfn.XLOOKUP(Jnl[[#This Row],[Acct]], config_BS[Acct], config_BS[Lv2],,0)</f>
        <v>Rec-Pay</v>
      </c>
      <c r="N276" t="str">
        <f>_xlfn.XLOOKUP(Jnl[[#This Row],[TrxId]], Trx[Id], Trx[IncNode], ,0)</f>
        <v>Cost</v>
      </c>
      <c r="O276" t="str">
        <f>_xlfn.XLOOKUP(Jnl[[#This Row],[IncNode]], config_IS[Node], config_IS[Type],,0)</f>
        <v>Op</v>
      </c>
      <c r="P276" t="str">
        <f>_xlfn.XLOOKUP(Jnl[[#This Row],[BSLv2]], dict[Key], dict[Name],,0)</f>
        <v>1.应收-应付</v>
      </c>
      <c r="Q276" t="str">
        <f>_xlfn.XLOOKUP(Jnl[[#This Row],[Acct]], dict[Key], dict[Name],,0)</f>
        <v>应付-税款</v>
      </c>
      <c r="R276" t="str">
        <f>_xlfn.XLOOKUP(Jnl[[#This Row],[Vehicle]],config_vehicle[Id], config_vehicle[Name],,0)</f>
        <v>榆乐</v>
      </c>
      <c r="S276" t="str">
        <f>_xlfn.XLOOKUP(Jnl[[#This Row],[Division]],config_div[Id], config_div[Name],,0)</f>
        <v>网店</v>
      </c>
      <c r="T276" t="str">
        <f>IF(Jnl[[#This Row],[TrxDate]]&lt;=stmt_BS_date_end, "In", "Out")</f>
        <v>In</v>
      </c>
      <c r="U276" t="str">
        <f>IF(Jnl[[#This Row],[TrxDate]]&lt;debug_date_start, "prior", IF(Jnl[[#This Row],[TrxDate]]&gt;debug_date_end, "post", "curr"))</f>
        <v>prior</v>
      </c>
    </row>
    <row r="277" spans="1:21">
      <c r="A277" s="11" t="s">
        <v>456</v>
      </c>
      <c r="B277" s="7">
        <f>_xlfn.XLOOKUP(Jnl[[#This Row],[TrxId]], Trx[Id], Trx[Date],,0)</f>
        <v>46053</v>
      </c>
      <c r="C277" s="7" t="str">
        <f>_xlfn.XLOOKUP(Jnl[[#This Row],[TrxId]], Trx[Id], Trx[Division],,0)</f>
        <v>GM</v>
      </c>
      <c r="D277" s="7" t="str">
        <f>_xlfn.XLOOKUP(Jnl[[#This Row],[TrxId]], Trx[Id], Trx[Action],,0)</f>
        <v>补贴</v>
      </c>
      <c r="E277" s="26" t="s">
        <v>111</v>
      </c>
      <c r="F277" s="11" t="s">
        <v>12</v>
      </c>
      <c r="G277" s="11" t="s">
        <v>482</v>
      </c>
      <c r="H277" s="72">
        <v>93.81</v>
      </c>
      <c r="I277" s="5" t="b">
        <f>AND(Jnl[[#This Row],[TrxId]]&lt;&gt;"",Jnl[[#This Row],[Acct]]&lt;&gt;"",Jnl[[#This Row],[Item]]&lt;&gt;"",ISNUMBER(Jnl[[#This Row],[Bal]]))</f>
        <v>1</v>
      </c>
      <c r="J277" s="10">
        <f>IF(Jnl[[#This Row],[BSLv0]]="A",1,-1)*Jnl[[#This Row],[Bal]]</f>
        <v>93.81</v>
      </c>
      <c r="K277" t="str">
        <f>_xlfn.XLOOKUP(Jnl[[#This Row],[Acct]], config_BS[Acct], config_BS[Lv0],,0)</f>
        <v>A</v>
      </c>
      <c r="L277" t="str">
        <f>_xlfn.XLOOKUP(Jnl[[#This Row],[Acct]], config_BS[Acct], config_BS[Lv1],,0)</f>
        <v>Assets</v>
      </c>
      <c r="M277" t="str">
        <f>_xlfn.XLOOKUP(Jnl[[#This Row],[Acct]], config_BS[Acct], config_BS[Lv2],,0)</f>
        <v>Cash alike</v>
      </c>
      <c r="N277" t="str">
        <f>_xlfn.XLOOKUP(Jnl[[#This Row],[TrxId]], Trx[Id], Trx[IncNode], ,0)</f>
        <v>Other</v>
      </c>
      <c r="O277" t="str">
        <f>_xlfn.XLOOKUP(Jnl[[#This Row],[IncNode]], config_IS[Node], config_IS[Type],,0)</f>
        <v>Non-Op</v>
      </c>
      <c r="P277" t="str">
        <f>_xlfn.XLOOKUP(Jnl[[#This Row],[BSLv2]], dict[Key], dict[Name],,0)</f>
        <v>0.现金及类似</v>
      </c>
      <c r="Q277" t="str">
        <f>_xlfn.XLOOKUP(Jnl[[#This Row],[Acct]], dict[Key], dict[Name],,0)</f>
        <v>银行</v>
      </c>
      <c r="R277" t="str">
        <f>_xlfn.XLOOKUP(Jnl[[#This Row],[Vehicle]],config_vehicle[Id], config_vehicle[Name],,0)</f>
        <v>染匠文化</v>
      </c>
      <c r="S277" t="str">
        <f>_xlfn.XLOOKUP(Jnl[[#This Row],[Division]],config_div[Id], config_div[Name],,0)</f>
        <v>综合管理</v>
      </c>
      <c r="T277" t="str">
        <f>IF(Jnl[[#This Row],[TrxDate]]&lt;=stmt_BS_date_end, "In", "Out")</f>
        <v>In</v>
      </c>
      <c r="U277" t="str">
        <f>IF(Jnl[[#This Row],[TrxDate]]&lt;debug_date_start, "prior", IF(Jnl[[#This Row],[TrxDate]]&gt;debug_date_end, "post", "curr"))</f>
        <v>prior</v>
      </c>
    </row>
    <row r="278" spans="1:21">
      <c r="A278" s="11" t="s">
        <v>457</v>
      </c>
      <c r="B278" s="7">
        <f>_xlfn.XLOOKUP(Jnl[[#This Row],[TrxId]], Trx[Id], Trx[Date],,0)</f>
        <v>46053</v>
      </c>
      <c r="C278" s="7" t="str">
        <f>_xlfn.XLOOKUP(Jnl[[#This Row],[TrxId]], Trx[Id], Trx[Division],,0)</f>
        <v>Zhuse</v>
      </c>
      <c r="D278" s="7" t="str">
        <f>_xlfn.XLOOKUP(Jnl[[#This Row],[TrxId]], Trx[Id], Trx[Action],,0)</f>
        <v>增值税</v>
      </c>
      <c r="E278" s="26" t="s">
        <v>111</v>
      </c>
      <c r="F278" s="11" t="s">
        <v>127</v>
      </c>
      <c r="G278" s="11" t="s">
        <v>307</v>
      </c>
      <c r="H278" s="72">
        <v>0.93</v>
      </c>
      <c r="I278" s="5" t="b">
        <f>AND(Jnl[[#This Row],[TrxId]]&lt;&gt;"",Jnl[[#This Row],[Acct]]&lt;&gt;"",Jnl[[#This Row],[Item]]&lt;&gt;"",ISNUMBER(Jnl[[#This Row],[Bal]]))</f>
        <v>1</v>
      </c>
      <c r="J278" s="10">
        <f>IF(Jnl[[#This Row],[BSLv0]]="A",1,-1)*Jnl[[#This Row],[Bal]]</f>
        <v>-0.93</v>
      </c>
      <c r="K278" t="str">
        <f>_xlfn.XLOOKUP(Jnl[[#This Row],[Acct]], config_BS[Acct], config_BS[Lv0],,0)</f>
        <v>LC</v>
      </c>
      <c r="L278" t="str">
        <f>_xlfn.XLOOKUP(Jnl[[#This Row],[Acct]], config_BS[Acct], config_BS[Lv1],,0)</f>
        <v>Liability</v>
      </c>
      <c r="M278" t="str">
        <f>_xlfn.XLOOKUP(Jnl[[#This Row],[Acct]], config_BS[Acct], config_BS[Lv2],,0)</f>
        <v>Rec-Pay</v>
      </c>
      <c r="N278" t="str">
        <f>_xlfn.XLOOKUP(Jnl[[#This Row],[TrxId]], Trx[Id], Trx[IncNode], ,0)</f>
        <v>Cost</v>
      </c>
      <c r="O278" t="str">
        <f>_xlfn.XLOOKUP(Jnl[[#This Row],[IncNode]], config_IS[Node], config_IS[Type],,0)</f>
        <v>Op</v>
      </c>
      <c r="P278" t="str">
        <f>_xlfn.XLOOKUP(Jnl[[#This Row],[BSLv2]], dict[Key], dict[Name],,0)</f>
        <v>1.应收-应付</v>
      </c>
      <c r="Q278" t="str">
        <f>_xlfn.XLOOKUP(Jnl[[#This Row],[Acct]], dict[Key], dict[Name],,0)</f>
        <v>应付-税款</v>
      </c>
      <c r="R278" t="str">
        <f>_xlfn.XLOOKUP(Jnl[[#This Row],[Vehicle]],config_vehicle[Id], config_vehicle[Name],,0)</f>
        <v>染匠文化</v>
      </c>
      <c r="S278" t="str">
        <f>_xlfn.XLOOKUP(Jnl[[#This Row],[Division]],config_div[Id], config_div[Name],,0)</f>
        <v>驻色</v>
      </c>
      <c r="T278" t="str">
        <f>IF(Jnl[[#This Row],[TrxDate]]&lt;=stmt_BS_date_end, "In", "Out")</f>
        <v>In</v>
      </c>
      <c r="U278" t="str">
        <f>IF(Jnl[[#This Row],[TrxDate]]&lt;debug_date_start, "prior", IF(Jnl[[#This Row],[TrxDate]]&gt;debug_date_end, "post", "curr"))</f>
        <v>prior</v>
      </c>
    </row>
    <row r="279" spans="1:21">
      <c r="A279" s="11" t="s">
        <v>459</v>
      </c>
      <c r="B279" s="7">
        <f>_xlfn.XLOOKUP(Jnl[[#This Row],[TrxId]], Trx[Id], Trx[Date],,0)</f>
        <v>46053</v>
      </c>
      <c r="C279" s="7" t="str">
        <f>_xlfn.XLOOKUP(Jnl[[#This Row],[TrxId]], Trx[Id], Trx[Division],,0)</f>
        <v>GM</v>
      </c>
      <c r="D279" s="7" t="str">
        <f>_xlfn.XLOOKUP(Jnl[[#This Row],[TrxId]], Trx[Id], Trx[Action],,0)</f>
        <v>福利</v>
      </c>
      <c r="E279" s="26" t="s">
        <v>111</v>
      </c>
      <c r="F279" s="11" t="s">
        <v>12</v>
      </c>
      <c r="G279" s="11" t="s">
        <v>482</v>
      </c>
      <c r="H279" s="72">
        <v>-164.54</v>
      </c>
      <c r="I279" s="5" t="b">
        <f>AND(Jnl[[#This Row],[TrxId]]&lt;&gt;"",Jnl[[#This Row],[Acct]]&lt;&gt;"",Jnl[[#This Row],[Item]]&lt;&gt;"",ISNUMBER(Jnl[[#This Row],[Bal]]))</f>
        <v>1</v>
      </c>
      <c r="J279" s="10">
        <f>IF(Jnl[[#This Row],[BSLv0]]="A",1,-1)*Jnl[[#This Row],[Bal]]</f>
        <v>-164.54</v>
      </c>
      <c r="K279" t="str">
        <f>_xlfn.XLOOKUP(Jnl[[#This Row],[Acct]], config_BS[Acct], config_BS[Lv0],,0)</f>
        <v>A</v>
      </c>
      <c r="L279" t="str">
        <f>_xlfn.XLOOKUP(Jnl[[#This Row],[Acct]], config_BS[Acct], config_BS[Lv1],,0)</f>
        <v>Assets</v>
      </c>
      <c r="M279" t="str">
        <f>_xlfn.XLOOKUP(Jnl[[#This Row],[Acct]], config_BS[Acct], config_BS[Lv2],,0)</f>
        <v>Cash alike</v>
      </c>
      <c r="N279" t="str">
        <f>_xlfn.XLOOKUP(Jnl[[#This Row],[TrxId]], Trx[Id], Trx[IncNode], ,0)</f>
        <v>Expense</v>
      </c>
      <c r="O279" t="str">
        <f>_xlfn.XLOOKUP(Jnl[[#This Row],[IncNode]], config_IS[Node], config_IS[Type],,0)</f>
        <v>Op</v>
      </c>
      <c r="P279" t="str">
        <f>_xlfn.XLOOKUP(Jnl[[#This Row],[BSLv2]], dict[Key], dict[Name],,0)</f>
        <v>0.现金及类似</v>
      </c>
      <c r="Q279" t="str">
        <f>_xlfn.XLOOKUP(Jnl[[#This Row],[Acct]], dict[Key], dict[Name],,0)</f>
        <v>银行</v>
      </c>
      <c r="R279" t="str">
        <f>_xlfn.XLOOKUP(Jnl[[#This Row],[Vehicle]],config_vehicle[Id], config_vehicle[Name],,0)</f>
        <v>染匠文化</v>
      </c>
      <c r="S279" t="str">
        <f>_xlfn.XLOOKUP(Jnl[[#This Row],[Division]],config_div[Id], config_div[Name],,0)</f>
        <v>综合管理</v>
      </c>
      <c r="T279" t="str">
        <f>IF(Jnl[[#This Row],[TrxDate]]&lt;=stmt_BS_date_end, "In", "Out")</f>
        <v>In</v>
      </c>
      <c r="U279" t="str">
        <f>IF(Jnl[[#This Row],[TrxDate]]&lt;debug_date_start, "prior", IF(Jnl[[#This Row],[TrxDate]]&gt;debug_date_end, "post", "curr"))</f>
        <v>prior</v>
      </c>
    </row>
    <row r="280" spans="1:21">
      <c r="A280" s="11" t="s">
        <v>461</v>
      </c>
      <c r="B280" s="7">
        <f>_xlfn.XLOOKUP(Jnl[[#This Row],[TrxId]], Trx[Id], Trx[Date],,0)</f>
        <v>46053</v>
      </c>
      <c r="C280" s="7" t="str">
        <f>_xlfn.XLOOKUP(Jnl[[#This Row],[TrxId]], Trx[Id], Trx[Division],,0)</f>
        <v>GM</v>
      </c>
      <c r="D280" s="7" t="str">
        <f>_xlfn.XLOOKUP(Jnl[[#This Row],[TrxId]], Trx[Id], Trx[Action],,0)</f>
        <v>办公</v>
      </c>
      <c r="E280" s="26" t="s">
        <v>111</v>
      </c>
      <c r="F280" s="11" t="s">
        <v>12</v>
      </c>
      <c r="G280" s="11" t="s">
        <v>482</v>
      </c>
      <c r="H280" s="72">
        <v>-2953.64</v>
      </c>
      <c r="I280" s="5" t="b">
        <f>AND(Jnl[[#This Row],[TrxId]]&lt;&gt;"",Jnl[[#This Row],[Acct]]&lt;&gt;"",Jnl[[#This Row],[Item]]&lt;&gt;"",ISNUMBER(Jnl[[#This Row],[Bal]]))</f>
        <v>1</v>
      </c>
      <c r="J280" s="10">
        <f>IF(Jnl[[#This Row],[BSLv0]]="A",1,-1)*Jnl[[#This Row],[Bal]]</f>
        <v>-2953.64</v>
      </c>
      <c r="K280" t="str">
        <f>_xlfn.XLOOKUP(Jnl[[#This Row],[Acct]], config_BS[Acct], config_BS[Lv0],,0)</f>
        <v>A</v>
      </c>
      <c r="L280" t="str">
        <f>_xlfn.XLOOKUP(Jnl[[#This Row],[Acct]], config_BS[Acct], config_BS[Lv1],,0)</f>
        <v>Assets</v>
      </c>
      <c r="M280" t="str">
        <f>_xlfn.XLOOKUP(Jnl[[#This Row],[Acct]], config_BS[Acct], config_BS[Lv2],,0)</f>
        <v>Cash alike</v>
      </c>
      <c r="N280" t="str">
        <f>_xlfn.XLOOKUP(Jnl[[#This Row],[TrxId]], Trx[Id], Trx[IncNode], ,0)</f>
        <v>Expense</v>
      </c>
      <c r="O280" t="str">
        <f>_xlfn.XLOOKUP(Jnl[[#This Row],[IncNode]], config_IS[Node], config_IS[Type],,0)</f>
        <v>Op</v>
      </c>
      <c r="P280" t="str">
        <f>_xlfn.XLOOKUP(Jnl[[#This Row],[BSLv2]], dict[Key], dict[Name],,0)</f>
        <v>0.现金及类似</v>
      </c>
      <c r="Q280" t="str">
        <f>_xlfn.XLOOKUP(Jnl[[#This Row],[Acct]], dict[Key], dict[Name],,0)</f>
        <v>银行</v>
      </c>
      <c r="R280" t="str">
        <f>_xlfn.XLOOKUP(Jnl[[#This Row],[Vehicle]],config_vehicle[Id], config_vehicle[Name],,0)</f>
        <v>染匠文化</v>
      </c>
      <c r="S280" t="str">
        <f>_xlfn.XLOOKUP(Jnl[[#This Row],[Division]],config_div[Id], config_div[Name],,0)</f>
        <v>综合管理</v>
      </c>
      <c r="T280" t="str">
        <f>IF(Jnl[[#This Row],[TrxDate]]&lt;=stmt_BS_date_end, "In", "Out")</f>
        <v>In</v>
      </c>
      <c r="U280" t="str">
        <f>IF(Jnl[[#This Row],[TrxDate]]&lt;debug_date_start, "prior", IF(Jnl[[#This Row],[TrxDate]]&gt;debug_date_end, "post", "curr"))</f>
        <v>prior</v>
      </c>
    </row>
    <row r="281" spans="1:21">
      <c r="A281" s="11" t="s">
        <v>463</v>
      </c>
      <c r="B281" s="7">
        <f>_xlfn.XLOOKUP(Jnl[[#This Row],[TrxId]], Trx[Id], Trx[Date],,0)</f>
        <v>46053</v>
      </c>
      <c r="C281" s="7" t="str">
        <f>_xlfn.XLOOKUP(Jnl[[#This Row],[TrxId]], Trx[Id], Trx[Division],,0)</f>
        <v>GM</v>
      </c>
      <c r="D281" s="7" t="str">
        <f>_xlfn.XLOOKUP(Jnl[[#This Row],[TrxId]], Trx[Id], Trx[Action],,0)</f>
        <v>办公</v>
      </c>
      <c r="E281" s="26" t="s">
        <v>111</v>
      </c>
      <c r="F281" s="11" t="s">
        <v>12</v>
      </c>
      <c r="G281" s="11" t="s">
        <v>482</v>
      </c>
      <c r="H281" s="72">
        <v>-462.08</v>
      </c>
      <c r="I281" s="5" t="b">
        <f>AND(Jnl[[#This Row],[TrxId]]&lt;&gt;"",Jnl[[#This Row],[Acct]]&lt;&gt;"",Jnl[[#This Row],[Item]]&lt;&gt;"",ISNUMBER(Jnl[[#This Row],[Bal]]))</f>
        <v>1</v>
      </c>
      <c r="J281" s="10">
        <f>IF(Jnl[[#This Row],[BSLv0]]="A",1,-1)*Jnl[[#This Row],[Bal]]</f>
        <v>-462.08</v>
      </c>
      <c r="K281" t="str">
        <f>_xlfn.XLOOKUP(Jnl[[#This Row],[Acct]], config_BS[Acct], config_BS[Lv0],,0)</f>
        <v>A</v>
      </c>
      <c r="L281" t="str">
        <f>_xlfn.XLOOKUP(Jnl[[#This Row],[Acct]], config_BS[Acct], config_BS[Lv1],,0)</f>
        <v>Assets</v>
      </c>
      <c r="M281" t="str">
        <f>_xlfn.XLOOKUP(Jnl[[#This Row],[Acct]], config_BS[Acct], config_BS[Lv2],,0)</f>
        <v>Cash alike</v>
      </c>
      <c r="N281" t="str">
        <f>_xlfn.XLOOKUP(Jnl[[#This Row],[TrxId]], Trx[Id], Trx[IncNode], ,0)</f>
        <v>Expense</v>
      </c>
      <c r="O281" t="str">
        <f>_xlfn.XLOOKUP(Jnl[[#This Row],[IncNode]], config_IS[Node], config_IS[Type],,0)</f>
        <v>Op</v>
      </c>
      <c r="P281" t="str">
        <f>_xlfn.XLOOKUP(Jnl[[#This Row],[BSLv2]], dict[Key], dict[Name],,0)</f>
        <v>0.现金及类似</v>
      </c>
      <c r="Q281" t="str">
        <f>_xlfn.XLOOKUP(Jnl[[#This Row],[Acct]], dict[Key], dict[Name],,0)</f>
        <v>银行</v>
      </c>
      <c r="R281" t="str">
        <f>_xlfn.XLOOKUP(Jnl[[#This Row],[Vehicle]],config_vehicle[Id], config_vehicle[Name],,0)</f>
        <v>染匠文化</v>
      </c>
      <c r="S281" t="str">
        <f>_xlfn.XLOOKUP(Jnl[[#This Row],[Division]],config_div[Id], config_div[Name],,0)</f>
        <v>综合管理</v>
      </c>
      <c r="T281" t="str">
        <f>IF(Jnl[[#This Row],[TrxDate]]&lt;=stmt_BS_date_end, "In", "Out")</f>
        <v>In</v>
      </c>
      <c r="U281" t="str">
        <f>IF(Jnl[[#This Row],[TrxDate]]&lt;debug_date_start, "prior", IF(Jnl[[#This Row],[TrxDate]]&gt;debug_date_end, "post", "curr"))</f>
        <v>prior</v>
      </c>
    </row>
    <row r="282" spans="1:21">
      <c r="A282" s="11" t="s">
        <v>465</v>
      </c>
      <c r="B282" s="7">
        <f>_xlfn.XLOOKUP(Jnl[[#This Row],[TrxId]], Trx[Id], Trx[Date],,0)</f>
        <v>46053</v>
      </c>
      <c r="C282" s="7" t="str">
        <f>_xlfn.XLOOKUP(Jnl[[#This Row],[TrxId]], Trx[Id], Trx[Division],,0)</f>
        <v>GM</v>
      </c>
      <c r="D282" s="7" t="str">
        <f>_xlfn.XLOOKUP(Jnl[[#This Row],[TrxId]], Trx[Id], Trx[Action],,0)</f>
        <v>福利</v>
      </c>
      <c r="E282" s="26" t="s">
        <v>111</v>
      </c>
      <c r="F282" s="11" t="s">
        <v>12</v>
      </c>
      <c r="G282" s="11" t="s">
        <v>482</v>
      </c>
      <c r="H282" s="72">
        <v>-479</v>
      </c>
      <c r="I282" s="5" t="b">
        <f>AND(Jnl[[#This Row],[TrxId]]&lt;&gt;"",Jnl[[#This Row],[Acct]]&lt;&gt;"",Jnl[[#This Row],[Item]]&lt;&gt;"",ISNUMBER(Jnl[[#This Row],[Bal]]))</f>
        <v>1</v>
      </c>
      <c r="J282" s="10">
        <f>IF(Jnl[[#This Row],[BSLv0]]="A",1,-1)*Jnl[[#This Row],[Bal]]</f>
        <v>-479</v>
      </c>
      <c r="K282" t="str">
        <f>_xlfn.XLOOKUP(Jnl[[#This Row],[Acct]], config_BS[Acct], config_BS[Lv0],,0)</f>
        <v>A</v>
      </c>
      <c r="L282" t="str">
        <f>_xlfn.XLOOKUP(Jnl[[#This Row],[Acct]], config_BS[Acct], config_BS[Lv1],,0)</f>
        <v>Assets</v>
      </c>
      <c r="M282" t="str">
        <f>_xlfn.XLOOKUP(Jnl[[#This Row],[Acct]], config_BS[Acct], config_BS[Lv2],,0)</f>
        <v>Cash alike</v>
      </c>
      <c r="N282" t="str">
        <f>_xlfn.XLOOKUP(Jnl[[#This Row],[TrxId]], Trx[Id], Trx[IncNode], ,0)</f>
        <v>Expense</v>
      </c>
      <c r="O282" t="str">
        <f>_xlfn.XLOOKUP(Jnl[[#This Row],[IncNode]], config_IS[Node], config_IS[Type],,0)</f>
        <v>Op</v>
      </c>
      <c r="P282" t="str">
        <f>_xlfn.XLOOKUP(Jnl[[#This Row],[BSLv2]], dict[Key], dict[Name],,0)</f>
        <v>0.现金及类似</v>
      </c>
      <c r="Q282" t="str">
        <f>_xlfn.XLOOKUP(Jnl[[#This Row],[Acct]], dict[Key], dict[Name],,0)</f>
        <v>银行</v>
      </c>
      <c r="R282" t="str">
        <f>_xlfn.XLOOKUP(Jnl[[#This Row],[Vehicle]],config_vehicle[Id], config_vehicle[Name],,0)</f>
        <v>染匠文化</v>
      </c>
      <c r="S282" t="str">
        <f>_xlfn.XLOOKUP(Jnl[[#This Row],[Division]],config_div[Id], config_div[Name],,0)</f>
        <v>综合管理</v>
      </c>
      <c r="T282" t="str">
        <f>IF(Jnl[[#This Row],[TrxDate]]&lt;=stmt_BS_date_end, "In", "Out")</f>
        <v>In</v>
      </c>
      <c r="U282" t="str">
        <f>IF(Jnl[[#This Row],[TrxDate]]&lt;debug_date_start, "prior", IF(Jnl[[#This Row],[TrxDate]]&gt;debug_date_end, "post", "curr"))</f>
        <v>prior</v>
      </c>
    </row>
    <row r="283" spans="1:21">
      <c r="A283" s="11" t="s">
        <v>466</v>
      </c>
      <c r="B283" s="7">
        <f>_xlfn.XLOOKUP(Jnl[[#This Row],[TrxId]], Trx[Id], Trx[Date],,0)</f>
        <v>46053</v>
      </c>
      <c r="C283" s="7" t="str">
        <f>_xlfn.XLOOKUP(Jnl[[#This Row],[TrxId]], Trx[Id], Trx[Division],,0)</f>
        <v>Zhuse</v>
      </c>
      <c r="D283" s="7" t="str">
        <f>_xlfn.XLOOKUP(Jnl[[#This Row],[TrxId]], Trx[Id], Trx[Action],,0)</f>
        <v>加工</v>
      </c>
      <c r="E283" s="26" t="s">
        <v>111</v>
      </c>
      <c r="F283" s="11" t="s">
        <v>12</v>
      </c>
      <c r="G283" s="11" t="s">
        <v>482</v>
      </c>
      <c r="H283" s="72">
        <v>-4500</v>
      </c>
      <c r="I283" s="5" t="b">
        <f>AND(Jnl[[#This Row],[TrxId]]&lt;&gt;"",Jnl[[#This Row],[Acct]]&lt;&gt;"",Jnl[[#This Row],[Item]]&lt;&gt;"",ISNUMBER(Jnl[[#This Row],[Bal]]))</f>
        <v>1</v>
      </c>
      <c r="J283" s="10">
        <f>IF(Jnl[[#This Row],[BSLv0]]="A",1,-1)*Jnl[[#This Row],[Bal]]</f>
        <v>-4500</v>
      </c>
      <c r="K283" t="str">
        <f>_xlfn.XLOOKUP(Jnl[[#This Row],[Acct]], config_BS[Acct], config_BS[Lv0],,0)</f>
        <v>A</v>
      </c>
      <c r="L283" t="str">
        <f>_xlfn.XLOOKUP(Jnl[[#This Row],[Acct]], config_BS[Acct], config_BS[Lv1],,0)</f>
        <v>Assets</v>
      </c>
      <c r="M283" t="str">
        <f>_xlfn.XLOOKUP(Jnl[[#This Row],[Acct]], config_BS[Acct], config_BS[Lv2],,0)</f>
        <v>Cash alike</v>
      </c>
      <c r="N283" t="str">
        <f>_xlfn.XLOOKUP(Jnl[[#This Row],[TrxId]], Trx[Id], Trx[IncNode], ,0)</f>
        <v>Cost</v>
      </c>
      <c r="O283" t="str">
        <f>_xlfn.XLOOKUP(Jnl[[#This Row],[IncNode]], config_IS[Node], config_IS[Type],,0)</f>
        <v>Op</v>
      </c>
      <c r="P283" t="str">
        <f>_xlfn.XLOOKUP(Jnl[[#This Row],[BSLv2]], dict[Key], dict[Name],,0)</f>
        <v>0.现金及类似</v>
      </c>
      <c r="Q283" t="str">
        <f>_xlfn.XLOOKUP(Jnl[[#This Row],[Acct]], dict[Key], dict[Name],,0)</f>
        <v>银行</v>
      </c>
      <c r="R283" t="str">
        <f>_xlfn.XLOOKUP(Jnl[[#This Row],[Vehicle]],config_vehicle[Id], config_vehicle[Name],,0)</f>
        <v>染匠文化</v>
      </c>
      <c r="S283" t="str">
        <f>_xlfn.XLOOKUP(Jnl[[#This Row],[Division]],config_div[Id], config_div[Name],,0)</f>
        <v>驻色</v>
      </c>
      <c r="T283" t="str">
        <f>IF(Jnl[[#This Row],[TrxDate]]&lt;=stmt_BS_date_end, "In", "Out")</f>
        <v>In</v>
      </c>
      <c r="U283" t="str">
        <f>IF(Jnl[[#This Row],[TrxDate]]&lt;debug_date_start, "prior", IF(Jnl[[#This Row],[TrxDate]]&gt;debug_date_end, "post", "curr"))</f>
        <v>prior</v>
      </c>
    </row>
    <row r="284" spans="1:21">
      <c r="A284" s="11" t="s">
        <v>469</v>
      </c>
      <c r="B284" s="7">
        <f>_xlfn.XLOOKUP(Jnl[[#This Row],[TrxId]], Trx[Id], Trx[Date],,0)</f>
        <v>46053</v>
      </c>
      <c r="C284" s="7" t="str">
        <f>_xlfn.XLOOKUP(Jnl[[#This Row],[TrxId]], Trx[Id], Trx[Division],,0)</f>
        <v>GM</v>
      </c>
      <c r="D284" s="7" t="str">
        <f>_xlfn.XLOOKUP(Jnl[[#This Row],[TrxId]], Trx[Id], Trx[Action],,0)</f>
        <v>福利</v>
      </c>
      <c r="E284" s="26" t="s">
        <v>111</v>
      </c>
      <c r="F284" s="11" t="s">
        <v>12</v>
      </c>
      <c r="G284" s="11" t="s">
        <v>482</v>
      </c>
      <c r="H284" s="72">
        <v>-2478</v>
      </c>
      <c r="I284" s="5" t="b">
        <f>AND(Jnl[[#This Row],[TrxId]]&lt;&gt;"",Jnl[[#This Row],[Acct]]&lt;&gt;"",Jnl[[#This Row],[Item]]&lt;&gt;"",ISNUMBER(Jnl[[#This Row],[Bal]]))</f>
        <v>1</v>
      </c>
      <c r="J284" s="10">
        <f>IF(Jnl[[#This Row],[BSLv0]]="A",1,-1)*Jnl[[#This Row],[Bal]]</f>
        <v>-2478</v>
      </c>
      <c r="K284" t="str">
        <f>_xlfn.XLOOKUP(Jnl[[#This Row],[Acct]], config_BS[Acct], config_BS[Lv0],,0)</f>
        <v>A</v>
      </c>
      <c r="L284" t="str">
        <f>_xlfn.XLOOKUP(Jnl[[#This Row],[Acct]], config_BS[Acct], config_BS[Lv1],,0)</f>
        <v>Assets</v>
      </c>
      <c r="M284" t="str">
        <f>_xlfn.XLOOKUP(Jnl[[#This Row],[Acct]], config_BS[Acct], config_BS[Lv2],,0)</f>
        <v>Cash alike</v>
      </c>
      <c r="N284" t="str">
        <f>_xlfn.XLOOKUP(Jnl[[#This Row],[TrxId]], Trx[Id], Trx[IncNode], ,0)</f>
        <v>Expense</v>
      </c>
      <c r="O284" t="str">
        <f>_xlfn.XLOOKUP(Jnl[[#This Row],[IncNode]], config_IS[Node], config_IS[Type],,0)</f>
        <v>Op</v>
      </c>
      <c r="P284" t="str">
        <f>_xlfn.XLOOKUP(Jnl[[#This Row],[BSLv2]], dict[Key], dict[Name],,0)</f>
        <v>0.现金及类似</v>
      </c>
      <c r="Q284" t="str">
        <f>_xlfn.XLOOKUP(Jnl[[#This Row],[Acct]], dict[Key], dict[Name],,0)</f>
        <v>银行</v>
      </c>
      <c r="R284" t="str">
        <f>_xlfn.XLOOKUP(Jnl[[#This Row],[Vehicle]],config_vehicle[Id], config_vehicle[Name],,0)</f>
        <v>染匠文化</v>
      </c>
      <c r="S284" t="str">
        <f>_xlfn.XLOOKUP(Jnl[[#This Row],[Division]],config_div[Id], config_div[Name],,0)</f>
        <v>综合管理</v>
      </c>
      <c r="T284" t="str">
        <f>IF(Jnl[[#This Row],[TrxDate]]&lt;=stmt_BS_date_end, "In", "Out")</f>
        <v>In</v>
      </c>
      <c r="U284" t="str">
        <f>IF(Jnl[[#This Row],[TrxDate]]&lt;debug_date_start, "prior", IF(Jnl[[#This Row],[TrxDate]]&gt;debug_date_end, "post", "curr"))</f>
        <v>prior</v>
      </c>
    </row>
    <row r="285" spans="1:21">
      <c r="A285" s="11" t="s">
        <v>470</v>
      </c>
      <c r="B285" s="7">
        <f>_xlfn.XLOOKUP(Jnl[[#This Row],[TrxId]], Trx[Id], Trx[Date],,0)</f>
        <v>46053</v>
      </c>
      <c r="C285" s="7" t="str">
        <f>_xlfn.XLOOKUP(Jnl[[#This Row],[TrxId]], Trx[Id], Trx[Division],,0)</f>
        <v>Zhuse</v>
      </c>
      <c r="D285" s="7" t="str">
        <f>_xlfn.XLOOKUP(Jnl[[#This Row],[TrxId]], Trx[Id], Trx[Action],,0)</f>
        <v>维护</v>
      </c>
      <c r="E285" s="26" t="s">
        <v>111</v>
      </c>
      <c r="F285" s="11" t="s">
        <v>12</v>
      </c>
      <c r="G285" s="11" t="s">
        <v>482</v>
      </c>
      <c r="H285" s="72">
        <v>-3860</v>
      </c>
      <c r="I285" s="5" t="b">
        <f>AND(Jnl[[#This Row],[TrxId]]&lt;&gt;"",Jnl[[#This Row],[Acct]]&lt;&gt;"",Jnl[[#This Row],[Item]]&lt;&gt;"",ISNUMBER(Jnl[[#This Row],[Bal]]))</f>
        <v>1</v>
      </c>
      <c r="J285" s="10">
        <f>IF(Jnl[[#This Row],[BSLv0]]="A",1,-1)*Jnl[[#This Row],[Bal]]</f>
        <v>-3860</v>
      </c>
      <c r="K285" t="str">
        <f>_xlfn.XLOOKUP(Jnl[[#This Row],[Acct]], config_BS[Acct], config_BS[Lv0],,0)</f>
        <v>A</v>
      </c>
      <c r="L285" t="str">
        <f>_xlfn.XLOOKUP(Jnl[[#This Row],[Acct]], config_BS[Acct], config_BS[Lv1],,0)</f>
        <v>Assets</v>
      </c>
      <c r="M285" t="str">
        <f>_xlfn.XLOOKUP(Jnl[[#This Row],[Acct]], config_BS[Acct], config_BS[Lv2],,0)</f>
        <v>Cash alike</v>
      </c>
      <c r="N285" t="str">
        <f>_xlfn.XLOOKUP(Jnl[[#This Row],[TrxId]], Trx[Id], Trx[IncNode], ,0)</f>
        <v>Expense</v>
      </c>
      <c r="O285" t="str">
        <f>_xlfn.XLOOKUP(Jnl[[#This Row],[IncNode]], config_IS[Node], config_IS[Type],,0)</f>
        <v>Op</v>
      </c>
      <c r="P285" t="str">
        <f>_xlfn.XLOOKUP(Jnl[[#This Row],[BSLv2]], dict[Key], dict[Name],,0)</f>
        <v>0.现金及类似</v>
      </c>
      <c r="Q285" t="str">
        <f>_xlfn.XLOOKUP(Jnl[[#This Row],[Acct]], dict[Key], dict[Name],,0)</f>
        <v>银行</v>
      </c>
      <c r="R285" t="str">
        <f>_xlfn.XLOOKUP(Jnl[[#This Row],[Vehicle]],config_vehicle[Id], config_vehicle[Name],,0)</f>
        <v>染匠文化</v>
      </c>
      <c r="S285" t="str">
        <f>_xlfn.XLOOKUP(Jnl[[#This Row],[Division]],config_div[Id], config_div[Name],,0)</f>
        <v>驻色</v>
      </c>
      <c r="T285" t="str">
        <f>IF(Jnl[[#This Row],[TrxDate]]&lt;=stmt_BS_date_end, "In", "Out")</f>
        <v>In</v>
      </c>
      <c r="U285" t="str">
        <f>IF(Jnl[[#This Row],[TrxDate]]&lt;debug_date_start, "prior", IF(Jnl[[#This Row],[TrxDate]]&gt;debug_date_end, "post", "curr"))</f>
        <v>prior</v>
      </c>
    </row>
    <row r="286" spans="1:21">
      <c r="A286" s="11" t="s">
        <v>472</v>
      </c>
      <c r="B286" s="7">
        <f>_xlfn.XLOOKUP(Jnl[[#This Row],[TrxId]], Trx[Id], Trx[Date],,0)</f>
        <v>46053</v>
      </c>
      <c r="C286" s="7" t="str">
        <f>_xlfn.XLOOKUP(Jnl[[#This Row],[TrxId]], Trx[Id], Trx[Division],,0)</f>
        <v>Zhuse</v>
      </c>
      <c r="D286" s="7" t="str">
        <f>_xlfn.XLOOKUP(Jnl[[#This Row],[TrxId]], Trx[Id], Trx[Action],,0)</f>
        <v>加工</v>
      </c>
      <c r="E286" s="26" t="s">
        <v>111</v>
      </c>
      <c r="F286" s="11" t="s">
        <v>12</v>
      </c>
      <c r="G286" s="11" t="s">
        <v>482</v>
      </c>
      <c r="H286" s="72">
        <v>26300.7</v>
      </c>
      <c r="I286" s="5" t="b">
        <f>AND(Jnl[[#This Row],[TrxId]]&lt;&gt;"",Jnl[[#This Row],[Acct]]&lt;&gt;"",Jnl[[#This Row],[Item]]&lt;&gt;"",ISNUMBER(Jnl[[#This Row],[Bal]]))</f>
        <v>1</v>
      </c>
      <c r="J286" s="10">
        <f>IF(Jnl[[#This Row],[BSLv0]]="A",1,-1)*Jnl[[#This Row],[Bal]]</f>
        <v>26300.7</v>
      </c>
      <c r="K286" t="str">
        <f>_xlfn.XLOOKUP(Jnl[[#This Row],[Acct]], config_BS[Acct], config_BS[Lv0],,0)</f>
        <v>A</v>
      </c>
      <c r="L286" t="str">
        <f>_xlfn.XLOOKUP(Jnl[[#This Row],[Acct]], config_BS[Acct], config_BS[Lv1],,0)</f>
        <v>Assets</v>
      </c>
      <c r="M286" t="str">
        <f>_xlfn.XLOOKUP(Jnl[[#This Row],[Acct]], config_BS[Acct], config_BS[Lv2],,0)</f>
        <v>Cash alike</v>
      </c>
      <c r="N286" t="str">
        <f>_xlfn.XLOOKUP(Jnl[[#This Row],[TrxId]], Trx[Id], Trx[IncNode], ,0)</f>
        <v>Cost</v>
      </c>
      <c r="O286" t="str">
        <f>_xlfn.XLOOKUP(Jnl[[#This Row],[IncNode]], config_IS[Node], config_IS[Type],,0)</f>
        <v>Op</v>
      </c>
      <c r="P286" t="str">
        <f>_xlfn.XLOOKUP(Jnl[[#This Row],[BSLv2]], dict[Key], dict[Name],,0)</f>
        <v>0.现金及类似</v>
      </c>
      <c r="Q286" t="str">
        <f>_xlfn.XLOOKUP(Jnl[[#This Row],[Acct]], dict[Key], dict[Name],,0)</f>
        <v>银行</v>
      </c>
      <c r="R286" t="str">
        <f>_xlfn.XLOOKUP(Jnl[[#This Row],[Vehicle]],config_vehicle[Id], config_vehicle[Name],,0)</f>
        <v>染匠文化</v>
      </c>
      <c r="S286" t="str">
        <f>_xlfn.XLOOKUP(Jnl[[#This Row],[Division]],config_div[Id], config_div[Name],,0)</f>
        <v>驻色</v>
      </c>
      <c r="T286" t="str">
        <f>IF(Jnl[[#This Row],[TrxDate]]&lt;=stmt_BS_date_end, "In", "Out")</f>
        <v>In</v>
      </c>
      <c r="U286" t="str">
        <f>IF(Jnl[[#This Row],[TrxDate]]&lt;debug_date_start, "prior", IF(Jnl[[#This Row],[TrxDate]]&gt;debug_date_end, "post", "curr"))</f>
        <v>prior</v>
      </c>
    </row>
    <row r="287" spans="1:21">
      <c r="A287" s="11" t="s">
        <v>474</v>
      </c>
      <c r="B287" s="7">
        <f>_xlfn.XLOOKUP(Jnl[[#This Row],[TrxId]], Trx[Id], Trx[Date],,0)</f>
        <v>46053</v>
      </c>
      <c r="C287" s="7" t="str">
        <f>_xlfn.XLOOKUP(Jnl[[#This Row],[TrxId]], Trx[Id], Trx[Division],,0)</f>
        <v>GM</v>
      </c>
      <c r="D287" s="7" t="str">
        <f>_xlfn.XLOOKUP(Jnl[[#This Row],[TrxId]], Trx[Id], Trx[Action],,0)</f>
        <v>银行费</v>
      </c>
      <c r="E287" s="26" t="s">
        <v>111</v>
      </c>
      <c r="F287" s="11" t="s">
        <v>12</v>
      </c>
      <c r="G287" s="11" t="s">
        <v>482</v>
      </c>
      <c r="H287" s="72">
        <v>-21</v>
      </c>
      <c r="I287" s="5" t="b">
        <f>AND(Jnl[[#This Row],[TrxId]]&lt;&gt;"",Jnl[[#This Row],[Acct]]&lt;&gt;"",Jnl[[#This Row],[Item]]&lt;&gt;"",ISNUMBER(Jnl[[#This Row],[Bal]]))</f>
        <v>1</v>
      </c>
      <c r="J287" s="10">
        <f>IF(Jnl[[#This Row],[BSLv0]]="A",1,-1)*Jnl[[#This Row],[Bal]]</f>
        <v>-21</v>
      </c>
      <c r="K287" t="str">
        <f>_xlfn.XLOOKUP(Jnl[[#This Row],[Acct]], config_BS[Acct], config_BS[Lv0],,0)</f>
        <v>A</v>
      </c>
      <c r="L287" t="str">
        <f>_xlfn.XLOOKUP(Jnl[[#This Row],[Acct]], config_BS[Acct], config_BS[Lv1],,0)</f>
        <v>Assets</v>
      </c>
      <c r="M287" t="str">
        <f>_xlfn.XLOOKUP(Jnl[[#This Row],[Acct]], config_BS[Acct], config_BS[Lv2],,0)</f>
        <v>Cash alike</v>
      </c>
      <c r="N287" t="str">
        <f>_xlfn.XLOOKUP(Jnl[[#This Row],[TrxId]], Trx[Id], Trx[IncNode], ,0)</f>
        <v>Expense</v>
      </c>
      <c r="O287" t="str">
        <f>_xlfn.XLOOKUP(Jnl[[#This Row],[IncNode]], config_IS[Node], config_IS[Type],,0)</f>
        <v>Op</v>
      </c>
      <c r="P287" t="str">
        <f>_xlfn.XLOOKUP(Jnl[[#This Row],[BSLv2]], dict[Key], dict[Name],,0)</f>
        <v>0.现金及类似</v>
      </c>
      <c r="Q287" t="str">
        <f>_xlfn.XLOOKUP(Jnl[[#This Row],[Acct]], dict[Key], dict[Name],,0)</f>
        <v>银行</v>
      </c>
      <c r="R287" t="str">
        <f>_xlfn.XLOOKUP(Jnl[[#This Row],[Vehicle]],config_vehicle[Id], config_vehicle[Name],,0)</f>
        <v>染匠文化</v>
      </c>
      <c r="S287" t="str">
        <f>_xlfn.XLOOKUP(Jnl[[#This Row],[Division]],config_div[Id], config_div[Name],,0)</f>
        <v>综合管理</v>
      </c>
      <c r="T287" t="str">
        <f>IF(Jnl[[#This Row],[TrxDate]]&lt;=stmt_BS_date_end, "In", "Out")</f>
        <v>In</v>
      </c>
      <c r="U287" t="str">
        <f>IF(Jnl[[#This Row],[TrxDate]]&lt;debug_date_start, "prior", IF(Jnl[[#This Row],[TrxDate]]&gt;debug_date_end, "post", "curr"))</f>
        <v>prior</v>
      </c>
    </row>
    <row r="288" spans="1:21">
      <c r="A288" s="11" t="s">
        <v>475</v>
      </c>
      <c r="B288" s="7">
        <f>_xlfn.XLOOKUP(Jnl[[#This Row],[TrxId]], Trx[Id], Trx[Date],,0)</f>
        <v>46053</v>
      </c>
      <c r="C288" s="7" t="str">
        <f>_xlfn.XLOOKUP(Jnl[[#This Row],[TrxId]], Trx[Id], Trx[Division],,0)</f>
        <v>GM</v>
      </c>
      <c r="D288" s="7" t="str">
        <f>_xlfn.XLOOKUP(Jnl[[#This Row],[TrxId]], Trx[Id], Trx[Action],,0)</f>
        <v>年终奖</v>
      </c>
      <c r="E288" s="26" t="s">
        <v>111</v>
      </c>
      <c r="F288" s="11" t="s">
        <v>12</v>
      </c>
      <c r="G288" s="11" t="s">
        <v>482</v>
      </c>
      <c r="H288" s="72">
        <v>-15000</v>
      </c>
      <c r="I288" s="5" t="b">
        <f>AND(Jnl[[#This Row],[TrxId]]&lt;&gt;"",Jnl[[#This Row],[Acct]]&lt;&gt;"",Jnl[[#This Row],[Item]]&lt;&gt;"",ISNUMBER(Jnl[[#This Row],[Bal]]))</f>
        <v>1</v>
      </c>
      <c r="J288" s="10">
        <f>IF(Jnl[[#This Row],[BSLv0]]="A",1,-1)*Jnl[[#This Row],[Bal]]</f>
        <v>-15000</v>
      </c>
      <c r="K288" t="str">
        <f>_xlfn.XLOOKUP(Jnl[[#This Row],[Acct]], config_BS[Acct], config_BS[Lv0],,0)</f>
        <v>A</v>
      </c>
      <c r="L288" t="str">
        <f>_xlfn.XLOOKUP(Jnl[[#This Row],[Acct]], config_BS[Acct], config_BS[Lv1],,0)</f>
        <v>Assets</v>
      </c>
      <c r="M288" t="str">
        <f>_xlfn.XLOOKUP(Jnl[[#This Row],[Acct]], config_BS[Acct], config_BS[Lv2],,0)</f>
        <v>Cash alike</v>
      </c>
      <c r="N288" t="str">
        <f>_xlfn.XLOOKUP(Jnl[[#This Row],[TrxId]], Trx[Id], Trx[IncNode], ,0)</f>
        <v>Discretion</v>
      </c>
      <c r="O288" t="str">
        <f>_xlfn.XLOOKUP(Jnl[[#This Row],[IncNode]], config_IS[Node], config_IS[Type],,0)</f>
        <v>Non-Op</v>
      </c>
      <c r="P288" t="str">
        <f>_xlfn.XLOOKUP(Jnl[[#This Row],[BSLv2]], dict[Key], dict[Name],,0)</f>
        <v>0.现金及类似</v>
      </c>
      <c r="Q288" t="str">
        <f>_xlfn.XLOOKUP(Jnl[[#This Row],[Acct]], dict[Key], dict[Name],,0)</f>
        <v>银行</v>
      </c>
      <c r="R288" t="str">
        <f>_xlfn.XLOOKUP(Jnl[[#This Row],[Vehicle]],config_vehicle[Id], config_vehicle[Name],,0)</f>
        <v>染匠文化</v>
      </c>
      <c r="S288" t="str">
        <f>_xlfn.XLOOKUP(Jnl[[#This Row],[Division]],config_div[Id], config_div[Name],,0)</f>
        <v>综合管理</v>
      </c>
      <c r="T288" t="str">
        <f>IF(Jnl[[#This Row],[TrxDate]]&lt;=stmt_BS_date_end, "In", "Out")</f>
        <v>In</v>
      </c>
      <c r="U288" t="str">
        <f>IF(Jnl[[#This Row],[TrxDate]]&lt;debug_date_start, "prior", IF(Jnl[[#This Row],[TrxDate]]&gt;debug_date_end, "post", "curr"))</f>
        <v>prior</v>
      </c>
    </row>
    <row r="289" spans="1:21">
      <c r="A289" s="11" t="s">
        <v>1288</v>
      </c>
      <c r="B289" s="7">
        <f>_xlfn.XLOOKUP(Jnl[[#This Row],[TrxId]], Trx[Id], Trx[Date],,0)</f>
        <v>46053</v>
      </c>
      <c r="C289" s="7" t="str">
        <f>_xlfn.XLOOKUP(Jnl[[#This Row],[TrxId]], Trx[Id], Trx[Division],,0)</f>
        <v>MY</v>
      </c>
      <c r="D289" s="7" t="str">
        <f>_xlfn.XLOOKUP(Jnl[[#This Row],[TrxId]], Trx[Id], Trx[Action],,0)</f>
        <v>增值税</v>
      </c>
      <c r="E289" s="26" t="s">
        <v>83</v>
      </c>
      <c r="F289" s="11" t="s">
        <v>127</v>
      </c>
      <c r="G289" s="11" t="s">
        <v>307</v>
      </c>
      <c r="H289" s="72">
        <v>900</v>
      </c>
      <c r="I289" s="5" t="b">
        <f>AND(Jnl[[#This Row],[TrxId]]&lt;&gt;"",Jnl[[#This Row],[Acct]]&lt;&gt;"",Jnl[[#This Row],[Item]]&lt;&gt;"",ISNUMBER(Jnl[[#This Row],[Bal]]))</f>
        <v>1</v>
      </c>
      <c r="J289" s="10">
        <f>IF(Jnl[[#This Row],[BSLv0]]="A",1,-1)*Jnl[[#This Row],[Bal]]</f>
        <v>-900</v>
      </c>
      <c r="K289" t="str">
        <f>_xlfn.XLOOKUP(Jnl[[#This Row],[Acct]], config_BS[Acct], config_BS[Lv0],,0)</f>
        <v>LC</v>
      </c>
      <c r="L289" t="str">
        <f>_xlfn.XLOOKUP(Jnl[[#This Row],[Acct]], config_BS[Acct], config_BS[Lv1],,0)</f>
        <v>Liability</v>
      </c>
      <c r="M289" t="str">
        <f>_xlfn.XLOOKUP(Jnl[[#This Row],[Acct]], config_BS[Acct], config_BS[Lv2],,0)</f>
        <v>Rec-Pay</v>
      </c>
      <c r="N289" t="str">
        <f>_xlfn.XLOOKUP(Jnl[[#This Row],[TrxId]], Trx[Id], Trx[IncNode], ,0)</f>
        <v>Cost</v>
      </c>
      <c r="O289" t="str">
        <f>_xlfn.XLOOKUP(Jnl[[#This Row],[IncNode]], config_IS[Node], config_IS[Type],,0)</f>
        <v>Op</v>
      </c>
      <c r="P289" t="str">
        <f>_xlfn.XLOOKUP(Jnl[[#This Row],[BSLv2]], dict[Key], dict[Name],,0)</f>
        <v>1.应收-应付</v>
      </c>
      <c r="Q289" t="str">
        <f>_xlfn.XLOOKUP(Jnl[[#This Row],[Acct]], dict[Key], dict[Name],,0)</f>
        <v>应付-税款</v>
      </c>
      <c r="R289" t="str">
        <f>_xlfn.XLOOKUP(Jnl[[#This Row],[Vehicle]],config_vehicle[Id], config_vehicle[Name],,0)</f>
        <v>远家文化</v>
      </c>
      <c r="S289" t="str">
        <f>_xlfn.XLOOKUP(Jnl[[#This Row],[Division]],config_div[Id], config_div[Name],,0)</f>
        <v>明月村</v>
      </c>
      <c r="T289" t="str">
        <f>IF(Jnl[[#This Row],[TrxDate]]&lt;=stmt_BS_date_end, "In", "Out")</f>
        <v>In</v>
      </c>
      <c r="U289" t="str">
        <f>IF(Jnl[[#This Row],[TrxDate]]&lt;debug_date_start, "prior", IF(Jnl[[#This Row],[TrxDate]]&gt;debug_date_end, "post", "curr"))</f>
        <v>prior</v>
      </c>
    </row>
    <row r="290" spans="1:21">
      <c r="A290" s="11" t="s">
        <v>477</v>
      </c>
      <c r="B290" s="7">
        <f>_xlfn.XLOOKUP(Jnl[[#This Row],[TrxId]], Trx[Id], Trx[Date],,0)</f>
        <v>46053</v>
      </c>
      <c r="C290" s="7" t="str">
        <f>_xlfn.XLOOKUP(Jnl[[#This Row],[TrxId]], Trx[Id], Trx[Division],,0)</f>
        <v>Ctrl</v>
      </c>
      <c r="D290" s="7" t="str">
        <f>_xlfn.XLOOKUP(Jnl[[#This Row],[TrxId]], Trx[Id], Trx[Action],,0)</f>
        <v>过账</v>
      </c>
      <c r="E290" s="26" t="s">
        <v>111</v>
      </c>
      <c r="F290" s="11" t="s">
        <v>12</v>
      </c>
      <c r="G290" s="11" t="s">
        <v>482</v>
      </c>
      <c r="H290" s="72">
        <v>-85000</v>
      </c>
      <c r="I290" s="5" t="b">
        <f>AND(Jnl[[#This Row],[TrxId]]&lt;&gt;"",Jnl[[#This Row],[Acct]]&lt;&gt;"",Jnl[[#This Row],[Item]]&lt;&gt;"",ISNUMBER(Jnl[[#This Row],[Bal]]))</f>
        <v>1</v>
      </c>
      <c r="J290" s="10">
        <f>IF(Jnl[[#This Row],[BSLv0]]="A",1,-1)*Jnl[[#This Row],[Bal]]</f>
        <v>-85000</v>
      </c>
      <c r="K290" t="str">
        <f>_xlfn.XLOOKUP(Jnl[[#This Row],[Acct]], config_BS[Acct], config_BS[Lv0],,0)</f>
        <v>A</v>
      </c>
      <c r="L290" t="str">
        <f>_xlfn.XLOOKUP(Jnl[[#This Row],[Acct]], config_BS[Acct], config_BS[Lv1],,0)</f>
        <v>Assets</v>
      </c>
      <c r="M290" t="str">
        <f>_xlfn.XLOOKUP(Jnl[[#This Row],[Acct]], config_BS[Acct], config_BS[Lv2],,0)</f>
        <v>Cash alike</v>
      </c>
      <c r="N290" t="str">
        <f>_xlfn.XLOOKUP(Jnl[[#This Row],[TrxId]], Trx[Id], Trx[IncNode], ,0)</f>
        <v>Other</v>
      </c>
      <c r="O290" t="str">
        <f>_xlfn.XLOOKUP(Jnl[[#This Row],[IncNode]], config_IS[Node], config_IS[Type],,0)</f>
        <v>Non-Op</v>
      </c>
      <c r="P290" t="str">
        <f>_xlfn.XLOOKUP(Jnl[[#This Row],[BSLv2]], dict[Key], dict[Name],,0)</f>
        <v>0.现金及类似</v>
      </c>
      <c r="Q290" t="str">
        <f>_xlfn.XLOOKUP(Jnl[[#This Row],[Acct]], dict[Key], dict[Name],,0)</f>
        <v>银行</v>
      </c>
      <c r="R290" t="str">
        <f>_xlfn.XLOOKUP(Jnl[[#This Row],[Vehicle]],config_vehicle[Id], config_vehicle[Name],,0)</f>
        <v>染匠文化</v>
      </c>
      <c r="S290" t="str">
        <f>_xlfn.XLOOKUP(Jnl[[#This Row],[Division]],config_div[Id], config_div[Name],,0)</f>
        <v>内控合规</v>
      </c>
      <c r="T290" t="str">
        <f>IF(Jnl[[#This Row],[TrxDate]]&lt;=stmt_BS_date_end, "In", "Out")</f>
        <v>In</v>
      </c>
      <c r="U290" t="str">
        <f>IF(Jnl[[#This Row],[TrxDate]]&lt;debug_date_start, "prior", IF(Jnl[[#This Row],[TrxDate]]&gt;debug_date_end, "post", "curr"))</f>
        <v>prior</v>
      </c>
    </row>
    <row r="291" spans="1:21">
      <c r="A291" s="11" t="s">
        <v>477</v>
      </c>
      <c r="B291" s="7">
        <f>_xlfn.XLOOKUP(Jnl[[#This Row],[TrxId]], Trx[Id], Trx[Date],,0)</f>
        <v>46053</v>
      </c>
      <c r="C291" s="7" t="str">
        <f>_xlfn.XLOOKUP(Jnl[[#This Row],[TrxId]], Trx[Id], Trx[Division],,0)</f>
        <v>Ctrl</v>
      </c>
      <c r="D291" s="7" t="str">
        <f>_xlfn.XLOOKUP(Jnl[[#This Row],[TrxId]], Trx[Id], Trx[Action],,0)</f>
        <v>过账</v>
      </c>
      <c r="E291" s="26" t="s">
        <v>107</v>
      </c>
      <c r="F291" s="11" t="s">
        <v>12</v>
      </c>
      <c r="G291" s="11" t="s">
        <v>101</v>
      </c>
      <c r="H291" s="72">
        <f>-H290</f>
        <v>85000</v>
      </c>
      <c r="I291" s="5" t="b">
        <f>AND(Jnl[[#This Row],[TrxId]]&lt;&gt;"",Jnl[[#This Row],[Acct]]&lt;&gt;"",Jnl[[#This Row],[Item]]&lt;&gt;"",ISNUMBER(Jnl[[#This Row],[Bal]]))</f>
        <v>1</v>
      </c>
      <c r="J291" s="10">
        <f>IF(Jnl[[#This Row],[BSLv0]]="A",1,-1)*Jnl[[#This Row],[Bal]]</f>
        <v>85000</v>
      </c>
      <c r="K291" t="str">
        <f>_xlfn.XLOOKUP(Jnl[[#This Row],[Acct]], config_BS[Acct], config_BS[Lv0],,0)</f>
        <v>A</v>
      </c>
      <c r="L291" t="str">
        <f>_xlfn.XLOOKUP(Jnl[[#This Row],[Acct]], config_BS[Acct], config_BS[Lv1],,0)</f>
        <v>Assets</v>
      </c>
      <c r="M291" t="str">
        <f>_xlfn.XLOOKUP(Jnl[[#This Row],[Acct]], config_BS[Acct], config_BS[Lv2],,0)</f>
        <v>Cash alike</v>
      </c>
      <c r="N291" t="str">
        <f>_xlfn.XLOOKUP(Jnl[[#This Row],[TrxId]], Trx[Id], Trx[IncNode], ,0)</f>
        <v>Other</v>
      </c>
      <c r="O291" t="str">
        <f>_xlfn.XLOOKUP(Jnl[[#This Row],[IncNode]], config_IS[Node], config_IS[Type],,0)</f>
        <v>Non-Op</v>
      </c>
      <c r="P291" t="str">
        <f>_xlfn.XLOOKUP(Jnl[[#This Row],[BSLv2]], dict[Key], dict[Name],,0)</f>
        <v>0.现金及类似</v>
      </c>
      <c r="Q291" t="str">
        <f>_xlfn.XLOOKUP(Jnl[[#This Row],[Acct]], dict[Key], dict[Name],,0)</f>
        <v>银行</v>
      </c>
      <c r="R291" t="str">
        <f>_xlfn.XLOOKUP(Jnl[[#This Row],[Vehicle]],config_vehicle[Id], config_vehicle[Name],,0)</f>
        <v>远家文化蒲江分公司</v>
      </c>
      <c r="S291" t="str">
        <f>_xlfn.XLOOKUP(Jnl[[#This Row],[Division]],config_div[Id], config_div[Name],,0)</f>
        <v>内控合规</v>
      </c>
      <c r="T291" t="str">
        <f>IF(Jnl[[#This Row],[TrxDate]]&lt;=stmt_BS_date_end, "In", "Out")</f>
        <v>In</v>
      </c>
      <c r="U291" t="str">
        <f>IF(Jnl[[#This Row],[TrxDate]]&lt;debug_date_start, "prior", IF(Jnl[[#This Row],[TrxDate]]&gt;debug_date_end, "post", "curr"))</f>
        <v>prior</v>
      </c>
    </row>
    <row r="292" spans="1:21">
      <c r="A292" s="11" t="s">
        <v>479</v>
      </c>
      <c r="B292" s="7">
        <f>_xlfn.XLOOKUP(Jnl[[#This Row],[TrxId]], Trx[Id], Trx[Date],,0)</f>
        <v>46053</v>
      </c>
      <c r="C292" s="7" t="str">
        <f>_xlfn.XLOOKUP(Jnl[[#This Row],[TrxId]], Trx[Id], Trx[Division],,0)</f>
        <v>Zhuse</v>
      </c>
      <c r="D292" s="7" t="str">
        <f>_xlfn.XLOOKUP(Jnl[[#This Row],[TrxId]], Trx[Id], Trx[Action],,0)</f>
        <v>薪酬-工资</v>
      </c>
      <c r="E292" s="26" t="s">
        <v>111</v>
      </c>
      <c r="F292" s="11" t="s">
        <v>188</v>
      </c>
      <c r="G292" s="11" t="s">
        <v>149</v>
      </c>
      <c r="H292" s="72">
        <v>36551.61</v>
      </c>
      <c r="I292" s="5" t="b">
        <f>AND(Jnl[[#This Row],[TrxId]]&lt;&gt;"",Jnl[[#This Row],[Acct]]&lt;&gt;"",Jnl[[#This Row],[Item]]&lt;&gt;"",ISNUMBER(Jnl[[#This Row],[Bal]]))</f>
        <v>1</v>
      </c>
      <c r="J292" s="10">
        <f>IF(Jnl[[#This Row],[BSLv0]]="A",1,-1)*Jnl[[#This Row],[Bal]]</f>
        <v>-36551.61</v>
      </c>
      <c r="K292" t="str">
        <f>_xlfn.XLOOKUP(Jnl[[#This Row],[Acct]], config_BS[Acct], config_BS[Lv0],,0)</f>
        <v>LC</v>
      </c>
      <c r="L292" t="str">
        <f>_xlfn.XLOOKUP(Jnl[[#This Row],[Acct]], config_BS[Acct], config_BS[Lv1],,0)</f>
        <v>Liability</v>
      </c>
      <c r="M292" t="str">
        <f>_xlfn.XLOOKUP(Jnl[[#This Row],[Acct]], config_BS[Acct], config_BS[Lv2],,0)</f>
        <v>Rec-Pay</v>
      </c>
      <c r="N292" t="str">
        <f>_xlfn.XLOOKUP(Jnl[[#This Row],[TrxId]], Trx[Id], Trx[IncNode], ,0)</f>
        <v>Expense</v>
      </c>
      <c r="O292" t="str">
        <f>_xlfn.XLOOKUP(Jnl[[#This Row],[IncNode]], config_IS[Node], config_IS[Type],,0)</f>
        <v>Op</v>
      </c>
      <c r="P292" t="str">
        <f>_xlfn.XLOOKUP(Jnl[[#This Row],[BSLv2]], dict[Key], dict[Name],,0)</f>
        <v>1.应收-应付</v>
      </c>
      <c r="Q292" t="str">
        <f>_xlfn.XLOOKUP(Jnl[[#This Row],[Acct]], dict[Key], dict[Name],,0)</f>
        <v>应付-薪资</v>
      </c>
      <c r="R292" t="str">
        <f>_xlfn.XLOOKUP(Jnl[[#This Row],[Vehicle]],config_vehicle[Id], config_vehicle[Name],,0)</f>
        <v>染匠文化</v>
      </c>
      <c r="S292" t="str">
        <f>_xlfn.XLOOKUP(Jnl[[#This Row],[Division]],config_div[Id], config_div[Name],,0)</f>
        <v>驻色</v>
      </c>
      <c r="T292" t="str">
        <f>IF(Jnl[[#This Row],[TrxDate]]&lt;=stmt_BS_date_end, "In", "Out")</f>
        <v>In</v>
      </c>
      <c r="U292" t="str">
        <f>IF(Jnl[[#This Row],[TrxDate]]&lt;debug_date_start, "prior", IF(Jnl[[#This Row],[TrxDate]]&gt;debug_date_end, "post", "curr"))</f>
        <v>prior</v>
      </c>
    </row>
    <row r="293" spans="1:21">
      <c r="A293" s="11" t="s">
        <v>480</v>
      </c>
      <c r="B293" s="7">
        <f>_xlfn.XLOOKUP(Jnl[[#This Row],[TrxId]], Trx[Id], Trx[Date],,0)</f>
        <v>46053</v>
      </c>
      <c r="C293" s="7" t="str">
        <f>_xlfn.XLOOKUP(Jnl[[#This Row],[TrxId]], Trx[Id], Trx[Division],,0)</f>
        <v>Zhuse</v>
      </c>
      <c r="D293" s="7" t="str">
        <f>_xlfn.XLOOKUP(Jnl[[#This Row],[TrxId]], Trx[Id], Trx[Action],,0)</f>
        <v>增值税</v>
      </c>
      <c r="E293" s="26" t="s">
        <v>111</v>
      </c>
      <c r="F293" s="11" t="s">
        <v>127</v>
      </c>
      <c r="G293" s="11" t="s">
        <v>307</v>
      </c>
      <c r="H293" s="72">
        <v>265.31</v>
      </c>
      <c r="I293" s="5" t="b">
        <f>AND(Jnl[[#This Row],[TrxId]]&lt;&gt;"",Jnl[[#This Row],[Acct]]&lt;&gt;"",Jnl[[#This Row],[Item]]&lt;&gt;"",ISNUMBER(Jnl[[#This Row],[Bal]]))</f>
        <v>1</v>
      </c>
      <c r="J293" s="10">
        <f>IF(Jnl[[#This Row],[BSLv0]]="A",1,-1)*Jnl[[#This Row],[Bal]]</f>
        <v>-265.31</v>
      </c>
      <c r="K293" t="str">
        <f>_xlfn.XLOOKUP(Jnl[[#This Row],[Acct]], config_BS[Acct], config_BS[Lv0],,0)</f>
        <v>LC</v>
      </c>
      <c r="L293" t="str">
        <f>_xlfn.XLOOKUP(Jnl[[#This Row],[Acct]], config_BS[Acct], config_BS[Lv1],,0)</f>
        <v>Liability</v>
      </c>
      <c r="M293" t="str">
        <f>_xlfn.XLOOKUP(Jnl[[#This Row],[Acct]], config_BS[Acct], config_BS[Lv2],,0)</f>
        <v>Rec-Pay</v>
      </c>
      <c r="N293" t="str">
        <f>_xlfn.XLOOKUP(Jnl[[#This Row],[TrxId]], Trx[Id], Trx[IncNode], ,0)</f>
        <v>Cost</v>
      </c>
      <c r="O293" t="str">
        <f>_xlfn.XLOOKUP(Jnl[[#This Row],[IncNode]], config_IS[Node], config_IS[Type],,0)</f>
        <v>Op</v>
      </c>
      <c r="P293" t="str">
        <f>_xlfn.XLOOKUP(Jnl[[#This Row],[BSLv2]], dict[Key], dict[Name],,0)</f>
        <v>1.应收-应付</v>
      </c>
      <c r="Q293" t="str">
        <f>_xlfn.XLOOKUP(Jnl[[#This Row],[Acct]], dict[Key], dict[Name],,0)</f>
        <v>应付-税款</v>
      </c>
      <c r="R293" t="str">
        <f>_xlfn.XLOOKUP(Jnl[[#This Row],[Vehicle]],config_vehicle[Id], config_vehicle[Name],,0)</f>
        <v>染匠文化</v>
      </c>
      <c r="S293" t="str">
        <f>_xlfn.XLOOKUP(Jnl[[#This Row],[Division]],config_div[Id], config_div[Name],,0)</f>
        <v>驻色</v>
      </c>
      <c r="T293" t="str">
        <f>IF(Jnl[[#This Row],[TrxDate]]&lt;=stmt_BS_date_end, "In", "Out")</f>
        <v>In</v>
      </c>
      <c r="U293" t="str">
        <f>IF(Jnl[[#This Row],[TrxDate]]&lt;debug_date_start, "prior", IF(Jnl[[#This Row],[TrxDate]]&gt;debug_date_end, "post", "curr"))</f>
        <v>prior</v>
      </c>
    </row>
    <row r="294" spans="1:21">
      <c r="A294" s="11" t="s">
        <v>483</v>
      </c>
      <c r="B294" s="7">
        <f>_xlfn.XLOOKUP(Jnl[[#This Row],[TrxId]], Trx[Id], Trx[Date],,0)</f>
        <v>46053</v>
      </c>
      <c r="C294" s="7" t="str">
        <f>_xlfn.XLOOKUP(Jnl[[#This Row],[TrxId]], Trx[Id], Trx[Division],,0)</f>
        <v>Zhuse</v>
      </c>
      <c r="D294" s="7" t="str">
        <f>_xlfn.XLOOKUP(Jnl[[#This Row],[TrxId]], Trx[Id], Trx[Action],,0)</f>
        <v>其他销售</v>
      </c>
      <c r="E294" s="26" t="s">
        <v>111</v>
      </c>
      <c r="F294" s="11" t="s">
        <v>590</v>
      </c>
      <c r="G294" s="11" t="s">
        <v>591</v>
      </c>
      <c r="H294" s="72">
        <v>200</v>
      </c>
      <c r="I294" s="5" t="b">
        <f>AND(Jnl[[#This Row],[TrxId]]&lt;&gt;"",Jnl[[#This Row],[Acct]]&lt;&gt;"",Jnl[[#This Row],[Item]]&lt;&gt;"",ISNUMBER(Jnl[[#This Row],[Bal]]))</f>
        <v>1</v>
      </c>
      <c r="J294" s="10">
        <f>IF(Jnl[[#This Row],[BSLv0]]="A",1,-1)*Jnl[[#This Row],[Bal]]</f>
        <v>200</v>
      </c>
      <c r="K294" t="str">
        <f>_xlfn.XLOOKUP(Jnl[[#This Row],[Acct]], config_BS[Acct], config_BS[Lv0],,0)</f>
        <v>A</v>
      </c>
      <c r="L294" t="str">
        <f>_xlfn.XLOOKUP(Jnl[[#This Row],[Acct]], config_BS[Acct], config_BS[Lv1],,0)</f>
        <v>Assets</v>
      </c>
      <c r="M294" t="str">
        <f>_xlfn.XLOOKUP(Jnl[[#This Row],[Acct]], config_BS[Acct], config_BS[Lv2],,0)</f>
        <v>Cash alike</v>
      </c>
      <c r="N294" t="str">
        <f>_xlfn.XLOOKUP(Jnl[[#This Row],[TrxId]], Trx[Id], Trx[IncNode], ,0)</f>
        <v>Revenue</v>
      </c>
      <c r="O294" t="str">
        <f>_xlfn.XLOOKUP(Jnl[[#This Row],[IncNode]], config_IS[Node], config_IS[Type],,0)</f>
        <v>Op</v>
      </c>
      <c r="P294" t="str">
        <f>_xlfn.XLOOKUP(Jnl[[#This Row],[BSLv2]], dict[Key], dict[Name],,0)</f>
        <v>0.现金及类似</v>
      </c>
      <c r="Q294" t="str">
        <f>_xlfn.XLOOKUP(Jnl[[#This Row],[Acct]], dict[Key], dict[Name],,0)</f>
        <v>银行</v>
      </c>
      <c r="R294" t="str">
        <f>_xlfn.XLOOKUP(Jnl[[#This Row],[Vehicle]],config_vehicle[Id], config_vehicle[Name],,0)</f>
        <v>染匠文化</v>
      </c>
      <c r="S294" t="str">
        <f>_xlfn.XLOOKUP(Jnl[[#This Row],[Division]],config_div[Id], config_div[Name],,0)</f>
        <v>驻色</v>
      </c>
      <c r="T294" t="str">
        <f>IF(Jnl[[#This Row],[TrxDate]]&lt;=stmt_BS_date_end, "In", "Out")</f>
        <v>In</v>
      </c>
      <c r="U294" t="str">
        <f>IF(Jnl[[#This Row],[TrxDate]]&lt;debug_date_start, "prior", IF(Jnl[[#This Row],[TrxDate]]&gt;debug_date_end, "post", "curr"))</f>
        <v>prior</v>
      </c>
    </row>
    <row r="295" spans="1:21">
      <c r="A295" s="11" t="s">
        <v>488</v>
      </c>
      <c r="B295" s="7">
        <f>_xlfn.XLOOKUP(Jnl[[#This Row],[TrxId]], Trx[Id], Trx[Date],,0)</f>
        <v>46053</v>
      </c>
      <c r="C295" s="7" t="str">
        <f>_xlfn.XLOOKUP(Jnl[[#This Row],[TrxId]], Trx[Id], Trx[Division],,0)</f>
        <v>Shuijie</v>
      </c>
      <c r="D295" s="7" t="str">
        <f>_xlfn.XLOOKUP(Jnl[[#This Row],[TrxId]], Trx[Id], Trx[Action],,0)</f>
        <v>收款</v>
      </c>
      <c r="E295" s="26" t="s">
        <v>82</v>
      </c>
      <c r="F295" s="11" t="s">
        <v>590</v>
      </c>
      <c r="G295" s="11" t="s">
        <v>592</v>
      </c>
      <c r="H295" s="72">
        <v>12892.74</v>
      </c>
      <c r="I295" s="5" t="b">
        <f>AND(Jnl[[#This Row],[TrxId]]&lt;&gt;"",Jnl[[#This Row],[Acct]]&lt;&gt;"",Jnl[[#This Row],[Item]]&lt;&gt;"",ISNUMBER(Jnl[[#This Row],[Bal]]))</f>
        <v>1</v>
      </c>
      <c r="J295" s="10">
        <f>IF(Jnl[[#This Row],[BSLv0]]="A",1,-1)*Jnl[[#This Row],[Bal]]</f>
        <v>12892.74</v>
      </c>
      <c r="K295" t="str">
        <f>_xlfn.XLOOKUP(Jnl[[#This Row],[Acct]], config_BS[Acct], config_BS[Lv0],,0)</f>
        <v>A</v>
      </c>
      <c r="L295" t="str">
        <f>_xlfn.XLOOKUP(Jnl[[#This Row],[Acct]], config_BS[Acct], config_BS[Lv1],,0)</f>
        <v>Assets</v>
      </c>
      <c r="M295" t="str">
        <f>_xlfn.XLOOKUP(Jnl[[#This Row],[Acct]], config_BS[Acct], config_BS[Lv2],,0)</f>
        <v>Cash alike</v>
      </c>
      <c r="N295" t="str">
        <f>_xlfn.XLOOKUP(Jnl[[#This Row],[TrxId]], Trx[Id], Trx[IncNode], ,0)</f>
        <v>Revenue</v>
      </c>
      <c r="O295" t="str">
        <f>_xlfn.XLOOKUP(Jnl[[#This Row],[IncNode]], config_IS[Node], config_IS[Type],,0)</f>
        <v>Op</v>
      </c>
      <c r="P295" t="str">
        <f>_xlfn.XLOOKUP(Jnl[[#This Row],[BSLv2]], dict[Key], dict[Name],,0)</f>
        <v>0.现金及类似</v>
      </c>
      <c r="Q295" t="str">
        <f>_xlfn.XLOOKUP(Jnl[[#This Row],[Acct]], dict[Key], dict[Name],,0)</f>
        <v>银行</v>
      </c>
      <c r="R295" t="str">
        <f>_xlfn.XLOOKUP(Jnl[[#This Row],[Vehicle]],config_vehicle[Id], config_vehicle[Name],,0)</f>
        <v>米小易</v>
      </c>
      <c r="S295" t="str">
        <f>_xlfn.XLOOKUP(Jnl[[#This Row],[Division]],config_div[Id], config_div[Name],,0)</f>
        <v>水街店</v>
      </c>
      <c r="T295" t="str">
        <f>IF(Jnl[[#This Row],[TrxDate]]&lt;=stmt_BS_date_end, "In", "Out")</f>
        <v>In</v>
      </c>
      <c r="U295" t="str">
        <f>IF(Jnl[[#This Row],[TrxDate]]&lt;debug_date_start, "prior", IF(Jnl[[#This Row],[TrxDate]]&gt;debug_date_end, "post", "curr"))</f>
        <v>prior</v>
      </c>
    </row>
    <row r="296" spans="1:21">
      <c r="A296" s="11" t="s">
        <v>488</v>
      </c>
      <c r="B296" s="7">
        <f>_xlfn.XLOOKUP(Jnl[[#This Row],[TrxId]], Trx[Id], Trx[Date],,0)</f>
        <v>46053</v>
      </c>
      <c r="C296" s="7" t="str">
        <f>_xlfn.XLOOKUP(Jnl[[#This Row],[TrxId]], Trx[Id], Trx[Division],,0)</f>
        <v>Shuijie</v>
      </c>
      <c r="D296" s="7" t="str">
        <f>_xlfn.XLOOKUP(Jnl[[#This Row],[TrxId]], Trx[Id], Trx[Action],,0)</f>
        <v>收款</v>
      </c>
      <c r="E296" s="26" t="s">
        <v>82</v>
      </c>
      <c r="F296" s="11" t="s">
        <v>593</v>
      </c>
      <c r="G296" s="11" t="s">
        <v>594</v>
      </c>
      <c r="H296" s="72">
        <v>-12892.74</v>
      </c>
      <c r="I296" s="5" t="b">
        <f>AND(Jnl[[#This Row],[TrxId]]&lt;&gt;"",Jnl[[#This Row],[Acct]]&lt;&gt;"",Jnl[[#This Row],[Item]]&lt;&gt;"",ISNUMBER(Jnl[[#This Row],[Bal]]))</f>
        <v>1</v>
      </c>
      <c r="J296" s="10">
        <f>IF(Jnl[[#This Row],[BSLv0]]="A",1,-1)*Jnl[[#This Row],[Bal]]</f>
        <v>-12892.74</v>
      </c>
      <c r="K296" t="str">
        <f>_xlfn.XLOOKUP(Jnl[[#This Row],[Acct]], config_BS[Acct], config_BS[Lv0],,0)</f>
        <v>A</v>
      </c>
      <c r="L296" t="str">
        <f>_xlfn.XLOOKUP(Jnl[[#This Row],[Acct]], config_BS[Acct], config_BS[Lv1],,0)</f>
        <v>Assets</v>
      </c>
      <c r="M296" t="str">
        <f>_xlfn.XLOOKUP(Jnl[[#This Row],[Acct]], config_BS[Acct], config_BS[Lv2],,0)</f>
        <v>Rec-Pay</v>
      </c>
      <c r="N296" t="str">
        <f>_xlfn.XLOOKUP(Jnl[[#This Row],[TrxId]], Trx[Id], Trx[IncNode], ,0)</f>
        <v>Revenue</v>
      </c>
      <c r="O296" t="str">
        <f>_xlfn.XLOOKUP(Jnl[[#This Row],[IncNode]], config_IS[Node], config_IS[Type],,0)</f>
        <v>Op</v>
      </c>
      <c r="P296" t="str">
        <f>_xlfn.XLOOKUP(Jnl[[#This Row],[BSLv2]], dict[Key], dict[Name],,0)</f>
        <v>1.应收-应付</v>
      </c>
      <c r="Q296" t="str">
        <f>_xlfn.XLOOKUP(Jnl[[#This Row],[Acct]], dict[Key], dict[Name],,0)</f>
        <v>应收-一般</v>
      </c>
      <c r="R296" t="str">
        <f>_xlfn.XLOOKUP(Jnl[[#This Row],[Vehicle]],config_vehicle[Id], config_vehicle[Name],,0)</f>
        <v>米小易</v>
      </c>
      <c r="S296" t="str">
        <f>_xlfn.XLOOKUP(Jnl[[#This Row],[Division]],config_div[Id], config_div[Name],,0)</f>
        <v>水街店</v>
      </c>
      <c r="T296" t="str">
        <f>IF(Jnl[[#This Row],[TrxDate]]&lt;=stmt_BS_date_end, "In", "Out")</f>
        <v>In</v>
      </c>
      <c r="U296" t="str">
        <f>IF(Jnl[[#This Row],[TrxDate]]&lt;debug_date_start, "prior", IF(Jnl[[#This Row],[TrxDate]]&gt;debug_date_end, "post", "curr"))</f>
        <v>prior</v>
      </c>
    </row>
    <row r="297" spans="1:21">
      <c r="A297" s="11" t="s">
        <v>490</v>
      </c>
      <c r="B297" s="7">
        <f>_xlfn.XLOOKUP(Jnl[[#This Row],[TrxId]], Trx[Id], Trx[Date],,0)</f>
        <v>46053</v>
      </c>
      <c r="C297" s="7" t="str">
        <f>_xlfn.XLOOKUP(Jnl[[#This Row],[TrxId]], Trx[Id], Trx[Division],,0)</f>
        <v>Shuijie</v>
      </c>
      <c r="D297" s="7" t="str">
        <f>_xlfn.XLOOKUP(Jnl[[#This Row],[TrxId]], Trx[Id], Trx[Action],,0)</f>
        <v>图书</v>
      </c>
      <c r="E297" s="26" t="s">
        <v>82</v>
      </c>
      <c r="F297" s="11" t="s">
        <v>590</v>
      </c>
      <c r="G297" s="11" t="s">
        <v>592</v>
      </c>
      <c r="H297" s="72">
        <f>12795.08+471.35-H295</f>
        <v>373.69000000000051</v>
      </c>
      <c r="I297" s="5" t="b">
        <f>AND(Jnl[[#This Row],[TrxId]]&lt;&gt;"",Jnl[[#This Row],[Acct]]&lt;&gt;"",Jnl[[#This Row],[Item]]&lt;&gt;"",ISNUMBER(Jnl[[#This Row],[Bal]]))</f>
        <v>1</v>
      </c>
      <c r="J297" s="10">
        <f>IF(Jnl[[#This Row],[BSLv0]]="A",1,-1)*Jnl[[#This Row],[Bal]]</f>
        <v>373.69000000000051</v>
      </c>
      <c r="K297" t="str">
        <f>_xlfn.XLOOKUP(Jnl[[#This Row],[Acct]], config_BS[Acct], config_BS[Lv0],,0)</f>
        <v>A</v>
      </c>
      <c r="L297" t="str">
        <f>_xlfn.XLOOKUP(Jnl[[#This Row],[Acct]], config_BS[Acct], config_BS[Lv1],,0)</f>
        <v>Assets</v>
      </c>
      <c r="M297" t="str">
        <f>_xlfn.XLOOKUP(Jnl[[#This Row],[Acct]], config_BS[Acct], config_BS[Lv2],,0)</f>
        <v>Cash alike</v>
      </c>
      <c r="N297" t="str">
        <f>_xlfn.XLOOKUP(Jnl[[#This Row],[TrxId]], Trx[Id], Trx[IncNode], ,0)</f>
        <v>Revenue</v>
      </c>
      <c r="O297" t="str">
        <f>_xlfn.XLOOKUP(Jnl[[#This Row],[IncNode]], config_IS[Node], config_IS[Type],,0)</f>
        <v>Op</v>
      </c>
      <c r="P297" t="str">
        <f>_xlfn.XLOOKUP(Jnl[[#This Row],[BSLv2]], dict[Key], dict[Name],,0)</f>
        <v>0.现金及类似</v>
      </c>
      <c r="Q297" t="str">
        <f>_xlfn.XLOOKUP(Jnl[[#This Row],[Acct]], dict[Key], dict[Name],,0)</f>
        <v>银行</v>
      </c>
      <c r="R297" t="str">
        <f>_xlfn.XLOOKUP(Jnl[[#This Row],[Vehicle]],config_vehicle[Id], config_vehicle[Name],,0)</f>
        <v>米小易</v>
      </c>
      <c r="S297" t="str">
        <f>_xlfn.XLOOKUP(Jnl[[#This Row],[Division]],config_div[Id], config_div[Name],,0)</f>
        <v>水街店</v>
      </c>
      <c r="T297" t="str">
        <f>IF(Jnl[[#This Row],[TrxDate]]&lt;=stmt_BS_date_end, "In", "Out")</f>
        <v>In</v>
      </c>
      <c r="U297" t="str">
        <f>IF(Jnl[[#This Row],[TrxDate]]&lt;debug_date_start, "prior", IF(Jnl[[#This Row],[TrxDate]]&gt;debug_date_end, "post", "curr"))</f>
        <v>prior</v>
      </c>
    </row>
    <row r="298" spans="1:21">
      <c r="A298" s="11" t="s">
        <v>492</v>
      </c>
      <c r="B298" s="7">
        <f>_xlfn.XLOOKUP(Jnl[[#This Row],[TrxId]], Trx[Id], Trx[Date],,0)</f>
        <v>46053</v>
      </c>
      <c r="C298" s="7" t="str">
        <f>_xlfn.XLOOKUP(Jnl[[#This Row],[TrxId]], Trx[Id], Trx[Division],,0)</f>
        <v>Shuijie</v>
      </c>
      <c r="D298" s="7" t="str">
        <f>_xlfn.XLOOKUP(Jnl[[#This Row],[TrxId]], Trx[Id], Trx[Action],,0)</f>
        <v>支付</v>
      </c>
      <c r="E298" s="26" t="s">
        <v>82</v>
      </c>
      <c r="F298" s="11" t="s">
        <v>590</v>
      </c>
      <c r="G298" s="11" t="s">
        <v>592</v>
      </c>
      <c r="H298" s="72">
        <v>-256</v>
      </c>
      <c r="I298" s="5" t="b">
        <f>AND(Jnl[[#This Row],[TrxId]]&lt;&gt;"",Jnl[[#This Row],[Acct]]&lt;&gt;"",Jnl[[#This Row],[Item]]&lt;&gt;"",ISNUMBER(Jnl[[#This Row],[Bal]]))</f>
        <v>1</v>
      </c>
      <c r="J298" s="10">
        <f>IF(Jnl[[#This Row],[BSLv0]]="A",1,-1)*Jnl[[#This Row],[Bal]]</f>
        <v>-256</v>
      </c>
      <c r="K298" t="str">
        <f>_xlfn.XLOOKUP(Jnl[[#This Row],[Acct]], config_BS[Acct], config_BS[Lv0],,0)</f>
        <v>A</v>
      </c>
      <c r="L298" t="str">
        <f>_xlfn.XLOOKUP(Jnl[[#This Row],[Acct]], config_BS[Acct], config_BS[Lv1],,0)</f>
        <v>Assets</v>
      </c>
      <c r="M298" t="str">
        <f>_xlfn.XLOOKUP(Jnl[[#This Row],[Acct]], config_BS[Acct], config_BS[Lv2],,0)</f>
        <v>Cash alike</v>
      </c>
      <c r="N298" t="str">
        <f>_xlfn.XLOOKUP(Jnl[[#This Row],[TrxId]], Trx[Id], Trx[IncNode], ,0)</f>
        <v>Cost</v>
      </c>
      <c r="O298" t="str">
        <f>_xlfn.XLOOKUP(Jnl[[#This Row],[IncNode]], config_IS[Node], config_IS[Type],,0)</f>
        <v>Op</v>
      </c>
      <c r="P298" t="str">
        <f>_xlfn.XLOOKUP(Jnl[[#This Row],[BSLv2]], dict[Key], dict[Name],,0)</f>
        <v>0.现金及类似</v>
      </c>
      <c r="Q298" t="str">
        <f>_xlfn.XLOOKUP(Jnl[[#This Row],[Acct]], dict[Key], dict[Name],,0)</f>
        <v>银行</v>
      </c>
      <c r="R298" t="str">
        <f>_xlfn.XLOOKUP(Jnl[[#This Row],[Vehicle]],config_vehicle[Id], config_vehicle[Name],,0)</f>
        <v>米小易</v>
      </c>
      <c r="S298" t="str">
        <f>_xlfn.XLOOKUP(Jnl[[#This Row],[Division]],config_div[Id], config_div[Name],,0)</f>
        <v>水街店</v>
      </c>
      <c r="T298" t="str">
        <f>IF(Jnl[[#This Row],[TrxDate]]&lt;=stmt_BS_date_end, "In", "Out")</f>
        <v>In</v>
      </c>
      <c r="U298" t="str">
        <f>IF(Jnl[[#This Row],[TrxDate]]&lt;debug_date_start, "prior", IF(Jnl[[#This Row],[TrxDate]]&gt;debug_date_end, "post", "curr"))</f>
        <v>prior</v>
      </c>
    </row>
    <row r="299" spans="1:21">
      <c r="A299" s="11" t="s">
        <v>492</v>
      </c>
      <c r="B299" s="7">
        <f>_xlfn.XLOOKUP(Jnl[[#This Row],[TrxId]], Trx[Id], Trx[Date],,0)</f>
        <v>46053</v>
      </c>
      <c r="C299" s="7" t="str">
        <f>_xlfn.XLOOKUP(Jnl[[#This Row],[TrxId]], Trx[Id], Trx[Division],,0)</f>
        <v>Shuijie</v>
      </c>
      <c r="D299" s="7" t="str">
        <f>_xlfn.XLOOKUP(Jnl[[#This Row],[TrxId]], Trx[Id], Trx[Action],,0)</f>
        <v>支付</v>
      </c>
      <c r="E299" s="26" t="s">
        <v>82</v>
      </c>
      <c r="F299" s="11" t="s">
        <v>493</v>
      </c>
      <c r="G299" s="11" t="s">
        <v>428</v>
      </c>
      <c r="H299" s="72">
        <v>256</v>
      </c>
      <c r="I299" s="5" t="b">
        <f>AND(Jnl[[#This Row],[TrxId]]&lt;&gt;"",Jnl[[#This Row],[Acct]]&lt;&gt;"",Jnl[[#This Row],[Item]]&lt;&gt;"",ISNUMBER(Jnl[[#This Row],[Bal]]))</f>
        <v>1</v>
      </c>
      <c r="J299" s="10">
        <f>IF(Jnl[[#This Row],[BSLv0]]="A",1,-1)*Jnl[[#This Row],[Bal]]</f>
        <v>256</v>
      </c>
      <c r="K299" t="str">
        <f>_xlfn.XLOOKUP(Jnl[[#This Row],[Acct]], config_BS[Acct], config_BS[Lv0],,0)</f>
        <v>A</v>
      </c>
      <c r="L299" t="str">
        <f>_xlfn.XLOOKUP(Jnl[[#This Row],[Acct]], config_BS[Acct], config_BS[Lv1],,0)</f>
        <v>Assets</v>
      </c>
      <c r="M299" t="str">
        <f>_xlfn.XLOOKUP(Jnl[[#This Row],[Acct]], config_BS[Acct], config_BS[Lv2],,0)</f>
        <v>Prep-Sub</v>
      </c>
      <c r="N299" t="str">
        <f>_xlfn.XLOOKUP(Jnl[[#This Row],[TrxId]], Trx[Id], Trx[IncNode], ,0)</f>
        <v>Cost</v>
      </c>
      <c r="O299" t="str">
        <f>_xlfn.XLOOKUP(Jnl[[#This Row],[IncNode]], config_IS[Node], config_IS[Type],,0)</f>
        <v>Op</v>
      </c>
      <c r="P299" t="str">
        <f>_xlfn.XLOOKUP(Jnl[[#This Row],[BSLv2]], dict[Key], dict[Name],,0)</f>
        <v>2.预付-订阅</v>
      </c>
      <c r="Q299" t="str">
        <f>_xlfn.XLOOKUP(Jnl[[#This Row],[Acct]], dict[Key], dict[Name],,0)</f>
        <v>预付订单</v>
      </c>
      <c r="R299" t="str">
        <f>_xlfn.XLOOKUP(Jnl[[#This Row],[Vehicle]],config_vehicle[Id], config_vehicle[Name],,0)</f>
        <v>米小易</v>
      </c>
      <c r="S299" t="str">
        <f>_xlfn.XLOOKUP(Jnl[[#This Row],[Division]],config_div[Id], config_div[Name],,0)</f>
        <v>水街店</v>
      </c>
      <c r="T299" t="str">
        <f>IF(Jnl[[#This Row],[TrxDate]]&lt;=stmt_BS_date_end, "In", "Out")</f>
        <v>In</v>
      </c>
      <c r="U299" t="str">
        <f>IF(Jnl[[#This Row],[TrxDate]]&lt;debug_date_start, "prior", IF(Jnl[[#This Row],[TrxDate]]&gt;debug_date_end, "post", "curr"))</f>
        <v>prior</v>
      </c>
    </row>
    <row r="300" spans="1:21">
      <c r="A300" s="11" t="s">
        <v>494</v>
      </c>
      <c r="B300" s="7">
        <f>_xlfn.XLOOKUP(Jnl[[#This Row],[TrxId]], Trx[Id], Trx[Date],,0)</f>
        <v>46053</v>
      </c>
      <c r="C300" s="7" t="str">
        <f>_xlfn.XLOOKUP(Jnl[[#This Row],[TrxId]], Trx[Id], Trx[Division],,0)</f>
        <v>Shuijie</v>
      </c>
      <c r="D300" s="7" t="str">
        <f>_xlfn.XLOOKUP(Jnl[[#This Row],[TrxId]], Trx[Id], Trx[Action],,0)</f>
        <v>食材</v>
      </c>
      <c r="E300" s="26" t="s">
        <v>82</v>
      </c>
      <c r="F300" s="11" t="s">
        <v>590</v>
      </c>
      <c r="G300" s="11" t="s">
        <v>592</v>
      </c>
      <c r="H300" s="72">
        <v>-3839</v>
      </c>
      <c r="I300" s="5" t="b">
        <f>AND(Jnl[[#This Row],[TrxId]]&lt;&gt;"",Jnl[[#This Row],[Acct]]&lt;&gt;"",Jnl[[#This Row],[Item]]&lt;&gt;"",ISNUMBER(Jnl[[#This Row],[Bal]]))</f>
        <v>1</v>
      </c>
      <c r="J300" s="10">
        <f>IF(Jnl[[#This Row],[BSLv0]]="A",1,-1)*Jnl[[#This Row],[Bal]]</f>
        <v>-3839</v>
      </c>
      <c r="K300" t="str">
        <f>_xlfn.XLOOKUP(Jnl[[#This Row],[Acct]], config_BS[Acct], config_BS[Lv0],,0)</f>
        <v>A</v>
      </c>
      <c r="L300" t="str">
        <f>_xlfn.XLOOKUP(Jnl[[#This Row],[Acct]], config_BS[Acct], config_BS[Lv1],,0)</f>
        <v>Assets</v>
      </c>
      <c r="M300" t="str">
        <f>_xlfn.XLOOKUP(Jnl[[#This Row],[Acct]], config_BS[Acct], config_BS[Lv2],,0)</f>
        <v>Cash alike</v>
      </c>
      <c r="N300" t="str">
        <f>_xlfn.XLOOKUP(Jnl[[#This Row],[TrxId]], Trx[Id], Trx[IncNode], ,0)</f>
        <v>Cost</v>
      </c>
      <c r="O300" t="str">
        <f>_xlfn.XLOOKUP(Jnl[[#This Row],[IncNode]], config_IS[Node], config_IS[Type],,0)</f>
        <v>Op</v>
      </c>
      <c r="P300" t="str">
        <f>_xlfn.XLOOKUP(Jnl[[#This Row],[BSLv2]], dict[Key], dict[Name],,0)</f>
        <v>0.现金及类似</v>
      </c>
      <c r="Q300" t="str">
        <f>_xlfn.XLOOKUP(Jnl[[#This Row],[Acct]], dict[Key], dict[Name],,0)</f>
        <v>银行</v>
      </c>
      <c r="R300" t="str">
        <f>_xlfn.XLOOKUP(Jnl[[#This Row],[Vehicle]],config_vehicle[Id], config_vehicle[Name],,0)</f>
        <v>米小易</v>
      </c>
      <c r="S300" t="str">
        <f>_xlfn.XLOOKUP(Jnl[[#This Row],[Division]],config_div[Id], config_div[Name],,0)</f>
        <v>水街店</v>
      </c>
      <c r="T300" t="str">
        <f>IF(Jnl[[#This Row],[TrxDate]]&lt;=stmt_BS_date_end, "In", "Out")</f>
        <v>In</v>
      </c>
      <c r="U300" t="str">
        <f>IF(Jnl[[#This Row],[TrxDate]]&lt;debug_date_start, "prior", IF(Jnl[[#This Row],[TrxDate]]&gt;debug_date_end, "post", "curr"))</f>
        <v>prior</v>
      </c>
    </row>
    <row r="301" spans="1:21">
      <c r="A301" s="11" t="s">
        <v>497</v>
      </c>
      <c r="B301" s="7">
        <f>_xlfn.XLOOKUP(Jnl[[#This Row],[TrxId]], Trx[Id], Trx[Date],,0)</f>
        <v>46053</v>
      </c>
      <c r="C301" s="7" t="str">
        <f>_xlfn.XLOOKUP(Jnl[[#This Row],[TrxId]], Trx[Id], Trx[Division],,0)</f>
        <v>Shuijie</v>
      </c>
      <c r="D301" s="7" t="str">
        <f>_xlfn.XLOOKUP(Jnl[[#This Row],[TrxId]], Trx[Id], Trx[Action],,0)</f>
        <v>支付</v>
      </c>
      <c r="E301" s="26" t="s">
        <v>82</v>
      </c>
      <c r="F301" s="11" t="s">
        <v>590</v>
      </c>
      <c r="G301" s="11" t="s">
        <v>592</v>
      </c>
      <c r="H301" s="72">
        <v>-6990</v>
      </c>
      <c r="I301" s="5" t="b">
        <f>AND(Jnl[[#This Row],[TrxId]]&lt;&gt;"",Jnl[[#This Row],[Acct]]&lt;&gt;"",Jnl[[#This Row],[Item]]&lt;&gt;"",ISNUMBER(Jnl[[#This Row],[Bal]]))</f>
        <v>1</v>
      </c>
      <c r="J301" s="10">
        <f>IF(Jnl[[#This Row],[BSLv0]]="A",1,-1)*Jnl[[#This Row],[Bal]]</f>
        <v>-6990</v>
      </c>
      <c r="K301" t="str">
        <f>_xlfn.XLOOKUP(Jnl[[#This Row],[Acct]], config_BS[Acct], config_BS[Lv0],,0)</f>
        <v>A</v>
      </c>
      <c r="L301" t="str">
        <f>_xlfn.XLOOKUP(Jnl[[#This Row],[Acct]], config_BS[Acct], config_BS[Lv1],,0)</f>
        <v>Assets</v>
      </c>
      <c r="M301" t="str">
        <f>_xlfn.XLOOKUP(Jnl[[#This Row],[Acct]], config_BS[Acct], config_BS[Lv2],,0)</f>
        <v>Cash alike</v>
      </c>
      <c r="N301" t="str">
        <f>_xlfn.XLOOKUP(Jnl[[#This Row],[TrxId]], Trx[Id], Trx[IncNode], ,0)</f>
        <v>Cost</v>
      </c>
      <c r="O301" t="str">
        <f>_xlfn.XLOOKUP(Jnl[[#This Row],[IncNode]], config_IS[Node], config_IS[Type],,0)</f>
        <v>Op</v>
      </c>
      <c r="P301" t="str">
        <f>_xlfn.XLOOKUP(Jnl[[#This Row],[BSLv2]], dict[Key], dict[Name],,0)</f>
        <v>0.现金及类似</v>
      </c>
      <c r="Q301" t="str">
        <f>_xlfn.XLOOKUP(Jnl[[#This Row],[Acct]], dict[Key], dict[Name],,0)</f>
        <v>银行</v>
      </c>
      <c r="R301" t="str">
        <f>_xlfn.XLOOKUP(Jnl[[#This Row],[Vehicle]],config_vehicle[Id], config_vehicle[Name],,0)</f>
        <v>米小易</v>
      </c>
      <c r="S301" t="str">
        <f>_xlfn.XLOOKUP(Jnl[[#This Row],[Division]],config_div[Id], config_div[Name],,0)</f>
        <v>水街店</v>
      </c>
      <c r="T301" t="str">
        <f>IF(Jnl[[#This Row],[TrxDate]]&lt;=stmt_BS_date_end, "In", "Out")</f>
        <v>In</v>
      </c>
      <c r="U301" t="str">
        <f>IF(Jnl[[#This Row],[TrxDate]]&lt;debug_date_start, "prior", IF(Jnl[[#This Row],[TrxDate]]&gt;debug_date_end, "post", "curr"))</f>
        <v>prior</v>
      </c>
    </row>
    <row r="302" spans="1:21">
      <c r="A302" s="11" t="s">
        <v>497</v>
      </c>
      <c r="B302" s="7">
        <f>_xlfn.XLOOKUP(Jnl[[#This Row],[TrxId]], Trx[Id], Trx[Date],,0)</f>
        <v>46053</v>
      </c>
      <c r="C302" s="7" t="str">
        <f>_xlfn.XLOOKUP(Jnl[[#This Row],[TrxId]], Trx[Id], Trx[Division],,0)</f>
        <v>Shuijie</v>
      </c>
      <c r="D302" s="7" t="str">
        <f>_xlfn.XLOOKUP(Jnl[[#This Row],[TrxId]], Trx[Id], Trx[Action],,0)</f>
        <v>支付</v>
      </c>
      <c r="E302" s="26" t="s">
        <v>82</v>
      </c>
      <c r="F302" s="11" t="s">
        <v>493</v>
      </c>
      <c r="G302" s="11" t="s">
        <v>428</v>
      </c>
      <c r="H302" s="72">
        <v>6990</v>
      </c>
      <c r="I302" s="5" t="b">
        <f>AND(Jnl[[#This Row],[TrxId]]&lt;&gt;"",Jnl[[#This Row],[Acct]]&lt;&gt;"",Jnl[[#This Row],[Item]]&lt;&gt;"",ISNUMBER(Jnl[[#This Row],[Bal]]))</f>
        <v>1</v>
      </c>
      <c r="J302" s="10">
        <f>IF(Jnl[[#This Row],[BSLv0]]="A",1,-1)*Jnl[[#This Row],[Bal]]</f>
        <v>6990</v>
      </c>
      <c r="K302" t="str">
        <f>_xlfn.XLOOKUP(Jnl[[#This Row],[Acct]], config_BS[Acct], config_BS[Lv0],,0)</f>
        <v>A</v>
      </c>
      <c r="L302" t="str">
        <f>_xlfn.XLOOKUP(Jnl[[#This Row],[Acct]], config_BS[Acct], config_BS[Lv1],,0)</f>
        <v>Assets</v>
      </c>
      <c r="M302" t="str">
        <f>_xlfn.XLOOKUP(Jnl[[#This Row],[Acct]], config_BS[Acct], config_BS[Lv2],,0)</f>
        <v>Prep-Sub</v>
      </c>
      <c r="N302" t="str">
        <f>_xlfn.XLOOKUP(Jnl[[#This Row],[TrxId]], Trx[Id], Trx[IncNode], ,0)</f>
        <v>Cost</v>
      </c>
      <c r="O302" t="str">
        <f>_xlfn.XLOOKUP(Jnl[[#This Row],[IncNode]], config_IS[Node], config_IS[Type],,0)</f>
        <v>Op</v>
      </c>
      <c r="P302" t="str">
        <f>_xlfn.XLOOKUP(Jnl[[#This Row],[BSLv2]], dict[Key], dict[Name],,0)</f>
        <v>2.预付-订阅</v>
      </c>
      <c r="Q302" t="str">
        <f>_xlfn.XLOOKUP(Jnl[[#This Row],[Acct]], dict[Key], dict[Name],,0)</f>
        <v>预付订单</v>
      </c>
      <c r="R302" t="str">
        <f>_xlfn.XLOOKUP(Jnl[[#This Row],[Vehicle]],config_vehicle[Id], config_vehicle[Name],,0)</f>
        <v>米小易</v>
      </c>
      <c r="S302" t="str">
        <f>_xlfn.XLOOKUP(Jnl[[#This Row],[Division]],config_div[Id], config_div[Name],,0)</f>
        <v>水街店</v>
      </c>
      <c r="T302" t="str">
        <f>IF(Jnl[[#This Row],[TrxDate]]&lt;=stmt_BS_date_end, "In", "Out")</f>
        <v>In</v>
      </c>
      <c r="U302" t="str">
        <f>IF(Jnl[[#This Row],[TrxDate]]&lt;debug_date_start, "prior", IF(Jnl[[#This Row],[TrxDate]]&gt;debug_date_end, "post", "curr"))</f>
        <v>prior</v>
      </c>
    </row>
    <row r="303" spans="1:21">
      <c r="A303" s="11" t="s">
        <v>499</v>
      </c>
      <c r="B303" s="7">
        <f>_xlfn.XLOOKUP(Jnl[[#This Row],[TrxId]], Trx[Id], Trx[Date],,0)</f>
        <v>46053</v>
      </c>
      <c r="C303" s="7" t="str">
        <f>_xlfn.XLOOKUP(Jnl[[#This Row],[TrxId]], Trx[Id], Trx[Division],,0)</f>
        <v>Shuijie</v>
      </c>
      <c r="D303" s="7" t="str">
        <f>_xlfn.XLOOKUP(Jnl[[#This Row],[TrxId]], Trx[Id], Trx[Action],,0)</f>
        <v>支付</v>
      </c>
      <c r="E303" s="26" t="s">
        <v>82</v>
      </c>
      <c r="F303" s="11" t="s">
        <v>590</v>
      </c>
      <c r="G303" s="11" t="s">
        <v>592</v>
      </c>
      <c r="H303" s="72">
        <v>-3000</v>
      </c>
      <c r="I303" s="5" t="b">
        <f>AND(Jnl[[#This Row],[TrxId]]&lt;&gt;"",Jnl[[#This Row],[Acct]]&lt;&gt;"",Jnl[[#This Row],[Item]]&lt;&gt;"",ISNUMBER(Jnl[[#This Row],[Bal]]))</f>
        <v>1</v>
      </c>
      <c r="J303" s="10">
        <f>IF(Jnl[[#This Row],[BSLv0]]="A",1,-1)*Jnl[[#This Row],[Bal]]</f>
        <v>-3000</v>
      </c>
      <c r="K303" t="str">
        <f>_xlfn.XLOOKUP(Jnl[[#This Row],[Acct]], config_BS[Acct], config_BS[Lv0],,0)</f>
        <v>A</v>
      </c>
      <c r="L303" t="str">
        <f>_xlfn.XLOOKUP(Jnl[[#This Row],[Acct]], config_BS[Acct], config_BS[Lv1],,0)</f>
        <v>Assets</v>
      </c>
      <c r="M303" t="str">
        <f>_xlfn.XLOOKUP(Jnl[[#This Row],[Acct]], config_BS[Acct], config_BS[Lv2],,0)</f>
        <v>Cash alike</v>
      </c>
      <c r="N303" t="str">
        <f>_xlfn.XLOOKUP(Jnl[[#This Row],[TrxId]], Trx[Id], Trx[IncNode], ,0)</f>
        <v>Cost</v>
      </c>
      <c r="O303" t="str">
        <f>_xlfn.XLOOKUP(Jnl[[#This Row],[IncNode]], config_IS[Node], config_IS[Type],,0)</f>
        <v>Op</v>
      </c>
      <c r="P303" t="str">
        <f>_xlfn.XLOOKUP(Jnl[[#This Row],[BSLv2]], dict[Key], dict[Name],,0)</f>
        <v>0.现金及类似</v>
      </c>
      <c r="Q303" t="str">
        <f>_xlfn.XLOOKUP(Jnl[[#This Row],[Acct]], dict[Key], dict[Name],,0)</f>
        <v>银行</v>
      </c>
      <c r="R303" t="str">
        <f>_xlfn.XLOOKUP(Jnl[[#This Row],[Vehicle]],config_vehicle[Id], config_vehicle[Name],,0)</f>
        <v>米小易</v>
      </c>
      <c r="S303" t="str">
        <f>_xlfn.XLOOKUP(Jnl[[#This Row],[Division]],config_div[Id], config_div[Name],,0)</f>
        <v>水街店</v>
      </c>
      <c r="T303" t="str">
        <f>IF(Jnl[[#This Row],[TrxDate]]&lt;=stmt_BS_date_end, "In", "Out")</f>
        <v>In</v>
      </c>
      <c r="U303" t="str">
        <f>IF(Jnl[[#This Row],[TrxDate]]&lt;debug_date_start, "prior", IF(Jnl[[#This Row],[TrxDate]]&gt;debug_date_end, "post", "curr"))</f>
        <v>prior</v>
      </c>
    </row>
    <row r="304" spans="1:21">
      <c r="A304" s="11" t="s">
        <v>499</v>
      </c>
      <c r="B304" s="7">
        <f>_xlfn.XLOOKUP(Jnl[[#This Row],[TrxId]], Trx[Id], Trx[Date],,0)</f>
        <v>46053</v>
      </c>
      <c r="C304" s="7" t="str">
        <f>_xlfn.XLOOKUP(Jnl[[#This Row],[TrxId]], Trx[Id], Trx[Division],,0)</f>
        <v>Shuijie</v>
      </c>
      <c r="D304" s="7" t="str">
        <f>_xlfn.XLOOKUP(Jnl[[#This Row],[TrxId]], Trx[Id], Trx[Action],,0)</f>
        <v>支付</v>
      </c>
      <c r="E304" s="26" t="s">
        <v>503</v>
      </c>
      <c r="F304" s="11" t="s">
        <v>493</v>
      </c>
      <c r="G304" s="11" t="s">
        <v>428</v>
      </c>
      <c r="H304" s="72">
        <v>3000</v>
      </c>
      <c r="I304" s="5" t="b">
        <f>AND(Jnl[[#This Row],[TrxId]]&lt;&gt;"",Jnl[[#This Row],[Acct]]&lt;&gt;"",Jnl[[#This Row],[Item]]&lt;&gt;"",ISNUMBER(Jnl[[#This Row],[Bal]]))</f>
        <v>1</v>
      </c>
      <c r="J304" s="10">
        <f>IF(Jnl[[#This Row],[BSLv0]]="A",1,-1)*Jnl[[#This Row],[Bal]]</f>
        <v>3000</v>
      </c>
      <c r="K304" t="str">
        <f>_xlfn.XLOOKUP(Jnl[[#This Row],[Acct]], config_BS[Acct], config_BS[Lv0],,0)</f>
        <v>A</v>
      </c>
      <c r="L304" t="str">
        <f>_xlfn.XLOOKUP(Jnl[[#This Row],[Acct]], config_BS[Acct], config_BS[Lv1],,0)</f>
        <v>Assets</v>
      </c>
      <c r="M304" t="str">
        <f>_xlfn.XLOOKUP(Jnl[[#This Row],[Acct]], config_BS[Acct], config_BS[Lv2],,0)</f>
        <v>Prep-Sub</v>
      </c>
      <c r="N304" t="str">
        <f>_xlfn.XLOOKUP(Jnl[[#This Row],[TrxId]], Trx[Id], Trx[IncNode], ,0)</f>
        <v>Cost</v>
      </c>
      <c r="O304" t="str">
        <f>_xlfn.XLOOKUP(Jnl[[#This Row],[IncNode]], config_IS[Node], config_IS[Type],,0)</f>
        <v>Op</v>
      </c>
      <c r="P304" t="str">
        <f>_xlfn.XLOOKUP(Jnl[[#This Row],[BSLv2]], dict[Key], dict[Name],,0)</f>
        <v>2.预付-订阅</v>
      </c>
      <c r="Q304" t="str">
        <f>_xlfn.XLOOKUP(Jnl[[#This Row],[Acct]], dict[Key], dict[Name],,0)</f>
        <v>预付订单</v>
      </c>
      <c r="R304" t="str">
        <f>_xlfn.XLOOKUP(Jnl[[#This Row],[Vehicle]],config_vehicle[Id], config_vehicle[Name],,0)</f>
        <v>米小易</v>
      </c>
      <c r="S304" t="str">
        <f>_xlfn.XLOOKUP(Jnl[[#This Row],[Division]],config_div[Id], config_div[Name],,0)</f>
        <v>水街店</v>
      </c>
      <c r="T304" t="str">
        <f>IF(Jnl[[#This Row],[TrxDate]]&lt;=stmt_BS_date_end, "In", "Out")</f>
        <v>In</v>
      </c>
      <c r="U304" t="str">
        <f>IF(Jnl[[#This Row],[TrxDate]]&lt;debug_date_start, "prior", IF(Jnl[[#This Row],[TrxDate]]&gt;debug_date_end, "post", "curr"))</f>
        <v>prior</v>
      </c>
    </row>
    <row r="305" spans="1:21">
      <c r="A305" s="11" t="s">
        <v>501</v>
      </c>
      <c r="B305" s="7">
        <f>_xlfn.XLOOKUP(Jnl[[#This Row],[TrxId]], Trx[Id], Trx[Date],,0)</f>
        <v>46053</v>
      </c>
      <c r="C305" s="7" t="str">
        <f>_xlfn.XLOOKUP(Jnl[[#This Row],[TrxId]], Trx[Id], Trx[Division],,0)</f>
        <v>Shuijie</v>
      </c>
      <c r="D305" s="7" t="str">
        <f>_xlfn.XLOOKUP(Jnl[[#This Row],[TrxId]], Trx[Id], Trx[Action],,0)</f>
        <v>食材</v>
      </c>
      <c r="E305" s="26" t="s">
        <v>82</v>
      </c>
      <c r="F305" s="11" t="s">
        <v>590</v>
      </c>
      <c r="G305" s="11" t="s">
        <v>592</v>
      </c>
      <c r="H305" s="72">
        <v>-2820</v>
      </c>
      <c r="I305" s="5" t="b">
        <f>AND(Jnl[[#This Row],[TrxId]]&lt;&gt;"",Jnl[[#This Row],[Acct]]&lt;&gt;"",Jnl[[#This Row],[Item]]&lt;&gt;"",ISNUMBER(Jnl[[#This Row],[Bal]]))</f>
        <v>1</v>
      </c>
      <c r="J305" s="10">
        <f>IF(Jnl[[#This Row],[BSLv0]]="A",1,-1)*Jnl[[#This Row],[Bal]]</f>
        <v>-2820</v>
      </c>
      <c r="K305" t="str">
        <f>_xlfn.XLOOKUP(Jnl[[#This Row],[Acct]], config_BS[Acct], config_BS[Lv0],,0)</f>
        <v>A</v>
      </c>
      <c r="L305" t="str">
        <f>_xlfn.XLOOKUP(Jnl[[#This Row],[Acct]], config_BS[Acct], config_BS[Lv1],,0)</f>
        <v>Assets</v>
      </c>
      <c r="M305" t="str">
        <f>_xlfn.XLOOKUP(Jnl[[#This Row],[Acct]], config_BS[Acct], config_BS[Lv2],,0)</f>
        <v>Cash alike</v>
      </c>
      <c r="N305" t="str">
        <f>_xlfn.XLOOKUP(Jnl[[#This Row],[TrxId]], Trx[Id], Trx[IncNode], ,0)</f>
        <v>Cost</v>
      </c>
      <c r="O305" t="str">
        <f>_xlfn.XLOOKUP(Jnl[[#This Row],[IncNode]], config_IS[Node], config_IS[Type],,0)</f>
        <v>Op</v>
      </c>
      <c r="P305" t="str">
        <f>_xlfn.XLOOKUP(Jnl[[#This Row],[BSLv2]], dict[Key], dict[Name],,0)</f>
        <v>0.现金及类似</v>
      </c>
      <c r="Q305" t="str">
        <f>_xlfn.XLOOKUP(Jnl[[#This Row],[Acct]], dict[Key], dict[Name],,0)</f>
        <v>银行</v>
      </c>
      <c r="R305" t="str">
        <f>_xlfn.XLOOKUP(Jnl[[#This Row],[Vehicle]],config_vehicle[Id], config_vehicle[Name],,0)</f>
        <v>米小易</v>
      </c>
      <c r="S305" t="str">
        <f>_xlfn.XLOOKUP(Jnl[[#This Row],[Division]],config_div[Id], config_div[Name],,0)</f>
        <v>水街店</v>
      </c>
      <c r="T305" t="str">
        <f>IF(Jnl[[#This Row],[TrxDate]]&lt;=stmt_BS_date_end, "In", "Out")</f>
        <v>In</v>
      </c>
      <c r="U305" t="str">
        <f>IF(Jnl[[#This Row],[TrxDate]]&lt;debug_date_start, "prior", IF(Jnl[[#This Row],[TrxDate]]&gt;debug_date_end, "post", "curr"))</f>
        <v>prior</v>
      </c>
    </row>
    <row r="306" spans="1:21">
      <c r="A306" s="11" t="s">
        <v>505</v>
      </c>
      <c r="B306" s="7">
        <f>_xlfn.XLOOKUP(Jnl[[#This Row],[TrxId]], Trx[Id], Trx[Date],,0)</f>
        <v>46053</v>
      </c>
      <c r="C306" s="7" t="str">
        <f>_xlfn.XLOOKUP(Jnl[[#This Row],[TrxId]], Trx[Id], Trx[Division],,0)</f>
        <v>Shuijie</v>
      </c>
      <c r="D306" s="7" t="str">
        <f>_xlfn.XLOOKUP(Jnl[[#This Row],[TrxId]], Trx[Id], Trx[Action],,0)</f>
        <v>其他材料</v>
      </c>
      <c r="E306" s="26" t="s">
        <v>82</v>
      </c>
      <c r="F306" s="11" t="s">
        <v>590</v>
      </c>
      <c r="G306" s="11" t="s">
        <v>592</v>
      </c>
      <c r="H306" s="72">
        <v>-2250</v>
      </c>
      <c r="I306" s="5" t="b">
        <f>AND(Jnl[[#This Row],[TrxId]]&lt;&gt;"",Jnl[[#This Row],[Acct]]&lt;&gt;"",Jnl[[#This Row],[Item]]&lt;&gt;"",ISNUMBER(Jnl[[#This Row],[Bal]]))</f>
        <v>1</v>
      </c>
      <c r="J306" s="10">
        <f>IF(Jnl[[#This Row],[BSLv0]]="A",1,-1)*Jnl[[#This Row],[Bal]]</f>
        <v>-2250</v>
      </c>
      <c r="K306" t="str">
        <f>_xlfn.XLOOKUP(Jnl[[#This Row],[Acct]], config_BS[Acct], config_BS[Lv0],,0)</f>
        <v>A</v>
      </c>
      <c r="L306" t="str">
        <f>_xlfn.XLOOKUP(Jnl[[#This Row],[Acct]], config_BS[Acct], config_BS[Lv1],,0)</f>
        <v>Assets</v>
      </c>
      <c r="M306" t="str">
        <f>_xlfn.XLOOKUP(Jnl[[#This Row],[Acct]], config_BS[Acct], config_BS[Lv2],,0)</f>
        <v>Cash alike</v>
      </c>
      <c r="N306" t="str">
        <f>_xlfn.XLOOKUP(Jnl[[#This Row],[TrxId]], Trx[Id], Trx[IncNode], ,0)</f>
        <v>Cost</v>
      </c>
      <c r="O306" t="str">
        <f>_xlfn.XLOOKUP(Jnl[[#This Row],[IncNode]], config_IS[Node], config_IS[Type],,0)</f>
        <v>Op</v>
      </c>
      <c r="P306" t="str">
        <f>_xlfn.XLOOKUP(Jnl[[#This Row],[BSLv2]], dict[Key], dict[Name],,0)</f>
        <v>0.现金及类似</v>
      </c>
      <c r="Q306" t="str">
        <f>_xlfn.XLOOKUP(Jnl[[#This Row],[Acct]], dict[Key], dict[Name],,0)</f>
        <v>银行</v>
      </c>
      <c r="R306" t="str">
        <f>_xlfn.XLOOKUP(Jnl[[#This Row],[Vehicle]],config_vehicle[Id], config_vehicle[Name],,0)</f>
        <v>米小易</v>
      </c>
      <c r="S306" t="str">
        <f>_xlfn.XLOOKUP(Jnl[[#This Row],[Division]],config_div[Id], config_div[Name],,0)</f>
        <v>水街店</v>
      </c>
      <c r="T306" t="str">
        <f>IF(Jnl[[#This Row],[TrxDate]]&lt;=stmt_BS_date_end, "In", "Out")</f>
        <v>In</v>
      </c>
      <c r="U306" t="str">
        <f>IF(Jnl[[#This Row],[TrxDate]]&lt;debug_date_start, "prior", IF(Jnl[[#This Row],[TrxDate]]&gt;debug_date_end, "post", "curr"))</f>
        <v>prior</v>
      </c>
    </row>
    <row r="307" spans="1:21">
      <c r="A307" s="11" t="s">
        <v>506</v>
      </c>
      <c r="B307" s="7">
        <f>_xlfn.XLOOKUP(Jnl[[#This Row],[TrxId]], Trx[Id], Trx[Date],,0)</f>
        <v>46053</v>
      </c>
      <c r="C307" s="7" t="str">
        <f>_xlfn.XLOOKUP(Jnl[[#This Row],[TrxId]], Trx[Id], Trx[Division],,0)</f>
        <v>GM</v>
      </c>
      <c r="D307" s="7" t="str">
        <f>_xlfn.XLOOKUP(Jnl[[#This Row],[TrxId]], Trx[Id], Trx[Action],,0)</f>
        <v>薪酬-社保</v>
      </c>
      <c r="E307" s="26" t="s">
        <v>82</v>
      </c>
      <c r="F307" s="11" t="s">
        <v>590</v>
      </c>
      <c r="G307" s="11" t="s">
        <v>592</v>
      </c>
      <c r="H307" s="72">
        <v>-36070.720000000001</v>
      </c>
      <c r="I307" s="5" t="b">
        <f>AND(Jnl[[#This Row],[TrxId]]&lt;&gt;"",Jnl[[#This Row],[Acct]]&lt;&gt;"",Jnl[[#This Row],[Item]]&lt;&gt;"",ISNUMBER(Jnl[[#This Row],[Bal]]))</f>
        <v>1</v>
      </c>
      <c r="J307" s="10">
        <f>IF(Jnl[[#This Row],[BSLv0]]="A",1,-1)*Jnl[[#This Row],[Bal]]</f>
        <v>-36070.720000000001</v>
      </c>
      <c r="K307" t="str">
        <f>_xlfn.XLOOKUP(Jnl[[#This Row],[Acct]], config_BS[Acct], config_BS[Lv0],,0)</f>
        <v>A</v>
      </c>
      <c r="L307" t="str">
        <f>_xlfn.XLOOKUP(Jnl[[#This Row],[Acct]], config_BS[Acct], config_BS[Lv1],,0)</f>
        <v>Assets</v>
      </c>
      <c r="M307" t="str">
        <f>_xlfn.XLOOKUP(Jnl[[#This Row],[Acct]], config_BS[Acct], config_BS[Lv2],,0)</f>
        <v>Cash alike</v>
      </c>
      <c r="N307" t="str">
        <f>_xlfn.XLOOKUP(Jnl[[#This Row],[TrxId]], Trx[Id], Trx[IncNode], ,0)</f>
        <v>Expense</v>
      </c>
      <c r="O307" t="str">
        <f>_xlfn.XLOOKUP(Jnl[[#This Row],[IncNode]], config_IS[Node], config_IS[Type],,0)</f>
        <v>Op</v>
      </c>
      <c r="P307" t="str">
        <f>_xlfn.XLOOKUP(Jnl[[#This Row],[BSLv2]], dict[Key], dict[Name],,0)</f>
        <v>0.现金及类似</v>
      </c>
      <c r="Q307" t="str">
        <f>_xlfn.XLOOKUP(Jnl[[#This Row],[Acct]], dict[Key], dict[Name],,0)</f>
        <v>银行</v>
      </c>
      <c r="R307" t="str">
        <f>_xlfn.XLOOKUP(Jnl[[#This Row],[Vehicle]],config_vehicle[Id], config_vehicle[Name],,0)</f>
        <v>米小易</v>
      </c>
      <c r="S307" t="str">
        <f>_xlfn.XLOOKUP(Jnl[[#This Row],[Division]],config_div[Id], config_div[Name],,0)</f>
        <v>综合管理</v>
      </c>
      <c r="T307" t="str">
        <f>IF(Jnl[[#This Row],[TrxDate]]&lt;=stmt_BS_date_end, "In", "Out")</f>
        <v>In</v>
      </c>
      <c r="U307" t="str">
        <f>IF(Jnl[[#This Row],[TrxDate]]&lt;debug_date_start, "prior", IF(Jnl[[#This Row],[TrxDate]]&gt;debug_date_end, "post", "curr"))</f>
        <v>prior</v>
      </c>
    </row>
    <row r="308" spans="1:21">
      <c r="A308" s="11" t="s">
        <v>506</v>
      </c>
      <c r="B308" s="7">
        <f>_xlfn.XLOOKUP(Jnl[[#This Row],[TrxId]], Trx[Id], Trx[Date],,0)</f>
        <v>46053</v>
      </c>
      <c r="C308" s="7" t="str">
        <f>_xlfn.XLOOKUP(Jnl[[#This Row],[TrxId]], Trx[Id], Trx[Division],,0)</f>
        <v>GM</v>
      </c>
      <c r="D308" s="7" t="str">
        <f>_xlfn.XLOOKUP(Jnl[[#This Row],[TrxId]], Trx[Id], Trx[Action],,0)</f>
        <v>薪酬-社保</v>
      </c>
      <c r="E308" s="26" t="s">
        <v>82</v>
      </c>
      <c r="F308" s="11" t="s">
        <v>595</v>
      </c>
      <c r="G308" s="11" t="s">
        <v>344</v>
      </c>
      <c r="H308" s="72">
        <v>10497.3</v>
      </c>
      <c r="I308" s="5" t="b">
        <f>AND(Jnl[[#This Row],[TrxId]]&lt;&gt;"",Jnl[[#This Row],[Acct]]&lt;&gt;"",Jnl[[#This Row],[Item]]&lt;&gt;"",ISNUMBER(Jnl[[#This Row],[Bal]]))</f>
        <v>1</v>
      </c>
      <c r="J308" s="10">
        <f>IF(Jnl[[#This Row],[BSLv0]]="A",1,-1)*Jnl[[#This Row],[Bal]]</f>
        <v>10497.3</v>
      </c>
      <c r="K308" t="str">
        <f>_xlfn.XLOOKUP(Jnl[[#This Row],[Acct]], config_BS[Acct], config_BS[Lv0],,0)</f>
        <v>A</v>
      </c>
      <c r="L308" t="str">
        <f>_xlfn.XLOOKUP(Jnl[[#This Row],[Acct]], config_BS[Acct], config_BS[Lv1],,0)</f>
        <v>Assets</v>
      </c>
      <c r="M308" t="str">
        <f>_xlfn.XLOOKUP(Jnl[[#This Row],[Acct]], config_BS[Acct], config_BS[Lv2],,0)</f>
        <v>Rec-Pay</v>
      </c>
      <c r="N308" t="str">
        <f>_xlfn.XLOOKUP(Jnl[[#This Row],[TrxId]], Trx[Id], Trx[IncNode], ,0)</f>
        <v>Expense</v>
      </c>
      <c r="O308" t="str">
        <f>_xlfn.XLOOKUP(Jnl[[#This Row],[IncNode]], config_IS[Node], config_IS[Type],,0)</f>
        <v>Op</v>
      </c>
      <c r="P308" t="str">
        <f>_xlfn.XLOOKUP(Jnl[[#This Row],[BSLv2]], dict[Key], dict[Name],,0)</f>
        <v>1.应收-应付</v>
      </c>
      <c r="Q308" t="str">
        <f>_xlfn.XLOOKUP(Jnl[[#This Row],[Acct]], dict[Key], dict[Name],,0)</f>
        <v>应收-其他</v>
      </c>
      <c r="R308" t="str">
        <f>_xlfn.XLOOKUP(Jnl[[#This Row],[Vehicle]],config_vehicle[Id], config_vehicle[Name],,0)</f>
        <v>米小易</v>
      </c>
      <c r="S308" t="str">
        <f>_xlfn.XLOOKUP(Jnl[[#This Row],[Division]],config_div[Id], config_div[Name],,0)</f>
        <v>综合管理</v>
      </c>
      <c r="T308" t="str">
        <f>IF(Jnl[[#This Row],[TrxDate]]&lt;=stmt_BS_date_end, "In", "Out")</f>
        <v>In</v>
      </c>
      <c r="U308" t="str">
        <f>IF(Jnl[[#This Row],[TrxDate]]&lt;debug_date_start, "prior", IF(Jnl[[#This Row],[TrxDate]]&gt;debug_date_end, "post", "curr"))</f>
        <v>prior</v>
      </c>
    </row>
    <row r="309" spans="1:21">
      <c r="A309" s="11" t="s">
        <v>507</v>
      </c>
      <c r="B309" s="7">
        <f>_xlfn.XLOOKUP(Jnl[[#This Row],[TrxId]], Trx[Id], Trx[Date],,0)</f>
        <v>46053</v>
      </c>
      <c r="C309" s="7" t="str">
        <f>_xlfn.XLOOKUP(Jnl[[#This Row],[TrxId]], Trx[Id], Trx[Division],,0)</f>
        <v>Shuijie</v>
      </c>
      <c r="D309" s="7" t="str">
        <f>_xlfn.XLOOKUP(Jnl[[#This Row],[TrxId]], Trx[Id], Trx[Action],,0)</f>
        <v>其他材料</v>
      </c>
      <c r="E309" s="26" t="s">
        <v>82</v>
      </c>
      <c r="F309" s="11" t="s">
        <v>590</v>
      </c>
      <c r="G309" s="11" t="s">
        <v>592</v>
      </c>
      <c r="H309" s="72">
        <v>-1300</v>
      </c>
      <c r="I309" s="5" t="b">
        <f>AND(Jnl[[#This Row],[TrxId]]&lt;&gt;"",Jnl[[#This Row],[Acct]]&lt;&gt;"",Jnl[[#This Row],[Item]]&lt;&gt;"",ISNUMBER(Jnl[[#This Row],[Bal]]))</f>
        <v>1</v>
      </c>
      <c r="J309" s="10">
        <f>IF(Jnl[[#This Row],[BSLv0]]="A",1,-1)*Jnl[[#This Row],[Bal]]</f>
        <v>-1300</v>
      </c>
      <c r="K309" t="str">
        <f>_xlfn.XLOOKUP(Jnl[[#This Row],[Acct]], config_BS[Acct], config_BS[Lv0],,0)</f>
        <v>A</v>
      </c>
      <c r="L309" t="str">
        <f>_xlfn.XLOOKUP(Jnl[[#This Row],[Acct]], config_BS[Acct], config_BS[Lv1],,0)</f>
        <v>Assets</v>
      </c>
      <c r="M309" t="str">
        <f>_xlfn.XLOOKUP(Jnl[[#This Row],[Acct]], config_BS[Acct], config_BS[Lv2],,0)</f>
        <v>Cash alike</v>
      </c>
      <c r="N309" t="str">
        <f>_xlfn.XLOOKUP(Jnl[[#This Row],[TrxId]], Trx[Id], Trx[IncNode], ,0)</f>
        <v>Cost</v>
      </c>
      <c r="O309" t="str">
        <f>_xlfn.XLOOKUP(Jnl[[#This Row],[IncNode]], config_IS[Node], config_IS[Type],,0)</f>
        <v>Op</v>
      </c>
      <c r="P309" t="str">
        <f>_xlfn.XLOOKUP(Jnl[[#This Row],[BSLv2]], dict[Key], dict[Name],,0)</f>
        <v>0.现金及类似</v>
      </c>
      <c r="Q309" t="str">
        <f>_xlfn.XLOOKUP(Jnl[[#This Row],[Acct]], dict[Key], dict[Name],,0)</f>
        <v>银行</v>
      </c>
      <c r="R309" t="str">
        <f>_xlfn.XLOOKUP(Jnl[[#This Row],[Vehicle]],config_vehicle[Id], config_vehicle[Name],,0)</f>
        <v>米小易</v>
      </c>
      <c r="S309" t="str">
        <f>_xlfn.XLOOKUP(Jnl[[#This Row],[Division]],config_div[Id], config_div[Name],,0)</f>
        <v>水街店</v>
      </c>
      <c r="T309" t="str">
        <f>IF(Jnl[[#This Row],[TrxDate]]&lt;=stmt_BS_date_end, "In", "Out")</f>
        <v>In</v>
      </c>
      <c r="U309" t="str">
        <f>IF(Jnl[[#This Row],[TrxDate]]&lt;debug_date_start, "prior", IF(Jnl[[#This Row],[TrxDate]]&gt;debug_date_end, "post", "curr"))</f>
        <v>prior</v>
      </c>
    </row>
    <row r="310" spans="1:21">
      <c r="A310" s="11" t="s">
        <v>508</v>
      </c>
      <c r="B310" s="7">
        <f>_xlfn.XLOOKUP(Jnl[[#This Row],[TrxId]], Trx[Id], Trx[Date],,0)</f>
        <v>46053</v>
      </c>
      <c r="C310" s="7" t="str">
        <f>_xlfn.XLOOKUP(Jnl[[#This Row],[TrxId]], Trx[Id], Trx[Division],,0)</f>
        <v>Shuijie</v>
      </c>
      <c r="D310" s="7" t="str">
        <f>_xlfn.XLOOKUP(Jnl[[#This Row],[TrxId]], Trx[Id], Trx[Action],,0)</f>
        <v>支付</v>
      </c>
      <c r="E310" s="26" t="s">
        <v>82</v>
      </c>
      <c r="F310" s="11" t="s">
        <v>590</v>
      </c>
      <c r="G310" s="11" t="s">
        <v>592</v>
      </c>
      <c r="H310" s="72">
        <v>-2015</v>
      </c>
      <c r="I310" s="5" t="b">
        <f>AND(Jnl[[#This Row],[TrxId]]&lt;&gt;"",Jnl[[#This Row],[Acct]]&lt;&gt;"",Jnl[[#This Row],[Item]]&lt;&gt;"",ISNUMBER(Jnl[[#This Row],[Bal]]))</f>
        <v>1</v>
      </c>
      <c r="J310" s="10">
        <f>IF(Jnl[[#This Row],[BSLv0]]="A",1,-1)*Jnl[[#This Row],[Bal]]</f>
        <v>-2015</v>
      </c>
      <c r="K310" t="str">
        <f>_xlfn.XLOOKUP(Jnl[[#This Row],[Acct]], config_BS[Acct], config_BS[Lv0],,0)</f>
        <v>A</v>
      </c>
      <c r="L310" t="str">
        <f>_xlfn.XLOOKUP(Jnl[[#This Row],[Acct]], config_BS[Acct], config_BS[Lv1],,0)</f>
        <v>Assets</v>
      </c>
      <c r="M310" t="str">
        <f>_xlfn.XLOOKUP(Jnl[[#This Row],[Acct]], config_BS[Acct], config_BS[Lv2],,0)</f>
        <v>Cash alike</v>
      </c>
      <c r="N310" t="str">
        <f>_xlfn.XLOOKUP(Jnl[[#This Row],[TrxId]], Trx[Id], Trx[IncNode], ,0)</f>
        <v>Expense</v>
      </c>
      <c r="O310" t="str">
        <f>_xlfn.XLOOKUP(Jnl[[#This Row],[IncNode]], config_IS[Node], config_IS[Type],,0)</f>
        <v>Op</v>
      </c>
      <c r="P310" t="str">
        <f>_xlfn.XLOOKUP(Jnl[[#This Row],[BSLv2]], dict[Key], dict[Name],,0)</f>
        <v>0.现金及类似</v>
      </c>
      <c r="Q310" t="str">
        <f>_xlfn.XLOOKUP(Jnl[[#This Row],[Acct]], dict[Key], dict[Name],,0)</f>
        <v>银行</v>
      </c>
      <c r="R310" t="str">
        <f>_xlfn.XLOOKUP(Jnl[[#This Row],[Vehicle]],config_vehicle[Id], config_vehicle[Name],,0)</f>
        <v>米小易</v>
      </c>
      <c r="S310" t="str">
        <f>_xlfn.XLOOKUP(Jnl[[#This Row],[Division]],config_div[Id], config_div[Name],,0)</f>
        <v>水街店</v>
      </c>
      <c r="T310" t="str">
        <f>IF(Jnl[[#This Row],[TrxDate]]&lt;=stmt_BS_date_end, "In", "Out")</f>
        <v>In</v>
      </c>
      <c r="U310" t="str">
        <f>IF(Jnl[[#This Row],[TrxDate]]&lt;debug_date_start, "prior", IF(Jnl[[#This Row],[TrxDate]]&gt;debug_date_end, "post", "curr"))</f>
        <v>prior</v>
      </c>
    </row>
    <row r="311" spans="1:21">
      <c r="A311" s="11" t="s">
        <v>508</v>
      </c>
      <c r="B311" s="7">
        <f>_xlfn.XLOOKUP(Jnl[[#This Row],[TrxId]], Trx[Id], Trx[Date],,0)</f>
        <v>46053</v>
      </c>
      <c r="C311" s="7" t="str">
        <f>_xlfn.XLOOKUP(Jnl[[#This Row],[TrxId]], Trx[Id], Trx[Division],,0)</f>
        <v>Shuijie</v>
      </c>
      <c r="D311" s="7" t="str">
        <f>_xlfn.XLOOKUP(Jnl[[#This Row],[TrxId]], Trx[Id], Trx[Action],,0)</f>
        <v>支付</v>
      </c>
      <c r="E311" s="26" t="s">
        <v>82</v>
      </c>
      <c r="F311" s="11" t="s">
        <v>493</v>
      </c>
      <c r="G311" s="11" t="s">
        <v>428</v>
      </c>
      <c r="H311" s="72">
        <v>2015</v>
      </c>
      <c r="I311" s="5" t="b">
        <f>AND(Jnl[[#This Row],[TrxId]]&lt;&gt;"",Jnl[[#This Row],[Acct]]&lt;&gt;"",Jnl[[#This Row],[Item]]&lt;&gt;"",ISNUMBER(Jnl[[#This Row],[Bal]]))</f>
        <v>1</v>
      </c>
      <c r="J311" s="10">
        <f>IF(Jnl[[#This Row],[BSLv0]]="A",1,-1)*Jnl[[#This Row],[Bal]]</f>
        <v>2015</v>
      </c>
      <c r="K311" t="str">
        <f>_xlfn.XLOOKUP(Jnl[[#This Row],[Acct]], config_BS[Acct], config_BS[Lv0],,0)</f>
        <v>A</v>
      </c>
      <c r="L311" t="str">
        <f>_xlfn.XLOOKUP(Jnl[[#This Row],[Acct]], config_BS[Acct], config_BS[Lv1],,0)</f>
        <v>Assets</v>
      </c>
      <c r="M311" t="str">
        <f>_xlfn.XLOOKUP(Jnl[[#This Row],[Acct]], config_BS[Acct], config_BS[Lv2],,0)</f>
        <v>Prep-Sub</v>
      </c>
      <c r="N311" t="str">
        <f>_xlfn.XLOOKUP(Jnl[[#This Row],[TrxId]], Trx[Id], Trx[IncNode], ,0)</f>
        <v>Expense</v>
      </c>
      <c r="O311" t="str">
        <f>_xlfn.XLOOKUP(Jnl[[#This Row],[IncNode]], config_IS[Node], config_IS[Type],,0)</f>
        <v>Op</v>
      </c>
      <c r="P311" t="str">
        <f>_xlfn.XLOOKUP(Jnl[[#This Row],[BSLv2]], dict[Key], dict[Name],,0)</f>
        <v>2.预付-订阅</v>
      </c>
      <c r="Q311" t="str">
        <f>_xlfn.XLOOKUP(Jnl[[#This Row],[Acct]], dict[Key], dict[Name],,0)</f>
        <v>预付订单</v>
      </c>
      <c r="R311" t="str">
        <f>_xlfn.XLOOKUP(Jnl[[#This Row],[Vehicle]],config_vehicle[Id], config_vehicle[Name],,0)</f>
        <v>米小易</v>
      </c>
      <c r="S311" t="str">
        <f>_xlfn.XLOOKUP(Jnl[[#This Row],[Division]],config_div[Id], config_div[Name],,0)</f>
        <v>水街店</v>
      </c>
      <c r="T311" t="str">
        <f>IF(Jnl[[#This Row],[TrxDate]]&lt;=stmt_BS_date_end, "In", "Out")</f>
        <v>In</v>
      </c>
      <c r="U311" t="str">
        <f>IF(Jnl[[#This Row],[TrxDate]]&lt;debug_date_start, "prior", IF(Jnl[[#This Row],[TrxDate]]&gt;debug_date_end, "post", "curr"))</f>
        <v>prior</v>
      </c>
    </row>
    <row r="312" spans="1:21">
      <c r="A312" s="11" t="s">
        <v>510</v>
      </c>
      <c r="B312" s="7">
        <f>_xlfn.XLOOKUP(Jnl[[#This Row],[TrxId]], Trx[Id], Trx[Date],,0)</f>
        <v>46053</v>
      </c>
      <c r="C312" s="7" t="str">
        <f>_xlfn.XLOOKUP(Jnl[[#This Row],[TrxId]], Trx[Id], Trx[Division],,0)</f>
        <v>Shuijie</v>
      </c>
      <c r="D312" s="7" t="str">
        <f>_xlfn.XLOOKUP(Jnl[[#This Row],[TrxId]], Trx[Id], Trx[Action],,0)</f>
        <v>食材</v>
      </c>
      <c r="E312" s="26" t="s">
        <v>82</v>
      </c>
      <c r="F312" s="11" t="s">
        <v>590</v>
      </c>
      <c r="G312" s="11" t="s">
        <v>592</v>
      </c>
      <c r="H312" s="72">
        <v>-22050</v>
      </c>
      <c r="I312" s="5" t="b">
        <f>AND(Jnl[[#This Row],[TrxId]]&lt;&gt;"",Jnl[[#This Row],[Acct]]&lt;&gt;"",Jnl[[#This Row],[Item]]&lt;&gt;"",ISNUMBER(Jnl[[#This Row],[Bal]]))</f>
        <v>1</v>
      </c>
      <c r="J312" s="10">
        <f>IF(Jnl[[#This Row],[BSLv0]]="A",1,-1)*Jnl[[#This Row],[Bal]]</f>
        <v>-22050</v>
      </c>
      <c r="K312" t="str">
        <f>_xlfn.XLOOKUP(Jnl[[#This Row],[Acct]], config_BS[Acct], config_BS[Lv0],,0)</f>
        <v>A</v>
      </c>
      <c r="L312" t="str">
        <f>_xlfn.XLOOKUP(Jnl[[#This Row],[Acct]], config_BS[Acct], config_BS[Lv1],,0)</f>
        <v>Assets</v>
      </c>
      <c r="M312" t="str">
        <f>_xlfn.XLOOKUP(Jnl[[#This Row],[Acct]], config_BS[Acct], config_BS[Lv2],,0)</f>
        <v>Cash alike</v>
      </c>
      <c r="N312" t="str">
        <f>_xlfn.XLOOKUP(Jnl[[#This Row],[TrxId]], Trx[Id], Trx[IncNode], ,0)</f>
        <v>Cost</v>
      </c>
      <c r="O312" t="str">
        <f>_xlfn.XLOOKUP(Jnl[[#This Row],[IncNode]], config_IS[Node], config_IS[Type],,0)</f>
        <v>Op</v>
      </c>
      <c r="P312" t="str">
        <f>_xlfn.XLOOKUP(Jnl[[#This Row],[BSLv2]], dict[Key], dict[Name],,0)</f>
        <v>0.现金及类似</v>
      </c>
      <c r="Q312" t="str">
        <f>_xlfn.XLOOKUP(Jnl[[#This Row],[Acct]], dict[Key], dict[Name],,0)</f>
        <v>银行</v>
      </c>
      <c r="R312" t="str">
        <f>_xlfn.XLOOKUP(Jnl[[#This Row],[Vehicle]],config_vehicle[Id], config_vehicle[Name],,0)</f>
        <v>米小易</v>
      </c>
      <c r="S312" t="str">
        <f>_xlfn.XLOOKUP(Jnl[[#This Row],[Division]],config_div[Id], config_div[Name],,0)</f>
        <v>水街店</v>
      </c>
      <c r="T312" t="str">
        <f>IF(Jnl[[#This Row],[TrxDate]]&lt;=stmt_BS_date_end, "In", "Out")</f>
        <v>In</v>
      </c>
      <c r="U312" t="str">
        <f>IF(Jnl[[#This Row],[TrxDate]]&lt;debug_date_start, "prior", IF(Jnl[[#This Row],[TrxDate]]&gt;debug_date_end, "post", "curr"))</f>
        <v>prior</v>
      </c>
    </row>
    <row r="313" spans="1:21">
      <c r="A313" s="11" t="s">
        <v>511</v>
      </c>
      <c r="B313" s="7">
        <f>_xlfn.XLOOKUP(Jnl[[#This Row],[TrxId]], Trx[Id], Trx[Date],,0)</f>
        <v>46053</v>
      </c>
      <c r="C313" s="7" t="str">
        <f>_xlfn.XLOOKUP(Jnl[[#This Row],[TrxId]], Trx[Id], Trx[Division],,0)</f>
        <v>Shuijie</v>
      </c>
      <c r="D313" s="7" t="str">
        <f>_xlfn.XLOOKUP(Jnl[[#This Row],[TrxId]], Trx[Id], Trx[Action],,0)</f>
        <v>支付</v>
      </c>
      <c r="E313" s="26" t="s">
        <v>82</v>
      </c>
      <c r="F313" s="11" t="s">
        <v>493</v>
      </c>
      <c r="G313" s="11" t="s">
        <v>428</v>
      </c>
      <c r="H313" s="72">
        <v>564</v>
      </c>
      <c r="I313" s="5" t="b">
        <f>AND(Jnl[[#This Row],[TrxId]]&lt;&gt;"",Jnl[[#This Row],[Acct]]&lt;&gt;"",Jnl[[#This Row],[Item]]&lt;&gt;"",ISNUMBER(Jnl[[#This Row],[Bal]]))</f>
        <v>1</v>
      </c>
      <c r="J313" s="10">
        <f>IF(Jnl[[#This Row],[BSLv0]]="A",1,-1)*Jnl[[#This Row],[Bal]]</f>
        <v>564</v>
      </c>
      <c r="K313" t="str">
        <f>_xlfn.XLOOKUP(Jnl[[#This Row],[Acct]], config_BS[Acct], config_BS[Lv0],,0)</f>
        <v>A</v>
      </c>
      <c r="L313" t="str">
        <f>_xlfn.XLOOKUP(Jnl[[#This Row],[Acct]], config_BS[Acct], config_BS[Lv1],,0)</f>
        <v>Assets</v>
      </c>
      <c r="M313" t="str">
        <f>_xlfn.XLOOKUP(Jnl[[#This Row],[Acct]], config_BS[Acct], config_BS[Lv2],,0)</f>
        <v>Prep-Sub</v>
      </c>
      <c r="N313" t="str">
        <f>_xlfn.XLOOKUP(Jnl[[#This Row],[TrxId]], Trx[Id], Trx[IncNode], ,0)</f>
        <v>Cost</v>
      </c>
      <c r="O313" t="str">
        <f>_xlfn.XLOOKUP(Jnl[[#This Row],[IncNode]], config_IS[Node], config_IS[Type],,0)</f>
        <v>Op</v>
      </c>
      <c r="P313" t="str">
        <f>_xlfn.XLOOKUP(Jnl[[#This Row],[BSLv2]], dict[Key], dict[Name],,0)</f>
        <v>2.预付-订阅</v>
      </c>
      <c r="Q313" t="str">
        <f>_xlfn.XLOOKUP(Jnl[[#This Row],[Acct]], dict[Key], dict[Name],,0)</f>
        <v>预付订单</v>
      </c>
      <c r="R313" t="str">
        <f>_xlfn.XLOOKUP(Jnl[[#This Row],[Vehicle]],config_vehicle[Id], config_vehicle[Name],,0)</f>
        <v>米小易</v>
      </c>
      <c r="S313" t="str">
        <f>_xlfn.XLOOKUP(Jnl[[#This Row],[Division]],config_div[Id], config_div[Name],,0)</f>
        <v>水街店</v>
      </c>
      <c r="T313" t="str">
        <f>IF(Jnl[[#This Row],[TrxDate]]&lt;=stmt_BS_date_end, "In", "Out")</f>
        <v>In</v>
      </c>
      <c r="U313" t="str">
        <f>IF(Jnl[[#This Row],[TrxDate]]&lt;debug_date_start, "prior", IF(Jnl[[#This Row],[TrxDate]]&gt;debug_date_end, "post", "curr"))</f>
        <v>prior</v>
      </c>
    </row>
    <row r="314" spans="1:21">
      <c r="A314" s="11" t="s">
        <v>511</v>
      </c>
      <c r="B314" s="7">
        <f>_xlfn.XLOOKUP(Jnl[[#This Row],[TrxId]], Trx[Id], Trx[Date],,0)</f>
        <v>46053</v>
      </c>
      <c r="C314" s="7" t="str">
        <f>_xlfn.XLOOKUP(Jnl[[#This Row],[TrxId]], Trx[Id], Trx[Division],,0)</f>
        <v>Shuijie</v>
      </c>
      <c r="D314" s="7" t="str">
        <f>_xlfn.XLOOKUP(Jnl[[#This Row],[TrxId]], Trx[Id], Trx[Action],,0)</f>
        <v>支付</v>
      </c>
      <c r="E314" s="26" t="s">
        <v>82</v>
      </c>
      <c r="F314" s="11" t="s">
        <v>590</v>
      </c>
      <c r="G314" s="11" t="s">
        <v>592</v>
      </c>
      <c r="H314" s="72">
        <v>-564</v>
      </c>
      <c r="I314" s="5" t="b">
        <f>AND(Jnl[[#This Row],[TrxId]]&lt;&gt;"",Jnl[[#This Row],[Acct]]&lt;&gt;"",Jnl[[#This Row],[Item]]&lt;&gt;"",ISNUMBER(Jnl[[#This Row],[Bal]]))</f>
        <v>1</v>
      </c>
      <c r="J314" s="10">
        <f>IF(Jnl[[#This Row],[BSLv0]]="A",1,-1)*Jnl[[#This Row],[Bal]]</f>
        <v>-564</v>
      </c>
      <c r="K314" t="str">
        <f>_xlfn.XLOOKUP(Jnl[[#This Row],[Acct]], config_BS[Acct], config_BS[Lv0],,0)</f>
        <v>A</v>
      </c>
      <c r="L314" t="str">
        <f>_xlfn.XLOOKUP(Jnl[[#This Row],[Acct]], config_BS[Acct], config_BS[Lv1],,0)</f>
        <v>Assets</v>
      </c>
      <c r="M314" t="str">
        <f>_xlfn.XLOOKUP(Jnl[[#This Row],[Acct]], config_BS[Acct], config_BS[Lv2],,0)</f>
        <v>Cash alike</v>
      </c>
      <c r="N314" t="str">
        <f>_xlfn.XLOOKUP(Jnl[[#This Row],[TrxId]], Trx[Id], Trx[IncNode], ,0)</f>
        <v>Cost</v>
      </c>
      <c r="O314" t="str">
        <f>_xlfn.XLOOKUP(Jnl[[#This Row],[IncNode]], config_IS[Node], config_IS[Type],,0)</f>
        <v>Op</v>
      </c>
      <c r="P314" t="str">
        <f>_xlfn.XLOOKUP(Jnl[[#This Row],[BSLv2]], dict[Key], dict[Name],,0)</f>
        <v>0.现金及类似</v>
      </c>
      <c r="Q314" t="str">
        <f>_xlfn.XLOOKUP(Jnl[[#This Row],[Acct]], dict[Key], dict[Name],,0)</f>
        <v>银行</v>
      </c>
      <c r="R314" t="str">
        <f>_xlfn.XLOOKUP(Jnl[[#This Row],[Vehicle]],config_vehicle[Id], config_vehicle[Name],,0)</f>
        <v>米小易</v>
      </c>
      <c r="S314" t="str">
        <f>_xlfn.XLOOKUP(Jnl[[#This Row],[Division]],config_div[Id], config_div[Name],,0)</f>
        <v>水街店</v>
      </c>
      <c r="T314" t="str">
        <f>IF(Jnl[[#This Row],[TrxDate]]&lt;=stmt_BS_date_end, "In", "Out")</f>
        <v>In</v>
      </c>
      <c r="U314" t="str">
        <f>IF(Jnl[[#This Row],[TrxDate]]&lt;debug_date_start, "prior", IF(Jnl[[#This Row],[TrxDate]]&gt;debug_date_end, "post", "curr"))</f>
        <v>prior</v>
      </c>
    </row>
    <row r="315" spans="1:21">
      <c r="A315" s="11" t="s">
        <v>513</v>
      </c>
      <c r="B315" s="7">
        <f>_xlfn.XLOOKUP(Jnl[[#This Row],[TrxId]], Trx[Id], Trx[Date],,0)</f>
        <v>46053</v>
      </c>
      <c r="C315" s="7" t="str">
        <f>_xlfn.XLOOKUP(Jnl[[#This Row],[TrxId]], Trx[Id], Trx[Division],,0)</f>
        <v>Shuijie</v>
      </c>
      <c r="D315" s="7" t="str">
        <f>_xlfn.XLOOKUP(Jnl[[#This Row],[TrxId]], Trx[Id], Trx[Action],,0)</f>
        <v>支付</v>
      </c>
      <c r="E315" s="26" t="s">
        <v>82</v>
      </c>
      <c r="F315" s="11" t="s">
        <v>493</v>
      </c>
      <c r="G315" s="11" t="s">
        <v>428</v>
      </c>
      <c r="H315" s="72">
        <v>3360</v>
      </c>
      <c r="I315" s="5" t="b">
        <f>AND(Jnl[[#This Row],[TrxId]]&lt;&gt;"",Jnl[[#This Row],[Acct]]&lt;&gt;"",Jnl[[#This Row],[Item]]&lt;&gt;"",ISNUMBER(Jnl[[#This Row],[Bal]]))</f>
        <v>1</v>
      </c>
      <c r="J315" s="10">
        <f>IF(Jnl[[#This Row],[BSLv0]]="A",1,-1)*Jnl[[#This Row],[Bal]]</f>
        <v>3360</v>
      </c>
      <c r="K315" t="str">
        <f>_xlfn.XLOOKUP(Jnl[[#This Row],[Acct]], config_BS[Acct], config_BS[Lv0],,0)</f>
        <v>A</v>
      </c>
      <c r="L315" t="str">
        <f>_xlfn.XLOOKUP(Jnl[[#This Row],[Acct]], config_BS[Acct], config_BS[Lv1],,0)</f>
        <v>Assets</v>
      </c>
      <c r="M315" t="str">
        <f>_xlfn.XLOOKUP(Jnl[[#This Row],[Acct]], config_BS[Acct], config_BS[Lv2],,0)</f>
        <v>Prep-Sub</v>
      </c>
      <c r="N315" t="str">
        <f>_xlfn.XLOOKUP(Jnl[[#This Row],[TrxId]], Trx[Id], Trx[IncNode], ,0)</f>
        <v>Cost</v>
      </c>
      <c r="O315" t="str">
        <f>_xlfn.XLOOKUP(Jnl[[#This Row],[IncNode]], config_IS[Node], config_IS[Type],,0)</f>
        <v>Op</v>
      </c>
      <c r="P315" t="str">
        <f>_xlfn.XLOOKUP(Jnl[[#This Row],[BSLv2]], dict[Key], dict[Name],,0)</f>
        <v>2.预付-订阅</v>
      </c>
      <c r="Q315" t="str">
        <f>_xlfn.XLOOKUP(Jnl[[#This Row],[Acct]], dict[Key], dict[Name],,0)</f>
        <v>预付订单</v>
      </c>
      <c r="R315" t="str">
        <f>_xlfn.XLOOKUP(Jnl[[#This Row],[Vehicle]],config_vehicle[Id], config_vehicle[Name],,0)</f>
        <v>米小易</v>
      </c>
      <c r="S315" t="str">
        <f>_xlfn.XLOOKUP(Jnl[[#This Row],[Division]],config_div[Id], config_div[Name],,0)</f>
        <v>水街店</v>
      </c>
      <c r="T315" t="str">
        <f>IF(Jnl[[#This Row],[TrxDate]]&lt;=stmt_BS_date_end, "In", "Out")</f>
        <v>In</v>
      </c>
      <c r="U315" t="str">
        <f>IF(Jnl[[#This Row],[TrxDate]]&lt;debug_date_start, "prior", IF(Jnl[[#This Row],[TrxDate]]&gt;debug_date_end, "post", "curr"))</f>
        <v>prior</v>
      </c>
    </row>
    <row r="316" spans="1:21">
      <c r="A316" s="11" t="s">
        <v>513</v>
      </c>
      <c r="B316" s="7">
        <f>_xlfn.XLOOKUP(Jnl[[#This Row],[TrxId]], Trx[Id], Trx[Date],,0)</f>
        <v>46053</v>
      </c>
      <c r="C316" s="7" t="str">
        <f>_xlfn.XLOOKUP(Jnl[[#This Row],[TrxId]], Trx[Id], Trx[Division],,0)</f>
        <v>Shuijie</v>
      </c>
      <c r="D316" s="7" t="str">
        <f>_xlfn.XLOOKUP(Jnl[[#This Row],[TrxId]], Trx[Id], Trx[Action],,0)</f>
        <v>支付</v>
      </c>
      <c r="E316" s="26" t="s">
        <v>82</v>
      </c>
      <c r="F316" s="11" t="s">
        <v>590</v>
      </c>
      <c r="G316" s="11" t="s">
        <v>592</v>
      </c>
      <c r="H316" s="72">
        <v>-3360</v>
      </c>
      <c r="I316" s="5" t="b">
        <f>AND(Jnl[[#This Row],[TrxId]]&lt;&gt;"",Jnl[[#This Row],[Acct]]&lt;&gt;"",Jnl[[#This Row],[Item]]&lt;&gt;"",ISNUMBER(Jnl[[#This Row],[Bal]]))</f>
        <v>1</v>
      </c>
      <c r="J316" s="10">
        <f>IF(Jnl[[#This Row],[BSLv0]]="A",1,-1)*Jnl[[#This Row],[Bal]]</f>
        <v>-3360</v>
      </c>
      <c r="K316" t="str">
        <f>_xlfn.XLOOKUP(Jnl[[#This Row],[Acct]], config_BS[Acct], config_BS[Lv0],,0)</f>
        <v>A</v>
      </c>
      <c r="L316" t="str">
        <f>_xlfn.XLOOKUP(Jnl[[#This Row],[Acct]], config_BS[Acct], config_BS[Lv1],,0)</f>
        <v>Assets</v>
      </c>
      <c r="M316" t="str">
        <f>_xlfn.XLOOKUP(Jnl[[#This Row],[Acct]], config_BS[Acct], config_BS[Lv2],,0)</f>
        <v>Cash alike</v>
      </c>
      <c r="N316" t="str">
        <f>_xlfn.XLOOKUP(Jnl[[#This Row],[TrxId]], Trx[Id], Trx[IncNode], ,0)</f>
        <v>Cost</v>
      </c>
      <c r="O316" t="str">
        <f>_xlfn.XLOOKUP(Jnl[[#This Row],[IncNode]], config_IS[Node], config_IS[Type],,0)</f>
        <v>Op</v>
      </c>
      <c r="P316" t="str">
        <f>_xlfn.XLOOKUP(Jnl[[#This Row],[BSLv2]], dict[Key], dict[Name],,0)</f>
        <v>0.现金及类似</v>
      </c>
      <c r="Q316" t="str">
        <f>_xlfn.XLOOKUP(Jnl[[#This Row],[Acct]], dict[Key], dict[Name],,0)</f>
        <v>银行</v>
      </c>
      <c r="R316" t="str">
        <f>_xlfn.XLOOKUP(Jnl[[#This Row],[Vehicle]],config_vehicle[Id], config_vehicle[Name],,0)</f>
        <v>米小易</v>
      </c>
      <c r="S316" t="str">
        <f>_xlfn.XLOOKUP(Jnl[[#This Row],[Division]],config_div[Id], config_div[Name],,0)</f>
        <v>水街店</v>
      </c>
      <c r="T316" t="str">
        <f>IF(Jnl[[#This Row],[TrxDate]]&lt;=stmt_BS_date_end, "In", "Out")</f>
        <v>In</v>
      </c>
      <c r="U316" t="str">
        <f>IF(Jnl[[#This Row],[TrxDate]]&lt;debug_date_start, "prior", IF(Jnl[[#This Row],[TrxDate]]&gt;debug_date_end, "post", "curr"))</f>
        <v>prior</v>
      </c>
    </row>
    <row r="317" spans="1:21">
      <c r="A317" s="11" t="s">
        <v>514</v>
      </c>
      <c r="B317" s="7">
        <f>_xlfn.XLOOKUP(Jnl[[#This Row],[TrxId]], Trx[Id], Trx[Date],,0)</f>
        <v>46053</v>
      </c>
      <c r="C317" s="7" t="str">
        <f>_xlfn.XLOOKUP(Jnl[[#This Row],[TrxId]], Trx[Id], Trx[Division],,0)</f>
        <v>Shuijie</v>
      </c>
      <c r="D317" s="7" t="str">
        <f>_xlfn.XLOOKUP(Jnl[[#This Row],[TrxId]], Trx[Id], Trx[Action],,0)</f>
        <v>支付</v>
      </c>
      <c r="E317" s="26" t="s">
        <v>82</v>
      </c>
      <c r="F317" s="11" t="s">
        <v>493</v>
      </c>
      <c r="G317" s="11" t="s">
        <v>428</v>
      </c>
      <c r="H317" s="72">
        <v>5252</v>
      </c>
      <c r="I317" s="5" t="b">
        <f>AND(Jnl[[#This Row],[TrxId]]&lt;&gt;"",Jnl[[#This Row],[Acct]]&lt;&gt;"",Jnl[[#This Row],[Item]]&lt;&gt;"",ISNUMBER(Jnl[[#This Row],[Bal]]))</f>
        <v>1</v>
      </c>
      <c r="J317" s="10">
        <f>IF(Jnl[[#This Row],[BSLv0]]="A",1,-1)*Jnl[[#This Row],[Bal]]</f>
        <v>5252</v>
      </c>
      <c r="K317" t="str">
        <f>_xlfn.XLOOKUP(Jnl[[#This Row],[Acct]], config_BS[Acct], config_BS[Lv0],,0)</f>
        <v>A</v>
      </c>
      <c r="L317" t="str">
        <f>_xlfn.XLOOKUP(Jnl[[#This Row],[Acct]], config_BS[Acct], config_BS[Lv1],,0)</f>
        <v>Assets</v>
      </c>
      <c r="M317" t="str">
        <f>_xlfn.XLOOKUP(Jnl[[#This Row],[Acct]], config_BS[Acct], config_BS[Lv2],,0)</f>
        <v>Prep-Sub</v>
      </c>
      <c r="N317" t="str">
        <f>_xlfn.XLOOKUP(Jnl[[#This Row],[TrxId]], Trx[Id], Trx[IncNode], ,0)</f>
        <v>Cost</v>
      </c>
      <c r="O317" t="str">
        <f>_xlfn.XLOOKUP(Jnl[[#This Row],[IncNode]], config_IS[Node], config_IS[Type],,0)</f>
        <v>Op</v>
      </c>
      <c r="P317" t="str">
        <f>_xlfn.XLOOKUP(Jnl[[#This Row],[BSLv2]], dict[Key], dict[Name],,0)</f>
        <v>2.预付-订阅</v>
      </c>
      <c r="Q317" t="str">
        <f>_xlfn.XLOOKUP(Jnl[[#This Row],[Acct]], dict[Key], dict[Name],,0)</f>
        <v>预付订单</v>
      </c>
      <c r="R317" t="str">
        <f>_xlfn.XLOOKUP(Jnl[[#This Row],[Vehicle]],config_vehicle[Id], config_vehicle[Name],,0)</f>
        <v>米小易</v>
      </c>
      <c r="S317" t="str">
        <f>_xlfn.XLOOKUP(Jnl[[#This Row],[Division]],config_div[Id], config_div[Name],,0)</f>
        <v>水街店</v>
      </c>
      <c r="T317" t="str">
        <f>IF(Jnl[[#This Row],[TrxDate]]&lt;=stmt_BS_date_end, "In", "Out")</f>
        <v>In</v>
      </c>
      <c r="U317" t="str">
        <f>IF(Jnl[[#This Row],[TrxDate]]&lt;debug_date_start, "prior", IF(Jnl[[#This Row],[TrxDate]]&gt;debug_date_end, "post", "curr"))</f>
        <v>prior</v>
      </c>
    </row>
    <row r="318" spans="1:21">
      <c r="A318" s="11" t="s">
        <v>514</v>
      </c>
      <c r="B318" s="7">
        <f>_xlfn.XLOOKUP(Jnl[[#This Row],[TrxId]], Trx[Id], Trx[Date],,0)</f>
        <v>46053</v>
      </c>
      <c r="C318" s="7" t="str">
        <f>_xlfn.XLOOKUP(Jnl[[#This Row],[TrxId]], Trx[Id], Trx[Division],,0)</f>
        <v>Shuijie</v>
      </c>
      <c r="D318" s="7" t="str">
        <f>_xlfn.XLOOKUP(Jnl[[#This Row],[TrxId]], Trx[Id], Trx[Action],,0)</f>
        <v>支付</v>
      </c>
      <c r="E318" s="26" t="s">
        <v>82</v>
      </c>
      <c r="F318" s="11" t="s">
        <v>590</v>
      </c>
      <c r="G318" s="11" t="s">
        <v>592</v>
      </c>
      <c r="H318" s="72">
        <v>-5252</v>
      </c>
      <c r="I318" s="5" t="b">
        <f>AND(Jnl[[#This Row],[TrxId]]&lt;&gt;"",Jnl[[#This Row],[Acct]]&lt;&gt;"",Jnl[[#This Row],[Item]]&lt;&gt;"",ISNUMBER(Jnl[[#This Row],[Bal]]))</f>
        <v>1</v>
      </c>
      <c r="J318" s="10">
        <f>IF(Jnl[[#This Row],[BSLv0]]="A",1,-1)*Jnl[[#This Row],[Bal]]</f>
        <v>-5252</v>
      </c>
      <c r="K318" t="str">
        <f>_xlfn.XLOOKUP(Jnl[[#This Row],[Acct]], config_BS[Acct], config_BS[Lv0],,0)</f>
        <v>A</v>
      </c>
      <c r="L318" t="str">
        <f>_xlfn.XLOOKUP(Jnl[[#This Row],[Acct]], config_BS[Acct], config_BS[Lv1],,0)</f>
        <v>Assets</v>
      </c>
      <c r="M318" t="str">
        <f>_xlfn.XLOOKUP(Jnl[[#This Row],[Acct]], config_BS[Acct], config_BS[Lv2],,0)</f>
        <v>Cash alike</v>
      </c>
      <c r="N318" t="str">
        <f>_xlfn.XLOOKUP(Jnl[[#This Row],[TrxId]], Trx[Id], Trx[IncNode], ,0)</f>
        <v>Cost</v>
      </c>
      <c r="O318" t="str">
        <f>_xlfn.XLOOKUP(Jnl[[#This Row],[IncNode]], config_IS[Node], config_IS[Type],,0)</f>
        <v>Op</v>
      </c>
      <c r="P318" t="str">
        <f>_xlfn.XLOOKUP(Jnl[[#This Row],[BSLv2]], dict[Key], dict[Name],,0)</f>
        <v>0.现金及类似</v>
      </c>
      <c r="Q318" t="str">
        <f>_xlfn.XLOOKUP(Jnl[[#This Row],[Acct]], dict[Key], dict[Name],,0)</f>
        <v>银行</v>
      </c>
      <c r="R318" t="str">
        <f>_xlfn.XLOOKUP(Jnl[[#This Row],[Vehicle]],config_vehicle[Id], config_vehicle[Name],,0)</f>
        <v>米小易</v>
      </c>
      <c r="S318" t="str">
        <f>_xlfn.XLOOKUP(Jnl[[#This Row],[Division]],config_div[Id], config_div[Name],,0)</f>
        <v>水街店</v>
      </c>
      <c r="T318" t="str">
        <f>IF(Jnl[[#This Row],[TrxDate]]&lt;=stmt_BS_date_end, "In", "Out")</f>
        <v>In</v>
      </c>
      <c r="U318" t="str">
        <f>IF(Jnl[[#This Row],[TrxDate]]&lt;debug_date_start, "prior", IF(Jnl[[#This Row],[TrxDate]]&gt;debug_date_end, "post", "curr"))</f>
        <v>prior</v>
      </c>
    </row>
    <row r="319" spans="1:21">
      <c r="A319" s="11" t="s">
        <v>516</v>
      </c>
      <c r="B319" s="7">
        <f>_xlfn.XLOOKUP(Jnl[[#This Row],[TrxId]], Trx[Id], Trx[Date],,0)</f>
        <v>46053</v>
      </c>
      <c r="C319" s="7" t="str">
        <f>_xlfn.XLOOKUP(Jnl[[#This Row],[TrxId]], Trx[Id], Trx[Division],,0)</f>
        <v>Shuijie</v>
      </c>
      <c r="D319" s="7" t="str">
        <f>_xlfn.XLOOKUP(Jnl[[#This Row],[TrxId]], Trx[Id], Trx[Action],,0)</f>
        <v>食材</v>
      </c>
      <c r="E319" s="26" t="s">
        <v>82</v>
      </c>
      <c r="F319" s="11" t="s">
        <v>590</v>
      </c>
      <c r="G319" s="11" t="s">
        <v>592</v>
      </c>
      <c r="H319" s="72">
        <v>-30085.119999999999</v>
      </c>
      <c r="I319" s="5" t="b">
        <f>AND(Jnl[[#This Row],[TrxId]]&lt;&gt;"",Jnl[[#This Row],[Acct]]&lt;&gt;"",Jnl[[#This Row],[Item]]&lt;&gt;"",ISNUMBER(Jnl[[#This Row],[Bal]]))</f>
        <v>1</v>
      </c>
      <c r="J319" s="10">
        <f>IF(Jnl[[#This Row],[BSLv0]]="A",1,-1)*Jnl[[#This Row],[Bal]]</f>
        <v>-30085.119999999999</v>
      </c>
      <c r="K319" t="str">
        <f>_xlfn.XLOOKUP(Jnl[[#This Row],[Acct]], config_BS[Acct], config_BS[Lv0],,0)</f>
        <v>A</v>
      </c>
      <c r="L319" t="str">
        <f>_xlfn.XLOOKUP(Jnl[[#This Row],[Acct]], config_BS[Acct], config_BS[Lv1],,0)</f>
        <v>Assets</v>
      </c>
      <c r="M319" t="str">
        <f>_xlfn.XLOOKUP(Jnl[[#This Row],[Acct]], config_BS[Acct], config_BS[Lv2],,0)</f>
        <v>Cash alike</v>
      </c>
      <c r="N319" t="str">
        <f>_xlfn.XLOOKUP(Jnl[[#This Row],[TrxId]], Trx[Id], Trx[IncNode], ,0)</f>
        <v>Cost</v>
      </c>
      <c r="O319" t="str">
        <f>_xlfn.XLOOKUP(Jnl[[#This Row],[IncNode]], config_IS[Node], config_IS[Type],,0)</f>
        <v>Op</v>
      </c>
      <c r="P319" t="str">
        <f>_xlfn.XLOOKUP(Jnl[[#This Row],[BSLv2]], dict[Key], dict[Name],,0)</f>
        <v>0.现金及类似</v>
      </c>
      <c r="Q319" t="str">
        <f>_xlfn.XLOOKUP(Jnl[[#This Row],[Acct]], dict[Key], dict[Name],,0)</f>
        <v>银行</v>
      </c>
      <c r="R319" t="str">
        <f>_xlfn.XLOOKUP(Jnl[[#This Row],[Vehicle]],config_vehicle[Id], config_vehicle[Name],,0)</f>
        <v>米小易</v>
      </c>
      <c r="S319" t="str">
        <f>_xlfn.XLOOKUP(Jnl[[#This Row],[Division]],config_div[Id], config_div[Name],,0)</f>
        <v>水街店</v>
      </c>
      <c r="T319" t="str">
        <f>IF(Jnl[[#This Row],[TrxDate]]&lt;=stmt_BS_date_end, "In", "Out")</f>
        <v>In</v>
      </c>
      <c r="U319" t="str">
        <f>IF(Jnl[[#This Row],[TrxDate]]&lt;debug_date_start, "prior", IF(Jnl[[#This Row],[TrxDate]]&gt;debug_date_end, "post", "curr"))</f>
        <v>prior</v>
      </c>
    </row>
    <row r="320" spans="1:21">
      <c r="A320" s="11" t="s">
        <v>518</v>
      </c>
      <c r="B320" s="7">
        <f>_xlfn.XLOOKUP(Jnl[[#This Row],[TrxId]], Trx[Id], Trx[Date],,0)</f>
        <v>46053</v>
      </c>
      <c r="C320" s="7" t="str">
        <f>_xlfn.XLOOKUP(Jnl[[#This Row],[TrxId]], Trx[Id], Trx[Division],,0)</f>
        <v>Shuijie</v>
      </c>
      <c r="D320" s="7" t="str">
        <f>_xlfn.XLOOKUP(Jnl[[#This Row],[TrxId]], Trx[Id], Trx[Action],,0)</f>
        <v>支付</v>
      </c>
      <c r="E320" s="26" t="s">
        <v>82</v>
      </c>
      <c r="F320" s="11" t="s">
        <v>493</v>
      </c>
      <c r="G320" s="11" t="s">
        <v>428</v>
      </c>
      <c r="H320" s="72">
        <v>3218</v>
      </c>
      <c r="I320" s="5" t="b">
        <f>AND(Jnl[[#This Row],[TrxId]]&lt;&gt;"",Jnl[[#This Row],[Acct]]&lt;&gt;"",Jnl[[#This Row],[Item]]&lt;&gt;"",ISNUMBER(Jnl[[#This Row],[Bal]]))</f>
        <v>1</v>
      </c>
      <c r="J320" s="10">
        <f>IF(Jnl[[#This Row],[BSLv0]]="A",1,-1)*Jnl[[#This Row],[Bal]]</f>
        <v>3218</v>
      </c>
      <c r="K320" t="str">
        <f>_xlfn.XLOOKUP(Jnl[[#This Row],[Acct]], config_BS[Acct], config_BS[Lv0],,0)</f>
        <v>A</v>
      </c>
      <c r="L320" t="str">
        <f>_xlfn.XLOOKUP(Jnl[[#This Row],[Acct]], config_BS[Acct], config_BS[Lv1],,0)</f>
        <v>Assets</v>
      </c>
      <c r="M320" t="str">
        <f>_xlfn.XLOOKUP(Jnl[[#This Row],[Acct]], config_BS[Acct], config_BS[Lv2],,0)</f>
        <v>Prep-Sub</v>
      </c>
      <c r="N320" t="str">
        <f>_xlfn.XLOOKUP(Jnl[[#This Row],[TrxId]], Trx[Id], Trx[IncNode], ,0)</f>
        <v>Cost</v>
      </c>
      <c r="O320" t="str">
        <f>_xlfn.XLOOKUP(Jnl[[#This Row],[IncNode]], config_IS[Node], config_IS[Type],,0)</f>
        <v>Op</v>
      </c>
      <c r="P320" t="str">
        <f>_xlfn.XLOOKUP(Jnl[[#This Row],[BSLv2]], dict[Key], dict[Name],,0)</f>
        <v>2.预付-订阅</v>
      </c>
      <c r="Q320" t="str">
        <f>_xlfn.XLOOKUP(Jnl[[#This Row],[Acct]], dict[Key], dict[Name],,0)</f>
        <v>预付订单</v>
      </c>
      <c r="R320" t="str">
        <f>_xlfn.XLOOKUP(Jnl[[#This Row],[Vehicle]],config_vehicle[Id], config_vehicle[Name],,0)</f>
        <v>米小易</v>
      </c>
      <c r="S320" t="str">
        <f>_xlfn.XLOOKUP(Jnl[[#This Row],[Division]],config_div[Id], config_div[Name],,0)</f>
        <v>水街店</v>
      </c>
      <c r="T320" t="str">
        <f>IF(Jnl[[#This Row],[TrxDate]]&lt;=stmt_BS_date_end, "In", "Out")</f>
        <v>In</v>
      </c>
      <c r="U320" t="str">
        <f>IF(Jnl[[#This Row],[TrxDate]]&lt;debug_date_start, "prior", IF(Jnl[[#This Row],[TrxDate]]&gt;debug_date_end, "post", "curr"))</f>
        <v>prior</v>
      </c>
    </row>
    <row r="321" spans="1:21">
      <c r="A321" s="11" t="s">
        <v>518</v>
      </c>
      <c r="B321" s="7">
        <f>_xlfn.XLOOKUP(Jnl[[#This Row],[TrxId]], Trx[Id], Trx[Date],,0)</f>
        <v>46053</v>
      </c>
      <c r="C321" s="7" t="str">
        <f>_xlfn.XLOOKUP(Jnl[[#This Row],[TrxId]], Trx[Id], Trx[Division],,0)</f>
        <v>Shuijie</v>
      </c>
      <c r="D321" s="7" t="str">
        <f>_xlfn.XLOOKUP(Jnl[[#This Row],[TrxId]], Trx[Id], Trx[Action],,0)</f>
        <v>支付</v>
      </c>
      <c r="E321" s="26" t="s">
        <v>82</v>
      </c>
      <c r="F321" s="11" t="s">
        <v>590</v>
      </c>
      <c r="G321" s="11" t="s">
        <v>592</v>
      </c>
      <c r="H321" s="72">
        <v>-3218</v>
      </c>
      <c r="I321" s="5" t="b">
        <f>AND(Jnl[[#This Row],[TrxId]]&lt;&gt;"",Jnl[[#This Row],[Acct]]&lt;&gt;"",Jnl[[#This Row],[Item]]&lt;&gt;"",ISNUMBER(Jnl[[#This Row],[Bal]]))</f>
        <v>1</v>
      </c>
      <c r="J321" s="10">
        <f>IF(Jnl[[#This Row],[BSLv0]]="A",1,-1)*Jnl[[#This Row],[Bal]]</f>
        <v>-3218</v>
      </c>
      <c r="K321" t="str">
        <f>_xlfn.XLOOKUP(Jnl[[#This Row],[Acct]], config_BS[Acct], config_BS[Lv0],,0)</f>
        <v>A</v>
      </c>
      <c r="L321" t="str">
        <f>_xlfn.XLOOKUP(Jnl[[#This Row],[Acct]], config_BS[Acct], config_BS[Lv1],,0)</f>
        <v>Assets</v>
      </c>
      <c r="M321" t="str">
        <f>_xlfn.XLOOKUP(Jnl[[#This Row],[Acct]], config_BS[Acct], config_BS[Lv2],,0)</f>
        <v>Cash alike</v>
      </c>
      <c r="N321" t="str">
        <f>_xlfn.XLOOKUP(Jnl[[#This Row],[TrxId]], Trx[Id], Trx[IncNode], ,0)</f>
        <v>Cost</v>
      </c>
      <c r="O321" t="str">
        <f>_xlfn.XLOOKUP(Jnl[[#This Row],[IncNode]], config_IS[Node], config_IS[Type],,0)</f>
        <v>Op</v>
      </c>
      <c r="P321" t="str">
        <f>_xlfn.XLOOKUP(Jnl[[#This Row],[BSLv2]], dict[Key], dict[Name],,0)</f>
        <v>0.现金及类似</v>
      </c>
      <c r="Q321" t="str">
        <f>_xlfn.XLOOKUP(Jnl[[#This Row],[Acct]], dict[Key], dict[Name],,0)</f>
        <v>银行</v>
      </c>
      <c r="R321" t="str">
        <f>_xlfn.XLOOKUP(Jnl[[#This Row],[Vehicle]],config_vehicle[Id], config_vehicle[Name],,0)</f>
        <v>米小易</v>
      </c>
      <c r="S321" t="str">
        <f>_xlfn.XLOOKUP(Jnl[[#This Row],[Division]],config_div[Id], config_div[Name],,0)</f>
        <v>水街店</v>
      </c>
      <c r="T321" t="str">
        <f>IF(Jnl[[#This Row],[TrxDate]]&lt;=stmt_BS_date_end, "In", "Out")</f>
        <v>In</v>
      </c>
      <c r="U321" t="str">
        <f>IF(Jnl[[#This Row],[TrxDate]]&lt;debug_date_start, "prior", IF(Jnl[[#This Row],[TrxDate]]&gt;debug_date_end, "post", "curr"))</f>
        <v>prior</v>
      </c>
    </row>
    <row r="322" spans="1:21">
      <c r="A322" s="11" t="s">
        <v>520</v>
      </c>
      <c r="B322" s="7">
        <f>_xlfn.XLOOKUP(Jnl[[#This Row],[TrxId]], Trx[Id], Trx[Date],,0)</f>
        <v>46053</v>
      </c>
      <c r="C322" s="7" t="str">
        <f>_xlfn.XLOOKUP(Jnl[[#This Row],[TrxId]], Trx[Id], Trx[Division],,0)</f>
        <v>Shuijie</v>
      </c>
      <c r="D322" s="7" t="str">
        <f>_xlfn.XLOOKUP(Jnl[[#This Row],[TrxId]], Trx[Id], Trx[Action],,0)</f>
        <v>支付</v>
      </c>
      <c r="E322" s="26" t="s">
        <v>82</v>
      </c>
      <c r="F322" s="11" t="s">
        <v>493</v>
      </c>
      <c r="G322" s="11" t="s">
        <v>428</v>
      </c>
      <c r="H322" s="72">
        <v>3750</v>
      </c>
      <c r="I322" s="5" t="b">
        <f>AND(Jnl[[#This Row],[TrxId]]&lt;&gt;"",Jnl[[#This Row],[Acct]]&lt;&gt;"",Jnl[[#This Row],[Item]]&lt;&gt;"",ISNUMBER(Jnl[[#This Row],[Bal]]))</f>
        <v>1</v>
      </c>
      <c r="J322" s="10">
        <f>IF(Jnl[[#This Row],[BSLv0]]="A",1,-1)*Jnl[[#This Row],[Bal]]</f>
        <v>3750</v>
      </c>
      <c r="K322" t="str">
        <f>_xlfn.XLOOKUP(Jnl[[#This Row],[Acct]], config_BS[Acct], config_BS[Lv0],,0)</f>
        <v>A</v>
      </c>
      <c r="L322" t="str">
        <f>_xlfn.XLOOKUP(Jnl[[#This Row],[Acct]], config_BS[Acct], config_BS[Lv1],,0)</f>
        <v>Assets</v>
      </c>
      <c r="M322" t="str">
        <f>_xlfn.XLOOKUP(Jnl[[#This Row],[Acct]], config_BS[Acct], config_BS[Lv2],,0)</f>
        <v>Prep-Sub</v>
      </c>
      <c r="N322" t="str">
        <f>_xlfn.XLOOKUP(Jnl[[#This Row],[TrxId]], Trx[Id], Trx[IncNode], ,0)</f>
        <v>Cost</v>
      </c>
      <c r="O322" t="str">
        <f>_xlfn.XLOOKUP(Jnl[[#This Row],[IncNode]], config_IS[Node], config_IS[Type],,0)</f>
        <v>Op</v>
      </c>
      <c r="P322" t="str">
        <f>_xlfn.XLOOKUP(Jnl[[#This Row],[BSLv2]], dict[Key], dict[Name],,0)</f>
        <v>2.预付-订阅</v>
      </c>
      <c r="Q322" t="str">
        <f>_xlfn.XLOOKUP(Jnl[[#This Row],[Acct]], dict[Key], dict[Name],,0)</f>
        <v>预付订单</v>
      </c>
      <c r="R322" t="str">
        <f>_xlfn.XLOOKUP(Jnl[[#This Row],[Vehicle]],config_vehicle[Id], config_vehicle[Name],,0)</f>
        <v>米小易</v>
      </c>
      <c r="S322" t="str">
        <f>_xlfn.XLOOKUP(Jnl[[#This Row],[Division]],config_div[Id], config_div[Name],,0)</f>
        <v>水街店</v>
      </c>
      <c r="T322" t="str">
        <f>IF(Jnl[[#This Row],[TrxDate]]&lt;=stmt_BS_date_end, "In", "Out")</f>
        <v>In</v>
      </c>
      <c r="U322" t="str">
        <f>IF(Jnl[[#This Row],[TrxDate]]&lt;debug_date_start, "prior", IF(Jnl[[#This Row],[TrxDate]]&gt;debug_date_end, "post", "curr"))</f>
        <v>prior</v>
      </c>
    </row>
    <row r="323" spans="1:21">
      <c r="A323" s="11" t="s">
        <v>520</v>
      </c>
      <c r="B323" s="7">
        <f>_xlfn.XLOOKUP(Jnl[[#This Row],[TrxId]], Trx[Id], Trx[Date],,0)</f>
        <v>46053</v>
      </c>
      <c r="C323" s="7" t="str">
        <f>_xlfn.XLOOKUP(Jnl[[#This Row],[TrxId]], Trx[Id], Trx[Division],,0)</f>
        <v>Shuijie</v>
      </c>
      <c r="D323" s="7" t="str">
        <f>_xlfn.XLOOKUP(Jnl[[#This Row],[TrxId]], Trx[Id], Trx[Action],,0)</f>
        <v>支付</v>
      </c>
      <c r="E323" s="26" t="s">
        <v>82</v>
      </c>
      <c r="F323" s="11" t="s">
        <v>590</v>
      </c>
      <c r="G323" s="11" t="s">
        <v>592</v>
      </c>
      <c r="H323" s="72">
        <v>-3750</v>
      </c>
      <c r="I323" s="5" t="b">
        <f>AND(Jnl[[#This Row],[TrxId]]&lt;&gt;"",Jnl[[#This Row],[Acct]]&lt;&gt;"",Jnl[[#This Row],[Item]]&lt;&gt;"",ISNUMBER(Jnl[[#This Row],[Bal]]))</f>
        <v>1</v>
      </c>
      <c r="J323" s="10">
        <f>IF(Jnl[[#This Row],[BSLv0]]="A",1,-1)*Jnl[[#This Row],[Bal]]</f>
        <v>-3750</v>
      </c>
      <c r="K323" t="str">
        <f>_xlfn.XLOOKUP(Jnl[[#This Row],[Acct]], config_BS[Acct], config_BS[Lv0],,0)</f>
        <v>A</v>
      </c>
      <c r="L323" t="str">
        <f>_xlfn.XLOOKUP(Jnl[[#This Row],[Acct]], config_BS[Acct], config_BS[Lv1],,0)</f>
        <v>Assets</v>
      </c>
      <c r="M323" t="str">
        <f>_xlfn.XLOOKUP(Jnl[[#This Row],[Acct]], config_BS[Acct], config_BS[Lv2],,0)</f>
        <v>Cash alike</v>
      </c>
      <c r="N323" t="str">
        <f>_xlfn.XLOOKUP(Jnl[[#This Row],[TrxId]], Trx[Id], Trx[IncNode], ,0)</f>
        <v>Cost</v>
      </c>
      <c r="O323" t="str">
        <f>_xlfn.XLOOKUP(Jnl[[#This Row],[IncNode]], config_IS[Node], config_IS[Type],,0)</f>
        <v>Op</v>
      </c>
      <c r="P323" t="str">
        <f>_xlfn.XLOOKUP(Jnl[[#This Row],[BSLv2]], dict[Key], dict[Name],,0)</f>
        <v>0.现金及类似</v>
      </c>
      <c r="Q323" t="str">
        <f>_xlfn.XLOOKUP(Jnl[[#This Row],[Acct]], dict[Key], dict[Name],,0)</f>
        <v>银行</v>
      </c>
      <c r="R323" t="str">
        <f>_xlfn.XLOOKUP(Jnl[[#This Row],[Vehicle]],config_vehicle[Id], config_vehicle[Name],,0)</f>
        <v>米小易</v>
      </c>
      <c r="S323" t="str">
        <f>_xlfn.XLOOKUP(Jnl[[#This Row],[Division]],config_div[Id], config_div[Name],,0)</f>
        <v>水街店</v>
      </c>
      <c r="T323" t="str">
        <f>IF(Jnl[[#This Row],[TrxDate]]&lt;=stmt_BS_date_end, "In", "Out")</f>
        <v>In</v>
      </c>
      <c r="U323" t="str">
        <f>IF(Jnl[[#This Row],[TrxDate]]&lt;debug_date_start, "prior", IF(Jnl[[#This Row],[TrxDate]]&gt;debug_date_end, "post", "curr"))</f>
        <v>prior</v>
      </c>
    </row>
    <row r="324" spans="1:21">
      <c r="A324" s="11" t="s">
        <v>522</v>
      </c>
      <c r="B324" s="7">
        <f>_xlfn.XLOOKUP(Jnl[[#This Row],[TrxId]], Trx[Id], Trx[Date],,0)</f>
        <v>46053</v>
      </c>
      <c r="C324" s="7" t="str">
        <f>_xlfn.XLOOKUP(Jnl[[#This Row],[TrxId]], Trx[Id], Trx[Division],,0)</f>
        <v>Shuijie</v>
      </c>
      <c r="D324" s="7" t="str">
        <f>_xlfn.XLOOKUP(Jnl[[#This Row],[TrxId]], Trx[Id], Trx[Action],,0)</f>
        <v>支付</v>
      </c>
      <c r="E324" s="26" t="s">
        <v>82</v>
      </c>
      <c r="F324" s="11" t="s">
        <v>493</v>
      </c>
      <c r="G324" s="11" t="s">
        <v>428</v>
      </c>
      <c r="H324" s="72">
        <v>1990</v>
      </c>
      <c r="I324" s="5" t="b">
        <f>AND(Jnl[[#This Row],[TrxId]]&lt;&gt;"",Jnl[[#This Row],[Acct]]&lt;&gt;"",Jnl[[#This Row],[Item]]&lt;&gt;"",ISNUMBER(Jnl[[#This Row],[Bal]]))</f>
        <v>1</v>
      </c>
      <c r="J324" s="10">
        <f>IF(Jnl[[#This Row],[BSLv0]]="A",1,-1)*Jnl[[#This Row],[Bal]]</f>
        <v>1990</v>
      </c>
      <c r="K324" t="str">
        <f>_xlfn.XLOOKUP(Jnl[[#This Row],[Acct]], config_BS[Acct], config_BS[Lv0],,0)</f>
        <v>A</v>
      </c>
      <c r="L324" t="str">
        <f>_xlfn.XLOOKUP(Jnl[[#This Row],[Acct]], config_BS[Acct], config_BS[Lv1],,0)</f>
        <v>Assets</v>
      </c>
      <c r="M324" t="str">
        <f>_xlfn.XLOOKUP(Jnl[[#This Row],[Acct]], config_BS[Acct], config_BS[Lv2],,0)</f>
        <v>Prep-Sub</v>
      </c>
      <c r="N324" t="str">
        <f>_xlfn.XLOOKUP(Jnl[[#This Row],[TrxId]], Trx[Id], Trx[IncNode], ,0)</f>
        <v>Cost</v>
      </c>
      <c r="O324" t="str">
        <f>_xlfn.XLOOKUP(Jnl[[#This Row],[IncNode]], config_IS[Node], config_IS[Type],,0)</f>
        <v>Op</v>
      </c>
      <c r="P324" t="str">
        <f>_xlfn.XLOOKUP(Jnl[[#This Row],[BSLv2]], dict[Key], dict[Name],,0)</f>
        <v>2.预付-订阅</v>
      </c>
      <c r="Q324" t="str">
        <f>_xlfn.XLOOKUP(Jnl[[#This Row],[Acct]], dict[Key], dict[Name],,0)</f>
        <v>预付订单</v>
      </c>
      <c r="R324" t="str">
        <f>_xlfn.XLOOKUP(Jnl[[#This Row],[Vehicle]],config_vehicle[Id], config_vehicle[Name],,0)</f>
        <v>米小易</v>
      </c>
      <c r="S324" t="str">
        <f>_xlfn.XLOOKUP(Jnl[[#This Row],[Division]],config_div[Id], config_div[Name],,0)</f>
        <v>水街店</v>
      </c>
      <c r="T324" t="str">
        <f>IF(Jnl[[#This Row],[TrxDate]]&lt;=stmt_BS_date_end, "In", "Out")</f>
        <v>In</v>
      </c>
      <c r="U324" t="str">
        <f>IF(Jnl[[#This Row],[TrxDate]]&lt;debug_date_start, "prior", IF(Jnl[[#This Row],[TrxDate]]&gt;debug_date_end, "post", "curr"))</f>
        <v>prior</v>
      </c>
    </row>
    <row r="325" spans="1:21">
      <c r="A325" s="11" t="s">
        <v>522</v>
      </c>
      <c r="B325" s="7">
        <f>_xlfn.XLOOKUP(Jnl[[#This Row],[TrxId]], Trx[Id], Trx[Date],,0)</f>
        <v>46053</v>
      </c>
      <c r="C325" s="7" t="str">
        <f>_xlfn.XLOOKUP(Jnl[[#This Row],[TrxId]], Trx[Id], Trx[Division],,0)</f>
        <v>Shuijie</v>
      </c>
      <c r="D325" s="7" t="str">
        <f>_xlfn.XLOOKUP(Jnl[[#This Row],[TrxId]], Trx[Id], Trx[Action],,0)</f>
        <v>支付</v>
      </c>
      <c r="E325" s="26" t="s">
        <v>82</v>
      </c>
      <c r="F325" s="11" t="s">
        <v>590</v>
      </c>
      <c r="G325" s="11" t="s">
        <v>592</v>
      </c>
      <c r="H325" s="72">
        <v>-1990</v>
      </c>
      <c r="I325" s="5" t="b">
        <f>AND(Jnl[[#This Row],[TrxId]]&lt;&gt;"",Jnl[[#This Row],[Acct]]&lt;&gt;"",Jnl[[#This Row],[Item]]&lt;&gt;"",ISNUMBER(Jnl[[#This Row],[Bal]]))</f>
        <v>1</v>
      </c>
      <c r="J325" s="10">
        <f>IF(Jnl[[#This Row],[BSLv0]]="A",1,-1)*Jnl[[#This Row],[Bal]]</f>
        <v>-1990</v>
      </c>
      <c r="K325" t="str">
        <f>_xlfn.XLOOKUP(Jnl[[#This Row],[Acct]], config_BS[Acct], config_BS[Lv0],,0)</f>
        <v>A</v>
      </c>
      <c r="L325" t="str">
        <f>_xlfn.XLOOKUP(Jnl[[#This Row],[Acct]], config_BS[Acct], config_BS[Lv1],,0)</f>
        <v>Assets</v>
      </c>
      <c r="M325" t="str">
        <f>_xlfn.XLOOKUP(Jnl[[#This Row],[Acct]], config_BS[Acct], config_BS[Lv2],,0)</f>
        <v>Cash alike</v>
      </c>
      <c r="N325" t="str">
        <f>_xlfn.XLOOKUP(Jnl[[#This Row],[TrxId]], Trx[Id], Trx[IncNode], ,0)</f>
        <v>Cost</v>
      </c>
      <c r="O325" t="str">
        <f>_xlfn.XLOOKUP(Jnl[[#This Row],[IncNode]], config_IS[Node], config_IS[Type],,0)</f>
        <v>Op</v>
      </c>
      <c r="P325" t="str">
        <f>_xlfn.XLOOKUP(Jnl[[#This Row],[BSLv2]], dict[Key], dict[Name],,0)</f>
        <v>0.现金及类似</v>
      </c>
      <c r="Q325" t="str">
        <f>_xlfn.XLOOKUP(Jnl[[#This Row],[Acct]], dict[Key], dict[Name],,0)</f>
        <v>银行</v>
      </c>
      <c r="R325" t="str">
        <f>_xlfn.XLOOKUP(Jnl[[#This Row],[Vehicle]],config_vehicle[Id], config_vehicle[Name],,0)</f>
        <v>米小易</v>
      </c>
      <c r="S325" t="str">
        <f>_xlfn.XLOOKUP(Jnl[[#This Row],[Division]],config_div[Id], config_div[Name],,0)</f>
        <v>水街店</v>
      </c>
      <c r="T325" t="str">
        <f>IF(Jnl[[#This Row],[TrxDate]]&lt;=stmt_BS_date_end, "In", "Out")</f>
        <v>In</v>
      </c>
      <c r="U325" t="str">
        <f>IF(Jnl[[#This Row],[TrxDate]]&lt;debug_date_start, "prior", IF(Jnl[[#This Row],[TrxDate]]&gt;debug_date_end, "post", "curr"))</f>
        <v>prior</v>
      </c>
    </row>
    <row r="326" spans="1:21">
      <c r="A326" s="11" t="s">
        <v>523</v>
      </c>
      <c r="B326" s="7">
        <f>_xlfn.XLOOKUP(Jnl[[#This Row],[TrxId]], Trx[Id], Trx[Date],,0)</f>
        <v>46053</v>
      </c>
      <c r="C326" s="7" t="str">
        <f>_xlfn.XLOOKUP(Jnl[[#This Row],[TrxId]], Trx[Id], Trx[Division],,0)</f>
        <v>Shuijie</v>
      </c>
      <c r="D326" s="7" t="str">
        <f>_xlfn.XLOOKUP(Jnl[[#This Row],[TrxId]], Trx[Id], Trx[Action],,0)</f>
        <v>支付</v>
      </c>
      <c r="E326" s="26" t="s">
        <v>82</v>
      </c>
      <c r="F326" s="11" t="s">
        <v>493</v>
      </c>
      <c r="G326" s="11" t="s">
        <v>428</v>
      </c>
      <c r="H326" s="72">
        <v>2540</v>
      </c>
      <c r="I326" s="5" t="b">
        <f>AND(Jnl[[#This Row],[TrxId]]&lt;&gt;"",Jnl[[#This Row],[Acct]]&lt;&gt;"",Jnl[[#This Row],[Item]]&lt;&gt;"",ISNUMBER(Jnl[[#This Row],[Bal]]))</f>
        <v>1</v>
      </c>
      <c r="J326" s="10">
        <f>IF(Jnl[[#This Row],[BSLv0]]="A",1,-1)*Jnl[[#This Row],[Bal]]</f>
        <v>2540</v>
      </c>
      <c r="K326" t="str">
        <f>_xlfn.XLOOKUP(Jnl[[#This Row],[Acct]], config_BS[Acct], config_BS[Lv0],,0)</f>
        <v>A</v>
      </c>
      <c r="L326" t="str">
        <f>_xlfn.XLOOKUP(Jnl[[#This Row],[Acct]], config_BS[Acct], config_BS[Lv1],,0)</f>
        <v>Assets</v>
      </c>
      <c r="M326" t="str">
        <f>_xlfn.XLOOKUP(Jnl[[#This Row],[Acct]], config_BS[Acct], config_BS[Lv2],,0)</f>
        <v>Prep-Sub</v>
      </c>
      <c r="N326" t="str">
        <f>_xlfn.XLOOKUP(Jnl[[#This Row],[TrxId]], Trx[Id], Trx[IncNode], ,0)</f>
        <v>Cost</v>
      </c>
      <c r="O326" t="str">
        <f>_xlfn.XLOOKUP(Jnl[[#This Row],[IncNode]], config_IS[Node], config_IS[Type],,0)</f>
        <v>Op</v>
      </c>
      <c r="P326" t="str">
        <f>_xlfn.XLOOKUP(Jnl[[#This Row],[BSLv2]], dict[Key], dict[Name],,0)</f>
        <v>2.预付-订阅</v>
      </c>
      <c r="Q326" t="str">
        <f>_xlfn.XLOOKUP(Jnl[[#This Row],[Acct]], dict[Key], dict[Name],,0)</f>
        <v>预付订单</v>
      </c>
      <c r="R326" t="str">
        <f>_xlfn.XLOOKUP(Jnl[[#This Row],[Vehicle]],config_vehicle[Id], config_vehicle[Name],,0)</f>
        <v>米小易</v>
      </c>
      <c r="S326" t="str">
        <f>_xlfn.XLOOKUP(Jnl[[#This Row],[Division]],config_div[Id], config_div[Name],,0)</f>
        <v>水街店</v>
      </c>
      <c r="T326" t="str">
        <f>IF(Jnl[[#This Row],[TrxDate]]&lt;=stmt_BS_date_end, "In", "Out")</f>
        <v>In</v>
      </c>
      <c r="U326" t="str">
        <f>IF(Jnl[[#This Row],[TrxDate]]&lt;debug_date_start, "prior", IF(Jnl[[#This Row],[TrxDate]]&gt;debug_date_end, "post", "curr"))</f>
        <v>prior</v>
      </c>
    </row>
    <row r="327" spans="1:21">
      <c r="A327" s="11" t="s">
        <v>523</v>
      </c>
      <c r="B327" s="7">
        <f>_xlfn.XLOOKUP(Jnl[[#This Row],[TrxId]], Trx[Id], Trx[Date],,0)</f>
        <v>46053</v>
      </c>
      <c r="C327" s="7" t="str">
        <f>_xlfn.XLOOKUP(Jnl[[#This Row],[TrxId]], Trx[Id], Trx[Division],,0)</f>
        <v>Shuijie</v>
      </c>
      <c r="D327" s="7" t="str">
        <f>_xlfn.XLOOKUP(Jnl[[#This Row],[TrxId]], Trx[Id], Trx[Action],,0)</f>
        <v>支付</v>
      </c>
      <c r="E327" s="26" t="s">
        <v>82</v>
      </c>
      <c r="F327" s="11" t="s">
        <v>590</v>
      </c>
      <c r="G327" s="11" t="s">
        <v>592</v>
      </c>
      <c r="H327" s="72">
        <v>-2540</v>
      </c>
      <c r="I327" s="5" t="b">
        <f>AND(Jnl[[#This Row],[TrxId]]&lt;&gt;"",Jnl[[#This Row],[Acct]]&lt;&gt;"",Jnl[[#This Row],[Item]]&lt;&gt;"",ISNUMBER(Jnl[[#This Row],[Bal]]))</f>
        <v>1</v>
      </c>
      <c r="J327" s="10">
        <f>IF(Jnl[[#This Row],[BSLv0]]="A",1,-1)*Jnl[[#This Row],[Bal]]</f>
        <v>-2540</v>
      </c>
      <c r="K327" t="str">
        <f>_xlfn.XLOOKUP(Jnl[[#This Row],[Acct]], config_BS[Acct], config_BS[Lv0],,0)</f>
        <v>A</v>
      </c>
      <c r="L327" t="str">
        <f>_xlfn.XLOOKUP(Jnl[[#This Row],[Acct]], config_BS[Acct], config_BS[Lv1],,0)</f>
        <v>Assets</v>
      </c>
      <c r="M327" t="str">
        <f>_xlfn.XLOOKUP(Jnl[[#This Row],[Acct]], config_BS[Acct], config_BS[Lv2],,0)</f>
        <v>Cash alike</v>
      </c>
      <c r="N327" t="str">
        <f>_xlfn.XLOOKUP(Jnl[[#This Row],[TrxId]], Trx[Id], Trx[IncNode], ,0)</f>
        <v>Cost</v>
      </c>
      <c r="O327" t="str">
        <f>_xlfn.XLOOKUP(Jnl[[#This Row],[IncNode]], config_IS[Node], config_IS[Type],,0)</f>
        <v>Op</v>
      </c>
      <c r="P327" t="str">
        <f>_xlfn.XLOOKUP(Jnl[[#This Row],[BSLv2]], dict[Key], dict[Name],,0)</f>
        <v>0.现金及类似</v>
      </c>
      <c r="Q327" t="str">
        <f>_xlfn.XLOOKUP(Jnl[[#This Row],[Acct]], dict[Key], dict[Name],,0)</f>
        <v>银行</v>
      </c>
      <c r="R327" t="str">
        <f>_xlfn.XLOOKUP(Jnl[[#This Row],[Vehicle]],config_vehicle[Id], config_vehicle[Name],,0)</f>
        <v>米小易</v>
      </c>
      <c r="S327" t="str">
        <f>_xlfn.XLOOKUP(Jnl[[#This Row],[Division]],config_div[Id], config_div[Name],,0)</f>
        <v>水街店</v>
      </c>
      <c r="T327" t="str">
        <f>IF(Jnl[[#This Row],[TrxDate]]&lt;=stmt_BS_date_end, "In", "Out")</f>
        <v>In</v>
      </c>
      <c r="U327" t="str">
        <f>IF(Jnl[[#This Row],[TrxDate]]&lt;debug_date_start, "prior", IF(Jnl[[#This Row],[TrxDate]]&gt;debug_date_end, "post", "curr"))</f>
        <v>prior</v>
      </c>
    </row>
    <row r="328" spans="1:21">
      <c r="A328" s="11" t="s">
        <v>524</v>
      </c>
      <c r="B328" s="7">
        <f>_xlfn.XLOOKUP(Jnl[[#This Row],[TrxId]], Trx[Id], Trx[Date],,0)</f>
        <v>46053</v>
      </c>
      <c r="C328" s="7" t="str">
        <f>_xlfn.XLOOKUP(Jnl[[#This Row],[TrxId]], Trx[Id], Trx[Division],,0)</f>
        <v>GM</v>
      </c>
      <c r="D328" s="7" t="str">
        <f>_xlfn.XLOOKUP(Jnl[[#This Row],[TrxId]], Trx[Id], Trx[Action],,0)</f>
        <v>支付</v>
      </c>
      <c r="E328" s="26" t="s">
        <v>82</v>
      </c>
      <c r="F328" s="11" t="s">
        <v>590</v>
      </c>
      <c r="G328" s="11" t="s">
        <v>592</v>
      </c>
      <c r="H328" s="72">
        <v>-143950.89000000001</v>
      </c>
      <c r="I328" s="5" t="b">
        <f>AND(Jnl[[#This Row],[TrxId]]&lt;&gt;"",Jnl[[#This Row],[Acct]]&lt;&gt;"",Jnl[[#This Row],[Item]]&lt;&gt;"",ISNUMBER(Jnl[[#This Row],[Bal]]))</f>
        <v>1</v>
      </c>
      <c r="J328" s="10">
        <f>IF(Jnl[[#This Row],[BSLv0]]="A",1,-1)*Jnl[[#This Row],[Bal]]</f>
        <v>-143950.89000000001</v>
      </c>
      <c r="K328" t="str">
        <f>_xlfn.XLOOKUP(Jnl[[#This Row],[Acct]], config_BS[Acct], config_BS[Lv0],,0)</f>
        <v>A</v>
      </c>
      <c r="L328" t="str">
        <f>_xlfn.XLOOKUP(Jnl[[#This Row],[Acct]], config_BS[Acct], config_BS[Lv1],,0)</f>
        <v>Assets</v>
      </c>
      <c r="M328" t="str">
        <f>_xlfn.XLOOKUP(Jnl[[#This Row],[Acct]], config_BS[Acct], config_BS[Lv2],,0)</f>
        <v>Cash alike</v>
      </c>
      <c r="N328" t="str">
        <f>_xlfn.XLOOKUP(Jnl[[#This Row],[TrxId]], Trx[Id], Trx[IncNode], ,0)</f>
        <v>Expense</v>
      </c>
      <c r="O328" t="str">
        <f>_xlfn.XLOOKUP(Jnl[[#This Row],[IncNode]], config_IS[Node], config_IS[Type],,0)</f>
        <v>Op</v>
      </c>
      <c r="P328" t="str">
        <f>_xlfn.XLOOKUP(Jnl[[#This Row],[BSLv2]], dict[Key], dict[Name],,0)</f>
        <v>0.现金及类似</v>
      </c>
      <c r="Q328" t="str">
        <f>_xlfn.XLOOKUP(Jnl[[#This Row],[Acct]], dict[Key], dict[Name],,0)</f>
        <v>银行</v>
      </c>
      <c r="R328" t="str">
        <f>_xlfn.XLOOKUP(Jnl[[#This Row],[Vehicle]],config_vehicle[Id], config_vehicle[Name],,0)</f>
        <v>米小易</v>
      </c>
      <c r="S328" t="str">
        <f>_xlfn.XLOOKUP(Jnl[[#This Row],[Division]],config_div[Id], config_div[Name],,0)</f>
        <v>综合管理</v>
      </c>
      <c r="T328" t="str">
        <f>IF(Jnl[[#This Row],[TrxDate]]&lt;=stmt_BS_date_end, "In", "Out")</f>
        <v>In</v>
      </c>
      <c r="U328" t="str">
        <f>IF(Jnl[[#This Row],[TrxDate]]&lt;debug_date_start, "prior", IF(Jnl[[#This Row],[TrxDate]]&gt;debug_date_end, "post", "curr"))</f>
        <v>prior</v>
      </c>
    </row>
    <row r="329" spans="1:21">
      <c r="A329" s="11" t="s">
        <v>524</v>
      </c>
      <c r="B329" s="7">
        <f>_xlfn.XLOOKUP(Jnl[[#This Row],[TrxId]], Trx[Id], Trx[Date],,0)</f>
        <v>46053</v>
      </c>
      <c r="C329" s="7" t="str">
        <f>_xlfn.XLOOKUP(Jnl[[#This Row],[TrxId]], Trx[Id], Trx[Division],,0)</f>
        <v>GM</v>
      </c>
      <c r="D329" s="7" t="str">
        <f>_xlfn.XLOOKUP(Jnl[[#This Row],[TrxId]], Trx[Id], Trx[Action],,0)</f>
        <v>支付</v>
      </c>
      <c r="E329" s="26" t="s">
        <v>82</v>
      </c>
      <c r="F329" s="11" t="s">
        <v>595</v>
      </c>
      <c r="G329" s="11" t="s">
        <v>344</v>
      </c>
      <c r="H329" s="72">
        <v>-11451.6</v>
      </c>
      <c r="I329" s="5" t="b">
        <f>AND(Jnl[[#This Row],[TrxId]]&lt;&gt;"",Jnl[[#This Row],[Acct]]&lt;&gt;"",Jnl[[#This Row],[Item]]&lt;&gt;"",ISNUMBER(Jnl[[#This Row],[Bal]]))</f>
        <v>1</v>
      </c>
      <c r="J329" s="10">
        <f>IF(Jnl[[#This Row],[BSLv0]]="A",1,-1)*Jnl[[#This Row],[Bal]]</f>
        <v>-11451.6</v>
      </c>
      <c r="K329" t="str">
        <f>_xlfn.XLOOKUP(Jnl[[#This Row],[Acct]], config_BS[Acct], config_BS[Lv0],,0)</f>
        <v>A</v>
      </c>
      <c r="L329" t="str">
        <f>_xlfn.XLOOKUP(Jnl[[#This Row],[Acct]], config_BS[Acct], config_BS[Lv1],,0)</f>
        <v>Assets</v>
      </c>
      <c r="M329" t="str">
        <f>_xlfn.XLOOKUP(Jnl[[#This Row],[Acct]], config_BS[Acct], config_BS[Lv2],,0)</f>
        <v>Rec-Pay</v>
      </c>
      <c r="N329" t="str">
        <f>_xlfn.XLOOKUP(Jnl[[#This Row],[TrxId]], Trx[Id], Trx[IncNode], ,0)</f>
        <v>Expense</v>
      </c>
      <c r="O329" t="str">
        <f>_xlfn.XLOOKUP(Jnl[[#This Row],[IncNode]], config_IS[Node], config_IS[Type],,0)</f>
        <v>Op</v>
      </c>
      <c r="P329" t="str">
        <f>_xlfn.XLOOKUP(Jnl[[#This Row],[BSLv2]], dict[Key], dict[Name],,0)</f>
        <v>1.应收-应付</v>
      </c>
      <c r="Q329" t="str">
        <f>_xlfn.XLOOKUP(Jnl[[#This Row],[Acct]], dict[Key], dict[Name],,0)</f>
        <v>应收-其他</v>
      </c>
      <c r="R329" t="str">
        <f>_xlfn.XLOOKUP(Jnl[[#This Row],[Vehicle]],config_vehicle[Id], config_vehicle[Name],,0)</f>
        <v>米小易</v>
      </c>
      <c r="S329" t="str">
        <f>_xlfn.XLOOKUP(Jnl[[#This Row],[Division]],config_div[Id], config_div[Name],,0)</f>
        <v>综合管理</v>
      </c>
      <c r="T329" t="str">
        <f>IF(Jnl[[#This Row],[TrxDate]]&lt;=stmt_BS_date_end, "In", "Out")</f>
        <v>In</v>
      </c>
      <c r="U329" t="str">
        <f>IF(Jnl[[#This Row],[TrxDate]]&lt;debug_date_start, "prior", IF(Jnl[[#This Row],[TrxDate]]&gt;debug_date_end, "post", "curr"))</f>
        <v>prior</v>
      </c>
    </row>
    <row r="330" spans="1:21">
      <c r="A330" s="11" t="s">
        <v>524</v>
      </c>
      <c r="B330" s="7">
        <f>_xlfn.XLOOKUP(Jnl[[#This Row],[TrxId]], Trx[Id], Trx[Date],,0)</f>
        <v>46053</v>
      </c>
      <c r="C330" s="7" t="str">
        <f>_xlfn.XLOOKUP(Jnl[[#This Row],[TrxId]], Trx[Id], Trx[Division],,0)</f>
        <v>GM</v>
      </c>
      <c r="D330" s="7" t="str">
        <f>_xlfn.XLOOKUP(Jnl[[#This Row],[TrxId]], Trx[Id], Trx[Action],,0)</f>
        <v>支付</v>
      </c>
      <c r="E330" s="26" t="s">
        <v>82</v>
      </c>
      <c r="F330" s="11" t="s">
        <v>127</v>
      </c>
      <c r="G330" s="11" t="s">
        <v>343</v>
      </c>
      <c r="H330" s="72">
        <v>1105.48</v>
      </c>
      <c r="I330" s="5" t="b">
        <f>AND(Jnl[[#This Row],[TrxId]]&lt;&gt;"",Jnl[[#This Row],[Acct]]&lt;&gt;"",Jnl[[#This Row],[Item]]&lt;&gt;"",ISNUMBER(Jnl[[#This Row],[Bal]]))</f>
        <v>1</v>
      </c>
      <c r="J330" s="10">
        <f>IF(Jnl[[#This Row],[BSLv0]]="A",1,-1)*Jnl[[#This Row],[Bal]]</f>
        <v>-1105.48</v>
      </c>
      <c r="K330" t="str">
        <f>_xlfn.XLOOKUP(Jnl[[#This Row],[Acct]], config_BS[Acct], config_BS[Lv0],,0)</f>
        <v>LC</v>
      </c>
      <c r="L330" t="str">
        <f>_xlfn.XLOOKUP(Jnl[[#This Row],[Acct]], config_BS[Acct], config_BS[Lv1],,0)</f>
        <v>Liability</v>
      </c>
      <c r="M330" t="str">
        <f>_xlfn.XLOOKUP(Jnl[[#This Row],[Acct]], config_BS[Acct], config_BS[Lv2],,0)</f>
        <v>Rec-Pay</v>
      </c>
      <c r="N330" t="str">
        <f>_xlfn.XLOOKUP(Jnl[[#This Row],[TrxId]], Trx[Id], Trx[IncNode], ,0)</f>
        <v>Expense</v>
      </c>
      <c r="O330" t="str">
        <f>_xlfn.XLOOKUP(Jnl[[#This Row],[IncNode]], config_IS[Node], config_IS[Type],,0)</f>
        <v>Op</v>
      </c>
      <c r="P330" t="str">
        <f>_xlfn.XLOOKUP(Jnl[[#This Row],[BSLv2]], dict[Key], dict[Name],,0)</f>
        <v>1.应收-应付</v>
      </c>
      <c r="Q330" t="str">
        <f>_xlfn.XLOOKUP(Jnl[[#This Row],[Acct]], dict[Key], dict[Name],,0)</f>
        <v>应付-税款</v>
      </c>
      <c r="R330" t="str">
        <f>_xlfn.XLOOKUP(Jnl[[#This Row],[Vehicle]],config_vehicle[Id], config_vehicle[Name],,0)</f>
        <v>米小易</v>
      </c>
      <c r="S330" t="str">
        <f>_xlfn.XLOOKUP(Jnl[[#This Row],[Division]],config_div[Id], config_div[Name],,0)</f>
        <v>综合管理</v>
      </c>
      <c r="T330" t="str">
        <f>IF(Jnl[[#This Row],[TrxDate]]&lt;=stmt_BS_date_end, "In", "Out")</f>
        <v>In</v>
      </c>
      <c r="U330" t="str">
        <f>IF(Jnl[[#This Row],[TrxDate]]&lt;debug_date_start, "prior", IF(Jnl[[#This Row],[TrxDate]]&gt;debug_date_end, "post", "curr"))</f>
        <v>prior</v>
      </c>
    </row>
    <row r="331" spans="1:21">
      <c r="A331" s="11" t="s">
        <v>524</v>
      </c>
      <c r="B331" s="7">
        <f>_xlfn.XLOOKUP(Jnl[[#This Row],[TrxId]], Trx[Id], Trx[Date],,0)</f>
        <v>46053</v>
      </c>
      <c r="C331" s="7" t="str">
        <f>_xlfn.XLOOKUP(Jnl[[#This Row],[TrxId]], Trx[Id], Trx[Division],,0)</f>
        <v>GM</v>
      </c>
      <c r="D331" s="7" t="str">
        <f>_xlfn.XLOOKUP(Jnl[[#This Row],[TrxId]], Trx[Id], Trx[Action],,0)</f>
        <v>支付</v>
      </c>
      <c r="E331" s="26" t="s">
        <v>82</v>
      </c>
      <c r="F331" s="11" t="s">
        <v>596</v>
      </c>
      <c r="G331" s="11" t="s">
        <v>149</v>
      </c>
      <c r="H331" s="72">
        <v>-156507.97</v>
      </c>
      <c r="I331" s="5" t="b">
        <f>AND(Jnl[[#This Row],[TrxId]]&lt;&gt;"",Jnl[[#This Row],[Acct]]&lt;&gt;"",Jnl[[#This Row],[Item]]&lt;&gt;"",ISNUMBER(Jnl[[#This Row],[Bal]]))</f>
        <v>1</v>
      </c>
      <c r="J331" s="10">
        <f>IF(Jnl[[#This Row],[BSLv0]]="A",1,-1)*Jnl[[#This Row],[Bal]]</f>
        <v>156507.97</v>
      </c>
      <c r="K331" t="str">
        <f>_xlfn.XLOOKUP(Jnl[[#This Row],[Acct]], config_BS[Acct], config_BS[Lv0],,0)</f>
        <v>LC</v>
      </c>
      <c r="L331" t="str">
        <f>_xlfn.XLOOKUP(Jnl[[#This Row],[Acct]], config_BS[Acct], config_BS[Lv1],,0)</f>
        <v>Liability</v>
      </c>
      <c r="M331" t="str">
        <f>_xlfn.XLOOKUP(Jnl[[#This Row],[Acct]], config_BS[Acct], config_BS[Lv2],,0)</f>
        <v>Rec-Pay</v>
      </c>
      <c r="N331" t="str">
        <f>_xlfn.XLOOKUP(Jnl[[#This Row],[TrxId]], Trx[Id], Trx[IncNode], ,0)</f>
        <v>Expense</v>
      </c>
      <c r="O331" t="str">
        <f>_xlfn.XLOOKUP(Jnl[[#This Row],[IncNode]], config_IS[Node], config_IS[Type],,0)</f>
        <v>Op</v>
      </c>
      <c r="P331" t="str">
        <f>_xlfn.XLOOKUP(Jnl[[#This Row],[BSLv2]], dict[Key], dict[Name],,0)</f>
        <v>1.应收-应付</v>
      </c>
      <c r="Q331" t="str">
        <f>_xlfn.XLOOKUP(Jnl[[#This Row],[Acct]], dict[Key], dict[Name],,0)</f>
        <v>应付-薪资</v>
      </c>
      <c r="R331" t="str">
        <f>_xlfn.XLOOKUP(Jnl[[#This Row],[Vehicle]],config_vehicle[Id], config_vehicle[Name],,0)</f>
        <v>米小易</v>
      </c>
      <c r="S331" t="str">
        <f>_xlfn.XLOOKUP(Jnl[[#This Row],[Division]],config_div[Id], config_div[Name],,0)</f>
        <v>综合管理</v>
      </c>
      <c r="T331" t="str">
        <f>IF(Jnl[[#This Row],[TrxDate]]&lt;=stmt_BS_date_end, "In", "Out")</f>
        <v>In</v>
      </c>
      <c r="U331" t="str">
        <f>IF(Jnl[[#This Row],[TrxDate]]&lt;debug_date_start, "prior", IF(Jnl[[#This Row],[TrxDate]]&gt;debug_date_end, "post", "curr"))</f>
        <v>prior</v>
      </c>
    </row>
    <row r="332" spans="1:21">
      <c r="A332" s="11" t="s">
        <v>589</v>
      </c>
      <c r="B332" s="7">
        <f>_xlfn.XLOOKUP(Jnl[[#This Row],[TrxId]], Trx[Id], Trx[Date],,0)</f>
        <v>46053</v>
      </c>
      <c r="C332" s="7" t="str">
        <f>_xlfn.XLOOKUP(Jnl[[#This Row],[TrxId]], Trx[Id], Trx[Division],,0)</f>
        <v>GM</v>
      </c>
      <c r="D332" s="7" t="str">
        <f>_xlfn.XLOOKUP(Jnl[[#This Row],[TrxId]], Trx[Id], Trx[Action],,0)</f>
        <v>支付</v>
      </c>
      <c r="E332" s="26" t="s">
        <v>82</v>
      </c>
      <c r="F332" s="11" t="s">
        <v>127</v>
      </c>
      <c r="G332" s="11" t="s">
        <v>343</v>
      </c>
      <c r="H332" s="72">
        <v>-1105.48</v>
      </c>
      <c r="I332" s="5" t="b">
        <f>AND(Jnl[[#This Row],[TrxId]]&lt;&gt;"",Jnl[[#This Row],[Acct]]&lt;&gt;"",Jnl[[#This Row],[Item]]&lt;&gt;"",ISNUMBER(Jnl[[#This Row],[Bal]]))</f>
        <v>1</v>
      </c>
      <c r="J332" s="10">
        <f>IF(Jnl[[#This Row],[BSLv0]]="A",1,-1)*Jnl[[#This Row],[Bal]]</f>
        <v>1105.48</v>
      </c>
      <c r="K332" t="str">
        <f>_xlfn.XLOOKUP(Jnl[[#This Row],[Acct]], config_BS[Acct], config_BS[Lv0],,0)</f>
        <v>LC</v>
      </c>
      <c r="L332" t="str">
        <f>_xlfn.XLOOKUP(Jnl[[#This Row],[Acct]], config_BS[Acct], config_BS[Lv1],,0)</f>
        <v>Liability</v>
      </c>
      <c r="M332" t="str">
        <f>_xlfn.XLOOKUP(Jnl[[#This Row],[Acct]], config_BS[Acct], config_BS[Lv2],,0)</f>
        <v>Rec-Pay</v>
      </c>
      <c r="N332" t="str">
        <f>_xlfn.XLOOKUP(Jnl[[#This Row],[TrxId]], Trx[Id], Trx[IncNode], ,0)</f>
        <v>Expense</v>
      </c>
      <c r="O332" t="str">
        <f>_xlfn.XLOOKUP(Jnl[[#This Row],[IncNode]], config_IS[Node], config_IS[Type],,0)</f>
        <v>Op</v>
      </c>
      <c r="P332" t="str">
        <f>_xlfn.XLOOKUP(Jnl[[#This Row],[BSLv2]], dict[Key], dict[Name],,0)</f>
        <v>1.应收-应付</v>
      </c>
      <c r="Q332" t="str">
        <f>_xlfn.XLOOKUP(Jnl[[#This Row],[Acct]], dict[Key], dict[Name],,0)</f>
        <v>应付-税款</v>
      </c>
      <c r="R332" t="str">
        <f>_xlfn.XLOOKUP(Jnl[[#This Row],[Vehicle]],config_vehicle[Id], config_vehicle[Name],,0)</f>
        <v>米小易</v>
      </c>
      <c r="S332" t="str">
        <f>_xlfn.XLOOKUP(Jnl[[#This Row],[Division]],config_div[Id], config_div[Name],,0)</f>
        <v>综合管理</v>
      </c>
      <c r="T332" t="str">
        <f>IF(Jnl[[#This Row],[TrxDate]]&lt;=stmt_BS_date_end, "In", "Out")</f>
        <v>In</v>
      </c>
      <c r="U332" t="str">
        <f>IF(Jnl[[#This Row],[TrxDate]]&lt;debug_date_start, "prior", IF(Jnl[[#This Row],[TrxDate]]&gt;debug_date_end, "post", "curr"))</f>
        <v>prior</v>
      </c>
    </row>
    <row r="333" spans="1:21">
      <c r="A333" s="11" t="s">
        <v>525</v>
      </c>
      <c r="B333" s="7">
        <f>_xlfn.XLOOKUP(Jnl[[#This Row],[TrxId]], Trx[Id], Trx[Date],,0)</f>
        <v>46053</v>
      </c>
      <c r="C333" s="7" t="str">
        <f>_xlfn.XLOOKUP(Jnl[[#This Row],[TrxId]], Trx[Id], Trx[Division],,0)</f>
        <v>GM</v>
      </c>
      <c r="D333" s="7" t="str">
        <f>_xlfn.XLOOKUP(Jnl[[#This Row],[TrxId]], Trx[Id], Trx[Action],,0)</f>
        <v>支付</v>
      </c>
      <c r="E333" s="26" t="s">
        <v>82</v>
      </c>
      <c r="F333" s="11" t="s">
        <v>590</v>
      </c>
      <c r="G333" s="11" t="s">
        <v>592</v>
      </c>
      <c r="H333" s="72">
        <v>-1105.48</v>
      </c>
      <c r="I333" s="5" t="b">
        <f>AND(Jnl[[#This Row],[TrxId]]&lt;&gt;"",Jnl[[#This Row],[Acct]]&lt;&gt;"",Jnl[[#This Row],[Item]]&lt;&gt;"",ISNUMBER(Jnl[[#This Row],[Bal]]))</f>
        <v>1</v>
      </c>
      <c r="J333" s="10">
        <f>IF(Jnl[[#This Row],[BSLv0]]="A",1,-1)*Jnl[[#This Row],[Bal]]</f>
        <v>-1105.48</v>
      </c>
      <c r="K333" t="str">
        <f>_xlfn.XLOOKUP(Jnl[[#This Row],[Acct]], config_BS[Acct], config_BS[Lv0],,0)</f>
        <v>A</v>
      </c>
      <c r="L333" t="str">
        <f>_xlfn.XLOOKUP(Jnl[[#This Row],[Acct]], config_BS[Acct], config_BS[Lv1],,0)</f>
        <v>Assets</v>
      </c>
      <c r="M333" t="str">
        <f>_xlfn.XLOOKUP(Jnl[[#This Row],[Acct]], config_BS[Acct], config_BS[Lv2],,0)</f>
        <v>Cash alike</v>
      </c>
      <c r="N333" t="str">
        <f>_xlfn.XLOOKUP(Jnl[[#This Row],[TrxId]], Trx[Id], Trx[IncNode], ,0)</f>
        <v>Expense</v>
      </c>
      <c r="O333" t="str">
        <f>_xlfn.XLOOKUP(Jnl[[#This Row],[IncNode]], config_IS[Node], config_IS[Type],,0)</f>
        <v>Op</v>
      </c>
      <c r="P333" t="str">
        <f>_xlfn.XLOOKUP(Jnl[[#This Row],[BSLv2]], dict[Key], dict[Name],,0)</f>
        <v>0.现金及类似</v>
      </c>
      <c r="Q333" t="str">
        <f>_xlfn.XLOOKUP(Jnl[[#This Row],[Acct]], dict[Key], dict[Name],,0)</f>
        <v>银行</v>
      </c>
      <c r="R333" t="str">
        <f>_xlfn.XLOOKUP(Jnl[[#This Row],[Vehicle]],config_vehicle[Id], config_vehicle[Name],,0)</f>
        <v>米小易</v>
      </c>
      <c r="S333" t="str">
        <f>_xlfn.XLOOKUP(Jnl[[#This Row],[Division]],config_div[Id], config_div[Name],,0)</f>
        <v>综合管理</v>
      </c>
      <c r="T333" t="str">
        <f>IF(Jnl[[#This Row],[TrxDate]]&lt;=stmt_BS_date_end, "In", "Out")</f>
        <v>In</v>
      </c>
      <c r="U333" t="str">
        <f>IF(Jnl[[#This Row],[TrxDate]]&lt;debug_date_start, "prior", IF(Jnl[[#This Row],[TrxDate]]&gt;debug_date_end, "post", "curr"))</f>
        <v>prior</v>
      </c>
    </row>
    <row r="334" spans="1:21">
      <c r="A334" s="11" t="s">
        <v>527</v>
      </c>
      <c r="B334" s="7">
        <f>_xlfn.XLOOKUP(Jnl[[#This Row],[TrxId]], Trx[Id], Trx[Date],,0)</f>
        <v>46053</v>
      </c>
      <c r="C334" s="7" t="str">
        <f>_xlfn.XLOOKUP(Jnl[[#This Row],[TrxId]], Trx[Id], Trx[Division],,0)</f>
        <v>Shuijie</v>
      </c>
      <c r="D334" s="7" t="str">
        <f>_xlfn.XLOOKUP(Jnl[[#This Row],[TrxId]], Trx[Id], Trx[Action],,0)</f>
        <v>支付</v>
      </c>
      <c r="E334" s="26" t="s">
        <v>82</v>
      </c>
      <c r="F334" s="11" t="s">
        <v>590</v>
      </c>
      <c r="G334" s="11" t="s">
        <v>592</v>
      </c>
      <c r="H334" s="72">
        <v>-1922.72</v>
      </c>
      <c r="I334" s="5" t="b">
        <f>AND(Jnl[[#This Row],[TrxId]]&lt;&gt;"",Jnl[[#This Row],[Acct]]&lt;&gt;"",Jnl[[#This Row],[Item]]&lt;&gt;"",ISNUMBER(Jnl[[#This Row],[Bal]]))</f>
        <v>1</v>
      </c>
      <c r="J334" s="10">
        <f>IF(Jnl[[#This Row],[BSLv0]]="A",1,-1)*Jnl[[#This Row],[Bal]]</f>
        <v>-1922.72</v>
      </c>
      <c r="K334" t="str">
        <f>_xlfn.XLOOKUP(Jnl[[#This Row],[Acct]], config_BS[Acct], config_BS[Lv0],,0)</f>
        <v>A</v>
      </c>
      <c r="L334" t="str">
        <f>_xlfn.XLOOKUP(Jnl[[#This Row],[Acct]], config_BS[Acct], config_BS[Lv1],,0)</f>
        <v>Assets</v>
      </c>
      <c r="M334" t="str">
        <f>_xlfn.XLOOKUP(Jnl[[#This Row],[Acct]], config_BS[Acct], config_BS[Lv2],,0)</f>
        <v>Cash alike</v>
      </c>
      <c r="N334" t="str">
        <f>_xlfn.XLOOKUP(Jnl[[#This Row],[TrxId]], Trx[Id], Trx[IncNode], ,0)</f>
        <v>Expense</v>
      </c>
      <c r="O334" t="str">
        <f>_xlfn.XLOOKUP(Jnl[[#This Row],[IncNode]], config_IS[Node], config_IS[Type],,0)</f>
        <v>Op</v>
      </c>
      <c r="P334" t="str">
        <f>_xlfn.XLOOKUP(Jnl[[#This Row],[BSLv2]], dict[Key], dict[Name],,0)</f>
        <v>0.现金及类似</v>
      </c>
      <c r="Q334" t="str">
        <f>_xlfn.XLOOKUP(Jnl[[#This Row],[Acct]], dict[Key], dict[Name],,0)</f>
        <v>银行</v>
      </c>
      <c r="R334" t="str">
        <f>_xlfn.XLOOKUP(Jnl[[#This Row],[Vehicle]],config_vehicle[Id], config_vehicle[Name],,0)</f>
        <v>米小易</v>
      </c>
      <c r="S334" t="str">
        <f>_xlfn.XLOOKUP(Jnl[[#This Row],[Division]],config_div[Id], config_div[Name],,0)</f>
        <v>水街店</v>
      </c>
      <c r="T334" t="str">
        <f>IF(Jnl[[#This Row],[TrxDate]]&lt;=stmt_BS_date_end, "In", "Out")</f>
        <v>In</v>
      </c>
      <c r="U334" t="str">
        <f>IF(Jnl[[#This Row],[TrxDate]]&lt;debug_date_start, "prior", IF(Jnl[[#This Row],[TrxDate]]&gt;debug_date_end, "post", "curr"))</f>
        <v>prior</v>
      </c>
    </row>
    <row r="335" spans="1:21">
      <c r="A335" s="11" t="s">
        <v>527</v>
      </c>
      <c r="B335" s="7">
        <f>_xlfn.XLOOKUP(Jnl[[#This Row],[TrxId]], Trx[Id], Trx[Date],,0)</f>
        <v>46053</v>
      </c>
      <c r="C335" s="7" t="str">
        <f>_xlfn.XLOOKUP(Jnl[[#This Row],[TrxId]], Trx[Id], Trx[Division],,0)</f>
        <v>Shuijie</v>
      </c>
      <c r="D335" s="7" t="str">
        <f>_xlfn.XLOOKUP(Jnl[[#This Row],[TrxId]], Trx[Id], Trx[Action],,0)</f>
        <v>支付</v>
      </c>
      <c r="E335" s="26" t="s">
        <v>82</v>
      </c>
      <c r="F335" s="11" t="s">
        <v>597</v>
      </c>
      <c r="G335" s="11" t="s">
        <v>529</v>
      </c>
      <c r="H335" s="72">
        <v>1922.72</v>
      </c>
      <c r="I335" s="5" t="b">
        <f>AND(Jnl[[#This Row],[TrxId]]&lt;&gt;"",Jnl[[#This Row],[Acct]]&lt;&gt;"",Jnl[[#This Row],[Item]]&lt;&gt;"",ISNUMBER(Jnl[[#This Row],[Bal]]))</f>
        <v>1</v>
      </c>
      <c r="J335" s="10">
        <f>IF(Jnl[[#This Row],[BSLv0]]="A",1,-1)*Jnl[[#This Row],[Bal]]</f>
        <v>1922.72</v>
      </c>
      <c r="K335" t="str">
        <f>_xlfn.XLOOKUP(Jnl[[#This Row],[Acct]], config_BS[Acct], config_BS[Lv0],,0)</f>
        <v>A</v>
      </c>
      <c r="L335" t="str">
        <f>_xlfn.XLOOKUP(Jnl[[#This Row],[Acct]], config_BS[Acct], config_BS[Lv1],,0)</f>
        <v>Assets</v>
      </c>
      <c r="M335" t="str">
        <f>_xlfn.XLOOKUP(Jnl[[#This Row],[Acct]], config_BS[Acct], config_BS[Lv2],,0)</f>
        <v>Prep-Sub</v>
      </c>
      <c r="N335" t="str">
        <f>_xlfn.XLOOKUP(Jnl[[#This Row],[TrxId]], Trx[Id], Trx[IncNode], ,0)</f>
        <v>Expense</v>
      </c>
      <c r="O335" t="str">
        <f>_xlfn.XLOOKUP(Jnl[[#This Row],[IncNode]], config_IS[Node], config_IS[Type],,0)</f>
        <v>Op</v>
      </c>
      <c r="P335" t="str">
        <f>_xlfn.XLOOKUP(Jnl[[#This Row],[BSLv2]], dict[Key], dict[Name],,0)</f>
        <v>2.预付-订阅</v>
      </c>
      <c r="Q335" t="str">
        <f>_xlfn.XLOOKUP(Jnl[[#This Row],[Acct]], dict[Key], dict[Name],,0)</f>
        <v>员工预支</v>
      </c>
      <c r="R335" t="str">
        <f>_xlfn.XLOOKUP(Jnl[[#This Row],[Vehicle]],config_vehicle[Id], config_vehicle[Name],,0)</f>
        <v>米小易</v>
      </c>
      <c r="S335" t="str">
        <f>_xlfn.XLOOKUP(Jnl[[#This Row],[Division]],config_div[Id], config_div[Name],,0)</f>
        <v>水街店</v>
      </c>
      <c r="T335" t="str">
        <f>IF(Jnl[[#This Row],[TrxDate]]&lt;=stmt_BS_date_end, "In", "Out")</f>
        <v>In</v>
      </c>
      <c r="U335" t="str">
        <f>IF(Jnl[[#This Row],[TrxDate]]&lt;debug_date_start, "prior", IF(Jnl[[#This Row],[TrxDate]]&gt;debug_date_end, "post", "curr"))</f>
        <v>prior</v>
      </c>
    </row>
    <row r="336" spans="1:21">
      <c r="A336" s="11" t="s">
        <v>530</v>
      </c>
      <c r="B336" s="7">
        <f>_xlfn.XLOOKUP(Jnl[[#This Row],[TrxId]], Trx[Id], Trx[Date],,0)</f>
        <v>46053</v>
      </c>
      <c r="C336" s="7" t="str">
        <f>_xlfn.XLOOKUP(Jnl[[#This Row],[TrxId]], Trx[Id], Trx[Division],,0)</f>
        <v>Shuijie</v>
      </c>
      <c r="D336" s="7" t="str">
        <f>_xlfn.XLOOKUP(Jnl[[#This Row],[TrxId]], Trx[Id], Trx[Action],,0)</f>
        <v>临时人力</v>
      </c>
      <c r="E336" s="26" t="s">
        <v>82</v>
      </c>
      <c r="F336" s="11" t="s">
        <v>590</v>
      </c>
      <c r="G336" s="11" t="s">
        <v>592</v>
      </c>
      <c r="H336" s="72">
        <v>-2959</v>
      </c>
      <c r="I336" s="5" t="b">
        <f>AND(Jnl[[#This Row],[TrxId]]&lt;&gt;"",Jnl[[#This Row],[Acct]]&lt;&gt;"",Jnl[[#This Row],[Item]]&lt;&gt;"",ISNUMBER(Jnl[[#This Row],[Bal]]))</f>
        <v>1</v>
      </c>
      <c r="J336" s="10">
        <f>IF(Jnl[[#This Row],[BSLv0]]="A",1,-1)*Jnl[[#This Row],[Bal]]</f>
        <v>-2959</v>
      </c>
      <c r="K336" t="str">
        <f>_xlfn.XLOOKUP(Jnl[[#This Row],[Acct]], config_BS[Acct], config_BS[Lv0],,0)</f>
        <v>A</v>
      </c>
      <c r="L336" t="str">
        <f>_xlfn.XLOOKUP(Jnl[[#This Row],[Acct]], config_BS[Acct], config_BS[Lv1],,0)</f>
        <v>Assets</v>
      </c>
      <c r="M336" t="str">
        <f>_xlfn.XLOOKUP(Jnl[[#This Row],[Acct]], config_BS[Acct], config_BS[Lv2],,0)</f>
        <v>Cash alike</v>
      </c>
      <c r="N336" t="str">
        <f>_xlfn.XLOOKUP(Jnl[[#This Row],[TrxId]], Trx[Id], Trx[IncNode], ,0)</f>
        <v>Expense</v>
      </c>
      <c r="O336" t="str">
        <f>_xlfn.XLOOKUP(Jnl[[#This Row],[IncNode]], config_IS[Node], config_IS[Type],,0)</f>
        <v>Op</v>
      </c>
      <c r="P336" t="str">
        <f>_xlfn.XLOOKUP(Jnl[[#This Row],[BSLv2]], dict[Key], dict[Name],,0)</f>
        <v>0.现金及类似</v>
      </c>
      <c r="Q336" t="str">
        <f>_xlfn.XLOOKUP(Jnl[[#This Row],[Acct]], dict[Key], dict[Name],,0)</f>
        <v>银行</v>
      </c>
      <c r="R336" t="str">
        <f>_xlfn.XLOOKUP(Jnl[[#This Row],[Vehicle]],config_vehicle[Id], config_vehicle[Name],,0)</f>
        <v>米小易</v>
      </c>
      <c r="S336" t="str">
        <f>_xlfn.XLOOKUP(Jnl[[#This Row],[Division]],config_div[Id], config_div[Name],,0)</f>
        <v>水街店</v>
      </c>
      <c r="T336" t="str">
        <f>IF(Jnl[[#This Row],[TrxDate]]&lt;=stmt_BS_date_end, "In", "Out")</f>
        <v>In</v>
      </c>
      <c r="U336" t="str">
        <f>IF(Jnl[[#This Row],[TrxDate]]&lt;debug_date_start, "prior", IF(Jnl[[#This Row],[TrxDate]]&gt;debug_date_end, "post", "curr"))</f>
        <v>prior</v>
      </c>
    </row>
    <row r="337" spans="1:21">
      <c r="A337" s="11" t="s">
        <v>532</v>
      </c>
      <c r="B337" s="7">
        <f>_xlfn.XLOOKUP(Jnl[[#This Row],[TrxId]], Trx[Id], Trx[Date],,0)</f>
        <v>46053</v>
      </c>
      <c r="C337" s="7" t="str">
        <f>_xlfn.XLOOKUP(Jnl[[#This Row],[TrxId]], Trx[Id], Trx[Division],,0)</f>
        <v>Shuijie</v>
      </c>
      <c r="D337" s="7" t="str">
        <f>_xlfn.XLOOKUP(Jnl[[#This Row],[TrxId]], Trx[Id], Trx[Action],,0)</f>
        <v>食材</v>
      </c>
      <c r="E337" s="26" t="s">
        <v>82</v>
      </c>
      <c r="F337" s="11" t="s">
        <v>590</v>
      </c>
      <c r="G337" s="11" t="s">
        <v>592</v>
      </c>
      <c r="H337" s="72">
        <v>-14186</v>
      </c>
      <c r="I337" s="5" t="b">
        <f>AND(Jnl[[#This Row],[TrxId]]&lt;&gt;"",Jnl[[#This Row],[Acct]]&lt;&gt;"",Jnl[[#This Row],[Item]]&lt;&gt;"",ISNUMBER(Jnl[[#This Row],[Bal]]))</f>
        <v>1</v>
      </c>
      <c r="J337" s="10">
        <f>IF(Jnl[[#This Row],[BSLv0]]="A",1,-1)*Jnl[[#This Row],[Bal]]</f>
        <v>-14186</v>
      </c>
      <c r="K337" t="str">
        <f>_xlfn.XLOOKUP(Jnl[[#This Row],[Acct]], config_BS[Acct], config_BS[Lv0],,0)</f>
        <v>A</v>
      </c>
      <c r="L337" t="str">
        <f>_xlfn.XLOOKUP(Jnl[[#This Row],[Acct]], config_BS[Acct], config_BS[Lv1],,0)</f>
        <v>Assets</v>
      </c>
      <c r="M337" t="str">
        <f>_xlfn.XLOOKUP(Jnl[[#This Row],[Acct]], config_BS[Acct], config_BS[Lv2],,0)</f>
        <v>Cash alike</v>
      </c>
      <c r="N337" t="str">
        <f>_xlfn.XLOOKUP(Jnl[[#This Row],[TrxId]], Trx[Id], Trx[IncNode], ,0)</f>
        <v>Cost</v>
      </c>
      <c r="O337" t="str">
        <f>_xlfn.XLOOKUP(Jnl[[#This Row],[IncNode]], config_IS[Node], config_IS[Type],,0)</f>
        <v>Op</v>
      </c>
      <c r="P337" t="str">
        <f>_xlfn.XLOOKUP(Jnl[[#This Row],[BSLv2]], dict[Key], dict[Name],,0)</f>
        <v>0.现金及类似</v>
      </c>
      <c r="Q337" t="str">
        <f>_xlfn.XLOOKUP(Jnl[[#This Row],[Acct]], dict[Key], dict[Name],,0)</f>
        <v>银行</v>
      </c>
      <c r="R337" t="str">
        <f>_xlfn.XLOOKUP(Jnl[[#This Row],[Vehicle]],config_vehicle[Id], config_vehicle[Name],,0)</f>
        <v>米小易</v>
      </c>
      <c r="S337" t="str">
        <f>_xlfn.XLOOKUP(Jnl[[#This Row],[Division]],config_div[Id], config_div[Name],,0)</f>
        <v>水街店</v>
      </c>
      <c r="T337" t="str">
        <f>IF(Jnl[[#This Row],[TrxDate]]&lt;=stmt_BS_date_end, "In", "Out")</f>
        <v>In</v>
      </c>
      <c r="U337" t="str">
        <f>IF(Jnl[[#This Row],[TrxDate]]&lt;debug_date_start, "prior", IF(Jnl[[#This Row],[TrxDate]]&gt;debug_date_end, "post", "curr"))</f>
        <v>prior</v>
      </c>
    </row>
    <row r="338" spans="1:21">
      <c r="A338" s="11" t="s">
        <v>533</v>
      </c>
      <c r="B338" s="7">
        <f>_xlfn.XLOOKUP(Jnl[[#This Row],[TrxId]], Trx[Id], Trx[Date],,0)</f>
        <v>46053</v>
      </c>
      <c r="C338" s="7" t="str">
        <f>_xlfn.XLOOKUP(Jnl[[#This Row],[TrxId]], Trx[Id], Trx[Division],,0)</f>
        <v>Shuijie</v>
      </c>
      <c r="D338" s="7" t="str">
        <f>_xlfn.XLOOKUP(Jnl[[#This Row],[TrxId]], Trx[Id], Trx[Action],,0)</f>
        <v>支付</v>
      </c>
      <c r="E338" s="26" t="s">
        <v>82</v>
      </c>
      <c r="F338" s="11" t="s">
        <v>590</v>
      </c>
      <c r="G338" s="11" t="s">
        <v>592</v>
      </c>
      <c r="H338" s="72">
        <v>-570</v>
      </c>
      <c r="I338" s="5" t="b">
        <f>AND(Jnl[[#This Row],[TrxId]]&lt;&gt;"",Jnl[[#This Row],[Acct]]&lt;&gt;"",Jnl[[#This Row],[Item]]&lt;&gt;"",ISNUMBER(Jnl[[#This Row],[Bal]]))</f>
        <v>1</v>
      </c>
      <c r="J338" s="10">
        <f>IF(Jnl[[#This Row],[BSLv0]]="A",1,-1)*Jnl[[#This Row],[Bal]]</f>
        <v>-570</v>
      </c>
      <c r="K338" t="str">
        <f>_xlfn.XLOOKUP(Jnl[[#This Row],[Acct]], config_BS[Acct], config_BS[Lv0],,0)</f>
        <v>A</v>
      </c>
      <c r="L338" t="str">
        <f>_xlfn.XLOOKUP(Jnl[[#This Row],[Acct]], config_BS[Acct], config_BS[Lv1],,0)</f>
        <v>Assets</v>
      </c>
      <c r="M338" t="str">
        <f>_xlfn.XLOOKUP(Jnl[[#This Row],[Acct]], config_BS[Acct], config_BS[Lv2],,0)</f>
        <v>Cash alike</v>
      </c>
      <c r="N338" t="str">
        <f>_xlfn.XLOOKUP(Jnl[[#This Row],[TrxId]], Trx[Id], Trx[IncNode], ,0)</f>
        <v>Cost</v>
      </c>
      <c r="O338" t="str">
        <f>_xlfn.XLOOKUP(Jnl[[#This Row],[IncNode]], config_IS[Node], config_IS[Type],,0)</f>
        <v>Op</v>
      </c>
      <c r="P338" t="str">
        <f>_xlfn.XLOOKUP(Jnl[[#This Row],[BSLv2]], dict[Key], dict[Name],,0)</f>
        <v>0.现金及类似</v>
      </c>
      <c r="Q338" t="str">
        <f>_xlfn.XLOOKUP(Jnl[[#This Row],[Acct]], dict[Key], dict[Name],,0)</f>
        <v>银行</v>
      </c>
      <c r="R338" t="str">
        <f>_xlfn.XLOOKUP(Jnl[[#This Row],[Vehicle]],config_vehicle[Id], config_vehicle[Name],,0)</f>
        <v>米小易</v>
      </c>
      <c r="S338" t="str">
        <f>_xlfn.XLOOKUP(Jnl[[#This Row],[Division]],config_div[Id], config_div[Name],,0)</f>
        <v>水街店</v>
      </c>
      <c r="T338" t="str">
        <f>IF(Jnl[[#This Row],[TrxDate]]&lt;=stmt_BS_date_end, "In", "Out")</f>
        <v>In</v>
      </c>
      <c r="U338" t="str">
        <f>IF(Jnl[[#This Row],[TrxDate]]&lt;debug_date_start, "prior", IF(Jnl[[#This Row],[TrxDate]]&gt;debug_date_end, "post", "curr"))</f>
        <v>prior</v>
      </c>
    </row>
    <row r="339" spans="1:21">
      <c r="A339" s="11" t="s">
        <v>533</v>
      </c>
      <c r="B339" s="7">
        <f>_xlfn.XLOOKUP(Jnl[[#This Row],[TrxId]], Trx[Id], Trx[Date],,0)</f>
        <v>46053</v>
      </c>
      <c r="C339" s="7" t="str">
        <f>_xlfn.XLOOKUP(Jnl[[#This Row],[TrxId]], Trx[Id], Trx[Division],,0)</f>
        <v>Shuijie</v>
      </c>
      <c r="D339" s="7" t="str">
        <f>_xlfn.XLOOKUP(Jnl[[#This Row],[TrxId]], Trx[Id], Trx[Action],,0)</f>
        <v>支付</v>
      </c>
      <c r="E339" s="26" t="s">
        <v>82</v>
      </c>
      <c r="F339" s="11" t="s">
        <v>493</v>
      </c>
      <c r="G339" s="11" t="s">
        <v>428</v>
      </c>
      <c r="H339" s="72">
        <v>570</v>
      </c>
      <c r="I339" s="5" t="b">
        <f>AND(Jnl[[#This Row],[TrxId]]&lt;&gt;"",Jnl[[#This Row],[Acct]]&lt;&gt;"",Jnl[[#This Row],[Item]]&lt;&gt;"",ISNUMBER(Jnl[[#This Row],[Bal]]))</f>
        <v>1</v>
      </c>
      <c r="J339" s="10">
        <f>IF(Jnl[[#This Row],[BSLv0]]="A",1,-1)*Jnl[[#This Row],[Bal]]</f>
        <v>570</v>
      </c>
      <c r="K339" t="str">
        <f>_xlfn.XLOOKUP(Jnl[[#This Row],[Acct]], config_BS[Acct], config_BS[Lv0],,0)</f>
        <v>A</v>
      </c>
      <c r="L339" t="str">
        <f>_xlfn.XLOOKUP(Jnl[[#This Row],[Acct]], config_BS[Acct], config_BS[Lv1],,0)</f>
        <v>Assets</v>
      </c>
      <c r="M339" t="str">
        <f>_xlfn.XLOOKUP(Jnl[[#This Row],[Acct]], config_BS[Acct], config_BS[Lv2],,0)</f>
        <v>Prep-Sub</v>
      </c>
      <c r="N339" t="str">
        <f>_xlfn.XLOOKUP(Jnl[[#This Row],[TrxId]], Trx[Id], Trx[IncNode], ,0)</f>
        <v>Cost</v>
      </c>
      <c r="O339" t="str">
        <f>_xlfn.XLOOKUP(Jnl[[#This Row],[IncNode]], config_IS[Node], config_IS[Type],,0)</f>
        <v>Op</v>
      </c>
      <c r="P339" t="str">
        <f>_xlfn.XLOOKUP(Jnl[[#This Row],[BSLv2]], dict[Key], dict[Name],,0)</f>
        <v>2.预付-订阅</v>
      </c>
      <c r="Q339" t="str">
        <f>_xlfn.XLOOKUP(Jnl[[#This Row],[Acct]], dict[Key], dict[Name],,0)</f>
        <v>预付订单</v>
      </c>
      <c r="R339" t="str">
        <f>_xlfn.XLOOKUP(Jnl[[#This Row],[Vehicle]],config_vehicle[Id], config_vehicle[Name],,0)</f>
        <v>米小易</v>
      </c>
      <c r="S339" t="str">
        <f>_xlfn.XLOOKUP(Jnl[[#This Row],[Division]],config_div[Id], config_div[Name],,0)</f>
        <v>水街店</v>
      </c>
      <c r="T339" t="str">
        <f>IF(Jnl[[#This Row],[TrxDate]]&lt;=stmt_BS_date_end, "In", "Out")</f>
        <v>In</v>
      </c>
      <c r="U339" t="str">
        <f>IF(Jnl[[#This Row],[TrxDate]]&lt;debug_date_start, "prior", IF(Jnl[[#This Row],[TrxDate]]&gt;debug_date_end, "post", "curr"))</f>
        <v>prior</v>
      </c>
    </row>
    <row r="340" spans="1:21">
      <c r="A340" s="11" t="s">
        <v>535</v>
      </c>
      <c r="B340" s="7">
        <f>_xlfn.XLOOKUP(Jnl[[#This Row],[TrxId]], Trx[Id], Trx[Date],,0)</f>
        <v>46053</v>
      </c>
      <c r="C340" s="7" t="str">
        <f>_xlfn.XLOOKUP(Jnl[[#This Row],[TrxId]], Trx[Id], Trx[Division],,0)</f>
        <v>Ctrl</v>
      </c>
      <c r="D340" s="7" t="str">
        <f>_xlfn.XLOOKUP(Jnl[[#This Row],[TrxId]], Trx[Id], Trx[Action],,0)</f>
        <v>支付</v>
      </c>
      <c r="E340" s="26" t="s">
        <v>82</v>
      </c>
      <c r="F340" s="11" t="s">
        <v>590</v>
      </c>
      <c r="G340" s="11" t="s">
        <v>592</v>
      </c>
      <c r="H340" s="72">
        <v>-30461.37</v>
      </c>
      <c r="I340" s="5" t="b">
        <f>AND(Jnl[[#This Row],[TrxId]]&lt;&gt;"",Jnl[[#This Row],[Acct]]&lt;&gt;"",Jnl[[#This Row],[Item]]&lt;&gt;"",ISNUMBER(Jnl[[#This Row],[Bal]]))</f>
        <v>1</v>
      </c>
      <c r="J340" s="10">
        <f>IF(Jnl[[#This Row],[BSLv0]]="A",1,-1)*Jnl[[#This Row],[Bal]]</f>
        <v>-30461.37</v>
      </c>
      <c r="K340" t="str">
        <f>_xlfn.XLOOKUP(Jnl[[#This Row],[Acct]], config_BS[Acct], config_BS[Lv0],,0)</f>
        <v>A</v>
      </c>
      <c r="L340" t="str">
        <f>_xlfn.XLOOKUP(Jnl[[#This Row],[Acct]], config_BS[Acct], config_BS[Lv1],,0)</f>
        <v>Assets</v>
      </c>
      <c r="M340" t="str">
        <f>_xlfn.XLOOKUP(Jnl[[#This Row],[Acct]], config_BS[Acct], config_BS[Lv2],,0)</f>
        <v>Cash alike</v>
      </c>
      <c r="N340" t="str">
        <f>_xlfn.XLOOKUP(Jnl[[#This Row],[TrxId]], Trx[Id], Trx[IncNode], ,0)</f>
        <v>Expense</v>
      </c>
      <c r="O340" t="str">
        <f>_xlfn.XLOOKUP(Jnl[[#This Row],[IncNode]], config_IS[Node], config_IS[Type],,0)</f>
        <v>Op</v>
      </c>
      <c r="P340" t="str">
        <f>_xlfn.XLOOKUP(Jnl[[#This Row],[BSLv2]], dict[Key], dict[Name],,0)</f>
        <v>0.现金及类似</v>
      </c>
      <c r="Q340" t="str">
        <f>_xlfn.XLOOKUP(Jnl[[#This Row],[Acct]], dict[Key], dict[Name],,0)</f>
        <v>银行</v>
      </c>
      <c r="R340" t="str">
        <f>_xlfn.XLOOKUP(Jnl[[#This Row],[Vehicle]],config_vehicle[Id], config_vehicle[Name],,0)</f>
        <v>米小易</v>
      </c>
      <c r="S340" t="str">
        <f>_xlfn.XLOOKUP(Jnl[[#This Row],[Division]],config_div[Id], config_div[Name],,0)</f>
        <v>内控合规</v>
      </c>
      <c r="T340" t="str">
        <f>IF(Jnl[[#This Row],[TrxDate]]&lt;=stmt_BS_date_end, "In", "Out")</f>
        <v>In</v>
      </c>
      <c r="U340" t="str">
        <f>IF(Jnl[[#This Row],[TrxDate]]&lt;debug_date_start, "prior", IF(Jnl[[#This Row],[TrxDate]]&gt;debug_date_end, "post", "curr"))</f>
        <v>prior</v>
      </c>
    </row>
    <row r="341" spans="1:21">
      <c r="A341" s="11" t="s">
        <v>535</v>
      </c>
      <c r="B341" s="7">
        <f>_xlfn.XLOOKUP(Jnl[[#This Row],[TrxId]], Trx[Id], Trx[Date],,0)</f>
        <v>46053</v>
      </c>
      <c r="C341" s="7" t="str">
        <f>_xlfn.XLOOKUP(Jnl[[#This Row],[TrxId]], Trx[Id], Trx[Division],,0)</f>
        <v>Ctrl</v>
      </c>
      <c r="D341" s="7" t="str">
        <f>_xlfn.XLOOKUP(Jnl[[#This Row],[TrxId]], Trx[Id], Trx[Action],,0)</f>
        <v>支付</v>
      </c>
      <c r="E341" s="26" t="s">
        <v>82</v>
      </c>
      <c r="F341" s="11" t="s">
        <v>127</v>
      </c>
      <c r="G341" s="11" t="s">
        <v>307</v>
      </c>
      <c r="H341" s="72">
        <v>-12329.72</v>
      </c>
      <c r="I341" s="5" t="b">
        <f>AND(Jnl[[#This Row],[TrxId]]&lt;&gt;"",Jnl[[#This Row],[Acct]]&lt;&gt;"",Jnl[[#This Row],[Item]]&lt;&gt;"",ISNUMBER(Jnl[[#This Row],[Bal]]))</f>
        <v>1</v>
      </c>
      <c r="J341" s="10">
        <f>IF(Jnl[[#This Row],[BSLv0]]="A",1,-1)*Jnl[[#This Row],[Bal]]</f>
        <v>12329.72</v>
      </c>
      <c r="K341" t="str">
        <f>_xlfn.XLOOKUP(Jnl[[#This Row],[Acct]], config_BS[Acct], config_BS[Lv0],,0)</f>
        <v>LC</v>
      </c>
      <c r="L341" t="str">
        <f>_xlfn.XLOOKUP(Jnl[[#This Row],[Acct]], config_BS[Acct], config_BS[Lv1],,0)</f>
        <v>Liability</v>
      </c>
      <c r="M341" t="str">
        <f>_xlfn.XLOOKUP(Jnl[[#This Row],[Acct]], config_BS[Acct], config_BS[Lv2],,0)</f>
        <v>Rec-Pay</v>
      </c>
      <c r="N341" t="str">
        <f>_xlfn.XLOOKUP(Jnl[[#This Row],[TrxId]], Trx[Id], Trx[IncNode], ,0)</f>
        <v>Expense</v>
      </c>
      <c r="O341" t="str">
        <f>_xlfn.XLOOKUP(Jnl[[#This Row],[IncNode]], config_IS[Node], config_IS[Type],,0)</f>
        <v>Op</v>
      </c>
      <c r="P341" t="str">
        <f>_xlfn.XLOOKUP(Jnl[[#This Row],[BSLv2]], dict[Key], dict[Name],,0)</f>
        <v>1.应收-应付</v>
      </c>
      <c r="Q341" t="str">
        <f>_xlfn.XLOOKUP(Jnl[[#This Row],[Acct]], dict[Key], dict[Name],,0)</f>
        <v>应付-税款</v>
      </c>
      <c r="R341" t="str">
        <f>_xlfn.XLOOKUP(Jnl[[#This Row],[Vehicle]],config_vehicle[Id], config_vehicle[Name],,0)</f>
        <v>米小易</v>
      </c>
      <c r="S341" t="str">
        <f>_xlfn.XLOOKUP(Jnl[[#This Row],[Division]],config_div[Id], config_div[Name],,0)</f>
        <v>内控合规</v>
      </c>
      <c r="T341" t="str">
        <f>IF(Jnl[[#This Row],[TrxDate]]&lt;=stmt_BS_date_end, "In", "Out")</f>
        <v>In</v>
      </c>
      <c r="U341" t="str">
        <f>IF(Jnl[[#This Row],[TrxDate]]&lt;debug_date_start, "prior", IF(Jnl[[#This Row],[TrxDate]]&gt;debug_date_end, "post", "curr"))</f>
        <v>prior</v>
      </c>
    </row>
    <row r="342" spans="1:21">
      <c r="A342" s="11" t="s">
        <v>535</v>
      </c>
      <c r="B342" s="7">
        <f>_xlfn.XLOOKUP(Jnl[[#This Row],[TrxId]], Trx[Id], Trx[Date],,0)</f>
        <v>46053</v>
      </c>
      <c r="C342" s="7" t="str">
        <f>_xlfn.XLOOKUP(Jnl[[#This Row],[TrxId]], Trx[Id], Trx[Division],,0)</f>
        <v>Ctrl</v>
      </c>
      <c r="D342" s="7" t="str">
        <f>_xlfn.XLOOKUP(Jnl[[#This Row],[TrxId]], Trx[Id], Trx[Action],,0)</f>
        <v>支付</v>
      </c>
      <c r="E342" s="26" t="s">
        <v>82</v>
      </c>
      <c r="F342" s="11" t="s">
        <v>127</v>
      </c>
      <c r="G342" s="11" t="s">
        <v>348</v>
      </c>
      <c r="H342" s="72">
        <v>-856.77</v>
      </c>
      <c r="I342" s="5" t="b">
        <f>AND(Jnl[[#This Row],[TrxId]]&lt;&gt;"",Jnl[[#This Row],[Acct]]&lt;&gt;"",Jnl[[#This Row],[Item]]&lt;&gt;"",ISNUMBER(Jnl[[#This Row],[Bal]]))</f>
        <v>1</v>
      </c>
      <c r="J342" s="10">
        <f>IF(Jnl[[#This Row],[BSLv0]]="A",1,-1)*Jnl[[#This Row],[Bal]]</f>
        <v>856.77</v>
      </c>
      <c r="K342" t="str">
        <f>_xlfn.XLOOKUP(Jnl[[#This Row],[Acct]], config_BS[Acct], config_BS[Lv0],,0)</f>
        <v>LC</v>
      </c>
      <c r="L342" t="str">
        <f>_xlfn.XLOOKUP(Jnl[[#This Row],[Acct]], config_BS[Acct], config_BS[Lv1],,0)</f>
        <v>Liability</v>
      </c>
      <c r="M342" t="str">
        <f>_xlfn.XLOOKUP(Jnl[[#This Row],[Acct]], config_BS[Acct], config_BS[Lv2],,0)</f>
        <v>Rec-Pay</v>
      </c>
      <c r="N342" t="str">
        <f>_xlfn.XLOOKUP(Jnl[[#This Row],[TrxId]], Trx[Id], Trx[IncNode], ,0)</f>
        <v>Expense</v>
      </c>
      <c r="O342" t="str">
        <f>_xlfn.XLOOKUP(Jnl[[#This Row],[IncNode]], config_IS[Node], config_IS[Type],,0)</f>
        <v>Op</v>
      </c>
      <c r="P342" t="str">
        <f>_xlfn.XLOOKUP(Jnl[[#This Row],[BSLv2]], dict[Key], dict[Name],,0)</f>
        <v>1.应收-应付</v>
      </c>
      <c r="Q342" t="str">
        <f>_xlfn.XLOOKUP(Jnl[[#This Row],[Acct]], dict[Key], dict[Name],,0)</f>
        <v>应付-税款</v>
      </c>
      <c r="R342" t="str">
        <f>_xlfn.XLOOKUP(Jnl[[#This Row],[Vehicle]],config_vehicle[Id], config_vehicle[Name],,0)</f>
        <v>米小易</v>
      </c>
      <c r="S342" t="str">
        <f>_xlfn.XLOOKUP(Jnl[[#This Row],[Division]],config_div[Id], config_div[Name],,0)</f>
        <v>内控合规</v>
      </c>
      <c r="T342" t="str">
        <f>IF(Jnl[[#This Row],[TrxDate]]&lt;=stmt_BS_date_end, "In", "Out")</f>
        <v>In</v>
      </c>
      <c r="U342" t="str">
        <f>IF(Jnl[[#This Row],[TrxDate]]&lt;debug_date_start, "prior", IF(Jnl[[#This Row],[TrxDate]]&gt;debug_date_end, "post", "curr"))</f>
        <v>prior</v>
      </c>
    </row>
    <row r="343" spans="1:21">
      <c r="A343" s="11" t="s">
        <v>535</v>
      </c>
      <c r="B343" s="7">
        <f>_xlfn.XLOOKUP(Jnl[[#This Row],[TrxId]], Trx[Id], Trx[Date],,0)</f>
        <v>46053</v>
      </c>
      <c r="C343" s="7" t="str">
        <f>_xlfn.XLOOKUP(Jnl[[#This Row],[TrxId]], Trx[Id], Trx[Division],,0)</f>
        <v>Ctrl</v>
      </c>
      <c r="D343" s="7" t="str">
        <f>_xlfn.XLOOKUP(Jnl[[#This Row],[TrxId]], Trx[Id], Trx[Action],,0)</f>
        <v>支付</v>
      </c>
      <c r="E343" s="26" t="s">
        <v>82</v>
      </c>
      <c r="F343" s="11" t="s">
        <v>127</v>
      </c>
      <c r="G343" s="11" t="s">
        <v>349</v>
      </c>
      <c r="H343" s="72">
        <v>-72.72</v>
      </c>
      <c r="I343" s="5" t="b">
        <f>AND(Jnl[[#This Row],[TrxId]]&lt;&gt;"",Jnl[[#This Row],[Acct]]&lt;&gt;"",Jnl[[#This Row],[Item]]&lt;&gt;"",ISNUMBER(Jnl[[#This Row],[Bal]]))</f>
        <v>1</v>
      </c>
      <c r="J343" s="10">
        <f>IF(Jnl[[#This Row],[BSLv0]]="A",1,-1)*Jnl[[#This Row],[Bal]]</f>
        <v>72.72</v>
      </c>
      <c r="K343" t="str">
        <f>_xlfn.XLOOKUP(Jnl[[#This Row],[Acct]], config_BS[Acct], config_BS[Lv0],,0)</f>
        <v>LC</v>
      </c>
      <c r="L343" t="str">
        <f>_xlfn.XLOOKUP(Jnl[[#This Row],[Acct]], config_BS[Acct], config_BS[Lv1],,0)</f>
        <v>Liability</v>
      </c>
      <c r="M343" t="str">
        <f>_xlfn.XLOOKUP(Jnl[[#This Row],[Acct]], config_BS[Acct], config_BS[Lv2],,0)</f>
        <v>Rec-Pay</v>
      </c>
      <c r="N343" t="str">
        <f>_xlfn.XLOOKUP(Jnl[[#This Row],[TrxId]], Trx[Id], Trx[IncNode], ,0)</f>
        <v>Expense</v>
      </c>
      <c r="O343" t="str">
        <f>_xlfn.XLOOKUP(Jnl[[#This Row],[IncNode]], config_IS[Node], config_IS[Type],,0)</f>
        <v>Op</v>
      </c>
      <c r="P343" t="str">
        <f>_xlfn.XLOOKUP(Jnl[[#This Row],[BSLv2]], dict[Key], dict[Name],,0)</f>
        <v>1.应收-应付</v>
      </c>
      <c r="Q343" t="str">
        <f>_xlfn.XLOOKUP(Jnl[[#This Row],[Acct]], dict[Key], dict[Name],,0)</f>
        <v>应付-税款</v>
      </c>
      <c r="R343" t="str">
        <f>_xlfn.XLOOKUP(Jnl[[#This Row],[Vehicle]],config_vehicle[Id], config_vehicle[Name],,0)</f>
        <v>米小易</v>
      </c>
      <c r="S343" t="str">
        <f>_xlfn.XLOOKUP(Jnl[[#This Row],[Division]],config_div[Id], config_div[Name],,0)</f>
        <v>内控合规</v>
      </c>
      <c r="T343" t="str">
        <f>IF(Jnl[[#This Row],[TrxDate]]&lt;=stmt_BS_date_end, "In", "Out")</f>
        <v>In</v>
      </c>
      <c r="U343" t="str">
        <f>IF(Jnl[[#This Row],[TrxDate]]&lt;debug_date_start, "prior", IF(Jnl[[#This Row],[TrxDate]]&gt;debug_date_end, "post", "curr"))</f>
        <v>prior</v>
      </c>
    </row>
    <row r="344" spans="1:21">
      <c r="A344" s="11" t="s">
        <v>535</v>
      </c>
      <c r="B344" s="7">
        <f>_xlfn.XLOOKUP(Jnl[[#This Row],[TrxId]], Trx[Id], Trx[Date],,0)</f>
        <v>46053</v>
      </c>
      <c r="C344" s="7" t="str">
        <f>_xlfn.XLOOKUP(Jnl[[#This Row],[TrxId]], Trx[Id], Trx[Division],,0)</f>
        <v>Ctrl</v>
      </c>
      <c r="D344" s="7" t="str">
        <f>_xlfn.XLOOKUP(Jnl[[#This Row],[TrxId]], Trx[Id], Trx[Action],,0)</f>
        <v>支付</v>
      </c>
      <c r="E344" s="26" t="s">
        <v>82</v>
      </c>
      <c r="F344" s="11" t="s">
        <v>127</v>
      </c>
      <c r="G344" s="11" t="s">
        <v>347</v>
      </c>
      <c r="H344" s="72">
        <v>-17202.16</v>
      </c>
      <c r="I344" s="5" t="b">
        <f>AND(Jnl[[#This Row],[TrxId]]&lt;&gt;"",Jnl[[#This Row],[Acct]]&lt;&gt;"",Jnl[[#This Row],[Item]]&lt;&gt;"",ISNUMBER(Jnl[[#This Row],[Bal]]))</f>
        <v>1</v>
      </c>
      <c r="J344" s="10">
        <f>IF(Jnl[[#This Row],[BSLv0]]="A",1,-1)*Jnl[[#This Row],[Bal]]</f>
        <v>17202.16</v>
      </c>
      <c r="K344" t="str">
        <f>_xlfn.XLOOKUP(Jnl[[#This Row],[Acct]], config_BS[Acct], config_BS[Lv0],,0)</f>
        <v>LC</v>
      </c>
      <c r="L344" t="str">
        <f>_xlfn.XLOOKUP(Jnl[[#This Row],[Acct]], config_BS[Acct], config_BS[Lv1],,0)</f>
        <v>Liability</v>
      </c>
      <c r="M344" t="str">
        <f>_xlfn.XLOOKUP(Jnl[[#This Row],[Acct]], config_BS[Acct], config_BS[Lv2],,0)</f>
        <v>Rec-Pay</v>
      </c>
      <c r="N344" t="str">
        <f>_xlfn.XLOOKUP(Jnl[[#This Row],[TrxId]], Trx[Id], Trx[IncNode], ,0)</f>
        <v>Expense</v>
      </c>
      <c r="O344" t="str">
        <f>_xlfn.XLOOKUP(Jnl[[#This Row],[IncNode]], config_IS[Node], config_IS[Type],,0)</f>
        <v>Op</v>
      </c>
      <c r="P344" t="str">
        <f>_xlfn.XLOOKUP(Jnl[[#This Row],[BSLv2]], dict[Key], dict[Name],,0)</f>
        <v>1.应收-应付</v>
      </c>
      <c r="Q344" t="str">
        <f>_xlfn.XLOOKUP(Jnl[[#This Row],[Acct]], dict[Key], dict[Name],,0)</f>
        <v>应付-税款</v>
      </c>
      <c r="R344" t="str">
        <f>_xlfn.XLOOKUP(Jnl[[#This Row],[Vehicle]],config_vehicle[Id], config_vehicle[Name],,0)</f>
        <v>米小易</v>
      </c>
      <c r="S344" t="str">
        <f>_xlfn.XLOOKUP(Jnl[[#This Row],[Division]],config_div[Id], config_div[Name],,0)</f>
        <v>内控合规</v>
      </c>
      <c r="T344" t="str">
        <f>IF(Jnl[[#This Row],[TrxDate]]&lt;=stmt_BS_date_end, "In", "Out")</f>
        <v>In</v>
      </c>
      <c r="U344" t="str">
        <f>IF(Jnl[[#This Row],[TrxDate]]&lt;debug_date_start, "prior", IF(Jnl[[#This Row],[TrxDate]]&gt;debug_date_end, "post", "curr"))</f>
        <v>prior</v>
      </c>
    </row>
    <row r="345" spans="1:21">
      <c r="A345" s="11" t="s">
        <v>538</v>
      </c>
      <c r="B345" s="7">
        <f>_xlfn.XLOOKUP(Jnl[[#This Row],[TrxId]], Trx[Id], Trx[Date],,0)</f>
        <v>46053</v>
      </c>
      <c r="C345" s="7" t="str">
        <f>_xlfn.XLOOKUP(Jnl[[#This Row],[TrxId]], Trx[Id], Trx[Division],,0)</f>
        <v>Shuijie</v>
      </c>
      <c r="D345" s="7" t="str">
        <f>_xlfn.XLOOKUP(Jnl[[#This Row],[TrxId]], Trx[Id], Trx[Action],,0)</f>
        <v>采购</v>
      </c>
      <c r="E345" s="26" t="s">
        <v>82</v>
      </c>
      <c r="F345" s="11" t="s">
        <v>590</v>
      </c>
      <c r="G345" s="11" t="s">
        <v>592</v>
      </c>
      <c r="H345" s="72">
        <v>-1690</v>
      </c>
      <c r="I345" s="5" t="b">
        <f>AND(Jnl[[#This Row],[TrxId]]&lt;&gt;"",Jnl[[#This Row],[Acct]]&lt;&gt;"",Jnl[[#This Row],[Item]]&lt;&gt;"",ISNUMBER(Jnl[[#This Row],[Bal]]))</f>
        <v>1</v>
      </c>
      <c r="J345" s="10">
        <f>IF(Jnl[[#This Row],[BSLv0]]="A",1,-1)*Jnl[[#This Row],[Bal]]</f>
        <v>-1690</v>
      </c>
      <c r="K345" t="str">
        <f>_xlfn.XLOOKUP(Jnl[[#This Row],[Acct]], config_BS[Acct], config_BS[Lv0],,0)</f>
        <v>A</v>
      </c>
      <c r="L345" t="str">
        <f>_xlfn.XLOOKUP(Jnl[[#This Row],[Acct]], config_BS[Acct], config_BS[Lv1],,0)</f>
        <v>Assets</v>
      </c>
      <c r="M345" t="str">
        <f>_xlfn.XLOOKUP(Jnl[[#This Row],[Acct]], config_BS[Acct], config_BS[Lv2],,0)</f>
        <v>Cash alike</v>
      </c>
      <c r="N345" t="str">
        <f>_xlfn.XLOOKUP(Jnl[[#This Row],[TrxId]], Trx[Id], Trx[IncNode], ,0)</f>
        <v>Cost</v>
      </c>
      <c r="O345" t="str">
        <f>_xlfn.XLOOKUP(Jnl[[#This Row],[IncNode]], config_IS[Node], config_IS[Type],,0)</f>
        <v>Op</v>
      </c>
      <c r="P345" t="str">
        <f>_xlfn.XLOOKUP(Jnl[[#This Row],[BSLv2]], dict[Key], dict[Name],,0)</f>
        <v>0.现金及类似</v>
      </c>
      <c r="Q345" t="str">
        <f>_xlfn.XLOOKUP(Jnl[[#This Row],[Acct]], dict[Key], dict[Name],,0)</f>
        <v>银行</v>
      </c>
      <c r="R345" t="str">
        <f>_xlfn.XLOOKUP(Jnl[[#This Row],[Vehicle]],config_vehicle[Id], config_vehicle[Name],,0)</f>
        <v>米小易</v>
      </c>
      <c r="S345" t="str">
        <f>_xlfn.XLOOKUP(Jnl[[#This Row],[Division]],config_div[Id], config_div[Name],,0)</f>
        <v>水街店</v>
      </c>
      <c r="T345" t="str">
        <f>IF(Jnl[[#This Row],[TrxDate]]&lt;=stmt_BS_date_end, "In", "Out")</f>
        <v>In</v>
      </c>
      <c r="U345" t="str">
        <f>IF(Jnl[[#This Row],[TrxDate]]&lt;debug_date_start, "prior", IF(Jnl[[#This Row],[TrxDate]]&gt;debug_date_end, "post", "curr"))</f>
        <v>prior</v>
      </c>
    </row>
    <row r="346" spans="1:21">
      <c r="A346" s="11" t="s">
        <v>538</v>
      </c>
      <c r="B346" s="7">
        <f>_xlfn.XLOOKUP(Jnl[[#This Row],[TrxId]], Trx[Id], Trx[Date],,0)</f>
        <v>46053</v>
      </c>
      <c r="C346" s="7" t="str">
        <f>_xlfn.XLOOKUP(Jnl[[#This Row],[TrxId]], Trx[Id], Trx[Division],,0)</f>
        <v>Shuijie</v>
      </c>
      <c r="D346" s="7" t="str">
        <f>_xlfn.XLOOKUP(Jnl[[#This Row],[TrxId]], Trx[Id], Trx[Action],,0)</f>
        <v>采购</v>
      </c>
      <c r="E346" s="26" t="s">
        <v>82</v>
      </c>
      <c r="F346" s="11" t="s">
        <v>598</v>
      </c>
      <c r="G346" s="11" t="s">
        <v>152</v>
      </c>
      <c r="H346" s="72">
        <v>1690</v>
      </c>
      <c r="I346" s="5" t="b">
        <f>AND(Jnl[[#This Row],[TrxId]]&lt;&gt;"",Jnl[[#This Row],[Acct]]&lt;&gt;"",Jnl[[#This Row],[Item]]&lt;&gt;"",ISNUMBER(Jnl[[#This Row],[Bal]]))</f>
        <v>1</v>
      </c>
      <c r="J346" s="10">
        <f>IF(Jnl[[#This Row],[BSLv0]]="A",1,-1)*Jnl[[#This Row],[Bal]]</f>
        <v>1690</v>
      </c>
      <c r="K346" t="str">
        <f>_xlfn.XLOOKUP(Jnl[[#This Row],[Acct]], config_BS[Acct], config_BS[Lv0],,0)</f>
        <v>A</v>
      </c>
      <c r="L346" t="str">
        <f>_xlfn.XLOOKUP(Jnl[[#This Row],[Acct]], config_BS[Acct], config_BS[Lv1],,0)</f>
        <v>Assets</v>
      </c>
      <c r="M346" t="str">
        <f>_xlfn.XLOOKUP(Jnl[[#This Row],[Acct]], config_BS[Acct], config_BS[Lv2],,0)</f>
        <v>Invtr</v>
      </c>
      <c r="N346" t="str">
        <f>_xlfn.XLOOKUP(Jnl[[#This Row],[TrxId]], Trx[Id], Trx[IncNode], ,0)</f>
        <v>Cost</v>
      </c>
      <c r="O346" t="str">
        <f>_xlfn.XLOOKUP(Jnl[[#This Row],[IncNode]], config_IS[Node], config_IS[Type],,0)</f>
        <v>Op</v>
      </c>
      <c r="P346" t="str">
        <f>_xlfn.XLOOKUP(Jnl[[#This Row],[BSLv2]], dict[Key], dict[Name],,0)</f>
        <v>3.库存占款</v>
      </c>
      <c r="Q346" t="str">
        <f>_xlfn.XLOOKUP(Jnl[[#This Row],[Acct]], dict[Key], dict[Name],,0)</f>
        <v>当期存货</v>
      </c>
      <c r="R346" t="str">
        <f>_xlfn.XLOOKUP(Jnl[[#This Row],[Vehicle]],config_vehicle[Id], config_vehicle[Name],,0)</f>
        <v>米小易</v>
      </c>
      <c r="S346" t="str">
        <f>_xlfn.XLOOKUP(Jnl[[#This Row],[Division]],config_div[Id], config_div[Name],,0)</f>
        <v>水街店</v>
      </c>
      <c r="T346" t="str">
        <f>IF(Jnl[[#This Row],[TrxDate]]&lt;=stmt_BS_date_end, "In", "Out")</f>
        <v>In</v>
      </c>
      <c r="U346" t="str">
        <f>IF(Jnl[[#This Row],[TrxDate]]&lt;debug_date_start, "prior", IF(Jnl[[#This Row],[TrxDate]]&gt;debug_date_end, "post", "curr"))</f>
        <v>prior</v>
      </c>
    </row>
    <row r="347" spans="1:21">
      <c r="A347" s="11" t="s">
        <v>539</v>
      </c>
      <c r="B347" s="7">
        <f>_xlfn.XLOOKUP(Jnl[[#This Row],[TrxId]], Trx[Id], Trx[Date],,0)</f>
        <v>46053</v>
      </c>
      <c r="C347" s="7" t="str">
        <f>_xlfn.XLOOKUP(Jnl[[#This Row],[TrxId]], Trx[Id], Trx[Division],,0)</f>
        <v>Shuijie</v>
      </c>
      <c r="D347" s="7" t="str">
        <f>_xlfn.XLOOKUP(Jnl[[#This Row],[TrxId]], Trx[Id], Trx[Action],,0)</f>
        <v>支付</v>
      </c>
      <c r="E347" s="26" t="s">
        <v>82</v>
      </c>
      <c r="F347" s="11" t="s">
        <v>493</v>
      </c>
      <c r="G347" s="11" t="s">
        <v>428</v>
      </c>
      <c r="H347" s="72">
        <v>4828</v>
      </c>
      <c r="I347" s="5" t="b">
        <f>AND(Jnl[[#This Row],[TrxId]]&lt;&gt;"",Jnl[[#This Row],[Acct]]&lt;&gt;"",Jnl[[#This Row],[Item]]&lt;&gt;"",ISNUMBER(Jnl[[#This Row],[Bal]]))</f>
        <v>1</v>
      </c>
      <c r="J347" s="10">
        <f>IF(Jnl[[#This Row],[BSLv0]]="A",1,-1)*Jnl[[#This Row],[Bal]]</f>
        <v>4828</v>
      </c>
      <c r="K347" t="str">
        <f>_xlfn.XLOOKUP(Jnl[[#This Row],[Acct]], config_BS[Acct], config_BS[Lv0],,0)</f>
        <v>A</v>
      </c>
      <c r="L347" t="str">
        <f>_xlfn.XLOOKUP(Jnl[[#This Row],[Acct]], config_BS[Acct], config_BS[Lv1],,0)</f>
        <v>Assets</v>
      </c>
      <c r="M347" t="str">
        <f>_xlfn.XLOOKUP(Jnl[[#This Row],[Acct]], config_BS[Acct], config_BS[Lv2],,0)</f>
        <v>Prep-Sub</v>
      </c>
      <c r="N347" t="str">
        <f>_xlfn.XLOOKUP(Jnl[[#This Row],[TrxId]], Trx[Id], Trx[IncNode], ,0)</f>
        <v>Cost</v>
      </c>
      <c r="O347" t="str">
        <f>_xlfn.XLOOKUP(Jnl[[#This Row],[IncNode]], config_IS[Node], config_IS[Type],,0)</f>
        <v>Op</v>
      </c>
      <c r="P347" t="str">
        <f>_xlfn.XLOOKUP(Jnl[[#This Row],[BSLv2]], dict[Key], dict[Name],,0)</f>
        <v>2.预付-订阅</v>
      </c>
      <c r="Q347" t="str">
        <f>_xlfn.XLOOKUP(Jnl[[#This Row],[Acct]], dict[Key], dict[Name],,0)</f>
        <v>预付订单</v>
      </c>
      <c r="R347" t="str">
        <f>_xlfn.XLOOKUP(Jnl[[#This Row],[Vehicle]],config_vehicle[Id], config_vehicle[Name],,0)</f>
        <v>米小易</v>
      </c>
      <c r="S347" t="str">
        <f>_xlfn.XLOOKUP(Jnl[[#This Row],[Division]],config_div[Id], config_div[Name],,0)</f>
        <v>水街店</v>
      </c>
      <c r="T347" t="str">
        <f>IF(Jnl[[#This Row],[TrxDate]]&lt;=stmt_BS_date_end, "In", "Out")</f>
        <v>In</v>
      </c>
      <c r="U347" t="str">
        <f>IF(Jnl[[#This Row],[TrxDate]]&lt;debug_date_start, "prior", IF(Jnl[[#This Row],[TrxDate]]&gt;debug_date_end, "post", "curr"))</f>
        <v>prior</v>
      </c>
    </row>
    <row r="348" spans="1:21">
      <c r="A348" s="11" t="s">
        <v>539</v>
      </c>
      <c r="B348" s="7">
        <f>_xlfn.XLOOKUP(Jnl[[#This Row],[TrxId]], Trx[Id], Trx[Date],,0)</f>
        <v>46053</v>
      </c>
      <c r="C348" s="7" t="str">
        <f>_xlfn.XLOOKUP(Jnl[[#This Row],[TrxId]], Trx[Id], Trx[Division],,0)</f>
        <v>Shuijie</v>
      </c>
      <c r="D348" s="7" t="str">
        <f>_xlfn.XLOOKUP(Jnl[[#This Row],[TrxId]], Trx[Id], Trx[Action],,0)</f>
        <v>支付</v>
      </c>
      <c r="E348" s="26" t="s">
        <v>82</v>
      </c>
      <c r="F348" s="11" t="s">
        <v>590</v>
      </c>
      <c r="G348" s="11" t="s">
        <v>592</v>
      </c>
      <c r="H348" s="72">
        <v>-4828</v>
      </c>
      <c r="I348" s="5" t="b">
        <f>AND(Jnl[[#This Row],[TrxId]]&lt;&gt;"",Jnl[[#This Row],[Acct]]&lt;&gt;"",Jnl[[#This Row],[Item]]&lt;&gt;"",ISNUMBER(Jnl[[#This Row],[Bal]]))</f>
        <v>1</v>
      </c>
      <c r="J348" s="10">
        <f>IF(Jnl[[#This Row],[BSLv0]]="A",1,-1)*Jnl[[#This Row],[Bal]]</f>
        <v>-4828</v>
      </c>
      <c r="K348" t="str">
        <f>_xlfn.XLOOKUP(Jnl[[#This Row],[Acct]], config_BS[Acct], config_BS[Lv0],,0)</f>
        <v>A</v>
      </c>
      <c r="L348" t="str">
        <f>_xlfn.XLOOKUP(Jnl[[#This Row],[Acct]], config_BS[Acct], config_BS[Lv1],,0)</f>
        <v>Assets</v>
      </c>
      <c r="M348" t="str">
        <f>_xlfn.XLOOKUP(Jnl[[#This Row],[Acct]], config_BS[Acct], config_BS[Lv2],,0)</f>
        <v>Cash alike</v>
      </c>
      <c r="N348" t="str">
        <f>_xlfn.XLOOKUP(Jnl[[#This Row],[TrxId]], Trx[Id], Trx[IncNode], ,0)</f>
        <v>Cost</v>
      </c>
      <c r="O348" t="str">
        <f>_xlfn.XLOOKUP(Jnl[[#This Row],[IncNode]], config_IS[Node], config_IS[Type],,0)</f>
        <v>Op</v>
      </c>
      <c r="P348" t="str">
        <f>_xlfn.XLOOKUP(Jnl[[#This Row],[BSLv2]], dict[Key], dict[Name],,0)</f>
        <v>0.现金及类似</v>
      </c>
      <c r="Q348" t="str">
        <f>_xlfn.XLOOKUP(Jnl[[#This Row],[Acct]], dict[Key], dict[Name],,0)</f>
        <v>银行</v>
      </c>
      <c r="R348" t="str">
        <f>_xlfn.XLOOKUP(Jnl[[#This Row],[Vehicle]],config_vehicle[Id], config_vehicle[Name],,0)</f>
        <v>米小易</v>
      </c>
      <c r="S348" t="str">
        <f>_xlfn.XLOOKUP(Jnl[[#This Row],[Division]],config_div[Id], config_div[Name],,0)</f>
        <v>水街店</v>
      </c>
      <c r="T348" t="str">
        <f>IF(Jnl[[#This Row],[TrxDate]]&lt;=stmt_BS_date_end, "In", "Out")</f>
        <v>In</v>
      </c>
      <c r="U348" t="str">
        <f>IF(Jnl[[#This Row],[TrxDate]]&lt;debug_date_start, "prior", IF(Jnl[[#This Row],[TrxDate]]&gt;debug_date_end, "post", "curr"))</f>
        <v>prior</v>
      </c>
    </row>
    <row r="349" spans="1:21">
      <c r="A349" s="11" t="s">
        <v>540</v>
      </c>
      <c r="B349" s="7">
        <f>_xlfn.XLOOKUP(Jnl[[#This Row],[TrxId]], Trx[Id], Trx[Date],,0)</f>
        <v>46053</v>
      </c>
      <c r="C349" s="7" t="str">
        <f>_xlfn.XLOOKUP(Jnl[[#This Row],[TrxId]], Trx[Id], Trx[Division],,0)</f>
        <v>Ctrl</v>
      </c>
      <c r="D349" s="7" t="str">
        <f>_xlfn.XLOOKUP(Jnl[[#This Row],[TrxId]], Trx[Id], Trx[Action],,0)</f>
        <v>代理</v>
      </c>
      <c r="E349" s="26" t="s">
        <v>82</v>
      </c>
      <c r="F349" s="11" t="s">
        <v>590</v>
      </c>
      <c r="G349" s="11" t="s">
        <v>592</v>
      </c>
      <c r="H349" s="72">
        <v>-1170</v>
      </c>
      <c r="I349" s="5" t="b">
        <f>AND(Jnl[[#This Row],[TrxId]]&lt;&gt;"",Jnl[[#This Row],[Acct]]&lt;&gt;"",Jnl[[#This Row],[Item]]&lt;&gt;"",ISNUMBER(Jnl[[#This Row],[Bal]]))</f>
        <v>1</v>
      </c>
      <c r="J349" s="10">
        <f>IF(Jnl[[#This Row],[BSLv0]]="A",1,-1)*Jnl[[#This Row],[Bal]]</f>
        <v>-1170</v>
      </c>
      <c r="K349" t="str">
        <f>_xlfn.XLOOKUP(Jnl[[#This Row],[Acct]], config_BS[Acct], config_BS[Lv0],,0)</f>
        <v>A</v>
      </c>
      <c r="L349" t="str">
        <f>_xlfn.XLOOKUP(Jnl[[#This Row],[Acct]], config_BS[Acct], config_BS[Lv1],,0)</f>
        <v>Assets</v>
      </c>
      <c r="M349" t="str">
        <f>_xlfn.XLOOKUP(Jnl[[#This Row],[Acct]], config_BS[Acct], config_BS[Lv2],,0)</f>
        <v>Cash alike</v>
      </c>
      <c r="N349" t="str">
        <f>_xlfn.XLOOKUP(Jnl[[#This Row],[TrxId]], Trx[Id], Trx[IncNode], ,0)</f>
        <v>Expense</v>
      </c>
      <c r="O349" t="str">
        <f>_xlfn.XLOOKUP(Jnl[[#This Row],[IncNode]], config_IS[Node], config_IS[Type],,0)</f>
        <v>Op</v>
      </c>
      <c r="P349" t="str">
        <f>_xlfn.XLOOKUP(Jnl[[#This Row],[BSLv2]], dict[Key], dict[Name],,0)</f>
        <v>0.现金及类似</v>
      </c>
      <c r="Q349" t="str">
        <f>_xlfn.XLOOKUP(Jnl[[#This Row],[Acct]], dict[Key], dict[Name],,0)</f>
        <v>银行</v>
      </c>
      <c r="R349" t="str">
        <f>_xlfn.XLOOKUP(Jnl[[#This Row],[Vehicle]],config_vehicle[Id], config_vehicle[Name],,0)</f>
        <v>米小易</v>
      </c>
      <c r="S349" t="str">
        <f>_xlfn.XLOOKUP(Jnl[[#This Row],[Division]],config_div[Id], config_div[Name],,0)</f>
        <v>内控合规</v>
      </c>
      <c r="T349" t="str">
        <f>IF(Jnl[[#This Row],[TrxDate]]&lt;=stmt_BS_date_end, "In", "Out")</f>
        <v>In</v>
      </c>
      <c r="U349" t="str">
        <f>IF(Jnl[[#This Row],[TrxDate]]&lt;debug_date_start, "prior", IF(Jnl[[#This Row],[TrxDate]]&gt;debug_date_end, "post", "curr"))</f>
        <v>prior</v>
      </c>
    </row>
    <row r="350" spans="1:21">
      <c r="A350" s="11" t="s">
        <v>542</v>
      </c>
      <c r="B350" s="7">
        <f>_xlfn.XLOOKUP(Jnl[[#This Row],[TrxId]], Trx[Id], Trx[Date],,0)</f>
        <v>46053</v>
      </c>
      <c r="C350" s="7" t="str">
        <f>_xlfn.XLOOKUP(Jnl[[#This Row],[TrxId]], Trx[Id], Trx[Division],,0)</f>
        <v>Shuijie</v>
      </c>
      <c r="D350" s="7" t="str">
        <f>_xlfn.XLOOKUP(Jnl[[#This Row],[TrxId]], Trx[Id], Trx[Action],,0)</f>
        <v>食材</v>
      </c>
      <c r="E350" s="26" t="s">
        <v>82</v>
      </c>
      <c r="F350" s="11" t="s">
        <v>597</v>
      </c>
      <c r="G350" s="11" t="s">
        <v>529</v>
      </c>
      <c r="H350" s="72">
        <v>-26542.62</v>
      </c>
      <c r="I350" s="5" t="b">
        <f>AND(Jnl[[#This Row],[TrxId]]&lt;&gt;"",Jnl[[#This Row],[Acct]]&lt;&gt;"",Jnl[[#This Row],[Item]]&lt;&gt;"",ISNUMBER(Jnl[[#This Row],[Bal]]))</f>
        <v>1</v>
      </c>
      <c r="J350" s="10">
        <f>IF(Jnl[[#This Row],[BSLv0]]="A",1,-1)*Jnl[[#This Row],[Bal]]</f>
        <v>-26542.62</v>
      </c>
      <c r="K350" t="str">
        <f>_xlfn.XLOOKUP(Jnl[[#This Row],[Acct]], config_BS[Acct], config_BS[Lv0],,0)</f>
        <v>A</v>
      </c>
      <c r="L350" t="str">
        <f>_xlfn.XLOOKUP(Jnl[[#This Row],[Acct]], config_BS[Acct], config_BS[Lv1],,0)</f>
        <v>Assets</v>
      </c>
      <c r="M350" t="str">
        <f>_xlfn.XLOOKUP(Jnl[[#This Row],[Acct]], config_BS[Acct], config_BS[Lv2],,0)</f>
        <v>Prep-Sub</v>
      </c>
      <c r="N350" t="str">
        <f>_xlfn.XLOOKUP(Jnl[[#This Row],[TrxId]], Trx[Id], Trx[IncNode], ,0)</f>
        <v>Cost</v>
      </c>
      <c r="O350" t="str">
        <f>_xlfn.XLOOKUP(Jnl[[#This Row],[IncNode]], config_IS[Node], config_IS[Type],,0)</f>
        <v>Op</v>
      </c>
      <c r="P350" t="str">
        <f>_xlfn.XLOOKUP(Jnl[[#This Row],[BSLv2]], dict[Key], dict[Name],,0)</f>
        <v>2.预付-订阅</v>
      </c>
      <c r="Q350" t="str">
        <f>_xlfn.XLOOKUP(Jnl[[#This Row],[Acct]], dict[Key], dict[Name],,0)</f>
        <v>员工预支</v>
      </c>
      <c r="R350" t="str">
        <f>_xlfn.XLOOKUP(Jnl[[#This Row],[Vehicle]],config_vehicle[Id], config_vehicle[Name],,0)</f>
        <v>米小易</v>
      </c>
      <c r="S350" t="str">
        <f>_xlfn.XLOOKUP(Jnl[[#This Row],[Division]],config_div[Id], config_div[Name],,0)</f>
        <v>水街店</v>
      </c>
      <c r="T350" t="str">
        <f>IF(Jnl[[#This Row],[TrxDate]]&lt;=stmt_BS_date_end, "In", "Out")</f>
        <v>In</v>
      </c>
      <c r="U350" t="str">
        <f>IF(Jnl[[#This Row],[TrxDate]]&lt;debug_date_start, "prior", IF(Jnl[[#This Row],[TrxDate]]&gt;debug_date_end, "post", "curr"))</f>
        <v>prior</v>
      </c>
    </row>
    <row r="351" spans="1:21">
      <c r="A351" s="11" t="s">
        <v>543</v>
      </c>
      <c r="B351" s="7">
        <f>_xlfn.XLOOKUP(Jnl[[#This Row],[TrxId]], Trx[Id], Trx[Date],,0)</f>
        <v>46053</v>
      </c>
      <c r="C351" s="7" t="str">
        <f>_xlfn.XLOOKUP(Jnl[[#This Row],[TrxId]], Trx[Id], Trx[Division],,0)</f>
        <v>Shuijie</v>
      </c>
      <c r="D351" s="7" t="str">
        <f>_xlfn.XLOOKUP(Jnl[[#This Row],[TrxId]], Trx[Id], Trx[Action],,0)</f>
        <v>其他材料</v>
      </c>
      <c r="E351" s="26" t="s">
        <v>82</v>
      </c>
      <c r="F351" s="11" t="s">
        <v>597</v>
      </c>
      <c r="G351" s="11" t="s">
        <v>529</v>
      </c>
      <c r="H351" s="72">
        <f>-36807.2-H350</f>
        <v>-10264.579999999998</v>
      </c>
      <c r="I351" s="5" t="b">
        <f>AND(Jnl[[#This Row],[TrxId]]&lt;&gt;"",Jnl[[#This Row],[Acct]]&lt;&gt;"",Jnl[[#This Row],[Item]]&lt;&gt;"",ISNUMBER(Jnl[[#This Row],[Bal]]))</f>
        <v>1</v>
      </c>
      <c r="J351" s="10">
        <f>IF(Jnl[[#This Row],[BSLv0]]="A",1,-1)*Jnl[[#This Row],[Bal]]</f>
        <v>-10264.579999999998</v>
      </c>
      <c r="K351" t="str">
        <f>_xlfn.XLOOKUP(Jnl[[#This Row],[Acct]], config_BS[Acct], config_BS[Lv0],,0)</f>
        <v>A</v>
      </c>
      <c r="L351" t="str">
        <f>_xlfn.XLOOKUP(Jnl[[#This Row],[Acct]], config_BS[Acct], config_BS[Lv1],,0)</f>
        <v>Assets</v>
      </c>
      <c r="M351" t="str">
        <f>_xlfn.XLOOKUP(Jnl[[#This Row],[Acct]], config_BS[Acct], config_BS[Lv2],,0)</f>
        <v>Prep-Sub</v>
      </c>
      <c r="N351" t="str">
        <f>_xlfn.XLOOKUP(Jnl[[#This Row],[TrxId]], Trx[Id], Trx[IncNode], ,0)</f>
        <v>Cost</v>
      </c>
      <c r="O351" t="str">
        <f>_xlfn.XLOOKUP(Jnl[[#This Row],[IncNode]], config_IS[Node], config_IS[Type],,0)</f>
        <v>Op</v>
      </c>
      <c r="P351" t="str">
        <f>_xlfn.XLOOKUP(Jnl[[#This Row],[BSLv2]], dict[Key], dict[Name],,0)</f>
        <v>2.预付-订阅</v>
      </c>
      <c r="Q351" t="str">
        <f>_xlfn.XLOOKUP(Jnl[[#This Row],[Acct]], dict[Key], dict[Name],,0)</f>
        <v>员工预支</v>
      </c>
      <c r="R351" t="str">
        <f>_xlfn.XLOOKUP(Jnl[[#This Row],[Vehicle]],config_vehicle[Id], config_vehicle[Name],,0)</f>
        <v>米小易</v>
      </c>
      <c r="S351" t="str">
        <f>_xlfn.XLOOKUP(Jnl[[#This Row],[Division]],config_div[Id], config_div[Name],,0)</f>
        <v>水街店</v>
      </c>
      <c r="T351" t="str">
        <f>IF(Jnl[[#This Row],[TrxDate]]&lt;=stmt_BS_date_end, "In", "Out")</f>
        <v>In</v>
      </c>
      <c r="U351" t="str">
        <f>IF(Jnl[[#This Row],[TrxDate]]&lt;debug_date_start, "prior", IF(Jnl[[#This Row],[TrxDate]]&gt;debug_date_end, "post", "curr"))</f>
        <v>prior</v>
      </c>
    </row>
    <row r="352" spans="1:21">
      <c r="A352" s="11" t="s">
        <v>544</v>
      </c>
      <c r="B352" s="7">
        <f>_xlfn.XLOOKUP(Jnl[[#This Row],[TrxId]], Trx[Id], Trx[Date],,0)</f>
        <v>46053</v>
      </c>
      <c r="C352" s="7" t="str">
        <f>_xlfn.XLOOKUP(Jnl[[#This Row],[TrxId]], Trx[Id], Trx[Division],,0)</f>
        <v>Shuijie</v>
      </c>
      <c r="D352" s="7" t="str">
        <f>_xlfn.XLOOKUP(Jnl[[#This Row],[TrxId]], Trx[Id], Trx[Action],,0)</f>
        <v>支付</v>
      </c>
      <c r="E352" s="26" t="s">
        <v>82</v>
      </c>
      <c r="F352" s="11" t="s">
        <v>590</v>
      </c>
      <c r="G352" s="11" t="s">
        <v>592</v>
      </c>
      <c r="H352" s="72">
        <v>-6807.2</v>
      </c>
      <c r="I352" s="5" t="b">
        <f>AND(Jnl[[#This Row],[TrxId]]&lt;&gt;"",Jnl[[#This Row],[Acct]]&lt;&gt;"",Jnl[[#This Row],[Item]]&lt;&gt;"",ISNUMBER(Jnl[[#This Row],[Bal]]))</f>
        <v>1</v>
      </c>
      <c r="J352" s="10">
        <f>IF(Jnl[[#This Row],[BSLv0]]="A",1,-1)*Jnl[[#This Row],[Bal]]</f>
        <v>-6807.2</v>
      </c>
      <c r="K352" t="str">
        <f>_xlfn.XLOOKUP(Jnl[[#This Row],[Acct]], config_BS[Acct], config_BS[Lv0],,0)</f>
        <v>A</v>
      </c>
      <c r="L352" t="str">
        <f>_xlfn.XLOOKUP(Jnl[[#This Row],[Acct]], config_BS[Acct], config_BS[Lv1],,0)</f>
        <v>Assets</v>
      </c>
      <c r="M352" t="str">
        <f>_xlfn.XLOOKUP(Jnl[[#This Row],[Acct]], config_BS[Acct], config_BS[Lv2],,0)</f>
        <v>Cash alike</v>
      </c>
      <c r="N352" t="str">
        <f>_xlfn.XLOOKUP(Jnl[[#This Row],[TrxId]], Trx[Id], Trx[IncNode], ,0)</f>
        <v>Expense</v>
      </c>
      <c r="O352" t="str">
        <f>_xlfn.XLOOKUP(Jnl[[#This Row],[IncNode]], config_IS[Node], config_IS[Type],,0)</f>
        <v>Op</v>
      </c>
      <c r="P352" t="str">
        <f>_xlfn.XLOOKUP(Jnl[[#This Row],[BSLv2]], dict[Key], dict[Name],,0)</f>
        <v>0.现金及类似</v>
      </c>
      <c r="Q352" t="str">
        <f>_xlfn.XLOOKUP(Jnl[[#This Row],[Acct]], dict[Key], dict[Name],,0)</f>
        <v>银行</v>
      </c>
      <c r="R352" t="str">
        <f>_xlfn.XLOOKUP(Jnl[[#This Row],[Vehicle]],config_vehicle[Id], config_vehicle[Name],,0)</f>
        <v>米小易</v>
      </c>
      <c r="S352" t="str">
        <f>_xlfn.XLOOKUP(Jnl[[#This Row],[Division]],config_div[Id], config_div[Name],,0)</f>
        <v>水街店</v>
      </c>
      <c r="T352" t="str">
        <f>IF(Jnl[[#This Row],[TrxDate]]&lt;=stmt_BS_date_end, "In", "Out")</f>
        <v>In</v>
      </c>
      <c r="U352" t="str">
        <f>IF(Jnl[[#This Row],[TrxDate]]&lt;debug_date_start, "prior", IF(Jnl[[#This Row],[TrxDate]]&gt;debug_date_end, "post", "curr"))</f>
        <v>prior</v>
      </c>
    </row>
    <row r="353" spans="1:21">
      <c r="A353" s="11" t="s">
        <v>544</v>
      </c>
      <c r="B353" s="7">
        <f>_xlfn.XLOOKUP(Jnl[[#This Row],[TrxId]], Trx[Id], Trx[Date],,0)</f>
        <v>46053</v>
      </c>
      <c r="C353" s="7" t="str">
        <f>_xlfn.XLOOKUP(Jnl[[#This Row],[TrxId]], Trx[Id], Trx[Division],,0)</f>
        <v>Shuijie</v>
      </c>
      <c r="D353" s="7" t="str">
        <f>_xlfn.XLOOKUP(Jnl[[#This Row],[TrxId]], Trx[Id], Trx[Action],,0)</f>
        <v>支付</v>
      </c>
      <c r="E353" s="26" t="s">
        <v>82</v>
      </c>
      <c r="F353" s="11" t="s">
        <v>597</v>
      </c>
      <c r="G353" s="11" t="s">
        <v>529</v>
      </c>
      <c r="H353" s="72">
        <v>6807.2</v>
      </c>
      <c r="I353" s="5" t="b">
        <f>AND(Jnl[[#This Row],[TrxId]]&lt;&gt;"",Jnl[[#This Row],[Acct]]&lt;&gt;"",Jnl[[#This Row],[Item]]&lt;&gt;"",ISNUMBER(Jnl[[#This Row],[Bal]]))</f>
        <v>1</v>
      </c>
      <c r="J353" s="10">
        <f>IF(Jnl[[#This Row],[BSLv0]]="A",1,-1)*Jnl[[#This Row],[Bal]]</f>
        <v>6807.2</v>
      </c>
      <c r="K353" t="str">
        <f>_xlfn.XLOOKUP(Jnl[[#This Row],[Acct]], config_BS[Acct], config_BS[Lv0],,0)</f>
        <v>A</v>
      </c>
      <c r="L353" t="str">
        <f>_xlfn.XLOOKUP(Jnl[[#This Row],[Acct]], config_BS[Acct], config_BS[Lv1],,0)</f>
        <v>Assets</v>
      </c>
      <c r="M353" t="str">
        <f>_xlfn.XLOOKUP(Jnl[[#This Row],[Acct]], config_BS[Acct], config_BS[Lv2],,0)</f>
        <v>Prep-Sub</v>
      </c>
      <c r="N353" t="str">
        <f>_xlfn.XLOOKUP(Jnl[[#This Row],[TrxId]], Trx[Id], Trx[IncNode], ,0)</f>
        <v>Expense</v>
      </c>
      <c r="O353" t="str">
        <f>_xlfn.XLOOKUP(Jnl[[#This Row],[IncNode]], config_IS[Node], config_IS[Type],,0)</f>
        <v>Op</v>
      </c>
      <c r="P353" t="str">
        <f>_xlfn.XLOOKUP(Jnl[[#This Row],[BSLv2]], dict[Key], dict[Name],,0)</f>
        <v>2.预付-订阅</v>
      </c>
      <c r="Q353" t="str">
        <f>_xlfn.XLOOKUP(Jnl[[#This Row],[Acct]], dict[Key], dict[Name],,0)</f>
        <v>员工预支</v>
      </c>
      <c r="R353" t="str">
        <f>_xlfn.XLOOKUP(Jnl[[#This Row],[Vehicle]],config_vehicle[Id], config_vehicle[Name],,0)</f>
        <v>米小易</v>
      </c>
      <c r="S353" t="str">
        <f>_xlfn.XLOOKUP(Jnl[[#This Row],[Division]],config_div[Id], config_div[Name],,0)</f>
        <v>水街店</v>
      </c>
      <c r="T353" t="str">
        <f>IF(Jnl[[#This Row],[TrxDate]]&lt;=stmt_BS_date_end, "In", "Out")</f>
        <v>In</v>
      </c>
      <c r="U353" t="str">
        <f>IF(Jnl[[#This Row],[TrxDate]]&lt;debug_date_start, "prior", IF(Jnl[[#This Row],[TrxDate]]&gt;debug_date_end, "post", "curr"))</f>
        <v>prior</v>
      </c>
    </row>
    <row r="354" spans="1:21">
      <c r="A354" s="11" t="s">
        <v>545</v>
      </c>
      <c r="B354" s="7">
        <f>_xlfn.XLOOKUP(Jnl[[#This Row],[TrxId]], Trx[Id], Trx[Date],,0)</f>
        <v>46053</v>
      </c>
      <c r="C354" s="7" t="str">
        <f>_xlfn.XLOOKUP(Jnl[[#This Row],[TrxId]], Trx[Id], Trx[Division],,0)</f>
        <v>Shuijie</v>
      </c>
      <c r="D354" s="7" t="str">
        <f>_xlfn.XLOOKUP(Jnl[[#This Row],[TrxId]], Trx[Id], Trx[Action],,0)</f>
        <v>支付</v>
      </c>
      <c r="E354" s="26" t="s">
        <v>82</v>
      </c>
      <c r="F354" s="11" t="s">
        <v>590</v>
      </c>
      <c r="G354" s="11" t="s">
        <v>592</v>
      </c>
      <c r="H354" s="72">
        <v>-30000</v>
      </c>
      <c r="I354" s="5" t="b">
        <f>AND(Jnl[[#This Row],[TrxId]]&lt;&gt;"",Jnl[[#This Row],[Acct]]&lt;&gt;"",Jnl[[#This Row],[Item]]&lt;&gt;"",ISNUMBER(Jnl[[#This Row],[Bal]]))</f>
        <v>1</v>
      </c>
      <c r="J354" s="10">
        <f>IF(Jnl[[#This Row],[BSLv0]]="A",1,-1)*Jnl[[#This Row],[Bal]]</f>
        <v>-30000</v>
      </c>
      <c r="K354" t="str">
        <f>_xlfn.XLOOKUP(Jnl[[#This Row],[Acct]], config_BS[Acct], config_BS[Lv0],,0)</f>
        <v>A</v>
      </c>
      <c r="L354" t="str">
        <f>_xlfn.XLOOKUP(Jnl[[#This Row],[Acct]], config_BS[Acct], config_BS[Lv1],,0)</f>
        <v>Assets</v>
      </c>
      <c r="M354" t="str">
        <f>_xlfn.XLOOKUP(Jnl[[#This Row],[Acct]], config_BS[Acct], config_BS[Lv2],,0)</f>
        <v>Cash alike</v>
      </c>
      <c r="N354" t="str">
        <f>_xlfn.XLOOKUP(Jnl[[#This Row],[TrxId]], Trx[Id], Trx[IncNode], ,0)</f>
        <v>Expense</v>
      </c>
      <c r="O354" t="str">
        <f>_xlfn.XLOOKUP(Jnl[[#This Row],[IncNode]], config_IS[Node], config_IS[Type],,0)</f>
        <v>Op</v>
      </c>
      <c r="P354" t="str">
        <f>_xlfn.XLOOKUP(Jnl[[#This Row],[BSLv2]], dict[Key], dict[Name],,0)</f>
        <v>0.现金及类似</v>
      </c>
      <c r="Q354" t="str">
        <f>_xlfn.XLOOKUP(Jnl[[#This Row],[Acct]], dict[Key], dict[Name],,0)</f>
        <v>银行</v>
      </c>
      <c r="R354" t="str">
        <f>_xlfn.XLOOKUP(Jnl[[#This Row],[Vehicle]],config_vehicle[Id], config_vehicle[Name],,0)</f>
        <v>米小易</v>
      </c>
      <c r="S354" t="str">
        <f>_xlfn.XLOOKUP(Jnl[[#This Row],[Division]],config_div[Id], config_div[Name],,0)</f>
        <v>水街店</v>
      </c>
      <c r="T354" t="str">
        <f>IF(Jnl[[#This Row],[TrxDate]]&lt;=stmt_BS_date_end, "In", "Out")</f>
        <v>In</v>
      </c>
      <c r="U354" t="str">
        <f>IF(Jnl[[#This Row],[TrxDate]]&lt;debug_date_start, "prior", IF(Jnl[[#This Row],[TrxDate]]&gt;debug_date_end, "post", "curr"))</f>
        <v>prior</v>
      </c>
    </row>
    <row r="355" spans="1:21">
      <c r="A355" s="11" t="s">
        <v>545</v>
      </c>
      <c r="B355" s="7">
        <f>_xlfn.XLOOKUP(Jnl[[#This Row],[TrxId]], Trx[Id], Trx[Date],,0)</f>
        <v>46053</v>
      </c>
      <c r="C355" s="7" t="str">
        <f>_xlfn.XLOOKUP(Jnl[[#This Row],[TrxId]], Trx[Id], Trx[Division],,0)</f>
        <v>Shuijie</v>
      </c>
      <c r="D355" s="7" t="str">
        <f>_xlfn.XLOOKUP(Jnl[[#This Row],[TrxId]], Trx[Id], Trx[Action],,0)</f>
        <v>支付</v>
      </c>
      <c r="E355" s="26" t="s">
        <v>82</v>
      </c>
      <c r="F355" s="11" t="s">
        <v>597</v>
      </c>
      <c r="G355" s="11" t="s">
        <v>529</v>
      </c>
      <c r="H355" s="72">
        <v>30000</v>
      </c>
      <c r="I355" s="5" t="b">
        <f>AND(Jnl[[#This Row],[TrxId]]&lt;&gt;"",Jnl[[#This Row],[Acct]]&lt;&gt;"",Jnl[[#This Row],[Item]]&lt;&gt;"",ISNUMBER(Jnl[[#This Row],[Bal]]))</f>
        <v>1</v>
      </c>
      <c r="J355" s="10">
        <f>IF(Jnl[[#This Row],[BSLv0]]="A",1,-1)*Jnl[[#This Row],[Bal]]</f>
        <v>30000</v>
      </c>
      <c r="K355" t="str">
        <f>_xlfn.XLOOKUP(Jnl[[#This Row],[Acct]], config_BS[Acct], config_BS[Lv0],,0)</f>
        <v>A</v>
      </c>
      <c r="L355" t="str">
        <f>_xlfn.XLOOKUP(Jnl[[#This Row],[Acct]], config_BS[Acct], config_BS[Lv1],,0)</f>
        <v>Assets</v>
      </c>
      <c r="M355" t="str">
        <f>_xlfn.XLOOKUP(Jnl[[#This Row],[Acct]], config_BS[Acct], config_BS[Lv2],,0)</f>
        <v>Prep-Sub</v>
      </c>
      <c r="N355" t="str">
        <f>_xlfn.XLOOKUP(Jnl[[#This Row],[TrxId]], Trx[Id], Trx[IncNode], ,0)</f>
        <v>Expense</v>
      </c>
      <c r="O355" t="str">
        <f>_xlfn.XLOOKUP(Jnl[[#This Row],[IncNode]], config_IS[Node], config_IS[Type],,0)</f>
        <v>Op</v>
      </c>
      <c r="P355" t="str">
        <f>_xlfn.XLOOKUP(Jnl[[#This Row],[BSLv2]], dict[Key], dict[Name],,0)</f>
        <v>2.预付-订阅</v>
      </c>
      <c r="Q355" t="str">
        <f>_xlfn.XLOOKUP(Jnl[[#This Row],[Acct]], dict[Key], dict[Name],,0)</f>
        <v>员工预支</v>
      </c>
      <c r="R355" t="str">
        <f>_xlfn.XLOOKUP(Jnl[[#This Row],[Vehicle]],config_vehicle[Id], config_vehicle[Name],,0)</f>
        <v>米小易</v>
      </c>
      <c r="S355" t="str">
        <f>_xlfn.XLOOKUP(Jnl[[#This Row],[Division]],config_div[Id], config_div[Name],,0)</f>
        <v>水街店</v>
      </c>
      <c r="T355" t="str">
        <f>IF(Jnl[[#This Row],[TrxDate]]&lt;=stmt_BS_date_end, "In", "Out")</f>
        <v>In</v>
      </c>
      <c r="U355" t="str">
        <f>IF(Jnl[[#This Row],[TrxDate]]&lt;debug_date_start, "prior", IF(Jnl[[#This Row],[TrxDate]]&gt;debug_date_end, "post", "curr"))</f>
        <v>prior</v>
      </c>
    </row>
    <row r="356" spans="1:21">
      <c r="A356" s="11" t="s">
        <v>547</v>
      </c>
      <c r="B356" s="7">
        <f>_xlfn.XLOOKUP(Jnl[[#This Row],[TrxId]], Trx[Id], Trx[Date],,0)</f>
        <v>46053</v>
      </c>
      <c r="C356" s="7" t="str">
        <f>_xlfn.XLOOKUP(Jnl[[#This Row],[TrxId]], Trx[Id], Trx[Division],,0)</f>
        <v>Shuijie</v>
      </c>
      <c r="D356" s="7" t="str">
        <f>_xlfn.XLOOKUP(Jnl[[#This Row],[TrxId]], Trx[Id], Trx[Action],,0)</f>
        <v>存现</v>
      </c>
      <c r="E356" s="26" t="s">
        <v>82</v>
      </c>
      <c r="F356" s="11" t="s">
        <v>590</v>
      </c>
      <c r="G356" s="11" t="s">
        <v>592</v>
      </c>
      <c r="H356" s="72">
        <v>1304</v>
      </c>
      <c r="I356" s="5" t="b">
        <f>AND(Jnl[[#This Row],[TrxId]]&lt;&gt;"",Jnl[[#This Row],[Acct]]&lt;&gt;"",Jnl[[#This Row],[Item]]&lt;&gt;"",ISNUMBER(Jnl[[#This Row],[Bal]]))</f>
        <v>1</v>
      </c>
      <c r="J356" s="10">
        <f>IF(Jnl[[#This Row],[BSLv0]]="A",1,-1)*Jnl[[#This Row],[Bal]]</f>
        <v>1304</v>
      </c>
      <c r="K356" t="str">
        <f>_xlfn.XLOOKUP(Jnl[[#This Row],[Acct]], config_BS[Acct], config_BS[Lv0],,0)</f>
        <v>A</v>
      </c>
      <c r="L356" t="str">
        <f>_xlfn.XLOOKUP(Jnl[[#This Row],[Acct]], config_BS[Acct], config_BS[Lv1],,0)</f>
        <v>Assets</v>
      </c>
      <c r="M356" t="str">
        <f>_xlfn.XLOOKUP(Jnl[[#This Row],[Acct]], config_BS[Acct], config_BS[Lv2],,0)</f>
        <v>Cash alike</v>
      </c>
      <c r="N356" t="str">
        <f>_xlfn.XLOOKUP(Jnl[[#This Row],[TrxId]], Trx[Id], Trx[IncNode], ,0)</f>
        <v>Other</v>
      </c>
      <c r="O356" t="str">
        <f>_xlfn.XLOOKUP(Jnl[[#This Row],[IncNode]], config_IS[Node], config_IS[Type],,0)</f>
        <v>Non-Op</v>
      </c>
      <c r="P356" t="str">
        <f>_xlfn.XLOOKUP(Jnl[[#This Row],[BSLv2]], dict[Key], dict[Name],,0)</f>
        <v>0.现金及类似</v>
      </c>
      <c r="Q356" t="str">
        <f>_xlfn.XLOOKUP(Jnl[[#This Row],[Acct]], dict[Key], dict[Name],,0)</f>
        <v>银行</v>
      </c>
      <c r="R356" t="str">
        <f>_xlfn.XLOOKUP(Jnl[[#This Row],[Vehicle]],config_vehicle[Id], config_vehicle[Name],,0)</f>
        <v>米小易</v>
      </c>
      <c r="S356" t="str">
        <f>_xlfn.XLOOKUP(Jnl[[#This Row],[Division]],config_div[Id], config_div[Name],,0)</f>
        <v>水街店</v>
      </c>
      <c r="T356" t="str">
        <f>IF(Jnl[[#This Row],[TrxDate]]&lt;=stmt_BS_date_end, "In", "Out")</f>
        <v>In</v>
      </c>
      <c r="U356" t="str">
        <f>IF(Jnl[[#This Row],[TrxDate]]&lt;debug_date_start, "prior", IF(Jnl[[#This Row],[TrxDate]]&gt;debug_date_end, "post", "curr"))</f>
        <v>prior</v>
      </c>
    </row>
    <row r="357" spans="1:21">
      <c r="A357" s="11" t="s">
        <v>547</v>
      </c>
      <c r="B357" s="7">
        <f>_xlfn.XLOOKUP(Jnl[[#This Row],[TrxId]], Trx[Id], Trx[Date],,0)</f>
        <v>46053</v>
      </c>
      <c r="C357" s="7" t="str">
        <f>_xlfn.XLOOKUP(Jnl[[#This Row],[TrxId]], Trx[Id], Trx[Division],,0)</f>
        <v>Shuijie</v>
      </c>
      <c r="D357" s="7" t="str">
        <f>_xlfn.XLOOKUP(Jnl[[#This Row],[TrxId]], Trx[Id], Trx[Action],,0)</f>
        <v>存现</v>
      </c>
      <c r="E357" s="26" t="s">
        <v>82</v>
      </c>
      <c r="F357" s="11" t="s">
        <v>599</v>
      </c>
      <c r="G357" s="11" t="s">
        <v>600</v>
      </c>
      <c r="H357" s="72">
        <v>-1304</v>
      </c>
      <c r="I357" s="5" t="b">
        <f>AND(Jnl[[#This Row],[TrxId]]&lt;&gt;"",Jnl[[#This Row],[Acct]]&lt;&gt;"",Jnl[[#This Row],[Item]]&lt;&gt;"",ISNUMBER(Jnl[[#This Row],[Bal]]))</f>
        <v>1</v>
      </c>
      <c r="J357" s="10">
        <f>IF(Jnl[[#This Row],[BSLv0]]="A",1,-1)*Jnl[[#This Row],[Bal]]</f>
        <v>-1304</v>
      </c>
      <c r="K357" t="str">
        <f>_xlfn.XLOOKUP(Jnl[[#This Row],[Acct]], config_BS[Acct], config_BS[Lv0],,0)</f>
        <v>A</v>
      </c>
      <c r="L357" t="str">
        <f>_xlfn.XLOOKUP(Jnl[[#This Row],[Acct]], config_BS[Acct], config_BS[Lv1],,0)</f>
        <v>Assets</v>
      </c>
      <c r="M357" t="str">
        <f>_xlfn.XLOOKUP(Jnl[[#This Row],[Acct]], config_BS[Acct], config_BS[Lv2],,0)</f>
        <v>Cash alike</v>
      </c>
      <c r="N357" t="str">
        <f>_xlfn.XLOOKUP(Jnl[[#This Row],[TrxId]], Trx[Id], Trx[IncNode], ,0)</f>
        <v>Other</v>
      </c>
      <c r="O357" t="str">
        <f>_xlfn.XLOOKUP(Jnl[[#This Row],[IncNode]], config_IS[Node], config_IS[Type],,0)</f>
        <v>Non-Op</v>
      </c>
      <c r="P357" t="str">
        <f>_xlfn.XLOOKUP(Jnl[[#This Row],[BSLv2]], dict[Key], dict[Name],,0)</f>
        <v>0.现金及类似</v>
      </c>
      <c r="Q357" t="str">
        <f>_xlfn.XLOOKUP(Jnl[[#This Row],[Acct]], dict[Key], dict[Name],,0)</f>
        <v>物理现金</v>
      </c>
      <c r="R357" t="str">
        <f>_xlfn.XLOOKUP(Jnl[[#This Row],[Vehicle]],config_vehicle[Id], config_vehicle[Name],,0)</f>
        <v>米小易</v>
      </c>
      <c r="S357" t="str">
        <f>_xlfn.XLOOKUP(Jnl[[#This Row],[Division]],config_div[Id], config_div[Name],,0)</f>
        <v>水街店</v>
      </c>
      <c r="T357" t="str">
        <f>IF(Jnl[[#This Row],[TrxDate]]&lt;=stmt_BS_date_end, "In", "Out")</f>
        <v>In</v>
      </c>
      <c r="U357" t="str">
        <f>IF(Jnl[[#This Row],[TrxDate]]&lt;debug_date_start, "prior", IF(Jnl[[#This Row],[TrxDate]]&gt;debug_date_end, "post", "curr"))</f>
        <v>prior</v>
      </c>
    </row>
    <row r="358" spans="1:21">
      <c r="A358" s="11" t="s">
        <v>550</v>
      </c>
      <c r="B358" s="7">
        <f>_xlfn.XLOOKUP(Jnl[[#This Row],[TrxId]], Trx[Id], Trx[Date],,0)</f>
        <v>46053</v>
      </c>
      <c r="C358" s="7" t="str">
        <f>_xlfn.XLOOKUP(Jnl[[#This Row],[TrxId]], Trx[Id], Trx[Division],,0)</f>
        <v>GM</v>
      </c>
      <c r="D358" s="7" t="str">
        <f>_xlfn.XLOOKUP(Jnl[[#This Row],[TrxId]], Trx[Id], Trx[Action],,0)</f>
        <v>补贴</v>
      </c>
      <c r="E358" s="26" t="s">
        <v>82</v>
      </c>
      <c r="F358" s="11" t="s">
        <v>590</v>
      </c>
      <c r="G358" s="11" t="s">
        <v>592</v>
      </c>
      <c r="H358" s="72">
        <v>200.64</v>
      </c>
      <c r="I358" s="5" t="b">
        <f>AND(Jnl[[#This Row],[TrxId]]&lt;&gt;"",Jnl[[#This Row],[Acct]]&lt;&gt;"",Jnl[[#This Row],[Item]]&lt;&gt;"",ISNUMBER(Jnl[[#This Row],[Bal]]))</f>
        <v>1</v>
      </c>
      <c r="J358" s="10">
        <f>IF(Jnl[[#This Row],[BSLv0]]="A",1,-1)*Jnl[[#This Row],[Bal]]</f>
        <v>200.64</v>
      </c>
      <c r="K358" t="str">
        <f>_xlfn.XLOOKUP(Jnl[[#This Row],[Acct]], config_BS[Acct], config_BS[Lv0],,0)</f>
        <v>A</v>
      </c>
      <c r="L358" t="str">
        <f>_xlfn.XLOOKUP(Jnl[[#This Row],[Acct]], config_BS[Acct], config_BS[Lv1],,0)</f>
        <v>Assets</v>
      </c>
      <c r="M358" t="str">
        <f>_xlfn.XLOOKUP(Jnl[[#This Row],[Acct]], config_BS[Acct], config_BS[Lv2],,0)</f>
        <v>Cash alike</v>
      </c>
      <c r="N358" t="str">
        <f>_xlfn.XLOOKUP(Jnl[[#This Row],[TrxId]], Trx[Id], Trx[IncNode], ,0)</f>
        <v>Other</v>
      </c>
      <c r="O358" t="str">
        <f>_xlfn.XLOOKUP(Jnl[[#This Row],[IncNode]], config_IS[Node], config_IS[Type],,0)</f>
        <v>Non-Op</v>
      </c>
      <c r="P358" t="str">
        <f>_xlfn.XLOOKUP(Jnl[[#This Row],[BSLv2]], dict[Key], dict[Name],,0)</f>
        <v>0.现金及类似</v>
      </c>
      <c r="Q358" t="str">
        <f>_xlfn.XLOOKUP(Jnl[[#This Row],[Acct]], dict[Key], dict[Name],,0)</f>
        <v>银行</v>
      </c>
      <c r="R358" t="str">
        <f>_xlfn.XLOOKUP(Jnl[[#This Row],[Vehicle]],config_vehicle[Id], config_vehicle[Name],,0)</f>
        <v>米小易</v>
      </c>
      <c r="S358" t="str">
        <f>_xlfn.XLOOKUP(Jnl[[#This Row],[Division]],config_div[Id], config_div[Name],,0)</f>
        <v>综合管理</v>
      </c>
      <c r="T358" t="str">
        <f>IF(Jnl[[#This Row],[TrxDate]]&lt;=stmt_BS_date_end, "In", "Out")</f>
        <v>In</v>
      </c>
      <c r="U358" t="str">
        <f>IF(Jnl[[#This Row],[TrxDate]]&lt;debug_date_start, "prior", IF(Jnl[[#This Row],[TrxDate]]&gt;debug_date_end, "post", "curr"))</f>
        <v>prior</v>
      </c>
    </row>
    <row r="359" spans="1:21">
      <c r="A359" s="11" t="s">
        <v>552</v>
      </c>
      <c r="B359" s="7">
        <f>_xlfn.XLOOKUP(Jnl[[#This Row],[TrxId]], Trx[Id], Trx[Date],,0)</f>
        <v>46053</v>
      </c>
      <c r="C359" s="7" t="str">
        <f>_xlfn.XLOOKUP(Jnl[[#This Row],[TrxId]], Trx[Id], Trx[Division],,0)</f>
        <v>Shuijie</v>
      </c>
      <c r="D359" s="7" t="str">
        <f>_xlfn.XLOOKUP(Jnl[[#This Row],[TrxId]], Trx[Id], Trx[Action],,0)</f>
        <v>增值税</v>
      </c>
      <c r="E359" s="26" t="s">
        <v>82</v>
      </c>
      <c r="F359" s="11" t="s">
        <v>127</v>
      </c>
      <c r="G359" s="11" t="s">
        <v>307</v>
      </c>
      <c r="H359" s="72">
        <v>1.99</v>
      </c>
      <c r="I359" s="5" t="b">
        <f>AND(Jnl[[#This Row],[TrxId]]&lt;&gt;"",Jnl[[#This Row],[Acct]]&lt;&gt;"",Jnl[[#This Row],[Item]]&lt;&gt;"",ISNUMBER(Jnl[[#This Row],[Bal]]))</f>
        <v>1</v>
      </c>
      <c r="J359" s="10">
        <f>IF(Jnl[[#This Row],[BSLv0]]="A",1,-1)*Jnl[[#This Row],[Bal]]</f>
        <v>-1.99</v>
      </c>
      <c r="K359" t="str">
        <f>_xlfn.XLOOKUP(Jnl[[#This Row],[Acct]], config_BS[Acct], config_BS[Lv0],,0)</f>
        <v>LC</v>
      </c>
      <c r="L359" t="str">
        <f>_xlfn.XLOOKUP(Jnl[[#This Row],[Acct]], config_BS[Acct], config_BS[Lv1],,0)</f>
        <v>Liability</v>
      </c>
      <c r="M359" t="str">
        <f>_xlfn.XLOOKUP(Jnl[[#This Row],[Acct]], config_BS[Acct], config_BS[Lv2],,0)</f>
        <v>Rec-Pay</v>
      </c>
      <c r="N359" t="str">
        <f>_xlfn.XLOOKUP(Jnl[[#This Row],[TrxId]], Trx[Id], Trx[IncNode], ,0)</f>
        <v>Cost</v>
      </c>
      <c r="O359" t="str">
        <f>_xlfn.XLOOKUP(Jnl[[#This Row],[IncNode]], config_IS[Node], config_IS[Type],,0)</f>
        <v>Op</v>
      </c>
      <c r="P359" t="str">
        <f>_xlfn.XLOOKUP(Jnl[[#This Row],[BSLv2]], dict[Key], dict[Name],,0)</f>
        <v>1.应收-应付</v>
      </c>
      <c r="Q359" t="str">
        <f>_xlfn.XLOOKUP(Jnl[[#This Row],[Acct]], dict[Key], dict[Name],,0)</f>
        <v>应付-税款</v>
      </c>
      <c r="R359" t="str">
        <f>_xlfn.XLOOKUP(Jnl[[#This Row],[Vehicle]],config_vehicle[Id], config_vehicle[Name],,0)</f>
        <v>米小易</v>
      </c>
      <c r="S359" t="str">
        <f>_xlfn.XLOOKUP(Jnl[[#This Row],[Division]],config_div[Id], config_div[Name],,0)</f>
        <v>水街店</v>
      </c>
      <c r="T359" t="str">
        <f>IF(Jnl[[#This Row],[TrxDate]]&lt;=stmt_BS_date_end, "In", "Out")</f>
        <v>In</v>
      </c>
      <c r="U359" t="str">
        <f>IF(Jnl[[#This Row],[TrxDate]]&lt;debug_date_start, "prior", IF(Jnl[[#This Row],[TrxDate]]&gt;debug_date_end, "post", "curr"))</f>
        <v>prior</v>
      </c>
    </row>
    <row r="360" spans="1:21">
      <c r="A360" s="11" t="s">
        <v>553</v>
      </c>
      <c r="B360" s="7">
        <f>_xlfn.XLOOKUP(Jnl[[#This Row],[TrxId]], Trx[Id], Trx[Date],,0)</f>
        <v>46053</v>
      </c>
      <c r="C360" s="7" t="str">
        <f>_xlfn.XLOOKUP(Jnl[[#This Row],[TrxId]], Trx[Id], Trx[Division],,0)</f>
        <v>Shuijie</v>
      </c>
      <c r="D360" s="7" t="str">
        <f>_xlfn.XLOOKUP(Jnl[[#This Row],[TrxId]], Trx[Id], Trx[Action],,0)</f>
        <v>支付</v>
      </c>
      <c r="E360" s="26" t="s">
        <v>82</v>
      </c>
      <c r="F360" s="11" t="s">
        <v>493</v>
      </c>
      <c r="G360" s="11" t="s">
        <v>428</v>
      </c>
      <c r="H360" s="72">
        <v>3210</v>
      </c>
      <c r="I360" s="5" t="b">
        <f>AND(Jnl[[#This Row],[TrxId]]&lt;&gt;"",Jnl[[#This Row],[Acct]]&lt;&gt;"",Jnl[[#This Row],[Item]]&lt;&gt;"",ISNUMBER(Jnl[[#This Row],[Bal]]))</f>
        <v>1</v>
      </c>
      <c r="J360" s="10">
        <f>IF(Jnl[[#This Row],[BSLv0]]="A",1,-1)*Jnl[[#This Row],[Bal]]</f>
        <v>3210</v>
      </c>
      <c r="K360" t="str">
        <f>_xlfn.XLOOKUP(Jnl[[#This Row],[Acct]], config_BS[Acct], config_BS[Lv0],,0)</f>
        <v>A</v>
      </c>
      <c r="L360" t="str">
        <f>_xlfn.XLOOKUP(Jnl[[#This Row],[Acct]], config_BS[Acct], config_BS[Lv1],,0)</f>
        <v>Assets</v>
      </c>
      <c r="M360" t="str">
        <f>_xlfn.XLOOKUP(Jnl[[#This Row],[Acct]], config_BS[Acct], config_BS[Lv2],,0)</f>
        <v>Prep-Sub</v>
      </c>
      <c r="N360" t="str">
        <f>_xlfn.XLOOKUP(Jnl[[#This Row],[TrxId]], Trx[Id], Trx[IncNode], ,0)</f>
        <v>Cost</v>
      </c>
      <c r="O360" t="str">
        <f>_xlfn.XLOOKUP(Jnl[[#This Row],[IncNode]], config_IS[Node], config_IS[Type],,0)</f>
        <v>Op</v>
      </c>
      <c r="P360" t="str">
        <f>_xlfn.XLOOKUP(Jnl[[#This Row],[BSLv2]], dict[Key], dict[Name],,0)</f>
        <v>2.预付-订阅</v>
      </c>
      <c r="Q360" t="str">
        <f>_xlfn.XLOOKUP(Jnl[[#This Row],[Acct]], dict[Key], dict[Name],,0)</f>
        <v>预付订单</v>
      </c>
      <c r="R360" t="str">
        <f>_xlfn.XLOOKUP(Jnl[[#This Row],[Vehicle]],config_vehicle[Id], config_vehicle[Name],,0)</f>
        <v>米小易</v>
      </c>
      <c r="S360" t="str">
        <f>_xlfn.XLOOKUP(Jnl[[#This Row],[Division]],config_div[Id], config_div[Name],,0)</f>
        <v>水街店</v>
      </c>
      <c r="T360" t="str">
        <f>IF(Jnl[[#This Row],[TrxDate]]&lt;=stmt_BS_date_end, "In", "Out")</f>
        <v>In</v>
      </c>
      <c r="U360" t="str">
        <f>IF(Jnl[[#This Row],[TrxDate]]&lt;debug_date_start, "prior", IF(Jnl[[#This Row],[TrxDate]]&gt;debug_date_end, "post", "curr"))</f>
        <v>prior</v>
      </c>
    </row>
    <row r="361" spans="1:21">
      <c r="A361" s="11" t="s">
        <v>553</v>
      </c>
      <c r="B361" s="7">
        <f>_xlfn.XLOOKUP(Jnl[[#This Row],[TrxId]], Trx[Id], Trx[Date],,0)</f>
        <v>46053</v>
      </c>
      <c r="C361" s="7" t="str">
        <f>_xlfn.XLOOKUP(Jnl[[#This Row],[TrxId]], Trx[Id], Trx[Division],,0)</f>
        <v>Shuijie</v>
      </c>
      <c r="D361" s="7" t="str">
        <f>_xlfn.XLOOKUP(Jnl[[#This Row],[TrxId]], Trx[Id], Trx[Action],,0)</f>
        <v>支付</v>
      </c>
      <c r="E361" s="26" t="s">
        <v>82</v>
      </c>
      <c r="F361" s="11" t="s">
        <v>590</v>
      </c>
      <c r="G361" s="11" t="s">
        <v>592</v>
      </c>
      <c r="H361" s="72">
        <v>-3210</v>
      </c>
      <c r="I361" s="5" t="b">
        <f>AND(Jnl[[#This Row],[TrxId]]&lt;&gt;"",Jnl[[#This Row],[Acct]]&lt;&gt;"",Jnl[[#This Row],[Item]]&lt;&gt;"",ISNUMBER(Jnl[[#This Row],[Bal]]))</f>
        <v>1</v>
      </c>
      <c r="J361" s="10">
        <f>IF(Jnl[[#This Row],[BSLv0]]="A",1,-1)*Jnl[[#This Row],[Bal]]</f>
        <v>-3210</v>
      </c>
      <c r="K361" t="str">
        <f>_xlfn.XLOOKUP(Jnl[[#This Row],[Acct]], config_BS[Acct], config_BS[Lv0],,0)</f>
        <v>A</v>
      </c>
      <c r="L361" t="str">
        <f>_xlfn.XLOOKUP(Jnl[[#This Row],[Acct]], config_BS[Acct], config_BS[Lv1],,0)</f>
        <v>Assets</v>
      </c>
      <c r="M361" t="str">
        <f>_xlfn.XLOOKUP(Jnl[[#This Row],[Acct]], config_BS[Acct], config_BS[Lv2],,0)</f>
        <v>Cash alike</v>
      </c>
      <c r="N361" t="str">
        <f>_xlfn.XLOOKUP(Jnl[[#This Row],[TrxId]], Trx[Id], Trx[IncNode], ,0)</f>
        <v>Cost</v>
      </c>
      <c r="O361" t="str">
        <f>_xlfn.XLOOKUP(Jnl[[#This Row],[IncNode]], config_IS[Node], config_IS[Type],,0)</f>
        <v>Op</v>
      </c>
      <c r="P361" t="str">
        <f>_xlfn.XLOOKUP(Jnl[[#This Row],[BSLv2]], dict[Key], dict[Name],,0)</f>
        <v>0.现金及类似</v>
      </c>
      <c r="Q361" t="str">
        <f>_xlfn.XLOOKUP(Jnl[[#This Row],[Acct]], dict[Key], dict[Name],,0)</f>
        <v>银行</v>
      </c>
      <c r="R361" t="str">
        <f>_xlfn.XLOOKUP(Jnl[[#This Row],[Vehicle]],config_vehicle[Id], config_vehicle[Name],,0)</f>
        <v>米小易</v>
      </c>
      <c r="S361" t="str">
        <f>_xlfn.XLOOKUP(Jnl[[#This Row],[Division]],config_div[Id], config_div[Name],,0)</f>
        <v>水街店</v>
      </c>
      <c r="T361" t="str">
        <f>IF(Jnl[[#This Row],[TrxDate]]&lt;=stmt_BS_date_end, "In", "Out")</f>
        <v>In</v>
      </c>
      <c r="U361" t="str">
        <f>IF(Jnl[[#This Row],[TrxDate]]&lt;debug_date_start, "prior", IF(Jnl[[#This Row],[TrxDate]]&gt;debug_date_end, "post", "curr"))</f>
        <v>prior</v>
      </c>
    </row>
    <row r="362" spans="1:21">
      <c r="A362" s="11" t="s">
        <v>554</v>
      </c>
      <c r="B362" s="7">
        <f>_xlfn.XLOOKUP(Jnl[[#This Row],[TrxId]], Trx[Id], Trx[Date],,0)</f>
        <v>46053</v>
      </c>
      <c r="C362" s="7" t="str">
        <f>_xlfn.XLOOKUP(Jnl[[#This Row],[TrxId]], Trx[Id], Trx[Division],,0)</f>
        <v>Shuijie</v>
      </c>
      <c r="D362" s="7" t="str">
        <f>_xlfn.XLOOKUP(Jnl[[#This Row],[TrxId]], Trx[Id], Trx[Action],,0)</f>
        <v>支付</v>
      </c>
      <c r="E362" s="26" t="s">
        <v>82</v>
      </c>
      <c r="F362" s="11" t="s">
        <v>493</v>
      </c>
      <c r="G362" s="11" t="s">
        <v>428</v>
      </c>
      <c r="H362" s="72">
        <v>346</v>
      </c>
      <c r="I362" s="5" t="b">
        <f>AND(Jnl[[#This Row],[TrxId]]&lt;&gt;"",Jnl[[#This Row],[Acct]]&lt;&gt;"",Jnl[[#This Row],[Item]]&lt;&gt;"",ISNUMBER(Jnl[[#This Row],[Bal]]))</f>
        <v>1</v>
      </c>
      <c r="J362" s="10">
        <f>IF(Jnl[[#This Row],[BSLv0]]="A",1,-1)*Jnl[[#This Row],[Bal]]</f>
        <v>346</v>
      </c>
      <c r="K362" t="str">
        <f>_xlfn.XLOOKUP(Jnl[[#This Row],[Acct]], config_BS[Acct], config_BS[Lv0],,0)</f>
        <v>A</v>
      </c>
      <c r="L362" t="str">
        <f>_xlfn.XLOOKUP(Jnl[[#This Row],[Acct]], config_BS[Acct], config_BS[Lv1],,0)</f>
        <v>Assets</v>
      </c>
      <c r="M362" t="str">
        <f>_xlfn.XLOOKUP(Jnl[[#This Row],[Acct]], config_BS[Acct], config_BS[Lv2],,0)</f>
        <v>Prep-Sub</v>
      </c>
      <c r="N362" t="str">
        <f>_xlfn.XLOOKUP(Jnl[[#This Row],[TrxId]], Trx[Id], Trx[IncNode], ,0)</f>
        <v>Cost</v>
      </c>
      <c r="O362" t="str">
        <f>_xlfn.XLOOKUP(Jnl[[#This Row],[IncNode]], config_IS[Node], config_IS[Type],,0)</f>
        <v>Op</v>
      </c>
      <c r="P362" t="str">
        <f>_xlfn.XLOOKUP(Jnl[[#This Row],[BSLv2]], dict[Key], dict[Name],,0)</f>
        <v>2.预付-订阅</v>
      </c>
      <c r="Q362" t="str">
        <f>_xlfn.XLOOKUP(Jnl[[#This Row],[Acct]], dict[Key], dict[Name],,0)</f>
        <v>预付订单</v>
      </c>
      <c r="R362" t="str">
        <f>_xlfn.XLOOKUP(Jnl[[#This Row],[Vehicle]],config_vehicle[Id], config_vehicle[Name],,0)</f>
        <v>米小易</v>
      </c>
      <c r="S362" t="str">
        <f>_xlfn.XLOOKUP(Jnl[[#This Row],[Division]],config_div[Id], config_div[Name],,0)</f>
        <v>水街店</v>
      </c>
      <c r="T362" t="str">
        <f>IF(Jnl[[#This Row],[TrxDate]]&lt;=stmt_BS_date_end, "In", "Out")</f>
        <v>In</v>
      </c>
      <c r="U362" t="str">
        <f>IF(Jnl[[#This Row],[TrxDate]]&lt;debug_date_start, "prior", IF(Jnl[[#This Row],[TrxDate]]&gt;debug_date_end, "post", "curr"))</f>
        <v>prior</v>
      </c>
    </row>
    <row r="363" spans="1:21">
      <c r="A363" s="11" t="s">
        <v>554</v>
      </c>
      <c r="B363" s="7">
        <f>_xlfn.XLOOKUP(Jnl[[#This Row],[TrxId]], Trx[Id], Trx[Date],,0)</f>
        <v>46053</v>
      </c>
      <c r="C363" s="7" t="str">
        <f>_xlfn.XLOOKUP(Jnl[[#This Row],[TrxId]], Trx[Id], Trx[Division],,0)</f>
        <v>Shuijie</v>
      </c>
      <c r="D363" s="7" t="str">
        <f>_xlfn.XLOOKUP(Jnl[[#This Row],[TrxId]], Trx[Id], Trx[Action],,0)</f>
        <v>支付</v>
      </c>
      <c r="E363" s="26" t="s">
        <v>82</v>
      </c>
      <c r="F363" s="11" t="s">
        <v>590</v>
      </c>
      <c r="G363" s="11" t="s">
        <v>592</v>
      </c>
      <c r="H363" s="72">
        <v>-346</v>
      </c>
      <c r="I363" s="5" t="b">
        <f>AND(Jnl[[#This Row],[TrxId]]&lt;&gt;"",Jnl[[#This Row],[Acct]]&lt;&gt;"",Jnl[[#This Row],[Item]]&lt;&gt;"",ISNUMBER(Jnl[[#This Row],[Bal]]))</f>
        <v>1</v>
      </c>
      <c r="J363" s="10">
        <f>IF(Jnl[[#This Row],[BSLv0]]="A",1,-1)*Jnl[[#This Row],[Bal]]</f>
        <v>-346</v>
      </c>
      <c r="K363" t="str">
        <f>_xlfn.XLOOKUP(Jnl[[#This Row],[Acct]], config_BS[Acct], config_BS[Lv0],,0)</f>
        <v>A</v>
      </c>
      <c r="L363" t="str">
        <f>_xlfn.XLOOKUP(Jnl[[#This Row],[Acct]], config_BS[Acct], config_BS[Lv1],,0)</f>
        <v>Assets</v>
      </c>
      <c r="M363" t="str">
        <f>_xlfn.XLOOKUP(Jnl[[#This Row],[Acct]], config_BS[Acct], config_BS[Lv2],,0)</f>
        <v>Cash alike</v>
      </c>
      <c r="N363" t="str">
        <f>_xlfn.XLOOKUP(Jnl[[#This Row],[TrxId]], Trx[Id], Trx[IncNode], ,0)</f>
        <v>Cost</v>
      </c>
      <c r="O363" t="str">
        <f>_xlfn.XLOOKUP(Jnl[[#This Row],[IncNode]], config_IS[Node], config_IS[Type],,0)</f>
        <v>Op</v>
      </c>
      <c r="P363" t="str">
        <f>_xlfn.XLOOKUP(Jnl[[#This Row],[BSLv2]], dict[Key], dict[Name],,0)</f>
        <v>0.现金及类似</v>
      </c>
      <c r="Q363" t="str">
        <f>_xlfn.XLOOKUP(Jnl[[#This Row],[Acct]], dict[Key], dict[Name],,0)</f>
        <v>银行</v>
      </c>
      <c r="R363" t="str">
        <f>_xlfn.XLOOKUP(Jnl[[#This Row],[Vehicle]],config_vehicle[Id], config_vehicle[Name],,0)</f>
        <v>米小易</v>
      </c>
      <c r="S363" t="str">
        <f>_xlfn.XLOOKUP(Jnl[[#This Row],[Division]],config_div[Id], config_div[Name],,0)</f>
        <v>水街店</v>
      </c>
      <c r="T363" t="str">
        <f>IF(Jnl[[#This Row],[TrxDate]]&lt;=stmt_BS_date_end, "In", "Out")</f>
        <v>In</v>
      </c>
      <c r="U363" t="str">
        <f>IF(Jnl[[#This Row],[TrxDate]]&lt;debug_date_start, "prior", IF(Jnl[[#This Row],[TrxDate]]&gt;debug_date_end, "post", "curr"))</f>
        <v>prior</v>
      </c>
    </row>
    <row r="364" spans="1:21">
      <c r="A364" s="11" t="s">
        <v>556</v>
      </c>
      <c r="B364" s="7">
        <f>_xlfn.XLOOKUP(Jnl[[#This Row],[TrxId]], Trx[Id], Trx[Date],,0)</f>
        <v>46053</v>
      </c>
      <c r="C364" s="7" t="str">
        <f>_xlfn.XLOOKUP(Jnl[[#This Row],[TrxId]], Trx[Id], Trx[Division],,0)</f>
        <v>Shuijie</v>
      </c>
      <c r="D364" s="7" t="str">
        <f>_xlfn.XLOOKUP(Jnl[[#This Row],[TrxId]], Trx[Id], Trx[Action],,0)</f>
        <v>食材</v>
      </c>
      <c r="E364" s="26" t="s">
        <v>82</v>
      </c>
      <c r="F364" s="11" t="s">
        <v>590</v>
      </c>
      <c r="G364" s="11" t="s">
        <v>592</v>
      </c>
      <c r="H364" s="72">
        <v>-427.29</v>
      </c>
      <c r="I364" s="5" t="b">
        <f>AND(Jnl[[#This Row],[TrxId]]&lt;&gt;"",Jnl[[#This Row],[Acct]]&lt;&gt;"",Jnl[[#This Row],[Item]]&lt;&gt;"",ISNUMBER(Jnl[[#This Row],[Bal]]))</f>
        <v>1</v>
      </c>
      <c r="J364" s="10">
        <f>IF(Jnl[[#This Row],[BSLv0]]="A",1,-1)*Jnl[[#This Row],[Bal]]</f>
        <v>-427.29</v>
      </c>
      <c r="K364" t="str">
        <f>_xlfn.XLOOKUP(Jnl[[#This Row],[Acct]], config_BS[Acct], config_BS[Lv0],,0)</f>
        <v>A</v>
      </c>
      <c r="L364" t="str">
        <f>_xlfn.XLOOKUP(Jnl[[#This Row],[Acct]], config_BS[Acct], config_BS[Lv1],,0)</f>
        <v>Assets</v>
      </c>
      <c r="M364" t="str">
        <f>_xlfn.XLOOKUP(Jnl[[#This Row],[Acct]], config_BS[Acct], config_BS[Lv2],,0)</f>
        <v>Cash alike</v>
      </c>
      <c r="N364" t="str">
        <f>_xlfn.XLOOKUP(Jnl[[#This Row],[TrxId]], Trx[Id], Trx[IncNode], ,0)</f>
        <v>Cost</v>
      </c>
      <c r="O364" t="str">
        <f>_xlfn.XLOOKUP(Jnl[[#This Row],[IncNode]], config_IS[Node], config_IS[Type],,0)</f>
        <v>Op</v>
      </c>
      <c r="P364" t="str">
        <f>_xlfn.XLOOKUP(Jnl[[#This Row],[BSLv2]], dict[Key], dict[Name],,0)</f>
        <v>0.现金及类似</v>
      </c>
      <c r="Q364" t="str">
        <f>_xlfn.XLOOKUP(Jnl[[#This Row],[Acct]], dict[Key], dict[Name],,0)</f>
        <v>银行</v>
      </c>
      <c r="R364" t="str">
        <f>_xlfn.XLOOKUP(Jnl[[#This Row],[Vehicle]],config_vehicle[Id], config_vehicle[Name],,0)</f>
        <v>米小易</v>
      </c>
      <c r="S364" t="str">
        <f>_xlfn.XLOOKUP(Jnl[[#This Row],[Division]],config_div[Id], config_div[Name],,0)</f>
        <v>水街店</v>
      </c>
      <c r="T364" t="str">
        <f>IF(Jnl[[#This Row],[TrxDate]]&lt;=stmt_BS_date_end, "In", "Out")</f>
        <v>In</v>
      </c>
      <c r="U364" t="str">
        <f>IF(Jnl[[#This Row],[TrxDate]]&lt;debug_date_start, "prior", IF(Jnl[[#This Row],[TrxDate]]&gt;debug_date_end, "post", "curr"))</f>
        <v>prior</v>
      </c>
    </row>
    <row r="365" spans="1:21">
      <c r="A365" s="11" t="s">
        <v>557</v>
      </c>
      <c r="B365" s="7">
        <f>_xlfn.XLOOKUP(Jnl[[#This Row],[TrxId]], Trx[Id], Trx[Date],,0)</f>
        <v>46053</v>
      </c>
      <c r="C365" s="7" t="str">
        <f>_xlfn.XLOOKUP(Jnl[[#This Row],[TrxId]], Trx[Id], Trx[Division],,0)</f>
        <v>Shuijie</v>
      </c>
      <c r="D365" s="7" t="str">
        <f>_xlfn.XLOOKUP(Jnl[[#This Row],[TrxId]], Trx[Id], Trx[Action],,0)</f>
        <v>维护</v>
      </c>
      <c r="E365" s="26" t="s">
        <v>82</v>
      </c>
      <c r="F365" s="11" t="s">
        <v>590</v>
      </c>
      <c r="G365" s="11" t="s">
        <v>592</v>
      </c>
      <c r="H365" s="72">
        <v>-300</v>
      </c>
      <c r="I365" s="5" t="b">
        <f>AND(Jnl[[#This Row],[TrxId]]&lt;&gt;"",Jnl[[#This Row],[Acct]]&lt;&gt;"",Jnl[[#This Row],[Item]]&lt;&gt;"",ISNUMBER(Jnl[[#This Row],[Bal]]))</f>
        <v>1</v>
      </c>
      <c r="J365" s="10">
        <f>IF(Jnl[[#This Row],[BSLv0]]="A",1,-1)*Jnl[[#This Row],[Bal]]</f>
        <v>-300</v>
      </c>
      <c r="K365" t="str">
        <f>_xlfn.XLOOKUP(Jnl[[#This Row],[Acct]], config_BS[Acct], config_BS[Lv0],,0)</f>
        <v>A</v>
      </c>
      <c r="L365" t="str">
        <f>_xlfn.XLOOKUP(Jnl[[#This Row],[Acct]], config_BS[Acct], config_BS[Lv1],,0)</f>
        <v>Assets</v>
      </c>
      <c r="M365" t="str">
        <f>_xlfn.XLOOKUP(Jnl[[#This Row],[Acct]], config_BS[Acct], config_BS[Lv2],,0)</f>
        <v>Cash alike</v>
      </c>
      <c r="N365" t="str">
        <f>_xlfn.XLOOKUP(Jnl[[#This Row],[TrxId]], Trx[Id], Trx[IncNode], ,0)</f>
        <v>Expense</v>
      </c>
      <c r="O365" t="str">
        <f>_xlfn.XLOOKUP(Jnl[[#This Row],[IncNode]], config_IS[Node], config_IS[Type],,0)</f>
        <v>Op</v>
      </c>
      <c r="P365" t="str">
        <f>_xlfn.XLOOKUP(Jnl[[#This Row],[BSLv2]], dict[Key], dict[Name],,0)</f>
        <v>0.现金及类似</v>
      </c>
      <c r="Q365" t="str">
        <f>_xlfn.XLOOKUP(Jnl[[#This Row],[Acct]], dict[Key], dict[Name],,0)</f>
        <v>银行</v>
      </c>
      <c r="R365" t="str">
        <f>_xlfn.XLOOKUP(Jnl[[#This Row],[Vehicle]],config_vehicle[Id], config_vehicle[Name],,0)</f>
        <v>米小易</v>
      </c>
      <c r="S365" t="str">
        <f>_xlfn.XLOOKUP(Jnl[[#This Row],[Division]],config_div[Id], config_div[Name],,0)</f>
        <v>水街店</v>
      </c>
      <c r="T365" t="str">
        <f>IF(Jnl[[#This Row],[TrxDate]]&lt;=stmt_BS_date_end, "In", "Out")</f>
        <v>In</v>
      </c>
      <c r="U365" t="str">
        <f>IF(Jnl[[#This Row],[TrxDate]]&lt;debug_date_start, "prior", IF(Jnl[[#This Row],[TrxDate]]&gt;debug_date_end, "post", "curr"))</f>
        <v>prior</v>
      </c>
    </row>
    <row r="366" spans="1:21">
      <c r="A366" s="11" t="s">
        <v>558</v>
      </c>
      <c r="B366" s="7">
        <f>_xlfn.XLOOKUP(Jnl[[#This Row],[TrxId]], Trx[Id], Trx[Date],,0)</f>
        <v>46053</v>
      </c>
      <c r="C366" s="7" t="str">
        <f>_xlfn.XLOOKUP(Jnl[[#This Row],[TrxId]], Trx[Id], Trx[Division],,0)</f>
        <v>Shuijie</v>
      </c>
      <c r="D366" s="7" t="str">
        <f>_xlfn.XLOOKUP(Jnl[[#This Row],[TrxId]], Trx[Id], Trx[Action],,0)</f>
        <v>支付</v>
      </c>
      <c r="E366" s="26" t="s">
        <v>82</v>
      </c>
      <c r="F366" s="11" t="s">
        <v>590</v>
      </c>
      <c r="G366" s="11" t="s">
        <v>592</v>
      </c>
      <c r="H366" s="72">
        <v>-2259.63</v>
      </c>
      <c r="I366" s="5" t="b">
        <f>AND(Jnl[[#This Row],[TrxId]]&lt;&gt;"",Jnl[[#This Row],[Acct]]&lt;&gt;"",Jnl[[#This Row],[Item]]&lt;&gt;"",ISNUMBER(Jnl[[#This Row],[Bal]]))</f>
        <v>1</v>
      </c>
      <c r="J366" s="10">
        <f>IF(Jnl[[#This Row],[BSLv0]]="A",1,-1)*Jnl[[#This Row],[Bal]]</f>
        <v>-2259.63</v>
      </c>
      <c r="K366" t="str">
        <f>_xlfn.XLOOKUP(Jnl[[#This Row],[Acct]], config_BS[Acct], config_BS[Lv0],,0)</f>
        <v>A</v>
      </c>
      <c r="L366" t="str">
        <f>_xlfn.XLOOKUP(Jnl[[#This Row],[Acct]], config_BS[Acct], config_BS[Lv1],,0)</f>
        <v>Assets</v>
      </c>
      <c r="M366" t="str">
        <f>_xlfn.XLOOKUP(Jnl[[#This Row],[Acct]], config_BS[Acct], config_BS[Lv2],,0)</f>
        <v>Cash alike</v>
      </c>
      <c r="N366" t="str">
        <f>_xlfn.XLOOKUP(Jnl[[#This Row],[TrxId]], Trx[Id], Trx[IncNode], ,0)</f>
        <v>Expense</v>
      </c>
      <c r="O366" t="str">
        <f>_xlfn.XLOOKUP(Jnl[[#This Row],[IncNode]], config_IS[Node], config_IS[Type],,0)</f>
        <v>Op</v>
      </c>
      <c r="P366" t="str">
        <f>_xlfn.XLOOKUP(Jnl[[#This Row],[BSLv2]], dict[Key], dict[Name],,0)</f>
        <v>0.现金及类似</v>
      </c>
      <c r="Q366" t="str">
        <f>_xlfn.XLOOKUP(Jnl[[#This Row],[Acct]], dict[Key], dict[Name],,0)</f>
        <v>银行</v>
      </c>
      <c r="R366" t="str">
        <f>_xlfn.XLOOKUP(Jnl[[#This Row],[Vehicle]],config_vehicle[Id], config_vehicle[Name],,0)</f>
        <v>米小易</v>
      </c>
      <c r="S366" t="str">
        <f>_xlfn.XLOOKUP(Jnl[[#This Row],[Division]],config_div[Id], config_div[Name],,0)</f>
        <v>水街店</v>
      </c>
      <c r="T366" t="str">
        <f>IF(Jnl[[#This Row],[TrxDate]]&lt;=stmt_BS_date_end, "In", "Out")</f>
        <v>In</v>
      </c>
      <c r="U366" t="str">
        <f>IF(Jnl[[#This Row],[TrxDate]]&lt;debug_date_start, "prior", IF(Jnl[[#This Row],[TrxDate]]&gt;debug_date_end, "post", "curr"))</f>
        <v>prior</v>
      </c>
    </row>
    <row r="367" spans="1:21">
      <c r="A367" s="11" t="s">
        <v>558</v>
      </c>
      <c r="B367" s="7">
        <f>_xlfn.XLOOKUP(Jnl[[#This Row],[TrxId]], Trx[Id], Trx[Date],,0)</f>
        <v>46053</v>
      </c>
      <c r="C367" s="7" t="str">
        <f>_xlfn.XLOOKUP(Jnl[[#This Row],[TrxId]], Trx[Id], Trx[Division],,0)</f>
        <v>Shuijie</v>
      </c>
      <c r="D367" s="7" t="str">
        <f>_xlfn.XLOOKUP(Jnl[[#This Row],[TrxId]], Trx[Id], Trx[Action],,0)</f>
        <v>支付</v>
      </c>
      <c r="E367" s="26" t="s">
        <v>82</v>
      </c>
      <c r="F367" s="11" t="s">
        <v>597</v>
      </c>
      <c r="G367" s="11" t="s">
        <v>529</v>
      </c>
      <c r="H367" s="72">
        <v>2259.63</v>
      </c>
      <c r="I367" s="5" t="b">
        <f>AND(Jnl[[#This Row],[TrxId]]&lt;&gt;"",Jnl[[#This Row],[Acct]]&lt;&gt;"",Jnl[[#This Row],[Item]]&lt;&gt;"",ISNUMBER(Jnl[[#This Row],[Bal]]))</f>
        <v>1</v>
      </c>
      <c r="J367" s="10">
        <f>IF(Jnl[[#This Row],[BSLv0]]="A",1,-1)*Jnl[[#This Row],[Bal]]</f>
        <v>2259.63</v>
      </c>
      <c r="K367" t="str">
        <f>_xlfn.XLOOKUP(Jnl[[#This Row],[Acct]], config_BS[Acct], config_BS[Lv0],,0)</f>
        <v>A</v>
      </c>
      <c r="L367" t="str">
        <f>_xlfn.XLOOKUP(Jnl[[#This Row],[Acct]], config_BS[Acct], config_BS[Lv1],,0)</f>
        <v>Assets</v>
      </c>
      <c r="M367" t="str">
        <f>_xlfn.XLOOKUP(Jnl[[#This Row],[Acct]], config_BS[Acct], config_BS[Lv2],,0)</f>
        <v>Prep-Sub</v>
      </c>
      <c r="N367" t="str">
        <f>_xlfn.XLOOKUP(Jnl[[#This Row],[TrxId]], Trx[Id], Trx[IncNode], ,0)</f>
        <v>Expense</v>
      </c>
      <c r="O367" t="str">
        <f>_xlfn.XLOOKUP(Jnl[[#This Row],[IncNode]], config_IS[Node], config_IS[Type],,0)</f>
        <v>Op</v>
      </c>
      <c r="P367" t="str">
        <f>_xlfn.XLOOKUP(Jnl[[#This Row],[BSLv2]], dict[Key], dict[Name],,0)</f>
        <v>2.预付-订阅</v>
      </c>
      <c r="Q367" t="str">
        <f>_xlfn.XLOOKUP(Jnl[[#This Row],[Acct]], dict[Key], dict[Name],,0)</f>
        <v>员工预支</v>
      </c>
      <c r="R367" t="str">
        <f>_xlfn.XLOOKUP(Jnl[[#This Row],[Vehicle]],config_vehicle[Id], config_vehicle[Name],,0)</f>
        <v>米小易</v>
      </c>
      <c r="S367" t="str">
        <f>_xlfn.XLOOKUP(Jnl[[#This Row],[Division]],config_div[Id], config_div[Name],,0)</f>
        <v>水街店</v>
      </c>
      <c r="T367" t="str">
        <f>IF(Jnl[[#This Row],[TrxDate]]&lt;=stmt_BS_date_end, "In", "Out")</f>
        <v>In</v>
      </c>
      <c r="U367" t="str">
        <f>IF(Jnl[[#This Row],[TrxDate]]&lt;debug_date_start, "prior", IF(Jnl[[#This Row],[TrxDate]]&gt;debug_date_end, "post", "curr"))</f>
        <v>prior</v>
      </c>
    </row>
    <row r="368" spans="1:21">
      <c r="A368" s="11" t="s">
        <v>559</v>
      </c>
      <c r="B368" s="7">
        <f>_xlfn.XLOOKUP(Jnl[[#This Row],[TrxId]], Trx[Id], Trx[Date],,0)</f>
        <v>46053</v>
      </c>
      <c r="C368" s="7" t="str">
        <f>_xlfn.XLOOKUP(Jnl[[#This Row],[TrxId]], Trx[Id], Trx[Division],,0)</f>
        <v>Shuijie</v>
      </c>
      <c r="D368" s="7" t="str">
        <f>_xlfn.XLOOKUP(Jnl[[#This Row],[TrxId]], Trx[Id], Trx[Action],,0)</f>
        <v>其他材料</v>
      </c>
      <c r="E368" s="26" t="s">
        <v>82</v>
      </c>
      <c r="F368" s="11" t="s">
        <v>590</v>
      </c>
      <c r="G368" s="11" t="s">
        <v>592</v>
      </c>
      <c r="H368" s="72">
        <v>-244.32</v>
      </c>
      <c r="I368" s="5" t="b">
        <f>AND(Jnl[[#This Row],[TrxId]]&lt;&gt;"",Jnl[[#This Row],[Acct]]&lt;&gt;"",Jnl[[#This Row],[Item]]&lt;&gt;"",ISNUMBER(Jnl[[#This Row],[Bal]]))</f>
        <v>1</v>
      </c>
      <c r="J368" s="10">
        <f>IF(Jnl[[#This Row],[BSLv0]]="A",1,-1)*Jnl[[#This Row],[Bal]]</f>
        <v>-244.32</v>
      </c>
      <c r="K368" t="str">
        <f>_xlfn.XLOOKUP(Jnl[[#This Row],[Acct]], config_BS[Acct], config_BS[Lv0],,0)</f>
        <v>A</v>
      </c>
      <c r="L368" t="str">
        <f>_xlfn.XLOOKUP(Jnl[[#This Row],[Acct]], config_BS[Acct], config_BS[Lv1],,0)</f>
        <v>Assets</v>
      </c>
      <c r="M368" t="str">
        <f>_xlfn.XLOOKUP(Jnl[[#This Row],[Acct]], config_BS[Acct], config_BS[Lv2],,0)</f>
        <v>Cash alike</v>
      </c>
      <c r="N368" t="str">
        <f>_xlfn.XLOOKUP(Jnl[[#This Row],[TrxId]], Trx[Id], Trx[IncNode], ,0)</f>
        <v>Cost</v>
      </c>
      <c r="O368" t="str">
        <f>_xlfn.XLOOKUP(Jnl[[#This Row],[IncNode]], config_IS[Node], config_IS[Type],,0)</f>
        <v>Op</v>
      </c>
      <c r="P368" t="str">
        <f>_xlfn.XLOOKUP(Jnl[[#This Row],[BSLv2]], dict[Key], dict[Name],,0)</f>
        <v>0.现金及类似</v>
      </c>
      <c r="Q368" t="str">
        <f>_xlfn.XLOOKUP(Jnl[[#This Row],[Acct]], dict[Key], dict[Name],,0)</f>
        <v>银行</v>
      </c>
      <c r="R368" t="str">
        <f>_xlfn.XLOOKUP(Jnl[[#This Row],[Vehicle]],config_vehicle[Id], config_vehicle[Name],,0)</f>
        <v>米小易</v>
      </c>
      <c r="S368" t="str">
        <f>_xlfn.XLOOKUP(Jnl[[#This Row],[Division]],config_div[Id], config_div[Name],,0)</f>
        <v>水街店</v>
      </c>
      <c r="T368" t="str">
        <f>IF(Jnl[[#This Row],[TrxDate]]&lt;=stmt_BS_date_end, "In", "Out")</f>
        <v>In</v>
      </c>
      <c r="U368" t="str">
        <f>IF(Jnl[[#This Row],[TrxDate]]&lt;debug_date_start, "prior", IF(Jnl[[#This Row],[TrxDate]]&gt;debug_date_end, "post", "curr"))</f>
        <v>prior</v>
      </c>
    </row>
    <row r="369" spans="1:21">
      <c r="A369" s="11" t="s">
        <v>561</v>
      </c>
      <c r="B369" s="7">
        <f>_xlfn.XLOOKUP(Jnl[[#This Row],[TrxId]], Trx[Id], Trx[Date],,0)</f>
        <v>46053</v>
      </c>
      <c r="C369" s="7" t="str">
        <f>_xlfn.XLOOKUP(Jnl[[#This Row],[TrxId]], Trx[Id], Trx[Division],,0)</f>
        <v>Shuijie</v>
      </c>
      <c r="D369" s="7" t="str">
        <f>_xlfn.XLOOKUP(Jnl[[#This Row],[TrxId]], Trx[Id], Trx[Action],,0)</f>
        <v>维护</v>
      </c>
      <c r="E369" s="26" t="s">
        <v>82</v>
      </c>
      <c r="F369" s="11" t="s">
        <v>590</v>
      </c>
      <c r="G369" s="11" t="s">
        <v>592</v>
      </c>
      <c r="H369" s="72">
        <v>-9400</v>
      </c>
      <c r="I369" s="5" t="b">
        <f>AND(Jnl[[#This Row],[TrxId]]&lt;&gt;"",Jnl[[#This Row],[Acct]]&lt;&gt;"",Jnl[[#This Row],[Item]]&lt;&gt;"",ISNUMBER(Jnl[[#This Row],[Bal]]))</f>
        <v>1</v>
      </c>
      <c r="J369" s="10">
        <f>IF(Jnl[[#This Row],[BSLv0]]="A",1,-1)*Jnl[[#This Row],[Bal]]</f>
        <v>-9400</v>
      </c>
      <c r="K369" t="str">
        <f>_xlfn.XLOOKUP(Jnl[[#This Row],[Acct]], config_BS[Acct], config_BS[Lv0],,0)</f>
        <v>A</v>
      </c>
      <c r="L369" t="str">
        <f>_xlfn.XLOOKUP(Jnl[[#This Row],[Acct]], config_BS[Acct], config_BS[Lv1],,0)</f>
        <v>Assets</v>
      </c>
      <c r="M369" t="str">
        <f>_xlfn.XLOOKUP(Jnl[[#This Row],[Acct]], config_BS[Acct], config_BS[Lv2],,0)</f>
        <v>Cash alike</v>
      </c>
      <c r="N369" t="str">
        <f>_xlfn.XLOOKUP(Jnl[[#This Row],[TrxId]], Trx[Id], Trx[IncNode], ,0)</f>
        <v>Expense</v>
      </c>
      <c r="O369" t="str">
        <f>_xlfn.XLOOKUP(Jnl[[#This Row],[IncNode]], config_IS[Node], config_IS[Type],,0)</f>
        <v>Op</v>
      </c>
      <c r="P369" t="str">
        <f>_xlfn.XLOOKUP(Jnl[[#This Row],[BSLv2]], dict[Key], dict[Name],,0)</f>
        <v>0.现金及类似</v>
      </c>
      <c r="Q369" t="str">
        <f>_xlfn.XLOOKUP(Jnl[[#This Row],[Acct]], dict[Key], dict[Name],,0)</f>
        <v>银行</v>
      </c>
      <c r="R369" t="str">
        <f>_xlfn.XLOOKUP(Jnl[[#This Row],[Vehicle]],config_vehicle[Id], config_vehicle[Name],,0)</f>
        <v>米小易</v>
      </c>
      <c r="S369" t="str">
        <f>_xlfn.XLOOKUP(Jnl[[#This Row],[Division]],config_div[Id], config_div[Name],,0)</f>
        <v>水街店</v>
      </c>
      <c r="T369" t="str">
        <f>IF(Jnl[[#This Row],[TrxDate]]&lt;=stmt_BS_date_end, "In", "Out")</f>
        <v>In</v>
      </c>
      <c r="U369" t="str">
        <f>IF(Jnl[[#This Row],[TrxDate]]&lt;debug_date_start, "prior", IF(Jnl[[#This Row],[TrxDate]]&gt;debug_date_end, "post", "curr"))</f>
        <v>prior</v>
      </c>
    </row>
    <row r="370" spans="1:21">
      <c r="A370" s="11" t="s">
        <v>562</v>
      </c>
      <c r="B370" s="7">
        <f>_xlfn.XLOOKUP(Jnl[[#This Row],[TrxId]], Trx[Id], Trx[Date],,0)</f>
        <v>46053</v>
      </c>
      <c r="C370" s="7" t="str">
        <f>_xlfn.XLOOKUP(Jnl[[#This Row],[TrxId]], Trx[Id], Trx[Division],,0)</f>
        <v>GM</v>
      </c>
      <c r="D370" s="7" t="str">
        <f>_xlfn.XLOOKUP(Jnl[[#This Row],[TrxId]], Trx[Id], Trx[Action],,0)</f>
        <v>公共设施</v>
      </c>
      <c r="E370" s="26" t="s">
        <v>82</v>
      </c>
      <c r="F370" s="11" t="s">
        <v>590</v>
      </c>
      <c r="G370" s="11" t="s">
        <v>592</v>
      </c>
      <c r="H370" s="72">
        <v>-3948</v>
      </c>
      <c r="I370" s="5" t="b">
        <f>AND(Jnl[[#This Row],[TrxId]]&lt;&gt;"",Jnl[[#This Row],[Acct]]&lt;&gt;"",Jnl[[#This Row],[Item]]&lt;&gt;"",ISNUMBER(Jnl[[#This Row],[Bal]]))</f>
        <v>1</v>
      </c>
      <c r="J370" s="10">
        <f>IF(Jnl[[#This Row],[BSLv0]]="A",1,-1)*Jnl[[#This Row],[Bal]]</f>
        <v>-3948</v>
      </c>
      <c r="K370" t="str">
        <f>_xlfn.XLOOKUP(Jnl[[#This Row],[Acct]], config_BS[Acct], config_BS[Lv0],,0)</f>
        <v>A</v>
      </c>
      <c r="L370" t="str">
        <f>_xlfn.XLOOKUP(Jnl[[#This Row],[Acct]], config_BS[Acct], config_BS[Lv1],,0)</f>
        <v>Assets</v>
      </c>
      <c r="M370" t="str">
        <f>_xlfn.XLOOKUP(Jnl[[#This Row],[Acct]], config_BS[Acct], config_BS[Lv2],,0)</f>
        <v>Cash alike</v>
      </c>
      <c r="N370" t="str">
        <f>_xlfn.XLOOKUP(Jnl[[#This Row],[TrxId]], Trx[Id], Trx[IncNode], ,0)</f>
        <v>Expense</v>
      </c>
      <c r="O370" t="str">
        <f>_xlfn.XLOOKUP(Jnl[[#This Row],[IncNode]], config_IS[Node], config_IS[Type],,0)</f>
        <v>Op</v>
      </c>
      <c r="P370" t="str">
        <f>_xlfn.XLOOKUP(Jnl[[#This Row],[BSLv2]], dict[Key], dict[Name],,0)</f>
        <v>0.现金及类似</v>
      </c>
      <c r="Q370" t="str">
        <f>_xlfn.XLOOKUP(Jnl[[#This Row],[Acct]], dict[Key], dict[Name],,0)</f>
        <v>银行</v>
      </c>
      <c r="R370" t="str">
        <f>_xlfn.XLOOKUP(Jnl[[#This Row],[Vehicle]],config_vehicle[Id], config_vehicle[Name],,0)</f>
        <v>米小易</v>
      </c>
      <c r="S370" t="str">
        <f>_xlfn.XLOOKUP(Jnl[[#This Row],[Division]],config_div[Id], config_div[Name],,0)</f>
        <v>综合管理</v>
      </c>
      <c r="T370" t="str">
        <f>IF(Jnl[[#This Row],[TrxDate]]&lt;=stmt_BS_date_end, "In", "Out")</f>
        <v>In</v>
      </c>
      <c r="U370" t="str">
        <f>IF(Jnl[[#This Row],[TrxDate]]&lt;debug_date_start, "prior", IF(Jnl[[#This Row],[TrxDate]]&gt;debug_date_end, "post", "curr"))</f>
        <v>prior</v>
      </c>
    </row>
    <row r="371" spans="1:21">
      <c r="A371" s="11" t="s">
        <v>564</v>
      </c>
      <c r="B371" s="7">
        <f>_xlfn.XLOOKUP(Jnl[[#This Row],[TrxId]], Trx[Id], Trx[Date],,0)</f>
        <v>46053</v>
      </c>
      <c r="C371" s="7" t="str">
        <f>_xlfn.XLOOKUP(Jnl[[#This Row],[TrxId]], Trx[Id], Trx[Division],,0)</f>
        <v>GM</v>
      </c>
      <c r="D371" s="7" t="str">
        <f>_xlfn.XLOOKUP(Jnl[[#This Row],[TrxId]], Trx[Id], Trx[Action],,0)</f>
        <v>银行费</v>
      </c>
      <c r="E371" s="26" t="s">
        <v>82</v>
      </c>
      <c r="F371" s="11" t="s">
        <v>590</v>
      </c>
      <c r="G371" s="11" t="s">
        <v>592</v>
      </c>
      <c r="H371" s="72">
        <v>-97.5</v>
      </c>
      <c r="I371" s="5" t="b">
        <f>AND(Jnl[[#This Row],[TrxId]]&lt;&gt;"",Jnl[[#This Row],[Acct]]&lt;&gt;"",Jnl[[#This Row],[Item]]&lt;&gt;"",ISNUMBER(Jnl[[#This Row],[Bal]]))</f>
        <v>1</v>
      </c>
      <c r="J371" s="10">
        <f>IF(Jnl[[#This Row],[BSLv0]]="A",1,-1)*Jnl[[#This Row],[Bal]]</f>
        <v>-97.5</v>
      </c>
      <c r="K371" t="str">
        <f>_xlfn.XLOOKUP(Jnl[[#This Row],[Acct]], config_BS[Acct], config_BS[Lv0],,0)</f>
        <v>A</v>
      </c>
      <c r="L371" t="str">
        <f>_xlfn.XLOOKUP(Jnl[[#This Row],[Acct]], config_BS[Acct], config_BS[Lv1],,0)</f>
        <v>Assets</v>
      </c>
      <c r="M371" t="str">
        <f>_xlfn.XLOOKUP(Jnl[[#This Row],[Acct]], config_BS[Acct], config_BS[Lv2],,0)</f>
        <v>Cash alike</v>
      </c>
      <c r="N371" t="str">
        <f>_xlfn.XLOOKUP(Jnl[[#This Row],[TrxId]], Trx[Id], Trx[IncNode], ,0)</f>
        <v>Expense</v>
      </c>
      <c r="O371" t="str">
        <f>_xlfn.XLOOKUP(Jnl[[#This Row],[IncNode]], config_IS[Node], config_IS[Type],,0)</f>
        <v>Op</v>
      </c>
      <c r="P371" t="str">
        <f>_xlfn.XLOOKUP(Jnl[[#This Row],[BSLv2]], dict[Key], dict[Name],,0)</f>
        <v>0.现金及类似</v>
      </c>
      <c r="Q371" t="str">
        <f>_xlfn.XLOOKUP(Jnl[[#This Row],[Acct]], dict[Key], dict[Name],,0)</f>
        <v>银行</v>
      </c>
      <c r="R371" t="str">
        <f>_xlfn.XLOOKUP(Jnl[[#This Row],[Vehicle]],config_vehicle[Id], config_vehicle[Name],,0)</f>
        <v>米小易</v>
      </c>
      <c r="S371" t="str">
        <f>_xlfn.XLOOKUP(Jnl[[#This Row],[Division]],config_div[Id], config_div[Name],,0)</f>
        <v>综合管理</v>
      </c>
      <c r="T371" t="str">
        <f>IF(Jnl[[#This Row],[TrxDate]]&lt;=stmt_BS_date_end, "In", "Out")</f>
        <v>In</v>
      </c>
      <c r="U371" t="str">
        <f>IF(Jnl[[#This Row],[TrxDate]]&lt;debug_date_start, "prior", IF(Jnl[[#This Row],[TrxDate]]&gt;debug_date_end, "post", "curr"))</f>
        <v>prior</v>
      </c>
    </row>
    <row r="372" spans="1:21">
      <c r="A372" s="11" t="s">
        <v>565</v>
      </c>
      <c r="B372" s="7">
        <f>_xlfn.XLOOKUP(Jnl[[#This Row],[TrxId]], Trx[Id], Trx[Date],,0)</f>
        <v>46053</v>
      </c>
      <c r="C372" s="7" t="str">
        <f>_xlfn.XLOOKUP(Jnl[[#This Row],[TrxId]], Trx[Id], Trx[Division],,0)</f>
        <v>Shuijie</v>
      </c>
      <c r="D372" s="7" t="str">
        <f>_xlfn.XLOOKUP(Jnl[[#This Row],[TrxId]], Trx[Id], Trx[Action],,0)</f>
        <v>餐饮</v>
      </c>
      <c r="E372" s="26" t="s">
        <v>82</v>
      </c>
      <c r="F372" s="11" t="s">
        <v>590</v>
      </c>
      <c r="G372" s="11" t="s">
        <v>592</v>
      </c>
      <c r="H372" s="72">
        <v>1885.8</v>
      </c>
      <c r="I372" s="5" t="b">
        <f>AND(Jnl[[#This Row],[TrxId]]&lt;&gt;"",Jnl[[#This Row],[Acct]]&lt;&gt;"",Jnl[[#This Row],[Item]]&lt;&gt;"",ISNUMBER(Jnl[[#This Row],[Bal]]))</f>
        <v>1</v>
      </c>
      <c r="J372" s="10">
        <f>IF(Jnl[[#This Row],[BSLv0]]="A",1,-1)*Jnl[[#This Row],[Bal]]</f>
        <v>1885.8</v>
      </c>
      <c r="K372" t="str">
        <f>_xlfn.XLOOKUP(Jnl[[#This Row],[Acct]], config_BS[Acct], config_BS[Lv0],,0)</f>
        <v>A</v>
      </c>
      <c r="L372" t="str">
        <f>_xlfn.XLOOKUP(Jnl[[#This Row],[Acct]], config_BS[Acct], config_BS[Lv1],,0)</f>
        <v>Assets</v>
      </c>
      <c r="M372" t="str">
        <f>_xlfn.XLOOKUP(Jnl[[#This Row],[Acct]], config_BS[Acct], config_BS[Lv2],,0)</f>
        <v>Cash alike</v>
      </c>
      <c r="N372" t="str">
        <f>_xlfn.XLOOKUP(Jnl[[#This Row],[TrxId]], Trx[Id], Trx[IncNode], ,0)</f>
        <v>Revenue</v>
      </c>
      <c r="O372" t="str">
        <f>_xlfn.XLOOKUP(Jnl[[#This Row],[IncNode]], config_IS[Node], config_IS[Type],,0)</f>
        <v>Op</v>
      </c>
      <c r="P372" t="str">
        <f>_xlfn.XLOOKUP(Jnl[[#This Row],[BSLv2]], dict[Key], dict[Name],,0)</f>
        <v>0.现金及类似</v>
      </c>
      <c r="Q372" t="str">
        <f>_xlfn.XLOOKUP(Jnl[[#This Row],[Acct]], dict[Key], dict[Name],,0)</f>
        <v>银行</v>
      </c>
      <c r="R372" t="str">
        <f>_xlfn.XLOOKUP(Jnl[[#This Row],[Vehicle]],config_vehicle[Id], config_vehicle[Name],,0)</f>
        <v>米小易</v>
      </c>
      <c r="S372" t="str">
        <f>_xlfn.XLOOKUP(Jnl[[#This Row],[Division]],config_div[Id], config_div[Name],,0)</f>
        <v>水街店</v>
      </c>
      <c r="T372" t="str">
        <f>IF(Jnl[[#This Row],[TrxDate]]&lt;=stmt_BS_date_end, "In", "Out")</f>
        <v>In</v>
      </c>
      <c r="U372" t="str">
        <f>IF(Jnl[[#This Row],[TrxDate]]&lt;debug_date_start, "prior", IF(Jnl[[#This Row],[TrxDate]]&gt;debug_date_end, "post", "curr"))</f>
        <v>prior</v>
      </c>
    </row>
    <row r="373" spans="1:21">
      <c r="A373" s="11" t="s">
        <v>567</v>
      </c>
      <c r="B373" s="7">
        <f>_xlfn.XLOOKUP(Jnl[[#This Row],[TrxId]], Trx[Id], Trx[Date],,0)</f>
        <v>46053</v>
      </c>
      <c r="C373" s="7" t="str">
        <f>_xlfn.XLOOKUP(Jnl[[#This Row],[TrxId]], Trx[Id], Trx[Division],,0)</f>
        <v>Shuijie</v>
      </c>
      <c r="D373" s="7" t="str">
        <f>_xlfn.XLOOKUP(Jnl[[#This Row],[TrxId]], Trx[Id], Trx[Action],,0)</f>
        <v>餐饮</v>
      </c>
      <c r="E373" s="26" t="s">
        <v>82</v>
      </c>
      <c r="F373" s="11" t="s">
        <v>590</v>
      </c>
      <c r="G373" s="11" t="s">
        <v>592</v>
      </c>
      <c r="H373" s="72">
        <v>448491.34</v>
      </c>
      <c r="I373" s="5" t="b">
        <f>AND(Jnl[[#This Row],[TrxId]]&lt;&gt;"",Jnl[[#This Row],[Acct]]&lt;&gt;"",Jnl[[#This Row],[Item]]&lt;&gt;"",ISNUMBER(Jnl[[#This Row],[Bal]]))</f>
        <v>1</v>
      </c>
      <c r="J373" s="10">
        <f>IF(Jnl[[#This Row],[BSLv0]]="A",1,-1)*Jnl[[#This Row],[Bal]]</f>
        <v>448491.34</v>
      </c>
      <c r="K373" t="str">
        <f>_xlfn.XLOOKUP(Jnl[[#This Row],[Acct]], config_BS[Acct], config_BS[Lv0],,0)</f>
        <v>A</v>
      </c>
      <c r="L373" t="str">
        <f>_xlfn.XLOOKUP(Jnl[[#This Row],[Acct]], config_BS[Acct], config_BS[Lv1],,0)</f>
        <v>Assets</v>
      </c>
      <c r="M373" t="str">
        <f>_xlfn.XLOOKUP(Jnl[[#This Row],[Acct]], config_BS[Acct], config_BS[Lv2],,0)</f>
        <v>Cash alike</v>
      </c>
      <c r="N373" t="str">
        <f>_xlfn.XLOOKUP(Jnl[[#This Row],[TrxId]], Trx[Id], Trx[IncNode], ,0)</f>
        <v>Revenue</v>
      </c>
      <c r="O373" t="str">
        <f>_xlfn.XLOOKUP(Jnl[[#This Row],[IncNode]], config_IS[Node], config_IS[Type],,0)</f>
        <v>Op</v>
      </c>
      <c r="P373" t="str">
        <f>_xlfn.XLOOKUP(Jnl[[#This Row],[BSLv2]], dict[Key], dict[Name],,0)</f>
        <v>0.现金及类似</v>
      </c>
      <c r="Q373" t="str">
        <f>_xlfn.XLOOKUP(Jnl[[#This Row],[Acct]], dict[Key], dict[Name],,0)</f>
        <v>银行</v>
      </c>
      <c r="R373" t="str">
        <f>_xlfn.XLOOKUP(Jnl[[#This Row],[Vehicle]],config_vehicle[Id], config_vehicle[Name],,0)</f>
        <v>米小易</v>
      </c>
      <c r="S373" t="str">
        <f>_xlfn.XLOOKUP(Jnl[[#This Row],[Division]],config_div[Id], config_div[Name],,0)</f>
        <v>水街店</v>
      </c>
      <c r="T373" t="str">
        <f>IF(Jnl[[#This Row],[TrxDate]]&lt;=stmt_BS_date_end, "In", "Out")</f>
        <v>In</v>
      </c>
      <c r="U373" t="str">
        <f>IF(Jnl[[#This Row],[TrxDate]]&lt;debug_date_start, "prior", IF(Jnl[[#This Row],[TrxDate]]&gt;debug_date_end, "post", "curr"))</f>
        <v>prior</v>
      </c>
    </row>
    <row r="374" spans="1:21">
      <c r="A374" s="11" t="s">
        <v>568</v>
      </c>
      <c r="B374" s="7">
        <f>_xlfn.XLOOKUP(Jnl[[#This Row],[TrxId]], Trx[Id], Trx[Date],,0)</f>
        <v>46053</v>
      </c>
      <c r="C374" s="7" t="str">
        <f>_xlfn.XLOOKUP(Jnl[[#This Row],[TrxId]], Trx[Id], Trx[Division],,0)</f>
        <v>Shuijie</v>
      </c>
      <c r="D374" s="7" t="str">
        <f>_xlfn.XLOOKUP(Jnl[[#This Row],[TrxId]], Trx[Id], Trx[Action],,0)</f>
        <v>图书</v>
      </c>
      <c r="E374" s="26" t="s">
        <v>82</v>
      </c>
      <c r="F374" s="11" t="s">
        <v>590</v>
      </c>
      <c r="G374" s="11" t="s">
        <v>592</v>
      </c>
      <c r="H374" s="72">
        <v>3084.15</v>
      </c>
      <c r="I374" s="5" t="b">
        <f>AND(Jnl[[#This Row],[TrxId]]&lt;&gt;"",Jnl[[#This Row],[Acct]]&lt;&gt;"",Jnl[[#This Row],[Item]]&lt;&gt;"",ISNUMBER(Jnl[[#This Row],[Bal]]))</f>
        <v>1</v>
      </c>
      <c r="J374" s="10">
        <f>IF(Jnl[[#This Row],[BSLv0]]="A",1,-1)*Jnl[[#This Row],[Bal]]</f>
        <v>3084.15</v>
      </c>
      <c r="K374" t="str">
        <f>_xlfn.XLOOKUP(Jnl[[#This Row],[Acct]], config_BS[Acct], config_BS[Lv0],,0)</f>
        <v>A</v>
      </c>
      <c r="L374" t="str">
        <f>_xlfn.XLOOKUP(Jnl[[#This Row],[Acct]], config_BS[Acct], config_BS[Lv1],,0)</f>
        <v>Assets</v>
      </c>
      <c r="M374" t="str">
        <f>_xlfn.XLOOKUP(Jnl[[#This Row],[Acct]], config_BS[Acct], config_BS[Lv2],,0)</f>
        <v>Cash alike</v>
      </c>
      <c r="N374" t="str">
        <f>_xlfn.XLOOKUP(Jnl[[#This Row],[TrxId]], Trx[Id], Trx[IncNode], ,0)</f>
        <v>Revenue</v>
      </c>
      <c r="O374" t="str">
        <f>_xlfn.XLOOKUP(Jnl[[#This Row],[IncNode]], config_IS[Node], config_IS[Type],,0)</f>
        <v>Op</v>
      </c>
      <c r="P374" t="str">
        <f>_xlfn.XLOOKUP(Jnl[[#This Row],[BSLv2]], dict[Key], dict[Name],,0)</f>
        <v>0.现金及类似</v>
      </c>
      <c r="Q374" t="str">
        <f>_xlfn.XLOOKUP(Jnl[[#This Row],[Acct]], dict[Key], dict[Name],,0)</f>
        <v>银行</v>
      </c>
      <c r="R374" t="str">
        <f>_xlfn.XLOOKUP(Jnl[[#This Row],[Vehicle]],config_vehicle[Id], config_vehicle[Name],,0)</f>
        <v>米小易</v>
      </c>
      <c r="S374" t="str">
        <f>_xlfn.XLOOKUP(Jnl[[#This Row],[Division]],config_div[Id], config_div[Name],,0)</f>
        <v>水街店</v>
      </c>
      <c r="T374" t="str">
        <f>IF(Jnl[[#This Row],[TrxDate]]&lt;=stmt_BS_date_end, "In", "Out")</f>
        <v>In</v>
      </c>
      <c r="U374" t="str">
        <f>IF(Jnl[[#This Row],[TrxDate]]&lt;debug_date_start, "prior", IF(Jnl[[#This Row],[TrxDate]]&gt;debug_date_end, "post", "curr"))</f>
        <v>prior</v>
      </c>
    </row>
    <row r="375" spans="1:21">
      <c r="A375" s="11" t="s">
        <v>569</v>
      </c>
      <c r="B375" s="7">
        <f>_xlfn.XLOOKUP(Jnl[[#This Row],[TrxId]], Trx[Id], Trx[Date],,0)</f>
        <v>46053</v>
      </c>
      <c r="C375" s="7" t="str">
        <f>_xlfn.XLOOKUP(Jnl[[#This Row],[TrxId]], Trx[Id], Trx[Division],,0)</f>
        <v>Shuijie</v>
      </c>
      <c r="D375" s="7" t="str">
        <f>_xlfn.XLOOKUP(Jnl[[#This Row],[TrxId]], Trx[Id], Trx[Action],,0)</f>
        <v>食材</v>
      </c>
      <c r="E375" s="26" t="s">
        <v>82</v>
      </c>
      <c r="F375" s="11" t="s">
        <v>493</v>
      </c>
      <c r="G375" s="11" t="s">
        <v>428</v>
      </c>
      <c r="H375" s="72">
        <v>-31666</v>
      </c>
      <c r="I375" s="5" t="b">
        <f>AND(Jnl[[#This Row],[TrxId]]&lt;&gt;"",Jnl[[#This Row],[Acct]]&lt;&gt;"",Jnl[[#This Row],[Item]]&lt;&gt;"",ISNUMBER(Jnl[[#This Row],[Bal]]))</f>
        <v>1</v>
      </c>
      <c r="J375" s="10">
        <f>IF(Jnl[[#This Row],[BSLv0]]="A",1,-1)*Jnl[[#This Row],[Bal]]</f>
        <v>-31666</v>
      </c>
      <c r="K375" t="str">
        <f>_xlfn.XLOOKUP(Jnl[[#This Row],[Acct]], config_BS[Acct], config_BS[Lv0],,0)</f>
        <v>A</v>
      </c>
      <c r="L375" t="str">
        <f>_xlfn.XLOOKUP(Jnl[[#This Row],[Acct]], config_BS[Acct], config_BS[Lv1],,0)</f>
        <v>Assets</v>
      </c>
      <c r="M375" t="str">
        <f>_xlfn.XLOOKUP(Jnl[[#This Row],[Acct]], config_BS[Acct], config_BS[Lv2],,0)</f>
        <v>Prep-Sub</v>
      </c>
      <c r="N375" t="str">
        <f>_xlfn.XLOOKUP(Jnl[[#This Row],[TrxId]], Trx[Id], Trx[IncNode], ,0)</f>
        <v>Cost</v>
      </c>
      <c r="O375" t="str">
        <f>_xlfn.XLOOKUP(Jnl[[#This Row],[IncNode]], config_IS[Node], config_IS[Type],,0)</f>
        <v>Op</v>
      </c>
      <c r="P375" t="str">
        <f>_xlfn.XLOOKUP(Jnl[[#This Row],[BSLv2]], dict[Key], dict[Name],,0)</f>
        <v>2.预付-订阅</v>
      </c>
      <c r="Q375" t="str">
        <f>_xlfn.XLOOKUP(Jnl[[#This Row],[Acct]], dict[Key], dict[Name],,0)</f>
        <v>预付订单</v>
      </c>
      <c r="R375" t="str">
        <f>_xlfn.XLOOKUP(Jnl[[#This Row],[Vehicle]],config_vehicle[Id], config_vehicle[Name],,0)</f>
        <v>米小易</v>
      </c>
      <c r="S375" t="str">
        <f>_xlfn.XLOOKUP(Jnl[[#This Row],[Division]],config_div[Id], config_div[Name],,0)</f>
        <v>水街店</v>
      </c>
      <c r="T375" t="str">
        <f>IF(Jnl[[#This Row],[TrxDate]]&lt;=stmt_BS_date_end, "In", "Out")</f>
        <v>In</v>
      </c>
      <c r="U375" t="str">
        <f>IF(Jnl[[#This Row],[TrxDate]]&lt;debug_date_start, "prior", IF(Jnl[[#This Row],[TrxDate]]&gt;debug_date_end, "post", "curr"))</f>
        <v>prior</v>
      </c>
    </row>
    <row r="376" spans="1:21">
      <c r="A376" s="11" t="s">
        <v>570</v>
      </c>
      <c r="B376" s="7">
        <f>_xlfn.XLOOKUP(Jnl[[#This Row],[TrxId]], Trx[Id], Trx[Date],,0)</f>
        <v>46053</v>
      </c>
      <c r="C376" s="7" t="str">
        <f>_xlfn.XLOOKUP(Jnl[[#This Row],[TrxId]], Trx[Id], Trx[Division],,0)</f>
        <v>Shuijie</v>
      </c>
      <c r="D376" s="7" t="str">
        <f>_xlfn.XLOOKUP(Jnl[[#This Row],[TrxId]], Trx[Id], Trx[Action],,0)</f>
        <v>入库</v>
      </c>
      <c r="E376" s="26" t="s">
        <v>82</v>
      </c>
      <c r="F376" s="11" t="s">
        <v>598</v>
      </c>
      <c r="G376" s="11" t="s">
        <v>152</v>
      </c>
      <c r="H376" s="72">
        <v>375</v>
      </c>
      <c r="I376" s="5" t="b">
        <f>AND(Jnl[[#This Row],[TrxId]]&lt;&gt;"",Jnl[[#This Row],[Acct]]&lt;&gt;"",Jnl[[#This Row],[Item]]&lt;&gt;"",ISNUMBER(Jnl[[#This Row],[Bal]]))</f>
        <v>1</v>
      </c>
      <c r="J376" s="10">
        <f>IF(Jnl[[#This Row],[BSLv0]]="A",1,-1)*Jnl[[#This Row],[Bal]]</f>
        <v>375</v>
      </c>
      <c r="K376" t="str">
        <f>_xlfn.XLOOKUP(Jnl[[#This Row],[Acct]], config_BS[Acct], config_BS[Lv0],,0)</f>
        <v>A</v>
      </c>
      <c r="L376" t="str">
        <f>_xlfn.XLOOKUP(Jnl[[#This Row],[Acct]], config_BS[Acct], config_BS[Lv1],,0)</f>
        <v>Assets</v>
      </c>
      <c r="M376" t="str">
        <f>_xlfn.XLOOKUP(Jnl[[#This Row],[Acct]], config_BS[Acct], config_BS[Lv2],,0)</f>
        <v>Invtr</v>
      </c>
      <c r="N376" t="str">
        <f>_xlfn.XLOOKUP(Jnl[[#This Row],[TrxId]], Trx[Id], Trx[IncNode], ,0)</f>
        <v>Cost</v>
      </c>
      <c r="O376" t="str">
        <f>_xlfn.XLOOKUP(Jnl[[#This Row],[IncNode]], config_IS[Node], config_IS[Type],,0)</f>
        <v>Op</v>
      </c>
      <c r="P376" t="str">
        <f>_xlfn.XLOOKUP(Jnl[[#This Row],[BSLv2]], dict[Key], dict[Name],,0)</f>
        <v>3.库存占款</v>
      </c>
      <c r="Q376" t="str">
        <f>_xlfn.XLOOKUP(Jnl[[#This Row],[Acct]], dict[Key], dict[Name],,0)</f>
        <v>当期存货</v>
      </c>
      <c r="R376" t="str">
        <f>_xlfn.XLOOKUP(Jnl[[#This Row],[Vehicle]],config_vehicle[Id], config_vehicle[Name],,0)</f>
        <v>米小易</v>
      </c>
      <c r="S376" t="str">
        <f>_xlfn.XLOOKUP(Jnl[[#This Row],[Division]],config_div[Id], config_div[Name],,0)</f>
        <v>水街店</v>
      </c>
      <c r="T376" t="str">
        <f>IF(Jnl[[#This Row],[TrxDate]]&lt;=stmt_BS_date_end, "In", "Out")</f>
        <v>In</v>
      </c>
      <c r="U376" t="str">
        <f>IF(Jnl[[#This Row],[TrxDate]]&lt;debug_date_start, "prior", IF(Jnl[[#This Row],[TrxDate]]&gt;debug_date_end, "post", "curr"))</f>
        <v>prior</v>
      </c>
    </row>
    <row r="377" spans="1:21">
      <c r="A377" s="11" t="s">
        <v>570</v>
      </c>
      <c r="B377" s="7">
        <f>_xlfn.XLOOKUP(Jnl[[#This Row],[TrxId]], Trx[Id], Trx[Date],,0)</f>
        <v>46053</v>
      </c>
      <c r="C377" s="7" t="str">
        <f>_xlfn.XLOOKUP(Jnl[[#This Row],[TrxId]], Trx[Id], Trx[Division],,0)</f>
        <v>Shuijie</v>
      </c>
      <c r="D377" s="7" t="str">
        <f>_xlfn.XLOOKUP(Jnl[[#This Row],[TrxId]], Trx[Id], Trx[Action],,0)</f>
        <v>入库</v>
      </c>
      <c r="E377" s="26" t="s">
        <v>82</v>
      </c>
      <c r="F377" s="11" t="s">
        <v>493</v>
      </c>
      <c r="G377" s="11" t="s">
        <v>428</v>
      </c>
      <c r="H377" s="72">
        <v>-375</v>
      </c>
      <c r="I377" s="5" t="b">
        <f>AND(Jnl[[#This Row],[TrxId]]&lt;&gt;"",Jnl[[#This Row],[Acct]]&lt;&gt;"",Jnl[[#This Row],[Item]]&lt;&gt;"",ISNUMBER(Jnl[[#This Row],[Bal]]))</f>
        <v>1</v>
      </c>
      <c r="J377" s="10">
        <f>IF(Jnl[[#This Row],[BSLv0]]="A",1,-1)*Jnl[[#This Row],[Bal]]</f>
        <v>-375</v>
      </c>
      <c r="K377" t="str">
        <f>_xlfn.XLOOKUP(Jnl[[#This Row],[Acct]], config_BS[Acct], config_BS[Lv0],,0)</f>
        <v>A</v>
      </c>
      <c r="L377" t="str">
        <f>_xlfn.XLOOKUP(Jnl[[#This Row],[Acct]], config_BS[Acct], config_BS[Lv1],,0)</f>
        <v>Assets</v>
      </c>
      <c r="M377" t="str">
        <f>_xlfn.XLOOKUP(Jnl[[#This Row],[Acct]], config_BS[Acct], config_BS[Lv2],,0)</f>
        <v>Prep-Sub</v>
      </c>
      <c r="N377" t="str">
        <f>_xlfn.XLOOKUP(Jnl[[#This Row],[TrxId]], Trx[Id], Trx[IncNode], ,0)</f>
        <v>Cost</v>
      </c>
      <c r="O377" t="str">
        <f>_xlfn.XLOOKUP(Jnl[[#This Row],[IncNode]], config_IS[Node], config_IS[Type],,0)</f>
        <v>Op</v>
      </c>
      <c r="P377" t="str">
        <f>_xlfn.XLOOKUP(Jnl[[#This Row],[BSLv2]], dict[Key], dict[Name],,0)</f>
        <v>2.预付-订阅</v>
      </c>
      <c r="Q377" t="str">
        <f>_xlfn.XLOOKUP(Jnl[[#This Row],[Acct]], dict[Key], dict[Name],,0)</f>
        <v>预付订单</v>
      </c>
      <c r="R377" t="str">
        <f>_xlfn.XLOOKUP(Jnl[[#This Row],[Vehicle]],config_vehicle[Id], config_vehicle[Name],,0)</f>
        <v>米小易</v>
      </c>
      <c r="S377" t="str">
        <f>_xlfn.XLOOKUP(Jnl[[#This Row],[Division]],config_div[Id], config_div[Name],,0)</f>
        <v>水街店</v>
      </c>
      <c r="T377" t="str">
        <f>IF(Jnl[[#This Row],[TrxDate]]&lt;=stmt_BS_date_end, "In", "Out")</f>
        <v>In</v>
      </c>
      <c r="U377" t="str">
        <f>IF(Jnl[[#This Row],[TrxDate]]&lt;debug_date_start, "prior", IF(Jnl[[#This Row],[TrxDate]]&gt;debug_date_end, "post", "curr"))</f>
        <v>prior</v>
      </c>
    </row>
    <row r="378" spans="1:21">
      <c r="A378" s="11" t="s">
        <v>571</v>
      </c>
      <c r="B378" s="7">
        <f>_xlfn.XLOOKUP(Jnl[[#This Row],[TrxId]], Trx[Id], Trx[Date],,0)</f>
        <v>46053</v>
      </c>
      <c r="C378" s="7" t="str">
        <f>_xlfn.XLOOKUP(Jnl[[#This Row],[TrxId]], Trx[Id], Trx[Division],,0)</f>
        <v>Shuijie</v>
      </c>
      <c r="D378" s="7" t="str">
        <f>_xlfn.XLOOKUP(Jnl[[#This Row],[TrxId]], Trx[Id], Trx[Action],,0)</f>
        <v>入库</v>
      </c>
      <c r="E378" s="26" t="s">
        <v>82</v>
      </c>
      <c r="F378" s="11" t="s">
        <v>598</v>
      </c>
      <c r="G378" s="11" t="s">
        <v>152</v>
      </c>
      <c r="H378" s="72">
        <v>1873.57</v>
      </c>
      <c r="I378" s="5" t="b">
        <f>AND(Jnl[[#This Row],[TrxId]]&lt;&gt;"",Jnl[[#This Row],[Acct]]&lt;&gt;"",Jnl[[#This Row],[Item]]&lt;&gt;"",ISNUMBER(Jnl[[#This Row],[Bal]]))</f>
        <v>1</v>
      </c>
      <c r="J378" s="10">
        <f>IF(Jnl[[#This Row],[BSLv0]]="A",1,-1)*Jnl[[#This Row],[Bal]]</f>
        <v>1873.57</v>
      </c>
      <c r="K378" t="str">
        <f>_xlfn.XLOOKUP(Jnl[[#This Row],[Acct]], config_BS[Acct], config_BS[Lv0],,0)</f>
        <v>A</v>
      </c>
      <c r="L378" t="str">
        <f>_xlfn.XLOOKUP(Jnl[[#This Row],[Acct]], config_BS[Acct], config_BS[Lv1],,0)</f>
        <v>Assets</v>
      </c>
      <c r="M378" t="str">
        <f>_xlfn.XLOOKUP(Jnl[[#This Row],[Acct]], config_BS[Acct], config_BS[Lv2],,0)</f>
        <v>Invtr</v>
      </c>
      <c r="N378" t="str">
        <f>_xlfn.XLOOKUP(Jnl[[#This Row],[TrxId]], Trx[Id], Trx[IncNode], ,0)</f>
        <v>Cost</v>
      </c>
      <c r="O378" t="str">
        <f>_xlfn.XLOOKUP(Jnl[[#This Row],[IncNode]], config_IS[Node], config_IS[Type],,0)</f>
        <v>Op</v>
      </c>
      <c r="P378" t="str">
        <f>_xlfn.XLOOKUP(Jnl[[#This Row],[BSLv2]], dict[Key], dict[Name],,0)</f>
        <v>3.库存占款</v>
      </c>
      <c r="Q378" t="str">
        <f>_xlfn.XLOOKUP(Jnl[[#This Row],[Acct]], dict[Key], dict[Name],,0)</f>
        <v>当期存货</v>
      </c>
      <c r="R378" t="str">
        <f>_xlfn.XLOOKUP(Jnl[[#This Row],[Vehicle]],config_vehicle[Id], config_vehicle[Name],,0)</f>
        <v>米小易</v>
      </c>
      <c r="S378" t="str">
        <f>_xlfn.XLOOKUP(Jnl[[#This Row],[Division]],config_div[Id], config_div[Name],,0)</f>
        <v>水街店</v>
      </c>
      <c r="T378" t="str">
        <f>IF(Jnl[[#This Row],[TrxDate]]&lt;=stmt_BS_date_end, "In", "Out")</f>
        <v>In</v>
      </c>
      <c r="U378" t="str">
        <f>IF(Jnl[[#This Row],[TrxDate]]&lt;debug_date_start, "prior", IF(Jnl[[#This Row],[TrxDate]]&gt;debug_date_end, "post", "curr"))</f>
        <v>prior</v>
      </c>
    </row>
    <row r="379" spans="1:21">
      <c r="A379" s="11" t="s">
        <v>571</v>
      </c>
      <c r="B379" s="7">
        <f>_xlfn.XLOOKUP(Jnl[[#This Row],[TrxId]], Trx[Id], Trx[Date],,0)</f>
        <v>46053</v>
      </c>
      <c r="C379" s="7" t="str">
        <f>_xlfn.XLOOKUP(Jnl[[#This Row],[TrxId]], Trx[Id], Trx[Division],,0)</f>
        <v>Shuijie</v>
      </c>
      <c r="D379" s="7" t="str">
        <f>_xlfn.XLOOKUP(Jnl[[#This Row],[TrxId]], Trx[Id], Trx[Action],,0)</f>
        <v>入库</v>
      </c>
      <c r="E379" s="26" t="s">
        <v>82</v>
      </c>
      <c r="F379" s="11" t="s">
        <v>597</v>
      </c>
      <c r="G379" s="11" t="s">
        <v>529</v>
      </c>
      <c r="H379" s="72">
        <v>-1873.57</v>
      </c>
      <c r="I379" s="5" t="b">
        <f>AND(Jnl[[#This Row],[TrxId]]&lt;&gt;"",Jnl[[#This Row],[Acct]]&lt;&gt;"",Jnl[[#This Row],[Item]]&lt;&gt;"",ISNUMBER(Jnl[[#This Row],[Bal]]))</f>
        <v>1</v>
      </c>
      <c r="J379" s="10">
        <f>IF(Jnl[[#This Row],[BSLv0]]="A",1,-1)*Jnl[[#This Row],[Bal]]</f>
        <v>-1873.57</v>
      </c>
      <c r="K379" t="str">
        <f>_xlfn.XLOOKUP(Jnl[[#This Row],[Acct]], config_BS[Acct], config_BS[Lv0],,0)</f>
        <v>A</v>
      </c>
      <c r="L379" t="str">
        <f>_xlfn.XLOOKUP(Jnl[[#This Row],[Acct]], config_BS[Acct], config_BS[Lv1],,0)</f>
        <v>Assets</v>
      </c>
      <c r="M379" t="str">
        <f>_xlfn.XLOOKUP(Jnl[[#This Row],[Acct]], config_BS[Acct], config_BS[Lv2],,0)</f>
        <v>Prep-Sub</v>
      </c>
      <c r="N379" t="str">
        <f>_xlfn.XLOOKUP(Jnl[[#This Row],[TrxId]], Trx[Id], Trx[IncNode], ,0)</f>
        <v>Cost</v>
      </c>
      <c r="O379" t="str">
        <f>_xlfn.XLOOKUP(Jnl[[#This Row],[IncNode]], config_IS[Node], config_IS[Type],,0)</f>
        <v>Op</v>
      </c>
      <c r="P379" t="str">
        <f>_xlfn.XLOOKUP(Jnl[[#This Row],[BSLv2]], dict[Key], dict[Name],,0)</f>
        <v>2.预付-订阅</v>
      </c>
      <c r="Q379" t="str">
        <f>_xlfn.XLOOKUP(Jnl[[#This Row],[Acct]], dict[Key], dict[Name],,0)</f>
        <v>员工预支</v>
      </c>
      <c r="R379" t="str">
        <f>_xlfn.XLOOKUP(Jnl[[#This Row],[Vehicle]],config_vehicle[Id], config_vehicle[Name],,0)</f>
        <v>米小易</v>
      </c>
      <c r="S379" t="str">
        <f>_xlfn.XLOOKUP(Jnl[[#This Row],[Division]],config_div[Id], config_div[Name],,0)</f>
        <v>水街店</v>
      </c>
      <c r="T379" t="str">
        <f>IF(Jnl[[#This Row],[TrxDate]]&lt;=stmt_BS_date_end, "In", "Out")</f>
        <v>In</v>
      </c>
      <c r="U379" t="str">
        <f>IF(Jnl[[#This Row],[TrxDate]]&lt;debug_date_start, "prior", IF(Jnl[[#This Row],[TrxDate]]&gt;debug_date_end, "post", "curr"))</f>
        <v>prior</v>
      </c>
    </row>
    <row r="380" spans="1:21">
      <c r="A380" s="11" t="s">
        <v>573</v>
      </c>
      <c r="B380" s="7">
        <f>_xlfn.XLOOKUP(Jnl[[#This Row],[TrxId]], Trx[Id], Trx[Date],,0)</f>
        <v>46053</v>
      </c>
      <c r="C380" s="7" t="str">
        <f>_xlfn.XLOOKUP(Jnl[[#This Row],[TrxId]], Trx[Id], Trx[Division],,0)</f>
        <v>Shuijie</v>
      </c>
      <c r="D380" s="7" t="str">
        <f>_xlfn.XLOOKUP(Jnl[[#This Row],[TrxId]], Trx[Id], Trx[Action],,0)</f>
        <v>其他材料</v>
      </c>
      <c r="E380" s="26" t="s">
        <v>82</v>
      </c>
      <c r="F380" s="11" t="s">
        <v>597</v>
      </c>
      <c r="G380" s="11" t="s">
        <v>529</v>
      </c>
      <c r="H380" s="72">
        <v>-49.15</v>
      </c>
      <c r="I380" s="5" t="b">
        <f>AND(Jnl[[#This Row],[TrxId]]&lt;&gt;"",Jnl[[#This Row],[Acct]]&lt;&gt;"",Jnl[[#This Row],[Item]]&lt;&gt;"",ISNUMBER(Jnl[[#This Row],[Bal]]))</f>
        <v>1</v>
      </c>
      <c r="J380" s="10">
        <f>IF(Jnl[[#This Row],[BSLv0]]="A",1,-1)*Jnl[[#This Row],[Bal]]</f>
        <v>-49.15</v>
      </c>
      <c r="K380" t="str">
        <f>_xlfn.XLOOKUP(Jnl[[#This Row],[Acct]], config_BS[Acct], config_BS[Lv0],,0)</f>
        <v>A</v>
      </c>
      <c r="L380" t="str">
        <f>_xlfn.XLOOKUP(Jnl[[#This Row],[Acct]], config_BS[Acct], config_BS[Lv1],,0)</f>
        <v>Assets</v>
      </c>
      <c r="M380" t="str">
        <f>_xlfn.XLOOKUP(Jnl[[#This Row],[Acct]], config_BS[Acct], config_BS[Lv2],,0)</f>
        <v>Prep-Sub</v>
      </c>
      <c r="N380" t="str">
        <f>_xlfn.XLOOKUP(Jnl[[#This Row],[TrxId]], Trx[Id], Trx[IncNode], ,0)</f>
        <v>Cost</v>
      </c>
      <c r="O380" t="str">
        <f>_xlfn.XLOOKUP(Jnl[[#This Row],[IncNode]], config_IS[Node], config_IS[Type],,0)</f>
        <v>Op</v>
      </c>
      <c r="P380" t="str">
        <f>_xlfn.XLOOKUP(Jnl[[#This Row],[BSLv2]], dict[Key], dict[Name],,0)</f>
        <v>2.预付-订阅</v>
      </c>
      <c r="Q380" t="str">
        <f>_xlfn.XLOOKUP(Jnl[[#This Row],[Acct]], dict[Key], dict[Name],,0)</f>
        <v>员工预支</v>
      </c>
      <c r="R380" t="str">
        <f>_xlfn.XLOOKUP(Jnl[[#This Row],[Vehicle]],config_vehicle[Id], config_vehicle[Name],,0)</f>
        <v>米小易</v>
      </c>
      <c r="S380" t="str">
        <f>_xlfn.XLOOKUP(Jnl[[#This Row],[Division]],config_div[Id], config_div[Name],,0)</f>
        <v>水街店</v>
      </c>
      <c r="T380" t="str">
        <f>IF(Jnl[[#This Row],[TrxDate]]&lt;=stmt_BS_date_end, "In", "Out")</f>
        <v>In</v>
      </c>
      <c r="U380" t="str">
        <f>IF(Jnl[[#This Row],[TrxDate]]&lt;debug_date_start, "prior", IF(Jnl[[#This Row],[TrxDate]]&gt;debug_date_end, "post", "curr"))</f>
        <v>prior</v>
      </c>
    </row>
    <row r="381" spans="1:21">
      <c r="A381" s="11" t="s">
        <v>574</v>
      </c>
      <c r="B381" s="7">
        <f>_xlfn.XLOOKUP(Jnl[[#This Row],[TrxId]], Trx[Id], Trx[Date],,0)</f>
        <v>46053</v>
      </c>
      <c r="C381" s="7" t="str">
        <f>_xlfn.XLOOKUP(Jnl[[#This Row],[TrxId]], Trx[Id], Trx[Division],,0)</f>
        <v>Shuijie</v>
      </c>
      <c r="D381" s="7" t="str">
        <f>_xlfn.XLOOKUP(Jnl[[#This Row],[TrxId]], Trx[Id], Trx[Action],,0)</f>
        <v>入库</v>
      </c>
      <c r="E381" s="26" t="s">
        <v>82</v>
      </c>
      <c r="F381" s="11" t="s">
        <v>598</v>
      </c>
      <c r="G381" s="11" t="s">
        <v>152</v>
      </c>
      <c r="H381" s="72">
        <v>2039.33</v>
      </c>
      <c r="I381" s="5" t="b">
        <f>AND(Jnl[[#This Row],[TrxId]]&lt;&gt;"",Jnl[[#This Row],[Acct]]&lt;&gt;"",Jnl[[#This Row],[Item]]&lt;&gt;"",ISNUMBER(Jnl[[#This Row],[Bal]]))</f>
        <v>1</v>
      </c>
      <c r="J381" s="10">
        <f>IF(Jnl[[#This Row],[BSLv0]]="A",1,-1)*Jnl[[#This Row],[Bal]]</f>
        <v>2039.33</v>
      </c>
      <c r="K381" t="str">
        <f>_xlfn.XLOOKUP(Jnl[[#This Row],[Acct]], config_BS[Acct], config_BS[Lv0],,0)</f>
        <v>A</v>
      </c>
      <c r="L381" t="str">
        <f>_xlfn.XLOOKUP(Jnl[[#This Row],[Acct]], config_BS[Acct], config_BS[Lv1],,0)</f>
        <v>Assets</v>
      </c>
      <c r="M381" t="str">
        <f>_xlfn.XLOOKUP(Jnl[[#This Row],[Acct]], config_BS[Acct], config_BS[Lv2],,0)</f>
        <v>Invtr</v>
      </c>
      <c r="N381" t="str">
        <f>_xlfn.XLOOKUP(Jnl[[#This Row],[TrxId]], Trx[Id], Trx[IncNode], ,0)</f>
        <v>Cost</v>
      </c>
      <c r="O381" t="str">
        <f>_xlfn.XLOOKUP(Jnl[[#This Row],[IncNode]], config_IS[Node], config_IS[Type],,0)</f>
        <v>Op</v>
      </c>
      <c r="P381" t="str">
        <f>_xlfn.XLOOKUP(Jnl[[#This Row],[BSLv2]], dict[Key], dict[Name],,0)</f>
        <v>3.库存占款</v>
      </c>
      <c r="Q381" t="str">
        <f>_xlfn.XLOOKUP(Jnl[[#This Row],[Acct]], dict[Key], dict[Name],,0)</f>
        <v>当期存货</v>
      </c>
      <c r="R381" t="str">
        <f>_xlfn.XLOOKUP(Jnl[[#This Row],[Vehicle]],config_vehicle[Id], config_vehicle[Name],,0)</f>
        <v>米小易</v>
      </c>
      <c r="S381" t="str">
        <f>_xlfn.XLOOKUP(Jnl[[#This Row],[Division]],config_div[Id], config_div[Name],,0)</f>
        <v>水街店</v>
      </c>
      <c r="T381" t="str">
        <f>IF(Jnl[[#This Row],[TrxDate]]&lt;=stmt_BS_date_end, "In", "Out")</f>
        <v>In</v>
      </c>
      <c r="U381" t="str">
        <f>IF(Jnl[[#This Row],[TrxDate]]&lt;debug_date_start, "prior", IF(Jnl[[#This Row],[TrxDate]]&gt;debug_date_end, "post", "curr"))</f>
        <v>prior</v>
      </c>
    </row>
    <row r="382" spans="1:21">
      <c r="A382" s="11" t="s">
        <v>574</v>
      </c>
      <c r="B382" s="7">
        <f>_xlfn.XLOOKUP(Jnl[[#This Row],[TrxId]], Trx[Id], Trx[Date],,0)</f>
        <v>46053</v>
      </c>
      <c r="C382" s="7" t="str">
        <f>_xlfn.XLOOKUP(Jnl[[#This Row],[TrxId]], Trx[Id], Trx[Division],,0)</f>
        <v>Shuijie</v>
      </c>
      <c r="D382" s="7" t="str">
        <f>_xlfn.XLOOKUP(Jnl[[#This Row],[TrxId]], Trx[Id], Trx[Action],,0)</f>
        <v>入库</v>
      </c>
      <c r="E382" s="26" t="s">
        <v>82</v>
      </c>
      <c r="F382" s="11" t="s">
        <v>597</v>
      </c>
      <c r="G382" s="11" t="s">
        <v>529</v>
      </c>
      <c r="H382" s="72">
        <f>-H381</f>
        <v>-2039.33</v>
      </c>
      <c r="I382" s="5" t="b">
        <f>AND(Jnl[[#This Row],[TrxId]]&lt;&gt;"",Jnl[[#This Row],[Acct]]&lt;&gt;"",Jnl[[#This Row],[Item]]&lt;&gt;"",ISNUMBER(Jnl[[#This Row],[Bal]]))</f>
        <v>1</v>
      </c>
      <c r="J382" s="10">
        <f>IF(Jnl[[#This Row],[BSLv0]]="A",1,-1)*Jnl[[#This Row],[Bal]]</f>
        <v>-2039.33</v>
      </c>
      <c r="K382" t="str">
        <f>_xlfn.XLOOKUP(Jnl[[#This Row],[Acct]], config_BS[Acct], config_BS[Lv0],,0)</f>
        <v>A</v>
      </c>
      <c r="L382" t="str">
        <f>_xlfn.XLOOKUP(Jnl[[#This Row],[Acct]], config_BS[Acct], config_BS[Lv1],,0)</f>
        <v>Assets</v>
      </c>
      <c r="M382" t="str">
        <f>_xlfn.XLOOKUP(Jnl[[#This Row],[Acct]], config_BS[Acct], config_BS[Lv2],,0)</f>
        <v>Prep-Sub</v>
      </c>
      <c r="N382" t="str">
        <f>_xlfn.XLOOKUP(Jnl[[#This Row],[TrxId]], Trx[Id], Trx[IncNode], ,0)</f>
        <v>Cost</v>
      </c>
      <c r="O382" t="str">
        <f>_xlfn.XLOOKUP(Jnl[[#This Row],[IncNode]], config_IS[Node], config_IS[Type],,0)</f>
        <v>Op</v>
      </c>
      <c r="P382" t="str">
        <f>_xlfn.XLOOKUP(Jnl[[#This Row],[BSLv2]], dict[Key], dict[Name],,0)</f>
        <v>2.预付-订阅</v>
      </c>
      <c r="Q382" t="str">
        <f>_xlfn.XLOOKUP(Jnl[[#This Row],[Acct]], dict[Key], dict[Name],,0)</f>
        <v>员工预支</v>
      </c>
      <c r="R382" t="str">
        <f>_xlfn.XLOOKUP(Jnl[[#This Row],[Vehicle]],config_vehicle[Id], config_vehicle[Name],,0)</f>
        <v>米小易</v>
      </c>
      <c r="S382" t="str">
        <f>_xlfn.XLOOKUP(Jnl[[#This Row],[Division]],config_div[Id], config_div[Name],,0)</f>
        <v>水街店</v>
      </c>
      <c r="T382" t="str">
        <f>IF(Jnl[[#This Row],[TrxDate]]&lt;=stmt_BS_date_end, "In", "Out")</f>
        <v>In</v>
      </c>
      <c r="U382" t="str">
        <f>IF(Jnl[[#This Row],[TrxDate]]&lt;debug_date_start, "prior", IF(Jnl[[#This Row],[TrxDate]]&gt;debug_date_end, "post", "curr"))</f>
        <v>prior</v>
      </c>
    </row>
    <row r="383" spans="1:21">
      <c r="A383" s="11" t="s">
        <v>575</v>
      </c>
      <c r="B383" s="7">
        <f>_xlfn.XLOOKUP(Jnl[[#This Row],[TrxId]], Trx[Id], Trx[Date],,0)</f>
        <v>46053</v>
      </c>
      <c r="C383" s="7" t="str">
        <f>_xlfn.XLOOKUP(Jnl[[#This Row],[TrxId]], Trx[Id], Trx[Division],,0)</f>
        <v>Shuijie</v>
      </c>
      <c r="D383" s="7" t="str">
        <f>_xlfn.XLOOKUP(Jnl[[#This Row],[TrxId]], Trx[Id], Trx[Action],,0)</f>
        <v>其他材料</v>
      </c>
      <c r="E383" s="26" t="s">
        <v>82</v>
      </c>
      <c r="F383" s="11" t="s">
        <v>597</v>
      </c>
      <c r="G383" s="11" t="s">
        <v>529</v>
      </c>
      <c r="H383" s="72">
        <v>-220.3</v>
      </c>
      <c r="I383" s="5" t="b">
        <f>AND(Jnl[[#This Row],[TrxId]]&lt;&gt;"",Jnl[[#This Row],[Acct]]&lt;&gt;"",Jnl[[#This Row],[Item]]&lt;&gt;"",ISNUMBER(Jnl[[#This Row],[Bal]]))</f>
        <v>1</v>
      </c>
      <c r="J383" s="10">
        <f>IF(Jnl[[#This Row],[BSLv0]]="A",1,-1)*Jnl[[#This Row],[Bal]]</f>
        <v>-220.3</v>
      </c>
      <c r="K383" t="str">
        <f>_xlfn.XLOOKUP(Jnl[[#This Row],[Acct]], config_BS[Acct], config_BS[Lv0],,0)</f>
        <v>A</v>
      </c>
      <c r="L383" t="str">
        <f>_xlfn.XLOOKUP(Jnl[[#This Row],[Acct]], config_BS[Acct], config_BS[Lv1],,0)</f>
        <v>Assets</v>
      </c>
      <c r="M383" t="str">
        <f>_xlfn.XLOOKUP(Jnl[[#This Row],[Acct]], config_BS[Acct], config_BS[Lv2],,0)</f>
        <v>Prep-Sub</v>
      </c>
      <c r="N383" t="str">
        <f>_xlfn.XLOOKUP(Jnl[[#This Row],[TrxId]], Trx[Id], Trx[IncNode], ,0)</f>
        <v>Cost</v>
      </c>
      <c r="O383" t="str">
        <f>_xlfn.XLOOKUP(Jnl[[#This Row],[IncNode]], config_IS[Node], config_IS[Type],,0)</f>
        <v>Op</v>
      </c>
      <c r="P383" t="str">
        <f>_xlfn.XLOOKUP(Jnl[[#This Row],[BSLv2]], dict[Key], dict[Name],,0)</f>
        <v>2.预付-订阅</v>
      </c>
      <c r="Q383" t="str">
        <f>_xlfn.XLOOKUP(Jnl[[#This Row],[Acct]], dict[Key], dict[Name],,0)</f>
        <v>员工预支</v>
      </c>
      <c r="R383" t="str">
        <f>_xlfn.XLOOKUP(Jnl[[#This Row],[Vehicle]],config_vehicle[Id], config_vehicle[Name],,0)</f>
        <v>米小易</v>
      </c>
      <c r="S383" t="str">
        <f>_xlfn.XLOOKUP(Jnl[[#This Row],[Division]],config_div[Id], config_div[Name],,0)</f>
        <v>水街店</v>
      </c>
      <c r="T383" t="str">
        <f>IF(Jnl[[#This Row],[TrxDate]]&lt;=stmt_BS_date_end, "In", "Out")</f>
        <v>In</v>
      </c>
      <c r="U383" t="str">
        <f>IF(Jnl[[#This Row],[TrxDate]]&lt;debug_date_start, "prior", IF(Jnl[[#This Row],[TrxDate]]&gt;debug_date_end, "post", "curr"))</f>
        <v>prior</v>
      </c>
    </row>
    <row r="384" spans="1:21">
      <c r="A384" s="11" t="s">
        <v>576</v>
      </c>
      <c r="B384" s="7">
        <f>_xlfn.XLOOKUP(Jnl[[#This Row],[TrxId]], Trx[Id], Trx[Date],,0)</f>
        <v>46053</v>
      </c>
      <c r="C384" s="7" t="str">
        <f>_xlfn.XLOOKUP(Jnl[[#This Row],[TrxId]], Trx[Id], Trx[Division],,0)</f>
        <v>Shuijie</v>
      </c>
      <c r="D384" s="7" t="str">
        <f>_xlfn.XLOOKUP(Jnl[[#This Row],[TrxId]], Trx[Id], Trx[Action],,0)</f>
        <v>杂项</v>
      </c>
      <c r="E384" s="26" t="s">
        <v>82</v>
      </c>
      <c r="F384" s="11" t="s">
        <v>493</v>
      </c>
      <c r="G384" s="11" t="s">
        <v>428</v>
      </c>
      <c r="H384" s="72">
        <v>-2015</v>
      </c>
      <c r="I384" s="5" t="b">
        <f>AND(Jnl[[#This Row],[TrxId]]&lt;&gt;"",Jnl[[#This Row],[Acct]]&lt;&gt;"",Jnl[[#This Row],[Item]]&lt;&gt;"",ISNUMBER(Jnl[[#This Row],[Bal]]))</f>
        <v>1</v>
      </c>
      <c r="J384" s="10">
        <f>IF(Jnl[[#This Row],[BSLv0]]="A",1,-1)*Jnl[[#This Row],[Bal]]</f>
        <v>-2015</v>
      </c>
      <c r="K384" t="str">
        <f>_xlfn.XLOOKUP(Jnl[[#This Row],[Acct]], config_BS[Acct], config_BS[Lv0],,0)</f>
        <v>A</v>
      </c>
      <c r="L384" t="str">
        <f>_xlfn.XLOOKUP(Jnl[[#This Row],[Acct]], config_BS[Acct], config_BS[Lv1],,0)</f>
        <v>Assets</v>
      </c>
      <c r="M384" t="str">
        <f>_xlfn.XLOOKUP(Jnl[[#This Row],[Acct]], config_BS[Acct], config_BS[Lv2],,0)</f>
        <v>Prep-Sub</v>
      </c>
      <c r="N384" t="str">
        <f>_xlfn.XLOOKUP(Jnl[[#This Row],[TrxId]], Trx[Id], Trx[IncNode], ,0)</f>
        <v>Expense</v>
      </c>
      <c r="O384" t="str">
        <f>_xlfn.XLOOKUP(Jnl[[#This Row],[IncNode]], config_IS[Node], config_IS[Type],,0)</f>
        <v>Op</v>
      </c>
      <c r="P384" t="str">
        <f>_xlfn.XLOOKUP(Jnl[[#This Row],[BSLv2]], dict[Key], dict[Name],,0)</f>
        <v>2.预付-订阅</v>
      </c>
      <c r="Q384" t="str">
        <f>_xlfn.XLOOKUP(Jnl[[#This Row],[Acct]], dict[Key], dict[Name],,0)</f>
        <v>预付订单</v>
      </c>
      <c r="R384" t="str">
        <f>_xlfn.XLOOKUP(Jnl[[#This Row],[Vehicle]],config_vehicle[Id], config_vehicle[Name],,0)</f>
        <v>米小易</v>
      </c>
      <c r="S384" t="str">
        <f>_xlfn.XLOOKUP(Jnl[[#This Row],[Division]],config_div[Id], config_div[Name],,0)</f>
        <v>水街店</v>
      </c>
      <c r="T384" t="str">
        <f>IF(Jnl[[#This Row],[TrxDate]]&lt;=stmt_BS_date_end, "In", "Out")</f>
        <v>In</v>
      </c>
      <c r="U384" t="str">
        <f>IF(Jnl[[#This Row],[TrxDate]]&lt;debug_date_start, "prior", IF(Jnl[[#This Row],[TrxDate]]&gt;debug_date_end, "post", "curr"))</f>
        <v>prior</v>
      </c>
    </row>
    <row r="385" spans="1:21">
      <c r="A385" s="11" t="s">
        <v>577</v>
      </c>
      <c r="B385" s="7">
        <f>_xlfn.XLOOKUP(Jnl[[#This Row],[TrxId]], Trx[Id], Trx[Date],,0)</f>
        <v>46053</v>
      </c>
      <c r="C385" s="7" t="str">
        <f>_xlfn.XLOOKUP(Jnl[[#This Row],[TrxId]], Trx[Id], Trx[Division],,0)</f>
        <v>Shuijie</v>
      </c>
      <c r="D385" s="7" t="str">
        <f>_xlfn.XLOOKUP(Jnl[[#This Row],[TrxId]], Trx[Id], Trx[Action],,0)</f>
        <v>餐饮</v>
      </c>
      <c r="E385" s="26" t="s">
        <v>82</v>
      </c>
      <c r="F385" s="11" t="s">
        <v>599</v>
      </c>
      <c r="G385" s="11" t="s">
        <v>600</v>
      </c>
      <c r="H385" s="72">
        <v>3650</v>
      </c>
      <c r="I385" s="5" t="b">
        <f>AND(Jnl[[#This Row],[TrxId]]&lt;&gt;"",Jnl[[#This Row],[Acct]]&lt;&gt;"",Jnl[[#This Row],[Item]]&lt;&gt;"",ISNUMBER(Jnl[[#This Row],[Bal]]))</f>
        <v>1</v>
      </c>
      <c r="J385" s="10">
        <f>IF(Jnl[[#This Row],[BSLv0]]="A",1,-1)*Jnl[[#This Row],[Bal]]</f>
        <v>3650</v>
      </c>
      <c r="K385" t="str">
        <f>_xlfn.XLOOKUP(Jnl[[#This Row],[Acct]], config_BS[Acct], config_BS[Lv0],,0)</f>
        <v>A</v>
      </c>
      <c r="L385" t="str">
        <f>_xlfn.XLOOKUP(Jnl[[#This Row],[Acct]], config_BS[Acct], config_BS[Lv1],,0)</f>
        <v>Assets</v>
      </c>
      <c r="M385" t="str">
        <f>_xlfn.XLOOKUP(Jnl[[#This Row],[Acct]], config_BS[Acct], config_BS[Lv2],,0)</f>
        <v>Cash alike</v>
      </c>
      <c r="N385" t="str">
        <f>_xlfn.XLOOKUP(Jnl[[#This Row],[TrxId]], Trx[Id], Trx[IncNode], ,0)</f>
        <v>Revenue</v>
      </c>
      <c r="O385" t="str">
        <f>_xlfn.XLOOKUP(Jnl[[#This Row],[IncNode]], config_IS[Node], config_IS[Type],,0)</f>
        <v>Op</v>
      </c>
      <c r="P385" t="str">
        <f>_xlfn.XLOOKUP(Jnl[[#This Row],[BSLv2]], dict[Key], dict[Name],,0)</f>
        <v>0.现金及类似</v>
      </c>
      <c r="Q385" t="str">
        <f>_xlfn.XLOOKUP(Jnl[[#This Row],[Acct]], dict[Key], dict[Name],,0)</f>
        <v>物理现金</v>
      </c>
      <c r="R385" t="str">
        <f>_xlfn.XLOOKUP(Jnl[[#This Row],[Vehicle]],config_vehicle[Id], config_vehicle[Name],,0)</f>
        <v>米小易</v>
      </c>
      <c r="S385" t="str">
        <f>_xlfn.XLOOKUP(Jnl[[#This Row],[Division]],config_div[Id], config_div[Name],,0)</f>
        <v>水街店</v>
      </c>
      <c r="T385" t="str">
        <f>IF(Jnl[[#This Row],[TrxDate]]&lt;=stmt_BS_date_end, "In", "Out")</f>
        <v>In</v>
      </c>
      <c r="U385" t="str">
        <f>IF(Jnl[[#This Row],[TrxDate]]&lt;debug_date_start, "prior", IF(Jnl[[#This Row],[TrxDate]]&gt;debug_date_end, "post", "curr"))</f>
        <v>prior</v>
      </c>
    </row>
    <row r="386" spans="1:21">
      <c r="A386" s="11" t="s">
        <v>577</v>
      </c>
      <c r="B386" s="7">
        <f>_xlfn.XLOOKUP(Jnl[[#This Row],[TrxId]], Trx[Id], Trx[Date],,0)</f>
        <v>46053</v>
      </c>
      <c r="C386" s="7" t="str">
        <f>_xlfn.XLOOKUP(Jnl[[#This Row],[TrxId]], Trx[Id], Trx[Division],,0)</f>
        <v>Shuijie</v>
      </c>
      <c r="D386" s="7" t="str">
        <f>_xlfn.XLOOKUP(Jnl[[#This Row],[TrxId]], Trx[Id], Trx[Action],,0)</f>
        <v>餐饮</v>
      </c>
      <c r="E386" s="26" t="s">
        <v>82</v>
      </c>
      <c r="F386" s="11" t="s">
        <v>593</v>
      </c>
      <c r="G386" s="11" t="s">
        <v>594</v>
      </c>
      <c r="H386" s="72">
        <v>18780.21</v>
      </c>
      <c r="I386" s="5" t="b">
        <f>AND(Jnl[[#This Row],[TrxId]]&lt;&gt;"",Jnl[[#This Row],[Acct]]&lt;&gt;"",Jnl[[#This Row],[Item]]&lt;&gt;"",ISNUMBER(Jnl[[#This Row],[Bal]]))</f>
        <v>1</v>
      </c>
      <c r="J386" s="10">
        <f>IF(Jnl[[#This Row],[BSLv0]]="A",1,-1)*Jnl[[#This Row],[Bal]]</f>
        <v>18780.21</v>
      </c>
      <c r="K386" t="str">
        <f>_xlfn.XLOOKUP(Jnl[[#This Row],[Acct]], config_BS[Acct], config_BS[Lv0],,0)</f>
        <v>A</v>
      </c>
      <c r="L386" t="str">
        <f>_xlfn.XLOOKUP(Jnl[[#This Row],[Acct]], config_BS[Acct], config_BS[Lv1],,0)</f>
        <v>Assets</v>
      </c>
      <c r="M386" t="str">
        <f>_xlfn.XLOOKUP(Jnl[[#This Row],[Acct]], config_BS[Acct], config_BS[Lv2],,0)</f>
        <v>Rec-Pay</v>
      </c>
      <c r="N386" t="str">
        <f>_xlfn.XLOOKUP(Jnl[[#This Row],[TrxId]], Trx[Id], Trx[IncNode], ,0)</f>
        <v>Revenue</v>
      </c>
      <c r="O386" t="str">
        <f>_xlfn.XLOOKUP(Jnl[[#This Row],[IncNode]], config_IS[Node], config_IS[Type],,0)</f>
        <v>Op</v>
      </c>
      <c r="P386" t="str">
        <f>_xlfn.XLOOKUP(Jnl[[#This Row],[BSLv2]], dict[Key], dict[Name],,0)</f>
        <v>1.应收-应付</v>
      </c>
      <c r="Q386" t="str">
        <f>_xlfn.XLOOKUP(Jnl[[#This Row],[Acct]], dict[Key], dict[Name],,0)</f>
        <v>应收-一般</v>
      </c>
      <c r="R386" t="str">
        <f>_xlfn.XLOOKUP(Jnl[[#This Row],[Vehicle]],config_vehicle[Id], config_vehicle[Name],,0)</f>
        <v>米小易</v>
      </c>
      <c r="S386" t="str">
        <f>_xlfn.XLOOKUP(Jnl[[#This Row],[Division]],config_div[Id], config_div[Name],,0)</f>
        <v>水街店</v>
      </c>
      <c r="T386" t="str">
        <f>IF(Jnl[[#This Row],[TrxDate]]&lt;=stmt_BS_date_end, "In", "Out")</f>
        <v>In</v>
      </c>
      <c r="U386" t="str">
        <f>IF(Jnl[[#This Row],[TrxDate]]&lt;debug_date_start, "prior", IF(Jnl[[#This Row],[TrxDate]]&gt;debug_date_end, "post", "curr"))</f>
        <v>prior</v>
      </c>
    </row>
    <row r="387" spans="1:21">
      <c r="A387" s="11" t="s">
        <v>579</v>
      </c>
      <c r="B387" s="7">
        <f>_xlfn.XLOOKUP(Jnl[[#This Row],[TrxId]], Trx[Id], Trx[Date],,0)</f>
        <v>46053</v>
      </c>
      <c r="C387" s="7" t="str">
        <f>_xlfn.XLOOKUP(Jnl[[#This Row],[TrxId]], Trx[Id], Trx[Division],,0)</f>
        <v>Shuijie</v>
      </c>
      <c r="D387" s="7" t="str">
        <f>_xlfn.XLOOKUP(Jnl[[#This Row],[TrxId]], Trx[Id], Trx[Action],,0)</f>
        <v>增值税</v>
      </c>
      <c r="E387" s="26" t="s">
        <v>82</v>
      </c>
      <c r="F387" s="11" t="s">
        <v>127</v>
      </c>
      <c r="G387" s="11" t="s">
        <v>307</v>
      </c>
      <c r="H387" s="72">
        <v>4692.87</v>
      </c>
      <c r="I387" s="5" t="b">
        <f>AND(Jnl[[#This Row],[TrxId]]&lt;&gt;"",Jnl[[#This Row],[Acct]]&lt;&gt;"",Jnl[[#This Row],[Item]]&lt;&gt;"",ISNUMBER(Jnl[[#This Row],[Bal]]))</f>
        <v>1</v>
      </c>
      <c r="J387" s="10">
        <f>IF(Jnl[[#This Row],[BSLv0]]="A",1,-1)*Jnl[[#This Row],[Bal]]</f>
        <v>-4692.87</v>
      </c>
      <c r="K387" t="str">
        <f>_xlfn.XLOOKUP(Jnl[[#This Row],[Acct]], config_BS[Acct], config_BS[Lv0],,0)</f>
        <v>LC</v>
      </c>
      <c r="L387" t="str">
        <f>_xlfn.XLOOKUP(Jnl[[#This Row],[Acct]], config_BS[Acct], config_BS[Lv1],,0)</f>
        <v>Liability</v>
      </c>
      <c r="M387" t="str">
        <f>_xlfn.XLOOKUP(Jnl[[#This Row],[Acct]], config_BS[Acct], config_BS[Lv2],,0)</f>
        <v>Rec-Pay</v>
      </c>
      <c r="N387" t="str">
        <f>_xlfn.XLOOKUP(Jnl[[#This Row],[TrxId]], Trx[Id], Trx[IncNode], ,0)</f>
        <v>Cost</v>
      </c>
      <c r="O387" t="str">
        <f>_xlfn.XLOOKUP(Jnl[[#This Row],[IncNode]], config_IS[Node], config_IS[Type],,0)</f>
        <v>Op</v>
      </c>
      <c r="P387" t="str">
        <f>_xlfn.XLOOKUP(Jnl[[#This Row],[BSLv2]], dict[Key], dict[Name],,0)</f>
        <v>1.应收-应付</v>
      </c>
      <c r="Q387" t="str">
        <f>_xlfn.XLOOKUP(Jnl[[#This Row],[Acct]], dict[Key], dict[Name],,0)</f>
        <v>应付-税款</v>
      </c>
      <c r="R387" t="str">
        <f>_xlfn.XLOOKUP(Jnl[[#This Row],[Vehicle]],config_vehicle[Id], config_vehicle[Name],,0)</f>
        <v>米小易</v>
      </c>
      <c r="S387" t="str">
        <f>_xlfn.XLOOKUP(Jnl[[#This Row],[Division]],config_div[Id], config_div[Name],,0)</f>
        <v>水街店</v>
      </c>
      <c r="T387" t="str">
        <f>IF(Jnl[[#This Row],[TrxDate]]&lt;=stmt_BS_date_end, "In", "Out")</f>
        <v>In</v>
      </c>
      <c r="U387" t="str">
        <f>IF(Jnl[[#This Row],[TrxDate]]&lt;debug_date_start, "prior", IF(Jnl[[#This Row],[TrxDate]]&gt;debug_date_end, "post", "curr"))</f>
        <v>prior</v>
      </c>
    </row>
    <row r="388" spans="1:21">
      <c r="A388" s="11" t="s">
        <v>580</v>
      </c>
      <c r="B388" s="7">
        <f>_xlfn.XLOOKUP(Jnl[[#This Row],[TrxId]], Trx[Id], Trx[Date],,0)</f>
        <v>46053</v>
      </c>
      <c r="C388" s="7" t="str">
        <f>_xlfn.XLOOKUP(Jnl[[#This Row],[TrxId]], Trx[Id], Trx[Division],,0)</f>
        <v>Shuijie</v>
      </c>
      <c r="D388" s="7" t="str">
        <f>_xlfn.XLOOKUP(Jnl[[#This Row],[TrxId]], Trx[Id], Trx[Action],,0)</f>
        <v>平台费</v>
      </c>
      <c r="E388" s="26" t="s">
        <v>82</v>
      </c>
      <c r="F388" s="11" t="s">
        <v>113</v>
      </c>
      <c r="G388" s="11" t="s">
        <v>594</v>
      </c>
      <c r="H388" s="72">
        <f>-1777.9-13.81</f>
        <v>-1791.71</v>
      </c>
      <c r="I388" s="5" t="b">
        <f>AND(Jnl[[#This Row],[TrxId]]&lt;&gt;"",Jnl[[#This Row],[Acct]]&lt;&gt;"",Jnl[[#This Row],[Item]]&lt;&gt;"",ISNUMBER(Jnl[[#This Row],[Bal]]))</f>
        <v>1</v>
      </c>
      <c r="J388" s="10">
        <f>IF(Jnl[[#This Row],[BSLv0]]="A",1,-1)*Jnl[[#This Row],[Bal]]</f>
        <v>-1791.71</v>
      </c>
      <c r="K388" t="str">
        <f>_xlfn.XLOOKUP(Jnl[[#This Row],[Acct]], config_BS[Acct], config_BS[Lv0],,0)</f>
        <v>A</v>
      </c>
      <c r="L388" t="str">
        <f>_xlfn.XLOOKUP(Jnl[[#This Row],[Acct]], config_BS[Acct], config_BS[Lv1],,0)</f>
        <v>Assets</v>
      </c>
      <c r="M388" t="str">
        <f>_xlfn.XLOOKUP(Jnl[[#This Row],[Acct]], config_BS[Acct], config_BS[Lv2],,0)</f>
        <v>Rec-Pay</v>
      </c>
      <c r="N388" t="str">
        <f>_xlfn.XLOOKUP(Jnl[[#This Row],[TrxId]], Trx[Id], Trx[IncNode], ,0)</f>
        <v>Expense</v>
      </c>
      <c r="O388" t="str">
        <f>_xlfn.XLOOKUP(Jnl[[#This Row],[IncNode]], config_IS[Node], config_IS[Type],,0)</f>
        <v>Op</v>
      </c>
      <c r="P388" t="str">
        <f>_xlfn.XLOOKUP(Jnl[[#This Row],[BSLv2]], dict[Key], dict[Name],,0)</f>
        <v>1.应收-应付</v>
      </c>
      <c r="Q388" t="str">
        <f>_xlfn.XLOOKUP(Jnl[[#This Row],[Acct]], dict[Key], dict[Name],,0)</f>
        <v>应收-一般</v>
      </c>
      <c r="R388" t="str">
        <f>_xlfn.XLOOKUP(Jnl[[#This Row],[Vehicle]],config_vehicle[Id], config_vehicle[Name],,0)</f>
        <v>米小易</v>
      </c>
      <c r="S388" t="str">
        <f>_xlfn.XLOOKUP(Jnl[[#This Row],[Division]],config_div[Id], config_div[Name],,0)</f>
        <v>水街店</v>
      </c>
      <c r="T388" t="str">
        <f>IF(Jnl[[#This Row],[TrxDate]]&lt;=stmt_BS_date_end, "In", "Out")</f>
        <v>In</v>
      </c>
      <c r="U388" t="str">
        <f>IF(Jnl[[#This Row],[TrxDate]]&lt;debug_date_start, "prior", IF(Jnl[[#This Row],[TrxDate]]&gt;debug_date_end, "post", "curr"))</f>
        <v>prior</v>
      </c>
    </row>
    <row r="389" spans="1:21">
      <c r="A389" s="11" t="s">
        <v>582</v>
      </c>
      <c r="B389" s="7">
        <f>_xlfn.XLOOKUP(Jnl[[#This Row],[TrxId]], Trx[Id], Trx[Date],,0)</f>
        <v>46053</v>
      </c>
      <c r="C389" s="7" t="str">
        <f>_xlfn.XLOOKUP(Jnl[[#This Row],[TrxId]], Trx[Id], Trx[Division],,0)</f>
        <v>Shuijie</v>
      </c>
      <c r="D389" s="7" t="str">
        <f>_xlfn.XLOOKUP(Jnl[[#This Row],[TrxId]], Trx[Id], Trx[Action],,0)</f>
        <v>餐饮</v>
      </c>
      <c r="E389" s="26" t="s">
        <v>82</v>
      </c>
      <c r="F389" s="11" t="s">
        <v>113</v>
      </c>
      <c r="G389" s="11" t="s">
        <v>594</v>
      </c>
      <c r="H389" s="72">
        <f>1777.9+13.81</f>
        <v>1791.71</v>
      </c>
      <c r="I389" s="5" t="b">
        <f>AND(Jnl[[#This Row],[TrxId]]&lt;&gt;"",Jnl[[#This Row],[Acct]]&lt;&gt;"",Jnl[[#This Row],[Item]]&lt;&gt;"",ISNUMBER(Jnl[[#This Row],[Bal]]))</f>
        <v>1</v>
      </c>
      <c r="J389" s="10">
        <f>IF(Jnl[[#This Row],[BSLv0]]="A",1,-1)*Jnl[[#This Row],[Bal]]</f>
        <v>1791.71</v>
      </c>
      <c r="K389" t="str">
        <f>_xlfn.XLOOKUP(Jnl[[#This Row],[Acct]], config_BS[Acct], config_BS[Lv0],,0)</f>
        <v>A</v>
      </c>
      <c r="L389" t="str">
        <f>_xlfn.XLOOKUP(Jnl[[#This Row],[Acct]], config_BS[Acct], config_BS[Lv1],,0)</f>
        <v>Assets</v>
      </c>
      <c r="M389" t="str">
        <f>_xlfn.XLOOKUP(Jnl[[#This Row],[Acct]], config_BS[Acct], config_BS[Lv2],,0)</f>
        <v>Rec-Pay</v>
      </c>
      <c r="N389" t="str">
        <f>_xlfn.XLOOKUP(Jnl[[#This Row],[TrxId]], Trx[Id], Trx[IncNode], ,0)</f>
        <v>Revenue</v>
      </c>
      <c r="O389" t="str">
        <f>_xlfn.XLOOKUP(Jnl[[#This Row],[IncNode]], config_IS[Node], config_IS[Type],,0)</f>
        <v>Op</v>
      </c>
      <c r="P389" t="str">
        <f>_xlfn.XLOOKUP(Jnl[[#This Row],[BSLv2]], dict[Key], dict[Name],,0)</f>
        <v>1.应收-应付</v>
      </c>
      <c r="Q389" t="str">
        <f>_xlfn.XLOOKUP(Jnl[[#This Row],[Acct]], dict[Key], dict[Name],,0)</f>
        <v>应收-一般</v>
      </c>
      <c r="R389" t="str">
        <f>_xlfn.XLOOKUP(Jnl[[#This Row],[Vehicle]],config_vehicle[Id], config_vehicle[Name],,0)</f>
        <v>米小易</v>
      </c>
      <c r="S389" t="str">
        <f>_xlfn.XLOOKUP(Jnl[[#This Row],[Division]],config_div[Id], config_div[Name],,0)</f>
        <v>水街店</v>
      </c>
      <c r="T389" t="str">
        <f>IF(Jnl[[#This Row],[TrxDate]]&lt;=stmt_BS_date_end, "In", "Out")</f>
        <v>In</v>
      </c>
      <c r="U389" t="str">
        <f>IF(Jnl[[#This Row],[TrxDate]]&lt;debug_date_start, "prior", IF(Jnl[[#This Row],[TrxDate]]&gt;debug_date_end, "post", "curr"))</f>
        <v>prior</v>
      </c>
    </row>
    <row r="390" spans="1:21">
      <c r="A390" s="11" t="s">
        <v>583</v>
      </c>
      <c r="B390" s="7">
        <f>_xlfn.XLOOKUP(Jnl[[#This Row],[TrxId]], Trx[Id], Trx[Date],,0)</f>
        <v>46053</v>
      </c>
      <c r="C390" s="7" t="str">
        <f>_xlfn.XLOOKUP(Jnl[[#This Row],[TrxId]], Trx[Id], Trx[Division],,0)</f>
        <v>Shuijie</v>
      </c>
      <c r="D390" s="7" t="str">
        <f>_xlfn.XLOOKUP(Jnl[[#This Row],[TrxId]], Trx[Id], Trx[Action],,0)</f>
        <v>库存摊销</v>
      </c>
      <c r="E390" s="26" t="s">
        <v>82</v>
      </c>
      <c r="F390" s="11" t="s">
        <v>598</v>
      </c>
      <c r="G390" s="11" t="s">
        <v>152</v>
      </c>
      <c r="H390" s="72">
        <v>-2048.5</v>
      </c>
      <c r="I390" s="5" t="b">
        <f>AND(Jnl[[#This Row],[TrxId]]&lt;&gt;"",Jnl[[#This Row],[Acct]]&lt;&gt;"",Jnl[[#This Row],[Item]]&lt;&gt;"",ISNUMBER(Jnl[[#This Row],[Bal]]))</f>
        <v>1</v>
      </c>
      <c r="J390" s="10">
        <f>IF(Jnl[[#This Row],[BSLv0]]="A",1,-1)*Jnl[[#This Row],[Bal]]</f>
        <v>-2048.5</v>
      </c>
      <c r="K390" t="str">
        <f>_xlfn.XLOOKUP(Jnl[[#This Row],[Acct]], config_BS[Acct], config_BS[Lv0],,0)</f>
        <v>A</v>
      </c>
      <c r="L390" t="str">
        <f>_xlfn.XLOOKUP(Jnl[[#This Row],[Acct]], config_BS[Acct], config_BS[Lv1],,0)</f>
        <v>Assets</v>
      </c>
      <c r="M390" t="str">
        <f>_xlfn.XLOOKUP(Jnl[[#This Row],[Acct]], config_BS[Acct], config_BS[Lv2],,0)</f>
        <v>Invtr</v>
      </c>
      <c r="N390" t="str">
        <f>_xlfn.XLOOKUP(Jnl[[#This Row],[TrxId]], Trx[Id], Trx[IncNode], ,0)</f>
        <v>Cost</v>
      </c>
      <c r="O390" t="str">
        <f>_xlfn.XLOOKUP(Jnl[[#This Row],[IncNode]], config_IS[Node], config_IS[Type],,0)</f>
        <v>Op</v>
      </c>
      <c r="P390" t="str">
        <f>_xlfn.XLOOKUP(Jnl[[#This Row],[BSLv2]], dict[Key], dict[Name],,0)</f>
        <v>3.库存占款</v>
      </c>
      <c r="Q390" t="str">
        <f>_xlfn.XLOOKUP(Jnl[[#This Row],[Acct]], dict[Key], dict[Name],,0)</f>
        <v>当期存货</v>
      </c>
      <c r="R390" t="str">
        <f>_xlfn.XLOOKUP(Jnl[[#This Row],[Vehicle]],config_vehicle[Id], config_vehicle[Name],,0)</f>
        <v>米小易</v>
      </c>
      <c r="S390" t="str">
        <f>_xlfn.XLOOKUP(Jnl[[#This Row],[Division]],config_div[Id], config_div[Name],,0)</f>
        <v>水街店</v>
      </c>
      <c r="T390" t="str">
        <f>IF(Jnl[[#This Row],[TrxDate]]&lt;=stmt_BS_date_end, "In", "Out")</f>
        <v>In</v>
      </c>
      <c r="U390" t="str">
        <f>IF(Jnl[[#This Row],[TrxDate]]&lt;debug_date_start, "prior", IF(Jnl[[#This Row],[TrxDate]]&gt;debug_date_end, "post", "curr"))</f>
        <v>prior</v>
      </c>
    </row>
    <row r="391" spans="1:21">
      <c r="A391" s="11" t="s">
        <v>584</v>
      </c>
      <c r="B391" s="7">
        <f>_xlfn.XLOOKUP(Jnl[[#This Row],[TrxId]], Trx[Id], Trx[Date],,0)</f>
        <v>46053</v>
      </c>
      <c r="C391" s="7" t="str">
        <f>_xlfn.XLOOKUP(Jnl[[#This Row],[TrxId]], Trx[Id], Trx[Division],,0)</f>
        <v>GM</v>
      </c>
      <c r="D391" s="7" t="str">
        <f>_xlfn.XLOOKUP(Jnl[[#This Row],[TrxId]], Trx[Id], Trx[Action],,0)</f>
        <v>薪酬-工资</v>
      </c>
      <c r="E391" s="26" t="s">
        <v>82</v>
      </c>
      <c r="F391" s="11" t="s">
        <v>596</v>
      </c>
      <c r="G391" s="11" t="s">
        <v>149</v>
      </c>
      <c r="H391" s="72">
        <v>10923.39</v>
      </c>
      <c r="I391" s="5" t="b">
        <f>AND(Jnl[[#This Row],[TrxId]]&lt;&gt;"",Jnl[[#This Row],[Acct]]&lt;&gt;"",Jnl[[#This Row],[Item]]&lt;&gt;"",ISNUMBER(Jnl[[#This Row],[Bal]]))</f>
        <v>1</v>
      </c>
      <c r="J391" s="10">
        <f>IF(Jnl[[#This Row],[BSLv0]]="A",1,-1)*Jnl[[#This Row],[Bal]]</f>
        <v>-10923.39</v>
      </c>
      <c r="K391" t="str">
        <f>_xlfn.XLOOKUP(Jnl[[#This Row],[Acct]], config_BS[Acct], config_BS[Lv0],,0)</f>
        <v>LC</v>
      </c>
      <c r="L391" t="str">
        <f>_xlfn.XLOOKUP(Jnl[[#This Row],[Acct]], config_BS[Acct], config_BS[Lv1],,0)</f>
        <v>Liability</v>
      </c>
      <c r="M391" t="str">
        <f>_xlfn.XLOOKUP(Jnl[[#This Row],[Acct]], config_BS[Acct], config_BS[Lv2],,0)</f>
        <v>Rec-Pay</v>
      </c>
      <c r="N391" t="str">
        <f>_xlfn.XLOOKUP(Jnl[[#This Row],[TrxId]], Trx[Id], Trx[IncNode], ,0)</f>
        <v>Expense</v>
      </c>
      <c r="O391" t="str">
        <f>_xlfn.XLOOKUP(Jnl[[#This Row],[IncNode]], config_IS[Node], config_IS[Type],,0)</f>
        <v>Op</v>
      </c>
      <c r="P391" t="str">
        <f>_xlfn.XLOOKUP(Jnl[[#This Row],[BSLv2]], dict[Key], dict[Name],,0)</f>
        <v>1.应收-应付</v>
      </c>
      <c r="Q391" t="str">
        <f>_xlfn.XLOOKUP(Jnl[[#This Row],[Acct]], dict[Key], dict[Name],,0)</f>
        <v>应付-薪资</v>
      </c>
      <c r="R391" t="str">
        <f>_xlfn.XLOOKUP(Jnl[[#This Row],[Vehicle]],config_vehicle[Id], config_vehicle[Name],,0)</f>
        <v>米小易</v>
      </c>
      <c r="S391" t="str">
        <f>_xlfn.XLOOKUP(Jnl[[#This Row],[Division]],config_div[Id], config_div[Name],,0)</f>
        <v>综合管理</v>
      </c>
      <c r="T391" t="str">
        <f>IF(Jnl[[#This Row],[TrxDate]]&lt;=stmt_BS_date_end, "In", "Out")</f>
        <v>In</v>
      </c>
      <c r="U391" t="str">
        <f>IF(Jnl[[#This Row],[TrxDate]]&lt;debug_date_start, "prior", IF(Jnl[[#This Row],[TrxDate]]&gt;debug_date_end, "post", "curr"))</f>
        <v>prior</v>
      </c>
    </row>
    <row r="392" spans="1:21">
      <c r="A392" s="11" t="s">
        <v>1329</v>
      </c>
      <c r="B392" s="7">
        <f>_xlfn.XLOOKUP(Jnl[[#This Row],[TrxId]], Trx[Id], Trx[Date],,0)</f>
        <v>46053</v>
      </c>
      <c r="C392" s="7" t="str">
        <f>_xlfn.XLOOKUP(Jnl[[#This Row],[TrxId]], Trx[Id], Trx[Division],,0)</f>
        <v>Shuijie</v>
      </c>
      <c r="D392" s="7" t="str">
        <f>_xlfn.XLOOKUP(Jnl[[#This Row],[TrxId]], Trx[Id], Trx[Action],,0)</f>
        <v>薪酬-工资</v>
      </c>
      <c r="E392" s="26" t="s">
        <v>82</v>
      </c>
      <c r="F392" s="11" t="s">
        <v>596</v>
      </c>
      <c r="G392" s="11" t="s">
        <v>149</v>
      </c>
      <c r="H392" s="72">
        <v>135867.84</v>
      </c>
      <c r="I392" s="5" t="b">
        <f>AND(Jnl[[#This Row],[TrxId]]&lt;&gt;"",Jnl[[#This Row],[Acct]]&lt;&gt;"",Jnl[[#This Row],[Item]]&lt;&gt;"",ISNUMBER(Jnl[[#This Row],[Bal]]))</f>
        <v>1</v>
      </c>
      <c r="J392" s="10">
        <f>IF(Jnl[[#This Row],[BSLv0]]="A",1,-1)*Jnl[[#This Row],[Bal]]</f>
        <v>-135867.84</v>
      </c>
      <c r="K392" t="str">
        <f>_xlfn.XLOOKUP(Jnl[[#This Row],[Acct]], config_BS[Acct], config_BS[Lv0],,0)</f>
        <v>LC</v>
      </c>
      <c r="L392" t="str">
        <f>_xlfn.XLOOKUP(Jnl[[#This Row],[Acct]], config_BS[Acct], config_BS[Lv1],,0)</f>
        <v>Liability</v>
      </c>
      <c r="M392" t="str">
        <f>_xlfn.XLOOKUP(Jnl[[#This Row],[Acct]], config_BS[Acct], config_BS[Lv2],,0)</f>
        <v>Rec-Pay</v>
      </c>
      <c r="N392" t="str">
        <f>_xlfn.XLOOKUP(Jnl[[#This Row],[TrxId]], Trx[Id], Trx[IncNode], ,0)</f>
        <v>Expense</v>
      </c>
      <c r="O392" t="str">
        <f>_xlfn.XLOOKUP(Jnl[[#This Row],[IncNode]], config_IS[Node], config_IS[Type],,0)</f>
        <v>Op</v>
      </c>
      <c r="P392" t="str">
        <f>_xlfn.XLOOKUP(Jnl[[#This Row],[BSLv2]], dict[Key], dict[Name],,0)</f>
        <v>1.应收-应付</v>
      </c>
      <c r="Q392" t="str">
        <f>_xlfn.XLOOKUP(Jnl[[#This Row],[Acct]], dict[Key], dict[Name],,0)</f>
        <v>应付-薪资</v>
      </c>
      <c r="R392" t="str">
        <f>_xlfn.XLOOKUP(Jnl[[#This Row],[Vehicle]],config_vehicle[Id], config_vehicle[Name],,0)</f>
        <v>米小易</v>
      </c>
      <c r="S392" t="str">
        <f>_xlfn.XLOOKUP(Jnl[[#This Row],[Division]],config_div[Id], config_div[Name],,0)</f>
        <v>水街店</v>
      </c>
      <c r="T392" t="str">
        <f>IF(Jnl[[#This Row],[TrxDate]]&lt;=stmt_BS_date_end, "In", "Out")</f>
        <v>In</v>
      </c>
      <c r="U392" t="str">
        <f>IF(Jnl[[#This Row],[TrxDate]]&lt;debug_date_start, "prior", IF(Jnl[[#This Row],[TrxDate]]&gt;debug_date_end, "post", "curr"))</f>
        <v>prior</v>
      </c>
    </row>
    <row r="393" spans="1:21">
      <c r="A393" s="11" t="s">
        <v>586</v>
      </c>
      <c r="B393" s="7">
        <f>_xlfn.XLOOKUP(Jnl[[#This Row],[TrxId]], Trx[Id], Trx[Date],,0)</f>
        <v>46053</v>
      </c>
      <c r="C393" s="7" t="str">
        <f>_xlfn.XLOOKUP(Jnl[[#This Row],[TrxId]], Trx[Id], Trx[Division],,0)</f>
        <v>Ctrl</v>
      </c>
      <c r="D393" s="7" t="str">
        <f>_xlfn.XLOOKUP(Jnl[[#This Row],[TrxId]], Trx[Id], Trx[Action],,0)</f>
        <v>计提税金</v>
      </c>
      <c r="E393" s="26" t="s">
        <v>82</v>
      </c>
      <c r="F393" s="11" t="s">
        <v>127</v>
      </c>
      <c r="G393" s="11" t="s">
        <v>348</v>
      </c>
      <c r="H393" s="72">
        <v>281.69</v>
      </c>
      <c r="I393" s="5" t="b">
        <f>AND(Jnl[[#This Row],[TrxId]]&lt;&gt;"",Jnl[[#This Row],[Acct]]&lt;&gt;"",Jnl[[#This Row],[Item]]&lt;&gt;"",ISNUMBER(Jnl[[#This Row],[Bal]]))</f>
        <v>1</v>
      </c>
      <c r="J393" s="10">
        <f>IF(Jnl[[#This Row],[BSLv0]]="A",1,-1)*Jnl[[#This Row],[Bal]]</f>
        <v>-281.69</v>
      </c>
      <c r="K393" t="str">
        <f>_xlfn.XLOOKUP(Jnl[[#This Row],[Acct]], config_BS[Acct], config_BS[Lv0],,0)</f>
        <v>LC</v>
      </c>
      <c r="L393" t="str">
        <f>_xlfn.XLOOKUP(Jnl[[#This Row],[Acct]], config_BS[Acct], config_BS[Lv1],,0)</f>
        <v>Liability</v>
      </c>
      <c r="M393" t="str">
        <f>_xlfn.XLOOKUP(Jnl[[#This Row],[Acct]], config_BS[Acct], config_BS[Lv2],,0)</f>
        <v>Rec-Pay</v>
      </c>
      <c r="N393" t="str">
        <f>_xlfn.XLOOKUP(Jnl[[#This Row],[TrxId]], Trx[Id], Trx[IncNode], ,0)</f>
        <v>Expense</v>
      </c>
      <c r="O393" t="str">
        <f>_xlfn.XLOOKUP(Jnl[[#This Row],[IncNode]], config_IS[Node], config_IS[Type],,0)</f>
        <v>Op</v>
      </c>
      <c r="P393" t="str">
        <f>_xlfn.XLOOKUP(Jnl[[#This Row],[BSLv2]], dict[Key], dict[Name],,0)</f>
        <v>1.应收-应付</v>
      </c>
      <c r="Q393" t="str">
        <f>_xlfn.XLOOKUP(Jnl[[#This Row],[Acct]], dict[Key], dict[Name],,0)</f>
        <v>应付-税款</v>
      </c>
      <c r="R393" t="str">
        <f>_xlfn.XLOOKUP(Jnl[[#This Row],[Vehicle]],config_vehicle[Id], config_vehicle[Name],,0)</f>
        <v>米小易</v>
      </c>
      <c r="S393" t="str">
        <f>_xlfn.XLOOKUP(Jnl[[#This Row],[Division]],config_div[Id], config_div[Name],,0)</f>
        <v>内控合规</v>
      </c>
      <c r="T393" t="str">
        <f>IF(Jnl[[#This Row],[TrxDate]]&lt;=stmt_BS_date_end, "In", "Out")</f>
        <v>In</v>
      </c>
      <c r="U393" t="str">
        <f>IF(Jnl[[#This Row],[TrxDate]]&lt;debug_date_start, "prior", IF(Jnl[[#This Row],[TrxDate]]&gt;debug_date_end, "post", "curr"))</f>
        <v>prior</v>
      </c>
    </row>
    <row r="394" spans="1:21">
      <c r="A394" s="11" t="s">
        <v>586</v>
      </c>
      <c r="B394" s="7">
        <f>_xlfn.XLOOKUP(Jnl[[#This Row],[TrxId]], Trx[Id], Trx[Date],,0)</f>
        <v>46053</v>
      </c>
      <c r="C394" s="7" t="str">
        <f>_xlfn.XLOOKUP(Jnl[[#This Row],[TrxId]], Trx[Id], Trx[Division],,0)</f>
        <v>Ctrl</v>
      </c>
      <c r="D394" s="7" t="str">
        <f>_xlfn.XLOOKUP(Jnl[[#This Row],[TrxId]], Trx[Id], Trx[Action],,0)</f>
        <v>计提税金</v>
      </c>
      <c r="E394" s="26" t="s">
        <v>82</v>
      </c>
      <c r="F394" s="11" t="s">
        <v>127</v>
      </c>
      <c r="G394" s="11" t="s">
        <v>349</v>
      </c>
      <c r="H394" s="72">
        <v>22.66</v>
      </c>
      <c r="I394" s="5" t="b">
        <f>AND(Jnl[[#This Row],[TrxId]]&lt;&gt;"",Jnl[[#This Row],[Acct]]&lt;&gt;"",Jnl[[#This Row],[Item]]&lt;&gt;"",ISNUMBER(Jnl[[#This Row],[Bal]]))</f>
        <v>1</v>
      </c>
      <c r="J394" s="10">
        <f>IF(Jnl[[#This Row],[BSLv0]]="A",1,-1)*Jnl[[#This Row],[Bal]]</f>
        <v>-22.66</v>
      </c>
      <c r="K394" t="str">
        <f>_xlfn.XLOOKUP(Jnl[[#This Row],[Acct]], config_BS[Acct], config_BS[Lv0],,0)</f>
        <v>LC</v>
      </c>
      <c r="L394" t="str">
        <f>_xlfn.XLOOKUP(Jnl[[#This Row],[Acct]], config_BS[Acct], config_BS[Lv1],,0)</f>
        <v>Liability</v>
      </c>
      <c r="M394" t="str">
        <f>_xlfn.XLOOKUP(Jnl[[#This Row],[Acct]], config_BS[Acct], config_BS[Lv2],,0)</f>
        <v>Rec-Pay</v>
      </c>
      <c r="N394" t="str">
        <f>_xlfn.XLOOKUP(Jnl[[#This Row],[TrxId]], Trx[Id], Trx[IncNode], ,0)</f>
        <v>Expense</v>
      </c>
      <c r="O394" t="str">
        <f>_xlfn.XLOOKUP(Jnl[[#This Row],[IncNode]], config_IS[Node], config_IS[Type],,0)</f>
        <v>Op</v>
      </c>
      <c r="P394" t="str">
        <f>_xlfn.XLOOKUP(Jnl[[#This Row],[BSLv2]], dict[Key], dict[Name],,0)</f>
        <v>1.应收-应付</v>
      </c>
      <c r="Q394" t="str">
        <f>_xlfn.XLOOKUP(Jnl[[#This Row],[Acct]], dict[Key], dict[Name],,0)</f>
        <v>应付-税款</v>
      </c>
      <c r="R394" t="str">
        <f>_xlfn.XLOOKUP(Jnl[[#This Row],[Vehicle]],config_vehicle[Id], config_vehicle[Name],,0)</f>
        <v>米小易</v>
      </c>
      <c r="S394" t="str">
        <f>_xlfn.XLOOKUP(Jnl[[#This Row],[Division]],config_div[Id], config_div[Name],,0)</f>
        <v>内控合规</v>
      </c>
      <c r="T394" t="str">
        <f>IF(Jnl[[#This Row],[TrxDate]]&lt;=stmt_BS_date_end, "In", "Out")</f>
        <v>In</v>
      </c>
      <c r="U394" t="str">
        <f>IF(Jnl[[#This Row],[TrxDate]]&lt;debug_date_start, "prior", IF(Jnl[[#This Row],[TrxDate]]&gt;debug_date_end, "post", "curr"))</f>
        <v>prior</v>
      </c>
    </row>
    <row r="395" spans="1:21">
      <c r="A395" s="11" t="s">
        <v>586</v>
      </c>
      <c r="B395" s="7">
        <f>_xlfn.XLOOKUP(Jnl[[#This Row],[TrxId]], Trx[Id], Trx[Date],,0)</f>
        <v>46053</v>
      </c>
      <c r="C395" s="7" t="str">
        <f>_xlfn.XLOOKUP(Jnl[[#This Row],[TrxId]], Trx[Id], Trx[Division],,0)</f>
        <v>Ctrl</v>
      </c>
      <c r="D395" s="7" t="str">
        <f>_xlfn.XLOOKUP(Jnl[[#This Row],[TrxId]], Trx[Id], Trx[Action],,0)</f>
        <v>计提税金</v>
      </c>
      <c r="E395" s="26" t="s">
        <v>82</v>
      </c>
      <c r="F395" s="11" t="s">
        <v>127</v>
      </c>
      <c r="G395" s="11" t="s">
        <v>347</v>
      </c>
      <c r="H395" s="72">
        <v>1388.48</v>
      </c>
      <c r="I395" s="5" t="b">
        <f>AND(Jnl[[#This Row],[TrxId]]&lt;&gt;"",Jnl[[#This Row],[Acct]]&lt;&gt;"",Jnl[[#This Row],[Item]]&lt;&gt;"",ISNUMBER(Jnl[[#This Row],[Bal]]))</f>
        <v>1</v>
      </c>
      <c r="J395" s="10">
        <f>IF(Jnl[[#This Row],[BSLv0]]="A",1,-1)*Jnl[[#This Row],[Bal]]</f>
        <v>-1388.48</v>
      </c>
      <c r="K395" t="str">
        <f>_xlfn.XLOOKUP(Jnl[[#This Row],[Acct]], config_BS[Acct], config_BS[Lv0],,0)</f>
        <v>LC</v>
      </c>
      <c r="L395" t="str">
        <f>_xlfn.XLOOKUP(Jnl[[#This Row],[Acct]], config_BS[Acct], config_BS[Lv1],,0)</f>
        <v>Liability</v>
      </c>
      <c r="M395" t="str">
        <f>_xlfn.XLOOKUP(Jnl[[#This Row],[Acct]], config_BS[Acct], config_BS[Lv2],,0)</f>
        <v>Rec-Pay</v>
      </c>
      <c r="N395" t="str">
        <f>_xlfn.XLOOKUP(Jnl[[#This Row],[TrxId]], Trx[Id], Trx[IncNode], ,0)</f>
        <v>Expense</v>
      </c>
      <c r="O395" t="str">
        <f>_xlfn.XLOOKUP(Jnl[[#This Row],[IncNode]], config_IS[Node], config_IS[Type],,0)</f>
        <v>Op</v>
      </c>
      <c r="P395" t="str">
        <f>_xlfn.XLOOKUP(Jnl[[#This Row],[BSLv2]], dict[Key], dict[Name],,0)</f>
        <v>1.应收-应付</v>
      </c>
      <c r="Q395" t="str">
        <f>_xlfn.XLOOKUP(Jnl[[#This Row],[Acct]], dict[Key], dict[Name],,0)</f>
        <v>应付-税款</v>
      </c>
      <c r="R395" t="str">
        <f>_xlfn.XLOOKUP(Jnl[[#This Row],[Vehicle]],config_vehicle[Id], config_vehicle[Name],,0)</f>
        <v>米小易</v>
      </c>
      <c r="S395" t="str">
        <f>_xlfn.XLOOKUP(Jnl[[#This Row],[Division]],config_div[Id], config_div[Name],,0)</f>
        <v>内控合规</v>
      </c>
      <c r="T395" t="str">
        <f>IF(Jnl[[#This Row],[TrxDate]]&lt;=stmt_BS_date_end, "In", "Out")</f>
        <v>In</v>
      </c>
      <c r="U395" t="str">
        <f>IF(Jnl[[#This Row],[TrxDate]]&lt;debug_date_start, "prior", IF(Jnl[[#This Row],[TrxDate]]&gt;debug_date_end, "post", "curr"))</f>
        <v>prior</v>
      </c>
    </row>
    <row r="396" spans="1:21">
      <c r="A396" s="11" t="s">
        <v>587</v>
      </c>
      <c r="B396" s="7">
        <f>_xlfn.XLOOKUP(Jnl[[#This Row],[TrxId]], Trx[Id], Trx[Date],,0)</f>
        <v>46053</v>
      </c>
      <c r="C396" s="7" t="str">
        <f>_xlfn.XLOOKUP(Jnl[[#This Row],[TrxId]], Trx[Id], Trx[Division],,0)</f>
        <v>GM</v>
      </c>
      <c r="D396" s="7" t="str">
        <f>_xlfn.XLOOKUP(Jnl[[#This Row],[TrxId]], Trx[Id], Trx[Action],,0)</f>
        <v>年终奖</v>
      </c>
      <c r="E396" s="26" t="s">
        <v>82</v>
      </c>
      <c r="F396" s="11" t="s">
        <v>596</v>
      </c>
      <c r="G396" s="11" t="s">
        <v>318</v>
      </c>
      <c r="H396" s="72">
        <v>88450.01</v>
      </c>
      <c r="I396" s="5" t="b">
        <f>AND(Jnl[[#This Row],[TrxId]]&lt;&gt;"",Jnl[[#This Row],[Acct]]&lt;&gt;"",Jnl[[#This Row],[Item]]&lt;&gt;"",ISNUMBER(Jnl[[#This Row],[Bal]]))</f>
        <v>1</v>
      </c>
      <c r="J396" s="10">
        <f>IF(Jnl[[#This Row],[BSLv0]]="A",1,-1)*Jnl[[#This Row],[Bal]]</f>
        <v>-88450.01</v>
      </c>
      <c r="K396" t="str">
        <f>_xlfn.XLOOKUP(Jnl[[#This Row],[Acct]], config_BS[Acct], config_BS[Lv0],,0)</f>
        <v>LC</v>
      </c>
      <c r="L396" t="str">
        <f>_xlfn.XLOOKUP(Jnl[[#This Row],[Acct]], config_BS[Acct], config_BS[Lv1],,0)</f>
        <v>Liability</v>
      </c>
      <c r="M396" t="str">
        <f>_xlfn.XLOOKUP(Jnl[[#This Row],[Acct]], config_BS[Acct], config_BS[Lv2],,0)</f>
        <v>Rec-Pay</v>
      </c>
      <c r="N396" t="str">
        <f>_xlfn.XLOOKUP(Jnl[[#This Row],[TrxId]], Trx[Id], Trx[IncNode], ,0)</f>
        <v>Discretion</v>
      </c>
      <c r="O396" t="str">
        <f>_xlfn.XLOOKUP(Jnl[[#This Row],[IncNode]], config_IS[Node], config_IS[Type],,0)</f>
        <v>Non-Op</v>
      </c>
      <c r="P396" t="str">
        <f>_xlfn.XLOOKUP(Jnl[[#This Row],[BSLv2]], dict[Key], dict[Name],,0)</f>
        <v>1.应收-应付</v>
      </c>
      <c r="Q396" t="str">
        <f>_xlfn.XLOOKUP(Jnl[[#This Row],[Acct]], dict[Key], dict[Name],,0)</f>
        <v>应付-薪资</v>
      </c>
      <c r="R396" t="str">
        <f>_xlfn.XLOOKUP(Jnl[[#This Row],[Vehicle]],config_vehicle[Id], config_vehicle[Name],,0)</f>
        <v>米小易</v>
      </c>
      <c r="S396" t="str">
        <f>_xlfn.XLOOKUP(Jnl[[#This Row],[Division]],config_div[Id], config_div[Name],,0)</f>
        <v>综合管理</v>
      </c>
      <c r="T396" t="str">
        <f>IF(Jnl[[#This Row],[TrxDate]]&lt;=stmt_BS_date_end, "In", "Out")</f>
        <v>In</v>
      </c>
      <c r="U396" t="str">
        <f>IF(Jnl[[#This Row],[TrxDate]]&lt;debug_date_start, "prior", IF(Jnl[[#This Row],[TrxDate]]&gt;debug_date_end, "post", "curr"))</f>
        <v>prior</v>
      </c>
    </row>
    <row r="397" spans="1:21">
      <c r="A397" s="11" t="s">
        <v>588</v>
      </c>
      <c r="B397" s="7">
        <f>_xlfn.XLOOKUP(Jnl[[#This Row],[TrxId]], Trx[Id], Trx[Date],,0)</f>
        <v>46053</v>
      </c>
      <c r="C397" s="7" t="str">
        <f>_xlfn.XLOOKUP(Jnl[[#This Row],[TrxId]], Trx[Id], Trx[Division],,0)</f>
        <v>Shuijie</v>
      </c>
      <c r="D397" s="7" t="str">
        <f>_xlfn.XLOOKUP(Jnl[[#This Row],[TrxId]], Trx[Id], Trx[Action],,0)</f>
        <v>收款</v>
      </c>
      <c r="E397" s="26" t="s">
        <v>81</v>
      </c>
      <c r="F397" s="11" t="s">
        <v>593</v>
      </c>
      <c r="G397" s="11" t="s">
        <v>594</v>
      </c>
      <c r="H397" s="72">
        <v>-18526.13</v>
      </c>
      <c r="I397" s="5" t="b">
        <f>AND(Jnl[[#This Row],[TrxId]]&lt;&gt;"",Jnl[[#This Row],[Acct]]&lt;&gt;"",Jnl[[#This Row],[Item]]&lt;&gt;"",ISNUMBER(Jnl[[#This Row],[Bal]]))</f>
        <v>1</v>
      </c>
      <c r="J397" s="10">
        <f>IF(Jnl[[#This Row],[BSLv0]]="A",1,-1)*Jnl[[#This Row],[Bal]]</f>
        <v>-18526.13</v>
      </c>
      <c r="K397" t="str">
        <f>_xlfn.XLOOKUP(Jnl[[#This Row],[Acct]], config_BS[Acct], config_BS[Lv0],,0)</f>
        <v>A</v>
      </c>
      <c r="L397" t="str">
        <f>_xlfn.XLOOKUP(Jnl[[#This Row],[Acct]], config_BS[Acct], config_BS[Lv1],,0)</f>
        <v>Assets</v>
      </c>
      <c r="M397" t="str">
        <f>_xlfn.XLOOKUP(Jnl[[#This Row],[Acct]], config_BS[Acct], config_BS[Lv2],,0)</f>
        <v>Rec-Pay</v>
      </c>
      <c r="N397" t="str">
        <f>_xlfn.XLOOKUP(Jnl[[#This Row],[TrxId]], Trx[Id], Trx[IncNode], ,0)</f>
        <v>Revenue</v>
      </c>
      <c r="O397" t="str">
        <f>_xlfn.XLOOKUP(Jnl[[#This Row],[IncNode]], config_IS[Node], config_IS[Type],,0)</f>
        <v>Op</v>
      </c>
      <c r="P397" t="str">
        <f>_xlfn.XLOOKUP(Jnl[[#This Row],[BSLv2]], dict[Key], dict[Name],,0)</f>
        <v>1.应收-应付</v>
      </c>
      <c r="Q397" t="str">
        <f>_xlfn.XLOOKUP(Jnl[[#This Row],[Acct]], dict[Key], dict[Name],,0)</f>
        <v>应收-一般</v>
      </c>
      <c r="R397" t="str">
        <f>_xlfn.XLOOKUP(Jnl[[#This Row],[Vehicle]],config_vehicle[Id], config_vehicle[Name],,0)</f>
        <v>喜家文化</v>
      </c>
      <c r="S397" t="str">
        <f>_xlfn.XLOOKUP(Jnl[[#This Row],[Division]],config_div[Id], config_div[Name],,0)</f>
        <v>水街店</v>
      </c>
      <c r="T397" t="str">
        <f>IF(Jnl[[#This Row],[TrxDate]]&lt;=stmt_BS_date_end, "In", "Out")</f>
        <v>In</v>
      </c>
      <c r="U397" t="str">
        <f>IF(Jnl[[#This Row],[TrxDate]]&lt;debug_date_start, "prior", IF(Jnl[[#This Row],[TrxDate]]&gt;debug_date_end, "post", "curr"))</f>
        <v>prior</v>
      </c>
    </row>
    <row r="398" spans="1:21">
      <c r="A398" s="11" t="s">
        <v>588</v>
      </c>
      <c r="B398" s="7">
        <f>_xlfn.XLOOKUP(Jnl[[#This Row],[TrxId]], Trx[Id], Trx[Date],,0)</f>
        <v>46053</v>
      </c>
      <c r="C398" s="7" t="str">
        <f>_xlfn.XLOOKUP(Jnl[[#This Row],[TrxId]], Trx[Id], Trx[Division],,0)</f>
        <v>Shuijie</v>
      </c>
      <c r="D398" s="7" t="str">
        <f>_xlfn.XLOOKUP(Jnl[[#This Row],[TrxId]], Trx[Id], Trx[Action],,0)</f>
        <v>收款</v>
      </c>
      <c r="E398" s="26" t="s">
        <v>81</v>
      </c>
      <c r="F398" s="11" t="s">
        <v>590</v>
      </c>
      <c r="G398" s="11" t="s">
        <v>392</v>
      </c>
      <c r="H398" s="72">
        <v>18526.13</v>
      </c>
      <c r="I398" s="5" t="b">
        <f>AND(Jnl[[#This Row],[TrxId]]&lt;&gt;"",Jnl[[#This Row],[Acct]]&lt;&gt;"",Jnl[[#This Row],[Item]]&lt;&gt;"",ISNUMBER(Jnl[[#This Row],[Bal]]))</f>
        <v>1</v>
      </c>
      <c r="J398" s="10">
        <f>IF(Jnl[[#This Row],[BSLv0]]="A",1,-1)*Jnl[[#This Row],[Bal]]</f>
        <v>18526.13</v>
      </c>
      <c r="K398" t="str">
        <f>_xlfn.XLOOKUP(Jnl[[#This Row],[Acct]], config_BS[Acct], config_BS[Lv0],,0)</f>
        <v>A</v>
      </c>
      <c r="L398" t="str">
        <f>_xlfn.XLOOKUP(Jnl[[#This Row],[Acct]], config_BS[Acct], config_BS[Lv1],,0)</f>
        <v>Assets</v>
      </c>
      <c r="M398" t="str">
        <f>_xlfn.XLOOKUP(Jnl[[#This Row],[Acct]], config_BS[Acct], config_BS[Lv2],,0)</f>
        <v>Cash alike</v>
      </c>
      <c r="N398" t="str">
        <f>_xlfn.XLOOKUP(Jnl[[#This Row],[TrxId]], Trx[Id], Trx[IncNode], ,0)</f>
        <v>Revenue</v>
      </c>
      <c r="O398" t="str">
        <f>_xlfn.XLOOKUP(Jnl[[#This Row],[IncNode]], config_IS[Node], config_IS[Type],,0)</f>
        <v>Op</v>
      </c>
      <c r="P398" t="str">
        <f>_xlfn.XLOOKUP(Jnl[[#This Row],[BSLv2]], dict[Key], dict[Name],,0)</f>
        <v>0.现金及类似</v>
      </c>
      <c r="Q398" t="str">
        <f>_xlfn.XLOOKUP(Jnl[[#This Row],[Acct]], dict[Key], dict[Name],,0)</f>
        <v>银行</v>
      </c>
      <c r="R398" t="str">
        <f>_xlfn.XLOOKUP(Jnl[[#This Row],[Vehicle]],config_vehicle[Id], config_vehicle[Name],,0)</f>
        <v>喜家文化</v>
      </c>
      <c r="S398" t="str">
        <f>_xlfn.XLOOKUP(Jnl[[#This Row],[Division]],config_div[Id], config_div[Name],,0)</f>
        <v>水街店</v>
      </c>
      <c r="T398" t="str">
        <f>IF(Jnl[[#This Row],[TrxDate]]&lt;=stmt_BS_date_end, "In", "Out")</f>
        <v>In</v>
      </c>
      <c r="U398" t="str">
        <f>IF(Jnl[[#This Row],[TrxDate]]&lt;debug_date_start, "prior", IF(Jnl[[#This Row],[TrxDate]]&gt;debug_date_end, "post", "curr"))</f>
        <v>prior</v>
      </c>
    </row>
    <row r="399" spans="1:21">
      <c r="A399" s="11" t="s">
        <v>1285</v>
      </c>
      <c r="B399" s="7">
        <f>_xlfn.XLOOKUP(Jnl[[#This Row],[TrxId]], Trx[Id], Trx[Date],,0)</f>
        <v>46053</v>
      </c>
      <c r="C399" s="7" t="str">
        <f>_xlfn.XLOOKUP(Jnl[[#This Row],[TrxId]], Trx[Id], Trx[Division],,0)</f>
        <v>Shuijie</v>
      </c>
      <c r="D399" s="7" t="str">
        <f>_xlfn.XLOOKUP(Jnl[[#This Row],[TrxId]], Trx[Id], Trx[Action],,0)</f>
        <v>服饰</v>
      </c>
      <c r="E399" s="26" t="s">
        <v>81</v>
      </c>
      <c r="F399" s="11" t="s">
        <v>590</v>
      </c>
      <c r="G399" s="11" t="s">
        <v>392</v>
      </c>
      <c r="H399" s="72">
        <f>111160.41-H398</f>
        <v>92634.28</v>
      </c>
      <c r="I399" s="5" t="b">
        <f>AND(Jnl[[#This Row],[TrxId]]&lt;&gt;"",Jnl[[#This Row],[Acct]]&lt;&gt;"",Jnl[[#This Row],[Item]]&lt;&gt;"",ISNUMBER(Jnl[[#This Row],[Bal]]))</f>
        <v>1</v>
      </c>
      <c r="J399" s="10">
        <f>IF(Jnl[[#This Row],[BSLv0]]="A",1,-1)*Jnl[[#This Row],[Bal]]</f>
        <v>92634.28</v>
      </c>
      <c r="K399" t="str">
        <f>_xlfn.XLOOKUP(Jnl[[#This Row],[Acct]], config_BS[Acct], config_BS[Lv0],,0)</f>
        <v>A</v>
      </c>
      <c r="L399" t="str">
        <f>_xlfn.XLOOKUP(Jnl[[#This Row],[Acct]], config_BS[Acct], config_BS[Lv1],,0)</f>
        <v>Assets</v>
      </c>
      <c r="M399" t="str">
        <f>_xlfn.XLOOKUP(Jnl[[#This Row],[Acct]], config_BS[Acct], config_BS[Lv2],,0)</f>
        <v>Cash alike</v>
      </c>
      <c r="N399" t="str">
        <f>_xlfn.XLOOKUP(Jnl[[#This Row],[TrxId]], Trx[Id], Trx[IncNode], ,0)</f>
        <v>Revenue</v>
      </c>
      <c r="O399" t="str">
        <f>_xlfn.XLOOKUP(Jnl[[#This Row],[IncNode]], config_IS[Node], config_IS[Type],,0)</f>
        <v>Op</v>
      </c>
      <c r="P399" t="str">
        <f>_xlfn.XLOOKUP(Jnl[[#This Row],[BSLv2]], dict[Key], dict[Name],,0)</f>
        <v>0.现金及类似</v>
      </c>
      <c r="Q399" t="str">
        <f>_xlfn.XLOOKUP(Jnl[[#This Row],[Acct]], dict[Key], dict[Name],,0)</f>
        <v>银行</v>
      </c>
      <c r="R399" t="str">
        <f>_xlfn.XLOOKUP(Jnl[[#This Row],[Vehicle]],config_vehicle[Id], config_vehicle[Name],,0)</f>
        <v>喜家文化</v>
      </c>
      <c r="S399" t="str">
        <f>_xlfn.XLOOKUP(Jnl[[#This Row],[Division]],config_div[Id], config_div[Name],,0)</f>
        <v>水街店</v>
      </c>
      <c r="T399" t="str">
        <f>IF(Jnl[[#This Row],[TrxDate]]&lt;=stmt_BS_date_end, "In", "Out")</f>
        <v>In</v>
      </c>
      <c r="U399" t="str">
        <f>IF(Jnl[[#This Row],[TrxDate]]&lt;debug_date_start, "prior", IF(Jnl[[#This Row],[TrxDate]]&gt;debug_date_end, "post", "curr"))</f>
        <v>prior</v>
      </c>
    </row>
    <row r="400" spans="1:21">
      <c r="A400" s="11" t="s">
        <v>602</v>
      </c>
      <c r="B400" s="7">
        <f>_xlfn.XLOOKUP(Jnl[[#This Row],[TrxId]], Trx[Id], Trx[Date],,0)</f>
        <v>46053</v>
      </c>
      <c r="C400" s="7" t="str">
        <f>_xlfn.XLOOKUP(Jnl[[#This Row],[TrxId]], Trx[Id], Trx[Division],,0)</f>
        <v>Shuijie</v>
      </c>
      <c r="D400" s="7" t="str">
        <f>_xlfn.XLOOKUP(Jnl[[#This Row],[TrxId]], Trx[Id], Trx[Action],,0)</f>
        <v>支付</v>
      </c>
      <c r="E400" s="26" t="s">
        <v>81</v>
      </c>
      <c r="F400" s="11" t="s">
        <v>493</v>
      </c>
      <c r="G400" s="11" t="s">
        <v>141</v>
      </c>
      <c r="H400" s="72">
        <v>10000</v>
      </c>
      <c r="I400" s="5" t="b">
        <f>AND(Jnl[[#This Row],[TrxId]]&lt;&gt;"",Jnl[[#This Row],[Acct]]&lt;&gt;"",Jnl[[#This Row],[Item]]&lt;&gt;"",ISNUMBER(Jnl[[#This Row],[Bal]]))</f>
        <v>1</v>
      </c>
      <c r="J400" s="10">
        <f>IF(Jnl[[#This Row],[BSLv0]]="A",1,-1)*Jnl[[#This Row],[Bal]]</f>
        <v>10000</v>
      </c>
      <c r="K400" t="str">
        <f>_xlfn.XLOOKUP(Jnl[[#This Row],[Acct]], config_BS[Acct], config_BS[Lv0],,0)</f>
        <v>A</v>
      </c>
      <c r="L400" t="str">
        <f>_xlfn.XLOOKUP(Jnl[[#This Row],[Acct]], config_BS[Acct], config_BS[Lv1],,0)</f>
        <v>Assets</v>
      </c>
      <c r="M400" t="str">
        <f>_xlfn.XLOOKUP(Jnl[[#This Row],[Acct]], config_BS[Acct], config_BS[Lv2],,0)</f>
        <v>Prep-Sub</v>
      </c>
      <c r="N400" t="str">
        <f>_xlfn.XLOOKUP(Jnl[[#This Row],[TrxId]], Trx[Id], Trx[IncNode], ,0)</f>
        <v>Expense</v>
      </c>
      <c r="O400" t="str">
        <f>_xlfn.XLOOKUP(Jnl[[#This Row],[IncNode]], config_IS[Node], config_IS[Type],,0)</f>
        <v>Op</v>
      </c>
      <c r="P400" t="str">
        <f>_xlfn.XLOOKUP(Jnl[[#This Row],[BSLv2]], dict[Key], dict[Name],,0)</f>
        <v>2.预付-订阅</v>
      </c>
      <c r="Q400" t="str">
        <f>_xlfn.XLOOKUP(Jnl[[#This Row],[Acct]], dict[Key], dict[Name],,0)</f>
        <v>预付订单</v>
      </c>
      <c r="R400" t="str">
        <f>_xlfn.XLOOKUP(Jnl[[#This Row],[Vehicle]],config_vehicle[Id], config_vehicle[Name],,0)</f>
        <v>喜家文化</v>
      </c>
      <c r="S400" t="str">
        <f>_xlfn.XLOOKUP(Jnl[[#This Row],[Division]],config_div[Id], config_div[Name],,0)</f>
        <v>水街店</v>
      </c>
      <c r="T400" t="str">
        <f>IF(Jnl[[#This Row],[TrxDate]]&lt;=stmt_BS_date_end, "In", "Out")</f>
        <v>In</v>
      </c>
      <c r="U400" t="str">
        <f>IF(Jnl[[#This Row],[TrxDate]]&lt;debug_date_start, "prior", IF(Jnl[[#This Row],[TrxDate]]&gt;debug_date_end, "post", "curr"))</f>
        <v>prior</v>
      </c>
    </row>
    <row r="401" spans="1:21">
      <c r="A401" s="11" t="s">
        <v>602</v>
      </c>
      <c r="B401" s="7">
        <f>_xlfn.XLOOKUP(Jnl[[#This Row],[TrxId]], Trx[Id], Trx[Date],,0)</f>
        <v>46053</v>
      </c>
      <c r="C401" s="7" t="str">
        <f>_xlfn.XLOOKUP(Jnl[[#This Row],[TrxId]], Trx[Id], Trx[Division],,0)</f>
        <v>Shuijie</v>
      </c>
      <c r="D401" s="7" t="str">
        <f>_xlfn.XLOOKUP(Jnl[[#This Row],[TrxId]], Trx[Id], Trx[Action],,0)</f>
        <v>支付</v>
      </c>
      <c r="E401" s="26" t="s">
        <v>81</v>
      </c>
      <c r="F401" s="11" t="s">
        <v>590</v>
      </c>
      <c r="G401" s="11" t="s">
        <v>392</v>
      </c>
      <c r="H401" s="72">
        <v>-10000</v>
      </c>
      <c r="I401" s="5" t="b">
        <f>AND(Jnl[[#This Row],[TrxId]]&lt;&gt;"",Jnl[[#This Row],[Acct]]&lt;&gt;"",Jnl[[#This Row],[Item]]&lt;&gt;"",ISNUMBER(Jnl[[#This Row],[Bal]]))</f>
        <v>1</v>
      </c>
      <c r="J401" s="10">
        <f>IF(Jnl[[#This Row],[BSLv0]]="A",1,-1)*Jnl[[#This Row],[Bal]]</f>
        <v>-10000</v>
      </c>
      <c r="K401" t="str">
        <f>_xlfn.XLOOKUP(Jnl[[#This Row],[Acct]], config_BS[Acct], config_BS[Lv0],,0)</f>
        <v>A</v>
      </c>
      <c r="L401" t="str">
        <f>_xlfn.XLOOKUP(Jnl[[#This Row],[Acct]], config_BS[Acct], config_BS[Lv1],,0)</f>
        <v>Assets</v>
      </c>
      <c r="M401" t="str">
        <f>_xlfn.XLOOKUP(Jnl[[#This Row],[Acct]], config_BS[Acct], config_BS[Lv2],,0)</f>
        <v>Cash alike</v>
      </c>
      <c r="N401" t="str">
        <f>_xlfn.XLOOKUP(Jnl[[#This Row],[TrxId]], Trx[Id], Trx[IncNode], ,0)</f>
        <v>Expense</v>
      </c>
      <c r="O401" t="str">
        <f>_xlfn.XLOOKUP(Jnl[[#This Row],[IncNode]], config_IS[Node], config_IS[Type],,0)</f>
        <v>Op</v>
      </c>
      <c r="P401" t="str">
        <f>_xlfn.XLOOKUP(Jnl[[#This Row],[BSLv2]], dict[Key], dict[Name],,0)</f>
        <v>0.现金及类似</v>
      </c>
      <c r="Q401" t="str">
        <f>_xlfn.XLOOKUP(Jnl[[#This Row],[Acct]], dict[Key], dict[Name],,0)</f>
        <v>银行</v>
      </c>
      <c r="R401" t="str">
        <f>_xlfn.XLOOKUP(Jnl[[#This Row],[Vehicle]],config_vehicle[Id], config_vehicle[Name],,0)</f>
        <v>喜家文化</v>
      </c>
      <c r="S401" t="str">
        <f>_xlfn.XLOOKUP(Jnl[[#This Row],[Division]],config_div[Id], config_div[Name],,0)</f>
        <v>水街店</v>
      </c>
      <c r="T401" t="str">
        <f>IF(Jnl[[#This Row],[TrxDate]]&lt;=stmt_BS_date_end, "In", "Out")</f>
        <v>In</v>
      </c>
      <c r="U401" t="str">
        <f>IF(Jnl[[#This Row],[TrxDate]]&lt;debug_date_start, "prior", IF(Jnl[[#This Row],[TrxDate]]&gt;debug_date_end, "post", "curr"))</f>
        <v>prior</v>
      </c>
    </row>
    <row r="402" spans="1:21">
      <c r="A402" s="11" t="s">
        <v>604</v>
      </c>
      <c r="B402" s="7">
        <f>_xlfn.XLOOKUP(Jnl[[#This Row],[TrxId]], Trx[Id], Trx[Date],,0)</f>
        <v>46053</v>
      </c>
      <c r="C402" s="7" t="str">
        <f>_xlfn.XLOOKUP(Jnl[[#This Row],[TrxId]], Trx[Id], Trx[Division],,0)</f>
        <v>Shuijie</v>
      </c>
      <c r="D402" s="7" t="str">
        <f>_xlfn.XLOOKUP(Jnl[[#This Row],[TrxId]], Trx[Id], Trx[Action],,0)</f>
        <v>维护</v>
      </c>
      <c r="E402" s="26" t="s">
        <v>81</v>
      </c>
      <c r="F402" s="11" t="s">
        <v>590</v>
      </c>
      <c r="G402" s="11" t="s">
        <v>392</v>
      </c>
      <c r="H402" s="72">
        <v>-1500</v>
      </c>
      <c r="I402" s="5" t="b">
        <f>AND(Jnl[[#This Row],[TrxId]]&lt;&gt;"",Jnl[[#This Row],[Acct]]&lt;&gt;"",Jnl[[#This Row],[Item]]&lt;&gt;"",ISNUMBER(Jnl[[#This Row],[Bal]]))</f>
        <v>1</v>
      </c>
      <c r="J402" s="10">
        <f>IF(Jnl[[#This Row],[BSLv0]]="A",1,-1)*Jnl[[#This Row],[Bal]]</f>
        <v>-1500</v>
      </c>
      <c r="K402" t="str">
        <f>_xlfn.XLOOKUP(Jnl[[#This Row],[Acct]], config_BS[Acct], config_BS[Lv0],,0)</f>
        <v>A</v>
      </c>
      <c r="L402" t="str">
        <f>_xlfn.XLOOKUP(Jnl[[#This Row],[Acct]], config_BS[Acct], config_BS[Lv1],,0)</f>
        <v>Assets</v>
      </c>
      <c r="M402" t="str">
        <f>_xlfn.XLOOKUP(Jnl[[#This Row],[Acct]], config_BS[Acct], config_BS[Lv2],,0)</f>
        <v>Cash alike</v>
      </c>
      <c r="N402" t="str">
        <f>_xlfn.XLOOKUP(Jnl[[#This Row],[TrxId]], Trx[Id], Trx[IncNode], ,0)</f>
        <v>Expense</v>
      </c>
      <c r="O402" t="str">
        <f>_xlfn.XLOOKUP(Jnl[[#This Row],[IncNode]], config_IS[Node], config_IS[Type],,0)</f>
        <v>Op</v>
      </c>
      <c r="P402" t="str">
        <f>_xlfn.XLOOKUP(Jnl[[#This Row],[BSLv2]], dict[Key], dict[Name],,0)</f>
        <v>0.现金及类似</v>
      </c>
      <c r="Q402" t="str">
        <f>_xlfn.XLOOKUP(Jnl[[#This Row],[Acct]], dict[Key], dict[Name],,0)</f>
        <v>银行</v>
      </c>
      <c r="R402" t="str">
        <f>_xlfn.XLOOKUP(Jnl[[#This Row],[Vehicle]],config_vehicle[Id], config_vehicle[Name],,0)</f>
        <v>喜家文化</v>
      </c>
      <c r="S402" t="str">
        <f>_xlfn.XLOOKUP(Jnl[[#This Row],[Division]],config_div[Id], config_div[Name],,0)</f>
        <v>水街店</v>
      </c>
      <c r="T402" t="str">
        <f>IF(Jnl[[#This Row],[TrxDate]]&lt;=stmt_BS_date_end, "In", "Out")</f>
        <v>In</v>
      </c>
      <c r="U402" t="str">
        <f>IF(Jnl[[#This Row],[TrxDate]]&lt;debug_date_start, "prior", IF(Jnl[[#This Row],[TrxDate]]&gt;debug_date_end, "post", "curr"))</f>
        <v>prior</v>
      </c>
    </row>
    <row r="403" spans="1:21">
      <c r="A403" s="11" t="s">
        <v>606</v>
      </c>
      <c r="B403" s="7">
        <f>_xlfn.XLOOKUP(Jnl[[#This Row],[TrxId]], Trx[Id], Trx[Date],,0)</f>
        <v>46053</v>
      </c>
      <c r="C403" s="7" t="str">
        <f>_xlfn.XLOOKUP(Jnl[[#This Row],[TrxId]], Trx[Id], Trx[Division],,0)</f>
        <v>Shuijie</v>
      </c>
      <c r="D403" s="7" t="str">
        <f>_xlfn.XLOOKUP(Jnl[[#This Row],[TrxId]], Trx[Id], Trx[Action],,0)</f>
        <v>支付</v>
      </c>
      <c r="E403" s="26" t="s">
        <v>81</v>
      </c>
      <c r="F403" s="11" t="s">
        <v>590</v>
      </c>
      <c r="G403" s="11" t="s">
        <v>392</v>
      </c>
      <c r="H403" s="72">
        <v>-6458.4</v>
      </c>
      <c r="I403" s="5" t="b">
        <f>AND(Jnl[[#This Row],[TrxId]]&lt;&gt;"",Jnl[[#This Row],[Acct]]&lt;&gt;"",Jnl[[#This Row],[Item]]&lt;&gt;"",ISNUMBER(Jnl[[#This Row],[Bal]]))</f>
        <v>1</v>
      </c>
      <c r="J403" s="10">
        <f>IF(Jnl[[#This Row],[BSLv0]]="A",1,-1)*Jnl[[#This Row],[Bal]]</f>
        <v>-6458.4</v>
      </c>
      <c r="K403" t="str">
        <f>_xlfn.XLOOKUP(Jnl[[#This Row],[Acct]], config_BS[Acct], config_BS[Lv0],,0)</f>
        <v>A</v>
      </c>
      <c r="L403" t="str">
        <f>_xlfn.XLOOKUP(Jnl[[#This Row],[Acct]], config_BS[Acct], config_BS[Lv1],,0)</f>
        <v>Assets</v>
      </c>
      <c r="M403" t="str">
        <f>_xlfn.XLOOKUP(Jnl[[#This Row],[Acct]], config_BS[Acct], config_BS[Lv2],,0)</f>
        <v>Cash alike</v>
      </c>
      <c r="N403" t="str">
        <f>_xlfn.XLOOKUP(Jnl[[#This Row],[TrxId]], Trx[Id], Trx[IncNode], ,0)</f>
        <v>Cost</v>
      </c>
      <c r="O403" t="str">
        <f>_xlfn.XLOOKUP(Jnl[[#This Row],[IncNode]], config_IS[Node], config_IS[Type],,0)</f>
        <v>Op</v>
      </c>
      <c r="P403" t="str">
        <f>_xlfn.XLOOKUP(Jnl[[#This Row],[BSLv2]], dict[Key], dict[Name],,0)</f>
        <v>0.现金及类似</v>
      </c>
      <c r="Q403" t="str">
        <f>_xlfn.XLOOKUP(Jnl[[#This Row],[Acct]], dict[Key], dict[Name],,0)</f>
        <v>银行</v>
      </c>
      <c r="R403" t="str">
        <f>_xlfn.XLOOKUP(Jnl[[#This Row],[Vehicle]],config_vehicle[Id], config_vehicle[Name],,0)</f>
        <v>喜家文化</v>
      </c>
      <c r="S403" t="str">
        <f>_xlfn.XLOOKUP(Jnl[[#This Row],[Division]],config_div[Id], config_div[Name],,0)</f>
        <v>水街店</v>
      </c>
      <c r="T403" t="str">
        <f>IF(Jnl[[#This Row],[TrxDate]]&lt;=stmt_BS_date_end, "In", "Out")</f>
        <v>In</v>
      </c>
      <c r="U403" t="str">
        <f>IF(Jnl[[#This Row],[TrxDate]]&lt;debug_date_start, "prior", IF(Jnl[[#This Row],[TrxDate]]&gt;debug_date_end, "post", "curr"))</f>
        <v>prior</v>
      </c>
    </row>
    <row r="404" spans="1:21">
      <c r="A404" s="11" t="s">
        <v>606</v>
      </c>
      <c r="B404" s="7">
        <f>_xlfn.XLOOKUP(Jnl[[#This Row],[TrxId]], Trx[Id], Trx[Date],,0)</f>
        <v>46053</v>
      </c>
      <c r="C404" s="7" t="str">
        <f>_xlfn.XLOOKUP(Jnl[[#This Row],[TrxId]], Trx[Id], Trx[Division],,0)</f>
        <v>Shuijie</v>
      </c>
      <c r="D404" s="7" t="str">
        <f>_xlfn.XLOOKUP(Jnl[[#This Row],[TrxId]], Trx[Id], Trx[Action],,0)</f>
        <v>支付</v>
      </c>
      <c r="E404" s="26" t="s">
        <v>81</v>
      </c>
      <c r="F404" s="11" t="s">
        <v>652</v>
      </c>
      <c r="G404" s="11" t="s">
        <v>136</v>
      </c>
      <c r="H404" s="72">
        <v>-6458.4</v>
      </c>
      <c r="I404" s="5" t="b">
        <f>AND(Jnl[[#This Row],[TrxId]]&lt;&gt;"",Jnl[[#This Row],[Acct]]&lt;&gt;"",Jnl[[#This Row],[Item]]&lt;&gt;"",ISNUMBER(Jnl[[#This Row],[Bal]]))</f>
        <v>1</v>
      </c>
      <c r="J404" s="10">
        <f>IF(Jnl[[#This Row],[BSLv0]]="A",1,-1)*Jnl[[#This Row],[Bal]]</f>
        <v>6458.4</v>
      </c>
      <c r="K404" t="str">
        <f>_xlfn.XLOOKUP(Jnl[[#This Row],[Acct]], config_BS[Acct], config_BS[Lv0],,0)</f>
        <v>LC</v>
      </c>
      <c r="L404" t="str">
        <f>_xlfn.XLOOKUP(Jnl[[#This Row],[Acct]], config_BS[Acct], config_BS[Lv1],,0)</f>
        <v>Liability</v>
      </c>
      <c r="M404" t="str">
        <f>_xlfn.XLOOKUP(Jnl[[#This Row],[Acct]], config_BS[Acct], config_BS[Lv2],,0)</f>
        <v>Rec-Pay</v>
      </c>
      <c r="N404" t="str">
        <f>_xlfn.XLOOKUP(Jnl[[#This Row],[TrxId]], Trx[Id], Trx[IncNode], ,0)</f>
        <v>Cost</v>
      </c>
      <c r="O404" t="str">
        <f>_xlfn.XLOOKUP(Jnl[[#This Row],[IncNode]], config_IS[Node], config_IS[Type],,0)</f>
        <v>Op</v>
      </c>
      <c r="P404" t="str">
        <f>_xlfn.XLOOKUP(Jnl[[#This Row],[BSLv2]], dict[Key], dict[Name],,0)</f>
        <v>1.应收-应付</v>
      </c>
      <c r="Q404" t="str">
        <f>_xlfn.XLOOKUP(Jnl[[#This Row],[Acct]], dict[Key], dict[Name],,0)</f>
        <v>应付-一般</v>
      </c>
      <c r="R404" t="str">
        <f>_xlfn.XLOOKUP(Jnl[[#This Row],[Vehicle]],config_vehicle[Id], config_vehicle[Name],,0)</f>
        <v>喜家文化</v>
      </c>
      <c r="S404" t="str">
        <f>_xlfn.XLOOKUP(Jnl[[#This Row],[Division]],config_div[Id], config_div[Name],,0)</f>
        <v>水街店</v>
      </c>
      <c r="T404" t="str">
        <f>IF(Jnl[[#This Row],[TrxDate]]&lt;=stmt_BS_date_end, "In", "Out")</f>
        <v>In</v>
      </c>
      <c r="U404" t="str">
        <f>IF(Jnl[[#This Row],[TrxDate]]&lt;debug_date_start, "prior", IF(Jnl[[#This Row],[TrxDate]]&gt;debug_date_end, "post", "curr"))</f>
        <v>prior</v>
      </c>
    </row>
    <row r="405" spans="1:21">
      <c r="A405" s="11" t="s">
        <v>607</v>
      </c>
      <c r="B405" s="7">
        <f>_xlfn.XLOOKUP(Jnl[[#This Row],[TrxId]], Trx[Id], Trx[Date],,0)</f>
        <v>46053</v>
      </c>
      <c r="C405" s="7" t="str">
        <f>_xlfn.XLOOKUP(Jnl[[#This Row],[TrxId]], Trx[Id], Trx[Division],,0)</f>
        <v>GM</v>
      </c>
      <c r="D405" s="7" t="str">
        <f>_xlfn.XLOOKUP(Jnl[[#This Row],[TrxId]], Trx[Id], Trx[Action],,0)</f>
        <v>薪酬-社保</v>
      </c>
      <c r="E405" s="26" t="s">
        <v>81</v>
      </c>
      <c r="F405" s="11" t="s">
        <v>590</v>
      </c>
      <c r="G405" s="11" t="s">
        <v>392</v>
      </c>
      <c r="H405" s="72">
        <v>-8189.55</v>
      </c>
      <c r="I405" s="5" t="b">
        <f>AND(Jnl[[#This Row],[TrxId]]&lt;&gt;"",Jnl[[#This Row],[Acct]]&lt;&gt;"",Jnl[[#This Row],[Item]]&lt;&gt;"",ISNUMBER(Jnl[[#This Row],[Bal]]))</f>
        <v>1</v>
      </c>
      <c r="J405" s="10">
        <f>IF(Jnl[[#This Row],[BSLv0]]="A",1,-1)*Jnl[[#This Row],[Bal]]</f>
        <v>-8189.55</v>
      </c>
      <c r="K405" t="str">
        <f>_xlfn.XLOOKUP(Jnl[[#This Row],[Acct]], config_BS[Acct], config_BS[Lv0],,0)</f>
        <v>A</v>
      </c>
      <c r="L405" t="str">
        <f>_xlfn.XLOOKUP(Jnl[[#This Row],[Acct]], config_BS[Acct], config_BS[Lv1],,0)</f>
        <v>Assets</v>
      </c>
      <c r="M405" t="str">
        <f>_xlfn.XLOOKUP(Jnl[[#This Row],[Acct]], config_BS[Acct], config_BS[Lv2],,0)</f>
        <v>Cash alike</v>
      </c>
      <c r="N405" t="str">
        <f>_xlfn.XLOOKUP(Jnl[[#This Row],[TrxId]], Trx[Id], Trx[IncNode], ,0)</f>
        <v>Expense</v>
      </c>
      <c r="O405" t="str">
        <f>_xlfn.XLOOKUP(Jnl[[#This Row],[IncNode]], config_IS[Node], config_IS[Type],,0)</f>
        <v>Op</v>
      </c>
      <c r="P405" t="str">
        <f>_xlfn.XLOOKUP(Jnl[[#This Row],[BSLv2]], dict[Key], dict[Name],,0)</f>
        <v>0.现金及类似</v>
      </c>
      <c r="Q405" t="str">
        <f>_xlfn.XLOOKUP(Jnl[[#This Row],[Acct]], dict[Key], dict[Name],,0)</f>
        <v>银行</v>
      </c>
      <c r="R405" t="str">
        <f>_xlfn.XLOOKUP(Jnl[[#This Row],[Vehicle]],config_vehicle[Id], config_vehicle[Name],,0)</f>
        <v>喜家文化</v>
      </c>
      <c r="S405" t="str">
        <f>_xlfn.XLOOKUP(Jnl[[#This Row],[Division]],config_div[Id], config_div[Name],,0)</f>
        <v>综合管理</v>
      </c>
      <c r="T405" t="str">
        <f>IF(Jnl[[#This Row],[TrxDate]]&lt;=stmt_BS_date_end, "In", "Out")</f>
        <v>In</v>
      </c>
      <c r="U405" t="str">
        <f>IF(Jnl[[#This Row],[TrxDate]]&lt;debug_date_start, "prior", IF(Jnl[[#This Row],[TrxDate]]&gt;debug_date_end, "post", "curr"))</f>
        <v>prior</v>
      </c>
    </row>
    <row r="406" spans="1:21">
      <c r="A406" s="11" t="s">
        <v>607</v>
      </c>
      <c r="B406" s="7">
        <f>_xlfn.XLOOKUP(Jnl[[#This Row],[TrxId]], Trx[Id], Trx[Date],,0)</f>
        <v>46053</v>
      </c>
      <c r="C406" s="7" t="str">
        <f>_xlfn.XLOOKUP(Jnl[[#This Row],[TrxId]], Trx[Id], Trx[Division],,0)</f>
        <v>GM</v>
      </c>
      <c r="D406" s="7" t="str">
        <f>_xlfn.XLOOKUP(Jnl[[#This Row],[TrxId]], Trx[Id], Trx[Action],,0)</f>
        <v>薪酬-社保</v>
      </c>
      <c r="E406" s="26" t="s">
        <v>81</v>
      </c>
      <c r="F406" s="11" t="s">
        <v>595</v>
      </c>
      <c r="G406" s="11" t="s">
        <v>344</v>
      </c>
      <c r="H406" s="72">
        <v>2385.75</v>
      </c>
      <c r="I406" s="5" t="b">
        <f>AND(Jnl[[#This Row],[TrxId]]&lt;&gt;"",Jnl[[#This Row],[Acct]]&lt;&gt;"",Jnl[[#This Row],[Item]]&lt;&gt;"",ISNUMBER(Jnl[[#This Row],[Bal]]))</f>
        <v>1</v>
      </c>
      <c r="J406" s="10">
        <f>IF(Jnl[[#This Row],[BSLv0]]="A",1,-1)*Jnl[[#This Row],[Bal]]</f>
        <v>2385.75</v>
      </c>
      <c r="K406" t="str">
        <f>_xlfn.XLOOKUP(Jnl[[#This Row],[Acct]], config_BS[Acct], config_BS[Lv0],,0)</f>
        <v>A</v>
      </c>
      <c r="L406" t="str">
        <f>_xlfn.XLOOKUP(Jnl[[#This Row],[Acct]], config_BS[Acct], config_BS[Lv1],,0)</f>
        <v>Assets</v>
      </c>
      <c r="M406" t="str">
        <f>_xlfn.XLOOKUP(Jnl[[#This Row],[Acct]], config_BS[Acct], config_BS[Lv2],,0)</f>
        <v>Rec-Pay</v>
      </c>
      <c r="N406" t="str">
        <f>_xlfn.XLOOKUP(Jnl[[#This Row],[TrxId]], Trx[Id], Trx[IncNode], ,0)</f>
        <v>Expense</v>
      </c>
      <c r="O406" t="str">
        <f>_xlfn.XLOOKUP(Jnl[[#This Row],[IncNode]], config_IS[Node], config_IS[Type],,0)</f>
        <v>Op</v>
      </c>
      <c r="P406" t="str">
        <f>_xlfn.XLOOKUP(Jnl[[#This Row],[BSLv2]], dict[Key], dict[Name],,0)</f>
        <v>1.应收-应付</v>
      </c>
      <c r="Q406" t="str">
        <f>_xlfn.XLOOKUP(Jnl[[#This Row],[Acct]], dict[Key], dict[Name],,0)</f>
        <v>应收-其他</v>
      </c>
      <c r="R406" t="str">
        <f>_xlfn.XLOOKUP(Jnl[[#This Row],[Vehicle]],config_vehicle[Id], config_vehicle[Name],,0)</f>
        <v>喜家文化</v>
      </c>
      <c r="S406" t="str">
        <f>_xlfn.XLOOKUP(Jnl[[#This Row],[Division]],config_div[Id], config_div[Name],,0)</f>
        <v>综合管理</v>
      </c>
      <c r="T406" t="str">
        <f>IF(Jnl[[#This Row],[TrxDate]]&lt;=stmt_BS_date_end, "In", "Out")</f>
        <v>In</v>
      </c>
      <c r="U406" t="str">
        <f>IF(Jnl[[#This Row],[TrxDate]]&lt;debug_date_start, "prior", IF(Jnl[[#This Row],[TrxDate]]&gt;debug_date_end, "post", "curr"))</f>
        <v>prior</v>
      </c>
    </row>
    <row r="407" spans="1:21">
      <c r="A407" s="11" t="s">
        <v>609</v>
      </c>
      <c r="B407" s="7">
        <f>_xlfn.XLOOKUP(Jnl[[#This Row],[TrxId]], Trx[Id], Trx[Date],,0)</f>
        <v>46053</v>
      </c>
      <c r="C407" s="7" t="str">
        <f>_xlfn.XLOOKUP(Jnl[[#This Row],[TrxId]], Trx[Id], Trx[Division],,0)</f>
        <v>Shuijie</v>
      </c>
      <c r="D407" s="7" t="str">
        <f>_xlfn.XLOOKUP(Jnl[[#This Row],[TrxId]], Trx[Id], Trx[Action],,0)</f>
        <v>支付</v>
      </c>
      <c r="E407" s="26" t="s">
        <v>81</v>
      </c>
      <c r="F407" s="11" t="s">
        <v>493</v>
      </c>
      <c r="G407" s="11" t="s">
        <v>141</v>
      </c>
      <c r="H407" s="72">
        <v>450</v>
      </c>
      <c r="I407" s="5" t="b">
        <f>AND(Jnl[[#This Row],[TrxId]]&lt;&gt;"",Jnl[[#This Row],[Acct]]&lt;&gt;"",Jnl[[#This Row],[Item]]&lt;&gt;"",ISNUMBER(Jnl[[#This Row],[Bal]]))</f>
        <v>1</v>
      </c>
      <c r="J407" s="10">
        <f>IF(Jnl[[#This Row],[BSLv0]]="A",1,-1)*Jnl[[#This Row],[Bal]]</f>
        <v>450</v>
      </c>
      <c r="K407" t="str">
        <f>_xlfn.XLOOKUP(Jnl[[#This Row],[Acct]], config_BS[Acct], config_BS[Lv0],,0)</f>
        <v>A</v>
      </c>
      <c r="L407" t="str">
        <f>_xlfn.XLOOKUP(Jnl[[#This Row],[Acct]], config_BS[Acct], config_BS[Lv1],,0)</f>
        <v>Assets</v>
      </c>
      <c r="M407" t="str">
        <f>_xlfn.XLOOKUP(Jnl[[#This Row],[Acct]], config_BS[Acct], config_BS[Lv2],,0)</f>
        <v>Prep-Sub</v>
      </c>
      <c r="N407" t="str">
        <f>_xlfn.XLOOKUP(Jnl[[#This Row],[TrxId]], Trx[Id], Trx[IncNode], ,0)</f>
        <v>Expense</v>
      </c>
      <c r="O407" t="str">
        <f>_xlfn.XLOOKUP(Jnl[[#This Row],[IncNode]], config_IS[Node], config_IS[Type],,0)</f>
        <v>Op</v>
      </c>
      <c r="P407" t="str">
        <f>_xlfn.XLOOKUP(Jnl[[#This Row],[BSLv2]], dict[Key], dict[Name],,0)</f>
        <v>2.预付-订阅</v>
      </c>
      <c r="Q407" t="str">
        <f>_xlfn.XLOOKUP(Jnl[[#This Row],[Acct]], dict[Key], dict[Name],,0)</f>
        <v>预付订单</v>
      </c>
      <c r="R407" t="str">
        <f>_xlfn.XLOOKUP(Jnl[[#This Row],[Vehicle]],config_vehicle[Id], config_vehicle[Name],,0)</f>
        <v>喜家文化</v>
      </c>
      <c r="S407" t="str">
        <f>_xlfn.XLOOKUP(Jnl[[#This Row],[Division]],config_div[Id], config_div[Name],,0)</f>
        <v>水街店</v>
      </c>
      <c r="T407" t="str">
        <f>IF(Jnl[[#This Row],[TrxDate]]&lt;=stmt_BS_date_end, "In", "Out")</f>
        <v>In</v>
      </c>
      <c r="U407" t="str">
        <f>IF(Jnl[[#This Row],[TrxDate]]&lt;debug_date_start, "prior", IF(Jnl[[#This Row],[TrxDate]]&gt;debug_date_end, "post", "curr"))</f>
        <v>prior</v>
      </c>
    </row>
    <row r="408" spans="1:21">
      <c r="A408" s="11" t="s">
        <v>609</v>
      </c>
      <c r="B408" s="7">
        <f>_xlfn.XLOOKUP(Jnl[[#This Row],[TrxId]], Trx[Id], Trx[Date],,0)</f>
        <v>46053</v>
      </c>
      <c r="C408" s="7" t="str">
        <f>_xlfn.XLOOKUP(Jnl[[#This Row],[TrxId]], Trx[Id], Trx[Division],,0)</f>
        <v>Shuijie</v>
      </c>
      <c r="D408" s="7" t="str">
        <f>_xlfn.XLOOKUP(Jnl[[#This Row],[TrxId]], Trx[Id], Trx[Action],,0)</f>
        <v>支付</v>
      </c>
      <c r="E408" s="26" t="s">
        <v>81</v>
      </c>
      <c r="F408" s="11" t="s">
        <v>590</v>
      </c>
      <c r="G408" s="11" t="s">
        <v>392</v>
      </c>
      <c r="H408" s="72">
        <v>-450</v>
      </c>
      <c r="I408" s="5" t="b">
        <f>AND(Jnl[[#This Row],[TrxId]]&lt;&gt;"",Jnl[[#This Row],[Acct]]&lt;&gt;"",Jnl[[#This Row],[Item]]&lt;&gt;"",ISNUMBER(Jnl[[#This Row],[Bal]]))</f>
        <v>1</v>
      </c>
      <c r="J408" s="10">
        <f>IF(Jnl[[#This Row],[BSLv0]]="A",1,-1)*Jnl[[#This Row],[Bal]]</f>
        <v>-450</v>
      </c>
      <c r="K408" t="str">
        <f>_xlfn.XLOOKUP(Jnl[[#This Row],[Acct]], config_BS[Acct], config_BS[Lv0],,0)</f>
        <v>A</v>
      </c>
      <c r="L408" t="str">
        <f>_xlfn.XLOOKUP(Jnl[[#This Row],[Acct]], config_BS[Acct], config_BS[Lv1],,0)</f>
        <v>Assets</v>
      </c>
      <c r="M408" t="str">
        <f>_xlfn.XLOOKUP(Jnl[[#This Row],[Acct]], config_BS[Acct], config_BS[Lv2],,0)</f>
        <v>Cash alike</v>
      </c>
      <c r="N408" t="str">
        <f>_xlfn.XLOOKUP(Jnl[[#This Row],[TrxId]], Trx[Id], Trx[IncNode], ,0)</f>
        <v>Expense</v>
      </c>
      <c r="O408" t="str">
        <f>_xlfn.XLOOKUP(Jnl[[#This Row],[IncNode]], config_IS[Node], config_IS[Type],,0)</f>
        <v>Op</v>
      </c>
      <c r="P408" t="str">
        <f>_xlfn.XLOOKUP(Jnl[[#This Row],[BSLv2]], dict[Key], dict[Name],,0)</f>
        <v>0.现金及类似</v>
      </c>
      <c r="Q408" t="str">
        <f>_xlfn.XLOOKUP(Jnl[[#This Row],[Acct]], dict[Key], dict[Name],,0)</f>
        <v>银行</v>
      </c>
      <c r="R408" t="str">
        <f>_xlfn.XLOOKUP(Jnl[[#This Row],[Vehicle]],config_vehicle[Id], config_vehicle[Name],,0)</f>
        <v>喜家文化</v>
      </c>
      <c r="S408" t="str">
        <f>_xlfn.XLOOKUP(Jnl[[#This Row],[Division]],config_div[Id], config_div[Name],,0)</f>
        <v>水街店</v>
      </c>
      <c r="T408" t="str">
        <f>IF(Jnl[[#This Row],[TrxDate]]&lt;=stmt_BS_date_end, "In", "Out")</f>
        <v>In</v>
      </c>
      <c r="U408" t="str">
        <f>IF(Jnl[[#This Row],[TrxDate]]&lt;debug_date_start, "prior", IF(Jnl[[#This Row],[TrxDate]]&gt;debug_date_end, "post", "curr"))</f>
        <v>prior</v>
      </c>
    </row>
    <row r="409" spans="1:21">
      <c r="A409" s="11" t="s">
        <v>611</v>
      </c>
      <c r="B409" s="7">
        <f>_xlfn.XLOOKUP(Jnl[[#This Row],[TrxId]], Trx[Id], Trx[Date],,0)</f>
        <v>46053</v>
      </c>
      <c r="C409" s="7" t="str">
        <f>_xlfn.XLOOKUP(Jnl[[#This Row],[TrxId]], Trx[Id], Trx[Division],,0)</f>
        <v>Shuijie</v>
      </c>
      <c r="D409" s="7" t="str">
        <f>_xlfn.XLOOKUP(Jnl[[#This Row],[TrxId]], Trx[Id], Trx[Action],,0)</f>
        <v>支付</v>
      </c>
      <c r="E409" s="26" t="s">
        <v>81</v>
      </c>
      <c r="F409" s="11" t="s">
        <v>493</v>
      </c>
      <c r="G409" s="11" t="s">
        <v>141</v>
      </c>
      <c r="H409" s="72">
        <v>10000</v>
      </c>
      <c r="I409" s="5" t="b">
        <f>AND(Jnl[[#This Row],[TrxId]]&lt;&gt;"",Jnl[[#This Row],[Acct]]&lt;&gt;"",Jnl[[#This Row],[Item]]&lt;&gt;"",ISNUMBER(Jnl[[#This Row],[Bal]]))</f>
        <v>1</v>
      </c>
      <c r="J409" s="10">
        <f>IF(Jnl[[#This Row],[BSLv0]]="A",1,-1)*Jnl[[#This Row],[Bal]]</f>
        <v>10000</v>
      </c>
      <c r="K409" t="str">
        <f>_xlfn.XLOOKUP(Jnl[[#This Row],[Acct]], config_BS[Acct], config_BS[Lv0],,0)</f>
        <v>A</v>
      </c>
      <c r="L409" t="str">
        <f>_xlfn.XLOOKUP(Jnl[[#This Row],[Acct]], config_BS[Acct], config_BS[Lv1],,0)</f>
        <v>Assets</v>
      </c>
      <c r="M409" t="str">
        <f>_xlfn.XLOOKUP(Jnl[[#This Row],[Acct]], config_BS[Acct], config_BS[Lv2],,0)</f>
        <v>Prep-Sub</v>
      </c>
      <c r="N409" t="str">
        <f>_xlfn.XLOOKUP(Jnl[[#This Row],[TrxId]], Trx[Id], Trx[IncNode], ,0)</f>
        <v>Expense</v>
      </c>
      <c r="O409" t="str">
        <f>_xlfn.XLOOKUP(Jnl[[#This Row],[IncNode]], config_IS[Node], config_IS[Type],,0)</f>
        <v>Op</v>
      </c>
      <c r="P409" t="str">
        <f>_xlfn.XLOOKUP(Jnl[[#This Row],[BSLv2]], dict[Key], dict[Name],,0)</f>
        <v>2.预付-订阅</v>
      </c>
      <c r="Q409" t="str">
        <f>_xlfn.XLOOKUP(Jnl[[#This Row],[Acct]], dict[Key], dict[Name],,0)</f>
        <v>预付订单</v>
      </c>
      <c r="R409" t="str">
        <f>_xlfn.XLOOKUP(Jnl[[#This Row],[Vehicle]],config_vehicle[Id], config_vehicle[Name],,0)</f>
        <v>喜家文化</v>
      </c>
      <c r="S409" t="str">
        <f>_xlfn.XLOOKUP(Jnl[[#This Row],[Division]],config_div[Id], config_div[Name],,0)</f>
        <v>水街店</v>
      </c>
      <c r="T409" t="str">
        <f>IF(Jnl[[#This Row],[TrxDate]]&lt;=stmt_BS_date_end, "In", "Out")</f>
        <v>In</v>
      </c>
      <c r="U409" t="str">
        <f>IF(Jnl[[#This Row],[TrxDate]]&lt;debug_date_start, "prior", IF(Jnl[[#This Row],[TrxDate]]&gt;debug_date_end, "post", "curr"))</f>
        <v>prior</v>
      </c>
    </row>
    <row r="410" spans="1:21">
      <c r="A410" s="11" t="s">
        <v>611</v>
      </c>
      <c r="B410" s="7">
        <f>_xlfn.XLOOKUP(Jnl[[#This Row],[TrxId]], Trx[Id], Trx[Date],,0)</f>
        <v>46053</v>
      </c>
      <c r="C410" s="7" t="str">
        <f>_xlfn.XLOOKUP(Jnl[[#This Row],[TrxId]], Trx[Id], Trx[Division],,0)</f>
        <v>Shuijie</v>
      </c>
      <c r="D410" s="7" t="str">
        <f>_xlfn.XLOOKUP(Jnl[[#This Row],[TrxId]], Trx[Id], Trx[Action],,0)</f>
        <v>支付</v>
      </c>
      <c r="E410" s="26" t="s">
        <v>81</v>
      </c>
      <c r="F410" s="11" t="s">
        <v>590</v>
      </c>
      <c r="G410" s="11" t="s">
        <v>392</v>
      </c>
      <c r="H410" s="72">
        <v>-10000</v>
      </c>
      <c r="I410" s="5" t="b">
        <f>AND(Jnl[[#This Row],[TrxId]]&lt;&gt;"",Jnl[[#This Row],[Acct]]&lt;&gt;"",Jnl[[#This Row],[Item]]&lt;&gt;"",ISNUMBER(Jnl[[#This Row],[Bal]]))</f>
        <v>1</v>
      </c>
      <c r="J410" s="10">
        <f>IF(Jnl[[#This Row],[BSLv0]]="A",1,-1)*Jnl[[#This Row],[Bal]]</f>
        <v>-10000</v>
      </c>
      <c r="K410" t="str">
        <f>_xlfn.XLOOKUP(Jnl[[#This Row],[Acct]], config_BS[Acct], config_BS[Lv0],,0)</f>
        <v>A</v>
      </c>
      <c r="L410" t="str">
        <f>_xlfn.XLOOKUP(Jnl[[#This Row],[Acct]], config_BS[Acct], config_BS[Lv1],,0)</f>
        <v>Assets</v>
      </c>
      <c r="M410" t="str">
        <f>_xlfn.XLOOKUP(Jnl[[#This Row],[Acct]], config_BS[Acct], config_BS[Lv2],,0)</f>
        <v>Cash alike</v>
      </c>
      <c r="N410" t="str">
        <f>_xlfn.XLOOKUP(Jnl[[#This Row],[TrxId]], Trx[Id], Trx[IncNode], ,0)</f>
        <v>Expense</v>
      </c>
      <c r="O410" t="str">
        <f>_xlfn.XLOOKUP(Jnl[[#This Row],[IncNode]], config_IS[Node], config_IS[Type],,0)</f>
        <v>Op</v>
      </c>
      <c r="P410" t="str">
        <f>_xlfn.XLOOKUP(Jnl[[#This Row],[BSLv2]], dict[Key], dict[Name],,0)</f>
        <v>0.现金及类似</v>
      </c>
      <c r="Q410" t="str">
        <f>_xlfn.XLOOKUP(Jnl[[#This Row],[Acct]], dict[Key], dict[Name],,0)</f>
        <v>银行</v>
      </c>
      <c r="R410" t="str">
        <f>_xlfn.XLOOKUP(Jnl[[#This Row],[Vehicle]],config_vehicle[Id], config_vehicle[Name],,0)</f>
        <v>喜家文化</v>
      </c>
      <c r="S410" t="str">
        <f>_xlfn.XLOOKUP(Jnl[[#This Row],[Division]],config_div[Id], config_div[Name],,0)</f>
        <v>水街店</v>
      </c>
      <c r="T410" t="str">
        <f>IF(Jnl[[#This Row],[TrxDate]]&lt;=stmt_BS_date_end, "In", "Out")</f>
        <v>In</v>
      </c>
      <c r="U410" t="str">
        <f>IF(Jnl[[#This Row],[TrxDate]]&lt;debug_date_start, "prior", IF(Jnl[[#This Row],[TrxDate]]&gt;debug_date_end, "post", "curr"))</f>
        <v>prior</v>
      </c>
    </row>
    <row r="411" spans="1:21">
      <c r="A411" s="11" t="s">
        <v>613</v>
      </c>
      <c r="B411" s="7">
        <f>_xlfn.XLOOKUP(Jnl[[#This Row],[TrxId]], Trx[Id], Trx[Date],,0)</f>
        <v>46053</v>
      </c>
      <c r="C411" s="7" t="str">
        <f>_xlfn.XLOOKUP(Jnl[[#This Row],[TrxId]], Trx[Id], Trx[Division],,0)</f>
        <v>GM</v>
      </c>
      <c r="D411" s="7" t="str">
        <f>_xlfn.XLOOKUP(Jnl[[#This Row],[TrxId]], Trx[Id], Trx[Action],,0)</f>
        <v>支付</v>
      </c>
      <c r="E411" s="26" t="s">
        <v>81</v>
      </c>
      <c r="F411" s="11" t="s">
        <v>590</v>
      </c>
      <c r="G411" s="11" t="s">
        <v>392</v>
      </c>
      <c r="H411" s="72">
        <v>-34695.089999999997</v>
      </c>
      <c r="I411" s="5" t="b">
        <f>AND(Jnl[[#This Row],[TrxId]]&lt;&gt;"",Jnl[[#This Row],[Acct]]&lt;&gt;"",Jnl[[#This Row],[Item]]&lt;&gt;"",ISNUMBER(Jnl[[#This Row],[Bal]]))</f>
        <v>1</v>
      </c>
      <c r="J411" s="10">
        <f>IF(Jnl[[#This Row],[BSLv0]]="A",1,-1)*Jnl[[#This Row],[Bal]]</f>
        <v>-34695.089999999997</v>
      </c>
      <c r="K411" t="str">
        <f>_xlfn.XLOOKUP(Jnl[[#This Row],[Acct]], config_BS[Acct], config_BS[Lv0],,0)</f>
        <v>A</v>
      </c>
      <c r="L411" t="str">
        <f>_xlfn.XLOOKUP(Jnl[[#This Row],[Acct]], config_BS[Acct], config_BS[Lv1],,0)</f>
        <v>Assets</v>
      </c>
      <c r="M411" t="str">
        <f>_xlfn.XLOOKUP(Jnl[[#This Row],[Acct]], config_BS[Acct], config_BS[Lv2],,0)</f>
        <v>Cash alike</v>
      </c>
      <c r="N411" t="str">
        <f>_xlfn.XLOOKUP(Jnl[[#This Row],[TrxId]], Trx[Id], Trx[IncNode], ,0)</f>
        <v>Expense</v>
      </c>
      <c r="O411" t="str">
        <f>_xlfn.XLOOKUP(Jnl[[#This Row],[IncNode]], config_IS[Node], config_IS[Type],,0)</f>
        <v>Op</v>
      </c>
      <c r="P411" t="str">
        <f>_xlfn.XLOOKUP(Jnl[[#This Row],[BSLv2]], dict[Key], dict[Name],,0)</f>
        <v>0.现金及类似</v>
      </c>
      <c r="Q411" t="str">
        <f>_xlfn.XLOOKUP(Jnl[[#This Row],[Acct]], dict[Key], dict[Name],,0)</f>
        <v>银行</v>
      </c>
      <c r="R411" t="str">
        <f>_xlfn.XLOOKUP(Jnl[[#This Row],[Vehicle]],config_vehicle[Id], config_vehicle[Name],,0)</f>
        <v>喜家文化</v>
      </c>
      <c r="S411" t="str">
        <f>_xlfn.XLOOKUP(Jnl[[#This Row],[Division]],config_div[Id], config_div[Name],,0)</f>
        <v>综合管理</v>
      </c>
      <c r="T411" t="str">
        <f>IF(Jnl[[#This Row],[TrxDate]]&lt;=stmt_BS_date_end, "In", "Out")</f>
        <v>In</v>
      </c>
      <c r="U411" t="str">
        <f>IF(Jnl[[#This Row],[TrxDate]]&lt;debug_date_start, "prior", IF(Jnl[[#This Row],[TrxDate]]&gt;debug_date_end, "post", "curr"))</f>
        <v>prior</v>
      </c>
    </row>
    <row r="412" spans="1:21">
      <c r="A412" s="11" t="s">
        <v>613</v>
      </c>
      <c r="B412" s="7">
        <f>_xlfn.XLOOKUP(Jnl[[#This Row],[TrxId]], Trx[Id], Trx[Date],,0)</f>
        <v>46053</v>
      </c>
      <c r="C412" s="7" t="str">
        <f>_xlfn.XLOOKUP(Jnl[[#This Row],[TrxId]], Trx[Id], Trx[Division],,0)</f>
        <v>GM</v>
      </c>
      <c r="D412" s="7" t="str">
        <f>_xlfn.XLOOKUP(Jnl[[#This Row],[TrxId]], Trx[Id], Trx[Action],,0)</f>
        <v>支付</v>
      </c>
      <c r="E412" s="26" t="s">
        <v>81</v>
      </c>
      <c r="F412" s="11" t="s">
        <v>596</v>
      </c>
      <c r="G412" s="11" t="s">
        <v>149</v>
      </c>
      <c r="H412" s="72">
        <v>-37380.69</v>
      </c>
      <c r="I412" s="5" t="b">
        <f>AND(Jnl[[#This Row],[TrxId]]&lt;&gt;"",Jnl[[#This Row],[Acct]]&lt;&gt;"",Jnl[[#This Row],[Item]]&lt;&gt;"",ISNUMBER(Jnl[[#This Row],[Bal]]))</f>
        <v>1</v>
      </c>
      <c r="J412" s="10">
        <f>IF(Jnl[[#This Row],[BSLv0]]="A",1,-1)*Jnl[[#This Row],[Bal]]</f>
        <v>37380.69</v>
      </c>
      <c r="K412" t="str">
        <f>_xlfn.XLOOKUP(Jnl[[#This Row],[Acct]], config_BS[Acct], config_BS[Lv0],,0)</f>
        <v>LC</v>
      </c>
      <c r="L412" t="str">
        <f>_xlfn.XLOOKUP(Jnl[[#This Row],[Acct]], config_BS[Acct], config_BS[Lv1],,0)</f>
        <v>Liability</v>
      </c>
      <c r="M412" t="str">
        <f>_xlfn.XLOOKUP(Jnl[[#This Row],[Acct]], config_BS[Acct], config_BS[Lv2],,0)</f>
        <v>Rec-Pay</v>
      </c>
      <c r="N412" t="str">
        <f>_xlfn.XLOOKUP(Jnl[[#This Row],[TrxId]], Trx[Id], Trx[IncNode], ,0)</f>
        <v>Expense</v>
      </c>
      <c r="O412" t="str">
        <f>_xlfn.XLOOKUP(Jnl[[#This Row],[IncNode]], config_IS[Node], config_IS[Type],,0)</f>
        <v>Op</v>
      </c>
      <c r="P412" t="str">
        <f>_xlfn.XLOOKUP(Jnl[[#This Row],[BSLv2]], dict[Key], dict[Name],,0)</f>
        <v>1.应收-应付</v>
      </c>
      <c r="Q412" t="str">
        <f>_xlfn.XLOOKUP(Jnl[[#This Row],[Acct]], dict[Key], dict[Name],,0)</f>
        <v>应付-薪资</v>
      </c>
      <c r="R412" t="str">
        <f>_xlfn.XLOOKUP(Jnl[[#This Row],[Vehicle]],config_vehicle[Id], config_vehicle[Name],,0)</f>
        <v>喜家文化</v>
      </c>
      <c r="S412" t="str">
        <f>_xlfn.XLOOKUP(Jnl[[#This Row],[Division]],config_div[Id], config_div[Name],,0)</f>
        <v>综合管理</v>
      </c>
      <c r="T412" t="str">
        <f>IF(Jnl[[#This Row],[TrxDate]]&lt;=stmt_BS_date_end, "In", "Out")</f>
        <v>In</v>
      </c>
      <c r="U412" t="str">
        <f>IF(Jnl[[#This Row],[TrxDate]]&lt;debug_date_start, "prior", IF(Jnl[[#This Row],[TrxDate]]&gt;debug_date_end, "post", "curr"))</f>
        <v>prior</v>
      </c>
    </row>
    <row r="413" spans="1:21">
      <c r="A413" s="11" t="s">
        <v>613</v>
      </c>
      <c r="B413" s="7">
        <f>_xlfn.XLOOKUP(Jnl[[#This Row],[TrxId]], Trx[Id], Trx[Date],,0)</f>
        <v>46053</v>
      </c>
      <c r="C413" s="7" t="str">
        <f>_xlfn.XLOOKUP(Jnl[[#This Row],[TrxId]], Trx[Id], Trx[Division],,0)</f>
        <v>GM</v>
      </c>
      <c r="D413" s="7" t="str">
        <f>_xlfn.XLOOKUP(Jnl[[#This Row],[TrxId]], Trx[Id], Trx[Action],,0)</f>
        <v>支付</v>
      </c>
      <c r="E413" s="26" t="s">
        <v>81</v>
      </c>
      <c r="F413" s="11" t="s">
        <v>595</v>
      </c>
      <c r="G413" s="11" t="s">
        <v>344</v>
      </c>
      <c r="H413" s="72">
        <v>-2385.75</v>
      </c>
      <c r="I413" s="5" t="b">
        <f>AND(Jnl[[#This Row],[TrxId]]&lt;&gt;"",Jnl[[#This Row],[Acct]]&lt;&gt;"",Jnl[[#This Row],[Item]]&lt;&gt;"",ISNUMBER(Jnl[[#This Row],[Bal]]))</f>
        <v>1</v>
      </c>
      <c r="J413" s="10">
        <f>IF(Jnl[[#This Row],[BSLv0]]="A",1,-1)*Jnl[[#This Row],[Bal]]</f>
        <v>-2385.75</v>
      </c>
      <c r="K413" t="str">
        <f>_xlfn.XLOOKUP(Jnl[[#This Row],[Acct]], config_BS[Acct], config_BS[Lv0],,0)</f>
        <v>A</v>
      </c>
      <c r="L413" t="str">
        <f>_xlfn.XLOOKUP(Jnl[[#This Row],[Acct]], config_BS[Acct], config_BS[Lv1],,0)</f>
        <v>Assets</v>
      </c>
      <c r="M413" t="str">
        <f>_xlfn.XLOOKUP(Jnl[[#This Row],[Acct]], config_BS[Acct], config_BS[Lv2],,0)</f>
        <v>Rec-Pay</v>
      </c>
      <c r="N413" t="str">
        <f>_xlfn.XLOOKUP(Jnl[[#This Row],[TrxId]], Trx[Id], Trx[IncNode], ,0)</f>
        <v>Expense</v>
      </c>
      <c r="O413" t="str">
        <f>_xlfn.XLOOKUP(Jnl[[#This Row],[IncNode]], config_IS[Node], config_IS[Type],,0)</f>
        <v>Op</v>
      </c>
      <c r="P413" t="str">
        <f>_xlfn.XLOOKUP(Jnl[[#This Row],[BSLv2]], dict[Key], dict[Name],,0)</f>
        <v>1.应收-应付</v>
      </c>
      <c r="Q413" t="str">
        <f>_xlfn.XLOOKUP(Jnl[[#This Row],[Acct]], dict[Key], dict[Name],,0)</f>
        <v>应收-其他</v>
      </c>
      <c r="R413" t="str">
        <f>_xlfn.XLOOKUP(Jnl[[#This Row],[Vehicle]],config_vehicle[Id], config_vehicle[Name],,0)</f>
        <v>喜家文化</v>
      </c>
      <c r="S413" t="str">
        <f>_xlfn.XLOOKUP(Jnl[[#This Row],[Division]],config_div[Id], config_div[Name],,0)</f>
        <v>综合管理</v>
      </c>
      <c r="T413" t="str">
        <f>IF(Jnl[[#This Row],[TrxDate]]&lt;=stmt_BS_date_end, "In", "Out")</f>
        <v>In</v>
      </c>
      <c r="U413" t="str">
        <f>IF(Jnl[[#This Row],[TrxDate]]&lt;debug_date_start, "prior", IF(Jnl[[#This Row],[TrxDate]]&gt;debug_date_end, "post", "curr"))</f>
        <v>prior</v>
      </c>
    </row>
    <row r="414" spans="1:21">
      <c r="A414" s="11" t="s">
        <v>613</v>
      </c>
      <c r="B414" s="7">
        <f>_xlfn.XLOOKUP(Jnl[[#This Row],[TrxId]], Trx[Id], Trx[Date],,0)</f>
        <v>46053</v>
      </c>
      <c r="C414" s="7" t="str">
        <f>_xlfn.XLOOKUP(Jnl[[#This Row],[TrxId]], Trx[Id], Trx[Division],,0)</f>
        <v>GM</v>
      </c>
      <c r="D414" s="7" t="str">
        <f>_xlfn.XLOOKUP(Jnl[[#This Row],[TrxId]], Trx[Id], Trx[Action],,0)</f>
        <v>支付</v>
      </c>
      <c r="E414" s="26" t="s">
        <v>81</v>
      </c>
      <c r="F414" s="11" t="s">
        <v>127</v>
      </c>
      <c r="G414" s="11" t="s">
        <v>343</v>
      </c>
      <c r="H414" s="72">
        <v>299.85000000000002</v>
      </c>
      <c r="I414" s="5" t="b">
        <f>AND(Jnl[[#This Row],[TrxId]]&lt;&gt;"",Jnl[[#This Row],[Acct]]&lt;&gt;"",Jnl[[#This Row],[Item]]&lt;&gt;"",ISNUMBER(Jnl[[#This Row],[Bal]]))</f>
        <v>1</v>
      </c>
      <c r="J414" s="10">
        <f>IF(Jnl[[#This Row],[BSLv0]]="A",1,-1)*Jnl[[#This Row],[Bal]]</f>
        <v>-299.85000000000002</v>
      </c>
      <c r="K414" t="str">
        <f>_xlfn.XLOOKUP(Jnl[[#This Row],[Acct]], config_BS[Acct], config_BS[Lv0],,0)</f>
        <v>LC</v>
      </c>
      <c r="L414" t="str">
        <f>_xlfn.XLOOKUP(Jnl[[#This Row],[Acct]], config_BS[Acct], config_BS[Lv1],,0)</f>
        <v>Liability</v>
      </c>
      <c r="M414" t="str">
        <f>_xlfn.XLOOKUP(Jnl[[#This Row],[Acct]], config_BS[Acct], config_BS[Lv2],,0)</f>
        <v>Rec-Pay</v>
      </c>
      <c r="N414" t="str">
        <f>_xlfn.XLOOKUP(Jnl[[#This Row],[TrxId]], Trx[Id], Trx[IncNode], ,0)</f>
        <v>Expense</v>
      </c>
      <c r="O414" t="str">
        <f>_xlfn.XLOOKUP(Jnl[[#This Row],[IncNode]], config_IS[Node], config_IS[Type],,0)</f>
        <v>Op</v>
      </c>
      <c r="P414" t="str">
        <f>_xlfn.XLOOKUP(Jnl[[#This Row],[BSLv2]], dict[Key], dict[Name],,0)</f>
        <v>1.应收-应付</v>
      </c>
      <c r="Q414" t="str">
        <f>_xlfn.XLOOKUP(Jnl[[#This Row],[Acct]], dict[Key], dict[Name],,0)</f>
        <v>应付-税款</v>
      </c>
      <c r="R414" t="str">
        <f>_xlfn.XLOOKUP(Jnl[[#This Row],[Vehicle]],config_vehicle[Id], config_vehicle[Name],,0)</f>
        <v>喜家文化</v>
      </c>
      <c r="S414" t="str">
        <f>_xlfn.XLOOKUP(Jnl[[#This Row],[Division]],config_div[Id], config_div[Name],,0)</f>
        <v>综合管理</v>
      </c>
      <c r="T414" t="str">
        <f>IF(Jnl[[#This Row],[TrxDate]]&lt;=stmt_BS_date_end, "In", "Out")</f>
        <v>In</v>
      </c>
      <c r="U414" t="str">
        <f>IF(Jnl[[#This Row],[TrxDate]]&lt;debug_date_start, "prior", IF(Jnl[[#This Row],[TrxDate]]&gt;debug_date_end, "post", "curr"))</f>
        <v>prior</v>
      </c>
    </row>
    <row r="415" spans="1:21">
      <c r="A415" s="11" t="s">
        <v>614</v>
      </c>
      <c r="B415" s="7">
        <f>_xlfn.XLOOKUP(Jnl[[#This Row],[TrxId]], Trx[Id], Trx[Date],,0)</f>
        <v>46053</v>
      </c>
      <c r="C415" s="7" t="str">
        <f>_xlfn.XLOOKUP(Jnl[[#This Row],[TrxId]], Trx[Id], Trx[Division],,0)</f>
        <v>GM</v>
      </c>
      <c r="D415" s="7" t="str">
        <f>_xlfn.XLOOKUP(Jnl[[#This Row],[TrxId]], Trx[Id], Trx[Action],,0)</f>
        <v>支付</v>
      </c>
      <c r="E415" s="26" t="s">
        <v>81</v>
      </c>
      <c r="F415" s="11" t="s">
        <v>127</v>
      </c>
      <c r="G415" s="11" t="s">
        <v>343</v>
      </c>
      <c r="H415" s="72">
        <v>-299.85000000000002</v>
      </c>
      <c r="I415" s="5" t="b">
        <f>AND(Jnl[[#This Row],[TrxId]]&lt;&gt;"",Jnl[[#This Row],[Acct]]&lt;&gt;"",Jnl[[#This Row],[Item]]&lt;&gt;"",ISNUMBER(Jnl[[#This Row],[Bal]]))</f>
        <v>1</v>
      </c>
      <c r="J415" s="10">
        <f>IF(Jnl[[#This Row],[BSLv0]]="A",1,-1)*Jnl[[#This Row],[Bal]]</f>
        <v>299.85000000000002</v>
      </c>
      <c r="K415" t="str">
        <f>_xlfn.XLOOKUP(Jnl[[#This Row],[Acct]], config_BS[Acct], config_BS[Lv0],,0)</f>
        <v>LC</v>
      </c>
      <c r="L415" t="str">
        <f>_xlfn.XLOOKUP(Jnl[[#This Row],[Acct]], config_BS[Acct], config_BS[Lv1],,0)</f>
        <v>Liability</v>
      </c>
      <c r="M415" t="str">
        <f>_xlfn.XLOOKUP(Jnl[[#This Row],[Acct]], config_BS[Acct], config_BS[Lv2],,0)</f>
        <v>Rec-Pay</v>
      </c>
      <c r="N415" t="str">
        <f>_xlfn.XLOOKUP(Jnl[[#This Row],[TrxId]], Trx[Id], Trx[IncNode], ,0)</f>
        <v>Expense</v>
      </c>
      <c r="O415" t="str">
        <f>_xlfn.XLOOKUP(Jnl[[#This Row],[IncNode]], config_IS[Node], config_IS[Type],,0)</f>
        <v>Op</v>
      </c>
      <c r="P415" t="str">
        <f>_xlfn.XLOOKUP(Jnl[[#This Row],[BSLv2]], dict[Key], dict[Name],,0)</f>
        <v>1.应收-应付</v>
      </c>
      <c r="Q415" t="str">
        <f>_xlfn.XLOOKUP(Jnl[[#This Row],[Acct]], dict[Key], dict[Name],,0)</f>
        <v>应付-税款</v>
      </c>
      <c r="R415" t="str">
        <f>_xlfn.XLOOKUP(Jnl[[#This Row],[Vehicle]],config_vehicle[Id], config_vehicle[Name],,0)</f>
        <v>喜家文化</v>
      </c>
      <c r="S415" t="str">
        <f>_xlfn.XLOOKUP(Jnl[[#This Row],[Division]],config_div[Id], config_div[Name],,0)</f>
        <v>综合管理</v>
      </c>
      <c r="T415" t="str">
        <f>IF(Jnl[[#This Row],[TrxDate]]&lt;=stmt_BS_date_end, "In", "Out")</f>
        <v>In</v>
      </c>
      <c r="U415" t="str">
        <f>IF(Jnl[[#This Row],[TrxDate]]&lt;debug_date_start, "prior", IF(Jnl[[#This Row],[TrxDate]]&gt;debug_date_end, "post", "curr"))</f>
        <v>prior</v>
      </c>
    </row>
    <row r="416" spans="1:21">
      <c r="A416" s="11" t="s">
        <v>614</v>
      </c>
      <c r="B416" s="7">
        <f>_xlfn.XLOOKUP(Jnl[[#This Row],[TrxId]], Trx[Id], Trx[Date],,0)</f>
        <v>46053</v>
      </c>
      <c r="C416" s="7" t="str">
        <f>_xlfn.XLOOKUP(Jnl[[#This Row],[TrxId]], Trx[Id], Trx[Division],,0)</f>
        <v>GM</v>
      </c>
      <c r="D416" s="7" t="str">
        <f>_xlfn.XLOOKUP(Jnl[[#This Row],[TrxId]], Trx[Id], Trx[Action],,0)</f>
        <v>支付</v>
      </c>
      <c r="E416" s="26" t="s">
        <v>81</v>
      </c>
      <c r="F416" s="11" t="s">
        <v>590</v>
      </c>
      <c r="G416" s="11" t="s">
        <v>392</v>
      </c>
      <c r="H416" s="72">
        <v>-299.85000000000002</v>
      </c>
      <c r="I416" s="5" t="b">
        <f>AND(Jnl[[#This Row],[TrxId]]&lt;&gt;"",Jnl[[#This Row],[Acct]]&lt;&gt;"",Jnl[[#This Row],[Item]]&lt;&gt;"",ISNUMBER(Jnl[[#This Row],[Bal]]))</f>
        <v>1</v>
      </c>
      <c r="J416" s="10">
        <f>IF(Jnl[[#This Row],[BSLv0]]="A",1,-1)*Jnl[[#This Row],[Bal]]</f>
        <v>-299.85000000000002</v>
      </c>
      <c r="K416" t="str">
        <f>_xlfn.XLOOKUP(Jnl[[#This Row],[Acct]], config_BS[Acct], config_BS[Lv0],,0)</f>
        <v>A</v>
      </c>
      <c r="L416" t="str">
        <f>_xlfn.XLOOKUP(Jnl[[#This Row],[Acct]], config_BS[Acct], config_BS[Lv1],,0)</f>
        <v>Assets</v>
      </c>
      <c r="M416" t="str">
        <f>_xlfn.XLOOKUP(Jnl[[#This Row],[Acct]], config_BS[Acct], config_BS[Lv2],,0)</f>
        <v>Cash alike</v>
      </c>
      <c r="N416" t="str">
        <f>_xlfn.XLOOKUP(Jnl[[#This Row],[TrxId]], Trx[Id], Trx[IncNode], ,0)</f>
        <v>Expense</v>
      </c>
      <c r="O416" t="str">
        <f>_xlfn.XLOOKUP(Jnl[[#This Row],[IncNode]], config_IS[Node], config_IS[Type],,0)</f>
        <v>Op</v>
      </c>
      <c r="P416" t="str">
        <f>_xlfn.XLOOKUP(Jnl[[#This Row],[BSLv2]], dict[Key], dict[Name],,0)</f>
        <v>0.现金及类似</v>
      </c>
      <c r="Q416" t="str">
        <f>_xlfn.XLOOKUP(Jnl[[#This Row],[Acct]], dict[Key], dict[Name],,0)</f>
        <v>银行</v>
      </c>
      <c r="R416" t="str">
        <f>_xlfn.XLOOKUP(Jnl[[#This Row],[Vehicle]],config_vehicle[Id], config_vehicle[Name],,0)</f>
        <v>喜家文化</v>
      </c>
      <c r="S416" t="str">
        <f>_xlfn.XLOOKUP(Jnl[[#This Row],[Division]],config_div[Id], config_div[Name],,0)</f>
        <v>综合管理</v>
      </c>
      <c r="T416" t="str">
        <f>IF(Jnl[[#This Row],[TrxDate]]&lt;=stmt_BS_date_end, "In", "Out")</f>
        <v>In</v>
      </c>
      <c r="U416" t="str">
        <f>IF(Jnl[[#This Row],[TrxDate]]&lt;debug_date_start, "prior", IF(Jnl[[#This Row],[TrxDate]]&gt;debug_date_end, "post", "curr"))</f>
        <v>prior</v>
      </c>
    </row>
    <row r="417" spans="1:21">
      <c r="A417" s="11" t="s">
        <v>615</v>
      </c>
      <c r="B417" s="7">
        <f>_xlfn.XLOOKUP(Jnl[[#This Row],[TrxId]], Trx[Id], Trx[Date],,0)</f>
        <v>46053</v>
      </c>
      <c r="C417" s="7" t="str">
        <f>_xlfn.XLOOKUP(Jnl[[#This Row],[TrxId]], Trx[Id], Trx[Division],,0)</f>
        <v>Ctrl</v>
      </c>
      <c r="D417" s="7" t="str">
        <f>_xlfn.XLOOKUP(Jnl[[#This Row],[TrxId]], Trx[Id], Trx[Action],,0)</f>
        <v>支付</v>
      </c>
      <c r="E417" s="26" t="s">
        <v>81</v>
      </c>
      <c r="F417" s="11" t="s">
        <v>127</v>
      </c>
      <c r="G417" s="11" t="s">
        <v>307</v>
      </c>
      <c r="H417" s="72">
        <v>-11047.53</v>
      </c>
      <c r="I417" s="5" t="b">
        <f>AND(Jnl[[#This Row],[TrxId]]&lt;&gt;"",Jnl[[#This Row],[Acct]]&lt;&gt;"",Jnl[[#This Row],[Item]]&lt;&gt;"",ISNUMBER(Jnl[[#This Row],[Bal]]))</f>
        <v>1</v>
      </c>
      <c r="J417" s="10">
        <f>IF(Jnl[[#This Row],[BSLv0]]="A",1,-1)*Jnl[[#This Row],[Bal]]</f>
        <v>11047.53</v>
      </c>
      <c r="K417" t="str">
        <f>_xlfn.XLOOKUP(Jnl[[#This Row],[Acct]], config_BS[Acct], config_BS[Lv0],,0)</f>
        <v>LC</v>
      </c>
      <c r="L417" t="str">
        <f>_xlfn.XLOOKUP(Jnl[[#This Row],[Acct]], config_BS[Acct], config_BS[Lv1],,0)</f>
        <v>Liability</v>
      </c>
      <c r="M417" t="str">
        <f>_xlfn.XLOOKUP(Jnl[[#This Row],[Acct]], config_BS[Acct], config_BS[Lv2],,0)</f>
        <v>Rec-Pay</v>
      </c>
      <c r="N417" t="str">
        <f>_xlfn.XLOOKUP(Jnl[[#This Row],[TrxId]], Trx[Id], Trx[IncNode], ,0)</f>
        <v>Expense</v>
      </c>
      <c r="O417" t="str">
        <f>_xlfn.XLOOKUP(Jnl[[#This Row],[IncNode]], config_IS[Node], config_IS[Type],,0)</f>
        <v>Op</v>
      </c>
      <c r="P417" t="str">
        <f>_xlfn.XLOOKUP(Jnl[[#This Row],[BSLv2]], dict[Key], dict[Name],,0)</f>
        <v>1.应收-应付</v>
      </c>
      <c r="Q417" t="str">
        <f>_xlfn.XLOOKUP(Jnl[[#This Row],[Acct]], dict[Key], dict[Name],,0)</f>
        <v>应付-税款</v>
      </c>
      <c r="R417" t="str">
        <f>_xlfn.XLOOKUP(Jnl[[#This Row],[Vehicle]],config_vehicle[Id], config_vehicle[Name],,0)</f>
        <v>喜家文化</v>
      </c>
      <c r="S417" t="str">
        <f>_xlfn.XLOOKUP(Jnl[[#This Row],[Division]],config_div[Id], config_div[Name],,0)</f>
        <v>内控合规</v>
      </c>
      <c r="T417" t="str">
        <f>IF(Jnl[[#This Row],[TrxDate]]&lt;=stmt_BS_date_end, "In", "Out")</f>
        <v>In</v>
      </c>
      <c r="U417" t="str">
        <f>IF(Jnl[[#This Row],[TrxDate]]&lt;debug_date_start, "prior", IF(Jnl[[#This Row],[TrxDate]]&gt;debug_date_end, "post", "curr"))</f>
        <v>prior</v>
      </c>
    </row>
    <row r="418" spans="1:21">
      <c r="A418" s="11" t="s">
        <v>615</v>
      </c>
      <c r="B418" s="7">
        <f>_xlfn.XLOOKUP(Jnl[[#This Row],[TrxId]], Trx[Id], Trx[Date],,0)</f>
        <v>46053</v>
      </c>
      <c r="C418" s="7" t="str">
        <f>_xlfn.XLOOKUP(Jnl[[#This Row],[TrxId]], Trx[Id], Trx[Division],,0)</f>
        <v>Ctrl</v>
      </c>
      <c r="D418" s="7" t="str">
        <f>_xlfn.XLOOKUP(Jnl[[#This Row],[TrxId]], Trx[Id], Trx[Action],,0)</f>
        <v>支付</v>
      </c>
      <c r="E418" s="26" t="s">
        <v>81</v>
      </c>
      <c r="F418" s="11" t="s">
        <v>127</v>
      </c>
      <c r="G418" s="11" t="s">
        <v>616</v>
      </c>
      <c r="H418" s="72">
        <v>-78.09</v>
      </c>
      <c r="I418" s="5" t="b">
        <f>AND(Jnl[[#This Row],[TrxId]]&lt;&gt;"",Jnl[[#This Row],[Acct]]&lt;&gt;"",Jnl[[#This Row],[Item]]&lt;&gt;"",ISNUMBER(Jnl[[#This Row],[Bal]]))</f>
        <v>1</v>
      </c>
      <c r="J418" s="10">
        <f>IF(Jnl[[#This Row],[BSLv0]]="A",1,-1)*Jnl[[#This Row],[Bal]]</f>
        <v>78.09</v>
      </c>
      <c r="K418" t="str">
        <f>_xlfn.XLOOKUP(Jnl[[#This Row],[Acct]], config_BS[Acct], config_BS[Lv0],,0)</f>
        <v>LC</v>
      </c>
      <c r="L418" t="str">
        <f>_xlfn.XLOOKUP(Jnl[[#This Row],[Acct]], config_BS[Acct], config_BS[Lv1],,0)</f>
        <v>Liability</v>
      </c>
      <c r="M418" t="str">
        <f>_xlfn.XLOOKUP(Jnl[[#This Row],[Acct]], config_BS[Acct], config_BS[Lv2],,0)</f>
        <v>Rec-Pay</v>
      </c>
      <c r="N418" t="str">
        <f>_xlfn.XLOOKUP(Jnl[[#This Row],[TrxId]], Trx[Id], Trx[IncNode], ,0)</f>
        <v>Expense</v>
      </c>
      <c r="O418" t="str">
        <f>_xlfn.XLOOKUP(Jnl[[#This Row],[IncNode]], config_IS[Node], config_IS[Type],,0)</f>
        <v>Op</v>
      </c>
      <c r="P418" t="str">
        <f>_xlfn.XLOOKUP(Jnl[[#This Row],[BSLv2]], dict[Key], dict[Name],,0)</f>
        <v>1.应收-应付</v>
      </c>
      <c r="Q418" t="str">
        <f>_xlfn.XLOOKUP(Jnl[[#This Row],[Acct]], dict[Key], dict[Name],,0)</f>
        <v>应付-税款</v>
      </c>
      <c r="R418" t="str">
        <f>_xlfn.XLOOKUP(Jnl[[#This Row],[Vehicle]],config_vehicle[Id], config_vehicle[Name],,0)</f>
        <v>喜家文化</v>
      </c>
      <c r="S418" t="str">
        <f>_xlfn.XLOOKUP(Jnl[[#This Row],[Division]],config_div[Id], config_div[Name],,0)</f>
        <v>内控合规</v>
      </c>
      <c r="T418" t="str">
        <f>IF(Jnl[[#This Row],[TrxDate]]&lt;=stmt_BS_date_end, "In", "Out")</f>
        <v>In</v>
      </c>
      <c r="U418" t="str">
        <f>IF(Jnl[[#This Row],[TrxDate]]&lt;debug_date_start, "prior", IF(Jnl[[#This Row],[TrxDate]]&gt;debug_date_end, "post", "curr"))</f>
        <v>prior</v>
      </c>
    </row>
    <row r="419" spans="1:21">
      <c r="A419" s="11" t="s">
        <v>615</v>
      </c>
      <c r="B419" s="7">
        <f>_xlfn.XLOOKUP(Jnl[[#This Row],[TrxId]], Trx[Id], Trx[Date],,0)</f>
        <v>46053</v>
      </c>
      <c r="C419" s="7" t="str">
        <f>_xlfn.XLOOKUP(Jnl[[#This Row],[TrxId]], Trx[Id], Trx[Division],,0)</f>
        <v>Ctrl</v>
      </c>
      <c r="D419" s="7" t="str">
        <f>_xlfn.XLOOKUP(Jnl[[#This Row],[TrxId]], Trx[Id], Trx[Action],,0)</f>
        <v>支付</v>
      </c>
      <c r="E419" s="26" t="s">
        <v>81</v>
      </c>
      <c r="F419" s="11" t="s">
        <v>127</v>
      </c>
      <c r="G419" s="11" t="s">
        <v>348</v>
      </c>
      <c r="H419" s="72">
        <v>-667.52</v>
      </c>
      <c r="I419" s="5" t="b">
        <f>AND(Jnl[[#This Row],[TrxId]]&lt;&gt;"",Jnl[[#This Row],[Acct]]&lt;&gt;"",Jnl[[#This Row],[Item]]&lt;&gt;"",ISNUMBER(Jnl[[#This Row],[Bal]]))</f>
        <v>1</v>
      </c>
      <c r="J419" s="10">
        <f>IF(Jnl[[#This Row],[BSLv0]]="A",1,-1)*Jnl[[#This Row],[Bal]]</f>
        <v>667.52</v>
      </c>
      <c r="K419" t="str">
        <f>_xlfn.XLOOKUP(Jnl[[#This Row],[Acct]], config_BS[Acct], config_BS[Lv0],,0)</f>
        <v>LC</v>
      </c>
      <c r="L419" t="str">
        <f>_xlfn.XLOOKUP(Jnl[[#This Row],[Acct]], config_BS[Acct], config_BS[Lv1],,0)</f>
        <v>Liability</v>
      </c>
      <c r="M419" t="str">
        <f>_xlfn.XLOOKUP(Jnl[[#This Row],[Acct]], config_BS[Acct], config_BS[Lv2],,0)</f>
        <v>Rec-Pay</v>
      </c>
      <c r="N419" t="str">
        <f>_xlfn.XLOOKUP(Jnl[[#This Row],[TrxId]], Trx[Id], Trx[IncNode], ,0)</f>
        <v>Expense</v>
      </c>
      <c r="O419" t="str">
        <f>_xlfn.XLOOKUP(Jnl[[#This Row],[IncNode]], config_IS[Node], config_IS[Type],,0)</f>
        <v>Op</v>
      </c>
      <c r="P419" t="str">
        <f>_xlfn.XLOOKUP(Jnl[[#This Row],[BSLv2]], dict[Key], dict[Name],,0)</f>
        <v>1.应收-应付</v>
      </c>
      <c r="Q419" t="str">
        <f>_xlfn.XLOOKUP(Jnl[[#This Row],[Acct]], dict[Key], dict[Name],,0)</f>
        <v>应付-税款</v>
      </c>
      <c r="R419" t="str">
        <f>_xlfn.XLOOKUP(Jnl[[#This Row],[Vehicle]],config_vehicle[Id], config_vehicle[Name],,0)</f>
        <v>喜家文化</v>
      </c>
      <c r="S419" t="str">
        <f>_xlfn.XLOOKUP(Jnl[[#This Row],[Division]],config_div[Id], config_div[Name],,0)</f>
        <v>内控合规</v>
      </c>
      <c r="T419" t="str">
        <f>IF(Jnl[[#This Row],[TrxDate]]&lt;=stmt_BS_date_end, "In", "Out")</f>
        <v>In</v>
      </c>
      <c r="U419" t="str">
        <f>IF(Jnl[[#This Row],[TrxDate]]&lt;debug_date_start, "prior", IF(Jnl[[#This Row],[TrxDate]]&gt;debug_date_end, "post", "curr"))</f>
        <v>prior</v>
      </c>
    </row>
    <row r="420" spans="1:21">
      <c r="A420" s="11" t="s">
        <v>615</v>
      </c>
      <c r="B420" s="7">
        <f>_xlfn.XLOOKUP(Jnl[[#This Row],[TrxId]], Trx[Id], Trx[Date],,0)</f>
        <v>46053</v>
      </c>
      <c r="C420" s="7" t="str">
        <f>_xlfn.XLOOKUP(Jnl[[#This Row],[TrxId]], Trx[Id], Trx[Division],,0)</f>
        <v>Ctrl</v>
      </c>
      <c r="D420" s="7" t="str">
        <f>_xlfn.XLOOKUP(Jnl[[#This Row],[TrxId]], Trx[Id], Trx[Action],,0)</f>
        <v>支付</v>
      </c>
      <c r="E420" s="26" t="s">
        <v>81</v>
      </c>
      <c r="F420" s="11" t="s">
        <v>127</v>
      </c>
      <c r="G420" s="11" t="s">
        <v>349</v>
      </c>
      <c r="H420" s="72">
        <v>-980.15</v>
      </c>
      <c r="I420" s="5" t="b">
        <f>AND(Jnl[[#This Row],[TrxId]]&lt;&gt;"",Jnl[[#This Row],[Acct]]&lt;&gt;"",Jnl[[#This Row],[Item]]&lt;&gt;"",ISNUMBER(Jnl[[#This Row],[Bal]]))</f>
        <v>1</v>
      </c>
      <c r="J420" s="10">
        <f>IF(Jnl[[#This Row],[BSLv0]]="A",1,-1)*Jnl[[#This Row],[Bal]]</f>
        <v>980.15</v>
      </c>
      <c r="K420" t="str">
        <f>_xlfn.XLOOKUP(Jnl[[#This Row],[Acct]], config_BS[Acct], config_BS[Lv0],,0)</f>
        <v>LC</v>
      </c>
      <c r="L420" t="str">
        <f>_xlfn.XLOOKUP(Jnl[[#This Row],[Acct]], config_BS[Acct], config_BS[Lv1],,0)</f>
        <v>Liability</v>
      </c>
      <c r="M420" t="str">
        <f>_xlfn.XLOOKUP(Jnl[[#This Row],[Acct]], config_BS[Acct], config_BS[Lv2],,0)</f>
        <v>Rec-Pay</v>
      </c>
      <c r="N420" t="str">
        <f>_xlfn.XLOOKUP(Jnl[[#This Row],[TrxId]], Trx[Id], Trx[IncNode], ,0)</f>
        <v>Expense</v>
      </c>
      <c r="O420" t="str">
        <f>_xlfn.XLOOKUP(Jnl[[#This Row],[IncNode]], config_IS[Node], config_IS[Type],,0)</f>
        <v>Op</v>
      </c>
      <c r="P420" t="str">
        <f>_xlfn.XLOOKUP(Jnl[[#This Row],[BSLv2]], dict[Key], dict[Name],,0)</f>
        <v>1.应收-应付</v>
      </c>
      <c r="Q420" t="str">
        <f>_xlfn.XLOOKUP(Jnl[[#This Row],[Acct]], dict[Key], dict[Name],,0)</f>
        <v>应付-税款</v>
      </c>
      <c r="R420" t="str">
        <f>_xlfn.XLOOKUP(Jnl[[#This Row],[Vehicle]],config_vehicle[Id], config_vehicle[Name],,0)</f>
        <v>喜家文化</v>
      </c>
      <c r="S420" t="str">
        <f>_xlfn.XLOOKUP(Jnl[[#This Row],[Division]],config_div[Id], config_div[Name],,0)</f>
        <v>内控合规</v>
      </c>
      <c r="T420" t="str">
        <f>IF(Jnl[[#This Row],[TrxDate]]&lt;=stmt_BS_date_end, "In", "Out")</f>
        <v>In</v>
      </c>
      <c r="U420" t="str">
        <f>IF(Jnl[[#This Row],[TrxDate]]&lt;debug_date_start, "prior", IF(Jnl[[#This Row],[TrxDate]]&gt;debug_date_end, "post", "curr"))</f>
        <v>prior</v>
      </c>
    </row>
    <row r="421" spans="1:21">
      <c r="A421" s="11" t="s">
        <v>615</v>
      </c>
      <c r="B421" s="7">
        <f>_xlfn.XLOOKUP(Jnl[[#This Row],[TrxId]], Trx[Id], Trx[Date],,0)</f>
        <v>46053</v>
      </c>
      <c r="C421" s="7" t="str">
        <f>_xlfn.XLOOKUP(Jnl[[#This Row],[TrxId]], Trx[Id], Trx[Division],,0)</f>
        <v>Ctrl</v>
      </c>
      <c r="D421" s="7" t="str">
        <f>_xlfn.XLOOKUP(Jnl[[#This Row],[TrxId]], Trx[Id], Trx[Action],,0)</f>
        <v>支付</v>
      </c>
      <c r="E421" s="26" t="s">
        <v>81</v>
      </c>
      <c r="F421" s="11" t="s">
        <v>127</v>
      </c>
      <c r="G421" s="11" t="s">
        <v>347</v>
      </c>
      <c r="H421" s="72">
        <v>-17957.240000000002</v>
      </c>
      <c r="I421" s="5" t="b">
        <f>AND(Jnl[[#This Row],[TrxId]]&lt;&gt;"",Jnl[[#This Row],[Acct]]&lt;&gt;"",Jnl[[#This Row],[Item]]&lt;&gt;"",ISNUMBER(Jnl[[#This Row],[Bal]]))</f>
        <v>1</v>
      </c>
      <c r="J421" s="10">
        <f>IF(Jnl[[#This Row],[BSLv0]]="A",1,-1)*Jnl[[#This Row],[Bal]]</f>
        <v>17957.240000000002</v>
      </c>
      <c r="K421" t="str">
        <f>_xlfn.XLOOKUP(Jnl[[#This Row],[Acct]], config_BS[Acct], config_BS[Lv0],,0)</f>
        <v>LC</v>
      </c>
      <c r="L421" t="str">
        <f>_xlfn.XLOOKUP(Jnl[[#This Row],[Acct]], config_BS[Acct], config_BS[Lv1],,0)</f>
        <v>Liability</v>
      </c>
      <c r="M421" t="str">
        <f>_xlfn.XLOOKUP(Jnl[[#This Row],[Acct]], config_BS[Acct], config_BS[Lv2],,0)</f>
        <v>Rec-Pay</v>
      </c>
      <c r="N421" t="str">
        <f>_xlfn.XLOOKUP(Jnl[[#This Row],[TrxId]], Trx[Id], Trx[IncNode], ,0)</f>
        <v>Expense</v>
      </c>
      <c r="O421" t="str">
        <f>_xlfn.XLOOKUP(Jnl[[#This Row],[IncNode]], config_IS[Node], config_IS[Type],,0)</f>
        <v>Op</v>
      </c>
      <c r="P421" t="str">
        <f>_xlfn.XLOOKUP(Jnl[[#This Row],[BSLv2]], dict[Key], dict[Name],,0)</f>
        <v>1.应收-应付</v>
      </c>
      <c r="Q421" t="str">
        <f>_xlfn.XLOOKUP(Jnl[[#This Row],[Acct]], dict[Key], dict[Name],,0)</f>
        <v>应付-税款</v>
      </c>
      <c r="R421" t="str">
        <f>_xlfn.XLOOKUP(Jnl[[#This Row],[Vehicle]],config_vehicle[Id], config_vehicle[Name],,0)</f>
        <v>喜家文化</v>
      </c>
      <c r="S421" t="str">
        <f>_xlfn.XLOOKUP(Jnl[[#This Row],[Division]],config_div[Id], config_div[Name],,0)</f>
        <v>内控合规</v>
      </c>
      <c r="T421" t="str">
        <f>IF(Jnl[[#This Row],[TrxDate]]&lt;=stmt_BS_date_end, "In", "Out")</f>
        <v>In</v>
      </c>
      <c r="U421" t="str">
        <f>IF(Jnl[[#This Row],[TrxDate]]&lt;debug_date_start, "prior", IF(Jnl[[#This Row],[TrxDate]]&gt;debug_date_end, "post", "curr"))</f>
        <v>prior</v>
      </c>
    </row>
    <row r="422" spans="1:21">
      <c r="A422" s="11" t="s">
        <v>615</v>
      </c>
      <c r="B422" s="7">
        <f>_xlfn.XLOOKUP(Jnl[[#This Row],[TrxId]], Trx[Id], Trx[Date],,0)</f>
        <v>46053</v>
      </c>
      <c r="C422" s="7" t="str">
        <f>_xlfn.XLOOKUP(Jnl[[#This Row],[TrxId]], Trx[Id], Trx[Division],,0)</f>
        <v>Ctrl</v>
      </c>
      <c r="D422" s="7" t="str">
        <f>_xlfn.XLOOKUP(Jnl[[#This Row],[TrxId]], Trx[Id], Trx[Action],,0)</f>
        <v>支付</v>
      </c>
      <c r="E422" s="26" t="s">
        <v>81</v>
      </c>
      <c r="F422" s="11" t="s">
        <v>590</v>
      </c>
      <c r="G422" s="11" t="s">
        <v>392</v>
      </c>
      <c r="H422" s="72">
        <v>-30730.53</v>
      </c>
      <c r="I422" s="5" t="b">
        <f>AND(Jnl[[#This Row],[TrxId]]&lt;&gt;"",Jnl[[#This Row],[Acct]]&lt;&gt;"",Jnl[[#This Row],[Item]]&lt;&gt;"",ISNUMBER(Jnl[[#This Row],[Bal]]))</f>
        <v>1</v>
      </c>
      <c r="J422" s="10">
        <f>IF(Jnl[[#This Row],[BSLv0]]="A",1,-1)*Jnl[[#This Row],[Bal]]</f>
        <v>-30730.53</v>
      </c>
      <c r="K422" t="str">
        <f>_xlfn.XLOOKUP(Jnl[[#This Row],[Acct]], config_BS[Acct], config_BS[Lv0],,0)</f>
        <v>A</v>
      </c>
      <c r="L422" t="str">
        <f>_xlfn.XLOOKUP(Jnl[[#This Row],[Acct]], config_BS[Acct], config_BS[Lv1],,0)</f>
        <v>Assets</v>
      </c>
      <c r="M422" t="str">
        <f>_xlfn.XLOOKUP(Jnl[[#This Row],[Acct]], config_BS[Acct], config_BS[Lv2],,0)</f>
        <v>Cash alike</v>
      </c>
      <c r="N422" t="str">
        <f>_xlfn.XLOOKUP(Jnl[[#This Row],[TrxId]], Trx[Id], Trx[IncNode], ,0)</f>
        <v>Expense</v>
      </c>
      <c r="O422" t="str">
        <f>_xlfn.XLOOKUP(Jnl[[#This Row],[IncNode]], config_IS[Node], config_IS[Type],,0)</f>
        <v>Op</v>
      </c>
      <c r="P422" t="str">
        <f>_xlfn.XLOOKUP(Jnl[[#This Row],[BSLv2]], dict[Key], dict[Name],,0)</f>
        <v>0.现金及类似</v>
      </c>
      <c r="Q422" t="str">
        <f>_xlfn.XLOOKUP(Jnl[[#This Row],[Acct]], dict[Key], dict[Name],,0)</f>
        <v>银行</v>
      </c>
      <c r="R422" t="str">
        <f>_xlfn.XLOOKUP(Jnl[[#This Row],[Vehicle]],config_vehicle[Id], config_vehicle[Name],,0)</f>
        <v>喜家文化</v>
      </c>
      <c r="S422" t="str">
        <f>_xlfn.XLOOKUP(Jnl[[#This Row],[Division]],config_div[Id], config_div[Name],,0)</f>
        <v>内控合规</v>
      </c>
      <c r="T422" t="str">
        <f>IF(Jnl[[#This Row],[TrxDate]]&lt;=stmt_BS_date_end, "In", "Out")</f>
        <v>In</v>
      </c>
      <c r="U422" t="str">
        <f>IF(Jnl[[#This Row],[TrxDate]]&lt;debug_date_start, "prior", IF(Jnl[[#This Row],[TrxDate]]&gt;debug_date_end, "post", "curr"))</f>
        <v>prior</v>
      </c>
    </row>
    <row r="423" spans="1:21">
      <c r="A423" s="11" t="s">
        <v>617</v>
      </c>
      <c r="B423" s="7">
        <f>_xlfn.XLOOKUP(Jnl[[#This Row],[TrxId]], Trx[Id], Trx[Date],,0)</f>
        <v>46053</v>
      </c>
      <c r="C423" s="7" t="str">
        <f>_xlfn.XLOOKUP(Jnl[[#This Row],[TrxId]], Trx[Id], Trx[Division],,0)</f>
        <v>Shuijie</v>
      </c>
      <c r="D423" s="7" t="str">
        <f>_xlfn.XLOOKUP(Jnl[[#This Row],[TrxId]], Trx[Id], Trx[Action],,0)</f>
        <v>维护</v>
      </c>
      <c r="E423" s="26" t="s">
        <v>81</v>
      </c>
      <c r="F423" s="11" t="s">
        <v>590</v>
      </c>
      <c r="G423" s="11" t="s">
        <v>392</v>
      </c>
      <c r="H423" s="72">
        <v>-13366</v>
      </c>
      <c r="I423" s="5" t="b">
        <f>AND(Jnl[[#This Row],[TrxId]]&lt;&gt;"",Jnl[[#This Row],[Acct]]&lt;&gt;"",Jnl[[#This Row],[Item]]&lt;&gt;"",ISNUMBER(Jnl[[#This Row],[Bal]]))</f>
        <v>1</v>
      </c>
      <c r="J423" s="10">
        <f>IF(Jnl[[#This Row],[BSLv0]]="A",1,-1)*Jnl[[#This Row],[Bal]]</f>
        <v>-13366</v>
      </c>
      <c r="K423" t="str">
        <f>_xlfn.XLOOKUP(Jnl[[#This Row],[Acct]], config_BS[Acct], config_BS[Lv0],,0)</f>
        <v>A</v>
      </c>
      <c r="L423" t="str">
        <f>_xlfn.XLOOKUP(Jnl[[#This Row],[Acct]], config_BS[Acct], config_BS[Lv1],,0)</f>
        <v>Assets</v>
      </c>
      <c r="M423" t="str">
        <f>_xlfn.XLOOKUP(Jnl[[#This Row],[Acct]], config_BS[Acct], config_BS[Lv2],,0)</f>
        <v>Cash alike</v>
      </c>
      <c r="N423" t="str">
        <f>_xlfn.XLOOKUP(Jnl[[#This Row],[TrxId]], Trx[Id], Trx[IncNode], ,0)</f>
        <v>Expense</v>
      </c>
      <c r="O423" t="str">
        <f>_xlfn.XLOOKUP(Jnl[[#This Row],[IncNode]], config_IS[Node], config_IS[Type],,0)</f>
        <v>Op</v>
      </c>
      <c r="P423" t="str">
        <f>_xlfn.XLOOKUP(Jnl[[#This Row],[BSLv2]], dict[Key], dict[Name],,0)</f>
        <v>0.现金及类似</v>
      </c>
      <c r="Q423" t="str">
        <f>_xlfn.XLOOKUP(Jnl[[#This Row],[Acct]], dict[Key], dict[Name],,0)</f>
        <v>银行</v>
      </c>
      <c r="R423" t="str">
        <f>_xlfn.XLOOKUP(Jnl[[#This Row],[Vehicle]],config_vehicle[Id], config_vehicle[Name],,0)</f>
        <v>喜家文化</v>
      </c>
      <c r="S423" t="str">
        <f>_xlfn.XLOOKUP(Jnl[[#This Row],[Division]],config_div[Id], config_div[Name],,0)</f>
        <v>水街店</v>
      </c>
      <c r="T423" t="str">
        <f>IF(Jnl[[#This Row],[TrxDate]]&lt;=stmt_BS_date_end, "In", "Out")</f>
        <v>In</v>
      </c>
      <c r="U423" t="str">
        <f>IF(Jnl[[#This Row],[TrxDate]]&lt;debug_date_start, "prior", IF(Jnl[[#This Row],[TrxDate]]&gt;debug_date_end, "post", "curr"))</f>
        <v>prior</v>
      </c>
    </row>
    <row r="424" spans="1:21">
      <c r="A424" s="11" t="s">
        <v>619</v>
      </c>
      <c r="B424" s="7">
        <f>_xlfn.XLOOKUP(Jnl[[#This Row],[TrxId]], Trx[Id], Trx[Date],,0)</f>
        <v>46053</v>
      </c>
      <c r="C424" s="7" t="str">
        <f>_xlfn.XLOOKUP(Jnl[[#This Row],[TrxId]], Trx[Id], Trx[Division],,0)</f>
        <v>GM</v>
      </c>
      <c r="D424" s="7" t="str">
        <f>_xlfn.XLOOKUP(Jnl[[#This Row],[TrxId]], Trx[Id], Trx[Action],,0)</f>
        <v>公共设施</v>
      </c>
      <c r="E424" s="26" t="s">
        <v>81</v>
      </c>
      <c r="F424" s="11" t="s">
        <v>493</v>
      </c>
      <c r="G424" s="11" t="s">
        <v>141</v>
      </c>
      <c r="H424" s="72">
        <v>-10066.98</v>
      </c>
      <c r="I424" s="5" t="b">
        <f>AND(Jnl[[#This Row],[TrxId]]&lt;&gt;"",Jnl[[#This Row],[Acct]]&lt;&gt;"",Jnl[[#This Row],[Item]]&lt;&gt;"",ISNUMBER(Jnl[[#This Row],[Bal]]))</f>
        <v>1</v>
      </c>
      <c r="J424" s="10">
        <f>IF(Jnl[[#This Row],[BSLv0]]="A",1,-1)*Jnl[[#This Row],[Bal]]</f>
        <v>-10066.98</v>
      </c>
      <c r="K424" t="str">
        <f>_xlfn.XLOOKUP(Jnl[[#This Row],[Acct]], config_BS[Acct], config_BS[Lv0],,0)</f>
        <v>A</v>
      </c>
      <c r="L424" t="str">
        <f>_xlfn.XLOOKUP(Jnl[[#This Row],[Acct]], config_BS[Acct], config_BS[Lv1],,0)</f>
        <v>Assets</v>
      </c>
      <c r="M424" t="str">
        <f>_xlfn.XLOOKUP(Jnl[[#This Row],[Acct]], config_BS[Acct], config_BS[Lv2],,0)</f>
        <v>Prep-Sub</v>
      </c>
      <c r="N424" t="str">
        <f>_xlfn.XLOOKUP(Jnl[[#This Row],[TrxId]], Trx[Id], Trx[IncNode], ,0)</f>
        <v>Expense</v>
      </c>
      <c r="O424" t="str">
        <f>_xlfn.XLOOKUP(Jnl[[#This Row],[IncNode]], config_IS[Node], config_IS[Type],,0)</f>
        <v>Op</v>
      </c>
      <c r="P424" t="str">
        <f>_xlfn.XLOOKUP(Jnl[[#This Row],[BSLv2]], dict[Key], dict[Name],,0)</f>
        <v>2.预付-订阅</v>
      </c>
      <c r="Q424" t="str">
        <f>_xlfn.XLOOKUP(Jnl[[#This Row],[Acct]], dict[Key], dict[Name],,0)</f>
        <v>预付订单</v>
      </c>
      <c r="R424" t="str">
        <f>_xlfn.XLOOKUP(Jnl[[#This Row],[Vehicle]],config_vehicle[Id], config_vehicle[Name],,0)</f>
        <v>喜家文化</v>
      </c>
      <c r="S424" t="str">
        <f>_xlfn.XLOOKUP(Jnl[[#This Row],[Division]],config_div[Id], config_div[Name],,0)</f>
        <v>综合管理</v>
      </c>
      <c r="T424" t="str">
        <f>IF(Jnl[[#This Row],[TrxDate]]&lt;=stmt_BS_date_end, "In", "Out")</f>
        <v>In</v>
      </c>
      <c r="U424" t="str">
        <f>IF(Jnl[[#This Row],[TrxDate]]&lt;debug_date_start, "prior", IF(Jnl[[#This Row],[TrxDate]]&gt;debug_date_end, "post", "curr"))</f>
        <v>prior</v>
      </c>
    </row>
    <row r="425" spans="1:21">
      <c r="A425" s="11" t="s">
        <v>620</v>
      </c>
      <c r="B425" s="7">
        <f>_xlfn.XLOOKUP(Jnl[[#This Row],[TrxId]], Trx[Id], Trx[Date],,0)</f>
        <v>46053</v>
      </c>
      <c r="C425" s="7" t="str">
        <f>_xlfn.XLOOKUP(Jnl[[#This Row],[TrxId]], Trx[Id], Trx[Division],,0)</f>
        <v>Ctrl</v>
      </c>
      <c r="D425" s="7" t="str">
        <f>_xlfn.XLOOKUP(Jnl[[#This Row],[TrxId]], Trx[Id], Trx[Action],,0)</f>
        <v>调整</v>
      </c>
      <c r="E425" s="26" t="s">
        <v>81</v>
      </c>
      <c r="F425" s="11" t="s">
        <v>593</v>
      </c>
      <c r="G425" s="11" t="s">
        <v>594</v>
      </c>
      <c r="H425" s="72">
        <v>-115.67</v>
      </c>
      <c r="I425" s="5" t="b">
        <f>AND(Jnl[[#This Row],[TrxId]]&lt;&gt;"",Jnl[[#This Row],[Acct]]&lt;&gt;"",Jnl[[#This Row],[Item]]&lt;&gt;"",ISNUMBER(Jnl[[#This Row],[Bal]]))</f>
        <v>1</v>
      </c>
      <c r="J425" s="10">
        <f>IF(Jnl[[#This Row],[BSLv0]]="A",1,-1)*Jnl[[#This Row],[Bal]]</f>
        <v>-115.67</v>
      </c>
      <c r="K425" t="str">
        <f>_xlfn.XLOOKUP(Jnl[[#This Row],[Acct]], config_BS[Acct], config_BS[Lv0],,0)</f>
        <v>A</v>
      </c>
      <c r="L425" t="str">
        <f>_xlfn.XLOOKUP(Jnl[[#This Row],[Acct]], config_BS[Acct], config_BS[Lv1],,0)</f>
        <v>Assets</v>
      </c>
      <c r="M425" t="str">
        <f>_xlfn.XLOOKUP(Jnl[[#This Row],[Acct]], config_BS[Acct], config_BS[Lv2],,0)</f>
        <v>Rec-Pay</v>
      </c>
      <c r="N425" t="str">
        <f>_xlfn.XLOOKUP(Jnl[[#This Row],[TrxId]], Trx[Id], Trx[IncNode], ,0)</f>
        <v>Other</v>
      </c>
      <c r="O425" t="str">
        <f>_xlfn.XLOOKUP(Jnl[[#This Row],[IncNode]], config_IS[Node], config_IS[Type],,0)</f>
        <v>Non-Op</v>
      </c>
      <c r="P425" t="str">
        <f>_xlfn.XLOOKUP(Jnl[[#This Row],[BSLv2]], dict[Key], dict[Name],,0)</f>
        <v>1.应收-应付</v>
      </c>
      <c r="Q425" t="str">
        <f>_xlfn.XLOOKUP(Jnl[[#This Row],[Acct]], dict[Key], dict[Name],,0)</f>
        <v>应收-一般</v>
      </c>
      <c r="R425" t="str">
        <f>_xlfn.XLOOKUP(Jnl[[#This Row],[Vehicle]],config_vehicle[Id], config_vehicle[Name],,0)</f>
        <v>喜家文化</v>
      </c>
      <c r="S425" t="str">
        <f>_xlfn.XLOOKUP(Jnl[[#This Row],[Division]],config_div[Id], config_div[Name],,0)</f>
        <v>内控合规</v>
      </c>
      <c r="T425" t="str">
        <f>IF(Jnl[[#This Row],[TrxDate]]&lt;=stmt_BS_date_end, "In", "Out")</f>
        <v>In</v>
      </c>
      <c r="U425" t="str">
        <f>IF(Jnl[[#This Row],[TrxDate]]&lt;debug_date_start, "prior", IF(Jnl[[#This Row],[TrxDate]]&gt;debug_date_end, "post", "curr"))</f>
        <v>prior</v>
      </c>
    </row>
    <row r="426" spans="1:21" ht="16.149999999999999" customHeight="1">
      <c r="A426" s="11" t="s">
        <v>621</v>
      </c>
      <c r="B426" s="7">
        <f>_xlfn.XLOOKUP(Jnl[[#This Row],[TrxId]], Trx[Id], Trx[Date],,0)</f>
        <v>46053</v>
      </c>
      <c r="C426" s="7" t="str">
        <f>_xlfn.XLOOKUP(Jnl[[#This Row],[TrxId]], Trx[Id], Trx[Division],,0)</f>
        <v>Shuijie</v>
      </c>
      <c r="D426" s="7" t="str">
        <f>_xlfn.XLOOKUP(Jnl[[#This Row],[TrxId]], Trx[Id], Trx[Action],,0)</f>
        <v>物流</v>
      </c>
      <c r="E426" s="26" t="s">
        <v>81</v>
      </c>
      <c r="F426" s="11" t="s">
        <v>590</v>
      </c>
      <c r="G426" s="11" t="s">
        <v>392</v>
      </c>
      <c r="H426" s="72">
        <v>-1949.49</v>
      </c>
      <c r="I426" s="5" t="b">
        <f>AND(Jnl[[#This Row],[TrxId]]&lt;&gt;"",Jnl[[#This Row],[Acct]]&lt;&gt;"",Jnl[[#This Row],[Item]]&lt;&gt;"",ISNUMBER(Jnl[[#This Row],[Bal]]))</f>
        <v>1</v>
      </c>
      <c r="J426" s="10">
        <f>IF(Jnl[[#This Row],[BSLv0]]="A",1,-1)*Jnl[[#This Row],[Bal]]</f>
        <v>-1949.49</v>
      </c>
      <c r="K426" t="str">
        <f>_xlfn.XLOOKUP(Jnl[[#This Row],[Acct]], config_BS[Acct], config_BS[Lv0],,0)</f>
        <v>A</v>
      </c>
      <c r="L426" t="str">
        <f>_xlfn.XLOOKUP(Jnl[[#This Row],[Acct]], config_BS[Acct], config_BS[Lv1],,0)</f>
        <v>Assets</v>
      </c>
      <c r="M426" t="str">
        <f>_xlfn.XLOOKUP(Jnl[[#This Row],[Acct]], config_BS[Acct], config_BS[Lv2],,0)</f>
        <v>Cash alike</v>
      </c>
      <c r="N426" t="str">
        <f>_xlfn.XLOOKUP(Jnl[[#This Row],[TrxId]], Trx[Id], Trx[IncNode], ,0)</f>
        <v>Expense</v>
      </c>
      <c r="O426" t="str">
        <f>_xlfn.XLOOKUP(Jnl[[#This Row],[IncNode]], config_IS[Node], config_IS[Type],,0)</f>
        <v>Op</v>
      </c>
      <c r="P426" t="str">
        <f>_xlfn.XLOOKUP(Jnl[[#This Row],[BSLv2]], dict[Key], dict[Name],,0)</f>
        <v>0.现金及类似</v>
      </c>
      <c r="Q426" t="str">
        <f>_xlfn.XLOOKUP(Jnl[[#This Row],[Acct]], dict[Key], dict[Name],,0)</f>
        <v>银行</v>
      </c>
      <c r="R426" t="str">
        <f>_xlfn.XLOOKUP(Jnl[[#This Row],[Vehicle]],config_vehicle[Id], config_vehicle[Name],,0)</f>
        <v>喜家文化</v>
      </c>
      <c r="S426" t="str">
        <f>_xlfn.XLOOKUP(Jnl[[#This Row],[Division]],config_div[Id], config_div[Name],,0)</f>
        <v>水街店</v>
      </c>
      <c r="T426" t="str">
        <f>IF(Jnl[[#This Row],[TrxDate]]&lt;=stmt_BS_date_end, "In", "Out")</f>
        <v>In</v>
      </c>
      <c r="U426" t="str">
        <f>IF(Jnl[[#This Row],[TrxDate]]&lt;debug_date_start, "prior", IF(Jnl[[#This Row],[TrxDate]]&gt;debug_date_end, "post", "curr"))</f>
        <v>prior</v>
      </c>
    </row>
    <row r="427" spans="1:21">
      <c r="A427" s="11" t="s">
        <v>625</v>
      </c>
      <c r="B427" s="7">
        <f>_xlfn.XLOOKUP(Jnl[[#This Row],[TrxId]], Trx[Id], Trx[Date],,0)</f>
        <v>46053</v>
      </c>
      <c r="C427" s="7" t="str">
        <f>_xlfn.XLOOKUP(Jnl[[#This Row],[TrxId]], Trx[Id], Trx[Division],,0)</f>
        <v>Shuijie</v>
      </c>
      <c r="D427" s="7" t="str">
        <f>_xlfn.XLOOKUP(Jnl[[#This Row],[TrxId]], Trx[Id], Trx[Action],,0)</f>
        <v>内部结算</v>
      </c>
      <c r="E427" s="26" t="s">
        <v>81</v>
      </c>
      <c r="F427" s="11" t="s">
        <v>590</v>
      </c>
      <c r="G427" s="11" t="s">
        <v>392</v>
      </c>
      <c r="H427" s="72">
        <v>-349599.5</v>
      </c>
      <c r="I427" s="5" t="b">
        <f>AND(Jnl[[#This Row],[TrxId]]&lt;&gt;"",Jnl[[#This Row],[Acct]]&lt;&gt;"",Jnl[[#This Row],[Item]]&lt;&gt;"",ISNUMBER(Jnl[[#This Row],[Bal]]))</f>
        <v>1</v>
      </c>
      <c r="J427" s="10">
        <f>IF(Jnl[[#This Row],[BSLv0]]="A",1,-1)*Jnl[[#This Row],[Bal]]</f>
        <v>-349599.5</v>
      </c>
      <c r="K427" t="str">
        <f>_xlfn.XLOOKUP(Jnl[[#This Row],[Acct]], config_BS[Acct], config_BS[Lv0],,0)</f>
        <v>A</v>
      </c>
      <c r="L427" t="str">
        <f>_xlfn.XLOOKUP(Jnl[[#This Row],[Acct]], config_BS[Acct], config_BS[Lv1],,0)</f>
        <v>Assets</v>
      </c>
      <c r="M427" t="str">
        <f>_xlfn.XLOOKUP(Jnl[[#This Row],[Acct]], config_BS[Acct], config_BS[Lv2],,0)</f>
        <v>Cash alike</v>
      </c>
      <c r="N427" t="str">
        <f>_xlfn.XLOOKUP(Jnl[[#This Row],[TrxId]], Trx[Id], Trx[IncNode], ,0)</f>
        <v>Cost</v>
      </c>
      <c r="O427" t="str">
        <f>_xlfn.XLOOKUP(Jnl[[#This Row],[IncNode]], config_IS[Node], config_IS[Type],,0)</f>
        <v>Op</v>
      </c>
      <c r="P427" t="str">
        <f>_xlfn.XLOOKUP(Jnl[[#This Row],[BSLv2]], dict[Key], dict[Name],,0)</f>
        <v>0.现金及类似</v>
      </c>
      <c r="Q427" t="str">
        <f>_xlfn.XLOOKUP(Jnl[[#This Row],[Acct]], dict[Key], dict[Name],,0)</f>
        <v>银行</v>
      </c>
      <c r="R427" t="str">
        <f>_xlfn.XLOOKUP(Jnl[[#This Row],[Vehicle]],config_vehicle[Id], config_vehicle[Name],,0)</f>
        <v>喜家文化</v>
      </c>
      <c r="S427" t="str">
        <f>_xlfn.XLOOKUP(Jnl[[#This Row],[Division]],config_div[Id], config_div[Name],,0)</f>
        <v>水街店</v>
      </c>
      <c r="T427" t="str">
        <f>IF(Jnl[[#This Row],[TrxDate]]&lt;=stmt_BS_date_end, "In", "Out")</f>
        <v>In</v>
      </c>
      <c r="U427" t="str">
        <f>IF(Jnl[[#This Row],[TrxDate]]&lt;debug_date_start, "prior", IF(Jnl[[#This Row],[TrxDate]]&gt;debug_date_end, "post", "curr"))</f>
        <v>prior</v>
      </c>
    </row>
    <row r="428" spans="1:21">
      <c r="A428" s="11" t="s">
        <v>625</v>
      </c>
      <c r="B428" s="7">
        <f>_xlfn.XLOOKUP(Jnl[[#This Row],[TrxId]], Trx[Id], Trx[Date],,0)</f>
        <v>46053</v>
      </c>
      <c r="C428" s="7" t="str">
        <f>_xlfn.XLOOKUP(Jnl[[#This Row],[TrxId]], Trx[Id], Trx[Division],,0)</f>
        <v>Shuijie</v>
      </c>
      <c r="D428" s="7" t="str">
        <f>_xlfn.XLOOKUP(Jnl[[#This Row],[TrxId]], Trx[Id], Trx[Action],,0)</f>
        <v>内部结算</v>
      </c>
      <c r="E428" s="26" t="s">
        <v>80</v>
      </c>
      <c r="F428" s="11" t="s">
        <v>590</v>
      </c>
      <c r="G428" s="11" t="s">
        <v>391</v>
      </c>
      <c r="H428" s="72">
        <v>349599.5</v>
      </c>
      <c r="I428" s="5" t="b">
        <f>AND(Jnl[[#This Row],[TrxId]]&lt;&gt;"",Jnl[[#This Row],[Acct]]&lt;&gt;"",Jnl[[#This Row],[Item]]&lt;&gt;"",ISNUMBER(Jnl[[#This Row],[Bal]]))</f>
        <v>1</v>
      </c>
      <c r="J428" s="10">
        <f>IF(Jnl[[#This Row],[BSLv0]]="A",1,-1)*Jnl[[#This Row],[Bal]]</f>
        <v>349599.5</v>
      </c>
      <c r="K428" t="str">
        <f>_xlfn.XLOOKUP(Jnl[[#This Row],[Acct]], config_BS[Acct], config_BS[Lv0],,0)</f>
        <v>A</v>
      </c>
      <c r="L428" t="str">
        <f>_xlfn.XLOOKUP(Jnl[[#This Row],[Acct]], config_BS[Acct], config_BS[Lv1],,0)</f>
        <v>Assets</v>
      </c>
      <c r="M428" t="str">
        <f>_xlfn.XLOOKUP(Jnl[[#This Row],[Acct]], config_BS[Acct], config_BS[Lv2],,0)</f>
        <v>Cash alike</v>
      </c>
      <c r="N428" t="str">
        <f>_xlfn.XLOOKUP(Jnl[[#This Row],[TrxId]], Trx[Id], Trx[IncNode], ,0)</f>
        <v>Cost</v>
      </c>
      <c r="O428" t="str">
        <f>_xlfn.XLOOKUP(Jnl[[#This Row],[IncNode]], config_IS[Node], config_IS[Type],,0)</f>
        <v>Op</v>
      </c>
      <c r="P428" t="str">
        <f>_xlfn.XLOOKUP(Jnl[[#This Row],[BSLv2]], dict[Key], dict[Name],,0)</f>
        <v>0.现金及类似</v>
      </c>
      <c r="Q428" t="str">
        <f>_xlfn.XLOOKUP(Jnl[[#This Row],[Acct]], dict[Key], dict[Name],,0)</f>
        <v>银行</v>
      </c>
      <c r="R428" t="str">
        <f>_xlfn.XLOOKUP(Jnl[[#This Row],[Vehicle]],config_vehicle[Id], config_vehicle[Name],,0)</f>
        <v>远家花园</v>
      </c>
      <c r="S428" t="str">
        <f>_xlfn.XLOOKUP(Jnl[[#This Row],[Division]],config_div[Id], config_div[Name],,0)</f>
        <v>水街店</v>
      </c>
      <c r="T428" t="str">
        <f>IF(Jnl[[#This Row],[TrxDate]]&lt;=stmt_BS_date_end, "In", "Out")</f>
        <v>In</v>
      </c>
      <c r="U428" t="str">
        <f>IF(Jnl[[#This Row],[TrxDate]]&lt;debug_date_start, "prior", IF(Jnl[[#This Row],[TrxDate]]&gt;debug_date_end, "post", "curr"))</f>
        <v>prior</v>
      </c>
    </row>
    <row r="429" spans="1:21">
      <c r="A429" s="11" t="s">
        <v>627</v>
      </c>
      <c r="B429" s="7">
        <f>_xlfn.XLOOKUP(Jnl[[#This Row],[TrxId]], Trx[Id], Trx[Date],,0)</f>
        <v>46053</v>
      </c>
      <c r="C429" s="7" t="str">
        <f>_xlfn.XLOOKUP(Jnl[[#This Row],[TrxId]], Trx[Id], Trx[Division],,0)</f>
        <v>Shuijie</v>
      </c>
      <c r="D429" s="7" t="str">
        <f>_xlfn.XLOOKUP(Jnl[[#This Row],[TrxId]], Trx[Id], Trx[Action],,0)</f>
        <v>课程</v>
      </c>
      <c r="E429" s="26" t="s">
        <v>81</v>
      </c>
      <c r="F429" s="11" t="s">
        <v>590</v>
      </c>
      <c r="G429" s="11" t="s">
        <v>392</v>
      </c>
      <c r="H429" s="72">
        <v>-7268.8</v>
      </c>
      <c r="I429" s="5" t="b">
        <f>AND(Jnl[[#This Row],[TrxId]]&lt;&gt;"",Jnl[[#This Row],[Acct]]&lt;&gt;"",Jnl[[#This Row],[Item]]&lt;&gt;"",ISNUMBER(Jnl[[#This Row],[Bal]]))</f>
        <v>1</v>
      </c>
      <c r="J429" s="10">
        <f>IF(Jnl[[#This Row],[BSLv0]]="A",1,-1)*Jnl[[#This Row],[Bal]]</f>
        <v>-7268.8</v>
      </c>
      <c r="K429" t="str">
        <f>_xlfn.XLOOKUP(Jnl[[#This Row],[Acct]], config_BS[Acct], config_BS[Lv0],,0)</f>
        <v>A</v>
      </c>
      <c r="L429" t="str">
        <f>_xlfn.XLOOKUP(Jnl[[#This Row],[Acct]], config_BS[Acct], config_BS[Lv1],,0)</f>
        <v>Assets</v>
      </c>
      <c r="M429" t="str">
        <f>_xlfn.XLOOKUP(Jnl[[#This Row],[Acct]], config_BS[Acct], config_BS[Lv2],,0)</f>
        <v>Cash alike</v>
      </c>
      <c r="N429" t="str">
        <f>_xlfn.XLOOKUP(Jnl[[#This Row],[TrxId]], Trx[Id], Trx[IncNode], ,0)</f>
        <v>Cost</v>
      </c>
      <c r="O429" t="str">
        <f>_xlfn.XLOOKUP(Jnl[[#This Row],[IncNode]], config_IS[Node], config_IS[Type],,0)</f>
        <v>Op</v>
      </c>
      <c r="P429" t="str">
        <f>_xlfn.XLOOKUP(Jnl[[#This Row],[BSLv2]], dict[Key], dict[Name],,0)</f>
        <v>0.现金及类似</v>
      </c>
      <c r="Q429" t="str">
        <f>_xlfn.XLOOKUP(Jnl[[#This Row],[Acct]], dict[Key], dict[Name],,0)</f>
        <v>银行</v>
      </c>
      <c r="R429" t="str">
        <f>_xlfn.XLOOKUP(Jnl[[#This Row],[Vehicle]],config_vehicle[Id], config_vehicle[Name],,0)</f>
        <v>喜家文化</v>
      </c>
      <c r="S429" t="str">
        <f>_xlfn.XLOOKUP(Jnl[[#This Row],[Division]],config_div[Id], config_div[Name],,0)</f>
        <v>水街店</v>
      </c>
      <c r="T429" t="str">
        <f>IF(Jnl[[#This Row],[TrxDate]]&lt;=stmt_BS_date_end, "In", "Out")</f>
        <v>In</v>
      </c>
      <c r="U429" t="str">
        <f>IF(Jnl[[#This Row],[TrxDate]]&lt;debug_date_start, "prior", IF(Jnl[[#This Row],[TrxDate]]&gt;debug_date_end, "post", "curr"))</f>
        <v>prior</v>
      </c>
    </row>
    <row r="430" spans="1:21">
      <c r="A430" s="11" t="s">
        <v>628</v>
      </c>
      <c r="B430" s="7">
        <f>_xlfn.XLOOKUP(Jnl[[#This Row],[TrxId]], Trx[Id], Trx[Date],,0)</f>
        <v>46053</v>
      </c>
      <c r="C430" s="7" t="str">
        <f>_xlfn.XLOOKUP(Jnl[[#This Row],[TrxId]], Trx[Id], Trx[Division],,0)</f>
        <v>Shuijie</v>
      </c>
      <c r="D430" s="7" t="str">
        <f>_xlfn.XLOOKUP(Jnl[[#This Row],[TrxId]], Trx[Id], Trx[Action],,0)</f>
        <v>支付</v>
      </c>
      <c r="E430" s="26" t="s">
        <v>81</v>
      </c>
      <c r="F430" s="11" t="s">
        <v>493</v>
      </c>
      <c r="G430" s="11" t="s">
        <v>141</v>
      </c>
      <c r="H430" s="72">
        <v>3000</v>
      </c>
      <c r="I430" s="5" t="b">
        <f>AND(Jnl[[#This Row],[TrxId]]&lt;&gt;"",Jnl[[#This Row],[Acct]]&lt;&gt;"",Jnl[[#This Row],[Item]]&lt;&gt;"",ISNUMBER(Jnl[[#This Row],[Bal]]))</f>
        <v>1</v>
      </c>
      <c r="J430" s="10">
        <f>IF(Jnl[[#This Row],[BSLv0]]="A",1,-1)*Jnl[[#This Row],[Bal]]</f>
        <v>3000</v>
      </c>
      <c r="K430" t="str">
        <f>_xlfn.XLOOKUP(Jnl[[#This Row],[Acct]], config_BS[Acct], config_BS[Lv0],,0)</f>
        <v>A</v>
      </c>
      <c r="L430" t="str">
        <f>_xlfn.XLOOKUP(Jnl[[#This Row],[Acct]], config_BS[Acct], config_BS[Lv1],,0)</f>
        <v>Assets</v>
      </c>
      <c r="M430" t="str">
        <f>_xlfn.XLOOKUP(Jnl[[#This Row],[Acct]], config_BS[Acct], config_BS[Lv2],,0)</f>
        <v>Prep-Sub</v>
      </c>
      <c r="N430" t="str">
        <f>_xlfn.XLOOKUP(Jnl[[#This Row],[TrxId]], Trx[Id], Trx[IncNode], ,0)</f>
        <v>Expense</v>
      </c>
      <c r="O430" t="str">
        <f>_xlfn.XLOOKUP(Jnl[[#This Row],[IncNode]], config_IS[Node], config_IS[Type],,0)</f>
        <v>Op</v>
      </c>
      <c r="P430" t="str">
        <f>_xlfn.XLOOKUP(Jnl[[#This Row],[BSLv2]], dict[Key], dict[Name],,0)</f>
        <v>2.预付-订阅</v>
      </c>
      <c r="Q430" t="str">
        <f>_xlfn.XLOOKUP(Jnl[[#This Row],[Acct]], dict[Key], dict[Name],,0)</f>
        <v>预付订单</v>
      </c>
      <c r="R430" t="str">
        <f>_xlfn.XLOOKUP(Jnl[[#This Row],[Vehicle]],config_vehicle[Id], config_vehicle[Name],,0)</f>
        <v>喜家文化</v>
      </c>
      <c r="S430" t="str">
        <f>_xlfn.XLOOKUP(Jnl[[#This Row],[Division]],config_div[Id], config_div[Name],,0)</f>
        <v>水街店</v>
      </c>
      <c r="T430" t="str">
        <f>IF(Jnl[[#This Row],[TrxDate]]&lt;=stmt_BS_date_end, "In", "Out")</f>
        <v>In</v>
      </c>
      <c r="U430" t="str">
        <f>IF(Jnl[[#This Row],[TrxDate]]&lt;debug_date_start, "prior", IF(Jnl[[#This Row],[TrxDate]]&gt;debug_date_end, "post", "curr"))</f>
        <v>prior</v>
      </c>
    </row>
    <row r="431" spans="1:21">
      <c r="A431" s="11" t="s">
        <v>628</v>
      </c>
      <c r="B431" s="7">
        <f>_xlfn.XLOOKUP(Jnl[[#This Row],[TrxId]], Trx[Id], Trx[Date],,0)</f>
        <v>46053</v>
      </c>
      <c r="C431" s="7" t="str">
        <f>_xlfn.XLOOKUP(Jnl[[#This Row],[TrxId]], Trx[Id], Trx[Division],,0)</f>
        <v>Shuijie</v>
      </c>
      <c r="D431" s="7" t="str">
        <f>_xlfn.XLOOKUP(Jnl[[#This Row],[TrxId]], Trx[Id], Trx[Action],,0)</f>
        <v>支付</v>
      </c>
      <c r="E431" s="26" t="s">
        <v>81</v>
      </c>
      <c r="F431" s="11" t="s">
        <v>590</v>
      </c>
      <c r="G431" s="11" t="s">
        <v>392</v>
      </c>
      <c r="H431" s="72">
        <v>-3000</v>
      </c>
      <c r="I431" s="5" t="b">
        <f>AND(Jnl[[#This Row],[TrxId]]&lt;&gt;"",Jnl[[#This Row],[Acct]]&lt;&gt;"",Jnl[[#This Row],[Item]]&lt;&gt;"",ISNUMBER(Jnl[[#This Row],[Bal]]))</f>
        <v>1</v>
      </c>
      <c r="J431" s="10">
        <f>IF(Jnl[[#This Row],[BSLv0]]="A",1,-1)*Jnl[[#This Row],[Bal]]</f>
        <v>-3000</v>
      </c>
      <c r="K431" t="str">
        <f>_xlfn.XLOOKUP(Jnl[[#This Row],[Acct]], config_BS[Acct], config_BS[Lv0],,0)</f>
        <v>A</v>
      </c>
      <c r="L431" t="str">
        <f>_xlfn.XLOOKUP(Jnl[[#This Row],[Acct]], config_BS[Acct], config_BS[Lv1],,0)</f>
        <v>Assets</v>
      </c>
      <c r="M431" t="str">
        <f>_xlfn.XLOOKUP(Jnl[[#This Row],[Acct]], config_BS[Acct], config_BS[Lv2],,0)</f>
        <v>Cash alike</v>
      </c>
      <c r="N431" t="str">
        <f>_xlfn.XLOOKUP(Jnl[[#This Row],[TrxId]], Trx[Id], Trx[IncNode], ,0)</f>
        <v>Expense</v>
      </c>
      <c r="O431" t="str">
        <f>_xlfn.XLOOKUP(Jnl[[#This Row],[IncNode]], config_IS[Node], config_IS[Type],,0)</f>
        <v>Op</v>
      </c>
      <c r="P431" t="str">
        <f>_xlfn.XLOOKUP(Jnl[[#This Row],[BSLv2]], dict[Key], dict[Name],,0)</f>
        <v>0.现金及类似</v>
      </c>
      <c r="Q431" t="str">
        <f>_xlfn.XLOOKUP(Jnl[[#This Row],[Acct]], dict[Key], dict[Name],,0)</f>
        <v>银行</v>
      </c>
      <c r="R431" t="str">
        <f>_xlfn.XLOOKUP(Jnl[[#This Row],[Vehicle]],config_vehicle[Id], config_vehicle[Name],,0)</f>
        <v>喜家文化</v>
      </c>
      <c r="S431" t="str">
        <f>_xlfn.XLOOKUP(Jnl[[#This Row],[Division]],config_div[Id], config_div[Name],,0)</f>
        <v>水街店</v>
      </c>
      <c r="T431" t="str">
        <f>IF(Jnl[[#This Row],[TrxDate]]&lt;=stmt_BS_date_end, "In", "Out")</f>
        <v>In</v>
      </c>
      <c r="U431" t="str">
        <f>IF(Jnl[[#This Row],[TrxDate]]&lt;debug_date_start, "prior", IF(Jnl[[#This Row],[TrxDate]]&gt;debug_date_end, "post", "curr"))</f>
        <v>prior</v>
      </c>
    </row>
    <row r="432" spans="1:21">
      <c r="A432" s="11" t="s">
        <v>629</v>
      </c>
      <c r="B432" s="7">
        <f>_xlfn.XLOOKUP(Jnl[[#This Row],[TrxId]], Trx[Id], Trx[Date],,0)</f>
        <v>46053</v>
      </c>
      <c r="C432" s="7" t="str">
        <f>_xlfn.XLOOKUP(Jnl[[#This Row],[TrxId]], Trx[Id], Trx[Division],,0)</f>
        <v>Shuijie</v>
      </c>
      <c r="D432" s="7" t="str">
        <f>_xlfn.XLOOKUP(Jnl[[#This Row],[TrxId]], Trx[Id], Trx[Action],,0)</f>
        <v>存现</v>
      </c>
      <c r="E432" s="26" t="s">
        <v>81</v>
      </c>
      <c r="F432" s="11" t="s">
        <v>590</v>
      </c>
      <c r="G432" s="11" t="s">
        <v>392</v>
      </c>
      <c r="H432" s="72">
        <v>25540.15</v>
      </c>
      <c r="I432" s="5" t="b">
        <f>AND(Jnl[[#This Row],[TrxId]]&lt;&gt;"",Jnl[[#This Row],[Acct]]&lt;&gt;"",Jnl[[#This Row],[Item]]&lt;&gt;"",ISNUMBER(Jnl[[#This Row],[Bal]]))</f>
        <v>1</v>
      </c>
      <c r="J432" s="10">
        <f>IF(Jnl[[#This Row],[BSLv0]]="A",1,-1)*Jnl[[#This Row],[Bal]]</f>
        <v>25540.15</v>
      </c>
      <c r="K432" t="str">
        <f>_xlfn.XLOOKUP(Jnl[[#This Row],[Acct]], config_BS[Acct], config_BS[Lv0],,0)</f>
        <v>A</v>
      </c>
      <c r="L432" t="str">
        <f>_xlfn.XLOOKUP(Jnl[[#This Row],[Acct]], config_BS[Acct], config_BS[Lv1],,0)</f>
        <v>Assets</v>
      </c>
      <c r="M432" t="str">
        <f>_xlfn.XLOOKUP(Jnl[[#This Row],[Acct]], config_BS[Acct], config_BS[Lv2],,0)</f>
        <v>Cash alike</v>
      </c>
      <c r="N432" t="str">
        <f>_xlfn.XLOOKUP(Jnl[[#This Row],[TrxId]], Trx[Id], Trx[IncNode], ,0)</f>
        <v>Other</v>
      </c>
      <c r="O432" t="str">
        <f>_xlfn.XLOOKUP(Jnl[[#This Row],[IncNode]], config_IS[Node], config_IS[Type],,0)</f>
        <v>Non-Op</v>
      </c>
      <c r="P432" t="str">
        <f>_xlfn.XLOOKUP(Jnl[[#This Row],[BSLv2]], dict[Key], dict[Name],,0)</f>
        <v>0.现金及类似</v>
      </c>
      <c r="Q432" t="str">
        <f>_xlfn.XLOOKUP(Jnl[[#This Row],[Acct]], dict[Key], dict[Name],,0)</f>
        <v>银行</v>
      </c>
      <c r="R432" t="str">
        <f>_xlfn.XLOOKUP(Jnl[[#This Row],[Vehicle]],config_vehicle[Id], config_vehicle[Name],,0)</f>
        <v>喜家文化</v>
      </c>
      <c r="S432" t="str">
        <f>_xlfn.XLOOKUP(Jnl[[#This Row],[Division]],config_div[Id], config_div[Name],,0)</f>
        <v>水街店</v>
      </c>
      <c r="T432" t="str">
        <f>IF(Jnl[[#This Row],[TrxDate]]&lt;=stmt_BS_date_end, "In", "Out")</f>
        <v>In</v>
      </c>
      <c r="U432" t="str">
        <f>IF(Jnl[[#This Row],[TrxDate]]&lt;debug_date_start, "prior", IF(Jnl[[#This Row],[TrxDate]]&gt;debug_date_end, "post", "curr"))</f>
        <v>prior</v>
      </c>
    </row>
    <row r="433" spans="1:21">
      <c r="A433" s="11" t="s">
        <v>629</v>
      </c>
      <c r="B433" s="7">
        <f>_xlfn.XLOOKUP(Jnl[[#This Row],[TrxId]], Trx[Id], Trx[Date],,0)</f>
        <v>46053</v>
      </c>
      <c r="C433" s="7" t="str">
        <f>_xlfn.XLOOKUP(Jnl[[#This Row],[TrxId]], Trx[Id], Trx[Division],,0)</f>
        <v>Shuijie</v>
      </c>
      <c r="D433" s="7" t="str">
        <f>_xlfn.XLOOKUP(Jnl[[#This Row],[TrxId]], Trx[Id], Trx[Action],,0)</f>
        <v>存现</v>
      </c>
      <c r="E433" s="26" t="s">
        <v>81</v>
      </c>
      <c r="F433" s="11" t="s">
        <v>599</v>
      </c>
      <c r="G433" s="11" t="s">
        <v>653</v>
      </c>
      <c r="H433" s="72">
        <v>-25540.15</v>
      </c>
      <c r="I433" s="5" t="b">
        <f>AND(Jnl[[#This Row],[TrxId]]&lt;&gt;"",Jnl[[#This Row],[Acct]]&lt;&gt;"",Jnl[[#This Row],[Item]]&lt;&gt;"",ISNUMBER(Jnl[[#This Row],[Bal]]))</f>
        <v>1</v>
      </c>
      <c r="J433" s="10">
        <f>IF(Jnl[[#This Row],[BSLv0]]="A",1,-1)*Jnl[[#This Row],[Bal]]</f>
        <v>-25540.15</v>
      </c>
      <c r="K433" t="str">
        <f>_xlfn.XLOOKUP(Jnl[[#This Row],[Acct]], config_BS[Acct], config_BS[Lv0],,0)</f>
        <v>A</v>
      </c>
      <c r="L433" t="str">
        <f>_xlfn.XLOOKUP(Jnl[[#This Row],[Acct]], config_BS[Acct], config_BS[Lv1],,0)</f>
        <v>Assets</v>
      </c>
      <c r="M433" t="str">
        <f>_xlfn.XLOOKUP(Jnl[[#This Row],[Acct]], config_BS[Acct], config_BS[Lv2],,0)</f>
        <v>Cash alike</v>
      </c>
      <c r="N433" t="str">
        <f>_xlfn.XLOOKUP(Jnl[[#This Row],[TrxId]], Trx[Id], Trx[IncNode], ,0)</f>
        <v>Other</v>
      </c>
      <c r="O433" t="str">
        <f>_xlfn.XLOOKUP(Jnl[[#This Row],[IncNode]], config_IS[Node], config_IS[Type],,0)</f>
        <v>Non-Op</v>
      </c>
      <c r="P433" t="str">
        <f>_xlfn.XLOOKUP(Jnl[[#This Row],[BSLv2]], dict[Key], dict[Name],,0)</f>
        <v>0.现金及类似</v>
      </c>
      <c r="Q433" t="str">
        <f>_xlfn.XLOOKUP(Jnl[[#This Row],[Acct]], dict[Key], dict[Name],,0)</f>
        <v>物理现金</v>
      </c>
      <c r="R433" t="str">
        <f>_xlfn.XLOOKUP(Jnl[[#This Row],[Vehicle]],config_vehicle[Id], config_vehicle[Name],,0)</f>
        <v>喜家文化</v>
      </c>
      <c r="S433" t="str">
        <f>_xlfn.XLOOKUP(Jnl[[#This Row],[Division]],config_div[Id], config_div[Name],,0)</f>
        <v>水街店</v>
      </c>
      <c r="T433" t="str">
        <f>IF(Jnl[[#This Row],[TrxDate]]&lt;=stmt_BS_date_end, "In", "Out")</f>
        <v>In</v>
      </c>
      <c r="U433" t="str">
        <f>IF(Jnl[[#This Row],[TrxDate]]&lt;debug_date_start, "prior", IF(Jnl[[#This Row],[TrxDate]]&gt;debug_date_end, "post", "curr"))</f>
        <v>prior</v>
      </c>
    </row>
    <row r="434" spans="1:21">
      <c r="A434" s="11" t="s">
        <v>630</v>
      </c>
      <c r="B434" s="7">
        <f>_xlfn.XLOOKUP(Jnl[[#This Row],[TrxId]], Trx[Id], Trx[Date],,0)</f>
        <v>46053</v>
      </c>
      <c r="C434" s="7" t="str">
        <f>_xlfn.XLOOKUP(Jnl[[#This Row],[TrxId]], Trx[Id], Trx[Division],,0)</f>
        <v>Shuijie</v>
      </c>
      <c r="D434" s="7" t="str">
        <f>_xlfn.XLOOKUP(Jnl[[#This Row],[TrxId]], Trx[Id], Trx[Action],,0)</f>
        <v>支付</v>
      </c>
      <c r="E434" s="26" t="s">
        <v>81</v>
      </c>
      <c r="F434" s="11" t="s">
        <v>493</v>
      </c>
      <c r="G434" s="11" t="s">
        <v>141</v>
      </c>
      <c r="H434" s="72">
        <v>10000</v>
      </c>
      <c r="I434" s="5" t="b">
        <f>AND(Jnl[[#This Row],[TrxId]]&lt;&gt;"",Jnl[[#This Row],[Acct]]&lt;&gt;"",Jnl[[#This Row],[Item]]&lt;&gt;"",ISNUMBER(Jnl[[#This Row],[Bal]]))</f>
        <v>1</v>
      </c>
      <c r="J434" s="10">
        <f>IF(Jnl[[#This Row],[BSLv0]]="A",1,-1)*Jnl[[#This Row],[Bal]]</f>
        <v>10000</v>
      </c>
      <c r="K434" t="str">
        <f>_xlfn.XLOOKUP(Jnl[[#This Row],[Acct]], config_BS[Acct], config_BS[Lv0],,0)</f>
        <v>A</v>
      </c>
      <c r="L434" t="str">
        <f>_xlfn.XLOOKUP(Jnl[[#This Row],[Acct]], config_BS[Acct], config_BS[Lv1],,0)</f>
        <v>Assets</v>
      </c>
      <c r="M434" t="str">
        <f>_xlfn.XLOOKUP(Jnl[[#This Row],[Acct]], config_BS[Acct], config_BS[Lv2],,0)</f>
        <v>Prep-Sub</v>
      </c>
      <c r="N434" t="str">
        <f>_xlfn.XLOOKUP(Jnl[[#This Row],[TrxId]], Trx[Id], Trx[IncNode], ,0)</f>
        <v>Expense</v>
      </c>
      <c r="O434" t="str">
        <f>_xlfn.XLOOKUP(Jnl[[#This Row],[IncNode]], config_IS[Node], config_IS[Type],,0)</f>
        <v>Op</v>
      </c>
      <c r="P434" t="str">
        <f>_xlfn.XLOOKUP(Jnl[[#This Row],[BSLv2]], dict[Key], dict[Name],,0)</f>
        <v>2.预付-订阅</v>
      </c>
      <c r="Q434" t="str">
        <f>_xlfn.XLOOKUP(Jnl[[#This Row],[Acct]], dict[Key], dict[Name],,0)</f>
        <v>预付订单</v>
      </c>
      <c r="R434" t="str">
        <f>_xlfn.XLOOKUP(Jnl[[#This Row],[Vehicle]],config_vehicle[Id], config_vehicle[Name],,0)</f>
        <v>喜家文化</v>
      </c>
      <c r="S434" t="str">
        <f>_xlfn.XLOOKUP(Jnl[[#This Row],[Division]],config_div[Id], config_div[Name],,0)</f>
        <v>水街店</v>
      </c>
      <c r="T434" t="str">
        <f>IF(Jnl[[#This Row],[TrxDate]]&lt;=stmt_BS_date_end, "In", "Out")</f>
        <v>In</v>
      </c>
      <c r="U434" t="str">
        <f>IF(Jnl[[#This Row],[TrxDate]]&lt;debug_date_start, "prior", IF(Jnl[[#This Row],[TrxDate]]&gt;debug_date_end, "post", "curr"))</f>
        <v>prior</v>
      </c>
    </row>
    <row r="435" spans="1:21">
      <c r="A435" s="11" t="s">
        <v>630</v>
      </c>
      <c r="B435" s="7">
        <f>_xlfn.XLOOKUP(Jnl[[#This Row],[TrxId]], Trx[Id], Trx[Date],,0)</f>
        <v>46053</v>
      </c>
      <c r="C435" s="7" t="str">
        <f>_xlfn.XLOOKUP(Jnl[[#This Row],[TrxId]], Trx[Id], Trx[Division],,0)</f>
        <v>Shuijie</v>
      </c>
      <c r="D435" s="7" t="str">
        <f>_xlfn.XLOOKUP(Jnl[[#This Row],[TrxId]], Trx[Id], Trx[Action],,0)</f>
        <v>支付</v>
      </c>
      <c r="E435" s="26" t="s">
        <v>81</v>
      </c>
      <c r="F435" s="11" t="s">
        <v>590</v>
      </c>
      <c r="G435" s="11" t="s">
        <v>392</v>
      </c>
      <c r="H435" s="72">
        <v>-10000</v>
      </c>
      <c r="I435" s="5" t="b">
        <f>AND(Jnl[[#This Row],[TrxId]]&lt;&gt;"",Jnl[[#This Row],[Acct]]&lt;&gt;"",Jnl[[#This Row],[Item]]&lt;&gt;"",ISNUMBER(Jnl[[#This Row],[Bal]]))</f>
        <v>1</v>
      </c>
      <c r="J435" s="10">
        <f>IF(Jnl[[#This Row],[BSLv0]]="A",1,-1)*Jnl[[#This Row],[Bal]]</f>
        <v>-10000</v>
      </c>
      <c r="K435" t="str">
        <f>_xlfn.XLOOKUP(Jnl[[#This Row],[Acct]], config_BS[Acct], config_BS[Lv0],,0)</f>
        <v>A</v>
      </c>
      <c r="L435" t="str">
        <f>_xlfn.XLOOKUP(Jnl[[#This Row],[Acct]], config_BS[Acct], config_BS[Lv1],,0)</f>
        <v>Assets</v>
      </c>
      <c r="M435" t="str">
        <f>_xlfn.XLOOKUP(Jnl[[#This Row],[Acct]], config_BS[Acct], config_BS[Lv2],,0)</f>
        <v>Cash alike</v>
      </c>
      <c r="N435" t="str">
        <f>_xlfn.XLOOKUP(Jnl[[#This Row],[TrxId]], Trx[Id], Trx[IncNode], ,0)</f>
        <v>Expense</v>
      </c>
      <c r="O435" t="str">
        <f>_xlfn.XLOOKUP(Jnl[[#This Row],[IncNode]], config_IS[Node], config_IS[Type],,0)</f>
        <v>Op</v>
      </c>
      <c r="P435" t="str">
        <f>_xlfn.XLOOKUP(Jnl[[#This Row],[BSLv2]], dict[Key], dict[Name],,0)</f>
        <v>0.现金及类似</v>
      </c>
      <c r="Q435" t="str">
        <f>_xlfn.XLOOKUP(Jnl[[#This Row],[Acct]], dict[Key], dict[Name],,0)</f>
        <v>银行</v>
      </c>
      <c r="R435" t="str">
        <f>_xlfn.XLOOKUP(Jnl[[#This Row],[Vehicle]],config_vehicle[Id], config_vehicle[Name],,0)</f>
        <v>喜家文化</v>
      </c>
      <c r="S435" t="str">
        <f>_xlfn.XLOOKUP(Jnl[[#This Row],[Division]],config_div[Id], config_div[Name],,0)</f>
        <v>水街店</v>
      </c>
      <c r="T435" t="str">
        <f>IF(Jnl[[#This Row],[TrxDate]]&lt;=stmt_BS_date_end, "In", "Out")</f>
        <v>In</v>
      </c>
      <c r="U435" t="str">
        <f>IF(Jnl[[#This Row],[TrxDate]]&lt;debug_date_start, "prior", IF(Jnl[[#This Row],[TrxDate]]&gt;debug_date_end, "post", "curr"))</f>
        <v>prior</v>
      </c>
    </row>
    <row r="436" spans="1:21">
      <c r="A436" s="11" t="s">
        <v>631</v>
      </c>
      <c r="B436" s="7">
        <f>_xlfn.XLOOKUP(Jnl[[#This Row],[TrxId]], Trx[Id], Trx[Date],,0)</f>
        <v>46053</v>
      </c>
      <c r="C436" s="7" t="str">
        <f>_xlfn.XLOOKUP(Jnl[[#This Row],[TrxId]], Trx[Id], Trx[Division],,0)</f>
        <v>GM</v>
      </c>
      <c r="D436" s="7" t="str">
        <f>_xlfn.XLOOKUP(Jnl[[#This Row],[TrxId]], Trx[Id], Trx[Action],,0)</f>
        <v>银行费</v>
      </c>
      <c r="E436" s="26" t="s">
        <v>81</v>
      </c>
      <c r="F436" s="11" t="s">
        <v>590</v>
      </c>
      <c r="G436" s="11" t="s">
        <v>392</v>
      </c>
      <c r="H436" s="72">
        <v>-15.6</v>
      </c>
      <c r="I436" s="5" t="b">
        <f>AND(Jnl[[#This Row],[TrxId]]&lt;&gt;"",Jnl[[#This Row],[Acct]]&lt;&gt;"",Jnl[[#This Row],[Item]]&lt;&gt;"",ISNUMBER(Jnl[[#This Row],[Bal]]))</f>
        <v>1</v>
      </c>
      <c r="J436" s="10">
        <f>IF(Jnl[[#This Row],[BSLv0]]="A",1,-1)*Jnl[[#This Row],[Bal]]</f>
        <v>-15.6</v>
      </c>
      <c r="K436" t="str">
        <f>_xlfn.XLOOKUP(Jnl[[#This Row],[Acct]], config_BS[Acct], config_BS[Lv0],,0)</f>
        <v>A</v>
      </c>
      <c r="L436" t="str">
        <f>_xlfn.XLOOKUP(Jnl[[#This Row],[Acct]], config_BS[Acct], config_BS[Lv1],,0)</f>
        <v>Assets</v>
      </c>
      <c r="M436" t="str">
        <f>_xlfn.XLOOKUP(Jnl[[#This Row],[Acct]], config_BS[Acct], config_BS[Lv2],,0)</f>
        <v>Cash alike</v>
      </c>
      <c r="N436" t="str">
        <f>_xlfn.XLOOKUP(Jnl[[#This Row],[TrxId]], Trx[Id], Trx[IncNode], ,0)</f>
        <v>Expense</v>
      </c>
      <c r="O436" t="str">
        <f>_xlfn.XLOOKUP(Jnl[[#This Row],[IncNode]], config_IS[Node], config_IS[Type],,0)</f>
        <v>Op</v>
      </c>
      <c r="P436" t="str">
        <f>_xlfn.XLOOKUP(Jnl[[#This Row],[BSLv2]], dict[Key], dict[Name],,0)</f>
        <v>0.现金及类似</v>
      </c>
      <c r="Q436" t="str">
        <f>_xlfn.XLOOKUP(Jnl[[#This Row],[Acct]], dict[Key], dict[Name],,0)</f>
        <v>银行</v>
      </c>
      <c r="R436" t="str">
        <f>_xlfn.XLOOKUP(Jnl[[#This Row],[Vehicle]],config_vehicle[Id], config_vehicle[Name],,0)</f>
        <v>喜家文化</v>
      </c>
      <c r="S436" t="str">
        <f>_xlfn.XLOOKUP(Jnl[[#This Row],[Division]],config_div[Id], config_div[Name],,0)</f>
        <v>综合管理</v>
      </c>
      <c r="T436" t="str">
        <f>IF(Jnl[[#This Row],[TrxDate]]&lt;=stmt_BS_date_end, "In", "Out")</f>
        <v>In</v>
      </c>
      <c r="U436" t="str">
        <f>IF(Jnl[[#This Row],[TrxDate]]&lt;debug_date_start, "prior", IF(Jnl[[#This Row],[TrxDate]]&gt;debug_date_end, "post", "curr"))</f>
        <v>prior</v>
      </c>
    </row>
    <row r="437" spans="1:21">
      <c r="A437" s="11" t="s">
        <v>632</v>
      </c>
      <c r="B437" s="7">
        <f>_xlfn.XLOOKUP(Jnl[[#This Row],[TrxId]], Trx[Id], Trx[Date],,0)</f>
        <v>46053</v>
      </c>
      <c r="C437" s="7" t="str">
        <f>_xlfn.XLOOKUP(Jnl[[#This Row],[TrxId]], Trx[Id], Trx[Division],,0)</f>
        <v>Shuijie</v>
      </c>
      <c r="D437" s="7" t="str">
        <f>_xlfn.XLOOKUP(Jnl[[#This Row],[TrxId]], Trx[Id], Trx[Action],,0)</f>
        <v>服饰</v>
      </c>
      <c r="E437" s="26" t="s">
        <v>81</v>
      </c>
      <c r="F437" s="11" t="s">
        <v>590</v>
      </c>
      <c r="G437" s="11" t="s">
        <v>392</v>
      </c>
      <c r="H437" s="72">
        <v>470007.52</v>
      </c>
      <c r="I437" s="5" t="b">
        <f>AND(Jnl[[#This Row],[TrxId]]&lt;&gt;"",Jnl[[#This Row],[Acct]]&lt;&gt;"",Jnl[[#This Row],[Item]]&lt;&gt;"",ISNUMBER(Jnl[[#This Row],[Bal]]))</f>
        <v>1</v>
      </c>
      <c r="J437" s="10">
        <f>IF(Jnl[[#This Row],[BSLv0]]="A",1,-1)*Jnl[[#This Row],[Bal]]</f>
        <v>470007.52</v>
      </c>
      <c r="K437" t="str">
        <f>_xlfn.XLOOKUP(Jnl[[#This Row],[Acct]], config_BS[Acct], config_BS[Lv0],,0)</f>
        <v>A</v>
      </c>
      <c r="L437" t="str">
        <f>_xlfn.XLOOKUP(Jnl[[#This Row],[Acct]], config_BS[Acct], config_BS[Lv1],,0)</f>
        <v>Assets</v>
      </c>
      <c r="M437" t="str">
        <f>_xlfn.XLOOKUP(Jnl[[#This Row],[Acct]], config_BS[Acct], config_BS[Lv2],,0)</f>
        <v>Cash alike</v>
      </c>
      <c r="N437" t="str">
        <f>_xlfn.XLOOKUP(Jnl[[#This Row],[TrxId]], Trx[Id], Trx[IncNode], ,0)</f>
        <v>Revenue</v>
      </c>
      <c r="O437" t="str">
        <f>_xlfn.XLOOKUP(Jnl[[#This Row],[IncNode]], config_IS[Node], config_IS[Type],,0)</f>
        <v>Op</v>
      </c>
      <c r="P437" t="str">
        <f>_xlfn.XLOOKUP(Jnl[[#This Row],[BSLv2]], dict[Key], dict[Name],,0)</f>
        <v>0.现金及类似</v>
      </c>
      <c r="Q437" t="str">
        <f>_xlfn.XLOOKUP(Jnl[[#This Row],[Acct]], dict[Key], dict[Name],,0)</f>
        <v>银行</v>
      </c>
      <c r="R437" t="str">
        <f>_xlfn.XLOOKUP(Jnl[[#This Row],[Vehicle]],config_vehicle[Id], config_vehicle[Name],,0)</f>
        <v>喜家文化</v>
      </c>
      <c r="S437" t="str">
        <f>_xlfn.XLOOKUP(Jnl[[#This Row],[Division]],config_div[Id], config_div[Name],,0)</f>
        <v>水街店</v>
      </c>
      <c r="T437" t="str">
        <f>IF(Jnl[[#This Row],[TrxDate]]&lt;=stmt_BS_date_end, "In", "Out")</f>
        <v>In</v>
      </c>
      <c r="U437" t="str">
        <f>IF(Jnl[[#This Row],[TrxDate]]&lt;debug_date_start, "prior", IF(Jnl[[#This Row],[TrxDate]]&gt;debug_date_end, "post", "curr"))</f>
        <v>prior</v>
      </c>
    </row>
    <row r="438" spans="1:21">
      <c r="A438" s="11" t="s">
        <v>634</v>
      </c>
      <c r="B438" s="7">
        <f>_xlfn.XLOOKUP(Jnl[[#This Row],[TrxId]], Trx[Id], Trx[Date],,0)</f>
        <v>46053</v>
      </c>
      <c r="C438" s="7" t="str">
        <f>_xlfn.XLOOKUP(Jnl[[#This Row],[TrxId]], Trx[Id], Trx[Division],,0)</f>
        <v>GM</v>
      </c>
      <c r="D438" s="7" t="str">
        <f>_xlfn.XLOOKUP(Jnl[[#This Row],[TrxId]], Trx[Id], Trx[Action],,0)</f>
        <v>房租</v>
      </c>
      <c r="E438" s="26" t="s">
        <v>81</v>
      </c>
      <c r="F438" s="11" t="s">
        <v>493</v>
      </c>
      <c r="G438" s="11" t="s">
        <v>141</v>
      </c>
      <c r="H438" s="72">
        <f>-45370.49</f>
        <v>-45370.49</v>
      </c>
      <c r="I438" s="5" t="b">
        <f>AND(Jnl[[#This Row],[TrxId]]&lt;&gt;"",Jnl[[#This Row],[Acct]]&lt;&gt;"",Jnl[[#This Row],[Item]]&lt;&gt;"",ISNUMBER(Jnl[[#This Row],[Bal]]))</f>
        <v>1</v>
      </c>
      <c r="J438" s="10">
        <f>IF(Jnl[[#This Row],[BSLv0]]="A",1,-1)*Jnl[[#This Row],[Bal]]</f>
        <v>-45370.49</v>
      </c>
      <c r="K438" t="str">
        <f>_xlfn.XLOOKUP(Jnl[[#This Row],[Acct]], config_BS[Acct], config_BS[Lv0],,0)</f>
        <v>A</v>
      </c>
      <c r="L438" t="str">
        <f>_xlfn.XLOOKUP(Jnl[[#This Row],[Acct]], config_BS[Acct], config_BS[Lv1],,0)</f>
        <v>Assets</v>
      </c>
      <c r="M438" t="str">
        <f>_xlfn.XLOOKUP(Jnl[[#This Row],[Acct]], config_BS[Acct], config_BS[Lv2],,0)</f>
        <v>Prep-Sub</v>
      </c>
      <c r="N438" t="str">
        <f>_xlfn.XLOOKUP(Jnl[[#This Row],[TrxId]], Trx[Id], Trx[IncNode], ,0)</f>
        <v>Expense</v>
      </c>
      <c r="O438" t="str">
        <f>_xlfn.XLOOKUP(Jnl[[#This Row],[IncNode]], config_IS[Node], config_IS[Type],,0)</f>
        <v>Op</v>
      </c>
      <c r="P438" t="str">
        <f>_xlfn.XLOOKUP(Jnl[[#This Row],[BSLv2]], dict[Key], dict[Name],,0)</f>
        <v>2.预付-订阅</v>
      </c>
      <c r="Q438" t="str">
        <f>_xlfn.XLOOKUP(Jnl[[#This Row],[Acct]], dict[Key], dict[Name],,0)</f>
        <v>预付订单</v>
      </c>
      <c r="R438" t="str">
        <f>_xlfn.XLOOKUP(Jnl[[#This Row],[Vehicle]],config_vehicle[Id], config_vehicle[Name],,0)</f>
        <v>喜家文化</v>
      </c>
      <c r="S438" t="str">
        <f>_xlfn.XLOOKUP(Jnl[[#This Row],[Division]],config_div[Id], config_div[Name],,0)</f>
        <v>综合管理</v>
      </c>
      <c r="T438" t="str">
        <f>IF(Jnl[[#This Row],[TrxDate]]&lt;=stmt_BS_date_end, "In", "Out")</f>
        <v>In</v>
      </c>
      <c r="U438" t="str">
        <f>IF(Jnl[[#This Row],[TrxDate]]&lt;debug_date_start, "prior", IF(Jnl[[#This Row],[TrxDate]]&gt;debug_date_end, "post", "curr"))</f>
        <v>prior</v>
      </c>
    </row>
    <row r="439" spans="1:21">
      <c r="A439" s="11" t="s">
        <v>635</v>
      </c>
      <c r="B439" s="7">
        <f>_xlfn.XLOOKUP(Jnl[[#This Row],[TrxId]], Trx[Id], Trx[Date],,0)</f>
        <v>46053</v>
      </c>
      <c r="C439" s="7" t="str">
        <f>_xlfn.XLOOKUP(Jnl[[#This Row],[TrxId]], Trx[Id], Trx[Division],,0)</f>
        <v>Shuijie</v>
      </c>
      <c r="D439" s="7" t="str">
        <f>_xlfn.XLOOKUP(Jnl[[#This Row],[TrxId]], Trx[Id], Trx[Action],,0)</f>
        <v>维护</v>
      </c>
      <c r="E439" s="26" t="s">
        <v>81</v>
      </c>
      <c r="F439" s="11" t="s">
        <v>493</v>
      </c>
      <c r="G439" s="11" t="s">
        <v>141</v>
      </c>
      <c r="H439" s="72">
        <v>-3000</v>
      </c>
      <c r="I439" s="5" t="b">
        <f>AND(Jnl[[#This Row],[TrxId]]&lt;&gt;"",Jnl[[#This Row],[Acct]]&lt;&gt;"",Jnl[[#This Row],[Item]]&lt;&gt;"",ISNUMBER(Jnl[[#This Row],[Bal]]))</f>
        <v>1</v>
      </c>
      <c r="J439" s="10">
        <f>IF(Jnl[[#This Row],[BSLv0]]="A",1,-1)*Jnl[[#This Row],[Bal]]</f>
        <v>-3000</v>
      </c>
      <c r="K439" t="str">
        <f>_xlfn.XLOOKUP(Jnl[[#This Row],[Acct]], config_BS[Acct], config_BS[Lv0],,0)</f>
        <v>A</v>
      </c>
      <c r="L439" t="str">
        <f>_xlfn.XLOOKUP(Jnl[[#This Row],[Acct]], config_BS[Acct], config_BS[Lv1],,0)</f>
        <v>Assets</v>
      </c>
      <c r="M439" t="str">
        <f>_xlfn.XLOOKUP(Jnl[[#This Row],[Acct]], config_BS[Acct], config_BS[Lv2],,0)</f>
        <v>Prep-Sub</v>
      </c>
      <c r="N439" t="str">
        <f>_xlfn.XLOOKUP(Jnl[[#This Row],[TrxId]], Trx[Id], Trx[IncNode], ,0)</f>
        <v>Expense</v>
      </c>
      <c r="O439" t="str">
        <f>_xlfn.XLOOKUP(Jnl[[#This Row],[IncNode]], config_IS[Node], config_IS[Type],,0)</f>
        <v>Op</v>
      </c>
      <c r="P439" t="str">
        <f>_xlfn.XLOOKUP(Jnl[[#This Row],[BSLv2]], dict[Key], dict[Name],,0)</f>
        <v>2.预付-订阅</v>
      </c>
      <c r="Q439" t="str">
        <f>_xlfn.XLOOKUP(Jnl[[#This Row],[Acct]], dict[Key], dict[Name],,0)</f>
        <v>预付订单</v>
      </c>
      <c r="R439" t="str">
        <f>_xlfn.XLOOKUP(Jnl[[#This Row],[Vehicle]],config_vehicle[Id], config_vehicle[Name],,0)</f>
        <v>喜家文化</v>
      </c>
      <c r="S439" t="str">
        <f>_xlfn.XLOOKUP(Jnl[[#This Row],[Division]],config_div[Id], config_div[Name],,0)</f>
        <v>水街店</v>
      </c>
      <c r="T439" t="str">
        <f>IF(Jnl[[#This Row],[TrxDate]]&lt;=stmt_BS_date_end, "In", "Out")</f>
        <v>In</v>
      </c>
      <c r="U439" t="str">
        <f>IF(Jnl[[#This Row],[TrxDate]]&lt;debug_date_start, "prior", IF(Jnl[[#This Row],[TrxDate]]&gt;debug_date_end, "post", "curr"))</f>
        <v>prior</v>
      </c>
    </row>
    <row r="440" spans="1:21">
      <c r="A440" s="11" t="s">
        <v>636</v>
      </c>
      <c r="B440" s="7">
        <f>_xlfn.XLOOKUP(Jnl[[#This Row],[TrxId]], Trx[Id], Trx[Date],,0)</f>
        <v>46053</v>
      </c>
      <c r="C440" s="7" t="str">
        <f>_xlfn.XLOOKUP(Jnl[[#This Row],[TrxId]], Trx[Id], Trx[Division],,0)</f>
        <v>Shuijie</v>
      </c>
      <c r="D440" s="7" t="str">
        <f>_xlfn.XLOOKUP(Jnl[[#This Row],[TrxId]], Trx[Id], Trx[Action],,0)</f>
        <v>库存摊销</v>
      </c>
      <c r="E440" s="26" t="s">
        <v>81</v>
      </c>
      <c r="F440" s="11" t="s">
        <v>652</v>
      </c>
      <c r="G440" s="11" t="s">
        <v>136</v>
      </c>
      <c r="H440" s="72">
        <v>14188.2</v>
      </c>
      <c r="I440" s="5" t="b">
        <f>AND(Jnl[[#This Row],[TrxId]]&lt;&gt;"",Jnl[[#This Row],[Acct]]&lt;&gt;"",Jnl[[#This Row],[Item]]&lt;&gt;"",ISNUMBER(Jnl[[#This Row],[Bal]]))</f>
        <v>1</v>
      </c>
      <c r="J440" s="10">
        <f>IF(Jnl[[#This Row],[BSLv0]]="A",1,-1)*Jnl[[#This Row],[Bal]]</f>
        <v>-14188.2</v>
      </c>
      <c r="K440" t="str">
        <f>_xlfn.XLOOKUP(Jnl[[#This Row],[Acct]], config_BS[Acct], config_BS[Lv0],,0)</f>
        <v>LC</v>
      </c>
      <c r="L440" t="str">
        <f>_xlfn.XLOOKUP(Jnl[[#This Row],[Acct]], config_BS[Acct], config_BS[Lv1],,0)</f>
        <v>Liability</v>
      </c>
      <c r="M440" t="str">
        <f>_xlfn.XLOOKUP(Jnl[[#This Row],[Acct]], config_BS[Acct], config_BS[Lv2],,0)</f>
        <v>Rec-Pay</v>
      </c>
      <c r="N440" t="str">
        <f>_xlfn.XLOOKUP(Jnl[[#This Row],[TrxId]], Trx[Id], Trx[IncNode], ,0)</f>
        <v>Cost</v>
      </c>
      <c r="O440" t="str">
        <f>_xlfn.XLOOKUP(Jnl[[#This Row],[IncNode]], config_IS[Node], config_IS[Type],,0)</f>
        <v>Op</v>
      </c>
      <c r="P440" t="str">
        <f>_xlfn.XLOOKUP(Jnl[[#This Row],[BSLv2]], dict[Key], dict[Name],,0)</f>
        <v>1.应收-应付</v>
      </c>
      <c r="Q440" t="str">
        <f>_xlfn.XLOOKUP(Jnl[[#This Row],[Acct]], dict[Key], dict[Name],,0)</f>
        <v>应付-一般</v>
      </c>
      <c r="R440" t="str">
        <f>_xlfn.XLOOKUP(Jnl[[#This Row],[Vehicle]],config_vehicle[Id], config_vehicle[Name],,0)</f>
        <v>喜家文化</v>
      </c>
      <c r="S440" t="str">
        <f>_xlfn.XLOOKUP(Jnl[[#This Row],[Division]],config_div[Id], config_div[Name],,0)</f>
        <v>水街店</v>
      </c>
      <c r="T440" t="str">
        <f>IF(Jnl[[#This Row],[TrxDate]]&lt;=stmt_BS_date_end, "In", "Out")</f>
        <v>In</v>
      </c>
      <c r="U440" t="str">
        <f>IF(Jnl[[#This Row],[TrxDate]]&lt;debug_date_start, "prior", IF(Jnl[[#This Row],[TrxDate]]&gt;debug_date_end, "post", "curr"))</f>
        <v>prior</v>
      </c>
    </row>
    <row r="441" spans="1:21">
      <c r="A441" s="11" t="s">
        <v>637</v>
      </c>
      <c r="B441" s="7">
        <f>_xlfn.XLOOKUP(Jnl[[#This Row],[TrxId]], Trx[Id], Trx[Date],,0)</f>
        <v>46053</v>
      </c>
      <c r="C441" s="7" t="str">
        <f>_xlfn.XLOOKUP(Jnl[[#This Row],[TrxId]], Trx[Id], Trx[Division],,0)</f>
        <v>Shuijie</v>
      </c>
      <c r="D441" s="7" t="str">
        <f>_xlfn.XLOOKUP(Jnl[[#This Row],[TrxId]], Trx[Id], Trx[Action],,0)</f>
        <v>库存摊销</v>
      </c>
      <c r="E441" s="26" t="s">
        <v>81</v>
      </c>
      <c r="F441" s="11" t="s">
        <v>652</v>
      </c>
      <c r="G441" s="11" t="s">
        <v>136</v>
      </c>
      <c r="H441" s="72">
        <v>306</v>
      </c>
      <c r="I441" s="5" t="b">
        <f>AND(Jnl[[#This Row],[TrxId]]&lt;&gt;"",Jnl[[#This Row],[Acct]]&lt;&gt;"",Jnl[[#This Row],[Item]]&lt;&gt;"",ISNUMBER(Jnl[[#This Row],[Bal]]))</f>
        <v>1</v>
      </c>
      <c r="J441" s="10">
        <f>IF(Jnl[[#This Row],[BSLv0]]="A",1,-1)*Jnl[[#This Row],[Bal]]</f>
        <v>-306</v>
      </c>
      <c r="K441" t="str">
        <f>_xlfn.XLOOKUP(Jnl[[#This Row],[Acct]], config_BS[Acct], config_BS[Lv0],,0)</f>
        <v>LC</v>
      </c>
      <c r="L441" t="str">
        <f>_xlfn.XLOOKUP(Jnl[[#This Row],[Acct]], config_BS[Acct], config_BS[Lv1],,0)</f>
        <v>Liability</v>
      </c>
      <c r="M441" t="str">
        <f>_xlfn.XLOOKUP(Jnl[[#This Row],[Acct]], config_BS[Acct], config_BS[Lv2],,0)</f>
        <v>Rec-Pay</v>
      </c>
      <c r="N441" t="str">
        <f>_xlfn.XLOOKUP(Jnl[[#This Row],[TrxId]], Trx[Id], Trx[IncNode], ,0)</f>
        <v>Cost</v>
      </c>
      <c r="O441" t="str">
        <f>_xlfn.XLOOKUP(Jnl[[#This Row],[IncNode]], config_IS[Node], config_IS[Type],,0)</f>
        <v>Op</v>
      </c>
      <c r="P441" t="str">
        <f>_xlfn.XLOOKUP(Jnl[[#This Row],[BSLv2]], dict[Key], dict[Name],,0)</f>
        <v>1.应收-应付</v>
      </c>
      <c r="Q441" t="str">
        <f>_xlfn.XLOOKUP(Jnl[[#This Row],[Acct]], dict[Key], dict[Name],,0)</f>
        <v>应付-一般</v>
      </c>
      <c r="R441" t="str">
        <f>_xlfn.XLOOKUP(Jnl[[#This Row],[Vehicle]],config_vehicle[Id], config_vehicle[Name],,0)</f>
        <v>喜家文化</v>
      </c>
      <c r="S441" t="str">
        <f>_xlfn.XLOOKUP(Jnl[[#This Row],[Division]],config_div[Id], config_div[Name],,0)</f>
        <v>水街店</v>
      </c>
      <c r="T441" t="str">
        <f>IF(Jnl[[#This Row],[TrxDate]]&lt;=stmt_BS_date_end, "In", "Out")</f>
        <v>In</v>
      </c>
      <c r="U441" t="str">
        <f>IF(Jnl[[#This Row],[TrxDate]]&lt;debug_date_start, "prior", IF(Jnl[[#This Row],[TrxDate]]&gt;debug_date_end, "post", "curr"))</f>
        <v>prior</v>
      </c>
    </row>
    <row r="442" spans="1:21">
      <c r="A442" s="11" t="s">
        <v>639</v>
      </c>
      <c r="B442" s="7">
        <f>_xlfn.XLOOKUP(Jnl[[#This Row],[TrxId]], Trx[Id], Trx[Date],,0)</f>
        <v>46053</v>
      </c>
      <c r="C442" s="7" t="str">
        <f>_xlfn.XLOOKUP(Jnl[[#This Row],[TrxId]], Trx[Id], Trx[Division],,0)</f>
        <v>Shuijie</v>
      </c>
      <c r="D442" s="7" t="str">
        <f>_xlfn.XLOOKUP(Jnl[[#This Row],[TrxId]], Trx[Id], Trx[Action],,0)</f>
        <v>收款</v>
      </c>
      <c r="E442" s="26" t="s">
        <v>106</v>
      </c>
      <c r="F442" s="11" t="s">
        <v>593</v>
      </c>
      <c r="G442" s="11" t="s">
        <v>594</v>
      </c>
      <c r="H442" s="72">
        <v>-3984.8</v>
      </c>
      <c r="I442" s="5" t="b">
        <f>AND(Jnl[[#This Row],[TrxId]]&lt;&gt;"",Jnl[[#This Row],[Acct]]&lt;&gt;"",Jnl[[#This Row],[Item]]&lt;&gt;"",ISNUMBER(Jnl[[#This Row],[Bal]]))</f>
        <v>1</v>
      </c>
      <c r="J442" s="10">
        <f>IF(Jnl[[#This Row],[BSLv0]]="A",1,-1)*Jnl[[#This Row],[Bal]]</f>
        <v>-3984.8</v>
      </c>
      <c r="K442" t="str">
        <f>_xlfn.XLOOKUP(Jnl[[#This Row],[Acct]], config_BS[Acct], config_BS[Lv0],,0)</f>
        <v>A</v>
      </c>
      <c r="L442" t="str">
        <f>_xlfn.XLOOKUP(Jnl[[#This Row],[Acct]], config_BS[Acct], config_BS[Lv1],,0)</f>
        <v>Assets</v>
      </c>
      <c r="M442" t="str">
        <f>_xlfn.XLOOKUP(Jnl[[#This Row],[Acct]], config_BS[Acct], config_BS[Lv2],,0)</f>
        <v>Rec-Pay</v>
      </c>
      <c r="N442" t="str">
        <f>_xlfn.XLOOKUP(Jnl[[#This Row],[TrxId]], Trx[Id], Trx[IncNode], ,0)</f>
        <v>Revenue</v>
      </c>
      <c r="O442" t="str">
        <f>_xlfn.XLOOKUP(Jnl[[#This Row],[IncNode]], config_IS[Node], config_IS[Type],,0)</f>
        <v>Op</v>
      </c>
      <c r="P442" t="str">
        <f>_xlfn.XLOOKUP(Jnl[[#This Row],[BSLv2]], dict[Key], dict[Name],,0)</f>
        <v>1.应收-应付</v>
      </c>
      <c r="Q442" t="str">
        <f>_xlfn.XLOOKUP(Jnl[[#This Row],[Acct]], dict[Key], dict[Name],,0)</f>
        <v>应收-一般</v>
      </c>
      <c r="R442" t="str">
        <f>_xlfn.XLOOKUP(Jnl[[#This Row],[Vehicle]],config_vehicle[Id], config_vehicle[Name],,0)</f>
        <v>远家花园高新分公司</v>
      </c>
      <c r="S442" t="str">
        <f>_xlfn.XLOOKUP(Jnl[[#This Row],[Division]],config_div[Id], config_div[Name],,0)</f>
        <v>水街店</v>
      </c>
      <c r="T442" t="str">
        <f>IF(Jnl[[#This Row],[TrxDate]]&lt;=stmt_BS_date_end, "In", "Out")</f>
        <v>In</v>
      </c>
      <c r="U442" t="str">
        <f>IF(Jnl[[#This Row],[TrxDate]]&lt;debug_date_start, "prior", IF(Jnl[[#This Row],[TrxDate]]&gt;debug_date_end, "post", "curr"))</f>
        <v>prior</v>
      </c>
    </row>
    <row r="443" spans="1:21">
      <c r="A443" s="11" t="s">
        <v>639</v>
      </c>
      <c r="B443" s="7">
        <f>_xlfn.XLOOKUP(Jnl[[#This Row],[TrxId]], Trx[Id], Trx[Date],,0)</f>
        <v>46053</v>
      </c>
      <c r="C443" s="7" t="str">
        <f>_xlfn.XLOOKUP(Jnl[[#This Row],[TrxId]], Trx[Id], Trx[Division],,0)</f>
        <v>Shuijie</v>
      </c>
      <c r="D443" s="7" t="str">
        <f>_xlfn.XLOOKUP(Jnl[[#This Row],[TrxId]], Trx[Id], Trx[Action],,0)</f>
        <v>收款</v>
      </c>
      <c r="E443" s="26" t="s">
        <v>106</v>
      </c>
      <c r="F443" s="11" t="s">
        <v>590</v>
      </c>
      <c r="G443" s="11" t="s">
        <v>687</v>
      </c>
      <c r="H443" s="72">
        <v>3984.8</v>
      </c>
      <c r="I443" s="5" t="b">
        <f>AND(Jnl[[#This Row],[TrxId]]&lt;&gt;"",Jnl[[#This Row],[Acct]]&lt;&gt;"",Jnl[[#This Row],[Item]]&lt;&gt;"",ISNUMBER(Jnl[[#This Row],[Bal]]))</f>
        <v>1</v>
      </c>
      <c r="J443" s="10">
        <f>IF(Jnl[[#This Row],[BSLv0]]="A",1,-1)*Jnl[[#This Row],[Bal]]</f>
        <v>3984.8</v>
      </c>
      <c r="K443" t="str">
        <f>_xlfn.XLOOKUP(Jnl[[#This Row],[Acct]], config_BS[Acct], config_BS[Lv0],,0)</f>
        <v>A</v>
      </c>
      <c r="L443" t="str">
        <f>_xlfn.XLOOKUP(Jnl[[#This Row],[Acct]], config_BS[Acct], config_BS[Lv1],,0)</f>
        <v>Assets</v>
      </c>
      <c r="M443" t="str">
        <f>_xlfn.XLOOKUP(Jnl[[#This Row],[Acct]], config_BS[Acct], config_BS[Lv2],,0)</f>
        <v>Cash alike</v>
      </c>
      <c r="N443" t="str">
        <f>_xlfn.XLOOKUP(Jnl[[#This Row],[TrxId]], Trx[Id], Trx[IncNode], ,0)</f>
        <v>Revenue</v>
      </c>
      <c r="O443" t="str">
        <f>_xlfn.XLOOKUP(Jnl[[#This Row],[IncNode]], config_IS[Node], config_IS[Type],,0)</f>
        <v>Op</v>
      </c>
      <c r="P443" t="str">
        <f>_xlfn.XLOOKUP(Jnl[[#This Row],[BSLv2]], dict[Key], dict[Name],,0)</f>
        <v>0.现金及类似</v>
      </c>
      <c r="Q443" t="str">
        <f>_xlfn.XLOOKUP(Jnl[[#This Row],[Acct]], dict[Key], dict[Name],,0)</f>
        <v>银行</v>
      </c>
      <c r="R443" t="str">
        <f>_xlfn.XLOOKUP(Jnl[[#This Row],[Vehicle]],config_vehicle[Id], config_vehicle[Name],,0)</f>
        <v>远家花园高新分公司</v>
      </c>
      <c r="S443" t="str">
        <f>_xlfn.XLOOKUP(Jnl[[#This Row],[Division]],config_div[Id], config_div[Name],,0)</f>
        <v>水街店</v>
      </c>
      <c r="T443" t="str">
        <f>IF(Jnl[[#This Row],[TrxDate]]&lt;=stmt_BS_date_end, "In", "Out")</f>
        <v>In</v>
      </c>
      <c r="U443" t="str">
        <f>IF(Jnl[[#This Row],[TrxDate]]&lt;debug_date_start, "prior", IF(Jnl[[#This Row],[TrxDate]]&gt;debug_date_end, "post", "curr"))</f>
        <v>prior</v>
      </c>
    </row>
    <row r="444" spans="1:21">
      <c r="A444" s="11" t="s">
        <v>640</v>
      </c>
      <c r="B444" s="7">
        <f>_xlfn.XLOOKUP(Jnl[[#This Row],[TrxId]], Trx[Id], Trx[Date],,0)</f>
        <v>46053</v>
      </c>
      <c r="C444" s="7" t="str">
        <f>_xlfn.XLOOKUP(Jnl[[#This Row],[TrxId]], Trx[Id], Trx[Division],,0)</f>
        <v>Shuijie</v>
      </c>
      <c r="D444" s="7" t="str">
        <f>_xlfn.XLOOKUP(Jnl[[#This Row],[TrxId]], Trx[Id], Trx[Action],,0)</f>
        <v>服饰</v>
      </c>
      <c r="E444" s="26" t="s">
        <v>685</v>
      </c>
      <c r="F444" s="11" t="s">
        <v>113</v>
      </c>
      <c r="G444" s="11" t="s">
        <v>594</v>
      </c>
      <c r="H444" s="72">
        <v>1888.88</v>
      </c>
      <c r="I444" s="5" t="b">
        <f>AND(Jnl[[#This Row],[TrxId]]&lt;&gt;"",Jnl[[#This Row],[Acct]]&lt;&gt;"",Jnl[[#This Row],[Item]]&lt;&gt;"",ISNUMBER(Jnl[[#This Row],[Bal]]))</f>
        <v>1</v>
      </c>
      <c r="J444" s="10">
        <f>IF(Jnl[[#This Row],[BSLv0]]="A",1,-1)*Jnl[[#This Row],[Bal]]</f>
        <v>1888.88</v>
      </c>
      <c r="K444" t="str">
        <f>_xlfn.XLOOKUP(Jnl[[#This Row],[Acct]], config_BS[Acct], config_BS[Lv0],,0)</f>
        <v>A</v>
      </c>
      <c r="L444" t="str">
        <f>_xlfn.XLOOKUP(Jnl[[#This Row],[Acct]], config_BS[Acct], config_BS[Lv1],,0)</f>
        <v>Assets</v>
      </c>
      <c r="M444" t="str">
        <f>_xlfn.XLOOKUP(Jnl[[#This Row],[Acct]], config_BS[Acct], config_BS[Lv2],,0)</f>
        <v>Rec-Pay</v>
      </c>
      <c r="N444" t="str">
        <f>_xlfn.XLOOKUP(Jnl[[#This Row],[TrxId]], Trx[Id], Trx[IncNode], ,0)</f>
        <v>Revenue</v>
      </c>
      <c r="O444" t="str">
        <f>_xlfn.XLOOKUP(Jnl[[#This Row],[IncNode]], config_IS[Node], config_IS[Type],,0)</f>
        <v>Op</v>
      </c>
      <c r="P444" t="str">
        <f>_xlfn.XLOOKUP(Jnl[[#This Row],[BSLv2]], dict[Key], dict[Name],,0)</f>
        <v>1.应收-应付</v>
      </c>
      <c r="Q444" t="str">
        <f>_xlfn.XLOOKUP(Jnl[[#This Row],[Acct]], dict[Key], dict[Name],,0)</f>
        <v>应收-一般</v>
      </c>
      <c r="R444" t="str">
        <f>_xlfn.XLOOKUP(Jnl[[#This Row],[Vehicle]],config_vehicle[Id], config_vehicle[Name],,0)</f>
        <v>喜家文化</v>
      </c>
      <c r="S444" t="str">
        <f>_xlfn.XLOOKUP(Jnl[[#This Row],[Division]],config_div[Id], config_div[Name],,0)</f>
        <v>水街店</v>
      </c>
      <c r="T444" t="str">
        <f>IF(Jnl[[#This Row],[TrxDate]]&lt;=stmt_BS_date_end, "In", "Out")</f>
        <v>In</v>
      </c>
      <c r="U444" t="str">
        <f>IF(Jnl[[#This Row],[TrxDate]]&lt;debug_date_start, "prior", IF(Jnl[[#This Row],[TrxDate]]&gt;debug_date_end, "post", "curr"))</f>
        <v>prior</v>
      </c>
    </row>
    <row r="445" spans="1:21">
      <c r="A445" s="11" t="s">
        <v>642</v>
      </c>
      <c r="B445" s="7">
        <f>_xlfn.XLOOKUP(Jnl[[#This Row],[TrxId]], Trx[Id], Trx[Date],,0)</f>
        <v>46053</v>
      </c>
      <c r="C445" s="7" t="str">
        <f>_xlfn.XLOOKUP(Jnl[[#This Row],[TrxId]], Trx[Id], Trx[Division],,0)</f>
        <v>Shuijie</v>
      </c>
      <c r="D445" s="7" t="str">
        <f>_xlfn.XLOOKUP(Jnl[[#This Row],[TrxId]], Trx[Id], Trx[Action],,0)</f>
        <v>平台费</v>
      </c>
      <c r="E445" s="26" t="s">
        <v>81</v>
      </c>
      <c r="F445" s="11" t="s">
        <v>113</v>
      </c>
      <c r="G445" s="11" t="s">
        <v>594</v>
      </c>
      <c r="H445" s="72">
        <v>-1888.88</v>
      </c>
      <c r="I445" s="5" t="b">
        <f>AND(Jnl[[#This Row],[TrxId]]&lt;&gt;"",Jnl[[#This Row],[Acct]]&lt;&gt;"",Jnl[[#This Row],[Item]]&lt;&gt;"",ISNUMBER(Jnl[[#This Row],[Bal]]))</f>
        <v>1</v>
      </c>
      <c r="J445" s="10">
        <f>IF(Jnl[[#This Row],[BSLv0]]="A",1,-1)*Jnl[[#This Row],[Bal]]</f>
        <v>-1888.88</v>
      </c>
      <c r="K445" t="str">
        <f>_xlfn.XLOOKUP(Jnl[[#This Row],[Acct]], config_BS[Acct], config_BS[Lv0],,0)</f>
        <v>A</v>
      </c>
      <c r="L445" t="str">
        <f>_xlfn.XLOOKUP(Jnl[[#This Row],[Acct]], config_BS[Acct], config_BS[Lv1],,0)</f>
        <v>Assets</v>
      </c>
      <c r="M445" t="str">
        <f>_xlfn.XLOOKUP(Jnl[[#This Row],[Acct]], config_BS[Acct], config_BS[Lv2],,0)</f>
        <v>Rec-Pay</v>
      </c>
      <c r="N445" t="str">
        <f>_xlfn.XLOOKUP(Jnl[[#This Row],[TrxId]], Trx[Id], Trx[IncNode], ,0)</f>
        <v>Expense</v>
      </c>
      <c r="O445" t="str">
        <f>_xlfn.XLOOKUP(Jnl[[#This Row],[IncNode]], config_IS[Node], config_IS[Type],,0)</f>
        <v>Op</v>
      </c>
      <c r="P445" t="str">
        <f>_xlfn.XLOOKUP(Jnl[[#This Row],[BSLv2]], dict[Key], dict[Name],,0)</f>
        <v>1.应收-应付</v>
      </c>
      <c r="Q445" t="str">
        <f>_xlfn.XLOOKUP(Jnl[[#This Row],[Acct]], dict[Key], dict[Name],,0)</f>
        <v>应收-一般</v>
      </c>
      <c r="R445" t="str">
        <f>_xlfn.XLOOKUP(Jnl[[#This Row],[Vehicle]],config_vehicle[Id], config_vehicle[Name],,0)</f>
        <v>喜家文化</v>
      </c>
      <c r="S445" t="str">
        <f>_xlfn.XLOOKUP(Jnl[[#This Row],[Division]],config_div[Id], config_div[Name],,0)</f>
        <v>水街店</v>
      </c>
      <c r="T445" t="str">
        <f>IF(Jnl[[#This Row],[TrxDate]]&lt;=stmt_BS_date_end, "In", "Out")</f>
        <v>In</v>
      </c>
      <c r="U445" t="str">
        <f>IF(Jnl[[#This Row],[TrxDate]]&lt;debug_date_start, "prior", IF(Jnl[[#This Row],[TrxDate]]&gt;debug_date_end, "post", "curr"))</f>
        <v>prior</v>
      </c>
    </row>
    <row r="446" spans="1:21">
      <c r="A446" s="11" t="s">
        <v>643</v>
      </c>
      <c r="B446" s="7">
        <f>_xlfn.XLOOKUP(Jnl[[#This Row],[TrxId]], Trx[Id], Trx[Date],,0)</f>
        <v>46053</v>
      </c>
      <c r="C446" s="7" t="str">
        <f>_xlfn.XLOOKUP(Jnl[[#This Row],[TrxId]], Trx[Id], Trx[Division],,0)</f>
        <v>Shuijie</v>
      </c>
      <c r="D446" s="7" t="str">
        <f>_xlfn.XLOOKUP(Jnl[[#This Row],[TrxId]], Trx[Id], Trx[Action],,0)</f>
        <v>增值税</v>
      </c>
      <c r="E446" s="26" t="s">
        <v>81</v>
      </c>
      <c r="F446" s="11" t="s">
        <v>127</v>
      </c>
      <c r="G446" s="11" t="s">
        <v>307</v>
      </c>
      <c r="H446" s="72">
        <v>27625.07</v>
      </c>
      <c r="I446" s="5" t="b">
        <f>AND(Jnl[[#This Row],[TrxId]]&lt;&gt;"",Jnl[[#This Row],[Acct]]&lt;&gt;"",Jnl[[#This Row],[Item]]&lt;&gt;"",ISNUMBER(Jnl[[#This Row],[Bal]]))</f>
        <v>1</v>
      </c>
      <c r="J446" s="10">
        <f>IF(Jnl[[#This Row],[BSLv0]]="A",1,-1)*Jnl[[#This Row],[Bal]]</f>
        <v>-27625.07</v>
      </c>
      <c r="K446" t="str">
        <f>_xlfn.XLOOKUP(Jnl[[#This Row],[Acct]], config_BS[Acct], config_BS[Lv0],,0)</f>
        <v>LC</v>
      </c>
      <c r="L446" t="str">
        <f>_xlfn.XLOOKUP(Jnl[[#This Row],[Acct]], config_BS[Acct], config_BS[Lv1],,0)</f>
        <v>Liability</v>
      </c>
      <c r="M446" t="str">
        <f>_xlfn.XLOOKUP(Jnl[[#This Row],[Acct]], config_BS[Acct], config_BS[Lv2],,0)</f>
        <v>Rec-Pay</v>
      </c>
      <c r="N446" t="str">
        <f>_xlfn.XLOOKUP(Jnl[[#This Row],[TrxId]], Trx[Id], Trx[IncNode], ,0)</f>
        <v>Cost</v>
      </c>
      <c r="O446" t="str">
        <f>_xlfn.XLOOKUP(Jnl[[#This Row],[IncNode]], config_IS[Node], config_IS[Type],,0)</f>
        <v>Op</v>
      </c>
      <c r="P446" t="str">
        <f>_xlfn.XLOOKUP(Jnl[[#This Row],[BSLv2]], dict[Key], dict[Name],,0)</f>
        <v>1.应收-应付</v>
      </c>
      <c r="Q446" t="str">
        <f>_xlfn.XLOOKUP(Jnl[[#This Row],[Acct]], dict[Key], dict[Name],,0)</f>
        <v>应付-税款</v>
      </c>
      <c r="R446" t="str">
        <f>_xlfn.XLOOKUP(Jnl[[#This Row],[Vehicle]],config_vehicle[Id], config_vehicle[Name],,0)</f>
        <v>喜家文化</v>
      </c>
      <c r="S446" t="str">
        <f>_xlfn.XLOOKUP(Jnl[[#This Row],[Division]],config_div[Id], config_div[Name],,0)</f>
        <v>水街店</v>
      </c>
      <c r="T446" t="str">
        <f>IF(Jnl[[#This Row],[TrxDate]]&lt;=stmt_BS_date_end, "In", "Out")</f>
        <v>In</v>
      </c>
      <c r="U446" t="str">
        <f>IF(Jnl[[#This Row],[TrxDate]]&lt;debug_date_start, "prior", IF(Jnl[[#This Row],[TrxDate]]&gt;debug_date_end, "post", "curr"))</f>
        <v>prior</v>
      </c>
    </row>
    <row r="447" spans="1:21">
      <c r="A447" s="11" t="s">
        <v>644</v>
      </c>
      <c r="B447" s="7">
        <f>_xlfn.XLOOKUP(Jnl[[#This Row],[TrxId]], Trx[Id], Trx[Date],,0)</f>
        <v>46053</v>
      </c>
      <c r="C447" s="7" t="str">
        <f>_xlfn.XLOOKUP(Jnl[[#This Row],[TrxId]], Trx[Id], Trx[Division],,0)</f>
        <v>Ctrl</v>
      </c>
      <c r="D447" s="7" t="str">
        <f>_xlfn.XLOOKUP(Jnl[[#This Row],[TrxId]], Trx[Id], Trx[Action],,0)</f>
        <v>计提税金</v>
      </c>
      <c r="E447" s="26" t="s">
        <v>81</v>
      </c>
      <c r="F447" s="11" t="s">
        <v>127</v>
      </c>
      <c r="G447" s="11" t="s">
        <v>616</v>
      </c>
      <c r="H447" s="72">
        <v>83.3</v>
      </c>
      <c r="I447" s="5" t="b">
        <f>AND(Jnl[[#This Row],[TrxId]]&lt;&gt;"",Jnl[[#This Row],[Acct]]&lt;&gt;"",Jnl[[#This Row],[Item]]&lt;&gt;"",ISNUMBER(Jnl[[#This Row],[Bal]]))</f>
        <v>1</v>
      </c>
      <c r="J447" s="10">
        <f>IF(Jnl[[#This Row],[BSLv0]]="A",1,-1)*Jnl[[#This Row],[Bal]]</f>
        <v>-83.3</v>
      </c>
      <c r="K447" t="str">
        <f>_xlfn.XLOOKUP(Jnl[[#This Row],[Acct]], config_BS[Acct], config_BS[Lv0],,0)</f>
        <v>LC</v>
      </c>
      <c r="L447" t="str">
        <f>_xlfn.XLOOKUP(Jnl[[#This Row],[Acct]], config_BS[Acct], config_BS[Lv1],,0)</f>
        <v>Liability</v>
      </c>
      <c r="M447" t="str">
        <f>_xlfn.XLOOKUP(Jnl[[#This Row],[Acct]], config_BS[Acct], config_BS[Lv2],,0)</f>
        <v>Rec-Pay</v>
      </c>
      <c r="N447" t="str">
        <f>_xlfn.XLOOKUP(Jnl[[#This Row],[TrxId]], Trx[Id], Trx[IncNode], ,0)</f>
        <v>Expense</v>
      </c>
      <c r="O447" t="str">
        <f>_xlfn.XLOOKUP(Jnl[[#This Row],[IncNode]], config_IS[Node], config_IS[Type],,0)</f>
        <v>Op</v>
      </c>
      <c r="P447" t="str">
        <f>_xlfn.XLOOKUP(Jnl[[#This Row],[BSLv2]], dict[Key], dict[Name],,0)</f>
        <v>1.应收-应付</v>
      </c>
      <c r="Q447" t="str">
        <f>_xlfn.XLOOKUP(Jnl[[#This Row],[Acct]], dict[Key], dict[Name],,0)</f>
        <v>应付-税款</v>
      </c>
      <c r="R447" t="str">
        <f>_xlfn.XLOOKUP(Jnl[[#This Row],[Vehicle]],config_vehicle[Id], config_vehicle[Name],,0)</f>
        <v>喜家文化</v>
      </c>
      <c r="S447" t="str">
        <f>_xlfn.XLOOKUP(Jnl[[#This Row],[Division]],config_div[Id], config_div[Name],,0)</f>
        <v>内控合规</v>
      </c>
      <c r="T447" t="str">
        <f>IF(Jnl[[#This Row],[TrxDate]]&lt;=stmt_BS_date_end, "In", "Out")</f>
        <v>In</v>
      </c>
      <c r="U447" t="str">
        <f>IF(Jnl[[#This Row],[TrxDate]]&lt;debug_date_start, "prior", IF(Jnl[[#This Row],[TrxDate]]&gt;debug_date_end, "post", "curr"))</f>
        <v>prior</v>
      </c>
    </row>
    <row r="448" spans="1:21">
      <c r="A448" s="11" t="s">
        <v>644</v>
      </c>
      <c r="B448" s="7">
        <f>_xlfn.XLOOKUP(Jnl[[#This Row],[TrxId]], Trx[Id], Trx[Date],,0)</f>
        <v>46053</v>
      </c>
      <c r="C448" s="7" t="str">
        <f>_xlfn.XLOOKUP(Jnl[[#This Row],[TrxId]], Trx[Id], Trx[Division],,0)</f>
        <v>Ctrl</v>
      </c>
      <c r="D448" s="7" t="str">
        <f>_xlfn.XLOOKUP(Jnl[[#This Row],[TrxId]], Trx[Id], Trx[Action],,0)</f>
        <v>计提税金</v>
      </c>
      <c r="E448" s="26" t="s">
        <v>81</v>
      </c>
      <c r="F448" s="11" t="s">
        <v>127</v>
      </c>
      <c r="G448" s="11" t="s">
        <v>349</v>
      </c>
      <c r="H448" s="72">
        <v>132.21</v>
      </c>
      <c r="I448" s="5" t="b">
        <f>AND(Jnl[[#This Row],[TrxId]]&lt;&gt;"",Jnl[[#This Row],[Acct]]&lt;&gt;"",Jnl[[#This Row],[Item]]&lt;&gt;"",ISNUMBER(Jnl[[#This Row],[Bal]]))</f>
        <v>1</v>
      </c>
      <c r="J448" s="10">
        <f>IF(Jnl[[#This Row],[BSLv0]]="A",1,-1)*Jnl[[#This Row],[Bal]]</f>
        <v>-132.21</v>
      </c>
      <c r="K448" t="str">
        <f>_xlfn.XLOOKUP(Jnl[[#This Row],[Acct]], config_BS[Acct], config_BS[Lv0],,0)</f>
        <v>LC</v>
      </c>
      <c r="L448" t="str">
        <f>_xlfn.XLOOKUP(Jnl[[#This Row],[Acct]], config_BS[Acct], config_BS[Lv1],,0)</f>
        <v>Liability</v>
      </c>
      <c r="M448" t="str">
        <f>_xlfn.XLOOKUP(Jnl[[#This Row],[Acct]], config_BS[Acct], config_BS[Lv2],,0)</f>
        <v>Rec-Pay</v>
      </c>
      <c r="N448" t="str">
        <f>_xlfn.XLOOKUP(Jnl[[#This Row],[TrxId]], Trx[Id], Trx[IncNode], ,0)</f>
        <v>Expense</v>
      </c>
      <c r="O448" t="str">
        <f>_xlfn.XLOOKUP(Jnl[[#This Row],[IncNode]], config_IS[Node], config_IS[Type],,0)</f>
        <v>Op</v>
      </c>
      <c r="P448" t="str">
        <f>_xlfn.XLOOKUP(Jnl[[#This Row],[BSLv2]], dict[Key], dict[Name],,0)</f>
        <v>1.应收-应付</v>
      </c>
      <c r="Q448" t="str">
        <f>_xlfn.XLOOKUP(Jnl[[#This Row],[Acct]], dict[Key], dict[Name],,0)</f>
        <v>应付-税款</v>
      </c>
      <c r="R448" t="str">
        <f>_xlfn.XLOOKUP(Jnl[[#This Row],[Vehicle]],config_vehicle[Id], config_vehicle[Name],,0)</f>
        <v>喜家文化</v>
      </c>
      <c r="S448" t="str">
        <f>_xlfn.XLOOKUP(Jnl[[#This Row],[Division]],config_div[Id], config_div[Name],,0)</f>
        <v>内控合规</v>
      </c>
      <c r="T448" t="str">
        <f>IF(Jnl[[#This Row],[TrxDate]]&lt;=stmt_BS_date_end, "In", "Out")</f>
        <v>In</v>
      </c>
      <c r="U448" t="str">
        <f>IF(Jnl[[#This Row],[TrxDate]]&lt;debug_date_start, "prior", IF(Jnl[[#This Row],[TrxDate]]&gt;debug_date_end, "post", "curr"))</f>
        <v>prior</v>
      </c>
    </row>
    <row r="449" spans="1:21">
      <c r="A449" s="11" t="s">
        <v>644</v>
      </c>
      <c r="B449" s="7">
        <f>_xlfn.XLOOKUP(Jnl[[#This Row],[TrxId]], Trx[Id], Trx[Date],,0)</f>
        <v>46053</v>
      </c>
      <c r="C449" s="7" t="str">
        <f>_xlfn.XLOOKUP(Jnl[[#This Row],[TrxId]], Trx[Id], Trx[Division],,0)</f>
        <v>Ctrl</v>
      </c>
      <c r="D449" s="7" t="str">
        <f>_xlfn.XLOOKUP(Jnl[[#This Row],[TrxId]], Trx[Id], Trx[Action],,0)</f>
        <v>计提税金</v>
      </c>
      <c r="E449" s="26" t="s">
        <v>81</v>
      </c>
      <c r="F449" s="11" t="s">
        <v>127</v>
      </c>
      <c r="G449" s="11" t="s">
        <v>348</v>
      </c>
      <c r="H449" s="72">
        <v>1662.48</v>
      </c>
      <c r="I449" s="5" t="b">
        <f>AND(Jnl[[#This Row],[TrxId]]&lt;&gt;"",Jnl[[#This Row],[Acct]]&lt;&gt;"",Jnl[[#This Row],[Item]]&lt;&gt;"",ISNUMBER(Jnl[[#This Row],[Bal]]))</f>
        <v>1</v>
      </c>
      <c r="J449" s="10">
        <f>IF(Jnl[[#This Row],[BSLv0]]="A",1,-1)*Jnl[[#This Row],[Bal]]</f>
        <v>-1662.48</v>
      </c>
      <c r="K449" t="str">
        <f>_xlfn.XLOOKUP(Jnl[[#This Row],[Acct]], config_BS[Acct], config_BS[Lv0],,0)</f>
        <v>LC</v>
      </c>
      <c r="L449" t="str">
        <f>_xlfn.XLOOKUP(Jnl[[#This Row],[Acct]], config_BS[Acct], config_BS[Lv1],,0)</f>
        <v>Liability</v>
      </c>
      <c r="M449" t="str">
        <f>_xlfn.XLOOKUP(Jnl[[#This Row],[Acct]], config_BS[Acct], config_BS[Lv2],,0)</f>
        <v>Rec-Pay</v>
      </c>
      <c r="N449" t="str">
        <f>_xlfn.XLOOKUP(Jnl[[#This Row],[TrxId]], Trx[Id], Trx[IncNode], ,0)</f>
        <v>Expense</v>
      </c>
      <c r="O449" t="str">
        <f>_xlfn.XLOOKUP(Jnl[[#This Row],[IncNode]], config_IS[Node], config_IS[Type],,0)</f>
        <v>Op</v>
      </c>
      <c r="P449" t="str">
        <f>_xlfn.XLOOKUP(Jnl[[#This Row],[BSLv2]], dict[Key], dict[Name],,0)</f>
        <v>1.应收-应付</v>
      </c>
      <c r="Q449" t="str">
        <f>_xlfn.XLOOKUP(Jnl[[#This Row],[Acct]], dict[Key], dict[Name],,0)</f>
        <v>应付-税款</v>
      </c>
      <c r="R449" t="str">
        <f>_xlfn.XLOOKUP(Jnl[[#This Row],[Vehicle]],config_vehicle[Id], config_vehicle[Name],,0)</f>
        <v>喜家文化</v>
      </c>
      <c r="S449" t="str">
        <f>_xlfn.XLOOKUP(Jnl[[#This Row],[Division]],config_div[Id], config_div[Name],,0)</f>
        <v>内控合规</v>
      </c>
      <c r="T449" t="str">
        <f>IF(Jnl[[#This Row],[TrxDate]]&lt;=stmt_BS_date_end, "In", "Out")</f>
        <v>In</v>
      </c>
      <c r="U449" t="str">
        <f>IF(Jnl[[#This Row],[TrxDate]]&lt;debug_date_start, "prior", IF(Jnl[[#This Row],[TrxDate]]&gt;debug_date_end, "post", "curr"))</f>
        <v>prior</v>
      </c>
    </row>
    <row r="450" spans="1:21">
      <c r="A450" s="11" t="s">
        <v>644</v>
      </c>
      <c r="B450" s="7">
        <f>_xlfn.XLOOKUP(Jnl[[#This Row],[TrxId]], Trx[Id], Trx[Date],,0)</f>
        <v>46053</v>
      </c>
      <c r="C450" s="7" t="str">
        <f>_xlfn.XLOOKUP(Jnl[[#This Row],[TrxId]], Trx[Id], Trx[Division],,0)</f>
        <v>Ctrl</v>
      </c>
      <c r="D450" s="7" t="str">
        <f>_xlfn.XLOOKUP(Jnl[[#This Row],[TrxId]], Trx[Id], Trx[Action],,0)</f>
        <v>计提税金</v>
      </c>
      <c r="E450" s="26" t="s">
        <v>81</v>
      </c>
      <c r="F450" s="11" t="s">
        <v>127</v>
      </c>
      <c r="G450" s="11" t="s">
        <v>347</v>
      </c>
      <c r="H450" s="72">
        <v>4322.99</v>
      </c>
      <c r="I450" s="5" t="b">
        <f>AND(Jnl[[#This Row],[TrxId]]&lt;&gt;"",Jnl[[#This Row],[Acct]]&lt;&gt;"",Jnl[[#This Row],[Item]]&lt;&gt;"",ISNUMBER(Jnl[[#This Row],[Bal]]))</f>
        <v>1</v>
      </c>
      <c r="J450" s="10">
        <f>IF(Jnl[[#This Row],[BSLv0]]="A",1,-1)*Jnl[[#This Row],[Bal]]</f>
        <v>-4322.99</v>
      </c>
      <c r="K450" t="str">
        <f>_xlfn.XLOOKUP(Jnl[[#This Row],[Acct]], config_BS[Acct], config_BS[Lv0],,0)</f>
        <v>LC</v>
      </c>
      <c r="L450" t="str">
        <f>_xlfn.XLOOKUP(Jnl[[#This Row],[Acct]], config_BS[Acct], config_BS[Lv1],,0)</f>
        <v>Liability</v>
      </c>
      <c r="M450" t="str">
        <f>_xlfn.XLOOKUP(Jnl[[#This Row],[Acct]], config_BS[Acct], config_BS[Lv2],,0)</f>
        <v>Rec-Pay</v>
      </c>
      <c r="N450" t="str">
        <f>_xlfn.XLOOKUP(Jnl[[#This Row],[TrxId]], Trx[Id], Trx[IncNode], ,0)</f>
        <v>Expense</v>
      </c>
      <c r="O450" t="str">
        <f>_xlfn.XLOOKUP(Jnl[[#This Row],[IncNode]], config_IS[Node], config_IS[Type],,0)</f>
        <v>Op</v>
      </c>
      <c r="P450" t="str">
        <f>_xlfn.XLOOKUP(Jnl[[#This Row],[BSLv2]], dict[Key], dict[Name],,0)</f>
        <v>1.应收-应付</v>
      </c>
      <c r="Q450" t="str">
        <f>_xlfn.XLOOKUP(Jnl[[#This Row],[Acct]], dict[Key], dict[Name],,0)</f>
        <v>应付-税款</v>
      </c>
      <c r="R450" t="str">
        <f>_xlfn.XLOOKUP(Jnl[[#This Row],[Vehicle]],config_vehicle[Id], config_vehicle[Name],,0)</f>
        <v>喜家文化</v>
      </c>
      <c r="S450" t="str">
        <f>_xlfn.XLOOKUP(Jnl[[#This Row],[Division]],config_div[Id], config_div[Name],,0)</f>
        <v>内控合规</v>
      </c>
      <c r="T450" t="str">
        <f>IF(Jnl[[#This Row],[TrxDate]]&lt;=stmt_BS_date_end, "In", "Out")</f>
        <v>In</v>
      </c>
      <c r="U450" t="str">
        <f>IF(Jnl[[#This Row],[TrxDate]]&lt;debug_date_start, "prior", IF(Jnl[[#This Row],[TrxDate]]&gt;debug_date_end, "post", "curr"))</f>
        <v>prior</v>
      </c>
    </row>
    <row r="451" spans="1:21">
      <c r="A451" s="11" t="s">
        <v>645</v>
      </c>
      <c r="B451" s="7">
        <f>_xlfn.XLOOKUP(Jnl[[#This Row],[TrxId]], Trx[Id], Trx[Date],,0)</f>
        <v>46053</v>
      </c>
      <c r="C451" s="7" t="str">
        <f>_xlfn.XLOOKUP(Jnl[[#This Row],[TrxId]], Trx[Id], Trx[Division],,0)</f>
        <v>Shuijie</v>
      </c>
      <c r="D451" s="7" t="str">
        <f>_xlfn.XLOOKUP(Jnl[[#This Row],[TrxId]], Trx[Id], Trx[Action],,0)</f>
        <v>薪酬-工资</v>
      </c>
      <c r="E451" s="26" t="s">
        <v>81</v>
      </c>
      <c r="F451" s="11" t="s">
        <v>596</v>
      </c>
      <c r="G451" s="11" t="s">
        <v>149</v>
      </c>
      <c r="H451" s="72">
        <v>36283.379999999997</v>
      </c>
      <c r="I451" s="5" t="b">
        <f>AND(Jnl[[#This Row],[TrxId]]&lt;&gt;"",Jnl[[#This Row],[Acct]]&lt;&gt;"",Jnl[[#This Row],[Item]]&lt;&gt;"",ISNUMBER(Jnl[[#This Row],[Bal]]))</f>
        <v>1</v>
      </c>
      <c r="J451" s="10">
        <f>IF(Jnl[[#This Row],[BSLv0]]="A",1,-1)*Jnl[[#This Row],[Bal]]</f>
        <v>-36283.379999999997</v>
      </c>
      <c r="K451" t="str">
        <f>_xlfn.XLOOKUP(Jnl[[#This Row],[Acct]], config_BS[Acct], config_BS[Lv0],,0)</f>
        <v>LC</v>
      </c>
      <c r="L451" t="str">
        <f>_xlfn.XLOOKUP(Jnl[[#This Row],[Acct]], config_BS[Acct], config_BS[Lv1],,0)</f>
        <v>Liability</v>
      </c>
      <c r="M451" t="str">
        <f>_xlfn.XLOOKUP(Jnl[[#This Row],[Acct]], config_BS[Acct], config_BS[Lv2],,0)</f>
        <v>Rec-Pay</v>
      </c>
      <c r="N451" t="str">
        <f>_xlfn.XLOOKUP(Jnl[[#This Row],[TrxId]], Trx[Id], Trx[IncNode], ,0)</f>
        <v>Expense</v>
      </c>
      <c r="O451" t="str">
        <f>_xlfn.XLOOKUP(Jnl[[#This Row],[IncNode]], config_IS[Node], config_IS[Type],,0)</f>
        <v>Op</v>
      </c>
      <c r="P451" t="str">
        <f>_xlfn.XLOOKUP(Jnl[[#This Row],[BSLv2]], dict[Key], dict[Name],,0)</f>
        <v>1.应收-应付</v>
      </c>
      <c r="Q451" t="str">
        <f>_xlfn.XLOOKUP(Jnl[[#This Row],[Acct]], dict[Key], dict[Name],,0)</f>
        <v>应付-薪资</v>
      </c>
      <c r="R451" t="str">
        <f>_xlfn.XLOOKUP(Jnl[[#This Row],[Vehicle]],config_vehicle[Id], config_vehicle[Name],,0)</f>
        <v>喜家文化</v>
      </c>
      <c r="S451" t="str">
        <f>_xlfn.XLOOKUP(Jnl[[#This Row],[Division]],config_div[Id], config_div[Name],,0)</f>
        <v>水街店</v>
      </c>
      <c r="T451" t="str">
        <f>IF(Jnl[[#This Row],[TrxDate]]&lt;=stmt_BS_date_end, "In", "Out")</f>
        <v>In</v>
      </c>
      <c r="U451" t="str">
        <f>IF(Jnl[[#This Row],[TrxDate]]&lt;debug_date_start, "prior", IF(Jnl[[#This Row],[TrxDate]]&gt;debug_date_end, "post", "curr"))</f>
        <v>prior</v>
      </c>
    </row>
    <row r="452" spans="1:21">
      <c r="A452" s="11" t="s">
        <v>646</v>
      </c>
      <c r="B452" s="7">
        <f>_xlfn.XLOOKUP(Jnl[[#This Row],[TrxId]], Trx[Id], Trx[Date],,0)</f>
        <v>46053</v>
      </c>
      <c r="C452" s="7" t="str">
        <f>_xlfn.XLOOKUP(Jnl[[#This Row],[TrxId]], Trx[Id], Trx[Division],,0)</f>
        <v>GM</v>
      </c>
      <c r="D452" s="7" t="str">
        <f>_xlfn.XLOOKUP(Jnl[[#This Row],[TrxId]], Trx[Id], Trx[Action],,0)</f>
        <v>年终奖</v>
      </c>
      <c r="E452" s="26" t="s">
        <v>81</v>
      </c>
      <c r="F452" s="11" t="s">
        <v>596</v>
      </c>
      <c r="G452" s="11" t="s">
        <v>318</v>
      </c>
      <c r="H452" s="72">
        <v>11200</v>
      </c>
      <c r="I452" s="5" t="b">
        <f>AND(Jnl[[#This Row],[TrxId]]&lt;&gt;"",Jnl[[#This Row],[Acct]]&lt;&gt;"",Jnl[[#This Row],[Item]]&lt;&gt;"",ISNUMBER(Jnl[[#This Row],[Bal]]))</f>
        <v>1</v>
      </c>
      <c r="J452" s="10">
        <f>IF(Jnl[[#This Row],[BSLv0]]="A",1,-1)*Jnl[[#This Row],[Bal]]</f>
        <v>-11200</v>
      </c>
      <c r="K452" t="str">
        <f>_xlfn.XLOOKUP(Jnl[[#This Row],[Acct]], config_BS[Acct], config_BS[Lv0],,0)</f>
        <v>LC</v>
      </c>
      <c r="L452" t="str">
        <f>_xlfn.XLOOKUP(Jnl[[#This Row],[Acct]], config_BS[Acct], config_BS[Lv1],,0)</f>
        <v>Liability</v>
      </c>
      <c r="M452" t="str">
        <f>_xlfn.XLOOKUP(Jnl[[#This Row],[Acct]], config_BS[Acct], config_BS[Lv2],,0)</f>
        <v>Rec-Pay</v>
      </c>
      <c r="N452" t="str">
        <f>_xlfn.XLOOKUP(Jnl[[#This Row],[TrxId]], Trx[Id], Trx[IncNode], ,0)</f>
        <v>Discretion</v>
      </c>
      <c r="O452" t="str">
        <f>_xlfn.XLOOKUP(Jnl[[#This Row],[IncNode]], config_IS[Node], config_IS[Type],,0)</f>
        <v>Non-Op</v>
      </c>
      <c r="P452" t="str">
        <f>_xlfn.XLOOKUP(Jnl[[#This Row],[BSLv2]], dict[Key], dict[Name],,0)</f>
        <v>1.应收-应付</v>
      </c>
      <c r="Q452" t="str">
        <f>_xlfn.XLOOKUP(Jnl[[#This Row],[Acct]], dict[Key], dict[Name],,0)</f>
        <v>应付-薪资</v>
      </c>
      <c r="R452" t="str">
        <f>_xlfn.XLOOKUP(Jnl[[#This Row],[Vehicle]],config_vehicle[Id], config_vehicle[Name],,0)</f>
        <v>喜家文化</v>
      </c>
      <c r="S452" t="str">
        <f>_xlfn.XLOOKUP(Jnl[[#This Row],[Division]],config_div[Id], config_div[Name],,0)</f>
        <v>综合管理</v>
      </c>
      <c r="T452" t="str">
        <f>IF(Jnl[[#This Row],[TrxDate]]&lt;=stmt_BS_date_end, "In", "Out")</f>
        <v>In</v>
      </c>
      <c r="U452" t="str">
        <f>IF(Jnl[[#This Row],[TrxDate]]&lt;debug_date_start, "prior", IF(Jnl[[#This Row],[TrxDate]]&gt;debug_date_end, "post", "curr"))</f>
        <v>prior</v>
      </c>
    </row>
    <row r="453" spans="1:21">
      <c r="A453" s="11" t="s">
        <v>647</v>
      </c>
      <c r="B453" s="7">
        <f>_xlfn.XLOOKUP(Jnl[[#This Row],[TrxId]], Trx[Id], Trx[Date],,0)</f>
        <v>46053</v>
      </c>
      <c r="C453" s="7" t="str">
        <f>_xlfn.XLOOKUP(Jnl[[#This Row],[TrxId]], Trx[Id], Trx[Division],,0)</f>
        <v>Shuijie</v>
      </c>
      <c r="D453" s="7" t="str">
        <f>_xlfn.XLOOKUP(Jnl[[#This Row],[TrxId]], Trx[Id], Trx[Action],,0)</f>
        <v>服饰</v>
      </c>
      <c r="E453" s="26" t="s">
        <v>81</v>
      </c>
      <c r="F453" s="11" t="s">
        <v>599</v>
      </c>
      <c r="G453" s="11" t="s">
        <v>653</v>
      </c>
      <c r="H453" s="72">
        <v>16770.2</v>
      </c>
      <c r="I453" s="5" t="b">
        <f>AND(Jnl[[#This Row],[TrxId]]&lt;&gt;"",Jnl[[#This Row],[Acct]]&lt;&gt;"",Jnl[[#This Row],[Item]]&lt;&gt;"",ISNUMBER(Jnl[[#This Row],[Bal]]))</f>
        <v>1</v>
      </c>
      <c r="J453" s="10">
        <f>IF(Jnl[[#This Row],[BSLv0]]="A",1,-1)*Jnl[[#This Row],[Bal]]</f>
        <v>16770.2</v>
      </c>
      <c r="K453" t="str">
        <f>_xlfn.XLOOKUP(Jnl[[#This Row],[Acct]], config_BS[Acct], config_BS[Lv0],,0)</f>
        <v>A</v>
      </c>
      <c r="L453" t="str">
        <f>_xlfn.XLOOKUP(Jnl[[#This Row],[Acct]], config_BS[Acct], config_BS[Lv1],,0)</f>
        <v>Assets</v>
      </c>
      <c r="M453" t="str">
        <f>_xlfn.XLOOKUP(Jnl[[#This Row],[Acct]], config_BS[Acct], config_BS[Lv2],,0)</f>
        <v>Cash alike</v>
      </c>
      <c r="N453" t="str">
        <f>_xlfn.XLOOKUP(Jnl[[#This Row],[TrxId]], Trx[Id], Trx[IncNode], ,0)</f>
        <v>Revenue</v>
      </c>
      <c r="O453" t="str">
        <f>_xlfn.XLOOKUP(Jnl[[#This Row],[IncNode]], config_IS[Node], config_IS[Type],,0)</f>
        <v>Op</v>
      </c>
      <c r="P453" t="str">
        <f>_xlfn.XLOOKUP(Jnl[[#This Row],[BSLv2]], dict[Key], dict[Name],,0)</f>
        <v>0.现金及类似</v>
      </c>
      <c r="Q453" t="str">
        <f>_xlfn.XLOOKUP(Jnl[[#This Row],[Acct]], dict[Key], dict[Name],,0)</f>
        <v>物理现金</v>
      </c>
      <c r="R453" t="str">
        <f>_xlfn.XLOOKUP(Jnl[[#This Row],[Vehicle]],config_vehicle[Id], config_vehicle[Name],,0)</f>
        <v>喜家文化</v>
      </c>
      <c r="S453" t="str">
        <f>_xlfn.XLOOKUP(Jnl[[#This Row],[Division]],config_div[Id], config_div[Name],,0)</f>
        <v>水街店</v>
      </c>
      <c r="T453" t="str">
        <f>IF(Jnl[[#This Row],[TrxDate]]&lt;=stmt_BS_date_end, "In", "Out")</f>
        <v>In</v>
      </c>
      <c r="U453" t="str">
        <f>IF(Jnl[[#This Row],[TrxDate]]&lt;debug_date_start, "prior", IF(Jnl[[#This Row],[TrxDate]]&gt;debug_date_end, "post", "curr"))</f>
        <v>prior</v>
      </c>
    </row>
    <row r="454" spans="1:21">
      <c r="A454" s="11" t="s">
        <v>648</v>
      </c>
      <c r="B454" s="7">
        <f>_xlfn.XLOOKUP(Jnl[[#This Row],[TrxId]], Trx[Id], Trx[Date],,0)</f>
        <v>46053</v>
      </c>
      <c r="C454" s="7" t="str">
        <f>_xlfn.XLOOKUP(Jnl[[#This Row],[TrxId]], Trx[Id], Trx[Division],,0)</f>
        <v>Shuijie</v>
      </c>
      <c r="D454" s="7" t="str">
        <f>_xlfn.XLOOKUP(Jnl[[#This Row],[TrxId]], Trx[Id], Trx[Action],,0)</f>
        <v>服饰</v>
      </c>
      <c r="E454" s="26" t="s">
        <v>81</v>
      </c>
      <c r="F454" s="11" t="s">
        <v>593</v>
      </c>
      <c r="G454" s="11" t="s">
        <v>594</v>
      </c>
      <c r="H454" s="72">
        <v>42268.46</v>
      </c>
      <c r="I454" s="5" t="b">
        <f>AND(Jnl[[#This Row],[TrxId]]&lt;&gt;"",Jnl[[#This Row],[Acct]]&lt;&gt;"",Jnl[[#This Row],[Item]]&lt;&gt;"",ISNUMBER(Jnl[[#This Row],[Bal]]))</f>
        <v>1</v>
      </c>
      <c r="J454" s="10">
        <f>IF(Jnl[[#This Row],[BSLv0]]="A",1,-1)*Jnl[[#This Row],[Bal]]</f>
        <v>42268.46</v>
      </c>
      <c r="K454" t="str">
        <f>_xlfn.XLOOKUP(Jnl[[#This Row],[Acct]], config_BS[Acct], config_BS[Lv0],,0)</f>
        <v>A</v>
      </c>
      <c r="L454" t="str">
        <f>_xlfn.XLOOKUP(Jnl[[#This Row],[Acct]], config_BS[Acct], config_BS[Lv1],,0)</f>
        <v>Assets</v>
      </c>
      <c r="M454" t="str">
        <f>_xlfn.XLOOKUP(Jnl[[#This Row],[Acct]], config_BS[Acct], config_BS[Lv2],,0)</f>
        <v>Rec-Pay</v>
      </c>
      <c r="N454" t="str">
        <f>_xlfn.XLOOKUP(Jnl[[#This Row],[TrxId]], Trx[Id], Trx[IncNode], ,0)</f>
        <v>Revenue</v>
      </c>
      <c r="O454" t="str">
        <f>_xlfn.XLOOKUP(Jnl[[#This Row],[IncNode]], config_IS[Node], config_IS[Type],,0)</f>
        <v>Op</v>
      </c>
      <c r="P454" t="str">
        <f>_xlfn.XLOOKUP(Jnl[[#This Row],[BSLv2]], dict[Key], dict[Name],,0)</f>
        <v>1.应收-应付</v>
      </c>
      <c r="Q454" t="str">
        <f>_xlfn.XLOOKUP(Jnl[[#This Row],[Acct]], dict[Key], dict[Name],,0)</f>
        <v>应收-一般</v>
      </c>
      <c r="R454" t="str">
        <f>_xlfn.XLOOKUP(Jnl[[#This Row],[Vehicle]],config_vehicle[Id], config_vehicle[Name],,0)</f>
        <v>喜家文化</v>
      </c>
      <c r="S454" t="str">
        <f>_xlfn.XLOOKUP(Jnl[[#This Row],[Division]],config_div[Id], config_div[Name],,0)</f>
        <v>水街店</v>
      </c>
      <c r="T454" t="str">
        <f>IF(Jnl[[#This Row],[TrxDate]]&lt;=stmt_BS_date_end, "In", "Out")</f>
        <v>In</v>
      </c>
      <c r="U454" t="str">
        <f>IF(Jnl[[#This Row],[TrxDate]]&lt;debug_date_start, "prior", IF(Jnl[[#This Row],[TrxDate]]&gt;debug_date_end, "post", "curr"))</f>
        <v>prior</v>
      </c>
    </row>
    <row r="455" spans="1:21">
      <c r="A455" s="11" t="s">
        <v>654</v>
      </c>
      <c r="B455" s="7">
        <f>_xlfn.XLOOKUP(Jnl[[#This Row],[TrxId]], Trx[Id], Trx[Date],,0)</f>
        <v>46053</v>
      </c>
      <c r="C455" s="7" t="str">
        <f>_xlfn.XLOOKUP(Jnl[[#This Row],[TrxId]], Trx[Id], Trx[Division],,0)</f>
        <v>Shuijie</v>
      </c>
      <c r="D455" s="7" t="str">
        <f>_xlfn.XLOOKUP(Jnl[[#This Row],[TrxId]], Trx[Id], Trx[Action],,0)</f>
        <v>课程</v>
      </c>
      <c r="E455" s="26" t="s">
        <v>106</v>
      </c>
      <c r="F455" s="11" t="s">
        <v>590</v>
      </c>
      <c r="G455" s="11" t="s">
        <v>687</v>
      </c>
      <c r="H455" s="72">
        <v>-300</v>
      </c>
      <c r="I455" s="5" t="b">
        <f>AND(Jnl[[#This Row],[TrxId]]&lt;&gt;"",Jnl[[#This Row],[Acct]]&lt;&gt;"",Jnl[[#This Row],[Item]]&lt;&gt;"",ISNUMBER(Jnl[[#This Row],[Bal]]))</f>
        <v>1</v>
      </c>
      <c r="J455" s="10">
        <f>IF(Jnl[[#This Row],[BSLv0]]="A",1,-1)*Jnl[[#This Row],[Bal]]</f>
        <v>-300</v>
      </c>
      <c r="K455" t="str">
        <f>_xlfn.XLOOKUP(Jnl[[#This Row],[Acct]], config_BS[Acct], config_BS[Lv0],,0)</f>
        <v>A</v>
      </c>
      <c r="L455" t="str">
        <f>_xlfn.XLOOKUP(Jnl[[#This Row],[Acct]], config_BS[Acct], config_BS[Lv1],,0)</f>
        <v>Assets</v>
      </c>
      <c r="M455" t="str">
        <f>_xlfn.XLOOKUP(Jnl[[#This Row],[Acct]], config_BS[Acct], config_BS[Lv2],,0)</f>
        <v>Cash alike</v>
      </c>
      <c r="N455" t="str">
        <f>_xlfn.XLOOKUP(Jnl[[#This Row],[TrxId]], Trx[Id], Trx[IncNode], ,0)</f>
        <v>Cost</v>
      </c>
      <c r="O455" t="str">
        <f>_xlfn.XLOOKUP(Jnl[[#This Row],[IncNode]], config_IS[Node], config_IS[Type],,0)</f>
        <v>Op</v>
      </c>
      <c r="P455" t="str">
        <f>_xlfn.XLOOKUP(Jnl[[#This Row],[BSLv2]], dict[Key], dict[Name],,0)</f>
        <v>0.现金及类似</v>
      </c>
      <c r="Q455" t="str">
        <f>_xlfn.XLOOKUP(Jnl[[#This Row],[Acct]], dict[Key], dict[Name],,0)</f>
        <v>银行</v>
      </c>
      <c r="R455" t="str">
        <f>_xlfn.XLOOKUP(Jnl[[#This Row],[Vehicle]],config_vehicle[Id], config_vehicle[Name],,0)</f>
        <v>远家花园高新分公司</v>
      </c>
      <c r="S455" t="str">
        <f>_xlfn.XLOOKUP(Jnl[[#This Row],[Division]],config_div[Id], config_div[Name],,0)</f>
        <v>水街店</v>
      </c>
      <c r="T455" t="str">
        <f>IF(Jnl[[#This Row],[TrxDate]]&lt;=stmt_BS_date_end, "In", "Out")</f>
        <v>In</v>
      </c>
      <c r="U455" t="str">
        <f>IF(Jnl[[#This Row],[TrxDate]]&lt;debug_date_start, "prior", IF(Jnl[[#This Row],[TrxDate]]&gt;debug_date_end, "post", "curr"))</f>
        <v>prior</v>
      </c>
    </row>
    <row r="456" spans="1:21">
      <c r="A456" s="11" t="s">
        <v>657</v>
      </c>
      <c r="B456" s="7">
        <f>_xlfn.XLOOKUP(Jnl[[#This Row],[TrxId]], Trx[Id], Trx[Date],,0)</f>
        <v>46053</v>
      </c>
      <c r="C456" s="7" t="str">
        <f>_xlfn.XLOOKUP(Jnl[[#This Row],[TrxId]], Trx[Id], Trx[Division],,0)</f>
        <v>Shuijie</v>
      </c>
      <c r="D456" s="7" t="str">
        <f>_xlfn.XLOOKUP(Jnl[[#This Row],[TrxId]], Trx[Id], Trx[Action],,0)</f>
        <v>办公</v>
      </c>
      <c r="E456" s="26" t="s">
        <v>106</v>
      </c>
      <c r="F456" s="11" t="s">
        <v>590</v>
      </c>
      <c r="G456" s="11" t="s">
        <v>687</v>
      </c>
      <c r="H456" s="72">
        <v>-983</v>
      </c>
      <c r="I456" s="5" t="b">
        <f>AND(Jnl[[#This Row],[TrxId]]&lt;&gt;"",Jnl[[#This Row],[Acct]]&lt;&gt;"",Jnl[[#This Row],[Item]]&lt;&gt;"",ISNUMBER(Jnl[[#This Row],[Bal]]))</f>
        <v>1</v>
      </c>
      <c r="J456" s="10">
        <f>IF(Jnl[[#This Row],[BSLv0]]="A",1,-1)*Jnl[[#This Row],[Bal]]</f>
        <v>-983</v>
      </c>
      <c r="K456" t="str">
        <f>_xlfn.XLOOKUP(Jnl[[#This Row],[Acct]], config_BS[Acct], config_BS[Lv0],,0)</f>
        <v>A</v>
      </c>
      <c r="L456" t="str">
        <f>_xlfn.XLOOKUP(Jnl[[#This Row],[Acct]], config_BS[Acct], config_BS[Lv1],,0)</f>
        <v>Assets</v>
      </c>
      <c r="M456" t="str">
        <f>_xlfn.XLOOKUP(Jnl[[#This Row],[Acct]], config_BS[Acct], config_BS[Lv2],,0)</f>
        <v>Cash alike</v>
      </c>
      <c r="N456" t="str">
        <f>_xlfn.XLOOKUP(Jnl[[#This Row],[TrxId]], Trx[Id], Trx[IncNode], ,0)</f>
        <v>Expense</v>
      </c>
      <c r="O456" t="str">
        <f>_xlfn.XLOOKUP(Jnl[[#This Row],[IncNode]], config_IS[Node], config_IS[Type],,0)</f>
        <v>Op</v>
      </c>
      <c r="P456" t="str">
        <f>_xlfn.XLOOKUP(Jnl[[#This Row],[BSLv2]], dict[Key], dict[Name],,0)</f>
        <v>0.现金及类似</v>
      </c>
      <c r="Q456" t="str">
        <f>_xlfn.XLOOKUP(Jnl[[#This Row],[Acct]], dict[Key], dict[Name],,0)</f>
        <v>银行</v>
      </c>
      <c r="R456" t="str">
        <f>_xlfn.XLOOKUP(Jnl[[#This Row],[Vehicle]],config_vehicle[Id], config_vehicle[Name],,0)</f>
        <v>远家花园高新分公司</v>
      </c>
      <c r="S456" t="str">
        <f>_xlfn.XLOOKUP(Jnl[[#This Row],[Division]],config_div[Id], config_div[Name],,0)</f>
        <v>水街店</v>
      </c>
      <c r="T456" t="str">
        <f>IF(Jnl[[#This Row],[TrxDate]]&lt;=stmt_BS_date_end, "In", "Out")</f>
        <v>In</v>
      </c>
      <c r="U456" t="str">
        <f>IF(Jnl[[#This Row],[TrxDate]]&lt;debug_date_start, "prior", IF(Jnl[[#This Row],[TrxDate]]&gt;debug_date_end, "post", "curr"))</f>
        <v>prior</v>
      </c>
    </row>
    <row r="457" spans="1:21">
      <c r="A457" s="11" t="s">
        <v>659</v>
      </c>
      <c r="B457" s="7">
        <f>_xlfn.XLOOKUP(Jnl[[#This Row],[TrxId]], Trx[Id], Trx[Date],,0)</f>
        <v>46053</v>
      </c>
      <c r="C457" s="7" t="str">
        <f>_xlfn.XLOOKUP(Jnl[[#This Row],[TrxId]], Trx[Id], Trx[Division],,0)</f>
        <v>Shuijie</v>
      </c>
      <c r="D457" s="7" t="str">
        <f>_xlfn.XLOOKUP(Jnl[[#This Row],[TrxId]], Trx[Id], Trx[Action],,0)</f>
        <v>其他材料</v>
      </c>
      <c r="E457" s="26" t="s">
        <v>106</v>
      </c>
      <c r="F457" s="11" t="s">
        <v>590</v>
      </c>
      <c r="G457" s="11" t="s">
        <v>687</v>
      </c>
      <c r="H457" s="72">
        <v>-409.35</v>
      </c>
      <c r="I457" s="5" t="b">
        <f>AND(Jnl[[#This Row],[TrxId]]&lt;&gt;"",Jnl[[#This Row],[Acct]]&lt;&gt;"",Jnl[[#This Row],[Item]]&lt;&gt;"",ISNUMBER(Jnl[[#This Row],[Bal]]))</f>
        <v>1</v>
      </c>
      <c r="J457" s="10">
        <f>IF(Jnl[[#This Row],[BSLv0]]="A",1,-1)*Jnl[[#This Row],[Bal]]</f>
        <v>-409.35</v>
      </c>
      <c r="K457" t="str">
        <f>_xlfn.XLOOKUP(Jnl[[#This Row],[Acct]], config_BS[Acct], config_BS[Lv0],,0)</f>
        <v>A</v>
      </c>
      <c r="L457" t="str">
        <f>_xlfn.XLOOKUP(Jnl[[#This Row],[Acct]], config_BS[Acct], config_BS[Lv1],,0)</f>
        <v>Assets</v>
      </c>
      <c r="M457" t="str">
        <f>_xlfn.XLOOKUP(Jnl[[#This Row],[Acct]], config_BS[Acct], config_BS[Lv2],,0)</f>
        <v>Cash alike</v>
      </c>
      <c r="N457" t="str">
        <f>_xlfn.XLOOKUP(Jnl[[#This Row],[TrxId]], Trx[Id], Trx[IncNode], ,0)</f>
        <v>Cost</v>
      </c>
      <c r="O457" t="str">
        <f>_xlfn.XLOOKUP(Jnl[[#This Row],[IncNode]], config_IS[Node], config_IS[Type],,0)</f>
        <v>Op</v>
      </c>
      <c r="P457" t="str">
        <f>_xlfn.XLOOKUP(Jnl[[#This Row],[BSLv2]], dict[Key], dict[Name],,0)</f>
        <v>0.现金及类似</v>
      </c>
      <c r="Q457" t="str">
        <f>_xlfn.XLOOKUP(Jnl[[#This Row],[Acct]], dict[Key], dict[Name],,0)</f>
        <v>银行</v>
      </c>
      <c r="R457" t="str">
        <f>_xlfn.XLOOKUP(Jnl[[#This Row],[Vehicle]],config_vehicle[Id], config_vehicle[Name],,0)</f>
        <v>远家花园高新分公司</v>
      </c>
      <c r="S457" t="str">
        <f>_xlfn.XLOOKUP(Jnl[[#This Row],[Division]],config_div[Id], config_div[Name],,0)</f>
        <v>水街店</v>
      </c>
      <c r="T457" t="str">
        <f>IF(Jnl[[#This Row],[TrxDate]]&lt;=stmt_BS_date_end, "In", "Out")</f>
        <v>In</v>
      </c>
      <c r="U457" t="str">
        <f>IF(Jnl[[#This Row],[TrxDate]]&lt;debug_date_start, "prior", IF(Jnl[[#This Row],[TrxDate]]&gt;debug_date_end, "post", "curr"))</f>
        <v>prior</v>
      </c>
    </row>
    <row r="458" spans="1:21">
      <c r="A458" s="11" t="s">
        <v>660</v>
      </c>
      <c r="B458" s="7">
        <f>_xlfn.XLOOKUP(Jnl[[#This Row],[TrxId]], Trx[Id], Trx[Date],,0)</f>
        <v>46053</v>
      </c>
      <c r="C458" s="7" t="str">
        <f>_xlfn.XLOOKUP(Jnl[[#This Row],[TrxId]], Trx[Id], Trx[Division],,0)</f>
        <v>GM</v>
      </c>
      <c r="D458" s="7" t="str">
        <f>_xlfn.XLOOKUP(Jnl[[#This Row],[TrxId]], Trx[Id], Trx[Action],,0)</f>
        <v>薪酬-社保</v>
      </c>
      <c r="E458" s="26" t="s">
        <v>106</v>
      </c>
      <c r="F458" s="11" t="s">
        <v>590</v>
      </c>
      <c r="G458" s="11" t="s">
        <v>687</v>
      </c>
      <c r="H458" s="72">
        <v>-5060.82</v>
      </c>
      <c r="I458" s="5" t="b">
        <f>AND(Jnl[[#This Row],[TrxId]]&lt;&gt;"",Jnl[[#This Row],[Acct]]&lt;&gt;"",Jnl[[#This Row],[Item]]&lt;&gt;"",ISNUMBER(Jnl[[#This Row],[Bal]]))</f>
        <v>1</v>
      </c>
      <c r="J458" s="10">
        <f>IF(Jnl[[#This Row],[BSLv0]]="A",1,-1)*Jnl[[#This Row],[Bal]]</f>
        <v>-5060.82</v>
      </c>
      <c r="K458" t="str">
        <f>_xlfn.XLOOKUP(Jnl[[#This Row],[Acct]], config_BS[Acct], config_BS[Lv0],,0)</f>
        <v>A</v>
      </c>
      <c r="L458" t="str">
        <f>_xlfn.XLOOKUP(Jnl[[#This Row],[Acct]], config_BS[Acct], config_BS[Lv1],,0)</f>
        <v>Assets</v>
      </c>
      <c r="M458" t="str">
        <f>_xlfn.XLOOKUP(Jnl[[#This Row],[Acct]], config_BS[Acct], config_BS[Lv2],,0)</f>
        <v>Cash alike</v>
      </c>
      <c r="N458" t="str">
        <f>_xlfn.XLOOKUP(Jnl[[#This Row],[TrxId]], Trx[Id], Trx[IncNode], ,0)</f>
        <v>Expense</v>
      </c>
      <c r="O458" t="str">
        <f>_xlfn.XLOOKUP(Jnl[[#This Row],[IncNode]], config_IS[Node], config_IS[Type],,0)</f>
        <v>Op</v>
      </c>
      <c r="P458" t="str">
        <f>_xlfn.XLOOKUP(Jnl[[#This Row],[BSLv2]], dict[Key], dict[Name],,0)</f>
        <v>0.现金及类似</v>
      </c>
      <c r="Q458" t="str">
        <f>_xlfn.XLOOKUP(Jnl[[#This Row],[Acct]], dict[Key], dict[Name],,0)</f>
        <v>银行</v>
      </c>
      <c r="R458" t="str">
        <f>_xlfn.XLOOKUP(Jnl[[#This Row],[Vehicle]],config_vehicle[Id], config_vehicle[Name],,0)</f>
        <v>远家花园高新分公司</v>
      </c>
      <c r="S458" t="str">
        <f>_xlfn.XLOOKUP(Jnl[[#This Row],[Division]],config_div[Id], config_div[Name],,0)</f>
        <v>综合管理</v>
      </c>
      <c r="T458" t="str">
        <f>IF(Jnl[[#This Row],[TrxDate]]&lt;=stmt_BS_date_end, "In", "Out")</f>
        <v>In</v>
      </c>
      <c r="U458" t="str">
        <f>IF(Jnl[[#This Row],[TrxDate]]&lt;debug_date_start, "prior", IF(Jnl[[#This Row],[TrxDate]]&gt;debug_date_end, "post", "curr"))</f>
        <v>prior</v>
      </c>
    </row>
    <row r="459" spans="1:21">
      <c r="A459" s="11" t="s">
        <v>660</v>
      </c>
      <c r="B459" s="7">
        <f>_xlfn.XLOOKUP(Jnl[[#This Row],[TrxId]], Trx[Id], Trx[Date],,0)</f>
        <v>46053</v>
      </c>
      <c r="C459" s="7" t="str">
        <f>_xlfn.XLOOKUP(Jnl[[#This Row],[TrxId]], Trx[Id], Trx[Division],,0)</f>
        <v>GM</v>
      </c>
      <c r="D459" s="7" t="str">
        <f>_xlfn.XLOOKUP(Jnl[[#This Row],[TrxId]], Trx[Id], Trx[Action],,0)</f>
        <v>薪酬-社保</v>
      </c>
      <c r="E459" s="26" t="s">
        <v>106</v>
      </c>
      <c r="F459" s="11" t="s">
        <v>595</v>
      </c>
      <c r="G459" s="11" t="s">
        <v>344</v>
      </c>
      <c r="H459" s="72">
        <v>1474.3</v>
      </c>
      <c r="I459" s="5" t="b">
        <f>AND(Jnl[[#This Row],[TrxId]]&lt;&gt;"",Jnl[[#This Row],[Acct]]&lt;&gt;"",Jnl[[#This Row],[Item]]&lt;&gt;"",ISNUMBER(Jnl[[#This Row],[Bal]]))</f>
        <v>1</v>
      </c>
      <c r="J459" s="10">
        <f>IF(Jnl[[#This Row],[BSLv0]]="A",1,-1)*Jnl[[#This Row],[Bal]]</f>
        <v>1474.3</v>
      </c>
      <c r="K459" t="str">
        <f>_xlfn.XLOOKUP(Jnl[[#This Row],[Acct]], config_BS[Acct], config_BS[Lv0],,0)</f>
        <v>A</v>
      </c>
      <c r="L459" t="str">
        <f>_xlfn.XLOOKUP(Jnl[[#This Row],[Acct]], config_BS[Acct], config_BS[Lv1],,0)</f>
        <v>Assets</v>
      </c>
      <c r="M459" t="str">
        <f>_xlfn.XLOOKUP(Jnl[[#This Row],[Acct]], config_BS[Acct], config_BS[Lv2],,0)</f>
        <v>Rec-Pay</v>
      </c>
      <c r="N459" t="str">
        <f>_xlfn.XLOOKUP(Jnl[[#This Row],[TrxId]], Trx[Id], Trx[IncNode], ,0)</f>
        <v>Expense</v>
      </c>
      <c r="O459" t="str">
        <f>_xlfn.XLOOKUP(Jnl[[#This Row],[IncNode]], config_IS[Node], config_IS[Type],,0)</f>
        <v>Op</v>
      </c>
      <c r="P459" t="str">
        <f>_xlfn.XLOOKUP(Jnl[[#This Row],[BSLv2]], dict[Key], dict[Name],,0)</f>
        <v>1.应收-应付</v>
      </c>
      <c r="Q459" t="str">
        <f>_xlfn.XLOOKUP(Jnl[[#This Row],[Acct]], dict[Key], dict[Name],,0)</f>
        <v>应收-其他</v>
      </c>
      <c r="R459" t="str">
        <f>_xlfn.XLOOKUP(Jnl[[#This Row],[Vehicle]],config_vehicle[Id], config_vehicle[Name],,0)</f>
        <v>远家花园高新分公司</v>
      </c>
      <c r="S459" t="str">
        <f>_xlfn.XLOOKUP(Jnl[[#This Row],[Division]],config_div[Id], config_div[Name],,0)</f>
        <v>综合管理</v>
      </c>
      <c r="T459" t="str">
        <f>IF(Jnl[[#This Row],[TrxDate]]&lt;=stmt_BS_date_end, "In", "Out")</f>
        <v>In</v>
      </c>
      <c r="U459" t="str">
        <f>IF(Jnl[[#This Row],[TrxDate]]&lt;debug_date_start, "prior", IF(Jnl[[#This Row],[TrxDate]]&gt;debug_date_end, "post", "curr"))</f>
        <v>prior</v>
      </c>
    </row>
    <row r="460" spans="1:21">
      <c r="A460" s="11" t="s">
        <v>661</v>
      </c>
      <c r="B460" s="7">
        <f>_xlfn.XLOOKUP(Jnl[[#This Row],[TrxId]], Trx[Id], Trx[Date],,0)</f>
        <v>46053</v>
      </c>
      <c r="C460" s="7" t="str">
        <f>_xlfn.XLOOKUP(Jnl[[#This Row],[TrxId]], Trx[Id], Trx[Division],,0)</f>
        <v>Shuijie</v>
      </c>
      <c r="D460" s="7" t="str">
        <f>_xlfn.XLOOKUP(Jnl[[#This Row],[TrxId]], Trx[Id], Trx[Action],,0)</f>
        <v>课程</v>
      </c>
      <c r="E460" s="26" t="s">
        <v>106</v>
      </c>
      <c r="F460" s="11" t="s">
        <v>590</v>
      </c>
      <c r="G460" s="11" t="s">
        <v>687</v>
      </c>
      <c r="H460" s="72">
        <v>-300</v>
      </c>
      <c r="I460" s="5" t="b">
        <f>AND(Jnl[[#This Row],[TrxId]]&lt;&gt;"",Jnl[[#This Row],[Acct]]&lt;&gt;"",Jnl[[#This Row],[Item]]&lt;&gt;"",ISNUMBER(Jnl[[#This Row],[Bal]]))</f>
        <v>1</v>
      </c>
      <c r="J460" s="10">
        <f>IF(Jnl[[#This Row],[BSLv0]]="A",1,-1)*Jnl[[#This Row],[Bal]]</f>
        <v>-300</v>
      </c>
      <c r="K460" t="str">
        <f>_xlfn.XLOOKUP(Jnl[[#This Row],[Acct]], config_BS[Acct], config_BS[Lv0],,0)</f>
        <v>A</v>
      </c>
      <c r="L460" t="str">
        <f>_xlfn.XLOOKUP(Jnl[[#This Row],[Acct]], config_BS[Acct], config_BS[Lv1],,0)</f>
        <v>Assets</v>
      </c>
      <c r="M460" t="str">
        <f>_xlfn.XLOOKUP(Jnl[[#This Row],[Acct]], config_BS[Acct], config_BS[Lv2],,0)</f>
        <v>Cash alike</v>
      </c>
      <c r="N460" t="str">
        <f>_xlfn.XLOOKUP(Jnl[[#This Row],[TrxId]], Trx[Id], Trx[IncNode], ,0)</f>
        <v>Cost</v>
      </c>
      <c r="O460" t="str">
        <f>_xlfn.XLOOKUP(Jnl[[#This Row],[IncNode]], config_IS[Node], config_IS[Type],,0)</f>
        <v>Op</v>
      </c>
      <c r="P460" t="str">
        <f>_xlfn.XLOOKUP(Jnl[[#This Row],[BSLv2]], dict[Key], dict[Name],,0)</f>
        <v>0.现金及类似</v>
      </c>
      <c r="Q460" t="str">
        <f>_xlfn.XLOOKUP(Jnl[[#This Row],[Acct]], dict[Key], dict[Name],,0)</f>
        <v>银行</v>
      </c>
      <c r="R460" t="str">
        <f>_xlfn.XLOOKUP(Jnl[[#This Row],[Vehicle]],config_vehicle[Id], config_vehicle[Name],,0)</f>
        <v>远家花园高新分公司</v>
      </c>
      <c r="S460" t="str">
        <f>_xlfn.XLOOKUP(Jnl[[#This Row],[Division]],config_div[Id], config_div[Name],,0)</f>
        <v>水街店</v>
      </c>
      <c r="T460" t="str">
        <f>IF(Jnl[[#This Row],[TrxDate]]&lt;=stmt_BS_date_end, "In", "Out")</f>
        <v>In</v>
      </c>
      <c r="U460" t="str">
        <f>IF(Jnl[[#This Row],[TrxDate]]&lt;debug_date_start, "prior", IF(Jnl[[#This Row],[TrxDate]]&gt;debug_date_end, "post", "curr"))</f>
        <v>prior</v>
      </c>
    </row>
    <row r="461" spans="1:21">
      <c r="A461" s="11" t="s">
        <v>662</v>
      </c>
      <c r="B461" s="7">
        <f>_xlfn.XLOOKUP(Jnl[[#This Row],[TrxId]], Trx[Id], Trx[Date],,0)</f>
        <v>46053</v>
      </c>
      <c r="C461" s="7" t="str">
        <f>_xlfn.XLOOKUP(Jnl[[#This Row],[TrxId]], Trx[Id], Trx[Division],,0)</f>
        <v>GM</v>
      </c>
      <c r="D461" s="7" t="str">
        <f>_xlfn.XLOOKUP(Jnl[[#This Row],[TrxId]], Trx[Id], Trx[Action],,0)</f>
        <v>支付</v>
      </c>
      <c r="E461" s="26" t="s">
        <v>106</v>
      </c>
      <c r="F461" s="11" t="s">
        <v>590</v>
      </c>
      <c r="G461" s="11" t="s">
        <v>687</v>
      </c>
      <c r="H461" s="72">
        <v>-32200.32</v>
      </c>
      <c r="I461" s="5" t="b">
        <f>AND(Jnl[[#This Row],[TrxId]]&lt;&gt;"",Jnl[[#This Row],[Acct]]&lt;&gt;"",Jnl[[#This Row],[Item]]&lt;&gt;"",ISNUMBER(Jnl[[#This Row],[Bal]]))</f>
        <v>1</v>
      </c>
      <c r="J461" s="10">
        <f>IF(Jnl[[#This Row],[BSLv0]]="A",1,-1)*Jnl[[#This Row],[Bal]]</f>
        <v>-32200.32</v>
      </c>
      <c r="K461" t="str">
        <f>_xlfn.XLOOKUP(Jnl[[#This Row],[Acct]], config_BS[Acct], config_BS[Lv0],,0)</f>
        <v>A</v>
      </c>
      <c r="L461" t="str">
        <f>_xlfn.XLOOKUP(Jnl[[#This Row],[Acct]], config_BS[Acct], config_BS[Lv1],,0)</f>
        <v>Assets</v>
      </c>
      <c r="M461" t="str">
        <f>_xlfn.XLOOKUP(Jnl[[#This Row],[Acct]], config_BS[Acct], config_BS[Lv2],,0)</f>
        <v>Cash alike</v>
      </c>
      <c r="N461" t="str">
        <f>_xlfn.XLOOKUP(Jnl[[#This Row],[TrxId]], Trx[Id], Trx[IncNode], ,0)</f>
        <v>Expense</v>
      </c>
      <c r="O461" t="str">
        <f>_xlfn.XLOOKUP(Jnl[[#This Row],[IncNode]], config_IS[Node], config_IS[Type],,0)</f>
        <v>Op</v>
      </c>
      <c r="P461" t="str">
        <f>_xlfn.XLOOKUP(Jnl[[#This Row],[BSLv2]], dict[Key], dict[Name],,0)</f>
        <v>0.现金及类似</v>
      </c>
      <c r="Q461" t="str">
        <f>_xlfn.XLOOKUP(Jnl[[#This Row],[Acct]], dict[Key], dict[Name],,0)</f>
        <v>银行</v>
      </c>
      <c r="R461" t="str">
        <f>_xlfn.XLOOKUP(Jnl[[#This Row],[Vehicle]],config_vehicle[Id], config_vehicle[Name],,0)</f>
        <v>远家花园高新分公司</v>
      </c>
      <c r="S461" t="str">
        <f>_xlfn.XLOOKUP(Jnl[[#This Row],[Division]],config_div[Id], config_div[Name],,0)</f>
        <v>综合管理</v>
      </c>
      <c r="T461" t="str">
        <f>IF(Jnl[[#This Row],[TrxDate]]&lt;=stmt_BS_date_end, "In", "Out")</f>
        <v>In</v>
      </c>
      <c r="U461" t="str">
        <f>IF(Jnl[[#This Row],[TrxDate]]&lt;debug_date_start, "prior", IF(Jnl[[#This Row],[TrxDate]]&gt;debug_date_end, "post", "curr"))</f>
        <v>prior</v>
      </c>
    </row>
    <row r="462" spans="1:21">
      <c r="A462" s="11" t="s">
        <v>662</v>
      </c>
      <c r="B462" s="7">
        <f>_xlfn.XLOOKUP(Jnl[[#This Row],[TrxId]], Trx[Id], Trx[Date],,0)</f>
        <v>46053</v>
      </c>
      <c r="C462" s="7" t="str">
        <f>_xlfn.XLOOKUP(Jnl[[#This Row],[TrxId]], Trx[Id], Trx[Division],,0)</f>
        <v>GM</v>
      </c>
      <c r="D462" s="7" t="str">
        <f>_xlfn.XLOOKUP(Jnl[[#This Row],[TrxId]], Trx[Id], Trx[Action],,0)</f>
        <v>支付</v>
      </c>
      <c r="E462" s="26" t="s">
        <v>106</v>
      </c>
      <c r="F462" s="11" t="s">
        <v>127</v>
      </c>
      <c r="G462" s="11" t="s">
        <v>343</v>
      </c>
      <c r="H462" s="72">
        <v>1282</v>
      </c>
      <c r="I462" s="5" t="b">
        <f>AND(Jnl[[#This Row],[TrxId]]&lt;&gt;"",Jnl[[#This Row],[Acct]]&lt;&gt;"",Jnl[[#This Row],[Item]]&lt;&gt;"",ISNUMBER(Jnl[[#This Row],[Bal]]))</f>
        <v>1</v>
      </c>
      <c r="J462" s="10">
        <f>IF(Jnl[[#This Row],[BSLv0]]="A",1,-1)*Jnl[[#This Row],[Bal]]</f>
        <v>-1282</v>
      </c>
      <c r="K462" t="str">
        <f>_xlfn.XLOOKUP(Jnl[[#This Row],[Acct]], config_BS[Acct], config_BS[Lv0],,0)</f>
        <v>LC</v>
      </c>
      <c r="L462" t="str">
        <f>_xlfn.XLOOKUP(Jnl[[#This Row],[Acct]], config_BS[Acct], config_BS[Lv1],,0)</f>
        <v>Liability</v>
      </c>
      <c r="M462" t="str">
        <f>_xlfn.XLOOKUP(Jnl[[#This Row],[Acct]], config_BS[Acct], config_BS[Lv2],,0)</f>
        <v>Rec-Pay</v>
      </c>
      <c r="N462" t="str">
        <f>_xlfn.XLOOKUP(Jnl[[#This Row],[TrxId]], Trx[Id], Trx[IncNode], ,0)</f>
        <v>Expense</v>
      </c>
      <c r="O462" t="str">
        <f>_xlfn.XLOOKUP(Jnl[[#This Row],[IncNode]], config_IS[Node], config_IS[Type],,0)</f>
        <v>Op</v>
      </c>
      <c r="P462" t="str">
        <f>_xlfn.XLOOKUP(Jnl[[#This Row],[BSLv2]], dict[Key], dict[Name],,0)</f>
        <v>1.应收-应付</v>
      </c>
      <c r="Q462" t="str">
        <f>_xlfn.XLOOKUP(Jnl[[#This Row],[Acct]], dict[Key], dict[Name],,0)</f>
        <v>应付-税款</v>
      </c>
      <c r="R462" t="str">
        <f>_xlfn.XLOOKUP(Jnl[[#This Row],[Vehicle]],config_vehicle[Id], config_vehicle[Name],,0)</f>
        <v>远家花园高新分公司</v>
      </c>
      <c r="S462" t="str">
        <f>_xlfn.XLOOKUP(Jnl[[#This Row],[Division]],config_div[Id], config_div[Name],,0)</f>
        <v>综合管理</v>
      </c>
      <c r="T462" t="str">
        <f>IF(Jnl[[#This Row],[TrxDate]]&lt;=stmt_BS_date_end, "In", "Out")</f>
        <v>In</v>
      </c>
      <c r="U462" t="str">
        <f>IF(Jnl[[#This Row],[TrxDate]]&lt;debug_date_start, "prior", IF(Jnl[[#This Row],[TrxDate]]&gt;debug_date_end, "post", "curr"))</f>
        <v>prior</v>
      </c>
    </row>
    <row r="463" spans="1:21">
      <c r="A463" s="11" t="s">
        <v>662</v>
      </c>
      <c r="B463" s="7">
        <f>_xlfn.XLOOKUP(Jnl[[#This Row],[TrxId]], Trx[Id], Trx[Date],,0)</f>
        <v>46053</v>
      </c>
      <c r="C463" s="7" t="str">
        <f>_xlfn.XLOOKUP(Jnl[[#This Row],[TrxId]], Trx[Id], Trx[Division],,0)</f>
        <v>GM</v>
      </c>
      <c r="D463" s="7" t="str">
        <f>_xlfn.XLOOKUP(Jnl[[#This Row],[TrxId]], Trx[Id], Trx[Action],,0)</f>
        <v>支付</v>
      </c>
      <c r="E463" s="26" t="s">
        <v>106</v>
      </c>
      <c r="F463" s="11" t="s">
        <v>596</v>
      </c>
      <c r="G463" s="11" t="s">
        <v>149</v>
      </c>
      <c r="H463" s="72">
        <v>-34956.620000000003</v>
      </c>
      <c r="I463" s="5" t="b">
        <f>AND(Jnl[[#This Row],[TrxId]]&lt;&gt;"",Jnl[[#This Row],[Acct]]&lt;&gt;"",Jnl[[#This Row],[Item]]&lt;&gt;"",ISNUMBER(Jnl[[#This Row],[Bal]]))</f>
        <v>1</v>
      </c>
      <c r="J463" s="10">
        <f>IF(Jnl[[#This Row],[BSLv0]]="A",1,-1)*Jnl[[#This Row],[Bal]]</f>
        <v>34956.620000000003</v>
      </c>
      <c r="K463" t="str">
        <f>_xlfn.XLOOKUP(Jnl[[#This Row],[Acct]], config_BS[Acct], config_BS[Lv0],,0)</f>
        <v>LC</v>
      </c>
      <c r="L463" t="str">
        <f>_xlfn.XLOOKUP(Jnl[[#This Row],[Acct]], config_BS[Acct], config_BS[Lv1],,0)</f>
        <v>Liability</v>
      </c>
      <c r="M463" t="str">
        <f>_xlfn.XLOOKUP(Jnl[[#This Row],[Acct]], config_BS[Acct], config_BS[Lv2],,0)</f>
        <v>Rec-Pay</v>
      </c>
      <c r="N463" t="str">
        <f>_xlfn.XLOOKUP(Jnl[[#This Row],[TrxId]], Trx[Id], Trx[IncNode], ,0)</f>
        <v>Expense</v>
      </c>
      <c r="O463" t="str">
        <f>_xlfn.XLOOKUP(Jnl[[#This Row],[IncNode]], config_IS[Node], config_IS[Type],,0)</f>
        <v>Op</v>
      </c>
      <c r="P463" t="str">
        <f>_xlfn.XLOOKUP(Jnl[[#This Row],[BSLv2]], dict[Key], dict[Name],,0)</f>
        <v>1.应收-应付</v>
      </c>
      <c r="Q463" t="str">
        <f>_xlfn.XLOOKUP(Jnl[[#This Row],[Acct]], dict[Key], dict[Name],,0)</f>
        <v>应付-薪资</v>
      </c>
      <c r="R463" t="str">
        <f>_xlfn.XLOOKUP(Jnl[[#This Row],[Vehicle]],config_vehicle[Id], config_vehicle[Name],,0)</f>
        <v>远家花园高新分公司</v>
      </c>
      <c r="S463" t="str">
        <f>_xlfn.XLOOKUP(Jnl[[#This Row],[Division]],config_div[Id], config_div[Name],,0)</f>
        <v>综合管理</v>
      </c>
      <c r="T463" t="str">
        <f>IF(Jnl[[#This Row],[TrxDate]]&lt;=stmt_BS_date_end, "In", "Out")</f>
        <v>In</v>
      </c>
      <c r="U463" t="str">
        <f>IF(Jnl[[#This Row],[TrxDate]]&lt;debug_date_start, "prior", IF(Jnl[[#This Row],[TrxDate]]&gt;debug_date_end, "post", "curr"))</f>
        <v>prior</v>
      </c>
    </row>
    <row r="464" spans="1:21">
      <c r="A464" s="11" t="s">
        <v>662</v>
      </c>
      <c r="B464" s="7">
        <f>_xlfn.XLOOKUP(Jnl[[#This Row],[TrxId]], Trx[Id], Trx[Date],,0)</f>
        <v>46053</v>
      </c>
      <c r="C464" s="7" t="str">
        <f>_xlfn.XLOOKUP(Jnl[[#This Row],[TrxId]], Trx[Id], Trx[Division],,0)</f>
        <v>GM</v>
      </c>
      <c r="D464" s="7" t="str">
        <f>_xlfn.XLOOKUP(Jnl[[#This Row],[TrxId]], Trx[Id], Trx[Action],,0)</f>
        <v>支付</v>
      </c>
      <c r="E464" s="26" t="s">
        <v>106</v>
      </c>
      <c r="F464" s="11" t="s">
        <v>595</v>
      </c>
      <c r="G464" s="11" t="s">
        <v>344</v>
      </c>
      <c r="H464" s="72">
        <v>-1474.3</v>
      </c>
      <c r="I464" s="5" t="b">
        <f>AND(Jnl[[#This Row],[TrxId]]&lt;&gt;"",Jnl[[#This Row],[Acct]]&lt;&gt;"",Jnl[[#This Row],[Item]]&lt;&gt;"",ISNUMBER(Jnl[[#This Row],[Bal]]))</f>
        <v>1</v>
      </c>
      <c r="J464" s="10">
        <f>IF(Jnl[[#This Row],[BSLv0]]="A",1,-1)*Jnl[[#This Row],[Bal]]</f>
        <v>-1474.3</v>
      </c>
      <c r="K464" t="str">
        <f>_xlfn.XLOOKUP(Jnl[[#This Row],[Acct]], config_BS[Acct], config_BS[Lv0],,0)</f>
        <v>A</v>
      </c>
      <c r="L464" t="str">
        <f>_xlfn.XLOOKUP(Jnl[[#This Row],[Acct]], config_BS[Acct], config_BS[Lv1],,0)</f>
        <v>Assets</v>
      </c>
      <c r="M464" t="str">
        <f>_xlfn.XLOOKUP(Jnl[[#This Row],[Acct]], config_BS[Acct], config_BS[Lv2],,0)</f>
        <v>Rec-Pay</v>
      </c>
      <c r="N464" t="str">
        <f>_xlfn.XLOOKUP(Jnl[[#This Row],[TrxId]], Trx[Id], Trx[IncNode], ,0)</f>
        <v>Expense</v>
      </c>
      <c r="O464" t="str">
        <f>_xlfn.XLOOKUP(Jnl[[#This Row],[IncNode]], config_IS[Node], config_IS[Type],,0)</f>
        <v>Op</v>
      </c>
      <c r="P464" t="str">
        <f>_xlfn.XLOOKUP(Jnl[[#This Row],[BSLv2]], dict[Key], dict[Name],,0)</f>
        <v>1.应收-应付</v>
      </c>
      <c r="Q464" t="str">
        <f>_xlfn.XLOOKUP(Jnl[[#This Row],[Acct]], dict[Key], dict[Name],,0)</f>
        <v>应收-其他</v>
      </c>
      <c r="R464" t="str">
        <f>_xlfn.XLOOKUP(Jnl[[#This Row],[Vehicle]],config_vehicle[Id], config_vehicle[Name],,0)</f>
        <v>远家花园高新分公司</v>
      </c>
      <c r="S464" t="str">
        <f>_xlfn.XLOOKUP(Jnl[[#This Row],[Division]],config_div[Id], config_div[Name],,0)</f>
        <v>综合管理</v>
      </c>
      <c r="T464" t="str">
        <f>IF(Jnl[[#This Row],[TrxDate]]&lt;=stmt_BS_date_end, "In", "Out")</f>
        <v>In</v>
      </c>
      <c r="U464" t="str">
        <f>IF(Jnl[[#This Row],[TrxDate]]&lt;debug_date_start, "prior", IF(Jnl[[#This Row],[TrxDate]]&gt;debug_date_end, "post", "curr"))</f>
        <v>prior</v>
      </c>
    </row>
    <row r="465" spans="1:21">
      <c r="A465" s="11" t="s">
        <v>663</v>
      </c>
      <c r="B465" s="7">
        <f>_xlfn.XLOOKUP(Jnl[[#This Row],[TrxId]], Trx[Id], Trx[Date],,0)</f>
        <v>46053</v>
      </c>
      <c r="C465" s="7" t="str">
        <f>_xlfn.XLOOKUP(Jnl[[#This Row],[TrxId]], Trx[Id], Trx[Division],,0)</f>
        <v>GM</v>
      </c>
      <c r="D465" s="7" t="str">
        <f>_xlfn.XLOOKUP(Jnl[[#This Row],[TrxId]], Trx[Id], Trx[Action],,0)</f>
        <v>支付</v>
      </c>
      <c r="E465" s="26" t="s">
        <v>106</v>
      </c>
      <c r="F465" s="11" t="s">
        <v>127</v>
      </c>
      <c r="G465" s="11" t="s">
        <v>343</v>
      </c>
      <c r="H465" s="72">
        <v>-1282</v>
      </c>
      <c r="I465" s="5" t="b">
        <f>AND(Jnl[[#This Row],[TrxId]]&lt;&gt;"",Jnl[[#This Row],[Acct]]&lt;&gt;"",Jnl[[#This Row],[Item]]&lt;&gt;"",ISNUMBER(Jnl[[#This Row],[Bal]]))</f>
        <v>1</v>
      </c>
      <c r="J465" s="10">
        <f>IF(Jnl[[#This Row],[BSLv0]]="A",1,-1)*Jnl[[#This Row],[Bal]]</f>
        <v>1282</v>
      </c>
      <c r="K465" t="str">
        <f>_xlfn.XLOOKUP(Jnl[[#This Row],[Acct]], config_BS[Acct], config_BS[Lv0],,0)</f>
        <v>LC</v>
      </c>
      <c r="L465" t="str">
        <f>_xlfn.XLOOKUP(Jnl[[#This Row],[Acct]], config_BS[Acct], config_BS[Lv1],,0)</f>
        <v>Liability</v>
      </c>
      <c r="M465" t="str">
        <f>_xlfn.XLOOKUP(Jnl[[#This Row],[Acct]], config_BS[Acct], config_BS[Lv2],,0)</f>
        <v>Rec-Pay</v>
      </c>
      <c r="N465" t="str">
        <f>_xlfn.XLOOKUP(Jnl[[#This Row],[TrxId]], Trx[Id], Trx[IncNode], ,0)</f>
        <v>Expense</v>
      </c>
      <c r="O465" t="str">
        <f>_xlfn.XLOOKUP(Jnl[[#This Row],[IncNode]], config_IS[Node], config_IS[Type],,0)</f>
        <v>Op</v>
      </c>
      <c r="P465" t="str">
        <f>_xlfn.XLOOKUP(Jnl[[#This Row],[BSLv2]], dict[Key], dict[Name],,0)</f>
        <v>1.应收-应付</v>
      </c>
      <c r="Q465" t="str">
        <f>_xlfn.XLOOKUP(Jnl[[#This Row],[Acct]], dict[Key], dict[Name],,0)</f>
        <v>应付-税款</v>
      </c>
      <c r="R465" t="str">
        <f>_xlfn.XLOOKUP(Jnl[[#This Row],[Vehicle]],config_vehicle[Id], config_vehicle[Name],,0)</f>
        <v>远家花园高新分公司</v>
      </c>
      <c r="S465" t="str">
        <f>_xlfn.XLOOKUP(Jnl[[#This Row],[Division]],config_div[Id], config_div[Name],,0)</f>
        <v>综合管理</v>
      </c>
      <c r="T465" t="str">
        <f>IF(Jnl[[#This Row],[TrxDate]]&lt;=stmt_BS_date_end, "In", "Out")</f>
        <v>In</v>
      </c>
      <c r="U465" t="str">
        <f>IF(Jnl[[#This Row],[TrxDate]]&lt;debug_date_start, "prior", IF(Jnl[[#This Row],[TrxDate]]&gt;debug_date_end, "post", "curr"))</f>
        <v>prior</v>
      </c>
    </row>
    <row r="466" spans="1:21">
      <c r="A466" s="11" t="s">
        <v>663</v>
      </c>
      <c r="B466" s="7">
        <f>_xlfn.XLOOKUP(Jnl[[#This Row],[TrxId]], Trx[Id], Trx[Date],,0)</f>
        <v>46053</v>
      </c>
      <c r="C466" s="7" t="str">
        <f>_xlfn.XLOOKUP(Jnl[[#This Row],[TrxId]], Trx[Id], Trx[Division],,0)</f>
        <v>GM</v>
      </c>
      <c r="D466" s="7" t="str">
        <f>_xlfn.XLOOKUP(Jnl[[#This Row],[TrxId]], Trx[Id], Trx[Action],,0)</f>
        <v>支付</v>
      </c>
      <c r="E466" s="26" t="s">
        <v>106</v>
      </c>
      <c r="F466" s="11" t="s">
        <v>590</v>
      </c>
      <c r="G466" s="11" t="s">
        <v>687</v>
      </c>
      <c r="H466" s="72">
        <v>-1282</v>
      </c>
      <c r="I466" s="5" t="b">
        <f>AND(Jnl[[#This Row],[TrxId]]&lt;&gt;"",Jnl[[#This Row],[Acct]]&lt;&gt;"",Jnl[[#This Row],[Item]]&lt;&gt;"",ISNUMBER(Jnl[[#This Row],[Bal]]))</f>
        <v>1</v>
      </c>
      <c r="J466" s="10">
        <f>IF(Jnl[[#This Row],[BSLv0]]="A",1,-1)*Jnl[[#This Row],[Bal]]</f>
        <v>-1282</v>
      </c>
      <c r="K466" t="str">
        <f>_xlfn.XLOOKUP(Jnl[[#This Row],[Acct]], config_BS[Acct], config_BS[Lv0],,0)</f>
        <v>A</v>
      </c>
      <c r="L466" t="str">
        <f>_xlfn.XLOOKUP(Jnl[[#This Row],[Acct]], config_BS[Acct], config_BS[Lv1],,0)</f>
        <v>Assets</v>
      </c>
      <c r="M466" t="str">
        <f>_xlfn.XLOOKUP(Jnl[[#This Row],[Acct]], config_BS[Acct], config_BS[Lv2],,0)</f>
        <v>Cash alike</v>
      </c>
      <c r="N466" t="str">
        <f>_xlfn.XLOOKUP(Jnl[[#This Row],[TrxId]], Trx[Id], Trx[IncNode], ,0)</f>
        <v>Expense</v>
      </c>
      <c r="O466" t="str">
        <f>_xlfn.XLOOKUP(Jnl[[#This Row],[IncNode]], config_IS[Node], config_IS[Type],,0)</f>
        <v>Op</v>
      </c>
      <c r="P466" t="str">
        <f>_xlfn.XLOOKUP(Jnl[[#This Row],[BSLv2]], dict[Key], dict[Name],,0)</f>
        <v>0.现金及类似</v>
      </c>
      <c r="Q466" t="str">
        <f>_xlfn.XLOOKUP(Jnl[[#This Row],[Acct]], dict[Key], dict[Name],,0)</f>
        <v>银行</v>
      </c>
      <c r="R466" t="str">
        <f>_xlfn.XLOOKUP(Jnl[[#This Row],[Vehicle]],config_vehicle[Id], config_vehicle[Name],,0)</f>
        <v>远家花园高新分公司</v>
      </c>
      <c r="S466" t="str">
        <f>_xlfn.XLOOKUP(Jnl[[#This Row],[Division]],config_div[Id], config_div[Name],,0)</f>
        <v>综合管理</v>
      </c>
      <c r="T466" t="str">
        <f>IF(Jnl[[#This Row],[TrxDate]]&lt;=stmt_BS_date_end, "In", "Out")</f>
        <v>In</v>
      </c>
      <c r="U466" t="str">
        <f>IF(Jnl[[#This Row],[TrxDate]]&lt;debug_date_start, "prior", IF(Jnl[[#This Row],[TrxDate]]&gt;debug_date_end, "post", "curr"))</f>
        <v>prior</v>
      </c>
    </row>
    <row r="467" spans="1:21">
      <c r="A467" s="11" t="s">
        <v>664</v>
      </c>
      <c r="B467" s="7">
        <f>_xlfn.XLOOKUP(Jnl[[#This Row],[TrxId]], Trx[Id], Trx[Date],,0)</f>
        <v>46053</v>
      </c>
      <c r="C467" s="7" t="str">
        <f>_xlfn.XLOOKUP(Jnl[[#This Row],[TrxId]], Trx[Id], Trx[Division],,0)</f>
        <v>Ctrl</v>
      </c>
      <c r="D467" s="7" t="str">
        <f>_xlfn.XLOOKUP(Jnl[[#This Row],[TrxId]], Trx[Id], Trx[Action],,0)</f>
        <v>支付</v>
      </c>
      <c r="E467" s="26" t="s">
        <v>106</v>
      </c>
      <c r="F467" s="11" t="s">
        <v>127</v>
      </c>
      <c r="G467" s="11" t="s">
        <v>307</v>
      </c>
      <c r="H467" s="72">
        <v>-5178.93</v>
      </c>
      <c r="I467" s="5" t="b">
        <f>AND(Jnl[[#This Row],[TrxId]]&lt;&gt;"",Jnl[[#This Row],[Acct]]&lt;&gt;"",Jnl[[#This Row],[Item]]&lt;&gt;"",ISNUMBER(Jnl[[#This Row],[Bal]]))</f>
        <v>1</v>
      </c>
      <c r="J467" s="10">
        <f>IF(Jnl[[#This Row],[BSLv0]]="A",1,-1)*Jnl[[#This Row],[Bal]]</f>
        <v>5178.93</v>
      </c>
      <c r="K467" t="str">
        <f>_xlfn.XLOOKUP(Jnl[[#This Row],[Acct]], config_BS[Acct], config_BS[Lv0],,0)</f>
        <v>LC</v>
      </c>
      <c r="L467" t="str">
        <f>_xlfn.XLOOKUP(Jnl[[#This Row],[Acct]], config_BS[Acct], config_BS[Lv1],,0)</f>
        <v>Liability</v>
      </c>
      <c r="M467" t="str">
        <f>_xlfn.XLOOKUP(Jnl[[#This Row],[Acct]], config_BS[Acct], config_BS[Lv2],,0)</f>
        <v>Rec-Pay</v>
      </c>
      <c r="N467" t="str">
        <f>_xlfn.XLOOKUP(Jnl[[#This Row],[TrxId]], Trx[Id], Trx[IncNode], ,0)</f>
        <v>Expense</v>
      </c>
      <c r="O467" t="str">
        <f>_xlfn.XLOOKUP(Jnl[[#This Row],[IncNode]], config_IS[Node], config_IS[Type],,0)</f>
        <v>Op</v>
      </c>
      <c r="P467" t="str">
        <f>_xlfn.XLOOKUP(Jnl[[#This Row],[BSLv2]], dict[Key], dict[Name],,0)</f>
        <v>1.应收-应付</v>
      </c>
      <c r="Q467" t="str">
        <f>_xlfn.XLOOKUP(Jnl[[#This Row],[Acct]], dict[Key], dict[Name],,0)</f>
        <v>应付-税款</v>
      </c>
      <c r="R467" t="str">
        <f>_xlfn.XLOOKUP(Jnl[[#This Row],[Vehicle]],config_vehicle[Id], config_vehicle[Name],,0)</f>
        <v>远家花园高新分公司</v>
      </c>
      <c r="S467" t="str">
        <f>_xlfn.XLOOKUP(Jnl[[#This Row],[Division]],config_div[Id], config_div[Name],,0)</f>
        <v>内控合规</v>
      </c>
      <c r="T467" t="str">
        <f>IF(Jnl[[#This Row],[TrxDate]]&lt;=stmt_BS_date_end, "In", "Out")</f>
        <v>In</v>
      </c>
      <c r="U467" t="str">
        <f>IF(Jnl[[#This Row],[TrxDate]]&lt;debug_date_start, "prior", IF(Jnl[[#This Row],[TrxDate]]&gt;debug_date_end, "post", "curr"))</f>
        <v>prior</v>
      </c>
    </row>
    <row r="468" spans="1:21">
      <c r="A468" s="11" t="s">
        <v>664</v>
      </c>
      <c r="B468" s="7">
        <f>_xlfn.XLOOKUP(Jnl[[#This Row],[TrxId]], Trx[Id], Trx[Date],,0)</f>
        <v>46053</v>
      </c>
      <c r="C468" s="7" t="str">
        <f>_xlfn.XLOOKUP(Jnl[[#This Row],[TrxId]], Trx[Id], Trx[Division],,0)</f>
        <v>Ctrl</v>
      </c>
      <c r="D468" s="7" t="str">
        <f>_xlfn.XLOOKUP(Jnl[[#This Row],[TrxId]], Trx[Id], Trx[Action],,0)</f>
        <v>支付</v>
      </c>
      <c r="E468" s="26" t="s">
        <v>106</v>
      </c>
      <c r="F468" s="11" t="s">
        <v>127</v>
      </c>
      <c r="G468" s="11" t="s">
        <v>348</v>
      </c>
      <c r="H468" s="72">
        <v>-310.73</v>
      </c>
      <c r="I468" s="5" t="b">
        <f>AND(Jnl[[#This Row],[TrxId]]&lt;&gt;"",Jnl[[#This Row],[Acct]]&lt;&gt;"",Jnl[[#This Row],[Item]]&lt;&gt;"",ISNUMBER(Jnl[[#This Row],[Bal]]))</f>
        <v>1</v>
      </c>
      <c r="J468" s="10">
        <f>IF(Jnl[[#This Row],[BSLv0]]="A",1,-1)*Jnl[[#This Row],[Bal]]</f>
        <v>310.73</v>
      </c>
      <c r="K468" t="str">
        <f>_xlfn.XLOOKUP(Jnl[[#This Row],[Acct]], config_BS[Acct], config_BS[Lv0],,0)</f>
        <v>LC</v>
      </c>
      <c r="L468" t="str">
        <f>_xlfn.XLOOKUP(Jnl[[#This Row],[Acct]], config_BS[Acct], config_BS[Lv1],,0)</f>
        <v>Liability</v>
      </c>
      <c r="M468" t="str">
        <f>_xlfn.XLOOKUP(Jnl[[#This Row],[Acct]], config_BS[Acct], config_BS[Lv2],,0)</f>
        <v>Rec-Pay</v>
      </c>
      <c r="N468" t="str">
        <f>_xlfn.XLOOKUP(Jnl[[#This Row],[TrxId]], Trx[Id], Trx[IncNode], ,0)</f>
        <v>Expense</v>
      </c>
      <c r="O468" t="str">
        <f>_xlfn.XLOOKUP(Jnl[[#This Row],[IncNode]], config_IS[Node], config_IS[Type],,0)</f>
        <v>Op</v>
      </c>
      <c r="P468" t="str">
        <f>_xlfn.XLOOKUP(Jnl[[#This Row],[BSLv2]], dict[Key], dict[Name],,0)</f>
        <v>1.应收-应付</v>
      </c>
      <c r="Q468" t="str">
        <f>_xlfn.XLOOKUP(Jnl[[#This Row],[Acct]], dict[Key], dict[Name],,0)</f>
        <v>应付-税款</v>
      </c>
      <c r="R468" t="str">
        <f>_xlfn.XLOOKUP(Jnl[[#This Row],[Vehicle]],config_vehicle[Id], config_vehicle[Name],,0)</f>
        <v>远家花园高新分公司</v>
      </c>
      <c r="S468" t="str">
        <f>_xlfn.XLOOKUP(Jnl[[#This Row],[Division]],config_div[Id], config_div[Name],,0)</f>
        <v>内控合规</v>
      </c>
      <c r="T468" t="str">
        <f>IF(Jnl[[#This Row],[TrxDate]]&lt;=stmt_BS_date_end, "In", "Out")</f>
        <v>In</v>
      </c>
      <c r="U468" t="str">
        <f>IF(Jnl[[#This Row],[TrxDate]]&lt;debug_date_start, "prior", IF(Jnl[[#This Row],[TrxDate]]&gt;debug_date_end, "post", "curr"))</f>
        <v>prior</v>
      </c>
    </row>
    <row r="469" spans="1:21">
      <c r="A469" s="11" t="s">
        <v>664</v>
      </c>
      <c r="B469" s="7">
        <f>_xlfn.XLOOKUP(Jnl[[#This Row],[TrxId]], Trx[Id], Trx[Date],,0)</f>
        <v>46053</v>
      </c>
      <c r="C469" s="7" t="str">
        <f>_xlfn.XLOOKUP(Jnl[[#This Row],[TrxId]], Trx[Id], Trx[Division],,0)</f>
        <v>Ctrl</v>
      </c>
      <c r="D469" s="7" t="str">
        <f>_xlfn.XLOOKUP(Jnl[[#This Row],[TrxId]], Trx[Id], Trx[Action],,0)</f>
        <v>支付</v>
      </c>
      <c r="E469" s="26" t="s">
        <v>106</v>
      </c>
      <c r="F469" s="11" t="s">
        <v>590</v>
      </c>
      <c r="G469" s="11" t="s">
        <v>687</v>
      </c>
      <c r="H469" s="72">
        <v>-5489.66</v>
      </c>
      <c r="I469" s="5" t="b">
        <f>AND(Jnl[[#This Row],[TrxId]]&lt;&gt;"",Jnl[[#This Row],[Acct]]&lt;&gt;"",Jnl[[#This Row],[Item]]&lt;&gt;"",ISNUMBER(Jnl[[#This Row],[Bal]]))</f>
        <v>1</v>
      </c>
      <c r="J469" s="10">
        <f>IF(Jnl[[#This Row],[BSLv0]]="A",1,-1)*Jnl[[#This Row],[Bal]]</f>
        <v>-5489.66</v>
      </c>
      <c r="K469" t="str">
        <f>_xlfn.XLOOKUP(Jnl[[#This Row],[Acct]], config_BS[Acct], config_BS[Lv0],,0)</f>
        <v>A</v>
      </c>
      <c r="L469" t="str">
        <f>_xlfn.XLOOKUP(Jnl[[#This Row],[Acct]], config_BS[Acct], config_BS[Lv1],,0)</f>
        <v>Assets</v>
      </c>
      <c r="M469" t="str">
        <f>_xlfn.XLOOKUP(Jnl[[#This Row],[Acct]], config_BS[Acct], config_BS[Lv2],,0)</f>
        <v>Cash alike</v>
      </c>
      <c r="N469" t="str">
        <f>_xlfn.XLOOKUP(Jnl[[#This Row],[TrxId]], Trx[Id], Trx[IncNode], ,0)</f>
        <v>Expense</v>
      </c>
      <c r="O469" t="str">
        <f>_xlfn.XLOOKUP(Jnl[[#This Row],[IncNode]], config_IS[Node], config_IS[Type],,0)</f>
        <v>Op</v>
      </c>
      <c r="P469" t="str">
        <f>_xlfn.XLOOKUP(Jnl[[#This Row],[BSLv2]], dict[Key], dict[Name],,0)</f>
        <v>0.现金及类似</v>
      </c>
      <c r="Q469" t="str">
        <f>_xlfn.XLOOKUP(Jnl[[#This Row],[Acct]], dict[Key], dict[Name],,0)</f>
        <v>银行</v>
      </c>
      <c r="R469" t="str">
        <f>_xlfn.XLOOKUP(Jnl[[#This Row],[Vehicle]],config_vehicle[Id], config_vehicle[Name],,0)</f>
        <v>远家花园高新分公司</v>
      </c>
      <c r="S469" t="str">
        <f>_xlfn.XLOOKUP(Jnl[[#This Row],[Division]],config_div[Id], config_div[Name],,0)</f>
        <v>内控合规</v>
      </c>
      <c r="T469" t="str">
        <f>IF(Jnl[[#This Row],[TrxDate]]&lt;=stmt_BS_date_end, "In", "Out")</f>
        <v>In</v>
      </c>
      <c r="U469" t="str">
        <f>IF(Jnl[[#This Row],[TrxDate]]&lt;debug_date_start, "prior", IF(Jnl[[#This Row],[TrxDate]]&gt;debug_date_end, "post", "curr"))</f>
        <v>prior</v>
      </c>
    </row>
    <row r="470" spans="1:21">
      <c r="A470" s="11" t="s">
        <v>666</v>
      </c>
      <c r="B470" s="7">
        <f>_xlfn.XLOOKUP(Jnl[[#This Row],[TrxId]], Trx[Id], Trx[Date],,0)</f>
        <v>46053</v>
      </c>
      <c r="C470" s="7" t="str">
        <f>_xlfn.XLOOKUP(Jnl[[#This Row],[TrxId]], Trx[Id], Trx[Division],,0)</f>
        <v>Shuijie</v>
      </c>
      <c r="D470" s="7" t="str">
        <f>_xlfn.XLOOKUP(Jnl[[#This Row],[TrxId]], Trx[Id], Trx[Action],,0)</f>
        <v>存现</v>
      </c>
      <c r="E470" s="26" t="s">
        <v>106</v>
      </c>
      <c r="F470" s="11" t="s">
        <v>590</v>
      </c>
      <c r="G470" s="11" t="s">
        <v>687</v>
      </c>
      <c r="H470" s="72">
        <v>2000</v>
      </c>
      <c r="I470" s="5" t="b">
        <f>AND(Jnl[[#This Row],[TrxId]]&lt;&gt;"",Jnl[[#This Row],[Acct]]&lt;&gt;"",Jnl[[#This Row],[Item]]&lt;&gt;"",ISNUMBER(Jnl[[#This Row],[Bal]]))</f>
        <v>1</v>
      </c>
      <c r="J470" s="10">
        <f>IF(Jnl[[#This Row],[BSLv0]]="A",1,-1)*Jnl[[#This Row],[Bal]]</f>
        <v>2000</v>
      </c>
      <c r="K470" t="str">
        <f>_xlfn.XLOOKUP(Jnl[[#This Row],[Acct]], config_BS[Acct], config_BS[Lv0],,0)</f>
        <v>A</v>
      </c>
      <c r="L470" t="str">
        <f>_xlfn.XLOOKUP(Jnl[[#This Row],[Acct]], config_BS[Acct], config_BS[Lv1],,0)</f>
        <v>Assets</v>
      </c>
      <c r="M470" t="str">
        <f>_xlfn.XLOOKUP(Jnl[[#This Row],[Acct]], config_BS[Acct], config_BS[Lv2],,0)</f>
        <v>Cash alike</v>
      </c>
      <c r="N470" t="str">
        <f>_xlfn.XLOOKUP(Jnl[[#This Row],[TrxId]], Trx[Id], Trx[IncNode], ,0)</f>
        <v>Other</v>
      </c>
      <c r="O470" t="str">
        <f>_xlfn.XLOOKUP(Jnl[[#This Row],[IncNode]], config_IS[Node], config_IS[Type],,0)</f>
        <v>Non-Op</v>
      </c>
      <c r="P470" t="str">
        <f>_xlfn.XLOOKUP(Jnl[[#This Row],[BSLv2]], dict[Key], dict[Name],,0)</f>
        <v>0.现金及类似</v>
      </c>
      <c r="Q470" t="str">
        <f>_xlfn.XLOOKUP(Jnl[[#This Row],[Acct]], dict[Key], dict[Name],,0)</f>
        <v>银行</v>
      </c>
      <c r="R470" t="str">
        <f>_xlfn.XLOOKUP(Jnl[[#This Row],[Vehicle]],config_vehicle[Id], config_vehicle[Name],,0)</f>
        <v>远家花园高新分公司</v>
      </c>
      <c r="S470" t="str">
        <f>_xlfn.XLOOKUP(Jnl[[#This Row],[Division]],config_div[Id], config_div[Name],,0)</f>
        <v>水街店</v>
      </c>
      <c r="T470" t="str">
        <f>IF(Jnl[[#This Row],[TrxDate]]&lt;=stmt_BS_date_end, "In", "Out")</f>
        <v>In</v>
      </c>
      <c r="U470" t="str">
        <f>IF(Jnl[[#This Row],[TrxDate]]&lt;debug_date_start, "prior", IF(Jnl[[#This Row],[TrxDate]]&gt;debug_date_end, "post", "curr"))</f>
        <v>prior</v>
      </c>
    </row>
    <row r="471" spans="1:21">
      <c r="A471" s="11" t="s">
        <v>666</v>
      </c>
      <c r="B471" s="7">
        <f>_xlfn.XLOOKUP(Jnl[[#This Row],[TrxId]], Trx[Id], Trx[Date],,0)</f>
        <v>46053</v>
      </c>
      <c r="C471" s="7" t="str">
        <f>_xlfn.XLOOKUP(Jnl[[#This Row],[TrxId]], Trx[Id], Trx[Division],,0)</f>
        <v>Shuijie</v>
      </c>
      <c r="D471" s="7" t="str">
        <f>_xlfn.XLOOKUP(Jnl[[#This Row],[TrxId]], Trx[Id], Trx[Action],,0)</f>
        <v>存现</v>
      </c>
      <c r="E471" s="26" t="s">
        <v>106</v>
      </c>
      <c r="F471" s="11" t="s">
        <v>599</v>
      </c>
      <c r="G471" s="11" t="s">
        <v>688</v>
      </c>
      <c r="H471" s="72">
        <v>-2000</v>
      </c>
      <c r="I471" s="5" t="b">
        <f>AND(Jnl[[#This Row],[TrxId]]&lt;&gt;"",Jnl[[#This Row],[Acct]]&lt;&gt;"",Jnl[[#This Row],[Item]]&lt;&gt;"",ISNUMBER(Jnl[[#This Row],[Bal]]))</f>
        <v>1</v>
      </c>
      <c r="J471" s="10">
        <f>IF(Jnl[[#This Row],[BSLv0]]="A",1,-1)*Jnl[[#This Row],[Bal]]</f>
        <v>-2000</v>
      </c>
      <c r="K471" t="str">
        <f>_xlfn.XLOOKUP(Jnl[[#This Row],[Acct]], config_BS[Acct], config_BS[Lv0],,0)</f>
        <v>A</v>
      </c>
      <c r="L471" t="str">
        <f>_xlfn.XLOOKUP(Jnl[[#This Row],[Acct]], config_BS[Acct], config_BS[Lv1],,0)</f>
        <v>Assets</v>
      </c>
      <c r="M471" t="str">
        <f>_xlfn.XLOOKUP(Jnl[[#This Row],[Acct]], config_BS[Acct], config_BS[Lv2],,0)</f>
        <v>Cash alike</v>
      </c>
      <c r="N471" t="str">
        <f>_xlfn.XLOOKUP(Jnl[[#This Row],[TrxId]], Trx[Id], Trx[IncNode], ,0)</f>
        <v>Other</v>
      </c>
      <c r="O471" t="str">
        <f>_xlfn.XLOOKUP(Jnl[[#This Row],[IncNode]], config_IS[Node], config_IS[Type],,0)</f>
        <v>Non-Op</v>
      </c>
      <c r="P471" t="str">
        <f>_xlfn.XLOOKUP(Jnl[[#This Row],[BSLv2]], dict[Key], dict[Name],,0)</f>
        <v>0.现金及类似</v>
      </c>
      <c r="Q471" t="str">
        <f>_xlfn.XLOOKUP(Jnl[[#This Row],[Acct]], dict[Key], dict[Name],,0)</f>
        <v>物理现金</v>
      </c>
      <c r="R471" t="str">
        <f>_xlfn.XLOOKUP(Jnl[[#This Row],[Vehicle]],config_vehicle[Id], config_vehicle[Name],,0)</f>
        <v>远家花园高新分公司</v>
      </c>
      <c r="S471" t="str">
        <f>_xlfn.XLOOKUP(Jnl[[#This Row],[Division]],config_div[Id], config_div[Name],,0)</f>
        <v>水街店</v>
      </c>
      <c r="T471" t="str">
        <f>IF(Jnl[[#This Row],[TrxDate]]&lt;=stmt_BS_date_end, "In", "Out")</f>
        <v>In</v>
      </c>
      <c r="U471" t="str">
        <f>IF(Jnl[[#This Row],[TrxDate]]&lt;debug_date_start, "prior", IF(Jnl[[#This Row],[TrxDate]]&gt;debug_date_end, "post", "curr"))</f>
        <v>prior</v>
      </c>
    </row>
    <row r="472" spans="1:21">
      <c r="A472" s="11" t="s">
        <v>667</v>
      </c>
      <c r="B472" s="7">
        <f>_xlfn.XLOOKUP(Jnl[[#This Row],[TrxId]], Trx[Id], Trx[Date],,0)</f>
        <v>46053</v>
      </c>
      <c r="C472" s="7" t="str">
        <f>_xlfn.XLOOKUP(Jnl[[#This Row],[TrxId]], Trx[Id], Trx[Division],,0)</f>
        <v>Shuijie</v>
      </c>
      <c r="D472" s="7" t="str">
        <f>_xlfn.XLOOKUP(Jnl[[#This Row],[TrxId]], Trx[Id], Trx[Action],,0)</f>
        <v>课程</v>
      </c>
      <c r="E472" s="26" t="s">
        <v>106</v>
      </c>
      <c r="F472" s="11" t="s">
        <v>590</v>
      </c>
      <c r="G472" s="11" t="s">
        <v>687</v>
      </c>
      <c r="H472" s="72">
        <v>-300</v>
      </c>
      <c r="I472" s="5" t="b">
        <f>AND(Jnl[[#This Row],[TrxId]]&lt;&gt;"",Jnl[[#This Row],[Acct]]&lt;&gt;"",Jnl[[#This Row],[Item]]&lt;&gt;"",ISNUMBER(Jnl[[#This Row],[Bal]]))</f>
        <v>1</v>
      </c>
      <c r="J472" s="10">
        <f>IF(Jnl[[#This Row],[BSLv0]]="A",1,-1)*Jnl[[#This Row],[Bal]]</f>
        <v>-300</v>
      </c>
      <c r="K472" t="str">
        <f>_xlfn.XLOOKUP(Jnl[[#This Row],[Acct]], config_BS[Acct], config_BS[Lv0],,0)</f>
        <v>A</v>
      </c>
      <c r="L472" t="str">
        <f>_xlfn.XLOOKUP(Jnl[[#This Row],[Acct]], config_BS[Acct], config_BS[Lv1],,0)</f>
        <v>Assets</v>
      </c>
      <c r="M472" t="str">
        <f>_xlfn.XLOOKUP(Jnl[[#This Row],[Acct]], config_BS[Acct], config_BS[Lv2],,0)</f>
        <v>Cash alike</v>
      </c>
      <c r="N472" t="str">
        <f>_xlfn.XLOOKUP(Jnl[[#This Row],[TrxId]], Trx[Id], Trx[IncNode], ,0)</f>
        <v>Cost</v>
      </c>
      <c r="O472" t="str">
        <f>_xlfn.XLOOKUP(Jnl[[#This Row],[IncNode]], config_IS[Node], config_IS[Type],,0)</f>
        <v>Op</v>
      </c>
      <c r="P472" t="str">
        <f>_xlfn.XLOOKUP(Jnl[[#This Row],[BSLv2]], dict[Key], dict[Name],,0)</f>
        <v>0.现金及类似</v>
      </c>
      <c r="Q472" t="str">
        <f>_xlfn.XLOOKUP(Jnl[[#This Row],[Acct]], dict[Key], dict[Name],,0)</f>
        <v>银行</v>
      </c>
      <c r="R472" t="str">
        <f>_xlfn.XLOOKUP(Jnl[[#This Row],[Vehicle]],config_vehicle[Id], config_vehicle[Name],,0)</f>
        <v>远家花园高新分公司</v>
      </c>
      <c r="S472" t="str">
        <f>_xlfn.XLOOKUP(Jnl[[#This Row],[Division]],config_div[Id], config_div[Name],,0)</f>
        <v>水街店</v>
      </c>
      <c r="T472" t="str">
        <f>IF(Jnl[[#This Row],[TrxDate]]&lt;=stmt_BS_date_end, "In", "Out")</f>
        <v>In</v>
      </c>
      <c r="U472" t="str">
        <f>IF(Jnl[[#This Row],[TrxDate]]&lt;debug_date_start, "prior", IF(Jnl[[#This Row],[TrxDate]]&gt;debug_date_end, "post", "curr"))</f>
        <v>prior</v>
      </c>
    </row>
    <row r="473" spans="1:21">
      <c r="A473" s="11" t="s">
        <v>668</v>
      </c>
      <c r="B473" s="7">
        <f>_xlfn.XLOOKUP(Jnl[[#This Row],[TrxId]], Trx[Id], Trx[Date],,0)</f>
        <v>46053</v>
      </c>
      <c r="C473" s="7" t="str">
        <f>_xlfn.XLOOKUP(Jnl[[#This Row],[TrxId]], Trx[Id], Trx[Division],,0)</f>
        <v>GM</v>
      </c>
      <c r="D473" s="7" t="str">
        <f>_xlfn.XLOOKUP(Jnl[[#This Row],[TrxId]], Trx[Id], Trx[Action],,0)</f>
        <v>银行费</v>
      </c>
      <c r="E473" s="26" t="s">
        <v>106</v>
      </c>
      <c r="F473" s="11" t="s">
        <v>590</v>
      </c>
      <c r="G473" s="11" t="s">
        <v>687</v>
      </c>
      <c r="H473" s="72">
        <v>-7</v>
      </c>
      <c r="I473" s="5" t="b">
        <f>AND(Jnl[[#This Row],[TrxId]]&lt;&gt;"",Jnl[[#This Row],[Acct]]&lt;&gt;"",Jnl[[#This Row],[Item]]&lt;&gt;"",ISNUMBER(Jnl[[#This Row],[Bal]]))</f>
        <v>1</v>
      </c>
      <c r="J473" s="10">
        <f>IF(Jnl[[#This Row],[BSLv0]]="A",1,-1)*Jnl[[#This Row],[Bal]]</f>
        <v>-7</v>
      </c>
      <c r="K473" t="str">
        <f>_xlfn.XLOOKUP(Jnl[[#This Row],[Acct]], config_BS[Acct], config_BS[Lv0],,0)</f>
        <v>A</v>
      </c>
      <c r="L473" t="str">
        <f>_xlfn.XLOOKUP(Jnl[[#This Row],[Acct]], config_BS[Acct], config_BS[Lv1],,0)</f>
        <v>Assets</v>
      </c>
      <c r="M473" t="str">
        <f>_xlfn.XLOOKUP(Jnl[[#This Row],[Acct]], config_BS[Acct], config_BS[Lv2],,0)</f>
        <v>Cash alike</v>
      </c>
      <c r="N473" t="str">
        <f>_xlfn.XLOOKUP(Jnl[[#This Row],[TrxId]], Trx[Id], Trx[IncNode], ,0)</f>
        <v>Expense</v>
      </c>
      <c r="O473" t="str">
        <f>_xlfn.XLOOKUP(Jnl[[#This Row],[IncNode]], config_IS[Node], config_IS[Type],,0)</f>
        <v>Op</v>
      </c>
      <c r="P473" t="str">
        <f>_xlfn.XLOOKUP(Jnl[[#This Row],[BSLv2]], dict[Key], dict[Name],,0)</f>
        <v>0.现金及类似</v>
      </c>
      <c r="Q473" t="str">
        <f>_xlfn.XLOOKUP(Jnl[[#This Row],[Acct]], dict[Key], dict[Name],,0)</f>
        <v>银行</v>
      </c>
      <c r="R473" t="str">
        <f>_xlfn.XLOOKUP(Jnl[[#This Row],[Vehicle]],config_vehicle[Id], config_vehicle[Name],,0)</f>
        <v>远家花园高新分公司</v>
      </c>
      <c r="S473" t="str">
        <f>_xlfn.XLOOKUP(Jnl[[#This Row],[Division]],config_div[Id], config_div[Name],,0)</f>
        <v>综合管理</v>
      </c>
      <c r="T473" t="str">
        <f>IF(Jnl[[#This Row],[TrxDate]]&lt;=stmt_BS_date_end, "In", "Out")</f>
        <v>In</v>
      </c>
      <c r="U473" t="str">
        <f>IF(Jnl[[#This Row],[TrxDate]]&lt;debug_date_start, "prior", IF(Jnl[[#This Row],[TrxDate]]&gt;debug_date_end, "post", "curr"))</f>
        <v>prior</v>
      </c>
    </row>
    <row r="474" spans="1:21">
      <c r="A474" s="11" t="s">
        <v>669</v>
      </c>
      <c r="B474" s="7">
        <f>_xlfn.XLOOKUP(Jnl[[#This Row],[TrxId]], Trx[Id], Trx[Date],,0)</f>
        <v>46053</v>
      </c>
      <c r="C474" s="7" t="str">
        <f>_xlfn.XLOOKUP(Jnl[[#This Row],[TrxId]], Trx[Id], Trx[Division],,0)</f>
        <v>Shuijie</v>
      </c>
      <c r="D474" s="7" t="str">
        <f>_xlfn.XLOOKUP(Jnl[[#This Row],[TrxId]], Trx[Id], Trx[Action],,0)</f>
        <v>收款</v>
      </c>
      <c r="E474" s="26" t="s">
        <v>106</v>
      </c>
      <c r="F474" s="11" t="s">
        <v>590</v>
      </c>
      <c r="G474" s="11" t="s">
        <v>687</v>
      </c>
      <c r="H474" s="72">
        <v>65524.07</v>
      </c>
      <c r="I474" s="5" t="b">
        <f>AND(Jnl[[#This Row],[TrxId]]&lt;&gt;"",Jnl[[#This Row],[Acct]]&lt;&gt;"",Jnl[[#This Row],[Item]]&lt;&gt;"",ISNUMBER(Jnl[[#This Row],[Bal]]))</f>
        <v>1</v>
      </c>
      <c r="J474" s="10">
        <f>IF(Jnl[[#This Row],[BSLv0]]="A",1,-1)*Jnl[[#This Row],[Bal]]</f>
        <v>65524.07</v>
      </c>
      <c r="K474" t="str">
        <f>_xlfn.XLOOKUP(Jnl[[#This Row],[Acct]], config_BS[Acct], config_BS[Lv0],,0)</f>
        <v>A</v>
      </c>
      <c r="L474" t="str">
        <f>_xlfn.XLOOKUP(Jnl[[#This Row],[Acct]], config_BS[Acct], config_BS[Lv1],,0)</f>
        <v>Assets</v>
      </c>
      <c r="M474" t="str">
        <f>_xlfn.XLOOKUP(Jnl[[#This Row],[Acct]], config_BS[Acct], config_BS[Lv2],,0)</f>
        <v>Cash alike</v>
      </c>
      <c r="N474" t="str">
        <f>_xlfn.XLOOKUP(Jnl[[#This Row],[TrxId]], Trx[Id], Trx[IncNode], ,0)</f>
        <v>Revenue</v>
      </c>
      <c r="O474" t="str">
        <f>_xlfn.XLOOKUP(Jnl[[#This Row],[IncNode]], config_IS[Node], config_IS[Type],,0)</f>
        <v>Op</v>
      </c>
      <c r="P474" t="str">
        <f>_xlfn.XLOOKUP(Jnl[[#This Row],[BSLv2]], dict[Key], dict[Name],,0)</f>
        <v>0.现金及类似</v>
      </c>
      <c r="Q474" t="str">
        <f>_xlfn.XLOOKUP(Jnl[[#This Row],[Acct]], dict[Key], dict[Name],,0)</f>
        <v>银行</v>
      </c>
      <c r="R474" t="str">
        <f>_xlfn.XLOOKUP(Jnl[[#This Row],[Vehicle]],config_vehicle[Id], config_vehicle[Name],,0)</f>
        <v>远家花园高新分公司</v>
      </c>
      <c r="S474" t="str">
        <f>_xlfn.XLOOKUP(Jnl[[#This Row],[Division]],config_div[Id], config_div[Name],,0)</f>
        <v>水街店</v>
      </c>
      <c r="T474" t="str">
        <f>IF(Jnl[[#This Row],[TrxDate]]&lt;=stmt_BS_date_end, "In", "Out")</f>
        <v>In</v>
      </c>
      <c r="U474" t="str">
        <f>IF(Jnl[[#This Row],[TrxDate]]&lt;debug_date_start, "prior", IF(Jnl[[#This Row],[TrxDate]]&gt;debug_date_end, "post", "curr"))</f>
        <v>prior</v>
      </c>
    </row>
    <row r="475" spans="1:21">
      <c r="A475" s="11" t="s">
        <v>669</v>
      </c>
      <c r="B475" s="7">
        <f>_xlfn.XLOOKUP(Jnl[[#This Row],[TrxId]], Trx[Id], Trx[Date],,0)</f>
        <v>46053</v>
      </c>
      <c r="C475" s="7" t="str">
        <f>_xlfn.XLOOKUP(Jnl[[#This Row],[TrxId]], Trx[Id], Trx[Division],,0)</f>
        <v>Shuijie</v>
      </c>
      <c r="D475" s="7" t="str">
        <f>_xlfn.XLOOKUP(Jnl[[#This Row],[TrxId]], Trx[Id], Trx[Action],,0)</f>
        <v>收款</v>
      </c>
      <c r="E475" s="26" t="s">
        <v>106</v>
      </c>
      <c r="F475" s="11" t="s">
        <v>593</v>
      </c>
      <c r="G475" s="11" t="s">
        <v>594</v>
      </c>
      <c r="H475" s="72">
        <v>-65524.07</v>
      </c>
      <c r="I475" s="5" t="b">
        <f>AND(Jnl[[#This Row],[TrxId]]&lt;&gt;"",Jnl[[#This Row],[Acct]]&lt;&gt;"",Jnl[[#This Row],[Item]]&lt;&gt;"",ISNUMBER(Jnl[[#This Row],[Bal]]))</f>
        <v>1</v>
      </c>
      <c r="J475" s="10">
        <f>IF(Jnl[[#This Row],[BSLv0]]="A",1,-1)*Jnl[[#This Row],[Bal]]</f>
        <v>-65524.07</v>
      </c>
      <c r="K475" t="str">
        <f>_xlfn.XLOOKUP(Jnl[[#This Row],[Acct]], config_BS[Acct], config_BS[Lv0],,0)</f>
        <v>A</v>
      </c>
      <c r="L475" t="str">
        <f>_xlfn.XLOOKUP(Jnl[[#This Row],[Acct]], config_BS[Acct], config_BS[Lv1],,0)</f>
        <v>Assets</v>
      </c>
      <c r="M475" t="str">
        <f>_xlfn.XLOOKUP(Jnl[[#This Row],[Acct]], config_BS[Acct], config_BS[Lv2],,0)</f>
        <v>Rec-Pay</v>
      </c>
      <c r="N475" t="str">
        <f>_xlfn.XLOOKUP(Jnl[[#This Row],[TrxId]], Trx[Id], Trx[IncNode], ,0)</f>
        <v>Revenue</v>
      </c>
      <c r="O475" t="str">
        <f>_xlfn.XLOOKUP(Jnl[[#This Row],[IncNode]], config_IS[Node], config_IS[Type],,0)</f>
        <v>Op</v>
      </c>
      <c r="P475" t="str">
        <f>_xlfn.XLOOKUP(Jnl[[#This Row],[BSLv2]], dict[Key], dict[Name],,0)</f>
        <v>1.应收-应付</v>
      </c>
      <c r="Q475" t="str">
        <f>_xlfn.XLOOKUP(Jnl[[#This Row],[Acct]], dict[Key], dict[Name],,0)</f>
        <v>应收-一般</v>
      </c>
      <c r="R475" t="str">
        <f>_xlfn.XLOOKUP(Jnl[[#This Row],[Vehicle]],config_vehicle[Id], config_vehicle[Name],,0)</f>
        <v>远家花园高新分公司</v>
      </c>
      <c r="S475" t="str">
        <f>_xlfn.XLOOKUP(Jnl[[#This Row],[Division]],config_div[Id], config_div[Name],,0)</f>
        <v>水街店</v>
      </c>
      <c r="T475" t="str">
        <f>IF(Jnl[[#This Row],[TrxDate]]&lt;=stmt_BS_date_end, "In", "Out")</f>
        <v>In</v>
      </c>
      <c r="U475" t="str">
        <f>IF(Jnl[[#This Row],[TrxDate]]&lt;debug_date_start, "prior", IF(Jnl[[#This Row],[TrxDate]]&gt;debug_date_end, "post", "curr"))</f>
        <v>prior</v>
      </c>
    </row>
    <row r="476" spans="1:21">
      <c r="A476" s="11" t="s">
        <v>673</v>
      </c>
      <c r="B476" s="7">
        <f>_xlfn.XLOOKUP(Jnl[[#This Row],[TrxId]], Trx[Id], Trx[Date],,0)</f>
        <v>46053</v>
      </c>
      <c r="C476" s="7" t="str">
        <f>_xlfn.XLOOKUP(Jnl[[#This Row],[TrxId]], Trx[Id], Trx[Division],,0)</f>
        <v>Brand</v>
      </c>
      <c r="D476" s="7" t="str">
        <f>_xlfn.XLOOKUP(Jnl[[#This Row],[TrxId]], Trx[Id], Trx[Action],,0)</f>
        <v>折旧</v>
      </c>
      <c r="E476" s="26" t="s">
        <v>106</v>
      </c>
      <c r="F476" s="11" t="s">
        <v>689</v>
      </c>
      <c r="G476" s="11" t="s">
        <v>690</v>
      </c>
      <c r="H476" s="72">
        <v>-54022.96</v>
      </c>
      <c r="I476" s="5" t="b">
        <f>AND(Jnl[[#This Row],[TrxId]]&lt;&gt;"",Jnl[[#This Row],[Acct]]&lt;&gt;"",Jnl[[#This Row],[Item]]&lt;&gt;"",ISNUMBER(Jnl[[#This Row],[Bal]]))</f>
        <v>1</v>
      </c>
      <c r="J476" s="10">
        <f>IF(Jnl[[#This Row],[BSLv0]]="A",1,-1)*Jnl[[#This Row],[Bal]]</f>
        <v>-54022.96</v>
      </c>
      <c r="K476" t="str">
        <f>_xlfn.XLOOKUP(Jnl[[#This Row],[Acct]], config_BS[Acct], config_BS[Lv0],,0)</f>
        <v>A</v>
      </c>
      <c r="L476" t="str">
        <f>_xlfn.XLOOKUP(Jnl[[#This Row],[Acct]], config_BS[Acct], config_BS[Lv1],,0)</f>
        <v>Assets</v>
      </c>
      <c r="M476" t="str">
        <f>_xlfn.XLOOKUP(Jnl[[#This Row],[Acct]], config_BS[Acct], config_BS[Lv2],,0)</f>
        <v>PP&amp;E</v>
      </c>
      <c r="N476" t="str">
        <f>_xlfn.XLOOKUP(Jnl[[#This Row],[TrxId]], Trx[Id], Trx[IncNode], ,0)</f>
        <v>Expense</v>
      </c>
      <c r="O476" t="str">
        <f>_xlfn.XLOOKUP(Jnl[[#This Row],[IncNode]], config_IS[Node], config_IS[Type],,0)</f>
        <v>Op</v>
      </c>
      <c r="P476" t="str">
        <f>_xlfn.XLOOKUP(Jnl[[#This Row],[BSLv2]], dict[Key], dict[Name],,0)</f>
        <v>5.硬件设施</v>
      </c>
      <c r="Q476" t="str">
        <f>_xlfn.XLOOKUP(Jnl[[#This Row],[Acct]], dict[Key], dict[Name],,0)</f>
        <v>房地产</v>
      </c>
      <c r="R476" t="str">
        <f>_xlfn.XLOOKUP(Jnl[[#This Row],[Vehicle]],config_vehicle[Id], config_vehicle[Name],,0)</f>
        <v>远家花园高新分公司</v>
      </c>
      <c r="S476" t="str">
        <f>_xlfn.XLOOKUP(Jnl[[#This Row],[Division]],config_div[Id], config_div[Name],,0)</f>
        <v>品牌</v>
      </c>
      <c r="T476" t="str">
        <f>IF(Jnl[[#This Row],[TrxDate]]&lt;=stmt_BS_date_end, "In", "Out")</f>
        <v>In</v>
      </c>
      <c r="U476" t="str">
        <f>IF(Jnl[[#This Row],[TrxDate]]&lt;debug_date_start, "prior", IF(Jnl[[#This Row],[TrxDate]]&gt;debug_date_end, "post", "curr"))</f>
        <v>prior</v>
      </c>
    </row>
    <row r="477" spans="1:21">
      <c r="A477" s="11" t="s">
        <v>675</v>
      </c>
      <c r="B477" s="7">
        <f>_xlfn.XLOOKUP(Jnl[[#This Row],[TrxId]], Trx[Id], Trx[Date],,0)</f>
        <v>46053</v>
      </c>
      <c r="C477" s="7" t="str">
        <f>_xlfn.XLOOKUP(Jnl[[#This Row],[TrxId]], Trx[Id], Trx[Division],,0)</f>
        <v>Shuijie</v>
      </c>
      <c r="D477" s="7" t="str">
        <f>_xlfn.XLOOKUP(Jnl[[#This Row],[TrxId]], Trx[Id], Trx[Action],,0)</f>
        <v>餐饮</v>
      </c>
      <c r="E477" s="26" t="s">
        <v>106</v>
      </c>
      <c r="F477" s="11" t="s">
        <v>599</v>
      </c>
      <c r="G477" s="11" t="s">
        <v>688</v>
      </c>
      <c r="H477" s="72">
        <v>1000</v>
      </c>
      <c r="I477" s="5" t="b">
        <f>AND(Jnl[[#This Row],[TrxId]]&lt;&gt;"",Jnl[[#This Row],[Acct]]&lt;&gt;"",Jnl[[#This Row],[Item]]&lt;&gt;"",ISNUMBER(Jnl[[#This Row],[Bal]]))</f>
        <v>1</v>
      </c>
      <c r="J477" s="10">
        <f>IF(Jnl[[#This Row],[BSLv0]]="A",1,-1)*Jnl[[#This Row],[Bal]]</f>
        <v>1000</v>
      </c>
      <c r="K477" t="str">
        <f>_xlfn.XLOOKUP(Jnl[[#This Row],[Acct]], config_BS[Acct], config_BS[Lv0],,0)</f>
        <v>A</v>
      </c>
      <c r="L477" t="str">
        <f>_xlfn.XLOOKUP(Jnl[[#This Row],[Acct]], config_BS[Acct], config_BS[Lv1],,0)</f>
        <v>Assets</v>
      </c>
      <c r="M477" t="str">
        <f>_xlfn.XLOOKUP(Jnl[[#This Row],[Acct]], config_BS[Acct], config_BS[Lv2],,0)</f>
        <v>Cash alike</v>
      </c>
      <c r="N477" t="str">
        <f>_xlfn.XLOOKUP(Jnl[[#This Row],[TrxId]], Trx[Id], Trx[IncNode], ,0)</f>
        <v>Revenue</v>
      </c>
      <c r="O477" t="str">
        <f>_xlfn.XLOOKUP(Jnl[[#This Row],[IncNode]], config_IS[Node], config_IS[Type],,0)</f>
        <v>Op</v>
      </c>
      <c r="P477" t="str">
        <f>_xlfn.XLOOKUP(Jnl[[#This Row],[BSLv2]], dict[Key], dict[Name],,0)</f>
        <v>0.现金及类似</v>
      </c>
      <c r="Q477" t="str">
        <f>_xlfn.XLOOKUP(Jnl[[#This Row],[Acct]], dict[Key], dict[Name],,0)</f>
        <v>物理现金</v>
      </c>
      <c r="R477" t="str">
        <f>_xlfn.XLOOKUP(Jnl[[#This Row],[Vehicle]],config_vehicle[Id], config_vehicle[Name],,0)</f>
        <v>远家花园高新分公司</v>
      </c>
      <c r="S477" t="str">
        <f>_xlfn.XLOOKUP(Jnl[[#This Row],[Division]],config_div[Id], config_div[Name],,0)</f>
        <v>水街店</v>
      </c>
      <c r="T477" t="str">
        <f>IF(Jnl[[#This Row],[TrxDate]]&lt;=stmt_BS_date_end, "In", "Out")</f>
        <v>In</v>
      </c>
      <c r="U477" t="str">
        <f>IF(Jnl[[#This Row],[TrxDate]]&lt;debug_date_start, "prior", IF(Jnl[[#This Row],[TrxDate]]&gt;debug_date_end, "post", "curr"))</f>
        <v>prior</v>
      </c>
    </row>
    <row r="478" spans="1:21">
      <c r="A478" s="11" t="s">
        <v>675</v>
      </c>
      <c r="B478" s="7">
        <f>_xlfn.XLOOKUP(Jnl[[#This Row],[TrxId]], Trx[Id], Trx[Date],,0)</f>
        <v>46053</v>
      </c>
      <c r="C478" s="7" t="str">
        <f>_xlfn.XLOOKUP(Jnl[[#This Row],[TrxId]], Trx[Id], Trx[Division],,0)</f>
        <v>Shuijie</v>
      </c>
      <c r="D478" s="7" t="str">
        <f>_xlfn.XLOOKUP(Jnl[[#This Row],[TrxId]], Trx[Id], Trx[Action],,0)</f>
        <v>餐饮</v>
      </c>
      <c r="E478" s="26" t="s">
        <v>106</v>
      </c>
      <c r="F478" s="11" t="s">
        <v>593</v>
      </c>
      <c r="G478" s="11" t="s">
        <v>594</v>
      </c>
      <c r="H478" s="72">
        <f>67816-257.69</f>
        <v>67558.31</v>
      </c>
      <c r="I478" s="5" t="b">
        <f>AND(Jnl[[#This Row],[TrxId]]&lt;&gt;"",Jnl[[#This Row],[Acct]]&lt;&gt;"",Jnl[[#This Row],[Item]]&lt;&gt;"",ISNUMBER(Jnl[[#This Row],[Bal]]))</f>
        <v>1</v>
      </c>
      <c r="J478" s="10">
        <f>IF(Jnl[[#This Row],[BSLv0]]="A",1,-1)*Jnl[[#This Row],[Bal]]</f>
        <v>67558.31</v>
      </c>
      <c r="K478" t="str">
        <f>_xlfn.XLOOKUP(Jnl[[#This Row],[Acct]], config_BS[Acct], config_BS[Lv0],,0)</f>
        <v>A</v>
      </c>
      <c r="L478" t="str">
        <f>_xlfn.XLOOKUP(Jnl[[#This Row],[Acct]], config_BS[Acct], config_BS[Lv1],,0)</f>
        <v>Assets</v>
      </c>
      <c r="M478" t="str">
        <f>_xlfn.XLOOKUP(Jnl[[#This Row],[Acct]], config_BS[Acct], config_BS[Lv2],,0)</f>
        <v>Rec-Pay</v>
      </c>
      <c r="N478" t="str">
        <f>_xlfn.XLOOKUP(Jnl[[#This Row],[TrxId]], Trx[Id], Trx[IncNode], ,0)</f>
        <v>Revenue</v>
      </c>
      <c r="O478" t="str">
        <f>_xlfn.XLOOKUP(Jnl[[#This Row],[IncNode]], config_IS[Node], config_IS[Type],,0)</f>
        <v>Op</v>
      </c>
      <c r="P478" t="str">
        <f>_xlfn.XLOOKUP(Jnl[[#This Row],[BSLv2]], dict[Key], dict[Name],,0)</f>
        <v>1.应收-应付</v>
      </c>
      <c r="Q478" t="str">
        <f>_xlfn.XLOOKUP(Jnl[[#This Row],[Acct]], dict[Key], dict[Name],,0)</f>
        <v>应收-一般</v>
      </c>
      <c r="R478" t="str">
        <f>_xlfn.XLOOKUP(Jnl[[#This Row],[Vehicle]],config_vehicle[Id], config_vehicle[Name],,0)</f>
        <v>远家花园高新分公司</v>
      </c>
      <c r="S478" t="str">
        <f>_xlfn.XLOOKUP(Jnl[[#This Row],[Division]],config_div[Id], config_div[Name],,0)</f>
        <v>水街店</v>
      </c>
      <c r="T478" t="str">
        <f>IF(Jnl[[#This Row],[TrxDate]]&lt;=stmt_BS_date_end, "In", "Out")</f>
        <v>In</v>
      </c>
      <c r="U478" t="str">
        <f>IF(Jnl[[#This Row],[TrxDate]]&lt;debug_date_start, "prior", IF(Jnl[[#This Row],[TrxDate]]&gt;debug_date_end, "post", "curr"))</f>
        <v>prior</v>
      </c>
    </row>
    <row r="479" spans="1:21">
      <c r="A479" s="11" t="s">
        <v>676</v>
      </c>
      <c r="B479" s="7">
        <f>_xlfn.XLOOKUP(Jnl[[#This Row],[TrxId]], Trx[Id], Trx[Date],,0)</f>
        <v>46053</v>
      </c>
      <c r="C479" s="7" t="str">
        <f>_xlfn.XLOOKUP(Jnl[[#This Row],[TrxId]], Trx[Id], Trx[Division],,0)</f>
        <v>Shuijie</v>
      </c>
      <c r="D479" s="7" t="str">
        <f>_xlfn.XLOOKUP(Jnl[[#This Row],[TrxId]], Trx[Id], Trx[Action],,0)</f>
        <v>增值税</v>
      </c>
      <c r="E479" s="26" t="s">
        <v>106</v>
      </c>
      <c r="F479" s="11" t="s">
        <v>127</v>
      </c>
      <c r="G479" s="11" t="s">
        <v>307</v>
      </c>
      <c r="H479" s="72">
        <v>681.35</v>
      </c>
      <c r="I479" s="5" t="b">
        <f>AND(Jnl[[#This Row],[TrxId]]&lt;&gt;"",Jnl[[#This Row],[Acct]]&lt;&gt;"",Jnl[[#This Row],[Item]]&lt;&gt;"",ISNUMBER(Jnl[[#This Row],[Bal]]))</f>
        <v>1</v>
      </c>
      <c r="J479" s="10">
        <f>IF(Jnl[[#This Row],[BSLv0]]="A",1,-1)*Jnl[[#This Row],[Bal]]</f>
        <v>-681.35</v>
      </c>
      <c r="K479" t="str">
        <f>_xlfn.XLOOKUP(Jnl[[#This Row],[Acct]], config_BS[Acct], config_BS[Lv0],,0)</f>
        <v>LC</v>
      </c>
      <c r="L479" t="str">
        <f>_xlfn.XLOOKUP(Jnl[[#This Row],[Acct]], config_BS[Acct], config_BS[Lv1],,0)</f>
        <v>Liability</v>
      </c>
      <c r="M479" t="str">
        <f>_xlfn.XLOOKUP(Jnl[[#This Row],[Acct]], config_BS[Acct], config_BS[Lv2],,0)</f>
        <v>Rec-Pay</v>
      </c>
      <c r="N479" t="str">
        <f>_xlfn.XLOOKUP(Jnl[[#This Row],[TrxId]], Trx[Id], Trx[IncNode], ,0)</f>
        <v>Cost</v>
      </c>
      <c r="O479" t="str">
        <f>_xlfn.XLOOKUP(Jnl[[#This Row],[IncNode]], config_IS[Node], config_IS[Type],,0)</f>
        <v>Op</v>
      </c>
      <c r="P479" t="str">
        <f>_xlfn.XLOOKUP(Jnl[[#This Row],[BSLv2]], dict[Key], dict[Name],,0)</f>
        <v>1.应收-应付</v>
      </c>
      <c r="Q479" t="str">
        <f>_xlfn.XLOOKUP(Jnl[[#This Row],[Acct]], dict[Key], dict[Name],,0)</f>
        <v>应付-税款</v>
      </c>
      <c r="R479" t="str">
        <f>_xlfn.XLOOKUP(Jnl[[#This Row],[Vehicle]],config_vehicle[Id], config_vehicle[Name],,0)</f>
        <v>远家花园高新分公司</v>
      </c>
      <c r="S479" t="str">
        <f>_xlfn.XLOOKUP(Jnl[[#This Row],[Division]],config_div[Id], config_div[Name],,0)</f>
        <v>水街店</v>
      </c>
      <c r="T479" t="str">
        <f>IF(Jnl[[#This Row],[TrxDate]]&lt;=stmt_BS_date_end, "In", "Out")</f>
        <v>In</v>
      </c>
      <c r="U479" t="str">
        <f>IF(Jnl[[#This Row],[TrxDate]]&lt;debug_date_start, "prior", IF(Jnl[[#This Row],[TrxDate]]&gt;debug_date_end, "post", "curr"))</f>
        <v>prior</v>
      </c>
    </row>
    <row r="480" spans="1:21">
      <c r="A480" s="11" t="s">
        <v>677</v>
      </c>
      <c r="B480" s="7">
        <f>_xlfn.XLOOKUP(Jnl[[#This Row],[TrxId]], Trx[Id], Trx[Date],,0)</f>
        <v>46053</v>
      </c>
      <c r="C480" s="7" t="str">
        <f>_xlfn.XLOOKUP(Jnl[[#This Row],[TrxId]], Trx[Id], Trx[Division],,0)</f>
        <v>Shuijie</v>
      </c>
      <c r="D480" s="7" t="str">
        <f>_xlfn.XLOOKUP(Jnl[[#This Row],[TrxId]], Trx[Id], Trx[Action],,0)</f>
        <v>平台费</v>
      </c>
      <c r="E480" s="26" t="s">
        <v>106</v>
      </c>
      <c r="F480" s="11" t="s">
        <v>593</v>
      </c>
      <c r="G480" s="11" t="s">
        <v>594</v>
      </c>
      <c r="H480" s="72">
        <v>-257.69</v>
      </c>
      <c r="I480" s="5" t="b">
        <f>AND(Jnl[[#This Row],[TrxId]]&lt;&gt;"",Jnl[[#This Row],[Acct]]&lt;&gt;"",Jnl[[#This Row],[Item]]&lt;&gt;"",ISNUMBER(Jnl[[#This Row],[Bal]]))</f>
        <v>1</v>
      </c>
      <c r="J480" s="10">
        <f>IF(Jnl[[#This Row],[BSLv0]]="A",1,-1)*Jnl[[#This Row],[Bal]]</f>
        <v>-257.69</v>
      </c>
      <c r="K480" t="str">
        <f>_xlfn.XLOOKUP(Jnl[[#This Row],[Acct]], config_BS[Acct], config_BS[Lv0],,0)</f>
        <v>A</v>
      </c>
      <c r="L480" t="str">
        <f>_xlfn.XLOOKUP(Jnl[[#This Row],[Acct]], config_BS[Acct], config_BS[Lv1],,0)</f>
        <v>Assets</v>
      </c>
      <c r="M480" t="str">
        <f>_xlfn.XLOOKUP(Jnl[[#This Row],[Acct]], config_BS[Acct], config_BS[Lv2],,0)</f>
        <v>Rec-Pay</v>
      </c>
      <c r="N480" t="str">
        <f>_xlfn.XLOOKUP(Jnl[[#This Row],[TrxId]], Trx[Id], Trx[IncNode], ,0)</f>
        <v>Expense</v>
      </c>
      <c r="O480" t="str">
        <f>_xlfn.XLOOKUP(Jnl[[#This Row],[IncNode]], config_IS[Node], config_IS[Type],,0)</f>
        <v>Op</v>
      </c>
      <c r="P480" t="str">
        <f>_xlfn.XLOOKUP(Jnl[[#This Row],[BSLv2]], dict[Key], dict[Name],,0)</f>
        <v>1.应收-应付</v>
      </c>
      <c r="Q480" t="str">
        <f>_xlfn.XLOOKUP(Jnl[[#This Row],[Acct]], dict[Key], dict[Name],,0)</f>
        <v>应收-一般</v>
      </c>
      <c r="R480" t="str">
        <f>_xlfn.XLOOKUP(Jnl[[#This Row],[Vehicle]],config_vehicle[Id], config_vehicle[Name],,0)</f>
        <v>远家花园高新分公司</v>
      </c>
      <c r="S480" t="str">
        <f>_xlfn.XLOOKUP(Jnl[[#This Row],[Division]],config_div[Id], config_div[Name],,0)</f>
        <v>水街店</v>
      </c>
      <c r="T480" t="str">
        <f>IF(Jnl[[#This Row],[TrxDate]]&lt;=stmt_BS_date_end, "In", "Out")</f>
        <v>In</v>
      </c>
      <c r="U480" t="str">
        <f>IF(Jnl[[#This Row],[TrxDate]]&lt;debug_date_start, "prior", IF(Jnl[[#This Row],[TrxDate]]&gt;debug_date_end, "post", "curr"))</f>
        <v>prior</v>
      </c>
    </row>
    <row r="481" spans="1:21">
      <c r="A481" s="11" t="s">
        <v>678</v>
      </c>
      <c r="B481" s="7">
        <f>_xlfn.XLOOKUP(Jnl[[#This Row],[TrxId]], Trx[Id], Trx[Date],,0)</f>
        <v>46053</v>
      </c>
      <c r="C481" s="7" t="str">
        <f>_xlfn.XLOOKUP(Jnl[[#This Row],[TrxId]], Trx[Id], Trx[Division],,0)</f>
        <v>Shuijie</v>
      </c>
      <c r="D481" s="7" t="str">
        <f>_xlfn.XLOOKUP(Jnl[[#This Row],[TrxId]], Trx[Id], Trx[Action],,0)</f>
        <v>餐饮</v>
      </c>
      <c r="E481" s="26" t="s">
        <v>106</v>
      </c>
      <c r="F481" s="11" t="s">
        <v>593</v>
      </c>
      <c r="G481" s="11" t="s">
        <v>594</v>
      </c>
      <c r="H481" s="72">
        <v>257.69</v>
      </c>
      <c r="I481" s="5" t="b">
        <f>AND(Jnl[[#This Row],[TrxId]]&lt;&gt;"",Jnl[[#This Row],[Acct]]&lt;&gt;"",Jnl[[#This Row],[Item]]&lt;&gt;"",ISNUMBER(Jnl[[#This Row],[Bal]]))</f>
        <v>1</v>
      </c>
      <c r="J481" s="10">
        <f>IF(Jnl[[#This Row],[BSLv0]]="A",1,-1)*Jnl[[#This Row],[Bal]]</f>
        <v>257.69</v>
      </c>
      <c r="K481" t="str">
        <f>_xlfn.XLOOKUP(Jnl[[#This Row],[Acct]], config_BS[Acct], config_BS[Lv0],,0)</f>
        <v>A</v>
      </c>
      <c r="L481" t="str">
        <f>_xlfn.XLOOKUP(Jnl[[#This Row],[Acct]], config_BS[Acct], config_BS[Lv1],,0)</f>
        <v>Assets</v>
      </c>
      <c r="M481" t="str">
        <f>_xlfn.XLOOKUP(Jnl[[#This Row],[Acct]], config_BS[Acct], config_BS[Lv2],,0)</f>
        <v>Rec-Pay</v>
      </c>
      <c r="N481" t="str">
        <f>_xlfn.XLOOKUP(Jnl[[#This Row],[TrxId]], Trx[Id], Trx[IncNode], ,0)</f>
        <v>Revenue</v>
      </c>
      <c r="O481" t="str">
        <f>_xlfn.XLOOKUP(Jnl[[#This Row],[IncNode]], config_IS[Node], config_IS[Type],,0)</f>
        <v>Op</v>
      </c>
      <c r="P481" t="str">
        <f>_xlfn.XLOOKUP(Jnl[[#This Row],[BSLv2]], dict[Key], dict[Name],,0)</f>
        <v>1.应收-应付</v>
      </c>
      <c r="Q481" t="str">
        <f>_xlfn.XLOOKUP(Jnl[[#This Row],[Acct]], dict[Key], dict[Name],,0)</f>
        <v>应收-一般</v>
      </c>
      <c r="R481" t="str">
        <f>_xlfn.XLOOKUP(Jnl[[#This Row],[Vehicle]],config_vehicle[Id], config_vehicle[Name],,0)</f>
        <v>远家花园高新分公司</v>
      </c>
      <c r="S481" t="str">
        <f>_xlfn.XLOOKUP(Jnl[[#This Row],[Division]],config_div[Id], config_div[Name],,0)</f>
        <v>水街店</v>
      </c>
      <c r="T481" t="str">
        <f>IF(Jnl[[#This Row],[TrxDate]]&lt;=stmt_BS_date_end, "In", "Out")</f>
        <v>In</v>
      </c>
      <c r="U481" t="str">
        <f>IF(Jnl[[#This Row],[TrxDate]]&lt;debug_date_start, "prior", IF(Jnl[[#This Row],[TrxDate]]&gt;debug_date_end, "post", "curr"))</f>
        <v>prior</v>
      </c>
    </row>
    <row r="482" spans="1:21">
      <c r="A482" s="11" t="s">
        <v>680</v>
      </c>
      <c r="B482" s="7">
        <f>_xlfn.XLOOKUP(Jnl[[#This Row],[TrxId]], Trx[Id], Trx[Date],,0)</f>
        <v>46053</v>
      </c>
      <c r="C482" s="7" t="str">
        <f>_xlfn.XLOOKUP(Jnl[[#This Row],[TrxId]], Trx[Id], Trx[Division],,0)</f>
        <v>Ctrl</v>
      </c>
      <c r="D482" s="7" t="str">
        <f>_xlfn.XLOOKUP(Jnl[[#This Row],[TrxId]], Trx[Id], Trx[Action],,0)</f>
        <v>计提税金</v>
      </c>
      <c r="E482" s="26" t="s">
        <v>106</v>
      </c>
      <c r="F482" s="11" t="s">
        <v>127</v>
      </c>
      <c r="G482" s="11" t="s">
        <v>348</v>
      </c>
      <c r="H482" s="72">
        <v>40.869999999999997</v>
      </c>
      <c r="I482" s="5" t="b">
        <f>AND(Jnl[[#This Row],[TrxId]]&lt;&gt;"",Jnl[[#This Row],[Acct]]&lt;&gt;"",Jnl[[#This Row],[Item]]&lt;&gt;"",ISNUMBER(Jnl[[#This Row],[Bal]]))</f>
        <v>1</v>
      </c>
      <c r="J482" s="10">
        <f>IF(Jnl[[#This Row],[BSLv0]]="A",1,-1)*Jnl[[#This Row],[Bal]]</f>
        <v>-40.869999999999997</v>
      </c>
      <c r="K482" t="str">
        <f>_xlfn.XLOOKUP(Jnl[[#This Row],[Acct]], config_BS[Acct], config_BS[Lv0],,0)</f>
        <v>LC</v>
      </c>
      <c r="L482" t="str">
        <f>_xlfn.XLOOKUP(Jnl[[#This Row],[Acct]], config_BS[Acct], config_BS[Lv1],,0)</f>
        <v>Liability</v>
      </c>
      <c r="M482" t="str">
        <f>_xlfn.XLOOKUP(Jnl[[#This Row],[Acct]], config_BS[Acct], config_BS[Lv2],,0)</f>
        <v>Rec-Pay</v>
      </c>
      <c r="N482" t="str">
        <f>_xlfn.XLOOKUP(Jnl[[#This Row],[TrxId]], Trx[Id], Trx[IncNode], ,0)</f>
        <v>Expense</v>
      </c>
      <c r="O482" t="str">
        <f>_xlfn.XLOOKUP(Jnl[[#This Row],[IncNode]], config_IS[Node], config_IS[Type],,0)</f>
        <v>Op</v>
      </c>
      <c r="P482" t="str">
        <f>_xlfn.XLOOKUP(Jnl[[#This Row],[BSLv2]], dict[Key], dict[Name],,0)</f>
        <v>1.应收-应付</v>
      </c>
      <c r="Q482" t="str">
        <f>_xlfn.XLOOKUP(Jnl[[#This Row],[Acct]], dict[Key], dict[Name],,0)</f>
        <v>应付-税款</v>
      </c>
      <c r="R482" t="str">
        <f>_xlfn.XLOOKUP(Jnl[[#This Row],[Vehicle]],config_vehicle[Id], config_vehicle[Name],,0)</f>
        <v>远家花园高新分公司</v>
      </c>
      <c r="S482" t="str">
        <f>_xlfn.XLOOKUP(Jnl[[#This Row],[Division]],config_div[Id], config_div[Name],,0)</f>
        <v>内控合规</v>
      </c>
      <c r="T482" t="str">
        <f>IF(Jnl[[#This Row],[TrxDate]]&lt;=stmt_BS_date_end, "In", "Out")</f>
        <v>In</v>
      </c>
      <c r="U482" t="str">
        <f>IF(Jnl[[#This Row],[TrxDate]]&lt;debug_date_start, "prior", IF(Jnl[[#This Row],[TrxDate]]&gt;debug_date_end, "post", "curr"))</f>
        <v>prior</v>
      </c>
    </row>
    <row r="483" spans="1:21">
      <c r="A483" s="11" t="s">
        <v>682</v>
      </c>
      <c r="B483" s="7">
        <f>_xlfn.XLOOKUP(Jnl[[#This Row],[TrxId]], Trx[Id], Trx[Date],,0)</f>
        <v>46053</v>
      </c>
      <c r="C483" s="7" t="str">
        <f>_xlfn.XLOOKUP(Jnl[[#This Row],[TrxId]], Trx[Id], Trx[Division],,0)</f>
        <v>GM</v>
      </c>
      <c r="D483" s="7" t="str">
        <f>_xlfn.XLOOKUP(Jnl[[#This Row],[TrxId]], Trx[Id], Trx[Action],,0)</f>
        <v>薪酬-工资</v>
      </c>
      <c r="E483" s="26" t="s">
        <v>106</v>
      </c>
      <c r="F483" s="11" t="s">
        <v>596</v>
      </c>
      <c r="G483" s="11" t="s">
        <v>149</v>
      </c>
      <c r="H483" s="72">
        <v>35490.239999999998</v>
      </c>
      <c r="I483" s="5" t="b">
        <f>AND(Jnl[[#This Row],[TrxId]]&lt;&gt;"",Jnl[[#This Row],[Acct]]&lt;&gt;"",Jnl[[#This Row],[Item]]&lt;&gt;"",ISNUMBER(Jnl[[#This Row],[Bal]]))</f>
        <v>1</v>
      </c>
      <c r="J483" s="10">
        <f>IF(Jnl[[#This Row],[BSLv0]]="A",1,-1)*Jnl[[#This Row],[Bal]]</f>
        <v>-35490.239999999998</v>
      </c>
      <c r="K483" t="str">
        <f>_xlfn.XLOOKUP(Jnl[[#This Row],[Acct]], config_BS[Acct], config_BS[Lv0],,0)</f>
        <v>LC</v>
      </c>
      <c r="L483" t="str">
        <f>_xlfn.XLOOKUP(Jnl[[#This Row],[Acct]], config_BS[Acct], config_BS[Lv1],,0)</f>
        <v>Liability</v>
      </c>
      <c r="M483" t="str">
        <f>_xlfn.XLOOKUP(Jnl[[#This Row],[Acct]], config_BS[Acct], config_BS[Lv2],,0)</f>
        <v>Rec-Pay</v>
      </c>
      <c r="N483" t="str">
        <f>_xlfn.XLOOKUP(Jnl[[#This Row],[TrxId]], Trx[Id], Trx[IncNode], ,0)</f>
        <v>Expense</v>
      </c>
      <c r="O483" t="str">
        <f>_xlfn.XLOOKUP(Jnl[[#This Row],[IncNode]], config_IS[Node], config_IS[Type],,0)</f>
        <v>Op</v>
      </c>
      <c r="P483" t="str">
        <f>_xlfn.XLOOKUP(Jnl[[#This Row],[BSLv2]], dict[Key], dict[Name],,0)</f>
        <v>1.应收-应付</v>
      </c>
      <c r="Q483" t="str">
        <f>_xlfn.XLOOKUP(Jnl[[#This Row],[Acct]], dict[Key], dict[Name],,0)</f>
        <v>应付-薪资</v>
      </c>
      <c r="R483" t="str">
        <f>_xlfn.XLOOKUP(Jnl[[#This Row],[Vehicle]],config_vehicle[Id], config_vehicle[Name],,0)</f>
        <v>远家花园高新分公司</v>
      </c>
      <c r="S483" t="str">
        <f>_xlfn.XLOOKUP(Jnl[[#This Row],[Division]],config_div[Id], config_div[Name],,0)</f>
        <v>综合管理</v>
      </c>
      <c r="T483" t="str">
        <f>IF(Jnl[[#This Row],[TrxDate]]&lt;=stmt_BS_date_end, "In", "Out")</f>
        <v>In</v>
      </c>
      <c r="U483" t="str">
        <f>IF(Jnl[[#This Row],[TrxDate]]&lt;debug_date_start, "prior", IF(Jnl[[#This Row],[TrxDate]]&gt;debug_date_end, "post", "curr"))</f>
        <v>prior</v>
      </c>
    </row>
    <row r="484" spans="1:21">
      <c r="A484" s="11" t="s">
        <v>683</v>
      </c>
      <c r="B484" s="7">
        <f>_xlfn.XLOOKUP(Jnl[[#This Row],[TrxId]], Trx[Id], Trx[Date],,0)</f>
        <v>46053</v>
      </c>
      <c r="C484" s="7" t="str">
        <f>_xlfn.XLOOKUP(Jnl[[#This Row],[TrxId]], Trx[Id], Trx[Division],,0)</f>
        <v>GM</v>
      </c>
      <c r="D484" s="7" t="str">
        <f>_xlfn.XLOOKUP(Jnl[[#This Row],[TrxId]], Trx[Id], Trx[Action],,0)</f>
        <v>年终奖</v>
      </c>
      <c r="E484" s="26" t="s">
        <v>106</v>
      </c>
      <c r="F484" s="11" t="s">
        <v>596</v>
      </c>
      <c r="G484" s="11" t="s">
        <v>318</v>
      </c>
      <c r="H484" s="72">
        <f>140916.66-90000</f>
        <v>50916.66</v>
      </c>
      <c r="I484" s="5" t="b">
        <f>AND(Jnl[[#This Row],[TrxId]]&lt;&gt;"",Jnl[[#This Row],[Acct]]&lt;&gt;"",Jnl[[#This Row],[Item]]&lt;&gt;"",ISNUMBER(Jnl[[#This Row],[Bal]]))</f>
        <v>1</v>
      </c>
      <c r="J484" s="10">
        <f>IF(Jnl[[#This Row],[BSLv0]]="A",1,-1)*Jnl[[#This Row],[Bal]]</f>
        <v>-50916.66</v>
      </c>
      <c r="K484" t="str">
        <f>_xlfn.XLOOKUP(Jnl[[#This Row],[Acct]], config_BS[Acct], config_BS[Lv0],,0)</f>
        <v>LC</v>
      </c>
      <c r="L484" t="str">
        <f>_xlfn.XLOOKUP(Jnl[[#This Row],[Acct]], config_BS[Acct], config_BS[Lv1],,0)</f>
        <v>Liability</v>
      </c>
      <c r="M484" t="str">
        <f>_xlfn.XLOOKUP(Jnl[[#This Row],[Acct]], config_BS[Acct], config_BS[Lv2],,0)</f>
        <v>Rec-Pay</v>
      </c>
      <c r="N484" t="str">
        <f>_xlfn.XLOOKUP(Jnl[[#This Row],[TrxId]], Trx[Id], Trx[IncNode], ,0)</f>
        <v>Discretion</v>
      </c>
      <c r="O484" t="str">
        <f>_xlfn.XLOOKUP(Jnl[[#This Row],[IncNode]], config_IS[Node], config_IS[Type],,0)</f>
        <v>Non-Op</v>
      </c>
      <c r="P484" t="str">
        <f>_xlfn.XLOOKUP(Jnl[[#This Row],[BSLv2]], dict[Key], dict[Name],,0)</f>
        <v>1.应收-应付</v>
      </c>
      <c r="Q484" t="str">
        <f>_xlfn.XLOOKUP(Jnl[[#This Row],[Acct]], dict[Key], dict[Name],,0)</f>
        <v>应付-薪资</v>
      </c>
      <c r="R484" t="str">
        <f>_xlfn.XLOOKUP(Jnl[[#This Row],[Vehicle]],config_vehicle[Id], config_vehicle[Name],,0)</f>
        <v>远家花园高新分公司</v>
      </c>
      <c r="S484" t="str">
        <f>_xlfn.XLOOKUP(Jnl[[#This Row],[Division]],config_div[Id], config_div[Name],,0)</f>
        <v>综合管理</v>
      </c>
      <c r="T484" t="str">
        <f>IF(Jnl[[#This Row],[TrxDate]]&lt;=stmt_BS_date_end, "In", "Out")</f>
        <v>In</v>
      </c>
      <c r="U484" t="str">
        <f>IF(Jnl[[#This Row],[TrxDate]]&lt;debug_date_start, "prior", IF(Jnl[[#This Row],[TrxDate]]&gt;debug_date_end, "post", "curr"))</f>
        <v>prior</v>
      </c>
    </row>
    <row r="485" spans="1:21">
      <c r="A485" s="11" t="s">
        <v>691</v>
      </c>
      <c r="B485" s="7">
        <f>_xlfn.XLOOKUP(Jnl[[#This Row],[TrxId]], Trx[Id], Trx[Date],,0)</f>
        <v>46053</v>
      </c>
      <c r="C485" s="7" t="str">
        <f>_xlfn.XLOOKUP(Jnl[[#This Row],[TrxId]], Trx[Id], Trx[Division],,0)</f>
        <v>Online</v>
      </c>
      <c r="D485" s="7" t="str">
        <f>_xlfn.XLOOKUP(Jnl[[#This Row],[TrxId]], Trx[Id], Trx[Action],,0)</f>
        <v>设计</v>
      </c>
      <c r="E485" s="26" t="s">
        <v>80</v>
      </c>
      <c r="F485" s="11" t="s">
        <v>590</v>
      </c>
      <c r="G485" s="11" t="s">
        <v>391</v>
      </c>
      <c r="H485" s="72">
        <v>-1060</v>
      </c>
      <c r="I485" s="5" t="b">
        <f>AND(Jnl[[#This Row],[TrxId]]&lt;&gt;"",Jnl[[#This Row],[Acct]]&lt;&gt;"",Jnl[[#This Row],[Item]]&lt;&gt;"",ISNUMBER(Jnl[[#This Row],[Bal]]))</f>
        <v>1</v>
      </c>
      <c r="J485" s="10">
        <f>IF(Jnl[[#This Row],[BSLv0]]="A",1,-1)*Jnl[[#This Row],[Bal]]</f>
        <v>-1060</v>
      </c>
      <c r="K485" t="str">
        <f>_xlfn.XLOOKUP(Jnl[[#This Row],[Acct]], config_BS[Acct], config_BS[Lv0],,0)</f>
        <v>A</v>
      </c>
      <c r="L485" t="str">
        <f>_xlfn.XLOOKUP(Jnl[[#This Row],[Acct]], config_BS[Acct], config_BS[Lv1],,0)</f>
        <v>Assets</v>
      </c>
      <c r="M485" t="str">
        <f>_xlfn.XLOOKUP(Jnl[[#This Row],[Acct]], config_BS[Acct], config_BS[Lv2],,0)</f>
        <v>Cash alike</v>
      </c>
      <c r="N485" t="str">
        <f>_xlfn.XLOOKUP(Jnl[[#This Row],[TrxId]], Trx[Id], Trx[IncNode], ,0)</f>
        <v>Expense</v>
      </c>
      <c r="O485" t="str">
        <f>_xlfn.XLOOKUP(Jnl[[#This Row],[IncNode]], config_IS[Node], config_IS[Type],,0)</f>
        <v>Op</v>
      </c>
      <c r="P485" t="str">
        <f>_xlfn.XLOOKUP(Jnl[[#This Row],[BSLv2]], dict[Key], dict[Name],,0)</f>
        <v>0.现金及类似</v>
      </c>
      <c r="Q485" t="str">
        <f>_xlfn.XLOOKUP(Jnl[[#This Row],[Acct]], dict[Key], dict[Name],,0)</f>
        <v>银行</v>
      </c>
      <c r="R485" t="str">
        <f>_xlfn.XLOOKUP(Jnl[[#This Row],[Vehicle]],config_vehicle[Id], config_vehicle[Name],,0)</f>
        <v>远家花园</v>
      </c>
      <c r="S485" t="str">
        <f>_xlfn.XLOOKUP(Jnl[[#This Row],[Division]],config_div[Id], config_div[Name],,0)</f>
        <v>网店</v>
      </c>
      <c r="T485" t="str">
        <f>IF(Jnl[[#This Row],[TrxDate]]&lt;=stmt_BS_date_end, "In", "Out")</f>
        <v>In</v>
      </c>
      <c r="U485" t="str">
        <f>IF(Jnl[[#This Row],[TrxDate]]&lt;debug_date_start, "prior", IF(Jnl[[#This Row],[TrxDate]]&gt;debug_date_end, "post", "curr"))</f>
        <v>prior</v>
      </c>
    </row>
    <row r="486" spans="1:21">
      <c r="A486" s="11" t="s">
        <v>692</v>
      </c>
      <c r="B486" s="7">
        <f>_xlfn.XLOOKUP(Jnl[[#This Row],[TrxId]], Trx[Id], Trx[Date],,0)</f>
        <v>46053</v>
      </c>
      <c r="C486" s="7" t="str">
        <f>_xlfn.XLOOKUP(Jnl[[#This Row],[TrxId]], Trx[Id], Trx[Division],,0)</f>
        <v>Online</v>
      </c>
      <c r="D486" s="7" t="str">
        <f>_xlfn.XLOOKUP(Jnl[[#This Row],[TrxId]], Trx[Id], Trx[Action],,0)</f>
        <v>设计</v>
      </c>
      <c r="E486" s="26" t="s">
        <v>80</v>
      </c>
      <c r="F486" s="11" t="s">
        <v>590</v>
      </c>
      <c r="G486" s="11" t="s">
        <v>391</v>
      </c>
      <c r="H486" s="72">
        <v>-342</v>
      </c>
      <c r="I486" s="5" t="b">
        <f>AND(Jnl[[#This Row],[TrxId]]&lt;&gt;"",Jnl[[#This Row],[Acct]]&lt;&gt;"",Jnl[[#This Row],[Item]]&lt;&gt;"",ISNUMBER(Jnl[[#This Row],[Bal]]))</f>
        <v>1</v>
      </c>
      <c r="J486" s="10">
        <f>IF(Jnl[[#This Row],[BSLv0]]="A",1,-1)*Jnl[[#This Row],[Bal]]</f>
        <v>-342</v>
      </c>
      <c r="K486" t="str">
        <f>_xlfn.XLOOKUP(Jnl[[#This Row],[Acct]], config_BS[Acct], config_BS[Lv0],,0)</f>
        <v>A</v>
      </c>
      <c r="L486" t="str">
        <f>_xlfn.XLOOKUP(Jnl[[#This Row],[Acct]], config_BS[Acct], config_BS[Lv1],,0)</f>
        <v>Assets</v>
      </c>
      <c r="M486" t="str">
        <f>_xlfn.XLOOKUP(Jnl[[#This Row],[Acct]], config_BS[Acct], config_BS[Lv2],,0)</f>
        <v>Cash alike</v>
      </c>
      <c r="N486" t="str">
        <f>_xlfn.XLOOKUP(Jnl[[#This Row],[TrxId]], Trx[Id], Trx[IncNode], ,0)</f>
        <v>Expense</v>
      </c>
      <c r="O486" t="str">
        <f>_xlfn.XLOOKUP(Jnl[[#This Row],[IncNode]], config_IS[Node], config_IS[Type],,0)</f>
        <v>Op</v>
      </c>
      <c r="P486" t="str">
        <f>_xlfn.XLOOKUP(Jnl[[#This Row],[BSLv2]], dict[Key], dict[Name],,0)</f>
        <v>0.现金及类似</v>
      </c>
      <c r="Q486" t="str">
        <f>_xlfn.XLOOKUP(Jnl[[#This Row],[Acct]], dict[Key], dict[Name],,0)</f>
        <v>银行</v>
      </c>
      <c r="R486" t="str">
        <f>_xlfn.XLOOKUP(Jnl[[#This Row],[Vehicle]],config_vehicle[Id], config_vehicle[Name],,0)</f>
        <v>远家花园</v>
      </c>
      <c r="S486" t="str">
        <f>_xlfn.XLOOKUP(Jnl[[#This Row],[Division]],config_div[Id], config_div[Name],,0)</f>
        <v>网店</v>
      </c>
      <c r="T486" t="str">
        <f>IF(Jnl[[#This Row],[TrxDate]]&lt;=stmt_BS_date_end, "In", "Out")</f>
        <v>In</v>
      </c>
      <c r="U486" t="str">
        <f>IF(Jnl[[#This Row],[TrxDate]]&lt;debug_date_start, "prior", IF(Jnl[[#This Row],[TrxDate]]&gt;debug_date_end, "post", "curr"))</f>
        <v>prior</v>
      </c>
    </row>
    <row r="487" spans="1:21">
      <c r="A487" s="11" t="s">
        <v>693</v>
      </c>
      <c r="B487" s="7">
        <f>_xlfn.XLOOKUP(Jnl[[#This Row],[TrxId]], Trx[Id], Trx[Date],,0)</f>
        <v>46053</v>
      </c>
      <c r="C487" s="7" t="str">
        <f>_xlfn.XLOOKUP(Jnl[[#This Row],[TrxId]], Trx[Id], Trx[Division],,0)</f>
        <v>Online</v>
      </c>
      <c r="D487" s="7" t="str">
        <f>_xlfn.XLOOKUP(Jnl[[#This Row],[TrxId]], Trx[Id], Trx[Action],,0)</f>
        <v>采购</v>
      </c>
      <c r="E487" s="26" t="s">
        <v>80</v>
      </c>
      <c r="F487" s="11" t="s">
        <v>590</v>
      </c>
      <c r="G487" s="11" t="s">
        <v>391</v>
      </c>
      <c r="H487" s="72">
        <v>-2079</v>
      </c>
      <c r="I487" s="5" t="b">
        <f>AND(Jnl[[#This Row],[TrxId]]&lt;&gt;"",Jnl[[#This Row],[Acct]]&lt;&gt;"",Jnl[[#This Row],[Item]]&lt;&gt;"",ISNUMBER(Jnl[[#This Row],[Bal]]))</f>
        <v>1</v>
      </c>
      <c r="J487" s="10">
        <f>IF(Jnl[[#This Row],[BSLv0]]="A",1,-1)*Jnl[[#This Row],[Bal]]</f>
        <v>-2079</v>
      </c>
      <c r="K487" t="str">
        <f>_xlfn.XLOOKUP(Jnl[[#This Row],[Acct]], config_BS[Acct], config_BS[Lv0],,0)</f>
        <v>A</v>
      </c>
      <c r="L487" t="str">
        <f>_xlfn.XLOOKUP(Jnl[[#This Row],[Acct]], config_BS[Acct], config_BS[Lv1],,0)</f>
        <v>Assets</v>
      </c>
      <c r="M487" t="str">
        <f>_xlfn.XLOOKUP(Jnl[[#This Row],[Acct]], config_BS[Acct], config_BS[Lv2],,0)</f>
        <v>Cash alike</v>
      </c>
      <c r="N487" t="str">
        <f>_xlfn.XLOOKUP(Jnl[[#This Row],[TrxId]], Trx[Id], Trx[IncNode], ,0)</f>
        <v>Cost</v>
      </c>
      <c r="O487" t="str">
        <f>_xlfn.XLOOKUP(Jnl[[#This Row],[IncNode]], config_IS[Node], config_IS[Type],,0)</f>
        <v>Op</v>
      </c>
      <c r="P487" t="str">
        <f>_xlfn.XLOOKUP(Jnl[[#This Row],[BSLv2]], dict[Key], dict[Name],,0)</f>
        <v>0.现金及类似</v>
      </c>
      <c r="Q487" t="str">
        <f>_xlfn.XLOOKUP(Jnl[[#This Row],[Acct]], dict[Key], dict[Name],,0)</f>
        <v>银行</v>
      </c>
      <c r="R487" t="str">
        <f>_xlfn.XLOOKUP(Jnl[[#This Row],[Vehicle]],config_vehicle[Id], config_vehicle[Name],,0)</f>
        <v>远家花园</v>
      </c>
      <c r="S487" t="str">
        <f>_xlfn.XLOOKUP(Jnl[[#This Row],[Division]],config_div[Id], config_div[Name],,0)</f>
        <v>网店</v>
      </c>
      <c r="T487" t="str">
        <f>IF(Jnl[[#This Row],[TrxDate]]&lt;=stmt_BS_date_end, "In", "Out")</f>
        <v>In</v>
      </c>
      <c r="U487" t="str">
        <f>IF(Jnl[[#This Row],[TrxDate]]&lt;debug_date_start, "prior", IF(Jnl[[#This Row],[TrxDate]]&gt;debug_date_end, "post", "curr"))</f>
        <v>prior</v>
      </c>
    </row>
    <row r="488" spans="1:21">
      <c r="A488" s="11" t="s">
        <v>693</v>
      </c>
      <c r="B488" s="7">
        <f>_xlfn.XLOOKUP(Jnl[[#This Row],[TrxId]], Trx[Id], Trx[Date],,0)</f>
        <v>46053</v>
      </c>
      <c r="C488" s="7" t="str">
        <f>_xlfn.XLOOKUP(Jnl[[#This Row],[TrxId]], Trx[Id], Trx[Division],,0)</f>
        <v>Online</v>
      </c>
      <c r="D488" s="7" t="str">
        <f>_xlfn.XLOOKUP(Jnl[[#This Row],[TrxId]], Trx[Id], Trx[Action],,0)</f>
        <v>采购</v>
      </c>
      <c r="E488" s="26" t="s">
        <v>80</v>
      </c>
      <c r="F488" s="11" t="s">
        <v>598</v>
      </c>
      <c r="G488" s="11" t="s">
        <v>151</v>
      </c>
      <c r="H488" s="72">
        <v>2079</v>
      </c>
      <c r="I488" s="5" t="b">
        <f>AND(Jnl[[#This Row],[TrxId]]&lt;&gt;"",Jnl[[#This Row],[Acct]]&lt;&gt;"",Jnl[[#This Row],[Item]]&lt;&gt;"",ISNUMBER(Jnl[[#This Row],[Bal]]))</f>
        <v>1</v>
      </c>
      <c r="J488" s="10">
        <f>IF(Jnl[[#This Row],[BSLv0]]="A",1,-1)*Jnl[[#This Row],[Bal]]</f>
        <v>2079</v>
      </c>
      <c r="K488" t="str">
        <f>_xlfn.XLOOKUP(Jnl[[#This Row],[Acct]], config_BS[Acct], config_BS[Lv0],,0)</f>
        <v>A</v>
      </c>
      <c r="L488" t="str">
        <f>_xlfn.XLOOKUP(Jnl[[#This Row],[Acct]], config_BS[Acct], config_BS[Lv1],,0)</f>
        <v>Assets</v>
      </c>
      <c r="M488" t="str">
        <f>_xlfn.XLOOKUP(Jnl[[#This Row],[Acct]], config_BS[Acct], config_BS[Lv2],,0)</f>
        <v>Invtr</v>
      </c>
      <c r="N488" t="str">
        <f>_xlfn.XLOOKUP(Jnl[[#This Row],[TrxId]], Trx[Id], Trx[IncNode], ,0)</f>
        <v>Cost</v>
      </c>
      <c r="O488" t="str">
        <f>_xlfn.XLOOKUP(Jnl[[#This Row],[IncNode]], config_IS[Node], config_IS[Type],,0)</f>
        <v>Op</v>
      </c>
      <c r="P488" t="str">
        <f>_xlfn.XLOOKUP(Jnl[[#This Row],[BSLv2]], dict[Key], dict[Name],,0)</f>
        <v>3.库存占款</v>
      </c>
      <c r="Q488" t="str">
        <f>_xlfn.XLOOKUP(Jnl[[#This Row],[Acct]], dict[Key], dict[Name],,0)</f>
        <v>当期存货</v>
      </c>
      <c r="R488" t="str">
        <f>_xlfn.XLOOKUP(Jnl[[#This Row],[Vehicle]],config_vehicle[Id], config_vehicle[Name],,0)</f>
        <v>远家花园</v>
      </c>
      <c r="S488" t="str">
        <f>_xlfn.XLOOKUP(Jnl[[#This Row],[Division]],config_div[Id], config_div[Name],,0)</f>
        <v>网店</v>
      </c>
      <c r="T488" t="str">
        <f>IF(Jnl[[#This Row],[TrxDate]]&lt;=stmt_BS_date_end, "In", "Out")</f>
        <v>In</v>
      </c>
      <c r="U488" t="str">
        <f>IF(Jnl[[#This Row],[TrxDate]]&lt;debug_date_start, "prior", IF(Jnl[[#This Row],[TrxDate]]&gt;debug_date_end, "post", "curr"))</f>
        <v>prior</v>
      </c>
    </row>
    <row r="489" spans="1:21">
      <c r="A489" s="11" t="s">
        <v>694</v>
      </c>
      <c r="B489" s="7">
        <f>_xlfn.XLOOKUP(Jnl[[#This Row],[TrxId]], Trx[Id], Trx[Date],,0)</f>
        <v>46053</v>
      </c>
      <c r="C489" s="7" t="str">
        <f>_xlfn.XLOOKUP(Jnl[[#This Row],[TrxId]], Trx[Id], Trx[Division],,0)</f>
        <v>Online</v>
      </c>
      <c r="D489" s="7" t="str">
        <f>_xlfn.XLOOKUP(Jnl[[#This Row],[TrxId]], Trx[Id], Trx[Action],,0)</f>
        <v>支付</v>
      </c>
      <c r="E489" s="26" t="s">
        <v>80</v>
      </c>
      <c r="F489" s="11" t="s">
        <v>493</v>
      </c>
      <c r="G489" s="11" t="s">
        <v>141</v>
      </c>
      <c r="H489" s="72">
        <v>2700</v>
      </c>
      <c r="I489" s="5" t="b">
        <f>AND(Jnl[[#This Row],[TrxId]]&lt;&gt;"",Jnl[[#This Row],[Acct]]&lt;&gt;"",Jnl[[#This Row],[Item]]&lt;&gt;"",ISNUMBER(Jnl[[#This Row],[Bal]]))</f>
        <v>1</v>
      </c>
      <c r="J489" s="10">
        <f>IF(Jnl[[#This Row],[BSLv0]]="A",1,-1)*Jnl[[#This Row],[Bal]]</f>
        <v>2700</v>
      </c>
      <c r="K489" t="str">
        <f>_xlfn.XLOOKUP(Jnl[[#This Row],[Acct]], config_BS[Acct], config_BS[Lv0],,0)</f>
        <v>A</v>
      </c>
      <c r="L489" t="str">
        <f>_xlfn.XLOOKUP(Jnl[[#This Row],[Acct]], config_BS[Acct], config_BS[Lv1],,0)</f>
        <v>Assets</v>
      </c>
      <c r="M489" t="str">
        <f>_xlfn.XLOOKUP(Jnl[[#This Row],[Acct]], config_BS[Acct], config_BS[Lv2],,0)</f>
        <v>Prep-Sub</v>
      </c>
      <c r="N489" t="str">
        <f>_xlfn.XLOOKUP(Jnl[[#This Row],[TrxId]], Trx[Id], Trx[IncNode], ,0)</f>
        <v>Expense</v>
      </c>
      <c r="O489" t="str">
        <f>_xlfn.XLOOKUP(Jnl[[#This Row],[IncNode]], config_IS[Node], config_IS[Type],,0)</f>
        <v>Op</v>
      </c>
      <c r="P489" t="str">
        <f>_xlfn.XLOOKUP(Jnl[[#This Row],[BSLv2]], dict[Key], dict[Name],,0)</f>
        <v>2.预付-订阅</v>
      </c>
      <c r="Q489" t="str">
        <f>_xlfn.XLOOKUP(Jnl[[#This Row],[Acct]], dict[Key], dict[Name],,0)</f>
        <v>预付订单</v>
      </c>
      <c r="R489" t="str">
        <f>_xlfn.XLOOKUP(Jnl[[#This Row],[Vehicle]],config_vehicle[Id], config_vehicle[Name],,0)</f>
        <v>远家花园</v>
      </c>
      <c r="S489" t="str">
        <f>_xlfn.XLOOKUP(Jnl[[#This Row],[Division]],config_div[Id], config_div[Name],,0)</f>
        <v>网店</v>
      </c>
      <c r="T489" t="str">
        <f>IF(Jnl[[#This Row],[TrxDate]]&lt;=stmt_BS_date_end, "In", "Out")</f>
        <v>In</v>
      </c>
      <c r="U489" t="str">
        <f>IF(Jnl[[#This Row],[TrxDate]]&lt;debug_date_start, "prior", IF(Jnl[[#This Row],[TrxDate]]&gt;debug_date_end, "post", "curr"))</f>
        <v>prior</v>
      </c>
    </row>
    <row r="490" spans="1:21">
      <c r="A490" s="11" t="s">
        <v>694</v>
      </c>
      <c r="B490" s="7">
        <f>_xlfn.XLOOKUP(Jnl[[#This Row],[TrxId]], Trx[Id], Trx[Date],,0)</f>
        <v>46053</v>
      </c>
      <c r="C490" s="7" t="str">
        <f>_xlfn.XLOOKUP(Jnl[[#This Row],[TrxId]], Trx[Id], Trx[Division],,0)</f>
        <v>Online</v>
      </c>
      <c r="D490" s="7" t="str">
        <f>_xlfn.XLOOKUP(Jnl[[#This Row],[TrxId]], Trx[Id], Trx[Action],,0)</f>
        <v>支付</v>
      </c>
      <c r="E490" s="26" t="s">
        <v>80</v>
      </c>
      <c r="F490" s="11" t="s">
        <v>590</v>
      </c>
      <c r="G490" s="11" t="s">
        <v>391</v>
      </c>
      <c r="H490" s="72">
        <v>-2700</v>
      </c>
      <c r="I490" s="5" t="b">
        <f>AND(Jnl[[#This Row],[TrxId]]&lt;&gt;"",Jnl[[#This Row],[Acct]]&lt;&gt;"",Jnl[[#This Row],[Item]]&lt;&gt;"",ISNUMBER(Jnl[[#This Row],[Bal]]))</f>
        <v>1</v>
      </c>
      <c r="J490" s="10">
        <f>IF(Jnl[[#This Row],[BSLv0]]="A",1,-1)*Jnl[[#This Row],[Bal]]</f>
        <v>-2700</v>
      </c>
      <c r="K490" t="str">
        <f>_xlfn.XLOOKUP(Jnl[[#This Row],[Acct]], config_BS[Acct], config_BS[Lv0],,0)</f>
        <v>A</v>
      </c>
      <c r="L490" t="str">
        <f>_xlfn.XLOOKUP(Jnl[[#This Row],[Acct]], config_BS[Acct], config_BS[Lv1],,0)</f>
        <v>Assets</v>
      </c>
      <c r="M490" t="str">
        <f>_xlfn.XLOOKUP(Jnl[[#This Row],[Acct]], config_BS[Acct], config_BS[Lv2],,0)</f>
        <v>Cash alike</v>
      </c>
      <c r="N490" t="str">
        <f>_xlfn.XLOOKUP(Jnl[[#This Row],[TrxId]], Trx[Id], Trx[IncNode], ,0)</f>
        <v>Expense</v>
      </c>
      <c r="O490" t="str">
        <f>_xlfn.XLOOKUP(Jnl[[#This Row],[IncNode]], config_IS[Node], config_IS[Type],,0)</f>
        <v>Op</v>
      </c>
      <c r="P490" t="str">
        <f>_xlfn.XLOOKUP(Jnl[[#This Row],[BSLv2]], dict[Key], dict[Name],,0)</f>
        <v>0.现金及类似</v>
      </c>
      <c r="Q490" t="str">
        <f>_xlfn.XLOOKUP(Jnl[[#This Row],[Acct]], dict[Key], dict[Name],,0)</f>
        <v>银行</v>
      </c>
      <c r="R490" t="str">
        <f>_xlfn.XLOOKUP(Jnl[[#This Row],[Vehicle]],config_vehicle[Id], config_vehicle[Name],,0)</f>
        <v>远家花园</v>
      </c>
      <c r="S490" t="str">
        <f>_xlfn.XLOOKUP(Jnl[[#This Row],[Division]],config_div[Id], config_div[Name],,0)</f>
        <v>网店</v>
      </c>
      <c r="T490" t="str">
        <f>IF(Jnl[[#This Row],[TrxDate]]&lt;=stmt_BS_date_end, "In", "Out")</f>
        <v>In</v>
      </c>
      <c r="U490" t="str">
        <f>IF(Jnl[[#This Row],[TrxDate]]&lt;debug_date_start, "prior", IF(Jnl[[#This Row],[TrxDate]]&gt;debug_date_end, "post", "curr"))</f>
        <v>prior</v>
      </c>
    </row>
    <row r="491" spans="1:21">
      <c r="A491" s="11" t="s">
        <v>696</v>
      </c>
      <c r="B491" s="7">
        <f>_xlfn.XLOOKUP(Jnl[[#This Row],[TrxId]], Trx[Id], Trx[Date],,0)</f>
        <v>46053</v>
      </c>
      <c r="C491" s="7" t="str">
        <f>_xlfn.XLOOKUP(Jnl[[#This Row],[TrxId]], Trx[Id], Trx[Division],,0)</f>
        <v>Online</v>
      </c>
      <c r="D491" s="7" t="str">
        <f>_xlfn.XLOOKUP(Jnl[[#This Row],[TrxId]], Trx[Id], Trx[Action],,0)</f>
        <v>采购</v>
      </c>
      <c r="E491" s="26" t="s">
        <v>80</v>
      </c>
      <c r="F491" s="11" t="s">
        <v>590</v>
      </c>
      <c r="G491" s="11" t="s">
        <v>391</v>
      </c>
      <c r="H491" s="72">
        <v>-6546</v>
      </c>
      <c r="I491" s="5" t="b">
        <f>AND(Jnl[[#This Row],[TrxId]]&lt;&gt;"",Jnl[[#This Row],[Acct]]&lt;&gt;"",Jnl[[#This Row],[Item]]&lt;&gt;"",ISNUMBER(Jnl[[#This Row],[Bal]]))</f>
        <v>1</v>
      </c>
      <c r="J491" s="10">
        <f>IF(Jnl[[#This Row],[BSLv0]]="A",1,-1)*Jnl[[#This Row],[Bal]]</f>
        <v>-6546</v>
      </c>
      <c r="K491" t="str">
        <f>_xlfn.XLOOKUP(Jnl[[#This Row],[Acct]], config_BS[Acct], config_BS[Lv0],,0)</f>
        <v>A</v>
      </c>
      <c r="L491" t="str">
        <f>_xlfn.XLOOKUP(Jnl[[#This Row],[Acct]], config_BS[Acct], config_BS[Lv1],,0)</f>
        <v>Assets</v>
      </c>
      <c r="M491" t="str">
        <f>_xlfn.XLOOKUP(Jnl[[#This Row],[Acct]], config_BS[Acct], config_BS[Lv2],,0)</f>
        <v>Cash alike</v>
      </c>
      <c r="N491" t="str">
        <f>_xlfn.XLOOKUP(Jnl[[#This Row],[TrxId]], Trx[Id], Trx[IncNode], ,0)</f>
        <v>Cost</v>
      </c>
      <c r="O491" t="str">
        <f>_xlfn.XLOOKUP(Jnl[[#This Row],[IncNode]], config_IS[Node], config_IS[Type],,0)</f>
        <v>Op</v>
      </c>
      <c r="P491" t="str">
        <f>_xlfn.XLOOKUP(Jnl[[#This Row],[BSLv2]], dict[Key], dict[Name],,0)</f>
        <v>0.现金及类似</v>
      </c>
      <c r="Q491" t="str">
        <f>_xlfn.XLOOKUP(Jnl[[#This Row],[Acct]], dict[Key], dict[Name],,0)</f>
        <v>银行</v>
      </c>
      <c r="R491" t="str">
        <f>_xlfn.XLOOKUP(Jnl[[#This Row],[Vehicle]],config_vehicle[Id], config_vehicle[Name],,0)</f>
        <v>远家花园</v>
      </c>
      <c r="S491" t="str">
        <f>_xlfn.XLOOKUP(Jnl[[#This Row],[Division]],config_div[Id], config_div[Name],,0)</f>
        <v>网店</v>
      </c>
      <c r="T491" t="str">
        <f>IF(Jnl[[#This Row],[TrxDate]]&lt;=stmt_BS_date_end, "In", "Out")</f>
        <v>In</v>
      </c>
      <c r="U491" t="str">
        <f>IF(Jnl[[#This Row],[TrxDate]]&lt;debug_date_start, "prior", IF(Jnl[[#This Row],[TrxDate]]&gt;debug_date_end, "post", "curr"))</f>
        <v>prior</v>
      </c>
    </row>
    <row r="492" spans="1:21">
      <c r="A492" s="11" t="s">
        <v>696</v>
      </c>
      <c r="B492" s="7">
        <f>_xlfn.XLOOKUP(Jnl[[#This Row],[TrxId]], Trx[Id], Trx[Date],,0)</f>
        <v>46053</v>
      </c>
      <c r="C492" s="7" t="str">
        <f>_xlfn.XLOOKUP(Jnl[[#This Row],[TrxId]], Trx[Id], Trx[Division],,0)</f>
        <v>Online</v>
      </c>
      <c r="D492" s="7" t="str">
        <f>_xlfn.XLOOKUP(Jnl[[#This Row],[TrxId]], Trx[Id], Trx[Action],,0)</f>
        <v>采购</v>
      </c>
      <c r="E492" s="26" t="s">
        <v>80</v>
      </c>
      <c r="F492" s="11" t="s">
        <v>598</v>
      </c>
      <c r="G492" s="11" t="s">
        <v>151</v>
      </c>
      <c r="H492" s="72">
        <v>6546</v>
      </c>
      <c r="I492" s="5" t="b">
        <f>AND(Jnl[[#This Row],[TrxId]]&lt;&gt;"",Jnl[[#This Row],[Acct]]&lt;&gt;"",Jnl[[#This Row],[Item]]&lt;&gt;"",ISNUMBER(Jnl[[#This Row],[Bal]]))</f>
        <v>1</v>
      </c>
      <c r="J492" s="10">
        <f>IF(Jnl[[#This Row],[BSLv0]]="A",1,-1)*Jnl[[#This Row],[Bal]]</f>
        <v>6546</v>
      </c>
      <c r="K492" t="str">
        <f>_xlfn.XLOOKUP(Jnl[[#This Row],[Acct]], config_BS[Acct], config_BS[Lv0],,0)</f>
        <v>A</v>
      </c>
      <c r="L492" t="str">
        <f>_xlfn.XLOOKUP(Jnl[[#This Row],[Acct]], config_BS[Acct], config_BS[Lv1],,0)</f>
        <v>Assets</v>
      </c>
      <c r="M492" t="str">
        <f>_xlfn.XLOOKUP(Jnl[[#This Row],[Acct]], config_BS[Acct], config_BS[Lv2],,0)</f>
        <v>Invtr</v>
      </c>
      <c r="N492" t="str">
        <f>_xlfn.XLOOKUP(Jnl[[#This Row],[TrxId]], Trx[Id], Trx[IncNode], ,0)</f>
        <v>Cost</v>
      </c>
      <c r="O492" t="str">
        <f>_xlfn.XLOOKUP(Jnl[[#This Row],[IncNode]], config_IS[Node], config_IS[Type],,0)</f>
        <v>Op</v>
      </c>
      <c r="P492" t="str">
        <f>_xlfn.XLOOKUP(Jnl[[#This Row],[BSLv2]], dict[Key], dict[Name],,0)</f>
        <v>3.库存占款</v>
      </c>
      <c r="Q492" t="str">
        <f>_xlfn.XLOOKUP(Jnl[[#This Row],[Acct]], dict[Key], dict[Name],,0)</f>
        <v>当期存货</v>
      </c>
      <c r="R492" t="str">
        <f>_xlfn.XLOOKUP(Jnl[[#This Row],[Vehicle]],config_vehicle[Id], config_vehicle[Name],,0)</f>
        <v>远家花园</v>
      </c>
      <c r="S492" t="str">
        <f>_xlfn.XLOOKUP(Jnl[[#This Row],[Division]],config_div[Id], config_div[Name],,0)</f>
        <v>网店</v>
      </c>
      <c r="T492" t="str">
        <f>IF(Jnl[[#This Row],[TrxDate]]&lt;=stmt_BS_date_end, "In", "Out")</f>
        <v>In</v>
      </c>
      <c r="U492" t="str">
        <f>IF(Jnl[[#This Row],[TrxDate]]&lt;debug_date_start, "prior", IF(Jnl[[#This Row],[TrxDate]]&gt;debug_date_end, "post", "curr"))</f>
        <v>prior</v>
      </c>
    </row>
    <row r="493" spans="1:21">
      <c r="A493" s="11" t="s">
        <v>697</v>
      </c>
      <c r="B493" s="7">
        <f>_xlfn.XLOOKUP(Jnl[[#This Row],[TrxId]], Trx[Id], Trx[Date],,0)</f>
        <v>46053</v>
      </c>
      <c r="C493" s="7" t="str">
        <f>_xlfn.XLOOKUP(Jnl[[#This Row],[TrxId]], Trx[Id], Trx[Division],,0)</f>
        <v>Online</v>
      </c>
      <c r="D493" s="7" t="str">
        <f>_xlfn.XLOOKUP(Jnl[[#This Row],[TrxId]], Trx[Id], Trx[Action],,0)</f>
        <v>设计</v>
      </c>
      <c r="E493" s="26" t="s">
        <v>80</v>
      </c>
      <c r="F493" s="11" t="s">
        <v>590</v>
      </c>
      <c r="G493" s="11" t="s">
        <v>391</v>
      </c>
      <c r="H493" s="72">
        <v>-160</v>
      </c>
      <c r="I493" s="5" t="b">
        <f>AND(Jnl[[#This Row],[TrxId]]&lt;&gt;"",Jnl[[#This Row],[Acct]]&lt;&gt;"",Jnl[[#This Row],[Item]]&lt;&gt;"",ISNUMBER(Jnl[[#This Row],[Bal]]))</f>
        <v>1</v>
      </c>
      <c r="J493" s="10">
        <f>IF(Jnl[[#This Row],[BSLv0]]="A",1,-1)*Jnl[[#This Row],[Bal]]</f>
        <v>-160</v>
      </c>
      <c r="K493" t="str">
        <f>_xlfn.XLOOKUP(Jnl[[#This Row],[Acct]], config_BS[Acct], config_BS[Lv0],,0)</f>
        <v>A</v>
      </c>
      <c r="L493" t="str">
        <f>_xlfn.XLOOKUP(Jnl[[#This Row],[Acct]], config_BS[Acct], config_BS[Lv1],,0)</f>
        <v>Assets</v>
      </c>
      <c r="M493" t="str">
        <f>_xlfn.XLOOKUP(Jnl[[#This Row],[Acct]], config_BS[Acct], config_BS[Lv2],,0)</f>
        <v>Cash alike</v>
      </c>
      <c r="N493" t="str">
        <f>_xlfn.XLOOKUP(Jnl[[#This Row],[TrxId]], Trx[Id], Trx[IncNode], ,0)</f>
        <v>Expense</v>
      </c>
      <c r="O493" t="str">
        <f>_xlfn.XLOOKUP(Jnl[[#This Row],[IncNode]], config_IS[Node], config_IS[Type],,0)</f>
        <v>Op</v>
      </c>
      <c r="P493" t="str">
        <f>_xlfn.XLOOKUP(Jnl[[#This Row],[BSLv2]], dict[Key], dict[Name],,0)</f>
        <v>0.现金及类似</v>
      </c>
      <c r="Q493" t="str">
        <f>_xlfn.XLOOKUP(Jnl[[#This Row],[Acct]], dict[Key], dict[Name],,0)</f>
        <v>银行</v>
      </c>
      <c r="R493" t="str">
        <f>_xlfn.XLOOKUP(Jnl[[#This Row],[Vehicle]],config_vehicle[Id], config_vehicle[Name],,0)</f>
        <v>远家花园</v>
      </c>
      <c r="S493" t="str">
        <f>_xlfn.XLOOKUP(Jnl[[#This Row],[Division]],config_div[Id], config_div[Name],,0)</f>
        <v>网店</v>
      </c>
      <c r="T493" t="str">
        <f>IF(Jnl[[#This Row],[TrxDate]]&lt;=stmt_BS_date_end, "In", "Out")</f>
        <v>In</v>
      </c>
      <c r="U493" t="str">
        <f>IF(Jnl[[#This Row],[TrxDate]]&lt;debug_date_start, "prior", IF(Jnl[[#This Row],[TrxDate]]&gt;debug_date_end, "post", "curr"))</f>
        <v>prior</v>
      </c>
    </row>
    <row r="494" spans="1:21">
      <c r="A494" s="11" t="s">
        <v>698</v>
      </c>
      <c r="B494" s="7">
        <f>_xlfn.XLOOKUP(Jnl[[#This Row],[TrxId]], Trx[Id], Trx[Date],,0)</f>
        <v>46053</v>
      </c>
      <c r="C494" s="7" t="str">
        <f>_xlfn.XLOOKUP(Jnl[[#This Row],[TrxId]], Trx[Id], Trx[Division],,0)</f>
        <v>Online</v>
      </c>
      <c r="D494" s="7" t="str">
        <f>_xlfn.XLOOKUP(Jnl[[#This Row],[TrxId]], Trx[Id], Trx[Action],,0)</f>
        <v>收款</v>
      </c>
      <c r="E494" s="26" t="s">
        <v>80</v>
      </c>
      <c r="F494" s="11" t="s">
        <v>590</v>
      </c>
      <c r="G494" s="11" t="s">
        <v>391</v>
      </c>
      <c r="H494" s="72">
        <v>289043.94</v>
      </c>
      <c r="I494" s="5" t="b">
        <f>AND(Jnl[[#This Row],[TrxId]]&lt;&gt;"",Jnl[[#This Row],[Acct]]&lt;&gt;"",Jnl[[#This Row],[Item]]&lt;&gt;"",ISNUMBER(Jnl[[#This Row],[Bal]]))</f>
        <v>1</v>
      </c>
      <c r="J494" s="10">
        <f>IF(Jnl[[#This Row],[BSLv0]]="A",1,-1)*Jnl[[#This Row],[Bal]]</f>
        <v>289043.94</v>
      </c>
      <c r="K494" t="str">
        <f>_xlfn.XLOOKUP(Jnl[[#This Row],[Acct]], config_BS[Acct], config_BS[Lv0],,0)</f>
        <v>A</v>
      </c>
      <c r="L494" t="str">
        <f>_xlfn.XLOOKUP(Jnl[[#This Row],[Acct]], config_BS[Acct], config_BS[Lv1],,0)</f>
        <v>Assets</v>
      </c>
      <c r="M494" t="str">
        <f>_xlfn.XLOOKUP(Jnl[[#This Row],[Acct]], config_BS[Acct], config_BS[Lv2],,0)</f>
        <v>Cash alike</v>
      </c>
      <c r="N494" t="str">
        <f>_xlfn.XLOOKUP(Jnl[[#This Row],[TrxId]], Trx[Id], Trx[IncNode], ,0)</f>
        <v>Revenue</v>
      </c>
      <c r="O494" t="str">
        <f>_xlfn.XLOOKUP(Jnl[[#This Row],[IncNode]], config_IS[Node], config_IS[Type],,0)</f>
        <v>Op</v>
      </c>
      <c r="P494" t="str">
        <f>_xlfn.XLOOKUP(Jnl[[#This Row],[BSLv2]], dict[Key], dict[Name],,0)</f>
        <v>0.现金及类似</v>
      </c>
      <c r="Q494" t="str">
        <f>_xlfn.XLOOKUP(Jnl[[#This Row],[Acct]], dict[Key], dict[Name],,0)</f>
        <v>银行</v>
      </c>
      <c r="R494" t="str">
        <f>_xlfn.XLOOKUP(Jnl[[#This Row],[Vehicle]],config_vehicle[Id], config_vehicle[Name],,0)</f>
        <v>远家花园</v>
      </c>
      <c r="S494" t="str">
        <f>_xlfn.XLOOKUP(Jnl[[#This Row],[Division]],config_div[Id], config_div[Name],,0)</f>
        <v>网店</v>
      </c>
      <c r="T494" t="str">
        <f>IF(Jnl[[#This Row],[TrxDate]]&lt;=stmt_BS_date_end, "In", "Out")</f>
        <v>In</v>
      </c>
      <c r="U494" t="str">
        <f>IF(Jnl[[#This Row],[TrxDate]]&lt;debug_date_start, "prior", IF(Jnl[[#This Row],[TrxDate]]&gt;debug_date_end, "post", "curr"))</f>
        <v>prior</v>
      </c>
    </row>
    <row r="495" spans="1:21">
      <c r="A495" s="11" t="s">
        <v>698</v>
      </c>
      <c r="B495" s="7">
        <f>_xlfn.XLOOKUP(Jnl[[#This Row],[TrxId]], Trx[Id], Trx[Date],,0)</f>
        <v>46053</v>
      </c>
      <c r="C495" s="7" t="str">
        <f>_xlfn.XLOOKUP(Jnl[[#This Row],[TrxId]], Trx[Id], Trx[Division],,0)</f>
        <v>Online</v>
      </c>
      <c r="D495" s="7" t="str">
        <f>_xlfn.XLOOKUP(Jnl[[#This Row],[TrxId]], Trx[Id], Trx[Action],,0)</f>
        <v>收款</v>
      </c>
      <c r="E495" s="26" t="s">
        <v>80</v>
      </c>
      <c r="F495" s="11" t="s">
        <v>593</v>
      </c>
      <c r="G495" s="11" t="s">
        <v>594</v>
      </c>
      <c r="H495" s="72">
        <f>-H494</f>
        <v>-289043.94</v>
      </c>
      <c r="I495" s="5" t="b">
        <f>AND(Jnl[[#This Row],[TrxId]]&lt;&gt;"",Jnl[[#This Row],[Acct]]&lt;&gt;"",Jnl[[#This Row],[Item]]&lt;&gt;"",ISNUMBER(Jnl[[#This Row],[Bal]]))</f>
        <v>1</v>
      </c>
      <c r="J495" s="10">
        <f>IF(Jnl[[#This Row],[BSLv0]]="A",1,-1)*Jnl[[#This Row],[Bal]]</f>
        <v>-289043.94</v>
      </c>
      <c r="K495" t="str">
        <f>_xlfn.XLOOKUP(Jnl[[#This Row],[Acct]], config_BS[Acct], config_BS[Lv0],,0)</f>
        <v>A</v>
      </c>
      <c r="L495" t="str">
        <f>_xlfn.XLOOKUP(Jnl[[#This Row],[Acct]], config_BS[Acct], config_BS[Lv1],,0)</f>
        <v>Assets</v>
      </c>
      <c r="M495" t="str">
        <f>_xlfn.XLOOKUP(Jnl[[#This Row],[Acct]], config_BS[Acct], config_BS[Lv2],,0)</f>
        <v>Rec-Pay</v>
      </c>
      <c r="N495" t="str">
        <f>_xlfn.XLOOKUP(Jnl[[#This Row],[TrxId]], Trx[Id], Trx[IncNode], ,0)</f>
        <v>Revenue</v>
      </c>
      <c r="O495" t="str">
        <f>_xlfn.XLOOKUP(Jnl[[#This Row],[IncNode]], config_IS[Node], config_IS[Type],,0)</f>
        <v>Op</v>
      </c>
      <c r="P495" t="str">
        <f>_xlfn.XLOOKUP(Jnl[[#This Row],[BSLv2]], dict[Key], dict[Name],,0)</f>
        <v>1.应收-应付</v>
      </c>
      <c r="Q495" t="str">
        <f>_xlfn.XLOOKUP(Jnl[[#This Row],[Acct]], dict[Key], dict[Name],,0)</f>
        <v>应收-一般</v>
      </c>
      <c r="R495" t="str">
        <f>_xlfn.XLOOKUP(Jnl[[#This Row],[Vehicle]],config_vehicle[Id], config_vehicle[Name],,0)</f>
        <v>远家花园</v>
      </c>
      <c r="S495" t="str">
        <f>_xlfn.XLOOKUP(Jnl[[#This Row],[Division]],config_div[Id], config_div[Name],,0)</f>
        <v>网店</v>
      </c>
      <c r="T495" t="str">
        <f>IF(Jnl[[#This Row],[TrxDate]]&lt;=stmt_BS_date_end, "In", "Out")</f>
        <v>In</v>
      </c>
      <c r="U495" t="str">
        <f>IF(Jnl[[#This Row],[TrxDate]]&lt;debug_date_start, "prior", IF(Jnl[[#This Row],[TrxDate]]&gt;debug_date_end, "post", "curr"))</f>
        <v>prior</v>
      </c>
    </row>
    <row r="496" spans="1:21">
      <c r="A496" s="11" t="s">
        <v>700</v>
      </c>
      <c r="B496" s="7">
        <f>_xlfn.XLOOKUP(Jnl[[#This Row],[TrxId]], Trx[Id], Trx[Date],,0)</f>
        <v>46053</v>
      </c>
      <c r="C496" s="7" t="str">
        <f>_xlfn.XLOOKUP(Jnl[[#This Row],[TrxId]], Trx[Id], Trx[Division],,0)</f>
        <v>Online</v>
      </c>
      <c r="D496" s="7" t="str">
        <f>_xlfn.XLOOKUP(Jnl[[#This Row],[TrxId]], Trx[Id], Trx[Action],,0)</f>
        <v>物流</v>
      </c>
      <c r="E496" s="26" t="s">
        <v>80</v>
      </c>
      <c r="F496" s="11" t="s">
        <v>590</v>
      </c>
      <c r="G496" s="11" t="s">
        <v>391</v>
      </c>
      <c r="H496" s="72">
        <v>-36.4</v>
      </c>
      <c r="I496" s="5" t="b">
        <f>AND(Jnl[[#This Row],[TrxId]]&lt;&gt;"",Jnl[[#This Row],[Acct]]&lt;&gt;"",Jnl[[#This Row],[Item]]&lt;&gt;"",ISNUMBER(Jnl[[#This Row],[Bal]]))</f>
        <v>1</v>
      </c>
      <c r="J496" s="10">
        <f>IF(Jnl[[#This Row],[BSLv0]]="A",1,-1)*Jnl[[#This Row],[Bal]]</f>
        <v>-36.4</v>
      </c>
      <c r="K496" t="str">
        <f>_xlfn.XLOOKUP(Jnl[[#This Row],[Acct]], config_BS[Acct], config_BS[Lv0],,0)</f>
        <v>A</v>
      </c>
      <c r="L496" t="str">
        <f>_xlfn.XLOOKUP(Jnl[[#This Row],[Acct]], config_BS[Acct], config_BS[Lv1],,0)</f>
        <v>Assets</v>
      </c>
      <c r="M496" t="str">
        <f>_xlfn.XLOOKUP(Jnl[[#This Row],[Acct]], config_BS[Acct], config_BS[Lv2],,0)</f>
        <v>Cash alike</v>
      </c>
      <c r="N496" t="str">
        <f>_xlfn.XLOOKUP(Jnl[[#This Row],[TrxId]], Trx[Id], Trx[IncNode], ,0)</f>
        <v>Expense</v>
      </c>
      <c r="O496" t="str">
        <f>_xlfn.XLOOKUP(Jnl[[#This Row],[IncNode]], config_IS[Node], config_IS[Type],,0)</f>
        <v>Op</v>
      </c>
      <c r="P496" t="str">
        <f>_xlfn.XLOOKUP(Jnl[[#This Row],[BSLv2]], dict[Key], dict[Name],,0)</f>
        <v>0.现金及类似</v>
      </c>
      <c r="Q496" t="str">
        <f>_xlfn.XLOOKUP(Jnl[[#This Row],[Acct]], dict[Key], dict[Name],,0)</f>
        <v>银行</v>
      </c>
      <c r="R496" t="str">
        <f>_xlfn.XLOOKUP(Jnl[[#This Row],[Vehicle]],config_vehicle[Id], config_vehicle[Name],,0)</f>
        <v>远家花园</v>
      </c>
      <c r="S496" t="str">
        <f>_xlfn.XLOOKUP(Jnl[[#This Row],[Division]],config_div[Id], config_div[Name],,0)</f>
        <v>网店</v>
      </c>
      <c r="T496" t="str">
        <f>IF(Jnl[[#This Row],[TrxDate]]&lt;=stmt_BS_date_end, "In", "Out")</f>
        <v>In</v>
      </c>
      <c r="U496" t="str">
        <f>IF(Jnl[[#This Row],[TrxDate]]&lt;debug_date_start, "prior", IF(Jnl[[#This Row],[TrxDate]]&gt;debug_date_end, "post", "curr"))</f>
        <v>prior</v>
      </c>
    </row>
    <row r="497" spans="1:21">
      <c r="A497" s="11" t="s">
        <v>701</v>
      </c>
      <c r="B497" s="7">
        <f>_xlfn.XLOOKUP(Jnl[[#This Row],[TrxId]], Trx[Id], Trx[Date],,0)</f>
        <v>46053</v>
      </c>
      <c r="C497" s="7" t="str">
        <f>_xlfn.XLOOKUP(Jnl[[#This Row],[TrxId]], Trx[Id], Trx[Division],,0)</f>
        <v>GM</v>
      </c>
      <c r="D497" s="7" t="str">
        <f>_xlfn.XLOOKUP(Jnl[[#This Row],[TrxId]], Trx[Id], Trx[Action],,0)</f>
        <v>薪酬-工资</v>
      </c>
      <c r="E497" s="26" t="s">
        <v>80</v>
      </c>
      <c r="F497" s="11" t="s">
        <v>590</v>
      </c>
      <c r="G497" s="11" t="s">
        <v>391</v>
      </c>
      <c r="H497" s="72">
        <f>-15000</f>
        <v>-15000</v>
      </c>
      <c r="I497" s="5" t="b">
        <f>AND(Jnl[[#This Row],[TrxId]]&lt;&gt;"",Jnl[[#This Row],[Acct]]&lt;&gt;"",Jnl[[#This Row],[Item]]&lt;&gt;"",ISNUMBER(Jnl[[#This Row],[Bal]]))</f>
        <v>1</v>
      </c>
      <c r="J497" s="10">
        <f>IF(Jnl[[#This Row],[BSLv0]]="A",1,-1)*Jnl[[#This Row],[Bal]]</f>
        <v>-15000</v>
      </c>
      <c r="K497" t="str">
        <f>_xlfn.XLOOKUP(Jnl[[#This Row],[Acct]], config_BS[Acct], config_BS[Lv0],,0)</f>
        <v>A</v>
      </c>
      <c r="L497" t="str">
        <f>_xlfn.XLOOKUP(Jnl[[#This Row],[Acct]], config_BS[Acct], config_BS[Lv1],,0)</f>
        <v>Assets</v>
      </c>
      <c r="M497" t="str">
        <f>_xlfn.XLOOKUP(Jnl[[#This Row],[Acct]], config_BS[Acct], config_BS[Lv2],,0)</f>
        <v>Cash alike</v>
      </c>
      <c r="N497" t="str">
        <f>_xlfn.XLOOKUP(Jnl[[#This Row],[TrxId]], Trx[Id], Trx[IncNode], ,0)</f>
        <v>Expense</v>
      </c>
      <c r="O497" t="str">
        <f>_xlfn.XLOOKUP(Jnl[[#This Row],[IncNode]], config_IS[Node], config_IS[Type],,0)</f>
        <v>Op</v>
      </c>
      <c r="P497" t="str">
        <f>_xlfn.XLOOKUP(Jnl[[#This Row],[BSLv2]], dict[Key], dict[Name],,0)</f>
        <v>0.现金及类似</v>
      </c>
      <c r="Q497" t="str">
        <f>_xlfn.XLOOKUP(Jnl[[#This Row],[Acct]], dict[Key], dict[Name],,0)</f>
        <v>银行</v>
      </c>
      <c r="R497" t="str">
        <f>_xlfn.XLOOKUP(Jnl[[#This Row],[Vehicle]],config_vehicle[Id], config_vehicle[Name],,0)</f>
        <v>远家花园</v>
      </c>
      <c r="S497" t="str">
        <f>_xlfn.XLOOKUP(Jnl[[#This Row],[Division]],config_div[Id], config_div[Name],,0)</f>
        <v>综合管理</v>
      </c>
      <c r="T497" t="str">
        <f>IF(Jnl[[#This Row],[TrxDate]]&lt;=stmt_BS_date_end, "In", "Out")</f>
        <v>In</v>
      </c>
      <c r="U497" t="str">
        <f>IF(Jnl[[#This Row],[TrxDate]]&lt;debug_date_start, "prior", IF(Jnl[[#This Row],[TrxDate]]&gt;debug_date_end, "post", "curr"))</f>
        <v>prior</v>
      </c>
    </row>
    <row r="498" spans="1:21">
      <c r="A498" s="11" t="s">
        <v>703</v>
      </c>
      <c r="B498" s="7">
        <f>_xlfn.XLOOKUP(Jnl[[#This Row],[TrxId]], Trx[Id], Trx[Date],,0)</f>
        <v>46053</v>
      </c>
      <c r="C498" s="7" t="str">
        <f>_xlfn.XLOOKUP(Jnl[[#This Row],[TrxId]], Trx[Id], Trx[Division],,0)</f>
        <v>GM</v>
      </c>
      <c r="D498" s="7" t="str">
        <f>_xlfn.XLOOKUP(Jnl[[#This Row],[TrxId]], Trx[Id], Trx[Action],,0)</f>
        <v>交通</v>
      </c>
      <c r="E498" s="26" t="s">
        <v>80</v>
      </c>
      <c r="F498" s="11" t="s">
        <v>590</v>
      </c>
      <c r="G498" s="11" t="s">
        <v>391</v>
      </c>
      <c r="H498" s="72">
        <v>-370</v>
      </c>
      <c r="I498" s="5" t="b">
        <f>AND(Jnl[[#This Row],[TrxId]]&lt;&gt;"",Jnl[[#This Row],[Acct]]&lt;&gt;"",Jnl[[#This Row],[Item]]&lt;&gt;"",ISNUMBER(Jnl[[#This Row],[Bal]]))</f>
        <v>1</v>
      </c>
      <c r="J498" s="10">
        <f>IF(Jnl[[#This Row],[BSLv0]]="A",1,-1)*Jnl[[#This Row],[Bal]]</f>
        <v>-370</v>
      </c>
      <c r="K498" t="str">
        <f>_xlfn.XLOOKUP(Jnl[[#This Row],[Acct]], config_BS[Acct], config_BS[Lv0],,0)</f>
        <v>A</v>
      </c>
      <c r="L498" t="str">
        <f>_xlfn.XLOOKUP(Jnl[[#This Row],[Acct]], config_BS[Acct], config_BS[Lv1],,0)</f>
        <v>Assets</v>
      </c>
      <c r="M498" t="str">
        <f>_xlfn.XLOOKUP(Jnl[[#This Row],[Acct]], config_BS[Acct], config_BS[Lv2],,0)</f>
        <v>Cash alike</v>
      </c>
      <c r="N498" t="str">
        <f>_xlfn.XLOOKUP(Jnl[[#This Row],[TrxId]], Trx[Id], Trx[IncNode], ,0)</f>
        <v>Expense</v>
      </c>
      <c r="O498" t="str">
        <f>_xlfn.XLOOKUP(Jnl[[#This Row],[IncNode]], config_IS[Node], config_IS[Type],,0)</f>
        <v>Op</v>
      </c>
      <c r="P498" t="str">
        <f>_xlfn.XLOOKUP(Jnl[[#This Row],[BSLv2]], dict[Key], dict[Name],,0)</f>
        <v>0.现金及类似</v>
      </c>
      <c r="Q498" t="str">
        <f>_xlfn.XLOOKUP(Jnl[[#This Row],[Acct]], dict[Key], dict[Name],,0)</f>
        <v>银行</v>
      </c>
      <c r="R498" t="str">
        <f>_xlfn.XLOOKUP(Jnl[[#This Row],[Vehicle]],config_vehicle[Id], config_vehicle[Name],,0)</f>
        <v>远家花园</v>
      </c>
      <c r="S498" t="str">
        <f>_xlfn.XLOOKUP(Jnl[[#This Row],[Division]],config_div[Id], config_div[Name],,0)</f>
        <v>综合管理</v>
      </c>
      <c r="T498" t="str">
        <f>IF(Jnl[[#This Row],[TrxDate]]&lt;=stmt_BS_date_end, "In", "Out")</f>
        <v>In</v>
      </c>
      <c r="U498" t="str">
        <f>IF(Jnl[[#This Row],[TrxDate]]&lt;debug_date_start, "prior", IF(Jnl[[#This Row],[TrxDate]]&gt;debug_date_end, "post", "curr"))</f>
        <v>prior</v>
      </c>
    </row>
    <row r="499" spans="1:21">
      <c r="A499" s="11" t="s">
        <v>705</v>
      </c>
      <c r="B499" s="7">
        <f>_xlfn.XLOOKUP(Jnl[[#This Row],[TrxId]], Trx[Id], Trx[Date],,0)</f>
        <v>46053</v>
      </c>
      <c r="C499" s="7" t="str">
        <f>_xlfn.XLOOKUP(Jnl[[#This Row],[TrxId]], Trx[Id], Trx[Division],,0)</f>
        <v>Online</v>
      </c>
      <c r="D499" s="7" t="str">
        <f>_xlfn.XLOOKUP(Jnl[[#This Row],[TrxId]], Trx[Id], Trx[Action],,0)</f>
        <v>采购</v>
      </c>
      <c r="E499" s="26" t="s">
        <v>80</v>
      </c>
      <c r="F499" s="11" t="s">
        <v>598</v>
      </c>
      <c r="G499" s="11" t="s">
        <v>151</v>
      </c>
      <c r="H499" s="72">
        <f>-H500</f>
        <v>17226</v>
      </c>
      <c r="I499" s="5" t="b">
        <f>AND(Jnl[[#This Row],[TrxId]]&lt;&gt;"",Jnl[[#This Row],[Acct]]&lt;&gt;"",Jnl[[#This Row],[Item]]&lt;&gt;"",ISNUMBER(Jnl[[#This Row],[Bal]]))</f>
        <v>1</v>
      </c>
      <c r="J499" s="10">
        <f>IF(Jnl[[#This Row],[BSLv0]]="A",1,-1)*Jnl[[#This Row],[Bal]]</f>
        <v>17226</v>
      </c>
      <c r="K499" t="str">
        <f>_xlfn.XLOOKUP(Jnl[[#This Row],[Acct]], config_BS[Acct], config_BS[Lv0],,0)</f>
        <v>A</v>
      </c>
      <c r="L499" t="str">
        <f>_xlfn.XLOOKUP(Jnl[[#This Row],[Acct]], config_BS[Acct], config_BS[Lv1],,0)</f>
        <v>Assets</v>
      </c>
      <c r="M499" t="str">
        <f>_xlfn.XLOOKUP(Jnl[[#This Row],[Acct]], config_BS[Acct], config_BS[Lv2],,0)</f>
        <v>Invtr</v>
      </c>
      <c r="N499" t="str">
        <f>_xlfn.XLOOKUP(Jnl[[#This Row],[TrxId]], Trx[Id], Trx[IncNode], ,0)</f>
        <v>Cost</v>
      </c>
      <c r="O499" t="str">
        <f>_xlfn.XLOOKUP(Jnl[[#This Row],[IncNode]], config_IS[Node], config_IS[Type],,0)</f>
        <v>Op</v>
      </c>
      <c r="P499" t="str">
        <f>_xlfn.XLOOKUP(Jnl[[#This Row],[BSLv2]], dict[Key], dict[Name],,0)</f>
        <v>3.库存占款</v>
      </c>
      <c r="Q499" t="str">
        <f>_xlfn.XLOOKUP(Jnl[[#This Row],[Acct]], dict[Key], dict[Name],,0)</f>
        <v>当期存货</v>
      </c>
      <c r="R499" t="str">
        <f>_xlfn.XLOOKUP(Jnl[[#This Row],[Vehicle]],config_vehicle[Id], config_vehicle[Name],,0)</f>
        <v>远家花园</v>
      </c>
      <c r="S499" t="str">
        <f>_xlfn.XLOOKUP(Jnl[[#This Row],[Division]],config_div[Id], config_div[Name],,0)</f>
        <v>网店</v>
      </c>
      <c r="T499" t="str">
        <f>IF(Jnl[[#This Row],[TrxDate]]&lt;=stmt_BS_date_end, "In", "Out")</f>
        <v>In</v>
      </c>
      <c r="U499" t="str">
        <f>IF(Jnl[[#This Row],[TrxDate]]&lt;debug_date_start, "prior", IF(Jnl[[#This Row],[TrxDate]]&gt;debug_date_end, "post", "curr"))</f>
        <v>prior</v>
      </c>
    </row>
    <row r="500" spans="1:21">
      <c r="A500" s="11" t="s">
        <v>705</v>
      </c>
      <c r="B500" s="7">
        <f>_xlfn.XLOOKUP(Jnl[[#This Row],[TrxId]], Trx[Id], Trx[Date],,0)</f>
        <v>46053</v>
      </c>
      <c r="C500" s="7" t="str">
        <f>_xlfn.XLOOKUP(Jnl[[#This Row],[TrxId]], Trx[Id], Trx[Division],,0)</f>
        <v>Online</v>
      </c>
      <c r="D500" s="7" t="str">
        <f>_xlfn.XLOOKUP(Jnl[[#This Row],[TrxId]], Trx[Id], Trx[Action],,0)</f>
        <v>采购</v>
      </c>
      <c r="E500" s="26" t="s">
        <v>80</v>
      </c>
      <c r="F500" s="11" t="s">
        <v>590</v>
      </c>
      <c r="G500" s="11" t="s">
        <v>391</v>
      </c>
      <c r="H500" s="72">
        <v>-17226</v>
      </c>
      <c r="I500" s="5" t="b">
        <f>AND(Jnl[[#This Row],[TrxId]]&lt;&gt;"",Jnl[[#This Row],[Acct]]&lt;&gt;"",Jnl[[#This Row],[Item]]&lt;&gt;"",ISNUMBER(Jnl[[#This Row],[Bal]]))</f>
        <v>1</v>
      </c>
      <c r="J500" s="10">
        <f>IF(Jnl[[#This Row],[BSLv0]]="A",1,-1)*Jnl[[#This Row],[Bal]]</f>
        <v>-17226</v>
      </c>
      <c r="K500" t="str">
        <f>_xlfn.XLOOKUP(Jnl[[#This Row],[Acct]], config_BS[Acct], config_BS[Lv0],,0)</f>
        <v>A</v>
      </c>
      <c r="L500" t="str">
        <f>_xlfn.XLOOKUP(Jnl[[#This Row],[Acct]], config_BS[Acct], config_BS[Lv1],,0)</f>
        <v>Assets</v>
      </c>
      <c r="M500" t="str">
        <f>_xlfn.XLOOKUP(Jnl[[#This Row],[Acct]], config_BS[Acct], config_BS[Lv2],,0)</f>
        <v>Cash alike</v>
      </c>
      <c r="N500" t="str">
        <f>_xlfn.XLOOKUP(Jnl[[#This Row],[TrxId]], Trx[Id], Trx[IncNode], ,0)</f>
        <v>Cost</v>
      </c>
      <c r="O500" t="str">
        <f>_xlfn.XLOOKUP(Jnl[[#This Row],[IncNode]], config_IS[Node], config_IS[Type],,0)</f>
        <v>Op</v>
      </c>
      <c r="P500" t="str">
        <f>_xlfn.XLOOKUP(Jnl[[#This Row],[BSLv2]], dict[Key], dict[Name],,0)</f>
        <v>0.现金及类似</v>
      </c>
      <c r="Q500" t="str">
        <f>_xlfn.XLOOKUP(Jnl[[#This Row],[Acct]], dict[Key], dict[Name],,0)</f>
        <v>银行</v>
      </c>
      <c r="R500" t="str">
        <f>_xlfn.XLOOKUP(Jnl[[#This Row],[Vehicle]],config_vehicle[Id], config_vehicle[Name],,0)</f>
        <v>远家花园</v>
      </c>
      <c r="S500" t="str">
        <f>_xlfn.XLOOKUP(Jnl[[#This Row],[Division]],config_div[Id], config_div[Name],,0)</f>
        <v>网店</v>
      </c>
      <c r="T500" t="str">
        <f>IF(Jnl[[#This Row],[TrxDate]]&lt;=stmt_BS_date_end, "In", "Out")</f>
        <v>In</v>
      </c>
      <c r="U500" t="str">
        <f>IF(Jnl[[#This Row],[TrxDate]]&lt;debug_date_start, "prior", IF(Jnl[[#This Row],[TrxDate]]&gt;debug_date_end, "post", "curr"))</f>
        <v>prior</v>
      </c>
    </row>
    <row r="501" spans="1:21">
      <c r="A501" s="11" t="s">
        <v>706</v>
      </c>
      <c r="B501" s="7">
        <f>_xlfn.XLOOKUP(Jnl[[#This Row],[TrxId]], Trx[Id], Trx[Date],,0)</f>
        <v>46053</v>
      </c>
      <c r="C501" s="7" t="str">
        <f>_xlfn.XLOOKUP(Jnl[[#This Row],[TrxId]], Trx[Id], Trx[Division],,0)</f>
        <v>Online</v>
      </c>
      <c r="D501" s="7" t="str">
        <f>_xlfn.XLOOKUP(Jnl[[#This Row],[TrxId]], Trx[Id], Trx[Action],,0)</f>
        <v>采购</v>
      </c>
      <c r="E501" s="26" t="s">
        <v>80</v>
      </c>
      <c r="F501" s="11" t="s">
        <v>598</v>
      </c>
      <c r="G501" s="11" t="s">
        <v>151</v>
      </c>
      <c r="H501" s="72">
        <f>-H502</f>
        <v>4387</v>
      </c>
      <c r="I501" s="5" t="b">
        <f>AND(Jnl[[#This Row],[TrxId]]&lt;&gt;"",Jnl[[#This Row],[Acct]]&lt;&gt;"",Jnl[[#This Row],[Item]]&lt;&gt;"",ISNUMBER(Jnl[[#This Row],[Bal]]))</f>
        <v>1</v>
      </c>
      <c r="J501" s="10">
        <f>IF(Jnl[[#This Row],[BSLv0]]="A",1,-1)*Jnl[[#This Row],[Bal]]</f>
        <v>4387</v>
      </c>
      <c r="K501" t="str">
        <f>_xlfn.XLOOKUP(Jnl[[#This Row],[Acct]], config_BS[Acct], config_BS[Lv0],,0)</f>
        <v>A</v>
      </c>
      <c r="L501" t="str">
        <f>_xlfn.XLOOKUP(Jnl[[#This Row],[Acct]], config_BS[Acct], config_BS[Lv1],,0)</f>
        <v>Assets</v>
      </c>
      <c r="M501" t="str">
        <f>_xlfn.XLOOKUP(Jnl[[#This Row],[Acct]], config_BS[Acct], config_BS[Lv2],,0)</f>
        <v>Invtr</v>
      </c>
      <c r="N501" t="str">
        <f>_xlfn.XLOOKUP(Jnl[[#This Row],[TrxId]], Trx[Id], Trx[IncNode], ,0)</f>
        <v>Cost</v>
      </c>
      <c r="O501" t="str">
        <f>_xlfn.XLOOKUP(Jnl[[#This Row],[IncNode]], config_IS[Node], config_IS[Type],,0)</f>
        <v>Op</v>
      </c>
      <c r="P501" t="str">
        <f>_xlfn.XLOOKUP(Jnl[[#This Row],[BSLv2]], dict[Key], dict[Name],,0)</f>
        <v>3.库存占款</v>
      </c>
      <c r="Q501" t="str">
        <f>_xlfn.XLOOKUP(Jnl[[#This Row],[Acct]], dict[Key], dict[Name],,0)</f>
        <v>当期存货</v>
      </c>
      <c r="R501" t="str">
        <f>_xlfn.XLOOKUP(Jnl[[#This Row],[Vehicle]],config_vehicle[Id], config_vehicle[Name],,0)</f>
        <v>远家花园</v>
      </c>
      <c r="S501" t="str">
        <f>_xlfn.XLOOKUP(Jnl[[#This Row],[Division]],config_div[Id], config_div[Name],,0)</f>
        <v>网店</v>
      </c>
      <c r="T501" t="str">
        <f>IF(Jnl[[#This Row],[TrxDate]]&lt;=stmt_BS_date_end, "In", "Out")</f>
        <v>In</v>
      </c>
      <c r="U501" t="str">
        <f>IF(Jnl[[#This Row],[TrxDate]]&lt;debug_date_start, "prior", IF(Jnl[[#This Row],[TrxDate]]&gt;debug_date_end, "post", "curr"))</f>
        <v>prior</v>
      </c>
    </row>
    <row r="502" spans="1:21">
      <c r="A502" s="11" t="s">
        <v>706</v>
      </c>
      <c r="B502" s="7">
        <f>_xlfn.XLOOKUP(Jnl[[#This Row],[TrxId]], Trx[Id], Trx[Date],,0)</f>
        <v>46053</v>
      </c>
      <c r="C502" s="7" t="str">
        <f>_xlfn.XLOOKUP(Jnl[[#This Row],[TrxId]], Trx[Id], Trx[Division],,0)</f>
        <v>Online</v>
      </c>
      <c r="D502" s="7" t="str">
        <f>_xlfn.XLOOKUP(Jnl[[#This Row],[TrxId]], Trx[Id], Trx[Action],,0)</f>
        <v>采购</v>
      </c>
      <c r="E502" s="26" t="s">
        <v>80</v>
      </c>
      <c r="F502" s="11" t="s">
        <v>590</v>
      </c>
      <c r="G502" s="11" t="s">
        <v>391</v>
      </c>
      <c r="H502" s="72">
        <v>-4387</v>
      </c>
      <c r="I502" s="5" t="b">
        <f>AND(Jnl[[#This Row],[TrxId]]&lt;&gt;"",Jnl[[#This Row],[Acct]]&lt;&gt;"",Jnl[[#This Row],[Item]]&lt;&gt;"",ISNUMBER(Jnl[[#This Row],[Bal]]))</f>
        <v>1</v>
      </c>
      <c r="J502" s="10">
        <f>IF(Jnl[[#This Row],[BSLv0]]="A",1,-1)*Jnl[[#This Row],[Bal]]</f>
        <v>-4387</v>
      </c>
      <c r="K502" t="str">
        <f>_xlfn.XLOOKUP(Jnl[[#This Row],[Acct]], config_BS[Acct], config_BS[Lv0],,0)</f>
        <v>A</v>
      </c>
      <c r="L502" t="str">
        <f>_xlfn.XLOOKUP(Jnl[[#This Row],[Acct]], config_BS[Acct], config_BS[Lv1],,0)</f>
        <v>Assets</v>
      </c>
      <c r="M502" t="str">
        <f>_xlfn.XLOOKUP(Jnl[[#This Row],[Acct]], config_BS[Acct], config_BS[Lv2],,0)</f>
        <v>Cash alike</v>
      </c>
      <c r="N502" t="str">
        <f>_xlfn.XLOOKUP(Jnl[[#This Row],[TrxId]], Trx[Id], Trx[IncNode], ,0)</f>
        <v>Cost</v>
      </c>
      <c r="O502" t="str">
        <f>_xlfn.XLOOKUP(Jnl[[#This Row],[IncNode]], config_IS[Node], config_IS[Type],,0)</f>
        <v>Op</v>
      </c>
      <c r="P502" t="str">
        <f>_xlfn.XLOOKUP(Jnl[[#This Row],[BSLv2]], dict[Key], dict[Name],,0)</f>
        <v>0.现金及类似</v>
      </c>
      <c r="Q502" t="str">
        <f>_xlfn.XLOOKUP(Jnl[[#This Row],[Acct]], dict[Key], dict[Name],,0)</f>
        <v>银行</v>
      </c>
      <c r="R502" t="str">
        <f>_xlfn.XLOOKUP(Jnl[[#This Row],[Vehicle]],config_vehicle[Id], config_vehicle[Name],,0)</f>
        <v>远家花园</v>
      </c>
      <c r="S502" t="str">
        <f>_xlfn.XLOOKUP(Jnl[[#This Row],[Division]],config_div[Id], config_div[Name],,0)</f>
        <v>网店</v>
      </c>
      <c r="T502" t="str">
        <f>IF(Jnl[[#This Row],[TrxDate]]&lt;=stmt_BS_date_end, "In", "Out")</f>
        <v>In</v>
      </c>
      <c r="U502" t="str">
        <f>IF(Jnl[[#This Row],[TrxDate]]&lt;debug_date_start, "prior", IF(Jnl[[#This Row],[TrxDate]]&gt;debug_date_end, "post", "curr"))</f>
        <v>prior</v>
      </c>
    </row>
    <row r="503" spans="1:21">
      <c r="A503" s="11" t="s">
        <v>707</v>
      </c>
      <c r="B503" s="7">
        <f>_xlfn.XLOOKUP(Jnl[[#This Row],[TrxId]], Trx[Id], Trx[Date],,0)</f>
        <v>46053</v>
      </c>
      <c r="C503" s="7" t="str">
        <f>_xlfn.XLOOKUP(Jnl[[#This Row],[TrxId]], Trx[Id], Trx[Division],,0)</f>
        <v>Online</v>
      </c>
      <c r="D503" s="7" t="str">
        <f>_xlfn.XLOOKUP(Jnl[[#This Row],[TrxId]], Trx[Id], Trx[Action],,0)</f>
        <v>采购</v>
      </c>
      <c r="E503" s="26" t="s">
        <v>80</v>
      </c>
      <c r="F503" s="11" t="s">
        <v>590</v>
      </c>
      <c r="G503" s="11" t="s">
        <v>391</v>
      </c>
      <c r="H503" s="72">
        <v>-17220</v>
      </c>
      <c r="I503" s="5" t="b">
        <f>AND(Jnl[[#This Row],[TrxId]]&lt;&gt;"",Jnl[[#This Row],[Acct]]&lt;&gt;"",Jnl[[#This Row],[Item]]&lt;&gt;"",ISNUMBER(Jnl[[#This Row],[Bal]]))</f>
        <v>1</v>
      </c>
      <c r="J503" s="10">
        <f>IF(Jnl[[#This Row],[BSLv0]]="A",1,-1)*Jnl[[#This Row],[Bal]]</f>
        <v>-17220</v>
      </c>
      <c r="K503" t="str">
        <f>_xlfn.XLOOKUP(Jnl[[#This Row],[Acct]], config_BS[Acct], config_BS[Lv0],,0)</f>
        <v>A</v>
      </c>
      <c r="L503" t="str">
        <f>_xlfn.XLOOKUP(Jnl[[#This Row],[Acct]], config_BS[Acct], config_BS[Lv1],,0)</f>
        <v>Assets</v>
      </c>
      <c r="M503" t="str">
        <f>_xlfn.XLOOKUP(Jnl[[#This Row],[Acct]], config_BS[Acct], config_BS[Lv2],,0)</f>
        <v>Cash alike</v>
      </c>
      <c r="N503" t="str">
        <f>_xlfn.XLOOKUP(Jnl[[#This Row],[TrxId]], Trx[Id], Trx[IncNode], ,0)</f>
        <v>Cost</v>
      </c>
      <c r="O503" t="str">
        <f>_xlfn.XLOOKUP(Jnl[[#This Row],[IncNode]], config_IS[Node], config_IS[Type],,0)</f>
        <v>Op</v>
      </c>
      <c r="P503" t="str">
        <f>_xlfn.XLOOKUP(Jnl[[#This Row],[BSLv2]], dict[Key], dict[Name],,0)</f>
        <v>0.现金及类似</v>
      </c>
      <c r="Q503" t="str">
        <f>_xlfn.XLOOKUP(Jnl[[#This Row],[Acct]], dict[Key], dict[Name],,0)</f>
        <v>银行</v>
      </c>
      <c r="R503" t="str">
        <f>_xlfn.XLOOKUP(Jnl[[#This Row],[Vehicle]],config_vehicle[Id], config_vehicle[Name],,0)</f>
        <v>远家花园</v>
      </c>
      <c r="S503" t="str">
        <f>_xlfn.XLOOKUP(Jnl[[#This Row],[Division]],config_div[Id], config_div[Name],,0)</f>
        <v>网店</v>
      </c>
      <c r="T503" t="str">
        <f>IF(Jnl[[#This Row],[TrxDate]]&lt;=stmt_BS_date_end, "In", "Out")</f>
        <v>In</v>
      </c>
      <c r="U503" t="str">
        <f>IF(Jnl[[#This Row],[TrxDate]]&lt;debug_date_start, "prior", IF(Jnl[[#This Row],[TrxDate]]&gt;debug_date_end, "post", "curr"))</f>
        <v>prior</v>
      </c>
    </row>
    <row r="504" spans="1:21">
      <c r="A504" s="11" t="s">
        <v>707</v>
      </c>
      <c r="B504" s="7">
        <f>_xlfn.XLOOKUP(Jnl[[#This Row],[TrxId]], Trx[Id], Trx[Date],,0)</f>
        <v>46053</v>
      </c>
      <c r="C504" s="7" t="str">
        <f>_xlfn.XLOOKUP(Jnl[[#This Row],[TrxId]], Trx[Id], Trx[Division],,0)</f>
        <v>Online</v>
      </c>
      <c r="D504" s="7" t="str">
        <f>_xlfn.XLOOKUP(Jnl[[#This Row],[TrxId]], Trx[Id], Trx[Action],,0)</f>
        <v>采购</v>
      </c>
      <c r="E504" s="26" t="s">
        <v>80</v>
      </c>
      <c r="F504" s="11" t="s">
        <v>598</v>
      </c>
      <c r="G504" s="11" t="s">
        <v>151</v>
      </c>
      <c r="H504" s="72">
        <v>17220</v>
      </c>
      <c r="I504" s="5" t="b">
        <f>AND(Jnl[[#This Row],[TrxId]]&lt;&gt;"",Jnl[[#This Row],[Acct]]&lt;&gt;"",Jnl[[#This Row],[Item]]&lt;&gt;"",ISNUMBER(Jnl[[#This Row],[Bal]]))</f>
        <v>1</v>
      </c>
      <c r="J504" s="10">
        <f>IF(Jnl[[#This Row],[BSLv0]]="A",1,-1)*Jnl[[#This Row],[Bal]]</f>
        <v>17220</v>
      </c>
      <c r="K504" t="str">
        <f>_xlfn.XLOOKUP(Jnl[[#This Row],[Acct]], config_BS[Acct], config_BS[Lv0],,0)</f>
        <v>A</v>
      </c>
      <c r="L504" t="str">
        <f>_xlfn.XLOOKUP(Jnl[[#This Row],[Acct]], config_BS[Acct], config_BS[Lv1],,0)</f>
        <v>Assets</v>
      </c>
      <c r="M504" t="str">
        <f>_xlfn.XLOOKUP(Jnl[[#This Row],[Acct]], config_BS[Acct], config_BS[Lv2],,0)</f>
        <v>Invtr</v>
      </c>
      <c r="N504" t="str">
        <f>_xlfn.XLOOKUP(Jnl[[#This Row],[TrxId]], Trx[Id], Trx[IncNode], ,0)</f>
        <v>Cost</v>
      </c>
      <c r="O504" t="str">
        <f>_xlfn.XLOOKUP(Jnl[[#This Row],[IncNode]], config_IS[Node], config_IS[Type],,0)</f>
        <v>Op</v>
      </c>
      <c r="P504" t="str">
        <f>_xlfn.XLOOKUP(Jnl[[#This Row],[BSLv2]], dict[Key], dict[Name],,0)</f>
        <v>3.库存占款</v>
      </c>
      <c r="Q504" t="str">
        <f>_xlfn.XLOOKUP(Jnl[[#This Row],[Acct]], dict[Key], dict[Name],,0)</f>
        <v>当期存货</v>
      </c>
      <c r="R504" t="str">
        <f>_xlfn.XLOOKUP(Jnl[[#This Row],[Vehicle]],config_vehicle[Id], config_vehicle[Name],,0)</f>
        <v>远家花园</v>
      </c>
      <c r="S504" t="str">
        <f>_xlfn.XLOOKUP(Jnl[[#This Row],[Division]],config_div[Id], config_div[Name],,0)</f>
        <v>网店</v>
      </c>
      <c r="T504" t="str">
        <f>IF(Jnl[[#This Row],[TrxDate]]&lt;=stmt_BS_date_end, "In", "Out")</f>
        <v>In</v>
      </c>
      <c r="U504" t="str">
        <f>IF(Jnl[[#This Row],[TrxDate]]&lt;debug_date_start, "prior", IF(Jnl[[#This Row],[TrxDate]]&gt;debug_date_end, "post", "curr"))</f>
        <v>prior</v>
      </c>
    </row>
    <row r="505" spans="1:21">
      <c r="A505" s="11" t="s">
        <v>708</v>
      </c>
      <c r="B505" s="7">
        <f>_xlfn.XLOOKUP(Jnl[[#This Row],[TrxId]], Trx[Id], Trx[Date],,0)</f>
        <v>46053</v>
      </c>
      <c r="C505" s="7" t="str">
        <f>_xlfn.XLOOKUP(Jnl[[#This Row],[TrxId]], Trx[Id], Trx[Division],,0)</f>
        <v>GM</v>
      </c>
      <c r="D505" s="7" t="str">
        <f>_xlfn.XLOOKUP(Jnl[[#This Row],[TrxId]], Trx[Id], Trx[Action],,0)</f>
        <v>薪酬-工资</v>
      </c>
      <c r="E505" s="26" t="s">
        <v>80</v>
      </c>
      <c r="F505" s="11" t="s">
        <v>590</v>
      </c>
      <c r="G505" s="11" t="s">
        <v>391</v>
      </c>
      <c r="H505" s="72">
        <v>-10000</v>
      </c>
      <c r="I505" s="5" t="b">
        <f>AND(Jnl[[#This Row],[TrxId]]&lt;&gt;"",Jnl[[#This Row],[Acct]]&lt;&gt;"",Jnl[[#This Row],[Item]]&lt;&gt;"",ISNUMBER(Jnl[[#This Row],[Bal]]))</f>
        <v>1</v>
      </c>
      <c r="J505" s="10">
        <f>IF(Jnl[[#This Row],[BSLv0]]="A",1,-1)*Jnl[[#This Row],[Bal]]</f>
        <v>-10000</v>
      </c>
      <c r="K505" t="str">
        <f>_xlfn.XLOOKUP(Jnl[[#This Row],[Acct]], config_BS[Acct], config_BS[Lv0],,0)</f>
        <v>A</v>
      </c>
      <c r="L505" t="str">
        <f>_xlfn.XLOOKUP(Jnl[[#This Row],[Acct]], config_BS[Acct], config_BS[Lv1],,0)</f>
        <v>Assets</v>
      </c>
      <c r="M505" t="str">
        <f>_xlfn.XLOOKUP(Jnl[[#This Row],[Acct]], config_BS[Acct], config_BS[Lv2],,0)</f>
        <v>Cash alike</v>
      </c>
      <c r="N505" t="str">
        <f>_xlfn.XLOOKUP(Jnl[[#This Row],[TrxId]], Trx[Id], Trx[IncNode], ,0)</f>
        <v>Expense</v>
      </c>
      <c r="O505" t="str">
        <f>_xlfn.XLOOKUP(Jnl[[#This Row],[IncNode]], config_IS[Node], config_IS[Type],,0)</f>
        <v>Op</v>
      </c>
      <c r="P505" t="str">
        <f>_xlfn.XLOOKUP(Jnl[[#This Row],[BSLv2]], dict[Key], dict[Name],,0)</f>
        <v>0.现金及类似</v>
      </c>
      <c r="Q505" t="str">
        <f>_xlfn.XLOOKUP(Jnl[[#This Row],[Acct]], dict[Key], dict[Name],,0)</f>
        <v>银行</v>
      </c>
      <c r="R505" t="str">
        <f>_xlfn.XLOOKUP(Jnl[[#This Row],[Vehicle]],config_vehicle[Id], config_vehicle[Name],,0)</f>
        <v>远家花园</v>
      </c>
      <c r="S505" t="str">
        <f>_xlfn.XLOOKUP(Jnl[[#This Row],[Division]],config_div[Id], config_div[Name],,0)</f>
        <v>综合管理</v>
      </c>
      <c r="T505" t="str">
        <f>IF(Jnl[[#This Row],[TrxDate]]&lt;=stmt_BS_date_end, "In", "Out")</f>
        <v>In</v>
      </c>
      <c r="U505" t="str">
        <f>IF(Jnl[[#This Row],[TrxDate]]&lt;debug_date_start, "prior", IF(Jnl[[#This Row],[TrxDate]]&gt;debug_date_end, "post", "curr"))</f>
        <v>prior</v>
      </c>
    </row>
    <row r="506" spans="1:21">
      <c r="A506" s="11" t="s">
        <v>709</v>
      </c>
      <c r="B506" s="7">
        <f>_xlfn.XLOOKUP(Jnl[[#This Row],[TrxId]], Trx[Id], Trx[Date],,0)</f>
        <v>46053</v>
      </c>
      <c r="C506" s="7" t="str">
        <f>_xlfn.XLOOKUP(Jnl[[#This Row],[TrxId]], Trx[Id], Trx[Division],,0)</f>
        <v>Online</v>
      </c>
      <c r="D506" s="7" t="str">
        <f>_xlfn.XLOOKUP(Jnl[[#This Row],[TrxId]], Trx[Id], Trx[Action],,0)</f>
        <v>采购</v>
      </c>
      <c r="E506" s="26" t="s">
        <v>80</v>
      </c>
      <c r="F506" s="11" t="s">
        <v>590</v>
      </c>
      <c r="G506" s="11" t="s">
        <v>391</v>
      </c>
      <c r="H506" s="72">
        <v>-35459.949999999997</v>
      </c>
      <c r="I506" s="5" t="b">
        <f>AND(Jnl[[#This Row],[TrxId]]&lt;&gt;"",Jnl[[#This Row],[Acct]]&lt;&gt;"",Jnl[[#This Row],[Item]]&lt;&gt;"",ISNUMBER(Jnl[[#This Row],[Bal]]))</f>
        <v>1</v>
      </c>
      <c r="J506" s="10">
        <f>IF(Jnl[[#This Row],[BSLv0]]="A",1,-1)*Jnl[[#This Row],[Bal]]</f>
        <v>-35459.949999999997</v>
      </c>
      <c r="K506" t="str">
        <f>_xlfn.XLOOKUP(Jnl[[#This Row],[Acct]], config_BS[Acct], config_BS[Lv0],,0)</f>
        <v>A</v>
      </c>
      <c r="L506" t="str">
        <f>_xlfn.XLOOKUP(Jnl[[#This Row],[Acct]], config_BS[Acct], config_BS[Lv1],,0)</f>
        <v>Assets</v>
      </c>
      <c r="M506" t="str">
        <f>_xlfn.XLOOKUP(Jnl[[#This Row],[Acct]], config_BS[Acct], config_BS[Lv2],,0)</f>
        <v>Cash alike</v>
      </c>
      <c r="N506" t="str">
        <f>_xlfn.XLOOKUP(Jnl[[#This Row],[TrxId]], Trx[Id], Trx[IncNode], ,0)</f>
        <v>Cost</v>
      </c>
      <c r="O506" t="str">
        <f>_xlfn.XLOOKUP(Jnl[[#This Row],[IncNode]], config_IS[Node], config_IS[Type],,0)</f>
        <v>Op</v>
      </c>
      <c r="P506" t="str">
        <f>_xlfn.XLOOKUP(Jnl[[#This Row],[BSLv2]], dict[Key], dict[Name],,0)</f>
        <v>0.现金及类似</v>
      </c>
      <c r="Q506" t="str">
        <f>_xlfn.XLOOKUP(Jnl[[#This Row],[Acct]], dict[Key], dict[Name],,0)</f>
        <v>银行</v>
      </c>
      <c r="R506" t="str">
        <f>_xlfn.XLOOKUP(Jnl[[#This Row],[Vehicle]],config_vehicle[Id], config_vehicle[Name],,0)</f>
        <v>远家花园</v>
      </c>
      <c r="S506" t="str">
        <f>_xlfn.XLOOKUP(Jnl[[#This Row],[Division]],config_div[Id], config_div[Name],,0)</f>
        <v>网店</v>
      </c>
      <c r="T506" t="str">
        <f>IF(Jnl[[#This Row],[TrxDate]]&lt;=stmt_BS_date_end, "In", "Out")</f>
        <v>In</v>
      </c>
      <c r="U506" t="str">
        <f>IF(Jnl[[#This Row],[TrxDate]]&lt;debug_date_start, "prior", IF(Jnl[[#This Row],[TrxDate]]&gt;debug_date_end, "post", "curr"))</f>
        <v>prior</v>
      </c>
    </row>
    <row r="507" spans="1:21">
      <c r="A507" s="11" t="s">
        <v>709</v>
      </c>
      <c r="B507" s="7">
        <f>_xlfn.XLOOKUP(Jnl[[#This Row],[TrxId]], Trx[Id], Trx[Date],,0)</f>
        <v>46053</v>
      </c>
      <c r="C507" s="7" t="str">
        <f>_xlfn.XLOOKUP(Jnl[[#This Row],[TrxId]], Trx[Id], Trx[Division],,0)</f>
        <v>Online</v>
      </c>
      <c r="D507" s="7" t="str">
        <f>_xlfn.XLOOKUP(Jnl[[#This Row],[TrxId]], Trx[Id], Trx[Action],,0)</f>
        <v>采购</v>
      </c>
      <c r="E507" s="26" t="s">
        <v>80</v>
      </c>
      <c r="F507" s="11" t="s">
        <v>598</v>
      </c>
      <c r="G507" s="11" t="s">
        <v>151</v>
      </c>
      <c r="H507" s="72">
        <v>35459.949999999997</v>
      </c>
      <c r="I507" s="5" t="b">
        <f>AND(Jnl[[#This Row],[TrxId]]&lt;&gt;"",Jnl[[#This Row],[Acct]]&lt;&gt;"",Jnl[[#This Row],[Item]]&lt;&gt;"",ISNUMBER(Jnl[[#This Row],[Bal]]))</f>
        <v>1</v>
      </c>
      <c r="J507" s="10">
        <f>IF(Jnl[[#This Row],[BSLv0]]="A",1,-1)*Jnl[[#This Row],[Bal]]</f>
        <v>35459.949999999997</v>
      </c>
      <c r="K507" t="str">
        <f>_xlfn.XLOOKUP(Jnl[[#This Row],[Acct]], config_BS[Acct], config_BS[Lv0],,0)</f>
        <v>A</v>
      </c>
      <c r="L507" t="str">
        <f>_xlfn.XLOOKUP(Jnl[[#This Row],[Acct]], config_BS[Acct], config_BS[Lv1],,0)</f>
        <v>Assets</v>
      </c>
      <c r="M507" t="str">
        <f>_xlfn.XLOOKUP(Jnl[[#This Row],[Acct]], config_BS[Acct], config_BS[Lv2],,0)</f>
        <v>Invtr</v>
      </c>
      <c r="N507" t="str">
        <f>_xlfn.XLOOKUP(Jnl[[#This Row],[TrxId]], Trx[Id], Trx[IncNode], ,0)</f>
        <v>Cost</v>
      </c>
      <c r="O507" t="str">
        <f>_xlfn.XLOOKUP(Jnl[[#This Row],[IncNode]], config_IS[Node], config_IS[Type],,0)</f>
        <v>Op</v>
      </c>
      <c r="P507" t="str">
        <f>_xlfn.XLOOKUP(Jnl[[#This Row],[BSLv2]], dict[Key], dict[Name],,0)</f>
        <v>3.库存占款</v>
      </c>
      <c r="Q507" t="str">
        <f>_xlfn.XLOOKUP(Jnl[[#This Row],[Acct]], dict[Key], dict[Name],,0)</f>
        <v>当期存货</v>
      </c>
      <c r="R507" t="str">
        <f>_xlfn.XLOOKUP(Jnl[[#This Row],[Vehicle]],config_vehicle[Id], config_vehicle[Name],,0)</f>
        <v>远家花园</v>
      </c>
      <c r="S507" t="str">
        <f>_xlfn.XLOOKUP(Jnl[[#This Row],[Division]],config_div[Id], config_div[Name],,0)</f>
        <v>网店</v>
      </c>
      <c r="T507" t="str">
        <f>IF(Jnl[[#This Row],[TrxDate]]&lt;=stmt_BS_date_end, "In", "Out")</f>
        <v>In</v>
      </c>
      <c r="U507" t="str">
        <f>IF(Jnl[[#This Row],[TrxDate]]&lt;debug_date_start, "prior", IF(Jnl[[#This Row],[TrxDate]]&gt;debug_date_end, "post", "curr"))</f>
        <v>prior</v>
      </c>
    </row>
    <row r="508" spans="1:21">
      <c r="A508" s="11" t="s">
        <v>710</v>
      </c>
      <c r="B508" s="7">
        <f>_xlfn.XLOOKUP(Jnl[[#This Row],[TrxId]], Trx[Id], Trx[Date],,0)</f>
        <v>46053</v>
      </c>
      <c r="C508" s="7" t="str">
        <f>_xlfn.XLOOKUP(Jnl[[#This Row],[TrxId]], Trx[Id], Trx[Division],,0)</f>
        <v>Online</v>
      </c>
      <c r="D508" s="7" t="str">
        <f>_xlfn.XLOOKUP(Jnl[[#This Row],[TrxId]], Trx[Id], Trx[Action],,0)</f>
        <v>采购</v>
      </c>
      <c r="E508" s="26" t="s">
        <v>80</v>
      </c>
      <c r="F508" s="11" t="s">
        <v>590</v>
      </c>
      <c r="G508" s="11" t="s">
        <v>391</v>
      </c>
      <c r="H508" s="72">
        <v>-77908.5</v>
      </c>
      <c r="I508" s="5" t="b">
        <f>AND(Jnl[[#This Row],[TrxId]]&lt;&gt;"",Jnl[[#This Row],[Acct]]&lt;&gt;"",Jnl[[#This Row],[Item]]&lt;&gt;"",ISNUMBER(Jnl[[#This Row],[Bal]]))</f>
        <v>1</v>
      </c>
      <c r="J508" s="10">
        <f>IF(Jnl[[#This Row],[BSLv0]]="A",1,-1)*Jnl[[#This Row],[Bal]]</f>
        <v>-77908.5</v>
      </c>
      <c r="K508" t="str">
        <f>_xlfn.XLOOKUP(Jnl[[#This Row],[Acct]], config_BS[Acct], config_BS[Lv0],,0)</f>
        <v>A</v>
      </c>
      <c r="L508" t="str">
        <f>_xlfn.XLOOKUP(Jnl[[#This Row],[Acct]], config_BS[Acct], config_BS[Lv1],,0)</f>
        <v>Assets</v>
      </c>
      <c r="M508" t="str">
        <f>_xlfn.XLOOKUP(Jnl[[#This Row],[Acct]], config_BS[Acct], config_BS[Lv2],,0)</f>
        <v>Cash alike</v>
      </c>
      <c r="N508" t="str">
        <f>_xlfn.XLOOKUP(Jnl[[#This Row],[TrxId]], Trx[Id], Trx[IncNode], ,0)</f>
        <v>Cost</v>
      </c>
      <c r="O508" t="str">
        <f>_xlfn.XLOOKUP(Jnl[[#This Row],[IncNode]], config_IS[Node], config_IS[Type],,0)</f>
        <v>Op</v>
      </c>
      <c r="P508" t="str">
        <f>_xlfn.XLOOKUP(Jnl[[#This Row],[BSLv2]], dict[Key], dict[Name],,0)</f>
        <v>0.现金及类似</v>
      </c>
      <c r="Q508" t="str">
        <f>_xlfn.XLOOKUP(Jnl[[#This Row],[Acct]], dict[Key], dict[Name],,0)</f>
        <v>银行</v>
      </c>
      <c r="R508" t="str">
        <f>_xlfn.XLOOKUP(Jnl[[#This Row],[Vehicle]],config_vehicle[Id], config_vehicle[Name],,0)</f>
        <v>远家花园</v>
      </c>
      <c r="S508" t="str">
        <f>_xlfn.XLOOKUP(Jnl[[#This Row],[Division]],config_div[Id], config_div[Name],,0)</f>
        <v>网店</v>
      </c>
      <c r="T508" t="str">
        <f>IF(Jnl[[#This Row],[TrxDate]]&lt;=stmt_BS_date_end, "In", "Out")</f>
        <v>In</v>
      </c>
      <c r="U508" t="str">
        <f>IF(Jnl[[#This Row],[TrxDate]]&lt;debug_date_start, "prior", IF(Jnl[[#This Row],[TrxDate]]&gt;debug_date_end, "post", "curr"))</f>
        <v>prior</v>
      </c>
    </row>
    <row r="509" spans="1:21">
      <c r="A509" s="11" t="s">
        <v>710</v>
      </c>
      <c r="B509" s="7">
        <f>_xlfn.XLOOKUP(Jnl[[#This Row],[TrxId]], Trx[Id], Trx[Date],,0)</f>
        <v>46053</v>
      </c>
      <c r="C509" s="7" t="str">
        <f>_xlfn.XLOOKUP(Jnl[[#This Row],[TrxId]], Trx[Id], Trx[Division],,0)</f>
        <v>Online</v>
      </c>
      <c r="D509" s="7" t="str">
        <f>_xlfn.XLOOKUP(Jnl[[#This Row],[TrxId]], Trx[Id], Trx[Action],,0)</f>
        <v>采购</v>
      </c>
      <c r="E509" s="26" t="s">
        <v>80</v>
      </c>
      <c r="F509" s="11" t="s">
        <v>598</v>
      </c>
      <c r="G509" s="11" t="s">
        <v>151</v>
      </c>
      <c r="H509" s="72">
        <f>-H508</f>
        <v>77908.5</v>
      </c>
      <c r="I509" s="5" t="b">
        <f>AND(Jnl[[#This Row],[TrxId]]&lt;&gt;"",Jnl[[#This Row],[Acct]]&lt;&gt;"",Jnl[[#This Row],[Item]]&lt;&gt;"",ISNUMBER(Jnl[[#This Row],[Bal]]))</f>
        <v>1</v>
      </c>
      <c r="J509" s="10">
        <f>IF(Jnl[[#This Row],[BSLv0]]="A",1,-1)*Jnl[[#This Row],[Bal]]</f>
        <v>77908.5</v>
      </c>
      <c r="K509" t="str">
        <f>_xlfn.XLOOKUP(Jnl[[#This Row],[Acct]], config_BS[Acct], config_BS[Lv0],,0)</f>
        <v>A</v>
      </c>
      <c r="L509" t="str">
        <f>_xlfn.XLOOKUP(Jnl[[#This Row],[Acct]], config_BS[Acct], config_BS[Lv1],,0)</f>
        <v>Assets</v>
      </c>
      <c r="M509" t="str">
        <f>_xlfn.XLOOKUP(Jnl[[#This Row],[Acct]], config_BS[Acct], config_BS[Lv2],,0)</f>
        <v>Invtr</v>
      </c>
      <c r="N509" t="str">
        <f>_xlfn.XLOOKUP(Jnl[[#This Row],[TrxId]], Trx[Id], Trx[IncNode], ,0)</f>
        <v>Cost</v>
      </c>
      <c r="O509" t="str">
        <f>_xlfn.XLOOKUP(Jnl[[#This Row],[IncNode]], config_IS[Node], config_IS[Type],,0)</f>
        <v>Op</v>
      </c>
      <c r="P509" t="str">
        <f>_xlfn.XLOOKUP(Jnl[[#This Row],[BSLv2]], dict[Key], dict[Name],,0)</f>
        <v>3.库存占款</v>
      </c>
      <c r="Q509" t="str">
        <f>_xlfn.XLOOKUP(Jnl[[#This Row],[Acct]], dict[Key], dict[Name],,0)</f>
        <v>当期存货</v>
      </c>
      <c r="R509" t="str">
        <f>_xlfn.XLOOKUP(Jnl[[#This Row],[Vehicle]],config_vehicle[Id], config_vehicle[Name],,0)</f>
        <v>远家花园</v>
      </c>
      <c r="S509" t="str">
        <f>_xlfn.XLOOKUP(Jnl[[#This Row],[Division]],config_div[Id], config_div[Name],,0)</f>
        <v>网店</v>
      </c>
      <c r="T509" t="str">
        <f>IF(Jnl[[#This Row],[TrxDate]]&lt;=stmt_BS_date_end, "In", "Out")</f>
        <v>In</v>
      </c>
      <c r="U509" t="str">
        <f>IF(Jnl[[#This Row],[TrxDate]]&lt;debug_date_start, "prior", IF(Jnl[[#This Row],[TrxDate]]&gt;debug_date_end, "post", "curr"))</f>
        <v>prior</v>
      </c>
    </row>
    <row r="510" spans="1:21">
      <c r="A510" s="11" t="s">
        <v>711</v>
      </c>
      <c r="B510" s="7">
        <f>_xlfn.XLOOKUP(Jnl[[#This Row],[TrxId]], Trx[Id], Trx[Date],,0)</f>
        <v>46053</v>
      </c>
      <c r="C510" s="7" t="str">
        <f>_xlfn.XLOOKUP(Jnl[[#This Row],[TrxId]], Trx[Id], Trx[Division],,0)</f>
        <v>GM</v>
      </c>
      <c r="D510" s="7" t="str">
        <f>_xlfn.XLOOKUP(Jnl[[#This Row],[TrxId]], Trx[Id], Trx[Action],,0)</f>
        <v>薪酬-社保</v>
      </c>
      <c r="E510" s="26" t="s">
        <v>80</v>
      </c>
      <c r="F510" s="11" t="s">
        <v>590</v>
      </c>
      <c r="G510" s="11" t="s">
        <v>391</v>
      </c>
      <c r="H510" s="72">
        <v>-83998.38</v>
      </c>
      <c r="I510" s="5" t="b">
        <f>AND(Jnl[[#This Row],[TrxId]]&lt;&gt;"",Jnl[[#This Row],[Acct]]&lt;&gt;"",Jnl[[#This Row],[Item]]&lt;&gt;"",ISNUMBER(Jnl[[#This Row],[Bal]]))</f>
        <v>1</v>
      </c>
      <c r="J510" s="10">
        <f>IF(Jnl[[#This Row],[BSLv0]]="A",1,-1)*Jnl[[#This Row],[Bal]]</f>
        <v>-83998.38</v>
      </c>
      <c r="K510" t="str">
        <f>_xlfn.XLOOKUP(Jnl[[#This Row],[Acct]], config_BS[Acct], config_BS[Lv0],,0)</f>
        <v>A</v>
      </c>
      <c r="L510" t="str">
        <f>_xlfn.XLOOKUP(Jnl[[#This Row],[Acct]], config_BS[Acct], config_BS[Lv1],,0)</f>
        <v>Assets</v>
      </c>
      <c r="M510" t="str">
        <f>_xlfn.XLOOKUP(Jnl[[#This Row],[Acct]], config_BS[Acct], config_BS[Lv2],,0)</f>
        <v>Cash alike</v>
      </c>
      <c r="N510" t="str">
        <f>_xlfn.XLOOKUP(Jnl[[#This Row],[TrxId]], Trx[Id], Trx[IncNode], ,0)</f>
        <v>Expense</v>
      </c>
      <c r="O510" t="str">
        <f>_xlfn.XLOOKUP(Jnl[[#This Row],[IncNode]], config_IS[Node], config_IS[Type],,0)</f>
        <v>Op</v>
      </c>
      <c r="P510" t="str">
        <f>_xlfn.XLOOKUP(Jnl[[#This Row],[BSLv2]], dict[Key], dict[Name],,0)</f>
        <v>0.现金及类似</v>
      </c>
      <c r="Q510" t="str">
        <f>_xlfn.XLOOKUP(Jnl[[#This Row],[Acct]], dict[Key], dict[Name],,0)</f>
        <v>银行</v>
      </c>
      <c r="R510" t="str">
        <f>_xlfn.XLOOKUP(Jnl[[#This Row],[Vehicle]],config_vehicle[Id], config_vehicle[Name],,0)</f>
        <v>远家花园</v>
      </c>
      <c r="S510" t="str">
        <f>_xlfn.XLOOKUP(Jnl[[#This Row],[Division]],config_div[Id], config_div[Name],,0)</f>
        <v>综合管理</v>
      </c>
      <c r="T510" t="str">
        <f>IF(Jnl[[#This Row],[TrxDate]]&lt;=stmt_BS_date_end, "In", "Out")</f>
        <v>In</v>
      </c>
      <c r="U510" t="str">
        <f>IF(Jnl[[#This Row],[TrxDate]]&lt;debug_date_start, "prior", IF(Jnl[[#This Row],[TrxDate]]&gt;debug_date_end, "post", "curr"))</f>
        <v>prior</v>
      </c>
    </row>
    <row r="511" spans="1:21">
      <c r="A511" s="11" t="s">
        <v>711</v>
      </c>
      <c r="B511" s="7">
        <f>_xlfn.XLOOKUP(Jnl[[#This Row],[TrxId]], Trx[Id], Trx[Date],,0)</f>
        <v>46053</v>
      </c>
      <c r="C511" s="7" t="str">
        <f>_xlfn.XLOOKUP(Jnl[[#This Row],[TrxId]], Trx[Id], Trx[Division],,0)</f>
        <v>GM</v>
      </c>
      <c r="D511" s="7" t="str">
        <f>_xlfn.XLOOKUP(Jnl[[#This Row],[TrxId]], Trx[Id], Trx[Action],,0)</f>
        <v>薪酬-社保</v>
      </c>
      <c r="E511" s="26" t="s">
        <v>80</v>
      </c>
      <c r="F511" s="11" t="s">
        <v>595</v>
      </c>
      <c r="G511" s="11" t="s">
        <v>344</v>
      </c>
      <c r="H511" s="72">
        <v>24591.75</v>
      </c>
      <c r="I511" s="5" t="b">
        <f>AND(Jnl[[#This Row],[TrxId]]&lt;&gt;"",Jnl[[#This Row],[Acct]]&lt;&gt;"",Jnl[[#This Row],[Item]]&lt;&gt;"",ISNUMBER(Jnl[[#This Row],[Bal]]))</f>
        <v>1</v>
      </c>
      <c r="J511" s="10">
        <f>IF(Jnl[[#This Row],[BSLv0]]="A",1,-1)*Jnl[[#This Row],[Bal]]</f>
        <v>24591.75</v>
      </c>
      <c r="K511" t="str">
        <f>_xlfn.XLOOKUP(Jnl[[#This Row],[Acct]], config_BS[Acct], config_BS[Lv0],,0)</f>
        <v>A</v>
      </c>
      <c r="L511" t="str">
        <f>_xlfn.XLOOKUP(Jnl[[#This Row],[Acct]], config_BS[Acct], config_BS[Lv1],,0)</f>
        <v>Assets</v>
      </c>
      <c r="M511" t="str">
        <f>_xlfn.XLOOKUP(Jnl[[#This Row],[Acct]], config_BS[Acct], config_BS[Lv2],,0)</f>
        <v>Rec-Pay</v>
      </c>
      <c r="N511" t="str">
        <f>_xlfn.XLOOKUP(Jnl[[#This Row],[TrxId]], Trx[Id], Trx[IncNode], ,0)</f>
        <v>Expense</v>
      </c>
      <c r="O511" t="str">
        <f>_xlfn.XLOOKUP(Jnl[[#This Row],[IncNode]], config_IS[Node], config_IS[Type],,0)</f>
        <v>Op</v>
      </c>
      <c r="P511" t="str">
        <f>_xlfn.XLOOKUP(Jnl[[#This Row],[BSLv2]], dict[Key], dict[Name],,0)</f>
        <v>1.应收-应付</v>
      </c>
      <c r="Q511" t="str">
        <f>_xlfn.XLOOKUP(Jnl[[#This Row],[Acct]], dict[Key], dict[Name],,0)</f>
        <v>应收-其他</v>
      </c>
      <c r="R511" t="str">
        <f>_xlfn.XLOOKUP(Jnl[[#This Row],[Vehicle]],config_vehicle[Id], config_vehicle[Name],,0)</f>
        <v>远家花园</v>
      </c>
      <c r="S511" t="str">
        <f>_xlfn.XLOOKUP(Jnl[[#This Row],[Division]],config_div[Id], config_div[Name],,0)</f>
        <v>综合管理</v>
      </c>
      <c r="T511" t="str">
        <f>IF(Jnl[[#This Row],[TrxDate]]&lt;=stmt_BS_date_end, "In", "Out")</f>
        <v>In</v>
      </c>
      <c r="U511" t="str">
        <f>IF(Jnl[[#This Row],[TrxDate]]&lt;debug_date_start, "prior", IF(Jnl[[#This Row],[TrxDate]]&gt;debug_date_end, "post", "curr"))</f>
        <v>prior</v>
      </c>
    </row>
    <row r="512" spans="1:21">
      <c r="A512" s="11" t="s">
        <v>712</v>
      </c>
      <c r="B512" s="7">
        <f>_xlfn.XLOOKUP(Jnl[[#This Row],[TrxId]], Trx[Id], Trx[Date],,0)</f>
        <v>46053</v>
      </c>
      <c r="C512" s="7" t="str">
        <f>_xlfn.XLOOKUP(Jnl[[#This Row],[TrxId]], Trx[Id], Trx[Division],,0)</f>
        <v>Brand</v>
      </c>
      <c r="D512" s="7" t="str">
        <f>_xlfn.XLOOKUP(Jnl[[#This Row],[TrxId]], Trx[Id], Trx[Action],,0)</f>
        <v>拍摄</v>
      </c>
      <c r="E512" s="26" t="s">
        <v>80</v>
      </c>
      <c r="F512" s="11" t="s">
        <v>590</v>
      </c>
      <c r="G512" s="11" t="s">
        <v>391</v>
      </c>
      <c r="H512" s="72">
        <v>-829.9</v>
      </c>
      <c r="I512" s="5" t="b">
        <f>AND(Jnl[[#This Row],[TrxId]]&lt;&gt;"",Jnl[[#This Row],[Acct]]&lt;&gt;"",Jnl[[#This Row],[Item]]&lt;&gt;"",ISNUMBER(Jnl[[#This Row],[Bal]]))</f>
        <v>1</v>
      </c>
      <c r="J512" s="10">
        <f>IF(Jnl[[#This Row],[BSLv0]]="A",1,-1)*Jnl[[#This Row],[Bal]]</f>
        <v>-829.9</v>
      </c>
      <c r="K512" t="str">
        <f>_xlfn.XLOOKUP(Jnl[[#This Row],[Acct]], config_BS[Acct], config_BS[Lv0],,0)</f>
        <v>A</v>
      </c>
      <c r="L512" t="str">
        <f>_xlfn.XLOOKUP(Jnl[[#This Row],[Acct]], config_BS[Acct], config_BS[Lv1],,0)</f>
        <v>Assets</v>
      </c>
      <c r="M512" t="str">
        <f>_xlfn.XLOOKUP(Jnl[[#This Row],[Acct]], config_BS[Acct], config_BS[Lv2],,0)</f>
        <v>Cash alike</v>
      </c>
      <c r="N512" t="str">
        <f>_xlfn.XLOOKUP(Jnl[[#This Row],[TrxId]], Trx[Id], Trx[IncNode], ,0)</f>
        <v>Expense</v>
      </c>
      <c r="O512" t="str">
        <f>_xlfn.XLOOKUP(Jnl[[#This Row],[IncNode]], config_IS[Node], config_IS[Type],,0)</f>
        <v>Op</v>
      </c>
      <c r="P512" t="str">
        <f>_xlfn.XLOOKUP(Jnl[[#This Row],[BSLv2]], dict[Key], dict[Name],,0)</f>
        <v>0.现金及类似</v>
      </c>
      <c r="Q512" t="str">
        <f>_xlfn.XLOOKUP(Jnl[[#This Row],[Acct]], dict[Key], dict[Name],,0)</f>
        <v>银行</v>
      </c>
      <c r="R512" t="str">
        <f>_xlfn.XLOOKUP(Jnl[[#This Row],[Vehicle]],config_vehicle[Id], config_vehicle[Name],,0)</f>
        <v>远家花园</v>
      </c>
      <c r="S512" t="str">
        <f>_xlfn.XLOOKUP(Jnl[[#This Row],[Division]],config_div[Id], config_div[Name],,0)</f>
        <v>品牌</v>
      </c>
      <c r="T512" t="str">
        <f>IF(Jnl[[#This Row],[TrxDate]]&lt;=stmt_BS_date_end, "In", "Out")</f>
        <v>In</v>
      </c>
      <c r="U512" t="str">
        <f>IF(Jnl[[#This Row],[TrxDate]]&lt;debug_date_start, "prior", IF(Jnl[[#This Row],[TrxDate]]&gt;debug_date_end, "post", "curr"))</f>
        <v>prior</v>
      </c>
    </row>
    <row r="513" spans="1:21">
      <c r="A513" s="11" t="s">
        <v>713</v>
      </c>
      <c r="B513" s="7">
        <f>_xlfn.XLOOKUP(Jnl[[#This Row],[TrxId]], Trx[Id], Trx[Date],,0)</f>
        <v>46053</v>
      </c>
      <c r="C513" s="7" t="str">
        <f>_xlfn.XLOOKUP(Jnl[[#This Row],[TrxId]], Trx[Id], Trx[Division],,0)</f>
        <v>GM</v>
      </c>
      <c r="D513" s="7" t="str">
        <f>_xlfn.XLOOKUP(Jnl[[#This Row],[TrxId]], Trx[Id], Trx[Action],,0)</f>
        <v>薪酬-工资</v>
      </c>
      <c r="E513" s="26" t="s">
        <v>80</v>
      </c>
      <c r="F513" s="11" t="s">
        <v>590</v>
      </c>
      <c r="G513" s="11" t="s">
        <v>391</v>
      </c>
      <c r="H513" s="72">
        <v>-5000</v>
      </c>
      <c r="I513" s="5" t="b">
        <f>AND(Jnl[[#This Row],[TrxId]]&lt;&gt;"",Jnl[[#This Row],[Acct]]&lt;&gt;"",Jnl[[#This Row],[Item]]&lt;&gt;"",ISNUMBER(Jnl[[#This Row],[Bal]]))</f>
        <v>1</v>
      </c>
      <c r="J513" s="10">
        <f>IF(Jnl[[#This Row],[BSLv0]]="A",1,-1)*Jnl[[#This Row],[Bal]]</f>
        <v>-5000</v>
      </c>
      <c r="K513" t="str">
        <f>_xlfn.XLOOKUP(Jnl[[#This Row],[Acct]], config_BS[Acct], config_BS[Lv0],,0)</f>
        <v>A</v>
      </c>
      <c r="L513" t="str">
        <f>_xlfn.XLOOKUP(Jnl[[#This Row],[Acct]], config_BS[Acct], config_BS[Lv1],,0)</f>
        <v>Assets</v>
      </c>
      <c r="M513" t="str">
        <f>_xlfn.XLOOKUP(Jnl[[#This Row],[Acct]], config_BS[Acct], config_BS[Lv2],,0)</f>
        <v>Cash alike</v>
      </c>
      <c r="N513" t="str">
        <f>_xlfn.XLOOKUP(Jnl[[#This Row],[TrxId]], Trx[Id], Trx[IncNode], ,0)</f>
        <v>Expense</v>
      </c>
      <c r="O513" t="str">
        <f>_xlfn.XLOOKUP(Jnl[[#This Row],[IncNode]], config_IS[Node], config_IS[Type],,0)</f>
        <v>Op</v>
      </c>
      <c r="P513" t="str">
        <f>_xlfn.XLOOKUP(Jnl[[#This Row],[BSLv2]], dict[Key], dict[Name],,0)</f>
        <v>0.现金及类似</v>
      </c>
      <c r="Q513" t="str">
        <f>_xlfn.XLOOKUP(Jnl[[#This Row],[Acct]], dict[Key], dict[Name],,0)</f>
        <v>银行</v>
      </c>
      <c r="R513" t="str">
        <f>_xlfn.XLOOKUP(Jnl[[#This Row],[Vehicle]],config_vehicle[Id], config_vehicle[Name],,0)</f>
        <v>远家花园</v>
      </c>
      <c r="S513" t="str">
        <f>_xlfn.XLOOKUP(Jnl[[#This Row],[Division]],config_div[Id], config_div[Name],,0)</f>
        <v>综合管理</v>
      </c>
      <c r="T513" t="str">
        <f>IF(Jnl[[#This Row],[TrxDate]]&lt;=stmt_BS_date_end, "In", "Out")</f>
        <v>In</v>
      </c>
      <c r="U513" t="str">
        <f>IF(Jnl[[#This Row],[TrxDate]]&lt;debug_date_start, "prior", IF(Jnl[[#This Row],[TrxDate]]&gt;debug_date_end, "post", "curr"))</f>
        <v>prior</v>
      </c>
    </row>
    <row r="514" spans="1:21">
      <c r="A514" s="11" t="s">
        <v>714</v>
      </c>
      <c r="B514" s="7">
        <f>_xlfn.XLOOKUP(Jnl[[#This Row],[TrxId]], Trx[Id], Trx[Date],,0)</f>
        <v>46053</v>
      </c>
      <c r="C514" s="7" t="str">
        <f>_xlfn.XLOOKUP(Jnl[[#This Row],[TrxId]], Trx[Id], Trx[Division],,0)</f>
        <v>Online</v>
      </c>
      <c r="D514" s="7" t="str">
        <f>_xlfn.XLOOKUP(Jnl[[#This Row],[TrxId]], Trx[Id], Trx[Action],,0)</f>
        <v>收款</v>
      </c>
      <c r="E514" s="26" t="s">
        <v>80</v>
      </c>
      <c r="F514" s="11" t="s">
        <v>590</v>
      </c>
      <c r="G514" s="11" t="s">
        <v>391</v>
      </c>
      <c r="H514" s="72">
        <v>720101.65</v>
      </c>
      <c r="I514" s="5" t="b">
        <f>AND(Jnl[[#This Row],[TrxId]]&lt;&gt;"",Jnl[[#This Row],[Acct]]&lt;&gt;"",Jnl[[#This Row],[Item]]&lt;&gt;"",ISNUMBER(Jnl[[#This Row],[Bal]]))</f>
        <v>1</v>
      </c>
      <c r="J514" s="10">
        <f>IF(Jnl[[#This Row],[BSLv0]]="A",1,-1)*Jnl[[#This Row],[Bal]]</f>
        <v>720101.65</v>
      </c>
      <c r="K514" t="str">
        <f>_xlfn.XLOOKUP(Jnl[[#This Row],[Acct]], config_BS[Acct], config_BS[Lv0],,0)</f>
        <v>A</v>
      </c>
      <c r="L514" t="str">
        <f>_xlfn.XLOOKUP(Jnl[[#This Row],[Acct]], config_BS[Acct], config_BS[Lv1],,0)</f>
        <v>Assets</v>
      </c>
      <c r="M514" t="str">
        <f>_xlfn.XLOOKUP(Jnl[[#This Row],[Acct]], config_BS[Acct], config_BS[Lv2],,0)</f>
        <v>Cash alike</v>
      </c>
      <c r="N514" t="str">
        <f>_xlfn.XLOOKUP(Jnl[[#This Row],[TrxId]], Trx[Id], Trx[IncNode], ,0)</f>
        <v>Revenue</v>
      </c>
      <c r="O514" t="str">
        <f>_xlfn.XLOOKUP(Jnl[[#This Row],[IncNode]], config_IS[Node], config_IS[Type],,0)</f>
        <v>Op</v>
      </c>
      <c r="P514" t="str">
        <f>_xlfn.XLOOKUP(Jnl[[#This Row],[BSLv2]], dict[Key], dict[Name],,0)</f>
        <v>0.现金及类似</v>
      </c>
      <c r="Q514" t="str">
        <f>_xlfn.XLOOKUP(Jnl[[#This Row],[Acct]], dict[Key], dict[Name],,0)</f>
        <v>银行</v>
      </c>
      <c r="R514" t="str">
        <f>_xlfn.XLOOKUP(Jnl[[#This Row],[Vehicle]],config_vehicle[Id], config_vehicle[Name],,0)</f>
        <v>远家花园</v>
      </c>
      <c r="S514" t="str">
        <f>_xlfn.XLOOKUP(Jnl[[#This Row],[Division]],config_div[Id], config_div[Name],,0)</f>
        <v>网店</v>
      </c>
      <c r="T514" t="str">
        <f>IF(Jnl[[#This Row],[TrxDate]]&lt;=stmt_BS_date_end, "In", "Out")</f>
        <v>In</v>
      </c>
      <c r="U514" t="str">
        <f>IF(Jnl[[#This Row],[TrxDate]]&lt;debug_date_start, "prior", IF(Jnl[[#This Row],[TrxDate]]&gt;debug_date_end, "post", "curr"))</f>
        <v>prior</v>
      </c>
    </row>
    <row r="515" spans="1:21">
      <c r="A515" s="11" t="s">
        <v>714</v>
      </c>
      <c r="B515" s="7">
        <f>_xlfn.XLOOKUP(Jnl[[#This Row],[TrxId]], Trx[Id], Trx[Date],,0)</f>
        <v>46053</v>
      </c>
      <c r="C515" s="7" t="str">
        <f>_xlfn.XLOOKUP(Jnl[[#This Row],[TrxId]], Trx[Id], Trx[Division],,0)</f>
        <v>Online</v>
      </c>
      <c r="D515" s="7" t="str">
        <f>_xlfn.XLOOKUP(Jnl[[#This Row],[TrxId]], Trx[Id], Trx[Action],,0)</f>
        <v>收款</v>
      </c>
      <c r="E515" s="26" t="s">
        <v>80</v>
      </c>
      <c r="F515" s="11" t="s">
        <v>593</v>
      </c>
      <c r="G515" s="11" t="s">
        <v>594</v>
      </c>
      <c r="H515" s="72">
        <v>-720101.65</v>
      </c>
      <c r="I515" s="5" t="b">
        <f>AND(Jnl[[#This Row],[TrxId]]&lt;&gt;"",Jnl[[#This Row],[Acct]]&lt;&gt;"",Jnl[[#This Row],[Item]]&lt;&gt;"",ISNUMBER(Jnl[[#This Row],[Bal]]))</f>
        <v>1</v>
      </c>
      <c r="J515" s="10">
        <f>IF(Jnl[[#This Row],[BSLv0]]="A",1,-1)*Jnl[[#This Row],[Bal]]</f>
        <v>-720101.65</v>
      </c>
      <c r="K515" t="str">
        <f>_xlfn.XLOOKUP(Jnl[[#This Row],[Acct]], config_BS[Acct], config_BS[Lv0],,0)</f>
        <v>A</v>
      </c>
      <c r="L515" t="str">
        <f>_xlfn.XLOOKUP(Jnl[[#This Row],[Acct]], config_BS[Acct], config_BS[Lv1],,0)</f>
        <v>Assets</v>
      </c>
      <c r="M515" t="str">
        <f>_xlfn.XLOOKUP(Jnl[[#This Row],[Acct]], config_BS[Acct], config_BS[Lv2],,0)</f>
        <v>Rec-Pay</v>
      </c>
      <c r="N515" t="str">
        <f>_xlfn.XLOOKUP(Jnl[[#This Row],[TrxId]], Trx[Id], Trx[IncNode], ,0)</f>
        <v>Revenue</v>
      </c>
      <c r="O515" t="str">
        <f>_xlfn.XLOOKUP(Jnl[[#This Row],[IncNode]], config_IS[Node], config_IS[Type],,0)</f>
        <v>Op</v>
      </c>
      <c r="P515" t="str">
        <f>_xlfn.XLOOKUP(Jnl[[#This Row],[BSLv2]], dict[Key], dict[Name],,0)</f>
        <v>1.应收-应付</v>
      </c>
      <c r="Q515" t="str">
        <f>_xlfn.XLOOKUP(Jnl[[#This Row],[Acct]], dict[Key], dict[Name],,0)</f>
        <v>应收-一般</v>
      </c>
      <c r="R515" t="str">
        <f>_xlfn.XLOOKUP(Jnl[[#This Row],[Vehicle]],config_vehicle[Id], config_vehicle[Name],,0)</f>
        <v>远家花园</v>
      </c>
      <c r="S515" t="str">
        <f>_xlfn.XLOOKUP(Jnl[[#This Row],[Division]],config_div[Id], config_div[Name],,0)</f>
        <v>网店</v>
      </c>
      <c r="T515" t="str">
        <f>IF(Jnl[[#This Row],[TrxDate]]&lt;=stmt_BS_date_end, "In", "Out")</f>
        <v>In</v>
      </c>
      <c r="U515" t="str">
        <f>IF(Jnl[[#This Row],[TrxDate]]&lt;debug_date_start, "prior", IF(Jnl[[#This Row],[TrxDate]]&gt;debug_date_end, "post", "curr"))</f>
        <v>prior</v>
      </c>
    </row>
    <row r="516" spans="1:21">
      <c r="A516" s="11" t="s">
        <v>715</v>
      </c>
      <c r="B516" s="7">
        <f>_xlfn.XLOOKUP(Jnl[[#This Row],[TrxId]], Trx[Id], Trx[Date],,0)</f>
        <v>46053</v>
      </c>
      <c r="C516" s="7" t="str">
        <f>_xlfn.XLOOKUP(Jnl[[#This Row],[TrxId]], Trx[Id], Trx[Division],,0)</f>
        <v>GM</v>
      </c>
      <c r="D516" s="7" t="str">
        <f>_xlfn.XLOOKUP(Jnl[[#This Row],[TrxId]], Trx[Id], Trx[Action],,0)</f>
        <v>福利</v>
      </c>
      <c r="E516" s="26" t="s">
        <v>80</v>
      </c>
      <c r="F516" s="11" t="s">
        <v>590</v>
      </c>
      <c r="G516" s="11" t="s">
        <v>391</v>
      </c>
      <c r="H516" s="72">
        <v>-1881.9</v>
      </c>
      <c r="I516" s="5" t="b">
        <f>AND(Jnl[[#This Row],[TrxId]]&lt;&gt;"",Jnl[[#This Row],[Acct]]&lt;&gt;"",Jnl[[#This Row],[Item]]&lt;&gt;"",ISNUMBER(Jnl[[#This Row],[Bal]]))</f>
        <v>1</v>
      </c>
      <c r="J516" s="10">
        <f>IF(Jnl[[#This Row],[BSLv0]]="A",1,-1)*Jnl[[#This Row],[Bal]]</f>
        <v>-1881.9</v>
      </c>
      <c r="K516" t="str">
        <f>_xlfn.XLOOKUP(Jnl[[#This Row],[Acct]], config_BS[Acct], config_BS[Lv0],,0)</f>
        <v>A</v>
      </c>
      <c r="L516" t="str">
        <f>_xlfn.XLOOKUP(Jnl[[#This Row],[Acct]], config_BS[Acct], config_BS[Lv1],,0)</f>
        <v>Assets</v>
      </c>
      <c r="M516" t="str">
        <f>_xlfn.XLOOKUP(Jnl[[#This Row],[Acct]], config_BS[Acct], config_BS[Lv2],,0)</f>
        <v>Cash alike</v>
      </c>
      <c r="N516" t="str">
        <f>_xlfn.XLOOKUP(Jnl[[#This Row],[TrxId]], Trx[Id], Trx[IncNode], ,0)</f>
        <v>Expense</v>
      </c>
      <c r="O516" t="str">
        <f>_xlfn.XLOOKUP(Jnl[[#This Row],[IncNode]], config_IS[Node], config_IS[Type],,0)</f>
        <v>Op</v>
      </c>
      <c r="P516" t="str">
        <f>_xlfn.XLOOKUP(Jnl[[#This Row],[BSLv2]], dict[Key], dict[Name],,0)</f>
        <v>0.现金及类似</v>
      </c>
      <c r="Q516" t="str">
        <f>_xlfn.XLOOKUP(Jnl[[#This Row],[Acct]], dict[Key], dict[Name],,0)</f>
        <v>银行</v>
      </c>
      <c r="R516" t="str">
        <f>_xlfn.XLOOKUP(Jnl[[#This Row],[Vehicle]],config_vehicle[Id], config_vehicle[Name],,0)</f>
        <v>远家花园</v>
      </c>
      <c r="S516" t="str">
        <f>_xlfn.XLOOKUP(Jnl[[#This Row],[Division]],config_div[Id], config_div[Name],,0)</f>
        <v>综合管理</v>
      </c>
      <c r="T516" t="str">
        <f>IF(Jnl[[#This Row],[TrxDate]]&lt;=stmt_BS_date_end, "In", "Out")</f>
        <v>In</v>
      </c>
      <c r="U516" t="str">
        <f>IF(Jnl[[#This Row],[TrxDate]]&lt;debug_date_start, "prior", IF(Jnl[[#This Row],[TrxDate]]&gt;debug_date_end, "post", "curr"))</f>
        <v>prior</v>
      </c>
    </row>
    <row r="517" spans="1:21">
      <c r="A517" s="11" t="s">
        <v>716</v>
      </c>
      <c r="B517" s="7">
        <f>_xlfn.XLOOKUP(Jnl[[#This Row],[TrxId]], Trx[Id], Trx[Date],,0)</f>
        <v>46053</v>
      </c>
      <c r="C517" s="7" t="str">
        <f>_xlfn.XLOOKUP(Jnl[[#This Row],[TrxId]], Trx[Id], Trx[Division],,0)</f>
        <v>GM</v>
      </c>
      <c r="D517" s="7" t="str">
        <f>_xlfn.XLOOKUP(Jnl[[#This Row],[TrxId]], Trx[Id], Trx[Action],,0)</f>
        <v>福利</v>
      </c>
      <c r="E517" s="26" t="s">
        <v>80</v>
      </c>
      <c r="F517" s="11" t="s">
        <v>590</v>
      </c>
      <c r="G517" s="11" t="s">
        <v>391</v>
      </c>
      <c r="H517" s="72">
        <v>-10283</v>
      </c>
      <c r="I517" s="5" t="b">
        <f>AND(Jnl[[#This Row],[TrxId]]&lt;&gt;"",Jnl[[#This Row],[Acct]]&lt;&gt;"",Jnl[[#This Row],[Item]]&lt;&gt;"",ISNUMBER(Jnl[[#This Row],[Bal]]))</f>
        <v>1</v>
      </c>
      <c r="J517" s="10">
        <f>IF(Jnl[[#This Row],[BSLv0]]="A",1,-1)*Jnl[[#This Row],[Bal]]</f>
        <v>-10283</v>
      </c>
      <c r="K517" t="str">
        <f>_xlfn.XLOOKUP(Jnl[[#This Row],[Acct]], config_BS[Acct], config_BS[Lv0],,0)</f>
        <v>A</v>
      </c>
      <c r="L517" t="str">
        <f>_xlfn.XLOOKUP(Jnl[[#This Row],[Acct]], config_BS[Acct], config_BS[Lv1],,0)</f>
        <v>Assets</v>
      </c>
      <c r="M517" t="str">
        <f>_xlfn.XLOOKUP(Jnl[[#This Row],[Acct]], config_BS[Acct], config_BS[Lv2],,0)</f>
        <v>Cash alike</v>
      </c>
      <c r="N517" t="str">
        <f>_xlfn.XLOOKUP(Jnl[[#This Row],[TrxId]], Trx[Id], Trx[IncNode], ,0)</f>
        <v>Expense</v>
      </c>
      <c r="O517" t="str">
        <f>_xlfn.XLOOKUP(Jnl[[#This Row],[IncNode]], config_IS[Node], config_IS[Type],,0)</f>
        <v>Op</v>
      </c>
      <c r="P517" t="str">
        <f>_xlfn.XLOOKUP(Jnl[[#This Row],[BSLv2]], dict[Key], dict[Name],,0)</f>
        <v>0.现金及类似</v>
      </c>
      <c r="Q517" t="str">
        <f>_xlfn.XLOOKUP(Jnl[[#This Row],[Acct]], dict[Key], dict[Name],,0)</f>
        <v>银行</v>
      </c>
      <c r="R517" t="str">
        <f>_xlfn.XLOOKUP(Jnl[[#This Row],[Vehicle]],config_vehicle[Id], config_vehicle[Name],,0)</f>
        <v>远家花园</v>
      </c>
      <c r="S517" t="str">
        <f>_xlfn.XLOOKUP(Jnl[[#This Row],[Division]],config_div[Id], config_div[Name],,0)</f>
        <v>综合管理</v>
      </c>
      <c r="T517" t="str">
        <f>IF(Jnl[[#This Row],[TrxDate]]&lt;=stmt_BS_date_end, "In", "Out")</f>
        <v>In</v>
      </c>
      <c r="U517" t="str">
        <f>IF(Jnl[[#This Row],[TrxDate]]&lt;debug_date_start, "prior", IF(Jnl[[#This Row],[TrxDate]]&gt;debug_date_end, "post", "curr"))</f>
        <v>prior</v>
      </c>
    </row>
    <row r="518" spans="1:21">
      <c r="A518" s="11" t="s">
        <v>717</v>
      </c>
      <c r="B518" s="7">
        <f>_xlfn.XLOOKUP(Jnl[[#This Row],[TrxId]], Trx[Id], Trx[Date],,0)</f>
        <v>46053</v>
      </c>
      <c r="C518" s="7" t="str">
        <f>_xlfn.XLOOKUP(Jnl[[#This Row],[TrxId]], Trx[Id], Trx[Division],,0)</f>
        <v>Online</v>
      </c>
      <c r="D518" s="7" t="str">
        <f>_xlfn.XLOOKUP(Jnl[[#This Row],[TrxId]], Trx[Id], Trx[Action],,0)</f>
        <v>采购</v>
      </c>
      <c r="E518" s="26" t="s">
        <v>80</v>
      </c>
      <c r="F518" s="11" t="s">
        <v>590</v>
      </c>
      <c r="G518" s="11" t="s">
        <v>391</v>
      </c>
      <c r="H518" s="72">
        <v>-1925</v>
      </c>
      <c r="I518" s="5" t="b">
        <f>AND(Jnl[[#This Row],[TrxId]]&lt;&gt;"",Jnl[[#This Row],[Acct]]&lt;&gt;"",Jnl[[#This Row],[Item]]&lt;&gt;"",ISNUMBER(Jnl[[#This Row],[Bal]]))</f>
        <v>1</v>
      </c>
      <c r="J518" s="10">
        <f>IF(Jnl[[#This Row],[BSLv0]]="A",1,-1)*Jnl[[#This Row],[Bal]]</f>
        <v>-1925</v>
      </c>
      <c r="K518" t="str">
        <f>_xlfn.XLOOKUP(Jnl[[#This Row],[Acct]], config_BS[Acct], config_BS[Lv0],,0)</f>
        <v>A</v>
      </c>
      <c r="L518" t="str">
        <f>_xlfn.XLOOKUP(Jnl[[#This Row],[Acct]], config_BS[Acct], config_BS[Lv1],,0)</f>
        <v>Assets</v>
      </c>
      <c r="M518" t="str">
        <f>_xlfn.XLOOKUP(Jnl[[#This Row],[Acct]], config_BS[Acct], config_BS[Lv2],,0)</f>
        <v>Cash alike</v>
      </c>
      <c r="N518" t="str">
        <f>_xlfn.XLOOKUP(Jnl[[#This Row],[TrxId]], Trx[Id], Trx[IncNode], ,0)</f>
        <v>Cost</v>
      </c>
      <c r="O518" t="str">
        <f>_xlfn.XLOOKUP(Jnl[[#This Row],[IncNode]], config_IS[Node], config_IS[Type],,0)</f>
        <v>Op</v>
      </c>
      <c r="P518" t="str">
        <f>_xlfn.XLOOKUP(Jnl[[#This Row],[BSLv2]], dict[Key], dict[Name],,0)</f>
        <v>0.现金及类似</v>
      </c>
      <c r="Q518" t="str">
        <f>_xlfn.XLOOKUP(Jnl[[#This Row],[Acct]], dict[Key], dict[Name],,0)</f>
        <v>银行</v>
      </c>
      <c r="R518" t="str">
        <f>_xlfn.XLOOKUP(Jnl[[#This Row],[Vehicle]],config_vehicle[Id], config_vehicle[Name],,0)</f>
        <v>远家花园</v>
      </c>
      <c r="S518" t="str">
        <f>_xlfn.XLOOKUP(Jnl[[#This Row],[Division]],config_div[Id], config_div[Name],,0)</f>
        <v>网店</v>
      </c>
      <c r="T518" t="str">
        <f>IF(Jnl[[#This Row],[TrxDate]]&lt;=stmt_BS_date_end, "In", "Out")</f>
        <v>In</v>
      </c>
      <c r="U518" t="str">
        <f>IF(Jnl[[#This Row],[TrxDate]]&lt;debug_date_start, "prior", IF(Jnl[[#This Row],[TrxDate]]&gt;debug_date_end, "post", "curr"))</f>
        <v>prior</v>
      </c>
    </row>
    <row r="519" spans="1:21">
      <c r="A519" s="11" t="s">
        <v>717</v>
      </c>
      <c r="B519" s="7">
        <f>_xlfn.XLOOKUP(Jnl[[#This Row],[TrxId]], Trx[Id], Trx[Date],,0)</f>
        <v>46053</v>
      </c>
      <c r="C519" s="7" t="str">
        <f>_xlfn.XLOOKUP(Jnl[[#This Row],[TrxId]], Trx[Id], Trx[Division],,0)</f>
        <v>Online</v>
      </c>
      <c r="D519" s="7" t="str">
        <f>_xlfn.XLOOKUP(Jnl[[#This Row],[TrxId]], Trx[Id], Trx[Action],,0)</f>
        <v>采购</v>
      </c>
      <c r="E519" s="26" t="s">
        <v>80</v>
      </c>
      <c r="F519" s="11" t="s">
        <v>598</v>
      </c>
      <c r="G519" s="11" t="s">
        <v>151</v>
      </c>
      <c r="H519" s="72">
        <v>1925</v>
      </c>
      <c r="I519" s="5" t="b">
        <f>AND(Jnl[[#This Row],[TrxId]]&lt;&gt;"",Jnl[[#This Row],[Acct]]&lt;&gt;"",Jnl[[#This Row],[Item]]&lt;&gt;"",ISNUMBER(Jnl[[#This Row],[Bal]]))</f>
        <v>1</v>
      </c>
      <c r="J519" s="10">
        <f>IF(Jnl[[#This Row],[BSLv0]]="A",1,-1)*Jnl[[#This Row],[Bal]]</f>
        <v>1925</v>
      </c>
      <c r="K519" t="str">
        <f>_xlfn.XLOOKUP(Jnl[[#This Row],[Acct]], config_BS[Acct], config_BS[Lv0],,0)</f>
        <v>A</v>
      </c>
      <c r="L519" t="str">
        <f>_xlfn.XLOOKUP(Jnl[[#This Row],[Acct]], config_BS[Acct], config_BS[Lv1],,0)</f>
        <v>Assets</v>
      </c>
      <c r="M519" t="str">
        <f>_xlfn.XLOOKUP(Jnl[[#This Row],[Acct]], config_BS[Acct], config_BS[Lv2],,0)</f>
        <v>Invtr</v>
      </c>
      <c r="N519" t="str">
        <f>_xlfn.XLOOKUP(Jnl[[#This Row],[TrxId]], Trx[Id], Trx[IncNode], ,0)</f>
        <v>Cost</v>
      </c>
      <c r="O519" t="str">
        <f>_xlfn.XLOOKUP(Jnl[[#This Row],[IncNode]], config_IS[Node], config_IS[Type],,0)</f>
        <v>Op</v>
      </c>
      <c r="P519" t="str">
        <f>_xlfn.XLOOKUP(Jnl[[#This Row],[BSLv2]], dict[Key], dict[Name],,0)</f>
        <v>3.库存占款</v>
      </c>
      <c r="Q519" t="str">
        <f>_xlfn.XLOOKUP(Jnl[[#This Row],[Acct]], dict[Key], dict[Name],,0)</f>
        <v>当期存货</v>
      </c>
      <c r="R519" t="str">
        <f>_xlfn.XLOOKUP(Jnl[[#This Row],[Vehicle]],config_vehicle[Id], config_vehicle[Name],,0)</f>
        <v>远家花园</v>
      </c>
      <c r="S519" t="str">
        <f>_xlfn.XLOOKUP(Jnl[[#This Row],[Division]],config_div[Id], config_div[Name],,0)</f>
        <v>网店</v>
      </c>
      <c r="T519" t="str">
        <f>IF(Jnl[[#This Row],[TrxDate]]&lt;=stmt_BS_date_end, "In", "Out")</f>
        <v>In</v>
      </c>
      <c r="U519" t="str">
        <f>IF(Jnl[[#This Row],[TrxDate]]&lt;debug_date_start, "prior", IF(Jnl[[#This Row],[TrxDate]]&gt;debug_date_end, "post", "curr"))</f>
        <v>prior</v>
      </c>
    </row>
    <row r="520" spans="1:21">
      <c r="A520" s="11" t="s">
        <v>718</v>
      </c>
      <c r="B520" s="7">
        <f>_xlfn.XLOOKUP(Jnl[[#This Row],[TrxId]], Trx[Id], Trx[Date],,0)</f>
        <v>46053</v>
      </c>
      <c r="C520" s="7" t="str">
        <f>_xlfn.XLOOKUP(Jnl[[#This Row],[TrxId]], Trx[Id], Trx[Division],,0)</f>
        <v>Online</v>
      </c>
      <c r="D520" s="7" t="str">
        <f>_xlfn.XLOOKUP(Jnl[[#This Row],[TrxId]], Trx[Id], Trx[Action],,0)</f>
        <v>物流</v>
      </c>
      <c r="E520" s="26" t="s">
        <v>80</v>
      </c>
      <c r="F520" s="11" t="s">
        <v>590</v>
      </c>
      <c r="G520" s="11" t="s">
        <v>391</v>
      </c>
      <c r="H520" s="72">
        <v>-2771.95</v>
      </c>
      <c r="I520" s="5" t="b">
        <f>AND(Jnl[[#This Row],[TrxId]]&lt;&gt;"",Jnl[[#This Row],[Acct]]&lt;&gt;"",Jnl[[#This Row],[Item]]&lt;&gt;"",ISNUMBER(Jnl[[#This Row],[Bal]]))</f>
        <v>1</v>
      </c>
      <c r="J520" s="10">
        <f>IF(Jnl[[#This Row],[BSLv0]]="A",1,-1)*Jnl[[#This Row],[Bal]]</f>
        <v>-2771.95</v>
      </c>
      <c r="K520" t="str">
        <f>_xlfn.XLOOKUP(Jnl[[#This Row],[Acct]], config_BS[Acct], config_BS[Lv0],,0)</f>
        <v>A</v>
      </c>
      <c r="L520" t="str">
        <f>_xlfn.XLOOKUP(Jnl[[#This Row],[Acct]], config_BS[Acct], config_BS[Lv1],,0)</f>
        <v>Assets</v>
      </c>
      <c r="M520" t="str">
        <f>_xlfn.XLOOKUP(Jnl[[#This Row],[Acct]], config_BS[Acct], config_BS[Lv2],,0)</f>
        <v>Cash alike</v>
      </c>
      <c r="N520" t="str">
        <f>_xlfn.XLOOKUP(Jnl[[#This Row],[TrxId]], Trx[Id], Trx[IncNode], ,0)</f>
        <v>Expense</v>
      </c>
      <c r="O520" t="str">
        <f>_xlfn.XLOOKUP(Jnl[[#This Row],[IncNode]], config_IS[Node], config_IS[Type],,0)</f>
        <v>Op</v>
      </c>
      <c r="P520" t="str">
        <f>_xlfn.XLOOKUP(Jnl[[#This Row],[BSLv2]], dict[Key], dict[Name],,0)</f>
        <v>0.现金及类似</v>
      </c>
      <c r="Q520" t="str">
        <f>_xlfn.XLOOKUP(Jnl[[#This Row],[Acct]], dict[Key], dict[Name],,0)</f>
        <v>银行</v>
      </c>
      <c r="R520" t="str">
        <f>_xlfn.XLOOKUP(Jnl[[#This Row],[Vehicle]],config_vehicle[Id], config_vehicle[Name],,0)</f>
        <v>远家花园</v>
      </c>
      <c r="S520" t="str">
        <f>_xlfn.XLOOKUP(Jnl[[#This Row],[Division]],config_div[Id], config_div[Name],,0)</f>
        <v>网店</v>
      </c>
      <c r="T520" t="str">
        <f>IF(Jnl[[#This Row],[TrxDate]]&lt;=stmt_BS_date_end, "In", "Out")</f>
        <v>In</v>
      </c>
      <c r="U520" t="str">
        <f>IF(Jnl[[#This Row],[TrxDate]]&lt;debug_date_start, "prior", IF(Jnl[[#This Row],[TrxDate]]&gt;debug_date_end, "post", "curr"))</f>
        <v>prior</v>
      </c>
    </row>
    <row r="521" spans="1:21">
      <c r="A521" s="11" t="s">
        <v>719</v>
      </c>
      <c r="B521" s="7">
        <f>_xlfn.XLOOKUP(Jnl[[#This Row],[TrxId]], Trx[Id], Trx[Date],,0)</f>
        <v>46053</v>
      </c>
      <c r="C521" s="7" t="str">
        <f>_xlfn.XLOOKUP(Jnl[[#This Row],[TrxId]], Trx[Id], Trx[Division],,0)</f>
        <v>Online</v>
      </c>
      <c r="D521" s="7" t="str">
        <f>_xlfn.XLOOKUP(Jnl[[#This Row],[TrxId]], Trx[Id], Trx[Action],,0)</f>
        <v>物流</v>
      </c>
      <c r="E521" s="26" t="s">
        <v>80</v>
      </c>
      <c r="F521" s="11" t="s">
        <v>590</v>
      </c>
      <c r="G521" s="11" t="s">
        <v>391</v>
      </c>
      <c r="H521" s="72">
        <v>-62132</v>
      </c>
      <c r="I521" s="5" t="b">
        <f>AND(Jnl[[#This Row],[TrxId]]&lt;&gt;"",Jnl[[#This Row],[Acct]]&lt;&gt;"",Jnl[[#This Row],[Item]]&lt;&gt;"",ISNUMBER(Jnl[[#This Row],[Bal]]))</f>
        <v>1</v>
      </c>
      <c r="J521" s="10">
        <f>IF(Jnl[[#This Row],[BSLv0]]="A",1,-1)*Jnl[[#This Row],[Bal]]</f>
        <v>-62132</v>
      </c>
      <c r="K521" t="str">
        <f>_xlfn.XLOOKUP(Jnl[[#This Row],[Acct]], config_BS[Acct], config_BS[Lv0],,0)</f>
        <v>A</v>
      </c>
      <c r="L521" t="str">
        <f>_xlfn.XLOOKUP(Jnl[[#This Row],[Acct]], config_BS[Acct], config_BS[Lv1],,0)</f>
        <v>Assets</v>
      </c>
      <c r="M521" t="str">
        <f>_xlfn.XLOOKUP(Jnl[[#This Row],[Acct]], config_BS[Acct], config_BS[Lv2],,0)</f>
        <v>Cash alike</v>
      </c>
      <c r="N521" t="str">
        <f>_xlfn.XLOOKUP(Jnl[[#This Row],[TrxId]], Trx[Id], Trx[IncNode], ,0)</f>
        <v>Expense</v>
      </c>
      <c r="O521" t="str">
        <f>_xlfn.XLOOKUP(Jnl[[#This Row],[IncNode]], config_IS[Node], config_IS[Type],,0)</f>
        <v>Op</v>
      </c>
      <c r="P521" t="str">
        <f>_xlfn.XLOOKUP(Jnl[[#This Row],[BSLv2]], dict[Key], dict[Name],,0)</f>
        <v>0.现金及类似</v>
      </c>
      <c r="Q521" t="str">
        <f>_xlfn.XLOOKUP(Jnl[[#This Row],[Acct]], dict[Key], dict[Name],,0)</f>
        <v>银行</v>
      </c>
      <c r="R521" t="str">
        <f>_xlfn.XLOOKUP(Jnl[[#This Row],[Vehicle]],config_vehicle[Id], config_vehicle[Name],,0)</f>
        <v>远家花园</v>
      </c>
      <c r="S521" t="str">
        <f>_xlfn.XLOOKUP(Jnl[[#This Row],[Division]],config_div[Id], config_div[Name],,0)</f>
        <v>网店</v>
      </c>
      <c r="T521" t="str">
        <f>IF(Jnl[[#This Row],[TrxDate]]&lt;=stmt_BS_date_end, "In", "Out")</f>
        <v>In</v>
      </c>
      <c r="U521" t="str">
        <f>IF(Jnl[[#This Row],[TrxDate]]&lt;debug_date_start, "prior", IF(Jnl[[#This Row],[TrxDate]]&gt;debug_date_end, "post", "curr"))</f>
        <v>prior</v>
      </c>
    </row>
    <row r="522" spans="1:21">
      <c r="A522" s="11" t="s">
        <v>720</v>
      </c>
      <c r="B522" s="7">
        <f>_xlfn.XLOOKUP(Jnl[[#This Row],[TrxId]], Trx[Id], Trx[Date],,0)</f>
        <v>46053</v>
      </c>
      <c r="C522" s="7" t="str">
        <f>_xlfn.XLOOKUP(Jnl[[#This Row],[TrxId]], Trx[Id], Trx[Division],,0)</f>
        <v>Online</v>
      </c>
      <c r="D522" s="7" t="str">
        <f>_xlfn.XLOOKUP(Jnl[[#This Row],[TrxId]], Trx[Id], Trx[Action],,0)</f>
        <v>物流</v>
      </c>
      <c r="E522" s="26" t="s">
        <v>80</v>
      </c>
      <c r="F522" s="11" t="s">
        <v>590</v>
      </c>
      <c r="G522" s="11" t="s">
        <v>391</v>
      </c>
      <c r="H522" s="72">
        <v>-14284</v>
      </c>
      <c r="I522" s="5" t="b">
        <f>AND(Jnl[[#This Row],[TrxId]]&lt;&gt;"",Jnl[[#This Row],[Acct]]&lt;&gt;"",Jnl[[#This Row],[Item]]&lt;&gt;"",ISNUMBER(Jnl[[#This Row],[Bal]]))</f>
        <v>1</v>
      </c>
      <c r="J522" s="10">
        <f>IF(Jnl[[#This Row],[BSLv0]]="A",1,-1)*Jnl[[#This Row],[Bal]]</f>
        <v>-14284</v>
      </c>
      <c r="K522" t="str">
        <f>_xlfn.XLOOKUP(Jnl[[#This Row],[Acct]], config_BS[Acct], config_BS[Lv0],,0)</f>
        <v>A</v>
      </c>
      <c r="L522" t="str">
        <f>_xlfn.XLOOKUP(Jnl[[#This Row],[Acct]], config_BS[Acct], config_BS[Lv1],,0)</f>
        <v>Assets</v>
      </c>
      <c r="M522" t="str">
        <f>_xlfn.XLOOKUP(Jnl[[#This Row],[Acct]], config_BS[Acct], config_BS[Lv2],,0)</f>
        <v>Cash alike</v>
      </c>
      <c r="N522" t="str">
        <f>_xlfn.XLOOKUP(Jnl[[#This Row],[TrxId]], Trx[Id], Trx[IncNode], ,0)</f>
        <v>Expense</v>
      </c>
      <c r="O522" t="str">
        <f>_xlfn.XLOOKUP(Jnl[[#This Row],[IncNode]], config_IS[Node], config_IS[Type],,0)</f>
        <v>Op</v>
      </c>
      <c r="P522" t="str">
        <f>_xlfn.XLOOKUP(Jnl[[#This Row],[BSLv2]], dict[Key], dict[Name],,0)</f>
        <v>0.现金及类似</v>
      </c>
      <c r="Q522" t="str">
        <f>_xlfn.XLOOKUP(Jnl[[#This Row],[Acct]], dict[Key], dict[Name],,0)</f>
        <v>银行</v>
      </c>
      <c r="R522" t="str">
        <f>_xlfn.XLOOKUP(Jnl[[#This Row],[Vehicle]],config_vehicle[Id], config_vehicle[Name],,0)</f>
        <v>远家花园</v>
      </c>
      <c r="S522" t="str">
        <f>_xlfn.XLOOKUP(Jnl[[#This Row],[Division]],config_div[Id], config_div[Name],,0)</f>
        <v>网店</v>
      </c>
      <c r="T522" t="str">
        <f>IF(Jnl[[#This Row],[TrxDate]]&lt;=stmt_BS_date_end, "In", "Out")</f>
        <v>In</v>
      </c>
      <c r="U522" t="str">
        <f>IF(Jnl[[#This Row],[TrxDate]]&lt;debug_date_start, "prior", IF(Jnl[[#This Row],[TrxDate]]&gt;debug_date_end, "post", "curr"))</f>
        <v>prior</v>
      </c>
    </row>
    <row r="523" spans="1:21">
      <c r="A523" s="11" t="s">
        <v>721</v>
      </c>
      <c r="B523" s="7">
        <f>_xlfn.XLOOKUP(Jnl[[#This Row],[TrxId]], Trx[Id], Trx[Date],,0)</f>
        <v>46053</v>
      </c>
      <c r="C523" s="7" t="str">
        <f>_xlfn.XLOOKUP(Jnl[[#This Row],[TrxId]], Trx[Id], Trx[Division],,0)</f>
        <v>Online</v>
      </c>
      <c r="D523" s="7" t="str">
        <f>_xlfn.XLOOKUP(Jnl[[#This Row],[TrxId]], Trx[Id], Trx[Action],,0)</f>
        <v>包装</v>
      </c>
      <c r="E523" s="26" t="s">
        <v>80</v>
      </c>
      <c r="F523" s="11" t="s">
        <v>590</v>
      </c>
      <c r="G523" s="11" t="s">
        <v>391</v>
      </c>
      <c r="H523" s="72">
        <v>-277</v>
      </c>
      <c r="I523" s="5" t="b">
        <f>AND(Jnl[[#This Row],[TrxId]]&lt;&gt;"",Jnl[[#This Row],[Acct]]&lt;&gt;"",Jnl[[#This Row],[Item]]&lt;&gt;"",ISNUMBER(Jnl[[#This Row],[Bal]]))</f>
        <v>1</v>
      </c>
      <c r="J523" s="10">
        <f>IF(Jnl[[#This Row],[BSLv0]]="A",1,-1)*Jnl[[#This Row],[Bal]]</f>
        <v>-277</v>
      </c>
      <c r="K523" t="str">
        <f>_xlfn.XLOOKUP(Jnl[[#This Row],[Acct]], config_BS[Acct], config_BS[Lv0],,0)</f>
        <v>A</v>
      </c>
      <c r="L523" t="str">
        <f>_xlfn.XLOOKUP(Jnl[[#This Row],[Acct]], config_BS[Acct], config_BS[Lv1],,0)</f>
        <v>Assets</v>
      </c>
      <c r="M523" t="str">
        <f>_xlfn.XLOOKUP(Jnl[[#This Row],[Acct]], config_BS[Acct], config_BS[Lv2],,0)</f>
        <v>Cash alike</v>
      </c>
      <c r="N523" t="str">
        <f>_xlfn.XLOOKUP(Jnl[[#This Row],[TrxId]], Trx[Id], Trx[IncNode], ,0)</f>
        <v>Cost</v>
      </c>
      <c r="O523" t="str">
        <f>_xlfn.XLOOKUP(Jnl[[#This Row],[IncNode]], config_IS[Node], config_IS[Type],,0)</f>
        <v>Op</v>
      </c>
      <c r="P523" t="str">
        <f>_xlfn.XLOOKUP(Jnl[[#This Row],[BSLv2]], dict[Key], dict[Name],,0)</f>
        <v>0.现金及类似</v>
      </c>
      <c r="Q523" t="str">
        <f>_xlfn.XLOOKUP(Jnl[[#This Row],[Acct]], dict[Key], dict[Name],,0)</f>
        <v>银行</v>
      </c>
      <c r="R523" t="str">
        <f>_xlfn.XLOOKUP(Jnl[[#This Row],[Vehicle]],config_vehicle[Id], config_vehicle[Name],,0)</f>
        <v>远家花园</v>
      </c>
      <c r="S523" t="str">
        <f>_xlfn.XLOOKUP(Jnl[[#This Row],[Division]],config_div[Id], config_div[Name],,0)</f>
        <v>网店</v>
      </c>
      <c r="T523" t="str">
        <f>IF(Jnl[[#This Row],[TrxDate]]&lt;=stmt_BS_date_end, "In", "Out")</f>
        <v>In</v>
      </c>
      <c r="U523" t="str">
        <f>IF(Jnl[[#This Row],[TrxDate]]&lt;debug_date_start, "prior", IF(Jnl[[#This Row],[TrxDate]]&gt;debug_date_end, "post", "curr"))</f>
        <v>prior</v>
      </c>
    </row>
    <row r="524" spans="1:21">
      <c r="A524" s="11" t="s">
        <v>723</v>
      </c>
      <c r="B524" s="7">
        <f>_xlfn.XLOOKUP(Jnl[[#This Row],[TrxId]], Trx[Id], Trx[Date],,0)</f>
        <v>46053</v>
      </c>
      <c r="C524" s="7" t="str">
        <f>_xlfn.XLOOKUP(Jnl[[#This Row],[TrxId]], Trx[Id], Trx[Division],,0)</f>
        <v>Online</v>
      </c>
      <c r="D524" s="7" t="str">
        <f>_xlfn.XLOOKUP(Jnl[[#This Row],[TrxId]], Trx[Id], Trx[Action],,0)</f>
        <v>包装</v>
      </c>
      <c r="E524" s="26" t="s">
        <v>80</v>
      </c>
      <c r="F524" s="11" t="s">
        <v>590</v>
      </c>
      <c r="G524" s="11" t="s">
        <v>391</v>
      </c>
      <c r="H524" s="72">
        <v>-606.97</v>
      </c>
      <c r="I524" s="5" t="b">
        <f>AND(Jnl[[#This Row],[TrxId]]&lt;&gt;"",Jnl[[#This Row],[Acct]]&lt;&gt;"",Jnl[[#This Row],[Item]]&lt;&gt;"",ISNUMBER(Jnl[[#This Row],[Bal]]))</f>
        <v>1</v>
      </c>
      <c r="J524" s="10">
        <f>IF(Jnl[[#This Row],[BSLv0]]="A",1,-1)*Jnl[[#This Row],[Bal]]</f>
        <v>-606.97</v>
      </c>
      <c r="K524" t="str">
        <f>_xlfn.XLOOKUP(Jnl[[#This Row],[Acct]], config_BS[Acct], config_BS[Lv0],,0)</f>
        <v>A</v>
      </c>
      <c r="L524" t="str">
        <f>_xlfn.XLOOKUP(Jnl[[#This Row],[Acct]], config_BS[Acct], config_BS[Lv1],,0)</f>
        <v>Assets</v>
      </c>
      <c r="M524" t="str">
        <f>_xlfn.XLOOKUP(Jnl[[#This Row],[Acct]], config_BS[Acct], config_BS[Lv2],,0)</f>
        <v>Cash alike</v>
      </c>
      <c r="N524" t="str">
        <f>_xlfn.XLOOKUP(Jnl[[#This Row],[TrxId]], Trx[Id], Trx[IncNode], ,0)</f>
        <v>Cost</v>
      </c>
      <c r="O524" t="str">
        <f>_xlfn.XLOOKUP(Jnl[[#This Row],[IncNode]], config_IS[Node], config_IS[Type],,0)</f>
        <v>Op</v>
      </c>
      <c r="P524" t="str">
        <f>_xlfn.XLOOKUP(Jnl[[#This Row],[BSLv2]], dict[Key], dict[Name],,0)</f>
        <v>0.现金及类似</v>
      </c>
      <c r="Q524" t="str">
        <f>_xlfn.XLOOKUP(Jnl[[#This Row],[Acct]], dict[Key], dict[Name],,0)</f>
        <v>银行</v>
      </c>
      <c r="R524" t="str">
        <f>_xlfn.XLOOKUP(Jnl[[#This Row],[Vehicle]],config_vehicle[Id], config_vehicle[Name],,0)</f>
        <v>远家花园</v>
      </c>
      <c r="S524" t="str">
        <f>_xlfn.XLOOKUP(Jnl[[#This Row],[Division]],config_div[Id], config_div[Name],,0)</f>
        <v>网店</v>
      </c>
      <c r="T524" t="str">
        <f>IF(Jnl[[#This Row],[TrxDate]]&lt;=stmt_BS_date_end, "In", "Out")</f>
        <v>In</v>
      </c>
      <c r="U524" t="str">
        <f>IF(Jnl[[#This Row],[TrxDate]]&lt;debug_date_start, "prior", IF(Jnl[[#This Row],[TrxDate]]&gt;debug_date_end, "post", "curr"))</f>
        <v>prior</v>
      </c>
    </row>
    <row r="525" spans="1:21">
      <c r="A525" s="11" t="s">
        <v>724</v>
      </c>
      <c r="B525" s="7">
        <f>_xlfn.XLOOKUP(Jnl[[#This Row],[TrxId]], Trx[Id], Trx[Date],,0)</f>
        <v>46053</v>
      </c>
      <c r="C525" s="7" t="str">
        <f>_xlfn.XLOOKUP(Jnl[[#This Row],[TrxId]], Trx[Id], Trx[Division],,0)</f>
        <v>Brand</v>
      </c>
      <c r="D525" s="7" t="str">
        <f>_xlfn.XLOOKUP(Jnl[[#This Row],[TrxId]], Trx[Id], Trx[Action],,0)</f>
        <v>拍摄</v>
      </c>
      <c r="E525" s="26" t="s">
        <v>80</v>
      </c>
      <c r="F525" s="11" t="s">
        <v>590</v>
      </c>
      <c r="G525" s="11" t="s">
        <v>391</v>
      </c>
      <c r="H525" s="72">
        <v>-40.700000000000003</v>
      </c>
      <c r="I525" s="5" t="b">
        <f>AND(Jnl[[#This Row],[TrxId]]&lt;&gt;"",Jnl[[#This Row],[Acct]]&lt;&gt;"",Jnl[[#This Row],[Item]]&lt;&gt;"",ISNUMBER(Jnl[[#This Row],[Bal]]))</f>
        <v>1</v>
      </c>
      <c r="J525" s="10">
        <f>IF(Jnl[[#This Row],[BSLv0]]="A",1,-1)*Jnl[[#This Row],[Bal]]</f>
        <v>-40.700000000000003</v>
      </c>
      <c r="K525" t="str">
        <f>_xlfn.XLOOKUP(Jnl[[#This Row],[Acct]], config_BS[Acct], config_BS[Lv0],,0)</f>
        <v>A</v>
      </c>
      <c r="L525" t="str">
        <f>_xlfn.XLOOKUP(Jnl[[#This Row],[Acct]], config_BS[Acct], config_BS[Lv1],,0)</f>
        <v>Assets</v>
      </c>
      <c r="M525" t="str">
        <f>_xlfn.XLOOKUP(Jnl[[#This Row],[Acct]], config_BS[Acct], config_BS[Lv2],,0)</f>
        <v>Cash alike</v>
      </c>
      <c r="N525" t="str">
        <f>_xlfn.XLOOKUP(Jnl[[#This Row],[TrxId]], Trx[Id], Trx[IncNode], ,0)</f>
        <v>Expense</v>
      </c>
      <c r="O525" t="str">
        <f>_xlfn.XLOOKUP(Jnl[[#This Row],[IncNode]], config_IS[Node], config_IS[Type],,0)</f>
        <v>Op</v>
      </c>
      <c r="P525" t="str">
        <f>_xlfn.XLOOKUP(Jnl[[#This Row],[BSLv2]], dict[Key], dict[Name],,0)</f>
        <v>0.现金及类似</v>
      </c>
      <c r="Q525" t="str">
        <f>_xlfn.XLOOKUP(Jnl[[#This Row],[Acct]], dict[Key], dict[Name],,0)</f>
        <v>银行</v>
      </c>
      <c r="R525" t="str">
        <f>_xlfn.XLOOKUP(Jnl[[#This Row],[Vehicle]],config_vehicle[Id], config_vehicle[Name],,0)</f>
        <v>远家花园</v>
      </c>
      <c r="S525" t="str">
        <f>_xlfn.XLOOKUP(Jnl[[#This Row],[Division]],config_div[Id], config_div[Name],,0)</f>
        <v>品牌</v>
      </c>
      <c r="T525" t="str">
        <f>IF(Jnl[[#This Row],[TrxDate]]&lt;=stmt_BS_date_end, "In", "Out")</f>
        <v>In</v>
      </c>
      <c r="U525" t="str">
        <f>IF(Jnl[[#This Row],[TrxDate]]&lt;debug_date_start, "prior", IF(Jnl[[#This Row],[TrxDate]]&gt;debug_date_end, "post", "curr"))</f>
        <v>prior</v>
      </c>
    </row>
    <row r="526" spans="1:21">
      <c r="A526" s="11" t="s">
        <v>726</v>
      </c>
      <c r="B526" s="7">
        <f>_xlfn.XLOOKUP(Jnl[[#This Row],[TrxId]], Trx[Id], Trx[Date],,0)</f>
        <v>46053</v>
      </c>
      <c r="C526" s="7" t="str">
        <f>_xlfn.XLOOKUP(Jnl[[#This Row],[TrxId]], Trx[Id], Trx[Division],,0)</f>
        <v>Online</v>
      </c>
      <c r="D526" s="7" t="str">
        <f>_xlfn.XLOOKUP(Jnl[[#This Row],[TrxId]], Trx[Id], Trx[Action],,0)</f>
        <v>平台费</v>
      </c>
      <c r="E526" s="26" t="s">
        <v>80</v>
      </c>
      <c r="F526" s="11" t="s">
        <v>593</v>
      </c>
      <c r="G526" s="11" t="s">
        <v>594</v>
      </c>
      <c r="H526" s="72">
        <v>-140991.12</v>
      </c>
      <c r="I526" s="5" t="b">
        <f>AND(Jnl[[#This Row],[TrxId]]&lt;&gt;"",Jnl[[#This Row],[Acct]]&lt;&gt;"",Jnl[[#This Row],[Item]]&lt;&gt;"",ISNUMBER(Jnl[[#This Row],[Bal]]))</f>
        <v>1</v>
      </c>
      <c r="J526" s="10">
        <f>IF(Jnl[[#This Row],[BSLv0]]="A",1,-1)*Jnl[[#This Row],[Bal]]</f>
        <v>-140991.12</v>
      </c>
      <c r="K526" t="str">
        <f>_xlfn.XLOOKUP(Jnl[[#This Row],[Acct]], config_BS[Acct], config_BS[Lv0],,0)</f>
        <v>A</v>
      </c>
      <c r="L526" t="str">
        <f>_xlfn.XLOOKUP(Jnl[[#This Row],[Acct]], config_BS[Acct], config_BS[Lv1],,0)</f>
        <v>Assets</v>
      </c>
      <c r="M526" t="str">
        <f>_xlfn.XLOOKUP(Jnl[[#This Row],[Acct]], config_BS[Acct], config_BS[Lv2],,0)</f>
        <v>Rec-Pay</v>
      </c>
      <c r="N526" t="str">
        <f>_xlfn.XLOOKUP(Jnl[[#This Row],[TrxId]], Trx[Id], Trx[IncNode], ,0)</f>
        <v>Expense</v>
      </c>
      <c r="O526" t="str">
        <f>_xlfn.XLOOKUP(Jnl[[#This Row],[IncNode]], config_IS[Node], config_IS[Type],,0)</f>
        <v>Op</v>
      </c>
      <c r="P526" t="str">
        <f>_xlfn.XLOOKUP(Jnl[[#This Row],[BSLv2]], dict[Key], dict[Name],,0)</f>
        <v>1.应收-应付</v>
      </c>
      <c r="Q526" t="str">
        <f>_xlfn.XLOOKUP(Jnl[[#This Row],[Acct]], dict[Key], dict[Name],,0)</f>
        <v>应收-一般</v>
      </c>
      <c r="R526" t="str">
        <f>_xlfn.XLOOKUP(Jnl[[#This Row],[Vehicle]],config_vehicle[Id], config_vehicle[Name],,0)</f>
        <v>远家花园</v>
      </c>
      <c r="S526" t="str">
        <f>_xlfn.XLOOKUP(Jnl[[#This Row],[Division]],config_div[Id], config_div[Name],,0)</f>
        <v>网店</v>
      </c>
      <c r="T526" t="str">
        <f>IF(Jnl[[#This Row],[TrxDate]]&lt;=stmt_BS_date_end, "In", "Out")</f>
        <v>In</v>
      </c>
      <c r="U526" t="str">
        <f>IF(Jnl[[#This Row],[TrxDate]]&lt;debug_date_start, "prior", IF(Jnl[[#This Row],[TrxDate]]&gt;debug_date_end, "post", "curr"))</f>
        <v>prior</v>
      </c>
    </row>
    <row r="527" spans="1:21">
      <c r="A527" s="11" t="s">
        <v>938</v>
      </c>
      <c r="B527" s="7">
        <f>_xlfn.XLOOKUP(Jnl[[#This Row],[TrxId]], Trx[Id], Trx[Date],,0)</f>
        <v>46053</v>
      </c>
      <c r="C527" s="7" t="str">
        <f>_xlfn.XLOOKUP(Jnl[[#This Row],[TrxId]], Trx[Id], Trx[Division],,0)</f>
        <v>Online</v>
      </c>
      <c r="D527" s="7" t="str">
        <f>_xlfn.XLOOKUP(Jnl[[#This Row],[TrxId]], Trx[Id], Trx[Action],,0)</f>
        <v>服饰</v>
      </c>
      <c r="E527" s="26" t="s">
        <v>80</v>
      </c>
      <c r="F527" s="11" t="s">
        <v>593</v>
      </c>
      <c r="G527" s="11" t="s">
        <v>594</v>
      </c>
      <c r="H527" s="72">
        <f>-H526</f>
        <v>140991.12</v>
      </c>
      <c r="I527" s="5" t="b">
        <f>AND(Jnl[[#This Row],[TrxId]]&lt;&gt;"",Jnl[[#This Row],[Acct]]&lt;&gt;"",Jnl[[#This Row],[Item]]&lt;&gt;"",ISNUMBER(Jnl[[#This Row],[Bal]]))</f>
        <v>1</v>
      </c>
      <c r="J527" s="10">
        <f>IF(Jnl[[#This Row],[BSLv0]]="A",1,-1)*Jnl[[#This Row],[Bal]]</f>
        <v>140991.12</v>
      </c>
      <c r="K527" t="str">
        <f>_xlfn.XLOOKUP(Jnl[[#This Row],[Acct]], config_BS[Acct], config_BS[Lv0],,0)</f>
        <v>A</v>
      </c>
      <c r="L527" t="str">
        <f>_xlfn.XLOOKUP(Jnl[[#This Row],[Acct]], config_BS[Acct], config_BS[Lv1],,0)</f>
        <v>Assets</v>
      </c>
      <c r="M527" t="str">
        <f>_xlfn.XLOOKUP(Jnl[[#This Row],[Acct]], config_BS[Acct], config_BS[Lv2],,0)</f>
        <v>Rec-Pay</v>
      </c>
      <c r="N527" t="str">
        <f>_xlfn.XLOOKUP(Jnl[[#This Row],[TrxId]], Trx[Id], Trx[IncNode], ,0)</f>
        <v>Revenue</v>
      </c>
      <c r="O527" t="str">
        <f>_xlfn.XLOOKUP(Jnl[[#This Row],[IncNode]], config_IS[Node], config_IS[Type],,0)</f>
        <v>Op</v>
      </c>
      <c r="P527" t="str">
        <f>_xlfn.XLOOKUP(Jnl[[#This Row],[BSLv2]], dict[Key], dict[Name],,0)</f>
        <v>1.应收-应付</v>
      </c>
      <c r="Q527" t="str">
        <f>_xlfn.XLOOKUP(Jnl[[#This Row],[Acct]], dict[Key], dict[Name],,0)</f>
        <v>应收-一般</v>
      </c>
      <c r="R527" t="str">
        <f>_xlfn.XLOOKUP(Jnl[[#This Row],[Vehicle]],config_vehicle[Id], config_vehicle[Name],,0)</f>
        <v>远家花园</v>
      </c>
      <c r="S527" t="str">
        <f>_xlfn.XLOOKUP(Jnl[[#This Row],[Division]],config_div[Id], config_div[Name],,0)</f>
        <v>网店</v>
      </c>
      <c r="T527" t="str">
        <f>IF(Jnl[[#This Row],[TrxDate]]&lt;=stmt_BS_date_end, "In", "Out")</f>
        <v>In</v>
      </c>
      <c r="U527" t="str">
        <f>IF(Jnl[[#This Row],[TrxDate]]&lt;debug_date_start, "prior", IF(Jnl[[#This Row],[TrxDate]]&gt;debug_date_end, "post", "curr"))</f>
        <v>prior</v>
      </c>
    </row>
    <row r="528" spans="1:21">
      <c r="A528" s="11" t="s">
        <v>727</v>
      </c>
      <c r="B528" s="7">
        <f>_xlfn.XLOOKUP(Jnl[[#This Row],[TrxId]], Trx[Id], Trx[Date],,0)</f>
        <v>46053</v>
      </c>
      <c r="C528" s="7" t="str">
        <f>_xlfn.XLOOKUP(Jnl[[#This Row],[TrxId]], Trx[Id], Trx[Division],,0)</f>
        <v>Online</v>
      </c>
      <c r="D528" s="7" t="str">
        <f>_xlfn.XLOOKUP(Jnl[[#This Row],[TrxId]], Trx[Id], Trx[Action],,0)</f>
        <v>采购</v>
      </c>
      <c r="E528" s="26" t="s">
        <v>80</v>
      </c>
      <c r="F528" s="11" t="s">
        <v>598</v>
      </c>
      <c r="G528" s="11" t="s">
        <v>151</v>
      </c>
      <c r="H528" s="72">
        <v>1625</v>
      </c>
      <c r="I528" s="5" t="b">
        <f>AND(Jnl[[#This Row],[TrxId]]&lt;&gt;"",Jnl[[#This Row],[Acct]]&lt;&gt;"",Jnl[[#This Row],[Item]]&lt;&gt;"",ISNUMBER(Jnl[[#This Row],[Bal]]))</f>
        <v>1</v>
      </c>
      <c r="J528" s="10">
        <f>IF(Jnl[[#This Row],[BSLv0]]="A",1,-1)*Jnl[[#This Row],[Bal]]</f>
        <v>1625</v>
      </c>
      <c r="K528" t="str">
        <f>_xlfn.XLOOKUP(Jnl[[#This Row],[Acct]], config_BS[Acct], config_BS[Lv0],,0)</f>
        <v>A</v>
      </c>
      <c r="L528" t="str">
        <f>_xlfn.XLOOKUP(Jnl[[#This Row],[Acct]], config_BS[Acct], config_BS[Lv1],,0)</f>
        <v>Assets</v>
      </c>
      <c r="M528" t="str">
        <f>_xlfn.XLOOKUP(Jnl[[#This Row],[Acct]], config_BS[Acct], config_BS[Lv2],,0)</f>
        <v>Invtr</v>
      </c>
      <c r="N528" t="str">
        <f>_xlfn.XLOOKUP(Jnl[[#This Row],[TrxId]], Trx[Id], Trx[IncNode], ,0)</f>
        <v>Cost</v>
      </c>
      <c r="O528" t="str">
        <f>_xlfn.XLOOKUP(Jnl[[#This Row],[IncNode]], config_IS[Node], config_IS[Type],,0)</f>
        <v>Op</v>
      </c>
      <c r="P528" t="str">
        <f>_xlfn.XLOOKUP(Jnl[[#This Row],[BSLv2]], dict[Key], dict[Name],,0)</f>
        <v>3.库存占款</v>
      </c>
      <c r="Q528" t="str">
        <f>_xlfn.XLOOKUP(Jnl[[#This Row],[Acct]], dict[Key], dict[Name],,0)</f>
        <v>当期存货</v>
      </c>
      <c r="R528" t="str">
        <f>_xlfn.XLOOKUP(Jnl[[#This Row],[Vehicle]],config_vehicle[Id], config_vehicle[Name],,0)</f>
        <v>远家花园</v>
      </c>
      <c r="S528" t="str">
        <f>_xlfn.XLOOKUP(Jnl[[#This Row],[Division]],config_div[Id], config_div[Name],,0)</f>
        <v>网店</v>
      </c>
      <c r="T528" t="str">
        <f>IF(Jnl[[#This Row],[TrxDate]]&lt;=stmt_BS_date_end, "In", "Out")</f>
        <v>In</v>
      </c>
      <c r="U528" t="str">
        <f>IF(Jnl[[#This Row],[TrxDate]]&lt;debug_date_start, "prior", IF(Jnl[[#This Row],[TrxDate]]&gt;debug_date_end, "post", "curr"))</f>
        <v>prior</v>
      </c>
    </row>
    <row r="529" spans="1:21">
      <c r="A529" s="11" t="s">
        <v>727</v>
      </c>
      <c r="B529" s="7">
        <f>_xlfn.XLOOKUP(Jnl[[#This Row],[TrxId]], Trx[Id], Trx[Date],,0)</f>
        <v>46053</v>
      </c>
      <c r="C529" s="7" t="str">
        <f>_xlfn.XLOOKUP(Jnl[[#This Row],[TrxId]], Trx[Id], Trx[Division],,0)</f>
        <v>Online</v>
      </c>
      <c r="D529" s="7" t="str">
        <f>_xlfn.XLOOKUP(Jnl[[#This Row],[TrxId]], Trx[Id], Trx[Action],,0)</f>
        <v>采购</v>
      </c>
      <c r="E529" s="26" t="s">
        <v>80</v>
      </c>
      <c r="F529" s="11" t="s">
        <v>590</v>
      </c>
      <c r="G529" s="11" t="s">
        <v>391</v>
      </c>
      <c r="H529" s="72">
        <v>-1625</v>
      </c>
      <c r="I529" s="5" t="b">
        <f>AND(Jnl[[#This Row],[TrxId]]&lt;&gt;"",Jnl[[#This Row],[Acct]]&lt;&gt;"",Jnl[[#This Row],[Item]]&lt;&gt;"",ISNUMBER(Jnl[[#This Row],[Bal]]))</f>
        <v>1</v>
      </c>
      <c r="J529" s="10">
        <f>IF(Jnl[[#This Row],[BSLv0]]="A",1,-1)*Jnl[[#This Row],[Bal]]</f>
        <v>-1625</v>
      </c>
      <c r="K529" t="str">
        <f>_xlfn.XLOOKUP(Jnl[[#This Row],[Acct]], config_BS[Acct], config_BS[Lv0],,0)</f>
        <v>A</v>
      </c>
      <c r="L529" t="str">
        <f>_xlfn.XLOOKUP(Jnl[[#This Row],[Acct]], config_BS[Acct], config_BS[Lv1],,0)</f>
        <v>Assets</v>
      </c>
      <c r="M529" t="str">
        <f>_xlfn.XLOOKUP(Jnl[[#This Row],[Acct]], config_BS[Acct], config_BS[Lv2],,0)</f>
        <v>Cash alike</v>
      </c>
      <c r="N529" t="str">
        <f>_xlfn.XLOOKUP(Jnl[[#This Row],[TrxId]], Trx[Id], Trx[IncNode], ,0)</f>
        <v>Cost</v>
      </c>
      <c r="O529" t="str">
        <f>_xlfn.XLOOKUP(Jnl[[#This Row],[IncNode]], config_IS[Node], config_IS[Type],,0)</f>
        <v>Op</v>
      </c>
      <c r="P529" t="str">
        <f>_xlfn.XLOOKUP(Jnl[[#This Row],[BSLv2]], dict[Key], dict[Name],,0)</f>
        <v>0.现金及类似</v>
      </c>
      <c r="Q529" t="str">
        <f>_xlfn.XLOOKUP(Jnl[[#This Row],[Acct]], dict[Key], dict[Name],,0)</f>
        <v>银行</v>
      </c>
      <c r="R529" t="str">
        <f>_xlfn.XLOOKUP(Jnl[[#This Row],[Vehicle]],config_vehicle[Id], config_vehicle[Name],,0)</f>
        <v>远家花园</v>
      </c>
      <c r="S529" t="str">
        <f>_xlfn.XLOOKUP(Jnl[[#This Row],[Division]],config_div[Id], config_div[Name],,0)</f>
        <v>网店</v>
      </c>
      <c r="T529" t="str">
        <f>IF(Jnl[[#This Row],[TrxDate]]&lt;=stmt_BS_date_end, "In", "Out")</f>
        <v>In</v>
      </c>
      <c r="U529" t="str">
        <f>IF(Jnl[[#This Row],[TrxDate]]&lt;debug_date_start, "prior", IF(Jnl[[#This Row],[TrxDate]]&gt;debug_date_end, "post", "curr"))</f>
        <v>prior</v>
      </c>
    </row>
    <row r="530" spans="1:21">
      <c r="A530" s="11" t="s">
        <v>729</v>
      </c>
      <c r="B530" s="7">
        <f>_xlfn.XLOOKUP(Jnl[[#This Row],[TrxId]], Trx[Id], Trx[Date],,0)</f>
        <v>46053</v>
      </c>
      <c r="C530" s="7" t="str">
        <f>_xlfn.XLOOKUP(Jnl[[#This Row],[TrxId]], Trx[Id], Trx[Division],,0)</f>
        <v>Online</v>
      </c>
      <c r="D530" s="7" t="str">
        <f>_xlfn.XLOOKUP(Jnl[[#This Row],[TrxId]], Trx[Id], Trx[Action],,0)</f>
        <v>采购</v>
      </c>
      <c r="E530" s="26" t="s">
        <v>80</v>
      </c>
      <c r="F530" s="11" t="s">
        <v>598</v>
      </c>
      <c r="G530" s="11" t="s">
        <v>151</v>
      </c>
      <c r="H530" s="72">
        <f>-H531</f>
        <v>12875</v>
      </c>
      <c r="I530" s="5" t="b">
        <f>AND(Jnl[[#This Row],[TrxId]]&lt;&gt;"",Jnl[[#This Row],[Acct]]&lt;&gt;"",Jnl[[#This Row],[Item]]&lt;&gt;"",ISNUMBER(Jnl[[#This Row],[Bal]]))</f>
        <v>1</v>
      </c>
      <c r="J530" s="10">
        <f>IF(Jnl[[#This Row],[BSLv0]]="A",1,-1)*Jnl[[#This Row],[Bal]]</f>
        <v>12875</v>
      </c>
      <c r="K530" t="str">
        <f>_xlfn.XLOOKUP(Jnl[[#This Row],[Acct]], config_BS[Acct], config_BS[Lv0],,0)</f>
        <v>A</v>
      </c>
      <c r="L530" t="str">
        <f>_xlfn.XLOOKUP(Jnl[[#This Row],[Acct]], config_BS[Acct], config_BS[Lv1],,0)</f>
        <v>Assets</v>
      </c>
      <c r="M530" t="str">
        <f>_xlfn.XLOOKUP(Jnl[[#This Row],[Acct]], config_BS[Acct], config_BS[Lv2],,0)</f>
        <v>Invtr</v>
      </c>
      <c r="N530" t="str">
        <f>_xlfn.XLOOKUP(Jnl[[#This Row],[TrxId]], Trx[Id], Trx[IncNode], ,0)</f>
        <v>Cost</v>
      </c>
      <c r="O530" t="str">
        <f>_xlfn.XLOOKUP(Jnl[[#This Row],[IncNode]], config_IS[Node], config_IS[Type],,0)</f>
        <v>Op</v>
      </c>
      <c r="P530" t="str">
        <f>_xlfn.XLOOKUP(Jnl[[#This Row],[BSLv2]], dict[Key], dict[Name],,0)</f>
        <v>3.库存占款</v>
      </c>
      <c r="Q530" t="str">
        <f>_xlfn.XLOOKUP(Jnl[[#This Row],[Acct]], dict[Key], dict[Name],,0)</f>
        <v>当期存货</v>
      </c>
      <c r="R530" t="str">
        <f>_xlfn.XLOOKUP(Jnl[[#This Row],[Vehicle]],config_vehicle[Id], config_vehicle[Name],,0)</f>
        <v>远家花园</v>
      </c>
      <c r="S530" t="str">
        <f>_xlfn.XLOOKUP(Jnl[[#This Row],[Division]],config_div[Id], config_div[Name],,0)</f>
        <v>网店</v>
      </c>
      <c r="T530" t="str">
        <f>IF(Jnl[[#This Row],[TrxDate]]&lt;=stmt_BS_date_end, "In", "Out")</f>
        <v>In</v>
      </c>
      <c r="U530" t="str">
        <f>IF(Jnl[[#This Row],[TrxDate]]&lt;debug_date_start, "prior", IF(Jnl[[#This Row],[TrxDate]]&gt;debug_date_end, "post", "curr"))</f>
        <v>prior</v>
      </c>
    </row>
    <row r="531" spans="1:21">
      <c r="A531" s="11" t="s">
        <v>729</v>
      </c>
      <c r="B531" s="7">
        <f>_xlfn.XLOOKUP(Jnl[[#This Row],[TrxId]], Trx[Id], Trx[Date],,0)</f>
        <v>46053</v>
      </c>
      <c r="C531" s="7" t="str">
        <f>_xlfn.XLOOKUP(Jnl[[#This Row],[TrxId]], Trx[Id], Trx[Division],,0)</f>
        <v>Online</v>
      </c>
      <c r="D531" s="7" t="str">
        <f>_xlfn.XLOOKUP(Jnl[[#This Row],[TrxId]], Trx[Id], Trx[Action],,0)</f>
        <v>采购</v>
      </c>
      <c r="E531" s="26" t="s">
        <v>80</v>
      </c>
      <c r="F531" s="11" t="s">
        <v>590</v>
      </c>
      <c r="G531" s="11" t="s">
        <v>391</v>
      </c>
      <c r="H531" s="72">
        <v>-12875</v>
      </c>
      <c r="I531" s="5" t="b">
        <f>AND(Jnl[[#This Row],[TrxId]]&lt;&gt;"",Jnl[[#This Row],[Acct]]&lt;&gt;"",Jnl[[#This Row],[Item]]&lt;&gt;"",ISNUMBER(Jnl[[#This Row],[Bal]]))</f>
        <v>1</v>
      </c>
      <c r="J531" s="10">
        <f>IF(Jnl[[#This Row],[BSLv0]]="A",1,-1)*Jnl[[#This Row],[Bal]]</f>
        <v>-12875</v>
      </c>
      <c r="K531" t="str">
        <f>_xlfn.XLOOKUP(Jnl[[#This Row],[Acct]], config_BS[Acct], config_BS[Lv0],,0)</f>
        <v>A</v>
      </c>
      <c r="L531" t="str">
        <f>_xlfn.XLOOKUP(Jnl[[#This Row],[Acct]], config_BS[Acct], config_BS[Lv1],,0)</f>
        <v>Assets</v>
      </c>
      <c r="M531" t="str">
        <f>_xlfn.XLOOKUP(Jnl[[#This Row],[Acct]], config_BS[Acct], config_BS[Lv2],,0)</f>
        <v>Cash alike</v>
      </c>
      <c r="N531" t="str">
        <f>_xlfn.XLOOKUP(Jnl[[#This Row],[TrxId]], Trx[Id], Trx[IncNode], ,0)</f>
        <v>Cost</v>
      </c>
      <c r="O531" t="str">
        <f>_xlfn.XLOOKUP(Jnl[[#This Row],[IncNode]], config_IS[Node], config_IS[Type],,0)</f>
        <v>Op</v>
      </c>
      <c r="P531" t="str">
        <f>_xlfn.XLOOKUP(Jnl[[#This Row],[BSLv2]], dict[Key], dict[Name],,0)</f>
        <v>0.现金及类似</v>
      </c>
      <c r="Q531" t="str">
        <f>_xlfn.XLOOKUP(Jnl[[#This Row],[Acct]], dict[Key], dict[Name],,0)</f>
        <v>银行</v>
      </c>
      <c r="R531" t="str">
        <f>_xlfn.XLOOKUP(Jnl[[#This Row],[Vehicle]],config_vehicle[Id], config_vehicle[Name],,0)</f>
        <v>远家花园</v>
      </c>
      <c r="S531" t="str">
        <f>_xlfn.XLOOKUP(Jnl[[#This Row],[Division]],config_div[Id], config_div[Name],,0)</f>
        <v>网店</v>
      </c>
      <c r="T531" t="str">
        <f>IF(Jnl[[#This Row],[TrxDate]]&lt;=stmt_BS_date_end, "In", "Out")</f>
        <v>In</v>
      </c>
      <c r="U531" t="str">
        <f>IF(Jnl[[#This Row],[TrxDate]]&lt;debug_date_start, "prior", IF(Jnl[[#This Row],[TrxDate]]&gt;debug_date_end, "post", "curr"))</f>
        <v>prior</v>
      </c>
    </row>
    <row r="532" spans="1:21">
      <c r="A532" s="11" t="s">
        <v>730</v>
      </c>
      <c r="B532" s="7">
        <f>_xlfn.XLOOKUP(Jnl[[#This Row],[TrxId]], Trx[Id], Trx[Date],,0)</f>
        <v>46053</v>
      </c>
      <c r="C532" s="7" t="str">
        <f>_xlfn.XLOOKUP(Jnl[[#This Row],[TrxId]], Trx[Id], Trx[Division],,0)</f>
        <v>GM</v>
      </c>
      <c r="D532" s="7" t="str">
        <f>_xlfn.XLOOKUP(Jnl[[#This Row],[TrxId]], Trx[Id], Trx[Action],,0)</f>
        <v>支付</v>
      </c>
      <c r="E532" s="26" t="s">
        <v>80</v>
      </c>
      <c r="F532" s="11" t="s">
        <v>590</v>
      </c>
      <c r="G532" s="11" t="s">
        <v>391</v>
      </c>
      <c r="H532" s="72">
        <v>-421835.41</v>
      </c>
      <c r="I532" s="5" t="b">
        <f>AND(Jnl[[#This Row],[TrxId]]&lt;&gt;"",Jnl[[#This Row],[Acct]]&lt;&gt;"",Jnl[[#This Row],[Item]]&lt;&gt;"",ISNUMBER(Jnl[[#This Row],[Bal]]))</f>
        <v>1</v>
      </c>
      <c r="J532" s="10">
        <f>IF(Jnl[[#This Row],[BSLv0]]="A",1,-1)*Jnl[[#This Row],[Bal]]</f>
        <v>-421835.41</v>
      </c>
      <c r="K532" t="str">
        <f>_xlfn.XLOOKUP(Jnl[[#This Row],[Acct]], config_BS[Acct], config_BS[Lv0],,0)</f>
        <v>A</v>
      </c>
      <c r="L532" t="str">
        <f>_xlfn.XLOOKUP(Jnl[[#This Row],[Acct]], config_BS[Acct], config_BS[Lv1],,0)</f>
        <v>Assets</v>
      </c>
      <c r="M532" t="str">
        <f>_xlfn.XLOOKUP(Jnl[[#This Row],[Acct]], config_BS[Acct], config_BS[Lv2],,0)</f>
        <v>Cash alike</v>
      </c>
      <c r="N532" t="str">
        <f>_xlfn.XLOOKUP(Jnl[[#This Row],[TrxId]], Trx[Id], Trx[IncNode], ,0)</f>
        <v>Expense</v>
      </c>
      <c r="O532" t="str">
        <f>_xlfn.XLOOKUP(Jnl[[#This Row],[IncNode]], config_IS[Node], config_IS[Type],,0)</f>
        <v>Op</v>
      </c>
      <c r="P532" t="str">
        <f>_xlfn.XLOOKUP(Jnl[[#This Row],[BSLv2]], dict[Key], dict[Name],,0)</f>
        <v>0.现金及类似</v>
      </c>
      <c r="Q532" t="str">
        <f>_xlfn.XLOOKUP(Jnl[[#This Row],[Acct]], dict[Key], dict[Name],,0)</f>
        <v>银行</v>
      </c>
      <c r="R532" t="str">
        <f>_xlfn.XLOOKUP(Jnl[[#This Row],[Vehicle]],config_vehicle[Id], config_vehicle[Name],,0)</f>
        <v>远家花园</v>
      </c>
      <c r="S532" t="str">
        <f>_xlfn.XLOOKUP(Jnl[[#This Row],[Division]],config_div[Id], config_div[Name],,0)</f>
        <v>综合管理</v>
      </c>
      <c r="T532" t="str">
        <f>IF(Jnl[[#This Row],[TrxDate]]&lt;=stmt_BS_date_end, "In", "Out")</f>
        <v>In</v>
      </c>
      <c r="U532" t="str">
        <f>IF(Jnl[[#This Row],[TrxDate]]&lt;debug_date_start, "prior", IF(Jnl[[#This Row],[TrxDate]]&gt;debug_date_end, "post", "curr"))</f>
        <v>prior</v>
      </c>
    </row>
    <row r="533" spans="1:21">
      <c r="A533" s="11" t="s">
        <v>730</v>
      </c>
      <c r="B533" s="7">
        <f>_xlfn.XLOOKUP(Jnl[[#This Row],[TrxId]], Trx[Id], Trx[Date],,0)</f>
        <v>46053</v>
      </c>
      <c r="C533" s="7" t="str">
        <f>_xlfn.XLOOKUP(Jnl[[#This Row],[TrxId]], Trx[Id], Trx[Division],,0)</f>
        <v>GM</v>
      </c>
      <c r="D533" s="7" t="str">
        <f>_xlfn.XLOOKUP(Jnl[[#This Row],[TrxId]], Trx[Id], Trx[Action],,0)</f>
        <v>支付</v>
      </c>
      <c r="E533" s="26" t="s">
        <v>80</v>
      </c>
      <c r="F533" s="11" t="s">
        <v>596</v>
      </c>
      <c r="G533" s="11" t="s">
        <v>149</v>
      </c>
      <c r="H533" s="72">
        <v>-454010.9</v>
      </c>
      <c r="I533" s="5" t="b">
        <f>AND(Jnl[[#This Row],[TrxId]]&lt;&gt;"",Jnl[[#This Row],[Acct]]&lt;&gt;"",Jnl[[#This Row],[Item]]&lt;&gt;"",ISNUMBER(Jnl[[#This Row],[Bal]]))</f>
        <v>1</v>
      </c>
      <c r="J533" s="10">
        <f>IF(Jnl[[#This Row],[BSLv0]]="A",1,-1)*Jnl[[#This Row],[Bal]]</f>
        <v>454010.9</v>
      </c>
      <c r="K533" t="str">
        <f>_xlfn.XLOOKUP(Jnl[[#This Row],[Acct]], config_BS[Acct], config_BS[Lv0],,0)</f>
        <v>LC</v>
      </c>
      <c r="L533" t="str">
        <f>_xlfn.XLOOKUP(Jnl[[#This Row],[Acct]], config_BS[Acct], config_BS[Lv1],,0)</f>
        <v>Liability</v>
      </c>
      <c r="M533" t="str">
        <f>_xlfn.XLOOKUP(Jnl[[#This Row],[Acct]], config_BS[Acct], config_BS[Lv2],,0)</f>
        <v>Rec-Pay</v>
      </c>
      <c r="N533" t="str">
        <f>_xlfn.XLOOKUP(Jnl[[#This Row],[TrxId]], Trx[Id], Trx[IncNode], ,0)</f>
        <v>Expense</v>
      </c>
      <c r="O533" t="str">
        <f>_xlfn.XLOOKUP(Jnl[[#This Row],[IncNode]], config_IS[Node], config_IS[Type],,0)</f>
        <v>Op</v>
      </c>
      <c r="P533" t="str">
        <f>_xlfn.XLOOKUP(Jnl[[#This Row],[BSLv2]], dict[Key], dict[Name],,0)</f>
        <v>1.应收-应付</v>
      </c>
      <c r="Q533" t="str">
        <f>_xlfn.XLOOKUP(Jnl[[#This Row],[Acct]], dict[Key], dict[Name],,0)</f>
        <v>应付-薪资</v>
      </c>
      <c r="R533" t="str">
        <f>_xlfn.XLOOKUP(Jnl[[#This Row],[Vehicle]],config_vehicle[Id], config_vehicle[Name],,0)</f>
        <v>远家花园</v>
      </c>
      <c r="S533" t="str">
        <f>_xlfn.XLOOKUP(Jnl[[#This Row],[Division]],config_div[Id], config_div[Name],,0)</f>
        <v>综合管理</v>
      </c>
      <c r="T533" t="str">
        <f>IF(Jnl[[#This Row],[TrxDate]]&lt;=stmt_BS_date_end, "In", "Out")</f>
        <v>In</v>
      </c>
      <c r="U533" t="str">
        <f>IF(Jnl[[#This Row],[TrxDate]]&lt;debug_date_start, "prior", IF(Jnl[[#This Row],[TrxDate]]&gt;debug_date_end, "post", "curr"))</f>
        <v>prior</v>
      </c>
    </row>
    <row r="534" spans="1:21">
      <c r="A534" s="11" t="s">
        <v>730</v>
      </c>
      <c r="B534" s="7">
        <f>_xlfn.XLOOKUP(Jnl[[#This Row],[TrxId]], Trx[Id], Trx[Date],,0)</f>
        <v>46053</v>
      </c>
      <c r="C534" s="7" t="str">
        <f>_xlfn.XLOOKUP(Jnl[[#This Row],[TrxId]], Trx[Id], Trx[Division],,0)</f>
        <v>GM</v>
      </c>
      <c r="D534" s="7" t="str">
        <f>_xlfn.XLOOKUP(Jnl[[#This Row],[TrxId]], Trx[Id], Trx[Action],,0)</f>
        <v>支付</v>
      </c>
      <c r="E534" s="26" t="s">
        <v>80</v>
      </c>
      <c r="F534" s="11" t="s">
        <v>595</v>
      </c>
      <c r="G534" s="11" t="s">
        <v>344</v>
      </c>
      <c r="H534" s="72">
        <v>-24114.6</v>
      </c>
      <c r="I534" s="5" t="b">
        <f>AND(Jnl[[#This Row],[TrxId]]&lt;&gt;"",Jnl[[#This Row],[Acct]]&lt;&gt;"",Jnl[[#This Row],[Item]]&lt;&gt;"",ISNUMBER(Jnl[[#This Row],[Bal]]))</f>
        <v>1</v>
      </c>
      <c r="J534" s="10">
        <f>IF(Jnl[[#This Row],[BSLv0]]="A",1,-1)*Jnl[[#This Row],[Bal]]</f>
        <v>-24114.6</v>
      </c>
      <c r="K534" t="str">
        <f>_xlfn.XLOOKUP(Jnl[[#This Row],[Acct]], config_BS[Acct], config_BS[Lv0],,0)</f>
        <v>A</v>
      </c>
      <c r="L534" t="str">
        <f>_xlfn.XLOOKUP(Jnl[[#This Row],[Acct]], config_BS[Acct], config_BS[Lv1],,0)</f>
        <v>Assets</v>
      </c>
      <c r="M534" t="str">
        <f>_xlfn.XLOOKUP(Jnl[[#This Row],[Acct]], config_BS[Acct], config_BS[Lv2],,0)</f>
        <v>Rec-Pay</v>
      </c>
      <c r="N534" t="str">
        <f>_xlfn.XLOOKUP(Jnl[[#This Row],[TrxId]], Trx[Id], Trx[IncNode], ,0)</f>
        <v>Expense</v>
      </c>
      <c r="O534" t="str">
        <f>_xlfn.XLOOKUP(Jnl[[#This Row],[IncNode]], config_IS[Node], config_IS[Type],,0)</f>
        <v>Op</v>
      </c>
      <c r="P534" t="str">
        <f>_xlfn.XLOOKUP(Jnl[[#This Row],[BSLv2]], dict[Key], dict[Name],,0)</f>
        <v>1.应收-应付</v>
      </c>
      <c r="Q534" t="str">
        <f>_xlfn.XLOOKUP(Jnl[[#This Row],[Acct]], dict[Key], dict[Name],,0)</f>
        <v>应收-其他</v>
      </c>
      <c r="R534" t="str">
        <f>_xlfn.XLOOKUP(Jnl[[#This Row],[Vehicle]],config_vehicle[Id], config_vehicle[Name],,0)</f>
        <v>远家花园</v>
      </c>
      <c r="S534" t="str">
        <f>_xlfn.XLOOKUP(Jnl[[#This Row],[Division]],config_div[Id], config_div[Name],,0)</f>
        <v>综合管理</v>
      </c>
      <c r="T534" t="str">
        <f>IF(Jnl[[#This Row],[TrxDate]]&lt;=stmt_BS_date_end, "In", "Out")</f>
        <v>In</v>
      </c>
      <c r="U534" t="str">
        <f>IF(Jnl[[#This Row],[TrxDate]]&lt;debug_date_start, "prior", IF(Jnl[[#This Row],[TrxDate]]&gt;debug_date_end, "post", "curr"))</f>
        <v>prior</v>
      </c>
    </row>
    <row r="535" spans="1:21">
      <c r="A535" s="11" t="s">
        <v>730</v>
      </c>
      <c r="B535" s="7">
        <f>_xlfn.XLOOKUP(Jnl[[#This Row],[TrxId]], Trx[Id], Trx[Date],,0)</f>
        <v>46053</v>
      </c>
      <c r="C535" s="7" t="str">
        <f>_xlfn.XLOOKUP(Jnl[[#This Row],[TrxId]], Trx[Id], Trx[Division],,0)</f>
        <v>GM</v>
      </c>
      <c r="D535" s="7" t="str">
        <f>_xlfn.XLOOKUP(Jnl[[#This Row],[TrxId]], Trx[Id], Trx[Action],,0)</f>
        <v>支付</v>
      </c>
      <c r="E535" s="26" t="s">
        <v>80</v>
      </c>
      <c r="F535" s="11" t="s">
        <v>127</v>
      </c>
      <c r="G535" s="11" t="s">
        <v>343</v>
      </c>
      <c r="H535" s="72">
        <v>8060.89</v>
      </c>
      <c r="I535" s="5" t="b">
        <f>AND(Jnl[[#This Row],[TrxId]]&lt;&gt;"",Jnl[[#This Row],[Acct]]&lt;&gt;"",Jnl[[#This Row],[Item]]&lt;&gt;"",ISNUMBER(Jnl[[#This Row],[Bal]]))</f>
        <v>1</v>
      </c>
      <c r="J535" s="10">
        <f>IF(Jnl[[#This Row],[BSLv0]]="A",1,-1)*Jnl[[#This Row],[Bal]]</f>
        <v>-8060.89</v>
      </c>
      <c r="K535" t="str">
        <f>_xlfn.XLOOKUP(Jnl[[#This Row],[Acct]], config_BS[Acct], config_BS[Lv0],,0)</f>
        <v>LC</v>
      </c>
      <c r="L535" t="str">
        <f>_xlfn.XLOOKUP(Jnl[[#This Row],[Acct]], config_BS[Acct], config_BS[Lv1],,0)</f>
        <v>Liability</v>
      </c>
      <c r="M535" t="str">
        <f>_xlfn.XLOOKUP(Jnl[[#This Row],[Acct]], config_BS[Acct], config_BS[Lv2],,0)</f>
        <v>Rec-Pay</v>
      </c>
      <c r="N535" t="str">
        <f>_xlfn.XLOOKUP(Jnl[[#This Row],[TrxId]], Trx[Id], Trx[IncNode], ,0)</f>
        <v>Expense</v>
      </c>
      <c r="O535" t="str">
        <f>_xlfn.XLOOKUP(Jnl[[#This Row],[IncNode]], config_IS[Node], config_IS[Type],,0)</f>
        <v>Op</v>
      </c>
      <c r="P535" t="str">
        <f>_xlfn.XLOOKUP(Jnl[[#This Row],[BSLv2]], dict[Key], dict[Name],,0)</f>
        <v>1.应收-应付</v>
      </c>
      <c r="Q535" t="str">
        <f>_xlfn.XLOOKUP(Jnl[[#This Row],[Acct]], dict[Key], dict[Name],,0)</f>
        <v>应付-税款</v>
      </c>
      <c r="R535" t="str">
        <f>_xlfn.XLOOKUP(Jnl[[#This Row],[Vehicle]],config_vehicle[Id], config_vehicle[Name],,0)</f>
        <v>远家花园</v>
      </c>
      <c r="S535" t="str">
        <f>_xlfn.XLOOKUP(Jnl[[#This Row],[Division]],config_div[Id], config_div[Name],,0)</f>
        <v>综合管理</v>
      </c>
      <c r="T535" t="str">
        <f>IF(Jnl[[#This Row],[TrxDate]]&lt;=stmt_BS_date_end, "In", "Out")</f>
        <v>In</v>
      </c>
      <c r="U535" t="str">
        <f>IF(Jnl[[#This Row],[TrxDate]]&lt;debug_date_start, "prior", IF(Jnl[[#This Row],[TrxDate]]&gt;debug_date_end, "post", "curr"))</f>
        <v>prior</v>
      </c>
    </row>
    <row r="536" spans="1:21">
      <c r="A536" s="11" t="s">
        <v>731</v>
      </c>
      <c r="B536" s="7">
        <f>_xlfn.XLOOKUP(Jnl[[#This Row],[TrxId]], Trx[Id], Trx[Date],,0)</f>
        <v>46053</v>
      </c>
      <c r="C536" s="7" t="str">
        <f>_xlfn.XLOOKUP(Jnl[[#This Row],[TrxId]], Trx[Id], Trx[Division],,0)</f>
        <v>GM</v>
      </c>
      <c r="D536" s="7" t="str">
        <f>_xlfn.XLOOKUP(Jnl[[#This Row],[TrxId]], Trx[Id], Trx[Action],,0)</f>
        <v>支付</v>
      </c>
      <c r="E536" s="26" t="s">
        <v>80</v>
      </c>
      <c r="F536" s="11" t="s">
        <v>127</v>
      </c>
      <c r="G536" s="11" t="s">
        <v>343</v>
      </c>
      <c r="H536" s="72">
        <v>-8060.89</v>
      </c>
      <c r="I536" s="5" t="b">
        <f>AND(Jnl[[#This Row],[TrxId]]&lt;&gt;"",Jnl[[#This Row],[Acct]]&lt;&gt;"",Jnl[[#This Row],[Item]]&lt;&gt;"",ISNUMBER(Jnl[[#This Row],[Bal]]))</f>
        <v>1</v>
      </c>
      <c r="J536" s="10">
        <f>IF(Jnl[[#This Row],[BSLv0]]="A",1,-1)*Jnl[[#This Row],[Bal]]</f>
        <v>8060.89</v>
      </c>
      <c r="K536" t="str">
        <f>_xlfn.XLOOKUP(Jnl[[#This Row],[Acct]], config_BS[Acct], config_BS[Lv0],,0)</f>
        <v>LC</v>
      </c>
      <c r="L536" t="str">
        <f>_xlfn.XLOOKUP(Jnl[[#This Row],[Acct]], config_BS[Acct], config_BS[Lv1],,0)</f>
        <v>Liability</v>
      </c>
      <c r="M536" t="str">
        <f>_xlfn.XLOOKUP(Jnl[[#This Row],[Acct]], config_BS[Acct], config_BS[Lv2],,0)</f>
        <v>Rec-Pay</v>
      </c>
      <c r="N536" t="str">
        <f>_xlfn.XLOOKUP(Jnl[[#This Row],[TrxId]], Trx[Id], Trx[IncNode], ,0)</f>
        <v>Expense</v>
      </c>
      <c r="O536" t="str">
        <f>_xlfn.XLOOKUP(Jnl[[#This Row],[IncNode]], config_IS[Node], config_IS[Type],,0)</f>
        <v>Op</v>
      </c>
      <c r="P536" t="str">
        <f>_xlfn.XLOOKUP(Jnl[[#This Row],[BSLv2]], dict[Key], dict[Name],,0)</f>
        <v>1.应收-应付</v>
      </c>
      <c r="Q536" t="str">
        <f>_xlfn.XLOOKUP(Jnl[[#This Row],[Acct]], dict[Key], dict[Name],,0)</f>
        <v>应付-税款</v>
      </c>
      <c r="R536" t="str">
        <f>_xlfn.XLOOKUP(Jnl[[#This Row],[Vehicle]],config_vehicle[Id], config_vehicle[Name],,0)</f>
        <v>远家花园</v>
      </c>
      <c r="S536" t="str">
        <f>_xlfn.XLOOKUP(Jnl[[#This Row],[Division]],config_div[Id], config_div[Name],,0)</f>
        <v>综合管理</v>
      </c>
      <c r="T536" t="str">
        <f>IF(Jnl[[#This Row],[TrxDate]]&lt;=stmt_BS_date_end, "In", "Out")</f>
        <v>In</v>
      </c>
      <c r="U536" t="str">
        <f>IF(Jnl[[#This Row],[TrxDate]]&lt;debug_date_start, "prior", IF(Jnl[[#This Row],[TrxDate]]&gt;debug_date_end, "post", "curr"))</f>
        <v>prior</v>
      </c>
    </row>
    <row r="537" spans="1:21">
      <c r="A537" s="11" t="s">
        <v>731</v>
      </c>
      <c r="B537" s="7">
        <f>_xlfn.XLOOKUP(Jnl[[#This Row],[TrxId]], Trx[Id], Trx[Date],,0)</f>
        <v>46053</v>
      </c>
      <c r="C537" s="7" t="str">
        <f>_xlfn.XLOOKUP(Jnl[[#This Row],[TrxId]], Trx[Id], Trx[Division],,0)</f>
        <v>GM</v>
      </c>
      <c r="D537" s="7" t="str">
        <f>_xlfn.XLOOKUP(Jnl[[#This Row],[TrxId]], Trx[Id], Trx[Action],,0)</f>
        <v>支付</v>
      </c>
      <c r="E537" s="26" t="s">
        <v>80</v>
      </c>
      <c r="F537" s="11" t="s">
        <v>590</v>
      </c>
      <c r="G537" s="11" t="s">
        <v>391</v>
      </c>
      <c r="H537" s="72">
        <f>H536</f>
        <v>-8060.89</v>
      </c>
      <c r="I537" s="5" t="b">
        <f>AND(Jnl[[#This Row],[TrxId]]&lt;&gt;"",Jnl[[#This Row],[Acct]]&lt;&gt;"",Jnl[[#This Row],[Item]]&lt;&gt;"",ISNUMBER(Jnl[[#This Row],[Bal]]))</f>
        <v>1</v>
      </c>
      <c r="J537" s="10">
        <f>IF(Jnl[[#This Row],[BSLv0]]="A",1,-1)*Jnl[[#This Row],[Bal]]</f>
        <v>-8060.89</v>
      </c>
      <c r="K537" t="str">
        <f>_xlfn.XLOOKUP(Jnl[[#This Row],[Acct]], config_BS[Acct], config_BS[Lv0],,0)</f>
        <v>A</v>
      </c>
      <c r="L537" t="str">
        <f>_xlfn.XLOOKUP(Jnl[[#This Row],[Acct]], config_BS[Acct], config_BS[Lv1],,0)</f>
        <v>Assets</v>
      </c>
      <c r="M537" t="str">
        <f>_xlfn.XLOOKUP(Jnl[[#This Row],[Acct]], config_BS[Acct], config_BS[Lv2],,0)</f>
        <v>Cash alike</v>
      </c>
      <c r="N537" t="str">
        <f>_xlfn.XLOOKUP(Jnl[[#This Row],[TrxId]], Trx[Id], Trx[IncNode], ,0)</f>
        <v>Expense</v>
      </c>
      <c r="O537" t="str">
        <f>_xlfn.XLOOKUP(Jnl[[#This Row],[IncNode]], config_IS[Node], config_IS[Type],,0)</f>
        <v>Op</v>
      </c>
      <c r="P537" t="str">
        <f>_xlfn.XLOOKUP(Jnl[[#This Row],[BSLv2]], dict[Key], dict[Name],,0)</f>
        <v>0.现金及类似</v>
      </c>
      <c r="Q537" t="str">
        <f>_xlfn.XLOOKUP(Jnl[[#This Row],[Acct]], dict[Key], dict[Name],,0)</f>
        <v>银行</v>
      </c>
      <c r="R537" t="str">
        <f>_xlfn.XLOOKUP(Jnl[[#This Row],[Vehicle]],config_vehicle[Id], config_vehicle[Name],,0)</f>
        <v>远家花园</v>
      </c>
      <c r="S537" t="str">
        <f>_xlfn.XLOOKUP(Jnl[[#This Row],[Division]],config_div[Id], config_div[Name],,0)</f>
        <v>综合管理</v>
      </c>
      <c r="T537" t="str">
        <f>IF(Jnl[[#This Row],[TrxDate]]&lt;=stmt_BS_date_end, "In", "Out")</f>
        <v>In</v>
      </c>
      <c r="U537" t="str">
        <f>IF(Jnl[[#This Row],[TrxDate]]&lt;debug_date_start, "prior", IF(Jnl[[#This Row],[TrxDate]]&gt;debug_date_end, "post", "curr"))</f>
        <v>prior</v>
      </c>
    </row>
    <row r="538" spans="1:21">
      <c r="A538" s="11" t="s">
        <v>732</v>
      </c>
      <c r="B538" s="7">
        <f>_xlfn.XLOOKUP(Jnl[[#This Row],[TrxId]], Trx[Id], Trx[Date],,0)</f>
        <v>46053</v>
      </c>
      <c r="C538" s="7" t="str">
        <f>_xlfn.XLOOKUP(Jnl[[#This Row],[TrxId]], Trx[Id], Trx[Division],,0)</f>
        <v>GM</v>
      </c>
      <c r="D538" s="7" t="str">
        <f>_xlfn.XLOOKUP(Jnl[[#This Row],[TrxId]], Trx[Id], Trx[Action],,0)</f>
        <v>收款</v>
      </c>
      <c r="E538" s="26" t="s">
        <v>80</v>
      </c>
      <c r="F538" s="11" t="s">
        <v>590</v>
      </c>
      <c r="G538" s="11" t="s">
        <v>391</v>
      </c>
      <c r="H538" s="72">
        <v>477.15</v>
      </c>
      <c r="I538" s="5" t="b">
        <f>AND(Jnl[[#This Row],[TrxId]]&lt;&gt;"",Jnl[[#This Row],[Acct]]&lt;&gt;"",Jnl[[#This Row],[Item]]&lt;&gt;"",ISNUMBER(Jnl[[#This Row],[Bal]]))</f>
        <v>1</v>
      </c>
      <c r="J538" s="10">
        <f>IF(Jnl[[#This Row],[BSLv0]]="A",1,-1)*Jnl[[#This Row],[Bal]]</f>
        <v>477.15</v>
      </c>
      <c r="K538" t="str">
        <f>_xlfn.XLOOKUP(Jnl[[#This Row],[Acct]], config_BS[Acct], config_BS[Lv0],,0)</f>
        <v>A</v>
      </c>
      <c r="L538" t="str">
        <f>_xlfn.XLOOKUP(Jnl[[#This Row],[Acct]], config_BS[Acct], config_BS[Lv1],,0)</f>
        <v>Assets</v>
      </c>
      <c r="M538" t="str">
        <f>_xlfn.XLOOKUP(Jnl[[#This Row],[Acct]], config_BS[Acct], config_BS[Lv2],,0)</f>
        <v>Cash alike</v>
      </c>
      <c r="N538" t="str">
        <f>_xlfn.XLOOKUP(Jnl[[#This Row],[TrxId]], Trx[Id], Trx[IncNode], ,0)</f>
        <v>Expense</v>
      </c>
      <c r="O538" t="str">
        <f>_xlfn.XLOOKUP(Jnl[[#This Row],[IncNode]], config_IS[Node], config_IS[Type],,0)</f>
        <v>Op</v>
      </c>
      <c r="P538" t="str">
        <f>_xlfn.XLOOKUP(Jnl[[#This Row],[BSLv2]], dict[Key], dict[Name],,0)</f>
        <v>0.现金及类似</v>
      </c>
      <c r="Q538" t="str">
        <f>_xlfn.XLOOKUP(Jnl[[#This Row],[Acct]], dict[Key], dict[Name],,0)</f>
        <v>银行</v>
      </c>
      <c r="R538" t="str">
        <f>_xlfn.XLOOKUP(Jnl[[#This Row],[Vehicle]],config_vehicle[Id], config_vehicle[Name],,0)</f>
        <v>远家花园</v>
      </c>
      <c r="S538" t="str">
        <f>_xlfn.XLOOKUP(Jnl[[#This Row],[Division]],config_div[Id], config_div[Name],,0)</f>
        <v>综合管理</v>
      </c>
      <c r="T538" t="str">
        <f>IF(Jnl[[#This Row],[TrxDate]]&lt;=stmt_BS_date_end, "In", "Out")</f>
        <v>In</v>
      </c>
      <c r="U538" t="str">
        <f>IF(Jnl[[#This Row],[TrxDate]]&lt;debug_date_start, "prior", IF(Jnl[[#This Row],[TrxDate]]&gt;debug_date_end, "post", "curr"))</f>
        <v>prior</v>
      </c>
    </row>
    <row r="539" spans="1:21">
      <c r="A539" s="11" t="s">
        <v>732</v>
      </c>
      <c r="B539" s="7">
        <f>_xlfn.XLOOKUP(Jnl[[#This Row],[TrxId]], Trx[Id], Trx[Date],,0)</f>
        <v>46053</v>
      </c>
      <c r="C539" s="7" t="str">
        <f>_xlfn.XLOOKUP(Jnl[[#This Row],[TrxId]], Trx[Id], Trx[Division],,0)</f>
        <v>GM</v>
      </c>
      <c r="D539" s="7" t="str">
        <f>_xlfn.XLOOKUP(Jnl[[#This Row],[TrxId]], Trx[Id], Trx[Action],,0)</f>
        <v>收款</v>
      </c>
      <c r="E539" s="26" t="s">
        <v>80</v>
      </c>
      <c r="F539" s="11" t="s">
        <v>595</v>
      </c>
      <c r="G539" s="11" t="s">
        <v>344</v>
      </c>
      <c r="H539" s="72">
        <v>-477.15</v>
      </c>
      <c r="I539" s="5" t="b">
        <f>AND(Jnl[[#This Row],[TrxId]]&lt;&gt;"",Jnl[[#This Row],[Acct]]&lt;&gt;"",Jnl[[#This Row],[Item]]&lt;&gt;"",ISNUMBER(Jnl[[#This Row],[Bal]]))</f>
        <v>1</v>
      </c>
      <c r="J539" s="10">
        <f>IF(Jnl[[#This Row],[BSLv0]]="A",1,-1)*Jnl[[#This Row],[Bal]]</f>
        <v>-477.15</v>
      </c>
      <c r="K539" t="str">
        <f>_xlfn.XLOOKUP(Jnl[[#This Row],[Acct]], config_BS[Acct], config_BS[Lv0],,0)</f>
        <v>A</v>
      </c>
      <c r="L539" t="str">
        <f>_xlfn.XLOOKUP(Jnl[[#This Row],[Acct]], config_BS[Acct], config_BS[Lv1],,0)</f>
        <v>Assets</v>
      </c>
      <c r="M539" t="str">
        <f>_xlfn.XLOOKUP(Jnl[[#This Row],[Acct]], config_BS[Acct], config_BS[Lv2],,0)</f>
        <v>Rec-Pay</v>
      </c>
      <c r="N539" t="str">
        <f>_xlfn.XLOOKUP(Jnl[[#This Row],[TrxId]], Trx[Id], Trx[IncNode], ,0)</f>
        <v>Expense</v>
      </c>
      <c r="O539" t="str">
        <f>_xlfn.XLOOKUP(Jnl[[#This Row],[IncNode]], config_IS[Node], config_IS[Type],,0)</f>
        <v>Op</v>
      </c>
      <c r="P539" t="str">
        <f>_xlfn.XLOOKUP(Jnl[[#This Row],[BSLv2]], dict[Key], dict[Name],,0)</f>
        <v>1.应收-应付</v>
      </c>
      <c r="Q539" t="str">
        <f>_xlfn.XLOOKUP(Jnl[[#This Row],[Acct]], dict[Key], dict[Name],,0)</f>
        <v>应收-其他</v>
      </c>
      <c r="R539" t="str">
        <f>_xlfn.XLOOKUP(Jnl[[#This Row],[Vehicle]],config_vehicle[Id], config_vehicle[Name],,0)</f>
        <v>远家花园</v>
      </c>
      <c r="S539" t="str">
        <f>_xlfn.XLOOKUP(Jnl[[#This Row],[Division]],config_div[Id], config_div[Name],,0)</f>
        <v>综合管理</v>
      </c>
      <c r="T539" t="str">
        <f>IF(Jnl[[#This Row],[TrxDate]]&lt;=stmt_BS_date_end, "In", "Out")</f>
        <v>In</v>
      </c>
      <c r="U539" t="str">
        <f>IF(Jnl[[#This Row],[TrxDate]]&lt;debug_date_start, "prior", IF(Jnl[[#This Row],[TrxDate]]&gt;debug_date_end, "post", "curr"))</f>
        <v>prior</v>
      </c>
    </row>
    <row r="540" spans="1:21">
      <c r="A540" s="11" t="s">
        <v>733</v>
      </c>
      <c r="B540" s="7">
        <f>_xlfn.XLOOKUP(Jnl[[#This Row],[TrxId]], Trx[Id], Trx[Date],,0)</f>
        <v>46053</v>
      </c>
      <c r="C540" s="7" t="str">
        <f>_xlfn.XLOOKUP(Jnl[[#This Row],[TrxId]], Trx[Id], Trx[Division],,0)</f>
        <v>GM</v>
      </c>
      <c r="D540" s="7" t="str">
        <f>_xlfn.XLOOKUP(Jnl[[#This Row],[TrxId]], Trx[Id], Trx[Action],,0)</f>
        <v>薪酬-工资</v>
      </c>
      <c r="E540" s="26" t="s">
        <v>80</v>
      </c>
      <c r="F540" s="11" t="s">
        <v>590</v>
      </c>
      <c r="G540" s="11" t="s">
        <v>391</v>
      </c>
      <c r="H540" s="72">
        <v>-11932</v>
      </c>
      <c r="I540" s="5" t="b">
        <f>AND(Jnl[[#This Row],[TrxId]]&lt;&gt;"",Jnl[[#This Row],[Acct]]&lt;&gt;"",Jnl[[#This Row],[Item]]&lt;&gt;"",ISNUMBER(Jnl[[#This Row],[Bal]]))</f>
        <v>1</v>
      </c>
      <c r="J540" s="10">
        <f>IF(Jnl[[#This Row],[BSLv0]]="A",1,-1)*Jnl[[#This Row],[Bal]]</f>
        <v>-11932</v>
      </c>
      <c r="K540" t="str">
        <f>_xlfn.XLOOKUP(Jnl[[#This Row],[Acct]], config_BS[Acct], config_BS[Lv0],,0)</f>
        <v>A</v>
      </c>
      <c r="L540" t="str">
        <f>_xlfn.XLOOKUP(Jnl[[#This Row],[Acct]], config_BS[Acct], config_BS[Lv1],,0)</f>
        <v>Assets</v>
      </c>
      <c r="M540" t="str">
        <f>_xlfn.XLOOKUP(Jnl[[#This Row],[Acct]], config_BS[Acct], config_BS[Lv2],,0)</f>
        <v>Cash alike</v>
      </c>
      <c r="N540" t="str">
        <f>_xlfn.XLOOKUP(Jnl[[#This Row],[TrxId]], Trx[Id], Trx[IncNode], ,0)</f>
        <v>Expense</v>
      </c>
      <c r="O540" t="str">
        <f>_xlfn.XLOOKUP(Jnl[[#This Row],[IncNode]], config_IS[Node], config_IS[Type],,0)</f>
        <v>Op</v>
      </c>
      <c r="P540" t="str">
        <f>_xlfn.XLOOKUP(Jnl[[#This Row],[BSLv2]], dict[Key], dict[Name],,0)</f>
        <v>0.现金及类似</v>
      </c>
      <c r="Q540" t="str">
        <f>_xlfn.XLOOKUP(Jnl[[#This Row],[Acct]], dict[Key], dict[Name],,0)</f>
        <v>银行</v>
      </c>
      <c r="R540" t="str">
        <f>_xlfn.XLOOKUP(Jnl[[#This Row],[Vehicle]],config_vehicle[Id], config_vehicle[Name],,0)</f>
        <v>远家花园</v>
      </c>
      <c r="S540" t="str">
        <f>_xlfn.XLOOKUP(Jnl[[#This Row],[Division]],config_div[Id], config_div[Name],,0)</f>
        <v>综合管理</v>
      </c>
      <c r="T540" t="str">
        <f>IF(Jnl[[#This Row],[TrxDate]]&lt;=stmt_BS_date_end, "In", "Out")</f>
        <v>In</v>
      </c>
      <c r="U540" t="str">
        <f>IF(Jnl[[#This Row],[TrxDate]]&lt;debug_date_start, "prior", IF(Jnl[[#This Row],[TrxDate]]&gt;debug_date_end, "post", "curr"))</f>
        <v>prior</v>
      </c>
    </row>
    <row r="541" spans="1:21">
      <c r="A541" s="11" t="s">
        <v>734</v>
      </c>
      <c r="B541" s="7">
        <f>_xlfn.XLOOKUP(Jnl[[#This Row],[TrxId]], Trx[Id], Trx[Date],,0)</f>
        <v>46053</v>
      </c>
      <c r="C541" s="7" t="str">
        <f>_xlfn.XLOOKUP(Jnl[[#This Row],[TrxId]], Trx[Id], Trx[Division],,0)</f>
        <v>Online</v>
      </c>
      <c r="D541" s="7" t="str">
        <f>_xlfn.XLOOKUP(Jnl[[#This Row],[TrxId]], Trx[Id], Trx[Action],,0)</f>
        <v>收款</v>
      </c>
      <c r="E541" s="26" t="s">
        <v>80</v>
      </c>
      <c r="F541" s="11" t="s">
        <v>590</v>
      </c>
      <c r="G541" s="11" t="s">
        <v>391</v>
      </c>
      <c r="H541" s="72">
        <v>609035.81000000006</v>
      </c>
      <c r="I541" s="5" t="b">
        <f>AND(Jnl[[#This Row],[TrxId]]&lt;&gt;"",Jnl[[#This Row],[Acct]]&lt;&gt;"",Jnl[[#This Row],[Item]]&lt;&gt;"",ISNUMBER(Jnl[[#This Row],[Bal]]))</f>
        <v>1</v>
      </c>
      <c r="J541" s="10">
        <f>IF(Jnl[[#This Row],[BSLv0]]="A",1,-1)*Jnl[[#This Row],[Bal]]</f>
        <v>609035.81000000006</v>
      </c>
      <c r="K541" t="str">
        <f>_xlfn.XLOOKUP(Jnl[[#This Row],[Acct]], config_BS[Acct], config_BS[Lv0],,0)</f>
        <v>A</v>
      </c>
      <c r="L541" t="str">
        <f>_xlfn.XLOOKUP(Jnl[[#This Row],[Acct]], config_BS[Acct], config_BS[Lv1],,0)</f>
        <v>Assets</v>
      </c>
      <c r="M541" t="str">
        <f>_xlfn.XLOOKUP(Jnl[[#This Row],[Acct]], config_BS[Acct], config_BS[Lv2],,0)</f>
        <v>Cash alike</v>
      </c>
      <c r="N541" t="str">
        <f>_xlfn.XLOOKUP(Jnl[[#This Row],[TrxId]], Trx[Id], Trx[IncNode], ,0)</f>
        <v>Revenue</v>
      </c>
      <c r="O541" t="str">
        <f>_xlfn.XLOOKUP(Jnl[[#This Row],[IncNode]], config_IS[Node], config_IS[Type],,0)</f>
        <v>Op</v>
      </c>
      <c r="P541" t="str">
        <f>_xlfn.XLOOKUP(Jnl[[#This Row],[BSLv2]], dict[Key], dict[Name],,0)</f>
        <v>0.现金及类似</v>
      </c>
      <c r="Q541" t="str">
        <f>_xlfn.XLOOKUP(Jnl[[#This Row],[Acct]], dict[Key], dict[Name],,0)</f>
        <v>银行</v>
      </c>
      <c r="R541" t="str">
        <f>_xlfn.XLOOKUP(Jnl[[#This Row],[Vehicle]],config_vehicle[Id], config_vehicle[Name],,0)</f>
        <v>远家花园</v>
      </c>
      <c r="S541" t="str">
        <f>_xlfn.XLOOKUP(Jnl[[#This Row],[Division]],config_div[Id], config_div[Name],,0)</f>
        <v>网店</v>
      </c>
      <c r="T541" t="str">
        <f>IF(Jnl[[#This Row],[TrxDate]]&lt;=stmt_BS_date_end, "In", "Out")</f>
        <v>In</v>
      </c>
      <c r="U541" t="str">
        <f>IF(Jnl[[#This Row],[TrxDate]]&lt;debug_date_start, "prior", IF(Jnl[[#This Row],[TrxDate]]&gt;debug_date_end, "post", "curr"))</f>
        <v>prior</v>
      </c>
    </row>
    <row r="542" spans="1:21">
      <c r="A542" s="11" t="s">
        <v>734</v>
      </c>
      <c r="B542" s="7">
        <f>_xlfn.XLOOKUP(Jnl[[#This Row],[TrxId]], Trx[Id], Trx[Date],,0)</f>
        <v>46053</v>
      </c>
      <c r="C542" s="7" t="str">
        <f>_xlfn.XLOOKUP(Jnl[[#This Row],[TrxId]], Trx[Id], Trx[Division],,0)</f>
        <v>Online</v>
      </c>
      <c r="D542" s="7" t="str">
        <f>_xlfn.XLOOKUP(Jnl[[#This Row],[TrxId]], Trx[Id], Trx[Action],,0)</f>
        <v>收款</v>
      </c>
      <c r="E542" s="26" t="s">
        <v>80</v>
      </c>
      <c r="F542" s="11" t="s">
        <v>593</v>
      </c>
      <c r="G542" s="11" t="s">
        <v>594</v>
      </c>
      <c r="H542" s="72">
        <f>-H541</f>
        <v>-609035.81000000006</v>
      </c>
      <c r="I542" s="5" t="b">
        <f>AND(Jnl[[#This Row],[TrxId]]&lt;&gt;"",Jnl[[#This Row],[Acct]]&lt;&gt;"",Jnl[[#This Row],[Item]]&lt;&gt;"",ISNUMBER(Jnl[[#This Row],[Bal]]))</f>
        <v>1</v>
      </c>
      <c r="J542" s="10">
        <f>IF(Jnl[[#This Row],[BSLv0]]="A",1,-1)*Jnl[[#This Row],[Bal]]</f>
        <v>-609035.81000000006</v>
      </c>
      <c r="K542" t="str">
        <f>_xlfn.XLOOKUP(Jnl[[#This Row],[Acct]], config_BS[Acct], config_BS[Lv0],,0)</f>
        <v>A</v>
      </c>
      <c r="L542" t="str">
        <f>_xlfn.XLOOKUP(Jnl[[#This Row],[Acct]], config_BS[Acct], config_BS[Lv1],,0)</f>
        <v>Assets</v>
      </c>
      <c r="M542" t="str">
        <f>_xlfn.XLOOKUP(Jnl[[#This Row],[Acct]], config_BS[Acct], config_BS[Lv2],,0)</f>
        <v>Rec-Pay</v>
      </c>
      <c r="N542" t="str">
        <f>_xlfn.XLOOKUP(Jnl[[#This Row],[TrxId]], Trx[Id], Trx[IncNode], ,0)</f>
        <v>Revenue</v>
      </c>
      <c r="O542" t="str">
        <f>_xlfn.XLOOKUP(Jnl[[#This Row],[IncNode]], config_IS[Node], config_IS[Type],,0)</f>
        <v>Op</v>
      </c>
      <c r="P542" t="str">
        <f>_xlfn.XLOOKUP(Jnl[[#This Row],[BSLv2]], dict[Key], dict[Name],,0)</f>
        <v>1.应收-应付</v>
      </c>
      <c r="Q542" t="str">
        <f>_xlfn.XLOOKUP(Jnl[[#This Row],[Acct]], dict[Key], dict[Name],,0)</f>
        <v>应收-一般</v>
      </c>
      <c r="R542" t="str">
        <f>_xlfn.XLOOKUP(Jnl[[#This Row],[Vehicle]],config_vehicle[Id], config_vehicle[Name],,0)</f>
        <v>远家花园</v>
      </c>
      <c r="S542" t="str">
        <f>_xlfn.XLOOKUP(Jnl[[#This Row],[Division]],config_div[Id], config_div[Name],,0)</f>
        <v>网店</v>
      </c>
      <c r="T542" t="str">
        <f>IF(Jnl[[#This Row],[TrxDate]]&lt;=stmt_BS_date_end, "In", "Out")</f>
        <v>In</v>
      </c>
      <c r="U542" t="str">
        <f>IF(Jnl[[#This Row],[TrxDate]]&lt;debug_date_start, "prior", IF(Jnl[[#This Row],[TrxDate]]&gt;debug_date_end, "post", "curr"))</f>
        <v>prior</v>
      </c>
    </row>
    <row r="543" spans="1:21">
      <c r="A543" s="11" t="s">
        <v>735</v>
      </c>
      <c r="B543" s="7">
        <f>_xlfn.XLOOKUP(Jnl[[#This Row],[TrxId]], Trx[Id], Trx[Date],,0)</f>
        <v>46053</v>
      </c>
      <c r="C543" s="7" t="str">
        <f>_xlfn.XLOOKUP(Jnl[[#This Row],[TrxId]], Trx[Id], Trx[Division],,0)</f>
        <v>GM</v>
      </c>
      <c r="D543" s="7" t="str">
        <f>_xlfn.XLOOKUP(Jnl[[#This Row],[TrxId]], Trx[Id], Trx[Action],,0)</f>
        <v>支付</v>
      </c>
      <c r="E543" s="26" t="s">
        <v>80</v>
      </c>
      <c r="F543" s="11" t="s">
        <v>590</v>
      </c>
      <c r="G543" s="11" t="s">
        <v>391</v>
      </c>
      <c r="H543" s="72">
        <v>-2514.09</v>
      </c>
      <c r="I543" s="5" t="b">
        <f>AND(Jnl[[#This Row],[TrxId]]&lt;&gt;"",Jnl[[#This Row],[Acct]]&lt;&gt;"",Jnl[[#This Row],[Item]]&lt;&gt;"",ISNUMBER(Jnl[[#This Row],[Bal]]))</f>
        <v>1</v>
      </c>
      <c r="J543" s="10">
        <f>IF(Jnl[[#This Row],[BSLv0]]="A",1,-1)*Jnl[[#This Row],[Bal]]</f>
        <v>-2514.09</v>
      </c>
      <c r="K543" t="str">
        <f>_xlfn.XLOOKUP(Jnl[[#This Row],[Acct]], config_BS[Acct], config_BS[Lv0],,0)</f>
        <v>A</v>
      </c>
      <c r="L543" t="str">
        <f>_xlfn.XLOOKUP(Jnl[[#This Row],[Acct]], config_BS[Acct], config_BS[Lv1],,0)</f>
        <v>Assets</v>
      </c>
      <c r="M543" t="str">
        <f>_xlfn.XLOOKUP(Jnl[[#This Row],[Acct]], config_BS[Acct], config_BS[Lv2],,0)</f>
        <v>Cash alike</v>
      </c>
      <c r="N543" t="str">
        <f>_xlfn.XLOOKUP(Jnl[[#This Row],[TrxId]], Trx[Id], Trx[IncNode], ,0)</f>
        <v>Expense</v>
      </c>
      <c r="O543" t="str">
        <f>_xlfn.XLOOKUP(Jnl[[#This Row],[IncNode]], config_IS[Node], config_IS[Type],,0)</f>
        <v>Op</v>
      </c>
      <c r="P543" t="str">
        <f>_xlfn.XLOOKUP(Jnl[[#This Row],[BSLv2]], dict[Key], dict[Name],,0)</f>
        <v>0.现金及类似</v>
      </c>
      <c r="Q543" t="str">
        <f>_xlfn.XLOOKUP(Jnl[[#This Row],[Acct]], dict[Key], dict[Name],,0)</f>
        <v>银行</v>
      </c>
      <c r="R543" t="str">
        <f>_xlfn.XLOOKUP(Jnl[[#This Row],[Vehicle]],config_vehicle[Id], config_vehicle[Name],,0)</f>
        <v>远家花园</v>
      </c>
      <c r="S543" t="str">
        <f>_xlfn.XLOOKUP(Jnl[[#This Row],[Division]],config_div[Id], config_div[Name],,0)</f>
        <v>综合管理</v>
      </c>
      <c r="T543" t="str">
        <f>IF(Jnl[[#This Row],[TrxDate]]&lt;=stmt_BS_date_end, "In", "Out")</f>
        <v>In</v>
      </c>
      <c r="U543" t="str">
        <f>IF(Jnl[[#This Row],[TrxDate]]&lt;debug_date_start, "prior", IF(Jnl[[#This Row],[TrxDate]]&gt;debug_date_end, "post", "curr"))</f>
        <v>prior</v>
      </c>
    </row>
    <row r="544" spans="1:21">
      <c r="A544" s="11" t="s">
        <v>735</v>
      </c>
      <c r="B544" s="7">
        <f>_xlfn.XLOOKUP(Jnl[[#This Row],[TrxId]], Trx[Id], Trx[Date],,0)</f>
        <v>46053</v>
      </c>
      <c r="C544" s="7" t="str">
        <f>_xlfn.XLOOKUP(Jnl[[#This Row],[TrxId]], Trx[Id], Trx[Division],,0)</f>
        <v>GM</v>
      </c>
      <c r="D544" s="7" t="str">
        <f>_xlfn.XLOOKUP(Jnl[[#This Row],[TrxId]], Trx[Id], Trx[Action],,0)</f>
        <v>支付</v>
      </c>
      <c r="E544" s="26" t="s">
        <v>80</v>
      </c>
      <c r="F544" s="11" t="s">
        <v>493</v>
      </c>
      <c r="G544" s="11" t="s">
        <v>141</v>
      </c>
      <c r="H544" s="72">
        <f>-H543</f>
        <v>2514.09</v>
      </c>
      <c r="I544" s="5" t="b">
        <f>AND(Jnl[[#This Row],[TrxId]]&lt;&gt;"",Jnl[[#This Row],[Acct]]&lt;&gt;"",Jnl[[#This Row],[Item]]&lt;&gt;"",ISNUMBER(Jnl[[#This Row],[Bal]]))</f>
        <v>1</v>
      </c>
      <c r="J544" s="10">
        <f>IF(Jnl[[#This Row],[BSLv0]]="A",1,-1)*Jnl[[#This Row],[Bal]]</f>
        <v>2514.09</v>
      </c>
      <c r="K544" t="str">
        <f>_xlfn.XLOOKUP(Jnl[[#This Row],[Acct]], config_BS[Acct], config_BS[Lv0],,0)</f>
        <v>A</v>
      </c>
      <c r="L544" t="str">
        <f>_xlfn.XLOOKUP(Jnl[[#This Row],[Acct]], config_BS[Acct], config_BS[Lv1],,0)</f>
        <v>Assets</v>
      </c>
      <c r="M544" t="str">
        <f>_xlfn.XLOOKUP(Jnl[[#This Row],[Acct]], config_BS[Acct], config_BS[Lv2],,0)</f>
        <v>Prep-Sub</v>
      </c>
      <c r="N544" t="str">
        <f>_xlfn.XLOOKUP(Jnl[[#This Row],[TrxId]], Trx[Id], Trx[IncNode], ,0)</f>
        <v>Expense</v>
      </c>
      <c r="O544" t="str">
        <f>_xlfn.XLOOKUP(Jnl[[#This Row],[IncNode]], config_IS[Node], config_IS[Type],,0)</f>
        <v>Op</v>
      </c>
      <c r="P544" t="str">
        <f>_xlfn.XLOOKUP(Jnl[[#This Row],[BSLv2]], dict[Key], dict[Name],,0)</f>
        <v>2.预付-订阅</v>
      </c>
      <c r="Q544" t="str">
        <f>_xlfn.XLOOKUP(Jnl[[#This Row],[Acct]], dict[Key], dict[Name],,0)</f>
        <v>预付订单</v>
      </c>
      <c r="R544" t="str">
        <f>_xlfn.XLOOKUP(Jnl[[#This Row],[Vehicle]],config_vehicle[Id], config_vehicle[Name],,0)</f>
        <v>远家花园</v>
      </c>
      <c r="S544" t="str">
        <f>_xlfn.XLOOKUP(Jnl[[#This Row],[Division]],config_div[Id], config_div[Name],,0)</f>
        <v>综合管理</v>
      </c>
      <c r="T544" t="str">
        <f>IF(Jnl[[#This Row],[TrxDate]]&lt;=stmt_BS_date_end, "In", "Out")</f>
        <v>In</v>
      </c>
      <c r="U544" t="str">
        <f>IF(Jnl[[#This Row],[TrxDate]]&lt;debug_date_start, "prior", IF(Jnl[[#This Row],[TrxDate]]&gt;debug_date_end, "post", "curr"))</f>
        <v>prior</v>
      </c>
    </row>
    <row r="545" spans="1:21">
      <c r="A545" s="11" t="s">
        <v>736</v>
      </c>
      <c r="B545" s="7">
        <f>_xlfn.XLOOKUP(Jnl[[#This Row],[TrxId]], Trx[Id], Trx[Date],,0)</f>
        <v>46053</v>
      </c>
      <c r="C545" s="7" t="str">
        <f>_xlfn.XLOOKUP(Jnl[[#This Row],[TrxId]], Trx[Id], Trx[Division],,0)</f>
        <v>GM</v>
      </c>
      <c r="D545" s="7" t="str">
        <f>_xlfn.XLOOKUP(Jnl[[#This Row],[TrxId]], Trx[Id], Trx[Action],,0)</f>
        <v>薪酬-工资</v>
      </c>
      <c r="E545" s="26" t="s">
        <v>80</v>
      </c>
      <c r="F545" s="11" t="s">
        <v>590</v>
      </c>
      <c r="G545" s="11" t="s">
        <v>391</v>
      </c>
      <c r="H545" s="72">
        <v>-10500.58</v>
      </c>
      <c r="I545" s="5" t="b">
        <f>AND(Jnl[[#This Row],[TrxId]]&lt;&gt;"",Jnl[[#This Row],[Acct]]&lt;&gt;"",Jnl[[#This Row],[Item]]&lt;&gt;"",ISNUMBER(Jnl[[#This Row],[Bal]]))</f>
        <v>1</v>
      </c>
      <c r="J545" s="10">
        <f>IF(Jnl[[#This Row],[BSLv0]]="A",1,-1)*Jnl[[#This Row],[Bal]]</f>
        <v>-10500.58</v>
      </c>
      <c r="K545" t="str">
        <f>_xlfn.XLOOKUP(Jnl[[#This Row],[Acct]], config_BS[Acct], config_BS[Lv0],,0)</f>
        <v>A</v>
      </c>
      <c r="L545" t="str">
        <f>_xlfn.XLOOKUP(Jnl[[#This Row],[Acct]], config_BS[Acct], config_BS[Lv1],,0)</f>
        <v>Assets</v>
      </c>
      <c r="M545" t="str">
        <f>_xlfn.XLOOKUP(Jnl[[#This Row],[Acct]], config_BS[Acct], config_BS[Lv2],,0)</f>
        <v>Cash alike</v>
      </c>
      <c r="N545" t="str">
        <f>_xlfn.XLOOKUP(Jnl[[#This Row],[TrxId]], Trx[Id], Trx[IncNode], ,0)</f>
        <v>Expense</v>
      </c>
      <c r="O545" t="str">
        <f>_xlfn.XLOOKUP(Jnl[[#This Row],[IncNode]], config_IS[Node], config_IS[Type],,0)</f>
        <v>Op</v>
      </c>
      <c r="P545" t="str">
        <f>_xlfn.XLOOKUP(Jnl[[#This Row],[BSLv2]], dict[Key], dict[Name],,0)</f>
        <v>0.现金及类似</v>
      </c>
      <c r="Q545" t="str">
        <f>_xlfn.XLOOKUP(Jnl[[#This Row],[Acct]], dict[Key], dict[Name],,0)</f>
        <v>银行</v>
      </c>
      <c r="R545" t="str">
        <f>_xlfn.XLOOKUP(Jnl[[#This Row],[Vehicle]],config_vehicle[Id], config_vehicle[Name],,0)</f>
        <v>远家花园</v>
      </c>
      <c r="S545" t="str">
        <f>_xlfn.XLOOKUP(Jnl[[#This Row],[Division]],config_div[Id], config_div[Name],,0)</f>
        <v>综合管理</v>
      </c>
      <c r="T545" t="str">
        <f>IF(Jnl[[#This Row],[TrxDate]]&lt;=stmt_BS_date_end, "In", "Out")</f>
        <v>In</v>
      </c>
      <c r="U545" t="str">
        <f>IF(Jnl[[#This Row],[TrxDate]]&lt;debug_date_start, "prior", IF(Jnl[[#This Row],[TrxDate]]&gt;debug_date_end, "post", "curr"))</f>
        <v>prior</v>
      </c>
    </row>
    <row r="546" spans="1:21">
      <c r="A546" s="11" t="s">
        <v>737</v>
      </c>
      <c r="B546" s="7">
        <f>_xlfn.XLOOKUP(Jnl[[#This Row],[TrxId]], Trx[Id], Trx[Date],,0)</f>
        <v>46053</v>
      </c>
      <c r="C546" s="7" t="str">
        <f>_xlfn.XLOOKUP(Jnl[[#This Row],[TrxId]], Trx[Id], Trx[Division],,0)</f>
        <v>Online</v>
      </c>
      <c r="D546" s="7" t="str">
        <f>_xlfn.XLOOKUP(Jnl[[#This Row],[TrxId]], Trx[Id], Trx[Action],,0)</f>
        <v>采购</v>
      </c>
      <c r="E546" s="26" t="s">
        <v>80</v>
      </c>
      <c r="F546" s="11" t="s">
        <v>590</v>
      </c>
      <c r="G546" s="11" t="s">
        <v>391</v>
      </c>
      <c r="H546" s="72">
        <v>-5940</v>
      </c>
      <c r="I546" s="5" t="b">
        <f>AND(Jnl[[#This Row],[TrxId]]&lt;&gt;"",Jnl[[#This Row],[Acct]]&lt;&gt;"",Jnl[[#This Row],[Item]]&lt;&gt;"",ISNUMBER(Jnl[[#This Row],[Bal]]))</f>
        <v>1</v>
      </c>
      <c r="J546" s="10">
        <f>IF(Jnl[[#This Row],[BSLv0]]="A",1,-1)*Jnl[[#This Row],[Bal]]</f>
        <v>-5940</v>
      </c>
      <c r="K546" t="str">
        <f>_xlfn.XLOOKUP(Jnl[[#This Row],[Acct]], config_BS[Acct], config_BS[Lv0],,0)</f>
        <v>A</v>
      </c>
      <c r="L546" t="str">
        <f>_xlfn.XLOOKUP(Jnl[[#This Row],[Acct]], config_BS[Acct], config_BS[Lv1],,0)</f>
        <v>Assets</v>
      </c>
      <c r="M546" t="str">
        <f>_xlfn.XLOOKUP(Jnl[[#This Row],[Acct]], config_BS[Acct], config_BS[Lv2],,0)</f>
        <v>Cash alike</v>
      </c>
      <c r="N546" t="str">
        <f>_xlfn.XLOOKUP(Jnl[[#This Row],[TrxId]], Trx[Id], Trx[IncNode], ,0)</f>
        <v>Cost</v>
      </c>
      <c r="O546" t="str">
        <f>_xlfn.XLOOKUP(Jnl[[#This Row],[IncNode]], config_IS[Node], config_IS[Type],,0)</f>
        <v>Op</v>
      </c>
      <c r="P546" t="str">
        <f>_xlfn.XLOOKUP(Jnl[[#This Row],[BSLv2]], dict[Key], dict[Name],,0)</f>
        <v>0.现金及类似</v>
      </c>
      <c r="Q546" t="str">
        <f>_xlfn.XLOOKUP(Jnl[[#This Row],[Acct]], dict[Key], dict[Name],,0)</f>
        <v>银行</v>
      </c>
      <c r="R546" t="str">
        <f>_xlfn.XLOOKUP(Jnl[[#This Row],[Vehicle]],config_vehicle[Id], config_vehicle[Name],,0)</f>
        <v>远家花园</v>
      </c>
      <c r="S546" t="str">
        <f>_xlfn.XLOOKUP(Jnl[[#This Row],[Division]],config_div[Id], config_div[Name],,0)</f>
        <v>网店</v>
      </c>
      <c r="T546" t="str">
        <f>IF(Jnl[[#This Row],[TrxDate]]&lt;=stmt_BS_date_end, "In", "Out")</f>
        <v>In</v>
      </c>
      <c r="U546" t="str">
        <f>IF(Jnl[[#This Row],[TrxDate]]&lt;debug_date_start, "prior", IF(Jnl[[#This Row],[TrxDate]]&gt;debug_date_end, "post", "curr"))</f>
        <v>prior</v>
      </c>
    </row>
    <row r="547" spans="1:21">
      <c r="A547" s="11" t="s">
        <v>737</v>
      </c>
      <c r="B547" s="7">
        <f>_xlfn.XLOOKUP(Jnl[[#This Row],[TrxId]], Trx[Id], Trx[Date],,0)</f>
        <v>46053</v>
      </c>
      <c r="C547" s="7" t="str">
        <f>_xlfn.XLOOKUP(Jnl[[#This Row],[TrxId]], Trx[Id], Trx[Division],,0)</f>
        <v>Online</v>
      </c>
      <c r="D547" s="7" t="str">
        <f>_xlfn.XLOOKUP(Jnl[[#This Row],[TrxId]], Trx[Id], Trx[Action],,0)</f>
        <v>采购</v>
      </c>
      <c r="E547" s="26" t="s">
        <v>80</v>
      </c>
      <c r="F547" s="11" t="s">
        <v>598</v>
      </c>
      <c r="G547" s="11" t="s">
        <v>151</v>
      </c>
      <c r="H547" s="72">
        <f>-H546</f>
        <v>5940</v>
      </c>
      <c r="I547" s="5" t="b">
        <f>AND(Jnl[[#This Row],[TrxId]]&lt;&gt;"",Jnl[[#This Row],[Acct]]&lt;&gt;"",Jnl[[#This Row],[Item]]&lt;&gt;"",ISNUMBER(Jnl[[#This Row],[Bal]]))</f>
        <v>1</v>
      </c>
      <c r="J547" s="10">
        <f>IF(Jnl[[#This Row],[BSLv0]]="A",1,-1)*Jnl[[#This Row],[Bal]]</f>
        <v>5940</v>
      </c>
      <c r="K547" t="str">
        <f>_xlfn.XLOOKUP(Jnl[[#This Row],[Acct]], config_BS[Acct], config_BS[Lv0],,0)</f>
        <v>A</v>
      </c>
      <c r="L547" t="str">
        <f>_xlfn.XLOOKUP(Jnl[[#This Row],[Acct]], config_BS[Acct], config_BS[Lv1],,0)</f>
        <v>Assets</v>
      </c>
      <c r="M547" t="str">
        <f>_xlfn.XLOOKUP(Jnl[[#This Row],[Acct]], config_BS[Acct], config_BS[Lv2],,0)</f>
        <v>Invtr</v>
      </c>
      <c r="N547" t="str">
        <f>_xlfn.XLOOKUP(Jnl[[#This Row],[TrxId]], Trx[Id], Trx[IncNode], ,0)</f>
        <v>Cost</v>
      </c>
      <c r="O547" t="str">
        <f>_xlfn.XLOOKUP(Jnl[[#This Row],[IncNode]], config_IS[Node], config_IS[Type],,0)</f>
        <v>Op</v>
      </c>
      <c r="P547" t="str">
        <f>_xlfn.XLOOKUP(Jnl[[#This Row],[BSLv2]], dict[Key], dict[Name],,0)</f>
        <v>3.库存占款</v>
      </c>
      <c r="Q547" t="str">
        <f>_xlfn.XLOOKUP(Jnl[[#This Row],[Acct]], dict[Key], dict[Name],,0)</f>
        <v>当期存货</v>
      </c>
      <c r="R547" t="str">
        <f>_xlfn.XLOOKUP(Jnl[[#This Row],[Vehicle]],config_vehicle[Id], config_vehicle[Name],,0)</f>
        <v>远家花园</v>
      </c>
      <c r="S547" t="str">
        <f>_xlfn.XLOOKUP(Jnl[[#This Row],[Division]],config_div[Id], config_div[Name],,0)</f>
        <v>网店</v>
      </c>
      <c r="T547" t="str">
        <f>IF(Jnl[[#This Row],[TrxDate]]&lt;=stmt_BS_date_end, "In", "Out")</f>
        <v>In</v>
      </c>
      <c r="U547" t="str">
        <f>IF(Jnl[[#This Row],[TrxDate]]&lt;debug_date_start, "prior", IF(Jnl[[#This Row],[TrxDate]]&gt;debug_date_end, "post", "curr"))</f>
        <v>prior</v>
      </c>
    </row>
    <row r="548" spans="1:21">
      <c r="A548" s="11" t="s">
        <v>738</v>
      </c>
      <c r="B548" s="7">
        <f>_xlfn.XLOOKUP(Jnl[[#This Row],[TrxId]], Trx[Id], Trx[Date],,0)</f>
        <v>46053</v>
      </c>
      <c r="C548" s="7" t="str">
        <f>_xlfn.XLOOKUP(Jnl[[#This Row],[TrxId]], Trx[Id], Trx[Division],,0)</f>
        <v>Ctrl</v>
      </c>
      <c r="D548" s="7" t="str">
        <f>_xlfn.XLOOKUP(Jnl[[#This Row],[TrxId]], Trx[Id], Trx[Action],,0)</f>
        <v>支付</v>
      </c>
      <c r="E548" s="26" t="s">
        <v>80</v>
      </c>
      <c r="F548" s="11" t="s">
        <v>127</v>
      </c>
      <c r="G548" s="11" t="s">
        <v>307</v>
      </c>
      <c r="H548" s="72">
        <v>-379473.01</v>
      </c>
      <c r="I548" s="5" t="b">
        <f>AND(Jnl[[#This Row],[TrxId]]&lt;&gt;"",Jnl[[#This Row],[Acct]]&lt;&gt;"",Jnl[[#This Row],[Item]]&lt;&gt;"",ISNUMBER(Jnl[[#This Row],[Bal]]))</f>
        <v>1</v>
      </c>
      <c r="J548" s="10">
        <f>IF(Jnl[[#This Row],[BSLv0]]="A",1,-1)*Jnl[[#This Row],[Bal]]</f>
        <v>379473.01</v>
      </c>
      <c r="K548" t="str">
        <f>_xlfn.XLOOKUP(Jnl[[#This Row],[Acct]], config_BS[Acct], config_BS[Lv0],,0)</f>
        <v>LC</v>
      </c>
      <c r="L548" t="str">
        <f>_xlfn.XLOOKUP(Jnl[[#This Row],[Acct]], config_BS[Acct], config_BS[Lv1],,0)</f>
        <v>Liability</v>
      </c>
      <c r="M548" t="str">
        <f>_xlfn.XLOOKUP(Jnl[[#This Row],[Acct]], config_BS[Acct], config_BS[Lv2],,0)</f>
        <v>Rec-Pay</v>
      </c>
      <c r="N548" t="str">
        <f>_xlfn.XLOOKUP(Jnl[[#This Row],[TrxId]], Trx[Id], Trx[IncNode], ,0)</f>
        <v>Expense</v>
      </c>
      <c r="O548" t="str">
        <f>_xlfn.XLOOKUP(Jnl[[#This Row],[IncNode]], config_IS[Node], config_IS[Type],,0)</f>
        <v>Op</v>
      </c>
      <c r="P548" t="str">
        <f>_xlfn.XLOOKUP(Jnl[[#This Row],[BSLv2]], dict[Key], dict[Name],,0)</f>
        <v>1.应收-应付</v>
      </c>
      <c r="Q548" t="str">
        <f>_xlfn.XLOOKUP(Jnl[[#This Row],[Acct]], dict[Key], dict[Name],,0)</f>
        <v>应付-税款</v>
      </c>
      <c r="R548" t="str">
        <f>_xlfn.XLOOKUP(Jnl[[#This Row],[Vehicle]],config_vehicle[Id], config_vehicle[Name],,0)</f>
        <v>远家花园</v>
      </c>
      <c r="S548" t="str">
        <f>_xlfn.XLOOKUP(Jnl[[#This Row],[Division]],config_div[Id], config_div[Name],,0)</f>
        <v>内控合规</v>
      </c>
      <c r="T548" t="str">
        <f>IF(Jnl[[#This Row],[TrxDate]]&lt;=stmt_BS_date_end, "In", "Out")</f>
        <v>In</v>
      </c>
      <c r="U548" t="str">
        <f>IF(Jnl[[#This Row],[TrxDate]]&lt;debug_date_start, "prior", IF(Jnl[[#This Row],[TrxDate]]&gt;debug_date_end, "post", "curr"))</f>
        <v>prior</v>
      </c>
    </row>
    <row r="549" spans="1:21">
      <c r="A549" s="11" t="s">
        <v>738</v>
      </c>
      <c r="B549" s="7">
        <f>_xlfn.XLOOKUP(Jnl[[#This Row],[TrxId]], Trx[Id], Trx[Date],,0)</f>
        <v>46053</v>
      </c>
      <c r="C549" s="7" t="str">
        <f>_xlfn.XLOOKUP(Jnl[[#This Row],[TrxId]], Trx[Id], Trx[Division],,0)</f>
        <v>Ctrl</v>
      </c>
      <c r="D549" s="7" t="str">
        <f>_xlfn.XLOOKUP(Jnl[[#This Row],[TrxId]], Trx[Id], Trx[Action],,0)</f>
        <v>支付</v>
      </c>
      <c r="E549" s="26" t="s">
        <v>80</v>
      </c>
      <c r="F549" s="11" t="s">
        <v>127</v>
      </c>
      <c r="G549" s="11" t="s">
        <v>348</v>
      </c>
      <c r="H549" s="72">
        <v>-22987.3</v>
      </c>
      <c r="I549" s="5" t="b">
        <f>AND(Jnl[[#This Row],[TrxId]]&lt;&gt;"",Jnl[[#This Row],[Acct]]&lt;&gt;"",Jnl[[#This Row],[Item]]&lt;&gt;"",ISNUMBER(Jnl[[#This Row],[Bal]]))</f>
        <v>1</v>
      </c>
      <c r="J549" s="10">
        <f>IF(Jnl[[#This Row],[BSLv0]]="A",1,-1)*Jnl[[#This Row],[Bal]]</f>
        <v>22987.3</v>
      </c>
      <c r="K549" t="str">
        <f>_xlfn.XLOOKUP(Jnl[[#This Row],[Acct]], config_BS[Acct], config_BS[Lv0],,0)</f>
        <v>LC</v>
      </c>
      <c r="L549" t="str">
        <f>_xlfn.XLOOKUP(Jnl[[#This Row],[Acct]], config_BS[Acct], config_BS[Lv1],,0)</f>
        <v>Liability</v>
      </c>
      <c r="M549" t="str">
        <f>_xlfn.XLOOKUP(Jnl[[#This Row],[Acct]], config_BS[Acct], config_BS[Lv2],,0)</f>
        <v>Rec-Pay</v>
      </c>
      <c r="N549" t="str">
        <f>_xlfn.XLOOKUP(Jnl[[#This Row],[TrxId]], Trx[Id], Trx[IncNode], ,0)</f>
        <v>Expense</v>
      </c>
      <c r="O549" t="str">
        <f>_xlfn.XLOOKUP(Jnl[[#This Row],[IncNode]], config_IS[Node], config_IS[Type],,0)</f>
        <v>Op</v>
      </c>
      <c r="P549" t="str">
        <f>_xlfn.XLOOKUP(Jnl[[#This Row],[BSLv2]], dict[Key], dict[Name],,0)</f>
        <v>1.应收-应付</v>
      </c>
      <c r="Q549" t="str">
        <f>_xlfn.XLOOKUP(Jnl[[#This Row],[Acct]], dict[Key], dict[Name],,0)</f>
        <v>应付-税款</v>
      </c>
      <c r="R549" t="str">
        <f>_xlfn.XLOOKUP(Jnl[[#This Row],[Vehicle]],config_vehicle[Id], config_vehicle[Name],,0)</f>
        <v>远家花园</v>
      </c>
      <c r="S549" t="str">
        <f>_xlfn.XLOOKUP(Jnl[[#This Row],[Division]],config_div[Id], config_div[Name],,0)</f>
        <v>内控合规</v>
      </c>
      <c r="T549" t="str">
        <f>IF(Jnl[[#This Row],[TrxDate]]&lt;=stmt_BS_date_end, "In", "Out")</f>
        <v>In</v>
      </c>
      <c r="U549" t="str">
        <f>IF(Jnl[[#This Row],[TrxDate]]&lt;debug_date_start, "prior", IF(Jnl[[#This Row],[TrxDate]]&gt;debug_date_end, "post", "curr"))</f>
        <v>prior</v>
      </c>
    </row>
    <row r="550" spans="1:21">
      <c r="A550" s="11" t="s">
        <v>738</v>
      </c>
      <c r="B550" s="7">
        <f>_xlfn.XLOOKUP(Jnl[[#This Row],[TrxId]], Trx[Id], Trx[Date],,0)</f>
        <v>46053</v>
      </c>
      <c r="C550" s="7" t="str">
        <f>_xlfn.XLOOKUP(Jnl[[#This Row],[TrxId]], Trx[Id], Trx[Division],,0)</f>
        <v>Ctrl</v>
      </c>
      <c r="D550" s="7" t="str">
        <f>_xlfn.XLOOKUP(Jnl[[#This Row],[TrxId]], Trx[Id], Trx[Action],,0)</f>
        <v>支付</v>
      </c>
      <c r="E550" s="26" t="s">
        <v>80</v>
      </c>
      <c r="F550" s="11" t="s">
        <v>127</v>
      </c>
      <c r="G550" s="11" t="s">
        <v>349</v>
      </c>
      <c r="H550" s="72">
        <v>-583.9</v>
      </c>
      <c r="I550" s="5" t="b">
        <f>AND(Jnl[[#This Row],[TrxId]]&lt;&gt;"",Jnl[[#This Row],[Acct]]&lt;&gt;"",Jnl[[#This Row],[Item]]&lt;&gt;"",ISNUMBER(Jnl[[#This Row],[Bal]]))</f>
        <v>1</v>
      </c>
      <c r="J550" s="10">
        <f>IF(Jnl[[#This Row],[BSLv0]]="A",1,-1)*Jnl[[#This Row],[Bal]]</f>
        <v>583.9</v>
      </c>
      <c r="K550" t="str">
        <f>_xlfn.XLOOKUP(Jnl[[#This Row],[Acct]], config_BS[Acct], config_BS[Lv0],,0)</f>
        <v>LC</v>
      </c>
      <c r="L550" t="str">
        <f>_xlfn.XLOOKUP(Jnl[[#This Row],[Acct]], config_BS[Acct], config_BS[Lv1],,0)</f>
        <v>Liability</v>
      </c>
      <c r="M550" t="str">
        <f>_xlfn.XLOOKUP(Jnl[[#This Row],[Acct]], config_BS[Acct], config_BS[Lv2],,0)</f>
        <v>Rec-Pay</v>
      </c>
      <c r="N550" t="str">
        <f>_xlfn.XLOOKUP(Jnl[[#This Row],[TrxId]], Trx[Id], Trx[IncNode], ,0)</f>
        <v>Expense</v>
      </c>
      <c r="O550" t="str">
        <f>_xlfn.XLOOKUP(Jnl[[#This Row],[IncNode]], config_IS[Node], config_IS[Type],,0)</f>
        <v>Op</v>
      </c>
      <c r="P550" t="str">
        <f>_xlfn.XLOOKUP(Jnl[[#This Row],[BSLv2]], dict[Key], dict[Name],,0)</f>
        <v>1.应收-应付</v>
      </c>
      <c r="Q550" t="str">
        <f>_xlfn.XLOOKUP(Jnl[[#This Row],[Acct]], dict[Key], dict[Name],,0)</f>
        <v>应付-税款</v>
      </c>
      <c r="R550" t="str">
        <f>_xlfn.XLOOKUP(Jnl[[#This Row],[Vehicle]],config_vehicle[Id], config_vehicle[Name],,0)</f>
        <v>远家花园</v>
      </c>
      <c r="S550" t="str">
        <f>_xlfn.XLOOKUP(Jnl[[#This Row],[Division]],config_div[Id], config_div[Name],,0)</f>
        <v>内控合规</v>
      </c>
      <c r="T550" t="str">
        <f>IF(Jnl[[#This Row],[TrxDate]]&lt;=stmt_BS_date_end, "In", "Out")</f>
        <v>In</v>
      </c>
      <c r="U550" t="str">
        <f>IF(Jnl[[#This Row],[TrxDate]]&lt;debug_date_start, "prior", IF(Jnl[[#This Row],[TrxDate]]&gt;debug_date_end, "post", "curr"))</f>
        <v>prior</v>
      </c>
    </row>
    <row r="551" spans="1:21">
      <c r="A551" s="11" t="s">
        <v>738</v>
      </c>
      <c r="B551" s="7">
        <f>_xlfn.XLOOKUP(Jnl[[#This Row],[TrxId]], Trx[Id], Trx[Date],,0)</f>
        <v>46053</v>
      </c>
      <c r="C551" s="7" t="str">
        <f>_xlfn.XLOOKUP(Jnl[[#This Row],[TrxId]], Trx[Id], Trx[Division],,0)</f>
        <v>Ctrl</v>
      </c>
      <c r="D551" s="7" t="str">
        <f>_xlfn.XLOOKUP(Jnl[[#This Row],[TrxId]], Trx[Id], Trx[Action],,0)</f>
        <v>支付</v>
      </c>
      <c r="E551" s="26" t="s">
        <v>80</v>
      </c>
      <c r="F551" s="11" t="s">
        <v>127</v>
      </c>
      <c r="G551" s="11" t="s">
        <v>616</v>
      </c>
      <c r="H551" s="72">
        <v>-1049.06</v>
      </c>
      <c r="I551" s="5" t="b">
        <f>AND(Jnl[[#This Row],[TrxId]]&lt;&gt;"",Jnl[[#This Row],[Acct]]&lt;&gt;"",Jnl[[#This Row],[Item]]&lt;&gt;"",ISNUMBER(Jnl[[#This Row],[Bal]]))</f>
        <v>1</v>
      </c>
      <c r="J551" s="10">
        <f>IF(Jnl[[#This Row],[BSLv0]]="A",1,-1)*Jnl[[#This Row],[Bal]]</f>
        <v>1049.06</v>
      </c>
      <c r="K551" t="str">
        <f>_xlfn.XLOOKUP(Jnl[[#This Row],[Acct]], config_BS[Acct], config_BS[Lv0],,0)</f>
        <v>LC</v>
      </c>
      <c r="L551" t="str">
        <f>_xlfn.XLOOKUP(Jnl[[#This Row],[Acct]], config_BS[Acct], config_BS[Lv1],,0)</f>
        <v>Liability</v>
      </c>
      <c r="M551" t="str">
        <f>_xlfn.XLOOKUP(Jnl[[#This Row],[Acct]], config_BS[Acct], config_BS[Lv2],,0)</f>
        <v>Rec-Pay</v>
      </c>
      <c r="N551" t="str">
        <f>_xlfn.XLOOKUP(Jnl[[#This Row],[TrxId]], Trx[Id], Trx[IncNode], ,0)</f>
        <v>Expense</v>
      </c>
      <c r="O551" t="str">
        <f>_xlfn.XLOOKUP(Jnl[[#This Row],[IncNode]], config_IS[Node], config_IS[Type],,0)</f>
        <v>Op</v>
      </c>
      <c r="P551" t="str">
        <f>_xlfn.XLOOKUP(Jnl[[#This Row],[BSLv2]], dict[Key], dict[Name],,0)</f>
        <v>1.应收-应付</v>
      </c>
      <c r="Q551" t="str">
        <f>_xlfn.XLOOKUP(Jnl[[#This Row],[Acct]], dict[Key], dict[Name],,0)</f>
        <v>应付-税款</v>
      </c>
      <c r="R551" t="str">
        <f>_xlfn.XLOOKUP(Jnl[[#This Row],[Vehicle]],config_vehicle[Id], config_vehicle[Name],,0)</f>
        <v>远家花园</v>
      </c>
      <c r="S551" t="str">
        <f>_xlfn.XLOOKUP(Jnl[[#This Row],[Division]],config_div[Id], config_div[Name],,0)</f>
        <v>内控合规</v>
      </c>
      <c r="T551" t="str">
        <f>IF(Jnl[[#This Row],[TrxDate]]&lt;=stmt_BS_date_end, "In", "Out")</f>
        <v>In</v>
      </c>
      <c r="U551" t="str">
        <f>IF(Jnl[[#This Row],[TrxDate]]&lt;debug_date_start, "prior", IF(Jnl[[#This Row],[TrxDate]]&gt;debug_date_end, "post", "curr"))</f>
        <v>prior</v>
      </c>
    </row>
    <row r="552" spans="1:21">
      <c r="A552" s="11" t="s">
        <v>738</v>
      </c>
      <c r="B552" s="7">
        <f>_xlfn.XLOOKUP(Jnl[[#This Row],[TrxId]], Trx[Id], Trx[Date],,0)</f>
        <v>46053</v>
      </c>
      <c r="C552" s="7" t="str">
        <f>_xlfn.XLOOKUP(Jnl[[#This Row],[TrxId]], Trx[Id], Trx[Division],,0)</f>
        <v>Ctrl</v>
      </c>
      <c r="D552" s="7" t="str">
        <f>_xlfn.XLOOKUP(Jnl[[#This Row],[TrxId]], Trx[Id], Trx[Action],,0)</f>
        <v>支付</v>
      </c>
      <c r="E552" s="26" t="s">
        <v>80</v>
      </c>
      <c r="F552" s="11" t="s">
        <v>127</v>
      </c>
      <c r="G552" s="11" t="s">
        <v>347</v>
      </c>
      <c r="H552" s="72">
        <v>-37203.69</v>
      </c>
      <c r="I552" s="5" t="b">
        <f>AND(Jnl[[#This Row],[TrxId]]&lt;&gt;"",Jnl[[#This Row],[Acct]]&lt;&gt;"",Jnl[[#This Row],[Item]]&lt;&gt;"",ISNUMBER(Jnl[[#This Row],[Bal]]))</f>
        <v>1</v>
      </c>
      <c r="J552" s="10">
        <f>IF(Jnl[[#This Row],[BSLv0]]="A",1,-1)*Jnl[[#This Row],[Bal]]</f>
        <v>37203.69</v>
      </c>
      <c r="K552" t="str">
        <f>_xlfn.XLOOKUP(Jnl[[#This Row],[Acct]], config_BS[Acct], config_BS[Lv0],,0)</f>
        <v>LC</v>
      </c>
      <c r="L552" t="str">
        <f>_xlfn.XLOOKUP(Jnl[[#This Row],[Acct]], config_BS[Acct], config_BS[Lv1],,0)</f>
        <v>Liability</v>
      </c>
      <c r="M552" t="str">
        <f>_xlfn.XLOOKUP(Jnl[[#This Row],[Acct]], config_BS[Acct], config_BS[Lv2],,0)</f>
        <v>Rec-Pay</v>
      </c>
      <c r="N552" t="str">
        <f>_xlfn.XLOOKUP(Jnl[[#This Row],[TrxId]], Trx[Id], Trx[IncNode], ,0)</f>
        <v>Expense</v>
      </c>
      <c r="O552" t="str">
        <f>_xlfn.XLOOKUP(Jnl[[#This Row],[IncNode]], config_IS[Node], config_IS[Type],,0)</f>
        <v>Op</v>
      </c>
      <c r="P552" t="str">
        <f>_xlfn.XLOOKUP(Jnl[[#This Row],[BSLv2]], dict[Key], dict[Name],,0)</f>
        <v>1.应收-应付</v>
      </c>
      <c r="Q552" t="str">
        <f>_xlfn.XLOOKUP(Jnl[[#This Row],[Acct]], dict[Key], dict[Name],,0)</f>
        <v>应付-税款</v>
      </c>
      <c r="R552" t="str">
        <f>_xlfn.XLOOKUP(Jnl[[#This Row],[Vehicle]],config_vehicle[Id], config_vehicle[Name],,0)</f>
        <v>远家花园</v>
      </c>
      <c r="S552" t="str">
        <f>_xlfn.XLOOKUP(Jnl[[#This Row],[Division]],config_div[Id], config_div[Name],,0)</f>
        <v>内控合规</v>
      </c>
      <c r="T552" t="str">
        <f>IF(Jnl[[#This Row],[TrxDate]]&lt;=stmt_BS_date_end, "In", "Out")</f>
        <v>In</v>
      </c>
      <c r="U552" t="str">
        <f>IF(Jnl[[#This Row],[TrxDate]]&lt;debug_date_start, "prior", IF(Jnl[[#This Row],[TrxDate]]&gt;debug_date_end, "post", "curr"))</f>
        <v>prior</v>
      </c>
    </row>
    <row r="553" spans="1:21">
      <c r="A553" s="11" t="s">
        <v>738</v>
      </c>
      <c r="B553" s="7">
        <f>_xlfn.XLOOKUP(Jnl[[#This Row],[TrxId]], Trx[Id], Trx[Date],,0)</f>
        <v>46053</v>
      </c>
      <c r="C553" s="7" t="str">
        <f>_xlfn.XLOOKUP(Jnl[[#This Row],[TrxId]], Trx[Id], Trx[Division],,0)</f>
        <v>Ctrl</v>
      </c>
      <c r="D553" s="7" t="str">
        <f>_xlfn.XLOOKUP(Jnl[[#This Row],[TrxId]], Trx[Id], Trx[Action],,0)</f>
        <v>支付</v>
      </c>
      <c r="E553" s="26" t="s">
        <v>80</v>
      </c>
      <c r="F553" s="11" t="s">
        <v>590</v>
      </c>
      <c r="G553" s="11" t="s">
        <v>391</v>
      </c>
      <c r="H553" s="72">
        <f>-37203.69-404093.27</f>
        <v>-441296.96</v>
      </c>
      <c r="I553" s="5" t="b">
        <f>AND(Jnl[[#This Row],[TrxId]]&lt;&gt;"",Jnl[[#This Row],[Acct]]&lt;&gt;"",Jnl[[#This Row],[Item]]&lt;&gt;"",ISNUMBER(Jnl[[#This Row],[Bal]]))</f>
        <v>1</v>
      </c>
      <c r="J553" s="10">
        <f>IF(Jnl[[#This Row],[BSLv0]]="A",1,-1)*Jnl[[#This Row],[Bal]]</f>
        <v>-441296.96</v>
      </c>
      <c r="K553" t="str">
        <f>_xlfn.XLOOKUP(Jnl[[#This Row],[Acct]], config_BS[Acct], config_BS[Lv0],,0)</f>
        <v>A</v>
      </c>
      <c r="L553" t="str">
        <f>_xlfn.XLOOKUP(Jnl[[#This Row],[Acct]], config_BS[Acct], config_BS[Lv1],,0)</f>
        <v>Assets</v>
      </c>
      <c r="M553" t="str">
        <f>_xlfn.XLOOKUP(Jnl[[#This Row],[Acct]], config_BS[Acct], config_BS[Lv2],,0)</f>
        <v>Cash alike</v>
      </c>
      <c r="N553" t="str">
        <f>_xlfn.XLOOKUP(Jnl[[#This Row],[TrxId]], Trx[Id], Trx[IncNode], ,0)</f>
        <v>Expense</v>
      </c>
      <c r="O553" t="str">
        <f>_xlfn.XLOOKUP(Jnl[[#This Row],[IncNode]], config_IS[Node], config_IS[Type],,0)</f>
        <v>Op</v>
      </c>
      <c r="P553" t="str">
        <f>_xlfn.XLOOKUP(Jnl[[#This Row],[BSLv2]], dict[Key], dict[Name],,0)</f>
        <v>0.现金及类似</v>
      </c>
      <c r="Q553" t="str">
        <f>_xlfn.XLOOKUP(Jnl[[#This Row],[Acct]], dict[Key], dict[Name],,0)</f>
        <v>银行</v>
      </c>
      <c r="R553" t="str">
        <f>_xlfn.XLOOKUP(Jnl[[#This Row],[Vehicle]],config_vehicle[Id], config_vehicle[Name],,0)</f>
        <v>远家花园</v>
      </c>
      <c r="S553" t="str">
        <f>_xlfn.XLOOKUP(Jnl[[#This Row],[Division]],config_div[Id], config_div[Name],,0)</f>
        <v>内控合规</v>
      </c>
      <c r="T553" t="str">
        <f>IF(Jnl[[#This Row],[TrxDate]]&lt;=stmt_BS_date_end, "In", "Out")</f>
        <v>In</v>
      </c>
      <c r="U553" t="str">
        <f>IF(Jnl[[#This Row],[TrxDate]]&lt;debug_date_start, "prior", IF(Jnl[[#This Row],[TrxDate]]&gt;debug_date_end, "post", "curr"))</f>
        <v>prior</v>
      </c>
    </row>
    <row r="554" spans="1:21">
      <c r="A554" s="11" t="s">
        <v>739</v>
      </c>
      <c r="B554" s="7">
        <f>_xlfn.XLOOKUP(Jnl[[#This Row],[TrxId]], Trx[Id], Trx[Date],,0)</f>
        <v>46053</v>
      </c>
      <c r="C554" s="7" t="str">
        <f>_xlfn.XLOOKUP(Jnl[[#This Row],[TrxId]], Trx[Id], Trx[Division],,0)</f>
        <v>Online</v>
      </c>
      <c r="D554" s="7" t="str">
        <f>_xlfn.XLOOKUP(Jnl[[#This Row],[TrxId]], Trx[Id], Trx[Action],,0)</f>
        <v>采购</v>
      </c>
      <c r="E554" s="26" t="s">
        <v>80</v>
      </c>
      <c r="F554" s="11" t="s">
        <v>598</v>
      </c>
      <c r="G554" s="11" t="s">
        <v>151</v>
      </c>
      <c r="H554" s="72">
        <f>-H555</f>
        <v>50640</v>
      </c>
      <c r="I554" s="5" t="b">
        <f>AND(Jnl[[#This Row],[TrxId]]&lt;&gt;"",Jnl[[#This Row],[Acct]]&lt;&gt;"",Jnl[[#This Row],[Item]]&lt;&gt;"",ISNUMBER(Jnl[[#This Row],[Bal]]))</f>
        <v>1</v>
      </c>
      <c r="J554" s="10">
        <f>IF(Jnl[[#This Row],[BSLv0]]="A",1,-1)*Jnl[[#This Row],[Bal]]</f>
        <v>50640</v>
      </c>
      <c r="K554" t="str">
        <f>_xlfn.XLOOKUP(Jnl[[#This Row],[Acct]], config_BS[Acct], config_BS[Lv0],,0)</f>
        <v>A</v>
      </c>
      <c r="L554" t="str">
        <f>_xlfn.XLOOKUP(Jnl[[#This Row],[Acct]], config_BS[Acct], config_BS[Lv1],,0)</f>
        <v>Assets</v>
      </c>
      <c r="M554" t="str">
        <f>_xlfn.XLOOKUP(Jnl[[#This Row],[Acct]], config_BS[Acct], config_BS[Lv2],,0)</f>
        <v>Invtr</v>
      </c>
      <c r="N554" t="str">
        <f>_xlfn.XLOOKUP(Jnl[[#This Row],[TrxId]], Trx[Id], Trx[IncNode], ,0)</f>
        <v>Cost</v>
      </c>
      <c r="O554" t="str">
        <f>_xlfn.XLOOKUP(Jnl[[#This Row],[IncNode]], config_IS[Node], config_IS[Type],,0)</f>
        <v>Op</v>
      </c>
      <c r="P554" t="str">
        <f>_xlfn.XLOOKUP(Jnl[[#This Row],[BSLv2]], dict[Key], dict[Name],,0)</f>
        <v>3.库存占款</v>
      </c>
      <c r="Q554" t="str">
        <f>_xlfn.XLOOKUP(Jnl[[#This Row],[Acct]], dict[Key], dict[Name],,0)</f>
        <v>当期存货</v>
      </c>
      <c r="R554" t="str">
        <f>_xlfn.XLOOKUP(Jnl[[#This Row],[Vehicle]],config_vehicle[Id], config_vehicle[Name],,0)</f>
        <v>远家花园</v>
      </c>
      <c r="S554" t="str">
        <f>_xlfn.XLOOKUP(Jnl[[#This Row],[Division]],config_div[Id], config_div[Name],,0)</f>
        <v>网店</v>
      </c>
      <c r="T554" t="str">
        <f>IF(Jnl[[#This Row],[TrxDate]]&lt;=stmt_BS_date_end, "In", "Out")</f>
        <v>In</v>
      </c>
      <c r="U554" t="str">
        <f>IF(Jnl[[#This Row],[TrxDate]]&lt;debug_date_start, "prior", IF(Jnl[[#This Row],[TrxDate]]&gt;debug_date_end, "post", "curr"))</f>
        <v>prior</v>
      </c>
    </row>
    <row r="555" spans="1:21">
      <c r="A555" s="11" t="s">
        <v>739</v>
      </c>
      <c r="B555" s="7">
        <f>_xlfn.XLOOKUP(Jnl[[#This Row],[TrxId]], Trx[Id], Trx[Date],,0)</f>
        <v>46053</v>
      </c>
      <c r="C555" s="7" t="str">
        <f>_xlfn.XLOOKUP(Jnl[[#This Row],[TrxId]], Trx[Id], Trx[Division],,0)</f>
        <v>Online</v>
      </c>
      <c r="D555" s="7" t="str">
        <f>_xlfn.XLOOKUP(Jnl[[#This Row],[TrxId]], Trx[Id], Trx[Action],,0)</f>
        <v>采购</v>
      </c>
      <c r="E555" s="26" t="s">
        <v>80</v>
      </c>
      <c r="F555" s="11" t="s">
        <v>590</v>
      </c>
      <c r="G555" s="11" t="s">
        <v>391</v>
      </c>
      <c r="H555" s="72">
        <v>-50640</v>
      </c>
      <c r="I555" s="5" t="b">
        <f>AND(Jnl[[#This Row],[TrxId]]&lt;&gt;"",Jnl[[#This Row],[Acct]]&lt;&gt;"",Jnl[[#This Row],[Item]]&lt;&gt;"",ISNUMBER(Jnl[[#This Row],[Bal]]))</f>
        <v>1</v>
      </c>
      <c r="J555" s="10">
        <f>IF(Jnl[[#This Row],[BSLv0]]="A",1,-1)*Jnl[[#This Row],[Bal]]</f>
        <v>-50640</v>
      </c>
      <c r="K555" t="str">
        <f>_xlfn.XLOOKUP(Jnl[[#This Row],[Acct]], config_BS[Acct], config_BS[Lv0],,0)</f>
        <v>A</v>
      </c>
      <c r="L555" t="str">
        <f>_xlfn.XLOOKUP(Jnl[[#This Row],[Acct]], config_BS[Acct], config_BS[Lv1],,0)</f>
        <v>Assets</v>
      </c>
      <c r="M555" t="str">
        <f>_xlfn.XLOOKUP(Jnl[[#This Row],[Acct]], config_BS[Acct], config_BS[Lv2],,0)</f>
        <v>Cash alike</v>
      </c>
      <c r="N555" t="str">
        <f>_xlfn.XLOOKUP(Jnl[[#This Row],[TrxId]], Trx[Id], Trx[IncNode], ,0)</f>
        <v>Cost</v>
      </c>
      <c r="O555" t="str">
        <f>_xlfn.XLOOKUP(Jnl[[#This Row],[IncNode]], config_IS[Node], config_IS[Type],,0)</f>
        <v>Op</v>
      </c>
      <c r="P555" t="str">
        <f>_xlfn.XLOOKUP(Jnl[[#This Row],[BSLv2]], dict[Key], dict[Name],,0)</f>
        <v>0.现金及类似</v>
      </c>
      <c r="Q555" t="str">
        <f>_xlfn.XLOOKUP(Jnl[[#This Row],[Acct]], dict[Key], dict[Name],,0)</f>
        <v>银行</v>
      </c>
      <c r="R555" t="str">
        <f>_xlfn.XLOOKUP(Jnl[[#This Row],[Vehicle]],config_vehicle[Id], config_vehicle[Name],,0)</f>
        <v>远家花园</v>
      </c>
      <c r="S555" t="str">
        <f>_xlfn.XLOOKUP(Jnl[[#This Row],[Division]],config_div[Id], config_div[Name],,0)</f>
        <v>网店</v>
      </c>
      <c r="T555" t="str">
        <f>IF(Jnl[[#This Row],[TrxDate]]&lt;=stmt_BS_date_end, "In", "Out")</f>
        <v>In</v>
      </c>
      <c r="U555" t="str">
        <f>IF(Jnl[[#This Row],[TrxDate]]&lt;debug_date_start, "prior", IF(Jnl[[#This Row],[TrxDate]]&gt;debug_date_end, "post", "curr"))</f>
        <v>prior</v>
      </c>
    </row>
    <row r="556" spans="1:21">
      <c r="A556" s="11" t="s">
        <v>740</v>
      </c>
      <c r="B556" s="7">
        <f>_xlfn.XLOOKUP(Jnl[[#This Row],[TrxId]], Trx[Id], Trx[Date],,0)</f>
        <v>46053</v>
      </c>
      <c r="C556" s="7" t="str">
        <f>_xlfn.XLOOKUP(Jnl[[#This Row],[TrxId]], Trx[Id], Trx[Division],,0)</f>
        <v>GM</v>
      </c>
      <c r="D556" s="7" t="str">
        <f>_xlfn.XLOOKUP(Jnl[[#This Row],[TrxId]], Trx[Id], Trx[Action],,0)</f>
        <v>薪酬-工资</v>
      </c>
      <c r="E556" s="26" t="s">
        <v>80</v>
      </c>
      <c r="F556" s="11" t="s">
        <v>590</v>
      </c>
      <c r="G556" s="11" t="s">
        <v>391</v>
      </c>
      <c r="H556" s="72">
        <v>-10000</v>
      </c>
      <c r="I556" s="5" t="b">
        <f>AND(Jnl[[#This Row],[TrxId]]&lt;&gt;"",Jnl[[#This Row],[Acct]]&lt;&gt;"",Jnl[[#This Row],[Item]]&lt;&gt;"",ISNUMBER(Jnl[[#This Row],[Bal]]))</f>
        <v>1</v>
      </c>
      <c r="J556" s="10">
        <f>IF(Jnl[[#This Row],[BSLv0]]="A",1,-1)*Jnl[[#This Row],[Bal]]</f>
        <v>-10000</v>
      </c>
      <c r="K556" t="str">
        <f>_xlfn.XLOOKUP(Jnl[[#This Row],[Acct]], config_BS[Acct], config_BS[Lv0],,0)</f>
        <v>A</v>
      </c>
      <c r="L556" t="str">
        <f>_xlfn.XLOOKUP(Jnl[[#This Row],[Acct]], config_BS[Acct], config_BS[Lv1],,0)</f>
        <v>Assets</v>
      </c>
      <c r="M556" t="str">
        <f>_xlfn.XLOOKUP(Jnl[[#This Row],[Acct]], config_BS[Acct], config_BS[Lv2],,0)</f>
        <v>Cash alike</v>
      </c>
      <c r="N556" t="str">
        <f>_xlfn.XLOOKUP(Jnl[[#This Row],[TrxId]], Trx[Id], Trx[IncNode], ,0)</f>
        <v>Expense</v>
      </c>
      <c r="O556" t="str">
        <f>_xlfn.XLOOKUP(Jnl[[#This Row],[IncNode]], config_IS[Node], config_IS[Type],,0)</f>
        <v>Op</v>
      </c>
      <c r="P556" t="str">
        <f>_xlfn.XLOOKUP(Jnl[[#This Row],[BSLv2]], dict[Key], dict[Name],,0)</f>
        <v>0.现金及类似</v>
      </c>
      <c r="Q556" t="str">
        <f>_xlfn.XLOOKUP(Jnl[[#This Row],[Acct]], dict[Key], dict[Name],,0)</f>
        <v>银行</v>
      </c>
      <c r="R556" t="str">
        <f>_xlfn.XLOOKUP(Jnl[[#This Row],[Vehicle]],config_vehicle[Id], config_vehicle[Name],,0)</f>
        <v>远家花园</v>
      </c>
      <c r="S556" t="str">
        <f>_xlfn.XLOOKUP(Jnl[[#This Row],[Division]],config_div[Id], config_div[Name],,0)</f>
        <v>综合管理</v>
      </c>
      <c r="T556" t="str">
        <f>IF(Jnl[[#This Row],[TrxDate]]&lt;=stmt_BS_date_end, "In", "Out")</f>
        <v>In</v>
      </c>
      <c r="U556" t="str">
        <f>IF(Jnl[[#This Row],[TrxDate]]&lt;debug_date_start, "prior", IF(Jnl[[#This Row],[TrxDate]]&gt;debug_date_end, "post", "curr"))</f>
        <v>prior</v>
      </c>
    </row>
    <row r="557" spans="1:21">
      <c r="A557" s="11" t="s">
        <v>741</v>
      </c>
      <c r="B557" s="7">
        <f>_xlfn.XLOOKUP(Jnl[[#This Row],[TrxId]], Trx[Id], Trx[Date],,0)</f>
        <v>46053</v>
      </c>
      <c r="C557" s="7" t="str">
        <f>_xlfn.XLOOKUP(Jnl[[#This Row],[TrxId]], Trx[Id], Trx[Division],,0)</f>
        <v>Online</v>
      </c>
      <c r="D557" s="7" t="str">
        <f>_xlfn.XLOOKUP(Jnl[[#This Row],[TrxId]], Trx[Id], Trx[Action],,0)</f>
        <v>采购</v>
      </c>
      <c r="E557" s="26" t="s">
        <v>80</v>
      </c>
      <c r="F557" s="11" t="s">
        <v>590</v>
      </c>
      <c r="G557" s="11" t="s">
        <v>391</v>
      </c>
      <c r="H557" s="72">
        <v>-9576</v>
      </c>
      <c r="I557" s="5" t="b">
        <f>AND(Jnl[[#This Row],[TrxId]]&lt;&gt;"",Jnl[[#This Row],[Acct]]&lt;&gt;"",Jnl[[#This Row],[Item]]&lt;&gt;"",ISNUMBER(Jnl[[#This Row],[Bal]]))</f>
        <v>1</v>
      </c>
      <c r="J557" s="10">
        <f>IF(Jnl[[#This Row],[BSLv0]]="A",1,-1)*Jnl[[#This Row],[Bal]]</f>
        <v>-9576</v>
      </c>
      <c r="K557" t="str">
        <f>_xlfn.XLOOKUP(Jnl[[#This Row],[Acct]], config_BS[Acct], config_BS[Lv0],,0)</f>
        <v>A</v>
      </c>
      <c r="L557" t="str">
        <f>_xlfn.XLOOKUP(Jnl[[#This Row],[Acct]], config_BS[Acct], config_BS[Lv1],,0)</f>
        <v>Assets</v>
      </c>
      <c r="M557" t="str">
        <f>_xlfn.XLOOKUP(Jnl[[#This Row],[Acct]], config_BS[Acct], config_BS[Lv2],,0)</f>
        <v>Cash alike</v>
      </c>
      <c r="N557" t="str">
        <f>_xlfn.XLOOKUP(Jnl[[#This Row],[TrxId]], Trx[Id], Trx[IncNode], ,0)</f>
        <v>Cost</v>
      </c>
      <c r="O557" t="str">
        <f>_xlfn.XLOOKUP(Jnl[[#This Row],[IncNode]], config_IS[Node], config_IS[Type],,0)</f>
        <v>Op</v>
      </c>
      <c r="P557" t="str">
        <f>_xlfn.XLOOKUP(Jnl[[#This Row],[BSLv2]], dict[Key], dict[Name],,0)</f>
        <v>0.现金及类似</v>
      </c>
      <c r="Q557" t="str">
        <f>_xlfn.XLOOKUP(Jnl[[#This Row],[Acct]], dict[Key], dict[Name],,0)</f>
        <v>银行</v>
      </c>
      <c r="R557" t="str">
        <f>_xlfn.XLOOKUP(Jnl[[#This Row],[Vehicle]],config_vehicle[Id], config_vehicle[Name],,0)</f>
        <v>远家花园</v>
      </c>
      <c r="S557" t="str">
        <f>_xlfn.XLOOKUP(Jnl[[#This Row],[Division]],config_div[Id], config_div[Name],,0)</f>
        <v>网店</v>
      </c>
      <c r="T557" t="str">
        <f>IF(Jnl[[#This Row],[TrxDate]]&lt;=stmt_BS_date_end, "In", "Out")</f>
        <v>In</v>
      </c>
      <c r="U557" t="str">
        <f>IF(Jnl[[#This Row],[TrxDate]]&lt;debug_date_start, "prior", IF(Jnl[[#This Row],[TrxDate]]&gt;debug_date_end, "post", "curr"))</f>
        <v>prior</v>
      </c>
    </row>
    <row r="558" spans="1:21">
      <c r="A558" s="11" t="s">
        <v>741</v>
      </c>
      <c r="B558" s="7">
        <f>_xlfn.XLOOKUP(Jnl[[#This Row],[TrxId]], Trx[Id], Trx[Date],,0)</f>
        <v>46053</v>
      </c>
      <c r="C558" s="7" t="str">
        <f>_xlfn.XLOOKUP(Jnl[[#This Row],[TrxId]], Trx[Id], Trx[Division],,0)</f>
        <v>Online</v>
      </c>
      <c r="D558" s="7" t="str">
        <f>_xlfn.XLOOKUP(Jnl[[#This Row],[TrxId]], Trx[Id], Trx[Action],,0)</f>
        <v>采购</v>
      </c>
      <c r="E558" s="26" t="s">
        <v>80</v>
      </c>
      <c r="F558" s="11" t="s">
        <v>598</v>
      </c>
      <c r="G558" s="11" t="s">
        <v>151</v>
      </c>
      <c r="H558" s="72">
        <f>-H557</f>
        <v>9576</v>
      </c>
      <c r="I558" s="5" t="b">
        <f>AND(Jnl[[#This Row],[TrxId]]&lt;&gt;"",Jnl[[#This Row],[Acct]]&lt;&gt;"",Jnl[[#This Row],[Item]]&lt;&gt;"",ISNUMBER(Jnl[[#This Row],[Bal]]))</f>
        <v>1</v>
      </c>
      <c r="J558" s="10">
        <f>IF(Jnl[[#This Row],[BSLv0]]="A",1,-1)*Jnl[[#This Row],[Bal]]</f>
        <v>9576</v>
      </c>
      <c r="K558" t="str">
        <f>_xlfn.XLOOKUP(Jnl[[#This Row],[Acct]], config_BS[Acct], config_BS[Lv0],,0)</f>
        <v>A</v>
      </c>
      <c r="L558" t="str">
        <f>_xlfn.XLOOKUP(Jnl[[#This Row],[Acct]], config_BS[Acct], config_BS[Lv1],,0)</f>
        <v>Assets</v>
      </c>
      <c r="M558" t="str">
        <f>_xlfn.XLOOKUP(Jnl[[#This Row],[Acct]], config_BS[Acct], config_BS[Lv2],,0)</f>
        <v>Invtr</v>
      </c>
      <c r="N558" t="str">
        <f>_xlfn.XLOOKUP(Jnl[[#This Row],[TrxId]], Trx[Id], Trx[IncNode], ,0)</f>
        <v>Cost</v>
      </c>
      <c r="O558" t="str">
        <f>_xlfn.XLOOKUP(Jnl[[#This Row],[IncNode]], config_IS[Node], config_IS[Type],,0)</f>
        <v>Op</v>
      </c>
      <c r="P558" t="str">
        <f>_xlfn.XLOOKUP(Jnl[[#This Row],[BSLv2]], dict[Key], dict[Name],,0)</f>
        <v>3.库存占款</v>
      </c>
      <c r="Q558" t="str">
        <f>_xlfn.XLOOKUP(Jnl[[#This Row],[Acct]], dict[Key], dict[Name],,0)</f>
        <v>当期存货</v>
      </c>
      <c r="R558" t="str">
        <f>_xlfn.XLOOKUP(Jnl[[#This Row],[Vehicle]],config_vehicle[Id], config_vehicle[Name],,0)</f>
        <v>远家花园</v>
      </c>
      <c r="S558" t="str">
        <f>_xlfn.XLOOKUP(Jnl[[#This Row],[Division]],config_div[Id], config_div[Name],,0)</f>
        <v>网店</v>
      </c>
      <c r="T558" t="str">
        <f>IF(Jnl[[#This Row],[TrxDate]]&lt;=stmt_BS_date_end, "In", "Out")</f>
        <v>In</v>
      </c>
      <c r="U558" t="str">
        <f>IF(Jnl[[#This Row],[TrxDate]]&lt;debug_date_start, "prior", IF(Jnl[[#This Row],[TrxDate]]&gt;debug_date_end, "post", "curr"))</f>
        <v>prior</v>
      </c>
    </row>
    <row r="559" spans="1:21">
      <c r="A559" s="11" t="s">
        <v>742</v>
      </c>
      <c r="B559" s="7">
        <f>_xlfn.XLOOKUP(Jnl[[#This Row],[TrxId]], Trx[Id], Trx[Date],,0)</f>
        <v>46053</v>
      </c>
      <c r="C559" s="7" t="str">
        <f>_xlfn.XLOOKUP(Jnl[[#This Row],[TrxId]], Trx[Id], Trx[Division],,0)</f>
        <v>Online</v>
      </c>
      <c r="D559" s="7" t="str">
        <f>_xlfn.XLOOKUP(Jnl[[#This Row],[TrxId]], Trx[Id], Trx[Action],,0)</f>
        <v>采购</v>
      </c>
      <c r="E559" s="26" t="s">
        <v>80</v>
      </c>
      <c r="F559" s="11" t="s">
        <v>590</v>
      </c>
      <c r="G559" s="11" t="s">
        <v>391</v>
      </c>
      <c r="H559" s="72">
        <v>-3465</v>
      </c>
      <c r="I559" s="5" t="b">
        <f>AND(Jnl[[#This Row],[TrxId]]&lt;&gt;"",Jnl[[#This Row],[Acct]]&lt;&gt;"",Jnl[[#This Row],[Item]]&lt;&gt;"",ISNUMBER(Jnl[[#This Row],[Bal]]))</f>
        <v>1</v>
      </c>
      <c r="J559" s="10">
        <f>IF(Jnl[[#This Row],[BSLv0]]="A",1,-1)*Jnl[[#This Row],[Bal]]</f>
        <v>-3465</v>
      </c>
      <c r="K559" t="str">
        <f>_xlfn.XLOOKUP(Jnl[[#This Row],[Acct]], config_BS[Acct], config_BS[Lv0],,0)</f>
        <v>A</v>
      </c>
      <c r="L559" t="str">
        <f>_xlfn.XLOOKUP(Jnl[[#This Row],[Acct]], config_BS[Acct], config_BS[Lv1],,0)</f>
        <v>Assets</v>
      </c>
      <c r="M559" t="str">
        <f>_xlfn.XLOOKUP(Jnl[[#This Row],[Acct]], config_BS[Acct], config_BS[Lv2],,0)</f>
        <v>Cash alike</v>
      </c>
      <c r="N559" t="str">
        <f>_xlfn.XLOOKUP(Jnl[[#This Row],[TrxId]], Trx[Id], Trx[IncNode], ,0)</f>
        <v>Cost</v>
      </c>
      <c r="O559" t="str">
        <f>_xlfn.XLOOKUP(Jnl[[#This Row],[IncNode]], config_IS[Node], config_IS[Type],,0)</f>
        <v>Op</v>
      </c>
      <c r="P559" t="str">
        <f>_xlfn.XLOOKUP(Jnl[[#This Row],[BSLv2]], dict[Key], dict[Name],,0)</f>
        <v>0.现金及类似</v>
      </c>
      <c r="Q559" t="str">
        <f>_xlfn.XLOOKUP(Jnl[[#This Row],[Acct]], dict[Key], dict[Name],,0)</f>
        <v>银行</v>
      </c>
      <c r="R559" t="str">
        <f>_xlfn.XLOOKUP(Jnl[[#This Row],[Vehicle]],config_vehicle[Id], config_vehicle[Name],,0)</f>
        <v>远家花园</v>
      </c>
      <c r="S559" t="str">
        <f>_xlfn.XLOOKUP(Jnl[[#This Row],[Division]],config_div[Id], config_div[Name],,0)</f>
        <v>网店</v>
      </c>
      <c r="T559" t="str">
        <f>IF(Jnl[[#This Row],[TrxDate]]&lt;=stmt_BS_date_end, "In", "Out")</f>
        <v>In</v>
      </c>
      <c r="U559" t="str">
        <f>IF(Jnl[[#This Row],[TrxDate]]&lt;debug_date_start, "prior", IF(Jnl[[#This Row],[TrxDate]]&gt;debug_date_end, "post", "curr"))</f>
        <v>prior</v>
      </c>
    </row>
    <row r="560" spans="1:21">
      <c r="A560" s="11" t="s">
        <v>742</v>
      </c>
      <c r="B560" s="7">
        <f>_xlfn.XLOOKUP(Jnl[[#This Row],[TrxId]], Trx[Id], Trx[Date],,0)</f>
        <v>46053</v>
      </c>
      <c r="C560" s="7" t="str">
        <f>_xlfn.XLOOKUP(Jnl[[#This Row],[TrxId]], Trx[Id], Trx[Division],,0)</f>
        <v>Online</v>
      </c>
      <c r="D560" s="7" t="str">
        <f>_xlfn.XLOOKUP(Jnl[[#This Row],[TrxId]], Trx[Id], Trx[Action],,0)</f>
        <v>采购</v>
      </c>
      <c r="E560" s="26" t="s">
        <v>80</v>
      </c>
      <c r="F560" s="11" t="s">
        <v>598</v>
      </c>
      <c r="G560" s="11" t="s">
        <v>151</v>
      </c>
      <c r="H560" s="72">
        <v>3465</v>
      </c>
      <c r="I560" s="5" t="b">
        <f>AND(Jnl[[#This Row],[TrxId]]&lt;&gt;"",Jnl[[#This Row],[Acct]]&lt;&gt;"",Jnl[[#This Row],[Item]]&lt;&gt;"",ISNUMBER(Jnl[[#This Row],[Bal]]))</f>
        <v>1</v>
      </c>
      <c r="J560" s="10">
        <f>IF(Jnl[[#This Row],[BSLv0]]="A",1,-1)*Jnl[[#This Row],[Bal]]</f>
        <v>3465</v>
      </c>
      <c r="K560" t="str">
        <f>_xlfn.XLOOKUP(Jnl[[#This Row],[Acct]], config_BS[Acct], config_BS[Lv0],,0)</f>
        <v>A</v>
      </c>
      <c r="L560" t="str">
        <f>_xlfn.XLOOKUP(Jnl[[#This Row],[Acct]], config_BS[Acct], config_BS[Lv1],,0)</f>
        <v>Assets</v>
      </c>
      <c r="M560" t="str">
        <f>_xlfn.XLOOKUP(Jnl[[#This Row],[Acct]], config_BS[Acct], config_BS[Lv2],,0)</f>
        <v>Invtr</v>
      </c>
      <c r="N560" t="str">
        <f>_xlfn.XLOOKUP(Jnl[[#This Row],[TrxId]], Trx[Id], Trx[IncNode], ,0)</f>
        <v>Cost</v>
      </c>
      <c r="O560" t="str">
        <f>_xlfn.XLOOKUP(Jnl[[#This Row],[IncNode]], config_IS[Node], config_IS[Type],,0)</f>
        <v>Op</v>
      </c>
      <c r="P560" t="str">
        <f>_xlfn.XLOOKUP(Jnl[[#This Row],[BSLv2]], dict[Key], dict[Name],,0)</f>
        <v>3.库存占款</v>
      </c>
      <c r="Q560" t="str">
        <f>_xlfn.XLOOKUP(Jnl[[#This Row],[Acct]], dict[Key], dict[Name],,0)</f>
        <v>当期存货</v>
      </c>
      <c r="R560" t="str">
        <f>_xlfn.XLOOKUP(Jnl[[#This Row],[Vehicle]],config_vehicle[Id], config_vehicle[Name],,0)</f>
        <v>远家花园</v>
      </c>
      <c r="S560" t="str">
        <f>_xlfn.XLOOKUP(Jnl[[#This Row],[Division]],config_div[Id], config_div[Name],,0)</f>
        <v>网店</v>
      </c>
      <c r="T560" t="str">
        <f>IF(Jnl[[#This Row],[TrxDate]]&lt;=stmt_BS_date_end, "In", "Out")</f>
        <v>In</v>
      </c>
      <c r="U560" t="str">
        <f>IF(Jnl[[#This Row],[TrxDate]]&lt;debug_date_start, "prior", IF(Jnl[[#This Row],[TrxDate]]&gt;debug_date_end, "post", "curr"))</f>
        <v>prior</v>
      </c>
    </row>
    <row r="561" spans="1:21">
      <c r="A561" s="11" t="s">
        <v>743</v>
      </c>
      <c r="B561" s="7">
        <f>_xlfn.XLOOKUP(Jnl[[#This Row],[TrxId]], Trx[Id], Trx[Date],,0)</f>
        <v>46053</v>
      </c>
      <c r="C561" s="7" t="str">
        <f>_xlfn.XLOOKUP(Jnl[[#This Row],[TrxId]], Trx[Id], Trx[Division],,0)</f>
        <v>Online</v>
      </c>
      <c r="D561" s="7" t="str">
        <f>_xlfn.XLOOKUP(Jnl[[#This Row],[TrxId]], Trx[Id], Trx[Action],,0)</f>
        <v>采购</v>
      </c>
      <c r="E561" s="26" t="s">
        <v>80</v>
      </c>
      <c r="F561" s="11" t="s">
        <v>598</v>
      </c>
      <c r="G561" s="11" t="s">
        <v>151</v>
      </c>
      <c r="H561" s="72">
        <v>11886</v>
      </c>
      <c r="I561" s="5" t="b">
        <f>AND(Jnl[[#This Row],[TrxId]]&lt;&gt;"",Jnl[[#This Row],[Acct]]&lt;&gt;"",Jnl[[#This Row],[Item]]&lt;&gt;"",ISNUMBER(Jnl[[#This Row],[Bal]]))</f>
        <v>1</v>
      </c>
      <c r="J561" s="10">
        <f>IF(Jnl[[#This Row],[BSLv0]]="A",1,-1)*Jnl[[#This Row],[Bal]]</f>
        <v>11886</v>
      </c>
      <c r="K561" t="str">
        <f>_xlfn.XLOOKUP(Jnl[[#This Row],[Acct]], config_BS[Acct], config_BS[Lv0],,0)</f>
        <v>A</v>
      </c>
      <c r="L561" t="str">
        <f>_xlfn.XLOOKUP(Jnl[[#This Row],[Acct]], config_BS[Acct], config_BS[Lv1],,0)</f>
        <v>Assets</v>
      </c>
      <c r="M561" t="str">
        <f>_xlfn.XLOOKUP(Jnl[[#This Row],[Acct]], config_BS[Acct], config_BS[Lv2],,0)</f>
        <v>Invtr</v>
      </c>
      <c r="N561" t="str">
        <f>_xlfn.XLOOKUP(Jnl[[#This Row],[TrxId]], Trx[Id], Trx[IncNode], ,0)</f>
        <v>Cost</v>
      </c>
      <c r="O561" t="str">
        <f>_xlfn.XLOOKUP(Jnl[[#This Row],[IncNode]], config_IS[Node], config_IS[Type],,0)</f>
        <v>Op</v>
      </c>
      <c r="P561" t="str">
        <f>_xlfn.XLOOKUP(Jnl[[#This Row],[BSLv2]], dict[Key], dict[Name],,0)</f>
        <v>3.库存占款</v>
      </c>
      <c r="Q561" t="str">
        <f>_xlfn.XLOOKUP(Jnl[[#This Row],[Acct]], dict[Key], dict[Name],,0)</f>
        <v>当期存货</v>
      </c>
      <c r="R561" t="str">
        <f>_xlfn.XLOOKUP(Jnl[[#This Row],[Vehicle]],config_vehicle[Id], config_vehicle[Name],,0)</f>
        <v>远家花园</v>
      </c>
      <c r="S561" t="str">
        <f>_xlfn.XLOOKUP(Jnl[[#This Row],[Division]],config_div[Id], config_div[Name],,0)</f>
        <v>网店</v>
      </c>
      <c r="T561" t="str">
        <f>IF(Jnl[[#This Row],[TrxDate]]&lt;=stmt_BS_date_end, "In", "Out")</f>
        <v>In</v>
      </c>
      <c r="U561" t="str">
        <f>IF(Jnl[[#This Row],[TrxDate]]&lt;debug_date_start, "prior", IF(Jnl[[#This Row],[TrxDate]]&gt;debug_date_end, "post", "curr"))</f>
        <v>prior</v>
      </c>
    </row>
    <row r="562" spans="1:21">
      <c r="A562" s="11" t="s">
        <v>743</v>
      </c>
      <c r="B562" s="7">
        <f>_xlfn.XLOOKUP(Jnl[[#This Row],[TrxId]], Trx[Id], Trx[Date],,0)</f>
        <v>46053</v>
      </c>
      <c r="C562" s="7" t="str">
        <f>_xlfn.XLOOKUP(Jnl[[#This Row],[TrxId]], Trx[Id], Trx[Division],,0)</f>
        <v>Online</v>
      </c>
      <c r="D562" s="7" t="str">
        <f>_xlfn.XLOOKUP(Jnl[[#This Row],[TrxId]], Trx[Id], Trx[Action],,0)</f>
        <v>采购</v>
      </c>
      <c r="E562" s="26" t="s">
        <v>80</v>
      </c>
      <c r="F562" s="11" t="s">
        <v>590</v>
      </c>
      <c r="G562" s="11" t="s">
        <v>391</v>
      </c>
      <c r="H562" s="72">
        <v>-11886</v>
      </c>
      <c r="I562" s="5" t="b">
        <f>AND(Jnl[[#This Row],[TrxId]]&lt;&gt;"",Jnl[[#This Row],[Acct]]&lt;&gt;"",Jnl[[#This Row],[Item]]&lt;&gt;"",ISNUMBER(Jnl[[#This Row],[Bal]]))</f>
        <v>1</v>
      </c>
      <c r="J562" s="10">
        <f>IF(Jnl[[#This Row],[BSLv0]]="A",1,-1)*Jnl[[#This Row],[Bal]]</f>
        <v>-11886</v>
      </c>
      <c r="K562" t="str">
        <f>_xlfn.XLOOKUP(Jnl[[#This Row],[Acct]], config_BS[Acct], config_BS[Lv0],,0)</f>
        <v>A</v>
      </c>
      <c r="L562" t="str">
        <f>_xlfn.XLOOKUP(Jnl[[#This Row],[Acct]], config_BS[Acct], config_BS[Lv1],,0)</f>
        <v>Assets</v>
      </c>
      <c r="M562" t="str">
        <f>_xlfn.XLOOKUP(Jnl[[#This Row],[Acct]], config_BS[Acct], config_BS[Lv2],,0)</f>
        <v>Cash alike</v>
      </c>
      <c r="N562" t="str">
        <f>_xlfn.XLOOKUP(Jnl[[#This Row],[TrxId]], Trx[Id], Trx[IncNode], ,0)</f>
        <v>Cost</v>
      </c>
      <c r="O562" t="str">
        <f>_xlfn.XLOOKUP(Jnl[[#This Row],[IncNode]], config_IS[Node], config_IS[Type],,0)</f>
        <v>Op</v>
      </c>
      <c r="P562" t="str">
        <f>_xlfn.XLOOKUP(Jnl[[#This Row],[BSLv2]], dict[Key], dict[Name],,0)</f>
        <v>0.现金及类似</v>
      </c>
      <c r="Q562" t="str">
        <f>_xlfn.XLOOKUP(Jnl[[#This Row],[Acct]], dict[Key], dict[Name],,0)</f>
        <v>银行</v>
      </c>
      <c r="R562" t="str">
        <f>_xlfn.XLOOKUP(Jnl[[#This Row],[Vehicle]],config_vehicle[Id], config_vehicle[Name],,0)</f>
        <v>远家花园</v>
      </c>
      <c r="S562" t="str">
        <f>_xlfn.XLOOKUP(Jnl[[#This Row],[Division]],config_div[Id], config_div[Name],,0)</f>
        <v>网店</v>
      </c>
      <c r="T562" t="str">
        <f>IF(Jnl[[#This Row],[TrxDate]]&lt;=stmt_BS_date_end, "In", "Out")</f>
        <v>In</v>
      </c>
      <c r="U562" t="str">
        <f>IF(Jnl[[#This Row],[TrxDate]]&lt;debug_date_start, "prior", IF(Jnl[[#This Row],[TrxDate]]&gt;debug_date_end, "post", "curr"))</f>
        <v>prior</v>
      </c>
    </row>
    <row r="563" spans="1:21">
      <c r="A563" s="11" t="s">
        <v>744</v>
      </c>
      <c r="B563" s="7">
        <f>_xlfn.XLOOKUP(Jnl[[#This Row],[TrxId]], Trx[Id], Trx[Date],,0)</f>
        <v>46053</v>
      </c>
      <c r="C563" s="7" t="str">
        <f>_xlfn.XLOOKUP(Jnl[[#This Row],[TrxId]], Trx[Id], Trx[Division],,0)</f>
        <v>Online</v>
      </c>
      <c r="D563" s="7" t="str">
        <f>_xlfn.XLOOKUP(Jnl[[#This Row],[TrxId]], Trx[Id], Trx[Action],,0)</f>
        <v>设计</v>
      </c>
      <c r="E563" s="26" t="s">
        <v>80</v>
      </c>
      <c r="F563" s="11" t="s">
        <v>590</v>
      </c>
      <c r="G563" s="11" t="s">
        <v>391</v>
      </c>
      <c r="H563" s="72">
        <v>-180</v>
      </c>
      <c r="I563" s="5" t="b">
        <f>AND(Jnl[[#This Row],[TrxId]]&lt;&gt;"",Jnl[[#This Row],[Acct]]&lt;&gt;"",Jnl[[#This Row],[Item]]&lt;&gt;"",ISNUMBER(Jnl[[#This Row],[Bal]]))</f>
        <v>1</v>
      </c>
      <c r="J563" s="10">
        <f>IF(Jnl[[#This Row],[BSLv0]]="A",1,-1)*Jnl[[#This Row],[Bal]]</f>
        <v>-180</v>
      </c>
      <c r="K563" t="str">
        <f>_xlfn.XLOOKUP(Jnl[[#This Row],[Acct]], config_BS[Acct], config_BS[Lv0],,0)</f>
        <v>A</v>
      </c>
      <c r="L563" t="str">
        <f>_xlfn.XLOOKUP(Jnl[[#This Row],[Acct]], config_BS[Acct], config_BS[Lv1],,0)</f>
        <v>Assets</v>
      </c>
      <c r="M563" t="str">
        <f>_xlfn.XLOOKUP(Jnl[[#This Row],[Acct]], config_BS[Acct], config_BS[Lv2],,0)</f>
        <v>Cash alike</v>
      </c>
      <c r="N563" t="str">
        <f>_xlfn.XLOOKUP(Jnl[[#This Row],[TrxId]], Trx[Id], Trx[IncNode], ,0)</f>
        <v>Expense</v>
      </c>
      <c r="O563" t="str">
        <f>_xlfn.XLOOKUP(Jnl[[#This Row],[IncNode]], config_IS[Node], config_IS[Type],,0)</f>
        <v>Op</v>
      </c>
      <c r="P563" t="str">
        <f>_xlfn.XLOOKUP(Jnl[[#This Row],[BSLv2]], dict[Key], dict[Name],,0)</f>
        <v>0.现金及类似</v>
      </c>
      <c r="Q563" t="str">
        <f>_xlfn.XLOOKUP(Jnl[[#This Row],[Acct]], dict[Key], dict[Name],,0)</f>
        <v>银行</v>
      </c>
      <c r="R563" t="str">
        <f>_xlfn.XLOOKUP(Jnl[[#This Row],[Vehicle]],config_vehicle[Id], config_vehicle[Name],,0)</f>
        <v>远家花园</v>
      </c>
      <c r="S563" t="str">
        <f>_xlfn.XLOOKUP(Jnl[[#This Row],[Division]],config_div[Id], config_div[Name],,0)</f>
        <v>网店</v>
      </c>
      <c r="T563" t="str">
        <f>IF(Jnl[[#This Row],[TrxDate]]&lt;=stmt_BS_date_end, "In", "Out")</f>
        <v>In</v>
      </c>
      <c r="U563" t="str">
        <f>IF(Jnl[[#This Row],[TrxDate]]&lt;debug_date_start, "prior", IF(Jnl[[#This Row],[TrxDate]]&gt;debug_date_end, "post", "curr"))</f>
        <v>prior</v>
      </c>
    </row>
    <row r="564" spans="1:21">
      <c r="A564" s="11" t="s">
        <v>745</v>
      </c>
      <c r="B564" s="7">
        <f>_xlfn.XLOOKUP(Jnl[[#This Row],[TrxId]], Trx[Id], Trx[Date],,0)</f>
        <v>46053</v>
      </c>
      <c r="C564" s="7" t="str">
        <f>_xlfn.XLOOKUP(Jnl[[#This Row],[TrxId]], Trx[Id], Trx[Division],,0)</f>
        <v>Online</v>
      </c>
      <c r="D564" s="7" t="str">
        <f>_xlfn.XLOOKUP(Jnl[[#This Row],[TrxId]], Trx[Id], Trx[Action],,0)</f>
        <v>设计</v>
      </c>
      <c r="E564" s="26" t="s">
        <v>80</v>
      </c>
      <c r="F564" s="11" t="s">
        <v>590</v>
      </c>
      <c r="G564" s="11" t="s">
        <v>391</v>
      </c>
      <c r="H564" s="72">
        <v>-240</v>
      </c>
      <c r="I564" s="5" t="b">
        <f>AND(Jnl[[#This Row],[TrxId]]&lt;&gt;"",Jnl[[#This Row],[Acct]]&lt;&gt;"",Jnl[[#This Row],[Item]]&lt;&gt;"",ISNUMBER(Jnl[[#This Row],[Bal]]))</f>
        <v>1</v>
      </c>
      <c r="J564" s="10">
        <f>IF(Jnl[[#This Row],[BSLv0]]="A",1,-1)*Jnl[[#This Row],[Bal]]</f>
        <v>-240</v>
      </c>
      <c r="K564" t="str">
        <f>_xlfn.XLOOKUP(Jnl[[#This Row],[Acct]], config_BS[Acct], config_BS[Lv0],,0)</f>
        <v>A</v>
      </c>
      <c r="L564" t="str">
        <f>_xlfn.XLOOKUP(Jnl[[#This Row],[Acct]], config_BS[Acct], config_BS[Lv1],,0)</f>
        <v>Assets</v>
      </c>
      <c r="M564" t="str">
        <f>_xlfn.XLOOKUP(Jnl[[#This Row],[Acct]], config_BS[Acct], config_BS[Lv2],,0)</f>
        <v>Cash alike</v>
      </c>
      <c r="N564" t="str">
        <f>_xlfn.XLOOKUP(Jnl[[#This Row],[TrxId]], Trx[Id], Trx[IncNode], ,0)</f>
        <v>Expense</v>
      </c>
      <c r="O564" t="str">
        <f>_xlfn.XLOOKUP(Jnl[[#This Row],[IncNode]], config_IS[Node], config_IS[Type],,0)</f>
        <v>Op</v>
      </c>
      <c r="P564" t="str">
        <f>_xlfn.XLOOKUP(Jnl[[#This Row],[BSLv2]], dict[Key], dict[Name],,0)</f>
        <v>0.现金及类似</v>
      </c>
      <c r="Q564" t="str">
        <f>_xlfn.XLOOKUP(Jnl[[#This Row],[Acct]], dict[Key], dict[Name],,0)</f>
        <v>银行</v>
      </c>
      <c r="R564" t="str">
        <f>_xlfn.XLOOKUP(Jnl[[#This Row],[Vehicle]],config_vehicle[Id], config_vehicle[Name],,0)</f>
        <v>远家花园</v>
      </c>
      <c r="S564" t="str">
        <f>_xlfn.XLOOKUP(Jnl[[#This Row],[Division]],config_div[Id], config_div[Name],,0)</f>
        <v>网店</v>
      </c>
      <c r="T564" t="str">
        <f>IF(Jnl[[#This Row],[TrxDate]]&lt;=stmt_BS_date_end, "In", "Out")</f>
        <v>In</v>
      </c>
      <c r="U564" t="str">
        <f>IF(Jnl[[#This Row],[TrxDate]]&lt;debug_date_start, "prior", IF(Jnl[[#This Row],[TrxDate]]&gt;debug_date_end, "post", "curr"))</f>
        <v>prior</v>
      </c>
    </row>
    <row r="565" spans="1:21">
      <c r="A565" s="11" t="s">
        <v>746</v>
      </c>
      <c r="B565" s="7">
        <f>_xlfn.XLOOKUP(Jnl[[#This Row],[TrxId]], Trx[Id], Trx[Date],,0)</f>
        <v>46053</v>
      </c>
      <c r="C565" s="7" t="str">
        <f>_xlfn.XLOOKUP(Jnl[[#This Row],[TrxId]], Trx[Id], Trx[Division],,0)</f>
        <v>Online</v>
      </c>
      <c r="D565" s="7" t="str">
        <f>_xlfn.XLOOKUP(Jnl[[#This Row],[TrxId]], Trx[Id], Trx[Action],,0)</f>
        <v>采购</v>
      </c>
      <c r="E565" s="26" t="s">
        <v>80</v>
      </c>
      <c r="F565" s="11" t="s">
        <v>590</v>
      </c>
      <c r="G565" s="11" t="s">
        <v>391</v>
      </c>
      <c r="H565" s="72">
        <v>-5000</v>
      </c>
      <c r="I565" s="5" t="b">
        <f>AND(Jnl[[#This Row],[TrxId]]&lt;&gt;"",Jnl[[#This Row],[Acct]]&lt;&gt;"",Jnl[[#This Row],[Item]]&lt;&gt;"",ISNUMBER(Jnl[[#This Row],[Bal]]))</f>
        <v>1</v>
      </c>
      <c r="J565" s="10">
        <f>IF(Jnl[[#This Row],[BSLv0]]="A",1,-1)*Jnl[[#This Row],[Bal]]</f>
        <v>-5000</v>
      </c>
      <c r="K565" t="str">
        <f>_xlfn.XLOOKUP(Jnl[[#This Row],[Acct]], config_BS[Acct], config_BS[Lv0],,0)</f>
        <v>A</v>
      </c>
      <c r="L565" t="str">
        <f>_xlfn.XLOOKUP(Jnl[[#This Row],[Acct]], config_BS[Acct], config_BS[Lv1],,0)</f>
        <v>Assets</v>
      </c>
      <c r="M565" t="str">
        <f>_xlfn.XLOOKUP(Jnl[[#This Row],[Acct]], config_BS[Acct], config_BS[Lv2],,0)</f>
        <v>Cash alike</v>
      </c>
      <c r="N565" t="str">
        <f>_xlfn.XLOOKUP(Jnl[[#This Row],[TrxId]], Trx[Id], Trx[IncNode], ,0)</f>
        <v>Cost</v>
      </c>
      <c r="O565" t="str">
        <f>_xlfn.XLOOKUP(Jnl[[#This Row],[IncNode]], config_IS[Node], config_IS[Type],,0)</f>
        <v>Op</v>
      </c>
      <c r="P565" t="str">
        <f>_xlfn.XLOOKUP(Jnl[[#This Row],[BSLv2]], dict[Key], dict[Name],,0)</f>
        <v>0.现金及类似</v>
      </c>
      <c r="Q565" t="str">
        <f>_xlfn.XLOOKUP(Jnl[[#This Row],[Acct]], dict[Key], dict[Name],,0)</f>
        <v>银行</v>
      </c>
      <c r="R565" t="str">
        <f>_xlfn.XLOOKUP(Jnl[[#This Row],[Vehicle]],config_vehicle[Id], config_vehicle[Name],,0)</f>
        <v>远家花园</v>
      </c>
      <c r="S565" t="str">
        <f>_xlfn.XLOOKUP(Jnl[[#This Row],[Division]],config_div[Id], config_div[Name],,0)</f>
        <v>网店</v>
      </c>
      <c r="T565" t="str">
        <f>IF(Jnl[[#This Row],[TrxDate]]&lt;=stmt_BS_date_end, "In", "Out")</f>
        <v>In</v>
      </c>
      <c r="U565" t="str">
        <f>IF(Jnl[[#This Row],[TrxDate]]&lt;debug_date_start, "prior", IF(Jnl[[#This Row],[TrxDate]]&gt;debug_date_end, "post", "curr"))</f>
        <v>prior</v>
      </c>
    </row>
    <row r="566" spans="1:21">
      <c r="A566" s="11" t="s">
        <v>746</v>
      </c>
      <c r="B566" s="7">
        <f>_xlfn.XLOOKUP(Jnl[[#This Row],[TrxId]], Trx[Id], Trx[Date],,0)</f>
        <v>46053</v>
      </c>
      <c r="C566" s="7" t="str">
        <f>_xlfn.XLOOKUP(Jnl[[#This Row],[TrxId]], Trx[Id], Trx[Division],,0)</f>
        <v>Online</v>
      </c>
      <c r="D566" s="7" t="str">
        <f>_xlfn.XLOOKUP(Jnl[[#This Row],[TrxId]], Trx[Id], Trx[Action],,0)</f>
        <v>采购</v>
      </c>
      <c r="E566" s="26" t="s">
        <v>80</v>
      </c>
      <c r="F566" s="11" t="s">
        <v>598</v>
      </c>
      <c r="G566" s="11" t="s">
        <v>151</v>
      </c>
      <c r="H566" s="72">
        <v>5000</v>
      </c>
      <c r="I566" s="5" t="b">
        <f>AND(Jnl[[#This Row],[TrxId]]&lt;&gt;"",Jnl[[#This Row],[Acct]]&lt;&gt;"",Jnl[[#This Row],[Item]]&lt;&gt;"",ISNUMBER(Jnl[[#This Row],[Bal]]))</f>
        <v>1</v>
      </c>
      <c r="J566" s="10">
        <f>IF(Jnl[[#This Row],[BSLv0]]="A",1,-1)*Jnl[[#This Row],[Bal]]</f>
        <v>5000</v>
      </c>
      <c r="K566" t="str">
        <f>_xlfn.XLOOKUP(Jnl[[#This Row],[Acct]], config_BS[Acct], config_BS[Lv0],,0)</f>
        <v>A</v>
      </c>
      <c r="L566" t="str">
        <f>_xlfn.XLOOKUP(Jnl[[#This Row],[Acct]], config_BS[Acct], config_BS[Lv1],,0)</f>
        <v>Assets</v>
      </c>
      <c r="M566" t="str">
        <f>_xlfn.XLOOKUP(Jnl[[#This Row],[Acct]], config_BS[Acct], config_BS[Lv2],,0)</f>
        <v>Invtr</v>
      </c>
      <c r="N566" t="str">
        <f>_xlfn.XLOOKUP(Jnl[[#This Row],[TrxId]], Trx[Id], Trx[IncNode], ,0)</f>
        <v>Cost</v>
      </c>
      <c r="O566" t="str">
        <f>_xlfn.XLOOKUP(Jnl[[#This Row],[IncNode]], config_IS[Node], config_IS[Type],,0)</f>
        <v>Op</v>
      </c>
      <c r="P566" t="str">
        <f>_xlfn.XLOOKUP(Jnl[[#This Row],[BSLv2]], dict[Key], dict[Name],,0)</f>
        <v>3.库存占款</v>
      </c>
      <c r="Q566" t="str">
        <f>_xlfn.XLOOKUP(Jnl[[#This Row],[Acct]], dict[Key], dict[Name],,0)</f>
        <v>当期存货</v>
      </c>
      <c r="R566" t="str">
        <f>_xlfn.XLOOKUP(Jnl[[#This Row],[Vehicle]],config_vehicle[Id], config_vehicle[Name],,0)</f>
        <v>远家花园</v>
      </c>
      <c r="S566" t="str">
        <f>_xlfn.XLOOKUP(Jnl[[#This Row],[Division]],config_div[Id], config_div[Name],,0)</f>
        <v>网店</v>
      </c>
      <c r="T566" t="str">
        <f>IF(Jnl[[#This Row],[TrxDate]]&lt;=stmt_BS_date_end, "In", "Out")</f>
        <v>In</v>
      </c>
      <c r="U566" t="str">
        <f>IF(Jnl[[#This Row],[TrxDate]]&lt;debug_date_start, "prior", IF(Jnl[[#This Row],[TrxDate]]&gt;debug_date_end, "post", "curr"))</f>
        <v>prior</v>
      </c>
    </row>
    <row r="567" spans="1:21">
      <c r="A567" s="11" t="s">
        <v>747</v>
      </c>
      <c r="B567" s="7">
        <f>_xlfn.XLOOKUP(Jnl[[#This Row],[TrxId]], Trx[Id], Trx[Date],,0)</f>
        <v>46053</v>
      </c>
      <c r="C567" s="7" t="str">
        <f>_xlfn.XLOOKUP(Jnl[[#This Row],[TrxId]], Trx[Id], Trx[Division],,0)</f>
        <v>Online</v>
      </c>
      <c r="D567" s="7" t="str">
        <f>_xlfn.XLOOKUP(Jnl[[#This Row],[TrxId]], Trx[Id], Trx[Action],,0)</f>
        <v>采购</v>
      </c>
      <c r="E567" s="26" t="s">
        <v>80</v>
      </c>
      <c r="F567" s="11" t="s">
        <v>598</v>
      </c>
      <c r="G567" s="11" t="s">
        <v>151</v>
      </c>
      <c r="H567" s="72">
        <f>-H568</f>
        <v>5071.5</v>
      </c>
      <c r="I567" s="5" t="b">
        <f>AND(Jnl[[#This Row],[TrxId]]&lt;&gt;"",Jnl[[#This Row],[Acct]]&lt;&gt;"",Jnl[[#This Row],[Item]]&lt;&gt;"",ISNUMBER(Jnl[[#This Row],[Bal]]))</f>
        <v>1</v>
      </c>
      <c r="J567" s="10">
        <f>IF(Jnl[[#This Row],[BSLv0]]="A",1,-1)*Jnl[[#This Row],[Bal]]</f>
        <v>5071.5</v>
      </c>
      <c r="K567" t="str">
        <f>_xlfn.XLOOKUP(Jnl[[#This Row],[Acct]], config_BS[Acct], config_BS[Lv0],,0)</f>
        <v>A</v>
      </c>
      <c r="L567" t="str">
        <f>_xlfn.XLOOKUP(Jnl[[#This Row],[Acct]], config_BS[Acct], config_BS[Lv1],,0)</f>
        <v>Assets</v>
      </c>
      <c r="M567" t="str">
        <f>_xlfn.XLOOKUP(Jnl[[#This Row],[Acct]], config_BS[Acct], config_BS[Lv2],,0)</f>
        <v>Invtr</v>
      </c>
      <c r="N567" t="str">
        <f>_xlfn.XLOOKUP(Jnl[[#This Row],[TrxId]], Trx[Id], Trx[IncNode], ,0)</f>
        <v>Cost</v>
      </c>
      <c r="O567" t="str">
        <f>_xlfn.XLOOKUP(Jnl[[#This Row],[IncNode]], config_IS[Node], config_IS[Type],,0)</f>
        <v>Op</v>
      </c>
      <c r="P567" t="str">
        <f>_xlfn.XLOOKUP(Jnl[[#This Row],[BSLv2]], dict[Key], dict[Name],,0)</f>
        <v>3.库存占款</v>
      </c>
      <c r="Q567" t="str">
        <f>_xlfn.XLOOKUP(Jnl[[#This Row],[Acct]], dict[Key], dict[Name],,0)</f>
        <v>当期存货</v>
      </c>
      <c r="R567" t="str">
        <f>_xlfn.XLOOKUP(Jnl[[#This Row],[Vehicle]],config_vehicle[Id], config_vehicle[Name],,0)</f>
        <v>远家花园</v>
      </c>
      <c r="S567" t="str">
        <f>_xlfn.XLOOKUP(Jnl[[#This Row],[Division]],config_div[Id], config_div[Name],,0)</f>
        <v>网店</v>
      </c>
      <c r="T567" t="str">
        <f>IF(Jnl[[#This Row],[TrxDate]]&lt;=stmt_BS_date_end, "In", "Out")</f>
        <v>In</v>
      </c>
      <c r="U567" t="str">
        <f>IF(Jnl[[#This Row],[TrxDate]]&lt;debug_date_start, "prior", IF(Jnl[[#This Row],[TrxDate]]&gt;debug_date_end, "post", "curr"))</f>
        <v>prior</v>
      </c>
    </row>
    <row r="568" spans="1:21">
      <c r="A568" s="11" t="s">
        <v>747</v>
      </c>
      <c r="B568" s="7">
        <f>_xlfn.XLOOKUP(Jnl[[#This Row],[TrxId]], Trx[Id], Trx[Date],,0)</f>
        <v>46053</v>
      </c>
      <c r="C568" s="7" t="str">
        <f>_xlfn.XLOOKUP(Jnl[[#This Row],[TrxId]], Trx[Id], Trx[Division],,0)</f>
        <v>Online</v>
      </c>
      <c r="D568" s="7" t="str">
        <f>_xlfn.XLOOKUP(Jnl[[#This Row],[TrxId]], Trx[Id], Trx[Action],,0)</f>
        <v>采购</v>
      </c>
      <c r="E568" s="26" t="s">
        <v>80</v>
      </c>
      <c r="F568" s="11" t="s">
        <v>590</v>
      </c>
      <c r="G568" s="11" t="s">
        <v>391</v>
      </c>
      <c r="H568" s="72">
        <v>-5071.5</v>
      </c>
      <c r="I568" s="5" t="b">
        <f>AND(Jnl[[#This Row],[TrxId]]&lt;&gt;"",Jnl[[#This Row],[Acct]]&lt;&gt;"",Jnl[[#This Row],[Item]]&lt;&gt;"",ISNUMBER(Jnl[[#This Row],[Bal]]))</f>
        <v>1</v>
      </c>
      <c r="J568" s="10">
        <f>IF(Jnl[[#This Row],[BSLv0]]="A",1,-1)*Jnl[[#This Row],[Bal]]</f>
        <v>-5071.5</v>
      </c>
      <c r="K568" t="str">
        <f>_xlfn.XLOOKUP(Jnl[[#This Row],[Acct]], config_BS[Acct], config_BS[Lv0],,0)</f>
        <v>A</v>
      </c>
      <c r="L568" t="str">
        <f>_xlfn.XLOOKUP(Jnl[[#This Row],[Acct]], config_BS[Acct], config_BS[Lv1],,0)</f>
        <v>Assets</v>
      </c>
      <c r="M568" t="str">
        <f>_xlfn.XLOOKUP(Jnl[[#This Row],[Acct]], config_BS[Acct], config_BS[Lv2],,0)</f>
        <v>Cash alike</v>
      </c>
      <c r="N568" t="str">
        <f>_xlfn.XLOOKUP(Jnl[[#This Row],[TrxId]], Trx[Id], Trx[IncNode], ,0)</f>
        <v>Cost</v>
      </c>
      <c r="O568" t="str">
        <f>_xlfn.XLOOKUP(Jnl[[#This Row],[IncNode]], config_IS[Node], config_IS[Type],,0)</f>
        <v>Op</v>
      </c>
      <c r="P568" t="str">
        <f>_xlfn.XLOOKUP(Jnl[[#This Row],[BSLv2]], dict[Key], dict[Name],,0)</f>
        <v>0.现金及类似</v>
      </c>
      <c r="Q568" t="str">
        <f>_xlfn.XLOOKUP(Jnl[[#This Row],[Acct]], dict[Key], dict[Name],,0)</f>
        <v>银行</v>
      </c>
      <c r="R568" t="str">
        <f>_xlfn.XLOOKUP(Jnl[[#This Row],[Vehicle]],config_vehicle[Id], config_vehicle[Name],,0)</f>
        <v>远家花园</v>
      </c>
      <c r="S568" t="str">
        <f>_xlfn.XLOOKUP(Jnl[[#This Row],[Division]],config_div[Id], config_div[Name],,0)</f>
        <v>网店</v>
      </c>
      <c r="T568" t="str">
        <f>IF(Jnl[[#This Row],[TrxDate]]&lt;=stmt_BS_date_end, "In", "Out")</f>
        <v>In</v>
      </c>
      <c r="U568" t="str">
        <f>IF(Jnl[[#This Row],[TrxDate]]&lt;debug_date_start, "prior", IF(Jnl[[#This Row],[TrxDate]]&gt;debug_date_end, "post", "curr"))</f>
        <v>prior</v>
      </c>
    </row>
    <row r="569" spans="1:21">
      <c r="A569" s="11" t="s">
        <v>748</v>
      </c>
      <c r="B569" s="7">
        <f>_xlfn.XLOOKUP(Jnl[[#This Row],[TrxId]], Trx[Id], Trx[Date],,0)</f>
        <v>46053</v>
      </c>
      <c r="C569" s="7" t="str">
        <f>_xlfn.XLOOKUP(Jnl[[#This Row],[TrxId]], Trx[Id], Trx[Division],,0)</f>
        <v>Online</v>
      </c>
      <c r="D569" s="7" t="str">
        <f>_xlfn.XLOOKUP(Jnl[[#This Row],[TrxId]], Trx[Id], Trx[Action],,0)</f>
        <v>采购</v>
      </c>
      <c r="E569" s="26" t="s">
        <v>80</v>
      </c>
      <c r="F569" s="11" t="s">
        <v>598</v>
      </c>
      <c r="G569" s="11" t="s">
        <v>151</v>
      </c>
      <c r="H569" s="72">
        <v>8050</v>
      </c>
      <c r="I569" s="5" t="b">
        <f>AND(Jnl[[#This Row],[TrxId]]&lt;&gt;"",Jnl[[#This Row],[Acct]]&lt;&gt;"",Jnl[[#This Row],[Item]]&lt;&gt;"",ISNUMBER(Jnl[[#This Row],[Bal]]))</f>
        <v>1</v>
      </c>
      <c r="J569" s="10">
        <f>IF(Jnl[[#This Row],[BSLv0]]="A",1,-1)*Jnl[[#This Row],[Bal]]</f>
        <v>8050</v>
      </c>
      <c r="K569" t="str">
        <f>_xlfn.XLOOKUP(Jnl[[#This Row],[Acct]], config_BS[Acct], config_BS[Lv0],,0)</f>
        <v>A</v>
      </c>
      <c r="L569" t="str">
        <f>_xlfn.XLOOKUP(Jnl[[#This Row],[Acct]], config_BS[Acct], config_BS[Lv1],,0)</f>
        <v>Assets</v>
      </c>
      <c r="M569" t="str">
        <f>_xlfn.XLOOKUP(Jnl[[#This Row],[Acct]], config_BS[Acct], config_BS[Lv2],,0)</f>
        <v>Invtr</v>
      </c>
      <c r="N569" t="str">
        <f>_xlfn.XLOOKUP(Jnl[[#This Row],[TrxId]], Trx[Id], Trx[IncNode], ,0)</f>
        <v>Cost</v>
      </c>
      <c r="O569" t="str">
        <f>_xlfn.XLOOKUP(Jnl[[#This Row],[IncNode]], config_IS[Node], config_IS[Type],,0)</f>
        <v>Op</v>
      </c>
      <c r="P569" t="str">
        <f>_xlfn.XLOOKUP(Jnl[[#This Row],[BSLv2]], dict[Key], dict[Name],,0)</f>
        <v>3.库存占款</v>
      </c>
      <c r="Q569" t="str">
        <f>_xlfn.XLOOKUP(Jnl[[#This Row],[Acct]], dict[Key], dict[Name],,0)</f>
        <v>当期存货</v>
      </c>
      <c r="R569" t="str">
        <f>_xlfn.XLOOKUP(Jnl[[#This Row],[Vehicle]],config_vehicle[Id], config_vehicle[Name],,0)</f>
        <v>远家花园</v>
      </c>
      <c r="S569" t="str">
        <f>_xlfn.XLOOKUP(Jnl[[#This Row],[Division]],config_div[Id], config_div[Name],,0)</f>
        <v>网店</v>
      </c>
      <c r="T569" t="str">
        <f>IF(Jnl[[#This Row],[TrxDate]]&lt;=stmt_BS_date_end, "In", "Out")</f>
        <v>In</v>
      </c>
      <c r="U569" t="str">
        <f>IF(Jnl[[#This Row],[TrxDate]]&lt;debug_date_start, "prior", IF(Jnl[[#This Row],[TrxDate]]&gt;debug_date_end, "post", "curr"))</f>
        <v>prior</v>
      </c>
    </row>
    <row r="570" spans="1:21">
      <c r="A570" s="11" t="s">
        <v>748</v>
      </c>
      <c r="B570" s="7">
        <f>_xlfn.XLOOKUP(Jnl[[#This Row],[TrxId]], Trx[Id], Trx[Date],,0)</f>
        <v>46053</v>
      </c>
      <c r="C570" s="7" t="str">
        <f>_xlfn.XLOOKUP(Jnl[[#This Row],[TrxId]], Trx[Id], Trx[Division],,0)</f>
        <v>Online</v>
      </c>
      <c r="D570" s="7" t="str">
        <f>_xlfn.XLOOKUP(Jnl[[#This Row],[TrxId]], Trx[Id], Trx[Action],,0)</f>
        <v>采购</v>
      </c>
      <c r="E570" s="26" t="s">
        <v>80</v>
      </c>
      <c r="F570" s="11" t="s">
        <v>590</v>
      </c>
      <c r="G570" s="11" t="s">
        <v>391</v>
      </c>
      <c r="H570" s="72">
        <v>-8050</v>
      </c>
      <c r="I570" s="5" t="b">
        <f>AND(Jnl[[#This Row],[TrxId]]&lt;&gt;"",Jnl[[#This Row],[Acct]]&lt;&gt;"",Jnl[[#This Row],[Item]]&lt;&gt;"",ISNUMBER(Jnl[[#This Row],[Bal]]))</f>
        <v>1</v>
      </c>
      <c r="J570" s="10">
        <f>IF(Jnl[[#This Row],[BSLv0]]="A",1,-1)*Jnl[[#This Row],[Bal]]</f>
        <v>-8050</v>
      </c>
      <c r="K570" t="str">
        <f>_xlfn.XLOOKUP(Jnl[[#This Row],[Acct]], config_BS[Acct], config_BS[Lv0],,0)</f>
        <v>A</v>
      </c>
      <c r="L570" t="str">
        <f>_xlfn.XLOOKUP(Jnl[[#This Row],[Acct]], config_BS[Acct], config_BS[Lv1],,0)</f>
        <v>Assets</v>
      </c>
      <c r="M570" t="str">
        <f>_xlfn.XLOOKUP(Jnl[[#This Row],[Acct]], config_BS[Acct], config_BS[Lv2],,0)</f>
        <v>Cash alike</v>
      </c>
      <c r="N570" t="str">
        <f>_xlfn.XLOOKUP(Jnl[[#This Row],[TrxId]], Trx[Id], Trx[IncNode], ,0)</f>
        <v>Cost</v>
      </c>
      <c r="O570" t="str">
        <f>_xlfn.XLOOKUP(Jnl[[#This Row],[IncNode]], config_IS[Node], config_IS[Type],,0)</f>
        <v>Op</v>
      </c>
      <c r="P570" t="str">
        <f>_xlfn.XLOOKUP(Jnl[[#This Row],[BSLv2]], dict[Key], dict[Name],,0)</f>
        <v>0.现金及类似</v>
      </c>
      <c r="Q570" t="str">
        <f>_xlfn.XLOOKUP(Jnl[[#This Row],[Acct]], dict[Key], dict[Name],,0)</f>
        <v>银行</v>
      </c>
      <c r="R570" t="str">
        <f>_xlfn.XLOOKUP(Jnl[[#This Row],[Vehicle]],config_vehicle[Id], config_vehicle[Name],,0)</f>
        <v>远家花园</v>
      </c>
      <c r="S570" t="str">
        <f>_xlfn.XLOOKUP(Jnl[[#This Row],[Division]],config_div[Id], config_div[Name],,0)</f>
        <v>网店</v>
      </c>
      <c r="T570" t="str">
        <f>IF(Jnl[[#This Row],[TrxDate]]&lt;=stmt_BS_date_end, "In", "Out")</f>
        <v>In</v>
      </c>
      <c r="U570" t="str">
        <f>IF(Jnl[[#This Row],[TrxDate]]&lt;debug_date_start, "prior", IF(Jnl[[#This Row],[TrxDate]]&gt;debug_date_end, "post", "curr"))</f>
        <v>prior</v>
      </c>
    </row>
    <row r="571" spans="1:21">
      <c r="A571" s="11" t="s">
        <v>749</v>
      </c>
      <c r="B571" s="7">
        <f>_xlfn.XLOOKUP(Jnl[[#This Row],[TrxId]], Trx[Id], Trx[Date],,0)</f>
        <v>46053</v>
      </c>
      <c r="C571" s="7" t="str">
        <f>_xlfn.XLOOKUP(Jnl[[#This Row],[TrxId]], Trx[Id], Trx[Division],,0)</f>
        <v>GM</v>
      </c>
      <c r="D571" s="7" t="str">
        <f>_xlfn.XLOOKUP(Jnl[[#This Row],[TrxId]], Trx[Id], Trx[Action],,0)</f>
        <v>招待</v>
      </c>
      <c r="E571" s="26" t="s">
        <v>80</v>
      </c>
      <c r="F571" s="11" t="s">
        <v>590</v>
      </c>
      <c r="G571" s="11" t="s">
        <v>391</v>
      </c>
      <c r="H571" s="72">
        <v>-1885.8</v>
      </c>
      <c r="I571" s="5" t="b">
        <f>AND(Jnl[[#This Row],[TrxId]]&lt;&gt;"",Jnl[[#This Row],[Acct]]&lt;&gt;"",Jnl[[#This Row],[Item]]&lt;&gt;"",ISNUMBER(Jnl[[#This Row],[Bal]]))</f>
        <v>1</v>
      </c>
      <c r="J571" s="10">
        <f>IF(Jnl[[#This Row],[BSLv0]]="A",1,-1)*Jnl[[#This Row],[Bal]]</f>
        <v>-1885.8</v>
      </c>
      <c r="K571" t="str">
        <f>_xlfn.XLOOKUP(Jnl[[#This Row],[Acct]], config_BS[Acct], config_BS[Lv0],,0)</f>
        <v>A</v>
      </c>
      <c r="L571" t="str">
        <f>_xlfn.XLOOKUP(Jnl[[#This Row],[Acct]], config_BS[Acct], config_BS[Lv1],,0)</f>
        <v>Assets</v>
      </c>
      <c r="M571" t="str">
        <f>_xlfn.XLOOKUP(Jnl[[#This Row],[Acct]], config_BS[Acct], config_BS[Lv2],,0)</f>
        <v>Cash alike</v>
      </c>
      <c r="N571" t="str">
        <f>_xlfn.XLOOKUP(Jnl[[#This Row],[TrxId]], Trx[Id], Trx[IncNode], ,0)</f>
        <v>Expense</v>
      </c>
      <c r="O571" t="str">
        <f>_xlfn.XLOOKUP(Jnl[[#This Row],[IncNode]], config_IS[Node], config_IS[Type],,0)</f>
        <v>Op</v>
      </c>
      <c r="P571" t="str">
        <f>_xlfn.XLOOKUP(Jnl[[#This Row],[BSLv2]], dict[Key], dict[Name],,0)</f>
        <v>0.现金及类似</v>
      </c>
      <c r="Q571" t="str">
        <f>_xlfn.XLOOKUP(Jnl[[#This Row],[Acct]], dict[Key], dict[Name],,0)</f>
        <v>银行</v>
      </c>
      <c r="R571" t="str">
        <f>_xlfn.XLOOKUP(Jnl[[#This Row],[Vehicle]],config_vehicle[Id], config_vehicle[Name],,0)</f>
        <v>远家花园</v>
      </c>
      <c r="S571" t="str">
        <f>_xlfn.XLOOKUP(Jnl[[#This Row],[Division]],config_div[Id], config_div[Name],,0)</f>
        <v>综合管理</v>
      </c>
      <c r="T571" t="str">
        <f>IF(Jnl[[#This Row],[TrxDate]]&lt;=stmt_BS_date_end, "In", "Out")</f>
        <v>In</v>
      </c>
      <c r="U571" t="str">
        <f>IF(Jnl[[#This Row],[TrxDate]]&lt;debug_date_start, "prior", IF(Jnl[[#This Row],[TrxDate]]&gt;debug_date_end, "post", "curr"))</f>
        <v>prior</v>
      </c>
    </row>
    <row r="572" spans="1:21">
      <c r="A572" s="11" t="s">
        <v>750</v>
      </c>
      <c r="B572" s="7">
        <f>_xlfn.XLOOKUP(Jnl[[#This Row],[TrxId]], Trx[Id], Trx[Date],,0)</f>
        <v>46053</v>
      </c>
      <c r="C572" s="7" t="str">
        <f>_xlfn.XLOOKUP(Jnl[[#This Row],[TrxId]], Trx[Id], Trx[Division],,0)</f>
        <v>Online</v>
      </c>
      <c r="D572" s="7" t="str">
        <f>_xlfn.XLOOKUP(Jnl[[#This Row],[TrxId]], Trx[Id], Trx[Action],,0)</f>
        <v>采购</v>
      </c>
      <c r="E572" s="26" t="s">
        <v>80</v>
      </c>
      <c r="F572" s="11" t="s">
        <v>590</v>
      </c>
      <c r="G572" s="11" t="s">
        <v>391</v>
      </c>
      <c r="H572" s="72">
        <v>-373634.5</v>
      </c>
      <c r="I572" s="5" t="b">
        <f>AND(Jnl[[#This Row],[TrxId]]&lt;&gt;"",Jnl[[#This Row],[Acct]]&lt;&gt;"",Jnl[[#This Row],[Item]]&lt;&gt;"",ISNUMBER(Jnl[[#This Row],[Bal]]))</f>
        <v>1</v>
      </c>
      <c r="J572" s="10">
        <f>IF(Jnl[[#This Row],[BSLv0]]="A",1,-1)*Jnl[[#This Row],[Bal]]</f>
        <v>-373634.5</v>
      </c>
      <c r="K572" t="str">
        <f>_xlfn.XLOOKUP(Jnl[[#This Row],[Acct]], config_BS[Acct], config_BS[Lv0],,0)</f>
        <v>A</v>
      </c>
      <c r="L572" t="str">
        <f>_xlfn.XLOOKUP(Jnl[[#This Row],[Acct]], config_BS[Acct], config_BS[Lv1],,0)</f>
        <v>Assets</v>
      </c>
      <c r="M572" t="str">
        <f>_xlfn.XLOOKUP(Jnl[[#This Row],[Acct]], config_BS[Acct], config_BS[Lv2],,0)</f>
        <v>Cash alike</v>
      </c>
      <c r="N572" t="str">
        <f>_xlfn.XLOOKUP(Jnl[[#This Row],[TrxId]], Trx[Id], Trx[IncNode], ,0)</f>
        <v>Cost</v>
      </c>
      <c r="O572" t="str">
        <f>_xlfn.XLOOKUP(Jnl[[#This Row],[IncNode]], config_IS[Node], config_IS[Type],,0)</f>
        <v>Op</v>
      </c>
      <c r="P572" t="str">
        <f>_xlfn.XLOOKUP(Jnl[[#This Row],[BSLv2]], dict[Key], dict[Name],,0)</f>
        <v>0.现金及类似</v>
      </c>
      <c r="Q572" t="str">
        <f>_xlfn.XLOOKUP(Jnl[[#This Row],[Acct]], dict[Key], dict[Name],,0)</f>
        <v>银行</v>
      </c>
      <c r="R572" t="str">
        <f>_xlfn.XLOOKUP(Jnl[[#This Row],[Vehicle]],config_vehicle[Id], config_vehicle[Name],,0)</f>
        <v>远家花园</v>
      </c>
      <c r="S572" t="str">
        <f>_xlfn.XLOOKUP(Jnl[[#This Row],[Division]],config_div[Id], config_div[Name],,0)</f>
        <v>网店</v>
      </c>
      <c r="T572" t="str">
        <f>IF(Jnl[[#This Row],[TrxDate]]&lt;=stmt_BS_date_end, "In", "Out")</f>
        <v>In</v>
      </c>
      <c r="U572" t="str">
        <f>IF(Jnl[[#This Row],[TrxDate]]&lt;debug_date_start, "prior", IF(Jnl[[#This Row],[TrxDate]]&gt;debug_date_end, "post", "curr"))</f>
        <v>prior</v>
      </c>
    </row>
    <row r="573" spans="1:21">
      <c r="A573" s="11" t="s">
        <v>750</v>
      </c>
      <c r="B573" s="7">
        <f>_xlfn.XLOOKUP(Jnl[[#This Row],[TrxId]], Trx[Id], Trx[Date],,0)</f>
        <v>46053</v>
      </c>
      <c r="C573" s="7" t="str">
        <f>_xlfn.XLOOKUP(Jnl[[#This Row],[TrxId]], Trx[Id], Trx[Division],,0)</f>
        <v>Online</v>
      </c>
      <c r="D573" s="7" t="str">
        <f>_xlfn.XLOOKUP(Jnl[[#This Row],[TrxId]], Trx[Id], Trx[Action],,0)</f>
        <v>采购</v>
      </c>
      <c r="E573" s="26" t="s">
        <v>80</v>
      </c>
      <c r="F573" s="11" t="s">
        <v>598</v>
      </c>
      <c r="G573" s="11" t="s">
        <v>151</v>
      </c>
      <c r="H573" s="72">
        <f>-H572</f>
        <v>373634.5</v>
      </c>
      <c r="I573" s="5" t="b">
        <f>AND(Jnl[[#This Row],[TrxId]]&lt;&gt;"",Jnl[[#This Row],[Acct]]&lt;&gt;"",Jnl[[#This Row],[Item]]&lt;&gt;"",ISNUMBER(Jnl[[#This Row],[Bal]]))</f>
        <v>1</v>
      </c>
      <c r="J573" s="10">
        <f>IF(Jnl[[#This Row],[BSLv0]]="A",1,-1)*Jnl[[#This Row],[Bal]]</f>
        <v>373634.5</v>
      </c>
      <c r="K573" t="str">
        <f>_xlfn.XLOOKUP(Jnl[[#This Row],[Acct]], config_BS[Acct], config_BS[Lv0],,0)</f>
        <v>A</v>
      </c>
      <c r="L573" t="str">
        <f>_xlfn.XLOOKUP(Jnl[[#This Row],[Acct]], config_BS[Acct], config_BS[Lv1],,0)</f>
        <v>Assets</v>
      </c>
      <c r="M573" t="str">
        <f>_xlfn.XLOOKUP(Jnl[[#This Row],[Acct]], config_BS[Acct], config_BS[Lv2],,0)</f>
        <v>Invtr</v>
      </c>
      <c r="N573" t="str">
        <f>_xlfn.XLOOKUP(Jnl[[#This Row],[TrxId]], Trx[Id], Trx[IncNode], ,0)</f>
        <v>Cost</v>
      </c>
      <c r="O573" t="str">
        <f>_xlfn.XLOOKUP(Jnl[[#This Row],[IncNode]], config_IS[Node], config_IS[Type],,0)</f>
        <v>Op</v>
      </c>
      <c r="P573" t="str">
        <f>_xlfn.XLOOKUP(Jnl[[#This Row],[BSLv2]], dict[Key], dict[Name],,0)</f>
        <v>3.库存占款</v>
      </c>
      <c r="Q573" t="str">
        <f>_xlfn.XLOOKUP(Jnl[[#This Row],[Acct]], dict[Key], dict[Name],,0)</f>
        <v>当期存货</v>
      </c>
      <c r="R573" t="str">
        <f>_xlfn.XLOOKUP(Jnl[[#This Row],[Vehicle]],config_vehicle[Id], config_vehicle[Name],,0)</f>
        <v>远家花园</v>
      </c>
      <c r="S573" t="str">
        <f>_xlfn.XLOOKUP(Jnl[[#This Row],[Division]],config_div[Id], config_div[Name],,0)</f>
        <v>网店</v>
      </c>
      <c r="T573" t="str">
        <f>IF(Jnl[[#This Row],[TrxDate]]&lt;=stmt_BS_date_end, "In", "Out")</f>
        <v>In</v>
      </c>
      <c r="U573" t="str">
        <f>IF(Jnl[[#This Row],[TrxDate]]&lt;debug_date_start, "prior", IF(Jnl[[#This Row],[TrxDate]]&gt;debug_date_end, "post", "curr"))</f>
        <v>prior</v>
      </c>
    </row>
    <row r="574" spans="1:21">
      <c r="A574" s="11" t="s">
        <v>751</v>
      </c>
      <c r="B574" s="7">
        <f>_xlfn.XLOOKUP(Jnl[[#This Row],[TrxId]], Trx[Id], Trx[Date],,0)</f>
        <v>46053</v>
      </c>
      <c r="C574" s="7" t="str">
        <f>_xlfn.XLOOKUP(Jnl[[#This Row],[TrxId]], Trx[Id], Trx[Division],,0)</f>
        <v>Online</v>
      </c>
      <c r="D574" s="7" t="str">
        <f>_xlfn.XLOOKUP(Jnl[[#This Row],[TrxId]], Trx[Id], Trx[Action],,0)</f>
        <v>设计</v>
      </c>
      <c r="E574" s="26" t="s">
        <v>80</v>
      </c>
      <c r="F574" s="11" t="s">
        <v>590</v>
      </c>
      <c r="G574" s="11" t="s">
        <v>391</v>
      </c>
      <c r="H574" s="72">
        <v>-259</v>
      </c>
      <c r="I574" s="5" t="b">
        <f>AND(Jnl[[#This Row],[TrxId]]&lt;&gt;"",Jnl[[#This Row],[Acct]]&lt;&gt;"",Jnl[[#This Row],[Item]]&lt;&gt;"",ISNUMBER(Jnl[[#This Row],[Bal]]))</f>
        <v>1</v>
      </c>
      <c r="J574" s="10">
        <f>IF(Jnl[[#This Row],[BSLv0]]="A",1,-1)*Jnl[[#This Row],[Bal]]</f>
        <v>-259</v>
      </c>
      <c r="K574" t="str">
        <f>_xlfn.XLOOKUP(Jnl[[#This Row],[Acct]], config_BS[Acct], config_BS[Lv0],,0)</f>
        <v>A</v>
      </c>
      <c r="L574" t="str">
        <f>_xlfn.XLOOKUP(Jnl[[#This Row],[Acct]], config_BS[Acct], config_BS[Lv1],,0)</f>
        <v>Assets</v>
      </c>
      <c r="M574" t="str">
        <f>_xlfn.XLOOKUP(Jnl[[#This Row],[Acct]], config_BS[Acct], config_BS[Lv2],,0)</f>
        <v>Cash alike</v>
      </c>
      <c r="N574" t="str">
        <f>_xlfn.XLOOKUP(Jnl[[#This Row],[TrxId]], Trx[Id], Trx[IncNode], ,0)</f>
        <v>Expense</v>
      </c>
      <c r="O574" t="str">
        <f>_xlfn.XLOOKUP(Jnl[[#This Row],[IncNode]], config_IS[Node], config_IS[Type],,0)</f>
        <v>Op</v>
      </c>
      <c r="P574" t="str">
        <f>_xlfn.XLOOKUP(Jnl[[#This Row],[BSLv2]], dict[Key], dict[Name],,0)</f>
        <v>0.现金及类似</v>
      </c>
      <c r="Q574" t="str">
        <f>_xlfn.XLOOKUP(Jnl[[#This Row],[Acct]], dict[Key], dict[Name],,0)</f>
        <v>银行</v>
      </c>
      <c r="R574" t="str">
        <f>_xlfn.XLOOKUP(Jnl[[#This Row],[Vehicle]],config_vehicle[Id], config_vehicle[Name],,0)</f>
        <v>远家花园</v>
      </c>
      <c r="S574" t="str">
        <f>_xlfn.XLOOKUP(Jnl[[#This Row],[Division]],config_div[Id], config_div[Name],,0)</f>
        <v>网店</v>
      </c>
      <c r="T574" t="str">
        <f>IF(Jnl[[#This Row],[TrxDate]]&lt;=stmt_BS_date_end, "In", "Out")</f>
        <v>In</v>
      </c>
      <c r="U574" t="str">
        <f>IF(Jnl[[#This Row],[TrxDate]]&lt;debug_date_start, "prior", IF(Jnl[[#This Row],[TrxDate]]&gt;debug_date_end, "post", "curr"))</f>
        <v>prior</v>
      </c>
    </row>
    <row r="575" spans="1:21">
      <c r="A575" s="11" t="s">
        <v>752</v>
      </c>
      <c r="B575" s="7">
        <f>_xlfn.XLOOKUP(Jnl[[#This Row],[TrxId]], Trx[Id], Trx[Date],,0)</f>
        <v>46053</v>
      </c>
      <c r="C575" s="7" t="str">
        <f>_xlfn.XLOOKUP(Jnl[[#This Row],[TrxId]], Trx[Id], Trx[Division],,0)</f>
        <v>Ctrl</v>
      </c>
      <c r="D575" s="7" t="str">
        <f>_xlfn.XLOOKUP(Jnl[[#This Row],[TrxId]], Trx[Id], Trx[Action],,0)</f>
        <v>代付款</v>
      </c>
      <c r="E575" s="26" t="s">
        <v>93</v>
      </c>
      <c r="F575" s="11" t="s">
        <v>131</v>
      </c>
      <c r="G575" s="11" t="s">
        <v>404</v>
      </c>
      <c r="H575" s="72">
        <v>-12680</v>
      </c>
      <c r="I575" s="5" t="b">
        <f>AND(Jnl[[#This Row],[TrxId]]&lt;&gt;"",Jnl[[#This Row],[Acct]]&lt;&gt;"",Jnl[[#This Row],[Item]]&lt;&gt;"",ISNUMBER(Jnl[[#This Row],[Bal]]))</f>
        <v>1</v>
      </c>
      <c r="J575" s="10">
        <f>IF(Jnl[[#This Row],[BSLv0]]="A",1,-1)*Jnl[[#This Row],[Bal]]</f>
        <v>12680</v>
      </c>
      <c r="K575" t="str">
        <f>_xlfn.XLOOKUP(Jnl[[#This Row],[Acct]], config_BS[Acct], config_BS[Lv0],,0)</f>
        <v>LC</v>
      </c>
      <c r="L575" t="str">
        <f>_xlfn.XLOOKUP(Jnl[[#This Row],[Acct]], config_BS[Acct], config_BS[Lv1],,0)</f>
        <v>Liability</v>
      </c>
      <c r="M575" t="str">
        <f>_xlfn.XLOOKUP(Jnl[[#This Row],[Acct]], config_BS[Acct], config_BS[Lv2],,0)</f>
        <v>Rec-Pay</v>
      </c>
      <c r="N575" t="str">
        <f>_xlfn.XLOOKUP(Jnl[[#This Row],[TrxId]], Trx[Id], Trx[IncNode], ,0)</f>
        <v>Other</v>
      </c>
      <c r="O575" t="str">
        <f>_xlfn.XLOOKUP(Jnl[[#This Row],[IncNode]], config_IS[Node], config_IS[Type],,0)</f>
        <v>Non-Op</v>
      </c>
      <c r="P575" t="str">
        <f>_xlfn.XLOOKUP(Jnl[[#This Row],[BSLv2]], dict[Key], dict[Name],,0)</f>
        <v>1.应收-应付</v>
      </c>
      <c r="Q575" t="str">
        <f>_xlfn.XLOOKUP(Jnl[[#This Row],[Acct]], dict[Key], dict[Name],,0)</f>
        <v>应付-其他</v>
      </c>
      <c r="R575" t="str">
        <f>_xlfn.XLOOKUP(Jnl[[#This Row],[Vehicle]],config_vehicle[Id], config_vehicle[Name],,0)</f>
        <v>创业园-琦</v>
      </c>
      <c r="S575" t="str">
        <f>_xlfn.XLOOKUP(Jnl[[#This Row],[Division]],config_div[Id], config_div[Name],,0)</f>
        <v>内控合规</v>
      </c>
      <c r="T575" t="str">
        <f>IF(Jnl[[#This Row],[TrxDate]]&lt;=stmt_BS_date_end, "In", "Out")</f>
        <v>In</v>
      </c>
      <c r="U575" t="str">
        <f>IF(Jnl[[#This Row],[TrxDate]]&lt;debug_date_start, "prior", IF(Jnl[[#This Row],[TrxDate]]&gt;debug_date_end, "post", "curr"))</f>
        <v>prior</v>
      </c>
    </row>
    <row r="576" spans="1:21">
      <c r="A576" s="11" t="s">
        <v>752</v>
      </c>
      <c r="B576" s="7">
        <f>_xlfn.XLOOKUP(Jnl[[#This Row],[TrxId]], Trx[Id], Trx[Date],,0)</f>
        <v>46053</v>
      </c>
      <c r="C576" s="7" t="str">
        <f>_xlfn.XLOOKUP(Jnl[[#This Row],[TrxId]], Trx[Id], Trx[Division],,0)</f>
        <v>Ctrl</v>
      </c>
      <c r="D576" s="7" t="str">
        <f>_xlfn.XLOOKUP(Jnl[[#This Row],[TrxId]], Trx[Id], Trx[Action],,0)</f>
        <v>代付款</v>
      </c>
      <c r="E576" s="26" t="s">
        <v>80</v>
      </c>
      <c r="F576" s="11" t="s">
        <v>590</v>
      </c>
      <c r="G576" s="11" t="s">
        <v>391</v>
      </c>
      <c r="H576" s="72">
        <v>-12680</v>
      </c>
      <c r="I576" s="5" t="b">
        <f>AND(Jnl[[#This Row],[TrxId]]&lt;&gt;"",Jnl[[#This Row],[Acct]]&lt;&gt;"",Jnl[[#This Row],[Item]]&lt;&gt;"",ISNUMBER(Jnl[[#This Row],[Bal]]))</f>
        <v>1</v>
      </c>
      <c r="J576" s="10">
        <f>IF(Jnl[[#This Row],[BSLv0]]="A",1,-1)*Jnl[[#This Row],[Bal]]</f>
        <v>-12680</v>
      </c>
      <c r="K576" t="str">
        <f>_xlfn.XLOOKUP(Jnl[[#This Row],[Acct]], config_BS[Acct], config_BS[Lv0],,0)</f>
        <v>A</v>
      </c>
      <c r="L576" t="str">
        <f>_xlfn.XLOOKUP(Jnl[[#This Row],[Acct]], config_BS[Acct], config_BS[Lv1],,0)</f>
        <v>Assets</v>
      </c>
      <c r="M576" t="str">
        <f>_xlfn.XLOOKUP(Jnl[[#This Row],[Acct]], config_BS[Acct], config_BS[Lv2],,0)</f>
        <v>Cash alike</v>
      </c>
      <c r="N576" t="str">
        <f>_xlfn.XLOOKUP(Jnl[[#This Row],[TrxId]], Trx[Id], Trx[IncNode], ,0)</f>
        <v>Other</v>
      </c>
      <c r="O576" t="str">
        <f>_xlfn.XLOOKUP(Jnl[[#This Row],[IncNode]], config_IS[Node], config_IS[Type],,0)</f>
        <v>Non-Op</v>
      </c>
      <c r="P576" t="str">
        <f>_xlfn.XLOOKUP(Jnl[[#This Row],[BSLv2]], dict[Key], dict[Name],,0)</f>
        <v>0.现金及类似</v>
      </c>
      <c r="Q576" t="str">
        <f>_xlfn.XLOOKUP(Jnl[[#This Row],[Acct]], dict[Key], dict[Name],,0)</f>
        <v>银行</v>
      </c>
      <c r="R576" t="str">
        <f>_xlfn.XLOOKUP(Jnl[[#This Row],[Vehicle]],config_vehicle[Id], config_vehicle[Name],,0)</f>
        <v>远家花园</v>
      </c>
      <c r="S576" t="str">
        <f>_xlfn.XLOOKUP(Jnl[[#This Row],[Division]],config_div[Id], config_div[Name],,0)</f>
        <v>内控合规</v>
      </c>
      <c r="T576" t="str">
        <f>IF(Jnl[[#This Row],[TrxDate]]&lt;=stmt_BS_date_end, "In", "Out")</f>
        <v>In</v>
      </c>
      <c r="U576" t="str">
        <f>IF(Jnl[[#This Row],[TrxDate]]&lt;debug_date_start, "prior", IF(Jnl[[#This Row],[TrxDate]]&gt;debug_date_end, "post", "curr"))</f>
        <v>prior</v>
      </c>
    </row>
    <row r="577" spans="1:21">
      <c r="A577" s="11" t="s">
        <v>753</v>
      </c>
      <c r="B577" s="7">
        <f>_xlfn.XLOOKUP(Jnl[[#This Row],[TrxId]], Trx[Id], Trx[Date],,0)</f>
        <v>46053</v>
      </c>
      <c r="C577" s="7" t="str">
        <f>_xlfn.XLOOKUP(Jnl[[#This Row],[TrxId]], Trx[Id], Trx[Division],,0)</f>
        <v>GM</v>
      </c>
      <c r="D577" s="7" t="str">
        <f>_xlfn.XLOOKUP(Jnl[[#This Row],[TrxId]], Trx[Id], Trx[Action],,0)</f>
        <v>招待</v>
      </c>
      <c r="E577" s="26" t="s">
        <v>80</v>
      </c>
      <c r="F577" s="11" t="s">
        <v>590</v>
      </c>
      <c r="G577" s="11" t="s">
        <v>391</v>
      </c>
      <c r="H577" s="72">
        <v>-88.17</v>
      </c>
      <c r="I577" s="5" t="b">
        <f>AND(Jnl[[#This Row],[TrxId]]&lt;&gt;"",Jnl[[#This Row],[Acct]]&lt;&gt;"",Jnl[[#This Row],[Item]]&lt;&gt;"",ISNUMBER(Jnl[[#This Row],[Bal]]))</f>
        <v>1</v>
      </c>
      <c r="J577" s="10">
        <f>IF(Jnl[[#This Row],[BSLv0]]="A",1,-1)*Jnl[[#This Row],[Bal]]</f>
        <v>-88.17</v>
      </c>
      <c r="K577" t="str">
        <f>_xlfn.XLOOKUP(Jnl[[#This Row],[Acct]], config_BS[Acct], config_BS[Lv0],,0)</f>
        <v>A</v>
      </c>
      <c r="L577" t="str">
        <f>_xlfn.XLOOKUP(Jnl[[#This Row],[Acct]], config_BS[Acct], config_BS[Lv1],,0)</f>
        <v>Assets</v>
      </c>
      <c r="M577" t="str">
        <f>_xlfn.XLOOKUP(Jnl[[#This Row],[Acct]], config_BS[Acct], config_BS[Lv2],,0)</f>
        <v>Cash alike</v>
      </c>
      <c r="N577" t="str">
        <f>_xlfn.XLOOKUP(Jnl[[#This Row],[TrxId]], Trx[Id], Trx[IncNode], ,0)</f>
        <v>Expense</v>
      </c>
      <c r="O577" t="str">
        <f>_xlfn.XLOOKUP(Jnl[[#This Row],[IncNode]], config_IS[Node], config_IS[Type],,0)</f>
        <v>Op</v>
      </c>
      <c r="P577" t="str">
        <f>_xlfn.XLOOKUP(Jnl[[#This Row],[BSLv2]], dict[Key], dict[Name],,0)</f>
        <v>0.现金及类似</v>
      </c>
      <c r="Q577" t="str">
        <f>_xlfn.XLOOKUP(Jnl[[#This Row],[Acct]], dict[Key], dict[Name],,0)</f>
        <v>银行</v>
      </c>
      <c r="R577" t="str">
        <f>_xlfn.XLOOKUP(Jnl[[#This Row],[Vehicle]],config_vehicle[Id], config_vehicle[Name],,0)</f>
        <v>远家花园</v>
      </c>
      <c r="S577" t="str">
        <f>_xlfn.XLOOKUP(Jnl[[#This Row],[Division]],config_div[Id], config_div[Name],,0)</f>
        <v>综合管理</v>
      </c>
      <c r="T577" t="str">
        <f>IF(Jnl[[#This Row],[TrxDate]]&lt;=stmt_BS_date_end, "In", "Out")</f>
        <v>In</v>
      </c>
      <c r="U577" t="str">
        <f>IF(Jnl[[#This Row],[TrxDate]]&lt;debug_date_start, "prior", IF(Jnl[[#This Row],[TrxDate]]&gt;debug_date_end, "post", "curr"))</f>
        <v>prior</v>
      </c>
    </row>
    <row r="578" spans="1:21">
      <c r="A578" s="11" t="s">
        <v>754</v>
      </c>
      <c r="B578" s="7">
        <f>_xlfn.XLOOKUP(Jnl[[#This Row],[TrxId]], Trx[Id], Trx[Date],,0)</f>
        <v>46053</v>
      </c>
      <c r="C578" s="7" t="str">
        <f>_xlfn.XLOOKUP(Jnl[[#This Row],[TrxId]], Trx[Id], Trx[Division],,0)</f>
        <v>Online</v>
      </c>
      <c r="D578" s="7" t="str">
        <f>_xlfn.XLOOKUP(Jnl[[#This Row],[TrxId]], Trx[Id], Trx[Action],,0)</f>
        <v>退款-供应商</v>
      </c>
      <c r="E578" s="26" t="s">
        <v>80</v>
      </c>
      <c r="F578" s="11" t="s">
        <v>598</v>
      </c>
      <c r="G578" s="11" t="s">
        <v>151</v>
      </c>
      <c r="H578" s="72">
        <v>-16875</v>
      </c>
      <c r="I578" s="5" t="b">
        <f>AND(Jnl[[#This Row],[TrxId]]&lt;&gt;"",Jnl[[#This Row],[Acct]]&lt;&gt;"",Jnl[[#This Row],[Item]]&lt;&gt;"",ISNUMBER(Jnl[[#This Row],[Bal]]))</f>
        <v>1</v>
      </c>
      <c r="J578" s="10">
        <f>IF(Jnl[[#This Row],[BSLv0]]="A",1,-1)*Jnl[[#This Row],[Bal]]</f>
        <v>-16875</v>
      </c>
      <c r="K578" t="str">
        <f>_xlfn.XLOOKUP(Jnl[[#This Row],[Acct]], config_BS[Acct], config_BS[Lv0],,0)</f>
        <v>A</v>
      </c>
      <c r="L578" t="str">
        <f>_xlfn.XLOOKUP(Jnl[[#This Row],[Acct]], config_BS[Acct], config_BS[Lv1],,0)</f>
        <v>Assets</v>
      </c>
      <c r="M578" t="str">
        <f>_xlfn.XLOOKUP(Jnl[[#This Row],[Acct]], config_BS[Acct], config_BS[Lv2],,0)</f>
        <v>Invtr</v>
      </c>
      <c r="N578" t="str">
        <f>_xlfn.XLOOKUP(Jnl[[#This Row],[TrxId]], Trx[Id], Trx[IncNode], ,0)</f>
        <v>Cost</v>
      </c>
      <c r="O578" t="str">
        <f>_xlfn.XLOOKUP(Jnl[[#This Row],[IncNode]], config_IS[Node], config_IS[Type],,0)</f>
        <v>Op</v>
      </c>
      <c r="P578" t="str">
        <f>_xlfn.XLOOKUP(Jnl[[#This Row],[BSLv2]], dict[Key], dict[Name],,0)</f>
        <v>3.库存占款</v>
      </c>
      <c r="Q578" t="str">
        <f>_xlfn.XLOOKUP(Jnl[[#This Row],[Acct]], dict[Key], dict[Name],,0)</f>
        <v>当期存货</v>
      </c>
      <c r="R578" t="str">
        <f>_xlfn.XLOOKUP(Jnl[[#This Row],[Vehicle]],config_vehicle[Id], config_vehicle[Name],,0)</f>
        <v>远家花园</v>
      </c>
      <c r="S578" t="str">
        <f>_xlfn.XLOOKUP(Jnl[[#This Row],[Division]],config_div[Id], config_div[Name],,0)</f>
        <v>网店</v>
      </c>
      <c r="T578" t="str">
        <f>IF(Jnl[[#This Row],[TrxDate]]&lt;=stmt_BS_date_end, "In", "Out")</f>
        <v>In</v>
      </c>
      <c r="U578" t="str">
        <f>IF(Jnl[[#This Row],[TrxDate]]&lt;debug_date_start, "prior", IF(Jnl[[#This Row],[TrxDate]]&gt;debug_date_end, "post", "curr"))</f>
        <v>prior</v>
      </c>
    </row>
    <row r="579" spans="1:21">
      <c r="A579" s="11" t="s">
        <v>754</v>
      </c>
      <c r="B579" s="7">
        <f>_xlfn.XLOOKUP(Jnl[[#This Row],[TrxId]], Trx[Id], Trx[Date],,0)</f>
        <v>46053</v>
      </c>
      <c r="C579" s="7" t="str">
        <f>_xlfn.XLOOKUP(Jnl[[#This Row],[TrxId]], Trx[Id], Trx[Division],,0)</f>
        <v>Online</v>
      </c>
      <c r="D579" s="7" t="str">
        <f>_xlfn.XLOOKUP(Jnl[[#This Row],[TrxId]], Trx[Id], Trx[Action],,0)</f>
        <v>退款-供应商</v>
      </c>
      <c r="E579" s="26" t="s">
        <v>80</v>
      </c>
      <c r="F579" s="11" t="s">
        <v>590</v>
      </c>
      <c r="G579" s="11" t="s">
        <v>391</v>
      </c>
      <c r="H579" s="72">
        <v>16875</v>
      </c>
      <c r="I579" s="5" t="b">
        <f>AND(Jnl[[#This Row],[TrxId]]&lt;&gt;"",Jnl[[#This Row],[Acct]]&lt;&gt;"",Jnl[[#This Row],[Item]]&lt;&gt;"",ISNUMBER(Jnl[[#This Row],[Bal]]))</f>
        <v>1</v>
      </c>
      <c r="J579" s="10">
        <f>IF(Jnl[[#This Row],[BSLv0]]="A",1,-1)*Jnl[[#This Row],[Bal]]</f>
        <v>16875</v>
      </c>
      <c r="K579" t="str">
        <f>_xlfn.XLOOKUP(Jnl[[#This Row],[Acct]], config_BS[Acct], config_BS[Lv0],,0)</f>
        <v>A</v>
      </c>
      <c r="L579" t="str">
        <f>_xlfn.XLOOKUP(Jnl[[#This Row],[Acct]], config_BS[Acct], config_BS[Lv1],,0)</f>
        <v>Assets</v>
      </c>
      <c r="M579" t="str">
        <f>_xlfn.XLOOKUP(Jnl[[#This Row],[Acct]], config_BS[Acct], config_BS[Lv2],,0)</f>
        <v>Cash alike</v>
      </c>
      <c r="N579" t="str">
        <f>_xlfn.XLOOKUP(Jnl[[#This Row],[TrxId]], Trx[Id], Trx[IncNode], ,0)</f>
        <v>Cost</v>
      </c>
      <c r="O579" t="str">
        <f>_xlfn.XLOOKUP(Jnl[[#This Row],[IncNode]], config_IS[Node], config_IS[Type],,0)</f>
        <v>Op</v>
      </c>
      <c r="P579" t="str">
        <f>_xlfn.XLOOKUP(Jnl[[#This Row],[BSLv2]], dict[Key], dict[Name],,0)</f>
        <v>0.现金及类似</v>
      </c>
      <c r="Q579" t="str">
        <f>_xlfn.XLOOKUP(Jnl[[#This Row],[Acct]], dict[Key], dict[Name],,0)</f>
        <v>银行</v>
      </c>
      <c r="R579" t="str">
        <f>_xlfn.XLOOKUP(Jnl[[#This Row],[Vehicle]],config_vehicle[Id], config_vehicle[Name],,0)</f>
        <v>远家花园</v>
      </c>
      <c r="S579" t="str">
        <f>_xlfn.XLOOKUP(Jnl[[#This Row],[Division]],config_div[Id], config_div[Name],,0)</f>
        <v>网店</v>
      </c>
      <c r="T579" t="str">
        <f>IF(Jnl[[#This Row],[TrxDate]]&lt;=stmt_BS_date_end, "In", "Out")</f>
        <v>In</v>
      </c>
      <c r="U579" t="str">
        <f>IF(Jnl[[#This Row],[TrxDate]]&lt;debug_date_start, "prior", IF(Jnl[[#This Row],[TrxDate]]&gt;debug_date_end, "post", "curr"))</f>
        <v>prior</v>
      </c>
    </row>
    <row r="580" spans="1:21">
      <c r="A580" s="11" t="s">
        <v>755</v>
      </c>
      <c r="B580" s="7">
        <f>_xlfn.XLOOKUP(Jnl[[#This Row],[TrxId]], Trx[Id], Trx[Date],,0)</f>
        <v>46053</v>
      </c>
      <c r="C580" s="7" t="str">
        <f>_xlfn.XLOOKUP(Jnl[[#This Row],[TrxId]], Trx[Id], Trx[Division],,0)</f>
        <v>Online</v>
      </c>
      <c r="D580" s="7" t="str">
        <f>_xlfn.XLOOKUP(Jnl[[#This Row],[TrxId]], Trx[Id], Trx[Action],,0)</f>
        <v>采购</v>
      </c>
      <c r="E580" s="26" t="s">
        <v>80</v>
      </c>
      <c r="F580" s="11" t="s">
        <v>598</v>
      </c>
      <c r="G580" s="11" t="s">
        <v>151</v>
      </c>
      <c r="H580" s="72">
        <v>3000</v>
      </c>
      <c r="I580" s="5" t="b">
        <f>AND(Jnl[[#This Row],[TrxId]]&lt;&gt;"",Jnl[[#This Row],[Acct]]&lt;&gt;"",Jnl[[#This Row],[Item]]&lt;&gt;"",ISNUMBER(Jnl[[#This Row],[Bal]]))</f>
        <v>1</v>
      </c>
      <c r="J580" s="10">
        <f>IF(Jnl[[#This Row],[BSLv0]]="A",1,-1)*Jnl[[#This Row],[Bal]]</f>
        <v>3000</v>
      </c>
      <c r="K580" t="str">
        <f>_xlfn.XLOOKUP(Jnl[[#This Row],[Acct]], config_BS[Acct], config_BS[Lv0],,0)</f>
        <v>A</v>
      </c>
      <c r="L580" t="str">
        <f>_xlfn.XLOOKUP(Jnl[[#This Row],[Acct]], config_BS[Acct], config_BS[Lv1],,0)</f>
        <v>Assets</v>
      </c>
      <c r="M580" t="str">
        <f>_xlfn.XLOOKUP(Jnl[[#This Row],[Acct]], config_BS[Acct], config_BS[Lv2],,0)</f>
        <v>Invtr</v>
      </c>
      <c r="N580" t="str">
        <f>_xlfn.XLOOKUP(Jnl[[#This Row],[TrxId]], Trx[Id], Trx[IncNode], ,0)</f>
        <v>Cost</v>
      </c>
      <c r="O580" t="str">
        <f>_xlfn.XLOOKUP(Jnl[[#This Row],[IncNode]], config_IS[Node], config_IS[Type],,0)</f>
        <v>Op</v>
      </c>
      <c r="P580" t="str">
        <f>_xlfn.XLOOKUP(Jnl[[#This Row],[BSLv2]], dict[Key], dict[Name],,0)</f>
        <v>3.库存占款</v>
      </c>
      <c r="Q580" t="str">
        <f>_xlfn.XLOOKUP(Jnl[[#This Row],[Acct]], dict[Key], dict[Name],,0)</f>
        <v>当期存货</v>
      </c>
      <c r="R580" t="str">
        <f>_xlfn.XLOOKUP(Jnl[[#This Row],[Vehicle]],config_vehicle[Id], config_vehicle[Name],,0)</f>
        <v>远家花园</v>
      </c>
      <c r="S580" t="str">
        <f>_xlfn.XLOOKUP(Jnl[[#This Row],[Division]],config_div[Id], config_div[Name],,0)</f>
        <v>网店</v>
      </c>
      <c r="T580" t="str">
        <f>IF(Jnl[[#This Row],[TrxDate]]&lt;=stmt_BS_date_end, "In", "Out")</f>
        <v>In</v>
      </c>
      <c r="U580" t="str">
        <f>IF(Jnl[[#This Row],[TrxDate]]&lt;debug_date_start, "prior", IF(Jnl[[#This Row],[TrxDate]]&gt;debug_date_end, "post", "curr"))</f>
        <v>prior</v>
      </c>
    </row>
    <row r="581" spans="1:21">
      <c r="A581" s="11" t="s">
        <v>755</v>
      </c>
      <c r="B581" s="7">
        <f>_xlfn.XLOOKUP(Jnl[[#This Row],[TrxId]], Trx[Id], Trx[Date],,0)</f>
        <v>46053</v>
      </c>
      <c r="C581" s="7" t="str">
        <f>_xlfn.XLOOKUP(Jnl[[#This Row],[TrxId]], Trx[Id], Trx[Division],,0)</f>
        <v>Online</v>
      </c>
      <c r="D581" s="7" t="str">
        <f>_xlfn.XLOOKUP(Jnl[[#This Row],[TrxId]], Trx[Id], Trx[Action],,0)</f>
        <v>采购</v>
      </c>
      <c r="E581" s="26" t="s">
        <v>80</v>
      </c>
      <c r="F581" s="11" t="s">
        <v>590</v>
      </c>
      <c r="G581" s="11" t="s">
        <v>391</v>
      </c>
      <c r="H581" s="72">
        <v>-3000</v>
      </c>
      <c r="I581" s="5" t="b">
        <f>AND(Jnl[[#This Row],[TrxId]]&lt;&gt;"",Jnl[[#This Row],[Acct]]&lt;&gt;"",Jnl[[#This Row],[Item]]&lt;&gt;"",ISNUMBER(Jnl[[#This Row],[Bal]]))</f>
        <v>1</v>
      </c>
      <c r="J581" s="10">
        <f>IF(Jnl[[#This Row],[BSLv0]]="A",1,-1)*Jnl[[#This Row],[Bal]]</f>
        <v>-3000</v>
      </c>
      <c r="K581" t="str">
        <f>_xlfn.XLOOKUP(Jnl[[#This Row],[Acct]], config_BS[Acct], config_BS[Lv0],,0)</f>
        <v>A</v>
      </c>
      <c r="L581" t="str">
        <f>_xlfn.XLOOKUP(Jnl[[#This Row],[Acct]], config_BS[Acct], config_BS[Lv1],,0)</f>
        <v>Assets</v>
      </c>
      <c r="M581" t="str">
        <f>_xlfn.XLOOKUP(Jnl[[#This Row],[Acct]], config_BS[Acct], config_BS[Lv2],,0)</f>
        <v>Cash alike</v>
      </c>
      <c r="N581" t="str">
        <f>_xlfn.XLOOKUP(Jnl[[#This Row],[TrxId]], Trx[Id], Trx[IncNode], ,0)</f>
        <v>Cost</v>
      </c>
      <c r="O581" t="str">
        <f>_xlfn.XLOOKUP(Jnl[[#This Row],[IncNode]], config_IS[Node], config_IS[Type],,0)</f>
        <v>Op</v>
      </c>
      <c r="P581" t="str">
        <f>_xlfn.XLOOKUP(Jnl[[#This Row],[BSLv2]], dict[Key], dict[Name],,0)</f>
        <v>0.现金及类似</v>
      </c>
      <c r="Q581" t="str">
        <f>_xlfn.XLOOKUP(Jnl[[#This Row],[Acct]], dict[Key], dict[Name],,0)</f>
        <v>银行</v>
      </c>
      <c r="R581" t="str">
        <f>_xlfn.XLOOKUP(Jnl[[#This Row],[Vehicle]],config_vehicle[Id], config_vehicle[Name],,0)</f>
        <v>远家花园</v>
      </c>
      <c r="S581" t="str">
        <f>_xlfn.XLOOKUP(Jnl[[#This Row],[Division]],config_div[Id], config_div[Name],,0)</f>
        <v>网店</v>
      </c>
      <c r="T581" t="str">
        <f>IF(Jnl[[#This Row],[TrxDate]]&lt;=stmt_BS_date_end, "In", "Out")</f>
        <v>In</v>
      </c>
      <c r="U581" t="str">
        <f>IF(Jnl[[#This Row],[TrxDate]]&lt;debug_date_start, "prior", IF(Jnl[[#This Row],[TrxDate]]&gt;debug_date_end, "post", "curr"))</f>
        <v>prior</v>
      </c>
    </row>
    <row r="582" spans="1:21">
      <c r="A582" s="11" t="s">
        <v>756</v>
      </c>
      <c r="B582" s="7">
        <f>_xlfn.XLOOKUP(Jnl[[#This Row],[TrxId]], Trx[Id], Trx[Date],,0)</f>
        <v>46053</v>
      </c>
      <c r="C582" s="7" t="str">
        <f>_xlfn.XLOOKUP(Jnl[[#This Row],[TrxId]], Trx[Id], Trx[Division],,0)</f>
        <v>Online</v>
      </c>
      <c r="D582" s="7" t="str">
        <f>_xlfn.XLOOKUP(Jnl[[#This Row],[TrxId]], Trx[Id], Trx[Action],,0)</f>
        <v>采购</v>
      </c>
      <c r="E582" s="26" t="s">
        <v>80</v>
      </c>
      <c r="F582" s="11" t="s">
        <v>598</v>
      </c>
      <c r="G582" s="11" t="s">
        <v>151</v>
      </c>
      <c r="H582" s="72">
        <v>8064</v>
      </c>
      <c r="I582" s="5" t="b">
        <f>AND(Jnl[[#This Row],[TrxId]]&lt;&gt;"",Jnl[[#This Row],[Acct]]&lt;&gt;"",Jnl[[#This Row],[Item]]&lt;&gt;"",ISNUMBER(Jnl[[#This Row],[Bal]]))</f>
        <v>1</v>
      </c>
      <c r="J582" s="10">
        <f>IF(Jnl[[#This Row],[BSLv0]]="A",1,-1)*Jnl[[#This Row],[Bal]]</f>
        <v>8064</v>
      </c>
      <c r="K582" t="str">
        <f>_xlfn.XLOOKUP(Jnl[[#This Row],[Acct]], config_BS[Acct], config_BS[Lv0],,0)</f>
        <v>A</v>
      </c>
      <c r="L582" t="str">
        <f>_xlfn.XLOOKUP(Jnl[[#This Row],[Acct]], config_BS[Acct], config_BS[Lv1],,0)</f>
        <v>Assets</v>
      </c>
      <c r="M582" t="str">
        <f>_xlfn.XLOOKUP(Jnl[[#This Row],[Acct]], config_BS[Acct], config_BS[Lv2],,0)</f>
        <v>Invtr</v>
      </c>
      <c r="N582" t="str">
        <f>_xlfn.XLOOKUP(Jnl[[#This Row],[TrxId]], Trx[Id], Trx[IncNode], ,0)</f>
        <v>Cost</v>
      </c>
      <c r="O582" t="str">
        <f>_xlfn.XLOOKUP(Jnl[[#This Row],[IncNode]], config_IS[Node], config_IS[Type],,0)</f>
        <v>Op</v>
      </c>
      <c r="P582" t="str">
        <f>_xlfn.XLOOKUP(Jnl[[#This Row],[BSLv2]], dict[Key], dict[Name],,0)</f>
        <v>3.库存占款</v>
      </c>
      <c r="Q582" t="str">
        <f>_xlfn.XLOOKUP(Jnl[[#This Row],[Acct]], dict[Key], dict[Name],,0)</f>
        <v>当期存货</v>
      </c>
      <c r="R582" t="str">
        <f>_xlfn.XLOOKUP(Jnl[[#This Row],[Vehicle]],config_vehicle[Id], config_vehicle[Name],,0)</f>
        <v>远家花园</v>
      </c>
      <c r="S582" t="str">
        <f>_xlfn.XLOOKUP(Jnl[[#This Row],[Division]],config_div[Id], config_div[Name],,0)</f>
        <v>网店</v>
      </c>
      <c r="T582" t="str">
        <f>IF(Jnl[[#This Row],[TrxDate]]&lt;=stmt_BS_date_end, "In", "Out")</f>
        <v>In</v>
      </c>
      <c r="U582" t="str">
        <f>IF(Jnl[[#This Row],[TrxDate]]&lt;debug_date_start, "prior", IF(Jnl[[#This Row],[TrxDate]]&gt;debug_date_end, "post", "curr"))</f>
        <v>prior</v>
      </c>
    </row>
    <row r="583" spans="1:21">
      <c r="A583" s="11" t="s">
        <v>756</v>
      </c>
      <c r="B583" s="7">
        <f>_xlfn.XLOOKUP(Jnl[[#This Row],[TrxId]], Trx[Id], Trx[Date],,0)</f>
        <v>46053</v>
      </c>
      <c r="C583" s="7" t="str">
        <f>_xlfn.XLOOKUP(Jnl[[#This Row],[TrxId]], Trx[Id], Trx[Division],,0)</f>
        <v>Online</v>
      </c>
      <c r="D583" s="7" t="str">
        <f>_xlfn.XLOOKUP(Jnl[[#This Row],[TrxId]], Trx[Id], Trx[Action],,0)</f>
        <v>采购</v>
      </c>
      <c r="E583" s="26" t="s">
        <v>80</v>
      </c>
      <c r="F583" s="11" t="s">
        <v>590</v>
      </c>
      <c r="G583" s="11" t="s">
        <v>391</v>
      </c>
      <c r="H583" s="72">
        <v>-8064</v>
      </c>
      <c r="I583" s="5" t="b">
        <f>AND(Jnl[[#This Row],[TrxId]]&lt;&gt;"",Jnl[[#This Row],[Acct]]&lt;&gt;"",Jnl[[#This Row],[Item]]&lt;&gt;"",ISNUMBER(Jnl[[#This Row],[Bal]]))</f>
        <v>1</v>
      </c>
      <c r="J583" s="10">
        <f>IF(Jnl[[#This Row],[BSLv0]]="A",1,-1)*Jnl[[#This Row],[Bal]]</f>
        <v>-8064</v>
      </c>
      <c r="K583" t="str">
        <f>_xlfn.XLOOKUP(Jnl[[#This Row],[Acct]], config_BS[Acct], config_BS[Lv0],,0)</f>
        <v>A</v>
      </c>
      <c r="L583" t="str">
        <f>_xlfn.XLOOKUP(Jnl[[#This Row],[Acct]], config_BS[Acct], config_BS[Lv1],,0)</f>
        <v>Assets</v>
      </c>
      <c r="M583" t="str">
        <f>_xlfn.XLOOKUP(Jnl[[#This Row],[Acct]], config_BS[Acct], config_BS[Lv2],,0)</f>
        <v>Cash alike</v>
      </c>
      <c r="N583" t="str">
        <f>_xlfn.XLOOKUP(Jnl[[#This Row],[TrxId]], Trx[Id], Trx[IncNode], ,0)</f>
        <v>Cost</v>
      </c>
      <c r="O583" t="str">
        <f>_xlfn.XLOOKUP(Jnl[[#This Row],[IncNode]], config_IS[Node], config_IS[Type],,0)</f>
        <v>Op</v>
      </c>
      <c r="P583" t="str">
        <f>_xlfn.XLOOKUP(Jnl[[#This Row],[BSLv2]], dict[Key], dict[Name],,0)</f>
        <v>0.现金及类似</v>
      </c>
      <c r="Q583" t="str">
        <f>_xlfn.XLOOKUP(Jnl[[#This Row],[Acct]], dict[Key], dict[Name],,0)</f>
        <v>银行</v>
      </c>
      <c r="R583" t="str">
        <f>_xlfn.XLOOKUP(Jnl[[#This Row],[Vehicle]],config_vehicle[Id], config_vehicle[Name],,0)</f>
        <v>远家花园</v>
      </c>
      <c r="S583" t="str">
        <f>_xlfn.XLOOKUP(Jnl[[#This Row],[Division]],config_div[Id], config_div[Name],,0)</f>
        <v>网店</v>
      </c>
      <c r="T583" t="str">
        <f>IF(Jnl[[#This Row],[TrxDate]]&lt;=stmt_BS_date_end, "In", "Out")</f>
        <v>In</v>
      </c>
      <c r="U583" t="str">
        <f>IF(Jnl[[#This Row],[TrxDate]]&lt;debug_date_start, "prior", IF(Jnl[[#This Row],[TrxDate]]&gt;debug_date_end, "post", "curr"))</f>
        <v>prior</v>
      </c>
    </row>
    <row r="584" spans="1:21">
      <c r="A584" s="11" t="s">
        <v>757</v>
      </c>
      <c r="B584" s="7">
        <f>_xlfn.XLOOKUP(Jnl[[#This Row],[TrxId]], Trx[Id], Trx[Date],,0)</f>
        <v>46053</v>
      </c>
      <c r="C584" s="7" t="str">
        <f>_xlfn.XLOOKUP(Jnl[[#This Row],[TrxId]], Trx[Id], Trx[Division],,0)</f>
        <v>Online</v>
      </c>
      <c r="D584" s="7" t="str">
        <f>_xlfn.XLOOKUP(Jnl[[#This Row],[TrxId]], Trx[Id], Trx[Action],,0)</f>
        <v>采购</v>
      </c>
      <c r="E584" s="26" t="s">
        <v>80</v>
      </c>
      <c r="F584" s="11" t="s">
        <v>598</v>
      </c>
      <c r="G584" s="11" t="s">
        <v>151</v>
      </c>
      <c r="H584" s="72">
        <f>-H585</f>
        <v>20604</v>
      </c>
      <c r="I584" s="5" t="b">
        <f>AND(Jnl[[#This Row],[TrxId]]&lt;&gt;"",Jnl[[#This Row],[Acct]]&lt;&gt;"",Jnl[[#This Row],[Item]]&lt;&gt;"",ISNUMBER(Jnl[[#This Row],[Bal]]))</f>
        <v>1</v>
      </c>
      <c r="J584" s="10">
        <f>IF(Jnl[[#This Row],[BSLv0]]="A",1,-1)*Jnl[[#This Row],[Bal]]</f>
        <v>20604</v>
      </c>
      <c r="K584" t="str">
        <f>_xlfn.XLOOKUP(Jnl[[#This Row],[Acct]], config_BS[Acct], config_BS[Lv0],,0)</f>
        <v>A</v>
      </c>
      <c r="L584" t="str">
        <f>_xlfn.XLOOKUP(Jnl[[#This Row],[Acct]], config_BS[Acct], config_BS[Lv1],,0)</f>
        <v>Assets</v>
      </c>
      <c r="M584" t="str">
        <f>_xlfn.XLOOKUP(Jnl[[#This Row],[Acct]], config_BS[Acct], config_BS[Lv2],,0)</f>
        <v>Invtr</v>
      </c>
      <c r="N584" t="str">
        <f>_xlfn.XLOOKUP(Jnl[[#This Row],[TrxId]], Trx[Id], Trx[IncNode], ,0)</f>
        <v>Cost</v>
      </c>
      <c r="O584" t="str">
        <f>_xlfn.XLOOKUP(Jnl[[#This Row],[IncNode]], config_IS[Node], config_IS[Type],,0)</f>
        <v>Op</v>
      </c>
      <c r="P584" t="str">
        <f>_xlfn.XLOOKUP(Jnl[[#This Row],[BSLv2]], dict[Key], dict[Name],,0)</f>
        <v>3.库存占款</v>
      </c>
      <c r="Q584" t="str">
        <f>_xlfn.XLOOKUP(Jnl[[#This Row],[Acct]], dict[Key], dict[Name],,0)</f>
        <v>当期存货</v>
      </c>
      <c r="R584" t="str">
        <f>_xlfn.XLOOKUP(Jnl[[#This Row],[Vehicle]],config_vehicle[Id], config_vehicle[Name],,0)</f>
        <v>远家花园</v>
      </c>
      <c r="S584" t="str">
        <f>_xlfn.XLOOKUP(Jnl[[#This Row],[Division]],config_div[Id], config_div[Name],,0)</f>
        <v>网店</v>
      </c>
      <c r="T584" t="str">
        <f>IF(Jnl[[#This Row],[TrxDate]]&lt;=stmt_BS_date_end, "In", "Out")</f>
        <v>In</v>
      </c>
      <c r="U584" t="str">
        <f>IF(Jnl[[#This Row],[TrxDate]]&lt;debug_date_start, "prior", IF(Jnl[[#This Row],[TrxDate]]&gt;debug_date_end, "post", "curr"))</f>
        <v>prior</v>
      </c>
    </row>
    <row r="585" spans="1:21">
      <c r="A585" s="11" t="s">
        <v>757</v>
      </c>
      <c r="B585" s="7">
        <f>_xlfn.XLOOKUP(Jnl[[#This Row],[TrxId]], Trx[Id], Trx[Date],,0)</f>
        <v>46053</v>
      </c>
      <c r="C585" s="7" t="str">
        <f>_xlfn.XLOOKUP(Jnl[[#This Row],[TrxId]], Trx[Id], Trx[Division],,0)</f>
        <v>Online</v>
      </c>
      <c r="D585" s="7" t="str">
        <f>_xlfn.XLOOKUP(Jnl[[#This Row],[TrxId]], Trx[Id], Trx[Action],,0)</f>
        <v>采购</v>
      </c>
      <c r="E585" s="26" t="s">
        <v>80</v>
      </c>
      <c r="F585" s="11" t="s">
        <v>590</v>
      </c>
      <c r="G585" s="11" t="s">
        <v>391</v>
      </c>
      <c r="H585" s="72">
        <v>-20604</v>
      </c>
      <c r="I585" s="5" t="b">
        <f>AND(Jnl[[#This Row],[TrxId]]&lt;&gt;"",Jnl[[#This Row],[Acct]]&lt;&gt;"",Jnl[[#This Row],[Item]]&lt;&gt;"",ISNUMBER(Jnl[[#This Row],[Bal]]))</f>
        <v>1</v>
      </c>
      <c r="J585" s="10">
        <f>IF(Jnl[[#This Row],[BSLv0]]="A",1,-1)*Jnl[[#This Row],[Bal]]</f>
        <v>-20604</v>
      </c>
      <c r="K585" t="str">
        <f>_xlfn.XLOOKUP(Jnl[[#This Row],[Acct]], config_BS[Acct], config_BS[Lv0],,0)</f>
        <v>A</v>
      </c>
      <c r="L585" t="str">
        <f>_xlfn.XLOOKUP(Jnl[[#This Row],[Acct]], config_BS[Acct], config_BS[Lv1],,0)</f>
        <v>Assets</v>
      </c>
      <c r="M585" t="str">
        <f>_xlfn.XLOOKUP(Jnl[[#This Row],[Acct]], config_BS[Acct], config_BS[Lv2],,0)</f>
        <v>Cash alike</v>
      </c>
      <c r="N585" t="str">
        <f>_xlfn.XLOOKUP(Jnl[[#This Row],[TrxId]], Trx[Id], Trx[IncNode], ,0)</f>
        <v>Cost</v>
      </c>
      <c r="O585" t="str">
        <f>_xlfn.XLOOKUP(Jnl[[#This Row],[IncNode]], config_IS[Node], config_IS[Type],,0)</f>
        <v>Op</v>
      </c>
      <c r="P585" t="str">
        <f>_xlfn.XLOOKUP(Jnl[[#This Row],[BSLv2]], dict[Key], dict[Name],,0)</f>
        <v>0.现金及类似</v>
      </c>
      <c r="Q585" t="str">
        <f>_xlfn.XLOOKUP(Jnl[[#This Row],[Acct]], dict[Key], dict[Name],,0)</f>
        <v>银行</v>
      </c>
      <c r="R585" t="str">
        <f>_xlfn.XLOOKUP(Jnl[[#This Row],[Vehicle]],config_vehicle[Id], config_vehicle[Name],,0)</f>
        <v>远家花园</v>
      </c>
      <c r="S585" t="str">
        <f>_xlfn.XLOOKUP(Jnl[[#This Row],[Division]],config_div[Id], config_div[Name],,0)</f>
        <v>网店</v>
      </c>
      <c r="T585" t="str">
        <f>IF(Jnl[[#This Row],[TrxDate]]&lt;=stmt_BS_date_end, "In", "Out")</f>
        <v>In</v>
      </c>
      <c r="U585" t="str">
        <f>IF(Jnl[[#This Row],[TrxDate]]&lt;debug_date_start, "prior", IF(Jnl[[#This Row],[TrxDate]]&gt;debug_date_end, "post", "curr"))</f>
        <v>prior</v>
      </c>
    </row>
    <row r="586" spans="1:21">
      <c r="A586" s="11" t="s">
        <v>758</v>
      </c>
      <c r="B586" s="7">
        <f>_xlfn.XLOOKUP(Jnl[[#This Row],[TrxId]], Trx[Id], Trx[Date],,0)</f>
        <v>46053</v>
      </c>
      <c r="C586" s="7" t="str">
        <f>_xlfn.XLOOKUP(Jnl[[#This Row],[TrxId]], Trx[Id], Trx[Division],,0)</f>
        <v>Online</v>
      </c>
      <c r="D586" s="7" t="str">
        <f>_xlfn.XLOOKUP(Jnl[[#This Row],[TrxId]], Trx[Id], Trx[Action],,0)</f>
        <v>退款-供应商</v>
      </c>
      <c r="E586" s="26" t="s">
        <v>80</v>
      </c>
      <c r="F586" s="11" t="s">
        <v>598</v>
      </c>
      <c r="G586" s="11" t="s">
        <v>151</v>
      </c>
      <c r="H586" s="72">
        <v>-660</v>
      </c>
      <c r="I586" s="5" t="b">
        <f>AND(Jnl[[#This Row],[TrxId]]&lt;&gt;"",Jnl[[#This Row],[Acct]]&lt;&gt;"",Jnl[[#This Row],[Item]]&lt;&gt;"",ISNUMBER(Jnl[[#This Row],[Bal]]))</f>
        <v>1</v>
      </c>
      <c r="J586" s="10">
        <f>IF(Jnl[[#This Row],[BSLv0]]="A",1,-1)*Jnl[[#This Row],[Bal]]</f>
        <v>-660</v>
      </c>
      <c r="K586" t="str">
        <f>_xlfn.XLOOKUP(Jnl[[#This Row],[Acct]], config_BS[Acct], config_BS[Lv0],,0)</f>
        <v>A</v>
      </c>
      <c r="L586" t="str">
        <f>_xlfn.XLOOKUP(Jnl[[#This Row],[Acct]], config_BS[Acct], config_BS[Lv1],,0)</f>
        <v>Assets</v>
      </c>
      <c r="M586" t="str">
        <f>_xlfn.XLOOKUP(Jnl[[#This Row],[Acct]], config_BS[Acct], config_BS[Lv2],,0)</f>
        <v>Invtr</v>
      </c>
      <c r="N586" t="str">
        <f>_xlfn.XLOOKUP(Jnl[[#This Row],[TrxId]], Trx[Id], Trx[IncNode], ,0)</f>
        <v>Cost</v>
      </c>
      <c r="O586" t="str">
        <f>_xlfn.XLOOKUP(Jnl[[#This Row],[IncNode]], config_IS[Node], config_IS[Type],,0)</f>
        <v>Op</v>
      </c>
      <c r="P586" t="str">
        <f>_xlfn.XLOOKUP(Jnl[[#This Row],[BSLv2]], dict[Key], dict[Name],,0)</f>
        <v>3.库存占款</v>
      </c>
      <c r="Q586" t="str">
        <f>_xlfn.XLOOKUP(Jnl[[#This Row],[Acct]], dict[Key], dict[Name],,0)</f>
        <v>当期存货</v>
      </c>
      <c r="R586" t="str">
        <f>_xlfn.XLOOKUP(Jnl[[#This Row],[Vehicle]],config_vehicle[Id], config_vehicle[Name],,0)</f>
        <v>远家花园</v>
      </c>
      <c r="S586" t="str">
        <f>_xlfn.XLOOKUP(Jnl[[#This Row],[Division]],config_div[Id], config_div[Name],,0)</f>
        <v>网店</v>
      </c>
      <c r="T586" t="str">
        <f>IF(Jnl[[#This Row],[TrxDate]]&lt;=stmt_BS_date_end, "In", "Out")</f>
        <v>In</v>
      </c>
      <c r="U586" t="str">
        <f>IF(Jnl[[#This Row],[TrxDate]]&lt;debug_date_start, "prior", IF(Jnl[[#This Row],[TrxDate]]&gt;debug_date_end, "post", "curr"))</f>
        <v>prior</v>
      </c>
    </row>
    <row r="587" spans="1:21">
      <c r="A587" s="11" t="s">
        <v>758</v>
      </c>
      <c r="B587" s="7">
        <f>_xlfn.XLOOKUP(Jnl[[#This Row],[TrxId]], Trx[Id], Trx[Date],,0)</f>
        <v>46053</v>
      </c>
      <c r="C587" s="7" t="str">
        <f>_xlfn.XLOOKUP(Jnl[[#This Row],[TrxId]], Trx[Id], Trx[Division],,0)</f>
        <v>Online</v>
      </c>
      <c r="D587" s="7" t="str">
        <f>_xlfn.XLOOKUP(Jnl[[#This Row],[TrxId]], Trx[Id], Trx[Action],,0)</f>
        <v>退款-供应商</v>
      </c>
      <c r="E587" s="26" t="s">
        <v>80</v>
      </c>
      <c r="F587" s="11" t="s">
        <v>590</v>
      </c>
      <c r="G587" s="11" t="s">
        <v>391</v>
      </c>
      <c r="H587" s="72">
        <v>660</v>
      </c>
      <c r="I587" s="5" t="b">
        <f>AND(Jnl[[#This Row],[TrxId]]&lt;&gt;"",Jnl[[#This Row],[Acct]]&lt;&gt;"",Jnl[[#This Row],[Item]]&lt;&gt;"",ISNUMBER(Jnl[[#This Row],[Bal]]))</f>
        <v>1</v>
      </c>
      <c r="J587" s="10">
        <f>IF(Jnl[[#This Row],[BSLv0]]="A",1,-1)*Jnl[[#This Row],[Bal]]</f>
        <v>660</v>
      </c>
      <c r="K587" t="str">
        <f>_xlfn.XLOOKUP(Jnl[[#This Row],[Acct]], config_BS[Acct], config_BS[Lv0],,0)</f>
        <v>A</v>
      </c>
      <c r="L587" t="str">
        <f>_xlfn.XLOOKUP(Jnl[[#This Row],[Acct]], config_BS[Acct], config_BS[Lv1],,0)</f>
        <v>Assets</v>
      </c>
      <c r="M587" t="str">
        <f>_xlfn.XLOOKUP(Jnl[[#This Row],[Acct]], config_BS[Acct], config_BS[Lv2],,0)</f>
        <v>Cash alike</v>
      </c>
      <c r="N587" t="str">
        <f>_xlfn.XLOOKUP(Jnl[[#This Row],[TrxId]], Trx[Id], Trx[IncNode], ,0)</f>
        <v>Cost</v>
      </c>
      <c r="O587" t="str">
        <f>_xlfn.XLOOKUP(Jnl[[#This Row],[IncNode]], config_IS[Node], config_IS[Type],,0)</f>
        <v>Op</v>
      </c>
      <c r="P587" t="str">
        <f>_xlfn.XLOOKUP(Jnl[[#This Row],[BSLv2]], dict[Key], dict[Name],,0)</f>
        <v>0.现金及类似</v>
      </c>
      <c r="Q587" t="str">
        <f>_xlfn.XLOOKUP(Jnl[[#This Row],[Acct]], dict[Key], dict[Name],,0)</f>
        <v>银行</v>
      </c>
      <c r="R587" t="str">
        <f>_xlfn.XLOOKUP(Jnl[[#This Row],[Vehicle]],config_vehicle[Id], config_vehicle[Name],,0)</f>
        <v>远家花园</v>
      </c>
      <c r="S587" t="str">
        <f>_xlfn.XLOOKUP(Jnl[[#This Row],[Division]],config_div[Id], config_div[Name],,0)</f>
        <v>网店</v>
      </c>
      <c r="T587" t="str">
        <f>IF(Jnl[[#This Row],[TrxDate]]&lt;=stmt_BS_date_end, "In", "Out")</f>
        <v>In</v>
      </c>
      <c r="U587" t="str">
        <f>IF(Jnl[[#This Row],[TrxDate]]&lt;debug_date_start, "prior", IF(Jnl[[#This Row],[TrxDate]]&gt;debug_date_end, "post", "curr"))</f>
        <v>prior</v>
      </c>
    </row>
    <row r="588" spans="1:21">
      <c r="A588" s="11" t="s">
        <v>759</v>
      </c>
      <c r="B588" s="7">
        <f>_xlfn.XLOOKUP(Jnl[[#This Row],[TrxId]], Trx[Id], Trx[Date],,0)</f>
        <v>46053</v>
      </c>
      <c r="C588" s="7" t="str">
        <f>_xlfn.XLOOKUP(Jnl[[#This Row],[TrxId]], Trx[Id], Trx[Division],,0)</f>
        <v>GM</v>
      </c>
      <c r="D588" s="7" t="str">
        <f>_xlfn.XLOOKUP(Jnl[[#This Row],[TrxId]], Trx[Id], Trx[Action],,0)</f>
        <v>银行费</v>
      </c>
      <c r="E588" s="26" t="s">
        <v>80</v>
      </c>
      <c r="F588" s="11" t="s">
        <v>590</v>
      </c>
      <c r="G588" s="11" t="s">
        <v>391</v>
      </c>
      <c r="H588" s="72">
        <v>-558.29999999999995</v>
      </c>
      <c r="I588" s="5" t="b">
        <f>AND(Jnl[[#This Row],[TrxId]]&lt;&gt;"",Jnl[[#This Row],[Acct]]&lt;&gt;"",Jnl[[#This Row],[Item]]&lt;&gt;"",ISNUMBER(Jnl[[#This Row],[Bal]]))</f>
        <v>1</v>
      </c>
      <c r="J588" s="10">
        <f>IF(Jnl[[#This Row],[BSLv0]]="A",1,-1)*Jnl[[#This Row],[Bal]]</f>
        <v>-558.29999999999995</v>
      </c>
      <c r="K588" t="str">
        <f>_xlfn.XLOOKUP(Jnl[[#This Row],[Acct]], config_BS[Acct], config_BS[Lv0],,0)</f>
        <v>A</v>
      </c>
      <c r="L588" t="str">
        <f>_xlfn.XLOOKUP(Jnl[[#This Row],[Acct]], config_BS[Acct], config_BS[Lv1],,0)</f>
        <v>Assets</v>
      </c>
      <c r="M588" t="str">
        <f>_xlfn.XLOOKUP(Jnl[[#This Row],[Acct]], config_BS[Acct], config_BS[Lv2],,0)</f>
        <v>Cash alike</v>
      </c>
      <c r="N588" t="str">
        <f>_xlfn.XLOOKUP(Jnl[[#This Row],[TrxId]], Trx[Id], Trx[IncNode], ,0)</f>
        <v>Expense</v>
      </c>
      <c r="O588" t="str">
        <f>_xlfn.XLOOKUP(Jnl[[#This Row],[IncNode]], config_IS[Node], config_IS[Type],,0)</f>
        <v>Op</v>
      </c>
      <c r="P588" t="str">
        <f>_xlfn.XLOOKUP(Jnl[[#This Row],[BSLv2]], dict[Key], dict[Name],,0)</f>
        <v>0.现金及类似</v>
      </c>
      <c r="Q588" t="str">
        <f>_xlfn.XLOOKUP(Jnl[[#This Row],[Acct]], dict[Key], dict[Name],,0)</f>
        <v>银行</v>
      </c>
      <c r="R588" t="str">
        <f>_xlfn.XLOOKUP(Jnl[[#This Row],[Vehicle]],config_vehicle[Id], config_vehicle[Name],,0)</f>
        <v>远家花园</v>
      </c>
      <c r="S588" t="str">
        <f>_xlfn.XLOOKUP(Jnl[[#This Row],[Division]],config_div[Id], config_div[Name],,0)</f>
        <v>综合管理</v>
      </c>
      <c r="T588" t="str">
        <f>IF(Jnl[[#This Row],[TrxDate]]&lt;=stmt_BS_date_end, "In", "Out")</f>
        <v>In</v>
      </c>
      <c r="U588" t="str">
        <f>IF(Jnl[[#This Row],[TrxDate]]&lt;debug_date_start, "prior", IF(Jnl[[#This Row],[TrxDate]]&gt;debug_date_end, "post", "curr"))</f>
        <v>prior</v>
      </c>
    </row>
    <row r="589" spans="1:21">
      <c r="A589" s="11" t="s">
        <v>760</v>
      </c>
      <c r="B589" s="7">
        <f>_xlfn.XLOOKUP(Jnl[[#This Row],[TrxId]], Trx[Id], Trx[Date],,0)</f>
        <v>46053</v>
      </c>
      <c r="C589" s="7" t="str">
        <f>_xlfn.XLOOKUP(Jnl[[#This Row],[TrxId]], Trx[Id], Trx[Division],,0)</f>
        <v>GM</v>
      </c>
      <c r="D589" s="7" t="str">
        <f>_xlfn.XLOOKUP(Jnl[[#This Row],[TrxId]], Trx[Id], Trx[Action],,0)</f>
        <v>设备</v>
      </c>
      <c r="E589" s="26" t="s">
        <v>80</v>
      </c>
      <c r="F589" s="11" t="s">
        <v>590</v>
      </c>
      <c r="G589" s="11" t="s">
        <v>391</v>
      </c>
      <c r="H589" s="72">
        <v>-2300</v>
      </c>
      <c r="I589" s="5" t="b">
        <f>AND(Jnl[[#This Row],[TrxId]]&lt;&gt;"",Jnl[[#This Row],[Acct]]&lt;&gt;"",Jnl[[#This Row],[Item]]&lt;&gt;"",ISNUMBER(Jnl[[#This Row],[Bal]]))</f>
        <v>1</v>
      </c>
      <c r="J589" s="10">
        <f>IF(Jnl[[#This Row],[BSLv0]]="A",1,-1)*Jnl[[#This Row],[Bal]]</f>
        <v>-2300</v>
      </c>
      <c r="K589" t="str">
        <f>_xlfn.XLOOKUP(Jnl[[#This Row],[Acct]], config_BS[Acct], config_BS[Lv0],,0)</f>
        <v>A</v>
      </c>
      <c r="L589" t="str">
        <f>_xlfn.XLOOKUP(Jnl[[#This Row],[Acct]], config_BS[Acct], config_BS[Lv1],,0)</f>
        <v>Assets</v>
      </c>
      <c r="M589" t="str">
        <f>_xlfn.XLOOKUP(Jnl[[#This Row],[Acct]], config_BS[Acct], config_BS[Lv2],,0)</f>
        <v>Cash alike</v>
      </c>
      <c r="N589" t="str">
        <f>_xlfn.XLOOKUP(Jnl[[#This Row],[TrxId]], Trx[Id], Trx[IncNode], ,0)</f>
        <v>Expense</v>
      </c>
      <c r="O589" t="str">
        <f>_xlfn.XLOOKUP(Jnl[[#This Row],[IncNode]], config_IS[Node], config_IS[Type],,0)</f>
        <v>Op</v>
      </c>
      <c r="P589" t="str">
        <f>_xlfn.XLOOKUP(Jnl[[#This Row],[BSLv2]], dict[Key], dict[Name],,0)</f>
        <v>0.现金及类似</v>
      </c>
      <c r="Q589" t="str">
        <f>_xlfn.XLOOKUP(Jnl[[#This Row],[Acct]], dict[Key], dict[Name],,0)</f>
        <v>银行</v>
      </c>
      <c r="R589" t="str">
        <f>_xlfn.XLOOKUP(Jnl[[#This Row],[Vehicle]],config_vehicle[Id], config_vehicle[Name],,0)</f>
        <v>远家花园</v>
      </c>
      <c r="S589" t="str">
        <f>_xlfn.XLOOKUP(Jnl[[#This Row],[Division]],config_div[Id], config_div[Name],,0)</f>
        <v>综合管理</v>
      </c>
      <c r="T589" t="str">
        <f>IF(Jnl[[#This Row],[TrxDate]]&lt;=stmt_BS_date_end, "In", "Out")</f>
        <v>In</v>
      </c>
      <c r="U589" t="str">
        <f>IF(Jnl[[#This Row],[TrxDate]]&lt;debug_date_start, "prior", IF(Jnl[[#This Row],[TrxDate]]&gt;debug_date_end, "post", "curr"))</f>
        <v>prior</v>
      </c>
    </row>
    <row r="590" spans="1:21">
      <c r="A590" s="11" t="s">
        <v>762</v>
      </c>
      <c r="B590" s="7">
        <f>_xlfn.XLOOKUP(Jnl[[#This Row],[TrxId]], Trx[Id], Trx[Date],,0)</f>
        <v>46053</v>
      </c>
      <c r="C590" s="7" t="str">
        <f>_xlfn.XLOOKUP(Jnl[[#This Row],[TrxId]], Trx[Id], Trx[Division],,0)</f>
        <v>Online</v>
      </c>
      <c r="D590" s="7" t="str">
        <f>_xlfn.XLOOKUP(Jnl[[#This Row],[TrxId]], Trx[Id], Trx[Action],,0)</f>
        <v>采购</v>
      </c>
      <c r="E590" s="26" t="s">
        <v>80</v>
      </c>
      <c r="F590" s="11" t="s">
        <v>590</v>
      </c>
      <c r="G590" s="11" t="s">
        <v>391</v>
      </c>
      <c r="H590" s="72">
        <v>-774</v>
      </c>
      <c r="I590" s="5" t="b">
        <f>AND(Jnl[[#This Row],[TrxId]]&lt;&gt;"",Jnl[[#This Row],[Acct]]&lt;&gt;"",Jnl[[#This Row],[Item]]&lt;&gt;"",ISNUMBER(Jnl[[#This Row],[Bal]]))</f>
        <v>1</v>
      </c>
      <c r="J590" s="10">
        <f>IF(Jnl[[#This Row],[BSLv0]]="A",1,-1)*Jnl[[#This Row],[Bal]]</f>
        <v>-774</v>
      </c>
      <c r="K590" t="str">
        <f>_xlfn.XLOOKUP(Jnl[[#This Row],[Acct]], config_BS[Acct], config_BS[Lv0],,0)</f>
        <v>A</v>
      </c>
      <c r="L590" t="str">
        <f>_xlfn.XLOOKUP(Jnl[[#This Row],[Acct]], config_BS[Acct], config_BS[Lv1],,0)</f>
        <v>Assets</v>
      </c>
      <c r="M590" t="str">
        <f>_xlfn.XLOOKUP(Jnl[[#This Row],[Acct]], config_BS[Acct], config_BS[Lv2],,0)</f>
        <v>Cash alike</v>
      </c>
      <c r="N590" t="str">
        <f>_xlfn.XLOOKUP(Jnl[[#This Row],[TrxId]], Trx[Id], Trx[IncNode], ,0)</f>
        <v>Cost</v>
      </c>
      <c r="O590" t="str">
        <f>_xlfn.XLOOKUP(Jnl[[#This Row],[IncNode]], config_IS[Node], config_IS[Type],,0)</f>
        <v>Op</v>
      </c>
      <c r="P590" t="str">
        <f>_xlfn.XLOOKUP(Jnl[[#This Row],[BSLv2]], dict[Key], dict[Name],,0)</f>
        <v>0.现金及类似</v>
      </c>
      <c r="Q590" t="str">
        <f>_xlfn.XLOOKUP(Jnl[[#This Row],[Acct]], dict[Key], dict[Name],,0)</f>
        <v>银行</v>
      </c>
      <c r="R590" t="str">
        <f>_xlfn.XLOOKUP(Jnl[[#This Row],[Vehicle]],config_vehicle[Id], config_vehicle[Name],,0)</f>
        <v>远家花园</v>
      </c>
      <c r="S590" t="str">
        <f>_xlfn.XLOOKUP(Jnl[[#This Row],[Division]],config_div[Id], config_div[Name],,0)</f>
        <v>网店</v>
      </c>
      <c r="T590" t="str">
        <f>IF(Jnl[[#This Row],[TrxDate]]&lt;=stmt_BS_date_end, "In", "Out")</f>
        <v>In</v>
      </c>
      <c r="U590" t="str">
        <f>IF(Jnl[[#This Row],[TrxDate]]&lt;debug_date_start, "prior", IF(Jnl[[#This Row],[TrxDate]]&gt;debug_date_end, "post", "curr"))</f>
        <v>prior</v>
      </c>
    </row>
    <row r="591" spans="1:21">
      <c r="A591" s="11" t="s">
        <v>762</v>
      </c>
      <c r="B591" s="7">
        <f>_xlfn.XLOOKUP(Jnl[[#This Row],[TrxId]], Trx[Id], Trx[Date],,0)</f>
        <v>46053</v>
      </c>
      <c r="C591" s="7" t="str">
        <f>_xlfn.XLOOKUP(Jnl[[#This Row],[TrxId]], Trx[Id], Trx[Division],,0)</f>
        <v>Online</v>
      </c>
      <c r="D591" s="7" t="str">
        <f>_xlfn.XLOOKUP(Jnl[[#This Row],[TrxId]], Trx[Id], Trx[Action],,0)</f>
        <v>采购</v>
      </c>
      <c r="E591" s="26" t="s">
        <v>80</v>
      </c>
      <c r="F591" s="11" t="s">
        <v>598</v>
      </c>
      <c r="G591" s="11" t="s">
        <v>151</v>
      </c>
      <c r="H591" s="72">
        <v>774</v>
      </c>
      <c r="I591" s="5" t="b">
        <f>AND(Jnl[[#This Row],[TrxId]]&lt;&gt;"",Jnl[[#This Row],[Acct]]&lt;&gt;"",Jnl[[#This Row],[Item]]&lt;&gt;"",ISNUMBER(Jnl[[#This Row],[Bal]]))</f>
        <v>1</v>
      </c>
      <c r="J591" s="10">
        <f>IF(Jnl[[#This Row],[BSLv0]]="A",1,-1)*Jnl[[#This Row],[Bal]]</f>
        <v>774</v>
      </c>
      <c r="K591" t="str">
        <f>_xlfn.XLOOKUP(Jnl[[#This Row],[Acct]], config_BS[Acct], config_BS[Lv0],,0)</f>
        <v>A</v>
      </c>
      <c r="L591" t="str">
        <f>_xlfn.XLOOKUP(Jnl[[#This Row],[Acct]], config_BS[Acct], config_BS[Lv1],,0)</f>
        <v>Assets</v>
      </c>
      <c r="M591" t="str">
        <f>_xlfn.XLOOKUP(Jnl[[#This Row],[Acct]], config_BS[Acct], config_BS[Lv2],,0)</f>
        <v>Invtr</v>
      </c>
      <c r="N591" t="str">
        <f>_xlfn.XLOOKUP(Jnl[[#This Row],[TrxId]], Trx[Id], Trx[IncNode], ,0)</f>
        <v>Cost</v>
      </c>
      <c r="O591" t="str">
        <f>_xlfn.XLOOKUP(Jnl[[#This Row],[IncNode]], config_IS[Node], config_IS[Type],,0)</f>
        <v>Op</v>
      </c>
      <c r="P591" t="str">
        <f>_xlfn.XLOOKUP(Jnl[[#This Row],[BSLv2]], dict[Key], dict[Name],,0)</f>
        <v>3.库存占款</v>
      </c>
      <c r="Q591" t="str">
        <f>_xlfn.XLOOKUP(Jnl[[#This Row],[Acct]], dict[Key], dict[Name],,0)</f>
        <v>当期存货</v>
      </c>
      <c r="R591" t="str">
        <f>_xlfn.XLOOKUP(Jnl[[#This Row],[Vehicle]],config_vehicle[Id], config_vehicle[Name],,0)</f>
        <v>远家花园</v>
      </c>
      <c r="S591" t="str">
        <f>_xlfn.XLOOKUP(Jnl[[#This Row],[Division]],config_div[Id], config_div[Name],,0)</f>
        <v>网店</v>
      </c>
      <c r="T591" t="str">
        <f>IF(Jnl[[#This Row],[TrxDate]]&lt;=stmt_BS_date_end, "In", "Out")</f>
        <v>In</v>
      </c>
      <c r="U591" t="str">
        <f>IF(Jnl[[#This Row],[TrxDate]]&lt;debug_date_start, "prior", IF(Jnl[[#This Row],[TrxDate]]&gt;debug_date_end, "post", "curr"))</f>
        <v>prior</v>
      </c>
    </row>
    <row r="592" spans="1:21">
      <c r="A592" s="11" t="s">
        <v>763</v>
      </c>
      <c r="B592" s="7">
        <f>_xlfn.XLOOKUP(Jnl[[#This Row],[TrxId]], Trx[Id], Trx[Date],,0)</f>
        <v>46053</v>
      </c>
      <c r="C592" s="7" t="str">
        <f>_xlfn.XLOOKUP(Jnl[[#This Row],[TrxId]], Trx[Id], Trx[Division],,0)</f>
        <v>Online</v>
      </c>
      <c r="D592" s="7" t="str">
        <f>_xlfn.XLOOKUP(Jnl[[#This Row],[TrxId]], Trx[Id], Trx[Action],,0)</f>
        <v>采购</v>
      </c>
      <c r="E592" s="26" t="s">
        <v>80</v>
      </c>
      <c r="F592" s="11" t="s">
        <v>590</v>
      </c>
      <c r="G592" s="11" t="s">
        <v>391</v>
      </c>
      <c r="H592" s="72">
        <v>-57331.1</v>
      </c>
      <c r="I592" s="5" t="b">
        <f>AND(Jnl[[#This Row],[TrxId]]&lt;&gt;"",Jnl[[#This Row],[Acct]]&lt;&gt;"",Jnl[[#This Row],[Item]]&lt;&gt;"",ISNUMBER(Jnl[[#This Row],[Bal]]))</f>
        <v>1</v>
      </c>
      <c r="J592" s="10">
        <f>IF(Jnl[[#This Row],[BSLv0]]="A",1,-1)*Jnl[[#This Row],[Bal]]</f>
        <v>-57331.1</v>
      </c>
      <c r="K592" t="str">
        <f>_xlfn.XLOOKUP(Jnl[[#This Row],[Acct]], config_BS[Acct], config_BS[Lv0],,0)</f>
        <v>A</v>
      </c>
      <c r="L592" t="str">
        <f>_xlfn.XLOOKUP(Jnl[[#This Row],[Acct]], config_BS[Acct], config_BS[Lv1],,0)</f>
        <v>Assets</v>
      </c>
      <c r="M592" t="str">
        <f>_xlfn.XLOOKUP(Jnl[[#This Row],[Acct]], config_BS[Acct], config_BS[Lv2],,0)</f>
        <v>Cash alike</v>
      </c>
      <c r="N592" t="str">
        <f>_xlfn.XLOOKUP(Jnl[[#This Row],[TrxId]], Trx[Id], Trx[IncNode], ,0)</f>
        <v>Cost</v>
      </c>
      <c r="O592" t="str">
        <f>_xlfn.XLOOKUP(Jnl[[#This Row],[IncNode]], config_IS[Node], config_IS[Type],,0)</f>
        <v>Op</v>
      </c>
      <c r="P592" t="str">
        <f>_xlfn.XLOOKUP(Jnl[[#This Row],[BSLv2]], dict[Key], dict[Name],,0)</f>
        <v>0.现金及类似</v>
      </c>
      <c r="Q592" t="str">
        <f>_xlfn.XLOOKUP(Jnl[[#This Row],[Acct]], dict[Key], dict[Name],,0)</f>
        <v>银行</v>
      </c>
      <c r="R592" t="str">
        <f>_xlfn.XLOOKUP(Jnl[[#This Row],[Vehicle]],config_vehicle[Id], config_vehicle[Name],,0)</f>
        <v>远家花园</v>
      </c>
      <c r="S592" t="str">
        <f>_xlfn.XLOOKUP(Jnl[[#This Row],[Division]],config_div[Id], config_div[Name],,0)</f>
        <v>网店</v>
      </c>
      <c r="T592" t="str">
        <f>IF(Jnl[[#This Row],[TrxDate]]&lt;=stmt_BS_date_end, "In", "Out")</f>
        <v>In</v>
      </c>
      <c r="U592" t="str">
        <f>IF(Jnl[[#This Row],[TrxDate]]&lt;debug_date_start, "prior", IF(Jnl[[#This Row],[TrxDate]]&gt;debug_date_end, "post", "curr"))</f>
        <v>prior</v>
      </c>
    </row>
    <row r="593" spans="1:21">
      <c r="A593" s="11" t="s">
        <v>763</v>
      </c>
      <c r="B593" s="7">
        <f>_xlfn.XLOOKUP(Jnl[[#This Row],[TrxId]], Trx[Id], Trx[Date],,0)</f>
        <v>46053</v>
      </c>
      <c r="C593" s="7" t="str">
        <f>_xlfn.XLOOKUP(Jnl[[#This Row],[TrxId]], Trx[Id], Trx[Division],,0)</f>
        <v>Online</v>
      </c>
      <c r="D593" s="7" t="str">
        <f>_xlfn.XLOOKUP(Jnl[[#This Row],[TrxId]], Trx[Id], Trx[Action],,0)</f>
        <v>采购</v>
      </c>
      <c r="E593" s="26" t="s">
        <v>80</v>
      </c>
      <c r="F593" s="11" t="s">
        <v>598</v>
      </c>
      <c r="G593" s="11" t="s">
        <v>151</v>
      </c>
      <c r="H593" s="72">
        <v>57331.1</v>
      </c>
      <c r="I593" s="5" t="b">
        <f>AND(Jnl[[#This Row],[TrxId]]&lt;&gt;"",Jnl[[#This Row],[Acct]]&lt;&gt;"",Jnl[[#This Row],[Item]]&lt;&gt;"",ISNUMBER(Jnl[[#This Row],[Bal]]))</f>
        <v>1</v>
      </c>
      <c r="J593" s="10">
        <f>IF(Jnl[[#This Row],[BSLv0]]="A",1,-1)*Jnl[[#This Row],[Bal]]</f>
        <v>57331.1</v>
      </c>
      <c r="K593" t="str">
        <f>_xlfn.XLOOKUP(Jnl[[#This Row],[Acct]], config_BS[Acct], config_BS[Lv0],,0)</f>
        <v>A</v>
      </c>
      <c r="L593" t="str">
        <f>_xlfn.XLOOKUP(Jnl[[#This Row],[Acct]], config_BS[Acct], config_BS[Lv1],,0)</f>
        <v>Assets</v>
      </c>
      <c r="M593" t="str">
        <f>_xlfn.XLOOKUP(Jnl[[#This Row],[Acct]], config_BS[Acct], config_BS[Lv2],,0)</f>
        <v>Invtr</v>
      </c>
      <c r="N593" t="str">
        <f>_xlfn.XLOOKUP(Jnl[[#This Row],[TrxId]], Trx[Id], Trx[IncNode], ,0)</f>
        <v>Cost</v>
      </c>
      <c r="O593" t="str">
        <f>_xlfn.XLOOKUP(Jnl[[#This Row],[IncNode]], config_IS[Node], config_IS[Type],,0)</f>
        <v>Op</v>
      </c>
      <c r="P593" t="str">
        <f>_xlfn.XLOOKUP(Jnl[[#This Row],[BSLv2]], dict[Key], dict[Name],,0)</f>
        <v>3.库存占款</v>
      </c>
      <c r="Q593" t="str">
        <f>_xlfn.XLOOKUP(Jnl[[#This Row],[Acct]], dict[Key], dict[Name],,0)</f>
        <v>当期存货</v>
      </c>
      <c r="R593" t="str">
        <f>_xlfn.XLOOKUP(Jnl[[#This Row],[Vehicle]],config_vehicle[Id], config_vehicle[Name],,0)</f>
        <v>远家花园</v>
      </c>
      <c r="S593" t="str">
        <f>_xlfn.XLOOKUP(Jnl[[#This Row],[Division]],config_div[Id], config_div[Name],,0)</f>
        <v>网店</v>
      </c>
      <c r="T593" t="str">
        <f>IF(Jnl[[#This Row],[TrxDate]]&lt;=stmt_BS_date_end, "In", "Out")</f>
        <v>In</v>
      </c>
      <c r="U593" t="str">
        <f>IF(Jnl[[#This Row],[TrxDate]]&lt;debug_date_start, "prior", IF(Jnl[[#This Row],[TrxDate]]&gt;debug_date_end, "post", "curr"))</f>
        <v>prior</v>
      </c>
    </row>
    <row r="594" spans="1:21">
      <c r="A594" s="11" t="s">
        <v>764</v>
      </c>
      <c r="B594" s="7">
        <f>_xlfn.XLOOKUP(Jnl[[#This Row],[TrxId]], Trx[Id], Trx[Date],,0)</f>
        <v>46053</v>
      </c>
      <c r="C594" s="7" t="str">
        <f>_xlfn.XLOOKUP(Jnl[[#This Row],[TrxId]], Trx[Id], Trx[Division],,0)</f>
        <v>Ctrl</v>
      </c>
      <c r="D594" s="7" t="str">
        <f>_xlfn.XLOOKUP(Jnl[[#This Row],[TrxId]], Trx[Id], Trx[Action],,0)</f>
        <v>代理</v>
      </c>
      <c r="E594" s="26" t="s">
        <v>80</v>
      </c>
      <c r="F594" s="11" t="s">
        <v>590</v>
      </c>
      <c r="G594" s="11" t="s">
        <v>391</v>
      </c>
      <c r="H594" s="72">
        <v>-1170</v>
      </c>
      <c r="I594" s="5" t="b">
        <f>AND(Jnl[[#This Row],[TrxId]]&lt;&gt;"",Jnl[[#This Row],[Acct]]&lt;&gt;"",Jnl[[#This Row],[Item]]&lt;&gt;"",ISNUMBER(Jnl[[#This Row],[Bal]]))</f>
        <v>1</v>
      </c>
      <c r="J594" s="10">
        <f>IF(Jnl[[#This Row],[BSLv0]]="A",1,-1)*Jnl[[#This Row],[Bal]]</f>
        <v>-1170</v>
      </c>
      <c r="K594" t="str">
        <f>_xlfn.XLOOKUP(Jnl[[#This Row],[Acct]], config_BS[Acct], config_BS[Lv0],,0)</f>
        <v>A</v>
      </c>
      <c r="L594" t="str">
        <f>_xlfn.XLOOKUP(Jnl[[#This Row],[Acct]], config_BS[Acct], config_BS[Lv1],,0)</f>
        <v>Assets</v>
      </c>
      <c r="M594" t="str">
        <f>_xlfn.XLOOKUP(Jnl[[#This Row],[Acct]], config_BS[Acct], config_BS[Lv2],,0)</f>
        <v>Cash alike</v>
      </c>
      <c r="N594" t="str">
        <f>_xlfn.XLOOKUP(Jnl[[#This Row],[TrxId]], Trx[Id], Trx[IncNode], ,0)</f>
        <v>Expense</v>
      </c>
      <c r="O594" t="str">
        <f>_xlfn.XLOOKUP(Jnl[[#This Row],[IncNode]], config_IS[Node], config_IS[Type],,0)</f>
        <v>Op</v>
      </c>
      <c r="P594" t="str">
        <f>_xlfn.XLOOKUP(Jnl[[#This Row],[BSLv2]], dict[Key], dict[Name],,0)</f>
        <v>0.现金及类似</v>
      </c>
      <c r="Q594" t="str">
        <f>_xlfn.XLOOKUP(Jnl[[#This Row],[Acct]], dict[Key], dict[Name],,0)</f>
        <v>银行</v>
      </c>
      <c r="R594" t="str">
        <f>_xlfn.XLOOKUP(Jnl[[#This Row],[Vehicle]],config_vehicle[Id], config_vehicle[Name],,0)</f>
        <v>远家花园</v>
      </c>
      <c r="S594" t="str">
        <f>_xlfn.XLOOKUP(Jnl[[#This Row],[Division]],config_div[Id], config_div[Name],,0)</f>
        <v>内控合规</v>
      </c>
      <c r="T594" t="str">
        <f>IF(Jnl[[#This Row],[TrxDate]]&lt;=stmt_BS_date_end, "In", "Out")</f>
        <v>In</v>
      </c>
      <c r="U594" t="str">
        <f>IF(Jnl[[#This Row],[TrxDate]]&lt;debug_date_start, "prior", IF(Jnl[[#This Row],[TrxDate]]&gt;debug_date_end, "post", "curr"))</f>
        <v>prior</v>
      </c>
    </row>
    <row r="595" spans="1:21">
      <c r="A595" s="11" t="s">
        <v>765</v>
      </c>
      <c r="B595" s="7">
        <f>_xlfn.XLOOKUP(Jnl[[#This Row],[TrxId]], Trx[Id], Trx[Date],,0)</f>
        <v>46053</v>
      </c>
      <c r="C595" s="7" t="str">
        <f>_xlfn.XLOOKUP(Jnl[[#This Row],[TrxId]], Trx[Id], Trx[Division],,0)</f>
        <v>Online</v>
      </c>
      <c r="D595" s="7" t="str">
        <f>_xlfn.XLOOKUP(Jnl[[#This Row],[TrxId]], Trx[Id], Trx[Action],,0)</f>
        <v>采购</v>
      </c>
      <c r="E595" s="26" t="s">
        <v>80</v>
      </c>
      <c r="F595" s="11" t="s">
        <v>598</v>
      </c>
      <c r="G595" s="11" t="s">
        <v>151</v>
      </c>
      <c r="H595" s="72">
        <v>6415</v>
      </c>
      <c r="I595" s="5" t="b">
        <f>AND(Jnl[[#This Row],[TrxId]]&lt;&gt;"",Jnl[[#This Row],[Acct]]&lt;&gt;"",Jnl[[#This Row],[Item]]&lt;&gt;"",ISNUMBER(Jnl[[#This Row],[Bal]]))</f>
        <v>1</v>
      </c>
      <c r="J595" s="10">
        <f>IF(Jnl[[#This Row],[BSLv0]]="A",1,-1)*Jnl[[#This Row],[Bal]]</f>
        <v>6415</v>
      </c>
      <c r="K595" t="str">
        <f>_xlfn.XLOOKUP(Jnl[[#This Row],[Acct]], config_BS[Acct], config_BS[Lv0],,0)</f>
        <v>A</v>
      </c>
      <c r="L595" t="str">
        <f>_xlfn.XLOOKUP(Jnl[[#This Row],[Acct]], config_BS[Acct], config_BS[Lv1],,0)</f>
        <v>Assets</v>
      </c>
      <c r="M595" t="str">
        <f>_xlfn.XLOOKUP(Jnl[[#This Row],[Acct]], config_BS[Acct], config_BS[Lv2],,0)</f>
        <v>Invtr</v>
      </c>
      <c r="N595" t="str">
        <f>_xlfn.XLOOKUP(Jnl[[#This Row],[TrxId]], Trx[Id], Trx[IncNode], ,0)</f>
        <v>Cost</v>
      </c>
      <c r="O595" t="str">
        <f>_xlfn.XLOOKUP(Jnl[[#This Row],[IncNode]], config_IS[Node], config_IS[Type],,0)</f>
        <v>Op</v>
      </c>
      <c r="P595" t="str">
        <f>_xlfn.XLOOKUP(Jnl[[#This Row],[BSLv2]], dict[Key], dict[Name],,0)</f>
        <v>3.库存占款</v>
      </c>
      <c r="Q595" t="str">
        <f>_xlfn.XLOOKUP(Jnl[[#This Row],[Acct]], dict[Key], dict[Name],,0)</f>
        <v>当期存货</v>
      </c>
      <c r="R595" t="str">
        <f>_xlfn.XLOOKUP(Jnl[[#This Row],[Vehicle]],config_vehicle[Id], config_vehicle[Name],,0)</f>
        <v>远家花园</v>
      </c>
      <c r="S595" t="str">
        <f>_xlfn.XLOOKUP(Jnl[[#This Row],[Division]],config_div[Id], config_div[Name],,0)</f>
        <v>网店</v>
      </c>
      <c r="T595" t="str">
        <f>IF(Jnl[[#This Row],[TrxDate]]&lt;=stmt_BS_date_end, "In", "Out")</f>
        <v>In</v>
      </c>
      <c r="U595" t="str">
        <f>IF(Jnl[[#This Row],[TrxDate]]&lt;debug_date_start, "prior", IF(Jnl[[#This Row],[TrxDate]]&gt;debug_date_end, "post", "curr"))</f>
        <v>prior</v>
      </c>
    </row>
    <row r="596" spans="1:21">
      <c r="A596" s="11" t="s">
        <v>765</v>
      </c>
      <c r="B596" s="7">
        <f>_xlfn.XLOOKUP(Jnl[[#This Row],[TrxId]], Trx[Id], Trx[Date],,0)</f>
        <v>46053</v>
      </c>
      <c r="C596" s="7" t="str">
        <f>_xlfn.XLOOKUP(Jnl[[#This Row],[TrxId]], Trx[Id], Trx[Division],,0)</f>
        <v>Online</v>
      </c>
      <c r="D596" s="7" t="str">
        <f>_xlfn.XLOOKUP(Jnl[[#This Row],[TrxId]], Trx[Id], Trx[Action],,0)</f>
        <v>采购</v>
      </c>
      <c r="E596" s="26" t="s">
        <v>80</v>
      </c>
      <c r="F596" s="11" t="s">
        <v>590</v>
      </c>
      <c r="G596" s="11" t="s">
        <v>391</v>
      </c>
      <c r="H596" s="72">
        <v>-6415</v>
      </c>
      <c r="I596" s="5" t="b">
        <f>AND(Jnl[[#This Row],[TrxId]]&lt;&gt;"",Jnl[[#This Row],[Acct]]&lt;&gt;"",Jnl[[#This Row],[Item]]&lt;&gt;"",ISNUMBER(Jnl[[#This Row],[Bal]]))</f>
        <v>1</v>
      </c>
      <c r="J596" s="10">
        <f>IF(Jnl[[#This Row],[BSLv0]]="A",1,-1)*Jnl[[#This Row],[Bal]]</f>
        <v>-6415</v>
      </c>
      <c r="K596" t="str">
        <f>_xlfn.XLOOKUP(Jnl[[#This Row],[Acct]], config_BS[Acct], config_BS[Lv0],,0)</f>
        <v>A</v>
      </c>
      <c r="L596" t="str">
        <f>_xlfn.XLOOKUP(Jnl[[#This Row],[Acct]], config_BS[Acct], config_BS[Lv1],,0)</f>
        <v>Assets</v>
      </c>
      <c r="M596" t="str">
        <f>_xlfn.XLOOKUP(Jnl[[#This Row],[Acct]], config_BS[Acct], config_BS[Lv2],,0)</f>
        <v>Cash alike</v>
      </c>
      <c r="N596" t="str">
        <f>_xlfn.XLOOKUP(Jnl[[#This Row],[TrxId]], Trx[Id], Trx[IncNode], ,0)</f>
        <v>Cost</v>
      </c>
      <c r="O596" t="str">
        <f>_xlfn.XLOOKUP(Jnl[[#This Row],[IncNode]], config_IS[Node], config_IS[Type],,0)</f>
        <v>Op</v>
      </c>
      <c r="P596" t="str">
        <f>_xlfn.XLOOKUP(Jnl[[#This Row],[BSLv2]], dict[Key], dict[Name],,0)</f>
        <v>0.现金及类似</v>
      </c>
      <c r="Q596" t="str">
        <f>_xlfn.XLOOKUP(Jnl[[#This Row],[Acct]], dict[Key], dict[Name],,0)</f>
        <v>银行</v>
      </c>
      <c r="R596" t="str">
        <f>_xlfn.XLOOKUP(Jnl[[#This Row],[Vehicle]],config_vehicle[Id], config_vehicle[Name],,0)</f>
        <v>远家花园</v>
      </c>
      <c r="S596" t="str">
        <f>_xlfn.XLOOKUP(Jnl[[#This Row],[Division]],config_div[Id], config_div[Name],,0)</f>
        <v>网店</v>
      </c>
      <c r="T596" t="str">
        <f>IF(Jnl[[#This Row],[TrxDate]]&lt;=stmt_BS_date_end, "In", "Out")</f>
        <v>In</v>
      </c>
      <c r="U596" t="str">
        <f>IF(Jnl[[#This Row],[TrxDate]]&lt;debug_date_start, "prior", IF(Jnl[[#This Row],[TrxDate]]&gt;debug_date_end, "post", "curr"))</f>
        <v>prior</v>
      </c>
    </row>
    <row r="597" spans="1:21">
      <c r="A597" s="11" t="s">
        <v>766</v>
      </c>
      <c r="B597" s="7">
        <f>_xlfn.XLOOKUP(Jnl[[#This Row],[TrxId]], Trx[Id], Trx[Date],,0)</f>
        <v>46053</v>
      </c>
      <c r="C597" s="7" t="str">
        <f>_xlfn.XLOOKUP(Jnl[[#This Row],[TrxId]], Trx[Id], Trx[Division],,0)</f>
        <v>Online</v>
      </c>
      <c r="D597" s="7" t="str">
        <f>_xlfn.XLOOKUP(Jnl[[#This Row],[TrxId]], Trx[Id], Trx[Action],,0)</f>
        <v>加工</v>
      </c>
      <c r="E597" s="26" t="s">
        <v>80</v>
      </c>
      <c r="F597" s="11" t="s">
        <v>493</v>
      </c>
      <c r="G597" s="11" t="s">
        <v>428</v>
      </c>
      <c r="H597" s="72">
        <v>44252</v>
      </c>
      <c r="I597" s="5" t="b">
        <f>AND(Jnl[[#This Row],[TrxId]]&lt;&gt;"",Jnl[[#This Row],[Acct]]&lt;&gt;"",Jnl[[#This Row],[Item]]&lt;&gt;"",ISNUMBER(Jnl[[#This Row],[Bal]]))</f>
        <v>1</v>
      </c>
      <c r="J597" s="10">
        <f>IF(Jnl[[#This Row],[BSLv0]]="A",1,-1)*Jnl[[#This Row],[Bal]]</f>
        <v>44252</v>
      </c>
      <c r="K597" t="str">
        <f>_xlfn.XLOOKUP(Jnl[[#This Row],[Acct]], config_BS[Acct], config_BS[Lv0],,0)</f>
        <v>A</v>
      </c>
      <c r="L597" t="str">
        <f>_xlfn.XLOOKUP(Jnl[[#This Row],[Acct]], config_BS[Acct], config_BS[Lv1],,0)</f>
        <v>Assets</v>
      </c>
      <c r="M597" t="str">
        <f>_xlfn.XLOOKUP(Jnl[[#This Row],[Acct]], config_BS[Acct], config_BS[Lv2],,0)</f>
        <v>Prep-Sub</v>
      </c>
      <c r="N597" t="str">
        <f>_xlfn.XLOOKUP(Jnl[[#This Row],[TrxId]], Trx[Id], Trx[IncNode], ,0)</f>
        <v>Cost</v>
      </c>
      <c r="O597" t="str">
        <f>_xlfn.XLOOKUP(Jnl[[#This Row],[IncNode]], config_IS[Node], config_IS[Type],,0)</f>
        <v>Op</v>
      </c>
      <c r="P597" t="str">
        <f>_xlfn.XLOOKUP(Jnl[[#This Row],[BSLv2]], dict[Key], dict[Name],,0)</f>
        <v>2.预付-订阅</v>
      </c>
      <c r="Q597" t="str">
        <f>_xlfn.XLOOKUP(Jnl[[#This Row],[Acct]], dict[Key], dict[Name],,0)</f>
        <v>预付订单</v>
      </c>
      <c r="R597" t="str">
        <f>_xlfn.XLOOKUP(Jnl[[#This Row],[Vehicle]],config_vehicle[Id], config_vehicle[Name],,0)</f>
        <v>远家花园</v>
      </c>
      <c r="S597" t="str">
        <f>_xlfn.XLOOKUP(Jnl[[#This Row],[Division]],config_div[Id], config_div[Name],,0)</f>
        <v>网店</v>
      </c>
      <c r="T597" t="str">
        <f>IF(Jnl[[#This Row],[TrxDate]]&lt;=stmt_BS_date_end, "In", "Out")</f>
        <v>In</v>
      </c>
      <c r="U597" t="str">
        <f>IF(Jnl[[#This Row],[TrxDate]]&lt;debug_date_start, "prior", IF(Jnl[[#This Row],[TrxDate]]&gt;debug_date_end, "post", "curr"))</f>
        <v>prior</v>
      </c>
    </row>
    <row r="598" spans="1:21">
      <c r="A598" s="11" t="s">
        <v>766</v>
      </c>
      <c r="B598" s="7">
        <f>_xlfn.XLOOKUP(Jnl[[#This Row],[TrxId]], Trx[Id], Trx[Date],,0)</f>
        <v>46053</v>
      </c>
      <c r="C598" s="7" t="str">
        <f>_xlfn.XLOOKUP(Jnl[[#This Row],[TrxId]], Trx[Id], Trx[Division],,0)</f>
        <v>Online</v>
      </c>
      <c r="D598" s="7" t="str">
        <f>_xlfn.XLOOKUP(Jnl[[#This Row],[TrxId]], Trx[Id], Trx[Action],,0)</f>
        <v>加工</v>
      </c>
      <c r="E598" s="26" t="s">
        <v>80</v>
      </c>
      <c r="F598" s="11" t="s">
        <v>590</v>
      </c>
      <c r="G598" s="11" t="s">
        <v>391</v>
      </c>
      <c r="H598" s="72">
        <v>-44252</v>
      </c>
      <c r="I598" s="5" t="b">
        <f>AND(Jnl[[#This Row],[TrxId]]&lt;&gt;"",Jnl[[#This Row],[Acct]]&lt;&gt;"",Jnl[[#This Row],[Item]]&lt;&gt;"",ISNUMBER(Jnl[[#This Row],[Bal]]))</f>
        <v>1</v>
      </c>
      <c r="J598" s="10">
        <f>IF(Jnl[[#This Row],[BSLv0]]="A",1,-1)*Jnl[[#This Row],[Bal]]</f>
        <v>-44252</v>
      </c>
      <c r="K598" t="str">
        <f>_xlfn.XLOOKUP(Jnl[[#This Row],[Acct]], config_BS[Acct], config_BS[Lv0],,0)</f>
        <v>A</v>
      </c>
      <c r="L598" t="str">
        <f>_xlfn.XLOOKUP(Jnl[[#This Row],[Acct]], config_BS[Acct], config_BS[Lv1],,0)</f>
        <v>Assets</v>
      </c>
      <c r="M598" t="str">
        <f>_xlfn.XLOOKUP(Jnl[[#This Row],[Acct]], config_BS[Acct], config_BS[Lv2],,0)</f>
        <v>Cash alike</v>
      </c>
      <c r="N598" t="str">
        <f>_xlfn.XLOOKUP(Jnl[[#This Row],[TrxId]], Trx[Id], Trx[IncNode], ,0)</f>
        <v>Cost</v>
      </c>
      <c r="O598" t="str">
        <f>_xlfn.XLOOKUP(Jnl[[#This Row],[IncNode]], config_IS[Node], config_IS[Type],,0)</f>
        <v>Op</v>
      </c>
      <c r="P598" t="str">
        <f>_xlfn.XLOOKUP(Jnl[[#This Row],[BSLv2]], dict[Key], dict[Name],,0)</f>
        <v>0.现金及类似</v>
      </c>
      <c r="Q598" t="str">
        <f>_xlfn.XLOOKUP(Jnl[[#This Row],[Acct]], dict[Key], dict[Name],,0)</f>
        <v>银行</v>
      </c>
      <c r="R598" t="str">
        <f>_xlfn.XLOOKUP(Jnl[[#This Row],[Vehicle]],config_vehicle[Id], config_vehicle[Name],,0)</f>
        <v>远家花园</v>
      </c>
      <c r="S598" t="str">
        <f>_xlfn.XLOOKUP(Jnl[[#This Row],[Division]],config_div[Id], config_div[Name],,0)</f>
        <v>网店</v>
      </c>
      <c r="T598" t="str">
        <f>IF(Jnl[[#This Row],[TrxDate]]&lt;=stmt_BS_date_end, "In", "Out")</f>
        <v>In</v>
      </c>
      <c r="U598" t="str">
        <f>IF(Jnl[[#This Row],[TrxDate]]&lt;debug_date_start, "prior", IF(Jnl[[#This Row],[TrxDate]]&gt;debug_date_end, "post", "curr"))</f>
        <v>prior</v>
      </c>
    </row>
    <row r="599" spans="1:21">
      <c r="A599" s="11" t="s">
        <v>768</v>
      </c>
      <c r="B599" s="7">
        <f>_xlfn.XLOOKUP(Jnl[[#This Row],[TrxId]], Trx[Id], Trx[Date],,0)</f>
        <v>46053</v>
      </c>
      <c r="C599" s="7" t="str">
        <f>_xlfn.XLOOKUP(Jnl[[#This Row],[TrxId]], Trx[Id], Trx[Division],,0)</f>
        <v>Online</v>
      </c>
      <c r="D599" s="7" t="str">
        <f>_xlfn.XLOOKUP(Jnl[[#This Row],[TrxId]], Trx[Id], Trx[Action],,0)</f>
        <v>采购</v>
      </c>
      <c r="E599" s="26" t="s">
        <v>80</v>
      </c>
      <c r="F599" s="11" t="s">
        <v>598</v>
      </c>
      <c r="G599" s="11" t="s">
        <v>151</v>
      </c>
      <c r="H599" s="72">
        <v>4977.7</v>
      </c>
      <c r="I599" s="5" t="b">
        <f>AND(Jnl[[#This Row],[TrxId]]&lt;&gt;"",Jnl[[#This Row],[Acct]]&lt;&gt;"",Jnl[[#This Row],[Item]]&lt;&gt;"",ISNUMBER(Jnl[[#This Row],[Bal]]))</f>
        <v>1</v>
      </c>
      <c r="J599" s="10">
        <f>IF(Jnl[[#This Row],[BSLv0]]="A",1,-1)*Jnl[[#This Row],[Bal]]</f>
        <v>4977.7</v>
      </c>
      <c r="K599" t="str">
        <f>_xlfn.XLOOKUP(Jnl[[#This Row],[Acct]], config_BS[Acct], config_BS[Lv0],,0)</f>
        <v>A</v>
      </c>
      <c r="L599" t="str">
        <f>_xlfn.XLOOKUP(Jnl[[#This Row],[Acct]], config_BS[Acct], config_BS[Lv1],,0)</f>
        <v>Assets</v>
      </c>
      <c r="M599" t="str">
        <f>_xlfn.XLOOKUP(Jnl[[#This Row],[Acct]], config_BS[Acct], config_BS[Lv2],,0)</f>
        <v>Invtr</v>
      </c>
      <c r="N599" t="str">
        <f>_xlfn.XLOOKUP(Jnl[[#This Row],[TrxId]], Trx[Id], Trx[IncNode], ,0)</f>
        <v>Cost</v>
      </c>
      <c r="O599" t="str">
        <f>_xlfn.XLOOKUP(Jnl[[#This Row],[IncNode]], config_IS[Node], config_IS[Type],,0)</f>
        <v>Op</v>
      </c>
      <c r="P599" t="str">
        <f>_xlfn.XLOOKUP(Jnl[[#This Row],[BSLv2]], dict[Key], dict[Name],,0)</f>
        <v>3.库存占款</v>
      </c>
      <c r="Q599" t="str">
        <f>_xlfn.XLOOKUP(Jnl[[#This Row],[Acct]], dict[Key], dict[Name],,0)</f>
        <v>当期存货</v>
      </c>
      <c r="R599" t="str">
        <f>_xlfn.XLOOKUP(Jnl[[#This Row],[Vehicle]],config_vehicle[Id], config_vehicle[Name],,0)</f>
        <v>远家花园</v>
      </c>
      <c r="S599" t="str">
        <f>_xlfn.XLOOKUP(Jnl[[#This Row],[Division]],config_div[Id], config_div[Name],,0)</f>
        <v>网店</v>
      </c>
      <c r="T599" t="str">
        <f>IF(Jnl[[#This Row],[TrxDate]]&lt;=stmt_BS_date_end, "In", "Out")</f>
        <v>In</v>
      </c>
      <c r="U599" t="str">
        <f>IF(Jnl[[#This Row],[TrxDate]]&lt;debug_date_start, "prior", IF(Jnl[[#This Row],[TrxDate]]&gt;debug_date_end, "post", "curr"))</f>
        <v>prior</v>
      </c>
    </row>
    <row r="600" spans="1:21">
      <c r="A600" s="11" t="s">
        <v>768</v>
      </c>
      <c r="B600" s="7">
        <f>_xlfn.XLOOKUP(Jnl[[#This Row],[TrxId]], Trx[Id], Trx[Date],,0)</f>
        <v>46053</v>
      </c>
      <c r="C600" s="7" t="str">
        <f>_xlfn.XLOOKUP(Jnl[[#This Row],[TrxId]], Trx[Id], Trx[Division],,0)</f>
        <v>Online</v>
      </c>
      <c r="D600" s="7" t="str">
        <f>_xlfn.XLOOKUP(Jnl[[#This Row],[TrxId]], Trx[Id], Trx[Action],,0)</f>
        <v>采购</v>
      </c>
      <c r="E600" s="26" t="s">
        <v>80</v>
      </c>
      <c r="F600" s="11" t="s">
        <v>590</v>
      </c>
      <c r="G600" s="11" t="s">
        <v>391</v>
      </c>
      <c r="H600" s="72">
        <v>-4977.7</v>
      </c>
      <c r="I600" s="5" t="b">
        <f>AND(Jnl[[#This Row],[TrxId]]&lt;&gt;"",Jnl[[#This Row],[Acct]]&lt;&gt;"",Jnl[[#This Row],[Item]]&lt;&gt;"",ISNUMBER(Jnl[[#This Row],[Bal]]))</f>
        <v>1</v>
      </c>
      <c r="J600" s="10">
        <f>IF(Jnl[[#This Row],[BSLv0]]="A",1,-1)*Jnl[[#This Row],[Bal]]</f>
        <v>-4977.7</v>
      </c>
      <c r="K600" t="str">
        <f>_xlfn.XLOOKUP(Jnl[[#This Row],[Acct]], config_BS[Acct], config_BS[Lv0],,0)</f>
        <v>A</v>
      </c>
      <c r="L600" t="str">
        <f>_xlfn.XLOOKUP(Jnl[[#This Row],[Acct]], config_BS[Acct], config_BS[Lv1],,0)</f>
        <v>Assets</v>
      </c>
      <c r="M600" t="str">
        <f>_xlfn.XLOOKUP(Jnl[[#This Row],[Acct]], config_BS[Acct], config_BS[Lv2],,0)</f>
        <v>Cash alike</v>
      </c>
      <c r="N600" t="str">
        <f>_xlfn.XLOOKUP(Jnl[[#This Row],[TrxId]], Trx[Id], Trx[IncNode], ,0)</f>
        <v>Cost</v>
      </c>
      <c r="O600" t="str">
        <f>_xlfn.XLOOKUP(Jnl[[#This Row],[IncNode]], config_IS[Node], config_IS[Type],,0)</f>
        <v>Op</v>
      </c>
      <c r="P600" t="str">
        <f>_xlfn.XLOOKUP(Jnl[[#This Row],[BSLv2]], dict[Key], dict[Name],,0)</f>
        <v>0.现金及类似</v>
      </c>
      <c r="Q600" t="str">
        <f>_xlfn.XLOOKUP(Jnl[[#This Row],[Acct]], dict[Key], dict[Name],,0)</f>
        <v>银行</v>
      </c>
      <c r="R600" t="str">
        <f>_xlfn.XLOOKUP(Jnl[[#This Row],[Vehicle]],config_vehicle[Id], config_vehicle[Name],,0)</f>
        <v>远家花园</v>
      </c>
      <c r="S600" t="str">
        <f>_xlfn.XLOOKUP(Jnl[[#This Row],[Division]],config_div[Id], config_div[Name],,0)</f>
        <v>网店</v>
      </c>
      <c r="T600" t="str">
        <f>IF(Jnl[[#This Row],[TrxDate]]&lt;=stmt_BS_date_end, "In", "Out")</f>
        <v>In</v>
      </c>
      <c r="U600" t="str">
        <f>IF(Jnl[[#This Row],[TrxDate]]&lt;debug_date_start, "prior", IF(Jnl[[#This Row],[TrxDate]]&gt;debug_date_end, "post", "curr"))</f>
        <v>prior</v>
      </c>
    </row>
    <row r="601" spans="1:21">
      <c r="A601" s="11" t="s">
        <v>769</v>
      </c>
      <c r="B601" s="7">
        <f>_xlfn.XLOOKUP(Jnl[[#This Row],[TrxId]], Trx[Id], Trx[Date],,0)</f>
        <v>46053</v>
      </c>
      <c r="C601" s="7" t="str">
        <f>_xlfn.XLOOKUP(Jnl[[#This Row],[TrxId]], Trx[Id], Trx[Division],,0)</f>
        <v>Online</v>
      </c>
      <c r="D601" s="7" t="str">
        <f>_xlfn.XLOOKUP(Jnl[[#This Row],[TrxId]], Trx[Id], Trx[Action],,0)</f>
        <v>采购</v>
      </c>
      <c r="E601" s="26" t="s">
        <v>80</v>
      </c>
      <c r="F601" s="11" t="s">
        <v>598</v>
      </c>
      <c r="G601" s="11" t="s">
        <v>151</v>
      </c>
      <c r="H601" s="72">
        <v>19338</v>
      </c>
      <c r="I601" s="5" t="b">
        <f>AND(Jnl[[#This Row],[TrxId]]&lt;&gt;"",Jnl[[#This Row],[Acct]]&lt;&gt;"",Jnl[[#This Row],[Item]]&lt;&gt;"",ISNUMBER(Jnl[[#This Row],[Bal]]))</f>
        <v>1</v>
      </c>
      <c r="J601" s="10">
        <f>IF(Jnl[[#This Row],[BSLv0]]="A",1,-1)*Jnl[[#This Row],[Bal]]</f>
        <v>19338</v>
      </c>
      <c r="K601" t="str">
        <f>_xlfn.XLOOKUP(Jnl[[#This Row],[Acct]], config_BS[Acct], config_BS[Lv0],,0)</f>
        <v>A</v>
      </c>
      <c r="L601" t="str">
        <f>_xlfn.XLOOKUP(Jnl[[#This Row],[Acct]], config_BS[Acct], config_BS[Lv1],,0)</f>
        <v>Assets</v>
      </c>
      <c r="M601" t="str">
        <f>_xlfn.XLOOKUP(Jnl[[#This Row],[Acct]], config_BS[Acct], config_BS[Lv2],,0)</f>
        <v>Invtr</v>
      </c>
      <c r="N601" t="str">
        <f>_xlfn.XLOOKUP(Jnl[[#This Row],[TrxId]], Trx[Id], Trx[IncNode], ,0)</f>
        <v>Cost</v>
      </c>
      <c r="O601" t="str">
        <f>_xlfn.XLOOKUP(Jnl[[#This Row],[IncNode]], config_IS[Node], config_IS[Type],,0)</f>
        <v>Op</v>
      </c>
      <c r="P601" t="str">
        <f>_xlfn.XLOOKUP(Jnl[[#This Row],[BSLv2]], dict[Key], dict[Name],,0)</f>
        <v>3.库存占款</v>
      </c>
      <c r="Q601" t="str">
        <f>_xlfn.XLOOKUP(Jnl[[#This Row],[Acct]], dict[Key], dict[Name],,0)</f>
        <v>当期存货</v>
      </c>
      <c r="R601" t="str">
        <f>_xlfn.XLOOKUP(Jnl[[#This Row],[Vehicle]],config_vehicle[Id], config_vehicle[Name],,0)</f>
        <v>远家花园</v>
      </c>
      <c r="S601" t="str">
        <f>_xlfn.XLOOKUP(Jnl[[#This Row],[Division]],config_div[Id], config_div[Name],,0)</f>
        <v>网店</v>
      </c>
      <c r="T601" t="str">
        <f>IF(Jnl[[#This Row],[TrxDate]]&lt;=stmt_BS_date_end, "In", "Out")</f>
        <v>In</v>
      </c>
      <c r="U601" t="str">
        <f>IF(Jnl[[#This Row],[TrxDate]]&lt;debug_date_start, "prior", IF(Jnl[[#This Row],[TrxDate]]&gt;debug_date_end, "post", "curr"))</f>
        <v>prior</v>
      </c>
    </row>
    <row r="602" spans="1:21">
      <c r="A602" s="11" t="s">
        <v>769</v>
      </c>
      <c r="B602" s="7">
        <f>_xlfn.XLOOKUP(Jnl[[#This Row],[TrxId]], Trx[Id], Trx[Date],,0)</f>
        <v>46053</v>
      </c>
      <c r="C602" s="7" t="str">
        <f>_xlfn.XLOOKUP(Jnl[[#This Row],[TrxId]], Trx[Id], Trx[Division],,0)</f>
        <v>Online</v>
      </c>
      <c r="D602" s="7" t="str">
        <f>_xlfn.XLOOKUP(Jnl[[#This Row],[TrxId]], Trx[Id], Trx[Action],,0)</f>
        <v>采购</v>
      </c>
      <c r="E602" s="26" t="s">
        <v>80</v>
      </c>
      <c r="F602" s="11" t="s">
        <v>590</v>
      </c>
      <c r="G602" s="11" t="s">
        <v>391</v>
      </c>
      <c r="H602" s="72">
        <v>-19338</v>
      </c>
      <c r="I602" s="5" t="b">
        <f>AND(Jnl[[#This Row],[TrxId]]&lt;&gt;"",Jnl[[#This Row],[Acct]]&lt;&gt;"",Jnl[[#This Row],[Item]]&lt;&gt;"",ISNUMBER(Jnl[[#This Row],[Bal]]))</f>
        <v>1</v>
      </c>
      <c r="J602" s="10">
        <f>IF(Jnl[[#This Row],[BSLv0]]="A",1,-1)*Jnl[[#This Row],[Bal]]</f>
        <v>-19338</v>
      </c>
      <c r="K602" t="str">
        <f>_xlfn.XLOOKUP(Jnl[[#This Row],[Acct]], config_BS[Acct], config_BS[Lv0],,0)</f>
        <v>A</v>
      </c>
      <c r="L602" t="str">
        <f>_xlfn.XLOOKUP(Jnl[[#This Row],[Acct]], config_BS[Acct], config_BS[Lv1],,0)</f>
        <v>Assets</v>
      </c>
      <c r="M602" t="str">
        <f>_xlfn.XLOOKUP(Jnl[[#This Row],[Acct]], config_BS[Acct], config_BS[Lv2],,0)</f>
        <v>Cash alike</v>
      </c>
      <c r="N602" t="str">
        <f>_xlfn.XLOOKUP(Jnl[[#This Row],[TrxId]], Trx[Id], Trx[IncNode], ,0)</f>
        <v>Cost</v>
      </c>
      <c r="O602" t="str">
        <f>_xlfn.XLOOKUP(Jnl[[#This Row],[IncNode]], config_IS[Node], config_IS[Type],,0)</f>
        <v>Op</v>
      </c>
      <c r="P602" t="str">
        <f>_xlfn.XLOOKUP(Jnl[[#This Row],[BSLv2]], dict[Key], dict[Name],,0)</f>
        <v>0.现金及类似</v>
      </c>
      <c r="Q602" t="str">
        <f>_xlfn.XLOOKUP(Jnl[[#This Row],[Acct]], dict[Key], dict[Name],,0)</f>
        <v>银行</v>
      </c>
      <c r="R602" t="str">
        <f>_xlfn.XLOOKUP(Jnl[[#This Row],[Vehicle]],config_vehicle[Id], config_vehicle[Name],,0)</f>
        <v>远家花园</v>
      </c>
      <c r="S602" t="str">
        <f>_xlfn.XLOOKUP(Jnl[[#This Row],[Division]],config_div[Id], config_div[Name],,0)</f>
        <v>网店</v>
      </c>
      <c r="T602" t="str">
        <f>IF(Jnl[[#This Row],[TrxDate]]&lt;=stmt_BS_date_end, "In", "Out")</f>
        <v>In</v>
      </c>
      <c r="U602" t="str">
        <f>IF(Jnl[[#This Row],[TrxDate]]&lt;debug_date_start, "prior", IF(Jnl[[#This Row],[TrxDate]]&gt;debug_date_end, "post", "curr"))</f>
        <v>prior</v>
      </c>
    </row>
    <row r="603" spans="1:21">
      <c r="A603" s="11" t="s">
        <v>770</v>
      </c>
      <c r="B603" s="7">
        <f>_xlfn.XLOOKUP(Jnl[[#This Row],[TrxId]], Trx[Id], Trx[Date],,0)</f>
        <v>46053</v>
      </c>
      <c r="C603" s="7" t="str">
        <f>_xlfn.XLOOKUP(Jnl[[#This Row],[TrxId]], Trx[Id], Trx[Division],,0)</f>
        <v>Online</v>
      </c>
      <c r="D603" s="7" t="str">
        <f>_xlfn.XLOOKUP(Jnl[[#This Row],[TrxId]], Trx[Id], Trx[Action],,0)</f>
        <v>采购</v>
      </c>
      <c r="E603" s="26" t="s">
        <v>80</v>
      </c>
      <c r="F603" s="11" t="s">
        <v>598</v>
      </c>
      <c r="G603" s="11" t="s">
        <v>151</v>
      </c>
      <c r="H603" s="72">
        <f>-H604</f>
        <v>28184</v>
      </c>
      <c r="I603" s="5" t="b">
        <f>AND(Jnl[[#This Row],[TrxId]]&lt;&gt;"",Jnl[[#This Row],[Acct]]&lt;&gt;"",Jnl[[#This Row],[Item]]&lt;&gt;"",ISNUMBER(Jnl[[#This Row],[Bal]]))</f>
        <v>1</v>
      </c>
      <c r="J603" s="10">
        <f>IF(Jnl[[#This Row],[BSLv0]]="A",1,-1)*Jnl[[#This Row],[Bal]]</f>
        <v>28184</v>
      </c>
      <c r="K603" t="str">
        <f>_xlfn.XLOOKUP(Jnl[[#This Row],[Acct]], config_BS[Acct], config_BS[Lv0],,0)</f>
        <v>A</v>
      </c>
      <c r="L603" t="str">
        <f>_xlfn.XLOOKUP(Jnl[[#This Row],[Acct]], config_BS[Acct], config_BS[Lv1],,0)</f>
        <v>Assets</v>
      </c>
      <c r="M603" t="str">
        <f>_xlfn.XLOOKUP(Jnl[[#This Row],[Acct]], config_BS[Acct], config_BS[Lv2],,0)</f>
        <v>Invtr</v>
      </c>
      <c r="N603" t="str">
        <f>_xlfn.XLOOKUP(Jnl[[#This Row],[TrxId]], Trx[Id], Trx[IncNode], ,0)</f>
        <v>Cost</v>
      </c>
      <c r="O603" t="str">
        <f>_xlfn.XLOOKUP(Jnl[[#This Row],[IncNode]], config_IS[Node], config_IS[Type],,0)</f>
        <v>Op</v>
      </c>
      <c r="P603" t="str">
        <f>_xlfn.XLOOKUP(Jnl[[#This Row],[BSLv2]], dict[Key], dict[Name],,0)</f>
        <v>3.库存占款</v>
      </c>
      <c r="Q603" t="str">
        <f>_xlfn.XLOOKUP(Jnl[[#This Row],[Acct]], dict[Key], dict[Name],,0)</f>
        <v>当期存货</v>
      </c>
      <c r="R603" t="str">
        <f>_xlfn.XLOOKUP(Jnl[[#This Row],[Vehicle]],config_vehicle[Id], config_vehicle[Name],,0)</f>
        <v>远家花园</v>
      </c>
      <c r="S603" t="str">
        <f>_xlfn.XLOOKUP(Jnl[[#This Row],[Division]],config_div[Id], config_div[Name],,0)</f>
        <v>网店</v>
      </c>
      <c r="T603" t="str">
        <f>IF(Jnl[[#This Row],[TrxDate]]&lt;=stmt_BS_date_end, "In", "Out")</f>
        <v>In</v>
      </c>
      <c r="U603" t="str">
        <f>IF(Jnl[[#This Row],[TrxDate]]&lt;debug_date_start, "prior", IF(Jnl[[#This Row],[TrxDate]]&gt;debug_date_end, "post", "curr"))</f>
        <v>prior</v>
      </c>
    </row>
    <row r="604" spans="1:21">
      <c r="A604" s="11" t="s">
        <v>770</v>
      </c>
      <c r="B604" s="7">
        <f>_xlfn.XLOOKUP(Jnl[[#This Row],[TrxId]], Trx[Id], Trx[Date],,0)</f>
        <v>46053</v>
      </c>
      <c r="C604" s="7" t="str">
        <f>_xlfn.XLOOKUP(Jnl[[#This Row],[TrxId]], Trx[Id], Trx[Division],,0)</f>
        <v>Online</v>
      </c>
      <c r="D604" s="7" t="str">
        <f>_xlfn.XLOOKUP(Jnl[[#This Row],[TrxId]], Trx[Id], Trx[Action],,0)</f>
        <v>采购</v>
      </c>
      <c r="E604" s="26" t="s">
        <v>80</v>
      </c>
      <c r="F604" s="11" t="s">
        <v>590</v>
      </c>
      <c r="G604" s="11" t="s">
        <v>391</v>
      </c>
      <c r="H604" s="72">
        <v>-28184</v>
      </c>
      <c r="I604" s="5" t="b">
        <f>AND(Jnl[[#This Row],[TrxId]]&lt;&gt;"",Jnl[[#This Row],[Acct]]&lt;&gt;"",Jnl[[#This Row],[Item]]&lt;&gt;"",ISNUMBER(Jnl[[#This Row],[Bal]]))</f>
        <v>1</v>
      </c>
      <c r="J604" s="10">
        <f>IF(Jnl[[#This Row],[BSLv0]]="A",1,-1)*Jnl[[#This Row],[Bal]]</f>
        <v>-28184</v>
      </c>
      <c r="K604" t="str">
        <f>_xlfn.XLOOKUP(Jnl[[#This Row],[Acct]], config_BS[Acct], config_BS[Lv0],,0)</f>
        <v>A</v>
      </c>
      <c r="L604" t="str">
        <f>_xlfn.XLOOKUP(Jnl[[#This Row],[Acct]], config_BS[Acct], config_BS[Lv1],,0)</f>
        <v>Assets</v>
      </c>
      <c r="M604" t="str">
        <f>_xlfn.XLOOKUP(Jnl[[#This Row],[Acct]], config_BS[Acct], config_BS[Lv2],,0)</f>
        <v>Cash alike</v>
      </c>
      <c r="N604" t="str">
        <f>_xlfn.XLOOKUP(Jnl[[#This Row],[TrxId]], Trx[Id], Trx[IncNode], ,0)</f>
        <v>Cost</v>
      </c>
      <c r="O604" t="str">
        <f>_xlfn.XLOOKUP(Jnl[[#This Row],[IncNode]], config_IS[Node], config_IS[Type],,0)</f>
        <v>Op</v>
      </c>
      <c r="P604" t="str">
        <f>_xlfn.XLOOKUP(Jnl[[#This Row],[BSLv2]], dict[Key], dict[Name],,0)</f>
        <v>0.现金及类似</v>
      </c>
      <c r="Q604" t="str">
        <f>_xlfn.XLOOKUP(Jnl[[#This Row],[Acct]], dict[Key], dict[Name],,0)</f>
        <v>银行</v>
      </c>
      <c r="R604" t="str">
        <f>_xlfn.XLOOKUP(Jnl[[#This Row],[Vehicle]],config_vehicle[Id], config_vehicle[Name],,0)</f>
        <v>远家花园</v>
      </c>
      <c r="S604" t="str">
        <f>_xlfn.XLOOKUP(Jnl[[#This Row],[Division]],config_div[Id], config_div[Name],,0)</f>
        <v>网店</v>
      </c>
      <c r="T604" t="str">
        <f>IF(Jnl[[#This Row],[TrxDate]]&lt;=stmt_BS_date_end, "In", "Out")</f>
        <v>In</v>
      </c>
      <c r="U604" t="str">
        <f>IF(Jnl[[#This Row],[TrxDate]]&lt;debug_date_start, "prior", IF(Jnl[[#This Row],[TrxDate]]&gt;debug_date_end, "post", "curr"))</f>
        <v>prior</v>
      </c>
    </row>
    <row r="605" spans="1:21">
      <c r="A605" s="11" t="s">
        <v>771</v>
      </c>
      <c r="B605" s="7">
        <f>_xlfn.XLOOKUP(Jnl[[#This Row],[TrxId]], Trx[Id], Trx[Date],,0)</f>
        <v>46053</v>
      </c>
      <c r="C605" s="7" t="str">
        <f>_xlfn.XLOOKUP(Jnl[[#This Row],[TrxId]], Trx[Id], Trx[Division],,0)</f>
        <v>GM</v>
      </c>
      <c r="D605" s="7" t="str">
        <f>_xlfn.XLOOKUP(Jnl[[#This Row],[TrxId]], Trx[Id], Trx[Action],,0)</f>
        <v>公共设施</v>
      </c>
      <c r="E605" s="26" t="s">
        <v>80</v>
      </c>
      <c r="F605" s="11" t="s">
        <v>493</v>
      </c>
      <c r="G605" s="11" t="s">
        <v>141</v>
      </c>
      <c r="H605" s="72">
        <v>-2514.09</v>
      </c>
      <c r="I605" s="5" t="b">
        <f>AND(Jnl[[#This Row],[TrxId]]&lt;&gt;"",Jnl[[#This Row],[Acct]]&lt;&gt;"",Jnl[[#This Row],[Item]]&lt;&gt;"",ISNUMBER(Jnl[[#This Row],[Bal]]))</f>
        <v>1</v>
      </c>
      <c r="J605" s="10">
        <f>IF(Jnl[[#This Row],[BSLv0]]="A",1,-1)*Jnl[[#This Row],[Bal]]</f>
        <v>-2514.09</v>
      </c>
      <c r="K605" t="str">
        <f>_xlfn.XLOOKUP(Jnl[[#This Row],[Acct]], config_BS[Acct], config_BS[Lv0],,0)</f>
        <v>A</v>
      </c>
      <c r="L605" t="str">
        <f>_xlfn.XLOOKUP(Jnl[[#This Row],[Acct]], config_BS[Acct], config_BS[Lv1],,0)</f>
        <v>Assets</v>
      </c>
      <c r="M605" t="str">
        <f>_xlfn.XLOOKUP(Jnl[[#This Row],[Acct]], config_BS[Acct], config_BS[Lv2],,0)</f>
        <v>Prep-Sub</v>
      </c>
      <c r="N605" t="str">
        <f>_xlfn.XLOOKUP(Jnl[[#This Row],[TrxId]], Trx[Id], Trx[IncNode], ,0)</f>
        <v>Expense</v>
      </c>
      <c r="O605" t="str">
        <f>_xlfn.XLOOKUP(Jnl[[#This Row],[IncNode]], config_IS[Node], config_IS[Type],,0)</f>
        <v>Op</v>
      </c>
      <c r="P605" t="str">
        <f>_xlfn.XLOOKUP(Jnl[[#This Row],[BSLv2]], dict[Key], dict[Name],,0)</f>
        <v>2.预付-订阅</v>
      </c>
      <c r="Q605" t="str">
        <f>_xlfn.XLOOKUP(Jnl[[#This Row],[Acct]], dict[Key], dict[Name],,0)</f>
        <v>预付订单</v>
      </c>
      <c r="R605" t="str">
        <f>_xlfn.XLOOKUP(Jnl[[#This Row],[Vehicle]],config_vehicle[Id], config_vehicle[Name],,0)</f>
        <v>远家花园</v>
      </c>
      <c r="S605" t="str">
        <f>_xlfn.XLOOKUP(Jnl[[#This Row],[Division]],config_div[Id], config_div[Name],,0)</f>
        <v>综合管理</v>
      </c>
      <c r="T605" t="str">
        <f>IF(Jnl[[#This Row],[TrxDate]]&lt;=stmt_BS_date_end, "In", "Out")</f>
        <v>In</v>
      </c>
      <c r="U605" t="str">
        <f>IF(Jnl[[#This Row],[TrxDate]]&lt;debug_date_start, "prior", IF(Jnl[[#This Row],[TrxDate]]&gt;debug_date_end, "post", "curr"))</f>
        <v>prior</v>
      </c>
    </row>
    <row r="606" spans="1:21">
      <c r="A606" s="11" t="s">
        <v>772</v>
      </c>
      <c r="B606" s="7">
        <f>_xlfn.XLOOKUP(Jnl[[#This Row],[TrxId]], Trx[Id], Trx[Date],,0)</f>
        <v>46053</v>
      </c>
      <c r="C606" s="7" t="str">
        <f>_xlfn.XLOOKUP(Jnl[[#This Row],[TrxId]], Trx[Id], Trx[Division],,0)</f>
        <v>GM</v>
      </c>
      <c r="D606" s="7" t="str">
        <f>_xlfn.XLOOKUP(Jnl[[#This Row],[TrxId]], Trx[Id], Trx[Action],,0)</f>
        <v>福利</v>
      </c>
      <c r="E606" s="26" t="s">
        <v>80</v>
      </c>
      <c r="F606" s="11" t="s">
        <v>493</v>
      </c>
      <c r="G606" s="11" t="s">
        <v>141</v>
      </c>
      <c r="H606" s="72">
        <v>-2700</v>
      </c>
      <c r="I606" s="5" t="b">
        <f>AND(Jnl[[#This Row],[TrxId]]&lt;&gt;"",Jnl[[#This Row],[Acct]]&lt;&gt;"",Jnl[[#This Row],[Item]]&lt;&gt;"",ISNUMBER(Jnl[[#This Row],[Bal]]))</f>
        <v>1</v>
      </c>
      <c r="J606" s="10">
        <f>IF(Jnl[[#This Row],[BSLv0]]="A",1,-1)*Jnl[[#This Row],[Bal]]</f>
        <v>-2700</v>
      </c>
      <c r="K606" t="str">
        <f>_xlfn.XLOOKUP(Jnl[[#This Row],[Acct]], config_BS[Acct], config_BS[Lv0],,0)</f>
        <v>A</v>
      </c>
      <c r="L606" t="str">
        <f>_xlfn.XLOOKUP(Jnl[[#This Row],[Acct]], config_BS[Acct], config_BS[Lv1],,0)</f>
        <v>Assets</v>
      </c>
      <c r="M606" t="str">
        <f>_xlfn.XLOOKUP(Jnl[[#This Row],[Acct]], config_BS[Acct], config_BS[Lv2],,0)</f>
        <v>Prep-Sub</v>
      </c>
      <c r="N606" t="str">
        <f>_xlfn.XLOOKUP(Jnl[[#This Row],[TrxId]], Trx[Id], Trx[IncNode], ,0)</f>
        <v>Expense</v>
      </c>
      <c r="O606" t="str">
        <f>_xlfn.XLOOKUP(Jnl[[#This Row],[IncNode]], config_IS[Node], config_IS[Type],,0)</f>
        <v>Op</v>
      </c>
      <c r="P606" t="str">
        <f>_xlfn.XLOOKUP(Jnl[[#This Row],[BSLv2]], dict[Key], dict[Name],,0)</f>
        <v>2.预付-订阅</v>
      </c>
      <c r="Q606" t="str">
        <f>_xlfn.XLOOKUP(Jnl[[#This Row],[Acct]], dict[Key], dict[Name],,0)</f>
        <v>预付订单</v>
      </c>
      <c r="R606" t="str">
        <f>_xlfn.XLOOKUP(Jnl[[#This Row],[Vehicle]],config_vehicle[Id], config_vehicle[Name],,0)</f>
        <v>远家花园</v>
      </c>
      <c r="S606" t="str">
        <f>_xlfn.XLOOKUP(Jnl[[#This Row],[Division]],config_div[Id], config_div[Name],,0)</f>
        <v>综合管理</v>
      </c>
      <c r="T606" t="str">
        <f>IF(Jnl[[#This Row],[TrxDate]]&lt;=stmt_BS_date_end, "In", "Out")</f>
        <v>In</v>
      </c>
      <c r="U606" t="str">
        <f>IF(Jnl[[#This Row],[TrxDate]]&lt;debug_date_start, "prior", IF(Jnl[[#This Row],[TrxDate]]&gt;debug_date_end, "post", "curr"))</f>
        <v>prior</v>
      </c>
    </row>
    <row r="607" spans="1:21">
      <c r="A607" s="11" t="s">
        <v>773</v>
      </c>
      <c r="B607" s="7">
        <f>_xlfn.XLOOKUP(Jnl[[#This Row],[TrxId]], Trx[Id], Trx[Date],,0)</f>
        <v>46053</v>
      </c>
      <c r="C607" s="7" t="str">
        <f>_xlfn.XLOOKUP(Jnl[[#This Row],[TrxId]], Trx[Id], Trx[Division],,0)</f>
        <v>GM</v>
      </c>
      <c r="D607" s="7" t="str">
        <f>_xlfn.XLOOKUP(Jnl[[#This Row],[TrxId]], Trx[Id], Trx[Action],,0)</f>
        <v>办公</v>
      </c>
      <c r="E607" s="26" t="s">
        <v>80</v>
      </c>
      <c r="F607" s="11" t="s">
        <v>590</v>
      </c>
      <c r="G607" s="11" t="s">
        <v>391</v>
      </c>
      <c r="H607" s="72">
        <v>-1425.94</v>
      </c>
      <c r="I607" s="5" t="b">
        <f>AND(Jnl[[#This Row],[TrxId]]&lt;&gt;"",Jnl[[#This Row],[Acct]]&lt;&gt;"",Jnl[[#This Row],[Item]]&lt;&gt;"",ISNUMBER(Jnl[[#This Row],[Bal]]))</f>
        <v>1</v>
      </c>
      <c r="J607" s="10">
        <f>IF(Jnl[[#This Row],[BSLv0]]="A",1,-1)*Jnl[[#This Row],[Bal]]</f>
        <v>-1425.94</v>
      </c>
      <c r="K607" t="str">
        <f>_xlfn.XLOOKUP(Jnl[[#This Row],[Acct]], config_BS[Acct], config_BS[Lv0],,0)</f>
        <v>A</v>
      </c>
      <c r="L607" t="str">
        <f>_xlfn.XLOOKUP(Jnl[[#This Row],[Acct]], config_BS[Acct], config_BS[Lv1],,0)</f>
        <v>Assets</v>
      </c>
      <c r="M607" t="str">
        <f>_xlfn.XLOOKUP(Jnl[[#This Row],[Acct]], config_BS[Acct], config_BS[Lv2],,0)</f>
        <v>Cash alike</v>
      </c>
      <c r="N607" t="str">
        <f>_xlfn.XLOOKUP(Jnl[[#This Row],[TrxId]], Trx[Id], Trx[IncNode], ,0)</f>
        <v>Expense</v>
      </c>
      <c r="O607" t="str">
        <f>_xlfn.XLOOKUP(Jnl[[#This Row],[IncNode]], config_IS[Node], config_IS[Type],,0)</f>
        <v>Op</v>
      </c>
      <c r="P607" t="str">
        <f>_xlfn.XLOOKUP(Jnl[[#This Row],[BSLv2]], dict[Key], dict[Name],,0)</f>
        <v>0.现金及类似</v>
      </c>
      <c r="Q607" t="str">
        <f>_xlfn.XLOOKUP(Jnl[[#This Row],[Acct]], dict[Key], dict[Name],,0)</f>
        <v>银行</v>
      </c>
      <c r="R607" t="str">
        <f>_xlfn.XLOOKUP(Jnl[[#This Row],[Vehicle]],config_vehicle[Id], config_vehicle[Name],,0)</f>
        <v>远家花园</v>
      </c>
      <c r="S607" t="str">
        <f>_xlfn.XLOOKUP(Jnl[[#This Row],[Division]],config_div[Id], config_div[Name],,0)</f>
        <v>综合管理</v>
      </c>
      <c r="T607" t="str">
        <f>IF(Jnl[[#This Row],[TrxDate]]&lt;=stmt_BS_date_end, "In", "Out")</f>
        <v>In</v>
      </c>
      <c r="U607" t="str">
        <f>IF(Jnl[[#This Row],[TrxDate]]&lt;debug_date_start, "prior", IF(Jnl[[#This Row],[TrxDate]]&gt;debug_date_end, "post", "curr"))</f>
        <v>prior</v>
      </c>
    </row>
    <row r="608" spans="1:21">
      <c r="A608" s="11" t="s">
        <v>774</v>
      </c>
      <c r="B608" s="7">
        <f>_xlfn.XLOOKUP(Jnl[[#This Row],[TrxId]], Trx[Id], Trx[Date],,0)</f>
        <v>46053</v>
      </c>
      <c r="C608" s="7" t="str">
        <f>_xlfn.XLOOKUP(Jnl[[#This Row],[TrxId]], Trx[Id], Trx[Division],,0)</f>
        <v>GM</v>
      </c>
      <c r="D608" s="7" t="str">
        <f>_xlfn.XLOOKUP(Jnl[[#This Row],[TrxId]], Trx[Id], Trx[Action],,0)</f>
        <v>福利</v>
      </c>
      <c r="E608" s="26" t="s">
        <v>80</v>
      </c>
      <c r="F608" s="11" t="s">
        <v>590</v>
      </c>
      <c r="G608" s="11" t="s">
        <v>391</v>
      </c>
      <c r="H608" s="72">
        <v>-1432.66</v>
      </c>
      <c r="I608" s="5" t="b">
        <f>AND(Jnl[[#This Row],[TrxId]]&lt;&gt;"",Jnl[[#This Row],[Acct]]&lt;&gt;"",Jnl[[#This Row],[Item]]&lt;&gt;"",ISNUMBER(Jnl[[#This Row],[Bal]]))</f>
        <v>1</v>
      </c>
      <c r="J608" s="10">
        <f>IF(Jnl[[#This Row],[BSLv0]]="A",1,-1)*Jnl[[#This Row],[Bal]]</f>
        <v>-1432.66</v>
      </c>
      <c r="K608" t="str">
        <f>_xlfn.XLOOKUP(Jnl[[#This Row],[Acct]], config_BS[Acct], config_BS[Lv0],,0)</f>
        <v>A</v>
      </c>
      <c r="L608" t="str">
        <f>_xlfn.XLOOKUP(Jnl[[#This Row],[Acct]], config_BS[Acct], config_BS[Lv1],,0)</f>
        <v>Assets</v>
      </c>
      <c r="M608" t="str">
        <f>_xlfn.XLOOKUP(Jnl[[#This Row],[Acct]], config_BS[Acct], config_BS[Lv2],,0)</f>
        <v>Cash alike</v>
      </c>
      <c r="N608" t="str">
        <f>_xlfn.XLOOKUP(Jnl[[#This Row],[TrxId]], Trx[Id], Trx[IncNode], ,0)</f>
        <v>Expense</v>
      </c>
      <c r="O608" t="str">
        <f>_xlfn.XLOOKUP(Jnl[[#This Row],[IncNode]], config_IS[Node], config_IS[Type],,0)</f>
        <v>Op</v>
      </c>
      <c r="P608" t="str">
        <f>_xlfn.XLOOKUP(Jnl[[#This Row],[BSLv2]], dict[Key], dict[Name],,0)</f>
        <v>0.现金及类似</v>
      </c>
      <c r="Q608" t="str">
        <f>_xlfn.XLOOKUP(Jnl[[#This Row],[Acct]], dict[Key], dict[Name],,0)</f>
        <v>银行</v>
      </c>
      <c r="R608" t="str">
        <f>_xlfn.XLOOKUP(Jnl[[#This Row],[Vehicle]],config_vehicle[Id], config_vehicle[Name],,0)</f>
        <v>远家花园</v>
      </c>
      <c r="S608" t="str">
        <f>_xlfn.XLOOKUP(Jnl[[#This Row],[Division]],config_div[Id], config_div[Name],,0)</f>
        <v>综合管理</v>
      </c>
      <c r="T608" t="str">
        <f>IF(Jnl[[#This Row],[TrxDate]]&lt;=stmt_BS_date_end, "In", "Out")</f>
        <v>In</v>
      </c>
      <c r="U608" t="str">
        <f>IF(Jnl[[#This Row],[TrxDate]]&lt;debug_date_start, "prior", IF(Jnl[[#This Row],[TrxDate]]&gt;debug_date_end, "post", "curr"))</f>
        <v>prior</v>
      </c>
    </row>
    <row r="609" spans="1:21">
      <c r="A609" s="11" t="s">
        <v>775</v>
      </c>
      <c r="B609" s="7">
        <f>_xlfn.XLOOKUP(Jnl[[#This Row],[TrxId]], Trx[Id], Trx[Date],,0)</f>
        <v>46053</v>
      </c>
      <c r="C609" s="7" t="str">
        <f>_xlfn.XLOOKUP(Jnl[[#This Row],[TrxId]], Trx[Id], Trx[Division],,0)</f>
        <v>GM</v>
      </c>
      <c r="D609" s="7" t="str">
        <f>_xlfn.XLOOKUP(Jnl[[#This Row],[TrxId]], Trx[Id], Trx[Action],,0)</f>
        <v>办公</v>
      </c>
      <c r="E609" s="26" t="s">
        <v>80</v>
      </c>
      <c r="F609" s="11" t="s">
        <v>590</v>
      </c>
      <c r="G609" s="11" t="s">
        <v>391</v>
      </c>
      <c r="H609" s="72">
        <v>-666.24</v>
      </c>
      <c r="I609" s="5" t="b">
        <f>AND(Jnl[[#This Row],[TrxId]]&lt;&gt;"",Jnl[[#This Row],[Acct]]&lt;&gt;"",Jnl[[#This Row],[Item]]&lt;&gt;"",ISNUMBER(Jnl[[#This Row],[Bal]]))</f>
        <v>1</v>
      </c>
      <c r="J609" s="10">
        <f>IF(Jnl[[#This Row],[BSLv0]]="A",1,-1)*Jnl[[#This Row],[Bal]]</f>
        <v>-666.24</v>
      </c>
      <c r="K609" t="str">
        <f>_xlfn.XLOOKUP(Jnl[[#This Row],[Acct]], config_BS[Acct], config_BS[Lv0],,0)</f>
        <v>A</v>
      </c>
      <c r="L609" t="str">
        <f>_xlfn.XLOOKUP(Jnl[[#This Row],[Acct]], config_BS[Acct], config_BS[Lv1],,0)</f>
        <v>Assets</v>
      </c>
      <c r="M609" t="str">
        <f>_xlfn.XLOOKUP(Jnl[[#This Row],[Acct]], config_BS[Acct], config_BS[Lv2],,0)</f>
        <v>Cash alike</v>
      </c>
      <c r="N609" t="str">
        <f>_xlfn.XLOOKUP(Jnl[[#This Row],[TrxId]], Trx[Id], Trx[IncNode], ,0)</f>
        <v>Expense</v>
      </c>
      <c r="O609" t="str">
        <f>_xlfn.XLOOKUP(Jnl[[#This Row],[IncNode]], config_IS[Node], config_IS[Type],,0)</f>
        <v>Op</v>
      </c>
      <c r="P609" t="str">
        <f>_xlfn.XLOOKUP(Jnl[[#This Row],[BSLv2]], dict[Key], dict[Name],,0)</f>
        <v>0.现金及类似</v>
      </c>
      <c r="Q609" t="str">
        <f>_xlfn.XLOOKUP(Jnl[[#This Row],[Acct]], dict[Key], dict[Name],,0)</f>
        <v>银行</v>
      </c>
      <c r="R609" t="str">
        <f>_xlfn.XLOOKUP(Jnl[[#This Row],[Vehicle]],config_vehicle[Id], config_vehicle[Name],,0)</f>
        <v>远家花园</v>
      </c>
      <c r="S609" t="str">
        <f>_xlfn.XLOOKUP(Jnl[[#This Row],[Division]],config_div[Id], config_div[Name],,0)</f>
        <v>综合管理</v>
      </c>
      <c r="T609" t="str">
        <f>IF(Jnl[[#This Row],[TrxDate]]&lt;=stmt_BS_date_end, "In", "Out")</f>
        <v>In</v>
      </c>
      <c r="U609" t="str">
        <f>IF(Jnl[[#This Row],[TrxDate]]&lt;debug_date_start, "prior", IF(Jnl[[#This Row],[TrxDate]]&gt;debug_date_end, "post", "curr"))</f>
        <v>prior</v>
      </c>
    </row>
    <row r="610" spans="1:21">
      <c r="A610" s="11" t="s">
        <v>776</v>
      </c>
      <c r="B610" s="7">
        <f>_xlfn.XLOOKUP(Jnl[[#This Row],[TrxId]], Trx[Id], Trx[Date],,0)</f>
        <v>46053</v>
      </c>
      <c r="C610" s="7" t="str">
        <f>_xlfn.XLOOKUP(Jnl[[#This Row],[TrxId]], Trx[Id], Trx[Division],,0)</f>
        <v>GM</v>
      </c>
      <c r="D610" s="7" t="str">
        <f>_xlfn.XLOOKUP(Jnl[[#This Row],[TrxId]], Trx[Id], Trx[Action],,0)</f>
        <v>交通</v>
      </c>
      <c r="E610" s="26" t="s">
        <v>80</v>
      </c>
      <c r="F610" s="11" t="s">
        <v>590</v>
      </c>
      <c r="G610" s="11" t="s">
        <v>391</v>
      </c>
      <c r="H610" s="72">
        <v>-374.04</v>
      </c>
      <c r="I610" s="5" t="b">
        <f>AND(Jnl[[#This Row],[TrxId]]&lt;&gt;"",Jnl[[#This Row],[Acct]]&lt;&gt;"",Jnl[[#This Row],[Item]]&lt;&gt;"",ISNUMBER(Jnl[[#This Row],[Bal]]))</f>
        <v>1</v>
      </c>
      <c r="J610" s="10">
        <f>IF(Jnl[[#This Row],[BSLv0]]="A",1,-1)*Jnl[[#This Row],[Bal]]</f>
        <v>-374.04</v>
      </c>
      <c r="K610" t="str">
        <f>_xlfn.XLOOKUP(Jnl[[#This Row],[Acct]], config_BS[Acct], config_BS[Lv0],,0)</f>
        <v>A</v>
      </c>
      <c r="L610" t="str">
        <f>_xlfn.XLOOKUP(Jnl[[#This Row],[Acct]], config_BS[Acct], config_BS[Lv1],,0)</f>
        <v>Assets</v>
      </c>
      <c r="M610" t="str">
        <f>_xlfn.XLOOKUP(Jnl[[#This Row],[Acct]], config_BS[Acct], config_BS[Lv2],,0)</f>
        <v>Cash alike</v>
      </c>
      <c r="N610" t="str">
        <f>_xlfn.XLOOKUP(Jnl[[#This Row],[TrxId]], Trx[Id], Trx[IncNode], ,0)</f>
        <v>Expense</v>
      </c>
      <c r="O610" t="str">
        <f>_xlfn.XLOOKUP(Jnl[[#This Row],[IncNode]], config_IS[Node], config_IS[Type],,0)</f>
        <v>Op</v>
      </c>
      <c r="P610" t="str">
        <f>_xlfn.XLOOKUP(Jnl[[#This Row],[BSLv2]], dict[Key], dict[Name],,0)</f>
        <v>0.现金及类似</v>
      </c>
      <c r="Q610" t="str">
        <f>_xlfn.XLOOKUP(Jnl[[#This Row],[Acct]], dict[Key], dict[Name],,0)</f>
        <v>银行</v>
      </c>
      <c r="R610" t="str">
        <f>_xlfn.XLOOKUP(Jnl[[#This Row],[Vehicle]],config_vehicle[Id], config_vehicle[Name],,0)</f>
        <v>远家花园</v>
      </c>
      <c r="S610" t="str">
        <f>_xlfn.XLOOKUP(Jnl[[#This Row],[Division]],config_div[Id], config_div[Name],,0)</f>
        <v>综合管理</v>
      </c>
      <c r="T610" t="str">
        <f>IF(Jnl[[#This Row],[TrxDate]]&lt;=stmt_BS_date_end, "In", "Out")</f>
        <v>In</v>
      </c>
      <c r="U610" t="str">
        <f>IF(Jnl[[#This Row],[TrxDate]]&lt;debug_date_start, "prior", IF(Jnl[[#This Row],[TrxDate]]&gt;debug_date_end, "post", "curr"))</f>
        <v>prior</v>
      </c>
    </row>
    <row r="611" spans="1:21">
      <c r="A611" s="11" t="s">
        <v>778</v>
      </c>
      <c r="B611" s="7">
        <f>_xlfn.XLOOKUP(Jnl[[#This Row],[TrxId]], Trx[Id], Trx[Date],,0)</f>
        <v>46053</v>
      </c>
      <c r="C611" s="7" t="str">
        <f>_xlfn.XLOOKUP(Jnl[[#This Row],[TrxId]], Trx[Id], Trx[Division],,0)</f>
        <v>Brand</v>
      </c>
      <c r="D611" s="7" t="str">
        <f>_xlfn.XLOOKUP(Jnl[[#This Row],[TrxId]], Trx[Id], Trx[Action],,0)</f>
        <v>拍摄</v>
      </c>
      <c r="E611" s="26" t="s">
        <v>80</v>
      </c>
      <c r="F611" s="11" t="s">
        <v>590</v>
      </c>
      <c r="G611" s="11" t="s">
        <v>391</v>
      </c>
      <c r="H611" s="72">
        <v>-905</v>
      </c>
      <c r="I611" s="5" t="b">
        <f>AND(Jnl[[#This Row],[TrxId]]&lt;&gt;"",Jnl[[#This Row],[Acct]]&lt;&gt;"",Jnl[[#This Row],[Item]]&lt;&gt;"",ISNUMBER(Jnl[[#This Row],[Bal]]))</f>
        <v>1</v>
      </c>
      <c r="J611" s="10">
        <f>IF(Jnl[[#This Row],[BSLv0]]="A",1,-1)*Jnl[[#This Row],[Bal]]</f>
        <v>-905</v>
      </c>
      <c r="K611" t="str">
        <f>_xlfn.XLOOKUP(Jnl[[#This Row],[Acct]], config_BS[Acct], config_BS[Lv0],,0)</f>
        <v>A</v>
      </c>
      <c r="L611" t="str">
        <f>_xlfn.XLOOKUP(Jnl[[#This Row],[Acct]], config_BS[Acct], config_BS[Lv1],,0)</f>
        <v>Assets</v>
      </c>
      <c r="M611" t="str">
        <f>_xlfn.XLOOKUP(Jnl[[#This Row],[Acct]], config_BS[Acct], config_BS[Lv2],,0)</f>
        <v>Cash alike</v>
      </c>
      <c r="N611" t="str">
        <f>_xlfn.XLOOKUP(Jnl[[#This Row],[TrxId]], Trx[Id], Trx[IncNode], ,0)</f>
        <v>Expense</v>
      </c>
      <c r="O611" t="str">
        <f>_xlfn.XLOOKUP(Jnl[[#This Row],[IncNode]], config_IS[Node], config_IS[Type],,0)</f>
        <v>Op</v>
      </c>
      <c r="P611" t="str">
        <f>_xlfn.XLOOKUP(Jnl[[#This Row],[BSLv2]], dict[Key], dict[Name],,0)</f>
        <v>0.现金及类似</v>
      </c>
      <c r="Q611" t="str">
        <f>_xlfn.XLOOKUP(Jnl[[#This Row],[Acct]], dict[Key], dict[Name],,0)</f>
        <v>银行</v>
      </c>
      <c r="R611" t="str">
        <f>_xlfn.XLOOKUP(Jnl[[#This Row],[Vehicle]],config_vehicle[Id], config_vehicle[Name],,0)</f>
        <v>远家花园</v>
      </c>
      <c r="S611" t="str">
        <f>_xlfn.XLOOKUP(Jnl[[#This Row],[Division]],config_div[Id], config_div[Name],,0)</f>
        <v>品牌</v>
      </c>
      <c r="T611" t="str">
        <f>IF(Jnl[[#This Row],[TrxDate]]&lt;=stmt_BS_date_end, "In", "Out")</f>
        <v>In</v>
      </c>
      <c r="U611" t="str">
        <f>IF(Jnl[[#This Row],[TrxDate]]&lt;debug_date_start, "prior", IF(Jnl[[#This Row],[TrxDate]]&gt;debug_date_end, "post", "curr"))</f>
        <v>prior</v>
      </c>
    </row>
    <row r="612" spans="1:21">
      <c r="A612" s="11" t="s">
        <v>779</v>
      </c>
      <c r="B612" s="7">
        <f>_xlfn.XLOOKUP(Jnl[[#This Row],[TrxId]], Trx[Id], Trx[Date],,0)</f>
        <v>46053</v>
      </c>
      <c r="C612" s="7" t="str">
        <f>_xlfn.XLOOKUP(Jnl[[#This Row],[TrxId]], Trx[Id], Trx[Division],,0)</f>
        <v>Brand</v>
      </c>
      <c r="D612" s="7" t="str">
        <f>_xlfn.XLOOKUP(Jnl[[#This Row],[TrxId]], Trx[Id], Trx[Action],,0)</f>
        <v>商标</v>
      </c>
      <c r="E612" s="26" t="s">
        <v>80</v>
      </c>
      <c r="F612" s="11" t="s">
        <v>590</v>
      </c>
      <c r="G612" s="11" t="s">
        <v>391</v>
      </c>
      <c r="H612" s="72">
        <v>-7200</v>
      </c>
      <c r="I612" s="5" t="b">
        <f>AND(Jnl[[#This Row],[TrxId]]&lt;&gt;"",Jnl[[#This Row],[Acct]]&lt;&gt;"",Jnl[[#This Row],[Item]]&lt;&gt;"",ISNUMBER(Jnl[[#This Row],[Bal]]))</f>
        <v>1</v>
      </c>
      <c r="J612" s="10">
        <f>IF(Jnl[[#This Row],[BSLv0]]="A",1,-1)*Jnl[[#This Row],[Bal]]</f>
        <v>-7200</v>
      </c>
      <c r="K612" t="str">
        <f>_xlfn.XLOOKUP(Jnl[[#This Row],[Acct]], config_BS[Acct], config_BS[Lv0],,0)</f>
        <v>A</v>
      </c>
      <c r="L612" t="str">
        <f>_xlfn.XLOOKUP(Jnl[[#This Row],[Acct]], config_BS[Acct], config_BS[Lv1],,0)</f>
        <v>Assets</v>
      </c>
      <c r="M612" t="str">
        <f>_xlfn.XLOOKUP(Jnl[[#This Row],[Acct]], config_BS[Acct], config_BS[Lv2],,0)</f>
        <v>Cash alike</v>
      </c>
      <c r="N612" t="str">
        <f>_xlfn.XLOOKUP(Jnl[[#This Row],[TrxId]], Trx[Id], Trx[IncNode], ,0)</f>
        <v>Expense</v>
      </c>
      <c r="O612" t="str">
        <f>_xlfn.XLOOKUP(Jnl[[#This Row],[IncNode]], config_IS[Node], config_IS[Type],,0)</f>
        <v>Op</v>
      </c>
      <c r="P612" t="str">
        <f>_xlfn.XLOOKUP(Jnl[[#This Row],[BSLv2]], dict[Key], dict[Name],,0)</f>
        <v>0.现金及类似</v>
      </c>
      <c r="Q612" t="str">
        <f>_xlfn.XLOOKUP(Jnl[[#This Row],[Acct]], dict[Key], dict[Name],,0)</f>
        <v>银行</v>
      </c>
      <c r="R612" t="str">
        <f>_xlfn.XLOOKUP(Jnl[[#This Row],[Vehicle]],config_vehicle[Id], config_vehicle[Name],,0)</f>
        <v>远家花园</v>
      </c>
      <c r="S612" t="str">
        <f>_xlfn.XLOOKUP(Jnl[[#This Row],[Division]],config_div[Id], config_div[Name],,0)</f>
        <v>品牌</v>
      </c>
      <c r="T612" t="str">
        <f>IF(Jnl[[#This Row],[TrxDate]]&lt;=stmt_BS_date_end, "In", "Out")</f>
        <v>In</v>
      </c>
      <c r="U612" t="str">
        <f>IF(Jnl[[#This Row],[TrxDate]]&lt;debug_date_start, "prior", IF(Jnl[[#This Row],[TrxDate]]&gt;debug_date_end, "post", "curr"))</f>
        <v>prior</v>
      </c>
    </row>
    <row r="613" spans="1:21">
      <c r="A613" s="11" t="s">
        <v>781</v>
      </c>
      <c r="B613" s="7">
        <f>_xlfn.XLOOKUP(Jnl[[#This Row],[TrxId]], Trx[Id], Trx[Date],,0)</f>
        <v>46053</v>
      </c>
      <c r="C613" s="7" t="str">
        <f>_xlfn.XLOOKUP(Jnl[[#This Row],[TrxId]], Trx[Id], Trx[Division],,0)</f>
        <v>Online</v>
      </c>
      <c r="D613" s="7" t="str">
        <f>_xlfn.XLOOKUP(Jnl[[#This Row],[TrxId]], Trx[Id], Trx[Action],,0)</f>
        <v>采购</v>
      </c>
      <c r="E613" s="26" t="s">
        <v>80</v>
      </c>
      <c r="F613" s="11" t="s">
        <v>598</v>
      </c>
      <c r="G613" s="11" t="s">
        <v>151</v>
      </c>
      <c r="H613" s="72">
        <f>-H614</f>
        <v>8377.5</v>
      </c>
      <c r="I613" s="5" t="b">
        <f>AND(Jnl[[#This Row],[TrxId]]&lt;&gt;"",Jnl[[#This Row],[Acct]]&lt;&gt;"",Jnl[[#This Row],[Item]]&lt;&gt;"",ISNUMBER(Jnl[[#This Row],[Bal]]))</f>
        <v>1</v>
      </c>
      <c r="J613" s="10">
        <f>IF(Jnl[[#This Row],[BSLv0]]="A",1,-1)*Jnl[[#This Row],[Bal]]</f>
        <v>8377.5</v>
      </c>
      <c r="K613" t="str">
        <f>_xlfn.XLOOKUP(Jnl[[#This Row],[Acct]], config_BS[Acct], config_BS[Lv0],,0)</f>
        <v>A</v>
      </c>
      <c r="L613" t="str">
        <f>_xlfn.XLOOKUP(Jnl[[#This Row],[Acct]], config_BS[Acct], config_BS[Lv1],,0)</f>
        <v>Assets</v>
      </c>
      <c r="M613" t="str">
        <f>_xlfn.XLOOKUP(Jnl[[#This Row],[Acct]], config_BS[Acct], config_BS[Lv2],,0)</f>
        <v>Invtr</v>
      </c>
      <c r="N613" t="str">
        <f>_xlfn.XLOOKUP(Jnl[[#This Row],[TrxId]], Trx[Id], Trx[IncNode], ,0)</f>
        <v>Cost</v>
      </c>
      <c r="O613" t="str">
        <f>_xlfn.XLOOKUP(Jnl[[#This Row],[IncNode]], config_IS[Node], config_IS[Type],,0)</f>
        <v>Op</v>
      </c>
      <c r="P613" t="str">
        <f>_xlfn.XLOOKUP(Jnl[[#This Row],[BSLv2]], dict[Key], dict[Name],,0)</f>
        <v>3.库存占款</v>
      </c>
      <c r="Q613" t="str">
        <f>_xlfn.XLOOKUP(Jnl[[#This Row],[Acct]], dict[Key], dict[Name],,0)</f>
        <v>当期存货</v>
      </c>
      <c r="R613" t="str">
        <f>_xlfn.XLOOKUP(Jnl[[#This Row],[Vehicle]],config_vehicle[Id], config_vehicle[Name],,0)</f>
        <v>远家花园</v>
      </c>
      <c r="S613" t="str">
        <f>_xlfn.XLOOKUP(Jnl[[#This Row],[Division]],config_div[Id], config_div[Name],,0)</f>
        <v>网店</v>
      </c>
      <c r="T613" t="str">
        <f>IF(Jnl[[#This Row],[TrxDate]]&lt;=stmt_BS_date_end, "In", "Out")</f>
        <v>In</v>
      </c>
      <c r="U613" t="str">
        <f>IF(Jnl[[#This Row],[TrxDate]]&lt;debug_date_start, "prior", IF(Jnl[[#This Row],[TrxDate]]&gt;debug_date_end, "post", "curr"))</f>
        <v>prior</v>
      </c>
    </row>
    <row r="614" spans="1:21">
      <c r="A614" s="11" t="s">
        <v>781</v>
      </c>
      <c r="B614" s="7">
        <f>_xlfn.XLOOKUP(Jnl[[#This Row],[TrxId]], Trx[Id], Trx[Date],,0)</f>
        <v>46053</v>
      </c>
      <c r="C614" s="7" t="str">
        <f>_xlfn.XLOOKUP(Jnl[[#This Row],[TrxId]], Trx[Id], Trx[Division],,0)</f>
        <v>Online</v>
      </c>
      <c r="D614" s="7" t="str">
        <f>_xlfn.XLOOKUP(Jnl[[#This Row],[TrxId]], Trx[Id], Trx[Action],,0)</f>
        <v>采购</v>
      </c>
      <c r="E614" s="26" t="s">
        <v>80</v>
      </c>
      <c r="F614" s="11" t="s">
        <v>590</v>
      </c>
      <c r="G614" s="11" t="s">
        <v>391</v>
      </c>
      <c r="H614" s="72">
        <v>-8377.5</v>
      </c>
      <c r="I614" s="5" t="b">
        <f>AND(Jnl[[#This Row],[TrxId]]&lt;&gt;"",Jnl[[#This Row],[Acct]]&lt;&gt;"",Jnl[[#This Row],[Item]]&lt;&gt;"",ISNUMBER(Jnl[[#This Row],[Bal]]))</f>
        <v>1</v>
      </c>
      <c r="J614" s="10">
        <f>IF(Jnl[[#This Row],[BSLv0]]="A",1,-1)*Jnl[[#This Row],[Bal]]</f>
        <v>-8377.5</v>
      </c>
      <c r="K614" t="str">
        <f>_xlfn.XLOOKUP(Jnl[[#This Row],[Acct]], config_BS[Acct], config_BS[Lv0],,0)</f>
        <v>A</v>
      </c>
      <c r="L614" t="str">
        <f>_xlfn.XLOOKUP(Jnl[[#This Row],[Acct]], config_BS[Acct], config_BS[Lv1],,0)</f>
        <v>Assets</v>
      </c>
      <c r="M614" t="str">
        <f>_xlfn.XLOOKUP(Jnl[[#This Row],[Acct]], config_BS[Acct], config_BS[Lv2],,0)</f>
        <v>Cash alike</v>
      </c>
      <c r="N614" t="str">
        <f>_xlfn.XLOOKUP(Jnl[[#This Row],[TrxId]], Trx[Id], Trx[IncNode], ,0)</f>
        <v>Cost</v>
      </c>
      <c r="O614" t="str">
        <f>_xlfn.XLOOKUP(Jnl[[#This Row],[IncNode]], config_IS[Node], config_IS[Type],,0)</f>
        <v>Op</v>
      </c>
      <c r="P614" t="str">
        <f>_xlfn.XLOOKUP(Jnl[[#This Row],[BSLv2]], dict[Key], dict[Name],,0)</f>
        <v>0.现金及类似</v>
      </c>
      <c r="Q614" t="str">
        <f>_xlfn.XLOOKUP(Jnl[[#This Row],[Acct]], dict[Key], dict[Name],,0)</f>
        <v>银行</v>
      </c>
      <c r="R614" t="str">
        <f>_xlfn.XLOOKUP(Jnl[[#This Row],[Vehicle]],config_vehicle[Id], config_vehicle[Name],,0)</f>
        <v>远家花园</v>
      </c>
      <c r="S614" t="str">
        <f>_xlfn.XLOOKUP(Jnl[[#This Row],[Division]],config_div[Id], config_div[Name],,0)</f>
        <v>网店</v>
      </c>
      <c r="T614" t="str">
        <f>IF(Jnl[[#This Row],[TrxDate]]&lt;=stmt_BS_date_end, "In", "Out")</f>
        <v>In</v>
      </c>
      <c r="U614" t="str">
        <f>IF(Jnl[[#This Row],[TrxDate]]&lt;debug_date_start, "prior", IF(Jnl[[#This Row],[TrxDate]]&gt;debug_date_end, "post", "curr"))</f>
        <v>prior</v>
      </c>
    </row>
    <row r="615" spans="1:21">
      <c r="A615" s="11" t="s">
        <v>782</v>
      </c>
      <c r="B615" s="7">
        <f>_xlfn.XLOOKUP(Jnl[[#This Row],[TrxId]], Trx[Id], Trx[Date],,0)</f>
        <v>46053</v>
      </c>
      <c r="C615" s="7" t="str">
        <f>_xlfn.XLOOKUP(Jnl[[#This Row],[TrxId]], Trx[Id], Trx[Division],,0)</f>
        <v>GM</v>
      </c>
      <c r="D615" s="7" t="str">
        <f>_xlfn.XLOOKUP(Jnl[[#This Row],[TrxId]], Trx[Id], Trx[Action],,0)</f>
        <v>招待</v>
      </c>
      <c r="E615" s="26" t="s">
        <v>80</v>
      </c>
      <c r="F615" s="11" t="s">
        <v>590</v>
      </c>
      <c r="G615" s="11" t="s">
        <v>391</v>
      </c>
      <c r="H615" s="72">
        <v>-2900</v>
      </c>
      <c r="I615" s="5" t="b">
        <f>AND(Jnl[[#This Row],[TrxId]]&lt;&gt;"",Jnl[[#This Row],[Acct]]&lt;&gt;"",Jnl[[#This Row],[Item]]&lt;&gt;"",ISNUMBER(Jnl[[#This Row],[Bal]]))</f>
        <v>1</v>
      </c>
      <c r="J615" s="10">
        <f>IF(Jnl[[#This Row],[BSLv0]]="A",1,-1)*Jnl[[#This Row],[Bal]]</f>
        <v>-2900</v>
      </c>
      <c r="K615" t="str">
        <f>_xlfn.XLOOKUP(Jnl[[#This Row],[Acct]], config_BS[Acct], config_BS[Lv0],,0)</f>
        <v>A</v>
      </c>
      <c r="L615" t="str">
        <f>_xlfn.XLOOKUP(Jnl[[#This Row],[Acct]], config_BS[Acct], config_BS[Lv1],,0)</f>
        <v>Assets</v>
      </c>
      <c r="M615" t="str">
        <f>_xlfn.XLOOKUP(Jnl[[#This Row],[Acct]], config_BS[Acct], config_BS[Lv2],,0)</f>
        <v>Cash alike</v>
      </c>
      <c r="N615" t="str">
        <f>_xlfn.XLOOKUP(Jnl[[#This Row],[TrxId]], Trx[Id], Trx[IncNode], ,0)</f>
        <v>Expense</v>
      </c>
      <c r="O615" t="str">
        <f>_xlfn.XLOOKUP(Jnl[[#This Row],[IncNode]], config_IS[Node], config_IS[Type],,0)</f>
        <v>Op</v>
      </c>
      <c r="P615" t="str">
        <f>_xlfn.XLOOKUP(Jnl[[#This Row],[BSLv2]], dict[Key], dict[Name],,0)</f>
        <v>0.现金及类似</v>
      </c>
      <c r="Q615" t="str">
        <f>_xlfn.XLOOKUP(Jnl[[#This Row],[Acct]], dict[Key], dict[Name],,0)</f>
        <v>银行</v>
      </c>
      <c r="R615" t="str">
        <f>_xlfn.XLOOKUP(Jnl[[#This Row],[Vehicle]],config_vehicle[Id], config_vehicle[Name],,0)</f>
        <v>远家花园</v>
      </c>
      <c r="S615" t="str">
        <f>_xlfn.XLOOKUP(Jnl[[#This Row],[Division]],config_div[Id], config_div[Name],,0)</f>
        <v>综合管理</v>
      </c>
      <c r="T615" t="str">
        <f>IF(Jnl[[#This Row],[TrxDate]]&lt;=stmt_BS_date_end, "In", "Out")</f>
        <v>In</v>
      </c>
      <c r="U615" t="str">
        <f>IF(Jnl[[#This Row],[TrxDate]]&lt;debug_date_start, "prior", IF(Jnl[[#This Row],[TrxDate]]&gt;debug_date_end, "post", "curr"))</f>
        <v>prior</v>
      </c>
    </row>
    <row r="616" spans="1:21">
      <c r="A616" s="11" t="s">
        <v>783</v>
      </c>
      <c r="B616" s="7">
        <f>_xlfn.XLOOKUP(Jnl[[#This Row],[TrxId]], Trx[Id], Trx[Date],,0)</f>
        <v>46053</v>
      </c>
      <c r="C616" s="7" t="str">
        <f>_xlfn.XLOOKUP(Jnl[[#This Row],[TrxId]], Trx[Id], Trx[Division],,0)</f>
        <v>Online</v>
      </c>
      <c r="D616" s="7" t="str">
        <f>_xlfn.XLOOKUP(Jnl[[#This Row],[TrxId]], Trx[Id], Trx[Action],,0)</f>
        <v>采购</v>
      </c>
      <c r="E616" s="26" t="s">
        <v>80</v>
      </c>
      <c r="F616" s="11" t="s">
        <v>590</v>
      </c>
      <c r="G616" s="11" t="s">
        <v>391</v>
      </c>
      <c r="H616" s="72">
        <v>-4036.5</v>
      </c>
      <c r="I616" s="5" t="b">
        <f>AND(Jnl[[#This Row],[TrxId]]&lt;&gt;"",Jnl[[#This Row],[Acct]]&lt;&gt;"",Jnl[[#This Row],[Item]]&lt;&gt;"",ISNUMBER(Jnl[[#This Row],[Bal]]))</f>
        <v>1</v>
      </c>
      <c r="J616" s="10">
        <f>IF(Jnl[[#This Row],[BSLv0]]="A",1,-1)*Jnl[[#This Row],[Bal]]</f>
        <v>-4036.5</v>
      </c>
      <c r="K616" t="str">
        <f>_xlfn.XLOOKUP(Jnl[[#This Row],[Acct]], config_BS[Acct], config_BS[Lv0],,0)</f>
        <v>A</v>
      </c>
      <c r="L616" t="str">
        <f>_xlfn.XLOOKUP(Jnl[[#This Row],[Acct]], config_BS[Acct], config_BS[Lv1],,0)</f>
        <v>Assets</v>
      </c>
      <c r="M616" t="str">
        <f>_xlfn.XLOOKUP(Jnl[[#This Row],[Acct]], config_BS[Acct], config_BS[Lv2],,0)</f>
        <v>Cash alike</v>
      </c>
      <c r="N616" t="str">
        <f>_xlfn.XLOOKUP(Jnl[[#This Row],[TrxId]], Trx[Id], Trx[IncNode], ,0)</f>
        <v>Cost</v>
      </c>
      <c r="O616" t="str">
        <f>_xlfn.XLOOKUP(Jnl[[#This Row],[IncNode]], config_IS[Node], config_IS[Type],,0)</f>
        <v>Op</v>
      </c>
      <c r="P616" t="str">
        <f>_xlfn.XLOOKUP(Jnl[[#This Row],[BSLv2]], dict[Key], dict[Name],,0)</f>
        <v>0.现金及类似</v>
      </c>
      <c r="Q616" t="str">
        <f>_xlfn.XLOOKUP(Jnl[[#This Row],[Acct]], dict[Key], dict[Name],,0)</f>
        <v>银行</v>
      </c>
      <c r="R616" t="str">
        <f>_xlfn.XLOOKUP(Jnl[[#This Row],[Vehicle]],config_vehicle[Id], config_vehicle[Name],,0)</f>
        <v>远家花园</v>
      </c>
      <c r="S616" t="str">
        <f>_xlfn.XLOOKUP(Jnl[[#This Row],[Division]],config_div[Id], config_div[Name],,0)</f>
        <v>网店</v>
      </c>
      <c r="T616" t="str">
        <f>IF(Jnl[[#This Row],[TrxDate]]&lt;=stmt_BS_date_end, "In", "Out")</f>
        <v>In</v>
      </c>
      <c r="U616" t="str">
        <f>IF(Jnl[[#This Row],[TrxDate]]&lt;debug_date_start, "prior", IF(Jnl[[#This Row],[TrxDate]]&gt;debug_date_end, "post", "curr"))</f>
        <v>prior</v>
      </c>
    </row>
    <row r="617" spans="1:21">
      <c r="A617" s="11" t="s">
        <v>783</v>
      </c>
      <c r="B617" s="7">
        <f>_xlfn.XLOOKUP(Jnl[[#This Row],[TrxId]], Trx[Id], Trx[Date],,0)</f>
        <v>46053</v>
      </c>
      <c r="C617" s="7" t="str">
        <f>_xlfn.XLOOKUP(Jnl[[#This Row],[TrxId]], Trx[Id], Trx[Division],,0)</f>
        <v>Online</v>
      </c>
      <c r="D617" s="7" t="str">
        <f>_xlfn.XLOOKUP(Jnl[[#This Row],[TrxId]], Trx[Id], Trx[Action],,0)</f>
        <v>采购</v>
      </c>
      <c r="E617" s="26" t="s">
        <v>80</v>
      </c>
      <c r="F617" s="11" t="s">
        <v>598</v>
      </c>
      <c r="G617" s="11" t="s">
        <v>151</v>
      </c>
      <c r="H617" s="72">
        <v>4036.5</v>
      </c>
      <c r="I617" s="5" t="b">
        <f>AND(Jnl[[#This Row],[TrxId]]&lt;&gt;"",Jnl[[#This Row],[Acct]]&lt;&gt;"",Jnl[[#This Row],[Item]]&lt;&gt;"",ISNUMBER(Jnl[[#This Row],[Bal]]))</f>
        <v>1</v>
      </c>
      <c r="J617" s="10">
        <f>IF(Jnl[[#This Row],[BSLv0]]="A",1,-1)*Jnl[[#This Row],[Bal]]</f>
        <v>4036.5</v>
      </c>
      <c r="K617" t="str">
        <f>_xlfn.XLOOKUP(Jnl[[#This Row],[Acct]], config_BS[Acct], config_BS[Lv0],,0)</f>
        <v>A</v>
      </c>
      <c r="L617" t="str">
        <f>_xlfn.XLOOKUP(Jnl[[#This Row],[Acct]], config_BS[Acct], config_BS[Lv1],,0)</f>
        <v>Assets</v>
      </c>
      <c r="M617" t="str">
        <f>_xlfn.XLOOKUP(Jnl[[#This Row],[Acct]], config_BS[Acct], config_BS[Lv2],,0)</f>
        <v>Invtr</v>
      </c>
      <c r="N617" t="str">
        <f>_xlfn.XLOOKUP(Jnl[[#This Row],[TrxId]], Trx[Id], Trx[IncNode], ,0)</f>
        <v>Cost</v>
      </c>
      <c r="O617" t="str">
        <f>_xlfn.XLOOKUP(Jnl[[#This Row],[IncNode]], config_IS[Node], config_IS[Type],,0)</f>
        <v>Op</v>
      </c>
      <c r="P617" t="str">
        <f>_xlfn.XLOOKUP(Jnl[[#This Row],[BSLv2]], dict[Key], dict[Name],,0)</f>
        <v>3.库存占款</v>
      </c>
      <c r="Q617" t="str">
        <f>_xlfn.XLOOKUP(Jnl[[#This Row],[Acct]], dict[Key], dict[Name],,0)</f>
        <v>当期存货</v>
      </c>
      <c r="R617" t="str">
        <f>_xlfn.XLOOKUP(Jnl[[#This Row],[Vehicle]],config_vehicle[Id], config_vehicle[Name],,0)</f>
        <v>远家花园</v>
      </c>
      <c r="S617" t="str">
        <f>_xlfn.XLOOKUP(Jnl[[#This Row],[Division]],config_div[Id], config_div[Name],,0)</f>
        <v>网店</v>
      </c>
      <c r="T617" t="str">
        <f>IF(Jnl[[#This Row],[TrxDate]]&lt;=stmt_BS_date_end, "In", "Out")</f>
        <v>In</v>
      </c>
      <c r="U617" t="str">
        <f>IF(Jnl[[#This Row],[TrxDate]]&lt;debug_date_start, "prior", IF(Jnl[[#This Row],[TrxDate]]&gt;debug_date_end, "post", "curr"))</f>
        <v>prior</v>
      </c>
    </row>
    <row r="618" spans="1:21">
      <c r="A618" s="11" t="s">
        <v>784</v>
      </c>
      <c r="B618" s="7">
        <f>_xlfn.XLOOKUP(Jnl[[#This Row],[TrxId]], Trx[Id], Trx[Date],,0)</f>
        <v>46053</v>
      </c>
      <c r="C618" s="7" t="str">
        <f>_xlfn.XLOOKUP(Jnl[[#This Row],[TrxId]], Trx[Id], Trx[Division],,0)</f>
        <v>Online</v>
      </c>
      <c r="D618" s="7" t="str">
        <f>_xlfn.XLOOKUP(Jnl[[#This Row],[TrxId]], Trx[Id], Trx[Action],,0)</f>
        <v>收款</v>
      </c>
      <c r="E618" s="26" t="s">
        <v>80</v>
      </c>
      <c r="F618" s="11" t="s">
        <v>590</v>
      </c>
      <c r="G618" s="11" t="s">
        <v>391</v>
      </c>
      <c r="H618" s="72">
        <v>874802.28</v>
      </c>
      <c r="I618" s="5" t="b">
        <f>AND(Jnl[[#This Row],[TrxId]]&lt;&gt;"",Jnl[[#This Row],[Acct]]&lt;&gt;"",Jnl[[#This Row],[Item]]&lt;&gt;"",ISNUMBER(Jnl[[#This Row],[Bal]]))</f>
        <v>1</v>
      </c>
      <c r="J618" s="10">
        <f>IF(Jnl[[#This Row],[BSLv0]]="A",1,-1)*Jnl[[#This Row],[Bal]]</f>
        <v>874802.28</v>
      </c>
      <c r="K618" t="str">
        <f>_xlfn.XLOOKUP(Jnl[[#This Row],[Acct]], config_BS[Acct], config_BS[Lv0],,0)</f>
        <v>A</v>
      </c>
      <c r="L618" t="str">
        <f>_xlfn.XLOOKUP(Jnl[[#This Row],[Acct]], config_BS[Acct], config_BS[Lv1],,0)</f>
        <v>Assets</v>
      </c>
      <c r="M618" t="str">
        <f>_xlfn.XLOOKUP(Jnl[[#This Row],[Acct]], config_BS[Acct], config_BS[Lv2],,0)</f>
        <v>Cash alike</v>
      </c>
      <c r="N618" t="str">
        <f>_xlfn.XLOOKUP(Jnl[[#This Row],[TrxId]], Trx[Id], Trx[IncNode], ,0)</f>
        <v>Revenue</v>
      </c>
      <c r="O618" t="str">
        <f>_xlfn.XLOOKUP(Jnl[[#This Row],[IncNode]], config_IS[Node], config_IS[Type],,0)</f>
        <v>Op</v>
      </c>
      <c r="P618" t="str">
        <f>_xlfn.XLOOKUP(Jnl[[#This Row],[BSLv2]], dict[Key], dict[Name],,0)</f>
        <v>0.现金及类似</v>
      </c>
      <c r="Q618" t="str">
        <f>_xlfn.XLOOKUP(Jnl[[#This Row],[Acct]], dict[Key], dict[Name],,0)</f>
        <v>银行</v>
      </c>
      <c r="R618" t="str">
        <f>_xlfn.XLOOKUP(Jnl[[#This Row],[Vehicle]],config_vehicle[Id], config_vehicle[Name],,0)</f>
        <v>远家花园</v>
      </c>
      <c r="S618" t="str">
        <f>_xlfn.XLOOKUP(Jnl[[#This Row],[Division]],config_div[Id], config_div[Name],,0)</f>
        <v>网店</v>
      </c>
      <c r="T618" t="str">
        <f>IF(Jnl[[#This Row],[TrxDate]]&lt;=stmt_BS_date_end, "In", "Out")</f>
        <v>In</v>
      </c>
      <c r="U618" t="str">
        <f>IF(Jnl[[#This Row],[TrxDate]]&lt;debug_date_start, "prior", IF(Jnl[[#This Row],[TrxDate]]&gt;debug_date_end, "post", "curr"))</f>
        <v>prior</v>
      </c>
    </row>
    <row r="619" spans="1:21">
      <c r="A619" s="11" t="s">
        <v>784</v>
      </c>
      <c r="B619" s="7">
        <f>_xlfn.XLOOKUP(Jnl[[#This Row],[TrxId]], Trx[Id], Trx[Date],,0)</f>
        <v>46053</v>
      </c>
      <c r="C619" s="7" t="str">
        <f>_xlfn.XLOOKUP(Jnl[[#This Row],[TrxId]], Trx[Id], Trx[Division],,0)</f>
        <v>Online</v>
      </c>
      <c r="D619" s="7" t="str">
        <f>_xlfn.XLOOKUP(Jnl[[#This Row],[TrxId]], Trx[Id], Trx[Action],,0)</f>
        <v>收款</v>
      </c>
      <c r="E619" s="26" t="s">
        <v>80</v>
      </c>
      <c r="F619" s="11" t="s">
        <v>593</v>
      </c>
      <c r="G619" s="11" t="s">
        <v>594</v>
      </c>
      <c r="H619" s="72">
        <f>-H618</f>
        <v>-874802.28</v>
      </c>
      <c r="I619" s="5" t="b">
        <f>AND(Jnl[[#This Row],[TrxId]]&lt;&gt;"",Jnl[[#This Row],[Acct]]&lt;&gt;"",Jnl[[#This Row],[Item]]&lt;&gt;"",ISNUMBER(Jnl[[#This Row],[Bal]]))</f>
        <v>1</v>
      </c>
      <c r="J619" s="10">
        <f>IF(Jnl[[#This Row],[BSLv0]]="A",1,-1)*Jnl[[#This Row],[Bal]]</f>
        <v>-874802.28</v>
      </c>
      <c r="K619" t="str">
        <f>_xlfn.XLOOKUP(Jnl[[#This Row],[Acct]], config_BS[Acct], config_BS[Lv0],,0)</f>
        <v>A</v>
      </c>
      <c r="L619" t="str">
        <f>_xlfn.XLOOKUP(Jnl[[#This Row],[Acct]], config_BS[Acct], config_BS[Lv1],,0)</f>
        <v>Assets</v>
      </c>
      <c r="M619" t="str">
        <f>_xlfn.XLOOKUP(Jnl[[#This Row],[Acct]], config_BS[Acct], config_BS[Lv2],,0)</f>
        <v>Rec-Pay</v>
      </c>
      <c r="N619" t="str">
        <f>_xlfn.XLOOKUP(Jnl[[#This Row],[TrxId]], Trx[Id], Trx[IncNode], ,0)</f>
        <v>Revenue</v>
      </c>
      <c r="O619" t="str">
        <f>_xlfn.XLOOKUP(Jnl[[#This Row],[IncNode]], config_IS[Node], config_IS[Type],,0)</f>
        <v>Op</v>
      </c>
      <c r="P619" t="str">
        <f>_xlfn.XLOOKUP(Jnl[[#This Row],[BSLv2]], dict[Key], dict[Name],,0)</f>
        <v>1.应收-应付</v>
      </c>
      <c r="Q619" t="str">
        <f>_xlfn.XLOOKUP(Jnl[[#This Row],[Acct]], dict[Key], dict[Name],,0)</f>
        <v>应收-一般</v>
      </c>
      <c r="R619" t="str">
        <f>_xlfn.XLOOKUP(Jnl[[#This Row],[Vehicle]],config_vehicle[Id], config_vehicle[Name],,0)</f>
        <v>远家花园</v>
      </c>
      <c r="S619" t="str">
        <f>_xlfn.XLOOKUP(Jnl[[#This Row],[Division]],config_div[Id], config_div[Name],,0)</f>
        <v>网店</v>
      </c>
      <c r="T619" t="str">
        <f>IF(Jnl[[#This Row],[TrxDate]]&lt;=stmt_BS_date_end, "In", "Out")</f>
        <v>In</v>
      </c>
      <c r="U619" t="str">
        <f>IF(Jnl[[#This Row],[TrxDate]]&lt;debug_date_start, "prior", IF(Jnl[[#This Row],[TrxDate]]&gt;debug_date_end, "post", "curr"))</f>
        <v>prior</v>
      </c>
    </row>
    <row r="620" spans="1:21">
      <c r="A620" s="11" t="s">
        <v>785</v>
      </c>
      <c r="B620" s="7">
        <f>_xlfn.XLOOKUP(Jnl[[#This Row],[TrxId]], Trx[Id], Trx[Date],,0)</f>
        <v>46053</v>
      </c>
      <c r="C620" s="7" t="str">
        <f>_xlfn.XLOOKUP(Jnl[[#This Row],[TrxId]], Trx[Id], Trx[Division],,0)</f>
        <v>Online</v>
      </c>
      <c r="D620" s="7" t="str">
        <f>_xlfn.XLOOKUP(Jnl[[#This Row],[TrxId]], Trx[Id], Trx[Action],,0)</f>
        <v>采购</v>
      </c>
      <c r="E620" s="26" t="s">
        <v>80</v>
      </c>
      <c r="F620" s="11" t="s">
        <v>590</v>
      </c>
      <c r="G620" s="11" t="s">
        <v>391</v>
      </c>
      <c r="H620" s="72">
        <v>-2154</v>
      </c>
      <c r="I620" s="5" t="b">
        <f>AND(Jnl[[#This Row],[TrxId]]&lt;&gt;"",Jnl[[#This Row],[Acct]]&lt;&gt;"",Jnl[[#This Row],[Item]]&lt;&gt;"",ISNUMBER(Jnl[[#This Row],[Bal]]))</f>
        <v>1</v>
      </c>
      <c r="J620" s="10">
        <f>IF(Jnl[[#This Row],[BSLv0]]="A",1,-1)*Jnl[[#This Row],[Bal]]</f>
        <v>-2154</v>
      </c>
      <c r="K620" t="str">
        <f>_xlfn.XLOOKUP(Jnl[[#This Row],[Acct]], config_BS[Acct], config_BS[Lv0],,0)</f>
        <v>A</v>
      </c>
      <c r="L620" t="str">
        <f>_xlfn.XLOOKUP(Jnl[[#This Row],[Acct]], config_BS[Acct], config_BS[Lv1],,0)</f>
        <v>Assets</v>
      </c>
      <c r="M620" t="str">
        <f>_xlfn.XLOOKUP(Jnl[[#This Row],[Acct]], config_BS[Acct], config_BS[Lv2],,0)</f>
        <v>Cash alike</v>
      </c>
      <c r="N620" t="str">
        <f>_xlfn.XLOOKUP(Jnl[[#This Row],[TrxId]], Trx[Id], Trx[IncNode], ,0)</f>
        <v>Cost</v>
      </c>
      <c r="O620" t="str">
        <f>_xlfn.XLOOKUP(Jnl[[#This Row],[IncNode]], config_IS[Node], config_IS[Type],,0)</f>
        <v>Op</v>
      </c>
      <c r="P620" t="str">
        <f>_xlfn.XLOOKUP(Jnl[[#This Row],[BSLv2]], dict[Key], dict[Name],,0)</f>
        <v>0.现金及类似</v>
      </c>
      <c r="Q620" t="str">
        <f>_xlfn.XLOOKUP(Jnl[[#This Row],[Acct]], dict[Key], dict[Name],,0)</f>
        <v>银行</v>
      </c>
      <c r="R620" t="str">
        <f>_xlfn.XLOOKUP(Jnl[[#This Row],[Vehicle]],config_vehicle[Id], config_vehicle[Name],,0)</f>
        <v>远家花园</v>
      </c>
      <c r="S620" t="str">
        <f>_xlfn.XLOOKUP(Jnl[[#This Row],[Division]],config_div[Id], config_div[Name],,0)</f>
        <v>网店</v>
      </c>
      <c r="T620" t="str">
        <f>IF(Jnl[[#This Row],[TrxDate]]&lt;=stmt_BS_date_end, "In", "Out")</f>
        <v>In</v>
      </c>
      <c r="U620" t="str">
        <f>IF(Jnl[[#This Row],[TrxDate]]&lt;debug_date_start, "prior", IF(Jnl[[#This Row],[TrxDate]]&gt;debug_date_end, "post", "curr"))</f>
        <v>prior</v>
      </c>
    </row>
    <row r="621" spans="1:21">
      <c r="A621" s="11" t="s">
        <v>785</v>
      </c>
      <c r="B621" s="7">
        <f>_xlfn.XLOOKUP(Jnl[[#This Row],[TrxId]], Trx[Id], Trx[Date],,0)</f>
        <v>46053</v>
      </c>
      <c r="C621" s="7" t="str">
        <f>_xlfn.XLOOKUP(Jnl[[#This Row],[TrxId]], Trx[Id], Trx[Division],,0)</f>
        <v>Online</v>
      </c>
      <c r="D621" s="7" t="str">
        <f>_xlfn.XLOOKUP(Jnl[[#This Row],[TrxId]], Trx[Id], Trx[Action],,0)</f>
        <v>采购</v>
      </c>
      <c r="E621" s="26" t="s">
        <v>80</v>
      </c>
      <c r="F621" s="11" t="s">
        <v>598</v>
      </c>
      <c r="G621" s="11" t="s">
        <v>151</v>
      </c>
      <c r="H621" s="72">
        <v>2154</v>
      </c>
      <c r="I621" s="5" t="b">
        <f>AND(Jnl[[#This Row],[TrxId]]&lt;&gt;"",Jnl[[#This Row],[Acct]]&lt;&gt;"",Jnl[[#This Row],[Item]]&lt;&gt;"",ISNUMBER(Jnl[[#This Row],[Bal]]))</f>
        <v>1</v>
      </c>
      <c r="J621" s="10">
        <f>IF(Jnl[[#This Row],[BSLv0]]="A",1,-1)*Jnl[[#This Row],[Bal]]</f>
        <v>2154</v>
      </c>
      <c r="K621" t="str">
        <f>_xlfn.XLOOKUP(Jnl[[#This Row],[Acct]], config_BS[Acct], config_BS[Lv0],,0)</f>
        <v>A</v>
      </c>
      <c r="L621" t="str">
        <f>_xlfn.XLOOKUP(Jnl[[#This Row],[Acct]], config_BS[Acct], config_BS[Lv1],,0)</f>
        <v>Assets</v>
      </c>
      <c r="M621" t="str">
        <f>_xlfn.XLOOKUP(Jnl[[#This Row],[Acct]], config_BS[Acct], config_BS[Lv2],,0)</f>
        <v>Invtr</v>
      </c>
      <c r="N621" t="str">
        <f>_xlfn.XLOOKUP(Jnl[[#This Row],[TrxId]], Trx[Id], Trx[IncNode], ,0)</f>
        <v>Cost</v>
      </c>
      <c r="O621" t="str">
        <f>_xlfn.XLOOKUP(Jnl[[#This Row],[IncNode]], config_IS[Node], config_IS[Type],,0)</f>
        <v>Op</v>
      </c>
      <c r="P621" t="str">
        <f>_xlfn.XLOOKUP(Jnl[[#This Row],[BSLv2]], dict[Key], dict[Name],,0)</f>
        <v>3.库存占款</v>
      </c>
      <c r="Q621" t="str">
        <f>_xlfn.XLOOKUP(Jnl[[#This Row],[Acct]], dict[Key], dict[Name],,0)</f>
        <v>当期存货</v>
      </c>
      <c r="R621" t="str">
        <f>_xlfn.XLOOKUP(Jnl[[#This Row],[Vehicle]],config_vehicle[Id], config_vehicle[Name],,0)</f>
        <v>远家花园</v>
      </c>
      <c r="S621" t="str">
        <f>_xlfn.XLOOKUP(Jnl[[#This Row],[Division]],config_div[Id], config_div[Name],,0)</f>
        <v>网店</v>
      </c>
      <c r="T621" t="str">
        <f>IF(Jnl[[#This Row],[TrxDate]]&lt;=stmt_BS_date_end, "In", "Out")</f>
        <v>In</v>
      </c>
      <c r="U621" t="str">
        <f>IF(Jnl[[#This Row],[TrxDate]]&lt;debug_date_start, "prior", IF(Jnl[[#This Row],[TrxDate]]&gt;debug_date_end, "post", "curr"))</f>
        <v>prior</v>
      </c>
    </row>
    <row r="622" spans="1:21">
      <c r="A622" s="11" t="s">
        <v>786</v>
      </c>
      <c r="B622" s="7">
        <f>_xlfn.XLOOKUP(Jnl[[#This Row],[TrxId]], Trx[Id], Trx[Date],,0)</f>
        <v>46053</v>
      </c>
      <c r="C622" s="7" t="str">
        <f>_xlfn.XLOOKUP(Jnl[[#This Row],[TrxId]], Trx[Id], Trx[Division],,0)</f>
        <v>Online</v>
      </c>
      <c r="D622" s="7" t="str">
        <f>_xlfn.XLOOKUP(Jnl[[#This Row],[TrxId]], Trx[Id], Trx[Action],,0)</f>
        <v>其他材料</v>
      </c>
      <c r="E622" s="26" t="s">
        <v>80</v>
      </c>
      <c r="F622" s="11" t="s">
        <v>590</v>
      </c>
      <c r="G622" s="11" t="s">
        <v>391</v>
      </c>
      <c r="H622" s="72">
        <v>-662</v>
      </c>
      <c r="I622" s="5" t="b">
        <f>AND(Jnl[[#This Row],[TrxId]]&lt;&gt;"",Jnl[[#This Row],[Acct]]&lt;&gt;"",Jnl[[#This Row],[Item]]&lt;&gt;"",ISNUMBER(Jnl[[#This Row],[Bal]]))</f>
        <v>1</v>
      </c>
      <c r="J622" s="10">
        <f>IF(Jnl[[#This Row],[BSLv0]]="A",1,-1)*Jnl[[#This Row],[Bal]]</f>
        <v>-662</v>
      </c>
      <c r="K622" t="str">
        <f>_xlfn.XLOOKUP(Jnl[[#This Row],[Acct]], config_BS[Acct], config_BS[Lv0],,0)</f>
        <v>A</v>
      </c>
      <c r="L622" t="str">
        <f>_xlfn.XLOOKUP(Jnl[[#This Row],[Acct]], config_BS[Acct], config_BS[Lv1],,0)</f>
        <v>Assets</v>
      </c>
      <c r="M622" t="str">
        <f>_xlfn.XLOOKUP(Jnl[[#This Row],[Acct]], config_BS[Acct], config_BS[Lv2],,0)</f>
        <v>Cash alike</v>
      </c>
      <c r="N622" t="str">
        <f>_xlfn.XLOOKUP(Jnl[[#This Row],[TrxId]], Trx[Id], Trx[IncNode], ,0)</f>
        <v>Cost</v>
      </c>
      <c r="O622" t="str">
        <f>_xlfn.XLOOKUP(Jnl[[#This Row],[IncNode]], config_IS[Node], config_IS[Type],,0)</f>
        <v>Op</v>
      </c>
      <c r="P622" t="str">
        <f>_xlfn.XLOOKUP(Jnl[[#This Row],[BSLv2]], dict[Key], dict[Name],,0)</f>
        <v>0.现金及类似</v>
      </c>
      <c r="Q622" t="str">
        <f>_xlfn.XLOOKUP(Jnl[[#This Row],[Acct]], dict[Key], dict[Name],,0)</f>
        <v>银行</v>
      </c>
      <c r="R622" t="str">
        <f>_xlfn.XLOOKUP(Jnl[[#This Row],[Vehicle]],config_vehicle[Id], config_vehicle[Name],,0)</f>
        <v>远家花园</v>
      </c>
      <c r="S622" t="str">
        <f>_xlfn.XLOOKUP(Jnl[[#This Row],[Division]],config_div[Id], config_div[Name],,0)</f>
        <v>网店</v>
      </c>
      <c r="T622" t="str">
        <f>IF(Jnl[[#This Row],[TrxDate]]&lt;=stmt_BS_date_end, "In", "Out")</f>
        <v>In</v>
      </c>
      <c r="U622" t="str">
        <f>IF(Jnl[[#This Row],[TrxDate]]&lt;debug_date_start, "prior", IF(Jnl[[#This Row],[TrxDate]]&gt;debug_date_end, "post", "curr"))</f>
        <v>prior</v>
      </c>
    </row>
    <row r="623" spans="1:21">
      <c r="A623" s="11" t="s">
        <v>788</v>
      </c>
      <c r="B623" s="7">
        <f>_xlfn.XLOOKUP(Jnl[[#This Row],[TrxId]], Trx[Id], Trx[Date],,0)</f>
        <v>46053</v>
      </c>
      <c r="C623" s="7" t="str">
        <f>_xlfn.XLOOKUP(Jnl[[#This Row],[TrxId]], Trx[Id], Trx[Division],,0)</f>
        <v>Online</v>
      </c>
      <c r="D623" s="7" t="str">
        <f>_xlfn.XLOOKUP(Jnl[[#This Row],[TrxId]], Trx[Id], Trx[Action],,0)</f>
        <v>采购</v>
      </c>
      <c r="E623" s="26" t="s">
        <v>80</v>
      </c>
      <c r="F623" s="11" t="s">
        <v>590</v>
      </c>
      <c r="G623" s="11" t="s">
        <v>391</v>
      </c>
      <c r="H623" s="72">
        <v>-8700</v>
      </c>
      <c r="I623" s="5" t="b">
        <f>AND(Jnl[[#This Row],[TrxId]]&lt;&gt;"",Jnl[[#This Row],[Acct]]&lt;&gt;"",Jnl[[#This Row],[Item]]&lt;&gt;"",ISNUMBER(Jnl[[#This Row],[Bal]]))</f>
        <v>1</v>
      </c>
      <c r="J623" s="10">
        <f>IF(Jnl[[#This Row],[BSLv0]]="A",1,-1)*Jnl[[#This Row],[Bal]]</f>
        <v>-8700</v>
      </c>
      <c r="K623" t="str">
        <f>_xlfn.XLOOKUP(Jnl[[#This Row],[Acct]], config_BS[Acct], config_BS[Lv0],,0)</f>
        <v>A</v>
      </c>
      <c r="L623" t="str">
        <f>_xlfn.XLOOKUP(Jnl[[#This Row],[Acct]], config_BS[Acct], config_BS[Lv1],,0)</f>
        <v>Assets</v>
      </c>
      <c r="M623" t="str">
        <f>_xlfn.XLOOKUP(Jnl[[#This Row],[Acct]], config_BS[Acct], config_BS[Lv2],,0)</f>
        <v>Cash alike</v>
      </c>
      <c r="N623" t="str">
        <f>_xlfn.XLOOKUP(Jnl[[#This Row],[TrxId]], Trx[Id], Trx[IncNode], ,0)</f>
        <v>Cost</v>
      </c>
      <c r="O623" t="str">
        <f>_xlfn.XLOOKUP(Jnl[[#This Row],[IncNode]], config_IS[Node], config_IS[Type],,0)</f>
        <v>Op</v>
      </c>
      <c r="P623" t="str">
        <f>_xlfn.XLOOKUP(Jnl[[#This Row],[BSLv2]], dict[Key], dict[Name],,0)</f>
        <v>0.现金及类似</v>
      </c>
      <c r="Q623" t="str">
        <f>_xlfn.XLOOKUP(Jnl[[#This Row],[Acct]], dict[Key], dict[Name],,0)</f>
        <v>银行</v>
      </c>
      <c r="R623" t="str">
        <f>_xlfn.XLOOKUP(Jnl[[#This Row],[Vehicle]],config_vehicle[Id], config_vehicle[Name],,0)</f>
        <v>远家花园</v>
      </c>
      <c r="S623" t="str">
        <f>_xlfn.XLOOKUP(Jnl[[#This Row],[Division]],config_div[Id], config_div[Name],,0)</f>
        <v>网店</v>
      </c>
      <c r="T623" t="str">
        <f>IF(Jnl[[#This Row],[TrxDate]]&lt;=stmt_BS_date_end, "In", "Out")</f>
        <v>In</v>
      </c>
      <c r="U623" t="str">
        <f>IF(Jnl[[#This Row],[TrxDate]]&lt;debug_date_start, "prior", IF(Jnl[[#This Row],[TrxDate]]&gt;debug_date_end, "post", "curr"))</f>
        <v>prior</v>
      </c>
    </row>
    <row r="624" spans="1:21">
      <c r="A624" s="11" t="s">
        <v>788</v>
      </c>
      <c r="B624" s="7">
        <f>_xlfn.XLOOKUP(Jnl[[#This Row],[TrxId]], Trx[Id], Trx[Date],,0)</f>
        <v>46053</v>
      </c>
      <c r="C624" s="7" t="str">
        <f>_xlfn.XLOOKUP(Jnl[[#This Row],[TrxId]], Trx[Id], Trx[Division],,0)</f>
        <v>Online</v>
      </c>
      <c r="D624" s="7" t="str">
        <f>_xlfn.XLOOKUP(Jnl[[#This Row],[TrxId]], Trx[Id], Trx[Action],,0)</f>
        <v>采购</v>
      </c>
      <c r="E624" s="26" t="s">
        <v>80</v>
      </c>
      <c r="F624" s="11" t="s">
        <v>598</v>
      </c>
      <c r="G624" s="11" t="s">
        <v>151</v>
      </c>
      <c r="H624" s="72">
        <v>8700</v>
      </c>
      <c r="I624" s="5" t="b">
        <f>AND(Jnl[[#This Row],[TrxId]]&lt;&gt;"",Jnl[[#This Row],[Acct]]&lt;&gt;"",Jnl[[#This Row],[Item]]&lt;&gt;"",ISNUMBER(Jnl[[#This Row],[Bal]]))</f>
        <v>1</v>
      </c>
      <c r="J624" s="10">
        <f>IF(Jnl[[#This Row],[BSLv0]]="A",1,-1)*Jnl[[#This Row],[Bal]]</f>
        <v>8700</v>
      </c>
      <c r="K624" t="str">
        <f>_xlfn.XLOOKUP(Jnl[[#This Row],[Acct]], config_BS[Acct], config_BS[Lv0],,0)</f>
        <v>A</v>
      </c>
      <c r="L624" t="str">
        <f>_xlfn.XLOOKUP(Jnl[[#This Row],[Acct]], config_BS[Acct], config_BS[Lv1],,0)</f>
        <v>Assets</v>
      </c>
      <c r="M624" t="str">
        <f>_xlfn.XLOOKUP(Jnl[[#This Row],[Acct]], config_BS[Acct], config_BS[Lv2],,0)</f>
        <v>Invtr</v>
      </c>
      <c r="N624" t="str">
        <f>_xlfn.XLOOKUP(Jnl[[#This Row],[TrxId]], Trx[Id], Trx[IncNode], ,0)</f>
        <v>Cost</v>
      </c>
      <c r="O624" t="str">
        <f>_xlfn.XLOOKUP(Jnl[[#This Row],[IncNode]], config_IS[Node], config_IS[Type],,0)</f>
        <v>Op</v>
      </c>
      <c r="P624" t="str">
        <f>_xlfn.XLOOKUP(Jnl[[#This Row],[BSLv2]], dict[Key], dict[Name],,0)</f>
        <v>3.库存占款</v>
      </c>
      <c r="Q624" t="str">
        <f>_xlfn.XLOOKUP(Jnl[[#This Row],[Acct]], dict[Key], dict[Name],,0)</f>
        <v>当期存货</v>
      </c>
      <c r="R624" t="str">
        <f>_xlfn.XLOOKUP(Jnl[[#This Row],[Vehicle]],config_vehicle[Id], config_vehicle[Name],,0)</f>
        <v>远家花园</v>
      </c>
      <c r="S624" t="str">
        <f>_xlfn.XLOOKUP(Jnl[[#This Row],[Division]],config_div[Id], config_div[Name],,0)</f>
        <v>网店</v>
      </c>
      <c r="T624" t="str">
        <f>IF(Jnl[[#This Row],[TrxDate]]&lt;=stmt_BS_date_end, "In", "Out")</f>
        <v>In</v>
      </c>
      <c r="U624" t="str">
        <f>IF(Jnl[[#This Row],[TrxDate]]&lt;debug_date_start, "prior", IF(Jnl[[#This Row],[TrxDate]]&gt;debug_date_end, "post", "curr"))</f>
        <v>prior</v>
      </c>
    </row>
    <row r="625" spans="1:21">
      <c r="A625" s="11" t="s">
        <v>789</v>
      </c>
      <c r="B625" s="7">
        <f>_xlfn.XLOOKUP(Jnl[[#This Row],[TrxId]], Trx[Id], Trx[Date],,0)</f>
        <v>46053</v>
      </c>
      <c r="C625" s="7" t="str">
        <f>_xlfn.XLOOKUP(Jnl[[#This Row],[TrxId]], Trx[Id], Trx[Division],,0)</f>
        <v>GM</v>
      </c>
      <c r="D625" s="7" t="str">
        <f>_xlfn.XLOOKUP(Jnl[[#This Row],[TrxId]], Trx[Id], Trx[Action],,0)</f>
        <v>招待</v>
      </c>
      <c r="E625" s="26" t="s">
        <v>80</v>
      </c>
      <c r="F625" s="11" t="s">
        <v>590</v>
      </c>
      <c r="G625" s="11" t="s">
        <v>391</v>
      </c>
      <c r="H625" s="72">
        <v>-400</v>
      </c>
      <c r="I625" s="5" t="b">
        <f>AND(Jnl[[#This Row],[TrxId]]&lt;&gt;"",Jnl[[#This Row],[Acct]]&lt;&gt;"",Jnl[[#This Row],[Item]]&lt;&gt;"",ISNUMBER(Jnl[[#This Row],[Bal]]))</f>
        <v>1</v>
      </c>
      <c r="J625" s="10">
        <f>IF(Jnl[[#This Row],[BSLv0]]="A",1,-1)*Jnl[[#This Row],[Bal]]</f>
        <v>-400</v>
      </c>
      <c r="K625" t="str">
        <f>_xlfn.XLOOKUP(Jnl[[#This Row],[Acct]], config_BS[Acct], config_BS[Lv0],,0)</f>
        <v>A</v>
      </c>
      <c r="L625" t="str">
        <f>_xlfn.XLOOKUP(Jnl[[#This Row],[Acct]], config_BS[Acct], config_BS[Lv1],,0)</f>
        <v>Assets</v>
      </c>
      <c r="M625" t="str">
        <f>_xlfn.XLOOKUP(Jnl[[#This Row],[Acct]], config_BS[Acct], config_BS[Lv2],,0)</f>
        <v>Cash alike</v>
      </c>
      <c r="N625" t="str">
        <f>_xlfn.XLOOKUP(Jnl[[#This Row],[TrxId]], Trx[Id], Trx[IncNode], ,0)</f>
        <v>Expense</v>
      </c>
      <c r="O625" t="str">
        <f>_xlfn.XLOOKUP(Jnl[[#This Row],[IncNode]], config_IS[Node], config_IS[Type],,0)</f>
        <v>Op</v>
      </c>
      <c r="P625" t="str">
        <f>_xlfn.XLOOKUP(Jnl[[#This Row],[BSLv2]], dict[Key], dict[Name],,0)</f>
        <v>0.现金及类似</v>
      </c>
      <c r="Q625" t="str">
        <f>_xlfn.XLOOKUP(Jnl[[#This Row],[Acct]], dict[Key], dict[Name],,0)</f>
        <v>银行</v>
      </c>
      <c r="R625" t="str">
        <f>_xlfn.XLOOKUP(Jnl[[#This Row],[Vehicle]],config_vehicle[Id], config_vehicle[Name],,0)</f>
        <v>远家花园</v>
      </c>
      <c r="S625" t="str">
        <f>_xlfn.XLOOKUP(Jnl[[#This Row],[Division]],config_div[Id], config_div[Name],,0)</f>
        <v>综合管理</v>
      </c>
      <c r="T625" t="str">
        <f>IF(Jnl[[#This Row],[TrxDate]]&lt;=stmt_BS_date_end, "In", "Out")</f>
        <v>In</v>
      </c>
      <c r="U625" t="str">
        <f>IF(Jnl[[#This Row],[TrxDate]]&lt;debug_date_start, "prior", IF(Jnl[[#This Row],[TrxDate]]&gt;debug_date_end, "post", "curr"))</f>
        <v>prior</v>
      </c>
    </row>
    <row r="626" spans="1:21">
      <c r="A626" s="11" t="s">
        <v>791</v>
      </c>
      <c r="B626" s="7">
        <f>_xlfn.XLOOKUP(Jnl[[#This Row],[TrxId]], Trx[Id], Trx[Date],,0)</f>
        <v>46053</v>
      </c>
      <c r="C626" s="7" t="str">
        <f>_xlfn.XLOOKUP(Jnl[[#This Row],[TrxId]], Trx[Id], Trx[Division],,0)</f>
        <v>Online</v>
      </c>
      <c r="D626" s="7" t="str">
        <f>_xlfn.XLOOKUP(Jnl[[#This Row],[TrxId]], Trx[Id], Trx[Action],,0)</f>
        <v>采购</v>
      </c>
      <c r="E626" s="26" t="s">
        <v>80</v>
      </c>
      <c r="F626" s="11" t="s">
        <v>598</v>
      </c>
      <c r="G626" s="11" t="s">
        <v>151</v>
      </c>
      <c r="H626" s="72">
        <v>25800</v>
      </c>
      <c r="I626" s="5" t="b">
        <f>AND(Jnl[[#This Row],[TrxId]]&lt;&gt;"",Jnl[[#This Row],[Acct]]&lt;&gt;"",Jnl[[#This Row],[Item]]&lt;&gt;"",ISNUMBER(Jnl[[#This Row],[Bal]]))</f>
        <v>1</v>
      </c>
      <c r="J626" s="10">
        <f>IF(Jnl[[#This Row],[BSLv0]]="A",1,-1)*Jnl[[#This Row],[Bal]]</f>
        <v>25800</v>
      </c>
      <c r="K626" t="str">
        <f>_xlfn.XLOOKUP(Jnl[[#This Row],[Acct]], config_BS[Acct], config_BS[Lv0],,0)</f>
        <v>A</v>
      </c>
      <c r="L626" t="str">
        <f>_xlfn.XLOOKUP(Jnl[[#This Row],[Acct]], config_BS[Acct], config_BS[Lv1],,0)</f>
        <v>Assets</v>
      </c>
      <c r="M626" t="str">
        <f>_xlfn.XLOOKUP(Jnl[[#This Row],[Acct]], config_BS[Acct], config_BS[Lv2],,0)</f>
        <v>Invtr</v>
      </c>
      <c r="N626" t="str">
        <f>_xlfn.XLOOKUP(Jnl[[#This Row],[TrxId]], Trx[Id], Trx[IncNode], ,0)</f>
        <v>Cost</v>
      </c>
      <c r="O626" t="str">
        <f>_xlfn.XLOOKUP(Jnl[[#This Row],[IncNode]], config_IS[Node], config_IS[Type],,0)</f>
        <v>Op</v>
      </c>
      <c r="P626" t="str">
        <f>_xlfn.XLOOKUP(Jnl[[#This Row],[BSLv2]], dict[Key], dict[Name],,0)</f>
        <v>3.库存占款</v>
      </c>
      <c r="Q626" t="str">
        <f>_xlfn.XLOOKUP(Jnl[[#This Row],[Acct]], dict[Key], dict[Name],,0)</f>
        <v>当期存货</v>
      </c>
      <c r="R626" t="str">
        <f>_xlfn.XLOOKUP(Jnl[[#This Row],[Vehicle]],config_vehicle[Id], config_vehicle[Name],,0)</f>
        <v>远家花园</v>
      </c>
      <c r="S626" t="str">
        <f>_xlfn.XLOOKUP(Jnl[[#This Row],[Division]],config_div[Id], config_div[Name],,0)</f>
        <v>网店</v>
      </c>
      <c r="T626" t="str">
        <f>IF(Jnl[[#This Row],[TrxDate]]&lt;=stmt_BS_date_end, "In", "Out")</f>
        <v>In</v>
      </c>
      <c r="U626" t="str">
        <f>IF(Jnl[[#This Row],[TrxDate]]&lt;debug_date_start, "prior", IF(Jnl[[#This Row],[TrxDate]]&gt;debug_date_end, "post", "curr"))</f>
        <v>prior</v>
      </c>
    </row>
    <row r="627" spans="1:21">
      <c r="A627" s="11" t="s">
        <v>791</v>
      </c>
      <c r="B627" s="7">
        <f>_xlfn.XLOOKUP(Jnl[[#This Row],[TrxId]], Trx[Id], Trx[Date],,0)</f>
        <v>46053</v>
      </c>
      <c r="C627" s="7" t="str">
        <f>_xlfn.XLOOKUP(Jnl[[#This Row],[TrxId]], Trx[Id], Trx[Division],,0)</f>
        <v>Online</v>
      </c>
      <c r="D627" s="7" t="str">
        <f>_xlfn.XLOOKUP(Jnl[[#This Row],[TrxId]], Trx[Id], Trx[Action],,0)</f>
        <v>采购</v>
      </c>
      <c r="E627" s="26" t="s">
        <v>80</v>
      </c>
      <c r="F627" s="11" t="s">
        <v>590</v>
      </c>
      <c r="G627" s="11" t="s">
        <v>391</v>
      </c>
      <c r="H627" s="72">
        <v>-25800</v>
      </c>
      <c r="I627" s="5" t="b">
        <f>AND(Jnl[[#This Row],[TrxId]]&lt;&gt;"",Jnl[[#This Row],[Acct]]&lt;&gt;"",Jnl[[#This Row],[Item]]&lt;&gt;"",ISNUMBER(Jnl[[#This Row],[Bal]]))</f>
        <v>1</v>
      </c>
      <c r="J627" s="10">
        <f>IF(Jnl[[#This Row],[BSLv0]]="A",1,-1)*Jnl[[#This Row],[Bal]]</f>
        <v>-25800</v>
      </c>
      <c r="K627" t="str">
        <f>_xlfn.XLOOKUP(Jnl[[#This Row],[Acct]], config_BS[Acct], config_BS[Lv0],,0)</f>
        <v>A</v>
      </c>
      <c r="L627" t="str">
        <f>_xlfn.XLOOKUP(Jnl[[#This Row],[Acct]], config_BS[Acct], config_BS[Lv1],,0)</f>
        <v>Assets</v>
      </c>
      <c r="M627" t="str">
        <f>_xlfn.XLOOKUP(Jnl[[#This Row],[Acct]], config_BS[Acct], config_BS[Lv2],,0)</f>
        <v>Cash alike</v>
      </c>
      <c r="N627" t="str">
        <f>_xlfn.XLOOKUP(Jnl[[#This Row],[TrxId]], Trx[Id], Trx[IncNode], ,0)</f>
        <v>Cost</v>
      </c>
      <c r="O627" t="str">
        <f>_xlfn.XLOOKUP(Jnl[[#This Row],[IncNode]], config_IS[Node], config_IS[Type],,0)</f>
        <v>Op</v>
      </c>
      <c r="P627" t="str">
        <f>_xlfn.XLOOKUP(Jnl[[#This Row],[BSLv2]], dict[Key], dict[Name],,0)</f>
        <v>0.现金及类似</v>
      </c>
      <c r="Q627" t="str">
        <f>_xlfn.XLOOKUP(Jnl[[#This Row],[Acct]], dict[Key], dict[Name],,0)</f>
        <v>银行</v>
      </c>
      <c r="R627" t="str">
        <f>_xlfn.XLOOKUP(Jnl[[#This Row],[Vehicle]],config_vehicle[Id], config_vehicle[Name],,0)</f>
        <v>远家花园</v>
      </c>
      <c r="S627" t="str">
        <f>_xlfn.XLOOKUP(Jnl[[#This Row],[Division]],config_div[Id], config_div[Name],,0)</f>
        <v>网店</v>
      </c>
      <c r="T627" t="str">
        <f>IF(Jnl[[#This Row],[TrxDate]]&lt;=stmt_BS_date_end, "In", "Out")</f>
        <v>In</v>
      </c>
      <c r="U627" t="str">
        <f>IF(Jnl[[#This Row],[TrxDate]]&lt;debug_date_start, "prior", IF(Jnl[[#This Row],[TrxDate]]&gt;debug_date_end, "post", "curr"))</f>
        <v>prior</v>
      </c>
    </row>
    <row r="628" spans="1:21">
      <c r="A628" s="11" t="s">
        <v>792</v>
      </c>
      <c r="B628" s="7">
        <f>_xlfn.XLOOKUP(Jnl[[#This Row],[TrxId]], Trx[Id], Trx[Date],,0)</f>
        <v>46053</v>
      </c>
      <c r="C628" s="7" t="str">
        <f>_xlfn.XLOOKUP(Jnl[[#This Row],[TrxId]], Trx[Id], Trx[Division],,0)</f>
        <v>GM</v>
      </c>
      <c r="D628" s="7" t="str">
        <f>_xlfn.XLOOKUP(Jnl[[#This Row],[TrxId]], Trx[Id], Trx[Action],,0)</f>
        <v>团建</v>
      </c>
      <c r="E628" s="26" t="s">
        <v>80</v>
      </c>
      <c r="F628" s="11" t="s">
        <v>590</v>
      </c>
      <c r="G628" s="11" t="s">
        <v>391</v>
      </c>
      <c r="H628" s="72">
        <v>-2182.6999999999998</v>
      </c>
      <c r="I628" s="5" t="b">
        <f>AND(Jnl[[#This Row],[TrxId]]&lt;&gt;"",Jnl[[#This Row],[Acct]]&lt;&gt;"",Jnl[[#This Row],[Item]]&lt;&gt;"",ISNUMBER(Jnl[[#This Row],[Bal]]))</f>
        <v>1</v>
      </c>
      <c r="J628" s="10">
        <f>IF(Jnl[[#This Row],[BSLv0]]="A",1,-1)*Jnl[[#This Row],[Bal]]</f>
        <v>-2182.6999999999998</v>
      </c>
      <c r="K628" t="str">
        <f>_xlfn.XLOOKUP(Jnl[[#This Row],[Acct]], config_BS[Acct], config_BS[Lv0],,0)</f>
        <v>A</v>
      </c>
      <c r="L628" t="str">
        <f>_xlfn.XLOOKUP(Jnl[[#This Row],[Acct]], config_BS[Acct], config_BS[Lv1],,0)</f>
        <v>Assets</v>
      </c>
      <c r="M628" t="str">
        <f>_xlfn.XLOOKUP(Jnl[[#This Row],[Acct]], config_BS[Acct], config_BS[Lv2],,0)</f>
        <v>Cash alike</v>
      </c>
      <c r="N628" t="str">
        <f>_xlfn.XLOOKUP(Jnl[[#This Row],[TrxId]], Trx[Id], Trx[IncNode], ,0)</f>
        <v>Expense</v>
      </c>
      <c r="O628" t="str">
        <f>_xlfn.XLOOKUP(Jnl[[#This Row],[IncNode]], config_IS[Node], config_IS[Type],,0)</f>
        <v>Op</v>
      </c>
      <c r="P628" t="str">
        <f>_xlfn.XLOOKUP(Jnl[[#This Row],[BSLv2]], dict[Key], dict[Name],,0)</f>
        <v>0.现金及类似</v>
      </c>
      <c r="Q628" t="str">
        <f>_xlfn.XLOOKUP(Jnl[[#This Row],[Acct]], dict[Key], dict[Name],,0)</f>
        <v>银行</v>
      </c>
      <c r="R628" t="str">
        <f>_xlfn.XLOOKUP(Jnl[[#This Row],[Vehicle]],config_vehicle[Id], config_vehicle[Name],,0)</f>
        <v>远家花园</v>
      </c>
      <c r="S628" t="str">
        <f>_xlfn.XLOOKUP(Jnl[[#This Row],[Division]],config_div[Id], config_div[Name],,0)</f>
        <v>综合管理</v>
      </c>
      <c r="T628" t="str">
        <f>IF(Jnl[[#This Row],[TrxDate]]&lt;=stmt_BS_date_end, "In", "Out")</f>
        <v>In</v>
      </c>
      <c r="U628" t="str">
        <f>IF(Jnl[[#This Row],[TrxDate]]&lt;debug_date_start, "prior", IF(Jnl[[#This Row],[TrxDate]]&gt;debug_date_end, "post", "curr"))</f>
        <v>prior</v>
      </c>
    </row>
    <row r="629" spans="1:21">
      <c r="A629" s="11" t="s">
        <v>794</v>
      </c>
      <c r="B629" s="7">
        <f>_xlfn.XLOOKUP(Jnl[[#This Row],[TrxId]], Trx[Id], Trx[Date],,0)</f>
        <v>46053</v>
      </c>
      <c r="C629" s="7" t="str">
        <f>_xlfn.XLOOKUP(Jnl[[#This Row],[TrxId]], Trx[Id], Trx[Division],,0)</f>
        <v>Online</v>
      </c>
      <c r="D629" s="7" t="str">
        <f>_xlfn.XLOOKUP(Jnl[[#This Row],[TrxId]], Trx[Id], Trx[Action],,0)</f>
        <v>采购</v>
      </c>
      <c r="E629" s="26" t="s">
        <v>80</v>
      </c>
      <c r="F629" s="11" t="s">
        <v>598</v>
      </c>
      <c r="G629" s="11" t="s">
        <v>151</v>
      </c>
      <c r="H629" s="72">
        <v>1000</v>
      </c>
      <c r="I629" s="5" t="b">
        <f>AND(Jnl[[#This Row],[TrxId]]&lt;&gt;"",Jnl[[#This Row],[Acct]]&lt;&gt;"",Jnl[[#This Row],[Item]]&lt;&gt;"",ISNUMBER(Jnl[[#This Row],[Bal]]))</f>
        <v>1</v>
      </c>
      <c r="J629" s="10">
        <f>IF(Jnl[[#This Row],[BSLv0]]="A",1,-1)*Jnl[[#This Row],[Bal]]</f>
        <v>1000</v>
      </c>
      <c r="K629" t="str">
        <f>_xlfn.XLOOKUP(Jnl[[#This Row],[Acct]], config_BS[Acct], config_BS[Lv0],,0)</f>
        <v>A</v>
      </c>
      <c r="L629" t="str">
        <f>_xlfn.XLOOKUP(Jnl[[#This Row],[Acct]], config_BS[Acct], config_BS[Lv1],,0)</f>
        <v>Assets</v>
      </c>
      <c r="M629" t="str">
        <f>_xlfn.XLOOKUP(Jnl[[#This Row],[Acct]], config_BS[Acct], config_BS[Lv2],,0)</f>
        <v>Invtr</v>
      </c>
      <c r="N629" t="str">
        <f>_xlfn.XLOOKUP(Jnl[[#This Row],[TrxId]], Trx[Id], Trx[IncNode], ,0)</f>
        <v>Cost</v>
      </c>
      <c r="O629" t="str">
        <f>_xlfn.XLOOKUP(Jnl[[#This Row],[IncNode]], config_IS[Node], config_IS[Type],,0)</f>
        <v>Op</v>
      </c>
      <c r="P629" t="str">
        <f>_xlfn.XLOOKUP(Jnl[[#This Row],[BSLv2]], dict[Key], dict[Name],,0)</f>
        <v>3.库存占款</v>
      </c>
      <c r="Q629" t="str">
        <f>_xlfn.XLOOKUP(Jnl[[#This Row],[Acct]], dict[Key], dict[Name],,0)</f>
        <v>当期存货</v>
      </c>
      <c r="R629" t="str">
        <f>_xlfn.XLOOKUP(Jnl[[#This Row],[Vehicle]],config_vehicle[Id], config_vehicle[Name],,0)</f>
        <v>远家花园</v>
      </c>
      <c r="S629" t="str">
        <f>_xlfn.XLOOKUP(Jnl[[#This Row],[Division]],config_div[Id], config_div[Name],,0)</f>
        <v>网店</v>
      </c>
      <c r="T629" t="str">
        <f>IF(Jnl[[#This Row],[TrxDate]]&lt;=stmt_BS_date_end, "In", "Out")</f>
        <v>In</v>
      </c>
      <c r="U629" t="str">
        <f>IF(Jnl[[#This Row],[TrxDate]]&lt;debug_date_start, "prior", IF(Jnl[[#This Row],[TrxDate]]&gt;debug_date_end, "post", "curr"))</f>
        <v>prior</v>
      </c>
    </row>
    <row r="630" spans="1:21">
      <c r="A630" s="11" t="s">
        <v>794</v>
      </c>
      <c r="B630" s="7">
        <f>_xlfn.XLOOKUP(Jnl[[#This Row],[TrxId]], Trx[Id], Trx[Date],,0)</f>
        <v>46053</v>
      </c>
      <c r="C630" s="7" t="str">
        <f>_xlfn.XLOOKUP(Jnl[[#This Row],[TrxId]], Trx[Id], Trx[Division],,0)</f>
        <v>Online</v>
      </c>
      <c r="D630" s="7" t="str">
        <f>_xlfn.XLOOKUP(Jnl[[#This Row],[TrxId]], Trx[Id], Trx[Action],,0)</f>
        <v>采购</v>
      </c>
      <c r="E630" s="26" t="s">
        <v>80</v>
      </c>
      <c r="F630" s="11" t="s">
        <v>590</v>
      </c>
      <c r="G630" s="11" t="s">
        <v>391</v>
      </c>
      <c r="H630" s="72">
        <v>-1000</v>
      </c>
      <c r="I630" s="5" t="b">
        <f>AND(Jnl[[#This Row],[TrxId]]&lt;&gt;"",Jnl[[#This Row],[Acct]]&lt;&gt;"",Jnl[[#This Row],[Item]]&lt;&gt;"",ISNUMBER(Jnl[[#This Row],[Bal]]))</f>
        <v>1</v>
      </c>
      <c r="J630" s="10">
        <f>IF(Jnl[[#This Row],[BSLv0]]="A",1,-1)*Jnl[[#This Row],[Bal]]</f>
        <v>-1000</v>
      </c>
      <c r="K630" t="str">
        <f>_xlfn.XLOOKUP(Jnl[[#This Row],[Acct]], config_BS[Acct], config_BS[Lv0],,0)</f>
        <v>A</v>
      </c>
      <c r="L630" t="str">
        <f>_xlfn.XLOOKUP(Jnl[[#This Row],[Acct]], config_BS[Acct], config_BS[Lv1],,0)</f>
        <v>Assets</v>
      </c>
      <c r="M630" t="str">
        <f>_xlfn.XLOOKUP(Jnl[[#This Row],[Acct]], config_BS[Acct], config_BS[Lv2],,0)</f>
        <v>Cash alike</v>
      </c>
      <c r="N630" t="str">
        <f>_xlfn.XLOOKUP(Jnl[[#This Row],[TrxId]], Trx[Id], Trx[IncNode], ,0)</f>
        <v>Cost</v>
      </c>
      <c r="O630" t="str">
        <f>_xlfn.XLOOKUP(Jnl[[#This Row],[IncNode]], config_IS[Node], config_IS[Type],,0)</f>
        <v>Op</v>
      </c>
      <c r="P630" t="str">
        <f>_xlfn.XLOOKUP(Jnl[[#This Row],[BSLv2]], dict[Key], dict[Name],,0)</f>
        <v>0.现金及类似</v>
      </c>
      <c r="Q630" t="str">
        <f>_xlfn.XLOOKUP(Jnl[[#This Row],[Acct]], dict[Key], dict[Name],,0)</f>
        <v>银行</v>
      </c>
      <c r="R630" t="str">
        <f>_xlfn.XLOOKUP(Jnl[[#This Row],[Vehicle]],config_vehicle[Id], config_vehicle[Name],,0)</f>
        <v>远家花园</v>
      </c>
      <c r="S630" t="str">
        <f>_xlfn.XLOOKUP(Jnl[[#This Row],[Division]],config_div[Id], config_div[Name],,0)</f>
        <v>网店</v>
      </c>
      <c r="T630" t="str">
        <f>IF(Jnl[[#This Row],[TrxDate]]&lt;=stmt_BS_date_end, "In", "Out")</f>
        <v>In</v>
      </c>
      <c r="U630" t="str">
        <f>IF(Jnl[[#This Row],[TrxDate]]&lt;debug_date_start, "prior", IF(Jnl[[#This Row],[TrxDate]]&gt;debug_date_end, "post", "curr"))</f>
        <v>prior</v>
      </c>
    </row>
    <row r="631" spans="1:21">
      <c r="A631" s="11" t="s">
        <v>795</v>
      </c>
      <c r="B631" s="7">
        <f>_xlfn.XLOOKUP(Jnl[[#This Row],[TrxId]], Trx[Id], Trx[Date],,0)</f>
        <v>46053</v>
      </c>
      <c r="C631" s="7" t="str">
        <f>_xlfn.XLOOKUP(Jnl[[#This Row],[TrxId]], Trx[Id], Trx[Division],,0)</f>
        <v>Online</v>
      </c>
      <c r="D631" s="7" t="str">
        <f>_xlfn.XLOOKUP(Jnl[[#This Row],[TrxId]], Trx[Id], Trx[Action],,0)</f>
        <v>设计</v>
      </c>
      <c r="E631" s="26" t="s">
        <v>80</v>
      </c>
      <c r="F631" s="11" t="s">
        <v>590</v>
      </c>
      <c r="G631" s="11" t="s">
        <v>391</v>
      </c>
      <c r="H631" s="72">
        <v>-163</v>
      </c>
      <c r="I631" s="5" t="b">
        <f>AND(Jnl[[#This Row],[TrxId]]&lt;&gt;"",Jnl[[#This Row],[Acct]]&lt;&gt;"",Jnl[[#This Row],[Item]]&lt;&gt;"",ISNUMBER(Jnl[[#This Row],[Bal]]))</f>
        <v>1</v>
      </c>
      <c r="J631" s="10">
        <f>IF(Jnl[[#This Row],[BSLv0]]="A",1,-1)*Jnl[[#This Row],[Bal]]</f>
        <v>-163</v>
      </c>
      <c r="K631" t="str">
        <f>_xlfn.XLOOKUP(Jnl[[#This Row],[Acct]], config_BS[Acct], config_BS[Lv0],,0)</f>
        <v>A</v>
      </c>
      <c r="L631" t="str">
        <f>_xlfn.XLOOKUP(Jnl[[#This Row],[Acct]], config_BS[Acct], config_BS[Lv1],,0)</f>
        <v>Assets</v>
      </c>
      <c r="M631" t="str">
        <f>_xlfn.XLOOKUP(Jnl[[#This Row],[Acct]], config_BS[Acct], config_BS[Lv2],,0)</f>
        <v>Cash alike</v>
      </c>
      <c r="N631" t="str">
        <f>_xlfn.XLOOKUP(Jnl[[#This Row],[TrxId]], Trx[Id], Trx[IncNode], ,0)</f>
        <v>Expense</v>
      </c>
      <c r="O631" t="str">
        <f>_xlfn.XLOOKUP(Jnl[[#This Row],[IncNode]], config_IS[Node], config_IS[Type],,0)</f>
        <v>Op</v>
      </c>
      <c r="P631" t="str">
        <f>_xlfn.XLOOKUP(Jnl[[#This Row],[BSLv2]], dict[Key], dict[Name],,0)</f>
        <v>0.现金及类似</v>
      </c>
      <c r="Q631" t="str">
        <f>_xlfn.XLOOKUP(Jnl[[#This Row],[Acct]], dict[Key], dict[Name],,0)</f>
        <v>银行</v>
      </c>
      <c r="R631" t="str">
        <f>_xlfn.XLOOKUP(Jnl[[#This Row],[Vehicle]],config_vehicle[Id], config_vehicle[Name],,0)</f>
        <v>远家花园</v>
      </c>
      <c r="S631" t="str">
        <f>_xlfn.XLOOKUP(Jnl[[#This Row],[Division]],config_div[Id], config_div[Name],,0)</f>
        <v>网店</v>
      </c>
      <c r="T631" t="str">
        <f>IF(Jnl[[#This Row],[TrxDate]]&lt;=stmt_BS_date_end, "In", "Out")</f>
        <v>In</v>
      </c>
      <c r="U631" t="str">
        <f>IF(Jnl[[#This Row],[TrxDate]]&lt;debug_date_start, "prior", IF(Jnl[[#This Row],[TrxDate]]&gt;debug_date_end, "post", "curr"))</f>
        <v>prior</v>
      </c>
    </row>
    <row r="632" spans="1:21">
      <c r="A632" s="11" t="s">
        <v>796</v>
      </c>
      <c r="B632" s="7">
        <f>_xlfn.XLOOKUP(Jnl[[#This Row],[TrxId]], Trx[Id], Trx[Date],,0)</f>
        <v>46053</v>
      </c>
      <c r="C632" s="7" t="str">
        <f>_xlfn.XLOOKUP(Jnl[[#This Row],[TrxId]], Trx[Id], Trx[Division],,0)</f>
        <v>Online</v>
      </c>
      <c r="D632" s="7" t="str">
        <f>_xlfn.XLOOKUP(Jnl[[#This Row],[TrxId]], Trx[Id], Trx[Action],,0)</f>
        <v>加工</v>
      </c>
      <c r="E632" s="26" t="s">
        <v>80</v>
      </c>
      <c r="F632" s="11" t="s">
        <v>493</v>
      </c>
      <c r="G632" s="11" t="s">
        <v>428</v>
      </c>
      <c r="H632" s="72">
        <v>-44252</v>
      </c>
      <c r="I632" s="5" t="b">
        <f>AND(Jnl[[#This Row],[TrxId]]&lt;&gt;"",Jnl[[#This Row],[Acct]]&lt;&gt;"",Jnl[[#This Row],[Item]]&lt;&gt;"",ISNUMBER(Jnl[[#This Row],[Bal]]))</f>
        <v>1</v>
      </c>
      <c r="J632" s="10">
        <f>IF(Jnl[[#This Row],[BSLv0]]="A",1,-1)*Jnl[[#This Row],[Bal]]</f>
        <v>-44252</v>
      </c>
      <c r="K632" t="str">
        <f>_xlfn.XLOOKUP(Jnl[[#This Row],[Acct]], config_BS[Acct], config_BS[Lv0],,0)</f>
        <v>A</v>
      </c>
      <c r="L632" t="str">
        <f>_xlfn.XLOOKUP(Jnl[[#This Row],[Acct]], config_BS[Acct], config_BS[Lv1],,0)</f>
        <v>Assets</v>
      </c>
      <c r="M632" t="str">
        <f>_xlfn.XLOOKUP(Jnl[[#This Row],[Acct]], config_BS[Acct], config_BS[Lv2],,0)</f>
        <v>Prep-Sub</v>
      </c>
      <c r="N632" t="str">
        <f>_xlfn.XLOOKUP(Jnl[[#This Row],[TrxId]], Trx[Id], Trx[IncNode], ,0)</f>
        <v>Cost</v>
      </c>
      <c r="O632" t="str">
        <f>_xlfn.XLOOKUP(Jnl[[#This Row],[IncNode]], config_IS[Node], config_IS[Type],,0)</f>
        <v>Op</v>
      </c>
      <c r="P632" t="str">
        <f>_xlfn.XLOOKUP(Jnl[[#This Row],[BSLv2]], dict[Key], dict[Name],,0)</f>
        <v>2.预付-订阅</v>
      </c>
      <c r="Q632" t="str">
        <f>_xlfn.XLOOKUP(Jnl[[#This Row],[Acct]], dict[Key], dict[Name],,0)</f>
        <v>预付订单</v>
      </c>
      <c r="R632" t="str">
        <f>_xlfn.XLOOKUP(Jnl[[#This Row],[Vehicle]],config_vehicle[Id], config_vehicle[Name],,0)</f>
        <v>远家花园</v>
      </c>
      <c r="S632" t="str">
        <f>_xlfn.XLOOKUP(Jnl[[#This Row],[Division]],config_div[Id], config_div[Name],,0)</f>
        <v>网店</v>
      </c>
      <c r="T632" t="str">
        <f>IF(Jnl[[#This Row],[TrxDate]]&lt;=stmt_BS_date_end, "In", "Out")</f>
        <v>In</v>
      </c>
      <c r="U632" t="str">
        <f>IF(Jnl[[#This Row],[TrxDate]]&lt;debug_date_start, "prior", IF(Jnl[[#This Row],[TrxDate]]&gt;debug_date_end, "post", "curr"))</f>
        <v>prior</v>
      </c>
    </row>
    <row r="633" spans="1:21">
      <c r="A633" s="11" t="s">
        <v>796</v>
      </c>
      <c r="B633" s="7">
        <f>_xlfn.XLOOKUP(Jnl[[#This Row],[TrxId]], Trx[Id], Trx[Date],,0)</f>
        <v>46053</v>
      </c>
      <c r="C633" s="7" t="str">
        <f>_xlfn.XLOOKUP(Jnl[[#This Row],[TrxId]], Trx[Id], Trx[Division],,0)</f>
        <v>Online</v>
      </c>
      <c r="D633" s="7" t="str">
        <f>_xlfn.XLOOKUP(Jnl[[#This Row],[TrxId]], Trx[Id], Trx[Action],,0)</f>
        <v>加工</v>
      </c>
      <c r="E633" s="26" t="s">
        <v>80</v>
      </c>
      <c r="F633" s="11" t="s">
        <v>598</v>
      </c>
      <c r="G633" s="11" t="s">
        <v>151</v>
      </c>
      <c r="H633" s="72">
        <v>44252</v>
      </c>
      <c r="I633" s="5" t="b">
        <f>AND(Jnl[[#This Row],[TrxId]]&lt;&gt;"",Jnl[[#This Row],[Acct]]&lt;&gt;"",Jnl[[#This Row],[Item]]&lt;&gt;"",ISNUMBER(Jnl[[#This Row],[Bal]]))</f>
        <v>1</v>
      </c>
      <c r="J633" s="10">
        <f>IF(Jnl[[#This Row],[BSLv0]]="A",1,-1)*Jnl[[#This Row],[Bal]]</f>
        <v>44252</v>
      </c>
      <c r="K633" t="str">
        <f>_xlfn.XLOOKUP(Jnl[[#This Row],[Acct]], config_BS[Acct], config_BS[Lv0],,0)</f>
        <v>A</v>
      </c>
      <c r="L633" t="str">
        <f>_xlfn.XLOOKUP(Jnl[[#This Row],[Acct]], config_BS[Acct], config_BS[Lv1],,0)</f>
        <v>Assets</v>
      </c>
      <c r="M633" t="str">
        <f>_xlfn.XLOOKUP(Jnl[[#This Row],[Acct]], config_BS[Acct], config_BS[Lv2],,0)</f>
        <v>Invtr</v>
      </c>
      <c r="N633" t="str">
        <f>_xlfn.XLOOKUP(Jnl[[#This Row],[TrxId]], Trx[Id], Trx[IncNode], ,0)</f>
        <v>Cost</v>
      </c>
      <c r="O633" t="str">
        <f>_xlfn.XLOOKUP(Jnl[[#This Row],[IncNode]], config_IS[Node], config_IS[Type],,0)</f>
        <v>Op</v>
      </c>
      <c r="P633" t="str">
        <f>_xlfn.XLOOKUP(Jnl[[#This Row],[BSLv2]], dict[Key], dict[Name],,0)</f>
        <v>3.库存占款</v>
      </c>
      <c r="Q633" t="str">
        <f>_xlfn.XLOOKUP(Jnl[[#This Row],[Acct]], dict[Key], dict[Name],,0)</f>
        <v>当期存货</v>
      </c>
      <c r="R633" t="str">
        <f>_xlfn.XLOOKUP(Jnl[[#This Row],[Vehicle]],config_vehicle[Id], config_vehicle[Name],,0)</f>
        <v>远家花园</v>
      </c>
      <c r="S633" t="str">
        <f>_xlfn.XLOOKUP(Jnl[[#This Row],[Division]],config_div[Id], config_div[Name],,0)</f>
        <v>网店</v>
      </c>
      <c r="T633" t="str">
        <f>IF(Jnl[[#This Row],[TrxDate]]&lt;=stmt_BS_date_end, "In", "Out")</f>
        <v>In</v>
      </c>
      <c r="U633" t="str">
        <f>IF(Jnl[[#This Row],[TrxDate]]&lt;debug_date_start, "prior", IF(Jnl[[#This Row],[TrxDate]]&gt;debug_date_end, "post", "curr"))</f>
        <v>prior</v>
      </c>
    </row>
    <row r="634" spans="1:21">
      <c r="A634" s="11" t="s">
        <v>797</v>
      </c>
      <c r="B634" s="7">
        <f>_xlfn.XLOOKUP(Jnl[[#This Row],[TrxId]], Trx[Id], Trx[Date],,0)</f>
        <v>46053</v>
      </c>
      <c r="C634" s="7" t="str">
        <f>_xlfn.XLOOKUP(Jnl[[#This Row],[TrxId]], Trx[Id], Trx[Division],,0)</f>
        <v>Online</v>
      </c>
      <c r="D634" s="7" t="str">
        <f>_xlfn.XLOOKUP(Jnl[[#This Row],[TrxId]], Trx[Id], Trx[Action],,0)</f>
        <v>采购</v>
      </c>
      <c r="E634" s="26" t="s">
        <v>80</v>
      </c>
      <c r="F634" s="11" t="s">
        <v>598</v>
      </c>
      <c r="G634" s="11" t="s">
        <v>151</v>
      </c>
      <c r="H634" s="72">
        <f>-H635</f>
        <v>10878</v>
      </c>
      <c r="I634" s="5" t="b">
        <f>AND(Jnl[[#This Row],[TrxId]]&lt;&gt;"",Jnl[[#This Row],[Acct]]&lt;&gt;"",Jnl[[#This Row],[Item]]&lt;&gt;"",ISNUMBER(Jnl[[#This Row],[Bal]]))</f>
        <v>1</v>
      </c>
      <c r="J634" s="10">
        <f>IF(Jnl[[#This Row],[BSLv0]]="A",1,-1)*Jnl[[#This Row],[Bal]]</f>
        <v>10878</v>
      </c>
      <c r="K634" t="str">
        <f>_xlfn.XLOOKUP(Jnl[[#This Row],[Acct]], config_BS[Acct], config_BS[Lv0],,0)</f>
        <v>A</v>
      </c>
      <c r="L634" t="str">
        <f>_xlfn.XLOOKUP(Jnl[[#This Row],[Acct]], config_BS[Acct], config_BS[Lv1],,0)</f>
        <v>Assets</v>
      </c>
      <c r="M634" t="str">
        <f>_xlfn.XLOOKUP(Jnl[[#This Row],[Acct]], config_BS[Acct], config_BS[Lv2],,0)</f>
        <v>Invtr</v>
      </c>
      <c r="N634" t="str">
        <f>_xlfn.XLOOKUP(Jnl[[#This Row],[TrxId]], Trx[Id], Trx[IncNode], ,0)</f>
        <v>Cost</v>
      </c>
      <c r="O634" t="str">
        <f>_xlfn.XLOOKUP(Jnl[[#This Row],[IncNode]], config_IS[Node], config_IS[Type],,0)</f>
        <v>Op</v>
      </c>
      <c r="P634" t="str">
        <f>_xlfn.XLOOKUP(Jnl[[#This Row],[BSLv2]], dict[Key], dict[Name],,0)</f>
        <v>3.库存占款</v>
      </c>
      <c r="Q634" t="str">
        <f>_xlfn.XLOOKUP(Jnl[[#This Row],[Acct]], dict[Key], dict[Name],,0)</f>
        <v>当期存货</v>
      </c>
      <c r="R634" t="str">
        <f>_xlfn.XLOOKUP(Jnl[[#This Row],[Vehicle]],config_vehicle[Id], config_vehicle[Name],,0)</f>
        <v>远家花园</v>
      </c>
      <c r="S634" t="str">
        <f>_xlfn.XLOOKUP(Jnl[[#This Row],[Division]],config_div[Id], config_div[Name],,0)</f>
        <v>网店</v>
      </c>
      <c r="T634" t="str">
        <f>IF(Jnl[[#This Row],[TrxDate]]&lt;=stmt_BS_date_end, "In", "Out")</f>
        <v>In</v>
      </c>
      <c r="U634" t="str">
        <f>IF(Jnl[[#This Row],[TrxDate]]&lt;debug_date_start, "prior", IF(Jnl[[#This Row],[TrxDate]]&gt;debug_date_end, "post", "curr"))</f>
        <v>prior</v>
      </c>
    </row>
    <row r="635" spans="1:21">
      <c r="A635" s="11" t="s">
        <v>797</v>
      </c>
      <c r="B635" s="7">
        <f>_xlfn.XLOOKUP(Jnl[[#This Row],[TrxId]], Trx[Id], Trx[Date],,0)</f>
        <v>46053</v>
      </c>
      <c r="C635" s="7" t="str">
        <f>_xlfn.XLOOKUP(Jnl[[#This Row],[TrxId]], Trx[Id], Trx[Division],,0)</f>
        <v>Online</v>
      </c>
      <c r="D635" s="7" t="str">
        <f>_xlfn.XLOOKUP(Jnl[[#This Row],[TrxId]], Trx[Id], Trx[Action],,0)</f>
        <v>采购</v>
      </c>
      <c r="E635" s="26" t="s">
        <v>80</v>
      </c>
      <c r="F635" s="11" t="s">
        <v>590</v>
      </c>
      <c r="G635" s="11" t="s">
        <v>391</v>
      </c>
      <c r="H635" s="72">
        <v>-10878</v>
      </c>
      <c r="I635" s="5" t="b">
        <f>AND(Jnl[[#This Row],[TrxId]]&lt;&gt;"",Jnl[[#This Row],[Acct]]&lt;&gt;"",Jnl[[#This Row],[Item]]&lt;&gt;"",ISNUMBER(Jnl[[#This Row],[Bal]]))</f>
        <v>1</v>
      </c>
      <c r="J635" s="10">
        <f>IF(Jnl[[#This Row],[BSLv0]]="A",1,-1)*Jnl[[#This Row],[Bal]]</f>
        <v>-10878</v>
      </c>
      <c r="K635" t="str">
        <f>_xlfn.XLOOKUP(Jnl[[#This Row],[Acct]], config_BS[Acct], config_BS[Lv0],,0)</f>
        <v>A</v>
      </c>
      <c r="L635" t="str">
        <f>_xlfn.XLOOKUP(Jnl[[#This Row],[Acct]], config_BS[Acct], config_BS[Lv1],,0)</f>
        <v>Assets</v>
      </c>
      <c r="M635" t="str">
        <f>_xlfn.XLOOKUP(Jnl[[#This Row],[Acct]], config_BS[Acct], config_BS[Lv2],,0)</f>
        <v>Cash alike</v>
      </c>
      <c r="N635" t="str">
        <f>_xlfn.XLOOKUP(Jnl[[#This Row],[TrxId]], Trx[Id], Trx[IncNode], ,0)</f>
        <v>Cost</v>
      </c>
      <c r="O635" t="str">
        <f>_xlfn.XLOOKUP(Jnl[[#This Row],[IncNode]], config_IS[Node], config_IS[Type],,0)</f>
        <v>Op</v>
      </c>
      <c r="P635" t="str">
        <f>_xlfn.XLOOKUP(Jnl[[#This Row],[BSLv2]], dict[Key], dict[Name],,0)</f>
        <v>0.现金及类似</v>
      </c>
      <c r="Q635" t="str">
        <f>_xlfn.XLOOKUP(Jnl[[#This Row],[Acct]], dict[Key], dict[Name],,0)</f>
        <v>银行</v>
      </c>
      <c r="R635" t="str">
        <f>_xlfn.XLOOKUP(Jnl[[#This Row],[Vehicle]],config_vehicle[Id], config_vehicle[Name],,0)</f>
        <v>远家花园</v>
      </c>
      <c r="S635" t="str">
        <f>_xlfn.XLOOKUP(Jnl[[#This Row],[Division]],config_div[Id], config_div[Name],,0)</f>
        <v>网店</v>
      </c>
      <c r="T635" t="str">
        <f>IF(Jnl[[#This Row],[TrxDate]]&lt;=stmt_BS_date_end, "In", "Out")</f>
        <v>In</v>
      </c>
      <c r="U635" t="str">
        <f>IF(Jnl[[#This Row],[TrxDate]]&lt;debug_date_start, "prior", IF(Jnl[[#This Row],[TrxDate]]&gt;debug_date_end, "post", "curr"))</f>
        <v>prior</v>
      </c>
    </row>
    <row r="636" spans="1:21">
      <c r="A636" s="11" t="s">
        <v>798</v>
      </c>
      <c r="B636" s="7">
        <f>_xlfn.XLOOKUP(Jnl[[#This Row],[TrxId]], Trx[Id], Trx[Date],,0)</f>
        <v>46053</v>
      </c>
      <c r="C636" s="7" t="str">
        <f>_xlfn.XLOOKUP(Jnl[[#This Row],[TrxId]], Trx[Id], Trx[Division],,0)</f>
        <v>Online</v>
      </c>
      <c r="D636" s="7" t="str">
        <f>_xlfn.XLOOKUP(Jnl[[#This Row],[TrxId]], Trx[Id], Trx[Action],,0)</f>
        <v>采购</v>
      </c>
      <c r="E636" s="26" t="s">
        <v>80</v>
      </c>
      <c r="F636" s="11" t="s">
        <v>598</v>
      </c>
      <c r="G636" s="11" t="s">
        <v>151</v>
      </c>
      <c r="H636" s="72">
        <v>4500</v>
      </c>
      <c r="I636" s="5" t="b">
        <f>AND(Jnl[[#This Row],[TrxId]]&lt;&gt;"",Jnl[[#This Row],[Acct]]&lt;&gt;"",Jnl[[#This Row],[Item]]&lt;&gt;"",ISNUMBER(Jnl[[#This Row],[Bal]]))</f>
        <v>1</v>
      </c>
      <c r="J636" s="10">
        <f>IF(Jnl[[#This Row],[BSLv0]]="A",1,-1)*Jnl[[#This Row],[Bal]]</f>
        <v>4500</v>
      </c>
      <c r="K636" t="str">
        <f>_xlfn.XLOOKUP(Jnl[[#This Row],[Acct]], config_BS[Acct], config_BS[Lv0],,0)</f>
        <v>A</v>
      </c>
      <c r="L636" t="str">
        <f>_xlfn.XLOOKUP(Jnl[[#This Row],[Acct]], config_BS[Acct], config_BS[Lv1],,0)</f>
        <v>Assets</v>
      </c>
      <c r="M636" t="str">
        <f>_xlfn.XLOOKUP(Jnl[[#This Row],[Acct]], config_BS[Acct], config_BS[Lv2],,0)</f>
        <v>Invtr</v>
      </c>
      <c r="N636" t="str">
        <f>_xlfn.XLOOKUP(Jnl[[#This Row],[TrxId]], Trx[Id], Trx[IncNode], ,0)</f>
        <v>Cost</v>
      </c>
      <c r="O636" t="str">
        <f>_xlfn.XLOOKUP(Jnl[[#This Row],[IncNode]], config_IS[Node], config_IS[Type],,0)</f>
        <v>Op</v>
      </c>
      <c r="P636" t="str">
        <f>_xlfn.XLOOKUP(Jnl[[#This Row],[BSLv2]], dict[Key], dict[Name],,0)</f>
        <v>3.库存占款</v>
      </c>
      <c r="Q636" t="str">
        <f>_xlfn.XLOOKUP(Jnl[[#This Row],[Acct]], dict[Key], dict[Name],,0)</f>
        <v>当期存货</v>
      </c>
      <c r="R636" t="str">
        <f>_xlfn.XLOOKUP(Jnl[[#This Row],[Vehicle]],config_vehicle[Id], config_vehicle[Name],,0)</f>
        <v>远家花园</v>
      </c>
      <c r="S636" t="str">
        <f>_xlfn.XLOOKUP(Jnl[[#This Row],[Division]],config_div[Id], config_div[Name],,0)</f>
        <v>网店</v>
      </c>
      <c r="T636" t="str">
        <f>IF(Jnl[[#This Row],[TrxDate]]&lt;=stmt_BS_date_end, "In", "Out")</f>
        <v>In</v>
      </c>
      <c r="U636" t="str">
        <f>IF(Jnl[[#This Row],[TrxDate]]&lt;debug_date_start, "prior", IF(Jnl[[#This Row],[TrxDate]]&gt;debug_date_end, "post", "curr"))</f>
        <v>prior</v>
      </c>
    </row>
    <row r="637" spans="1:21">
      <c r="A637" s="11" t="s">
        <v>798</v>
      </c>
      <c r="B637" s="7">
        <f>_xlfn.XLOOKUP(Jnl[[#This Row],[TrxId]], Trx[Id], Trx[Date],,0)</f>
        <v>46053</v>
      </c>
      <c r="C637" s="7" t="str">
        <f>_xlfn.XLOOKUP(Jnl[[#This Row],[TrxId]], Trx[Id], Trx[Division],,0)</f>
        <v>Online</v>
      </c>
      <c r="D637" s="7" t="str">
        <f>_xlfn.XLOOKUP(Jnl[[#This Row],[TrxId]], Trx[Id], Trx[Action],,0)</f>
        <v>采购</v>
      </c>
      <c r="E637" s="26" t="s">
        <v>80</v>
      </c>
      <c r="F637" s="11" t="s">
        <v>590</v>
      </c>
      <c r="G637" s="11" t="s">
        <v>391</v>
      </c>
      <c r="H637" s="72">
        <v>-4500</v>
      </c>
      <c r="I637" s="5" t="b">
        <f>AND(Jnl[[#This Row],[TrxId]]&lt;&gt;"",Jnl[[#This Row],[Acct]]&lt;&gt;"",Jnl[[#This Row],[Item]]&lt;&gt;"",ISNUMBER(Jnl[[#This Row],[Bal]]))</f>
        <v>1</v>
      </c>
      <c r="J637" s="10">
        <f>IF(Jnl[[#This Row],[BSLv0]]="A",1,-1)*Jnl[[#This Row],[Bal]]</f>
        <v>-4500</v>
      </c>
      <c r="K637" t="str">
        <f>_xlfn.XLOOKUP(Jnl[[#This Row],[Acct]], config_BS[Acct], config_BS[Lv0],,0)</f>
        <v>A</v>
      </c>
      <c r="L637" t="str">
        <f>_xlfn.XLOOKUP(Jnl[[#This Row],[Acct]], config_BS[Acct], config_BS[Lv1],,0)</f>
        <v>Assets</v>
      </c>
      <c r="M637" t="str">
        <f>_xlfn.XLOOKUP(Jnl[[#This Row],[Acct]], config_BS[Acct], config_BS[Lv2],,0)</f>
        <v>Cash alike</v>
      </c>
      <c r="N637" t="str">
        <f>_xlfn.XLOOKUP(Jnl[[#This Row],[TrxId]], Trx[Id], Trx[IncNode], ,0)</f>
        <v>Cost</v>
      </c>
      <c r="O637" t="str">
        <f>_xlfn.XLOOKUP(Jnl[[#This Row],[IncNode]], config_IS[Node], config_IS[Type],,0)</f>
        <v>Op</v>
      </c>
      <c r="P637" t="str">
        <f>_xlfn.XLOOKUP(Jnl[[#This Row],[BSLv2]], dict[Key], dict[Name],,0)</f>
        <v>0.现金及类似</v>
      </c>
      <c r="Q637" t="str">
        <f>_xlfn.XLOOKUP(Jnl[[#This Row],[Acct]], dict[Key], dict[Name],,0)</f>
        <v>银行</v>
      </c>
      <c r="R637" t="str">
        <f>_xlfn.XLOOKUP(Jnl[[#This Row],[Vehicle]],config_vehicle[Id], config_vehicle[Name],,0)</f>
        <v>远家花园</v>
      </c>
      <c r="S637" t="str">
        <f>_xlfn.XLOOKUP(Jnl[[#This Row],[Division]],config_div[Id], config_div[Name],,0)</f>
        <v>网店</v>
      </c>
      <c r="T637" t="str">
        <f>IF(Jnl[[#This Row],[TrxDate]]&lt;=stmt_BS_date_end, "In", "Out")</f>
        <v>In</v>
      </c>
      <c r="U637" t="str">
        <f>IF(Jnl[[#This Row],[TrxDate]]&lt;debug_date_start, "prior", IF(Jnl[[#This Row],[TrxDate]]&gt;debug_date_end, "post", "curr"))</f>
        <v>prior</v>
      </c>
    </row>
    <row r="638" spans="1:21">
      <c r="A638" s="11" t="s">
        <v>799</v>
      </c>
      <c r="B638" s="7">
        <f>_xlfn.XLOOKUP(Jnl[[#This Row],[TrxId]], Trx[Id], Trx[Date],,0)</f>
        <v>46053</v>
      </c>
      <c r="C638" s="7" t="str">
        <f>_xlfn.XLOOKUP(Jnl[[#This Row],[TrxId]], Trx[Id], Trx[Division],,0)</f>
        <v>GM</v>
      </c>
      <c r="D638" s="7" t="str">
        <f>_xlfn.XLOOKUP(Jnl[[#This Row],[TrxId]], Trx[Id], Trx[Action],,0)</f>
        <v>收款</v>
      </c>
      <c r="E638" s="26" t="s">
        <v>80</v>
      </c>
      <c r="F638" s="11" t="s">
        <v>590</v>
      </c>
      <c r="G638" s="11" t="s">
        <v>391</v>
      </c>
      <c r="H638" s="72">
        <v>477.15</v>
      </c>
      <c r="I638" s="5" t="b">
        <f>AND(Jnl[[#This Row],[TrxId]]&lt;&gt;"",Jnl[[#This Row],[Acct]]&lt;&gt;"",Jnl[[#This Row],[Item]]&lt;&gt;"",ISNUMBER(Jnl[[#This Row],[Bal]]))</f>
        <v>1</v>
      </c>
      <c r="J638" s="10">
        <f>IF(Jnl[[#This Row],[BSLv0]]="A",1,-1)*Jnl[[#This Row],[Bal]]</f>
        <v>477.15</v>
      </c>
      <c r="K638" t="str">
        <f>_xlfn.XLOOKUP(Jnl[[#This Row],[Acct]], config_BS[Acct], config_BS[Lv0],,0)</f>
        <v>A</v>
      </c>
      <c r="L638" t="str">
        <f>_xlfn.XLOOKUP(Jnl[[#This Row],[Acct]], config_BS[Acct], config_BS[Lv1],,0)</f>
        <v>Assets</v>
      </c>
      <c r="M638" t="str">
        <f>_xlfn.XLOOKUP(Jnl[[#This Row],[Acct]], config_BS[Acct], config_BS[Lv2],,0)</f>
        <v>Cash alike</v>
      </c>
      <c r="N638" t="str">
        <f>_xlfn.XLOOKUP(Jnl[[#This Row],[TrxId]], Trx[Id], Trx[IncNode], ,0)</f>
        <v>Expense</v>
      </c>
      <c r="O638" t="str">
        <f>_xlfn.XLOOKUP(Jnl[[#This Row],[IncNode]], config_IS[Node], config_IS[Type],,0)</f>
        <v>Op</v>
      </c>
      <c r="P638" t="str">
        <f>_xlfn.XLOOKUP(Jnl[[#This Row],[BSLv2]], dict[Key], dict[Name],,0)</f>
        <v>0.现金及类似</v>
      </c>
      <c r="Q638" t="str">
        <f>_xlfn.XLOOKUP(Jnl[[#This Row],[Acct]], dict[Key], dict[Name],,0)</f>
        <v>银行</v>
      </c>
      <c r="R638" t="str">
        <f>_xlfn.XLOOKUP(Jnl[[#This Row],[Vehicle]],config_vehicle[Id], config_vehicle[Name],,0)</f>
        <v>远家花园</v>
      </c>
      <c r="S638" t="str">
        <f>_xlfn.XLOOKUP(Jnl[[#This Row],[Division]],config_div[Id], config_div[Name],,0)</f>
        <v>综合管理</v>
      </c>
      <c r="T638" t="str">
        <f>IF(Jnl[[#This Row],[TrxDate]]&lt;=stmt_BS_date_end, "In", "Out")</f>
        <v>In</v>
      </c>
      <c r="U638" t="str">
        <f>IF(Jnl[[#This Row],[TrxDate]]&lt;debug_date_start, "prior", IF(Jnl[[#This Row],[TrxDate]]&gt;debug_date_end, "post", "curr"))</f>
        <v>prior</v>
      </c>
    </row>
    <row r="639" spans="1:21">
      <c r="A639" s="11" t="s">
        <v>799</v>
      </c>
      <c r="B639" s="7">
        <f>_xlfn.XLOOKUP(Jnl[[#This Row],[TrxId]], Trx[Id], Trx[Date],,0)</f>
        <v>46053</v>
      </c>
      <c r="C639" s="7" t="str">
        <f>_xlfn.XLOOKUP(Jnl[[#This Row],[TrxId]], Trx[Id], Trx[Division],,0)</f>
        <v>GM</v>
      </c>
      <c r="D639" s="7" t="str">
        <f>_xlfn.XLOOKUP(Jnl[[#This Row],[TrxId]], Trx[Id], Trx[Action],,0)</f>
        <v>收款</v>
      </c>
      <c r="E639" s="26" t="s">
        <v>80</v>
      </c>
      <c r="F639" s="11" t="s">
        <v>595</v>
      </c>
      <c r="G639" s="11" t="s">
        <v>344</v>
      </c>
      <c r="H639" s="72">
        <f>-H638</f>
        <v>-477.15</v>
      </c>
      <c r="I639" s="5" t="b">
        <f>AND(Jnl[[#This Row],[TrxId]]&lt;&gt;"",Jnl[[#This Row],[Acct]]&lt;&gt;"",Jnl[[#This Row],[Item]]&lt;&gt;"",ISNUMBER(Jnl[[#This Row],[Bal]]))</f>
        <v>1</v>
      </c>
      <c r="J639" s="10">
        <f>IF(Jnl[[#This Row],[BSLv0]]="A",1,-1)*Jnl[[#This Row],[Bal]]</f>
        <v>-477.15</v>
      </c>
      <c r="K639" t="str">
        <f>_xlfn.XLOOKUP(Jnl[[#This Row],[Acct]], config_BS[Acct], config_BS[Lv0],,0)</f>
        <v>A</v>
      </c>
      <c r="L639" t="str">
        <f>_xlfn.XLOOKUP(Jnl[[#This Row],[Acct]], config_BS[Acct], config_BS[Lv1],,0)</f>
        <v>Assets</v>
      </c>
      <c r="M639" t="str">
        <f>_xlfn.XLOOKUP(Jnl[[#This Row],[Acct]], config_BS[Acct], config_BS[Lv2],,0)</f>
        <v>Rec-Pay</v>
      </c>
      <c r="N639" t="str">
        <f>_xlfn.XLOOKUP(Jnl[[#This Row],[TrxId]], Trx[Id], Trx[IncNode], ,0)</f>
        <v>Expense</v>
      </c>
      <c r="O639" t="str">
        <f>_xlfn.XLOOKUP(Jnl[[#This Row],[IncNode]], config_IS[Node], config_IS[Type],,0)</f>
        <v>Op</v>
      </c>
      <c r="P639" t="str">
        <f>_xlfn.XLOOKUP(Jnl[[#This Row],[BSLv2]], dict[Key], dict[Name],,0)</f>
        <v>1.应收-应付</v>
      </c>
      <c r="Q639" t="str">
        <f>_xlfn.XLOOKUP(Jnl[[#This Row],[Acct]], dict[Key], dict[Name],,0)</f>
        <v>应收-其他</v>
      </c>
      <c r="R639" t="str">
        <f>_xlfn.XLOOKUP(Jnl[[#This Row],[Vehicle]],config_vehicle[Id], config_vehicle[Name],,0)</f>
        <v>远家花园</v>
      </c>
      <c r="S639" t="str">
        <f>_xlfn.XLOOKUP(Jnl[[#This Row],[Division]],config_div[Id], config_div[Name],,0)</f>
        <v>综合管理</v>
      </c>
      <c r="T639" t="str">
        <f>IF(Jnl[[#This Row],[TrxDate]]&lt;=stmt_BS_date_end, "In", "Out")</f>
        <v>In</v>
      </c>
      <c r="U639" t="str">
        <f>IF(Jnl[[#This Row],[TrxDate]]&lt;debug_date_start, "prior", IF(Jnl[[#This Row],[TrxDate]]&gt;debug_date_end, "post", "curr"))</f>
        <v>prior</v>
      </c>
    </row>
    <row r="640" spans="1:21">
      <c r="A640" s="11" t="s">
        <v>800</v>
      </c>
      <c r="B640" s="7">
        <f>_xlfn.XLOOKUP(Jnl[[#This Row],[TrxId]], Trx[Id], Trx[Date],,0)</f>
        <v>46053</v>
      </c>
      <c r="C640" s="7" t="str">
        <f>_xlfn.XLOOKUP(Jnl[[#This Row],[TrxId]], Trx[Id], Trx[Division],,0)</f>
        <v>Online</v>
      </c>
      <c r="D640" s="7" t="str">
        <f>_xlfn.XLOOKUP(Jnl[[#This Row],[TrxId]], Trx[Id], Trx[Action],,0)</f>
        <v>采购</v>
      </c>
      <c r="E640" s="26" t="s">
        <v>80</v>
      </c>
      <c r="F640" s="11" t="s">
        <v>598</v>
      </c>
      <c r="G640" s="11" t="s">
        <v>151</v>
      </c>
      <c r="H640" s="72">
        <v>6728</v>
      </c>
      <c r="I640" s="5" t="b">
        <f>AND(Jnl[[#This Row],[TrxId]]&lt;&gt;"",Jnl[[#This Row],[Acct]]&lt;&gt;"",Jnl[[#This Row],[Item]]&lt;&gt;"",ISNUMBER(Jnl[[#This Row],[Bal]]))</f>
        <v>1</v>
      </c>
      <c r="J640" s="10">
        <f>IF(Jnl[[#This Row],[BSLv0]]="A",1,-1)*Jnl[[#This Row],[Bal]]</f>
        <v>6728</v>
      </c>
      <c r="K640" t="str">
        <f>_xlfn.XLOOKUP(Jnl[[#This Row],[Acct]], config_BS[Acct], config_BS[Lv0],,0)</f>
        <v>A</v>
      </c>
      <c r="L640" t="str">
        <f>_xlfn.XLOOKUP(Jnl[[#This Row],[Acct]], config_BS[Acct], config_BS[Lv1],,0)</f>
        <v>Assets</v>
      </c>
      <c r="M640" t="str">
        <f>_xlfn.XLOOKUP(Jnl[[#This Row],[Acct]], config_BS[Acct], config_BS[Lv2],,0)</f>
        <v>Invtr</v>
      </c>
      <c r="N640" t="str">
        <f>_xlfn.XLOOKUP(Jnl[[#This Row],[TrxId]], Trx[Id], Trx[IncNode], ,0)</f>
        <v>Cost</v>
      </c>
      <c r="O640" t="str">
        <f>_xlfn.XLOOKUP(Jnl[[#This Row],[IncNode]], config_IS[Node], config_IS[Type],,0)</f>
        <v>Op</v>
      </c>
      <c r="P640" t="str">
        <f>_xlfn.XLOOKUP(Jnl[[#This Row],[BSLv2]], dict[Key], dict[Name],,0)</f>
        <v>3.库存占款</v>
      </c>
      <c r="Q640" t="str">
        <f>_xlfn.XLOOKUP(Jnl[[#This Row],[Acct]], dict[Key], dict[Name],,0)</f>
        <v>当期存货</v>
      </c>
      <c r="R640" t="str">
        <f>_xlfn.XLOOKUP(Jnl[[#This Row],[Vehicle]],config_vehicle[Id], config_vehicle[Name],,0)</f>
        <v>远家花园</v>
      </c>
      <c r="S640" t="str">
        <f>_xlfn.XLOOKUP(Jnl[[#This Row],[Division]],config_div[Id], config_div[Name],,0)</f>
        <v>网店</v>
      </c>
      <c r="T640" t="str">
        <f>IF(Jnl[[#This Row],[TrxDate]]&lt;=stmt_BS_date_end, "In", "Out")</f>
        <v>In</v>
      </c>
      <c r="U640" t="str">
        <f>IF(Jnl[[#This Row],[TrxDate]]&lt;debug_date_start, "prior", IF(Jnl[[#This Row],[TrxDate]]&gt;debug_date_end, "post", "curr"))</f>
        <v>prior</v>
      </c>
    </row>
    <row r="641" spans="1:21">
      <c r="A641" s="11" t="s">
        <v>800</v>
      </c>
      <c r="B641" s="7">
        <f>_xlfn.XLOOKUP(Jnl[[#This Row],[TrxId]], Trx[Id], Trx[Date],,0)</f>
        <v>46053</v>
      </c>
      <c r="C641" s="7" t="str">
        <f>_xlfn.XLOOKUP(Jnl[[#This Row],[TrxId]], Trx[Id], Trx[Division],,0)</f>
        <v>Online</v>
      </c>
      <c r="D641" s="7" t="str">
        <f>_xlfn.XLOOKUP(Jnl[[#This Row],[TrxId]], Trx[Id], Trx[Action],,0)</f>
        <v>采购</v>
      </c>
      <c r="E641" s="26" t="s">
        <v>80</v>
      </c>
      <c r="F641" s="11" t="s">
        <v>590</v>
      </c>
      <c r="G641" s="11" t="s">
        <v>391</v>
      </c>
      <c r="H641" s="72">
        <v>-6728</v>
      </c>
      <c r="I641" s="5" t="b">
        <f>AND(Jnl[[#This Row],[TrxId]]&lt;&gt;"",Jnl[[#This Row],[Acct]]&lt;&gt;"",Jnl[[#This Row],[Item]]&lt;&gt;"",ISNUMBER(Jnl[[#This Row],[Bal]]))</f>
        <v>1</v>
      </c>
      <c r="J641" s="10">
        <f>IF(Jnl[[#This Row],[BSLv0]]="A",1,-1)*Jnl[[#This Row],[Bal]]</f>
        <v>-6728</v>
      </c>
      <c r="K641" t="str">
        <f>_xlfn.XLOOKUP(Jnl[[#This Row],[Acct]], config_BS[Acct], config_BS[Lv0],,0)</f>
        <v>A</v>
      </c>
      <c r="L641" t="str">
        <f>_xlfn.XLOOKUP(Jnl[[#This Row],[Acct]], config_BS[Acct], config_BS[Lv1],,0)</f>
        <v>Assets</v>
      </c>
      <c r="M641" t="str">
        <f>_xlfn.XLOOKUP(Jnl[[#This Row],[Acct]], config_BS[Acct], config_BS[Lv2],,0)</f>
        <v>Cash alike</v>
      </c>
      <c r="N641" t="str">
        <f>_xlfn.XLOOKUP(Jnl[[#This Row],[TrxId]], Trx[Id], Trx[IncNode], ,0)</f>
        <v>Cost</v>
      </c>
      <c r="O641" t="str">
        <f>_xlfn.XLOOKUP(Jnl[[#This Row],[IncNode]], config_IS[Node], config_IS[Type],,0)</f>
        <v>Op</v>
      </c>
      <c r="P641" t="str">
        <f>_xlfn.XLOOKUP(Jnl[[#This Row],[BSLv2]], dict[Key], dict[Name],,0)</f>
        <v>0.现金及类似</v>
      </c>
      <c r="Q641" t="str">
        <f>_xlfn.XLOOKUP(Jnl[[#This Row],[Acct]], dict[Key], dict[Name],,0)</f>
        <v>银行</v>
      </c>
      <c r="R641" t="str">
        <f>_xlfn.XLOOKUP(Jnl[[#This Row],[Vehicle]],config_vehicle[Id], config_vehicle[Name],,0)</f>
        <v>远家花园</v>
      </c>
      <c r="S641" t="str">
        <f>_xlfn.XLOOKUP(Jnl[[#This Row],[Division]],config_div[Id], config_div[Name],,0)</f>
        <v>网店</v>
      </c>
      <c r="T641" t="str">
        <f>IF(Jnl[[#This Row],[TrxDate]]&lt;=stmt_BS_date_end, "In", "Out")</f>
        <v>In</v>
      </c>
      <c r="U641" t="str">
        <f>IF(Jnl[[#This Row],[TrxDate]]&lt;debug_date_start, "prior", IF(Jnl[[#This Row],[TrxDate]]&gt;debug_date_end, "post", "curr"))</f>
        <v>prior</v>
      </c>
    </row>
    <row r="642" spans="1:21">
      <c r="A642" s="11" t="s">
        <v>801</v>
      </c>
      <c r="B642" s="7">
        <f>_xlfn.XLOOKUP(Jnl[[#This Row],[TrxId]], Trx[Id], Trx[Date],,0)</f>
        <v>46053</v>
      </c>
      <c r="C642" s="7" t="str">
        <f>_xlfn.XLOOKUP(Jnl[[#This Row],[TrxId]], Trx[Id], Trx[Division],,0)</f>
        <v>Online</v>
      </c>
      <c r="D642" s="7" t="str">
        <f>_xlfn.XLOOKUP(Jnl[[#This Row],[TrxId]], Trx[Id], Trx[Action],,0)</f>
        <v>加工</v>
      </c>
      <c r="E642" s="26" t="s">
        <v>80</v>
      </c>
      <c r="F642" s="11" t="s">
        <v>598</v>
      </c>
      <c r="G642" s="11" t="s">
        <v>151</v>
      </c>
      <c r="H642" s="72">
        <v>2550</v>
      </c>
      <c r="I642" s="5" t="b">
        <f>AND(Jnl[[#This Row],[TrxId]]&lt;&gt;"",Jnl[[#This Row],[Acct]]&lt;&gt;"",Jnl[[#This Row],[Item]]&lt;&gt;"",ISNUMBER(Jnl[[#This Row],[Bal]]))</f>
        <v>1</v>
      </c>
      <c r="J642" s="10">
        <f>IF(Jnl[[#This Row],[BSLv0]]="A",1,-1)*Jnl[[#This Row],[Bal]]</f>
        <v>2550</v>
      </c>
      <c r="K642" t="str">
        <f>_xlfn.XLOOKUP(Jnl[[#This Row],[Acct]], config_BS[Acct], config_BS[Lv0],,0)</f>
        <v>A</v>
      </c>
      <c r="L642" t="str">
        <f>_xlfn.XLOOKUP(Jnl[[#This Row],[Acct]], config_BS[Acct], config_BS[Lv1],,0)</f>
        <v>Assets</v>
      </c>
      <c r="M642" t="str">
        <f>_xlfn.XLOOKUP(Jnl[[#This Row],[Acct]], config_BS[Acct], config_BS[Lv2],,0)</f>
        <v>Invtr</v>
      </c>
      <c r="N642" t="str">
        <f>_xlfn.XLOOKUP(Jnl[[#This Row],[TrxId]], Trx[Id], Trx[IncNode], ,0)</f>
        <v>Cost</v>
      </c>
      <c r="O642" t="str">
        <f>_xlfn.XLOOKUP(Jnl[[#This Row],[IncNode]], config_IS[Node], config_IS[Type],,0)</f>
        <v>Op</v>
      </c>
      <c r="P642" t="str">
        <f>_xlfn.XLOOKUP(Jnl[[#This Row],[BSLv2]], dict[Key], dict[Name],,0)</f>
        <v>3.库存占款</v>
      </c>
      <c r="Q642" t="str">
        <f>_xlfn.XLOOKUP(Jnl[[#This Row],[Acct]], dict[Key], dict[Name],,0)</f>
        <v>当期存货</v>
      </c>
      <c r="R642" t="str">
        <f>_xlfn.XLOOKUP(Jnl[[#This Row],[Vehicle]],config_vehicle[Id], config_vehicle[Name],,0)</f>
        <v>远家花园</v>
      </c>
      <c r="S642" t="str">
        <f>_xlfn.XLOOKUP(Jnl[[#This Row],[Division]],config_div[Id], config_div[Name],,0)</f>
        <v>网店</v>
      </c>
      <c r="T642" t="str">
        <f>IF(Jnl[[#This Row],[TrxDate]]&lt;=stmt_BS_date_end, "In", "Out")</f>
        <v>In</v>
      </c>
      <c r="U642" t="str">
        <f>IF(Jnl[[#This Row],[TrxDate]]&lt;debug_date_start, "prior", IF(Jnl[[#This Row],[TrxDate]]&gt;debug_date_end, "post", "curr"))</f>
        <v>prior</v>
      </c>
    </row>
    <row r="643" spans="1:21">
      <c r="A643" s="11" t="s">
        <v>801</v>
      </c>
      <c r="B643" s="7">
        <f>_xlfn.XLOOKUP(Jnl[[#This Row],[TrxId]], Trx[Id], Trx[Date],,0)</f>
        <v>46053</v>
      </c>
      <c r="C643" s="7" t="str">
        <f>_xlfn.XLOOKUP(Jnl[[#This Row],[TrxId]], Trx[Id], Trx[Division],,0)</f>
        <v>Online</v>
      </c>
      <c r="D643" s="7" t="str">
        <f>_xlfn.XLOOKUP(Jnl[[#This Row],[TrxId]], Trx[Id], Trx[Action],,0)</f>
        <v>加工</v>
      </c>
      <c r="E643" s="26" t="s">
        <v>80</v>
      </c>
      <c r="F643" s="11" t="s">
        <v>590</v>
      </c>
      <c r="G643" s="11" t="s">
        <v>391</v>
      </c>
      <c r="H643" s="72">
        <v>-2550</v>
      </c>
      <c r="I643" s="5" t="b">
        <f>AND(Jnl[[#This Row],[TrxId]]&lt;&gt;"",Jnl[[#This Row],[Acct]]&lt;&gt;"",Jnl[[#This Row],[Item]]&lt;&gt;"",ISNUMBER(Jnl[[#This Row],[Bal]]))</f>
        <v>1</v>
      </c>
      <c r="J643" s="10">
        <f>IF(Jnl[[#This Row],[BSLv0]]="A",1,-1)*Jnl[[#This Row],[Bal]]</f>
        <v>-2550</v>
      </c>
      <c r="K643" t="str">
        <f>_xlfn.XLOOKUP(Jnl[[#This Row],[Acct]], config_BS[Acct], config_BS[Lv0],,0)</f>
        <v>A</v>
      </c>
      <c r="L643" t="str">
        <f>_xlfn.XLOOKUP(Jnl[[#This Row],[Acct]], config_BS[Acct], config_BS[Lv1],,0)</f>
        <v>Assets</v>
      </c>
      <c r="M643" t="str">
        <f>_xlfn.XLOOKUP(Jnl[[#This Row],[Acct]], config_BS[Acct], config_BS[Lv2],,0)</f>
        <v>Cash alike</v>
      </c>
      <c r="N643" t="str">
        <f>_xlfn.XLOOKUP(Jnl[[#This Row],[TrxId]], Trx[Id], Trx[IncNode], ,0)</f>
        <v>Cost</v>
      </c>
      <c r="O643" t="str">
        <f>_xlfn.XLOOKUP(Jnl[[#This Row],[IncNode]], config_IS[Node], config_IS[Type],,0)</f>
        <v>Op</v>
      </c>
      <c r="P643" t="str">
        <f>_xlfn.XLOOKUP(Jnl[[#This Row],[BSLv2]], dict[Key], dict[Name],,0)</f>
        <v>0.现金及类似</v>
      </c>
      <c r="Q643" t="str">
        <f>_xlfn.XLOOKUP(Jnl[[#This Row],[Acct]], dict[Key], dict[Name],,0)</f>
        <v>银行</v>
      </c>
      <c r="R643" t="str">
        <f>_xlfn.XLOOKUP(Jnl[[#This Row],[Vehicle]],config_vehicle[Id], config_vehicle[Name],,0)</f>
        <v>远家花园</v>
      </c>
      <c r="S643" t="str">
        <f>_xlfn.XLOOKUP(Jnl[[#This Row],[Division]],config_div[Id], config_div[Name],,0)</f>
        <v>网店</v>
      </c>
      <c r="T643" t="str">
        <f>IF(Jnl[[#This Row],[TrxDate]]&lt;=stmt_BS_date_end, "In", "Out")</f>
        <v>In</v>
      </c>
      <c r="U643" t="str">
        <f>IF(Jnl[[#This Row],[TrxDate]]&lt;debug_date_start, "prior", IF(Jnl[[#This Row],[TrxDate]]&gt;debug_date_end, "post", "curr"))</f>
        <v>prior</v>
      </c>
    </row>
    <row r="644" spans="1:21">
      <c r="A644" s="11" t="s">
        <v>807</v>
      </c>
      <c r="B644" s="7">
        <f>_xlfn.XLOOKUP(Jnl[[#This Row],[TrxId]], Trx[Id], Trx[Date],,0)</f>
        <v>46053</v>
      </c>
      <c r="C644" s="7" t="str">
        <f>_xlfn.XLOOKUP(Jnl[[#This Row],[TrxId]], Trx[Id], Trx[Division],,0)</f>
        <v>Online</v>
      </c>
      <c r="D644" s="7" t="str">
        <f>_xlfn.XLOOKUP(Jnl[[#This Row],[TrxId]], Trx[Id], Trx[Action],,0)</f>
        <v>采购</v>
      </c>
      <c r="E644" s="26" t="s">
        <v>80</v>
      </c>
      <c r="F644" s="11" t="s">
        <v>598</v>
      </c>
      <c r="G644" s="11" t="s">
        <v>151</v>
      </c>
      <c r="H644" s="72">
        <v>24762.5</v>
      </c>
      <c r="I644" s="5" t="b">
        <f>AND(Jnl[[#This Row],[TrxId]]&lt;&gt;"",Jnl[[#This Row],[Acct]]&lt;&gt;"",Jnl[[#This Row],[Item]]&lt;&gt;"",ISNUMBER(Jnl[[#This Row],[Bal]]))</f>
        <v>1</v>
      </c>
      <c r="J644" s="10">
        <f>IF(Jnl[[#This Row],[BSLv0]]="A",1,-1)*Jnl[[#This Row],[Bal]]</f>
        <v>24762.5</v>
      </c>
      <c r="K644" t="str">
        <f>_xlfn.XLOOKUP(Jnl[[#This Row],[Acct]], config_BS[Acct], config_BS[Lv0],,0)</f>
        <v>A</v>
      </c>
      <c r="L644" t="str">
        <f>_xlfn.XLOOKUP(Jnl[[#This Row],[Acct]], config_BS[Acct], config_BS[Lv1],,0)</f>
        <v>Assets</v>
      </c>
      <c r="M644" t="str">
        <f>_xlfn.XLOOKUP(Jnl[[#This Row],[Acct]], config_BS[Acct], config_BS[Lv2],,0)</f>
        <v>Invtr</v>
      </c>
      <c r="N644" t="str">
        <f>_xlfn.XLOOKUP(Jnl[[#This Row],[TrxId]], Trx[Id], Trx[IncNode], ,0)</f>
        <v>Cost</v>
      </c>
      <c r="O644" t="str">
        <f>_xlfn.XLOOKUP(Jnl[[#This Row],[IncNode]], config_IS[Node], config_IS[Type],,0)</f>
        <v>Op</v>
      </c>
      <c r="P644" t="str">
        <f>_xlfn.XLOOKUP(Jnl[[#This Row],[BSLv2]], dict[Key], dict[Name],,0)</f>
        <v>3.库存占款</v>
      </c>
      <c r="Q644" t="str">
        <f>_xlfn.XLOOKUP(Jnl[[#This Row],[Acct]], dict[Key], dict[Name],,0)</f>
        <v>当期存货</v>
      </c>
      <c r="R644" t="str">
        <f>_xlfn.XLOOKUP(Jnl[[#This Row],[Vehicle]],config_vehicle[Id], config_vehicle[Name],,0)</f>
        <v>远家花园</v>
      </c>
      <c r="S644" t="str">
        <f>_xlfn.XLOOKUP(Jnl[[#This Row],[Division]],config_div[Id], config_div[Name],,0)</f>
        <v>网店</v>
      </c>
      <c r="T644" t="str">
        <f>IF(Jnl[[#This Row],[TrxDate]]&lt;=stmt_BS_date_end, "In", "Out")</f>
        <v>In</v>
      </c>
      <c r="U644" t="str">
        <f>IF(Jnl[[#This Row],[TrxDate]]&lt;debug_date_start, "prior", IF(Jnl[[#This Row],[TrxDate]]&gt;debug_date_end, "post", "curr"))</f>
        <v>prior</v>
      </c>
    </row>
    <row r="645" spans="1:21">
      <c r="A645" s="11" t="s">
        <v>807</v>
      </c>
      <c r="B645" s="7">
        <f>_xlfn.XLOOKUP(Jnl[[#This Row],[TrxId]], Trx[Id], Trx[Date],,0)</f>
        <v>46053</v>
      </c>
      <c r="C645" s="7" t="str">
        <f>_xlfn.XLOOKUP(Jnl[[#This Row],[TrxId]], Trx[Id], Trx[Division],,0)</f>
        <v>Online</v>
      </c>
      <c r="D645" s="7" t="str">
        <f>_xlfn.XLOOKUP(Jnl[[#This Row],[TrxId]], Trx[Id], Trx[Action],,0)</f>
        <v>采购</v>
      </c>
      <c r="E645" s="26" t="s">
        <v>80</v>
      </c>
      <c r="F645" s="11" t="s">
        <v>590</v>
      </c>
      <c r="G645" s="11" t="s">
        <v>391</v>
      </c>
      <c r="H645" s="72">
        <v>-24762.5</v>
      </c>
      <c r="I645" s="5" t="b">
        <f>AND(Jnl[[#This Row],[TrxId]]&lt;&gt;"",Jnl[[#This Row],[Acct]]&lt;&gt;"",Jnl[[#This Row],[Item]]&lt;&gt;"",ISNUMBER(Jnl[[#This Row],[Bal]]))</f>
        <v>1</v>
      </c>
      <c r="J645" s="10">
        <f>IF(Jnl[[#This Row],[BSLv0]]="A",1,-1)*Jnl[[#This Row],[Bal]]</f>
        <v>-24762.5</v>
      </c>
      <c r="K645" t="str">
        <f>_xlfn.XLOOKUP(Jnl[[#This Row],[Acct]], config_BS[Acct], config_BS[Lv0],,0)</f>
        <v>A</v>
      </c>
      <c r="L645" t="str">
        <f>_xlfn.XLOOKUP(Jnl[[#This Row],[Acct]], config_BS[Acct], config_BS[Lv1],,0)</f>
        <v>Assets</v>
      </c>
      <c r="M645" t="str">
        <f>_xlfn.XLOOKUP(Jnl[[#This Row],[Acct]], config_BS[Acct], config_BS[Lv2],,0)</f>
        <v>Cash alike</v>
      </c>
      <c r="N645" t="str">
        <f>_xlfn.XLOOKUP(Jnl[[#This Row],[TrxId]], Trx[Id], Trx[IncNode], ,0)</f>
        <v>Cost</v>
      </c>
      <c r="O645" t="str">
        <f>_xlfn.XLOOKUP(Jnl[[#This Row],[IncNode]], config_IS[Node], config_IS[Type],,0)</f>
        <v>Op</v>
      </c>
      <c r="P645" t="str">
        <f>_xlfn.XLOOKUP(Jnl[[#This Row],[BSLv2]], dict[Key], dict[Name],,0)</f>
        <v>0.现金及类似</v>
      </c>
      <c r="Q645" t="str">
        <f>_xlfn.XLOOKUP(Jnl[[#This Row],[Acct]], dict[Key], dict[Name],,0)</f>
        <v>银行</v>
      </c>
      <c r="R645" t="str">
        <f>_xlfn.XLOOKUP(Jnl[[#This Row],[Vehicle]],config_vehicle[Id], config_vehicle[Name],,0)</f>
        <v>远家花园</v>
      </c>
      <c r="S645" t="str">
        <f>_xlfn.XLOOKUP(Jnl[[#This Row],[Division]],config_div[Id], config_div[Name],,0)</f>
        <v>网店</v>
      </c>
      <c r="T645" t="str">
        <f>IF(Jnl[[#This Row],[TrxDate]]&lt;=stmt_BS_date_end, "In", "Out")</f>
        <v>In</v>
      </c>
      <c r="U645" t="str">
        <f>IF(Jnl[[#This Row],[TrxDate]]&lt;debug_date_start, "prior", IF(Jnl[[#This Row],[TrxDate]]&gt;debug_date_end, "post", "curr"))</f>
        <v>prior</v>
      </c>
    </row>
    <row r="646" spans="1:21">
      <c r="A646" s="11" t="s">
        <v>808</v>
      </c>
      <c r="B646" s="7">
        <f>_xlfn.XLOOKUP(Jnl[[#This Row],[TrxId]], Trx[Id], Trx[Date],,0)</f>
        <v>46053</v>
      </c>
      <c r="C646" s="7" t="str">
        <f>_xlfn.XLOOKUP(Jnl[[#This Row],[TrxId]], Trx[Id], Trx[Division],,0)</f>
        <v>Online</v>
      </c>
      <c r="D646" s="7" t="str">
        <f>_xlfn.XLOOKUP(Jnl[[#This Row],[TrxId]], Trx[Id], Trx[Action],,0)</f>
        <v>采购</v>
      </c>
      <c r="E646" s="26" t="s">
        <v>80</v>
      </c>
      <c r="F646" s="11" t="s">
        <v>598</v>
      </c>
      <c r="G646" s="11" t="s">
        <v>151</v>
      </c>
      <c r="H646" s="72">
        <v>2000</v>
      </c>
      <c r="I646" s="5" t="b">
        <f>AND(Jnl[[#This Row],[TrxId]]&lt;&gt;"",Jnl[[#This Row],[Acct]]&lt;&gt;"",Jnl[[#This Row],[Item]]&lt;&gt;"",ISNUMBER(Jnl[[#This Row],[Bal]]))</f>
        <v>1</v>
      </c>
      <c r="J646" s="10">
        <f>IF(Jnl[[#This Row],[BSLv0]]="A",1,-1)*Jnl[[#This Row],[Bal]]</f>
        <v>2000</v>
      </c>
      <c r="K646" t="str">
        <f>_xlfn.XLOOKUP(Jnl[[#This Row],[Acct]], config_BS[Acct], config_BS[Lv0],,0)</f>
        <v>A</v>
      </c>
      <c r="L646" t="str">
        <f>_xlfn.XLOOKUP(Jnl[[#This Row],[Acct]], config_BS[Acct], config_BS[Lv1],,0)</f>
        <v>Assets</v>
      </c>
      <c r="M646" t="str">
        <f>_xlfn.XLOOKUP(Jnl[[#This Row],[Acct]], config_BS[Acct], config_BS[Lv2],,0)</f>
        <v>Invtr</v>
      </c>
      <c r="N646" t="str">
        <f>_xlfn.XLOOKUP(Jnl[[#This Row],[TrxId]], Trx[Id], Trx[IncNode], ,0)</f>
        <v>Cost</v>
      </c>
      <c r="O646" t="str">
        <f>_xlfn.XLOOKUP(Jnl[[#This Row],[IncNode]], config_IS[Node], config_IS[Type],,0)</f>
        <v>Op</v>
      </c>
      <c r="P646" t="str">
        <f>_xlfn.XLOOKUP(Jnl[[#This Row],[BSLv2]], dict[Key], dict[Name],,0)</f>
        <v>3.库存占款</v>
      </c>
      <c r="Q646" t="str">
        <f>_xlfn.XLOOKUP(Jnl[[#This Row],[Acct]], dict[Key], dict[Name],,0)</f>
        <v>当期存货</v>
      </c>
      <c r="R646" t="str">
        <f>_xlfn.XLOOKUP(Jnl[[#This Row],[Vehicle]],config_vehicle[Id], config_vehicle[Name],,0)</f>
        <v>远家花园</v>
      </c>
      <c r="S646" t="str">
        <f>_xlfn.XLOOKUP(Jnl[[#This Row],[Division]],config_div[Id], config_div[Name],,0)</f>
        <v>网店</v>
      </c>
      <c r="T646" t="str">
        <f>IF(Jnl[[#This Row],[TrxDate]]&lt;=stmt_BS_date_end, "In", "Out")</f>
        <v>In</v>
      </c>
      <c r="U646" t="str">
        <f>IF(Jnl[[#This Row],[TrxDate]]&lt;debug_date_start, "prior", IF(Jnl[[#This Row],[TrxDate]]&gt;debug_date_end, "post", "curr"))</f>
        <v>prior</v>
      </c>
    </row>
    <row r="647" spans="1:21">
      <c r="A647" s="11" t="s">
        <v>808</v>
      </c>
      <c r="B647" s="7">
        <f>_xlfn.XLOOKUP(Jnl[[#This Row],[TrxId]], Trx[Id], Trx[Date],,0)</f>
        <v>46053</v>
      </c>
      <c r="C647" s="7" t="str">
        <f>_xlfn.XLOOKUP(Jnl[[#This Row],[TrxId]], Trx[Id], Trx[Division],,0)</f>
        <v>Online</v>
      </c>
      <c r="D647" s="7" t="str">
        <f>_xlfn.XLOOKUP(Jnl[[#This Row],[TrxId]], Trx[Id], Trx[Action],,0)</f>
        <v>采购</v>
      </c>
      <c r="E647" s="26" t="s">
        <v>80</v>
      </c>
      <c r="F647" s="11" t="s">
        <v>590</v>
      </c>
      <c r="G647" s="11" t="s">
        <v>391</v>
      </c>
      <c r="H647" s="72">
        <v>-2000</v>
      </c>
      <c r="I647" s="5" t="b">
        <f>AND(Jnl[[#This Row],[TrxId]]&lt;&gt;"",Jnl[[#This Row],[Acct]]&lt;&gt;"",Jnl[[#This Row],[Item]]&lt;&gt;"",ISNUMBER(Jnl[[#This Row],[Bal]]))</f>
        <v>1</v>
      </c>
      <c r="J647" s="10">
        <f>IF(Jnl[[#This Row],[BSLv0]]="A",1,-1)*Jnl[[#This Row],[Bal]]</f>
        <v>-2000</v>
      </c>
      <c r="K647" t="str">
        <f>_xlfn.XLOOKUP(Jnl[[#This Row],[Acct]], config_BS[Acct], config_BS[Lv0],,0)</f>
        <v>A</v>
      </c>
      <c r="L647" t="str">
        <f>_xlfn.XLOOKUP(Jnl[[#This Row],[Acct]], config_BS[Acct], config_BS[Lv1],,0)</f>
        <v>Assets</v>
      </c>
      <c r="M647" t="str">
        <f>_xlfn.XLOOKUP(Jnl[[#This Row],[Acct]], config_BS[Acct], config_BS[Lv2],,0)</f>
        <v>Cash alike</v>
      </c>
      <c r="N647" t="str">
        <f>_xlfn.XLOOKUP(Jnl[[#This Row],[TrxId]], Trx[Id], Trx[IncNode], ,0)</f>
        <v>Cost</v>
      </c>
      <c r="O647" t="str">
        <f>_xlfn.XLOOKUP(Jnl[[#This Row],[IncNode]], config_IS[Node], config_IS[Type],,0)</f>
        <v>Op</v>
      </c>
      <c r="P647" t="str">
        <f>_xlfn.XLOOKUP(Jnl[[#This Row],[BSLv2]], dict[Key], dict[Name],,0)</f>
        <v>0.现金及类似</v>
      </c>
      <c r="Q647" t="str">
        <f>_xlfn.XLOOKUP(Jnl[[#This Row],[Acct]], dict[Key], dict[Name],,0)</f>
        <v>银行</v>
      </c>
      <c r="R647" t="str">
        <f>_xlfn.XLOOKUP(Jnl[[#This Row],[Vehicle]],config_vehicle[Id], config_vehicle[Name],,0)</f>
        <v>远家花园</v>
      </c>
      <c r="S647" t="str">
        <f>_xlfn.XLOOKUP(Jnl[[#This Row],[Division]],config_div[Id], config_div[Name],,0)</f>
        <v>网店</v>
      </c>
      <c r="T647" t="str">
        <f>IF(Jnl[[#This Row],[TrxDate]]&lt;=stmt_BS_date_end, "In", "Out")</f>
        <v>In</v>
      </c>
      <c r="U647" t="str">
        <f>IF(Jnl[[#This Row],[TrxDate]]&lt;debug_date_start, "prior", IF(Jnl[[#This Row],[TrxDate]]&gt;debug_date_end, "post", "curr"))</f>
        <v>prior</v>
      </c>
    </row>
    <row r="648" spans="1:21">
      <c r="A648" s="11" t="s">
        <v>809</v>
      </c>
      <c r="B648" s="7">
        <f>_xlfn.XLOOKUP(Jnl[[#This Row],[TrxId]], Trx[Id], Trx[Date],,0)</f>
        <v>46053</v>
      </c>
      <c r="C648" s="7" t="str">
        <f>_xlfn.XLOOKUP(Jnl[[#This Row],[TrxId]], Trx[Id], Trx[Division],,0)</f>
        <v>Online</v>
      </c>
      <c r="D648" s="7" t="str">
        <f>_xlfn.XLOOKUP(Jnl[[#This Row],[TrxId]], Trx[Id], Trx[Action],,0)</f>
        <v>加工</v>
      </c>
      <c r="E648" s="26" t="s">
        <v>80</v>
      </c>
      <c r="F648" s="11" t="s">
        <v>598</v>
      </c>
      <c r="G648" s="11" t="s">
        <v>151</v>
      </c>
      <c r="H648" s="72">
        <v>29022</v>
      </c>
      <c r="I648" s="5" t="b">
        <f>AND(Jnl[[#This Row],[TrxId]]&lt;&gt;"",Jnl[[#This Row],[Acct]]&lt;&gt;"",Jnl[[#This Row],[Item]]&lt;&gt;"",ISNUMBER(Jnl[[#This Row],[Bal]]))</f>
        <v>1</v>
      </c>
      <c r="J648" s="10">
        <f>IF(Jnl[[#This Row],[BSLv0]]="A",1,-1)*Jnl[[#This Row],[Bal]]</f>
        <v>29022</v>
      </c>
      <c r="K648" t="str">
        <f>_xlfn.XLOOKUP(Jnl[[#This Row],[Acct]], config_BS[Acct], config_BS[Lv0],,0)</f>
        <v>A</v>
      </c>
      <c r="L648" t="str">
        <f>_xlfn.XLOOKUP(Jnl[[#This Row],[Acct]], config_BS[Acct], config_BS[Lv1],,0)</f>
        <v>Assets</v>
      </c>
      <c r="M648" t="str">
        <f>_xlfn.XLOOKUP(Jnl[[#This Row],[Acct]], config_BS[Acct], config_BS[Lv2],,0)</f>
        <v>Invtr</v>
      </c>
      <c r="N648" t="str">
        <f>_xlfn.XLOOKUP(Jnl[[#This Row],[TrxId]], Trx[Id], Trx[IncNode], ,0)</f>
        <v>Cost</v>
      </c>
      <c r="O648" t="str">
        <f>_xlfn.XLOOKUP(Jnl[[#This Row],[IncNode]], config_IS[Node], config_IS[Type],,0)</f>
        <v>Op</v>
      </c>
      <c r="P648" t="str">
        <f>_xlfn.XLOOKUP(Jnl[[#This Row],[BSLv2]], dict[Key], dict[Name],,0)</f>
        <v>3.库存占款</v>
      </c>
      <c r="Q648" t="str">
        <f>_xlfn.XLOOKUP(Jnl[[#This Row],[Acct]], dict[Key], dict[Name],,0)</f>
        <v>当期存货</v>
      </c>
      <c r="R648" t="str">
        <f>_xlfn.XLOOKUP(Jnl[[#This Row],[Vehicle]],config_vehicle[Id], config_vehicle[Name],,0)</f>
        <v>远家花园</v>
      </c>
      <c r="S648" t="str">
        <f>_xlfn.XLOOKUP(Jnl[[#This Row],[Division]],config_div[Id], config_div[Name],,0)</f>
        <v>网店</v>
      </c>
      <c r="T648" t="str">
        <f>IF(Jnl[[#This Row],[TrxDate]]&lt;=stmt_BS_date_end, "In", "Out")</f>
        <v>In</v>
      </c>
      <c r="U648" t="str">
        <f>IF(Jnl[[#This Row],[TrxDate]]&lt;debug_date_start, "prior", IF(Jnl[[#This Row],[TrxDate]]&gt;debug_date_end, "post", "curr"))</f>
        <v>prior</v>
      </c>
    </row>
    <row r="649" spans="1:21">
      <c r="A649" s="11" t="s">
        <v>809</v>
      </c>
      <c r="B649" s="7">
        <f>_xlfn.XLOOKUP(Jnl[[#This Row],[TrxId]], Trx[Id], Trx[Date],,0)</f>
        <v>46053</v>
      </c>
      <c r="C649" s="7" t="str">
        <f>_xlfn.XLOOKUP(Jnl[[#This Row],[TrxId]], Trx[Id], Trx[Division],,0)</f>
        <v>Online</v>
      </c>
      <c r="D649" s="7" t="str">
        <f>_xlfn.XLOOKUP(Jnl[[#This Row],[TrxId]], Trx[Id], Trx[Action],,0)</f>
        <v>加工</v>
      </c>
      <c r="E649" s="26" t="s">
        <v>80</v>
      </c>
      <c r="F649" s="11" t="s">
        <v>590</v>
      </c>
      <c r="G649" s="11" t="s">
        <v>391</v>
      </c>
      <c r="H649" s="72">
        <v>-29022</v>
      </c>
      <c r="I649" s="5" t="b">
        <f>AND(Jnl[[#This Row],[TrxId]]&lt;&gt;"",Jnl[[#This Row],[Acct]]&lt;&gt;"",Jnl[[#This Row],[Item]]&lt;&gt;"",ISNUMBER(Jnl[[#This Row],[Bal]]))</f>
        <v>1</v>
      </c>
      <c r="J649" s="10">
        <f>IF(Jnl[[#This Row],[BSLv0]]="A",1,-1)*Jnl[[#This Row],[Bal]]</f>
        <v>-29022</v>
      </c>
      <c r="K649" t="str">
        <f>_xlfn.XLOOKUP(Jnl[[#This Row],[Acct]], config_BS[Acct], config_BS[Lv0],,0)</f>
        <v>A</v>
      </c>
      <c r="L649" t="str">
        <f>_xlfn.XLOOKUP(Jnl[[#This Row],[Acct]], config_BS[Acct], config_BS[Lv1],,0)</f>
        <v>Assets</v>
      </c>
      <c r="M649" t="str">
        <f>_xlfn.XLOOKUP(Jnl[[#This Row],[Acct]], config_BS[Acct], config_BS[Lv2],,0)</f>
        <v>Cash alike</v>
      </c>
      <c r="N649" t="str">
        <f>_xlfn.XLOOKUP(Jnl[[#This Row],[TrxId]], Trx[Id], Trx[IncNode], ,0)</f>
        <v>Cost</v>
      </c>
      <c r="O649" t="str">
        <f>_xlfn.XLOOKUP(Jnl[[#This Row],[IncNode]], config_IS[Node], config_IS[Type],,0)</f>
        <v>Op</v>
      </c>
      <c r="P649" t="str">
        <f>_xlfn.XLOOKUP(Jnl[[#This Row],[BSLv2]], dict[Key], dict[Name],,0)</f>
        <v>0.现金及类似</v>
      </c>
      <c r="Q649" t="str">
        <f>_xlfn.XLOOKUP(Jnl[[#This Row],[Acct]], dict[Key], dict[Name],,0)</f>
        <v>银行</v>
      </c>
      <c r="R649" t="str">
        <f>_xlfn.XLOOKUP(Jnl[[#This Row],[Vehicle]],config_vehicle[Id], config_vehicle[Name],,0)</f>
        <v>远家花园</v>
      </c>
      <c r="S649" t="str">
        <f>_xlfn.XLOOKUP(Jnl[[#This Row],[Division]],config_div[Id], config_div[Name],,0)</f>
        <v>网店</v>
      </c>
      <c r="T649" t="str">
        <f>IF(Jnl[[#This Row],[TrxDate]]&lt;=stmt_BS_date_end, "In", "Out")</f>
        <v>In</v>
      </c>
      <c r="U649" t="str">
        <f>IF(Jnl[[#This Row],[TrxDate]]&lt;debug_date_start, "prior", IF(Jnl[[#This Row],[TrxDate]]&gt;debug_date_end, "post", "curr"))</f>
        <v>prior</v>
      </c>
    </row>
    <row r="650" spans="1:21">
      <c r="A650" s="11" t="s">
        <v>810</v>
      </c>
      <c r="B650" s="7">
        <f>_xlfn.XLOOKUP(Jnl[[#This Row],[TrxId]], Trx[Id], Trx[Date],,0)</f>
        <v>46053</v>
      </c>
      <c r="C650" s="7" t="str">
        <f>_xlfn.XLOOKUP(Jnl[[#This Row],[TrxId]], Trx[Id], Trx[Division],,0)</f>
        <v>Online</v>
      </c>
      <c r="D650" s="7" t="str">
        <f>_xlfn.XLOOKUP(Jnl[[#This Row],[TrxId]], Trx[Id], Trx[Action],,0)</f>
        <v>采购</v>
      </c>
      <c r="E650" s="26" t="s">
        <v>80</v>
      </c>
      <c r="F650" s="11" t="s">
        <v>598</v>
      </c>
      <c r="G650" s="11" t="s">
        <v>151</v>
      </c>
      <c r="H650" s="72">
        <v>238743.9</v>
      </c>
      <c r="I650" s="5" t="b">
        <f>AND(Jnl[[#This Row],[TrxId]]&lt;&gt;"",Jnl[[#This Row],[Acct]]&lt;&gt;"",Jnl[[#This Row],[Item]]&lt;&gt;"",ISNUMBER(Jnl[[#This Row],[Bal]]))</f>
        <v>1</v>
      </c>
      <c r="J650" s="10">
        <f>IF(Jnl[[#This Row],[BSLv0]]="A",1,-1)*Jnl[[#This Row],[Bal]]</f>
        <v>238743.9</v>
      </c>
      <c r="K650" t="str">
        <f>_xlfn.XLOOKUP(Jnl[[#This Row],[Acct]], config_BS[Acct], config_BS[Lv0],,0)</f>
        <v>A</v>
      </c>
      <c r="L650" t="str">
        <f>_xlfn.XLOOKUP(Jnl[[#This Row],[Acct]], config_BS[Acct], config_BS[Lv1],,0)</f>
        <v>Assets</v>
      </c>
      <c r="M650" t="str">
        <f>_xlfn.XLOOKUP(Jnl[[#This Row],[Acct]], config_BS[Acct], config_BS[Lv2],,0)</f>
        <v>Invtr</v>
      </c>
      <c r="N650" t="str">
        <f>_xlfn.XLOOKUP(Jnl[[#This Row],[TrxId]], Trx[Id], Trx[IncNode], ,0)</f>
        <v>Cost</v>
      </c>
      <c r="O650" t="str">
        <f>_xlfn.XLOOKUP(Jnl[[#This Row],[IncNode]], config_IS[Node], config_IS[Type],,0)</f>
        <v>Op</v>
      </c>
      <c r="P650" t="str">
        <f>_xlfn.XLOOKUP(Jnl[[#This Row],[BSLv2]], dict[Key], dict[Name],,0)</f>
        <v>3.库存占款</v>
      </c>
      <c r="Q650" t="str">
        <f>_xlfn.XLOOKUP(Jnl[[#This Row],[Acct]], dict[Key], dict[Name],,0)</f>
        <v>当期存货</v>
      </c>
      <c r="R650" t="str">
        <f>_xlfn.XLOOKUP(Jnl[[#This Row],[Vehicle]],config_vehicle[Id], config_vehicle[Name],,0)</f>
        <v>远家花园</v>
      </c>
      <c r="S650" t="str">
        <f>_xlfn.XLOOKUP(Jnl[[#This Row],[Division]],config_div[Id], config_div[Name],,0)</f>
        <v>网店</v>
      </c>
      <c r="T650" t="str">
        <f>IF(Jnl[[#This Row],[TrxDate]]&lt;=stmt_BS_date_end, "In", "Out")</f>
        <v>In</v>
      </c>
      <c r="U650" t="str">
        <f>IF(Jnl[[#This Row],[TrxDate]]&lt;debug_date_start, "prior", IF(Jnl[[#This Row],[TrxDate]]&gt;debug_date_end, "post", "curr"))</f>
        <v>prior</v>
      </c>
    </row>
    <row r="651" spans="1:21">
      <c r="A651" s="11" t="s">
        <v>810</v>
      </c>
      <c r="B651" s="7">
        <f>_xlfn.XLOOKUP(Jnl[[#This Row],[TrxId]], Trx[Id], Trx[Date],,0)</f>
        <v>46053</v>
      </c>
      <c r="C651" s="7" t="str">
        <f>_xlfn.XLOOKUP(Jnl[[#This Row],[TrxId]], Trx[Id], Trx[Division],,0)</f>
        <v>Online</v>
      </c>
      <c r="D651" s="7" t="str">
        <f>_xlfn.XLOOKUP(Jnl[[#This Row],[TrxId]], Trx[Id], Trx[Action],,0)</f>
        <v>采购</v>
      </c>
      <c r="E651" s="26" t="s">
        <v>80</v>
      </c>
      <c r="F651" s="11" t="s">
        <v>590</v>
      </c>
      <c r="G651" s="11" t="s">
        <v>391</v>
      </c>
      <c r="H651" s="72">
        <v>-238743.9</v>
      </c>
      <c r="I651" s="5" t="b">
        <f>AND(Jnl[[#This Row],[TrxId]]&lt;&gt;"",Jnl[[#This Row],[Acct]]&lt;&gt;"",Jnl[[#This Row],[Item]]&lt;&gt;"",ISNUMBER(Jnl[[#This Row],[Bal]]))</f>
        <v>1</v>
      </c>
      <c r="J651" s="10">
        <f>IF(Jnl[[#This Row],[BSLv0]]="A",1,-1)*Jnl[[#This Row],[Bal]]</f>
        <v>-238743.9</v>
      </c>
      <c r="K651" t="str">
        <f>_xlfn.XLOOKUP(Jnl[[#This Row],[Acct]], config_BS[Acct], config_BS[Lv0],,0)</f>
        <v>A</v>
      </c>
      <c r="L651" t="str">
        <f>_xlfn.XLOOKUP(Jnl[[#This Row],[Acct]], config_BS[Acct], config_BS[Lv1],,0)</f>
        <v>Assets</v>
      </c>
      <c r="M651" t="str">
        <f>_xlfn.XLOOKUP(Jnl[[#This Row],[Acct]], config_BS[Acct], config_BS[Lv2],,0)</f>
        <v>Cash alike</v>
      </c>
      <c r="N651" t="str">
        <f>_xlfn.XLOOKUP(Jnl[[#This Row],[TrxId]], Trx[Id], Trx[IncNode], ,0)</f>
        <v>Cost</v>
      </c>
      <c r="O651" t="str">
        <f>_xlfn.XLOOKUP(Jnl[[#This Row],[IncNode]], config_IS[Node], config_IS[Type],,0)</f>
        <v>Op</v>
      </c>
      <c r="P651" t="str">
        <f>_xlfn.XLOOKUP(Jnl[[#This Row],[BSLv2]], dict[Key], dict[Name],,0)</f>
        <v>0.现金及类似</v>
      </c>
      <c r="Q651" t="str">
        <f>_xlfn.XLOOKUP(Jnl[[#This Row],[Acct]], dict[Key], dict[Name],,0)</f>
        <v>银行</v>
      </c>
      <c r="R651" t="str">
        <f>_xlfn.XLOOKUP(Jnl[[#This Row],[Vehicle]],config_vehicle[Id], config_vehicle[Name],,0)</f>
        <v>远家花园</v>
      </c>
      <c r="S651" t="str">
        <f>_xlfn.XLOOKUP(Jnl[[#This Row],[Division]],config_div[Id], config_div[Name],,0)</f>
        <v>网店</v>
      </c>
      <c r="T651" t="str">
        <f>IF(Jnl[[#This Row],[TrxDate]]&lt;=stmt_BS_date_end, "In", "Out")</f>
        <v>In</v>
      </c>
      <c r="U651" t="str">
        <f>IF(Jnl[[#This Row],[TrxDate]]&lt;debug_date_start, "prior", IF(Jnl[[#This Row],[TrxDate]]&gt;debug_date_end, "post", "curr"))</f>
        <v>prior</v>
      </c>
    </row>
    <row r="652" spans="1:21">
      <c r="A652" s="11" t="s">
        <v>811</v>
      </c>
      <c r="B652" s="7">
        <f>_xlfn.XLOOKUP(Jnl[[#This Row],[TrxId]], Trx[Id], Trx[Date],,0)</f>
        <v>46053</v>
      </c>
      <c r="C652" s="7" t="str">
        <f>_xlfn.XLOOKUP(Jnl[[#This Row],[TrxId]], Trx[Id], Trx[Division],,0)</f>
        <v>GM</v>
      </c>
      <c r="D652" s="7" t="str">
        <f>_xlfn.XLOOKUP(Jnl[[#This Row],[TrxId]], Trx[Id], Trx[Action],,0)</f>
        <v>福利</v>
      </c>
      <c r="E652" s="26" t="s">
        <v>80</v>
      </c>
      <c r="F652" s="11" t="s">
        <v>590</v>
      </c>
      <c r="G652" s="11" t="s">
        <v>391</v>
      </c>
      <c r="H652" s="72">
        <v>-317.3</v>
      </c>
      <c r="I652" s="5" t="b">
        <f>AND(Jnl[[#This Row],[TrxId]]&lt;&gt;"",Jnl[[#This Row],[Acct]]&lt;&gt;"",Jnl[[#This Row],[Item]]&lt;&gt;"",ISNUMBER(Jnl[[#This Row],[Bal]]))</f>
        <v>1</v>
      </c>
      <c r="J652" s="10">
        <f>IF(Jnl[[#This Row],[BSLv0]]="A",1,-1)*Jnl[[#This Row],[Bal]]</f>
        <v>-317.3</v>
      </c>
      <c r="K652" t="str">
        <f>_xlfn.XLOOKUP(Jnl[[#This Row],[Acct]], config_BS[Acct], config_BS[Lv0],,0)</f>
        <v>A</v>
      </c>
      <c r="L652" t="str">
        <f>_xlfn.XLOOKUP(Jnl[[#This Row],[Acct]], config_BS[Acct], config_BS[Lv1],,0)</f>
        <v>Assets</v>
      </c>
      <c r="M652" t="str">
        <f>_xlfn.XLOOKUP(Jnl[[#This Row],[Acct]], config_BS[Acct], config_BS[Lv2],,0)</f>
        <v>Cash alike</v>
      </c>
      <c r="N652" t="str">
        <f>_xlfn.XLOOKUP(Jnl[[#This Row],[TrxId]], Trx[Id], Trx[IncNode], ,0)</f>
        <v>Expense</v>
      </c>
      <c r="O652" t="str">
        <f>_xlfn.XLOOKUP(Jnl[[#This Row],[IncNode]], config_IS[Node], config_IS[Type],,0)</f>
        <v>Op</v>
      </c>
      <c r="P652" t="str">
        <f>_xlfn.XLOOKUP(Jnl[[#This Row],[BSLv2]], dict[Key], dict[Name],,0)</f>
        <v>0.现金及类似</v>
      </c>
      <c r="Q652" t="str">
        <f>_xlfn.XLOOKUP(Jnl[[#This Row],[Acct]], dict[Key], dict[Name],,0)</f>
        <v>银行</v>
      </c>
      <c r="R652" t="str">
        <f>_xlfn.XLOOKUP(Jnl[[#This Row],[Vehicle]],config_vehicle[Id], config_vehicle[Name],,0)</f>
        <v>远家花园</v>
      </c>
      <c r="S652" t="str">
        <f>_xlfn.XLOOKUP(Jnl[[#This Row],[Division]],config_div[Id], config_div[Name],,0)</f>
        <v>综合管理</v>
      </c>
      <c r="T652" t="str">
        <f>IF(Jnl[[#This Row],[TrxDate]]&lt;=stmt_BS_date_end, "In", "Out")</f>
        <v>In</v>
      </c>
      <c r="U652" t="str">
        <f>IF(Jnl[[#This Row],[TrxDate]]&lt;debug_date_start, "prior", IF(Jnl[[#This Row],[TrxDate]]&gt;debug_date_end, "post", "curr"))</f>
        <v>prior</v>
      </c>
    </row>
    <row r="653" spans="1:21">
      <c r="A653" s="11" t="s">
        <v>812</v>
      </c>
      <c r="B653" s="7">
        <f>_xlfn.XLOOKUP(Jnl[[#This Row],[TrxId]], Trx[Id], Trx[Date],,0)</f>
        <v>46053</v>
      </c>
      <c r="C653" s="7" t="str">
        <f>_xlfn.XLOOKUP(Jnl[[#This Row],[TrxId]], Trx[Id], Trx[Division],,0)</f>
        <v>Online</v>
      </c>
      <c r="D653" s="7" t="str">
        <f>_xlfn.XLOOKUP(Jnl[[#This Row],[TrxId]], Trx[Id], Trx[Action],,0)</f>
        <v>退款-供应商</v>
      </c>
      <c r="E653" s="26" t="s">
        <v>80</v>
      </c>
      <c r="F653" s="11" t="s">
        <v>590</v>
      </c>
      <c r="G653" s="11" t="s">
        <v>391</v>
      </c>
      <c r="H653" s="72">
        <v>76101</v>
      </c>
      <c r="I653" s="5" t="b">
        <f>AND(Jnl[[#This Row],[TrxId]]&lt;&gt;"",Jnl[[#This Row],[Acct]]&lt;&gt;"",Jnl[[#This Row],[Item]]&lt;&gt;"",ISNUMBER(Jnl[[#This Row],[Bal]]))</f>
        <v>1</v>
      </c>
      <c r="J653" s="10">
        <f>IF(Jnl[[#This Row],[BSLv0]]="A",1,-1)*Jnl[[#This Row],[Bal]]</f>
        <v>76101</v>
      </c>
      <c r="K653" t="str">
        <f>_xlfn.XLOOKUP(Jnl[[#This Row],[Acct]], config_BS[Acct], config_BS[Lv0],,0)</f>
        <v>A</v>
      </c>
      <c r="L653" t="str">
        <f>_xlfn.XLOOKUP(Jnl[[#This Row],[Acct]], config_BS[Acct], config_BS[Lv1],,0)</f>
        <v>Assets</v>
      </c>
      <c r="M653" t="str">
        <f>_xlfn.XLOOKUP(Jnl[[#This Row],[Acct]], config_BS[Acct], config_BS[Lv2],,0)</f>
        <v>Cash alike</v>
      </c>
      <c r="N653" t="str">
        <f>_xlfn.XLOOKUP(Jnl[[#This Row],[TrxId]], Trx[Id], Trx[IncNode], ,0)</f>
        <v>Cost</v>
      </c>
      <c r="O653" t="str">
        <f>_xlfn.XLOOKUP(Jnl[[#This Row],[IncNode]], config_IS[Node], config_IS[Type],,0)</f>
        <v>Op</v>
      </c>
      <c r="P653" t="str">
        <f>_xlfn.XLOOKUP(Jnl[[#This Row],[BSLv2]], dict[Key], dict[Name],,0)</f>
        <v>0.现金及类似</v>
      </c>
      <c r="Q653" t="str">
        <f>_xlfn.XLOOKUP(Jnl[[#This Row],[Acct]], dict[Key], dict[Name],,0)</f>
        <v>银行</v>
      </c>
      <c r="R653" t="str">
        <f>_xlfn.XLOOKUP(Jnl[[#This Row],[Vehicle]],config_vehicle[Id], config_vehicle[Name],,0)</f>
        <v>远家花园</v>
      </c>
      <c r="S653" t="str">
        <f>_xlfn.XLOOKUP(Jnl[[#This Row],[Division]],config_div[Id], config_div[Name],,0)</f>
        <v>网店</v>
      </c>
      <c r="T653" t="str">
        <f>IF(Jnl[[#This Row],[TrxDate]]&lt;=stmt_BS_date_end, "In", "Out")</f>
        <v>In</v>
      </c>
      <c r="U653" t="str">
        <f>IF(Jnl[[#This Row],[TrxDate]]&lt;debug_date_start, "prior", IF(Jnl[[#This Row],[TrxDate]]&gt;debug_date_end, "post", "curr"))</f>
        <v>prior</v>
      </c>
    </row>
    <row r="654" spans="1:21">
      <c r="A654" s="11" t="s">
        <v>812</v>
      </c>
      <c r="B654" s="7">
        <f>_xlfn.XLOOKUP(Jnl[[#This Row],[TrxId]], Trx[Id], Trx[Date],,0)</f>
        <v>46053</v>
      </c>
      <c r="C654" s="7" t="str">
        <f>_xlfn.XLOOKUP(Jnl[[#This Row],[TrxId]], Trx[Id], Trx[Division],,0)</f>
        <v>Online</v>
      </c>
      <c r="D654" s="7" t="str">
        <f>_xlfn.XLOOKUP(Jnl[[#This Row],[TrxId]], Trx[Id], Trx[Action],,0)</f>
        <v>退款-供应商</v>
      </c>
      <c r="E654" s="26" t="s">
        <v>80</v>
      </c>
      <c r="F654" s="11" t="s">
        <v>598</v>
      </c>
      <c r="G654" s="11" t="s">
        <v>151</v>
      </c>
      <c r="H654" s="72">
        <v>-76101</v>
      </c>
      <c r="I654" s="5" t="b">
        <f>AND(Jnl[[#This Row],[TrxId]]&lt;&gt;"",Jnl[[#This Row],[Acct]]&lt;&gt;"",Jnl[[#This Row],[Item]]&lt;&gt;"",ISNUMBER(Jnl[[#This Row],[Bal]]))</f>
        <v>1</v>
      </c>
      <c r="J654" s="10">
        <f>IF(Jnl[[#This Row],[BSLv0]]="A",1,-1)*Jnl[[#This Row],[Bal]]</f>
        <v>-76101</v>
      </c>
      <c r="K654" t="str">
        <f>_xlfn.XLOOKUP(Jnl[[#This Row],[Acct]], config_BS[Acct], config_BS[Lv0],,0)</f>
        <v>A</v>
      </c>
      <c r="L654" t="str">
        <f>_xlfn.XLOOKUP(Jnl[[#This Row],[Acct]], config_BS[Acct], config_BS[Lv1],,0)</f>
        <v>Assets</v>
      </c>
      <c r="M654" t="str">
        <f>_xlfn.XLOOKUP(Jnl[[#This Row],[Acct]], config_BS[Acct], config_BS[Lv2],,0)</f>
        <v>Invtr</v>
      </c>
      <c r="N654" t="str">
        <f>_xlfn.XLOOKUP(Jnl[[#This Row],[TrxId]], Trx[Id], Trx[IncNode], ,0)</f>
        <v>Cost</v>
      </c>
      <c r="O654" t="str">
        <f>_xlfn.XLOOKUP(Jnl[[#This Row],[IncNode]], config_IS[Node], config_IS[Type],,0)</f>
        <v>Op</v>
      </c>
      <c r="P654" t="str">
        <f>_xlfn.XLOOKUP(Jnl[[#This Row],[BSLv2]], dict[Key], dict[Name],,0)</f>
        <v>3.库存占款</v>
      </c>
      <c r="Q654" t="str">
        <f>_xlfn.XLOOKUP(Jnl[[#This Row],[Acct]], dict[Key], dict[Name],,0)</f>
        <v>当期存货</v>
      </c>
      <c r="R654" t="str">
        <f>_xlfn.XLOOKUP(Jnl[[#This Row],[Vehicle]],config_vehicle[Id], config_vehicle[Name],,0)</f>
        <v>远家花园</v>
      </c>
      <c r="S654" t="str">
        <f>_xlfn.XLOOKUP(Jnl[[#This Row],[Division]],config_div[Id], config_div[Name],,0)</f>
        <v>网店</v>
      </c>
      <c r="T654" t="str">
        <f>IF(Jnl[[#This Row],[TrxDate]]&lt;=stmt_BS_date_end, "In", "Out")</f>
        <v>In</v>
      </c>
      <c r="U654" t="str">
        <f>IF(Jnl[[#This Row],[TrxDate]]&lt;debug_date_start, "prior", IF(Jnl[[#This Row],[TrxDate]]&gt;debug_date_end, "post", "curr"))</f>
        <v>prior</v>
      </c>
    </row>
    <row r="655" spans="1:21">
      <c r="A655" s="11" t="s">
        <v>813</v>
      </c>
      <c r="B655" s="7">
        <f>_xlfn.XLOOKUP(Jnl[[#This Row],[TrxId]], Trx[Id], Trx[Date],,0)</f>
        <v>46053</v>
      </c>
      <c r="C655" s="7" t="str">
        <f>_xlfn.XLOOKUP(Jnl[[#This Row],[TrxId]], Trx[Id], Trx[Division],,0)</f>
        <v>Online</v>
      </c>
      <c r="D655" s="7" t="str">
        <f>_xlfn.XLOOKUP(Jnl[[#This Row],[TrxId]], Trx[Id], Trx[Action],,0)</f>
        <v>退款-供应商</v>
      </c>
      <c r="E655" s="26" t="s">
        <v>80</v>
      </c>
      <c r="F655" s="11" t="s">
        <v>590</v>
      </c>
      <c r="G655" s="11" t="s">
        <v>391</v>
      </c>
      <c r="H655" s="72">
        <v>292991.09999999998</v>
      </c>
      <c r="I655" s="5" t="b">
        <f>AND(Jnl[[#This Row],[TrxId]]&lt;&gt;"",Jnl[[#This Row],[Acct]]&lt;&gt;"",Jnl[[#This Row],[Item]]&lt;&gt;"",ISNUMBER(Jnl[[#This Row],[Bal]]))</f>
        <v>1</v>
      </c>
      <c r="J655" s="10">
        <f>IF(Jnl[[#This Row],[BSLv0]]="A",1,-1)*Jnl[[#This Row],[Bal]]</f>
        <v>292991.09999999998</v>
      </c>
      <c r="K655" t="str">
        <f>_xlfn.XLOOKUP(Jnl[[#This Row],[Acct]], config_BS[Acct], config_BS[Lv0],,0)</f>
        <v>A</v>
      </c>
      <c r="L655" t="str">
        <f>_xlfn.XLOOKUP(Jnl[[#This Row],[Acct]], config_BS[Acct], config_BS[Lv1],,0)</f>
        <v>Assets</v>
      </c>
      <c r="M655" t="str">
        <f>_xlfn.XLOOKUP(Jnl[[#This Row],[Acct]], config_BS[Acct], config_BS[Lv2],,0)</f>
        <v>Cash alike</v>
      </c>
      <c r="N655" t="str">
        <f>_xlfn.XLOOKUP(Jnl[[#This Row],[TrxId]], Trx[Id], Trx[IncNode], ,0)</f>
        <v>Cost</v>
      </c>
      <c r="O655" t="str">
        <f>_xlfn.XLOOKUP(Jnl[[#This Row],[IncNode]], config_IS[Node], config_IS[Type],,0)</f>
        <v>Op</v>
      </c>
      <c r="P655" t="str">
        <f>_xlfn.XLOOKUP(Jnl[[#This Row],[BSLv2]], dict[Key], dict[Name],,0)</f>
        <v>0.现金及类似</v>
      </c>
      <c r="Q655" t="str">
        <f>_xlfn.XLOOKUP(Jnl[[#This Row],[Acct]], dict[Key], dict[Name],,0)</f>
        <v>银行</v>
      </c>
      <c r="R655" t="str">
        <f>_xlfn.XLOOKUP(Jnl[[#This Row],[Vehicle]],config_vehicle[Id], config_vehicle[Name],,0)</f>
        <v>远家花园</v>
      </c>
      <c r="S655" t="str">
        <f>_xlfn.XLOOKUP(Jnl[[#This Row],[Division]],config_div[Id], config_div[Name],,0)</f>
        <v>网店</v>
      </c>
      <c r="T655" t="str">
        <f>IF(Jnl[[#This Row],[TrxDate]]&lt;=stmt_BS_date_end, "In", "Out")</f>
        <v>In</v>
      </c>
      <c r="U655" t="str">
        <f>IF(Jnl[[#This Row],[TrxDate]]&lt;debug_date_start, "prior", IF(Jnl[[#This Row],[TrxDate]]&gt;debug_date_end, "post", "curr"))</f>
        <v>prior</v>
      </c>
    </row>
    <row r="656" spans="1:21">
      <c r="A656" s="11" t="s">
        <v>813</v>
      </c>
      <c r="B656" s="7">
        <f>_xlfn.XLOOKUP(Jnl[[#This Row],[TrxId]], Trx[Id], Trx[Date],,0)</f>
        <v>46053</v>
      </c>
      <c r="C656" s="7" t="str">
        <f>_xlfn.XLOOKUP(Jnl[[#This Row],[TrxId]], Trx[Id], Trx[Division],,0)</f>
        <v>Online</v>
      </c>
      <c r="D656" s="7" t="str">
        <f>_xlfn.XLOOKUP(Jnl[[#This Row],[TrxId]], Trx[Id], Trx[Action],,0)</f>
        <v>退款-供应商</v>
      </c>
      <c r="E656" s="26" t="s">
        <v>80</v>
      </c>
      <c r="F656" s="11" t="s">
        <v>598</v>
      </c>
      <c r="G656" s="11" t="s">
        <v>151</v>
      </c>
      <c r="H656" s="72">
        <v>-292991.09999999998</v>
      </c>
      <c r="I656" s="5" t="b">
        <f>AND(Jnl[[#This Row],[TrxId]]&lt;&gt;"",Jnl[[#This Row],[Acct]]&lt;&gt;"",Jnl[[#This Row],[Item]]&lt;&gt;"",ISNUMBER(Jnl[[#This Row],[Bal]]))</f>
        <v>1</v>
      </c>
      <c r="J656" s="10">
        <f>IF(Jnl[[#This Row],[BSLv0]]="A",1,-1)*Jnl[[#This Row],[Bal]]</f>
        <v>-292991.09999999998</v>
      </c>
      <c r="K656" t="str">
        <f>_xlfn.XLOOKUP(Jnl[[#This Row],[Acct]], config_BS[Acct], config_BS[Lv0],,0)</f>
        <v>A</v>
      </c>
      <c r="L656" t="str">
        <f>_xlfn.XLOOKUP(Jnl[[#This Row],[Acct]], config_BS[Acct], config_BS[Lv1],,0)</f>
        <v>Assets</v>
      </c>
      <c r="M656" t="str">
        <f>_xlfn.XLOOKUP(Jnl[[#This Row],[Acct]], config_BS[Acct], config_BS[Lv2],,0)</f>
        <v>Invtr</v>
      </c>
      <c r="N656" t="str">
        <f>_xlfn.XLOOKUP(Jnl[[#This Row],[TrxId]], Trx[Id], Trx[IncNode], ,0)</f>
        <v>Cost</v>
      </c>
      <c r="O656" t="str">
        <f>_xlfn.XLOOKUP(Jnl[[#This Row],[IncNode]], config_IS[Node], config_IS[Type],,0)</f>
        <v>Op</v>
      </c>
      <c r="P656" t="str">
        <f>_xlfn.XLOOKUP(Jnl[[#This Row],[BSLv2]], dict[Key], dict[Name],,0)</f>
        <v>3.库存占款</v>
      </c>
      <c r="Q656" t="str">
        <f>_xlfn.XLOOKUP(Jnl[[#This Row],[Acct]], dict[Key], dict[Name],,0)</f>
        <v>当期存货</v>
      </c>
      <c r="R656" t="str">
        <f>_xlfn.XLOOKUP(Jnl[[#This Row],[Vehicle]],config_vehicle[Id], config_vehicle[Name],,0)</f>
        <v>远家花园</v>
      </c>
      <c r="S656" t="str">
        <f>_xlfn.XLOOKUP(Jnl[[#This Row],[Division]],config_div[Id], config_div[Name],,0)</f>
        <v>网店</v>
      </c>
      <c r="T656" t="str">
        <f>IF(Jnl[[#This Row],[TrxDate]]&lt;=stmt_BS_date_end, "In", "Out")</f>
        <v>In</v>
      </c>
      <c r="U656" t="str">
        <f>IF(Jnl[[#This Row],[TrxDate]]&lt;debug_date_start, "prior", IF(Jnl[[#This Row],[TrxDate]]&gt;debug_date_end, "post", "curr"))</f>
        <v>prior</v>
      </c>
    </row>
    <row r="657" spans="1:21">
      <c r="A657" s="11" t="s">
        <v>814</v>
      </c>
      <c r="B657" s="7">
        <f>_xlfn.XLOOKUP(Jnl[[#This Row],[TrxId]], Trx[Id], Trx[Date],,0)</f>
        <v>46053</v>
      </c>
      <c r="C657" s="7" t="str">
        <f>_xlfn.XLOOKUP(Jnl[[#This Row],[TrxId]], Trx[Id], Trx[Division],,0)</f>
        <v>Brand</v>
      </c>
      <c r="D657" s="7" t="str">
        <f>_xlfn.XLOOKUP(Jnl[[#This Row],[TrxId]], Trx[Id], Trx[Action],,0)</f>
        <v>拍摄</v>
      </c>
      <c r="E657" s="26" t="s">
        <v>80</v>
      </c>
      <c r="F657" s="11" t="s">
        <v>590</v>
      </c>
      <c r="G657" s="11" t="s">
        <v>391</v>
      </c>
      <c r="H657" s="72">
        <v>-4078</v>
      </c>
      <c r="I657" s="5" t="b">
        <f>AND(Jnl[[#This Row],[TrxId]]&lt;&gt;"",Jnl[[#This Row],[Acct]]&lt;&gt;"",Jnl[[#This Row],[Item]]&lt;&gt;"",ISNUMBER(Jnl[[#This Row],[Bal]]))</f>
        <v>1</v>
      </c>
      <c r="J657" s="10">
        <f>IF(Jnl[[#This Row],[BSLv0]]="A",1,-1)*Jnl[[#This Row],[Bal]]</f>
        <v>-4078</v>
      </c>
      <c r="K657" t="str">
        <f>_xlfn.XLOOKUP(Jnl[[#This Row],[Acct]], config_BS[Acct], config_BS[Lv0],,0)</f>
        <v>A</v>
      </c>
      <c r="L657" t="str">
        <f>_xlfn.XLOOKUP(Jnl[[#This Row],[Acct]], config_BS[Acct], config_BS[Lv1],,0)</f>
        <v>Assets</v>
      </c>
      <c r="M657" t="str">
        <f>_xlfn.XLOOKUP(Jnl[[#This Row],[Acct]], config_BS[Acct], config_BS[Lv2],,0)</f>
        <v>Cash alike</v>
      </c>
      <c r="N657" t="str">
        <f>_xlfn.XLOOKUP(Jnl[[#This Row],[TrxId]], Trx[Id], Trx[IncNode], ,0)</f>
        <v>Expense</v>
      </c>
      <c r="O657" t="str">
        <f>_xlfn.XLOOKUP(Jnl[[#This Row],[IncNode]], config_IS[Node], config_IS[Type],,0)</f>
        <v>Op</v>
      </c>
      <c r="P657" t="str">
        <f>_xlfn.XLOOKUP(Jnl[[#This Row],[BSLv2]], dict[Key], dict[Name],,0)</f>
        <v>0.现金及类似</v>
      </c>
      <c r="Q657" t="str">
        <f>_xlfn.XLOOKUP(Jnl[[#This Row],[Acct]], dict[Key], dict[Name],,0)</f>
        <v>银行</v>
      </c>
      <c r="R657" t="str">
        <f>_xlfn.XLOOKUP(Jnl[[#This Row],[Vehicle]],config_vehicle[Id], config_vehicle[Name],,0)</f>
        <v>远家花园</v>
      </c>
      <c r="S657" t="str">
        <f>_xlfn.XLOOKUP(Jnl[[#This Row],[Division]],config_div[Id], config_div[Name],,0)</f>
        <v>品牌</v>
      </c>
      <c r="T657" t="str">
        <f>IF(Jnl[[#This Row],[TrxDate]]&lt;=stmt_BS_date_end, "In", "Out")</f>
        <v>In</v>
      </c>
      <c r="U657" t="str">
        <f>IF(Jnl[[#This Row],[TrxDate]]&lt;debug_date_start, "prior", IF(Jnl[[#This Row],[TrxDate]]&gt;debug_date_end, "post", "curr"))</f>
        <v>prior</v>
      </c>
    </row>
    <row r="658" spans="1:21">
      <c r="A658" s="11" t="s">
        <v>815</v>
      </c>
      <c r="B658" s="7">
        <f>_xlfn.XLOOKUP(Jnl[[#This Row],[TrxId]], Trx[Id], Trx[Date],,0)</f>
        <v>46053</v>
      </c>
      <c r="C658" s="7" t="str">
        <f>_xlfn.XLOOKUP(Jnl[[#This Row],[TrxId]], Trx[Id], Trx[Division],,0)</f>
        <v>GM</v>
      </c>
      <c r="D658" s="7" t="str">
        <f>_xlfn.XLOOKUP(Jnl[[#This Row],[TrxId]], Trx[Id], Trx[Action],,0)</f>
        <v>办公</v>
      </c>
      <c r="E658" s="26" t="s">
        <v>80</v>
      </c>
      <c r="F658" s="11" t="s">
        <v>590</v>
      </c>
      <c r="G658" s="11" t="s">
        <v>391</v>
      </c>
      <c r="H658" s="72">
        <f>-6379.2-H657</f>
        <v>-2301.1999999999998</v>
      </c>
      <c r="I658" s="5" t="b">
        <f>AND(Jnl[[#This Row],[TrxId]]&lt;&gt;"",Jnl[[#This Row],[Acct]]&lt;&gt;"",Jnl[[#This Row],[Item]]&lt;&gt;"",ISNUMBER(Jnl[[#This Row],[Bal]]))</f>
        <v>1</v>
      </c>
      <c r="J658" s="10">
        <f>IF(Jnl[[#This Row],[BSLv0]]="A",1,-1)*Jnl[[#This Row],[Bal]]</f>
        <v>-2301.1999999999998</v>
      </c>
      <c r="K658" t="str">
        <f>_xlfn.XLOOKUP(Jnl[[#This Row],[Acct]], config_BS[Acct], config_BS[Lv0],,0)</f>
        <v>A</v>
      </c>
      <c r="L658" t="str">
        <f>_xlfn.XLOOKUP(Jnl[[#This Row],[Acct]], config_BS[Acct], config_BS[Lv1],,0)</f>
        <v>Assets</v>
      </c>
      <c r="M658" t="str">
        <f>_xlfn.XLOOKUP(Jnl[[#This Row],[Acct]], config_BS[Acct], config_BS[Lv2],,0)</f>
        <v>Cash alike</v>
      </c>
      <c r="N658" t="str">
        <f>_xlfn.XLOOKUP(Jnl[[#This Row],[TrxId]], Trx[Id], Trx[IncNode], ,0)</f>
        <v>Expense</v>
      </c>
      <c r="O658" t="str">
        <f>_xlfn.XLOOKUP(Jnl[[#This Row],[IncNode]], config_IS[Node], config_IS[Type],,0)</f>
        <v>Op</v>
      </c>
      <c r="P658" t="str">
        <f>_xlfn.XLOOKUP(Jnl[[#This Row],[BSLv2]], dict[Key], dict[Name],,0)</f>
        <v>0.现金及类似</v>
      </c>
      <c r="Q658" t="str">
        <f>_xlfn.XLOOKUP(Jnl[[#This Row],[Acct]], dict[Key], dict[Name],,0)</f>
        <v>银行</v>
      </c>
      <c r="R658" t="str">
        <f>_xlfn.XLOOKUP(Jnl[[#This Row],[Vehicle]],config_vehicle[Id], config_vehicle[Name],,0)</f>
        <v>远家花园</v>
      </c>
      <c r="S658" t="str">
        <f>_xlfn.XLOOKUP(Jnl[[#This Row],[Division]],config_div[Id], config_div[Name],,0)</f>
        <v>综合管理</v>
      </c>
      <c r="T658" t="str">
        <f>IF(Jnl[[#This Row],[TrxDate]]&lt;=stmt_BS_date_end, "In", "Out")</f>
        <v>In</v>
      </c>
      <c r="U658" t="str">
        <f>IF(Jnl[[#This Row],[TrxDate]]&lt;debug_date_start, "prior", IF(Jnl[[#This Row],[TrxDate]]&gt;debug_date_end, "post", "curr"))</f>
        <v>prior</v>
      </c>
    </row>
    <row r="659" spans="1:21">
      <c r="A659" s="11" t="s">
        <v>817</v>
      </c>
      <c r="B659" s="7">
        <f>_xlfn.XLOOKUP(Jnl[[#This Row],[TrxId]], Trx[Id], Trx[Date],,0)</f>
        <v>46053</v>
      </c>
      <c r="C659" s="7" t="str">
        <f>_xlfn.XLOOKUP(Jnl[[#This Row],[TrxId]], Trx[Id], Trx[Division],,0)</f>
        <v>GM</v>
      </c>
      <c r="D659" s="7" t="str">
        <f>_xlfn.XLOOKUP(Jnl[[#This Row],[TrxId]], Trx[Id], Trx[Action],,0)</f>
        <v>薪酬-工资</v>
      </c>
      <c r="E659" s="26" t="s">
        <v>80</v>
      </c>
      <c r="F659" s="11" t="s">
        <v>590</v>
      </c>
      <c r="G659" s="11" t="s">
        <v>391</v>
      </c>
      <c r="H659" s="72">
        <v>-29800</v>
      </c>
      <c r="I659" s="5" t="b">
        <f>AND(Jnl[[#This Row],[TrxId]]&lt;&gt;"",Jnl[[#This Row],[Acct]]&lt;&gt;"",Jnl[[#This Row],[Item]]&lt;&gt;"",ISNUMBER(Jnl[[#This Row],[Bal]]))</f>
        <v>1</v>
      </c>
      <c r="J659" s="10">
        <f>IF(Jnl[[#This Row],[BSLv0]]="A",1,-1)*Jnl[[#This Row],[Bal]]</f>
        <v>-29800</v>
      </c>
      <c r="K659" t="str">
        <f>_xlfn.XLOOKUP(Jnl[[#This Row],[Acct]], config_BS[Acct], config_BS[Lv0],,0)</f>
        <v>A</v>
      </c>
      <c r="L659" t="str">
        <f>_xlfn.XLOOKUP(Jnl[[#This Row],[Acct]], config_BS[Acct], config_BS[Lv1],,0)</f>
        <v>Assets</v>
      </c>
      <c r="M659" t="str">
        <f>_xlfn.XLOOKUP(Jnl[[#This Row],[Acct]], config_BS[Acct], config_BS[Lv2],,0)</f>
        <v>Cash alike</v>
      </c>
      <c r="N659" t="str">
        <f>_xlfn.XLOOKUP(Jnl[[#This Row],[TrxId]], Trx[Id], Trx[IncNode], ,0)</f>
        <v>Expense</v>
      </c>
      <c r="O659" t="str">
        <f>_xlfn.XLOOKUP(Jnl[[#This Row],[IncNode]], config_IS[Node], config_IS[Type],,0)</f>
        <v>Op</v>
      </c>
      <c r="P659" t="str">
        <f>_xlfn.XLOOKUP(Jnl[[#This Row],[BSLv2]], dict[Key], dict[Name],,0)</f>
        <v>0.现金及类似</v>
      </c>
      <c r="Q659" t="str">
        <f>_xlfn.XLOOKUP(Jnl[[#This Row],[Acct]], dict[Key], dict[Name],,0)</f>
        <v>银行</v>
      </c>
      <c r="R659" t="str">
        <f>_xlfn.XLOOKUP(Jnl[[#This Row],[Vehicle]],config_vehicle[Id], config_vehicle[Name],,0)</f>
        <v>远家花园</v>
      </c>
      <c r="S659" t="str">
        <f>_xlfn.XLOOKUP(Jnl[[#This Row],[Division]],config_div[Id], config_div[Name],,0)</f>
        <v>综合管理</v>
      </c>
      <c r="T659" t="str">
        <f>IF(Jnl[[#This Row],[TrxDate]]&lt;=stmt_BS_date_end, "In", "Out")</f>
        <v>In</v>
      </c>
      <c r="U659" t="str">
        <f>IF(Jnl[[#This Row],[TrxDate]]&lt;debug_date_start, "prior", IF(Jnl[[#This Row],[TrxDate]]&gt;debug_date_end, "post", "curr"))</f>
        <v>prior</v>
      </c>
    </row>
    <row r="660" spans="1:21">
      <c r="A660" s="11" t="s">
        <v>818</v>
      </c>
      <c r="B660" s="7">
        <f>_xlfn.XLOOKUP(Jnl[[#This Row],[TrxId]], Trx[Id], Trx[Date],,0)</f>
        <v>46053</v>
      </c>
      <c r="C660" s="7" t="str">
        <f>_xlfn.XLOOKUP(Jnl[[#This Row],[TrxId]], Trx[Id], Trx[Division],,0)</f>
        <v>Online</v>
      </c>
      <c r="D660" s="7" t="str">
        <f>_xlfn.XLOOKUP(Jnl[[#This Row],[TrxId]], Trx[Id], Trx[Action],,0)</f>
        <v>加工</v>
      </c>
      <c r="E660" s="26" t="s">
        <v>80</v>
      </c>
      <c r="F660" s="11" t="s">
        <v>590</v>
      </c>
      <c r="G660" s="11" t="s">
        <v>391</v>
      </c>
      <c r="H660" s="72">
        <v>-26300.7</v>
      </c>
      <c r="I660" s="5" t="b">
        <f>AND(Jnl[[#This Row],[TrxId]]&lt;&gt;"",Jnl[[#This Row],[Acct]]&lt;&gt;"",Jnl[[#This Row],[Item]]&lt;&gt;"",ISNUMBER(Jnl[[#This Row],[Bal]]))</f>
        <v>1</v>
      </c>
      <c r="J660" s="10">
        <f>IF(Jnl[[#This Row],[BSLv0]]="A",1,-1)*Jnl[[#This Row],[Bal]]</f>
        <v>-26300.7</v>
      </c>
      <c r="K660" t="str">
        <f>_xlfn.XLOOKUP(Jnl[[#This Row],[Acct]], config_BS[Acct], config_BS[Lv0],,0)</f>
        <v>A</v>
      </c>
      <c r="L660" t="str">
        <f>_xlfn.XLOOKUP(Jnl[[#This Row],[Acct]], config_BS[Acct], config_BS[Lv1],,0)</f>
        <v>Assets</v>
      </c>
      <c r="M660" t="str">
        <f>_xlfn.XLOOKUP(Jnl[[#This Row],[Acct]], config_BS[Acct], config_BS[Lv2],,0)</f>
        <v>Cash alike</v>
      </c>
      <c r="N660" t="str">
        <f>_xlfn.XLOOKUP(Jnl[[#This Row],[TrxId]], Trx[Id], Trx[IncNode], ,0)</f>
        <v>Cost</v>
      </c>
      <c r="O660" t="str">
        <f>_xlfn.XLOOKUP(Jnl[[#This Row],[IncNode]], config_IS[Node], config_IS[Type],,0)</f>
        <v>Op</v>
      </c>
      <c r="P660" t="str">
        <f>_xlfn.XLOOKUP(Jnl[[#This Row],[BSLv2]], dict[Key], dict[Name],,0)</f>
        <v>0.现金及类似</v>
      </c>
      <c r="Q660" t="str">
        <f>_xlfn.XLOOKUP(Jnl[[#This Row],[Acct]], dict[Key], dict[Name],,0)</f>
        <v>银行</v>
      </c>
      <c r="R660" t="str">
        <f>_xlfn.XLOOKUP(Jnl[[#This Row],[Vehicle]],config_vehicle[Id], config_vehicle[Name],,0)</f>
        <v>远家花园</v>
      </c>
      <c r="S660" t="str">
        <f>_xlfn.XLOOKUP(Jnl[[#This Row],[Division]],config_div[Id], config_div[Name],,0)</f>
        <v>网店</v>
      </c>
      <c r="T660" t="str">
        <f>IF(Jnl[[#This Row],[TrxDate]]&lt;=stmt_BS_date_end, "In", "Out")</f>
        <v>In</v>
      </c>
      <c r="U660" t="str">
        <f>IF(Jnl[[#This Row],[TrxDate]]&lt;debug_date_start, "prior", IF(Jnl[[#This Row],[TrxDate]]&gt;debug_date_end, "post", "curr"))</f>
        <v>prior</v>
      </c>
    </row>
    <row r="661" spans="1:21">
      <c r="A661" s="11" t="s">
        <v>818</v>
      </c>
      <c r="B661" s="7">
        <f>_xlfn.XLOOKUP(Jnl[[#This Row],[TrxId]], Trx[Id], Trx[Date],,0)</f>
        <v>46053</v>
      </c>
      <c r="C661" s="7" t="str">
        <f>_xlfn.XLOOKUP(Jnl[[#This Row],[TrxId]], Trx[Id], Trx[Division],,0)</f>
        <v>Online</v>
      </c>
      <c r="D661" s="7" t="str">
        <f>_xlfn.XLOOKUP(Jnl[[#This Row],[TrxId]], Trx[Id], Trx[Action],,0)</f>
        <v>加工</v>
      </c>
      <c r="E661" s="26" t="s">
        <v>80</v>
      </c>
      <c r="F661" s="11" t="s">
        <v>598</v>
      </c>
      <c r="G661" s="11" t="s">
        <v>151</v>
      </c>
      <c r="H661" s="72">
        <v>26300.7</v>
      </c>
      <c r="I661" s="5" t="b">
        <f>AND(Jnl[[#This Row],[TrxId]]&lt;&gt;"",Jnl[[#This Row],[Acct]]&lt;&gt;"",Jnl[[#This Row],[Item]]&lt;&gt;"",ISNUMBER(Jnl[[#This Row],[Bal]]))</f>
        <v>1</v>
      </c>
      <c r="J661" s="10">
        <f>IF(Jnl[[#This Row],[BSLv0]]="A",1,-1)*Jnl[[#This Row],[Bal]]</f>
        <v>26300.7</v>
      </c>
      <c r="K661" t="str">
        <f>_xlfn.XLOOKUP(Jnl[[#This Row],[Acct]], config_BS[Acct], config_BS[Lv0],,0)</f>
        <v>A</v>
      </c>
      <c r="L661" t="str">
        <f>_xlfn.XLOOKUP(Jnl[[#This Row],[Acct]], config_BS[Acct], config_BS[Lv1],,0)</f>
        <v>Assets</v>
      </c>
      <c r="M661" t="str">
        <f>_xlfn.XLOOKUP(Jnl[[#This Row],[Acct]], config_BS[Acct], config_BS[Lv2],,0)</f>
        <v>Invtr</v>
      </c>
      <c r="N661" t="str">
        <f>_xlfn.XLOOKUP(Jnl[[#This Row],[TrxId]], Trx[Id], Trx[IncNode], ,0)</f>
        <v>Cost</v>
      </c>
      <c r="O661" t="str">
        <f>_xlfn.XLOOKUP(Jnl[[#This Row],[IncNode]], config_IS[Node], config_IS[Type],,0)</f>
        <v>Op</v>
      </c>
      <c r="P661" t="str">
        <f>_xlfn.XLOOKUP(Jnl[[#This Row],[BSLv2]], dict[Key], dict[Name],,0)</f>
        <v>3.库存占款</v>
      </c>
      <c r="Q661" t="str">
        <f>_xlfn.XLOOKUP(Jnl[[#This Row],[Acct]], dict[Key], dict[Name],,0)</f>
        <v>当期存货</v>
      </c>
      <c r="R661" t="str">
        <f>_xlfn.XLOOKUP(Jnl[[#This Row],[Vehicle]],config_vehicle[Id], config_vehicle[Name],,0)</f>
        <v>远家花园</v>
      </c>
      <c r="S661" t="str">
        <f>_xlfn.XLOOKUP(Jnl[[#This Row],[Division]],config_div[Id], config_div[Name],,0)</f>
        <v>网店</v>
      </c>
      <c r="T661" t="str">
        <f>IF(Jnl[[#This Row],[TrxDate]]&lt;=stmt_BS_date_end, "In", "Out")</f>
        <v>In</v>
      </c>
      <c r="U661" t="str">
        <f>IF(Jnl[[#This Row],[TrxDate]]&lt;debug_date_start, "prior", IF(Jnl[[#This Row],[TrxDate]]&gt;debug_date_end, "post", "curr"))</f>
        <v>prior</v>
      </c>
    </row>
    <row r="662" spans="1:21">
      <c r="A662" s="11" t="s">
        <v>820</v>
      </c>
      <c r="B662" s="7">
        <f>_xlfn.XLOOKUP(Jnl[[#This Row],[TrxId]], Trx[Id], Trx[Date],,0)</f>
        <v>46053</v>
      </c>
      <c r="C662" s="7" t="str">
        <f>_xlfn.XLOOKUP(Jnl[[#This Row],[TrxId]], Trx[Id], Trx[Division],,0)</f>
        <v>GM</v>
      </c>
      <c r="D662" s="7" t="str">
        <f>_xlfn.XLOOKUP(Jnl[[#This Row],[TrxId]], Trx[Id], Trx[Action],,0)</f>
        <v>福利</v>
      </c>
      <c r="E662" s="26" t="s">
        <v>80</v>
      </c>
      <c r="F662" s="11" t="s">
        <v>590</v>
      </c>
      <c r="G662" s="11" t="s">
        <v>391</v>
      </c>
      <c r="H662" s="72">
        <v>-897.4</v>
      </c>
      <c r="I662" s="5" t="b">
        <f>AND(Jnl[[#This Row],[TrxId]]&lt;&gt;"",Jnl[[#This Row],[Acct]]&lt;&gt;"",Jnl[[#This Row],[Item]]&lt;&gt;"",ISNUMBER(Jnl[[#This Row],[Bal]]))</f>
        <v>1</v>
      </c>
      <c r="J662" s="10">
        <f>IF(Jnl[[#This Row],[BSLv0]]="A",1,-1)*Jnl[[#This Row],[Bal]]</f>
        <v>-897.4</v>
      </c>
      <c r="K662" t="str">
        <f>_xlfn.XLOOKUP(Jnl[[#This Row],[Acct]], config_BS[Acct], config_BS[Lv0],,0)</f>
        <v>A</v>
      </c>
      <c r="L662" t="str">
        <f>_xlfn.XLOOKUP(Jnl[[#This Row],[Acct]], config_BS[Acct], config_BS[Lv1],,0)</f>
        <v>Assets</v>
      </c>
      <c r="M662" t="str">
        <f>_xlfn.XLOOKUP(Jnl[[#This Row],[Acct]], config_BS[Acct], config_BS[Lv2],,0)</f>
        <v>Cash alike</v>
      </c>
      <c r="N662" t="str">
        <f>_xlfn.XLOOKUP(Jnl[[#This Row],[TrxId]], Trx[Id], Trx[IncNode], ,0)</f>
        <v>Expense</v>
      </c>
      <c r="O662" t="str">
        <f>_xlfn.XLOOKUP(Jnl[[#This Row],[IncNode]], config_IS[Node], config_IS[Type],,0)</f>
        <v>Op</v>
      </c>
      <c r="P662" t="str">
        <f>_xlfn.XLOOKUP(Jnl[[#This Row],[BSLv2]], dict[Key], dict[Name],,0)</f>
        <v>0.现金及类似</v>
      </c>
      <c r="Q662" t="str">
        <f>_xlfn.XLOOKUP(Jnl[[#This Row],[Acct]], dict[Key], dict[Name],,0)</f>
        <v>银行</v>
      </c>
      <c r="R662" t="str">
        <f>_xlfn.XLOOKUP(Jnl[[#This Row],[Vehicle]],config_vehicle[Id], config_vehicle[Name],,0)</f>
        <v>远家花园</v>
      </c>
      <c r="S662" t="str">
        <f>_xlfn.XLOOKUP(Jnl[[#This Row],[Division]],config_div[Id], config_div[Name],,0)</f>
        <v>综合管理</v>
      </c>
      <c r="T662" t="str">
        <f>IF(Jnl[[#This Row],[TrxDate]]&lt;=stmt_BS_date_end, "In", "Out")</f>
        <v>In</v>
      </c>
      <c r="U662" t="str">
        <f>IF(Jnl[[#This Row],[TrxDate]]&lt;debug_date_start, "prior", IF(Jnl[[#This Row],[TrxDate]]&gt;debug_date_end, "post", "curr"))</f>
        <v>prior</v>
      </c>
    </row>
    <row r="663" spans="1:21">
      <c r="A663" s="11" t="s">
        <v>821</v>
      </c>
      <c r="B663" s="7">
        <f>_xlfn.XLOOKUP(Jnl[[#This Row],[TrxId]], Trx[Id], Trx[Date],,0)</f>
        <v>46053</v>
      </c>
      <c r="C663" s="7" t="str">
        <f>_xlfn.XLOOKUP(Jnl[[#This Row],[TrxId]], Trx[Id], Trx[Division],,0)</f>
        <v>Online</v>
      </c>
      <c r="D663" s="7" t="str">
        <f>_xlfn.XLOOKUP(Jnl[[#This Row],[TrxId]], Trx[Id], Trx[Action],,0)</f>
        <v>加工</v>
      </c>
      <c r="E663" s="26" t="s">
        <v>80</v>
      </c>
      <c r="F663" s="11" t="s">
        <v>598</v>
      </c>
      <c r="G663" s="11" t="s">
        <v>151</v>
      </c>
      <c r="H663" s="72">
        <v>47022</v>
      </c>
      <c r="I663" s="5" t="b">
        <f>AND(Jnl[[#This Row],[TrxId]]&lt;&gt;"",Jnl[[#This Row],[Acct]]&lt;&gt;"",Jnl[[#This Row],[Item]]&lt;&gt;"",ISNUMBER(Jnl[[#This Row],[Bal]]))</f>
        <v>1</v>
      </c>
      <c r="J663" s="10">
        <f>IF(Jnl[[#This Row],[BSLv0]]="A",1,-1)*Jnl[[#This Row],[Bal]]</f>
        <v>47022</v>
      </c>
      <c r="K663" t="str">
        <f>_xlfn.XLOOKUP(Jnl[[#This Row],[Acct]], config_BS[Acct], config_BS[Lv0],,0)</f>
        <v>A</v>
      </c>
      <c r="L663" t="str">
        <f>_xlfn.XLOOKUP(Jnl[[#This Row],[Acct]], config_BS[Acct], config_BS[Lv1],,0)</f>
        <v>Assets</v>
      </c>
      <c r="M663" t="str">
        <f>_xlfn.XLOOKUP(Jnl[[#This Row],[Acct]], config_BS[Acct], config_BS[Lv2],,0)</f>
        <v>Invtr</v>
      </c>
      <c r="N663" t="str">
        <f>_xlfn.XLOOKUP(Jnl[[#This Row],[TrxId]], Trx[Id], Trx[IncNode], ,0)</f>
        <v>Cost</v>
      </c>
      <c r="O663" t="str">
        <f>_xlfn.XLOOKUP(Jnl[[#This Row],[IncNode]], config_IS[Node], config_IS[Type],,0)</f>
        <v>Op</v>
      </c>
      <c r="P663" t="str">
        <f>_xlfn.XLOOKUP(Jnl[[#This Row],[BSLv2]], dict[Key], dict[Name],,0)</f>
        <v>3.库存占款</v>
      </c>
      <c r="Q663" t="str">
        <f>_xlfn.XLOOKUP(Jnl[[#This Row],[Acct]], dict[Key], dict[Name],,0)</f>
        <v>当期存货</v>
      </c>
      <c r="R663" t="str">
        <f>_xlfn.XLOOKUP(Jnl[[#This Row],[Vehicle]],config_vehicle[Id], config_vehicle[Name],,0)</f>
        <v>远家花园</v>
      </c>
      <c r="S663" t="str">
        <f>_xlfn.XLOOKUP(Jnl[[#This Row],[Division]],config_div[Id], config_div[Name],,0)</f>
        <v>网店</v>
      </c>
      <c r="T663" t="str">
        <f>IF(Jnl[[#This Row],[TrxDate]]&lt;=stmt_BS_date_end, "In", "Out")</f>
        <v>In</v>
      </c>
      <c r="U663" t="str">
        <f>IF(Jnl[[#This Row],[TrxDate]]&lt;debug_date_start, "prior", IF(Jnl[[#This Row],[TrxDate]]&gt;debug_date_end, "post", "curr"))</f>
        <v>prior</v>
      </c>
    </row>
    <row r="664" spans="1:21">
      <c r="A664" s="11" t="s">
        <v>821</v>
      </c>
      <c r="B664" s="7">
        <f>_xlfn.XLOOKUP(Jnl[[#This Row],[TrxId]], Trx[Id], Trx[Date],,0)</f>
        <v>46053</v>
      </c>
      <c r="C664" s="7" t="str">
        <f>_xlfn.XLOOKUP(Jnl[[#This Row],[TrxId]], Trx[Id], Trx[Division],,0)</f>
        <v>Online</v>
      </c>
      <c r="D664" s="7" t="str">
        <f>_xlfn.XLOOKUP(Jnl[[#This Row],[TrxId]], Trx[Id], Trx[Action],,0)</f>
        <v>加工</v>
      </c>
      <c r="E664" s="26" t="s">
        <v>80</v>
      </c>
      <c r="F664" s="11" t="s">
        <v>590</v>
      </c>
      <c r="G664" s="11" t="s">
        <v>391</v>
      </c>
      <c r="H664" s="72">
        <v>-47022</v>
      </c>
      <c r="I664" s="5" t="b">
        <f>AND(Jnl[[#This Row],[TrxId]]&lt;&gt;"",Jnl[[#This Row],[Acct]]&lt;&gt;"",Jnl[[#This Row],[Item]]&lt;&gt;"",ISNUMBER(Jnl[[#This Row],[Bal]]))</f>
        <v>1</v>
      </c>
      <c r="J664" s="10">
        <f>IF(Jnl[[#This Row],[BSLv0]]="A",1,-1)*Jnl[[#This Row],[Bal]]</f>
        <v>-47022</v>
      </c>
      <c r="K664" t="str">
        <f>_xlfn.XLOOKUP(Jnl[[#This Row],[Acct]], config_BS[Acct], config_BS[Lv0],,0)</f>
        <v>A</v>
      </c>
      <c r="L664" t="str">
        <f>_xlfn.XLOOKUP(Jnl[[#This Row],[Acct]], config_BS[Acct], config_BS[Lv1],,0)</f>
        <v>Assets</v>
      </c>
      <c r="M664" t="str">
        <f>_xlfn.XLOOKUP(Jnl[[#This Row],[Acct]], config_BS[Acct], config_BS[Lv2],,0)</f>
        <v>Cash alike</v>
      </c>
      <c r="N664" t="str">
        <f>_xlfn.XLOOKUP(Jnl[[#This Row],[TrxId]], Trx[Id], Trx[IncNode], ,0)</f>
        <v>Cost</v>
      </c>
      <c r="O664" t="str">
        <f>_xlfn.XLOOKUP(Jnl[[#This Row],[IncNode]], config_IS[Node], config_IS[Type],,0)</f>
        <v>Op</v>
      </c>
      <c r="P664" t="str">
        <f>_xlfn.XLOOKUP(Jnl[[#This Row],[BSLv2]], dict[Key], dict[Name],,0)</f>
        <v>0.现金及类似</v>
      </c>
      <c r="Q664" t="str">
        <f>_xlfn.XLOOKUP(Jnl[[#This Row],[Acct]], dict[Key], dict[Name],,0)</f>
        <v>银行</v>
      </c>
      <c r="R664" t="str">
        <f>_xlfn.XLOOKUP(Jnl[[#This Row],[Vehicle]],config_vehicle[Id], config_vehicle[Name],,0)</f>
        <v>远家花园</v>
      </c>
      <c r="S664" t="str">
        <f>_xlfn.XLOOKUP(Jnl[[#This Row],[Division]],config_div[Id], config_div[Name],,0)</f>
        <v>网店</v>
      </c>
      <c r="T664" t="str">
        <f>IF(Jnl[[#This Row],[TrxDate]]&lt;=stmt_BS_date_end, "In", "Out")</f>
        <v>In</v>
      </c>
      <c r="U664" t="str">
        <f>IF(Jnl[[#This Row],[TrxDate]]&lt;debug_date_start, "prior", IF(Jnl[[#This Row],[TrxDate]]&gt;debug_date_end, "post", "curr"))</f>
        <v>prior</v>
      </c>
    </row>
    <row r="665" spans="1:21">
      <c r="A665" s="11" t="s">
        <v>822</v>
      </c>
      <c r="B665" s="7">
        <f>_xlfn.XLOOKUP(Jnl[[#This Row],[TrxId]], Trx[Id], Trx[Date],,0)</f>
        <v>46053</v>
      </c>
      <c r="C665" s="7" t="str">
        <f>_xlfn.XLOOKUP(Jnl[[#This Row],[TrxId]], Trx[Id], Trx[Division],,0)</f>
        <v>Online</v>
      </c>
      <c r="D665" s="7" t="str">
        <f>_xlfn.XLOOKUP(Jnl[[#This Row],[TrxId]], Trx[Id], Trx[Action],,0)</f>
        <v>加工</v>
      </c>
      <c r="E665" s="26" t="s">
        <v>80</v>
      </c>
      <c r="F665" s="11" t="s">
        <v>598</v>
      </c>
      <c r="G665" s="11" t="s">
        <v>151</v>
      </c>
      <c r="H665" s="72">
        <v>26652</v>
      </c>
      <c r="I665" s="5" t="b">
        <f>AND(Jnl[[#This Row],[TrxId]]&lt;&gt;"",Jnl[[#This Row],[Acct]]&lt;&gt;"",Jnl[[#This Row],[Item]]&lt;&gt;"",ISNUMBER(Jnl[[#This Row],[Bal]]))</f>
        <v>1</v>
      </c>
      <c r="J665" s="10">
        <f>IF(Jnl[[#This Row],[BSLv0]]="A",1,-1)*Jnl[[#This Row],[Bal]]</f>
        <v>26652</v>
      </c>
      <c r="K665" t="str">
        <f>_xlfn.XLOOKUP(Jnl[[#This Row],[Acct]], config_BS[Acct], config_BS[Lv0],,0)</f>
        <v>A</v>
      </c>
      <c r="L665" t="str">
        <f>_xlfn.XLOOKUP(Jnl[[#This Row],[Acct]], config_BS[Acct], config_BS[Lv1],,0)</f>
        <v>Assets</v>
      </c>
      <c r="M665" t="str">
        <f>_xlfn.XLOOKUP(Jnl[[#This Row],[Acct]], config_BS[Acct], config_BS[Lv2],,0)</f>
        <v>Invtr</v>
      </c>
      <c r="N665" t="str">
        <f>_xlfn.XLOOKUP(Jnl[[#This Row],[TrxId]], Trx[Id], Trx[IncNode], ,0)</f>
        <v>Cost</v>
      </c>
      <c r="O665" t="str">
        <f>_xlfn.XLOOKUP(Jnl[[#This Row],[IncNode]], config_IS[Node], config_IS[Type],,0)</f>
        <v>Op</v>
      </c>
      <c r="P665" t="str">
        <f>_xlfn.XLOOKUP(Jnl[[#This Row],[BSLv2]], dict[Key], dict[Name],,0)</f>
        <v>3.库存占款</v>
      </c>
      <c r="Q665" t="str">
        <f>_xlfn.XLOOKUP(Jnl[[#This Row],[Acct]], dict[Key], dict[Name],,0)</f>
        <v>当期存货</v>
      </c>
      <c r="R665" t="str">
        <f>_xlfn.XLOOKUP(Jnl[[#This Row],[Vehicle]],config_vehicle[Id], config_vehicle[Name],,0)</f>
        <v>远家花园</v>
      </c>
      <c r="S665" t="str">
        <f>_xlfn.XLOOKUP(Jnl[[#This Row],[Division]],config_div[Id], config_div[Name],,0)</f>
        <v>网店</v>
      </c>
      <c r="T665" t="str">
        <f>IF(Jnl[[#This Row],[TrxDate]]&lt;=stmt_BS_date_end, "In", "Out")</f>
        <v>In</v>
      </c>
      <c r="U665" t="str">
        <f>IF(Jnl[[#This Row],[TrxDate]]&lt;debug_date_start, "prior", IF(Jnl[[#This Row],[TrxDate]]&gt;debug_date_end, "post", "curr"))</f>
        <v>prior</v>
      </c>
    </row>
    <row r="666" spans="1:21">
      <c r="A666" s="11" t="s">
        <v>822</v>
      </c>
      <c r="B666" s="7">
        <f>_xlfn.XLOOKUP(Jnl[[#This Row],[TrxId]], Trx[Id], Trx[Date],,0)</f>
        <v>46053</v>
      </c>
      <c r="C666" s="7" t="str">
        <f>_xlfn.XLOOKUP(Jnl[[#This Row],[TrxId]], Trx[Id], Trx[Division],,0)</f>
        <v>Online</v>
      </c>
      <c r="D666" s="7" t="str">
        <f>_xlfn.XLOOKUP(Jnl[[#This Row],[TrxId]], Trx[Id], Trx[Action],,0)</f>
        <v>加工</v>
      </c>
      <c r="E666" s="26" t="s">
        <v>80</v>
      </c>
      <c r="F666" s="11" t="s">
        <v>590</v>
      </c>
      <c r="G666" s="11" t="s">
        <v>391</v>
      </c>
      <c r="H666" s="72">
        <v>-26652</v>
      </c>
      <c r="I666" s="5" t="b">
        <f>AND(Jnl[[#This Row],[TrxId]]&lt;&gt;"",Jnl[[#This Row],[Acct]]&lt;&gt;"",Jnl[[#This Row],[Item]]&lt;&gt;"",ISNUMBER(Jnl[[#This Row],[Bal]]))</f>
        <v>1</v>
      </c>
      <c r="J666" s="10">
        <f>IF(Jnl[[#This Row],[BSLv0]]="A",1,-1)*Jnl[[#This Row],[Bal]]</f>
        <v>-26652</v>
      </c>
      <c r="K666" t="str">
        <f>_xlfn.XLOOKUP(Jnl[[#This Row],[Acct]], config_BS[Acct], config_BS[Lv0],,0)</f>
        <v>A</v>
      </c>
      <c r="L666" t="str">
        <f>_xlfn.XLOOKUP(Jnl[[#This Row],[Acct]], config_BS[Acct], config_BS[Lv1],,0)</f>
        <v>Assets</v>
      </c>
      <c r="M666" t="str">
        <f>_xlfn.XLOOKUP(Jnl[[#This Row],[Acct]], config_BS[Acct], config_BS[Lv2],,0)</f>
        <v>Cash alike</v>
      </c>
      <c r="N666" t="str">
        <f>_xlfn.XLOOKUP(Jnl[[#This Row],[TrxId]], Trx[Id], Trx[IncNode], ,0)</f>
        <v>Cost</v>
      </c>
      <c r="O666" t="str">
        <f>_xlfn.XLOOKUP(Jnl[[#This Row],[IncNode]], config_IS[Node], config_IS[Type],,0)</f>
        <v>Op</v>
      </c>
      <c r="P666" t="str">
        <f>_xlfn.XLOOKUP(Jnl[[#This Row],[BSLv2]], dict[Key], dict[Name],,0)</f>
        <v>0.现金及类似</v>
      </c>
      <c r="Q666" t="str">
        <f>_xlfn.XLOOKUP(Jnl[[#This Row],[Acct]], dict[Key], dict[Name],,0)</f>
        <v>银行</v>
      </c>
      <c r="R666" t="str">
        <f>_xlfn.XLOOKUP(Jnl[[#This Row],[Vehicle]],config_vehicle[Id], config_vehicle[Name],,0)</f>
        <v>远家花园</v>
      </c>
      <c r="S666" t="str">
        <f>_xlfn.XLOOKUP(Jnl[[#This Row],[Division]],config_div[Id], config_div[Name],,0)</f>
        <v>网店</v>
      </c>
      <c r="T666" t="str">
        <f>IF(Jnl[[#This Row],[TrxDate]]&lt;=stmt_BS_date_end, "In", "Out")</f>
        <v>In</v>
      </c>
      <c r="U666" t="str">
        <f>IF(Jnl[[#This Row],[TrxDate]]&lt;debug_date_start, "prior", IF(Jnl[[#This Row],[TrxDate]]&gt;debug_date_end, "post", "curr"))</f>
        <v>prior</v>
      </c>
    </row>
    <row r="667" spans="1:21">
      <c r="A667" s="11" t="s">
        <v>823</v>
      </c>
      <c r="B667" s="7">
        <f>_xlfn.XLOOKUP(Jnl[[#This Row],[TrxId]], Trx[Id], Trx[Date],,0)</f>
        <v>46053</v>
      </c>
      <c r="C667" s="7" t="str">
        <f>_xlfn.XLOOKUP(Jnl[[#This Row],[TrxId]], Trx[Id], Trx[Division],,0)</f>
        <v>Online</v>
      </c>
      <c r="D667" s="7" t="str">
        <f>_xlfn.XLOOKUP(Jnl[[#This Row],[TrxId]], Trx[Id], Trx[Action],,0)</f>
        <v>采购</v>
      </c>
      <c r="E667" s="26" t="s">
        <v>80</v>
      </c>
      <c r="F667" s="11" t="s">
        <v>598</v>
      </c>
      <c r="G667" s="11" t="s">
        <v>151</v>
      </c>
      <c r="H667" s="72">
        <v>69198</v>
      </c>
      <c r="I667" s="5" t="b">
        <f>AND(Jnl[[#This Row],[TrxId]]&lt;&gt;"",Jnl[[#This Row],[Acct]]&lt;&gt;"",Jnl[[#This Row],[Item]]&lt;&gt;"",ISNUMBER(Jnl[[#This Row],[Bal]]))</f>
        <v>1</v>
      </c>
      <c r="J667" s="10">
        <f>IF(Jnl[[#This Row],[BSLv0]]="A",1,-1)*Jnl[[#This Row],[Bal]]</f>
        <v>69198</v>
      </c>
      <c r="K667" t="str">
        <f>_xlfn.XLOOKUP(Jnl[[#This Row],[Acct]], config_BS[Acct], config_BS[Lv0],,0)</f>
        <v>A</v>
      </c>
      <c r="L667" t="str">
        <f>_xlfn.XLOOKUP(Jnl[[#This Row],[Acct]], config_BS[Acct], config_BS[Lv1],,0)</f>
        <v>Assets</v>
      </c>
      <c r="M667" t="str">
        <f>_xlfn.XLOOKUP(Jnl[[#This Row],[Acct]], config_BS[Acct], config_BS[Lv2],,0)</f>
        <v>Invtr</v>
      </c>
      <c r="N667" t="str">
        <f>_xlfn.XLOOKUP(Jnl[[#This Row],[TrxId]], Trx[Id], Trx[IncNode], ,0)</f>
        <v>Cost</v>
      </c>
      <c r="O667" t="str">
        <f>_xlfn.XLOOKUP(Jnl[[#This Row],[IncNode]], config_IS[Node], config_IS[Type],,0)</f>
        <v>Op</v>
      </c>
      <c r="P667" t="str">
        <f>_xlfn.XLOOKUP(Jnl[[#This Row],[BSLv2]], dict[Key], dict[Name],,0)</f>
        <v>3.库存占款</v>
      </c>
      <c r="Q667" t="str">
        <f>_xlfn.XLOOKUP(Jnl[[#This Row],[Acct]], dict[Key], dict[Name],,0)</f>
        <v>当期存货</v>
      </c>
      <c r="R667" t="str">
        <f>_xlfn.XLOOKUP(Jnl[[#This Row],[Vehicle]],config_vehicle[Id], config_vehicle[Name],,0)</f>
        <v>远家花园</v>
      </c>
      <c r="S667" t="str">
        <f>_xlfn.XLOOKUP(Jnl[[#This Row],[Division]],config_div[Id], config_div[Name],,0)</f>
        <v>网店</v>
      </c>
      <c r="T667" t="str">
        <f>IF(Jnl[[#This Row],[TrxDate]]&lt;=stmt_BS_date_end, "In", "Out")</f>
        <v>In</v>
      </c>
      <c r="U667" t="str">
        <f>IF(Jnl[[#This Row],[TrxDate]]&lt;debug_date_start, "prior", IF(Jnl[[#This Row],[TrxDate]]&gt;debug_date_end, "post", "curr"))</f>
        <v>prior</v>
      </c>
    </row>
    <row r="668" spans="1:21">
      <c r="A668" s="11" t="s">
        <v>823</v>
      </c>
      <c r="B668" s="7">
        <f>_xlfn.XLOOKUP(Jnl[[#This Row],[TrxId]], Trx[Id], Trx[Date],,0)</f>
        <v>46053</v>
      </c>
      <c r="C668" s="7" t="str">
        <f>_xlfn.XLOOKUP(Jnl[[#This Row],[TrxId]], Trx[Id], Trx[Division],,0)</f>
        <v>Online</v>
      </c>
      <c r="D668" s="7" t="str">
        <f>_xlfn.XLOOKUP(Jnl[[#This Row],[TrxId]], Trx[Id], Trx[Action],,0)</f>
        <v>采购</v>
      </c>
      <c r="E668" s="26" t="s">
        <v>80</v>
      </c>
      <c r="F668" s="11" t="s">
        <v>590</v>
      </c>
      <c r="G668" s="11" t="s">
        <v>391</v>
      </c>
      <c r="H668" s="72">
        <v>-69198</v>
      </c>
      <c r="I668" s="5" t="b">
        <f>AND(Jnl[[#This Row],[TrxId]]&lt;&gt;"",Jnl[[#This Row],[Acct]]&lt;&gt;"",Jnl[[#This Row],[Item]]&lt;&gt;"",ISNUMBER(Jnl[[#This Row],[Bal]]))</f>
        <v>1</v>
      </c>
      <c r="J668" s="10">
        <f>IF(Jnl[[#This Row],[BSLv0]]="A",1,-1)*Jnl[[#This Row],[Bal]]</f>
        <v>-69198</v>
      </c>
      <c r="K668" t="str">
        <f>_xlfn.XLOOKUP(Jnl[[#This Row],[Acct]], config_BS[Acct], config_BS[Lv0],,0)</f>
        <v>A</v>
      </c>
      <c r="L668" t="str">
        <f>_xlfn.XLOOKUP(Jnl[[#This Row],[Acct]], config_BS[Acct], config_BS[Lv1],,0)</f>
        <v>Assets</v>
      </c>
      <c r="M668" t="str">
        <f>_xlfn.XLOOKUP(Jnl[[#This Row],[Acct]], config_BS[Acct], config_BS[Lv2],,0)</f>
        <v>Cash alike</v>
      </c>
      <c r="N668" t="str">
        <f>_xlfn.XLOOKUP(Jnl[[#This Row],[TrxId]], Trx[Id], Trx[IncNode], ,0)</f>
        <v>Cost</v>
      </c>
      <c r="O668" t="str">
        <f>_xlfn.XLOOKUP(Jnl[[#This Row],[IncNode]], config_IS[Node], config_IS[Type],,0)</f>
        <v>Op</v>
      </c>
      <c r="P668" t="str">
        <f>_xlfn.XLOOKUP(Jnl[[#This Row],[BSLv2]], dict[Key], dict[Name],,0)</f>
        <v>0.现金及类似</v>
      </c>
      <c r="Q668" t="str">
        <f>_xlfn.XLOOKUP(Jnl[[#This Row],[Acct]], dict[Key], dict[Name],,0)</f>
        <v>银行</v>
      </c>
      <c r="R668" t="str">
        <f>_xlfn.XLOOKUP(Jnl[[#This Row],[Vehicle]],config_vehicle[Id], config_vehicle[Name],,0)</f>
        <v>远家花园</v>
      </c>
      <c r="S668" t="str">
        <f>_xlfn.XLOOKUP(Jnl[[#This Row],[Division]],config_div[Id], config_div[Name],,0)</f>
        <v>网店</v>
      </c>
      <c r="T668" t="str">
        <f>IF(Jnl[[#This Row],[TrxDate]]&lt;=stmt_BS_date_end, "In", "Out")</f>
        <v>In</v>
      </c>
      <c r="U668" t="str">
        <f>IF(Jnl[[#This Row],[TrxDate]]&lt;debug_date_start, "prior", IF(Jnl[[#This Row],[TrxDate]]&gt;debug_date_end, "post", "curr"))</f>
        <v>prior</v>
      </c>
    </row>
    <row r="669" spans="1:21">
      <c r="A669" s="11" t="s">
        <v>824</v>
      </c>
      <c r="B669" s="7">
        <f>_xlfn.XLOOKUP(Jnl[[#This Row],[TrxId]], Trx[Id], Trx[Date],,0)</f>
        <v>46053</v>
      </c>
      <c r="C669" s="7" t="str">
        <f>_xlfn.XLOOKUP(Jnl[[#This Row],[TrxId]], Trx[Id], Trx[Division],,0)</f>
        <v>Online</v>
      </c>
      <c r="D669" s="7" t="str">
        <f>_xlfn.XLOOKUP(Jnl[[#This Row],[TrxId]], Trx[Id], Trx[Action],,0)</f>
        <v>采购</v>
      </c>
      <c r="E669" s="26" t="s">
        <v>80</v>
      </c>
      <c r="F669" s="11" t="s">
        <v>598</v>
      </c>
      <c r="G669" s="11" t="s">
        <v>151</v>
      </c>
      <c r="H669" s="72">
        <v>522</v>
      </c>
      <c r="I669" s="5" t="b">
        <f>AND(Jnl[[#This Row],[TrxId]]&lt;&gt;"",Jnl[[#This Row],[Acct]]&lt;&gt;"",Jnl[[#This Row],[Item]]&lt;&gt;"",ISNUMBER(Jnl[[#This Row],[Bal]]))</f>
        <v>1</v>
      </c>
      <c r="J669" s="10">
        <f>IF(Jnl[[#This Row],[BSLv0]]="A",1,-1)*Jnl[[#This Row],[Bal]]</f>
        <v>522</v>
      </c>
      <c r="K669" t="str">
        <f>_xlfn.XLOOKUP(Jnl[[#This Row],[Acct]], config_BS[Acct], config_BS[Lv0],,0)</f>
        <v>A</v>
      </c>
      <c r="L669" t="str">
        <f>_xlfn.XLOOKUP(Jnl[[#This Row],[Acct]], config_BS[Acct], config_BS[Lv1],,0)</f>
        <v>Assets</v>
      </c>
      <c r="M669" t="str">
        <f>_xlfn.XLOOKUP(Jnl[[#This Row],[Acct]], config_BS[Acct], config_BS[Lv2],,0)</f>
        <v>Invtr</v>
      </c>
      <c r="N669" t="str">
        <f>_xlfn.XLOOKUP(Jnl[[#This Row],[TrxId]], Trx[Id], Trx[IncNode], ,0)</f>
        <v>Cost</v>
      </c>
      <c r="O669" t="str">
        <f>_xlfn.XLOOKUP(Jnl[[#This Row],[IncNode]], config_IS[Node], config_IS[Type],,0)</f>
        <v>Op</v>
      </c>
      <c r="P669" t="str">
        <f>_xlfn.XLOOKUP(Jnl[[#This Row],[BSLv2]], dict[Key], dict[Name],,0)</f>
        <v>3.库存占款</v>
      </c>
      <c r="Q669" t="str">
        <f>_xlfn.XLOOKUP(Jnl[[#This Row],[Acct]], dict[Key], dict[Name],,0)</f>
        <v>当期存货</v>
      </c>
      <c r="R669" t="str">
        <f>_xlfn.XLOOKUP(Jnl[[#This Row],[Vehicle]],config_vehicle[Id], config_vehicle[Name],,0)</f>
        <v>远家花园</v>
      </c>
      <c r="S669" t="str">
        <f>_xlfn.XLOOKUP(Jnl[[#This Row],[Division]],config_div[Id], config_div[Name],,0)</f>
        <v>网店</v>
      </c>
      <c r="T669" t="str">
        <f>IF(Jnl[[#This Row],[TrxDate]]&lt;=stmt_BS_date_end, "In", "Out")</f>
        <v>In</v>
      </c>
      <c r="U669" t="str">
        <f>IF(Jnl[[#This Row],[TrxDate]]&lt;debug_date_start, "prior", IF(Jnl[[#This Row],[TrxDate]]&gt;debug_date_end, "post", "curr"))</f>
        <v>prior</v>
      </c>
    </row>
    <row r="670" spans="1:21">
      <c r="A670" s="11" t="s">
        <v>824</v>
      </c>
      <c r="B670" s="7">
        <f>_xlfn.XLOOKUP(Jnl[[#This Row],[TrxId]], Trx[Id], Trx[Date],,0)</f>
        <v>46053</v>
      </c>
      <c r="C670" s="7" t="str">
        <f>_xlfn.XLOOKUP(Jnl[[#This Row],[TrxId]], Trx[Id], Trx[Division],,0)</f>
        <v>Online</v>
      </c>
      <c r="D670" s="7" t="str">
        <f>_xlfn.XLOOKUP(Jnl[[#This Row],[TrxId]], Trx[Id], Trx[Action],,0)</f>
        <v>采购</v>
      </c>
      <c r="E670" s="26" t="s">
        <v>80</v>
      </c>
      <c r="F670" s="11" t="s">
        <v>590</v>
      </c>
      <c r="G670" s="11" t="s">
        <v>391</v>
      </c>
      <c r="H670" s="72">
        <v>-522</v>
      </c>
      <c r="I670" s="5" t="b">
        <f>AND(Jnl[[#This Row],[TrxId]]&lt;&gt;"",Jnl[[#This Row],[Acct]]&lt;&gt;"",Jnl[[#This Row],[Item]]&lt;&gt;"",ISNUMBER(Jnl[[#This Row],[Bal]]))</f>
        <v>1</v>
      </c>
      <c r="J670" s="10">
        <f>IF(Jnl[[#This Row],[BSLv0]]="A",1,-1)*Jnl[[#This Row],[Bal]]</f>
        <v>-522</v>
      </c>
      <c r="K670" t="str">
        <f>_xlfn.XLOOKUP(Jnl[[#This Row],[Acct]], config_BS[Acct], config_BS[Lv0],,0)</f>
        <v>A</v>
      </c>
      <c r="L670" t="str">
        <f>_xlfn.XLOOKUP(Jnl[[#This Row],[Acct]], config_BS[Acct], config_BS[Lv1],,0)</f>
        <v>Assets</v>
      </c>
      <c r="M670" t="str">
        <f>_xlfn.XLOOKUP(Jnl[[#This Row],[Acct]], config_BS[Acct], config_BS[Lv2],,0)</f>
        <v>Cash alike</v>
      </c>
      <c r="N670" t="str">
        <f>_xlfn.XLOOKUP(Jnl[[#This Row],[TrxId]], Trx[Id], Trx[IncNode], ,0)</f>
        <v>Cost</v>
      </c>
      <c r="O670" t="str">
        <f>_xlfn.XLOOKUP(Jnl[[#This Row],[IncNode]], config_IS[Node], config_IS[Type],,0)</f>
        <v>Op</v>
      </c>
      <c r="P670" t="str">
        <f>_xlfn.XLOOKUP(Jnl[[#This Row],[BSLv2]], dict[Key], dict[Name],,0)</f>
        <v>0.现金及类似</v>
      </c>
      <c r="Q670" t="str">
        <f>_xlfn.XLOOKUP(Jnl[[#This Row],[Acct]], dict[Key], dict[Name],,0)</f>
        <v>银行</v>
      </c>
      <c r="R670" t="str">
        <f>_xlfn.XLOOKUP(Jnl[[#This Row],[Vehicle]],config_vehicle[Id], config_vehicle[Name],,0)</f>
        <v>远家花园</v>
      </c>
      <c r="S670" t="str">
        <f>_xlfn.XLOOKUP(Jnl[[#This Row],[Division]],config_div[Id], config_div[Name],,0)</f>
        <v>网店</v>
      </c>
      <c r="T670" t="str">
        <f>IF(Jnl[[#This Row],[TrxDate]]&lt;=stmt_BS_date_end, "In", "Out")</f>
        <v>In</v>
      </c>
      <c r="U670" t="str">
        <f>IF(Jnl[[#This Row],[TrxDate]]&lt;debug_date_start, "prior", IF(Jnl[[#This Row],[TrxDate]]&gt;debug_date_end, "post", "curr"))</f>
        <v>prior</v>
      </c>
    </row>
    <row r="671" spans="1:21">
      <c r="A671" s="11" t="s">
        <v>825</v>
      </c>
      <c r="B671" s="7">
        <f>_xlfn.XLOOKUP(Jnl[[#This Row],[TrxId]], Trx[Id], Trx[Date],,0)</f>
        <v>46053</v>
      </c>
      <c r="C671" s="7" t="str">
        <f>_xlfn.XLOOKUP(Jnl[[#This Row],[TrxId]], Trx[Id], Trx[Division],,0)</f>
        <v>Online</v>
      </c>
      <c r="D671" s="7" t="str">
        <f>_xlfn.XLOOKUP(Jnl[[#This Row],[TrxId]], Trx[Id], Trx[Action],,0)</f>
        <v>采购</v>
      </c>
      <c r="E671" s="26" t="s">
        <v>80</v>
      </c>
      <c r="F671" s="11" t="s">
        <v>598</v>
      </c>
      <c r="G671" s="11" t="s">
        <v>151</v>
      </c>
      <c r="H671" s="72">
        <v>8292</v>
      </c>
      <c r="I671" s="5" t="b">
        <f>AND(Jnl[[#This Row],[TrxId]]&lt;&gt;"",Jnl[[#This Row],[Acct]]&lt;&gt;"",Jnl[[#This Row],[Item]]&lt;&gt;"",ISNUMBER(Jnl[[#This Row],[Bal]]))</f>
        <v>1</v>
      </c>
      <c r="J671" s="10">
        <f>IF(Jnl[[#This Row],[BSLv0]]="A",1,-1)*Jnl[[#This Row],[Bal]]</f>
        <v>8292</v>
      </c>
      <c r="K671" t="str">
        <f>_xlfn.XLOOKUP(Jnl[[#This Row],[Acct]], config_BS[Acct], config_BS[Lv0],,0)</f>
        <v>A</v>
      </c>
      <c r="L671" t="str">
        <f>_xlfn.XLOOKUP(Jnl[[#This Row],[Acct]], config_BS[Acct], config_BS[Lv1],,0)</f>
        <v>Assets</v>
      </c>
      <c r="M671" t="str">
        <f>_xlfn.XLOOKUP(Jnl[[#This Row],[Acct]], config_BS[Acct], config_BS[Lv2],,0)</f>
        <v>Invtr</v>
      </c>
      <c r="N671" t="str">
        <f>_xlfn.XLOOKUP(Jnl[[#This Row],[TrxId]], Trx[Id], Trx[IncNode], ,0)</f>
        <v>Cost</v>
      </c>
      <c r="O671" t="str">
        <f>_xlfn.XLOOKUP(Jnl[[#This Row],[IncNode]], config_IS[Node], config_IS[Type],,0)</f>
        <v>Op</v>
      </c>
      <c r="P671" t="str">
        <f>_xlfn.XLOOKUP(Jnl[[#This Row],[BSLv2]], dict[Key], dict[Name],,0)</f>
        <v>3.库存占款</v>
      </c>
      <c r="Q671" t="str">
        <f>_xlfn.XLOOKUP(Jnl[[#This Row],[Acct]], dict[Key], dict[Name],,0)</f>
        <v>当期存货</v>
      </c>
      <c r="R671" t="str">
        <f>_xlfn.XLOOKUP(Jnl[[#This Row],[Vehicle]],config_vehicle[Id], config_vehicle[Name],,0)</f>
        <v>远家花园</v>
      </c>
      <c r="S671" t="str">
        <f>_xlfn.XLOOKUP(Jnl[[#This Row],[Division]],config_div[Id], config_div[Name],,0)</f>
        <v>网店</v>
      </c>
      <c r="T671" t="str">
        <f>IF(Jnl[[#This Row],[TrxDate]]&lt;=stmt_BS_date_end, "In", "Out")</f>
        <v>In</v>
      </c>
      <c r="U671" t="str">
        <f>IF(Jnl[[#This Row],[TrxDate]]&lt;debug_date_start, "prior", IF(Jnl[[#This Row],[TrxDate]]&gt;debug_date_end, "post", "curr"))</f>
        <v>prior</v>
      </c>
    </row>
    <row r="672" spans="1:21">
      <c r="A672" s="11" t="s">
        <v>825</v>
      </c>
      <c r="B672" s="7">
        <f>_xlfn.XLOOKUP(Jnl[[#This Row],[TrxId]], Trx[Id], Trx[Date],,0)</f>
        <v>46053</v>
      </c>
      <c r="C672" s="7" t="str">
        <f>_xlfn.XLOOKUP(Jnl[[#This Row],[TrxId]], Trx[Id], Trx[Division],,0)</f>
        <v>Online</v>
      </c>
      <c r="D672" s="7" t="str">
        <f>_xlfn.XLOOKUP(Jnl[[#This Row],[TrxId]], Trx[Id], Trx[Action],,0)</f>
        <v>采购</v>
      </c>
      <c r="E672" s="26" t="s">
        <v>80</v>
      </c>
      <c r="F672" s="11" t="s">
        <v>590</v>
      </c>
      <c r="G672" s="11" t="s">
        <v>391</v>
      </c>
      <c r="H672" s="72">
        <v>-8292</v>
      </c>
      <c r="I672" s="5" t="b">
        <f>AND(Jnl[[#This Row],[TrxId]]&lt;&gt;"",Jnl[[#This Row],[Acct]]&lt;&gt;"",Jnl[[#This Row],[Item]]&lt;&gt;"",ISNUMBER(Jnl[[#This Row],[Bal]]))</f>
        <v>1</v>
      </c>
      <c r="J672" s="10">
        <f>IF(Jnl[[#This Row],[BSLv0]]="A",1,-1)*Jnl[[#This Row],[Bal]]</f>
        <v>-8292</v>
      </c>
      <c r="K672" t="str">
        <f>_xlfn.XLOOKUP(Jnl[[#This Row],[Acct]], config_BS[Acct], config_BS[Lv0],,0)</f>
        <v>A</v>
      </c>
      <c r="L672" t="str">
        <f>_xlfn.XLOOKUP(Jnl[[#This Row],[Acct]], config_BS[Acct], config_BS[Lv1],,0)</f>
        <v>Assets</v>
      </c>
      <c r="M672" t="str">
        <f>_xlfn.XLOOKUP(Jnl[[#This Row],[Acct]], config_BS[Acct], config_BS[Lv2],,0)</f>
        <v>Cash alike</v>
      </c>
      <c r="N672" t="str">
        <f>_xlfn.XLOOKUP(Jnl[[#This Row],[TrxId]], Trx[Id], Trx[IncNode], ,0)</f>
        <v>Cost</v>
      </c>
      <c r="O672" t="str">
        <f>_xlfn.XLOOKUP(Jnl[[#This Row],[IncNode]], config_IS[Node], config_IS[Type],,0)</f>
        <v>Op</v>
      </c>
      <c r="P672" t="str">
        <f>_xlfn.XLOOKUP(Jnl[[#This Row],[BSLv2]], dict[Key], dict[Name],,0)</f>
        <v>0.现金及类似</v>
      </c>
      <c r="Q672" t="str">
        <f>_xlfn.XLOOKUP(Jnl[[#This Row],[Acct]], dict[Key], dict[Name],,0)</f>
        <v>银行</v>
      </c>
      <c r="R672" t="str">
        <f>_xlfn.XLOOKUP(Jnl[[#This Row],[Vehicle]],config_vehicle[Id], config_vehicle[Name],,0)</f>
        <v>远家花园</v>
      </c>
      <c r="S672" t="str">
        <f>_xlfn.XLOOKUP(Jnl[[#This Row],[Division]],config_div[Id], config_div[Name],,0)</f>
        <v>网店</v>
      </c>
      <c r="T672" t="str">
        <f>IF(Jnl[[#This Row],[TrxDate]]&lt;=stmt_BS_date_end, "In", "Out")</f>
        <v>In</v>
      </c>
      <c r="U672" t="str">
        <f>IF(Jnl[[#This Row],[TrxDate]]&lt;debug_date_start, "prior", IF(Jnl[[#This Row],[TrxDate]]&gt;debug_date_end, "post", "curr"))</f>
        <v>prior</v>
      </c>
    </row>
    <row r="673" spans="1:21">
      <c r="A673" s="11" t="s">
        <v>826</v>
      </c>
      <c r="B673" s="7">
        <f>_xlfn.XLOOKUP(Jnl[[#This Row],[TrxId]], Trx[Id], Trx[Date],,0)</f>
        <v>46053</v>
      </c>
      <c r="C673" s="7" t="str">
        <f>_xlfn.XLOOKUP(Jnl[[#This Row],[TrxId]], Trx[Id], Trx[Division],,0)</f>
        <v>Online</v>
      </c>
      <c r="D673" s="7" t="str">
        <f>_xlfn.XLOOKUP(Jnl[[#This Row],[TrxId]], Trx[Id], Trx[Action],,0)</f>
        <v>退费-供应商</v>
      </c>
      <c r="E673" s="26" t="s">
        <v>80</v>
      </c>
      <c r="F673" s="11" t="s">
        <v>590</v>
      </c>
      <c r="G673" s="11" t="s">
        <v>391</v>
      </c>
      <c r="H673" s="72">
        <v>1600</v>
      </c>
      <c r="I673" s="5" t="b">
        <f>AND(Jnl[[#This Row],[TrxId]]&lt;&gt;"",Jnl[[#This Row],[Acct]]&lt;&gt;"",Jnl[[#This Row],[Item]]&lt;&gt;"",ISNUMBER(Jnl[[#This Row],[Bal]]))</f>
        <v>1</v>
      </c>
      <c r="J673" s="10">
        <f>IF(Jnl[[#This Row],[BSLv0]]="A",1,-1)*Jnl[[#This Row],[Bal]]</f>
        <v>1600</v>
      </c>
      <c r="K673" t="str">
        <f>_xlfn.XLOOKUP(Jnl[[#This Row],[Acct]], config_BS[Acct], config_BS[Lv0],,0)</f>
        <v>A</v>
      </c>
      <c r="L673" t="str">
        <f>_xlfn.XLOOKUP(Jnl[[#This Row],[Acct]], config_BS[Acct], config_BS[Lv1],,0)</f>
        <v>Assets</v>
      </c>
      <c r="M673" t="str">
        <f>_xlfn.XLOOKUP(Jnl[[#This Row],[Acct]], config_BS[Acct], config_BS[Lv2],,0)</f>
        <v>Cash alike</v>
      </c>
      <c r="N673" t="str">
        <f>_xlfn.XLOOKUP(Jnl[[#This Row],[TrxId]], Trx[Id], Trx[IncNode], ,0)</f>
        <v>Expense</v>
      </c>
      <c r="O673" t="str">
        <f>_xlfn.XLOOKUP(Jnl[[#This Row],[IncNode]], config_IS[Node], config_IS[Type],,0)</f>
        <v>Op</v>
      </c>
      <c r="P673" t="str">
        <f>_xlfn.XLOOKUP(Jnl[[#This Row],[BSLv2]], dict[Key], dict[Name],,0)</f>
        <v>0.现金及类似</v>
      </c>
      <c r="Q673" t="str">
        <f>_xlfn.XLOOKUP(Jnl[[#This Row],[Acct]], dict[Key], dict[Name],,0)</f>
        <v>银行</v>
      </c>
      <c r="R673" t="str">
        <f>_xlfn.XLOOKUP(Jnl[[#This Row],[Vehicle]],config_vehicle[Id], config_vehicle[Name],,0)</f>
        <v>远家花园</v>
      </c>
      <c r="S673" t="str">
        <f>_xlfn.XLOOKUP(Jnl[[#This Row],[Division]],config_div[Id], config_div[Name],,0)</f>
        <v>网店</v>
      </c>
      <c r="T673" t="str">
        <f>IF(Jnl[[#This Row],[TrxDate]]&lt;=stmt_BS_date_end, "In", "Out")</f>
        <v>In</v>
      </c>
      <c r="U673" t="str">
        <f>IF(Jnl[[#This Row],[TrxDate]]&lt;debug_date_start, "prior", IF(Jnl[[#This Row],[TrxDate]]&gt;debug_date_end, "post", "curr"))</f>
        <v>prior</v>
      </c>
    </row>
    <row r="674" spans="1:21">
      <c r="A674" s="11" t="s">
        <v>828</v>
      </c>
      <c r="B674" s="7">
        <f>_xlfn.XLOOKUP(Jnl[[#This Row],[TrxId]], Trx[Id], Trx[Date],,0)</f>
        <v>46053</v>
      </c>
      <c r="C674" s="7" t="str">
        <f>_xlfn.XLOOKUP(Jnl[[#This Row],[TrxId]], Trx[Id], Trx[Division],,0)</f>
        <v>Online</v>
      </c>
      <c r="D674" s="7" t="str">
        <f>_xlfn.XLOOKUP(Jnl[[#This Row],[TrxId]], Trx[Id], Trx[Action],,0)</f>
        <v>过账</v>
      </c>
      <c r="E674" s="26" t="s">
        <v>80</v>
      </c>
      <c r="F674" s="11" t="s">
        <v>590</v>
      </c>
      <c r="G674" s="11" t="s">
        <v>391</v>
      </c>
      <c r="H674" s="72">
        <v>7704</v>
      </c>
      <c r="I674" s="5" t="b">
        <f>AND(Jnl[[#This Row],[TrxId]]&lt;&gt;"",Jnl[[#This Row],[Acct]]&lt;&gt;"",Jnl[[#This Row],[Item]]&lt;&gt;"",ISNUMBER(Jnl[[#This Row],[Bal]]))</f>
        <v>1</v>
      </c>
      <c r="J674" s="10">
        <f>IF(Jnl[[#This Row],[BSLv0]]="A",1,-1)*Jnl[[#This Row],[Bal]]</f>
        <v>7704</v>
      </c>
      <c r="K674" t="str">
        <f>_xlfn.XLOOKUP(Jnl[[#This Row],[Acct]], config_BS[Acct], config_BS[Lv0],,0)</f>
        <v>A</v>
      </c>
      <c r="L674" t="str">
        <f>_xlfn.XLOOKUP(Jnl[[#This Row],[Acct]], config_BS[Acct], config_BS[Lv1],,0)</f>
        <v>Assets</v>
      </c>
      <c r="M674" t="str">
        <f>_xlfn.XLOOKUP(Jnl[[#This Row],[Acct]], config_BS[Acct], config_BS[Lv2],,0)</f>
        <v>Cash alike</v>
      </c>
      <c r="N674" t="str">
        <f>_xlfn.XLOOKUP(Jnl[[#This Row],[TrxId]], Trx[Id], Trx[IncNode], ,0)</f>
        <v>Other</v>
      </c>
      <c r="O674" t="str">
        <f>_xlfn.XLOOKUP(Jnl[[#This Row],[IncNode]], config_IS[Node], config_IS[Type],,0)</f>
        <v>Non-Op</v>
      </c>
      <c r="P674" t="str">
        <f>_xlfn.XLOOKUP(Jnl[[#This Row],[BSLv2]], dict[Key], dict[Name],,0)</f>
        <v>0.现金及类似</v>
      </c>
      <c r="Q674" t="str">
        <f>_xlfn.XLOOKUP(Jnl[[#This Row],[Acct]], dict[Key], dict[Name],,0)</f>
        <v>银行</v>
      </c>
      <c r="R674" t="str">
        <f>_xlfn.XLOOKUP(Jnl[[#This Row],[Vehicle]],config_vehicle[Id], config_vehicle[Name],,0)</f>
        <v>远家花园</v>
      </c>
      <c r="S674" t="str">
        <f>_xlfn.XLOOKUP(Jnl[[#This Row],[Division]],config_div[Id], config_div[Name],,0)</f>
        <v>网店</v>
      </c>
      <c r="T674" t="str">
        <f>IF(Jnl[[#This Row],[TrxDate]]&lt;=stmt_BS_date_end, "In", "Out")</f>
        <v>In</v>
      </c>
      <c r="U674" t="str">
        <f>IF(Jnl[[#This Row],[TrxDate]]&lt;debug_date_start, "prior", IF(Jnl[[#This Row],[TrxDate]]&gt;debug_date_end, "post", "curr"))</f>
        <v>prior</v>
      </c>
    </row>
    <row r="675" spans="1:21">
      <c r="A675" s="11" t="s">
        <v>828</v>
      </c>
      <c r="B675" s="7">
        <f>_xlfn.XLOOKUP(Jnl[[#This Row],[TrxId]], Trx[Id], Trx[Date],,0)</f>
        <v>46053</v>
      </c>
      <c r="C675" s="7" t="str">
        <f>_xlfn.XLOOKUP(Jnl[[#This Row],[TrxId]], Trx[Id], Trx[Division],,0)</f>
        <v>Online</v>
      </c>
      <c r="D675" s="7" t="str">
        <f>_xlfn.XLOOKUP(Jnl[[#This Row],[TrxId]], Trx[Id], Trx[Action],,0)</f>
        <v>过账</v>
      </c>
      <c r="E675" s="26" t="s">
        <v>83</v>
      </c>
      <c r="F675" s="11" t="s">
        <v>590</v>
      </c>
      <c r="G675" s="11" t="s">
        <v>846</v>
      </c>
      <c r="H675" s="72">
        <f>-H674</f>
        <v>-7704</v>
      </c>
      <c r="I675" s="5" t="b">
        <f>AND(Jnl[[#This Row],[TrxId]]&lt;&gt;"",Jnl[[#This Row],[Acct]]&lt;&gt;"",Jnl[[#This Row],[Item]]&lt;&gt;"",ISNUMBER(Jnl[[#This Row],[Bal]]))</f>
        <v>1</v>
      </c>
      <c r="J675" s="10">
        <f>IF(Jnl[[#This Row],[BSLv0]]="A",1,-1)*Jnl[[#This Row],[Bal]]</f>
        <v>-7704</v>
      </c>
      <c r="K675" t="str">
        <f>_xlfn.XLOOKUP(Jnl[[#This Row],[Acct]], config_BS[Acct], config_BS[Lv0],,0)</f>
        <v>A</v>
      </c>
      <c r="L675" t="str">
        <f>_xlfn.XLOOKUP(Jnl[[#This Row],[Acct]], config_BS[Acct], config_BS[Lv1],,0)</f>
        <v>Assets</v>
      </c>
      <c r="M675" t="str">
        <f>_xlfn.XLOOKUP(Jnl[[#This Row],[Acct]], config_BS[Acct], config_BS[Lv2],,0)</f>
        <v>Cash alike</v>
      </c>
      <c r="N675" t="str">
        <f>_xlfn.XLOOKUP(Jnl[[#This Row],[TrxId]], Trx[Id], Trx[IncNode], ,0)</f>
        <v>Other</v>
      </c>
      <c r="O675" t="str">
        <f>_xlfn.XLOOKUP(Jnl[[#This Row],[IncNode]], config_IS[Node], config_IS[Type],,0)</f>
        <v>Non-Op</v>
      </c>
      <c r="P675" t="str">
        <f>_xlfn.XLOOKUP(Jnl[[#This Row],[BSLv2]], dict[Key], dict[Name],,0)</f>
        <v>0.现金及类似</v>
      </c>
      <c r="Q675" t="str">
        <f>_xlfn.XLOOKUP(Jnl[[#This Row],[Acct]], dict[Key], dict[Name],,0)</f>
        <v>银行</v>
      </c>
      <c r="R675" t="str">
        <f>_xlfn.XLOOKUP(Jnl[[#This Row],[Vehicle]],config_vehicle[Id], config_vehicle[Name],,0)</f>
        <v>远家文化</v>
      </c>
      <c r="S675" t="str">
        <f>_xlfn.XLOOKUP(Jnl[[#This Row],[Division]],config_div[Id], config_div[Name],,0)</f>
        <v>网店</v>
      </c>
      <c r="T675" t="str">
        <f>IF(Jnl[[#This Row],[TrxDate]]&lt;=stmt_BS_date_end, "In", "Out")</f>
        <v>In</v>
      </c>
      <c r="U675" t="str">
        <f>IF(Jnl[[#This Row],[TrxDate]]&lt;debug_date_start, "prior", IF(Jnl[[#This Row],[TrxDate]]&gt;debug_date_end, "post", "curr"))</f>
        <v>prior</v>
      </c>
    </row>
    <row r="676" spans="1:21">
      <c r="A676" s="11" t="s">
        <v>830</v>
      </c>
      <c r="B676" s="7">
        <f>_xlfn.XLOOKUP(Jnl[[#This Row],[TrxId]], Trx[Id], Trx[Date],,0)</f>
        <v>46053</v>
      </c>
      <c r="C676" s="7" t="str">
        <f>_xlfn.XLOOKUP(Jnl[[#This Row],[TrxId]], Trx[Id], Trx[Division],,0)</f>
        <v>GM</v>
      </c>
      <c r="D676" s="7" t="str">
        <f>_xlfn.XLOOKUP(Jnl[[#This Row],[TrxId]], Trx[Id], Trx[Action],,0)</f>
        <v>交通</v>
      </c>
      <c r="E676" s="26" t="s">
        <v>80</v>
      </c>
      <c r="F676" s="11" t="s">
        <v>590</v>
      </c>
      <c r="G676" s="11" t="s">
        <v>391</v>
      </c>
      <c r="H676" s="72">
        <v>-49.32</v>
      </c>
      <c r="I676" s="5" t="b">
        <f>AND(Jnl[[#This Row],[TrxId]]&lt;&gt;"",Jnl[[#This Row],[Acct]]&lt;&gt;"",Jnl[[#This Row],[Item]]&lt;&gt;"",ISNUMBER(Jnl[[#This Row],[Bal]]))</f>
        <v>1</v>
      </c>
      <c r="J676" s="10">
        <f>IF(Jnl[[#This Row],[BSLv0]]="A",1,-1)*Jnl[[#This Row],[Bal]]</f>
        <v>-49.32</v>
      </c>
      <c r="K676" t="str">
        <f>_xlfn.XLOOKUP(Jnl[[#This Row],[Acct]], config_BS[Acct], config_BS[Lv0],,0)</f>
        <v>A</v>
      </c>
      <c r="L676" t="str">
        <f>_xlfn.XLOOKUP(Jnl[[#This Row],[Acct]], config_BS[Acct], config_BS[Lv1],,0)</f>
        <v>Assets</v>
      </c>
      <c r="M676" t="str">
        <f>_xlfn.XLOOKUP(Jnl[[#This Row],[Acct]], config_BS[Acct], config_BS[Lv2],,0)</f>
        <v>Cash alike</v>
      </c>
      <c r="N676" t="str">
        <f>_xlfn.XLOOKUP(Jnl[[#This Row],[TrxId]], Trx[Id], Trx[IncNode], ,0)</f>
        <v>Expense</v>
      </c>
      <c r="O676" t="str">
        <f>_xlfn.XLOOKUP(Jnl[[#This Row],[IncNode]], config_IS[Node], config_IS[Type],,0)</f>
        <v>Op</v>
      </c>
      <c r="P676" t="str">
        <f>_xlfn.XLOOKUP(Jnl[[#This Row],[BSLv2]], dict[Key], dict[Name],,0)</f>
        <v>0.现金及类似</v>
      </c>
      <c r="Q676" t="str">
        <f>_xlfn.XLOOKUP(Jnl[[#This Row],[Acct]], dict[Key], dict[Name],,0)</f>
        <v>银行</v>
      </c>
      <c r="R676" t="str">
        <f>_xlfn.XLOOKUP(Jnl[[#This Row],[Vehicle]],config_vehicle[Id], config_vehicle[Name],,0)</f>
        <v>远家花园</v>
      </c>
      <c r="S676" t="str">
        <f>_xlfn.XLOOKUP(Jnl[[#This Row],[Division]],config_div[Id], config_div[Name],,0)</f>
        <v>综合管理</v>
      </c>
      <c r="T676" t="str">
        <f>IF(Jnl[[#This Row],[TrxDate]]&lt;=stmt_BS_date_end, "In", "Out")</f>
        <v>In</v>
      </c>
      <c r="U676" t="str">
        <f>IF(Jnl[[#This Row],[TrxDate]]&lt;debug_date_start, "prior", IF(Jnl[[#This Row],[TrxDate]]&gt;debug_date_end, "post", "curr"))</f>
        <v>prior</v>
      </c>
    </row>
    <row r="677" spans="1:21">
      <c r="A677" s="11" t="s">
        <v>831</v>
      </c>
      <c r="B677" s="7">
        <f>_xlfn.XLOOKUP(Jnl[[#This Row],[TrxId]], Trx[Id], Trx[Date],,0)</f>
        <v>46053</v>
      </c>
      <c r="C677" s="7" t="str">
        <f>_xlfn.XLOOKUP(Jnl[[#This Row],[TrxId]], Trx[Id], Trx[Division],,0)</f>
        <v>Ctrl</v>
      </c>
      <c r="D677" s="7" t="str">
        <f>_xlfn.XLOOKUP(Jnl[[#This Row],[TrxId]], Trx[Id], Trx[Action],,0)</f>
        <v>计提税金</v>
      </c>
      <c r="E677" s="26" t="s">
        <v>80</v>
      </c>
      <c r="F677" s="11" t="s">
        <v>127</v>
      </c>
      <c r="G677" s="11" t="s">
        <v>616</v>
      </c>
      <c r="H677" s="72">
        <v>915.28</v>
      </c>
      <c r="I677" s="5" t="b">
        <f>AND(Jnl[[#This Row],[TrxId]]&lt;&gt;"",Jnl[[#This Row],[Acct]]&lt;&gt;"",Jnl[[#This Row],[Item]]&lt;&gt;"",ISNUMBER(Jnl[[#This Row],[Bal]]))</f>
        <v>1</v>
      </c>
      <c r="J677" s="10">
        <f>IF(Jnl[[#This Row],[BSLv0]]="A",1,-1)*Jnl[[#This Row],[Bal]]</f>
        <v>-915.28</v>
      </c>
      <c r="K677" t="str">
        <f>_xlfn.XLOOKUP(Jnl[[#This Row],[Acct]], config_BS[Acct], config_BS[Lv0],,0)</f>
        <v>LC</v>
      </c>
      <c r="L677" t="str">
        <f>_xlfn.XLOOKUP(Jnl[[#This Row],[Acct]], config_BS[Acct], config_BS[Lv1],,0)</f>
        <v>Liability</v>
      </c>
      <c r="M677" t="str">
        <f>_xlfn.XLOOKUP(Jnl[[#This Row],[Acct]], config_BS[Acct], config_BS[Lv2],,0)</f>
        <v>Rec-Pay</v>
      </c>
      <c r="N677" t="str">
        <f>_xlfn.XLOOKUP(Jnl[[#This Row],[TrxId]], Trx[Id], Trx[IncNode], ,0)</f>
        <v>Expense</v>
      </c>
      <c r="O677" t="str">
        <f>_xlfn.XLOOKUP(Jnl[[#This Row],[IncNode]], config_IS[Node], config_IS[Type],,0)</f>
        <v>Op</v>
      </c>
      <c r="P677" t="str">
        <f>_xlfn.XLOOKUP(Jnl[[#This Row],[BSLv2]], dict[Key], dict[Name],,0)</f>
        <v>1.应收-应付</v>
      </c>
      <c r="Q677" t="str">
        <f>_xlfn.XLOOKUP(Jnl[[#This Row],[Acct]], dict[Key], dict[Name],,0)</f>
        <v>应付-税款</v>
      </c>
      <c r="R677" t="str">
        <f>_xlfn.XLOOKUP(Jnl[[#This Row],[Vehicle]],config_vehicle[Id], config_vehicle[Name],,0)</f>
        <v>远家花园</v>
      </c>
      <c r="S677" t="str">
        <f>_xlfn.XLOOKUP(Jnl[[#This Row],[Division]],config_div[Id], config_div[Name],,0)</f>
        <v>内控合规</v>
      </c>
      <c r="T677" t="str">
        <f>IF(Jnl[[#This Row],[TrxDate]]&lt;=stmt_BS_date_end, "In", "Out")</f>
        <v>In</v>
      </c>
      <c r="U677" t="str">
        <f>IF(Jnl[[#This Row],[TrxDate]]&lt;debug_date_start, "prior", IF(Jnl[[#This Row],[TrxDate]]&gt;debug_date_end, "post", "curr"))</f>
        <v>prior</v>
      </c>
    </row>
    <row r="678" spans="1:21">
      <c r="A678" s="11" t="s">
        <v>831</v>
      </c>
      <c r="B678" s="7">
        <f>_xlfn.XLOOKUP(Jnl[[#This Row],[TrxId]], Trx[Id], Trx[Date],,0)</f>
        <v>46053</v>
      </c>
      <c r="C678" s="7" t="str">
        <f>_xlfn.XLOOKUP(Jnl[[#This Row],[TrxId]], Trx[Id], Trx[Division],,0)</f>
        <v>Ctrl</v>
      </c>
      <c r="D678" s="7" t="str">
        <f>_xlfn.XLOOKUP(Jnl[[#This Row],[TrxId]], Trx[Id], Trx[Action],,0)</f>
        <v>计提税金</v>
      </c>
      <c r="E678" s="26" t="s">
        <v>80</v>
      </c>
      <c r="F678" s="11" t="s">
        <v>127</v>
      </c>
      <c r="G678" s="11" t="s">
        <v>348</v>
      </c>
      <c r="H678" s="72">
        <v>17370.7</v>
      </c>
      <c r="I678" s="5" t="b">
        <f>AND(Jnl[[#This Row],[TrxId]]&lt;&gt;"",Jnl[[#This Row],[Acct]]&lt;&gt;"",Jnl[[#This Row],[Item]]&lt;&gt;"",ISNUMBER(Jnl[[#This Row],[Bal]]))</f>
        <v>1</v>
      </c>
      <c r="J678" s="10">
        <f>IF(Jnl[[#This Row],[BSLv0]]="A",1,-1)*Jnl[[#This Row],[Bal]]</f>
        <v>-17370.7</v>
      </c>
      <c r="K678" t="str">
        <f>_xlfn.XLOOKUP(Jnl[[#This Row],[Acct]], config_BS[Acct], config_BS[Lv0],,0)</f>
        <v>LC</v>
      </c>
      <c r="L678" t="str">
        <f>_xlfn.XLOOKUP(Jnl[[#This Row],[Acct]], config_BS[Acct], config_BS[Lv1],,0)</f>
        <v>Liability</v>
      </c>
      <c r="M678" t="str">
        <f>_xlfn.XLOOKUP(Jnl[[#This Row],[Acct]], config_BS[Acct], config_BS[Lv2],,0)</f>
        <v>Rec-Pay</v>
      </c>
      <c r="N678" t="str">
        <f>_xlfn.XLOOKUP(Jnl[[#This Row],[TrxId]], Trx[Id], Trx[IncNode], ,0)</f>
        <v>Expense</v>
      </c>
      <c r="O678" t="str">
        <f>_xlfn.XLOOKUP(Jnl[[#This Row],[IncNode]], config_IS[Node], config_IS[Type],,0)</f>
        <v>Op</v>
      </c>
      <c r="P678" t="str">
        <f>_xlfn.XLOOKUP(Jnl[[#This Row],[BSLv2]], dict[Key], dict[Name],,0)</f>
        <v>1.应收-应付</v>
      </c>
      <c r="Q678" t="str">
        <f>_xlfn.XLOOKUP(Jnl[[#This Row],[Acct]], dict[Key], dict[Name],,0)</f>
        <v>应付-税款</v>
      </c>
      <c r="R678" t="str">
        <f>_xlfn.XLOOKUP(Jnl[[#This Row],[Vehicle]],config_vehicle[Id], config_vehicle[Name],,0)</f>
        <v>远家花园</v>
      </c>
      <c r="S678" t="str">
        <f>_xlfn.XLOOKUP(Jnl[[#This Row],[Division]],config_div[Id], config_div[Name],,0)</f>
        <v>内控合规</v>
      </c>
      <c r="T678" t="str">
        <f>IF(Jnl[[#This Row],[TrxDate]]&lt;=stmt_BS_date_end, "In", "Out")</f>
        <v>In</v>
      </c>
      <c r="U678" t="str">
        <f>IF(Jnl[[#This Row],[TrxDate]]&lt;debug_date_start, "prior", IF(Jnl[[#This Row],[TrxDate]]&gt;debug_date_end, "post", "curr"))</f>
        <v>prior</v>
      </c>
    </row>
    <row r="679" spans="1:21">
      <c r="A679" s="11" t="s">
        <v>831</v>
      </c>
      <c r="B679" s="7">
        <f>_xlfn.XLOOKUP(Jnl[[#This Row],[TrxId]], Trx[Id], Trx[Date],,0)</f>
        <v>46053</v>
      </c>
      <c r="C679" s="7" t="str">
        <f>_xlfn.XLOOKUP(Jnl[[#This Row],[TrxId]], Trx[Id], Trx[Division],,0)</f>
        <v>Ctrl</v>
      </c>
      <c r="D679" s="7" t="str">
        <f>_xlfn.XLOOKUP(Jnl[[#This Row],[TrxId]], Trx[Id], Trx[Action],,0)</f>
        <v>计提税金</v>
      </c>
      <c r="E679" s="26" t="s">
        <v>80</v>
      </c>
      <c r="F679" s="11" t="s">
        <v>127</v>
      </c>
      <c r="G679" s="11" t="s">
        <v>349</v>
      </c>
      <c r="H679" s="72">
        <v>343.28</v>
      </c>
      <c r="I679" s="5" t="b">
        <f>AND(Jnl[[#This Row],[TrxId]]&lt;&gt;"",Jnl[[#This Row],[Acct]]&lt;&gt;"",Jnl[[#This Row],[Item]]&lt;&gt;"",ISNUMBER(Jnl[[#This Row],[Bal]]))</f>
        <v>1</v>
      </c>
      <c r="J679" s="10">
        <f>IF(Jnl[[#This Row],[BSLv0]]="A",1,-1)*Jnl[[#This Row],[Bal]]</f>
        <v>-343.28</v>
      </c>
      <c r="K679" t="str">
        <f>_xlfn.XLOOKUP(Jnl[[#This Row],[Acct]], config_BS[Acct], config_BS[Lv0],,0)</f>
        <v>LC</v>
      </c>
      <c r="L679" t="str">
        <f>_xlfn.XLOOKUP(Jnl[[#This Row],[Acct]], config_BS[Acct], config_BS[Lv1],,0)</f>
        <v>Liability</v>
      </c>
      <c r="M679" t="str">
        <f>_xlfn.XLOOKUP(Jnl[[#This Row],[Acct]], config_BS[Acct], config_BS[Lv2],,0)</f>
        <v>Rec-Pay</v>
      </c>
      <c r="N679" t="str">
        <f>_xlfn.XLOOKUP(Jnl[[#This Row],[TrxId]], Trx[Id], Trx[IncNode], ,0)</f>
        <v>Expense</v>
      </c>
      <c r="O679" t="str">
        <f>_xlfn.XLOOKUP(Jnl[[#This Row],[IncNode]], config_IS[Node], config_IS[Type],,0)</f>
        <v>Op</v>
      </c>
      <c r="P679" t="str">
        <f>_xlfn.XLOOKUP(Jnl[[#This Row],[BSLv2]], dict[Key], dict[Name],,0)</f>
        <v>1.应收-应付</v>
      </c>
      <c r="Q679" t="str">
        <f>_xlfn.XLOOKUP(Jnl[[#This Row],[Acct]], dict[Key], dict[Name],,0)</f>
        <v>应付-税款</v>
      </c>
      <c r="R679" t="str">
        <f>_xlfn.XLOOKUP(Jnl[[#This Row],[Vehicle]],config_vehicle[Id], config_vehicle[Name],,0)</f>
        <v>远家花园</v>
      </c>
      <c r="S679" t="str">
        <f>_xlfn.XLOOKUP(Jnl[[#This Row],[Division]],config_div[Id], config_div[Name],,0)</f>
        <v>内控合规</v>
      </c>
      <c r="T679" t="str">
        <f>IF(Jnl[[#This Row],[TrxDate]]&lt;=stmt_BS_date_end, "In", "Out")</f>
        <v>In</v>
      </c>
      <c r="U679" t="str">
        <f>IF(Jnl[[#This Row],[TrxDate]]&lt;debug_date_start, "prior", IF(Jnl[[#This Row],[TrxDate]]&gt;debug_date_end, "post", "curr"))</f>
        <v>prior</v>
      </c>
    </row>
    <row r="680" spans="1:21">
      <c r="A680" s="11" t="s">
        <v>832</v>
      </c>
      <c r="B680" s="7">
        <f>_xlfn.XLOOKUP(Jnl[[#This Row],[TrxId]], Trx[Id], Trx[Date],,0)</f>
        <v>46053</v>
      </c>
      <c r="C680" s="7" t="str">
        <f>_xlfn.XLOOKUP(Jnl[[#This Row],[TrxId]], Trx[Id], Trx[Division],,0)</f>
        <v>Online</v>
      </c>
      <c r="D680" s="7" t="str">
        <f>_xlfn.XLOOKUP(Jnl[[#This Row],[TrxId]], Trx[Id], Trx[Action],,0)</f>
        <v>计件</v>
      </c>
      <c r="E680" s="26" t="s">
        <v>80</v>
      </c>
      <c r="F680" s="11" t="s">
        <v>598</v>
      </c>
      <c r="G680" s="11" t="s">
        <v>151</v>
      </c>
      <c r="H680" s="72">
        <v>70845.600000000006</v>
      </c>
      <c r="I680" s="5" t="b">
        <f>AND(Jnl[[#This Row],[TrxId]]&lt;&gt;"",Jnl[[#This Row],[Acct]]&lt;&gt;"",Jnl[[#This Row],[Item]]&lt;&gt;"",ISNUMBER(Jnl[[#This Row],[Bal]]))</f>
        <v>1</v>
      </c>
      <c r="J680" s="10">
        <f>IF(Jnl[[#This Row],[BSLv0]]="A",1,-1)*Jnl[[#This Row],[Bal]]</f>
        <v>70845.600000000006</v>
      </c>
      <c r="K680" t="str">
        <f>_xlfn.XLOOKUP(Jnl[[#This Row],[Acct]], config_BS[Acct], config_BS[Lv0],,0)</f>
        <v>A</v>
      </c>
      <c r="L680" t="str">
        <f>_xlfn.XLOOKUP(Jnl[[#This Row],[Acct]], config_BS[Acct], config_BS[Lv1],,0)</f>
        <v>Assets</v>
      </c>
      <c r="M680" t="str">
        <f>_xlfn.XLOOKUP(Jnl[[#This Row],[Acct]], config_BS[Acct], config_BS[Lv2],,0)</f>
        <v>Invtr</v>
      </c>
      <c r="N680" t="str">
        <f>_xlfn.XLOOKUP(Jnl[[#This Row],[TrxId]], Trx[Id], Trx[IncNode], ,0)</f>
        <v>Cost</v>
      </c>
      <c r="O680" t="str">
        <f>_xlfn.XLOOKUP(Jnl[[#This Row],[IncNode]], config_IS[Node], config_IS[Type],,0)</f>
        <v>Op</v>
      </c>
      <c r="P680" t="str">
        <f>_xlfn.XLOOKUP(Jnl[[#This Row],[BSLv2]], dict[Key], dict[Name],,0)</f>
        <v>3.库存占款</v>
      </c>
      <c r="Q680" t="str">
        <f>_xlfn.XLOOKUP(Jnl[[#This Row],[Acct]], dict[Key], dict[Name],,0)</f>
        <v>当期存货</v>
      </c>
      <c r="R680" t="str">
        <f>_xlfn.XLOOKUP(Jnl[[#This Row],[Vehicle]],config_vehicle[Id], config_vehicle[Name],,0)</f>
        <v>远家花园</v>
      </c>
      <c r="S680" t="str">
        <f>_xlfn.XLOOKUP(Jnl[[#This Row],[Division]],config_div[Id], config_div[Name],,0)</f>
        <v>网店</v>
      </c>
      <c r="T680" t="str">
        <f>IF(Jnl[[#This Row],[TrxDate]]&lt;=stmt_BS_date_end, "In", "Out")</f>
        <v>In</v>
      </c>
      <c r="U680" t="str">
        <f>IF(Jnl[[#This Row],[TrxDate]]&lt;debug_date_start, "prior", IF(Jnl[[#This Row],[TrxDate]]&gt;debug_date_end, "post", "curr"))</f>
        <v>prior</v>
      </c>
    </row>
    <row r="681" spans="1:21">
      <c r="A681" s="11" t="s">
        <v>832</v>
      </c>
      <c r="B681" s="7">
        <f>_xlfn.XLOOKUP(Jnl[[#This Row],[TrxId]], Trx[Id], Trx[Date],,0)</f>
        <v>46053</v>
      </c>
      <c r="C681" s="7" t="str">
        <f>_xlfn.XLOOKUP(Jnl[[#This Row],[TrxId]], Trx[Id], Trx[Division],,0)</f>
        <v>Online</v>
      </c>
      <c r="D681" s="7" t="str">
        <f>_xlfn.XLOOKUP(Jnl[[#This Row],[TrxId]], Trx[Id], Trx[Action],,0)</f>
        <v>计件</v>
      </c>
      <c r="E681" s="26" t="s">
        <v>80</v>
      </c>
      <c r="F681" s="11" t="s">
        <v>596</v>
      </c>
      <c r="G681" s="11" t="s">
        <v>149</v>
      </c>
      <c r="H681" s="72">
        <v>70845.600000000006</v>
      </c>
      <c r="I681" s="5" t="b">
        <f>AND(Jnl[[#This Row],[TrxId]]&lt;&gt;"",Jnl[[#This Row],[Acct]]&lt;&gt;"",Jnl[[#This Row],[Item]]&lt;&gt;"",ISNUMBER(Jnl[[#This Row],[Bal]]))</f>
        <v>1</v>
      </c>
      <c r="J681" s="10">
        <f>IF(Jnl[[#This Row],[BSLv0]]="A",1,-1)*Jnl[[#This Row],[Bal]]</f>
        <v>-70845.600000000006</v>
      </c>
      <c r="K681" t="str">
        <f>_xlfn.XLOOKUP(Jnl[[#This Row],[Acct]], config_BS[Acct], config_BS[Lv0],,0)</f>
        <v>LC</v>
      </c>
      <c r="L681" t="str">
        <f>_xlfn.XLOOKUP(Jnl[[#This Row],[Acct]], config_BS[Acct], config_BS[Lv1],,0)</f>
        <v>Liability</v>
      </c>
      <c r="M681" t="str">
        <f>_xlfn.XLOOKUP(Jnl[[#This Row],[Acct]], config_BS[Acct], config_BS[Lv2],,0)</f>
        <v>Rec-Pay</v>
      </c>
      <c r="N681" t="str">
        <f>_xlfn.XLOOKUP(Jnl[[#This Row],[TrxId]], Trx[Id], Trx[IncNode], ,0)</f>
        <v>Cost</v>
      </c>
      <c r="O681" t="str">
        <f>_xlfn.XLOOKUP(Jnl[[#This Row],[IncNode]], config_IS[Node], config_IS[Type],,0)</f>
        <v>Op</v>
      </c>
      <c r="P681" t="str">
        <f>_xlfn.XLOOKUP(Jnl[[#This Row],[BSLv2]], dict[Key], dict[Name],,0)</f>
        <v>1.应收-应付</v>
      </c>
      <c r="Q681" t="str">
        <f>_xlfn.XLOOKUP(Jnl[[#This Row],[Acct]], dict[Key], dict[Name],,0)</f>
        <v>应付-薪资</v>
      </c>
      <c r="R681" t="str">
        <f>_xlfn.XLOOKUP(Jnl[[#This Row],[Vehicle]],config_vehicle[Id], config_vehicle[Name],,0)</f>
        <v>远家花园</v>
      </c>
      <c r="S681" t="str">
        <f>_xlfn.XLOOKUP(Jnl[[#This Row],[Division]],config_div[Id], config_div[Name],,0)</f>
        <v>网店</v>
      </c>
      <c r="T681" t="str">
        <f>IF(Jnl[[#This Row],[TrxDate]]&lt;=stmt_BS_date_end, "In", "Out")</f>
        <v>In</v>
      </c>
      <c r="U681" t="str">
        <f>IF(Jnl[[#This Row],[TrxDate]]&lt;debug_date_start, "prior", IF(Jnl[[#This Row],[TrxDate]]&gt;debug_date_end, "post", "curr"))</f>
        <v>prior</v>
      </c>
    </row>
    <row r="682" spans="1:21">
      <c r="A682" s="11" t="s">
        <v>833</v>
      </c>
      <c r="B682" s="7">
        <f>_xlfn.XLOOKUP(Jnl[[#This Row],[TrxId]], Trx[Id], Trx[Date],,0)</f>
        <v>46053</v>
      </c>
      <c r="C682" s="7" t="str">
        <f>_xlfn.XLOOKUP(Jnl[[#This Row],[TrxId]], Trx[Id], Trx[Division],,0)</f>
        <v>GM</v>
      </c>
      <c r="D682" s="7" t="str">
        <f>_xlfn.XLOOKUP(Jnl[[#This Row],[TrxId]], Trx[Id], Trx[Action],,0)</f>
        <v>薪酬-工资</v>
      </c>
      <c r="E682" s="26" t="s">
        <v>80</v>
      </c>
      <c r="F682" s="11" t="s">
        <v>596</v>
      </c>
      <c r="G682" s="11" t="s">
        <v>149</v>
      </c>
      <c r="H682" s="72">
        <v>230125.26</v>
      </c>
      <c r="I682" s="5" t="b">
        <f>AND(Jnl[[#This Row],[TrxId]]&lt;&gt;"",Jnl[[#This Row],[Acct]]&lt;&gt;"",Jnl[[#This Row],[Item]]&lt;&gt;"",ISNUMBER(Jnl[[#This Row],[Bal]]))</f>
        <v>1</v>
      </c>
      <c r="J682" s="10">
        <f>IF(Jnl[[#This Row],[BSLv0]]="A",1,-1)*Jnl[[#This Row],[Bal]]</f>
        <v>-230125.26</v>
      </c>
      <c r="K682" t="str">
        <f>_xlfn.XLOOKUP(Jnl[[#This Row],[Acct]], config_BS[Acct], config_BS[Lv0],,0)</f>
        <v>LC</v>
      </c>
      <c r="L682" t="str">
        <f>_xlfn.XLOOKUP(Jnl[[#This Row],[Acct]], config_BS[Acct], config_BS[Lv1],,0)</f>
        <v>Liability</v>
      </c>
      <c r="M682" t="str">
        <f>_xlfn.XLOOKUP(Jnl[[#This Row],[Acct]], config_BS[Acct], config_BS[Lv2],,0)</f>
        <v>Rec-Pay</v>
      </c>
      <c r="N682" t="str">
        <f>_xlfn.XLOOKUP(Jnl[[#This Row],[TrxId]], Trx[Id], Trx[IncNode], ,0)</f>
        <v>Expense</v>
      </c>
      <c r="O682" t="str">
        <f>_xlfn.XLOOKUP(Jnl[[#This Row],[IncNode]], config_IS[Node], config_IS[Type],,0)</f>
        <v>Op</v>
      </c>
      <c r="P682" t="str">
        <f>_xlfn.XLOOKUP(Jnl[[#This Row],[BSLv2]], dict[Key], dict[Name],,0)</f>
        <v>1.应收-应付</v>
      </c>
      <c r="Q682" t="str">
        <f>_xlfn.XLOOKUP(Jnl[[#This Row],[Acct]], dict[Key], dict[Name],,0)</f>
        <v>应付-薪资</v>
      </c>
      <c r="R682" t="str">
        <f>_xlfn.XLOOKUP(Jnl[[#This Row],[Vehicle]],config_vehicle[Id], config_vehicle[Name],,0)</f>
        <v>远家花园</v>
      </c>
      <c r="S682" t="str">
        <f>_xlfn.XLOOKUP(Jnl[[#This Row],[Division]],config_div[Id], config_div[Name],,0)</f>
        <v>综合管理</v>
      </c>
      <c r="T682" t="str">
        <f>IF(Jnl[[#This Row],[TrxDate]]&lt;=stmt_BS_date_end, "In", "Out")</f>
        <v>In</v>
      </c>
      <c r="U682" t="str">
        <f>IF(Jnl[[#This Row],[TrxDate]]&lt;debug_date_start, "prior", IF(Jnl[[#This Row],[TrxDate]]&gt;debug_date_end, "post", "curr"))</f>
        <v>prior</v>
      </c>
    </row>
    <row r="683" spans="1:21">
      <c r="A683" s="11" t="s">
        <v>1334</v>
      </c>
      <c r="B683" s="7">
        <f>_xlfn.XLOOKUP(Jnl[[#This Row],[TrxId]], Trx[Id], Trx[Date],,0)</f>
        <v>46053</v>
      </c>
      <c r="C683" s="7" t="str">
        <f>_xlfn.XLOOKUP(Jnl[[#This Row],[TrxId]], Trx[Id], Trx[Division],,0)</f>
        <v>Online</v>
      </c>
      <c r="D683" s="7" t="str">
        <f>_xlfn.XLOOKUP(Jnl[[#This Row],[TrxId]], Trx[Id], Trx[Action],,0)</f>
        <v>薪酬-工资</v>
      </c>
      <c r="E683" s="26" t="s">
        <v>80</v>
      </c>
      <c r="F683" s="11" t="s">
        <v>596</v>
      </c>
      <c r="G683" s="11" t="s">
        <v>149</v>
      </c>
      <c r="H683" s="72">
        <v>120767.17</v>
      </c>
      <c r="I683" s="5" t="b">
        <f>AND(Jnl[[#This Row],[TrxId]]&lt;&gt;"",Jnl[[#This Row],[Acct]]&lt;&gt;"",Jnl[[#This Row],[Item]]&lt;&gt;"",ISNUMBER(Jnl[[#This Row],[Bal]]))</f>
        <v>1</v>
      </c>
      <c r="J683" s="10">
        <f>IF(Jnl[[#This Row],[BSLv0]]="A",1,-1)*Jnl[[#This Row],[Bal]]</f>
        <v>-120767.17</v>
      </c>
      <c r="K683" t="str">
        <f>_xlfn.XLOOKUP(Jnl[[#This Row],[Acct]], config_BS[Acct], config_BS[Lv0],,0)</f>
        <v>LC</v>
      </c>
      <c r="L683" t="str">
        <f>_xlfn.XLOOKUP(Jnl[[#This Row],[Acct]], config_BS[Acct], config_BS[Lv1],,0)</f>
        <v>Liability</v>
      </c>
      <c r="M683" t="str">
        <f>_xlfn.XLOOKUP(Jnl[[#This Row],[Acct]], config_BS[Acct], config_BS[Lv2],,0)</f>
        <v>Rec-Pay</v>
      </c>
      <c r="N683" t="str">
        <f>_xlfn.XLOOKUP(Jnl[[#This Row],[TrxId]], Trx[Id], Trx[IncNode], ,0)</f>
        <v>Expense</v>
      </c>
      <c r="O683" t="str">
        <f>_xlfn.XLOOKUP(Jnl[[#This Row],[IncNode]], config_IS[Node], config_IS[Type],,0)</f>
        <v>Op</v>
      </c>
      <c r="P683" t="str">
        <f>_xlfn.XLOOKUP(Jnl[[#This Row],[BSLv2]], dict[Key], dict[Name],,0)</f>
        <v>1.应收-应付</v>
      </c>
      <c r="Q683" t="str">
        <f>_xlfn.XLOOKUP(Jnl[[#This Row],[Acct]], dict[Key], dict[Name],,0)</f>
        <v>应付-薪资</v>
      </c>
      <c r="R683" t="str">
        <f>_xlfn.XLOOKUP(Jnl[[#This Row],[Vehicle]],config_vehicle[Id], config_vehicle[Name],,0)</f>
        <v>远家花园</v>
      </c>
      <c r="S683" t="str">
        <f>_xlfn.XLOOKUP(Jnl[[#This Row],[Division]],config_div[Id], config_div[Name],,0)</f>
        <v>网店</v>
      </c>
      <c r="T683" t="str">
        <f>IF(Jnl[[#This Row],[TrxDate]]&lt;=stmt_BS_date_end, "In", "Out")</f>
        <v>In</v>
      </c>
      <c r="U683" t="str">
        <f>IF(Jnl[[#This Row],[TrxDate]]&lt;debug_date_start, "prior", IF(Jnl[[#This Row],[TrxDate]]&gt;debug_date_end, "post", "curr"))</f>
        <v>prior</v>
      </c>
    </row>
    <row r="684" spans="1:21">
      <c r="A684" s="11" t="s">
        <v>834</v>
      </c>
      <c r="B684" s="7">
        <f>_xlfn.XLOOKUP(Jnl[[#This Row],[TrxId]], Trx[Id], Trx[Date],,0)</f>
        <v>46053</v>
      </c>
      <c r="C684" s="7" t="str">
        <f>_xlfn.XLOOKUP(Jnl[[#This Row],[TrxId]], Trx[Id], Trx[Division],,0)</f>
        <v>Online</v>
      </c>
      <c r="D684" s="7" t="str">
        <f>_xlfn.XLOOKUP(Jnl[[#This Row],[TrxId]], Trx[Id], Trx[Action],,0)</f>
        <v>服饰</v>
      </c>
      <c r="E684" s="26" t="s">
        <v>80</v>
      </c>
      <c r="F684" s="11" t="s">
        <v>593</v>
      </c>
      <c r="G684" s="11" t="s">
        <v>594</v>
      </c>
      <c r="H684" s="72">
        <v>3312043.65</v>
      </c>
      <c r="I684" s="5" t="b">
        <f>AND(Jnl[[#This Row],[TrxId]]&lt;&gt;"",Jnl[[#This Row],[Acct]]&lt;&gt;"",Jnl[[#This Row],[Item]]&lt;&gt;"",ISNUMBER(Jnl[[#This Row],[Bal]]))</f>
        <v>1</v>
      </c>
      <c r="J684" s="10">
        <f>IF(Jnl[[#This Row],[BSLv0]]="A",1,-1)*Jnl[[#This Row],[Bal]]</f>
        <v>3312043.65</v>
      </c>
      <c r="K684" t="str">
        <f>_xlfn.XLOOKUP(Jnl[[#This Row],[Acct]], config_BS[Acct], config_BS[Lv0],,0)</f>
        <v>A</v>
      </c>
      <c r="L684" t="str">
        <f>_xlfn.XLOOKUP(Jnl[[#This Row],[Acct]], config_BS[Acct], config_BS[Lv1],,0)</f>
        <v>Assets</v>
      </c>
      <c r="M684" t="str">
        <f>_xlfn.XLOOKUP(Jnl[[#This Row],[Acct]], config_BS[Acct], config_BS[Lv2],,0)</f>
        <v>Rec-Pay</v>
      </c>
      <c r="N684" t="str">
        <f>_xlfn.XLOOKUP(Jnl[[#This Row],[TrxId]], Trx[Id], Trx[IncNode], ,0)</f>
        <v>Revenue</v>
      </c>
      <c r="O684" t="str">
        <f>_xlfn.XLOOKUP(Jnl[[#This Row],[IncNode]], config_IS[Node], config_IS[Type],,0)</f>
        <v>Op</v>
      </c>
      <c r="P684" t="str">
        <f>_xlfn.XLOOKUP(Jnl[[#This Row],[BSLv2]], dict[Key], dict[Name],,0)</f>
        <v>1.应收-应付</v>
      </c>
      <c r="Q684" t="str">
        <f>_xlfn.XLOOKUP(Jnl[[#This Row],[Acct]], dict[Key], dict[Name],,0)</f>
        <v>应收-一般</v>
      </c>
      <c r="R684" t="str">
        <f>_xlfn.XLOOKUP(Jnl[[#This Row],[Vehicle]],config_vehicle[Id], config_vehicle[Name],,0)</f>
        <v>远家花园</v>
      </c>
      <c r="S684" t="str">
        <f>_xlfn.XLOOKUP(Jnl[[#This Row],[Division]],config_div[Id], config_div[Name],,0)</f>
        <v>网店</v>
      </c>
      <c r="T684" t="str">
        <f>IF(Jnl[[#This Row],[TrxDate]]&lt;=stmt_BS_date_end, "In", "Out")</f>
        <v>In</v>
      </c>
      <c r="U684" t="str">
        <f>IF(Jnl[[#This Row],[TrxDate]]&lt;debug_date_start, "prior", IF(Jnl[[#This Row],[TrxDate]]&gt;debug_date_end, "post", "curr"))</f>
        <v>prior</v>
      </c>
    </row>
    <row r="685" spans="1:21">
      <c r="A685" s="11" t="s">
        <v>835</v>
      </c>
      <c r="B685" s="7">
        <f>_xlfn.XLOOKUP(Jnl[[#This Row],[TrxId]], Trx[Id], Trx[Date],,0)</f>
        <v>46053</v>
      </c>
      <c r="C685" s="7" t="str">
        <f>_xlfn.XLOOKUP(Jnl[[#This Row],[TrxId]], Trx[Id], Trx[Division],,0)</f>
        <v>Online</v>
      </c>
      <c r="D685" s="7" t="str">
        <f>_xlfn.XLOOKUP(Jnl[[#This Row],[TrxId]], Trx[Id], Trx[Action],,0)</f>
        <v>增值税</v>
      </c>
      <c r="E685" s="26" t="s">
        <v>80</v>
      </c>
      <c r="F685" s="11" t="s">
        <v>127</v>
      </c>
      <c r="G685" s="11" t="s">
        <v>307</v>
      </c>
      <c r="H685" s="72">
        <v>422122.49</v>
      </c>
      <c r="I685" s="5" t="b">
        <f>AND(Jnl[[#This Row],[TrxId]]&lt;&gt;"",Jnl[[#This Row],[Acct]]&lt;&gt;"",Jnl[[#This Row],[Item]]&lt;&gt;"",ISNUMBER(Jnl[[#This Row],[Bal]]))</f>
        <v>1</v>
      </c>
      <c r="J685" s="10">
        <f>IF(Jnl[[#This Row],[BSLv0]]="A",1,-1)*Jnl[[#This Row],[Bal]]</f>
        <v>-422122.49</v>
      </c>
      <c r="K685" t="str">
        <f>_xlfn.XLOOKUP(Jnl[[#This Row],[Acct]], config_BS[Acct], config_BS[Lv0],,0)</f>
        <v>LC</v>
      </c>
      <c r="L685" t="str">
        <f>_xlfn.XLOOKUP(Jnl[[#This Row],[Acct]], config_BS[Acct], config_BS[Lv1],,0)</f>
        <v>Liability</v>
      </c>
      <c r="M685" t="str">
        <f>_xlfn.XLOOKUP(Jnl[[#This Row],[Acct]], config_BS[Acct], config_BS[Lv2],,0)</f>
        <v>Rec-Pay</v>
      </c>
      <c r="N685" t="str">
        <f>_xlfn.XLOOKUP(Jnl[[#This Row],[TrxId]], Trx[Id], Trx[IncNode], ,0)</f>
        <v>Cost</v>
      </c>
      <c r="O685" t="str">
        <f>_xlfn.XLOOKUP(Jnl[[#This Row],[IncNode]], config_IS[Node], config_IS[Type],,0)</f>
        <v>Op</v>
      </c>
      <c r="P685" t="str">
        <f>_xlfn.XLOOKUP(Jnl[[#This Row],[BSLv2]], dict[Key], dict[Name],,0)</f>
        <v>1.应收-应付</v>
      </c>
      <c r="Q685" t="str">
        <f>_xlfn.XLOOKUP(Jnl[[#This Row],[Acct]], dict[Key], dict[Name],,0)</f>
        <v>应付-税款</v>
      </c>
      <c r="R685" t="str">
        <f>_xlfn.XLOOKUP(Jnl[[#This Row],[Vehicle]],config_vehicle[Id], config_vehicle[Name],,0)</f>
        <v>远家花园</v>
      </c>
      <c r="S685" t="str">
        <f>_xlfn.XLOOKUP(Jnl[[#This Row],[Division]],config_div[Id], config_div[Name],,0)</f>
        <v>网店</v>
      </c>
      <c r="T685" t="str">
        <f>IF(Jnl[[#This Row],[TrxDate]]&lt;=stmt_BS_date_end, "In", "Out")</f>
        <v>In</v>
      </c>
      <c r="U685" t="str">
        <f>IF(Jnl[[#This Row],[TrxDate]]&lt;debug_date_start, "prior", IF(Jnl[[#This Row],[TrxDate]]&gt;debug_date_end, "post", "curr"))</f>
        <v>prior</v>
      </c>
    </row>
    <row r="686" spans="1:21">
      <c r="A686" s="11" t="s">
        <v>836</v>
      </c>
      <c r="B686" s="7">
        <f>_xlfn.XLOOKUP(Jnl[[#This Row],[TrxId]], Trx[Id], Trx[Date],,0)</f>
        <v>46053</v>
      </c>
      <c r="C686" s="7" t="str">
        <f>_xlfn.XLOOKUP(Jnl[[#This Row],[TrxId]], Trx[Id], Trx[Division],,0)</f>
        <v>Online</v>
      </c>
      <c r="D686" s="7" t="str">
        <f>_xlfn.XLOOKUP(Jnl[[#This Row],[TrxId]], Trx[Id], Trx[Action],,0)</f>
        <v>增值税</v>
      </c>
      <c r="E686" s="26" t="s">
        <v>80</v>
      </c>
      <c r="F686" s="11" t="s">
        <v>127</v>
      </c>
      <c r="G686" s="11" t="s">
        <v>307</v>
      </c>
      <c r="H686" s="72">
        <v>-133525.85</v>
      </c>
      <c r="I686" s="5" t="b">
        <f>AND(Jnl[[#This Row],[TrxId]]&lt;&gt;"",Jnl[[#This Row],[Acct]]&lt;&gt;"",Jnl[[#This Row],[Item]]&lt;&gt;"",ISNUMBER(Jnl[[#This Row],[Bal]]))</f>
        <v>1</v>
      </c>
      <c r="J686" s="10">
        <f>IF(Jnl[[#This Row],[BSLv0]]="A",1,-1)*Jnl[[#This Row],[Bal]]</f>
        <v>133525.85</v>
      </c>
      <c r="K686" t="str">
        <f>_xlfn.XLOOKUP(Jnl[[#This Row],[Acct]], config_BS[Acct], config_BS[Lv0],,0)</f>
        <v>LC</v>
      </c>
      <c r="L686" t="str">
        <f>_xlfn.XLOOKUP(Jnl[[#This Row],[Acct]], config_BS[Acct], config_BS[Lv1],,0)</f>
        <v>Liability</v>
      </c>
      <c r="M686" t="str">
        <f>_xlfn.XLOOKUP(Jnl[[#This Row],[Acct]], config_BS[Acct], config_BS[Lv2],,0)</f>
        <v>Rec-Pay</v>
      </c>
      <c r="N686" t="str">
        <f>_xlfn.XLOOKUP(Jnl[[#This Row],[TrxId]], Trx[Id], Trx[IncNode], ,0)</f>
        <v>Cost</v>
      </c>
      <c r="O686" t="str">
        <f>_xlfn.XLOOKUP(Jnl[[#This Row],[IncNode]], config_IS[Node], config_IS[Type],,0)</f>
        <v>Op</v>
      </c>
      <c r="P686" t="str">
        <f>_xlfn.XLOOKUP(Jnl[[#This Row],[BSLv2]], dict[Key], dict[Name],,0)</f>
        <v>1.应收-应付</v>
      </c>
      <c r="Q686" t="str">
        <f>_xlfn.XLOOKUP(Jnl[[#This Row],[Acct]], dict[Key], dict[Name],,0)</f>
        <v>应付-税款</v>
      </c>
      <c r="R686" t="str">
        <f>_xlfn.XLOOKUP(Jnl[[#This Row],[Vehicle]],config_vehicle[Id], config_vehicle[Name],,0)</f>
        <v>远家花园</v>
      </c>
      <c r="S686" t="str">
        <f>_xlfn.XLOOKUP(Jnl[[#This Row],[Division]],config_div[Id], config_div[Name],,0)</f>
        <v>网店</v>
      </c>
      <c r="T686" t="str">
        <f>IF(Jnl[[#This Row],[TrxDate]]&lt;=stmt_BS_date_end, "In", "Out")</f>
        <v>In</v>
      </c>
      <c r="U686" t="str">
        <f>IF(Jnl[[#This Row],[TrxDate]]&lt;debug_date_start, "prior", IF(Jnl[[#This Row],[TrxDate]]&gt;debug_date_end, "post", "curr"))</f>
        <v>prior</v>
      </c>
    </row>
    <row r="687" spans="1:21">
      <c r="A687" s="11" t="s">
        <v>839</v>
      </c>
      <c r="B687" s="7">
        <f>_xlfn.XLOOKUP(Jnl[[#This Row],[TrxId]], Trx[Id], Trx[Date],,0)</f>
        <v>46053</v>
      </c>
      <c r="C687" s="7" t="str">
        <f>_xlfn.XLOOKUP(Jnl[[#This Row],[TrxId]], Trx[Id], Trx[Division],,0)</f>
        <v>GM</v>
      </c>
      <c r="D687" s="7" t="str">
        <f>_xlfn.XLOOKUP(Jnl[[#This Row],[TrxId]], Trx[Id], Trx[Action],,0)</f>
        <v>房租</v>
      </c>
      <c r="E687" s="26" t="s">
        <v>80</v>
      </c>
      <c r="F687" s="11" t="s">
        <v>493</v>
      </c>
      <c r="G687" s="11" t="s">
        <v>141</v>
      </c>
      <c r="H687" s="72">
        <v>-28258.42</v>
      </c>
      <c r="I687" s="5" t="b">
        <f>AND(Jnl[[#This Row],[TrxId]]&lt;&gt;"",Jnl[[#This Row],[Acct]]&lt;&gt;"",Jnl[[#This Row],[Item]]&lt;&gt;"",ISNUMBER(Jnl[[#This Row],[Bal]]))</f>
        <v>1</v>
      </c>
      <c r="J687" s="10">
        <f>IF(Jnl[[#This Row],[BSLv0]]="A",1,-1)*Jnl[[#This Row],[Bal]]</f>
        <v>-28258.42</v>
      </c>
      <c r="K687" t="str">
        <f>_xlfn.XLOOKUP(Jnl[[#This Row],[Acct]], config_BS[Acct], config_BS[Lv0],,0)</f>
        <v>A</v>
      </c>
      <c r="L687" t="str">
        <f>_xlfn.XLOOKUP(Jnl[[#This Row],[Acct]], config_BS[Acct], config_BS[Lv1],,0)</f>
        <v>Assets</v>
      </c>
      <c r="M687" t="str">
        <f>_xlfn.XLOOKUP(Jnl[[#This Row],[Acct]], config_BS[Acct], config_BS[Lv2],,0)</f>
        <v>Prep-Sub</v>
      </c>
      <c r="N687" t="str">
        <f>_xlfn.XLOOKUP(Jnl[[#This Row],[TrxId]], Trx[Id], Trx[IncNode], ,0)</f>
        <v>Expense</v>
      </c>
      <c r="O687" t="str">
        <f>_xlfn.XLOOKUP(Jnl[[#This Row],[IncNode]], config_IS[Node], config_IS[Type],,0)</f>
        <v>Op</v>
      </c>
      <c r="P687" t="str">
        <f>_xlfn.XLOOKUP(Jnl[[#This Row],[BSLv2]], dict[Key], dict[Name],,0)</f>
        <v>2.预付-订阅</v>
      </c>
      <c r="Q687" t="str">
        <f>_xlfn.XLOOKUP(Jnl[[#This Row],[Acct]], dict[Key], dict[Name],,0)</f>
        <v>预付订单</v>
      </c>
      <c r="R687" t="str">
        <f>_xlfn.XLOOKUP(Jnl[[#This Row],[Vehicle]],config_vehicle[Id], config_vehicle[Name],,0)</f>
        <v>远家花园</v>
      </c>
      <c r="S687" t="str">
        <f>_xlfn.XLOOKUP(Jnl[[#This Row],[Division]],config_div[Id], config_div[Name],,0)</f>
        <v>综合管理</v>
      </c>
      <c r="T687" t="str">
        <f>IF(Jnl[[#This Row],[TrxDate]]&lt;=stmt_BS_date_end, "In", "Out")</f>
        <v>In</v>
      </c>
      <c r="U687" t="str">
        <f>IF(Jnl[[#This Row],[TrxDate]]&lt;debug_date_start, "prior", IF(Jnl[[#This Row],[TrxDate]]&gt;debug_date_end, "post", "curr"))</f>
        <v>prior</v>
      </c>
    </row>
    <row r="688" spans="1:21">
      <c r="A688" s="11" t="s">
        <v>840</v>
      </c>
      <c r="B688" s="7">
        <f>_xlfn.XLOOKUP(Jnl[[#This Row],[TrxId]], Trx[Id], Trx[Date],,0)</f>
        <v>46053</v>
      </c>
      <c r="C688" s="7" t="str">
        <f>_xlfn.XLOOKUP(Jnl[[#This Row],[TrxId]], Trx[Id], Trx[Division],,0)</f>
        <v>Online</v>
      </c>
      <c r="D688" s="7" t="str">
        <f>_xlfn.XLOOKUP(Jnl[[#This Row],[TrxId]], Trx[Id], Trx[Action],,0)</f>
        <v>库存摊销</v>
      </c>
      <c r="E688" s="26" t="s">
        <v>80</v>
      </c>
      <c r="F688" s="11" t="s">
        <v>116</v>
      </c>
      <c r="G688" s="11" t="s">
        <v>151</v>
      </c>
      <c r="H688" s="72">
        <v>-1756334.385</v>
      </c>
      <c r="I688" s="5" t="b">
        <f>AND(Jnl[[#This Row],[TrxId]]&lt;&gt;"",Jnl[[#This Row],[Acct]]&lt;&gt;"",Jnl[[#This Row],[Item]]&lt;&gt;"",ISNUMBER(Jnl[[#This Row],[Bal]]))</f>
        <v>1</v>
      </c>
      <c r="J688" s="10">
        <f>IF(Jnl[[#This Row],[BSLv0]]="A",1,-1)*Jnl[[#This Row],[Bal]]</f>
        <v>-1756334.385</v>
      </c>
      <c r="K688" t="str">
        <f>_xlfn.XLOOKUP(Jnl[[#This Row],[Acct]], config_BS[Acct], config_BS[Lv0],,0)</f>
        <v>A</v>
      </c>
      <c r="L688" t="str">
        <f>_xlfn.XLOOKUP(Jnl[[#This Row],[Acct]], config_BS[Acct], config_BS[Lv1],,0)</f>
        <v>Assets</v>
      </c>
      <c r="M688" t="str">
        <f>_xlfn.XLOOKUP(Jnl[[#This Row],[Acct]], config_BS[Acct], config_BS[Lv2],,0)</f>
        <v>Invtr</v>
      </c>
      <c r="N688" t="str">
        <f>_xlfn.XLOOKUP(Jnl[[#This Row],[TrxId]], Trx[Id], Trx[IncNode], ,0)</f>
        <v>Cost</v>
      </c>
      <c r="O688" t="str">
        <f>_xlfn.XLOOKUP(Jnl[[#This Row],[IncNode]], config_IS[Node], config_IS[Type],,0)</f>
        <v>Op</v>
      </c>
      <c r="P688" t="str">
        <f>_xlfn.XLOOKUP(Jnl[[#This Row],[BSLv2]], dict[Key], dict[Name],,0)</f>
        <v>3.库存占款</v>
      </c>
      <c r="Q688" t="str">
        <f>_xlfn.XLOOKUP(Jnl[[#This Row],[Acct]], dict[Key], dict[Name],,0)</f>
        <v>当期存货</v>
      </c>
      <c r="R688" t="str">
        <f>_xlfn.XLOOKUP(Jnl[[#This Row],[Vehicle]],config_vehicle[Id], config_vehicle[Name],,0)</f>
        <v>远家花园</v>
      </c>
      <c r="S688" t="str">
        <f>_xlfn.XLOOKUP(Jnl[[#This Row],[Division]],config_div[Id], config_div[Name],,0)</f>
        <v>网店</v>
      </c>
      <c r="T688" t="str">
        <f>IF(Jnl[[#This Row],[TrxDate]]&lt;=stmt_BS_date_end, "In", "Out")</f>
        <v>In</v>
      </c>
      <c r="U688" t="str">
        <f>IF(Jnl[[#This Row],[TrxDate]]&lt;debug_date_start, "prior", IF(Jnl[[#This Row],[TrxDate]]&gt;debug_date_end, "post", "curr"))</f>
        <v>prior</v>
      </c>
    </row>
    <row r="689" spans="1:21">
      <c r="A689" s="11" t="s">
        <v>1342</v>
      </c>
      <c r="B689" s="7">
        <f>_xlfn.XLOOKUP(Jnl[[#This Row],[TrxId]], Trx[Id], Trx[Date],,0)</f>
        <v>46053</v>
      </c>
      <c r="C689" s="7" t="str">
        <f>_xlfn.XLOOKUP(Jnl[[#This Row],[TrxId]], Trx[Id], Trx[Division],,0)</f>
        <v>Shuijie</v>
      </c>
      <c r="D689" s="7" t="str">
        <f>_xlfn.XLOOKUP(Jnl[[#This Row],[TrxId]], Trx[Id], Trx[Action],,0)</f>
        <v>库存摊销</v>
      </c>
      <c r="E689" s="26" t="s">
        <v>80</v>
      </c>
      <c r="F689" s="11" t="s">
        <v>116</v>
      </c>
      <c r="G689" s="11" t="s">
        <v>151</v>
      </c>
      <c r="H689" s="72">
        <v>-311784.67000000004</v>
      </c>
      <c r="I689" s="5" t="b">
        <f>AND(Jnl[[#This Row],[TrxId]]&lt;&gt;"",Jnl[[#This Row],[Acct]]&lt;&gt;"",Jnl[[#This Row],[Item]]&lt;&gt;"",ISNUMBER(Jnl[[#This Row],[Bal]]))</f>
        <v>1</v>
      </c>
      <c r="J689" s="10">
        <f>IF(Jnl[[#This Row],[BSLv0]]="A",1,-1)*Jnl[[#This Row],[Bal]]</f>
        <v>-311784.67000000004</v>
      </c>
      <c r="K689" t="str">
        <f>_xlfn.XLOOKUP(Jnl[[#This Row],[Acct]], config_BS[Acct], config_BS[Lv0],,0)</f>
        <v>A</v>
      </c>
      <c r="L689" t="str">
        <f>_xlfn.XLOOKUP(Jnl[[#This Row],[Acct]], config_BS[Acct], config_BS[Lv1],,0)</f>
        <v>Assets</v>
      </c>
      <c r="M689" t="str">
        <f>_xlfn.XLOOKUP(Jnl[[#This Row],[Acct]], config_BS[Acct], config_BS[Lv2],,0)</f>
        <v>Invtr</v>
      </c>
      <c r="N689" t="str">
        <f>_xlfn.XLOOKUP(Jnl[[#This Row],[TrxId]], Trx[Id], Trx[IncNode], ,0)</f>
        <v>Cost</v>
      </c>
      <c r="O689" t="str">
        <f>_xlfn.XLOOKUP(Jnl[[#This Row],[IncNode]], config_IS[Node], config_IS[Type],,0)</f>
        <v>Op</v>
      </c>
      <c r="P689" t="str">
        <f>_xlfn.XLOOKUP(Jnl[[#This Row],[BSLv2]], dict[Key], dict[Name],,0)</f>
        <v>3.库存占款</v>
      </c>
      <c r="Q689" t="str">
        <f>_xlfn.XLOOKUP(Jnl[[#This Row],[Acct]], dict[Key], dict[Name],,0)</f>
        <v>当期存货</v>
      </c>
      <c r="R689" t="str">
        <f>_xlfn.XLOOKUP(Jnl[[#This Row],[Vehicle]],config_vehicle[Id], config_vehicle[Name],,0)</f>
        <v>远家花园</v>
      </c>
      <c r="S689" t="str">
        <f>_xlfn.XLOOKUP(Jnl[[#This Row],[Division]],config_div[Id], config_div[Name],,0)</f>
        <v>水街店</v>
      </c>
      <c r="T689" t="str">
        <f>IF(Jnl[[#This Row],[TrxDate]]&lt;=stmt_BS_date_end, "In", "Out")</f>
        <v>In</v>
      </c>
      <c r="U689" t="str">
        <f>IF(Jnl[[#This Row],[TrxDate]]&lt;debug_date_start, "prior", IF(Jnl[[#This Row],[TrxDate]]&gt;debug_date_end, "post", "curr"))</f>
        <v>prior</v>
      </c>
    </row>
    <row r="690" spans="1:21">
      <c r="A690" s="11" t="s">
        <v>1343</v>
      </c>
      <c r="B690" s="7">
        <f>_xlfn.XLOOKUP(Jnl[[#This Row],[TrxId]], Trx[Id], Trx[Date],,0)</f>
        <v>46053</v>
      </c>
      <c r="C690" s="7" t="str">
        <f>_xlfn.XLOOKUP(Jnl[[#This Row],[TrxId]], Trx[Id], Trx[Division],,0)</f>
        <v>MY</v>
      </c>
      <c r="D690" s="7" t="str">
        <f>_xlfn.XLOOKUP(Jnl[[#This Row],[TrxId]], Trx[Id], Trx[Action],,0)</f>
        <v>库存摊销</v>
      </c>
      <c r="E690" s="26" t="s">
        <v>80</v>
      </c>
      <c r="F690" s="11" t="s">
        <v>116</v>
      </c>
      <c r="G690" s="11" t="s">
        <v>151</v>
      </c>
      <c r="H690" s="72">
        <v>-24965.775000000001</v>
      </c>
      <c r="I690" s="5" t="b">
        <f>AND(Jnl[[#This Row],[TrxId]]&lt;&gt;"",Jnl[[#This Row],[Acct]]&lt;&gt;"",Jnl[[#This Row],[Item]]&lt;&gt;"",ISNUMBER(Jnl[[#This Row],[Bal]]))</f>
        <v>1</v>
      </c>
      <c r="J690" s="10">
        <f>IF(Jnl[[#This Row],[BSLv0]]="A",1,-1)*Jnl[[#This Row],[Bal]]</f>
        <v>-24965.775000000001</v>
      </c>
      <c r="K690" t="str">
        <f>_xlfn.XLOOKUP(Jnl[[#This Row],[Acct]], config_BS[Acct], config_BS[Lv0],,0)</f>
        <v>A</v>
      </c>
      <c r="L690" t="str">
        <f>_xlfn.XLOOKUP(Jnl[[#This Row],[Acct]], config_BS[Acct], config_BS[Lv1],,0)</f>
        <v>Assets</v>
      </c>
      <c r="M690" t="str">
        <f>_xlfn.XLOOKUP(Jnl[[#This Row],[Acct]], config_BS[Acct], config_BS[Lv2],,0)</f>
        <v>Invtr</v>
      </c>
      <c r="N690" t="str">
        <f>_xlfn.XLOOKUP(Jnl[[#This Row],[TrxId]], Trx[Id], Trx[IncNode], ,0)</f>
        <v>Cost</v>
      </c>
      <c r="O690" t="str">
        <f>_xlfn.XLOOKUP(Jnl[[#This Row],[IncNode]], config_IS[Node], config_IS[Type],,0)</f>
        <v>Op</v>
      </c>
      <c r="P690" t="str">
        <f>_xlfn.XLOOKUP(Jnl[[#This Row],[BSLv2]], dict[Key], dict[Name],,0)</f>
        <v>3.库存占款</v>
      </c>
      <c r="Q690" t="str">
        <f>_xlfn.XLOOKUP(Jnl[[#This Row],[Acct]], dict[Key], dict[Name],,0)</f>
        <v>当期存货</v>
      </c>
      <c r="R690" t="str">
        <f>_xlfn.XLOOKUP(Jnl[[#This Row],[Vehicle]],config_vehicle[Id], config_vehicle[Name],,0)</f>
        <v>远家花园</v>
      </c>
      <c r="S690" t="str">
        <f>_xlfn.XLOOKUP(Jnl[[#This Row],[Division]],config_div[Id], config_div[Name],,0)</f>
        <v>明月村</v>
      </c>
      <c r="T690" t="str">
        <f>IF(Jnl[[#This Row],[TrxDate]]&lt;=stmt_BS_date_end, "In", "Out")</f>
        <v>In</v>
      </c>
      <c r="U690" t="str">
        <f>IF(Jnl[[#This Row],[TrxDate]]&lt;debug_date_start, "prior", IF(Jnl[[#This Row],[TrxDate]]&gt;debug_date_end, "post", "curr"))</f>
        <v>prior</v>
      </c>
    </row>
    <row r="691" spans="1:21">
      <c r="A691" s="11" t="s">
        <v>845</v>
      </c>
      <c r="B691" s="7">
        <f>_xlfn.XLOOKUP(Jnl[[#This Row],[TrxId]], Trx[Id], Trx[Date],,0)</f>
        <v>46053</v>
      </c>
      <c r="C691" s="7" t="str">
        <f>_xlfn.XLOOKUP(Jnl[[#This Row],[TrxId]], Trx[Id], Trx[Division],,0)</f>
        <v>Online</v>
      </c>
      <c r="D691" s="7" t="str">
        <f>_xlfn.XLOOKUP(Jnl[[#This Row],[TrxId]], Trx[Id], Trx[Action],,0)</f>
        <v>增值税</v>
      </c>
      <c r="E691" s="26" t="s">
        <v>80</v>
      </c>
      <c r="F691" s="11" t="s">
        <v>127</v>
      </c>
      <c r="G691" s="11" t="s">
        <v>307</v>
      </c>
      <c r="H691" s="72">
        <v>-650</v>
      </c>
      <c r="I691" s="5" t="b">
        <f>AND(Jnl[[#This Row],[TrxId]]&lt;&gt;"",Jnl[[#This Row],[Acct]]&lt;&gt;"",Jnl[[#This Row],[Item]]&lt;&gt;"",ISNUMBER(Jnl[[#This Row],[Bal]]))</f>
        <v>1</v>
      </c>
      <c r="J691" s="10">
        <f>IF(Jnl[[#This Row],[BSLv0]]="A",1,-1)*Jnl[[#This Row],[Bal]]</f>
        <v>650</v>
      </c>
      <c r="K691" t="str">
        <f>_xlfn.XLOOKUP(Jnl[[#This Row],[Acct]], config_BS[Acct], config_BS[Lv0],,0)</f>
        <v>LC</v>
      </c>
      <c r="L691" t="str">
        <f>_xlfn.XLOOKUP(Jnl[[#This Row],[Acct]], config_BS[Acct], config_BS[Lv1],,0)</f>
        <v>Liability</v>
      </c>
      <c r="M691" t="str">
        <f>_xlfn.XLOOKUP(Jnl[[#This Row],[Acct]], config_BS[Acct], config_BS[Lv2],,0)</f>
        <v>Rec-Pay</v>
      </c>
      <c r="N691" t="str">
        <f>_xlfn.XLOOKUP(Jnl[[#This Row],[TrxId]], Trx[Id], Trx[IncNode], ,0)</f>
        <v>Cost</v>
      </c>
      <c r="O691" t="str">
        <f>_xlfn.XLOOKUP(Jnl[[#This Row],[IncNode]], config_IS[Node], config_IS[Type],,0)</f>
        <v>Op</v>
      </c>
      <c r="P691" t="str">
        <f>_xlfn.XLOOKUP(Jnl[[#This Row],[BSLv2]], dict[Key], dict[Name],,0)</f>
        <v>1.应收-应付</v>
      </c>
      <c r="Q691" t="str">
        <f>_xlfn.XLOOKUP(Jnl[[#This Row],[Acct]], dict[Key], dict[Name],,0)</f>
        <v>应付-税款</v>
      </c>
      <c r="R691" t="str">
        <f>_xlfn.XLOOKUP(Jnl[[#This Row],[Vehicle]],config_vehicle[Id], config_vehicle[Name],,0)</f>
        <v>远家花园</v>
      </c>
      <c r="S691" t="str">
        <f>_xlfn.XLOOKUP(Jnl[[#This Row],[Division]],config_div[Id], config_div[Name],,0)</f>
        <v>网店</v>
      </c>
      <c r="T691" t="str">
        <f>IF(Jnl[[#This Row],[TrxDate]]&lt;=stmt_BS_date_end, "In", "Out")</f>
        <v>In</v>
      </c>
      <c r="U691" t="str">
        <f>IF(Jnl[[#This Row],[TrxDate]]&lt;debug_date_start, "prior", IF(Jnl[[#This Row],[TrxDate]]&gt;debug_date_end, "post", "curr"))</f>
        <v>prior</v>
      </c>
    </row>
    <row r="692" spans="1:21">
      <c r="A692" s="11" t="s">
        <v>1148</v>
      </c>
      <c r="B692" s="7">
        <f>_xlfn.XLOOKUP(Jnl[[#This Row],[TrxId]], Trx[Id], Trx[Date],,0)</f>
        <v>46053</v>
      </c>
      <c r="C692" s="7" t="str">
        <f>_xlfn.XLOOKUP(Jnl[[#This Row],[TrxId]], Trx[Id], Trx[Division],,0)</f>
        <v>MY</v>
      </c>
      <c r="D692" s="7" t="str">
        <f>_xlfn.XLOOKUP(Jnl[[#This Row],[TrxId]], Trx[Id], Trx[Action],,0)</f>
        <v>收款</v>
      </c>
      <c r="E692" s="26" t="s">
        <v>83</v>
      </c>
      <c r="F692" s="11" t="s">
        <v>599</v>
      </c>
      <c r="G692" s="11" t="s">
        <v>135</v>
      </c>
      <c r="H692" s="72">
        <v>770</v>
      </c>
      <c r="I692" s="5" t="b">
        <f>AND(Jnl[[#This Row],[TrxId]]&lt;&gt;"",Jnl[[#This Row],[Acct]]&lt;&gt;"",Jnl[[#This Row],[Item]]&lt;&gt;"",ISNUMBER(Jnl[[#This Row],[Bal]]))</f>
        <v>1</v>
      </c>
      <c r="J692" s="10">
        <f>IF(Jnl[[#This Row],[BSLv0]]="A",1,-1)*Jnl[[#This Row],[Bal]]</f>
        <v>770</v>
      </c>
      <c r="K692" t="str">
        <f>_xlfn.XLOOKUP(Jnl[[#This Row],[Acct]], config_BS[Acct], config_BS[Lv0],,0)</f>
        <v>A</v>
      </c>
      <c r="L692" t="str">
        <f>_xlfn.XLOOKUP(Jnl[[#This Row],[Acct]], config_BS[Acct], config_BS[Lv1],,0)</f>
        <v>Assets</v>
      </c>
      <c r="M692" t="str">
        <f>_xlfn.XLOOKUP(Jnl[[#This Row],[Acct]], config_BS[Acct], config_BS[Lv2],,0)</f>
        <v>Cash alike</v>
      </c>
      <c r="N692" t="str">
        <f>_xlfn.XLOOKUP(Jnl[[#This Row],[TrxId]], Trx[Id], Trx[IncNode], ,0)</f>
        <v>Revenue</v>
      </c>
      <c r="O692" t="str">
        <f>_xlfn.XLOOKUP(Jnl[[#This Row],[IncNode]], config_IS[Node], config_IS[Type],,0)</f>
        <v>Op</v>
      </c>
      <c r="P692" t="str">
        <f>_xlfn.XLOOKUP(Jnl[[#This Row],[BSLv2]], dict[Key], dict[Name],,0)</f>
        <v>0.现金及类似</v>
      </c>
      <c r="Q692" t="str">
        <f>_xlfn.XLOOKUP(Jnl[[#This Row],[Acct]], dict[Key], dict[Name],,0)</f>
        <v>物理现金</v>
      </c>
      <c r="R692" t="str">
        <f>_xlfn.XLOOKUP(Jnl[[#This Row],[Vehicle]],config_vehicle[Id], config_vehicle[Name],,0)</f>
        <v>远家文化</v>
      </c>
      <c r="S692" t="str">
        <f>_xlfn.XLOOKUP(Jnl[[#This Row],[Division]],config_div[Id], config_div[Name],,0)</f>
        <v>明月村</v>
      </c>
      <c r="T692" t="str">
        <f>IF(Jnl[[#This Row],[TrxDate]]&lt;=stmt_BS_date_end, "In", "Out")</f>
        <v>In</v>
      </c>
      <c r="U692" t="str">
        <f>IF(Jnl[[#This Row],[TrxDate]]&lt;debug_date_start, "prior", IF(Jnl[[#This Row],[TrxDate]]&gt;debug_date_end, "post", "curr"))</f>
        <v>prior</v>
      </c>
    </row>
    <row r="693" spans="1:21">
      <c r="A693" s="11" t="s">
        <v>1148</v>
      </c>
      <c r="B693" s="7">
        <f>_xlfn.XLOOKUP(Jnl[[#This Row],[TrxId]], Trx[Id], Trx[Date],,0)</f>
        <v>46053</v>
      </c>
      <c r="C693" s="7" t="str">
        <f>_xlfn.XLOOKUP(Jnl[[#This Row],[TrxId]], Trx[Id], Trx[Division],,0)</f>
        <v>MY</v>
      </c>
      <c r="D693" s="7" t="str">
        <f>_xlfn.XLOOKUP(Jnl[[#This Row],[TrxId]], Trx[Id], Trx[Action],,0)</f>
        <v>收款</v>
      </c>
      <c r="E693" s="26" t="s">
        <v>83</v>
      </c>
      <c r="F693" s="11" t="s">
        <v>593</v>
      </c>
      <c r="G693" s="11" t="s">
        <v>942</v>
      </c>
      <c r="H693" s="72">
        <v>-770</v>
      </c>
      <c r="I693" s="5" t="b">
        <f>AND(Jnl[[#This Row],[TrxId]]&lt;&gt;"",Jnl[[#This Row],[Acct]]&lt;&gt;"",Jnl[[#This Row],[Item]]&lt;&gt;"",ISNUMBER(Jnl[[#This Row],[Bal]]))</f>
        <v>1</v>
      </c>
      <c r="J693" s="10">
        <f>IF(Jnl[[#This Row],[BSLv0]]="A",1,-1)*Jnl[[#This Row],[Bal]]</f>
        <v>-770</v>
      </c>
      <c r="K693" t="str">
        <f>_xlfn.XLOOKUP(Jnl[[#This Row],[Acct]], config_BS[Acct], config_BS[Lv0],,0)</f>
        <v>A</v>
      </c>
      <c r="L693" t="str">
        <f>_xlfn.XLOOKUP(Jnl[[#This Row],[Acct]], config_BS[Acct], config_BS[Lv1],,0)</f>
        <v>Assets</v>
      </c>
      <c r="M693" t="str">
        <f>_xlfn.XLOOKUP(Jnl[[#This Row],[Acct]], config_BS[Acct], config_BS[Lv2],,0)</f>
        <v>Rec-Pay</v>
      </c>
      <c r="N693" t="str">
        <f>_xlfn.XLOOKUP(Jnl[[#This Row],[TrxId]], Trx[Id], Trx[IncNode], ,0)</f>
        <v>Revenue</v>
      </c>
      <c r="O693" t="str">
        <f>_xlfn.XLOOKUP(Jnl[[#This Row],[IncNode]], config_IS[Node], config_IS[Type],,0)</f>
        <v>Op</v>
      </c>
      <c r="P693" t="str">
        <f>_xlfn.XLOOKUP(Jnl[[#This Row],[BSLv2]], dict[Key], dict[Name],,0)</f>
        <v>1.应收-应付</v>
      </c>
      <c r="Q693" t="str">
        <f>_xlfn.XLOOKUP(Jnl[[#This Row],[Acct]], dict[Key], dict[Name],,0)</f>
        <v>应收-一般</v>
      </c>
      <c r="R693" t="str">
        <f>_xlfn.XLOOKUP(Jnl[[#This Row],[Vehicle]],config_vehicle[Id], config_vehicle[Name],,0)</f>
        <v>远家文化</v>
      </c>
      <c r="S693" t="str">
        <f>_xlfn.XLOOKUP(Jnl[[#This Row],[Division]],config_div[Id], config_div[Name],,0)</f>
        <v>明月村</v>
      </c>
      <c r="T693" t="str">
        <f>IF(Jnl[[#This Row],[TrxDate]]&lt;=stmt_BS_date_end, "In", "Out")</f>
        <v>In</v>
      </c>
      <c r="U693" t="str">
        <f>IF(Jnl[[#This Row],[TrxDate]]&lt;debug_date_start, "prior", IF(Jnl[[#This Row],[TrxDate]]&gt;debug_date_end, "post", "curr"))</f>
        <v>prior</v>
      </c>
    </row>
    <row r="694" spans="1:21">
      <c r="A694" s="11" t="s">
        <v>1149</v>
      </c>
      <c r="B694" s="7">
        <f>_xlfn.XLOOKUP(Jnl[[#This Row],[TrxId]], Trx[Id], Trx[Date],,0)</f>
        <v>46053</v>
      </c>
      <c r="C694" s="7" t="str">
        <f>_xlfn.XLOOKUP(Jnl[[#This Row],[TrxId]], Trx[Id], Trx[Division],,0)</f>
        <v>MY</v>
      </c>
      <c r="D694" s="7" t="str">
        <f>_xlfn.XLOOKUP(Jnl[[#This Row],[TrxId]], Trx[Id], Trx[Action],,0)</f>
        <v>收款</v>
      </c>
      <c r="E694" s="26" t="s">
        <v>83</v>
      </c>
      <c r="F694" s="11" t="s">
        <v>599</v>
      </c>
      <c r="G694" s="11" t="s">
        <v>135</v>
      </c>
      <c r="H694" s="72">
        <v>1212</v>
      </c>
      <c r="I694" s="5" t="b">
        <f>AND(Jnl[[#This Row],[TrxId]]&lt;&gt;"",Jnl[[#This Row],[Acct]]&lt;&gt;"",Jnl[[#This Row],[Item]]&lt;&gt;"",ISNUMBER(Jnl[[#This Row],[Bal]]))</f>
        <v>1</v>
      </c>
      <c r="J694" s="10">
        <f>IF(Jnl[[#This Row],[BSLv0]]="A",1,-1)*Jnl[[#This Row],[Bal]]</f>
        <v>1212</v>
      </c>
      <c r="K694" t="str">
        <f>_xlfn.XLOOKUP(Jnl[[#This Row],[Acct]], config_BS[Acct], config_BS[Lv0],,0)</f>
        <v>A</v>
      </c>
      <c r="L694" t="str">
        <f>_xlfn.XLOOKUP(Jnl[[#This Row],[Acct]], config_BS[Acct], config_BS[Lv1],,0)</f>
        <v>Assets</v>
      </c>
      <c r="M694" t="str">
        <f>_xlfn.XLOOKUP(Jnl[[#This Row],[Acct]], config_BS[Acct], config_BS[Lv2],,0)</f>
        <v>Cash alike</v>
      </c>
      <c r="N694" t="str">
        <f>_xlfn.XLOOKUP(Jnl[[#This Row],[TrxId]], Trx[Id], Trx[IncNode], ,0)</f>
        <v>Revenue</v>
      </c>
      <c r="O694" t="str">
        <f>_xlfn.XLOOKUP(Jnl[[#This Row],[IncNode]], config_IS[Node], config_IS[Type],,0)</f>
        <v>Op</v>
      </c>
      <c r="P694" t="str">
        <f>_xlfn.XLOOKUP(Jnl[[#This Row],[BSLv2]], dict[Key], dict[Name],,0)</f>
        <v>0.现金及类似</v>
      </c>
      <c r="Q694" t="str">
        <f>_xlfn.XLOOKUP(Jnl[[#This Row],[Acct]], dict[Key], dict[Name],,0)</f>
        <v>物理现金</v>
      </c>
      <c r="R694" t="str">
        <f>_xlfn.XLOOKUP(Jnl[[#This Row],[Vehicle]],config_vehicle[Id], config_vehicle[Name],,0)</f>
        <v>远家文化</v>
      </c>
      <c r="S694" t="str">
        <f>_xlfn.XLOOKUP(Jnl[[#This Row],[Division]],config_div[Id], config_div[Name],,0)</f>
        <v>明月村</v>
      </c>
      <c r="T694" t="str">
        <f>IF(Jnl[[#This Row],[TrxDate]]&lt;=stmt_BS_date_end, "In", "Out")</f>
        <v>In</v>
      </c>
      <c r="U694" t="str">
        <f>IF(Jnl[[#This Row],[TrxDate]]&lt;debug_date_start, "prior", IF(Jnl[[#This Row],[TrxDate]]&gt;debug_date_end, "post", "curr"))</f>
        <v>prior</v>
      </c>
    </row>
    <row r="695" spans="1:21">
      <c r="A695" s="11" t="s">
        <v>1149</v>
      </c>
      <c r="B695" s="7">
        <f>_xlfn.XLOOKUP(Jnl[[#This Row],[TrxId]], Trx[Id], Trx[Date],,0)</f>
        <v>46053</v>
      </c>
      <c r="C695" s="7" t="str">
        <f>_xlfn.XLOOKUP(Jnl[[#This Row],[TrxId]], Trx[Id], Trx[Division],,0)</f>
        <v>MY</v>
      </c>
      <c r="D695" s="7" t="str">
        <f>_xlfn.XLOOKUP(Jnl[[#This Row],[TrxId]], Trx[Id], Trx[Action],,0)</f>
        <v>收款</v>
      </c>
      <c r="E695" s="26" t="s">
        <v>83</v>
      </c>
      <c r="F695" s="11" t="s">
        <v>593</v>
      </c>
      <c r="G695" s="11" t="s">
        <v>944</v>
      </c>
      <c r="H695" s="72">
        <v>-1212</v>
      </c>
      <c r="I695" s="5" t="b">
        <f>AND(Jnl[[#This Row],[TrxId]]&lt;&gt;"",Jnl[[#This Row],[Acct]]&lt;&gt;"",Jnl[[#This Row],[Item]]&lt;&gt;"",ISNUMBER(Jnl[[#This Row],[Bal]]))</f>
        <v>1</v>
      </c>
      <c r="J695" s="10">
        <f>IF(Jnl[[#This Row],[BSLv0]]="A",1,-1)*Jnl[[#This Row],[Bal]]</f>
        <v>-1212</v>
      </c>
      <c r="K695" t="str">
        <f>_xlfn.XLOOKUP(Jnl[[#This Row],[Acct]], config_BS[Acct], config_BS[Lv0],,0)</f>
        <v>A</v>
      </c>
      <c r="L695" t="str">
        <f>_xlfn.XLOOKUP(Jnl[[#This Row],[Acct]], config_BS[Acct], config_BS[Lv1],,0)</f>
        <v>Assets</v>
      </c>
      <c r="M695" t="str">
        <f>_xlfn.XLOOKUP(Jnl[[#This Row],[Acct]], config_BS[Acct], config_BS[Lv2],,0)</f>
        <v>Rec-Pay</v>
      </c>
      <c r="N695" t="str">
        <f>_xlfn.XLOOKUP(Jnl[[#This Row],[TrxId]], Trx[Id], Trx[IncNode], ,0)</f>
        <v>Revenue</v>
      </c>
      <c r="O695" t="str">
        <f>_xlfn.XLOOKUP(Jnl[[#This Row],[IncNode]], config_IS[Node], config_IS[Type],,0)</f>
        <v>Op</v>
      </c>
      <c r="P695" t="str">
        <f>_xlfn.XLOOKUP(Jnl[[#This Row],[BSLv2]], dict[Key], dict[Name],,0)</f>
        <v>1.应收-应付</v>
      </c>
      <c r="Q695" t="str">
        <f>_xlfn.XLOOKUP(Jnl[[#This Row],[Acct]], dict[Key], dict[Name],,0)</f>
        <v>应收-一般</v>
      </c>
      <c r="R695" t="str">
        <f>_xlfn.XLOOKUP(Jnl[[#This Row],[Vehicle]],config_vehicle[Id], config_vehicle[Name],,0)</f>
        <v>远家文化</v>
      </c>
      <c r="S695" t="str">
        <f>_xlfn.XLOOKUP(Jnl[[#This Row],[Division]],config_div[Id], config_div[Name],,0)</f>
        <v>明月村</v>
      </c>
      <c r="T695" t="str">
        <f>IF(Jnl[[#This Row],[TrxDate]]&lt;=stmt_BS_date_end, "In", "Out")</f>
        <v>In</v>
      </c>
      <c r="U695" t="str">
        <f>IF(Jnl[[#This Row],[TrxDate]]&lt;debug_date_start, "prior", IF(Jnl[[#This Row],[TrxDate]]&gt;debug_date_end, "post", "curr"))</f>
        <v>prior</v>
      </c>
    </row>
    <row r="696" spans="1:21">
      <c r="A696" s="11" t="s">
        <v>1150</v>
      </c>
      <c r="B696" s="7">
        <f>_xlfn.XLOOKUP(Jnl[[#This Row],[TrxId]], Trx[Id], Trx[Date],,0)</f>
        <v>46053</v>
      </c>
      <c r="C696" s="7" t="str">
        <f>_xlfn.XLOOKUP(Jnl[[#This Row],[TrxId]], Trx[Id], Trx[Division],,0)</f>
        <v>MY</v>
      </c>
      <c r="D696" s="7" t="str">
        <f>_xlfn.XLOOKUP(Jnl[[#This Row],[TrxId]], Trx[Id], Trx[Action],,0)</f>
        <v>收款</v>
      </c>
      <c r="E696" s="26" t="s">
        <v>83</v>
      </c>
      <c r="F696" s="11" t="s">
        <v>599</v>
      </c>
      <c r="G696" s="11" t="s">
        <v>135</v>
      </c>
      <c r="H696" s="72">
        <v>80</v>
      </c>
      <c r="I696" s="5" t="b">
        <f>AND(Jnl[[#This Row],[TrxId]]&lt;&gt;"",Jnl[[#This Row],[Acct]]&lt;&gt;"",Jnl[[#This Row],[Item]]&lt;&gt;"",ISNUMBER(Jnl[[#This Row],[Bal]]))</f>
        <v>1</v>
      </c>
      <c r="J696" s="10">
        <f>IF(Jnl[[#This Row],[BSLv0]]="A",1,-1)*Jnl[[#This Row],[Bal]]</f>
        <v>80</v>
      </c>
      <c r="K696" t="str">
        <f>_xlfn.XLOOKUP(Jnl[[#This Row],[Acct]], config_BS[Acct], config_BS[Lv0],,0)</f>
        <v>A</v>
      </c>
      <c r="L696" t="str">
        <f>_xlfn.XLOOKUP(Jnl[[#This Row],[Acct]], config_BS[Acct], config_BS[Lv1],,0)</f>
        <v>Assets</v>
      </c>
      <c r="M696" t="str">
        <f>_xlfn.XLOOKUP(Jnl[[#This Row],[Acct]], config_BS[Acct], config_BS[Lv2],,0)</f>
        <v>Cash alike</v>
      </c>
      <c r="N696" t="str">
        <f>_xlfn.XLOOKUP(Jnl[[#This Row],[TrxId]], Trx[Id], Trx[IncNode], ,0)</f>
        <v>Revenue</v>
      </c>
      <c r="O696" t="str">
        <f>_xlfn.XLOOKUP(Jnl[[#This Row],[IncNode]], config_IS[Node], config_IS[Type],,0)</f>
        <v>Op</v>
      </c>
      <c r="P696" t="str">
        <f>_xlfn.XLOOKUP(Jnl[[#This Row],[BSLv2]], dict[Key], dict[Name],,0)</f>
        <v>0.现金及类似</v>
      </c>
      <c r="Q696" t="str">
        <f>_xlfn.XLOOKUP(Jnl[[#This Row],[Acct]], dict[Key], dict[Name],,0)</f>
        <v>物理现金</v>
      </c>
      <c r="R696" t="str">
        <f>_xlfn.XLOOKUP(Jnl[[#This Row],[Vehicle]],config_vehicle[Id], config_vehicle[Name],,0)</f>
        <v>远家文化</v>
      </c>
      <c r="S696" t="str">
        <f>_xlfn.XLOOKUP(Jnl[[#This Row],[Division]],config_div[Id], config_div[Name],,0)</f>
        <v>明月村</v>
      </c>
      <c r="T696" t="str">
        <f>IF(Jnl[[#This Row],[TrxDate]]&lt;=stmt_BS_date_end, "In", "Out")</f>
        <v>In</v>
      </c>
      <c r="U696" t="str">
        <f>IF(Jnl[[#This Row],[TrxDate]]&lt;debug_date_start, "prior", IF(Jnl[[#This Row],[TrxDate]]&gt;debug_date_end, "post", "curr"))</f>
        <v>prior</v>
      </c>
    </row>
    <row r="697" spans="1:21">
      <c r="A697" s="11" t="s">
        <v>1150</v>
      </c>
      <c r="B697" s="7">
        <f>_xlfn.XLOOKUP(Jnl[[#This Row],[TrxId]], Trx[Id], Trx[Date],,0)</f>
        <v>46053</v>
      </c>
      <c r="C697" s="7" t="str">
        <f>_xlfn.XLOOKUP(Jnl[[#This Row],[TrxId]], Trx[Id], Trx[Division],,0)</f>
        <v>MY</v>
      </c>
      <c r="D697" s="7" t="str">
        <f>_xlfn.XLOOKUP(Jnl[[#This Row],[TrxId]], Trx[Id], Trx[Action],,0)</f>
        <v>收款</v>
      </c>
      <c r="E697" s="26" t="s">
        <v>83</v>
      </c>
      <c r="F697" s="11" t="s">
        <v>593</v>
      </c>
      <c r="G697" s="11" t="s">
        <v>944</v>
      </c>
      <c r="H697" s="72">
        <v>-80</v>
      </c>
      <c r="I697" s="5" t="b">
        <f>AND(Jnl[[#This Row],[TrxId]]&lt;&gt;"",Jnl[[#This Row],[Acct]]&lt;&gt;"",Jnl[[#This Row],[Item]]&lt;&gt;"",ISNUMBER(Jnl[[#This Row],[Bal]]))</f>
        <v>1</v>
      </c>
      <c r="J697" s="10">
        <f>IF(Jnl[[#This Row],[BSLv0]]="A",1,-1)*Jnl[[#This Row],[Bal]]</f>
        <v>-80</v>
      </c>
      <c r="K697" t="str">
        <f>_xlfn.XLOOKUP(Jnl[[#This Row],[Acct]], config_BS[Acct], config_BS[Lv0],,0)</f>
        <v>A</v>
      </c>
      <c r="L697" t="str">
        <f>_xlfn.XLOOKUP(Jnl[[#This Row],[Acct]], config_BS[Acct], config_BS[Lv1],,0)</f>
        <v>Assets</v>
      </c>
      <c r="M697" t="str">
        <f>_xlfn.XLOOKUP(Jnl[[#This Row],[Acct]], config_BS[Acct], config_BS[Lv2],,0)</f>
        <v>Rec-Pay</v>
      </c>
      <c r="N697" t="str">
        <f>_xlfn.XLOOKUP(Jnl[[#This Row],[TrxId]], Trx[Id], Trx[IncNode], ,0)</f>
        <v>Revenue</v>
      </c>
      <c r="O697" t="str">
        <f>_xlfn.XLOOKUP(Jnl[[#This Row],[IncNode]], config_IS[Node], config_IS[Type],,0)</f>
        <v>Op</v>
      </c>
      <c r="P697" t="str">
        <f>_xlfn.XLOOKUP(Jnl[[#This Row],[BSLv2]], dict[Key], dict[Name],,0)</f>
        <v>1.应收-应付</v>
      </c>
      <c r="Q697" t="str">
        <f>_xlfn.XLOOKUP(Jnl[[#This Row],[Acct]], dict[Key], dict[Name],,0)</f>
        <v>应收-一般</v>
      </c>
      <c r="R697" t="str">
        <f>_xlfn.XLOOKUP(Jnl[[#This Row],[Vehicle]],config_vehicle[Id], config_vehicle[Name],,0)</f>
        <v>远家文化</v>
      </c>
      <c r="S697" t="str">
        <f>_xlfn.XLOOKUP(Jnl[[#This Row],[Division]],config_div[Id], config_div[Name],,0)</f>
        <v>明月村</v>
      </c>
      <c r="T697" t="str">
        <f>IF(Jnl[[#This Row],[TrxDate]]&lt;=stmt_BS_date_end, "In", "Out")</f>
        <v>In</v>
      </c>
      <c r="U697" t="str">
        <f>IF(Jnl[[#This Row],[TrxDate]]&lt;debug_date_start, "prior", IF(Jnl[[#This Row],[TrxDate]]&gt;debug_date_end, "post", "curr"))</f>
        <v>prior</v>
      </c>
    </row>
    <row r="698" spans="1:21">
      <c r="A698" s="11" t="s">
        <v>1151</v>
      </c>
      <c r="B698" s="7">
        <f>_xlfn.XLOOKUP(Jnl[[#This Row],[TrxId]], Trx[Id], Trx[Date],,0)</f>
        <v>46053</v>
      </c>
      <c r="C698" s="7" t="str">
        <f>_xlfn.XLOOKUP(Jnl[[#This Row],[TrxId]], Trx[Id], Trx[Division],,0)</f>
        <v>MY</v>
      </c>
      <c r="D698" s="7" t="str">
        <f>_xlfn.XLOOKUP(Jnl[[#This Row],[TrxId]], Trx[Id], Trx[Action],,0)</f>
        <v>收款</v>
      </c>
      <c r="E698" s="26" t="s">
        <v>83</v>
      </c>
      <c r="F698" s="11" t="s">
        <v>599</v>
      </c>
      <c r="G698" s="11" t="s">
        <v>135</v>
      </c>
      <c r="H698" s="72">
        <v>298</v>
      </c>
      <c r="I698" s="5" t="b">
        <f>AND(Jnl[[#This Row],[TrxId]]&lt;&gt;"",Jnl[[#This Row],[Acct]]&lt;&gt;"",Jnl[[#This Row],[Item]]&lt;&gt;"",ISNUMBER(Jnl[[#This Row],[Bal]]))</f>
        <v>1</v>
      </c>
      <c r="J698" s="10">
        <f>IF(Jnl[[#This Row],[BSLv0]]="A",1,-1)*Jnl[[#This Row],[Bal]]</f>
        <v>298</v>
      </c>
      <c r="K698" t="str">
        <f>_xlfn.XLOOKUP(Jnl[[#This Row],[Acct]], config_BS[Acct], config_BS[Lv0],,0)</f>
        <v>A</v>
      </c>
      <c r="L698" t="str">
        <f>_xlfn.XLOOKUP(Jnl[[#This Row],[Acct]], config_BS[Acct], config_BS[Lv1],,0)</f>
        <v>Assets</v>
      </c>
      <c r="M698" t="str">
        <f>_xlfn.XLOOKUP(Jnl[[#This Row],[Acct]], config_BS[Acct], config_BS[Lv2],,0)</f>
        <v>Cash alike</v>
      </c>
      <c r="N698" t="str">
        <f>_xlfn.XLOOKUP(Jnl[[#This Row],[TrxId]], Trx[Id], Trx[IncNode], ,0)</f>
        <v>Revenue</v>
      </c>
      <c r="O698" t="str">
        <f>_xlfn.XLOOKUP(Jnl[[#This Row],[IncNode]], config_IS[Node], config_IS[Type],,0)</f>
        <v>Op</v>
      </c>
      <c r="P698" t="str">
        <f>_xlfn.XLOOKUP(Jnl[[#This Row],[BSLv2]], dict[Key], dict[Name],,0)</f>
        <v>0.现金及类似</v>
      </c>
      <c r="Q698" t="str">
        <f>_xlfn.XLOOKUP(Jnl[[#This Row],[Acct]], dict[Key], dict[Name],,0)</f>
        <v>物理现金</v>
      </c>
      <c r="R698" t="str">
        <f>_xlfn.XLOOKUP(Jnl[[#This Row],[Vehicle]],config_vehicle[Id], config_vehicle[Name],,0)</f>
        <v>远家文化</v>
      </c>
      <c r="S698" t="str">
        <f>_xlfn.XLOOKUP(Jnl[[#This Row],[Division]],config_div[Id], config_div[Name],,0)</f>
        <v>明月村</v>
      </c>
      <c r="T698" t="str">
        <f>IF(Jnl[[#This Row],[TrxDate]]&lt;=stmt_BS_date_end, "In", "Out")</f>
        <v>In</v>
      </c>
      <c r="U698" t="str">
        <f>IF(Jnl[[#This Row],[TrxDate]]&lt;debug_date_start, "prior", IF(Jnl[[#This Row],[TrxDate]]&gt;debug_date_end, "post", "curr"))</f>
        <v>prior</v>
      </c>
    </row>
    <row r="699" spans="1:21">
      <c r="A699" s="11" t="s">
        <v>1151</v>
      </c>
      <c r="B699" s="7">
        <f>_xlfn.XLOOKUP(Jnl[[#This Row],[TrxId]], Trx[Id], Trx[Date],,0)</f>
        <v>46053</v>
      </c>
      <c r="C699" s="7" t="str">
        <f>_xlfn.XLOOKUP(Jnl[[#This Row],[TrxId]], Trx[Id], Trx[Division],,0)</f>
        <v>MY</v>
      </c>
      <c r="D699" s="7" t="str">
        <f>_xlfn.XLOOKUP(Jnl[[#This Row],[TrxId]], Trx[Id], Trx[Action],,0)</f>
        <v>收款</v>
      </c>
      <c r="E699" s="26" t="s">
        <v>83</v>
      </c>
      <c r="F699" s="11" t="s">
        <v>593</v>
      </c>
      <c r="G699" s="11" t="s">
        <v>947</v>
      </c>
      <c r="H699" s="72">
        <v>-298</v>
      </c>
      <c r="I699" s="5" t="b">
        <f>AND(Jnl[[#This Row],[TrxId]]&lt;&gt;"",Jnl[[#This Row],[Acct]]&lt;&gt;"",Jnl[[#This Row],[Item]]&lt;&gt;"",ISNUMBER(Jnl[[#This Row],[Bal]]))</f>
        <v>1</v>
      </c>
      <c r="J699" s="10">
        <f>IF(Jnl[[#This Row],[BSLv0]]="A",1,-1)*Jnl[[#This Row],[Bal]]</f>
        <v>-298</v>
      </c>
      <c r="K699" t="str">
        <f>_xlfn.XLOOKUP(Jnl[[#This Row],[Acct]], config_BS[Acct], config_BS[Lv0],,0)</f>
        <v>A</v>
      </c>
      <c r="L699" t="str">
        <f>_xlfn.XLOOKUP(Jnl[[#This Row],[Acct]], config_BS[Acct], config_BS[Lv1],,0)</f>
        <v>Assets</v>
      </c>
      <c r="M699" t="str">
        <f>_xlfn.XLOOKUP(Jnl[[#This Row],[Acct]], config_BS[Acct], config_BS[Lv2],,0)</f>
        <v>Rec-Pay</v>
      </c>
      <c r="N699" t="str">
        <f>_xlfn.XLOOKUP(Jnl[[#This Row],[TrxId]], Trx[Id], Trx[IncNode], ,0)</f>
        <v>Revenue</v>
      </c>
      <c r="O699" t="str">
        <f>_xlfn.XLOOKUP(Jnl[[#This Row],[IncNode]], config_IS[Node], config_IS[Type],,0)</f>
        <v>Op</v>
      </c>
      <c r="P699" t="str">
        <f>_xlfn.XLOOKUP(Jnl[[#This Row],[BSLv2]], dict[Key], dict[Name],,0)</f>
        <v>1.应收-应付</v>
      </c>
      <c r="Q699" t="str">
        <f>_xlfn.XLOOKUP(Jnl[[#This Row],[Acct]], dict[Key], dict[Name],,0)</f>
        <v>应收-一般</v>
      </c>
      <c r="R699" t="str">
        <f>_xlfn.XLOOKUP(Jnl[[#This Row],[Vehicle]],config_vehicle[Id], config_vehicle[Name],,0)</f>
        <v>远家文化</v>
      </c>
      <c r="S699" t="str">
        <f>_xlfn.XLOOKUP(Jnl[[#This Row],[Division]],config_div[Id], config_div[Name],,0)</f>
        <v>明月村</v>
      </c>
      <c r="T699" t="str">
        <f>IF(Jnl[[#This Row],[TrxDate]]&lt;=stmt_BS_date_end, "In", "Out")</f>
        <v>In</v>
      </c>
      <c r="U699" t="str">
        <f>IF(Jnl[[#This Row],[TrxDate]]&lt;debug_date_start, "prior", IF(Jnl[[#This Row],[TrxDate]]&gt;debug_date_end, "post", "curr"))</f>
        <v>prior</v>
      </c>
    </row>
    <row r="700" spans="1:21">
      <c r="A700" s="11" t="s">
        <v>1152</v>
      </c>
      <c r="B700" s="7">
        <f>_xlfn.XLOOKUP(Jnl[[#This Row],[TrxId]], Trx[Id], Trx[Date],,0)</f>
        <v>46053</v>
      </c>
      <c r="C700" s="7" t="str">
        <f>_xlfn.XLOOKUP(Jnl[[#This Row],[TrxId]], Trx[Id], Trx[Division],,0)</f>
        <v>MY</v>
      </c>
      <c r="D700" s="7" t="str">
        <f>_xlfn.XLOOKUP(Jnl[[#This Row],[TrxId]], Trx[Id], Trx[Action],,0)</f>
        <v>福利</v>
      </c>
      <c r="E700" s="26" t="s">
        <v>83</v>
      </c>
      <c r="F700" s="11" t="s">
        <v>599</v>
      </c>
      <c r="G700" s="11" t="s">
        <v>135</v>
      </c>
      <c r="H700" s="72">
        <v>-600</v>
      </c>
      <c r="I700" s="5" t="b">
        <f>AND(Jnl[[#This Row],[TrxId]]&lt;&gt;"",Jnl[[#This Row],[Acct]]&lt;&gt;"",Jnl[[#This Row],[Item]]&lt;&gt;"",ISNUMBER(Jnl[[#This Row],[Bal]]))</f>
        <v>1</v>
      </c>
      <c r="J700" s="10">
        <f>IF(Jnl[[#This Row],[BSLv0]]="A",1,-1)*Jnl[[#This Row],[Bal]]</f>
        <v>-600</v>
      </c>
      <c r="K700" t="str">
        <f>_xlfn.XLOOKUP(Jnl[[#This Row],[Acct]], config_BS[Acct], config_BS[Lv0],,0)</f>
        <v>A</v>
      </c>
      <c r="L700" t="str">
        <f>_xlfn.XLOOKUP(Jnl[[#This Row],[Acct]], config_BS[Acct], config_BS[Lv1],,0)</f>
        <v>Assets</v>
      </c>
      <c r="M700" t="str">
        <f>_xlfn.XLOOKUP(Jnl[[#This Row],[Acct]], config_BS[Acct], config_BS[Lv2],,0)</f>
        <v>Cash alike</v>
      </c>
      <c r="N700" t="str">
        <f>_xlfn.XLOOKUP(Jnl[[#This Row],[TrxId]], Trx[Id], Trx[IncNode], ,0)</f>
        <v>Expense</v>
      </c>
      <c r="O700" t="str">
        <f>_xlfn.XLOOKUP(Jnl[[#This Row],[IncNode]], config_IS[Node], config_IS[Type],,0)</f>
        <v>Op</v>
      </c>
      <c r="P700" t="str">
        <f>_xlfn.XLOOKUP(Jnl[[#This Row],[BSLv2]], dict[Key], dict[Name],,0)</f>
        <v>0.现金及类似</v>
      </c>
      <c r="Q700" t="str">
        <f>_xlfn.XLOOKUP(Jnl[[#This Row],[Acct]], dict[Key], dict[Name],,0)</f>
        <v>物理现金</v>
      </c>
      <c r="R700" t="str">
        <f>_xlfn.XLOOKUP(Jnl[[#This Row],[Vehicle]],config_vehicle[Id], config_vehicle[Name],,0)</f>
        <v>远家文化</v>
      </c>
      <c r="S700" t="str">
        <f>_xlfn.XLOOKUP(Jnl[[#This Row],[Division]],config_div[Id], config_div[Name],,0)</f>
        <v>明月村</v>
      </c>
      <c r="T700" t="str">
        <f>IF(Jnl[[#This Row],[TrxDate]]&lt;=stmt_BS_date_end, "In", "Out")</f>
        <v>In</v>
      </c>
      <c r="U700" t="str">
        <f>IF(Jnl[[#This Row],[TrxDate]]&lt;debug_date_start, "prior", IF(Jnl[[#This Row],[TrxDate]]&gt;debug_date_end, "post", "curr"))</f>
        <v>prior</v>
      </c>
    </row>
    <row r="701" spans="1:21">
      <c r="A701" s="11" t="s">
        <v>1153</v>
      </c>
      <c r="B701" s="7">
        <f>_xlfn.XLOOKUP(Jnl[[#This Row],[TrxId]], Trx[Id], Trx[Date],,0)</f>
        <v>46053</v>
      </c>
      <c r="C701" s="7" t="str">
        <f>_xlfn.XLOOKUP(Jnl[[#This Row],[TrxId]], Trx[Id], Trx[Division],,0)</f>
        <v>MY</v>
      </c>
      <c r="D701" s="7" t="str">
        <f>_xlfn.XLOOKUP(Jnl[[#This Row],[TrxId]], Trx[Id], Trx[Action],,0)</f>
        <v>收款</v>
      </c>
      <c r="E701" s="26" t="s">
        <v>83</v>
      </c>
      <c r="F701" s="11" t="s">
        <v>590</v>
      </c>
      <c r="G701" s="11" t="s">
        <v>846</v>
      </c>
      <c r="H701" s="72">
        <v>3438.72</v>
      </c>
      <c r="I701" s="5" t="b">
        <f>AND(Jnl[[#This Row],[TrxId]]&lt;&gt;"",Jnl[[#This Row],[Acct]]&lt;&gt;"",Jnl[[#This Row],[Item]]&lt;&gt;"",ISNUMBER(Jnl[[#This Row],[Bal]]))</f>
        <v>1</v>
      </c>
      <c r="J701" s="10">
        <f>IF(Jnl[[#This Row],[BSLv0]]="A",1,-1)*Jnl[[#This Row],[Bal]]</f>
        <v>3438.72</v>
      </c>
      <c r="K701" t="str">
        <f>_xlfn.XLOOKUP(Jnl[[#This Row],[Acct]], config_BS[Acct], config_BS[Lv0],,0)</f>
        <v>A</v>
      </c>
      <c r="L701" t="str">
        <f>_xlfn.XLOOKUP(Jnl[[#This Row],[Acct]], config_BS[Acct], config_BS[Lv1],,0)</f>
        <v>Assets</v>
      </c>
      <c r="M701" t="str">
        <f>_xlfn.XLOOKUP(Jnl[[#This Row],[Acct]], config_BS[Acct], config_BS[Lv2],,0)</f>
        <v>Cash alike</v>
      </c>
      <c r="N701" t="str">
        <f>_xlfn.XLOOKUP(Jnl[[#This Row],[TrxId]], Trx[Id], Trx[IncNode], ,0)</f>
        <v>Revenue</v>
      </c>
      <c r="O701" t="str">
        <f>_xlfn.XLOOKUP(Jnl[[#This Row],[IncNode]], config_IS[Node], config_IS[Type],,0)</f>
        <v>Op</v>
      </c>
      <c r="P701" t="str">
        <f>_xlfn.XLOOKUP(Jnl[[#This Row],[BSLv2]], dict[Key], dict[Name],,0)</f>
        <v>0.现金及类似</v>
      </c>
      <c r="Q701" t="str">
        <f>_xlfn.XLOOKUP(Jnl[[#This Row],[Acct]], dict[Key], dict[Name],,0)</f>
        <v>银行</v>
      </c>
      <c r="R701" t="str">
        <f>_xlfn.XLOOKUP(Jnl[[#This Row],[Vehicle]],config_vehicle[Id], config_vehicle[Name],,0)</f>
        <v>远家文化</v>
      </c>
      <c r="S701" t="str">
        <f>_xlfn.XLOOKUP(Jnl[[#This Row],[Division]],config_div[Id], config_div[Name],,0)</f>
        <v>明月村</v>
      </c>
      <c r="T701" t="str">
        <f>IF(Jnl[[#This Row],[TrxDate]]&lt;=stmt_BS_date_end, "In", "Out")</f>
        <v>In</v>
      </c>
      <c r="U701" t="str">
        <f>IF(Jnl[[#This Row],[TrxDate]]&lt;debug_date_start, "prior", IF(Jnl[[#This Row],[TrxDate]]&gt;debug_date_end, "post", "curr"))</f>
        <v>prior</v>
      </c>
    </row>
    <row r="702" spans="1:21">
      <c r="A702" s="11" t="s">
        <v>1153</v>
      </c>
      <c r="B702" s="7">
        <f>_xlfn.XLOOKUP(Jnl[[#This Row],[TrxId]], Trx[Id], Trx[Date],,0)</f>
        <v>46053</v>
      </c>
      <c r="C702" s="7" t="str">
        <f>_xlfn.XLOOKUP(Jnl[[#This Row],[TrxId]], Trx[Id], Trx[Division],,0)</f>
        <v>MY</v>
      </c>
      <c r="D702" s="7" t="str">
        <f>_xlfn.XLOOKUP(Jnl[[#This Row],[TrxId]], Trx[Id], Trx[Action],,0)</f>
        <v>收款</v>
      </c>
      <c r="E702" s="26" t="s">
        <v>83</v>
      </c>
      <c r="F702" s="11" t="s">
        <v>593</v>
      </c>
      <c r="G702" s="11" t="s">
        <v>942</v>
      </c>
      <c r="H702" s="72">
        <v>-3438.72</v>
      </c>
      <c r="I702" s="5" t="b">
        <f>AND(Jnl[[#This Row],[TrxId]]&lt;&gt;"",Jnl[[#This Row],[Acct]]&lt;&gt;"",Jnl[[#This Row],[Item]]&lt;&gt;"",ISNUMBER(Jnl[[#This Row],[Bal]]))</f>
        <v>1</v>
      </c>
      <c r="J702" s="10">
        <f>IF(Jnl[[#This Row],[BSLv0]]="A",1,-1)*Jnl[[#This Row],[Bal]]</f>
        <v>-3438.72</v>
      </c>
      <c r="K702" t="str">
        <f>_xlfn.XLOOKUP(Jnl[[#This Row],[Acct]], config_BS[Acct], config_BS[Lv0],,0)</f>
        <v>A</v>
      </c>
      <c r="L702" t="str">
        <f>_xlfn.XLOOKUP(Jnl[[#This Row],[Acct]], config_BS[Acct], config_BS[Lv1],,0)</f>
        <v>Assets</v>
      </c>
      <c r="M702" t="str">
        <f>_xlfn.XLOOKUP(Jnl[[#This Row],[Acct]], config_BS[Acct], config_BS[Lv2],,0)</f>
        <v>Rec-Pay</v>
      </c>
      <c r="N702" t="str">
        <f>_xlfn.XLOOKUP(Jnl[[#This Row],[TrxId]], Trx[Id], Trx[IncNode], ,0)</f>
        <v>Revenue</v>
      </c>
      <c r="O702" t="str">
        <f>_xlfn.XLOOKUP(Jnl[[#This Row],[IncNode]], config_IS[Node], config_IS[Type],,0)</f>
        <v>Op</v>
      </c>
      <c r="P702" t="str">
        <f>_xlfn.XLOOKUP(Jnl[[#This Row],[BSLv2]], dict[Key], dict[Name],,0)</f>
        <v>1.应收-应付</v>
      </c>
      <c r="Q702" t="str">
        <f>_xlfn.XLOOKUP(Jnl[[#This Row],[Acct]], dict[Key], dict[Name],,0)</f>
        <v>应收-一般</v>
      </c>
      <c r="R702" t="str">
        <f>_xlfn.XLOOKUP(Jnl[[#This Row],[Vehicle]],config_vehicle[Id], config_vehicle[Name],,0)</f>
        <v>远家文化</v>
      </c>
      <c r="S702" t="str">
        <f>_xlfn.XLOOKUP(Jnl[[#This Row],[Division]],config_div[Id], config_div[Name],,0)</f>
        <v>明月村</v>
      </c>
      <c r="T702" t="str">
        <f>IF(Jnl[[#This Row],[TrxDate]]&lt;=stmt_BS_date_end, "In", "Out")</f>
        <v>In</v>
      </c>
      <c r="U702" t="str">
        <f>IF(Jnl[[#This Row],[TrxDate]]&lt;debug_date_start, "prior", IF(Jnl[[#This Row],[TrxDate]]&gt;debug_date_end, "post", "curr"))</f>
        <v>prior</v>
      </c>
    </row>
    <row r="703" spans="1:21">
      <c r="A703" s="11" t="s">
        <v>1154</v>
      </c>
      <c r="B703" s="7">
        <f>_xlfn.XLOOKUP(Jnl[[#This Row],[TrxId]], Trx[Id], Trx[Date],,0)</f>
        <v>46053</v>
      </c>
      <c r="C703" s="7" t="str">
        <f>_xlfn.XLOOKUP(Jnl[[#This Row],[TrxId]], Trx[Id], Trx[Division],,0)</f>
        <v>MY</v>
      </c>
      <c r="D703" s="7" t="str">
        <f>_xlfn.XLOOKUP(Jnl[[#This Row],[TrxId]], Trx[Id], Trx[Action],,0)</f>
        <v>食材</v>
      </c>
      <c r="E703" s="26" t="s">
        <v>83</v>
      </c>
      <c r="F703" s="11" t="s">
        <v>590</v>
      </c>
      <c r="G703" s="11" t="s">
        <v>846</v>
      </c>
      <c r="H703" s="72">
        <v>-118</v>
      </c>
      <c r="I703" s="5" t="b">
        <f>AND(Jnl[[#This Row],[TrxId]]&lt;&gt;"",Jnl[[#This Row],[Acct]]&lt;&gt;"",Jnl[[#This Row],[Item]]&lt;&gt;"",ISNUMBER(Jnl[[#This Row],[Bal]]))</f>
        <v>1</v>
      </c>
      <c r="J703" s="10">
        <f>IF(Jnl[[#This Row],[BSLv0]]="A",1,-1)*Jnl[[#This Row],[Bal]]</f>
        <v>-118</v>
      </c>
      <c r="K703" t="str">
        <f>_xlfn.XLOOKUP(Jnl[[#This Row],[Acct]], config_BS[Acct], config_BS[Lv0],,0)</f>
        <v>A</v>
      </c>
      <c r="L703" t="str">
        <f>_xlfn.XLOOKUP(Jnl[[#This Row],[Acct]], config_BS[Acct], config_BS[Lv1],,0)</f>
        <v>Assets</v>
      </c>
      <c r="M703" t="str">
        <f>_xlfn.XLOOKUP(Jnl[[#This Row],[Acct]], config_BS[Acct], config_BS[Lv2],,0)</f>
        <v>Cash alike</v>
      </c>
      <c r="N703" t="str">
        <f>_xlfn.XLOOKUP(Jnl[[#This Row],[TrxId]], Trx[Id], Trx[IncNode], ,0)</f>
        <v>Cost</v>
      </c>
      <c r="O703" t="str">
        <f>_xlfn.XLOOKUP(Jnl[[#This Row],[IncNode]], config_IS[Node], config_IS[Type],,0)</f>
        <v>Op</v>
      </c>
      <c r="P703" t="str">
        <f>_xlfn.XLOOKUP(Jnl[[#This Row],[BSLv2]], dict[Key], dict[Name],,0)</f>
        <v>0.现金及类似</v>
      </c>
      <c r="Q703" t="str">
        <f>_xlfn.XLOOKUP(Jnl[[#This Row],[Acct]], dict[Key], dict[Name],,0)</f>
        <v>银行</v>
      </c>
      <c r="R703" t="str">
        <f>_xlfn.XLOOKUP(Jnl[[#This Row],[Vehicle]],config_vehicle[Id], config_vehicle[Name],,0)</f>
        <v>远家文化</v>
      </c>
      <c r="S703" t="str">
        <f>_xlfn.XLOOKUP(Jnl[[#This Row],[Division]],config_div[Id], config_div[Name],,0)</f>
        <v>明月村</v>
      </c>
      <c r="T703" t="str">
        <f>IF(Jnl[[#This Row],[TrxDate]]&lt;=stmt_BS_date_end, "In", "Out")</f>
        <v>In</v>
      </c>
      <c r="U703" t="str">
        <f>IF(Jnl[[#This Row],[TrxDate]]&lt;debug_date_start, "prior", IF(Jnl[[#This Row],[TrxDate]]&gt;debug_date_end, "post", "curr"))</f>
        <v>prior</v>
      </c>
    </row>
    <row r="704" spans="1:21">
      <c r="A704" s="11" t="s">
        <v>1155</v>
      </c>
      <c r="B704" s="7">
        <f>_xlfn.XLOOKUP(Jnl[[#This Row],[TrxId]], Trx[Id], Trx[Date],,0)</f>
        <v>46053</v>
      </c>
      <c r="C704" s="7" t="str">
        <f>_xlfn.XLOOKUP(Jnl[[#This Row],[TrxId]], Trx[Id], Trx[Division],,0)</f>
        <v>GM</v>
      </c>
      <c r="D704" s="7" t="str">
        <f>_xlfn.XLOOKUP(Jnl[[#This Row],[TrxId]], Trx[Id], Trx[Action],,0)</f>
        <v>银行费</v>
      </c>
      <c r="E704" s="26" t="s">
        <v>83</v>
      </c>
      <c r="F704" s="11" t="s">
        <v>590</v>
      </c>
      <c r="G704" s="11" t="s">
        <v>846</v>
      </c>
      <c r="H704" s="72">
        <v>-100.5</v>
      </c>
      <c r="I704" s="5" t="b">
        <f>AND(Jnl[[#This Row],[TrxId]]&lt;&gt;"",Jnl[[#This Row],[Acct]]&lt;&gt;"",Jnl[[#This Row],[Item]]&lt;&gt;"",ISNUMBER(Jnl[[#This Row],[Bal]]))</f>
        <v>1</v>
      </c>
      <c r="J704" s="10">
        <f>IF(Jnl[[#This Row],[BSLv0]]="A",1,-1)*Jnl[[#This Row],[Bal]]</f>
        <v>-100.5</v>
      </c>
      <c r="K704" t="str">
        <f>_xlfn.XLOOKUP(Jnl[[#This Row],[Acct]], config_BS[Acct], config_BS[Lv0],,0)</f>
        <v>A</v>
      </c>
      <c r="L704" t="str">
        <f>_xlfn.XLOOKUP(Jnl[[#This Row],[Acct]], config_BS[Acct], config_BS[Lv1],,0)</f>
        <v>Assets</v>
      </c>
      <c r="M704" t="str">
        <f>_xlfn.XLOOKUP(Jnl[[#This Row],[Acct]], config_BS[Acct], config_BS[Lv2],,0)</f>
        <v>Cash alike</v>
      </c>
      <c r="N704" t="str">
        <f>_xlfn.XLOOKUP(Jnl[[#This Row],[TrxId]], Trx[Id], Trx[IncNode], ,0)</f>
        <v>Expense</v>
      </c>
      <c r="O704" t="str">
        <f>_xlfn.XLOOKUP(Jnl[[#This Row],[IncNode]], config_IS[Node], config_IS[Type],,0)</f>
        <v>Op</v>
      </c>
      <c r="P704" t="str">
        <f>_xlfn.XLOOKUP(Jnl[[#This Row],[BSLv2]], dict[Key], dict[Name],,0)</f>
        <v>0.现金及类似</v>
      </c>
      <c r="Q704" t="str">
        <f>_xlfn.XLOOKUP(Jnl[[#This Row],[Acct]], dict[Key], dict[Name],,0)</f>
        <v>银行</v>
      </c>
      <c r="R704" t="str">
        <f>_xlfn.XLOOKUP(Jnl[[#This Row],[Vehicle]],config_vehicle[Id], config_vehicle[Name],,0)</f>
        <v>远家文化</v>
      </c>
      <c r="S704" t="str">
        <f>_xlfn.XLOOKUP(Jnl[[#This Row],[Division]],config_div[Id], config_div[Name],,0)</f>
        <v>综合管理</v>
      </c>
      <c r="T704" t="str">
        <f>IF(Jnl[[#This Row],[TrxDate]]&lt;=stmt_BS_date_end, "In", "Out")</f>
        <v>In</v>
      </c>
      <c r="U704" t="str">
        <f>IF(Jnl[[#This Row],[TrxDate]]&lt;debug_date_start, "prior", IF(Jnl[[#This Row],[TrxDate]]&gt;debug_date_end, "post", "curr"))</f>
        <v>prior</v>
      </c>
    </row>
    <row r="705" spans="1:21">
      <c r="A705" s="11" t="s">
        <v>1156</v>
      </c>
      <c r="B705" s="7">
        <f>_xlfn.XLOOKUP(Jnl[[#This Row],[TrxId]], Trx[Id], Trx[Date],,0)</f>
        <v>46053</v>
      </c>
      <c r="C705" s="7" t="str">
        <f>_xlfn.XLOOKUP(Jnl[[#This Row],[TrxId]], Trx[Id], Trx[Division],,0)</f>
        <v>MY</v>
      </c>
      <c r="D705" s="7" t="str">
        <f>_xlfn.XLOOKUP(Jnl[[#This Row],[TrxId]], Trx[Id], Trx[Action],,0)</f>
        <v>临时人力</v>
      </c>
      <c r="E705" s="26" t="s">
        <v>83</v>
      </c>
      <c r="F705" s="11" t="s">
        <v>590</v>
      </c>
      <c r="G705" s="11" t="s">
        <v>846</v>
      </c>
      <c r="H705" s="72">
        <v>-180</v>
      </c>
      <c r="I705" s="5" t="b">
        <f>AND(Jnl[[#This Row],[TrxId]]&lt;&gt;"",Jnl[[#This Row],[Acct]]&lt;&gt;"",Jnl[[#This Row],[Item]]&lt;&gt;"",ISNUMBER(Jnl[[#This Row],[Bal]]))</f>
        <v>1</v>
      </c>
      <c r="J705" s="10">
        <f>IF(Jnl[[#This Row],[BSLv0]]="A",1,-1)*Jnl[[#This Row],[Bal]]</f>
        <v>-180</v>
      </c>
      <c r="K705" t="str">
        <f>_xlfn.XLOOKUP(Jnl[[#This Row],[Acct]], config_BS[Acct], config_BS[Lv0],,0)</f>
        <v>A</v>
      </c>
      <c r="L705" t="str">
        <f>_xlfn.XLOOKUP(Jnl[[#This Row],[Acct]], config_BS[Acct], config_BS[Lv1],,0)</f>
        <v>Assets</v>
      </c>
      <c r="M705" t="str">
        <f>_xlfn.XLOOKUP(Jnl[[#This Row],[Acct]], config_BS[Acct], config_BS[Lv2],,0)</f>
        <v>Cash alike</v>
      </c>
      <c r="N705" t="str">
        <f>_xlfn.XLOOKUP(Jnl[[#This Row],[TrxId]], Trx[Id], Trx[IncNode], ,0)</f>
        <v>Expense</v>
      </c>
      <c r="O705" t="str">
        <f>_xlfn.XLOOKUP(Jnl[[#This Row],[IncNode]], config_IS[Node], config_IS[Type],,0)</f>
        <v>Op</v>
      </c>
      <c r="P705" t="str">
        <f>_xlfn.XLOOKUP(Jnl[[#This Row],[BSLv2]], dict[Key], dict[Name],,0)</f>
        <v>0.现金及类似</v>
      </c>
      <c r="Q705" t="str">
        <f>_xlfn.XLOOKUP(Jnl[[#This Row],[Acct]], dict[Key], dict[Name],,0)</f>
        <v>银行</v>
      </c>
      <c r="R705" t="str">
        <f>_xlfn.XLOOKUP(Jnl[[#This Row],[Vehicle]],config_vehicle[Id], config_vehicle[Name],,0)</f>
        <v>远家文化</v>
      </c>
      <c r="S705" t="str">
        <f>_xlfn.XLOOKUP(Jnl[[#This Row],[Division]],config_div[Id], config_div[Name],,0)</f>
        <v>明月村</v>
      </c>
      <c r="T705" t="str">
        <f>IF(Jnl[[#This Row],[TrxDate]]&lt;=stmt_BS_date_end, "In", "Out")</f>
        <v>In</v>
      </c>
      <c r="U705" t="str">
        <f>IF(Jnl[[#This Row],[TrxDate]]&lt;debug_date_start, "prior", IF(Jnl[[#This Row],[TrxDate]]&gt;debug_date_end, "post", "curr"))</f>
        <v>prior</v>
      </c>
    </row>
    <row r="706" spans="1:21">
      <c r="A706" s="11" t="s">
        <v>1157</v>
      </c>
      <c r="B706" s="7">
        <f>_xlfn.XLOOKUP(Jnl[[#This Row],[TrxId]], Trx[Id], Trx[Date],,0)</f>
        <v>46053</v>
      </c>
      <c r="C706" s="7" t="str">
        <f>_xlfn.XLOOKUP(Jnl[[#This Row],[TrxId]], Trx[Id], Trx[Division],,0)</f>
        <v>MY</v>
      </c>
      <c r="D706" s="7" t="str">
        <f>_xlfn.XLOOKUP(Jnl[[#This Row],[TrxId]], Trx[Id], Trx[Action],,0)</f>
        <v>食材</v>
      </c>
      <c r="E706" s="26" t="s">
        <v>83</v>
      </c>
      <c r="F706" s="11" t="s">
        <v>590</v>
      </c>
      <c r="G706" s="11" t="s">
        <v>846</v>
      </c>
      <c r="H706" s="72">
        <v>-1826</v>
      </c>
      <c r="I706" s="5" t="b">
        <f>AND(Jnl[[#This Row],[TrxId]]&lt;&gt;"",Jnl[[#This Row],[Acct]]&lt;&gt;"",Jnl[[#This Row],[Item]]&lt;&gt;"",ISNUMBER(Jnl[[#This Row],[Bal]]))</f>
        <v>1</v>
      </c>
      <c r="J706" s="10">
        <f>IF(Jnl[[#This Row],[BSLv0]]="A",1,-1)*Jnl[[#This Row],[Bal]]</f>
        <v>-1826</v>
      </c>
      <c r="K706" t="str">
        <f>_xlfn.XLOOKUP(Jnl[[#This Row],[Acct]], config_BS[Acct], config_BS[Lv0],,0)</f>
        <v>A</v>
      </c>
      <c r="L706" t="str">
        <f>_xlfn.XLOOKUP(Jnl[[#This Row],[Acct]], config_BS[Acct], config_BS[Lv1],,0)</f>
        <v>Assets</v>
      </c>
      <c r="M706" t="str">
        <f>_xlfn.XLOOKUP(Jnl[[#This Row],[Acct]], config_BS[Acct], config_BS[Lv2],,0)</f>
        <v>Cash alike</v>
      </c>
      <c r="N706" t="str">
        <f>_xlfn.XLOOKUP(Jnl[[#This Row],[TrxId]], Trx[Id], Trx[IncNode], ,0)</f>
        <v>Cost</v>
      </c>
      <c r="O706" t="str">
        <f>_xlfn.XLOOKUP(Jnl[[#This Row],[IncNode]], config_IS[Node], config_IS[Type],,0)</f>
        <v>Op</v>
      </c>
      <c r="P706" t="str">
        <f>_xlfn.XLOOKUP(Jnl[[#This Row],[BSLv2]], dict[Key], dict[Name],,0)</f>
        <v>0.现金及类似</v>
      </c>
      <c r="Q706" t="str">
        <f>_xlfn.XLOOKUP(Jnl[[#This Row],[Acct]], dict[Key], dict[Name],,0)</f>
        <v>银行</v>
      </c>
      <c r="R706" t="str">
        <f>_xlfn.XLOOKUP(Jnl[[#This Row],[Vehicle]],config_vehicle[Id], config_vehicle[Name],,0)</f>
        <v>远家文化</v>
      </c>
      <c r="S706" t="str">
        <f>_xlfn.XLOOKUP(Jnl[[#This Row],[Division]],config_div[Id], config_div[Name],,0)</f>
        <v>明月村</v>
      </c>
      <c r="T706" t="str">
        <f>IF(Jnl[[#This Row],[TrxDate]]&lt;=stmt_BS_date_end, "In", "Out")</f>
        <v>In</v>
      </c>
      <c r="U706" t="str">
        <f>IF(Jnl[[#This Row],[TrxDate]]&lt;debug_date_start, "prior", IF(Jnl[[#This Row],[TrxDate]]&gt;debug_date_end, "post", "curr"))</f>
        <v>prior</v>
      </c>
    </row>
    <row r="707" spans="1:21">
      <c r="A707" s="11" t="s">
        <v>1158</v>
      </c>
      <c r="B707" s="7">
        <f>_xlfn.XLOOKUP(Jnl[[#This Row],[TrxId]], Trx[Id], Trx[Date],,0)</f>
        <v>46053</v>
      </c>
      <c r="C707" s="7" t="str">
        <f>_xlfn.XLOOKUP(Jnl[[#This Row],[TrxId]], Trx[Id], Trx[Division],,0)</f>
        <v>MY</v>
      </c>
      <c r="D707" s="7" t="str">
        <f>_xlfn.XLOOKUP(Jnl[[#This Row],[TrxId]], Trx[Id], Trx[Action],,0)</f>
        <v>演出</v>
      </c>
      <c r="E707" s="26" t="s">
        <v>83</v>
      </c>
      <c r="F707" s="11" t="s">
        <v>590</v>
      </c>
      <c r="G707" s="11" t="s">
        <v>846</v>
      </c>
      <c r="H707" s="72">
        <v>-2000</v>
      </c>
      <c r="I707" s="5" t="b">
        <f>AND(Jnl[[#This Row],[TrxId]]&lt;&gt;"",Jnl[[#This Row],[Acct]]&lt;&gt;"",Jnl[[#This Row],[Item]]&lt;&gt;"",ISNUMBER(Jnl[[#This Row],[Bal]]))</f>
        <v>1</v>
      </c>
      <c r="J707" s="10">
        <f>IF(Jnl[[#This Row],[BSLv0]]="A",1,-1)*Jnl[[#This Row],[Bal]]</f>
        <v>-2000</v>
      </c>
      <c r="K707" t="str">
        <f>_xlfn.XLOOKUP(Jnl[[#This Row],[Acct]], config_BS[Acct], config_BS[Lv0],,0)</f>
        <v>A</v>
      </c>
      <c r="L707" t="str">
        <f>_xlfn.XLOOKUP(Jnl[[#This Row],[Acct]], config_BS[Acct], config_BS[Lv1],,0)</f>
        <v>Assets</v>
      </c>
      <c r="M707" t="str">
        <f>_xlfn.XLOOKUP(Jnl[[#This Row],[Acct]], config_BS[Acct], config_BS[Lv2],,0)</f>
        <v>Cash alike</v>
      </c>
      <c r="N707" t="str">
        <f>_xlfn.XLOOKUP(Jnl[[#This Row],[TrxId]], Trx[Id], Trx[IncNode], ,0)</f>
        <v>Cost</v>
      </c>
      <c r="O707" t="str">
        <f>_xlfn.XLOOKUP(Jnl[[#This Row],[IncNode]], config_IS[Node], config_IS[Type],,0)</f>
        <v>Op</v>
      </c>
      <c r="P707" t="str">
        <f>_xlfn.XLOOKUP(Jnl[[#This Row],[BSLv2]], dict[Key], dict[Name],,0)</f>
        <v>0.现金及类似</v>
      </c>
      <c r="Q707" t="str">
        <f>_xlfn.XLOOKUP(Jnl[[#This Row],[Acct]], dict[Key], dict[Name],,0)</f>
        <v>银行</v>
      </c>
      <c r="R707" t="str">
        <f>_xlfn.XLOOKUP(Jnl[[#This Row],[Vehicle]],config_vehicle[Id], config_vehicle[Name],,0)</f>
        <v>远家文化</v>
      </c>
      <c r="S707" t="str">
        <f>_xlfn.XLOOKUP(Jnl[[#This Row],[Division]],config_div[Id], config_div[Name],,0)</f>
        <v>明月村</v>
      </c>
      <c r="T707" t="str">
        <f>IF(Jnl[[#This Row],[TrxDate]]&lt;=stmt_BS_date_end, "In", "Out")</f>
        <v>In</v>
      </c>
      <c r="U707" t="str">
        <f>IF(Jnl[[#This Row],[TrxDate]]&lt;debug_date_start, "prior", IF(Jnl[[#This Row],[TrxDate]]&gt;debug_date_end, "post", "curr"))</f>
        <v>prior</v>
      </c>
    </row>
    <row r="708" spans="1:21">
      <c r="A708" s="11" t="s">
        <v>1159</v>
      </c>
      <c r="B708" s="7">
        <f>_xlfn.XLOOKUP(Jnl[[#This Row],[TrxId]], Trx[Id], Trx[Date],,0)</f>
        <v>46053</v>
      </c>
      <c r="C708" s="7" t="str">
        <f>_xlfn.XLOOKUP(Jnl[[#This Row],[TrxId]], Trx[Id], Trx[Division],,0)</f>
        <v>MY</v>
      </c>
      <c r="D708" s="7" t="str">
        <f>_xlfn.XLOOKUP(Jnl[[#This Row],[TrxId]], Trx[Id], Trx[Action],,0)</f>
        <v>杂项</v>
      </c>
      <c r="E708" s="26" t="s">
        <v>83</v>
      </c>
      <c r="F708" s="11" t="s">
        <v>590</v>
      </c>
      <c r="G708" s="11" t="s">
        <v>846</v>
      </c>
      <c r="H708" s="72">
        <v>-1600</v>
      </c>
      <c r="I708" s="5" t="b">
        <f>AND(Jnl[[#This Row],[TrxId]]&lt;&gt;"",Jnl[[#This Row],[Acct]]&lt;&gt;"",Jnl[[#This Row],[Item]]&lt;&gt;"",ISNUMBER(Jnl[[#This Row],[Bal]]))</f>
        <v>1</v>
      </c>
      <c r="J708" s="10">
        <f>IF(Jnl[[#This Row],[BSLv0]]="A",1,-1)*Jnl[[#This Row],[Bal]]</f>
        <v>-1600</v>
      </c>
      <c r="K708" t="str">
        <f>_xlfn.XLOOKUP(Jnl[[#This Row],[Acct]], config_BS[Acct], config_BS[Lv0],,0)</f>
        <v>A</v>
      </c>
      <c r="L708" t="str">
        <f>_xlfn.XLOOKUP(Jnl[[#This Row],[Acct]], config_BS[Acct], config_BS[Lv1],,0)</f>
        <v>Assets</v>
      </c>
      <c r="M708" t="str">
        <f>_xlfn.XLOOKUP(Jnl[[#This Row],[Acct]], config_BS[Acct], config_BS[Lv2],,0)</f>
        <v>Cash alike</v>
      </c>
      <c r="N708" t="str">
        <f>_xlfn.XLOOKUP(Jnl[[#This Row],[TrxId]], Trx[Id], Trx[IncNode], ,0)</f>
        <v>Expense</v>
      </c>
      <c r="O708" t="str">
        <f>_xlfn.XLOOKUP(Jnl[[#This Row],[IncNode]], config_IS[Node], config_IS[Type],,0)</f>
        <v>Op</v>
      </c>
      <c r="P708" t="str">
        <f>_xlfn.XLOOKUP(Jnl[[#This Row],[BSLv2]], dict[Key], dict[Name],,0)</f>
        <v>0.现金及类似</v>
      </c>
      <c r="Q708" t="str">
        <f>_xlfn.XLOOKUP(Jnl[[#This Row],[Acct]], dict[Key], dict[Name],,0)</f>
        <v>银行</v>
      </c>
      <c r="R708" t="str">
        <f>_xlfn.XLOOKUP(Jnl[[#This Row],[Vehicle]],config_vehicle[Id], config_vehicle[Name],,0)</f>
        <v>远家文化</v>
      </c>
      <c r="S708" t="str">
        <f>_xlfn.XLOOKUP(Jnl[[#This Row],[Division]],config_div[Id], config_div[Name],,0)</f>
        <v>明月村</v>
      </c>
      <c r="T708" t="str">
        <f>IF(Jnl[[#This Row],[TrxDate]]&lt;=stmt_BS_date_end, "In", "Out")</f>
        <v>In</v>
      </c>
      <c r="U708" t="str">
        <f>IF(Jnl[[#This Row],[TrxDate]]&lt;debug_date_start, "prior", IF(Jnl[[#This Row],[TrxDate]]&gt;debug_date_end, "post", "curr"))</f>
        <v>prior</v>
      </c>
    </row>
    <row r="709" spans="1:21">
      <c r="A709" s="11" t="s">
        <v>1160</v>
      </c>
      <c r="B709" s="7">
        <f>_xlfn.XLOOKUP(Jnl[[#This Row],[TrxId]], Trx[Id], Trx[Date],,0)</f>
        <v>46053</v>
      </c>
      <c r="C709" s="7" t="str">
        <f>_xlfn.XLOOKUP(Jnl[[#This Row],[TrxId]], Trx[Id], Trx[Division],,0)</f>
        <v>MY</v>
      </c>
      <c r="D709" s="7" t="str">
        <f>_xlfn.XLOOKUP(Jnl[[#This Row],[TrxId]], Trx[Id], Trx[Action],,0)</f>
        <v>收款</v>
      </c>
      <c r="E709" s="26" t="s">
        <v>83</v>
      </c>
      <c r="F709" s="11" t="s">
        <v>590</v>
      </c>
      <c r="G709" s="11" t="s">
        <v>846</v>
      </c>
      <c r="H709" s="72">
        <v>4211.33</v>
      </c>
      <c r="I709" s="5" t="b">
        <f>AND(Jnl[[#This Row],[TrxId]]&lt;&gt;"",Jnl[[#This Row],[Acct]]&lt;&gt;"",Jnl[[#This Row],[Item]]&lt;&gt;"",ISNUMBER(Jnl[[#This Row],[Bal]]))</f>
        <v>1</v>
      </c>
      <c r="J709" s="10">
        <f>IF(Jnl[[#This Row],[BSLv0]]="A",1,-1)*Jnl[[#This Row],[Bal]]</f>
        <v>4211.33</v>
      </c>
      <c r="K709" t="str">
        <f>_xlfn.XLOOKUP(Jnl[[#This Row],[Acct]], config_BS[Acct], config_BS[Lv0],,0)</f>
        <v>A</v>
      </c>
      <c r="L709" t="str">
        <f>_xlfn.XLOOKUP(Jnl[[#This Row],[Acct]], config_BS[Acct], config_BS[Lv1],,0)</f>
        <v>Assets</v>
      </c>
      <c r="M709" t="str">
        <f>_xlfn.XLOOKUP(Jnl[[#This Row],[Acct]], config_BS[Acct], config_BS[Lv2],,0)</f>
        <v>Cash alike</v>
      </c>
      <c r="N709" t="str">
        <f>_xlfn.XLOOKUP(Jnl[[#This Row],[TrxId]], Trx[Id], Trx[IncNode], ,0)</f>
        <v>Revenue</v>
      </c>
      <c r="O709" t="str">
        <f>_xlfn.XLOOKUP(Jnl[[#This Row],[IncNode]], config_IS[Node], config_IS[Type],,0)</f>
        <v>Op</v>
      </c>
      <c r="P709" t="str">
        <f>_xlfn.XLOOKUP(Jnl[[#This Row],[BSLv2]], dict[Key], dict[Name],,0)</f>
        <v>0.现金及类似</v>
      </c>
      <c r="Q709" t="str">
        <f>_xlfn.XLOOKUP(Jnl[[#This Row],[Acct]], dict[Key], dict[Name],,0)</f>
        <v>银行</v>
      </c>
      <c r="R709" t="str">
        <f>_xlfn.XLOOKUP(Jnl[[#This Row],[Vehicle]],config_vehicle[Id], config_vehicle[Name],,0)</f>
        <v>远家文化</v>
      </c>
      <c r="S709" t="str">
        <f>_xlfn.XLOOKUP(Jnl[[#This Row],[Division]],config_div[Id], config_div[Name],,0)</f>
        <v>明月村</v>
      </c>
      <c r="T709" t="str">
        <f>IF(Jnl[[#This Row],[TrxDate]]&lt;=stmt_BS_date_end, "In", "Out")</f>
        <v>In</v>
      </c>
      <c r="U709" t="str">
        <f>IF(Jnl[[#This Row],[TrxDate]]&lt;debug_date_start, "prior", IF(Jnl[[#This Row],[TrxDate]]&gt;debug_date_end, "post", "curr"))</f>
        <v>prior</v>
      </c>
    </row>
    <row r="710" spans="1:21">
      <c r="A710" s="11" t="s">
        <v>1160</v>
      </c>
      <c r="B710" s="7">
        <f>_xlfn.XLOOKUP(Jnl[[#This Row],[TrxId]], Trx[Id], Trx[Date],,0)</f>
        <v>46053</v>
      </c>
      <c r="C710" s="7" t="str">
        <f>_xlfn.XLOOKUP(Jnl[[#This Row],[TrxId]], Trx[Id], Trx[Division],,0)</f>
        <v>MY</v>
      </c>
      <c r="D710" s="7" t="str">
        <f>_xlfn.XLOOKUP(Jnl[[#This Row],[TrxId]], Trx[Id], Trx[Action],,0)</f>
        <v>收款</v>
      </c>
      <c r="E710" s="26" t="s">
        <v>83</v>
      </c>
      <c r="F710" s="11" t="s">
        <v>593</v>
      </c>
      <c r="G710" s="11" t="s">
        <v>942</v>
      </c>
      <c r="H710" s="72">
        <v>-4211.33</v>
      </c>
      <c r="I710" s="5" t="b">
        <f>AND(Jnl[[#This Row],[TrxId]]&lt;&gt;"",Jnl[[#This Row],[Acct]]&lt;&gt;"",Jnl[[#This Row],[Item]]&lt;&gt;"",ISNUMBER(Jnl[[#This Row],[Bal]]))</f>
        <v>1</v>
      </c>
      <c r="J710" s="10">
        <f>IF(Jnl[[#This Row],[BSLv0]]="A",1,-1)*Jnl[[#This Row],[Bal]]</f>
        <v>-4211.33</v>
      </c>
      <c r="K710" t="str">
        <f>_xlfn.XLOOKUP(Jnl[[#This Row],[Acct]], config_BS[Acct], config_BS[Lv0],,0)</f>
        <v>A</v>
      </c>
      <c r="L710" t="str">
        <f>_xlfn.XLOOKUP(Jnl[[#This Row],[Acct]], config_BS[Acct], config_BS[Lv1],,0)</f>
        <v>Assets</v>
      </c>
      <c r="M710" t="str">
        <f>_xlfn.XLOOKUP(Jnl[[#This Row],[Acct]], config_BS[Acct], config_BS[Lv2],,0)</f>
        <v>Rec-Pay</v>
      </c>
      <c r="N710" t="str">
        <f>_xlfn.XLOOKUP(Jnl[[#This Row],[TrxId]], Trx[Id], Trx[IncNode], ,0)</f>
        <v>Revenue</v>
      </c>
      <c r="O710" t="str">
        <f>_xlfn.XLOOKUP(Jnl[[#This Row],[IncNode]], config_IS[Node], config_IS[Type],,0)</f>
        <v>Op</v>
      </c>
      <c r="P710" t="str">
        <f>_xlfn.XLOOKUP(Jnl[[#This Row],[BSLv2]], dict[Key], dict[Name],,0)</f>
        <v>1.应收-应付</v>
      </c>
      <c r="Q710" t="str">
        <f>_xlfn.XLOOKUP(Jnl[[#This Row],[Acct]], dict[Key], dict[Name],,0)</f>
        <v>应收-一般</v>
      </c>
      <c r="R710" t="str">
        <f>_xlfn.XLOOKUP(Jnl[[#This Row],[Vehicle]],config_vehicle[Id], config_vehicle[Name],,0)</f>
        <v>远家文化</v>
      </c>
      <c r="S710" t="str">
        <f>_xlfn.XLOOKUP(Jnl[[#This Row],[Division]],config_div[Id], config_div[Name],,0)</f>
        <v>明月村</v>
      </c>
      <c r="T710" t="str">
        <f>IF(Jnl[[#This Row],[TrxDate]]&lt;=stmt_BS_date_end, "In", "Out")</f>
        <v>In</v>
      </c>
      <c r="U710" t="str">
        <f>IF(Jnl[[#This Row],[TrxDate]]&lt;debug_date_start, "prior", IF(Jnl[[#This Row],[TrxDate]]&gt;debug_date_end, "post", "curr"))</f>
        <v>prior</v>
      </c>
    </row>
    <row r="711" spans="1:21">
      <c r="A711" s="11" t="s">
        <v>1161</v>
      </c>
      <c r="B711" s="7">
        <f>_xlfn.XLOOKUP(Jnl[[#This Row],[TrxId]], Trx[Id], Trx[Date],,0)</f>
        <v>46053</v>
      </c>
      <c r="C711" s="7" t="str">
        <f>_xlfn.XLOOKUP(Jnl[[#This Row],[TrxId]], Trx[Id], Trx[Division],,0)</f>
        <v>MY</v>
      </c>
      <c r="D711" s="7" t="str">
        <f>_xlfn.XLOOKUP(Jnl[[#This Row],[TrxId]], Trx[Id], Trx[Action],,0)</f>
        <v>收款</v>
      </c>
      <c r="E711" s="26" t="s">
        <v>83</v>
      </c>
      <c r="F711" s="11" t="s">
        <v>590</v>
      </c>
      <c r="G711" s="11" t="s">
        <v>846</v>
      </c>
      <c r="H711" s="72">
        <v>3394.82</v>
      </c>
      <c r="I711" s="5" t="b">
        <f>AND(Jnl[[#This Row],[TrxId]]&lt;&gt;"",Jnl[[#This Row],[Acct]]&lt;&gt;"",Jnl[[#This Row],[Item]]&lt;&gt;"",ISNUMBER(Jnl[[#This Row],[Bal]]))</f>
        <v>1</v>
      </c>
      <c r="J711" s="10">
        <f>IF(Jnl[[#This Row],[BSLv0]]="A",1,-1)*Jnl[[#This Row],[Bal]]</f>
        <v>3394.82</v>
      </c>
      <c r="K711" t="str">
        <f>_xlfn.XLOOKUP(Jnl[[#This Row],[Acct]], config_BS[Acct], config_BS[Lv0],,0)</f>
        <v>A</v>
      </c>
      <c r="L711" t="str">
        <f>_xlfn.XLOOKUP(Jnl[[#This Row],[Acct]], config_BS[Acct], config_BS[Lv1],,0)</f>
        <v>Assets</v>
      </c>
      <c r="M711" t="str">
        <f>_xlfn.XLOOKUP(Jnl[[#This Row],[Acct]], config_BS[Acct], config_BS[Lv2],,0)</f>
        <v>Cash alike</v>
      </c>
      <c r="N711" t="str">
        <f>_xlfn.XLOOKUP(Jnl[[#This Row],[TrxId]], Trx[Id], Trx[IncNode], ,0)</f>
        <v>Revenue</v>
      </c>
      <c r="O711" t="str">
        <f>_xlfn.XLOOKUP(Jnl[[#This Row],[IncNode]], config_IS[Node], config_IS[Type],,0)</f>
        <v>Op</v>
      </c>
      <c r="P711" t="str">
        <f>_xlfn.XLOOKUP(Jnl[[#This Row],[BSLv2]], dict[Key], dict[Name],,0)</f>
        <v>0.现金及类似</v>
      </c>
      <c r="Q711" t="str">
        <f>_xlfn.XLOOKUP(Jnl[[#This Row],[Acct]], dict[Key], dict[Name],,0)</f>
        <v>银行</v>
      </c>
      <c r="R711" t="str">
        <f>_xlfn.XLOOKUP(Jnl[[#This Row],[Vehicle]],config_vehicle[Id], config_vehicle[Name],,0)</f>
        <v>远家文化</v>
      </c>
      <c r="S711" t="str">
        <f>_xlfn.XLOOKUP(Jnl[[#This Row],[Division]],config_div[Id], config_div[Name],,0)</f>
        <v>明月村</v>
      </c>
      <c r="T711" t="str">
        <f>IF(Jnl[[#This Row],[TrxDate]]&lt;=stmt_BS_date_end, "In", "Out")</f>
        <v>In</v>
      </c>
      <c r="U711" t="str">
        <f>IF(Jnl[[#This Row],[TrxDate]]&lt;debug_date_start, "prior", IF(Jnl[[#This Row],[TrxDate]]&gt;debug_date_end, "post", "curr"))</f>
        <v>prior</v>
      </c>
    </row>
    <row r="712" spans="1:21">
      <c r="A712" s="11" t="s">
        <v>1161</v>
      </c>
      <c r="B712" s="7">
        <f>_xlfn.XLOOKUP(Jnl[[#This Row],[TrxId]], Trx[Id], Trx[Date],,0)</f>
        <v>46053</v>
      </c>
      <c r="C712" s="7" t="str">
        <f>_xlfn.XLOOKUP(Jnl[[#This Row],[TrxId]], Trx[Id], Trx[Division],,0)</f>
        <v>MY</v>
      </c>
      <c r="D712" s="7" t="str">
        <f>_xlfn.XLOOKUP(Jnl[[#This Row],[TrxId]], Trx[Id], Trx[Action],,0)</f>
        <v>收款</v>
      </c>
      <c r="E712" s="26" t="s">
        <v>83</v>
      </c>
      <c r="F712" s="11" t="s">
        <v>593</v>
      </c>
      <c r="G712" s="11" t="s">
        <v>1130</v>
      </c>
      <c r="H712" s="72">
        <v>-3394.82</v>
      </c>
      <c r="I712" s="5" t="b">
        <f>AND(Jnl[[#This Row],[TrxId]]&lt;&gt;"",Jnl[[#This Row],[Acct]]&lt;&gt;"",Jnl[[#This Row],[Item]]&lt;&gt;"",ISNUMBER(Jnl[[#This Row],[Bal]]))</f>
        <v>1</v>
      </c>
      <c r="J712" s="10">
        <f>IF(Jnl[[#This Row],[BSLv0]]="A",1,-1)*Jnl[[#This Row],[Bal]]</f>
        <v>-3394.82</v>
      </c>
      <c r="K712" t="str">
        <f>_xlfn.XLOOKUP(Jnl[[#This Row],[Acct]], config_BS[Acct], config_BS[Lv0],,0)</f>
        <v>A</v>
      </c>
      <c r="L712" t="str">
        <f>_xlfn.XLOOKUP(Jnl[[#This Row],[Acct]], config_BS[Acct], config_BS[Lv1],,0)</f>
        <v>Assets</v>
      </c>
      <c r="M712" t="str">
        <f>_xlfn.XLOOKUP(Jnl[[#This Row],[Acct]], config_BS[Acct], config_BS[Lv2],,0)</f>
        <v>Rec-Pay</v>
      </c>
      <c r="N712" t="str">
        <f>_xlfn.XLOOKUP(Jnl[[#This Row],[TrxId]], Trx[Id], Trx[IncNode], ,0)</f>
        <v>Revenue</v>
      </c>
      <c r="O712" t="str">
        <f>_xlfn.XLOOKUP(Jnl[[#This Row],[IncNode]], config_IS[Node], config_IS[Type],,0)</f>
        <v>Op</v>
      </c>
      <c r="P712" t="str">
        <f>_xlfn.XLOOKUP(Jnl[[#This Row],[BSLv2]], dict[Key], dict[Name],,0)</f>
        <v>1.应收-应付</v>
      </c>
      <c r="Q712" t="str">
        <f>_xlfn.XLOOKUP(Jnl[[#This Row],[Acct]], dict[Key], dict[Name],,0)</f>
        <v>应收-一般</v>
      </c>
      <c r="R712" t="str">
        <f>_xlfn.XLOOKUP(Jnl[[#This Row],[Vehicle]],config_vehicle[Id], config_vehicle[Name],,0)</f>
        <v>远家文化</v>
      </c>
      <c r="S712" t="str">
        <f>_xlfn.XLOOKUP(Jnl[[#This Row],[Division]],config_div[Id], config_div[Name],,0)</f>
        <v>明月村</v>
      </c>
      <c r="T712" t="str">
        <f>IF(Jnl[[#This Row],[TrxDate]]&lt;=stmt_BS_date_end, "In", "Out")</f>
        <v>In</v>
      </c>
      <c r="U712" t="str">
        <f>IF(Jnl[[#This Row],[TrxDate]]&lt;debug_date_start, "prior", IF(Jnl[[#This Row],[TrxDate]]&gt;debug_date_end, "post", "curr"))</f>
        <v>prior</v>
      </c>
    </row>
    <row r="713" spans="1:21">
      <c r="A713" s="11" t="s">
        <v>1162</v>
      </c>
      <c r="B713" s="7">
        <f>_xlfn.XLOOKUP(Jnl[[#This Row],[TrxId]], Trx[Id], Trx[Date],,0)</f>
        <v>46053</v>
      </c>
      <c r="C713" s="7" t="str">
        <f>_xlfn.XLOOKUP(Jnl[[#This Row],[TrxId]], Trx[Id], Trx[Division],,0)</f>
        <v>MY</v>
      </c>
      <c r="D713" s="7" t="str">
        <f>_xlfn.XLOOKUP(Jnl[[#This Row],[TrxId]], Trx[Id], Trx[Action],,0)</f>
        <v>收款</v>
      </c>
      <c r="E713" s="26" t="s">
        <v>83</v>
      </c>
      <c r="F713" s="11" t="s">
        <v>590</v>
      </c>
      <c r="G713" s="11" t="s">
        <v>846</v>
      </c>
      <c r="H713" s="72">
        <v>9243</v>
      </c>
      <c r="I713" s="5" t="b">
        <f>AND(Jnl[[#This Row],[TrxId]]&lt;&gt;"",Jnl[[#This Row],[Acct]]&lt;&gt;"",Jnl[[#This Row],[Item]]&lt;&gt;"",ISNUMBER(Jnl[[#This Row],[Bal]]))</f>
        <v>1</v>
      </c>
      <c r="J713" s="10">
        <f>IF(Jnl[[#This Row],[BSLv0]]="A",1,-1)*Jnl[[#This Row],[Bal]]</f>
        <v>9243</v>
      </c>
      <c r="K713" t="str">
        <f>_xlfn.XLOOKUP(Jnl[[#This Row],[Acct]], config_BS[Acct], config_BS[Lv0],,0)</f>
        <v>A</v>
      </c>
      <c r="L713" t="str">
        <f>_xlfn.XLOOKUP(Jnl[[#This Row],[Acct]], config_BS[Acct], config_BS[Lv1],,0)</f>
        <v>Assets</v>
      </c>
      <c r="M713" t="str">
        <f>_xlfn.XLOOKUP(Jnl[[#This Row],[Acct]], config_BS[Acct], config_BS[Lv2],,0)</f>
        <v>Cash alike</v>
      </c>
      <c r="N713" t="str">
        <f>_xlfn.XLOOKUP(Jnl[[#This Row],[TrxId]], Trx[Id], Trx[IncNode], ,0)</f>
        <v>Revenue</v>
      </c>
      <c r="O713" t="str">
        <f>_xlfn.XLOOKUP(Jnl[[#This Row],[IncNode]], config_IS[Node], config_IS[Type],,0)</f>
        <v>Op</v>
      </c>
      <c r="P713" t="str">
        <f>_xlfn.XLOOKUP(Jnl[[#This Row],[BSLv2]], dict[Key], dict[Name],,0)</f>
        <v>0.现金及类似</v>
      </c>
      <c r="Q713" t="str">
        <f>_xlfn.XLOOKUP(Jnl[[#This Row],[Acct]], dict[Key], dict[Name],,0)</f>
        <v>银行</v>
      </c>
      <c r="R713" t="str">
        <f>_xlfn.XLOOKUP(Jnl[[#This Row],[Vehicle]],config_vehicle[Id], config_vehicle[Name],,0)</f>
        <v>远家文化</v>
      </c>
      <c r="S713" t="str">
        <f>_xlfn.XLOOKUP(Jnl[[#This Row],[Division]],config_div[Id], config_div[Name],,0)</f>
        <v>明月村</v>
      </c>
      <c r="T713" t="str">
        <f>IF(Jnl[[#This Row],[TrxDate]]&lt;=stmt_BS_date_end, "In", "Out")</f>
        <v>In</v>
      </c>
      <c r="U713" t="str">
        <f>IF(Jnl[[#This Row],[TrxDate]]&lt;debug_date_start, "prior", IF(Jnl[[#This Row],[TrxDate]]&gt;debug_date_end, "post", "curr"))</f>
        <v>prior</v>
      </c>
    </row>
    <row r="714" spans="1:21">
      <c r="A714" s="11" t="s">
        <v>1162</v>
      </c>
      <c r="B714" s="7">
        <f>_xlfn.XLOOKUP(Jnl[[#This Row],[TrxId]], Trx[Id], Trx[Date],,0)</f>
        <v>46053</v>
      </c>
      <c r="C714" s="7" t="str">
        <f>_xlfn.XLOOKUP(Jnl[[#This Row],[TrxId]], Trx[Id], Trx[Division],,0)</f>
        <v>MY</v>
      </c>
      <c r="D714" s="7" t="str">
        <f>_xlfn.XLOOKUP(Jnl[[#This Row],[TrxId]], Trx[Id], Trx[Action],,0)</f>
        <v>收款</v>
      </c>
      <c r="E714" s="26" t="s">
        <v>83</v>
      </c>
      <c r="F714" s="11" t="s">
        <v>593</v>
      </c>
      <c r="G714" s="11" t="s">
        <v>965</v>
      </c>
      <c r="H714" s="72">
        <v>-9243</v>
      </c>
      <c r="I714" s="5" t="b">
        <f>AND(Jnl[[#This Row],[TrxId]]&lt;&gt;"",Jnl[[#This Row],[Acct]]&lt;&gt;"",Jnl[[#This Row],[Item]]&lt;&gt;"",ISNUMBER(Jnl[[#This Row],[Bal]]))</f>
        <v>1</v>
      </c>
      <c r="J714" s="10">
        <f>IF(Jnl[[#This Row],[BSLv0]]="A",1,-1)*Jnl[[#This Row],[Bal]]</f>
        <v>-9243</v>
      </c>
      <c r="K714" t="str">
        <f>_xlfn.XLOOKUP(Jnl[[#This Row],[Acct]], config_BS[Acct], config_BS[Lv0],,0)</f>
        <v>A</v>
      </c>
      <c r="L714" t="str">
        <f>_xlfn.XLOOKUP(Jnl[[#This Row],[Acct]], config_BS[Acct], config_BS[Lv1],,0)</f>
        <v>Assets</v>
      </c>
      <c r="M714" t="str">
        <f>_xlfn.XLOOKUP(Jnl[[#This Row],[Acct]], config_BS[Acct], config_BS[Lv2],,0)</f>
        <v>Rec-Pay</v>
      </c>
      <c r="N714" t="str">
        <f>_xlfn.XLOOKUP(Jnl[[#This Row],[TrxId]], Trx[Id], Trx[IncNode], ,0)</f>
        <v>Revenue</v>
      </c>
      <c r="O714" t="str">
        <f>_xlfn.XLOOKUP(Jnl[[#This Row],[IncNode]], config_IS[Node], config_IS[Type],,0)</f>
        <v>Op</v>
      </c>
      <c r="P714" t="str">
        <f>_xlfn.XLOOKUP(Jnl[[#This Row],[BSLv2]], dict[Key], dict[Name],,0)</f>
        <v>1.应收-应付</v>
      </c>
      <c r="Q714" t="str">
        <f>_xlfn.XLOOKUP(Jnl[[#This Row],[Acct]], dict[Key], dict[Name],,0)</f>
        <v>应收-一般</v>
      </c>
      <c r="R714" t="str">
        <f>_xlfn.XLOOKUP(Jnl[[#This Row],[Vehicle]],config_vehicle[Id], config_vehicle[Name],,0)</f>
        <v>远家文化</v>
      </c>
      <c r="S714" t="str">
        <f>_xlfn.XLOOKUP(Jnl[[#This Row],[Division]],config_div[Id], config_div[Name],,0)</f>
        <v>明月村</v>
      </c>
      <c r="T714" t="str">
        <f>IF(Jnl[[#This Row],[TrxDate]]&lt;=stmt_BS_date_end, "In", "Out")</f>
        <v>In</v>
      </c>
      <c r="U714" t="str">
        <f>IF(Jnl[[#This Row],[TrxDate]]&lt;debug_date_start, "prior", IF(Jnl[[#This Row],[TrxDate]]&gt;debug_date_end, "post", "curr"))</f>
        <v>prior</v>
      </c>
    </row>
    <row r="715" spans="1:21">
      <c r="A715" s="11" t="s">
        <v>1163</v>
      </c>
      <c r="B715" s="7">
        <f>_xlfn.XLOOKUP(Jnl[[#This Row],[TrxId]], Trx[Id], Trx[Date],,0)</f>
        <v>46053</v>
      </c>
      <c r="C715" s="7" t="str">
        <f>_xlfn.XLOOKUP(Jnl[[#This Row],[TrxId]], Trx[Id], Trx[Division],,0)</f>
        <v>MY</v>
      </c>
      <c r="D715" s="7" t="str">
        <f>_xlfn.XLOOKUP(Jnl[[#This Row],[TrxId]], Trx[Id], Trx[Action],,0)</f>
        <v>支付</v>
      </c>
      <c r="E715" s="26" t="s">
        <v>83</v>
      </c>
      <c r="F715" s="11" t="s">
        <v>127</v>
      </c>
      <c r="G715" s="11" t="s">
        <v>343</v>
      </c>
      <c r="H715" s="72">
        <f>H716</f>
        <v>-545.98</v>
      </c>
      <c r="I715" s="5" t="b">
        <f>AND(Jnl[[#This Row],[TrxId]]&lt;&gt;"",Jnl[[#This Row],[Acct]]&lt;&gt;"",Jnl[[#This Row],[Item]]&lt;&gt;"",ISNUMBER(Jnl[[#This Row],[Bal]]))</f>
        <v>1</v>
      </c>
      <c r="J715" s="10">
        <f>IF(Jnl[[#This Row],[BSLv0]]="A",1,-1)*Jnl[[#This Row],[Bal]]</f>
        <v>545.98</v>
      </c>
      <c r="K715" t="str">
        <f>_xlfn.XLOOKUP(Jnl[[#This Row],[Acct]], config_BS[Acct], config_BS[Lv0],,0)</f>
        <v>LC</v>
      </c>
      <c r="L715" t="str">
        <f>_xlfn.XLOOKUP(Jnl[[#This Row],[Acct]], config_BS[Acct], config_BS[Lv1],,0)</f>
        <v>Liability</v>
      </c>
      <c r="M715" t="str">
        <f>_xlfn.XLOOKUP(Jnl[[#This Row],[Acct]], config_BS[Acct], config_BS[Lv2],,0)</f>
        <v>Rec-Pay</v>
      </c>
      <c r="N715" t="str">
        <f>_xlfn.XLOOKUP(Jnl[[#This Row],[TrxId]], Trx[Id], Trx[IncNode], ,0)</f>
        <v>Expense</v>
      </c>
      <c r="O715" t="str">
        <f>_xlfn.XLOOKUP(Jnl[[#This Row],[IncNode]], config_IS[Node], config_IS[Type],,0)</f>
        <v>Op</v>
      </c>
      <c r="P715" t="str">
        <f>_xlfn.XLOOKUP(Jnl[[#This Row],[BSLv2]], dict[Key], dict[Name],,0)</f>
        <v>1.应收-应付</v>
      </c>
      <c r="Q715" t="str">
        <f>_xlfn.XLOOKUP(Jnl[[#This Row],[Acct]], dict[Key], dict[Name],,0)</f>
        <v>应付-税款</v>
      </c>
      <c r="R715" t="str">
        <f>_xlfn.XLOOKUP(Jnl[[#This Row],[Vehicle]],config_vehicle[Id], config_vehicle[Name],,0)</f>
        <v>远家文化</v>
      </c>
      <c r="S715" t="str">
        <f>_xlfn.XLOOKUP(Jnl[[#This Row],[Division]],config_div[Id], config_div[Name],,0)</f>
        <v>明月村</v>
      </c>
      <c r="T715" t="str">
        <f>IF(Jnl[[#This Row],[TrxDate]]&lt;=stmt_BS_date_end, "In", "Out")</f>
        <v>In</v>
      </c>
      <c r="U715" t="str">
        <f>IF(Jnl[[#This Row],[TrxDate]]&lt;debug_date_start, "prior", IF(Jnl[[#This Row],[TrxDate]]&gt;debug_date_end, "post", "curr"))</f>
        <v>prior</v>
      </c>
    </row>
    <row r="716" spans="1:21">
      <c r="A716" s="11" t="s">
        <v>1163</v>
      </c>
      <c r="B716" s="7">
        <f>_xlfn.XLOOKUP(Jnl[[#This Row],[TrxId]], Trx[Id], Trx[Date],,0)</f>
        <v>46053</v>
      </c>
      <c r="C716" s="7" t="str">
        <f>_xlfn.XLOOKUP(Jnl[[#This Row],[TrxId]], Trx[Id], Trx[Division],,0)</f>
        <v>MY</v>
      </c>
      <c r="D716" s="7" t="str">
        <f>_xlfn.XLOOKUP(Jnl[[#This Row],[TrxId]], Trx[Id], Trx[Action],,0)</f>
        <v>支付</v>
      </c>
      <c r="E716" s="26" t="s">
        <v>83</v>
      </c>
      <c r="F716" s="11" t="s">
        <v>590</v>
      </c>
      <c r="G716" s="11" t="s">
        <v>846</v>
      </c>
      <c r="H716" s="72">
        <v>-545.98</v>
      </c>
      <c r="I716" s="5" t="b">
        <f>AND(Jnl[[#This Row],[TrxId]]&lt;&gt;"",Jnl[[#This Row],[Acct]]&lt;&gt;"",Jnl[[#This Row],[Item]]&lt;&gt;"",ISNUMBER(Jnl[[#This Row],[Bal]]))</f>
        <v>1</v>
      </c>
      <c r="J716" s="10">
        <f>IF(Jnl[[#This Row],[BSLv0]]="A",1,-1)*Jnl[[#This Row],[Bal]]</f>
        <v>-545.98</v>
      </c>
      <c r="K716" t="str">
        <f>_xlfn.XLOOKUP(Jnl[[#This Row],[Acct]], config_BS[Acct], config_BS[Lv0],,0)</f>
        <v>A</v>
      </c>
      <c r="L716" t="str">
        <f>_xlfn.XLOOKUP(Jnl[[#This Row],[Acct]], config_BS[Acct], config_BS[Lv1],,0)</f>
        <v>Assets</v>
      </c>
      <c r="M716" t="str">
        <f>_xlfn.XLOOKUP(Jnl[[#This Row],[Acct]], config_BS[Acct], config_BS[Lv2],,0)</f>
        <v>Cash alike</v>
      </c>
      <c r="N716" t="str">
        <f>_xlfn.XLOOKUP(Jnl[[#This Row],[TrxId]], Trx[Id], Trx[IncNode], ,0)</f>
        <v>Expense</v>
      </c>
      <c r="O716" t="str">
        <f>_xlfn.XLOOKUP(Jnl[[#This Row],[IncNode]], config_IS[Node], config_IS[Type],,0)</f>
        <v>Op</v>
      </c>
      <c r="P716" t="str">
        <f>_xlfn.XLOOKUP(Jnl[[#This Row],[BSLv2]], dict[Key], dict[Name],,0)</f>
        <v>0.现金及类似</v>
      </c>
      <c r="Q716" t="str">
        <f>_xlfn.XLOOKUP(Jnl[[#This Row],[Acct]], dict[Key], dict[Name],,0)</f>
        <v>银行</v>
      </c>
      <c r="R716" t="str">
        <f>_xlfn.XLOOKUP(Jnl[[#This Row],[Vehicle]],config_vehicle[Id], config_vehicle[Name],,0)</f>
        <v>远家文化</v>
      </c>
      <c r="S716" t="str">
        <f>_xlfn.XLOOKUP(Jnl[[#This Row],[Division]],config_div[Id], config_div[Name],,0)</f>
        <v>明月村</v>
      </c>
      <c r="T716" t="str">
        <f>IF(Jnl[[#This Row],[TrxDate]]&lt;=stmt_BS_date_end, "In", "Out")</f>
        <v>In</v>
      </c>
      <c r="U716" t="str">
        <f>IF(Jnl[[#This Row],[TrxDate]]&lt;debug_date_start, "prior", IF(Jnl[[#This Row],[TrxDate]]&gt;debug_date_end, "post", "curr"))</f>
        <v>prior</v>
      </c>
    </row>
    <row r="717" spans="1:21">
      <c r="A717" s="11" t="s">
        <v>1164</v>
      </c>
      <c r="B717" s="7">
        <f>_xlfn.XLOOKUP(Jnl[[#This Row],[TrxId]], Trx[Id], Trx[Date],,0)</f>
        <v>46053</v>
      </c>
      <c r="C717" s="7" t="str">
        <f>_xlfn.XLOOKUP(Jnl[[#This Row],[TrxId]], Trx[Id], Trx[Division],,0)</f>
        <v>MY</v>
      </c>
      <c r="D717" s="7" t="str">
        <f>_xlfn.XLOOKUP(Jnl[[#This Row],[TrxId]], Trx[Id], Trx[Action],,0)</f>
        <v>退款-供应商</v>
      </c>
      <c r="E717" s="26" t="s">
        <v>83</v>
      </c>
      <c r="F717" s="11" t="s">
        <v>590</v>
      </c>
      <c r="G717" s="11" t="s">
        <v>846</v>
      </c>
      <c r="H717" s="72">
        <v>1320</v>
      </c>
      <c r="I717" s="5" t="b">
        <f>AND(Jnl[[#This Row],[TrxId]]&lt;&gt;"",Jnl[[#This Row],[Acct]]&lt;&gt;"",Jnl[[#This Row],[Item]]&lt;&gt;"",ISNUMBER(Jnl[[#This Row],[Bal]]))</f>
        <v>1</v>
      </c>
      <c r="J717" s="10">
        <f>IF(Jnl[[#This Row],[BSLv0]]="A",1,-1)*Jnl[[#This Row],[Bal]]</f>
        <v>1320</v>
      </c>
      <c r="K717" t="str">
        <f>_xlfn.XLOOKUP(Jnl[[#This Row],[Acct]], config_BS[Acct], config_BS[Lv0],,0)</f>
        <v>A</v>
      </c>
      <c r="L717" t="str">
        <f>_xlfn.XLOOKUP(Jnl[[#This Row],[Acct]], config_BS[Acct], config_BS[Lv1],,0)</f>
        <v>Assets</v>
      </c>
      <c r="M717" t="str">
        <f>_xlfn.XLOOKUP(Jnl[[#This Row],[Acct]], config_BS[Acct], config_BS[Lv2],,0)</f>
        <v>Cash alike</v>
      </c>
      <c r="N717" t="str">
        <f>_xlfn.XLOOKUP(Jnl[[#This Row],[TrxId]], Trx[Id], Trx[IncNode], ,0)</f>
        <v>Cost</v>
      </c>
      <c r="O717" t="str">
        <f>_xlfn.XLOOKUP(Jnl[[#This Row],[IncNode]], config_IS[Node], config_IS[Type],,0)</f>
        <v>Op</v>
      </c>
      <c r="P717" t="str">
        <f>_xlfn.XLOOKUP(Jnl[[#This Row],[BSLv2]], dict[Key], dict[Name],,0)</f>
        <v>0.现金及类似</v>
      </c>
      <c r="Q717" t="str">
        <f>_xlfn.XLOOKUP(Jnl[[#This Row],[Acct]], dict[Key], dict[Name],,0)</f>
        <v>银行</v>
      </c>
      <c r="R717" t="str">
        <f>_xlfn.XLOOKUP(Jnl[[#This Row],[Vehicle]],config_vehicle[Id], config_vehicle[Name],,0)</f>
        <v>远家文化</v>
      </c>
      <c r="S717" t="str">
        <f>_xlfn.XLOOKUP(Jnl[[#This Row],[Division]],config_div[Id], config_div[Name],,0)</f>
        <v>明月村</v>
      </c>
      <c r="T717" t="str">
        <f>IF(Jnl[[#This Row],[TrxDate]]&lt;=stmt_BS_date_end, "In", "Out")</f>
        <v>In</v>
      </c>
      <c r="U717" t="str">
        <f>IF(Jnl[[#This Row],[TrxDate]]&lt;debug_date_start, "prior", IF(Jnl[[#This Row],[TrxDate]]&gt;debug_date_end, "post", "curr"))</f>
        <v>prior</v>
      </c>
    </row>
    <row r="718" spans="1:21">
      <c r="A718" s="11" t="s">
        <v>1165</v>
      </c>
      <c r="B718" s="7">
        <f>_xlfn.XLOOKUP(Jnl[[#This Row],[TrxId]], Trx[Id], Trx[Date],,0)</f>
        <v>46053</v>
      </c>
      <c r="C718" s="7" t="str">
        <f>_xlfn.XLOOKUP(Jnl[[#This Row],[TrxId]], Trx[Id], Trx[Division],,0)</f>
        <v>GM</v>
      </c>
      <c r="D718" s="7" t="str">
        <f>_xlfn.XLOOKUP(Jnl[[#This Row],[TrxId]], Trx[Id], Trx[Action],,0)</f>
        <v>薪酬-社保</v>
      </c>
      <c r="E718" s="26" t="s">
        <v>83</v>
      </c>
      <c r="F718" s="11" t="s">
        <v>590</v>
      </c>
      <c r="G718" s="11" t="s">
        <v>846</v>
      </c>
      <c r="H718" s="72">
        <v>-16287.4</v>
      </c>
      <c r="I718" s="5" t="b">
        <f>AND(Jnl[[#This Row],[TrxId]]&lt;&gt;"",Jnl[[#This Row],[Acct]]&lt;&gt;"",Jnl[[#This Row],[Item]]&lt;&gt;"",ISNUMBER(Jnl[[#This Row],[Bal]]))</f>
        <v>1</v>
      </c>
      <c r="J718" s="10">
        <f>IF(Jnl[[#This Row],[BSLv0]]="A",1,-1)*Jnl[[#This Row],[Bal]]</f>
        <v>-16287.4</v>
      </c>
      <c r="K718" t="str">
        <f>_xlfn.XLOOKUP(Jnl[[#This Row],[Acct]], config_BS[Acct], config_BS[Lv0],,0)</f>
        <v>A</v>
      </c>
      <c r="L718" t="str">
        <f>_xlfn.XLOOKUP(Jnl[[#This Row],[Acct]], config_BS[Acct], config_BS[Lv1],,0)</f>
        <v>Assets</v>
      </c>
      <c r="M718" t="str">
        <f>_xlfn.XLOOKUP(Jnl[[#This Row],[Acct]], config_BS[Acct], config_BS[Lv2],,0)</f>
        <v>Cash alike</v>
      </c>
      <c r="N718" t="str">
        <f>_xlfn.XLOOKUP(Jnl[[#This Row],[TrxId]], Trx[Id], Trx[IncNode], ,0)</f>
        <v>Expense</v>
      </c>
      <c r="O718" t="str">
        <f>_xlfn.XLOOKUP(Jnl[[#This Row],[IncNode]], config_IS[Node], config_IS[Type],,0)</f>
        <v>Op</v>
      </c>
      <c r="P718" t="str">
        <f>_xlfn.XLOOKUP(Jnl[[#This Row],[BSLv2]], dict[Key], dict[Name],,0)</f>
        <v>0.现金及类似</v>
      </c>
      <c r="Q718" t="str">
        <f>_xlfn.XLOOKUP(Jnl[[#This Row],[Acct]], dict[Key], dict[Name],,0)</f>
        <v>银行</v>
      </c>
      <c r="R718" t="str">
        <f>_xlfn.XLOOKUP(Jnl[[#This Row],[Vehicle]],config_vehicle[Id], config_vehicle[Name],,0)</f>
        <v>远家文化</v>
      </c>
      <c r="S718" t="str">
        <f>_xlfn.XLOOKUP(Jnl[[#This Row],[Division]],config_div[Id], config_div[Name],,0)</f>
        <v>综合管理</v>
      </c>
      <c r="T718" t="str">
        <f>IF(Jnl[[#This Row],[TrxDate]]&lt;=stmt_BS_date_end, "In", "Out")</f>
        <v>In</v>
      </c>
      <c r="U718" t="str">
        <f>IF(Jnl[[#This Row],[TrxDate]]&lt;debug_date_start, "prior", IF(Jnl[[#This Row],[TrxDate]]&gt;debug_date_end, "post", "curr"))</f>
        <v>prior</v>
      </c>
    </row>
    <row r="719" spans="1:21">
      <c r="A719" s="11" t="s">
        <v>1166</v>
      </c>
      <c r="B719" s="7">
        <f>_xlfn.XLOOKUP(Jnl[[#This Row],[TrxId]], Trx[Id], Trx[Date],,0)</f>
        <v>46053</v>
      </c>
      <c r="C719" s="7" t="str">
        <f>_xlfn.XLOOKUP(Jnl[[#This Row],[TrxId]], Trx[Id], Trx[Division],,0)</f>
        <v>MY</v>
      </c>
      <c r="D719" s="7" t="str">
        <f>_xlfn.XLOOKUP(Jnl[[#This Row],[TrxId]], Trx[Id], Trx[Action],,0)</f>
        <v>支付</v>
      </c>
      <c r="E719" s="26" t="s">
        <v>83</v>
      </c>
      <c r="F719" s="11" t="s">
        <v>590</v>
      </c>
      <c r="G719" s="11" t="s">
        <v>846</v>
      </c>
      <c r="H719" s="72">
        <v>-56630.96</v>
      </c>
      <c r="I719" s="5" t="b">
        <f>AND(Jnl[[#This Row],[TrxId]]&lt;&gt;"",Jnl[[#This Row],[Acct]]&lt;&gt;"",Jnl[[#This Row],[Item]]&lt;&gt;"",ISNUMBER(Jnl[[#This Row],[Bal]]))</f>
        <v>1</v>
      </c>
      <c r="J719" s="10">
        <f>IF(Jnl[[#This Row],[BSLv0]]="A",1,-1)*Jnl[[#This Row],[Bal]]</f>
        <v>-56630.96</v>
      </c>
      <c r="K719" t="str">
        <f>_xlfn.XLOOKUP(Jnl[[#This Row],[Acct]], config_BS[Acct], config_BS[Lv0],,0)</f>
        <v>A</v>
      </c>
      <c r="L719" t="str">
        <f>_xlfn.XLOOKUP(Jnl[[#This Row],[Acct]], config_BS[Acct], config_BS[Lv1],,0)</f>
        <v>Assets</v>
      </c>
      <c r="M719" t="str">
        <f>_xlfn.XLOOKUP(Jnl[[#This Row],[Acct]], config_BS[Acct], config_BS[Lv2],,0)</f>
        <v>Cash alike</v>
      </c>
      <c r="N719" t="str">
        <f>_xlfn.XLOOKUP(Jnl[[#This Row],[TrxId]], Trx[Id], Trx[IncNode], ,0)</f>
        <v>Expense</v>
      </c>
      <c r="O719" t="str">
        <f>_xlfn.XLOOKUP(Jnl[[#This Row],[IncNode]], config_IS[Node], config_IS[Type],,0)</f>
        <v>Op</v>
      </c>
      <c r="P719" t="str">
        <f>_xlfn.XLOOKUP(Jnl[[#This Row],[BSLv2]], dict[Key], dict[Name],,0)</f>
        <v>0.现金及类似</v>
      </c>
      <c r="Q719" t="str">
        <f>_xlfn.XLOOKUP(Jnl[[#This Row],[Acct]], dict[Key], dict[Name],,0)</f>
        <v>银行</v>
      </c>
      <c r="R719" t="str">
        <f>_xlfn.XLOOKUP(Jnl[[#This Row],[Vehicle]],config_vehicle[Id], config_vehicle[Name],,0)</f>
        <v>远家文化</v>
      </c>
      <c r="S719" t="str">
        <f>_xlfn.XLOOKUP(Jnl[[#This Row],[Division]],config_div[Id], config_div[Name],,0)</f>
        <v>明月村</v>
      </c>
      <c r="T719" t="str">
        <f>IF(Jnl[[#This Row],[TrxDate]]&lt;=stmt_BS_date_end, "In", "Out")</f>
        <v>In</v>
      </c>
      <c r="U719" t="str">
        <f>IF(Jnl[[#This Row],[TrxDate]]&lt;debug_date_start, "prior", IF(Jnl[[#This Row],[TrxDate]]&gt;debug_date_end, "post", "curr"))</f>
        <v>prior</v>
      </c>
    </row>
    <row r="720" spans="1:21">
      <c r="A720" s="11" t="s">
        <v>1166</v>
      </c>
      <c r="B720" s="7">
        <f>_xlfn.XLOOKUP(Jnl[[#This Row],[TrxId]], Trx[Id], Trx[Date],,0)</f>
        <v>46053</v>
      </c>
      <c r="C720" s="7" t="str">
        <f>_xlfn.XLOOKUP(Jnl[[#This Row],[TrxId]], Trx[Id], Trx[Division],,0)</f>
        <v>MY</v>
      </c>
      <c r="D720" s="7" t="str">
        <f>_xlfn.XLOOKUP(Jnl[[#This Row],[TrxId]], Trx[Id], Trx[Action],,0)</f>
        <v>支付</v>
      </c>
      <c r="E720" s="26" t="s">
        <v>83</v>
      </c>
      <c r="F720" s="11" t="s">
        <v>596</v>
      </c>
      <c r="G720" s="11" t="s">
        <v>149</v>
      </c>
      <c r="H720" s="72">
        <v>-56630.96</v>
      </c>
      <c r="I720" s="5" t="b">
        <f>AND(Jnl[[#This Row],[TrxId]]&lt;&gt;"",Jnl[[#This Row],[Acct]]&lt;&gt;"",Jnl[[#This Row],[Item]]&lt;&gt;"",ISNUMBER(Jnl[[#This Row],[Bal]]))</f>
        <v>1</v>
      </c>
      <c r="J720" s="10">
        <f>IF(Jnl[[#This Row],[BSLv0]]="A",1,-1)*Jnl[[#This Row],[Bal]]</f>
        <v>56630.96</v>
      </c>
      <c r="K720" t="str">
        <f>_xlfn.XLOOKUP(Jnl[[#This Row],[Acct]], config_BS[Acct], config_BS[Lv0],,0)</f>
        <v>LC</v>
      </c>
      <c r="L720" t="str">
        <f>_xlfn.XLOOKUP(Jnl[[#This Row],[Acct]], config_BS[Acct], config_BS[Lv1],,0)</f>
        <v>Liability</v>
      </c>
      <c r="M720" t="str">
        <f>_xlfn.XLOOKUP(Jnl[[#This Row],[Acct]], config_BS[Acct], config_BS[Lv2],,0)</f>
        <v>Rec-Pay</v>
      </c>
      <c r="N720" t="str">
        <f>_xlfn.XLOOKUP(Jnl[[#This Row],[TrxId]], Trx[Id], Trx[IncNode], ,0)</f>
        <v>Expense</v>
      </c>
      <c r="O720" t="str">
        <f>_xlfn.XLOOKUP(Jnl[[#This Row],[IncNode]], config_IS[Node], config_IS[Type],,0)</f>
        <v>Op</v>
      </c>
      <c r="P720" t="str">
        <f>_xlfn.XLOOKUP(Jnl[[#This Row],[BSLv2]], dict[Key], dict[Name],,0)</f>
        <v>1.应收-应付</v>
      </c>
      <c r="Q720" t="str">
        <f>_xlfn.XLOOKUP(Jnl[[#This Row],[Acct]], dict[Key], dict[Name],,0)</f>
        <v>应付-薪资</v>
      </c>
      <c r="R720" t="str">
        <f>_xlfn.XLOOKUP(Jnl[[#This Row],[Vehicle]],config_vehicle[Id], config_vehicle[Name],,0)</f>
        <v>远家文化</v>
      </c>
      <c r="S720" t="str">
        <f>_xlfn.XLOOKUP(Jnl[[#This Row],[Division]],config_div[Id], config_div[Name],,0)</f>
        <v>明月村</v>
      </c>
      <c r="T720" t="str">
        <f>IF(Jnl[[#This Row],[TrxDate]]&lt;=stmt_BS_date_end, "In", "Out")</f>
        <v>In</v>
      </c>
      <c r="U720" t="str">
        <f>IF(Jnl[[#This Row],[TrxDate]]&lt;debug_date_start, "prior", IF(Jnl[[#This Row],[TrxDate]]&gt;debug_date_end, "post", "curr"))</f>
        <v>prior</v>
      </c>
    </row>
    <row r="721" spans="1:21">
      <c r="A721" s="11" t="s">
        <v>1167</v>
      </c>
      <c r="B721" s="7">
        <f>_xlfn.XLOOKUP(Jnl[[#This Row],[TrxId]], Trx[Id], Trx[Date],,0)</f>
        <v>46053</v>
      </c>
      <c r="C721" s="7" t="str">
        <f>_xlfn.XLOOKUP(Jnl[[#This Row],[TrxId]], Trx[Id], Trx[Division],,0)</f>
        <v>MY</v>
      </c>
      <c r="D721" s="7" t="str">
        <f>_xlfn.XLOOKUP(Jnl[[#This Row],[TrxId]], Trx[Id], Trx[Action],,0)</f>
        <v>布草</v>
      </c>
      <c r="E721" s="26" t="s">
        <v>83</v>
      </c>
      <c r="F721" s="11" t="s">
        <v>590</v>
      </c>
      <c r="G721" s="11" t="s">
        <v>846</v>
      </c>
      <c r="H721" s="72">
        <v>-1767.4</v>
      </c>
      <c r="I721" s="5" t="b">
        <f>AND(Jnl[[#This Row],[TrxId]]&lt;&gt;"",Jnl[[#This Row],[Acct]]&lt;&gt;"",Jnl[[#This Row],[Item]]&lt;&gt;"",ISNUMBER(Jnl[[#This Row],[Bal]]))</f>
        <v>1</v>
      </c>
      <c r="J721" s="10">
        <f>IF(Jnl[[#This Row],[BSLv0]]="A",1,-1)*Jnl[[#This Row],[Bal]]</f>
        <v>-1767.4</v>
      </c>
      <c r="K721" t="str">
        <f>_xlfn.XLOOKUP(Jnl[[#This Row],[Acct]], config_BS[Acct], config_BS[Lv0],,0)</f>
        <v>A</v>
      </c>
      <c r="L721" t="str">
        <f>_xlfn.XLOOKUP(Jnl[[#This Row],[Acct]], config_BS[Acct], config_BS[Lv1],,0)</f>
        <v>Assets</v>
      </c>
      <c r="M721" t="str">
        <f>_xlfn.XLOOKUP(Jnl[[#This Row],[Acct]], config_BS[Acct], config_BS[Lv2],,0)</f>
        <v>Cash alike</v>
      </c>
      <c r="N721" t="str">
        <f>_xlfn.XLOOKUP(Jnl[[#This Row],[TrxId]], Trx[Id], Trx[IncNode], ,0)</f>
        <v>Cost</v>
      </c>
      <c r="O721" t="str">
        <f>_xlfn.XLOOKUP(Jnl[[#This Row],[IncNode]], config_IS[Node], config_IS[Type],,0)</f>
        <v>Op</v>
      </c>
      <c r="P721" t="str">
        <f>_xlfn.XLOOKUP(Jnl[[#This Row],[BSLv2]], dict[Key], dict[Name],,0)</f>
        <v>0.现金及类似</v>
      </c>
      <c r="Q721" t="str">
        <f>_xlfn.XLOOKUP(Jnl[[#This Row],[Acct]], dict[Key], dict[Name],,0)</f>
        <v>银行</v>
      </c>
      <c r="R721" t="str">
        <f>_xlfn.XLOOKUP(Jnl[[#This Row],[Vehicle]],config_vehicle[Id], config_vehicle[Name],,0)</f>
        <v>远家文化</v>
      </c>
      <c r="S721" t="str">
        <f>_xlfn.XLOOKUP(Jnl[[#This Row],[Division]],config_div[Id], config_div[Name],,0)</f>
        <v>明月村</v>
      </c>
      <c r="T721" t="str">
        <f>IF(Jnl[[#This Row],[TrxDate]]&lt;=stmt_BS_date_end, "In", "Out")</f>
        <v>In</v>
      </c>
      <c r="U721" t="str">
        <f>IF(Jnl[[#This Row],[TrxDate]]&lt;debug_date_start, "prior", IF(Jnl[[#This Row],[TrxDate]]&gt;debug_date_end, "post", "curr"))</f>
        <v>prior</v>
      </c>
    </row>
    <row r="722" spans="1:21">
      <c r="A722" s="11" t="s">
        <v>1167</v>
      </c>
      <c r="B722" s="7">
        <f>_xlfn.XLOOKUP(Jnl[[#This Row],[TrxId]], Trx[Id], Trx[Date],,0)</f>
        <v>46053</v>
      </c>
      <c r="C722" s="7" t="str">
        <f>_xlfn.XLOOKUP(Jnl[[#This Row],[TrxId]], Trx[Id], Trx[Division],,0)</f>
        <v>MY</v>
      </c>
      <c r="D722" s="7" t="str">
        <f>_xlfn.XLOOKUP(Jnl[[#This Row],[TrxId]], Trx[Id], Trx[Action],,0)</f>
        <v>布草</v>
      </c>
      <c r="E722" s="26" t="s">
        <v>83</v>
      </c>
      <c r="F722" s="11" t="s">
        <v>590</v>
      </c>
      <c r="G722" s="11" t="s">
        <v>846</v>
      </c>
      <c r="H722" s="72">
        <v>-858.8</v>
      </c>
      <c r="I722" s="5" t="b">
        <f>AND(Jnl[[#This Row],[TrxId]]&lt;&gt;"",Jnl[[#This Row],[Acct]]&lt;&gt;"",Jnl[[#This Row],[Item]]&lt;&gt;"",ISNUMBER(Jnl[[#This Row],[Bal]]))</f>
        <v>1</v>
      </c>
      <c r="J722" s="10">
        <f>IF(Jnl[[#This Row],[BSLv0]]="A",1,-1)*Jnl[[#This Row],[Bal]]</f>
        <v>-858.8</v>
      </c>
      <c r="K722" t="str">
        <f>_xlfn.XLOOKUP(Jnl[[#This Row],[Acct]], config_BS[Acct], config_BS[Lv0],,0)</f>
        <v>A</v>
      </c>
      <c r="L722" t="str">
        <f>_xlfn.XLOOKUP(Jnl[[#This Row],[Acct]], config_BS[Acct], config_BS[Lv1],,0)</f>
        <v>Assets</v>
      </c>
      <c r="M722" t="str">
        <f>_xlfn.XLOOKUP(Jnl[[#This Row],[Acct]], config_BS[Acct], config_BS[Lv2],,0)</f>
        <v>Cash alike</v>
      </c>
      <c r="N722" t="str">
        <f>_xlfn.XLOOKUP(Jnl[[#This Row],[TrxId]], Trx[Id], Trx[IncNode], ,0)</f>
        <v>Cost</v>
      </c>
      <c r="O722" t="str">
        <f>_xlfn.XLOOKUP(Jnl[[#This Row],[IncNode]], config_IS[Node], config_IS[Type],,0)</f>
        <v>Op</v>
      </c>
      <c r="P722" t="str">
        <f>_xlfn.XLOOKUP(Jnl[[#This Row],[BSLv2]], dict[Key], dict[Name],,0)</f>
        <v>0.现金及类似</v>
      </c>
      <c r="Q722" t="str">
        <f>_xlfn.XLOOKUP(Jnl[[#This Row],[Acct]], dict[Key], dict[Name],,0)</f>
        <v>银行</v>
      </c>
      <c r="R722" t="str">
        <f>_xlfn.XLOOKUP(Jnl[[#This Row],[Vehicle]],config_vehicle[Id], config_vehicle[Name],,0)</f>
        <v>远家文化</v>
      </c>
      <c r="S722" t="str">
        <f>_xlfn.XLOOKUP(Jnl[[#This Row],[Division]],config_div[Id], config_div[Name],,0)</f>
        <v>明月村</v>
      </c>
      <c r="T722" t="str">
        <f>IF(Jnl[[#This Row],[TrxDate]]&lt;=stmt_BS_date_end, "In", "Out")</f>
        <v>In</v>
      </c>
      <c r="U722" t="str">
        <f>IF(Jnl[[#This Row],[TrxDate]]&lt;debug_date_start, "prior", IF(Jnl[[#This Row],[TrxDate]]&gt;debug_date_end, "post", "curr"))</f>
        <v>prior</v>
      </c>
    </row>
    <row r="723" spans="1:21">
      <c r="A723" s="11" t="s">
        <v>1168</v>
      </c>
      <c r="B723" s="7">
        <f>_xlfn.XLOOKUP(Jnl[[#This Row],[TrxId]], Trx[Id], Trx[Date],,0)</f>
        <v>46053</v>
      </c>
      <c r="C723" s="7" t="str">
        <f>_xlfn.XLOOKUP(Jnl[[#This Row],[TrxId]], Trx[Id], Trx[Division],,0)</f>
        <v>MY</v>
      </c>
      <c r="D723" s="7" t="str">
        <f>_xlfn.XLOOKUP(Jnl[[#This Row],[TrxId]], Trx[Id], Trx[Action],,0)</f>
        <v>收款</v>
      </c>
      <c r="E723" s="26" t="s">
        <v>83</v>
      </c>
      <c r="F723" s="11" t="s">
        <v>590</v>
      </c>
      <c r="G723" s="11" t="s">
        <v>846</v>
      </c>
      <c r="H723" s="72">
        <v>443.77</v>
      </c>
      <c r="I723" s="5" t="b">
        <f>AND(Jnl[[#This Row],[TrxId]]&lt;&gt;"",Jnl[[#This Row],[Acct]]&lt;&gt;"",Jnl[[#This Row],[Item]]&lt;&gt;"",ISNUMBER(Jnl[[#This Row],[Bal]]))</f>
        <v>1</v>
      </c>
      <c r="J723" s="10">
        <f>IF(Jnl[[#This Row],[BSLv0]]="A",1,-1)*Jnl[[#This Row],[Bal]]</f>
        <v>443.77</v>
      </c>
      <c r="K723" t="str">
        <f>_xlfn.XLOOKUP(Jnl[[#This Row],[Acct]], config_BS[Acct], config_BS[Lv0],,0)</f>
        <v>A</v>
      </c>
      <c r="L723" t="str">
        <f>_xlfn.XLOOKUP(Jnl[[#This Row],[Acct]], config_BS[Acct], config_BS[Lv1],,0)</f>
        <v>Assets</v>
      </c>
      <c r="M723" t="str">
        <f>_xlfn.XLOOKUP(Jnl[[#This Row],[Acct]], config_BS[Acct], config_BS[Lv2],,0)</f>
        <v>Cash alike</v>
      </c>
      <c r="N723" t="str">
        <f>_xlfn.XLOOKUP(Jnl[[#This Row],[TrxId]], Trx[Id], Trx[IncNode], ,0)</f>
        <v>Revenue</v>
      </c>
      <c r="O723" t="str">
        <f>_xlfn.XLOOKUP(Jnl[[#This Row],[IncNode]], config_IS[Node], config_IS[Type],,0)</f>
        <v>Op</v>
      </c>
      <c r="P723" t="str">
        <f>_xlfn.XLOOKUP(Jnl[[#This Row],[BSLv2]], dict[Key], dict[Name],,0)</f>
        <v>0.现金及类似</v>
      </c>
      <c r="Q723" t="str">
        <f>_xlfn.XLOOKUP(Jnl[[#This Row],[Acct]], dict[Key], dict[Name],,0)</f>
        <v>银行</v>
      </c>
      <c r="R723" t="str">
        <f>_xlfn.XLOOKUP(Jnl[[#This Row],[Vehicle]],config_vehicle[Id], config_vehicle[Name],,0)</f>
        <v>远家文化</v>
      </c>
      <c r="S723" t="str">
        <f>_xlfn.XLOOKUP(Jnl[[#This Row],[Division]],config_div[Id], config_div[Name],,0)</f>
        <v>明月村</v>
      </c>
      <c r="T723" t="str">
        <f>IF(Jnl[[#This Row],[TrxDate]]&lt;=stmt_BS_date_end, "In", "Out")</f>
        <v>In</v>
      </c>
      <c r="U723" t="str">
        <f>IF(Jnl[[#This Row],[TrxDate]]&lt;debug_date_start, "prior", IF(Jnl[[#This Row],[TrxDate]]&gt;debug_date_end, "post", "curr"))</f>
        <v>prior</v>
      </c>
    </row>
    <row r="724" spans="1:21">
      <c r="A724" s="11" t="s">
        <v>1168</v>
      </c>
      <c r="B724" s="7">
        <f>_xlfn.XLOOKUP(Jnl[[#This Row],[TrxId]], Trx[Id], Trx[Date],,0)</f>
        <v>46053</v>
      </c>
      <c r="C724" s="7" t="str">
        <f>_xlfn.XLOOKUP(Jnl[[#This Row],[TrxId]], Trx[Id], Trx[Division],,0)</f>
        <v>MY</v>
      </c>
      <c r="D724" s="7" t="str">
        <f>_xlfn.XLOOKUP(Jnl[[#This Row],[TrxId]], Trx[Id], Trx[Action],,0)</f>
        <v>收款</v>
      </c>
      <c r="E724" s="26" t="s">
        <v>83</v>
      </c>
      <c r="F724" s="11" t="s">
        <v>593</v>
      </c>
      <c r="G724" s="11" t="s">
        <v>944</v>
      </c>
      <c r="H724" s="72">
        <v>-443.77</v>
      </c>
      <c r="I724" s="5" t="b">
        <f>AND(Jnl[[#This Row],[TrxId]]&lt;&gt;"",Jnl[[#This Row],[Acct]]&lt;&gt;"",Jnl[[#This Row],[Item]]&lt;&gt;"",ISNUMBER(Jnl[[#This Row],[Bal]]))</f>
        <v>1</v>
      </c>
      <c r="J724" s="10">
        <f>IF(Jnl[[#This Row],[BSLv0]]="A",1,-1)*Jnl[[#This Row],[Bal]]</f>
        <v>-443.77</v>
      </c>
      <c r="K724" t="str">
        <f>_xlfn.XLOOKUP(Jnl[[#This Row],[Acct]], config_BS[Acct], config_BS[Lv0],,0)</f>
        <v>A</v>
      </c>
      <c r="L724" t="str">
        <f>_xlfn.XLOOKUP(Jnl[[#This Row],[Acct]], config_BS[Acct], config_BS[Lv1],,0)</f>
        <v>Assets</v>
      </c>
      <c r="M724" t="str">
        <f>_xlfn.XLOOKUP(Jnl[[#This Row],[Acct]], config_BS[Acct], config_BS[Lv2],,0)</f>
        <v>Rec-Pay</v>
      </c>
      <c r="N724" t="str">
        <f>_xlfn.XLOOKUP(Jnl[[#This Row],[TrxId]], Trx[Id], Trx[IncNode], ,0)</f>
        <v>Revenue</v>
      </c>
      <c r="O724" t="str">
        <f>_xlfn.XLOOKUP(Jnl[[#This Row],[IncNode]], config_IS[Node], config_IS[Type],,0)</f>
        <v>Op</v>
      </c>
      <c r="P724" t="str">
        <f>_xlfn.XLOOKUP(Jnl[[#This Row],[BSLv2]], dict[Key], dict[Name],,0)</f>
        <v>1.应收-应付</v>
      </c>
      <c r="Q724" t="str">
        <f>_xlfn.XLOOKUP(Jnl[[#This Row],[Acct]], dict[Key], dict[Name],,0)</f>
        <v>应收-一般</v>
      </c>
      <c r="R724" t="str">
        <f>_xlfn.XLOOKUP(Jnl[[#This Row],[Vehicle]],config_vehicle[Id], config_vehicle[Name],,0)</f>
        <v>远家文化</v>
      </c>
      <c r="S724" t="str">
        <f>_xlfn.XLOOKUP(Jnl[[#This Row],[Division]],config_div[Id], config_div[Name],,0)</f>
        <v>明月村</v>
      </c>
      <c r="T724" t="str">
        <f>IF(Jnl[[#This Row],[TrxDate]]&lt;=stmt_BS_date_end, "In", "Out")</f>
        <v>In</v>
      </c>
      <c r="U724" t="str">
        <f>IF(Jnl[[#This Row],[TrxDate]]&lt;debug_date_start, "prior", IF(Jnl[[#This Row],[TrxDate]]&gt;debug_date_end, "post", "curr"))</f>
        <v>prior</v>
      </c>
    </row>
    <row r="725" spans="1:21">
      <c r="A725" s="11" t="s">
        <v>1169</v>
      </c>
      <c r="B725" s="7">
        <f>_xlfn.XLOOKUP(Jnl[[#This Row],[TrxId]], Trx[Id], Trx[Date],,0)</f>
        <v>46053</v>
      </c>
      <c r="C725" s="7" t="str">
        <f>_xlfn.XLOOKUP(Jnl[[#This Row],[TrxId]], Trx[Id], Trx[Division],,0)</f>
        <v>MY</v>
      </c>
      <c r="D725" s="7" t="str">
        <f>_xlfn.XLOOKUP(Jnl[[#This Row],[TrxId]], Trx[Id], Trx[Action],,0)</f>
        <v>收款</v>
      </c>
      <c r="E725" s="26" t="s">
        <v>83</v>
      </c>
      <c r="F725" s="11" t="s">
        <v>590</v>
      </c>
      <c r="G725" s="11" t="s">
        <v>846</v>
      </c>
      <c r="H725" s="72">
        <v>10000</v>
      </c>
      <c r="I725" s="5" t="b">
        <f>AND(Jnl[[#This Row],[TrxId]]&lt;&gt;"",Jnl[[#This Row],[Acct]]&lt;&gt;"",Jnl[[#This Row],[Item]]&lt;&gt;"",ISNUMBER(Jnl[[#This Row],[Bal]]))</f>
        <v>1</v>
      </c>
      <c r="J725" s="10">
        <f>IF(Jnl[[#This Row],[BSLv0]]="A",1,-1)*Jnl[[#This Row],[Bal]]</f>
        <v>10000</v>
      </c>
      <c r="K725" t="str">
        <f>_xlfn.XLOOKUP(Jnl[[#This Row],[Acct]], config_BS[Acct], config_BS[Lv0],,0)</f>
        <v>A</v>
      </c>
      <c r="L725" t="str">
        <f>_xlfn.XLOOKUP(Jnl[[#This Row],[Acct]], config_BS[Acct], config_BS[Lv1],,0)</f>
        <v>Assets</v>
      </c>
      <c r="M725" t="str">
        <f>_xlfn.XLOOKUP(Jnl[[#This Row],[Acct]], config_BS[Acct], config_BS[Lv2],,0)</f>
        <v>Cash alike</v>
      </c>
      <c r="N725" t="str">
        <f>_xlfn.XLOOKUP(Jnl[[#This Row],[TrxId]], Trx[Id], Trx[IncNode], ,0)</f>
        <v>Revenue</v>
      </c>
      <c r="O725" t="str">
        <f>_xlfn.XLOOKUP(Jnl[[#This Row],[IncNode]], config_IS[Node], config_IS[Type],,0)</f>
        <v>Op</v>
      </c>
      <c r="P725" t="str">
        <f>_xlfn.XLOOKUP(Jnl[[#This Row],[BSLv2]], dict[Key], dict[Name],,0)</f>
        <v>0.现金及类似</v>
      </c>
      <c r="Q725" t="str">
        <f>_xlfn.XLOOKUP(Jnl[[#This Row],[Acct]], dict[Key], dict[Name],,0)</f>
        <v>银行</v>
      </c>
      <c r="R725" t="str">
        <f>_xlfn.XLOOKUP(Jnl[[#This Row],[Vehicle]],config_vehicle[Id], config_vehicle[Name],,0)</f>
        <v>远家文化</v>
      </c>
      <c r="S725" t="str">
        <f>_xlfn.XLOOKUP(Jnl[[#This Row],[Division]],config_div[Id], config_div[Name],,0)</f>
        <v>明月村</v>
      </c>
      <c r="T725" t="str">
        <f>IF(Jnl[[#This Row],[TrxDate]]&lt;=stmt_BS_date_end, "In", "Out")</f>
        <v>In</v>
      </c>
      <c r="U725" t="str">
        <f>IF(Jnl[[#This Row],[TrxDate]]&lt;debug_date_start, "prior", IF(Jnl[[#This Row],[TrxDate]]&gt;debug_date_end, "post", "curr"))</f>
        <v>prior</v>
      </c>
    </row>
    <row r="726" spans="1:21">
      <c r="A726" s="11" t="s">
        <v>1169</v>
      </c>
      <c r="B726" s="7">
        <f>_xlfn.XLOOKUP(Jnl[[#This Row],[TrxId]], Trx[Id], Trx[Date],,0)</f>
        <v>46053</v>
      </c>
      <c r="C726" s="7" t="str">
        <f>_xlfn.XLOOKUP(Jnl[[#This Row],[TrxId]], Trx[Id], Trx[Division],,0)</f>
        <v>MY</v>
      </c>
      <c r="D726" s="7" t="str">
        <f>_xlfn.XLOOKUP(Jnl[[#This Row],[TrxId]], Trx[Id], Trx[Action],,0)</f>
        <v>收款</v>
      </c>
      <c r="E726" s="26" t="s">
        <v>83</v>
      </c>
      <c r="F726" s="11" t="s">
        <v>593</v>
      </c>
      <c r="G726" s="11" t="s">
        <v>977</v>
      </c>
      <c r="H726" s="72">
        <v>-10000</v>
      </c>
      <c r="I726" s="5" t="b">
        <f>AND(Jnl[[#This Row],[TrxId]]&lt;&gt;"",Jnl[[#This Row],[Acct]]&lt;&gt;"",Jnl[[#This Row],[Item]]&lt;&gt;"",ISNUMBER(Jnl[[#This Row],[Bal]]))</f>
        <v>1</v>
      </c>
      <c r="J726" s="10">
        <f>IF(Jnl[[#This Row],[BSLv0]]="A",1,-1)*Jnl[[#This Row],[Bal]]</f>
        <v>-10000</v>
      </c>
      <c r="K726" t="str">
        <f>_xlfn.XLOOKUP(Jnl[[#This Row],[Acct]], config_BS[Acct], config_BS[Lv0],,0)</f>
        <v>A</v>
      </c>
      <c r="L726" t="str">
        <f>_xlfn.XLOOKUP(Jnl[[#This Row],[Acct]], config_BS[Acct], config_BS[Lv1],,0)</f>
        <v>Assets</v>
      </c>
      <c r="M726" t="str">
        <f>_xlfn.XLOOKUP(Jnl[[#This Row],[Acct]], config_BS[Acct], config_BS[Lv2],,0)</f>
        <v>Rec-Pay</v>
      </c>
      <c r="N726" t="str">
        <f>_xlfn.XLOOKUP(Jnl[[#This Row],[TrxId]], Trx[Id], Trx[IncNode], ,0)</f>
        <v>Revenue</v>
      </c>
      <c r="O726" t="str">
        <f>_xlfn.XLOOKUP(Jnl[[#This Row],[IncNode]], config_IS[Node], config_IS[Type],,0)</f>
        <v>Op</v>
      </c>
      <c r="P726" t="str">
        <f>_xlfn.XLOOKUP(Jnl[[#This Row],[BSLv2]], dict[Key], dict[Name],,0)</f>
        <v>1.应收-应付</v>
      </c>
      <c r="Q726" t="str">
        <f>_xlfn.XLOOKUP(Jnl[[#This Row],[Acct]], dict[Key], dict[Name],,0)</f>
        <v>应收-一般</v>
      </c>
      <c r="R726" t="str">
        <f>_xlfn.XLOOKUP(Jnl[[#This Row],[Vehicle]],config_vehicle[Id], config_vehicle[Name],,0)</f>
        <v>远家文化</v>
      </c>
      <c r="S726" t="str">
        <f>_xlfn.XLOOKUP(Jnl[[#This Row],[Division]],config_div[Id], config_div[Name],,0)</f>
        <v>明月村</v>
      </c>
      <c r="T726" t="str">
        <f>IF(Jnl[[#This Row],[TrxDate]]&lt;=stmt_BS_date_end, "In", "Out")</f>
        <v>In</v>
      </c>
      <c r="U726" t="str">
        <f>IF(Jnl[[#This Row],[TrxDate]]&lt;debug_date_start, "prior", IF(Jnl[[#This Row],[TrxDate]]&gt;debug_date_end, "post", "curr"))</f>
        <v>prior</v>
      </c>
    </row>
    <row r="727" spans="1:21">
      <c r="A727" s="11" t="s">
        <v>1170</v>
      </c>
      <c r="B727" s="7">
        <f>_xlfn.XLOOKUP(Jnl[[#This Row],[TrxId]], Trx[Id], Trx[Date],,0)</f>
        <v>46053</v>
      </c>
      <c r="C727" s="7" t="str">
        <f>_xlfn.XLOOKUP(Jnl[[#This Row],[TrxId]], Trx[Id], Trx[Division],,0)</f>
        <v>MY</v>
      </c>
      <c r="D727" s="7" t="str">
        <f>_xlfn.XLOOKUP(Jnl[[#This Row],[TrxId]], Trx[Id], Trx[Action],,0)</f>
        <v>其他材料</v>
      </c>
      <c r="E727" s="26" t="s">
        <v>83</v>
      </c>
      <c r="F727" s="11" t="s">
        <v>590</v>
      </c>
      <c r="G727" s="11" t="s">
        <v>846</v>
      </c>
      <c r="H727" s="72">
        <v>-3745</v>
      </c>
      <c r="I727" s="5" t="b">
        <f>AND(Jnl[[#This Row],[TrxId]]&lt;&gt;"",Jnl[[#This Row],[Acct]]&lt;&gt;"",Jnl[[#This Row],[Item]]&lt;&gt;"",ISNUMBER(Jnl[[#This Row],[Bal]]))</f>
        <v>1</v>
      </c>
      <c r="J727" s="10">
        <f>IF(Jnl[[#This Row],[BSLv0]]="A",1,-1)*Jnl[[#This Row],[Bal]]</f>
        <v>-3745</v>
      </c>
      <c r="K727" t="str">
        <f>_xlfn.XLOOKUP(Jnl[[#This Row],[Acct]], config_BS[Acct], config_BS[Lv0],,0)</f>
        <v>A</v>
      </c>
      <c r="L727" t="str">
        <f>_xlfn.XLOOKUP(Jnl[[#This Row],[Acct]], config_BS[Acct], config_BS[Lv1],,0)</f>
        <v>Assets</v>
      </c>
      <c r="M727" t="str">
        <f>_xlfn.XLOOKUP(Jnl[[#This Row],[Acct]], config_BS[Acct], config_BS[Lv2],,0)</f>
        <v>Cash alike</v>
      </c>
      <c r="N727" t="str">
        <f>_xlfn.XLOOKUP(Jnl[[#This Row],[TrxId]], Trx[Id], Trx[IncNode], ,0)</f>
        <v>Cost</v>
      </c>
      <c r="O727" t="str">
        <f>_xlfn.XLOOKUP(Jnl[[#This Row],[IncNode]], config_IS[Node], config_IS[Type],,0)</f>
        <v>Op</v>
      </c>
      <c r="P727" t="str">
        <f>_xlfn.XLOOKUP(Jnl[[#This Row],[BSLv2]], dict[Key], dict[Name],,0)</f>
        <v>0.现金及类似</v>
      </c>
      <c r="Q727" t="str">
        <f>_xlfn.XLOOKUP(Jnl[[#This Row],[Acct]], dict[Key], dict[Name],,0)</f>
        <v>银行</v>
      </c>
      <c r="R727" t="str">
        <f>_xlfn.XLOOKUP(Jnl[[#This Row],[Vehicle]],config_vehicle[Id], config_vehicle[Name],,0)</f>
        <v>远家文化</v>
      </c>
      <c r="S727" t="str">
        <f>_xlfn.XLOOKUP(Jnl[[#This Row],[Division]],config_div[Id], config_div[Name],,0)</f>
        <v>明月村</v>
      </c>
      <c r="T727" t="str">
        <f>IF(Jnl[[#This Row],[TrxDate]]&lt;=stmt_BS_date_end, "In", "Out")</f>
        <v>In</v>
      </c>
      <c r="U727" t="str">
        <f>IF(Jnl[[#This Row],[TrxDate]]&lt;debug_date_start, "prior", IF(Jnl[[#This Row],[TrxDate]]&gt;debug_date_end, "post", "curr"))</f>
        <v>prior</v>
      </c>
    </row>
    <row r="728" spans="1:21">
      <c r="A728" s="11" t="s">
        <v>1171</v>
      </c>
      <c r="B728" s="7">
        <f>_xlfn.XLOOKUP(Jnl[[#This Row],[TrxId]], Trx[Id], Trx[Date],,0)</f>
        <v>46053</v>
      </c>
      <c r="C728" s="7" t="str">
        <f>_xlfn.XLOOKUP(Jnl[[#This Row],[TrxId]], Trx[Id], Trx[Division],,0)</f>
        <v>GM</v>
      </c>
      <c r="D728" s="7" t="str">
        <f>_xlfn.XLOOKUP(Jnl[[#This Row],[TrxId]], Trx[Id], Trx[Action],,0)</f>
        <v>公共设施</v>
      </c>
      <c r="E728" s="26" t="s">
        <v>83</v>
      </c>
      <c r="F728" s="11" t="s">
        <v>590</v>
      </c>
      <c r="G728" s="11" t="s">
        <v>846</v>
      </c>
      <c r="H728" s="72">
        <v>-19562.7</v>
      </c>
      <c r="I728" s="5" t="b">
        <f>AND(Jnl[[#This Row],[TrxId]]&lt;&gt;"",Jnl[[#This Row],[Acct]]&lt;&gt;"",Jnl[[#This Row],[Item]]&lt;&gt;"",ISNUMBER(Jnl[[#This Row],[Bal]]))</f>
        <v>1</v>
      </c>
      <c r="J728" s="10">
        <f>IF(Jnl[[#This Row],[BSLv0]]="A",1,-1)*Jnl[[#This Row],[Bal]]</f>
        <v>-19562.7</v>
      </c>
      <c r="K728" t="str">
        <f>_xlfn.XLOOKUP(Jnl[[#This Row],[Acct]], config_BS[Acct], config_BS[Lv0],,0)</f>
        <v>A</v>
      </c>
      <c r="L728" t="str">
        <f>_xlfn.XLOOKUP(Jnl[[#This Row],[Acct]], config_BS[Acct], config_BS[Lv1],,0)</f>
        <v>Assets</v>
      </c>
      <c r="M728" t="str">
        <f>_xlfn.XLOOKUP(Jnl[[#This Row],[Acct]], config_BS[Acct], config_BS[Lv2],,0)</f>
        <v>Cash alike</v>
      </c>
      <c r="N728" t="str">
        <f>_xlfn.XLOOKUP(Jnl[[#This Row],[TrxId]], Trx[Id], Trx[IncNode], ,0)</f>
        <v>Expense</v>
      </c>
      <c r="O728" t="str">
        <f>_xlfn.XLOOKUP(Jnl[[#This Row],[IncNode]], config_IS[Node], config_IS[Type],,0)</f>
        <v>Op</v>
      </c>
      <c r="P728" t="str">
        <f>_xlfn.XLOOKUP(Jnl[[#This Row],[BSLv2]], dict[Key], dict[Name],,0)</f>
        <v>0.现金及类似</v>
      </c>
      <c r="Q728" t="str">
        <f>_xlfn.XLOOKUP(Jnl[[#This Row],[Acct]], dict[Key], dict[Name],,0)</f>
        <v>银行</v>
      </c>
      <c r="R728" t="str">
        <f>_xlfn.XLOOKUP(Jnl[[#This Row],[Vehicle]],config_vehicle[Id], config_vehicle[Name],,0)</f>
        <v>远家文化</v>
      </c>
      <c r="S728" t="str">
        <f>_xlfn.XLOOKUP(Jnl[[#This Row],[Division]],config_div[Id], config_div[Name],,0)</f>
        <v>综合管理</v>
      </c>
      <c r="T728" t="str">
        <f>IF(Jnl[[#This Row],[TrxDate]]&lt;=stmt_BS_date_end, "In", "Out")</f>
        <v>In</v>
      </c>
      <c r="U728" t="str">
        <f>IF(Jnl[[#This Row],[TrxDate]]&lt;debug_date_start, "prior", IF(Jnl[[#This Row],[TrxDate]]&gt;debug_date_end, "post", "curr"))</f>
        <v>prior</v>
      </c>
    </row>
    <row r="729" spans="1:21">
      <c r="A729" s="11" t="s">
        <v>1172</v>
      </c>
      <c r="B729" s="7">
        <f>_xlfn.XLOOKUP(Jnl[[#This Row],[TrxId]], Trx[Id], Trx[Date],,0)</f>
        <v>46053</v>
      </c>
      <c r="C729" s="7" t="str">
        <f>_xlfn.XLOOKUP(Jnl[[#This Row],[TrxId]], Trx[Id], Trx[Division],,0)</f>
        <v>MY</v>
      </c>
      <c r="D729" s="7" t="str">
        <f>_xlfn.XLOOKUP(Jnl[[#This Row],[TrxId]], Trx[Id], Trx[Action],,0)</f>
        <v>支付</v>
      </c>
      <c r="E729" s="26" t="s">
        <v>83</v>
      </c>
      <c r="F729" s="11" t="s">
        <v>590</v>
      </c>
      <c r="G729" s="11" t="s">
        <v>846</v>
      </c>
      <c r="H729" s="72">
        <v>-4381.96</v>
      </c>
      <c r="I729" s="5" t="b">
        <f>AND(Jnl[[#This Row],[TrxId]]&lt;&gt;"",Jnl[[#This Row],[Acct]]&lt;&gt;"",Jnl[[#This Row],[Item]]&lt;&gt;"",ISNUMBER(Jnl[[#This Row],[Bal]]))</f>
        <v>1</v>
      </c>
      <c r="J729" s="10">
        <f>IF(Jnl[[#This Row],[BSLv0]]="A",1,-1)*Jnl[[#This Row],[Bal]]</f>
        <v>-4381.96</v>
      </c>
      <c r="K729" t="str">
        <f>_xlfn.XLOOKUP(Jnl[[#This Row],[Acct]], config_BS[Acct], config_BS[Lv0],,0)</f>
        <v>A</v>
      </c>
      <c r="L729" t="str">
        <f>_xlfn.XLOOKUP(Jnl[[#This Row],[Acct]], config_BS[Acct], config_BS[Lv1],,0)</f>
        <v>Assets</v>
      </c>
      <c r="M729" t="str">
        <f>_xlfn.XLOOKUP(Jnl[[#This Row],[Acct]], config_BS[Acct], config_BS[Lv2],,0)</f>
        <v>Cash alike</v>
      </c>
      <c r="N729" t="str">
        <f>_xlfn.XLOOKUP(Jnl[[#This Row],[TrxId]], Trx[Id], Trx[IncNode], ,0)</f>
        <v>Expense</v>
      </c>
      <c r="O729" t="str">
        <f>_xlfn.XLOOKUP(Jnl[[#This Row],[IncNode]], config_IS[Node], config_IS[Type],,0)</f>
        <v>Op</v>
      </c>
      <c r="P729" t="str">
        <f>_xlfn.XLOOKUP(Jnl[[#This Row],[BSLv2]], dict[Key], dict[Name],,0)</f>
        <v>0.现金及类似</v>
      </c>
      <c r="Q729" t="str">
        <f>_xlfn.XLOOKUP(Jnl[[#This Row],[Acct]], dict[Key], dict[Name],,0)</f>
        <v>银行</v>
      </c>
      <c r="R729" t="str">
        <f>_xlfn.XLOOKUP(Jnl[[#This Row],[Vehicle]],config_vehicle[Id], config_vehicle[Name],,0)</f>
        <v>远家文化</v>
      </c>
      <c r="S729" t="str">
        <f>_xlfn.XLOOKUP(Jnl[[#This Row],[Division]],config_div[Id], config_div[Name],,0)</f>
        <v>明月村</v>
      </c>
      <c r="T729" t="str">
        <f>IF(Jnl[[#This Row],[TrxDate]]&lt;=stmt_BS_date_end, "In", "Out")</f>
        <v>In</v>
      </c>
      <c r="U729" t="str">
        <f>IF(Jnl[[#This Row],[TrxDate]]&lt;debug_date_start, "prior", IF(Jnl[[#This Row],[TrxDate]]&gt;debug_date_end, "post", "curr"))</f>
        <v>prior</v>
      </c>
    </row>
    <row r="730" spans="1:21">
      <c r="A730" s="11" t="s">
        <v>1172</v>
      </c>
      <c r="B730" s="7">
        <f>_xlfn.XLOOKUP(Jnl[[#This Row],[TrxId]], Trx[Id], Trx[Date],,0)</f>
        <v>46053</v>
      </c>
      <c r="C730" s="7" t="str">
        <f>_xlfn.XLOOKUP(Jnl[[#This Row],[TrxId]], Trx[Id], Trx[Division],,0)</f>
        <v>MY</v>
      </c>
      <c r="D730" s="7" t="str">
        <f>_xlfn.XLOOKUP(Jnl[[#This Row],[TrxId]], Trx[Id], Trx[Action],,0)</f>
        <v>支付</v>
      </c>
      <c r="E730" s="26" t="s">
        <v>83</v>
      </c>
      <c r="F730" s="11" t="s">
        <v>127</v>
      </c>
      <c r="G730" s="11" t="s">
        <v>307</v>
      </c>
      <c r="H730" s="72">
        <v>-4381.96</v>
      </c>
      <c r="I730" s="5" t="b">
        <f>AND(Jnl[[#This Row],[TrxId]]&lt;&gt;"",Jnl[[#This Row],[Acct]]&lt;&gt;"",Jnl[[#This Row],[Item]]&lt;&gt;"",ISNUMBER(Jnl[[#This Row],[Bal]]))</f>
        <v>1</v>
      </c>
      <c r="J730" s="10">
        <f>IF(Jnl[[#This Row],[BSLv0]]="A",1,-1)*Jnl[[#This Row],[Bal]]</f>
        <v>4381.96</v>
      </c>
      <c r="K730" t="str">
        <f>_xlfn.XLOOKUP(Jnl[[#This Row],[Acct]], config_BS[Acct], config_BS[Lv0],,0)</f>
        <v>LC</v>
      </c>
      <c r="L730" t="str">
        <f>_xlfn.XLOOKUP(Jnl[[#This Row],[Acct]], config_BS[Acct], config_BS[Lv1],,0)</f>
        <v>Liability</v>
      </c>
      <c r="M730" t="str">
        <f>_xlfn.XLOOKUP(Jnl[[#This Row],[Acct]], config_BS[Acct], config_BS[Lv2],,0)</f>
        <v>Rec-Pay</v>
      </c>
      <c r="N730" t="str">
        <f>_xlfn.XLOOKUP(Jnl[[#This Row],[TrxId]], Trx[Id], Trx[IncNode], ,0)</f>
        <v>Expense</v>
      </c>
      <c r="O730" t="str">
        <f>_xlfn.XLOOKUP(Jnl[[#This Row],[IncNode]], config_IS[Node], config_IS[Type],,0)</f>
        <v>Op</v>
      </c>
      <c r="P730" t="str">
        <f>_xlfn.XLOOKUP(Jnl[[#This Row],[BSLv2]], dict[Key], dict[Name],,0)</f>
        <v>1.应收-应付</v>
      </c>
      <c r="Q730" t="str">
        <f>_xlfn.XLOOKUP(Jnl[[#This Row],[Acct]], dict[Key], dict[Name],,0)</f>
        <v>应付-税款</v>
      </c>
      <c r="R730" t="str">
        <f>_xlfn.XLOOKUP(Jnl[[#This Row],[Vehicle]],config_vehicle[Id], config_vehicle[Name],,0)</f>
        <v>远家文化</v>
      </c>
      <c r="S730" t="str">
        <f>_xlfn.XLOOKUP(Jnl[[#This Row],[Division]],config_div[Id], config_div[Name],,0)</f>
        <v>明月村</v>
      </c>
      <c r="T730" t="str">
        <f>IF(Jnl[[#This Row],[TrxDate]]&lt;=stmt_BS_date_end, "In", "Out")</f>
        <v>In</v>
      </c>
      <c r="U730" t="str">
        <f>IF(Jnl[[#This Row],[TrxDate]]&lt;debug_date_start, "prior", IF(Jnl[[#This Row],[TrxDate]]&gt;debug_date_end, "post", "curr"))</f>
        <v>prior</v>
      </c>
    </row>
    <row r="731" spans="1:21">
      <c r="A731" s="11" t="s">
        <v>1173</v>
      </c>
      <c r="B731" s="7">
        <f>_xlfn.XLOOKUP(Jnl[[#This Row],[TrxId]], Trx[Id], Trx[Date],,0)</f>
        <v>46053</v>
      </c>
      <c r="C731" s="7" t="str">
        <f>_xlfn.XLOOKUP(Jnl[[#This Row],[TrxId]], Trx[Id], Trx[Division],,0)</f>
        <v>MY</v>
      </c>
      <c r="D731" s="7" t="str">
        <f>_xlfn.XLOOKUP(Jnl[[#This Row],[TrxId]], Trx[Id], Trx[Action],,0)</f>
        <v>收款</v>
      </c>
      <c r="E731" s="26" t="s">
        <v>83</v>
      </c>
      <c r="F731" s="11" t="s">
        <v>593</v>
      </c>
      <c r="G731" s="11" t="s">
        <v>944</v>
      </c>
      <c r="H731" s="72">
        <v>-2480.5300000000002</v>
      </c>
      <c r="I731" s="5" t="b">
        <f>AND(Jnl[[#This Row],[TrxId]]&lt;&gt;"",Jnl[[#This Row],[Acct]]&lt;&gt;"",Jnl[[#This Row],[Item]]&lt;&gt;"",ISNUMBER(Jnl[[#This Row],[Bal]]))</f>
        <v>1</v>
      </c>
      <c r="J731" s="10">
        <f>IF(Jnl[[#This Row],[BSLv0]]="A",1,-1)*Jnl[[#This Row],[Bal]]</f>
        <v>-2480.5300000000002</v>
      </c>
      <c r="K731" t="str">
        <f>_xlfn.XLOOKUP(Jnl[[#This Row],[Acct]], config_BS[Acct], config_BS[Lv0],,0)</f>
        <v>A</v>
      </c>
      <c r="L731" t="str">
        <f>_xlfn.XLOOKUP(Jnl[[#This Row],[Acct]], config_BS[Acct], config_BS[Lv1],,0)</f>
        <v>Assets</v>
      </c>
      <c r="M731" t="str">
        <f>_xlfn.XLOOKUP(Jnl[[#This Row],[Acct]], config_BS[Acct], config_BS[Lv2],,0)</f>
        <v>Rec-Pay</v>
      </c>
      <c r="N731" t="str">
        <f>_xlfn.XLOOKUP(Jnl[[#This Row],[TrxId]], Trx[Id], Trx[IncNode], ,0)</f>
        <v>Revenue</v>
      </c>
      <c r="O731" t="str">
        <f>_xlfn.XLOOKUP(Jnl[[#This Row],[IncNode]], config_IS[Node], config_IS[Type],,0)</f>
        <v>Op</v>
      </c>
      <c r="P731" t="str">
        <f>_xlfn.XLOOKUP(Jnl[[#This Row],[BSLv2]], dict[Key], dict[Name],,0)</f>
        <v>1.应收-应付</v>
      </c>
      <c r="Q731" t="str">
        <f>_xlfn.XLOOKUP(Jnl[[#This Row],[Acct]], dict[Key], dict[Name],,0)</f>
        <v>应收-一般</v>
      </c>
      <c r="R731" t="str">
        <f>_xlfn.XLOOKUP(Jnl[[#This Row],[Vehicle]],config_vehicle[Id], config_vehicle[Name],,0)</f>
        <v>远家文化</v>
      </c>
      <c r="S731" t="str">
        <f>_xlfn.XLOOKUP(Jnl[[#This Row],[Division]],config_div[Id], config_div[Name],,0)</f>
        <v>明月村</v>
      </c>
      <c r="T731" t="str">
        <f>IF(Jnl[[#This Row],[TrxDate]]&lt;=stmt_BS_date_end, "In", "Out")</f>
        <v>In</v>
      </c>
      <c r="U731" t="str">
        <f>IF(Jnl[[#This Row],[TrxDate]]&lt;debug_date_start, "prior", IF(Jnl[[#This Row],[TrxDate]]&gt;debug_date_end, "post", "curr"))</f>
        <v>prior</v>
      </c>
    </row>
    <row r="732" spans="1:21">
      <c r="A732" s="11" t="s">
        <v>1173</v>
      </c>
      <c r="B732" s="7">
        <f>_xlfn.XLOOKUP(Jnl[[#This Row],[TrxId]], Trx[Id], Trx[Date],,0)</f>
        <v>46053</v>
      </c>
      <c r="C732" s="7" t="str">
        <f>_xlfn.XLOOKUP(Jnl[[#This Row],[TrxId]], Trx[Id], Trx[Division],,0)</f>
        <v>MY</v>
      </c>
      <c r="D732" s="7" t="str">
        <f>_xlfn.XLOOKUP(Jnl[[#This Row],[TrxId]], Trx[Id], Trx[Action],,0)</f>
        <v>收款</v>
      </c>
      <c r="E732" s="26" t="s">
        <v>83</v>
      </c>
      <c r="F732" s="11" t="s">
        <v>590</v>
      </c>
      <c r="G732" s="11" t="s">
        <v>846</v>
      </c>
      <c r="H732" s="72">
        <v>2480.5300000000002</v>
      </c>
      <c r="I732" s="5" t="b">
        <f>AND(Jnl[[#This Row],[TrxId]]&lt;&gt;"",Jnl[[#This Row],[Acct]]&lt;&gt;"",Jnl[[#This Row],[Item]]&lt;&gt;"",ISNUMBER(Jnl[[#This Row],[Bal]]))</f>
        <v>1</v>
      </c>
      <c r="J732" s="10">
        <f>IF(Jnl[[#This Row],[BSLv0]]="A",1,-1)*Jnl[[#This Row],[Bal]]</f>
        <v>2480.5300000000002</v>
      </c>
      <c r="K732" t="str">
        <f>_xlfn.XLOOKUP(Jnl[[#This Row],[Acct]], config_BS[Acct], config_BS[Lv0],,0)</f>
        <v>A</v>
      </c>
      <c r="L732" t="str">
        <f>_xlfn.XLOOKUP(Jnl[[#This Row],[Acct]], config_BS[Acct], config_BS[Lv1],,0)</f>
        <v>Assets</v>
      </c>
      <c r="M732" t="str">
        <f>_xlfn.XLOOKUP(Jnl[[#This Row],[Acct]], config_BS[Acct], config_BS[Lv2],,0)</f>
        <v>Cash alike</v>
      </c>
      <c r="N732" t="str">
        <f>_xlfn.XLOOKUP(Jnl[[#This Row],[TrxId]], Trx[Id], Trx[IncNode], ,0)</f>
        <v>Revenue</v>
      </c>
      <c r="O732" t="str">
        <f>_xlfn.XLOOKUP(Jnl[[#This Row],[IncNode]], config_IS[Node], config_IS[Type],,0)</f>
        <v>Op</v>
      </c>
      <c r="P732" t="str">
        <f>_xlfn.XLOOKUP(Jnl[[#This Row],[BSLv2]], dict[Key], dict[Name],,0)</f>
        <v>0.现金及类似</v>
      </c>
      <c r="Q732" t="str">
        <f>_xlfn.XLOOKUP(Jnl[[#This Row],[Acct]], dict[Key], dict[Name],,0)</f>
        <v>银行</v>
      </c>
      <c r="R732" t="str">
        <f>_xlfn.XLOOKUP(Jnl[[#This Row],[Vehicle]],config_vehicle[Id], config_vehicle[Name],,0)</f>
        <v>远家文化</v>
      </c>
      <c r="S732" t="str">
        <f>_xlfn.XLOOKUP(Jnl[[#This Row],[Division]],config_div[Id], config_div[Name],,0)</f>
        <v>明月村</v>
      </c>
      <c r="T732" t="str">
        <f>IF(Jnl[[#This Row],[TrxDate]]&lt;=stmt_BS_date_end, "In", "Out")</f>
        <v>In</v>
      </c>
      <c r="U732" t="str">
        <f>IF(Jnl[[#This Row],[TrxDate]]&lt;debug_date_start, "prior", IF(Jnl[[#This Row],[TrxDate]]&gt;debug_date_end, "post", "curr"))</f>
        <v>prior</v>
      </c>
    </row>
    <row r="733" spans="1:21">
      <c r="A733" s="11" t="s">
        <v>1174</v>
      </c>
      <c r="B733" s="7">
        <f>_xlfn.XLOOKUP(Jnl[[#This Row],[TrxId]], Trx[Id], Trx[Date],,0)</f>
        <v>46053</v>
      </c>
      <c r="C733" s="7" t="str">
        <f>_xlfn.XLOOKUP(Jnl[[#This Row],[TrxId]], Trx[Id], Trx[Division],,0)</f>
        <v>MY</v>
      </c>
      <c r="D733" s="7" t="str">
        <f>_xlfn.XLOOKUP(Jnl[[#This Row],[TrxId]], Trx[Id], Trx[Action],,0)</f>
        <v>收款</v>
      </c>
      <c r="E733" s="26" t="s">
        <v>83</v>
      </c>
      <c r="F733" s="11" t="s">
        <v>593</v>
      </c>
      <c r="G733" s="11" t="s">
        <v>977</v>
      </c>
      <c r="H733" s="72">
        <v>-37947</v>
      </c>
      <c r="I733" s="5" t="b">
        <f>AND(Jnl[[#This Row],[TrxId]]&lt;&gt;"",Jnl[[#This Row],[Acct]]&lt;&gt;"",Jnl[[#This Row],[Item]]&lt;&gt;"",ISNUMBER(Jnl[[#This Row],[Bal]]))</f>
        <v>1</v>
      </c>
      <c r="J733" s="10">
        <f>IF(Jnl[[#This Row],[BSLv0]]="A",1,-1)*Jnl[[#This Row],[Bal]]</f>
        <v>-37947</v>
      </c>
      <c r="K733" t="str">
        <f>_xlfn.XLOOKUP(Jnl[[#This Row],[Acct]], config_BS[Acct], config_BS[Lv0],,0)</f>
        <v>A</v>
      </c>
      <c r="L733" t="str">
        <f>_xlfn.XLOOKUP(Jnl[[#This Row],[Acct]], config_BS[Acct], config_BS[Lv1],,0)</f>
        <v>Assets</v>
      </c>
      <c r="M733" t="str">
        <f>_xlfn.XLOOKUP(Jnl[[#This Row],[Acct]], config_BS[Acct], config_BS[Lv2],,0)</f>
        <v>Rec-Pay</v>
      </c>
      <c r="N733" t="str">
        <f>_xlfn.XLOOKUP(Jnl[[#This Row],[TrxId]], Trx[Id], Trx[IncNode], ,0)</f>
        <v>Revenue</v>
      </c>
      <c r="O733" t="str">
        <f>_xlfn.XLOOKUP(Jnl[[#This Row],[IncNode]], config_IS[Node], config_IS[Type],,0)</f>
        <v>Op</v>
      </c>
      <c r="P733" t="str">
        <f>_xlfn.XLOOKUP(Jnl[[#This Row],[BSLv2]], dict[Key], dict[Name],,0)</f>
        <v>1.应收-应付</v>
      </c>
      <c r="Q733" t="str">
        <f>_xlfn.XLOOKUP(Jnl[[#This Row],[Acct]], dict[Key], dict[Name],,0)</f>
        <v>应收-一般</v>
      </c>
      <c r="R733" t="str">
        <f>_xlfn.XLOOKUP(Jnl[[#This Row],[Vehicle]],config_vehicle[Id], config_vehicle[Name],,0)</f>
        <v>远家文化</v>
      </c>
      <c r="S733" t="str">
        <f>_xlfn.XLOOKUP(Jnl[[#This Row],[Division]],config_div[Id], config_div[Name],,0)</f>
        <v>明月村</v>
      </c>
      <c r="T733" t="str">
        <f>IF(Jnl[[#This Row],[TrxDate]]&lt;=stmt_BS_date_end, "In", "Out")</f>
        <v>In</v>
      </c>
      <c r="U733" t="str">
        <f>IF(Jnl[[#This Row],[TrxDate]]&lt;debug_date_start, "prior", IF(Jnl[[#This Row],[TrxDate]]&gt;debug_date_end, "post", "curr"))</f>
        <v>prior</v>
      </c>
    </row>
    <row r="734" spans="1:21">
      <c r="A734" s="11" t="s">
        <v>1174</v>
      </c>
      <c r="B734" s="7">
        <f>_xlfn.XLOOKUP(Jnl[[#This Row],[TrxId]], Trx[Id], Trx[Date],,0)</f>
        <v>46053</v>
      </c>
      <c r="C734" s="7" t="str">
        <f>_xlfn.XLOOKUP(Jnl[[#This Row],[TrxId]], Trx[Id], Trx[Division],,0)</f>
        <v>MY</v>
      </c>
      <c r="D734" s="7" t="str">
        <f>_xlfn.XLOOKUP(Jnl[[#This Row],[TrxId]], Trx[Id], Trx[Action],,0)</f>
        <v>收款</v>
      </c>
      <c r="E734" s="26" t="s">
        <v>83</v>
      </c>
      <c r="F734" s="11" t="s">
        <v>590</v>
      </c>
      <c r="G734" s="11" t="s">
        <v>846</v>
      </c>
      <c r="H734" s="72">
        <v>37947</v>
      </c>
      <c r="I734" s="5" t="b">
        <f>AND(Jnl[[#This Row],[TrxId]]&lt;&gt;"",Jnl[[#This Row],[Acct]]&lt;&gt;"",Jnl[[#This Row],[Item]]&lt;&gt;"",ISNUMBER(Jnl[[#This Row],[Bal]]))</f>
        <v>1</v>
      </c>
      <c r="J734" s="10">
        <f>IF(Jnl[[#This Row],[BSLv0]]="A",1,-1)*Jnl[[#This Row],[Bal]]</f>
        <v>37947</v>
      </c>
      <c r="K734" t="str">
        <f>_xlfn.XLOOKUP(Jnl[[#This Row],[Acct]], config_BS[Acct], config_BS[Lv0],,0)</f>
        <v>A</v>
      </c>
      <c r="L734" t="str">
        <f>_xlfn.XLOOKUP(Jnl[[#This Row],[Acct]], config_BS[Acct], config_BS[Lv1],,0)</f>
        <v>Assets</v>
      </c>
      <c r="M734" t="str">
        <f>_xlfn.XLOOKUP(Jnl[[#This Row],[Acct]], config_BS[Acct], config_BS[Lv2],,0)</f>
        <v>Cash alike</v>
      </c>
      <c r="N734" t="str">
        <f>_xlfn.XLOOKUP(Jnl[[#This Row],[TrxId]], Trx[Id], Trx[IncNode], ,0)</f>
        <v>Revenue</v>
      </c>
      <c r="O734" t="str">
        <f>_xlfn.XLOOKUP(Jnl[[#This Row],[IncNode]], config_IS[Node], config_IS[Type],,0)</f>
        <v>Op</v>
      </c>
      <c r="P734" t="str">
        <f>_xlfn.XLOOKUP(Jnl[[#This Row],[BSLv2]], dict[Key], dict[Name],,0)</f>
        <v>0.现金及类似</v>
      </c>
      <c r="Q734" t="str">
        <f>_xlfn.XLOOKUP(Jnl[[#This Row],[Acct]], dict[Key], dict[Name],,0)</f>
        <v>银行</v>
      </c>
      <c r="R734" t="str">
        <f>_xlfn.XLOOKUP(Jnl[[#This Row],[Vehicle]],config_vehicle[Id], config_vehicle[Name],,0)</f>
        <v>远家文化</v>
      </c>
      <c r="S734" t="str">
        <f>_xlfn.XLOOKUP(Jnl[[#This Row],[Division]],config_div[Id], config_div[Name],,0)</f>
        <v>明月村</v>
      </c>
      <c r="T734" t="str">
        <f>IF(Jnl[[#This Row],[TrxDate]]&lt;=stmt_BS_date_end, "In", "Out")</f>
        <v>In</v>
      </c>
      <c r="U734" t="str">
        <f>IF(Jnl[[#This Row],[TrxDate]]&lt;debug_date_start, "prior", IF(Jnl[[#This Row],[TrxDate]]&gt;debug_date_end, "post", "curr"))</f>
        <v>prior</v>
      </c>
    </row>
    <row r="735" spans="1:21">
      <c r="A735" s="11" t="s">
        <v>1175</v>
      </c>
      <c r="B735" s="7">
        <f>_xlfn.XLOOKUP(Jnl[[#This Row],[TrxId]], Trx[Id], Trx[Date],,0)</f>
        <v>46053</v>
      </c>
      <c r="C735" s="7" t="str">
        <f>_xlfn.XLOOKUP(Jnl[[#This Row],[TrxId]], Trx[Id], Trx[Division],,0)</f>
        <v>MY</v>
      </c>
      <c r="D735" s="7" t="str">
        <f>_xlfn.XLOOKUP(Jnl[[#This Row],[TrxId]], Trx[Id], Trx[Action],,0)</f>
        <v>住宿</v>
      </c>
      <c r="E735" s="26" t="s">
        <v>83</v>
      </c>
      <c r="F735" s="11" t="s">
        <v>590</v>
      </c>
      <c r="G735" s="11" t="s">
        <v>846</v>
      </c>
      <c r="H735" s="72">
        <v>-1800</v>
      </c>
      <c r="I735" s="5" t="b">
        <f>AND(Jnl[[#This Row],[TrxId]]&lt;&gt;"",Jnl[[#This Row],[Acct]]&lt;&gt;"",Jnl[[#This Row],[Item]]&lt;&gt;"",ISNUMBER(Jnl[[#This Row],[Bal]]))</f>
        <v>1</v>
      </c>
      <c r="J735" s="10">
        <f>IF(Jnl[[#This Row],[BSLv0]]="A",1,-1)*Jnl[[#This Row],[Bal]]</f>
        <v>-1800</v>
      </c>
      <c r="K735" t="str">
        <f>_xlfn.XLOOKUP(Jnl[[#This Row],[Acct]], config_BS[Acct], config_BS[Lv0],,0)</f>
        <v>A</v>
      </c>
      <c r="L735" t="str">
        <f>_xlfn.XLOOKUP(Jnl[[#This Row],[Acct]], config_BS[Acct], config_BS[Lv1],,0)</f>
        <v>Assets</v>
      </c>
      <c r="M735" t="str">
        <f>_xlfn.XLOOKUP(Jnl[[#This Row],[Acct]], config_BS[Acct], config_BS[Lv2],,0)</f>
        <v>Cash alike</v>
      </c>
      <c r="N735" t="str">
        <f>_xlfn.XLOOKUP(Jnl[[#This Row],[TrxId]], Trx[Id], Trx[IncNode], ,0)</f>
        <v>Cost</v>
      </c>
      <c r="O735" t="str">
        <f>_xlfn.XLOOKUP(Jnl[[#This Row],[IncNode]], config_IS[Node], config_IS[Type],,0)</f>
        <v>Op</v>
      </c>
      <c r="P735" t="str">
        <f>_xlfn.XLOOKUP(Jnl[[#This Row],[BSLv2]], dict[Key], dict[Name],,0)</f>
        <v>0.现金及类似</v>
      </c>
      <c r="Q735" t="str">
        <f>_xlfn.XLOOKUP(Jnl[[#This Row],[Acct]], dict[Key], dict[Name],,0)</f>
        <v>银行</v>
      </c>
      <c r="R735" t="str">
        <f>_xlfn.XLOOKUP(Jnl[[#This Row],[Vehicle]],config_vehicle[Id], config_vehicle[Name],,0)</f>
        <v>远家文化</v>
      </c>
      <c r="S735" t="str">
        <f>_xlfn.XLOOKUP(Jnl[[#This Row],[Division]],config_div[Id], config_div[Name],,0)</f>
        <v>明月村</v>
      </c>
      <c r="T735" t="str">
        <f>IF(Jnl[[#This Row],[TrxDate]]&lt;=stmt_BS_date_end, "In", "Out")</f>
        <v>In</v>
      </c>
      <c r="U735" t="str">
        <f>IF(Jnl[[#This Row],[TrxDate]]&lt;debug_date_start, "prior", IF(Jnl[[#This Row],[TrxDate]]&gt;debug_date_end, "post", "curr"))</f>
        <v>prior</v>
      </c>
    </row>
    <row r="736" spans="1:21">
      <c r="A736" s="11" t="s">
        <v>1176</v>
      </c>
      <c r="B736" s="7">
        <f>_xlfn.XLOOKUP(Jnl[[#This Row],[TrxId]], Trx[Id], Trx[Date],,0)</f>
        <v>46053</v>
      </c>
      <c r="C736" s="7" t="str">
        <f>_xlfn.XLOOKUP(Jnl[[#This Row],[TrxId]], Trx[Id], Trx[Division],,0)</f>
        <v>MY</v>
      </c>
      <c r="D736" s="7" t="str">
        <f>_xlfn.XLOOKUP(Jnl[[#This Row],[TrxId]], Trx[Id], Trx[Action],,0)</f>
        <v>演出</v>
      </c>
      <c r="E736" s="26" t="s">
        <v>83</v>
      </c>
      <c r="F736" s="11" t="s">
        <v>590</v>
      </c>
      <c r="G736" s="11" t="s">
        <v>846</v>
      </c>
      <c r="H736" s="72">
        <v>-1500</v>
      </c>
      <c r="I736" s="5" t="b">
        <f>AND(Jnl[[#This Row],[TrxId]]&lt;&gt;"",Jnl[[#This Row],[Acct]]&lt;&gt;"",Jnl[[#This Row],[Item]]&lt;&gt;"",ISNUMBER(Jnl[[#This Row],[Bal]]))</f>
        <v>1</v>
      </c>
      <c r="J736" s="10">
        <f>IF(Jnl[[#This Row],[BSLv0]]="A",1,-1)*Jnl[[#This Row],[Bal]]</f>
        <v>-1500</v>
      </c>
      <c r="K736" t="str">
        <f>_xlfn.XLOOKUP(Jnl[[#This Row],[Acct]], config_BS[Acct], config_BS[Lv0],,0)</f>
        <v>A</v>
      </c>
      <c r="L736" t="str">
        <f>_xlfn.XLOOKUP(Jnl[[#This Row],[Acct]], config_BS[Acct], config_BS[Lv1],,0)</f>
        <v>Assets</v>
      </c>
      <c r="M736" t="str">
        <f>_xlfn.XLOOKUP(Jnl[[#This Row],[Acct]], config_BS[Acct], config_BS[Lv2],,0)</f>
        <v>Cash alike</v>
      </c>
      <c r="N736" t="str">
        <f>_xlfn.XLOOKUP(Jnl[[#This Row],[TrxId]], Trx[Id], Trx[IncNode], ,0)</f>
        <v>Cost</v>
      </c>
      <c r="O736" t="str">
        <f>_xlfn.XLOOKUP(Jnl[[#This Row],[IncNode]], config_IS[Node], config_IS[Type],,0)</f>
        <v>Op</v>
      </c>
      <c r="P736" t="str">
        <f>_xlfn.XLOOKUP(Jnl[[#This Row],[BSLv2]], dict[Key], dict[Name],,0)</f>
        <v>0.现金及类似</v>
      </c>
      <c r="Q736" t="str">
        <f>_xlfn.XLOOKUP(Jnl[[#This Row],[Acct]], dict[Key], dict[Name],,0)</f>
        <v>银行</v>
      </c>
      <c r="R736" t="str">
        <f>_xlfn.XLOOKUP(Jnl[[#This Row],[Vehicle]],config_vehicle[Id], config_vehicle[Name],,0)</f>
        <v>远家文化</v>
      </c>
      <c r="S736" t="str">
        <f>_xlfn.XLOOKUP(Jnl[[#This Row],[Division]],config_div[Id], config_div[Name],,0)</f>
        <v>明月村</v>
      </c>
      <c r="T736" t="str">
        <f>IF(Jnl[[#This Row],[TrxDate]]&lt;=stmt_BS_date_end, "In", "Out")</f>
        <v>In</v>
      </c>
      <c r="U736" t="str">
        <f>IF(Jnl[[#This Row],[TrxDate]]&lt;debug_date_start, "prior", IF(Jnl[[#This Row],[TrxDate]]&gt;debug_date_end, "post", "curr"))</f>
        <v>prior</v>
      </c>
    </row>
    <row r="737" spans="1:21">
      <c r="A737" s="11" t="s">
        <v>1177</v>
      </c>
      <c r="B737" s="7">
        <f>_xlfn.XLOOKUP(Jnl[[#This Row],[TrxId]], Trx[Id], Trx[Date],,0)</f>
        <v>46053</v>
      </c>
      <c r="C737" s="7" t="str">
        <f>_xlfn.XLOOKUP(Jnl[[#This Row],[TrxId]], Trx[Id], Trx[Division],,0)</f>
        <v>MY</v>
      </c>
      <c r="D737" s="7" t="str">
        <f>_xlfn.XLOOKUP(Jnl[[#This Row],[TrxId]], Trx[Id], Trx[Action],,0)</f>
        <v>临时人力</v>
      </c>
      <c r="E737" s="26" t="s">
        <v>83</v>
      </c>
      <c r="F737" s="11" t="s">
        <v>590</v>
      </c>
      <c r="G737" s="11" t="s">
        <v>846</v>
      </c>
      <c r="H737" s="72">
        <v>-540</v>
      </c>
      <c r="I737" s="5" t="b">
        <f>AND(Jnl[[#This Row],[TrxId]]&lt;&gt;"",Jnl[[#This Row],[Acct]]&lt;&gt;"",Jnl[[#This Row],[Item]]&lt;&gt;"",ISNUMBER(Jnl[[#This Row],[Bal]]))</f>
        <v>1</v>
      </c>
      <c r="J737" s="10">
        <f>IF(Jnl[[#This Row],[BSLv0]]="A",1,-1)*Jnl[[#This Row],[Bal]]</f>
        <v>-540</v>
      </c>
      <c r="K737" t="str">
        <f>_xlfn.XLOOKUP(Jnl[[#This Row],[Acct]], config_BS[Acct], config_BS[Lv0],,0)</f>
        <v>A</v>
      </c>
      <c r="L737" t="str">
        <f>_xlfn.XLOOKUP(Jnl[[#This Row],[Acct]], config_BS[Acct], config_BS[Lv1],,0)</f>
        <v>Assets</v>
      </c>
      <c r="M737" t="str">
        <f>_xlfn.XLOOKUP(Jnl[[#This Row],[Acct]], config_BS[Acct], config_BS[Lv2],,0)</f>
        <v>Cash alike</v>
      </c>
      <c r="N737" t="str">
        <f>_xlfn.XLOOKUP(Jnl[[#This Row],[TrxId]], Trx[Id], Trx[IncNode], ,0)</f>
        <v>Expense</v>
      </c>
      <c r="O737" t="str">
        <f>_xlfn.XLOOKUP(Jnl[[#This Row],[IncNode]], config_IS[Node], config_IS[Type],,0)</f>
        <v>Op</v>
      </c>
      <c r="P737" t="str">
        <f>_xlfn.XLOOKUP(Jnl[[#This Row],[BSLv2]], dict[Key], dict[Name],,0)</f>
        <v>0.现金及类似</v>
      </c>
      <c r="Q737" t="str">
        <f>_xlfn.XLOOKUP(Jnl[[#This Row],[Acct]], dict[Key], dict[Name],,0)</f>
        <v>银行</v>
      </c>
      <c r="R737" t="str">
        <f>_xlfn.XLOOKUP(Jnl[[#This Row],[Vehicle]],config_vehicle[Id], config_vehicle[Name],,0)</f>
        <v>远家文化</v>
      </c>
      <c r="S737" t="str">
        <f>_xlfn.XLOOKUP(Jnl[[#This Row],[Division]],config_div[Id], config_div[Name],,0)</f>
        <v>明月村</v>
      </c>
      <c r="T737" t="str">
        <f>IF(Jnl[[#This Row],[TrxDate]]&lt;=stmt_BS_date_end, "In", "Out")</f>
        <v>In</v>
      </c>
      <c r="U737" t="str">
        <f>IF(Jnl[[#This Row],[TrxDate]]&lt;debug_date_start, "prior", IF(Jnl[[#This Row],[TrxDate]]&gt;debug_date_end, "post", "curr"))</f>
        <v>prior</v>
      </c>
    </row>
    <row r="738" spans="1:21">
      <c r="A738" s="11" t="s">
        <v>1178</v>
      </c>
      <c r="B738" s="7">
        <f>_xlfn.XLOOKUP(Jnl[[#This Row],[TrxId]], Trx[Id], Trx[Date],,0)</f>
        <v>46053</v>
      </c>
      <c r="C738" s="7" t="str">
        <f>_xlfn.XLOOKUP(Jnl[[#This Row],[TrxId]], Trx[Id], Trx[Division],,0)</f>
        <v>MY</v>
      </c>
      <c r="D738" s="7" t="str">
        <f>_xlfn.XLOOKUP(Jnl[[#This Row],[TrxId]], Trx[Id], Trx[Action],,0)</f>
        <v>保险</v>
      </c>
      <c r="E738" s="26" t="s">
        <v>83</v>
      </c>
      <c r="F738" s="11" t="s">
        <v>590</v>
      </c>
      <c r="G738" s="11" t="s">
        <v>846</v>
      </c>
      <c r="H738" s="72">
        <v>-1540</v>
      </c>
      <c r="I738" s="5" t="b">
        <f>AND(Jnl[[#This Row],[TrxId]]&lt;&gt;"",Jnl[[#This Row],[Acct]]&lt;&gt;"",Jnl[[#This Row],[Item]]&lt;&gt;"",ISNUMBER(Jnl[[#This Row],[Bal]]))</f>
        <v>1</v>
      </c>
      <c r="J738" s="10">
        <f>IF(Jnl[[#This Row],[BSLv0]]="A",1,-1)*Jnl[[#This Row],[Bal]]</f>
        <v>-1540</v>
      </c>
      <c r="K738" t="str">
        <f>_xlfn.XLOOKUP(Jnl[[#This Row],[Acct]], config_BS[Acct], config_BS[Lv0],,0)</f>
        <v>A</v>
      </c>
      <c r="L738" t="str">
        <f>_xlfn.XLOOKUP(Jnl[[#This Row],[Acct]], config_BS[Acct], config_BS[Lv1],,0)</f>
        <v>Assets</v>
      </c>
      <c r="M738" t="str">
        <f>_xlfn.XLOOKUP(Jnl[[#This Row],[Acct]], config_BS[Acct], config_BS[Lv2],,0)</f>
        <v>Cash alike</v>
      </c>
      <c r="N738" t="str">
        <f>_xlfn.XLOOKUP(Jnl[[#This Row],[TrxId]], Trx[Id], Trx[IncNode], ,0)</f>
        <v>Expense</v>
      </c>
      <c r="O738" t="str">
        <f>_xlfn.XLOOKUP(Jnl[[#This Row],[IncNode]], config_IS[Node], config_IS[Type],,0)</f>
        <v>Op</v>
      </c>
      <c r="P738" t="str">
        <f>_xlfn.XLOOKUP(Jnl[[#This Row],[BSLv2]], dict[Key], dict[Name],,0)</f>
        <v>0.现金及类似</v>
      </c>
      <c r="Q738" t="str">
        <f>_xlfn.XLOOKUP(Jnl[[#This Row],[Acct]], dict[Key], dict[Name],,0)</f>
        <v>银行</v>
      </c>
      <c r="R738" t="str">
        <f>_xlfn.XLOOKUP(Jnl[[#This Row],[Vehicle]],config_vehicle[Id], config_vehicle[Name],,0)</f>
        <v>远家文化</v>
      </c>
      <c r="S738" t="str">
        <f>_xlfn.XLOOKUP(Jnl[[#This Row],[Division]],config_div[Id], config_div[Name],,0)</f>
        <v>明月村</v>
      </c>
      <c r="T738" t="str">
        <f>IF(Jnl[[#This Row],[TrxDate]]&lt;=stmt_BS_date_end, "In", "Out")</f>
        <v>In</v>
      </c>
      <c r="U738" t="str">
        <f>IF(Jnl[[#This Row],[TrxDate]]&lt;debug_date_start, "prior", IF(Jnl[[#This Row],[TrxDate]]&gt;debug_date_end, "post", "curr"))</f>
        <v>prior</v>
      </c>
    </row>
    <row r="739" spans="1:21">
      <c r="A739" s="11" t="s">
        <v>1179</v>
      </c>
      <c r="B739" s="7">
        <f>_xlfn.XLOOKUP(Jnl[[#This Row],[TrxId]], Trx[Id], Trx[Date],,0)</f>
        <v>46053</v>
      </c>
      <c r="C739" s="7" t="str">
        <f>_xlfn.XLOOKUP(Jnl[[#This Row],[TrxId]], Trx[Id], Trx[Division],,0)</f>
        <v>Brand</v>
      </c>
      <c r="D739" s="7" t="str">
        <f>_xlfn.XLOOKUP(Jnl[[#This Row],[TrxId]], Trx[Id], Trx[Action],,0)</f>
        <v>诗与歌</v>
      </c>
      <c r="E739" s="26" t="s">
        <v>83</v>
      </c>
      <c r="F739" s="11" t="s">
        <v>590</v>
      </c>
      <c r="G739" s="11" t="s">
        <v>846</v>
      </c>
      <c r="H739" s="72">
        <v>-36200</v>
      </c>
      <c r="I739" s="5" t="b">
        <f>AND(Jnl[[#This Row],[TrxId]]&lt;&gt;"",Jnl[[#This Row],[Acct]]&lt;&gt;"",Jnl[[#This Row],[Item]]&lt;&gt;"",ISNUMBER(Jnl[[#This Row],[Bal]]))</f>
        <v>1</v>
      </c>
      <c r="J739" s="10">
        <f>IF(Jnl[[#This Row],[BSLv0]]="A",1,-1)*Jnl[[#This Row],[Bal]]</f>
        <v>-36200</v>
      </c>
      <c r="K739" t="str">
        <f>_xlfn.XLOOKUP(Jnl[[#This Row],[Acct]], config_BS[Acct], config_BS[Lv0],,0)</f>
        <v>A</v>
      </c>
      <c r="L739" t="str">
        <f>_xlfn.XLOOKUP(Jnl[[#This Row],[Acct]], config_BS[Acct], config_BS[Lv1],,0)</f>
        <v>Assets</v>
      </c>
      <c r="M739" t="str">
        <f>_xlfn.XLOOKUP(Jnl[[#This Row],[Acct]], config_BS[Acct], config_BS[Lv2],,0)</f>
        <v>Cash alike</v>
      </c>
      <c r="N739" t="str">
        <f>_xlfn.XLOOKUP(Jnl[[#This Row],[TrxId]], Trx[Id], Trx[IncNode], ,0)</f>
        <v>Discretion</v>
      </c>
      <c r="O739" t="str">
        <f>_xlfn.XLOOKUP(Jnl[[#This Row],[IncNode]], config_IS[Node], config_IS[Type],,0)</f>
        <v>Non-Op</v>
      </c>
      <c r="P739" t="str">
        <f>_xlfn.XLOOKUP(Jnl[[#This Row],[BSLv2]], dict[Key], dict[Name],,0)</f>
        <v>0.现金及类似</v>
      </c>
      <c r="Q739" t="str">
        <f>_xlfn.XLOOKUP(Jnl[[#This Row],[Acct]], dict[Key], dict[Name],,0)</f>
        <v>银行</v>
      </c>
      <c r="R739" t="str">
        <f>_xlfn.XLOOKUP(Jnl[[#This Row],[Vehicle]],config_vehicle[Id], config_vehicle[Name],,0)</f>
        <v>远家文化</v>
      </c>
      <c r="S739" t="str">
        <f>_xlfn.XLOOKUP(Jnl[[#This Row],[Division]],config_div[Id], config_div[Name],,0)</f>
        <v>品牌</v>
      </c>
      <c r="T739" t="str">
        <f>IF(Jnl[[#This Row],[TrxDate]]&lt;=stmt_BS_date_end, "In", "Out")</f>
        <v>In</v>
      </c>
      <c r="U739" t="str">
        <f>IF(Jnl[[#This Row],[TrxDate]]&lt;debug_date_start, "prior", IF(Jnl[[#This Row],[TrxDate]]&gt;debug_date_end, "post", "curr"))</f>
        <v>prior</v>
      </c>
    </row>
    <row r="740" spans="1:21">
      <c r="A740" s="11" t="s">
        <v>1180</v>
      </c>
      <c r="B740" s="7">
        <f>_xlfn.XLOOKUP(Jnl[[#This Row],[TrxId]], Trx[Id], Trx[Date],,0)</f>
        <v>46053</v>
      </c>
      <c r="C740" s="7" t="str">
        <f>_xlfn.XLOOKUP(Jnl[[#This Row],[TrxId]], Trx[Id], Trx[Division],,0)</f>
        <v>MY</v>
      </c>
      <c r="D740" s="7" t="str">
        <f>_xlfn.XLOOKUP(Jnl[[#This Row],[TrxId]], Trx[Id], Trx[Action],,0)</f>
        <v>食材</v>
      </c>
      <c r="E740" s="26" t="s">
        <v>83</v>
      </c>
      <c r="F740" s="11" t="s">
        <v>590</v>
      </c>
      <c r="G740" s="11" t="s">
        <v>846</v>
      </c>
      <c r="H740" s="72">
        <v>-540</v>
      </c>
      <c r="I740" s="5" t="b">
        <f>AND(Jnl[[#This Row],[TrxId]]&lt;&gt;"",Jnl[[#This Row],[Acct]]&lt;&gt;"",Jnl[[#This Row],[Item]]&lt;&gt;"",ISNUMBER(Jnl[[#This Row],[Bal]]))</f>
        <v>1</v>
      </c>
      <c r="J740" s="10">
        <f>IF(Jnl[[#This Row],[BSLv0]]="A",1,-1)*Jnl[[#This Row],[Bal]]</f>
        <v>-540</v>
      </c>
      <c r="K740" t="str">
        <f>_xlfn.XLOOKUP(Jnl[[#This Row],[Acct]], config_BS[Acct], config_BS[Lv0],,0)</f>
        <v>A</v>
      </c>
      <c r="L740" t="str">
        <f>_xlfn.XLOOKUP(Jnl[[#This Row],[Acct]], config_BS[Acct], config_BS[Lv1],,0)</f>
        <v>Assets</v>
      </c>
      <c r="M740" t="str">
        <f>_xlfn.XLOOKUP(Jnl[[#This Row],[Acct]], config_BS[Acct], config_BS[Lv2],,0)</f>
        <v>Cash alike</v>
      </c>
      <c r="N740" t="str">
        <f>_xlfn.XLOOKUP(Jnl[[#This Row],[TrxId]], Trx[Id], Trx[IncNode], ,0)</f>
        <v>Cost</v>
      </c>
      <c r="O740" t="str">
        <f>_xlfn.XLOOKUP(Jnl[[#This Row],[IncNode]], config_IS[Node], config_IS[Type],,0)</f>
        <v>Op</v>
      </c>
      <c r="P740" t="str">
        <f>_xlfn.XLOOKUP(Jnl[[#This Row],[BSLv2]], dict[Key], dict[Name],,0)</f>
        <v>0.现金及类似</v>
      </c>
      <c r="Q740" t="str">
        <f>_xlfn.XLOOKUP(Jnl[[#This Row],[Acct]], dict[Key], dict[Name],,0)</f>
        <v>银行</v>
      </c>
      <c r="R740" t="str">
        <f>_xlfn.XLOOKUP(Jnl[[#This Row],[Vehicle]],config_vehicle[Id], config_vehicle[Name],,0)</f>
        <v>远家文化</v>
      </c>
      <c r="S740" t="str">
        <f>_xlfn.XLOOKUP(Jnl[[#This Row],[Division]],config_div[Id], config_div[Name],,0)</f>
        <v>明月村</v>
      </c>
      <c r="T740" t="str">
        <f>IF(Jnl[[#This Row],[TrxDate]]&lt;=stmt_BS_date_end, "In", "Out")</f>
        <v>In</v>
      </c>
      <c r="U740" t="str">
        <f>IF(Jnl[[#This Row],[TrxDate]]&lt;debug_date_start, "prior", IF(Jnl[[#This Row],[TrxDate]]&gt;debug_date_end, "post", "curr"))</f>
        <v>prior</v>
      </c>
    </row>
    <row r="741" spans="1:21">
      <c r="A741" s="11" t="s">
        <v>1181</v>
      </c>
      <c r="B741" s="7">
        <f>_xlfn.XLOOKUP(Jnl[[#This Row],[TrxId]], Trx[Id], Trx[Date],,0)</f>
        <v>46053</v>
      </c>
      <c r="C741" s="7" t="str">
        <f>_xlfn.XLOOKUP(Jnl[[#This Row],[TrxId]], Trx[Id], Trx[Division],,0)</f>
        <v>MY</v>
      </c>
      <c r="D741" s="7" t="str">
        <f>_xlfn.XLOOKUP(Jnl[[#This Row],[TrxId]], Trx[Id], Trx[Action],,0)</f>
        <v>收款</v>
      </c>
      <c r="E741" s="26" t="s">
        <v>83</v>
      </c>
      <c r="F741" s="11" t="s">
        <v>590</v>
      </c>
      <c r="G741" s="11" t="s">
        <v>846</v>
      </c>
      <c r="H741" s="72">
        <v>551.76</v>
      </c>
      <c r="I741" s="5" t="b">
        <f>AND(Jnl[[#This Row],[TrxId]]&lt;&gt;"",Jnl[[#This Row],[Acct]]&lt;&gt;"",Jnl[[#This Row],[Item]]&lt;&gt;"",ISNUMBER(Jnl[[#This Row],[Bal]]))</f>
        <v>1</v>
      </c>
      <c r="J741" s="10">
        <f>IF(Jnl[[#This Row],[BSLv0]]="A",1,-1)*Jnl[[#This Row],[Bal]]</f>
        <v>551.76</v>
      </c>
      <c r="K741" t="str">
        <f>_xlfn.XLOOKUP(Jnl[[#This Row],[Acct]], config_BS[Acct], config_BS[Lv0],,0)</f>
        <v>A</v>
      </c>
      <c r="L741" t="str">
        <f>_xlfn.XLOOKUP(Jnl[[#This Row],[Acct]], config_BS[Acct], config_BS[Lv1],,0)</f>
        <v>Assets</v>
      </c>
      <c r="M741" t="str">
        <f>_xlfn.XLOOKUP(Jnl[[#This Row],[Acct]], config_BS[Acct], config_BS[Lv2],,0)</f>
        <v>Cash alike</v>
      </c>
      <c r="N741" t="str">
        <f>_xlfn.XLOOKUP(Jnl[[#This Row],[TrxId]], Trx[Id], Trx[IncNode], ,0)</f>
        <v>Revenue</v>
      </c>
      <c r="O741" t="str">
        <f>_xlfn.XLOOKUP(Jnl[[#This Row],[IncNode]], config_IS[Node], config_IS[Type],,0)</f>
        <v>Op</v>
      </c>
      <c r="P741" t="str">
        <f>_xlfn.XLOOKUP(Jnl[[#This Row],[BSLv2]], dict[Key], dict[Name],,0)</f>
        <v>0.现金及类似</v>
      </c>
      <c r="Q741" t="str">
        <f>_xlfn.XLOOKUP(Jnl[[#This Row],[Acct]], dict[Key], dict[Name],,0)</f>
        <v>银行</v>
      </c>
      <c r="R741" t="str">
        <f>_xlfn.XLOOKUP(Jnl[[#This Row],[Vehicle]],config_vehicle[Id], config_vehicle[Name],,0)</f>
        <v>远家文化</v>
      </c>
      <c r="S741" t="str">
        <f>_xlfn.XLOOKUP(Jnl[[#This Row],[Division]],config_div[Id], config_div[Name],,0)</f>
        <v>明月村</v>
      </c>
      <c r="T741" t="str">
        <f>IF(Jnl[[#This Row],[TrxDate]]&lt;=stmt_BS_date_end, "In", "Out")</f>
        <v>In</v>
      </c>
      <c r="U741" t="str">
        <f>IF(Jnl[[#This Row],[TrxDate]]&lt;debug_date_start, "prior", IF(Jnl[[#This Row],[TrxDate]]&gt;debug_date_end, "post", "curr"))</f>
        <v>prior</v>
      </c>
    </row>
    <row r="742" spans="1:21">
      <c r="A742" s="11" t="s">
        <v>1181</v>
      </c>
      <c r="B742" s="7">
        <f>_xlfn.XLOOKUP(Jnl[[#This Row],[TrxId]], Trx[Id], Trx[Date],,0)</f>
        <v>46053</v>
      </c>
      <c r="C742" s="7" t="str">
        <f>_xlfn.XLOOKUP(Jnl[[#This Row],[TrxId]], Trx[Id], Trx[Division],,0)</f>
        <v>MY</v>
      </c>
      <c r="D742" s="7" t="str">
        <f>_xlfn.XLOOKUP(Jnl[[#This Row],[TrxId]], Trx[Id], Trx[Action],,0)</f>
        <v>收款</v>
      </c>
      <c r="E742" s="26" t="s">
        <v>83</v>
      </c>
      <c r="F742" s="11" t="s">
        <v>593</v>
      </c>
      <c r="G742" s="11" t="s">
        <v>942</v>
      </c>
      <c r="H742" s="72">
        <f>-H741</f>
        <v>-551.76</v>
      </c>
      <c r="I742" s="5" t="b">
        <f>AND(Jnl[[#This Row],[TrxId]]&lt;&gt;"",Jnl[[#This Row],[Acct]]&lt;&gt;"",Jnl[[#This Row],[Item]]&lt;&gt;"",ISNUMBER(Jnl[[#This Row],[Bal]]))</f>
        <v>1</v>
      </c>
      <c r="J742" s="10">
        <f>IF(Jnl[[#This Row],[BSLv0]]="A",1,-1)*Jnl[[#This Row],[Bal]]</f>
        <v>-551.76</v>
      </c>
      <c r="K742" t="str">
        <f>_xlfn.XLOOKUP(Jnl[[#This Row],[Acct]], config_BS[Acct], config_BS[Lv0],,0)</f>
        <v>A</v>
      </c>
      <c r="L742" t="str">
        <f>_xlfn.XLOOKUP(Jnl[[#This Row],[Acct]], config_BS[Acct], config_BS[Lv1],,0)</f>
        <v>Assets</v>
      </c>
      <c r="M742" t="str">
        <f>_xlfn.XLOOKUP(Jnl[[#This Row],[Acct]], config_BS[Acct], config_BS[Lv2],,0)</f>
        <v>Rec-Pay</v>
      </c>
      <c r="N742" t="str">
        <f>_xlfn.XLOOKUP(Jnl[[#This Row],[TrxId]], Trx[Id], Trx[IncNode], ,0)</f>
        <v>Revenue</v>
      </c>
      <c r="O742" t="str">
        <f>_xlfn.XLOOKUP(Jnl[[#This Row],[IncNode]], config_IS[Node], config_IS[Type],,0)</f>
        <v>Op</v>
      </c>
      <c r="P742" t="str">
        <f>_xlfn.XLOOKUP(Jnl[[#This Row],[BSLv2]], dict[Key], dict[Name],,0)</f>
        <v>1.应收-应付</v>
      </c>
      <c r="Q742" t="str">
        <f>_xlfn.XLOOKUP(Jnl[[#This Row],[Acct]], dict[Key], dict[Name],,0)</f>
        <v>应收-一般</v>
      </c>
      <c r="R742" t="str">
        <f>_xlfn.XLOOKUP(Jnl[[#This Row],[Vehicle]],config_vehicle[Id], config_vehicle[Name],,0)</f>
        <v>远家文化</v>
      </c>
      <c r="S742" t="str">
        <f>_xlfn.XLOOKUP(Jnl[[#This Row],[Division]],config_div[Id], config_div[Name],,0)</f>
        <v>明月村</v>
      </c>
      <c r="T742" t="str">
        <f>IF(Jnl[[#This Row],[TrxDate]]&lt;=stmt_BS_date_end, "In", "Out")</f>
        <v>In</v>
      </c>
      <c r="U742" t="str">
        <f>IF(Jnl[[#This Row],[TrxDate]]&lt;debug_date_start, "prior", IF(Jnl[[#This Row],[TrxDate]]&gt;debug_date_end, "post", "curr"))</f>
        <v>prior</v>
      </c>
    </row>
    <row r="743" spans="1:21">
      <c r="A743" s="11" t="s">
        <v>1182</v>
      </c>
      <c r="B743" s="7">
        <f>_xlfn.XLOOKUP(Jnl[[#This Row],[TrxId]], Trx[Id], Trx[Date],,0)</f>
        <v>46053</v>
      </c>
      <c r="C743" s="7" t="str">
        <f>_xlfn.XLOOKUP(Jnl[[#This Row],[TrxId]], Trx[Id], Trx[Division],,0)</f>
        <v>MY</v>
      </c>
      <c r="D743" s="7" t="str">
        <f>_xlfn.XLOOKUP(Jnl[[#This Row],[TrxId]], Trx[Id], Trx[Action],,0)</f>
        <v>食材</v>
      </c>
      <c r="E743" s="26" t="s">
        <v>83</v>
      </c>
      <c r="F743" s="11" t="s">
        <v>590</v>
      </c>
      <c r="G743" s="11" t="s">
        <v>846</v>
      </c>
      <c r="H743" s="72">
        <v>-1470</v>
      </c>
      <c r="I743" s="5" t="b">
        <f>AND(Jnl[[#This Row],[TrxId]]&lt;&gt;"",Jnl[[#This Row],[Acct]]&lt;&gt;"",Jnl[[#This Row],[Item]]&lt;&gt;"",ISNUMBER(Jnl[[#This Row],[Bal]]))</f>
        <v>1</v>
      </c>
      <c r="J743" s="10">
        <f>IF(Jnl[[#This Row],[BSLv0]]="A",1,-1)*Jnl[[#This Row],[Bal]]</f>
        <v>-1470</v>
      </c>
      <c r="K743" t="str">
        <f>_xlfn.XLOOKUP(Jnl[[#This Row],[Acct]], config_BS[Acct], config_BS[Lv0],,0)</f>
        <v>A</v>
      </c>
      <c r="L743" t="str">
        <f>_xlfn.XLOOKUP(Jnl[[#This Row],[Acct]], config_BS[Acct], config_BS[Lv1],,0)</f>
        <v>Assets</v>
      </c>
      <c r="M743" t="str">
        <f>_xlfn.XLOOKUP(Jnl[[#This Row],[Acct]], config_BS[Acct], config_BS[Lv2],,0)</f>
        <v>Cash alike</v>
      </c>
      <c r="N743" t="str">
        <f>_xlfn.XLOOKUP(Jnl[[#This Row],[TrxId]], Trx[Id], Trx[IncNode], ,0)</f>
        <v>Cost</v>
      </c>
      <c r="O743" t="str">
        <f>_xlfn.XLOOKUP(Jnl[[#This Row],[IncNode]], config_IS[Node], config_IS[Type],,0)</f>
        <v>Op</v>
      </c>
      <c r="P743" t="str">
        <f>_xlfn.XLOOKUP(Jnl[[#This Row],[BSLv2]], dict[Key], dict[Name],,0)</f>
        <v>0.现金及类似</v>
      </c>
      <c r="Q743" t="str">
        <f>_xlfn.XLOOKUP(Jnl[[#This Row],[Acct]], dict[Key], dict[Name],,0)</f>
        <v>银行</v>
      </c>
      <c r="R743" t="str">
        <f>_xlfn.XLOOKUP(Jnl[[#This Row],[Vehicle]],config_vehicle[Id], config_vehicle[Name],,0)</f>
        <v>远家文化</v>
      </c>
      <c r="S743" t="str">
        <f>_xlfn.XLOOKUP(Jnl[[#This Row],[Division]],config_div[Id], config_div[Name],,0)</f>
        <v>明月村</v>
      </c>
      <c r="T743" t="str">
        <f>IF(Jnl[[#This Row],[TrxDate]]&lt;=stmt_BS_date_end, "In", "Out")</f>
        <v>In</v>
      </c>
      <c r="U743" t="str">
        <f>IF(Jnl[[#This Row],[TrxDate]]&lt;debug_date_start, "prior", IF(Jnl[[#This Row],[TrxDate]]&gt;debug_date_end, "post", "curr"))</f>
        <v>prior</v>
      </c>
    </row>
    <row r="744" spans="1:21">
      <c r="A744" s="11" t="s">
        <v>1183</v>
      </c>
      <c r="B744" s="7">
        <f>_xlfn.XLOOKUP(Jnl[[#This Row],[TrxId]], Trx[Id], Trx[Date],,0)</f>
        <v>46053</v>
      </c>
      <c r="C744" s="7" t="str">
        <f>_xlfn.XLOOKUP(Jnl[[#This Row],[TrxId]], Trx[Id], Trx[Division],,0)</f>
        <v>MY</v>
      </c>
      <c r="D744" s="7" t="str">
        <f>_xlfn.XLOOKUP(Jnl[[#This Row],[TrxId]], Trx[Id], Trx[Action],,0)</f>
        <v>过账</v>
      </c>
      <c r="E744" s="26" t="s">
        <v>83</v>
      </c>
      <c r="F744" s="11" t="s">
        <v>590</v>
      </c>
      <c r="G744" s="11" t="s">
        <v>846</v>
      </c>
      <c r="H744" s="72">
        <v>-40000</v>
      </c>
      <c r="I744" s="5" t="b">
        <f>AND(Jnl[[#This Row],[TrxId]]&lt;&gt;"",Jnl[[#This Row],[Acct]]&lt;&gt;"",Jnl[[#This Row],[Item]]&lt;&gt;"",ISNUMBER(Jnl[[#This Row],[Bal]]))</f>
        <v>1</v>
      </c>
      <c r="J744" s="10">
        <f>IF(Jnl[[#This Row],[BSLv0]]="A",1,-1)*Jnl[[#This Row],[Bal]]</f>
        <v>-40000</v>
      </c>
      <c r="K744" t="str">
        <f>_xlfn.XLOOKUP(Jnl[[#This Row],[Acct]], config_BS[Acct], config_BS[Lv0],,0)</f>
        <v>A</v>
      </c>
      <c r="L744" t="str">
        <f>_xlfn.XLOOKUP(Jnl[[#This Row],[Acct]], config_BS[Acct], config_BS[Lv1],,0)</f>
        <v>Assets</v>
      </c>
      <c r="M744" t="str">
        <f>_xlfn.XLOOKUP(Jnl[[#This Row],[Acct]], config_BS[Acct], config_BS[Lv2],,0)</f>
        <v>Cash alike</v>
      </c>
      <c r="N744" t="str">
        <f>_xlfn.XLOOKUP(Jnl[[#This Row],[TrxId]], Trx[Id], Trx[IncNode], ,0)</f>
        <v>Other</v>
      </c>
      <c r="O744" t="str">
        <f>_xlfn.XLOOKUP(Jnl[[#This Row],[IncNode]], config_IS[Node], config_IS[Type],,0)</f>
        <v>Non-Op</v>
      </c>
      <c r="P744" t="str">
        <f>_xlfn.XLOOKUP(Jnl[[#This Row],[BSLv2]], dict[Key], dict[Name],,0)</f>
        <v>0.现金及类似</v>
      </c>
      <c r="Q744" t="str">
        <f>_xlfn.XLOOKUP(Jnl[[#This Row],[Acct]], dict[Key], dict[Name],,0)</f>
        <v>银行</v>
      </c>
      <c r="R744" t="str">
        <f>_xlfn.XLOOKUP(Jnl[[#This Row],[Vehicle]],config_vehicle[Id], config_vehicle[Name],,0)</f>
        <v>远家文化</v>
      </c>
      <c r="S744" t="str">
        <f>_xlfn.XLOOKUP(Jnl[[#This Row],[Division]],config_div[Id], config_div[Name],,0)</f>
        <v>明月村</v>
      </c>
      <c r="T744" t="str">
        <f>IF(Jnl[[#This Row],[TrxDate]]&lt;=stmt_BS_date_end, "In", "Out")</f>
        <v>In</v>
      </c>
      <c r="U744" t="str">
        <f>IF(Jnl[[#This Row],[TrxDate]]&lt;debug_date_start, "prior", IF(Jnl[[#This Row],[TrxDate]]&gt;debug_date_end, "post", "curr"))</f>
        <v>prior</v>
      </c>
    </row>
    <row r="745" spans="1:21">
      <c r="A745" s="11" t="s">
        <v>1183</v>
      </c>
      <c r="B745" s="7">
        <f>_xlfn.XLOOKUP(Jnl[[#This Row],[TrxId]], Trx[Id], Trx[Date],,0)</f>
        <v>46053</v>
      </c>
      <c r="C745" s="7" t="str">
        <f>_xlfn.XLOOKUP(Jnl[[#This Row],[TrxId]], Trx[Id], Trx[Division],,0)</f>
        <v>MY</v>
      </c>
      <c r="D745" s="7" t="str">
        <f>_xlfn.XLOOKUP(Jnl[[#This Row],[TrxId]], Trx[Id], Trx[Action],,0)</f>
        <v>过账</v>
      </c>
      <c r="E745" s="26" t="s">
        <v>88</v>
      </c>
      <c r="F745" s="11" t="s">
        <v>590</v>
      </c>
      <c r="G745" s="11" t="s">
        <v>1184</v>
      </c>
      <c r="H745" s="72">
        <f>-H744</f>
        <v>40000</v>
      </c>
      <c r="I745" s="5" t="b">
        <f>AND(Jnl[[#This Row],[TrxId]]&lt;&gt;"",Jnl[[#This Row],[Acct]]&lt;&gt;"",Jnl[[#This Row],[Item]]&lt;&gt;"",ISNUMBER(Jnl[[#This Row],[Bal]]))</f>
        <v>1</v>
      </c>
      <c r="J745" s="10">
        <f>IF(Jnl[[#This Row],[BSLv0]]="A",1,-1)*Jnl[[#This Row],[Bal]]</f>
        <v>40000</v>
      </c>
      <c r="K745" t="str">
        <f>_xlfn.XLOOKUP(Jnl[[#This Row],[Acct]], config_BS[Acct], config_BS[Lv0],,0)</f>
        <v>A</v>
      </c>
      <c r="L745" t="str">
        <f>_xlfn.XLOOKUP(Jnl[[#This Row],[Acct]], config_BS[Acct], config_BS[Lv1],,0)</f>
        <v>Assets</v>
      </c>
      <c r="M745" t="str">
        <f>_xlfn.XLOOKUP(Jnl[[#This Row],[Acct]], config_BS[Acct], config_BS[Lv2],,0)</f>
        <v>Cash alike</v>
      </c>
      <c r="N745" t="str">
        <f>_xlfn.XLOOKUP(Jnl[[#This Row],[TrxId]], Trx[Id], Trx[IncNode], ,0)</f>
        <v>Other</v>
      </c>
      <c r="O745" t="str">
        <f>_xlfn.XLOOKUP(Jnl[[#This Row],[IncNode]], config_IS[Node], config_IS[Type],,0)</f>
        <v>Non-Op</v>
      </c>
      <c r="P745" t="str">
        <f>_xlfn.XLOOKUP(Jnl[[#This Row],[BSLv2]], dict[Key], dict[Name],,0)</f>
        <v>0.现金及类似</v>
      </c>
      <c r="Q745" t="str">
        <f>_xlfn.XLOOKUP(Jnl[[#This Row],[Acct]], dict[Key], dict[Name],,0)</f>
        <v>银行</v>
      </c>
      <c r="R745" t="str">
        <f>_xlfn.XLOOKUP(Jnl[[#This Row],[Vehicle]],config_vehicle[Id], config_vehicle[Name],,0)</f>
        <v>郑术燕</v>
      </c>
      <c r="S745" t="str">
        <f>_xlfn.XLOOKUP(Jnl[[#This Row],[Division]],config_div[Id], config_div[Name],,0)</f>
        <v>明月村</v>
      </c>
      <c r="T745" t="str">
        <f>IF(Jnl[[#This Row],[TrxDate]]&lt;=stmt_BS_date_end, "In", "Out")</f>
        <v>In</v>
      </c>
      <c r="U745" t="str">
        <f>IF(Jnl[[#This Row],[TrxDate]]&lt;debug_date_start, "prior", IF(Jnl[[#This Row],[TrxDate]]&gt;debug_date_end, "post", "curr"))</f>
        <v>prior</v>
      </c>
    </row>
    <row r="746" spans="1:21">
      <c r="A746" s="11" t="s">
        <v>1185</v>
      </c>
      <c r="B746" s="7">
        <f>_xlfn.XLOOKUP(Jnl[[#This Row],[TrxId]], Trx[Id], Trx[Date],,0)</f>
        <v>46053</v>
      </c>
      <c r="C746" s="7" t="str">
        <f>_xlfn.XLOOKUP(Jnl[[#This Row],[TrxId]], Trx[Id], Trx[Division],,0)</f>
        <v>MY</v>
      </c>
      <c r="D746" s="7" t="str">
        <f>_xlfn.XLOOKUP(Jnl[[#This Row],[TrxId]], Trx[Id], Trx[Action],,0)</f>
        <v>收款</v>
      </c>
      <c r="E746" s="26" t="s">
        <v>107</v>
      </c>
      <c r="F746" s="11" t="s">
        <v>590</v>
      </c>
      <c r="G746" s="11" t="s">
        <v>1186</v>
      </c>
      <c r="H746" s="72">
        <v>167617.9</v>
      </c>
      <c r="I746" s="5" t="b">
        <f>AND(Jnl[[#This Row],[TrxId]]&lt;&gt;"",Jnl[[#This Row],[Acct]]&lt;&gt;"",Jnl[[#This Row],[Item]]&lt;&gt;"",ISNUMBER(Jnl[[#This Row],[Bal]]))</f>
        <v>1</v>
      </c>
      <c r="J746" s="10">
        <f>IF(Jnl[[#This Row],[BSLv0]]="A",1,-1)*Jnl[[#This Row],[Bal]]</f>
        <v>167617.9</v>
      </c>
      <c r="K746" t="str">
        <f>_xlfn.XLOOKUP(Jnl[[#This Row],[Acct]], config_BS[Acct], config_BS[Lv0],,0)</f>
        <v>A</v>
      </c>
      <c r="L746" t="str">
        <f>_xlfn.XLOOKUP(Jnl[[#This Row],[Acct]], config_BS[Acct], config_BS[Lv1],,0)</f>
        <v>Assets</v>
      </c>
      <c r="M746" t="str">
        <f>_xlfn.XLOOKUP(Jnl[[#This Row],[Acct]], config_BS[Acct], config_BS[Lv2],,0)</f>
        <v>Cash alike</v>
      </c>
      <c r="N746" t="str">
        <f>_xlfn.XLOOKUP(Jnl[[#This Row],[TrxId]], Trx[Id], Trx[IncNode], ,0)</f>
        <v>Revenue</v>
      </c>
      <c r="O746" t="str">
        <f>_xlfn.XLOOKUP(Jnl[[#This Row],[IncNode]], config_IS[Node], config_IS[Type],,0)</f>
        <v>Op</v>
      </c>
      <c r="P746" t="str">
        <f>_xlfn.XLOOKUP(Jnl[[#This Row],[BSLv2]], dict[Key], dict[Name],,0)</f>
        <v>0.现金及类似</v>
      </c>
      <c r="Q746" t="str">
        <f>_xlfn.XLOOKUP(Jnl[[#This Row],[Acct]], dict[Key], dict[Name],,0)</f>
        <v>银行</v>
      </c>
      <c r="R746" t="str">
        <f>_xlfn.XLOOKUP(Jnl[[#This Row],[Vehicle]],config_vehicle[Id], config_vehicle[Name],,0)</f>
        <v>远家文化蒲江分公司</v>
      </c>
      <c r="S746" t="str">
        <f>_xlfn.XLOOKUP(Jnl[[#This Row],[Division]],config_div[Id], config_div[Name],,0)</f>
        <v>明月村</v>
      </c>
      <c r="T746" t="str">
        <f>IF(Jnl[[#This Row],[TrxDate]]&lt;=stmt_BS_date_end, "In", "Out")</f>
        <v>In</v>
      </c>
      <c r="U746" t="str">
        <f>IF(Jnl[[#This Row],[TrxDate]]&lt;debug_date_start, "prior", IF(Jnl[[#This Row],[TrxDate]]&gt;debug_date_end, "post", "curr"))</f>
        <v>prior</v>
      </c>
    </row>
    <row r="747" spans="1:21">
      <c r="A747" s="11" t="s">
        <v>1185</v>
      </c>
      <c r="B747" s="7">
        <f>_xlfn.XLOOKUP(Jnl[[#This Row],[TrxId]], Trx[Id], Trx[Date],,0)</f>
        <v>46053</v>
      </c>
      <c r="C747" s="7" t="str">
        <f>_xlfn.XLOOKUP(Jnl[[#This Row],[TrxId]], Trx[Id], Trx[Division],,0)</f>
        <v>MY</v>
      </c>
      <c r="D747" s="7" t="str">
        <f>_xlfn.XLOOKUP(Jnl[[#This Row],[TrxId]], Trx[Id], Trx[Action],,0)</f>
        <v>收款</v>
      </c>
      <c r="E747" s="26" t="s">
        <v>83</v>
      </c>
      <c r="F747" s="11" t="s">
        <v>593</v>
      </c>
      <c r="G747" s="11" t="s">
        <v>1001</v>
      </c>
      <c r="H747" s="72">
        <v>-167617.9</v>
      </c>
      <c r="I747" s="5" t="b">
        <f>AND(Jnl[[#This Row],[TrxId]]&lt;&gt;"",Jnl[[#This Row],[Acct]]&lt;&gt;"",Jnl[[#This Row],[Item]]&lt;&gt;"",ISNUMBER(Jnl[[#This Row],[Bal]]))</f>
        <v>1</v>
      </c>
      <c r="J747" s="10">
        <f>IF(Jnl[[#This Row],[BSLv0]]="A",1,-1)*Jnl[[#This Row],[Bal]]</f>
        <v>-167617.9</v>
      </c>
      <c r="K747" t="str">
        <f>_xlfn.XLOOKUP(Jnl[[#This Row],[Acct]], config_BS[Acct], config_BS[Lv0],,0)</f>
        <v>A</v>
      </c>
      <c r="L747" t="str">
        <f>_xlfn.XLOOKUP(Jnl[[#This Row],[Acct]], config_BS[Acct], config_BS[Lv1],,0)</f>
        <v>Assets</v>
      </c>
      <c r="M747" t="str">
        <f>_xlfn.XLOOKUP(Jnl[[#This Row],[Acct]], config_BS[Acct], config_BS[Lv2],,0)</f>
        <v>Rec-Pay</v>
      </c>
      <c r="N747" t="str">
        <f>_xlfn.XLOOKUP(Jnl[[#This Row],[TrxId]], Trx[Id], Trx[IncNode], ,0)</f>
        <v>Revenue</v>
      </c>
      <c r="O747" t="str">
        <f>_xlfn.XLOOKUP(Jnl[[#This Row],[IncNode]], config_IS[Node], config_IS[Type],,0)</f>
        <v>Op</v>
      </c>
      <c r="P747" t="str">
        <f>_xlfn.XLOOKUP(Jnl[[#This Row],[BSLv2]], dict[Key], dict[Name],,0)</f>
        <v>1.应收-应付</v>
      </c>
      <c r="Q747" t="str">
        <f>_xlfn.XLOOKUP(Jnl[[#This Row],[Acct]], dict[Key], dict[Name],,0)</f>
        <v>应收-一般</v>
      </c>
      <c r="R747" t="str">
        <f>_xlfn.XLOOKUP(Jnl[[#This Row],[Vehicle]],config_vehicle[Id], config_vehicle[Name],,0)</f>
        <v>远家文化</v>
      </c>
      <c r="S747" t="str">
        <f>_xlfn.XLOOKUP(Jnl[[#This Row],[Division]],config_div[Id], config_div[Name],,0)</f>
        <v>明月村</v>
      </c>
      <c r="T747" t="str">
        <f>IF(Jnl[[#This Row],[TrxDate]]&lt;=stmt_BS_date_end, "In", "Out")</f>
        <v>In</v>
      </c>
      <c r="U747" t="str">
        <f>IF(Jnl[[#This Row],[TrxDate]]&lt;debug_date_start, "prior", IF(Jnl[[#This Row],[TrxDate]]&gt;debug_date_end, "post", "curr"))</f>
        <v>prior</v>
      </c>
    </row>
    <row r="748" spans="1:21">
      <c r="A748" s="11" t="s">
        <v>1187</v>
      </c>
      <c r="B748" s="7">
        <f>_xlfn.XLOOKUP(Jnl[[#This Row],[TrxId]], Trx[Id], Trx[Date],,0)</f>
        <v>46053</v>
      </c>
      <c r="C748" s="7" t="str">
        <f>_xlfn.XLOOKUP(Jnl[[#This Row],[TrxId]], Trx[Id], Trx[Division],,0)</f>
        <v>MY</v>
      </c>
      <c r="D748" s="7" t="str">
        <f>_xlfn.XLOOKUP(Jnl[[#This Row],[TrxId]], Trx[Id], Trx[Action],,0)</f>
        <v>收款</v>
      </c>
      <c r="E748" s="26" t="s">
        <v>107</v>
      </c>
      <c r="F748" s="11" t="s">
        <v>590</v>
      </c>
      <c r="G748" s="11" t="s">
        <v>1186</v>
      </c>
      <c r="H748" s="72">
        <v>2814</v>
      </c>
      <c r="I748" s="5" t="b">
        <f>AND(Jnl[[#This Row],[TrxId]]&lt;&gt;"",Jnl[[#This Row],[Acct]]&lt;&gt;"",Jnl[[#This Row],[Item]]&lt;&gt;"",ISNUMBER(Jnl[[#This Row],[Bal]]))</f>
        <v>1</v>
      </c>
      <c r="J748" s="10">
        <f>IF(Jnl[[#This Row],[BSLv0]]="A",1,-1)*Jnl[[#This Row],[Bal]]</f>
        <v>2814</v>
      </c>
      <c r="K748" t="str">
        <f>_xlfn.XLOOKUP(Jnl[[#This Row],[Acct]], config_BS[Acct], config_BS[Lv0],,0)</f>
        <v>A</v>
      </c>
      <c r="L748" t="str">
        <f>_xlfn.XLOOKUP(Jnl[[#This Row],[Acct]], config_BS[Acct], config_BS[Lv1],,0)</f>
        <v>Assets</v>
      </c>
      <c r="M748" t="str">
        <f>_xlfn.XLOOKUP(Jnl[[#This Row],[Acct]], config_BS[Acct], config_BS[Lv2],,0)</f>
        <v>Cash alike</v>
      </c>
      <c r="N748" t="str">
        <f>_xlfn.XLOOKUP(Jnl[[#This Row],[TrxId]], Trx[Id], Trx[IncNode], ,0)</f>
        <v>Revenue</v>
      </c>
      <c r="O748" t="str">
        <f>_xlfn.XLOOKUP(Jnl[[#This Row],[IncNode]], config_IS[Node], config_IS[Type],,0)</f>
        <v>Op</v>
      </c>
      <c r="P748" t="str">
        <f>_xlfn.XLOOKUP(Jnl[[#This Row],[BSLv2]], dict[Key], dict[Name],,0)</f>
        <v>0.现金及类似</v>
      </c>
      <c r="Q748" t="str">
        <f>_xlfn.XLOOKUP(Jnl[[#This Row],[Acct]], dict[Key], dict[Name],,0)</f>
        <v>银行</v>
      </c>
      <c r="R748" t="str">
        <f>_xlfn.XLOOKUP(Jnl[[#This Row],[Vehicle]],config_vehicle[Id], config_vehicle[Name],,0)</f>
        <v>远家文化蒲江分公司</v>
      </c>
      <c r="S748" t="str">
        <f>_xlfn.XLOOKUP(Jnl[[#This Row],[Division]],config_div[Id], config_div[Name],,0)</f>
        <v>明月村</v>
      </c>
      <c r="T748" t="str">
        <f>IF(Jnl[[#This Row],[TrxDate]]&lt;=stmt_BS_date_end, "In", "Out")</f>
        <v>In</v>
      </c>
      <c r="U748" t="str">
        <f>IF(Jnl[[#This Row],[TrxDate]]&lt;debug_date_start, "prior", IF(Jnl[[#This Row],[TrxDate]]&gt;debug_date_end, "post", "curr"))</f>
        <v>prior</v>
      </c>
    </row>
    <row r="749" spans="1:21">
      <c r="A749" s="11" t="s">
        <v>1187</v>
      </c>
      <c r="B749" s="7">
        <f>_xlfn.XLOOKUP(Jnl[[#This Row],[TrxId]], Trx[Id], Trx[Date],,0)</f>
        <v>46053</v>
      </c>
      <c r="C749" s="7" t="str">
        <f>_xlfn.XLOOKUP(Jnl[[#This Row],[TrxId]], Trx[Id], Trx[Division],,0)</f>
        <v>MY</v>
      </c>
      <c r="D749" s="7" t="str">
        <f>_xlfn.XLOOKUP(Jnl[[#This Row],[TrxId]], Trx[Id], Trx[Action],,0)</f>
        <v>收款</v>
      </c>
      <c r="E749" s="26" t="s">
        <v>83</v>
      </c>
      <c r="F749" s="11" t="s">
        <v>593</v>
      </c>
      <c r="G749" s="11" t="s">
        <v>947</v>
      </c>
      <c r="H749" s="72">
        <f>-H748</f>
        <v>-2814</v>
      </c>
      <c r="I749" s="5" t="b">
        <f>AND(Jnl[[#This Row],[TrxId]]&lt;&gt;"",Jnl[[#This Row],[Acct]]&lt;&gt;"",Jnl[[#This Row],[Item]]&lt;&gt;"",ISNUMBER(Jnl[[#This Row],[Bal]]))</f>
        <v>1</v>
      </c>
      <c r="J749" s="10">
        <f>IF(Jnl[[#This Row],[BSLv0]]="A",1,-1)*Jnl[[#This Row],[Bal]]</f>
        <v>-2814</v>
      </c>
      <c r="K749" t="str">
        <f>_xlfn.XLOOKUP(Jnl[[#This Row],[Acct]], config_BS[Acct], config_BS[Lv0],,0)</f>
        <v>A</v>
      </c>
      <c r="L749" t="str">
        <f>_xlfn.XLOOKUP(Jnl[[#This Row],[Acct]], config_BS[Acct], config_BS[Lv1],,0)</f>
        <v>Assets</v>
      </c>
      <c r="M749" t="str">
        <f>_xlfn.XLOOKUP(Jnl[[#This Row],[Acct]], config_BS[Acct], config_BS[Lv2],,0)</f>
        <v>Rec-Pay</v>
      </c>
      <c r="N749" t="str">
        <f>_xlfn.XLOOKUP(Jnl[[#This Row],[TrxId]], Trx[Id], Trx[IncNode], ,0)</f>
        <v>Revenue</v>
      </c>
      <c r="O749" t="str">
        <f>_xlfn.XLOOKUP(Jnl[[#This Row],[IncNode]], config_IS[Node], config_IS[Type],,0)</f>
        <v>Op</v>
      </c>
      <c r="P749" t="str">
        <f>_xlfn.XLOOKUP(Jnl[[#This Row],[BSLv2]], dict[Key], dict[Name],,0)</f>
        <v>1.应收-应付</v>
      </c>
      <c r="Q749" t="str">
        <f>_xlfn.XLOOKUP(Jnl[[#This Row],[Acct]], dict[Key], dict[Name],,0)</f>
        <v>应收-一般</v>
      </c>
      <c r="R749" t="str">
        <f>_xlfn.XLOOKUP(Jnl[[#This Row],[Vehicle]],config_vehicle[Id], config_vehicle[Name],,0)</f>
        <v>远家文化</v>
      </c>
      <c r="S749" t="str">
        <f>_xlfn.XLOOKUP(Jnl[[#This Row],[Division]],config_div[Id], config_div[Name],,0)</f>
        <v>明月村</v>
      </c>
      <c r="T749" t="str">
        <f>IF(Jnl[[#This Row],[TrxDate]]&lt;=stmt_BS_date_end, "In", "Out")</f>
        <v>In</v>
      </c>
      <c r="U749" t="str">
        <f>IF(Jnl[[#This Row],[TrxDate]]&lt;debug_date_start, "prior", IF(Jnl[[#This Row],[TrxDate]]&gt;debug_date_end, "post", "curr"))</f>
        <v>prior</v>
      </c>
    </row>
    <row r="750" spans="1:21">
      <c r="A750" s="11" t="s">
        <v>1188</v>
      </c>
      <c r="B750" s="7">
        <f>_xlfn.XLOOKUP(Jnl[[#This Row],[TrxId]], Trx[Id], Trx[Date],,0)</f>
        <v>46053</v>
      </c>
      <c r="C750" s="7" t="str">
        <f>_xlfn.XLOOKUP(Jnl[[#This Row],[TrxId]], Trx[Id], Trx[Division],,0)</f>
        <v>MY</v>
      </c>
      <c r="D750" s="7" t="str">
        <f>_xlfn.XLOOKUP(Jnl[[#This Row],[TrxId]], Trx[Id], Trx[Action],,0)</f>
        <v>收款</v>
      </c>
      <c r="E750" s="26" t="s">
        <v>107</v>
      </c>
      <c r="F750" s="11" t="s">
        <v>590</v>
      </c>
      <c r="G750" s="11" t="s">
        <v>1186</v>
      </c>
      <c r="H750" s="72">
        <v>14820</v>
      </c>
      <c r="I750" s="5" t="b">
        <f>AND(Jnl[[#This Row],[TrxId]]&lt;&gt;"",Jnl[[#This Row],[Acct]]&lt;&gt;"",Jnl[[#This Row],[Item]]&lt;&gt;"",ISNUMBER(Jnl[[#This Row],[Bal]]))</f>
        <v>1</v>
      </c>
      <c r="J750" s="10">
        <f>IF(Jnl[[#This Row],[BSLv0]]="A",1,-1)*Jnl[[#This Row],[Bal]]</f>
        <v>14820</v>
      </c>
      <c r="K750" t="str">
        <f>_xlfn.XLOOKUP(Jnl[[#This Row],[Acct]], config_BS[Acct], config_BS[Lv0],,0)</f>
        <v>A</v>
      </c>
      <c r="L750" t="str">
        <f>_xlfn.XLOOKUP(Jnl[[#This Row],[Acct]], config_BS[Acct], config_BS[Lv1],,0)</f>
        <v>Assets</v>
      </c>
      <c r="M750" t="str">
        <f>_xlfn.XLOOKUP(Jnl[[#This Row],[Acct]], config_BS[Acct], config_BS[Lv2],,0)</f>
        <v>Cash alike</v>
      </c>
      <c r="N750" t="str">
        <f>_xlfn.XLOOKUP(Jnl[[#This Row],[TrxId]], Trx[Id], Trx[IncNode], ,0)</f>
        <v>Revenue</v>
      </c>
      <c r="O750" t="str">
        <f>_xlfn.XLOOKUP(Jnl[[#This Row],[IncNode]], config_IS[Node], config_IS[Type],,0)</f>
        <v>Op</v>
      </c>
      <c r="P750" t="str">
        <f>_xlfn.XLOOKUP(Jnl[[#This Row],[BSLv2]], dict[Key], dict[Name],,0)</f>
        <v>0.现金及类似</v>
      </c>
      <c r="Q750" t="str">
        <f>_xlfn.XLOOKUP(Jnl[[#This Row],[Acct]], dict[Key], dict[Name],,0)</f>
        <v>银行</v>
      </c>
      <c r="R750" t="str">
        <f>_xlfn.XLOOKUP(Jnl[[#This Row],[Vehicle]],config_vehicle[Id], config_vehicle[Name],,0)</f>
        <v>远家文化蒲江分公司</v>
      </c>
      <c r="S750" t="str">
        <f>_xlfn.XLOOKUP(Jnl[[#This Row],[Division]],config_div[Id], config_div[Name],,0)</f>
        <v>明月村</v>
      </c>
      <c r="T750" t="str">
        <f>IF(Jnl[[#This Row],[TrxDate]]&lt;=stmt_BS_date_end, "In", "Out")</f>
        <v>In</v>
      </c>
      <c r="U750" t="str">
        <f>IF(Jnl[[#This Row],[TrxDate]]&lt;debug_date_start, "prior", IF(Jnl[[#This Row],[TrxDate]]&gt;debug_date_end, "post", "curr"))</f>
        <v>prior</v>
      </c>
    </row>
    <row r="751" spans="1:21">
      <c r="A751" s="11" t="s">
        <v>1188</v>
      </c>
      <c r="B751" s="7">
        <f>_xlfn.XLOOKUP(Jnl[[#This Row],[TrxId]], Trx[Id], Trx[Date],,0)</f>
        <v>46053</v>
      </c>
      <c r="C751" s="7" t="str">
        <f>_xlfn.XLOOKUP(Jnl[[#This Row],[TrxId]], Trx[Id], Trx[Division],,0)</f>
        <v>MY</v>
      </c>
      <c r="D751" s="7" t="str">
        <f>_xlfn.XLOOKUP(Jnl[[#This Row],[TrxId]], Trx[Id], Trx[Action],,0)</f>
        <v>收款</v>
      </c>
      <c r="E751" s="26" t="s">
        <v>83</v>
      </c>
      <c r="F751" s="11" t="s">
        <v>593</v>
      </c>
      <c r="G751" s="11" t="s">
        <v>977</v>
      </c>
      <c r="H751" s="72">
        <f>-H750</f>
        <v>-14820</v>
      </c>
      <c r="I751" s="5" t="b">
        <f>AND(Jnl[[#This Row],[TrxId]]&lt;&gt;"",Jnl[[#This Row],[Acct]]&lt;&gt;"",Jnl[[#This Row],[Item]]&lt;&gt;"",ISNUMBER(Jnl[[#This Row],[Bal]]))</f>
        <v>1</v>
      </c>
      <c r="J751" s="10">
        <f>IF(Jnl[[#This Row],[BSLv0]]="A",1,-1)*Jnl[[#This Row],[Bal]]</f>
        <v>-14820</v>
      </c>
      <c r="K751" t="str">
        <f>_xlfn.XLOOKUP(Jnl[[#This Row],[Acct]], config_BS[Acct], config_BS[Lv0],,0)</f>
        <v>A</v>
      </c>
      <c r="L751" t="str">
        <f>_xlfn.XLOOKUP(Jnl[[#This Row],[Acct]], config_BS[Acct], config_BS[Lv1],,0)</f>
        <v>Assets</v>
      </c>
      <c r="M751" t="str">
        <f>_xlfn.XLOOKUP(Jnl[[#This Row],[Acct]], config_BS[Acct], config_BS[Lv2],,0)</f>
        <v>Rec-Pay</v>
      </c>
      <c r="N751" t="str">
        <f>_xlfn.XLOOKUP(Jnl[[#This Row],[TrxId]], Trx[Id], Trx[IncNode], ,0)</f>
        <v>Revenue</v>
      </c>
      <c r="O751" t="str">
        <f>_xlfn.XLOOKUP(Jnl[[#This Row],[IncNode]], config_IS[Node], config_IS[Type],,0)</f>
        <v>Op</v>
      </c>
      <c r="P751" t="str">
        <f>_xlfn.XLOOKUP(Jnl[[#This Row],[BSLv2]], dict[Key], dict[Name],,0)</f>
        <v>1.应收-应付</v>
      </c>
      <c r="Q751" t="str">
        <f>_xlfn.XLOOKUP(Jnl[[#This Row],[Acct]], dict[Key], dict[Name],,0)</f>
        <v>应收-一般</v>
      </c>
      <c r="R751" t="str">
        <f>_xlfn.XLOOKUP(Jnl[[#This Row],[Vehicle]],config_vehicle[Id], config_vehicle[Name],,0)</f>
        <v>远家文化</v>
      </c>
      <c r="S751" t="str">
        <f>_xlfn.XLOOKUP(Jnl[[#This Row],[Division]],config_div[Id], config_div[Name],,0)</f>
        <v>明月村</v>
      </c>
      <c r="T751" t="str">
        <f>IF(Jnl[[#This Row],[TrxDate]]&lt;=stmt_BS_date_end, "In", "Out")</f>
        <v>In</v>
      </c>
      <c r="U751" t="str">
        <f>IF(Jnl[[#This Row],[TrxDate]]&lt;debug_date_start, "prior", IF(Jnl[[#This Row],[TrxDate]]&gt;debug_date_end, "post", "curr"))</f>
        <v>prior</v>
      </c>
    </row>
    <row r="752" spans="1:21">
      <c r="A752" s="11" t="s">
        <v>1189</v>
      </c>
      <c r="B752" s="7">
        <f>_xlfn.XLOOKUP(Jnl[[#This Row],[TrxId]], Trx[Id], Trx[Date],,0)</f>
        <v>46053</v>
      </c>
      <c r="C752" s="7" t="str">
        <f>_xlfn.XLOOKUP(Jnl[[#This Row],[TrxId]], Trx[Id], Trx[Division],,0)</f>
        <v>MY</v>
      </c>
      <c r="D752" s="7" t="str">
        <f>_xlfn.XLOOKUP(Jnl[[#This Row],[TrxId]], Trx[Id], Trx[Action],,0)</f>
        <v>食材</v>
      </c>
      <c r="E752" s="26" t="s">
        <v>107</v>
      </c>
      <c r="F752" s="11" t="s">
        <v>590</v>
      </c>
      <c r="G752" s="11" t="s">
        <v>1186</v>
      </c>
      <c r="H752" s="72">
        <v>-2708</v>
      </c>
      <c r="I752" s="5" t="b">
        <f>AND(Jnl[[#This Row],[TrxId]]&lt;&gt;"",Jnl[[#This Row],[Acct]]&lt;&gt;"",Jnl[[#This Row],[Item]]&lt;&gt;"",ISNUMBER(Jnl[[#This Row],[Bal]]))</f>
        <v>1</v>
      </c>
      <c r="J752" s="10">
        <f>IF(Jnl[[#This Row],[BSLv0]]="A",1,-1)*Jnl[[#This Row],[Bal]]</f>
        <v>-2708</v>
      </c>
      <c r="K752" t="str">
        <f>_xlfn.XLOOKUP(Jnl[[#This Row],[Acct]], config_BS[Acct], config_BS[Lv0],,0)</f>
        <v>A</v>
      </c>
      <c r="L752" t="str">
        <f>_xlfn.XLOOKUP(Jnl[[#This Row],[Acct]], config_BS[Acct], config_BS[Lv1],,0)</f>
        <v>Assets</v>
      </c>
      <c r="M752" t="str">
        <f>_xlfn.XLOOKUP(Jnl[[#This Row],[Acct]], config_BS[Acct], config_BS[Lv2],,0)</f>
        <v>Cash alike</v>
      </c>
      <c r="N752" t="str">
        <f>_xlfn.XLOOKUP(Jnl[[#This Row],[TrxId]], Trx[Id], Trx[IncNode], ,0)</f>
        <v>Cost</v>
      </c>
      <c r="O752" t="str">
        <f>_xlfn.XLOOKUP(Jnl[[#This Row],[IncNode]], config_IS[Node], config_IS[Type],,0)</f>
        <v>Op</v>
      </c>
      <c r="P752" t="str">
        <f>_xlfn.XLOOKUP(Jnl[[#This Row],[BSLv2]], dict[Key], dict[Name],,0)</f>
        <v>0.现金及类似</v>
      </c>
      <c r="Q752" t="str">
        <f>_xlfn.XLOOKUP(Jnl[[#This Row],[Acct]], dict[Key], dict[Name],,0)</f>
        <v>银行</v>
      </c>
      <c r="R752" t="str">
        <f>_xlfn.XLOOKUP(Jnl[[#This Row],[Vehicle]],config_vehicle[Id], config_vehicle[Name],,0)</f>
        <v>远家文化蒲江分公司</v>
      </c>
      <c r="S752" t="str">
        <f>_xlfn.XLOOKUP(Jnl[[#This Row],[Division]],config_div[Id], config_div[Name],,0)</f>
        <v>明月村</v>
      </c>
      <c r="T752" t="str">
        <f>IF(Jnl[[#This Row],[TrxDate]]&lt;=stmt_BS_date_end, "In", "Out")</f>
        <v>In</v>
      </c>
      <c r="U752" t="str">
        <f>IF(Jnl[[#This Row],[TrxDate]]&lt;debug_date_start, "prior", IF(Jnl[[#This Row],[TrxDate]]&gt;debug_date_end, "post", "curr"))</f>
        <v>prior</v>
      </c>
    </row>
    <row r="753" spans="1:21">
      <c r="A753" s="11" t="s">
        <v>1190</v>
      </c>
      <c r="B753" s="7">
        <f>_xlfn.XLOOKUP(Jnl[[#This Row],[TrxId]], Trx[Id], Trx[Date],,0)</f>
        <v>46053</v>
      </c>
      <c r="C753" s="7" t="str">
        <f>_xlfn.XLOOKUP(Jnl[[#This Row],[TrxId]], Trx[Id], Trx[Division],,0)</f>
        <v>MY</v>
      </c>
      <c r="D753" s="7" t="str">
        <f>_xlfn.XLOOKUP(Jnl[[#This Row],[TrxId]], Trx[Id], Trx[Action],,0)</f>
        <v>包装</v>
      </c>
      <c r="E753" s="26" t="s">
        <v>107</v>
      </c>
      <c r="F753" s="11" t="s">
        <v>590</v>
      </c>
      <c r="G753" s="11" t="s">
        <v>1186</v>
      </c>
      <c r="H753" s="72">
        <v>-611.62</v>
      </c>
      <c r="I753" s="5" t="b">
        <f>AND(Jnl[[#This Row],[TrxId]]&lt;&gt;"",Jnl[[#This Row],[Acct]]&lt;&gt;"",Jnl[[#This Row],[Item]]&lt;&gt;"",ISNUMBER(Jnl[[#This Row],[Bal]]))</f>
        <v>1</v>
      </c>
      <c r="J753" s="10">
        <f>IF(Jnl[[#This Row],[BSLv0]]="A",1,-1)*Jnl[[#This Row],[Bal]]</f>
        <v>-611.62</v>
      </c>
      <c r="K753" t="str">
        <f>_xlfn.XLOOKUP(Jnl[[#This Row],[Acct]], config_BS[Acct], config_BS[Lv0],,0)</f>
        <v>A</v>
      </c>
      <c r="L753" t="str">
        <f>_xlfn.XLOOKUP(Jnl[[#This Row],[Acct]], config_BS[Acct], config_BS[Lv1],,0)</f>
        <v>Assets</v>
      </c>
      <c r="M753" t="str">
        <f>_xlfn.XLOOKUP(Jnl[[#This Row],[Acct]], config_BS[Acct], config_BS[Lv2],,0)</f>
        <v>Cash alike</v>
      </c>
      <c r="N753" t="str">
        <f>_xlfn.XLOOKUP(Jnl[[#This Row],[TrxId]], Trx[Id], Trx[IncNode], ,0)</f>
        <v>Cost</v>
      </c>
      <c r="O753" t="str">
        <f>_xlfn.XLOOKUP(Jnl[[#This Row],[IncNode]], config_IS[Node], config_IS[Type],,0)</f>
        <v>Op</v>
      </c>
      <c r="P753" t="str">
        <f>_xlfn.XLOOKUP(Jnl[[#This Row],[BSLv2]], dict[Key], dict[Name],,0)</f>
        <v>0.现金及类似</v>
      </c>
      <c r="Q753" t="str">
        <f>_xlfn.XLOOKUP(Jnl[[#This Row],[Acct]], dict[Key], dict[Name],,0)</f>
        <v>银行</v>
      </c>
      <c r="R753" t="str">
        <f>_xlfn.XLOOKUP(Jnl[[#This Row],[Vehicle]],config_vehicle[Id], config_vehicle[Name],,0)</f>
        <v>远家文化蒲江分公司</v>
      </c>
      <c r="S753" t="str">
        <f>_xlfn.XLOOKUP(Jnl[[#This Row],[Division]],config_div[Id], config_div[Name],,0)</f>
        <v>明月村</v>
      </c>
      <c r="T753" t="str">
        <f>IF(Jnl[[#This Row],[TrxDate]]&lt;=stmt_BS_date_end, "In", "Out")</f>
        <v>In</v>
      </c>
      <c r="U753" t="str">
        <f>IF(Jnl[[#This Row],[TrxDate]]&lt;debug_date_start, "prior", IF(Jnl[[#This Row],[TrxDate]]&gt;debug_date_end, "post", "curr"))</f>
        <v>prior</v>
      </c>
    </row>
    <row r="754" spans="1:21">
      <c r="A754" s="11" t="s">
        <v>1191</v>
      </c>
      <c r="B754" s="7">
        <f>_xlfn.XLOOKUP(Jnl[[#This Row],[TrxId]], Trx[Id], Trx[Date],,0)</f>
        <v>46053</v>
      </c>
      <c r="C754" s="7" t="str">
        <f>_xlfn.XLOOKUP(Jnl[[#This Row],[TrxId]], Trx[Id], Trx[Division],,0)</f>
        <v>GM</v>
      </c>
      <c r="D754" s="7" t="str">
        <f>_xlfn.XLOOKUP(Jnl[[#This Row],[TrxId]], Trx[Id], Trx[Action],,0)</f>
        <v>薪酬-社保</v>
      </c>
      <c r="E754" s="26" t="s">
        <v>107</v>
      </c>
      <c r="F754" s="11" t="s">
        <v>590</v>
      </c>
      <c r="G754" s="11" t="s">
        <v>1186</v>
      </c>
      <c r="H754" s="72">
        <v>-18017.009999999998</v>
      </c>
      <c r="I754" s="5" t="b">
        <f>AND(Jnl[[#This Row],[TrxId]]&lt;&gt;"",Jnl[[#This Row],[Acct]]&lt;&gt;"",Jnl[[#This Row],[Item]]&lt;&gt;"",ISNUMBER(Jnl[[#This Row],[Bal]]))</f>
        <v>1</v>
      </c>
      <c r="J754" s="10">
        <f>IF(Jnl[[#This Row],[BSLv0]]="A",1,-1)*Jnl[[#This Row],[Bal]]</f>
        <v>-18017.009999999998</v>
      </c>
      <c r="K754" t="str">
        <f>_xlfn.XLOOKUP(Jnl[[#This Row],[Acct]], config_BS[Acct], config_BS[Lv0],,0)</f>
        <v>A</v>
      </c>
      <c r="L754" t="str">
        <f>_xlfn.XLOOKUP(Jnl[[#This Row],[Acct]], config_BS[Acct], config_BS[Lv1],,0)</f>
        <v>Assets</v>
      </c>
      <c r="M754" t="str">
        <f>_xlfn.XLOOKUP(Jnl[[#This Row],[Acct]], config_BS[Acct], config_BS[Lv2],,0)</f>
        <v>Cash alike</v>
      </c>
      <c r="N754" t="str">
        <f>_xlfn.XLOOKUP(Jnl[[#This Row],[TrxId]], Trx[Id], Trx[IncNode], ,0)</f>
        <v>Expense</v>
      </c>
      <c r="O754" t="str">
        <f>_xlfn.XLOOKUP(Jnl[[#This Row],[IncNode]], config_IS[Node], config_IS[Type],,0)</f>
        <v>Op</v>
      </c>
      <c r="P754" t="str">
        <f>_xlfn.XLOOKUP(Jnl[[#This Row],[BSLv2]], dict[Key], dict[Name],,0)</f>
        <v>0.现金及类似</v>
      </c>
      <c r="Q754" t="str">
        <f>_xlfn.XLOOKUP(Jnl[[#This Row],[Acct]], dict[Key], dict[Name],,0)</f>
        <v>银行</v>
      </c>
      <c r="R754" t="str">
        <f>_xlfn.XLOOKUP(Jnl[[#This Row],[Vehicle]],config_vehicle[Id], config_vehicle[Name],,0)</f>
        <v>远家文化蒲江分公司</v>
      </c>
      <c r="S754" t="str">
        <f>_xlfn.XLOOKUP(Jnl[[#This Row],[Division]],config_div[Id], config_div[Name],,0)</f>
        <v>综合管理</v>
      </c>
      <c r="T754" t="str">
        <f>IF(Jnl[[#This Row],[TrxDate]]&lt;=stmt_BS_date_end, "In", "Out")</f>
        <v>In</v>
      </c>
      <c r="U754" t="str">
        <f>IF(Jnl[[#This Row],[TrxDate]]&lt;debug_date_start, "prior", IF(Jnl[[#This Row],[TrxDate]]&gt;debug_date_end, "post", "curr"))</f>
        <v>prior</v>
      </c>
    </row>
    <row r="755" spans="1:21">
      <c r="A755" s="11" t="s">
        <v>1192</v>
      </c>
      <c r="B755" s="7">
        <f>_xlfn.XLOOKUP(Jnl[[#This Row],[TrxId]], Trx[Id], Trx[Date],,0)</f>
        <v>46053</v>
      </c>
      <c r="C755" s="7" t="str">
        <f>_xlfn.XLOOKUP(Jnl[[#This Row],[TrxId]], Trx[Id], Trx[Division],,0)</f>
        <v>MY</v>
      </c>
      <c r="D755" s="7" t="str">
        <f>_xlfn.XLOOKUP(Jnl[[#This Row],[TrxId]], Trx[Id], Trx[Action],,0)</f>
        <v>支付</v>
      </c>
      <c r="E755" s="26" t="s">
        <v>107</v>
      </c>
      <c r="F755" s="11" t="s">
        <v>590</v>
      </c>
      <c r="G755" s="11" t="s">
        <v>1186</v>
      </c>
      <c r="H755" s="72">
        <v>-47923.6</v>
      </c>
      <c r="I755" s="5" t="b">
        <f>AND(Jnl[[#This Row],[TrxId]]&lt;&gt;"",Jnl[[#This Row],[Acct]]&lt;&gt;"",Jnl[[#This Row],[Item]]&lt;&gt;"",ISNUMBER(Jnl[[#This Row],[Bal]]))</f>
        <v>1</v>
      </c>
      <c r="J755" s="10">
        <f>IF(Jnl[[#This Row],[BSLv0]]="A",1,-1)*Jnl[[#This Row],[Bal]]</f>
        <v>-47923.6</v>
      </c>
      <c r="K755" t="str">
        <f>_xlfn.XLOOKUP(Jnl[[#This Row],[Acct]], config_BS[Acct], config_BS[Lv0],,0)</f>
        <v>A</v>
      </c>
      <c r="L755" t="str">
        <f>_xlfn.XLOOKUP(Jnl[[#This Row],[Acct]], config_BS[Acct], config_BS[Lv1],,0)</f>
        <v>Assets</v>
      </c>
      <c r="M755" t="str">
        <f>_xlfn.XLOOKUP(Jnl[[#This Row],[Acct]], config_BS[Acct], config_BS[Lv2],,0)</f>
        <v>Cash alike</v>
      </c>
      <c r="N755" t="str">
        <f>_xlfn.XLOOKUP(Jnl[[#This Row],[TrxId]], Trx[Id], Trx[IncNode], ,0)</f>
        <v>Expense</v>
      </c>
      <c r="O755" t="str">
        <f>_xlfn.XLOOKUP(Jnl[[#This Row],[IncNode]], config_IS[Node], config_IS[Type],,0)</f>
        <v>Op</v>
      </c>
      <c r="P755" t="str">
        <f>_xlfn.XLOOKUP(Jnl[[#This Row],[BSLv2]], dict[Key], dict[Name],,0)</f>
        <v>0.现金及类似</v>
      </c>
      <c r="Q755" t="str">
        <f>_xlfn.XLOOKUP(Jnl[[#This Row],[Acct]], dict[Key], dict[Name],,0)</f>
        <v>银行</v>
      </c>
      <c r="R755" t="str">
        <f>_xlfn.XLOOKUP(Jnl[[#This Row],[Vehicle]],config_vehicle[Id], config_vehicle[Name],,0)</f>
        <v>远家文化蒲江分公司</v>
      </c>
      <c r="S755" t="str">
        <f>_xlfn.XLOOKUP(Jnl[[#This Row],[Division]],config_div[Id], config_div[Name],,0)</f>
        <v>明月村</v>
      </c>
      <c r="T755" t="str">
        <f>IF(Jnl[[#This Row],[TrxDate]]&lt;=stmt_BS_date_end, "In", "Out")</f>
        <v>In</v>
      </c>
      <c r="U755" t="str">
        <f>IF(Jnl[[#This Row],[TrxDate]]&lt;debug_date_start, "prior", IF(Jnl[[#This Row],[TrxDate]]&gt;debug_date_end, "post", "curr"))</f>
        <v>prior</v>
      </c>
    </row>
    <row r="756" spans="1:21">
      <c r="A756" s="11" t="s">
        <v>1192</v>
      </c>
      <c r="B756" s="7">
        <f>_xlfn.XLOOKUP(Jnl[[#This Row],[TrxId]], Trx[Id], Trx[Date],,0)</f>
        <v>46053</v>
      </c>
      <c r="C756" s="7" t="str">
        <f>_xlfn.XLOOKUP(Jnl[[#This Row],[TrxId]], Trx[Id], Trx[Division],,0)</f>
        <v>MY</v>
      </c>
      <c r="D756" s="7" t="str">
        <f>_xlfn.XLOOKUP(Jnl[[#This Row],[TrxId]], Trx[Id], Trx[Action],,0)</f>
        <v>支付</v>
      </c>
      <c r="E756" s="26" t="s">
        <v>1012</v>
      </c>
      <c r="F756" s="11" t="s">
        <v>596</v>
      </c>
      <c r="G756" s="11" t="s">
        <v>149</v>
      </c>
      <c r="H756" s="72">
        <f>H755</f>
        <v>-47923.6</v>
      </c>
      <c r="I756" s="5" t="b">
        <f>AND(Jnl[[#This Row],[TrxId]]&lt;&gt;"",Jnl[[#This Row],[Acct]]&lt;&gt;"",Jnl[[#This Row],[Item]]&lt;&gt;"",ISNUMBER(Jnl[[#This Row],[Bal]]))</f>
        <v>1</v>
      </c>
      <c r="J756" s="10">
        <f>IF(Jnl[[#This Row],[BSLv0]]="A",1,-1)*Jnl[[#This Row],[Bal]]</f>
        <v>47923.6</v>
      </c>
      <c r="K756" t="str">
        <f>_xlfn.XLOOKUP(Jnl[[#This Row],[Acct]], config_BS[Acct], config_BS[Lv0],,0)</f>
        <v>LC</v>
      </c>
      <c r="L756" t="str">
        <f>_xlfn.XLOOKUP(Jnl[[#This Row],[Acct]], config_BS[Acct], config_BS[Lv1],,0)</f>
        <v>Liability</v>
      </c>
      <c r="M756" t="str">
        <f>_xlfn.XLOOKUP(Jnl[[#This Row],[Acct]], config_BS[Acct], config_BS[Lv2],,0)</f>
        <v>Rec-Pay</v>
      </c>
      <c r="N756" t="str">
        <f>_xlfn.XLOOKUP(Jnl[[#This Row],[TrxId]], Trx[Id], Trx[IncNode], ,0)</f>
        <v>Expense</v>
      </c>
      <c r="O756" t="str">
        <f>_xlfn.XLOOKUP(Jnl[[#This Row],[IncNode]], config_IS[Node], config_IS[Type],,0)</f>
        <v>Op</v>
      </c>
      <c r="P756" t="str">
        <f>_xlfn.XLOOKUP(Jnl[[#This Row],[BSLv2]], dict[Key], dict[Name],,0)</f>
        <v>1.应收-应付</v>
      </c>
      <c r="Q756" t="str">
        <f>_xlfn.XLOOKUP(Jnl[[#This Row],[Acct]], dict[Key], dict[Name],,0)</f>
        <v>应付-薪资</v>
      </c>
      <c r="R756" t="str">
        <f>_xlfn.XLOOKUP(Jnl[[#This Row],[Vehicle]],config_vehicle[Id], config_vehicle[Name],,0)</f>
        <v>远家文化</v>
      </c>
      <c r="S756" t="str">
        <f>_xlfn.XLOOKUP(Jnl[[#This Row],[Division]],config_div[Id], config_div[Name],,0)</f>
        <v>明月村</v>
      </c>
      <c r="T756" t="str">
        <f>IF(Jnl[[#This Row],[TrxDate]]&lt;=stmt_BS_date_end, "In", "Out")</f>
        <v>In</v>
      </c>
      <c r="U756" t="str">
        <f>IF(Jnl[[#This Row],[TrxDate]]&lt;debug_date_start, "prior", IF(Jnl[[#This Row],[TrxDate]]&gt;debug_date_end, "post", "curr"))</f>
        <v>prior</v>
      </c>
    </row>
    <row r="757" spans="1:21">
      <c r="A757" s="11" t="s">
        <v>1193</v>
      </c>
      <c r="B757" s="7">
        <f>_xlfn.XLOOKUP(Jnl[[#This Row],[TrxId]], Trx[Id], Trx[Date],,0)</f>
        <v>46053</v>
      </c>
      <c r="C757" s="7" t="str">
        <f>_xlfn.XLOOKUP(Jnl[[#This Row],[TrxId]], Trx[Id], Trx[Division],,0)</f>
        <v>MY</v>
      </c>
      <c r="D757" s="7" t="str">
        <f>_xlfn.XLOOKUP(Jnl[[#This Row],[TrxId]], Trx[Id], Trx[Action],,0)</f>
        <v>退款-客人</v>
      </c>
      <c r="E757" s="26" t="s">
        <v>107</v>
      </c>
      <c r="F757" s="11" t="s">
        <v>590</v>
      </c>
      <c r="G757" s="11" t="s">
        <v>1186</v>
      </c>
      <c r="H757" s="72">
        <v>-980</v>
      </c>
      <c r="I757" s="5" t="b">
        <f>AND(Jnl[[#This Row],[TrxId]]&lt;&gt;"",Jnl[[#This Row],[Acct]]&lt;&gt;"",Jnl[[#This Row],[Item]]&lt;&gt;"",ISNUMBER(Jnl[[#This Row],[Bal]]))</f>
        <v>1</v>
      </c>
      <c r="J757" s="10">
        <f>IF(Jnl[[#This Row],[BSLv0]]="A",1,-1)*Jnl[[#This Row],[Bal]]</f>
        <v>-980</v>
      </c>
      <c r="K757" t="str">
        <f>_xlfn.XLOOKUP(Jnl[[#This Row],[Acct]], config_BS[Acct], config_BS[Lv0],,0)</f>
        <v>A</v>
      </c>
      <c r="L757" t="str">
        <f>_xlfn.XLOOKUP(Jnl[[#This Row],[Acct]], config_BS[Acct], config_BS[Lv1],,0)</f>
        <v>Assets</v>
      </c>
      <c r="M757" t="str">
        <f>_xlfn.XLOOKUP(Jnl[[#This Row],[Acct]], config_BS[Acct], config_BS[Lv2],,0)</f>
        <v>Cash alike</v>
      </c>
      <c r="N757" t="str">
        <f>_xlfn.XLOOKUP(Jnl[[#This Row],[TrxId]], Trx[Id], Trx[IncNode], ,0)</f>
        <v>Revenue</v>
      </c>
      <c r="O757" t="str">
        <f>_xlfn.XLOOKUP(Jnl[[#This Row],[IncNode]], config_IS[Node], config_IS[Type],,0)</f>
        <v>Op</v>
      </c>
      <c r="P757" t="str">
        <f>_xlfn.XLOOKUP(Jnl[[#This Row],[BSLv2]], dict[Key], dict[Name],,0)</f>
        <v>0.现金及类似</v>
      </c>
      <c r="Q757" t="str">
        <f>_xlfn.XLOOKUP(Jnl[[#This Row],[Acct]], dict[Key], dict[Name],,0)</f>
        <v>银行</v>
      </c>
      <c r="R757" t="str">
        <f>_xlfn.XLOOKUP(Jnl[[#This Row],[Vehicle]],config_vehicle[Id], config_vehicle[Name],,0)</f>
        <v>远家文化蒲江分公司</v>
      </c>
      <c r="S757" t="str">
        <f>_xlfn.XLOOKUP(Jnl[[#This Row],[Division]],config_div[Id], config_div[Name],,0)</f>
        <v>明月村</v>
      </c>
      <c r="T757" t="str">
        <f>IF(Jnl[[#This Row],[TrxDate]]&lt;=stmt_BS_date_end, "In", "Out")</f>
        <v>In</v>
      </c>
      <c r="U757" t="str">
        <f>IF(Jnl[[#This Row],[TrxDate]]&lt;debug_date_start, "prior", IF(Jnl[[#This Row],[TrxDate]]&gt;debug_date_end, "post", "curr"))</f>
        <v>prior</v>
      </c>
    </row>
    <row r="758" spans="1:21">
      <c r="A758" s="11" t="s">
        <v>1193</v>
      </c>
      <c r="B758" s="7">
        <f>_xlfn.XLOOKUP(Jnl[[#This Row],[TrxId]], Trx[Id], Trx[Date],,0)</f>
        <v>46053</v>
      </c>
      <c r="C758" s="7" t="str">
        <f>_xlfn.XLOOKUP(Jnl[[#This Row],[TrxId]], Trx[Id], Trx[Division],,0)</f>
        <v>MY</v>
      </c>
      <c r="D758" s="7" t="str">
        <f>_xlfn.XLOOKUP(Jnl[[#This Row],[TrxId]], Trx[Id], Trx[Action],,0)</f>
        <v>退款-客人</v>
      </c>
      <c r="E758" s="26" t="s">
        <v>83</v>
      </c>
      <c r="F758" s="11" t="s">
        <v>1194</v>
      </c>
      <c r="G758" s="11" t="s">
        <v>920</v>
      </c>
      <c r="H758" s="72">
        <v>-980</v>
      </c>
      <c r="I758" s="5" t="b">
        <f>AND(Jnl[[#This Row],[TrxId]]&lt;&gt;"",Jnl[[#This Row],[Acct]]&lt;&gt;"",Jnl[[#This Row],[Item]]&lt;&gt;"",ISNUMBER(Jnl[[#This Row],[Bal]]))</f>
        <v>1</v>
      </c>
      <c r="J758" s="10">
        <f>IF(Jnl[[#This Row],[BSLv0]]="A",1,-1)*Jnl[[#This Row],[Bal]]</f>
        <v>980</v>
      </c>
      <c r="K758" t="str">
        <f>_xlfn.XLOOKUP(Jnl[[#This Row],[Acct]], config_BS[Acct], config_BS[Lv0],,0)</f>
        <v>LC</v>
      </c>
      <c r="L758" t="str">
        <f>_xlfn.XLOOKUP(Jnl[[#This Row],[Acct]], config_BS[Acct], config_BS[Lv1],,0)</f>
        <v>Liability</v>
      </c>
      <c r="M758" t="str">
        <f>_xlfn.XLOOKUP(Jnl[[#This Row],[Acct]], config_BS[Acct], config_BS[Lv2],,0)</f>
        <v>Cash alike</v>
      </c>
      <c r="N758" t="str">
        <f>_xlfn.XLOOKUP(Jnl[[#This Row],[TrxId]], Trx[Id], Trx[IncNode], ,0)</f>
        <v>Revenue</v>
      </c>
      <c r="O758" t="str">
        <f>_xlfn.XLOOKUP(Jnl[[#This Row],[IncNode]], config_IS[Node], config_IS[Type],,0)</f>
        <v>Op</v>
      </c>
      <c r="P758" t="str">
        <f>_xlfn.XLOOKUP(Jnl[[#This Row],[BSLv2]], dict[Key], dict[Name],,0)</f>
        <v>0.现金及类似</v>
      </c>
      <c r="Q758" t="str">
        <f>_xlfn.XLOOKUP(Jnl[[#This Row],[Acct]], dict[Key], dict[Name],,0)</f>
        <v>会员充值</v>
      </c>
      <c r="R758" t="str">
        <f>_xlfn.XLOOKUP(Jnl[[#This Row],[Vehicle]],config_vehicle[Id], config_vehicle[Name],,0)</f>
        <v>远家文化</v>
      </c>
      <c r="S758" t="str">
        <f>_xlfn.XLOOKUP(Jnl[[#This Row],[Division]],config_div[Id], config_div[Name],,0)</f>
        <v>明月村</v>
      </c>
      <c r="T758" t="str">
        <f>IF(Jnl[[#This Row],[TrxDate]]&lt;=stmt_BS_date_end, "In", "Out")</f>
        <v>In</v>
      </c>
      <c r="U758" t="str">
        <f>IF(Jnl[[#This Row],[TrxDate]]&lt;debug_date_start, "prior", IF(Jnl[[#This Row],[TrxDate]]&gt;debug_date_end, "post", "curr"))</f>
        <v>prior</v>
      </c>
    </row>
    <row r="759" spans="1:21">
      <c r="A759" s="11" t="s">
        <v>1195</v>
      </c>
      <c r="B759" s="7">
        <f>_xlfn.XLOOKUP(Jnl[[#This Row],[TrxId]], Trx[Id], Trx[Date],,0)</f>
        <v>46053</v>
      </c>
      <c r="C759" s="7" t="str">
        <f>_xlfn.XLOOKUP(Jnl[[#This Row],[TrxId]], Trx[Id], Trx[Division],,0)</f>
        <v>MY</v>
      </c>
      <c r="D759" s="7" t="str">
        <f>_xlfn.XLOOKUP(Jnl[[#This Row],[TrxId]], Trx[Id], Trx[Action],,0)</f>
        <v>过账</v>
      </c>
      <c r="E759" s="26" t="s">
        <v>88</v>
      </c>
      <c r="F759" s="11" t="s">
        <v>590</v>
      </c>
      <c r="G759" s="11" t="s">
        <v>1184</v>
      </c>
      <c r="H759" s="72">
        <v>30000</v>
      </c>
      <c r="I759" s="5" t="b">
        <f>AND(Jnl[[#This Row],[TrxId]]&lt;&gt;"",Jnl[[#This Row],[Acct]]&lt;&gt;"",Jnl[[#This Row],[Item]]&lt;&gt;"",ISNUMBER(Jnl[[#This Row],[Bal]]))</f>
        <v>1</v>
      </c>
      <c r="J759" s="10">
        <f>IF(Jnl[[#This Row],[BSLv0]]="A",1,-1)*Jnl[[#This Row],[Bal]]</f>
        <v>30000</v>
      </c>
      <c r="K759" t="str">
        <f>_xlfn.XLOOKUP(Jnl[[#This Row],[Acct]], config_BS[Acct], config_BS[Lv0],,0)</f>
        <v>A</v>
      </c>
      <c r="L759" t="str">
        <f>_xlfn.XLOOKUP(Jnl[[#This Row],[Acct]], config_BS[Acct], config_BS[Lv1],,0)</f>
        <v>Assets</v>
      </c>
      <c r="M759" t="str">
        <f>_xlfn.XLOOKUP(Jnl[[#This Row],[Acct]], config_BS[Acct], config_BS[Lv2],,0)</f>
        <v>Cash alike</v>
      </c>
      <c r="N759" t="str">
        <f>_xlfn.XLOOKUP(Jnl[[#This Row],[TrxId]], Trx[Id], Trx[IncNode], ,0)</f>
        <v>Other</v>
      </c>
      <c r="O759" t="str">
        <f>_xlfn.XLOOKUP(Jnl[[#This Row],[IncNode]], config_IS[Node], config_IS[Type],,0)</f>
        <v>Non-Op</v>
      </c>
      <c r="P759" t="str">
        <f>_xlfn.XLOOKUP(Jnl[[#This Row],[BSLv2]], dict[Key], dict[Name],,0)</f>
        <v>0.现金及类似</v>
      </c>
      <c r="Q759" t="str">
        <f>_xlfn.XLOOKUP(Jnl[[#This Row],[Acct]], dict[Key], dict[Name],,0)</f>
        <v>银行</v>
      </c>
      <c r="R759" t="str">
        <f>_xlfn.XLOOKUP(Jnl[[#This Row],[Vehicle]],config_vehicle[Id], config_vehicle[Name],,0)</f>
        <v>郑术燕</v>
      </c>
      <c r="S759" t="str">
        <f>_xlfn.XLOOKUP(Jnl[[#This Row],[Division]],config_div[Id], config_div[Name],,0)</f>
        <v>明月村</v>
      </c>
      <c r="T759" t="str">
        <f>IF(Jnl[[#This Row],[TrxDate]]&lt;=stmt_BS_date_end, "In", "Out")</f>
        <v>In</v>
      </c>
      <c r="U759" t="str">
        <f>IF(Jnl[[#This Row],[TrxDate]]&lt;debug_date_start, "prior", IF(Jnl[[#This Row],[TrxDate]]&gt;debug_date_end, "post", "curr"))</f>
        <v>prior</v>
      </c>
    </row>
    <row r="760" spans="1:21">
      <c r="A760" s="11" t="s">
        <v>1195</v>
      </c>
      <c r="B760" s="7">
        <f>_xlfn.XLOOKUP(Jnl[[#This Row],[TrxId]], Trx[Id], Trx[Date],,0)</f>
        <v>46053</v>
      </c>
      <c r="C760" s="7" t="str">
        <f>_xlfn.XLOOKUP(Jnl[[#This Row],[TrxId]], Trx[Id], Trx[Division],,0)</f>
        <v>MY</v>
      </c>
      <c r="D760" s="7" t="str">
        <f>_xlfn.XLOOKUP(Jnl[[#This Row],[TrxId]], Trx[Id], Trx[Action],,0)</f>
        <v>过账</v>
      </c>
      <c r="E760" s="26" t="s">
        <v>107</v>
      </c>
      <c r="F760" s="11" t="s">
        <v>590</v>
      </c>
      <c r="G760" s="11" t="s">
        <v>1186</v>
      </c>
      <c r="H760" s="72">
        <v>-30000</v>
      </c>
      <c r="I760" s="5" t="b">
        <f>AND(Jnl[[#This Row],[TrxId]]&lt;&gt;"",Jnl[[#This Row],[Acct]]&lt;&gt;"",Jnl[[#This Row],[Item]]&lt;&gt;"",ISNUMBER(Jnl[[#This Row],[Bal]]))</f>
        <v>1</v>
      </c>
      <c r="J760" s="10">
        <f>IF(Jnl[[#This Row],[BSLv0]]="A",1,-1)*Jnl[[#This Row],[Bal]]</f>
        <v>-30000</v>
      </c>
      <c r="K760" t="str">
        <f>_xlfn.XLOOKUP(Jnl[[#This Row],[Acct]], config_BS[Acct], config_BS[Lv0],,0)</f>
        <v>A</v>
      </c>
      <c r="L760" t="str">
        <f>_xlfn.XLOOKUP(Jnl[[#This Row],[Acct]], config_BS[Acct], config_BS[Lv1],,0)</f>
        <v>Assets</v>
      </c>
      <c r="M760" t="str">
        <f>_xlfn.XLOOKUP(Jnl[[#This Row],[Acct]], config_BS[Acct], config_BS[Lv2],,0)</f>
        <v>Cash alike</v>
      </c>
      <c r="N760" t="str">
        <f>_xlfn.XLOOKUP(Jnl[[#This Row],[TrxId]], Trx[Id], Trx[IncNode], ,0)</f>
        <v>Other</v>
      </c>
      <c r="O760" t="str">
        <f>_xlfn.XLOOKUP(Jnl[[#This Row],[IncNode]], config_IS[Node], config_IS[Type],,0)</f>
        <v>Non-Op</v>
      </c>
      <c r="P760" t="str">
        <f>_xlfn.XLOOKUP(Jnl[[#This Row],[BSLv2]], dict[Key], dict[Name],,0)</f>
        <v>0.现金及类似</v>
      </c>
      <c r="Q760" t="str">
        <f>_xlfn.XLOOKUP(Jnl[[#This Row],[Acct]], dict[Key], dict[Name],,0)</f>
        <v>银行</v>
      </c>
      <c r="R760" t="str">
        <f>_xlfn.XLOOKUP(Jnl[[#This Row],[Vehicle]],config_vehicle[Id], config_vehicle[Name],,0)</f>
        <v>远家文化蒲江分公司</v>
      </c>
      <c r="S760" t="str">
        <f>_xlfn.XLOOKUP(Jnl[[#This Row],[Division]],config_div[Id], config_div[Name],,0)</f>
        <v>明月村</v>
      </c>
      <c r="T760" t="str">
        <f>IF(Jnl[[#This Row],[TrxDate]]&lt;=stmt_BS_date_end, "In", "Out")</f>
        <v>In</v>
      </c>
      <c r="U760" t="str">
        <f>IF(Jnl[[#This Row],[TrxDate]]&lt;debug_date_start, "prior", IF(Jnl[[#This Row],[TrxDate]]&gt;debug_date_end, "post", "curr"))</f>
        <v>prior</v>
      </c>
    </row>
    <row r="761" spans="1:21">
      <c r="A761" s="11" t="s">
        <v>1196</v>
      </c>
      <c r="B761" s="7">
        <f>_xlfn.XLOOKUP(Jnl[[#This Row],[TrxId]], Trx[Id], Trx[Date],,0)</f>
        <v>46053</v>
      </c>
      <c r="C761" s="7" t="str">
        <f>_xlfn.XLOOKUP(Jnl[[#This Row],[TrxId]], Trx[Id], Trx[Division],,0)</f>
        <v>MY</v>
      </c>
      <c r="D761" s="7" t="str">
        <f>_xlfn.XLOOKUP(Jnl[[#This Row],[TrxId]], Trx[Id], Trx[Action],,0)</f>
        <v>其他材料</v>
      </c>
      <c r="E761" s="26" t="s">
        <v>107</v>
      </c>
      <c r="F761" s="11" t="s">
        <v>590</v>
      </c>
      <c r="G761" s="11" t="s">
        <v>1186</v>
      </c>
      <c r="H761" s="72">
        <v>-360</v>
      </c>
      <c r="I761" s="5" t="b">
        <f>AND(Jnl[[#This Row],[TrxId]]&lt;&gt;"",Jnl[[#This Row],[Acct]]&lt;&gt;"",Jnl[[#This Row],[Item]]&lt;&gt;"",ISNUMBER(Jnl[[#This Row],[Bal]]))</f>
        <v>1</v>
      </c>
      <c r="J761" s="10">
        <f>IF(Jnl[[#This Row],[BSLv0]]="A",1,-1)*Jnl[[#This Row],[Bal]]</f>
        <v>-360</v>
      </c>
      <c r="K761" t="str">
        <f>_xlfn.XLOOKUP(Jnl[[#This Row],[Acct]], config_BS[Acct], config_BS[Lv0],,0)</f>
        <v>A</v>
      </c>
      <c r="L761" t="str">
        <f>_xlfn.XLOOKUP(Jnl[[#This Row],[Acct]], config_BS[Acct], config_BS[Lv1],,0)</f>
        <v>Assets</v>
      </c>
      <c r="M761" t="str">
        <f>_xlfn.XLOOKUP(Jnl[[#This Row],[Acct]], config_BS[Acct], config_BS[Lv2],,0)</f>
        <v>Cash alike</v>
      </c>
      <c r="N761" t="str">
        <f>_xlfn.XLOOKUP(Jnl[[#This Row],[TrxId]], Trx[Id], Trx[IncNode], ,0)</f>
        <v>Cost</v>
      </c>
      <c r="O761" t="str">
        <f>_xlfn.XLOOKUP(Jnl[[#This Row],[IncNode]], config_IS[Node], config_IS[Type],,0)</f>
        <v>Op</v>
      </c>
      <c r="P761" t="str">
        <f>_xlfn.XLOOKUP(Jnl[[#This Row],[BSLv2]], dict[Key], dict[Name],,0)</f>
        <v>0.现金及类似</v>
      </c>
      <c r="Q761" t="str">
        <f>_xlfn.XLOOKUP(Jnl[[#This Row],[Acct]], dict[Key], dict[Name],,0)</f>
        <v>银行</v>
      </c>
      <c r="R761" t="str">
        <f>_xlfn.XLOOKUP(Jnl[[#This Row],[Vehicle]],config_vehicle[Id], config_vehicle[Name],,0)</f>
        <v>远家文化蒲江分公司</v>
      </c>
      <c r="S761" t="str">
        <f>_xlfn.XLOOKUP(Jnl[[#This Row],[Division]],config_div[Id], config_div[Name],,0)</f>
        <v>明月村</v>
      </c>
      <c r="T761" t="str">
        <f>IF(Jnl[[#This Row],[TrxDate]]&lt;=stmt_BS_date_end, "In", "Out")</f>
        <v>In</v>
      </c>
      <c r="U761" t="str">
        <f>IF(Jnl[[#This Row],[TrxDate]]&lt;debug_date_start, "prior", IF(Jnl[[#This Row],[TrxDate]]&gt;debug_date_end, "post", "curr"))</f>
        <v>prior</v>
      </c>
    </row>
    <row r="762" spans="1:21">
      <c r="A762" s="11" t="s">
        <v>1197</v>
      </c>
      <c r="B762" s="7">
        <f>_xlfn.XLOOKUP(Jnl[[#This Row],[TrxId]], Trx[Id], Trx[Date],,0)</f>
        <v>46053</v>
      </c>
      <c r="C762" s="7" t="str">
        <f>_xlfn.XLOOKUP(Jnl[[#This Row],[TrxId]], Trx[Id], Trx[Division],,0)</f>
        <v>MY</v>
      </c>
      <c r="D762" s="7" t="str">
        <f>_xlfn.XLOOKUP(Jnl[[#This Row],[TrxId]], Trx[Id], Trx[Action],,0)</f>
        <v>退款-客人</v>
      </c>
      <c r="E762" s="26" t="s">
        <v>107</v>
      </c>
      <c r="F762" s="11" t="s">
        <v>590</v>
      </c>
      <c r="G762" s="11" t="s">
        <v>1186</v>
      </c>
      <c r="H762" s="72">
        <v>-2744</v>
      </c>
      <c r="I762" s="5" t="b">
        <f>AND(Jnl[[#This Row],[TrxId]]&lt;&gt;"",Jnl[[#This Row],[Acct]]&lt;&gt;"",Jnl[[#This Row],[Item]]&lt;&gt;"",ISNUMBER(Jnl[[#This Row],[Bal]]))</f>
        <v>1</v>
      </c>
      <c r="J762" s="10">
        <f>IF(Jnl[[#This Row],[BSLv0]]="A",1,-1)*Jnl[[#This Row],[Bal]]</f>
        <v>-2744</v>
      </c>
      <c r="K762" t="str">
        <f>_xlfn.XLOOKUP(Jnl[[#This Row],[Acct]], config_BS[Acct], config_BS[Lv0],,0)</f>
        <v>A</v>
      </c>
      <c r="L762" t="str">
        <f>_xlfn.XLOOKUP(Jnl[[#This Row],[Acct]], config_BS[Acct], config_BS[Lv1],,0)</f>
        <v>Assets</v>
      </c>
      <c r="M762" t="str">
        <f>_xlfn.XLOOKUP(Jnl[[#This Row],[Acct]], config_BS[Acct], config_BS[Lv2],,0)</f>
        <v>Cash alike</v>
      </c>
      <c r="N762" t="str">
        <f>_xlfn.XLOOKUP(Jnl[[#This Row],[TrxId]], Trx[Id], Trx[IncNode], ,0)</f>
        <v>Revenue</v>
      </c>
      <c r="O762" t="str">
        <f>_xlfn.XLOOKUP(Jnl[[#This Row],[IncNode]], config_IS[Node], config_IS[Type],,0)</f>
        <v>Op</v>
      </c>
      <c r="P762" t="str">
        <f>_xlfn.XLOOKUP(Jnl[[#This Row],[BSLv2]], dict[Key], dict[Name],,0)</f>
        <v>0.现金及类似</v>
      </c>
      <c r="Q762" t="str">
        <f>_xlfn.XLOOKUP(Jnl[[#This Row],[Acct]], dict[Key], dict[Name],,0)</f>
        <v>银行</v>
      </c>
      <c r="R762" t="str">
        <f>_xlfn.XLOOKUP(Jnl[[#This Row],[Vehicle]],config_vehicle[Id], config_vehicle[Name],,0)</f>
        <v>远家文化蒲江分公司</v>
      </c>
      <c r="S762" t="str">
        <f>_xlfn.XLOOKUP(Jnl[[#This Row],[Division]],config_div[Id], config_div[Name],,0)</f>
        <v>明月村</v>
      </c>
      <c r="T762" t="str">
        <f>IF(Jnl[[#This Row],[TrxDate]]&lt;=stmt_BS_date_end, "In", "Out")</f>
        <v>In</v>
      </c>
      <c r="U762" t="str">
        <f>IF(Jnl[[#This Row],[TrxDate]]&lt;debug_date_start, "prior", IF(Jnl[[#This Row],[TrxDate]]&gt;debug_date_end, "post", "curr"))</f>
        <v>prior</v>
      </c>
    </row>
    <row r="763" spans="1:21">
      <c r="A763" s="11" t="s">
        <v>1197</v>
      </c>
      <c r="B763" s="7">
        <f>_xlfn.XLOOKUP(Jnl[[#This Row],[TrxId]], Trx[Id], Trx[Date],,0)</f>
        <v>46053</v>
      </c>
      <c r="C763" s="7" t="str">
        <f>_xlfn.XLOOKUP(Jnl[[#This Row],[TrxId]], Trx[Id], Trx[Division],,0)</f>
        <v>MY</v>
      </c>
      <c r="D763" s="7" t="str">
        <f>_xlfn.XLOOKUP(Jnl[[#This Row],[TrxId]], Trx[Id], Trx[Action],,0)</f>
        <v>退款-客人</v>
      </c>
      <c r="E763" s="26" t="s">
        <v>83</v>
      </c>
      <c r="F763" s="11" t="s">
        <v>1194</v>
      </c>
      <c r="G763" s="11" t="s">
        <v>920</v>
      </c>
      <c r="H763" s="72">
        <v>-2744</v>
      </c>
      <c r="I763" s="5" t="b">
        <f>AND(Jnl[[#This Row],[TrxId]]&lt;&gt;"",Jnl[[#This Row],[Acct]]&lt;&gt;"",Jnl[[#This Row],[Item]]&lt;&gt;"",ISNUMBER(Jnl[[#This Row],[Bal]]))</f>
        <v>1</v>
      </c>
      <c r="J763" s="10">
        <f>IF(Jnl[[#This Row],[BSLv0]]="A",1,-1)*Jnl[[#This Row],[Bal]]</f>
        <v>2744</v>
      </c>
      <c r="K763" t="str">
        <f>_xlfn.XLOOKUP(Jnl[[#This Row],[Acct]], config_BS[Acct], config_BS[Lv0],,0)</f>
        <v>LC</v>
      </c>
      <c r="L763" t="str">
        <f>_xlfn.XLOOKUP(Jnl[[#This Row],[Acct]], config_BS[Acct], config_BS[Lv1],,0)</f>
        <v>Liability</v>
      </c>
      <c r="M763" t="str">
        <f>_xlfn.XLOOKUP(Jnl[[#This Row],[Acct]], config_BS[Acct], config_BS[Lv2],,0)</f>
        <v>Cash alike</v>
      </c>
      <c r="N763" t="str">
        <f>_xlfn.XLOOKUP(Jnl[[#This Row],[TrxId]], Trx[Id], Trx[IncNode], ,0)</f>
        <v>Revenue</v>
      </c>
      <c r="O763" t="str">
        <f>_xlfn.XLOOKUP(Jnl[[#This Row],[IncNode]], config_IS[Node], config_IS[Type],,0)</f>
        <v>Op</v>
      </c>
      <c r="P763" t="str">
        <f>_xlfn.XLOOKUP(Jnl[[#This Row],[BSLv2]], dict[Key], dict[Name],,0)</f>
        <v>0.现金及类似</v>
      </c>
      <c r="Q763" t="str">
        <f>_xlfn.XLOOKUP(Jnl[[#This Row],[Acct]], dict[Key], dict[Name],,0)</f>
        <v>会员充值</v>
      </c>
      <c r="R763" t="str">
        <f>_xlfn.XLOOKUP(Jnl[[#This Row],[Vehicle]],config_vehicle[Id], config_vehicle[Name],,0)</f>
        <v>远家文化</v>
      </c>
      <c r="S763" t="str">
        <f>_xlfn.XLOOKUP(Jnl[[#This Row],[Division]],config_div[Id], config_div[Name],,0)</f>
        <v>明月村</v>
      </c>
      <c r="T763" t="str">
        <f>IF(Jnl[[#This Row],[TrxDate]]&lt;=stmt_BS_date_end, "In", "Out")</f>
        <v>In</v>
      </c>
      <c r="U763" t="str">
        <f>IF(Jnl[[#This Row],[TrxDate]]&lt;debug_date_start, "prior", IF(Jnl[[#This Row],[TrxDate]]&gt;debug_date_end, "post", "curr"))</f>
        <v>prior</v>
      </c>
    </row>
    <row r="764" spans="1:21">
      <c r="A764" s="11" t="s">
        <v>1198</v>
      </c>
      <c r="B764" s="7">
        <f>_xlfn.XLOOKUP(Jnl[[#This Row],[TrxId]], Trx[Id], Trx[Date],,0)</f>
        <v>46053</v>
      </c>
      <c r="C764" s="7" t="str">
        <f>_xlfn.XLOOKUP(Jnl[[#This Row],[TrxId]], Trx[Id], Trx[Division],,0)</f>
        <v>MY</v>
      </c>
      <c r="D764" s="7" t="str">
        <f>_xlfn.XLOOKUP(Jnl[[#This Row],[TrxId]], Trx[Id], Trx[Action],,0)</f>
        <v>物流</v>
      </c>
      <c r="E764" s="26" t="s">
        <v>107</v>
      </c>
      <c r="F764" s="11" t="s">
        <v>590</v>
      </c>
      <c r="G764" s="11" t="s">
        <v>1186</v>
      </c>
      <c r="H764" s="72">
        <v>-9331.5</v>
      </c>
      <c r="I764" s="5" t="b">
        <f>AND(Jnl[[#This Row],[TrxId]]&lt;&gt;"",Jnl[[#This Row],[Acct]]&lt;&gt;"",Jnl[[#This Row],[Item]]&lt;&gt;"",ISNUMBER(Jnl[[#This Row],[Bal]]))</f>
        <v>1</v>
      </c>
      <c r="J764" s="10">
        <f>IF(Jnl[[#This Row],[BSLv0]]="A",1,-1)*Jnl[[#This Row],[Bal]]</f>
        <v>-9331.5</v>
      </c>
      <c r="K764" t="str">
        <f>_xlfn.XLOOKUP(Jnl[[#This Row],[Acct]], config_BS[Acct], config_BS[Lv0],,0)</f>
        <v>A</v>
      </c>
      <c r="L764" t="str">
        <f>_xlfn.XLOOKUP(Jnl[[#This Row],[Acct]], config_BS[Acct], config_BS[Lv1],,0)</f>
        <v>Assets</v>
      </c>
      <c r="M764" t="str">
        <f>_xlfn.XLOOKUP(Jnl[[#This Row],[Acct]], config_BS[Acct], config_BS[Lv2],,0)</f>
        <v>Cash alike</v>
      </c>
      <c r="N764" t="str">
        <f>_xlfn.XLOOKUP(Jnl[[#This Row],[TrxId]], Trx[Id], Trx[IncNode], ,0)</f>
        <v>Expense</v>
      </c>
      <c r="O764" t="str">
        <f>_xlfn.XLOOKUP(Jnl[[#This Row],[IncNode]], config_IS[Node], config_IS[Type],,0)</f>
        <v>Op</v>
      </c>
      <c r="P764" t="str">
        <f>_xlfn.XLOOKUP(Jnl[[#This Row],[BSLv2]], dict[Key], dict[Name],,0)</f>
        <v>0.现金及类似</v>
      </c>
      <c r="Q764" t="str">
        <f>_xlfn.XLOOKUP(Jnl[[#This Row],[Acct]], dict[Key], dict[Name],,0)</f>
        <v>银行</v>
      </c>
      <c r="R764" t="str">
        <f>_xlfn.XLOOKUP(Jnl[[#This Row],[Vehicle]],config_vehicle[Id], config_vehicle[Name],,0)</f>
        <v>远家文化蒲江分公司</v>
      </c>
      <c r="S764" t="str">
        <f>_xlfn.XLOOKUP(Jnl[[#This Row],[Division]],config_div[Id], config_div[Name],,0)</f>
        <v>明月村</v>
      </c>
      <c r="T764" t="str">
        <f>IF(Jnl[[#This Row],[TrxDate]]&lt;=stmt_BS_date_end, "In", "Out")</f>
        <v>In</v>
      </c>
      <c r="U764" t="str">
        <f>IF(Jnl[[#This Row],[TrxDate]]&lt;debug_date_start, "prior", IF(Jnl[[#This Row],[TrxDate]]&gt;debug_date_end, "post", "curr"))</f>
        <v>prior</v>
      </c>
    </row>
    <row r="765" spans="1:21">
      <c r="A765" s="11" t="s">
        <v>1199</v>
      </c>
      <c r="B765" s="7">
        <f>_xlfn.XLOOKUP(Jnl[[#This Row],[TrxId]], Trx[Id], Trx[Date],,0)</f>
        <v>46053</v>
      </c>
      <c r="C765" s="7" t="str">
        <f>_xlfn.XLOOKUP(Jnl[[#This Row],[TrxId]], Trx[Id], Trx[Division],,0)</f>
        <v>MY</v>
      </c>
      <c r="D765" s="7" t="str">
        <f>_xlfn.XLOOKUP(Jnl[[#This Row],[TrxId]], Trx[Id], Trx[Action],,0)</f>
        <v>包装</v>
      </c>
      <c r="E765" s="26" t="s">
        <v>107</v>
      </c>
      <c r="F765" s="11" t="s">
        <v>590</v>
      </c>
      <c r="G765" s="11" t="s">
        <v>1186</v>
      </c>
      <c r="H765" s="72">
        <v>-940</v>
      </c>
      <c r="I765" s="5" t="b">
        <f>AND(Jnl[[#This Row],[TrxId]]&lt;&gt;"",Jnl[[#This Row],[Acct]]&lt;&gt;"",Jnl[[#This Row],[Item]]&lt;&gt;"",ISNUMBER(Jnl[[#This Row],[Bal]]))</f>
        <v>1</v>
      </c>
      <c r="J765" s="10">
        <f>IF(Jnl[[#This Row],[BSLv0]]="A",1,-1)*Jnl[[#This Row],[Bal]]</f>
        <v>-940</v>
      </c>
      <c r="K765" t="str">
        <f>_xlfn.XLOOKUP(Jnl[[#This Row],[Acct]], config_BS[Acct], config_BS[Lv0],,0)</f>
        <v>A</v>
      </c>
      <c r="L765" t="str">
        <f>_xlfn.XLOOKUP(Jnl[[#This Row],[Acct]], config_BS[Acct], config_BS[Lv1],,0)</f>
        <v>Assets</v>
      </c>
      <c r="M765" t="str">
        <f>_xlfn.XLOOKUP(Jnl[[#This Row],[Acct]], config_BS[Acct], config_BS[Lv2],,0)</f>
        <v>Cash alike</v>
      </c>
      <c r="N765" t="str">
        <f>_xlfn.XLOOKUP(Jnl[[#This Row],[TrxId]], Trx[Id], Trx[IncNode], ,0)</f>
        <v>Cost</v>
      </c>
      <c r="O765" t="str">
        <f>_xlfn.XLOOKUP(Jnl[[#This Row],[IncNode]], config_IS[Node], config_IS[Type],,0)</f>
        <v>Op</v>
      </c>
      <c r="P765" t="str">
        <f>_xlfn.XLOOKUP(Jnl[[#This Row],[BSLv2]], dict[Key], dict[Name],,0)</f>
        <v>0.现金及类似</v>
      </c>
      <c r="Q765" t="str">
        <f>_xlfn.XLOOKUP(Jnl[[#This Row],[Acct]], dict[Key], dict[Name],,0)</f>
        <v>银行</v>
      </c>
      <c r="R765" t="str">
        <f>_xlfn.XLOOKUP(Jnl[[#This Row],[Vehicle]],config_vehicle[Id], config_vehicle[Name],,0)</f>
        <v>远家文化蒲江分公司</v>
      </c>
      <c r="S765" t="str">
        <f>_xlfn.XLOOKUP(Jnl[[#This Row],[Division]],config_div[Id], config_div[Name],,0)</f>
        <v>明月村</v>
      </c>
      <c r="T765" t="str">
        <f>IF(Jnl[[#This Row],[TrxDate]]&lt;=stmt_BS_date_end, "In", "Out")</f>
        <v>In</v>
      </c>
      <c r="U765" t="str">
        <f>IF(Jnl[[#This Row],[TrxDate]]&lt;debug_date_start, "prior", IF(Jnl[[#This Row],[TrxDate]]&gt;debug_date_end, "post", "curr"))</f>
        <v>prior</v>
      </c>
    </row>
    <row r="766" spans="1:21">
      <c r="A766" s="11" t="s">
        <v>1200</v>
      </c>
      <c r="B766" s="7">
        <f>_xlfn.XLOOKUP(Jnl[[#This Row],[TrxId]], Trx[Id], Trx[Date],,0)</f>
        <v>46053</v>
      </c>
      <c r="C766" s="7" t="str">
        <f>_xlfn.XLOOKUP(Jnl[[#This Row],[TrxId]], Trx[Id], Trx[Division],,0)</f>
        <v>MY</v>
      </c>
      <c r="D766" s="7" t="str">
        <f>_xlfn.XLOOKUP(Jnl[[#This Row],[TrxId]], Trx[Id], Trx[Action],,0)</f>
        <v>其他材料</v>
      </c>
      <c r="E766" s="26" t="s">
        <v>107</v>
      </c>
      <c r="F766" s="11" t="s">
        <v>590</v>
      </c>
      <c r="G766" s="11" t="s">
        <v>1186</v>
      </c>
      <c r="H766" s="72">
        <v>-384.3</v>
      </c>
      <c r="I766" s="5" t="b">
        <f>AND(Jnl[[#This Row],[TrxId]]&lt;&gt;"",Jnl[[#This Row],[Acct]]&lt;&gt;"",Jnl[[#This Row],[Item]]&lt;&gt;"",ISNUMBER(Jnl[[#This Row],[Bal]]))</f>
        <v>1</v>
      </c>
      <c r="J766" s="10">
        <f>IF(Jnl[[#This Row],[BSLv0]]="A",1,-1)*Jnl[[#This Row],[Bal]]</f>
        <v>-384.3</v>
      </c>
      <c r="K766" t="str">
        <f>_xlfn.XLOOKUP(Jnl[[#This Row],[Acct]], config_BS[Acct], config_BS[Lv0],,0)</f>
        <v>A</v>
      </c>
      <c r="L766" t="str">
        <f>_xlfn.XLOOKUP(Jnl[[#This Row],[Acct]], config_BS[Acct], config_BS[Lv1],,0)</f>
        <v>Assets</v>
      </c>
      <c r="M766" t="str">
        <f>_xlfn.XLOOKUP(Jnl[[#This Row],[Acct]], config_BS[Acct], config_BS[Lv2],,0)</f>
        <v>Cash alike</v>
      </c>
      <c r="N766" t="str">
        <f>_xlfn.XLOOKUP(Jnl[[#This Row],[TrxId]], Trx[Id], Trx[IncNode], ,0)</f>
        <v>Cost</v>
      </c>
      <c r="O766" t="str">
        <f>_xlfn.XLOOKUP(Jnl[[#This Row],[IncNode]], config_IS[Node], config_IS[Type],,0)</f>
        <v>Op</v>
      </c>
      <c r="P766" t="str">
        <f>_xlfn.XLOOKUP(Jnl[[#This Row],[BSLv2]], dict[Key], dict[Name],,0)</f>
        <v>0.现金及类似</v>
      </c>
      <c r="Q766" t="str">
        <f>_xlfn.XLOOKUP(Jnl[[#This Row],[Acct]], dict[Key], dict[Name],,0)</f>
        <v>银行</v>
      </c>
      <c r="R766" t="str">
        <f>_xlfn.XLOOKUP(Jnl[[#This Row],[Vehicle]],config_vehicle[Id], config_vehicle[Name],,0)</f>
        <v>远家文化蒲江分公司</v>
      </c>
      <c r="S766" t="str">
        <f>_xlfn.XLOOKUP(Jnl[[#This Row],[Division]],config_div[Id], config_div[Name],,0)</f>
        <v>明月村</v>
      </c>
      <c r="T766" t="str">
        <f>IF(Jnl[[#This Row],[TrxDate]]&lt;=stmt_BS_date_end, "In", "Out")</f>
        <v>In</v>
      </c>
      <c r="U766" t="str">
        <f>IF(Jnl[[#This Row],[TrxDate]]&lt;debug_date_start, "prior", IF(Jnl[[#This Row],[TrxDate]]&gt;debug_date_end, "post", "curr"))</f>
        <v>prior</v>
      </c>
    </row>
    <row r="767" spans="1:21">
      <c r="A767" s="11" t="s">
        <v>1201</v>
      </c>
      <c r="B767" s="7">
        <f>_xlfn.XLOOKUP(Jnl[[#This Row],[TrxId]], Trx[Id], Trx[Date],,0)</f>
        <v>46053</v>
      </c>
      <c r="C767" s="7" t="str">
        <f>_xlfn.XLOOKUP(Jnl[[#This Row],[TrxId]], Trx[Id], Trx[Division],,0)</f>
        <v>MY</v>
      </c>
      <c r="D767" s="7" t="str">
        <f>_xlfn.XLOOKUP(Jnl[[#This Row],[TrxId]], Trx[Id], Trx[Action],,0)</f>
        <v>收款</v>
      </c>
      <c r="E767" s="26" t="s">
        <v>86</v>
      </c>
      <c r="F767" s="11" t="s">
        <v>590</v>
      </c>
      <c r="G767" s="11" t="s">
        <v>481</v>
      </c>
      <c r="H767" s="72">
        <v>43003.48</v>
      </c>
      <c r="I767" s="5" t="b">
        <f>AND(Jnl[[#This Row],[TrxId]]&lt;&gt;"",Jnl[[#This Row],[Acct]]&lt;&gt;"",Jnl[[#This Row],[Item]]&lt;&gt;"",ISNUMBER(Jnl[[#This Row],[Bal]]))</f>
        <v>1</v>
      </c>
      <c r="J767" s="10">
        <f>IF(Jnl[[#This Row],[BSLv0]]="A",1,-1)*Jnl[[#This Row],[Bal]]</f>
        <v>43003.48</v>
      </c>
      <c r="K767" t="str">
        <f>_xlfn.XLOOKUP(Jnl[[#This Row],[Acct]], config_BS[Acct], config_BS[Lv0],,0)</f>
        <v>A</v>
      </c>
      <c r="L767" t="str">
        <f>_xlfn.XLOOKUP(Jnl[[#This Row],[Acct]], config_BS[Acct], config_BS[Lv1],,0)</f>
        <v>Assets</v>
      </c>
      <c r="M767" t="str">
        <f>_xlfn.XLOOKUP(Jnl[[#This Row],[Acct]], config_BS[Acct], config_BS[Lv2],,0)</f>
        <v>Cash alike</v>
      </c>
      <c r="N767" t="str">
        <f>_xlfn.XLOOKUP(Jnl[[#This Row],[TrxId]], Trx[Id], Trx[IncNode], ,0)</f>
        <v>Revenue</v>
      </c>
      <c r="O767" t="str">
        <f>_xlfn.XLOOKUP(Jnl[[#This Row],[IncNode]], config_IS[Node], config_IS[Type],,0)</f>
        <v>Op</v>
      </c>
      <c r="P767" t="str">
        <f>_xlfn.XLOOKUP(Jnl[[#This Row],[BSLv2]], dict[Key], dict[Name],,0)</f>
        <v>0.现金及类似</v>
      </c>
      <c r="Q767" t="str">
        <f>_xlfn.XLOOKUP(Jnl[[#This Row],[Acct]], dict[Key], dict[Name],,0)</f>
        <v>银行</v>
      </c>
      <c r="R767" t="str">
        <f>_xlfn.XLOOKUP(Jnl[[#This Row],[Vehicle]],config_vehicle[Id], config_vehicle[Name],,0)</f>
        <v>张小喜</v>
      </c>
      <c r="S767" t="str">
        <f>_xlfn.XLOOKUP(Jnl[[#This Row],[Division]],config_div[Id], config_div[Name],,0)</f>
        <v>明月村</v>
      </c>
      <c r="T767" t="str">
        <f>IF(Jnl[[#This Row],[TrxDate]]&lt;=stmt_BS_date_end, "In", "Out")</f>
        <v>In</v>
      </c>
      <c r="U767" t="str">
        <f>IF(Jnl[[#This Row],[TrxDate]]&lt;debug_date_start, "prior", IF(Jnl[[#This Row],[TrxDate]]&gt;debug_date_end, "post", "curr"))</f>
        <v>prior</v>
      </c>
    </row>
    <row r="768" spans="1:21">
      <c r="A768" s="11" t="s">
        <v>1201</v>
      </c>
      <c r="B768" s="7">
        <f>_xlfn.XLOOKUP(Jnl[[#This Row],[TrxId]], Trx[Id], Trx[Date],,0)</f>
        <v>46053</v>
      </c>
      <c r="C768" s="7" t="str">
        <f>_xlfn.XLOOKUP(Jnl[[#This Row],[TrxId]], Trx[Id], Trx[Division],,0)</f>
        <v>MY</v>
      </c>
      <c r="D768" s="7" t="str">
        <f>_xlfn.XLOOKUP(Jnl[[#This Row],[TrxId]], Trx[Id], Trx[Action],,0)</f>
        <v>收款</v>
      </c>
      <c r="E768" s="26" t="s">
        <v>83</v>
      </c>
      <c r="F768" s="11" t="s">
        <v>593</v>
      </c>
      <c r="G768" s="11" t="s">
        <v>944</v>
      </c>
      <c r="H768" s="72">
        <f>-H767</f>
        <v>-43003.48</v>
      </c>
      <c r="I768" s="5" t="b">
        <f>AND(Jnl[[#This Row],[TrxId]]&lt;&gt;"",Jnl[[#This Row],[Acct]]&lt;&gt;"",Jnl[[#This Row],[Item]]&lt;&gt;"",ISNUMBER(Jnl[[#This Row],[Bal]]))</f>
        <v>1</v>
      </c>
      <c r="J768" s="10">
        <f>IF(Jnl[[#This Row],[BSLv0]]="A",1,-1)*Jnl[[#This Row],[Bal]]</f>
        <v>-43003.48</v>
      </c>
      <c r="K768" t="str">
        <f>_xlfn.XLOOKUP(Jnl[[#This Row],[Acct]], config_BS[Acct], config_BS[Lv0],,0)</f>
        <v>A</v>
      </c>
      <c r="L768" t="str">
        <f>_xlfn.XLOOKUP(Jnl[[#This Row],[Acct]], config_BS[Acct], config_BS[Lv1],,0)</f>
        <v>Assets</v>
      </c>
      <c r="M768" t="str">
        <f>_xlfn.XLOOKUP(Jnl[[#This Row],[Acct]], config_BS[Acct], config_BS[Lv2],,0)</f>
        <v>Rec-Pay</v>
      </c>
      <c r="N768" t="str">
        <f>_xlfn.XLOOKUP(Jnl[[#This Row],[TrxId]], Trx[Id], Trx[IncNode], ,0)</f>
        <v>Revenue</v>
      </c>
      <c r="O768" t="str">
        <f>_xlfn.XLOOKUP(Jnl[[#This Row],[IncNode]], config_IS[Node], config_IS[Type],,0)</f>
        <v>Op</v>
      </c>
      <c r="P768" t="str">
        <f>_xlfn.XLOOKUP(Jnl[[#This Row],[BSLv2]], dict[Key], dict[Name],,0)</f>
        <v>1.应收-应付</v>
      </c>
      <c r="Q768" t="str">
        <f>_xlfn.XLOOKUP(Jnl[[#This Row],[Acct]], dict[Key], dict[Name],,0)</f>
        <v>应收-一般</v>
      </c>
      <c r="R768" t="str">
        <f>_xlfn.XLOOKUP(Jnl[[#This Row],[Vehicle]],config_vehicle[Id], config_vehicle[Name],,0)</f>
        <v>远家文化</v>
      </c>
      <c r="S768" t="str">
        <f>_xlfn.XLOOKUP(Jnl[[#This Row],[Division]],config_div[Id], config_div[Name],,0)</f>
        <v>明月村</v>
      </c>
      <c r="T768" t="str">
        <f>IF(Jnl[[#This Row],[TrxDate]]&lt;=stmt_BS_date_end, "In", "Out")</f>
        <v>In</v>
      </c>
      <c r="U768" t="str">
        <f>IF(Jnl[[#This Row],[TrxDate]]&lt;debug_date_start, "prior", IF(Jnl[[#This Row],[TrxDate]]&gt;debug_date_end, "post", "curr"))</f>
        <v>prior</v>
      </c>
    </row>
    <row r="769" spans="1:21">
      <c r="A769" s="11" t="s">
        <v>1202</v>
      </c>
      <c r="B769" s="7">
        <f>_xlfn.XLOOKUP(Jnl[[#This Row],[TrxId]], Trx[Id], Trx[Date],,0)</f>
        <v>46053</v>
      </c>
      <c r="C769" s="7" t="str">
        <f>_xlfn.XLOOKUP(Jnl[[#This Row],[TrxId]], Trx[Id], Trx[Division],,0)</f>
        <v>MY</v>
      </c>
      <c r="D769" s="7" t="str">
        <f>_xlfn.XLOOKUP(Jnl[[#This Row],[TrxId]], Trx[Id], Trx[Action],,0)</f>
        <v>其他销售</v>
      </c>
      <c r="E769" s="26" t="s">
        <v>86</v>
      </c>
      <c r="F769" s="11" t="s">
        <v>590</v>
      </c>
      <c r="G769" s="11" t="s">
        <v>481</v>
      </c>
      <c r="H769" s="72">
        <v>376.19</v>
      </c>
      <c r="I769" s="5" t="b">
        <f>AND(Jnl[[#This Row],[TrxId]]&lt;&gt;"",Jnl[[#This Row],[Acct]]&lt;&gt;"",Jnl[[#This Row],[Item]]&lt;&gt;"",ISNUMBER(Jnl[[#This Row],[Bal]]))</f>
        <v>1</v>
      </c>
      <c r="J769" s="10">
        <f>IF(Jnl[[#This Row],[BSLv0]]="A",1,-1)*Jnl[[#This Row],[Bal]]</f>
        <v>376.19</v>
      </c>
      <c r="K769" t="str">
        <f>_xlfn.XLOOKUP(Jnl[[#This Row],[Acct]], config_BS[Acct], config_BS[Lv0],,0)</f>
        <v>A</v>
      </c>
      <c r="L769" t="str">
        <f>_xlfn.XLOOKUP(Jnl[[#This Row],[Acct]], config_BS[Acct], config_BS[Lv1],,0)</f>
        <v>Assets</v>
      </c>
      <c r="M769" t="str">
        <f>_xlfn.XLOOKUP(Jnl[[#This Row],[Acct]], config_BS[Acct], config_BS[Lv2],,0)</f>
        <v>Cash alike</v>
      </c>
      <c r="N769" t="str">
        <f>_xlfn.XLOOKUP(Jnl[[#This Row],[TrxId]], Trx[Id], Trx[IncNode], ,0)</f>
        <v>Revenue</v>
      </c>
      <c r="O769" t="str">
        <f>_xlfn.XLOOKUP(Jnl[[#This Row],[IncNode]], config_IS[Node], config_IS[Type],,0)</f>
        <v>Op</v>
      </c>
      <c r="P769" t="str">
        <f>_xlfn.XLOOKUP(Jnl[[#This Row],[BSLv2]], dict[Key], dict[Name],,0)</f>
        <v>0.现金及类似</v>
      </c>
      <c r="Q769" t="str">
        <f>_xlfn.XLOOKUP(Jnl[[#This Row],[Acct]], dict[Key], dict[Name],,0)</f>
        <v>银行</v>
      </c>
      <c r="R769" t="str">
        <f>_xlfn.XLOOKUP(Jnl[[#This Row],[Vehicle]],config_vehicle[Id], config_vehicle[Name],,0)</f>
        <v>张小喜</v>
      </c>
      <c r="S769" t="str">
        <f>_xlfn.XLOOKUP(Jnl[[#This Row],[Division]],config_div[Id], config_div[Name],,0)</f>
        <v>明月村</v>
      </c>
      <c r="T769" t="str">
        <f>IF(Jnl[[#This Row],[TrxDate]]&lt;=stmt_BS_date_end, "In", "Out")</f>
        <v>In</v>
      </c>
      <c r="U769" t="str">
        <f>IF(Jnl[[#This Row],[TrxDate]]&lt;debug_date_start, "prior", IF(Jnl[[#This Row],[TrxDate]]&gt;debug_date_end, "post", "curr"))</f>
        <v>prior</v>
      </c>
    </row>
    <row r="770" spans="1:21">
      <c r="A770" s="11" t="s">
        <v>1203</v>
      </c>
      <c r="B770" s="7">
        <f>_xlfn.XLOOKUP(Jnl[[#This Row],[TrxId]], Trx[Id], Trx[Date],,0)</f>
        <v>46053</v>
      </c>
      <c r="C770" s="7" t="str">
        <f>_xlfn.XLOOKUP(Jnl[[#This Row],[TrxId]], Trx[Id], Trx[Division],,0)</f>
        <v>MY</v>
      </c>
      <c r="D770" s="7" t="str">
        <f>_xlfn.XLOOKUP(Jnl[[#This Row],[TrxId]], Trx[Id], Trx[Action],,0)</f>
        <v>食材</v>
      </c>
      <c r="E770" s="26" t="s">
        <v>88</v>
      </c>
      <c r="F770" s="11" t="s">
        <v>590</v>
      </c>
      <c r="G770" s="11" t="s">
        <v>1184</v>
      </c>
      <c r="H770" s="72">
        <v>-43824.95</v>
      </c>
      <c r="I770" s="5" t="b">
        <f>AND(Jnl[[#This Row],[TrxId]]&lt;&gt;"",Jnl[[#This Row],[Acct]]&lt;&gt;"",Jnl[[#This Row],[Item]]&lt;&gt;"",ISNUMBER(Jnl[[#This Row],[Bal]]))</f>
        <v>1</v>
      </c>
      <c r="J770" s="10">
        <f>IF(Jnl[[#This Row],[BSLv0]]="A",1,-1)*Jnl[[#This Row],[Bal]]</f>
        <v>-43824.95</v>
      </c>
      <c r="K770" t="str">
        <f>_xlfn.XLOOKUP(Jnl[[#This Row],[Acct]], config_BS[Acct], config_BS[Lv0],,0)</f>
        <v>A</v>
      </c>
      <c r="L770" t="str">
        <f>_xlfn.XLOOKUP(Jnl[[#This Row],[Acct]], config_BS[Acct], config_BS[Lv1],,0)</f>
        <v>Assets</v>
      </c>
      <c r="M770" t="str">
        <f>_xlfn.XLOOKUP(Jnl[[#This Row],[Acct]], config_BS[Acct], config_BS[Lv2],,0)</f>
        <v>Cash alike</v>
      </c>
      <c r="N770" t="str">
        <f>_xlfn.XLOOKUP(Jnl[[#This Row],[TrxId]], Trx[Id], Trx[IncNode], ,0)</f>
        <v>Cost</v>
      </c>
      <c r="O770" t="str">
        <f>_xlfn.XLOOKUP(Jnl[[#This Row],[IncNode]], config_IS[Node], config_IS[Type],,0)</f>
        <v>Op</v>
      </c>
      <c r="P770" t="str">
        <f>_xlfn.XLOOKUP(Jnl[[#This Row],[BSLv2]], dict[Key], dict[Name],,0)</f>
        <v>0.现金及类似</v>
      </c>
      <c r="Q770" t="str">
        <f>_xlfn.XLOOKUP(Jnl[[#This Row],[Acct]], dict[Key], dict[Name],,0)</f>
        <v>银行</v>
      </c>
      <c r="R770" t="str">
        <f>_xlfn.XLOOKUP(Jnl[[#This Row],[Vehicle]],config_vehicle[Id], config_vehicle[Name],,0)</f>
        <v>郑术燕</v>
      </c>
      <c r="S770" t="str">
        <f>_xlfn.XLOOKUP(Jnl[[#This Row],[Division]],config_div[Id], config_div[Name],,0)</f>
        <v>明月村</v>
      </c>
      <c r="T770" t="str">
        <f>IF(Jnl[[#This Row],[TrxDate]]&lt;=stmt_BS_date_end, "In", "Out")</f>
        <v>In</v>
      </c>
      <c r="U770" t="str">
        <f>IF(Jnl[[#This Row],[TrxDate]]&lt;debug_date_start, "prior", IF(Jnl[[#This Row],[TrxDate]]&gt;debug_date_end, "post", "curr"))</f>
        <v>prior</v>
      </c>
    </row>
    <row r="771" spans="1:21">
      <c r="A771" s="11" t="s">
        <v>1204</v>
      </c>
      <c r="B771" s="7">
        <f>_xlfn.XLOOKUP(Jnl[[#This Row],[TrxId]], Trx[Id], Trx[Date],,0)</f>
        <v>46053</v>
      </c>
      <c r="C771" s="7" t="str">
        <f>_xlfn.XLOOKUP(Jnl[[#This Row],[TrxId]], Trx[Id], Trx[Division],,0)</f>
        <v>MY</v>
      </c>
      <c r="D771" s="7" t="str">
        <f>_xlfn.XLOOKUP(Jnl[[#This Row],[TrxId]], Trx[Id], Trx[Action],,0)</f>
        <v>退款-供应商</v>
      </c>
      <c r="E771" s="26" t="s">
        <v>88</v>
      </c>
      <c r="F771" s="11" t="s">
        <v>590</v>
      </c>
      <c r="G771" s="11" t="s">
        <v>1184</v>
      </c>
      <c r="H771" s="72">
        <v>121.78</v>
      </c>
      <c r="I771" s="5" t="b">
        <f>AND(Jnl[[#This Row],[TrxId]]&lt;&gt;"",Jnl[[#This Row],[Acct]]&lt;&gt;"",Jnl[[#This Row],[Item]]&lt;&gt;"",ISNUMBER(Jnl[[#This Row],[Bal]]))</f>
        <v>1</v>
      </c>
      <c r="J771" s="10">
        <f>IF(Jnl[[#This Row],[BSLv0]]="A",1,-1)*Jnl[[#This Row],[Bal]]</f>
        <v>121.78</v>
      </c>
      <c r="K771" t="str">
        <f>_xlfn.XLOOKUP(Jnl[[#This Row],[Acct]], config_BS[Acct], config_BS[Lv0],,0)</f>
        <v>A</v>
      </c>
      <c r="L771" t="str">
        <f>_xlfn.XLOOKUP(Jnl[[#This Row],[Acct]], config_BS[Acct], config_BS[Lv1],,0)</f>
        <v>Assets</v>
      </c>
      <c r="M771" t="str">
        <f>_xlfn.XLOOKUP(Jnl[[#This Row],[Acct]], config_BS[Acct], config_BS[Lv2],,0)</f>
        <v>Cash alike</v>
      </c>
      <c r="N771" t="str">
        <f>_xlfn.XLOOKUP(Jnl[[#This Row],[TrxId]], Trx[Id], Trx[IncNode], ,0)</f>
        <v>Cost</v>
      </c>
      <c r="O771" t="str">
        <f>_xlfn.XLOOKUP(Jnl[[#This Row],[IncNode]], config_IS[Node], config_IS[Type],,0)</f>
        <v>Op</v>
      </c>
      <c r="P771" t="str">
        <f>_xlfn.XLOOKUP(Jnl[[#This Row],[BSLv2]], dict[Key], dict[Name],,0)</f>
        <v>0.现金及类似</v>
      </c>
      <c r="Q771" t="str">
        <f>_xlfn.XLOOKUP(Jnl[[#This Row],[Acct]], dict[Key], dict[Name],,0)</f>
        <v>银行</v>
      </c>
      <c r="R771" t="str">
        <f>_xlfn.XLOOKUP(Jnl[[#This Row],[Vehicle]],config_vehicle[Id], config_vehicle[Name],,0)</f>
        <v>郑术燕</v>
      </c>
      <c r="S771" t="str">
        <f>_xlfn.XLOOKUP(Jnl[[#This Row],[Division]],config_div[Id], config_div[Name],,0)</f>
        <v>明月村</v>
      </c>
      <c r="T771" t="str">
        <f>IF(Jnl[[#This Row],[TrxDate]]&lt;=stmt_BS_date_end, "In", "Out")</f>
        <v>In</v>
      </c>
      <c r="U771" t="str">
        <f>IF(Jnl[[#This Row],[TrxDate]]&lt;debug_date_start, "prior", IF(Jnl[[#This Row],[TrxDate]]&gt;debug_date_end, "post", "curr"))</f>
        <v>prior</v>
      </c>
    </row>
    <row r="772" spans="1:21">
      <c r="A772" s="11" t="s">
        <v>1205</v>
      </c>
      <c r="B772" s="7">
        <f>_xlfn.XLOOKUP(Jnl[[#This Row],[TrxId]], Trx[Id], Trx[Date],,0)</f>
        <v>46053</v>
      </c>
      <c r="C772" s="7" t="str">
        <f>_xlfn.XLOOKUP(Jnl[[#This Row],[TrxId]], Trx[Id], Trx[Division],,0)</f>
        <v>MY</v>
      </c>
      <c r="D772" s="7" t="str">
        <f>_xlfn.XLOOKUP(Jnl[[#This Row],[TrxId]], Trx[Id], Trx[Action],,0)</f>
        <v>其他材料</v>
      </c>
      <c r="E772" s="26" t="s">
        <v>88</v>
      </c>
      <c r="F772" s="11" t="s">
        <v>590</v>
      </c>
      <c r="G772" s="11" t="s">
        <v>1184</v>
      </c>
      <c r="H772" s="72">
        <v>-10151.14</v>
      </c>
      <c r="I772" s="5" t="b">
        <f>AND(Jnl[[#This Row],[TrxId]]&lt;&gt;"",Jnl[[#This Row],[Acct]]&lt;&gt;"",Jnl[[#This Row],[Item]]&lt;&gt;"",ISNUMBER(Jnl[[#This Row],[Bal]]))</f>
        <v>1</v>
      </c>
      <c r="J772" s="10">
        <f>IF(Jnl[[#This Row],[BSLv0]]="A",1,-1)*Jnl[[#This Row],[Bal]]</f>
        <v>-10151.14</v>
      </c>
      <c r="K772" t="str">
        <f>_xlfn.XLOOKUP(Jnl[[#This Row],[Acct]], config_BS[Acct], config_BS[Lv0],,0)</f>
        <v>A</v>
      </c>
      <c r="L772" t="str">
        <f>_xlfn.XLOOKUP(Jnl[[#This Row],[Acct]], config_BS[Acct], config_BS[Lv1],,0)</f>
        <v>Assets</v>
      </c>
      <c r="M772" t="str">
        <f>_xlfn.XLOOKUP(Jnl[[#This Row],[Acct]], config_BS[Acct], config_BS[Lv2],,0)</f>
        <v>Cash alike</v>
      </c>
      <c r="N772" t="str">
        <f>_xlfn.XLOOKUP(Jnl[[#This Row],[TrxId]], Trx[Id], Trx[IncNode], ,0)</f>
        <v>Cost</v>
      </c>
      <c r="O772" t="str">
        <f>_xlfn.XLOOKUP(Jnl[[#This Row],[IncNode]], config_IS[Node], config_IS[Type],,0)</f>
        <v>Op</v>
      </c>
      <c r="P772" t="str">
        <f>_xlfn.XLOOKUP(Jnl[[#This Row],[BSLv2]], dict[Key], dict[Name],,0)</f>
        <v>0.现金及类似</v>
      </c>
      <c r="Q772" t="str">
        <f>_xlfn.XLOOKUP(Jnl[[#This Row],[Acct]], dict[Key], dict[Name],,0)</f>
        <v>银行</v>
      </c>
      <c r="R772" t="str">
        <f>_xlfn.XLOOKUP(Jnl[[#This Row],[Vehicle]],config_vehicle[Id], config_vehicle[Name],,0)</f>
        <v>郑术燕</v>
      </c>
      <c r="S772" t="str">
        <f>_xlfn.XLOOKUP(Jnl[[#This Row],[Division]],config_div[Id], config_div[Name],,0)</f>
        <v>明月村</v>
      </c>
      <c r="T772" t="str">
        <f>IF(Jnl[[#This Row],[TrxDate]]&lt;=stmt_BS_date_end, "In", "Out")</f>
        <v>In</v>
      </c>
      <c r="U772" t="str">
        <f>IF(Jnl[[#This Row],[TrxDate]]&lt;debug_date_start, "prior", IF(Jnl[[#This Row],[TrxDate]]&gt;debug_date_end, "post", "curr"))</f>
        <v>prior</v>
      </c>
    </row>
    <row r="773" spans="1:21">
      <c r="A773" s="11" t="s">
        <v>1206</v>
      </c>
      <c r="B773" s="7">
        <f>_xlfn.XLOOKUP(Jnl[[#This Row],[TrxId]], Trx[Id], Trx[Date],,0)</f>
        <v>46053</v>
      </c>
      <c r="C773" s="7" t="str">
        <f>_xlfn.XLOOKUP(Jnl[[#This Row],[TrxId]], Trx[Id], Trx[Division],,0)</f>
        <v>MY</v>
      </c>
      <c r="D773" s="7" t="str">
        <f>_xlfn.XLOOKUP(Jnl[[#This Row],[TrxId]], Trx[Id], Trx[Action],,0)</f>
        <v>食材</v>
      </c>
      <c r="E773" s="26" t="s">
        <v>88</v>
      </c>
      <c r="F773" s="11" t="s">
        <v>590</v>
      </c>
      <c r="G773" s="11" t="s">
        <v>1184</v>
      </c>
      <c r="H773" s="72">
        <v>-4820.54</v>
      </c>
      <c r="I773" s="5" t="b">
        <f>AND(Jnl[[#This Row],[TrxId]]&lt;&gt;"",Jnl[[#This Row],[Acct]]&lt;&gt;"",Jnl[[#This Row],[Item]]&lt;&gt;"",ISNUMBER(Jnl[[#This Row],[Bal]]))</f>
        <v>1</v>
      </c>
      <c r="J773" s="10">
        <f>IF(Jnl[[#This Row],[BSLv0]]="A",1,-1)*Jnl[[#This Row],[Bal]]</f>
        <v>-4820.54</v>
      </c>
      <c r="K773" t="str">
        <f>_xlfn.XLOOKUP(Jnl[[#This Row],[Acct]], config_BS[Acct], config_BS[Lv0],,0)</f>
        <v>A</v>
      </c>
      <c r="L773" t="str">
        <f>_xlfn.XLOOKUP(Jnl[[#This Row],[Acct]], config_BS[Acct], config_BS[Lv1],,0)</f>
        <v>Assets</v>
      </c>
      <c r="M773" t="str">
        <f>_xlfn.XLOOKUP(Jnl[[#This Row],[Acct]], config_BS[Acct], config_BS[Lv2],,0)</f>
        <v>Cash alike</v>
      </c>
      <c r="N773" t="str">
        <f>_xlfn.XLOOKUP(Jnl[[#This Row],[TrxId]], Trx[Id], Trx[IncNode], ,0)</f>
        <v>Cost</v>
      </c>
      <c r="O773" t="str">
        <f>_xlfn.XLOOKUP(Jnl[[#This Row],[IncNode]], config_IS[Node], config_IS[Type],,0)</f>
        <v>Op</v>
      </c>
      <c r="P773" t="str">
        <f>_xlfn.XLOOKUP(Jnl[[#This Row],[BSLv2]], dict[Key], dict[Name],,0)</f>
        <v>0.现金及类似</v>
      </c>
      <c r="Q773" t="str">
        <f>_xlfn.XLOOKUP(Jnl[[#This Row],[Acct]], dict[Key], dict[Name],,0)</f>
        <v>银行</v>
      </c>
      <c r="R773" t="str">
        <f>_xlfn.XLOOKUP(Jnl[[#This Row],[Vehicle]],config_vehicle[Id], config_vehicle[Name],,0)</f>
        <v>郑术燕</v>
      </c>
      <c r="S773" t="str">
        <f>_xlfn.XLOOKUP(Jnl[[#This Row],[Division]],config_div[Id], config_div[Name],,0)</f>
        <v>明月村</v>
      </c>
      <c r="T773" t="str">
        <f>IF(Jnl[[#This Row],[TrxDate]]&lt;=stmt_BS_date_end, "In", "Out")</f>
        <v>In</v>
      </c>
      <c r="U773" t="str">
        <f>IF(Jnl[[#This Row],[TrxDate]]&lt;debug_date_start, "prior", IF(Jnl[[#This Row],[TrxDate]]&gt;debug_date_end, "post", "curr"))</f>
        <v>prior</v>
      </c>
    </row>
    <row r="774" spans="1:21">
      <c r="A774" s="11" t="s">
        <v>1207</v>
      </c>
      <c r="B774" s="7">
        <f>_xlfn.XLOOKUP(Jnl[[#This Row],[TrxId]], Trx[Id], Trx[Date],,0)</f>
        <v>46053</v>
      </c>
      <c r="C774" s="7" t="str">
        <f>_xlfn.XLOOKUP(Jnl[[#This Row],[TrxId]], Trx[Id], Trx[Division],,0)</f>
        <v>MY</v>
      </c>
      <c r="D774" s="7" t="str">
        <f>_xlfn.XLOOKUP(Jnl[[#This Row],[TrxId]], Trx[Id], Trx[Action],,0)</f>
        <v>其他材料</v>
      </c>
      <c r="E774" s="26" t="s">
        <v>88</v>
      </c>
      <c r="F774" s="11" t="s">
        <v>590</v>
      </c>
      <c r="G774" s="11" t="s">
        <v>1184</v>
      </c>
      <c r="H774" s="72">
        <v>-3989.13</v>
      </c>
      <c r="I774" s="5" t="b">
        <f>AND(Jnl[[#This Row],[TrxId]]&lt;&gt;"",Jnl[[#This Row],[Acct]]&lt;&gt;"",Jnl[[#This Row],[Item]]&lt;&gt;"",ISNUMBER(Jnl[[#This Row],[Bal]]))</f>
        <v>1</v>
      </c>
      <c r="J774" s="10">
        <f>IF(Jnl[[#This Row],[BSLv0]]="A",1,-1)*Jnl[[#This Row],[Bal]]</f>
        <v>-3989.13</v>
      </c>
      <c r="K774" t="str">
        <f>_xlfn.XLOOKUP(Jnl[[#This Row],[Acct]], config_BS[Acct], config_BS[Lv0],,0)</f>
        <v>A</v>
      </c>
      <c r="L774" t="str">
        <f>_xlfn.XLOOKUP(Jnl[[#This Row],[Acct]], config_BS[Acct], config_BS[Lv1],,0)</f>
        <v>Assets</v>
      </c>
      <c r="M774" t="str">
        <f>_xlfn.XLOOKUP(Jnl[[#This Row],[Acct]], config_BS[Acct], config_BS[Lv2],,0)</f>
        <v>Cash alike</v>
      </c>
      <c r="N774" t="str">
        <f>_xlfn.XLOOKUP(Jnl[[#This Row],[TrxId]], Trx[Id], Trx[IncNode], ,0)</f>
        <v>Cost</v>
      </c>
      <c r="O774" t="str">
        <f>_xlfn.XLOOKUP(Jnl[[#This Row],[IncNode]], config_IS[Node], config_IS[Type],,0)</f>
        <v>Op</v>
      </c>
      <c r="P774" t="str">
        <f>_xlfn.XLOOKUP(Jnl[[#This Row],[BSLv2]], dict[Key], dict[Name],,0)</f>
        <v>0.现金及类似</v>
      </c>
      <c r="Q774" t="str">
        <f>_xlfn.XLOOKUP(Jnl[[#This Row],[Acct]], dict[Key], dict[Name],,0)</f>
        <v>银行</v>
      </c>
      <c r="R774" t="str">
        <f>_xlfn.XLOOKUP(Jnl[[#This Row],[Vehicle]],config_vehicle[Id], config_vehicle[Name],,0)</f>
        <v>郑术燕</v>
      </c>
      <c r="S774" t="str">
        <f>_xlfn.XLOOKUP(Jnl[[#This Row],[Division]],config_div[Id], config_div[Name],,0)</f>
        <v>明月村</v>
      </c>
      <c r="T774" t="str">
        <f>IF(Jnl[[#This Row],[TrxDate]]&lt;=stmt_BS_date_end, "In", "Out")</f>
        <v>In</v>
      </c>
      <c r="U774" t="str">
        <f>IF(Jnl[[#This Row],[TrxDate]]&lt;debug_date_start, "prior", IF(Jnl[[#This Row],[TrxDate]]&gt;debug_date_end, "post", "curr"))</f>
        <v>prior</v>
      </c>
    </row>
    <row r="775" spans="1:21">
      <c r="A775" s="11" t="s">
        <v>1208</v>
      </c>
      <c r="B775" s="7">
        <f>_xlfn.XLOOKUP(Jnl[[#This Row],[TrxId]], Trx[Id], Trx[Date],,0)</f>
        <v>46053</v>
      </c>
      <c r="C775" s="7" t="str">
        <f>_xlfn.XLOOKUP(Jnl[[#This Row],[TrxId]], Trx[Id], Trx[Division],,0)</f>
        <v>GM</v>
      </c>
      <c r="D775" s="7" t="str">
        <f>_xlfn.XLOOKUP(Jnl[[#This Row],[TrxId]], Trx[Id], Trx[Action],,0)</f>
        <v>公共设施</v>
      </c>
      <c r="E775" s="26" t="s">
        <v>88</v>
      </c>
      <c r="F775" s="11" t="s">
        <v>590</v>
      </c>
      <c r="G775" s="11" t="s">
        <v>1184</v>
      </c>
      <c r="H775" s="72">
        <v>-11000</v>
      </c>
      <c r="I775" s="5" t="b">
        <f>AND(Jnl[[#This Row],[TrxId]]&lt;&gt;"",Jnl[[#This Row],[Acct]]&lt;&gt;"",Jnl[[#This Row],[Item]]&lt;&gt;"",ISNUMBER(Jnl[[#This Row],[Bal]]))</f>
        <v>1</v>
      </c>
      <c r="J775" s="10">
        <f>IF(Jnl[[#This Row],[BSLv0]]="A",1,-1)*Jnl[[#This Row],[Bal]]</f>
        <v>-11000</v>
      </c>
      <c r="K775" t="str">
        <f>_xlfn.XLOOKUP(Jnl[[#This Row],[Acct]], config_BS[Acct], config_BS[Lv0],,0)</f>
        <v>A</v>
      </c>
      <c r="L775" t="str">
        <f>_xlfn.XLOOKUP(Jnl[[#This Row],[Acct]], config_BS[Acct], config_BS[Lv1],,0)</f>
        <v>Assets</v>
      </c>
      <c r="M775" t="str">
        <f>_xlfn.XLOOKUP(Jnl[[#This Row],[Acct]], config_BS[Acct], config_BS[Lv2],,0)</f>
        <v>Cash alike</v>
      </c>
      <c r="N775" t="str">
        <f>_xlfn.XLOOKUP(Jnl[[#This Row],[TrxId]], Trx[Id], Trx[IncNode], ,0)</f>
        <v>Expense</v>
      </c>
      <c r="O775" t="str">
        <f>_xlfn.XLOOKUP(Jnl[[#This Row],[IncNode]], config_IS[Node], config_IS[Type],,0)</f>
        <v>Op</v>
      </c>
      <c r="P775" t="str">
        <f>_xlfn.XLOOKUP(Jnl[[#This Row],[BSLv2]], dict[Key], dict[Name],,0)</f>
        <v>0.现金及类似</v>
      </c>
      <c r="Q775" t="str">
        <f>_xlfn.XLOOKUP(Jnl[[#This Row],[Acct]], dict[Key], dict[Name],,0)</f>
        <v>银行</v>
      </c>
      <c r="R775" t="str">
        <f>_xlfn.XLOOKUP(Jnl[[#This Row],[Vehicle]],config_vehicle[Id], config_vehicle[Name],,0)</f>
        <v>郑术燕</v>
      </c>
      <c r="S775" t="str">
        <f>_xlfn.XLOOKUP(Jnl[[#This Row],[Division]],config_div[Id], config_div[Name],,0)</f>
        <v>综合管理</v>
      </c>
      <c r="T775" t="str">
        <f>IF(Jnl[[#This Row],[TrxDate]]&lt;=stmt_BS_date_end, "In", "Out")</f>
        <v>In</v>
      </c>
      <c r="U775" t="str">
        <f>IF(Jnl[[#This Row],[TrxDate]]&lt;debug_date_start, "prior", IF(Jnl[[#This Row],[TrxDate]]&gt;debug_date_end, "post", "curr"))</f>
        <v>prior</v>
      </c>
    </row>
    <row r="776" spans="1:21">
      <c r="A776" s="11" t="s">
        <v>1209</v>
      </c>
      <c r="B776" s="7">
        <f>_xlfn.XLOOKUP(Jnl[[#This Row],[TrxId]], Trx[Id], Trx[Date],,0)</f>
        <v>46053</v>
      </c>
      <c r="C776" s="7" t="str">
        <f>_xlfn.XLOOKUP(Jnl[[#This Row],[TrxId]], Trx[Id], Trx[Division],,0)</f>
        <v>MY</v>
      </c>
      <c r="D776" s="7" t="str">
        <f>_xlfn.XLOOKUP(Jnl[[#This Row],[TrxId]], Trx[Id], Trx[Action],,0)</f>
        <v>食材</v>
      </c>
      <c r="E776" s="26" t="s">
        <v>88</v>
      </c>
      <c r="F776" s="11" t="s">
        <v>590</v>
      </c>
      <c r="G776" s="11" t="s">
        <v>1184</v>
      </c>
      <c r="H776" s="72">
        <v>-885.77</v>
      </c>
      <c r="I776" s="5" t="b">
        <f>AND(Jnl[[#This Row],[TrxId]]&lt;&gt;"",Jnl[[#This Row],[Acct]]&lt;&gt;"",Jnl[[#This Row],[Item]]&lt;&gt;"",ISNUMBER(Jnl[[#This Row],[Bal]]))</f>
        <v>1</v>
      </c>
      <c r="J776" s="10">
        <f>IF(Jnl[[#This Row],[BSLv0]]="A",1,-1)*Jnl[[#This Row],[Bal]]</f>
        <v>-885.77</v>
      </c>
      <c r="K776" t="str">
        <f>_xlfn.XLOOKUP(Jnl[[#This Row],[Acct]], config_BS[Acct], config_BS[Lv0],,0)</f>
        <v>A</v>
      </c>
      <c r="L776" t="str">
        <f>_xlfn.XLOOKUP(Jnl[[#This Row],[Acct]], config_BS[Acct], config_BS[Lv1],,0)</f>
        <v>Assets</v>
      </c>
      <c r="M776" t="str">
        <f>_xlfn.XLOOKUP(Jnl[[#This Row],[Acct]], config_BS[Acct], config_BS[Lv2],,0)</f>
        <v>Cash alike</v>
      </c>
      <c r="N776" t="str">
        <f>_xlfn.XLOOKUP(Jnl[[#This Row],[TrxId]], Trx[Id], Trx[IncNode], ,0)</f>
        <v>Cost</v>
      </c>
      <c r="O776" t="str">
        <f>_xlfn.XLOOKUP(Jnl[[#This Row],[IncNode]], config_IS[Node], config_IS[Type],,0)</f>
        <v>Op</v>
      </c>
      <c r="P776" t="str">
        <f>_xlfn.XLOOKUP(Jnl[[#This Row],[BSLv2]], dict[Key], dict[Name],,0)</f>
        <v>0.现金及类似</v>
      </c>
      <c r="Q776" t="str">
        <f>_xlfn.XLOOKUP(Jnl[[#This Row],[Acct]], dict[Key], dict[Name],,0)</f>
        <v>银行</v>
      </c>
      <c r="R776" t="str">
        <f>_xlfn.XLOOKUP(Jnl[[#This Row],[Vehicle]],config_vehicle[Id], config_vehicle[Name],,0)</f>
        <v>郑术燕</v>
      </c>
      <c r="S776" t="str">
        <f>_xlfn.XLOOKUP(Jnl[[#This Row],[Division]],config_div[Id], config_div[Name],,0)</f>
        <v>明月村</v>
      </c>
      <c r="T776" t="str">
        <f>IF(Jnl[[#This Row],[TrxDate]]&lt;=stmt_BS_date_end, "In", "Out")</f>
        <v>In</v>
      </c>
      <c r="U776" t="str">
        <f>IF(Jnl[[#This Row],[TrxDate]]&lt;debug_date_start, "prior", IF(Jnl[[#This Row],[TrxDate]]&gt;debug_date_end, "post", "curr"))</f>
        <v>prior</v>
      </c>
    </row>
    <row r="777" spans="1:21">
      <c r="A777" s="11" t="s">
        <v>1210</v>
      </c>
      <c r="B777" s="7">
        <f>_xlfn.XLOOKUP(Jnl[[#This Row],[TrxId]], Trx[Id], Trx[Date],,0)</f>
        <v>46053</v>
      </c>
      <c r="C777" s="7" t="str">
        <f>_xlfn.XLOOKUP(Jnl[[#This Row],[TrxId]], Trx[Id], Trx[Division],,0)</f>
        <v>MY</v>
      </c>
      <c r="D777" s="7" t="str">
        <f>_xlfn.XLOOKUP(Jnl[[#This Row],[TrxId]], Trx[Id], Trx[Action],,0)</f>
        <v>食材</v>
      </c>
      <c r="E777" s="26" t="s">
        <v>88</v>
      </c>
      <c r="F777" s="11" t="s">
        <v>590</v>
      </c>
      <c r="G777" s="11" t="s">
        <v>1184</v>
      </c>
      <c r="H777" s="72">
        <v>-480</v>
      </c>
      <c r="I777" s="5" t="b">
        <f>AND(Jnl[[#This Row],[TrxId]]&lt;&gt;"",Jnl[[#This Row],[Acct]]&lt;&gt;"",Jnl[[#This Row],[Item]]&lt;&gt;"",ISNUMBER(Jnl[[#This Row],[Bal]]))</f>
        <v>1</v>
      </c>
      <c r="J777" s="10">
        <f>IF(Jnl[[#This Row],[BSLv0]]="A",1,-1)*Jnl[[#This Row],[Bal]]</f>
        <v>-480</v>
      </c>
      <c r="K777" t="str">
        <f>_xlfn.XLOOKUP(Jnl[[#This Row],[Acct]], config_BS[Acct], config_BS[Lv0],,0)</f>
        <v>A</v>
      </c>
      <c r="L777" t="str">
        <f>_xlfn.XLOOKUP(Jnl[[#This Row],[Acct]], config_BS[Acct], config_BS[Lv1],,0)</f>
        <v>Assets</v>
      </c>
      <c r="M777" t="str">
        <f>_xlfn.XLOOKUP(Jnl[[#This Row],[Acct]], config_BS[Acct], config_BS[Lv2],,0)</f>
        <v>Cash alike</v>
      </c>
      <c r="N777" t="str">
        <f>_xlfn.XLOOKUP(Jnl[[#This Row],[TrxId]], Trx[Id], Trx[IncNode], ,0)</f>
        <v>Cost</v>
      </c>
      <c r="O777" t="str">
        <f>_xlfn.XLOOKUP(Jnl[[#This Row],[IncNode]], config_IS[Node], config_IS[Type],,0)</f>
        <v>Op</v>
      </c>
      <c r="P777" t="str">
        <f>_xlfn.XLOOKUP(Jnl[[#This Row],[BSLv2]], dict[Key], dict[Name],,0)</f>
        <v>0.现金及类似</v>
      </c>
      <c r="Q777" t="str">
        <f>_xlfn.XLOOKUP(Jnl[[#This Row],[Acct]], dict[Key], dict[Name],,0)</f>
        <v>银行</v>
      </c>
      <c r="R777" t="str">
        <f>_xlfn.XLOOKUP(Jnl[[#This Row],[Vehicle]],config_vehicle[Id], config_vehicle[Name],,0)</f>
        <v>郑术燕</v>
      </c>
      <c r="S777" t="str">
        <f>_xlfn.XLOOKUP(Jnl[[#This Row],[Division]],config_div[Id], config_div[Name],,0)</f>
        <v>明月村</v>
      </c>
      <c r="T777" t="str">
        <f>IF(Jnl[[#This Row],[TrxDate]]&lt;=stmt_BS_date_end, "In", "Out")</f>
        <v>In</v>
      </c>
      <c r="U777" t="str">
        <f>IF(Jnl[[#This Row],[TrxDate]]&lt;debug_date_start, "prior", IF(Jnl[[#This Row],[TrxDate]]&gt;debug_date_end, "post", "curr"))</f>
        <v>prior</v>
      </c>
    </row>
    <row r="778" spans="1:21">
      <c r="A778" s="11" t="s">
        <v>1211</v>
      </c>
      <c r="B778" s="7">
        <f>_xlfn.XLOOKUP(Jnl[[#This Row],[TrxId]], Trx[Id], Trx[Date],,0)</f>
        <v>46053</v>
      </c>
      <c r="C778" s="7" t="str">
        <f>_xlfn.XLOOKUP(Jnl[[#This Row],[TrxId]], Trx[Id], Trx[Division],,0)</f>
        <v>GM</v>
      </c>
      <c r="D778" s="7" t="str">
        <f>_xlfn.XLOOKUP(Jnl[[#This Row],[TrxId]], Trx[Id], Trx[Action],,0)</f>
        <v>办公</v>
      </c>
      <c r="E778" s="26" t="s">
        <v>88</v>
      </c>
      <c r="F778" s="11" t="s">
        <v>590</v>
      </c>
      <c r="G778" s="11" t="s">
        <v>1184</v>
      </c>
      <c r="H778" s="72">
        <v>-1163.4000000000001</v>
      </c>
      <c r="I778" s="5" t="b">
        <f>AND(Jnl[[#This Row],[TrxId]]&lt;&gt;"",Jnl[[#This Row],[Acct]]&lt;&gt;"",Jnl[[#This Row],[Item]]&lt;&gt;"",ISNUMBER(Jnl[[#This Row],[Bal]]))</f>
        <v>1</v>
      </c>
      <c r="J778" s="10">
        <f>IF(Jnl[[#This Row],[BSLv0]]="A",1,-1)*Jnl[[#This Row],[Bal]]</f>
        <v>-1163.4000000000001</v>
      </c>
      <c r="K778" t="str">
        <f>_xlfn.XLOOKUP(Jnl[[#This Row],[Acct]], config_BS[Acct], config_BS[Lv0],,0)</f>
        <v>A</v>
      </c>
      <c r="L778" t="str">
        <f>_xlfn.XLOOKUP(Jnl[[#This Row],[Acct]], config_BS[Acct], config_BS[Lv1],,0)</f>
        <v>Assets</v>
      </c>
      <c r="M778" t="str">
        <f>_xlfn.XLOOKUP(Jnl[[#This Row],[Acct]], config_BS[Acct], config_BS[Lv2],,0)</f>
        <v>Cash alike</v>
      </c>
      <c r="N778" t="str">
        <f>_xlfn.XLOOKUP(Jnl[[#This Row],[TrxId]], Trx[Id], Trx[IncNode], ,0)</f>
        <v>Expense</v>
      </c>
      <c r="O778" t="str">
        <f>_xlfn.XLOOKUP(Jnl[[#This Row],[IncNode]], config_IS[Node], config_IS[Type],,0)</f>
        <v>Op</v>
      </c>
      <c r="P778" t="str">
        <f>_xlfn.XLOOKUP(Jnl[[#This Row],[BSLv2]], dict[Key], dict[Name],,0)</f>
        <v>0.现金及类似</v>
      </c>
      <c r="Q778" t="str">
        <f>_xlfn.XLOOKUP(Jnl[[#This Row],[Acct]], dict[Key], dict[Name],,0)</f>
        <v>银行</v>
      </c>
      <c r="R778" t="str">
        <f>_xlfn.XLOOKUP(Jnl[[#This Row],[Vehicle]],config_vehicle[Id], config_vehicle[Name],,0)</f>
        <v>郑术燕</v>
      </c>
      <c r="S778" t="str">
        <f>_xlfn.XLOOKUP(Jnl[[#This Row],[Division]],config_div[Id], config_div[Name],,0)</f>
        <v>综合管理</v>
      </c>
      <c r="T778" t="str">
        <f>IF(Jnl[[#This Row],[TrxDate]]&lt;=stmt_BS_date_end, "In", "Out")</f>
        <v>In</v>
      </c>
      <c r="U778" t="str">
        <f>IF(Jnl[[#This Row],[TrxDate]]&lt;debug_date_start, "prior", IF(Jnl[[#This Row],[TrxDate]]&gt;debug_date_end, "post", "curr"))</f>
        <v>prior</v>
      </c>
    </row>
    <row r="779" spans="1:21">
      <c r="A779" s="11" t="s">
        <v>1212</v>
      </c>
      <c r="B779" s="7">
        <f>_xlfn.XLOOKUP(Jnl[[#This Row],[TrxId]], Trx[Id], Trx[Date],,0)</f>
        <v>46053</v>
      </c>
      <c r="C779" s="7" t="str">
        <f>_xlfn.XLOOKUP(Jnl[[#This Row],[TrxId]], Trx[Id], Trx[Division],,0)</f>
        <v>Brand</v>
      </c>
      <c r="D779" s="7" t="str">
        <f>_xlfn.XLOOKUP(Jnl[[#This Row],[TrxId]], Trx[Id], Trx[Action],,0)</f>
        <v>设备</v>
      </c>
      <c r="E779" s="26" t="s">
        <v>88</v>
      </c>
      <c r="F779" s="11" t="s">
        <v>590</v>
      </c>
      <c r="G779" s="11" t="s">
        <v>1184</v>
      </c>
      <c r="H779" s="72">
        <v>-7874.41</v>
      </c>
      <c r="I779" s="5" t="b">
        <f>AND(Jnl[[#This Row],[TrxId]]&lt;&gt;"",Jnl[[#This Row],[Acct]]&lt;&gt;"",Jnl[[#This Row],[Item]]&lt;&gt;"",ISNUMBER(Jnl[[#This Row],[Bal]]))</f>
        <v>1</v>
      </c>
      <c r="J779" s="10">
        <f>IF(Jnl[[#This Row],[BSLv0]]="A",1,-1)*Jnl[[#This Row],[Bal]]</f>
        <v>-7874.41</v>
      </c>
      <c r="K779" t="str">
        <f>_xlfn.XLOOKUP(Jnl[[#This Row],[Acct]], config_BS[Acct], config_BS[Lv0],,0)</f>
        <v>A</v>
      </c>
      <c r="L779" t="str">
        <f>_xlfn.XLOOKUP(Jnl[[#This Row],[Acct]], config_BS[Acct], config_BS[Lv1],,0)</f>
        <v>Assets</v>
      </c>
      <c r="M779" t="str">
        <f>_xlfn.XLOOKUP(Jnl[[#This Row],[Acct]], config_BS[Acct], config_BS[Lv2],,0)</f>
        <v>Cash alike</v>
      </c>
      <c r="N779" t="str">
        <f>_xlfn.XLOOKUP(Jnl[[#This Row],[TrxId]], Trx[Id], Trx[IncNode], ,0)</f>
        <v>Expense</v>
      </c>
      <c r="O779" t="str">
        <f>_xlfn.XLOOKUP(Jnl[[#This Row],[IncNode]], config_IS[Node], config_IS[Type],,0)</f>
        <v>Op</v>
      </c>
      <c r="P779" t="str">
        <f>_xlfn.XLOOKUP(Jnl[[#This Row],[BSLv2]], dict[Key], dict[Name],,0)</f>
        <v>0.现金及类似</v>
      </c>
      <c r="Q779" t="str">
        <f>_xlfn.XLOOKUP(Jnl[[#This Row],[Acct]], dict[Key], dict[Name],,0)</f>
        <v>银行</v>
      </c>
      <c r="R779" t="str">
        <f>_xlfn.XLOOKUP(Jnl[[#This Row],[Vehicle]],config_vehicle[Id], config_vehicle[Name],,0)</f>
        <v>郑术燕</v>
      </c>
      <c r="S779" t="str">
        <f>_xlfn.XLOOKUP(Jnl[[#This Row],[Division]],config_div[Id], config_div[Name],,0)</f>
        <v>品牌</v>
      </c>
      <c r="T779" t="str">
        <f>IF(Jnl[[#This Row],[TrxDate]]&lt;=stmt_BS_date_end, "In", "Out")</f>
        <v>In</v>
      </c>
      <c r="U779" t="str">
        <f>IF(Jnl[[#This Row],[TrxDate]]&lt;debug_date_start, "prior", IF(Jnl[[#This Row],[TrxDate]]&gt;debug_date_end, "post", "curr"))</f>
        <v>prior</v>
      </c>
    </row>
    <row r="780" spans="1:21">
      <c r="A780" s="11" t="s">
        <v>1213</v>
      </c>
      <c r="B780" s="7">
        <f>_xlfn.XLOOKUP(Jnl[[#This Row],[TrxId]], Trx[Id], Trx[Date],,0)</f>
        <v>46053</v>
      </c>
      <c r="C780" s="7" t="str">
        <f>_xlfn.XLOOKUP(Jnl[[#This Row],[TrxId]], Trx[Id], Trx[Division],,0)</f>
        <v>MY</v>
      </c>
      <c r="D780" s="7" t="str">
        <f>_xlfn.XLOOKUP(Jnl[[#This Row],[TrxId]], Trx[Id], Trx[Action],,0)</f>
        <v>食材</v>
      </c>
      <c r="E780" s="26" t="s">
        <v>88</v>
      </c>
      <c r="F780" s="11" t="s">
        <v>590</v>
      </c>
      <c r="G780" s="11" t="s">
        <v>1184</v>
      </c>
      <c r="H780" s="72">
        <v>-2851.8</v>
      </c>
      <c r="I780" s="5" t="b">
        <f>AND(Jnl[[#This Row],[TrxId]]&lt;&gt;"",Jnl[[#This Row],[Acct]]&lt;&gt;"",Jnl[[#This Row],[Item]]&lt;&gt;"",ISNUMBER(Jnl[[#This Row],[Bal]]))</f>
        <v>1</v>
      </c>
      <c r="J780" s="10">
        <f>IF(Jnl[[#This Row],[BSLv0]]="A",1,-1)*Jnl[[#This Row],[Bal]]</f>
        <v>-2851.8</v>
      </c>
      <c r="K780" t="str">
        <f>_xlfn.XLOOKUP(Jnl[[#This Row],[Acct]], config_BS[Acct], config_BS[Lv0],,0)</f>
        <v>A</v>
      </c>
      <c r="L780" t="str">
        <f>_xlfn.XLOOKUP(Jnl[[#This Row],[Acct]], config_BS[Acct], config_BS[Lv1],,0)</f>
        <v>Assets</v>
      </c>
      <c r="M780" t="str">
        <f>_xlfn.XLOOKUP(Jnl[[#This Row],[Acct]], config_BS[Acct], config_BS[Lv2],,0)</f>
        <v>Cash alike</v>
      </c>
      <c r="N780" t="str">
        <f>_xlfn.XLOOKUP(Jnl[[#This Row],[TrxId]], Trx[Id], Trx[IncNode], ,0)</f>
        <v>Cost</v>
      </c>
      <c r="O780" t="str">
        <f>_xlfn.XLOOKUP(Jnl[[#This Row],[IncNode]], config_IS[Node], config_IS[Type],,0)</f>
        <v>Op</v>
      </c>
      <c r="P780" t="str">
        <f>_xlfn.XLOOKUP(Jnl[[#This Row],[BSLv2]], dict[Key], dict[Name],,0)</f>
        <v>0.现金及类似</v>
      </c>
      <c r="Q780" t="str">
        <f>_xlfn.XLOOKUP(Jnl[[#This Row],[Acct]], dict[Key], dict[Name],,0)</f>
        <v>银行</v>
      </c>
      <c r="R780" t="str">
        <f>_xlfn.XLOOKUP(Jnl[[#This Row],[Vehicle]],config_vehicle[Id], config_vehicle[Name],,0)</f>
        <v>郑术燕</v>
      </c>
      <c r="S780" t="str">
        <f>_xlfn.XLOOKUP(Jnl[[#This Row],[Division]],config_div[Id], config_div[Name],,0)</f>
        <v>明月村</v>
      </c>
      <c r="T780" t="str">
        <f>IF(Jnl[[#This Row],[TrxDate]]&lt;=stmt_BS_date_end, "In", "Out")</f>
        <v>In</v>
      </c>
      <c r="U780" t="str">
        <f>IF(Jnl[[#This Row],[TrxDate]]&lt;debug_date_start, "prior", IF(Jnl[[#This Row],[TrxDate]]&gt;debug_date_end, "post", "curr"))</f>
        <v>prior</v>
      </c>
    </row>
    <row r="781" spans="1:21">
      <c r="A781" s="11" t="s">
        <v>1214</v>
      </c>
      <c r="B781" s="7">
        <f>_xlfn.XLOOKUP(Jnl[[#This Row],[TrxId]], Trx[Id], Trx[Date],,0)</f>
        <v>46053</v>
      </c>
      <c r="C781" s="7" t="str">
        <f>_xlfn.XLOOKUP(Jnl[[#This Row],[TrxId]], Trx[Id], Trx[Division],,0)</f>
        <v>MY</v>
      </c>
      <c r="D781" s="7" t="str">
        <f>_xlfn.XLOOKUP(Jnl[[#This Row],[TrxId]], Trx[Id], Trx[Action],,0)</f>
        <v>课程</v>
      </c>
      <c r="E781" s="26" t="s">
        <v>88</v>
      </c>
      <c r="F781" s="11" t="s">
        <v>590</v>
      </c>
      <c r="G781" s="11" t="s">
        <v>1184</v>
      </c>
      <c r="H781" s="72">
        <v>-300</v>
      </c>
      <c r="I781" s="5" t="b">
        <f>AND(Jnl[[#This Row],[TrxId]]&lt;&gt;"",Jnl[[#This Row],[Acct]]&lt;&gt;"",Jnl[[#This Row],[Item]]&lt;&gt;"",ISNUMBER(Jnl[[#This Row],[Bal]]))</f>
        <v>1</v>
      </c>
      <c r="J781" s="10">
        <f>IF(Jnl[[#This Row],[BSLv0]]="A",1,-1)*Jnl[[#This Row],[Bal]]</f>
        <v>-300</v>
      </c>
      <c r="K781" t="str">
        <f>_xlfn.XLOOKUP(Jnl[[#This Row],[Acct]], config_BS[Acct], config_BS[Lv0],,0)</f>
        <v>A</v>
      </c>
      <c r="L781" t="str">
        <f>_xlfn.XLOOKUP(Jnl[[#This Row],[Acct]], config_BS[Acct], config_BS[Lv1],,0)</f>
        <v>Assets</v>
      </c>
      <c r="M781" t="str">
        <f>_xlfn.XLOOKUP(Jnl[[#This Row],[Acct]], config_BS[Acct], config_BS[Lv2],,0)</f>
        <v>Cash alike</v>
      </c>
      <c r="N781" t="str">
        <f>_xlfn.XLOOKUP(Jnl[[#This Row],[TrxId]], Trx[Id], Trx[IncNode], ,0)</f>
        <v>Cost</v>
      </c>
      <c r="O781" t="str">
        <f>_xlfn.XLOOKUP(Jnl[[#This Row],[IncNode]], config_IS[Node], config_IS[Type],,0)</f>
        <v>Op</v>
      </c>
      <c r="P781" t="str">
        <f>_xlfn.XLOOKUP(Jnl[[#This Row],[BSLv2]], dict[Key], dict[Name],,0)</f>
        <v>0.现金及类似</v>
      </c>
      <c r="Q781" t="str">
        <f>_xlfn.XLOOKUP(Jnl[[#This Row],[Acct]], dict[Key], dict[Name],,0)</f>
        <v>银行</v>
      </c>
      <c r="R781" t="str">
        <f>_xlfn.XLOOKUP(Jnl[[#This Row],[Vehicle]],config_vehicle[Id], config_vehicle[Name],,0)</f>
        <v>郑术燕</v>
      </c>
      <c r="S781" t="str">
        <f>_xlfn.XLOOKUP(Jnl[[#This Row],[Division]],config_div[Id], config_div[Name],,0)</f>
        <v>明月村</v>
      </c>
      <c r="T781" t="str">
        <f>IF(Jnl[[#This Row],[TrxDate]]&lt;=stmt_BS_date_end, "In", "Out")</f>
        <v>In</v>
      </c>
      <c r="U781" t="str">
        <f>IF(Jnl[[#This Row],[TrxDate]]&lt;debug_date_start, "prior", IF(Jnl[[#This Row],[TrxDate]]&gt;debug_date_end, "post", "curr"))</f>
        <v>prior</v>
      </c>
    </row>
    <row r="782" spans="1:21">
      <c r="A782" s="11" t="s">
        <v>1215</v>
      </c>
      <c r="B782" s="7">
        <f>_xlfn.XLOOKUP(Jnl[[#This Row],[TrxId]], Trx[Id], Trx[Date],,0)</f>
        <v>46053</v>
      </c>
      <c r="C782" s="7" t="str">
        <f>_xlfn.XLOOKUP(Jnl[[#This Row],[TrxId]], Trx[Id], Trx[Division],,0)</f>
        <v>MY</v>
      </c>
      <c r="D782" s="7" t="str">
        <f>_xlfn.XLOOKUP(Jnl[[#This Row],[TrxId]], Trx[Id], Trx[Action],,0)</f>
        <v>退款-供应商</v>
      </c>
      <c r="E782" s="26" t="s">
        <v>88</v>
      </c>
      <c r="F782" s="11" t="s">
        <v>590</v>
      </c>
      <c r="G782" s="11" t="s">
        <v>1184</v>
      </c>
      <c r="H782" s="72">
        <v>53</v>
      </c>
      <c r="I782" s="5" t="b">
        <f>AND(Jnl[[#This Row],[TrxId]]&lt;&gt;"",Jnl[[#This Row],[Acct]]&lt;&gt;"",Jnl[[#This Row],[Item]]&lt;&gt;"",ISNUMBER(Jnl[[#This Row],[Bal]]))</f>
        <v>1</v>
      </c>
      <c r="J782" s="10">
        <f>IF(Jnl[[#This Row],[BSLv0]]="A",1,-1)*Jnl[[#This Row],[Bal]]</f>
        <v>53</v>
      </c>
      <c r="K782" t="str">
        <f>_xlfn.XLOOKUP(Jnl[[#This Row],[Acct]], config_BS[Acct], config_BS[Lv0],,0)</f>
        <v>A</v>
      </c>
      <c r="L782" t="str">
        <f>_xlfn.XLOOKUP(Jnl[[#This Row],[Acct]], config_BS[Acct], config_BS[Lv1],,0)</f>
        <v>Assets</v>
      </c>
      <c r="M782" t="str">
        <f>_xlfn.XLOOKUP(Jnl[[#This Row],[Acct]], config_BS[Acct], config_BS[Lv2],,0)</f>
        <v>Cash alike</v>
      </c>
      <c r="N782" t="str">
        <f>_xlfn.XLOOKUP(Jnl[[#This Row],[TrxId]], Trx[Id], Trx[IncNode], ,0)</f>
        <v>Cost</v>
      </c>
      <c r="O782" t="str">
        <f>_xlfn.XLOOKUP(Jnl[[#This Row],[IncNode]], config_IS[Node], config_IS[Type],,0)</f>
        <v>Op</v>
      </c>
      <c r="P782" t="str">
        <f>_xlfn.XLOOKUP(Jnl[[#This Row],[BSLv2]], dict[Key], dict[Name],,0)</f>
        <v>0.现金及类似</v>
      </c>
      <c r="Q782" t="str">
        <f>_xlfn.XLOOKUP(Jnl[[#This Row],[Acct]], dict[Key], dict[Name],,0)</f>
        <v>银行</v>
      </c>
      <c r="R782" t="str">
        <f>_xlfn.XLOOKUP(Jnl[[#This Row],[Vehicle]],config_vehicle[Id], config_vehicle[Name],,0)</f>
        <v>郑术燕</v>
      </c>
      <c r="S782" t="str">
        <f>_xlfn.XLOOKUP(Jnl[[#This Row],[Division]],config_div[Id], config_div[Name],,0)</f>
        <v>明月村</v>
      </c>
      <c r="T782" t="str">
        <f>IF(Jnl[[#This Row],[TrxDate]]&lt;=stmt_BS_date_end, "In", "Out")</f>
        <v>In</v>
      </c>
      <c r="U782" t="str">
        <f>IF(Jnl[[#This Row],[TrxDate]]&lt;debug_date_start, "prior", IF(Jnl[[#This Row],[TrxDate]]&gt;debug_date_end, "post", "curr"))</f>
        <v>prior</v>
      </c>
    </row>
    <row r="783" spans="1:21">
      <c r="A783" s="11" t="s">
        <v>1216</v>
      </c>
      <c r="B783" s="7">
        <f>_xlfn.XLOOKUP(Jnl[[#This Row],[TrxId]], Trx[Id], Trx[Date],,0)</f>
        <v>46053</v>
      </c>
      <c r="C783" s="7" t="str">
        <f>_xlfn.XLOOKUP(Jnl[[#This Row],[TrxId]], Trx[Id], Trx[Division],,0)</f>
        <v>GM</v>
      </c>
      <c r="D783" s="7" t="str">
        <f>_xlfn.XLOOKUP(Jnl[[#This Row],[TrxId]], Trx[Id], Trx[Action],,0)</f>
        <v>办公</v>
      </c>
      <c r="E783" s="26" t="s">
        <v>88</v>
      </c>
      <c r="F783" s="11" t="s">
        <v>590</v>
      </c>
      <c r="G783" s="11" t="s">
        <v>1184</v>
      </c>
      <c r="H783" s="72">
        <v>-283.74</v>
      </c>
      <c r="I783" s="5" t="b">
        <f>AND(Jnl[[#This Row],[TrxId]]&lt;&gt;"",Jnl[[#This Row],[Acct]]&lt;&gt;"",Jnl[[#This Row],[Item]]&lt;&gt;"",ISNUMBER(Jnl[[#This Row],[Bal]]))</f>
        <v>1</v>
      </c>
      <c r="J783" s="10">
        <f>IF(Jnl[[#This Row],[BSLv0]]="A",1,-1)*Jnl[[#This Row],[Bal]]</f>
        <v>-283.74</v>
      </c>
      <c r="K783" t="str">
        <f>_xlfn.XLOOKUP(Jnl[[#This Row],[Acct]], config_BS[Acct], config_BS[Lv0],,0)</f>
        <v>A</v>
      </c>
      <c r="L783" t="str">
        <f>_xlfn.XLOOKUP(Jnl[[#This Row],[Acct]], config_BS[Acct], config_BS[Lv1],,0)</f>
        <v>Assets</v>
      </c>
      <c r="M783" t="str">
        <f>_xlfn.XLOOKUP(Jnl[[#This Row],[Acct]], config_BS[Acct], config_BS[Lv2],,0)</f>
        <v>Cash alike</v>
      </c>
      <c r="N783" t="str">
        <f>_xlfn.XLOOKUP(Jnl[[#This Row],[TrxId]], Trx[Id], Trx[IncNode], ,0)</f>
        <v>Expense</v>
      </c>
      <c r="O783" t="str">
        <f>_xlfn.XLOOKUP(Jnl[[#This Row],[IncNode]], config_IS[Node], config_IS[Type],,0)</f>
        <v>Op</v>
      </c>
      <c r="P783" t="str">
        <f>_xlfn.XLOOKUP(Jnl[[#This Row],[BSLv2]], dict[Key], dict[Name],,0)</f>
        <v>0.现金及类似</v>
      </c>
      <c r="Q783" t="str">
        <f>_xlfn.XLOOKUP(Jnl[[#This Row],[Acct]], dict[Key], dict[Name],,0)</f>
        <v>银行</v>
      </c>
      <c r="R783" t="str">
        <f>_xlfn.XLOOKUP(Jnl[[#This Row],[Vehicle]],config_vehicle[Id], config_vehicle[Name],,0)</f>
        <v>郑术燕</v>
      </c>
      <c r="S783" t="str">
        <f>_xlfn.XLOOKUP(Jnl[[#This Row],[Division]],config_div[Id], config_div[Name],,0)</f>
        <v>综合管理</v>
      </c>
      <c r="T783" t="str">
        <f>IF(Jnl[[#This Row],[TrxDate]]&lt;=stmt_BS_date_end, "In", "Out")</f>
        <v>In</v>
      </c>
      <c r="U783" t="str">
        <f>IF(Jnl[[#This Row],[TrxDate]]&lt;debug_date_start, "prior", IF(Jnl[[#This Row],[TrxDate]]&gt;debug_date_end, "post", "curr"))</f>
        <v>prior</v>
      </c>
    </row>
    <row r="784" spans="1:21">
      <c r="A784" s="11" t="s">
        <v>1217</v>
      </c>
      <c r="B784" s="7">
        <f>_xlfn.XLOOKUP(Jnl[[#This Row],[TrxId]], Trx[Id], Trx[Date],,0)</f>
        <v>46053</v>
      </c>
      <c r="C784" s="7" t="str">
        <f>_xlfn.XLOOKUP(Jnl[[#This Row],[TrxId]], Trx[Id], Trx[Division],,0)</f>
        <v>MY</v>
      </c>
      <c r="D784" s="7" t="str">
        <f>_xlfn.XLOOKUP(Jnl[[#This Row],[TrxId]], Trx[Id], Trx[Action],,0)</f>
        <v>退款-供应商</v>
      </c>
      <c r="E784" s="26" t="s">
        <v>88</v>
      </c>
      <c r="F784" s="11" t="s">
        <v>590</v>
      </c>
      <c r="G784" s="11" t="s">
        <v>1184</v>
      </c>
      <c r="H784" s="72">
        <v>46.8</v>
      </c>
      <c r="I784" s="5" t="b">
        <f>AND(Jnl[[#This Row],[TrxId]]&lt;&gt;"",Jnl[[#This Row],[Acct]]&lt;&gt;"",Jnl[[#This Row],[Item]]&lt;&gt;"",ISNUMBER(Jnl[[#This Row],[Bal]]))</f>
        <v>1</v>
      </c>
      <c r="J784" s="10">
        <f>IF(Jnl[[#This Row],[BSLv0]]="A",1,-1)*Jnl[[#This Row],[Bal]]</f>
        <v>46.8</v>
      </c>
      <c r="K784" t="str">
        <f>_xlfn.XLOOKUP(Jnl[[#This Row],[Acct]], config_BS[Acct], config_BS[Lv0],,0)</f>
        <v>A</v>
      </c>
      <c r="L784" t="str">
        <f>_xlfn.XLOOKUP(Jnl[[#This Row],[Acct]], config_BS[Acct], config_BS[Lv1],,0)</f>
        <v>Assets</v>
      </c>
      <c r="M784" t="str">
        <f>_xlfn.XLOOKUP(Jnl[[#This Row],[Acct]], config_BS[Acct], config_BS[Lv2],,0)</f>
        <v>Cash alike</v>
      </c>
      <c r="N784" t="str">
        <f>_xlfn.XLOOKUP(Jnl[[#This Row],[TrxId]], Trx[Id], Trx[IncNode], ,0)</f>
        <v>Cost</v>
      </c>
      <c r="O784" t="str">
        <f>_xlfn.XLOOKUP(Jnl[[#This Row],[IncNode]], config_IS[Node], config_IS[Type],,0)</f>
        <v>Op</v>
      </c>
      <c r="P784" t="str">
        <f>_xlfn.XLOOKUP(Jnl[[#This Row],[BSLv2]], dict[Key], dict[Name],,0)</f>
        <v>0.现金及类似</v>
      </c>
      <c r="Q784" t="str">
        <f>_xlfn.XLOOKUP(Jnl[[#This Row],[Acct]], dict[Key], dict[Name],,0)</f>
        <v>银行</v>
      </c>
      <c r="R784" t="str">
        <f>_xlfn.XLOOKUP(Jnl[[#This Row],[Vehicle]],config_vehicle[Id], config_vehicle[Name],,0)</f>
        <v>郑术燕</v>
      </c>
      <c r="S784" t="str">
        <f>_xlfn.XLOOKUP(Jnl[[#This Row],[Division]],config_div[Id], config_div[Name],,0)</f>
        <v>明月村</v>
      </c>
      <c r="T784" t="str">
        <f>IF(Jnl[[#This Row],[TrxDate]]&lt;=stmt_BS_date_end, "In", "Out")</f>
        <v>In</v>
      </c>
      <c r="U784" t="str">
        <f>IF(Jnl[[#This Row],[TrxDate]]&lt;debug_date_start, "prior", IF(Jnl[[#This Row],[TrxDate]]&gt;debug_date_end, "post", "curr"))</f>
        <v>prior</v>
      </c>
    </row>
    <row r="785" spans="1:21">
      <c r="A785" s="11" t="s">
        <v>1218</v>
      </c>
      <c r="B785" s="7">
        <f>_xlfn.XLOOKUP(Jnl[[#This Row],[TrxId]], Trx[Id], Trx[Date],,0)</f>
        <v>46053</v>
      </c>
      <c r="C785" s="7" t="str">
        <f>_xlfn.XLOOKUP(Jnl[[#This Row],[TrxId]], Trx[Id], Trx[Division],,0)</f>
        <v>MY</v>
      </c>
      <c r="D785" s="7" t="str">
        <f>_xlfn.XLOOKUP(Jnl[[#This Row],[TrxId]], Trx[Id], Trx[Action],,0)</f>
        <v>其他材料</v>
      </c>
      <c r="E785" s="26" t="s">
        <v>88</v>
      </c>
      <c r="F785" s="11" t="s">
        <v>590</v>
      </c>
      <c r="G785" s="11" t="s">
        <v>1184</v>
      </c>
      <c r="H785" s="72">
        <v>-75.900000000000006</v>
      </c>
      <c r="I785" s="5" t="b">
        <f>AND(Jnl[[#This Row],[TrxId]]&lt;&gt;"",Jnl[[#This Row],[Acct]]&lt;&gt;"",Jnl[[#This Row],[Item]]&lt;&gt;"",ISNUMBER(Jnl[[#This Row],[Bal]]))</f>
        <v>1</v>
      </c>
      <c r="J785" s="10">
        <f>IF(Jnl[[#This Row],[BSLv0]]="A",1,-1)*Jnl[[#This Row],[Bal]]</f>
        <v>-75.900000000000006</v>
      </c>
      <c r="K785" t="str">
        <f>_xlfn.XLOOKUP(Jnl[[#This Row],[Acct]], config_BS[Acct], config_BS[Lv0],,0)</f>
        <v>A</v>
      </c>
      <c r="L785" t="str">
        <f>_xlfn.XLOOKUP(Jnl[[#This Row],[Acct]], config_BS[Acct], config_BS[Lv1],,0)</f>
        <v>Assets</v>
      </c>
      <c r="M785" t="str">
        <f>_xlfn.XLOOKUP(Jnl[[#This Row],[Acct]], config_BS[Acct], config_BS[Lv2],,0)</f>
        <v>Cash alike</v>
      </c>
      <c r="N785" t="str">
        <f>_xlfn.XLOOKUP(Jnl[[#This Row],[TrxId]], Trx[Id], Trx[IncNode], ,0)</f>
        <v>Cost</v>
      </c>
      <c r="O785" t="str">
        <f>_xlfn.XLOOKUP(Jnl[[#This Row],[IncNode]], config_IS[Node], config_IS[Type],,0)</f>
        <v>Op</v>
      </c>
      <c r="P785" t="str">
        <f>_xlfn.XLOOKUP(Jnl[[#This Row],[BSLv2]], dict[Key], dict[Name],,0)</f>
        <v>0.现金及类似</v>
      </c>
      <c r="Q785" t="str">
        <f>_xlfn.XLOOKUP(Jnl[[#This Row],[Acct]], dict[Key], dict[Name],,0)</f>
        <v>银行</v>
      </c>
      <c r="R785" t="str">
        <f>_xlfn.XLOOKUP(Jnl[[#This Row],[Vehicle]],config_vehicle[Id], config_vehicle[Name],,0)</f>
        <v>郑术燕</v>
      </c>
      <c r="S785" t="str">
        <f>_xlfn.XLOOKUP(Jnl[[#This Row],[Division]],config_div[Id], config_div[Name],,0)</f>
        <v>明月村</v>
      </c>
      <c r="T785" t="str">
        <f>IF(Jnl[[#This Row],[TrxDate]]&lt;=stmt_BS_date_end, "In", "Out")</f>
        <v>In</v>
      </c>
      <c r="U785" t="str">
        <f>IF(Jnl[[#This Row],[TrxDate]]&lt;debug_date_start, "prior", IF(Jnl[[#This Row],[TrxDate]]&gt;debug_date_end, "post", "curr"))</f>
        <v>prior</v>
      </c>
    </row>
    <row r="786" spans="1:21">
      <c r="A786" s="11" t="s">
        <v>1219</v>
      </c>
      <c r="B786" s="7">
        <f>_xlfn.XLOOKUP(Jnl[[#This Row],[TrxId]], Trx[Id], Trx[Date],,0)</f>
        <v>46053</v>
      </c>
      <c r="C786" s="7" t="str">
        <f>_xlfn.XLOOKUP(Jnl[[#This Row],[TrxId]], Trx[Id], Trx[Division],,0)</f>
        <v>MY</v>
      </c>
      <c r="D786" s="7" t="str">
        <f>_xlfn.XLOOKUP(Jnl[[#This Row],[TrxId]], Trx[Id], Trx[Action],,0)</f>
        <v>退款-客人</v>
      </c>
      <c r="E786" s="26" t="s">
        <v>87</v>
      </c>
      <c r="F786" s="11" t="s">
        <v>590</v>
      </c>
      <c r="G786" s="11" t="s">
        <v>903</v>
      </c>
      <c r="H786" s="72">
        <v>-1413</v>
      </c>
      <c r="I786" s="5" t="b">
        <f>AND(Jnl[[#This Row],[TrxId]]&lt;&gt;"",Jnl[[#This Row],[Acct]]&lt;&gt;"",Jnl[[#This Row],[Item]]&lt;&gt;"",ISNUMBER(Jnl[[#This Row],[Bal]]))</f>
        <v>1</v>
      </c>
      <c r="J786" s="10">
        <f>IF(Jnl[[#This Row],[BSLv0]]="A",1,-1)*Jnl[[#This Row],[Bal]]</f>
        <v>-1413</v>
      </c>
      <c r="K786" t="str">
        <f>_xlfn.XLOOKUP(Jnl[[#This Row],[Acct]], config_BS[Acct], config_BS[Lv0],,0)</f>
        <v>A</v>
      </c>
      <c r="L786" t="str">
        <f>_xlfn.XLOOKUP(Jnl[[#This Row],[Acct]], config_BS[Acct], config_BS[Lv1],,0)</f>
        <v>Assets</v>
      </c>
      <c r="M786" t="str">
        <f>_xlfn.XLOOKUP(Jnl[[#This Row],[Acct]], config_BS[Acct], config_BS[Lv2],,0)</f>
        <v>Cash alike</v>
      </c>
      <c r="N786" t="str">
        <f>_xlfn.XLOOKUP(Jnl[[#This Row],[TrxId]], Trx[Id], Trx[IncNode], ,0)</f>
        <v>Revenue</v>
      </c>
      <c r="O786" t="str">
        <f>_xlfn.XLOOKUP(Jnl[[#This Row],[IncNode]], config_IS[Node], config_IS[Type],,0)</f>
        <v>Op</v>
      </c>
      <c r="P786" t="str">
        <f>_xlfn.XLOOKUP(Jnl[[#This Row],[BSLv2]], dict[Key], dict[Name],,0)</f>
        <v>0.现金及类似</v>
      </c>
      <c r="Q786" t="str">
        <f>_xlfn.XLOOKUP(Jnl[[#This Row],[Acct]], dict[Key], dict[Name],,0)</f>
        <v>银行</v>
      </c>
      <c r="R786" t="str">
        <f>_xlfn.XLOOKUP(Jnl[[#This Row],[Vehicle]],config_vehicle[Id], config_vehicle[Name],,0)</f>
        <v>小月号</v>
      </c>
      <c r="S786" t="str">
        <f>_xlfn.XLOOKUP(Jnl[[#This Row],[Division]],config_div[Id], config_div[Name],,0)</f>
        <v>明月村</v>
      </c>
      <c r="T786" t="str">
        <f>IF(Jnl[[#This Row],[TrxDate]]&lt;=stmt_BS_date_end, "In", "Out")</f>
        <v>In</v>
      </c>
      <c r="U786" t="str">
        <f>IF(Jnl[[#This Row],[TrxDate]]&lt;debug_date_start, "prior", IF(Jnl[[#This Row],[TrxDate]]&gt;debug_date_end, "post", "curr"))</f>
        <v>prior</v>
      </c>
    </row>
    <row r="787" spans="1:21">
      <c r="A787" s="11" t="s">
        <v>1219</v>
      </c>
      <c r="B787" s="7">
        <f>_xlfn.XLOOKUP(Jnl[[#This Row],[TrxId]], Trx[Id], Trx[Date],,0)</f>
        <v>46053</v>
      </c>
      <c r="C787" s="7" t="str">
        <f>_xlfn.XLOOKUP(Jnl[[#This Row],[TrxId]], Trx[Id], Trx[Division],,0)</f>
        <v>MY</v>
      </c>
      <c r="D787" s="7" t="str">
        <f>_xlfn.XLOOKUP(Jnl[[#This Row],[TrxId]], Trx[Id], Trx[Action],,0)</f>
        <v>退款-客人</v>
      </c>
      <c r="E787" s="26" t="s">
        <v>83</v>
      </c>
      <c r="F787" s="11" t="s">
        <v>593</v>
      </c>
      <c r="G787" s="11" t="s">
        <v>942</v>
      </c>
      <c r="H787" s="72">
        <f>-H786</f>
        <v>1413</v>
      </c>
      <c r="I787" s="5" t="b">
        <f>AND(Jnl[[#This Row],[TrxId]]&lt;&gt;"",Jnl[[#This Row],[Acct]]&lt;&gt;"",Jnl[[#This Row],[Item]]&lt;&gt;"",ISNUMBER(Jnl[[#This Row],[Bal]]))</f>
        <v>1</v>
      </c>
      <c r="J787" s="10">
        <f>IF(Jnl[[#This Row],[BSLv0]]="A",1,-1)*Jnl[[#This Row],[Bal]]</f>
        <v>1413</v>
      </c>
      <c r="K787" t="str">
        <f>_xlfn.XLOOKUP(Jnl[[#This Row],[Acct]], config_BS[Acct], config_BS[Lv0],,0)</f>
        <v>A</v>
      </c>
      <c r="L787" t="str">
        <f>_xlfn.XLOOKUP(Jnl[[#This Row],[Acct]], config_BS[Acct], config_BS[Lv1],,0)</f>
        <v>Assets</v>
      </c>
      <c r="M787" t="str">
        <f>_xlfn.XLOOKUP(Jnl[[#This Row],[Acct]], config_BS[Acct], config_BS[Lv2],,0)</f>
        <v>Rec-Pay</v>
      </c>
      <c r="N787" t="str">
        <f>_xlfn.XLOOKUP(Jnl[[#This Row],[TrxId]], Trx[Id], Trx[IncNode], ,0)</f>
        <v>Revenue</v>
      </c>
      <c r="O787" t="str">
        <f>_xlfn.XLOOKUP(Jnl[[#This Row],[IncNode]], config_IS[Node], config_IS[Type],,0)</f>
        <v>Op</v>
      </c>
      <c r="P787" t="str">
        <f>_xlfn.XLOOKUP(Jnl[[#This Row],[BSLv2]], dict[Key], dict[Name],,0)</f>
        <v>1.应收-应付</v>
      </c>
      <c r="Q787" t="str">
        <f>_xlfn.XLOOKUP(Jnl[[#This Row],[Acct]], dict[Key], dict[Name],,0)</f>
        <v>应收-一般</v>
      </c>
      <c r="R787" t="str">
        <f>_xlfn.XLOOKUP(Jnl[[#This Row],[Vehicle]],config_vehicle[Id], config_vehicle[Name],,0)</f>
        <v>远家文化</v>
      </c>
      <c r="S787" t="str">
        <f>_xlfn.XLOOKUP(Jnl[[#This Row],[Division]],config_div[Id], config_div[Name],,0)</f>
        <v>明月村</v>
      </c>
      <c r="T787" t="str">
        <f>IF(Jnl[[#This Row],[TrxDate]]&lt;=stmt_BS_date_end, "In", "Out")</f>
        <v>In</v>
      </c>
      <c r="U787" t="str">
        <f>IF(Jnl[[#This Row],[TrxDate]]&lt;debug_date_start, "prior", IF(Jnl[[#This Row],[TrxDate]]&gt;debug_date_end, "post", "curr"))</f>
        <v>prior</v>
      </c>
    </row>
    <row r="788" spans="1:21">
      <c r="A788" s="11" t="s">
        <v>1220</v>
      </c>
      <c r="B788" s="7">
        <f>_xlfn.XLOOKUP(Jnl[[#This Row],[TrxId]], Trx[Id], Trx[Date],,0)</f>
        <v>46053</v>
      </c>
      <c r="C788" s="7" t="str">
        <f>_xlfn.XLOOKUP(Jnl[[#This Row],[TrxId]], Trx[Id], Trx[Division],,0)</f>
        <v>MY</v>
      </c>
      <c r="D788" s="7" t="str">
        <f>_xlfn.XLOOKUP(Jnl[[#This Row],[TrxId]], Trx[Id], Trx[Action],,0)</f>
        <v>其他销售</v>
      </c>
      <c r="E788" s="26" t="s">
        <v>87</v>
      </c>
      <c r="F788" s="11" t="s">
        <v>590</v>
      </c>
      <c r="G788" s="11" t="s">
        <v>903</v>
      </c>
      <c r="H788" s="72">
        <v>500</v>
      </c>
      <c r="I788" s="5" t="b">
        <f>AND(Jnl[[#This Row],[TrxId]]&lt;&gt;"",Jnl[[#This Row],[Acct]]&lt;&gt;"",Jnl[[#This Row],[Item]]&lt;&gt;"",ISNUMBER(Jnl[[#This Row],[Bal]]))</f>
        <v>1</v>
      </c>
      <c r="J788" s="10">
        <f>IF(Jnl[[#This Row],[BSLv0]]="A",1,-1)*Jnl[[#This Row],[Bal]]</f>
        <v>500</v>
      </c>
      <c r="K788" t="str">
        <f>_xlfn.XLOOKUP(Jnl[[#This Row],[Acct]], config_BS[Acct], config_BS[Lv0],,0)</f>
        <v>A</v>
      </c>
      <c r="L788" t="str">
        <f>_xlfn.XLOOKUP(Jnl[[#This Row],[Acct]], config_BS[Acct], config_BS[Lv1],,0)</f>
        <v>Assets</v>
      </c>
      <c r="M788" t="str">
        <f>_xlfn.XLOOKUP(Jnl[[#This Row],[Acct]], config_BS[Acct], config_BS[Lv2],,0)</f>
        <v>Cash alike</v>
      </c>
      <c r="N788" t="str">
        <f>_xlfn.XLOOKUP(Jnl[[#This Row],[TrxId]], Trx[Id], Trx[IncNode], ,0)</f>
        <v>Revenue</v>
      </c>
      <c r="O788" t="str">
        <f>_xlfn.XLOOKUP(Jnl[[#This Row],[IncNode]], config_IS[Node], config_IS[Type],,0)</f>
        <v>Op</v>
      </c>
      <c r="P788" t="str">
        <f>_xlfn.XLOOKUP(Jnl[[#This Row],[BSLv2]], dict[Key], dict[Name],,0)</f>
        <v>0.现金及类似</v>
      </c>
      <c r="Q788" t="str">
        <f>_xlfn.XLOOKUP(Jnl[[#This Row],[Acct]], dict[Key], dict[Name],,0)</f>
        <v>银行</v>
      </c>
      <c r="R788" t="str">
        <f>_xlfn.XLOOKUP(Jnl[[#This Row],[Vehicle]],config_vehicle[Id], config_vehicle[Name],,0)</f>
        <v>小月号</v>
      </c>
      <c r="S788" t="str">
        <f>_xlfn.XLOOKUP(Jnl[[#This Row],[Division]],config_div[Id], config_div[Name],,0)</f>
        <v>明月村</v>
      </c>
      <c r="T788" t="str">
        <f>IF(Jnl[[#This Row],[TrxDate]]&lt;=stmt_BS_date_end, "In", "Out")</f>
        <v>In</v>
      </c>
      <c r="U788" t="str">
        <f>IF(Jnl[[#This Row],[TrxDate]]&lt;debug_date_start, "prior", IF(Jnl[[#This Row],[TrxDate]]&gt;debug_date_end, "post", "curr"))</f>
        <v>prior</v>
      </c>
    </row>
    <row r="789" spans="1:21">
      <c r="A789" s="11" t="s">
        <v>1221</v>
      </c>
      <c r="B789" s="7">
        <f>_xlfn.XLOOKUP(Jnl[[#This Row],[TrxId]], Trx[Id], Trx[Date],,0)</f>
        <v>46053</v>
      </c>
      <c r="C789" s="7" t="str">
        <f>_xlfn.XLOOKUP(Jnl[[#This Row],[TrxId]], Trx[Id], Trx[Division],,0)</f>
        <v>MY</v>
      </c>
      <c r="D789" s="7" t="str">
        <f>_xlfn.XLOOKUP(Jnl[[#This Row],[TrxId]], Trx[Id], Trx[Action],,0)</f>
        <v>食材</v>
      </c>
      <c r="E789" s="26" t="s">
        <v>87</v>
      </c>
      <c r="F789" s="11" t="s">
        <v>590</v>
      </c>
      <c r="G789" s="11" t="s">
        <v>903</v>
      </c>
      <c r="H789" s="72">
        <v>-96</v>
      </c>
      <c r="I789" s="5" t="b">
        <f>AND(Jnl[[#This Row],[TrxId]]&lt;&gt;"",Jnl[[#This Row],[Acct]]&lt;&gt;"",Jnl[[#This Row],[Item]]&lt;&gt;"",ISNUMBER(Jnl[[#This Row],[Bal]]))</f>
        <v>1</v>
      </c>
      <c r="J789" s="10">
        <f>IF(Jnl[[#This Row],[BSLv0]]="A",1,-1)*Jnl[[#This Row],[Bal]]</f>
        <v>-96</v>
      </c>
      <c r="K789" t="str">
        <f>_xlfn.XLOOKUP(Jnl[[#This Row],[Acct]], config_BS[Acct], config_BS[Lv0],,0)</f>
        <v>A</v>
      </c>
      <c r="L789" t="str">
        <f>_xlfn.XLOOKUP(Jnl[[#This Row],[Acct]], config_BS[Acct], config_BS[Lv1],,0)</f>
        <v>Assets</v>
      </c>
      <c r="M789" t="str">
        <f>_xlfn.XLOOKUP(Jnl[[#This Row],[Acct]], config_BS[Acct], config_BS[Lv2],,0)</f>
        <v>Cash alike</v>
      </c>
      <c r="N789" t="str">
        <f>_xlfn.XLOOKUP(Jnl[[#This Row],[TrxId]], Trx[Id], Trx[IncNode], ,0)</f>
        <v>Cost</v>
      </c>
      <c r="O789" t="str">
        <f>_xlfn.XLOOKUP(Jnl[[#This Row],[IncNode]], config_IS[Node], config_IS[Type],,0)</f>
        <v>Op</v>
      </c>
      <c r="P789" t="str">
        <f>_xlfn.XLOOKUP(Jnl[[#This Row],[BSLv2]], dict[Key], dict[Name],,0)</f>
        <v>0.现金及类似</v>
      </c>
      <c r="Q789" t="str">
        <f>_xlfn.XLOOKUP(Jnl[[#This Row],[Acct]], dict[Key], dict[Name],,0)</f>
        <v>银行</v>
      </c>
      <c r="R789" t="str">
        <f>_xlfn.XLOOKUP(Jnl[[#This Row],[Vehicle]],config_vehicle[Id], config_vehicle[Name],,0)</f>
        <v>小月号</v>
      </c>
      <c r="S789" t="str">
        <f>_xlfn.XLOOKUP(Jnl[[#This Row],[Division]],config_div[Id], config_div[Name],,0)</f>
        <v>明月村</v>
      </c>
      <c r="T789" t="str">
        <f>IF(Jnl[[#This Row],[TrxDate]]&lt;=stmt_BS_date_end, "In", "Out")</f>
        <v>In</v>
      </c>
      <c r="U789" t="str">
        <f>IF(Jnl[[#This Row],[TrxDate]]&lt;debug_date_start, "prior", IF(Jnl[[#This Row],[TrxDate]]&gt;debug_date_end, "post", "curr"))</f>
        <v>prior</v>
      </c>
    </row>
    <row r="790" spans="1:21">
      <c r="A790" s="11" t="s">
        <v>1222</v>
      </c>
      <c r="B790" s="7">
        <f>_xlfn.XLOOKUP(Jnl[[#This Row],[TrxId]], Trx[Id], Trx[Date],,0)</f>
        <v>46053</v>
      </c>
      <c r="C790" s="7" t="str">
        <f>_xlfn.XLOOKUP(Jnl[[#This Row],[TrxId]], Trx[Id], Trx[Division],,0)</f>
        <v>MY</v>
      </c>
      <c r="D790" s="7" t="str">
        <f>_xlfn.XLOOKUP(Jnl[[#This Row],[TrxId]], Trx[Id], Trx[Action],,0)</f>
        <v>福利</v>
      </c>
      <c r="E790" s="26" t="s">
        <v>87</v>
      </c>
      <c r="F790" s="11" t="s">
        <v>590</v>
      </c>
      <c r="G790" s="11" t="s">
        <v>903</v>
      </c>
      <c r="H790" s="72">
        <v>-200</v>
      </c>
      <c r="I790" s="5" t="b">
        <f>AND(Jnl[[#This Row],[TrxId]]&lt;&gt;"",Jnl[[#This Row],[Acct]]&lt;&gt;"",Jnl[[#This Row],[Item]]&lt;&gt;"",ISNUMBER(Jnl[[#This Row],[Bal]]))</f>
        <v>1</v>
      </c>
      <c r="J790" s="10">
        <f>IF(Jnl[[#This Row],[BSLv0]]="A",1,-1)*Jnl[[#This Row],[Bal]]</f>
        <v>-200</v>
      </c>
      <c r="K790" t="str">
        <f>_xlfn.XLOOKUP(Jnl[[#This Row],[Acct]], config_BS[Acct], config_BS[Lv0],,0)</f>
        <v>A</v>
      </c>
      <c r="L790" t="str">
        <f>_xlfn.XLOOKUP(Jnl[[#This Row],[Acct]], config_BS[Acct], config_BS[Lv1],,0)</f>
        <v>Assets</v>
      </c>
      <c r="M790" t="str">
        <f>_xlfn.XLOOKUP(Jnl[[#This Row],[Acct]], config_BS[Acct], config_BS[Lv2],,0)</f>
        <v>Cash alike</v>
      </c>
      <c r="N790" t="str">
        <f>_xlfn.XLOOKUP(Jnl[[#This Row],[TrxId]], Trx[Id], Trx[IncNode], ,0)</f>
        <v>Expense</v>
      </c>
      <c r="O790" t="str">
        <f>_xlfn.XLOOKUP(Jnl[[#This Row],[IncNode]], config_IS[Node], config_IS[Type],,0)</f>
        <v>Op</v>
      </c>
      <c r="P790" t="str">
        <f>_xlfn.XLOOKUP(Jnl[[#This Row],[BSLv2]], dict[Key], dict[Name],,0)</f>
        <v>0.现金及类似</v>
      </c>
      <c r="Q790" t="str">
        <f>_xlfn.XLOOKUP(Jnl[[#This Row],[Acct]], dict[Key], dict[Name],,0)</f>
        <v>银行</v>
      </c>
      <c r="R790" t="str">
        <f>_xlfn.XLOOKUP(Jnl[[#This Row],[Vehicle]],config_vehicle[Id], config_vehicle[Name],,0)</f>
        <v>小月号</v>
      </c>
      <c r="S790" t="str">
        <f>_xlfn.XLOOKUP(Jnl[[#This Row],[Division]],config_div[Id], config_div[Name],,0)</f>
        <v>明月村</v>
      </c>
      <c r="T790" t="str">
        <f>IF(Jnl[[#This Row],[TrxDate]]&lt;=stmt_BS_date_end, "In", "Out")</f>
        <v>In</v>
      </c>
      <c r="U790" t="str">
        <f>IF(Jnl[[#This Row],[TrxDate]]&lt;debug_date_start, "prior", IF(Jnl[[#This Row],[TrxDate]]&gt;debug_date_end, "post", "curr"))</f>
        <v>prior</v>
      </c>
    </row>
    <row r="791" spans="1:21">
      <c r="A791" s="11" t="s">
        <v>1223</v>
      </c>
      <c r="B791" s="7">
        <f>_xlfn.XLOOKUP(Jnl[[#This Row],[TrxId]], Trx[Id], Trx[Date],,0)</f>
        <v>46053</v>
      </c>
      <c r="C791" s="7" t="str">
        <f>_xlfn.XLOOKUP(Jnl[[#This Row],[TrxId]], Trx[Id], Trx[Division],,0)</f>
        <v>MY</v>
      </c>
      <c r="D791" s="7" t="str">
        <f>_xlfn.XLOOKUP(Jnl[[#This Row],[TrxId]], Trx[Id], Trx[Action],,0)</f>
        <v>收款</v>
      </c>
      <c r="E791" s="26" t="s">
        <v>87</v>
      </c>
      <c r="F791" s="11" t="s">
        <v>590</v>
      </c>
      <c r="G791" s="11" t="s">
        <v>903</v>
      </c>
      <c r="H791" s="72">
        <v>1105</v>
      </c>
      <c r="I791" s="5" t="b">
        <f>AND(Jnl[[#This Row],[TrxId]]&lt;&gt;"",Jnl[[#This Row],[Acct]]&lt;&gt;"",Jnl[[#This Row],[Item]]&lt;&gt;"",ISNUMBER(Jnl[[#This Row],[Bal]]))</f>
        <v>1</v>
      </c>
      <c r="J791" s="10">
        <f>IF(Jnl[[#This Row],[BSLv0]]="A",1,-1)*Jnl[[#This Row],[Bal]]</f>
        <v>1105</v>
      </c>
      <c r="K791" t="str">
        <f>_xlfn.XLOOKUP(Jnl[[#This Row],[Acct]], config_BS[Acct], config_BS[Lv0],,0)</f>
        <v>A</v>
      </c>
      <c r="L791" t="str">
        <f>_xlfn.XLOOKUP(Jnl[[#This Row],[Acct]], config_BS[Acct], config_BS[Lv1],,0)</f>
        <v>Assets</v>
      </c>
      <c r="M791" t="str">
        <f>_xlfn.XLOOKUP(Jnl[[#This Row],[Acct]], config_BS[Acct], config_BS[Lv2],,0)</f>
        <v>Cash alike</v>
      </c>
      <c r="N791" t="str">
        <f>_xlfn.XLOOKUP(Jnl[[#This Row],[TrxId]], Trx[Id], Trx[IncNode], ,0)</f>
        <v>Revenue</v>
      </c>
      <c r="O791" t="str">
        <f>_xlfn.XLOOKUP(Jnl[[#This Row],[IncNode]], config_IS[Node], config_IS[Type],,0)</f>
        <v>Op</v>
      </c>
      <c r="P791" t="str">
        <f>_xlfn.XLOOKUP(Jnl[[#This Row],[BSLv2]], dict[Key], dict[Name],,0)</f>
        <v>0.现金及类似</v>
      </c>
      <c r="Q791" t="str">
        <f>_xlfn.XLOOKUP(Jnl[[#This Row],[Acct]], dict[Key], dict[Name],,0)</f>
        <v>银行</v>
      </c>
      <c r="R791" t="str">
        <f>_xlfn.XLOOKUP(Jnl[[#This Row],[Vehicle]],config_vehicle[Id], config_vehicle[Name],,0)</f>
        <v>小月号</v>
      </c>
      <c r="S791" t="str">
        <f>_xlfn.XLOOKUP(Jnl[[#This Row],[Division]],config_div[Id], config_div[Name],,0)</f>
        <v>明月村</v>
      </c>
      <c r="T791" t="str">
        <f>IF(Jnl[[#This Row],[TrxDate]]&lt;=stmt_BS_date_end, "In", "Out")</f>
        <v>In</v>
      </c>
      <c r="U791" t="str">
        <f>IF(Jnl[[#This Row],[TrxDate]]&lt;debug_date_start, "prior", IF(Jnl[[#This Row],[TrxDate]]&gt;debug_date_end, "post", "curr"))</f>
        <v>prior</v>
      </c>
    </row>
    <row r="792" spans="1:21">
      <c r="A792" s="11" t="s">
        <v>1223</v>
      </c>
      <c r="B792" s="7">
        <f>_xlfn.XLOOKUP(Jnl[[#This Row],[TrxId]], Trx[Id], Trx[Date],,0)</f>
        <v>46053</v>
      </c>
      <c r="C792" s="7" t="str">
        <f>_xlfn.XLOOKUP(Jnl[[#This Row],[TrxId]], Trx[Id], Trx[Division],,0)</f>
        <v>MY</v>
      </c>
      <c r="D792" s="7" t="str">
        <f>_xlfn.XLOOKUP(Jnl[[#This Row],[TrxId]], Trx[Id], Trx[Action],,0)</f>
        <v>收款</v>
      </c>
      <c r="E792" s="26" t="s">
        <v>83</v>
      </c>
      <c r="F792" s="11" t="s">
        <v>593</v>
      </c>
      <c r="G792" s="11" t="s">
        <v>1060</v>
      </c>
      <c r="H792" s="72">
        <f>-H791</f>
        <v>-1105</v>
      </c>
      <c r="I792" s="5" t="b">
        <f>AND(Jnl[[#This Row],[TrxId]]&lt;&gt;"",Jnl[[#This Row],[Acct]]&lt;&gt;"",Jnl[[#This Row],[Item]]&lt;&gt;"",ISNUMBER(Jnl[[#This Row],[Bal]]))</f>
        <v>1</v>
      </c>
      <c r="J792" s="10">
        <f>IF(Jnl[[#This Row],[BSLv0]]="A",1,-1)*Jnl[[#This Row],[Bal]]</f>
        <v>-1105</v>
      </c>
      <c r="K792" t="str">
        <f>_xlfn.XLOOKUP(Jnl[[#This Row],[Acct]], config_BS[Acct], config_BS[Lv0],,0)</f>
        <v>A</v>
      </c>
      <c r="L792" t="str">
        <f>_xlfn.XLOOKUP(Jnl[[#This Row],[Acct]], config_BS[Acct], config_BS[Lv1],,0)</f>
        <v>Assets</v>
      </c>
      <c r="M792" t="str">
        <f>_xlfn.XLOOKUP(Jnl[[#This Row],[Acct]], config_BS[Acct], config_BS[Lv2],,0)</f>
        <v>Rec-Pay</v>
      </c>
      <c r="N792" t="str">
        <f>_xlfn.XLOOKUP(Jnl[[#This Row],[TrxId]], Trx[Id], Trx[IncNode], ,0)</f>
        <v>Revenue</v>
      </c>
      <c r="O792" t="str">
        <f>_xlfn.XLOOKUP(Jnl[[#This Row],[IncNode]], config_IS[Node], config_IS[Type],,0)</f>
        <v>Op</v>
      </c>
      <c r="P792" t="str">
        <f>_xlfn.XLOOKUP(Jnl[[#This Row],[BSLv2]], dict[Key], dict[Name],,0)</f>
        <v>1.应收-应付</v>
      </c>
      <c r="Q792" t="str">
        <f>_xlfn.XLOOKUP(Jnl[[#This Row],[Acct]], dict[Key], dict[Name],,0)</f>
        <v>应收-一般</v>
      </c>
      <c r="R792" t="str">
        <f>_xlfn.XLOOKUP(Jnl[[#This Row],[Vehicle]],config_vehicle[Id], config_vehicle[Name],,0)</f>
        <v>远家文化</v>
      </c>
      <c r="S792" t="str">
        <f>_xlfn.XLOOKUP(Jnl[[#This Row],[Division]],config_div[Id], config_div[Name],,0)</f>
        <v>明月村</v>
      </c>
      <c r="T792" t="str">
        <f>IF(Jnl[[#This Row],[TrxDate]]&lt;=stmt_BS_date_end, "In", "Out")</f>
        <v>In</v>
      </c>
      <c r="U792" t="str">
        <f>IF(Jnl[[#This Row],[TrxDate]]&lt;debug_date_start, "prior", IF(Jnl[[#This Row],[TrxDate]]&gt;debug_date_end, "post", "curr"))</f>
        <v>prior</v>
      </c>
    </row>
    <row r="793" spans="1:21">
      <c r="A793" s="11" t="s">
        <v>1224</v>
      </c>
      <c r="B793" s="7">
        <f>_xlfn.XLOOKUP(Jnl[[#This Row],[TrxId]], Trx[Id], Trx[Date],,0)</f>
        <v>46053</v>
      </c>
      <c r="C793" s="7" t="str">
        <f>_xlfn.XLOOKUP(Jnl[[#This Row],[TrxId]], Trx[Id], Trx[Division],,0)</f>
        <v>MY</v>
      </c>
      <c r="D793" s="7" t="str">
        <f>_xlfn.XLOOKUP(Jnl[[#This Row],[TrxId]], Trx[Id], Trx[Action],,0)</f>
        <v>收款</v>
      </c>
      <c r="E793" s="26" t="s">
        <v>87</v>
      </c>
      <c r="F793" s="11" t="s">
        <v>590</v>
      </c>
      <c r="G793" s="11" t="s">
        <v>903</v>
      </c>
      <c r="H793" s="72">
        <v>4000</v>
      </c>
      <c r="I793" s="5" t="b">
        <f>AND(Jnl[[#This Row],[TrxId]]&lt;&gt;"",Jnl[[#This Row],[Acct]]&lt;&gt;"",Jnl[[#This Row],[Item]]&lt;&gt;"",ISNUMBER(Jnl[[#This Row],[Bal]]))</f>
        <v>1</v>
      </c>
      <c r="J793" s="10">
        <f>IF(Jnl[[#This Row],[BSLv0]]="A",1,-1)*Jnl[[#This Row],[Bal]]</f>
        <v>4000</v>
      </c>
      <c r="K793" t="str">
        <f>_xlfn.XLOOKUP(Jnl[[#This Row],[Acct]], config_BS[Acct], config_BS[Lv0],,0)</f>
        <v>A</v>
      </c>
      <c r="L793" t="str">
        <f>_xlfn.XLOOKUP(Jnl[[#This Row],[Acct]], config_BS[Acct], config_BS[Lv1],,0)</f>
        <v>Assets</v>
      </c>
      <c r="M793" t="str">
        <f>_xlfn.XLOOKUP(Jnl[[#This Row],[Acct]], config_BS[Acct], config_BS[Lv2],,0)</f>
        <v>Cash alike</v>
      </c>
      <c r="N793" t="str">
        <f>_xlfn.XLOOKUP(Jnl[[#This Row],[TrxId]], Trx[Id], Trx[IncNode], ,0)</f>
        <v>Revenue</v>
      </c>
      <c r="O793" t="str">
        <f>_xlfn.XLOOKUP(Jnl[[#This Row],[IncNode]], config_IS[Node], config_IS[Type],,0)</f>
        <v>Op</v>
      </c>
      <c r="P793" t="str">
        <f>_xlfn.XLOOKUP(Jnl[[#This Row],[BSLv2]], dict[Key], dict[Name],,0)</f>
        <v>0.现金及类似</v>
      </c>
      <c r="Q793" t="str">
        <f>_xlfn.XLOOKUP(Jnl[[#This Row],[Acct]], dict[Key], dict[Name],,0)</f>
        <v>银行</v>
      </c>
      <c r="R793" t="str">
        <f>_xlfn.XLOOKUP(Jnl[[#This Row],[Vehicle]],config_vehicle[Id], config_vehicle[Name],,0)</f>
        <v>小月号</v>
      </c>
      <c r="S793" t="str">
        <f>_xlfn.XLOOKUP(Jnl[[#This Row],[Division]],config_div[Id], config_div[Name],,0)</f>
        <v>明月村</v>
      </c>
      <c r="T793" t="str">
        <f>IF(Jnl[[#This Row],[TrxDate]]&lt;=stmt_BS_date_end, "In", "Out")</f>
        <v>In</v>
      </c>
      <c r="U793" t="str">
        <f>IF(Jnl[[#This Row],[TrxDate]]&lt;debug_date_start, "prior", IF(Jnl[[#This Row],[TrxDate]]&gt;debug_date_end, "post", "curr"))</f>
        <v>prior</v>
      </c>
    </row>
    <row r="794" spans="1:21">
      <c r="A794" s="11" t="s">
        <v>1224</v>
      </c>
      <c r="B794" s="7">
        <f>_xlfn.XLOOKUP(Jnl[[#This Row],[TrxId]], Trx[Id], Trx[Date],,0)</f>
        <v>46053</v>
      </c>
      <c r="C794" s="7" t="str">
        <f>_xlfn.XLOOKUP(Jnl[[#This Row],[TrxId]], Trx[Id], Trx[Division],,0)</f>
        <v>MY</v>
      </c>
      <c r="D794" s="7" t="str">
        <f>_xlfn.XLOOKUP(Jnl[[#This Row],[TrxId]], Trx[Id], Trx[Action],,0)</f>
        <v>收款</v>
      </c>
      <c r="E794" s="26" t="s">
        <v>83</v>
      </c>
      <c r="F794" s="11" t="s">
        <v>593</v>
      </c>
      <c r="G794" s="11" t="s">
        <v>942</v>
      </c>
      <c r="H794" s="72">
        <f>-H793</f>
        <v>-4000</v>
      </c>
      <c r="I794" s="5" t="b">
        <f>AND(Jnl[[#This Row],[TrxId]]&lt;&gt;"",Jnl[[#This Row],[Acct]]&lt;&gt;"",Jnl[[#This Row],[Item]]&lt;&gt;"",ISNUMBER(Jnl[[#This Row],[Bal]]))</f>
        <v>1</v>
      </c>
      <c r="J794" s="10">
        <f>IF(Jnl[[#This Row],[BSLv0]]="A",1,-1)*Jnl[[#This Row],[Bal]]</f>
        <v>-4000</v>
      </c>
      <c r="K794" t="str">
        <f>_xlfn.XLOOKUP(Jnl[[#This Row],[Acct]], config_BS[Acct], config_BS[Lv0],,0)</f>
        <v>A</v>
      </c>
      <c r="L794" t="str">
        <f>_xlfn.XLOOKUP(Jnl[[#This Row],[Acct]], config_BS[Acct], config_BS[Lv1],,0)</f>
        <v>Assets</v>
      </c>
      <c r="M794" t="str">
        <f>_xlfn.XLOOKUP(Jnl[[#This Row],[Acct]], config_BS[Acct], config_BS[Lv2],,0)</f>
        <v>Rec-Pay</v>
      </c>
      <c r="N794" t="str">
        <f>_xlfn.XLOOKUP(Jnl[[#This Row],[TrxId]], Trx[Id], Trx[IncNode], ,0)</f>
        <v>Revenue</v>
      </c>
      <c r="O794" t="str">
        <f>_xlfn.XLOOKUP(Jnl[[#This Row],[IncNode]], config_IS[Node], config_IS[Type],,0)</f>
        <v>Op</v>
      </c>
      <c r="P794" t="str">
        <f>_xlfn.XLOOKUP(Jnl[[#This Row],[BSLv2]], dict[Key], dict[Name],,0)</f>
        <v>1.应收-应付</v>
      </c>
      <c r="Q794" t="str">
        <f>_xlfn.XLOOKUP(Jnl[[#This Row],[Acct]], dict[Key], dict[Name],,0)</f>
        <v>应收-一般</v>
      </c>
      <c r="R794" t="str">
        <f>_xlfn.XLOOKUP(Jnl[[#This Row],[Vehicle]],config_vehicle[Id], config_vehicle[Name],,0)</f>
        <v>远家文化</v>
      </c>
      <c r="S794" t="str">
        <f>_xlfn.XLOOKUP(Jnl[[#This Row],[Division]],config_div[Id], config_div[Name],,0)</f>
        <v>明月村</v>
      </c>
      <c r="T794" t="str">
        <f>IF(Jnl[[#This Row],[TrxDate]]&lt;=stmt_BS_date_end, "In", "Out")</f>
        <v>In</v>
      </c>
      <c r="U794" t="str">
        <f>IF(Jnl[[#This Row],[TrxDate]]&lt;debug_date_start, "prior", IF(Jnl[[#This Row],[TrxDate]]&gt;debug_date_end, "post", "curr"))</f>
        <v>prior</v>
      </c>
    </row>
    <row r="795" spans="1:21">
      <c r="A795" s="11" t="s">
        <v>1225</v>
      </c>
      <c r="B795" s="7">
        <f>_xlfn.XLOOKUP(Jnl[[#This Row],[TrxId]], Trx[Id], Trx[Date],,0)</f>
        <v>46053</v>
      </c>
      <c r="C795" s="7" t="str">
        <f>_xlfn.XLOOKUP(Jnl[[#This Row],[TrxId]], Trx[Id], Trx[Division],,0)</f>
        <v>MY</v>
      </c>
      <c r="D795" s="7" t="str">
        <f>_xlfn.XLOOKUP(Jnl[[#This Row],[TrxId]], Trx[Id], Trx[Action],,0)</f>
        <v>收款</v>
      </c>
      <c r="E795" s="26" t="s">
        <v>87</v>
      </c>
      <c r="F795" s="11" t="s">
        <v>590</v>
      </c>
      <c r="G795" s="11" t="s">
        <v>903</v>
      </c>
      <c r="H795" s="72">
        <v>2465</v>
      </c>
      <c r="I795" s="5" t="b">
        <f>AND(Jnl[[#This Row],[TrxId]]&lt;&gt;"",Jnl[[#This Row],[Acct]]&lt;&gt;"",Jnl[[#This Row],[Item]]&lt;&gt;"",ISNUMBER(Jnl[[#This Row],[Bal]]))</f>
        <v>1</v>
      </c>
      <c r="J795" s="10">
        <f>IF(Jnl[[#This Row],[BSLv0]]="A",1,-1)*Jnl[[#This Row],[Bal]]</f>
        <v>2465</v>
      </c>
      <c r="K795" t="str">
        <f>_xlfn.XLOOKUP(Jnl[[#This Row],[Acct]], config_BS[Acct], config_BS[Lv0],,0)</f>
        <v>A</v>
      </c>
      <c r="L795" t="str">
        <f>_xlfn.XLOOKUP(Jnl[[#This Row],[Acct]], config_BS[Acct], config_BS[Lv1],,0)</f>
        <v>Assets</v>
      </c>
      <c r="M795" t="str">
        <f>_xlfn.XLOOKUP(Jnl[[#This Row],[Acct]], config_BS[Acct], config_BS[Lv2],,0)</f>
        <v>Cash alike</v>
      </c>
      <c r="N795" t="str">
        <f>_xlfn.XLOOKUP(Jnl[[#This Row],[TrxId]], Trx[Id], Trx[IncNode], ,0)</f>
        <v>Revenue</v>
      </c>
      <c r="O795" t="str">
        <f>_xlfn.XLOOKUP(Jnl[[#This Row],[IncNode]], config_IS[Node], config_IS[Type],,0)</f>
        <v>Op</v>
      </c>
      <c r="P795" t="str">
        <f>_xlfn.XLOOKUP(Jnl[[#This Row],[BSLv2]], dict[Key], dict[Name],,0)</f>
        <v>0.现金及类似</v>
      </c>
      <c r="Q795" t="str">
        <f>_xlfn.XLOOKUP(Jnl[[#This Row],[Acct]], dict[Key], dict[Name],,0)</f>
        <v>银行</v>
      </c>
      <c r="R795" t="str">
        <f>_xlfn.XLOOKUP(Jnl[[#This Row],[Vehicle]],config_vehicle[Id], config_vehicle[Name],,0)</f>
        <v>小月号</v>
      </c>
      <c r="S795" t="str">
        <f>_xlfn.XLOOKUP(Jnl[[#This Row],[Division]],config_div[Id], config_div[Name],,0)</f>
        <v>明月村</v>
      </c>
      <c r="T795" t="str">
        <f>IF(Jnl[[#This Row],[TrxDate]]&lt;=stmt_BS_date_end, "In", "Out")</f>
        <v>In</v>
      </c>
      <c r="U795" t="str">
        <f>IF(Jnl[[#This Row],[TrxDate]]&lt;debug_date_start, "prior", IF(Jnl[[#This Row],[TrxDate]]&gt;debug_date_end, "post", "curr"))</f>
        <v>prior</v>
      </c>
    </row>
    <row r="796" spans="1:21">
      <c r="A796" s="11" t="s">
        <v>1225</v>
      </c>
      <c r="B796" s="7">
        <f>_xlfn.XLOOKUP(Jnl[[#This Row],[TrxId]], Trx[Id], Trx[Date],,0)</f>
        <v>46053</v>
      </c>
      <c r="C796" s="7" t="str">
        <f>_xlfn.XLOOKUP(Jnl[[#This Row],[TrxId]], Trx[Id], Trx[Division],,0)</f>
        <v>MY</v>
      </c>
      <c r="D796" s="7" t="str">
        <f>_xlfn.XLOOKUP(Jnl[[#This Row],[TrxId]], Trx[Id], Trx[Action],,0)</f>
        <v>收款</v>
      </c>
      <c r="E796" s="26" t="s">
        <v>83</v>
      </c>
      <c r="F796" s="11" t="s">
        <v>593</v>
      </c>
      <c r="G796" s="11" t="s">
        <v>1060</v>
      </c>
      <c r="H796" s="72">
        <v>-2465</v>
      </c>
      <c r="I796" s="5" t="b">
        <f>AND(Jnl[[#This Row],[TrxId]]&lt;&gt;"",Jnl[[#This Row],[Acct]]&lt;&gt;"",Jnl[[#This Row],[Item]]&lt;&gt;"",ISNUMBER(Jnl[[#This Row],[Bal]]))</f>
        <v>1</v>
      </c>
      <c r="J796" s="10">
        <f>IF(Jnl[[#This Row],[BSLv0]]="A",1,-1)*Jnl[[#This Row],[Bal]]</f>
        <v>-2465</v>
      </c>
      <c r="K796" t="str">
        <f>_xlfn.XLOOKUP(Jnl[[#This Row],[Acct]], config_BS[Acct], config_BS[Lv0],,0)</f>
        <v>A</v>
      </c>
      <c r="L796" t="str">
        <f>_xlfn.XLOOKUP(Jnl[[#This Row],[Acct]], config_BS[Acct], config_BS[Lv1],,0)</f>
        <v>Assets</v>
      </c>
      <c r="M796" t="str">
        <f>_xlfn.XLOOKUP(Jnl[[#This Row],[Acct]], config_BS[Acct], config_BS[Lv2],,0)</f>
        <v>Rec-Pay</v>
      </c>
      <c r="N796" t="str">
        <f>_xlfn.XLOOKUP(Jnl[[#This Row],[TrxId]], Trx[Id], Trx[IncNode], ,0)</f>
        <v>Revenue</v>
      </c>
      <c r="O796" t="str">
        <f>_xlfn.XLOOKUP(Jnl[[#This Row],[IncNode]], config_IS[Node], config_IS[Type],,0)</f>
        <v>Op</v>
      </c>
      <c r="P796" t="str">
        <f>_xlfn.XLOOKUP(Jnl[[#This Row],[BSLv2]], dict[Key], dict[Name],,0)</f>
        <v>1.应收-应付</v>
      </c>
      <c r="Q796" t="str">
        <f>_xlfn.XLOOKUP(Jnl[[#This Row],[Acct]], dict[Key], dict[Name],,0)</f>
        <v>应收-一般</v>
      </c>
      <c r="R796" t="str">
        <f>_xlfn.XLOOKUP(Jnl[[#This Row],[Vehicle]],config_vehicle[Id], config_vehicle[Name],,0)</f>
        <v>远家文化</v>
      </c>
      <c r="S796" t="str">
        <f>_xlfn.XLOOKUP(Jnl[[#This Row],[Division]],config_div[Id], config_div[Name],,0)</f>
        <v>明月村</v>
      </c>
      <c r="T796" t="str">
        <f>IF(Jnl[[#This Row],[TrxDate]]&lt;=stmt_BS_date_end, "In", "Out")</f>
        <v>In</v>
      </c>
      <c r="U796" t="str">
        <f>IF(Jnl[[#This Row],[TrxDate]]&lt;debug_date_start, "prior", IF(Jnl[[#This Row],[TrxDate]]&gt;debug_date_end, "post", "curr"))</f>
        <v>prior</v>
      </c>
    </row>
    <row r="797" spans="1:21">
      <c r="A797" s="11" t="s">
        <v>1226</v>
      </c>
      <c r="B797" s="7">
        <f>_xlfn.XLOOKUP(Jnl[[#This Row],[TrxId]], Trx[Id], Trx[Date],,0)</f>
        <v>46053</v>
      </c>
      <c r="C797" s="7" t="str">
        <f>_xlfn.XLOOKUP(Jnl[[#This Row],[TrxId]], Trx[Id], Trx[Division],,0)</f>
        <v>MY</v>
      </c>
      <c r="D797" s="7" t="str">
        <f>_xlfn.XLOOKUP(Jnl[[#This Row],[TrxId]], Trx[Id], Trx[Action],,0)</f>
        <v>退款-客人</v>
      </c>
      <c r="E797" s="26" t="s">
        <v>87</v>
      </c>
      <c r="F797" s="11" t="s">
        <v>590</v>
      </c>
      <c r="G797" s="11" t="s">
        <v>903</v>
      </c>
      <c r="H797" s="72">
        <v>-14820</v>
      </c>
      <c r="I797" s="5" t="b">
        <f>AND(Jnl[[#This Row],[TrxId]]&lt;&gt;"",Jnl[[#This Row],[Acct]]&lt;&gt;"",Jnl[[#This Row],[Item]]&lt;&gt;"",ISNUMBER(Jnl[[#This Row],[Bal]]))</f>
        <v>1</v>
      </c>
      <c r="J797" s="10">
        <f>IF(Jnl[[#This Row],[BSLv0]]="A",1,-1)*Jnl[[#This Row],[Bal]]</f>
        <v>-14820</v>
      </c>
      <c r="K797" t="str">
        <f>_xlfn.XLOOKUP(Jnl[[#This Row],[Acct]], config_BS[Acct], config_BS[Lv0],,0)</f>
        <v>A</v>
      </c>
      <c r="L797" t="str">
        <f>_xlfn.XLOOKUP(Jnl[[#This Row],[Acct]], config_BS[Acct], config_BS[Lv1],,0)</f>
        <v>Assets</v>
      </c>
      <c r="M797" t="str">
        <f>_xlfn.XLOOKUP(Jnl[[#This Row],[Acct]], config_BS[Acct], config_BS[Lv2],,0)</f>
        <v>Cash alike</v>
      </c>
      <c r="N797" t="str">
        <f>_xlfn.XLOOKUP(Jnl[[#This Row],[TrxId]], Trx[Id], Trx[IncNode], ,0)</f>
        <v>Revenue</v>
      </c>
      <c r="O797" t="str">
        <f>_xlfn.XLOOKUP(Jnl[[#This Row],[IncNode]], config_IS[Node], config_IS[Type],,0)</f>
        <v>Op</v>
      </c>
      <c r="P797" t="str">
        <f>_xlfn.XLOOKUP(Jnl[[#This Row],[BSLv2]], dict[Key], dict[Name],,0)</f>
        <v>0.现金及类似</v>
      </c>
      <c r="Q797" t="str">
        <f>_xlfn.XLOOKUP(Jnl[[#This Row],[Acct]], dict[Key], dict[Name],,0)</f>
        <v>银行</v>
      </c>
      <c r="R797" t="str">
        <f>_xlfn.XLOOKUP(Jnl[[#This Row],[Vehicle]],config_vehicle[Id], config_vehicle[Name],,0)</f>
        <v>小月号</v>
      </c>
      <c r="S797" t="str">
        <f>_xlfn.XLOOKUP(Jnl[[#This Row],[Division]],config_div[Id], config_div[Name],,0)</f>
        <v>明月村</v>
      </c>
      <c r="T797" t="str">
        <f>IF(Jnl[[#This Row],[TrxDate]]&lt;=stmt_BS_date_end, "In", "Out")</f>
        <v>In</v>
      </c>
      <c r="U797" t="str">
        <f>IF(Jnl[[#This Row],[TrxDate]]&lt;debug_date_start, "prior", IF(Jnl[[#This Row],[TrxDate]]&gt;debug_date_end, "post", "curr"))</f>
        <v>prior</v>
      </c>
    </row>
    <row r="798" spans="1:21">
      <c r="A798" s="11" t="s">
        <v>1226</v>
      </c>
      <c r="B798" s="7">
        <f>_xlfn.XLOOKUP(Jnl[[#This Row],[TrxId]], Trx[Id], Trx[Date],,0)</f>
        <v>46053</v>
      </c>
      <c r="C798" s="7" t="str">
        <f>_xlfn.XLOOKUP(Jnl[[#This Row],[TrxId]], Trx[Id], Trx[Division],,0)</f>
        <v>MY</v>
      </c>
      <c r="D798" s="7" t="str">
        <f>_xlfn.XLOOKUP(Jnl[[#This Row],[TrxId]], Trx[Id], Trx[Action],,0)</f>
        <v>退款-客人</v>
      </c>
      <c r="E798" s="26" t="s">
        <v>83</v>
      </c>
      <c r="F798" s="11" t="s">
        <v>593</v>
      </c>
      <c r="G798" s="11" t="s">
        <v>977</v>
      </c>
      <c r="H798" s="72">
        <v>14820</v>
      </c>
      <c r="I798" s="5" t="b">
        <f>AND(Jnl[[#This Row],[TrxId]]&lt;&gt;"",Jnl[[#This Row],[Acct]]&lt;&gt;"",Jnl[[#This Row],[Item]]&lt;&gt;"",ISNUMBER(Jnl[[#This Row],[Bal]]))</f>
        <v>1</v>
      </c>
      <c r="J798" s="10">
        <f>IF(Jnl[[#This Row],[BSLv0]]="A",1,-1)*Jnl[[#This Row],[Bal]]</f>
        <v>14820</v>
      </c>
      <c r="K798" t="str">
        <f>_xlfn.XLOOKUP(Jnl[[#This Row],[Acct]], config_BS[Acct], config_BS[Lv0],,0)</f>
        <v>A</v>
      </c>
      <c r="L798" t="str">
        <f>_xlfn.XLOOKUP(Jnl[[#This Row],[Acct]], config_BS[Acct], config_BS[Lv1],,0)</f>
        <v>Assets</v>
      </c>
      <c r="M798" t="str">
        <f>_xlfn.XLOOKUP(Jnl[[#This Row],[Acct]], config_BS[Acct], config_BS[Lv2],,0)</f>
        <v>Rec-Pay</v>
      </c>
      <c r="N798" t="str">
        <f>_xlfn.XLOOKUP(Jnl[[#This Row],[TrxId]], Trx[Id], Trx[IncNode], ,0)</f>
        <v>Revenue</v>
      </c>
      <c r="O798" t="str">
        <f>_xlfn.XLOOKUP(Jnl[[#This Row],[IncNode]], config_IS[Node], config_IS[Type],,0)</f>
        <v>Op</v>
      </c>
      <c r="P798" t="str">
        <f>_xlfn.XLOOKUP(Jnl[[#This Row],[BSLv2]], dict[Key], dict[Name],,0)</f>
        <v>1.应收-应付</v>
      </c>
      <c r="Q798" t="str">
        <f>_xlfn.XLOOKUP(Jnl[[#This Row],[Acct]], dict[Key], dict[Name],,0)</f>
        <v>应收-一般</v>
      </c>
      <c r="R798" t="str">
        <f>_xlfn.XLOOKUP(Jnl[[#This Row],[Vehicle]],config_vehicle[Id], config_vehicle[Name],,0)</f>
        <v>远家文化</v>
      </c>
      <c r="S798" t="str">
        <f>_xlfn.XLOOKUP(Jnl[[#This Row],[Division]],config_div[Id], config_div[Name],,0)</f>
        <v>明月村</v>
      </c>
      <c r="T798" t="str">
        <f>IF(Jnl[[#This Row],[TrxDate]]&lt;=stmt_BS_date_end, "In", "Out")</f>
        <v>In</v>
      </c>
      <c r="U798" t="str">
        <f>IF(Jnl[[#This Row],[TrxDate]]&lt;debug_date_start, "prior", IF(Jnl[[#This Row],[TrxDate]]&gt;debug_date_end, "post", "curr"))</f>
        <v>prior</v>
      </c>
    </row>
    <row r="799" spans="1:21">
      <c r="A799" s="11" t="s">
        <v>1227</v>
      </c>
      <c r="B799" s="7">
        <f>_xlfn.XLOOKUP(Jnl[[#This Row],[TrxId]], Trx[Id], Trx[Date],,0)</f>
        <v>46053</v>
      </c>
      <c r="C799" s="7" t="str">
        <f>_xlfn.XLOOKUP(Jnl[[#This Row],[TrxId]], Trx[Id], Trx[Division],,0)</f>
        <v>MY</v>
      </c>
      <c r="D799" s="7" t="str">
        <f>_xlfn.XLOOKUP(Jnl[[#This Row],[TrxId]], Trx[Id], Trx[Action],,0)</f>
        <v>退款-客人</v>
      </c>
      <c r="E799" s="26" t="s">
        <v>87</v>
      </c>
      <c r="F799" s="11" t="s">
        <v>590</v>
      </c>
      <c r="G799" s="11" t="s">
        <v>903</v>
      </c>
      <c r="H799" s="72">
        <v>-500</v>
      </c>
      <c r="I799" s="5" t="b">
        <f>AND(Jnl[[#This Row],[TrxId]]&lt;&gt;"",Jnl[[#This Row],[Acct]]&lt;&gt;"",Jnl[[#This Row],[Item]]&lt;&gt;"",ISNUMBER(Jnl[[#This Row],[Bal]]))</f>
        <v>1</v>
      </c>
      <c r="J799" s="10">
        <f>IF(Jnl[[#This Row],[BSLv0]]="A",1,-1)*Jnl[[#This Row],[Bal]]</f>
        <v>-500</v>
      </c>
      <c r="K799" t="str">
        <f>_xlfn.XLOOKUP(Jnl[[#This Row],[Acct]], config_BS[Acct], config_BS[Lv0],,0)</f>
        <v>A</v>
      </c>
      <c r="L799" t="str">
        <f>_xlfn.XLOOKUP(Jnl[[#This Row],[Acct]], config_BS[Acct], config_BS[Lv1],,0)</f>
        <v>Assets</v>
      </c>
      <c r="M799" t="str">
        <f>_xlfn.XLOOKUP(Jnl[[#This Row],[Acct]], config_BS[Acct], config_BS[Lv2],,0)</f>
        <v>Cash alike</v>
      </c>
      <c r="N799" t="str">
        <f>_xlfn.XLOOKUP(Jnl[[#This Row],[TrxId]], Trx[Id], Trx[IncNode], ,0)</f>
        <v>Revenue</v>
      </c>
      <c r="O799" t="str">
        <f>_xlfn.XLOOKUP(Jnl[[#This Row],[IncNode]], config_IS[Node], config_IS[Type],,0)</f>
        <v>Op</v>
      </c>
      <c r="P799" t="str">
        <f>_xlfn.XLOOKUP(Jnl[[#This Row],[BSLv2]], dict[Key], dict[Name],,0)</f>
        <v>0.现金及类似</v>
      </c>
      <c r="Q799" t="str">
        <f>_xlfn.XLOOKUP(Jnl[[#This Row],[Acct]], dict[Key], dict[Name],,0)</f>
        <v>银行</v>
      </c>
      <c r="R799" t="str">
        <f>_xlfn.XLOOKUP(Jnl[[#This Row],[Vehicle]],config_vehicle[Id], config_vehicle[Name],,0)</f>
        <v>小月号</v>
      </c>
      <c r="S799" t="str">
        <f>_xlfn.XLOOKUP(Jnl[[#This Row],[Division]],config_div[Id], config_div[Name],,0)</f>
        <v>明月村</v>
      </c>
      <c r="T799" t="str">
        <f>IF(Jnl[[#This Row],[TrxDate]]&lt;=stmt_BS_date_end, "In", "Out")</f>
        <v>In</v>
      </c>
      <c r="U799" t="str">
        <f>IF(Jnl[[#This Row],[TrxDate]]&lt;debug_date_start, "prior", IF(Jnl[[#This Row],[TrxDate]]&gt;debug_date_end, "post", "curr"))</f>
        <v>prior</v>
      </c>
    </row>
    <row r="800" spans="1:21">
      <c r="A800" s="11" t="s">
        <v>1227</v>
      </c>
      <c r="B800" s="7">
        <f>_xlfn.XLOOKUP(Jnl[[#This Row],[TrxId]], Trx[Id], Trx[Date],,0)</f>
        <v>46053</v>
      </c>
      <c r="C800" s="7" t="str">
        <f>_xlfn.XLOOKUP(Jnl[[#This Row],[TrxId]], Trx[Id], Trx[Division],,0)</f>
        <v>MY</v>
      </c>
      <c r="D800" s="7" t="str">
        <f>_xlfn.XLOOKUP(Jnl[[#This Row],[TrxId]], Trx[Id], Trx[Action],,0)</f>
        <v>退款-客人</v>
      </c>
      <c r="E800" s="26" t="s">
        <v>83</v>
      </c>
      <c r="F800" s="11" t="s">
        <v>593</v>
      </c>
      <c r="G800" s="11" t="s">
        <v>1065</v>
      </c>
      <c r="H800" s="72">
        <f>-H799</f>
        <v>500</v>
      </c>
      <c r="I800" s="5" t="b">
        <f>AND(Jnl[[#This Row],[TrxId]]&lt;&gt;"",Jnl[[#This Row],[Acct]]&lt;&gt;"",Jnl[[#This Row],[Item]]&lt;&gt;"",ISNUMBER(Jnl[[#This Row],[Bal]]))</f>
        <v>1</v>
      </c>
      <c r="J800" s="10">
        <f>IF(Jnl[[#This Row],[BSLv0]]="A",1,-1)*Jnl[[#This Row],[Bal]]</f>
        <v>500</v>
      </c>
      <c r="K800" t="str">
        <f>_xlfn.XLOOKUP(Jnl[[#This Row],[Acct]], config_BS[Acct], config_BS[Lv0],,0)</f>
        <v>A</v>
      </c>
      <c r="L800" t="str">
        <f>_xlfn.XLOOKUP(Jnl[[#This Row],[Acct]], config_BS[Acct], config_BS[Lv1],,0)</f>
        <v>Assets</v>
      </c>
      <c r="M800" t="str">
        <f>_xlfn.XLOOKUP(Jnl[[#This Row],[Acct]], config_BS[Acct], config_BS[Lv2],,0)</f>
        <v>Rec-Pay</v>
      </c>
      <c r="N800" t="str">
        <f>_xlfn.XLOOKUP(Jnl[[#This Row],[TrxId]], Trx[Id], Trx[IncNode], ,0)</f>
        <v>Revenue</v>
      </c>
      <c r="O800" t="str">
        <f>_xlfn.XLOOKUP(Jnl[[#This Row],[IncNode]], config_IS[Node], config_IS[Type],,0)</f>
        <v>Op</v>
      </c>
      <c r="P800" t="str">
        <f>_xlfn.XLOOKUP(Jnl[[#This Row],[BSLv2]], dict[Key], dict[Name],,0)</f>
        <v>1.应收-应付</v>
      </c>
      <c r="Q800" t="str">
        <f>_xlfn.XLOOKUP(Jnl[[#This Row],[Acct]], dict[Key], dict[Name],,0)</f>
        <v>应收-一般</v>
      </c>
      <c r="R800" t="str">
        <f>_xlfn.XLOOKUP(Jnl[[#This Row],[Vehicle]],config_vehicle[Id], config_vehicle[Name],,0)</f>
        <v>远家文化</v>
      </c>
      <c r="S800" t="str">
        <f>_xlfn.XLOOKUP(Jnl[[#This Row],[Division]],config_div[Id], config_div[Name],,0)</f>
        <v>明月村</v>
      </c>
      <c r="T800" t="str">
        <f>IF(Jnl[[#This Row],[TrxDate]]&lt;=stmt_BS_date_end, "In", "Out")</f>
        <v>In</v>
      </c>
      <c r="U800" t="str">
        <f>IF(Jnl[[#This Row],[TrxDate]]&lt;debug_date_start, "prior", IF(Jnl[[#This Row],[TrxDate]]&gt;debug_date_end, "post", "curr"))</f>
        <v>prior</v>
      </c>
    </row>
    <row r="801" spans="1:21">
      <c r="A801" s="11" t="s">
        <v>1228</v>
      </c>
      <c r="B801" s="7">
        <f>_xlfn.XLOOKUP(Jnl[[#This Row],[TrxId]], Trx[Id], Trx[Date],,0)</f>
        <v>46053</v>
      </c>
      <c r="C801" s="7" t="str">
        <f>_xlfn.XLOOKUP(Jnl[[#This Row],[TrxId]], Trx[Id], Trx[Division],,0)</f>
        <v>MY</v>
      </c>
      <c r="D801" s="7" t="str">
        <f>_xlfn.XLOOKUP(Jnl[[#This Row],[TrxId]], Trx[Id], Trx[Action],,0)</f>
        <v>退款-客人</v>
      </c>
      <c r="E801" s="26" t="s">
        <v>87</v>
      </c>
      <c r="F801" s="11" t="s">
        <v>590</v>
      </c>
      <c r="G801" s="11" t="s">
        <v>903</v>
      </c>
      <c r="H801" s="72">
        <v>-200</v>
      </c>
      <c r="I801" s="5" t="b">
        <f>AND(Jnl[[#This Row],[TrxId]]&lt;&gt;"",Jnl[[#This Row],[Acct]]&lt;&gt;"",Jnl[[#This Row],[Item]]&lt;&gt;"",ISNUMBER(Jnl[[#This Row],[Bal]]))</f>
        <v>1</v>
      </c>
      <c r="J801" s="10">
        <f>IF(Jnl[[#This Row],[BSLv0]]="A",1,-1)*Jnl[[#This Row],[Bal]]</f>
        <v>-200</v>
      </c>
      <c r="K801" t="str">
        <f>_xlfn.XLOOKUP(Jnl[[#This Row],[Acct]], config_BS[Acct], config_BS[Lv0],,0)</f>
        <v>A</v>
      </c>
      <c r="L801" t="str">
        <f>_xlfn.XLOOKUP(Jnl[[#This Row],[Acct]], config_BS[Acct], config_BS[Lv1],,0)</f>
        <v>Assets</v>
      </c>
      <c r="M801" t="str">
        <f>_xlfn.XLOOKUP(Jnl[[#This Row],[Acct]], config_BS[Acct], config_BS[Lv2],,0)</f>
        <v>Cash alike</v>
      </c>
      <c r="N801" t="str">
        <f>_xlfn.XLOOKUP(Jnl[[#This Row],[TrxId]], Trx[Id], Trx[IncNode], ,0)</f>
        <v>Revenue</v>
      </c>
      <c r="O801" t="str">
        <f>_xlfn.XLOOKUP(Jnl[[#This Row],[IncNode]], config_IS[Node], config_IS[Type],,0)</f>
        <v>Op</v>
      </c>
      <c r="P801" t="str">
        <f>_xlfn.XLOOKUP(Jnl[[#This Row],[BSLv2]], dict[Key], dict[Name],,0)</f>
        <v>0.现金及类似</v>
      </c>
      <c r="Q801" t="str">
        <f>_xlfn.XLOOKUP(Jnl[[#This Row],[Acct]], dict[Key], dict[Name],,0)</f>
        <v>银行</v>
      </c>
      <c r="R801" t="str">
        <f>_xlfn.XLOOKUP(Jnl[[#This Row],[Vehicle]],config_vehicle[Id], config_vehicle[Name],,0)</f>
        <v>小月号</v>
      </c>
      <c r="S801" t="str">
        <f>_xlfn.XLOOKUP(Jnl[[#This Row],[Division]],config_div[Id], config_div[Name],,0)</f>
        <v>明月村</v>
      </c>
      <c r="T801" t="str">
        <f>IF(Jnl[[#This Row],[TrxDate]]&lt;=stmt_BS_date_end, "In", "Out")</f>
        <v>In</v>
      </c>
      <c r="U801" t="str">
        <f>IF(Jnl[[#This Row],[TrxDate]]&lt;debug_date_start, "prior", IF(Jnl[[#This Row],[TrxDate]]&gt;debug_date_end, "post", "curr"))</f>
        <v>prior</v>
      </c>
    </row>
    <row r="802" spans="1:21">
      <c r="A802" s="11" t="s">
        <v>1228</v>
      </c>
      <c r="B802" s="7">
        <f>_xlfn.XLOOKUP(Jnl[[#This Row],[TrxId]], Trx[Id], Trx[Date],,0)</f>
        <v>46053</v>
      </c>
      <c r="C802" s="7" t="str">
        <f>_xlfn.XLOOKUP(Jnl[[#This Row],[TrxId]], Trx[Id], Trx[Division],,0)</f>
        <v>MY</v>
      </c>
      <c r="D802" s="7" t="str">
        <f>_xlfn.XLOOKUP(Jnl[[#This Row],[TrxId]], Trx[Id], Trx[Action],,0)</f>
        <v>退款-客人</v>
      </c>
      <c r="E802" s="26" t="s">
        <v>83</v>
      </c>
      <c r="F802" s="11" t="s">
        <v>593</v>
      </c>
      <c r="G802" s="11" t="s">
        <v>1065</v>
      </c>
      <c r="H802" s="72">
        <f>-H801</f>
        <v>200</v>
      </c>
      <c r="I802" s="5" t="b">
        <f>AND(Jnl[[#This Row],[TrxId]]&lt;&gt;"",Jnl[[#This Row],[Acct]]&lt;&gt;"",Jnl[[#This Row],[Item]]&lt;&gt;"",ISNUMBER(Jnl[[#This Row],[Bal]]))</f>
        <v>1</v>
      </c>
      <c r="J802" s="10">
        <f>IF(Jnl[[#This Row],[BSLv0]]="A",1,-1)*Jnl[[#This Row],[Bal]]</f>
        <v>200</v>
      </c>
      <c r="K802" t="str">
        <f>_xlfn.XLOOKUP(Jnl[[#This Row],[Acct]], config_BS[Acct], config_BS[Lv0],,0)</f>
        <v>A</v>
      </c>
      <c r="L802" t="str">
        <f>_xlfn.XLOOKUP(Jnl[[#This Row],[Acct]], config_BS[Acct], config_BS[Lv1],,0)</f>
        <v>Assets</v>
      </c>
      <c r="M802" t="str">
        <f>_xlfn.XLOOKUP(Jnl[[#This Row],[Acct]], config_BS[Acct], config_BS[Lv2],,0)</f>
        <v>Rec-Pay</v>
      </c>
      <c r="N802" t="str">
        <f>_xlfn.XLOOKUP(Jnl[[#This Row],[TrxId]], Trx[Id], Trx[IncNode], ,0)</f>
        <v>Revenue</v>
      </c>
      <c r="O802" t="str">
        <f>_xlfn.XLOOKUP(Jnl[[#This Row],[IncNode]], config_IS[Node], config_IS[Type],,0)</f>
        <v>Op</v>
      </c>
      <c r="P802" t="str">
        <f>_xlfn.XLOOKUP(Jnl[[#This Row],[BSLv2]], dict[Key], dict[Name],,0)</f>
        <v>1.应收-应付</v>
      </c>
      <c r="Q802" t="str">
        <f>_xlfn.XLOOKUP(Jnl[[#This Row],[Acct]], dict[Key], dict[Name],,0)</f>
        <v>应收-一般</v>
      </c>
      <c r="R802" t="str">
        <f>_xlfn.XLOOKUP(Jnl[[#This Row],[Vehicle]],config_vehicle[Id], config_vehicle[Name],,0)</f>
        <v>远家文化</v>
      </c>
      <c r="S802" t="str">
        <f>_xlfn.XLOOKUP(Jnl[[#This Row],[Division]],config_div[Id], config_div[Name],,0)</f>
        <v>明月村</v>
      </c>
      <c r="T802" t="str">
        <f>IF(Jnl[[#This Row],[TrxDate]]&lt;=stmt_BS_date_end, "In", "Out")</f>
        <v>In</v>
      </c>
      <c r="U802" t="str">
        <f>IF(Jnl[[#This Row],[TrxDate]]&lt;debug_date_start, "prior", IF(Jnl[[#This Row],[TrxDate]]&gt;debug_date_end, "post", "curr"))</f>
        <v>prior</v>
      </c>
    </row>
    <row r="803" spans="1:21">
      <c r="A803" s="11" t="s">
        <v>1229</v>
      </c>
      <c r="B803" s="7">
        <f>_xlfn.XLOOKUP(Jnl[[#This Row],[TrxId]], Trx[Id], Trx[Date],,0)</f>
        <v>46053</v>
      </c>
      <c r="C803" s="7" t="str">
        <f>_xlfn.XLOOKUP(Jnl[[#This Row],[TrxId]], Trx[Id], Trx[Division],,0)</f>
        <v>GM</v>
      </c>
      <c r="D803" s="7" t="str">
        <f>_xlfn.XLOOKUP(Jnl[[#This Row],[TrxId]], Trx[Id], Trx[Action],,0)</f>
        <v>支付</v>
      </c>
      <c r="E803" s="26" t="s">
        <v>87</v>
      </c>
      <c r="F803" s="11" t="s">
        <v>590</v>
      </c>
      <c r="G803" s="11" t="s">
        <v>903</v>
      </c>
      <c r="H803" s="72">
        <v>-7162</v>
      </c>
      <c r="I803" s="5" t="b">
        <f>AND(Jnl[[#This Row],[TrxId]]&lt;&gt;"",Jnl[[#This Row],[Acct]]&lt;&gt;"",Jnl[[#This Row],[Item]]&lt;&gt;"",ISNUMBER(Jnl[[#This Row],[Bal]]))</f>
        <v>1</v>
      </c>
      <c r="J803" s="10">
        <f>IF(Jnl[[#This Row],[BSLv0]]="A",1,-1)*Jnl[[#This Row],[Bal]]</f>
        <v>-7162</v>
      </c>
      <c r="K803" t="str">
        <f>_xlfn.XLOOKUP(Jnl[[#This Row],[Acct]], config_BS[Acct], config_BS[Lv0],,0)</f>
        <v>A</v>
      </c>
      <c r="L803" t="str">
        <f>_xlfn.XLOOKUP(Jnl[[#This Row],[Acct]], config_BS[Acct], config_BS[Lv1],,0)</f>
        <v>Assets</v>
      </c>
      <c r="M803" t="str">
        <f>_xlfn.XLOOKUP(Jnl[[#This Row],[Acct]], config_BS[Acct], config_BS[Lv2],,0)</f>
        <v>Cash alike</v>
      </c>
      <c r="N803" t="str">
        <f>_xlfn.XLOOKUP(Jnl[[#This Row],[TrxId]], Trx[Id], Trx[IncNode], ,0)</f>
        <v>Expense</v>
      </c>
      <c r="O803" t="str">
        <f>_xlfn.XLOOKUP(Jnl[[#This Row],[IncNode]], config_IS[Node], config_IS[Type],,0)</f>
        <v>Op</v>
      </c>
      <c r="P803" t="str">
        <f>_xlfn.XLOOKUP(Jnl[[#This Row],[BSLv2]], dict[Key], dict[Name],,0)</f>
        <v>0.现金及类似</v>
      </c>
      <c r="Q803" t="str">
        <f>_xlfn.XLOOKUP(Jnl[[#This Row],[Acct]], dict[Key], dict[Name],,0)</f>
        <v>银行</v>
      </c>
      <c r="R803" t="str">
        <f>_xlfn.XLOOKUP(Jnl[[#This Row],[Vehicle]],config_vehicle[Id], config_vehicle[Name],,0)</f>
        <v>小月号</v>
      </c>
      <c r="S803" t="str">
        <f>_xlfn.XLOOKUP(Jnl[[#This Row],[Division]],config_div[Id], config_div[Name],,0)</f>
        <v>综合管理</v>
      </c>
      <c r="T803" t="str">
        <f>IF(Jnl[[#This Row],[TrxDate]]&lt;=stmt_BS_date_end, "In", "Out")</f>
        <v>In</v>
      </c>
      <c r="U803" t="str">
        <f>IF(Jnl[[#This Row],[TrxDate]]&lt;debug_date_start, "prior", IF(Jnl[[#This Row],[TrxDate]]&gt;debug_date_end, "post", "curr"))</f>
        <v>prior</v>
      </c>
    </row>
    <row r="804" spans="1:21">
      <c r="A804" s="11" t="s">
        <v>1229</v>
      </c>
      <c r="B804" s="7">
        <f>_xlfn.XLOOKUP(Jnl[[#This Row],[TrxId]], Trx[Id], Trx[Date],,0)</f>
        <v>46053</v>
      </c>
      <c r="C804" s="7" t="str">
        <f>_xlfn.XLOOKUP(Jnl[[#This Row],[TrxId]], Trx[Id], Trx[Division],,0)</f>
        <v>GM</v>
      </c>
      <c r="D804" s="7" t="str">
        <f>_xlfn.XLOOKUP(Jnl[[#This Row],[TrxId]], Trx[Id], Trx[Action],,0)</f>
        <v>支付</v>
      </c>
      <c r="E804" s="26" t="s">
        <v>83</v>
      </c>
      <c r="F804" s="11" t="s">
        <v>596</v>
      </c>
      <c r="G804" s="11" t="s">
        <v>149</v>
      </c>
      <c r="H804" s="72">
        <f>H803</f>
        <v>-7162</v>
      </c>
      <c r="I804" s="5" t="b">
        <f>AND(Jnl[[#This Row],[TrxId]]&lt;&gt;"",Jnl[[#This Row],[Acct]]&lt;&gt;"",Jnl[[#This Row],[Item]]&lt;&gt;"",ISNUMBER(Jnl[[#This Row],[Bal]]))</f>
        <v>1</v>
      </c>
      <c r="J804" s="10">
        <f>IF(Jnl[[#This Row],[BSLv0]]="A",1,-1)*Jnl[[#This Row],[Bal]]</f>
        <v>7162</v>
      </c>
      <c r="K804" t="str">
        <f>_xlfn.XLOOKUP(Jnl[[#This Row],[Acct]], config_BS[Acct], config_BS[Lv0],,0)</f>
        <v>LC</v>
      </c>
      <c r="L804" t="str">
        <f>_xlfn.XLOOKUP(Jnl[[#This Row],[Acct]], config_BS[Acct], config_BS[Lv1],,0)</f>
        <v>Liability</v>
      </c>
      <c r="M804" t="str">
        <f>_xlfn.XLOOKUP(Jnl[[#This Row],[Acct]], config_BS[Acct], config_BS[Lv2],,0)</f>
        <v>Rec-Pay</v>
      </c>
      <c r="N804" t="str">
        <f>_xlfn.XLOOKUP(Jnl[[#This Row],[TrxId]], Trx[Id], Trx[IncNode], ,0)</f>
        <v>Expense</v>
      </c>
      <c r="O804" t="str">
        <f>_xlfn.XLOOKUP(Jnl[[#This Row],[IncNode]], config_IS[Node], config_IS[Type],,0)</f>
        <v>Op</v>
      </c>
      <c r="P804" t="str">
        <f>_xlfn.XLOOKUP(Jnl[[#This Row],[BSLv2]], dict[Key], dict[Name],,0)</f>
        <v>1.应收-应付</v>
      </c>
      <c r="Q804" t="str">
        <f>_xlfn.XLOOKUP(Jnl[[#This Row],[Acct]], dict[Key], dict[Name],,0)</f>
        <v>应付-薪资</v>
      </c>
      <c r="R804" t="str">
        <f>_xlfn.XLOOKUP(Jnl[[#This Row],[Vehicle]],config_vehicle[Id], config_vehicle[Name],,0)</f>
        <v>远家文化</v>
      </c>
      <c r="S804" t="str">
        <f>_xlfn.XLOOKUP(Jnl[[#This Row],[Division]],config_div[Id], config_div[Name],,0)</f>
        <v>综合管理</v>
      </c>
      <c r="T804" t="str">
        <f>IF(Jnl[[#This Row],[TrxDate]]&lt;=stmt_BS_date_end, "In", "Out")</f>
        <v>In</v>
      </c>
      <c r="U804" t="str">
        <f>IF(Jnl[[#This Row],[TrxDate]]&lt;debug_date_start, "prior", IF(Jnl[[#This Row],[TrxDate]]&gt;debug_date_end, "post", "curr"))</f>
        <v>prior</v>
      </c>
    </row>
    <row r="805" spans="1:21">
      <c r="A805" s="11" t="s">
        <v>1230</v>
      </c>
      <c r="B805" s="7">
        <f>_xlfn.XLOOKUP(Jnl[[#This Row],[TrxId]], Trx[Id], Trx[Date],,0)</f>
        <v>46053</v>
      </c>
      <c r="C805" s="7" t="str">
        <f>_xlfn.XLOOKUP(Jnl[[#This Row],[TrxId]], Trx[Id], Trx[Division],,0)</f>
        <v>MY</v>
      </c>
      <c r="D805" s="7" t="str">
        <f>_xlfn.XLOOKUP(Jnl[[#This Row],[TrxId]], Trx[Id], Trx[Action],,0)</f>
        <v>收款</v>
      </c>
      <c r="E805" s="26" t="s">
        <v>87</v>
      </c>
      <c r="F805" s="11" t="s">
        <v>590</v>
      </c>
      <c r="G805" s="11" t="s">
        <v>903</v>
      </c>
      <c r="H805" s="72">
        <v>758</v>
      </c>
      <c r="I805" s="5" t="b">
        <f>AND(Jnl[[#This Row],[TrxId]]&lt;&gt;"",Jnl[[#This Row],[Acct]]&lt;&gt;"",Jnl[[#This Row],[Item]]&lt;&gt;"",ISNUMBER(Jnl[[#This Row],[Bal]]))</f>
        <v>1</v>
      </c>
      <c r="J805" s="10">
        <f>IF(Jnl[[#This Row],[BSLv0]]="A",1,-1)*Jnl[[#This Row],[Bal]]</f>
        <v>758</v>
      </c>
      <c r="K805" t="str">
        <f>_xlfn.XLOOKUP(Jnl[[#This Row],[Acct]], config_BS[Acct], config_BS[Lv0],,0)</f>
        <v>A</v>
      </c>
      <c r="L805" t="str">
        <f>_xlfn.XLOOKUP(Jnl[[#This Row],[Acct]], config_BS[Acct], config_BS[Lv1],,0)</f>
        <v>Assets</v>
      </c>
      <c r="M805" t="str">
        <f>_xlfn.XLOOKUP(Jnl[[#This Row],[Acct]], config_BS[Acct], config_BS[Lv2],,0)</f>
        <v>Cash alike</v>
      </c>
      <c r="N805" t="str">
        <f>_xlfn.XLOOKUP(Jnl[[#This Row],[TrxId]], Trx[Id], Trx[IncNode], ,0)</f>
        <v>Revenue</v>
      </c>
      <c r="O805" t="str">
        <f>_xlfn.XLOOKUP(Jnl[[#This Row],[IncNode]], config_IS[Node], config_IS[Type],,0)</f>
        <v>Op</v>
      </c>
      <c r="P805" t="str">
        <f>_xlfn.XLOOKUP(Jnl[[#This Row],[BSLv2]], dict[Key], dict[Name],,0)</f>
        <v>0.现金及类似</v>
      </c>
      <c r="Q805" t="str">
        <f>_xlfn.XLOOKUP(Jnl[[#This Row],[Acct]], dict[Key], dict[Name],,0)</f>
        <v>银行</v>
      </c>
      <c r="R805" t="str">
        <f>_xlfn.XLOOKUP(Jnl[[#This Row],[Vehicle]],config_vehicle[Id], config_vehicle[Name],,0)</f>
        <v>小月号</v>
      </c>
      <c r="S805" t="str">
        <f>_xlfn.XLOOKUP(Jnl[[#This Row],[Division]],config_div[Id], config_div[Name],,0)</f>
        <v>明月村</v>
      </c>
      <c r="T805" t="str">
        <f>IF(Jnl[[#This Row],[TrxDate]]&lt;=stmt_BS_date_end, "In", "Out")</f>
        <v>In</v>
      </c>
      <c r="U805" t="str">
        <f>IF(Jnl[[#This Row],[TrxDate]]&lt;debug_date_start, "prior", IF(Jnl[[#This Row],[TrxDate]]&gt;debug_date_end, "post", "curr"))</f>
        <v>prior</v>
      </c>
    </row>
    <row r="806" spans="1:21">
      <c r="A806" s="11" t="s">
        <v>1230</v>
      </c>
      <c r="B806" s="7">
        <f>_xlfn.XLOOKUP(Jnl[[#This Row],[TrxId]], Trx[Id], Trx[Date],,0)</f>
        <v>46053</v>
      </c>
      <c r="C806" s="7" t="str">
        <f>_xlfn.XLOOKUP(Jnl[[#This Row],[TrxId]], Trx[Id], Trx[Division],,0)</f>
        <v>MY</v>
      </c>
      <c r="D806" s="7" t="str">
        <f>_xlfn.XLOOKUP(Jnl[[#This Row],[TrxId]], Trx[Id], Trx[Action],,0)</f>
        <v>收款</v>
      </c>
      <c r="E806" s="26" t="s">
        <v>83</v>
      </c>
      <c r="F806" s="11" t="s">
        <v>593</v>
      </c>
      <c r="G806" s="11" t="s">
        <v>1001</v>
      </c>
      <c r="H806" s="72">
        <v>-758</v>
      </c>
      <c r="I806" s="5" t="b">
        <f>AND(Jnl[[#This Row],[TrxId]]&lt;&gt;"",Jnl[[#This Row],[Acct]]&lt;&gt;"",Jnl[[#This Row],[Item]]&lt;&gt;"",ISNUMBER(Jnl[[#This Row],[Bal]]))</f>
        <v>1</v>
      </c>
      <c r="J806" s="10">
        <f>IF(Jnl[[#This Row],[BSLv0]]="A",1,-1)*Jnl[[#This Row],[Bal]]</f>
        <v>-758</v>
      </c>
      <c r="K806" t="str">
        <f>_xlfn.XLOOKUP(Jnl[[#This Row],[Acct]], config_BS[Acct], config_BS[Lv0],,0)</f>
        <v>A</v>
      </c>
      <c r="L806" t="str">
        <f>_xlfn.XLOOKUP(Jnl[[#This Row],[Acct]], config_BS[Acct], config_BS[Lv1],,0)</f>
        <v>Assets</v>
      </c>
      <c r="M806" t="str">
        <f>_xlfn.XLOOKUP(Jnl[[#This Row],[Acct]], config_BS[Acct], config_BS[Lv2],,0)</f>
        <v>Rec-Pay</v>
      </c>
      <c r="N806" t="str">
        <f>_xlfn.XLOOKUP(Jnl[[#This Row],[TrxId]], Trx[Id], Trx[IncNode], ,0)</f>
        <v>Revenue</v>
      </c>
      <c r="O806" t="str">
        <f>_xlfn.XLOOKUP(Jnl[[#This Row],[IncNode]], config_IS[Node], config_IS[Type],,0)</f>
        <v>Op</v>
      </c>
      <c r="P806" t="str">
        <f>_xlfn.XLOOKUP(Jnl[[#This Row],[BSLv2]], dict[Key], dict[Name],,0)</f>
        <v>1.应收-应付</v>
      </c>
      <c r="Q806" t="str">
        <f>_xlfn.XLOOKUP(Jnl[[#This Row],[Acct]], dict[Key], dict[Name],,0)</f>
        <v>应收-一般</v>
      </c>
      <c r="R806" t="str">
        <f>_xlfn.XLOOKUP(Jnl[[#This Row],[Vehicle]],config_vehicle[Id], config_vehicle[Name],,0)</f>
        <v>远家文化</v>
      </c>
      <c r="S806" t="str">
        <f>_xlfn.XLOOKUP(Jnl[[#This Row],[Division]],config_div[Id], config_div[Name],,0)</f>
        <v>明月村</v>
      </c>
      <c r="T806" t="str">
        <f>IF(Jnl[[#This Row],[TrxDate]]&lt;=stmt_BS_date_end, "In", "Out")</f>
        <v>In</v>
      </c>
      <c r="U806" t="str">
        <f>IF(Jnl[[#This Row],[TrxDate]]&lt;debug_date_start, "prior", IF(Jnl[[#This Row],[TrxDate]]&gt;debug_date_end, "post", "curr"))</f>
        <v>prior</v>
      </c>
    </row>
    <row r="807" spans="1:21">
      <c r="A807" s="11" t="s">
        <v>1231</v>
      </c>
      <c r="B807" s="7">
        <f>_xlfn.XLOOKUP(Jnl[[#This Row],[TrxId]], Trx[Id], Trx[Date],,0)</f>
        <v>46053</v>
      </c>
      <c r="C807" s="7" t="str">
        <f>_xlfn.XLOOKUP(Jnl[[#This Row],[TrxId]], Trx[Id], Trx[Division],,0)</f>
        <v>MY</v>
      </c>
      <c r="D807" s="7" t="str">
        <f>_xlfn.XLOOKUP(Jnl[[#This Row],[TrxId]], Trx[Id], Trx[Action],,0)</f>
        <v>其他材料</v>
      </c>
      <c r="E807" s="26" t="s">
        <v>87</v>
      </c>
      <c r="F807" s="11" t="s">
        <v>590</v>
      </c>
      <c r="G807" s="11" t="s">
        <v>903</v>
      </c>
      <c r="H807" s="72">
        <v>-44.1</v>
      </c>
      <c r="I807" s="5" t="b">
        <f>AND(Jnl[[#This Row],[TrxId]]&lt;&gt;"",Jnl[[#This Row],[Acct]]&lt;&gt;"",Jnl[[#This Row],[Item]]&lt;&gt;"",ISNUMBER(Jnl[[#This Row],[Bal]]))</f>
        <v>1</v>
      </c>
      <c r="J807" s="10">
        <f>IF(Jnl[[#This Row],[BSLv0]]="A",1,-1)*Jnl[[#This Row],[Bal]]</f>
        <v>-44.1</v>
      </c>
      <c r="K807" t="str">
        <f>_xlfn.XLOOKUP(Jnl[[#This Row],[Acct]], config_BS[Acct], config_BS[Lv0],,0)</f>
        <v>A</v>
      </c>
      <c r="L807" t="str">
        <f>_xlfn.XLOOKUP(Jnl[[#This Row],[Acct]], config_BS[Acct], config_BS[Lv1],,0)</f>
        <v>Assets</v>
      </c>
      <c r="M807" t="str">
        <f>_xlfn.XLOOKUP(Jnl[[#This Row],[Acct]], config_BS[Acct], config_BS[Lv2],,0)</f>
        <v>Cash alike</v>
      </c>
      <c r="N807" t="str">
        <f>_xlfn.XLOOKUP(Jnl[[#This Row],[TrxId]], Trx[Id], Trx[IncNode], ,0)</f>
        <v>Cost</v>
      </c>
      <c r="O807" t="str">
        <f>_xlfn.XLOOKUP(Jnl[[#This Row],[IncNode]], config_IS[Node], config_IS[Type],,0)</f>
        <v>Op</v>
      </c>
      <c r="P807" t="str">
        <f>_xlfn.XLOOKUP(Jnl[[#This Row],[BSLv2]], dict[Key], dict[Name],,0)</f>
        <v>0.现金及类似</v>
      </c>
      <c r="Q807" t="str">
        <f>_xlfn.XLOOKUP(Jnl[[#This Row],[Acct]], dict[Key], dict[Name],,0)</f>
        <v>银行</v>
      </c>
      <c r="R807" t="str">
        <f>_xlfn.XLOOKUP(Jnl[[#This Row],[Vehicle]],config_vehicle[Id], config_vehicle[Name],,0)</f>
        <v>小月号</v>
      </c>
      <c r="S807" t="str">
        <f>_xlfn.XLOOKUP(Jnl[[#This Row],[Division]],config_div[Id], config_div[Name],,0)</f>
        <v>明月村</v>
      </c>
      <c r="T807" t="str">
        <f>IF(Jnl[[#This Row],[TrxDate]]&lt;=stmt_BS_date_end, "In", "Out")</f>
        <v>In</v>
      </c>
      <c r="U807" t="str">
        <f>IF(Jnl[[#This Row],[TrxDate]]&lt;debug_date_start, "prior", IF(Jnl[[#This Row],[TrxDate]]&gt;debug_date_end, "post", "curr"))</f>
        <v>prior</v>
      </c>
    </row>
    <row r="808" spans="1:21">
      <c r="A808" s="11" t="s">
        <v>1232</v>
      </c>
      <c r="B808" s="7">
        <f>_xlfn.XLOOKUP(Jnl[[#This Row],[TrxId]], Trx[Id], Trx[Date],,0)</f>
        <v>46053</v>
      </c>
      <c r="C808" s="7" t="str">
        <f>_xlfn.XLOOKUP(Jnl[[#This Row],[TrxId]], Trx[Id], Trx[Division],,0)</f>
        <v>MY</v>
      </c>
      <c r="D808" s="7" t="str">
        <f>_xlfn.XLOOKUP(Jnl[[#This Row],[TrxId]], Trx[Id], Trx[Action],,0)</f>
        <v>其他材料</v>
      </c>
      <c r="E808" s="26" t="s">
        <v>87</v>
      </c>
      <c r="F808" s="11" t="s">
        <v>590</v>
      </c>
      <c r="G808" s="11" t="s">
        <v>903</v>
      </c>
      <c r="H808" s="72">
        <v>-340</v>
      </c>
      <c r="I808" s="5" t="b">
        <f>AND(Jnl[[#This Row],[TrxId]]&lt;&gt;"",Jnl[[#This Row],[Acct]]&lt;&gt;"",Jnl[[#This Row],[Item]]&lt;&gt;"",ISNUMBER(Jnl[[#This Row],[Bal]]))</f>
        <v>1</v>
      </c>
      <c r="J808" s="10">
        <f>IF(Jnl[[#This Row],[BSLv0]]="A",1,-1)*Jnl[[#This Row],[Bal]]</f>
        <v>-340</v>
      </c>
      <c r="K808" t="str">
        <f>_xlfn.XLOOKUP(Jnl[[#This Row],[Acct]], config_BS[Acct], config_BS[Lv0],,0)</f>
        <v>A</v>
      </c>
      <c r="L808" t="str">
        <f>_xlfn.XLOOKUP(Jnl[[#This Row],[Acct]], config_BS[Acct], config_BS[Lv1],,0)</f>
        <v>Assets</v>
      </c>
      <c r="M808" t="str">
        <f>_xlfn.XLOOKUP(Jnl[[#This Row],[Acct]], config_BS[Acct], config_BS[Lv2],,0)</f>
        <v>Cash alike</v>
      </c>
      <c r="N808" t="str">
        <f>_xlfn.XLOOKUP(Jnl[[#This Row],[TrxId]], Trx[Id], Trx[IncNode], ,0)</f>
        <v>Cost</v>
      </c>
      <c r="O808" t="str">
        <f>_xlfn.XLOOKUP(Jnl[[#This Row],[IncNode]], config_IS[Node], config_IS[Type],,0)</f>
        <v>Op</v>
      </c>
      <c r="P808" t="str">
        <f>_xlfn.XLOOKUP(Jnl[[#This Row],[BSLv2]], dict[Key], dict[Name],,0)</f>
        <v>0.现金及类似</v>
      </c>
      <c r="Q808" t="str">
        <f>_xlfn.XLOOKUP(Jnl[[#This Row],[Acct]], dict[Key], dict[Name],,0)</f>
        <v>银行</v>
      </c>
      <c r="R808" t="str">
        <f>_xlfn.XLOOKUP(Jnl[[#This Row],[Vehicle]],config_vehicle[Id], config_vehicle[Name],,0)</f>
        <v>小月号</v>
      </c>
      <c r="S808" t="str">
        <f>_xlfn.XLOOKUP(Jnl[[#This Row],[Division]],config_div[Id], config_div[Name],,0)</f>
        <v>明月村</v>
      </c>
      <c r="T808" t="str">
        <f>IF(Jnl[[#This Row],[TrxDate]]&lt;=stmt_BS_date_end, "In", "Out")</f>
        <v>In</v>
      </c>
      <c r="U808" t="str">
        <f>IF(Jnl[[#This Row],[TrxDate]]&lt;debug_date_start, "prior", IF(Jnl[[#This Row],[TrxDate]]&gt;debug_date_end, "post", "curr"))</f>
        <v>prior</v>
      </c>
    </row>
    <row r="809" spans="1:21">
      <c r="A809" s="11" t="s">
        <v>1233</v>
      </c>
      <c r="B809" s="7">
        <f>_xlfn.XLOOKUP(Jnl[[#This Row],[TrxId]], Trx[Id], Trx[Date],,0)</f>
        <v>46053</v>
      </c>
      <c r="C809" s="7" t="str">
        <f>_xlfn.XLOOKUP(Jnl[[#This Row],[TrxId]], Trx[Id], Trx[Division],,0)</f>
        <v>MY</v>
      </c>
      <c r="D809" s="7" t="str">
        <f>_xlfn.XLOOKUP(Jnl[[#This Row],[TrxId]], Trx[Id], Trx[Action],,0)</f>
        <v>收款</v>
      </c>
      <c r="E809" s="26" t="s">
        <v>87</v>
      </c>
      <c r="F809" s="11" t="s">
        <v>590</v>
      </c>
      <c r="G809" s="11" t="s">
        <v>903</v>
      </c>
      <c r="H809" s="72">
        <v>5000</v>
      </c>
      <c r="I809" s="5" t="b">
        <f>AND(Jnl[[#This Row],[TrxId]]&lt;&gt;"",Jnl[[#This Row],[Acct]]&lt;&gt;"",Jnl[[#This Row],[Item]]&lt;&gt;"",ISNUMBER(Jnl[[#This Row],[Bal]]))</f>
        <v>1</v>
      </c>
      <c r="J809" s="10">
        <f>IF(Jnl[[#This Row],[BSLv0]]="A",1,-1)*Jnl[[#This Row],[Bal]]</f>
        <v>5000</v>
      </c>
      <c r="K809" t="str">
        <f>_xlfn.XLOOKUP(Jnl[[#This Row],[Acct]], config_BS[Acct], config_BS[Lv0],,0)</f>
        <v>A</v>
      </c>
      <c r="L809" t="str">
        <f>_xlfn.XLOOKUP(Jnl[[#This Row],[Acct]], config_BS[Acct], config_BS[Lv1],,0)</f>
        <v>Assets</v>
      </c>
      <c r="M809" t="str">
        <f>_xlfn.XLOOKUP(Jnl[[#This Row],[Acct]], config_BS[Acct], config_BS[Lv2],,0)</f>
        <v>Cash alike</v>
      </c>
      <c r="N809" t="str">
        <f>_xlfn.XLOOKUP(Jnl[[#This Row],[TrxId]], Trx[Id], Trx[IncNode], ,0)</f>
        <v>Revenue</v>
      </c>
      <c r="O809" t="str">
        <f>_xlfn.XLOOKUP(Jnl[[#This Row],[IncNode]], config_IS[Node], config_IS[Type],,0)</f>
        <v>Op</v>
      </c>
      <c r="P809" t="str">
        <f>_xlfn.XLOOKUP(Jnl[[#This Row],[BSLv2]], dict[Key], dict[Name],,0)</f>
        <v>0.现金及类似</v>
      </c>
      <c r="Q809" t="str">
        <f>_xlfn.XLOOKUP(Jnl[[#This Row],[Acct]], dict[Key], dict[Name],,0)</f>
        <v>银行</v>
      </c>
      <c r="R809" t="str">
        <f>_xlfn.XLOOKUP(Jnl[[#This Row],[Vehicle]],config_vehicle[Id], config_vehicle[Name],,0)</f>
        <v>小月号</v>
      </c>
      <c r="S809" t="str">
        <f>_xlfn.XLOOKUP(Jnl[[#This Row],[Division]],config_div[Id], config_div[Name],,0)</f>
        <v>明月村</v>
      </c>
      <c r="T809" t="str">
        <f>IF(Jnl[[#This Row],[TrxDate]]&lt;=stmt_BS_date_end, "In", "Out")</f>
        <v>In</v>
      </c>
      <c r="U809" t="str">
        <f>IF(Jnl[[#This Row],[TrxDate]]&lt;debug_date_start, "prior", IF(Jnl[[#This Row],[TrxDate]]&gt;debug_date_end, "post", "curr"))</f>
        <v>prior</v>
      </c>
    </row>
    <row r="810" spans="1:21">
      <c r="A810" s="11" t="s">
        <v>1233</v>
      </c>
      <c r="B810" s="7">
        <f>_xlfn.XLOOKUP(Jnl[[#This Row],[TrxId]], Trx[Id], Trx[Date],,0)</f>
        <v>46053</v>
      </c>
      <c r="C810" s="7" t="str">
        <f>_xlfn.XLOOKUP(Jnl[[#This Row],[TrxId]], Trx[Id], Trx[Division],,0)</f>
        <v>MY</v>
      </c>
      <c r="D810" s="7" t="str">
        <f>_xlfn.XLOOKUP(Jnl[[#This Row],[TrxId]], Trx[Id], Trx[Action],,0)</f>
        <v>收款</v>
      </c>
      <c r="E810" s="26" t="s">
        <v>83</v>
      </c>
      <c r="F810" s="11" t="s">
        <v>593</v>
      </c>
      <c r="G810" s="11" t="s">
        <v>1065</v>
      </c>
      <c r="H810" s="72">
        <v>-5000</v>
      </c>
      <c r="I810" s="5" t="b">
        <f>AND(Jnl[[#This Row],[TrxId]]&lt;&gt;"",Jnl[[#This Row],[Acct]]&lt;&gt;"",Jnl[[#This Row],[Item]]&lt;&gt;"",ISNUMBER(Jnl[[#This Row],[Bal]]))</f>
        <v>1</v>
      </c>
      <c r="J810" s="10">
        <f>IF(Jnl[[#This Row],[BSLv0]]="A",1,-1)*Jnl[[#This Row],[Bal]]</f>
        <v>-5000</v>
      </c>
      <c r="K810" t="str">
        <f>_xlfn.XLOOKUP(Jnl[[#This Row],[Acct]], config_BS[Acct], config_BS[Lv0],,0)</f>
        <v>A</v>
      </c>
      <c r="L810" t="str">
        <f>_xlfn.XLOOKUP(Jnl[[#This Row],[Acct]], config_BS[Acct], config_BS[Lv1],,0)</f>
        <v>Assets</v>
      </c>
      <c r="M810" t="str">
        <f>_xlfn.XLOOKUP(Jnl[[#This Row],[Acct]], config_BS[Acct], config_BS[Lv2],,0)</f>
        <v>Rec-Pay</v>
      </c>
      <c r="N810" t="str">
        <f>_xlfn.XLOOKUP(Jnl[[#This Row],[TrxId]], Trx[Id], Trx[IncNode], ,0)</f>
        <v>Revenue</v>
      </c>
      <c r="O810" t="str">
        <f>_xlfn.XLOOKUP(Jnl[[#This Row],[IncNode]], config_IS[Node], config_IS[Type],,0)</f>
        <v>Op</v>
      </c>
      <c r="P810" t="str">
        <f>_xlfn.XLOOKUP(Jnl[[#This Row],[BSLv2]], dict[Key], dict[Name],,0)</f>
        <v>1.应收-应付</v>
      </c>
      <c r="Q810" t="str">
        <f>_xlfn.XLOOKUP(Jnl[[#This Row],[Acct]], dict[Key], dict[Name],,0)</f>
        <v>应收-一般</v>
      </c>
      <c r="R810" t="str">
        <f>_xlfn.XLOOKUP(Jnl[[#This Row],[Vehicle]],config_vehicle[Id], config_vehicle[Name],,0)</f>
        <v>远家文化</v>
      </c>
      <c r="S810" t="str">
        <f>_xlfn.XLOOKUP(Jnl[[#This Row],[Division]],config_div[Id], config_div[Name],,0)</f>
        <v>明月村</v>
      </c>
      <c r="T810" t="str">
        <f>IF(Jnl[[#This Row],[TrxDate]]&lt;=stmt_BS_date_end, "In", "Out")</f>
        <v>In</v>
      </c>
      <c r="U810" t="str">
        <f>IF(Jnl[[#This Row],[TrxDate]]&lt;debug_date_start, "prior", IF(Jnl[[#This Row],[TrxDate]]&gt;debug_date_end, "post", "curr"))</f>
        <v>prior</v>
      </c>
    </row>
    <row r="811" spans="1:21">
      <c r="A811" s="11" t="s">
        <v>1234</v>
      </c>
      <c r="B811" s="7">
        <f>_xlfn.XLOOKUP(Jnl[[#This Row],[TrxId]], Trx[Id], Trx[Date],,0)</f>
        <v>46053</v>
      </c>
      <c r="C811" s="7" t="str">
        <f>_xlfn.XLOOKUP(Jnl[[#This Row],[TrxId]], Trx[Id], Trx[Division],,0)</f>
        <v>MY</v>
      </c>
      <c r="D811" s="7" t="str">
        <f>_xlfn.XLOOKUP(Jnl[[#This Row],[TrxId]], Trx[Id], Trx[Action],,0)</f>
        <v>收款</v>
      </c>
      <c r="E811" s="26" t="s">
        <v>87</v>
      </c>
      <c r="F811" s="11" t="s">
        <v>590</v>
      </c>
      <c r="G811" s="11" t="s">
        <v>903</v>
      </c>
      <c r="H811" s="72">
        <v>1000</v>
      </c>
      <c r="I811" s="5" t="b">
        <f>AND(Jnl[[#This Row],[TrxId]]&lt;&gt;"",Jnl[[#This Row],[Acct]]&lt;&gt;"",Jnl[[#This Row],[Item]]&lt;&gt;"",ISNUMBER(Jnl[[#This Row],[Bal]]))</f>
        <v>1</v>
      </c>
      <c r="J811" s="10">
        <f>IF(Jnl[[#This Row],[BSLv0]]="A",1,-1)*Jnl[[#This Row],[Bal]]</f>
        <v>1000</v>
      </c>
      <c r="K811" t="str">
        <f>_xlfn.XLOOKUP(Jnl[[#This Row],[Acct]], config_BS[Acct], config_BS[Lv0],,0)</f>
        <v>A</v>
      </c>
      <c r="L811" t="str">
        <f>_xlfn.XLOOKUP(Jnl[[#This Row],[Acct]], config_BS[Acct], config_BS[Lv1],,0)</f>
        <v>Assets</v>
      </c>
      <c r="M811" t="str">
        <f>_xlfn.XLOOKUP(Jnl[[#This Row],[Acct]], config_BS[Acct], config_BS[Lv2],,0)</f>
        <v>Cash alike</v>
      </c>
      <c r="N811" t="str">
        <f>_xlfn.XLOOKUP(Jnl[[#This Row],[TrxId]], Trx[Id], Trx[IncNode], ,0)</f>
        <v>Revenue</v>
      </c>
      <c r="O811" t="str">
        <f>_xlfn.XLOOKUP(Jnl[[#This Row],[IncNode]], config_IS[Node], config_IS[Type],,0)</f>
        <v>Op</v>
      </c>
      <c r="P811" t="str">
        <f>_xlfn.XLOOKUP(Jnl[[#This Row],[BSLv2]], dict[Key], dict[Name],,0)</f>
        <v>0.现金及类似</v>
      </c>
      <c r="Q811" t="str">
        <f>_xlfn.XLOOKUP(Jnl[[#This Row],[Acct]], dict[Key], dict[Name],,0)</f>
        <v>银行</v>
      </c>
      <c r="R811" t="str">
        <f>_xlfn.XLOOKUP(Jnl[[#This Row],[Vehicle]],config_vehicle[Id], config_vehicle[Name],,0)</f>
        <v>小月号</v>
      </c>
      <c r="S811" t="str">
        <f>_xlfn.XLOOKUP(Jnl[[#This Row],[Division]],config_div[Id], config_div[Name],,0)</f>
        <v>明月村</v>
      </c>
      <c r="T811" t="str">
        <f>IF(Jnl[[#This Row],[TrxDate]]&lt;=stmt_BS_date_end, "In", "Out")</f>
        <v>In</v>
      </c>
      <c r="U811" t="str">
        <f>IF(Jnl[[#This Row],[TrxDate]]&lt;debug_date_start, "prior", IF(Jnl[[#This Row],[TrxDate]]&gt;debug_date_end, "post", "curr"))</f>
        <v>prior</v>
      </c>
    </row>
    <row r="812" spans="1:21">
      <c r="A812" s="11" t="s">
        <v>1234</v>
      </c>
      <c r="B812" s="7">
        <f>_xlfn.XLOOKUP(Jnl[[#This Row],[TrxId]], Trx[Id], Trx[Date],,0)</f>
        <v>46053</v>
      </c>
      <c r="C812" s="7" t="str">
        <f>_xlfn.XLOOKUP(Jnl[[#This Row],[TrxId]], Trx[Id], Trx[Division],,0)</f>
        <v>MY</v>
      </c>
      <c r="D812" s="7" t="str">
        <f>_xlfn.XLOOKUP(Jnl[[#This Row],[TrxId]], Trx[Id], Trx[Action],,0)</f>
        <v>收款</v>
      </c>
      <c r="E812" s="26" t="s">
        <v>83</v>
      </c>
      <c r="F812" s="11" t="s">
        <v>593</v>
      </c>
      <c r="G812" s="11" t="s">
        <v>1065</v>
      </c>
      <c r="H812" s="72">
        <f>-H811</f>
        <v>-1000</v>
      </c>
      <c r="I812" s="5" t="b">
        <f>AND(Jnl[[#This Row],[TrxId]]&lt;&gt;"",Jnl[[#This Row],[Acct]]&lt;&gt;"",Jnl[[#This Row],[Item]]&lt;&gt;"",ISNUMBER(Jnl[[#This Row],[Bal]]))</f>
        <v>1</v>
      </c>
      <c r="J812" s="10">
        <f>IF(Jnl[[#This Row],[BSLv0]]="A",1,-1)*Jnl[[#This Row],[Bal]]</f>
        <v>-1000</v>
      </c>
      <c r="K812" t="str">
        <f>_xlfn.XLOOKUP(Jnl[[#This Row],[Acct]], config_BS[Acct], config_BS[Lv0],,0)</f>
        <v>A</v>
      </c>
      <c r="L812" t="str">
        <f>_xlfn.XLOOKUP(Jnl[[#This Row],[Acct]], config_BS[Acct], config_BS[Lv1],,0)</f>
        <v>Assets</v>
      </c>
      <c r="M812" t="str">
        <f>_xlfn.XLOOKUP(Jnl[[#This Row],[Acct]], config_BS[Acct], config_BS[Lv2],,0)</f>
        <v>Rec-Pay</v>
      </c>
      <c r="N812" t="str">
        <f>_xlfn.XLOOKUP(Jnl[[#This Row],[TrxId]], Trx[Id], Trx[IncNode], ,0)</f>
        <v>Revenue</v>
      </c>
      <c r="O812" t="str">
        <f>_xlfn.XLOOKUP(Jnl[[#This Row],[IncNode]], config_IS[Node], config_IS[Type],,0)</f>
        <v>Op</v>
      </c>
      <c r="P812" t="str">
        <f>_xlfn.XLOOKUP(Jnl[[#This Row],[BSLv2]], dict[Key], dict[Name],,0)</f>
        <v>1.应收-应付</v>
      </c>
      <c r="Q812" t="str">
        <f>_xlfn.XLOOKUP(Jnl[[#This Row],[Acct]], dict[Key], dict[Name],,0)</f>
        <v>应收-一般</v>
      </c>
      <c r="R812" t="str">
        <f>_xlfn.XLOOKUP(Jnl[[#This Row],[Vehicle]],config_vehicle[Id], config_vehicle[Name],,0)</f>
        <v>远家文化</v>
      </c>
      <c r="S812" t="str">
        <f>_xlfn.XLOOKUP(Jnl[[#This Row],[Division]],config_div[Id], config_div[Name],,0)</f>
        <v>明月村</v>
      </c>
      <c r="T812" t="str">
        <f>IF(Jnl[[#This Row],[TrxDate]]&lt;=stmt_BS_date_end, "In", "Out")</f>
        <v>In</v>
      </c>
      <c r="U812" t="str">
        <f>IF(Jnl[[#This Row],[TrxDate]]&lt;debug_date_start, "prior", IF(Jnl[[#This Row],[TrxDate]]&gt;debug_date_end, "post", "curr"))</f>
        <v>prior</v>
      </c>
    </row>
    <row r="813" spans="1:21">
      <c r="A813" s="11" t="s">
        <v>1235</v>
      </c>
      <c r="B813" s="7">
        <f>_xlfn.XLOOKUP(Jnl[[#This Row],[TrxId]], Trx[Id], Trx[Date],,0)</f>
        <v>46053</v>
      </c>
      <c r="C813" s="7" t="str">
        <f>_xlfn.XLOOKUP(Jnl[[#This Row],[TrxId]], Trx[Id], Trx[Division],,0)</f>
        <v>MY</v>
      </c>
      <c r="D813" s="7" t="str">
        <f>_xlfn.XLOOKUP(Jnl[[#This Row],[TrxId]], Trx[Id], Trx[Action],,0)</f>
        <v>退款-客人</v>
      </c>
      <c r="E813" s="26" t="s">
        <v>87</v>
      </c>
      <c r="F813" s="11" t="s">
        <v>590</v>
      </c>
      <c r="G813" s="11" t="s">
        <v>903</v>
      </c>
      <c r="H813" s="72">
        <v>-5000</v>
      </c>
      <c r="I813" s="5" t="b">
        <f>AND(Jnl[[#This Row],[TrxId]]&lt;&gt;"",Jnl[[#This Row],[Acct]]&lt;&gt;"",Jnl[[#This Row],[Item]]&lt;&gt;"",ISNUMBER(Jnl[[#This Row],[Bal]]))</f>
        <v>1</v>
      </c>
      <c r="J813" s="10">
        <f>IF(Jnl[[#This Row],[BSLv0]]="A",1,-1)*Jnl[[#This Row],[Bal]]</f>
        <v>-5000</v>
      </c>
      <c r="K813" t="str">
        <f>_xlfn.XLOOKUP(Jnl[[#This Row],[Acct]], config_BS[Acct], config_BS[Lv0],,0)</f>
        <v>A</v>
      </c>
      <c r="L813" t="str">
        <f>_xlfn.XLOOKUP(Jnl[[#This Row],[Acct]], config_BS[Acct], config_BS[Lv1],,0)</f>
        <v>Assets</v>
      </c>
      <c r="M813" t="str">
        <f>_xlfn.XLOOKUP(Jnl[[#This Row],[Acct]], config_BS[Acct], config_BS[Lv2],,0)</f>
        <v>Cash alike</v>
      </c>
      <c r="N813" t="str">
        <f>_xlfn.XLOOKUP(Jnl[[#This Row],[TrxId]], Trx[Id], Trx[IncNode], ,0)</f>
        <v>Revenue</v>
      </c>
      <c r="O813" t="str">
        <f>_xlfn.XLOOKUP(Jnl[[#This Row],[IncNode]], config_IS[Node], config_IS[Type],,0)</f>
        <v>Op</v>
      </c>
      <c r="P813" t="str">
        <f>_xlfn.XLOOKUP(Jnl[[#This Row],[BSLv2]], dict[Key], dict[Name],,0)</f>
        <v>0.现金及类似</v>
      </c>
      <c r="Q813" t="str">
        <f>_xlfn.XLOOKUP(Jnl[[#This Row],[Acct]], dict[Key], dict[Name],,0)</f>
        <v>银行</v>
      </c>
      <c r="R813" t="str">
        <f>_xlfn.XLOOKUP(Jnl[[#This Row],[Vehicle]],config_vehicle[Id], config_vehicle[Name],,0)</f>
        <v>小月号</v>
      </c>
      <c r="S813" t="str">
        <f>_xlfn.XLOOKUP(Jnl[[#This Row],[Division]],config_div[Id], config_div[Name],,0)</f>
        <v>明月村</v>
      </c>
      <c r="T813" t="str">
        <f>IF(Jnl[[#This Row],[TrxDate]]&lt;=stmt_BS_date_end, "In", "Out")</f>
        <v>In</v>
      </c>
      <c r="U813" t="str">
        <f>IF(Jnl[[#This Row],[TrxDate]]&lt;debug_date_start, "prior", IF(Jnl[[#This Row],[TrxDate]]&gt;debug_date_end, "post", "curr"))</f>
        <v>prior</v>
      </c>
    </row>
    <row r="814" spans="1:21">
      <c r="A814" s="11" t="s">
        <v>1235</v>
      </c>
      <c r="B814" s="7">
        <f>_xlfn.XLOOKUP(Jnl[[#This Row],[TrxId]], Trx[Id], Trx[Date],,0)</f>
        <v>46053</v>
      </c>
      <c r="C814" s="7" t="str">
        <f>_xlfn.XLOOKUP(Jnl[[#This Row],[TrxId]], Trx[Id], Trx[Division],,0)</f>
        <v>MY</v>
      </c>
      <c r="D814" s="7" t="str">
        <f>_xlfn.XLOOKUP(Jnl[[#This Row],[TrxId]], Trx[Id], Trx[Action],,0)</f>
        <v>退款-客人</v>
      </c>
      <c r="E814" s="26" t="s">
        <v>83</v>
      </c>
      <c r="F814" s="11" t="s">
        <v>593</v>
      </c>
      <c r="G814" s="11" t="s">
        <v>1065</v>
      </c>
      <c r="H814" s="72">
        <v>5000</v>
      </c>
      <c r="I814" s="5" t="b">
        <f>AND(Jnl[[#This Row],[TrxId]]&lt;&gt;"",Jnl[[#This Row],[Acct]]&lt;&gt;"",Jnl[[#This Row],[Item]]&lt;&gt;"",ISNUMBER(Jnl[[#This Row],[Bal]]))</f>
        <v>1</v>
      </c>
      <c r="J814" s="10">
        <f>IF(Jnl[[#This Row],[BSLv0]]="A",1,-1)*Jnl[[#This Row],[Bal]]</f>
        <v>5000</v>
      </c>
      <c r="K814" t="str">
        <f>_xlfn.XLOOKUP(Jnl[[#This Row],[Acct]], config_BS[Acct], config_BS[Lv0],,0)</f>
        <v>A</v>
      </c>
      <c r="L814" t="str">
        <f>_xlfn.XLOOKUP(Jnl[[#This Row],[Acct]], config_BS[Acct], config_BS[Lv1],,0)</f>
        <v>Assets</v>
      </c>
      <c r="M814" t="str">
        <f>_xlfn.XLOOKUP(Jnl[[#This Row],[Acct]], config_BS[Acct], config_BS[Lv2],,0)</f>
        <v>Rec-Pay</v>
      </c>
      <c r="N814" t="str">
        <f>_xlfn.XLOOKUP(Jnl[[#This Row],[TrxId]], Trx[Id], Trx[IncNode], ,0)</f>
        <v>Revenue</v>
      </c>
      <c r="O814" t="str">
        <f>_xlfn.XLOOKUP(Jnl[[#This Row],[IncNode]], config_IS[Node], config_IS[Type],,0)</f>
        <v>Op</v>
      </c>
      <c r="P814" t="str">
        <f>_xlfn.XLOOKUP(Jnl[[#This Row],[BSLv2]], dict[Key], dict[Name],,0)</f>
        <v>1.应收-应付</v>
      </c>
      <c r="Q814" t="str">
        <f>_xlfn.XLOOKUP(Jnl[[#This Row],[Acct]], dict[Key], dict[Name],,0)</f>
        <v>应收-一般</v>
      </c>
      <c r="R814" t="str">
        <f>_xlfn.XLOOKUP(Jnl[[#This Row],[Vehicle]],config_vehicle[Id], config_vehicle[Name],,0)</f>
        <v>远家文化</v>
      </c>
      <c r="S814" t="str">
        <f>_xlfn.XLOOKUP(Jnl[[#This Row],[Division]],config_div[Id], config_div[Name],,0)</f>
        <v>明月村</v>
      </c>
      <c r="T814" t="str">
        <f>IF(Jnl[[#This Row],[TrxDate]]&lt;=stmt_BS_date_end, "In", "Out")</f>
        <v>In</v>
      </c>
      <c r="U814" t="str">
        <f>IF(Jnl[[#This Row],[TrxDate]]&lt;debug_date_start, "prior", IF(Jnl[[#This Row],[TrxDate]]&gt;debug_date_end, "post", "curr"))</f>
        <v>prior</v>
      </c>
    </row>
    <row r="815" spans="1:21">
      <c r="A815" s="11" t="s">
        <v>1236</v>
      </c>
      <c r="B815" s="7">
        <f>_xlfn.XLOOKUP(Jnl[[#This Row],[TrxId]], Trx[Id], Trx[Date],,0)</f>
        <v>46053</v>
      </c>
      <c r="C815" s="7" t="str">
        <f>_xlfn.XLOOKUP(Jnl[[#This Row],[TrxId]], Trx[Id], Trx[Division],,0)</f>
        <v>MY</v>
      </c>
      <c r="D815" s="7" t="str">
        <f>_xlfn.XLOOKUP(Jnl[[#This Row],[TrxId]], Trx[Id], Trx[Action],,0)</f>
        <v>收款</v>
      </c>
      <c r="E815" s="26" t="s">
        <v>87</v>
      </c>
      <c r="F815" s="11" t="s">
        <v>590</v>
      </c>
      <c r="G815" s="11" t="s">
        <v>903</v>
      </c>
      <c r="H815" s="72">
        <v>1000</v>
      </c>
      <c r="I815" s="5" t="b">
        <f>AND(Jnl[[#This Row],[TrxId]]&lt;&gt;"",Jnl[[#This Row],[Acct]]&lt;&gt;"",Jnl[[#This Row],[Item]]&lt;&gt;"",ISNUMBER(Jnl[[#This Row],[Bal]]))</f>
        <v>1</v>
      </c>
      <c r="J815" s="10">
        <f>IF(Jnl[[#This Row],[BSLv0]]="A",1,-1)*Jnl[[#This Row],[Bal]]</f>
        <v>1000</v>
      </c>
      <c r="K815" t="str">
        <f>_xlfn.XLOOKUP(Jnl[[#This Row],[Acct]], config_BS[Acct], config_BS[Lv0],,0)</f>
        <v>A</v>
      </c>
      <c r="L815" t="str">
        <f>_xlfn.XLOOKUP(Jnl[[#This Row],[Acct]], config_BS[Acct], config_BS[Lv1],,0)</f>
        <v>Assets</v>
      </c>
      <c r="M815" t="str">
        <f>_xlfn.XLOOKUP(Jnl[[#This Row],[Acct]], config_BS[Acct], config_BS[Lv2],,0)</f>
        <v>Cash alike</v>
      </c>
      <c r="N815" t="str">
        <f>_xlfn.XLOOKUP(Jnl[[#This Row],[TrxId]], Trx[Id], Trx[IncNode], ,0)</f>
        <v>Revenue</v>
      </c>
      <c r="O815" t="str">
        <f>_xlfn.XLOOKUP(Jnl[[#This Row],[IncNode]], config_IS[Node], config_IS[Type],,0)</f>
        <v>Op</v>
      </c>
      <c r="P815" t="str">
        <f>_xlfn.XLOOKUP(Jnl[[#This Row],[BSLv2]], dict[Key], dict[Name],,0)</f>
        <v>0.现金及类似</v>
      </c>
      <c r="Q815" t="str">
        <f>_xlfn.XLOOKUP(Jnl[[#This Row],[Acct]], dict[Key], dict[Name],,0)</f>
        <v>银行</v>
      </c>
      <c r="R815" t="str">
        <f>_xlfn.XLOOKUP(Jnl[[#This Row],[Vehicle]],config_vehicle[Id], config_vehicle[Name],,0)</f>
        <v>小月号</v>
      </c>
      <c r="S815" t="str">
        <f>_xlfn.XLOOKUP(Jnl[[#This Row],[Division]],config_div[Id], config_div[Name],,0)</f>
        <v>明月村</v>
      </c>
      <c r="T815" t="str">
        <f>IF(Jnl[[#This Row],[TrxDate]]&lt;=stmt_BS_date_end, "In", "Out")</f>
        <v>In</v>
      </c>
      <c r="U815" t="str">
        <f>IF(Jnl[[#This Row],[TrxDate]]&lt;debug_date_start, "prior", IF(Jnl[[#This Row],[TrxDate]]&gt;debug_date_end, "post", "curr"))</f>
        <v>prior</v>
      </c>
    </row>
    <row r="816" spans="1:21">
      <c r="A816" s="11" t="s">
        <v>1236</v>
      </c>
      <c r="B816" s="7">
        <f>_xlfn.XLOOKUP(Jnl[[#This Row],[TrxId]], Trx[Id], Trx[Date],,0)</f>
        <v>46053</v>
      </c>
      <c r="C816" s="7" t="str">
        <f>_xlfn.XLOOKUP(Jnl[[#This Row],[TrxId]], Trx[Id], Trx[Division],,0)</f>
        <v>MY</v>
      </c>
      <c r="D816" s="7" t="str">
        <f>_xlfn.XLOOKUP(Jnl[[#This Row],[TrxId]], Trx[Id], Trx[Action],,0)</f>
        <v>收款</v>
      </c>
      <c r="E816" s="26" t="s">
        <v>83</v>
      </c>
      <c r="F816" s="11" t="s">
        <v>593</v>
      </c>
      <c r="G816" s="11" t="s">
        <v>1065</v>
      </c>
      <c r="H816" s="72">
        <v>-1000</v>
      </c>
      <c r="I816" s="5" t="b">
        <f>AND(Jnl[[#This Row],[TrxId]]&lt;&gt;"",Jnl[[#This Row],[Acct]]&lt;&gt;"",Jnl[[#This Row],[Item]]&lt;&gt;"",ISNUMBER(Jnl[[#This Row],[Bal]]))</f>
        <v>1</v>
      </c>
      <c r="J816" s="10">
        <f>IF(Jnl[[#This Row],[BSLv0]]="A",1,-1)*Jnl[[#This Row],[Bal]]</f>
        <v>-1000</v>
      </c>
      <c r="K816" t="str">
        <f>_xlfn.XLOOKUP(Jnl[[#This Row],[Acct]], config_BS[Acct], config_BS[Lv0],,0)</f>
        <v>A</v>
      </c>
      <c r="L816" t="str">
        <f>_xlfn.XLOOKUP(Jnl[[#This Row],[Acct]], config_BS[Acct], config_BS[Lv1],,0)</f>
        <v>Assets</v>
      </c>
      <c r="M816" t="str">
        <f>_xlfn.XLOOKUP(Jnl[[#This Row],[Acct]], config_BS[Acct], config_BS[Lv2],,0)</f>
        <v>Rec-Pay</v>
      </c>
      <c r="N816" t="str">
        <f>_xlfn.XLOOKUP(Jnl[[#This Row],[TrxId]], Trx[Id], Trx[IncNode], ,0)</f>
        <v>Revenue</v>
      </c>
      <c r="O816" t="str">
        <f>_xlfn.XLOOKUP(Jnl[[#This Row],[IncNode]], config_IS[Node], config_IS[Type],,0)</f>
        <v>Op</v>
      </c>
      <c r="P816" t="str">
        <f>_xlfn.XLOOKUP(Jnl[[#This Row],[BSLv2]], dict[Key], dict[Name],,0)</f>
        <v>1.应收-应付</v>
      </c>
      <c r="Q816" t="str">
        <f>_xlfn.XLOOKUP(Jnl[[#This Row],[Acct]], dict[Key], dict[Name],,0)</f>
        <v>应收-一般</v>
      </c>
      <c r="R816" t="str">
        <f>_xlfn.XLOOKUP(Jnl[[#This Row],[Vehicle]],config_vehicle[Id], config_vehicle[Name],,0)</f>
        <v>远家文化</v>
      </c>
      <c r="S816" t="str">
        <f>_xlfn.XLOOKUP(Jnl[[#This Row],[Division]],config_div[Id], config_div[Name],,0)</f>
        <v>明月村</v>
      </c>
      <c r="T816" t="str">
        <f>IF(Jnl[[#This Row],[TrxDate]]&lt;=stmt_BS_date_end, "In", "Out")</f>
        <v>In</v>
      </c>
      <c r="U816" t="str">
        <f>IF(Jnl[[#This Row],[TrxDate]]&lt;debug_date_start, "prior", IF(Jnl[[#This Row],[TrxDate]]&gt;debug_date_end, "post", "curr"))</f>
        <v>prior</v>
      </c>
    </row>
    <row r="817" spans="1:21">
      <c r="A817" s="11" t="s">
        <v>1237</v>
      </c>
      <c r="B817" s="7">
        <f>_xlfn.XLOOKUP(Jnl[[#This Row],[TrxId]], Trx[Id], Trx[Date],,0)</f>
        <v>46053</v>
      </c>
      <c r="C817" s="7" t="str">
        <f>_xlfn.XLOOKUP(Jnl[[#This Row],[TrxId]], Trx[Id], Trx[Division],,0)</f>
        <v>MY</v>
      </c>
      <c r="D817" s="7" t="str">
        <f>_xlfn.XLOOKUP(Jnl[[#This Row],[TrxId]], Trx[Id], Trx[Action],,0)</f>
        <v>收款</v>
      </c>
      <c r="E817" s="26" t="s">
        <v>87</v>
      </c>
      <c r="F817" s="11" t="s">
        <v>590</v>
      </c>
      <c r="G817" s="11" t="s">
        <v>903</v>
      </c>
      <c r="H817" s="72">
        <v>484</v>
      </c>
      <c r="I817" s="5" t="b">
        <f>AND(Jnl[[#This Row],[TrxId]]&lt;&gt;"",Jnl[[#This Row],[Acct]]&lt;&gt;"",Jnl[[#This Row],[Item]]&lt;&gt;"",ISNUMBER(Jnl[[#This Row],[Bal]]))</f>
        <v>1</v>
      </c>
      <c r="J817" s="10">
        <f>IF(Jnl[[#This Row],[BSLv0]]="A",1,-1)*Jnl[[#This Row],[Bal]]</f>
        <v>484</v>
      </c>
      <c r="K817" t="str">
        <f>_xlfn.XLOOKUP(Jnl[[#This Row],[Acct]], config_BS[Acct], config_BS[Lv0],,0)</f>
        <v>A</v>
      </c>
      <c r="L817" t="str">
        <f>_xlfn.XLOOKUP(Jnl[[#This Row],[Acct]], config_BS[Acct], config_BS[Lv1],,0)</f>
        <v>Assets</v>
      </c>
      <c r="M817" t="str">
        <f>_xlfn.XLOOKUP(Jnl[[#This Row],[Acct]], config_BS[Acct], config_BS[Lv2],,0)</f>
        <v>Cash alike</v>
      </c>
      <c r="N817" t="str">
        <f>_xlfn.XLOOKUP(Jnl[[#This Row],[TrxId]], Trx[Id], Trx[IncNode], ,0)</f>
        <v>Revenue</v>
      </c>
      <c r="O817" t="str">
        <f>_xlfn.XLOOKUP(Jnl[[#This Row],[IncNode]], config_IS[Node], config_IS[Type],,0)</f>
        <v>Op</v>
      </c>
      <c r="P817" t="str">
        <f>_xlfn.XLOOKUP(Jnl[[#This Row],[BSLv2]], dict[Key], dict[Name],,0)</f>
        <v>0.现金及类似</v>
      </c>
      <c r="Q817" t="str">
        <f>_xlfn.XLOOKUP(Jnl[[#This Row],[Acct]], dict[Key], dict[Name],,0)</f>
        <v>银行</v>
      </c>
      <c r="R817" t="str">
        <f>_xlfn.XLOOKUP(Jnl[[#This Row],[Vehicle]],config_vehicle[Id], config_vehicle[Name],,0)</f>
        <v>小月号</v>
      </c>
      <c r="S817" t="str">
        <f>_xlfn.XLOOKUP(Jnl[[#This Row],[Division]],config_div[Id], config_div[Name],,0)</f>
        <v>明月村</v>
      </c>
      <c r="T817" t="str">
        <f>IF(Jnl[[#This Row],[TrxDate]]&lt;=stmt_BS_date_end, "In", "Out")</f>
        <v>In</v>
      </c>
      <c r="U817" t="str">
        <f>IF(Jnl[[#This Row],[TrxDate]]&lt;debug_date_start, "prior", IF(Jnl[[#This Row],[TrxDate]]&gt;debug_date_end, "post", "curr"))</f>
        <v>prior</v>
      </c>
    </row>
    <row r="818" spans="1:21">
      <c r="A818" s="11" t="s">
        <v>1237</v>
      </c>
      <c r="B818" s="7">
        <f>_xlfn.XLOOKUP(Jnl[[#This Row],[TrxId]], Trx[Id], Trx[Date],,0)</f>
        <v>46053</v>
      </c>
      <c r="C818" s="7" t="str">
        <f>_xlfn.XLOOKUP(Jnl[[#This Row],[TrxId]], Trx[Id], Trx[Division],,0)</f>
        <v>MY</v>
      </c>
      <c r="D818" s="7" t="str">
        <f>_xlfn.XLOOKUP(Jnl[[#This Row],[TrxId]], Trx[Id], Trx[Action],,0)</f>
        <v>收款</v>
      </c>
      <c r="E818" s="26" t="s">
        <v>83</v>
      </c>
      <c r="F818" s="11" t="s">
        <v>593</v>
      </c>
      <c r="G818" s="11" t="s">
        <v>942</v>
      </c>
      <c r="H818" s="72">
        <f>-H817</f>
        <v>-484</v>
      </c>
      <c r="I818" s="5" t="b">
        <f>AND(Jnl[[#This Row],[TrxId]]&lt;&gt;"",Jnl[[#This Row],[Acct]]&lt;&gt;"",Jnl[[#This Row],[Item]]&lt;&gt;"",ISNUMBER(Jnl[[#This Row],[Bal]]))</f>
        <v>1</v>
      </c>
      <c r="J818" s="10">
        <f>IF(Jnl[[#This Row],[BSLv0]]="A",1,-1)*Jnl[[#This Row],[Bal]]</f>
        <v>-484</v>
      </c>
      <c r="K818" t="str">
        <f>_xlfn.XLOOKUP(Jnl[[#This Row],[Acct]], config_BS[Acct], config_BS[Lv0],,0)</f>
        <v>A</v>
      </c>
      <c r="L818" t="str">
        <f>_xlfn.XLOOKUP(Jnl[[#This Row],[Acct]], config_BS[Acct], config_BS[Lv1],,0)</f>
        <v>Assets</v>
      </c>
      <c r="M818" t="str">
        <f>_xlfn.XLOOKUP(Jnl[[#This Row],[Acct]], config_BS[Acct], config_BS[Lv2],,0)</f>
        <v>Rec-Pay</v>
      </c>
      <c r="N818" t="str">
        <f>_xlfn.XLOOKUP(Jnl[[#This Row],[TrxId]], Trx[Id], Trx[IncNode], ,0)</f>
        <v>Revenue</v>
      </c>
      <c r="O818" t="str">
        <f>_xlfn.XLOOKUP(Jnl[[#This Row],[IncNode]], config_IS[Node], config_IS[Type],,0)</f>
        <v>Op</v>
      </c>
      <c r="P818" t="str">
        <f>_xlfn.XLOOKUP(Jnl[[#This Row],[BSLv2]], dict[Key], dict[Name],,0)</f>
        <v>1.应收-应付</v>
      </c>
      <c r="Q818" t="str">
        <f>_xlfn.XLOOKUP(Jnl[[#This Row],[Acct]], dict[Key], dict[Name],,0)</f>
        <v>应收-一般</v>
      </c>
      <c r="R818" t="str">
        <f>_xlfn.XLOOKUP(Jnl[[#This Row],[Vehicle]],config_vehicle[Id], config_vehicle[Name],,0)</f>
        <v>远家文化</v>
      </c>
      <c r="S818" t="str">
        <f>_xlfn.XLOOKUP(Jnl[[#This Row],[Division]],config_div[Id], config_div[Name],,0)</f>
        <v>明月村</v>
      </c>
      <c r="T818" t="str">
        <f>IF(Jnl[[#This Row],[TrxDate]]&lt;=stmt_BS_date_end, "In", "Out")</f>
        <v>In</v>
      </c>
      <c r="U818" t="str">
        <f>IF(Jnl[[#This Row],[TrxDate]]&lt;debug_date_start, "prior", IF(Jnl[[#This Row],[TrxDate]]&gt;debug_date_end, "post", "curr"))</f>
        <v>prior</v>
      </c>
    </row>
    <row r="819" spans="1:21">
      <c r="A819" s="11" t="s">
        <v>1238</v>
      </c>
      <c r="B819" s="7">
        <f>_xlfn.XLOOKUP(Jnl[[#This Row],[TrxId]], Trx[Id], Trx[Date],,0)</f>
        <v>46053</v>
      </c>
      <c r="C819" s="7" t="str">
        <f>_xlfn.XLOOKUP(Jnl[[#This Row],[TrxId]], Trx[Id], Trx[Division],,0)</f>
        <v>MY</v>
      </c>
      <c r="D819" s="7" t="str">
        <f>_xlfn.XLOOKUP(Jnl[[#This Row],[TrxId]], Trx[Id], Trx[Action],,0)</f>
        <v>收款</v>
      </c>
      <c r="E819" s="26" t="s">
        <v>87</v>
      </c>
      <c r="F819" s="11" t="s">
        <v>590</v>
      </c>
      <c r="G819" s="11" t="s">
        <v>903</v>
      </c>
      <c r="H819" s="72">
        <v>3600</v>
      </c>
      <c r="I819" s="5" t="b">
        <f>AND(Jnl[[#This Row],[TrxId]]&lt;&gt;"",Jnl[[#This Row],[Acct]]&lt;&gt;"",Jnl[[#This Row],[Item]]&lt;&gt;"",ISNUMBER(Jnl[[#This Row],[Bal]]))</f>
        <v>1</v>
      </c>
      <c r="J819" s="10">
        <f>IF(Jnl[[#This Row],[BSLv0]]="A",1,-1)*Jnl[[#This Row],[Bal]]</f>
        <v>3600</v>
      </c>
      <c r="K819" t="str">
        <f>_xlfn.XLOOKUP(Jnl[[#This Row],[Acct]], config_BS[Acct], config_BS[Lv0],,0)</f>
        <v>A</v>
      </c>
      <c r="L819" t="str">
        <f>_xlfn.XLOOKUP(Jnl[[#This Row],[Acct]], config_BS[Acct], config_BS[Lv1],,0)</f>
        <v>Assets</v>
      </c>
      <c r="M819" t="str">
        <f>_xlfn.XLOOKUP(Jnl[[#This Row],[Acct]], config_BS[Acct], config_BS[Lv2],,0)</f>
        <v>Cash alike</v>
      </c>
      <c r="N819" t="str">
        <f>_xlfn.XLOOKUP(Jnl[[#This Row],[TrxId]], Trx[Id], Trx[IncNode], ,0)</f>
        <v>Revenue</v>
      </c>
      <c r="O819" t="str">
        <f>_xlfn.XLOOKUP(Jnl[[#This Row],[IncNode]], config_IS[Node], config_IS[Type],,0)</f>
        <v>Op</v>
      </c>
      <c r="P819" t="str">
        <f>_xlfn.XLOOKUP(Jnl[[#This Row],[BSLv2]], dict[Key], dict[Name],,0)</f>
        <v>0.现金及类似</v>
      </c>
      <c r="Q819" t="str">
        <f>_xlfn.XLOOKUP(Jnl[[#This Row],[Acct]], dict[Key], dict[Name],,0)</f>
        <v>银行</v>
      </c>
      <c r="R819" t="str">
        <f>_xlfn.XLOOKUP(Jnl[[#This Row],[Vehicle]],config_vehicle[Id], config_vehicle[Name],,0)</f>
        <v>小月号</v>
      </c>
      <c r="S819" t="str">
        <f>_xlfn.XLOOKUP(Jnl[[#This Row],[Division]],config_div[Id], config_div[Name],,0)</f>
        <v>明月村</v>
      </c>
      <c r="T819" t="str">
        <f>IF(Jnl[[#This Row],[TrxDate]]&lt;=stmt_BS_date_end, "In", "Out")</f>
        <v>In</v>
      </c>
      <c r="U819" t="str">
        <f>IF(Jnl[[#This Row],[TrxDate]]&lt;debug_date_start, "prior", IF(Jnl[[#This Row],[TrxDate]]&gt;debug_date_end, "post", "curr"))</f>
        <v>prior</v>
      </c>
    </row>
    <row r="820" spans="1:21">
      <c r="A820" s="11" t="s">
        <v>1238</v>
      </c>
      <c r="B820" s="7">
        <f>_xlfn.XLOOKUP(Jnl[[#This Row],[TrxId]], Trx[Id], Trx[Date],,0)</f>
        <v>46053</v>
      </c>
      <c r="C820" s="7" t="str">
        <f>_xlfn.XLOOKUP(Jnl[[#This Row],[TrxId]], Trx[Id], Trx[Division],,0)</f>
        <v>MY</v>
      </c>
      <c r="D820" s="7" t="str">
        <f>_xlfn.XLOOKUP(Jnl[[#This Row],[TrxId]], Trx[Id], Trx[Action],,0)</f>
        <v>收款</v>
      </c>
      <c r="E820" s="26" t="s">
        <v>83</v>
      </c>
      <c r="F820" s="11" t="s">
        <v>593</v>
      </c>
      <c r="G820" s="11" t="s">
        <v>947</v>
      </c>
      <c r="H820" s="72">
        <f>-H819</f>
        <v>-3600</v>
      </c>
      <c r="I820" s="5" t="b">
        <f>AND(Jnl[[#This Row],[TrxId]]&lt;&gt;"",Jnl[[#This Row],[Acct]]&lt;&gt;"",Jnl[[#This Row],[Item]]&lt;&gt;"",ISNUMBER(Jnl[[#This Row],[Bal]]))</f>
        <v>1</v>
      </c>
      <c r="J820" s="10">
        <f>IF(Jnl[[#This Row],[BSLv0]]="A",1,-1)*Jnl[[#This Row],[Bal]]</f>
        <v>-3600</v>
      </c>
      <c r="K820" t="str">
        <f>_xlfn.XLOOKUP(Jnl[[#This Row],[Acct]], config_BS[Acct], config_BS[Lv0],,0)</f>
        <v>A</v>
      </c>
      <c r="L820" t="str">
        <f>_xlfn.XLOOKUP(Jnl[[#This Row],[Acct]], config_BS[Acct], config_BS[Lv1],,0)</f>
        <v>Assets</v>
      </c>
      <c r="M820" t="str">
        <f>_xlfn.XLOOKUP(Jnl[[#This Row],[Acct]], config_BS[Acct], config_BS[Lv2],,0)</f>
        <v>Rec-Pay</v>
      </c>
      <c r="N820" t="str">
        <f>_xlfn.XLOOKUP(Jnl[[#This Row],[TrxId]], Trx[Id], Trx[IncNode], ,0)</f>
        <v>Revenue</v>
      </c>
      <c r="O820" t="str">
        <f>_xlfn.XLOOKUP(Jnl[[#This Row],[IncNode]], config_IS[Node], config_IS[Type],,0)</f>
        <v>Op</v>
      </c>
      <c r="P820" t="str">
        <f>_xlfn.XLOOKUP(Jnl[[#This Row],[BSLv2]], dict[Key], dict[Name],,0)</f>
        <v>1.应收-应付</v>
      </c>
      <c r="Q820" t="str">
        <f>_xlfn.XLOOKUP(Jnl[[#This Row],[Acct]], dict[Key], dict[Name],,0)</f>
        <v>应收-一般</v>
      </c>
      <c r="R820" t="str">
        <f>_xlfn.XLOOKUP(Jnl[[#This Row],[Vehicle]],config_vehicle[Id], config_vehicle[Name],,0)</f>
        <v>远家文化</v>
      </c>
      <c r="S820" t="str">
        <f>_xlfn.XLOOKUP(Jnl[[#This Row],[Division]],config_div[Id], config_div[Name],,0)</f>
        <v>明月村</v>
      </c>
      <c r="T820" t="str">
        <f>IF(Jnl[[#This Row],[TrxDate]]&lt;=stmt_BS_date_end, "In", "Out")</f>
        <v>In</v>
      </c>
      <c r="U820" t="str">
        <f>IF(Jnl[[#This Row],[TrxDate]]&lt;debug_date_start, "prior", IF(Jnl[[#This Row],[TrxDate]]&gt;debug_date_end, "post", "curr"))</f>
        <v>prior</v>
      </c>
    </row>
    <row r="821" spans="1:21">
      <c r="A821" s="11" t="s">
        <v>1239</v>
      </c>
      <c r="B821" s="7">
        <f>_xlfn.XLOOKUP(Jnl[[#This Row],[TrxId]], Trx[Id], Trx[Date],,0)</f>
        <v>46053</v>
      </c>
      <c r="C821" s="7" t="str">
        <f>_xlfn.XLOOKUP(Jnl[[#This Row],[TrxId]], Trx[Id], Trx[Division],,0)</f>
        <v>MY</v>
      </c>
      <c r="D821" s="7" t="str">
        <f>_xlfn.XLOOKUP(Jnl[[#This Row],[TrxId]], Trx[Id], Trx[Action],,0)</f>
        <v>食材</v>
      </c>
      <c r="E821" s="26" t="s">
        <v>87</v>
      </c>
      <c r="F821" s="11" t="s">
        <v>590</v>
      </c>
      <c r="G821" s="11" t="s">
        <v>903</v>
      </c>
      <c r="H821" s="72">
        <v>-159</v>
      </c>
      <c r="I821" s="5" t="b">
        <f>AND(Jnl[[#This Row],[TrxId]]&lt;&gt;"",Jnl[[#This Row],[Acct]]&lt;&gt;"",Jnl[[#This Row],[Item]]&lt;&gt;"",ISNUMBER(Jnl[[#This Row],[Bal]]))</f>
        <v>1</v>
      </c>
      <c r="J821" s="10">
        <f>IF(Jnl[[#This Row],[BSLv0]]="A",1,-1)*Jnl[[#This Row],[Bal]]</f>
        <v>-159</v>
      </c>
      <c r="K821" t="str">
        <f>_xlfn.XLOOKUP(Jnl[[#This Row],[Acct]], config_BS[Acct], config_BS[Lv0],,0)</f>
        <v>A</v>
      </c>
      <c r="L821" t="str">
        <f>_xlfn.XLOOKUP(Jnl[[#This Row],[Acct]], config_BS[Acct], config_BS[Lv1],,0)</f>
        <v>Assets</v>
      </c>
      <c r="M821" t="str">
        <f>_xlfn.XLOOKUP(Jnl[[#This Row],[Acct]], config_BS[Acct], config_BS[Lv2],,0)</f>
        <v>Cash alike</v>
      </c>
      <c r="N821" t="str">
        <f>_xlfn.XLOOKUP(Jnl[[#This Row],[TrxId]], Trx[Id], Trx[IncNode], ,0)</f>
        <v>Cost</v>
      </c>
      <c r="O821" t="str">
        <f>_xlfn.XLOOKUP(Jnl[[#This Row],[IncNode]], config_IS[Node], config_IS[Type],,0)</f>
        <v>Op</v>
      </c>
      <c r="P821" t="str">
        <f>_xlfn.XLOOKUP(Jnl[[#This Row],[BSLv2]], dict[Key], dict[Name],,0)</f>
        <v>0.现金及类似</v>
      </c>
      <c r="Q821" t="str">
        <f>_xlfn.XLOOKUP(Jnl[[#This Row],[Acct]], dict[Key], dict[Name],,0)</f>
        <v>银行</v>
      </c>
      <c r="R821" t="str">
        <f>_xlfn.XLOOKUP(Jnl[[#This Row],[Vehicle]],config_vehicle[Id], config_vehicle[Name],,0)</f>
        <v>小月号</v>
      </c>
      <c r="S821" t="str">
        <f>_xlfn.XLOOKUP(Jnl[[#This Row],[Division]],config_div[Id], config_div[Name],,0)</f>
        <v>明月村</v>
      </c>
      <c r="T821" t="str">
        <f>IF(Jnl[[#This Row],[TrxDate]]&lt;=stmt_BS_date_end, "In", "Out")</f>
        <v>In</v>
      </c>
      <c r="U821" t="str">
        <f>IF(Jnl[[#This Row],[TrxDate]]&lt;debug_date_start, "prior", IF(Jnl[[#This Row],[TrxDate]]&gt;debug_date_end, "post", "curr"))</f>
        <v>prior</v>
      </c>
    </row>
    <row r="822" spans="1:21">
      <c r="A822" s="11" t="s">
        <v>1240</v>
      </c>
      <c r="B822" s="7">
        <f>_xlfn.XLOOKUP(Jnl[[#This Row],[TrxId]], Trx[Id], Trx[Date],,0)</f>
        <v>46053</v>
      </c>
      <c r="C822" s="7" t="str">
        <f>_xlfn.XLOOKUP(Jnl[[#This Row],[TrxId]], Trx[Id], Trx[Division],,0)</f>
        <v>MY</v>
      </c>
      <c r="D822" s="7" t="str">
        <f>_xlfn.XLOOKUP(Jnl[[#This Row],[TrxId]], Trx[Id], Trx[Action],,0)</f>
        <v>福利</v>
      </c>
      <c r="E822" s="26" t="s">
        <v>87</v>
      </c>
      <c r="F822" s="11" t="s">
        <v>590</v>
      </c>
      <c r="G822" s="11" t="s">
        <v>903</v>
      </c>
      <c r="H822" s="72">
        <v>-2027</v>
      </c>
      <c r="I822" s="5" t="b">
        <f>AND(Jnl[[#This Row],[TrxId]]&lt;&gt;"",Jnl[[#This Row],[Acct]]&lt;&gt;"",Jnl[[#This Row],[Item]]&lt;&gt;"",ISNUMBER(Jnl[[#This Row],[Bal]]))</f>
        <v>1</v>
      </c>
      <c r="J822" s="10">
        <f>IF(Jnl[[#This Row],[BSLv0]]="A",1,-1)*Jnl[[#This Row],[Bal]]</f>
        <v>-2027</v>
      </c>
      <c r="K822" t="str">
        <f>_xlfn.XLOOKUP(Jnl[[#This Row],[Acct]], config_BS[Acct], config_BS[Lv0],,0)</f>
        <v>A</v>
      </c>
      <c r="L822" t="str">
        <f>_xlfn.XLOOKUP(Jnl[[#This Row],[Acct]], config_BS[Acct], config_BS[Lv1],,0)</f>
        <v>Assets</v>
      </c>
      <c r="M822" t="str">
        <f>_xlfn.XLOOKUP(Jnl[[#This Row],[Acct]], config_BS[Acct], config_BS[Lv2],,0)</f>
        <v>Cash alike</v>
      </c>
      <c r="N822" t="str">
        <f>_xlfn.XLOOKUP(Jnl[[#This Row],[TrxId]], Trx[Id], Trx[IncNode], ,0)</f>
        <v>Expense</v>
      </c>
      <c r="O822" t="str">
        <f>_xlfn.XLOOKUP(Jnl[[#This Row],[IncNode]], config_IS[Node], config_IS[Type],,0)</f>
        <v>Op</v>
      </c>
      <c r="P822" t="str">
        <f>_xlfn.XLOOKUP(Jnl[[#This Row],[BSLv2]], dict[Key], dict[Name],,0)</f>
        <v>0.现金及类似</v>
      </c>
      <c r="Q822" t="str">
        <f>_xlfn.XLOOKUP(Jnl[[#This Row],[Acct]], dict[Key], dict[Name],,0)</f>
        <v>银行</v>
      </c>
      <c r="R822" t="str">
        <f>_xlfn.XLOOKUP(Jnl[[#This Row],[Vehicle]],config_vehicle[Id], config_vehicle[Name],,0)</f>
        <v>小月号</v>
      </c>
      <c r="S822" t="str">
        <f>_xlfn.XLOOKUP(Jnl[[#This Row],[Division]],config_div[Id], config_div[Name],,0)</f>
        <v>明月村</v>
      </c>
      <c r="T822" t="str">
        <f>IF(Jnl[[#This Row],[TrxDate]]&lt;=stmt_BS_date_end, "In", "Out")</f>
        <v>In</v>
      </c>
      <c r="U822" t="str">
        <f>IF(Jnl[[#This Row],[TrxDate]]&lt;debug_date_start, "prior", IF(Jnl[[#This Row],[TrxDate]]&gt;debug_date_end, "post", "curr"))</f>
        <v>prior</v>
      </c>
    </row>
    <row r="823" spans="1:21">
      <c r="A823" s="11" t="s">
        <v>1241</v>
      </c>
      <c r="B823" s="7">
        <f>_xlfn.XLOOKUP(Jnl[[#This Row],[TrxId]], Trx[Id], Trx[Date],,0)</f>
        <v>46053</v>
      </c>
      <c r="C823" s="7" t="str">
        <f>_xlfn.XLOOKUP(Jnl[[#This Row],[TrxId]], Trx[Id], Trx[Division],,0)</f>
        <v>MY</v>
      </c>
      <c r="D823" s="7" t="str">
        <f>_xlfn.XLOOKUP(Jnl[[#This Row],[TrxId]], Trx[Id], Trx[Action],,0)</f>
        <v>退款-客人</v>
      </c>
      <c r="E823" s="26" t="s">
        <v>87</v>
      </c>
      <c r="F823" s="11" t="s">
        <v>590</v>
      </c>
      <c r="G823" s="11" t="s">
        <v>903</v>
      </c>
      <c r="H823" s="72">
        <v>-900</v>
      </c>
      <c r="I823" s="5" t="b">
        <f>AND(Jnl[[#This Row],[TrxId]]&lt;&gt;"",Jnl[[#This Row],[Acct]]&lt;&gt;"",Jnl[[#This Row],[Item]]&lt;&gt;"",ISNUMBER(Jnl[[#This Row],[Bal]]))</f>
        <v>1</v>
      </c>
      <c r="J823" s="10">
        <f>IF(Jnl[[#This Row],[BSLv0]]="A",1,-1)*Jnl[[#This Row],[Bal]]</f>
        <v>-900</v>
      </c>
      <c r="K823" t="str">
        <f>_xlfn.XLOOKUP(Jnl[[#This Row],[Acct]], config_BS[Acct], config_BS[Lv0],,0)</f>
        <v>A</v>
      </c>
      <c r="L823" t="str">
        <f>_xlfn.XLOOKUP(Jnl[[#This Row],[Acct]], config_BS[Acct], config_BS[Lv1],,0)</f>
        <v>Assets</v>
      </c>
      <c r="M823" t="str">
        <f>_xlfn.XLOOKUP(Jnl[[#This Row],[Acct]], config_BS[Acct], config_BS[Lv2],,0)</f>
        <v>Cash alike</v>
      </c>
      <c r="N823" t="str">
        <f>_xlfn.XLOOKUP(Jnl[[#This Row],[TrxId]], Trx[Id], Trx[IncNode], ,0)</f>
        <v>Revenue</v>
      </c>
      <c r="O823" t="str">
        <f>_xlfn.XLOOKUP(Jnl[[#This Row],[IncNode]], config_IS[Node], config_IS[Type],,0)</f>
        <v>Op</v>
      </c>
      <c r="P823" t="str">
        <f>_xlfn.XLOOKUP(Jnl[[#This Row],[BSLv2]], dict[Key], dict[Name],,0)</f>
        <v>0.现金及类似</v>
      </c>
      <c r="Q823" t="str">
        <f>_xlfn.XLOOKUP(Jnl[[#This Row],[Acct]], dict[Key], dict[Name],,0)</f>
        <v>银行</v>
      </c>
      <c r="R823" t="str">
        <f>_xlfn.XLOOKUP(Jnl[[#This Row],[Vehicle]],config_vehicle[Id], config_vehicle[Name],,0)</f>
        <v>小月号</v>
      </c>
      <c r="S823" t="str">
        <f>_xlfn.XLOOKUP(Jnl[[#This Row],[Division]],config_div[Id], config_div[Name],,0)</f>
        <v>明月村</v>
      </c>
      <c r="T823" t="str">
        <f>IF(Jnl[[#This Row],[TrxDate]]&lt;=stmt_BS_date_end, "In", "Out")</f>
        <v>In</v>
      </c>
      <c r="U823" t="str">
        <f>IF(Jnl[[#This Row],[TrxDate]]&lt;debug_date_start, "prior", IF(Jnl[[#This Row],[TrxDate]]&gt;debug_date_end, "post", "curr"))</f>
        <v>prior</v>
      </c>
    </row>
    <row r="824" spans="1:21">
      <c r="A824" s="11" t="s">
        <v>1241</v>
      </c>
      <c r="B824" s="7">
        <f>_xlfn.XLOOKUP(Jnl[[#This Row],[TrxId]], Trx[Id], Trx[Date],,0)</f>
        <v>46053</v>
      </c>
      <c r="C824" s="7" t="str">
        <f>_xlfn.XLOOKUP(Jnl[[#This Row],[TrxId]], Trx[Id], Trx[Division],,0)</f>
        <v>MY</v>
      </c>
      <c r="D824" s="7" t="str">
        <f>_xlfn.XLOOKUP(Jnl[[#This Row],[TrxId]], Trx[Id], Trx[Action],,0)</f>
        <v>退款-客人</v>
      </c>
      <c r="E824" s="26" t="s">
        <v>83</v>
      </c>
      <c r="F824" s="11" t="s">
        <v>593</v>
      </c>
      <c r="G824" s="11" t="s">
        <v>942</v>
      </c>
      <c r="H824" s="72">
        <f>-H823</f>
        <v>900</v>
      </c>
      <c r="I824" s="5" t="b">
        <f>AND(Jnl[[#This Row],[TrxId]]&lt;&gt;"",Jnl[[#This Row],[Acct]]&lt;&gt;"",Jnl[[#This Row],[Item]]&lt;&gt;"",ISNUMBER(Jnl[[#This Row],[Bal]]))</f>
        <v>1</v>
      </c>
      <c r="J824" s="10">
        <f>IF(Jnl[[#This Row],[BSLv0]]="A",1,-1)*Jnl[[#This Row],[Bal]]</f>
        <v>900</v>
      </c>
      <c r="K824" t="str">
        <f>_xlfn.XLOOKUP(Jnl[[#This Row],[Acct]], config_BS[Acct], config_BS[Lv0],,0)</f>
        <v>A</v>
      </c>
      <c r="L824" t="str">
        <f>_xlfn.XLOOKUP(Jnl[[#This Row],[Acct]], config_BS[Acct], config_BS[Lv1],,0)</f>
        <v>Assets</v>
      </c>
      <c r="M824" t="str">
        <f>_xlfn.XLOOKUP(Jnl[[#This Row],[Acct]], config_BS[Acct], config_BS[Lv2],,0)</f>
        <v>Rec-Pay</v>
      </c>
      <c r="N824" t="str">
        <f>_xlfn.XLOOKUP(Jnl[[#This Row],[TrxId]], Trx[Id], Trx[IncNode], ,0)</f>
        <v>Revenue</v>
      </c>
      <c r="O824" t="str">
        <f>_xlfn.XLOOKUP(Jnl[[#This Row],[IncNode]], config_IS[Node], config_IS[Type],,0)</f>
        <v>Op</v>
      </c>
      <c r="P824" t="str">
        <f>_xlfn.XLOOKUP(Jnl[[#This Row],[BSLv2]], dict[Key], dict[Name],,0)</f>
        <v>1.应收-应付</v>
      </c>
      <c r="Q824" t="str">
        <f>_xlfn.XLOOKUP(Jnl[[#This Row],[Acct]], dict[Key], dict[Name],,0)</f>
        <v>应收-一般</v>
      </c>
      <c r="R824" t="str">
        <f>_xlfn.XLOOKUP(Jnl[[#This Row],[Vehicle]],config_vehicle[Id], config_vehicle[Name],,0)</f>
        <v>远家文化</v>
      </c>
      <c r="S824" t="str">
        <f>_xlfn.XLOOKUP(Jnl[[#This Row],[Division]],config_div[Id], config_div[Name],,0)</f>
        <v>明月村</v>
      </c>
      <c r="T824" t="str">
        <f>IF(Jnl[[#This Row],[TrxDate]]&lt;=stmt_BS_date_end, "In", "Out")</f>
        <v>In</v>
      </c>
      <c r="U824" t="str">
        <f>IF(Jnl[[#This Row],[TrxDate]]&lt;debug_date_start, "prior", IF(Jnl[[#This Row],[TrxDate]]&gt;debug_date_end, "post", "curr"))</f>
        <v>prior</v>
      </c>
    </row>
    <row r="825" spans="1:21">
      <c r="A825" s="11" t="s">
        <v>1242</v>
      </c>
      <c r="B825" s="7">
        <f>_xlfn.XLOOKUP(Jnl[[#This Row],[TrxId]], Trx[Id], Trx[Date],,0)</f>
        <v>46053</v>
      </c>
      <c r="C825" s="7" t="str">
        <f>_xlfn.XLOOKUP(Jnl[[#This Row],[TrxId]], Trx[Id], Trx[Division],,0)</f>
        <v>MY</v>
      </c>
      <c r="D825" s="7" t="str">
        <f>_xlfn.XLOOKUP(Jnl[[#This Row],[TrxId]], Trx[Id], Trx[Action],,0)</f>
        <v>课程</v>
      </c>
      <c r="E825" s="26" t="s">
        <v>87</v>
      </c>
      <c r="F825" s="11" t="s">
        <v>590</v>
      </c>
      <c r="G825" s="11" t="s">
        <v>903</v>
      </c>
      <c r="H825" s="72">
        <v>-164</v>
      </c>
      <c r="I825" s="5" t="b">
        <f>AND(Jnl[[#This Row],[TrxId]]&lt;&gt;"",Jnl[[#This Row],[Acct]]&lt;&gt;"",Jnl[[#This Row],[Item]]&lt;&gt;"",ISNUMBER(Jnl[[#This Row],[Bal]]))</f>
        <v>1</v>
      </c>
      <c r="J825" s="10">
        <f>IF(Jnl[[#This Row],[BSLv0]]="A",1,-1)*Jnl[[#This Row],[Bal]]</f>
        <v>-164</v>
      </c>
      <c r="K825" t="str">
        <f>_xlfn.XLOOKUP(Jnl[[#This Row],[Acct]], config_BS[Acct], config_BS[Lv0],,0)</f>
        <v>A</v>
      </c>
      <c r="L825" t="str">
        <f>_xlfn.XLOOKUP(Jnl[[#This Row],[Acct]], config_BS[Acct], config_BS[Lv1],,0)</f>
        <v>Assets</v>
      </c>
      <c r="M825" t="str">
        <f>_xlfn.XLOOKUP(Jnl[[#This Row],[Acct]], config_BS[Acct], config_BS[Lv2],,0)</f>
        <v>Cash alike</v>
      </c>
      <c r="N825" t="str">
        <f>_xlfn.XLOOKUP(Jnl[[#This Row],[TrxId]], Trx[Id], Trx[IncNode], ,0)</f>
        <v>Cost</v>
      </c>
      <c r="O825" t="str">
        <f>_xlfn.XLOOKUP(Jnl[[#This Row],[IncNode]], config_IS[Node], config_IS[Type],,0)</f>
        <v>Op</v>
      </c>
      <c r="P825" t="str">
        <f>_xlfn.XLOOKUP(Jnl[[#This Row],[BSLv2]], dict[Key], dict[Name],,0)</f>
        <v>0.现金及类似</v>
      </c>
      <c r="Q825" t="str">
        <f>_xlfn.XLOOKUP(Jnl[[#This Row],[Acct]], dict[Key], dict[Name],,0)</f>
        <v>银行</v>
      </c>
      <c r="R825" t="str">
        <f>_xlfn.XLOOKUP(Jnl[[#This Row],[Vehicle]],config_vehicle[Id], config_vehicle[Name],,0)</f>
        <v>小月号</v>
      </c>
      <c r="S825" t="str">
        <f>_xlfn.XLOOKUP(Jnl[[#This Row],[Division]],config_div[Id], config_div[Name],,0)</f>
        <v>明月村</v>
      </c>
      <c r="T825" t="str">
        <f>IF(Jnl[[#This Row],[TrxDate]]&lt;=stmt_BS_date_end, "In", "Out")</f>
        <v>In</v>
      </c>
      <c r="U825" t="str">
        <f>IF(Jnl[[#This Row],[TrxDate]]&lt;debug_date_start, "prior", IF(Jnl[[#This Row],[TrxDate]]&gt;debug_date_end, "post", "curr"))</f>
        <v>prior</v>
      </c>
    </row>
    <row r="826" spans="1:21">
      <c r="A826" s="11" t="s">
        <v>1243</v>
      </c>
      <c r="B826" s="7">
        <f>_xlfn.XLOOKUP(Jnl[[#This Row],[TrxId]], Trx[Id], Trx[Date],,0)</f>
        <v>46053</v>
      </c>
      <c r="C826" s="7" t="str">
        <f>_xlfn.XLOOKUP(Jnl[[#This Row],[TrxId]], Trx[Id], Trx[Division],,0)</f>
        <v>MY</v>
      </c>
      <c r="D826" s="7" t="str">
        <f>_xlfn.XLOOKUP(Jnl[[#This Row],[TrxId]], Trx[Id], Trx[Action],,0)</f>
        <v>退款-客人</v>
      </c>
      <c r="E826" s="26" t="s">
        <v>87</v>
      </c>
      <c r="F826" s="11" t="s">
        <v>590</v>
      </c>
      <c r="G826" s="11" t="s">
        <v>903</v>
      </c>
      <c r="H826" s="72">
        <v>-278</v>
      </c>
      <c r="I826" s="5" t="b">
        <f>AND(Jnl[[#This Row],[TrxId]]&lt;&gt;"",Jnl[[#This Row],[Acct]]&lt;&gt;"",Jnl[[#This Row],[Item]]&lt;&gt;"",ISNUMBER(Jnl[[#This Row],[Bal]]))</f>
        <v>1</v>
      </c>
      <c r="J826" s="10">
        <f>IF(Jnl[[#This Row],[BSLv0]]="A",1,-1)*Jnl[[#This Row],[Bal]]</f>
        <v>-278</v>
      </c>
      <c r="K826" t="str">
        <f>_xlfn.XLOOKUP(Jnl[[#This Row],[Acct]], config_BS[Acct], config_BS[Lv0],,0)</f>
        <v>A</v>
      </c>
      <c r="L826" t="str">
        <f>_xlfn.XLOOKUP(Jnl[[#This Row],[Acct]], config_BS[Acct], config_BS[Lv1],,0)</f>
        <v>Assets</v>
      </c>
      <c r="M826" t="str">
        <f>_xlfn.XLOOKUP(Jnl[[#This Row],[Acct]], config_BS[Acct], config_BS[Lv2],,0)</f>
        <v>Cash alike</v>
      </c>
      <c r="N826" t="str">
        <f>_xlfn.XLOOKUP(Jnl[[#This Row],[TrxId]], Trx[Id], Trx[IncNode], ,0)</f>
        <v>Revenue</v>
      </c>
      <c r="O826" t="str">
        <f>_xlfn.XLOOKUP(Jnl[[#This Row],[IncNode]], config_IS[Node], config_IS[Type],,0)</f>
        <v>Op</v>
      </c>
      <c r="P826" t="str">
        <f>_xlfn.XLOOKUP(Jnl[[#This Row],[BSLv2]], dict[Key], dict[Name],,0)</f>
        <v>0.现金及类似</v>
      </c>
      <c r="Q826" t="str">
        <f>_xlfn.XLOOKUP(Jnl[[#This Row],[Acct]], dict[Key], dict[Name],,0)</f>
        <v>银行</v>
      </c>
      <c r="R826" t="str">
        <f>_xlfn.XLOOKUP(Jnl[[#This Row],[Vehicle]],config_vehicle[Id], config_vehicle[Name],,0)</f>
        <v>小月号</v>
      </c>
      <c r="S826" t="str">
        <f>_xlfn.XLOOKUP(Jnl[[#This Row],[Division]],config_div[Id], config_div[Name],,0)</f>
        <v>明月村</v>
      </c>
      <c r="T826" t="str">
        <f>IF(Jnl[[#This Row],[TrxDate]]&lt;=stmt_BS_date_end, "In", "Out")</f>
        <v>In</v>
      </c>
      <c r="U826" t="str">
        <f>IF(Jnl[[#This Row],[TrxDate]]&lt;debug_date_start, "prior", IF(Jnl[[#This Row],[TrxDate]]&gt;debug_date_end, "post", "curr"))</f>
        <v>prior</v>
      </c>
    </row>
    <row r="827" spans="1:21">
      <c r="A827" s="11" t="s">
        <v>1243</v>
      </c>
      <c r="B827" s="7">
        <f>_xlfn.XLOOKUP(Jnl[[#This Row],[TrxId]], Trx[Id], Trx[Date],,0)</f>
        <v>46053</v>
      </c>
      <c r="C827" s="7" t="str">
        <f>_xlfn.XLOOKUP(Jnl[[#This Row],[TrxId]], Trx[Id], Trx[Division],,0)</f>
        <v>MY</v>
      </c>
      <c r="D827" s="7" t="str">
        <f>_xlfn.XLOOKUP(Jnl[[#This Row],[TrxId]], Trx[Id], Trx[Action],,0)</f>
        <v>退款-客人</v>
      </c>
      <c r="E827" s="26" t="s">
        <v>83</v>
      </c>
      <c r="F827" s="11" t="s">
        <v>593</v>
      </c>
      <c r="G827" s="11" t="s">
        <v>1001</v>
      </c>
      <c r="H827" s="72">
        <f>-H826</f>
        <v>278</v>
      </c>
      <c r="I827" s="5" t="b">
        <f>AND(Jnl[[#This Row],[TrxId]]&lt;&gt;"",Jnl[[#This Row],[Acct]]&lt;&gt;"",Jnl[[#This Row],[Item]]&lt;&gt;"",ISNUMBER(Jnl[[#This Row],[Bal]]))</f>
        <v>1</v>
      </c>
      <c r="J827" s="10">
        <f>IF(Jnl[[#This Row],[BSLv0]]="A",1,-1)*Jnl[[#This Row],[Bal]]</f>
        <v>278</v>
      </c>
      <c r="K827" t="str">
        <f>_xlfn.XLOOKUP(Jnl[[#This Row],[Acct]], config_BS[Acct], config_BS[Lv0],,0)</f>
        <v>A</v>
      </c>
      <c r="L827" t="str">
        <f>_xlfn.XLOOKUP(Jnl[[#This Row],[Acct]], config_BS[Acct], config_BS[Lv1],,0)</f>
        <v>Assets</v>
      </c>
      <c r="M827" t="str">
        <f>_xlfn.XLOOKUP(Jnl[[#This Row],[Acct]], config_BS[Acct], config_BS[Lv2],,0)</f>
        <v>Rec-Pay</v>
      </c>
      <c r="N827" t="str">
        <f>_xlfn.XLOOKUP(Jnl[[#This Row],[TrxId]], Trx[Id], Trx[IncNode], ,0)</f>
        <v>Revenue</v>
      </c>
      <c r="O827" t="str">
        <f>_xlfn.XLOOKUP(Jnl[[#This Row],[IncNode]], config_IS[Node], config_IS[Type],,0)</f>
        <v>Op</v>
      </c>
      <c r="P827" t="str">
        <f>_xlfn.XLOOKUP(Jnl[[#This Row],[BSLv2]], dict[Key], dict[Name],,0)</f>
        <v>1.应收-应付</v>
      </c>
      <c r="Q827" t="str">
        <f>_xlfn.XLOOKUP(Jnl[[#This Row],[Acct]], dict[Key], dict[Name],,0)</f>
        <v>应收-一般</v>
      </c>
      <c r="R827" t="str">
        <f>_xlfn.XLOOKUP(Jnl[[#This Row],[Vehicle]],config_vehicle[Id], config_vehicle[Name],,0)</f>
        <v>远家文化</v>
      </c>
      <c r="S827" t="str">
        <f>_xlfn.XLOOKUP(Jnl[[#This Row],[Division]],config_div[Id], config_div[Name],,0)</f>
        <v>明月村</v>
      </c>
      <c r="T827" t="str">
        <f>IF(Jnl[[#This Row],[TrxDate]]&lt;=stmt_BS_date_end, "In", "Out")</f>
        <v>In</v>
      </c>
      <c r="U827" t="str">
        <f>IF(Jnl[[#This Row],[TrxDate]]&lt;debug_date_start, "prior", IF(Jnl[[#This Row],[TrxDate]]&gt;debug_date_end, "post", "curr"))</f>
        <v>prior</v>
      </c>
    </row>
    <row r="828" spans="1:21">
      <c r="A828" s="11" t="s">
        <v>1244</v>
      </c>
      <c r="B828" s="7">
        <f>_xlfn.XLOOKUP(Jnl[[#This Row],[TrxId]], Trx[Id], Trx[Date],,0)</f>
        <v>46053</v>
      </c>
      <c r="C828" s="7" t="str">
        <f>_xlfn.XLOOKUP(Jnl[[#This Row],[TrxId]], Trx[Id], Trx[Division],,0)</f>
        <v>GM</v>
      </c>
      <c r="D828" s="7" t="str">
        <f>_xlfn.XLOOKUP(Jnl[[#This Row],[TrxId]], Trx[Id], Trx[Action],,0)</f>
        <v>招待</v>
      </c>
      <c r="E828" s="26" t="s">
        <v>87</v>
      </c>
      <c r="F828" s="11" t="s">
        <v>590</v>
      </c>
      <c r="G828" s="11" t="s">
        <v>903</v>
      </c>
      <c r="H828" s="72">
        <v>-400</v>
      </c>
      <c r="I828" s="5" t="b">
        <f>AND(Jnl[[#This Row],[TrxId]]&lt;&gt;"",Jnl[[#This Row],[Acct]]&lt;&gt;"",Jnl[[#This Row],[Item]]&lt;&gt;"",ISNUMBER(Jnl[[#This Row],[Bal]]))</f>
        <v>1</v>
      </c>
      <c r="J828" s="10">
        <f>IF(Jnl[[#This Row],[BSLv0]]="A",1,-1)*Jnl[[#This Row],[Bal]]</f>
        <v>-400</v>
      </c>
      <c r="K828" t="str">
        <f>_xlfn.XLOOKUP(Jnl[[#This Row],[Acct]], config_BS[Acct], config_BS[Lv0],,0)</f>
        <v>A</v>
      </c>
      <c r="L828" t="str">
        <f>_xlfn.XLOOKUP(Jnl[[#This Row],[Acct]], config_BS[Acct], config_BS[Lv1],,0)</f>
        <v>Assets</v>
      </c>
      <c r="M828" t="str">
        <f>_xlfn.XLOOKUP(Jnl[[#This Row],[Acct]], config_BS[Acct], config_BS[Lv2],,0)</f>
        <v>Cash alike</v>
      </c>
      <c r="N828" t="str">
        <f>_xlfn.XLOOKUP(Jnl[[#This Row],[TrxId]], Trx[Id], Trx[IncNode], ,0)</f>
        <v>Expense</v>
      </c>
      <c r="O828" t="str">
        <f>_xlfn.XLOOKUP(Jnl[[#This Row],[IncNode]], config_IS[Node], config_IS[Type],,0)</f>
        <v>Op</v>
      </c>
      <c r="P828" t="str">
        <f>_xlfn.XLOOKUP(Jnl[[#This Row],[BSLv2]], dict[Key], dict[Name],,0)</f>
        <v>0.现金及类似</v>
      </c>
      <c r="Q828" t="str">
        <f>_xlfn.XLOOKUP(Jnl[[#This Row],[Acct]], dict[Key], dict[Name],,0)</f>
        <v>银行</v>
      </c>
      <c r="R828" t="str">
        <f>_xlfn.XLOOKUP(Jnl[[#This Row],[Vehicle]],config_vehicle[Id], config_vehicle[Name],,0)</f>
        <v>小月号</v>
      </c>
      <c r="S828" t="str">
        <f>_xlfn.XLOOKUP(Jnl[[#This Row],[Division]],config_div[Id], config_div[Name],,0)</f>
        <v>综合管理</v>
      </c>
      <c r="T828" t="str">
        <f>IF(Jnl[[#This Row],[TrxDate]]&lt;=stmt_BS_date_end, "In", "Out")</f>
        <v>In</v>
      </c>
      <c r="U828" t="str">
        <f>IF(Jnl[[#This Row],[TrxDate]]&lt;debug_date_start, "prior", IF(Jnl[[#This Row],[TrxDate]]&gt;debug_date_end, "post", "curr"))</f>
        <v>prior</v>
      </c>
    </row>
    <row r="829" spans="1:21">
      <c r="A829" s="11" t="s">
        <v>1245</v>
      </c>
      <c r="B829" s="7">
        <f>_xlfn.XLOOKUP(Jnl[[#This Row],[TrxId]], Trx[Id], Trx[Date],,0)</f>
        <v>46053</v>
      </c>
      <c r="C829" s="7" t="str">
        <f>_xlfn.XLOOKUP(Jnl[[#This Row],[TrxId]], Trx[Id], Trx[Division],,0)</f>
        <v>MY</v>
      </c>
      <c r="D829" s="7" t="str">
        <f>_xlfn.XLOOKUP(Jnl[[#This Row],[TrxId]], Trx[Id], Trx[Action],,0)</f>
        <v>收款</v>
      </c>
      <c r="E829" s="26" t="s">
        <v>87</v>
      </c>
      <c r="F829" s="11" t="s">
        <v>590</v>
      </c>
      <c r="G829" s="11" t="s">
        <v>903</v>
      </c>
      <c r="H829" s="72">
        <v>5000</v>
      </c>
      <c r="I829" s="5" t="b">
        <f>AND(Jnl[[#This Row],[TrxId]]&lt;&gt;"",Jnl[[#This Row],[Acct]]&lt;&gt;"",Jnl[[#This Row],[Item]]&lt;&gt;"",ISNUMBER(Jnl[[#This Row],[Bal]]))</f>
        <v>1</v>
      </c>
      <c r="J829" s="10">
        <f>IF(Jnl[[#This Row],[BSLv0]]="A",1,-1)*Jnl[[#This Row],[Bal]]</f>
        <v>5000</v>
      </c>
      <c r="K829" t="str">
        <f>_xlfn.XLOOKUP(Jnl[[#This Row],[Acct]], config_BS[Acct], config_BS[Lv0],,0)</f>
        <v>A</v>
      </c>
      <c r="L829" t="str">
        <f>_xlfn.XLOOKUP(Jnl[[#This Row],[Acct]], config_BS[Acct], config_BS[Lv1],,0)</f>
        <v>Assets</v>
      </c>
      <c r="M829" t="str">
        <f>_xlfn.XLOOKUP(Jnl[[#This Row],[Acct]], config_BS[Acct], config_BS[Lv2],,0)</f>
        <v>Cash alike</v>
      </c>
      <c r="N829" t="str">
        <f>_xlfn.XLOOKUP(Jnl[[#This Row],[TrxId]], Trx[Id], Trx[IncNode], ,0)</f>
        <v>Revenue</v>
      </c>
      <c r="O829" t="str">
        <f>_xlfn.XLOOKUP(Jnl[[#This Row],[IncNode]], config_IS[Node], config_IS[Type],,0)</f>
        <v>Op</v>
      </c>
      <c r="P829" t="str">
        <f>_xlfn.XLOOKUP(Jnl[[#This Row],[BSLv2]], dict[Key], dict[Name],,0)</f>
        <v>0.现金及类似</v>
      </c>
      <c r="Q829" t="str">
        <f>_xlfn.XLOOKUP(Jnl[[#This Row],[Acct]], dict[Key], dict[Name],,0)</f>
        <v>银行</v>
      </c>
      <c r="R829" t="str">
        <f>_xlfn.XLOOKUP(Jnl[[#This Row],[Vehicle]],config_vehicle[Id], config_vehicle[Name],,0)</f>
        <v>小月号</v>
      </c>
      <c r="S829" t="str">
        <f>_xlfn.XLOOKUP(Jnl[[#This Row],[Division]],config_div[Id], config_div[Name],,0)</f>
        <v>明月村</v>
      </c>
      <c r="T829" t="str">
        <f>IF(Jnl[[#This Row],[TrxDate]]&lt;=stmt_BS_date_end, "In", "Out")</f>
        <v>In</v>
      </c>
      <c r="U829" t="str">
        <f>IF(Jnl[[#This Row],[TrxDate]]&lt;debug_date_start, "prior", IF(Jnl[[#This Row],[TrxDate]]&gt;debug_date_end, "post", "curr"))</f>
        <v>prior</v>
      </c>
    </row>
    <row r="830" spans="1:21">
      <c r="A830" s="11" t="s">
        <v>1245</v>
      </c>
      <c r="B830" s="7">
        <f>_xlfn.XLOOKUP(Jnl[[#This Row],[TrxId]], Trx[Id], Trx[Date],,0)</f>
        <v>46053</v>
      </c>
      <c r="C830" s="7" t="str">
        <f>_xlfn.XLOOKUP(Jnl[[#This Row],[TrxId]], Trx[Id], Trx[Division],,0)</f>
        <v>MY</v>
      </c>
      <c r="D830" s="7" t="str">
        <f>_xlfn.XLOOKUP(Jnl[[#This Row],[TrxId]], Trx[Id], Trx[Action],,0)</f>
        <v>收款</v>
      </c>
      <c r="E830" s="26" t="s">
        <v>83</v>
      </c>
      <c r="F830" s="11" t="s">
        <v>593</v>
      </c>
      <c r="G830" s="11" t="s">
        <v>1065</v>
      </c>
      <c r="H830" s="72">
        <f>-H829</f>
        <v>-5000</v>
      </c>
      <c r="I830" s="5" t="b">
        <f>AND(Jnl[[#This Row],[TrxId]]&lt;&gt;"",Jnl[[#This Row],[Acct]]&lt;&gt;"",Jnl[[#This Row],[Item]]&lt;&gt;"",ISNUMBER(Jnl[[#This Row],[Bal]]))</f>
        <v>1</v>
      </c>
      <c r="J830" s="10">
        <f>IF(Jnl[[#This Row],[BSLv0]]="A",1,-1)*Jnl[[#This Row],[Bal]]</f>
        <v>-5000</v>
      </c>
      <c r="K830" t="str">
        <f>_xlfn.XLOOKUP(Jnl[[#This Row],[Acct]], config_BS[Acct], config_BS[Lv0],,0)</f>
        <v>A</v>
      </c>
      <c r="L830" t="str">
        <f>_xlfn.XLOOKUP(Jnl[[#This Row],[Acct]], config_BS[Acct], config_BS[Lv1],,0)</f>
        <v>Assets</v>
      </c>
      <c r="M830" t="str">
        <f>_xlfn.XLOOKUP(Jnl[[#This Row],[Acct]], config_BS[Acct], config_BS[Lv2],,0)</f>
        <v>Rec-Pay</v>
      </c>
      <c r="N830" t="str">
        <f>_xlfn.XLOOKUP(Jnl[[#This Row],[TrxId]], Trx[Id], Trx[IncNode], ,0)</f>
        <v>Revenue</v>
      </c>
      <c r="O830" t="str">
        <f>_xlfn.XLOOKUP(Jnl[[#This Row],[IncNode]], config_IS[Node], config_IS[Type],,0)</f>
        <v>Op</v>
      </c>
      <c r="P830" t="str">
        <f>_xlfn.XLOOKUP(Jnl[[#This Row],[BSLv2]], dict[Key], dict[Name],,0)</f>
        <v>1.应收-应付</v>
      </c>
      <c r="Q830" t="str">
        <f>_xlfn.XLOOKUP(Jnl[[#This Row],[Acct]], dict[Key], dict[Name],,0)</f>
        <v>应收-一般</v>
      </c>
      <c r="R830" t="str">
        <f>_xlfn.XLOOKUP(Jnl[[#This Row],[Vehicle]],config_vehicle[Id], config_vehicle[Name],,0)</f>
        <v>远家文化</v>
      </c>
      <c r="S830" t="str">
        <f>_xlfn.XLOOKUP(Jnl[[#This Row],[Division]],config_div[Id], config_div[Name],,0)</f>
        <v>明月村</v>
      </c>
      <c r="T830" t="str">
        <f>IF(Jnl[[#This Row],[TrxDate]]&lt;=stmt_BS_date_end, "In", "Out")</f>
        <v>In</v>
      </c>
      <c r="U830" t="str">
        <f>IF(Jnl[[#This Row],[TrxDate]]&lt;debug_date_start, "prior", IF(Jnl[[#This Row],[TrxDate]]&gt;debug_date_end, "post", "curr"))</f>
        <v>prior</v>
      </c>
    </row>
    <row r="831" spans="1:21">
      <c r="A831" s="11" t="s">
        <v>1246</v>
      </c>
      <c r="B831" s="7">
        <f>_xlfn.XLOOKUP(Jnl[[#This Row],[TrxId]], Trx[Id], Trx[Date],,0)</f>
        <v>46053</v>
      </c>
      <c r="C831" s="7" t="str">
        <f>_xlfn.XLOOKUP(Jnl[[#This Row],[TrxId]], Trx[Id], Trx[Division],,0)</f>
        <v>MY</v>
      </c>
      <c r="D831" s="7" t="str">
        <f>_xlfn.XLOOKUP(Jnl[[#This Row],[TrxId]], Trx[Id], Trx[Action],,0)</f>
        <v>食材</v>
      </c>
      <c r="E831" s="26" t="s">
        <v>87</v>
      </c>
      <c r="F831" s="11" t="s">
        <v>590</v>
      </c>
      <c r="G831" s="11" t="s">
        <v>903</v>
      </c>
      <c r="H831" s="72">
        <v>-7110</v>
      </c>
      <c r="I831" s="5" t="b">
        <f>AND(Jnl[[#This Row],[TrxId]]&lt;&gt;"",Jnl[[#This Row],[Acct]]&lt;&gt;"",Jnl[[#This Row],[Item]]&lt;&gt;"",ISNUMBER(Jnl[[#This Row],[Bal]]))</f>
        <v>1</v>
      </c>
      <c r="J831" s="10">
        <f>IF(Jnl[[#This Row],[BSLv0]]="A",1,-1)*Jnl[[#This Row],[Bal]]</f>
        <v>-7110</v>
      </c>
      <c r="K831" t="str">
        <f>_xlfn.XLOOKUP(Jnl[[#This Row],[Acct]], config_BS[Acct], config_BS[Lv0],,0)</f>
        <v>A</v>
      </c>
      <c r="L831" t="str">
        <f>_xlfn.XLOOKUP(Jnl[[#This Row],[Acct]], config_BS[Acct], config_BS[Lv1],,0)</f>
        <v>Assets</v>
      </c>
      <c r="M831" t="str">
        <f>_xlfn.XLOOKUP(Jnl[[#This Row],[Acct]], config_BS[Acct], config_BS[Lv2],,0)</f>
        <v>Cash alike</v>
      </c>
      <c r="N831" t="str">
        <f>_xlfn.XLOOKUP(Jnl[[#This Row],[TrxId]], Trx[Id], Trx[IncNode], ,0)</f>
        <v>Cost</v>
      </c>
      <c r="O831" t="str">
        <f>_xlfn.XLOOKUP(Jnl[[#This Row],[IncNode]], config_IS[Node], config_IS[Type],,0)</f>
        <v>Op</v>
      </c>
      <c r="P831" t="str">
        <f>_xlfn.XLOOKUP(Jnl[[#This Row],[BSLv2]], dict[Key], dict[Name],,0)</f>
        <v>0.现金及类似</v>
      </c>
      <c r="Q831" t="str">
        <f>_xlfn.XLOOKUP(Jnl[[#This Row],[Acct]], dict[Key], dict[Name],,0)</f>
        <v>银行</v>
      </c>
      <c r="R831" t="str">
        <f>_xlfn.XLOOKUP(Jnl[[#This Row],[Vehicle]],config_vehicle[Id], config_vehicle[Name],,0)</f>
        <v>小月号</v>
      </c>
      <c r="S831" t="str">
        <f>_xlfn.XLOOKUP(Jnl[[#This Row],[Division]],config_div[Id], config_div[Name],,0)</f>
        <v>明月村</v>
      </c>
      <c r="T831" t="str">
        <f>IF(Jnl[[#This Row],[TrxDate]]&lt;=stmt_BS_date_end, "In", "Out")</f>
        <v>In</v>
      </c>
      <c r="U831" t="str">
        <f>IF(Jnl[[#This Row],[TrxDate]]&lt;debug_date_start, "prior", IF(Jnl[[#This Row],[TrxDate]]&gt;debug_date_end, "post", "curr"))</f>
        <v>prior</v>
      </c>
    </row>
    <row r="832" spans="1:21">
      <c r="A832" s="11" t="s">
        <v>1247</v>
      </c>
      <c r="B832" s="7">
        <f>_xlfn.XLOOKUP(Jnl[[#This Row],[TrxId]], Trx[Id], Trx[Date],,0)</f>
        <v>46053</v>
      </c>
      <c r="C832" s="7" t="str">
        <f>_xlfn.XLOOKUP(Jnl[[#This Row],[TrxId]], Trx[Id], Trx[Division],,0)</f>
        <v>MY</v>
      </c>
      <c r="D832" s="7" t="str">
        <f>_xlfn.XLOOKUP(Jnl[[#This Row],[TrxId]], Trx[Id], Trx[Action],,0)</f>
        <v>交通</v>
      </c>
      <c r="E832" s="26" t="s">
        <v>87</v>
      </c>
      <c r="F832" s="11" t="s">
        <v>590</v>
      </c>
      <c r="G832" s="11" t="s">
        <v>903</v>
      </c>
      <c r="H832" s="72">
        <v>-453.9</v>
      </c>
      <c r="I832" s="5" t="b">
        <f>AND(Jnl[[#This Row],[TrxId]]&lt;&gt;"",Jnl[[#This Row],[Acct]]&lt;&gt;"",Jnl[[#This Row],[Item]]&lt;&gt;"",ISNUMBER(Jnl[[#This Row],[Bal]]))</f>
        <v>1</v>
      </c>
      <c r="J832" s="10">
        <f>IF(Jnl[[#This Row],[BSLv0]]="A",1,-1)*Jnl[[#This Row],[Bal]]</f>
        <v>-453.9</v>
      </c>
      <c r="K832" t="str">
        <f>_xlfn.XLOOKUP(Jnl[[#This Row],[Acct]], config_BS[Acct], config_BS[Lv0],,0)</f>
        <v>A</v>
      </c>
      <c r="L832" t="str">
        <f>_xlfn.XLOOKUP(Jnl[[#This Row],[Acct]], config_BS[Acct], config_BS[Lv1],,0)</f>
        <v>Assets</v>
      </c>
      <c r="M832" t="str">
        <f>_xlfn.XLOOKUP(Jnl[[#This Row],[Acct]], config_BS[Acct], config_BS[Lv2],,0)</f>
        <v>Cash alike</v>
      </c>
      <c r="N832" t="str">
        <f>_xlfn.XLOOKUP(Jnl[[#This Row],[TrxId]], Trx[Id], Trx[IncNode], ,0)</f>
        <v>Expense</v>
      </c>
      <c r="O832" t="str">
        <f>_xlfn.XLOOKUP(Jnl[[#This Row],[IncNode]], config_IS[Node], config_IS[Type],,0)</f>
        <v>Op</v>
      </c>
      <c r="P832" t="str">
        <f>_xlfn.XLOOKUP(Jnl[[#This Row],[BSLv2]], dict[Key], dict[Name],,0)</f>
        <v>0.现金及类似</v>
      </c>
      <c r="Q832" t="str">
        <f>_xlfn.XLOOKUP(Jnl[[#This Row],[Acct]], dict[Key], dict[Name],,0)</f>
        <v>银行</v>
      </c>
      <c r="R832" t="str">
        <f>_xlfn.XLOOKUP(Jnl[[#This Row],[Vehicle]],config_vehicle[Id], config_vehicle[Name],,0)</f>
        <v>小月号</v>
      </c>
      <c r="S832" t="str">
        <f>_xlfn.XLOOKUP(Jnl[[#This Row],[Division]],config_div[Id], config_div[Name],,0)</f>
        <v>明月村</v>
      </c>
      <c r="T832" t="str">
        <f>IF(Jnl[[#This Row],[TrxDate]]&lt;=stmt_BS_date_end, "In", "Out")</f>
        <v>In</v>
      </c>
      <c r="U832" t="str">
        <f>IF(Jnl[[#This Row],[TrxDate]]&lt;debug_date_start, "prior", IF(Jnl[[#This Row],[TrxDate]]&gt;debug_date_end, "post", "curr"))</f>
        <v>prior</v>
      </c>
    </row>
    <row r="833" spans="1:21">
      <c r="A833" s="11" t="s">
        <v>1248</v>
      </c>
      <c r="B833" s="7">
        <f>_xlfn.XLOOKUP(Jnl[[#This Row],[TrxId]], Trx[Id], Trx[Date],,0)</f>
        <v>46053</v>
      </c>
      <c r="C833" s="7" t="str">
        <f>_xlfn.XLOOKUP(Jnl[[#This Row],[TrxId]], Trx[Id], Trx[Division],,0)</f>
        <v>GM</v>
      </c>
      <c r="D833" s="7" t="str">
        <f>_xlfn.XLOOKUP(Jnl[[#This Row],[TrxId]], Trx[Id], Trx[Action],,0)</f>
        <v>招待</v>
      </c>
      <c r="E833" s="26" t="s">
        <v>87</v>
      </c>
      <c r="F833" s="11" t="s">
        <v>590</v>
      </c>
      <c r="G833" s="11" t="s">
        <v>903</v>
      </c>
      <c r="H833" s="72">
        <v>400</v>
      </c>
      <c r="I833" s="5" t="b">
        <f>AND(Jnl[[#This Row],[TrxId]]&lt;&gt;"",Jnl[[#This Row],[Acct]]&lt;&gt;"",Jnl[[#This Row],[Item]]&lt;&gt;"",ISNUMBER(Jnl[[#This Row],[Bal]]))</f>
        <v>1</v>
      </c>
      <c r="J833" s="10">
        <f>IF(Jnl[[#This Row],[BSLv0]]="A",1,-1)*Jnl[[#This Row],[Bal]]</f>
        <v>400</v>
      </c>
      <c r="K833" t="str">
        <f>_xlfn.XLOOKUP(Jnl[[#This Row],[Acct]], config_BS[Acct], config_BS[Lv0],,0)</f>
        <v>A</v>
      </c>
      <c r="L833" t="str">
        <f>_xlfn.XLOOKUP(Jnl[[#This Row],[Acct]], config_BS[Acct], config_BS[Lv1],,0)</f>
        <v>Assets</v>
      </c>
      <c r="M833" t="str">
        <f>_xlfn.XLOOKUP(Jnl[[#This Row],[Acct]], config_BS[Acct], config_BS[Lv2],,0)</f>
        <v>Cash alike</v>
      </c>
      <c r="N833" t="str">
        <f>_xlfn.XLOOKUP(Jnl[[#This Row],[TrxId]], Trx[Id], Trx[IncNode], ,0)</f>
        <v>Expense</v>
      </c>
      <c r="O833" t="str">
        <f>_xlfn.XLOOKUP(Jnl[[#This Row],[IncNode]], config_IS[Node], config_IS[Type],,0)</f>
        <v>Op</v>
      </c>
      <c r="P833" t="str">
        <f>_xlfn.XLOOKUP(Jnl[[#This Row],[BSLv2]], dict[Key], dict[Name],,0)</f>
        <v>0.现金及类似</v>
      </c>
      <c r="Q833" t="str">
        <f>_xlfn.XLOOKUP(Jnl[[#This Row],[Acct]], dict[Key], dict[Name],,0)</f>
        <v>银行</v>
      </c>
      <c r="R833" t="str">
        <f>_xlfn.XLOOKUP(Jnl[[#This Row],[Vehicle]],config_vehicle[Id], config_vehicle[Name],,0)</f>
        <v>小月号</v>
      </c>
      <c r="S833" t="str">
        <f>_xlfn.XLOOKUP(Jnl[[#This Row],[Division]],config_div[Id], config_div[Name],,0)</f>
        <v>综合管理</v>
      </c>
      <c r="T833" t="str">
        <f>IF(Jnl[[#This Row],[TrxDate]]&lt;=stmt_BS_date_end, "In", "Out")</f>
        <v>In</v>
      </c>
      <c r="U833" t="str">
        <f>IF(Jnl[[#This Row],[TrxDate]]&lt;debug_date_start, "prior", IF(Jnl[[#This Row],[TrxDate]]&gt;debug_date_end, "post", "curr"))</f>
        <v>prior</v>
      </c>
    </row>
    <row r="834" spans="1:21">
      <c r="A834" s="11" t="s">
        <v>1249</v>
      </c>
      <c r="B834" s="7">
        <f>_xlfn.XLOOKUP(Jnl[[#This Row],[TrxId]], Trx[Id], Trx[Date],,0)</f>
        <v>46053</v>
      </c>
      <c r="C834" s="7" t="str">
        <f>_xlfn.XLOOKUP(Jnl[[#This Row],[TrxId]], Trx[Id], Trx[Division],,0)</f>
        <v>MY</v>
      </c>
      <c r="D834" s="7" t="str">
        <f>_xlfn.XLOOKUP(Jnl[[#This Row],[TrxId]], Trx[Id], Trx[Action],,0)</f>
        <v>其他销售</v>
      </c>
      <c r="E834" s="26" t="s">
        <v>87</v>
      </c>
      <c r="F834" s="11" t="s">
        <v>590</v>
      </c>
      <c r="G834" s="11" t="s">
        <v>903</v>
      </c>
      <c r="H834" s="72">
        <v>5</v>
      </c>
      <c r="I834" s="5" t="b">
        <f>AND(Jnl[[#This Row],[TrxId]]&lt;&gt;"",Jnl[[#This Row],[Acct]]&lt;&gt;"",Jnl[[#This Row],[Item]]&lt;&gt;"",ISNUMBER(Jnl[[#This Row],[Bal]]))</f>
        <v>1</v>
      </c>
      <c r="J834" s="10">
        <f>IF(Jnl[[#This Row],[BSLv0]]="A",1,-1)*Jnl[[#This Row],[Bal]]</f>
        <v>5</v>
      </c>
      <c r="K834" t="str">
        <f>_xlfn.XLOOKUP(Jnl[[#This Row],[Acct]], config_BS[Acct], config_BS[Lv0],,0)</f>
        <v>A</v>
      </c>
      <c r="L834" t="str">
        <f>_xlfn.XLOOKUP(Jnl[[#This Row],[Acct]], config_BS[Acct], config_BS[Lv1],,0)</f>
        <v>Assets</v>
      </c>
      <c r="M834" t="str">
        <f>_xlfn.XLOOKUP(Jnl[[#This Row],[Acct]], config_BS[Acct], config_BS[Lv2],,0)</f>
        <v>Cash alike</v>
      </c>
      <c r="N834" t="str">
        <f>_xlfn.XLOOKUP(Jnl[[#This Row],[TrxId]], Trx[Id], Trx[IncNode], ,0)</f>
        <v>Revenue</v>
      </c>
      <c r="O834" t="str">
        <f>_xlfn.XLOOKUP(Jnl[[#This Row],[IncNode]], config_IS[Node], config_IS[Type],,0)</f>
        <v>Op</v>
      </c>
      <c r="P834" t="str">
        <f>_xlfn.XLOOKUP(Jnl[[#This Row],[BSLv2]], dict[Key], dict[Name],,0)</f>
        <v>0.现金及类似</v>
      </c>
      <c r="Q834" t="str">
        <f>_xlfn.XLOOKUP(Jnl[[#This Row],[Acct]], dict[Key], dict[Name],,0)</f>
        <v>银行</v>
      </c>
      <c r="R834" t="str">
        <f>_xlfn.XLOOKUP(Jnl[[#This Row],[Vehicle]],config_vehicle[Id], config_vehicle[Name],,0)</f>
        <v>小月号</v>
      </c>
      <c r="S834" t="str">
        <f>_xlfn.XLOOKUP(Jnl[[#This Row],[Division]],config_div[Id], config_div[Name],,0)</f>
        <v>明月村</v>
      </c>
      <c r="T834" t="str">
        <f>IF(Jnl[[#This Row],[TrxDate]]&lt;=stmt_BS_date_end, "In", "Out")</f>
        <v>In</v>
      </c>
      <c r="U834" t="str">
        <f>IF(Jnl[[#This Row],[TrxDate]]&lt;debug_date_start, "prior", IF(Jnl[[#This Row],[TrxDate]]&gt;debug_date_end, "post", "curr"))</f>
        <v>prior</v>
      </c>
    </row>
    <row r="835" spans="1:21">
      <c r="A835" s="11" t="s">
        <v>1250</v>
      </c>
      <c r="B835" s="7">
        <f>_xlfn.XLOOKUP(Jnl[[#This Row],[TrxId]], Trx[Id], Trx[Date],,0)</f>
        <v>46053</v>
      </c>
      <c r="C835" s="7" t="str">
        <f>_xlfn.XLOOKUP(Jnl[[#This Row],[TrxId]], Trx[Id], Trx[Division],,0)</f>
        <v>MY</v>
      </c>
      <c r="D835" s="7" t="str">
        <f>_xlfn.XLOOKUP(Jnl[[#This Row],[TrxId]], Trx[Id], Trx[Action],,0)</f>
        <v>交通</v>
      </c>
      <c r="E835" s="26" t="s">
        <v>87</v>
      </c>
      <c r="F835" s="11" t="s">
        <v>590</v>
      </c>
      <c r="G835" s="11" t="s">
        <v>903</v>
      </c>
      <c r="H835" s="72">
        <v>-145.5</v>
      </c>
      <c r="I835" s="5" t="b">
        <f>AND(Jnl[[#This Row],[TrxId]]&lt;&gt;"",Jnl[[#This Row],[Acct]]&lt;&gt;"",Jnl[[#This Row],[Item]]&lt;&gt;"",ISNUMBER(Jnl[[#This Row],[Bal]]))</f>
        <v>1</v>
      </c>
      <c r="J835" s="10">
        <f>IF(Jnl[[#This Row],[BSLv0]]="A",1,-1)*Jnl[[#This Row],[Bal]]</f>
        <v>-145.5</v>
      </c>
      <c r="K835" t="str">
        <f>_xlfn.XLOOKUP(Jnl[[#This Row],[Acct]], config_BS[Acct], config_BS[Lv0],,0)</f>
        <v>A</v>
      </c>
      <c r="L835" t="str">
        <f>_xlfn.XLOOKUP(Jnl[[#This Row],[Acct]], config_BS[Acct], config_BS[Lv1],,0)</f>
        <v>Assets</v>
      </c>
      <c r="M835" t="str">
        <f>_xlfn.XLOOKUP(Jnl[[#This Row],[Acct]], config_BS[Acct], config_BS[Lv2],,0)</f>
        <v>Cash alike</v>
      </c>
      <c r="N835" t="str">
        <f>_xlfn.XLOOKUP(Jnl[[#This Row],[TrxId]], Trx[Id], Trx[IncNode], ,0)</f>
        <v>Expense</v>
      </c>
      <c r="O835" t="str">
        <f>_xlfn.XLOOKUP(Jnl[[#This Row],[IncNode]], config_IS[Node], config_IS[Type],,0)</f>
        <v>Op</v>
      </c>
      <c r="P835" t="str">
        <f>_xlfn.XLOOKUP(Jnl[[#This Row],[BSLv2]], dict[Key], dict[Name],,0)</f>
        <v>0.现金及类似</v>
      </c>
      <c r="Q835" t="str">
        <f>_xlfn.XLOOKUP(Jnl[[#This Row],[Acct]], dict[Key], dict[Name],,0)</f>
        <v>银行</v>
      </c>
      <c r="R835" t="str">
        <f>_xlfn.XLOOKUP(Jnl[[#This Row],[Vehicle]],config_vehicle[Id], config_vehicle[Name],,0)</f>
        <v>小月号</v>
      </c>
      <c r="S835" t="str">
        <f>_xlfn.XLOOKUP(Jnl[[#This Row],[Division]],config_div[Id], config_div[Name],,0)</f>
        <v>明月村</v>
      </c>
      <c r="T835" t="str">
        <f>IF(Jnl[[#This Row],[TrxDate]]&lt;=stmt_BS_date_end, "In", "Out")</f>
        <v>In</v>
      </c>
      <c r="U835" t="str">
        <f>IF(Jnl[[#This Row],[TrxDate]]&lt;debug_date_start, "prior", IF(Jnl[[#This Row],[TrxDate]]&gt;debug_date_end, "post", "curr"))</f>
        <v>prior</v>
      </c>
    </row>
    <row r="836" spans="1:21">
      <c r="A836" s="11" t="s">
        <v>1251</v>
      </c>
      <c r="B836" s="7">
        <f>_xlfn.XLOOKUP(Jnl[[#This Row],[TrxId]], Trx[Id], Trx[Date],,0)</f>
        <v>46053</v>
      </c>
      <c r="C836" s="7" t="str">
        <f>_xlfn.XLOOKUP(Jnl[[#This Row],[TrxId]], Trx[Id], Trx[Division],,0)</f>
        <v>MY</v>
      </c>
      <c r="D836" s="7" t="str">
        <f>_xlfn.XLOOKUP(Jnl[[#This Row],[TrxId]], Trx[Id], Trx[Action],,0)</f>
        <v>其他材料</v>
      </c>
      <c r="E836" s="26" t="s">
        <v>87</v>
      </c>
      <c r="F836" s="11" t="s">
        <v>590</v>
      </c>
      <c r="G836" s="11" t="s">
        <v>903</v>
      </c>
      <c r="H836" s="72">
        <v>-90</v>
      </c>
      <c r="I836" s="5" t="b">
        <f>AND(Jnl[[#This Row],[TrxId]]&lt;&gt;"",Jnl[[#This Row],[Acct]]&lt;&gt;"",Jnl[[#This Row],[Item]]&lt;&gt;"",ISNUMBER(Jnl[[#This Row],[Bal]]))</f>
        <v>1</v>
      </c>
      <c r="J836" s="10">
        <f>IF(Jnl[[#This Row],[BSLv0]]="A",1,-1)*Jnl[[#This Row],[Bal]]</f>
        <v>-90</v>
      </c>
      <c r="K836" t="str">
        <f>_xlfn.XLOOKUP(Jnl[[#This Row],[Acct]], config_BS[Acct], config_BS[Lv0],,0)</f>
        <v>A</v>
      </c>
      <c r="L836" t="str">
        <f>_xlfn.XLOOKUP(Jnl[[#This Row],[Acct]], config_BS[Acct], config_BS[Lv1],,0)</f>
        <v>Assets</v>
      </c>
      <c r="M836" t="str">
        <f>_xlfn.XLOOKUP(Jnl[[#This Row],[Acct]], config_BS[Acct], config_BS[Lv2],,0)</f>
        <v>Cash alike</v>
      </c>
      <c r="N836" t="str">
        <f>_xlfn.XLOOKUP(Jnl[[#This Row],[TrxId]], Trx[Id], Trx[IncNode], ,0)</f>
        <v>Cost</v>
      </c>
      <c r="O836" t="str">
        <f>_xlfn.XLOOKUP(Jnl[[#This Row],[IncNode]], config_IS[Node], config_IS[Type],,0)</f>
        <v>Op</v>
      </c>
      <c r="P836" t="str">
        <f>_xlfn.XLOOKUP(Jnl[[#This Row],[BSLv2]], dict[Key], dict[Name],,0)</f>
        <v>0.现金及类似</v>
      </c>
      <c r="Q836" t="str">
        <f>_xlfn.XLOOKUP(Jnl[[#This Row],[Acct]], dict[Key], dict[Name],,0)</f>
        <v>银行</v>
      </c>
      <c r="R836" t="str">
        <f>_xlfn.XLOOKUP(Jnl[[#This Row],[Vehicle]],config_vehicle[Id], config_vehicle[Name],,0)</f>
        <v>小月号</v>
      </c>
      <c r="S836" t="str">
        <f>_xlfn.XLOOKUP(Jnl[[#This Row],[Division]],config_div[Id], config_div[Name],,0)</f>
        <v>明月村</v>
      </c>
      <c r="T836" t="str">
        <f>IF(Jnl[[#This Row],[TrxDate]]&lt;=stmt_BS_date_end, "In", "Out")</f>
        <v>In</v>
      </c>
      <c r="U836" t="str">
        <f>IF(Jnl[[#This Row],[TrxDate]]&lt;debug_date_start, "prior", IF(Jnl[[#This Row],[TrxDate]]&gt;debug_date_end, "post", "curr"))</f>
        <v>prior</v>
      </c>
    </row>
    <row r="837" spans="1:21">
      <c r="A837" s="11" t="s">
        <v>1252</v>
      </c>
      <c r="B837" s="7">
        <f>_xlfn.XLOOKUP(Jnl[[#This Row],[TrxId]], Trx[Id], Trx[Date],,0)</f>
        <v>46053</v>
      </c>
      <c r="C837" s="7" t="str">
        <f>_xlfn.XLOOKUP(Jnl[[#This Row],[TrxId]], Trx[Id], Trx[Division],,0)</f>
        <v>MY</v>
      </c>
      <c r="D837" s="7" t="str">
        <f>_xlfn.XLOOKUP(Jnl[[#This Row],[TrxId]], Trx[Id], Trx[Action],,0)</f>
        <v>收款</v>
      </c>
      <c r="E837" s="26" t="s">
        <v>87</v>
      </c>
      <c r="F837" s="11" t="s">
        <v>590</v>
      </c>
      <c r="G837" s="11" t="s">
        <v>903</v>
      </c>
      <c r="H837" s="72">
        <v>3720</v>
      </c>
      <c r="I837" s="5" t="b">
        <f>AND(Jnl[[#This Row],[TrxId]]&lt;&gt;"",Jnl[[#This Row],[Acct]]&lt;&gt;"",Jnl[[#This Row],[Item]]&lt;&gt;"",ISNUMBER(Jnl[[#This Row],[Bal]]))</f>
        <v>1</v>
      </c>
      <c r="J837" s="10">
        <f>IF(Jnl[[#This Row],[BSLv0]]="A",1,-1)*Jnl[[#This Row],[Bal]]</f>
        <v>3720</v>
      </c>
      <c r="K837" t="str">
        <f>_xlfn.XLOOKUP(Jnl[[#This Row],[Acct]], config_BS[Acct], config_BS[Lv0],,0)</f>
        <v>A</v>
      </c>
      <c r="L837" t="str">
        <f>_xlfn.XLOOKUP(Jnl[[#This Row],[Acct]], config_BS[Acct], config_BS[Lv1],,0)</f>
        <v>Assets</v>
      </c>
      <c r="M837" t="str">
        <f>_xlfn.XLOOKUP(Jnl[[#This Row],[Acct]], config_BS[Acct], config_BS[Lv2],,0)</f>
        <v>Cash alike</v>
      </c>
      <c r="N837" t="str">
        <f>_xlfn.XLOOKUP(Jnl[[#This Row],[TrxId]], Trx[Id], Trx[IncNode], ,0)</f>
        <v>Revenue</v>
      </c>
      <c r="O837" t="str">
        <f>_xlfn.XLOOKUP(Jnl[[#This Row],[IncNode]], config_IS[Node], config_IS[Type],,0)</f>
        <v>Op</v>
      </c>
      <c r="P837" t="str">
        <f>_xlfn.XLOOKUP(Jnl[[#This Row],[BSLv2]], dict[Key], dict[Name],,0)</f>
        <v>0.现金及类似</v>
      </c>
      <c r="Q837" t="str">
        <f>_xlfn.XLOOKUP(Jnl[[#This Row],[Acct]], dict[Key], dict[Name],,0)</f>
        <v>银行</v>
      </c>
      <c r="R837" t="str">
        <f>_xlfn.XLOOKUP(Jnl[[#This Row],[Vehicle]],config_vehicle[Id], config_vehicle[Name],,0)</f>
        <v>小月号</v>
      </c>
      <c r="S837" t="str">
        <f>_xlfn.XLOOKUP(Jnl[[#This Row],[Division]],config_div[Id], config_div[Name],,0)</f>
        <v>明月村</v>
      </c>
      <c r="T837" t="str">
        <f>IF(Jnl[[#This Row],[TrxDate]]&lt;=stmt_BS_date_end, "In", "Out")</f>
        <v>In</v>
      </c>
      <c r="U837" t="str">
        <f>IF(Jnl[[#This Row],[TrxDate]]&lt;debug_date_start, "prior", IF(Jnl[[#This Row],[TrxDate]]&gt;debug_date_end, "post", "curr"))</f>
        <v>prior</v>
      </c>
    </row>
    <row r="838" spans="1:21">
      <c r="A838" s="11" t="s">
        <v>1252</v>
      </c>
      <c r="B838" s="7">
        <f>_xlfn.XLOOKUP(Jnl[[#This Row],[TrxId]], Trx[Id], Trx[Date],,0)</f>
        <v>46053</v>
      </c>
      <c r="C838" s="7" t="str">
        <f>_xlfn.XLOOKUP(Jnl[[#This Row],[TrxId]], Trx[Id], Trx[Division],,0)</f>
        <v>MY</v>
      </c>
      <c r="D838" s="7" t="str">
        <f>_xlfn.XLOOKUP(Jnl[[#This Row],[TrxId]], Trx[Id], Trx[Action],,0)</f>
        <v>收款</v>
      </c>
      <c r="E838" s="26" t="s">
        <v>83</v>
      </c>
      <c r="F838" s="11" t="s">
        <v>593</v>
      </c>
      <c r="G838" s="11" t="s">
        <v>1001</v>
      </c>
      <c r="H838" s="72">
        <f>-H837</f>
        <v>-3720</v>
      </c>
      <c r="I838" s="5" t="b">
        <f>AND(Jnl[[#This Row],[TrxId]]&lt;&gt;"",Jnl[[#This Row],[Acct]]&lt;&gt;"",Jnl[[#This Row],[Item]]&lt;&gt;"",ISNUMBER(Jnl[[#This Row],[Bal]]))</f>
        <v>1</v>
      </c>
      <c r="J838" s="10">
        <f>IF(Jnl[[#This Row],[BSLv0]]="A",1,-1)*Jnl[[#This Row],[Bal]]</f>
        <v>-3720</v>
      </c>
      <c r="K838" t="str">
        <f>_xlfn.XLOOKUP(Jnl[[#This Row],[Acct]], config_BS[Acct], config_BS[Lv0],,0)</f>
        <v>A</v>
      </c>
      <c r="L838" t="str">
        <f>_xlfn.XLOOKUP(Jnl[[#This Row],[Acct]], config_BS[Acct], config_BS[Lv1],,0)</f>
        <v>Assets</v>
      </c>
      <c r="M838" t="str">
        <f>_xlfn.XLOOKUP(Jnl[[#This Row],[Acct]], config_BS[Acct], config_BS[Lv2],,0)</f>
        <v>Rec-Pay</v>
      </c>
      <c r="N838" t="str">
        <f>_xlfn.XLOOKUP(Jnl[[#This Row],[TrxId]], Trx[Id], Trx[IncNode], ,0)</f>
        <v>Revenue</v>
      </c>
      <c r="O838" t="str">
        <f>_xlfn.XLOOKUP(Jnl[[#This Row],[IncNode]], config_IS[Node], config_IS[Type],,0)</f>
        <v>Op</v>
      </c>
      <c r="P838" t="str">
        <f>_xlfn.XLOOKUP(Jnl[[#This Row],[BSLv2]], dict[Key], dict[Name],,0)</f>
        <v>1.应收-应付</v>
      </c>
      <c r="Q838" t="str">
        <f>_xlfn.XLOOKUP(Jnl[[#This Row],[Acct]], dict[Key], dict[Name],,0)</f>
        <v>应收-一般</v>
      </c>
      <c r="R838" t="str">
        <f>_xlfn.XLOOKUP(Jnl[[#This Row],[Vehicle]],config_vehicle[Id], config_vehicle[Name],,0)</f>
        <v>远家文化</v>
      </c>
      <c r="S838" t="str">
        <f>_xlfn.XLOOKUP(Jnl[[#This Row],[Division]],config_div[Id], config_div[Name],,0)</f>
        <v>明月村</v>
      </c>
      <c r="T838" t="str">
        <f>IF(Jnl[[#This Row],[TrxDate]]&lt;=stmt_BS_date_end, "In", "Out")</f>
        <v>In</v>
      </c>
      <c r="U838" t="str">
        <f>IF(Jnl[[#This Row],[TrxDate]]&lt;debug_date_start, "prior", IF(Jnl[[#This Row],[TrxDate]]&gt;debug_date_end, "post", "curr"))</f>
        <v>prior</v>
      </c>
    </row>
    <row r="839" spans="1:21">
      <c r="A839" s="11" t="s">
        <v>1253</v>
      </c>
      <c r="B839" s="7">
        <f>_xlfn.XLOOKUP(Jnl[[#This Row],[TrxId]], Trx[Id], Trx[Date],,0)</f>
        <v>46053</v>
      </c>
      <c r="C839" s="7" t="str">
        <f>_xlfn.XLOOKUP(Jnl[[#This Row],[TrxId]], Trx[Id], Trx[Division],,0)</f>
        <v>MY</v>
      </c>
      <c r="D839" s="7" t="str">
        <f>_xlfn.XLOOKUP(Jnl[[#This Row],[TrxId]], Trx[Id], Trx[Action],,0)</f>
        <v>佣金</v>
      </c>
      <c r="E839" s="26" t="s">
        <v>87</v>
      </c>
      <c r="F839" s="11" t="s">
        <v>590</v>
      </c>
      <c r="G839" s="11" t="s">
        <v>903</v>
      </c>
      <c r="H839" s="72">
        <v>-2000</v>
      </c>
      <c r="I839" s="5" t="b">
        <f>AND(Jnl[[#This Row],[TrxId]]&lt;&gt;"",Jnl[[#This Row],[Acct]]&lt;&gt;"",Jnl[[#This Row],[Item]]&lt;&gt;"",ISNUMBER(Jnl[[#This Row],[Bal]]))</f>
        <v>1</v>
      </c>
      <c r="J839" s="10">
        <f>IF(Jnl[[#This Row],[BSLv0]]="A",1,-1)*Jnl[[#This Row],[Bal]]</f>
        <v>-2000</v>
      </c>
      <c r="K839" t="str">
        <f>_xlfn.XLOOKUP(Jnl[[#This Row],[Acct]], config_BS[Acct], config_BS[Lv0],,0)</f>
        <v>A</v>
      </c>
      <c r="L839" t="str">
        <f>_xlfn.XLOOKUP(Jnl[[#This Row],[Acct]], config_BS[Acct], config_BS[Lv1],,0)</f>
        <v>Assets</v>
      </c>
      <c r="M839" t="str">
        <f>_xlfn.XLOOKUP(Jnl[[#This Row],[Acct]], config_BS[Acct], config_BS[Lv2],,0)</f>
        <v>Cash alike</v>
      </c>
      <c r="N839" t="str">
        <f>_xlfn.XLOOKUP(Jnl[[#This Row],[TrxId]], Trx[Id], Trx[IncNode], ,0)</f>
        <v>Cost</v>
      </c>
      <c r="O839" t="str">
        <f>_xlfn.XLOOKUP(Jnl[[#This Row],[IncNode]], config_IS[Node], config_IS[Type],,0)</f>
        <v>Op</v>
      </c>
      <c r="P839" t="str">
        <f>_xlfn.XLOOKUP(Jnl[[#This Row],[BSLv2]], dict[Key], dict[Name],,0)</f>
        <v>0.现金及类似</v>
      </c>
      <c r="Q839" t="str">
        <f>_xlfn.XLOOKUP(Jnl[[#This Row],[Acct]], dict[Key], dict[Name],,0)</f>
        <v>银行</v>
      </c>
      <c r="R839" t="str">
        <f>_xlfn.XLOOKUP(Jnl[[#This Row],[Vehicle]],config_vehicle[Id], config_vehicle[Name],,0)</f>
        <v>小月号</v>
      </c>
      <c r="S839" t="str">
        <f>_xlfn.XLOOKUP(Jnl[[#This Row],[Division]],config_div[Id], config_div[Name],,0)</f>
        <v>明月村</v>
      </c>
      <c r="T839" t="str">
        <f>IF(Jnl[[#This Row],[TrxDate]]&lt;=stmt_BS_date_end, "In", "Out")</f>
        <v>In</v>
      </c>
      <c r="U839" t="str">
        <f>IF(Jnl[[#This Row],[TrxDate]]&lt;debug_date_start, "prior", IF(Jnl[[#This Row],[TrxDate]]&gt;debug_date_end, "post", "curr"))</f>
        <v>prior</v>
      </c>
    </row>
    <row r="840" spans="1:21">
      <c r="A840" s="11" t="s">
        <v>1254</v>
      </c>
      <c r="B840" s="7">
        <f>_xlfn.XLOOKUP(Jnl[[#This Row],[TrxId]], Trx[Id], Trx[Date],,0)</f>
        <v>46053</v>
      </c>
      <c r="C840" s="7" t="str">
        <f>_xlfn.XLOOKUP(Jnl[[#This Row],[TrxId]], Trx[Id], Trx[Division],,0)</f>
        <v>MY</v>
      </c>
      <c r="D840" s="7" t="str">
        <f>_xlfn.XLOOKUP(Jnl[[#This Row],[TrxId]], Trx[Id], Trx[Action],,0)</f>
        <v>其他材料</v>
      </c>
      <c r="E840" s="26" t="s">
        <v>87</v>
      </c>
      <c r="F840" s="11" t="s">
        <v>590</v>
      </c>
      <c r="G840" s="11" t="s">
        <v>903</v>
      </c>
      <c r="H840" s="72">
        <v>-120</v>
      </c>
      <c r="I840" s="5" t="b">
        <f>AND(Jnl[[#This Row],[TrxId]]&lt;&gt;"",Jnl[[#This Row],[Acct]]&lt;&gt;"",Jnl[[#This Row],[Item]]&lt;&gt;"",ISNUMBER(Jnl[[#This Row],[Bal]]))</f>
        <v>1</v>
      </c>
      <c r="J840" s="10">
        <f>IF(Jnl[[#This Row],[BSLv0]]="A",1,-1)*Jnl[[#This Row],[Bal]]</f>
        <v>-120</v>
      </c>
      <c r="K840" t="str">
        <f>_xlfn.XLOOKUP(Jnl[[#This Row],[Acct]], config_BS[Acct], config_BS[Lv0],,0)</f>
        <v>A</v>
      </c>
      <c r="L840" t="str">
        <f>_xlfn.XLOOKUP(Jnl[[#This Row],[Acct]], config_BS[Acct], config_BS[Lv1],,0)</f>
        <v>Assets</v>
      </c>
      <c r="M840" t="str">
        <f>_xlfn.XLOOKUP(Jnl[[#This Row],[Acct]], config_BS[Acct], config_BS[Lv2],,0)</f>
        <v>Cash alike</v>
      </c>
      <c r="N840" t="str">
        <f>_xlfn.XLOOKUP(Jnl[[#This Row],[TrxId]], Trx[Id], Trx[IncNode], ,0)</f>
        <v>Cost</v>
      </c>
      <c r="O840" t="str">
        <f>_xlfn.XLOOKUP(Jnl[[#This Row],[IncNode]], config_IS[Node], config_IS[Type],,0)</f>
        <v>Op</v>
      </c>
      <c r="P840" t="str">
        <f>_xlfn.XLOOKUP(Jnl[[#This Row],[BSLv2]], dict[Key], dict[Name],,0)</f>
        <v>0.现金及类似</v>
      </c>
      <c r="Q840" t="str">
        <f>_xlfn.XLOOKUP(Jnl[[#This Row],[Acct]], dict[Key], dict[Name],,0)</f>
        <v>银行</v>
      </c>
      <c r="R840" t="str">
        <f>_xlfn.XLOOKUP(Jnl[[#This Row],[Vehicle]],config_vehicle[Id], config_vehicle[Name],,0)</f>
        <v>小月号</v>
      </c>
      <c r="S840" t="str">
        <f>_xlfn.XLOOKUP(Jnl[[#This Row],[Division]],config_div[Id], config_div[Name],,0)</f>
        <v>明月村</v>
      </c>
      <c r="T840" t="str">
        <f>IF(Jnl[[#This Row],[TrxDate]]&lt;=stmt_BS_date_end, "In", "Out")</f>
        <v>In</v>
      </c>
      <c r="U840" t="str">
        <f>IF(Jnl[[#This Row],[TrxDate]]&lt;debug_date_start, "prior", IF(Jnl[[#This Row],[TrxDate]]&gt;debug_date_end, "post", "curr"))</f>
        <v>prior</v>
      </c>
    </row>
    <row r="841" spans="1:21">
      <c r="A841" s="11" t="s">
        <v>1255</v>
      </c>
      <c r="B841" s="7">
        <f>_xlfn.XLOOKUP(Jnl[[#This Row],[TrxId]], Trx[Id], Trx[Date],,0)</f>
        <v>46053</v>
      </c>
      <c r="C841" s="7" t="str">
        <f>_xlfn.XLOOKUP(Jnl[[#This Row],[TrxId]], Trx[Id], Trx[Division],,0)</f>
        <v>MY</v>
      </c>
      <c r="D841" s="7" t="str">
        <f>_xlfn.XLOOKUP(Jnl[[#This Row],[TrxId]], Trx[Id], Trx[Action],,0)</f>
        <v>过账</v>
      </c>
      <c r="E841" s="26" t="s">
        <v>87</v>
      </c>
      <c r="F841" s="11" t="s">
        <v>590</v>
      </c>
      <c r="G841" s="11" t="s">
        <v>903</v>
      </c>
      <c r="H841" s="72">
        <v>-100000</v>
      </c>
      <c r="I841" s="5" t="b">
        <f>AND(Jnl[[#This Row],[TrxId]]&lt;&gt;"",Jnl[[#This Row],[Acct]]&lt;&gt;"",Jnl[[#This Row],[Item]]&lt;&gt;"",ISNUMBER(Jnl[[#This Row],[Bal]]))</f>
        <v>1</v>
      </c>
      <c r="J841" s="10">
        <f>IF(Jnl[[#This Row],[BSLv0]]="A",1,-1)*Jnl[[#This Row],[Bal]]</f>
        <v>-100000</v>
      </c>
      <c r="K841" t="str">
        <f>_xlfn.XLOOKUP(Jnl[[#This Row],[Acct]], config_BS[Acct], config_BS[Lv0],,0)</f>
        <v>A</v>
      </c>
      <c r="L841" t="str">
        <f>_xlfn.XLOOKUP(Jnl[[#This Row],[Acct]], config_BS[Acct], config_BS[Lv1],,0)</f>
        <v>Assets</v>
      </c>
      <c r="M841" t="str">
        <f>_xlfn.XLOOKUP(Jnl[[#This Row],[Acct]], config_BS[Acct], config_BS[Lv2],,0)</f>
        <v>Cash alike</v>
      </c>
      <c r="N841" t="str">
        <f>_xlfn.XLOOKUP(Jnl[[#This Row],[TrxId]], Trx[Id], Trx[IncNode], ,0)</f>
        <v>Other</v>
      </c>
      <c r="O841" t="str">
        <f>_xlfn.XLOOKUP(Jnl[[#This Row],[IncNode]], config_IS[Node], config_IS[Type],,0)</f>
        <v>Non-Op</v>
      </c>
      <c r="P841" t="str">
        <f>_xlfn.XLOOKUP(Jnl[[#This Row],[BSLv2]], dict[Key], dict[Name],,0)</f>
        <v>0.现金及类似</v>
      </c>
      <c r="Q841" t="str">
        <f>_xlfn.XLOOKUP(Jnl[[#This Row],[Acct]], dict[Key], dict[Name],,0)</f>
        <v>银行</v>
      </c>
      <c r="R841" t="str">
        <f>_xlfn.XLOOKUP(Jnl[[#This Row],[Vehicle]],config_vehicle[Id], config_vehicle[Name],,0)</f>
        <v>小月号</v>
      </c>
      <c r="S841" t="str">
        <f>_xlfn.XLOOKUP(Jnl[[#This Row],[Division]],config_div[Id], config_div[Name],,0)</f>
        <v>明月村</v>
      </c>
      <c r="T841" t="str">
        <f>IF(Jnl[[#This Row],[TrxDate]]&lt;=stmt_BS_date_end, "In", "Out")</f>
        <v>In</v>
      </c>
      <c r="U841" t="str">
        <f>IF(Jnl[[#This Row],[TrxDate]]&lt;debug_date_start, "prior", IF(Jnl[[#This Row],[TrxDate]]&gt;debug_date_end, "post", "curr"))</f>
        <v>prior</v>
      </c>
    </row>
    <row r="842" spans="1:21">
      <c r="A842" s="11" t="s">
        <v>1255</v>
      </c>
      <c r="B842" s="7">
        <f>_xlfn.XLOOKUP(Jnl[[#This Row],[TrxId]], Trx[Id], Trx[Date],,0)</f>
        <v>46053</v>
      </c>
      <c r="C842" s="7" t="str">
        <f>_xlfn.XLOOKUP(Jnl[[#This Row],[TrxId]], Trx[Id], Trx[Division],,0)</f>
        <v>MY</v>
      </c>
      <c r="D842" s="7" t="str">
        <f>_xlfn.XLOOKUP(Jnl[[#This Row],[TrxId]], Trx[Id], Trx[Action],,0)</f>
        <v>过账</v>
      </c>
      <c r="E842" s="26" t="s">
        <v>86</v>
      </c>
      <c r="F842" s="11" t="s">
        <v>590</v>
      </c>
      <c r="G842" s="11" t="s">
        <v>481</v>
      </c>
      <c r="H842" s="72">
        <f>-H841</f>
        <v>100000</v>
      </c>
      <c r="I842" s="5" t="b">
        <f>AND(Jnl[[#This Row],[TrxId]]&lt;&gt;"",Jnl[[#This Row],[Acct]]&lt;&gt;"",Jnl[[#This Row],[Item]]&lt;&gt;"",ISNUMBER(Jnl[[#This Row],[Bal]]))</f>
        <v>1</v>
      </c>
      <c r="J842" s="10">
        <f>IF(Jnl[[#This Row],[BSLv0]]="A",1,-1)*Jnl[[#This Row],[Bal]]</f>
        <v>100000</v>
      </c>
      <c r="K842" t="str">
        <f>_xlfn.XLOOKUP(Jnl[[#This Row],[Acct]], config_BS[Acct], config_BS[Lv0],,0)</f>
        <v>A</v>
      </c>
      <c r="L842" t="str">
        <f>_xlfn.XLOOKUP(Jnl[[#This Row],[Acct]], config_BS[Acct], config_BS[Lv1],,0)</f>
        <v>Assets</v>
      </c>
      <c r="M842" t="str">
        <f>_xlfn.XLOOKUP(Jnl[[#This Row],[Acct]], config_BS[Acct], config_BS[Lv2],,0)</f>
        <v>Cash alike</v>
      </c>
      <c r="N842" t="str">
        <f>_xlfn.XLOOKUP(Jnl[[#This Row],[TrxId]], Trx[Id], Trx[IncNode], ,0)</f>
        <v>Other</v>
      </c>
      <c r="O842" t="str">
        <f>_xlfn.XLOOKUP(Jnl[[#This Row],[IncNode]], config_IS[Node], config_IS[Type],,0)</f>
        <v>Non-Op</v>
      </c>
      <c r="P842" t="str">
        <f>_xlfn.XLOOKUP(Jnl[[#This Row],[BSLv2]], dict[Key], dict[Name],,0)</f>
        <v>0.现金及类似</v>
      </c>
      <c r="Q842" t="str">
        <f>_xlfn.XLOOKUP(Jnl[[#This Row],[Acct]], dict[Key], dict[Name],,0)</f>
        <v>银行</v>
      </c>
      <c r="R842" t="str">
        <f>_xlfn.XLOOKUP(Jnl[[#This Row],[Vehicle]],config_vehicle[Id], config_vehicle[Name],,0)</f>
        <v>张小喜</v>
      </c>
      <c r="S842" t="str">
        <f>_xlfn.XLOOKUP(Jnl[[#This Row],[Division]],config_div[Id], config_div[Name],,0)</f>
        <v>明月村</v>
      </c>
      <c r="T842" t="str">
        <f>IF(Jnl[[#This Row],[TrxDate]]&lt;=stmt_BS_date_end, "In", "Out")</f>
        <v>In</v>
      </c>
      <c r="U842" t="str">
        <f>IF(Jnl[[#This Row],[TrxDate]]&lt;debug_date_start, "prior", IF(Jnl[[#This Row],[TrxDate]]&gt;debug_date_end, "post", "curr"))</f>
        <v>prior</v>
      </c>
    </row>
    <row r="843" spans="1:21">
      <c r="A843" s="11" t="s">
        <v>1256</v>
      </c>
      <c r="B843" s="7">
        <f>_xlfn.XLOOKUP(Jnl[[#This Row],[TrxId]], Trx[Id], Trx[Date],,0)</f>
        <v>46053</v>
      </c>
      <c r="C843" s="7" t="str">
        <f>_xlfn.XLOOKUP(Jnl[[#This Row],[TrxId]], Trx[Id], Trx[Division],,0)</f>
        <v>GM</v>
      </c>
      <c r="D843" s="7" t="str">
        <f>_xlfn.XLOOKUP(Jnl[[#This Row],[TrxId]], Trx[Id], Trx[Action],,0)</f>
        <v>银行费</v>
      </c>
      <c r="E843" s="26" t="s">
        <v>87</v>
      </c>
      <c r="F843" s="11" t="s">
        <v>590</v>
      </c>
      <c r="G843" s="11" t="s">
        <v>903</v>
      </c>
      <c r="H843" s="72">
        <v>-100</v>
      </c>
      <c r="I843" s="5" t="b">
        <f>AND(Jnl[[#This Row],[TrxId]]&lt;&gt;"",Jnl[[#This Row],[Acct]]&lt;&gt;"",Jnl[[#This Row],[Item]]&lt;&gt;"",ISNUMBER(Jnl[[#This Row],[Bal]]))</f>
        <v>1</v>
      </c>
      <c r="J843" s="10">
        <f>IF(Jnl[[#This Row],[BSLv0]]="A",1,-1)*Jnl[[#This Row],[Bal]]</f>
        <v>-100</v>
      </c>
      <c r="K843" t="str">
        <f>_xlfn.XLOOKUP(Jnl[[#This Row],[Acct]], config_BS[Acct], config_BS[Lv0],,0)</f>
        <v>A</v>
      </c>
      <c r="L843" t="str">
        <f>_xlfn.XLOOKUP(Jnl[[#This Row],[Acct]], config_BS[Acct], config_BS[Lv1],,0)</f>
        <v>Assets</v>
      </c>
      <c r="M843" t="str">
        <f>_xlfn.XLOOKUP(Jnl[[#This Row],[Acct]], config_BS[Acct], config_BS[Lv2],,0)</f>
        <v>Cash alike</v>
      </c>
      <c r="N843" t="str">
        <f>_xlfn.XLOOKUP(Jnl[[#This Row],[TrxId]], Trx[Id], Trx[IncNode], ,0)</f>
        <v>Expense</v>
      </c>
      <c r="O843" t="str">
        <f>_xlfn.XLOOKUP(Jnl[[#This Row],[IncNode]], config_IS[Node], config_IS[Type],,0)</f>
        <v>Op</v>
      </c>
      <c r="P843" t="str">
        <f>_xlfn.XLOOKUP(Jnl[[#This Row],[BSLv2]], dict[Key], dict[Name],,0)</f>
        <v>0.现金及类似</v>
      </c>
      <c r="Q843" t="str">
        <f>_xlfn.XLOOKUP(Jnl[[#This Row],[Acct]], dict[Key], dict[Name],,0)</f>
        <v>银行</v>
      </c>
      <c r="R843" t="str">
        <f>_xlfn.XLOOKUP(Jnl[[#This Row],[Vehicle]],config_vehicle[Id], config_vehicle[Name],,0)</f>
        <v>小月号</v>
      </c>
      <c r="S843" t="str">
        <f>_xlfn.XLOOKUP(Jnl[[#This Row],[Division]],config_div[Id], config_div[Name],,0)</f>
        <v>综合管理</v>
      </c>
      <c r="T843" t="str">
        <f>IF(Jnl[[#This Row],[TrxDate]]&lt;=stmt_BS_date_end, "In", "Out")</f>
        <v>In</v>
      </c>
      <c r="U843" t="str">
        <f>IF(Jnl[[#This Row],[TrxDate]]&lt;debug_date_start, "prior", IF(Jnl[[#This Row],[TrxDate]]&gt;debug_date_end, "post", "curr"))</f>
        <v>prior</v>
      </c>
    </row>
    <row r="844" spans="1:21">
      <c r="A844" s="11" t="s">
        <v>1257</v>
      </c>
      <c r="B844" s="7">
        <f>_xlfn.XLOOKUP(Jnl[[#This Row],[TrxId]], Trx[Id], Trx[Date],,0)</f>
        <v>46053</v>
      </c>
      <c r="C844" s="7" t="str">
        <f>_xlfn.XLOOKUP(Jnl[[#This Row],[TrxId]], Trx[Id], Trx[Division],,0)</f>
        <v>MY</v>
      </c>
      <c r="D844" s="7" t="str">
        <f>_xlfn.XLOOKUP(Jnl[[#This Row],[TrxId]], Trx[Id], Trx[Action],,0)</f>
        <v>收款</v>
      </c>
      <c r="E844" s="26" t="s">
        <v>87</v>
      </c>
      <c r="F844" s="11" t="s">
        <v>590</v>
      </c>
      <c r="G844" s="11" t="s">
        <v>903</v>
      </c>
      <c r="H844" s="72">
        <v>162.4</v>
      </c>
      <c r="I844" s="5" t="b">
        <f>AND(Jnl[[#This Row],[TrxId]]&lt;&gt;"",Jnl[[#This Row],[Acct]]&lt;&gt;"",Jnl[[#This Row],[Item]]&lt;&gt;"",ISNUMBER(Jnl[[#This Row],[Bal]]))</f>
        <v>1</v>
      </c>
      <c r="J844" s="10">
        <f>IF(Jnl[[#This Row],[BSLv0]]="A",1,-1)*Jnl[[#This Row],[Bal]]</f>
        <v>162.4</v>
      </c>
      <c r="K844" t="str">
        <f>_xlfn.XLOOKUP(Jnl[[#This Row],[Acct]], config_BS[Acct], config_BS[Lv0],,0)</f>
        <v>A</v>
      </c>
      <c r="L844" t="str">
        <f>_xlfn.XLOOKUP(Jnl[[#This Row],[Acct]], config_BS[Acct], config_BS[Lv1],,0)</f>
        <v>Assets</v>
      </c>
      <c r="M844" t="str">
        <f>_xlfn.XLOOKUP(Jnl[[#This Row],[Acct]], config_BS[Acct], config_BS[Lv2],,0)</f>
        <v>Cash alike</v>
      </c>
      <c r="N844" t="str">
        <f>_xlfn.XLOOKUP(Jnl[[#This Row],[TrxId]], Trx[Id], Trx[IncNode], ,0)</f>
        <v>Revenue</v>
      </c>
      <c r="O844" t="str">
        <f>_xlfn.XLOOKUP(Jnl[[#This Row],[IncNode]], config_IS[Node], config_IS[Type],,0)</f>
        <v>Op</v>
      </c>
      <c r="P844" t="str">
        <f>_xlfn.XLOOKUP(Jnl[[#This Row],[BSLv2]], dict[Key], dict[Name],,0)</f>
        <v>0.现金及类似</v>
      </c>
      <c r="Q844" t="str">
        <f>_xlfn.XLOOKUP(Jnl[[#This Row],[Acct]], dict[Key], dict[Name],,0)</f>
        <v>银行</v>
      </c>
      <c r="R844" t="str">
        <f>_xlfn.XLOOKUP(Jnl[[#This Row],[Vehicle]],config_vehicle[Id], config_vehicle[Name],,0)</f>
        <v>小月号</v>
      </c>
      <c r="S844" t="str">
        <f>_xlfn.XLOOKUP(Jnl[[#This Row],[Division]],config_div[Id], config_div[Name],,0)</f>
        <v>明月村</v>
      </c>
      <c r="T844" t="str">
        <f>IF(Jnl[[#This Row],[TrxDate]]&lt;=stmt_BS_date_end, "In", "Out")</f>
        <v>In</v>
      </c>
      <c r="U844" t="str">
        <f>IF(Jnl[[#This Row],[TrxDate]]&lt;debug_date_start, "prior", IF(Jnl[[#This Row],[TrxDate]]&gt;debug_date_end, "post", "curr"))</f>
        <v>prior</v>
      </c>
    </row>
    <row r="845" spans="1:21">
      <c r="A845" s="11" t="s">
        <v>1257</v>
      </c>
      <c r="B845" s="7">
        <f>_xlfn.XLOOKUP(Jnl[[#This Row],[TrxId]], Trx[Id], Trx[Date],,0)</f>
        <v>46053</v>
      </c>
      <c r="C845" s="7" t="str">
        <f>_xlfn.XLOOKUP(Jnl[[#This Row],[TrxId]], Trx[Id], Trx[Division],,0)</f>
        <v>MY</v>
      </c>
      <c r="D845" s="7" t="str">
        <f>_xlfn.XLOOKUP(Jnl[[#This Row],[TrxId]], Trx[Id], Trx[Action],,0)</f>
        <v>收款</v>
      </c>
      <c r="E845" s="26" t="s">
        <v>83</v>
      </c>
      <c r="F845" s="11" t="s">
        <v>593</v>
      </c>
      <c r="G845" s="11" t="s">
        <v>1060</v>
      </c>
      <c r="H845" s="72">
        <v>-162.4</v>
      </c>
      <c r="I845" s="5" t="b">
        <f>AND(Jnl[[#This Row],[TrxId]]&lt;&gt;"",Jnl[[#This Row],[Acct]]&lt;&gt;"",Jnl[[#This Row],[Item]]&lt;&gt;"",ISNUMBER(Jnl[[#This Row],[Bal]]))</f>
        <v>1</v>
      </c>
      <c r="J845" s="10">
        <f>IF(Jnl[[#This Row],[BSLv0]]="A",1,-1)*Jnl[[#This Row],[Bal]]</f>
        <v>-162.4</v>
      </c>
      <c r="K845" t="str">
        <f>_xlfn.XLOOKUP(Jnl[[#This Row],[Acct]], config_BS[Acct], config_BS[Lv0],,0)</f>
        <v>A</v>
      </c>
      <c r="L845" t="str">
        <f>_xlfn.XLOOKUP(Jnl[[#This Row],[Acct]], config_BS[Acct], config_BS[Lv1],,0)</f>
        <v>Assets</v>
      </c>
      <c r="M845" t="str">
        <f>_xlfn.XLOOKUP(Jnl[[#This Row],[Acct]], config_BS[Acct], config_BS[Lv2],,0)</f>
        <v>Rec-Pay</v>
      </c>
      <c r="N845" t="str">
        <f>_xlfn.XLOOKUP(Jnl[[#This Row],[TrxId]], Trx[Id], Trx[IncNode], ,0)</f>
        <v>Revenue</v>
      </c>
      <c r="O845" t="str">
        <f>_xlfn.XLOOKUP(Jnl[[#This Row],[IncNode]], config_IS[Node], config_IS[Type],,0)</f>
        <v>Op</v>
      </c>
      <c r="P845" t="str">
        <f>_xlfn.XLOOKUP(Jnl[[#This Row],[BSLv2]], dict[Key], dict[Name],,0)</f>
        <v>1.应收-应付</v>
      </c>
      <c r="Q845" t="str">
        <f>_xlfn.XLOOKUP(Jnl[[#This Row],[Acct]], dict[Key], dict[Name],,0)</f>
        <v>应收-一般</v>
      </c>
      <c r="R845" t="str">
        <f>_xlfn.XLOOKUP(Jnl[[#This Row],[Vehicle]],config_vehicle[Id], config_vehicle[Name],,0)</f>
        <v>远家文化</v>
      </c>
      <c r="S845" t="str">
        <f>_xlfn.XLOOKUP(Jnl[[#This Row],[Division]],config_div[Id], config_div[Name],,0)</f>
        <v>明月村</v>
      </c>
      <c r="T845" t="str">
        <f>IF(Jnl[[#This Row],[TrxDate]]&lt;=stmt_BS_date_end, "In", "Out")</f>
        <v>In</v>
      </c>
      <c r="U845" t="str">
        <f>IF(Jnl[[#This Row],[TrxDate]]&lt;debug_date_start, "prior", IF(Jnl[[#This Row],[TrxDate]]&gt;debug_date_end, "post", "curr"))</f>
        <v>prior</v>
      </c>
    </row>
    <row r="846" spans="1:21">
      <c r="A846" s="11" t="s">
        <v>1258</v>
      </c>
      <c r="B846" s="7">
        <f>_xlfn.XLOOKUP(Jnl[[#This Row],[TrxId]], Trx[Id], Trx[Date],,0)</f>
        <v>46053</v>
      </c>
      <c r="C846" s="7" t="str">
        <f>_xlfn.XLOOKUP(Jnl[[#This Row],[TrxId]], Trx[Id], Trx[Division],,0)</f>
        <v>MY</v>
      </c>
      <c r="D846" s="7" t="str">
        <f>_xlfn.XLOOKUP(Jnl[[#This Row],[TrxId]], Trx[Id], Trx[Action],,0)</f>
        <v>收款</v>
      </c>
      <c r="E846" s="26" t="s">
        <v>87</v>
      </c>
      <c r="F846" s="11" t="s">
        <v>590</v>
      </c>
      <c r="G846" s="11" t="s">
        <v>903</v>
      </c>
      <c r="H846" s="72">
        <v>1000</v>
      </c>
      <c r="I846" s="5" t="b">
        <f>AND(Jnl[[#This Row],[TrxId]]&lt;&gt;"",Jnl[[#This Row],[Acct]]&lt;&gt;"",Jnl[[#This Row],[Item]]&lt;&gt;"",ISNUMBER(Jnl[[#This Row],[Bal]]))</f>
        <v>1</v>
      </c>
      <c r="J846" s="10">
        <f>IF(Jnl[[#This Row],[BSLv0]]="A",1,-1)*Jnl[[#This Row],[Bal]]</f>
        <v>1000</v>
      </c>
      <c r="K846" t="str">
        <f>_xlfn.XLOOKUP(Jnl[[#This Row],[Acct]], config_BS[Acct], config_BS[Lv0],,0)</f>
        <v>A</v>
      </c>
      <c r="L846" t="str">
        <f>_xlfn.XLOOKUP(Jnl[[#This Row],[Acct]], config_BS[Acct], config_BS[Lv1],,0)</f>
        <v>Assets</v>
      </c>
      <c r="M846" t="str">
        <f>_xlfn.XLOOKUP(Jnl[[#This Row],[Acct]], config_BS[Acct], config_BS[Lv2],,0)</f>
        <v>Cash alike</v>
      </c>
      <c r="N846" t="str">
        <f>_xlfn.XLOOKUP(Jnl[[#This Row],[TrxId]], Trx[Id], Trx[IncNode], ,0)</f>
        <v>Revenue</v>
      </c>
      <c r="O846" t="str">
        <f>_xlfn.XLOOKUP(Jnl[[#This Row],[IncNode]], config_IS[Node], config_IS[Type],,0)</f>
        <v>Op</v>
      </c>
      <c r="P846" t="str">
        <f>_xlfn.XLOOKUP(Jnl[[#This Row],[BSLv2]], dict[Key], dict[Name],,0)</f>
        <v>0.现金及类似</v>
      </c>
      <c r="Q846" t="str">
        <f>_xlfn.XLOOKUP(Jnl[[#This Row],[Acct]], dict[Key], dict[Name],,0)</f>
        <v>银行</v>
      </c>
      <c r="R846" t="str">
        <f>_xlfn.XLOOKUP(Jnl[[#This Row],[Vehicle]],config_vehicle[Id], config_vehicle[Name],,0)</f>
        <v>小月号</v>
      </c>
      <c r="S846" t="str">
        <f>_xlfn.XLOOKUP(Jnl[[#This Row],[Division]],config_div[Id], config_div[Name],,0)</f>
        <v>明月村</v>
      </c>
      <c r="T846" t="str">
        <f>IF(Jnl[[#This Row],[TrxDate]]&lt;=stmt_BS_date_end, "In", "Out")</f>
        <v>In</v>
      </c>
      <c r="U846" t="str">
        <f>IF(Jnl[[#This Row],[TrxDate]]&lt;debug_date_start, "prior", IF(Jnl[[#This Row],[TrxDate]]&gt;debug_date_end, "post", "curr"))</f>
        <v>prior</v>
      </c>
    </row>
    <row r="847" spans="1:21">
      <c r="A847" s="11" t="s">
        <v>1258</v>
      </c>
      <c r="B847" s="7">
        <f>_xlfn.XLOOKUP(Jnl[[#This Row],[TrxId]], Trx[Id], Trx[Date],,0)</f>
        <v>46053</v>
      </c>
      <c r="C847" s="7" t="str">
        <f>_xlfn.XLOOKUP(Jnl[[#This Row],[TrxId]], Trx[Id], Trx[Division],,0)</f>
        <v>MY</v>
      </c>
      <c r="D847" s="7" t="str">
        <f>_xlfn.XLOOKUP(Jnl[[#This Row],[TrxId]], Trx[Id], Trx[Action],,0)</f>
        <v>收款</v>
      </c>
      <c r="E847" s="26" t="s">
        <v>83</v>
      </c>
      <c r="F847" s="11" t="s">
        <v>593</v>
      </c>
      <c r="G847" s="11" t="s">
        <v>1065</v>
      </c>
      <c r="H847" s="72">
        <v>-1000</v>
      </c>
      <c r="I847" s="5" t="b">
        <f>AND(Jnl[[#This Row],[TrxId]]&lt;&gt;"",Jnl[[#This Row],[Acct]]&lt;&gt;"",Jnl[[#This Row],[Item]]&lt;&gt;"",ISNUMBER(Jnl[[#This Row],[Bal]]))</f>
        <v>1</v>
      </c>
      <c r="J847" s="10">
        <f>IF(Jnl[[#This Row],[BSLv0]]="A",1,-1)*Jnl[[#This Row],[Bal]]</f>
        <v>-1000</v>
      </c>
      <c r="K847" t="str">
        <f>_xlfn.XLOOKUP(Jnl[[#This Row],[Acct]], config_BS[Acct], config_BS[Lv0],,0)</f>
        <v>A</v>
      </c>
      <c r="L847" t="str">
        <f>_xlfn.XLOOKUP(Jnl[[#This Row],[Acct]], config_BS[Acct], config_BS[Lv1],,0)</f>
        <v>Assets</v>
      </c>
      <c r="M847" t="str">
        <f>_xlfn.XLOOKUP(Jnl[[#This Row],[Acct]], config_BS[Acct], config_BS[Lv2],,0)</f>
        <v>Rec-Pay</v>
      </c>
      <c r="N847" t="str">
        <f>_xlfn.XLOOKUP(Jnl[[#This Row],[TrxId]], Trx[Id], Trx[IncNode], ,0)</f>
        <v>Revenue</v>
      </c>
      <c r="O847" t="str">
        <f>_xlfn.XLOOKUP(Jnl[[#This Row],[IncNode]], config_IS[Node], config_IS[Type],,0)</f>
        <v>Op</v>
      </c>
      <c r="P847" t="str">
        <f>_xlfn.XLOOKUP(Jnl[[#This Row],[BSLv2]], dict[Key], dict[Name],,0)</f>
        <v>1.应收-应付</v>
      </c>
      <c r="Q847" t="str">
        <f>_xlfn.XLOOKUP(Jnl[[#This Row],[Acct]], dict[Key], dict[Name],,0)</f>
        <v>应收-一般</v>
      </c>
      <c r="R847" t="str">
        <f>_xlfn.XLOOKUP(Jnl[[#This Row],[Vehicle]],config_vehicle[Id], config_vehicle[Name],,0)</f>
        <v>远家文化</v>
      </c>
      <c r="S847" t="str">
        <f>_xlfn.XLOOKUP(Jnl[[#This Row],[Division]],config_div[Id], config_div[Name],,0)</f>
        <v>明月村</v>
      </c>
      <c r="T847" t="str">
        <f>IF(Jnl[[#This Row],[TrxDate]]&lt;=stmt_BS_date_end, "In", "Out")</f>
        <v>In</v>
      </c>
      <c r="U847" t="str">
        <f>IF(Jnl[[#This Row],[TrxDate]]&lt;debug_date_start, "prior", IF(Jnl[[#This Row],[TrxDate]]&gt;debug_date_end, "post", "curr"))</f>
        <v>prior</v>
      </c>
    </row>
    <row r="848" spans="1:21">
      <c r="A848" s="11" t="s">
        <v>1259</v>
      </c>
      <c r="B848" s="7">
        <f>_xlfn.XLOOKUP(Jnl[[#This Row],[TrxId]], Trx[Id], Trx[Date],,0)</f>
        <v>46053</v>
      </c>
      <c r="C848" s="7" t="str">
        <f>_xlfn.XLOOKUP(Jnl[[#This Row],[TrxId]], Trx[Id], Trx[Division],,0)</f>
        <v>MY</v>
      </c>
      <c r="D848" s="7" t="str">
        <f>_xlfn.XLOOKUP(Jnl[[#This Row],[TrxId]], Trx[Id], Trx[Action],,0)</f>
        <v>收款</v>
      </c>
      <c r="E848" s="26" t="s">
        <v>87</v>
      </c>
      <c r="F848" s="11" t="s">
        <v>590</v>
      </c>
      <c r="G848" s="11" t="s">
        <v>903</v>
      </c>
      <c r="H848" s="72">
        <v>409</v>
      </c>
      <c r="I848" s="5" t="b">
        <f>AND(Jnl[[#This Row],[TrxId]]&lt;&gt;"",Jnl[[#This Row],[Acct]]&lt;&gt;"",Jnl[[#This Row],[Item]]&lt;&gt;"",ISNUMBER(Jnl[[#This Row],[Bal]]))</f>
        <v>1</v>
      </c>
      <c r="J848" s="10">
        <f>IF(Jnl[[#This Row],[BSLv0]]="A",1,-1)*Jnl[[#This Row],[Bal]]</f>
        <v>409</v>
      </c>
      <c r="K848" t="str">
        <f>_xlfn.XLOOKUP(Jnl[[#This Row],[Acct]], config_BS[Acct], config_BS[Lv0],,0)</f>
        <v>A</v>
      </c>
      <c r="L848" t="str">
        <f>_xlfn.XLOOKUP(Jnl[[#This Row],[Acct]], config_BS[Acct], config_BS[Lv1],,0)</f>
        <v>Assets</v>
      </c>
      <c r="M848" t="str">
        <f>_xlfn.XLOOKUP(Jnl[[#This Row],[Acct]], config_BS[Acct], config_BS[Lv2],,0)</f>
        <v>Cash alike</v>
      </c>
      <c r="N848" t="str">
        <f>_xlfn.XLOOKUP(Jnl[[#This Row],[TrxId]], Trx[Id], Trx[IncNode], ,0)</f>
        <v>Revenue</v>
      </c>
      <c r="O848" t="str">
        <f>_xlfn.XLOOKUP(Jnl[[#This Row],[IncNode]], config_IS[Node], config_IS[Type],,0)</f>
        <v>Op</v>
      </c>
      <c r="P848" t="str">
        <f>_xlfn.XLOOKUP(Jnl[[#This Row],[BSLv2]], dict[Key], dict[Name],,0)</f>
        <v>0.现金及类似</v>
      </c>
      <c r="Q848" t="str">
        <f>_xlfn.XLOOKUP(Jnl[[#This Row],[Acct]], dict[Key], dict[Name],,0)</f>
        <v>银行</v>
      </c>
      <c r="R848" t="str">
        <f>_xlfn.XLOOKUP(Jnl[[#This Row],[Vehicle]],config_vehicle[Id], config_vehicle[Name],,0)</f>
        <v>小月号</v>
      </c>
      <c r="S848" t="str">
        <f>_xlfn.XLOOKUP(Jnl[[#This Row],[Division]],config_div[Id], config_div[Name],,0)</f>
        <v>明月村</v>
      </c>
      <c r="T848" t="str">
        <f>IF(Jnl[[#This Row],[TrxDate]]&lt;=stmt_BS_date_end, "In", "Out")</f>
        <v>In</v>
      </c>
      <c r="U848" t="str">
        <f>IF(Jnl[[#This Row],[TrxDate]]&lt;debug_date_start, "prior", IF(Jnl[[#This Row],[TrxDate]]&gt;debug_date_end, "post", "curr"))</f>
        <v>prior</v>
      </c>
    </row>
    <row r="849" spans="1:21">
      <c r="A849" s="11" t="s">
        <v>1259</v>
      </c>
      <c r="B849" s="7">
        <f>_xlfn.XLOOKUP(Jnl[[#This Row],[TrxId]], Trx[Id], Trx[Date],,0)</f>
        <v>46053</v>
      </c>
      <c r="C849" s="7" t="str">
        <f>_xlfn.XLOOKUP(Jnl[[#This Row],[TrxId]], Trx[Id], Trx[Division],,0)</f>
        <v>MY</v>
      </c>
      <c r="D849" s="7" t="str">
        <f>_xlfn.XLOOKUP(Jnl[[#This Row],[TrxId]], Trx[Id], Trx[Action],,0)</f>
        <v>收款</v>
      </c>
      <c r="E849" s="26" t="s">
        <v>83</v>
      </c>
      <c r="F849" s="11" t="s">
        <v>593</v>
      </c>
      <c r="G849" s="11" t="s">
        <v>1001</v>
      </c>
      <c r="H849" s="72">
        <v>-409</v>
      </c>
      <c r="I849" s="5" t="b">
        <f>AND(Jnl[[#This Row],[TrxId]]&lt;&gt;"",Jnl[[#This Row],[Acct]]&lt;&gt;"",Jnl[[#This Row],[Item]]&lt;&gt;"",ISNUMBER(Jnl[[#This Row],[Bal]]))</f>
        <v>1</v>
      </c>
      <c r="J849" s="10">
        <f>IF(Jnl[[#This Row],[BSLv0]]="A",1,-1)*Jnl[[#This Row],[Bal]]</f>
        <v>-409</v>
      </c>
      <c r="K849" t="str">
        <f>_xlfn.XLOOKUP(Jnl[[#This Row],[Acct]], config_BS[Acct], config_BS[Lv0],,0)</f>
        <v>A</v>
      </c>
      <c r="L849" t="str">
        <f>_xlfn.XLOOKUP(Jnl[[#This Row],[Acct]], config_BS[Acct], config_BS[Lv1],,0)</f>
        <v>Assets</v>
      </c>
      <c r="M849" t="str">
        <f>_xlfn.XLOOKUP(Jnl[[#This Row],[Acct]], config_BS[Acct], config_BS[Lv2],,0)</f>
        <v>Rec-Pay</v>
      </c>
      <c r="N849" t="str">
        <f>_xlfn.XLOOKUP(Jnl[[#This Row],[TrxId]], Trx[Id], Trx[IncNode], ,0)</f>
        <v>Revenue</v>
      </c>
      <c r="O849" t="str">
        <f>_xlfn.XLOOKUP(Jnl[[#This Row],[IncNode]], config_IS[Node], config_IS[Type],,0)</f>
        <v>Op</v>
      </c>
      <c r="P849" t="str">
        <f>_xlfn.XLOOKUP(Jnl[[#This Row],[BSLv2]], dict[Key], dict[Name],,0)</f>
        <v>1.应收-应付</v>
      </c>
      <c r="Q849" t="str">
        <f>_xlfn.XLOOKUP(Jnl[[#This Row],[Acct]], dict[Key], dict[Name],,0)</f>
        <v>应收-一般</v>
      </c>
      <c r="R849" t="str">
        <f>_xlfn.XLOOKUP(Jnl[[#This Row],[Vehicle]],config_vehicle[Id], config_vehicle[Name],,0)</f>
        <v>远家文化</v>
      </c>
      <c r="S849" t="str">
        <f>_xlfn.XLOOKUP(Jnl[[#This Row],[Division]],config_div[Id], config_div[Name],,0)</f>
        <v>明月村</v>
      </c>
      <c r="T849" t="str">
        <f>IF(Jnl[[#This Row],[TrxDate]]&lt;=stmt_BS_date_end, "In", "Out")</f>
        <v>In</v>
      </c>
      <c r="U849" t="str">
        <f>IF(Jnl[[#This Row],[TrxDate]]&lt;debug_date_start, "prior", IF(Jnl[[#This Row],[TrxDate]]&gt;debug_date_end, "post", "curr"))</f>
        <v>prior</v>
      </c>
    </row>
    <row r="850" spans="1:21">
      <c r="A850" s="11" t="s">
        <v>1260</v>
      </c>
      <c r="B850" s="7">
        <f>_xlfn.XLOOKUP(Jnl[[#This Row],[TrxId]], Trx[Id], Trx[Date],,0)</f>
        <v>46053</v>
      </c>
      <c r="C850" s="7" t="str">
        <f>_xlfn.XLOOKUP(Jnl[[#This Row],[TrxId]], Trx[Id], Trx[Division],,0)</f>
        <v>MY</v>
      </c>
      <c r="D850" s="7" t="str">
        <f>_xlfn.XLOOKUP(Jnl[[#This Row],[TrxId]], Trx[Id], Trx[Action],,0)</f>
        <v>退款-客人</v>
      </c>
      <c r="E850" s="26" t="s">
        <v>87</v>
      </c>
      <c r="F850" s="11" t="s">
        <v>590</v>
      </c>
      <c r="G850" s="11" t="s">
        <v>904</v>
      </c>
      <c r="H850" s="72">
        <v>-1500</v>
      </c>
      <c r="I850" s="5" t="b">
        <f>AND(Jnl[[#This Row],[TrxId]]&lt;&gt;"",Jnl[[#This Row],[Acct]]&lt;&gt;"",Jnl[[#This Row],[Item]]&lt;&gt;"",ISNUMBER(Jnl[[#This Row],[Bal]]))</f>
        <v>1</v>
      </c>
      <c r="J850" s="10">
        <f>IF(Jnl[[#This Row],[BSLv0]]="A",1,-1)*Jnl[[#This Row],[Bal]]</f>
        <v>-1500</v>
      </c>
      <c r="K850" t="str">
        <f>_xlfn.XLOOKUP(Jnl[[#This Row],[Acct]], config_BS[Acct], config_BS[Lv0],,0)</f>
        <v>A</v>
      </c>
      <c r="L850" t="str">
        <f>_xlfn.XLOOKUP(Jnl[[#This Row],[Acct]], config_BS[Acct], config_BS[Lv1],,0)</f>
        <v>Assets</v>
      </c>
      <c r="M850" t="str">
        <f>_xlfn.XLOOKUP(Jnl[[#This Row],[Acct]], config_BS[Acct], config_BS[Lv2],,0)</f>
        <v>Cash alike</v>
      </c>
      <c r="N850" t="str">
        <f>_xlfn.XLOOKUP(Jnl[[#This Row],[TrxId]], Trx[Id], Trx[IncNode], ,0)</f>
        <v>Revenue</v>
      </c>
      <c r="O850" t="str">
        <f>_xlfn.XLOOKUP(Jnl[[#This Row],[IncNode]], config_IS[Node], config_IS[Type],,0)</f>
        <v>Op</v>
      </c>
      <c r="P850" t="str">
        <f>_xlfn.XLOOKUP(Jnl[[#This Row],[BSLv2]], dict[Key], dict[Name],,0)</f>
        <v>0.现金及类似</v>
      </c>
      <c r="Q850" t="str">
        <f>_xlfn.XLOOKUP(Jnl[[#This Row],[Acct]], dict[Key], dict[Name],,0)</f>
        <v>银行</v>
      </c>
      <c r="R850" t="str">
        <f>_xlfn.XLOOKUP(Jnl[[#This Row],[Vehicle]],config_vehicle[Id], config_vehicle[Name],,0)</f>
        <v>小月号</v>
      </c>
      <c r="S850" t="str">
        <f>_xlfn.XLOOKUP(Jnl[[#This Row],[Division]],config_div[Id], config_div[Name],,0)</f>
        <v>明月村</v>
      </c>
      <c r="T850" t="str">
        <f>IF(Jnl[[#This Row],[TrxDate]]&lt;=stmt_BS_date_end, "In", "Out")</f>
        <v>In</v>
      </c>
      <c r="U850" t="str">
        <f>IF(Jnl[[#This Row],[TrxDate]]&lt;debug_date_start, "prior", IF(Jnl[[#This Row],[TrxDate]]&gt;debug_date_end, "post", "curr"))</f>
        <v>prior</v>
      </c>
    </row>
    <row r="851" spans="1:21">
      <c r="A851" s="11" t="s">
        <v>1260</v>
      </c>
      <c r="B851" s="7">
        <f>_xlfn.XLOOKUP(Jnl[[#This Row],[TrxId]], Trx[Id], Trx[Date],,0)</f>
        <v>46053</v>
      </c>
      <c r="C851" s="7" t="str">
        <f>_xlfn.XLOOKUP(Jnl[[#This Row],[TrxId]], Trx[Id], Trx[Division],,0)</f>
        <v>MY</v>
      </c>
      <c r="D851" s="7" t="str">
        <f>_xlfn.XLOOKUP(Jnl[[#This Row],[TrxId]], Trx[Id], Trx[Action],,0)</f>
        <v>退款-客人</v>
      </c>
      <c r="E851" s="26" t="s">
        <v>83</v>
      </c>
      <c r="F851" s="11" t="s">
        <v>593</v>
      </c>
      <c r="G851" s="11" t="s">
        <v>1065</v>
      </c>
      <c r="H851" s="72">
        <f>-H850</f>
        <v>1500</v>
      </c>
      <c r="I851" s="5" t="b">
        <f>AND(Jnl[[#This Row],[TrxId]]&lt;&gt;"",Jnl[[#This Row],[Acct]]&lt;&gt;"",Jnl[[#This Row],[Item]]&lt;&gt;"",ISNUMBER(Jnl[[#This Row],[Bal]]))</f>
        <v>1</v>
      </c>
      <c r="J851" s="10">
        <f>IF(Jnl[[#This Row],[BSLv0]]="A",1,-1)*Jnl[[#This Row],[Bal]]</f>
        <v>1500</v>
      </c>
      <c r="K851" t="str">
        <f>_xlfn.XLOOKUP(Jnl[[#This Row],[Acct]], config_BS[Acct], config_BS[Lv0],,0)</f>
        <v>A</v>
      </c>
      <c r="L851" t="str">
        <f>_xlfn.XLOOKUP(Jnl[[#This Row],[Acct]], config_BS[Acct], config_BS[Lv1],,0)</f>
        <v>Assets</v>
      </c>
      <c r="M851" t="str">
        <f>_xlfn.XLOOKUP(Jnl[[#This Row],[Acct]], config_BS[Acct], config_BS[Lv2],,0)</f>
        <v>Rec-Pay</v>
      </c>
      <c r="N851" t="str">
        <f>_xlfn.XLOOKUP(Jnl[[#This Row],[TrxId]], Trx[Id], Trx[IncNode], ,0)</f>
        <v>Revenue</v>
      </c>
      <c r="O851" t="str">
        <f>_xlfn.XLOOKUP(Jnl[[#This Row],[IncNode]], config_IS[Node], config_IS[Type],,0)</f>
        <v>Op</v>
      </c>
      <c r="P851" t="str">
        <f>_xlfn.XLOOKUP(Jnl[[#This Row],[BSLv2]], dict[Key], dict[Name],,0)</f>
        <v>1.应收-应付</v>
      </c>
      <c r="Q851" t="str">
        <f>_xlfn.XLOOKUP(Jnl[[#This Row],[Acct]], dict[Key], dict[Name],,0)</f>
        <v>应收-一般</v>
      </c>
      <c r="R851" t="str">
        <f>_xlfn.XLOOKUP(Jnl[[#This Row],[Vehicle]],config_vehicle[Id], config_vehicle[Name],,0)</f>
        <v>远家文化</v>
      </c>
      <c r="S851" t="str">
        <f>_xlfn.XLOOKUP(Jnl[[#This Row],[Division]],config_div[Id], config_div[Name],,0)</f>
        <v>明月村</v>
      </c>
      <c r="T851" t="str">
        <f>IF(Jnl[[#This Row],[TrxDate]]&lt;=stmt_BS_date_end, "In", "Out")</f>
        <v>In</v>
      </c>
      <c r="U851" t="str">
        <f>IF(Jnl[[#This Row],[TrxDate]]&lt;debug_date_start, "prior", IF(Jnl[[#This Row],[TrxDate]]&gt;debug_date_end, "post", "curr"))</f>
        <v>prior</v>
      </c>
    </row>
    <row r="852" spans="1:21">
      <c r="A852" s="11" t="s">
        <v>1261</v>
      </c>
      <c r="B852" s="7">
        <f>_xlfn.XLOOKUP(Jnl[[#This Row],[TrxId]], Trx[Id], Trx[Date],,0)</f>
        <v>46053</v>
      </c>
      <c r="C852" s="7" t="str">
        <f>_xlfn.XLOOKUP(Jnl[[#This Row],[TrxId]], Trx[Id], Trx[Division],,0)</f>
        <v>MY</v>
      </c>
      <c r="D852" s="7" t="str">
        <f>_xlfn.XLOOKUP(Jnl[[#This Row],[TrxId]], Trx[Id], Trx[Action],,0)</f>
        <v>退款-客人</v>
      </c>
      <c r="E852" s="26" t="s">
        <v>87</v>
      </c>
      <c r="F852" s="11" t="s">
        <v>590</v>
      </c>
      <c r="G852" s="11" t="s">
        <v>904</v>
      </c>
      <c r="H852" s="72">
        <v>-400</v>
      </c>
      <c r="I852" s="5" t="b">
        <f>AND(Jnl[[#This Row],[TrxId]]&lt;&gt;"",Jnl[[#This Row],[Acct]]&lt;&gt;"",Jnl[[#This Row],[Item]]&lt;&gt;"",ISNUMBER(Jnl[[#This Row],[Bal]]))</f>
        <v>1</v>
      </c>
      <c r="J852" s="10">
        <f>IF(Jnl[[#This Row],[BSLv0]]="A",1,-1)*Jnl[[#This Row],[Bal]]</f>
        <v>-400</v>
      </c>
      <c r="K852" t="str">
        <f>_xlfn.XLOOKUP(Jnl[[#This Row],[Acct]], config_BS[Acct], config_BS[Lv0],,0)</f>
        <v>A</v>
      </c>
      <c r="L852" t="str">
        <f>_xlfn.XLOOKUP(Jnl[[#This Row],[Acct]], config_BS[Acct], config_BS[Lv1],,0)</f>
        <v>Assets</v>
      </c>
      <c r="M852" t="str">
        <f>_xlfn.XLOOKUP(Jnl[[#This Row],[Acct]], config_BS[Acct], config_BS[Lv2],,0)</f>
        <v>Cash alike</v>
      </c>
      <c r="N852" t="str">
        <f>_xlfn.XLOOKUP(Jnl[[#This Row],[TrxId]], Trx[Id], Trx[IncNode], ,0)</f>
        <v>Revenue</v>
      </c>
      <c r="O852" t="str">
        <f>_xlfn.XLOOKUP(Jnl[[#This Row],[IncNode]], config_IS[Node], config_IS[Type],,0)</f>
        <v>Op</v>
      </c>
      <c r="P852" t="str">
        <f>_xlfn.XLOOKUP(Jnl[[#This Row],[BSLv2]], dict[Key], dict[Name],,0)</f>
        <v>0.现金及类似</v>
      </c>
      <c r="Q852" t="str">
        <f>_xlfn.XLOOKUP(Jnl[[#This Row],[Acct]], dict[Key], dict[Name],,0)</f>
        <v>银行</v>
      </c>
      <c r="R852" t="str">
        <f>_xlfn.XLOOKUP(Jnl[[#This Row],[Vehicle]],config_vehicle[Id], config_vehicle[Name],,0)</f>
        <v>小月号</v>
      </c>
      <c r="S852" t="str">
        <f>_xlfn.XLOOKUP(Jnl[[#This Row],[Division]],config_div[Id], config_div[Name],,0)</f>
        <v>明月村</v>
      </c>
      <c r="T852" t="str">
        <f>IF(Jnl[[#This Row],[TrxDate]]&lt;=stmt_BS_date_end, "In", "Out")</f>
        <v>In</v>
      </c>
      <c r="U852" t="str">
        <f>IF(Jnl[[#This Row],[TrxDate]]&lt;debug_date_start, "prior", IF(Jnl[[#This Row],[TrxDate]]&gt;debug_date_end, "post", "curr"))</f>
        <v>prior</v>
      </c>
    </row>
    <row r="853" spans="1:21">
      <c r="A853" s="11" t="s">
        <v>1261</v>
      </c>
      <c r="B853" s="7">
        <f>_xlfn.XLOOKUP(Jnl[[#This Row],[TrxId]], Trx[Id], Trx[Date],,0)</f>
        <v>46053</v>
      </c>
      <c r="C853" s="7" t="str">
        <f>_xlfn.XLOOKUP(Jnl[[#This Row],[TrxId]], Trx[Id], Trx[Division],,0)</f>
        <v>MY</v>
      </c>
      <c r="D853" s="7" t="str">
        <f>_xlfn.XLOOKUP(Jnl[[#This Row],[TrxId]], Trx[Id], Trx[Action],,0)</f>
        <v>退款-客人</v>
      </c>
      <c r="E853" s="26" t="s">
        <v>83</v>
      </c>
      <c r="F853" s="11" t="s">
        <v>593</v>
      </c>
      <c r="G853" s="11" t="s">
        <v>1065</v>
      </c>
      <c r="H853" s="72">
        <f>-H852</f>
        <v>400</v>
      </c>
      <c r="I853" s="5" t="b">
        <f>AND(Jnl[[#This Row],[TrxId]]&lt;&gt;"",Jnl[[#This Row],[Acct]]&lt;&gt;"",Jnl[[#This Row],[Item]]&lt;&gt;"",ISNUMBER(Jnl[[#This Row],[Bal]]))</f>
        <v>1</v>
      </c>
      <c r="J853" s="10">
        <f>IF(Jnl[[#This Row],[BSLv0]]="A",1,-1)*Jnl[[#This Row],[Bal]]</f>
        <v>400</v>
      </c>
      <c r="K853" t="str">
        <f>_xlfn.XLOOKUP(Jnl[[#This Row],[Acct]], config_BS[Acct], config_BS[Lv0],,0)</f>
        <v>A</v>
      </c>
      <c r="L853" t="str">
        <f>_xlfn.XLOOKUP(Jnl[[#This Row],[Acct]], config_BS[Acct], config_BS[Lv1],,0)</f>
        <v>Assets</v>
      </c>
      <c r="M853" t="str">
        <f>_xlfn.XLOOKUP(Jnl[[#This Row],[Acct]], config_BS[Acct], config_BS[Lv2],,0)</f>
        <v>Rec-Pay</v>
      </c>
      <c r="N853" t="str">
        <f>_xlfn.XLOOKUP(Jnl[[#This Row],[TrxId]], Trx[Id], Trx[IncNode], ,0)</f>
        <v>Revenue</v>
      </c>
      <c r="O853" t="str">
        <f>_xlfn.XLOOKUP(Jnl[[#This Row],[IncNode]], config_IS[Node], config_IS[Type],,0)</f>
        <v>Op</v>
      </c>
      <c r="P853" t="str">
        <f>_xlfn.XLOOKUP(Jnl[[#This Row],[BSLv2]], dict[Key], dict[Name],,0)</f>
        <v>1.应收-应付</v>
      </c>
      <c r="Q853" t="str">
        <f>_xlfn.XLOOKUP(Jnl[[#This Row],[Acct]], dict[Key], dict[Name],,0)</f>
        <v>应收-一般</v>
      </c>
      <c r="R853" t="str">
        <f>_xlfn.XLOOKUP(Jnl[[#This Row],[Vehicle]],config_vehicle[Id], config_vehicle[Name],,0)</f>
        <v>远家文化</v>
      </c>
      <c r="S853" t="str">
        <f>_xlfn.XLOOKUP(Jnl[[#This Row],[Division]],config_div[Id], config_div[Name],,0)</f>
        <v>明月村</v>
      </c>
      <c r="T853" t="str">
        <f>IF(Jnl[[#This Row],[TrxDate]]&lt;=stmt_BS_date_end, "In", "Out")</f>
        <v>In</v>
      </c>
      <c r="U853" t="str">
        <f>IF(Jnl[[#This Row],[TrxDate]]&lt;debug_date_start, "prior", IF(Jnl[[#This Row],[TrxDate]]&gt;debug_date_end, "post", "curr"))</f>
        <v>prior</v>
      </c>
    </row>
    <row r="854" spans="1:21">
      <c r="A854" s="11" t="s">
        <v>1262</v>
      </c>
      <c r="B854" s="7">
        <f>_xlfn.XLOOKUP(Jnl[[#This Row],[TrxId]], Trx[Id], Trx[Date],,0)</f>
        <v>46053</v>
      </c>
      <c r="C854" s="7" t="str">
        <f>_xlfn.XLOOKUP(Jnl[[#This Row],[TrxId]], Trx[Id], Trx[Division],,0)</f>
        <v>MY</v>
      </c>
      <c r="D854" s="7" t="str">
        <f>_xlfn.XLOOKUP(Jnl[[#This Row],[TrxId]], Trx[Id], Trx[Action],,0)</f>
        <v>事故</v>
      </c>
      <c r="E854" s="26" t="s">
        <v>87</v>
      </c>
      <c r="F854" s="11" t="s">
        <v>590</v>
      </c>
      <c r="G854" s="11" t="s">
        <v>904</v>
      </c>
      <c r="H854" s="72">
        <v>-275</v>
      </c>
      <c r="I854" s="5" t="b">
        <f>AND(Jnl[[#This Row],[TrxId]]&lt;&gt;"",Jnl[[#This Row],[Acct]]&lt;&gt;"",Jnl[[#This Row],[Item]]&lt;&gt;"",ISNUMBER(Jnl[[#This Row],[Bal]]))</f>
        <v>1</v>
      </c>
      <c r="J854" s="10">
        <f>IF(Jnl[[#This Row],[BSLv0]]="A",1,-1)*Jnl[[#This Row],[Bal]]</f>
        <v>-275</v>
      </c>
      <c r="K854" t="str">
        <f>_xlfn.XLOOKUP(Jnl[[#This Row],[Acct]], config_BS[Acct], config_BS[Lv0],,0)</f>
        <v>A</v>
      </c>
      <c r="L854" t="str">
        <f>_xlfn.XLOOKUP(Jnl[[#This Row],[Acct]], config_BS[Acct], config_BS[Lv1],,0)</f>
        <v>Assets</v>
      </c>
      <c r="M854" t="str">
        <f>_xlfn.XLOOKUP(Jnl[[#This Row],[Acct]], config_BS[Acct], config_BS[Lv2],,0)</f>
        <v>Cash alike</v>
      </c>
      <c r="N854" t="str">
        <f>_xlfn.XLOOKUP(Jnl[[#This Row],[TrxId]], Trx[Id], Trx[IncNode], ,0)</f>
        <v>Other</v>
      </c>
      <c r="O854" t="str">
        <f>_xlfn.XLOOKUP(Jnl[[#This Row],[IncNode]], config_IS[Node], config_IS[Type],,0)</f>
        <v>Non-Op</v>
      </c>
      <c r="P854" t="str">
        <f>_xlfn.XLOOKUP(Jnl[[#This Row],[BSLv2]], dict[Key], dict[Name],,0)</f>
        <v>0.现金及类似</v>
      </c>
      <c r="Q854" t="str">
        <f>_xlfn.XLOOKUP(Jnl[[#This Row],[Acct]], dict[Key], dict[Name],,0)</f>
        <v>银行</v>
      </c>
      <c r="R854" t="str">
        <f>_xlfn.XLOOKUP(Jnl[[#This Row],[Vehicle]],config_vehicle[Id], config_vehicle[Name],,0)</f>
        <v>小月号</v>
      </c>
      <c r="S854" t="str">
        <f>_xlfn.XLOOKUP(Jnl[[#This Row],[Division]],config_div[Id], config_div[Name],,0)</f>
        <v>明月村</v>
      </c>
      <c r="T854" t="str">
        <f>IF(Jnl[[#This Row],[TrxDate]]&lt;=stmt_BS_date_end, "In", "Out")</f>
        <v>In</v>
      </c>
      <c r="U854" t="str">
        <f>IF(Jnl[[#This Row],[TrxDate]]&lt;debug_date_start, "prior", IF(Jnl[[#This Row],[TrxDate]]&gt;debug_date_end, "post", "curr"))</f>
        <v>prior</v>
      </c>
    </row>
    <row r="855" spans="1:21">
      <c r="A855" s="11" t="s">
        <v>1263</v>
      </c>
      <c r="B855" s="7">
        <f>_xlfn.XLOOKUP(Jnl[[#This Row],[TrxId]], Trx[Id], Trx[Date],,0)</f>
        <v>46053</v>
      </c>
      <c r="C855" s="7" t="str">
        <f>_xlfn.XLOOKUP(Jnl[[#This Row],[TrxId]], Trx[Id], Trx[Division],,0)</f>
        <v>MY</v>
      </c>
      <c r="D855" s="7" t="str">
        <f>_xlfn.XLOOKUP(Jnl[[#This Row],[TrxId]], Trx[Id], Trx[Action],,0)</f>
        <v>退款-客人</v>
      </c>
      <c r="E855" s="26" t="s">
        <v>87</v>
      </c>
      <c r="F855" s="11" t="s">
        <v>590</v>
      </c>
      <c r="G855" s="11" t="s">
        <v>904</v>
      </c>
      <c r="H855" s="72">
        <v>-129.04</v>
      </c>
      <c r="I855" s="5" t="b">
        <f>AND(Jnl[[#This Row],[TrxId]]&lt;&gt;"",Jnl[[#This Row],[Acct]]&lt;&gt;"",Jnl[[#This Row],[Item]]&lt;&gt;"",ISNUMBER(Jnl[[#This Row],[Bal]]))</f>
        <v>1</v>
      </c>
      <c r="J855" s="10">
        <f>IF(Jnl[[#This Row],[BSLv0]]="A",1,-1)*Jnl[[#This Row],[Bal]]</f>
        <v>-129.04</v>
      </c>
      <c r="K855" t="str">
        <f>_xlfn.XLOOKUP(Jnl[[#This Row],[Acct]], config_BS[Acct], config_BS[Lv0],,0)</f>
        <v>A</v>
      </c>
      <c r="L855" t="str">
        <f>_xlfn.XLOOKUP(Jnl[[#This Row],[Acct]], config_BS[Acct], config_BS[Lv1],,0)</f>
        <v>Assets</v>
      </c>
      <c r="M855" t="str">
        <f>_xlfn.XLOOKUP(Jnl[[#This Row],[Acct]], config_BS[Acct], config_BS[Lv2],,0)</f>
        <v>Cash alike</v>
      </c>
      <c r="N855" t="str">
        <f>_xlfn.XLOOKUP(Jnl[[#This Row],[TrxId]], Trx[Id], Trx[IncNode], ,0)</f>
        <v>Revenue</v>
      </c>
      <c r="O855" t="str">
        <f>_xlfn.XLOOKUP(Jnl[[#This Row],[IncNode]], config_IS[Node], config_IS[Type],,0)</f>
        <v>Op</v>
      </c>
      <c r="P855" t="str">
        <f>_xlfn.XLOOKUP(Jnl[[#This Row],[BSLv2]], dict[Key], dict[Name],,0)</f>
        <v>0.现金及类似</v>
      </c>
      <c r="Q855" t="str">
        <f>_xlfn.XLOOKUP(Jnl[[#This Row],[Acct]], dict[Key], dict[Name],,0)</f>
        <v>银行</v>
      </c>
      <c r="R855" t="str">
        <f>_xlfn.XLOOKUP(Jnl[[#This Row],[Vehicle]],config_vehicle[Id], config_vehicle[Name],,0)</f>
        <v>小月号</v>
      </c>
      <c r="S855" t="str">
        <f>_xlfn.XLOOKUP(Jnl[[#This Row],[Division]],config_div[Id], config_div[Name],,0)</f>
        <v>明月村</v>
      </c>
      <c r="T855" t="str">
        <f>IF(Jnl[[#This Row],[TrxDate]]&lt;=stmt_BS_date_end, "In", "Out")</f>
        <v>In</v>
      </c>
      <c r="U855" t="str">
        <f>IF(Jnl[[#This Row],[TrxDate]]&lt;debug_date_start, "prior", IF(Jnl[[#This Row],[TrxDate]]&gt;debug_date_end, "post", "curr"))</f>
        <v>prior</v>
      </c>
    </row>
    <row r="856" spans="1:21">
      <c r="A856" s="11" t="s">
        <v>1263</v>
      </c>
      <c r="B856" s="7">
        <f>_xlfn.XLOOKUP(Jnl[[#This Row],[TrxId]], Trx[Id], Trx[Date],,0)</f>
        <v>46053</v>
      </c>
      <c r="C856" s="7" t="str">
        <f>_xlfn.XLOOKUP(Jnl[[#This Row],[TrxId]], Trx[Id], Trx[Division],,0)</f>
        <v>MY</v>
      </c>
      <c r="D856" s="7" t="str">
        <f>_xlfn.XLOOKUP(Jnl[[#This Row],[TrxId]], Trx[Id], Trx[Action],,0)</f>
        <v>退款-客人</v>
      </c>
      <c r="E856" s="26" t="s">
        <v>83</v>
      </c>
      <c r="F856" s="11" t="s">
        <v>593</v>
      </c>
      <c r="G856" s="11" t="s">
        <v>942</v>
      </c>
      <c r="H856" s="72">
        <v>129.04</v>
      </c>
      <c r="I856" s="5" t="b">
        <f>AND(Jnl[[#This Row],[TrxId]]&lt;&gt;"",Jnl[[#This Row],[Acct]]&lt;&gt;"",Jnl[[#This Row],[Item]]&lt;&gt;"",ISNUMBER(Jnl[[#This Row],[Bal]]))</f>
        <v>1</v>
      </c>
      <c r="J856" s="10">
        <f>IF(Jnl[[#This Row],[BSLv0]]="A",1,-1)*Jnl[[#This Row],[Bal]]</f>
        <v>129.04</v>
      </c>
      <c r="K856" t="str">
        <f>_xlfn.XLOOKUP(Jnl[[#This Row],[Acct]], config_BS[Acct], config_BS[Lv0],,0)</f>
        <v>A</v>
      </c>
      <c r="L856" t="str">
        <f>_xlfn.XLOOKUP(Jnl[[#This Row],[Acct]], config_BS[Acct], config_BS[Lv1],,0)</f>
        <v>Assets</v>
      </c>
      <c r="M856" t="str">
        <f>_xlfn.XLOOKUP(Jnl[[#This Row],[Acct]], config_BS[Acct], config_BS[Lv2],,0)</f>
        <v>Rec-Pay</v>
      </c>
      <c r="N856" t="str">
        <f>_xlfn.XLOOKUP(Jnl[[#This Row],[TrxId]], Trx[Id], Trx[IncNode], ,0)</f>
        <v>Revenue</v>
      </c>
      <c r="O856" t="str">
        <f>_xlfn.XLOOKUP(Jnl[[#This Row],[IncNode]], config_IS[Node], config_IS[Type],,0)</f>
        <v>Op</v>
      </c>
      <c r="P856" t="str">
        <f>_xlfn.XLOOKUP(Jnl[[#This Row],[BSLv2]], dict[Key], dict[Name],,0)</f>
        <v>1.应收-应付</v>
      </c>
      <c r="Q856" t="str">
        <f>_xlfn.XLOOKUP(Jnl[[#This Row],[Acct]], dict[Key], dict[Name],,0)</f>
        <v>应收-一般</v>
      </c>
      <c r="R856" t="str">
        <f>_xlfn.XLOOKUP(Jnl[[#This Row],[Vehicle]],config_vehicle[Id], config_vehicle[Name],,0)</f>
        <v>远家文化</v>
      </c>
      <c r="S856" t="str">
        <f>_xlfn.XLOOKUP(Jnl[[#This Row],[Division]],config_div[Id], config_div[Name],,0)</f>
        <v>明月村</v>
      </c>
      <c r="T856" t="str">
        <f>IF(Jnl[[#This Row],[TrxDate]]&lt;=stmt_BS_date_end, "In", "Out")</f>
        <v>In</v>
      </c>
      <c r="U856" t="str">
        <f>IF(Jnl[[#This Row],[TrxDate]]&lt;debug_date_start, "prior", IF(Jnl[[#This Row],[TrxDate]]&gt;debug_date_end, "post", "curr"))</f>
        <v>prior</v>
      </c>
    </row>
    <row r="857" spans="1:21">
      <c r="A857" s="11" t="s">
        <v>1264</v>
      </c>
      <c r="B857" s="7">
        <f>_xlfn.XLOOKUP(Jnl[[#This Row],[TrxId]], Trx[Id], Trx[Date],,0)</f>
        <v>46053</v>
      </c>
      <c r="C857" s="7" t="str">
        <f>_xlfn.XLOOKUP(Jnl[[#This Row],[TrxId]], Trx[Id], Trx[Division],,0)</f>
        <v>MY</v>
      </c>
      <c r="D857" s="7" t="str">
        <f>_xlfn.XLOOKUP(Jnl[[#This Row],[TrxId]], Trx[Id], Trx[Action],,0)</f>
        <v>收款</v>
      </c>
      <c r="E857" s="26" t="s">
        <v>83</v>
      </c>
      <c r="F857" s="11" t="s">
        <v>593</v>
      </c>
      <c r="G857" s="11" t="s">
        <v>1065</v>
      </c>
      <c r="H857" s="72">
        <f>-H858</f>
        <v>-200</v>
      </c>
      <c r="I857" s="5" t="b">
        <f>AND(Jnl[[#This Row],[TrxId]]&lt;&gt;"",Jnl[[#This Row],[Acct]]&lt;&gt;"",Jnl[[#This Row],[Item]]&lt;&gt;"",ISNUMBER(Jnl[[#This Row],[Bal]]))</f>
        <v>1</v>
      </c>
      <c r="J857" s="10">
        <f>IF(Jnl[[#This Row],[BSLv0]]="A",1,-1)*Jnl[[#This Row],[Bal]]</f>
        <v>-200</v>
      </c>
      <c r="K857" t="str">
        <f>_xlfn.XLOOKUP(Jnl[[#This Row],[Acct]], config_BS[Acct], config_BS[Lv0],,0)</f>
        <v>A</v>
      </c>
      <c r="L857" t="str">
        <f>_xlfn.XLOOKUP(Jnl[[#This Row],[Acct]], config_BS[Acct], config_BS[Lv1],,0)</f>
        <v>Assets</v>
      </c>
      <c r="M857" t="str">
        <f>_xlfn.XLOOKUP(Jnl[[#This Row],[Acct]], config_BS[Acct], config_BS[Lv2],,0)</f>
        <v>Rec-Pay</v>
      </c>
      <c r="N857" t="str">
        <f>_xlfn.XLOOKUP(Jnl[[#This Row],[TrxId]], Trx[Id], Trx[IncNode], ,0)</f>
        <v>Revenue</v>
      </c>
      <c r="O857" t="str">
        <f>_xlfn.XLOOKUP(Jnl[[#This Row],[IncNode]], config_IS[Node], config_IS[Type],,0)</f>
        <v>Op</v>
      </c>
      <c r="P857" t="str">
        <f>_xlfn.XLOOKUP(Jnl[[#This Row],[BSLv2]], dict[Key], dict[Name],,0)</f>
        <v>1.应收-应付</v>
      </c>
      <c r="Q857" t="str">
        <f>_xlfn.XLOOKUP(Jnl[[#This Row],[Acct]], dict[Key], dict[Name],,0)</f>
        <v>应收-一般</v>
      </c>
      <c r="R857" t="str">
        <f>_xlfn.XLOOKUP(Jnl[[#This Row],[Vehicle]],config_vehicle[Id], config_vehicle[Name],,0)</f>
        <v>远家文化</v>
      </c>
      <c r="S857" t="str">
        <f>_xlfn.XLOOKUP(Jnl[[#This Row],[Division]],config_div[Id], config_div[Name],,0)</f>
        <v>明月村</v>
      </c>
      <c r="T857" t="str">
        <f>IF(Jnl[[#This Row],[TrxDate]]&lt;=stmt_BS_date_end, "In", "Out")</f>
        <v>In</v>
      </c>
      <c r="U857" t="str">
        <f>IF(Jnl[[#This Row],[TrxDate]]&lt;debug_date_start, "prior", IF(Jnl[[#This Row],[TrxDate]]&gt;debug_date_end, "post", "curr"))</f>
        <v>prior</v>
      </c>
    </row>
    <row r="858" spans="1:21">
      <c r="A858" s="11" t="s">
        <v>1264</v>
      </c>
      <c r="B858" s="7">
        <f>_xlfn.XLOOKUP(Jnl[[#This Row],[TrxId]], Trx[Id], Trx[Date],,0)</f>
        <v>46053</v>
      </c>
      <c r="C858" s="7" t="str">
        <f>_xlfn.XLOOKUP(Jnl[[#This Row],[TrxId]], Trx[Id], Trx[Division],,0)</f>
        <v>MY</v>
      </c>
      <c r="D858" s="7" t="str">
        <f>_xlfn.XLOOKUP(Jnl[[#This Row],[TrxId]], Trx[Id], Trx[Action],,0)</f>
        <v>收款</v>
      </c>
      <c r="E858" s="26" t="s">
        <v>87</v>
      </c>
      <c r="F858" s="11" t="s">
        <v>590</v>
      </c>
      <c r="G858" s="11" t="s">
        <v>904</v>
      </c>
      <c r="H858" s="72">
        <v>200</v>
      </c>
      <c r="I858" s="5" t="b">
        <f>AND(Jnl[[#This Row],[TrxId]]&lt;&gt;"",Jnl[[#This Row],[Acct]]&lt;&gt;"",Jnl[[#This Row],[Item]]&lt;&gt;"",ISNUMBER(Jnl[[#This Row],[Bal]]))</f>
        <v>1</v>
      </c>
      <c r="J858" s="10">
        <f>IF(Jnl[[#This Row],[BSLv0]]="A",1,-1)*Jnl[[#This Row],[Bal]]</f>
        <v>200</v>
      </c>
      <c r="K858" t="str">
        <f>_xlfn.XLOOKUP(Jnl[[#This Row],[Acct]], config_BS[Acct], config_BS[Lv0],,0)</f>
        <v>A</v>
      </c>
      <c r="L858" t="str">
        <f>_xlfn.XLOOKUP(Jnl[[#This Row],[Acct]], config_BS[Acct], config_BS[Lv1],,0)</f>
        <v>Assets</v>
      </c>
      <c r="M858" t="str">
        <f>_xlfn.XLOOKUP(Jnl[[#This Row],[Acct]], config_BS[Acct], config_BS[Lv2],,0)</f>
        <v>Cash alike</v>
      </c>
      <c r="N858" t="str">
        <f>_xlfn.XLOOKUP(Jnl[[#This Row],[TrxId]], Trx[Id], Trx[IncNode], ,0)</f>
        <v>Revenue</v>
      </c>
      <c r="O858" t="str">
        <f>_xlfn.XLOOKUP(Jnl[[#This Row],[IncNode]], config_IS[Node], config_IS[Type],,0)</f>
        <v>Op</v>
      </c>
      <c r="P858" t="str">
        <f>_xlfn.XLOOKUP(Jnl[[#This Row],[BSLv2]], dict[Key], dict[Name],,0)</f>
        <v>0.现金及类似</v>
      </c>
      <c r="Q858" t="str">
        <f>_xlfn.XLOOKUP(Jnl[[#This Row],[Acct]], dict[Key], dict[Name],,0)</f>
        <v>银行</v>
      </c>
      <c r="R858" t="str">
        <f>_xlfn.XLOOKUP(Jnl[[#This Row],[Vehicle]],config_vehicle[Id], config_vehicle[Name],,0)</f>
        <v>小月号</v>
      </c>
      <c r="S858" t="str">
        <f>_xlfn.XLOOKUP(Jnl[[#This Row],[Division]],config_div[Id], config_div[Name],,0)</f>
        <v>明月村</v>
      </c>
      <c r="T858" t="str">
        <f>IF(Jnl[[#This Row],[TrxDate]]&lt;=stmt_BS_date_end, "In", "Out")</f>
        <v>In</v>
      </c>
      <c r="U858" t="str">
        <f>IF(Jnl[[#This Row],[TrxDate]]&lt;debug_date_start, "prior", IF(Jnl[[#This Row],[TrxDate]]&gt;debug_date_end, "post", "curr"))</f>
        <v>prior</v>
      </c>
    </row>
    <row r="859" spans="1:21">
      <c r="A859" s="11" t="s">
        <v>1265</v>
      </c>
      <c r="B859" s="7">
        <f>_xlfn.XLOOKUP(Jnl[[#This Row],[TrxId]], Trx[Id], Trx[Date],,0)</f>
        <v>46053</v>
      </c>
      <c r="C859" s="7" t="str">
        <f>_xlfn.XLOOKUP(Jnl[[#This Row],[TrxId]], Trx[Id], Trx[Division],,0)</f>
        <v>MY</v>
      </c>
      <c r="D859" s="7" t="str">
        <f>_xlfn.XLOOKUP(Jnl[[#This Row],[TrxId]], Trx[Id], Trx[Action],,0)</f>
        <v>收款</v>
      </c>
      <c r="E859" s="26" t="s">
        <v>83</v>
      </c>
      <c r="F859" s="11" t="s">
        <v>1194</v>
      </c>
      <c r="G859" s="11" t="s">
        <v>920</v>
      </c>
      <c r="H859" s="72">
        <v>980</v>
      </c>
      <c r="I859" s="5" t="b">
        <f>AND(Jnl[[#This Row],[TrxId]]&lt;&gt;"",Jnl[[#This Row],[Acct]]&lt;&gt;"",Jnl[[#This Row],[Item]]&lt;&gt;"",ISNUMBER(Jnl[[#This Row],[Bal]]))</f>
        <v>1</v>
      </c>
      <c r="J859" s="10">
        <f>IF(Jnl[[#This Row],[BSLv0]]="A",1,-1)*Jnl[[#This Row],[Bal]]</f>
        <v>-980</v>
      </c>
      <c r="K859" t="str">
        <f>_xlfn.XLOOKUP(Jnl[[#This Row],[Acct]], config_BS[Acct], config_BS[Lv0],,0)</f>
        <v>LC</v>
      </c>
      <c r="L859" t="str">
        <f>_xlfn.XLOOKUP(Jnl[[#This Row],[Acct]], config_BS[Acct], config_BS[Lv1],,0)</f>
        <v>Liability</v>
      </c>
      <c r="M859" t="str">
        <f>_xlfn.XLOOKUP(Jnl[[#This Row],[Acct]], config_BS[Acct], config_BS[Lv2],,0)</f>
        <v>Cash alike</v>
      </c>
      <c r="N859" t="str">
        <f>_xlfn.XLOOKUP(Jnl[[#This Row],[TrxId]], Trx[Id], Trx[IncNode], ,0)</f>
        <v>Revenue</v>
      </c>
      <c r="O859" t="str">
        <f>_xlfn.XLOOKUP(Jnl[[#This Row],[IncNode]], config_IS[Node], config_IS[Type],,0)</f>
        <v>Op</v>
      </c>
      <c r="P859" t="str">
        <f>_xlfn.XLOOKUP(Jnl[[#This Row],[BSLv2]], dict[Key], dict[Name],,0)</f>
        <v>0.现金及类似</v>
      </c>
      <c r="Q859" t="str">
        <f>_xlfn.XLOOKUP(Jnl[[#This Row],[Acct]], dict[Key], dict[Name],,0)</f>
        <v>会员充值</v>
      </c>
      <c r="R859" t="str">
        <f>_xlfn.XLOOKUP(Jnl[[#This Row],[Vehicle]],config_vehicle[Id], config_vehicle[Name],,0)</f>
        <v>远家文化</v>
      </c>
      <c r="S859" t="str">
        <f>_xlfn.XLOOKUP(Jnl[[#This Row],[Division]],config_div[Id], config_div[Name],,0)</f>
        <v>明月村</v>
      </c>
      <c r="T859" t="str">
        <f>IF(Jnl[[#This Row],[TrxDate]]&lt;=stmt_BS_date_end, "In", "Out")</f>
        <v>In</v>
      </c>
      <c r="U859" t="str">
        <f>IF(Jnl[[#This Row],[TrxDate]]&lt;debug_date_start, "prior", IF(Jnl[[#This Row],[TrxDate]]&gt;debug_date_end, "post", "curr"))</f>
        <v>prior</v>
      </c>
    </row>
    <row r="860" spans="1:21">
      <c r="A860" s="11" t="s">
        <v>1265</v>
      </c>
      <c r="B860" s="7">
        <f>_xlfn.XLOOKUP(Jnl[[#This Row],[TrxId]], Trx[Id], Trx[Date],,0)</f>
        <v>46053</v>
      </c>
      <c r="C860" s="7" t="str">
        <f>_xlfn.XLOOKUP(Jnl[[#This Row],[TrxId]], Trx[Id], Trx[Division],,0)</f>
        <v>MY</v>
      </c>
      <c r="D860" s="7" t="str">
        <f>_xlfn.XLOOKUP(Jnl[[#This Row],[TrxId]], Trx[Id], Trx[Action],,0)</f>
        <v>收款</v>
      </c>
      <c r="E860" s="26" t="s">
        <v>87</v>
      </c>
      <c r="F860" s="11" t="s">
        <v>590</v>
      </c>
      <c r="G860" s="11" t="s">
        <v>904</v>
      </c>
      <c r="H860" s="72">
        <f>H859</f>
        <v>980</v>
      </c>
      <c r="I860" s="5" t="b">
        <f>AND(Jnl[[#This Row],[TrxId]]&lt;&gt;"",Jnl[[#This Row],[Acct]]&lt;&gt;"",Jnl[[#This Row],[Item]]&lt;&gt;"",ISNUMBER(Jnl[[#This Row],[Bal]]))</f>
        <v>1</v>
      </c>
      <c r="J860" s="10">
        <f>IF(Jnl[[#This Row],[BSLv0]]="A",1,-1)*Jnl[[#This Row],[Bal]]</f>
        <v>980</v>
      </c>
      <c r="K860" t="str">
        <f>_xlfn.XLOOKUP(Jnl[[#This Row],[Acct]], config_BS[Acct], config_BS[Lv0],,0)</f>
        <v>A</v>
      </c>
      <c r="L860" t="str">
        <f>_xlfn.XLOOKUP(Jnl[[#This Row],[Acct]], config_BS[Acct], config_BS[Lv1],,0)</f>
        <v>Assets</v>
      </c>
      <c r="M860" t="str">
        <f>_xlfn.XLOOKUP(Jnl[[#This Row],[Acct]], config_BS[Acct], config_BS[Lv2],,0)</f>
        <v>Cash alike</v>
      </c>
      <c r="N860" t="str">
        <f>_xlfn.XLOOKUP(Jnl[[#This Row],[TrxId]], Trx[Id], Trx[IncNode], ,0)</f>
        <v>Revenue</v>
      </c>
      <c r="O860" t="str">
        <f>_xlfn.XLOOKUP(Jnl[[#This Row],[IncNode]], config_IS[Node], config_IS[Type],,0)</f>
        <v>Op</v>
      </c>
      <c r="P860" t="str">
        <f>_xlfn.XLOOKUP(Jnl[[#This Row],[BSLv2]], dict[Key], dict[Name],,0)</f>
        <v>0.现金及类似</v>
      </c>
      <c r="Q860" t="str">
        <f>_xlfn.XLOOKUP(Jnl[[#This Row],[Acct]], dict[Key], dict[Name],,0)</f>
        <v>银行</v>
      </c>
      <c r="R860" t="str">
        <f>_xlfn.XLOOKUP(Jnl[[#This Row],[Vehicle]],config_vehicle[Id], config_vehicle[Name],,0)</f>
        <v>小月号</v>
      </c>
      <c r="S860" t="str">
        <f>_xlfn.XLOOKUP(Jnl[[#This Row],[Division]],config_div[Id], config_div[Name],,0)</f>
        <v>明月村</v>
      </c>
      <c r="T860" t="str">
        <f>IF(Jnl[[#This Row],[TrxDate]]&lt;=stmt_BS_date_end, "In", "Out")</f>
        <v>In</v>
      </c>
      <c r="U860" t="str">
        <f>IF(Jnl[[#This Row],[TrxDate]]&lt;debug_date_start, "prior", IF(Jnl[[#This Row],[TrxDate]]&gt;debug_date_end, "post", "curr"))</f>
        <v>prior</v>
      </c>
    </row>
    <row r="861" spans="1:21">
      <c r="A861" s="11" t="s">
        <v>1266</v>
      </c>
      <c r="B861" s="7">
        <f>_xlfn.XLOOKUP(Jnl[[#This Row],[TrxId]], Trx[Id], Trx[Date],,0)</f>
        <v>46053</v>
      </c>
      <c r="C861" s="7" t="str">
        <f>_xlfn.XLOOKUP(Jnl[[#This Row],[TrxId]], Trx[Id], Trx[Division],,0)</f>
        <v>MY</v>
      </c>
      <c r="D861" s="7" t="str">
        <f>_xlfn.XLOOKUP(Jnl[[#This Row],[TrxId]], Trx[Id], Trx[Action],,0)</f>
        <v>收款</v>
      </c>
      <c r="E861" s="26" t="s">
        <v>83</v>
      </c>
      <c r="F861" s="11" t="s">
        <v>590</v>
      </c>
      <c r="G861" s="11" t="s">
        <v>846</v>
      </c>
      <c r="H861" s="72">
        <v>22937</v>
      </c>
      <c r="I861" s="5" t="b">
        <f>AND(Jnl[[#This Row],[TrxId]]&lt;&gt;"",Jnl[[#This Row],[Acct]]&lt;&gt;"",Jnl[[#This Row],[Item]]&lt;&gt;"",ISNUMBER(Jnl[[#This Row],[Bal]]))</f>
        <v>1</v>
      </c>
      <c r="J861" s="10">
        <f>IF(Jnl[[#This Row],[BSLv0]]="A",1,-1)*Jnl[[#This Row],[Bal]]</f>
        <v>22937</v>
      </c>
      <c r="K861" t="str">
        <f>_xlfn.XLOOKUP(Jnl[[#This Row],[Acct]], config_BS[Acct], config_BS[Lv0],,0)</f>
        <v>A</v>
      </c>
      <c r="L861" t="str">
        <f>_xlfn.XLOOKUP(Jnl[[#This Row],[Acct]], config_BS[Acct], config_BS[Lv1],,0)</f>
        <v>Assets</v>
      </c>
      <c r="M861" t="str">
        <f>_xlfn.XLOOKUP(Jnl[[#This Row],[Acct]], config_BS[Acct], config_BS[Lv2],,0)</f>
        <v>Cash alike</v>
      </c>
      <c r="N861" t="str">
        <f>_xlfn.XLOOKUP(Jnl[[#This Row],[TrxId]], Trx[Id], Trx[IncNode], ,0)</f>
        <v>Revenue</v>
      </c>
      <c r="O861" t="str">
        <f>_xlfn.XLOOKUP(Jnl[[#This Row],[IncNode]], config_IS[Node], config_IS[Type],,0)</f>
        <v>Op</v>
      </c>
      <c r="P861" t="str">
        <f>_xlfn.XLOOKUP(Jnl[[#This Row],[BSLv2]], dict[Key], dict[Name],,0)</f>
        <v>0.现金及类似</v>
      </c>
      <c r="Q861" t="str">
        <f>_xlfn.XLOOKUP(Jnl[[#This Row],[Acct]], dict[Key], dict[Name],,0)</f>
        <v>银行</v>
      </c>
      <c r="R861" t="str">
        <f>_xlfn.XLOOKUP(Jnl[[#This Row],[Vehicle]],config_vehicle[Id], config_vehicle[Name],,0)</f>
        <v>远家文化</v>
      </c>
      <c r="S861" t="str">
        <f>_xlfn.XLOOKUP(Jnl[[#This Row],[Division]],config_div[Id], config_div[Name],,0)</f>
        <v>明月村</v>
      </c>
      <c r="T861" t="str">
        <f>IF(Jnl[[#This Row],[TrxDate]]&lt;=stmt_BS_date_end, "In", "Out")</f>
        <v>In</v>
      </c>
      <c r="U861" t="str">
        <f>IF(Jnl[[#This Row],[TrxDate]]&lt;debug_date_start, "prior", IF(Jnl[[#This Row],[TrxDate]]&gt;debug_date_end, "post", "curr"))</f>
        <v>prior</v>
      </c>
    </row>
    <row r="862" spans="1:21">
      <c r="A862" s="11" t="s">
        <v>1266</v>
      </c>
      <c r="B862" s="7">
        <f>_xlfn.XLOOKUP(Jnl[[#This Row],[TrxId]], Trx[Id], Trx[Date],,0)</f>
        <v>46053</v>
      </c>
      <c r="C862" s="7" t="str">
        <f>_xlfn.XLOOKUP(Jnl[[#This Row],[TrxId]], Trx[Id], Trx[Division],,0)</f>
        <v>MY</v>
      </c>
      <c r="D862" s="7" t="str">
        <f>_xlfn.XLOOKUP(Jnl[[#This Row],[TrxId]], Trx[Id], Trx[Action],,0)</f>
        <v>收款</v>
      </c>
      <c r="E862" s="26" t="s">
        <v>83</v>
      </c>
      <c r="F862" s="11" t="s">
        <v>593</v>
      </c>
      <c r="G862" s="11" t="s">
        <v>1127</v>
      </c>
      <c r="H862" s="72">
        <f>-H861</f>
        <v>-22937</v>
      </c>
      <c r="I862" s="5" t="b">
        <f>AND(Jnl[[#This Row],[TrxId]]&lt;&gt;"",Jnl[[#This Row],[Acct]]&lt;&gt;"",Jnl[[#This Row],[Item]]&lt;&gt;"",ISNUMBER(Jnl[[#This Row],[Bal]]))</f>
        <v>1</v>
      </c>
      <c r="J862" s="10">
        <f>IF(Jnl[[#This Row],[BSLv0]]="A",1,-1)*Jnl[[#This Row],[Bal]]</f>
        <v>-22937</v>
      </c>
      <c r="K862" t="str">
        <f>_xlfn.XLOOKUP(Jnl[[#This Row],[Acct]], config_BS[Acct], config_BS[Lv0],,0)</f>
        <v>A</v>
      </c>
      <c r="L862" t="str">
        <f>_xlfn.XLOOKUP(Jnl[[#This Row],[Acct]], config_BS[Acct], config_BS[Lv1],,0)</f>
        <v>Assets</v>
      </c>
      <c r="M862" t="str">
        <f>_xlfn.XLOOKUP(Jnl[[#This Row],[Acct]], config_BS[Acct], config_BS[Lv2],,0)</f>
        <v>Rec-Pay</v>
      </c>
      <c r="N862" t="str">
        <f>_xlfn.XLOOKUP(Jnl[[#This Row],[TrxId]], Trx[Id], Trx[IncNode], ,0)</f>
        <v>Revenue</v>
      </c>
      <c r="O862" t="str">
        <f>_xlfn.XLOOKUP(Jnl[[#This Row],[IncNode]], config_IS[Node], config_IS[Type],,0)</f>
        <v>Op</v>
      </c>
      <c r="P862" t="str">
        <f>_xlfn.XLOOKUP(Jnl[[#This Row],[BSLv2]], dict[Key], dict[Name],,0)</f>
        <v>1.应收-应付</v>
      </c>
      <c r="Q862" t="str">
        <f>_xlfn.XLOOKUP(Jnl[[#This Row],[Acct]], dict[Key], dict[Name],,0)</f>
        <v>应收-一般</v>
      </c>
      <c r="R862" t="str">
        <f>_xlfn.XLOOKUP(Jnl[[#This Row],[Vehicle]],config_vehicle[Id], config_vehicle[Name],,0)</f>
        <v>远家文化</v>
      </c>
      <c r="S862" t="str">
        <f>_xlfn.XLOOKUP(Jnl[[#This Row],[Division]],config_div[Id], config_div[Name],,0)</f>
        <v>明月村</v>
      </c>
      <c r="T862" t="str">
        <f>IF(Jnl[[#This Row],[TrxDate]]&lt;=stmt_BS_date_end, "In", "Out")</f>
        <v>In</v>
      </c>
      <c r="U862" t="str">
        <f>IF(Jnl[[#This Row],[TrxDate]]&lt;debug_date_start, "prior", IF(Jnl[[#This Row],[TrxDate]]&gt;debug_date_end, "post", "curr"))</f>
        <v>prior</v>
      </c>
    </row>
    <row r="863" spans="1:21">
      <c r="A863" s="11" t="s">
        <v>1267</v>
      </c>
      <c r="B863" s="7">
        <f>_xlfn.XLOOKUP(Jnl[[#This Row],[TrxId]], Trx[Id], Trx[Date],,0)</f>
        <v>46053</v>
      </c>
      <c r="C863" s="7" t="str">
        <f>_xlfn.XLOOKUP(Jnl[[#This Row],[TrxId]], Trx[Id], Trx[Division],,0)</f>
        <v>Online</v>
      </c>
      <c r="D863" s="7" t="str">
        <f>_xlfn.XLOOKUP(Jnl[[#This Row],[TrxId]], Trx[Id], Trx[Action],,0)</f>
        <v>服饰</v>
      </c>
      <c r="E863" s="26" t="s">
        <v>83</v>
      </c>
      <c r="F863" s="11" t="s">
        <v>590</v>
      </c>
      <c r="G863" s="11" t="s">
        <v>846</v>
      </c>
      <c r="H863" s="72">
        <v>13458.45</v>
      </c>
      <c r="I863" s="5" t="b">
        <f>AND(Jnl[[#This Row],[TrxId]]&lt;&gt;"",Jnl[[#This Row],[Acct]]&lt;&gt;"",Jnl[[#This Row],[Item]]&lt;&gt;"",ISNUMBER(Jnl[[#This Row],[Bal]]))</f>
        <v>1</v>
      </c>
      <c r="J863" s="10">
        <f>IF(Jnl[[#This Row],[BSLv0]]="A",1,-1)*Jnl[[#This Row],[Bal]]</f>
        <v>13458.45</v>
      </c>
      <c r="K863" t="str">
        <f>_xlfn.XLOOKUP(Jnl[[#This Row],[Acct]], config_BS[Acct], config_BS[Lv0],,0)</f>
        <v>A</v>
      </c>
      <c r="L863" t="str">
        <f>_xlfn.XLOOKUP(Jnl[[#This Row],[Acct]], config_BS[Acct], config_BS[Lv1],,0)</f>
        <v>Assets</v>
      </c>
      <c r="M863" t="str">
        <f>_xlfn.XLOOKUP(Jnl[[#This Row],[Acct]], config_BS[Acct], config_BS[Lv2],,0)</f>
        <v>Cash alike</v>
      </c>
      <c r="N863" t="str">
        <f>_xlfn.XLOOKUP(Jnl[[#This Row],[TrxId]], Trx[Id], Trx[IncNode], ,0)</f>
        <v>Revenue</v>
      </c>
      <c r="O863" t="str">
        <f>_xlfn.XLOOKUP(Jnl[[#This Row],[IncNode]], config_IS[Node], config_IS[Type],,0)</f>
        <v>Op</v>
      </c>
      <c r="P863" t="str">
        <f>_xlfn.XLOOKUP(Jnl[[#This Row],[BSLv2]], dict[Key], dict[Name],,0)</f>
        <v>0.现金及类似</v>
      </c>
      <c r="Q863" t="str">
        <f>_xlfn.XLOOKUP(Jnl[[#This Row],[Acct]], dict[Key], dict[Name],,0)</f>
        <v>银行</v>
      </c>
      <c r="R863" t="str">
        <f>_xlfn.XLOOKUP(Jnl[[#This Row],[Vehicle]],config_vehicle[Id], config_vehicle[Name],,0)</f>
        <v>远家文化</v>
      </c>
      <c r="S863" t="str">
        <f>_xlfn.XLOOKUP(Jnl[[#This Row],[Division]],config_div[Id], config_div[Name],,0)</f>
        <v>网店</v>
      </c>
      <c r="T863" t="str">
        <f>IF(Jnl[[#This Row],[TrxDate]]&lt;=stmt_BS_date_end, "In", "Out")</f>
        <v>In</v>
      </c>
      <c r="U863" t="str">
        <f>IF(Jnl[[#This Row],[TrxDate]]&lt;debug_date_start, "prior", IF(Jnl[[#This Row],[TrxDate]]&gt;debug_date_end, "post", "curr"))</f>
        <v>prior</v>
      </c>
    </row>
    <row r="864" spans="1:21">
      <c r="A864" s="11" t="s">
        <v>1268</v>
      </c>
      <c r="B864" s="7">
        <f>_xlfn.XLOOKUP(Jnl[[#This Row],[TrxId]], Trx[Id], Trx[Date],,0)</f>
        <v>46053</v>
      </c>
      <c r="C864" s="7" t="str">
        <f>_xlfn.XLOOKUP(Jnl[[#This Row],[TrxId]], Trx[Id], Trx[Division],,0)</f>
        <v>MY</v>
      </c>
      <c r="D864" s="7" t="str">
        <f>_xlfn.XLOOKUP(Jnl[[#This Row],[TrxId]], Trx[Id], Trx[Action],,0)</f>
        <v>其他销售</v>
      </c>
      <c r="E864" s="26" t="s">
        <v>86</v>
      </c>
      <c r="F864" s="11" t="s">
        <v>590</v>
      </c>
      <c r="G864" s="11" t="s">
        <v>481</v>
      </c>
      <c r="H864" s="72">
        <v>14.9</v>
      </c>
      <c r="I864" s="5" t="b">
        <f>AND(Jnl[[#This Row],[TrxId]]&lt;&gt;"",Jnl[[#This Row],[Acct]]&lt;&gt;"",Jnl[[#This Row],[Item]]&lt;&gt;"",ISNUMBER(Jnl[[#This Row],[Bal]]))</f>
        <v>1</v>
      </c>
      <c r="J864" s="10">
        <f>IF(Jnl[[#This Row],[BSLv0]]="A",1,-1)*Jnl[[#This Row],[Bal]]</f>
        <v>14.9</v>
      </c>
      <c r="K864" t="str">
        <f>_xlfn.XLOOKUP(Jnl[[#This Row],[Acct]], config_BS[Acct], config_BS[Lv0],,0)</f>
        <v>A</v>
      </c>
      <c r="L864" t="str">
        <f>_xlfn.XLOOKUP(Jnl[[#This Row],[Acct]], config_BS[Acct], config_BS[Lv1],,0)</f>
        <v>Assets</v>
      </c>
      <c r="M864" t="str">
        <f>_xlfn.XLOOKUP(Jnl[[#This Row],[Acct]], config_BS[Acct], config_BS[Lv2],,0)</f>
        <v>Cash alike</v>
      </c>
      <c r="N864" t="str">
        <f>_xlfn.XLOOKUP(Jnl[[#This Row],[TrxId]], Trx[Id], Trx[IncNode], ,0)</f>
        <v>Revenue</v>
      </c>
      <c r="O864" t="str">
        <f>_xlfn.XLOOKUP(Jnl[[#This Row],[IncNode]], config_IS[Node], config_IS[Type],,0)</f>
        <v>Op</v>
      </c>
      <c r="P864" t="str">
        <f>_xlfn.XLOOKUP(Jnl[[#This Row],[BSLv2]], dict[Key], dict[Name],,0)</f>
        <v>0.现金及类似</v>
      </c>
      <c r="Q864" t="str">
        <f>_xlfn.XLOOKUP(Jnl[[#This Row],[Acct]], dict[Key], dict[Name],,0)</f>
        <v>银行</v>
      </c>
      <c r="R864" t="str">
        <f>_xlfn.XLOOKUP(Jnl[[#This Row],[Vehicle]],config_vehicle[Id], config_vehicle[Name],,0)</f>
        <v>张小喜</v>
      </c>
      <c r="S864" t="str">
        <f>_xlfn.XLOOKUP(Jnl[[#This Row],[Division]],config_div[Id], config_div[Name],,0)</f>
        <v>明月村</v>
      </c>
      <c r="T864" t="str">
        <f>IF(Jnl[[#This Row],[TrxDate]]&lt;=stmt_BS_date_end, "In", "Out")</f>
        <v>In</v>
      </c>
      <c r="U864" t="str">
        <f>IF(Jnl[[#This Row],[TrxDate]]&lt;debug_date_start, "prior", IF(Jnl[[#This Row],[TrxDate]]&gt;debug_date_end, "post", "curr"))</f>
        <v>prior</v>
      </c>
    </row>
    <row r="865" spans="1:21">
      <c r="A865" s="11" t="s">
        <v>1269</v>
      </c>
      <c r="B865" s="7">
        <f>_xlfn.XLOOKUP(Jnl[[#This Row],[TrxId]], Trx[Id], Trx[Date],,0)</f>
        <v>46053</v>
      </c>
      <c r="C865" s="7" t="str">
        <f>_xlfn.XLOOKUP(Jnl[[#This Row],[TrxId]], Trx[Id], Trx[Division],,0)</f>
        <v>GM</v>
      </c>
      <c r="D865" s="7" t="str">
        <f>_xlfn.XLOOKUP(Jnl[[#This Row],[TrxId]], Trx[Id], Trx[Action],,0)</f>
        <v>薪酬-社保</v>
      </c>
      <c r="E865" s="26" t="s">
        <v>107</v>
      </c>
      <c r="F865" s="11" t="s">
        <v>590</v>
      </c>
      <c r="G865" s="11" t="s">
        <v>1186</v>
      </c>
      <c r="H865" s="72">
        <v>-274.27999999999997</v>
      </c>
      <c r="I865" s="5" t="b">
        <f>AND(Jnl[[#This Row],[TrxId]]&lt;&gt;"",Jnl[[#This Row],[Acct]]&lt;&gt;"",Jnl[[#This Row],[Item]]&lt;&gt;"",ISNUMBER(Jnl[[#This Row],[Bal]]))</f>
        <v>1</v>
      </c>
      <c r="J865" s="10">
        <f>IF(Jnl[[#This Row],[BSLv0]]="A",1,-1)*Jnl[[#This Row],[Bal]]</f>
        <v>-274.27999999999997</v>
      </c>
      <c r="K865" t="str">
        <f>_xlfn.XLOOKUP(Jnl[[#This Row],[Acct]], config_BS[Acct], config_BS[Lv0],,0)</f>
        <v>A</v>
      </c>
      <c r="L865" t="str">
        <f>_xlfn.XLOOKUP(Jnl[[#This Row],[Acct]], config_BS[Acct], config_BS[Lv1],,0)</f>
        <v>Assets</v>
      </c>
      <c r="M865" t="str">
        <f>_xlfn.XLOOKUP(Jnl[[#This Row],[Acct]], config_BS[Acct], config_BS[Lv2],,0)</f>
        <v>Cash alike</v>
      </c>
      <c r="N865" t="str">
        <f>_xlfn.XLOOKUP(Jnl[[#This Row],[TrxId]], Trx[Id], Trx[IncNode], ,0)</f>
        <v>Expense</v>
      </c>
      <c r="O865" t="str">
        <f>_xlfn.XLOOKUP(Jnl[[#This Row],[IncNode]], config_IS[Node], config_IS[Type],,0)</f>
        <v>Op</v>
      </c>
      <c r="P865" t="str">
        <f>_xlfn.XLOOKUP(Jnl[[#This Row],[BSLv2]], dict[Key], dict[Name],,0)</f>
        <v>0.现金及类似</v>
      </c>
      <c r="Q865" t="str">
        <f>_xlfn.XLOOKUP(Jnl[[#This Row],[Acct]], dict[Key], dict[Name],,0)</f>
        <v>银行</v>
      </c>
      <c r="R865" t="str">
        <f>_xlfn.XLOOKUP(Jnl[[#This Row],[Vehicle]],config_vehicle[Id], config_vehicle[Name],,0)</f>
        <v>远家文化蒲江分公司</v>
      </c>
      <c r="S865" t="str">
        <f>_xlfn.XLOOKUP(Jnl[[#This Row],[Division]],config_div[Id], config_div[Name],,0)</f>
        <v>综合管理</v>
      </c>
      <c r="T865" t="str">
        <f>IF(Jnl[[#This Row],[TrxDate]]&lt;=stmt_BS_date_end, "In", "Out")</f>
        <v>In</v>
      </c>
      <c r="U865" t="str">
        <f>IF(Jnl[[#This Row],[TrxDate]]&lt;debug_date_start, "prior", IF(Jnl[[#This Row],[TrxDate]]&gt;debug_date_end, "post", "curr"))</f>
        <v>prior</v>
      </c>
    </row>
    <row r="866" spans="1:21">
      <c r="A866" s="11" t="s">
        <v>1270</v>
      </c>
      <c r="B866" s="7">
        <f>_xlfn.XLOOKUP(Jnl[[#This Row],[TrxId]], Trx[Id], Trx[Date],,0)</f>
        <v>46053</v>
      </c>
      <c r="C866" s="7" t="str">
        <f>_xlfn.XLOOKUP(Jnl[[#This Row],[TrxId]], Trx[Id], Trx[Division],,0)</f>
        <v>MY</v>
      </c>
      <c r="D866" s="7" t="str">
        <f>_xlfn.XLOOKUP(Jnl[[#This Row],[TrxId]], Trx[Id], Trx[Action],,0)</f>
        <v>内部结算</v>
      </c>
      <c r="E866" s="26" t="s">
        <v>86</v>
      </c>
      <c r="F866" s="11" t="s">
        <v>590</v>
      </c>
      <c r="G866" s="11" t="s">
        <v>481</v>
      </c>
      <c r="H866" s="72">
        <v>-25204.7</v>
      </c>
      <c r="I866" s="5" t="b">
        <f>AND(Jnl[[#This Row],[TrxId]]&lt;&gt;"",Jnl[[#This Row],[Acct]]&lt;&gt;"",Jnl[[#This Row],[Item]]&lt;&gt;"",ISNUMBER(Jnl[[#This Row],[Bal]]))</f>
        <v>1</v>
      </c>
      <c r="J866" s="10">
        <f>IF(Jnl[[#This Row],[BSLv0]]="A",1,-1)*Jnl[[#This Row],[Bal]]</f>
        <v>-25204.7</v>
      </c>
      <c r="K866" t="str">
        <f>_xlfn.XLOOKUP(Jnl[[#This Row],[Acct]], config_BS[Acct], config_BS[Lv0],,0)</f>
        <v>A</v>
      </c>
      <c r="L866" t="str">
        <f>_xlfn.XLOOKUP(Jnl[[#This Row],[Acct]], config_BS[Acct], config_BS[Lv1],,0)</f>
        <v>Assets</v>
      </c>
      <c r="M866" t="str">
        <f>_xlfn.XLOOKUP(Jnl[[#This Row],[Acct]], config_BS[Acct], config_BS[Lv2],,0)</f>
        <v>Cash alike</v>
      </c>
      <c r="N866" t="str">
        <f>_xlfn.XLOOKUP(Jnl[[#This Row],[TrxId]], Trx[Id], Trx[IncNode], ,0)</f>
        <v>Other</v>
      </c>
      <c r="O866" t="str">
        <f>_xlfn.XLOOKUP(Jnl[[#This Row],[IncNode]], config_IS[Node], config_IS[Type],,0)</f>
        <v>Non-Op</v>
      </c>
      <c r="P866" t="str">
        <f>_xlfn.XLOOKUP(Jnl[[#This Row],[BSLv2]], dict[Key], dict[Name],,0)</f>
        <v>0.现金及类似</v>
      </c>
      <c r="Q866" t="str">
        <f>_xlfn.XLOOKUP(Jnl[[#This Row],[Acct]], dict[Key], dict[Name],,0)</f>
        <v>银行</v>
      </c>
      <c r="R866" t="str">
        <f>_xlfn.XLOOKUP(Jnl[[#This Row],[Vehicle]],config_vehicle[Id], config_vehicle[Name],,0)</f>
        <v>张小喜</v>
      </c>
      <c r="S866" t="str">
        <f>_xlfn.XLOOKUP(Jnl[[#This Row],[Division]],config_div[Id], config_div[Name],,0)</f>
        <v>明月村</v>
      </c>
      <c r="T866" t="str">
        <f>IF(Jnl[[#This Row],[TrxDate]]&lt;=stmt_BS_date_end, "In", "Out")</f>
        <v>In</v>
      </c>
      <c r="U866" t="str">
        <f>IF(Jnl[[#This Row],[TrxDate]]&lt;debug_date_start, "prior", IF(Jnl[[#This Row],[TrxDate]]&gt;debug_date_end, "post", "curr"))</f>
        <v>prior</v>
      </c>
    </row>
    <row r="867" spans="1:21">
      <c r="A867" s="11" t="s">
        <v>1270</v>
      </c>
      <c r="B867" s="7">
        <f>_xlfn.XLOOKUP(Jnl[[#This Row],[TrxId]], Trx[Id], Trx[Date],,0)</f>
        <v>46053</v>
      </c>
      <c r="C867" s="7" t="str">
        <f>_xlfn.XLOOKUP(Jnl[[#This Row],[TrxId]], Trx[Id], Trx[Division],,0)</f>
        <v>MY</v>
      </c>
      <c r="D867" s="7" t="str">
        <f>_xlfn.XLOOKUP(Jnl[[#This Row],[TrxId]], Trx[Id], Trx[Action],,0)</f>
        <v>内部结算</v>
      </c>
      <c r="E867" s="26" t="s">
        <v>83</v>
      </c>
      <c r="F867" s="11" t="s">
        <v>652</v>
      </c>
      <c r="G867" s="11" t="s">
        <v>1125</v>
      </c>
      <c r="H867" s="72">
        <f>H866</f>
        <v>-25204.7</v>
      </c>
      <c r="I867" s="5" t="b">
        <f>AND(Jnl[[#This Row],[TrxId]]&lt;&gt;"",Jnl[[#This Row],[Acct]]&lt;&gt;"",Jnl[[#This Row],[Item]]&lt;&gt;"",ISNUMBER(Jnl[[#This Row],[Bal]]))</f>
        <v>1</v>
      </c>
      <c r="J867" s="10">
        <f>IF(Jnl[[#This Row],[BSLv0]]="A",1,-1)*Jnl[[#This Row],[Bal]]</f>
        <v>25204.7</v>
      </c>
      <c r="K867" t="str">
        <f>_xlfn.XLOOKUP(Jnl[[#This Row],[Acct]], config_BS[Acct], config_BS[Lv0],,0)</f>
        <v>LC</v>
      </c>
      <c r="L867" t="str">
        <f>_xlfn.XLOOKUP(Jnl[[#This Row],[Acct]], config_BS[Acct], config_BS[Lv1],,0)</f>
        <v>Liability</v>
      </c>
      <c r="M867" t="str">
        <f>_xlfn.XLOOKUP(Jnl[[#This Row],[Acct]], config_BS[Acct], config_BS[Lv2],,0)</f>
        <v>Rec-Pay</v>
      </c>
      <c r="N867" t="str">
        <f>_xlfn.XLOOKUP(Jnl[[#This Row],[TrxId]], Trx[Id], Trx[IncNode], ,0)</f>
        <v>Other</v>
      </c>
      <c r="O867" t="str">
        <f>_xlfn.XLOOKUP(Jnl[[#This Row],[IncNode]], config_IS[Node], config_IS[Type],,0)</f>
        <v>Non-Op</v>
      </c>
      <c r="P867" t="str">
        <f>_xlfn.XLOOKUP(Jnl[[#This Row],[BSLv2]], dict[Key], dict[Name],,0)</f>
        <v>1.应收-应付</v>
      </c>
      <c r="Q867" t="str">
        <f>_xlfn.XLOOKUP(Jnl[[#This Row],[Acct]], dict[Key], dict[Name],,0)</f>
        <v>应付-一般</v>
      </c>
      <c r="R867" t="str">
        <f>_xlfn.XLOOKUP(Jnl[[#This Row],[Vehicle]],config_vehicle[Id], config_vehicle[Name],,0)</f>
        <v>远家文化</v>
      </c>
      <c r="S867" t="str">
        <f>_xlfn.XLOOKUP(Jnl[[#This Row],[Division]],config_div[Id], config_div[Name],,0)</f>
        <v>明月村</v>
      </c>
      <c r="T867" t="str">
        <f>IF(Jnl[[#This Row],[TrxDate]]&lt;=stmt_BS_date_end, "In", "Out")</f>
        <v>In</v>
      </c>
      <c r="U867" t="str">
        <f>IF(Jnl[[#This Row],[TrxDate]]&lt;debug_date_start, "prior", IF(Jnl[[#This Row],[TrxDate]]&gt;debug_date_end, "post", "curr"))</f>
        <v>prior</v>
      </c>
    </row>
    <row r="868" spans="1:21">
      <c r="A868" s="11" t="s">
        <v>1271</v>
      </c>
      <c r="B868" s="7">
        <f>_xlfn.XLOOKUP(Jnl[[#This Row],[TrxId]], Trx[Id], Trx[Date],,0)</f>
        <v>46053</v>
      </c>
      <c r="C868" s="7" t="str">
        <f>_xlfn.XLOOKUP(Jnl[[#This Row],[TrxId]], Trx[Id], Trx[Division],,0)</f>
        <v>MY</v>
      </c>
      <c r="D868" s="7" t="str">
        <f>_xlfn.XLOOKUP(Jnl[[#This Row],[TrxId]], Trx[Id], Trx[Action],,0)</f>
        <v>服饰</v>
      </c>
      <c r="E868" s="26" t="s">
        <v>83</v>
      </c>
      <c r="F868" s="11" t="s">
        <v>593</v>
      </c>
      <c r="G868" s="11" t="s">
        <v>944</v>
      </c>
      <c r="H868" s="72">
        <v>49931.55</v>
      </c>
      <c r="I868" s="5" t="b">
        <f>AND(Jnl[[#This Row],[TrxId]]&lt;&gt;"",Jnl[[#This Row],[Acct]]&lt;&gt;"",Jnl[[#This Row],[Item]]&lt;&gt;"",ISNUMBER(Jnl[[#This Row],[Bal]]))</f>
        <v>1</v>
      </c>
      <c r="J868" s="10">
        <f>IF(Jnl[[#This Row],[BSLv0]]="A",1,-1)*Jnl[[#This Row],[Bal]]</f>
        <v>49931.55</v>
      </c>
      <c r="K868" t="str">
        <f>_xlfn.XLOOKUP(Jnl[[#This Row],[Acct]], config_BS[Acct], config_BS[Lv0],,0)</f>
        <v>A</v>
      </c>
      <c r="L868" t="str">
        <f>_xlfn.XLOOKUP(Jnl[[#This Row],[Acct]], config_BS[Acct], config_BS[Lv1],,0)</f>
        <v>Assets</v>
      </c>
      <c r="M868" t="str">
        <f>_xlfn.XLOOKUP(Jnl[[#This Row],[Acct]], config_BS[Acct], config_BS[Lv2],,0)</f>
        <v>Rec-Pay</v>
      </c>
      <c r="N868" t="str">
        <f>_xlfn.XLOOKUP(Jnl[[#This Row],[TrxId]], Trx[Id], Trx[IncNode], ,0)</f>
        <v>Revenue</v>
      </c>
      <c r="O868" t="str">
        <f>_xlfn.XLOOKUP(Jnl[[#This Row],[IncNode]], config_IS[Node], config_IS[Type],,0)</f>
        <v>Op</v>
      </c>
      <c r="P868" t="str">
        <f>_xlfn.XLOOKUP(Jnl[[#This Row],[BSLv2]], dict[Key], dict[Name],,0)</f>
        <v>1.应收-应付</v>
      </c>
      <c r="Q868" t="str">
        <f>_xlfn.XLOOKUP(Jnl[[#This Row],[Acct]], dict[Key], dict[Name],,0)</f>
        <v>应收-一般</v>
      </c>
      <c r="R868" t="str">
        <f>_xlfn.XLOOKUP(Jnl[[#This Row],[Vehicle]],config_vehicle[Id], config_vehicle[Name],,0)</f>
        <v>远家文化</v>
      </c>
      <c r="S868" t="str">
        <f>_xlfn.XLOOKUP(Jnl[[#This Row],[Division]],config_div[Id], config_div[Name],,0)</f>
        <v>明月村</v>
      </c>
      <c r="T868" t="str">
        <f>IF(Jnl[[#This Row],[TrxDate]]&lt;=stmt_BS_date_end, "In", "Out")</f>
        <v>In</v>
      </c>
      <c r="U868" t="str">
        <f>IF(Jnl[[#This Row],[TrxDate]]&lt;debug_date_start, "prior", IF(Jnl[[#This Row],[TrxDate]]&gt;debug_date_end, "post", "curr"))</f>
        <v>prior</v>
      </c>
    </row>
    <row r="869" spans="1:21">
      <c r="A869" s="11" t="s">
        <v>1272</v>
      </c>
      <c r="B869" s="7">
        <f>_xlfn.XLOOKUP(Jnl[[#This Row],[TrxId]], Trx[Id], Trx[Date],,0)</f>
        <v>46053</v>
      </c>
      <c r="C869" s="7" t="str">
        <f>_xlfn.XLOOKUP(Jnl[[#This Row],[TrxId]], Trx[Id], Trx[Division],,0)</f>
        <v>MY</v>
      </c>
      <c r="D869" s="7" t="str">
        <f>_xlfn.XLOOKUP(Jnl[[#This Row],[TrxId]], Trx[Id], Trx[Action],,0)</f>
        <v>住宿</v>
      </c>
      <c r="E869" s="26" t="s">
        <v>83</v>
      </c>
      <c r="F869" s="11" t="s">
        <v>593</v>
      </c>
      <c r="G869" s="11" t="s">
        <v>965</v>
      </c>
      <c r="H869" s="72">
        <v>9205.5</v>
      </c>
      <c r="I869" s="5" t="b">
        <f>AND(Jnl[[#This Row],[TrxId]]&lt;&gt;"",Jnl[[#This Row],[Acct]]&lt;&gt;"",Jnl[[#This Row],[Item]]&lt;&gt;"",ISNUMBER(Jnl[[#This Row],[Bal]]))</f>
        <v>1</v>
      </c>
      <c r="J869" s="10">
        <f>IF(Jnl[[#This Row],[BSLv0]]="A",1,-1)*Jnl[[#This Row],[Bal]]</f>
        <v>9205.5</v>
      </c>
      <c r="K869" t="str">
        <f>_xlfn.XLOOKUP(Jnl[[#This Row],[Acct]], config_BS[Acct], config_BS[Lv0],,0)</f>
        <v>A</v>
      </c>
      <c r="L869" t="str">
        <f>_xlfn.XLOOKUP(Jnl[[#This Row],[Acct]], config_BS[Acct], config_BS[Lv1],,0)</f>
        <v>Assets</v>
      </c>
      <c r="M869" t="str">
        <f>_xlfn.XLOOKUP(Jnl[[#This Row],[Acct]], config_BS[Acct], config_BS[Lv2],,0)</f>
        <v>Rec-Pay</v>
      </c>
      <c r="N869" t="str">
        <f>_xlfn.XLOOKUP(Jnl[[#This Row],[TrxId]], Trx[Id], Trx[IncNode], ,0)</f>
        <v>Revenue</v>
      </c>
      <c r="O869" t="str">
        <f>_xlfn.XLOOKUP(Jnl[[#This Row],[IncNode]], config_IS[Node], config_IS[Type],,0)</f>
        <v>Op</v>
      </c>
      <c r="P869" t="str">
        <f>_xlfn.XLOOKUP(Jnl[[#This Row],[BSLv2]], dict[Key], dict[Name],,0)</f>
        <v>1.应收-应付</v>
      </c>
      <c r="Q869" t="str">
        <f>_xlfn.XLOOKUP(Jnl[[#This Row],[Acct]], dict[Key], dict[Name],,0)</f>
        <v>应收-一般</v>
      </c>
      <c r="R869" t="str">
        <f>_xlfn.XLOOKUP(Jnl[[#This Row],[Vehicle]],config_vehicle[Id], config_vehicle[Name],,0)</f>
        <v>远家文化</v>
      </c>
      <c r="S869" t="str">
        <f>_xlfn.XLOOKUP(Jnl[[#This Row],[Division]],config_div[Id], config_div[Name],,0)</f>
        <v>明月村</v>
      </c>
      <c r="T869" t="str">
        <f>IF(Jnl[[#This Row],[TrxDate]]&lt;=stmt_BS_date_end, "In", "Out")</f>
        <v>In</v>
      </c>
      <c r="U869" t="str">
        <f>IF(Jnl[[#This Row],[TrxDate]]&lt;debug_date_start, "prior", IF(Jnl[[#This Row],[TrxDate]]&gt;debug_date_end, "post", "curr"))</f>
        <v>prior</v>
      </c>
    </row>
    <row r="870" spans="1:21">
      <c r="A870" s="11" t="s">
        <v>1272</v>
      </c>
      <c r="B870" s="7">
        <f>_xlfn.XLOOKUP(Jnl[[#This Row],[TrxId]], Trx[Id], Trx[Date],,0)</f>
        <v>46053</v>
      </c>
      <c r="C870" s="7" t="str">
        <f>_xlfn.XLOOKUP(Jnl[[#This Row],[TrxId]], Trx[Id], Trx[Division],,0)</f>
        <v>MY</v>
      </c>
      <c r="D870" s="7" t="str">
        <f>_xlfn.XLOOKUP(Jnl[[#This Row],[TrxId]], Trx[Id], Trx[Action],,0)</f>
        <v>住宿</v>
      </c>
      <c r="E870" s="26" t="s">
        <v>83</v>
      </c>
      <c r="F870" s="11" t="s">
        <v>593</v>
      </c>
      <c r="G870" s="11" t="s">
        <v>1130</v>
      </c>
      <c r="H870" s="72">
        <v>20245.97</v>
      </c>
      <c r="I870" s="5" t="b">
        <f>AND(Jnl[[#This Row],[TrxId]]&lt;&gt;"",Jnl[[#This Row],[Acct]]&lt;&gt;"",Jnl[[#This Row],[Item]]&lt;&gt;"",ISNUMBER(Jnl[[#This Row],[Bal]]))</f>
        <v>1</v>
      </c>
      <c r="J870" s="10">
        <f>IF(Jnl[[#This Row],[BSLv0]]="A",1,-1)*Jnl[[#This Row],[Bal]]</f>
        <v>20245.97</v>
      </c>
      <c r="K870" t="str">
        <f>_xlfn.XLOOKUP(Jnl[[#This Row],[Acct]], config_BS[Acct], config_BS[Lv0],,0)</f>
        <v>A</v>
      </c>
      <c r="L870" t="str">
        <f>_xlfn.XLOOKUP(Jnl[[#This Row],[Acct]], config_BS[Acct], config_BS[Lv1],,0)</f>
        <v>Assets</v>
      </c>
      <c r="M870" t="str">
        <f>_xlfn.XLOOKUP(Jnl[[#This Row],[Acct]], config_BS[Acct], config_BS[Lv2],,0)</f>
        <v>Rec-Pay</v>
      </c>
      <c r="N870" t="str">
        <f>_xlfn.XLOOKUP(Jnl[[#This Row],[TrxId]], Trx[Id], Trx[IncNode], ,0)</f>
        <v>Revenue</v>
      </c>
      <c r="O870" t="str">
        <f>_xlfn.XLOOKUP(Jnl[[#This Row],[IncNode]], config_IS[Node], config_IS[Type],,0)</f>
        <v>Op</v>
      </c>
      <c r="P870" t="str">
        <f>_xlfn.XLOOKUP(Jnl[[#This Row],[BSLv2]], dict[Key], dict[Name],,0)</f>
        <v>1.应收-应付</v>
      </c>
      <c r="Q870" t="str">
        <f>_xlfn.XLOOKUP(Jnl[[#This Row],[Acct]], dict[Key], dict[Name],,0)</f>
        <v>应收-一般</v>
      </c>
      <c r="R870" t="str">
        <f>_xlfn.XLOOKUP(Jnl[[#This Row],[Vehicle]],config_vehicle[Id], config_vehicle[Name],,0)</f>
        <v>远家文化</v>
      </c>
      <c r="S870" t="str">
        <f>_xlfn.XLOOKUP(Jnl[[#This Row],[Division]],config_div[Id], config_div[Name],,0)</f>
        <v>明月村</v>
      </c>
      <c r="T870" t="str">
        <f>IF(Jnl[[#This Row],[TrxDate]]&lt;=stmt_BS_date_end, "In", "Out")</f>
        <v>In</v>
      </c>
      <c r="U870" t="str">
        <f>IF(Jnl[[#This Row],[TrxDate]]&lt;debug_date_start, "prior", IF(Jnl[[#This Row],[TrxDate]]&gt;debug_date_end, "post", "curr"))</f>
        <v>prior</v>
      </c>
    </row>
    <row r="871" spans="1:21">
      <c r="A871" s="11" t="s">
        <v>1272</v>
      </c>
      <c r="B871" s="7">
        <f>_xlfn.XLOOKUP(Jnl[[#This Row],[TrxId]], Trx[Id], Trx[Date],,0)</f>
        <v>46053</v>
      </c>
      <c r="C871" s="7" t="str">
        <f>_xlfn.XLOOKUP(Jnl[[#This Row],[TrxId]], Trx[Id], Trx[Division],,0)</f>
        <v>MY</v>
      </c>
      <c r="D871" s="7" t="str">
        <f>_xlfn.XLOOKUP(Jnl[[#This Row],[TrxId]], Trx[Id], Trx[Action],,0)</f>
        <v>住宿</v>
      </c>
      <c r="E871" s="26" t="s">
        <v>83</v>
      </c>
      <c r="F871" s="11" t="s">
        <v>593</v>
      </c>
      <c r="G871" s="11" t="s">
        <v>942</v>
      </c>
      <c r="H871" s="72">
        <v>11013.77</v>
      </c>
      <c r="I871" s="5" t="b">
        <f>AND(Jnl[[#This Row],[TrxId]]&lt;&gt;"",Jnl[[#This Row],[Acct]]&lt;&gt;"",Jnl[[#This Row],[Item]]&lt;&gt;"",ISNUMBER(Jnl[[#This Row],[Bal]]))</f>
        <v>1</v>
      </c>
      <c r="J871" s="10">
        <f>IF(Jnl[[#This Row],[BSLv0]]="A",1,-1)*Jnl[[#This Row],[Bal]]</f>
        <v>11013.77</v>
      </c>
      <c r="K871" t="str">
        <f>_xlfn.XLOOKUP(Jnl[[#This Row],[Acct]], config_BS[Acct], config_BS[Lv0],,0)</f>
        <v>A</v>
      </c>
      <c r="L871" t="str">
        <f>_xlfn.XLOOKUP(Jnl[[#This Row],[Acct]], config_BS[Acct], config_BS[Lv1],,0)</f>
        <v>Assets</v>
      </c>
      <c r="M871" t="str">
        <f>_xlfn.XLOOKUP(Jnl[[#This Row],[Acct]], config_BS[Acct], config_BS[Lv2],,0)</f>
        <v>Rec-Pay</v>
      </c>
      <c r="N871" t="str">
        <f>_xlfn.XLOOKUP(Jnl[[#This Row],[TrxId]], Trx[Id], Trx[IncNode], ,0)</f>
        <v>Revenue</v>
      </c>
      <c r="O871" t="str">
        <f>_xlfn.XLOOKUP(Jnl[[#This Row],[IncNode]], config_IS[Node], config_IS[Type],,0)</f>
        <v>Op</v>
      </c>
      <c r="P871" t="str">
        <f>_xlfn.XLOOKUP(Jnl[[#This Row],[BSLv2]], dict[Key], dict[Name],,0)</f>
        <v>1.应收-应付</v>
      </c>
      <c r="Q871" t="str">
        <f>_xlfn.XLOOKUP(Jnl[[#This Row],[Acct]], dict[Key], dict[Name],,0)</f>
        <v>应收-一般</v>
      </c>
      <c r="R871" t="str">
        <f>_xlfn.XLOOKUP(Jnl[[#This Row],[Vehicle]],config_vehicle[Id], config_vehicle[Name],,0)</f>
        <v>远家文化</v>
      </c>
      <c r="S871" t="str">
        <f>_xlfn.XLOOKUP(Jnl[[#This Row],[Division]],config_div[Id], config_div[Name],,0)</f>
        <v>明月村</v>
      </c>
      <c r="T871" t="str">
        <f>IF(Jnl[[#This Row],[TrxDate]]&lt;=stmt_BS_date_end, "In", "Out")</f>
        <v>In</v>
      </c>
      <c r="U871" t="str">
        <f>IF(Jnl[[#This Row],[TrxDate]]&lt;debug_date_start, "prior", IF(Jnl[[#This Row],[TrxDate]]&gt;debug_date_end, "post", "curr"))</f>
        <v>prior</v>
      </c>
    </row>
    <row r="872" spans="1:21">
      <c r="A872" s="11" t="s">
        <v>1273</v>
      </c>
      <c r="B872" s="7">
        <f>_xlfn.XLOOKUP(Jnl[[#This Row],[TrxId]], Trx[Id], Trx[Date],,0)</f>
        <v>46053</v>
      </c>
      <c r="C872" s="7" t="str">
        <f>_xlfn.XLOOKUP(Jnl[[#This Row],[TrxId]], Trx[Id], Trx[Division],,0)</f>
        <v>MY</v>
      </c>
      <c r="D872" s="7" t="str">
        <f>_xlfn.XLOOKUP(Jnl[[#This Row],[TrxId]], Trx[Id], Trx[Action],,0)</f>
        <v>餐饮</v>
      </c>
      <c r="E872" s="26" t="s">
        <v>83</v>
      </c>
      <c r="F872" s="11" t="s">
        <v>593</v>
      </c>
      <c r="G872" s="11" t="s">
        <v>947</v>
      </c>
      <c r="H872" s="72">
        <v>8300</v>
      </c>
      <c r="I872" s="5" t="b">
        <f>AND(Jnl[[#This Row],[TrxId]]&lt;&gt;"",Jnl[[#This Row],[Acct]]&lt;&gt;"",Jnl[[#This Row],[Item]]&lt;&gt;"",ISNUMBER(Jnl[[#This Row],[Bal]]))</f>
        <v>1</v>
      </c>
      <c r="J872" s="10">
        <f>IF(Jnl[[#This Row],[BSLv0]]="A",1,-1)*Jnl[[#This Row],[Bal]]</f>
        <v>8300</v>
      </c>
      <c r="K872" t="str">
        <f>_xlfn.XLOOKUP(Jnl[[#This Row],[Acct]], config_BS[Acct], config_BS[Lv0],,0)</f>
        <v>A</v>
      </c>
      <c r="L872" t="str">
        <f>_xlfn.XLOOKUP(Jnl[[#This Row],[Acct]], config_BS[Acct], config_BS[Lv1],,0)</f>
        <v>Assets</v>
      </c>
      <c r="M872" t="str">
        <f>_xlfn.XLOOKUP(Jnl[[#This Row],[Acct]], config_BS[Acct], config_BS[Lv2],,0)</f>
        <v>Rec-Pay</v>
      </c>
      <c r="N872" t="str">
        <f>_xlfn.XLOOKUP(Jnl[[#This Row],[TrxId]], Trx[Id], Trx[IncNode], ,0)</f>
        <v>Revenue</v>
      </c>
      <c r="O872" t="str">
        <f>_xlfn.XLOOKUP(Jnl[[#This Row],[IncNode]], config_IS[Node], config_IS[Type],,0)</f>
        <v>Op</v>
      </c>
      <c r="P872" t="str">
        <f>_xlfn.XLOOKUP(Jnl[[#This Row],[BSLv2]], dict[Key], dict[Name],,0)</f>
        <v>1.应收-应付</v>
      </c>
      <c r="Q872" t="str">
        <f>_xlfn.XLOOKUP(Jnl[[#This Row],[Acct]], dict[Key], dict[Name],,0)</f>
        <v>应收-一般</v>
      </c>
      <c r="R872" t="str">
        <f>_xlfn.XLOOKUP(Jnl[[#This Row],[Vehicle]],config_vehicle[Id], config_vehicle[Name],,0)</f>
        <v>远家文化</v>
      </c>
      <c r="S872" t="str">
        <f>_xlfn.XLOOKUP(Jnl[[#This Row],[Division]],config_div[Id], config_div[Name],,0)</f>
        <v>明月村</v>
      </c>
      <c r="T872" t="str">
        <f>IF(Jnl[[#This Row],[TrxDate]]&lt;=stmt_BS_date_end, "In", "Out")</f>
        <v>In</v>
      </c>
      <c r="U872" t="str">
        <f>IF(Jnl[[#This Row],[TrxDate]]&lt;debug_date_start, "prior", IF(Jnl[[#This Row],[TrxDate]]&gt;debug_date_end, "post", "curr"))</f>
        <v>prior</v>
      </c>
    </row>
    <row r="873" spans="1:21">
      <c r="A873" s="11" t="s">
        <v>1273</v>
      </c>
      <c r="B873" s="7">
        <f>_xlfn.XLOOKUP(Jnl[[#This Row],[TrxId]], Trx[Id], Trx[Date],,0)</f>
        <v>46053</v>
      </c>
      <c r="C873" s="7" t="str">
        <f>_xlfn.XLOOKUP(Jnl[[#This Row],[TrxId]], Trx[Id], Trx[Division],,0)</f>
        <v>MY</v>
      </c>
      <c r="D873" s="7" t="str">
        <f>_xlfn.XLOOKUP(Jnl[[#This Row],[TrxId]], Trx[Id], Trx[Action],,0)</f>
        <v>餐饮</v>
      </c>
      <c r="E873" s="26" t="s">
        <v>83</v>
      </c>
      <c r="F873" s="11" t="s">
        <v>593</v>
      </c>
      <c r="G873" s="11" t="s">
        <v>1130</v>
      </c>
      <c r="H873" s="72">
        <v>32476.36</v>
      </c>
      <c r="I873" s="5" t="b">
        <f>AND(Jnl[[#This Row],[TrxId]]&lt;&gt;"",Jnl[[#This Row],[Acct]]&lt;&gt;"",Jnl[[#This Row],[Item]]&lt;&gt;"",ISNUMBER(Jnl[[#This Row],[Bal]]))</f>
        <v>1</v>
      </c>
      <c r="J873" s="10">
        <f>IF(Jnl[[#This Row],[BSLv0]]="A",1,-1)*Jnl[[#This Row],[Bal]]</f>
        <v>32476.36</v>
      </c>
      <c r="K873" t="str">
        <f>_xlfn.XLOOKUP(Jnl[[#This Row],[Acct]], config_BS[Acct], config_BS[Lv0],,0)</f>
        <v>A</v>
      </c>
      <c r="L873" t="str">
        <f>_xlfn.XLOOKUP(Jnl[[#This Row],[Acct]], config_BS[Acct], config_BS[Lv1],,0)</f>
        <v>Assets</v>
      </c>
      <c r="M873" t="str">
        <f>_xlfn.XLOOKUP(Jnl[[#This Row],[Acct]], config_BS[Acct], config_BS[Lv2],,0)</f>
        <v>Rec-Pay</v>
      </c>
      <c r="N873" t="str">
        <f>_xlfn.XLOOKUP(Jnl[[#This Row],[TrxId]], Trx[Id], Trx[IncNode], ,0)</f>
        <v>Revenue</v>
      </c>
      <c r="O873" t="str">
        <f>_xlfn.XLOOKUP(Jnl[[#This Row],[IncNode]], config_IS[Node], config_IS[Type],,0)</f>
        <v>Op</v>
      </c>
      <c r="P873" t="str">
        <f>_xlfn.XLOOKUP(Jnl[[#This Row],[BSLv2]], dict[Key], dict[Name],,0)</f>
        <v>1.应收-应付</v>
      </c>
      <c r="Q873" t="str">
        <f>_xlfn.XLOOKUP(Jnl[[#This Row],[Acct]], dict[Key], dict[Name],,0)</f>
        <v>应收-一般</v>
      </c>
      <c r="R873" t="str">
        <f>_xlfn.XLOOKUP(Jnl[[#This Row],[Vehicle]],config_vehicle[Id], config_vehicle[Name],,0)</f>
        <v>远家文化</v>
      </c>
      <c r="S873" t="str">
        <f>_xlfn.XLOOKUP(Jnl[[#This Row],[Division]],config_div[Id], config_div[Name],,0)</f>
        <v>明月村</v>
      </c>
      <c r="T873" t="str">
        <f>IF(Jnl[[#This Row],[TrxDate]]&lt;=stmt_BS_date_end, "In", "Out")</f>
        <v>In</v>
      </c>
      <c r="U873" t="str">
        <f>IF(Jnl[[#This Row],[TrxDate]]&lt;debug_date_start, "prior", IF(Jnl[[#This Row],[TrxDate]]&gt;debug_date_end, "post", "curr"))</f>
        <v>prior</v>
      </c>
    </row>
    <row r="874" spans="1:21">
      <c r="A874" s="11" t="s">
        <v>1273</v>
      </c>
      <c r="B874" s="7">
        <f>_xlfn.XLOOKUP(Jnl[[#This Row],[TrxId]], Trx[Id], Trx[Date],,0)</f>
        <v>46053</v>
      </c>
      <c r="C874" s="7" t="str">
        <f>_xlfn.XLOOKUP(Jnl[[#This Row],[TrxId]], Trx[Id], Trx[Division],,0)</f>
        <v>MY</v>
      </c>
      <c r="D874" s="7" t="str">
        <f>_xlfn.XLOOKUP(Jnl[[#This Row],[TrxId]], Trx[Id], Trx[Action],,0)</f>
        <v>餐饮</v>
      </c>
      <c r="E874" s="26" t="s">
        <v>83</v>
      </c>
      <c r="F874" s="11" t="s">
        <v>1194</v>
      </c>
      <c r="G874" s="11" t="s">
        <v>920</v>
      </c>
      <c r="H874" s="72">
        <v>-5055</v>
      </c>
      <c r="I874" s="5" t="b">
        <f>AND(Jnl[[#This Row],[TrxId]]&lt;&gt;"",Jnl[[#This Row],[Acct]]&lt;&gt;"",Jnl[[#This Row],[Item]]&lt;&gt;"",ISNUMBER(Jnl[[#This Row],[Bal]]))</f>
        <v>1</v>
      </c>
      <c r="J874" s="10">
        <f>IF(Jnl[[#This Row],[BSLv0]]="A",1,-1)*Jnl[[#This Row],[Bal]]</f>
        <v>5055</v>
      </c>
      <c r="K874" t="str">
        <f>_xlfn.XLOOKUP(Jnl[[#This Row],[Acct]], config_BS[Acct], config_BS[Lv0],,0)</f>
        <v>LC</v>
      </c>
      <c r="L874" t="str">
        <f>_xlfn.XLOOKUP(Jnl[[#This Row],[Acct]], config_BS[Acct], config_BS[Lv1],,0)</f>
        <v>Liability</v>
      </c>
      <c r="M874" t="str">
        <f>_xlfn.XLOOKUP(Jnl[[#This Row],[Acct]], config_BS[Acct], config_BS[Lv2],,0)</f>
        <v>Cash alike</v>
      </c>
      <c r="N874" t="str">
        <f>_xlfn.XLOOKUP(Jnl[[#This Row],[TrxId]], Trx[Id], Trx[IncNode], ,0)</f>
        <v>Revenue</v>
      </c>
      <c r="O874" t="str">
        <f>_xlfn.XLOOKUP(Jnl[[#This Row],[IncNode]], config_IS[Node], config_IS[Type],,0)</f>
        <v>Op</v>
      </c>
      <c r="P874" t="str">
        <f>_xlfn.XLOOKUP(Jnl[[#This Row],[BSLv2]], dict[Key], dict[Name],,0)</f>
        <v>0.现金及类似</v>
      </c>
      <c r="Q874" t="str">
        <f>_xlfn.XLOOKUP(Jnl[[#This Row],[Acct]], dict[Key], dict[Name],,0)</f>
        <v>会员充值</v>
      </c>
      <c r="R874" t="str">
        <f>_xlfn.XLOOKUP(Jnl[[#This Row],[Vehicle]],config_vehicle[Id], config_vehicle[Name],,0)</f>
        <v>远家文化</v>
      </c>
      <c r="S874" t="str">
        <f>_xlfn.XLOOKUP(Jnl[[#This Row],[Division]],config_div[Id], config_div[Name],,0)</f>
        <v>明月村</v>
      </c>
      <c r="T874" t="str">
        <f>IF(Jnl[[#This Row],[TrxDate]]&lt;=stmt_BS_date_end, "In", "Out")</f>
        <v>In</v>
      </c>
      <c r="U874" t="str">
        <f>IF(Jnl[[#This Row],[TrxDate]]&lt;debug_date_start, "prior", IF(Jnl[[#This Row],[TrxDate]]&gt;debug_date_end, "post", "curr"))</f>
        <v>prior</v>
      </c>
    </row>
    <row r="875" spans="1:21">
      <c r="A875" s="11" t="s">
        <v>1274</v>
      </c>
      <c r="B875" s="7">
        <f>_xlfn.XLOOKUP(Jnl[[#This Row],[TrxId]], Trx[Id], Trx[Date],,0)</f>
        <v>46053</v>
      </c>
      <c r="C875" s="7" t="str">
        <f>_xlfn.XLOOKUP(Jnl[[#This Row],[TrxId]], Trx[Id], Trx[Division],,0)</f>
        <v>MY</v>
      </c>
      <c r="D875" s="7" t="str">
        <f>_xlfn.XLOOKUP(Jnl[[#This Row],[TrxId]], Trx[Id], Trx[Action],,0)</f>
        <v>杂货</v>
      </c>
      <c r="E875" s="26" t="s">
        <v>83</v>
      </c>
      <c r="F875" s="11" t="s">
        <v>593</v>
      </c>
      <c r="G875" s="11" t="s">
        <v>1132</v>
      </c>
      <c r="H875" s="72">
        <v>34014.42</v>
      </c>
      <c r="I875" s="5" t="b">
        <f>AND(Jnl[[#This Row],[TrxId]]&lt;&gt;"",Jnl[[#This Row],[Acct]]&lt;&gt;"",Jnl[[#This Row],[Item]]&lt;&gt;"",ISNUMBER(Jnl[[#This Row],[Bal]]))</f>
        <v>1</v>
      </c>
      <c r="J875" s="10">
        <f>IF(Jnl[[#This Row],[BSLv0]]="A",1,-1)*Jnl[[#This Row],[Bal]]</f>
        <v>34014.42</v>
      </c>
      <c r="K875" t="str">
        <f>_xlfn.XLOOKUP(Jnl[[#This Row],[Acct]], config_BS[Acct], config_BS[Lv0],,0)</f>
        <v>A</v>
      </c>
      <c r="L875" t="str">
        <f>_xlfn.XLOOKUP(Jnl[[#This Row],[Acct]], config_BS[Acct], config_BS[Lv1],,0)</f>
        <v>Assets</v>
      </c>
      <c r="M875" t="str">
        <f>_xlfn.XLOOKUP(Jnl[[#This Row],[Acct]], config_BS[Acct], config_BS[Lv2],,0)</f>
        <v>Rec-Pay</v>
      </c>
      <c r="N875" t="str">
        <f>_xlfn.XLOOKUP(Jnl[[#This Row],[TrxId]], Trx[Id], Trx[IncNode], ,0)</f>
        <v>Revenue</v>
      </c>
      <c r="O875" t="str">
        <f>_xlfn.XLOOKUP(Jnl[[#This Row],[IncNode]], config_IS[Node], config_IS[Type],,0)</f>
        <v>Op</v>
      </c>
      <c r="P875" t="str">
        <f>_xlfn.XLOOKUP(Jnl[[#This Row],[BSLv2]], dict[Key], dict[Name],,0)</f>
        <v>1.应收-应付</v>
      </c>
      <c r="Q875" t="str">
        <f>_xlfn.XLOOKUP(Jnl[[#This Row],[Acct]], dict[Key], dict[Name],,0)</f>
        <v>应收-一般</v>
      </c>
      <c r="R875" t="str">
        <f>_xlfn.XLOOKUP(Jnl[[#This Row],[Vehicle]],config_vehicle[Id], config_vehicle[Name],,0)</f>
        <v>远家文化</v>
      </c>
      <c r="S875" t="str">
        <f>_xlfn.XLOOKUP(Jnl[[#This Row],[Division]],config_div[Id], config_div[Name],,0)</f>
        <v>明月村</v>
      </c>
      <c r="T875" t="str">
        <f>IF(Jnl[[#This Row],[TrxDate]]&lt;=stmt_BS_date_end, "In", "Out")</f>
        <v>In</v>
      </c>
      <c r="U875" t="str">
        <f>IF(Jnl[[#This Row],[TrxDate]]&lt;debug_date_start, "prior", IF(Jnl[[#This Row],[TrxDate]]&gt;debug_date_end, "post", "curr"))</f>
        <v>prior</v>
      </c>
    </row>
    <row r="876" spans="1:21">
      <c r="A876" s="11" t="s">
        <v>1135</v>
      </c>
      <c r="B876" s="7">
        <f>_xlfn.XLOOKUP(Jnl[[#This Row],[TrxId]], Trx[Id], Trx[Date],,0)</f>
        <v>46053</v>
      </c>
      <c r="C876" s="7" t="str">
        <f>_xlfn.XLOOKUP(Jnl[[#This Row],[TrxId]], Trx[Id], Trx[Division],,0)</f>
        <v>Ctrl</v>
      </c>
      <c r="D876" s="7" t="str">
        <f>_xlfn.XLOOKUP(Jnl[[#This Row],[TrxId]], Trx[Id], Trx[Action],,0)</f>
        <v>调整</v>
      </c>
      <c r="E876" s="26" t="s">
        <v>83</v>
      </c>
      <c r="F876" s="11" t="s">
        <v>593</v>
      </c>
      <c r="G876" s="11" t="s">
        <v>1127</v>
      </c>
      <c r="H876" s="72">
        <v>-0.1</v>
      </c>
      <c r="I876" s="5" t="b">
        <f>AND(Jnl[[#This Row],[TrxId]]&lt;&gt;"",Jnl[[#This Row],[Acct]]&lt;&gt;"",Jnl[[#This Row],[Item]]&lt;&gt;"",ISNUMBER(Jnl[[#This Row],[Bal]]))</f>
        <v>1</v>
      </c>
      <c r="J876" s="10">
        <f>IF(Jnl[[#This Row],[BSLv0]]="A",1,-1)*Jnl[[#This Row],[Bal]]</f>
        <v>-0.1</v>
      </c>
      <c r="K876" t="str">
        <f>_xlfn.XLOOKUP(Jnl[[#This Row],[Acct]], config_BS[Acct], config_BS[Lv0],,0)</f>
        <v>A</v>
      </c>
      <c r="L876" t="str">
        <f>_xlfn.XLOOKUP(Jnl[[#This Row],[Acct]], config_BS[Acct], config_BS[Lv1],,0)</f>
        <v>Assets</v>
      </c>
      <c r="M876" t="str">
        <f>_xlfn.XLOOKUP(Jnl[[#This Row],[Acct]], config_BS[Acct], config_BS[Lv2],,0)</f>
        <v>Rec-Pay</v>
      </c>
      <c r="N876" t="str">
        <f>_xlfn.XLOOKUP(Jnl[[#This Row],[TrxId]], Trx[Id], Trx[IncNode], ,0)</f>
        <v>Other</v>
      </c>
      <c r="O876" t="str">
        <f>_xlfn.XLOOKUP(Jnl[[#This Row],[IncNode]], config_IS[Node], config_IS[Type],,0)</f>
        <v>Non-Op</v>
      </c>
      <c r="P876" t="str">
        <f>_xlfn.XLOOKUP(Jnl[[#This Row],[BSLv2]], dict[Key], dict[Name],,0)</f>
        <v>1.应收-应付</v>
      </c>
      <c r="Q876" t="str">
        <f>_xlfn.XLOOKUP(Jnl[[#This Row],[Acct]], dict[Key], dict[Name],,0)</f>
        <v>应收-一般</v>
      </c>
      <c r="R876" t="str">
        <f>_xlfn.XLOOKUP(Jnl[[#This Row],[Vehicle]],config_vehicle[Id], config_vehicle[Name],,0)</f>
        <v>远家文化</v>
      </c>
      <c r="S876" t="str">
        <f>_xlfn.XLOOKUP(Jnl[[#This Row],[Division]],config_div[Id], config_div[Name],,0)</f>
        <v>内控合规</v>
      </c>
      <c r="T876" t="str">
        <f>IF(Jnl[[#This Row],[TrxDate]]&lt;=stmt_BS_date_end, "In", "Out")</f>
        <v>In</v>
      </c>
      <c r="U876" t="str">
        <f>IF(Jnl[[#This Row],[TrxDate]]&lt;debug_date_start, "prior", IF(Jnl[[#This Row],[TrxDate]]&gt;debug_date_end, "post", "curr"))</f>
        <v>prior</v>
      </c>
    </row>
    <row r="877" spans="1:21">
      <c r="A877" s="11" t="s">
        <v>1275</v>
      </c>
      <c r="B877" s="7">
        <f>_xlfn.XLOOKUP(Jnl[[#This Row],[TrxId]], Trx[Id], Trx[Date],,0)</f>
        <v>46053</v>
      </c>
      <c r="C877" s="7" t="str">
        <f>_xlfn.XLOOKUP(Jnl[[#This Row],[TrxId]], Trx[Id], Trx[Division],,0)</f>
        <v>MY</v>
      </c>
      <c r="D877" s="7" t="str">
        <f>_xlfn.XLOOKUP(Jnl[[#This Row],[TrxId]], Trx[Id], Trx[Action],,0)</f>
        <v>杂货</v>
      </c>
      <c r="E877" s="26" t="s">
        <v>83</v>
      </c>
      <c r="F877" s="11" t="s">
        <v>593</v>
      </c>
      <c r="G877" s="11" t="s">
        <v>1127</v>
      </c>
      <c r="H877" s="72">
        <v>4014.4</v>
      </c>
      <c r="I877" s="5" t="b">
        <f>AND(Jnl[[#This Row],[TrxId]]&lt;&gt;"",Jnl[[#This Row],[Acct]]&lt;&gt;"",Jnl[[#This Row],[Item]]&lt;&gt;"",ISNUMBER(Jnl[[#This Row],[Bal]]))</f>
        <v>1</v>
      </c>
      <c r="J877" s="10">
        <f>IF(Jnl[[#This Row],[BSLv0]]="A",1,-1)*Jnl[[#This Row],[Bal]]</f>
        <v>4014.4</v>
      </c>
      <c r="K877" t="str">
        <f>_xlfn.XLOOKUP(Jnl[[#This Row],[Acct]], config_BS[Acct], config_BS[Lv0],,0)</f>
        <v>A</v>
      </c>
      <c r="L877" t="str">
        <f>_xlfn.XLOOKUP(Jnl[[#This Row],[Acct]], config_BS[Acct], config_BS[Lv1],,0)</f>
        <v>Assets</v>
      </c>
      <c r="M877" t="str">
        <f>_xlfn.XLOOKUP(Jnl[[#This Row],[Acct]], config_BS[Acct], config_BS[Lv2],,0)</f>
        <v>Rec-Pay</v>
      </c>
      <c r="N877" t="str">
        <f>_xlfn.XLOOKUP(Jnl[[#This Row],[TrxId]], Trx[Id], Trx[IncNode], ,0)</f>
        <v>Revenue</v>
      </c>
      <c r="O877" t="str">
        <f>_xlfn.XLOOKUP(Jnl[[#This Row],[IncNode]], config_IS[Node], config_IS[Type],,0)</f>
        <v>Op</v>
      </c>
      <c r="P877" t="str">
        <f>_xlfn.XLOOKUP(Jnl[[#This Row],[BSLv2]], dict[Key], dict[Name],,0)</f>
        <v>1.应收-应付</v>
      </c>
      <c r="Q877" t="str">
        <f>_xlfn.XLOOKUP(Jnl[[#This Row],[Acct]], dict[Key], dict[Name],,0)</f>
        <v>应收-一般</v>
      </c>
      <c r="R877" t="str">
        <f>_xlfn.XLOOKUP(Jnl[[#This Row],[Vehicle]],config_vehicle[Id], config_vehicle[Name],,0)</f>
        <v>远家文化</v>
      </c>
      <c r="S877" t="str">
        <f>_xlfn.XLOOKUP(Jnl[[#This Row],[Division]],config_div[Id], config_div[Name],,0)</f>
        <v>明月村</v>
      </c>
      <c r="T877" t="str">
        <f>IF(Jnl[[#This Row],[TrxDate]]&lt;=stmt_BS_date_end, "In", "Out")</f>
        <v>In</v>
      </c>
      <c r="U877" t="str">
        <f>IF(Jnl[[#This Row],[TrxDate]]&lt;debug_date_start, "prior", IF(Jnl[[#This Row],[TrxDate]]&gt;debug_date_end, "post", "curr"))</f>
        <v>prior</v>
      </c>
    </row>
    <row r="878" spans="1:21">
      <c r="A878" s="11" t="s">
        <v>1276</v>
      </c>
      <c r="B878" s="7">
        <f>_xlfn.XLOOKUP(Jnl[[#This Row],[TrxId]], Trx[Id], Trx[Date],,0)</f>
        <v>46053</v>
      </c>
      <c r="C878" s="7" t="str">
        <f>_xlfn.XLOOKUP(Jnl[[#This Row],[TrxId]], Trx[Id], Trx[Division],,0)</f>
        <v>MY</v>
      </c>
      <c r="D878" s="7" t="str">
        <f>_xlfn.XLOOKUP(Jnl[[#This Row],[TrxId]], Trx[Id], Trx[Action],,0)</f>
        <v>住宿</v>
      </c>
      <c r="E878" s="26" t="s">
        <v>83</v>
      </c>
      <c r="F878" s="11" t="s">
        <v>593</v>
      </c>
      <c r="G878" s="11" t="s">
        <v>977</v>
      </c>
      <c r="H878" s="72">
        <v>25984.6</v>
      </c>
      <c r="I878" s="5" t="b">
        <f>AND(Jnl[[#This Row],[TrxId]]&lt;&gt;"",Jnl[[#This Row],[Acct]]&lt;&gt;"",Jnl[[#This Row],[Item]]&lt;&gt;"",ISNUMBER(Jnl[[#This Row],[Bal]]))</f>
        <v>1</v>
      </c>
      <c r="J878" s="10">
        <f>IF(Jnl[[#This Row],[BSLv0]]="A",1,-1)*Jnl[[#This Row],[Bal]]</f>
        <v>25984.6</v>
      </c>
      <c r="K878" t="str">
        <f>_xlfn.XLOOKUP(Jnl[[#This Row],[Acct]], config_BS[Acct], config_BS[Lv0],,0)</f>
        <v>A</v>
      </c>
      <c r="L878" t="str">
        <f>_xlfn.XLOOKUP(Jnl[[#This Row],[Acct]], config_BS[Acct], config_BS[Lv1],,0)</f>
        <v>Assets</v>
      </c>
      <c r="M878" t="str">
        <f>_xlfn.XLOOKUP(Jnl[[#This Row],[Acct]], config_BS[Acct], config_BS[Lv2],,0)</f>
        <v>Rec-Pay</v>
      </c>
      <c r="N878" t="str">
        <f>_xlfn.XLOOKUP(Jnl[[#This Row],[TrxId]], Trx[Id], Trx[IncNode], ,0)</f>
        <v>Revenue</v>
      </c>
      <c r="O878" t="str">
        <f>_xlfn.XLOOKUP(Jnl[[#This Row],[IncNode]], config_IS[Node], config_IS[Type],,0)</f>
        <v>Op</v>
      </c>
      <c r="P878" t="str">
        <f>_xlfn.XLOOKUP(Jnl[[#This Row],[BSLv2]], dict[Key], dict[Name],,0)</f>
        <v>1.应收-应付</v>
      </c>
      <c r="Q878" t="str">
        <f>_xlfn.XLOOKUP(Jnl[[#This Row],[Acct]], dict[Key], dict[Name],,0)</f>
        <v>应收-一般</v>
      </c>
      <c r="R878" t="str">
        <f>_xlfn.XLOOKUP(Jnl[[#This Row],[Vehicle]],config_vehicle[Id], config_vehicle[Name],,0)</f>
        <v>远家文化</v>
      </c>
      <c r="S878" t="str">
        <f>_xlfn.XLOOKUP(Jnl[[#This Row],[Division]],config_div[Id], config_div[Name],,0)</f>
        <v>明月村</v>
      </c>
      <c r="T878" t="str">
        <f>IF(Jnl[[#This Row],[TrxDate]]&lt;=stmt_BS_date_end, "In", "Out")</f>
        <v>In</v>
      </c>
      <c r="U878" t="str">
        <f>IF(Jnl[[#This Row],[TrxDate]]&lt;debug_date_start, "prior", IF(Jnl[[#This Row],[TrxDate]]&gt;debug_date_end, "post", "curr"))</f>
        <v>prior</v>
      </c>
    </row>
    <row r="879" spans="1:21">
      <c r="A879" s="11" t="s">
        <v>1346</v>
      </c>
      <c r="B879" s="7">
        <f>_xlfn.XLOOKUP(Jnl[[#This Row],[TrxId]], Trx[Id], Trx[Date],,0)</f>
        <v>46053</v>
      </c>
      <c r="C879" s="7" t="str">
        <f>_xlfn.XLOOKUP(Jnl[[#This Row],[TrxId]], Trx[Id], Trx[Division],,0)</f>
        <v>MY</v>
      </c>
      <c r="D879" s="7" t="str">
        <f>_xlfn.XLOOKUP(Jnl[[#This Row],[TrxId]], Trx[Id], Trx[Action],,0)</f>
        <v>餐饮</v>
      </c>
      <c r="E879" s="26" t="s">
        <v>83</v>
      </c>
      <c r="F879" s="11" t="s">
        <v>593</v>
      </c>
      <c r="G879" s="11" t="s">
        <v>977</v>
      </c>
      <c r="H879" s="72">
        <v>31249</v>
      </c>
      <c r="I879" s="5" t="b">
        <f>AND(Jnl[[#This Row],[TrxId]]&lt;&gt;"",Jnl[[#This Row],[Acct]]&lt;&gt;"",Jnl[[#This Row],[Item]]&lt;&gt;"",ISNUMBER(Jnl[[#This Row],[Bal]]))</f>
        <v>1</v>
      </c>
      <c r="J879" s="10">
        <f>IF(Jnl[[#This Row],[BSLv0]]="A",1,-1)*Jnl[[#This Row],[Bal]]</f>
        <v>31249</v>
      </c>
      <c r="K879" t="str">
        <f>_xlfn.XLOOKUP(Jnl[[#This Row],[Acct]], config_BS[Acct], config_BS[Lv0],,0)</f>
        <v>A</v>
      </c>
      <c r="L879" t="str">
        <f>_xlfn.XLOOKUP(Jnl[[#This Row],[Acct]], config_BS[Acct], config_BS[Lv1],,0)</f>
        <v>Assets</v>
      </c>
      <c r="M879" t="str">
        <f>_xlfn.XLOOKUP(Jnl[[#This Row],[Acct]], config_BS[Acct], config_BS[Lv2],,0)</f>
        <v>Rec-Pay</v>
      </c>
      <c r="N879" t="str">
        <f>_xlfn.XLOOKUP(Jnl[[#This Row],[TrxId]], Trx[Id], Trx[IncNode], ,0)</f>
        <v>Revenue</v>
      </c>
      <c r="O879" t="str">
        <f>_xlfn.XLOOKUP(Jnl[[#This Row],[IncNode]], config_IS[Node], config_IS[Type],,0)</f>
        <v>Op</v>
      </c>
      <c r="P879" t="str">
        <f>_xlfn.XLOOKUP(Jnl[[#This Row],[BSLv2]], dict[Key], dict[Name],,0)</f>
        <v>1.应收-应付</v>
      </c>
      <c r="Q879" t="str">
        <f>_xlfn.XLOOKUP(Jnl[[#This Row],[Acct]], dict[Key], dict[Name],,0)</f>
        <v>应收-一般</v>
      </c>
      <c r="R879" t="str">
        <f>_xlfn.XLOOKUP(Jnl[[#This Row],[Vehicle]],config_vehicle[Id], config_vehicle[Name],,0)</f>
        <v>远家文化</v>
      </c>
      <c r="S879" t="str">
        <f>_xlfn.XLOOKUP(Jnl[[#This Row],[Division]],config_div[Id], config_div[Name],,0)</f>
        <v>明月村</v>
      </c>
      <c r="T879" t="str">
        <f>IF(Jnl[[#This Row],[TrxDate]]&lt;=stmt_BS_date_end, "In", "Out")</f>
        <v>In</v>
      </c>
      <c r="U879" t="str">
        <f>IF(Jnl[[#This Row],[TrxDate]]&lt;debug_date_start, "prior", IF(Jnl[[#This Row],[TrxDate]]&gt;debug_date_end, "post", "curr"))</f>
        <v>prior</v>
      </c>
    </row>
    <row r="880" spans="1:21">
      <c r="A880" s="11" t="s">
        <v>1347</v>
      </c>
      <c r="B880" s="7">
        <f>_xlfn.XLOOKUP(Jnl[[#This Row],[TrxId]], Trx[Id], Trx[Date],,0)</f>
        <v>46053</v>
      </c>
      <c r="C880" s="7" t="str">
        <f>_xlfn.XLOOKUP(Jnl[[#This Row],[TrxId]], Trx[Id], Trx[Division],,0)</f>
        <v>MY</v>
      </c>
      <c r="D880" s="7" t="str">
        <f>_xlfn.XLOOKUP(Jnl[[#This Row],[TrxId]], Trx[Id], Trx[Action],,0)</f>
        <v>杂货</v>
      </c>
      <c r="E880" s="26" t="s">
        <v>83</v>
      </c>
      <c r="F880" s="11" t="s">
        <v>593</v>
      </c>
      <c r="G880" s="11" t="s">
        <v>977</v>
      </c>
      <c r="H880" s="72">
        <v>5533.4</v>
      </c>
      <c r="I880" s="5" t="b">
        <f>AND(Jnl[[#This Row],[TrxId]]&lt;&gt;"",Jnl[[#This Row],[Acct]]&lt;&gt;"",Jnl[[#This Row],[Item]]&lt;&gt;"",ISNUMBER(Jnl[[#This Row],[Bal]]))</f>
        <v>1</v>
      </c>
      <c r="J880" s="10">
        <f>IF(Jnl[[#This Row],[BSLv0]]="A",1,-1)*Jnl[[#This Row],[Bal]]</f>
        <v>5533.4</v>
      </c>
      <c r="K880" t="str">
        <f>_xlfn.XLOOKUP(Jnl[[#This Row],[Acct]], config_BS[Acct], config_BS[Lv0],,0)</f>
        <v>A</v>
      </c>
      <c r="L880" t="str">
        <f>_xlfn.XLOOKUP(Jnl[[#This Row],[Acct]], config_BS[Acct], config_BS[Lv1],,0)</f>
        <v>Assets</v>
      </c>
      <c r="M880" t="str">
        <f>_xlfn.XLOOKUP(Jnl[[#This Row],[Acct]], config_BS[Acct], config_BS[Lv2],,0)</f>
        <v>Rec-Pay</v>
      </c>
      <c r="N880" t="str">
        <f>_xlfn.XLOOKUP(Jnl[[#This Row],[TrxId]], Trx[Id], Trx[IncNode], ,0)</f>
        <v>Revenue</v>
      </c>
      <c r="O880" t="str">
        <f>_xlfn.XLOOKUP(Jnl[[#This Row],[IncNode]], config_IS[Node], config_IS[Type],,0)</f>
        <v>Op</v>
      </c>
      <c r="P880" t="str">
        <f>_xlfn.XLOOKUP(Jnl[[#This Row],[BSLv2]], dict[Key], dict[Name],,0)</f>
        <v>1.应收-应付</v>
      </c>
      <c r="Q880" t="str">
        <f>_xlfn.XLOOKUP(Jnl[[#This Row],[Acct]], dict[Key], dict[Name],,0)</f>
        <v>应收-一般</v>
      </c>
      <c r="R880" t="str">
        <f>_xlfn.XLOOKUP(Jnl[[#This Row],[Vehicle]],config_vehicle[Id], config_vehicle[Name],,0)</f>
        <v>远家文化</v>
      </c>
      <c r="S880" t="str">
        <f>_xlfn.XLOOKUP(Jnl[[#This Row],[Division]],config_div[Id], config_div[Name],,0)</f>
        <v>明月村</v>
      </c>
      <c r="T880" t="str">
        <f>IF(Jnl[[#This Row],[TrxDate]]&lt;=stmt_BS_date_end, "In", "Out")</f>
        <v>In</v>
      </c>
      <c r="U880" t="str">
        <f>IF(Jnl[[#This Row],[TrxDate]]&lt;debug_date_start, "prior", IF(Jnl[[#This Row],[TrxDate]]&gt;debug_date_end, "post", "curr"))</f>
        <v>prior</v>
      </c>
    </row>
    <row r="881" spans="1:21">
      <c r="A881" s="11" t="s">
        <v>1277</v>
      </c>
      <c r="B881" s="7">
        <f>_xlfn.XLOOKUP(Jnl[[#This Row],[TrxId]], Trx[Id], Trx[Date],,0)</f>
        <v>46053</v>
      </c>
      <c r="C881" s="7" t="str">
        <f>_xlfn.XLOOKUP(Jnl[[#This Row],[TrxId]], Trx[Id], Trx[Division],,0)</f>
        <v>MY</v>
      </c>
      <c r="D881" s="7" t="str">
        <f>_xlfn.XLOOKUP(Jnl[[#This Row],[TrxId]], Trx[Id], Trx[Action],,0)</f>
        <v>杂货</v>
      </c>
      <c r="E881" s="26" t="s">
        <v>83</v>
      </c>
      <c r="F881" s="11" t="s">
        <v>593</v>
      </c>
      <c r="G881" s="11" t="s">
        <v>1001</v>
      </c>
      <c r="H881" s="72">
        <v>14532.1</v>
      </c>
      <c r="I881" s="5" t="b">
        <f>AND(Jnl[[#This Row],[TrxId]]&lt;&gt;"",Jnl[[#This Row],[Acct]]&lt;&gt;"",Jnl[[#This Row],[Item]]&lt;&gt;"",ISNUMBER(Jnl[[#This Row],[Bal]]))</f>
        <v>1</v>
      </c>
      <c r="J881" s="10">
        <f>IF(Jnl[[#This Row],[BSLv0]]="A",1,-1)*Jnl[[#This Row],[Bal]]</f>
        <v>14532.1</v>
      </c>
      <c r="K881" t="str">
        <f>_xlfn.XLOOKUP(Jnl[[#This Row],[Acct]], config_BS[Acct], config_BS[Lv0],,0)</f>
        <v>A</v>
      </c>
      <c r="L881" t="str">
        <f>_xlfn.XLOOKUP(Jnl[[#This Row],[Acct]], config_BS[Acct], config_BS[Lv1],,0)</f>
        <v>Assets</v>
      </c>
      <c r="M881" t="str">
        <f>_xlfn.XLOOKUP(Jnl[[#This Row],[Acct]], config_BS[Acct], config_BS[Lv2],,0)</f>
        <v>Rec-Pay</v>
      </c>
      <c r="N881" t="str">
        <f>_xlfn.XLOOKUP(Jnl[[#This Row],[TrxId]], Trx[Id], Trx[IncNode], ,0)</f>
        <v>Revenue</v>
      </c>
      <c r="O881" t="str">
        <f>_xlfn.XLOOKUP(Jnl[[#This Row],[IncNode]], config_IS[Node], config_IS[Type],,0)</f>
        <v>Op</v>
      </c>
      <c r="P881" t="str">
        <f>_xlfn.XLOOKUP(Jnl[[#This Row],[BSLv2]], dict[Key], dict[Name],,0)</f>
        <v>1.应收-应付</v>
      </c>
      <c r="Q881" t="str">
        <f>_xlfn.XLOOKUP(Jnl[[#This Row],[Acct]], dict[Key], dict[Name],,0)</f>
        <v>应收-一般</v>
      </c>
      <c r="R881" t="str">
        <f>_xlfn.XLOOKUP(Jnl[[#This Row],[Vehicle]],config_vehicle[Id], config_vehicle[Name],,0)</f>
        <v>远家文化</v>
      </c>
      <c r="S881" t="str">
        <f>_xlfn.XLOOKUP(Jnl[[#This Row],[Division]],config_div[Id], config_div[Name],,0)</f>
        <v>明月村</v>
      </c>
      <c r="T881" t="str">
        <f>IF(Jnl[[#This Row],[TrxDate]]&lt;=stmt_BS_date_end, "In", "Out")</f>
        <v>In</v>
      </c>
      <c r="U881" t="str">
        <f>IF(Jnl[[#This Row],[TrxDate]]&lt;debug_date_start, "prior", IF(Jnl[[#This Row],[TrxDate]]&gt;debug_date_end, "post", "curr"))</f>
        <v>prior</v>
      </c>
    </row>
    <row r="882" spans="1:21">
      <c r="A882" s="11" t="s">
        <v>1278</v>
      </c>
      <c r="B882" s="7">
        <f>_xlfn.XLOOKUP(Jnl[[#This Row],[TrxId]], Trx[Id], Trx[Date],,0)</f>
        <v>46053</v>
      </c>
      <c r="C882" s="7" t="str">
        <f>_xlfn.XLOOKUP(Jnl[[#This Row],[TrxId]], Trx[Id], Trx[Division],,0)</f>
        <v>GM</v>
      </c>
      <c r="D882" s="7" t="str">
        <f>_xlfn.XLOOKUP(Jnl[[#This Row],[TrxId]], Trx[Id], Trx[Action],,0)</f>
        <v>薪酬-工资</v>
      </c>
      <c r="E882" s="26" t="s">
        <v>83</v>
      </c>
      <c r="F882" s="11" t="s">
        <v>596</v>
      </c>
      <c r="G882" s="11" t="s">
        <v>149</v>
      </c>
      <c r="H882" s="72">
        <v>26142</v>
      </c>
      <c r="I882" s="5" t="b">
        <f>AND(Jnl[[#This Row],[TrxId]]&lt;&gt;"",Jnl[[#This Row],[Acct]]&lt;&gt;"",Jnl[[#This Row],[Item]]&lt;&gt;"",ISNUMBER(Jnl[[#This Row],[Bal]]))</f>
        <v>1</v>
      </c>
      <c r="J882" s="10">
        <f>IF(Jnl[[#This Row],[BSLv0]]="A",1,-1)*Jnl[[#This Row],[Bal]]</f>
        <v>-26142</v>
      </c>
      <c r="K882" t="str">
        <f>_xlfn.XLOOKUP(Jnl[[#This Row],[Acct]], config_BS[Acct], config_BS[Lv0],,0)</f>
        <v>LC</v>
      </c>
      <c r="L882" t="str">
        <f>_xlfn.XLOOKUP(Jnl[[#This Row],[Acct]], config_BS[Acct], config_BS[Lv1],,0)</f>
        <v>Liability</v>
      </c>
      <c r="M882" t="str">
        <f>_xlfn.XLOOKUP(Jnl[[#This Row],[Acct]], config_BS[Acct], config_BS[Lv2],,0)</f>
        <v>Rec-Pay</v>
      </c>
      <c r="N882" t="str">
        <f>_xlfn.XLOOKUP(Jnl[[#This Row],[TrxId]], Trx[Id], Trx[IncNode], ,0)</f>
        <v>Expense</v>
      </c>
      <c r="O882" t="str">
        <f>_xlfn.XLOOKUP(Jnl[[#This Row],[IncNode]], config_IS[Node], config_IS[Type],,0)</f>
        <v>Op</v>
      </c>
      <c r="P882" t="str">
        <f>_xlfn.XLOOKUP(Jnl[[#This Row],[BSLv2]], dict[Key], dict[Name],,0)</f>
        <v>1.应收-应付</v>
      </c>
      <c r="Q882" t="str">
        <f>_xlfn.XLOOKUP(Jnl[[#This Row],[Acct]], dict[Key], dict[Name],,0)</f>
        <v>应付-薪资</v>
      </c>
      <c r="R882" t="str">
        <f>_xlfn.XLOOKUP(Jnl[[#This Row],[Vehicle]],config_vehicle[Id], config_vehicle[Name],,0)</f>
        <v>远家文化</v>
      </c>
      <c r="S882" t="str">
        <f>_xlfn.XLOOKUP(Jnl[[#This Row],[Division]],config_div[Id], config_div[Name],,0)</f>
        <v>综合管理</v>
      </c>
      <c r="T882" t="str">
        <f>IF(Jnl[[#This Row],[TrxDate]]&lt;=stmt_BS_date_end, "In", "Out")</f>
        <v>In</v>
      </c>
      <c r="U882" t="str">
        <f>IF(Jnl[[#This Row],[TrxDate]]&lt;debug_date_start, "prior", IF(Jnl[[#This Row],[TrxDate]]&gt;debug_date_end, "post", "curr"))</f>
        <v>prior</v>
      </c>
    </row>
    <row r="883" spans="1:21">
      <c r="A883" s="11" t="s">
        <v>1336</v>
      </c>
      <c r="B883" s="7">
        <f>_xlfn.XLOOKUP(Jnl[[#This Row],[TrxId]], Trx[Id], Trx[Date],,0)</f>
        <v>46053</v>
      </c>
      <c r="C883" s="7" t="str">
        <f>_xlfn.XLOOKUP(Jnl[[#This Row],[TrxId]], Trx[Id], Trx[Division],,0)</f>
        <v>MY</v>
      </c>
      <c r="D883" s="7" t="str">
        <f>_xlfn.XLOOKUP(Jnl[[#This Row],[TrxId]], Trx[Id], Trx[Action],,0)</f>
        <v>薪酬-工资</v>
      </c>
      <c r="E883" s="26" t="s">
        <v>83</v>
      </c>
      <c r="F883" s="11" t="s">
        <v>596</v>
      </c>
      <c r="G883" s="11" t="s">
        <v>149</v>
      </c>
      <c r="H883" s="72">
        <f>92274.28-H884-H885</f>
        <v>82029.430000000008</v>
      </c>
      <c r="I883" s="5" t="b">
        <f>AND(Jnl[[#This Row],[TrxId]]&lt;&gt;"",Jnl[[#This Row],[Acct]]&lt;&gt;"",Jnl[[#This Row],[Item]]&lt;&gt;"",ISNUMBER(Jnl[[#This Row],[Bal]]))</f>
        <v>1</v>
      </c>
      <c r="J883" s="10">
        <f>IF(Jnl[[#This Row],[BSLv0]]="A",1,-1)*Jnl[[#This Row],[Bal]]</f>
        <v>-82029.430000000008</v>
      </c>
      <c r="K883" t="str">
        <f>_xlfn.XLOOKUP(Jnl[[#This Row],[Acct]], config_BS[Acct], config_BS[Lv0],,0)</f>
        <v>LC</v>
      </c>
      <c r="L883" t="str">
        <f>_xlfn.XLOOKUP(Jnl[[#This Row],[Acct]], config_BS[Acct], config_BS[Lv1],,0)</f>
        <v>Liability</v>
      </c>
      <c r="M883" t="str">
        <f>_xlfn.XLOOKUP(Jnl[[#This Row],[Acct]], config_BS[Acct], config_BS[Lv2],,0)</f>
        <v>Rec-Pay</v>
      </c>
      <c r="N883" t="str">
        <f>_xlfn.XLOOKUP(Jnl[[#This Row],[TrxId]], Trx[Id], Trx[IncNode], ,0)</f>
        <v>Expense</v>
      </c>
      <c r="O883" t="str">
        <f>_xlfn.XLOOKUP(Jnl[[#This Row],[IncNode]], config_IS[Node], config_IS[Type],,0)</f>
        <v>Op</v>
      </c>
      <c r="P883" t="str">
        <f>_xlfn.XLOOKUP(Jnl[[#This Row],[BSLv2]], dict[Key], dict[Name],,0)</f>
        <v>1.应收-应付</v>
      </c>
      <c r="Q883" t="str">
        <f>_xlfn.XLOOKUP(Jnl[[#This Row],[Acct]], dict[Key], dict[Name],,0)</f>
        <v>应付-薪资</v>
      </c>
      <c r="R883" t="str">
        <f>_xlfn.XLOOKUP(Jnl[[#This Row],[Vehicle]],config_vehicle[Id], config_vehicle[Name],,0)</f>
        <v>远家文化</v>
      </c>
      <c r="S883" t="str">
        <f>_xlfn.XLOOKUP(Jnl[[#This Row],[Division]],config_div[Id], config_div[Name],,0)</f>
        <v>明月村</v>
      </c>
      <c r="T883" t="str">
        <f>IF(Jnl[[#This Row],[TrxDate]]&lt;=stmt_BS_date_end, "In", "Out")</f>
        <v>In</v>
      </c>
      <c r="U883" t="str">
        <f>IF(Jnl[[#This Row],[TrxDate]]&lt;debug_date_start, "prior", IF(Jnl[[#This Row],[TrxDate]]&gt;debug_date_end, "post", "curr"))</f>
        <v>prior</v>
      </c>
    </row>
    <row r="884" spans="1:21">
      <c r="A884" s="11" t="s">
        <v>1336</v>
      </c>
      <c r="B884" s="7">
        <f>_xlfn.XLOOKUP(Jnl[[#This Row],[TrxId]], Trx[Id], Trx[Date],,0)</f>
        <v>46053</v>
      </c>
      <c r="C884" s="7" t="str">
        <f>_xlfn.XLOOKUP(Jnl[[#This Row],[TrxId]], Trx[Id], Trx[Division],,0)</f>
        <v>MY</v>
      </c>
      <c r="D884" s="7" t="str">
        <f>_xlfn.XLOOKUP(Jnl[[#This Row],[TrxId]], Trx[Id], Trx[Action],,0)</f>
        <v>薪酬-工资</v>
      </c>
      <c r="E884" s="26" t="s">
        <v>83</v>
      </c>
      <c r="F884" s="11" t="s">
        <v>127</v>
      </c>
      <c r="G884" s="11" t="s">
        <v>343</v>
      </c>
      <c r="H884" s="72">
        <v>224.7</v>
      </c>
      <c r="I884" s="5" t="b">
        <f>AND(Jnl[[#This Row],[TrxId]]&lt;&gt;"",Jnl[[#This Row],[Acct]]&lt;&gt;"",Jnl[[#This Row],[Item]]&lt;&gt;"",ISNUMBER(Jnl[[#This Row],[Bal]]))</f>
        <v>1</v>
      </c>
      <c r="J884" s="10">
        <f>IF(Jnl[[#This Row],[BSLv0]]="A",1,-1)*Jnl[[#This Row],[Bal]]</f>
        <v>-224.7</v>
      </c>
      <c r="K884" t="str">
        <f>_xlfn.XLOOKUP(Jnl[[#This Row],[Acct]], config_BS[Acct], config_BS[Lv0],,0)</f>
        <v>LC</v>
      </c>
      <c r="L884" t="str">
        <f>_xlfn.XLOOKUP(Jnl[[#This Row],[Acct]], config_BS[Acct], config_BS[Lv1],,0)</f>
        <v>Liability</v>
      </c>
      <c r="M884" t="str">
        <f>_xlfn.XLOOKUP(Jnl[[#This Row],[Acct]], config_BS[Acct], config_BS[Lv2],,0)</f>
        <v>Rec-Pay</v>
      </c>
      <c r="N884" t="str">
        <f>_xlfn.XLOOKUP(Jnl[[#This Row],[TrxId]], Trx[Id], Trx[IncNode], ,0)</f>
        <v>Expense</v>
      </c>
      <c r="O884" t="str">
        <f>_xlfn.XLOOKUP(Jnl[[#This Row],[IncNode]], config_IS[Node], config_IS[Type],,0)</f>
        <v>Op</v>
      </c>
      <c r="P884" t="str">
        <f>_xlfn.XLOOKUP(Jnl[[#This Row],[BSLv2]], dict[Key], dict[Name],,0)</f>
        <v>1.应收-应付</v>
      </c>
      <c r="Q884" t="str">
        <f>_xlfn.XLOOKUP(Jnl[[#This Row],[Acct]], dict[Key], dict[Name],,0)</f>
        <v>应付-税款</v>
      </c>
      <c r="R884" t="str">
        <f>_xlfn.XLOOKUP(Jnl[[#This Row],[Vehicle]],config_vehicle[Id], config_vehicle[Name],,0)</f>
        <v>远家文化</v>
      </c>
      <c r="S884" t="str">
        <f>_xlfn.XLOOKUP(Jnl[[#This Row],[Division]],config_div[Id], config_div[Name],,0)</f>
        <v>明月村</v>
      </c>
      <c r="T884" t="str">
        <f>IF(Jnl[[#This Row],[TrxDate]]&lt;=stmt_BS_date_end, "In", "Out")</f>
        <v>In</v>
      </c>
      <c r="U884" t="str">
        <f>IF(Jnl[[#This Row],[TrxDate]]&lt;debug_date_start, "prior", IF(Jnl[[#This Row],[TrxDate]]&gt;debug_date_end, "post", "curr"))</f>
        <v>prior</v>
      </c>
    </row>
    <row r="885" spans="1:21">
      <c r="A885" s="11" t="s">
        <v>1336</v>
      </c>
      <c r="B885" s="7">
        <f>_xlfn.XLOOKUP(Jnl[[#This Row],[TrxId]], Trx[Id], Trx[Date],,0)</f>
        <v>46053</v>
      </c>
      <c r="C885" s="7" t="str">
        <f>_xlfn.XLOOKUP(Jnl[[#This Row],[TrxId]], Trx[Id], Trx[Division],,0)</f>
        <v>MY</v>
      </c>
      <c r="D885" s="7" t="str">
        <f>_xlfn.XLOOKUP(Jnl[[#This Row],[TrxId]], Trx[Id], Trx[Action],,0)</f>
        <v>薪酬-工资</v>
      </c>
      <c r="E885" s="26" t="s">
        <v>83</v>
      </c>
      <c r="F885" s="11" t="s">
        <v>131</v>
      </c>
      <c r="G885" s="11" t="s">
        <v>1808</v>
      </c>
      <c r="H885" s="72">
        <v>10020.15</v>
      </c>
      <c r="I885" s="5" t="b">
        <f>AND(Jnl[[#This Row],[TrxId]]&lt;&gt;"",Jnl[[#This Row],[Acct]]&lt;&gt;"",Jnl[[#This Row],[Item]]&lt;&gt;"",ISNUMBER(Jnl[[#This Row],[Bal]]))</f>
        <v>1</v>
      </c>
      <c r="J885" s="10">
        <f>IF(Jnl[[#This Row],[BSLv0]]="A",1,-1)*Jnl[[#This Row],[Bal]]</f>
        <v>-10020.15</v>
      </c>
      <c r="K885" t="str">
        <f>_xlfn.XLOOKUP(Jnl[[#This Row],[Acct]], config_BS[Acct], config_BS[Lv0],,0)</f>
        <v>LC</v>
      </c>
      <c r="L885" t="str">
        <f>_xlfn.XLOOKUP(Jnl[[#This Row],[Acct]], config_BS[Acct], config_BS[Lv1],,0)</f>
        <v>Liability</v>
      </c>
      <c r="M885" t="str">
        <f>_xlfn.XLOOKUP(Jnl[[#This Row],[Acct]], config_BS[Acct], config_BS[Lv2],,0)</f>
        <v>Rec-Pay</v>
      </c>
      <c r="N885" t="str">
        <f>_xlfn.XLOOKUP(Jnl[[#This Row],[TrxId]], Trx[Id], Trx[IncNode], ,0)</f>
        <v>Expense</v>
      </c>
      <c r="O885" t="str">
        <f>_xlfn.XLOOKUP(Jnl[[#This Row],[IncNode]], config_IS[Node], config_IS[Type],,0)</f>
        <v>Op</v>
      </c>
      <c r="P885" t="str">
        <f>_xlfn.XLOOKUP(Jnl[[#This Row],[BSLv2]], dict[Key], dict[Name],,0)</f>
        <v>1.应收-应付</v>
      </c>
      <c r="Q885" t="str">
        <f>_xlfn.XLOOKUP(Jnl[[#This Row],[Acct]], dict[Key], dict[Name],,0)</f>
        <v>应付-其他</v>
      </c>
      <c r="R885" t="str">
        <f>_xlfn.XLOOKUP(Jnl[[#This Row],[Vehicle]],config_vehicle[Id], config_vehicle[Name],,0)</f>
        <v>远家文化</v>
      </c>
      <c r="S885" t="str">
        <f>_xlfn.XLOOKUP(Jnl[[#This Row],[Division]],config_div[Id], config_div[Name],,0)</f>
        <v>明月村</v>
      </c>
      <c r="T885" t="str">
        <f>IF(Jnl[[#This Row],[TrxDate]]&lt;=stmt_BS_date_end, "In", "Out")</f>
        <v>In</v>
      </c>
      <c r="U885" t="str">
        <f>IF(Jnl[[#This Row],[TrxDate]]&lt;debug_date_start, "prior", IF(Jnl[[#This Row],[TrxDate]]&gt;debug_date_end, "post", "curr"))</f>
        <v>prior</v>
      </c>
    </row>
    <row r="886" spans="1:21">
      <c r="A886" s="11" t="s">
        <v>1279</v>
      </c>
      <c r="B886" s="7">
        <f>_xlfn.XLOOKUP(Jnl[[#This Row],[TrxId]], Trx[Id], Trx[Date],,0)</f>
        <v>46053</v>
      </c>
      <c r="C886" s="7" t="str">
        <f>_xlfn.XLOOKUP(Jnl[[#This Row],[TrxId]], Trx[Id], Trx[Division],,0)</f>
        <v>GM</v>
      </c>
      <c r="D886" s="7" t="str">
        <f>_xlfn.XLOOKUP(Jnl[[#This Row],[TrxId]], Trx[Id], Trx[Action],,0)</f>
        <v>年终奖</v>
      </c>
      <c r="E886" s="26" t="s">
        <v>83</v>
      </c>
      <c r="F886" s="11" t="s">
        <v>596</v>
      </c>
      <c r="G886" s="11" t="s">
        <v>318</v>
      </c>
      <c r="H886" s="72">
        <v>99375</v>
      </c>
      <c r="I886" s="5" t="b">
        <f>AND(Jnl[[#This Row],[TrxId]]&lt;&gt;"",Jnl[[#This Row],[Acct]]&lt;&gt;"",Jnl[[#This Row],[Item]]&lt;&gt;"",ISNUMBER(Jnl[[#This Row],[Bal]]))</f>
        <v>1</v>
      </c>
      <c r="J886" s="10">
        <f>IF(Jnl[[#This Row],[BSLv0]]="A",1,-1)*Jnl[[#This Row],[Bal]]</f>
        <v>-99375</v>
      </c>
      <c r="K886" t="str">
        <f>_xlfn.XLOOKUP(Jnl[[#This Row],[Acct]], config_BS[Acct], config_BS[Lv0],,0)</f>
        <v>LC</v>
      </c>
      <c r="L886" t="str">
        <f>_xlfn.XLOOKUP(Jnl[[#This Row],[Acct]], config_BS[Acct], config_BS[Lv1],,0)</f>
        <v>Liability</v>
      </c>
      <c r="M886" t="str">
        <f>_xlfn.XLOOKUP(Jnl[[#This Row],[Acct]], config_BS[Acct], config_BS[Lv2],,0)</f>
        <v>Rec-Pay</v>
      </c>
      <c r="N886" t="str">
        <f>_xlfn.XLOOKUP(Jnl[[#This Row],[TrxId]], Trx[Id], Trx[IncNode], ,0)</f>
        <v>Discretion</v>
      </c>
      <c r="O886" t="str">
        <f>_xlfn.XLOOKUP(Jnl[[#This Row],[IncNode]], config_IS[Node], config_IS[Type],,0)</f>
        <v>Non-Op</v>
      </c>
      <c r="P886" t="str">
        <f>_xlfn.XLOOKUP(Jnl[[#This Row],[BSLv2]], dict[Key], dict[Name],,0)</f>
        <v>1.应收-应付</v>
      </c>
      <c r="Q886" t="str">
        <f>_xlfn.XLOOKUP(Jnl[[#This Row],[Acct]], dict[Key], dict[Name],,0)</f>
        <v>应付-薪资</v>
      </c>
      <c r="R886" t="str">
        <f>_xlfn.XLOOKUP(Jnl[[#This Row],[Vehicle]],config_vehicle[Id], config_vehicle[Name],,0)</f>
        <v>远家文化</v>
      </c>
      <c r="S886" t="str">
        <f>_xlfn.XLOOKUP(Jnl[[#This Row],[Division]],config_div[Id], config_div[Name],,0)</f>
        <v>综合管理</v>
      </c>
      <c r="T886" t="str">
        <f>IF(Jnl[[#This Row],[TrxDate]]&lt;=stmt_BS_date_end, "In", "Out")</f>
        <v>In</v>
      </c>
      <c r="U886" t="str">
        <f>IF(Jnl[[#This Row],[TrxDate]]&lt;debug_date_start, "prior", IF(Jnl[[#This Row],[TrxDate]]&gt;debug_date_end, "post", "curr"))</f>
        <v>prior</v>
      </c>
    </row>
    <row r="887" spans="1:21">
      <c r="A887" s="11" t="s">
        <v>1280</v>
      </c>
      <c r="B887" s="7">
        <f>_xlfn.XLOOKUP(Jnl[[#This Row],[TrxId]], Trx[Id], Trx[Date],,0)</f>
        <v>46053</v>
      </c>
      <c r="C887" s="7" t="str">
        <f>_xlfn.XLOOKUP(Jnl[[#This Row],[TrxId]], Trx[Id], Trx[Division],,0)</f>
        <v>MY</v>
      </c>
      <c r="D887" s="7" t="str">
        <f>_xlfn.XLOOKUP(Jnl[[#This Row],[TrxId]], Trx[Id], Trx[Action],,0)</f>
        <v>退款-客人</v>
      </c>
      <c r="E887" s="26" t="s">
        <v>87</v>
      </c>
      <c r="F887" s="11" t="s">
        <v>590</v>
      </c>
      <c r="G887" s="11" t="s">
        <v>904</v>
      </c>
      <c r="H887" s="72">
        <v>-20</v>
      </c>
      <c r="I887" s="5" t="b">
        <f>AND(Jnl[[#This Row],[TrxId]]&lt;&gt;"",Jnl[[#This Row],[Acct]]&lt;&gt;"",Jnl[[#This Row],[Item]]&lt;&gt;"",ISNUMBER(Jnl[[#This Row],[Bal]]))</f>
        <v>1</v>
      </c>
      <c r="J887" s="10">
        <f>IF(Jnl[[#This Row],[BSLv0]]="A",1,-1)*Jnl[[#This Row],[Bal]]</f>
        <v>-20</v>
      </c>
      <c r="K887" t="str">
        <f>_xlfn.XLOOKUP(Jnl[[#This Row],[Acct]], config_BS[Acct], config_BS[Lv0],,0)</f>
        <v>A</v>
      </c>
      <c r="L887" t="str">
        <f>_xlfn.XLOOKUP(Jnl[[#This Row],[Acct]], config_BS[Acct], config_BS[Lv1],,0)</f>
        <v>Assets</v>
      </c>
      <c r="M887" t="str">
        <f>_xlfn.XLOOKUP(Jnl[[#This Row],[Acct]], config_BS[Acct], config_BS[Lv2],,0)</f>
        <v>Cash alike</v>
      </c>
      <c r="N887" t="str">
        <f>_xlfn.XLOOKUP(Jnl[[#This Row],[TrxId]], Trx[Id], Trx[IncNode], ,0)</f>
        <v>Revenue</v>
      </c>
      <c r="O887" t="str">
        <f>_xlfn.XLOOKUP(Jnl[[#This Row],[IncNode]], config_IS[Node], config_IS[Type],,0)</f>
        <v>Op</v>
      </c>
      <c r="P887" t="str">
        <f>_xlfn.XLOOKUP(Jnl[[#This Row],[BSLv2]], dict[Key], dict[Name],,0)</f>
        <v>0.现金及类似</v>
      </c>
      <c r="Q887" t="str">
        <f>_xlfn.XLOOKUP(Jnl[[#This Row],[Acct]], dict[Key], dict[Name],,0)</f>
        <v>银行</v>
      </c>
      <c r="R887" t="str">
        <f>_xlfn.XLOOKUP(Jnl[[#This Row],[Vehicle]],config_vehicle[Id], config_vehicle[Name],,0)</f>
        <v>小月号</v>
      </c>
      <c r="S887" t="str">
        <f>_xlfn.XLOOKUP(Jnl[[#This Row],[Division]],config_div[Id], config_div[Name],,0)</f>
        <v>明月村</v>
      </c>
      <c r="T887" t="str">
        <f>IF(Jnl[[#This Row],[TrxDate]]&lt;=stmt_BS_date_end, "In", "Out")</f>
        <v>In</v>
      </c>
      <c r="U887" t="str">
        <f>IF(Jnl[[#This Row],[TrxDate]]&lt;debug_date_start, "prior", IF(Jnl[[#This Row],[TrxDate]]&gt;debug_date_end, "post", "curr"))</f>
        <v>prior</v>
      </c>
    </row>
    <row r="888" spans="1:21">
      <c r="A888" s="11" t="s">
        <v>1280</v>
      </c>
      <c r="B888" s="7">
        <f>_xlfn.XLOOKUP(Jnl[[#This Row],[TrxId]], Trx[Id], Trx[Date],,0)</f>
        <v>46053</v>
      </c>
      <c r="C888" s="7" t="str">
        <f>_xlfn.XLOOKUP(Jnl[[#This Row],[TrxId]], Trx[Id], Trx[Division],,0)</f>
        <v>MY</v>
      </c>
      <c r="D888" s="7" t="str">
        <f>_xlfn.XLOOKUP(Jnl[[#This Row],[TrxId]], Trx[Id], Trx[Action],,0)</f>
        <v>退款-客人</v>
      </c>
      <c r="E888" s="26" t="s">
        <v>83</v>
      </c>
      <c r="F888" s="11" t="s">
        <v>593</v>
      </c>
      <c r="G888" s="11" t="s">
        <v>1060</v>
      </c>
      <c r="H888" s="72">
        <v>20</v>
      </c>
      <c r="I888" s="5" t="b">
        <f>AND(Jnl[[#This Row],[TrxId]]&lt;&gt;"",Jnl[[#This Row],[Acct]]&lt;&gt;"",Jnl[[#This Row],[Item]]&lt;&gt;"",ISNUMBER(Jnl[[#This Row],[Bal]]))</f>
        <v>1</v>
      </c>
      <c r="J888" s="10">
        <f>IF(Jnl[[#This Row],[BSLv0]]="A",1,-1)*Jnl[[#This Row],[Bal]]</f>
        <v>20</v>
      </c>
      <c r="K888" t="str">
        <f>_xlfn.XLOOKUP(Jnl[[#This Row],[Acct]], config_BS[Acct], config_BS[Lv0],,0)</f>
        <v>A</v>
      </c>
      <c r="L888" t="str">
        <f>_xlfn.XLOOKUP(Jnl[[#This Row],[Acct]], config_BS[Acct], config_BS[Lv1],,0)</f>
        <v>Assets</v>
      </c>
      <c r="M888" t="str">
        <f>_xlfn.XLOOKUP(Jnl[[#This Row],[Acct]], config_BS[Acct], config_BS[Lv2],,0)</f>
        <v>Rec-Pay</v>
      </c>
      <c r="N888" t="str">
        <f>_xlfn.XLOOKUP(Jnl[[#This Row],[TrxId]], Trx[Id], Trx[IncNode], ,0)</f>
        <v>Revenue</v>
      </c>
      <c r="O888" t="str">
        <f>_xlfn.XLOOKUP(Jnl[[#This Row],[IncNode]], config_IS[Node], config_IS[Type],,0)</f>
        <v>Op</v>
      </c>
      <c r="P888" t="str">
        <f>_xlfn.XLOOKUP(Jnl[[#This Row],[BSLv2]], dict[Key], dict[Name],,0)</f>
        <v>1.应收-应付</v>
      </c>
      <c r="Q888" t="str">
        <f>_xlfn.XLOOKUP(Jnl[[#This Row],[Acct]], dict[Key], dict[Name],,0)</f>
        <v>应收-一般</v>
      </c>
      <c r="R888" t="str">
        <f>_xlfn.XLOOKUP(Jnl[[#This Row],[Vehicle]],config_vehicle[Id], config_vehicle[Name],,0)</f>
        <v>远家文化</v>
      </c>
      <c r="S888" t="str">
        <f>_xlfn.XLOOKUP(Jnl[[#This Row],[Division]],config_div[Id], config_div[Name],,0)</f>
        <v>明月村</v>
      </c>
      <c r="T888" t="str">
        <f>IF(Jnl[[#This Row],[TrxDate]]&lt;=stmt_BS_date_end, "In", "Out")</f>
        <v>In</v>
      </c>
      <c r="U888" t="str">
        <f>IF(Jnl[[#This Row],[TrxDate]]&lt;debug_date_start, "prior", IF(Jnl[[#This Row],[TrxDate]]&gt;debug_date_end, "post", "curr"))</f>
        <v>prior</v>
      </c>
    </row>
    <row r="889" spans="1:21">
      <c r="A889" s="11" t="s">
        <v>1281</v>
      </c>
      <c r="B889" s="7">
        <f>_xlfn.XLOOKUP(Jnl[[#This Row],[TrxId]], Trx[Id], Trx[Date],,0)</f>
        <v>46053</v>
      </c>
      <c r="C889" s="7" t="str">
        <f>_xlfn.XLOOKUP(Jnl[[#This Row],[TrxId]], Trx[Id], Trx[Division],,0)</f>
        <v>MY</v>
      </c>
      <c r="D889" s="7" t="str">
        <f>_xlfn.XLOOKUP(Jnl[[#This Row],[TrxId]], Trx[Id], Trx[Action],,0)</f>
        <v>内部结算</v>
      </c>
      <c r="E889" s="26" t="s">
        <v>83</v>
      </c>
      <c r="F889" s="11" t="s">
        <v>652</v>
      </c>
      <c r="G889" s="11" t="s">
        <v>1125</v>
      </c>
      <c r="H889" s="72">
        <v>-2975</v>
      </c>
      <c r="I889" s="5" t="b">
        <f>AND(Jnl[[#This Row],[TrxId]]&lt;&gt;"",Jnl[[#This Row],[Acct]]&lt;&gt;"",Jnl[[#This Row],[Item]]&lt;&gt;"",ISNUMBER(Jnl[[#This Row],[Bal]]))</f>
        <v>1</v>
      </c>
      <c r="J889" s="10">
        <f>IF(Jnl[[#This Row],[BSLv0]]="A",1,-1)*Jnl[[#This Row],[Bal]]</f>
        <v>2975</v>
      </c>
      <c r="K889" t="str">
        <f>_xlfn.XLOOKUP(Jnl[[#This Row],[Acct]], config_BS[Acct], config_BS[Lv0],,0)</f>
        <v>LC</v>
      </c>
      <c r="L889" t="str">
        <f>_xlfn.XLOOKUP(Jnl[[#This Row],[Acct]], config_BS[Acct], config_BS[Lv1],,0)</f>
        <v>Liability</v>
      </c>
      <c r="M889" t="str">
        <f>_xlfn.XLOOKUP(Jnl[[#This Row],[Acct]], config_BS[Acct], config_BS[Lv2],,0)</f>
        <v>Rec-Pay</v>
      </c>
      <c r="N889" t="str">
        <f>_xlfn.XLOOKUP(Jnl[[#This Row],[TrxId]], Trx[Id], Trx[IncNode], ,0)</f>
        <v>Other</v>
      </c>
      <c r="O889" t="str">
        <f>_xlfn.XLOOKUP(Jnl[[#This Row],[IncNode]], config_IS[Node], config_IS[Type],,0)</f>
        <v>Non-Op</v>
      </c>
      <c r="P889" t="str">
        <f>_xlfn.XLOOKUP(Jnl[[#This Row],[BSLv2]], dict[Key], dict[Name],,0)</f>
        <v>1.应收-应付</v>
      </c>
      <c r="Q889" t="str">
        <f>_xlfn.XLOOKUP(Jnl[[#This Row],[Acct]], dict[Key], dict[Name],,0)</f>
        <v>应付-一般</v>
      </c>
      <c r="R889" t="str">
        <f>_xlfn.XLOOKUP(Jnl[[#This Row],[Vehicle]],config_vehicle[Id], config_vehicle[Name],,0)</f>
        <v>远家文化</v>
      </c>
      <c r="S889" t="str">
        <f>_xlfn.XLOOKUP(Jnl[[#This Row],[Division]],config_div[Id], config_div[Name],,0)</f>
        <v>明月村</v>
      </c>
      <c r="T889" t="str">
        <f>IF(Jnl[[#This Row],[TrxDate]]&lt;=stmt_BS_date_end, "In", "Out")</f>
        <v>In</v>
      </c>
      <c r="U889" t="str">
        <f>IF(Jnl[[#This Row],[TrxDate]]&lt;debug_date_start, "prior", IF(Jnl[[#This Row],[TrxDate]]&gt;debug_date_end, "post", "curr"))</f>
        <v>prior</v>
      </c>
    </row>
    <row r="890" spans="1:21">
      <c r="A890" s="11" t="s">
        <v>1281</v>
      </c>
      <c r="B890" s="7">
        <f>_xlfn.XLOOKUP(Jnl[[#This Row],[TrxId]], Trx[Id], Trx[Date],,0)</f>
        <v>46053</v>
      </c>
      <c r="C890" s="7" t="str">
        <f>_xlfn.XLOOKUP(Jnl[[#This Row],[TrxId]], Trx[Id], Trx[Division],,0)</f>
        <v>MY</v>
      </c>
      <c r="D890" s="7" t="str">
        <f>_xlfn.XLOOKUP(Jnl[[#This Row],[TrxId]], Trx[Id], Trx[Action],,0)</f>
        <v>内部结算</v>
      </c>
      <c r="E890" s="26" t="s">
        <v>93</v>
      </c>
      <c r="F890" s="11" t="s">
        <v>593</v>
      </c>
      <c r="G890" s="11" t="s">
        <v>909</v>
      </c>
      <c r="H890" s="72">
        <v>-2975</v>
      </c>
      <c r="I890" s="5" t="b">
        <f>AND(Jnl[[#This Row],[TrxId]]&lt;&gt;"",Jnl[[#This Row],[Acct]]&lt;&gt;"",Jnl[[#This Row],[Item]]&lt;&gt;"",ISNUMBER(Jnl[[#This Row],[Bal]]))</f>
        <v>1</v>
      </c>
      <c r="J890" s="10">
        <f>IF(Jnl[[#This Row],[BSLv0]]="A",1,-1)*Jnl[[#This Row],[Bal]]</f>
        <v>-2975</v>
      </c>
      <c r="K890" t="str">
        <f>_xlfn.XLOOKUP(Jnl[[#This Row],[Acct]], config_BS[Acct], config_BS[Lv0],,0)</f>
        <v>A</v>
      </c>
      <c r="L890" t="str">
        <f>_xlfn.XLOOKUP(Jnl[[#This Row],[Acct]], config_BS[Acct], config_BS[Lv1],,0)</f>
        <v>Assets</v>
      </c>
      <c r="M890" t="str">
        <f>_xlfn.XLOOKUP(Jnl[[#This Row],[Acct]], config_BS[Acct], config_BS[Lv2],,0)</f>
        <v>Rec-Pay</v>
      </c>
      <c r="N890" t="str">
        <f>_xlfn.XLOOKUP(Jnl[[#This Row],[TrxId]], Trx[Id], Trx[IncNode], ,0)</f>
        <v>Other</v>
      </c>
      <c r="O890" t="str">
        <f>_xlfn.XLOOKUP(Jnl[[#This Row],[IncNode]], config_IS[Node], config_IS[Type],,0)</f>
        <v>Non-Op</v>
      </c>
      <c r="P890" t="str">
        <f>_xlfn.XLOOKUP(Jnl[[#This Row],[BSLv2]], dict[Key], dict[Name],,0)</f>
        <v>1.应收-应付</v>
      </c>
      <c r="Q890" t="str">
        <f>_xlfn.XLOOKUP(Jnl[[#This Row],[Acct]], dict[Key], dict[Name],,0)</f>
        <v>应收-一般</v>
      </c>
      <c r="R890" t="str">
        <f>_xlfn.XLOOKUP(Jnl[[#This Row],[Vehicle]],config_vehicle[Id], config_vehicle[Name],,0)</f>
        <v>创业园-琦</v>
      </c>
      <c r="S890" t="str">
        <f>_xlfn.XLOOKUP(Jnl[[#This Row],[Division]],config_div[Id], config_div[Name],,0)</f>
        <v>明月村</v>
      </c>
      <c r="T890" t="str">
        <f>IF(Jnl[[#This Row],[TrxDate]]&lt;=stmt_BS_date_end, "In", "Out")</f>
        <v>In</v>
      </c>
      <c r="U890" t="str">
        <f>IF(Jnl[[#This Row],[TrxDate]]&lt;debug_date_start, "prior", IF(Jnl[[#This Row],[TrxDate]]&gt;debug_date_end, "post", "curr"))</f>
        <v>prior</v>
      </c>
    </row>
    <row r="891" spans="1:21">
      <c r="A891" s="11" t="s">
        <v>1282</v>
      </c>
      <c r="B891" s="7">
        <f>_xlfn.XLOOKUP(Jnl[[#This Row],[TrxId]], Trx[Id], Trx[Date],,0)</f>
        <v>46053</v>
      </c>
      <c r="C891" s="7" t="str">
        <f>_xlfn.XLOOKUP(Jnl[[#This Row],[TrxId]], Trx[Id], Trx[Division],,0)</f>
        <v>Brand</v>
      </c>
      <c r="D891" s="7" t="str">
        <f>_xlfn.XLOOKUP(Jnl[[#This Row],[TrxId]], Trx[Id], Trx[Action],,0)</f>
        <v>折旧</v>
      </c>
      <c r="E891" s="26" t="s">
        <v>83</v>
      </c>
      <c r="F891" s="11" t="s">
        <v>689</v>
      </c>
      <c r="G891" s="11" t="s">
        <v>1283</v>
      </c>
      <c r="H891" s="72">
        <v>-102296.66725490197</v>
      </c>
      <c r="I891" s="5" t="b">
        <f>AND(Jnl[[#This Row],[TrxId]]&lt;&gt;"",Jnl[[#This Row],[Acct]]&lt;&gt;"",Jnl[[#This Row],[Item]]&lt;&gt;"",ISNUMBER(Jnl[[#This Row],[Bal]]))</f>
        <v>1</v>
      </c>
      <c r="J891" s="10">
        <f>IF(Jnl[[#This Row],[BSLv0]]="A",1,-1)*Jnl[[#This Row],[Bal]]</f>
        <v>-102296.66725490197</v>
      </c>
      <c r="K891" t="str">
        <f>_xlfn.XLOOKUP(Jnl[[#This Row],[Acct]], config_BS[Acct], config_BS[Lv0],,0)</f>
        <v>A</v>
      </c>
      <c r="L891" t="str">
        <f>_xlfn.XLOOKUP(Jnl[[#This Row],[Acct]], config_BS[Acct], config_BS[Lv1],,0)</f>
        <v>Assets</v>
      </c>
      <c r="M891" t="str">
        <f>_xlfn.XLOOKUP(Jnl[[#This Row],[Acct]], config_BS[Acct], config_BS[Lv2],,0)</f>
        <v>PP&amp;E</v>
      </c>
      <c r="N891" t="str">
        <f>_xlfn.XLOOKUP(Jnl[[#This Row],[TrxId]], Trx[Id], Trx[IncNode], ,0)</f>
        <v>Expense</v>
      </c>
      <c r="O891" t="str">
        <f>_xlfn.XLOOKUP(Jnl[[#This Row],[IncNode]], config_IS[Node], config_IS[Type],,0)</f>
        <v>Op</v>
      </c>
      <c r="P891" t="str">
        <f>_xlfn.XLOOKUP(Jnl[[#This Row],[BSLv2]], dict[Key], dict[Name],,0)</f>
        <v>5.硬件设施</v>
      </c>
      <c r="Q891" t="str">
        <f>_xlfn.XLOOKUP(Jnl[[#This Row],[Acct]], dict[Key], dict[Name],,0)</f>
        <v>房地产</v>
      </c>
      <c r="R891" t="str">
        <f>_xlfn.XLOOKUP(Jnl[[#This Row],[Vehicle]],config_vehicle[Id], config_vehicle[Name],,0)</f>
        <v>远家文化</v>
      </c>
      <c r="S891" t="str">
        <f>_xlfn.XLOOKUP(Jnl[[#This Row],[Division]],config_div[Id], config_div[Name],,0)</f>
        <v>品牌</v>
      </c>
      <c r="T891" t="str">
        <f>IF(Jnl[[#This Row],[TrxDate]]&lt;=stmt_BS_date_end, "In", "Out")</f>
        <v>In</v>
      </c>
      <c r="U891" t="str">
        <f>IF(Jnl[[#This Row],[TrxDate]]&lt;debug_date_start, "prior", IF(Jnl[[#This Row],[TrxDate]]&gt;debug_date_end, "post", "curr"))</f>
        <v>prior</v>
      </c>
    </row>
    <row r="892" spans="1:21">
      <c r="A892" s="11" t="s">
        <v>1284</v>
      </c>
      <c r="B892" s="7">
        <f>_xlfn.XLOOKUP(Jnl[[#This Row],[TrxId]], Trx[Id], Trx[Date],,0)</f>
        <v>46053</v>
      </c>
      <c r="C892" s="7" t="str">
        <f>_xlfn.XLOOKUP(Jnl[[#This Row],[TrxId]], Trx[Id], Trx[Division],,0)</f>
        <v>GM</v>
      </c>
      <c r="D892" s="7" t="str">
        <f>_xlfn.XLOOKUP(Jnl[[#This Row],[TrxId]], Trx[Id], Trx[Action],,0)</f>
        <v>年终奖</v>
      </c>
      <c r="E892" s="26" t="s">
        <v>80</v>
      </c>
      <c r="F892" s="11" t="s">
        <v>596</v>
      </c>
      <c r="G892" s="11" t="s">
        <v>318</v>
      </c>
      <c r="H892" s="72">
        <f>979869.55-530000</f>
        <v>449869.55000000005</v>
      </c>
      <c r="I892" s="5" t="b">
        <f>AND(Jnl[[#This Row],[TrxId]]&lt;&gt;"",Jnl[[#This Row],[Acct]]&lt;&gt;"",Jnl[[#This Row],[Item]]&lt;&gt;"",ISNUMBER(Jnl[[#This Row],[Bal]]))</f>
        <v>1</v>
      </c>
      <c r="J892" s="10">
        <f>IF(Jnl[[#This Row],[BSLv0]]="A",1,-1)*Jnl[[#This Row],[Bal]]</f>
        <v>-449869.55000000005</v>
      </c>
      <c r="K892" t="str">
        <f>_xlfn.XLOOKUP(Jnl[[#This Row],[Acct]], config_BS[Acct], config_BS[Lv0],,0)</f>
        <v>LC</v>
      </c>
      <c r="L892" t="str">
        <f>_xlfn.XLOOKUP(Jnl[[#This Row],[Acct]], config_BS[Acct], config_BS[Lv1],,0)</f>
        <v>Liability</v>
      </c>
      <c r="M892" t="str">
        <f>_xlfn.XLOOKUP(Jnl[[#This Row],[Acct]], config_BS[Acct], config_BS[Lv2],,0)</f>
        <v>Rec-Pay</v>
      </c>
      <c r="N892" t="str">
        <f>_xlfn.XLOOKUP(Jnl[[#This Row],[TrxId]], Trx[Id], Trx[IncNode], ,0)</f>
        <v>Discretion</v>
      </c>
      <c r="O892" t="str">
        <f>_xlfn.XLOOKUP(Jnl[[#This Row],[IncNode]], config_IS[Node], config_IS[Type],,0)</f>
        <v>Non-Op</v>
      </c>
      <c r="P892" t="str">
        <f>_xlfn.XLOOKUP(Jnl[[#This Row],[BSLv2]], dict[Key], dict[Name],,0)</f>
        <v>1.应收-应付</v>
      </c>
      <c r="Q892" t="str">
        <f>_xlfn.XLOOKUP(Jnl[[#This Row],[Acct]], dict[Key], dict[Name],,0)</f>
        <v>应付-薪资</v>
      </c>
      <c r="R892" t="str">
        <f>_xlfn.XLOOKUP(Jnl[[#This Row],[Vehicle]],config_vehicle[Id], config_vehicle[Name],,0)</f>
        <v>远家花园</v>
      </c>
      <c r="S892" t="str">
        <f>_xlfn.XLOOKUP(Jnl[[#This Row],[Division]],config_div[Id], config_div[Name],,0)</f>
        <v>综合管理</v>
      </c>
      <c r="T892" t="str">
        <f>IF(Jnl[[#This Row],[TrxDate]]&lt;=stmt_BS_date_end, "In", "Out")</f>
        <v>In</v>
      </c>
      <c r="U892" t="str">
        <f>IF(Jnl[[#This Row],[TrxDate]]&lt;debug_date_start, "prior", IF(Jnl[[#This Row],[TrxDate]]&gt;debug_date_end, "post", "curr"))</f>
        <v>prior</v>
      </c>
    </row>
    <row r="893" spans="1:21">
      <c r="A893" s="11" t="s">
        <v>1417</v>
      </c>
      <c r="B893" s="7">
        <f>_xlfn.XLOOKUP(Jnl[[#This Row],[TrxId]], Trx[Id], Trx[Date],,0)</f>
        <v>46053</v>
      </c>
      <c r="C893" s="7" t="str">
        <f>_xlfn.XLOOKUP(Jnl[[#This Row],[TrxId]], Trx[Id], Trx[Division],,0)</f>
        <v>Online</v>
      </c>
      <c r="D893" s="7" t="str">
        <f>_xlfn.XLOOKUP(Jnl[[#This Row],[TrxId]], Trx[Id], Trx[Action],,0)</f>
        <v>库存风险准备</v>
      </c>
      <c r="E893" s="26" t="s">
        <v>80</v>
      </c>
      <c r="F893" s="11" t="s">
        <v>116</v>
      </c>
      <c r="G893" s="11" t="s">
        <v>150</v>
      </c>
      <c r="H893" s="72">
        <v>0</v>
      </c>
      <c r="I893" s="5" t="b">
        <f>AND(Jnl[[#This Row],[TrxId]]&lt;&gt;"",Jnl[[#This Row],[Acct]]&lt;&gt;"",Jnl[[#This Row],[Item]]&lt;&gt;"",ISNUMBER(Jnl[[#This Row],[Bal]]))</f>
        <v>1</v>
      </c>
      <c r="J893" s="10">
        <f>IF(Jnl[[#This Row],[BSLv0]]="A",1,-1)*Jnl[[#This Row],[Bal]]</f>
        <v>0</v>
      </c>
      <c r="K893" t="str">
        <f>_xlfn.XLOOKUP(Jnl[[#This Row],[Acct]], config_BS[Acct], config_BS[Lv0],,0)</f>
        <v>A</v>
      </c>
      <c r="L893" t="str">
        <f>_xlfn.XLOOKUP(Jnl[[#This Row],[Acct]], config_BS[Acct], config_BS[Lv1],,0)</f>
        <v>Assets</v>
      </c>
      <c r="M893" t="str">
        <f>_xlfn.XLOOKUP(Jnl[[#This Row],[Acct]], config_BS[Acct], config_BS[Lv2],,0)</f>
        <v>Invtr</v>
      </c>
      <c r="N893" t="str">
        <f>_xlfn.XLOOKUP(Jnl[[#This Row],[TrxId]], Trx[Id], Trx[IncNode], ,0)</f>
        <v>Gain-Loss</v>
      </c>
      <c r="O893" t="str">
        <f>_xlfn.XLOOKUP(Jnl[[#This Row],[IncNode]], config_IS[Node], config_IS[Type],,0)</f>
        <v>Non-Op</v>
      </c>
      <c r="P893" t="str">
        <f>_xlfn.XLOOKUP(Jnl[[#This Row],[BSLv2]], dict[Key], dict[Name],,0)</f>
        <v>3.库存占款</v>
      </c>
      <c r="Q893" t="str">
        <f>_xlfn.XLOOKUP(Jnl[[#This Row],[Acct]], dict[Key], dict[Name],,0)</f>
        <v>当期存货</v>
      </c>
      <c r="R893" t="str">
        <f>_xlfn.XLOOKUP(Jnl[[#This Row],[Vehicle]],config_vehicle[Id], config_vehicle[Name],,0)</f>
        <v>远家花园</v>
      </c>
      <c r="S893" t="str">
        <f>_xlfn.XLOOKUP(Jnl[[#This Row],[Division]],config_div[Id], config_div[Name],,0)</f>
        <v>网店</v>
      </c>
      <c r="T893" t="str">
        <f>IF(Jnl[[#This Row],[TrxDate]]&lt;=stmt_BS_date_end, "In", "Out")</f>
        <v>In</v>
      </c>
      <c r="U893" t="str">
        <f>IF(Jnl[[#This Row],[TrxDate]]&lt;debug_date_start, "prior", IF(Jnl[[#This Row],[TrxDate]]&gt;debug_date_end, "post", "curr"))</f>
        <v>prior</v>
      </c>
    </row>
    <row r="894" spans="1:21">
      <c r="A894" s="11" t="s">
        <v>1357</v>
      </c>
      <c r="B894" s="7">
        <f>_xlfn.XLOOKUP(Jnl[[#This Row],[TrxId]], Trx[Id], Trx[Date],,0)</f>
        <v>46081</v>
      </c>
      <c r="C894" s="7" t="str">
        <f>_xlfn.XLOOKUP(Jnl[[#This Row],[TrxId]], Trx[Id], Trx[Division],,0)</f>
        <v>Online</v>
      </c>
      <c r="D894" s="7" t="str">
        <f>_xlfn.XLOOKUP(Jnl[[#This Row],[TrxId]], Trx[Id], Trx[Action],,0)</f>
        <v>平台费</v>
      </c>
      <c r="E894" s="26" t="s">
        <v>93</v>
      </c>
      <c r="F894" s="11" t="s">
        <v>590</v>
      </c>
      <c r="G894" s="11" t="s">
        <v>393</v>
      </c>
      <c r="H894" s="72">
        <v>-10000</v>
      </c>
      <c r="I894" s="5" t="b">
        <f>AND(Jnl[[#This Row],[TrxId]]&lt;&gt;"",Jnl[[#This Row],[Acct]]&lt;&gt;"",Jnl[[#This Row],[Item]]&lt;&gt;"",ISNUMBER(Jnl[[#This Row],[Bal]]))</f>
        <v>1</v>
      </c>
      <c r="J894" s="10">
        <f>IF(Jnl[[#This Row],[BSLv0]]="A",1,-1)*Jnl[[#This Row],[Bal]]</f>
        <v>-10000</v>
      </c>
      <c r="K894" t="str">
        <f>_xlfn.XLOOKUP(Jnl[[#This Row],[Acct]], config_BS[Acct], config_BS[Lv0],,0)</f>
        <v>A</v>
      </c>
      <c r="L894" t="str">
        <f>_xlfn.XLOOKUP(Jnl[[#This Row],[Acct]], config_BS[Acct], config_BS[Lv1],,0)</f>
        <v>Assets</v>
      </c>
      <c r="M894" t="str">
        <f>_xlfn.XLOOKUP(Jnl[[#This Row],[Acct]], config_BS[Acct], config_BS[Lv2],,0)</f>
        <v>Cash alike</v>
      </c>
      <c r="N894" t="str">
        <f>_xlfn.XLOOKUP(Jnl[[#This Row],[TrxId]], Trx[Id], Trx[IncNode], ,0)</f>
        <v>Expense</v>
      </c>
      <c r="O894" t="str">
        <f>_xlfn.XLOOKUP(Jnl[[#This Row],[IncNode]], config_IS[Node], config_IS[Type],,0)</f>
        <v>Op</v>
      </c>
      <c r="P894" t="str">
        <f>_xlfn.XLOOKUP(Jnl[[#This Row],[BSLv2]], dict[Key], dict[Name],,0)</f>
        <v>0.现金及类似</v>
      </c>
      <c r="Q894" t="str">
        <f>_xlfn.XLOOKUP(Jnl[[#This Row],[Acct]], dict[Key], dict[Name],,0)</f>
        <v>银行</v>
      </c>
      <c r="R894" t="str">
        <f>_xlfn.XLOOKUP(Jnl[[#This Row],[Vehicle]],config_vehicle[Id], config_vehicle[Name],,0)</f>
        <v>创业园-琦</v>
      </c>
      <c r="S894" t="str">
        <f>_xlfn.XLOOKUP(Jnl[[#This Row],[Division]],config_div[Id], config_div[Name],,0)</f>
        <v>网店</v>
      </c>
      <c r="T894" t="str">
        <f>IF(Jnl[[#This Row],[TrxDate]]&lt;=stmt_BS_date_end, "In", "Out")</f>
        <v>In</v>
      </c>
      <c r="U894" t="str">
        <f>IF(Jnl[[#This Row],[TrxDate]]&lt;debug_date_start, "prior", IF(Jnl[[#This Row],[TrxDate]]&gt;debug_date_end, "post", "curr"))</f>
        <v>curr</v>
      </c>
    </row>
    <row r="895" spans="1:21">
      <c r="A895" s="11" t="s">
        <v>1358</v>
      </c>
      <c r="B895" s="7">
        <f>_xlfn.XLOOKUP(Jnl[[#This Row],[TrxId]], Trx[Id], Trx[Date],,0)</f>
        <v>46081</v>
      </c>
      <c r="C895" s="7" t="str">
        <f>_xlfn.XLOOKUP(Jnl[[#This Row],[TrxId]], Trx[Id], Trx[Division],,0)</f>
        <v>Online</v>
      </c>
      <c r="D895" s="7" t="str">
        <f>_xlfn.XLOOKUP(Jnl[[#This Row],[TrxId]], Trx[Id], Trx[Action],,0)</f>
        <v>服饰</v>
      </c>
      <c r="E895" s="26" t="s">
        <v>93</v>
      </c>
      <c r="F895" s="11" t="s">
        <v>590</v>
      </c>
      <c r="G895" s="11" t="s">
        <v>393</v>
      </c>
      <c r="H895" s="72">
        <v>17164.3</v>
      </c>
      <c r="I895" s="5" t="b">
        <f>AND(Jnl[[#This Row],[TrxId]]&lt;&gt;"",Jnl[[#This Row],[Acct]]&lt;&gt;"",Jnl[[#This Row],[Item]]&lt;&gt;"",ISNUMBER(Jnl[[#This Row],[Bal]]))</f>
        <v>1</v>
      </c>
      <c r="J895" s="10">
        <f>IF(Jnl[[#This Row],[BSLv0]]="A",1,-1)*Jnl[[#This Row],[Bal]]</f>
        <v>17164.3</v>
      </c>
      <c r="K895" t="str">
        <f>_xlfn.XLOOKUP(Jnl[[#This Row],[Acct]], config_BS[Acct], config_BS[Lv0],,0)</f>
        <v>A</v>
      </c>
      <c r="L895" t="str">
        <f>_xlfn.XLOOKUP(Jnl[[#This Row],[Acct]], config_BS[Acct], config_BS[Lv1],,0)</f>
        <v>Assets</v>
      </c>
      <c r="M895" t="str">
        <f>_xlfn.XLOOKUP(Jnl[[#This Row],[Acct]], config_BS[Acct], config_BS[Lv2],,0)</f>
        <v>Cash alike</v>
      </c>
      <c r="N895" t="str">
        <f>_xlfn.XLOOKUP(Jnl[[#This Row],[TrxId]], Trx[Id], Trx[IncNode], ,0)</f>
        <v>Revenue</v>
      </c>
      <c r="O895" t="str">
        <f>_xlfn.XLOOKUP(Jnl[[#This Row],[IncNode]], config_IS[Node], config_IS[Type],,0)</f>
        <v>Op</v>
      </c>
      <c r="P895" t="str">
        <f>_xlfn.XLOOKUP(Jnl[[#This Row],[BSLv2]], dict[Key], dict[Name],,0)</f>
        <v>0.现金及类似</v>
      </c>
      <c r="Q895" t="str">
        <f>_xlfn.XLOOKUP(Jnl[[#This Row],[Acct]], dict[Key], dict[Name],,0)</f>
        <v>银行</v>
      </c>
      <c r="R895" t="str">
        <f>_xlfn.XLOOKUP(Jnl[[#This Row],[Vehicle]],config_vehicle[Id], config_vehicle[Name],,0)</f>
        <v>创业园-琦</v>
      </c>
      <c r="S895" t="str">
        <f>_xlfn.XLOOKUP(Jnl[[#This Row],[Division]],config_div[Id], config_div[Name],,0)</f>
        <v>网店</v>
      </c>
      <c r="T895" t="str">
        <f>IF(Jnl[[#This Row],[TrxDate]]&lt;=stmt_BS_date_end, "In", "Out")</f>
        <v>In</v>
      </c>
      <c r="U895" t="str">
        <f>IF(Jnl[[#This Row],[TrxDate]]&lt;debug_date_start, "prior", IF(Jnl[[#This Row],[TrxDate]]&gt;debug_date_end, "post", "curr"))</f>
        <v>curr</v>
      </c>
    </row>
    <row r="896" spans="1:21">
      <c r="A896" s="11" t="s">
        <v>1359</v>
      </c>
      <c r="B896" s="7">
        <f>_xlfn.XLOOKUP(Jnl[[#This Row],[TrxId]], Trx[Id], Trx[Date],,0)</f>
        <v>46081</v>
      </c>
      <c r="C896" s="7" t="str">
        <f>_xlfn.XLOOKUP(Jnl[[#This Row],[TrxId]], Trx[Id], Trx[Division],,0)</f>
        <v>Brand</v>
      </c>
      <c r="D896" s="7" t="str">
        <f>_xlfn.XLOOKUP(Jnl[[#This Row],[TrxId]], Trx[Id], Trx[Action],,0)</f>
        <v>书写营</v>
      </c>
      <c r="E896" s="26" t="s">
        <v>93</v>
      </c>
      <c r="F896" s="11" t="s">
        <v>590</v>
      </c>
      <c r="G896" s="11" t="s">
        <v>393</v>
      </c>
      <c r="H896" s="72">
        <v>44900</v>
      </c>
      <c r="I896" s="5" t="b">
        <f>AND(Jnl[[#This Row],[TrxId]]&lt;&gt;"",Jnl[[#This Row],[Acct]]&lt;&gt;"",Jnl[[#This Row],[Item]]&lt;&gt;"",ISNUMBER(Jnl[[#This Row],[Bal]]))</f>
        <v>1</v>
      </c>
      <c r="J896" s="10">
        <f>IF(Jnl[[#This Row],[BSLv0]]="A",1,-1)*Jnl[[#This Row],[Bal]]</f>
        <v>44900</v>
      </c>
      <c r="K896" t="str">
        <f>_xlfn.XLOOKUP(Jnl[[#This Row],[Acct]], config_BS[Acct], config_BS[Lv0],,0)</f>
        <v>A</v>
      </c>
      <c r="L896" t="str">
        <f>_xlfn.XLOOKUP(Jnl[[#This Row],[Acct]], config_BS[Acct], config_BS[Lv1],,0)</f>
        <v>Assets</v>
      </c>
      <c r="M896" t="str">
        <f>_xlfn.XLOOKUP(Jnl[[#This Row],[Acct]], config_BS[Acct], config_BS[Lv2],,0)</f>
        <v>Cash alike</v>
      </c>
      <c r="N896" t="str">
        <f>_xlfn.XLOOKUP(Jnl[[#This Row],[TrxId]], Trx[Id], Trx[IncNode], ,0)</f>
        <v>Discretion</v>
      </c>
      <c r="O896" t="str">
        <f>_xlfn.XLOOKUP(Jnl[[#This Row],[IncNode]], config_IS[Node], config_IS[Type],,0)</f>
        <v>Non-Op</v>
      </c>
      <c r="P896" t="str">
        <f>_xlfn.XLOOKUP(Jnl[[#This Row],[BSLv2]], dict[Key], dict[Name],,0)</f>
        <v>0.现金及类似</v>
      </c>
      <c r="Q896" t="str">
        <f>_xlfn.XLOOKUP(Jnl[[#This Row],[Acct]], dict[Key], dict[Name],,0)</f>
        <v>银行</v>
      </c>
      <c r="R896" t="str">
        <f>_xlfn.XLOOKUP(Jnl[[#This Row],[Vehicle]],config_vehicle[Id], config_vehicle[Name],,0)</f>
        <v>创业园-琦</v>
      </c>
      <c r="S896" t="str">
        <f>_xlfn.XLOOKUP(Jnl[[#This Row],[Division]],config_div[Id], config_div[Name],,0)</f>
        <v>品牌</v>
      </c>
      <c r="T896" t="str">
        <f>IF(Jnl[[#This Row],[TrxDate]]&lt;=stmt_BS_date_end, "In", "Out")</f>
        <v>In</v>
      </c>
      <c r="U896" t="str">
        <f>IF(Jnl[[#This Row],[TrxDate]]&lt;debug_date_start, "prior", IF(Jnl[[#This Row],[TrxDate]]&gt;debug_date_end, "post", "curr"))</f>
        <v>curr</v>
      </c>
    </row>
    <row r="897" spans="1:21">
      <c r="A897" s="11" t="s">
        <v>1360</v>
      </c>
      <c r="B897" s="7">
        <f>_xlfn.XLOOKUP(Jnl[[#This Row],[TrxId]], Trx[Id], Trx[Date],,0)</f>
        <v>46081</v>
      </c>
      <c r="C897" s="7" t="str">
        <f>_xlfn.XLOOKUP(Jnl[[#This Row],[TrxId]], Trx[Id], Trx[Division],,0)</f>
        <v>Online</v>
      </c>
      <c r="D897" s="7" t="str">
        <f>_xlfn.XLOOKUP(Jnl[[#This Row],[TrxId]], Trx[Id], Trx[Action],,0)</f>
        <v>其他销售</v>
      </c>
      <c r="E897" s="26" t="s">
        <v>93</v>
      </c>
      <c r="F897" s="11" t="s">
        <v>590</v>
      </c>
      <c r="G897" s="11" t="s">
        <v>393</v>
      </c>
      <c r="H897" s="72">
        <v>8</v>
      </c>
      <c r="I897" s="5" t="b">
        <f>AND(Jnl[[#This Row],[TrxId]]&lt;&gt;"",Jnl[[#This Row],[Acct]]&lt;&gt;"",Jnl[[#This Row],[Item]]&lt;&gt;"",ISNUMBER(Jnl[[#This Row],[Bal]]))</f>
        <v>1</v>
      </c>
      <c r="J897" s="10">
        <f>IF(Jnl[[#This Row],[BSLv0]]="A",1,-1)*Jnl[[#This Row],[Bal]]</f>
        <v>8</v>
      </c>
      <c r="K897" t="str">
        <f>_xlfn.XLOOKUP(Jnl[[#This Row],[Acct]], config_BS[Acct], config_BS[Lv0],,0)</f>
        <v>A</v>
      </c>
      <c r="L897" t="str">
        <f>_xlfn.XLOOKUP(Jnl[[#This Row],[Acct]], config_BS[Acct], config_BS[Lv1],,0)</f>
        <v>Assets</v>
      </c>
      <c r="M897" t="str">
        <f>_xlfn.XLOOKUP(Jnl[[#This Row],[Acct]], config_BS[Acct], config_BS[Lv2],,0)</f>
        <v>Cash alike</v>
      </c>
      <c r="N897" t="str">
        <f>_xlfn.XLOOKUP(Jnl[[#This Row],[TrxId]], Trx[Id], Trx[IncNode], ,0)</f>
        <v>Revenue</v>
      </c>
      <c r="O897" t="str">
        <f>_xlfn.XLOOKUP(Jnl[[#This Row],[IncNode]], config_IS[Node], config_IS[Type],,0)</f>
        <v>Op</v>
      </c>
      <c r="P897" t="str">
        <f>_xlfn.XLOOKUP(Jnl[[#This Row],[BSLv2]], dict[Key], dict[Name],,0)</f>
        <v>0.现金及类似</v>
      </c>
      <c r="Q897" t="str">
        <f>_xlfn.XLOOKUP(Jnl[[#This Row],[Acct]], dict[Key], dict[Name],,0)</f>
        <v>银行</v>
      </c>
      <c r="R897" t="str">
        <f>_xlfn.XLOOKUP(Jnl[[#This Row],[Vehicle]],config_vehicle[Id], config_vehicle[Name],,0)</f>
        <v>创业园-琦</v>
      </c>
      <c r="S897" t="str">
        <f>_xlfn.XLOOKUP(Jnl[[#This Row],[Division]],config_div[Id], config_div[Name],,0)</f>
        <v>网店</v>
      </c>
      <c r="T897" t="str">
        <f>IF(Jnl[[#This Row],[TrxDate]]&lt;=stmt_BS_date_end, "In", "Out")</f>
        <v>In</v>
      </c>
      <c r="U897" t="str">
        <f>IF(Jnl[[#This Row],[TrxDate]]&lt;debug_date_start, "prior", IF(Jnl[[#This Row],[TrxDate]]&gt;debug_date_end, "post", "curr"))</f>
        <v>curr</v>
      </c>
    </row>
    <row r="898" spans="1:21">
      <c r="A898" s="11" t="s">
        <v>1361</v>
      </c>
      <c r="B898" s="7">
        <f>_xlfn.XLOOKUP(Jnl[[#This Row],[TrxId]], Trx[Id], Trx[Date],,0)</f>
        <v>46081</v>
      </c>
      <c r="C898" s="7" t="str">
        <f>_xlfn.XLOOKUP(Jnl[[#This Row],[TrxId]], Trx[Id], Trx[Division],,0)</f>
        <v>GM</v>
      </c>
      <c r="D898" s="7" t="str">
        <f>_xlfn.XLOOKUP(Jnl[[#This Row],[TrxId]], Trx[Id], Trx[Action],,0)</f>
        <v>奖金-合伙人</v>
      </c>
      <c r="E898" s="26" t="s">
        <v>93</v>
      </c>
      <c r="F898" s="11" t="s">
        <v>590</v>
      </c>
      <c r="G898" s="11" t="s">
        <v>393</v>
      </c>
      <c r="H898" s="72">
        <v>-100000.01</v>
      </c>
      <c r="I898" s="5" t="b">
        <f>AND(Jnl[[#This Row],[TrxId]]&lt;&gt;"",Jnl[[#This Row],[Acct]]&lt;&gt;"",Jnl[[#This Row],[Item]]&lt;&gt;"",ISNUMBER(Jnl[[#This Row],[Bal]]))</f>
        <v>1</v>
      </c>
      <c r="J898" s="10">
        <f>IF(Jnl[[#This Row],[BSLv0]]="A",1,-1)*Jnl[[#This Row],[Bal]]</f>
        <v>-100000.01</v>
      </c>
      <c r="K898" t="str">
        <f>_xlfn.XLOOKUP(Jnl[[#This Row],[Acct]], config_BS[Acct], config_BS[Lv0],,0)</f>
        <v>A</v>
      </c>
      <c r="L898" t="str">
        <f>_xlfn.XLOOKUP(Jnl[[#This Row],[Acct]], config_BS[Acct], config_BS[Lv1],,0)</f>
        <v>Assets</v>
      </c>
      <c r="M898" t="str">
        <f>_xlfn.XLOOKUP(Jnl[[#This Row],[Acct]], config_BS[Acct], config_BS[Lv2],,0)</f>
        <v>Cash alike</v>
      </c>
      <c r="N898" t="str">
        <f>_xlfn.XLOOKUP(Jnl[[#This Row],[TrxId]], Trx[Id], Trx[IncNode], ,0)</f>
        <v>Discretion</v>
      </c>
      <c r="O898" t="str">
        <f>_xlfn.XLOOKUP(Jnl[[#This Row],[IncNode]], config_IS[Node], config_IS[Type],,0)</f>
        <v>Non-Op</v>
      </c>
      <c r="P898" t="str">
        <f>_xlfn.XLOOKUP(Jnl[[#This Row],[BSLv2]], dict[Key], dict[Name],,0)</f>
        <v>0.现金及类似</v>
      </c>
      <c r="Q898" t="str">
        <f>_xlfn.XLOOKUP(Jnl[[#This Row],[Acct]], dict[Key], dict[Name],,0)</f>
        <v>银行</v>
      </c>
      <c r="R898" t="str">
        <f>_xlfn.XLOOKUP(Jnl[[#This Row],[Vehicle]],config_vehicle[Id], config_vehicle[Name],,0)</f>
        <v>创业园-琦</v>
      </c>
      <c r="S898" t="str">
        <f>_xlfn.XLOOKUP(Jnl[[#This Row],[Division]],config_div[Id], config_div[Name],,0)</f>
        <v>综合管理</v>
      </c>
      <c r="T898" t="str">
        <f>IF(Jnl[[#This Row],[TrxDate]]&lt;=stmt_BS_date_end, "In", "Out")</f>
        <v>In</v>
      </c>
      <c r="U898" t="str">
        <f>IF(Jnl[[#This Row],[TrxDate]]&lt;debug_date_start, "prior", IF(Jnl[[#This Row],[TrxDate]]&gt;debug_date_end, "post", "curr"))</f>
        <v>curr</v>
      </c>
    </row>
    <row r="899" spans="1:21">
      <c r="A899" s="11" t="s">
        <v>1362</v>
      </c>
      <c r="B899" s="7">
        <f>_xlfn.XLOOKUP(Jnl[[#This Row],[TrxId]], Trx[Id], Trx[Date],,0)</f>
        <v>46081</v>
      </c>
      <c r="C899" s="7" t="str">
        <f>_xlfn.XLOOKUP(Jnl[[#This Row],[TrxId]], Trx[Id], Trx[Division],,0)</f>
        <v>Ctrl</v>
      </c>
      <c r="D899" s="7" t="str">
        <f>_xlfn.XLOOKUP(Jnl[[#This Row],[TrxId]], Trx[Id], Trx[Action],,0)</f>
        <v>过账</v>
      </c>
      <c r="E899" s="26" t="s">
        <v>93</v>
      </c>
      <c r="F899" s="11" t="s">
        <v>590</v>
      </c>
      <c r="G899" s="11" t="s">
        <v>393</v>
      </c>
      <c r="H899" s="72">
        <v>100000</v>
      </c>
      <c r="I899" s="5" t="b">
        <f>AND(Jnl[[#This Row],[TrxId]]&lt;&gt;"",Jnl[[#This Row],[Acct]]&lt;&gt;"",Jnl[[#This Row],[Item]]&lt;&gt;"",ISNUMBER(Jnl[[#This Row],[Bal]]))</f>
        <v>1</v>
      </c>
      <c r="J899" s="10">
        <f>IF(Jnl[[#This Row],[BSLv0]]="A",1,-1)*Jnl[[#This Row],[Bal]]</f>
        <v>100000</v>
      </c>
      <c r="K899" t="str">
        <f>_xlfn.XLOOKUP(Jnl[[#This Row],[Acct]], config_BS[Acct], config_BS[Lv0],,0)</f>
        <v>A</v>
      </c>
      <c r="L899" t="str">
        <f>_xlfn.XLOOKUP(Jnl[[#This Row],[Acct]], config_BS[Acct], config_BS[Lv1],,0)</f>
        <v>Assets</v>
      </c>
      <c r="M899" t="str">
        <f>_xlfn.XLOOKUP(Jnl[[#This Row],[Acct]], config_BS[Acct], config_BS[Lv2],,0)</f>
        <v>Cash alike</v>
      </c>
      <c r="N899" t="str">
        <f>_xlfn.XLOOKUP(Jnl[[#This Row],[TrxId]], Trx[Id], Trx[IncNode], ,0)</f>
        <v>Other</v>
      </c>
      <c r="O899" t="str">
        <f>_xlfn.XLOOKUP(Jnl[[#This Row],[IncNode]], config_IS[Node], config_IS[Type],,0)</f>
        <v>Non-Op</v>
      </c>
      <c r="P899" t="str">
        <f>_xlfn.XLOOKUP(Jnl[[#This Row],[BSLv2]], dict[Key], dict[Name],,0)</f>
        <v>0.现金及类似</v>
      </c>
      <c r="Q899" t="str">
        <f>_xlfn.XLOOKUP(Jnl[[#This Row],[Acct]], dict[Key], dict[Name],,0)</f>
        <v>银行</v>
      </c>
      <c r="R899" t="str">
        <f>_xlfn.XLOOKUP(Jnl[[#This Row],[Vehicle]],config_vehicle[Id], config_vehicle[Name],,0)</f>
        <v>创业园-琦</v>
      </c>
      <c r="S899" t="str">
        <f>_xlfn.XLOOKUP(Jnl[[#This Row],[Division]],config_div[Id], config_div[Name],,0)</f>
        <v>内控合规</v>
      </c>
      <c r="T899" t="str">
        <f>IF(Jnl[[#This Row],[TrxDate]]&lt;=stmt_BS_date_end, "In", "Out")</f>
        <v>In</v>
      </c>
      <c r="U899" t="str">
        <f>IF(Jnl[[#This Row],[TrxDate]]&lt;debug_date_start, "prior", IF(Jnl[[#This Row],[TrxDate]]&gt;debug_date_end, "post", "curr"))</f>
        <v>curr</v>
      </c>
    </row>
    <row r="900" spans="1:21">
      <c r="A900" s="11" t="s">
        <v>1362</v>
      </c>
      <c r="B900" s="7">
        <f>_xlfn.XLOOKUP(Jnl[[#This Row],[TrxId]], Trx[Id], Trx[Date],,0)</f>
        <v>46081</v>
      </c>
      <c r="C900" s="7" t="str">
        <f>_xlfn.XLOOKUP(Jnl[[#This Row],[TrxId]], Trx[Id], Trx[Division],,0)</f>
        <v>Ctrl</v>
      </c>
      <c r="D900" s="7" t="str">
        <f>_xlfn.XLOOKUP(Jnl[[#This Row],[TrxId]], Trx[Id], Trx[Action],,0)</f>
        <v>过账</v>
      </c>
      <c r="E900" s="26" t="s">
        <v>80</v>
      </c>
      <c r="F900" s="11" t="s">
        <v>590</v>
      </c>
      <c r="G900" s="11" t="s">
        <v>391</v>
      </c>
      <c r="H900" s="72">
        <v>-100000</v>
      </c>
      <c r="I900" s="5" t="b">
        <f>AND(Jnl[[#This Row],[TrxId]]&lt;&gt;"",Jnl[[#This Row],[Acct]]&lt;&gt;"",Jnl[[#This Row],[Item]]&lt;&gt;"",ISNUMBER(Jnl[[#This Row],[Bal]]))</f>
        <v>1</v>
      </c>
      <c r="J900" s="10">
        <f>IF(Jnl[[#This Row],[BSLv0]]="A",1,-1)*Jnl[[#This Row],[Bal]]</f>
        <v>-100000</v>
      </c>
      <c r="K900" t="str">
        <f>_xlfn.XLOOKUP(Jnl[[#This Row],[Acct]], config_BS[Acct], config_BS[Lv0],,0)</f>
        <v>A</v>
      </c>
      <c r="L900" t="str">
        <f>_xlfn.XLOOKUP(Jnl[[#This Row],[Acct]], config_BS[Acct], config_BS[Lv1],,0)</f>
        <v>Assets</v>
      </c>
      <c r="M900" t="str">
        <f>_xlfn.XLOOKUP(Jnl[[#This Row],[Acct]], config_BS[Acct], config_BS[Lv2],,0)</f>
        <v>Cash alike</v>
      </c>
      <c r="N900" t="str">
        <f>_xlfn.XLOOKUP(Jnl[[#This Row],[TrxId]], Trx[Id], Trx[IncNode], ,0)</f>
        <v>Other</v>
      </c>
      <c r="O900" t="str">
        <f>_xlfn.XLOOKUP(Jnl[[#This Row],[IncNode]], config_IS[Node], config_IS[Type],,0)</f>
        <v>Non-Op</v>
      </c>
      <c r="P900" t="str">
        <f>_xlfn.XLOOKUP(Jnl[[#This Row],[BSLv2]], dict[Key], dict[Name],,0)</f>
        <v>0.现金及类似</v>
      </c>
      <c r="Q900" t="str">
        <f>_xlfn.XLOOKUP(Jnl[[#This Row],[Acct]], dict[Key], dict[Name],,0)</f>
        <v>银行</v>
      </c>
      <c r="R900" t="str">
        <f>_xlfn.XLOOKUP(Jnl[[#This Row],[Vehicle]],config_vehicle[Id], config_vehicle[Name],,0)</f>
        <v>远家花园</v>
      </c>
      <c r="S900" t="str">
        <f>_xlfn.XLOOKUP(Jnl[[#This Row],[Division]],config_div[Id], config_div[Name],,0)</f>
        <v>内控合规</v>
      </c>
      <c r="T900" t="str">
        <f>IF(Jnl[[#This Row],[TrxDate]]&lt;=stmt_BS_date_end, "In", "Out")</f>
        <v>In</v>
      </c>
      <c r="U900" t="str">
        <f>IF(Jnl[[#This Row],[TrxDate]]&lt;debug_date_start, "prior", IF(Jnl[[#This Row],[TrxDate]]&gt;debug_date_end, "post", "curr"))</f>
        <v>curr</v>
      </c>
    </row>
    <row r="901" spans="1:21">
      <c r="A901" s="11" t="s">
        <v>1363</v>
      </c>
      <c r="B901" s="7">
        <f>_xlfn.XLOOKUP(Jnl[[#This Row],[TrxId]], Trx[Id], Trx[Date],,0)</f>
        <v>46081</v>
      </c>
      <c r="C901" s="7" t="str">
        <f>_xlfn.XLOOKUP(Jnl[[#This Row],[TrxId]], Trx[Id], Trx[Division],,0)</f>
        <v>Ctrl</v>
      </c>
      <c r="D901" s="7" t="str">
        <f>_xlfn.XLOOKUP(Jnl[[#This Row],[TrxId]], Trx[Id], Trx[Action],,0)</f>
        <v>过账</v>
      </c>
      <c r="E901" s="26" t="s">
        <v>93</v>
      </c>
      <c r="F901" s="11" t="s">
        <v>590</v>
      </c>
      <c r="G901" s="11" t="s">
        <v>393</v>
      </c>
      <c r="H901" s="72">
        <v>500000</v>
      </c>
      <c r="I901" s="5" t="b">
        <f>AND(Jnl[[#This Row],[TrxId]]&lt;&gt;"",Jnl[[#This Row],[Acct]]&lt;&gt;"",Jnl[[#This Row],[Item]]&lt;&gt;"",ISNUMBER(Jnl[[#This Row],[Bal]]))</f>
        <v>1</v>
      </c>
      <c r="J901" s="10">
        <f>IF(Jnl[[#This Row],[BSLv0]]="A",1,-1)*Jnl[[#This Row],[Bal]]</f>
        <v>500000</v>
      </c>
      <c r="K901" t="str">
        <f>_xlfn.XLOOKUP(Jnl[[#This Row],[Acct]], config_BS[Acct], config_BS[Lv0],,0)</f>
        <v>A</v>
      </c>
      <c r="L901" t="str">
        <f>_xlfn.XLOOKUP(Jnl[[#This Row],[Acct]], config_BS[Acct], config_BS[Lv1],,0)</f>
        <v>Assets</v>
      </c>
      <c r="M901" t="str">
        <f>_xlfn.XLOOKUP(Jnl[[#This Row],[Acct]], config_BS[Acct], config_BS[Lv2],,0)</f>
        <v>Cash alike</v>
      </c>
      <c r="N901" t="str">
        <f>_xlfn.XLOOKUP(Jnl[[#This Row],[TrxId]], Trx[Id], Trx[IncNode], ,0)</f>
        <v>Other</v>
      </c>
      <c r="O901" t="str">
        <f>_xlfn.XLOOKUP(Jnl[[#This Row],[IncNode]], config_IS[Node], config_IS[Type],,0)</f>
        <v>Non-Op</v>
      </c>
      <c r="P901" t="str">
        <f>_xlfn.XLOOKUP(Jnl[[#This Row],[BSLv2]], dict[Key], dict[Name],,0)</f>
        <v>0.现金及类似</v>
      </c>
      <c r="Q901" t="str">
        <f>_xlfn.XLOOKUP(Jnl[[#This Row],[Acct]], dict[Key], dict[Name],,0)</f>
        <v>银行</v>
      </c>
      <c r="R901" t="str">
        <f>_xlfn.XLOOKUP(Jnl[[#This Row],[Vehicle]],config_vehicle[Id], config_vehicle[Name],,0)</f>
        <v>创业园-琦</v>
      </c>
      <c r="S901" t="str">
        <f>_xlfn.XLOOKUP(Jnl[[#This Row],[Division]],config_div[Id], config_div[Name],,0)</f>
        <v>内控合规</v>
      </c>
      <c r="T901" t="str">
        <f>IF(Jnl[[#This Row],[TrxDate]]&lt;=stmt_BS_date_end, "In", "Out")</f>
        <v>In</v>
      </c>
      <c r="U901" t="str">
        <f>IF(Jnl[[#This Row],[TrxDate]]&lt;debug_date_start, "prior", IF(Jnl[[#This Row],[TrxDate]]&gt;debug_date_end, "post", "curr"))</f>
        <v>curr</v>
      </c>
    </row>
    <row r="902" spans="1:21">
      <c r="A902" s="11" t="s">
        <v>1363</v>
      </c>
      <c r="B902" s="7">
        <f>_xlfn.XLOOKUP(Jnl[[#This Row],[TrxId]], Trx[Id], Trx[Date],,0)</f>
        <v>46081</v>
      </c>
      <c r="C902" s="7" t="str">
        <f>_xlfn.XLOOKUP(Jnl[[#This Row],[TrxId]], Trx[Id], Trx[Division],,0)</f>
        <v>Ctrl</v>
      </c>
      <c r="D902" s="7" t="str">
        <f>_xlfn.XLOOKUP(Jnl[[#This Row],[TrxId]], Trx[Id], Trx[Action],,0)</f>
        <v>过账</v>
      </c>
      <c r="E902" s="26" t="s">
        <v>81</v>
      </c>
      <c r="F902" s="11" t="s">
        <v>590</v>
      </c>
      <c r="G902" s="11" t="s">
        <v>392</v>
      </c>
      <c r="H902" s="72">
        <f>-H901</f>
        <v>-500000</v>
      </c>
      <c r="I902" s="5" t="b">
        <f>AND(Jnl[[#This Row],[TrxId]]&lt;&gt;"",Jnl[[#This Row],[Acct]]&lt;&gt;"",Jnl[[#This Row],[Item]]&lt;&gt;"",ISNUMBER(Jnl[[#This Row],[Bal]]))</f>
        <v>1</v>
      </c>
      <c r="J902" s="10">
        <f>IF(Jnl[[#This Row],[BSLv0]]="A",1,-1)*Jnl[[#This Row],[Bal]]</f>
        <v>-500000</v>
      </c>
      <c r="K902" t="str">
        <f>_xlfn.XLOOKUP(Jnl[[#This Row],[Acct]], config_BS[Acct], config_BS[Lv0],,0)</f>
        <v>A</v>
      </c>
      <c r="L902" t="str">
        <f>_xlfn.XLOOKUP(Jnl[[#This Row],[Acct]], config_BS[Acct], config_BS[Lv1],,0)</f>
        <v>Assets</v>
      </c>
      <c r="M902" t="str">
        <f>_xlfn.XLOOKUP(Jnl[[#This Row],[Acct]], config_BS[Acct], config_BS[Lv2],,0)</f>
        <v>Cash alike</v>
      </c>
      <c r="N902" t="str">
        <f>_xlfn.XLOOKUP(Jnl[[#This Row],[TrxId]], Trx[Id], Trx[IncNode], ,0)</f>
        <v>Other</v>
      </c>
      <c r="O902" t="str">
        <f>_xlfn.XLOOKUP(Jnl[[#This Row],[IncNode]], config_IS[Node], config_IS[Type],,0)</f>
        <v>Non-Op</v>
      </c>
      <c r="P902" t="str">
        <f>_xlfn.XLOOKUP(Jnl[[#This Row],[BSLv2]], dict[Key], dict[Name],,0)</f>
        <v>0.现金及类似</v>
      </c>
      <c r="Q902" t="str">
        <f>_xlfn.XLOOKUP(Jnl[[#This Row],[Acct]], dict[Key], dict[Name],,0)</f>
        <v>银行</v>
      </c>
      <c r="R902" t="str">
        <f>_xlfn.XLOOKUP(Jnl[[#This Row],[Vehicle]],config_vehicle[Id], config_vehicle[Name],,0)</f>
        <v>喜家文化</v>
      </c>
      <c r="S902" t="str">
        <f>_xlfn.XLOOKUP(Jnl[[#This Row],[Division]],config_div[Id], config_div[Name],,0)</f>
        <v>内控合规</v>
      </c>
      <c r="T902" t="str">
        <f>IF(Jnl[[#This Row],[TrxDate]]&lt;=stmt_BS_date_end, "In", "Out")</f>
        <v>In</v>
      </c>
      <c r="U902" t="str">
        <f>IF(Jnl[[#This Row],[TrxDate]]&lt;debug_date_start, "prior", IF(Jnl[[#This Row],[TrxDate]]&gt;debug_date_end, "post", "curr"))</f>
        <v>curr</v>
      </c>
    </row>
    <row r="903" spans="1:21">
      <c r="A903" s="11" t="s">
        <v>1364</v>
      </c>
      <c r="B903" s="7">
        <f>_xlfn.XLOOKUP(Jnl[[#This Row],[TrxId]], Trx[Id], Trx[Date],,0)</f>
        <v>46081</v>
      </c>
      <c r="C903" s="7" t="str">
        <f>_xlfn.XLOOKUP(Jnl[[#This Row],[TrxId]], Trx[Id], Trx[Division],,0)</f>
        <v>Online</v>
      </c>
      <c r="D903" s="7" t="str">
        <f>_xlfn.XLOOKUP(Jnl[[#This Row],[TrxId]], Trx[Id], Trx[Action],,0)</f>
        <v>其他销售</v>
      </c>
      <c r="E903" s="26" t="s">
        <v>93</v>
      </c>
      <c r="F903" s="11" t="s">
        <v>590</v>
      </c>
      <c r="G903" s="11" t="s">
        <v>393</v>
      </c>
      <c r="H903" s="72">
        <v>69</v>
      </c>
      <c r="I903" s="5" t="b">
        <f>AND(Jnl[[#This Row],[TrxId]]&lt;&gt;"",Jnl[[#This Row],[Acct]]&lt;&gt;"",Jnl[[#This Row],[Item]]&lt;&gt;"",ISNUMBER(Jnl[[#This Row],[Bal]]))</f>
        <v>1</v>
      </c>
      <c r="J903" s="10">
        <f>IF(Jnl[[#This Row],[BSLv0]]="A",1,-1)*Jnl[[#This Row],[Bal]]</f>
        <v>69</v>
      </c>
      <c r="K903" t="str">
        <f>_xlfn.XLOOKUP(Jnl[[#This Row],[Acct]], config_BS[Acct], config_BS[Lv0],,0)</f>
        <v>A</v>
      </c>
      <c r="L903" t="str">
        <f>_xlfn.XLOOKUP(Jnl[[#This Row],[Acct]], config_BS[Acct], config_BS[Lv1],,0)</f>
        <v>Assets</v>
      </c>
      <c r="M903" t="str">
        <f>_xlfn.XLOOKUP(Jnl[[#This Row],[Acct]], config_BS[Acct], config_BS[Lv2],,0)</f>
        <v>Cash alike</v>
      </c>
      <c r="N903" t="str">
        <f>_xlfn.XLOOKUP(Jnl[[#This Row],[TrxId]], Trx[Id], Trx[IncNode], ,0)</f>
        <v>Revenue</v>
      </c>
      <c r="O903" t="str">
        <f>_xlfn.XLOOKUP(Jnl[[#This Row],[IncNode]], config_IS[Node], config_IS[Type],,0)</f>
        <v>Op</v>
      </c>
      <c r="P903" t="str">
        <f>_xlfn.XLOOKUP(Jnl[[#This Row],[BSLv2]], dict[Key], dict[Name],,0)</f>
        <v>0.现金及类似</v>
      </c>
      <c r="Q903" t="str">
        <f>_xlfn.XLOOKUP(Jnl[[#This Row],[Acct]], dict[Key], dict[Name],,0)</f>
        <v>银行</v>
      </c>
      <c r="R903" t="str">
        <f>_xlfn.XLOOKUP(Jnl[[#This Row],[Vehicle]],config_vehicle[Id], config_vehicle[Name],,0)</f>
        <v>创业园-琦</v>
      </c>
      <c r="S903" t="str">
        <f>_xlfn.XLOOKUP(Jnl[[#This Row],[Division]],config_div[Id], config_div[Name],,0)</f>
        <v>网店</v>
      </c>
      <c r="T903" t="str">
        <f>IF(Jnl[[#This Row],[TrxDate]]&lt;=stmt_BS_date_end, "In", "Out")</f>
        <v>In</v>
      </c>
      <c r="U903" t="str">
        <f>IF(Jnl[[#This Row],[TrxDate]]&lt;debug_date_start, "prior", IF(Jnl[[#This Row],[TrxDate]]&gt;debug_date_end, "post", "curr"))</f>
        <v>curr</v>
      </c>
    </row>
    <row r="904" spans="1:21">
      <c r="A904" s="11" t="s">
        <v>1365</v>
      </c>
      <c r="B904" s="7">
        <f>_xlfn.XLOOKUP(Jnl[[#This Row],[TrxId]], Trx[Id], Trx[Date],,0)</f>
        <v>46081</v>
      </c>
      <c r="C904" s="7" t="str">
        <f>_xlfn.XLOOKUP(Jnl[[#This Row],[TrxId]], Trx[Id], Trx[Division],,0)</f>
        <v>Online</v>
      </c>
      <c r="D904" s="7" t="str">
        <f>_xlfn.XLOOKUP(Jnl[[#This Row],[TrxId]], Trx[Id], Trx[Action],,0)</f>
        <v>服饰</v>
      </c>
      <c r="E904" s="26" t="s">
        <v>93</v>
      </c>
      <c r="F904" s="11" t="s">
        <v>590</v>
      </c>
      <c r="G904" s="11" t="s">
        <v>393</v>
      </c>
      <c r="H904" s="72">
        <v>800</v>
      </c>
      <c r="I904" s="5" t="b">
        <f>AND(Jnl[[#This Row],[TrxId]]&lt;&gt;"",Jnl[[#This Row],[Acct]]&lt;&gt;"",Jnl[[#This Row],[Item]]&lt;&gt;"",ISNUMBER(Jnl[[#This Row],[Bal]]))</f>
        <v>1</v>
      </c>
      <c r="J904" s="10">
        <f>IF(Jnl[[#This Row],[BSLv0]]="A",1,-1)*Jnl[[#This Row],[Bal]]</f>
        <v>800</v>
      </c>
      <c r="K904" t="str">
        <f>_xlfn.XLOOKUP(Jnl[[#This Row],[Acct]], config_BS[Acct], config_BS[Lv0],,0)</f>
        <v>A</v>
      </c>
      <c r="L904" t="str">
        <f>_xlfn.XLOOKUP(Jnl[[#This Row],[Acct]], config_BS[Acct], config_BS[Lv1],,0)</f>
        <v>Assets</v>
      </c>
      <c r="M904" t="str">
        <f>_xlfn.XLOOKUP(Jnl[[#This Row],[Acct]], config_BS[Acct], config_BS[Lv2],,0)</f>
        <v>Cash alike</v>
      </c>
      <c r="N904" t="str">
        <f>_xlfn.XLOOKUP(Jnl[[#This Row],[TrxId]], Trx[Id], Trx[IncNode], ,0)</f>
        <v>Revenue</v>
      </c>
      <c r="O904" t="str">
        <f>_xlfn.XLOOKUP(Jnl[[#This Row],[IncNode]], config_IS[Node], config_IS[Type],,0)</f>
        <v>Op</v>
      </c>
      <c r="P904" t="str">
        <f>_xlfn.XLOOKUP(Jnl[[#This Row],[BSLv2]], dict[Key], dict[Name],,0)</f>
        <v>0.现金及类似</v>
      </c>
      <c r="Q904" t="str">
        <f>_xlfn.XLOOKUP(Jnl[[#This Row],[Acct]], dict[Key], dict[Name],,0)</f>
        <v>银行</v>
      </c>
      <c r="R904" t="str">
        <f>_xlfn.XLOOKUP(Jnl[[#This Row],[Vehicle]],config_vehicle[Id], config_vehicle[Name],,0)</f>
        <v>创业园-琦</v>
      </c>
      <c r="S904" t="str">
        <f>_xlfn.XLOOKUP(Jnl[[#This Row],[Division]],config_div[Id], config_div[Name],,0)</f>
        <v>网店</v>
      </c>
      <c r="T904" t="str">
        <f>IF(Jnl[[#This Row],[TrxDate]]&lt;=stmt_BS_date_end, "In", "Out")</f>
        <v>In</v>
      </c>
      <c r="U904" t="str">
        <f>IF(Jnl[[#This Row],[TrxDate]]&lt;debug_date_start, "prior", IF(Jnl[[#This Row],[TrxDate]]&gt;debug_date_end, "post", "curr"))</f>
        <v>curr</v>
      </c>
    </row>
    <row r="905" spans="1:21">
      <c r="A905" s="11" t="s">
        <v>1366</v>
      </c>
      <c r="B905" s="7">
        <f>_xlfn.XLOOKUP(Jnl[[#This Row],[TrxId]], Trx[Id], Trx[Date],,0)</f>
        <v>46081</v>
      </c>
      <c r="C905" s="7" t="str">
        <f>_xlfn.XLOOKUP(Jnl[[#This Row],[TrxId]], Trx[Id], Trx[Division],,0)</f>
        <v>Online</v>
      </c>
      <c r="D905" s="7" t="str">
        <f>_xlfn.XLOOKUP(Jnl[[#This Row],[TrxId]], Trx[Id], Trx[Action],,0)</f>
        <v>内部结算</v>
      </c>
      <c r="E905" s="26" t="s">
        <v>93</v>
      </c>
      <c r="F905" s="11" t="s">
        <v>593</v>
      </c>
      <c r="G905" s="11" t="s">
        <v>909</v>
      </c>
      <c r="H905" s="72">
        <v>4265</v>
      </c>
      <c r="I905" s="5" t="b">
        <f>AND(Jnl[[#This Row],[TrxId]]&lt;&gt;"",Jnl[[#This Row],[Acct]]&lt;&gt;"",Jnl[[#This Row],[Item]]&lt;&gt;"",ISNUMBER(Jnl[[#This Row],[Bal]]))</f>
        <v>1</v>
      </c>
      <c r="J905" s="10">
        <f>IF(Jnl[[#This Row],[BSLv0]]="A",1,-1)*Jnl[[#This Row],[Bal]]</f>
        <v>4265</v>
      </c>
      <c r="K905" t="str">
        <f>_xlfn.XLOOKUP(Jnl[[#This Row],[Acct]], config_BS[Acct], config_BS[Lv0],,0)</f>
        <v>A</v>
      </c>
      <c r="L905" t="str">
        <f>_xlfn.XLOOKUP(Jnl[[#This Row],[Acct]], config_BS[Acct], config_BS[Lv1],,0)</f>
        <v>Assets</v>
      </c>
      <c r="M905" t="str">
        <f>_xlfn.XLOOKUP(Jnl[[#This Row],[Acct]], config_BS[Acct], config_BS[Lv2],,0)</f>
        <v>Rec-Pay</v>
      </c>
      <c r="N905" t="str">
        <f>_xlfn.XLOOKUP(Jnl[[#This Row],[TrxId]], Trx[Id], Trx[IncNode], ,0)</f>
        <v>Other</v>
      </c>
      <c r="O905" t="str">
        <f>_xlfn.XLOOKUP(Jnl[[#This Row],[IncNode]], config_IS[Node], config_IS[Type],,0)</f>
        <v>Non-Op</v>
      </c>
      <c r="P905" t="str">
        <f>_xlfn.XLOOKUP(Jnl[[#This Row],[BSLv2]], dict[Key], dict[Name],,0)</f>
        <v>1.应收-应付</v>
      </c>
      <c r="Q905" t="str">
        <f>_xlfn.XLOOKUP(Jnl[[#This Row],[Acct]], dict[Key], dict[Name],,0)</f>
        <v>应收-一般</v>
      </c>
      <c r="R905" t="str">
        <f>_xlfn.XLOOKUP(Jnl[[#This Row],[Vehicle]],config_vehicle[Id], config_vehicle[Name],,0)</f>
        <v>创业园-琦</v>
      </c>
      <c r="S905" t="str">
        <f>_xlfn.XLOOKUP(Jnl[[#This Row],[Division]],config_div[Id], config_div[Name],,0)</f>
        <v>网店</v>
      </c>
      <c r="T905" t="str">
        <f>IF(Jnl[[#This Row],[TrxDate]]&lt;=stmt_BS_date_end, "In", "Out")</f>
        <v>In</v>
      </c>
      <c r="U905" t="str">
        <f>IF(Jnl[[#This Row],[TrxDate]]&lt;debug_date_start, "prior", IF(Jnl[[#This Row],[TrxDate]]&gt;debug_date_end, "post", "curr"))</f>
        <v>curr</v>
      </c>
    </row>
    <row r="906" spans="1:21">
      <c r="A906" s="11" t="s">
        <v>1366</v>
      </c>
      <c r="B906" s="7">
        <f>_xlfn.XLOOKUP(Jnl[[#This Row],[TrxId]], Trx[Id], Trx[Date],,0)</f>
        <v>46081</v>
      </c>
      <c r="C906" s="7" t="str">
        <f>_xlfn.XLOOKUP(Jnl[[#This Row],[TrxId]], Trx[Id], Trx[Division],,0)</f>
        <v>Online</v>
      </c>
      <c r="D906" s="7" t="str">
        <f>_xlfn.XLOOKUP(Jnl[[#This Row],[TrxId]], Trx[Id], Trx[Action],,0)</f>
        <v>内部结算</v>
      </c>
      <c r="E906" s="26" t="s">
        <v>93</v>
      </c>
      <c r="F906" s="11" t="s">
        <v>590</v>
      </c>
      <c r="G906" s="11" t="s">
        <v>393</v>
      </c>
      <c r="H906" s="72">
        <v>-4265</v>
      </c>
      <c r="I906" s="5" t="b">
        <f>AND(Jnl[[#This Row],[TrxId]]&lt;&gt;"",Jnl[[#This Row],[Acct]]&lt;&gt;"",Jnl[[#This Row],[Item]]&lt;&gt;"",ISNUMBER(Jnl[[#This Row],[Bal]]))</f>
        <v>1</v>
      </c>
      <c r="J906" s="10">
        <f>IF(Jnl[[#This Row],[BSLv0]]="A",1,-1)*Jnl[[#This Row],[Bal]]</f>
        <v>-4265</v>
      </c>
      <c r="K906" t="str">
        <f>_xlfn.XLOOKUP(Jnl[[#This Row],[Acct]], config_BS[Acct], config_BS[Lv0],,0)</f>
        <v>A</v>
      </c>
      <c r="L906" t="str">
        <f>_xlfn.XLOOKUP(Jnl[[#This Row],[Acct]], config_BS[Acct], config_BS[Lv1],,0)</f>
        <v>Assets</v>
      </c>
      <c r="M906" t="str">
        <f>_xlfn.XLOOKUP(Jnl[[#This Row],[Acct]], config_BS[Acct], config_BS[Lv2],,0)</f>
        <v>Cash alike</v>
      </c>
      <c r="N906" t="str">
        <f>_xlfn.XLOOKUP(Jnl[[#This Row],[TrxId]], Trx[Id], Trx[IncNode], ,0)</f>
        <v>Other</v>
      </c>
      <c r="O906" t="str">
        <f>_xlfn.XLOOKUP(Jnl[[#This Row],[IncNode]], config_IS[Node], config_IS[Type],,0)</f>
        <v>Non-Op</v>
      </c>
      <c r="P906" t="str">
        <f>_xlfn.XLOOKUP(Jnl[[#This Row],[BSLv2]], dict[Key], dict[Name],,0)</f>
        <v>0.现金及类似</v>
      </c>
      <c r="Q906" t="str">
        <f>_xlfn.XLOOKUP(Jnl[[#This Row],[Acct]], dict[Key], dict[Name],,0)</f>
        <v>银行</v>
      </c>
      <c r="R906" t="str">
        <f>_xlfn.XLOOKUP(Jnl[[#This Row],[Vehicle]],config_vehicle[Id], config_vehicle[Name],,0)</f>
        <v>创业园-琦</v>
      </c>
      <c r="S906" t="str">
        <f>_xlfn.XLOOKUP(Jnl[[#This Row],[Division]],config_div[Id], config_div[Name],,0)</f>
        <v>网店</v>
      </c>
      <c r="T906" t="str">
        <f>IF(Jnl[[#This Row],[TrxDate]]&lt;=stmt_BS_date_end, "In", "Out")</f>
        <v>In</v>
      </c>
      <c r="U906" t="str">
        <f>IF(Jnl[[#This Row],[TrxDate]]&lt;debug_date_start, "prior", IF(Jnl[[#This Row],[TrxDate]]&gt;debug_date_end, "post", "curr"))</f>
        <v>curr</v>
      </c>
    </row>
    <row r="907" spans="1:21">
      <c r="A907" s="11" t="s">
        <v>1367</v>
      </c>
      <c r="B907" s="7">
        <f>_xlfn.XLOOKUP(Jnl[[#This Row],[TrxId]], Trx[Id], Trx[Date],,0)</f>
        <v>46081</v>
      </c>
      <c r="C907" s="7" t="str">
        <f>_xlfn.XLOOKUP(Jnl[[#This Row],[TrxId]], Trx[Id], Trx[Division],,0)</f>
        <v>GM</v>
      </c>
      <c r="D907" s="7" t="str">
        <f>_xlfn.XLOOKUP(Jnl[[#This Row],[TrxId]], Trx[Id], Trx[Action],,0)</f>
        <v>分红</v>
      </c>
      <c r="E907" s="26" t="s">
        <v>93</v>
      </c>
      <c r="F907" s="11" t="s">
        <v>590</v>
      </c>
      <c r="G907" s="11" t="s">
        <v>393</v>
      </c>
      <c r="H907" s="72">
        <v>-1800000</v>
      </c>
      <c r="I907" s="5" t="b">
        <f>AND(Jnl[[#This Row],[TrxId]]&lt;&gt;"",Jnl[[#This Row],[Acct]]&lt;&gt;"",Jnl[[#This Row],[Item]]&lt;&gt;"",ISNUMBER(Jnl[[#This Row],[Bal]]))</f>
        <v>1</v>
      </c>
      <c r="J907" s="10">
        <f>IF(Jnl[[#This Row],[BSLv0]]="A",1,-1)*Jnl[[#This Row],[Bal]]</f>
        <v>-1800000</v>
      </c>
      <c r="K907" t="str">
        <f>_xlfn.XLOOKUP(Jnl[[#This Row],[Acct]], config_BS[Acct], config_BS[Lv0],,0)</f>
        <v>A</v>
      </c>
      <c r="L907" t="str">
        <f>_xlfn.XLOOKUP(Jnl[[#This Row],[Acct]], config_BS[Acct], config_BS[Lv1],,0)</f>
        <v>Assets</v>
      </c>
      <c r="M907" t="str">
        <f>_xlfn.XLOOKUP(Jnl[[#This Row],[Acct]], config_BS[Acct], config_BS[Lv2],,0)</f>
        <v>Cash alike</v>
      </c>
      <c r="N907" t="str">
        <f>_xlfn.XLOOKUP(Jnl[[#This Row],[TrxId]], Trx[Id], Trx[IncNode], ,0)</f>
        <v>Other</v>
      </c>
      <c r="O907" t="str">
        <f>_xlfn.XLOOKUP(Jnl[[#This Row],[IncNode]], config_IS[Node], config_IS[Type],,0)</f>
        <v>Non-Op</v>
      </c>
      <c r="P907" t="str">
        <f>_xlfn.XLOOKUP(Jnl[[#This Row],[BSLv2]], dict[Key], dict[Name],,0)</f>
        <v>0.现金及类似</v>
      </c>
      <c r="Q907" t="str">
        <f>_xlfn.XLOOKUP(Jnl[[#This Row],[Acct]], dict[Key], dict[Name],,0)</f>
        <v>银行</v>
      </c>
      <c r="R907" t="str">
        <f>_xlfn.XLOOKUP(Jnl[[#This Row],[Vehicle]],config_vehicle[Id], config_vehicle[Name],,0)</f>
        <v>创业园-琦</v>
      </c>
      <c r="S907" t="str">
        <f>_xlfn.XLOOKUP(Jnl[[#This Row],[Division]],config_div[Id], config_div[Name],,0)</f>
        <v>综合管理</v>
      </c>
      <c r="T907" t="str">
        <f>IF(Jnl[[#This Row],[TrxDate]]&lt;=stmt_BS_date_end, "In", "Out")</f>
        <v>In</v>
      </c>
      <c r="U907" t="str">
        <f>IF(Jnl[[#This Row],[TrxDate]]&lt;debug_date_start, "prior", IF(Jnl[[#This Row],[TrxDate]]&gt;debug_date_end, "post", "curr"))</f>
        <v>curr</v>
      </c>
    </row>
    <row r="908" spans="1:21">
      <c r="A908" s="11" t="s">
        <v>1367</v>
      </c>
      <c r="B908" s="7">
        <f>_xlfn.XLOOKUP(Jnl[[#This Row],[TrxId]], Trx[Id], Trx[Date],,0)</f>
        <v>46081</v>
      </c>
      <c r="C908" s="7" t="str">
        <f>_xlfn.XLOOKUP(Jnl[[#This Row],[TrxId]], Trx[Id], Trx[Division],,0)</f>
        <v>GM</v>
      </c>
      <c r="D908" s="7" t="str">
        <f>_xlfn.XLOOKUP(Jnl[[#This Row],[TrxId]], Trx[Id], Trx[Action],,0)</f>
        <v>分红</v>
      </c>
      <c r="E908" s="26" t="s">
        <v>81</v>
      </c>
      <c r="F908" s="11" t="s">
        <v>1620</v>
      </c>
      <c r="G908" s="11" t="s">
        <v>2001</v>
      </c>
      <c r="H908" s="72">
        <f>H907</f>
        <v>-1800000</v>
      </c>
      <c r="I908" s="5" t="b">
        <f>AND(Jnl[[#This Row],[TrxId]]&lt;&gt;"",Jnl[[#This Row],[Acct]]&lt;&gt;"",Jnl[[#This Row],[Item]]&lt;&gt;"",ISNUMBER(Jnl[[#This Row],[Bal]]))</f>
        <v>1</v>
      </c>
      <c r="J908" s="10">
        <f>IF(Jnl[[#This Row],[BSLv0]]="A",1,-1)*Jnl[[#This Row],[Bal]]</f>
        <v>1800000</v>
      </c>
      <c r="K908" t="str">
        <f>_xlfn.XLOOKUP(Jnl[[#This Row],[Acct]], config_BS[Acct], config_BS[Lv0],,0)</f>
        <v>LC</v>
      </c>
      <c r="L908" t="str">
        <f>_xlfn.XLOOKUP(Jnl[[#This Row],[Acct]], config_BS[Acct], config_BS[Lv1],,0)</f>
        <v>Equity</v>
      </c>
      <c r="M908" t="str">
        <f>_xlfn.XLOOKUP(Jnl[[#This Row],[Acct]], config_BS[Acct], config_BS[Lv2],,0)</f>
        <v>Rsv</v>
      </c>
      <c r="N908" t="str">
        <f>_xlfn.XLOOKUP(Jnl[[#This Row],[TrxId]], Trx[Id], Trx[IncNode], ,0)</f>
        <v>Other</v>
      </c>
      <c r="O908" t="str">
        <f>_xlfn.XLOOKUP(Jnl[[#This Row],[IncNode]], config_IS[Node], config_IS[Type],,0)</f>
        <v>Non-Op</v>
      </c>
      <c r="P908" t="str">
        <f>_xlfn.XLOOKUP(Jnl[[#This Row],[BSLv2]], dict[Key], dict[Name],,0)</f>
        <v>9.蓄水池</v>
      </c>
      <c r="Q908" t="str">
        <f>_xlfn.XLOOKUP(Jnl[[#This Row],[Acct]], dict[Key], dict[Name],,0)</f>
        <v>可分配利润</v>
      </c>
      <c r="R908" t="str">
        <f>_xlfn.XLOOKUP(Jnl[[#This Row],[Vehicle]],config_vehicle[Id], config_vehicle[Name],,0)</f>
        <v>喜家文化</v>
      </c>
      <c r="S908" t="str">
        <f>_xlfn.XLOOKUP(Jnl[[#This Row],[Division]],config_div[Id], config_div[Name],,0)</f>
        <v>综合管理</v>
      </c>
      <c r="T908" t="str">
        <f>IF(Jnl[[#This Row],[TrxDate]]&lt;=stmt_BS_date_end, "In", "Out")</f>
        <v>In</v>
      </c>
      <c r="U908" t="str">
        <f>IF(Jnl[[#This Row],[TrxDate]]&lt;debug_date_start, "prior", IF(Jnl[[#This Row],[TrxDate]]&gt;debug_date_end, "post", "curr"))</f>
        <v>curr</v>
      </c>
    </row>
    <row r="909" spans="1:21">
      <c r="A909" s="11" t="s">
        <v>1368</v>
      </c>
      <c r="B909" s="7">
        <f>_xlfn.XLOOKUP(Jnl[[#This Row],[TrxId]], Trx[Id], Trx[Date],,0)</f>
        <v>46081</v>
      </c>
      <c r="C909" s="7" t="str">
        <f>_xlfn.XLOOKUP(Jnl[[#This Row],[TrxId]], Trx[Id], Trx[Division],,0)</f>
        <v>Ctrl</v>
      </c>
      <c r="D909" s="7" t="str">
        <f>_xlfn.XLOOKUP(Jnl[[#This Row],[TrxId]], Trx[Id], Trx[Action],,0)</f>
        <v>过账</v>
      </c>
      <c r="E909" s="26" t="s">
        <v>93</v>
      </c>
      <c r="F909" s="11" t="s">
        <v>590</v>
      </c>
      <c r="G909" s="11" t="s">
        <v>393</v>
      </c>
      <c r="H909" s="72">
        <v>7724.34</v>
      </c>
      <c r="I909" s="5" t="b">
        <f>AND(Jnl[[#This Row],[TrxId]]&lt;&gt;"",Jnl[[#This Row],[Acct]]&lt;&gt;"",Jnl[[#This Row],[Item]]&lt;&gt;"",ISNUMBER(Jnl[[#This Row],[Bal]]))</f>
        <v>1</v>
      </c>
      <c r="J909" s="10">
        <f>IF(Jnl[[#This Row],[BSLv0]]="A",1,-1)*Jnl[[#This Row],[Bal]]</f>
        <v>7724.34</v>
      </c>
      <c r="K909" t="str">
        <f>_xlfn.XLOOKUP(Jnl[[#This Row],[Acct]], config_BS[Acct], config_BS[Lv0],,0)</f>
        <v>A</v>
      </c>
      <c r="L909" t="str">
        <f>_xlfn.XLOOKUP(Jnl[[#This Row],[Acct]], config_BS[Acct], config_BS[Lv1],,0)</f>
        <v>Assets</v>
      </c>
      <c r="M909" t="str">
        <f>_xlfn.XLOOKUP(Jnl[[#This Row],[Acct]], config_BS[Acct], config_BS[Lv2],,0)</f>
        <v>Cash alike</v>
      </c>
      <c r="N909" t="str">
        <f>_xlfn.XLOOKUP(Jnl[[#This Row],[TrxId]], Trx[Id], Trx[IncNode], ,0)</f>
        <v>Other</v>
      </c>
      <c r="O909" t="str">
        <f>_xlfn.XLOOKUP(Jnl[[#This Row],[IncNode]], config_IS[Node], config_IS[Type],,0)</f>
        <v>Non-Op</v>
      </c>
      <c r="P909" t="str">
        <f>_xlfn.XLOOKUP(Jnl[[#This Row],[BSLv2]], dict[Key], dict[Name],,0)</f>
        <v>0.现金及类似</v>
      </c>
      <c r="Q909" t="str">
        <f>_xlfn.XLOOKUP(Jnl[[#This Row],[Acct]], dict[Key], dict[Name],,0)</f>
        <v>银行</v>
      </c>
      <c r="R909" t="str">
        <f>_xlfn.XLOOKUP(Jnl[[#This Row],[Vehicle]],config_vehicle[Id], config_vehicle[Name],,0)</f>
        <v>创业园-琦</v>
      </c>
      <c r="S909" t="str">
        <f>_xlfn.XLOOKUP(Jnl[[#This Row],[Division]],config_div[Id], config_div[Name],,0)</f>
        <v>内控合规</v>
      </c>
      <c r="T909" t="str">
        <f>IF(Jnl[[#This Row],[TrxDate]]&lt;=stmt_BS_date_end, "In", "Out")</f>
        <v>In</v>
      </c>
      <c r="U909" t="str">
        <f>IF(Jnl[[#This Row],[TrxDate]]&lt;debug_date_start, "prior", IF(Jnl[[#This Row],[TrxDate]]&gt;debug_date_end, "post", "curr"))</f>
        <v>curr</v>
      </c>
    </row>
    <row r="910" spans="1:21">
      <c r="A910" s="11" t="s">
        <v>1368</v>
      </c>
      <c r="B910" s="7">
        <f>_xlfn.XLOOKUP(Jnl[[#This Row],[TrxId]], Trx[Id], Trx[Date],,0)</f>
        <v>46081</v>
      </c>
      <c r="C910" s="7" t="str">
        <f>_xlfn.XLOOKUP(Jnl[[#This Row],[TrxId]], Trx[Id], Trx[Division],,0)</f>
        <v>Ctrl</v>
      </c>
      <c r="D910" s="7" t="str">
        <f>_xlfn.XLOOKUP(Jnl[[#This Row],[TrxId]], Trx[Id], Trx[Action],,0)</f>
        <v>过账</v>
      </c>
      <c r="E910" s="26" t="s">
        <v>85</v>
      </c>
      <c r="F910" s="11" t="s">
        <v>590</v>
      </c>
      <c r="G910" s="11" t="s">
        <v>1621</v>
      </c>
      <c r="H910" s="72">
        <v>-1826.87</v>
      </c>
      <c r="I910" s="5" t="b">
        <f>AND(Jnl[[#This Row],[TrxId]]&lt;&gt;"",Jnl[[#This Row],[Acct]]&lt;&gt;"",Jnl[[#This Row],[Item]]&lt;&gt;"",ISNUMBER(Jnl[[#This Row],[Bal]]))</f>
        <v>1</v>
      </c>
      <c r="J910" s="10">
        <f>IF(Jnl[[#This Row],[BSLv0]]="A",1,-1)*Jnl[[#This Row],[Bal]]</f>
        <v>-1826.87</v>
      </c>
      <c r="K910" t="str">
        <f>_xlfn.XLOOKUP(Jnl[[#This Row],[Acct]], config_BS[Acct], config_BS[Lv0],,0)</f>
        <v>A</v>
      </c>
      <c r="L910" t="str">
        <f>_xlfn.XLOOKUP(Jnl[[#This Row],[Acct]], config_BS[Acct], config_BS[Lv1],,0)</f>
        <v>Assets</v>
      </c>
      <c r="M910" t="str">
        <f>_xlfn.XLOOKUP(Jnl[[#This Row],[Acct]], config_BS[Acct], config_BS[Lv2],,0)</f>
        <v>Cash alike</v>
      </c>
      <c r="N910" t="str">
        <f>_xlfn.XLOOKUP(Jnl[[#This Row],[TrxId]], Trx[Id], Trx[IncNode], ,0)</f>
        <v>Other</v>
      </c>
      <c r="O910" t="str">
        <f>_xlfn.XLOOKUP(Jnl[[#This Row],[IncNode]], config_IS[Node], config_IS[Type],,0)</f>
        <v>Non-Op</v>
      </c>
      <c r="P910" t="str">
        <f>_xlfn.XLOOKUP(Jnl[[#This Row],[BSLv2]], dict[Key], dict[Name],,0)</f>
        <v>0.现金及类似</v>
      </c>
      <c r="Q910" t="str">
        <f>_xlfn.XLOOKUP(Jnl[[#This Row],[Acct]], dict[Key], dict[Name],,0)</f>
        <v>银行</v>
      </c>
      <c r="R910" t="str">
        <f>_xlfn.XLOOKUP(Jnl[[#This Row],[Vehicle]],config_vehicle[Id], config_vehicle[Name],,0)</f>
        <v>桑木</v>
      </c>
      <c r="S910" t="str">
        <f>_xlfn.XLOOKUP(Jnl[[#This Row],[Division]],config_div[Id], config_div[Name],,0)</f>
        <v>内控合规</v>
      </c>
      <c r="T910" t="str">
        <f>IF(Jnl[[#This Row],[TrxDate]]&lt;=stmt_BS_date_end, "In", "Out")</f>
        <v>In</v>
      </c>
      <c r="U910" t="str">
        <f>IF(Jnl[[#This Row],[TrxDate]]&lt;debug_date_start, "prior", IF(Jnl[[#This Row],[TrxDate]]&gt;debug_date_end, "post", "curr"))</f>
        <v>curr</v>
      </c>
    </row>
    <row r="911" spans="1:21">
      <c r="A911" s="11" t="s">
        <v>1368</v>
      </c>
      <c r="B911" s="7">
        <f>_xlfn.XLOOKUP(Jnl[[#This Row],[TrxId]], Trx[Id], Trx[Date],,0)</f>
        <v>46081</v>
      </c>
      <c r="C911" s="7" t="str">
        <f>_xlfn.XLOOKUP(Jnl[[#This Row],[TrxId]], Trx[Id], Trx[Division],,0)</f>
        <v>Ctrl</v>
      </c>
      <c r="D911" s="7" t="str">
        <f>_xlfn.XLOOKUP(Jnl[[#This Row],[TrxId]], Trx[Id], Trx[Action],,0)</f>
        <v>过账</v>
      </c>
      <c r="E911" s="26" t="s">
        <v>84</v>
      </c>
      <c r="F911" s="11" t="s">
        <v>590</v>
      </c>
      <c r="G911" s="11" t="s">
        <v>390</v>
      </c>
      <c r="H911" s="72">
        <v>-5897.47</v>
      </c>
      <c r="I911" s="5" t="b">
        <f>AND(Jnl[[#This Row],[TrxId]]&lt;&gt;"",Jnl[[#This Row],[Acct]]&lt;&gt;"",Jnl[[#This Row],[Item]]&lt;&gt;"",ISNUMBER(Jnl[[#This Row],[Bal]]))</f>
        <v>1</v>
      </c>
      <c r="J911" s="10">
        <f>IF(Jnl[[#This Row],[BSLv0]]="A",1,-1)*Jnl[[#This Row],[Bal]]</f>
        <v>-5897.47</v>
      </c>
      <c r="K911" t="str">
        <f>_xlfn.XLOOKUP(Jnl[[#This Row],[Acct]], config_BS[Acct], config_BS[Lv0],,0)</f>
        <v>A</v>
      </c>
      <c r="L911" t="str">
        <f>_xlfn.XLOOKUP(Jnl[[#This Row],[Acct]], config_BS[Acct], config_BS[Lv1],,0)</f>
        <v>Assets</v>
      </c>
      <c r="M911" t="str">
        <f>_xlfn.XLOOKUP(Jnl[[#This Row],[Acct]], config_BS[Acct], config_BS[Lv2],,0)</f>
        <v>Cash alike</v>
      </c>
      <c r="N911" t="str">
        <f>_xlfn.XLOOKUP(Jnl[[#This Row],[TrxId]], Trx[Id], Trx[IncNode], ,0)</f>
        <v>Other</v>
      </c>
      <c r="O911" t="str">
        <f>_xlfn.XLOOKUP(Jnl[[#This Row],[IncNode]], config_IS[Node], config_IS[Type],,0)</f>
        <v>Non-Op</v>
      </c>
      <c r="P911" t="str">
        <f>_xlfn.XLOOKUP(Jnl[[#This Row],[BSLv2]], dict[Key], dict[Name],,0)</f>
        <v>0.现金及类似</v>
      </c>
      <c r="Q911" t="str">
        <f>_xlfn.XLOOKUP(Jnl[[#This Row],[Acct]], dict[Key], dict[Name],,0)</f>
        <v>银行</v>
      </c>
      <c r="R911" t="str">
        <f>_xlfn.XLOOKUP(Jnl[[#This Row],[Vehicle]],config_vehicle[Id], config_vehicle[Name],,0)</f>
        <v>榆乐</v>
      </c>
      <c r="S911" t="str">
        <f>_xlfn.XLOOKUP(Jnl[[#This Row],[Division]],config_div[Id], config_div[Name],,0)</f>
        <v>内控合规</v>
      </c>
      <c r="T911" t="str">
        <f>IF(Jnl[[#This Row],[TrxDate]]&lt;=stmt_BS_date_end, "In", "Out")</f>
        <v>In</v>
      </c>
      <c r="U911" t="str">
        <f>IF(Jnl[[#This Row],[TrxDate]]&lt;debug_date_start, "prior", IF(Jnl[[#This Row],[TrxDate]]&gt;debug_date_end, "post", "curr"))</f>
        <v>curr</v>
      </c>
    </row>
    <row r="912" spans="1:21">
      <c r="A912" s="11" t="s">
        <v>1369</v>
      </c>
      <c r="B912" s="7">
        <f>_xlfn.XLOOKUP(Jnl[[#This Row],[TrxId]], Trx[Id], Trx[Date],,0)</f>
        <v>46081</v>
      </c>
      <c r="C912" s="7" t="str">
        <f>_xlfn.XLOOKUP(Jnl[[#This Row],[TrxId]], Trx[Id], Trx[Division],,0)</f>
        <v>Ctrl</v>
      </c>
      <c r="D912" s="7" t="str">
        <f>_xlfn.XLOOKUP(Jnl[[#This Row],[TrxId]], Trx[Id], Trx[Action],,0)</f>
        <v>过账</v>
      </c>
      <c r="E912" s="26" t="s">
        <v>93</v>
      </c>
      <c r="F912" s="11" t="s">
        <v>590</v>
      </c>
      <c r="G912" s="11" t="s">
        <v>393</v>
      </c>
      <c r="H912" s="72">
        <v>50000</v>
      </c>
      <c r="I912" s="5" t="b">
        <f>AND(Jnl[[#This Row],[TrxId]]&lt;&gt;"",Jnl[[#This Row],[Acct]]&lt;&gt;"",Jnl[[#This Row],[Item]]&lt;&gt;"",ISNUMBER(Jnl[[#This Row],[Bal]]))</f>
        <v>1</v>
      </c>
      <c r="J912" s="10">
        <f>IF(Jnl[[#This Row],[BSLv0]]="A",1,-1)*Jnl[[#This Row],[Bal]]</f>
        <v>50000</v>
      </c>
      <c r="K912" t="str">
        <f>_xlfn.XLOOKUP(Jnl[[#This Row],[Acct]], config_BS[Acct], config_BS[Lv0],,0)</f>
        <v>A</v>
      </c>
      <c r="L912" t="str">
        <f>_xlfn.XLOOKUP(Jnl[[#This Row],[Acct]], config_BS[Acct], config_BS[Lv1],,0)</f>
        <v>Assets</v>
      </c>
      <c r="M912" t="str">
        <f>_xlfn.XLOOKUP(Jnl[[#This Row],[Acct]], config_BS[Acct], config_BS[Lv2],,0)</f>
        <v>Cash alike</v>
      </c>
      <c r="N912" t="str">
        <f>_xlfn.XLOOKUP(Jnl[[#This Row],[TrxId]], Trx[Id], Trx[IncNode], ,0)</f>
        <v>Other</v>
      </c>
      <c r="O912" t="str">
        <f>_xlfn.XLOOKUP(Jnl[[#This Row],[IncNode]], config_IS[Node], config_IS[Type],,0)</f>
        <v>Non-Op</v>
      </c>
      <c r="P912" t="str">
        <f>_xlfn.XLOOKUP(Jnl[[#This Row],[BSLv2]], dict[Key], dict[Name],,0)</f>
        <v>0.现金及类似</v>
      </c>
      <c r="Q912" t="str">
        <f>_xlfn.XLOOKUP(Jnl[[#This Row],[Acct]], dict[Key], dict[Name],,0)</f>
        <v>银行</v>
      </c>
      <c r="R912" t="str">
        <f>_xlfn.XLOOKUP(Jnl[[#This Row],[Vehicle]],config_vehicle[Id], config_vehicle[Name],,0)</f>
        <v>创业园-琦</v>
      </c>
      <c r="S912" t="str">
        <f>_xlfn.XLOOKUP(Jnl[[#This Row],[Division]],config_div[Id], config_div[Name],,0)</f>
        <v>内控合规</v>
      </c>
      <c r="T912" t="str">
        <f>IF(Jnl[[#This Row],[TrxDate]]&lt;=stmt_BS_date_end, "In", "Out")</f>
        <v>In</v>
      </c>
      <c r="U912" t="str">
        <f>IF(Jnl[[#This Row],[TrxDate]]&lt;debug_date_start, "prior", IF(Jnl[[#This Row],[TrxDate]]&gt;debug_date_end, "post", "curr"))</f>
        <v>curr</v>
      </c>
    </row>
    <row r="913" spans="1:21">
      <c r="A913" s="11" t="s">
        <v>1369</v>
      </c>
      <c r="B913" s="7">
        <f>_xlfn.XLOOKUP(Jnl[[#This Row],[TrxId]], Trx[Id], Trx[Date],,0)</f>
        <v>46081</v>
      </c>
      <c r="C913" s="7" t="str">
        <f>_xlfn.XLOOKUP(Jnl[[#This Row],[TrxId]], Trx[Id], Trx[Division],,0)</f>
        <v>Ctrl</v>
      </c>
      <c r="D913" s="7" t="str">
        <f>_xlfn.XLOOKUP(Jnl[[#This Row],[TrxId]], Trx[Id], Trx[Action],,0)</f>
        <v>过账</v>
      </c>
      <c r="E913" s="26" t="s">
        <v>84</v>
      </c>
      <c r="F913" s="11" t="s">
        <v>590</v>
      </c>
      <c r="G913" s="11" t="s">
        <v>390</v>
      </c>
      <c r="H913" s="72">
        <v>-50000</v>
      </c>
      <c r="I913" s="5" t="b">
        <f>AND(Jnl[[#This Row],[TrxId]]&lt;&gt;"",Jnl[[#This Row],[Acct]]&lt;&gt;"",Jnl[[#This Row],[Item]]&lt;&gt;"",ISNUMBER(Jnl[[#This Row],[Bal]]))</f>
        <v>1</v>
      </c>
      <c r="J913" s="10">
        <f>IF(Jnl[[#This Row],[BSLv0]]="A",1,-1)*Jnl[[#This Row],[Bal]]</f>
        <v>-50000</v>
      </c>
      <c r="K913" t="str">
        <f>_xlfn.XLOOKUP(Jnl[[#This Row],[Acct]], config_BS[Acct], config_BS[Lv0],,0)</f>
        <v>A</v>
      </c>
      <c r="L913" t="str">
        <f>_xlfn.XLOOKUP(Jnl[[#This Row],[Acct]], config_BS[Acct], config_BS[Lv1],,0)</f>
        <v>Assets</v>
      </c>
      <c r="M913" t="str">
        <f>_xlfn.XLOOKUP(Jnl[[#This Row],[Acct]], config_BS[Acct], config_BS[Lv2],,0)</f>
        <v>Cash alike</v>
      </c>
      <c r="N913" t="str">
        <f>_xlfn.XLOOKUP(Jnl[[#This Row],[TrxId]], Trx[Id], Trx[IncNode], ,0)</f>
        <v>Other</v>
      </c>
      <c r="O913" t="str">
        <f>_xlfn.XLOOKUP(Jnl[[#This Row],[IncNode]], config_IS[Node], config_IS[Type],,0)</f>
        <v>Non-Op</v>
      </c>
      <c r="P913" t="str">
        <f>_xlfn.XLOOKUP(Jnl[[#This Row],[BSLv2]], dict[Key], dict[Name],,0)</f>
        <v>0.现金及类似</v>
      </c>
      <c r="Q913" t="str">
        <f>_xlfn.XLOOKUP(Jnl[[#This Row],[Acct]], dict[Key], dict[Name],,0)</f>
        <v>银行</v>
      </c>
      <c r="R913" t="str">
        <f>_xlfn.XLOOKUP(Jnl[[#This Row],[Vehicle]],config_vehicle[Id], config_vehicle[Name],,0)</f>
        <v>榆乐</v>
      </c>
      <c r="S913" t="str">
        <f>_xlfn.XLOOKUP(Jnl[[#This Row],[Division]],config_div[Id], config_div[Name],,0)</f>
        <v>内控合规</v>
      </c>
      <c r="T913" t="str">
        <f>IF(Jnl[[#This Row],[TrxDate]]&lt;=stmt_BS_date_end, "In", "Out")</f>
        <v>In</v>
      </c>
      <c r="U913" t="str">
        <f>IF(Jnl[[#This Row],[TrxDate]]&lt;debug_date_start, "prior", IF(Jnl[[#This Row],[TrxDate]]&gt;debug_date_end, "post", "curr"))</f>
        <v>curr</v>
      </c>
    </row>
    <row r="914" spans="1:21">
      <c r="A914" s="11" t="s">
        <v>1370</v>
      </c>
      <c r="B914" s="7">
        <f>_xlfn.XLOOKUP(Jnl[[#This Row],[TrxId]], Trx[Id], Trx[Date],,0)</f>
        <v>46081</v>
      </c>
      <c r="C914" s="7" t="str">
        <f>_xlfn.XLOOKUP(Jnl[[#This Row],[TrxId]], Trx[Id], Trx[Division],,0)</f>
        <v>Ctrl</v>
      </c>
      <c r="D914" s="7" t="str">
        <f>_xlfn.XLOOKUP(Jnl[[#This Row],[TrxId]], Trx[Id], Trx[Action],,0)</f>
        <v>找票</v>
      </c>
      <c r="E914" s="26" t="s">
        <v>93</v>
      </c>
      <c r="F914" s="11" t="s">
        <v>590</v>
      </c>
      <c r="G914" s="11" t="s">
        <v>393</v>
      </c>
      <c r="H914" s="72">
        <v>-3000</v>
      </c>
      <c r="I914" s="5" t="b">
        <f>AND(Jnl[[#This Row],[TrxId]]&lt;&gt;"",Jnl[[#This Row],[Acct]]&lt;&gt;"",Jnl[[#This Row],[Item]]&lt;&gt;"",ISNUMBER(Jnl[[#This Row],[Bal]]))</f>
        <v>1</v>
      </c>
      <c r="J914" s="10">
        <f>IF(Jnl[[#This Row],[BSLv0]]="A",1,-1)*Jnl[[#This Row],[Bal]]</f>
        <v>-3000</v>
      </c>
      <c r="K914" t="str">
        <f>_xlfn.XLOOKUP(Jnl[[#This Row],[Acct]], config_BS[Acct], config_BS[Lv0],,0)</f>
        <v>A</v>
      </c>
      <c r="L914" t="str">
        <f>_xlfn.XLOOKUP(Jnl[[#This Row],[Acct]], config_BS[Acct], config_BS[Lv1],,0)</f>
        <v>Assets</v>
      </c>
      <c r="M914" t="str">
        <f>_xlfn.XLOOKUP(Jnl[[#This Row],[Acct]], config_BS[Acct], config_BS[Lv2],,0)</f>
        <v>Cash alike</v>
      </c>
      <c r="N914" t="str">
        <f>_xlfn.XLOOKUP(Jnl[[#This Row],[TrxId]], Trx[Id], Trx[IncNode], ,0)</f>
        <v>Expense</v>
      </c>
      <c r="O914" t="str">
        <f>_xlfn.XLOOKUP(Jnl[[#This Row],[IncNode]], config_IS[Node], config_IS[Type],,0)</f>
        <v>Op</v>
      </c>
      <c r="P914" t="str">
        <f>_xlfn.XLOOKUP(Jnl[[#This Row],[BSLv2]], dict[Key], dict[Name],,0)</f>
        <v>0.现金及类似</v>
      </c>
      <c r="Q914" t="str">
        <f>_xlfn.XLOOKUP(Jnl[[#This Row],[Acct]], dict[Key], dict[Name],,0)</f>
        <v>银行</v>
      </c>
      <c r="R914" t="str">
        <f>_xlfn.XLOOKUP(Jnl[[#This Row],[Vehicle]],config_vehicle[Id], config_vehicle[Name],,0)</f>
        <v>创业园-琦</v>
      </c>
      <c r="S914" t="str">
        <f>_xlfn.XLOOKUP(Jnl[[#This Row],[Division]],config_div[Id], config_div[Name],,0)</f>
        <v>内控合规</v>
      </c>
      <c r="T914" t="str">
        <f>IF(Jnl[[#This Row],[TrxDate]]&lt;=stmt_BS_date_end, "In", "Out")</f>
        <v>In</v>
      </c>
      <c r="U914" t="str">
        <f>IF(Jnl[[#This Row],[TrxDate]]&lt;debug_date_start, "prior", IF(Jnl[[#This Row],[TrxDate]]&gt;debug_date_end, "post", "curr"))</f>
        <v>curr</v>
      </c>
    </row>
    <row r="915" spans="1:21">
      <c r="A915" s="11" t="s">
        <v>1622</v>
      </c>
      <c r="B915" s="7">
        <f>_xlfn.XLOOKUP(Jnl[[#This Row],[TrxId]], Trx[Id], Trx[Date],,0)</f>
        <v>46081</v>
      </c>
      <c r="C915" s="7" t="str">
        <f>_xlfn.XLOOKUP(Jnl[[#This Row],[TrxId]], Trx[Id], Trx[Division],,0)</f>
        <v>GM</v>
      </c>
      <c r="D915" s="7" t="str">
        <f>_xlfn.XLOOKUP(Jnl[[#This Row],[TrxId]], Trx[Id], Trx[Action],,0)</f>
        <v>薪酬-社保</v>
      </c>
      <c r="E915" s="26" t="s">
        <v>85</v>
      </c>
      <c r="F915" s="11" t="s">
        <v>590</v>
      </c>
      <c r="G915" s="11" t="s">
        <v>1621</v>
      </c>
      <c r="H915" s="72">
        <v>-4913.7299999999996</v>
      </c>
      <c r="I915" s="5" t="b">
        <f>AND(Jnl[[#This Row],[TrxId]]&lt;&gt;"",Jnl[[#This Row],[Acct]]&lt;&gt;"",Jnl[[#This Row],[Item]]&lt;&gt;"",ISNUMBER(Jnl[[#This Row],[Bal]]))</f>
        <v>1</v>
      </c>
      <c r="J915" s="10">
        <f>IF(Jnl[[#This Row],[BSLv0]]="A",1,-1)*Jnl[[#This Row],[Bal]]</f>
        <v>-4913.7299999999996</v>
      </c>
      <c r="K915" t="str">
        <f>_xlfn.XLOOKUP(Jnl[[#This Row],[Acct]], config_BS[Acct], config_BS[Lv0],,0)</f>
        <v>A</v>
      </c>
      <c r="L915" t="str">
        <f>_xlfn.XLOOKUP(Jnl[[#This Row],[Acct]], config_BS[Acct], config_BS[Lv1],,0)</f>
        <v>Assets</v>
      </c>
      <c r="M915" t="str">
        <f>_xlfn.XLOOKUP(Jnl[[#This Row],[Acct]], config_BS[Acct], config_BS[Lv2],,0)</f>
        <v>Cash alike</v>
      </c>
      <c r="N915" t="str">
        <f>_xlfn.XLOOKUP(Jnl[[#This Row],[TrxId]], Trx[Id], Trx[IncNode], ,0)</f>
        <v>Expense</v>
      </c>
      <c r="O915" t="str">
        <f>_xlfn.XLOOKUP(Jnl[[#This Row],[IncNode]], config_IS[Node], config_IS[Type],,0)</f>
        <v>Op</v>
      </c>
      <c r="P915" t="str">
        <f>_xlfn.XLOOKUP(Jnl[[#This Row],[BSLv2]], dict[Key], dict[Name],,0)</f>
        <v>0.现金及类似</v>
      </c>
      <c r="Q915" t="str">
        <f>_xlfn.XLOOKUP(Jnl[[#This Row],[Acct]], dict[Key], dict[Name],,0)</f>
        <v>银行</v>
      </c>
      <c r="R915" t="str">
        <f>_xlfn.XLOOKUP(Jnl[[#This Row],[Vehicle]],config_vehicle[Id], config_vehicle[Name],,0)</f>
        <v>桑木</v>
      </c>
      <c r="S915" t="str">
        <f>_xlfn.XLOOKUP(Jnl[[#This Row],[Division]],config_div[Id], config_div[Name],,0)</f>
        <v>综合管理</v>
      </c>
      <c r="T915" t="str">
        <f>IF(Jnl[[#This Row],[TrxDate]]&lt;=stmt_BS_date_end, "In", "Out")</f>
        <v>In</v>
      </c>
      <c r="U915" t="str">
        <f>IF(Jnl[[#This Row],[TrxDate]]&lt;debug_date_start, "prior", IF(Jnl[[#This Row],[TrxDate]]&gt;debug_date_end, "post", "curr"))</f>
        <v>curr</v>
      </c>
    </row>
    <row r="916" spans="1:21">
      <c r="A916" s="11" t="s">
        <v>1622</v>
      </c>
      <c r="B916" s="7">
        <f>_xlfn.XLOOKUP(Jnl[[#This Row],[TrxId]], Trx[Id], Trx[Date],,0)</f>
        <v>46081</v>
      </c>
      <c r="C916" s="7" t="str">
        <f>_xlfn.XLOOKUP(Jnl[[#This Row],[TrxId]], Trx[Id], Trx[Division],,0)</f>
        <v>GM</v>
      </c>
      <c r="D916" s="7" t="str">
        <f>_xlfn.XLOOKUP(Jnl[[#This Row],[TrxId]], Trx[Id], Trx[Action],,0)</f>
        <v>薪酬-社保</v>
      </c>
      <c r="E916" s="26" t="s">
        <v>85</v>
      </c>
      <c r="F916" s="11" t="s">
        <v>595</v>
      </c>
      <c r="G916" s="11" t="s">
        <v>344</v>
      </c>
      <c r="H916" s="72">
        <v>1431.45</v>
      </c>
      <c r="I916" s="5" t="b">
        <f>AND(Jnl[[#This Row],[TrxId]]&lt;&gt;"",Jnl[[#This Row],[Acct]]&lt;&gt;"",Jnl[[#This Row],[Item]]&lt;&gt;"",ISNUMBER(Jnl[[#This Row],[Bal]]))</f>
        <v>1</v>
      </c>
      <c r="J916" s="10">
        <f>IF(Jnl[[#This Row],[BSLv0]]="A",1,-1)*Jnl[[#This Row],[Bal]]</f>
        <v>1431.45</v>
      </c>
      <c r="K916" t="str">
        <f>_xlfn.XLOOKUP(Jnl[[#This Row],[Acct]], config_BS[Acct], config_BS[Lv0],,0)</f>
        <v>A</v>
      </c>
      <c r="L916" t="str">
        <f>_xlfn.XLOOKUP(Jnl[[#This Row],[Acct]], config_BS[Acct], config_BS[Lv1],,0)</f>
        <v>Assets</v>
      </c>
      <c r="M916" t="str">
        <f>_xlfn.XLOOKUP(Jnl[[#This Row],[Acct]], config_BS[Acct], config_BS[Lv2],,0)</f>
        <v>Rec-Pay</v>
      </c>
      <c r="N916" t="str">
        <f>_xlfn.XLOOKUP(Jnl[[#This Row],[TrxId]], Trx[Id], Trx[IncNode], ,0)</f>
        <v>Expense</v>
      </c>
      <c r="O916" t="str">
        <f>_xlfn.XLOOKUP(Jnl[[#This Row],[IncNode]], config_IS[Node], config_IS[Type],,0)</f>
        <v>Op</v>
      </c>
      <c r="P916" t="str">
        <f>_xlfn.XLOOKUP(Jnl[[#This Row],[BSLv2]], dict[Key], dict[Name],,0)</f>
        <v>1.应收-应付</v>
      </c>
      <c r="Q916" t="str">
        <f>_xlfn.XLOOKUP(Jnl[[#This Row],[Acct]], dict[Key], dict[Name],,0)</f>
        <v>应收-其他</v>
      </c>
      <c r="R916" t="str">
        <f>_xlfn.XLOOKUP(Jnl[[#This Row],[Vehicle]],config_vehicle[Id], config_vehicle[Name],,0)</f>
        <v>桑木</v>
      </c>
      <c r="S916" t="str">
        <f>_xlfn.XLOOKUP(Jnl[[#This Row],[Division]],config_div[Id], config_div[Name],,0)</f>
        <v>综合管理</v>
      </c>
      <c r="T916" t="str">
        <f>IF(Jnl[[#This Row],[TrxDate]]&lt;=stmt_BS_date_end, "In", "Out")</f>
        <v>In</v>
      </c>
      <c r="U916" t="str">
        <f>IF(Jnl[[#This Row],[TrxDate]]&lt;debug_date_start, "prior", IF(Jnl[[#This Row],[TrxDate]]&gt;debug_date_end, "post", "curr"))</f>
        <v>curr</v>
      </c>
    </row>
    <row r="917" spans="1:21">
      <c r="A917" s="11" t="s">
        <v>1372</v>
      </c>
      <c r="B917" s="7">
        <f>_xlfn.XLOOKUP(Jnl[[#This Row],[TrxId]], Trx[Id], Trx[Date],,0)</f>
        <v>46081</v>
      </c>
      <c r="C917" s="7" t="str">
        <f>_xlfn.XLOOKUP(Jnl[[#This Row],[TrxId]], Trx[Id], Trx[Division],,0)</f>
        <v>Online</v>
      </c>
      <c r="D917" s="7" t="str">
        <f>_xlfn.XLOOKUP(Jnl[[#This Row],[TrxId]], Trx[Id], Trx[Action],,0)</f>
        <v>订购</v>
      </c>
      <c r="E917" s="26" t="s">
        <v>85</v>
      </c>
      <c r="F917" s="11" t="s">
        <v>590</v>
      </c>
      <c r="G917" s="11" t="s">
        <v>1621</v>
      </c>
      <c r="H917" s="72">
        <v>-17250</v>
      </c>
      <c r="I917" s="5" t="b">
        <f>AND(Jnl[[#This Row],[TrxId]]&lt;&gt;"",Jnl[[#This Row],[Acct]]&lt;&gt;"",Jnl[[#This Row],[Item]]&lt;&gt;"",ISNUMBER(Jnl[[#This Row],[Bal]]))</f>
        <v>1</v>
      </c>
      <c r="J917" s="10">
        <f>IF(Jnl[[#This Row],[BSLv0]]="A",1,-1)*Jnl[[#This Row],[Bal]]</f>
        <v>-17250</v>
      </c>
      <c r="K917" t="str">
        <f>_xlfn.XLOOKUP(Jnl[[#This Row],[Acct]], config_BS[Acct], config_BS[Lv0],,0)</f>
        <v>A</v>
      </c>
      <c r="L917" t="str">
        <f>_xlfn.XLOOKUP(Jnl[[#This Row],[Acct]], config_BS[Acct], config_BS[Lv1],,0)</f>
        <v>Assets</v>
      </c>
      <c r="M917" t="str">
        <f>_xlfn.XLOOKUP(Jnl[[#This Row],[Acct]], config_BS[Acct], config_BS[Lv2],,0)</f>
        <v>Cash alike</v>
      </c>
      <c r="N917" t="str">
        <f>_xlfn.XLOOKUP(Jnl[[#This Row],[TrxId]], Trx[Id], Trx[IncNode], ,0)</f>
        <v>Cost</v>
      </c>
      <c r="O917" t="str">
        <f>_xlfn.XLOOKUP(Jnl[[#This Row],[IncNode]], config_IS[Node], config_IS[Type],,0)</f>
        <v>Op</v>
      </c>
      <c r="P917" t="str">
        <f>_xlfn.XLOOKUP(Jnl[[#This Row],[BSLv2]], dict[Key], dict[Name],,0)</f>
        <v>0.现金及类似</v>
      </c>
      <c r="Q917" t="str">
        <f>_xlfn.XLOOKUP(Jnl[[#This Row],[Acct]], dict[Key], dict[Name],,0)</f>
        <v>银行</v>
      </c>
      <c r="R917" t="str">
        <f>_xlfn.XLOOKUP(Jnl[[#This Row],[Vehicle]],config_vehicle[Id], config_vehicle[Name],,0)</f>
        <v>桑木</v>
      </c>
      <c r="S917" t="str">
        <f>_xlfn.XLOOKUP(Jnl[[#This Row],[Division]],config_div[Id], config_div[Name],,0)</f>
        <v>网店</v>
      </c>
      <c r="T917" t="str">
        <f>IF(Jnl[[#This Row],[TrxDate]]&lt;=stmt_BS_date_end, "In", "Out")</f>
        <v>In</v>
      </c>
      <c r="U917" t="str">
        <f>IF(Jnl[[#This Row],[TrxDate]]&lt;debug_date_start, "prior", IF(Jnl[[#This Row],[TrxDate]]&gt;debug_date_end, "post", "curr"))</f>
        <v>curr</v>
      </c>
    </row>
    <row r="918" spans="1:21">
      <c r="A918" s="11" t="s">
        <v>1372</v>
      </c>
      <c r="B918" s="7">
        <f>_xlfn.XLOOKUP(Jnl[[#This Row],[TrxId]], Trx[Id], Trx[Date],,0)</f>
        <v>46081</v>
      </c>
      <c r="C918" s="7" t="str">
        <f>_xlfn.XLOOKUP(Jnl[[#This Row],[TrxId]], Trx[Id], Trx[Division],,0)</f>
        <v>Online</v>
      </c>
      <c r="D918" s="7" t="str">
        <f>_xlfn.XLOOKUP(Jnl[[#This Row],[TrxId]], Trx[Id], Trx[Action],,0)</f>
        <v>订购</v>
      </c>
      <c r="E918" s="26" t="s">
        <v>85</v>
      </c>
      <c r="F918" s="11" t="s">
        <v>493</v>
      </c>
      <c r="G918" s="11" t="s">
        <v>428</v>
      </c>
      <c r="H918" s="72">
        <f>-H917</f>
        <v>17250</v>
      </c>
      <c r="I918" s="5" t="b">
        <f>AND(Jnl[[#This Row],[TrxId]]&lt;&gt;"",Jnl[[#This Row],[Acct]]&lt;&gt;"",Jnl[[#This Row],[Item]]&lt;&gt;"",ISNUMBER(Jnl[[#This Row],[Bal]]))</f>
        <v>1</v>
      </c>
      <c r="J918" s="10">
        <f>IF(Jnl[[#This Row],[BSLv0]]="A",1,-1)*Jnl[[#This Row],[Bal]]</f>
        <v>17250</v>
      </c>
      <c r="K918" t="str">
        <f>_xlfn.XLOOKUP(Jnl[[#This Row],[Acct]], config_BS[Acct], config_BS[Lv0],,0)</f>
        <v>A</v>
      </c>
      <c r="L918" t="str">
        <f>_xlfn.XLOOKUP(Jnl[[#This Row],[Acct]], config_BS[Acct], config_BS[Lv1],,0)</f>
        <v>Assets</v>
      </c>
      <c r="M918" t="str">
        <f>_xlfn.XLOOKUP(Jnl[[#This Row],[Acct]], config_BS[Acct], config_BS[Lv2],,0)</f>
        <v>Prep-Sub</v>
      </c>
      <c r="N918" t="str">
        <f>_xlfn.XLOOKUP(Jnl[[#This Row],[TrxId]], Trx[Id], Trx[IncNode], ,0)</f>
        <v>Cost</v>
      </c>
      <c r="O918" t="str">
        <f>_xlfn.XLOOKUP(Jnl[[#This Row],[IncNode]], config_IS[Node], config_IS[Type],,0)</f>
        <v>Op</v>
      </c>
      <c r="P918" t="str">
        <f>_xlfn.XLOOKUP(Jnl[[#This Row],[BSLv2]], dict[Key], dict[Name],,0)</f>
        <v>2.预付-订阅</v>
      </c>
      <c r="Q918" t="str">
        <f>_xlfn.XLOOKUP(Jnl[[#This Row],[Acct]], dict[Key], dict[Name],,0)</f>
        <v>预付订单</v>
      </c>
      <c r="R918" t="str">
        <f>_xlfn.XLOOKUP(Jnl[[#This Row],[Vehicle]],config_vehicle[Id], config_vehicle[Name],,0)</f>
        <v>桑木</v>
      </c>
      <c r="S918" t="str">
        <f>_xlfn.XLOOKUP(Jnl[[#This Row],[Division]],config_div[Id], config_div[Name],,0)</f>
        <v>网店</v>
      </c>
      <c r="T918" t="str">
        <f>IF(Jnl[[#This Row],[TrxDate]]&lt;=stmt_BS_date_end, "In", "Out")</f>
        <v>In</v>
      </c>
      <c r="U918" t="str">
        <f>IF(Jnl[[#This Row],[TrxDate]]&lt;debug_date_start, "prior", IF(Jnl[[#This Row],[TrxDate]]&gt;debug_date_end, "post", "curr"))</f>
        <v>curr</v>
      </c>
    </row>
    <row r="919" spans="1:21">
      <c r="A919" s="11" t="s">
        <v>1373</v>
      </c>
      <c r="B919" s="7">
        <f>_xlfn.XLOOKUP(Jnl[[#This Row],[TrxId]], Trx[Id], Trx[Date],,0)</f>
        <v>46081</v>
      </c>
      <c r="C919" s="7" t="str">
        <f>_xlfn.XLOOKUP(Jnl[[#This Row],[TrxId]], Trx[Id], Trx[Division],,0)</f>
        <v>Online</v>
      </c>
      <c r="D919" s="7" t="str">
        <f>_xlfn.XLOOKUP(Jnl[[#This Row],[TrxId]], Trx[Id], Trx[Action],,0)</f>
        <v>交通</v>
      </c>
      <c r="E919" s="26" t="s">
        <v>85</v>
      </c>
      <c r="F919" s="11" t="s">
        <v>590</v>
      </c>
      <c r="G919" s="11" t="s">
        <v>1621</v>
      </c>
      <c r="H919" s="72">
        <v>-21.74</v>
      </c>
      <c r="I919" s="5" t="b">
        <f>AND(Jnl[[#This Row],[TrxId]]&lt;&gt;"",Jnl[[#This Row],[Acct]]&lt;&gt;"",Jnl[[#This Row],[Item]]&lt;&gt;"",ISNUMBER(Jnl[[#This Row],[Bal]]))</f>
        <v>1</v>
      </c>
      <c r="J919" s="10">
        <f>IF(Jnl[[#This Row],[BSLv0]]="A",1,-1)*Jnl[[#This Row],[Bal]]</f>
        <v>-21.74</v>
      </c>
      <c r="K919" t="str">
        <f>_xlfn.XLOOKUP(Jnl[[#This Row],[Acct]], config_BS[Acct], config_BS[Lv0],,0)</f>
        <v>A</v>
      </c>
      <c r="L919" t="str">
        <f>_xlfn.XLOOKUP(Jnl[[#This Row],[Acct]], config_BS[Acct], config_BS[Lv1],,0)</f>
        <v>Assets</v>
      </c>
      <c r="M919" t="str">
        <f>_xlfn.XLOOKUP(Jnl[[#This Row],[Acct]], config_BS[Acct], config_BS[Lv2],,0)</f>
        <v>Cash alike</v>
      </c>
      <c r="N919" t="str">
        <f>_xlfn.XLOOKUP(Jnl[[#This Row],[TrxId]], Trx[Id], Trx[IncNode], ,0)</f>
        <v>Expense</v>
      </c>
      <c r="O919" t="str">
        <f>_xlfn.XLOOKUP(Jnl[[#This Row],[IncNode]], config_IS[Node], config_IS[Type],,0)</f>
        <v>Op</v>
      </c>
      <c r="P919" t="str">
        <f>_xlfn.XLOOKUP(Jnl[[#This Row],[BSLv2]], dict[Key], dict[Name],,0)</f>
        <v>0.现金及类似</v>
      </c>
      <c r="Q919" t="str">
        <f>_xlfn.XLOOKUP(Jnl[[#This Row],[Acct]], dict[Key], dict[Name],,0)</f>
        <v>银行</v>
      </c>
      <c r="R919" t="str">
        <f>_xlfn.XLOOKUP(Jnl[[#This Row],[Vehicle]],config_vehicle[Id], config_vehicle[Name],,0)</f>
        <v>桑木</v>
      </c>
      <c r="S919" t="str">
        <f>_xlfn.XLOOKUP(Jnl[[#This Row],[Division]],config_div[Id], config_div[Name],,0)</f>
        <v>网店</v>
      </c>
      <c r="T919" t="str">
        <f>IF(Jnl[[#This Row],[TrxDate]]&lt;=stmt_BS_date_end, "In", "Out")</f>
        <v>In</v>
      </c>
      <c r="U919" t="str">
        <f>IF(Jnl[[#This Row],[TrxDate]]&lt;debug_date_start, "prior", IF(Jnl[[#This Row],[TrxDate]]&gt;debug_date_end, "post", "curr"))</f>
        <v>curr</v>
      </c>
    </row>
    <row r="920" spans="1:21">
      <c r="A920" s="11" t="s">
        <v>1374</v>
      </c>
      <c r="B920" s="7">
        <f>_xlfn.XLOOKUP(Jnl[[#This Row],[TrxId]], Trx[Id], Trx[Date],,0)</f>
        <v>46081</v>
      </c>
      <c r="C920" s="7" t="str">
        <f>_xlfn.XLOOKUP(Jnl[[#This Row],[TrxId]], Trx[Id], Trx[Division],,0)</f>
        <v>Online</v>
      </c>
      <c r="D920" s="7" t="str">
        <f>_xlfn.XLOOKUP(Jnl[[#This Row],[TrxId]], Trx[Id], Trx[Action],,0)</f>
        <v>办公</v>
      </c>
      <c r="E920" s="26" t="s">
        <v>85</v>
      </c>
      <c r="F920" s="11" t="s">
        <v>590</v>
      </c>
      <c r="G920" s="11" t="s">
        <v>1621</v>
      </c>
      <c r="H920" s="72">
        <v>-127.54</v>
      </c>
      <c r="I920" s="5" t="b">
        <f>AND(Jnl[[#This Row],[TrxId]]&lt;&gt;"",Jnl[[#This Row],[Acct]]&lt;&gt;"",Jnl[[#This Row],[Item]]&lt;&gt;"",ISNUMBER(Jnl[[#This Row],[Bal]]))</f>
        <v>1</v>
      </c>
      <c r="J920" s="10">
        <f>IF(Jnl[[#This Row],[BSLv0]]="A",1,-1)*Jnl[[#This Row],[Bal]]</f>
        <v>-127.54</v>
      </c>
      <c r="K920" t="str">
        <f>_xlfn.XLOOKUP(Jnl[[#This Row],[Acct]], config_BS[Acct], config_BS[Lv0],,0)</f>
        <v>A</v>
      </c>
      <c r="L920" t="str">
        <f>_xlfn.XLOOKUP(Jnl[[#This Row],[Acct]], config_BS[Acct], config_BS[Lv1],,0)</f>
        <v>Assets</v>
      </c>
      <c r="M920" t="str">
        <f>_xlfn.XLOOKUP(Jnl[[#This Row],[Acct]], config_BS[Acct], config_BS[Lv2],,0)</f>
        <v>Cash alike</v>
      </c>
      <c r="N920" t="str">
        <f>_xlfn.XLOOKUP(Jnl[[#This Row],[TrxId]], Trx[Id], Trx[IncNode], ,0)</f>
        <v>Expense</v>
      </c>
      <c r="O920" t="str">
        <f>_xlfn.XLOOKUP(Jnl[[#This Row],[IncNode]], config_IS[Node], config_IS[Type],,0)</f>
        <v>Op</v>
      </c>
      <c r="P920" t="str">
        <f>_xlfn.XLOOKUP(Jnl[[#This Row],[BSLv2]], dict[Key], dict[Name],,0)</f>
        <v>0.现金及类似</v>
      </c>
      <c r="Q920" t="str">
        <f>_xlfn.XLOOKUP(Jnl[[#This Row],[Acct]], dict[Key], dict[Name],,0)</f>
        <v>银行</v>
      </c>
      <c r="R920" t="str">
        <f>_xlfn.XLOOKUP(Jnl[[#This Row],[Vehicle]],config_vehicle[Id], config_vehicle[Name],,0)</f>
        <v>桑木</v>
      </c>
      <c r="S920" t="str">
        <f>_xlfn.XLOOKUP(Jnl[[#This Row],[Division]],config_div[Id], config_div[Name],,0)</f>
        <v>网店</v>
      </c>
      <c r="T920" t="str">
        <f>IF(Jnl[[#This Row],[TrxDate]]&lt;=stmt_BS_date_end, "In", "Out")</f>
        <v>In</v>
      </c>
      <c r="U920" t="str">
        <f>IF(Jnl[[#This Row],[TrxDate]]&lt;debug_date_start, "prior", IF(Jnl[[#This Row],[TrxDate]]&gt;debug_date_end, "post", "curr"))</f>
        <v>curr</v>
      </c>
    </row>
    <row r="921" spans="1:21">
      <c r="A921" s="11" t="s">
        <v>1375</v>
      </c>
      <c r="B921" s="7">
        <f>_xlfn.XLOOKUP(Jnl[[#This Row],[TrxId]], Trx[Id], Trx[Date],,0)</f>
        <v>46081</v>
      </c>
      <c r="C921" s="7" t="str">
        <f>_xlfn.XLOOKUP(Jnl[[#This Row],[TrxId]], Trx[Id], Trx[Division],,0)</f>
        <v>Online</v>
      </c>
      <c r="D921" s="7" t="str">
        <f>_xlfn.XLOOKUP(Jnl[[#This Row],[TrxId]], Trx[Id], Trx[Action],,0)</f>
        <v>物流</v>
      </c>
      <c r="E921" s="26" t="s">
        <v>85</v>
      </c>
      <c r="F921" s="11" t="s">
        <v>590</v>
      </c>
      <c r="G921" s="11" t="s">
        <v>1621</v>
      </c>
      <c r="H921" s="72">
        <v>-1289.3800000000001</v>
      </c>
      <c r="I921" s="5" t="b">
        <f>AND(Jnl[[#This Row],[TrxId]]&lt;&gt;"",Jnl[[#This Row],[Acct]]&lt;&gt;"",Jnl[[#This Row],[Item]]&lt;&gt;"",ISNUMBER(Jnl[[#This Row],[Bal]]))</f>
        <v>1</v>
      </c>
      <c r="J921" s="10">
        <f>IF(Jnl[[#This Row],[BSLv0]]="A",1,-1)*Jnl[[#This Row],[Bal]]</f>
        <v>-1289.3800000000001</v>
      </c>
      <c r="K921" t="str">
        <f>_xlfn.XLOOKUP(Jnl[[#This Row],[Acct]], config_BS[Acct], config_BS[Lv0],,0)</f>
        <v>A</v>
      </c>
      <c r="L921" t="str">
        <f>_xlfn.XLOOKUP(Jnl[[#This Row],[Acct]], config_BS[Acct], config_BS[Lv1],,0)</f>
        <v>Assets</v>
      </c>
      <c r="M921" t="str">
        <f>_xlfn.XLOOKUP(Jnl[[#This Row],[Acct]], config_BS[Acct], config_BS[Lv2],,0)</f>
        <v>Cash alike</v>
      </c>
      <c r="N921" t="str">
        <f>_xlfn.XLOOKUP(Jnl[[#This Row],[TrxId]], Trx[Id], Trx[IncNode], ,0)</f>
        <v>Expense</v>
      </c>
      <c r="O921" t="str">
        <f>_xlfn.XLOOKUP(Jnl[[#This Row],[IncNode]], config_IS[Node], config_IS[Type],,0)</f>
        <v>Op</v>
      </c>
      <c r="P921" t="str">
        <f>_xlfn.XLOOKUP(Jnl[[#This Row],[BSLv2]], dict[Key], dict[Name],,0)</f>
        <v>0.现金及类似</v>
      </c>
      <c r="Q921" t="str">
        <f>_xlfn.XLOOKUP(Jnl[[#This Row],[Acct]], dict[Key], dict[Name],,0)</f>
        <v>银行</v>
      </c>
      <c r="R921" t="str">
        <f>_xlfn.XLOOKUP(Jnl[[#This Row],[Vehicle]],config_vehicle[Id], config_vehicle[Name],,0)</f>
        <v>桑木</v>
      </c>
      <c r="S921" t="str">
        <f>_xlfn.XLOOKUP(Jnl[[#This Row],[Division]],config_div[Id], config_div[Name],,0)</f>
        <v>网店</v>
      </c>
      <c r="T921" t="str">
        <f>IF(Jnl[[#This Row],[TrxDate]]&lt;=stmt_BS_date_end, "In", "Out")</f>
        <v>In</v>
      </c>
      <c r="U921" t="str">
        <f>IF(Jnl[[#This Row],[TrxDate]]&lt;debug_date_start, "prior", IF(Jnl[[#This Row],[TrxDate]]&gt;debug_date_end, "post", "curr"))</f>
        <v>curr</v>
      </c>
    </row>
    <row r="922" spans="1:21">
      <c r="A922" s="11" t="s">
        <v>1376</v>
      </c>
      <c r="B922" s="7">
        <f>_xlfn.XLOOKUP(Jnl[[#This Row],[TrxId]], Trx[Id], Trx[Date],,0)</f>
        <v>46081</v>
      </c>
      <c r="C922" s="7" t="str">
        <f>_xlfn.XLOOKUP(Jnl[[#This Row],[TrxId]], Trx[Id], Trx[Division],,0)</f>
        <v>GM</v>
      </c>
      <c r="D922" s="7" t="str">
        <f>_xlfn.XLOOKUP(Jnl[[#This Row],[TrxId]], Trx[Id], Trx[Action],,0)</f>
        <v>办公</v>
      </c>
      <c r="E922" s="26" t="s">
        <v>85</v>
      </c>
      <c r="F922" s="11" t="s">
        <v>590</v>
      </c>
      <c r="G922" s="11" t="s">
        <v>1621</v>
      </c>
      <c r="H922" s="72">
        <v>-199.8</v>
      </c>
      <c r="I922" s="5" t="b">
        <f>AND(Jnl[[#This Row],[TrxId]]&lt;&gt;"",Jnl[[#This Row],[Acct]]&lt;&gt;"",Jnl[[#This Row],[Item]]&lt;&gt;"",ISNUMBER(Jnl[[#This Row],[Bal]]))</f>
        <v>1</v>
      </c>
      <c r="J922" s="10">
        <f>IF(Jnl[[#This Row],[BSLv0]]="A",1,-1)*Jnl[[#This Row],[Bal]]</f>
        <v>-199.8</v>
      </c>
      <c r="K922" t="str">
        <f>_xlfn.XLOOKUP(Jnl[[#This Row],[Acct]], config_BS[Acct], config_BS[Lv0],,0)</f>
        <v>A</v>
      </c>
      <c r="L922" t="str">
        <f>_xlfn.XLOOKUP(Jnl[[#This Row],[Acct]], config_BS[Acct], config_BS[Lv1],,0)</f>
        <v>Assets</v>
      </c>
      <c r="M922" t="str">
        <f>_xlfn.XLOOKUP(Jnl[[#This Row],[Acct]], config_BS[Acct], config_BS[Lv2],,0)</f>
        <v>Cash alike</v>
      </c>
      <c r="N922" t="str">
        <f>_xlfn.XLOOKUP(Jnl[[#This Row],[TrxId]], Trx[Id], Trx[IncNode], ,0)</f>
        <v>Expense</v>
      </c>
      <c r="O922" t="str">
        <f>_xlfn.XLOOKUP(Jnl[[#This Row],[IncNode]], config_IS[Node], config_IS[Type],,0)</f>
        <v>Op</v>
      </c>
      <c r="P922" t="str">
        <f>_xlfn.XLOOKUP(Jnl[[#This Row],[BSLv2]], dict[Key], dict[Name],,0)</f>
        <v>0.现金及类似</v>
      </c>
      <c r="Q922" t="str">
        <f>_xlfn.XLOOKUP(Jnl[[#This Row],[Acct]], dict[Key], dict[Name],,0)</f>
        <v>银行</v>
      </c>
      <c r="R922" t="str">
        <f>_xlfn.XLOOKUP(Jnl[[#This Row],[Vehicle]],config_vehicle[Id], config_vehicle[Name],,0)</f>
        <v>桑木</v>
      </c>
      <c r="S922" t="str">
        <f>_xlfn.XLOOKUP(Jnl[[#This Row],[Division]],config_div[Id], config_div[Name],,0)</f>
        <v>综合管理</v>
      </c>
      <c r="T922" t="str">
        <f>IF(Jnl[[#This Row],[TrxDate]]&lt;=stmt_BS_date_end, "In", "Out")</f>
        <v>In</v>
      </c>
      <c r="U922" t="str">
        <f>IF(Jnl[[#This Row],[TrxDate]]&lt;debug_date_start, "prior", IF(Jnl[[#This Row],[TrxDate]]&gt;debug_date_end, "post", "curr"))</f>
        <v>curr</v>
      </c>
    </row>
    <row r="923" spans="1:21">
      <c r="A923" s="11" t="s">
        <v>1377</v>
      </c>
      <c r="B923" s="7">
        <f>_xlfn.XLOOKUP(Jnl[[#This Row],[TrxId]], Trx[Id], Trx[Date],,0)</f>
        <v>46081</v>
      </c>
      <c r="C923" s="7" t="str">
        <f>_xlfn.XLOOKUP(Jnl[[#This Row],[TrxId]], Trx[Id], Trx[Division],,0)</f>
        <v>GM</v>
      </c>
      <c r="D923" s="7" t="str">
        <f>_xlfn.XLOOKUP(Jnl[[#This Row],[TrxId]], Trx[Id], Trx[Action],,0)</f>
        <v>支付</v>
      </c>
      <c r="E923" s="26" t="s">
        <v>85</v>
      </c>
      <c r="F923" s="11" t="s">
        <v>590</v>
      </c>
      <c r="G923" s="11" t="s">
        <v>1621</v>
      </c>
      <c r="H923" s="72">
        <v>-15226.8</v>
      </c>
      <c r="I923" s="5" t="b">
        <f>AND(Jnl[[#This Row],[TrxId]]&lt;&gt;"",Jnl[[#This Row],[Acct]]&lt;&gt;"",Jnl[[#This Row],[Item]]&lt;&gt;"",ISNUMBER(Jnl[[#This Row],[Bal]]))</f>
        <v>1</v>
      </c>
      <c r="J923" s="10">
        <f>IF(Jnl[[#This Row],[BSLv0]]="A",1,-1)*Jnl[[#This Row],[Bal]]</f>
        <v>-15226.8</v>
      </c>
      <c r="K923" t="str">
        <f>_xlfn.XLOOKUP(Jnl[[#This Row],[Acct]], config_BS[Acct], config_BS[Lv0],,0)</f>
        <v>A</v>
      </c>
      <c r="L923" t="str">
        <f>_xlfn.XLOOKUP(Jnl[[#This Row],[Acct]], config_BS[Acct], config_BS[Lv1],,0)</f>
        <v>Assets</v>
      </c>
      <c r="M923" t="str">
        <f>_xlfn.XLOOKUP(Jnl[[#This Row],[Acct]], config_BS[Acct], config_BS[Lv2],,0)</f>
        <v>Cash alike</v>
      </c>
      <c r="N923" t="str">
        <f>_xlfn.XLOOKUP(Jnl[[#This Row],[TrxId]], Trx[Id], Trx[IncNode], ,0)</f>
        <v>Expense</v>
      </c>
      <c r="O923" t="str">
        <f>_xlfn.XLOOKUP(Jnl[[#This Row],[IncNode]], config_IS[Node], config_IS[Type],,0)</f>
        <v>Op</v>
      </c>
      <c r="P923" t="str">
        <f>_xlfn.XLOOKUP(Jnl[[#This Row],[BSLv2]], dict[Key], dict[Name],,0)</f>
        <v>0.现金及类似</v>
      </c>
      <c r="Q923" t="str">
        <f>_xlfn.XLOOKUP(Jnl[[#This Row],[Acct]], dict[Key], dict[Name],,0)</f>
        <v>银行</v>
      </c>
      <c r="R923" t="str">
        <f>_xlfn.XLOOKUP(Jnl[[#This Row],[Vehicle]],config_vehicle[Id], config_vehicle[Name],,0)</f>
        <v>桑木</v>
      </c>
      <c r="S923" t="str">
        <f>_xlfn.XLOOKUP(Jnl[[#This Row],[Division]],config_div[Id], config_div[Name],,0)</f>
        <v>综合管理</v>
      </c>
      <c r="T923" t="str">
        <f>IF(Jnl[[#This Row],[TrxDate]]&lt;=stmt_BS_date_end, "In", "Out")</f>
        <v>In</v>
      </c>
      <c r="U923" t="str">
        <f>IF(Jnl[[#This Row],[TrxDate]]&lt;debug_date_start, "prior", IF(Jnl[[#This Row],[TrxDate]]&gt;debug_date_end, "post", "curr"))</f>
        <v>curr</v>
      </c>
    </row>
    <row r="924" spans="1:21">
      <c r="A924" s="11" t="s">
        <v>1377</v>
      </c>
      <c r="B924" s="7">
        <f>_xlfn.XLOOKUP(Jnl[[#This Row],[TrxId]], Trx[Id], Trx[Date],,0)</f>
        <v>46081</v>
      </c>
      <c r="C924" s="7" t="str">
        <f>_xlfn.XLOOKUP(Jnl[[#This Row],[TrxId]], Trx[Id], Trx[Division],,0)</f>
        <v>GM</v>
      </c>
      <c r="D924" s="7" t="str">
        <f>_xlfn.XLOOKUP(Jnl[[#This Row],[TrxId]], Trx[Id], Trx[Action],,0)</f>
        <v>支付</v>
      </c>
      <c r="E924" s="26" t="s">
        <v>85</v>
      </c>
      <c r="F924" s="11" t="s">
        <v>595</v>
      </c>
      <c r="G924" s="11" t="s">
        <v>344</v>
      </c>
      <c r="H924" s="72">
        <v>-1431.45</v>
      </c>
      <c r="I924" s="5" t="b">
        <f>AND(Jnl[[#This Row],[TrxId]]&lt;&gt;"",Jnl[[#This Row],[Acct]]&lt;&gt;"",Jnl[[#This Row],[Item]]&lt;&gt;"",ISNUMBER(Jnl[[#This Row],[Bal]]))</f>
        <v>1</v>
      </c>
      <c r="J924" s="10">
        <f>IF(Jnl[[#This Row],[BSLv0]]="A",1,-1)*Jnl[[#This Row],[Bal]]</f>
        <v>-1431.45</v>
      </c>
      <c r="K924" t="str">
        <f>_xlfn.XLOOKUP(Jnl[[#This Row],[Acct]], config_BS[Acct], config_BS[Lv0],,0)</f>
        <v>A</v>
      </c>
      <c r="L924" t="str">
        <f>_xlfn.XLOOKUP(Jnl[[#This Row],[Acct]], config_BS[Acct], config_BS[Lv1],,0)</f>
        <v>Assets</v>
      </c>
      <c r="M924" t="str">
        <f>_xlfn.XLOOKUP(Jnl[[#This Row],[Acct]], config_BS[Acct], config_BS[Lv2],,0)</f>
        <v>Rec-Pay</v>
      </c>
      <c r="N924" t="str">
        <f>_xlfn.XLOOKUP(Jnl[[#This Row],[TrxId]], Trx[Id], Trx[IncNode], ,0)</f>
        <v>Expense</v>
      </c>
      <c r="O924" t="str">
        <f>_xlfn.XLOOKUP(Jnl[[#This Row],[IncNode]], config_IS[Node], config_IS[Type],,0)</f>
        <v>Op</v>
      </c>
      <c r="P924" t="str">
        <f>_xlfn.XLOOKUP(Jnl[[#This Row],[BSLv2]], dict[Key], dict[Name],,0)</f>
        <v>1.应收-应付</v>
      </c>
      <c r="Q924" t="str">
        <f>_xlfn.XLOOKUP(Jnl[[#This Row],[Acct]], dict[Key], dict[Name],,0)</f>
        <v>应收-其他</v>
      </c>
      <c r="R924" t="str">
        <f>_xlfn.XLOOKUP(Jnl[[#This Row],[Vehicle]],config_vehicle[Id], config_vehicle[Name],,0)</f>
        <v>桑木</v>
      </c>
      <c r="S924" t="str">
        <f>_xlfn.XLOOKUP(Jnl[[#This Row],[Division]],config_div[Id], config_div[Name],,0)</f>
        <v>综合管理</v>
      </c>
      <c r="T924" t="str">
        <f>IF(Jnl[[#This Row],[TrxDate]]&lt;=stmt_BS_date_end, "In", "Out")</f>
        <v>In</v>
      </c>
      <c r="U924" t="str">
        <f>IF(Jnl[[#This Row],[TrxDate]]&lt;debug_date_start, "prior", IF(Jnl[[#This Row],[TrxDate]]&gt;debug_date_end, "post", "curr"))</f>
        <v>curr</v>
      </c>
    </row>
    <row r="925" spans="1:21">
      <c r="A925" s="11" t="s">
        <v>1377</v>
      </c>
      <c r="B925" s="7">
        <f>_xlfn.XLOOKUP(Jnl[[#This Row],[TrxId]], Trx[Id], Trx[Date],,0)</f>
        <v>46081</v>
      </c>
      <c r="C925" s="7" t="str">
        <f>_xlfn.XLOOKUP(Jnl[[#This Row],[TrxId]], Trx[Id], Trx[Division],,0)</f>
        <v>GM</v>
      </c>
      <c r="D925" s="7" t="str">
        <f>_xlfn.XLOOKUP(Jnl[[#This Row],[TrxId]], Trx[Id], Trx[Action],,0)</f>
        <v>支付</v>
      </c>
      <c r="E925" s="26" t="s">
        <v>85</v>
      </c>
      <c r="F925" s="11" t="s">
        <v>127</v>
      </c>
      <c r="G925" s="11" t="s">
        <v>343</v>
      </c>
      <c r="H925" s="72">
        <v>95.09</v>
      </c>
      <c r="I925" s="5" t="b">
        <f>AND(Jnl[[#This Row],[TrxId]]&lt;&gt;"",Jnl[[#This Row],[Acct]]&lt;&gt;"",Jnl[[#This Row],[Item]]&lt;&gt;"",ISNUMBER(Jnl[[#This Row],[Bal]]))</f>
        <v>1</v>
      </c>
      <c r="J925" s="10">
        <f>IF(Jnl[[#This Row],[BSLv0]]="A",1,-1)*Jnl[[#This Row],[Bal]]</f>
        <v>-95.09</v>
      </c>
      <c r="K925" t="str">
        <f>_xlfn.XLOOKUP(Jnl[[#This Row],[Acct]], config_BS[Acct], config_BS[Lv0],,0)</f>
        <v>LC</v>
      </c>
      <c r="L925" t="str">
        <f>_xlfn.XLOOKUP(Jnl[[#This Row],[Acct]], config_BS[Acct], config_BS[Lv1],,0)</f>
        <v>Liability</v>
      </c>
      <c r="M925" t="str">
        <f>_xlfn.XLOOKUP(Jnl[[#This Row],[Acct]], config_BS[Acct], config_BS[Lv2],,0)</f>
        <v>Rec-Pay</v>
      </c>
      <c r="N925" t="str">
        <f>_xlfn.XLOOKUP(Jnl[[#This Row],[TrxId]], Trx[Id], Trx[IncNode], ,0)</f>
        <v>Expense</v>
      </c>
      <c r="O925" t="str">
        <f>_xlfn.XLOOKUP(Jnl[[#This Row],[IncNode]], config_IS[Node], config_IS[Type],,0)</f>
        <v>Op</v>
      </c>
      <c r="P925" t="str">
        <f>_xlfn.XLOOKUP(Jnl[[#This Row],[BSLv2]], dict[Key], dict[Name],,0)</f>
        <v>1.应收-应付</v>
      </c>
      <c r="Q925" t="str">
        <f>_xlfn.XLOOKUP(Jnl[[#This Row],[Acct]], dict[Key], dict[Name],,0)</f>
        <v>应付-税款</v>
      </c>
      <c r="R925" t="str">
        <f>_xlfn.XLOOKUP(Jnl[[#This Row],[Vehicle]],config_vehicle[Id], config_vehicle[Name],,0)</f>
        <v>桑木</v>
      </c>
      <c r="S925" t="str">
        <f>_xlfn.XLOOKUP(Jnl[[#This Row],[Division]],config_div[Id], config_div[Name],,0)</f>
        <v>综合管理</v>
      </c>
      <c r="T925" t="str">
        <f>IF(Jnl[[#This Row],[TrxDate]]&lt;=stmt_BS_date_end, "In", "Out")</f>
        <v>In</v>
      </c>
      <c r="U925" t="str">
        <f>IF(Jnl[[#This Row],[TrxDate]]&lt;debug_date_start, "prior", IF(Jnl[[#This Row],[TrxDate]]&gt;debug_date_end, "post", "curr"))</f>
        <v>curr</v>
      </c>
    </row>
    <row r="926" spans="1:21">
      <c r="A926" s="11" t="s">
        <v>1377</v>
      </c>
      <c r="B926" s="7">
        <f>_xlfn.XLOOKUP(Jnl[[#This Row],[TrxId]], Trx[Id], Trx[Date],,0)</f>
        <v>46081</v>
      </c>
      <c r="C926" s="7" t="str">
        <f>_xlfn.XLOOKUP(Jnl[[#This Row],[TrxId]], Trx[Id], Trx[Division],,0)</f>
        <v>GM</v>
      </c>
      <c r="D926" s="7" t="str">
        <f>_xlfn.XLOOKUP(Jnl[[#This Row],[TrxId]], Trx[Id], Trx[Action],,0)</f>
        <v>支付</v>
      </c>
      <c r="E926" s="26" t="s">
        <v>85</v>
      </c>
      <c r="F926" s="11" t="s">
        <v>596</v>
      </c>
      <c r="G926" s="11" t="s">
        <v>149</v>
      </c>
      <c r="H926" s="72">
        <v>-16753.34</v>
      </c>
      <c r="I926" s="5" t="b">
        <f>AND(Jnl[[#This Row],[TrxId]]&lt;&gt;"",Jnl[[#This Row],[Acct]]&lt;&gt;"",Jnl[[#This Row],[Item]]&lt;&gt;"",ISNUMBER(Jnl[[#This Row],[Bal]]))</f>
        <v>1</v>
      </c>
      <c r="J926" s="10">
        <f>IF(Jnl[[#This Row],[BSLv0]]="A",1,-1)*Jnl[[#This Row],[Bal]]</f>
        <v>16753.34</v>
      </c>
      <c r="K926" t="str">
        <f>_xlfn.XLOOKUP(Jnl[[#This Row],[Acct]], config_BS[Acct], config_BS[Lv0],,0)</f>
        <v>LC</v>
      </c>
      <c r="L926" t="str">
        <f>_xlfn.XLOOKUP(Jnl[[#This Row],[Acct]], config_BS[Acct], config_BS[Lv1],,0)</f>
        <v>Liability</v>
      </c>
      <c r="M926" t="str">
        <f>_xlfn.XLOOKUP(Jnl[[#This Row],[Acct]], config_BS[Acct], config_BS[Lv2],,0)</f>
        <v>Rec-Pay</v>
      </c>
      <c r="N926" t="str">
        <f>_xlfn.XLOOKUP(Jnl[[#This Row],[TrxId]], Trx[Id], Trx[IncNode], ,0)</f>
        <v>Expense</v>
      </c>
      <c r="O926" t="str">
        <f>_xlfn.XLOOKUP(Jnl[[#This Row],[IncNode]], config_IS[Node], config_IS[Type],,0)</f>
        <v>Op</v>
      </c>
      <c r="P926" t="str">
        <f>_xlfn.XLOOKUP(Jnl[[#This Row],[BSLv2]], dict[Key], dict[Name],,0)</f>
        <v>1.应收-应付</v>
      </c>
      <c r="Q926" t="str">
        <f>_xlfn.XLOOKUP(Jnl[[#This Row],[Acct]], dict[Key], dict[Name],,0)</f>
        <v>应付-薪资</v>
      </c>
      <c r="R926" t="str">
        <f>_xlfn.XLOOKUP(Jnl[[#This Row],[Vehicle]],config_vehicle[Id], config_vehicle[Name],,0)</f>
        <v>桑木</v>
      </c>
      <c r="S926" t="str">
        <f>_xlfn.XLOOKUP(Jnl[[#This Row],[Division]],config_div[Id], config_div[Name],,0)</f>
        <v>综合管理</v>
      </c>
      <c r="T926" t="str">
        <f>IF(Jnl[[#This Row],[TrxDate]]&lt;=stmt_BS_date_end, "In", "Out")</f>
        <v>In</v>
      </c>
      <c r="U926" t="str">
        <f>IF(Jnl[[#This Row],[TrxDate]]&lt;debug_date_start, "prior", IF(Jnl[[#This Row],[TrxDate]]&gt;debug_date_end, "post", "curr"))</f>
        <v>curr</v>
      </c>
    </row>
    <row r="927" spans="1:21">
      <c r="A927" s="11" t="s">
        <v>1378</v>
      </c>
      <c r="B927" s="7">
        <f>_xlfn.XLOOKUP(Jnl[[#This Row],[TrxId]], Trx[Id], Trx[Date],,0)</f>
        <v>46081</v>
      </c>
      <c r="C927" s="7" t="str">
        <f>_xlfn.XLOOKUP(Jnl[[#This Row],[TrxId]], Trx[Id], Trx[Division],,0)</f>
        <v>GM</v>
      </c>
      <c r="D927" s="7" t="str">
        <f>_xlfn.XLOOKUP(Jnl[[#This Row],[TrxId]], Trx[Id], Trx[Action],,0)</f>
        <v>薪酬-工资</v>
      </c>
      <c r="E927" s="26" t="s">
        <v>85</v>
      </c>
      <c r="F927" s="11" t="s">
        <v>596</v>
      </c>
      <c r="G927" s="11" t="s">
        <v>149</v>
      </c>
      <c r="H927" s="72">
        <v>0.01</v>
      </c>
      <c r="I927" s="5" t="b">
        <f>AND(Jnl[[#This Row],[TrxId]]&lt;&gt;"",Jnl[[#This Row],[Acct]]&lt;&gt;"",Jnl[[#This Row],[Item]]&lt;&gt;"",ISNUMBER(Jnl[[#This Row],[Bal]]))</f>
        <v>1</v>
      </c>
      <c r="J927" s="10">
        <f>IF(Jnl[[#This Row],[BSLv0]]="A",1,-1)*Jnl[[#This Row],[Bal]]</f>
        <v>-0.01</v>
      </c>
      <c r="K927" t="str">
        <f>_xlfn.XLOOKUP(Jnl[[#This Row],[Acct]], config_BS[Acct], config_BS[Lv0],,0)</f>
        <v>LC</v>
      </c>
      <c r="L927" t="str">
        <f>_xlfn.XLOOKUP(Jnl[[#This Row],[Acct]], config_BS[Acct], config_BS[Lv1],,0)</f>
        <v>Liability</v>
      </c>
      <c r="M927" t="str">
        <f>_xlfn.XLOOKUP(Jnl[[#This Row],[Acct]], config_BS[Acct], config_BS[Lv2],,0)</f>
        <v>Rec-Pay</v>
      </c>
      <c r="N927" t="str">
        <f>_xlfn.XLOOKUP(Jnl[[#This Row],[TrxId]], Trx[Id], Trx[IncNode], ,0)</f>
        <v>Expense</v>
      </c>
      <c r="O927" t="str">
        <f>_xlfn.XLOOKUP(Jnl[[#This Row],[IncNode]], config_IS[Node], config_IS[Type],,0)</f>
        <v>Op</v>
      </c>
      <c r="P927" t="str">
        <f>_xlfn.XLOOKUP(Jnl[[#This Row],[BSLv2]], dict[Key], dict[Name],,0)</f>
        <v>1.应收-应付</v>
      </c>
      <c r="Q927" t="str">
        <f>_xlfn.XLOOKUP(Jnl[[#This Row],[Acct]], dict[Key], dict[Name],,0)</f>
        <v>应付-薪资</v>
      </c>
      <c r="R927" t="str">
        <f>_xlfn.XLOOKUP(Jnl[[#This Row],[Vehicle]],config_vehicle[Id], config_vehicle[Name],,0)</f>
        <v>桑木</v>
      </c>
      <c r="S927" t="str">
        <f>_xlfn.XLOOKUP(Jnl[[#This Row],[Division]],config_div[Id], config_div[Name],,0)</f>
        <v>综合管理</v>
      </c>
      <c r="T927" t="str">
        <f>IF(Jnl[[#This Row],[TrxDate]]&lt;=stmt_BS_date_end, "In", "Out")</f>
        <v>In</v>
      </c>
      <c r="U927" t="str">
        <f>IF(Jnl[[#This Row],[TrxDate]]&lt;debug_date_start, "prior", IF(Jnl[[#This Row],[TrxDate]]&gt;debug_date_end, "post", "curr"))</f>
        <v>curr</v>
      </c>
    </row>
    <row r="928" spans="1:21">
      <c r="A928" s="11" t="s">
        <v>1379</v>
      </c>
      <c r="B928" s="7">
        <f>_xlfn.XLOOKUP(Jnl[[#This Row],[TrxId]], Trx[Id], Trx[Date],,0)</f>
        <v>46081</v>
      </c>
      <c r="C928" s="7" t="str">
        <f>_xlfn.XLOOKUP(Jnl[[#This Row],[TrxId]], Trx[Id], Trx[Division],,0)</f>
        <v>Online</v>
      </c>
      <c r="D928" s="7" t="str">
        <f>_xlfn.XLOOKUP(Jnl[[#This Row],[TrxId]], Trx[Id], Trx[Action],,0)</f>
        <v>交通</v>
      </c>
      <c r="E928" s="26" t="s">
        <v>85</v>
      </c>
      <c r="F928" s="11" t="s">
        <v>590</v>
      </c>
      <c r="G928" s="11" t="s">
        <v>1621</v>
      </c>
      <c r="H928" s="72">
        <v>-104</v>
      </c>
      <c r="I928" s="5" t="b">
        <f>AND(Jnl[[#This Row],[TrxId]]&lt;&gt;"",Jnl[[#This Row],[Acct]]&lt;&gt;"",Jnl[[#This Row],[Item]]&lt;&gt;"",ISNUMBER(Jnl[[#This Row],[Bal]]))</f>
        <v>1</v>
      </c>
      <c r="J928" s="10">
        <f>IF(Jnl[[#This Row],[BSLv0]]="A",1,-1)*Jnl[[#This Row],[Bal]]</f>
        <v>-104</v>
      </c>
      <c r="K928" t="str">
        <f>_xlfn.XLOOKUP(Jnl[[#This Row],[Acct]], config_BS[Acct], config_BS[Lv0],,0)</f>
        <v>A</v>
      </c>
      <c r="L928" t="str">
        <f>_xlfn.XLOOKUP(Jnl[[#This Row],[Acct]], config_BS[Acct], config_BS[Lv1],,0)</f>
        <v>Assets</v>
      </c>
      <c r="M928" t="str">
        <f>_xlfn.XLOOKUP(Jnl[[#This Row],[Acct]], config_BS[Acct], config_BS[Lv2],,0)</f>
        <v>Cash alike</v>
      </c>
      <c r="N928" t="str">
        <f>_xlfn.XLOOKUP(Jnl[[#This Row],[TrxId]], Trx[Id], Trx[IncNode], ,0)</f>
        <v>Expense</v>
      </c>
      <c r="O928" t="str">
        <f>_xlfn.XLOOKUP(Jnl[[#This Row],[IncNode]], config_IS[Node], config_IS[Type],,0)</f>
        <v>Op</v>
      </c>
      <c r="P928" t="str">
        <f>_xlfn.XLOOKUP(Jnl[[#This Row],[BSLv2]], dict[Key], dict[Name],,0)</f>
        <v>0.现金及类似</v>
      </c>
      <c r="Q928" t="str">
        <f>_xlfn.XLOOKUP(Jnl[[#This Row],[Acct]], dict[Key], dict[Name],,0)</f>
        <v>银行</v>
      </c>
      <c r="R928" t="str">
        <f>_xlfn.XLOOKUP(Jnl[[#This Row],[Vehicle]],config_vehicle[Id], config_vehicle[Name],,0)</f>
        <v>桑木</v>
      </c>
      <c r="S928" t="str">
        <f>_xlfn.XLOOKUP(Jnl[[#This Row],[Division]],config_div[Id], config_div[Name],,0)</f>
        <v>网店</v>
      </c>
      <c r="T928" t="str">
        <f>IF(Jnl[[#This Row],[TrxDate]]&lt;=stmt_BS_date_end, "In", "Out")</f>
        <v>In</v>
      </c>
      <c r="U928" t="str">
        <f>IF(Jnl[[#This Row],[TrxDate]]&lt;debug_date_start, "prior", IF(Jnl[[#This Row],[TrxDate]]&gt;debug_date_end, "post", "curr"))</f>
        <v>curr</v>
      </c>
    </row>
    <row r="929" spans="1:21">
      <c r="A929" s="11" t="s">
        <v>1380</v>
      </c>
      <c r="B929" s="7">
        <f>_xlfn.XLOOKUP(Jnl[[#This Row],[TrxId]], Trx[Id], Trx[Date],,0)</f>
        <v>46081</v>
      </c>
      <c r="C929" s="7" t="str">
        <f>_xlfn.XLOOKUP(Jnl[[#This Row],[TrxId]], Trx[Id], Trx[Division],,0)</f>
        <v>Online</v>
      </c>
      <c r="D929" s="7" t="str">
        <f>_xlfn.XLOOKUP(Jnl[[#This Row],[TrxId]], Trx[Id], Trx[Action],,0)</f>
        <v>入库</v>
      </c>
      <c r="E929" s="26" t="s">
        <v>80</v>
      </c>
      <c r="F929" s="11" t="s">
        <v>598</v>
      </c>
      <c r="G929" s="11" t="s">
        <v>151</v>
      </c>
      <c r="H929" s="72">
        <v>25530</v>
      </c>
      <c r="I929" s="5" t="b">
        <f>AND(Jnl[[#This Row],[TrxId]]&lt;&gt;"",Jnl[[#This Row],[Acct]]&lt;&gt;"",Jnl[[#This Row],[Item]]&lt;&gt;"",ISNUMBER(Jnl[[#This Row],[Bal]]))</f>
        <v>1</v>
      </c>
      <c r="J929" s="10">
        <f>IF(Jnl[[#This Row],[BSLv0]]="A",1,-1)*Jnl[[#This Row],[Bal]]</f>
        <v>25530</v>
      </c>
      <c r="K929" t="str">
        <f>_xlfn.XLOOKUP(Jnl[[#This Row],[Acct]], config_BS[Acct], config_BS[Lv0],,0)</f>
        <v>A</v>
      </c>
      <c r="L929" t="str">
        <f>_xlfn.XLOOKUP(Jnl[[#This Row],[Acct]], config_BS[Acct], config_BS[Lv1],,0)</f>
        <v>Assets</v>
      </c>
      <c r="M929" t="str">
        <f>_xlfn.XLOOKUP(Jnl[[#This Row],[Acct]], config_BS[Acct], config_BS[Lv2],,0)</f>
        <v>Invtr</v>
      </c>
      <c r="N929" t="str">
        <f>_xlfn.XLOOKUP(Jnl[[#This Row],[TrxId]], Trx[Id], Trx[IncNode], ,0)</f>
        <v>Cost</v>
      </c>
      <c r="O929" t="str">
        <f>_xlfn.XLOOKUP(Jnl[[#This Row],[IncNode]], config_IS[Node], config_IS[Type],,0)</f>
        <v>Op</v>
      </c>
      <c r="P929" t="str">
        <f>_xlfn.XLOOKUP(Jnl[[#This Row],[BSLv2]], dict[Key], dict[Name],,0)</f>
        <v>3.库存占款</v>
      </c>
      <c r="Q929" t="str">
        <f>_xlfn.XLOOKUP(Jnl[[#This Row],[Acct]], dict[Key], dict[Name],,0)</f>
        <v>当期存货</v>
      </c>
      <c r="R929" t="str">
        <f>_xlfn.XLOOKUP(Jnl[[#This Row],[Vehicle]],config_vehicle[Id], config_vehicle[Name],,0)</f>
        <v>远家花园</v>
      </c>
      <c r="S929" t="str">
        <f>_xlfn.XLOOKUP(Jnl[[#This Row],[Division]],config_div[Id], config_div[Name],,0)</f>
        <v>网店</v>
      </c>
      <c r="T929" t="str">
        <f>IF(Jnl[[#This Row],[TrxDate]]&lt;=stmt_BS_date_end, "In", "Out")</f>
        <v>In</v>
      </c>
      <c r="U929" t="str">
        <f>IF(Jnl[[#This Row],[TrxDate]]&lt;debug_date_start, "prior", IF(Jnl[[#This Row],[TrxDate]]&gt;debug_date_end, "post", "curr"))</f>
        <v>curr</v>
      </c>
    </row>
    <row r="930" spans="1:21">
      <c r="A930" s="11" t="s">
        <v>1380</v>
      </c>
      <c r="B930" s="7">
        <f>_xlfn.XLOOKUP(Jnl[[#This Row],[TrxId]], Trx[Id], Trx[Date],,0)</f>
        <v>46081</v>
      </c>
      <c r="C930" s="7" t="str">
        <f>_xlfn.XLOOKUP(Jnl[[#This Row],[TrxId]], Trx[Id], Trx[Division],,0)</f>
        <v>Online</v>
      </c>
      <c r="D930" s="7" t="str">
        <f>_xlfn.XLOOKUP(Jnl[[#This Row],[TrxId]], Trx[Id], Trx[Action],,0)</f>
        <v>入库</v>
      </c>
      <c r="E930" s="26" t="s">
        <v>85</v>
      </c>
      <c r="F930" s="11" t="s">
        <v>493</v>
      </c>
      <c r="G930" s="11" t="s">
        <v>428</v>
      </c>
      <c r="H930" s="72">
        <v>-25530</v>
      </c>
      <c r="I930" s="5" t="b">
        <f>AND(Jnl[[#This Row],[TrxId]]&lt;&gt;"",Jnl[[#This Row],[Acct]]&lt;&gt;"",Jnl[[#This Row],[Item]]&lt;&gt;"",ISNUMBER(Jnl[[#This Row],[Bal]]))</f>
        <v>1</v>
      </c>
      <c r="J930" s="10">
        <f>IF(Jnl[[#This Row],[BSLv0]]="A",1,-1)*Jnl[[#This Row],[Bal]]</f>
        <v>-25530</v>
      </c>
      <c r="K930" t="str">
        <f>_xlfn.XLOOKUP(Jnl[[#This Row],[Acct]], config_BS[Acct], config_BS[Lv0],,0)</f>
        <v>A</v>
      </c>
      <c r="L930" t="str">
        <f>_xlfn.XLOOKUP(Jnl[[#This Row],[Acct]], config_BS[Acct], config_BS[Lv1],,0)</f>
        <v>Assets</v>
      </c>
      <c r="M930" t="str">
        <f>_xlfn.XLOOKUP(Jnl[[#This Row],[Acct]], config_BS[Acct], config_BS[Lv2],,0)</f>
        <v>Prep-Sub</v>
      </c>
      <c r="N930" t="str">
        <f>_xlfn.XLOOKUP(Jnl[[#This Row],[TrxId]], Trx[Id], Trx[IncNode], ,0)</f>
        <v>Cost</v>
      </c>
      <c r="O930" t="str">
        <f>_xlfn.XLOOKUP(Jnl[[#This Row],[IncNode]], config_IS[Node], config_IS[Type],,0)</f>
        <v>Op</v>
      </c>
      <c r="P930" t="str">
        <f>_xlfn.XLOOKUP(Jnl[[#This Row],[BSLv2]], dict[Key], dict[Name],,0)</f>
        <v>2.预付-订阅</v>
      </c>
      <c r="Q930" t="str">
        <f>_xlfn.XLOOKUP(Jnl[[#This Row],[Acct]], dict[Key], dict[Name],,0)</f>
        <v>预付订单</v>
      </c>
      <c r="R930" t="str">
        <f>_xlfn.XLOOKUP(Jnl[[#This Row],[Vehicle]],config_vehicle[Id], config_vehicle[Name],,0)</f>
        <v>桑木</v>
      </c>
      <c r="S930" t="str">
        <f>_xlfn.XLOOKUP(Jnl[[#This Row],[Division]],config_div[Id], config_div[Name],,0)</f>
        <v>网店</v>
      </c>
      <c r="T930" t="str">
        <f>IF(Jnl[[#This Row],[TrxDate]]&lt;=stmt_BS_date_end, "In", "Out")</f>
        <v>In</v>
      </c>
      <c r="U930" t="str">
        <f>IF(Jnl[[#This Row],[TrxDate]]&lt;debug_date_start, "prior", IF(Jnl[[#This Row],[TrxDate]]&gt;debug_date_end, "post", "curr"))</f>
        <v>curr</v>
      </c>
    </row>
    <row r="931" spans="1:21">
      <c r="A931" s="11" t="s">
        <v>1381</v>
      </c>
      <c r="B931" s="7">
        <f>_xlfn.XLOOKUP(Jnl[[#This Row],[TrxId]], Trx[Id], Trx[Date],,0)</f>
        <v>46081</v>
      </c>
      <c r="C931" s="7" t="str">
        <f>_xlfn.XLOOKUP(Jnl[[#This Row],[TrxId]], Trx[Id], Trx[Division],,0)</f>
        <v>GM</v>
      </c>
      <c r="D931" s="7" t="str">
        <f>_xlfn.XLOOKUP(Jnl[[#This Row],[TrxId]], Trx[Id], Trx[Action],,0)</f>
        <v>支付</v>
      </c>
      <c r="E931" s="26" t="s">
        <v>85</v>
      </c>
      <c r="F931" s="11" t="s">
        <v>596</v>
      </c>
      <c r="G931" s="11" t="s">
        <v>318</v>
      </c>
      <c r="H931" s="72">
        <v>-13975</v>
      </c>
      <c r="I931" s="5" t="b">
        <f>AND(Jnl[[#This Row],[TrxId]]&lt;&gt;"",Jnl[[#This Row],[Acct]]&lt;&gt;"",Jnl[[#This Row],[Item]]&lt;&gt;"",ISNUMBER(Jnl[[#This Row],[Bal]]))</f>
        <v>1</v>
      </c>
      <c r="J931" s="10">
        <f>IF(Jnl[[#This Row],[BSLv0]]="A",1,-1)*Jnl[[#This Row],[Bal]]</f>
        <v>13975</v>
      </c>
      <c r="K931" t="str">
        <f>_xlfn.XLOOKUP(Jnl[[#This Row],[Acct]], config_BS[Acct], config_BS[Lv0],,0)</f>
        <v>LC</v>
      </c>
      <c r="L931" t="str">
        <f>_xlfn.XLOOKUP(Jnl[[#This Row],[Acct]], config_BS[Acct], config_BS[Lv1],,0)</f>
        <v>Liability</v>
      </c>
      <c r="M931" t="str">
        <f>_xlfn.XLOOKUP(Jnl[[#This Row],[Acct]], config_BS[Acct], config_BS[Lv2],,0)</f>
        <v>Rec-Pay</v>
      </c>
      <c r="N931" t="str">
        <f>_xlfn.XLOOKUP(Jnl[[#This Row],[TrxId]], Trx[Id], Trx[IncNode], ,0)</f>
        <v>Other</v>
      </c>
      <c r="O931" t="str">
        <f>_xlfn.XLOOKUP(Jnl[[#This Row],[IncNode]], config_IS[Node], config_IS[Type],,0)</f>
        <v>Non-Op</v>
      </c>
      <c r="P931" t="str">
        <f>_xlfn.XLOOKUP(Jnl[[#This Row],[BSLv2]], dict[Key], dict[Name],,0)</f>
        <v>1.应收-应付</v>
      </c>
      <c r="Q931" t="str">
        <f>_xlfn.XLOOKUP(Jnl[[#This Row],[Acct]], dict[Key], dict[Name],,0)</f>
        <v>应付-薪资</v>
      </c>
      <c r="R931" t="str">
        <f>_xlfn.XLOOKUP(Jnl[[#This Row],[Vehicle]],config_vehicle[Id], config_vehicle[Name],,0)</f>
        <v>桑木</v>
      </c>
      <c r="S931" t="str">
        <f>_xlfn.XLOOKUP(Jnl[[#This Row],[Division]],config_div[Id], config_div[Name],,0)</f>
        <v>综合管理</v>
      </c>
      <c r="T931" t="str">
        <f>IF(Jnl[[#This Row],[TrxDate]]&lt;=stmt_BS_date_end, "In", "Out")</f>
        <v>In</v>
      </c>
      <c r="U931" t="str">
        <f>IF(Jnl[[#This Row],[TrxDate]]&lt;debug_date_start, "prior", IF(Jnl[[#This Row],[TrxDate]]&gt;debug_date_end, "post", "curr"))</f>
        <v>curr</v>
      </c>
    </row>
    <row r="932" spans="1:21">
      <c r="A932" s="11" t="s">
        <v>1381</v>
      </c>
      <c r="B932" s="7">
        <f>_xlfn.XLOOKUP(Jnl[[#This Row],[TrxId]], Trx[Id], Trx[Date],,0)</f>
        <v>46081</v>
      </c>
      <c r="C932" s="7" t="str">
        <f>_xlfn.XLOOKUP(Jnl[[#This Row],[TrxId]], Trx[Id], Trx[Division],,0)</f>
        <v>GM</v>
      </c>
      <c r="D932" s="7" t="str">
        <f>_xlfn.XLOOKUP(Jnl[[#This Row],[TrxId]], Trx[Id], Trx[Action],,0)</f>
        <v>支付</v>
      </c>
      <c r="E932" s="26" t="s">
        <v>85</v>
      </c>
      <c r="F932" s="11" t="s">
        <v>590</v>
      </c>
      <c r="G932" s="11" t="s">
        <v>1621</v>
      </c>
      <c r="H932" s="72">
        <v>-13555.75</v>
      </c>
      <c r="I932" s="5" t="b">
        <f>AND(Jnl[[#This Row],[TrxId]]&lt;&gt;"",Jnl[[#This Row],[Acct]]&lt;&gt;"",Jnl[[#This Row],[Item]]&lt;&gt;"",ISNUMBER(Jnl[[#This Row],[Bal]]))</f>
        <v>1</v>
      </c>
      <c r="J932" s="10">
        <f>IF(Jnl[[#This Row],[BSLv0]]="A",1,-1)*Jnl[[#This Row],[Bal]]</f>
        <v>-13555.75</v>
      </c>
      <c r="K932" t="str">
        <f>_xlfn.XLOOKUP(Jnl[[#This Row],[Acct]], config_BS[Acct], config_BS[Lv0],,0)</f>
        <v>A</v>
      </c>
      <c r="L932" t="str">
        <f>_xlfn.XLOOKUP(Jnl[[#This Row],[Acct]], config_BS[Acct], config_BS[Lv1],,0)</f>
        <v>Assets</v>
      </c>
      <c r="M932" t="str">
        <f>_xlfn.XLOOKUP(Jnl[[#This Row],[Acct]], config_BS[Acct], config_BS[Lv2],,0)</f>
        <v>Cash alike</v>
      </c>
      <c r="N932" t="str">
        <f>_xlfn.XLOOKUP(Jnl[[#This Row],[TrxId]], Trx[Id], Trx[IncNode], ,0)</f>
        <v>Other</v>
      </c>
      <c r="O932" t="str">
        <f>_xlfn.XLOOKUP(Jnl[[#This Row],[IncNode]], config_IS[Node], config_IS[Type],,0)</f>
        <v>Non-Op</v>
      </c>
      <c r="P932" t="str">
        <f>_xlfn.XLOOKUP(Jnl[[#This Row],[BSLv2]], dict[Key], dict[Name],,0)</f>
        <v>0.现金及类似</v>
      </c>
      <c r="Q932" t="str">
        <f>_xlfn.XLOOKUP(Jnl[[#This Row],[Acct]], dict[Key], dict[Name],,0)</f>
        <v>银行</v>
      </c>
      <c r="R932" t="str">
        <f>_xlfn.XLOOKUP(Jnl[[#This Row],[Vehicle]],config_vehicle[Id], config_vehicle[Name],,0)</f>
        <v>桑木</v>
      </c>
      <c r="S932" t="str">
        <f>_xlfn.XLOOKUP(Jnl[[#This Row],[Division]],config_div[Id], config_div[Name],,0)</f>
        <v>综合管理</v>
      </c>
      <c r="T932" t="str">
        <f>IF(Jnl[[#This Row],[TrxDate]]&lt;=stmt_BS_date_end, "In", "Out")</f>
        <v>In</v>
      </c>
      <c r="U932" t="str">
        <f>IF(Jnl[[#This Row],[TrxDate]]&lt;debug_date_start, "prior", IF(Jnl[[#This Row],[TrxDate]]&gt;debug_date_end, "post", "curr"))</f>
        <v>curr</v>
      </c>
    </row>
    <row r="933" spans="1:21">
      <c r="A933" s="11" t="s">
        <v>1381</v>
      </c>
      <c r="B933" s="7">
        <f>_xlfn.XLOOKUP(Jnl[[#This Row],[TrxId]], Trx[Id], Trx[Date],,0)</f>
        <v>46081</v>
      </c>
      <c r="C933" s="7" t="str">
        <f>_xlfn.XLOOKUP(Jnl[[#This Row],[TrxId]], Trx[Id], Trx[Division],,0)</f>
        <v>GM</v>
      </c>
      <c r="D933" s="7" t="str">
        <f>_xlfn.XLOOKUP(Jnl[[#This Row],[TrxId]], Trx[Id], Trx[Action],,0)</f>
        <v>支付</v>
      </c>
      <c r="E933" s="26" t="s">
        <v>85</v>
      </c>
      <c r="F933" s="11" t="s">
        <v>127</v>
      </c>
      <c r="G933" s="11" t="s">
        <v>343</v>
      </c>
      <c r="H933" s="72">
        <v>419.25</v>
      </c>
      <c r="I933" s="5" t="b">
        <f>AND(Jnl[[#This Row],[TrxId]]&lt;&gt;"",Jnl[[#This Row],[Acct]]&lt;&gt;"",Jnl[[#This Row],[Item]]&lt;&gt;"",ISNUMBER(Jnl[[#This Row],[Bal]]))</f>
        <v>1</v>
      </c>
      <c r="J933" s="10">
        <f>IF(Jnl[[#This Row],[BSLv0]]="A",1,-1)*Jnl[[#This Row],[Bal]]</f>
        <v>-419.25</v>
      </c>
      <c r="K933" t="str">
        <f>_xlfn.XLOOKUP(Jnl[[#This Row],[Acct]], config_BS[Acct], config_BS[Lv0],,0)</f>
        <v>LC</v>
      </c>
      <c r="L933" t="str">
        <f>_xlfn.XLOOKUP(Jnl[[#This Row],[Acct]], config_BS[Acct], config_BS[Lv1],,0)</f>
        <v>Liability</v>
      </c>
      <c r="M933" t="str">
        <f>_xlfn.XLOOKUP(Jnl[[#This Row],[Acct]], config_BS[Acct], config_BS[Lv2],,0)</f>
        <v>Rec-Pay</v>
      </c>
      <c r="N933" t="str">
        <f>_xlfn.XLOOKUP(Jnl[[#This Row],[TrxId]], Trx[Id], Trx[IncNode], ,0)</f>
        <v>Other</v>
      </c>
      <c r="O933" t="str">
        <f>_xlfn.XLOOKUP(Jnl[[#This Row],[IncNode]], config_IS[Node], config_IS[Type],,0)</f>
        <v>Non-Op</v>
      </c>
      <c r="P933" t="str">
        <f>_xlfn.XLOOKUP(Jnl[[#This Row],[BSLv2]], dict[Key], dict[Name],,0)</f>
        <v>1.应收-应付</v>
      </c>
      <c r="Q933" t="str">
        <f>_xlfn.XLOOKUP(Jnl[[#This Row],[Acct]], dict[Key], dict[Name],,0)</f>
        <v>应付-税款</v>
      </c>
      <c r="R933" t="str">
        <f>_xlfn.XLOOKUP(Jnl[[#This Row],[Vehicle]],config_vehicle[Id], config_vehicle[Name],,0)</f>
        <v>桑木</v>
      </c>
      <c r="S933" t="str">
        <f>_xlfn.XLOOKUP(Jnl[[#This Row],[Division]],config_div[Id], config_div[Name],,0)</f>
        <v>综合管理</v>
      </c>
      <c r="T933" t="str">
        <f>IF(Jnl[[#This Row],[TrxDate]]&lt;=stmt_BS_date_end, "In", "Out")</f>
        <v>In</v>
      </c>
      <c r="U933" t="str">
        <f>IF(Jnl[[#This Row],[TrxDate]]&lt;debug_date_start, "prior", IF(Jnl[[#This Row],[TrxDate]]&gt;debug_date_end, "post", "curr"))</f>
        <v>curr</v>
      </c>
    </row>
    <row r="934" spans="1:21">
      <c r="A934" s="11" t="s">
        <v>1382</v>
      </c>
      <c r="B934" s="7">
        <f>_xlfn.XLOOKUP(Jnl[[#This Row],[TrxId]], Trx[Id], Trx[Date],,0)</f>
        <v>46081</v>
      </c>
      <c r="C934" s="7" t="str">
        <f>_xlfn.XLOOKUP(Jnl[[#This Row],[TrxId]], Trx[Id], Trx[Division],,0)</f>
        <v>Online</v>
      </c>
      <c r="D934" s="7" t="str">
        <f>_xlfn.XLOOKUP(Jnl[[#This Row],[TrxId]], Trx[Id], Trx[Action],,0)</f>
        <v>服饰</v>
      </c>
      <c r="E934" s="26" t="s">
        <v>85</v>
      </c>
      <c r="F934" s="11" t="s">
        <v>590</v>
      </c>
      <c r="G934" s="11" t="s">
        <v>1621</v>
      </c>
      <c r="H934" s="72">
        <v>2622</v>
      </c>
      <c r="I934" s="5" t="b">
        <f>AND(Jnl[[#This Row],[TrxId]]&lt;&gt;"",Jnl[[#This Row],[Acct]]&lt;&gt;"",Jnl[[#This Row],[Item]]&lt;&gt;"",ISNUMBER(Jnl[[#This Row],[Bal]]))</f>
        <v>1</v>
      </c>
      <c r="J934" s="10">
        <f>IF(Jnl[[#This Row],[BSLv0]]="A",1,-1)*Jnl[[#This Row],[Bal]]</f>
        <v>2622</v>
      </c>
      <c r="K934" t="str">
        <f>_xlfn.XLOOKUP(Jnl[[#This Row],[Acct]], config_BS[Acct], config_BS[Lv0],,0)</f>
        <v>A</v>
      </c>
      <c r="L934" t="str">
        <f>_xlfn.XLOOKUP(Jnl[[#This Row],[Acct]], config_BS[Acct], config_BS[Lv1],,0)</f>
        <v>Assets</v>
      </c>
      <c r="M934" t="str">
        <f>_xlfn.XLOOKUP(Jnl[[#This Row],[Acct]], config_BS[Acct], config_BS[Lv2],,0)</f>
        <v>Cash alike</v>
      </c>
      <c r="N934" t="str">
        <f>_xlfn.XLOOKUP(Jnl[[#This Row],[TrxId]], Trx[Id], Trx[IncNode], ,0)</f>
        <v>Revenue</v>
      </c>
      <c r="O934" t="str">
        <f>_xlfn.XLOOKUP(Jnl[[#This Row],[IncNode]], config_IS[Node], config_IS[Type],,0)</f>
        <v>Op</v>
      </c>
      <c r="P934" t="str">
        <f>_xlfn.XLOOKUP(Jnl[[#This Row],[BSLv2]], dict[Key], dict[Name],,0)</f>
        <v>0.现金及类似</v>
      </c>
      <c r="Q934" t="str">
        <f>_xlfn.XLOOKUP(Jnl[[#This Row],[Acct]], dict[Key], dict[Name],,0)</f>
        <v>银行</v>
      </c>
      <c r="R934" t="str">
        <f>_xlfn.XLOOKUP(Jnl[[#This Row],[Vehicle]],config_vehicle[Id], config_vehicle[Name],,0)</f>
        <v>桑木</v>
      </c>
      <c r="S934" t="str">
        <f>_xlfn.XLOOKUP(Jnl[[#This Row],[Division]],config_div[Id], config_div[Name],,0)</f>
        <v>网店</v>
      </c>
      <c r="T934" t="str">
        <f>IF(Jnl[[#This Row],[TrxDate]]&lt;=stmt_BS_date_end, "In", "Out")</f>
        <v>In</v>
      </c>
      <c r="U934" t="str">
        <f>IF(Jnl[[#This Row],[TrxDate]]&lt;debug_date_start, "prior", IF(Jnl[[#This Row],[TrxDate]]&gt;debug_date_end, "post", "curr"))</f>
        <v>curr</v>
      </c>
    </row>
    <row r="935" spans="1:21">
      <c r="A935" s="11" t="s">
        <v>1383</v>
      </c>
      <c r="B935" s="7">
        <f>_xlfn.XLOOKUP(Jnl[[#This Row],[TrxId]], Trx[Id], Trx[Date],,0)</f>
        <v>46081</v>
      </c>
      <c r="C935" s="7" t="str">
        <f>_xlfn.XLOOKUP(Jnl[[#This Row],[TrxId]], Trx[Id], Trx[Division],,0)</f>
        <v>Online</v>
      </c>
      <c r="D935" s="7" t="str">
        <f>_xlfn.XLOOKUP(Jnl[[#This Row],[TrxId]], Trx[Id], Trx[Action],,0)</f>
        <v>增值税</v>
      </c>
      <c r="E935" s="26" t="s">
        <v>85</v>
      </c>
      <c r="F935" s="11" t="s">
        <v>127</v>
      </c>
      <c r="G935" s="11" t="s">
        <v>307</v>
      </c>
      <c r="H935" s="72">
        <v>25.96</v>
      </c>
      <c r="I935" s="5" t="b">
        <f>AND(Jnl[[#This Row],[TrxId]]&lt;&gt;"",Jnl[[#This Row],[Acct]]&lt;&gt;"",Jnl[[#This Row],[Item]]&lt;&gt;"",ISNUMBER(Jnl[[#This Row],[Bal]]))</f>
        <v>1</v>
      </c>
      <c r="J935" s="10">
        <f>IF(Jnl[[#This Row],[BSLv0]]="A",1,-1)*Jnl[[#This Row],[Bal]]</f>
        <v>-25.96</v>
      </c>
      <c r="K935" t="str">
        <f>_xlfn.XLOOKUP(Jnl[[#This Row],[Acct]], config_BS[Acct], config_BS[Lv0],,0)</f>
        <v>LC</v>
      </c>
      <c r="L935" t="str">
        <f>_xlfn.XLOOKUP(Jnl[[#This Row],[Acct]], config_BS[Acct], config_BS[Lv1],,0)</f>
        <v>Liability</v>
      </c>
      <c r="M935" t="str">
        <f>_xlfn.XLOOKUP(Jnl[[#This Row],[Acct]], config_BS[Acct], config_BS[Lv2],,0)</f>
        <v>Rec-Pay</v>
      </c>
      <c r="N935" t="str">
        <f>_xlfn.XLOOKUP(Jnl[[#This Row],[TrxId]], Trx[Id], Trx[IncNode], ,0)</f>
        <v>Cost</v>
      </c>
      <c r="O935" t="str">
        <f>_xlfn.XLOOKUP(Jnl[[#This Row],[IncNode]], config_IS[Node], config_IS[Type],,0)</f>
        <v>Op</v>
      </c>
      <c r="P935" t="str">
        <f>_xlfn.XLOOKUP(Jnl[[#This Row],[BSLv2]], dict[Key], dict[Name],,0)</f>
        <v>1.应收-应付</v>
      </c>
      <c r="Q935" t="str">
        <f>_xlfn.XLOOKUP(Jnl[[#This Row],[Acct]], dict[Key], dict[Name],,0)</f>
        <v>应付-税款</v>
      </c>
      <c r="R935" t="str">
        <f>_xlfn.XLOOKUP(Jnl[[#This Row],[Vehicle]],config_vehicle[Id], config_vehicle[Name],,0)</f>
        <v>桑木</v>
      </c>
      <c r="S935" t="str">
        <f>_xlfn.XLOOKUP(Jnl[[#This Row],[Division]],config_div[Id], config_div[Name],,0)</f>
        <v>网店</v>
      </c>
      <c r="T935" t="str">
        <f>IF(Jnl[[#This Row],[TrxDate]]&lt;=stmt_BS_date_end, "In", "Out")</f>
        <v>In</v>
      </c>
      <c r="U935" t="str">
        <f>IF(Jnl[[#This Row],[TrxDate]]&lt;debug_date_start, "prior", IF(Jnl[[#This Row],[TrxDate]]&gt;debug_date_end, "post", "curr"))</f>
        <v>curr</v>
      </c>
    </row>
    <row r="936" spans="1:21">
      <c r="A936" s="11" t="s">
        <v>1384</v>
      </c>
      <c r="B936" s="7">
        <f>_xlfn.XLOOKUP(Jnl[[#This Row],[TrxId]], Trx[Id], Trx[Date],,0)</f>
        <v>46081</v>
      </c>
      <c r="C936" s="7" t="str">
        <f>_xlfn.XLOOKUP(Jnl[[#This Row],[TrxId]], Trx[Id], Trx[Division],,0)</f>
        <v>Online</v>
      </c>
      <c r="D936" s="7" t="str">
        <f>_xlfn.XLOOKUP(Jnl[[#This Row],[TrxId]], Trx[Id], Trx[Action],,0)</f>
        <v>服饰</v>
      </c>
      <c r="E936" s="26" t="s">
        <v>85</v>
      </c>
      <c r="F936" s="11" t="s">
        <v>590</v>
      </c>
      <c r="G936" s="11" t="s">
        <v>1621</v>
      </c>
      <c r="H936" s="72">
        <v>11293.8</v>
      </c>
      <c r="I936" s="5" t="b">
        <f>AND(Jnl[[#This Row],[TrxId]]&lt;&gt;"",Jnl[[#This Row],[Acct]]&lt;&gt;"",Jnl[[#This Row],[Item]]&lt;&gt;"",ISNUMBER(Jnl[[#This Row],[Bal]]))</f>
        <v>1</v>
      </c>
      <c r="J936" s="10">
        <f>IF(Jnl[[#This Row],[BSLv0]]="A",1,-1)*Jnl[[#This Row],[Bal]]</f>
        <v>11293.8</v>
      </c>
      <c r="K936" t="str">
        <f>_xlfn.XLOOKUP(Jnl[[#This Row],[Acct]], config_BS[Acct], config_BS[Lv0],,0)</f>
        <v>A</v>
      </c>
      <c r="L936" t="str">
        <f>_xlfn.XLOOKUP(Jnl[[#This Row],[Acct]], config_BS[Acct], config_BS[Lv1],,0)</f>
        <v>Assets</v>
      </c>
      <c r="M936" t="str">
        <f>_xlfn.XLOOKUP(Jnl[[#This Row],[Acct]], config_BS[Acct], config_BS[Lv2],,0)</f>
        <v>Cash alike</v>
      </c>
      <c r="N936" t="str">
        <f>_xlfn.XLOOKUP(Jnl[[#This Row],[TrxId]], Trx[Id], Trx[IncNode], ,0)</f>
        <v>Revenue</v>
      </c>
      <c r="O936" t="str">
        <f>_xlfn.XLOOKUP(Jnl[[#This Row],[IncNode]], config_IS[Node], config_IS[Type],,0)</f>
        <v>Op</v>
      </c>
      <c r="P936" t="str">
        <f>_xlfn.XLOOKUP(Jnl[[#This Row],[BSLv2]], dict[Key], dict[Name],,0)</f>
        <v>0.现金及类似</v>
      </c>
      <c r="Q936" t="str">
        <f>_xlfn.XLOOKUP(Jnl[[#This Row],[Acct]], dict[Key], dict[Name],,0)</f>
        <v>银行</v>
      </c>
      <c r="R936" t="str">
        <f>_xlfn.XLOOKUP(Jnl[[#This Row],[Vehicle]],config_vehicle[Id], config_vehicle[Name],,0)</f>
        <v>桑木</v>
      </c>
      <c r="S936" t="str">
        <f>_xlfn.XLOOKUP(Jnl[[#This Row],[Division]],config_div[Id], config_div[Name],,0)</f>
        <v>网店</v>
      </c>
      <c r="T936" t="str">
        <f>IF(Jnl[[#This Row],[TrxDate]]&lt;=stmt_BS_date_end, "In", "Out")</f>
        <v>In</v>
      </c>
      <c r="U936" t="str">
        <f>IF(Jnl[[#This Row],[TrxDate]]&lt;debug_date_start, "prior", IF(Jnl[[#This Row],[TrxDate]]&gt;debug_date_end, "post", "curr"))</f>
        <v>curr</v>
      </c>
    </row>
    <row r="937" spans="1:21">
      <c r="A937" s="11" t="s">
        <v>1385</v>
      </c>
      <c r="B937" s="7">
        <f>_xlfn.XLOOKUP(Jnl[[#This Row],[TrxId]], Trx[Id], Trx[Date],,0)</f>
        <v>46081</v>
      </c>
      <c r="C937" s="7" t="str">
        <f>_xlfn.XLOOKUP(Jnl[[#This Row],[TrxId]], Trx[Id], Trx[Division],,0)</f>
        <v>Online</v>
      </c>
      <c r="D937" s="7" t="str">
        <f>_xlfn.XLOOKUP(Jnl[[#This Row],[TrxId]], Trx[Id], Trx[Action],,0)</f>
        <v>增值税</v>
      </c>
      <c r="E937" s="26" t="s">
        <v>85</v>
      </c>
      <c r="F937" s="11" t="s">
        <v>127</v>
      </c>
      <c r="G937" s="11" t="s">
        <v>307</v>
      </c>
      <c r="H937" s="72">
        <v>111.82</v>
      </c>
      <c r="I937" s="5" t="b">
        <f>AND(Jnl[[#This Row],[TrxId]]&lt;&gt;"",Jnl[[#This Row],[Acct]]&lt;&gt;"",Jnl[[#This Row],[Item]]&lt;&gt;"",ISNUMBER(Jnl[[#This Row],[Bal]]))</f>
        <v>1</v>
      </c>
      <c r="J937" s="10">
        <f>IF(Jnl[[#This Row],[BSLv0]]="A",1,-1)*Jnl[[#This Row],[Bal]]</f>
        <v>-111.82</v>
      </c>
      <c r="K937" t="str">
        <f>_xlfn.XLOOKUP(Jnl[[#This Row],[Acct]], config_BS[Acct], config_BS[Lv0],,0)</f>
        <v>LC</v>
      </c>
      <c r="L937" t="str">
        <f>_xlfn.XLOOKUP(Jnl[[#This Row],[Acct]], config_BS[Acct], config_BS[Lv1],,0)</f>
        <v>Liability</v>
      </c>
      <c r="M937" t="str">
        <f>_xlfn.XLOOKUP(Jnl[[#This Row],[Acct]], config_BS[Acct], config_BS[Lv2],,0)</f>
        <v>Rec-Pay</v>
      </c>
      <c r="N937" t="str">
        <f>_xlfn.XLOOKUP(Jnl[[#This Row],[TrxId]], Trx[Id], Trx[IncNode], ,0)</f>
        <v>Cost</v>
      </c>
      <c r="O937" t="str">
        <f>_xlfn.XLOOKUP(Jnl[[#This Row],[IncNode]], config_IS[Node], config_IS[Type],,0)</f>
        <v>Op</v>
      </c>
      <c r="P937" t="str">
        <f>_xlfn.XLOOKUP(Jnl[[#This Row],[BSLv2]], dict[Key], dict[Name],,0)</f>
        <v>1.应收-应付</v>
      </c>
      <c r="Q937" t="str">
        <f>_xlfn.XLOOKUP(Jnl[[#This Row],[Acct]], dict[Key], dict[Name],,0)</f>
        <v>应付-税款</v>
      </c>
      <c r="R937" t="str">
        <f>_xlfn.XLOOKUP(Jnl[[#This Row],[Vehicle]],config_vehicle[Id], config_vehicle[Name],,0)</f>
        <v>桑木</v>
      </c>
      <c r="S937" t="str">
        <f>_xlfn.XLOOKUP(Jnl[[#This Row],[Division]],config_div[Id], config_div[Name],,0)</f>
        <v>网店</v>
      </c>
      <c r="T937" t="str">
        <f>IF(Jnl[[#This Row],[TrxDate]]&lt;=stmt_BS_date_end, "In", "Out")</f>
        <v>In</v>
      </c>
      <c r="U937" t="str">
        <f>IF(Jnl[[#This Row],[TrxDate]]&lt;debug_date_start, "prior", IF(Jnl[[#This Row],[TrxDate]]&gt;debug_date_end, "post", "curr"))</f>
        <v>curr</v>
      </c>
    </row>
    <row r="938" spans="1:21">
      <c r="A938" s="11" t="s">
        <v>1386</v>
      </c>
      <c r="B938" s="7">
        <f>_xlfn.XLOOKUP(Jnl[[#This Row],[TrxId]], Trx[Id], Trx[Date],,0)</f>
        <v>46081</v>
      </c>
      <c r="C938" s="7" t="str">
        <f>_xlfn.XLOOKUP(Jnl[[#This Row],[TrxId]], Trx[Id], Trx[Division],,0)</f>
        <v>GM</v>
      </c>
      <c r="D938" s="7" t="str">
        <f>_xlfn.XLOOKUP(Jnl[[#This Row],[TrxId]], Trx[Id], Trx[Action],,0)</f>
        <v>支付</v>
      </c>
      <c r="E938" s="26" t="s">
        <v>85</v>
      </c>
      <c r="F938" s="11" t="s">
        <v>590</v>
      </c>
      <c r="G938" s="11" t="s">
        <v>1621</v>
      </c>
      <c r="H938" s="72">
        <v>-514.34</v>
      </c>
      <c r="I938" s="5" t="b">
        <f>AND(Jnl[[#This Row],[TrxId]]&lt;&gt;"",Jnl[[#This Row],[Acct]]&lt;&gt;"",Jnl[[#This Row],[Item]]&lt;&gt;"",ISNUMBER(Jnl[[#This Row],[Bal]]))</f>
        <v>1</v>
      </c>
      <c r="J938" s="10">
        <f>IF(Jnl[[#This Row],[BSLv0]]="A",1,-1)*Jnl[[#This Row],[Bal]]</f>
        <v>-514.34</v>
      </c>
      <c r="K938" t="str">
        <f>_xlfn.XLOOKUP(Jnl[[#This Row],[Acct]], config_BS[Acct], config_BS[Lv0],,0)</f>
        <v>A</v>
      </c>
      <c r="L938" t="str">
        <f>_xlfn.XLOOKUP(Jnl[[#This Row],[Acct]], config_BS[Acct], config_BS[Lv1],,0)</f>
        <v>Assets</v>
      </c>
      <c r="M938" t="str">
        <f>_xlfn.XLOOKUP(Jnl[[#This Row],[Acct]], config_BS[Acct], config_BS[Lv2],,0)</f>
        <v>Cash alike</v>
      </c>
      <c r="N938" t="str">
        <f>_xlfn.XLOOKUP(Jnl[[#This Row],[TrxId]], Trx[Id], Trx[IncNode], ,0)</f>
        <v>Expense</v>
      </c>
      <c r="O938" t="str">
        <f>_xlfn.XLOOKUP(Jnl[[#This Row],[IncNode]], config_IS[Node], config_IS[Type],,0)</f>
        <v>Op</v>
      </c>
      <c r="P938" t="str">
        <f>_xlfn.XLOOKUP(Jnl[[#This Row],[BSLv2]], dict[Key], dict[Name],,0)</f>
        <v>0.现金及类似</v>
      </c>
      <c r="Q938" t="str">
        <f>_xlfn.XLOOKUP(Jnl[[#This Row],[Acct]], dict[Key], dict[Name],,0)</f>
        <v>银行</v>
      </c>
      <c r="R938" t="str">
        <f>_xlfn.XLOOKUP(Jnl[[#This Row],[Vehicle]],config_vehicle[Id], config_vehicle[Name],,0)</f>
        <v>桑木</v>
      </c>
      <c r="S938" t="str">
        <f>_xlfn.XLOOKUP(Jnl[[#This Row],[Division]],config_div[Id], config_div[Name],,0)</f>
        <v>综合管理</v>
      </c>
      <c r="T938" t="str">
        <f>IF(Jnl[[#This Row],[TrxDate]]&lt;=stmt_BS_date_end, "In", "Out")</f>
        <v>In</v>
      </c>
      <c r="U938" t="str">
        <f>IF(Jnl[[#This Row],[TrxDate]]&lt;debug_date_start, "prior", IF(Jnl[[#This Row],[TrxDate]]&gt;debug_date_end, "post", "curr"))</f>
        <v>curr</v>
      </c>
    </row>
    <row r="939" spans="1:21">
      <c r="A939" s="11" t="s">
        <v>1386</v>
      </c>
      <c r="B939" s="7">
        <f>_xlfn.XLOOKUP(Jnl[[#This Row],[TrxId]], Trx[Id], Trx[Date],,0)</f>
        <v>46081</v>
      </c>
      <c r="C939" s="7" t="str">
        <f>_xlfn.XLOOKUP(Jnl[[#This Row],[TrxId]], Trx[Id], Trx[Division],,0)</f>
        <v>GM</v>
      </c>
      <c r="D939" s="7" t="str">
        <f>_xlfn.XLOOKUP(Jnl[[#This Row],[TrxId]], Trx[Id], Trx[Action],,0)</f>
        <v>支付</v>
      </c>
      <c r="E939" s="26" t="s">
        <v>85</v>
      </c>
      <c r="F939" s="11" t="s">
        <v>127</v>
      </c>
      <c r="G939" s="11" t="s">
        <v>343</v>
      </c>
      <c r="H939" s="72">
        <f>H938</f>
        <v>-514.34</v>
      </c>
      <c r="I939" s="5" t="b">
        <f>AND(Jnl[[#This Row],[TrxId]]&lt;&gt;"",Jnl[[#This Row],[Acct]]&lt;&gt;"",Jnl[[#This Row],[Item]]&lt;&gt;"",ISNUMBER(Jnl[[#This Row],[Bal]]))</f>
        <v>1</v>
      </c>
      <c r="J939" s="10">
        <f>IF(Jnl[[#This Row],[BSLv0]]="A",1,-1)*Jnl[[#This Row],[Bal]]</f>
        <v>514.34</v>
      </c>
      <c r="K939" t="str">
        <f>_xlfn.XLOOKUP(Jnl[[#This Row],[Acct]], config_BS[Acct], config_BS[Lv0],,0)</f>
        <v>LC</v>
      </c>
      <c r="L939" t="str">
        <f>_xlfn.XLOOKUP(Jnl[[#This Row],[Acct]], config_BS[Acct], config_BS[Lv1],,0)</f>
        <v>Liability</v>
      </c>
      <c r="M939" t="str">
        <f>_xlfn.XLOOKUP(Jnl[[#This Row],[Acct]], config_BS[Acct], config_BS[Lv2],,0)</f>
        <v>Rec-Pay</v>
      </c>
      <c r="N939" t="str">
        <f>_xlfn.XLOOKUP(Jnl[[#This Row],[TrxId]], Trx[Id], Trx[IncNode], ,0)</f>
        <v>Expense</v>
      </c>
      <c r="O939" t="str">
        <f>_xlfn.XLOOKUP(Jnl[[#This Row],[IncNode]], config_IS[Node], config_IS[Type],,0)</f>
        <v>Op</v>
      </c>
      <c r="P939" t="str">
        <f>_xlfn.XLOOKUP(Jnl[[#This Row],[BSLv2]], dict[Key], dict[Name],,0)</f>
        <v>1.应收-应付</v>
      </c>
      <c r="Q939" t="str">
        <f>_xlfn.XLOOKUP(Jnl[[#This Row],[Acct]], dict[Key], dict[Name],,0)</f>
        <v>应付-税款</v>
      </c>
      <c r="R939" t="str">
        <f>_xlfn.XLOOKUP(Jnl[[#This Row],[Vehicle]],config_vehicle[Id], config_vehicle[Name],,0)</f>
        <v>桑木</v>
      </c>
      <c r="S939" t="str">
        <f>_xlfn.XLOOKUP(Jnl[[#This Row],[Division]],config_div[Id], config_div[Name],,0)</f>
        <v>综合管理</v>
      </c>
      <c r="T939" t="str">
        <f>IF(Jnl[[#This Row],[TrxDate]]&lt;=stmt_BS_date_end, "In", "Out")</f>
        <v>In</v>
      </c>
      <c r="U939" t="str">
        <f>IF(Jnl[[#This Row],[TrxDate]]&lt;debug_date_start, "prior", IF(Jnl[[#This Row],[TrxDate]]&gt;debug_date_end, "post", "curr"))</f>
        <v>curr</v>
      </c>
    </row>
    <row r="940" spans="1:21">
      <c r="A940" s="11" t="s">
        <v>1387</v>
      </c>
      <c r="B940" s="7">
        <f>_xlfn.XLOOKUP(Jnl[[#This Row],[TrxId]], Trx[Id], Trx[Date],,0)</f>
        <v>46081</v>
      </c>
      <c r="C940" s="7" t="str">
        <f>_xlfn.XLOOKUP(Jnl[[#This Row],[TrxId]], Trx[Id], Trx[Division],,0)</f>
        <v>Ctrl</v>
      </c>
      <c r="D940" s="7" t="str">
        <f>_xlfn.XLOOKUP(Jnl[[#This Row],[TrxId]], Trx[Id], Trx[Action],,0)</f>
        <v>过账</v>
      </c>
      <c r="E940" s="26" t="s">
        <v>85</v>
      </c>
      <c r="F940" s="11" t="s">
        <v>590</v>
      </c>
      <c r="G940" s="11" t="s">
        <v>1621</v>
      </c>
      <c r="H940" s="72">
        <v>286631</v>
      </c>
      <c r="I940" s="5" t="b">
        <f>AND(Jnl[[#This Row],[TrxId]]&lt;&gt;"",Jnl[[#This Row],[Acct]]&lt;&gt;"",Jnl[[#This Row],[Item]]&lt;&gt;"",ISNUMBER(Jnl[[#This Row],[Bal]]))</f>
        <v>1</v>
      </c>
      <c r="J940" s="10">
        <f>IF(Jnl[[#This Row],[BSLv0]]="A",1,-1)*Jnl[[#This Row],[Bal]]</f>
        <v>286631</v>
      </c>
      <c r="K940" t="str">
        <f>_xlfn.XLOOKUP(Jnl[[#This Row],[Acct]], config_BS[Acct], config_BS[Lv0],,0)</f>
        <v>A</v>
      </c>
      <c r="L940" t="str">
        <f>_xlfn.XLOOKUP(Jnl[[#This Row],[Acct]], config_BS[Acct], config_BS[Lv1],,0)</f>
        <v>Assets</v>
      </c>
      <c r="M940" t="str">
        <f>_xlfn.XLOOKUP(Jnl[[#This Row],[Acct]], config_BS[Acct], config_BS[Lv2],,0)</f>
        <v>Cash alike</v>
      </c>
      <c r="N940" t="str">
        <f>_xlfn.XLOOKUP(Jnl[[#This Row],[TrxId]], Trx[Id], Trx[IncNode], ,0)</f>
        <v>Other</v>
      </c>
      <c r="O940" t="str">
        <f>_xlfn.XLOOKUP(Jnl[[#This Row],[IncNode]], config_IS[Node], config_IS[Type],,0)</f>
        <v>Non-Op</v>
      </c>
      <c r="P940" t="str">
        <f>_xlfn.XLOOKUP(Jnl[[#This Row],[BSLv2]], dict[Key], dict[Name],,0)</f>
        <v>0.现金及类似</v>
      </c>
      <c r="Q940" t="str">
        <f>_xlfn.XLOOKUP(Jnl[[#This Row],[Acct]], dict[Key], dict[Name],,0)</f>
        <v>银行</v>
      </c>
      <c r="R940" t="str">
        <f>_xlfn.XLOOKUP(Jnl[[#This Row],[Vehicle]],config_vehicle[Id], config_vehicle[Name],,0)</f>
        <v>桑木</v>
      </c>
      <c r="S940" t="str">
        <f>_xlfn.XLOOKUP(Jnl[[#This Row],[Division]],config_div[Id], config_div[Name],,0)</f>
        <v>内控合规</v>
      </c>
      <c r="T940" t="str">
        <f>IF(Jnl[[#This Row],[TrxDate]]&lt;=stmt_BS_date_end, "In", "Out")</f>
        <v>In</v>
      </c>
      <c r="U940" t="str">
        <f>IF(Jnl[[#This Row],[TrxDate]]&lt;debug_date_start, "prior", IF(Jnl[[#This Row],[TrxDate]]&gt;debug_date_end, "post", "curr"))</f>
        <v>curr</v>
      </c>
    </row>
    <row r="941" spans="1:21">
      <c r="A941" s="11" t="s">
        <v>1387</v>
      </c>
      <c r="B941" s="7">
        <f>_xlfn.XLOOKUP(Jnl[[#This Row],[TrxId]], Trx[Id], Trx[Date],,0)</f>
        <v>46081</v>
      </c>
      <c r="C941" s="7" t="str">
        <f>_xlfn.XLOOKUP(Jnl[[#This Row],[TrxId]], Trx[Id], Trx[Division],,0)</f>
        <v>Ctrl</v>
      </c>
      <c r="D941" s="7" t="str">
        <f>_xlfn.XLOOKUP(Jnl[[#This Row],[TrxId]], Trx[Id], Trx[Action],,0)</f>
        <v>过账</v>
      </c>
      <c r="E941" s="26" t="s">
        <v>80</v>
      </c>
      <c r="F941" s="11" t="s">
        <v>590</v>
      </c>
      <c r="G941" s="11" t="s">
        <v>391</v>
      </c>
      <c r="H941" s="72">
        <v>-286631</v>
      </c>
      <c r="I941" s="5" t="b">
        <f>AND(Jnl[[#This Row],[TrxId]]&lt;&gt;"",Jnl[[#This Row],[Acct]]&lt;&gt;"",Jnl[[#This Row],[Item]]&lt;&gt;"",ISNUMBER(Jnl[[#This Row],[Bal]]))</f>
        <v>1</v>
      </c>
      <c r="J941" s="10">
        <f>IF(Jnl[[#This Row],[BSLv0]]="A",1,-1)*Jnl[[#This Row],[Bal]]</f>
        <v>-286631</v>
      </c>
      <c r="K941" t="str">
        <f>_xlfn.XLOOKUP(Jnl[[#This Row],[Acct]], config_BS[Acct], config_BS[Lv0],,0)</f>
        <v>A</v>
      </c>
      <c r="L941" t="str">
        <f>_xlfn.XLOOKUP(Jnl[[#This Row],[Acct]], config_BS[Acct], config_BS[Lv1],,0)</f>
        <v>Assets</v>
      </c>
      <c r="M941" t="str">
        <f>_xlfn.XLOOKUP(Jnl[[#This Row],[Acct]], config_BS[Acct], config_BS[Lv2],,0)</f>
        <v>Cash alike</v>
      </c>
      <c r="N941" t="str">
        <f>_xlfn.XLOOKUP(Jnl[[#This Row],[TrxId]], Trx[Id], Trx[IncNode], ,0)</f>
        <v>Other</v>
      </c>
      <c r="O941" t="str">
        <f>_xlfn.XLOOKUP(Jnl[[#This Row],[IncNode]], config_IS[Node], config_IS[Type],,0)</f>
        <v>Non-Op</v>
      </c>
      <c r="P941" t="str">
        <f>_xlfn.XLOOKUP(Jnl[[#This Row],[BSLv2]], dict[Key], dict[Name],,0)</f>
        <v>0.现金及类似</v>
      </c>
      <c r="Q941" t="str">
        <f>_xlfn.XLOOKUP(Jnl[[#This Row],[Acct]], dict[Key], dict[Name],,0)</f>
        <v>银行</v>
      </c>
      <c r="R941" t="str">
        <f>_xlfn.XLOOKUP(Jnl[[#This Row],[Vehicle]],config_vehicle[Id], config_vehicle[Name],,0)</f>
        <v>远家花园</v>
      </c>
      <c r="S941" t="str">
        <f>_xlfn.XLOOKUP(Jnl[[#This Row],[Division]],config_div[Id], config_div[Name],,0)</f>
        <v>内控合规</v>
      </c>
      <c r="T941" t="str">
        <f>IF(Jnl[[#This Row],[TrxDate]]&lt;=stmt_BS_date_end, "In", "Out")</f>
        <v>In</v>
      </c>
      <c r="U941" t="str">
        <f>IF(Jnl[[#This Row],[TrxDate]]&lt;debug_date_start, "prior", IF(Jnl[[#This Row],[TrxDate]]&gt;debug_date_end, "post", "curr"))</f>
        <v>curr</v>
      </c>
    </row>
    <row r="942" spans="1:21">
      <c r="A942" s="11" t="s">
        <v>1388</v>
      </c>
      <c r="B942" s="7">
        <f>_xlfn.XLOOKUP(Jnl[[#This Row],[TrxId]], Trx[Id], Trx[Date],,0)</f>
        <v>46081</v>
      </c>
      <c r="C942" s="7" t="str">
        <f>_xlfn.XLOOKUP(Jnl[[#This Row],[TrxId]], Trx[Id], Trx[Division],,0)</f>
        <v>Online</v>
      </c>
      <c r="D942" s="7" t="str">
        <f>_xlfn.XLOOKUP(Jnl[[#This Row],[TrxId]], Trx[Id], Trx[Action],,0)</f>
        <v>增值税</v>
      </c>
      <c r="E942" s="26" t="s">
        <v>85</v>
      </c>
      <c r="F942" s="11" t="s">
        <v>127</v>
      </c>
      <c r="G942" s="11" t="s">
        <v>307</v>
      </c>
      <c r="H942" s="72">
        <v>2837.93</v>
      </c>
      <c r="I942" s="5" t="b">
        <f>AND(Jnl[[#This Row],[TrxId]]&lt;&gt;"",Jnl[[#This Row],[Acct]]&lt;&gt;"",Jnl[[#This Row],[Item]]&lt;&gt;"",ISNUMBER(Jnl[[#This Row],[Bal]]))</f>
        <v>1</v>
      </c>
      <c r="J942" s="10">
        <f>IF(Jnl[[#This Row],[BSLv0]]="A",1,-1)*Jnl[[#This Row],[Bal]]</f>
        <v>-2837.93</v>
      </c>
      <c r="K942" t="str">
        <f>_xlfn.XLOOKUP(Jnl[[#This Row],[Acct]], config_BS[Acct], config_BS[Lv0],,0)</f>
        <v>LC</v>
      </c>
      <c r="L942" t="str">
        <f>_xlfn.XLOOKUP(Jnl[[#This Row],[Acct]], config_BS[Acct], config_BS[Lv1],,0)</f>
        <v>Liability</v>
      </c>
      <c r="M942" t="str">
        <f>_xlfn.XLOOKUP(Jnl[[#This Row],[Acct]], config_BS[Acct], config_BS[Lv2],,0)</f>
        <v>Rec-Pay</v>
      </c>
      <c r="N942" t="str">
        <f>_xlfn.XLOOKUP(Jnl[[#This Row],[TrxId]], Trx[Id], Trx[IncNode], ,0)</f>
        <v>Cost</v>
      </c>
      <c r="O942" t="str">
        <f>_xlfn.XLOOKUP(Jnl[[#This Row],[IncNode]], config_IS[Node], config_IS[Type],,0)</f>
        <v>Op</v>
      </c>
      <c r="P942" t="str">
        <f>_xlfn.XLOOKUP(Jnl[[#This Row],[BSLv2]], dict[Key], dict[Name],,0)</f>
        <v>1.应收-应付</v>
      </c>
      <c r="Q942" t="str">
        <f>_xlfn.XLOOKUP(Jnl[[#This Row],[Acct]], dict[Key], dict[Name],,0)</f>
        <v>应付-税款</v>
      </c>
      <c r="R942" t="str">
        <f>_xlfn.XLOOKUP(Jnl[[#This Row],[Vehicle]],config_vehicle[Id], config_vehicle[Name],,0)</f>
        <v>桑木</v>
      </c>
      <c r="S942" t="str">
        <f>_xlfn.XLOOKUP(Jnl[[#This Row],[Division]],config_div[Id], config_div[Name],,0)</f>
        <v>网店</v>
      </c>
      <c r="T942" t="str">
        <f>IF(Jnl[[#This Row],[TrxDate]]&lt;=stmt_BS_date_end, "In", "Out")</f>
        <v>In</v>
      </c>
      <c r="U942" t="str">
        <f>IF(Jnl[[#This Row],[TrxDate]]&lt;debug_date_start, "prior", IF(Jnl[[#This Row],[TrxDate]]&gt;debug_date_end, "post", "curr"))</f>
        <v>curr</v>
      </c>
    </row>
    <row r="943" spans="1:21">
      <c r="A943" s="11" t="s">
        <v>1389</v>
      </c>
      <c r="B943" s="7">
        <f>_xlfn.XLOOKUP(Jnl[[#This Row],[TrxId]], Trx[Id], Trx[Date],,0)</f>
        <v>46081</v>
      </c>
      <c r="C943" s="7" t="str">
        <f>_xlfn.XLOOKUP(Jnl[[#This Row],[TrxId]], Trx[Id], Trx[Division],,0)</f>
        <v>GM</v>
      </c>
      <c r="D943" s="7" t="str">
        <f>_xlfn.XLOOKUP(Jnl[[#This Row],[TrxId]], Trx[Id], Trx[Action],,0)</f>
        <v>银行费</v>
      </c>
      <c r="E943" s="26" t="s">
        <v>85</v>
      </c>
      <c r="F943" s="11" t="s">
        <v>590</v>
      </c>
      <c r="G943" s="11" t="s">
        <v>1621</v>
      </c>
      <c r="H943" s="72">
        <v>-30.5</v>
      </c>
      <c r="I943" s="5" t="b">
        <f>AND(Jnl[[#This Row],[TrxId]]&lt;&gt;"",Jnl[[#This Row],[Acct]]&lt;&gt;"",Jnl[[#This Row],[Item]]&lt;&gt;"",ISNUMBER(Jnl[[#This Row],[Bal]]))</f>
        <v>1</v>
      </c>
      <c r="J943" s="10">
        <f>IF(Jnl[[#This Row],[BSLv0]]="A",1,-1)*Jnl[[#This Row],[Bal]]</f>
        <v>-30.5</v>
      </c>
      <c r="K943" t="str">
        <f>_xlfn.XLOOKUP(Jnl[[#This Row],[Acct]], config_BS[Acct], config_BS[Lv0],,0)</f>
        <v>A</v>
      </c>
      <c r="L943" t="str">
        <f>_xlfn.XLOOKUP(Jnl[[#This Row],[Acct]], config_BS[Acct], config_BS[Lv1],,0)</f>
        <v>Assets</v>
      </c>
      <c r="M943" t="str">
        <f>_xlfn.XLOOKUP(Jnl[[#This Row],[Acct]], config_BS[Acct], config_BS[Lv2],,0)</f>
        <v>Cash alike</v>
      </c>
      <c r="N943" t="str">
        <f>_xlfn.XLOOKUP(Jnl[[#This Row],[TrxId]], Trx[Id], Trx[IncNode], ,0)</f>
        <v>Expense</v>
      </c>
      <c r="O943" t="str">
        <f>_xlfn.XLOOKUP(Jnl[[#This Row],[IncNode]], config_IS[Node], config_IS[Type],,0)</f>
        <v>Op</v>
      </c>
      <c r="P943" t="str">
        <f>_xlfn.XLOOKUP(Jnl[[#This Row],[BSLv2]], dict[Key], dict[Name],,0)</f>
        <v>0.现金及类似</v>
      </c>
      <c r="Q943" t="str">
        <f>_xlfn.XLOOKUP(Jnl[[#This Row],[Acct]], dict[Key], dict[Name],,0)</f>
        <v>银行</v>
      </c>
      <c r="R943" t="str">
        <f>_xlfn.XLOOKUP(Jnl[[#This Row],[Vehicle]],config_vehicle[Id], config_vehicle[Name],,0)</f>
        <v>桑木</v>
      </c>
      <c r="S943" t="str">
        <f>_xlfn.XLOOKUP(Jnl[[#This Row],[Division]],config_div[Id], config_div[Name],,0)</f>
        <v>综合管理</v>
      </c>
      <c r="T943" t="str">
        <f>IF(Jnl[[#This Row],[TrxDate]]&lt;=stmt_BS_date_end, "In", "Out")</f>
        <v>In</v>
      </c>
      <c r="U943" t="str">
        <f>IF(Jnl[[#This Row],[TrxDate]]&lt;debug_date_start, "prior", IF(Jnl[[#This Row],[TrxDate]]&gt;debug_date_end, "post", "curr"))</f>
        <v>curr</v>
      </c>
    </row>
    <row r="944" spans="1:21">
      <c r="A944" s="11" t="s">
        <v>1390</v>
      </c>
      <c r="B944" s="7">
        <f>_xlfn.XLOOKUP(Jnl[[#This Row],[TrxId]], Trx[Id], Trx[Date],,0)</f>
        <v>46081</v>
      </c>
      <c r="C944" s="7" t="str">
        <f>_xlfn.XLOOKUP(Jnl[[#This Row],[TrxId]], Trx[Id], Trx[Division],,0)</f>
        <v>Online</v>
      </c>
      <c r="D944" s="7" t="str">
        <f>_xlfn.XLOOKUP(Jnl[[#This Row],[TrxId]], Trx[Id], Trx[Action],,0)</f>
        <v>薪酬-工资</v>
      </c>
      <c r="E944" s="26" t="s">
        <v>85</v>
      </c>
      <c r="F944" s="11" t="s">
        <v>596</v>
      </c>
      <c r="G944" s="11" t="s">
        <v>149</v>
      </c>
      <c r="H944" s="72">
        <v>7988</v>
      </c>
      <c r="I944" s="5" t="b">
        <f>AND(Jnl[[#This Row],[TrxId]]&lt;&gt;"",Jnl[[#This Row],[Acct]]&lt;&gt;"",Jnl[[#This Row],[Item]]&lt;&gt;"",ISNUMBER(Jnl[[#This Row],[Bal]]))</f>
        <v>1</v>
      </c>
      <c r="J944" s="10">
        <f>IF(Jnl[[#This Row],[BSLv0]]="A",1,-1)*Jnl[[#This Row],[Bal]]</f>
        <v>-7988</v>
      </c>
      <c r="K944" t="str">
        <f>_xlfn.XLOOKUP(Jnl[[#This Row],[Acct]], config_BS[Acct], config_BS[Lv0],,0)</f>
        <v>LC</v>
      </c>
      <c r="L944" t="str">
        <f>_xlfn.XLOOKUP(Jnl[[#This Row],[Acct]], config_BS[Acct], config_BS[Lv1],,0)</f>
        <v>Liability</v>
      </c>
      <c r="M944" t="str">
        <f>_xlfn.XLOOKUP(Jnl[[#This Row],[Acct]], config_BS[Acct], config_BS[Lv2],,0)</f>
        <v>Rec-Pay</v>
      </c>
      <c r="N944" t="str">
        <f>_xlfn.XLOOKUP(Jnl[[#This Row],[TrxId]], Trx[Id], Trx[IncNode], ,0)</f>
        <v>Expense</v>
      </c>
      <c r="O944" t="str">
        <f>_xlfn.XLOOKUP(Jnl[[#This Row],[IncNode]], config_IS[Node], config_IS[Type],,0)</f>
        <v>Op</v>
      </c>
      <c r="P944" t="str">
        <f>_xlfn.XLOOKUP(Jnl[[#This Row],[BSLv2]], dict[Key], dict[Name],,0)</f>
        <v>1.应收-应付</v>
      </c>
      <c r="Q944" t="str">
        <f>_xlfn.XLOOKUP(Jnl[[#This Row],[Acct]], dict[Key], dict[Name],,0)</f>
        <v>应付-薪资</v>
      </c>
      <c r="R944" t="str">
        <f>_xlfn.XLOOKUP(Jnl[[#This Row],[Vehicle]],config_vehicle[Id], config_vehicle[Name],,0)</f>
        <v>桑木</v>
      </c>
      <c r="S944" t="str">
        <f>_xlfn.XLOOKUP(Jnl[[#This Row],[Division]],config_div[Id], config_div[Name],,0)</f>
        <v>网店</v>
      </c>
      <c r="T944" t="str">
        <f>IF(Jnl[[#This Row],[TrxDate]]&lt;=stmt_BS_date_end, "In", "Out")</f>
        <v>In</v>
      </c>
      <c r="U944" t="str">
        <f>IF(Jnl[[#This Row],[TrxDate]]&lt;debug_date_start, "prior", IF(Jnl[[#This Row],[TrxDate]]&gt;debug_date_end, "post", "curr"))</f>
        <v>curr</v>
      </c>
    </row>
    <row r="945" spans="1:21">
      <c r="A945" s="11" t="s">
        <v>1391</v>
      </c>
      <c r="B945" s="7">
        <f>_xlfn.XLOOKUP(Jnl[[#This Row],[TrxId]], Trx[Id], Trx[Date],,0)</f>
        <v>46081</v>
      </c>
      <c r="C945" s="7" t="str">
        <f>_xlfn.XLOOKUP(Jnl[[#This Row],[TrxId]], Trx[Id], Trx[Division],,0)</f>
        <v>GM</v>
      </c>
      <c r="D945" s="7" t="str">
        <f>_xlfn.XLOOKUP(Jnl[[#This Row],[TrxId]], Trx[Id], Trx[Action],,0)</f>
        <v>薪酬-工资</v>
      </c>
      <c r="E945" s="26" t="s">
        <v>85</v>
      </c>
      <c r="F945" s="11" t="s">
        <v>596</v>
      </c>
      <c r="G945" s="11" t="s">
        <v>149</v>
      </c>
      <c r="H945" s="72">
        <v>9396.67</v>
      </c>
      <c r="I945" s="5" t="b">
        <f>AND(Jnl[[#This Row],[TrxId]]&lt;&gt;"",Jnl[[#This Row],[Acct]]&lt;&gt;"",Jnl[[#This Row],[Item]]&lt;&gt;"",ISNUMBER(Jnl[[#This Row],[Bal]]))</f>
        <v>1</v>
      </c>
      <c r="J945" s="10">
        <f>IF(Jnl[[#This Row],[BSLv0]]="A",1,-1)*Jnl[[#This Row],[Bal]]</f>
        <v>-9396.67</v>
      </c>
      <c r="K945" t="str">
        <f>_xlfn.XLOOKUP(Jnl[[#This Row],[Acct]], config_BS[Acct], config_BS[Lv0],,0)</f>
        <v>LC</v>
      </c>
      <c r="L945" t="str">
        <f>_xlfn.XLOOKUP(Jnl[[#This Row],[Acct]], config_BS[Acct], config_BS[Lv1],,0)</f>
        <v>Liability</v>
      </c>
      <c r="M945" t="str">
        <f>_xlfn.XLOOKUP(Jnl[[#This Row],[Acct]], config_BS[Acct], config_BS[Lv2],,0)</f>
        <v>Rec-Pay</v>
      </c>
      <c r="N945" t="str">
        <f>_xlfn.XLOOKUP(Jnl[[#This Row],[TrxId]], Trx[Id], Trx[IncNode], ,0)</f>
        <v>Expense</v>
      </c>
      <c r="O945" t="str">
        <f>_xlfn.XLOOKUP(Jnl[[#This Row],[IncNode]], config_IS[Node], config_IS[Type],,0)</f>
        <v>Op</v>
      </c>
      <c r="P945" t="str">
        <f>_xlfn.XLOOKUP(Jnl[[#This Row],[BSLv2]], dict[Key], dict[Name],,0)</f>
        <v>1.应收-应付</v>
      </c>
      <c r="Q945" t="str">
        <f>_xlfn.XLOOKUP(Jnl[[#This Row],[Acct]], dict[Key], dict[Name],,0)</f>
        <v>应付-薪资</v>
      </c>
      <c r="R945" t="str">
        <f>_xlfn.XLOOKUP(Jnl[[#This Row],[Vehicle]],config_vehicle[Id], config_vehicle[Name],,0)</f>
        <v>桑木</v>
      </c>
      <c r="S945" t="str">
        <f>_xlfn.XLOOKUP(Jnl[[#This Row],[Division]],config_div[Id], config_div[Name],,0)</f>
        <v>综合管理</v>
      </c>
      <c r="T945" t="str">
        <f>IF(Jnl[[#This Row],[TrxDate]]&lt;=stmt_BS_date_end, "In", "Out")</f>
        <v>In</v>
      </c>
      <c r="U945" t="str">
        <f>IF(Jnl[[#This Row],[TrxDate]]&lt;debug_date_start, "prior", IF(Jnl[[#This Row],[TrxDate]]&gt;debug_date_end, "post", "curr"))</f>
        <v>curr</v>
      </c>
    </row>
    <row r="946" spans="1:21">
      <c r="A946" s="11" t="s">
        <v>1392</v>
      </c>
      <c r="B946" s="7">
        <f>_xlfn.XLOOKUP(Jnl[[#This Row],[TrxId]], Trx[Id], Trx[Date],,0)</f>
        <v>46081</v>
      </c>
      <c r="C946" s="7" t="str">
        <f>_xlfn.XLOOKUP(Jnl[[#This Row],[TrxId]], Trx[Id], Trx[Division],,0)</f>
        <v>GM</v>
      </c>
      <c r="D946" s="7" t="str">
        <f>_xlfn.XLOOKUP(Jnl[[#This Row],[TrxId]], Trx[Id], Trx[Action],,0)</f>
        <v>薪酬-社保</v>
      </c>
      <c r="E946" s="26" t="s">
        <v>84</v>
      </c>
      <c r="F946" s="11" t="s">
        <v>590</v>
      </c>
      <c r="G946" s="11" t="s">
        <v>390</v>
      </c>
      <c r="H946" s="72">
        <v>-13121.63</v>
      </c>
      <c r="I946" s="5" t="b">
        <f>AND(Jnl[[#This Row],[TrxId]]&lt;&gt;"",Jnl[[#This Row],[Acct]]&lt;&gt;"",Jnl[[#This Row],[Item]]&lt;&gt;"",ISNUMBER(Jnl[[#This Row],[Bal]]))</f>
        <v>1</v>
      </c>
      <c r="J946" s="10">
        <f>IF(Jnl[[#This Row],[BSLv0]]="A",1,-1)*Jnl[[#This Row],[Bal]]</f>
        <v>-13121.63</v>
      </c>
      <c r="K946" t="str">
        <f>_xlfn.XLOOKUP(Jnl[[#This Row],[Acct]], config_BS[Acct], config_BS[Lv0],,0)</f>
        <v>A</v>
      </c>
      <c r="L946" t="str">
        <f>_xlfn.XLOOKUP(Jnl[[#This Row],[Acct]], config_BS[Acct], config_BS[Lv1],,0)</f>
        <v>Assets</v>
      </c>
      <c r="M946" t="str">
        <f>_xlfn.XLOOKUP(Jnl[[#This Row],[Acct]], config_BS[Acct], config_BS[Lv2],,0)</f>
        <v>Cash alike</v>
      </c>
      <c r="N946" t="str">
        <f>_xlfn.XLOOKUP(Jnl[[#This Row],[TrxId]], Trx[Id], Trx[IncNode], ,0)</f>
        <v>Expense</v>
      </c>
      <c r="O946" t="str">
        <f>_xlfn.XLOOKUP(Jnl[[#This Row],[IncNode]], config_IS[Node], config_IS[Type],,0)</f>
        <v>Op</v>
      </c>
      <c r="P946" t="str">
        <f>_xlfn.XLOOKUP(Jnl[[#This Row],[BSLv2]], dict[Key], dict[Name],,0)</f>
        <v>0.现金及类似</v>
      </c>
      <c r="Q946" t="str">
        <f>_xlfn.XLOOKUP(Jnl[[#This Row],[Acct]], dict[Key], dict[Name],,0)</f>
        <v>银行</v>
      </c>
      <c r="R946" t="str">
        <f>_xlfn.XLOOKUP(Jnl[[#This Row],[Vehicle]],config_vehicle[Id], config_vehicle[Name],,0)</f>
        <v>榆乐</v>
      </c>
      <c r="S946" t="str">
        <f>_xlfn.XLOOKUP(Jnl[[#This Row],[Division]],config_div[Id], config_div[Name],,0)</f>
        <v>综合管理</v>
      </c>
      <c r="T946" t="str">
        <f>IF(Jnl[[#This Row],[TrxDate]]&lt;=stmt_BS_date_end, "In", "Out")</f>
        <v>In</v>
      </c>
      <c r="U946" t="str">
        <f>IF(Jnl[[#This Row],[TrxDate]]&lt;debug_date_start, "prior", IF(Jnl[[#This Row],[TrxDate]]&gt;debug_date_end, "post", "curr"))</f>
        <v>curr</v>
      </c>
    </row>
    <row r="947" spans="1:21">
      <c r="A947" s="11" t="s">
        <v>1392</v>
      </c>
      <c r="B947" s="7">
        <f>_xlfn.XLOOKUP(Jnl[[#This Row],[TrxId]], Trx[Id], Trx[Date],,0)</f>
        <v>46081</v>
      </c>
      <c r="C947" s="7" t="str">
        <f>_xlfn.XLOOKUP(Jnl[[#This Row],[TrxId]], Trx[Id], Trx[Division],,0)</f>
        <v>GM</v>
      </c>
      <c r="D947" s="7" t="str">
        <f>_xlfn.XLOOKUP(Jnl[[#This Row],[TrxId]], Trx[Id], Trx[Action],,0)</f>
        <v>薪酬-社保</v>
      </c>
      <c r="E947" s="26" t="s">
        <v>84</v>
      </c>
      <c r="F947" s="11" t="s">
        <v>595</v>
      </c>
      <c r="G947" s="11" t="s">
        <v>344</v>
      </c>
      <c r="H947" s="72">
        <v>3817.2</v>
      </c>
      <c r="I947" s="5" t="b">
        <f>AND(Jnl[[#This Row],[TrxId]]&lt;&gt;"",Jnl[[#This Row],[Acct]]&lt;&gt;"",Jnl[[#This Row],[Item]]&lt;&gt;"",ISNUMBER(Jnl[[#This Row],[Bal]]))</f>
        <v>1</v>
      </c>
      <c r="J947" s="10">
        <f>IF(Jnl[[#This Row],[BSLv0]]="A",1,-1)*Jnl[[#This Row],[Bal]]</f>
        <v>3817.2</v>
      </c>
      <c r="K947" t="str">
        <f>_xlfn.XLOOKUP(Jnl[[#This Row],[Acct]], config_BS[Acct], config_BS[Lv0],,0)</f>
        <v>A</v>
      </c>
      <c r="L947" t="str">
        <f>_xlfn.XLOOKUP(Jnl[[#This Row],[Acct]], config_BS[Acct], config_BS[Lv1],,0)</f>
        <v>Assets</v>
      </c>
      <c r="M947" t="str">
        <f>_xlfn.XLOOKUP(Jnl[[#This Row],[Acct]], config_BS[Acct], config_BS[Lv2],,0)</f>
        <v>Rec-Pay</v>
      </c>
      <c r="N947" t="str">
        <f>_xlfn.XLOOKUP(Jnl[[#This Row],[TrxId]], Trx[Id], Trx[IncNode], ,0)</f>
        <v>Expense</v>
      </c>
      <c r="O947" t="str">
        <f>_xlfn.XLOOKUP(Jnl[[#This Row],[IncNode]], config_IS[Node], config_IS[Type],,0)</f>
        <v>Op</v>
      </c>
      <c r="P947" t="str">
        <f>_xlfn.XLOOKUP(Jnl[[#This Row],[BSLv2]], dict[Key], dict[Name],,0)</f>
        <v>1.应收-应付</v>
      </c>
      <c r="Q947" t="str">
        <f>_xlfn.XLOOKUP(Jnl[[#This Row],[Acct]], dict[Key], dict[Name],,0)</f>
        <v>应收-其他</v>
      </c>
      <c r="R947" t="str">
        <f>_xlfn.XLOOKUP(Jnl[[#This Row],[Vehicle]],config_vehicle[Id], config_vehicle[Name],,0)</f>
        <v>榆乐</v>
      </c>
      <c r="S947" t="str">
        <f>_xlfn.XLOOKUP(Jnl[[#This Row],[Division]],config_div[Id], config_div[Name],,0)</f>
        <v>综合管理</v>
      </c>
      <c r="T947" t="str">
        <f>IF(Jnl[[#This Row],[TrxDate]]&lt;=stmt_BS_date_end, "In", "Out")</f>
        <v>In</v>
      </c>
      <c r="U947" t="str">
        <f>IF(Jnl[[#This Row],[TrxDate]]&lt;debug_date_start, "prior", IF(Jnl[[#This Row],[TrxDate]]&gt;debug_date_end, "post", "curr"))</f>
        <v>curr</v>
      </c>
    </row>
    <row r="948" spans="1:21">
      <c r="A948" s="11" t="s">
        <v>1393</v>
      </c>
      <c r="B948" s="7">
        <f>_xlfn.XLOOKUP(Jnl[[#This Row],[TrxId]], Trx[Id], Trx[Date],,0)</f>
        <v>46081</v>
      </c>
      <c r="C948" s="7" t="str">
        <f>_xlfn.XLOOKUP(Jnl[[#This Row],[TrxId]], Trx[Id], Trx[Division],,0)</f>
        <v>Brand</v>
      </c>
      <c r="D948" s="7" t="str">
        <f>_xlfn.XLOOKUP(Jnl[[#This Row],[TrxId]], Trx[Id], Trx[Action],,0)</f>
        <v>差旅</v>
      </c>
      <c r="E948" s="26" t="s">
        <v>84</v>
      </c>
      <c r="F948" s="11" t="s">
        <v>590</v>
      </c>
      <c r="G948" s="11" t="s">
        <v>390</v>
      </c>
      <c r="H948" s="72">
        <v>-1615.04</v>
      </c>
      <c r="I948" s="5" t="b">
        <f>AND(Jnl[[#This Row],[TrxId]]&lt;&gt;"",Jnl[[#This Row],[Acct]]&lt;&gt;"",Jnl[[#This Row],[Item]]&lt;&gt;"",ISNUMBER(Jnl[[#This Row],[Bal]]))</f>
        <v>1</v>
      </c>
      <c r="J948" s="10">
        <f>IF(Jnl[[#This Row],[BSLv0]]="A",1,-1)*Jnl[[#This Row],[Bal]]</f>
        <v>-1615.04</v>
      </c>
      <c r="K948" t="str">
        <f>_xlfn.XLOOKUP(Jnl[[#This Row],[Acct]], config_BS[Acct], config_BS[Lv0],,0)</f>
        <v>A</v>
      </c>
      <c r="L948" t="str">
        <f>_xlfn.XLOOKUP(Jnl[[#This Row],[Acct]], config_BS[Acct], config_BS[Lv1],,0)</f>
        <v>Assets</v>
      </c>
      <c r="M948" t="str">
        <f>_xlfn.XLOOKUP(Jnl[[#This Row],[Acct]], config_BS[Acct], config_BS[Lv2],,0)</f>
        <v>Cash alike</v>
      </c>
      <c r="N948" t="str">
        <f>_xlfn.XLOOKUP(Jnl[[#This Row],[TrxId]], Trx[Id], Trx[IncNode], ,0)</f>
        <v>Expense</v>
      </c>
      <c r="O948" t="str">
        <f>_xlfn.XLOOKUP(Jnl[[#This Row],[IncNode]], config_IS[Node], config_IS[Type],,0)</f>
        <v>Op</v>
      </c>
      <c r="P948" t="str">
        <f>_xlfn.XLOOKUP(Jnl[[#This Row],[BSLv2]], dict[Key], dict[Name],,0)</f>
        <v>0.现金及类似</v>
      </c>
      <c r="Q948" t="str">
        <f>_xlfn.XLOOKUP(Jnl[[#This Row],[Acct]], dict[Key], dict[Name],,0)</f>
        <v>银行</v>
      </c>
      <c r="R948" t="str">
        <f>_xlfn.XLOOKUP(Jnl[[#This Row],[Vehicle]],config_vehicle[Id], config_vehicle[Name],,0)</f>
        <v>榆乐</v>
      </c>
      <c r="S948" t="str">
        <f>_xlfn.XLOOKUP(Jnl[[#This Row],[Division]],config_div[Id], config_div[Name],,0)</f>
        <v>品牌</v>
      </c>
      <c r="T948" t="str">
        <f>IF(Jnl[[#This Row],[TrxDate]]&lt;=stmt_BS_date_end, "In", "Out")</f>
        <v>In</v>
      </c>
      <c r="U948" t="str">
        <f>IF(Jnl[[#This Row],[TrxDate]]&lt;debug_date_start, "prior", IF(Jnl[[#This Row],[TrxDate]]&gt;debug_date_end, "post", "curr"))</f>
        <v>curr</v>
      </c>
    </row>
    <row r="949" spans="1:21">
      <c r="A949" s="11" t="s">
        <v>1394</v>
      </c>
      <c r="B949" s="7">
        <f>_xlfn.XLOOKUP(Jnl[[#This Row],[TrxId]], Trx[Id], Trx[Date],,0)</f>
        <v>46081</v>
      </c>
      <c r="C949" s="7" t="str">
        <f>_xlfn.XLOOKUP(Jnl[[#This Row],[TrxId]], Trx[Id], Trx[Division],,0)</f>
        <v>Online</v>
      </c>
      <c r="D949" s="7" t="str">
        <f>_xlfn.XLOOKUP(Jnl[[#This Row],[TrxId]], Trx[Id], Trx[Action],,0)</f>
        <v>设计</v>
      </c>
      <c r="E949" s="26" t="s">
        <v>84</v>
      </c>
      <c r="F949" s="11" t="s">
        <v>590</v>
      </c>
      <c r="G949" s="11" t="s">
        <v>390</v>
      </c>
      <c r="H949" s="72">
        <v>-880</v>
      </c>
      <c r="I949" s="5" t="b">
        <f>AND(Jnl[[#This Row],[TrxId]]&lt;&gt;"",Jnl[[#This Row],[Acct]]&lt;&gt;"",Jnl[[#This Row],[Item]]&lt;&gt;"",ISNUMBER(Jnl[[#This Row],[Bal]]))</f>
        <v>1</v>
      </c>
      <c r="J949" s="10">
        <f>IF(Jnl[[#This Row],[BSLv0]]="A",1,-1)*Jnl[[#This Row],[Bal]]</f>
        <v>-880</v>
      </c>
      <c r="K949" t="str">
        <f>_xlfn.XLOOKUP(Jnl[[#This Row],[Acct]], config_BS[Acct], config_BS[Lv0],,0)</f>
        <v>A</v>
      </c>
      <c r="L949" t="str">
        <f>_xlfn.XLOOKUP(Jnl[[#This Row],[Acct]], config_BS[Acct], config_BS[Lv1],,0)</f>
        <v>Assets</v>
      </c>
      <c r="M949" t="str">
        <f>_xlfn.XLOOKUP(Jnl[[#This Row],[Acct]], config_BS[Acct], config_BS[Lv2],,0)</f>
        <v>Cash alike</v>
      </c>
      <c r="N949" t="str">
        <f>_xlfn.XLOOKUP(Jnl[[#This Row],[TrxId]], Trx[Id], Trx[IncNode], ,0)</f>
        <v>Expense</v>
      </c>
      <c r="O949" t="str">
        <f>_xlfn.XLOOKUP(Jnl[[#This Row],[IncNode]], config_IS[Node], config_IS[Type],,0)</f>
        <v>Op</v>
      </c>
      <c r="P949" t="str">
        <f>_xlfn.XLOOKUP(Jnl[[#This Row],[BSLv2]], dict[Key], dict[Name],,0)</f>
        <v>0.现金及类似</v>
      </c>
      <c r="Q949" t="str">
        <f>_xlfn.XLOOKUP(Jnl[[#This Row],[Acct]], dict[Key], dict[Name],,0)</f>
        <v>银行</v>
      </c>
      <c r="R949" t="str">
        <f>_xlfn.XLOOKUP(Jnl[[#This Row],[Vehicle]],config_vehicle[Id], config_vehicle[Name],,0)</f>
        <v>榆乐</v>
      </c>
      <c r="S949" t="str">
        <f>_xlfn.XLOOKUP(Jnl[[#This Row],[Division]],config_div[Id], config_div[Name],,0)</f>
        <v>网店</v>
      </c>
      <c r="T949" t="str">
        <f>IF(Jnl[[#This Row],[TrxDate]]&lt;=stmt_BS_date_end, "In", "Out")</f>
        <v>In</v>
      </c>
      <c r="U949" t="str">
        <f>IF(Jnl[[#This Row],[TrxDate]]&lt;debug_date_start, "prior", IF(Jnl[[#This Row],[TrxDate]]&gt;debug_date_end, "post", "curr"))</f>
        <v>curr</v>
      </c>
    </row>
    <row r="950" spans="1:21">
      <c r="A950" s="11" t="s">
        <v>1395</v>
      </c>
      <c r="B950" s="7">
        <f>_xlfn.XLOOKUP(Jnl[[#This Row],[TrxId]], Trx[Id], Trx[Date],,0)</f>
        <v>46081</v>
      </c>
      <c r="C950" s="7" t="str">
        <f>_xlfn.XLOOKUP(Jnl[[#This Row],[TrxId]], Trx[Id], Trx[Division],,0)</f>
        <v>Online</v>
      </c>
      <c r="D950" s="7" t="str">
        <f>_xlfn.XLOOKUP(Jnl[[#This Row],[TrxId]], Trx[Id], Trx[Action],,0)</f>
        <v>设计</v>
      </c>
      <c r="E950" s="26" t="s">
        <v>84</v>
      </c>
      <c r="F950" s="11" t="s">
        <v>590</v>
      </c>
      <c r="G950" s="11" t="s">
        <v>390</v>
      </c>
      <c r="H950" s="72">
        <v>-109.47</v>
      </c>
      <c r="I950" s="5" t="b">
        <f>AND(Jnl[[#This Row],[TrxId]]&lt;&gt;"",Jnl[[#This Row],[Acct]]&lt;&gt;"",Jnl[[#This Row],[Item]]&lt;&gt;"",ISNUMBER(Jnl[[#This Row],[Bal]]))</f>
        <v>1</v>
      </c>
      <c r="J950" s="10">
        <f>IF(Jnl[[#This Row],[BSLv0]]="A",1,-1)*Jnl[[#This Row],[Bal]]</f>
        <v>-109.47</v>
      </c>
      <c r="K950" t="str">
        <f>_xlfn.XLOOKUP(Jnl[[#This Row],[Acct]], config_BS[Acct], config_BS[Lv0],,0)</f>
        <v>A</v>
      </c>
      <c r="L950" t="str">
        <f>_xlfn.XLOOKUP(Jnl[[#This Row],[Acct]], config_BS[Acct], config_BS[Lv1],,0)</f>
        <v>Assets</v>
      </c>
      <c r="M950" t="str">
        <f>_xlfn.XLOOKUP(Jnl[[#This Row],[Acct]], config_BS[Acct], config_BS[Lv2],,0)</f>
        <v>Cash alike</v>
      </c>
      <c r="N950" t="str">
        <f>_xlfn.XLOOKUP(Jnl[[#This Row],[TrxId]], Trx[Id], Trx[IncNode], ,0)</f>
        <v>Expense</v>
      </c>
      <c r="O950" t="str">
        <f>_xlfn.XLOOKUP(Jnl[[#This Row],[IncNode]], config_IS[Node], config_IS[Type],,0)</f>
        <v>Op</v>
      </c>
      <c r="P950" t="str">
        <f>_xlfn.XLOOKUP(Jnl[[#This Row],[BSLv2]], dict[Key], dict[Name],,0)</f>
        <v>0.现金及类似</v>
      </c>
      <c r="Q950" t="str">
        <f>_xlfn.XLOOKUP(Jnl[[#This Row],[Acct]], dict[Key], dict[Name],,0)</f>
        <v>银行</v>
      </c>
      <c r="R950" t="str">
        <f>_xlfn.XLOOKUP(Jnl[[#This Row],[Vehicle]],config_vehicle[Id], config_vehicle[Name],,0)</f>
        <v>榆乐</v>
      </c>
      <c r="S950" t="str">
        <f>_xlfn.XLOOKUP(Jnl[[#This Row],[Division]],config_div[Id], config_div[Name],,0)</f>
        <v>网店</v>
      </c>
      <c r="T950" t="str">
        <f>IF(Jnl[[#This Row],[TrxDate]]&lt;=stmt_BS_date_end, "In", "Out")</f>
        <v>In</v>
      </c>
      <c r="U950" t="str">
        <f>IF(Jnl[[#This Row],[TrxDate]]&lt;debug_date_start, "prior", IF(Jnl[[#This Row],[TrxDate]]&gt;debug_date_end, "post", "curr"))</f>
        <v>curr</v>
      </c>
    </row>
    <row r="951" spans="1:21">
      <c r="A951" s="11" t="s">
        <v>1396</v>
      </c>
      <c r="B951" s="7">
        <f>_xlfn.XLOOKUP(Jnl[[#This Row],[TrxId]], Trx[Id], Trx[Date],,0)</f>
        <v>46081</v>
      </c>
      <c r="C951" s="7" t="str">
        <f>_xlfn.XLOOKUP(Jnl[[#This Row],[TrxId]], Trx[Id], Trx[Division],,0)</f>
        <v>Brand</v>
      </c>
      <c r="D951" s="7" t="str">
        <f>_xlfn.XLOOKUP(Jnl[[#This Row],[TrxId]], Trx[Id], Trx[Action],,0)</f>
        <v>差旅</v>
      </c>
      <c r="E951" s="26" t="s">
        <v>84</v>
      </c>
      <c r="F951" s="11" t="s">
        <v>590</v>
      </c>
      <c r="G951" s="11" t="s">
        <v>390</v>
      </c>
      <c r="H951" s="72">
        <v>-102.51</v>
      </c>
      <c r="I951" s="5" t="b">
        <f>AND(Jnl[[#This Row],[TrxId]]&lt;&gt;"",Jnl[[#This Row],[Acct]]&lt;&gt;"",Jnl[[#This Row],[Item]]&lt;&gt;"",ISNUMBER(Jnl[[#This Row],[Bal]]))</f>
        <v>1</v>
      </c>
      <c r="J951" s="10">
        <f>IF(Jnl[[#This Row],[BSLv0]]="A",1,-1)*Jnl[[#This Row],[Bal]]</f>
        <v>-102.51</v>
      </c>
      <c r="K951" t="str">
        <f>_xlfn.XLOOKUP(Jnl[[#This Row],[Acct]], config_BS[Acct], config_BS[Lv0],,0)</f>
        <v>A</v>
      </c>
      <c r="L951" t="str">
        <f>_xlfn.XLOOKUP(Jnl[[#This Row],[Acct]], config_BS[Acct], config_BS[Lv1],,0)</f>
        <v>Assets</v>
      </c>
      <c r="M951" t="str">
        <f>_xlfn.XLOOKUP(Jnl[[#This Row],[Acct]], config_BS[Acct], config_BS[Lv2],,0)</f>
        <v>Cash alike</v>
      </c>
      <c r="N951" t="str">
        <f>_xlfn.XLOOKUP(Jnl[[#This Row],[TrxId]], Trx[Id], Trx[IncNode], ,0)</f>
        <v>Expense</v>
      </c>
      <c r="O951" t="str">
        <f>_xlfn.XLOOKUP(Jnl[[#This Row],[IncNode]], config_IS[Node], config_IS[Type],,0)</f>
        <v>Op</v>
      </c>
      <c r="P951" t="str">
        <f>_xlfn.XLOOKUP(Jnl[[#This Row],[BSLv2]], dict[Key], dict[Name],,0)</f>
        <v>0.现金及类似</v>
      </c>
      <c r="Q951" t="str">
        <f>_xlfn.XLOOKUP(Jnl[[#This Row],[Acct]], dict[Key], dict[Name],,0)</f>
        <v>银行</v>
      </c>
      <c r="R951" t="str">
        <f>_xlfn.XLOOKUP(Jnl[[#This Row],[Vehicle]],config_vehicle[Id], config_vehicle[Name],,0)</f>
        <v>榆乐</v>
      </c>
      <c r="S951" t="str">
        <f>_xlfn.XLOOKUP(Jnl[[#This Row],[Division]],config_div[Id], config_div[Name],,0)</f>
        <v>品牌</v>
      </c>
      <c r="T951" t="str">
        <f>IF(Jnl[[#This Row],[TrxDate]]&lt;=stmt_BS_date_end, "In", "Out")</f>
        <v>In</v>
      </c>
      <c r="U951" t="str">
        <f>IF(Jnl[[#This Row],[TrxDate]]&lt;debug_date_start, "prior", IF(Jnl[[#This Row],[TrxDate]]&gt;debug_date_end, "post", "curr"))</f>
        <v>curr</v>
      </c>
    </row>
    <row r="952" spans="1:21">
      <c r="A952" s="11" t="s">
        <v>1397</v>
      </c>
      <c r="B952" s="7">
        <f>_xlfn.XLOOKUP(Jnl[[#This Row],[TrxId]], Trx[Id], Trx[Date],,0)</f>
        <v>46081</v>
      </c>
      <c r="C952" s="7" t="str">
        <f>_xlfn.XLOOKUP(Jnl[[#This Row],[TrxId]], Trx[Id], Trx[Division],,0)</f>
        <v>Online</v>
      </c>
      <c r="D952" s="7" t="str">
        <f>_xlfn.XLOOKUP(Jnl[[#This Row],[TrxId]], Trx[Id], Trx[Action],,0)</f>
        <v>设计</v>
      </c>
      <c r="E952" s="26" t="s">
        <v>84</v>
      </c>
      <c r="F952" s="11" t="s">
        <v>590</v>
      </c>
      <c r="G952" s="11" t="s">
        <v>390</v>
      </c>
      <c r="H952" s="72">
        <v>-152.47</v>
      </c>
      <c r="I952" s="5" t="b">
        <f>AND(Jnl[[#This Row],[TrxId]]&lt;&gt;"",Jnl[[#This Row],[Acct]]&lt;&gt;"",Jnl[[#This Row],[Item]]&lt;&gt;"",ISNUMBER(Jnl[[#This Row],[Bal]]))</f>
        <v>1</v>
      </c>
      <c r="J952" s="10">
        <f>IF(Jnl[[#This Row],[BSLv0]]="A",1,-1)*Jnl[[#This Row],[Bal]]</f>
        <v>-152.47</v>
      </c>
      <c r="K952" t="str">
        <f>_xlfn.XLOOKUP(Jnl[[#This Row],[Acct]], config_BS[Acct], config_BS[Lv0],,0)</f>
        <v>A</v>
      </c>
      <c r="L952" t="str">
        <f>_xlfn.XLOOKUP(Jnl[[#This Row],[Acct]], config_BS[Acct], config_BS[Lv1],,0)</f>
        <v>Assets</v>
      </c>
      <c r="M952" t="str">
        <f>_xlfn.XLOOKUP(Jnl[[#This Row],[Acct]], config_BS[Acct], config_BS[Lv2],,0)</f>
        <v>Cash alike</v>
      </c>
      <c r="N952" t="str">
        <f>_xlfn.XLOOKUP(Jnl[[#This Row],[TrxId]], Trx[Id], Trx[IncNode], ,0)</f>
        <v>Expense</v>
      </c>
      <c r="O952" t="str">
        <f>_xlfn.XLOOKUP(Jnl[[#This Row],[IncNode]], config_IS[Node], config_IS[Type],,0)</f>
        <v>Op</v>
      </c>
      <c r="P952" t="str">
        <f>_xlfn.XLOOKUP(Jnl[[#This Row],[BSLv2]], dict[Key], dict[Name],,0)</f>
        <v>0.现金及类似</v>
      </c>
      <c r="Q952" t="str">
        <f>_xlfn.XLOOKUP(Jnl[[#This Row],[Acct]], dict[Key], dict[Name],,0)</f>
        <v>银行</v>
      </c>
      <c r="R952" t="str">
        <f>_xlfn.XLOOKUP(Jnl[[#This Row],[Vehicle]],config_vehicle[Id], config_vehicle[Name],,0)</f>
        <v>榆乐</v>
      </c>
      <c r="S952" t="str">
        <f>_xlfn.XLOOKUP(Jnl[[#This Row],[Division]],config_div[Id], config_div[Name],,0)</f>
        <v>网店</v>
      </c>
      <c r="T952" t="str">
        <f>IF(Jnl[[#This Row],[TrxDate]]&lt;=stmt_BS_date_end, "In", "Out")</f>
        <v>In</v>
      </c>
      <c r="U952" t="str">
        <f>IF(Jnl[[#This Row],[TrxDate]]&lt;debug_date_start, "prior", IF(Jnl[[#This Row],[TrxDate]]&gt;debug_date_end, "post", "curr"))</f>
        <v>curr</v>
      </c>
    </row>
    <row r="953" spans="1:21">
      <c r="A953" s="11" t="s">
        <v>1398</v>
      </c>
      <c r="B953" s="7">
        <f>_xlfn.XLOOKUP(Jnl[[#This Row],[TrxId]], Trx[Id], Trx[Date],,0)</f>
        <v>46081</v>
      </c>
      <c r="C953" s="7" t="str">
        <f>_xlfn.XLOOKUP(Jnl[[#This Row],[TrxId]], Trx[Id], Trx[Division],,0)</f>
        <v>Online</v>
      </c>
      <c r="D953" s="7" t="str">
        <f>_xlfn.XLOOKUP(Jnl[[#This Row],[TrxId]], Trx[Id], Trx[Action],,0)</f>
        <v>办公</v>
      </c>
      <c r="E953" s="26" t="s">
        <v>84</v>
      </c>
      <c r="F953" s="11" t="s">
        <v>590</v>
      </c>
      <c r="G953" s="11" t="s">
        <v>390</v>
      </c>
      <c r="H953" s="72">
        <v>-1180</v>
      </c>
      <c r="I953" s="5" t="b">
        <f>AND(Jnl[[#This Row],[TrxId]]&lt;&gt;"",Jnl[[#This Row],[Acct]]&lt;&gt;"",Jnl[[#This Row],[Item]]&lt;&gt;"",ISNUMBER(Jnl[[#This Row],[Bal]]))</f>
        <v>1</v>
      </c>
      <c r="J953" s="10">
        <f>IF(Jnl[[#This Row],[BSLv0]]="A",1,-1)*Jnl[[#This Row],[Bal]]</f>
        <v>-1180</v>
      </c>
      <c r="K953" t="str">
        <f>_xlfn.XLOOKUP(Jnl[[#This Row],[Acct]], config_BS[Acct], config_BS[Lv0],,0)</f>
        <v>A</v>
      </c>
      <c r="L953" t="str">
        <f>_xlfn.XLOOKUP(Jnl[[#This Row],[Acct]], config_BS[Acct], config_BS[Lv1],,0)</f>
        <v>Assets</v>
      </c>
      <c r="M953" t="str">
        <f>_xlfn.XLOOKUP(Jnl[[#This Row],[Acct]], config_BS[Acct], config_BS[Lv2],,0)</f>
        <v>Cash alike</v>
      </c>
      <c r="N953" t="str">
        <f>_xlfn.XLOOKUP(Jnl[[#This Row],[TrxId]], Trx[Id], Trx[IncNode], ,0)</f>
        <v>Expense</v>
      </c>
      <c r="O953" t="str">
        <f>_xlfn.XLOOKUP(Jnl[[#This Row],[IncNode]], config_IS[Node], config_IS[Type],,0)</f>
        <v>Op</v>
      </c>
      <c r="P953" t="str">
        <f>_xlfn.XLOOKUP(Jnl[[#This Row],[BSLv2]], dict[Key], dict[Name],,0)</f>
        <v>0.现金及类似</v>
      </c>
      <c r="Q953" t="str">
        <f>_xlfn.XLOOKUP(Jnl[[#This Row],[Acct]], dict[Key], dict[Name],,0)</f>
        <v>银行</v>
      </c>
      <c r="R953" t="str">
        <f>_xlfn.XLOOKUP(Jnl[[#This Row],[Vehicle]],config_vehicle[Id], config_vehicle[Name],,0)</f>
        <v>榆乐</v>
      </c>
      <c r="S953" t="str">
        <f>_xlfn.XLOOKUP(Jnl[[#This Row],[Division]],config_div[Id], config_div[Name],,0)</f>
        <v>网店</v>
      </c>
      <c r="T953" t="str">
        <f>IF(Jnl[[#This Row],[TrxDate]]&lt;=stmt_BS_date_end, "In", "Out")</f>
        <v>In</v>
      </c>
      <c r="U953" t="str">
        <f>IF(Jnl[[#This Row],[TrxDate]]&lt;debug_date_start, "prior", IF(Jnl[[#This Row],[TrxDate]]&gt;debug_date_end, "post", "curr"))</f>
        <v>curr</v>
      </c>
    </row>
    <row r="954" spans="1:21">
      <c r="A954" s="11" t="s">
        <v>1399</v>
      </c>
      <c r="B954" s="7">
        <f>_xlfn.XLOOKUP(Jnl[[#This Row],[TrxId]], Trx[Id], Trx[Date],,0)</f>
        <v>46081</v>
      </c>
      <c r="C954" s="7" t="str">
        <f>_xlfn.XLOOKUP(Jnl[[#This Row],[TrxId]], Trx[Id], Trx[Division],,0)</f>
        <v>GM</v>
      </c>
      <c r="D954" s="7" t="str">
        <f>_xlfn.XLOOKUP(Jnl[[#This Row],[TrxId]], Trx[Id], Trx[Action],,0)</f>
        <v>公共设施</v>
      </c>
      <c r="E954" s="26" t="s">
        <v>84</v>
      </c>
      <c r="F954" s="11" t="s">
        <v>590</v>
      </c>
      <c r="G954" s="11" t="s">
        <v>390</v>
      </c>
      <c r="H954" s="72">
        <v>-2540.16</v>
      </c>
      <c r="I954" s="5" t="b">
        <f>AND(Jnl[[#This Row],[TrxId]]&lt;&gt;"",Jnl[[#This Row],[Acct]]&lt;&gt;"",Jnl[[#This Row],[Item]]&lt;&gt;"",ISNUMBER(Jnl[[#This Row],[Bal]]))</f>
        <v>1</v>
      </c>
      <c r="J954" s="10">
        <f>IF(Jnl[[#This Row],[BSLv0]]="A",1,-1)*Jnl[[#This Row],[Bal]]</f>
        <v>-2540.16</v>
      </c>
      <c r="K954" t="str">
        <f>_xlfn.XLOOKUP(Jnl[[#This Row],[Acct]], config_BS[Acct], config_BS[Lv0],,0)</f>
        <v>A</v>
      </c>
      <c r="L954" t="str">
        <f>_xlfn.XLOOKUP(Jnl[[#This Row],[Acct]], config_BS[Acct], config_BS[Lv1],,0)</f>
        <v>Assets</v>
      </c>
      <c r="M954" t="str">
        <f>_xlfn.XLOOKUP(Jnl[[#This Row],[Acct]], config_BS[Acct], config_BS[Lv2],,0)</f>
        <v>Cash alike</v>
      </c>
      <c r="N954" t="str">
        <f>_xlfn.XLOOKUP(Jnl[[#This Row],[TrxId]], Trx[Id], Trx[IncNode], ,0)</f>
        <v>Expense</v>
      </c>
      <c r="O954" t="str">
        <f>_xlfn.XLOOKUP(Jnl[[#This Row],[IncNode]], config_IS[Node], config_IS[Type],,0)</f>
        <v>Op</v>
      </c>
      <c r="P954" t="str">
        <f>_xlfn.XLOOKUP(Jnl[[#This Row],[BSLv2]], dict[Key], dict[Name],,0)</f>
        <v>0.现金及类似</v>
      </c>
      <c r="Q954" t="str">
        <f>_xlfn.XLOOKUP(Jnl[[#This Row],[Acct]], dict[Key], dict[Name],,0)</f>
        <v>银行</v>
      </c>
      <c r="R954" t="str">
        <f>_xlfn.XLOOKUP(Jnl[[#This Row],[Vehicle]],config_vehicle[Id], config_vehicle[Name],,0)</f>
        <v>榆乐</v>
      </c>
      <c r="S954" t="str">
        <f>_xlfn.XLOOKUP(Jnl[[#This Row],[Division]],config_div[Id], config_div[Name],,0)</f>
        <v>综合管理</v>
      </c>
      <c r="T954" t="str">
        <f>IF(Jnl[[#This Row],[TrxDate]]&lt;=stmt_BS_date_end, "In", "Out")</f>
        <v>In</v>
      </c>
      <c r="U954" t="str">
        <f>IF(Jnl[[#This Row],[TrxDate]]&lt;debug_date_start, "prior", IF(Jnl[[#This Row],[TrxDate]]&gt;debug_date_end, "post", "curr"))</f>
        <v>curr</v>
      </c>
    </row>
    <row r="955" spans="1:21">
      <c r="A955" s="11" t="s">
        <v>1400</v>
      </c>
      <c r="B955" s="7">
        <f>_xlfn.XLOOKUP(Jnl[[#This Row],[TrxId]], Trx[Id], Trx[Date],,0)</f>
        <v>46081</v>
      </c>
      <c r="C955" s="7" t="str">
        <f>_xlfn.XLOOKUP(Jnl[[#This Row],[TrxId]], Trx[Id], Trx[Division],,0)</f>
        <v>Online</v>
      </c>
      <c r="D955" s="7" t="str">
        <f>_xlfn.XLOOKUP(Jnl[[#This Row],[TrxId]], Trx[Id], Trx[Action],,0)</f>
        <v>采购</v>
      </c>
      <c r="E955" s="26" t="s">
        <v>80</v>
      </c>
      <c r="F955" s="11" t="s">
        <v>598</v>
      </c>
      <c r="G955" s="11" t="s">
        <v>151</v>
      </c>
      <c r="H955" s="72">
        <v>264</v>
      </c>
      <c r="I955" s="5" t="b">
        <f>AND(Jnl[[#This Row],[TrxId]]&lt;&gt;"",Jnl[[#This Row],[Acct]]&lt;&gt;"",Jnl[[#This Row],[Item]]&lt;&gt;"",ISNUMBER(Jnl[[#This Row],[Bal]]))</f>
        <v>1</v>
      </c>
      <c r="J955" s="10">
        <f>IF(Jnl[[#This Row],[BSLv0]]="A",1,-1)*Jnl[[#This Row],[Bal]]</f>
        <v>264</v>
      </c>
      <c r="K955" t="str">
        <f>_xlfn.XLOOKUP(Jnl[[#This Row],[Acct]], config_BS[Acct], config_BS[Lv0],,0)</f>
        <v>A</v>
      </c>
      <c r="L955" t="str">
        <f>_xlfn.XLOOKUP(Jnl[[#This Row],[Acct]], config_BS[Acct], config_BS[Lv1],,0)</f>
        <v>Assets</v>
      </c>
      <c r="M955" t="str">
        <f>_xlfn.XLOOKUP(Jnl[[#This Row],[Acct]], config_BS[Acct], config_BS[Lv2],,0)</f>
        <v>Invtr</v>
      </c>
      <c r="N955" t="str">
        <f>_xlfn.XLOOKUP(Jnl[[#This Row],[TrxId]], Trx[Id], Trx[IncNode], ,0)</f>
        <v>Cost</v>
      </c>
      <c r="O955" t="str">
        <f>_xlfn.XLOOKUP(Jnl[[#This Row],[IncNode]], config_IS[Node], config_IS[Type],,0)</f>
        <v>Op</v>
      </c>
      <c r="P955" t="str">
        <f>_xlfn.XLOOKUP(Jnl[[#This Row],[BSLv2]], dict[Key], dict[Name],,0)</f>
        <v>3.库存占款</v>
      </c>
      <c r="Q955" t="str">
        <f>_xlfn.XLOOKUP(Jnl[[#This Row],[Acct]], dict[Key], dict[Name],,0)</f>
        <v>当期存货</v>
      </c>
      <c r="R955" t="str">
        <f>_xlfn.XLOOKUP(Jnl[[#This Row],[Vehicle]],config_vehicle[Id], config_vehicle[Name],,0)</f>
        <v>远家花园</v>
      </c>
      <c r="S955" t="str">
        <f>_xlfn.XLOOKUP(Jnl[[#This Row],[Division]],config_div[Id], config_div[Name],,0)</f>
        <v>网店</v>
      </c>
      <c r="T955" t="str">
        <f>IF(Jnl[[#This Row],[TrxDate]]&lt;=stmt_BS_date_end, "In", "Out")</f>
        <v>In</v>
      </c>
      <c r="U955" t="str">
        <f>IF(Jnl[[#This Row],[TrxDate]]&lt;debug_date_start, "prior", IF(Jnl[[#This Row],[TrxDate]]&gt;debug_date_end, "post", "curr"))</f>
        <v>curr</v>
      </c>
    </row>
    <row r="956" spans="1:21">
      <c r="A956" s="11" t="s">
        <v>1400</v>
      </c>
      <c r="B956" s="7">
        <f>_xlfn.XLOOKUP(Jnl[[#This Row],[TrxId]], Trx[Id], Trx[Date],,0)</f>
        <v>46081</v>
      </c>
      <c r="C956" s="7" t="str">
        <f>_xlfn.XLOOKUP(Jnl[[#This Row],[TrxId]], Trx[Id], Trx[Division],,0)</f>
        <v>Online</v>
      </c>
      <c r="D956" s="7" t="str">
        <f>_xlfn.XLOOKUP(Jnl[[#This Row],[TrxId]], Trx[Id], Trx[Action],,0)</f>
        <v>采购</v>
      </c>
      <c r="E956" s="26" t="s">
        <v>84</v>
      </c>
      <c r="F956" s="11" t="s">
        <v>590</v>
      </c>
      <c r="G956" s="11" t="s">
        <v>390</v>
      </c>
      <c r="H956" s="72">
        <v>-264</v>
      </c>
      <c r="I956" s="5" t="b">
        <f>AND(Jnl[[#This Row],[TrxId]]&lt;&gt;"",Jnl[[#This Row],[Acct]]&lt;&gt;"",Jnl[[#This Row],[Item]]&lt;&gt;"",ISNUMBER(Jnl[[#This Row],[Bal]]))</f>
        <v>1</v>
      </c>
      <c r="J956" s="10">
        <f>IF(Jnl[[#This Row],[BSLv0]]="A",1,-1)*Jnl[[#This Row],[Bal]]</f>
        <v>-264</v>
      </c>
      <c r="K956" t="str">
        <f>_xlfn.XLOOKUP(Jnl[[#This Row],[Acct]], config_BS[Acct], config_BS[Lv0],,0)</f>
        <v>A</v>
      </c>
      <c r="L956" t="str">
        <f>_xlfn.XLOOKUP(Jnl[[#This Row],[Acct]], config_BS[Acct], config_BS[Lv1],,0)</f>
        <v>Assets</v>
      </c>
      <c r="M956" t="str">
        <f>_xlfn.XLOOKUP(Jnl[[#This Row],[Acct]], config_BS[Acct], config_BS[Lv2],,0)</f>
        <v>Cash alike</v>
      </c>
      <c r="N956" t="str">
        <f>_xlfn.XLOOKUP(Jnl[[#This Row],[TrxId]], Trx[Id], Trx[IncNode], ,0)</f>
        <v>Cost</v>
      </c>
      <c r="O956" t="str">
        <f>_xlfn.XLOOKUP(Jnl[[#This Row],[IncNode]], config_IS[Node], config_IS[Type],,0)</f>
        <v>Op</v>
      </c>
      <c r="P956" t="str">
        <f>_xlfn.XLOOKUP(Jnl[[#This Row],[BSLv2]], dict[Key], dict[Name],,0)</f>
        <v>0.现金及类似</v>
      </c>
      <c r="Q956" t="str">
        <f>_xlfn.XLOOKUP(Jnl[[#This Row],[Acct]], dict[Key], dict[Name],,0)</f>
        <v>银行</v>
      </c>
      <c r="R956" t="str">
        <f>_xlfn.XLOOKUP(Jnl[[#This Row],[Vehicle]],config_vehicle[Id], config_vehicle[Name],,0)</f>
        <v>榆乐</v>
      </c>
      <c r="S956" t="str">
        <f>_xlfn.XLOOKUP(Jnl[[#This Row],[Division]],config_div[Id], config_div[Name],,0)</f>
        <v>网店</v>
      </c>
      <c r="T956" t="str">
        <f>IF(Jnl[[#This Row],[TrxDate]]&lt;=stmt_BS_date_end, "In", "Out")</f>
        <v>In</v>
      </c>
      <c r="U956" t="str">
        <f>IF(Jnl[[#This Row],[TrxDate]]&lt;debug_date_start, "prior", IF(Jnl[[#This Row],[TrxDate]]&gt;debug_date_end, "post", "curr"))</f>
        <v>curr</v>
      </c>
    </row>
    <row r="957" spans="1:21">
      <c r="A957" s="11" t="s">
        <v>1401</v>
      </c>
      <c r="B957" s="7">
        <f>_xlfn.XLOOKUP(Jnl[[#This Row],[TrxId]], Trx[Id], Trx[Date],,0)</f>
        <v>46081</v>
      </c>
      <c r="C957" s="7" t="str">
        <f>_xlfn.XLOOKUP(Jnl[[#This Row],[TrxId]], Trx[Id], Trx[Division],,0)</f>
        <v>Online</v>
      </c>
      <c r="D957" s="7" t="str">
        <f>_xlfn.XLOOKUP(Jnl[[#This Row],[TrxId]], Trx[Id], Trx[Action],,0)</f>
        <v>设计</v>
      </c>
      <c r="E957" s="26" t="s">
        <v>84</v>
      </c>
      <c r="F957" s="11" t="s">
        <v>590</v>
      </c>
      <c r="G957" s="11" t="s">
        <v>390</v>
      </c>
      <c r="H957" s="72">
        <v>-325</v>
      </c>
      <c r="I957" s="5" t="b">
        <f>AND(Jnl[[#This Row],[TrxId]]&lt;&gt;"",Jnl[[#This Row],[Acct]]&lt;&gt;"",Jnl[[#This Row],[Item]]&lt;&gt;"",ISNUMBER(Jnl[[#This Row],[Bal]]))</f>
        <v>1</v>
      </c>
      <c r="J957" s="10">
        <f>IF(Jnl[[#This Row],[BSLv0]]="A",1,-1)*Jnl[[#This Row],[Bal]]</f>
        <v>-325</v>
      </c>
      <c r="K957" t="str">
        <f>_xlfn.XLOOKUP(Jnl[[#This Row],[Acct]], config_BS[Acct], config_BS[Lv0],,0)</f>
        <v>A</v>
      </c>
      <c r="L957" t="str">
        <f>_xlfn.XLOOKUP(Jnl[[#This Row],[Acct]], config_BS[Acct], config_BS[Lv1],,0)</f>
        <v>Assets</v>
      </c>
      <c r="M957" t="str">
        <f>_xlfn.XLOOKUP(Jnl[[#This Row],[Acct]], config_BS[Acct], config_BS[Lv2],,0)</f>
        <v>Cash alike</v>
      </c>
      <c r="N957" t="str">
        <f>_xlfn.XLOOKUP(Jnl[[#This Row],[TrxId]], Trx[Id], Trx[IncNode], ,0)</f>
        <v>Expense</v>
      </c>
      <c r="O957" t="str">
        <f>_xlfn.XLOOKUP(Jnl[[#This Row],[IncNode]], config_IS[Node], config_IS[Type],,0)</f>
        <v>Op</v>
      </c>
      <c r="P957" t="str">
        <f>_xlfn.XLOOKUP(Jnl[[#This Row],[BSLv2]], dict[Key], dict[Name],,0)</f>
        <v>0.现金及类似</v>
      </c>
      <c r="Q957" t="str">
        <f>_xlfn.XLOOKUP(Jnl[[#This Row],[Acct]], dict[Key], dict[Name],,0)</f>
        <v>银行</v>
      </c>
      <c r="R957" t="str">
        <f>_xlfn.XLOOKUP(Jnl[[#This Row],[Vehicle]],config_vehicle[Id], config_vehicle[Name],,0)</f>
        <v>榆乐</v>
      </c>
      <c r="S957" t="str">
        <f>_xlfn.XLOOKUP(Jnl[[#This Row],[Division]],config_div[Id], config_div[Name],,0)</f>
        <v>网店</v>
      </c>
      <c r="T957" t="str">
        <f>IF(Jnl[[#This Row],[TrxDate]]&lt;=stmt_BS_date_end, "In", "Out")</f>
        <v>In</v>
      </c>
      <c r="U957" t="str">
        <f>IF(Jnl[[#This Row],[TrxDate]]&lt;debug_date_start, "prior", IF(Jnl[[#This Row],[TrxDate]]&gt;debug_date_end, "post", "curr"))</f>
        <v>curr</v>
      </c>
    </row>
    <row r="958" spans="1:21">
      <c r="A958" s="11" t="s">
        <v>1402</v>
      </c>
      <c r="B958" s="7">
        <f>_xlfn.XLOOKUP(Jnl[[#This Row],[TrxId]], Trx[Id], Trx[Date],,0)</f>
        <v>46081</v>
      </c>
      <c r="C958" s="7" t="str">
        <f>_xlfn.XLOOKUP(Jnl[[#This Row],[TrxId]], Trx[Id], Trx[Division],,0)</f>
        <v>GM</v>
      </c>
      <c r="D958" s="7" t="str">
        <f>_xlfn.XLOOKUP(Jnl[[#This Row],[TrxId]], Trx[Id], Trx[Action],,0)</f>
        <v>支付</v>
      </c>
      <c r="E958" s="26" t="s">
        <v>84</v>
      </c>
      <c r="F958" s="11" t="s">
        <v>590</v>
      </c>
      <c r="G958" s="11" t="s">
        <v>390</v>
      </c>
      <c r="H958" s="72">
        <v>-66863.37</v>
      </c>
      <c r="I958" s="5" t="b">
        <f>AND(Jnl[[#This Row],[TrxId]]&lt;&gt;"",Jnl[[#This Row],[Acct]]&lt;&gt;"",Jnl[[#This Row],[Item]]&lt;&gt;"",ISNUMBER(Jnl[[#This Row],[Bal]]))</f>
        <v>1</v>
      </c>
      <c r="J958" s="10">
        <f>IF(Jnl[[#This Row],[BSLv0]]="A",1,-1)*Jnl[[#This Row],[Bal]]</f>
        <v>-66863.37</v>
      </c>
      <c r="K958" t="str">
        <f>_xlfn.XLOOKUP(Jnl[[#This Row],[Acct]], config_BS[Acct], config_BS[Lv0],,0)</f>
        <v>A</v>
      </c>
      <c r="L958" t="str">
        <f>_xlfn.XLOOKUP(Jnl[[#This Row],[Acct]], config_BS[Acct], config_BS[Lv1],,0)</f>
        <v>Assets</v>
      </c>
      <c r="M958" t="str">
        <f>_xlfn.XLOOKUP(Jnl[[#This Row],[Acct]], config_BS[Acct], config_BS[Lv2],,0)</f>
        <v>Cash alike</v>
      </c>
      <c r="N958" t="str">
        <f>_xlfn.XLOOKUP(Jnl[[#This Row],[TrxId]], Trx[Id], Trx[IncNode], ,0)</f>
        <v>Expense</v>
      </c>
      <c r="O958" t="str">
        <f>_xlfn.XLOOKUP(Jnl[[#This Row],[IncNode]], config_IS[Node], config_IS[Type],,0)</f>
        <v>Op</v>
      </c>
      <c r="P958" t="str">
        <f>_xlfn.XLOOKUP(Jnl[[#This Row],[BSLv2]], dict[Key], dict[Name],,0)</f>
        <v>0.现金及类似</v>
      </c>
      <c r="Q958" t="str">
        <f>_xlfn.XLOOKUP(Jnl[[#This Row],[Acct]], dict[Key], dict[Name],,0)</f>
        <v>银行</v>
      </c>
      <c r="R958" t="str">
        <f>_xlfn.XLOOKUP(Jnl[[#This Row],[Vehicle]],config_vehicle[Id], config_vehicle[Name],,0)</f>
        <v>榆乐</v>
      </c>
      <c r="S958" t="str">
        <f>_xlfn.XLOOKUP(Jnl[[#This Row],[Division]],config_div[Id], config_div[Name],,0)</f>
        <v>综合管理</v>
      </c>
      <c r="T958" t="str">
        <f>IF(Jnl[[#This Row],[TrxDate]]&lt;=stmt_BS_date_end, "In", "Out")</f>
        <v>In</v>
      </c>
      <c r="U958" t="str">
        <f>IF(Jnl[[#This Row],[TrxDate]]&lt;debug_date_start, "prior", IF(Jnl[[#This Row],[TrxDate]]&gt;debug_date_end, "post", "curr"))</f>
        <v>curr</v>
      </c>
    </row>
    <row r="959" spans="1:21">
      <c r="A959" s="11" t="s">
        <v>1402</v>
      </c>
      <c r="B959" s="7">
        <f>_xlfn.XLOOKUP(Jnl[[#This Row],[TrxId]], Trx[Id], Trx[Date],,0)</f>
        <v>46081</v>
      </c>
      <c r="C959" s="7" t="str">
        <f>_xlfn.XLOOKUP(Jnl[[#This Row],[TrxId]], Trx[Id], Trx[Division],,0)</f>
        <v>GM</v>
      </c>
      <c r="D959" s="7" t="str">
        <f>_xlfn.XLOOKUP(Jnl[[#This Row],[TrxId]], Trx[Id], Trx[Action],,0)</f>
        <v>支付</v>
      </c>
      <c r="E959" s="26" t="s">
        <v>84</v>
      </c>
      <c r="F959" s="11" t="s">
        <v>595</v>
      </c>
      <c r="G959" s="11" t="s">
        <v>344</v>
      </c>
      <c r="H959" s="72">
        <v>-3817.2</v>
      </c>
      <c r="I959" s="5" t="b">
        <f>AND(Jnl[[#This Row],[TrxId]]&lt;&gt;"",Jnl[[#This Row],[Acct]]&lt;&gt;"",Jnl[[#This Row],[Item]]&lt;&gt;"",ISNUMBER(Jnl[[#This Row],[Bal]]))</f>
        <v>1</v>
      </c>
      <c r="J959" s="10">
        <f>IF(Jnl[[#This Row],[BSLv0]]="A",1,-1)*Jnl[[#This Row],[Bal]]</f>
        <v>-3817.2</v>
      </c>
      <c r="K959" t="str">
        <f>_xlfn.XLOOKUP(Jnl[[#This Row],[Acct]], config_BS[Acct], config_BS[Lv0],,0)</f>
        <v>A</v>
      </c>
      <c r="L959" t="str">
        <f>_xlfn.XLOOKUP(Jnl[[#This Row],[Acct]], config_BS[Acct], config_BS[Lv1],,0)</f>
        <v>Assets</v>
      </c>
      <c r="M959" t="str">
        <f>_xlfn.XLOOKUP(Jnl[[#This Row],[Acct]], config_BS[Acct], config_BS[Lv2],,0)</f>
        <v>Rec-Pay</v>
      </c>
      <c r="N959" t="str">
        <f>_xlfn.XLOOKUP(Jnl[[#This Row],[TrxId]], Trx[Id], Trx[IncNode], ,0)</f>
        <v>Expense</v>
      </c>
      <c r="O959" t="str">
        <f>_xlfn.XLOOKUP(Jnl[[#This Row],[IncNode]], config_IS[Node], config_IS[Type],,0)</f>
        <v>Op</v>
      </c>
      <c r="P959" t="str">
        <f>_xlfn.XLOOKUP(Jnl[[#This Row],[BSLv2]], dict[Key], dict[Name],,0)</f>
        <v>1.应收-应付</v>
      </c>
      <c r="Q959" t="str">
        <f>_xlfn.XLOOKUP(Jnl[[#This Row],[Acct]], dict[Key], dict[Name],,0)</f>
        <v>应收-其他</v>
      </c>
      <c r="R959" t="str">
        <f>_xlfn.XLOOKUP(Jnl[[#This Row],[Vehicle]],config_vehicle[Id], config_vehicle[Name],,0)</f>
        <v>榆乐</v>
      </c>
      <c r="S959" t="str">
        <f>_xlfn.XLOOKUP(Jnl[[#This Row],[Division]],config_div[Id], config_div[Name],,0)</f>
        <v>综合管理</v>
      </c>
      <c r="T959" t="str">
        <f>IF(Jnl[[#This Row],[TrxDate]]&lt;=stmt_BS_date_end, "In", "Out")</f>
        <v>In</v>
      </c>
      <c r="U959" t="str">
        <f>IF(Jnl[[#This Row],[TrxDate]]&lt;debug_date_start, "prior", IF(Jnl[[#This Row],[TrxDate]]&gt;debug_date_end, "post", "curr"))</f>
        <v>curr</v>
      </c>
    </row>
    <row r="960" spans="1:21">
      <c r="A960" s="11" t="s">
        <v>1402</v>
      </c>
      <c r="B960" s="7">
        <f>_xlfn.XLOOKUP(Jnl[[#This Row],[TrxId]], Trx[Id], Trx[Date],,0)</f>
        <v>46081</v>
      </c>
      <c r="C960" s="7" t="str">
        <f>_xlfn.XLOOKUP(Jnl[[#This Row],[TrxId]], Trx[Id], Trx[Division],,0)</f>
        <v>GM</v>
      </c>
      <c r="D960" s="7" t="str">
        <f>_xlfn.XLOOKUP(Jnl[[#This Row],[TrxId]], Trx[Id], Trx[Action],,0)</f>
        <v>支付</v>
      </c>
      <c r="E960" s="26" t="s">
        <v>84</v>
      </c>
      <c r="F960" s="11" t="s">
        <v>127</v>
      </c>
      <c r="G960" s="11" t="s">
        <v>343</v>
      </c>
      <c r="H960" s="72">
        <v>169.77</v>
      </c>
      <c r="I960" s="5" t="b">
        <f>AND(Jnl[[#This Row],[TrxId]]&lt;&gt;"",Jnl[[#This Row],[Acct]]&lt;&gt;"",Jnl[[#This Row],[Item]]&lt;&gt;"",ISNUMBER(Jnl[[#This Row],[Bal]]))</f>
        <v>1</v>
      </c>
      <c r="J960" s="10">
        <f>IF(Jnl[[#This Row],[BSLv0]]="A",1,-1)*Jnl[[#This Row],[Bal]]</f>
        <v>-169.77</v>
      </c>
      <c r="K960" t="str">
        <f>_xlfn.XLOOKUP(Jnl[[#This Row],[Acct]], config_BS[Acct], config_BS[Lv0],,0)</f>
        <v>LC</v>
      </c>
      <c r="L960" t="str">
        <f>_xlfn.XLOOKUP(Jnl[[#This Row],[Acct]], config_BS[Acct], config_BS[Lv1],,0)</f>
        <v>Liability</v>
      </c>
      <c r="M960" t="str">
        <f>_xlfn.XLOOKUP(Jnl[[#This Row],[Acct]], config_BS[Acct], config_BS[Lv2],,0)</f>
        <v>Rec-Pay</v>
      </c>
      <c r="N960" t="str">
        <f>_xlfn.XLOOKUP(Jnl[[#This Row],[TrxId]], Trx[Id], Trx[IncNode], ,0)</f>
        <v>Expense</v>
      </c>
      <c r="O960" t="str">
        <f>_xlfn.XLOOKUP(Jnl[[#This Row],[IncNode]], config_IS[Node], config_IS[Type],,0)</f>
        <v>Op</v>
      </c>
      <c r="P960" t="str">
        <f>_xlfn.XLOOKUP(Jnl[[#This Row],[BSLv2]], dict[Key], dict[Name],,0)</f>
        <v>1.应收-应付</v>
      </c>
      <c r="Q960" t="str">
        <f>_xlfn.XLOOKUP(Jnl[[#This Row],[Acct]], dict[Key], dict[Name],,0)</f>
        <v>应付-税款</v>
      </c>
      <c r="R960" t="str">
        <f>_xlfn.XLOOKUP(Jnl[[#This Row],[Vehicle]],config_vehicle[Id], config_vehicle[Name],,0)</f>
        <v>榆乐</v>
      </c>
      <c r="S960" t="str">
        <f>_xlfn.XLOOKUP(Jnl[[#This Row],[Division]],config_div[Id], config_div[Name],,0)</f>
        <v>综合管理</v>
      </c>
      <c r="T960" t="str">
        <f>IF(Jnl[[#This Row],[TrxDate]]&lt;=stmt_BS_date_end, "In", "Out")</f>
        <v>In</v>
      </c>
      <c r="U960" t="str">
        <f>IF(Jnl[[#This Row],[TrxDate]]&lt;debug_date_start, "prior", IF(Jnl[[#This Row],[TrxDate]]&gt;debug_date_end, "post", "curr"))</f>
        <v>curr</v>
      </c>
    </row>
    <row r="961" spans="1:21">
      <c r="A961" s="11" t="s">
        <v>1402</v>
      </c>
      <c r="B961" s="7">
        <f>_xlfn.XLOOKUP(Jnl[[#This Row],[TrxId]], Trx[Id], Trx[Date],,0)</f>
        <v>46081</v>
      </c>
      <c r="C961" s="7" t="str">
        <f>_xlfn.XLOOKUP(Jnl[[#This Row],[TrxId]], Trx[Id], Trx[Division],,0)</f>
        <v>GM</v>
      </c>
      <c r="D961" s="7" t="str">
        <f>_xlfn.XLOOKUP(Jnl[[#This Row],[TrxId]], Trx[Id], Trx[Action],,0)</f>
        <v>支付</v>
      </c>
      <c r="E961" s="26" t="s">
        <v>84</v>
      </c>
      <c r="F961" s="11" t="s">
        <v>596</v>
      </c>
      <c r="G961" s="11" t="s">
        <v>149</v>
      </c>
      <c r="H961" s="72">
        <v>-70850.34</v>
      </c>
      <c r="I961" s="5" t="b">
        <f>AND(Jnl[[#This Row],[TrxId]]&lt;&gt;"",Jnl[[#This Row],[Acct]]&lt;&gt;"",Jnl[[#This Row],[Item]]&lt;&gt;"",ISNUMBER(Jnl[[#This Row],[Bal]]))</f>
        <v>1</v>
      </c>
      <c r="J961" s="10">
        <f>IF(Jnl[[#This Row],[BSLv0]]="A",1,-1)*Jnl[[#This Row],[Bal]]</f>
        <v>70850.34</v>
      </c>
      <c r="K961" t="str">
        <f>_xlfn.XLOOKUP(Jnl[[#This Row],[Acct]], config_BS[Acct], config_BS[Lv0],,0)</f>
        <v>LC</v>
      </c>
      <c r="L961" t="str">
        <f>_xlfn.XLOOKUP(Jnl[[#This Row],[Acct]], config_BS[Acct], config_BS[Lv1],,0)</f>
        <v>Liability</v>
      </c>
      <c r="M961" t="str">
        <f>_xlfn.XLOOKUP(Jnl[[#This Row],[Acct]], config_BS[Acct], config_BS[Lv2],,0)</f>
        <v>Rec-Pay</v>
      </c>
      <c r="N961" t="str">
        <f>_xlfn.XLOOKUP(Jnl[[#This Row],[TrxId]], Trx[Id], Trx[IncNode], ,0)</f>
        <v>Expense</v>
      </c>
      <c r="O961" t="str">
        <f>_xlfn.XLOOKUP(Jnl[[#This Row],[IncNode]], config_IS[Node], config_IS[Type],,0)</f>
        <v>Op</v>
      </c>
      <c r="P961" t="str">
        <f>_xlfn.XLOOKUP(Jnl[[#This Row],[BSLv2]], dict[Key], dict[Name],,0)</f>
        <v>1.应收-应付</v>
      </c>
      <c r="Q961" t="str">
        <f>_xlfn.XLOOKUP(Jnl[[#This Row],[Acct]], dict[Key], dict[Name],,0)</f>
        <v>应付-薪资</v>
      </c>
      <c r="R961" t="str">
        <f>_xlfn.XLOOKUP(Jnl[[#This Row],[Vehicle]],config_vehicle[Id], config_vehicle[Name],,0)</f>
        <v>榆乐</v>
      </c>
      <c r="S961" t="str">
        <f>_xlfn.XLOOKUP(Jnl[[#This Row],[Division]],config_div[Id], config_div[Name],,0)</f>
        <v>综合管理</v>
      </c>
      <c r="T961" t="str">
        <f>IF(Jnl[[#This Row],[TrxDate]]&lt;=stmt_BS_date_end, "In", "Out")</f>
        <v>In</v>
      </c>
      <c r="U961" t="str">
        <f>IF(Jnl[[#This Row],[TrxDate]]&lt;debug_date_start, "prior", IF(Jnl[[#This Row],[TrxDate]]&gt;debug_date_end, "post", "curr"))</f>
        <v>curr</v>
      </c>
    </row>
    <row r="962" spans="1:21">
      <c r="A962" s="11" t="s">
        <v>1403</v>
      </c>
      <c r="B962" s="7">
        <f>_xlfn.XLOOKUP(Jnl[[#This Row],[TrxId]], Trx[Id], Trx[Date],,0)</f>
        <v>46081</v>
      </c>
      <c r="C962" s="7" t="str">
        <f>_xlfn.XLOOKUP(Jnl[[#This Row],[TrxId]], Trx[Id], Trx[Division],,0)</f>
        <v>GM</v>
      </c>
      <c r="D962" s="7" t="str">
        <f>_xlfn.XLOOKUP(Jnl[[#This Row],[TrxId]], Trx[Id], Trx[Action],,0)</f>
        <v>支付</v>
      </c>
      <c r="E962" s="26" t="s">
        <v>84</v>
      </c>
      <c r="F962" s="11" t="s">
        <v>596</v>
      </c>
      <c r="G962" s="11" t="s">
        <v>318</v>
      </c>
      <c r="H962" s="72">
        <v>-53731</v>
      </c>
      <c r="I962" s="5" t="b">
        <f>AND(Jnl[[#This Row],[TrxId]]&lt;&gt;"",Jnl[[#This Row],[Acct]]&lt;&gt;"",Jnl[[#This Row],[Item]]&lt;&gt;"",ISNUMBER(Jnl[[#This Row],[Bal]]))</f>
        <v>1</v>
      </c>
      <c r="J962" s="10">
        <f>IF(Jnl[[#This Row],[BSLv0]]="A",1,-1)*Jnl[[#This Row],[Bal]]</f>
        <v>53731</v>
      </c>
      <c r="K962" t="str">
        <f>_xlfn.XLOOKUP(Jnl[[#This Row],[Acct]], config_BS[Acct], config_BS[Lv0],,0)</f>
        <v>LC</v>
      </c>
      <c r="L962" t="str">
        <f>_xlfn.XLOOKUP(Jnl[[#This Row],[Acct]], config_BS[Acct], config_BS[Lv1],,0)</f>
        <v>Liability</v>
      </c>
      <c r="M962" t="str">
        <f>_xlfn.XLOOKUP(Jnl[[#This Row],[Acct]], config_BS[Acct], config_BS[Lv2],,0)</f>
        <v>Rec-Pay</v>
      </c>
      <c r="N962" t="str">
        <f>_xlfn.XLOOKUP(Jnl[[#This Row],[TrxId]], Trx[Id], Trx[IncNode], ,0)</f>
        <v>Expense</v>
      </c>
      <c r="O962" t="str">
        <f>_xlfn.XLOOKUP(Jnl[[#This Row],[IncNode]], config_IS[Node], config_IS[Type],,0)</f>
        <v>Op</v>
      </c>
      <c r="P962" t="str">
        <f>_xlfn.XLOOKUP(Jnl[[#This Row],[BSLv2]], dict[Key], dict[Name],,0)</f>
        <v>1.应收-应付</v>
      </c>
      <c r="Q962" t="str">
        <f>_xlfn.XLOOKUP(Jnl[[#This Row],[Acct]], dict[Key], dict[Name],,0)</f>
        <v>应付-薪资</v>
      </c>
      <c r="R962" t="str">
        <f>_xlfn.XLOOKUP(Jnl[[#This Row],[Vehicle]],config_vehicle[Id], config_vehicle[Name],,0)</f>
        <v>榆乐</v>
      </c>
      <c r="S962" t="str">
        <f>_xlfn.XLOOKUP(Jnl[[#This Row],[Division]],config_div[Id], config_div[Name],,0)</f>
        <v>综合管理</v>
      </c>
      <c r="T962" t="str">
        <f>IF(Jnl[[#This Row],[TrxDate]]&lt;=stmt_BS_date_end, "In", "Out")</f>
        <v>In</v>
      </c>
      <c r="U962" t="str">
        <f>IF(Jnl[[#This Row],[TrxDate]]&lt;debug_date_start, "prior", IF(Jnl[[#This Row],[TrxDate]]&gt;debug_date_end, "post", "curr"))</f>
        <v>curr</v>
      </c>
    </row>
    <row r="963" spans="1:21">
      <c r="A963" s="11" t="s">
        <v>1403</v>
      </c>
      <c r="B963" s="7">
        <f>_xlfn.XLOOKUP(Jnl[[#This Row],[TrxId]], Trx[Id], Trx[Date],,0)</f>
        <v>46081</v>
      </c>
      <c r="C963" s="7" t="str">
        <f>_xlfn.XLOOKUP(Jnl[[#This Row],[TrxId]], Trx[Id], Trx[Division],,0)</f>
        <v>GM</v>
      </c>
      <c r="D963" s="7" t="str">
        <f>_xlfn.XLOOKUP(Jnl[[#This Row],[TrxId]], Trx[Id], Trx[Action],,0)</f>
        <v>支付</v>
      </c>
      <c r="E963" s="26" t="s">
        <v>84</v>
      </c>
      <c r="F963" s="11" t="s">
        <v>590</v>
      </c>
      <c r="G963" s="11" t="s">
        <v>390</v>
      </c>
      <c r="H963" s="72">
        <v>-52119.07</v>
      </c>
      <c r="I963" s="5" t="b">
        <f>AND(Jnl[[#This Row],[TrxId]]&lt;&gt;"",Jnl[[#This Row],[Acct]]&lt;&gt;"",Jnl[[#This Row],[Item]]&lt;&gt;"",ISNUMBER(Jnl[[#This Row],[Bal]]))</f>
        <v>1</v>
      </c>
      <c r="J963" s="10">
        <f>IF(Jnl[[#This Row],[BSLv0]]="A",1,-1)*Jnl[[#This Row],[Bal]]</f>
        <v>-52119.07</v>
      </c>
      <c r="K963" t="str">
        <f>_xlfn.XLOOKUP(Jnl[[#This Row],[Acct]], config_BS[Acct], config_BS[Lv0],,0)</f>
        <v>A</v>
      </c>
      <c r="L963" t="str">
        <f>_xlfn.XLOOKUP(Jnl[[#This Row],[Acct]], config_BS[Acct], config_BS[Lv1],,0)</f>
        <v>Assets</v>
      </c>
      <c r="M963" t="str">
        <f>_xlfn.XLOOKUP(Jnl[[#This Row],[Acct]], config_BS[Acct], config_BS[Lv2],,0)</f>
        <v>Cash alike</v>
      </c>
      <c r="N963" t="str">
        <f>_xlfn.XLOOKUP(Jnl[[#This Row],[TrxId]], Trx[Id], Trx[IncNode], ,0)</f>
        <v>Expense</v>
      </c>
      <c r="O963" t="str">
        <f>_xlfn.XLOOKUP(Jnl[[#This Row],[IncNode]], config_IS[Node], config_IS[Type],,0)</f>
        <v>Op</v>
      </c>
      <c r="P963" t="str">
        <f>_xlfn.XLOOKUP(Jnl[[#This Row],[BSLv2]], dict[Key], dict[Name],,0)</f>
        <v>0.现金及类似</v>
      </c>
      <c r="Q963" t="str">
        <f>_xlfn.XLOOKUP(Jnl[[#This Row],[Acct]], dict[Key], dict[Name],,0)</f>
        <v>银行</v>
      </c>
      <c r="R963" t="str">
        <f>_xlfn.XLOOKUP(Jnl[[#This Row],[Vehicle]],config_vehicle[Id], config_vehicle[Name],,0)</f>
        <v>榆乐</v>
      </c>
      <c r="S963" t="str">
        <f>_xlfn.XLOOKUP(Jnl[[#This Row],[Division]],config_div[Id], config_div[Name],,0)</f>
        <v>综合管理</v>
      </c>
      <c r="T963" t="str">
        <f>IF(Jnl[[#This Row],[TrxDate]]&lt;=stmt_BS_date_end, "In", "Out")</f>
        <v>In</v>
      </c>
      <c r="U963" t="str">
        <f>IF(Jnl[[#This Row],[TrxDate]]&lt;debug_date_start, "prior", IF(Jnl[[#This Row],[TrxDate]]&gt;debug_date_end, "post", "curr"))</f>
        <v>curr</v>
      </c>
    </row>
    <row r="964" spans="1:21">
      <c r="A964" s="11" t="s">
        <v>1403</v>
      </c>
      <c r="B964" s="7">
        <f>_xlfn.XLOOKUP(Jnl[[#This Row],[TrxId]], Trx[Id], Trx[Date],,0)</f>
        <v>46081</v>
      </c>
      <c r="C964" s="7" t="str">
        <f>_xlfn.XLOOKUP(Jnl[[#This Row],[TrxId]], Trx[Id], Trx[Division],,0)</f>
        <v>GM</v>
      </c>
      <c r="D964" s="7" t="str">
        <f>_xlfn.XLOOKUP(Jnl[[#This Row],[TrxId]], Trx[Id], Trx[Action],,0)</f>
        <v>支付</v>
      </c>
      <c r="E964" s="26" t="s">
        <v>84</v>
      </c>
      <c r="F964" s="11" t="s">
        <v>127</v>
      </c>
      <c r="G964" s="11" t="s">
        <v>343</v>
      </c>
      <c r="H964" s="72">
        <v>1611.93</v>
      </c>
      <c r="I964" s="5" t="b">
        <f>AND(Jnl[[#This Row],[TrxId]]&lt;&gt;"",Jnl[[#This Row],[Acct]]&lt;&gt;"",Jnl[[#This Row],[Item]]&lt;&gt;"",ISNUMBER(Jnl[[#This Row],[Bal]]))</f>
        <v>1</v>
      </c>
      <c r="J964" s="10">
        <f>IF(Jnl[[#This Row],[BSLv0]]="A",1,-1)*Jnl[[#This Row],[Bal]]</f>
        <v>-1611.93</v>
      </c>
      <c r="K964" t="str">
        <f>_xlfn.XLOOKUP(Jnl[[#This Row],[Acct]], config_BS[Acct], config_BS[Lv0],,0)</f>
        <v>LC</v>
      </c>
      <c r="L964" t="str">
        <f>_xlfn.XLOOKUP(Jnl[[#This Row],[Acct]], config_BS[Acct], config_BS[Lv1],,0)</f>
        <v>Liability</v>
      </c>
      <c r="M964" t="str">
        <f>_xlfn.XLOOKUP(Jnl[[#This Row],[Acct]], config_BS[Acct], config_BS[Lv2],,0)</f>
        <v>Rec-Pay</v>
      </c>
      <c r="N964" t="str">
        <f>_xlfn.XLOOKUP(Jnl[[#This Row],[TrxId]], Trx[Id], Trx[IncNode], ,0)</f>
        <v>Expense</v>
      </c>
      <c r="O964" t="str">
        <f>_xlfn.XLOOKUP(Jnl[[#This Row],[IncNode]], config_IS[Node], config_IS[Type],,0)</f>
        <v>Op</v>
      </c>
      <c r="P964" t="str">
        <f>_xlfn.XLOOKUP(Jnl[[#This Row],[BSLv2]], dict[Key], dict[Name],,0)</f>
        <v>1.应收-应付</v>
      </c>
      <c r="Q964" t="str">
        <f>_xlfn.XLOOKUP(Jnl[[#This Row],[Acct]], dict[Key], dict[Name],,0)</f>
        <v>应付-税款</v>
      </c>
      <c r="R964" t="str">
        <f>_xlfn.XLOOKUP(Jnl[[#This Row],[Vehicle]],config_vehicle[Id], config_vehicle[Name],,0)</f>
        <v>榆乐</v>
      </c>
      <c r="S964" t="str">
        <f>_xlfn.XLOOKUP(Jnl[[#This Row],[Division]],config_div[Id], config_div[Name],,0)</f>
        <v>综合管理</v>
      </c>
      <c r="T964" t="str">
        <f>IF(Jnl[[#This Row],[TrxDate]]&lt;=stmt_BS_date_end, "In", "Out")</f>
        <v>In</v>
      </c>
      <c r="U964" t="str">
        <f>IF(Jnl[[#This Row],[TrxDate]]&lt;debug_date_start, "prior", IF(Jnl[[#This Row],[TrxDate]]&gt;debug_date_end, "post", "curr"))</f>
        <v>curr</v>
      </c>
    </row>
    <row r="965" spans="1:21">
      <c r="A965" s="11" t="s">
        <v>1404</v>
      </c>
      <c r="B965" s="7">
        <f>_xlfn.XLOOKUP(Jnl[[#This Row],[TrxId]], Trx[Id], Trx[Date],,0)</f>
        <v>46081</v>
      </c>
      <c r="C965" s="7" t="str">
        <f>_xlfn.XLOOKUP(Jnl[[#This Row],[TrxId]], Trx[Id], Trx[Division],,0)</f>
        <v>GM</v>
      </c>
      <c r="D965" s="7" t="str">
        <f>_xlfn.XLOOKUP(Jnl[[#This Row],[TrxId]], Trx[Id], Trx[Action],,0)</f>
        <v>支付</v>
      </c>
      <c r="E965" s="26" t="s">
        <v>84</v>
      </c>
      <c r="F965" s="11" t="s">
        <v>127</v>
      </c>
      <c r="G965" s="11" t="s">
        <v>343</v>
      </c>
      <c r="H965" s="72">
        <v>-1781.7</v>
      </c>
      <c r="I965" s="5" t="b">
        <f>AND(Jnl[[#This Row],[TrxId]]&lt;&gt;"",Jnl[[#This Row],[Acct]]&lt;&gt;"",Jnl[[#This Row],[Item]]&lt;&gt;"",ISNUMBER(Jnl[[#This Row],[Bal]]))</f>
        <v>1</v>
      </c>
      <c r="J965" s="10">
        <f>IF(Jnl[[#This Row],[BSLv0]]="A",1,-1)*Jnl[[#This Row],[Bal]]</f>
        <v>1781.7</v>
      </c>
      <c r="K965" t="str">
        <f>_xlfn.XLOOKUP(Jnl[[#This Row],[Acct]], config_BS[Acct], config_BS[Lv0],,0)</f>
        <v>LC</v>
      </c>
      <c r="L965" t="str">
        <f>_xlfn.XLOOKUP(Jnl[[#This Row],[Acct]], config_BS[Acct], config_BS[Lv1],,0)</f>
        <v>Liability</v>
      </c>
      <c r="M965" t="str">
        <f>_xlfn.XLOOKUP(Jnl[[#This Row],[Acct]], config_BS[Acct], config_BS[Lv2],,0)</f>
        <v>Rec-Pay</v>
      </c>
      <c r="N965" t="str">
        <f>_xlfn.XLOOKUP(Jnl[[#This Row],[TrxId]], Trx[Id], Trx[IncNode], ,0)</f>
        <v>Expense</v>
      </c>
      <c r="O965" t="str">
        <f>_xlfn.XLOOKUP(Jnl[[#This Row],[IncNode]], config_IS[Node], config_IS[Type],,0)</f>
        <v>Op</v>
      </c>
      <c r="P965" t="str">
        <f>_xlfn.XLOOKUP(Jnl[[#This Row],[BSLv2]], dict[Key], dict[Name],,0)</f>
        <v>1.应收-应付</v>
      </c>
      <c r="Q965" t="str">
        <f>_xlfn.XLOOKUP(Jnl[[#This Row],[Acct]], dict[Key], dict[Name],,0)</f>
        <v>应付-税款</v>
      </c>
      <c r="R965" t="str">
        <f>_xlfn.XLOOKUP(Jnl[[#This Row],[Vehicle]],config_vehicle[Id], config_vehicle[Name],,0)</f>
        <v>榆乐</v>
      </c>
      <c r="S965" t="str">
        <f>_xlfn.XLOOKUP(Jnl[[#This Row],[Division]],config_div[Id], config_div[Name],,0)</f>
        <v>综合管理</v>
      </c>
      <c r="T965" t="str">
        <f>IF(Jnl[[#This Row],[TrxDate]]&lt;=stmt_BS_date_end, "In", "Out")</f>
        <v>In</v>
      </c>
      <c r="U965" t="str">
        <f>IF(Jnl[[#This Row],[TrxDate]]&lt;debug_date_start, "prior", IF(Jnl[[#This Row],[TrxDate]]&gt;debug_date_end, "post", "curr"))</f>
        <v>curr</v>
      </c>
    </row>
    <row r="966" spans="1:21">
      <c r="A966" s="11" t="s">
        <v>1404</v>
      </c>
      <c r="B966" s="7">
        <f>_xlfn.XLOOKUP(Jnl[[#This Row],[TrxId]], Trx[Id], Trx[Date],,0)</f>
        <v>46081</v>
      </c>
      <c r="C966" s="7" t="str">
        <f>_xlfn.XLOOKUP(Jnl[[#This Row],[TrxId]], Trx[Id], Trx[Division],,0)</f>
        <v>GM</v>
      </c>
      <c r="D966" s="7" t="str">
        <f>_xlfn.XLOOKUP(Jnl[[#This Row],[TrxId]], Trx[Id], Trx[Action],,0)</f>
        <v>支付</v>
      </c>
      <c r="E966" s="26" t="s">
        <v>84</v>
      </c>
      <c r="F966" s="11" t="s">
        <v>590</v>
      </c>
      <c r="G966" s="11" t="s">
        <v>390</v>
      </c>
      <c r="H966" s="72">
        <f>H965</f>
        <v>-1781.7</v>
      </c>
      <c r="I966" s="5" t="b">
        <f>AND(Jnl[[#This Row],[TrxId]]&lt;&gt;"",Jnl[[#This Row],[Acct]]&lt;&gt;"",Jnl[[#This Row],[Item]]&lt;&gt;"",ISNUMBER(Jnl[[#This Row],[Bal]]))</f>
        <v>1</v>
      </c>
      <c r="J966" s="10">
        <f>IF(Jnl[[#This Row],[BSLv0]]="A",1,-1)*Jnl[[#This Row],[Bal]]</f>
        <v>-1781.7</v>
      </c>
      <c r="K966" t="str">
        <f>_xlfn.XLOOKUP(Jnl[[#This Row],[Acct]], config_BS[Acct], config_BS[Lv0],,0)</f>
        <v>A</v>
      </c>
      <c r="L966" t="str">
        <f>_xlfn.XLOOKUP(Jnl[[#This Row],[Acct]], config_BS[Acct], config_BS[Lv1],,0)</f>
        <v>Assets</v>
      </c>
      <c r="M966" t="str">
        <f>_xlfn.XLOOKUP(Jnl[[#This Row],[Acct]], config_BS[Acct], config_BS[Lv2],,0)</f>
        <v>Cash alike</v>
      </c>
      <c r="N966" t="str">
        <f>_xlfn.XLOOKUP(Jnl[[#This Row],[TrxId]], Trx[Id], Trx[IncNode], ,0)</f>
        <v>Expense</v>
      </c>
      <c r="O966" t="str">
        <f>_xlfn.XLOOKUP(Jnl[[#This Row],[IncNode]], config_IS[Node], config_IS[Type],,0)</f>
        <v>Op</v>
      </c>
      <c r="P966" t="str">
        <f>_xlfn.XLOOKUP(Jnl[[#This Row],[BSLv2]], dict[Key], dict[Name],,0)</f>
        <v>0.现金及类似</v>
      </c>
      <c r="Q966" t="str">
        <f>_xlfn.XLOOKUP(Jnl[[#This Row],[Acct]], dict[Key], dict[Name],,0)</f>
        <v>银行</v>
      </c>
      <c r="R966" t="str">
        <f>_xlfn.XLOOKUP(Jnl[[#This Row],[Vehicle]],config_vehicle[Id], config_vehicle[Name],,0)</f>
        <v>榆乐</v>
      </c>
      <c r="S966" t="str">
        <f>_xlfn.XLOOKUP(Jnl[[#This Row],[Division]],config_div[Id], config_div[Name],,0)</f>
        <v>综合管理</v>
      </c>
      <c r="T966" t="str">
        <f>IF(Jnl[[#This Row],[TrxDate]]&lt;=stmt_BS_date_end, "In", "Out")</f>
        <v>In</v>
      </c>
      <c r="U966" t="str">
        <f>IF(Jnl[[#This Row],[TrxDate]]&lt;debug_date_start, "prior", IF(Jnl[[#This Row],[TrxDate]]&gt;debug_date_end, "post", "curr"))</f>
        <v>curr</v>
      </c>
    </row>
    <row r="967" spans="1:21">
      <c r="A967" s="11" t="s">
        <v>1405</v>
      </c>
      <c r="B967" s="7">
        <f>_xlfn.XLOOKUP(Jnl[[#This Row],[TrxId]], Trx[Id], Trx[Date],,0)</f>
        <v>46081</v>
      </c>
      <c r="C967" s="7" t="str">
        <f>_xlfn.XLOOKUP(Jnl[[#This Row],[TrxId]], Trx[Id], Trx[Division],,0)</f>
        <v>Online</v>
      </c>
      <c r="D967" s="7" t="str">
        <f>_xlfn.XLOOKUP(Jnl[[#This Row],[TrxId]], Trx[Id], Trx[Action],,0)</f>
        <v>设计</v>
      </c>
      <c r="E967" s="26" t="s">
        <v>84</v>
      </c>
      <c r="F967" s="11" t="s">
        <v>590</v>
      </c>
      <c r="G967" s="11" t="s">
        <v>390</v>
      </c>
      <c r="H967" s="72">
        <v>-300</v>
      </c>
      <c r="I967" s="5" t="b">
        <f>AND(Jnl[[#This Row],[TrxId]]&lt;&gt;"",Jnl[[#This Row],[Acct]]&lt;&gt;"",Jnl[[#This Row],[Item]]&lt;&gt;"",ISNUMBER(Jnl[[#This Row],[Bal]]))</f>
        <v>1</v>
      </c>
      <c r="J967" s="10">
        <f>IF(Jnl[[#This Row],[BSLv0]]="A",1,-1)*Jnl[[#This Row],[Bal]]</f>
        <v>-300</v>
      </c>
      <c r="K967" t="str">
        <f>_xlfn.XLOOKUP(Jnl[[#This Row],[Acct]], config_BS[Acct], config_BS[Lv0],,0)</f>
        <v>A</v>
      </c>
      <c r="L967" t="str">
        <f>_xlfn.XLOOKUP(Jnl[[#This Row],[Acct]], config_BS[Acct], config_BS[Lv1],,0)</f>
        <v>Assets</v>
      </c>
      <c r="M967" t="str">
        <f>_xlfn.XLOOKUP(Jnl[[#This Row],[Acct]], config_BS[Acct], config_BS[Lv2],,0)</f>
        <v>Cash alike</v>
      </c>
      <c r="N967" t="str">
        <f>_xlfn.XLOOKUP(Jnl[[#This Row],[TrxId]], Trx[Id], Trx[IncNode], ,0)</f>
        <v>Expense</v>
      </c>
      <c r="O967" t="str">
        <f>_xlfn.XLOOKUP(Jnl[[#This Row],[IncNode]], config_IS[Node], config_IS[Type],,0)</f>
        <v>Op</v>
      </c>
      <c r="P967" t="str">
        <f>_xlfn.XLOOKUP(Jnl[[#This Row],[BSLv2]], dict[Key], dict[Name],,0)</f>
        <v>0.现金及类似</v>
      </c>
      <c r="Q967" t="str">
        <f>_xlfn.XLOOKUP(Jnl[[#This Row],[Acct]], dict[Key], dict[Name],,0)</f>
        <v>银行</v>
      </c>
      <c r="R967" t="str">
        <f>_xlfn.XLOOKUP(Jnl[[#This Row],[Vehicle]],config_vehicle[Id], config_vehicle[Name],,0)</f>
        <v>榆乐</v>
      </c>
      <c r="S967" t="str">
        <f>_xlfn.XLOOKUP(Jnl[[#This Row],[Division]],config_div[Id], config_div[Name],,0)</f>
        <v>网店</v>
      </c>
      <c r="T967" t="str">
        <f>IF(Jnl[[#This Row],[TrxDate]]&lt;=stmt_BS_date_end, "In", "Out")</f>
        <v>In</v>
      </c>
      <c r="U967" t="str">
        <f>IF(Jnl[[#This Row],[TrxDate]]&lt;debug_date_start, "prior", IF(Jnl[[#This Row],[TrxDate]]&gt;debug_date_end, "post", "curr"))</f>
        <v>curr</v>
      </c>
    </row>
    <row r="968" spans="1:21">
      <c r="A968" s="11" t="s">
        <v>1406</v>
      </c>
      <c r="B968" s="7">
        <f>_xlfn.XLOOKUP(Jnl[[#This Row],[TrxId]], Trx[Id], Trx[Date],,0)</f>
        <v>46081</v>
      </c>
      <c r="C968" s="7" t="str">
        <f>_xlfn.XLOOKUP(Jnl[[#This Row],[TrxId]], Trx[Id], Trx[Division],,0)</f>
        <v>Ctrl</v>
      </c>
      <c r="D968" s="7" t="str">
        <f>_xlfn.XLOOKUP(Jnl[[#This Row],[TrxId]], Trx[Id], Trx[Action],,0)</f>
        <v>过账</v>
      </c>
      <c r="E968" s="26" t="s">
        <v>84</v>
      </c>
      <c r="F968" s="11" t="s">
        <v>590</v>
      </c>
      <c r="G968" s="11" t="s">
        <v>390</v>
      </c>
      <c r="H968" s="72">
        <v>257000</v>
      </c>
      <c r="I968" s="5" t="b">
        <f>AND(Jnl[[#This Row],[TrxId]]&lt;&gt;"",Jnl[[#This Row],[Acct]]&lt;&gt;"",Jnl[[#This Row],[Item]]&lt;&gt;"",ISNUMBER(Jnl[[#This Row],[Bal]]))</f>
        <v>1</v>
      </c>
      <c r="J968" s="10">
        <f>IF(Jnl[[#This Row],[BSLv0]]="A",1,-1)*Jnl[[#This Row],[Bal]]</f>
        <v>257000</v>
      </c>
      <c r="K968" t="str">
        <f>_xlfn.XLOOKUP(Jnl[[#This Row],[Acct]], config_BS[Acct], config_BS[Lv0],,0)</f>
        <v>A</v>
      </c>
      <c r="L968" t="str">
        <f>_xlfn.XLOOKUP(Jnl[[#This Row],[Acct]], config_BS[Acct], config_BS[Lv1],,0)</f>
        <v>Assets</v>
      </c>
      <c r="M968" t="str">
        <f>_xlfn.XLOOKUP(Jnl[[#This Row],[Acct]], config_BS[Acct], config_BS[Lv2],,0)</f>
        <v>Cash alike</v>
      </c>
      <c r="N968" t="str">
        <f>_xlfn.XLOOKUP(Jnl[[#This Row],[TrxId]], Trx[Id], Trx[IncNode], ,0)</f>
        <v>Other</v>
      </c>
      <c r="O968" t="str">
        <f>_xlfn.XLOOKUP(Jnl[[#This Row],[IncNode]], config_IS[Node], config_IS[Type],,0)</f>
        <v>Non-Op</v>
      </c>
      <c r="P968" t="str">
        <f>_xlfn.XLOOKUP(Jnl[[#This Row],[BSLv2]], dict[Key], dict[Name],,0)</f>
        <v>0.现金及类似</v>
      </c>
      <c r="Q968" t="str">
        <f>_xlfn.XLOOKUP(Jnl[[#This Row],[Acct]], dict[Key], dict[Name],,0)</f>
        <v>银行</v>
      </c>
      <c r="R968" t="str">
        <f>_xlfn.XLOOKUP(Jnl[[#This Row],[Vehicle]],config_vehicle[Id], config_vehicle[Name],,0)</f>
        <v>榆乐</v>
      </c>
      <c r="S968" t="str">
        <f>_xlfn.XLOOKUP(Jnl[[#This Row],[Division]],config_div[Id], config_div[Name],,0)</f>
        <v>内控合规</v>
      </c>
      <c r="T968" t="str">
        <f>IF(Jnl[[#This Row],[TrxDate]]&lt;=stmt_BS_date_end, "In", "Out")</f>
        <v>In</v>
      </c>
      <c r="U968" t="str">
        <f>IF(Jnl[[#This Row],[TrxDate]]&lt;debug_date_start, "prior", IF(Jnl[[#This Row],[TrxDate]]&gt;debug_date_end, "post", "curr"))</f>
        <v>curr</v>
      </c>
    </row>
    <row r="969" spans="1:21">
      <c r="A969" s="11" t="s">
        <v>1406</v>
      </c>
      <c r="B969" s="7">
        <f>_xlfn.XLOOKUP(Jnl[[#This Row],[TrxId]], Trx[Id], Trx[Date],,0)</f>
        <v>46081</v>
      </c>
      <c r="C969" s="7" t="str">
        <f>_xlfn.XLOOKUP(Jnl[[#This Row],[TrxId]], Trx[Id], Trx[Division],,0)</f>
        <v>Ctrl</v>
      </c>
      <c r="D969" s="7" t="str">
        <f>_xlfn.XLOOKUP(Jnl[[#This Row],[TrxId]], Trx[Id], Trx[Action],,0)</f>
        <v>过账</v>
      </c>
      <c r="E969" s="26" t="s">
        <v>80</v>
      </c>
      <c r="F969" s="11" t="s">
        <v>590</v>
      </c>
      <c r="G969" s="11" t="s">
        <v>391</v>
      </c>
      <c r="H969" s="72">
        <f>-H968</f>
        <v>-257000</v>
      </c>
      <c r="I969" s="5" t="b">
        <f>AND(Jnl[[#This Row],[TrxId]]&lt;&gt;"",Jnl[[#This Row],[Acct]]&lt;&gt;"",Jnl[[#This Row],[Item]]&lt;&gt;"",ISNUMBER(Jnl[[#This Row],[Bal]]))</f>
        <v>1</v>
      </c>
      <c r="J969" s="10">
        <f>IF(Jnl[[#This Row],[BSLv0]]="A",1,-1)*Jnl[[#This Row],[Bal]]</f>
        <v>-257000</v>
      </c>
      <c r="K969" t="str">
        <f>_xlfn.XLOOKUP(Jnl[[#This Row],[Acct]], config_BS[Acct], config_BS[Lv0],,0)</f>
        <v>A</v>
      </c>
      <c r="L969" t="str">
        <f>_xlfn.XLOOKUP(Jnl[[#This Row],[Acct]], config_BS[Acct], config_BS[Lv1],,0)</f>
        <v>Assets</v>
      </c>
      <c r="M969" t="str">
        <f>_xlfn.XLOOKUP(Jnl[[#This Row],[Acct]], config_BS[Acct], config_BS[Lv2],,0)</f>
        <v>Cash alike</v>
      </c>
      <c r="N969" t="str">
        <f>_xlfn.XLOOKUP(Jnl[[#This Row],[TrxId]], Trx[Id], Trx[IncNode], ,0)</f>
        <v>Other</v>
      </c>
      <c r="O969" t="str">
        <f>_xlfn.XLOOKUP(Jnl[[#This Row],[IncNode]], config_IS[Node], config_IS[Type],,0)</f>
        <v>Non-Op</v>
      </c>
      <c r="P969" t="str">
        <f>_xlfn.XLOOKUP(Jnl[[#This Row],[BSLv2]], dict[Key], dict[Name],,0)</f>
        <v>0.现金及类似</v>
      </c>
      <c r="Q969" t="str">
        <f>_xlfn.XLOOKUP(Jnl[[#This Row],[Acct]], dict[Key], dict[Name],,0)</f>
        <v>银行</v>
      </c>
      <c r="R969" t="str">
        <f>_xlfn.XLOOKUP(Jnl[[#This Row],[Vehicle]],config_vehicle[Id], config_vehicle[Name],,0)</f>
        <v>远家花园</v>
      </c>
      <c r="S969" t="str">
        <f>_xlfn.XLOOKUP(Jnl[[#This Row],[Division]],config_div[Id], config_div[Name],,0)</f>
        <v>内控合规</v>
      </c>
      <c r="T969" t="str">
        <f>IF(Jnl[[#This Row],[TrxDate]]&lt;=stmt_BS_date_end, "In", "Out")</f>
        <v>In</v>
      </c>
      <c r="U969" t="str">
        <f>IF(Jnl[[#This Row],[TrxDate]]&lt;debug_date_start, "prior", IF(Jnl[[#This Row],[TrxDate]]&gt;debug_date_end, "post", "curr"))</f>
        <v>curr</v>
      </c>
    </row>
    <row r="970" spans="1:21">
      <c r="A970" s="11" t="s">
        <v>1446</v>
      </c>
      <c r="B970" s="7">
        <f>_xlfn.XLOOKUP(Jnl[[#This Row],[TrxId]], Trx[Id], Trx[Date],,0)</f>
        <v>46081</v>
      </c>
      <c r="C970" s="7" t="str">
        <f>_xlfn.XLOOKUP(Jnl[[#This Row],[TrxId]], Trx[Id], Trx[Division],,0)</f>
        <v>Online</v>
      </c>
      <c r="D970" s="7" t="str">
        <f>_xlfn.XLOOKUP(Jnl[[#This Row],[TrxId]], Trx[Id], Trx[Action],,0)</f>
        <v>增值税</v>
      </c>
      <c r="E970" s="26" t="s">
        <v>84</v>
      </c>
      <c r="F970" s="11" t="s">
        <v>127</v>
      </c>
      <c r="G970" s="11" t="s">
        <v>307</v>
      </c>
      <c r="H970" s="72">
        <v>2544.5500000000002</v>
      </c>
      <c r="I970" s="5" t="b">
        <f>AND(Jnl[[#This Row],[TrxId]]&lt;&gt;"",Jnl[[#This Row],[Acct]]&lt;&gt;"",Jnl[[#This Row],[Item]]&lt;&gt;"",ISNUMBER(Jnl[[#This Row],[Bal]]))</f>
        <v>1</v>
      </c>
      <c r="J970" s="10">
        <f>IF(Jnl[[#This Row],[BSLv0]]="A",1,-1)*Jnl[[#This Row],[Bal]]</f>
        <v>-2544.5500000000002</v>
      </c>
      <c r="K970" t="str">
        <f>_xlfn.XLOOKUP(Jnl[[#This Row],[Acct]], config_BS[Acct], config_BS[Lv0],,0)</f>
        <v>LC</v>
      </c>
      <c r="L970" t="str">
        <f>_xlfn.XLOOKUP(Jnl[[#This Row],[Acct]], config_BS[Acct], config_BS[Lv1],,0)</f>
        <v>Liability</v>
      </c>
      <c r="M970" t="str">
        <f>_xlfn.XLOOKUP(Jnl[[#This Row],[Acct]], config_BS[Acct], config_BS[Lv2],,0)</f>
        <v>Rec-Pay</v>
      </c>
      <c r="N970" t="str">
        <f>_xlfn.XLOOKUP(Jnl[[#This Row],[TrxId]], Trx[Id], Trx[IncNode], ,0)</f>
        <v>Cost</v>
      </c>
      <c r="O970" t="str">
        <f>_xlfn.XLOOKUP(Jnl[[#This Row],[IncNode]], config_IS[Node], config_IS[Type],,0)</f>
        <v>Op</v>
      </c>
      <c r="P970" t="str">
        <f>_xlfn.XLOOKUP(Jnl[[#This Row],[BSLv2]], dict[Key], dict[Name],,0)</f>
        <v>1.应收-应付</v>
      </c>
      <c r="Q970" t="str">
        <f>_xlfn.XLOOKUP(Jnl[[#This Row],[Acct]], dict[Key], dict[Name],,0)</f>
        <v>应付-税款</v>
      </c>
      <c r="R970" t="str">
        <f>_xlfn.XLOOKUP(Jnl[[#This Row],[Vehicle]],config_vehicle[Id], config_vehicle[Name],,0)</f>
        <v>榆乐</v>
      </c>
      <c r="S970" t="str">
        <f>_xlfn.XLOOKUP(Jnl[[#This Row],[Division]],config_div[Id], config_div[Name],,0)</f>
        <v>网店</v>
      </c>
      <c r="T970" t="str">
        <f>IF(Jnl[[#This Row],[TrxDate]]&lt;=stmt_BS_date_end, "In", "Out")</f>
        <v>In</v>
      </c>
      <c r="U970" t="str">
        <f>IF(Jnl[[#This Row],[TrxDate]]&lt;debug_date_start, "prior", IF(Jnl[[#This Row],[TrxDate]]&gt;debug_date_end, "post", "curr"))</f>
        <v>curr</v>
      </c>
    </row>
    <row r="971" spans="1:21">
      <c r="A971" s="11" t="s">
        <v>1447</v>
      </c>
      <c r="B971" s="7">
        <f>_xlfn.XLOOKUP(Jnl[[#This Row],[TrxId]], Trx[Id], Trx[Date],,0)</f>
        <v>46081</v>
      </c>
      <c r="C971" s="7" t="str">
        <f>_xlfn.XLOOKUP(Jnl[[#This Row],[TrxId]], Trx[Id], Trx[Division],,0)</f>
        <v>GM</v>
      </c>
      <c r="D971" s="7" t="str">
        <f>_xlfn.XLOOKUP(Jnl[[#This Row],[TrxId]], Trx[Id], Trx[Action],,0)</f>
        <v>银行费</v>
      </c>
      <c r="E971" s="26" t="s">
        <v>84</v>
      </c>
      <c r="F971" s="11" t="s">
        <v>590</v>
      </c>
      <c r="G971" s="11" t="s">
        <v>390</v>
      </c>
      <c r="H971" s="72">
        <v>-14.5</v>
      </c>
      <c r="I971" s="5" t="b">
        <f>AND(Jnl[[#This Row],[TrxId]]&lt;&gt;"",Jnl[[#This Row],[Acct]]&lt;&gt;"",Jnl[[#This Row],[Item]]&lt;&gt;"",ISNUMBER(Jnl[[#This Row],[Bal]]))</f>
        <v>1</v>
      </c>
      <c r="J971" s="10">
        <f>IF(Jnl[[#This Row],[BSLv0]]="A",1,-1)*Jnl[[#This Row],[Bal]]</f>
        <v>-14.5</v>
      </c>
      <c r="K971" t="str">
        <f>_xlfn.XLOOKUP(Jnl[[#This Row],[Acct]], config_BS[Acct], config_BS[Lv0],,0)</f>
        <v>A</v>
      </c>
      <c r="L971" t="str">
        <f>_xlfn.XLOOKUP(Jnl[[#This Row],[Acct]], config_BS[Acct], config_BS[Lv1],,0)</f>
        <v>Assets</v>
      </c>
      <c r="M971" t="str">
        <f>_xlfn.XLOOKUP(Jnl[[#This Row],[Acct]], config_BS[Acct], config_BS[Lv2],,0)</f>
        <v>Cash alike</v>
      </c>
      <c r="N971" t="str">
        <f>_xlfn.XLOOKUP(Jnl[[#This Row],[TrxId]], Trx[Id], Trx[IncNode], ,0)</f>
        <v>Expense</v>
      </c>
      <c r="O971" t="str">
        <f>_xlfn.XLOOKUP(Jnl[[#This Row],[IncNode]], config_IS[Node], config_IS[Type],,0)</f>
        <v>Op</v>
      </c>
      <c r="P971" t="str">
        <f>_xlfn.XLOOKUP(Jnl[[#This Row],[BSLv2]], dict[Key], dict[Name],,0)</f>
        <v>0.现金及类似</v>
      </c>
      <c r="Q971" t="str">
        <f>_xlfn.XLOOKUP(Jnl[[#This Row],[Acct]], dict[Key], dict[Name],,0)</f>
        <v>银行</v>
      </c>
      <c r="R971" t="str">
        <f>_xlfn.XLOOKUP(Jnl[[#This Row],[Vehicle]],config_vehicle[Id], config_vehicle[Name],,0)</f>
        <v>榆乐</v>
      </c>
      <c r="S971" t="str">
        <f>_xlfn.XLOOKUP(Jnl[[#This Row],[Division]],config_div[Id], config_div[Name],,0)</f>
        <v>综合管理</v>
      </c>
      <c r="T971" t="str">
        <f>IF(Jnl[[#This Row],[TrxDate]]&lt;=stmt_BS_date_end, "In", "Out")</f>
        <v>In</v>
      </c>
      <c r="U971" t="str">
        <f>IF(Jnl[[#This Row],[TrxDate]]&lt;debug_date_start, "prior", IF(Jnl[[#This Row],[TrxDate]]&gt;debug_date_end, "post", "curr"))</f>
        <v>curr</v>
      </c>
    </row>
    <row r="972" spans="1:21">
      <c r="A972" s="11" t="s">
        <v>1448</v>
      </c>
      <c r="B972" s="7">
        <f>_xlfn.XLOOKUP(Jnl[[#This Row],[TrxId]], Trx[Id], Trx[Date],,0)</f>
        <v>46081</v>
      </c>
      <c r="C972" s="7" t="str">
        <f>_xlfn.XLOOKUP(Jnl[[#This Row],[TrxId]], Trx[Id], Trx[Division],,0)</f>
        <v>Online</v>
      </c>
      <c r="D972" s="7" t="str">
        <f>_xlfn.XLOOKUP(Jnl[[#This Row],[TrxId]], Trx[Id], Trx[Action],,0)</f>
        <v>薪酬-工资</v>
      </c>
      <c r="E972" s="26" t="s">
        <v>84</v>
      </c>
      <c r="F972" s="11" t="s">
        <v>596</v>
      </c>
      <c r="G972" s="11" t="s">
        <v>149</v>
      </c>
      <c r="H972" s="72">
        <v>36342.339999999997</v>
      </c>
      <c r="I972" s="5" t="b">
        <f>AND(Jnl[[#This Row],[TrxId]]&lt;&gt;"",Jnl[[#This Row],[Acct]]&lt;&gt;"",Jnl[[#This Row],[Item]]&lt;&gt;"",ISNUMBER(Jnl[[#This Row],[Bal]]))</f>
        <v>1</v>
      </c>
      <c r="J972" s="10">
        <f>IF(Jnl[[#This Row],[BSLv0]]="A",1,-1)*Jnl[[#This Row],[Bal]]</f>
        <v>-36342.339999999997</v>
      </c>
      <c r="K972" t="str">
        <f>_xlfn.XLOOKUP(Jnl[[#This Row],[Acct]], config_BS[Acct], config_BS[Lv0],,0)</f>
        <v>LC</v>
      </c>
      <c r="L972" t="str">
        <f>_xlfn.XLOOKUP(Jnl[[#This Row],[Acct]], config_BS[Acct], config_BS[Lv1],,0)</f>
        <v>Liability</v>
      </c>
      <c r="M972" t="str">
        <f>_xlfn.XLOOKUP(Jnl[[#This Row],[Acct]], config_BS[Acct], config_BS[Lv2],,0)</f>
        <v>Rec-Pay</v>
      </c>
      <c r="N972" t="str">
        <f>_xlfn.XLOOKUP(Jnl[[#This Row],[TrxId]], Trx[Id], Trx[IncNode], ,0)</f>
        <v>Expense</v>
      </c>
      <c r="O972" t="str">
        <f>_xlfn.XLOOKUP(Jnl[[#This Row],[IncNode]], config_IS[Node], config_IS[Type],,0)</f>
        <v>Op</v>
      </c>
      <c r="P972" t="str">
        <f>_xlfn.XLOOKUP(Jnl[[#This Row],[BSLv2]], dict[Key], dict[Name],,0)</f>
        <v>1.应收-应付</v>
      </c>
      <c r="Q972" t="str">
        <f>_xlfn.XLOOKUP(Jnl[[#This Row],[Acct]], dict[Key], dict[Name],,0)</f>
        <v>应付-薪资</v>
      </c>
      <c r="R972" t="str">
        <f>_xlfn.XLOOKUP(Jnl[[#This Row],[Vehicle]],config_vehicle[Id], config_vehicle[Name],,0)</f>
        <v>榆乐</v>
      </c>
      <c r="S972" t="str">
        <f>_xlfn.XLOOKUP(Jnl[[#This Row],[Division]],config_div[Id], config_div[Name],,0)</f>
        <v>网店</v>
      </c>
      <c r="T972" t="str">
        <f>IF(Jnl[[#This Row],[TrxDate]]&lt;=stmt_BS_date_end, "In", "Out")</f>
        <v>In</v>
      </c>
      <c r="U972" t="str">
        <f>IF(Jnl[[#This Row],[TrxDate]]&lt;debug_date_start, "prior", IF(Jnl[[#This Row],[TrxDate]]&gt;debug_date_end, "post", "curr"))</f>
        <v>curr</v>
      </c>
    </row>
    <row r="973" spans="1:21">
      <c r="A973" s="11" t="s">
        <v>1449</v>
      </c>
      <c r="B973" s="7">
        <f>_xlfn.XLOOKUP(Jnl[[#This Row],[TrxId]], Trx[Id], Trx[Date],,0)</f>
        <v>46081</v>
      </c>
      <c r="C973" s="7" t="str">
        <f>_xlfn.XLOOKUP(Jnl[[#This Row],[TrxId]], Trx[Id], Trx[Division],,0)</f>
        <v>GM</v>
      </c>
      <c r="D973" s="7" t="str">
        <f>_xlfn.XLOOKUP(Jnl[[#This Row],[TrxId]], Trx[Id], Trx[Action],,0)</f>
        <v>薪酬-工资</v>
      </c>
      <c r="E973" s="26" t="s">
        <v>84</v>
      </c>
      <c r="F973" s="11" t="s">
        <v>596</v>
      </c>
      <c r="G973" s="11" t="s">
        <v>149</v>
      </c>
      <c r="H973" s="72">
        <v>38882</v>
      </c>
      <c r="I973" s="5" t="b">
        <f>AND(Jnl[[#This Row],[TrxId]]&lt;&gt;"",Jnl[[#This Row],[Acct]]&lt;&gt;"",Jnl[[#This Row],[Item]]&lt;&gt;"",ISNUMBER(Jnl[[#This Row],[Bal]]))</f>
        <v>1</v>
      </c>
      <c r="J973" s="10">
        <f>IF(Jnl[[#This Row],[BSLv0]]="A",1,-1)*Jnl[[#This Row],[Bal]]</f>
        <v>-38882</v>
      </c>
      <c r="K973" t="str">
        <f>_xlfn.XLOOKUP(Jnl[[#This Row],[Acct]], config_BS[Acct], config_BS[Lv0],,0)</f>
        <v>LC</v>
      </c>
      <c r="L973" t="str">
        <f>_xlfn.XLOOKUP(Jnl[[#This Row],[Acct]], config_BS[Acct], config_BS[Lv1],,0)</f>
        <v>Liability</v>
      </c>
      <c r="M973" t="str">
        <f>_xlfn.XLOOKUP(Jnl[[#This Row],[Acct]], config_BS[Acct], config_BS[Lv2],,0)</f>
        <v>Rec-Pay</v>
      </c>
      <c r="N973" t="str">
        <f>_xlfn.XLOOKUP(Jnl[[#This Row],[TrxId]], Trx[Id], Trx[IncNode], ,0)</f>
        <v>Expense</v>
      </c>
      <c r="O973" t="str">
        <f>_xlfn.XLOOKUP(Jnl[[#This Row],[IncNode]], config_IS[Node], config_IS[Type],,0)</f>
        <v>Op</v>
      </c>
      <c r="P973" t="str">
        <f>_xlfn.XLOOKUP(Jnl[[#This Row],[BSLv2]], dict[Key], dict[Name],,0)</f>
        <v>1.应收-应付</v>
      </c>
      <c r="Q973" t="str">
        <f>_xlfn.XLOOKUP(Jnl[[#This Row],[Acct]], dict[Key], dict[Name],,0)</f>
        <v>应付-薪资</v>
      </c>
      <c r="R973" t="str">
        <f>_xlfn.XLOOKUP(Jnl[[#This Row],[Vehicle]],config_vehicle[Id], config_vehicle[Name],,0)</f>
        <v>榆乐</v>
      </c>
      <c r="S973" t="str">
        <f>_xlfn.XLOOKUP(Jnl[[#This Row],[Division]],config_div[Id], config_div[Name],,0)</f>
        <v>综合管理</v>
      </c>
      <c r="T973" t="str">
        <f>IF(Jnl[[#This Row],[TrxDate]]&lt;=stmt_BS_date_end, "In", "Out")</f>
        <v>In</v>
      </c>
      <c r="U973" t="str">
        <f>IF(Jnl[[#This Row],[TrxDate]]&lt;debug_date_start, "prior", IF(Jnl[[#This Row],[TrxDate]]&gt;debug_date_end, "post", "curr"))</f>
        <v>curr</v>
      </c>
    </row>
    <row r="974" spans="1:21">
      <c r="A974" s="11" t="s">
        <v>1623</v>
      </c>
      <c r="B974" s="7">
        <f>_xlfn.XLOOKUP(Jnl[[#This Row],[TrxId]], Trx[Id], Trx[Date],,0)</f>
        <v>46081</v>
      </c>
      <c r="C974" s="7" t="str">
        <f>_xlfn.XLOOKUP(Jnl[[#This Row],[TrxId]], Trx[Id], Trx[Division],,0)</f>
        <v>GM</v>
      </c>
      <c r="D974" s="7" t="str">
        <f>_xlfn.XLOOKUP(Jnl[[#This Row],[TrxId]], Trx[Id], Trx[Action],,0)</f>
        <v>房租</v>
      </c>
      <c r="E974" s="26" t="s">
        <v>84</v>
      </c>
      <c r="F974" s="11" t="s">
        <v>493</v>
      </c>
      <c r="G974" s="11" t="s">
        <v>141</v>
      </c>
      <c r="H974" s="72">
        <v>-12999.135833333334</v>
      </c>
      <c r="I974" s="5" t="b">
        <f>AND(Jnl[[#This Row],[TrxId]]&lt;&gt;"",Jnl[[#This Row],[Acct]]&lt;&gt;"",Jnl[[#This Row],[Item]]&lt;&gt;"",ISNUMBER(Jnl[[#This Row],[Bal]]))</f>
        <v>1</v>
      </c>
      <c r="J974" s="10">
        <f>IF(Jnl[[#This Row],[BSLv0]]="A",1,-1)*Jnl[[#This Row],[Bal]]</f>
        <v>-12999.135833333334</v>
      </c>
      <c r="K974" t="str">
        <f>_xlfn.XLOOKUP(Jnl[[#This Row],[Acct]], config_BS[Acct], config_BS[Lv0],,0)</f>
        <v>A</v>
      </c>
      <c r="L974" t="str">
        <f>_xlfn.XLOOKUP(Jnl[[#This Row],[Acct]], config_BS[Acct], config_BS[Lv1],,0)</f>
        <v>Assets</v>
      </c>
      <c r="M974" t="str">
        <f>_xlfn.XLOOKUP(Jnl[[#This Row],[Acct]], config_BS[Acct], config_BS[Lv2],,0)</f>
        <v>Prep-Sub</v>
      </c>
      <c r="N974" t="str">
        <f>_xlfn.XLOOKUP(Jnl[[#This Row],[TrxId]], Trx[Id], Trx[IncNode], ,0)</f>
        <v>Expense</v>
      </c>
      <c r="O974" t="str">
        <f>_xlfn.XLOOKUP(Jnl[[#This Row],[IncNode]], config_IS[Node], config_IS[Type],,0)</f>
        <v>Op</v>
      </c>
      <c r="P974" t="str">
        <f>_xlfn.XLOOKUP(Jnl[[#This Row],[BSLv2]], dict[Key], dict[Name],,0)</f>
        <v>2.预付-订阅</v>
      </c>
      <c r="Q974" t="str">
        <f>_xlfn.XLOOKUP(Jnl[[#This Row],[Acct]], dict[Key], dict[Name],,0)</f>
        <v>预付订单</v>
      </c>
      <c r="R974" t="str">
        <f>_xlfn.XLOOKUP(Jnl[[#This Row],[Vehicle]],config_vehicle[Id], config_vehicle[Name],,0)</f>
        <v>榆乐</v>
      </c>
      <c r="S974" t="str">
        <f>_xlfn.XLOOKUP(Jnl[[#This Row],[Division]],config_div[Id], config_div[Name],,0)</f>
        <v>综合管理</v>
      </c>
      <c r="T974" t="str">
        <f>IF(Jnl[[#This Row],[TrxDate]]&lt;=stmt_BS_date_end, "In", "Out")</f>
        <v>In</v>
      </c>
      <c r="U974" t="str">
        <f>IF(Jnl[[#This Row],[TrxDate]]&lt;debug_date_start, "prior", IF(Jnl[[#This Row],[TrxDate]]&gt;debug_date_end, "post", "curr"))</f>
        <v>curr</v>
      </c>
    </row>
    <row r="975" spans="1:21">
      <c r="A975" s="11" t="s">
        <v>1452</v>
      </c>
      <c r="B975" s="7">
        <f>_xlfn.XLOOKUP(Jnl[[#This Row],[TrxId]], Trx[Id], Trx[Date],,0)</f>
        <v>46081</v>
      </c>
      <c r="C975" s="7" t="str">
        <f>_xlfn.XLOOKUP(Jnl[[#This Row],[TrxId]], Trx[Id], Trx[Division],,0)</f>
        <v>GM</v>
      </c>
      <c r="D975" s="7" t="str">
        <f>_xlfn.XLOOKUP(Jnl[[#This Row],[TrxId]], Trx[Id], Trx[Action],,0)</f>
        <v>薪酬-社保</v>
      </c>
      <c r="E975" s="26" t="s">
        <v>111</v>
      </c>
      <c r="F975" s="11" t="s">
        <v>590</v>
      </c>
      <c r="G975" s="11" t="s">
        <v>482</v>
      </c>
      <c r="H975" s="72">
        <v>-6551.64</v>
      </c>
      <c r="I975" s="5" t="b">
        <f>AND(Jnl[[#This Row],[TrxId]]&lt;&gt;"",Jnl[[#This Row],[Acct]]&lt;&gt;"",Jnl[[#This Row],[Item]]&lt;&gt;"",ISNUMBER(Jnl[[#This Row],[Bal]]))</f>
        <v>1</v>
      </c>
      <c r="J975" s="10">
        <f>IF(Jnl[[#This Row],[BSLv0]]="A",1,-1)*Jnl[[#This Row],[Bal]]</f>
        <v>-6551.64</v>
      </c>
      <c r="K975" t="str">
        <f>_xlfn.XLOOKUP(Jnl[[#This Row],[Acct]], config_BS[Acct], config_BS[Lv0],,0)</f>
        <v>A</v>
      </c>
      <c r="L975" t="str">
        <f>_xlfn.XLOOKUP(Jnl[[#This Row],[Acct]], config_BS[Acct], config_BS[Lv1],,0)</f>
        <v>Assets</v>
      </c>
      <c r="M975" t="str">
        <f>_xlfn.XLOOKUP(Jnl[[#This Row],[Acct]], config_BS[Acct], config_BS[Lv2],,0)</f>
        <v>Cash alike</v>
      </c>
      <c r="N975" t="str">
        <f>_xlfn.XLOOKUP(Jnl[[#This Row],[TrxId]], Trx[Id], Trx[IncNode], ,0)</f>
        <v>Expense</v>
      </c>
      <c r="O975" t="str">
        <f>_xlfn.XLOOKUP(Jnl[[#This Row],[IncNode]], config_IS[Node], config_IS[Type],,0)</f>
        <v>Op</v>
      </c>
      <c r="P975" t="str">
        <f>_xlfn.XLOOKUP(Jnl[[#This Row],[BSLv2]], dict[Key], dict[Name],,0)</f>
        <v>0.现金及类似</v>
      </c>
      <c r="Q975" t="str">
        <f>_xlfn.XLOOKUP(Jnl[[#This Row],[Acct]], dict[Key], dict[Name],,0)</f>
        <v>银行</v>
      </c>
      <c r="R975" t="str">
        <f>_xlfn.XLOOKUP(Jnl[[#This Row],[Vehicle]],config_vehicle[Id], config_vehicle[Name],,0)</f>
        <v>染匠文化</v>
      </c>
      <c r="S975" t="str">
        <f>_xlfn.XLOOKUP(Jnl[[#This Row],[Division]],config_div[Id], config_div[Name],,0)</f>
        <v>综合管理</v>
      </c>
      <c r="T975" t="str">
        <f>IF(Jnl[[#This Row],[TrxDate]]&lt;=stmt_BS_date_end, "In", "Out")</f>
        <v>In</v>
      </c>
      <c r="U975" t="str">
        <f>IF(Jnl[[#This Row],[TrxDate]]&lt;debug_date_start, "prior", IF(Jnl[[#This Row],[TrxDate]]&gt;debug_date_end, "post", "curr"))</f>
        <v>curr</v>
      </c>
    </row>
    <row r="976" spans="1:21">
      <c r="A976" s="11" t="s">
        <v>1452</v>
      </c>
      <c r="B976" s="7">
        <f>_xlfn.XLOOKUP(Jnl[[#This Row],[TrxId]], Trx[Id], Trx[Date],,0)</f>
        <v>46081</v>
      </c>
      <c r="C976" s="7" t="str">
        <f>_xlfn.XLOOKUP(Jnl[[#This Row],[TrxId]], Trx[Id], Trx[Division],,0)</f>
        <v>GM</v>
      </c>
      <c r="D976" s="7" t="str">
        <f>_xlfn.XLOOKUP(Jnl[[#This Row],[TrxId]], Trx[Id], Trx[Action],,0)</f>
        <v>薪酬-社保</v>
      </c>
      <c r="E976" s="26" t="s">
        <v>111</v>
      </c>
      <c r="F976" s="11" t="s">
        <v>595</v>
      </c>
      <c r="G976" s="11" t="s">
        <v>344</v>
      </c>
      <c r="H976" s="72">
        <v>1908.6</v>
      </c>
      <c r="I976" s="5" t="b">
        <f>AND(Jnl[[#This Row],[TrxId]]&lt;&gt;"",Jnl[[#This Row],[Acct]]&lt;&gt;"",Jnl[[#This Row],[Item]]&lt;&gt;"",ISNUMBER(Jnl[[#This Row],[Bal]]))</f>
        <v>1</v>
      </c>
      <c r="J976" s="10">
        <f>IF(Jnl[[#This Row],[BSLv0]]="A",1,-1)*Jnl[[#This Row],[Bal]]</f>
        <v>1908.6</v>
      </c>
      <c r="K976" t="str">
        <f>_xlfn.XLOOKUP(Jnl[[#This Row],[Acct]], config_BS[Acct], config_BS[Lv0],,0)</f>
        <v>A</v>
      </c>
      <c r="L976" t="str">
        <f>_xlfn.XLOOKUP(Jnl[[#This Row],[Acct]], config_BS[Acct], config_BS[Lv1],,0)</f>
        <v>Assets</v>
      </c>
      <c r="M976" t="str">
        <f>_xlfn.XLOOKUP(Jnl[[#This Row],[Acct]], config_BS[Acct], config_BS[Lv2],,0)</f>
        <v>Rec-Pay</v>
      </c>
      <c r="N976" t="str">
        <f>_xlfn.XLOOKUP(Jnl[[#This Row],[TrxId]], Trx[Id], Trx[IncNode], ,0)</f>
        <v>Expense</v>
      </c>
      <c r="O976" t="str">
        <f>_xlfn.XLOOKUP(Jnl[[#This Row],[IncNode]], config_IS[Node], config_IS[Type],,0)</f>
        <v>Op</v>
      </c>
      <c r="P976" t="str">
        <f>_xlfn.XLOOKUP(Jnl[[#This Row],[BSLv2]], dict[Key], dict[Name],,0)</f>
        <v>1.应收-应付</v>
      </c>
      <c r="Q976" t="str">
        <f>_xlfn.XLOOKUP(Jnl[[#This Row],[Acct]], dict[Key], dict[Name],,0)</f>
        <v>应收-其他</v>
      </c>
      <c r="R976" t="str">
        <f>_xlfn.XLOOKUP(Jnl[[#This Row],[Vehicle]],config_vehicle[Id], config_vehicle[Name],,0)</f>
        <v>染匠文化</v>
      </c>
      <c r="S976" t="str">
        <f>_xlfn.XLOOKUP(Jnl[[#This Row],[Division]],config_div[Id], config_div[Name],,0)</f>
        <v>综合管理</v>
      </c>
      <c r="T976" t="str">
        <f>IF(Jnl[[#This Row],[TrxDate]]&lt;=stmt_BS_date_end, "In", "Out")</f>
        <v>In</v>
      </c>
      <c r="U976" t="str">
        <f>IF(Jnl[[#This Row],[TrxDate]]&lt;debug_date_start, "prior", IF(Jnl[[#This Row],[TrxDate]]&gt;debug_date_end, "post", "curr"))</f>
        <v>curr</v>
      </c>
    </row>
    <row r="977" spans="1:21">
      <c r="A977" s="11" t="s">
        <v>1453</v>
      </c>
      <c r="B977" s="7">
        <f>_xlfn.XLOOKUP(Jnl[[#This Row],[TrxId]], Trx[Id], Trx[Date],,0)</f>
        <v>46081</v>
      </c>
      <c r="C977" s="7" t="str">
        <f>_xlfn.XLOOKUP(Jnl[[#This Row],[TrxId]], Trx[Id], Trx[Division],,0)</f>
        <v>GM</v>
      </c>
      <c r="D977" s="7" t="str">
        <f>_xlfn.XLOOKUP(Jnl[[#This Row],[TrxId]], Trx[Id], Trx[Action],,0)</f>
        <v>支付</v>
      </c>
      <c r="E977" s="26" t="s">
        <v>111</v>
      </c>
      <c r="F977" s="11" t="s">
        <v>590</v>
      </c>
      <c r="G977" s="11" t="s">
        <v>482</v>
      </c>
      <c r="H977" s="72">
        <v>-33000.870000000003</v>
      </c>
      <c r="I977" s="5" t="b">
        <f>AND(Jnl[[#This Row],[TrxId]]&lt;&gt;"",Jnl[[#This Row],[Acct]]&lt;&gt;"",Jnl[[#This Row],[Item]]&lt;&gt;"",ISNUMBER(Jnl[[#This Row],[Bal]]))</f>
        <v>1</v>
      </c>
      <c r="J977" s="10">
        <f>IF(Jnl[[#This Row],[BSLv0]]="A",1,-1)*Jnl[[#This Row],[Bal]]</f>
        <v>-33000.870000000003</v>
      </c>
      <c r="K977" t="str">
        <f>_xlfn.XLOOKUP(Jnl[[#This Row],[Acct]], config_BS[Acct], config_BS[Lv0],,0)</f>
        <v>A</v>
      </c>
      <c r="L977" t="str">
        <f>_xlfn.XLOOKUP(Jnl[[#This Row],[Acct]], config_BS[Acct], config_BS[Lv1],,0)</f>
        <v>Assets</v>
      </c>
      <c r="M977" t="str">
        <f>_xlfn.XLOOKUP(Jnl[[#This Row],[Acct]], config_BS[Acct], config_BS[Lv2],,0)</f>
        <v>Cash alike</v>
      </c>
      <c r="N977" t="str">
        <f>_xlfn.XLOOKUP(Jnl[[#This Row],[TrxId]], Trx[Id], Trx[IncNode], ,0)</f>
        <v>Expense</v>
      </c>
      <c r="O977" t="str">
        <f>_xlfn.XLOOKUP(Jnl[[#This Row],[IncNode]], config_IS[Node], config_IS[Type],,0)</f>
        <v>Op</v>
      </c>
      <c r="P977" t="str">
        <f>_xlfn.XLOOKUP(Jnl[[#This Row],[BSLv2]], dict[Key], dict[Name],,0)</f>
        <v>0.现金及类似</v>
      </c>
      <c r="Q977" t="str">
        <f>_xlfn.XLOOKUP(Jnl[[#This Row],[Acct]], dict[Key], dict[Name],,0)</f>
        <v>银行</v>
      </c>
      <c r="R977" t="str">
        <f>_xlfn.XLOOKUP(Jnl[[#This Row],[Vehicle]],config_vehicle[Id], config_vehicle[Name],,0)</f>
        <v>染匠文化</v>
      </c>
      <c r="S977" t="str">
        <f>_xlfn.XLOOKUP(Jnl[[#This Row],[Division]],config_div[Id], config_div[Name],,0)</f>
        <v>综合管理</v>
      </c>
      <c r="T977" t="str">
        <f>IF(Jnl[[#This Row],[TrxDate]]&lt;=stmt_BS_date_end, "In", "Out")</f>
        <v>In</v>
      </c>
      <c r="U977" t="str">
        <f>IF(Jnl[[#This Row],[TrxDate]]&lt;debug_date_start, "prior", IF(Jnl[[#This Row],[TrxDate]]&gt;debug_date_end, "post", "curr"))</f>
        <v>curr</v>
      </c>
    </row>
    <row r="978" spans="1:21">
      <c r="A978" s="11" t="s">
        <v>1453</v>
      </c>
      <c r="B978" s="7">
        <f>_xlfn.XLOOKUP(Jnl[[#This Row],[TrxId]], Trx[Id], Trx[Date],,0)</f>
        <v>46081</v>
      </c>
      <c r="C978" s="7" t="str">
        <f>_xlfn.XLOOKUP(Jnl[[#This Row],[TrxId]], Trx[Id], Trx[Division],,0)</f>
        <v>GM</v>
      </c>
      <c r="D978" s="7" t="str">
        <f>_xlfn.XLOOKUP(Jnl[[#This Row],[TrxId]], Trx[Id], Trx[Action],,0)</f>
        <v>支付</v>
      </c>
      <c r="E978" s="26" t="s">
        <v>111</v>
      </c>
      <c r="F978" s="11" t="s">
        <v>595</v>
      </c>
      <c r="G978" s="11" t="s">
        <v>344</v>
      </c>
      <c r="H978" s="72">
        <v>-3340.05</v>
      </c>
      <c r="I978" s="5" t="b">
        <f>AND(Jnl[[#This Row],[TrxId]]&lt;&gt;"",Jnl[[#This Row],[Acct]]&lt;&gt;"",Jnl[[#This Row],[Item]]&lt;&gt;"",ISNUMBER(Jnl[[#This Row],[Bal]]))</f>
        <v>1</v>
      </c>
      <c r="J978" s="10">
        <f>IF(Jnl[[#This Row],[BSLv0]]="A",1,-1)*Jnl[[#This Row],[Bal]]</f>
        <v>-3340.05</v>
      </c>
      <c r="K978" t="str">
        <f>_xlfn.XLOOKUP(Jnl[[#This Row],[Acct]], config_BS[Acct], config_BS[Lv0],,0)</f>
        <v>A</v>
      </c>
      <c r="L978" t="str">
        <f>_xlfn.XLOOKUP(Jnl[[#This Row],[Acct]], config_BS[Acct], config_BS[Lv1],,0)</f>
        <v>Assets</v>
      </c>
      <c r="M978" t="str">
        <f>_xlfn.XLOOKUP(Jnl[[#This Row],[Acct]], config_BS[Acct], config_BS[Lv2],,0)</f>
        <v>Rec-Pay</v>
      </c>
      <c r="N978" t="str">
        <f>_xlfn.XLOOKUP(Jnl[[#This Row],[TrxId]], Trx[Id], Trx[IncNode], ,0)</f>
        <v>Expense</v>
      </c>
      <c r="O978" t="str">
        <f>_xlfn.XLOOKUP(Jnl[[#This Row],[IncNode]], config_IS[Node], config_IS[Type],,0)</f>
        <v>Op</v>
      </c>
      <c r="P978" t="str">
        <f>_xlfn.XLOOKUP(Jnl[[#This Row],[BSLv2]], dict[Key], dict[Name],,0)</f>
        <v>1.应收-应付</v>
      </c>
      <c r="Q978" t="str">
        <f>_xlfn.XLOOKUP(Jnl[[#This Row],[Acct]], dict[Key], dict[Name],,0)</f>
        <v>应收-其他</v>
      </c>
      <c r="R978" t="str">
        <f>_xlfn.XLOOKUP(Jnl[[#This Row],[Vehicle]],config_vehicle[Id], config_vehicle[Name],,0)</f>
        <v>染匠文化</v>
      </c>
      <c r="S978" t="str">
        <f>_xlfn.XLOOKUP(Jnl[[#This Row],[Division]],config_div[Id], config_div[Name],,0)</f>
        <v>综合管理</v>
      </c>
      <c r="T978" t="str">
        <f>IF(Jnl[[#This Row],[TrxDate]]&lt;=stmt_BS_date_end, "In", "Out")</f>
        <v>In</v>
      </c>
      <c r="U978" t="str">
        <f>IF(Jnl[[#This Row],[TrxDate]]&lt;debug_date_start, "prior", IF(Jnl[[#This Row],[TrxDate]]&gt;debug_date_end, "post", "curr"))</f>
        <v>curr</v>
      </c>
    </row>
    <row r="979" spans="1:21">
      <c r="A979" s="11" t="s">
        <v>1453</v>
      </c>
      <c r="B979" s="7">
        <f>_xlfn.XLOOKUP(Jnl[[#This Row],[TrxId]], Trx[Id], Trx[Date],,0)</f>
        <v>46081</v>
      </c>
      <c r="C979" s="7" t="str">
        <f>_xlfn.XLOOKUP(Jnl[[#This Row],[TrxId]], Trx[Id], Trx[Division],,0)</f>
        <v>GM</v>
      </c>
      <c r="D979" s="7" t="str">
        <f>_xlfn.XLOOKUP(Jnl[[#This Row],[TrxId]], Trx[Id], Trx[Action],,0)</f>
        <v>支付</v>
      </c>
      <c r="E979" s="26" t="s">
        <v>111</v>
      </c>
      <c r="F979" s="11" t="s">
        <v>127</v>
      </c>
      <c r="G979" s="11" t="s">
        <v>343</v>
      </c>
      <c r="H979" s="72">
        <v>210.69</v>
      </c>
      <c r="I979" s="5" t="b">
        <f>AND(Jnl[[#This Row],[TrxId]]&lt;&gt;"",Jnl[[#This Row],[Acct]]&lt;&gt;"",Jnl[[#This Row],[Item]]&lt;&gt;"",ISNUMBER(Jnl[[#This Row],[Bal]]))</f>
        <v>1</v>
      </c>
      <c r="J979" s="10">
        <f>IF(Jnl[[#This Row],[BSLv0]]="A",1,-1)*Jnl[[#This Row],[Bal]]</f>
        <v>-210.69</v>
      </c>
      <c r="K979" t="str">
        <f>_xlfn.XLOOKUP(Jnl[[#This Row],[Acct]], config_BS[Acct], config_BS[Lv0],,0)</f>
        <v>LC</v>
      </c>
      <c r="L979" t="str">
        <f>_xlfn.XLOOKUP(Jnl[[#This Row],[Acct]], config_BS[Acct], config_BS[Lv1],,0)</f>
        <v>Liability</v>
      </c>
      <c r="M979" t="str">
        <f>_xlfn.XLOOKUP(Jnl[[#This Row],[Acct]], config_BS[Acct], config_BS[Lv2],,0)</f>
        <v>Rec-Pay</v>
      </c>
      <c r="N979" t="str">
        <f>_xlfn.XLOOKUP(Jnl[[#This Row],[TrxId]], Trx[Id], Trx[IncNode], ,0)</f>
        <v>Expense</v>
      </c>
      <c r="O979" t="str">
        <f>_xlfn.XLOOKUP(Jnl[[#This Row],[IncNode]], config_IS[Node], config_IS[Type],,0)</f>
        <v>Op</v>
      </c>
      <c r="P979" t="str">
        <f>_xlfn.XLOOKUP(Jnl[[#This Row],[BSLv2]], dict[Key], dict[Name],,0)</f>
        <v>1.应收-应付</v>
      </c>
      <c r="Q979" t="str">
        <f>_xlfn.XLOOKUP(Jnl[[#This Row],[Acct]], dict[Key], dict[Name],,0)</f>
        <v>应付-税款</v>
      </c>
      <c r="R979" t="str">
        <f>_xlfn.XLOOKUP(Jnl[[#This Row],[Vehicle]],config_vehicle[Id], config_vehicle[Name],,0)</f>
        <v>染匠文化</v>
      </c>
      <c r="S979" t="str">
        <f>_xlfn.XLOOKUP(Jnl[[#This Row],[Division]],config_div[Id], config_div[Name],,0)</f>
        <v>综合管理</v>
      </c>
      <c r="T979" t="str">
        <f>IF(Jnl[[#This Row],[TrxDate]]&lt;=stmt_BS_date_end, "In", "Out")</f>
        <v>In</v>
      </c>
      <c r="U979" t="str">
        <f>IF(Jnl[[#This Row],[TrxDate]]&lt;debug_date_start, "prior", IF(Jnl[[#This Row],[TrxDate]]&gt;debug_date_end, "post", "curr"))</f>
        <v>curr</v>
      </c>
    </row>
    <row r="980" spans="1:21">
      <c r="A980" s="11" t="s">
        <v>1453</v>
      </c>
      <c r="B980" s="7">
        <f>_xlfn.XLOOKUP(Jnl[[#This Row],[TrxId]], Trx[Id], Trx[Date],,0)</f>
        <v>46081</v>
      </c>
      <c r="C980" s="7" t="str">
        <f>_xlfn.XLOOKUP(Jnl[[#This Row],[TrxId]], Trx[Id], Trx[Division],,0)</f>
        <v>GM</v>
      </c>
      <c r="D980" s="7" t="str">
        <f>_xlfn.XLOOKUP(Jnl[[#This Row],[TrxId]], Trx[Id], Trx[Action],,0)</f>
        <v>支付</v>
      </c>
      <c r="E980" s="26" t="s">
        <v>111</v>
      </c>
      <c r="F980" s="11" t="s">
        <v>596</v>
      </c>
      <c r="G980" s="11" t="s">
        <v>149</v>
      </c>
      <c r="H980" s="72">
        <v>-36551.61</v>
      </c>
      <c r="I980" s="5" t="b">
        <f>AND(Jnl[[#This Row],[TrxId]]&lt;&gt;"",Jnl[[#This Row],[Acct]]&lt;&gt;"",Jnl[[#This Row],[Item]]&lt;&gt;"",ISNUMBER(Jnl[[#This Row],[Bal]]))</f>
        <v>1</v>
      </c>
      <c r="J980" s="10">
        <f>IF(Jnl[[#This Row],[BSLv0]]="A",1,-1)*Jnl[[#This Row],[Bal]]</f>
        <v>36551.61</v>
      </c>
      <c r="K980" t="str">
        <f>_xlfn.XLOOKUP(Jnl[[#This Row],[Acct]], config_BS[Acct], config_BS[Lv0],,0)</f>
        <v>LC</v>
      </c>
      <c r="L980" t="str">
        <f>_xlfn.XLOOKUP(Jnl[[#This Row],[Acct]], config_BS[Acct], config_BS[Lv1],,0)</f>
        <v>Liability</v>
      </c>
      <c r="M980" t="str">
        <f>_xlfn.XLOOKUP(Jnl[[#This Row],[Acct]], config_BS[Acct], config_BS[Lv2],,0)</f>
        <v>Rec-Pay</v>
      </c>
      <c r="N980" t="str">
        <f>_xlfn.XLOOKUP(Jnl[[#This Row],[TrxId]], Trx[Id], Trx[IncNode], ,0)</f>
        <v>Expense</v>
      </c>
      <c r="O980" t="str">
        <f>_xlfn.XLOOKUP(Jnl[[#This Row],[IncNode]], config_IS[Node], config_IS[Type],,0)</f>
        <v>Op</v>
      </c>
      <c r="P980" t="str">
        <f>_xlfn.XLOOKUP(Jnl[[#This Row],[BSLv2]], dict[Key], dict[Name],,0)</f>
        <v>1.应收-应付</v>
      </c>
      <c r="Q980" t="str">
        <f>_xlfn.XLOOKUP(Jnl[[#This Row],[Acct]], dict[Key], dict[Name],,0)</f>
        <v>应付-薪资</v>
      </c>
      <c r="R980" t="str">
        <f>_xlfn.XLOOKUP(Jnl[[#This Row],[Vehicle]],config_vehicle[Id], config_vehicle[Name],,0)</f>
        <v>染匠文化</v>
      </c>
      <c r="S980" t="str">
        <f>_xlfn.XLOOKUP(Jnl[[#This Row],[Division]],config_div[Id], config_div[Name],,0)</f>
        <v>综合管理</v>
      </c>
      <c r="T980" t="str">
        <f>IF(Jnl[[#This Row],[TrxDate]]&lt;=stmt_BS_date_end, "In", "Out")</f>
        <v>In</v>
      </c>
      <c r="U980" t="str">
        <f>IF(Jnl[[#This Row],[TrxDate]]&lt;debug_date_start, "prior", IF(Jnl[[#This Row],[TrxDate]]&gt;debug_date_end, "post", "curr"))</f>
        <v>curr</v>
      </c>
    </row>
    <row r="981" spans="1:21">
      <c r="A981" s="11" t="s">
        <v>1454</v>
      </c>
      <c r="B981" s="7">
        <f>_xlfn.XLOOKUP(Jnl[[#This Row],[TrxId]], Trx[Id], Trx[Date],,0)</f>
        <v>46081</v>
      </c>
      <c r="C981" s="7" t="str">
        <f>_xlfn.XLOOKUP(Jnl[[#This Row],[TrxId]], Trx[Id], Trx[Division],,0)</f>
        <v>GM</v>
      </c>
      <c r="D981" s="7" t="str">
        <f>_xlfn.XLOOKUP(Jnl[[#This Row],[TrxId]], Trx[Id], Trx[Action],,0)</f>
        <v>年终奖</v>
      </c>
      <c r="E981" s="26" t="s">
        <v>111</v>
      </c>
      <c r="F981" s="11" t="s">
        <v>590</v>
      </c>
      <c r="G981" s="11" t="s">
        <v>482</v>
      </c>
      <c r="H981" s="72">
        <v>-19109</v>
      </c>
      <c r="I981" s="5" t="b">
        <f>AND(Jnl[[#This Row],[TrxId]]&lt;&gt;"",Jnl[[#This Row],[Acct]]&lt;&gt;"",Jnl[[#This Row],[Item]]&lt;&gt;"",ISNUMBER(Jnl[[#This Row],[Bal]]))</f>
        <v>1</v>
      </c>
      <c r="J981" s="10">
        <f>IF(Jnl[[#This Row],[BSLv0]]="A",1,-1)*Jnl[[#This Row],[Bal]]</f>
        <v>-19109</v>
      </c>
      <c r="K981" t="str">
        <f>_xlfn.XLOOKUP(Jnl[[#This Row],[Acct]], config_BS[Acct], config_BS[Lv0],,0)</f>
        <v>A</v>
      </c>
      <c r="L981" t="str">
        <f>_xlfn.XLOOKUP(Jnl[[#This Row],[Acct]], config_BS[Acct], config_BS[Lv1],,0)</f>
        <v>Assets</v>
      </c>
      <c r="M981" t="str">
        <f>_xlfn.XLOOKUP(Jnl[[#This Row],[Acct]], config_BS[Acct], config_BS[Lv2],,0)</f>
        <v>Cash alike</v>
      </c>
      <c r="N981" t="str">
        <f>_xlfn.XLOOKUP(Jnl[[#This Row],[TrxId]], Trx[Id], Trx[IncNode], ,0)</f>
        <v>Discretion</v>
      </c>
      <c r="O981" t="str">
        <f>_xlfn.XLOOKUP(Jnl[[#This Row],[IncNode]], config_IS[Node], config_IS[Type],,0)</f>
        <v>Non-Op</v>
      </c>
      <c r="P981" t="str">
        <f>_xlfn.XLOOKUP(Jnl[[#This Row],[BSLv2]], dict[Key], dict[Name],,0)</f>
        <v>0.现金及类似</v>
      </c>
      <c r="Q981" t="str">
        <f>_xlfn.XLOOKUP(Jnl[[#This Row],[Acct]], dict[Key], dict[Name],,0)</f>
        <v>银行</v>
      </c>
      <c r="R981" t="str">
        <f>_xlfn.XLOOKUP(Jnl[[#This Row],[Vehicle]],config_vehicle[Id], config_vehicle[Name],,0)</f>
        <v>染匠文化</v>
      </c>
      <c r="S981" t="str">
        <f>_xlfn.XLOOKUP(Jnl[[#This Row],[Division]],config_div[Id], config_div[Name],,0)</f>
        <v>综合管理</v>
      </c>
      <c r="T981" t="str">
        <f>IF(Jnl[[#This Row],[TrxDate]]&lt;=stmt_BS_date_end, "In", "Out")</f>
        <v>In</v>
      </c>
      <c r="U981" t="str">
        <f>IF(Jnl[[#This Row],[TrxDate]]&lt;debug_date_start, "prior", IF(Jnl[[#This Row],[TrxDate]]&gt;debug_date_end, "post", "curr"))</f>
        <v>curr</v>
      </c>
    </row>
    <row r="982" spans="1:21">
      <c r="A982" s="11" t="s">
        <v>1454</v>
      </c>
      <c r="B982" s="7">
        <f>_xlfn.XLOOKUP(Jnl[[#This Row],[TrxId]], Trx[Id], Trx[Date],,0)</f>
        <v>46081</v>
      </c>
      <c r="C982" s="7" t="str">
        <f>_xlfn.XLOOKUP(Jnl[[#This Row],[TrxId]], Trx[Id], Trx[Division],,0)</f>
        <v>GM</v>
      </c>
      <c r="D982" s="7" t="str">
        <f>_xlfn.XLOOKUP(Jnl[[#This Row],[TrxId]], Trx[Id], Trx[Action],,0)</f>
        <v>年终奖</v>
      </c>
      <c r="E982" s="26" t="s">
        <v>111</v>
      </c>
      <c r="F982" s="11" t="s">
        <v>127</v>
      </c>
      <c r="G982" s="11" t="s">
        <v>343</v>
      </c>
      <c r="H982" s="72">
        <v>591</v>
      </c>
      <c r="I982" s="5" t="b">
        <f>AND(Jnl[[#This Row],[TrxId]]&lt;&gt;"",Jnl[[#This Row],[Acct]]&lt;&gt;"",Jnl[[#This Row],[Item]]&lt;&gt;"",ISNUMBER(Jnl[[#This Row],[Bal]]))</f>
        <v>1</v>
      </c>
      <c r="J982" s="10">
        <f>IF(Jnl[[#This Row],[BSLv0]]="A",1,-1)*Jnl[[#This Row],[Bal]]</f>
        <v>-591</v>
      </c>
      <c r="K982" t="str">
        <f>_xlfn.XLOOKUP(Jnl[[#This Row],[Acct]], config_BS[Acct], config_BS[Lv0],,0)</f>
        <v>LC</v>
      </c>
      <c r="L982" t="str">
        <f>_xlfn.XLOOKUP(Jnl[[#This Row],[Acct]], config_BS[Acct], config_BS[Lv1],,0)</f>
        <v>Liability</v>
      </c>
      <c r="M982" t="str">
        <f>_xlfn.XLOOKUP(Jnl[[#This Row],[Acct]], config_BS[Acct], config_BS[Lv2],,0)</f>
        <v>Rec-Pay</v>
      </c>
      <c r="N982" t="str">
        <f>_xlfn.XLOOKUP(Jnl[[#This Row],[TrxId]], Trx[Id], Trx[IncNode], ,0)</f>
        <v>Discretion</v>
      </c>
      <c r="O982" t="str">
        <f>_xlfn.XLOOKUP(Jnl[[#This Row],[IncNode]], config_IS[Node], config_IS[Type],,0)</f>
        <v>Non-Op</v>
      </c>
      <c r="P982" t="str">
        <f>_xlfn.XLOOKUP(Jnl[[#This Row],[BSLv2]], dict[Key], dict[Name],,0)</f>
        <v>1.应收-应付</v>
      </c>
      <c r="Q982" t="str">
        <f>_xlfn.XLOOKUP(Jnl[[#This Row],[Acct]], dict[Key], dict[Name],,0)</f>
        <v>应付-税款</v>
      </c>
      <c r="R982" t="str">
        <f>_xlfn.XLOOKUP(Jnl[[#This Row],[Vehicle]],config_vehicle[Id], config_vehicle[Name],,0)</f>
        <v>染匠文化</v>
      </c>
      <c r="S982" t="str">
        <f>_xlfn.XLOOKUP(Jnl[[#This Row],[Division]],config_div[Id], config_div[Name],,0)</f>
        <v>综合管理</v>
      </c>
      <c r="T982" t="str">
        <f>IF(Jnl[[#This Row],[TrxDate]]&lt;=stmt_BS_date_end, "In", "Out")</f>
        <v>In</v>
      </c>
      <c r="U982" t="str">
        <f>IF(Jnl[[#This Row],[TrxDate]]&lt;debug_date_start, "prior", IF(Jnl[[#This Row],[TrxDate]]&gt;debug_date_end, "post", "curr"))</f>
        <v>curr</v>
      </c>
    </row>
    <row r="983" spans="1:21">
      <c r="A983" s="11" t="s">
        <v>1455</v>
      </c>
      <c r="B983" s="7">
        <f>_xlfn.XLOOKUP(Jnl[[#This Row],[TrxId]], Trx[Id], Trx[Date],,0)</f>
        <v>46081</v>
      </c>
      <c r="C983" s="7" t="str">
        <f>_xlfn.XLOOKUP(Jnl[[#This Row],[TrxId]], Trx[Id], Trx[Division],,0)</f>
        <v>Zhuse</v>
      </c>
      <c r="D983" s="7" t="str">
        <f>_xlfn.XLOOKUP(Jnl[[#This Row],[TrxId]], Trx[Id], Trx[Action],,0)</f>
        <v>其他销售</v>
      </c>
      <c r="E983" s="26" t="s">
        <v>111</v>
      </c>
      <c r="F983" s="11" t="s">
        <v>590</v>
      </c>
      <c r="G983" s="11" t="s">
        <v>482</v>
      </c>
      <c r="H983" s="72">
        <v>324.38</v>
      </c>
      <c r="I983" s="5" t="b">
        <f>AND(Jnl[[#This Row],[TrxId]]&lt;&gt;"",Jnl[[#This Row],[Acct]]&lt;&gt;"",Jnl[[#This Row],[Item]]&lt;&gt;"",ISNUMBER(Jnl[[#This Row],[Bal]]))</f>
        <v>1</v>
      </c>
      <c r="J983" s="10">
        <f>IF(Jnl[[#This Row],[BSLv0]]="A",1,-1)*Jnl[[#This Row],[Bal]]</f>
        <v>324.38</v>
      </c>
      <c r="K983" t="str">
        <f>_xlfn.XLOOKUP(Jnl[[#This Row],[Acct]], config_BS[Acct], config_BS[Lv0],,0)</f>
        <v>A</v>
      </c>
      <c r="L983" t="str">
        <f>_xlfn.XLOOKUP(Jnl[[#This Row],[Acct]], config_BS[Acct], config_BS[Lv1],,0)</f>
        <v>Assets</v>
      </c>
      <c r="M983" t="str">
        <f>_xlfn.XLOOKUP(Jnl[[#This Row],[Acct]], config_BS[Acct], config_BS[Lv2],,0)</f>
        <v>Cash alike</v>
      </c>
      <c r="N983" t="str">
        <f>_xlfn.XLOOKUP(Jnl[[#This Row],[TrxId]], Trx[Id], Trx[IncNode], ,0)</f>
        <v>Revenue</v>
      </c>
      <c r="O983" t="str">
        <f>_xlfn.XLOOKUP(Jnl[[#This Row],[IncNode]], config_IS[Node], config_IS[Type],,0)</f>
        <v>Op</v>
      </c>
      <c r="P983" t="str">
        <f>_xlfn.XLOOKUP(Jnl[[#This Row],[BSLv2]], dict[Key], dict[Name],,0)</f>
        <v>0.现金及类似</v>
      </c>
      <c r="Q983" t="str">
        <f>_xlfn.XLOOKUP(Jnl[[#This Row],[Acct]], dict[Key], dict[Name],,0)</f>
        <v>银行</v>
      </c>
      <c r="R983" t="str">
        <f>_xlfn.XLOOKUP(Jnl[[#This Row],[Vehicle]],config_vehicle[Id], config_vehicle[Name],,0)</f>
        <v>染匠文化</v>
      </c>
      <c r="S983" t="str">
        <f>_xlfn.XLOOKUP(Jnl[[#This Row],[Division]],config_div[Id], config_div[Name],,0)</f>
        <v>驻色</v>
      </c>
      <c r="T983" t="str">
        <f>IF(Jnl[[#This Row],[TrxDate]]&lt;=stmt_BS_date_end, "In", "Out")</f>
        <v>In</v>
      </c>
      <c r="U983" t="str">
        <f>IF(Jnl[[#This Row],[TrxDate]]&lt;debug_date_start, "prior", IF(Jnl[[#This Row],[TrxDate]]&gt;debug_date_end, "post", "curr"))</f>
        <v>curr</v>
      </c>
    </row>
    <row r="984" spans="1:21">
      <c r="A984" s="11" t="s">
        <v>1457</v>
      </c>
      <c r="B984" s="7">
        <f>_xlfn.XLOOKUP(Jnl[[#This Row],[TrxId]], Trx[Id], Trx[Date],,0)</f>
        <v>46081</v>
      </c>
      <c r="C984" s="7" t="str">
        <f>_xlfn.XLOOKUP(Jnl[[#This Row],[TrxId]], Trx[Id], Trx[Division],,0)</f>
        <v>GM</v>
      </c>
      <c r="D984" s="7" t="str">
        <f>_xlfn.XLOOKUP(Jnl[[#This Row],[TrxId]], Trx[Id], Trx[Action],,0)</f>
        <v>支付</v>
      </c>
      <c r="E984" s="26" t="s">
        <v>111</v>
      </c>
      <c r="F984" s="11" t="s">
        <v>127</v>
      </c>
      <c r="G984" s="11" t="s">
        <v>343</v>
      </c>
      <c r="H984" s="72">
        <v>-801.69</v>
      </c>
      <c r="I984" s="5" t="b">
        <f>AND(Jnl[[#This Row],[TrxId]]&lt;&gt;"",Jnl[[#This Row],[Acct]]&lt;&gt;"",Jnl[[#This Row],[Item]]&lt;&gt;"",ISNUMBER(Jnl[[#This Row],[Bal]]))</f>
        <v>1</v>
      </c>
      <c r="J984" s="10">
        <f>IF(Jnl[[#This Row],[BSLv0]]="A",1,-1)*Jnl[[#This Row],[Bal]]</f>
        <v>801.69</v>
      </c>
      <c r="K984" t="str">
        <f>_xlfn.XLOOKUP(Jnl[[#This Row],[Acct]], config_BS[Acct], config_BS[Lv0],,0)</f>
        <v>LC</v>
      </c>
      <c r="L984" t="str">
        <f>_xlfn.XLOOKUP(Jnl[[#This Row],[Acct]], config_BS[Acct], config_BS[Lv1],,0)</f>
        <v>Liability</v>
      </c>
      <c r="M984" t="str">
        <f>_xlfn.XLOOKUP(Jnl[[#This Row],[Acct]], config_BS[Acct], config_BS[Lv2],,0)</f>
        <v>Rec-Pay</v>
      </c>
      <c r="N984" t="str">
        <f>_xlfn.XLOOKUP(Jnl[[#This Row],[TrxId]], Trx[Id], Trx[IncNode], ,0)</f>
        <v>Expense</v>
      </c>
      <c r="O984" t="str">
        <f>_xlfn.XLOOKUP(Jnl[[#This Row],[IncNode]], config_IS[Node], config_IS[Type],,0)</f>
        <v>Op</v>
      </c>
      <c r="P984" t="str">
        <f>_xlfn.XLOOKUP(Jnl[[#This Row],[BSLv2]], dict[Key], dict[Name],,0)</f>
        <v>1.应收-应付</v>
      </c>
      <c r="Q984" t="str">
        <f>_xlfn.XLOOKUP(Jnl[[#This Row],[Acct]], dict[Key], dict[Name],,0)</f>
        <v>应付-税款</v>
      </c>
      <c r="R984" t="str">
        <f>_xlfn.XLOOKUP(Jnl[[#This Row],[Vehicle]],config_vehicle[Id], config_vehicle[Name],,0)</f>
        <v>染匠文化</v>
      </c>
      <c r="S984" t="str">
        <f>_xlfn.XLOOKUP(Jnl[[#This Row],[Division]],config_div[Id], config_div[Name],,0)</f>
        <v>综合管理</v>
      </c>
      <c r="T984" t="str">
        <f>IF(Jnl[[#This Row],[TrxDate]]&lt;=stmt_BS_date_end, "In", "Out")</f>
        <v>In</v>
      </c>
      <c r="U984" t="str">
        <f>IF(Jnl[[#This Row],[TrxDate]]&lt;debug_date_start, "prior", IF(Jnl[[#This Row],[TrxDate]]&gt;debug_date_end, "post", "curr"))</f>
        <v>curr</v>
      </c>
    </row>
    <row r="985" spans="1:21">
      <c r="A985" s="11" t="s">
        <v>1457</v>
      </c>
      <c r="B985" s="7">
        <f>_xlfn.XLOOKUP(Jnl[[#This Row],[TrxId]], Trx[Id], Trx[Date],,0)</f>
        <v>46081</v>
      </c>
      <c r="C985" s="7" t="str">
        <f>_xlfn.XLOOKUP(Jnl[[#This Row],[TrxId]], Trx[Id], Trx[Division],,0)</f>
        <v>GM</v>
      </c>
      <c r="D985" s="7" t="str">
        <f>_xlfn.XLOOKUP(Jnl[[#This Row],[TrxId]], Trx[Id], Trx[Action],,0)</f>
        <v>支付</v>
      </c>
      <c r="E985" s="26" t="s">
        <v>111</v>
      </c>
      <c r="F985" s="11" t="s">
        <v>590</v>
      </c>
      <c r="G985" s="11" t="s">
        <v>482</v>
      </c>
      <c r="H985" s="72">
        <v>-801.69</v>
      </c>
      <c r="I985" s="5" t="b">
        <f>AND(Jnl[[#This Row],[TrxId]]&lt;&gt;"",Jnl[[#This Row],[Acct]]&lt;&gt;"",Jnl[[#This Row],[Item]]&lt;&gt;"",ISNUMBER(Jnl[[#This Row],[Bal]]))</f>
        <v>1</v>
      </c>
      <c r="J985" s="10">
        <f>IF(Jnl[[#This Row],[BSLv0]]="A",1,-1)*Jnl[[#This Row],[Bal]]</f>
        <v>-801.69</v>
      </c>
      <c r="K985" t="str">
        <f>_xlfn.XLOOKUP(Jnl[[#This Row],[Acct]], config_BS[Acct], config_BS[Lv0],,0)</f>
        <v>A</v>
      </c>
      <c r="L985" t="str">
        <f>_xlfn.XLOOKUP(Jnl[[#This Row],[Acct]], config_BS[Acct], config_BS[Lv1],,0)</f>
        <v>Assets</v>
      </c>
      <c r="M985" t="str">
        <f>_xlfn.XLOOKUP(Jnl[[#This Row],[Acct]], config_BS[Acct], config_BS[Lv2],,0)</f>
        <v>Cash alike</v>
      </c>
      <c r="N985" t="str">
        <f>_xlfn.XLOOKUP(Jnl[[#This Row],[TrxId]], Trx[Id], Trx[IncNode], ,0)</f>
        <v>Expense</v>
      </c>
      <c r="O985" t="str">
        <f>_xlfn.XLOOKUP(Jnl[[#This Row],[IncNode]], config_IS[Node], config_IS[Type],,0)</f>
        <v>Op</v>
      </c>
      <c r="P985" t="str">
        <f>_xlfn.XLOOKUP(Jnl[[#This Row],[BSLv2]], dict[Key], dict[Name],,0)</f>
        <v>0.现金及类似</v>
      </c>
      <c r="Q985" t="str">
        <f>_xlfn.XLOOKUP(Jnl[[#This Row],[Acct]], dict[Key], dict[Name],,0)</f>
        <v>银行</v>
      </c>
      <c r="R985" t="str">
        <f>_xlfn.XLOOKUP(Jnl[[#This Row],[Vehicle]],config_vehicle[Id], config_vehicle[Name],,0)</f>
        <v>染匠文化</v>
      </c>
      <c r="S985" t="str">
        <f>_xlfn.XLOOKUP(Jnl[[#This Row],[Division]],config_div[Id], config_div[Name],,0)</f>
        <v>综合管理</v>
      </c>
      <c r="T985" t="str">
        <f>IF(Jnl[[#This Row],[TrxDate]]&lt;=stmt_BS_date_end, "In", "Out")</f>
        <v>In</v>
      </c>
      <c r="U985" t="str">
        <f>IF(Jnl[[#This Row],[TrxDate]]&lt;debug_date_start, "prior", IF(Jnl[[#This Row],[TrxDate]]&gt;debug_date_end, "post", "curr"))</f>
        <v>curr</v>
      </c>
    </row>
    <row r="986" spans="1:21">
      <c r="A986" s="11" t="s">
        <v>1458</v>
      </c>
      <c r="B986" s="7">
        <f>_xlfn.XLOOKUP(Jnl[[#This Row],[TrxId]], Trx[Id], Trx[Date],,0)</f>
        <v>46081</v>
      </c>
      <c r="C986" s="7" t="str">
        <f>_xlfn.XLOOKUP(Jnl[[#This Row],[TrxId]], Trx[Id], Trx[Division],,0)</f>
        <v>Ctrl</v>
      </c>
      <c r="D986" s="7" t="str">
        <f>_xlfn.XLOOKUP(Jnl[[#This Row],[TrxId]], Trx[Id], Trx[Action],,0)</f>
        <v>过账</v>
      </c>
      <c r="E986" s="26" t="s">
        <v>111</v>
      </c>
      <c r="F986" s="11" t="s">
        <v>590</v>
      </c>
      <c r="G986" s="11" t="s">
        <v>482</v>
      </c>
      <c r="H986" s="72">
        <v>150000</v>
      </c>
      <c r="I986" s="5" t="b">
        <f>AND(Jnl[[#This Row],[TrxId]]&lt;&gt;"",Jnl[[#This Row],[Acct]]&lt;&gt;"",Jnl[[#This Row],[Item]]&lt;&gt;"",ISNUMBER(Jnl[[#This Row],[Bal]]))</f>
        <v>1</v>
      </c>
      <c r="J986" s="10">
        <f>IF(Jnl[[#This Row],[BSLv0]]="A",1,-1)*Jnl[[#This Row],[Bal]]</f>
        <v>150000</v>
      </c>
      <c r="K986" t="str">
        <f>_xlfn.XLOOKUP(Jnl[[#This Row],[Acct]], config_BS[Acct], config_BS[Lv0],,0)</f>
        <v>A</v>
      </c>
      <c r="L986" t="str">
        <f>_xlfn.XLOOKUP(Jnl[[#This Row],[Acct]], config_BS[Acct], config_BS[Lv1],,0)</f>
        <v>Assets</v>
      </c>
      <c r="M986" t="str">
        <f>_xlfn.XLOOKUP(Jnl[[#This Row],[Acct]], config_BS[Acct], config_BS[Lv2],,0)</f>
        <v>Cash alike</v>
      </c>
      <c r="N986" t="str">
        <f>_xlfn.XLOOKUP(Jnl[[#This Row],[TrxId]], Trx[Id], Trx[IncNode], ,0)</f>
        <v>Other</v>
      </c>
      <c r="O986" t="str">
        <f>_xlfn.XLOOKUP(Jnl[[#This Row],[IncNode]], config_IS[Node], config_IS[Type],,0)</f>
        <v>Non-Op</v>
      </c>
      <c r="P986" t="str">
        <f>_xlfn.XLOOKUP(Jnl[[#This Row],[BSLv2]], dict[Key], dict[Name],,0)</f>
        <v>0.现金及类似</v>
      </c>
      <c r="Q986" t="str">
        <f>_xlfn.XLOOKUP(Jnl[[#This Row],[Acct]], dict[Key], dict[Name],,0)</f>
        <v>银行</v>
      </c>
      <c r="R986" t="str">
        <f>_xlfn.XLOOKUP(Jnl[[#This Row],[Vehicle]],config_vehicle[Id], config_vehicle[Name],,0)</f>
        <v>染匠文化</v>
      </c>
      <c r="S986" t="str">
        <f>_xlfn.XLOOKUP(Jnl[[#This Row],[Division]],config_div[Id], config_div[Name],,0)</f>
        <v>内控合规</v>
      </c>
      <c r="T986" t="str">
        <f>IF(Jnl[[#This Row],[TrxDate]]&lt;=stmt_BS_date_end, "In", "Out")</f>
        <v>In</v>
      </c>
      <c r="U986" t="str">
        <f>IF(Jnl[[#This Row],[TrxDate]]&lt;debug_date_start, "prior", IF(Jnl[[#This Row],[TrxDate]]&gt;debug_date_end, "post", "curr"))</f>
        <v>curr</v>
      </c>
    </row>
    <row r="987" spans="1:21">
      <c r="A987" s="11" t="s">
        <v>1458</v>
      </c>
      <c r="B987" s="7">
        <f>_xlfn.XLOOKUP(Jnl[[#This Row],[TrxId]], Trx[Id], Trx[Date],,0)</f>
        <v>46081</v>
      </c>
      <c r="C987" s="7" t="str">
        <f>_xlfn.XLOOKUP(Jnl[[#This Row],[TrxId]], Trx[Id], Trx[Division],,0)</f>
        <v>Ctrl</v>
      </c>
      <c r="D987" s="7" t="str">
        <f>_xlfn.XLOOKUP(Jnl[[#This Row],[TrxId]], Trx[Id], Trx[Action],,0)</f>
        <v>过账</v>
      </c>
      <c r="E987" s="26" t="s">
        <v>80</v>
      </c>
      <c r="F987" s="11" t="s">
        <v>590</v>
      </c>
      <c r="G987" s="11" t="s">
        <v>50</v>
      </c>
      <c r="H987" s="72">
        <v>-150000</v>
      </c>
      <c r="I987" s="5" t="b">
        <f>AND(Jnl[[#This Row],[TrxId]]&lt;&gt;"",Jnl[[#This Row],[Acct]]&lt;&gt;"",Jnl[[#This Row],[Item]]&lt;&gt;"",ISNUMBER(Jnl[[#This Row],[Bal]]))</f>
        <v>1</v>
      </c>
      <c r="J987" s="10">
        <f>IF(Jnl[[#This Row],[BSLv0]]="A",1,-1)*Jnl[[#This Row],[Bal]]</f>
        <v>-150000</v>
      </c>
      <c r="K987" t="str">
        <f>_xlfn.XLOOKUP(Jnl[[#This Row],[Acct]], config_BS[Acct], config_BS[Lv0],,0)</f>
        <v>A</v>
      </c>
      <c r="L987" t="str">
        <f>_xlfn.XLOOKUP(Jnl[[#This Row],[Acct]], config_BS[Acct], config_BS[Lv1],,0)</f>
        <v>Assets</v>
      </c>
      <c r="M987" t="str">
        <f>_xlfn.XLOOKUP(Jnl[[#This Row],[Acct]], config_BS[Acct], config_BS[Lv2],,0)</f>
        <v>Cash alike</v>
      </c>
      <c r="N987" t="str">
        <f>_xlfn.XLOOKUP(Jnl[[#This Row],[TrxId]], Trx[Id], Trx[IncNode], ,0)</f>
        <v>Other</v>
      </c>
      <c r="O987" t="str">
        <f>_xlfn.XLOOKUP(Jnl[[#This Row],[IncNode]], config_IS[Node], config_IS[Type],,0)</f>
        <v>Non-Op</v>
      </c>
      <c r="P987" t="str">
        <f>_xlfn.XLOOKUP(Jnl[[#This Row],[BSLv2]], dict[Key], dict[Name],,0)</f>
        <v>0.现金及类似</v>
      </c>
      <c r="Q987" t="str">
        <f>_xlfn.XLOOKUP(Jnl[[#This Row],[Acct]], dict[Key], dict[Name],,0)</f>
        <v>银行</v>
      </c>
      <c r="R987" t="str">
        <f>_xlfn.XLOOKUP(Jnl[[#This Row],[Vehicle]],config_vehicle[Id], config_vehicle[Name],,0)</f>
        <v>远家花园</v>
      </c>
      <c r="S987" t="str">
        <f>_xlfn.XLOOKUP(Jnl[[#This Row],[Division]],config_div[Id], config_div[Name],,0)</f>
        <v>内控合规</v>
      </c>
      <c r="T987" t="str">
        <f>IF(Jnl[[#This Row],[TrxDate]]&lt;=stmt_BS_date_end, "In", "Out")</f>
        <v>In</v>
      </c>
      <c r="U987" t="str">
        <f>IF(Jnl[[#This Row],[TrxDate]]&lt;debug_date_start, "prior", IF(Jnl[[#This Row],[TrxDate]]&gt;debug_date_end, "post", "curr"))</f>
        <v>curr</v>
      </c>
    </row>
    <row r="988" spans="1:21">
      <c r="A988" s="11" t="s">
        <v>1459</v>
      </c>
      <c r="B988" s="7">
        <f>_xlfn.XLOOKUP(Jnl[[#This Row],[TrxId]], Trx[Id], Trx[Date],,0)</f>
        <v>46081</v>
      </c>
      <c r="C988" s="7" t="str">
        <f>_xlfn.XLOOKUP(Jnl[[#This Row],[TrxId]], Trx[Id], Trx[Division],,0)</f>
        <v>Zhuse</v>
      </c>
      <c r="D988" s="7" t="str">
        <f>_xlfn.XLOOKUP(Jnl[[#This Row],[TrxId]], Trx[Id], Trx[Action],,0)</f>
        <v>加工</v>
      </c>
      <c r="E988" s="26" t="s">
        <v>111</v>
      </c>
      <c r="F988" s="11" t="s">
        <v>590</v>
      </c>
      <c r="G988" s="11" t="s">
        <v>482</v>
      </c>
      <c r="H988" s="72">
        <v>21104.66</v>
      </c>
      <c r="I988" s="5" t="b">
        <f>AND(Jnl[[#This Row],[TrxId]]&lt;&gt;"",Jnl[[#This Row],[Acct]]&lt;&gt;"",Jnl[[#This Row],[Item]]&lt;&gt;"",ISNUMBER(Jnl[[#This Row],[Bal]]))</f>
        <v>1</v>
      </c>
      <c r="J988" s="10">
        <f>IF(Jnl[[#This Row],[BSLv0]]="A",1,-1)*Jnl[[#This Row],[Bal]]</f>
        <v>21104.66</v>
      </c>
      <c r="K988" t="str">
        <f>_xlfn.XLOOKUP(Jnl[[#This Row],[Acct]], config_BS[Acct], config_BS[Lv0],,0)</f>
        <v>A</v>
      </c>
      <c r="L988" t="str">
        <f>_xlfn.XLOOKUP(Jnl[[#This Row],[Acct]], config_BS[Acct], config_BS[Lv1],,0)</f>
        <v>Assets</v>
      </c>
      <c r="M988" t="str">
        <f>_xlfn.XLOOKUP(Jnl[[#This Row],[Acct]], config_BS[Acct], config_BS[Lv2],,0)</f>
        <v>Cash alike</v>
      </c>
      <c r="N988" t="str">
        <f>_xlfn.XLOOKUP(Jnl[[#This Row],[TrxId]], Trx[Id], Trx[IncNode], ,0)</f>
        <v>Cost</v>
      </c>
      <c r="O988" t="str">
        <f>_xlfn.XLOOKUP(Jnl[[#This Row],[IncNode]], config_IS[Node], config_IS[Type],,0)</f>
        <v>Op</v>
      </c>
      <c r="P988" t="str">
        <f>_xlfn.XLOOKUP(Jnl[[#This Row],[BSLv2]], dict[Key], dict[Name],,0)</f>
        <v>0.现金及类似</v>
      </c>
      <c r="Q988" t="str">
        <f>_xlfn.XLOOKUP(Jnl[[#This Row],[Acct]], dict[Key], dict[Name],,0)</f>
        <v>银行</v>
      </c>
      <c r="R988" t="str">
        <f>_xlfn.XLOOKUP(Jnl[[#This Row],[Vehicle]],config_vehicle[Id], config_vehicle[Name],,0)</f>
        <v>染匠文化</v>
      </c>
      <c r="S988" t="str">
        <f>_xlfn.XLOOKUP(Jnl[[#This Row],[Division]],config_div[Id], config_div[Name],,0)</f>
        <v>驻色</v>
      </c>
      <c r="T988" t="str">
        <f>IF(Jnl[[#This Row],[TrxDate]]&lt;=stmt_BS_date_end, "In", "Out")</f>
        <v>In</v>
      </c>
      <c r="U988" t="str">
        <f>IF(Jnl[[#This Row],[TrxDate]]&lt;debug_date_start, "prior", IF(Jnl[[#This Row],[TrxDate]]&gt;debug_date_end, "post", "curr"))</f>
        <v>curr</v>
      </c>
    </row>
    <row r="989" spans="1:21">
      <c r="A989" s="11" t="s">
        <v>1461</v>
      </c>
      <c r="B989" s="7">
        <f>_xlfn.XLOOKUP(Jnl[[#This Row],[TrxId]], Trx[Id], Trx[Date],,0)</f>
        <v>46081</v>
      </c>
      <c r="C989" s="7" t="str">
        <f>_xlfn.XLOOKUP(Jnl[[#This Row],[TrxId]], Trx[Id], Trx[Division],,0)</f>
        <v>GM</v>
      </c>
      <c r="D989" s="7" t="str">
        <f>_xlfn.XLOOKUP(Jnl[[#This Row],[TrxId]], Trx[Id], Trx[Action],,0)</f>
        <v>银行费</v>
      </c>
      <c r="E989" s="26" t="s">
        <v>111</v>
      </c>
      <c r="F989" s="11" t="s">
        <v>590</v>
      </c>
      <c r="G989" s="11" t="s">
        <v>482</v>
      </c>
      <c r="H989" s="72">
        <v>-27.5</v>
      </c>
      <c r="I989" s="5" t="b">
        <f>AND(Jnl[[#This Row],[TrxId]]&lt;&gt;"",Jnl[[#This Row],[Acct]]&lt;&gt;"",Jnl[[#This Row],[Item]]&lt;&gt;"",ISNUMBER(Jnl[[#This Row],[Bal]]))</f>
        <v>1</v>
      </c>
      <c r="J989" s="10">
        <f>IF(Jnl[[#This Row],[BSLv0]]="A",1,-1)*Jnl[[#This Row],[Bal]]</f>
        <v>-27.5</v>
      </c>
      <c r="K989" t="str">
        <f>_xlfn.XLOOKUP(Jnl[[#This Row],[Acct]], config_BS[Acct], config_BS[Lv0],,0)</f>
        <v>A</v>
      </c>
      <c r="L989" t="str">
        <f>_xlfn.XLOOKUP(Jnl[[#This Row],[Acct]], config_BS[Acct], config_BS[Lv1],,0)</f>
        <v>Assets</v>
      </c>
      <c r="M989" t="str">
        <f>_xlfn.XLOOKUP(Jnl[[#This Row],[Acct]], config_BS[Acct], config_BS[Lv2],,0)</f>
        <v>Cash alike</v>
      </c>
      <c r="N989" t="str">
        <f>_xlfn.XLOOKUP(Jnl[[#This Row],[TrxId]], Trx[Id], Trx[IncNode], ,0)</f>
        <v>Expense</v>
      </c>
      <c r="O989" t="str">
        <f>_xlfn.XLOOKUP(Jnl[[#This Row],[IncNode]], config_IS[Node], config_IS[Type],,0)</f>
        <v>Op</v>
      </c>
      <c r="P989" t="str">
        <f>_xlfn.XLOOKUP(Jnl[[#This Row],[BSLv2]], dict[Key], dict[Name],,0)</f>
        <v>0.现金及类似</v>
      </c>
      <c r="Q989" t="str">
        <f>_xlfn.XLOOKUP(Jnl[[#This Row],[Acct]], dict[Key], dict[Name],,0)</f>
        <v>银行</v>
      </c>
      <c r="R989" t="str">
        <f>_xlfn.XLOOKUP(Jnl[[#This Row],[Vehicle]],config_vehicle[Id], config_vehicle[Name],,0)</f>
        <v>染匠文化</v>
      </c>
      <c r="S989" t="str">
        <f>_xlfn.XLOOKUP(Jnl[[#This Row],[Division]],config_div[Id], config_div[Name],,0)</f>
        <v>综合管理</v>
      </c>
      <c r="T989" t="str">
        <f>IF(Jnl[[#This Row],[TrxDate]]&lt;=stmt_BS_date_end, "In", "Out")</f>
        <v>In</v>
      </c>
      <c r="U989" t="str">
        <f>IF(Jnl[[#This Row],[TrxDate]]&lt;debug_date_start, "prior", IF(Jnl[[#This Row],[TrxDate]]&gt;debug_date_end, "post", "curr"))</f>
        <v>curr</v>
      </c>
    </row>
    <row r="990" spans="1:21">
      <c r="A990" s="11" t="s">
        <v>1462</v>
      </c>
      <c r="B990" s="7">
        <f>_xlfn.XLOOKUP(Jnl[[#This Row],[TrxId]], Trx[Id], Trx[Date],,0)</f>
        <v>46081</v>
      </c>
      <c r="C990" s="7" t="str">
        <f>_xlfn.XLOOKUP(Jnl[[#This Row],[TrxId]], Trx[Id], Trx[Division],,0)</f>
        <v>Zhuse</v>
      </c>
      <c r="D990" s="7" t="str">
        <f>_xlfn.XLOOKUP(Jnl[[#This Row],[TrxId]], Trx[Id], Trx[Action],,0)</f>
        <v>福利</v>
      </c>
      <c r="E990" s="26" t="s">
        <v>111</v>
      </c>
      <c r="F990" s="11" t="s">
        <v>590</v>
      </c>
      <c r="G990" s="11" t="s">
        <v>482</v>
      </c>
      <c r="H990" s="72">
        <v>-2380</v>
      </c>
      <c r="I990" s="5" t="b">
        <f>AND(Jnl[[#This Row],[TrxId]]&lt;&gt;"",Jnl[[#This Row],[Acct]]&lt;&gt;"",Jnl[[#This Row],[Item]]&lt;&gt;"",ISNUMBER(Jnl[[#This Row],[Bal]]))</f>
        <v>1</v>
      </c>
      <c r="J990" s="10">
        <f>IF(Jnl[[#This Row],[BSLv0]]="A",1,-1)*Jnl[[#This Row],[Bal]]</f>
        <v>-2380</v>
      </c>
      <c r="K990" t="str">
        <f>_xlfn.XLOOKUP(Jnl[[#This Row],[Acct]], config_BS[Acct], config_BS[Lv0],,0)</f>
        <v>A</v>
      </c>
      <c r="L990" t="str">
        <f>_xlfn.XLOOKUP(Jnl[[#This Row],[Acct]], config_BS[Acct], config_BS[Lv1],,0)</f>
        <v>Assets</v>
      </c>
      <c r="M990" t="str">
        <f>_xlfn.XLOOKUP(Jnl[[#This Row],[Acct]], config_BS[Acct], config_BS[Lv2],,0)</f>
        <v>Cash alike</v>
      </c>
      <c r="N990" t="str">
        <f>_xlfn.XLOOKUP(Jnl[[#This Row],[TrxId]], Trx[Id], Trx[IncNode], ,0)</f>
        <v>Expense</v>
      </c>
      <c r="O990" t="str">
        <f>_xlfn.XLOOKUP(Jnl[[#This Row],[IncNode]], config_IS[Node], config_IS[Type],,0)</f>
        <v>Op</v>
      </c>
      <c r="P990" t="str">
        <f>_xlfn.XLOOKUP(Jnl[[#This Row],[BSLv2]], dict[Key], dict[Name],,0)</f>
        <v>0.现金及类似</v>
      </c>
      <c r="Q990" t="str">
        <f>_xlfn.XLOOKUP(Jnl[[#This Row],[Acct]], dict[Key], dict[Name],,0)</f>
        <v>银行</v>
      </c>
      <c r="R990" t="str">
        <f>_xlfn.XLOOKUP(Jnl[[#This Row],[Vehicle]],config_vehicle[Id], config_vehicle[Name],,0)</f>
        <v>染匠文化</v>
      </c>
      <c r="S990" t="str">
        <f>_xlfn.XLOOKUP(Jnl[[#This Row],[Division]],config_div[Id], config_div[Name],,0)</f>
        <v>驻色</v>
      </c>
      <c r="T990" t="str">
        <f>IF(Jnl[[#This Row],[TrxDate]]&lt;=stmt_BS_date_end, "In", "Out")</f>
        <v>In</v>
      </c>
      <c r="U990" t="str">
        <f>IF(Jnl[[#This Row],[TrxDate]]&lt;debug_date_start, "prior", IF(Jnl[[#This Row],[TrxDate]]&gt;debug_date_end, "post", "curr"))</f>
        <v>curr</v>
      </c>
    </row>
    <row r="991" spans="1:21">
      <c r="A991" s="11" t="s">
        <v>1464</v>
      </c>
      <c r="B991" s="7">
        <f>_xlfn.XLOOKUP(Jnl[[#This Row],[TrxId]], Trx[Id], Trx[Date],,0)</f>
        <v>46081</v>
      </c>
      <c r="C991" s="7" t="str">
        <f>_xlfn.XLOOKUP(Jnl[[#This Row],[TrxId]], Trx[Id], Trx[Division],,0)</f>
        <v>Zhuse</v>
      </c>
      <c r="D991" s="7" t="str">
        <f>_xlfn.XLOOKUP(Jnl[[#This Row],[TrxId]], Trx[Id], Trx[Action],,0)</f>
        <v>维护</v>
      </c>
      <c r="E991" s="26" t="s">
        <v>111</v>
      </c>
      <c r="F991" s="11" t="s">
        <v>590</v>
      </c>
      <c r="G991" s="11" t="s">
        <v>482</v>
      </c>
      <c r="H991" s="72">
        <v>-750</v>
      </c>
      <c r="I991" s="5" t="b">
        <f>AND(Jnl[[#This Row],[TrxId]]&lt;&gt;"",Jnl[[#This Row],[Acct]]&lt;&gt;"",Jnl[[#This Row],[Item]]&lt;&gt;"",ISNUMBER(Jnl[[#This Row],[Bal]]))</f>
        <v>1</v>
      </c>
      <c r="J991" s="10">
        <f>IF(Jnl[[#This Row],[BSLv0]]="A",1,-1)*Jnl[[#This Row],[Bal]]</f>
        <v>-750</v>
      </c>
      <c r="K991" t="str">
        <f>_xlfn.XLOOKUP(Jnl[[#This Row],[Acct]], config_BS[Acct], config_BS[Lv0],,0)</f>
        <v>A</v>
      </c>
      <c r="L991" t="str">
        <f>_xlfn.XLOOKUP(Jnl[[#This Row],[Acct]], config_BS[Acct], config_BS[Lv1],,0)</f>
        <v>Assets</v>
      </c>
      <c r="M991" t="str">
        <f>_xlfn.XLOOKUP(Jnl[[#This Row],[Acct]], config_BS[Acct], config_BS[Lv2],,0)</f>
        <v>Cash alike</v>
      </c>
      <c r="N991" t="str">
        <f>_xlfn.XLOOKUP(Jnl[[#This Row],[TrxId]], Trx[Id], Trx[IncNode], ,0)</f>
        <v>Expense</v>
      </c>
      <c r="O991" t="str">
        <f>_xlfn.XLOOKUP(Jnl[[#This Row],[IncNode]], config_IS[Node], config_IS[Type],,0)</f>
        <v>Op</v>
      </c>
      <c r="P991" t="str">
        <f>_xlfn.XLOOKUP(Jnl[[#This Row],[BSLv2]], dict[Key], dict[Name],,0)</f>
        <v>0.现金及类似</v>
      </c>
      <c r="Q991" t="str">
        <f>_xlfn.XLOOKUP(Jnl[[#This Row],[Acct]], dict[Key], dict[Name],,0)</f>
        <v>银行</v>
      </c>
      <c r="R991" t="str">
        <f>_xlfn.XLOOKUP(Jnl[[#This Row],[Vehicle]],config_vehicle[Id], config_vehicle[Name],,0)</f>
        <v>染匠文化</v>
      </c>
      <c r="S991" t="str">
        <f>_xlfn.XLOOKUP(Jnl[[#This Row],[Division]],config_div[Id], config_div[Name],,0)</f>
        <v>驻色</v>
      </c>
      <c r="T991" t="str">
        <f>IF(Jnl[[#This Row],[TrxDate]]&lt;=stmt_BS_date_end, "In", "Out")</f>
        <v>In</v>
      </c>
      <c r="U991" t="str">
        <f>IF(Jnl[[#This Row],[TrxDate]]&lt;debug_date_start, "prior", IF(Jnl[[#This Row],[TrxDate]]&gt;debug_date_end, "post", "curr"))</f>
        <v>curr</v>
      </c>
    </row>
    <row r="992" spans="1:21">
      <c r="A992" s="11" t="s">
        <v>1467</v>
      </c>
      <c r="B992" s="7">
        <f>_xlfn.XLOOKUP(Jnl[[#This Row],[TrxId]], Trx[Id], Trx[Date],,0)</f>
        <v>46081</v>
      </c>
      <c r="C992" s="7" t="str">
        <f>_xlfn.XLOOKUP(Jnl[[#This Row],[TrxId]], Trx[Id], Trx[Division],,0)</f>
        <v>Zhuse</v>
      </c>
      <c r="D992" s="7" t="str">
        <f>_xlfn.XLOOKUP(Jnl[[#This Row],[TrxId]], Trx[Id], Trx[Action],,0)</f>
        <v>福利</v>
      </c>
      <c r="E992" s="26" t="s">
        <v>111</v>
      </c>
      <c r="F992" s="11" t="s">
        <v>590</v>
      </c>
      <c r="G992" s="11" t="s">
        <v>482</v>
      </c>
      <c r="H992" s="72">
        <v>-710</v>
      </c>
      <c r="I992" s="5" t="b">
        <f>AND(Jnl[[#This Row],[TrxId]]&lt;&gt;"",Jnl[[#This Row],[Acct]]&lt;&gt;"",Jnl[[#This Row],[Item]]&lt;&gt;"",ISNUMBER(Jnl[[#This Row],[Bal]]))</f>
        <v>1</v>
      </c>
      <c r="J992" s="10">
        <f>IF(Jnl[[#This Row],[BSLv0]]="A",1,-1)*Jnl[[#This Row],[Bal]]</f>
        <v>-710</v>
      </c>
      <c r="K992" t="str">
        <f>_xlfn.XLOOKUP(Jnl[[#This Row],[Acct]], config_BS[Acct], config_BS[Lv0],,0)</f>
        <v>A</v>
      </c>
      <c r="L992" t="str">
        <f>_xlfn.XLOOKUP(Jnl[[#This Row],[Acct]], config_BS[Acct], config_BS[Lv1],,0)</f>
        <v>Assets</v>
      </c>
      <c r="M992" t="str">
        <f>_xlfn.XLOOKUP(Jnl[[#This Row],[Acct]], config_BS[Acct], config_BS[Lv2],,0)</f>
        <v>Cash alike</v>
      </c>
      <c r="N992" t="str">
        <f>_xlfn.XLOOKUP(Jnl[[#This Row],[TrxId]], Trx[Id], Trx[IncNode], ,0)</f>
        <v>Expense</v>
      </c>
      <c r="O992" t="str">
        <f>_xlfn.XLOOKUP(Jnl[[#This Row],[IncNode]], config_IS[Node], config_IS[Type],,0)</f>
        <v>Op</v>
      </c>
      <c r="P992" t="str">
        <f>_xlfn.XLOOKUP(Jnl[[#This Row],[BSLv2]], dict[Key], dict[Name],,0)</f>
        <v>0.现金及类似</v>
      </c>
      <c r="Q992" t="str">
        <f>_xlfn.XLOOKUP(Jnl[[#This Row],[Acct]], dict[Key], dict[Name],,0)</f>
        <v>银行</v>
      </c>
      <c r="R992" t="str">
        <f>_xlfn.XLOOKUP(Jnl[[#This Row],[Vehicle]],config_vehicle[Id], config_vehicle[Name],,0)</f>
        <v>染匠文化</v>
      </c>
      <c r="S992" t="str">
        <f>_xlfn.XLOOKUP(Jnl[[#This Row],[Division]],config_div[Id], config_div[Name],,0)</f>
        <v>驻色</v>
      </c>
      <c r="T992" t="str">
        <f>IF(Jnl[[#This Row],[TrxDate]]&lt;=stmt_BS_date_end, "In", "Out")</f>
        <v>In</v>
      </c>
      <c r="U992" t="str">
        <f>IF(Jnl[[#This Row],[TrxDate]]&lt;debug_date_start, "prior", IF(Jnl[[#This Row],[TrxDate]]&gt;debug_date_end, "post", "curr"))</f>
        <v>curr</v>
      </c>
    </row>
    <row r="993" spans="1:21">
      <c r="A993" s="11" t="s">
        <v>1469</v>
      </c>
      <c r="B993" s="7">
        <f>_xlfn.XLOOKUP(Jnl[[#This Row],[TrxId]], Trx[Id], Trx[Date],,0)</f>
        <v>46081</v>
      </c>
      <c r="C993" s="7" t="str">
        <f>_xlfn.XLOOKUP(Jnl[[#This Row],[TrxId]], Trx[Id], Trx[Division],,0)</f>
        <v>Zhuse</v>
      </c>
      <c r="D993" s="7" t="str">
        <f>_xlfn.XLOOKUP(Jnl[[#This Row],[TrxId]], Trx[Id], Trx[Action],,0)</f>
        <v>办公</v>
      </c>
      <c r="E993" s="26" t="s">
        <v>111</v>
      </c>
      <c r="F993" s="11" t="s">
        <v>590</v>
      </c>
      <c r="G993" s="11" t="s">
        <v>482</v>
      </c>
      <c r="H993" s="72">
        <v>-686.34</v>
      </c>
      <c r="I993" s="5" t="b">
        <f>AND(Jnl[[#This Row],[TrxId]]&lt;&gt;"",Jnl[[#This Row],[Acct]]&lt;&gt;"",Jnl[[#This Row],[Item]]&lt;&gt;"",ISNUMBER(Jnl[[#This Row],[Bal]]))</f>
        <v>1</v>
      </c>
      <c r="J993" s="10">
        <f>IF(Jnl[[#This Row],[BSLv0]]="A",1,-1)*Jnl[[#This Row],[Bal]]</f>
        <v>-686.34</v>
      </c>
      <c r="K993" t="str">
        <f>_xlfn.XLOOKUP(Jnl[[#This Row],[Acct]], config_BS[Acct], config_BS[Lv0],,0)</f>
        <v>A</v>
      </c>
      <c r="L993" t="str">
        <f>_xlfn.XLOOKUP(Jnl[[#This Row],[Acct]], config_BS[Acct], config_BS[Lv1],,0)</f>
        <v>Assets</v>
      </c>
      <c r="M993" t="str">
        <f>_xlfn.XLOOKUP(Jnl[[#This Row],[Acct]], config_BS[Acct], config_BS[Lv2],,0)</f>
        <v>Cash alike</v>
      </c>
      <c r="N993" t="str">
        <f>_xlfn.XLOOKUP(Jnl[[#This Row],[TrxId]], Trx[Id], Trx[IncNode], ,0)</f>
        <v>Expense</v>
      </c>
      <c r="O993" t="str">
        <f>_xlfn.XLOOKUP(Jnl[[#This Row],[IncNode]], config_IS[Node], config_IS[Type],,0)</f>
        <v>Op</v>
      </c>
      <c r="P993" t="str">
        <f>_xlfn.XLOOKUP(Jnl[[#This Row],[BSLv2]], dict[Key], dict[Name],,0)</f>
        <v>0.现金及类似</v>
      </c>
      <c r="Q993" t="str">
        <f>_xlfn.XLOOKUP(Jnl[[#This Row],[Acct]], dict[Key], dict[Name],,0)</f>
        <v>银行</v>
      </c>
      <c r="R993" t="str">
        <f>_xlfn.XLOOKUP(Jnl[[#This Row],[Vehicle]],config_vehicle[Id], config_vehicle[Name],,0)</f>
        <v>染匠文化</v>
      </c>
      <c r="S993" t="str">
        <f>_xlfn.XLOOKUP(Jnl[[#This Row],[Division]],config_div[Id], config_div[Name],,0)</f>
        <v>驻色</v>
      </c>
      <c r="T993" t="str">
        <f>IF(Jnl[[#This Row],[TrxDate]]&lt;=stmt_BS_date_end, "In", "Out")</f>
        <v>In</v>
      </c>
      <c r="U993" t="str">
        <f>IF(Jnl[[#This Row],[TrxDate]]&lt;debug_date_start, "prior", IF(Jnl[[#This Row],[TrxDate]]&gt;debug_date_end, "post", "curr"))</f>
        <v>curr</v>
      </c>
    </row>
    <row r="994" spans="1:21">
      <c r="A994" s="11" t="s">
        <v>1470</v>
      </c>
      <c r="B994" s="7">
        <f>_xlfn.XLOOKUP(Jnl[[#This Row],[TrxId]], Trx[Id], Trx[Date],,0)</f>
        <v>46081</v>
      </c>
      <c r="C994" s="7" t="str">
        <f>_xlfn.XLOOKUP(Jnl[[#This Row],[TrxId]], Trx[Id], Trx[Division],,0)</f>
        <v>Zhuse</v>
      </c>
      <c r="D994" s="7" t="str">
        <f>_xlfn.XLOOKUP(Jnl[[#This Row],[TrxId]], Trx[Id], Trx[Action],,0)</f>
        <v>物流</v>
      </c>
      <c r="E994" s="26" t="s">
        <v>111</v>
      </c>
      <c r="F994" s="11" t="s">
        <v>590</v>
      </c>
      <c r="G994" s="11" t="s">
        <v>482</v>
      </c>
      <c r="H994" s="72">
        <v>-142.13</v>
      </c>
      <c r="I994" s="5" t="b">
        <f>AND(Jnl[[#This Row],[TrxId]]&lt;&gt;"",Jnl[[#This Row],[Acct]]&lt;&gt;"",Jnl[[#This Row],[Item]]&lt;&gt;"",ISNUMBER(Jnl[[#This Row],[Bal]]))</f>
        <v>1</v>
      </c>
      <c r="J994" s="10">
        <f>IF(Jnl[[#This Row],[BSLv0]]="A",1,-1)*Jnl[[#This Row],[Bal]]</f>
        <v>-142.13</v>
      </c>
      <c r="K994" t="str">
        <f>_xlfn.XLOOKUP(Jnl[[#This Row],[Acct]], config_BS[Acct], config_BS[Lv0],,0)</f>
        <v>A</v>
      </c>
      <c r="L994" t="str">
        <f>_xlfn.XLOOKUP(Jnl[[#This Row],[Acct]], config_BS[Acct], config_BS[Lv1],,0)</f>
        <v>Assets</v>
      </c>
      <c r="M994" t="str">
        <f>_xlfn.XLOOKUP(Jnl[[#This Row],[Acct]], config_BS[Acct], config_BS[Lv2],,0)</f>
        <v>Cash alike</v>
      </c>
      <c r="N994" t="str">
        <f>_xlfn.XLOOKUP(Jnl[[#This Row],[TrxId]], Trx[Id], Trx[IncNode], ,0)</f>
        <v>Expense</v>
      </c>
      <c r="O994" t="str">
        <f>_xlfn.XLOOKUP(Jnl[[#This Row],[IncNode]], config_IS[Node], config_IS[Type],,0)</f>
        <v>Op</v>
      </c>
      <c r="P994" t="str">
        <f>_xlfn.XLOOKUP(Jnl[[#This Row],[BSLv2]], dict[Key], dict[Name],,0)</f>
        <v>0.现金及类似</v>
      </c>
      <c r="Q994" t="str">
        <f>_xlfn.XLOOKUP(Jnl[[#This Row],[Acct]], dict[Key], dict[Name],,0)</f>
        <v>银行</v>
      </c>
      <c r="R994" t="str">
        <f>_xlfn.XLOOKUP(Jnl[[#This Row],[Vehicle]],config_vehicle[Id], config_vehicle[Name],,0)</f>
        <v>染匠文化</v>
      </c>
      <c r="S994" t="str">
        <f>_xlfn.XLOOKUP(Jnl[[#This Row],[Division]],config_div[Id], config_div[Name],,0)</f>
        <v>驻色</v>
      </c>
      <c r="T994" t="str">
        <f>IF(Jnl[[#This Row],[TrxDate]]&lt;=stmt_BS_date_end, "In", "Out")</f>
        <v>In</v>
      </c>
      <c r="U994" t="str">
        <f>IF(Jnl[[#This Row],[TrxDate]]&lt;debug_date_start, "prior", IF(Jnl[[#This Row],[TrxDate]]&gt;debug_date_end, "post", "curr"))</f>
        <v>curr</v>
      </c>
    </row>
    <row r="995" spans="1:21">
      <c r="A995" s="11" t="s">
        <v>1471</v>
      </c>
      <c r="B995" s="7">
        <f>_xlfn.XLOOKUP(Jnl[[#This Row],[TrxId]], Trx[Id], Trx[Date],,0)</f>
        <v>46081</v>
      </c>
      <c r="C995" s="7" t="str">
        <f>_xlfn.XLOOKUP(Jnl[[#This Row],[TrxId]], Trx[Id], Trx[Division],,0)</f>
        <v>Zhuse</v>
      </c>
      <c r="D995" s="7" t="str">
        <f>_xlfn.XLOOKUP(Jnl[[#This Row],[TrxId]], Trx[Id], Trx[Action],,0)</f>
        <v>增值税</v>
      </c>
      <c r="E995" s="26" t="s">
        <v>111</v>
      </c>
      <c r="F995" s="11" t="s">
        <v>127</v>
      </c>
      <c r="G995" s="11" t="s">
        <v>307</v>
      </c>
      <c r="H995" s="72">
        <v>1697.32</v>
      </c>
      <c r="I995" s="5" t="b">
        <f>AND(Jnl[[#This Row],[TrxId]]&lt;&gt;"",Jnl[[#This Row],[Acct]]&lt;&gt;"",Jnl[[#This Row],[Item]]&lt;&gt;"",ISNUMBER(Jnl[[#This Row],[Bal]]))</f>
        <v>1</v>
      </c>
      <c r="J995" s="10">
        <f>IF(Jnl[[#This Row],[BSLv0]]="A",1,-1)*Jnl[[#This Row],[Bal]]</f>
        <v>-1697.32</v>
      </c>
      <c r="K995" t="str">
        <f>_xlfn.XLOOKUP(Jnl[[#This Row],[Acct]], config_BS[Acct], config_BS[Lv0],,0)</f>
        <v>LC</v>
      </c>
      <c r="L995" t="str">
        <f>_xlfn.XLOOKUP(Jnl[[#This Row],[Acct]], config_BS[Acct], config_BS[Lv1],,0)</f>
        <v>Liability</v>
      </c>
      <c r="M995" t="str">
        <f>_xlfn.XLOOKUP(Jnl[[#This Row],[Acct]], config_BS[Acct], config_BS[Lv2],,0)</f>
        <v>Rec-Pay</v>
      </c>
      <c r="N995" t="str">
        <f>_xlfn.XLOOKUP(Jnl[[#This Row],[TrxId]], Trx[Id], Trx[IncNode], ,0)</f>
        <v>Cost</v>
      </c>
      <c r="O995" t="str">
        <f>_xlfn.XLOOKUP(Jnl[[#This Row],[IncNode]], config_IS[Node], config_IS[Type],,0)</f>
        <v>Op</v>
      </c>
      <c r="P995" t="str">
        <f>_xlfn.XLOOKUP(Jnl[[#This Row],[BSLv2]], dict[Key], dict[Name],,0)</f>
        <v>1.应收-应付</v>
      </c>
      <c r="Q995" t="str">
        <f>_xlfn.XLOOKUP(Jnl[[#This Row],[Acct]], dict[Key], dict[Name],,0)</f>
        <v>应付-税款</v>
      </c>
      <c r="R995" t="str">
        <f>_xlfn.XLOOKUP(Jnl[[#This Row],[Vehicle]],config_vehicle[Id], config_vehicle[Name],,0)</f>
        <v>染匠文化</v>
      </c>
      <c r="S995" t="str">
        <f>_xlfn.XLOOKUP(Jnl[[#This Row],[Division]],config_div[Id], config_div[Name],,0)</f>
        <v>驻色</v>
      </c>
      <c r="T995" t="str">
        <f>IF(Jnl[[#This Row],[TrxDate]]&lt;=stmt_BS_date_end, "In", "Out")</f>
        <v>In</v>
      </c>
      <c r="U995" t="str">
        <f>IF(Jnl[[#This Row],[TrxDate]]&lt;debug_date_start, "prior", IF(Jnl[[#This Row],[TrxDate]]&gt;debug_date_end, "post", "curr"))</f>
        <v>curr</v>
      </c>
    </row>
    <row r="996" spans="1:21">
      <c r="A996" s="11" t="s">
        <v>1472</v>
      </c>
      <c r="B996" s="7">
        <f>_xlfn.XLOOKUP(Jnl[[#This Row],[TrxId]], Trx[Id], Trx[Date],,0)</f>
        <v>46081</v>
      </c>
      <c r="C996" s="7" t="str">
        <f>_xlfn.XLOOKUP(Jnl[[#This Row],[TrxId]], Trx[Id], Trx[Division],,0)</f>
        <v>Zhuse</v>
      </c>
      <c r="D996" s="7" t="str">
        <f>_xlfn.XLOOKUP(Jnl[[#This Row],[TrxId]], Trx[Id], Trx[Action],,0)</f>
        <v>薪酬-工资</v>
      </c>
      <c r="E996" s="26" t="s">
        <v>111</v>
      </c>
      <c r="F996" s="11" t="s">
        <v>596</v>
      </c>
      <c r="G996" s="11" t="s">
        <v>149</v>
      </c>
      <c r="H996" s="72">
        <v>19840.169999999998</v>
      </c>
      <c r="I996" s="5" t="b">
        <f>AND(Jnl[[#This Row],[TrxId]]&lt;&gt;"",Jnl[[#This Row],[Acct]]&lt;&gt;"",Jnl[[#This Row],[Item]]&lt;&gt;"",ISNUMBER(Jnl[[#This Row],[Bal]]))</f>
        <v>1</v>
      </c>
      <c r="J996" s="10">
        <f>IF(Jnl[[#This Row],[BSLv0]]="A",1,-1)*Jnl[[#This Row],[Bal]]</f>
        <v>-19840.169999999998</v>
      </c>
      <c r="K996" t="str">
        <f>_xlfn.XLOOKUP(Jnl[[#This Row],[Acct]], config_BS[Acct], config_BS[Lv0],,0)</f>
        <v>LC</v>
      </c>
      <c r="L996" t="str">
        <f>_xlfn.XLOOKUP(Jnl[[#This Row],[Acct]], config_BS[Acct], config_BS[Lv1],,0)</f>
        <v>Liability</v>
      </c>
      <c r="M996" t="str">
        <f>_xlfn.XLOOKUP(Jnl[[#This Row],[Acct]], config_BS[Acct], config_BS[Lv2],,0)</f>
        <v>Rec-Pay</v>
      </c>
      <c r="N996" t="str">
        <f>_xlfn.XLOOKUP(Jnl[[#This Row],[TrxId]], Trx[Id], Trx[IncNode], ,0)</f>
        <v>Expense</v>
      </c>
      <c r="O996" t="str">
        <f>_xlfn.XLOOKUP(Jnl[[#This Row],[IncNode]], config_IS[Node], config_IS[Type],,0)</f>
        <v>Op</v>
      </c>
      <c r="P996" t="str">
        <f>_xlfn.XLOOKUP(Jnl[[#This Row],[BSLv2]], dict[Key], dict[Name],,0)</f>
        <v>1.应收-应付</v>
      </c>
      <c r="Q996" t="str">
        <f>_xlfn.XLOOKUP(Jnl[[#This Row],[Acct]], dict[Key], dict[Name],,0)</f>
        <v>应付-薪资</v>
      </c>
      <c r="R996" t="str">
        <f>_xlfn.XLOOKUP(Jnl[[#This Row],[Vehicle]],config_vehicle[Id], config_vehicle[Name],,0)</f>
        <v>染匠文化</v>
      </c>
      <c r="S996" t="str">
        <f>_xlfn.XLOOKUP(Jnl[[#This Row],[Division]],config_div[Id], config_div[Name],,0)</f>
        <v>驻色</v>
      </c>
      <c r="T996" t="str">
        <f>IF(Jnl[[#This Row],[TrxDate]]&lt;=stmt_BS_date_end, "In", "Out")</f>
        <v>In</v>
      </c>
      <c r="U996" t="str">
        <f>IF(Jnl[[#This Row],[TrxDate]]&lt;debug_date_start, "prior", IF(Jnl[[#This Row],[TrxDate]]&gt;debug_date_end, "post", "curr"))</f>
        <v>curr</v>
      </c>
    </row>
    <row r="997" spans="1:21">
      <c r="A997" s="11" t="s">
        <v>1473</v>
      </c>
      <c r="B997" s="7">
        <f>_xlfn.XLOOKUP(Jnl[[#This Row],[TrxId]], Trx[Id], Trx[Date],,0)</f>
        <v>46081</v>
      </c>
      <c r="C997" s="7" t="str">
        <f>_xlfn.XLOOKUP(Jnl[[#This Row],[TrxId]], Trx[Id], Trx[Division],,0)</f>
        <v>Shuijie</v>
      </c>
      <c r="D997" s="7" t="str">
        <f>_xlfn.XLOOKUP(Jnl[[#This Row],[TrxId]], Trx[Id], Trx[Action],,0)</f>
        <v>收款</v>
      </c>
      <c r="E997" s="26" t="s">
        <v>82</v>
      </c>
      <c r="F997" s="11" t="s">
        <v>590</v>
      </c>
      <c r="G997" s="11" t="s">
        <v>592</v>
      </c>
      <c r="H997" s="72">
        <v>18310.86</v>
      </c>
      <c r="I997" s="5" t="b">
        <f>AND(Jnl[[#This Row],[TrxId]]&lt;&gt;"",Jnl[[#This Row],[Acct]]&lt;&gt;"",Jnl[[#This Row],[Item]]&lt;&gt;"",ISNUMBER(Jnl[[#This Row],[Bal]]))</f>
        <v>1</v>
      </c>
      <c r="J997" s="10">
        <f>IF(Jnl[[#This Row],[BSLv0]]="A",1,-1)*Jnl[[#This Row],[Bal]]</f>
        <v>18310.86</v>
      </c>
      <c r="K997" t="str">
        <f>_xlfn.XLOOKUP(Jnl[[#This Row],[Acct]], config_BS[Acct], config_BS[Lv0],,0)</f>
        <v>A</v>
      </c>
      <c r="L997" t="str">
        <f>_xlfn.XLOOKUP(Jnl[[#This Row],[Acct]], config_BS[Acct], config_BS[Lv1],,0)</f>
        <v>Assets</v>
      </c>
      <c r="M997" t="str">
        <f>_xlfn.XLOOKUP(Jnl[[#This Row],[Acct]], config_BS[Acct], config_BS[Lv2],,0)</f>
        <v>Cash alike</v>
      </c>
      <c r="N997" t="str">
        <f>_xlfn.XLOOKUP(Jnl[[#This Row],[TrxId]], Trx[Id], Trx[IncNode], ,0)</f>
        <v>Revenue</v>
      </c>
      <c r="O997" t="str">
        <f>_xlfn.XLOOKUP(Jnl[[#This Row],[IncNode]], config_IS[Node], config_IS[Type],,0)</f>
        <v>Op</v>
      </c>
      <c r="P997" t="str">
        <f>_xlfn.XLOOKUP(Jnl[[#This Row],[BSLv2]], dict[Key], dict[Name],,0)</f>
        <v>0.现金及类似</v>
      </c>
      <c r="Q997" t="str">
        <f>_xlfn.XLOOKUP(Jnl[[#This Row],[Acct]], dict[Key], dict[Name],,0)</f>
        <v>银行</v>
      </c>
      <c r="R997" t="str">
        <f>_xlfn.XLOOKUP(Jnl[[#This Row],[Vehicle]],config_vehicle[Id], config_vehicle[Name],,0)</f>
        <v>米小易</v>
      </c>
      <c r="S997" t="str">
        <f>_xlfn.XLOOKUP(Jnl[[#This Row],[Division]],config_div[Id], config_div[Name],,0)</f>
        <v>水街店</v>
      </c>
      <c r="T997" t="str">
        <f>IF(Jnl[[#This Row],[TrxDate]]&lt;=stmt_BS_date_end, "In", "Out")</f>
        <v>In</v>
      </c>
      <c r="U997" t="str">
        <f>IF(Jnl[[#This Row],[TrxDate]]&lt;debug_date_start, "prior", IF(Jnl[[#This Row],[TrxDate]]&gt;debug_date_end, "post", "curr"))</f>
        <v>curr</v>
      </c>
    </row>
    <row r="998" spans="1:21">
      <c r="A998" s="11" t="s">
        <v>1473</v>
      </c>
      <c r="B998" s="7">
        <f>_xlfn.XLOOKUP(Jnl[[#This Row],[TrxId]], Trx[Id], Trx[Date],,0)</f>
        <v>46081</v>
      </c>
      <c r="C998" s="7" t="str">
        <f>_xlfn.XLOOKUP(Jnl[[#This Row],[TrxId]], Trx[Id], Trx[Division],,0)</f>
        <v>Shuijie</v>
      </c>
      <c r="D998" s="7" t="str">
        <f>_xlfn.XLOOKUP(Jnl[[#This Row],[TrxId]], Trx[Id], Trx[Action],,0)</f>
        <v>收款</v>
      </c>
      <c r="E998" s="26" t="s">
        <v>82</v>
      </c>
      <c r="F998" s="11" t="s">
        <v>593</v>
      </c>
      <c r="G998" s="11" t="s">
        <v>594</v>
      </c>
      <c r="H998" s="72">
        <v>-18310.86</v>
      </c>
      <c r="I998" s="5" t="b">
        <f>AND(Jnl[[#This Row],[TrxId]]&lt;&gt;"",Jnl[[#This Row],[Acct]]&lt;&gt;"",Jnl[[#This Row],[Item]]&lt;&gt;"",ISNUMBER(Jnl[[#This Row],[Bal]]))</f>
        <v>1</v>
      </c>
      <c r="J998" s="10">
        <f>IF(Jnl[[#This Row],[BSLv0]]="A",1,-1)*Jnl[[#This Row],[Bal]]</f>
        <v>-18310.86</v>
      </c>
      <c r="K998" t="str">
        <f>_xlfn.XLOOKUP(Jnl[[#This Row],[Acct]], config_BS[Acct], config_BS[Lv0],,0)</f>
        <v>A</v>
      </c>
      <c r="L998" t="str">
        <f>_xlfn.XLOOKUP(Jnl[[#This Row],[Acct]], config_BS[Acct], config_BS[Lv1],,0)</f>
        <v>Assets</v>
      </c>
      <c r="M998" t="str">
        <f>_xlfn.XLOOKUP(Jnl[[#This Row],[Acct]], config_BS[Acct], config_BS[Lv2],,0)</f>
        <v>Rec-Pay</v>
      </c>
      <c r="N998" t="str">
        <f>_xlfn.XLOOKUP(Jnl[[#This Row],[TrxId]], Trx[Id], Trx[IncNode], ,0)</f>
        <v>Revenue</v>
      </c>
      <c r="O998" t="str">
        <f>_xlfn.XLOOKUP(Jnl[[#This Row],[IncNode]], config_IS[Node], config_IS[Type],,0)</f>
        <v>Op</v>
      </c>
      <c r="P998" t="str">
        <f>_xlfn.XLOOKUP(Jnl[[#This Row],[BSLv2]], dict[Key], dict[Name],,0)</f>
        <v>1.应收-应付</v>
      </c>
      <c r="Q998" t="str">
        <f>_xlfn.XLOOKUP(Jnl[[#This Row],[Acct]], dict[Key], dict[Name],,0)</f>
        <v>应收-一般</v>
      </c>
      <c r="R998" t="str">
        <f>_xlfn.XLOOKUP(Jnl[[#This Row],[Vehicle]],config_vehicle[Id], config_vehicle[Name],,0)</f>
        <v>米小易</v>
      </c>
      <c r="S998" t="str">
        <f>_xlfn.XLOOKUP(Jnl[[#This Row],[Division]],config_div[Id], config_div[Name],,0)</f>
        <v>水街店</v>
      </c>
      <c r="T998" t="str">
        <f>IF(Jnl[[#This Row],[TrxDate]]&lt;=stmt_BS_date_end, "In", "Out")</f>
        <v>In</v>
      </c>
      <c r="U998" t="str">
        <f>IF(Jnl[[#This Row],[TrxDate]]&lt;debug_date_start, "prior", IF(Jnl[[#This Row],[TrxDate]]&gt;debug_date_end, "post", "curr"))</f>
        <v>curr</v>
      </c>
    </row>
    <row r="999" spans="1:21">
      <c r="A999" s="11" t="s">
        <v>1474</v>
      </c>
      <c r="B999" s="7">
        <f>_xlfn.XLOOKUP(Jnl[[#This Row],[TrxId]], Trx[Id], Trx[Date],,0)</f>
        <v>46081</v>
      </c>
      <c r="C999" s="7" t="str">
        <f>_xlfn.XLOOKUP(Jnl[[#This Row],[TrxId]], Trx[Id], Trx[Division],,0)</f>
        <v>Shuijie</v>
      </c>
      <c r="D999" s="7" t="str">
        <f>_xlfn.XLOOKUP(Jnl[[#This Row],[TrxId]], Trx[Id], Trx[Action],,0)</f>
        <v>收款</v>
      </c>
      <c r="E999" s="26" t="s">
        <v>82</v>
      </c>
      <c r="F999" s="11" t="s">
        <v>590</v>
      </c>
      <c r="G999" s="11" t="s">
        <v>592</v>
      </c>
      <c r="H999" s="72">
        <v>778.27</v>
      </c>
      <c r="I999" s="5" t="b">
        <f>AND(Jnl[[#This Row],[TrxId]]&lt;&gt;"",Jnl[[#This Row],[Acct]]&lt;&gt;"",Jnl[[#This Row],[Item]]&lt;&gt;"",ISNUMBER(Jnl[[#This Row],[Bal]]))</f>
        <v>1</v>
      </c>
      <c r="J999" s="10">
        <f>IF(Jnl[[#This Row],[BSLv0]]="A",1,-1)*Jnl[[#This Row],[Bal]]</f>
        <v>778.27</v>
      </c>
      <c r="K999" t="str">
        <f>_xlfn.XLOOKUP(Jnl[[#This Row],[Acct]], config_BS[Acct], config_BS[Lv0],,0)</f>
        <v>A</v>
      </c>
      <c r="L999" t="str">
        <f>_xlfn.XLOOKUP(Jnl[[#This Row],[Acct]], config_BS[Acct], config_BS[Lv1],,0)</f>
        <v>Assets</v>
      </c>
      <c r="M999" t="str">
        <f>_xlfn.XLOOKUP(Jnl[[#This Row],[Acct]], config_BS[Acct], config_BS[Lv2],,0)</f>
        <v>Cash alike</v>
      </c>
      <c r="N999" t="str">
        <f>_xlfn.XLOOKUP(Jnl[[#This Row],[TrxId]], Trx[Id], Trx[IncNode], ,0)</f>
        <v>Revenue</v>
      </c>
      <c r="O999" t="str">
        <f>_xlfn.XLOOKUP(Jnl[[#This Row],[IncNode]], config_IS[Node], config_IS[Type],,0)</f>
        <v>Op</v>
      </c>
      <c r="P999" t="str">
        <f>_xlfn.XLOOKUP(Jnl[[#This Row],[BSLv2]], dict[Key], dict[Name],,0)</f>
        <v>0.现金及类似</v>
      </c>
      <c r="Q999" t="str">
        <f>_xlfn.XLOOKUP(Jnl[[#This Row],[Acct]], dict[Key], dict[Name],,0)</f>
        <v>银行</v>
      </c>
      <c r="R999" t="str">
        <f>_xlfn.XLOOKUP(Jnl[[#This Row],[Vehicle]],config_vehicle[Id], config_vehicle[Name],,0)</f>
        <v>米小易</v>
      </c>
      <c r="S999" t="str">
        <f>_xlfn.XLOOKUP(Jnl[[#This Row],[Division]],config_div[Id], config_div[Name],,0)</f>
        <v>水街店</v>
      </c>
      <c r="T999" t="str">
        <f>IF(Jnl[[#This Row],[TrxDate]]&lt;=stmt_BS_date_end, "In", "Out")</f>
        <v>In</v>
      </c>
      <c r="U999" t="str">
        <f>IF(Jnl[[#This Row],[TrxDate]]&lt;debug_date_start, "prior", IF(Jnl[[#This Row],[TrxDate]]&gt;debug_date_end, "post", "curr"))</f>
        <v>curr</v>
      </c>
    </row>
    <row r="1000" spans="1:21">
      <c r="A1000" s="11" t="s">
        <v>1474</v>
      </c>
      <c r="B1000" s="7">
        <f>_xlfn.XLOOKUP(Jnl[[#This Row],[TrxId]], Trx[Id], Trx[Date],,0)</f>
        <v>46081</v>
      </c>
      <c r="C1000" s="7" t="str">
        <f>_xlfn.XLOOKUP(Jnl[[#This Row],[TrxId]], Trx[Id], Trx[Division],,0)</f>
        <v>Shuijie</v>
      </c>
      <c r="D1000" s="7" t="str">
        <f>_xlfn.XLOOKUP(Jnl[[#This Row],[TrxId]], Trx[Id], Trx[Action],,0)</f>
        <v>收款</v>
      </c>
      <c r="E1000" s="26" t="s">
        <v>82</v>
      </c>
      <c r="F1000" s="11" t="s">
        <v>593</v>
      </c>
      <c r="G1000" s="11" t="s">
        <v>594</v>
      </c>
      <c r="H1000" s="72">
        <v>-778.27</v>
      </c>
      <c r="I1000" s="5" t="b">
        <f>AND(Jnl[[#This Row],[TrxId]]&lt;&gt;"",Jnl[[#This Row],[Acct]]&lt;&gt;"",Jnl[[#This Row],[Item]]&lt;&gt;"",ISNUMBER(Jnl[[#This Row],[Bal]]))</f>
        <v>1</v>
      </c>
      <c r="J1000" s="10">
        <f>IF(Jnl[[#This Row],[BSLv0]]="A",1,-1)*Jnl[[#This Row],[Bal]]</f>
        <v>-778.27</v>
      </c>
      <c r="K1000" t="str">
        <f>_xlfn.XLOOKUP(Jnl[[#This Row],[Acct]], config_BS[Acct], config_BS[Lv0],,0)</f>
        <v>A</v>
      </c>
      <c r="L1000" t="str">
        <f>_xlfn.XLOOKUP(Jnl[[#This Row],[Acct]], config_BS[Acct], config_BS[Lv1],,0)</f>
        <v>Assets</v>
      </c>
      <c r="M1000" t="str">
        <f>_xlfn.XLOOKUP(Jnl[[#This Row],[Acct]], config_BS[Acct], config_BS[Lv2],,0)</f>
        <v>Rec-Pay</v>
      </c>
      <c r="N1000" t="str">
        <f>_xlfn.XLOOKUP(Jnl[[#This Row],[TrxId]], Trx[Id], Trx[IncNode], ,0)</f>
        <v>Revenue</v>
      </c>
      <c r="O1000" t="str">
        <f>_xlfn.XLOOKUP(Jnl[[#This Row],[IncNode]], config_IS[Node], config_IS[Type],,0)</f>
        <v>Op</v>
      </c>
      <c r="P1000" t="str">
        <f>_xlfn.XLOOKUP(Jnl[[#This Row],[BSLv2]], dict[Key], dict[Name],,0)</f>
        <v>1.应收-应付</v>
      </c>
      <c r="Q1000" t="str">
        <f>_xlfn.XLOOKUP(Jnl[[#This Row],[Acct]], dict[Key], dict[Name],,0)</f>
        <v>应收-一般</v>
      </c>
      <c r="R1000" t="str">
        <f>_xlfn.XLOOKUP(Jnl[[#This Row],[Vehicle]],config_vehicle[Id], config_vehicle[Name],,0)</f>
        <v>米小易</v>
      </c>
      <c r="S1000" t="str">
        <f>_xlfn.XLOOKUP(Jnl[[#This Row],[Division]],config_div[Id], config_div[Name],,0)</f>
        <v>水街店</v>
      </c>
      <c r="T1000" t="str">
        <f>IF(Jnl[[#This Row],[TrxDate]]&lt;=stmt_BS_date_end, "In", "Out")</f>
        <v>In</v>
      </c>
      <c r="U1000" t="str">
        <f>IF(Jnl[[#This Row],[TrxDate]]&lt;debug_date_start, "prior", IF(Jnl[[#This Row],[TrxDate]]&gt;debug_date_end, "post", "curr"))</f>
        <v>curr</v>
      </c>
    </row>
    <row r="1001" spans="1:21">
      <c r="A1001" s="11" t="s">
        <v>1475</v>
      </c>
      <c r="B1001" s="7">
        <f>_xlfn.XLOOKUP(Jnl[[#This Row],[TrxId]], Trx[Id], Trx[Date],,0)</f>
        <v>46081</v>
      </c>
      <c r="C1001" s="7" t="str">
        <f>_xlfn.XLOOKUP(Jnl[[#This Row],[TrxId]], Trx[Id], Trx[Division],,0)</f>
        <v>Shuijie</v>
      </c>
      <c r="D1001" s="7" t="str">
        <f>_xlfn.XLOOKUP(Jnl[[#This Row],[TrxId]], Trx[Id], Trx[Action],,0)</f>
        <v>支付</v>
      </c>
      <c r="E1001" s="26" t="s">
        <v>82</v>
      </c>
      <c r="F1001" s="11" t="s">
        <v>590</v>
      </c>
      <c r="G1001" s="11" t="s">
        <v>592</v>
      </c>
      <c r="H1001" s="72">
        <v>-4670</v>
      </c>
      <c r="I1001" s="5" t="b">
        <f>AND(Jnl[[#This Row],[TrxId]]&lt;&gt;"",Jnl[[#This Row],[Acct]]&lt;&gt;"",Jnl[[#This Row],[Item]]&lt;&gt;"",ISNUMBER(Jnl[[#This Row],[Bal]]))</f>
        <v>1</v>
      </c>
      <c r="J1001" s="10">
        <f>IF(Jnl[[#This Row],[BSLv0]]="A",1,-1)*Jnl[[#This Row],[Bal]]</f>
        <v>-4670</v>
      </c>
      <c r="K1001" t="str">
        <f>_xlfn.XLOOKUP(Jnl[[#This Row],[Acct]], config_BS[Acct], config_BS[Lv0],,0)</f>
        <v>A</v>
      </c>
      <c r="L1001" t="str">
        <f>_xlfn.XLOOKUP(Jnl[[#This Row],[Acct]], config_BS[Acct], config_BS[Lv1],,0)</f>
        <v>Assets</v>
      </c>
      <c r="M1001" t="str">
        <f>_xlfn.XLOOKUP(Jnl[[#This Row],[Acct]], config_BS[Acct], config_BS[Lv2],,0)</f>
        <v>Cash alike</v>
      </c>
      <c r="N1001" t="str">
        <f>_xlfn.XLOOKUP(Jnl[[#This Row],[TrxId]], Trx[Id], Trx[IncNode], ,0)</f>
        <v>Cost</v>
      </c>
      <c r="O1001" t="str">
        <f>_xlfn.XLOOKUP(Jnl[[#This Row],[IncNode]], config_IS[Node], config_IS[Type],,0)</f>
        <v>Op</v>
      </c>
      <c r="P1001" t="str">
        <f>_xlfn.XLOOKUP(Jnl[[#This Row],[BSLv2]], dict[Key], dict[Name],,0)</f>
        <v>0.现金及类似</v>
      </c>
      <c r="Q1001" t="str">
        <f>_xlfn.XLOOKUP(Jnl[[#This Row],[Acct]], dict[Key], dict[Name],,0)</f>
        <v>银行</v>
      </c>
      <c r="R1001" t="str">
        <f>_xlfn.XLOOKUP(Jnl[[#This Row],[Vehicle]],config_vehicle[Id], config_vehicle[Name],,0)</f>
        <v>米小易</v>
      </c>
      <c r="S1001" t="str">
        <f>_xlfn.XLOOKUP(Jnl[[#This Row],[Division]],config_div[Id], config_div[Name],,0)</f>
        <v>水街店</v>
      </c>
      <c r="T1001" t="str">
        <f>IF(Jnl[[#This Row],[TrxDate]]&lt;=stmt_BS_date_end, "In", "Out")</f>
        <v>In</v>
      </c>
      <c r="U1001" t="str">
        <f>IF(Jnl[[#This Row],[TrxDate]]&lt;debug_date_start, "prior", IF(Jnl[[#This Row],[TrxDate]]&gt;debug_date_end, "post", "curr"))</f>
        <v>curr</v>
      </c>
    </row>
    <row r="1002" spans="1:21">
      <c r="A1002" s="11" t="s">
        <v>1475</v>
      </c>
      <c r="B1002" s="7">
        <f>_xlfn.XLOOKUP(Jnl[[#This Row],[TrxId]], Trx[Id], Trx[Date],,0)</f>
        <v>46081</v>
      </c>
      <c r="C1002" s="7" t="str">
        <f>_xlfn.XLOOKUP(Jnl[[#This Row],[TrxId]], Trx[Id], Trx[Division],,0)</f>
        <v>Shuijie</v>
      </c>
      <c r="D1002" s="7" t="str">
        <f>_xlfn.XLOOKUP(Jnl[[#This Row],[TrxId]], Trx[Id], Trx[Action],,0)</f>
        <v>支付</v>
      </c>
      <c r="E1002" s="26" t="s">
        <v>82</v>
      </c>
      <c r="F1002" s="11" t="s">
        <v>493</v>
      </c>
      <c r="G1002" s="11" t="s">
        <v>428</v>
      </c>
      <c r="H1002" s="72">
        <f>-H1001</f>
        <v>4670</v>
      </c>
      <c r="I1002" s="5" t="b">
        <f>AND(Jnl[[#This Row],[TrxId]]&lt;&gt;"",Jnl[[#This Row],[Acct]]&lt;&gt;"",Jnl[[#This Row],[Item]]&lt;&gt;"",ISNUMBER(Jnl[[#This Row],[Bal]]))</f>
        <v>1</v>
      </c>
      <c r="J1002" s="10">
        <f>IF(Jnl[[#This Row],[BSLv0]]="A",1,-1)*Jnl[[#This Row],[Bal]]</f>
        <v>4670</v>
      </c>
      <c r="K1002" t="str">
        <f>_xlfn.XLOOKUP(Jnl[[#This Row],[Acct]], config_BS[Acct], config_BS[Lv0],,0)</f>
        <v>A</v>
      </c>
      <c r="L1002" t="str">
        <f>_xlfn.XLOOKUP(Jnl[[#This Row],[Acct]], config_BS[Acct], config_BS[Lv1],,0)</f>
        <v>Assets</v>
      </c>
      <c r="M1002" t="str">
        <f>_xlfn.XLOOKUP(Jnl[[#This Row],[Acct]], config_BS[Acct], config_BS[Lv2],,0)</f>
        <v>Prep-Sub</v>
      </c>
      <c r="N1002" t="str">
        <f>_xlfn.XLOOKUP(Jnl[[#This Row],[TrxId]], Trx[Id], Trx[IncNode], ,0)</f>
        <v>Cost</v>
      </c>
      <c r="O1002" t="str">
        <f>_xlfn.XLOOKUP(Jnl[[#This Row],[IncNode]], config_IS[Node], config_IS[Type],,0)</f>
        <v>Op</v>
      </c>
      <c r="P1002" t="str">
        <f>_xlfn.XLOOKUP(Jnl[[#This Row],[BSLv2]], dict[Key], dict[Name],,0)</f>
        <v>2.预付-订阅</v>
      </c>
      <c r="Q1002" t="str">
        <f>_xlfn.XLOOKUP(Jnl[[#This Row],[Acct]], dict[Key], dict[Name],,0)</f>
        <v>预付订单</v>
      </c>
      <c r="R1002" t="str">
        <f>_xlfn.XLOOKUP(Jnl[[#This Row],[Vehicle]],config_vehicle[Id], config_vehicle[Name],,0)</f>
        <v>米小易</v>
      </c>
      <c r="S1002" t="str">
        <f>_xlfn.XLOOKUP(Jnl[[#This Row],[Division]],config_div[Id], config_div[Name],,0)</f>
        <v>水街店</v>
      </c>
      <c r="T1002" t="str">
        <f>IF(Jnl[[#This Row],[TrxDate]]&lt;=stmt_BS_date_end, "In", "Out")</f>
        <v>In</v>
      </c>
      <c r="U1002" t="str">
        <f>IF(Jnl[[#This Row],[TrxDate]]&lt;debug_date_start, "prior", IF(Jnl[[#This Row],[TrxDate]]&gt;debug_date_end, "post", "curr"))</f>
        <v>curr</v>
      </c>
    </row>
    <row r="1003" spans="1:21">
      <c r="A1003" s="11" t="s">
        <v>1476</v>
      </c>
      <c r="B1003" s="7">
        <f>_xlfn.XLOOKUP(Jnl[[#This Row],[TrxId]], Trx[Id], Trx[Date],,0)</f>
        <v>46081</v>
      </c>
      <c r="C1003" s="7" t="str">
        <f>_xlfn.XLOOKUP(Jnl[[#This Row],[TrxId]], Trx[Id], Trx[Division],,0)</f>
        <v>GM</v>
      </c>
      <c r="D1003" s="7" t="str">
        <f>_xlfn.XLOOKUP(Jnl[[#This Row],[TrxId]], Trx[Id], Trx[Action],,0)</f>
        <v>薪酬-社保</v>
      </c>
      <c r="E1003" s="26" t="s">
        <v>82</v>
      </c>
      <c r="F1003" s="11" t="s">
        <v>590</v>
      </c>
      <c r="G1003" s="11" t="s">
        <v>592</v>
      </c>
      <c r="H1003" s="72">
        <v>-36070.720000000001</v>
      </c>
      <c r="I1003" s="5" t="b">
        <f>AND(Jnl[[#This Row],[TrxId]]&lt;&gt;"",Jnl[[#This Row],[Acct]]&lt;&gt;"",Jnl[[#This Row],[Item]]&lt;&gt;"",ISNUMBER(Jnl[[#This Row],[Bal]]))</f>
        <v>1</v>
      </c>
      <c r="J1003" s="10">
        <f>IF(Jnl[[#This Row],[BSLv0]]="A",1,-1)*Jnl[[#This Row],[Bal]]</f>
        <v>-36070.720000000001</v>
      </c>
      <c r="K1003" t="str">
        <f>_xlfn.XLOOKUP(Jnl[[#This Row],[Acct]], config_BS[Acct], config_BS[Lv0],,0)</f>
        <v>A</v>
      </c>
      <c r="L1003" t="str">
        <f>_xlfn.XLOOKUP(Jnl[[#This Row],[Acct]], config_BS[Acct], config_BS[Lv1],,0)</f>
        <v>Assets</v>
      </c>
      <c r="M1003" t="str">
        <f>_xlfn.XLOOKUP(Jnl[[#This Row],[Acct]], config_BS[Acct], config_BS[Lv2],,0)</f>
        <v>Cash alike</v>
      </c>
      <c r="N1003" t="str">
        <f>_xlfn.XLOOKUP(Jnl[[#This Row],[TrxId]], Trx[Id], Trx[IncNode], ,0)</f>
        <v>Expense</v>
      </c>
      <c r="O1003" t="str">
        <f>_xlfn.XLOOKUP(Jnl[[#This Row],[IncNode]], config_IS[Node], config_IS[Type],,0)</f>
        <v>Op</v>
      </c>
      <c r="P1003" t="str">
        <f>_xlfn.XLOOKUP(Jnl[[#This Row],[BSLv2]], dict[Key], dict[Name],,0)</f>
        <v>0.现金及类似</v>
      </c>
      <c r="Q1003" t="str">
        <f>_xlfn.XLOOKUP(Jnl[[#This Row],[Acct]], dict[Key], dict[Name],,0)</f>
        <v>银行</v>
      </c>
      <c r="R1003" t="str">
        <f>_xlfn.XLOOKUP(Jnl[[#This Row],[Vehicle]],config_vehicle[Id], config_vehicle[Name],,0)</f>
        <v>米小易</v>
      </c>
      <c r="S1003" t="str">
        <f>_xlfn.XLOOKUP(Jnl[[#This Row],[Division]],config_div[Id], config_div[Name],,0)</f>
        <v>综合管理</v>
      </c>
      <c r="T1003" t="str">
        <f>IF(Jnl[[#This Row],[TrxDate]]&lt;=stmt_BS_date_end, "In", "Out")</f>
        <v>In</v>
      </c>
      <c r="U1003" t="str">
        <f>IF(Jnl[[#This Row],[TrxDate]]&lt;debug_date_start, "prior", IF(Jnl[[#This Row],[TrxDate]]&gt;debug_date_end, "post", "curr"))</f>
        <v>curr</v>
      </c>
    </row>
    <row r="1004" spans="1:21">
      <c r="A1004" s="11" t="s">
        <v>1476</v>
      </c>
      <c r="B1004" s="7">
        <f>_xlfn.XLOOKUP(Jnl[[#This Row],[TrxId]], Trx[Id], Trx[Date],,0)</f>
        <v>46081</v>
      </c>
      <c r="C1004" s="7" t="str">
        <f>_xlfn.XLOOKUP(Jnl[[#This Row],[TrxId]], Trx[Id], Trx[Division],,0)</f>
        <v>GM</v>
      </c>
      <c r="D1004" s="7" t="str">
        <f>_xlfn.XLOOKUP(Jnl[[#This Row],[TrxId]], Trx[Id], Trx[Action],,0)</f>
        <v>薪酬-社保</v>
      </c>
      <c r="E1004" s="26" t="s">
        <v>82</v>
      </c>
      <c r="F1004" s="11" t="s">
        <v>595</v>
      </c>
      <c r="G1004" s="11" t="s">
        <v>344</v>
      </c>
      <c r="H1004" s="72">
        <v>10497.3</v>
      </c>
      <c r="I1004" s="5" t="b">
        <f>AND(Jnl[[#This Row],[TrxId]]&lt;&gt;"",Jnl[[#This Row],[Acct]]&lt;&gt;"",Jnl[[#This Row],[Item]]&lt;&gt;"",ISNUMBER(Jnl[[#This Row],[Bal]]))</f>
        <v>1</v>
      </c>
      <c r="J1004" s="10">
        <f>IF(Jnl[[#This Row],[BSLv0]]="A",1,-1)*Jnl[[#This Row],[Bal]]</f>
        <v>10497.3</v>
      </c>
      <c r="K1004" t="str">
        <f>_xlfn.XLOOKUP(Jnl[[#This Row],[Acct]], config_BS[Acct], config_BS[Lv0],,0)</f>
        <v>A</v>
      </c>
      <c r="L1004" t="str">
        <f>_xlfn.XLOOKUP(Jnl[[#This Row],[Acct]], config_BS[Acct], config_BS[Lv1],,0)</f>
        <v>Assets</v>
      </c>
      <c r="M1004" t="str">
        <f>_xlfn.XLOOKUP(Jnl[[#This Row],[Acct]], config_BS[Acct], config_BS[Lv2],,0)</f>
        <v>Rec-Pay</v>
      </c>
      <c r="N1004" t="str">
        <f>_xlfn.XLOOKUP(Jnl[[#This Row],[TrxId]], Trx[Id], Trx[IncNode], ,0)</f>
        <v>Expense</v>
      </c>
      <c r="O1004" t="str">
        <f>_xlfn.XLOOKUP(Jnl[[#This Row],[IncNode]], config_IS[Node], config_IS[Type],,0)</f>
        <v>Op</v>
      </c>
      <c r="P1004" t="str">
        <f>_xlfn.XLOOKUP(Jnl[[#This Row],[BSLv2]], dict[Key], dict[Name],,0)</f>
        <v>1.应收-应付</v>
      </c>
      <c r="Q1004" t="str">
        <f>_xlfn.XLOOKUP(Jnl[[#This Row],[Acct]], dict[Key], dict[Name],,0)</f>
        <v>应收-其他</v>
      </c>
      <c r="R1004" t="str">
        <f>_xlfn.XLOOKUP(Jnl[[#This Row],[Vehicle]],config_vehicle[Id], config_vehicle[Name],,0)</f>
        <v>米小易</v>
      </c>
      <c r="S1004" t="str">
        <f>_xlfn.XLOOKUP(Jnl[[#This Row],[Division]],config_div[Id], config_div[Name],,0)</f>
        <v>综合管理</v>
      </c>
      <c r="T1004" t="str">
        <f>IF(Jnl[[#This Row],[TrxDate]]&lt;=stmt_BS_date_end, "In", "Out")</f>
        <v>In</v>
      </c>
      <c r="U1004" t="str">
        <f>IF(Jnl[[#This Row],[TrxDate]]&lt;debug_date_start, "prior", IF(Jnl[[#This Row],[TrxDate]]&gt;debug_date_end, "post", "curr"))</f>
        <v>curr</v>
      </c>
    </row>
    <row r="1005" spans="1:21">
      <c r="A1005" s="11" t="s">
        <v>1477</v>
      </c>
      <c r="B1005" s="7">
        <f>_xlfn.XLOOKUP(Jnl[[#This Row],[TrxId]], Trx[Id], Trx[Date],,0)</f>
        <v>46081</v>
      </c>
      <c r="C1005" s="7" t="str">
        <f>_xlfn.XLOOKUP(Jnl[[#This Row],[TrxId]], Trx[Id], Trx[Division],,0)</f>
        <v>GM</v>
      </c>
      <c r="D1005" s="7" t="str">
        <f>_xlfn.XLOOKUP(Jnl[[#This Row],[TrxId]], Trx[Id], Trx[Action],,0)</f>
        <v>奖金-合伙人</v>
      </c>
      <c r="E1005" s="26" t="s">
        <v>82</v>
      </c>
      <c r="F1005" s="11" t="s">
        <v>590</v>
      </c>
      <c r="G1005" s="11" t="s">
        <v>592</v>
      </c>
      <c r="H1005" s="72">
        <v>-2238.81</v>
      </c>
      <c r="I1005" s="5" t="b">
        <f>AND(Jnl[[#This Row],[TrxId]]&lt;&gt;"",Jnl[[#This Row],[Acct]]&lt;&gt;"",Jnl[[#This Row],[Item]]&lt;&gt;"",ISNUMBER(Jnl[[#This Row],[Bal]]))</f>
        <v>1</v>
      </c>
      <c r="J1005" s="10">
        <f>IF(Jnl[[#This Row],[BSLv0]]="A",1,-1)*Jnl[[#This Row],[Bal]]</f>
        <v>-2238.81</v>
      </c>
      <c r="K1005" t="str">
        <f>_xlfn.XLOOKUP(Jnl[[#This Row],[Acct]], config_BS[Acct], config_BS[Lv0],,0)</f>
        <v>A</v>
      </c>
      <c r="L1005" t="str">
        <f>_xlfn.XLOOKUP(Jnl[[#This Row],[Acct]], config_BS[Acct], config_BS[Lv1],,0)</f>
        <v>Assets</v>
      </c>
      <c r="M1005" t="str">
        <f>_xlfn.XLOOKUP(Jnl[[#This Row],[Acct]], config_BS[Acct], config_BS[Lv2],,0)</f>
        <v>Cash alike</v>
      </c>
      <c r="N1005" t="str">
        <f>_xlfn.XLOOKUP(Jnl[[#This Row],[TrxId]], Trx[Id], Trx[IncNode], ,0)</f>
        <v>Discretion</v>
      </c>
      <c r="O1005" t="str">
        <f>_xlfn.XLOOKUP(Jnl[[#This Row],[IncNode]], config_IS[Node], config_IS[Type],,0)</f>
        <v>Non-Op</v>
      </c>
      <c r="P1005" t="str">
        <f>_xlfn.XLOOKUP(Jnl[[#This Row],[BSLv2]], dict[Key], dict[Name],,0)</f>
        <v>0.现金及类似</v>
      </c>
      <c r="Q1005" t="str">
        <f>_xlfn.XLOOKUP(Jnl[[#This Row],[Acct]], dict[Key], dict[Name],,0)</f>
        <v>银行</v>
      </c>
      <c r="R1005" t="str">
        <f>_xlfn.XLOOKUP(Jnl[[#This Row],[Vehicle]],config_vehicle[Id], config_vehicle[Name],,0)</f>
        <v>米小易</v>
      </c>
      <c r="S1005" t="str">
        <f>_xlfn.XLOOKUP(Jnl[[#This Row],[Division]],config_div[Id], config_div[Name],,0)</f>
        <v>综合管理</v>
      </c>
      <c r="T1005" t="str">
        <f>IF(Jnl[[#This Row],[TrxDate]]&lt;=stmt_BS_date_end, "In", "Out")</f>
        <v>In</v>
      </c>
      <c r="U1005" t="str">
        <f>IF(Jnl[[#This Row],[TrxDate]]&lt;debug_date_start, "prior", IF(Jnl[[#This Row],[TrxDate]]&gt;debug_date_end, "post", "curr"))</f>
        <v>curr</v>
      </c>
    </row>
    <row r="1006" spans="1:21">
      <c r="A1006" s="11" t="s">
        <v>1480</v>
      </c>
      <c r="B1006" s="7">
        <f>_xlfn.XLOOKUP(Jnl[[#This Row],[TrxId]], Trx[Id], Trx[Date],,0)</f>
        <v>46081</v>
      </c>
      <c r="C1006" s="7" t="str">
        <f>_xlfn.XLOOKUP(Jnl[[#This Row],[TrxId]], Trx[Id], Trx[Division],,0)</f>
        <v>GM</v>
      </c>
      <c r="D1006" s="7" t="str">
        <f>_xlfn.XLOOKUP(Jnl[[#This Row],[TrxId]], Trx[Id], Trx[Action],,0)</f>
        <v>奖金-合伙人</v>
      </c>
      <c r="E1006" s="26" t="s">
        <v>82</v>
      </c>
      <c r="F1006" s="11" t="s">
        <v>590</v>
      </c>
      <c r="G1006" s="11" t="s">
        <v>592</v>
      </c>
      <c r="H1006" s="72">
        <v>-2238.81</v>
      </c>
      <c r="I1006" s="5" t="b">
        <f>AND(Jnl[[#This Row],[TrxId]]&lt;&gt;"",Jnl[[#This Row],[Acct]]&lt;&gt;"",Jnl[[#This Row],[Item]]&lt;&gt;"",ISNUMBER(Jnl[[#This Row],[Bal]]))</f>
        <v>1</v>
      </c>
      <c r="J1006" s="10">
        <f>IF(Jnl[[#This Row],[BSLv0]]="A",1,-1)*Jnl[[#This Row],[Bal]]</f>
        <v>-2238.81</v>
      </c>
      <c r="K1006" t="str">
        <f>_xlfn.XLOOKUP(Jnl[[#This Row],[Acct]], config_BS[Acct], config_BS[Lv0],,0)</f>
        <v>A</v>
      </c>
      <c r="L1006" t="str">
        <f>_xlfn.XLOOKUP(Jnl[[#This Row],[Acct]], config_BS[Acct], config_BS[Lv1],,0)</f>
        <v>Assets</v>
      </c>
      <c r="M1006" t="str">
        <f>_xlfn.XLOOKUP(Jnl[[#This Row],[Acct]], config_BS[Acct], config_BS[Lv2],,0)</f>
        <v>Cash alike</v>
      </c>
      <c r="N1006" t="str">
        <f>_xlfn.XLOOKUP(Jnl[[#This Row],[TrxId]], Trx[Id], Trx[IncNode], ,0)</f>
        <v>Discretion</v>
      </c>
      <c r="O1006" t="str">
        <f>_xlfn.XLOOKUP(Jnl[[#This Row],[IncNode]], config_IS[Node], config_IS[Type],,0)</f>
        <v>Non-Op</v>
      </c>
      <c r="P1006" t="str">
        <f>_xlfn.XLOOKUP(Jnl[[#This Row],[BSLv2]], dict[Key], dict[Name],,0)</f>
        <v>0.现金及类似</v>
      </c>
      <c r="Q1006" t="str">
        <f>_xlfn.XLOOKUP(Jnl[[#This Row],[Acct]], dict[Key], dict[Name],,0)</f>
        <v>银行</v>
      </c>
      <c r="R1006" t="str">
        <f>_xlfn.XLOOKUP(Jnl[[#This Row],[Vehicle]],config_vehicle[Id], config_vehicle[Name],,0)</f>
        <v>米小易</v>
      </c>
      <c r="S1006" t="str">
        <f>_xlfn.XLOOKUP(Jnl[[#This Row],[Division]],config_div[Id], config_div[Name],,0)</f>
        <v>综合管理</v>
      </c>
      <c r="T1006" t="str">
        <f>IF(Jnl[[#This Row],[TrxDate]]&lt;=stmt_BS_date_end, "In", "Out")</f>
        <v>In</v>
      </c>
      <c r="U1006" t="str">
        <f>IF(Jnl[[#This Row],[TrxDate]]&lt;debug_date_start, "prior", IF(Jnl[[#This Row],[TrxDate]]&gt;debug_date_end, "post", "curr"))</f>
        <v>curr</v>
      </c>
    </row>
    <row r="1007" spans="1:21">
      <c r="A1007" s="11" t="s">
        <v>1481</v>
      </c>
      <c r="B1007" s="7">
        <f>_xlfn.XLOOKUP(Jnl[[#This Row],[TrxId]], Trx[Id], Trx[Date],,0)</f>
        <v>46081</v>
      </c>
      <c r="C1007" s="7" t="str">
        <f>_xlfn.XLOOKUP(Jnl[[#This Row],[TrxId]], Trx[Id], Trx[Division],,0)</f>
        <v>GM</v>
      </c>
      <c r="D1007" s="7" t="str">
        <f>_xlfn.XLOOKUP(Jnl[[#This Row],[TrxId]], Trx[Id], Trx[Action],,0)</f>
        <v>奖金-合伙人</v>
      </c>
      <c r="E1007" s="26" t="s">
        <v>82</v>
      </c>
      <c r="F1007" s="11" t="s">
        <v>590</v>
      </c>
      <c r="G1007" s="11" t="s">
        <v>592</v>
      </c>
      <c r="H1007" s="72">
        <v>-3731.34</v>
      </c>
      <c r="I1007" s="5" t="b">
        <f>AND(Jnl[[#This Row],[TrxId]]&lt;&gt;"",Jnl[[#This Row],[Acct]]&lt;&gt;"",Jnl[[#This Row],[Item]]&lt;&gt;"",ISNUMBER(Jnl[[#This Row],[Bal]]))</f>
        <v>1</v>
      </c>
      <c r="J1007" s="10">
        <f>IF(Jnl[[#This Row],[BSLv0]]="A",1,-1)*Jnl[[#This Row],[Bal]]</f>
        <v>-3731.34</v>
      </c>
      <c r="K1007" t="str">
        <f>_xlfn.XLOOKUP(Jnl[[#This Row],[Acct]], config_BS[Acct], config_BS[Lv0],,0)</f>
        <v>A</v>
      </c>
      <c r="L1007" t="str">
        <f>_xlfn.XLOOKUP(Jnl[[#This Row],[Acct]], config_BS[Acct], config_BS[Lv1],,0)</f>
        <v>Assets</v>
      </c>
      <c r="M1007" t="str">
        <f>_xlfn.XLOOKUP(Jnl[[#This Row],[Acct]], config_BS[Acct], config_BS[Lv2],,0)</f>
        <v>Cash alike</v>
      </c>
      <c r="N1007" t="str">
        <f>_xlfn.XLOOKUP(Jnl[[#This Row],[TrxId]], Trx[Id], Trx[IncNode], ,0)</f>
        <v>Discretion</v>
      </c>
      <c r="O1007" t="str">
        <f>_xlfn.XLOOKUP(Jnl[[#This Row],[IncNode]], config_IS[Node], config_IS[Type],,0)</f>
        <v>Non-Op</v>
      </c>
      <c r="P1007" t="str">
        <f>_xlfn.XLOOKUP(Jnl[[#This Row],[BSLv2]], dict[Key], dict[Name],,0)</f>
        <v>0.现金及类似</v>
      </c>
      <c r="Q1007" t="str">
        <f>_xlfn.XLOOKUP(Jnl[[#This Row],[Acct]], dict[Key], dict[Name],,0)</f>
        <v>银行</v>
      </c>
      <c r="R1007" t="str">
        <f>_xlfn.XLOOKUP(Jnl[[#This Row],[Vehicle]],config_vehicle[Id], config_vehicle[Name],,0)</f>
        <v>米小易</v>
      </c>
      <c r="S1007" t="str">
        <f>_xlfn.XLOOKUP(Jnl[[#This Row],[Division]],config_div[Id], config_div[Name],,0)</f>
        <v>综合管理</v>
      </c>
      <c r="T1007" t="str">
        <f>IF(Jnl[[#This Row],[TrxDate]]&lt;=stmt_BS_date_end, "In", "Out")</f>
        <v>In</v>
      </c>
      <c r="U1007" t="str">
        <f>IF(Jnl[[#This Row],[TrxDate]]&lt;debug_date_start, "prior", IF(Jnl[[#This Row],[TrxDate]]&gt;debug_date_end, "post", "curr"))</f>
        <v>curr</v>
      </c>
    </row>
    <row r="1008" spans="1:21">
      <c r="A1008" s="11" t="s">
        <v>1482</v>
      </c>
      <c r="B1008" s="7">
        <f>_xlfn.XLOOKUP(Jnl[[#This Row],[TrxId]], Trx[Id], Trx[Date],,0)</f>
        <v>46081</v>
      </c>
      <c r="C1008" s="7" t="str">
        <f>_xlfn.XLOOKUP(Jnl[[#This Row],[TrxId]], Trx[Id], Trx[Division],,0)</f>
        <v>Shuijie</v>
      </c>
      <c r="D1008" s="7" t="str">
        <f>_xlfn.XLOOKUP(Jnl[[#This Row],[TrxId]], Trx[Id], Trx[Action],,0)</f>
        <v>存现</v>
      </c>
      <c r="E1008" s="26" t="s">
        <v>82</v>
      </c>
      <c r="F1008" s="11" t="s">
        <v>590</v>
      </c>
      <c r="G1008" s="11" t="s">
        <v>592</v>
      </c>
      <c r="H1008" s="72">
        <v>3650</v>
      </c>
      <c r="I1008" s="5" t="b">
        <f>AND(Jnl[[#This Row],[TrxId]]&lt;&gt;"",Jnl[[#This Row],[Acct]]&lt;&gt;"",Jnl[[#This Row],[Item]]&lt;&gt;"",ISNUMBER(Jnl[[#This Row],[Bal]]))</f>
        <v>1</v>
      </c>
      <c r="J1008" s="10">
        <f>IF(Jnl[[#This Row],[BSLv0]]="A",1,-1)*Jnl[[#This Row],[Bal]]</f>
        <v>3650</v>
      </c>
      <c r="K1008" t="str">
        <f>_xlfn.XLOOKUP(Jnl[[#This Row],[Acct]], config_BS[Acct], config_BS[Lv0],,0)</f>
        <v>A</v>
      </c>
      <c r="L1008" t="str">
        <f>_xlfn.XLOOKUP(Jnl[[#This Row],[Acct]], config_BS[Acct], config_BS[Lv1],,0)</f>
        <v>Assets</v>
      </c>
      <c r="M1008" t="str">
        <f>_xlfn.XLOOKUP(Jnl[[#This Row],[Acct]], config_BS[Acct], config_BS[Lv2],,0)</f>
        <v>Cash alike</v>
      </c>
      <c r="N1008" t="str">
        <f>_xlfn.XLOOKUP(Jnl[[#This Row],[TrxId]], Trx[Id], Trx[IncNode], ,0)</f>
        <v>Revenue</v>
      </c>
      <c r="O1008" t="str">
        <f>_xlfn.XLOOKUP(Jnl[[#This Row],[IncNode]], config_IS[Node], config_IS[Type],,0)</f>
        <v>Op</v>
      </c>
      <c r="P1008" t="str">
        <f>_xlfn.XLOOKUP(Jnl[[#This Row],[BSLv2]], dict[Key], dict[Name],,0)</f>
        <v>0.现金及类似</v>
      </c>
      <c r="Q1008" t="str">
        <f>_xlfn.XLOOKUP(Jnl[[#This Row],[Acct]], dict[Key], dict[Name],,0)</f>
        <v>银行</v>
      </c>
      <c r="R1008" t="str">
        <f>_xlfn.XLOOKUP(Jnl[[#This Row],[Vehicle]],config_vehicle[Id], config_vehicle[Name],,0)</f>
        <v>米小易</v>
      </c>
      <c r="S1008" t="str">
        <f>_xlfn.XLOOKUP(Jnl[[#This Row],[Division]],config_div[Id], config_div[Name],,0)</f>
        <v>水街店</v>
      </c>
      <c r="T1008" t="str">
        <f>IF(Jnl[[#This Row],[TrxDate]]&lt;=stmt_BS_date_end, "In", "Out")</f>
        <v>In</v>
      </c>
      <c r="U1008" t="str">
        <f>IF(Jnl[[#This Row],[TrxDate]]&lt;debug_date_start, "prior", IF(Jnl[[#This Row],[TrxDate]]&gt;debug_date_end, "post", "curr"))</f>
        <v>curr</v>
      </c>
    </row>
    <row r="1009" spans="1:21">
      <c r="A1009" s="11" t="s">
        <v>1482</v>
      </c>
      <c r="B1009" s="7">
        <f>_xlfn.XLOOKUP(Jnl[[#This Row],[TrxId]], Trx[Id], Trx[Date],,0)</f>
        <v>46081</v>
      </c>
      <c r="C1009" s="7" t="str">
        <f>_xlfn.XLOOKUP(Jnl[[#This Row],[TrxId]], Trx[Id], Trx[Division],,0)</f>
        <v>Shuijie</v>
      </c>
      <c r="D1009" s="7" t="str">
        <f>_xlfn.XLOOKUP(Jnl[[#This Row],[TrxId]], Trx[Id], Trx[Action],,0)</f>
        <v>存现</v>
      </c>
      <c r="E1009" s="26" t="s">
        <v>82</v>
      </c>
      <c r="F1009" s="11" t="s">
        <v>599</v>
      </c>
      <c r="G1009" s="11" t="s">
        <v>600</v>
      </c>
      <c r="H1009" s="72">
        <f>-H1008</f>
        <v>-3650</v>
      </c>
      <c r="I1009" s="5" t="b">
        <f>AND(Jnl[[#This Row],[TrxId]]&lt;&gt;"",Jnl[[#This Row],[Acct]]&lt;&gt;"",Jnl[[#This Row],[Item]]&lt;&gt;"",ISNUMBER(Jnl[[#This Row],[Bal]]))</f>
        <v>1</v>
      </c>
      <c r="J1009" s="10">
        <f>IF(Jnl[[#This Row],[BSLv0]]="A",1,-1)*Jnl[[#This Row],[Bal]]</f>
        <v>-3650</v>
      </c>
      <c r="K1009" t="str">
        <f>_xlfn.XLOOKUP(Jnl[[#This Row],[Acct]], config_BS[Acct], config_BS[Lv0],,0)</f>
        <v>A</v>
      </c>
      <c r="L1009" t="str">
        <f>_xlfn.XLOOKUP(Jnl[[#This Row],[Acct]], config_BS[Acct], config_BS[Lv1],,0)</f>
        <v>Assets</v>
      </c>
      <c r="M1009" t="str">
        <f>_xlfn.XLOOKUP(Jnl[[#This Row],[Acct]], config_BS[Acct], config_BS[Lv2],,0)</f>
        <v>Cash alike</v>
      </c>
      <c r="N1009" t="str">
        <f>_xlfn.XLOOKUP(Jnl[[#This Row],[TrxId]], Trx[Id], Trx[IncNode], ,0)</f>
        <v>Revenue</v>
      </c>
      <c r="O1009" t="str">
        <f>_xlfn.XLOOKUP(Jnl[[#This Row],[IncNode]], config_IS[Node], config_IS[Type],,0)</f>
        <v>Op</v>
      </c>
      <c r="P1009" t="str">
        <f>_xlfn.XLOOKUP(Jnl[[#This Row],[BSLv2]], dict[Key], dict[Name],,0)</f>
        <v>0.现金及类似</v>
      </c>
      <c r="Q1009" t="str">
        <f>_xlfn.XLOOKUP(Jnl[[#This Row],[Acct]], dict[Key], dict[Name],,0)</f>
        <v>物理现金</v>
      </c>
      <c r="R1009" t="str">
        <f>_xlfn.XLOOKUP(Jnl[[#This Row],[Vehicle]],config_vehicle[Id], config_vehicle[Name],,0)</f>
        <v>米小易</v>
      </c>
      <c r="S1009" t="str">
        <f>_xlfn.XLOOKUP(Jnl[[#This Row],[Division]],config_div[Id], config_div[Name],,0)</f>
        <v>水街店</v>
      </c>
      <c r="T1009" t="str">
        <f>IF(Jnl[[#This Row],[TrxDate]]&lt;=stmt_BS_date_end, "In", "Out")</f>
        <v>In</v>
      </c>
      <c r="U1009" t="str">
        <f>IF(Jnl[[#This Row],[TrxDate]]&lt;debug_date_start, "prior", IF(Jnl[[#This Row],[TrxDate]]&gt;debug_date_end, "post", "curr"))</f>
        <v>curr</v>
      </c>
    </row>
    <row r="1010" spans="1:21">
      <c r="A1010" s="11" t="s">
        <v>1483</v>
      </c>
      <c r="B1010" s="7">
        <f>_xlfn.XLOOKUP(Jnl[[#This Row],[TrxId]], Trx[Id], Trx[Date],,0)</f>
        <v>46081</v>
      </c>
      <c r="C1010" s="7" t="str">
        <f>_xlfn.XLOOKUP(Jnl[[#This Row],[TrxId]], Trx[Id], Trx[Division],,0)</f>
        <v>Shuijie</v>
      </c>
      <c r="D1010" s="7" t="str">
        <f>_xlfn.XLOOKUP(Jnl[[#This Row],[TrxId]], Trx[Id], Trx[Action],,0)</f>
        <v>支付</v>
      </c>
      <c r="E1010" s="26" t="s">
        <v>82</v>
      </c>
      <c r="F1010" s="11" t="s">
        <v>590</v>
      </c>
      <c r="G1010" s="11" t="s">
        <v>592</v>
      </c>
      <c r="H1010" s="72">
        <v>-390</v>
      </c>
      <c r="I1010" s="5" t="b">
        <f>AND(Jnl[[#This Row],[TrxId]]&lt;&gt;"",Jnl[[#This Row],[Acct]]&lt;&gt;"",Jnl[[#This Row],[Item]]&lt;&gt;"",ISNUMBER(Jnl[[#This Row],[Bal]]))</f>
        <v>1</v>
      </c>
      <c r="J1010" s="10">
        <f>IF(Jnl[[#This Row],[BSLv0]]="A",1,-1)*Jnl[[#This Row],[Bal]]</f>
        <v>-390</v>
      </c>
      <c r="K1010" t="str">
        <f>_xlfn.XLOOKUP(Jnl[[#This Row],[Acct]], config_BS[Acct], config_BS[Lv0],,0)</f>
        <v>A</v>
      </c>
      <c r="L1010" t="str">
        <f>_xlfn.XLOOKUP(Jnl[[#This Row],[Acct]], config_BS[Acct], config_BS[Lv1],,0)</f>
        <v>Assets</v>
      </c>
      <c r="M1010" t="str">
        <f>_xlfn.XLOOKUP(Jnl[[#This Row],[Acct]], config_BS[Acct], config_BS[Lv2],,0)</f>
        <v>Cash alike</v>
      </c>
      <c r="N1010" t="str">
        <f>_xlfn.XLOOKUP(Jnl[[#This Row],[TrxId]], Trx[Id], Trx[IncNode], ,0)</f>
        <v>Cost</v>
      </c>
      <c r="O1010" t="str">
        <f>_xlfn.XLOOKUP(Jnl[[#This Row],[IncNode]], config_IS[Node], config_IS[Type],,0)</f>
        <v>Op</v>
      </c>
      <c r="P1010" t="str">
        <f>_xlfn.XLOOKUP(Jnl[[#This Row],[BSLv2]], dict[Key], dict[Name],,0)</f>
        <v>0.现金及类似</v>
      </c>
      <c r="Q1010" t="str">
        <f>_xlfn.XLOOKUP(Jnl[[#This Row],[Acct]], dict[Key], dict[Name],,0)</f>
        <v>银行</v>
      </c>
      <c r="R1010" t="str">
        <f>_xlfn.XLOOKUP(Jnl[[#This Row],[Vehicle]],config_vehicle[Id], config_vehicle[Name],,0)</f>
        <v>米小易</v>
      </c>
      <c r="S1010" t="str">
        <f>_xlfn.XLOOKUP(Jnl[[#This Row],[Division]],config_div[Id], config_div[Name],,0)</f>
        <v>水街店</v>
      </c>
      <c r="T1010" t="str">
        <f>IF(Jnl[[#This Row],[TrxDate]]&lt;=stmt_BS_date_end, "In", "Out")</f>
        <v>In</v>
      </c>
      <c r="U1010" t="str">
        <f>IF(Jnl[[#This Row],[TrxDate]]&lt;debug_date_start, "prior", IF(Jnl[[#This Row],[TrxDate]]&gt;debug_date_end, "post", "curr"))</f>
        <v>curr</v>
      </c>
    </row>
    <row r="1011" spans="1:21">
      <c r="A1011" s="11" t="s">
        <v>1483</v>
      </c>
      <c r="B1011" s="7">
        <f>_xlfn.XLOOKUP(Jnl[[#This Row],[TrxId]], Trx[Id], Trx[Date],,0)</f>
        <v>46081</v>
      </c>
      <c r="C1011" s="7" t="str">
        <f>_xlfn.XLOOKUP(Jnl[[#This Row],[TrxId]], Trx[Id], Trx[Division],,0)</f>
        <v>Shuijie</v>
      </c>
      <c r="D1011" s="7" t="str">
        <f>_xlfn.XLOOKUP(Jnl[[#This Row],[TrxId]], Trx[Id], Trx[Action],,0)</f>
        <v>支付</v>
      </c>
      <c r="E1011" s="26" t="s">
        <v>82</v>
      </c>
      <c r="F1011" s="11" t="s">
        <v>493</v>
      </c>
      <c r="G1011" s="11" t="s">
        <v>428</v>
      </c>
      <c r="H1011" s="72">
        <f>-H1010</f>
        <v>390</v>
      </c>
      <c r="I1011" s="5" t="b">
        <f>AND(Jnl[[#This Row],[TrxId]]&lt;&gt;"",Jnl[[#This Row],[Acct]]&lt;&gt;"",Jnl[[#This Row],[Item]]&lt;&gt;"",ISNUMBER(Jnl[[#This Row],[Bal]]))</f>
        <v>1</v>
      </c>
      <c r="J1011" s="10">
        <f>IF(Jnl[[#This Row],[BSLv0]]="A",1,-1)*Jnl[[#This Row],[Bal]]</f>
        <v>390</v>
      </c>
      <c r="K1011" t="str">
        <f>_xlfn.XLOOKUP(Jnl[[#This Row],[Acct]], config_BS[Acct], config_BS[Lv0],,0)</f>
        <v>A</v>
      </c>
      <c r="L1011" t="str">
        <f>_xlfn.XLOOKUP(Jnl[[#This Row],[Acct]], config_BS[Acct], config_BS[Lv1],,0)</f>
        <v>Assets</v>
      </c>
      <c r="M1011" t="str">
        <f>_xlfn.XLOOKUP(Jnl[[#This Row],[Acct]], config_BS[Acct], config_BS[Lv2],,0)</f>
        <v>Prep-Sub</v>
      </c>
      <c r="N1011" t="str">
        <f>_xlfn.XLOOKUP(Jnl[[#This Row],[TrxId]], Trx[Id], Trx[IncNode], ,0)</f>
        <v>Cost</v>
      </c>
      <c r="O1011" t="str">
        <f>_xlfn.XLOOKUP(Jnl[[#This Row],[IncNode]], config_IS[Node], config_IS[Type],,0)</f>
        <v>Op</v>
      </c>
      <c r="P1011" t="str">
        <f>_xlfn.XLOOKUP(Jnl[[#This Row],[BSLv2]], dict[Key], dict[Name],,0)</f>
        <v>2.预付-订阅</v>
      </c>
      <c r="Q1011" t="str">
        <f>_xlfn.XLOOKUP(Jnl[[#This Row],[Acct]], dict[Key], dict[Name],,0)</f>
        <v>预付订单</v>
      </c>
      <c r="R1011" t="str">
        <f>_xlfn.XLOOKUP(Jnl[[#This Row],[Vehicle]],config_vehicle[Id], config_vehicle[Name],,0)</f>
        <v>米小易</v>
      </c>
      <c r="S1011" t="str">
        <f>_xlfn.XLOOKUP(Jnl[[#This Row],[Division]],config_div[Id], config_div[Name],,0)</f>
        <v>水街店</v>
      </c>
      <c r="T1011" t="str">
        <f>IF(Jnl[[#This Row],[TrxDate]]&lt;=stmt_BS_date_end, "In", "Out")</f>
        <v>In</v>
      </c>
      <c r="U1011" t="str">
        <f>IF(Jnl[[#This Row],[TrxDate]]&lt;debug_date_start, "prior", IF(Jnl[[#This Row],[TrxDate]]&gt;debug_date_end, "post", "curr"))</f>
        <v>curr</v>
      </c>
    </row>
    <row r="1012" spans="1:21">
      <c r="A1012" s="11" t="s">
        <v>1484</v>
      </c>
      <c r="B1012" s="7">
        <f>_xlfn.XLOOKUP(Jnl[[#This Row],[TrxId]], Trx[Id], Trx[Date],,0)</f>
        <v>46081</v>
      </c>
      <c r="C1012" s="7" t="str">
        <f>_xlfn.XLOOKUP(Jnl[[#This Row],[TrxId]], Trx[Id], Trx[Division],,0)</f>
        <v>Shuijie</v>
      </c>
      <c r="D1012" s="7" t="str">
        <f>_xlfn.XLOOKUP(Jnl[[#This Row],[TrxId]], Trx[Id], Trx[Action],,0)</f>
        <v>支付</v>
      </c>
      <c r="E1012" s="26" t="s">
        <v>82</v>
      </c>
      <c r="F1012" s="11" t="s">
        <v>590</v>
      </c>
      <c r="G1012" s="11" t="s">
        <v>592</v>
      </c>
      <c r="H1012" s="72">
        <v>-2940</v>
      </c>
      <c r="I1012" s="5" t="b">
        <f>AND(Jnl[[#This Row],[TrxId]]&lt;&gt;"",Jnl[[#This Row],[Acct]]&lt;&gt;"",Jnl[[#This Row],[Item]]&lt;&gt;"",ISNUMBER(Jnl[[#This Row],[Bal]]))</f>
        <v>1</v>
      </c>
      <c r="J1012" s="10">
        <f>IF(Jnl[[#This Row],[BSLv0]]="A",1,-1)*Jnl[[#This Row],[Bal]]</f>
        <v>-2940</v>
      </c>
      <c r="K1012" t="str">
        <f>_xlfn.XLOOKUP(Jnl[[#This Row],[Acct]], config_BS[Acct], config_BS[Lv0],,0)</f>
        <v>A</v>
      </c>
      <c r="L1012" t="str">
        <f>_xlfn.XLOOKUP(Jnl[[#This Row],[Acct]], config_BS[Acct], config_BS[Lv1],,0)</f>
        <v>Assets</v>
      </c>
      <c r="M1012" t="str">
        <f>_xlfn.XLOOKUP(Jnl[[#This Row],[Acct]], config_BS[Acct], config_BS[Lv2],,0)</f>
        <v>Cash alike</v>
      </c>
      <c r="N1012" t="str">
        <f>_xlfn.XLOOKUP(Jnl[[#This Row],[TrxId]], Trx[Id], Trx[IncNode], ,0)</f>
        <v>Cost</v>
      </c>
      <c r="O1012" t="str">
        <f>_xlfn.XLOOKUP(Jnl[[#This Row],[IncNode]], config_IS[Node], config_IS[Type],,0)</f>
        <v>Op</v>
      </c>
      <c r="P1012" t="str">
        <f>_xlfn.XLOOKUP(Jnl[[#This Row],[BSLv2]], dict[Key], dict[Name],,0)</f>
        <v>0.现金及类似</v>
      </c>
      <c r="Q1012" t="str">
        <f>_xlfn.XLOOKUP(Jnl[[#This Row],[Acct]], dict[Key], dict[Name],,0)</f>
        <v>银行</v>
      </c>
      <c r="R1012" t="str">
        <f>_xlfn.XLOOKUP(Jnl[[#This Row],[Vehicle]],config_vehicle[Id], config_vehicle[Name],,0)</f>
        <v>米小易</v>
      </c>
      <c r="S1012" t="str">
        <f>_xlfn.XLOOKUP(Jnl[[#This Row],[Division]],config_div[Id], config_div[Name],,0)</f>
        <v>水街店</v>
      </c>
      <c r="T1012" t="str">
        <f>IF(Jnl[[#This Row],[TrxDate]]&lt;=stmt_BS_date_end, "In", "Out")</f>
        <v>In</v>
      </c>
      <c r="U1012" t="str">
        <f>IF(Jnl[[#This Row],[TrxDate]]&lt;debug_date_start, "prior", IF(Jnl[[#This Row],[TrxDate]]&gt;debug_date_end, "post", "curr"))</f>
        <v>curr</v>
      </c>
    </row>
    <row r="1013" spans="1:21">
      <c r="A1013" s="11" t="s">
        <v>1484</v>
      </c>
      <c r="B1013" s="7">
        <f>_xlfn.XLOOKUP(Jnl[[#This Row],[TrxId]], Trx[Id], Trx[Date],,0)</f>
        <v>46081</v>
      </c>
      <c r="C1013" s="7" t="str">
        <f>_xlfn.XLOOKUP(Jnl[[#This Row],[TrxId]], Trx[Id], Trx[Division],,0)</f>
        <v>Shuijie</v>
      </c>
      <c r="D1013" s="7" t="str">
        <f>_xlfn.XLOOKUP(Jnl[[#This Row],[TrxId]], Trx[Id], Trx[Action],,0)</f>
        <v>支付</v>
      </c>
      <c r="E1013" s="26" t="s">
        <v>82</v>
      </c>
      <c r="F1013" s="11" t="s">
        <v>493</v>
      </c>
      <c r="G1013" s="11" t="s">
        <v>428</v>
      </c>
      <c r="H1013" s="72">
        <f>-H1012</f>
        <v>2940</v>
      </c>
      <c r="I1013" s="5" t="b">
        <f>AND(Jnl[[#This Row],[TrxId]]&lt;&gt;"",Jnl[[#This Row],[Acct]]&lt;&gt;"",Jnl[[#This Row],[Item]]&lt;&gt;"",ISNUMBER(Jnl[[#This Row],[Bal]]))</f>
        <v>1</v>
      </c>
      <c r="J1013" s="10">
        <f>IF(Jnl[[#This Row],[BSLv0]]="A",1,-1)*Jnl[[#This Row],[Bal]]</f>
        <v>2940</v>
      </c>
      <c r="K1013" t="str">
        <f>_xlfn.XLOOKUP(Jnl[[#This Row],[Acct]], config_BS[Acct], config_BS[Lv0],,0)</f>
        <v>A</v>
      </c>
      <c r="L1013" t="str">
        <f>_xlfn.XLOOKUP(Jnl[[#This Row],[Acct]], config_BS[Acct], config_BS[Lv1],,0)</f>
        <v>Assets</v>
      </c>
      <c r="M1013" t="str">
        <f>_xlfn.XLOOKUP(Jnl[[#This Row],[Acct]], config_BS[Acct], config_BS[Lv2],,0)</f>
        <v>Prep-Sub</v>
      </c>
      <c r="N1013" t="str">
        <f>_xlfn.XLOOKUP(Jnl[[#This Row],[TrxId]], Trx[Id], Trx[IncNode], ,0)</f>
        <v>Cost</v>
      </c>
      <c r="O1013" t="str">
        <f>_xlfn.XLOOKUP(Jnl[[#This Row],[IncNode]], config_IS[Node], config_IS[Type],,0)</f>
        <v>Op</v>
      </c>
      <c r="P1013" t="str">
        <f>_xlfn.XLOOKUP(Jnl[[#This Row],[BSLv2]], dict[Key], dict[Name],,0)</f>
        <v>2.预付-订阅</v>
      </c>
      <c r="Q1013" t="str">
        <f>_xlfn.XLOOKUP(Jnl[[#This Row],[Acct]], dict[Key], dict[Name],,0)</f>
        <v>预付订单</v>
      </c>
      <c r="R1013" t="str">
        <f>_xlfn.XLOOKUP(Jnl[[#This Row],[Vehicle]],config_vehicle[Id], config_vehicle[Name],,0)</f>
        <v>米小易</v>
      </c>
      <c r="S1013" t="str">
        <f>_xlfn.XLOOKUP(Jnl[[#This Row],[Division]],config_div[Id], config_div[Name],,0)</f>
        <v>水街店</v>
      </c>
      <c r="T1013" t="str">
        <f>IF(Jnl[[#This Row],[TrxDate]]&lt;=stmt_BS_date_end, "In", "Out")</f>
        <v>In</v>
      </c>
      <c r="U1013" t="str">
        <f>IF(Jnl[[#This Row],[TrxDate]]&lt;debug_date_start, "prior", IF(Jnl[[#This Row],[TrxDate]]&gt;debug_date_end, "post", "curr"))</f>
        <v>curr</v>
      </c>
    </row>
    <row r="1014" spans="1:21">
      <c r="A1014" s="11" t="s">
        <v>1486</v>
      </c>
      <c r="B1014" s="7">
        <f>_xlfn.XLOOKUP(Jnl[[#This Row],[TrxId]], Trx[Id], Trx[Date],,0)</f>
        <v>46081</v>
      </c>
      <c r="C1014" s="7" t="str">
        <f>_xlfn.XLOOKUP(Jnl[[#This Row],[TrxId]], Trx[Id], Trx[Division],,0)</f>
        <v>Shuijie</v>
      </c>
      <c r="D1014" s="7" t="str">
        <f>_xlfn.XLOOKUP(Jnl[[#This Row],[TrxId]], Trx[Id], Trx[Action],,0)</f>
        <v>支付</v>
      </c>
      <c r="E1014" s="26" t="s">
        <v>82</v>
      </c>
      <c r="F1014" s="11" t="s">
        <v>590</v>
      </c>
      <c r="G1014" s="11" t="s">
        <v>592</v>
      </c>
      <c r="H1014" s="72">
        <v>-7020</v>
      </c>
      <c r="I1014" s="5" t="b">
        <f>AND(Jnl[[#This Row],[TrxId]]&lt;&gt;"",Jnl[[#This Row],[Acct]]&lt;&gt;"",Jnl[[#This Row],[Item]]&lt;&gt;"",ISNUMBER(Jnl[[#This Row],[Bal]]))</f>
        <v>1</v>
      </c>
      <c r="J1014" s="10">
        <f>IF(Jnl[[#This Row],[BSLv0]]="A",1,-1)*Jnl[[#This Row],[Bal]]</f>
        <v>-7020</v>
      </c>
      <c r="K1014" t="str">
        <f>_xlfn.XLOOKUP(Jnl[[#This Row],[Acct]], config_BS[Acct], config_BS[Lv0],,0)</f>
        <v>A</v>
      </c>
      <c r="L1014" t="str">
        <f>_xlfn.XLOOKUP(Jnl[[#This Row],[Acct]], config_BS[Acct], config_BS[Lv1],,0)</f>
        <v>Assets</v>
      </c>
      <c r="M1014" t="str">
        <f>_xlfn.XLOOKUP(Jnl[[#This Row],[Acct]], config_BS[Acct], config_BS[Lv2],,0)</f>
        <v>Cash alike</v>
      </c>
      <c r="N1014" t="str">
        <f>_xlfn.XLOOKUP(Jnl[[#This Row],[TrxId]], Trx[Id], Trx[IncNode], ,0)</f>
        <v>Cost</v>
      </c>
      <c r="O1014" t="str">
        <f>_xlfn.XLOOKUP(Jnl[[#This Row],[IncNode]], config_IS[Node], config_IS[Type],,0)</f>
        <v>Op</v>
      </c>
      <c r="P1014" t="str">
        <f>_xlfn.XLOOKUP(Jnl[[#This Row],[BSLv2]], dict[Key], dict[Name],,0)</f>
        <v>0.现金及类似</v>
      </c>
      <c r="Q1014" t="str">
        <f>_xlfn.XLOOKUP(Jnl[[#This Row],[Acct]], dict[Key], dict[Name],,0)</f>
        <v>银行</v>
      </c>
      <c r="R1014" t="str">
        <f>_xlfn.XLOOKUP(Jnl[[#This Row],[Vehicle]],config_vehicle[Id], config_vehicle[Name],,0)</f>
        <v>米小易</v>
      </c>
      <c r="S1014" t="str">
        <f>_xlfn.XLOOKUP(Jnl[[#This Row],[Division]],config_div[Id], config_div[Name],,0)</f>
        <v>水街店</v>
      </c>
      <c r="T1014" t="str">
        <f>IF(Jnl[[#This Row],[TrxDate]]&lt;=stmt_BS_date_end, "In", "Out")</f>
        <v>In</v>
      </c>
      <c r="U1014" t="str">
        <f>IF(Jnl[[#This Row],[TrxDate]]&lt;debug_date_start, "prior", IF(Jnl[[#This Row],[TrxDate]]&gt;debug_date_end, "post", "curr"))</f>
        <v>curr</v>
      </c>
    </row>
    <row r="1015" spans="1:21">
      <c r="A1015" s="11" t="s">
        <v>1486</v>
      </c>
      <c r="B1015" s="7">
        <f>_xlfn.XLOOKUP(Jnl[[#This Row],[TrxId]], Trx[Id], Trx[Date],,0)</f>
        <v>46081</v>
      </c>
      <c r="C1015" s="7" t="str">
        <f>_xlfn.XLOOKUP(Jnl[[#This Row],[TrxId]], Trx[Id], Trx[Division],,0)</f>
        <v>Shuijie</v>
      </c>
      <c r="D1015" s="7" t="str">
        <f>_xlfn.XLOOKUP(Jnl[[#This Row],[TrxId]], Trx[Id], Trx[Action],,0)</f>
        <v>支付</v>
      </c>
      <c r="E1015" s="26" t="s">
        <v>82</v>
      </c>
      <c r="F1015" s="11" t="s">
        <v>493</v>
      </c>
      <c r="G1015" s="11" t="s">
        <v>428</v>
      </c>
      <c r="H1015" s="72">
        <f>-H1014</f>
        <v>7020</v>
      </c>
      <c r="I1015" s="5" t="b">
        <f>AND(Jnl[[#This Row],[TrxId]]&lt;&gt;"",Jnl[[#This Row],[Acct]]&lt;&gt;"",Jnl[[#This Row],[Item]]&lt;&gt;"",ISNUMBER(Jnl[[#This Row],[Bal]]))</f>
        <v>1</v>
      </c>
      <c r="J1015" s="10">
        <f>IF(Jnl[[#This Row],[BSLv0]]="A",1,-1)*Jnl[[#This Row],[Bal]]</f>
        <v>7020</v>
      </c>
      <c r="K1015" t="str">
        <f>_xlfn.XLOOKUP(Jnl[[#This Row],[Acct]], config_BS[Acct], config_BS[Lv0],,0)</f>
        <v>A</v>
      </c>
      <c r="L1015" t="str">
        <f>_xlfn.XLOOKUP(Jnl[[#This Row],[Acct]], config_BS[Acct], config_BS[Lv1],,0)</f>
        <v>Assets</v>
      </c>
      <c r="M1015" t="str">
        <f>_xlfn.XLOOKUP(Jnl[[#This Row],[Acct]], config_BS[Acct], config_BS[Lv2],,0)</f>
        <v>Prep-Sub</v>
      </c>
      <c r="N1015" t="str">
        <f>_xlfn.XLOOKUP(Jnl[[#This Row],[TrxId]], Trx[Id], Trx[IncNode], ,0)</f>
        <v>Cost</v>
      </c>
      <c r="O1015" t="str">
        <f>_xlfn.XLOOKUP(Jnl[[#This Row],[IncNode]], config_IS[Node], config_IS[Type],,0)</f>
        <v>Op</v>
      </c>
      <c r="P1015" t="str">
        <f>_xlfn.XLOOKUP(Jnl[[#This Row],[BSLv2]], dict[Key], dict[Name],,0)</f>
        <v>2.预付-订阅</v>
      </c>
      <c r="Q1015" t="str">
        <f>_xlfn.XLOOKUP(Jnl[[#This Row],[Acct]], dict[Key], dict[Name],,0)</f>
        <v>预付订单</v>
      </c>
      <c r="R1015" t="str">
        <f>_xlfn.XLOOKUP(Jnl[[#This Row],[Vehicle]],config_vehicle[Id], config_vehicle[Name],,0)</f>
        <v>米小易</v>
      </c>
      <c r="S1015" t="str">
        <f>_xlfn.XLOOKUP(Jnl[[#This Row],[Division]],config_div[Id], config_div[Name],,0)</f>
        <v>水街店</v>
      </c>
      <c r="T1015" t="str">
        <f>IF(Jnl[[#This Row],[TrxDate]]&lt;=stmt_BS_date_end, "In", "Out")</f>
        <v>In</v>
      </c>
      <c r="U1015" t="str">
        <f>IF(Jnl[[#This Row],[TrxDate]]&lt;debug_date_start, "prior", IF(Jnl[[#This Row],[TrxDate]]&gt;debug_date_end, "post", "curr"))</f>
        <v>curr</v>
      </c>
    </row>
    <row r="1016" spans="1:21">
      <c r="A1016" s="11" t="s">
        <v>1487</v>
      </c>
      <c r="B1016" s="7">
        <f>_xlfn.XLOOKUP(Jnl[[#This Row],[TrxId]], Trx[Id], Trx[Date],,0)</f>
        <v>46081</v>
      </c>
      <c r="C1016" s="7" t="str">
        <f>_xlfn.XLOOKUP(Jnl[[#This Row],[TrxId]], Trx[Id], Trx[Division],,0)</f>
        <v>Shuijie</v>
      </c>
      <c r="D1016" s="7" t="str">
        <f>_xlfn.XLOOKUP(Jnl[[#This Row],[TrxId]], Trx[Id], Trx[Action],,0)</f>
        <v>支付</v>
      </c>
      <c r="E1016" s="26" t="s">
        <v>82</v>
      </c>
      <c r="F1016" s="11" t="s">
        <v>590</v>
      </c>
      <c r="G1016" s="11" t="s">
        <v>592</v>
      </c>
      <c r="H1016" s="72">
        <v>-14700</v>
      </c>
      <c r="I1016" s="5" t="b">
        <f>AND(Jnl[[#This Row],[TrxId]]&lt;&gt;"",Jnl[[#This Row],[Acct]]&lt;&gt;"",Jnl[[#This Row],[Item]]&lt;&gt;"",ISNUMBER(Jnl[[#This Row],[Bal]]))</f>
        <v>1</v>
      </c>
      <c r="J1016" s="10">
        <f>IF(Jnl[[#This Row],[BSLv0]]="A",1,-1)*Jnl[[#This Row],[Bal]]</f>
        <v>-14700</v>
      </c>
      <c r="K1016" t="str">
        <f>_xlfn.XLOOKUP(Jnl[[#This Row],[Acct]], config_BS[Acct], config_BS[Lv0],,0)</f>
        <v>A</v>
      </c>
      <c r="L1016" t="str">
        <f>_xlfn.XLOOKUP(Jnl[[#This Row],[Acct]], config_BS[Acct], config_BS[Lv1],,0)</f>
        <v>Assets</v>
      </c>
      <c r="M1016" t="str">
        <f>_xlfn.XLOOKUP(Jnl[[#This Row],[Acct]], config_BS[Acct], config_BS[Lv2],,0)</f>
        <v>Cash alike</v>
      </c>
      <c r="N1016" t="str">
        <f>_xlfn.XLOOKUP(Jnl[[#This Row],[TrxId]], Trx[Id], Trx[IncNode], ,0)</f>
        <v>Cost</v>
      </c>
      <c r="O1016" t="str">
        <f>_xlfn.XLOOKUP(Jnl[[#This Row],[IncNode]], config_IS[Node], config_IS[Type],,0)</f>
        <v>Op</v>
      </c>
      <c r="P1016" t="str">
        <f>_xlfn.XLOOKUP(Jnl[[#This Row],[BSLv2]], dict[Key], dict[Name],,0)</f>
        <v>0.现金及类似</v>
      </c>
      <c r="Q1016" t="str">
        <f>_xlfn.XLOOKUP(Jnl[[#This Row],[Acct]], dict[Key], dict[Name],,0)</f>
        <v>银行</v>
      </c>
      <c r="R1016" t="str">
        <f>_xlfn.XLOOKUP(Jnl[[#This Row],[Vehicle]],config_vehicle[Id], config_vehicle[Name],,0)</f>
        <v>米小易</v>
      </c>
      <c r="S1016" t="str">
        <f>_xlfn.XLOOKUP(Jnl[[#This Row],[Division]],config_div[Id], config_div[Name],,0)</f>
        <v>水街店</v>
      </c>
      <c r="T1016" t="str">
        <f>IF(Jnl[[#This Row],[TrxDate]]&lt;=stmt_BS_date_end, "In", "Out")</f>
        <v>In</v>
      </c>
      <c r="U1016" t="str">
        <f>IF(Jnl[[#This Row],[TrxDate]]&lt;debug_date_start, "prior", IF(Jnl[[#This Row],[TrxDate]]&gt;debug_date_end, "post", "curr"))</f>
        <v>curr</v>
      </c>
    </row>
    <row r="1017" spans="1:21">
      <c r="A1017" s="11" t="s">
        <v>1487</v>
      </c>
      <c r="B1017" s="7">
        <f>_xlfn.XLOOKUP(Jnl[[#This Row],[TrxId]], Trx[Id], Trx[Date],,0)</f>
        <v>46081</v>
      </c>
      <c r="C1017" s="7" t="str">
        <f>_xlfn.XLOOKUP(Jnl[[#This Row],[TrxId]], Trx[Id], Trx[Division],,0)</f>
        <v>Shuijie</v>
      </c>
      <c r="D1017" s="7" t="str">
        <f>_xlfn.XLOOKUP(Jnl[[#This Row],[TrxId]], Trx[Id], Trx[Action],,0)</f>
        <v>支付</v>
      </c>
      <c r="E1017" s="26" t="s">
        <v>82</v>
      </c>
      <c r="F1017" s="11" t="s">
        <v>493</v>
      </c>
      <c r="G1017" s="11" t="s">
        <v>428</v>
      </c>
      <c r="H1017" s="72">
        <f>-H1016</f>
        <v>14700</v>
      </c>
      <c r="I1017" s="5" t="b">
        <f>AND(Jnl[[#This Row],[TrxId]]&lt;&gt;"",Jnl[[#This Row],[Acct]]&lt;&gt;"",Jnl[[#This Row],[Item]]&lt;&gt;"",ISNUMBER(Jnl[[#This Row],[Bal]]))</f>
        <v>1</v>
      </c>
      <c r="J1017" s="10">
        <f>IF(Jnl[[#This Row],[BSLv0]]="A",1,-1)*Jnl[[#This Row],[Bal]]</f>
        <v>14700</v>
      </c>
      <c r="K1017" t="str">
        <f>_xlfn.XLOOKUP(Jnl[[#This Row],[Acct]], config_BS[Acct], config_BS[Lv0],,0)</f>
        <v>A</v>
      </c>
      <c r="L1017" t="str">
        <f>_xlfn.XLOOKUP(Jnl[[#This Row],[Acct]], config_BS[Acct], config_BS[Lv1],,0)</f>
        <v>Assets</v>
      </c>
      <c r="M1017" t="str">
        <f>_xlfn.XLOOKUP(Jnl[[#This Row],[Acct]], config_BS[Acct], config_BS[Lv2],,0)</f>
        <v>Prep-Sub</v>
      </c>
      <c r="N1017" t="str">
        <f>_xlfn.XLOOKUP(Jnl[[#This Row],[TrxId]], Trx[Id], Trx[IncNode], ,0)</f>
        <v>Cost</v>
      </c>
      <c r="O1017" t="str">
        <f>_xlfn.XLOOKUP(Jnl[[#This Row],[IncNode]], config_IS[Node], config_IS[Type],,0)</f>
        <v>Op</v>
      </c>
      <c r="P1017" t="str">
        <f>_xlfn.XLOOKUP(Jnl[[#This Row],[BSLv2]], dict[Key], dict[Name],,0)</f>
        <v>2.预付-订阅</v>
      </c>
      <c r="Q1017" t="str">
        <f>_xlfn.XLOOKUP(Jnl[[#This Row],[Acct]], dict[Key], dict[Name],,0)</f>
        <v>预付订单</v>
      </c>
      <c r="R1017" t="str">
        <f>_xlfn.XLOOKUP(Jnl[[#This Row],[Vehicle]],config_vehicle[Id], config_vehicle[Name],,0)</f>
        <v>米小易</v>
      </c>
      <c r="S1017" t="str">
        <f>_xlfn.XLOOKUP(Jnl[[#This Row],[Division]],config_div[Id], config_div[Name],,0)</f>
        <v>水街店</v>
      </c>
      <c r="T1017" t="str">
        <f>IF(Jnl[[#This Row],[TrxDate]]&lt;=stmt_BS_date_end, "In", "Out")</f>
        <v>In</v>
      </c>
      <c r="U1017" t="str">
        <f>IF(Jnl[[#This Row],[TrxDate]]&lt;debug_date_start, "prior", IF(Jnl[[#This Row],[TrxDate]]&gt;debug_date_end, "post", "curr"))</f>
        <v>curr</v>
      </c>
    </row>
    <row r="1018" spans="1:21">
      <c r="A1018" s="11" t="s">
        <v>1489</v>
      </c>
      <c r="B1018" s="7">
        <f>_xlfn.XLOOKUP(Jnl[[#This Row],[TrxId]], Trx[Id], Trx[Date],,0)</f>
        <v>46081</v>
      </c>
      <c r="C1018" s="7" t="str">
        <f>_xlfn.XLOOKUP(Jnl[[#This Row],[TrxId]], Trx[Id], Trx[Division],,0)</f>
        <v>Shuijie</v>
      </c>
      <c r="D1018" s="7" t="str">
        <f>_xlfn.XLOOKUP(Jnl[[#This Row],[TrxId]], Trx[Id], Trx[Action],,0)</f>
        <v>食材</v>
      </c>
      <c r="E1018" s="26" t="s">
        <v>82</v>
      </c>
      <c r="F1018" s="11" t="s">
        <v>590</v>
      </c>
      <c r="G1018" s="11" t="s">
        <v>592</v>
      </c>
      <c r="H1018" s="72">
        <v>-4646</v>
      </c>
      <c r="I1018" s="5" t="b">
        <f>AND(Jnl[[#This Row],[TrxId]]&lt;&gt;"",Jnl[[#This Row],[Acct]]&lt;&gt;"",Jnl[[#This Row],[Item]]&lt;&gt;"",ISNUMBER(Jnl[[#This Row],[Bal]]))</f>
        <v>1</v>
      </c>
      <c r="J1018" s="10">
        <f>IF(Jnl[[#This Row],[BSLv0]]="A",1,-1)*Jnl[[#This Row],[Bal]]</f>
        <v>-4646</v>
      </c>
      <c r="K1018" t="str">
        <f>_xlfn.XLOOKUP(Jnl[[#This Row],[Acct]], config_BS[Acct], config_BS[Lv0],,0)</f>
        <v>A</v>
      </c>
      <c r="L1018" t="str">
        <f>_xlfn.XLOOKUP(Jnl[[#This Row],[Acct]], config_BS[Acct], config_BS[Lv1],,0)</f>
        <v>Assets</v>
      </c>
      <c r="M1018" t="str">
        <f>_xlfn.XLOOKUP(Jnl[[#This Row],[Acct]], config_BS[Acct], config_BS[Lv2],,0)</f>
        <v>Cash alike</v>
      </c>
      <c r="N1018" t="str">
        <f>_xlfn.XLOOKUP(Jnl[[#This Row],[TrxId]], Trx[Id], Trx[IncNode], ,0)</f>
        <v>Cost</v>
      </c>
      <c r="O1018" t="str">
        <f>_xlfn.XLOOKUP(Jnl[[#This Row],[IncNode]], config_IS[Node], config_IS[Type],,0)</f>
        <v>Op</v>
      </c>
      <c r="P1018" t="str">
        <f>_xlfn.XLOOKUP(Jnl[[#This Row],[BSLv2]], dict[Key], dict[Name],,0)</f>
        <v>0.现金及类似</v>
      </c>
      <c r="Q1018" t="str">
        <f>_xlfn.XLOOKUP(Jnl[[#This Row],[Acct]], dict[Key], dict[Name],,0)</f>
        <v>银行</v>
      </c>
      <c r="R1018" t="str">
        <f>_xlfn.XLOOKUP(Jnl[[#This Row],[Vehicle]],config_vehicle[Id], config_vehicle[Name],,0)</f>
        <v>米小易</v>
      </c>
      <c r="S1018" t="str">
        <f>_xlfn.XLOOKUP(Jnl[[#This Row],[Division]],config_div[Id], config_div[Name],,0)</f>
        <v>水街店</v>
      </c>
      <c r="T1018" t="str">
        <f>IF(Jnl[[#This Row],[TrxDate]]&lt;=stmt_BS_date_end, "In", "Out")</f>
        <v>In</v>
      </c>
      <c r="U1018" t="str">
        <f>IF(Jnl[[#This Row],[TrxDate]]&lt;debug_date_start, "prior", IF(Jnl[[#This Row],[TrxDate]]&gt;debug_date_end, "post", "curr"))</f>
        <v>curr</v>
      </c>
    </row>
    <row r="1019" spans="1:21">
      <c r="A1019" s="11" t="s">
        <v>1490</v>
      </c>
      <c r="B1019" s="7">
        <f>_xlfn.XLOOKUP(Jnl[[#This Row],[TrxId]], Trx[Id], Trx[Date],,0)</f>
        <v>46081</v>
      </c>
      <c r="C1019" s="7" t="str">
        <f>_xlfn.XLOOKUP(Jnl[[#This Row],[TrxId]], Trx[Id], Trx[Division],,0)</f>
        <v>Shuijie</v>
      </c>
      <c r="D1019" s="7" t="str">
        <f>_xlfn.XLOOKUP(Jnl[[#This Row],[TrxId]], Trx[Id], Trx[Action],,0)</f>
        <v>食材</v>
      </c>
      <c r="E1019" s="26" t="s">
        <v>82</v>
      </c>
      <c r="F1019" s="11" t="s">
        <v>590</v>
      </c>
      <c r="G1019" s="11" t="s">
        <v>592</v>
      </c>
      <c r="H1019" s="72">
        <v>-3450</v>
      </c>
      <c r="I1019" s="5" t="b">
        <f>AND(Jnl[[#This Row],[TrxId]]&lt;&gt;"",Jnl[[#This Row],[Acct]]&lt;&gt;"",Jnl[[#This Row],[Item]]&lt;&gt;"",ISNUMBER(Jnl[[#This Row],[Bal]]))</f>
        <v>1</v>
      </c>
      <c r="J1019" s="10">
        <f>IF(Jnl[[#This Row],[BSLv0]]="A",1,-1)*Jnl[[#This Row],[Bal]]</f>
        <v>-3450</v>
      </c>
      <c r="K1019" t="str">
        <f>_xlfn.XLOOKUP(Jnl[[#This Row],[Acct]], config_BS[Acct], config_BS[Lv0],,0)</f>
        <v>A</v>
      </c>
      <c r="L1019" t="str">
        <f>_xlfn.XLOOKUP(Jnl[[#This Row],[Acct]], config_BS[Acct], config_BS[Lv1],,0)</f>
        <v>Assets</v>
      </c>
      <c r="M1019" t="str">
        <f>_xlfn.XLOOKUP(Jnl[[#This Row],[Acct]], config_BS[Acct], config_BS[Lv2],,0)</f>
        <v>Cash alike</v>
      </c>
      <c r="N1019" t="str">
        <f>_xlfn.XLOOKUP(Jnl[[#This Row],[TrxId]], Trx[Id], Trx[IncNode], ,0)</f>
        <v>Cost</v>
      </c>
      <c r="O1019" t="str">
        <f>_xlfn.XLOOKUP(Jnl[[#This Row],[IncNode]], config_IS[Node], config_IS[Type],,0)</f>
        <v>Op</v>
      </c>
      <c r="P1019" t="str">
        <f>_xlfn.XLOOKUP(Jnl[[#This Row],[BSLv2]], dict[Key], dict[Name],,0)</f>
        <v>0.现金及类似</v>
      </c>
      <c r="Q1019" t="str">
        <f>_xlfn.XLOOKUP(Jnl[[#This Row],[Acct]], dict[Key], dict[Name],,0)</f>
        <v>银行</v>
      </c>
      <c r="R1019" t="str">
        <f>_xlfn.XLOOKUP(Jnl[[#This Row],[Vehicle]],config_vehicle[Id], config_vehicle[Name],,0)</f>
        <v>米小易</v>
      </c>
      <c r="S1019" t="str">
        <f>_xlfn.XLOOKUP(Jnl[[#This Row],[Division]],config_div[Id], config_div[Name],,0)</f>
        <v>水街店</v>
      </c>
      <c r="T1019" t="str">
        <f>IF(Jnl[[#This Row],[TrxDate]]&lt;=stmt_BS_date_end, "In", "Out")</f>
        <v>In</v>
      </c>
      <c r="U1019" t="str">
        <f>IF(Jnl[[#This Row],[TrxDate]]&lt;debug_date_start, "prior", IF(Jnl[[#This Row],[TrxDate]]&gt;debug_date_end, "post", "curr"))</f>
        <v>curr</v>
      </c>
    </row>
    <row r="1020" spans="1:21">
      <c r="A1020" s="11" t="s">
        <v>1491</v>
      </c>
      <c r="B1020" s="7">
        <f>_xlfn.XLOOKUP(Jnl[[#This Row],[TrxId]], Trx[Id], Trx[Date],,0)</f>
        <v>46081</v>
      </c>
      <c r="C1020" s="7" t="str">
        <f>_xlfn.XLOOKUP(Jnl[[#This Row],[TrxId]], Trx[Id], Trx[Division],,0)</f>
        <v>Shuijie</v>
      </c>
      <c r="D1020" s="7" t="str">
        <f>_xlfn.XLOOKUP(Jnl[[#This Row],[TrxId]], Trx[Id], Trx[Action],,0)</f>
        <v>支付</v>
      </c>
      <c r="E1020" s="26" t="s">
        <v>82</v>
      </c>
      <c r="F1020" s="11" t="s">
        <v>590</v>
      </c>
      <c r="G1020" s="11" t="s">
        <v>592</v>
      </c>
      <c r="H1020" s="72">
        <v>-488</v>
      </c>
      <c r="I1020" s="5" t="b">
        <f>AND(Jnl[[#This Row],[TrxId]]&lt;&gt;"",Jnl[[#This Row],[Acct]]&lt;&gt;"",Jnl[[#This Row],[Item]]&lt;&gt;"",ISNUMBER(Jnl[[#This Row],[Bal]]))</f>
        <v>1</v>
      </c>
      <c r="J1020" s="10">
        <f>IF(Jnl[[#This Row],[BSLv0]]="A",1,-1)*Jnl[[#This Row],[Bal]]</f>
        <v>-488</v>
      </c>
      <c r="K1020" t="str">
        <f>_xlfn.XLOOKUP(Jnl[[#This Row],[Acct]], config_BS[Acct], config_BS[Lv0],,0)</f>
        <v>A</v>
      </c>
      <c r="L1020" t="str">
        <f>_xlfn.XLOOKUP(Jnl[[#This Row],[Acct]], config_BS[Acct], config_BS[Lv1],,0)</f>
        <v>Assets</v>
      </c>
      <c r="M1020" t="str">
        <f>_xlfn.XLOOKUP(Jnl[[#This Row],[Acct]], config_BS[Acct], config_BS[Lv2],,0)</f>
        <v>Cash alike</v>
      </c>
      <c r="N1020" t="str">
        <f>_xlfn.XLOOKUP(Jnl[[#This Row],[TrxId]], Trx[Id], Trx[IncNode], ,0)</f>
        <v>Cost</v>
      </c>
      <c r="O1020" t="str">
        <f>_xlfn.XLOOKUP(Jnl[[#This Row],[IncNode]], config_IS[Node], config_IS[Type],,0)</f>
        <v>Op</v>
      </c>
      <c r="P1020" t="str">
        <f>_xlfn.XLOOKUP(Jnl[[#This Row],[BSLv2]], dict[Key], dict[Name],,0)</f>
        <v>0.现金及类似</v>
      </c>
      <c r="Q1020" t="str">
        <f>_xlfn.XLOOKUP(Jnl[[#This Row],[Acct]], dict[Key], dict[Name],,0)</f>
        <v>银行</v>
      </c>
      <c r="R1020" t="str">
        <f>_xlfn.XLOOKUP(Jnl[[#This Row],[Vehicle]],config_vehicle[Id], config_vehicle[Name],,0)</f>
        <v>米小易</v>
      </c>
      <c r="S1020" t="str">
        <f>_xlfn.XLOOKUP(Jnl[[#This Row],[Division]],config_div[Id], config_div[Name],,0)</f>
        <v>水街店</v>
      </c>
      <c r="T1020" t="str">
        <f>IF(Jnl[[#This Row],[TrxDate]]&lt;=stmt_BS_date_end, "In", "Out")</f>
        <v>In</v>
      </c>
      <c r="U1020" t="str">
        <f>IF(Jnl[[#This Row],[TrxDate]]&lt;debug_date_start, "prior", IF(Jnl[[#This Row],[TrxDate]]&gt;debug_date_end, "post", "curr"))</f>
        <v>curr</v>
      </c>
    </row>
    <row r="1021" spans="1:21">
      <c r="A1021" s="11" t="s">
        <v>1491</v>
      </c>
      <c r="B1021" s="7">
        <f>_xlfn.XLOOKUP(Jnl[[#This Row],[TrxId]], Trx[Id], Trx[Date],,0)</f>
        <v>46081</v>
      </c>
      <c r="C1021" s="7" t="str">
        <f>_xlfn.XLOOKUP(Jnl[[#This Row],[TrxId]], Trx[Id], Trx[Division],,0)</f>
        <v>Shuijie</v>
      </c>
      <c r="D1021" s="7" t="str">
        <f>_xlfn.XLOOKUP(Jnl[[#This Row],[TrxId]], Trx[Id], Trx[Action],,0)</f>
        <v>支付</v>
      </c>
      <c r="E1021" s="26" t="s">
        <v>82</v>
      </c>
      <c r="F1021" s="11" t="s">
        <v>493</v>
      </c>
      <c r="G1021" s="11" t="s">
        <v>428</v>
      </c>
      <c r="H1021" s="72">
        <v>488</v>
      </c>
      <c r="I1021" s="5" t="b">
        <f>AND(Jnl[[#This Row],[TrxId]]&lt;&gt;"",Jnl[[#This Row],[Acct]]&lt;&gt;"",Jnl[[#This Row],[Item]]&lt;&gt;"",ISNUMBER(Jnl[[#This Row],[Bal]]))</f>
        <v>1</v>
      </c>
      <c r="J1021" s="10">
        <f>IF(Jnl[[#This Row],[BSLv0]]="A",1,-1)*Jnl[[#This Row],[Bal]]</f>
        <v>488</v>
      </c>
      <c r="K1021" t="str">
        <f>_xlfn.XLOOKUP(Jnl[[#This Row],[Acct]], config_BS[Acct], config_BS[Lv0],,0)</f>
        <v>A</v>
      </c>
      <c r="L1021" t="str">
        <f>_xlfn.XLOOKUP(Jnl[[#This Row],[Acct]], config_BS[Acct], config_BS[Lv1],,0)</f>
        <v>Assets</v>
      </c>
      <c r="M1021" t="str">
        <f>_xlfn.XLOOKUP(Jnl[[#This Row],[Acct]], config_BS[Acct], config_BS[Lv2],,0)</f>
        <v>Prep-Sub</v>
      </c>
      <c r="N1021" t="str">
        <f>_xlfn.XLOOKUP(Jnl[[#This Row],[TrxId]], Trx[Id], Trx[IncNode], ,0)</f>
        <v>Cost</v>
      </c>
      <c r="O1021" t="str">
        <f>_xlfn.XLOOKUP(Jnl[[#This Row],[IncNode]], config_IS[Node], config_IS[Type],,0)</f>
        <v>Op</v>
      </c>
      <c r="P1021" t="str">
        <f>_xlfn.XLOOKUP(Jnl[[#This Row],[BSLv2]], dict[Key], dict[Name],,0)</f>
        <v>2.预付-订阅</v>
      </c>
      <c r="Q1021" t="str">
        <f>_xlfn.XLOOKUP(Jnl[[#This Row],[Acct]], dict[Key], dict[Name],,0)</f>
        <v>预付订单</v>
      </c>
      <c r="R1021" t="str">
        <f>_xlfn.XLOOKUP(Jnl[[#This Row],[Vehicle]],config_vehicle[Id], config_vehicle[Name],,0)</f>
        <v>米小易</v>
      </c>
      <c r="S1021" t="str">
        <f>_xlfn.XLOOKUP(Jnl[[#This Row],[Division]],config_div[Id], config_div[Name],,0)</f>
        <v>水街店</v>
      </c>
      <c r="T1021" t="str">
        <f>IF(Jnl[[#This Row],[TrxDate]]&lt;=stmt_BS_date_end, "In", "Out")</f>
        <v>In</v>
      </c>
      <c r="U1021" t="str">
        <f>IF(Jnl[[#This Row],[TrxDate]]&lt;debug_date_start, "prior", IF(Jnl[[#This Row],[TrxDate]]&gt;debug_date_end, "post", "curr"))</f>
        <v>curr</v>
      </c>
    </row>
    <row r="1022" spans="1:21">
      <c r="A1022" s="11" t="s">
        <v>1493</v>
      </c>
      <c r="B1022" s="7">
        <f>_xlfn.XLOOKUP(Jnl[[#This Row],[TrxId]], Trx[Id], Trx[Date],,0)</f>
        <v>46081</v>
      </c>
      <c r="C1022" s="7" t="str">
        <f>_xlfn.XLOOKUP(Jnl[[#This Row],[TrxId]], Trx[Id], Trx[Division],,0)</f>
        <v>Shuijie</v>
      </c>
      <c r="D1022" s="7" t="str">
        <f>_xlfn.XLOOKUP(Jnl[[#This Row],[TrxId]], Trx[Id], Trx[Action],,0)</f>
        <v>临时人力</v>
      </c>
      <c r="E1022" s="26" t="s">
        <v>82</v>
      </c>
      <c r="F1022" s="11" t="s">
        <v>590</v>
      </c>
      <c r="G1022" s="11" t="s">
        <v>592</v>
      </c>
      <c r="H1022" s="72">
        <f>-6138</f>
        <v>-6138</v>
      </c>
      <c r="I1022" s="5" t="b">
        <f>AND(Jnl[[#This Row],[TrxId]]&lt;&gt;"",Jnl[[#This Row],[Acct]]&lt;&gt;"",Jnl[[#This Row],[Item]]&lt;&gt;"",ISNUMBER(Jnl[[#This Row],[Bal]]))</f>
        <v>1</v>
      </c>
      <c r="J1022" s="10">
        <f>IF(Jnl[[#This Row],[BSLv0]]="A",1,-1)*Jnl[[#This Row],[Bal]]</f>
        <v>-6138</v>
      </c>
      <c r="K1022" t="str">
        <f>_xlfn.XLOOKUP(Jnl[[#This Row],[Acct]], config_BS[Acct], config_BS[Lv0],,0)</f>
        <v>A</v>
      </c>
      <c r="L1022" t="str">
        <f>_xlfn.XLOOKUP(Jnl[[#This Row],[Acct]], config_BS[Acct], config_BS[Lv1],,0)</f>
        <v>Assets</v>
      </c>
      <c r="M1022" t="str">
        <f>_xlfn.XLOOKUP(Jnl[[#This Row],[Acct]], config_BS[Acct], config_BS[Lv2],,0)</f>
        <v>Cash alike</v>
      </c>
      <c r="N1022" t="str">
        <f>_xlfn.XLOOKUP(Jnl[[#This Row],[TrxId]], Trx[Id], Trx[IncNode], ,0)</f>
        <v>Expense</v>
      </c>
      <c r="O1022" t="str">
        <f>_xlfn.XLOOKUP(Jnl[[#This Row],[IncNode]], config_IS[Node], config_IS[Type],,0)</f>
        <v>Op</v>
      </c>
      <c r="P1022" t="str">
        <f>_xlfn.XLOOKUP(Jnl[[#This Row],[BSLv2]], dict[Key], dict[Name],,0)</f>
        <v>0.现金及类似</v>
      </c>
      <c r="Q1022" t="str">
        <f>_xlfn.XLOOKUP(Jnl[[#This Row],[Acct]], dict[Key], dict[Name],,0)</f>
        <v>银行</v>
      </c>
      <c r="R1022" t="str">
        <f>_xlfn.XLOOKUP(Jnl[[#This Row],[Vehicle]],config_vehicle[Id], config_vehicle[Name],,0)</f>
        <v>米小易</v>
      </c>
      <c r="S1022" t="str">
        <f>_xlfn.XLOOKUP(Jnl[[#This Row],[Division]],config_div[Id], config_div[Name],,0)</f>
        <v>水街店</v>
      </c>
      <c r="T1022" t="str">
        <f>IF(Jnl[[#This Row],[TrxDate]]&lt;=stmt_BS_date_end, "In", "Out")</f>
        <v>In</v>
      </c>
      <c r="U1022" t="str">
        <f>IF(Jnl[[#This Row],[TrxDate]]&lt;debug_date_start, "prior", IF(Jnl[[#This Row],[TrxDate]]&gt;debug_date_end, "post", "curr"))</f>
        <v>curr</v>
      </c>
    </row>
    <row r="1023" spans="1:21">
      <c r="A1023" s="11" t="s">
        <v>1495</v>
      </c>
      <c r="B1023" s="7">
        <f>_xlfn.XLOOKUP(Jnl[[#This Row],[TrxId]], Trx[Id], Trx[Date],,0)</f>
        <v>46081</v>
      </c>
      <c r="C1023" s="7" t="str">
        <f>_xlfn.XLOOKUP(Jnl[[#This Row],[TrxId]], Trx[Id], Trx[Division],,0)</f>
        <v>Shuijie</v>
      </c>
      <c r="D1023" s="7" t="str">
        <f>_xlfn.XLOOKUP(Jnl[[#This Row],[TrxId]], Trx[Id], Trx[Action],,0)</f>
        <v>支付</v>
      </c>
      <c r="E1023" s="26" t="s">
        <v>82</v>
      </c>
      <c r="F1023" s="11" t="s">
        <v>493</v>
      </c>
      <c r="G1023" s="11" t="s">
        <v>428</v>
      </c>
      <c r="H1023" s="72">
        <v>3381.5</v>
      </c>
      <c r="I1023" s="5" t="b">
        <f>AND(Jnl[[#This Row],[TrxId]]&lt;&gt;"",Jnl[[#This Row],[Acct]]&lt;&gt;"",Jnl[[#This Row],[Item]]&lt;&gt;"",ISNUMBER(Jnl[[#This Row],[Bal]]))</f>
        <v>1</v>
      </c>
      <c r="J1023" s="10">
        <f>IF(Jnl[[#This Row],[BSLv0]]="A",1,-1)*Jnl[[#This Row],[Bal]]</f>
        <v>3381.5</v>
      </c>
      <c r="K1023" t="str">
        <f>_xlfn.XLOOKUP(Jnl[[#This Row],[Acct]], config_BS[Acct], config_BS[Lv0],,0)</f>
        <v>A</v>
      </c>
      <c r="L1023" t="str">
        <f>_xlfn.XLOOKUP(Jnl[[#This Row],[Acct]], config_BS[Acct], config_BS[Lv1],,0)</f>
        <v>Assets</v>
      </c>
      <c r="M1023" t="str">
        <f>_xlfn.XLOOKUP(Jnl[[#This Row],[Acct]], config_BS[Acct], config_BS[Lv2],,0)</f>
        <v>Prep-Sub</v>
      </c>
      <c r="N1023" t="str">
        <f>_xlfn.XLOOKUP(Jnl[[#This Row],[TrxId]], Trx[Id], Trx[IncNode], ,0)</f>
        <v>Cost</v>
      </c>
      <c r="O1023" t="str">
        <f>_xlfn.XLOOKUP(Jnl[[#This Row],[IncNode]], config_IS[Node], config_IS[Type],,0)</f>
        <v>Op</v>
      </c>
      <c r="P1023" t="str">
        <f>_xlfn.XLOOKUP(Jnl[[#This Row],[BSLv2]], dict[Key], dict[Name],,0)</f>
        <v>2.预付-订阅</v>
      </c>
      <c r="Q1023" t="str">
        <f>_xlfn.XLOOKUP(Jnl[[#This Row],[Acct]], dict[Key], dict[Name],,0)</f>
        <v>预付订单</v>
      </c>
      <c r="R1023" t="str">
        <f>_xlfn.XLOOKUP(Jnl[[#This Row],[Vehicle]],config_vehicle[Id], config_vehicle[Name],,0)</f>
        <v>米小易</v>
      </c>
      <c r="S1023" t="str">
        <f>_xlfn.XLOOKUP(Jnl[[#This Row],[Division]],config_div[Id], config_div[Name],,0)</f>
        <v>水街店</v>
      </c>
      <c r="T1023" t="str">
        <f>IF(Jnl[[#This Row],[TrxDate]]&lt;=stmt_BS_date_end, "In", "Out")</f>
        <v>In</v>
      </c>
      <c r="U1023" t="str">
        <f>IF(Jnl[[#This Row],[TrxDate]]&lt;debug_date_start, "prior", IF(Jnl[[#This Row],[TrxDate]]&gt;debug_date_end, "post", "curr"))</f>
        <v>curr</v>
      </c>
    </row>
    <row r="1024" spans="1:21">
      <c r="A1024" s="11" t="s">
        <v>1495</v>
      </c>
      <c r="B1024" s="7">
        <f>_xlfn.XLOOKUP(Jnl[[#This Row],[TrxId]], Trx[Id], Trx[Date],,0)</f>
        <v>46081</v>
      </c>
      <c r="C1024" s="7" t="str">
        <f>_xlfn.XLOOKUP(Jnl[[#This Row],[TrxId]], Trx[Id], Trx[Division],,0)</f>
        <v>Shuijie</v>
      </c>
      <c r="D1024" s="7" t="str">
        <f>_xlfn.XLOOKUP(Jnl[[#This Row],[TrxId]], Trx[Id], Trx[Action],,0)</f>
        <v>支付</v>
      </c>
      <c r="E1024" s="26" t="s">
        <v>82</v>
      </c>
      <c r="F1024" s="11" t="s">
        <v>590</v>
      </c>
      <c r="G1024" s="11" t="s">
        <v>592</v>
      </c>
      <c r="H1024" s="72">
        <v>-3381.5</v>
      </c>
      <c r="I1024" s="5" t="b">
        <f>AND(Jnl[[#This Row],[TrxId]]&lt;&gt;"",Jnl[[#This Row],[Acct]]&lt;&gt;"",Jnl[[#This Row],[Item]]&lt;&gt;"",ISNUMBER(Jnl[[#This Row],[Bal]]))</f>
        <v>1</v>
      </c>
      <c r="J1024" s="10">
        <f>IF(Jnl[[#This Row],[BSLv0]]="A",1,-1)*Jnl[[#This Row],[Bal]]</f>
        <v>-3381.5</v>
      </c>
      <c r="K1024" t="str">
        <f>_xlfn.XLOOKUP(Jnl[[#This Row],[Acct]], config_BS[Acct], config_BS[Lv0],,0)</f>
        <v>A</v>
      </c>
      <c r="L1024" t="str">
        <f>_xlfn.XLOOKUP(Jnl[[#This Row],[Acct]], config_BS[Acct], config_BS[Lv1],,0)</f>
        <v>Assets</v>
      </c>
      <c r="M1024" t="str">
        <f>_xlfn.XLOOKUP(Jnl[[#This Row],[Acct]], config_BS[Acct], config_BS[Lv2],,0)</f>
        <v>Cash alike</v>
      </c>
      <c r="N1024" t="str">
        <f>_xlfn.XLOOKUP(Jnl[[#This Row],[TrxId]], Trx[Id], Trx[IncNode], ,0)</f>
        <v>Cost</v>
      </c>
      <c r="O1024" t="str">
        <f>_xlfn.XLOOKUP(Jnl[[#This Row],[IncNode]], config_IS[Node], config_IS[Type],,0)</f>
        <v>Op</v>
      </c>
      <c r="P1024" t="str">
        <f>_xlfn.XLOOKUP(Jnl[[#This Row],[BSLv2]], dict[Key], dict[Name],,0)</f>
        <v>0.现金及类似</v>
      </c>
      <c r="Q1024" t="str">
        <f>_xlfn.XLOOKUP(Jnl[[#This Row],[Acct]], dict[Key], dict[Name],,0)</f>
        <v>银行</v>
      </c>
      <c r="R1024" t="str">
        <f>_xlfn.XLOOKUP(Jnl[[#This Row],[Vehicle]],config_vehicle[Id], config_vehicle[Name],,0)</f>
        <v>米小易</v>
      </c>
      <c r="S1024" t="str">
        <f>_xlfn.XLOOKUP(Jnl[[#This Row],[Division]],config_div[Id], config_div[Name],,0)</f>
        <v>水街店</v>
      </c>
      <c r="T1024" t="str">
        <f>IF(Jnl[[#This Row],[TrxDate]]&lt;=stmt_BS_date_end, "In", "Out")</f>
        <v>In</v>
      </c>
      <c r="U1024" t="str">
        <f>IF(Jnl[[#This Row],[TrxDate]]&lt;debug_date_start, "prior", IF(Jnl[[#This Row],[TrxDate]]&gt;debug_date_end, "post", "curr"))</f>
        <v>curr</v>
      </c>
    </row>
    <row r="1025" spans="1:21">
      <c r="A1025" s="11" t="s">
        <v>1496</v>
      </c>
      <c r="B1025" s="7">
        <f>_xlfn.XLOOKUP(Jnl[[#This Row],[TrxId]], Trx[Id], Trx[Date],,0)</f>
        <v>46081</v>
      </c>
      <c r="C1025" s="7" t="str">
        <f>_xlfn.XLOOKUP(Jnl[[#This Row],[TrxId]], Trx[Id], Trx[Division],,0)</f>
        <v>Shuijie</v>
      </c>
      <c r="D1025" s="7" t="str">
        <f>_xlfn.XLOOKUP(Jnl[[#This Row],[TrxId]], Trx[Id], Trx[Action],,0)</f>
        <v>食材</v>
      </c>
      <c r="E1025" s="26" t="s">
        <v>82</v>
      </c>
      <c r="F1025" s="11" t="s">
        <v>590</v>
      </c>
      <c r="G1025" s="11" t="s">
        <v>592</v>
      </c>
      <c r="H1025" s="72">
        <v>-13592</v>
      </c>
      <c r="I1025" s="5" t="b">
        <f>AND(Jnl[[#This Row],[TrxId]]&lt;&gt;"",Jnl[[#This Row],[Acct]]&lt;&gt;"",Jnl[[#This Row],[Item]]&lt;&gt;"",ISNUMBER(Jnl[[#This Row],[Bal]]))</f>
        <v>1</v>
      </c>
      <c r="J1025" s="10">
        <f>IF(Jnl[[#This Row],[BSLv0]]="A",1,-1)*Jnl[[#This Row],[Bal]]</f>
        <v>-13592</v>
      </c>
      <c r="K1025" t="str">
        <f>_xlfn.XLOOKUP(Jnl[[#This Row],[Acct]], config_BS[Acct], config_BS[Lv0],,0)</f>
        <v>A</v>
      </c>
      <c r="L1025" t="str">
        <f>_xlfn.XLOOKUP(Jnl[[#This Row],[Acct]], config_BS[Acct], config_BS[Lv1],,0)</f>
        <v>Assets</v>
      </c>
      <c r="M1025" t="str">
        <f>_xlfn.XLOOKUP(Jnl[[#This Row],[Acct]], config_BS[Acct], config_BS[Lv2],,0)</f>
        <v>Cash alike</v>
      </c>
      <c r="N1025" t="str">
        <f>_xlfn.XLOOKUP(Jnl[[#This Row],[TrxId]], Trx[Id], Trx[IncNode], ,0)</f>
        <v>Cost</v>
      </c>
      <c r="O1025" t="str">
        <f>_xlfn.XLOOKUP(Jnl[[#This Row],[IncNode]], config_IS[Node], config_IS[Type],,0)</f>
        <v>Op</v>
      </c>
      <c r="P1025" t="str">
        <f>_xlfn.XLOOKUP(Jnl[[#This Row],[BSLv2]], dict[Key], dict[Name],,0)</f>
        <v>0.现金及类似</v>
      </c>
      <c r="Q1025" t="str">
        <f>_xlfn.XLOOKUP(Jnl[[#This Row],[Acct]], dict[Key], dict[Name],,0)</f>
        <v>银行</v>
      </c>
      <c r="R1025" t="str">
        <f>_xlfn.XLOOKUP(Jnl[[#This Row],[Vehicle]],config_vehicle[Id], config_vehicle[Name],,0)</f>
        <v>米小易</v>
      </c>
      <c r="S1025" t="str">
        <f>_xlfn.XLOOKUP(Jnl[[#This Row],[Division]],config_div[Id], config_div[Name],,0)</f>
        <v>水街店</v>
      </c>
      <c r="T1025" t="str">
        <f>IF(Jnl[[#This Row],[TrxDate]]&lt;=stmt_BS_date_end, "In", "Out")</f>
        <v>In</v>
      </c>
      <c r="U1025" t="str">
        <f>IF(Jnl[[#This Row],[TrxDate]]&lt;debug_date_start, "prior", IF(Jnl[[#This Row],[TrxDate]]&gt;debug_date_end, "post", "curr"))</f>
        <v>curr</v>
      </c>
    </row>
    <row r="1026" spans="1:21">
      <c r="A1026" s="11" t="s">
        <v>1497</v>
      </c>
      <c r="B1026" s="7">
        <f>_xlfn.XLOOKUP(Jnl[[#This Row],[TrxId]], Trx[Id], Trx[Date],,0)</f>
        <v>46081</v>
      </c>
      <c r="C1026" s="7" t="str">
        <f>_xlfn.XLOOKUP(Jnl[[#This Row],[TrxId]], Trx[Id], Trx[Division],,0)</f>
        <v>Shuijie</v>
      </c>
      <c r="D1026" s="7" t="str">
        <f>_xlfn.XLOOKUP(Jnl[[#This Row],[TrxId]], Trx[Id], Trx[Action],,0)</f>
        <v>支付</v>
      </c>
      <c r="E1026" s="26" t="s">
        <v>82</v>
      </c>
      <c r="F1026" s="11" t="s">
        <v>493</v>
      </c>
      <c r="G1026" s="11" t="s">
        <v>428</v>
      </c>
      <c r="H1026" s="72">
        <v>900</v>
      </c>
      <c r="I1026" s="5" t="b">
        <f>AND(Jnl[[#This Row],[TrxId]]&lt;&gt;"",Jnl[[#This Row],[Acct]]&lt;&gt;"",Jnl[[#This Row],[Item]]&lt;&gt;"",ISNUMBER(Jnl[[#This Row],[Bal]]))</f>
        <v>1</v>
      </c>
      <c r="J1026" s="10">
        <f>IF(Jnl[[#This Row],[BSLv0]]="A",1,-1)*Jnl[[#This Row],[Bal]]</f>
        <v>900</v>
      </c>
      <c r="K1026" t="str">
        <f>_xlfn.XLOOKUP(Jnl[[#This Row],[Acct]], config_BS[Acct], config_BS[Lv0],,0)</f>
        <v>A</v>
      </c>
      <c r="L1026" t="str">
        <f>_xlfn.XLOOKUP(Jnl[[#This Row],[Acct]], config_BS[Acct], config_BS[Lv1],,0)</f>
        <v>Assets</v>
      </c>
      <c r="M1026" t="str">
        <f>_xlfn.XLOOKUP(Jnl[[#This Row],[Acct]], config_BS[Acct], config_BS[Lv2],,0)</f>
        <v>Prep-Sub</v>
      </c>
      <c r="N1026" t="str">
        <f>_xlfn.XLOOKUP(Jnl[[#This Row],[TrxId]], Trx[Id], Trx[IncNode], ,0)</f>
        <v>Cost</v>
      </c>
      <c r="O1026" t="str">
        <f>_xlfn.XLOOKUP(Jnl[[#This Row],[IncNode]], config_IS[Node], config_IS[Type],,0)</f>
        <v>Op</v>
      </c>
      <c r="P1026" t="str">
        <f>_xlfn.XLOOKUP(Jnl[[#This Row],[BSLv2]], dict[Key], dict[Name],,0)</f>
        <v>2.预付-订阅</v>
      </c>
      <c r="Q1026" t="str">
        <f>_xlfn.XLOOKUP(Jnl[[#This Row],[Acct]], dict[Key], dict[Name],,0)</f>
        <v>预付订单</v>
      </c>
      <c r="R1026" t="str">
        <f>_xlfn.XLOOKUP(Jnl[[#This Row],[Vehicle]],config_vehicle[Id], config_vehicle[Name],,0)</f>
        <v>米小易</v>
      </c>
      <c r="S1026" t="str">
        <f>_xlfn.XLOOKUP(Jnl[[#This Row],[Division]],config_div[Id], config_div[Name],,0)</f>
        <v>水街店</v>
      </c>
      <c r="T1026" t="str">
        <f>IF(Jnl[[#This Row],[TrxDate]]&lt;=stmt_BS_date_end, "In", "Out")</f>
        <v>In</v>
      </c>
      <c r="U1026" t="str">
        <f>IF(Jnl[[#This Row],[TrxDate]]&lt;debug_date_start, "prior", IF(Jnl[[#This Row],[TrxDate]]&gt;debug_date_end, "post", "curr"))</f>
        <v>curr</v>
      </c>
    </row>
    <row r="1027" spans="1:21">
      <c r="A1027" s="11" t="s">
        <v>1497</v>
      </c>
      <c r="B1027" s="7">
        <f>_xlfn.XLOOKUP(Jnl[[#This Row],[TrxId]], Trx[Id], Trx[Date],,0)</f>
        <v>46081</v>
      </c>
      <c r="C1027" s="7" t="str">
        <f>_xlfn.XLOOKUP(Jnl[[#This Row],[TrxId]], Trx[Id], Trx[Division],,0)</f>
        <v>Shuijie</v>
      </c>
      <c r="D1027" s="7" t="str">
        <f>_xlfn.XLOOKUP(Jnl[[#This Row],[TrxId]], Trx[Id], Trx[Action],,0)</f>
        <v>支付</v>
      </c>
      <c r="E1027" s="26" t="s">
        <v>82</v>
      </c>
      <c r="F1027" s="11" t="s">
        <v>590</v>
      </c>
      <c r="G1027" s="11" t="s">
        <v>592</v>
      </c>
      <c r="H1027" s="72">
        <v>-900</v>
      </c>
      <c r="I1027" s="5" t="b">
        <f>AND(Jnl[[#This Row],[TrxId]]&lt;&gt;"",Jnl[[#This Row],[Acct]]&lt;&gt;"",Jnl[[#This Row],[Item]]&lt;&gt;"",ISNUMBER(Jnl[[#This Row],[Bal]]))</f>
        <v>1</v>
      </c>
      <c r="J1027" s="10">
        <f>IF(Jnl[[#This Row],[BSLv0]]="A",1,-1)*Jnl[[#This Row],[Bal]]</f>
        <v>-900</v>
      </c>
      <c r="K1027" t="str">
        <f>_xlfn.XLOOKUP(Jnl[[#This Row],[Acct]], config_BS[Acct], config_BS[Lv0],,0)</f>
        <v>A</v>
      </c>
      <c r="L1027" t="str">
        <f>_xlfn.XLOOKUP(Jnl[[#This Row],[Acct]], config_BS[Acct], config_BS[Lv1],,0)</f>
        <v>Assets</v>
      </c>
      <c r="M1027" t="str">
        <f>_xlfn.XLOOKUP(Jnl[[#This Row],[Acct]], config_BS[Acct], config_BS[Lv2],,0)</f>
        <v>Cash alike</v>
      </c>
      <c r="N1027" t="str">
        <f>_xlfn.XLOOKUP(Jnl[[#This Row],[TrxId]], Trx[Id], Trx[IncNode], ,0)</f>
        <v>Cost</v>
      </c>
      <c r="O1027" t="str">
        <f>_xlfn.XLOOKUP(Jnl[[#This Row],[IncNode]], config_IS[Node], config_IS[Type],,0)</f>
        <v>Op</v>
      </c>
      <c r="P1027" t="str">
        <f>_xlfn.XLOOKUP(Jnl[[#This Row],[BSLv2]], dict[Key], dict[Name],,0)</f>
        <v>0.现金及类似</v>
      </c>
      <c r="Q1027" t="str">
        <f>_xlfn.XLOOKUP(Jnl[[#This Row],[Acct]], dict[Key], dict[Name],,0)</f>
        <v>银行</v>
      </c>
      <c r="R1027" t="str">
        <f>_xlfn.XLOOKUP(Jnl[[#This Row],[Vehicle]],config_vehicle[Id], config_vehicle[Name],,0)</f>
        <v>米小易</v>
      </c>
      <c r="S1027" t="str">
        <f>_xlfn.XLOOKUP(Jnl[[#This Row],[Division]],config_div[Id], config_div[Name],,0)</f>
        <v>水街店</v>
      </c>
      <c r="T1027" t="str">
        <f>IF(Jnl[[#This Row],[TrxDate]]&lt;=stmt_BS_date_end, "In", "Out")</f>
        <v>In</v>
      </c>
      <c r="U1027" t="str">
        <f>IF(Jnl[[#This Row],[TrxDate]]&lt;debug_date_start, "prior", IF(Jnl[[#This Row],[TrxDate]]&gt;debug_date_end, "post", "curr"))</f>
        <v>curr</v>
      </c>
    </row>
    <row r="1028" spans="1:21">
      <c r="A1028" s="11" t="s">
        <v>1498</v>
      </c>
      <c r="B1028" s="7">
        <f>_xlfn.XLOOKUP(Jnl[[#This Row],[TrxId]], Trx[Id], Trx[Date],,0)</f>
        <v>46081</v>
      </c>
      <c r="C1028" s="7" t="str">
        <f>_xlfn.XLOOKUP(Jnl[[#This Row],[TrxId]], Trx[Id], Trx[Division],,0)</f>
        <v>Shuijie</v>
      </c>
      <c r="D1028" s="7" t="str">
        <f>_xlfn.XLOOKUP(Jnl[[#This Row],[TrxId]], Trx[Id], Trx[Action],,0)</f>
        <v>支付</v>
      </c>
      <c r="E1028" s="26" t="s">
        <v>82</v>
      </c>
      <c r="F1028" s="11" t="s">
        <v>493</v>
      </c>
      <c r="G1028" s="11" t="s">
        <v>428</v>
      </c>
      <c r="H1028" s="72">
        <v>877</v>
      </c>
      <c r="I1028" s="5" t="b">
        <f>AND(Jnl[[#This Row],[TrxId]]&lt;&gt;"",Jnl[[#This Row],[Acct]]&lt;&gt;"",Jnl[[#This Row],[Item]]&lt;&gt;"",ISNUMBER(Jnl[[#This Row],[Bal]]))</f>
        <v>1</v>
      </c>
      <c r="J1028" s="10">
        <f>IF(Jnl[[#This Row],[BSLv0]]="A",1,-1)*Jnl[[#This Row],[Bal]]</f>
        <v>877</v>
      </c>
      <c r="K1028" t="str">
        <f>_xlfn.XLOOKUP(Jnl[[#This Row],[Acct]], config_BS[Acct], config_BS[Lv0],,0)</f>
        <v>A</v>
      </c>
      <c r="L1028" t="str">
        <f>_xlfn.XLOOKUP(Jnl[[#This Row],[Acct]], config_BS[Acct], config_BS[Lv1],,0)</f>
        <v>Assets</v>
      </c>
      <c r="M1028" t="str">
        <f>_xlfn.XLOOKUP(Jnl[[#This Row],[Acct]], config_BS[Acct], config_BS[Lv2],,0)</f>
        <v>Prep-Sub</v>
      </c>
      <c r="N1028" t="str">
        <f>_xlfn.XLOOKUP(Jnl[[#This Row],[TrxId]], Trx[Id], Trx[IncNode], ,0)</f>
        <v>Cost</v>
      </c>
      <c r="O1028" t="str">
        <f>_xlfn.XLOOKUP(Jnl[[#This Row],[IncNode]], config_IS[Node], config_IS[Type],,0)</f>
        <v>Op</v>
      </c>
      <c r="P1028" t="str">
        <f>_xlfn.XLOOKUP(Jnl[[#This Row],[BSLv2]], dict[Key], dict[Name],,0)</f>
        <v>2.预付-订阅</v>
      </c>
      <c r="Q1028" t="str">
        <f>_xlfn.XLOOKUP(Jnl[[#This Row],[Acct]], dict[Key], dict[Name],,0)</f>
        <v>预付订单</v>
      </c>
      <c r="R1028" t="str">
        <f>_xlfn.XLOOKUP(Jnl[[#This Row],[Vehicle]],config_vehicle[Id], config_vehicle[Name],,0)</f>
        <v>米小易</v>
      </c>
      <c r="S1028" t="str">
        <f>_xlfn.XLOOKUP(Jnl[[#This Row],[Division]],config_div[Id], config_div[Name],,0)</f>
        <v>水街店</v>
      </c>
      <c r="T1028" t="str">
        <f>IF(Jnl[[#This Row],[TrxDate]]&lt;=stmt_BS_date_end, "In", "Out")</f>
        <v>In</v>
      </c>
      <c r="U1028" t="str">
        <f>IF(Jnl[[#This Row],[TrxDate]]&lt;debug_date_start, "prior", IF(Jnl[[#This Row],[TrxDate]]&gt;debug_date_end, "post", "curr"))</f>
        <v>curr</v>
      </c>
    </row>
    <row r="1029" spans="1:21">
      <c r="A1029" s="11" t="s">
        <v>1498</v>
      </c>
      <c r="B1029" s="7">
        <f>_xlfn.XLOOKUP(Jnl[[#This Row],[TrxId]], Trx[Id], Trx[Date],,0)</f>
        <v>46081</v>
      </c>
      <c r="C1029" s="7" t="str">
        <f>_xlfn.XLOOKUP(Jnl[[#This Row],[TrxId]], Trx[Id], Trx[Division],,0)</f>
        <v>Shuijie</v>
      </c>
      <c r="D1029" s="7" t="str">
        <f>_xlfn.XLOOKUP(Jnl[[#This Row],[TrxId]], Trx[Id], Trx[Action],,0)</f>
        <v>支付</v>
      </c>
      <c r="E1029" s="26" t="s">
        <v>82</v>
      </c>
      <c r="F1029" s="11" t="s">
        <v>590</v>
      </c>
      <c r="G1029" s="11" t="s">
        <v>592</v>
      </c>
      <c r="H1029" s="72">
        <v>-877</v>
      </c>
      <c r="I1029" s="5" t="b">
        <f>AND(Jnl[[#This Row],[TrxId]]&lt;&gt;"",Jnl[[#This Row],[Acct]]&lt;&gt;"",Jnl[[#This Row],[Item]]&lt;&gt;"",ISNUMBER(Jnl[[#This Row],[Bal]]))</f>
        <v>1</v>
      </c>
      <c r="J1029" s="10">
        <f>IF(Jnl[[#This Row],[BSLv0]]="A",1,-1)*Jnl[[#This Row],[Bal]]</f>
        <v>-877</v>
      </c>
      <c r="K1029" t="str">
        <f>_xlfn.XLOOKUP(Jnl[[#This Row],[Acct]], config_BS[Acct], config_BS[Lv0],,0)</f>
        <v>A</v>
      </c>
      <c r="L1029" t="str">
        <f>_xlfn.XLOOKUP(Jnl[[#This Row],[Acct]], config_BS[Acct], config_BS[Lv1],,0)</f>
        <v>Assets</v>
      </c>
      <c r="M1029" t="str">
        <f>_xlfn.XLOOKUP(Jnl[[#This Row],[Acct]], config_BS[Acct], config_BS[Lv2],,0)</f>
        <v>Cash alike</v>
      </c>
      <c r="N1029" t="str">
        <f>_xlfn.XLOOKUP(Jnl[[#This Row],[TrxId]], Trx[Id], Trx[IncNode], ,0)</f>
        <v>Cost</v>
      </c>
      <c r="O1029" t="str">
        <f>_xlfn.XLOOKUP(Jnl[[#This Row],[IncNode]], config_IS[Node], config_IS[Type],,0)</f>
        <v>Op</v>
      </c>
      <c r="P1029" t="str">
        <f>_xlfn.XLOOKUP(Jnl[[#This Row],[BSLv2]], dict[Key], dict[Name],,0)</f>
        <v>0.现金及类似</v>
      </c>
      <c r="Q1029" t="str">
        <f>_xlfn.XLOOKUP(Jnl[[#This Row],[Acct]], dict[Key], dict[Name],,0)</f>
        <v>银行</v>
      </c>
      <c r="R1029" t="str">
        <f>_xlfn.XLOOKUP(Jnl[[#This Row],[Vehicle]],config_vehicle[Id], config_vehicle[Name],,0)</f>
        <v>米小易</v>
      </c>
      <c r="S1029" t="str">
        <f>_xlfn.XLOOKUP(Jnl[[#This Row],[Division]],config_div[Id], config_div[Name],,0)</f>
        <v>水街店</v>
      </c>
      <c r="T1029" t="str">
        <f>IF(Jnl[[#This Row],[TrxDate]]&lt;=stmt_BS_date_end, "In", "Out")</f>
        <v>In</v>
      </c>
      <c r="U1029" t="str">
        <f>IF(Jnl[[#This Row],[TrxDate]]&lt;debug_date_start, "prior", IF(Jnl[[#This Row],[TrxDate]]&gt;debug_date_end, "post", "curr"))</f>
        <v>curr</v>
      </c>
    </row>
    <row r="1030" spans="1:21">
      <c r="A1030" s="11" t="s">
        <v>1499</v>
      </c>
      <c r="B1030" s="7">
        <f>_xlfn.XLOOKUP(Jnl[[#This Row],[TrxId]], Trx[Id], Trx[Date],,0)</f>
        <v>46081</v>
      </c>
      <c r="C1030" s="7" t="str">
        <f>_xlfn.XLOOKUP(Jnl[[#This Row],[TrxId]], Trx[Id], Trx[Division],,0)</f>
        <v>Shuijie</v>
      </c>
      <c r="D1030" s="7" t="str">
        <f>_xlfn.XLOOKUP(Jnl[[#This Row],[TrxId]], Trx[Id], Trx[Action],,0)</f>
        <v>支付</v>
      </c>
      <c r="E1030" s="26" t="s">
        <v>82</v>
      </c>
      <c r="F1030" s="11" t="s">
        <v>597</v>
      </c>
      <c r="G1030" s="11" t="s">
        <v>529</v>
      </c>
      <c r="H1030" s="72">
        <v>1092.1400000000001</v>
      </c>
      <c r="I1030" s="5" t="b">
        <f>AND(Jnl[[#This Row],[TrxId]]&lt;&gt;"",Jnl[[#This Row],[Acct]]&lt;&gt;"",Jnl[[#This Row],[Item]]&lt;&gt;"",ISNUMBER(Jnl[[#This Row],[Bal]]))</f>
        <v>1</v>
      </c>
      <c r="J1030" s="10">
        <f>IF(Jnl[[#This Row],[BSLv0]]="A",1,-1)*Jnl[[#This Row],[Bal]]</f>
        <v>1092.1400000000001</v>
      </c>
      <c r="K1030" t="str">
        <f>_xlfn.XLOOKUP(Jnl[[#This Row],[Acct]], config_BS[Acct], config_BS[Lv0],,0)</f>
        <v>A</v>
      </c>
      <c r="L1030" t="str">
        <f>_xlfn.XLOOKUP(Jnl[[#This Row],[Acct]], config_BS[Acct], config_BS[Lv1],,0)</f>
        <v>Assets</v>
      </c>
      <c r="M1030" t="str">
        <f>_xlfn.XLOOKUP(Jnl[[#This Row],[Acct]], config_BS[Acct], config_BS[Lv2],,0)</f>
        <v>Prep-Sub</v>
      </c>
      <c r="N1030" t="str">
        <f>_xlfn.XLOOKUP(Jnl[[#This Row],[TrxId]], Trx[Id], Trx[IncNode], ,0)</f>
        <v>Cost</v>
      </c>
      <c r="O1030" t="str">
        <f>_xlfn.XLOOKUP(Jnl[[#This Row],[IncNode]], config_IS[Node], config_IS[Type],,0)</f>
        <v>Op</v>
      </c>
      <c r="P1030" t="str">
        <f>_xlfn.XLOOKUP(Jnl[[#This Row],[BSLv2]], dict[Key], dict[Name],,0)</f>
        <v>2.预付-订阅</v>
      </c>
      <c r="Q1030" t="str">
        <f>_xlfn.XLOOKUP(Jnl[[#This Row],[Acct]], dict[Key], dict[Name],,0)</f>
        <v>员工预支</v>
      </c>
      <c r="R1030" t="str">
        <f>_xlfn.XLOOKUP(Jnl[[#This Row],[Vehicle]],config_vehicle[Id], config_vehicle[Name],,0)</f>
        <v>米小易</v>
      </c>
      <c r="S1030" t="str">
        <f>_xlfn.XLOOKUP(Jnl[[#This Row],[Division]],config_div[Id], config_div[Name],,0)</f>
        <v>水街店</v>
      </c>
      <c r="T1030" t="str">
        <f>IF(Jnl[[#This Row],[TrxDate]]&lt;=stmt_BS_date_end, "In", "Out")</f>
        <v>In</v>
      </c>
      <c r="U1030" t="str">
        <f>IF(Jnl[[#This Row],[TrxDate]]&lt;debug_date_start, "prior", IF(Jnl[[#This Row],[TrxDate]]&gt;debug_date_end, "post", "curr"))</f>
        <v>curr</v>
      </c>
    </row>
    <row r="1031" spans="1:21">
      <c r="A1031" s="11" t="s">
        <v>1499</v>
      </c>
      <c r="B1031" s="7">
        <f>_xlfn.XLOOKUP(Jnl[[#This Row],[TrxId]], Trx[Id], Trx[Date],,0)</f>
        <v>46081</v>
      </c>
      <c r="C1031" s="7" t="str">
        <f>_xlfn.XLOOKUP(Jnl[[#This Row],[TrxId]], Trx[Id], Trx[Division],,0)</f>
        <v>Shuijie</v>
      </c>
      <c r="D1031" s="7" t="str">
        <f>_xlfn.XLOOKUP(Jnl[[#This Row],[TrxId]], Trx[Id], Trx[Action],,0)</f>
        <v>支付</v>
      </c>
      <c r="E1031" s="26" t="s">
        <v>82</v>
      </c>
      <c r="F1031" s="11" t="s">
        <v>590</v>
      </c>
      <c r="G1031" s="11" t="s">
        <v>592</v>
      </c>
      <c r="H1031" s="72">
        <v>-1092.1400000000001</v>
      </c>
      <c r="I1031" s="5" t="b">
        <f>AND(Jnl[[#This Row],[TrxId]]&lt;&gt;"",Jnl[[#This Row],[Acct]]&lt;&gt;"",Jnl[[#This Row],[Item]]&lt;&gt;"",ISNUMBER(Jnl[[#This Row],[Bal]]))</f>
        <v>1</v>
      </c>
      <c r="J1031" s="10">
        <f>IF(Jnl[[#This Row],[BSLv0]]="A",1,-1)*Jnl[[#This Row],[Bal]]</f>
        <v>-1092.1400000000001</v>
      </c>
      <c r="K1031" t="str">
        <f>_xlfn.XLOOKUP(Jnl[[#This Row],[Acct]], config_BS[Acct], config_BS[Lv0],,0)</f>
        <v>A</v>
      </c>
      <c r="L1031" t="str">
        <f>_xlfn.XLOOKUP(Jnl[[#This Row],[Acct]], config_BS[Acct], config_BS[Lv1],,0)</f>
        <v>Assets</v>
      </c>
      <c r="M1031" t="str">
        <f>_xlfn.XLOOKUP(Jnl[[#This Row],[Acct]], config_BS[Acct], config_BS[Lv2],,0)</f>
        <v>Cash alike</v>
      </c>
      <c r="N1031" t="str">
        <f>_xlfn.XLOOKUP(Jnl[[#This Row],[TrxId]], Trx[Id], Trx[IncNode], ,0)</f>
        <v>Cost</v>
      </c>
      <c r="O1031" t="str">
        <f>_xlfn.XLOOKUP(Jnl[[#This Row],[IncNode]], config_IS[Node], config_IS[Type],,0)</f>
        <v>Op</v>
      </c>
      <c r="P1031" t="str">
        <f>_xlfn.XLOOKUP(Jnl[[#This Row],[BSLv2]], dict[Key], dict[Name],,0)</f>
        <v>0.现金及类似</v>
      </c>
      <c r="Q1031" t="str">
        <f>_xlfn.XLOOKUP(Jnl[[#This Row],[Acct]], dict[Key], dict[Name],,0)</f>
        <v>银行</v>
      </c>
      <c r="R1031" t="str">
        <f>_xlfn.XLOOKUP(Jnl[[#This Row],[Vehicle]],config_vehicle[Id], config_vehicle[Name],,0)</f>
        <v>米小易</v>
      </c>
      <c r="S1031" t="str">
        <f>_xlfn.XLOOKUP(Jnl[[#This Row],[Division]],config_div[Id], config_div[Name],,0)</f>
        <v>水街店</v>
      </c>
      <c r="T1031" t="str">
        <f>IF(Jnl[[#This Row],[TrxDate]]&lt;=stmt_BS_date_end, "In", "Out")</f>
        <v>In</v>
      </c>
      <c r="U1031" t="str">
        <f>IF(Jnl[[#This Row],[TrxDate]]&lt;debug_date_start, "prior", IF(Jnl[[#This Row],[TrxDate]]&gt;debug_date_end, "post", "curr"))</f>
        <v>curr</v>
      </c>
    </row>
    <row r="1032" spans="1:21">
      <c r="A1032" s="11" t="s">
        <v>1501</v>
      </c>
      <c r="B1032" s="7">
        <f>_xlfn.XLOOKUP(Jnl[[#This Row],[TrxId]], Trx[Id], Trx[Date],,0)</f>
        <v>46081</v>
      </c>
      <c r="C1032" s="7" t="str">
        <f>_xlfn.XLOOKUP(Jnl[[#This Row],[TrxId]], Trx[Id], Trx[Division],,0)</f>
        <v>Shuijie</v>
      </c>
      <c r="D1032" s="7" t="str">
        <f>_xlfn.XLOOKUP(Jnl[[#This Row],[TrxId]], Trx[Id], Trx[Action],,0)</f>
        <v>支付</v>
      </c>
      <c r="E1032" s="26" t="s">
        <v>82</v>
      </c>
      <c r="F1032" s="11" t="s">
        <v>493</v>
      </c>
      <c r="G1032" s="11" t="s">
        <v>428</v>
      </c>
      <c r="H1032" s="72">
        <v>4990</v>
      </c>
      <c r="I1032" s="5" t="b">
        <f>AND(Jnl[[#This Row],[TrxId]]&lt;&gt;"",Jnl[[#This Row],[Acct]]&lt;&gt;"",Jnl[[#This Row],[Item]]&lt;&gt;"",ISNUMBER(Jnl[[#This Row],[Bal]]))</f>
        <v>1</v>
      </c>
      <c r="J1032" s="10">
        <f>IF(Jnl[[#This Row],[BSLv0]]="A",1,-1)*Jnl[[#This Row],[Bal]]</f>
        <v>4990</v>
      </c>
      <c r="K1032" t="str">
        <f>_xlfn.XLOOKUP(Jnl[[#This Row],[Acct]], config_BS[Acct], config_BS[Lv0],,0)</f>
        <v>A</v>
      </c>
      <c r="L1032" t="str">
        <f>_xlfn.XLOOKUP(Jnl[[#This Row],[Acct]], config_BS[Acct], config_BS[Lv1],,0)</f>
        <v>Assets</v>
      </c>
      <c r="M1032" t="str">
        <f>_xlfn.XLOOKUP(Jnl[[#This Row],[Acct]], config_BS[Acct], config_BS[Lv2],,0)</f>
        <v>Prep-Sub</v>
      </c>
      <c r="N1032" t="str">
        <f>_xlfn.XLOOKUP(Jnl[[#This Row],[TrxId]], Trx[Id], Trx[IncNode], ,0)</f>
        <v>Cost</v>
      </c>
      <c r="O1032" t="str">
        <f>_xlfn.XLOOKUP(Jnl[[#This Row],[IncNode]], config_IS[Node], config_IS[Type],,0)</f>
        <v>Op</v>
      </c>
      <c r="P1032" t="str">
        <f>_xlfn.XLOOKUP(Jnl[[#This Row],[BSLv2]], dict[Key], dict[Name],,0)</f>
        <v>2.预付-订阅</v>
      </c>
      <c r="Q1032" t="str">
        <f>_xlfn.XLOOKUP(Jnl[[#This Row],[Acct]], dict[Key], dict[Name],,0)</f>
        <v>预付订单</v>
      </c>
      <c r="R1032" t="str">
        <f>_xlfn.XLOOKUP(Jnl[[#This Row],[Vehicle]],config_vehicle[Id], config_vehicle[Name],,0)</f>
        <v>米小易</v>
      </c>
      <c r="S1032" t="str">
        <f>_xlfn.XLOOKUP(Jnl[[#This Row],[Division]],config_div[Id], config_div[Name],,0)</f>
        <v>水街店</v>
      </c>
      <c r="T1032" t="str">
        <f>IF(Jnl[[#This Row],[TrxDate]]&lt;=stmt_BS_date_end, "In", "Out")</f>
        <v>In</v>
      </c>
      <c r="U1032" t="str">
        <f>IF(Jnl[[#This Row],[TrxDate]]&lt;debug_date_start, "prior", IF(Jnl[[#This Row],[TrxDate]]&gt;debug_date_end, "post", "curr"))</f>
        <v>curr</v>
      </c>
    </row>
    <row r="1033" spans="1:21">
      <c r="A1033" s="11" t="s">
        <v>1501</v>
      </c>
      <c r="B1033" s="7">
        <f>_xlfn.XLOOKUP(Jnl[[#This Row],[TrxId]], Trx[Id], Trx[Date],,0)</f>
        <v>46081</v>
      </c>
      <c r="C1033" s="7" t="str">
        <f>_xlfn.XLOOKUP(Jnl[[#This Row],[TrxId]], Trx[Id], Trx[Division],,0)</f>
        <v>Shuijie</v>
      </c>
      <c r="D1033" s="7" t="str">
        <f>_xlfn.XLOOKUP(Jnl[[#This Row],[TrxId]], Trx[Id], Trx[Action],,0)</f>
        <v>支付</v>
      </c>
      <c r="E1033" s="26" t="s">
        <v>82</v>
      </c>
      <c r="F1033" s="11" t="s">
        <v>590</v>
      </c>
      <c r="G1033" s="11" t="s">
        <v>592</v>
      </c>
      <c r="H1033" s="72">
        <v>-4990</v>
      </c>
      <c r="I1033" s="5" t="b">
        <f>AND(Jnl[[#This Row],[TrxId]]&lt;&gt;"",Jnl[[#This Row],[Acct]]&lt;&gt;"",Jnl[[#This Row],[Item]]&lt;&gt;"",ISNUMBER(Jnl[[#This Row],[Bal]]))</f>
        <v>1</v>
      </c>
      <c r="J1033" s="10">
        <f>IF(Jnl[[#This Row],[BSLv0]]="A",1,-1)*Jnl[[#This Row],[Bal]]</f>
        <v>-4990</v>
      </c>
      <c r="K1033" t="str">
        <f>_xlfn.XLOOKUP(Jnl[[#This Row],[Acct]], config_BS[Acct], config_BS[Lv0],,0)</f>
        <v>A</v>
      </c>
      <c r="L1033" t="str">
        <f>_xlfn.XLOOKUP(Jnl[[#This Row],[Acct]], config_BS[Acct], config_BS[Lv1],,0)</f>
        <v>Assets</v>
      </c>
      <c r="M1033" t="str">
        <f>_xlfn.XLOOKUP(Jnl[[#This Row],[Acct]], config_BS[Acct], config_BS[Lv2],,0)</f>
        <v>Cash alike</v>
      </c>
      <c r="N1033" t="str">
        <f>_xlfn.XLOOKUP(Jnl[[#This Row],[TrxId]], Trx[Id], Trx[IncNode], ,0)</f>
        <v>Cost</v>
      </c>
      <c r="O1033" t="str">
        <f>_xlfn.XLOOKUP(Jnl[[#This Row],[IncNode]], config_IS[Node], config_IS[Type],,0)</f>
        <v>Op</v>
      </c>
      <c r="P1033" t="str">
        <f>_xlfn.XLOOKUP(Jnl[[#This Row],[BSLv2]], dict[Key], dict[Name],,0)</f>
        <v>0.现金及类似</v>
      </c>
      <c r="Q1033" t="str">
        <f>_xlfn.XLOOKUP(Jnl[[#This Row],[Acct]], dict[Key], dict[Name],,0)</f>
        <v>银行</v>
      </c>
      <c r="R1033" t="str">
        <f>_xlfn.XLOOKUP(Jnl[[#This Row],[Vehicle]],config_vehicle[Id], config_vehicle[Name],,0)</f>
        <v>米小易</v>
      </c>
      <c r="S1033" t="str">
        <f>_xlfn.XLOOKUP(Jnl[[#This Row],[Division]],config_div[Id], config_div[Name],,0)</f>
        <v>水街店</v>
      </c>
      <c r="T1033" t="str">
        <f>IF(Jnl[[#This Row],[TrxDate]]&lt;=stmt_BS_date_end, "In", "Out")</f>
        <v>In</v>
      </c>
      <c r="U1033" t="str">
        <f>IF(Jnl[[#This Row],[TrxDate]]&lt;debug_date_start, "prior", IF(Jnl[[#This Row],[TrxDate]]&gt;debug_date_end, "post", "curr"))</f>
        <v>curr</v>
      </c>
    </row>
    <row r="1034" spans="1:21">
      <c r="A1034" s="11" t="s">
        <v>1502</v>
      </c>
      <c r="B1034" s="7">
        <f>_xlfn.XLOOKUP(Jnl[[#This Row],[TrxId]], Trx[Id], Trx[Date],,0)</f>
        <v>46081</v>
      </c>
      <c r="C1034" s="7" t="str">
        <f>_xlfn.XLOOKUP(Jnl[[#This Row],[TrxId]], Trx[Id], Trx[Division],,0)</f>
        <v>Shuijie</v>
      </c>
      <c r="D1034" s="7" t="str">
        <f>_xlfn.XLOOKUP(Jnl[[#This Row],[TrxId]], Trx[Id], Trx[Action],,0)</f>
        <v>支付</v>
      </c>
      <c r="E1034" s="26" t="s">
        <v>82</v>
      </c>
      <c r="F1034" s="11" t="s">
        <v>493</v>
      </c>
      <c r="G1034" s="11" t="s">
        <v>428</v>
      </c>
      <c r="H1034" s="72">
        <v>7302</v>
      </c>
      <c r="I1034" s="5" t="b">
        <f>AND(Jnl[[#This Row],[TrxId]]&lt;&gt;"",Jnl[[#This Row],[Acct]]&lt;&gt;"",Jnl[[#This Row],[Item]]&lt;&gt;"",ISNUMBER(Jnl[[#This Row],[Bal]]))</f>
        <v>1</v>
      </c>
      <c r="J1034" s="10">
        <f>IF(Jnl[[#This Row],[BSLv0]]="A",1,-1)*Jnl[[#This Row],[Bal]]</f>
        <v>7302</v>
      </c>
      <c r="K1034" t="str">
        <f>_xlfn.XLOOKUP(Jnl[[#This Row],[Acct]], config_BS[Acct], config_BS[Lv0],,0)</f>
        <v>A</v>
      </c>
      <c r="L1034" t="str">
        <f>_xlfn.XLOOKUP(Jnl[[#This Row],[Acct]], config_BS[Acct], config_BS[Lv1],,0)</f>
        <v>Assets</v>
      </c>
      <c r="M1034" t="str">
        <f>_xlfn.XLOOKUP(Jnl[[#This Row],[Acct]], config_BS[Acct], config_BS[Lv2],,0)</f>
        <v>Prep-Sub</v>
      </c>
      <c r="N1034" t="str">
        <f>_xlfn.XLOOKUP(Jnl[[#This Row],[TrxId]], Trx[Id], Trx[IncNode], ,0)</f>
        <v>Cost</v>
      </c>
      <c r="O1034" t="str">
        <f>_xlfn.XLOOKUP(Jnl[[#This Row],[IncNode]], config_IS[Node], config_IS[Type],,0)</f>
        <v>Op</v>
      </c>
      <c r="P1034" t="str">
        <f>_xlfn.XLOOKUP(Jnl[[#This Row],[BSLv2]], dict[Key], dict[Name],,0)</f>
        <v>2.预付-订阅</v>
      </c>
      <c r="Q1034" t="str">
        <f>_xlfn.XLOOKUP(Jnl[[#This Row],[Acct]], dict[Key], dict[Name],,0)</f>
        <v>预付订单</v>
      </c>
      <c r="R1034" t="str">
        <f>_xlfn.XLOOKUP(Jnl[[#This Row],[Vehicle]],config_vehicle[Id], config_vehicle[Name],,0)</f>
        <v>米小易</v>
      </c>
      <c r="S1034" t="str">
        <f>_xlfn.XLOOKUP(Jnl[[#This Row],[Division]],config_div[Id], config_div[Name],,0)</f>
        <v>水街店</v>
      </c>
      <c r="T1034" t="str">
        <f>IF(Jnl[[#This Row],[TrxDate]]&lt;=stmt_BS_date_end, "In", "Out")</f>
        <v>In</v>
      </c>
      <c r="U1034" t="str">
        <f>IF(Jnl[[#This Row],[TrxDate]]&lt;debug_date_start, "prior", IF(Jnl[[#This Row],[TrxDate]]&gt;debug_date_end, "post", "curr"))</f>
        <v>curr</v>
      </c>
    </row>
    <row r="1035" spans="1:21">
      <c r="A1035" s="11" t="s">
        <v>1502</v>
      </c>
      <c r="B1035" s="7">
        <f>_xlfn.XLOOKUP(Jnl[[#This Row],[TrxId]], Trx[Id], Trx[Date],,0)</f>
        <v>46081</v>
      </c>
      <c r="C1035" s="7" t="str">
        <f>_xlfn.XLOOKUP(Jnl[[#This Row],[TrxId]], Trx[Id], Trx[Division],,0)</f>
        <v>Shuijie</v>
      </c>
      <c r="D1035" s="7" t="str">
        <f>_xlfn.XLOOKUP(Jnl[[#This Row],[TrxId]], Trx[Id], Trx[Action],,0)</f>
        <v>支付</v>
      </c>
      <c r="E1035" s="26" t="s">
        <v>82</v>
      </c>
      <c r="F1035" s="11" t="s">
        <v>590</v>
      </c>
      <c r="G1035" s="11" t="s">
        <v>592</v>
      </c>
      <c r="H1035" s="72">
        <v>-7302</v>
      </c>
      <c r="I1035" s="5" t="b">
        <f>AND(Jnl[[#This Row],[TrxId]]&lt;&gt;"",Jnl[[#This Row],[Acct]]&lt;&gt;"",Jnl[[#This Row],[Item]]&lt;&gt;"",ISNUMBER(Jnl[[#This Row],[Bal]]))</f>
        <v>1</v>
      </c>
      <c r="J1035" s="10">
        <f>IF(Jnl[[#This Row],[BSLv0]]="A",1,-1)*Jnl[[#This Row],[Bal]]</f>
        <v>-7302</v>
      </c>
      <c r="K1035" t="str">
        <f>_xlfn.XLOOKUP(Jnl[[#This Row],[Acct]], config_BS[Acct], config_BS[Lv0],,0)</f>
        <v>A</v>
      </c>
      <c r="L1035" t="str">
        <f>_xlfn.XLOOKUP(Jnl[[#This Row],[Acct]], config_BS[Acct], config_BS[Lv1],,0)</f>
        <v>Assets</v>
      </c>
      <c r="M1035" t="str">
        <f>_xlfn.XLOOKUP(Jnl[[#This Row],[Acct]], config_BS[Acct], config_BS[Lv2],,0)</f>
        <v>Cash alike</v>
      </c>
      <c r="N1035" t="str">
        <f>_xlfn.XLOOKUP(Jnl[[#This Row],[TrxId]], Trx[Id], Trx[IncNode], ,0)</f>
        <v>Cost</v>
      </c>
      <c r="O1035" t="str">
        <f>_xlfn.XLOOKUP(Jnl[[#This Row],[IncNode]], config_IS[Node], config_IS[Type],,0)</f>
        <v>Op</v>
      </c>
      <c r="P1035" t="str">
        <f>_xlfn.XLOOKUP(Jnl[[#This Row],[BSLv2]], dict[Key], dict[Name],,0)</f>
        <v>0.现金及类似</v>
      </c>
      <c r="Q1035" t="str">
        <f>_xlfn.XLOOKUP(Jnl[[#This Row],[Acct]], dict[Key], dict[Name],,0)</f>
        <v>银行</v>
      </c>
      <c r="R1035" t="str">
        <f>_xlfn.XLOOKUP(Jnl[[#This Row],[Vehicle]],config_vehicle[Id], config_vehicle[Name],,0)</f>
        <v>米小易</v>
      </c>
      <c r="S1035" t="str">
        <f>_xlfn.XLOOKUP(Jnl[[#This Row],[Division]],config_div[Id], config_div[Name],,0)</f>
        <v>水街店</v>
      </c>
      <c r="T1035" t="str">
        <f>IF(Jnl[[#This Row],[TrxDate]]&lt;=stmt_BS_date_end, "In", "Out")</f>
        <v>In</v>
      </c>
      <c r="U1035" t="str">
        <f>IF(Jnl[[#This Row],[TrxDate]]&lt;debug_date_start, "prior", IF(Jnl[[#This Row],[TrxDate]]&gt;debug_date_end, "post", "curr"))</f>
        <v>curr</v>
      </c>
    </row>
    <row r="1036" spans="1:21">
      <c r="A1036" s="11" t="s">
        <v>1503</v>
      </c>
      <c r="B1036" s="7">
        <f>_xlfn.XLOOKUP(Jnl[[#This Row],[TrxId]], Trx[Id], Trx[Date],,0)</f>
        <v>46081</v>
      </c>
      <c r="C1036" s="7" t="str">
        <f>_xlfn.XLOOKUP(Jnl[[#This Row],[TrxId]], Trx[Id], Trx[Division],,0)</f>
        <v>Shuijie</v>
      </c>
      <c r="D1036" s="7" t="str">
        <f>_xlfn.XLOOKUP(Jnl[[#This Row],[TrxId]], Trx[Id], Trx[Action],,0)</f>
        <v>支付</v>
      </c>
      <c r="E1036" s="26" t="s">
        <v>82</v>
      </c>
      <c r="F1036" s="11" t="s">
        <v>493</v>
      </c>
      <c r="G1036" s="11" t="s">
        <v>428</v>
      </c>
      <c r="H1036" s="72">
        <v>376</v>
      </c>
      <c r="I1036" s="5" t="b">
        <f>AND(Jnl[[#This Row],[TrxId]]&lt;&gt;"",Jnl[[#This Row],[Acct]]&lt;&gt;"",Jnl[[#This Row],[Item]]&lt;&gt;"",ISNUMBER(Jnl[[#This Row],[Bal]]))</f>
        <v>1</v>
      </c>
      <c r="J1036" s="10">
        <f>IF(Jnl[[#This Row],[BSLv0]]="A",1,-1)*Jnl[[#This Row],[Bal]]</f>
        <v>376</v>
      </c>
      <c r="K1036" t="str">
        <f>_xlfn.XLOOKUP(Jnl[[#This Row],[Acct]], config_BS[Acct], config_BS[Lv0],,0)</f>
        <v>A</v>
      </c>
      <c r="L1036" t="str">
        <f>_xlfn.XLOOKUP(Jnl[[#This Row],[Acct]], config_BS[Acct], config_BS[Lv1],,0)</f>
        <v>Assets</v>
      </c>
      <c r="M1036" t="str">
        <f>_xlfn.XLOOKUP(Jnl[[#This Row],[Acct]], config_BS[Acct], config_BS[Lv2],,0)</f>
        <v>Prep-Sub</v>
      </c>
      <c r="N1036" t="str">
        <f>_xlfn.XLOOKUP(Jnl[[#This Row],[TrxId]], Trx[Id], Trx[IncNode], ,0)</f>
        <v>Cost</v>
      </c>
      <c r="O1036" t="str">
        <f>_xlfn.XLOOKUP(Jnl[[#This Row],[IncNode]], config_IS[Node], config_IS[Type],,0)</f>
        <v>Op</v>
      </c>
      <c r="P1036" t="str">
        <f>_xlfn.XLOOKUP(Jnl[[#This Row],[BSLv2]], dict[Key], dict[Name],,0)</f>
        <v>2.预付-订阅</v>
      </c>
      <c r="Q1036" t="str">
        <f>_xlfn.XLOOKUP(Jnl[[#This Row],[Acct]], dict[Key], dict[Name],,0)</f>
        <v>预付订单</v>
      </c>
      <c r="R1036" t="str">
        <f>_xlfn.XLOOKUP(Jnl[[#This Row],[Vehicle]],config_vehicle[Id], config_vehicle[Name],,0)</f>
        <v>米小易</v>
      </c>
      <c r="S1036" t="str">
        <f>_xlfn.XLOOKUP(Jnl[[#This Row],[Division]],config_div[Id], config_div[Name],,0)</f>
        <v>水街店</v>
      </c>
      <c r="T1036" t="str">
        <f>IF(Jnl[[#This Row],[TrxDate]]&lt;=stmt_BS_date_end, "In", "Out")</f>
        <v>In</v>
      </c>
      <c r="U1036" t="str">
        <f>IF(Jnl[[#This Row],[TrxDate]]&lt;debug_date_start, "prior", IF(Jnl[[#This Row],[TrxDate]]&gt;debug_date_end, "post", "curr"))</f>
        <v>curr</v>
      </c>
    </row>
    <row r="1037" spans="1:21">
      <c r="A1037" s="11" t="s">
        <v>1503</v>
      </c>
      <c r="B1037" s="7">
        <f>_xlfn.XLOOKUP(Jnl[[#This Row],[TrxId]], Trx[Id], Trx[Date],,0)</f>
        <v>46081</v>
      </c>
      <c r="C1037" s="7" t="str">
        <f>_xlfn.XLOOKUP(Jnl[[#This Row],[TrxId]], Trx[Id], Trx[Division],,0)</f>
        <v>Shuijie</v>
      </c>
      <c r="D1037" s="7" t="str">
        <f>_xlfn.XLOOKUP(Jnl[[#This Row],[TrxId]], Trx[Id], Trx[Action],,0)</f>
        <v>支付</v>
      </c>
      <c r="E1037" s="26" t="s">
        <v>82</v>
      </c>
      <c r="F1037" s="11" t="s">
        <v>590</v>
      </c>
      <c r="G1037" s="11" t="s">
        <v>592</v>
      </c>
      <c r="H1037" s="72">
        <v>-376</v>
      </c>
      <c r="I1037" s="5" t="b">
        <f>AND(Jnl[[#This Row],[TrxId]]&lt;&gt;"",Jnl[[#This Row],[Acct]]&lt;&gt;"",Jnl[[#This Row],[Item]]&lt;&gt;"",ISNUMBER(Jnl[[#This Row],[Bal]]))</f>
        <v>1</v>
      </c>
      <c r="J1037" s="10">
        <f>IF(Jnl[[#This Row],[BSLv0]]="A",1,-1)*Jnl[[#This Row],[Bal]]</f>
        <v>-376</v>
      </c>
      <c r="K1037" t="str">
        <f>_xlfn.XLOOKUP(Jnl[[#This Row],[Acct]], config_BS[Acct], config_BS[Lv0],,0)</f>
        <v>A</v>
      </c>
      <c r="L1037" t="str">
        <f>_xlfn.XLOOKUP(Jnl[[#This Row],[Acct]], config_BS[Acct], config_BS[Lv1],,0)</f>
        <v>Assets</v>
      </c>
      <c r="M1037" t="str">
        <f>_xlfn.XLOOKUP(Jnl[[#This Row],[Acct]], config_BS[Acct], config_BS[Lv2],,0)</f>
        <v>Cash alike</v>
      </c>
      <c r="N1037" t="str">
        <f>_xlfn.XLOOKUP(Jnl[[#This Row],[TrxId]], Trx[Id], Trx[IncNode], ,0)</f>
        <v>Cost</v>
      </c>
      <c r="O1037" t="str">
        <f>_xlfn.XLOOKUP(Jnl[[#This Row],[IncNode]], config_IS[Node], config_IS[Type],,0)</f>
        <v>Op</v>
      </c>
      <c r="P1037" t="str">
        <f>_xlfn.XLOOKUP(Jnl[[#This Row],[BSLv2]], dict[Key], dict[Name],,0)</f>
        <v>0.现金及类似</v>
      </c>
      <c r="Q1037" t="str">
        <f>_xlfn.XLOOKUP(Jnl[[#This Row],[Acct]], dict[Key], dict[Name],,0)</f>
        <v>银行</v>
      </c>
      <c r="R1037" t="str">
        <f>_xlfn.XLOOKUP(Jnl[[#This Row],[Vehicle]],config_vehicle[Id], config_vehicle[Name],,0)</f>
        <v>米小易</v>
      </c>
      <c r="S1037" t="str">
        <f>_xlfn.XLOOKUP(Jnl[[#This Row],[Division]],config_div[Id], config_div[Name],,0)</f>
        <v>水街店</v>
      </c>
      <c r="T1037" t="str">
        <f>IF(Jnl[[#This Row],[TrxDate]]&lt;=stmt_BS_date_end, "In", "Out")</f>
        <v>In</v>
      </c>
      <c r="U1037" t="str">
        <f>IF(Jnl[[#This Row],[TrxDate]]&lt;debug_date_start, "prior", IF(Jnl[[#This Row],[TrxDate]]&gt;debug_date_end, "post", "curr"))</f>
        <v>curr</v>
      </c>
    </row>
    <row r="1038" spans="1:21">
      <c r="A1038" s="11" t="s">
        <v>1504</v>
      </c>
      <c r="B1038" s="7">
        <f>_xlfn.XLOOKUP(Jnl[[#This Row],[TrxId]], Trx[Id], Trx[Date],,0)</f>
        <v>46081</v>
      </c>
      <c r="C1038" s="7" t="str">
        <f>_xlfn.XLOOKUP(Jnl[[#This Row],[TrxId]], Trx[Id], Trx[Division],,0)</f>
        <v>Shuijie</v>
      </c>
      <c r="D1038" s="7" t="str">
        <f>_xlfn.XLOOKUP(Jnl[[#This Row],[TrxId]], Trx[Id], Trx[Action],,0)</f>
        <v>支付</v>
      </c>
      <c r="E1038" s="26" t="s">
        <v>82</v>
      </c>
      <c r="F1038" s="11" t="s">
        <v>493</v>
      </c>
      <c r="G1038" s="11" t="s">
        <v>428</v>
      </c>
      <c r="H1038" s="72">
        <v>1343</v>
      </c>
      <c r="I1038" s="5" t="b">
        <f>AND(Jnl[[#This Row],[TrxId]]&lt;&gt;"",Jnl[[#This Row],[Acct]]&lt;&gt;"",Jnl[[#This Row],[Item]]&lt;&gt;"",ISNUMBER(Jnl[[#This Row],[Bal]]))</f>
        <v>1</v>
      </c>
      <c r="J1038" s="10">
        <f>IF(Jnl[[#This Row],[BSLv0]]="A",1,-1)*Jnl[[#This Row],[Bal]]</f>
        <v>1343</v>
      </c>
      <c r="K1038" t="str">
        <f>_xlfn.XLOOKUP(Jnl[[#This Row],[Acct]], config_BS[Acct], config_BS[Lv0],,0)</f>
        <v>A</v>
      </c>
      <c r="L1038" t="str">
        <f>_xlfn.XLOOKUP(Jnl[[#This Row],[Acct]], config_BS[Acct], config_BS[Lv1],,0)</f>
        <v>Assets</v>
      </c>
      <c r="M1038" t="str">
        <f>_xlfn.XLOOKUP(Jnl[[#This Row],[Acct]], config_BS[Acct], config_BS[Lv2],,0)</f>
        <v>Prep-Sub</v>
      </c>
      <c r="N1038" t="str">
        <f>_xlfn.XLOOKUP(Jnl[[#This Row],[TrxId]], Trx[Id], Trx[IncNode], ,0)</f>
        <v>Cost</v>
      </c>
      <c r="O1038" t="str">
        <f>_xlfn.XLOOKUP(Jnl[[#This Row],[IncNode]], config_IS[Node], config_IS[Type],,0)</f>
        <v>Op</v>
      </c>
      <c r="P1038" t="str">
        <f>_xlfn.XLOOKUP(Jnl[[#This Row],[BSLv2]], dict[Key], dict[Name],,0)</f>
        <v>2.预付-订阅</v>
      </c>
      <c r="Q1038" t="str">
        <f>_xlfn.XLOOKUP(Jnl[[#This Row],[Acct]], dict[Key], dict[Name],,0)</f>
        <v>预付订单</v>
      </c>
      <c r="R1038" t="str">
        <f>_xlfn.XLOOKUP(Jnl[[#This Row],[Vehicle]],config_vehicle[Id], config_vehicle[Name],,0)</f>
        <v>米小易</v>
      </c>
      <c r="S1038" t="str">
        <f>_xlfn.XLOOKUP(Jnl[[#This Row],[Division]],config_div[Id], config_div[Name],,0)</f>
        <v>水街店</v>
      </c>
      <c r="T1038" t="str">
        <f>IF(Jnl[[#This Row],[TrxDate]]&lt;=stmt_BS_date_end, "In", "Out")</f>
        <v>In</v>
      </c>
      <c r="U1038" t="str">
        <f>IF(Jnl[[#This Row],[TrxDate]]&lt;debug_date_start, "prior", IF(Jnl[[#This Row],[TrxDate]]&gt;debug_date_end, "post", "curr"))</f>
        <v>curr</v>
      </c>
    </row>
    <row r="1039" spans="1:21">
      <c r="A1039" s="11" t="s">
        <v>1504</v>
      </c>
      <c r="B1039" s="7">
        <f>_xlfn.XLOOKUP(Jnl[[#This Row],[TrxId]], Trx[Id], Trx[Date],,0)</f>
        <v>46081</v>
      </c>
      <c r="C1039" s="7" t="str">
        <f>_xlfn.XLOOKUP(Jnl[[#This Row],[TrxId]], Trx[Id], Trx[Division],,0)</f>
        <v>Shuijie</v>
      </c>
      <c r="D1039" s="7" t="str">
        <f>_xlfn.XLOOKUP(Jnl[[#This Row],[TrxId]], Trx[Id], Trx[Action],,0)</f>
        <v>支付</v>
      </c>
      <c r="E1039" s="26" t="s">
        <v>82</v>
      </c>
      <c r="F1039" s="11" t="s">
        <v>590</v>
      </c>
      <c r="G1039" s="11" t="s">
        <v>592</v>
      </c>
      <c r="H1039" s="72">
        <v>-1343</v>
      </c>
      <c r="I1039" s="5" t="b">
        <f>AND(Jnl[[#This Row],[TrxId]]&lt;&gt;"",Jnl[[#This Row],[Acct]]&lt;&gt;"",Jnl[[#This Row],[Item]]&lt;&gt;"",ISNUMBER(Jnl[[#This Row],[Bal]]))</f>
        <v>1</v>
      </c>
      <c r="J1039" s="10">
        <f>IF(Jnl[[#This Row],[BSLv0]]="A",1,-1)*Jnl[[#This Row],[Bal]]</f>
        <v>-1343</v>
      </c>
      <c r="K1039" t="str">
        <f>_xlfn.XLOOKUP(Jnl[[#This Row],[Acct]], config_BS[Acct], config_BS[Lv0],,0)</f>
        <v>A</v>
      </c>
      <c r="L1039" t="str">
        <f>_xlfn.XLOOKUP(Jnl[[#This Row],[Acct]], config_BS[Acct], config_BS[Lv1],,0)</f>
        <v>Assets</v>
      </c>
      <c r="M1039" t="str">
        <f>_xlfn.XLOOKUP(Jnl[[#This Row],[Acct]], config_BS[Acct], config_BS[Lv2],,0)</f>
        <v>Cash alike</v>
      </c>
      <c r="N1039" t="str">
        <f>_xlfn.XLOOKUP(Jnl[[#This Row],[TrxId]], Trx[Id], Trx[IncNode], ,0)</f>
        <v>Cost</v>
      </c>
      <c r="O1039" t="str">
        <f>_xlfn.XLOOKUP(Jnl[[#This Row],[IncNode]], config_IS[Node], config_IS[Type],,0)</f>
        <v>Op</v>
      </c>
      <c r="P1039" t="str">
        <f>_xlfn.XLOOKUP(Jnl[[#This Row],[BSLv2]], dict[Key], dict[Name],,0)</f>
        <v>0.现金及类似</v>
      </c>
      <c r="Q1039" t="str">
        <f>_xlfn.XLOOKUP(Jnl[[#This Row],[Acct]], dict[Key], dict[Name],,0)</f>
        <v>银行</v>
      </c>
      <c r="R1039" t="str">
        <f>_xlfn.XLOOKUP(Jnl[[#This Row],[Vehicle]],config_vehicle[Id], config_vehicle[Name],,0)</f>
        <v>米小易</v>
      </c>
      <c r="S1039" t="str">
        <f>_xlfn.XLOOKUP(Jnl[[#This Row],[Division]],config_div[Id], config_div[Name],,0)</f>
        <v>水街店</v>
      </c>
      <c r="T1039" t="str">
        <f>IF(Jnl[[#This Row],[TrxDate]]&lt;=stmt_BS_date_end, "In", "Out")</f>
        <v>In</v>
      </c>
      <c r="U1039" t="str">
        <f>IF(Jnl[[#This Row],[TrxDate]]&lt;debug_date_start, "prior", IF(Jnl[[#This Row],[TrxDate]]&gt;debug_date_end, "post", "curr"))</f>
        <v>curr</v>
      </c>
    </row>
    <row r="1040" spans="1:21">
      <c r="A1040" s="11" t="s">
        <v>1505</v>
      </c>
      <c r="B1040" s="7">
        <f>_xlfn.XLOOKUP(Jnl[[#This Row],[TrxId]], Trx[Id], Trx[Date],,0)</f>
        <v>46081</v>
      </c>
      <c r="C1040" s="7" t="str">
        <f>_xlfn.XLOOKUP(Jnl[[#This Row],[TrxId]], Trx[Id], Trx[Division],,0)</f>
        <v>Shuijie</v>
      </c>
      <c r="D1040" s="7" t="str">
        <f>_xlfn.XLOOKUP(Jnl[[#This Row],[TrxId]], Trx[Id], Trx[Action],,0)</f>
        <v>食材</v>
      </c>
      <c r="E1040" s="26" t="s">
        <v>82</v>
      </c>
      <c r="F1040" s="11" t="s">
        <v>590</v>
      </c>
      <c r="G1040" s="11" t="s">
        <v>592</v>
      </c>
      <c r="H1040" s="72">
        <v>-1411</v>
      </c>
      <c r="I1040" s="5" t="b">
        <f>AND(Jnl[[#This Row],[TrxId]]&lt;&gt;"",Jnl[[#This Row],[Acct]]&lt;&gt;"",Jnl[[#This Row],[Item]]&lt;&gt;"",ISNUMBER(Jnl[[#This Row],[Bal]]))</f>
        <v>1</v>
      </c>
      <c r="J1040" s="10">
        <f>IF(Jnl[[#This Row],[BSLv0]]="A",1,-1)*Jnl[[#This Row],[Bal]]</f>
        <v>-1411</v>
      </c>
      <c r="K1040" t="str">
        <f>_xlfn.XLOOKUP(Jnl[[#This Row],[Acct]], config_BS[Acct], config_BS[Lv0],,0)</f>
        <v>A</v>
      </c>
      <c r="L1040" t="str">
        <f>_xlfn.XLOOKUP(Jnl[[#This Row],[Acct]], config_BS[Acct], config_BS[Lv1],,0)</f>
        <v>Assets</v>
      </c>
      <c r="M1040" t="str">
        <f>_xlfn.XLOOKUP(Jnl[[#This Row],[Acct]], config_BS[Acct], config_BS[Lv2],,0)</f>
        <v>Cash alike</v>
      </c>
      <c r="N1040" t="str">
        <f>_xlfn.XLOOKUP(Jnl[[#This Row],[TrxId]], Trx[Id], Trx[IncNode], ,0)</f>
        <v>Cost</v>
      </c>
      <c r="O1040" t="str">
        <f>_xlfn.XLOOKUP(Jnl[[#This Row],[IncNode]], config_IS[Node], config_IS[Type],,0)</f>
        <v>Op</v>
      </c>
      <c r="P1040" t="str">
        <f>_xlfn.XLOOKUP(Jnl[[#This Row],[BSLv2]], dict[Key], dict[Name],,0)</f>
        <v>0.现金及类似</v>
      </c>
      <c r="Q1040" t="str">
        <f>_xlfn.XLOOKUP(Jnl[[#This Row],[Acct]], dict[Key], dict[Name],,0)</f>
        <v>银行</v>
      </c>
      <c r="R1040" t="str">
        <f>_xlfn.XLOOKUP(Jnl[[#This Row],[Vehicle]],config_vehicle[Id], config_vehicle[Name],,0)</f>
        <v>米小易</v>
      </c>
      <c r="S1040" t="str">
        <f>_xlfn.XLOOKUP(Jnl[[#This Row],[Division]],config_div[Id], config_div[Name],,0)</f>
        <v>水街店</v>
      </c>
      <c r="T1040" t="str">
        <f>IF(Jnl[[#This Row],[TrxDate]]&lt;=stmt_BS_date_end, "In", "Out")</f>
        <v>In</v>
      </c>
      <c r="U1040" t="str">
        <f>IF(Jnl[[#This Row],[TrxDate]]&lt;debug_date_start, "prior", IF(Jnl[[#This Row],[TrxDate]]&gt;debug_date_end, "post", "curr"))</f>
        <v>curr</v>
      </c>
    </row>
    <row r="1041" spans="1:21">
      <c r="A1041" s="11" t="s">
        <v>1506</v>
      </c>
      <c r="B1041" s="7">
        <f>_xlfn.XLOOKUP(Jnl[[#This Row],[TrxId]], Trx[Id], Trx[Date],,0)</f>
        <v>46081</v>
      </c>
      <c r="C1041" s="7" t="str">
        <f>_xlfn.XLOOKUP(Jnl[[#This Row],[TrxId]], Trx[Id], Trx[Division],,0)</f>
        <v>Shuijie</v>
      </c>
      <c r="D1041" s="7" t="str">
        <f>_xlfn.XLOOKUP(Jnl[[#This Row],[TrxId]], Trx[Id], Trx[Action],,0)</f>
        <v>其他材料</v>
      </c>
      <c r="E1041" s="26" t="s">
        <v>82</v>
      </c>
      <c r="F1041" s="11" t="s">
        <v>590</v>
      </c>
      <c r="G1041" s="11" t="s">
        <v>592</v>
      </c>
      <c r="H1041" s="72">
        <v>-133.28</v>
      </c>
      <c r="I1041" s="5" t="b">
        <f>AND(Jnl[[#This Row],[TrxId]]&lt;&gt;"",Jnl[[#This Row],[Acct]]&lt;&gt;"",Jnl[[#This Row],[Item]]&lt;&gt;"",ISNUMBER(Jnl[[#This Row],[Bal]]))</f>
        <v>1</v>
      </c>
      <c r="J1041" s="10">
        <f>IF(Jnl[[#This Row],[BSLv0]]="A",1,-1)*Jnl[[#This Row],[Bal]]</f>
        <v>-133.28</v>
      </c>
      <c r="K1041" t="str">
        <f>_xlfn.XLOOKUP(Jnl[[#This Row],[Acct]], config_BS[Acct], config_BS[Lv0],,0)</f>
        <v>A</v>
      </c>
      <c r="L1041" t="str">
        <f>_xlfn.XLOOKUP(Jnl[[#This Row],[Acct]], config_BS[Acct], config_BS[Lv1],,0)</f>
        <v>Assets</v>
      </c>
      <c r="M1041" t="str">
        <f>_xlfn.XLOOKUP(Jnl[[#This Row],[Acct]], config_BS[Acct], config_BS[Lv2],,0)</f>
        <v>Cash alike</v>
      </c>
      <c r="N1041" t="str">
        <f>_xlfn.XLOOKUP(Jnl[[#This Row],[TrxId]], Trx[Id], Trx[IncNode], ,0)</f>
        <v>Cost</v>
      </c>
      <c r="O1041" t="str">
        <f>_xlfn.XLOOKUP(Jnl[[#This Row],[IncNode]], config_IS[Node], config_IS[Type],,0)</f>
        <v>Op</v>
      </c>
      <c r="P1041" t="str">
        <f>_xlfn.XLOOKUP(Jnl[[#This Row],[BSLv2]], dict[Key], dict[Name],,0)</f>
        <v>0.现金及类似</v>
      </c>
      <c r="Q1041" t="str">
        <f>_xlfn.XLOOKUP(Jnl[[#This Row],[Acct]], dict[Key], dict[Name],,0)</f>
        <v>银行</v>
      </c>
      <c r="R1041" t="str">
        <f>_xlfn.XLOOKUP(Jnl[[#This Row],[Vehicle]],config_vehicle[Id], config_vehicle[Name],,0)</f>
        <v>米小易</v>
      </c>
      <c r="S1041" t="str">
        <f>_xlfn.XLOOKUP(Jnl[[#This Row],[Division]],config_div[Id], config_div[Name],,0)</f>
        <v>水街店</v>
      </c>
      <c r="T1041" t="str">
        <f>IF(Jnl[[#This Row],[TrxDate]]&lt;=stmt_BS_date_end, "In", "Out")</f>
        <v>In</v>
      </c>
      <c r="U1041" t="str">
        <f>IF(Jnl[[#This Row],[TrxDate]]&lt;debug_date_start, "prior", IF(Jnl[[#This Row],[TrxDate]]&gt;debug_date_end, "post", "curr"))</f>
        <v>curr</v>
      </c>
    </row>
    <row r="1042" spans="1:21">
      <c r="A1042" s="11" t="s">
        <v>1507</v>
      </c>
      <c r="B1042" s="7">
        <f>_xlfn.XLOOKUP(Jnl[[#This Row],[TrxId]], Trx[Id], Trx[Date],,0)</f>
        <v>46081</v>
      </c>
      <c r="C1042" s="7" t="str">
        <f>_xlfn.XLOOKUP(Jnl[[#This Row],[TrxId]], Trx[Id], Trx[Division],,0)</f>
        <v>Shuijie</v>
      </c>
      <c r="D1042" s="7" t="str">
        <f>_xlfn.XLOOKUP(Jnl[[#This Row],[TrxId]], Trx[Id], Trx[Action],,0)</f>
        <v>食材</v>
      </c>
      <c r="E1042" s="26" t="s">
        <v>82</v>
      </c>
      <c r="F1042" s="11" t="s">
        <v>590</v>
      </c>
      <c r="G1042" s="11" t="s">
        <v>592</v>
      </c>
      <c r="H1042" s="72">
        <v>-32656.959999999999</v>
      </c>
      <c r="I1042" s="5" t="b">
        <f>AND(Jnl[[#This Row],[TrxId]]&lt;&gt;"",Jnl[[#This Row],[Acct]]&lt;&gt;"",Jnl[[#This Row],[Item]]&lt;&gt;"",ISNUMBER(Jnl[[#This Row],[Bal]]))</f>
        <v>1</v>
      </c>
      <c r="J1042" s="10">
        <f>IF(Jnl[[#This Row],[BSLv0]]="A",1,-1)*Jnl[[#This Row],[Bal]]</f>
        <v>-32656.959999999999</v>
      </c>
      <c r="K1042" t="str">
        <f>_xlfn.XLOOKUP(Jnl[[#This Row],[Acct]], config_BS[Acct], config_BS[Lv0],,0)</f>
        <v>A</v>
      </c>
      <c r="L1042" t="str">
        <f>_xlfn.XLOOKUP(Jnl[[#This Row],[Acct]], config_BS[Acct], config_BS[Lv1],,0)</f>
        <v>Assets</v>
      </c>
      <c r="M1042" t="str">
        <f>_xlfn.XLOOKUP(Jnl[[#This Row],[Acct]], config_BS[Acct], config_BS[Lv2],,0)</f>
        <v>Cash alike</v>
      </c>
      <c r="N1042" t="str">
        <f>_xlfn.XLOOKUP(Jnl[[#This Row],[TrxId]], Trx[Id], Trx[IncNode], ,0)</f>
        <v>Cost</v>
      </c>
      <c r="O1042" t="str">
        <f>_xlfn.XLOOKUP(Jnl[[#This Row],[IncNode]], config_IS[Node], config_IS[Type],,0)</f>
        <v>Op</v>
      </c>
      <c r="P1042" t="str">
        <f>_xlfn.XLOOKUP(Jnl[[#This Row],[BSLv2]], dict[Key], dict[Name],,0)</f>
        <v>0.现金及类似</v>
      </c>
      <c r="Q1042" t="str">
        <f>_xlfn.XLOOKUP(Jnl[[#This Row],[Acct]], dict[Key], dict[Name],,0)</f>
        <v>银行</v>
      </c>
      <c r="R1042" t="str">
        <f>_xlfn.XLOOKUP(Jnl[[#This Row],[Vehicle]],config_vehicle[Id], config_vehicle[Name],,0)</f>
        <v>米小易</v>
      </c>
      <c r="S1042" t="str">
        <f>_xlfn.XLOOKUP(Jnl[[#This Row],[Division]],config_div[Id], config_div[Name],,0)</f>
        <v>水街店</v>
      </c>
      <c r="T1042" t="str">
        <f>IF(Jnl[[#This Row],[TrxDate]]&lt;=stmt_BS_date_end, "In", "Out")</f>
        <v>In</v>
      </c>
      <c r="U1042" t="str">
        <f>IF(Jnl[[#This Row],[TrxDate]]&lt;debug_date_start, "prior", IF(Jnl[[#This Row],[TrxDate]]&gt;debug_date_end, "post", "curr"))</f>
        <v>curr</v>
      </c>
    </row>
    <row r="1043" spans="1:21">
      <c r="A1043" s="11" t="s">
        <v>1508</v>
      </c>
      <c r="B1043" s="7">
        <f>_xlfn.XLOOKUP(Jnl[[#This Row],[TrxId]], Trx[Id], Trx[Date],,0)</f>
        <v>46081</v>
      </c>
      <c r="C1043" s="7" t="str">
        <f>_xlfn.XLOOKUP(Jnl[[#This Row],[TrxId]], Trx[Id], Trx[Division],,0)</f>
        <v>Shuijie</v>
      </c>
      <c r="D1043" s="7" t="str">
        <f>_xlfn.XLOOKUP(Jnl[[#This Row],[TrxId]], Trx[Id], Trx[Action],,0)</f>
        <v>食材</v>
      </c>
      <c r="E1043" s="26" t="s">
        <v>82</v>
      </c>
      <c r="F1043" s="11" t="s">
        <v>590</v>
      </c>
      <c r="G1043" s="11" t="s">
        <v>592</v>
      </c>
      <c r="H1043" s="72">
        <v>-513.9</v>
      </c>
      <c r="I1043" s="5" t="b">
        <f>AND(Jnl[[#This Row],[TrxId]]&lt;&gt;"",Jnl[[#This Row],[Acct]]&lt;&gt;"",Jnl[[#This Row],[Item]]&lt;&gt;"",ISNUMBER(Jnl[[#This Row],[Bal]]))</f>
        <v>1</v>
      </c>
      <c r="J1043" s="10">
        <f>IF(Jnl[[#This Row],[BSLv0]]="A",1,-1)*Jnl[[#This Row],[Bal]]</f>
        <v>-513.9</v>
      </c>
      <c r="K1043" t="str">
        <f>_xlfn.XLOOKUP(Jnl[[#This Row],[Acct]], config_BS[Acct], config_BS[Lv0],,0)</f>
        <v>A</v>
      </c>
      <c r="L1043" t="str">
        <f>_xlfn.XLOOKUP(Jnl[[#This Row],[Acct]], config_BS[Acct], config_BS[Lv1],,0)</f>
        <v>Assets</v>
      </c>
      <c r="M1043" t="str">
        <f>_xlfn.XLOOKUP(Jnl[[#This Row],[Acct]], config_BS[Acct], config_BS[Lv2],,0)</f>
        <v>Cash alike</v>
      </c>
      <c r="N1043" t="str">
        <f>_xlfn.XLOOKUP(Jnl[[#This Row],[TrxId]], Trx[Id], Trx[IncNode], ,0)</f>
        <v>Cost</v>
      </c>
      <c r="O1043" t="str">
        <f>_xlfn.XLOOKUP(Jnl[[#This Row],[IncNode]], config_IS[Node], config_IS[Type],,0)</f>
        <v>Op</v>
      </c>
      <c r="P1043" t="str">
        <f>_xlfn.XLOOKUP(Jnl[[#This Row],[BSLv2]], dict[Key], dict[Name],,0)</f>
        <v>0.现金及类似</v>
      </c>
      <c r="Q1043" t="str">
        <f>_xlfn.XLOOKUP(Jnl[[#This Row],[Acct]], dict[Key], dict[Name],,0)</f>
        <v>银行</v>
      </c>
      <c r="R1043" t="str">
        <f>_xlfn.XLOOKUP(Jnl[[#This Row],[Vehicle]],config_vehicle[Id], config_vehicle[Name],,0)</f>
        <v>米小易</v>
      </c>
      <c r="S1043" t="str">
        <f>_xlfn.XLOOKUP(Jnl[[#This Row],[Division]],config_div[Id], config_div[Name],,0)</f>
        <v>水街店</v>
      </c>
      <c r="T1043" t="str">
        <f>IF(Jnl[[#This Row],[TrxDate]]&lt;=stmt_BS_date_end, "In", "Out")</f>
        <v>In</v>
      </c>
      <c r="U1043" t="str">
        <f>IF(Jnl[[#This Row],[TrxDate]]&lt;debug_date_start, "prior", IF(Jnl[[#This Row],[TrxDate]]&gt;debug_date_end, "post", "curr"))</f>
        <v>curr</v>
      </c>
    </row>
    <row r="1044" spans="1:21">
      <c r="A1044" s="11" t="s">
        <v>1509</v>
      </c>
      <c r="B1044" s="7">
        <f>_xlfn.XLOOKUP(Jnl[[#This Row],[TrxId]], Trx[Id], Trx[Date],,0)</f>
        <v>46081</v>
      </c>
      <c r="C1044" s="7" t="str">
        <f>_xlfn.XLOOKUP(Jnl[[#This Row],[TrxId]], Trx[Id], Trx[Division],,0)</f>
        <v>Shuijie</v>
      </c>
      <c r="D1044" s="7" t="str">
        <f>_xlfn.XLOOKUP(Jnl[[#This Row],[TrxId]], Trx[Id], Trx[Action],,0)</f>
        <v>支付</v>
      </c>
      <c r="E1044" s="26" t="s">
        <v>82</v>
      </c>
      <c r="F1044" s="11" t="s">
        <v>590</v>
      </c>
      <c r="G1044" s="11" t="s">
        <v>592</v>
      </c>
      <c r="H1044" s="72">
        <v>-1040</v>
      </c>
      <c r="I1044" s="5" t="b">
        <f>AND(Jnl[[#This Row],[TrxId]]&lt;&gt;"",Jnl[[#This Row],[Acct]]&lt;&gt;"",Jnl[[#This Row],[Item]]&lt;&gt;"",ISNUMBER(Jnl[[#This Row],[Bal]]))</f>
        <v>1</v>
      </c>
      <c r="J1044" s="10">
        <f>IF(Jnl[[#This Row],[BSLv0]]="A",1,-1)*Jnl[[#This Row],[Bal]]</f>
        <v>-1040</v>
      </c>
      <c r="K1044" t="str">
        <f>_xlfn.XLOOKUP(Jnl[[#This Row],[Acct]], config_BS[Acct], config_BS[Lv0],,0)</f>
        <v>A</v>
      </c>
      <c r="L1044" t="str">
        <f>_xlfn.XLOOKUP(Jnl[[#This Row],[Acct]], config_BS[Acct], config_BS[Lv1],,0)</f>
        <v>Assets</v>
      </c>
      <c r="M1044" t="str">
        <f>_xlfn.XLOOKUP(Jnl[[#This Row],[Acct]], config_BS[Acct], config_BS[Lv2],,0)</f>
        <v>Cash alike</v>
      </c>
      <c r="N1044" t="str">
        <f>_xlfn.XLOOKUP(Jnl[[#This Row],[TrxId]], Trx[Id], Trx[IncNode], ,0)</f>
        <v>Cost</v>
      </c>
      <c r="O1044" t="str">
        <f>_xlfn.XLOOKUP(Jnl[[#This Row],[IncNode]], config_IS[Node], config_IS[Type],,0)</f>
        <v>Op</v>
      </c>
      <c r="P1044" t="str">
        <f>_xlfn.XLOOKUP(Jnl[[#This Row],[BSLv2]], dict[Key], dict[Name],,0)</f>
        <v>0.现金及类似</v>
      </c>
      <c r="Q1044" t="str">
        <f>_xlfn.XLOOKUP(Jnl[[#This Row],[Acct]], dict[Key], dict[Name],,0)</f>
        <v>银行</v>
      </c>
      <c r="R1044" t="str">
        <f>_xlfn.XLOOKUP(Jnl[[#This Row],[Vehicle]],config_vehicle[Id], config_vehicle[Name],,0)</f>
        <v>米小易</v>
      </c>
      <c r="S1044" t="str">
        <f>_xlfn.XLOOKUP(Jnl[[#This Row],[Division]],config_div[Id], config_div[Name],,0)</f>
        <v>水街店</v>
      </c>
      <c r="T1044" t="str">
        <f>IF(Jnl[[#This Row],[TrxDate]]&lt;=stmt_BS_date_end, "In", "Out")</f>
        <v>In</v>
      </c>
      <c r="U1044" t="str">
        <f>IF(Jnl[[#This Row],[TrxDate]]&lt;debug_date_start, "prior", IF(Jnl[[#This Row],[TrxDate]]&gt;debug_date_end, "post", "curr"))</f>
        <v>curr</v>
      </c>
    </row>
    <row r="1045" spans="1:21">
      <c r="A1045" s="11" t="s">
        <v>1509</v>
      </c>
      <c r="B1045" s="7">
        <f>_xlfn.XLOOKUP(Jnl[[#This Row],[TrxId]], Trx[Id], Trx[Date],,0)</f>
        <v>46081</v>
      </c>
      <c r="C1045" s="7" t="str">
        <f>_xlfn.XLOOKUP(Jnl[[#This Row],[TrxId]], Trx[Id], Trx[Division],,0)</f>
        <v>Shuijie</v>
      </c>
      <c r="D1045" s="7" t="str">
        <f>_xlfn.XLOOKUP(Jnl[[#This Row],[TrxId]], Trx[Id], Trx[Action],,0)</f>
        <v>支付</v>
      </c>
      <c r="E1045" s="26" t="s">
        <v>82</v>
      </c>
      <c r="F1045" s="11" t="s">
        <v>493</v>
      </c>
      <c r="G1045" s="11" t="s">
        <v>428</v>
      </c>
      <c r="H1045" s="72">
        <v>1040</v>
      </c>
      <c r="I1045" s="5" t="b">
        <f>AND(Jnl[[#This Row],[TrxId]]&lt;&gt;"",Jnl[[#This Row],[Acct]]&lt;&gt;"",Jnl[[#This Row],[Item]]&lt;&gt;"",ISNUMBER(Jnl[[#This Row],[Bal]]))</f>
        <v>1</v>
      </c>
      <c r="J1045" s="10">
        <f>IF(Jnl[[#This Row],[BSLv0]]="A",1,-1)*Jnl[[#This Row],[Bal]]</f>
        <v>1040</v>
      </c>
      <c r="K1045" t="str">
        <f>_xlfn.XLOOKUP(Jnl[[#This Row],[Acct]], config_BS[Acct], config_BS[Lv0],,0)</f>
        <v>A</v>
      </c>
      <c r="L1045" t="str">
        <f>_xlfn.XLOOKUP(Jnl[[#This Row],[Acct]], config_BS[Acct], config_BS[Lv1],,0)</f>
        <v>Assets</v>
      </c>
      <c r="M1045" t="str">
        <f>_xlfn.XLOOKUP(Jnl[[#This Row],[Acct]], config_BS[Acct], config_BS[Lv2],,0)</f>
        <v>Prep-Sub</v>
      </c>
      <c r="N1045" t="str">
        <f>_xlfn.XLOOKUP(Jnl[[#This Row],[TrxId]], Trx[Id], Trx[IncNode], ,0)</f>
        <v>Cost</v>
      </c>
      <c r="O1045" t="str">
        <f>_xlfn.XLOOKUP(Jnl[[#This Row],[IncNode]], config_IS[Node], config_IS[Type],,0)</f>
        <v>Op</v>
      </c>
      <c r="P1045" t="str">
        <f>_xlfn.XLOOKUP(Jnl[[#This Row],[BSLv2]], dict[Key], dict[Name],,0)</f>
        <v>2.预付-订阅</v>
      </c>
      <c r="Q1045" t="str">
        <f>_xlfn.XLOOKUP(Jnl[[#This Row],[Acct]], dict[Key], dict[Name],,0)</f>
        <v>预付订单</v>
      </c>
      <c r="R1045" t="str">
        <f>_xlfn.XLOOKUP(Jnl[[#This Row],[Vehicle]],config_vehicle[Id], config_vehicle[Name],,0)</f>
        <v>米小易</v>
      </c>
      <c r="S1045" t="str">
        <f>_xlfn.XLOOKUP(Jnl[[#This Row],[Division]],config_div[Id], config_div[Name],,0)</f>
        <v>水街店</v>
      </c>
      <c r="T1045" t="str">
        <f>IF(Jnl[[#This Row],[TrxDate]]&lt;=stmt_BS_date_end, "In", "Out")</f>
        <v>In</v>
      </c>
      <c r="U1045" t="str">
        <f>IF(Jnl[[#This Row],[TrxDate]]&lt;debug_date_start, "prior", IF(Jnl[[#This Row],[TrxDate]]&gt;debug_date_end, "post", "curr"))</f>
        <v>curr</v>
      </c>
    </row>
    <row r="1046" spans="1:21">
      <c r="A1046" s="11" t="s">
        <v>1511</v>
      </c>
      <c r="B1046" s="7">
        <f>_xlfn.XLOOKUP(Jnl[[#This Row],[TrxId]], Trx[Id], Trx[Date],,0)</f>
        <v>46081</v>
      </c>
      <c r="C1046" s="7" t="str">
        <f>_xlfn.XLOOKUP(Jnl[[#This Row],[TrxId]], Trx[Id], Trx[Division],,0)</f>
        <v>GM</v>
      </c>
      <c r="D1046" s="7" t="str">
        <f>_xlfn.XLOOKUP(Jnl[[#This Row],[TrxId]], Trx[Id], Trx[Action],,0)</f>
        <v>支付</v>
      </c>
      <c r="E1046" s="26" t="s">
        <v>82</v>
      </c>
      <c r="F1046" s="11" t="s">
        <v>596</v>
      </c>
      <c r="G1046" s="11" t="s">
        <v>149</v>
      </c>
      <c r="H1046" s="72">
        <v>-10923.39</v>
      </c>
      <c r="I1046" s="5" t="b">
        <f>AND(Jnl[[#This Row],[TrxId]]&lt;&gt;"",Jnl[[#This Row],[Acct]]&lt;&gt;"",Jnl[[#This Row],[Item]]&lt;&gt;"",ISNUMBER(Jnl[[#This Row],[Bal]]))</f>
        <v>1</v>
      </c>
      <c r="J1046" s="10">
        <f>IF(Jnl[[#This Row],[BSLv0]]="A",1,-1)*Jnl[[#This Row],[Bal]]</f>
        <v>10923.39</v>
      </c>
      <c r="K1046" t="str">
        <f>_xlfn.XLOOKUP(Jnl[[#This Row],[Acct]], config_BS[Acct], config_BS[Lv0],,0)</f>
        <v>LC</v>
      </c>
      <c r="L1046" t="str">
        <f>_xlfn.XLOOKUP(Jnl[[#This Row],[Acct]], config_BS[Acct], config_BS[Lv1],,0)</f>
        <v>Liability</v>
      </c>
      <c r="M1046" t="str">
        <f>_xlfn.XLOOKUP(Jnl[[#This Row],[Acct]], config_BS[Acct], config_BS[Lv2],,0)</f>
        <v>Rec-Pay</v>
      </c>
      <c r="N1046" t="str">
        <f>_xlfn.XLOOKUP(Jnl[[#This Row],[TrxId]], Trx[Id], Trx[IncNode], ,0)</f>
        <v>Expense</v>
      </c>
      <c r="O1046" t="str">
        <f>_xlfn.XLOOKUP(Jnl[[#This Row],[IncNode]], config_IS[Node], config_IS[Type],,0)</f>
        <v>Op</v>
      </c>
      <c r="P1046" t="str">
        <f>_xlfn.XLOOKUP(Jnl[[#This Row],[BSLv2]], dict[Key], dict[Name],,0)</f>
        <v>1.应收-应付</v>
      </c>
      <c r="Q1046" t="str">
        <f>_xlfn.XLOOKUP(Jnl[[#This Row],[Acct]], dict[Key], dict[Name],,0)</f>
        <v>应付-薪资</v>
      </c>
      <c r="R1046" t="str">
        <f>_xlfn.XLOOKUP(Jnl[[#This Row],[Vehicle]],config_vehicle[Id], config_vehicle[Name],,0)</f>
        <v>米小易</v>
      </c>
      <c r="S1046" t="str">
        <f>_xlfn.XLOOKUP(Jnl[[#This Row],[Division]],config_div[Id], config_div[Name],,0)</f>
        <v>综合管理</v>
      </c>
      <c r="T1046" t="str">
        <f>IF(Jnl[[#This Row],[TrxDate]]&lt;=stmt_BS_date_end, "In", "Out")</f>
        <v>In</v>
      </c>
      <c r="U1046" t="str">
        <f>IF(Jnl[[#This Row],[TrxDate]]&lt;debug_date_start, "prior", IF(Jnl[[#This Row],[TrxDate]]&gt;debug_date_end, "post", "curr"))</f>
        <v>curr</v>
      </c>
    </row>
    <row r="1047" spans="1:21">
      <c r="A1047" s="11" t="s">
        <v>1511</v>
      </c>
      <c r="B1047" s="7">
        <f>_xlfn.XLOOKUP(Jnl[[#This Row],[TrxId]], Trx[Id], Trx[Date],,0)</f>
        <v>46081</v>
      </c>
      <c r="C1047" s="7" t="str">
        <f>_xlfn.XLOOKUP(Jnl[[#This Row],[TrxId]], Trx[Id], Trx[Division],,0)</f>
        <v>GM</v>
      </c>
      <c r="D1047" s="7" t="str">
        <f>_xlfn.XLOOKUP(Jnl[[#This Row],[TrxId]], Trx[Id], Trx[Action],,0)</f>
        <v>支付</v>
      </c>
      <c r="E1047" s="26" t="s">
        <v>82</v>
      </c>
      <c r="F1047" s="11" t="s">
        <v>590</v>
      </c>
      <c r="G1047" s="11" t="s">
        <v>592</v>
      </c>
      <c r="H1047" s="72">
        <f>H1046</f>
        <v>-10923.39</v>
      </c>
      <c r="I1047" s="5" t="b">
        <f>AND(Jnl[[#This Row],[TrxId]]&lt;&gt;"",Jnl[[#This Row],[Acct]]&lt;&gt;"",Jnl[[#This Row],[Item]]&lt;&gt;"",ISNUMBER(Jnl[[#This Row],[Bal]]))</f>
        <v>1</v>
      </c>
      <c r="J1047" s="10">
        <f>IF(Jnl[[#This Row],[BSLv0]]="A",1,-1)*Jnl[[#This Row],[Bal]]</f>
        <v>-10923.39</v>
      </c>
      <c r="K1047" t="str">
        <f>_xlfn.XLOOKUP(Jnl[[#This Row],[Acct]], config_BS[Acct], config_BS[Lv0],,0)</f>
        <v>A</v>
      </c>
      <c r="L1047" t="str">
        <f>_xlfn.XLOOKUP(Jnl[[#This Row],[Acct]], config_BS[Acct], config_BS[Lv1],,0)</f>
        <v>Assets</v>
      </c>
      <c r="M1047" t="str">
        <f>_xlfn.XLOOKUP(Jnl[[#This Row],[Acct]], config_BS[Acct], config_BS[Lv2],,0)</f>
        <v>Cash alike</v>
      </c>
      <c r="N1047" t="str">
        <f>_xlfn.XLOOKUP(Jnl[[#This Row],[TrxId]], Trx[Id], Trx[IncNode], ,0)</f>
        <v>Expense</v>
      </c>
      <c r="O1047" t="str">
        <f>_xlfn.XLOOKUP(Jnl[[#This Row],[IncNode]], config_IS[Node], config_IS[Type],,0)</f>
        <v>Op</v>
      </c>
      <c r="P1047" t="str">
        <f>_xlfn.XLOOKUP(Jnl[[#This Row],[BSLv2]], dict[Key], dict[Name],,0)</f>
        <v>0.现金及类似</v>
      </c>
      <c r="Q1047" t="str">
        <f>_xlfn.XLOOKUP(Jnl[[#This Row],[Acct]], dict[Key], dict[Name],,0)</f>
        <v>银行</v>
      </c>
      <c r="R1047" t="str">
        <f>_xlfn.XLOOKUP(Jnl[[#This Row],[Vehicle]],config_vehicle[Id], config_vehicle[Name],,0)</f>
        <v>米小易</v>
      </c>
      <c r="S1047" t="str">
        <f>_xlfn.XLOOKUP(Jnl[[#This Row],[Division]],config_div[Id], config_div[Name],,0)</f>
        <v>综合管理</v>
      </c>
      <c r="T1047" t="str">
        <f>IF(Jnl[[#This Row],[TrxDate]]&lt;=stmt_BS_date_end, "In", "Out")</f>
        <v>In</v>
      </c>
      <c r="U1047" t="str">
        <f>IF(Jnl[[#This Row],[TrxDate]]&lt;debug_date_start, "prior", IF(Jnl[[#This Row],[TrxDate]]&gt;debug_date_end, "post", "curr"))</f>
        <v>curr</v>
      </c>
    </row>
    <row r="1048" spans="1:21">
      <c r="A1048" s="11" t="s">
        <v>1512</v>
      </c>
      <c r="B1048" s="7">
        <f>_xlfn.XLOOKUP(Jnl[[#This Row],[TrxId]], Trx[Id], Trx[Date],,0)</f>
        <v>46081</v>
      </c>
      <c r="C1048" s="7" t="str">
        <f>_xlfn.XLOOKUP(Jnl[[#This Row],[TrxId]], Trx[Id], Trx[Division],,0)</f>
        <v>Shuijie</v>
      </c>
      <c r="D1048" s="7" t="str">
        <f>_xlfn.XLOOKUP(Jnl[[#This Row],[TrxId]], Trx[Id], Trx[Action],,0)</f>
        <v>支付</v>
      </c>
      <c r="E1048" s="26" t="s">
        <v>82</v>
      </c>
      <c r="F1048" s="11" t="s">
        <v>596</v>
      </c>
      <c r="G1048" s="11" t="s">
        <v>149</v>
      </c>
      <c r="H1048" s="72">
        <v>-135867.84</v>
      </c>
      <c r="I1048" s="5" t="b">
        <f>AND(Jnl[[#This Row],[TrxId]]&lt;&gt;"",Jnl[[#This Row],[Acct]]&lt;&gt;"",Jnl[[#This Row],[Item]]&lt;&gt;"",ISNUMBER(Jnl[[#This Row],[Bal]]))</f>
        <v>1</v>
      </c>
      <c r="J1048" s="10">
        <f>IF(Jnl[[#This Row],[BSLv0]]="A",1,-1)*Jnl[[#This Row],[Bal]]</f>
        <v>135867.84</v>
      </c>
      <c r="K1048" t="str">
        <f>_xlfn.XLOOKUP(Jnl[[#This Row],[Acct]], config_BS[Acct], config_BS[Lv0],,0)</f>
        <v>LC</v>
      </c>
      <c r="L1048" t="str">
        <f>_xlfn.XLOOKUP(Jnl[[#This Row],[Acct]], config_BS[Acct], config_BS[Lv1],,0)</f>
        <v>Liability</v>
      </c>
      <c r="M1048" t="str">
        <f>_xlfn.XLOOKUP(Jnl[[#This Row],[Acct]], config_BS[Acct], config_BS[Lv2],,0)</f>
        <v>Rec-Pay</v>
      </c>
      <c r="N1048" t="str">
        <f>_xlfn.XLOOKUP(Jnl[[#This Row],[TrxId]], Trx[Id], Trx[IncNode], ,0)</f>
        <v>Expense</v>
      </c>
      <c r="O1048" t="str">
        <f>_xlfn.XLOOKUP(Jnl[[#This Row],[IncNode]], config_IS[Node], config_IS[Type],,0)</f>
        <v>Op</v>
      </c>
      <c r="P1048" t="str">
        <f>_xlfn.XLOOKUP(Jnl[[#This Row],[BSLv2]], dict[Key], dict[Name],,0)</f>
        <v>1.应收-应付</v>
      </c>
      <c r="Q1048" t="str">
        <f>_xlfn.XLOOKUP(Jnl[[#This Row],[Acct]], dict[Key], dict[Name],,0)</f>
        <v>应付-薪资</v>
      </c>
      <c r="R1048" t="str">
        <f>_xlfn.XLOOKUP(Jnl[[#This Row],[Vehicle]],config_vehicle[Id], config_vehicle[Name],,0)</f>
        <v>米小易</v>
      </c>
      <c r="S1048" t="str">
        <f>_xlfn.XLOOKUP(Jnl[[#This Row],[Division]],config_div[Id], config_div[Name],,0)</f>
        <v>水街店</v>
      </c>
      <c r="T1048" t="str">
        <f>IF(Jnl[[#This Row],[TrxDate]]&lt;=stmt_BS_date_end, "In", "Out")</f>
        <v>In</v>
      </c>
      <c r="U1048" t="str">
        <f>IF(Jnl[[#This Row],[TrxDate]]&lt;debug_date_start, "prior", IF(Jnl[[#This Row],[TrxDate]]&gt;debug_date_end, "post", "curr"))</f>
        <v>curr</v>
      </c>
    </row>
    <row r="1049" spans="1:21">
      <c r="A1049" s="11" t="s">
        <v>1512</v>
      </c>
      <c r="B1049" s="7">
        <f>_xlfn.XLOOKUP(Jnl[[#This Row],[TrxId]], Trx[Id], Trx[Date],,0)</f>
        <v>46081</v>
      </c>
      <c r="C1049" s="7" t="str">
        <f>_xlfn.XLOOKUP(Jnl[[#This Row],[TrxId]], Trx[Id], Trx[Division],,0)</f>
        <v>Shuijie</v>
      </c>
      <c r="D1049" s="7" t="str">
        <f>_xlfn.XLOOKUP(Jnl[[#This Row],[TrxId]], Trx[Id], Trx[Action],,0)</f>
        <v>支付</v>
      </c>
      <c r="E1049" s="26" t="s">
        <v>82</v>
      </c>
      <c r="F1049" s="11" t="s">
        <v>590</v>
      </c>
      <c r="G1049" s="11" t="s">
        <v>592</v>
      </c>
      <c r="H1049" s="72">
        <f>-135922.08-H1047</f>
        <v>-124998.68999999999</v>
      </c>
      <c r="I1049" s="5" t="b">
        <f>AND(Jnl[[#This Row],[TrxId]]&lt;&gt;"",Jnl[[#This Row],[Acct]]&lt;&gt;"",Jnl[[#This Row],[Item]]&lt;&gt;"",ISNUMBER(Jnl[[#This Row],[Bal]]))</f>
        <v>1</v>
      </c>
      <c r="J1049" s="10">
        <f>IF(Jnl[[#This Row],[BSLv0]]="A",1,-1)*Jnl[[#This Row],[Bal]]</f>
        <v>-124998.68999999999</v>
      </c>
      <c r="K1049" t="str">
        <f>_xlfn.XLOOKUP(Jnl[[#This Row],[Acct]], config_BS[Acct], config_BS[Lv0],,0)</f>
        <v>A</v>
      </c>
      <c r="L1049" t="str">
        <f>_xlfn.XLOOKUP(Jnl[[#This Row],[Acct]], config_BS[Acct], config_BS[Lv1],,0)</f>
        <v>Assets</v>
      </c>
      <c r="M1049" t="str">
        <f>_xlfn.XLOOKUP(Jnl[[#This Row],[Acct]], config_BS[Acct], config_BS[Lv2],,0)</f>
        <v>Cash alike</v>
      </c>
      <c r="N1049" t="str">
        <f>_xlfn.XLOOKUP(Jnl[[#This Row],[TrxId]], Trx[Id], Trx[IncNode], ,0)</f>
        <v>Expense</v>
      </c>
      <c r="O1049" t="str">
        <f>_xlfn.XLOOKUP(Jnl[[#This Row],[IncNode]], config_IS[Node], config_IS[Type],,0)</f>
        <v>Op</v>
      </c>
      <c r="P1049" t="str">
        <f>_xlfn.XLOOKUP(Jnl[[#This Row],[BSLv2]], dict[Key], dict[Name],,0)</f>
        <v>0.现金及类似</v>
      </c>
      <c r="Q1049" t="str">
        <f>_xlfn.XLOOKUP(Jnl[[#This Row],[Acct]], dict[Key], dict[Name],,0)</f>
        <v>银行</v>
      </c>
      <c r="R1049" t="str">
        <f>_xlfn.XLOOKUP(Jnl[[#This Row],[Vehicle]],config_vehicle[Id], config_vehicle[Name],,0)</f>
        <v>米小易</v>
      </c>
      <c r="S1049" t="str">
        <f>_xlfn.XLOOKUP(Jnl[[#This Row],[Division]],config_div[Id], config_div[Name],,0)</f>
        <v>水街店</v>
      </c>
      <c r="T1049" t="str">
        <f>IF(Jnl[[#This Row],[TrxDate]]&lt;=stmt_BS_date_end, "In", "Out")</f>
        <v>In</v>
      </c>
      <c r="U1049" t="str">
        <f>IF(Jnl[[#This Row],[TrxDate]]&lt;debug_date_start, "prior", IF(Jnl[[#This Row],[TrxDate]]&gt;debug_date_end, "post", "curr"))</f>
        <v>curr</v>
      </c>
    </row>
    <row r="1050" spans="1:21">
      <c r="A1050" s="11" t="s">
        <v>1512</v>
      </c>
      <c r="B1050" s="7">
        <f>_xlfn.XLOOKUP(Jnl[[#This Row],[TrxId]], Trx[Id], Trx[Date],,0)</f>
        <v>46081</v>
      </c>
      <c r="C1050" s="7" t="str">
        <f>_xlfn.XLOOKUP(Jnl[[#This Row],[TrxId]], Trx[Id], Trx[Division],,0)</f>
        <v>Shuijie</v>
      </c>
      <c r="D1050" s="7" t="str">
        <f>_xlfn.XLOOKUP(Jnl[[#This Row],[TrxId]], Trx[Id], Trx[Action],,0)</f>
        <v>支付</v>
      </c>
      <c r="E1050" s="26" t="s">
        <v>82</v>
      </c>
      <c r="F1050" s="11" t="s">
        <v>595</v>
      </c>
      <c r="G1050" s="11" t="s">
        <v>344</v>
      </c>
      <c r="H1050" s="72">
        <v>-10497.3</v>
      </c>
      <c r="I1050" s="5" t="b">
        <f>AND(Jnl[[#This Row],[TrxId]]&lt;&gt;"",Jnl[[#This Row],[Acct]]&lt;&gt;"",Jnl[[#This Row],[Item]]&lt;&gt;"",ISNUMBER(Jnl[[#This Row],[Bal]]))</f>
        <v>1</v>
      </c>
      <c r="J1050" s="10">
        <f>IF(Jnl[[#This Row],[BSLv0]]="A",1,-1)*Jnl[[#This Row],[Bal]]</f>
        <v>-10497.3</v>
      </c>
      <c r="K1050" t="str">
        <f>_xlfn.XLOOKUP(Jnl[[#This Row],[Acct]], config_BS[Acct], config_BS[Lv0],,0)</f>
        <v>A</v>
      </c>
      <c r="L1050" t="str">
        <f>_xlfn.XLOOKUP(Jnl[[#This Row],[Acct]], config_BS[Acct], config_BS[Lv1],,0)</f>
        <v>Assets</v>
      </c>
      <c r="M1050" t="str">
        <f>_xlfn.XLOOKUP(Jnl[[#This Row],[Acct]], config_BS[Acct], config_BS[Lv2],,0)</f>
        <v>Rec-Pay</v>
      </c>
      <c r="N1050" t="str">
        <f>_xlfn.XLOOKUP(Jnl[[#This Row],[TrxId]], Trx[Id], Trx[IncNode], ,0)</f>
        <v>Expense</v>
      </c>
      <c r="O1050" t="str">
        <f>_xlfn.XLOOKUP(Jnl[[#This Row],[IncNode]], config_IS[Node], config_IS[Type],,0)</f>
        <v>Op</v>
      </c>
      <c r="P1050" t="str">
        <f>_xlfn.XLOOKUP(Jnl[[#This Row],[BSLv2]], dict[Key], dict[Name],,0)</f>
        <v>1.应收-应付</v>
      </c>
      <c r="Q1050" t="str">
        <f>_xlfn.XLOOKUP(Jnl[[#This Row],[Acct]], dict[Key], dict[Name],,0)</f>
        <v>应收-其他</v>
      </c>
      <c r="R1050" t="str">
        <f>_xlfn.XLOOKUP(Jnl[[#This Row],[Vehicle]],config_vehicle[Id], config_vehicle[Name],,0)</f>
        <v>米小易</v>
      </c>
      <c r="S1050" t="str">
        <f>_xlfn.XLOOKUP(Jnl[[#This Row],[Division]],config_div[Id], config_div[Name],,0)</f>
        <v>水街店</v>
      </c>
      <c r="T1050" t="str">
        <f>IF(Jnl[[#This Row],[TrxDate]]&lt;=stmt_BS_date_end, "In", "Out")</f>
        <v>In</v>
      </c>
      <c r="U1050" t="str">
        <f>IF(Jnl[[#This Row],[TrxDate]]&lt;debug_date_start, "prior", IF(Jnl[[#This Row],[TrxDate]]&gt;debug_date_end, "post", "curr"))</f>
        <v>curr</v>
      </c>
    </row>
    <row r="1051" spans="1:21">
      <c r="A1051" s="11" t="s">
        <v>1512</v>
      </c>
      <c r="B1051" s="7">
        <f>_xlfn.XLOOKUP(Jnl[[#This Row],[TrxId]], Trx[Id], Trx[Date],,0)</f>
        <v>46081</v>
      </c>
      <c r="C1051" s="7" t="str">
        <f>_xlfn.XLOOKUP(Jnl[[#This Row],[TrxId]], Trx[Id], Trx[Division],,0)</f>
        <v>Shuijie</v>
      </c>
      <c r="D1051" s="7" t="str">
        <f>_xlfn.XLOOKUP(Jnl[[#This Row],[TrxId]], Trx[Id], Trx[Action],,0)</f>
        <v>支付</v>
      </c>
      <c r="E1051" s="26" t="s">
        <v>82</v>
      </c>
      <c r="F1051" s="11" t="s">
        <v>127</v>
      </c>
      <c r="G1051" s="11" t="s">
        <v>343</v>
      </c>
      <c r="H1051" s="72">
        <v>371.85</v>
      </c>
      <c r="I1051" s="5" t="b">
        <f>AND(Jnl[[#This Row],[TrxId]]&lt;&gt;"",Jnl[[#This Row],[Acct]]&lt;&gt;"",Jnl[[#This Row],[Item]]&lt;&gt;"",ISNUMBER(Jnl[[#This Row],[Bal]]))</f>
        <v>1</v>
      </c>
      <c r="J1051" s="10">
        <f>IF(Jnl[[#This Row],[BSLv0]]="A",1,-1)*Jnl[[#This Row],[Bal]]</f>
        <v>-371.85</v>
      </c>
      <c r="K1051" t="str">
        <f>_xlfn.XLOOKUP(Jnl[[#This Row],[Acct]], config_BS[Acct], config_BS[Lv0],,0)</f>
        <v>LC</v>
      </c>
      <c r="L1051" t="str">
        <f>_xlfn.XLOOKUP(Jnl[[#This Row],[Acct]], config_BS[Acct], config_BS[Lv1],,0)</f>
        <v>Liability</v>
      </c>
      <c r="M1051" t="str">
        <f>_xlfn.XLOOKUP(Jnl[[#This Row],[Acct]], config_BS[Acct], config_BS[Lv2],,0)</f>
        <v>Rec-Pay</v>
      </c>
      <c r="N1051" t="str">
        <f>_xlfn.XLOOKUP(Jnl[[#This Row],[TrxId]], Trx[Id], Trx[IncNode], ,0)</f>
        <v>Expense</v>
      </c>
      <c r="O1051" t="str">
        <f>_xlfn.XLOOKUP(Jnl[[#This Row],[IncNode]], config_IS[Node], config_IS[Type],,0)</f>
        <v>Op</v>
      </c>
      <c r="P1051" t="str">
        <f>_xlfn.XLOOKUP(Jnl[[#This Row],[BSLv2]], dict[Key], dict[Name],,0)</f>
        <v>1.应收-应付</v>
      </c>
      <c r="Q1051" t="str">
        <f>_xlfn.XLOOKUP(Jnl[[#This Row],[Acct]], dict[Key], dict[Name],,0)</f>
        <v>应付-税款</v>
      </c>
      <c r="R1051" t="str">
        <f>_xlfn.XLOOKUP(Jnl[[#This Row],[Vehicle]],config_vehicle[Id], config_vehicle[Name],,0)</f>
        <v>米小易</v>
      </c>
      <c r="S1051" t="str">
        <f>_xlfn.XLOOKUP(Jnl[[#This Row],[Division]],config_div[Id], config_div[Name],,0)</f>
        <v>水街店</v>
      </c>
      <c r="T1051" t="str">
        <f>IF(Jnl[[#This Row],[TrxDate]]&lt;=stmt_BS_date_end, "In", "Out")</f>
        <v>In</v>
      </c>
      <c r="U1051" t="str">
        <f>IF(Jnl[[#This Row],[TrxDate]]&lt;debug_date_start, "prior", IF(Jnl[[#This Row],[TrxDate]]&gt;debug_date_end, "post", "curr"))</f>
        <v>curr</v>
      </c>
    </row>
    <row r="1052" spans="1:21">
      <c r="A1052" s="11" t="s">
        <v>1513</v>
      </c>
      <c r="B1052" s="7">
        <f>_xlfn.XLOOKUP(Jnl[[#This Row],[TrxId]], Trx[Id], Trx[Date],,0)</f>
        <v>46081</v>
      </c>
      <c r="C1052" s="7" t="str">
        <f>_xlfn.XLOOKUP(Jnl[[#This Row],[TrxId]], Trx[Id], Trx[Division],,0)</f>
        <v>Shuijie</v>
      </c>
      <c r="D1052" s="7" t="str">
        <f>_xlfn.XLOOKUP(Jnl[[#This Row],[TrxId]], Trx[Id], Trx[Action],,0)</f>
        <v>食材</v>
      </c>
      <c r="E1052" s="26" t="s">
        <v>82</v>
      </c>
      <c r="F1052" s="11" t="s">
        <v>493</v>
      </c>
      <c r="G1052" s="11" t="s">
        <v>428</v>
      </c>
      <c r="H1052" s="72">
        <v>-488</v>
      </c>
      <c r="I1052" s="5" t="b">
        <f>AND(Jnl[[#This Row],[TrxId]]&lt;&gt;"",Jnl[[#This Row],[Acct]]&lt;&gt;"",Jnl[[#This Row],[Item]]&lt;&gt;"",ISNUMBER(Jnl[[#This Row],[Bal]]))</f>
        <v>1</v>
      </c>
      <c r="J1052" s="10">
        <f>IF(Jnl[[#This Row],[BSLv0]]="A",1,-1)*Jnl[[#This Row],[Bal]]</f>
        <v>-488</v>
      </c>
      <c r="K1052" t="str">
        <f>_xlfn.XLOOKUP(Jnl[[#This Row],[Acct]], config_BS[Acct], config_BS[Lv0],,0)</f>
        <v>A</v>
      </c>
      <c r="L1052" t="str">
        <f>_xlfn.XLOOKUP(Jnl[[#This Row],[Acct]], config_BS[Acct], config_BS[Lv1],,0)</f>
        <v>Assets</v>
      </c>
      <c r="M1052" t="str">
        <f>_xlfn.XLOOKUP(Jnl[[#This Row],[Acct]], config_BS[Acct], config_BS[Lv2],,0)</f>
        <v>Prep-Sub</v>
      </c>
      <c r="N1052" t="str">
        <f>_xlfn.XLOOKUP(Jnl[[#This Row],[TrxId]], Trx[Id], Trx[IncNode], ,0)</f>
        <v>Cost</v>
      </c>
      <c r="O1052" t="str">
        <f>_xlfn.XLOOKUP(Jnl[[#This Row],[IncNode]], config_IS[Node], config_IS[Type],,0)</f>
        <v>Op</v>
      </c>
      <c r="P1052" t="str">
        <f>_xlfn.XLOOKUP(Jnl[[#This Row],[BSLv2]], dict[Key], dict[Name],,0)</f>
        <v>2.预付-订阅</v>
      </c>
      <c r="Q1052" t="str">
        <f>_xlfn.XLOOKUP(Jnl[[#This Row],[Acct]], dict[Key], dict[Name],,0)</f>
        <v>预付订单</v>
      </c>
      <c r="R1052" t="str">
        <f>_xlfn.XLOOKUP(Jnl[[#This Row],[Vehicle]],config_vehicle[Id], config_vehicle[Name],,0)</f>
        <v>米小易</v>
      </c>
      <c r="S1052" t="str">
        <f>_xlfn.XLOOKUP(Jnl[[#This Row],[Division]],config_div[Id], config_div[Name],,0)</f>
        <v>水街店</v>
      </c>
      <c r="T1052" t="str">
        <f>IF(Jnl[[#This Row],[TrxDate]]&lt;=stmt_BS_date_end, "In", "Out")</f>
        <v>In</v>
      </c>
      <c r="U1052" t="str">
        <f>IF(Jnl[[#This Row],[TrxDate]]&lt;debug_date_start, "prior", IF(Jnl[[#This Row],[TrxDate]]&gt;debug_date_end, "post", "curr"))</f>
        <v>curr</v>
      </c>
    </row>
    <row r="1053" spans="1:21">
      <c r="A1053" s="11" t="s">
        <v>1514</v>
      </c>
      <c r="B1053" s="7">
        <f>_xlfn.XLOOKUP(Jnl[[#This Row],[TrxId]], Trx[Id], Trx[Date],,0)</f>
        <v>46081</v>
      </c>
      <c r="C1053" s="7" t="str">
        <f>_xlfn.XLOOKUP(Jnl[[#This Row],[TrxId]], Trx[Id], Trx[Division],,0)</f>
        <v>Shuijie</v>
      </c>
      <c r="D1053" s="7" t="str">
        <f>_xlfn.XLOOKUP(Jnl[[#This Row],[TrxId]], Trx[Id], Trx[Action],,0)</f>
        <v>采购</v>
      </c>
      <c r="E1053" s="26" t="s">
        <v>82</v>
      </c>
      <c r="F1053" s="11" t="s">
        <v>493</v>
      </c>
      <c r="G1053" s="11" t="s">
        <v>428</v>
      </c>
      <c r="H1053" s="72">
        <v>-877</v>
      </c>
      <c r="I1053" s="5" t="b">
        <f>AND(Jnl[[#This Row],[TrxId]]&lt;&gt;"",Jnl[[#This Row],[Acct]]&lt;&gt;"",Jnl[[#This Row],[Item]]&lt;&gt;"",ISNUMBER(Jnl[[#This Row],[Bal]]))</f>
        <v>1</v>
      </c>
      <c r="J1053" s="10">
        <f>IF(Jnl[[#This Row],[BSLv0]]="A",1,-1)*Jnl[[#This Row],[Bal]]</f>
        <v>-877</v>
      </c>
      <c r="K1053" t="str">
        <f>_xlfn.XLOOKUP(Jnl[[#This Row],[Acct]], config_BS[Acct], config_BS[Lv0],,0)</f>
        <v>A</v>
      </c>
      <c r="L1053" t="str">
        <f>_xlfn.XLOOKUP(Jnl[[#This Row],[Acct]], config_BS[Acct], config_BS[Lv1],,0)</f>
        <v>Assets</v>
      </c>
      <c r="M1053" t="str">
        <f>_xlfn.XLOOKUP(Jnl[[#This Row],[Acct]], config_BS[Acct], config_BS[Lv2],,0)</f>
        <v>Prep-Sub</v>
      </c>
      <c r="N1053" t="str">
        <f>_xlfn.XLOOKUP(Jnl[[#This Row],[TrxId]], Trx[Id], Trx[IncNode], ,0)</f>
        <v>Cost</v>
      </c>
      <c r="O1053" t="str">
        <f>_xlfn.XLOOKUP(Jnl[[#This Row],[IncNode]], config_IS[Node], config_IS[Type],,0)</f>
        <v>Op</v>
      </c>
      <c r="P1053" t="str">
        <f>_xlfn.XLOOKUP(Jnl[[#This Row],[BSLv2]], dict[Key], dict[Name],,0)</f>
        <v>2.预付-订阅</v>
      </c>
      <c r="Q1053" t="str">
        <f>_xlfn.XLOOKUP(Jnl[[#This Row],[Acct]], dict[Key], dict[Name],,0)</f>
        <v>预付订单</v>
      </c>
      <c r="R1053" t="str">
        <f>_xlfn.XLOOKUP(Jnl[[#This Row],[Vehicle]],config_vehicle[Id], config_vehicle[Name],,0)</f>
        <v>米小易</v>
      </c>
      <c r="S1053" t="str">
        <f>_xlfn.XLOOKUP(Jnl[[#This Row],[Division]],config_div[Id], config_div[Name],,0)</f>
        <v>水街店</v>
      </c>
      <c r="T1053" t="str">
        <f>IF(Jnl[[#This Row],[TrxDate]]&lt;=stmt_BS_date_end, "In", "Out")</f>
        <v>In</v>
      </c>
      <c r="U1053" t="str">
        <f>IF(Jnl[[#This Row],[TrxDate]]&lt;debug_date_start, "prior", IF(Jnl[[#This Row],[TrxDate]]&gt;debug_date_end, "post", "curr"))</f>
        <v>curr</v>
      </c>
    </row>
    <row r="1054" spans="1:21">
      <c r="A1054" s="11" t="s">
        <v>1514</v>
      </c>
      <c r="B1054" s="7">
        <f>_xlfn.XLOOKUP(Jnl[[#This Row],[TrxId]], Trx[Id], Trx[Date],,0)</f>
        <v>46081</v>
      </c>
      <c r="C1054" s="7" t="str">
        <f>_xlfn.XLOOKUP(Jnl[[#This Row],[TrxId]], Trx[Id], Trx[Division],,0)</f>
        <v>Shuijie</v>
      </c>
      <c r="D1054" s="7" t="str">
        <f>_xlfn.XLOOKUP(Jnl[[#This Row],[TrxId]], Trx[Id], Trx[Action],,0)</f>
        <v>采购</v>
      </c>
      <c r="E1054" s="26" t="s">
        <v>82</v>
      </c>
      <c r="F1054" s="11" t="s">
        <v>598</v>
      </c>
      <c r="G1054" s="11" t="s">
        <v>152</v>
      </c>
      <c r="H1054" s="72">
        <f>-H1053</f>
        <v>877</v>
      </c>
      <c r="I1054" s="5" t="b">
        <f>AND(Jnl[[#This Row],[TrxId]]&lt;&gt;"",Jnl[[#This Row],[Acct]]&lt;&gt;"",Jnl[[#This Row],[Item]]&lt;&gt;"",ISNUMBER(Jnl[[#This Row],[Bal]]))</f>
        <v>1</v>
      </c>
      <c r="J1054" s="10">
        <f>IF(Jnl[[#This Row],[BSLv0]]="A",1,-1)*Jnl[[#This Row],[Bal]]</f>
        <v>877</v>
      </c>
      <c r="K1054" t="str">
        <f>_xlfn.XLOOKUP(Jnl[[#This Row],[Acct]], config_BS[Acct], config_BS[Lv0],,0)</f>
        <v>A</v>
      </c>
      <c r="L1054" t="str">
        <f>_xlfn.XLOOKUP(Jnl[[#This Row],[Acct]], config_BS[Acct], config_BS[Lv1],,0)</f>
        <v>Assets</v>
      </c>
      <c r="M1054" t="str">
        <f>_xlfn.XLOOKUP(Jnl[[#This Row],[Acct]], config_BS[Acct], config_BS[Lv2],,0)</f>
        <v>Invtr</v>
      </c>
      <c r="N1054" t="str">
        <f>_xlfn.XLOOKUP(Jnl[[#This Row],[TrxId]], Trx[Id], Trx[IncNode], ,0)</f>
        <v>Cost</v>
      </c>
      <c r="O1054" t="str">
        <f>_xlfn.XLOOKUP(Jnl[[#This Row],[IncNode]], config_IS[Node], config_IS[Type],,0)</f>
        <v>Op</v>
      </c>
      <c r="P1054" t="str">
        <f>_xlfn.XLOOKUP(Jnl[[#This Row],[BSLv2]], dict[Key], dict[Name],,0)</f>
        <v>3.库存占款</v>
      </c>
      <c r="Q1054" t="str">
        <f>_xlfn.XLOOKUP(Jnl[[#This Row],[Acct]], dict[Key], dict[Name],,0)</f>
        <v>当期存货</v>
      </c>
      <c r="R1054" t="str">
        <f>_xlfn.XLOOKUP(Jnl[[#This Row],[Vehicle]],config_vehicle[Id], config_vehicle[Name],,0)</f>
        <v>米小易</v>
      </c>
      <c r="S1054" t="str">
        <f>_xlfn.XLOOKUP(Jnl[[#This Row],[Division]],config_div[Id], config_div[Name],,0)</f>
        <v>水街店</v>
      </c>
      <c r="T1054" t="str">
        <f>IF(Jnl[[#This Row],[TrxDate]]&lt;=stmt_BS_date_end, "In", "Out")</f>
        <v>In</v>
      </c>
      <c r="U1054" t="str">
        <f>IF(Jnl[[#This Row],[TrxDate]]&lt;debug_date_start, "prior", IF(Jnl[[#This Row],[TrxDate]]&gt;debug_date_end, "post", "curr"))</f>
        <v>curr</v>
      </c>
    </row>
    <row r="1055" spans="1:21">
      <c r="A1055" s="11" t="s">
        <v>1515</v>
      </c>
      <c r="B1055" s="7">
        <f>_xlfn.XLOOKUP(Jnl[[#This Row],[TrxId]], Trx[Id], Trx[Date],,0)</f>
        <v>46081</v>
      </c>
      <c r="C1055" s="7" t="str">
        <f>_xlfn.XLOOKUP(Jnl[[#This Row],[TrxId]], Trx[Id], Trx[Division],,0)</f>
        <v>Shuijie</v>
      </c>
      <c r="D1055" s="7" t="str">
        <f>_xlfn.XLOOKUP(Jnl[[#This Row],[TrxId]], Trx[Id], Trx[Action],,0)</f>
        <v>食材</v>
      </c>
      <c r="E1055" s="26" t="s">
        <v>82</v>
      </c>
      <c r="F1055" s="11" t="s">
        <v>493</v>
      </c>
      <c r="G1055" s="11" t="s">
        <v>428</v>
      </c>
      <c r="H1055" s="72">
        <v>-376</v>
      </c>
      <c r="I1055" s="5" t="b">
        <f>AND(Jnl[[#This Row],[TrxId]]&lt;&gt;"",Jnl[[#This Row],[Acct]]&lt;&gt;"",Jnl[[#This Row],[Item]]&lt;&gt;"",ISNUMBER(Jnl[[#This Row],[Bal]]))</f>
        <v>1</v>
      </c>
      <c r="J1055" s="10">
        <f>IF(Jnl[[#This Row],[BSLv0]]="A",1,-1)*Jnl[[#This Row],[Bal]]</f>
        <v>-376</v>
      </c>
      <c r="K1055" t="str">
        <f>_xlfn.XLOOKUP(Jnl[[#This Row],[Acct]], config_BS[Acct], config_BS[Lv0],,0)</f>
        <v>A</v>
      </c>
      <c r="L1055" t="str">
        <f>_xlfn.XLOOKUP(Jnl[[#This Row],[Acct]], config_BS[Acct], config_BS[Lv1],,0)</f>
        <v>Assets</v>
      </c>
      <c r="M1055" t="str">
        <f>_xlfn.XLOOKUP(Jnl[[#This Row],[Acct]], config_BS[Acct], config_BS[Lv2],,0)</f>
        <v>Prep-Sub</v>
      </c>
      <c r="N1055" t="str">
        <f>_xlfn.XLOOKUP(Jnl[[#This Row],[TrxId]], Trx[Id], Trx[IncNode], ,0)</f>
        <v>Cost</v>
      </c>
      <c r="O1055" t="str">
        <f>_xlfn.XLOOKUP(Jnl[[#This Row],[IncNode]], config_IS[Node], config_IS[Type],,0)</f>
        <v>Op</v>
      </c>
      <c r="P1055" t="str">
        <f>_xlfn.XLOOKUP(Jnl[[#This Row],[BSLv2]], dict[Key], dict[Name],,0)</f>
        <v>2.预付-订阅</v>
      </c>
      <c r="Q1055" t="str">
        <f>_xlfn.XLOOKUP(Jnl[[#This Row],[Acct]], dict[Key], dict[Name],,0)</f>
        <v>预付订单</v>
      </c>
      <c r="R1055" t="str">
        <f>_xlfn.XLOOKUP(Jnl[[#This Row],[Vehicle]],config_vehicle[Id], config_vehicle[Name],,0)</f>
        <v>米小易</v>
      </c>
      <c r="S1055" t="str">
        <f>_xlfn.XLOOKUP(Jnl[[#This Row],[Division]],config_div[Id], config_div[Name],,0)</f>
        <v>水街店</v>
      </c>
      <c r="T1055" t="str">
        <f>IF(Jnl[[#This Row],[TrxDate]]&lt;=stmt_BS_date_end, "In", "Out")</f>
        <v>In</v>
      </c>
      <c r="U1055" t="str">
        <f>IF(Jnl[[#This Row],[TrxDate]]&lt;debug_date_start, "prior", IF(Jnl[[#This Row],[TrxDate]]&gt;debug_date_end, "post", "curr"))</f>
        <v>curr</v>
      </c>
    </row>
    <row r="1056" spans="1:21">
      <c r="A1056" s="11" t="s">
        <v>1516</v>
      </c>
      <c r="B1056" s="7">
        <f>_xlfn.XLOOKUP(Jnl[[#This Row],[TrxId]], Trx[Id], Trx[Date],,0)</f>
        <v>46081</v>
      </c>
      <c r="C1056" s="7" t="str">
        <f>_xlfn.XLOOKUP(Jnl[[#This Row],[TrxId]], Trx[Id], Trx[Division],,0)</f>
        <v>Shuijie</v>
      </c>
      <c r="D1056" s="7" t="str">
        <f>_xlfn.XLOOKUP(Jnl[[#This Row],[TrxId]], Trx[Id], Trx[Action],,0)</f>
        <v>食材</v>
      </c>
      <c r="E1056" s="26" t="s">
        <v>82</v>
      </c>
      <c r="F1056" s="11" t="s">
        <v>493</v>
      </c>
      <c r="G1056" s="11" t="s">
        <v>428</v>
      </c>
      <c r="H1056" s="72">
        <v>-14700</v>
      </c>
      <c r="I1056" s="5" t="b">
        <f>AND(Jnl[[#This Row],[TrxId]]&lt;&gt;"",Jnl[[#This Row],[Acct]]&lt;&gt;"",Jnl[[#This Row],[Item]]&lt;&gt;"",ISNUMBER(Jnl[[#This Row],[Bal]]))</f>
        <v>1</v>
      </c>
      <c r="J1056" s="10">
        <f>IF(Jnl[[#This Row],[BSLv0]]="A",1,-1)*Jnl[[#This Row],[Bal]]</f>
        <v>-14700</v>
      </c>
      <c r="K1056" t="str">
        <f>_xlfn.XLOOKUP(Jnl[[#This Row],[Acct]], config_BS[Acct], config_BS[Lv0],,0)</f>
        <v>A</v>
      </c>
      <c r="L1056" t="str">
        <f>_xlfn.XLOOKUP(Jnl[[#This Row],[Acct]], config_BS[Acct], config_BS[Lv1],,0)</f>
        <v>Assets</v>
      </c>
      <c r="M1056" t="str">
        <f>_xlfn.XLOOKUP(Jnl[[#This Row],[Acct]], config_BS[Acct], config_BS[Lv2],,0)</f>
        <v>Prep-Sub</v>
      </c>
      <c r="N1056" t="str">
        <f>_xlfn.XLOOKUP(Jnl[[#This Row],[TrxId]], Trx[Id], Trx[IncNode], ,0)</f>
        <v>Cost</v>
      </c>
      <c r="O1056" t="str">
        <f>_xlfn.XLOOKUP(Jnl[[#This Row],[IncNode]], config_IS[Node], config_IS[Type],,0)</f>
        <v>Op</v>
      </c>
      <c r="P1056" t="str">
        <f>_xlfn.XLOOKUP(Jnl[[#This Row],[BSLv2]], dict[Key], dict[Name],,0)</f>
        <v>2.预付-订阅</v>
      </c>
      <c r="Q1056" t="str">
        <f>_xlfn.XLOOKUP(Jnl[[#This Row],[Acct]], dict[Key], dict[Name],,0)</f>
        <v>预付订单</v>
      </c>
      <c r="R1056" t="str">
        <f>_xlfn.XLOOKUP(Jnl[[#This Row],[Vehicle]],config_vehicle[Id], config_vehicle[Name],,0)</f>
        <v>米小易</v>
      </c>
      <c r="S1056" t="str">
        <f>_xlfn.XLOOKUP(Jnl[[#This Row],[Division]],config_div[Id], config_div[Name],,0)</f>
        <v>水街店</v>
      </c>
      <c r="T1056" t="str">
        <f>IF(Jnl[[#This Row],[TrxDate]]&lt;=stmt_BS_date_end, "In", "Out")</f>
        <v>In</v>
      </c>
      <c r="U1056" t="str">
        <f>IF(Jnl[[#This Row],[TrxDate]]&lt;debug_date_start, "prior", IF(Jnl[[#This Row],[TrxDate]]&gt;debug_date_end, "post", "curr"))</f>
        <v>curr</v>
      </c>
    </row>
    <row r="1057" spans="1:21">
      <c r="A1057" s="11" t="s">
        <v>1517</v>
      </c>
      <c r="B1057" s="7">
        <f>_xlfn.XLOOKUP(Jnl[[#This Row],[TrxId]], Trx[Id], Trx[Date],,0)</f>
        <v>46081</v>
      </c>
      <c r="C1057" s="7" t="str">
        <f>_xlfn.XLOOKUP(Jnl[[#This Row],[TrxId]], Trx[Id], Trx[Division],,0)</f>
        <v>Shuijie</v>
      </c>
      <c r="D1057" s="7" t="str">
        <f>_xlfn.XLOOKUP(Jnl[[#This Row],[TrxId]], Trx[Id], Trx[Action],,0)</f>
        <v>食材</v>
      </c>
      <c r="E1057" s="26" t="s">
        <v>82</v>
      </c>
      <c r="F1057" s="11" t="s">
        <v>493</v>
      </c>
      <c r="G1057" s="11" t="s">
        <v>428</v>
      </c>
      <c r="H1057" s="72">
        <v>-2940</v>
      </c>
      <c r="I1057" s="5" t="b">
        <f>AND(Jnl[[#This Row],[TrxId]]&lt;&gt;"",Jnl[[#This Row],[Acct]]&lt;&gt;"",Jnl[[#This Row],[Item]]&lt;&gt;"",ISNUMBER(Jnl[[#This Row],[Bal]]))</f>
        <v>1</v>
      </c>
      <c r="J1057" s="10">
        <f>IF(Jnl[[#This Row],[BSLv0]]="A",1,-1)*Jnl[[#This Row],[Bal]]</f>
        <v>-2940</v>
      </c>
      <c r="K1057" t="str">
        <f>_xlfn.XLOOKUP(Jnl[[#This Row],[Acct]], config_BS[Acct], config_BS[Lv0],,0)</f>
        <v>A</v>
      </c>
      <c r="L1057" t="str">
        <f>_xlfn.XLOOKUP(Jnl[[#This Row],[Acct]], config_BS[Acct], config_BS[Lv1],,0)</f>
        <v>Assets</v>
      </c>
      <c r="M1057" t="str">
        <f>_xlfn.XLOOKUP(Jnl[[#This Row],[Acct]], config_BS[Acct], config_BS[Lv2],,0)</f>
        <v>Prep-Sub</v>
      </c>
      <c r="N1057" t="str">
        <f>_xlfn.XLOOKUP(Jnl[[#This Row],[TrxId]], Trx[Id], Trx[IncNode], ,0)</f>
        <v>Cost</v>
      </c>
      <c r="O1057" t="str">
        <f>_xlfn.XLOOKUP(Jnl[[#This Row],[IncNode]], config_IS[Node], config_IS[Type],,0)</f>
        <v>Op</v>
      </c>
      <c r="P1057" t="str">
        <f>_xlfn.XLOOKUP(Jnl[[#This Row],[BSLv2]], dict[Key], dict[Name],,0)</f>
        <v>2.预付-订阅</v>
      </c>
      <c r="Q1057" t="str">
        <f>_xlfn.XLOOKUP(Jnl[[#This Row],[Acct]], dict[Key], dict[Name],,0)</f>
        <v>预付订单</v>
      </c>
      <c r="R1057" t="str">
        <f>_xlfn.XLOOKUP(Jnl[[#This Row],[Vehicle]],config_vehicle[Id], config_vehicle[Name],,0)</f>
        <v>米小易</v>
      </c>
      <c r="S1057" t="str">
        <f>_xlfn.XLOOKUP(Jnl[[#This Row],[Division]],config_div[Id], config_div[Name],,0)</f>
        <v>水街店</v>
      </c>
      <c r="T1057" t="str">
        <f>IF(Jnl[[#This Row],[TrxDate]]&lt;=stmt_BS_date_end, "In", "Out")</f>
        <v>In</v>
      </c>
      <c r="U1057" t="str">
        <f>IF(Jnl[[#This Row],[TrxDate]]&lt;debug_date_start, "prior", IF(Jnl[[#This Row],[TrxDate]]&gt;debug_date_end, "post", "curr"))</f>
        <v>curr</v>
      </c>
    </row>
    <row r="1058" spans="1:21">
      <c r="A1058" s="11" t="s">
        <v>1518</v>
      </c>
      <c r="B1058" s="7">
        <f>_xlfn.XLOOKUP(Jnl[[#This Row],[TrxId]], Trx[Id], Trx[Date],,0)</f>
        <v>46081</v>
      </c>
      <c r="C1058" s="7" t="str">
        <f>_xlfn.XLOOKUP(Jnl[[#This Row],[TrxId]], Trx[Id], Trx[Division],,0)</f>
        <v>Shuijie</v>
      </c>
      <c r="D1058" s="7" t="str">
        <f>_xlfn.XLOOKUP(Jnl[[#This Row],[TrxId]], Trx[Id], Trx[Action],,0)</f>
        <v>食材</v>
      </c>
      <c r="E1058" s="26" t="s">
        <v>82</v>
      </c>
      <c r="F1058" s="11" t="s">
        <v>493</v>
      </c>
      <c r="G1058" s="11" t="s">
        <v>428</v>
      </c>
      <c r="H1058" s="72">
        <v>-1290</v>
      </c>
      <c r="I1058" s="5" t="b">
        <f>AND(Jnl[[#This Row],[TrxId]]&lt;&gt;"",Jnl[[#This Row],[Acct]]&lt;&gt;"",Jnl[[#This Row],[Item]]&lt;&gt;"",ISNUMBER(Jnl[[#This Row],[Bal]]))</f>
        <v>1</v>
      </c>
      <c r="J1058" s="10">
        <f>IF(Jnl[[#This Row],[BSLv0]]="A",1,-1)*Jnl[[#This Row],[Bal]]</f>
        <v>-1290</v>
      </c>
      <c r="K1058" t="str">
        <f>_xlfn.XLOOKUP(Jnl[[#This Row],[Acct]], config_BS[Acct], config_BS[Lv0],,0)</f>
        <v>A</v>
      </c>
      <c r="L1058" t="str">
        <f>_xlfn.XLOOKUP(Jnl[[#This Row],[Acct]], config_BS[Acct], config_BS[Lv1],,0)</f>
        <v>Assets</v>
      </c>
      <c r="M1058" t="str">
        <f>_xlfn.XLOOKUP(Jnl[[#This Row],[Acct]], config_BS[Acct], config_BS[Lv2],,0)</f>
        <v>Prep-Sub</v>
      </c>
      <c r="N1058" t="str">
        <f>_xlfn.XLOOKUP(Jnl[[#This Row],[TrxId]], Trx[Id], Trx[IncNode], ,0)</f>
        <v>Cost</v>
      </c>
      <c r="O1058" t="str">
        <f>_xlfn.XLOOKUP(Jnl[[#This Row],[IncNode]], config_IS[Node], config_IS[Type],,0)</f>
        <v>Op</v>
      </c>
      <c r="P1058" t="str">
        <f>_xlfn.XLOOKUP(Jnl[[#This Row],[BSLv2]], dict[Key], dict[Name],,0)</f>
        <v>2.预付-订阅</v>
      </c>
      <c r="Q1058" t="str">
        <f>_xlfn.XLOOKUP(Jnl[[#This Row],[Acct]], dict[Key], dict[Name],,0)</f>
        <v>预付订单</v>
      </c>
      <c r="R1058" t="str">
        <f>_xlfn.XLOOKUP(Jnl[[#This Row],[Vehicle]],config_vehicle[Id], config_vehicle[Name],,0)</f>
        <v>米小易</v>
      </c>
      <c r="S1058" t="str">
        <f>_xlfn.XLOOKUP(Jnl[[#This Row],[Division]],config_div[Id], config_div[Name],,0)</f>
        <v>水街店</v>
      </c>
      <c r="T1058" t="str">
        <f>IF(Jnl[[#This Row],[TrxDate]]&lt;=stmt_BS_date_end, "In", "Out")</f>
        <v>In</v>
      </c>
      <c r="U1058" t="str">
        <f>IF(Jnl[[#This Row],[TrxDate]]&lt;debug_date_start, "prior", IF(Jnl[[#This Row],[TrxDate]]&gt;debug_date_end, "post", "curr"))</f>
        <v>curr</v>
      </c>
    </row>
    <row r="1059" spans="1:21">
      <c r="A1059" s="11" t="s">
        <v>1519</v>
      </c>
      <c r="B1059" s="7">
        <f>_xlfn.XLOOKUP(Jnl[[#This Row],[TrxId]], Trx[Id], Trx[Date],,0)</f>
        <v>46081</v>
      </c>
      <c r="C1059" s="7" t="str">
        <f>_xlfn.XLOOKUP(Jnl[[#This Row],[TrxId]], Trx[Id], Trx[Division],,0)</f>
        <v>Shuijie</v>
      </c>
      <c r="D1059" s="7" t="str">
        <f>_xlfn.XLOOKUP(Jnl[[#This Row],[TrxId]], Trx[Id], Trx[Action],,0)</f>
        <v>食材</v>
      </c>
      <c r="E1059" s="26" t="s">
        <v>82</v>
      </c>
      <c r="F1059" s="11" t="s">
        <v>493</v>
      </c>
      <c r="G1059" s="11" t="s">
        <v>428</v>
      </c>
      <c r="H1059" s="72">
        <v>-9998</v>
      </c>
      <c r="I1059" s="5" t="b">
        <f>AND(Jnl[[#This Row],[TrxId]]&lt;&gt;"",Jnl[[#This Row],[Acct]]&lt;&gt;"",Jnl[[#This Row],[Item]]&lt;&gt;"",ISNUMBER(Jnl[[#This Row],[Bal]]))</f>
        <v>1</v>
      </c>
      <c r="J1059" s="10">
        <f>IF(Jnl[[#This Row],[BSLv0]]="A",1,-1)*Jnl[[#This Row],[Bal]]</f>
        <v>-9998</v>
      </c>
      <c r="K1059" t="str">
        <f>_xlfn.XLOOKUP(Jnl[[#This Row],[Acct]], config_BS[Acct], config_BS[Lv0],,0)</f>
        <v>A</v>
      </c>
      <c r="L1059" t="str">
        <f>_xlfn.XLOOKUP(Jnl[[#This Row],[Acct]], config_BS[Acct], config_BS[Lv1],,0)</f>
        <v>Assets</v>
      </c>
      <c r="M1059" t="str">
        <f>_xlfn.XLOOKUP(Jnl[[#This Row],[Acct]], config_BS[Acct], config_BS[Lv2],,0)</f>
        <v>Prep-Sub</v>
      </c>
      <c r="N1059" t="str">
        <f>_xlfn.XLOOKUP(Jnl[[#This Row],[TrxId]], Trx[Id], Trx[IncNode], ,0)</f>
        <v>Cost</v>
      </c>
      <c r="O1059" t="str">
        <f>_xlfn.XLOOKUP(Jnl[[#This Row],[IncNode]], config_IS[Node], config_IS[Type],,0)</f>
        <v>Op</v>
      </c>
      <c r="P1059" t="str">
        <f>_xlfn.XLOOKUP(Jnl[[#This Row],[BSLv2]], dict[Key], dict[Name],,0)</f>
        <v>2.预付-订阅</v>
      </c>
      <c r="Q1059" t="str">
        <f>_xlfn.XLOOKUP(Jnl[[#This Row],[Acct]], dict[Key], dict[Name],,0)</f>
        <v>预付订单</v>
      </c>
      <c r="R1059" t="str">
        <f>_xlfn.XLOOKUP(Jnl[[#This Row],[Vehicle]],config_vehicle[Id], config_vehicle[Name],,0)</f>
        <v>米小易</v>
      </c>
      <c r="S1059" t="str">
        <f>_xlfn.XLOOKUP(Jnl[[#This Row],[Division]],config_div[Id], config_div[Name],,0)</f>
        <v>水街店</v>
      </c>
      <c r="T1059" t="str">
        <f>IF(Jnl[[#This Row],[TrxDate]]&lt;=stmt_BS_date_end, "In", "Out")</f>
        <v>In</v>
      </c>
      <c r="U1059" t="str">
        <f>IF(Jnl[[#This Row],[TrxDate]]&lt;debug_date_start, "prior", IF(Jnl[[#This Row],[TrxDate]]&gt;debug_date_end, "post", "curr"))</f>
        <v>curr</v>
      </c>
    </row>
    <row r="1060" spans="1:21">
      <c r="A1060" s="11" t="s">
        <v>1520</v>
      </c>
      <c r="B1060" s="7">
        <f>_xlfn.XLOOKUP(Jnl[[#This Row],[TrxId]], Trx[Id], Trx[Date],,0)</f>
        <v>46081</v>
      </c>
      <c r="C1060" s="7" t="str">
        <f>_xlfn.XLOOKUP(Jnl[[#This Row],[TrxId]], Trx[Id], Trx[Division],,0)</f>
        <v>Shuijie</v>
      </c>
      <c r="D1060" s="7" t="str">
        <f>_xlfn.XLOOKUP(Jnl[[#This Row],[TrxId]], Trx[Id], Trx[Action],,0)</f>
        <v>支付</v>
      </c>
      <c r="E1060" s="26" t="s">
        <v>82</v>
      </c>
      <c r="F1060" s="11" t="s">
        <v>596</v>
      </c>
      <c r="G1060" s="11" t="s">
        <v>318</v>
      </c>
      <c r="H1060" s="72">
        <v>-88450.01</v>
      </c>
      <c r="I1060" s="5" t="b">
        <f>AND(Jnl[[#This Row],[TrxId]]&lt;&gt;"",Jnl[[#This Row],[Acct]]&lt;&gt;"",Jnl[[#This Row],[Item]]&lt;&gt;"",ISNUMBER(Jnl[[#This Row],[Bal]]))</f>
        <v>1</v>
      </c>
      <c r="J1060" s="10">
        <f>IF(Jnl[[#This Row],[BSLv0]]="A",1,-1)*Jnl[[#This Row],[Bal]]</f>
        <v>88450.01</v>
      </c>
      <c r="K1060" t="str">
        <f>_xlfn.XLOOKUP(Jnl[[#This Row],[Acct]], config_BS[Acct], config_BS[Lv0],,0)</f>
        <v>LC</v>
      </c>
      <c r="L1060" t="str">
        <f>_xlfn.XLOOKUP(Jnl[[#This Row],[Acct]], config_BS[Acct], config_BS[Lv1],,0)</f>
        <v>Liability</v>
      </c>
      <c r="M1060" t="str">
        <f>_xlfn.XLOOKUP(Jnl[[#This Row],[Acct]], config_BS[Acct], config_BS[Lv2],,0)</f>
        <v>Rec-Pay</v>
      </c>
      <c r="N1060" t="str">
        <f>_xlfn.XLOOKUP(Jnl[[#This Row],[TrxId]], Trx[Id], Trx[IncNode], ,0)</f>
        <v>Expense</v>
      </c>
      <c r="O1060" t="str">
        <f>_xlfn.XLOOKUP(Jnl[[#This Row],[IncNode]], config_IS[Node], config_IS[Type],,0)</f>
        <v>Op</v>
      </c>
      <c r="P1060" t="str">
        <f>_xlfn.XLOOKUP(Jnl[[#This Row],[BSLv2]], dict[Key], dict[Name],,0)</f>
        <v>1.应收-应付</v>
      </c>
      <c r="Q1060" t="str">
        <f>_xlfn.XLOOKUP(Jnl[[#This Row],[Acct]], dict[Key], dict[Name],,0)</f>
        <v>应付-薪资</v>
      </c>
      <c r="R1060" t="str">
        <f>_xlfn.XLOOKUP(Jnl[[#This Row],[Vehicle]],config_vehicle[Id], config_vehicle[Name],,0)</f>
        <v>米小易</v>
      </c>
      <c r="S1060" t="str">
        <f>_xlfn.XLOOKUP(Jnl[[#This Row],[Division]],config_div[Id], config_div[Name],,0)</f>
        <v>水街店</v>
      </c>
      <c r="T1060" t="str">
        <f>IF(Jnl[[#This Row],[TrxDate]]&lt;=stmt_BS_date_end, "In", "Out")</f>
        <v>In</v>
      </c>
      <c r="U1060" t="str">
        <f>IF(Jnl[[#This Row],[TrxDate]]&lt;debug_date_start, "prior", IF(Jnl[[#This Row],[TrxDate]]&gt;debug_date_end, "post", "curr"))</f>
        <v>curr</v>
      </c>
    </row>
    <row r="1061" spans="1:21">
      <c r="A1061" s="11" t="s">
        <v>1520</v>
      </c>
      <c r="B1061" s="7">
        <f>_xlfn.XLOOKUP(Jnl[[#This Row],[TrxId]], Trx[Id], Trx[Date],,0)</f>
        <v>46081</v>
      </c>
      <c r="C1061" s="7" t="str">
        <f>_xlfn.XLOOKUP(Jnl[[#This Row],[TrxId]], Trx[Id], Trx[Division],,0)</f>
        <v>Shuijie</v>
      </c>
      <c r="D1061" s="7" t="str">
        <f>_xlfn.XLOOKUP(Jnl[[#This Row],[TrxId]], Trx[Id], Trx[Action],,0)</f>
        <v>支付</v>
      </c>
      <c r="E1061" s="26" t="s">
        <v>82</v>
      </c>
      <c r="F1061" s="11" t="s">
        <v>590</v>
      </c>
      <c r="G1061" s="11" t="s">
        <v>592</v>
      </c>
      <c r="H1061" s="72">
        <f>-85796.51</f>
        <v>-85796.51</v>
      </c>
      <c r="I1061" s="5" t="b">
        <f>AND(Jnl[[#This Row],[TrxId]]&lt;&gt;"",Jnl[[#This Row],[Acct]]&lt;&gt;"",Jnl[[#This Row],[Item]]&lt;&gt;"",ISNUMBER(Jnl[[#This Row],[Bal]]))</f>
        <v>1</v>
      </c>
      <c r="J1061" s="10">
        <f>IF(Jnl[[#This Row],[BSLv0]]="A",1,-1)*Jnl[[#This Row],[Bal]]</f>
        <v>-85796.51</v>
      </c>
      <c r="K1061" t="str">
        <f>_xlfn.XLOOKUP(Jnl[[#This Row],[Acct]], config_BS[Acct], config_BS[Lv0],,0)</f>
        <v>A</v>
      </c>
      <c r="L1061" t="str">
        <f>_xlfn.XLOOKUP(Jnl[[#This Row],[Acct]], config_BS[Acct], config_BS[Lv1],,0)</f>
        <v>Assets</v>
      </c>
      <c r="M1061" t="str">
        <f>_xlfn.XLOOKUP(Jnl[[#This Row],[Acct]], config_BS[Acct], config_BS[Lv2],,0)</f>
        <v>Cash alike</v>
      </c>
      <c r="N1061" t="str">
        <f>_xlfn.XLOOKUP(Jnl[[#This Row],[TrxId]], Trx[Id], Trx[IncNode], ,0)</f>
        <v>Expense</v>
      </c>
      <c r="O1061" t="str">
        <f>_xlfn.XLOOKUP(Jnl[[#This Row],[IncNode]], config_IS[Node], config_IS[Type],,0)</f>
        <v>Op</v>
      </c>
      <c r="P1061" t="str">
        <f>_xlfn.XLOOKUP(Jnl[[#This Row],[BSLv2]], dict[Key], dict[Name],,0)</f>
        <v>0.现金及类似</v>
      </c>
      <c r="Q1061" t="str">
        <f>_xlfn.XLOOKUP(Jnl[[#This Row],[Acct]], dict[Key], dict[Name],,0)</f>
        <v>银行</v>
      </c>
      <c r="R1061" t="str">
        <f>_xlfn.XLOOKUP(Jnl[[#This Row],[Vehicle]],config_vehicle[Id], config_vehicle[Name],,0)</f>
        <v>米小易</v>
      </c>
      <c r="S1061" t="str">
        <f>_xlfn.XLOOKUP(Jnl[[#This Row],[Division]],config_div[Id], config_div[Name],,0)</f>
        <v>水街店</v>
      </c>
      <c r="T1061" t="str">
        <f>IF(Jnl[[#This Row],[TrxDate]]&lt;=stmt_BS_date_end, "In", "Out")</f>
        <v>In</v>
      </c>
      <c r="U1061" t="str">
        <f>IF(Jnl[[#This Row],[TrxDate]]&lt;debug_date_start, "prior", IF(Jnl[[#This Row],[TrxDate]]&gt;debug_date_end, "post", "curr"))</f>
        <v>curr</v>
      </c>
    </row>
    <row r="1062" spans="1:21">
      <c r="A1062" s="11" t="s">
        <v>1520</v>
      </c>
      <c r="B1062" s="7">
        <f>_xlfn.XLOOKUP(Jnl[[#This Row],[TrxId]], Trx[Id], Trx[Date],,0)</f>
        <v>46081</v>
      </c>
      <c r="C1062" s="7" t="str">
        <f>_xlfn.XLOOKUP(Jnl[[#This Row],[TrxId]], Trx[Id], Trx[Division],,0)</f>
        <v>Shuijie</v>
      </c>
      <c r="D1062" s="7" t="str">
        <f>_xlfn.XLOOKUP(Jnl[[#This Row],[TrxId]], Trx[Id], Trx[Action],,0)</f>
        <v>支付</v>
      </c>
      <c r="E1062" s="26" t="s">
        <v>82</v>
      </c>
      <c r="F1062" s="11" t="s">
        <v>127</v>
      </c>
      <c r="G1062" s="11" t="s">
        <v>343</v>
      </c>
      <c r="H1062" s="72">
        <v>2653.5</v>
      </c>
      <c r="I1062" s="5" t="b">
        <f>AND(Jnl[[#This Row],[TrxId]]&lt;&gt;"",Jnl[[#This Row],[Acct]]&lt;&gt;"",Jnl[[#This Row],[Item]]&lt;&gt;"",ISNUMBER(Jnl[[#This Row],[Bal]]))</f>
        <v>1</v>
      </c>
      <c r="J1062" s="10">
        <f>IF(Jnl[[#This Row],[BSLv0]]="A",1,-1)*Jnl[[#This Row],[Bal]]</f>
        <v>-2653.5</v>
      </c>
      <c r="K1062" t="str">
        <f>_xlfn.XLOOKUP(Jnl[[#This Row],[Acct]], config_BS[Acct], config_BS[Lv0],,0)</f>
        <v>LC</v>
      </c>
      <c r="L1062" t="str">
        <f>_xlfn.XLOOKUP(Jnl[[#This Row],[Acct]], config_BS[Acct], config_BS[Lv1],,0)</f>
        <v>Liability</v>
      </c>
      <c r="M1062" t="str">
        <f>_xlfn.XLOOKUP(Jnl[[#This Row],[Acct]], config_BS[Acct], config_BS[Lv2],,0)</f>
        <v>Rec-Pay</v>
      </c>
      <c r="N1062" t="str">
        <f>_xlfn.XLOOKUP(Jnl[[#This Row],[TrxId]], Trx[Id], Trx[IncNode], ,0)</f>
        <v>Expense</v>
      </c>
      <c r="O1062" t="str">
        <f>_xlfn.XLOOKUP(Jnl[[#This Row],[IncNode]], config_IS[Node], config_IS[Type],,0)</f>
        <v>Op</v>
      </c>
      <c r="P1062" t="str">
        <f>_xlfn.XLOOKUP(Jnl[[#This Row],[BSLv2]], dict[Key], dict[Name],,0)</f>
        <v>1.应收-应付</v>
      </c>
      <c r="Q1062" t="str">
        <f>_xlfn.XLOOKUP(Jnl[[#This Row],[Acct]], dict[Key], dict[Name],,0)</f>
        <v>应付-税款</v>
      </c>
      <c r="R1062" t="str">
        <f>_xlfn.XLOOKUP(Jnl[[#This Row],[Vehicle]],config_vehicle[Id], config_vehicle[Name],,0)</f>
        <v>米小易</v>
      </c>
      <c r="S1062" t="str">
        <f>_xlfn.XLOOKUP(Jnl[[#This Row],[Division]],config_div[Id], config_div[Name],,0)</f>
        <v>水街店</v>
      </c>
      <c r="T1062" t="str">
        <f>IF(Jnl[[#This Row],[TrxDate]]&lt;=stmt_BS_date_end, "In", "Out")</f>
        <v>In</v>
      </c>
      <c r="U1062" t="str">
        <f>IF(Jnl[[#This Row],[TrxDate]]&lt;debug_date_start, "prior", IF(Jnl[[#This Row],[TrxDate]]&gt;debug_date_end, "post", "curr"))</f>
        <v>curr</v>
      </c>
    </row>
    <row r="1063" spans="1:21">
      <c r="A1063" s="11" t="s">
        <v>1521</v>
      </c>
      <c r="B1063" s="7">
        <f>_xlfn.XLOOKUP(Jnl[[#This Row],[TrxId]], Trx[Id], Trx[Date],,0)</f>
        <v>46081</v>
      </c>
      <c r="C1063" s="7" t="str">
        <f>_xlfn.XLOOKUP(Jnl[[#This Row],[TrxId]], Trx[Id], Trx[Division],,0)</f>
        <v>Shuijie</v>
      </c>
      <c r="D1063" s="7" t="str">
        <f>_xlfn.XLOOKUP(Jnl[[#This Row],[TrxId]], Trx[Id], Trx[Action],,0)</f>
        <v>支付</v>
      </c>
      <c r="E1063" s="26" t="s">
        <v>82</v>
      </c>
      <c r="F1063" s="11" t="s">
        <v>127</v>
      </c>
      <c r="G1063" s="11" t="s">
        <v>343</v>
      </c>
      <c r="H1063" s="72">
        <v>-3025.35</v>
      </c>
      <c r="I1063" s="5" t="b">
        <f>AND(Jnl[[#This Row],[TrxId]]&lt;&gt;"",Jnl[[#This Row],[Acct]]&lt;&gt;"",Jnl[[#This Row],[Item]]&lt;&gt;"",ISNUMBER(Jnl[[#This Row],[Bal]]))</f>
        <v>1</v>
      </c>
      <c r="J1063" s="10">
        <f>IF(Jnl[[#This Row],[BSLv0]]="A",1,-1)*Jnl[[#This Row],[Bal]]</f>
        <v>3025.35</v>
      </c>
      <c r="K1063" t="str">
        <f>_xlfn.XLOOKUP(Jnl[[#This Row],[Acct]], config_BS[Acct], config_BS[Lv0],,0)</f>
        <v>LC</v>
      </c>
      <c r="L1063" t="str">
        <f>_xlfn.XLOOKUP(Jnl[[#This Row],[Acct]], config_BS[Acct], config_BS[Lv1],,0)</f>
        <v>Liability</v>
      </c>
      <c r="M1063" t="str">
        <f>_xlfn.XLOOKUP(Jnl[[#This Row],[Acct]], config_BS[Acct], config_BS[Lv2],,0)</f>
        <v>Rec-Pay</v>
      </c>
      <c r="N1063" t="str">
        <f>_xlfn.XLOOKUP(Jnl[[#This Row],[TrxId]], Trx[Id], Trx[IncNode], ,0)</f>
        <v>Expense</v>
      </c>
      <c r="O1063" t="str">
        <f>_xlfn.XLOOKUP(Jnl[[#This Row],[IncNode]], config_IS[Node], config_IS[Type],,0)</f>
        <v>Op</v>
      </c>
      <c r="P1063" t="str">
        <f>_xlfn.XLOOKUP(Jnl[[#This Row],[BSLv2]], dict[Key], dict[Name],,0)</f>
        <v>1.应收-应付</v>
      </c>
      <c r="Q1063" t="str">
        <f>_xlfn.XLOOKUP(Jnl[[#This Row],[Acct]], dict[Key], dict[Name],,0)</f>
        <v>应付-税款</v>
      </c>
      <c r="R1063" t="str">
        <f>_xlfn.XLOOKUP(Jnl[[#This Row],[Vehicle]],config_vehicle[Id], config_vehicle[Name],,0)</f>
        <v>米小易</v>
      </c>
      <c r="S1063" t="str">
        <f>_xlfn.XLOOKUP(Jnl[[#This Row],[Division]],config_div[Id], config_div[Name],,0)</f>
        <v>水街店</v>
      </c>
      <c r="T1063" t="str">
        <f>IF(Jnl[[#This Row],[TrxDate]]&lt;=stmt_BS_date_end, "In", "Out")</f>
        <v>In</v>
      </c>
      <c r="U1063" t="str">
        <f>IF(Jnl[[#This Row],[TrxDate]]&lt;debug_date_start, "prior", IF(Jnl[[#This Row],[TrxDate]]&gt;debug_date_end, "post", "curr"))</f>
        <v>curr</v>
      </c>
    </row>
    <row r="1064" spans="1:21">
      <c r="A1064" s="11" t="s">
        <v>1521</v>
      </c>
      <c r="B1064" s="7">
        <f>_xlfn.XLOOKUP(Jnl[[#This Row],[TrxId]], Trx[Id], Trx[Date],,0)</f>
        <v>46081</v>
      </c>
      <c r="C1064" s="7" t="str">
        <f>_xlfn.XLOOKUP(Jnl[[#This Row],[TrxId]], Trx[Id], Trx[Division],,0)</f>
        <v>Shuijie</v>
      </c>
      <c r="D1064" s="7" t="str">
        <f>_xlfn.XLOOKUP(Jnl[[#This Row],[TrxId]], Trx[Id], Trx[Action],,0)</f>
        <v>支付</v>
      </c>
      <c r="E1064" s="26" t="s">
        <v>82</v>
      </c>
      <c r="F1064" s="11" t="s">
        <v>590</v>
      </c>
      <c r="G1064" s="11" t="s">
        <v>592</v>
      </c>
      <c r="H1064" s="72">
        <v>-3025.35</v>
      </c>
      <c r="I1064" s="5" t="b">
        <f>AND(Jnl[[#This Row],[TrxId]]&lt;&gt;"",Jnl[[#This Row],[Acct]]&lt;&gt;"",Jnl[[#This Row],[Item]]&lt;&gt;"",ISNUMBER(Jnl[[#This Row],[Bal]]))</f>
        <v>1</v>
      </c>
      <c r="J1064" s="10">
        <f>IF(Jnl[[#This Row],[BSLv0]]="A",1,-1)*Jnl[[#This Row],[Bal]]</f>
        <v>-3025.35</v>
      </c>
      <c r="K1064" t="str">
        <f>_xlfn.XLOOKUP(Jnl[[#This Row],[Acct]], config_BS[Acct], config_BS[Lv0],,0)</f>
        <v>A</v>
      </c>
      <c r="L1064" t="str">
        <f>_xlfn.XLOOKUP(Jnl[[#This Row],[Acct]], config_BS[Acct], config_BS[Lv1],,0)</f>
        <v>Assets</v>
      </c>
      <c r="M1064" t="str">
        <f>_xlfn.XLOOKUP(Jnl[[#This Row],[Acct]], config_BS[Acct], config_BS[Lv2],,0)</f>
        <v>Cash alike</v>
      </c>
      <c r="N1064" t="str">
        <f>_xlfn.XLOOKUP(Jnl[[#This Row],[TrxId]], Trx[Id], Trx[IncNode], ,0)</f>
        <v>Expense</v>
      </c>
      <c r="O1064" t="str">
        <f>_xlfn.XLOOKUP(Jnl[[#This Row],[IncNode]], config_IS[Node], config_IS[Type],,0)</f>
        <v>Op</v>
      </c>
      <c r="P1064" t="str">
        <f>_xlfn.XLOOKUP(Jnl[[#This Row],[BSLv2]], dict[Key], dict[Name],,0)</f>
        <v>0.现金及类似</v>
      </c>
      <c r="Q1064" t="str">
        <f>_xlfn.XLOOKUP(Jnl[[#This Row],[Acct]], dict[Key], dict[Name],,0)</f>
        <v>银行</v>
      </c>
      <c r="R1064" t="str">
        <f>_xlfn.XLOOKUP(Jnl[[#This Row],[Vehicle]],config_vehicle[Id], config_vehicle[Name],,0)</f>
        <v>米小易</v>
      </c>
      <c r="S1064" t="str">
        <f>_xlfn.XLOOKUP(Jnl[[#This Row],[Division]],config_div[Id], config_div[Name],,0)</f>
        <v>水街店</v>
      </c>
      <c r="T1064" t="str">
        <f>IF(Jnl[[#This Row],[TrxDate]]&lt;=stmt_BS_date_end, "In", "Out")</f>
        <v>In</v>
      </c>
      <c r="U1064" t="str">
        <f>IF(Jnl[[#This Row],[TrxDate]]&lt;debug_date_start, "prior", IF(Jnl[[#This Row],[TrxDate]]&gt;debug_date_end, "post", "curr"))</f>
        <v>curr</v>
      </c>
    </row>
    <row r="1065" spans="1:21">
      <c r="A1065" s="11" t="s">
        <v>1522</v>
      </c>
      <c r="B1065" s="7">
        <f>_xlfn.XLOOKUP(Jnl[[#This Row],[TrxId]], Trx[Id], Trx[Date],,0)</f>
        <v>46081</v>
      </c>
      <c r="C1065" s="7" t="str">
        <f>_xlfn.XLOOKUP(Jnl[[#This Row],[TrxId]], Trx[Id], Trx[Division],,0)</f>
        <v>Shuijie</v>
      </c>
      <c r="D1065" s="7" t="str">
        <f>_xlfn.XLOOKUP(Jnl[[#This Row],[TrxId]], Trx[Id], Trx[Action],,0)</f>
        <v>采购</v>
      </c>
      <c r="E1065" s="26" t="s">
        <v>82</v>
      </c>
      <c r="F1065" s="11" t="s">
        <v>598</v>
      </c>
      <c r="G1065" s="11" t="s">
        <v>1523</v>
      </c>
      <c r="H1065" s="72">
        <v>1524</v>
      </c>
      <c r="I1065" s="5" t="b">
        <f>AND(Jnl[[#This Row],[TrxId]]&lt;&gt;"",Jnl[[#This Row],[Acct]]&lt;&gt;"",Jnl[[#This Row],[Item]]&lt;&gt;"",ISNUMBER(Jnl[[#This Row],[Bal]]))</f>
        <v>1</v>
      </c>
      <c r="J1065" s="10">
        <f>IF(Jnl[[#This Row],[BSLv0]]="A",1,-1)*Jnl[[#This Row],[Bal]]</f>
        <v>1524</v>
      </c>
      <c r="K1065" t="str">
        <f>_xlfn.XLOOKUP(Jnl[[#This Row],[Acct]], config_BS[Acct], config_BS[Lv0],,0)</f>
        <v>A</v>
      </c>
      <c r="L1065" t="str">
        <f>_xlfn.XLOOKUP(Jnl[[#This Row],[Acct]], config_BS[Acct], config_BS[Lv1],,0)</f>
        <v>Assets</v>
      </c>
      <c r="M1065" t="str">
        <f>_xlfn.XLOOKUP(Jnl[[#This Row],[Acct]], config_BS[Acct], config_BS[Lv2],,0)</f>
        <v>Invtr</v>
      </c>
      <c r="N1065" t="str">
        <f>_xlfn.XLOOKUP(Jnl[[#This Row],[TrxId]], Trx[Id], Trx[IncNode], ,0)</f>
        <v>Cost</v>
      </c>
      <c r="O1065" t="str">
        <f>_xlfn.XLOOKUP(Jnl[[#This Row],[IncNode]], config_IS[Node], config_IS[Type],,0)</f>
        <v>Op</v>
      </c>
      <c r="P1065" t="str">
        <f>_xlfn.XLOOKUP(Jnl[[#This Row],[BSLv2]], dict[Key], dict[Name],,0)</f>
        <v>3.库存占款</v>
      </c>
      <c r="Q1065" t="str">
        <f>_xlfn.XLOOKUP(Jnl[[#This Row],[Acct]], dict[Key], dict[Name],,0)</f>
        <v>当期存货</v>
      </c>
      <c r="R1065" t="str">
        <f>_xlfn.XLOOKUP(Jnl[[#This Row],[Vehicle]],config_vehicle[Id], config_vehicle[Name],,0)</f>
        <v>米小易</v>
      </c>
      <c r="S1065" t="str">
        <f>_xlfn.XLOOKUP(Jnl[[#This Row],[Division]],config_div[Id], config_div[Name],,0)</f>
        <v>水街店</v>
      </c>
      <c r="T1065" t="str">
        <f>IF(Jnl[[#This Row],[TrxDate]]&lt;=stmt_BS_date_end, "In", "Out")</f>
        <v>In</v>
      </c>
      <c r="U1065" t="str">
        <f>IF(Jnl[[#This Row],[TrxDate]]&lt;debug_date_start, "prior", IF(Jnl[[#This Row],[TrxDate]]&gt;debug_date_end, "post", "curr"))</f>
        <v>curr</v>
      </c>
    </row>
    <row r="1066" spans="1:21">
      <c r="A1066" s="11" t="s">
        <v>1522</v>
      </c>
      <c r="B1066" s="7">
        <f>_xlfn.XLOOKUP(Jnl[[#This Row],[TrxId]], Trx[Id], Trx[Date],,0)</f>
        <v>46081</v>
      </c>
      <c r="C1066" s="7" t="str">
        <f>_xlfn.XLOOKUP(Jnl[[#This Row],[TrxId]], Trx[Id], Trx[Division],,0)</f>
        <v>Shuijie</v>
      </c>
      <c r="D1066" s="7" t="str">
        <f>_xlfn.XLOOKUP(Jnl[[#This Row],[TrxId]], Trx[Id], Trx[Action],,0)</f>
        <v>采购</v>
      </c>
      <c r="E1066" s="26" t="s">
        <v>82</v>
      </c>
      <c r="F1066" s="11" t="s">
        <v>590</v>
      </c>
      <c r="G1066" s="11" t="s">
        <v>592</v>
      </c>
      <c r="H1066" s="72">
        <v>-1524</v>
      </c>
      <c r="I1066" s="5" t="b">
        <f>AND(Jnl[[#This Row],[TrxId]]&lt;&gt;"",Jnl[[#This Row],[Acct]]&lt;&gt;"",Jnl[[#This Row],[Item]]&lt;&gt;"",ISNUMBER(Jnl[[#This Row],[Bal]]))</f>
        <v>1</v>
      </c>
      <c r="J1066" s="10">
        <f>IF(Jnl[[#This Row],[BSLv0]]="A",1,-1)*Jnl[[#This Row],[Bal]]</f>
        <v>-1524</v>
      </c>
      <c r="K1066" t="str">
        <f>_xlfn.XLOOKUP(Jnl[[#This Row],[Acct]], config_BS[Acct], config_BS[Lv0],,0)</f>
        <v>A</v>
      </c>
      <c r="L1066" t="str">
        <f>_xlfn.XLOOKUP(Jnl[[#This Row],[Acct]], config_BS[Acct], config_BS[Lv1],,0)</f>
        <v>Assets</v>
      </c>
      <c r="M1066" t="str">
        <f>_xlfn.XLOOKUP(Jnl[[#This Row],[Acct]], config_BS[Acct], config_BS[Lv2],,0)</f>
        <v>Cash alike</v>
      </c>
      <c r="N1066" t="str">
        <f>_xlfn.XLOOKUP(Jnl[[#This Row],[TrxId]], Trx[Id], Trx[IncNode], ,0)</f>
        <v>Cost</v>
      </c>
      <c r="O1066" t="str">
        <f>_xlfn.XLOOKUP(Jnl[[#This Row],[IncNode]], config_IS[Node], config_IS[Type],,0)</f>
        <v>Op</v>
      </c>
      <c r="P1066" t="str">
        <f>_xlfn.XLOOKUP(Jnl[[#This Row],[BSLv2]], dict[Key], dict[Name],,0)</f>
        <v>0.现金及类似</v>
      </c>
      <c r="Q1066" t="str">
        <f>_xlfn.XLOOKUP(Jnl[[#This Row],[Acct]], dict[Key], dict[Name],,0)</f>
        <v>银行</v>
      </c>
      <c r="R1066" t="str">
        <f>_xlfn.XLOOKUP(Jnl[[#This Row],[Vehicle]],config_vehicle[Id], config_vehicle[Name],,0)</f>
        <v>米小易</v>
      </c>
      <c r="S1066" t="str">
        <f>_xlfn.XLOOKUP(Jnl[[#This Row],[Division]],config_div[Id], config_div[Name],,0)</f>
        <v>水街店</v>
      </c>
      <c r="T1066" t="str">
        <f>IF(Jnl[[#This Row],[TrxDate]]&lt;=stmt_BS_date_end, "In", "Out")</f>
        <v>In</v>
      </c>
      <c r="U1066" t="str">
        <f>IF(Jnl[[#This Row],[TrxDate]]&lt;debug_date_start, "prior", IF(Jnl[[#This Row],[TrxDate]]&gt;debug_date_end, "post", "curr"))</f>
        <v>curr</v>
      </c>
    </row>
    <row r="1067" spans="1:21">
      <c r="A1067" s="11" t="s">
        <v>1524</v>
      </c>
      <c r="B1067" s="7">
        <f>_xlfn.XLOOKUP(Jnl[[#This Row],[TrxId]], Trx[Id], Trx[Date],,0)</f>
        <v>46081</v>
      </c>
      <c r="C1067" s="7" t="str">
        <f>_xlfn.XLOOKUP(Jnl[[#This Row],[TrxId]], Trx[Id], Trx[Division],,0)</f>
        <v>Shuijie</v>
      </c>
      <c r="D1067" s="7" t="str">
        <f>_xlfn.XLOOKUP(Jnl[[#This Row],[TrxId]], Trx[Id], Trx[Action],,0)</f>
        <v>薪酬-工资</v>
      </c>
      <c r="E1067" s="26" t="s">
        <v>82</v>
      </c>
      <c r="F1067" s="11" t="s">
        <v>590</v>
      </c>
      <c r="G1067" s="11" t="s">
        <v>592</v>
      </c>
      <c r="H1067" s="72">
        <v>-93.3</v>
      </c>
      <c r="I1067" s="5" t="b">
        <f>AND(Jnl[[#This Row],[TrxId]]&lt;&gt;"",Jnl[[#This Row],[Acct]]&lt;&gt;"",Jnl[[#This Row],[Item]]&lt;&gt;"",ISNUMBER(Jnl[[#This Row],[Bal]]))</f>
        <v>1</v>
      </c>
      <c r="J1067" s="10">
        <f>IF(Jnl[[#This Row],[BSLv0]]="A",1,-1)*Jnl[[#This Row],[Bal]]</f>
        <v>-93.3</v>
      </c>
      <c r="K1067" t="str">
        <f>_xlfn.XLOOKUP(Jnl[[#This Row],[Acct]], config_BS[Acct], config_BS[Lv0],,0)</f>
        <v>A</v>
      </c>
      <c r="L1067" t="str">
        <f>_xlfn.XLOOKUP(Jnl[[#This Row],[Acct]], config_BS[Acct], config_BS[Lv1],,0)</f>
        <v>Assets</v>
      </c>
      <c r="M1067" t="str">
        <f>_xlfn.XLOOKUP(Jnl[[#This Row],[Acct]], config_BS[Acct], config_BS[Lv2],,0)</f>
        <v>Cash alike</v>
      </c>
      <c r="N1067" t="str">
        <f>_xlfn.XLOOKUP(Jnl[[#This Row],[TrxId]], Trx[Id], Trx[IncNode], ,0)</f>
        <v>Expense</v>
      </c>
      <c r="O1067" t="str">
        <f>_xlfn.XLOOKUP(Jnl[[#This Row],[IncNode]], config_IS[Node], config_IS[Type],,0)</f>
        <v>Op</v>
      </c>
      <c r="P1067" t="str">
        <f>_xlfn.XLOOKUP(Jnl[[#This Row],[BSLv2]], dict[Key], dict[Name],,0)</f>
        <v>0.现金及类似</v>
      </c>
      <c r="Q1067" t="str">
        <f>_xlfn.XLOOKUP(Jnl[[#This Row],[Acct]], dict[Key], dict[Name],,0)</f>
        <v>银行</v>
      </c>
      <c r="R1067" t="str">
        <f>_xlfn.XLOOKUP(Jnl[[#This Row],[Vehicle]],config_vehicle[Id], config_vehicle[Name],,0)</f>
        <v>米小易</v>
      </c>
      <c r="S1067" t="str">
        <f>_xlfn.XLOOKUP(Jnl[[#This Row],[Division]],config_div[Id], config_div[Name],,0)</f>
        <v>水街店</v>
      </c>
      <c r="T1067" t="str">
        <f>IF(Jnl[[#This Row],[TrxDate]]&lt;=stmt_BS_date_end, "In", "Out")</f>
        <v>In</v>
      </c>
      <c r="U1067" t="str">
        <f>IF(Jnl[[#This Row],[TrxDate]]&lt;debug_date_start, "prior", IF(Jnl[[#This Row],[TrxDate]]&gt;debug_date_end, "post", "curr"))</f>
        <v>curr</v>
      </c>
    </row>
    <row r="1068" spans="1:21">
      <c r="A1068" s="11" t="s">
        <v>1526</v>
      </c>
      <c r="B1068" s="7">
        <f>_xlfn.XLOOKUP(Jnl[[#This Row],[TrxId]], Trx[Id], Trx[Date],,0)</f>
        <v>46081</v>
      </c>
      <c r="C1068" s="7" t="str">
        <f>_xlfn.XLOOKUP(Jnl[[#This Row],[TrxId]], Trx[Id], Trx[Division],,0)</f>
        <v>Shuijie</v>
      </c>
      <c r="D1068" s="7" t="str">
        <f>_xlfn.XLOOKUP(Jnl[[#This Row],[TrxId]], Trx[Id], Trx[Action],,0)</f>
        <v>支付</v>
      </c>
      <c r="E1068" s="26" t="s">
        <v>82</v>
      </c>
      <c r="F1068" s="11" t="s">
        <v>493</v>
      </c>
      <c r="G1068" s="11" t="s">
        <v>428</v>
      </c>
      <c r="H1068" s="72">
        <v>6563</v>
      </c>
      <c r="I1068" s="5" t="b">
        <f>AND(Jnl[[#This Row],[TrxId]]&lt;&gt;"",Jnl[[#This Row],[Acct]]&lt;&gt;"",Jnl[[#This Row],[Item]]&lt;&gt;"",ISNUMBER(Jnl[[#This Row],[Bal]]))</f>
        <v>1</v>
      </c>
      <c r="J1068" s="10">
        <f>IF(Jnl[[#This Row],[BSLv0]]="A",1,-1)*Jnl[[#This Row],[Bal]]</f>
        <v>6563</v>
      </c>
      <c r="K1068" t="str">
        <f>_xlfn.XLOOKUP(Jnl[[#This Row],[Acct]], config_BS[Acct], config_BS[Lv0],,0)</f>
        <v>A</v>
      </c>
      <c r="L1068" t="str">
        <f>_xlfn.XLOOKUP(Jnl[[#This Row],[Acct]], config_BS[Acct], config_BS[Lv1],,0)</f>
        <v>Assets</v>
      </c>
      <c r="M1068" t="str">
        <f>_xlfn.XLOOKUP(Jnl[[#This Row],[Acct]], config_BS[Acct], config_BS[Lv2],,0)</f>
        <v>Prep-Sub</v>
      </c>
      <c r="N1068" t="str">
        <f>_xlfn.XLOOKUP(Jnl[[#This Row],[TrxId]], Trx[Id], Trx[IncNode], ,0)</f>
        <v>Cost</v>
      </c>
      <c r="O1068" t="str">
        <f>_xlfn.XLOOKUP(Jnl[[#This Row],[IncNode]], config_IS[Node], config_IS[Type],,0)</f>
        <v>Op</v>
      </c>
      <c r="P1068" t="str">
        <f>_xlfn.XLOOKUP(Jnl[[#This Row],[BSLv2]], dict[Key], dict[Name],,0)</f>
        <v>2.预付-订阅</v>
      </c>
      <c r="Q1068" t="str">
        <f>_xlfn.XLOOKUP(Jnl[[#This Row],[Acct]], dict[Key], dict[Name],,0)</f>
        <v>预付订单</v>
      </c>
      <c r="R1068" t="str">
        <f>_xlfn.XLOOKUP(Jnl[[#This Row],[Vehicle]],config_vehicle[Id], config_vehicle[Name],,0)</f>
        <v>米小易</v>
      </c>
      <c r="S1068" t="str">
        <f>_xlfn.XLOOKUP(Jnl[[#This Row],[Division]],config_div[Id], config_div[Name],,0)</f>
        <v>水街店</v>
      </c>
      <c r="T1068" t="str">
        <f>IF(Jnl[[#This Row],[TrxDate]]&lt;=stmt_BS_date_end, "In", "Out")</f>
        <v>In</v>
      </c>
      <c r="U1068" t="str">
        <f>IF(Jnl[[#This Row],[TrxDate]]&lt;debug_date_start, "prior", IF(Jnl[[#This Row],[TrxDate]]&gt;debug_date_end, "post", "curr"))</f>
        <v>curr</v>
      </c>
    </row>
    <row r="1069" spans="1:21">
      <c r="A1069" s="11" t="s">
        <v>1526</v>
      </c>
      <c r="B1069" s="7">
        <f>_xlfn.XLOOKUP(Jnl[[#This Row],[TrxId]], Trx[Id], Trx[Date],,0)</f>
        <v>46081</v>
      </c>
      <c r="C1069" s="7" t="str">
        <f>_xlfn.XLOOKUP(Jnl[[#This Row],[TrxId]], Trx[Id], Trx[Division],,0)</f>
        <v>Shuijie</v>
      </c>
      <c r="D1069" s="7" t="str">
        <f>_xlfn.XLOOKUP(Jnl[[#This Row],[TrxId]], Trx[Id], Trx[Action],,0)</f>
        <v>支付</v>
      </c>
      <c r="E1069" s="26" t="s">
        <v>82</v>
      </c>
      <c r="F1069" s="11" t="s">
        <v>590</v>
      </c>
      <c r="G1069" s="11" t="s">
        <v>592</v>
      </c>
      <c r="H1069" s="72">
        <v>-6563</v>
      </c>
      <c r="I1069" s="5" t="b">
        <f>AND(Jnl[[#This Row],[TrxId]]&lt;&gt;"",Jnl[[#This Row],[Acct]]&lt;&gt;"",Jnl[[#This Row],[Item]]&lt;&gt;"",ISNUMBER(Jnl[[#This Row],[Bal]]))</f>
        <v>1</v>
      </c>
      <c r="J1069" s="10">
        <f>IF(Jnl[[#This Row],[BSLv0]]="A",1,-1)*Jnl[[#This Row],[Bal]]</f>
        <v>-6563</v>
      </c>
      <c r="K1069" t="str">
        <f>_xlfn.XLOOKUP(Jnl[[#This Row],[Acct]], config_BS[Acct], config_BS[Lv0],,0)</f>
        <v>A</v>
      </c>
      <c r="L1069" t="str">
        <f>_xlfn.XLOOKUP(Jnl[[#This Row],[Acct]], config_BS[Acct], config_BS[Lv1],,0)</f>
        <v>Assets</v>
      </c>
      <c r="M1069" t="str">
        <f>_xlfn.XLOOKUP(Jnl[[#This Row],[Acct]], config_BS[Acct], config_BS[Lv2],,0)</f>
        <v>Cash alike</v>
      </c>
      <c r="N1069" t="str">
        <f>_xlfn.XLOOKUP(Jnl[[#This Row],[TrxId]], Trx[Id], Trx[IncNode], ,0)</f>
        <v>Cost</v>
      </c>
      <c r="O1069" t="str">
        <f>_xlfn.XLOOKUP(Jnl[[#This Row],[IncNode]], config_IS[Node], config_IS[Type],,0)</f>
        <v>Op</v>
      </c>
      <c r="P1069" t="str">
        <f>_xlfn.XLOOKUP(Jnl[[#This Row],[BSLv2]], dict[Key], dict[Name],,0)</f>
        <v>0.现金及类似</v>
      </c>
      <c r="Q1069" t="str">
        <f>_xlfn.XLOOKUP(Jnl[[#This Row],[Acct]], dict[Key], dict[Name],,0)</f>
        <v>银行</v>
      </c>
      <c r="R1069" t="str">
        <f>_xlfn.XLOOKUP(Jnl[[#This Row],[Vehicle]],config_vehicle[Id], config_vehicle[Name],,0)</f>
        <v>米小易</v>
      </c>
      <c r="S1069" t="str">
        <f>_xlfn.XLOOKUP(Jnl[[#This Row],[Division]],config_div[Id], config_div[Name],,0)</f>
        <v>水街店</v>
      </c>
      <c r="T1069" t="str">
        <f>IF(Jnl[[#This Row],[TrxDate]]&lt;=stmt_BS_date_end, "In", "Out")</f>
        <v>In</v>
      </c>
      <c r="U1069" t="str">
        <f>IF(Jnl[[#This Row],[TrxDate]]&lt;debug_date_start, "prior", IF(Jnl[[#This Row],[TrxDate]]&gt;debug_date_end, "post", "curr"))</f>
        <v>curr</v>
      </c>
    </row>
    <row r="1070" spans="1:21">
      <c r="A1070" s="11" t="s">
        <v>1527</v>
      </c>
      <c r="B1070" s="7">
        <f>_xlfn.XLOOKUP(Jnl[[#This Row],[TrxId]], Trx[Id], Trx[Date],,0)</f>
        <v>46081</v>
      </c>
      <c r="C1070" s="7" t="str">
        <f>_xlfn.XLOOKUP(Jnl[[#This Row],[TrxId]], Trx[Id], Trx[Division],,0)</f>
        <v>Shuijie</v>
      </c>
      <c r="D1070" s="7" t="str">
        <f>_xlfn.XLOOKUP(Jnl[[#This Row],[TrxId]], Trx[Id], Trx[Action],,0)</f>
        <v>食材</v>
      </c>
      <c r="E1070" s="26" t="s">
        <v>82</v>
      </c>
      <c r="F1070" s="11" t="s">
        <v>590</v>
      </c>
      <c r="G1070" s="11" t="s">
        <v>592</v>
      </c>
      <c r="H1070" s="72">
        <v>-1160</v>
      </c>
      <c r="I1070" s="5" t="b">
        <f>AND(Jnl[[#This Row],[TrxId]]&lt;&gt;"",Jnl[[#This Row],[Acct]]&lt;&gt;"",Jnl[[#This Row],[Item]]&lt;&gt;"",ISNUMBER(Jnl[[#This Row],[Bal]]))</f>
        <v>1</v>
      </c>
      <c r="J1070" s="10">
        <f>IF(Jnl[[#This Row],[BSLv0]]="A",1,-1)*Jnl[[#This Row],[Bal]]</f>
        <v>-1160</v>
      </c>
      <c r="K1070" t="str">
        <f>_xlfn.XLOOKUP(Jnl[[#This Row],[Acct]], config_BS[Acct], config_BS[Lv0],,0)</f>
        <v>A</v>
      </c>
      <c r="L1070" t="str">
        <f>_xlfn.XLOOKUP(Jnl[[#This Row],[Acct]], config_BS[Acct], config_BS[Lv1],,0)</f>
        <v>Assets</v>
      </c>
      <c r="M1070" t="str">
        <f>_xlfn.XLOOKUP(Jnl[[#This Row],[Acct]], config_BS[Acct], config_BS[Lv2],,0)</f>
        <v>Cash alike</v>
      </c>
      <c r="N1070" t="str">
        <f>_xlfn.XLOOKUP(Jnl[[#This Row],[TrxId]], Trx[Id], Trx[IncNode], ,0)</f>
        <v>Cost</v>
      </c>
      <c r="O1070" t="str">
        <f>_xlfn.XLOOKUP(Jnl[[#This Row],[IncNode]], config_IS[Node], config_IS[Type],,0)</f>
        <v>Op</v>
      </c>
      <c r="P1070" t="str">
        <f>_xlfn.XLOOKUP(Jnl[[#This Row],[BSLv2]], dict[Key], dict[Name],,0)</f>
        <v>0.现金及类似</v>
      </c>
      <c r="Q1070" t="str">
        <f>_xlfn.XLOOKUP(Jnl[[#This Row],[Acct]], dict[Key], dict[Name],,0)</f>
        <v>银行</v>
      </c>
      <c r="R1070" t="str">
        <f>_xlfn.XLOOKUP(Jnl[[#This Row],[Vehicle]],config_vehicle[Id], config_vehicle[Name],,0)</f>
        <v>米小易</v>
      </c>
      <c r="S1070" t="str">
        <f>_xlfn.XLOOKUP(Jnl[[#This Row],[Division]],config_div[Id], config_div[Name],,0)</f>
        <v>水街店</v>
      </c>
      <c r="T1070" t="str">
        <f>IF(Jnl[[#This Row],[TrxDate]]&lt;=stmt_BS_date_end, "In", "Out")</f>
        <v>In</v>
      </c>
      <c r="U1070" t="str">
        <f>IF(Jnl[[#This Row],[TrxDate]]&lt;debug_date_start, "prior", IF(Jnl[[#This Row],[TrxDate]]&gt;debug_date_end, "post", "curr"))</f>
        <v>curr</v>
      </c>
    </row>
    <row r="1071" spans="1:21">
      <c r="A1071" s="11" t="s">
        <v>1529</v>
      </c>
      <c r="B1071" s="7">
        <f>_xlfn.XLOOKUP(Jnl[[#This Row],[TrxId]], Trx[Id], Trx[Date],,0)</f>
        <v>46081</v>
      </c>
      <c r="C1071" s="7" t="str">
        <f>_xlfn.XLOOKUP(Jnl[[#This Row],[TrxId]], Trx[Id], Trx[Division],,0)</f>
        <v>Shuijie</v>
      </c>
      <c r="D1071" s="7" t="str">
        <f>_xlfn.XLOOKUP(Jnl[[#This Row],[TrxId]], Trx[Id], Trx[Action],,0)</f>
        <v>支付</v>
      </c>
      <c r="E1071" s="26" t="s">
        <v>82</v>
      </c>
      <c r="F1071" s="11" t="s">
        <v>590</v>
      </c>
      <c r="G1071" s="11" t="s">
        <v>592</v>
      </c>
      <c r="H1071" s="72">
        <v>-1560</v>
      </c>
      <c r="I1071" s="5" t="b">
        <f>AND(Jnl[[#This Row],[TrxId]]&lt;&gt;"",Jnl[[#This Row],[Acct]]&lt;&gt;"",Jnl[[#This Row],[Item]]&lt;&gt;"",ISNUMBER(Jnl[[#This Row],[Bal]]))</f>
        <v>1</v>
      </c>
      <c r="J1071" s="10">
        <f>IF(Jnl[[#This Row],[BSLv0]]="A",1,-1)*Jnl[[#This Row],[Bal]]</f>
        <v>-1560</v>
      </c>
      <c r="K1071" t="str">
        <f>_xlfn.XLOOKUP(Jnl[[#This Row],[Acct]], config_BS[Acct], config_BS[Lv0],,0)</f>
        <v>A</v>
      </c>
      <c r="L1071" t="str">
        <f>_xlfn.XLOOKUP(Jnl[[#This Row],[Acct]], config_BS[Acct], config_BS[Lv1],,0)</f>
        <v>Assets</v>
      </c>
      <c r="M1071" t="str">
        <f>_xlfn.XLOOKUP(Jnl[[#This Row],[Acct]], config_BS[Acct], config_BS[Lv2],,0)</f>
        <v>Cash alike</v>
      </c>
      <c r="N1071" t="str">
        <f>_xlfn.XLOOKUP(Jnl[[#This Row],[TrxId]], Trx[Id], Trx[IncNode], ,0)</f>
        <v>Cost</v>
      </c>
      <c r="O1071" t="str">
        <f>_xlfn.XLOOKUP(Jnl[[#This Row],[IncNode]], config_IS[Node], config_IS[Type],,0)</f>
        <v>Op</v>
      </c>
      <c r="P1071" t="str">
        <f>_xlfn.XLOOKUP(Jnl[[#This Row],[BSLv2]], dict[Key], dict[Name],,0)</f>
        <v>0.现金及类似</v>
      </c>
      <c r="Q1071" t="str">
        <f>_xlfn.XLOOKUP(Jnl[[#This Row],[Acct]], dict[Key], dict[Name],,0)</f>
        <v>银行</v>
      </c>
      <c r="R1071" t="str">
        <f>_xlfn.XLOOKUP(Jnl[[#This Row],[Vehicle]],config_vehicle[Id], config_vehicle[Name],,0)</f>
        <v>米小易</v>
      </c>
      <c r="S1071" t="str">
        <f>_xlfn.XLOOKUP(Jnl[[#This Row],[Division]],config_div[Id], config_div[Name],,0)</f>
        <v>水街店</v>
      </c>
      <c r="T1071" t="str">
        <f>IF(Jnl[[#This Row],[TrxDate]]&lt;=stmt_BS_date_end, "In", "Out")</f>
        <v>In</v>
      </c>
      <c r="U1071" t="str">
        <f>IF(Jnl[[#This Row],[TrxDate]]&lt;debug_date_start, "prior", IF(Jnl[[#This Row],[TrxDate]]&gt;debug_date_end, "post", "curr"))</f>
        <v>curr</v>
      </c>
    </row>
    <row r="1072" spans="1:21">
      <c r="A1072" s="11" t="s">
        <v>1529</v>
      </c>
      <c r="B1072" s="7">
        <f>_xlfn.XLOOKUP(Jnl[[#This Row],[TrxId]], Trx[Id], Trx[Date],,0)</f>
        <v>46081</v>
      </c>
      <c r="C1072" s="7" t="str">
        <f>_xlfn.XLOOKUP(Jnl[[#This Row],[TrxId]], Trx[Id], Trx[Division],,0)</f>
        <v>Shuijie</v>
      </c>
      <c r="D1072" s="7" t="str">
        <f>_xlfn.XLOOKUP(Jnl[[#This Row],[TrxId]], Trx[Id], Trx[Action],,0)</f>
        <v>支付</v>
      </c>
      <c r="E1072" s="26" t="s">
        <v>82</v>
      </c>
      <c r="F1072" s="11" t="s">
        <v>493</v>
      </c>
      <c r="G1072" s="11" t="s">
        <v>428</v>
      </c>
      <c r="H1072" s="72">
        <v>1560</v>
      </c>
      <c r="I1072" s="5" t="b">
        <f>AND(Jnl[[#This Row],[TrxId]]&lt;&gt;"",Jnl[[#This Row],[Acct]]&lt;&gt;"",Jnl[[#This Row],[Item]]&lt;&gt;"",ISNUMBER(Jnl[[#This Row],[Bal]]))</f>
        <v>1</v>
      </c>
      <c r="J1072" s="10">
        <f>IF(Jnl[[#This Row],[BSLv0]]="A",1,-1)*Jnl[[#This Row],[Bal]]</f>
        <v>1560</v>
      </c>
      <c r="K1072" t="str">
        <f>_xlfn.XLOOKUP(Jnl[[#This Row],[Acct]], config_BS[Acct], config_BS[Lv0],,0)</f>
        <v>A</v>
      </c>
      <c r="L1072" t="str">
        <f>_xlfn.XLOOKUP(Jnl[[#This Row],[Acct]], config_BS[Acct], config_BS[Lv1],,0)</f>
        <v>Assets</v>
      </c>
      <c r="M1072" t="str">
        <f>_xlfn.XLOOKUP(Jnl[[#This Row],[Acct]], config_BS[Acct], config_BS[Lv2],,0)</f>
        <v>Prep-Sub</v>
      </c>
      <c r="N1072" t="str">
        <f>_xlfn.XLOOKUP(Jnl[[#This Row],[TrxId]], Trx[Id], Trx[IncNode], ,0)</f>
        <v>Cost</v>
      </c>
      <c r="O1072" t="str">
        <f>_xlfn.XLOOKUP(Jnl[[#This Row],[IncNode]], config_IS[Node], config_IS[Type],,0)</f>
        <v>Op</v>
      </c>
      <c r="P1072" t="str">
        <f>_xlfn.XLOOKUP(Jnl[[#This Row],[BSLv2]], dict[Key], dict[Name],,0)</f>
        <v>2.预付-订阅</v>
      </c>
      <c r="Q1072" t="str">
        <f>_xlfn.XLOOKUP(Jnl[[#This Row],[Acct]], dict[Key], dict[Name],,0)</f>
        <v>预付订单</v>
      </c>
      <c r="R1072" t="str">
        <f>_xlfn.XLOOKUP(Jnl[[#This Row],[Vehicle]],config_vehicle[Id], config_vehicle[Name],,0)</f>
        <v>米小易</v>
      </c>
      <c r="S1072" t="str">
        <f>_xlfn.XLOOKUP(Jnl[[#This Row],[Division]],config_div[Id], config_div[Name],,0)</f>
        <v>水街店</v>
      </c>
      <c r="T1072" t="str">
        <f>IF(Jnl[[#This Row],[TrxDate]]&lt;=stmt_BS_date_end, "In", "Out")</f>
        <v>In</v>
      </c>
      <c r="U1072" t="str">
        <f>IF(Jnl[[#This Row],[TrxDate]]&lt;debug_date_start, "prior", IF(Jnl[[#This Row],[TrxDate]]&gt;debug_date_end, "post", "curr"))</f>
        <v>curr</v>
      </c>
    </row>
    <row r="1073" spans="1:21">
      <c r="A1073" s="11" t="s">
        <v>1530</v>
      </c>
      <c r="B1073" s="7">
        <f>_xlfn.XLOOKUP(Jnl[[#This Row],[TrxId]], Trx[Id], Trx[Date],,0)</f>
        <v>46081</v>
      </c>
      <c r="C1073" s="7" t="str">
        <f>_xlfn.XLOOKUP(Jnl[[#This Row],[TrxId]], Trx[Id], Trx[Division],,0)</f>
        <v>GM</v>
      </c>
      <c r="D1073" s="7" t="str">
        <f>_xlfn.XLOOKUP(Jnl[[#This Row],[TrxId]], Trx[Id], Trx[Action],,0)</f>
        <v>银行费</v>
      </c>
      <c r="E1073" s="26" t="s">
        <v>82</v>
      </c>
      <c r="F1073" s="11" t="s">
        <v>590</v>
      </c>
      <c r="G1073" s="11" t="s">
        <v>592</v>
      </c>
      <c r="H1073" s="72">
        <v>-47</v>
      </c>
      <c r="I1073" s="5" t="b">
        <f>AND(Jnl[[#This Row],[TrxId]]&lt;&gt;"",Jnl[[#This Row],[Acct]]&lt;&gt;"",Jnl[[#This Row],[Item]]&lt;&gt;"",ISNUMBER(Jnl[[#This Row],[Bal]]))</f>
        <v>1</v>
      </c>
      <c r="J1073" s="10">
        <f>IF(Jnl[[#This Row],[BSLv0]]="A",1,-1)*Jnl[[#This Row],[Bal]]</f>
        <v>-47</v>
      </c>
      <c r="K1073" t="str">
        <f>_xlfn.XLOOKUP(Jnl[[#This Row],[Acct]], config_BS[Acct], config_BS[Lv0],,0)</f>
        <v>A</v>
      </c>
      <c r="L1073" t="str">
        <f>_xlfn.XLOOKUP(Jnl[[#This Row],[Acct]], config_BS[Acct], config_BS[Lv1],,0)</f>
        <v>Assets</v>
      </c>
      <c r="M1073" t="str">
        <f>_xlfn.XLOOKUP(Jnl[[#This Row],[Acct]], config_BS[Acct], config_BS[Lv2],,0)</f>
        <v>Cash alike</v>
      </c>
      <c r="N1073" t="str">
        <f>_xlfn.XLOOKUP(Jnl[[#This Row],[TrxId]], Trx[Id], Trx[IncNode], ,0)</f>
        <v>Expense</v>
      </c>
      <c r="O1073" t="str">
        <f>_xlfn.XLOOKUP(Jnl[[#This Row],[IncNode]], config_IS[Node], config_IS[Type],,0)</f>
        <v>Op</v>
      </c>
      <c r="P1073" t="str">
        <f>_xlfn.XLOOKUP(Jnl[[#This Row],[BSLv2]], dict[Key], dict[Name],,0)</f>
        <v>0.现金及类似</v>
      </c>
      <c r="Q1073" t="str">
        <f>_xlfn.XLOOKUP(Jnl[[#This Row],[Acct]], dict[Key], dict[Name],,0)</f>
        <v>银行</v>
      </c>
      <c r="R1073" t="str">
        <f>_xlfn.XLOOKUP(Jnl[[#This Row],[Vehicle]],config_vehicle[Id], config_vehicle[Name],,0)</f>
        <v>米小易</v>
      </c>
      <c r="S1073" t="str">
        <f>_xlfn.XLOOKUP(Jnl[[#This Row],[Division]],config_div[Id], config_div[Name],,0)</f>
        <v>综合管理</v>
      </c>
      <c r="T1073" t="str">
        <f>IF(Jnl[[#This Row],[TrxDate]]&lt;=stmt_BS_date_end, "In", "Out")</f>
        <v>In</v>
      </c>
      <c r="U1073" t="str">
        <f>IF(Jnl[[#This Row],[TrxDate]]&lt;debug_date_start, "prior", IF(Jnl[[#This Row],[TrxDate]]&gt;debug_date_end, "post", "curr"))</f>
        <v>curr</v>
      </c>
    </row>
    <row r="1074" spans="1:21">
      <c r="A1074" s="11" t="s">
        <v>1532</v>
      </c>
      <c r="B1074" s="7">
        <f>_xlfn.XLOOKUP(Jnl[[#This Row],[TrxId]], Trx[Id], Trx[Date],,0)</f>
        <v>46081</v>
      </c>
      <c r="C1074" s="7" t="str">
        <f>_xlfn.XLOOKUP(Jnl[[#This Row],[TrxId]], Trx[Id], Trx[Division],,0)</f>
        <v>Shuijie</v>
      </c>
      <c r="D1074" s="7" t="str">
        <f>_xlfn.XLOOKUP(Jnl[[#This Row],[TrxId]], Trx[Id], Trx[Action],,0)</f>
        <v>收款</v>
      </c>
      <c r="E1074" s="26" t="s">
        <v>82</v>
      </c>
      <c r="F1074" s="11" t="s">
        <v>590</v>
      </c>
      <c r="G1074" s="11" t="s">
        <v>592</v>
      </c>
      <c r="H1074" s="72">
        <f>348149.83+3873.4</f>
        <v>352023.23000000004</v>
      </c>
      <c r="I1074" s="5" t="b">
        <f>AND(Jnl[[#This Row],[TrxId]]&lt;&gt;"",Jnl[[#This Row],[Acct]]&lt;&gt;"",Jnl[[#This Row],[Item]]&lt;&gt;"",ISNUMBER(Jnl[[#This Row],[Bal]]))</f>
        <v>1</v>
      </c>
      <c r="J1074" s="10">
        <f>IF(Jnl[[#This Row],[BSLv0]]="A",1,-1)*Jnl[[#This Row],[Bal]]</f>
        <v>352023.23000000004</v>
      </c>
      <c r="K1074" t="str">
        <f>_xlfn.XLOOKUP(Jnl[[#This Row],[Acct]], config_BS[Acct], config_BS[Lv0],,0)</f>
        <v>A</v>
      </c>
      <c r="L1074" t="str">
        <f>_xlfn.XLOOKUP(Jnl[[#This Row],[Acct]], config_BS[Acct], config_BS[Lv1],,0)</f>
        <v>Assets</v>
      </c>
      <c r="M1074" t="str">
        <f>_xlfn.XLOOKUP(Jnl[[#This Row],[Acct]], config_BS[Acct], config_BS[Lv2],,0)</f>
        <v>Cash alike</v>
      </c>
      <c r="N1074" t="str">
        <f>_xlfn.XLOOKUP(Jnl[[#This Row],[TrxId]], Trx[Id], Trx[IncNode], ,0)</f>
        <v>Revenue</v>
      </c>
      <c r="O1074" t="str">
        <f>_xlfn.XLOOKUP(Jnl[[#This Row],[IncNode]], config_IS[Node], config_IS[Type],,0)</f>
        <v>Op</v>
      </c>
      <c r="P1074" t="str">
        <f>_xlfn.XLOOKUP(Jnl[[#This Row],[BSLv2]], dict[Key], dict[Name],,0)</f>
        <v>0.现金及类似</v>
      </c>
      <c r="Q1074" t="str">
        <f>_xlfn.XLOOKUP(Jnl[[#This Row],[Acct]], dict[Key], dict[Name],,0)</f>
        <v>银行</v>
      </c>
      <c r="R1074" t="str">
        <f>_xlfn.XLOOKUP(Jnl[[#This Row],[Vehicle]],config_vehicle[Id], config_vehicle[Name],,0)</f>
        <v>米小易</v>
      </c>
      <c r="S1074" t="str">
        <f>_xlfn.XLOOKUP(Jnl[[#This Row],[Division]],config_div[Id], config_div[Name],,0)</f>
        <v>水街店</v>
      </c>
      <c r="T1074" t="str">
        <f>IF(Jnl[[#This Row],[TrxDate]]&lt;=stmt_BS_date_end, "In", "Out")</f>
        <v>In</v>
      </c>
      <c r="U1074" t="str">
        <f>IF(Jnl[[#This Row],[TrxDate]]&lt;debug_date_start, "prior", IF(Jnl[[#This Row],[TrxDate]]&gt;debug_date_end, "post", "curr"))</f>
        <v>curr</v>
      </c>
    </row>
    <row r="1075" spans="1:21">
      <c r="A1075" s="11" t="s">
        <v>1532</v>
      </c>
      <c r="B1075" s="7">
        <f>_xlfn.XLOOKUP(Jnl[[#This Row],[TrxId]], Trx[Id], Trx[Date],,0)</f>
        <v>46081</v>
      </c>
      <c r="C1075" s="7" t="str">
        <f>_xlfn.XLOOKUP(Jnl[[#This Row],[TrxId]], Trx[Id], Trx[Division],,0)</f>
        <v>Shuijie</v>
      </c>
      <c r="D1075" s="7" t="str">
        <f>_xlfn.XLOOKUP(Jnl[[#This Row],[TrxId]], Trx[Id], Trx[Action],,0)</f>
        <v>收款</v>
      </c>
      <c r="E1075" s="26" t="s">
        <v>82</v>
      </c>
      <c r="F1075" s="11" t="s">
        <v>593</v>
      </c>
      <c r="G1075" s="11" t="s">
        <v>594</v>
      </c>
      <c r="H1075" s="72">
        <f>-348149.83-3873.4</f>
        <v>-352023.23000000004</v>
      </c>
      <c r="I1075" s="5" t="b">
        <f>AND(Jnl[[#This Row],[TrxId]]&lt;&gt;"",Jnl[[#This Row],[Acct]]&lt;&gt;"",Jnl[[#This Row],[Item]]&lt;&gt;"",ISNUMBER(Jnl[[#This Row],[Bal]]))</f>
        <v>1</v>
      </c>
      <c r="J1075" s="10">
        <f>IF(Jnl[[#This Row],[BSLv0]]="A",1,-1)*Jnl[[#This Row],[Bal]]</f>
        <v>-352023.23000000004</v>
      </c>
      <c r="K1075" t="str">
        <f>_xlfn.XLOOKUP(Jnl[[#This Row],[Acct]], config_BS[Acct], config_BS[Lv0],,0)</f>
        <v>A</v>
      </c>
      <c r="L1075" t="str">
        <f>_xlfn.XLOOKUP(Jnl[[#This Row],[Acct]], config_BS[Acct], config_BS[Lv1],,0)</f>
        <v>Assets</v>
      </c>
      <c r="M1075" t="str">
        <f>_xlfn.XLOOKUP(Jnl[[#This Row],[Acct]], config_BS[Acct], config_BS[Lv2],,0)</f>
        <v>Rec-Pay</v>
      </c>
      <c r="N1075" t="str">
        <f>_xlfn.XLOOKUP(Jnl[[#This Row],[TrxId]], Trx[Id], Trx[IncNode], ,0)</f>
        <v>Revenue</v>
      </c>
      <c r="O1075" t="str">
        <f>_xlfn.XLOOKUP(Jnl[[#This Row],[IncNode]], config_IS[Node], config_IS[Type],,0)</f>
        <v>Op</v>
      </c>
      <c r="P1075" t="str">
        <f>_xlfn.XLOOKUP(Jnl[[#This Row],[BSLv2]], dict[Key], dict[Name],,0)</f>
        <v>1.应收-应付</v>
      </c>
      <c r="Q1075" t="str">
        <f>_xlfn.XLOOKUP(Jnl[[#This Row],[Acct]], dict[Key], dict[Name],,0)</f>
        <v>应收-一般</v>
      </c>
      <c r="R1075" t="str">
        <f>_xlfn.XLOOKUP(Jnl[[#This Row],[Vehicle]],config_vehicle[Id], config_vehicle[Name],,0)</f>
        <v>米小易</v>
      </c>
      <c r="S1075" t="str">
        <f>_xlfn.XLOOKUP(Jnl[[#This Row],[Division]],config_div[Id], config_div[Name],,0)</f>
        <v>水街店</v>
      </c>
      <c r="T1075" t="str">
        <f>IF(Jnl[[#This Row],[TrxDate]]&lt;=stmt_BS_date_end, "In", "Out")</f>
        <v>In</v>
      </c>
      <c r="U1075" t="str">
        <f>IF(Jnl[[#This Row],[TrxDate]]&lt;debug_date_start, "prior", IF(Jnl[[#This Row],[TrxDate]]&gt;debug_date_end, "post", "curr"))</f>
        <v>curr</v>
      </c>
    </row>
    <row r="1076" spans="1:21">
      <c r="A1076" s="11" t="s">
        <v>1533</v>
      </c>
      <c r="B1076" s="7">
        <f>_xlfn.XLOOKUP(Jnl[[#This Row],[TrxId]], Trx[Id], Trx[Date],,0)</f>
        <v>46081</v>
      </c>
      <c r="C1076" s="7" t="str">
        <f>_xlfn.XLOOKUP(Jnl[[#This Row],[TrxId]], Trx[Id], Trx[Division],,0)</f>
        <v>Shuijie</v>
      </c>
      <c r="D1076" s="7" t="str">
        <f>_xlfn.XLOOKUP(Jnl[[#This Row],[TrxId]], Trx[Id], Trx[Action],,0)</f>
        <v>餐饮</v>
      </c>
      <c r="E1076" s="26" t="s">
        <v>82</v>
      </c>
      <c r="F1076" s="11" t="s">
        <v>593</v>
      </c>
      <c r="G1076" s="11" t="s">
        <v>594</v>
      </c>
      <c r="H1076" s="72">
        <f>364179.81-10215.06</f>
        <v>353964.75</v>
      </c>
      <c r="I1076" s="5" t="b">
        <f>AND(Jnl[[#This Row],[TrxId]]&lt;&gt;"",Jnl[[#This Row],[Acct]]&lt;&gt;"",Jnl[[#This Row],[Item]]&lt;&gt;"",ISNUMBER(Jnl[[#This Row],[Bal]]))</f>
        <v>1</v>
      </c>
      <c r="J1076" s="10">
        <f>IF(Jnl[[#This Row],[BSLv0]]="A",1,-1)*Jnl[[#This Row],[Bal]]</f>
        <v>353964.75</v>
      </c>
      <c r="K1076" t="str">
        <f>_xlfn.XLOOKUP(Jnl[[#This Row],[Acct]], config_BS[Acct], config_BS[Lv0],,0)</f>
        <v>A</v>
      </c>
      <c r="L1076" t="str">
        <f>_xlfn.XLOOKUP(Jnl[[#This Row],[Acct]], config_BS[Acct], config_BS[Lv1],,0)</f>
        <v>Assets</v>
      </c>
      <c r="M1076" t="str">
        <f>_xlfn.XLOOKUP(Jnl[[#This Row],[Acct]], config_BS[Acct], config_BS[Lv2],,0)</f>
        <v>Rec-Pay</v>
      </c>
      <c r="N1076" t="str">
        <f>_xlfn.XLOOKUP(Jnl[[#This Row],[TrxId]], Trx[Id], Trx[IncNode], ,0)</f>
        <v>Revenue</v>
      </c>
      <c r="O1076" t="str">
        <f>_xlfn.XLOOKUP(Jnl[[#This Row],[IncNode]], config_IS[Node], config_IS[Type],,0)</f>
        <v>Op</v>
      </c>
      <c r="P1076" t="str">
        <f>_xlfn.XLOOKUP(Jnl[[#This Row],[BSLv2]], dict[Key], dict[Name],,0)</f>
        <v>1.应收-应付</v>
      </c>
      <c r="Q1076" t="str">
        <f>_xlfn.XLOOKUP(Jnl[[#This Row],[Acct]], dict[Key], dict[Name],,0)</f>
        <v>应收-一般</v>
      </c>
      <c r="R1076" t="str">
        <f>_xlfn.XLOOKUP(Jnl[[#This Row],[Vehicle]],config_vehicle[Id], config_vehicle[Name],,0)</f>
        <v>米小易</v>
      </c>
      <c r="S1076" t="str">
        <f>_xlfn.XLOOKUP(Jnl[[#This Row],[Division]],config_div[Id], config_div[Name],,0)</f>
        <v>水街店</v>
      </c>
      <c r="T1076" t="str">
        <f>IF(Jnl[[#This Row],[TrxDate]]&lt;=stmt_BS_date_end, "In", "Out")</f>
        <v>In</v>
      </c>
      <c r="U1076" t="str">
        <f>IF(Jnl[[#This Row],[TrxDate]]&lt;debug_date_start, "prior", IF(Jnl[[#This Row],[TrxDate]]&gt;debug_date_end, "post", "curr"))</f>
        <v>curr</v>
      </c>
    </row>
    <row r="1077" spans="1:21">
      <c r="A1077" s="11" t="s">
        <v>1533</v>
      </c>
      <c r="B1077" s="7">
        <f>_xlfn.XLOOKUP(Jnl[[#This Row],[TrxId]], Trx[Id], Trx[Date],,0)</f>
        <v>46081</v>
      </c>
      <c r="C1077" s="7" t="str">
        <f>_xlfn.XLOOKUP(Jnl[[#This Row],[TrxId]], Trx[Id], Trx[Division],,0)</f>
        <v>Shuijie</v>
      </c>
      <c r="D1077" s="7" t="str">
        <f>_xlfn.XLOOKUP(Jnl[[#This Row],[TrxId]], Trx[Id], Trx[Action],,0)</f>
        <v>餐饮</v>
      </c>
      <c r="E1077" s="26" t="s">
        <v>82</v>
      </c>
      <c r="F1077" s="11" t="s">
        <v>599</v>
      </c>
      <c r="G1077" s="11" t="s">
        <v>600</v>
      </c>
      <c r="H1077" s="72">
        <v>2504</v>
      </c>
      <c r="I1077" s="5" t="b">
        <f>AND(Jnl[[#This Row],[TrxId]]&lt;&gt;"",Jnl[[#This Row],[Acct]]&lt;&gt;"",Jnl[[#This Row],[Item]]&lt;&gt;"",ISNUMBER(Jnl[[#This Row],[Bal]]))</f>
        <v>1</v>
      </c>
      <c r="J1077" s="10">
        <f>IF(Jnl[[#This Row],[BSLv0]]="A",1,-1)*Jnl[[#This Row],[Bal]]</f>
        <v>2504</v>
      </c>
      <c r="K1077" t="str">
        <f>_xlfn.XLOOKUP(Jnl[[#This Row],[Acct]], config_BS[Acct], config_BS[Lv0],,0)</f>
        <v>A</v>
      </c>
      <c r="L1077" t="str">
        <f>_xlfn.XLOOKUP(Jnl[[#This Row],[Acct]], config_BS[Acct], config_BS[Lv1],,0)</f>
        <v>Assets</v>
      </c>
      <c r="M1077" t="str">
        <f>_xlfn.XLOOKUP(Jnl[[#This Row],[Acct]], config_BS[Acct], config_BS[Lv2],,0)</f>
        <v>Cash alike</v>
      </c>
      <c r="N1077" t="str">
        <f>_xlfn.XLOOKUP(Jnl[[#This Row],[TrxId]], Trx[Id], Trx[IncNode], ,0)</f>
        <v>Revenue</v>
      </c>
      <c r="O1077" t="str">
        <f>_xlfn.XLOOKUP(Jnl[[#This Row],[IncNode]], config_IS[Node], config_IS[Type],,0)</f>
        <v>Op</v>
      </c>
      <c r="P1077" t="str">
        <f>_xlfn.XLOOKUP(Jnl[[#This Row],[BSLv2]], dict[Key], dict[Name],,0)</f>
        <v>0.现金及类似</v>
      </c>
      <c r="Q1077" t="str">
        <f>_xlfn.XLOOKUP(Jnl[[#This Row],[Acct]], dict[Key], dict[Name],,0)</f>
        <v>物理现金</v>
      </c>
      <c r="R1077" t="str">
        <f>_xlfn.XLOOKUP(Jnl[[#This Row],[Vehicle]],config_vehicle[Id], config_vehicle[Name],,0)</f>
        <v>米小易</v>
      </c>
      <c r="S1077" t="str">
        <f>_xlfn.XLOOKUP(Jnl[[#This Row],[Division]],config_div[Id], config_div[Name],,0)</f>
        <v>水街店</v>
      </c>
      <c r="T1077" t="str">
        <f>IF(Jnl[[#This Row],[TrxDate]]&lt;=stmt_BS_date_end, "In", "Out")</f>
        <v>In</v>
      </c>
      <c r="U1077" t="str">
        <f>IF(Jnl[[#This Row],[TrxDate]]&lt;debug_date_start, "prior", IF(Jnl[[#This Row],[TrxDate]]&gt;debug_date_end, "post", "curr"))</f>
        <v>curr</v>
      </c>
    </row>
    <row r="1078" spans="1:21">
      <c r="A1078" s="11" t="s">
        <v>1534</v>
      </c>
      <c r="B1078" s="7">
        <f>_xlfn.XLOOKUP(Jnl[[#This Row],[TrxId]], Trx[Id], Trx[Date],,0)</f>
        <v>46081</v>
      </c>
      <c r="C1078" s="7" t="str">
        <f>_xlfn.XLOOKUP(Jnl[[#This Row],[TrxId]], Trx[Id], Trx[Division],,0)</f>
        <v>Shuijie</v>
      </c>
      <c r="D1078" s="7" t="str">
        <f>_xlfn.XLOOKUP(Jnl[[#This Row],[TrxId]], Trx[Id], Trx[Action],,0)</f>
        <v>增值税</v>
      </c>
      <c r="E1078" s="26" t="s">
        <v>82</v>
      </c>
      <c r="F1078" s="11" t="s">
        <v>127</v>
      </c>
      <c r="G1078" s="11" t="s">
        <v>307</v>
      </c>
      <c r="H1078" s="72">
        <v>3630.53</v>
      </c>
      <c r="I1078" s="5" t="b">
        <f>AND(Jnl[[#This Row],[TrxId]]&lt;&gt;"",Jnl[[#This Row],[Acct]]&lt;&gt;"",Jnl[[#This Row],[Item]]&lt;&gt;"",ISNUMBER(Jnl[[#This Row],[Bal]]))</f>
        <v>1</v>
      </c>
      <c r="J1078" s="10">
        <f>IF(Jnl[[#This Row],[BSLv0]]="A",1,-1)*Jnl[[#This Row],[Bal]]</f>
        <v>-3630.53</v>
      </c>
      <c r="K1078" t="str">
        <f>_xlfn.XLOOKUP(Jnl[[#This Row],[Acct]], config_BS[Acct], config_BS[Lv0],,0)</f>
        <v>LC</v>
      </c>
      <c r="L1078" t="str">
        <f>_xlfn.XLOOKUP(Jnl[[#This Row],[Acct]], config_BS[Acct], config_BS[Lv1],,0)</f>
        <v>Liability</v>
      </c>
      <c r="M1078" t="str">
        <f>_xlfn.XLOOKUP(Jnl[[#This Row],[Acct]], config_BS[Acct], config_BS[Lv2],,0)</f>
        <v>Rec-Pay</v>
      </c>
      <c r="N1078" t="str">
        <f>_xlfn.XLOOKUP(Jnl[[#This Row],[TrxId]], Trx[Id], Trx[IncNode], ,0)</f>
        <v>Cost</v>
      </c>
      <c r="O1078" t="str">
        <f>_xlfn.XLOOKUP(Jnl[[#This Row],[IncNode]], config_IS[Node], config_IS[Type],,0)</f>
        <v>Op</v>
      </c>
      <c r="P1078" t="str">
        <f>_xlfn.XLOOKUP(Jnl[[#This Row],[BSLv2]], dict[Key], dict[Name],,0)</f>
        <v>1.应收-应付</v>
      </c>
      <c r="Q1078" t="str">
        <f>_xlfn.XLOOKUP(Jnl[[#This Row],[Acct]], dict[Key], dict[Name],,0)</f>
        <v>应付-税款</v>
      </c>
      <c r="R1078" t="str">
        <f>_xlfn.XLOOKUP(Jnl[[#This Row],[Vehicle]],config_vehicle[Id], config_vehicle[Name],,0)</f>
        <v>米小易</v>
      </c>
      <c r="S1078" t="str">
        <f>_xlfn.XLOOKUP(Jnl[[#This Row],[Division]],config_div[Id], config_div[Name],,0)</f>
        <v>水街店</v>
      </c>
      <c r="T1078" t="str">
        <f>IF(Jnl[[#This Row],[TrxDate]]&lt;=stmt_BS_date_end, "In", "Out")</f>
        <v>In</v>
      </c>
      <c r="U1078" t="str">
        <f>IF(Jnl[[#This Row],[TrxDate]]&lt;debug_date_start, "prior", IF(Jnl[[#This Row],[TrxDate]]&gt;debug_date_end, "post", "curr"))</f>
        <v>curr</v>
      </c>
    </row>
    <row r="1079" spans="1:21">
      <c r="A1079" s="11" t="s">
        <v>1535</v>
      </c>
      <c r="B1079" s="7">
        <f>_xlfn.XLOOKUP(Jnl[[#This Row],[TrxId]], Trx[Id], Trx[Date],,0)</f>
        <v>46081</v>
      </c>
      <c r="C1079" s="7" t="str">
        <f>_xlfn.XLOOKUP(Jnl[[#This Row],[TrxId]], Trx[Id], Trx[Division],,0)</f>
        <v>Shuijie</v>
      </c>
      <c r="D1079" s="7" t="str">
        <f>_xlfn.XLOOKUP(Jnl[[#This Row],[TrxId]], Trx[Id], Trx[Action],,0)</f>
        <v>平台费</v>
      </c>
      <c r="E1079" s="26" t="s">
        <v>82</v>
      </c>
      <c r="F1079" s="11" t="s">
        <v>593</v>
      </c>
      <c r="G1079" s="11" t="s">
        <v>594</v>
      </c>
      <c r="H1079" s="72">
        <v>-1381.56</v>
      </c>
      <c r="I1079" s="5" t="b">
        <f>AND(Jnl[[#This Row],[TrxId]]&lt;&gt;"",Jnl[[#This Row],[Acct]]&lt;&gt;"",Jnl[[#This Row],[Item]]&lt;&gt;"",ISNUMBER(Jnl[[#This Row],[Bal]]))</f>
        <v>1</v>
      </c>
      <c r="J1079" s="10">
        <f>IF(Jnl[[#This Row],[BSLv0]]="A",1,-1)*Jnl[[#This Row],[Bal]]</f>
        <v>-1381.56</v>
      </c>
      <c r="K1079" t="str">
        <f>_xlfn.XLOOKUP(Jnl[[#This Row],[Acct]], config_BS[Acct], config_BS[Lv0],,0)</f>
        <v>A</v>
      </c>
      <c r="L1079" t="str">
        <f>_xlfn.XLOOKUP(Jnl[[#This Row],[Acct]], config_BS[Acct], config_BS[Lv1],,0)</f>
        <v>Assets</v>
      </c>
      <c r="M1079" t="str">
        <f>_xlfn.XLOOKUP(Jnl[[#This Row],[Acct]], config_BS[Acct], config_BS[Lv2],,0)</f>
        <v>Rec-Pay</v>
      </c>
      <c r="N1079" t="str">
        <f>_xlfn.XLOOKUP(Jnl[[#This Row],[TrxId]], Trx[Id], Trx[IncNode], ,0)</f>
        <v>Expense</v>
      </c>
      <c r="O1079" t="str">
        <f>_xlfn.XLOOKUP(Jnl[[#This Row],[IncNode]], config_IS[Node], config_IS[Type],,0)</f>
        <v>Op</v>
      </c>
      <c r="P1079" t="str">
        <f>_xlfn.XLOOKUP(Jnl[[#This Row],[BSLv2]], dict[Key], dict[Name],,0)</f>
        <v>1.应收-应付</v>
      </c>
      <c r="Q1079" t="str">
        <f>_xlfn.XLOOKUP(Jnl[[#This Row],[Acct]], dict[Key], dict[Name],,0)</f>
        <v>应收-一般</v>
      </c>
      <c r="R1079" t="str">
        <f>_xlfn.XLOOKUP(Jnl[[#This Row],[Vehicle]],config_vehicle[Id], config_vehicle[Name],,0)</f>
        <v>米小易</v>
      </c>
      <c r="S1079" t="str">
        <f>_xlfn.XLOOKUP(Jnl[[#This Row],[Division]],config_div[Id], config_div[Name],,0)</f>
        <v>水街店</v>
      </c>
      <c r="T1079" t="str">
        <f>IF(Jnl[[#This Row],[TrxDate]]&lt;=stmt_BS_date_end, "In", "Out")</f>
        <v>In</v>
      </c>
      <c r="U1079" t="str">
        <f>IF(Jnl[[#This Row],[TrxDate]]&lt;debug_date_start, "prior", IF(Jnl[[#This Row],[TrxDate]]&gt;debug_date_end, "post", "curr"))</f>
        <v>curr</v>
      </c>
    </row>
    <row r="1080" spans="1:21">
      <c r="A1080" s="11" t="s">
        <v>1536</v>
      </c>
      <c r="B1080" s="7">
        <f>_xlfn.XLOOKUP(Jnl[[#This Row],[TrxId]], Trx[Id], Trx[Date],,0)</f>
        <v>46081</v>
      </c>
      <c r="C1080" s="7" t="str">
        <f>_xlfn.XLOOKUP(Jnl[[#This Row],[TrxId]], Trx[Id], Trx[Division],,0)</f>
        <v>Shuijie</v>
      </c>
      <c r="D1080" s="7" t="str">
        <f>_xlfn.XLOOKUP(Jnl[[#This Row],[TrxId]], Trx[Id], Trx[Action],,0)</f>
        <v>图书</v>
      </c>
      <c r="E1080" s="26" t="s">
        <v>82</v>
      </c>
      <c r="F1080" s="11" t="s">
        <v>593</v>
      </c>
      <c r="G1080" s="11" t="s">
        <v>594</v>
      </c>
      <c r="H1080" s="72">
        <v>4197</v>
      </c>
      <c r="I1080" s="5" t="b">
        <f>AND(Jnl[[#This Row],[TrxId]]&lt;&gt;"",Jnl[[#This Row],[Acct]]&lt;&gt;"",Jnl[[#This Row],[Item]]&lt;&gt;"",ISNUMBER(Jnl[[#This Row],[Bal]]))</f>
        <v>1</v>
      </c>
      <c r="J1080" s="10">
        <f>IF(Jnl[[#This Row],[BSLv0]]="A",1,-1)*Jnl[[#This Row],[Bal]]</f>
        <v>4197</v>
      </c>
      <c r="K1080" t="str">
        <f>_xlfn.XLOOKUP(Jnl[[#This Row],[Acct]], config_BS[Acct], config_BS[Lv0],,0)</f>
        <v>A</v>
      </c>
      <c r="L1080" t="str">
        <f>_xlfn.XLOOKUP(Jnl[[#This Row],[Acct]], config_BS[Acct], config_BS[Lv1],,0)</f>
        <v>Assets</v>
      </c>
      <c r="M1080" t="str">
        <f>_xlfn.XLOOKUP(Jnl[[#This Row],[Acct]], config_BS[Acct], config_BS[Lv2],,0)</f>
        <v>Rec-Pay</v>
      </c>
      <c r="N1080" t="str">
        <f>_xlfn.XLOOKUP(Jnl[[#This Row],[TrxId]], Trx[Id], Trx[IncNode], ,0)</f>
        <v>Revenue</v>
      </c>
      <c r="O1080" t="str">
        <f>_xlfn.XLOOKUP(Jnl[[#This Row],[IncNode]], config_IS[Node], config_IS[Type],,0)</f>
        <v>Op</v>
      </c>
      <c r="P1080" t="str">
        <f>_xlfn.XLOOKUP(Jnl[[#This Row],[BSLv2]], dict[Key], dict[Name],,0)</f>
        <v>1.应收-应付</v>
      </c>
      <c r="Q1080" t="str">
        <f>_xlfn.XLOOKUP(Jnl[[#This Row],[Acct]], dict[Key], dict[Name],,0)</f>
        <v>应收-一般</v>
      </c>
      <c r="R1080" t="str">
        <f>_xlfn.XLOOKUP(Jnl[[#This Row],[Vehicle]],config_vehicle[Id], config_vehicle[Name],,0)</f>
        <v>米小易</v>
      </c>
      <c r="S1080" t="str">
        <f>_xlfn.XLOOKUP(Jnl[[#This Row],[Division]],config_div[Id], config_div[Name],,0)</f>
        <v>水街店</v>
      </c>
      <c r="T1080" t="str">
        <f>IF(Jnl[[#This Row],[TrxDate]]&lt;=stmt_BS_date_end, "In", "Out")</f>
        <v>In</v>
      </c>
      <c r="U1080" t="str">
        <f>IF(Jnl[[#This Row],[TrxDate]]&lt;debug_date_start, "prior", IF(Jnl[[#This Row],[TrxDate]]&gt;debug_date_end, "post", "curr"))</f>
        <v>curr</v>
      </c>
    </row>
    <row r="1081" spans="1:21">
      <c r="A1081" s="11" t="s">
        <v>1536</v>
      </c>
      <c r="B1081" s="7">
        <f>_xlfn.XLOOKUP(Jnl[[#This Row],[TrxId]], Trx[Id], Trx[Date],,0)</f>
        <v>46081</v>
      </c>
      <c r="C1081" s="7" t="str">
        <f>_xlfn.XLOOKUP(Jnl[[#This Row],[TrxId]], Trx[Id], Trx[Division],,0)</f>
        <v>Shuijie</v>
      </c>
      <c r="D1081" s="7" t="str">
        <f>_xlfn.XLOOKUP(Jnl[[#This Row],[TrxId]], Trx[Id], Trx[Action],,0)</f>
        <v>图书</v>
      </c>
      <c r="E1081" s="26" t="s">
        <v>82</v>
      </c>
      <c r="F1081" s="11" t="s">
        <v>599</v>
      </c>
      <c r="G1081" s="11" t="s">
        <v>600</v>
      </c>
      <c r="H1081" s="72">
        <v>38</v>
      </c>
      <c r="I1081" s="5" t="b">
        <f>AND(Jnl[[#This Row],[TrxId]]&lt;&gt;"",Jnl[[#This Row],[Acct]]&lt;&gt;"",Jnl[[#This Row],[Item]]&lt;&gt;"",ISNUMBER(Jnl[[#This Row],[Bal]]))</f>
        <v>1</v>
      </c>
      <c r="J1081" s="10">
        <f>IF(Jnl[[#This Row],[BSLv0]]="A",1,-1)*Jnl[[#This Row],[Bal]]</f>
        <v>38</v>
      </c>
      <c r="K1081" t="str">
        <f>_xlfn.XLOOKUP(Jnl[[#This Row],[Acct]], config_BS[Acct], config_BS[Lv0],,0)</f>
        <v>A</v>
      </c>
      <c r="L1081" t="str">
        <f>_xlfn.XLOOKUP(Jnl[[#This Row],[Acct]], config_BS[Acct], config_BS[Lv1],,0)</f>
        <v>Assets</v>
      </c>
      <c r="M1081" t="str">
        <f>_xlfn.XLOOKUP(Jnl[[#This Row],[Acct]], config_BS[Acct], config_BS[Lv2],,0)</f>
        <v>Cash alike</v>
      </c>
      <c r="N1081" t="str">
        <f>_xlfn.XLOOKUP(Jnl[[#This Row],[TrxId]], Trx[Id], Trx[IncNode], ,0)</f>
        <v>Revenue</v>
      </c>
      <c r="O1081" t="str">
        <f>_xlfn.XLOOKUP(Jnl[[#This Row],[IncNode]], config_IS[Node], config_IS[Type],,0)</f>
        <v>Op</v>
      </c>
      <c r="P1081" t="str">
        <f>_xlfn.XLOOKUP(Jnl[[#This Row],[BSLv2]], dict[Key], dict[Name],,0)</f>
        <v>0.现金及类似</v>
      </c>
      <c r="Q1081" t="str">
        <f>_xlfn.XLOOKUP(Jnl[[#This Row],[Acct]], dict[Key], dict[Name],,0)</f>
        <v>物理现金</v>
      </c>
      <c r="R1081" t="str">
        <f>_xlfn.XLOOKUP(Jnl[[#This Row],[Vehicle]],config_vehicle[Id], config_vehicle[Name],,0)</f>
        <v>米小易</v>
      </c>
      <c r="S1081" t="str">
        <f>_xlfn.XLOOKUP(Jnl[[#This Row],[Division]],config_div[Id], config_div[Name],,0)</f>
        <v>水街店</v>
      </c>
      <c r="T1081" t="str">
        <f>IF(Jnl[[#This Row],[TrxDate]]&lt;=stmt_BS_date_end, "In", "Out")</f>
        <v>In</v>
      </c>
      <c r="U1081" t="str">
        <f>IF(Jnl[[#This Row],[TrxDate]]&lt;debug_date_start, "prior", IF(Jnl[[#This Row],[TrxDate]]&gt;debug_date_end, "post", "curr"))</f>
        <v>curr</v>
      </c>
    </row>
    <row r="1082" spans="1:21">
      <c r="A1082" s="11" t="s">
        <v>1537</v>
      </c>
      <c r="B1082" s="7">
        <f>_xlfn.XLOOKUP(Jnl[[#This Row],[TrxId]], Trx[Id], Trx[Date],,0)</f>
        <v>46081</v>
      </c>
      <c r="C1082" s="7" t="str">
        <f>_xlfn.XLOOKUP(Jnl[[#This Row],[TrxId]], Trx[Id], Trx[Division],,0)</f>
        <v>Shuijie</v>
      </c>
      <c r="D1082" s="7" t="str">
        <f>_xlfn.XLOOKUP(Jnl[[#This Row],[TrxId]], Trx[Id], Trx[Action],,0)</f>
        <v>平台费</v>
      </c>
      <c r="E1082" s="26" t="s">
        <v>82</v>
      </c>
      <c r="F1082" s="11" t="s">
        <v>593</v>
      </c>
      <c r="G1082" s="11" t="s">
        <v>594</v>
      </c>
      <c r="H1082" s="72">
        <v>-14.68</v>
      </c>
      <c r="I1082" s="5" t="b">
        <f>AND(Jnl[[#This Row],[TrxId]]&lt;&gt;"",Jnl[[#This Row],[Acct]]&lt;&gt;"",Jnl[[#This Row],[Item]]&lt;&gt;"",ISNUMBER(Jnl[[#This Row],[Bal]]))</f>
        <v>1</v>
      </c>
      <c r="J1082" s="10">
        <f>IF(Jnl[[#This Row],[BSLv0]]="A",1,-1)*Jnl[[#This Row],[Bal]]</f>
        <v>-14.68</v>
      </c>
      <c r="K1082" t="str">
        <f>_xlfn.XLOOKUP(Jnl[[#This Row],[Acct]], config_BS[Acct], config_BS[Lv0],,0)</f>
        <v>A</v>
      </c>
      <c r="L1082" t="str">
        <f>_xlfn.XLOOKUP(Jnl[[#This Row],[Acct]], config_BS[Acct], config_BS[Lv1],,0)</f>
        <v>Assets</v>
      </c>
      <c r="M1082" t="str">
        <f>_xlfn.XLOOKUP(Jnl[[#This Row],[Acct]], config_BS[Acct], config_BS[Lv2],,0)</f>
        <v>Rec-Pay</v>
      </c>
      <c r="N1082" t="str">
        <f>_xlfn.XLOOKUP(Jnl[[#This Row],[TrxId]], Trx[Id], Trx[IncNode], ,0)</f>
        <v>Expense</v>
      </c>
      <c r="O1082" t="str">
        <f>_xlfn.XLOOKUP(Jnl[[#This Row],[IncNode]], config_IS[Node], config_IS[Type],,0)</f>
        <v>Op</v>
      </c>
      <c r="P1082" t="str">
        <f>_xlfn.XLOOKUP(Jnl[[#This Row],[BSLv2]], dict[Key], dict[Name],,0)</f>
        <v>1.应收-应付</v>
      </c>
      <c r="Q1082" t="str">
        <f>_xlfn.XLOOKUP(Jnl[[#This Row],[Acct]], dict[Key], dict[Name],,0)</f>
        <v>应收-一般</v>
      </c>
      <c r="R1082" t="str">
        <f>_xlfn.XLOOKUP(Jnl[[#This Row],[Vehicle]],config_vehicle[Id], config_vehicle[Name],,0)</f>
        <v>米小易</v>
      </c>
      <c r="S1082" t="str">
        <f>_xlfn.XLOOKUP(Jnl[[#This Row],[Division]],config_div[Id], config_div[Name],,0)</f>
        <v>水街店</v>
      </c>
      <c r="T1082" t="str">
        <f>IF(Jnl[[#This Row],[TrxDate]]&lt;=stmt_BS_date_end, "In", "Out")</f>
        <v>In</v>
      </c>
      <c r="U1082" t="str">
        <f>IF(Jnl[[#This Row],[TrxDate]]&lt;debug_date_start, "prior", IF(Jnl[[#This Row],[TrxDate]]&gt;debug_date_end, "post", "curr"))</f>
        <v>curr</v>
      </c>
    </row>
    <row r="1083" spans="1:21">
      <c r="A1083" s="11" t="s">
        <v>1538</v>
      </c>
      <c r="B1083" s="7">
        <f>_xlfn.XLOOKUP(Jnl[[#This Row],[TrxId]], Trx[Id], Trx[Date],,0)</f>
        <v>46081</v>
      </c>
      <c r="C1083" s="7" t="str">
        <f>_xlfn.XLOOKUP(Jnl[[#This Row],[TrxId]], Trx[Id], Trx[Division],,0)</f>
        <v>Shuijie</v>
      </c>
      <c r="D1083" s="7" t="str">
        <f>_xlfn.XLOOKUP(Jnl[[#This Row],[TrxId]], Trx[Id], Trx[Action],,0)</f>
        <v>库存摊销</v>
      </c>
      <c r="E1083" s="26" t="s">
        <v>82</v>
      </c>
      <c r="F1083" s="11" t="s">
        <v>598</v>
      </c>
      <c r="G1083" s="11" t="s">
        <v>152</v>
      </c>
      <c r="H1083" s="72">
        <v>-2127.5</v>
      </c>
      <c r="I1083" s="5" t="b">
        <f>AND(Jnl[[#This Row],[TrxId]]&lt;&gt;"",Jnl[[#This Row],[Acct]]&lt;&gt;"",Jnl[[#This Row],[Item]]&lt;&gt;"",ISNUMBER(Jnl[[#This Row],[Bal]]))</f>
        <v>1</v>
      </c>
      <c r="J1083" s="10">
        <f>IF(Jnl[[#This Row],[BSLv0]]="A",1,-1)*Jnl[[#This Row],[Bal]]</f>
        <v>-2127.5</v>
      </c>
      <c r="K1083" t="str">
        <f>_xlfn.XLOOKUP(Jnl[[#This Row],[Acct]], config_BS[Acct], config_BS[Lv0],,0)</f>
        <v>A</v>
      </c>
      <c r="L1083" t="str">
        <f>_xlfn.XLOOKUP(Jnl[[#This Row],[Acct]], config_BS[Acct], config_BS[Lv1],,0)</f>
        <v>Assets</v>
      </c>
      <c r="M1083" t="str">
        <f>_xlfn.XLOOKUP(Jnl[[#This Row],[Acct]], config_BS[Acct], config_BS[Lv2],,0)</f>
        <v>Invtr</v>
      </c>
      <c r="N1083" t="str">
        <f>_xlfn.XLOOKUP(Jnl[[#This Row],[TrxId]], Trx[Id], Trx[IncNode], ,0)</f>
        <v>Cost</v>
      </c>
      <c r="O1083" t="str">
        <f>_xlfn.XLOOKUP(Jnl[[#This Row],[IncNode]], config_IS[Node], config_IS[Type],,0)</f>
        <v>Op</v>
      </c>
      <c r="P1083" t="str">
        <f>_xlfn.XLOOKUP(Jnl[[#This Row],[BSLv2]], dict[Key], dict[Name],,0)</f>
        <v>3.库存占款</v>
      </c>
      <c r="Q1083" t="str">
        <f>_xlfn.XLOOKUP(Jnl[[#This Row],[Acct]], dict[Key], dict[Name],,0)</f>
        <v>当期存货</v>
      </c>
      <c r="R1083" t="str">
        <f>_xlfn.XLOOKUP(Jnl[[#This Row],[Vehicle]],config_vehicle[Id], config_vehicle[Name],,0)</f>
        <v>米小易</v>
      </c>
      <c r="S1083" t="str">
        <f>_xlfn.XLOOKUP(Jnl[[#This Row],[Division]],config_div[Id], config_div[Name],,0)</f>
        <v>水街店</v>
      </c>
      <c r="T1083" t="str">
        <f>IF(Jnl[[#This Row],[TrxDate]]&lt;=stmt_BS_date_end, "In", "Out")</f>
        <v>In</v>
      </c>
      <c r="U1083" t="str">
        <f>IF(Jnl[[#This Row],[TrxDate]]&lt;debug_date_start, "prior", IF(Jnl[[#This Row],[TrxDate]]&gt;debug_date_end, "post", "curr"))</f>
        <v>curr</v>
      </c>
    </row>
    <row r="1084" spans="1:21">
      <c r="A1084" s="11" t="s">
        <v>1539</v>
      </c>
      <c r="B1084" s="7">
        <f>_xlfn.XLOOKUP(Jnl[[#This Row],[TrxId]], Trx[Id], Trx[Date],,0)</f>
        <v>46081</v>
      </c>
      <c r="C1084" s="7" t="str">
        <f>_xlfn.XLOOKUP(Jnl[[#This Row],[TrxId]], Trx[Id], Trx[Division],,0)</f>
        <v>Shuijie</v>
      </c>
      <c r="D1084" s="7" t="str">
        <f>_xlfn.XLOOKUP(Jnl[[#This Row],[TrxId]], Trx[Id], Trx[Action],,0)</f>
        <v>食材</v>
      </c>
      <c r="E1084" s="26" t="s">
        <v>82</v>
      </c>
      <c r="F1084" s="11" t="s">
        <v>493</v>
      </c>
      <c r="G1084" s="11" t="s">
        <v>428</v>
      </c>
      <c r="H1084" s="72">
        <v>-12576</v>
      </c>
      <c r="I1084" s="5" t="b">
        <f>AND(Jnl[[#This Row],[TrxId]]&lt;&gt;"",Jnl[[#This Row],[Acct]]&lt;&gt;"",Jnl[[#This Row],[Item]]&lt;&gt;"",ISNUMBER(Jnl[[#This Row],[Bal]]))</f>
        <v>1</v>
      </c>
      <c r="J1084" s="10">
        <f>IF(Jnl[[#This Row],[BSLv0]]="A",1,-1)*Jnl[[#This Row],[Bal]]</f>
        <v>-12576</v>
      </c>
      <c r="K1084" t="str">
        <f>_xlfn.XLOOKUP(Jnl[[#This Row],[Acct]], config_BS[Acct], config_BS[Lv0],,0)</f>
        <v>A</v>
      </c>
      <c r="L1084" t="str">
        <f>_xlfn.XLOOKUP(Jnl[[#This Row],[Acct]], config_BS[Acct], config_BS[Lv1],,0)</f>
        <v>Assets</v>
      </c>
      <c r="M1084" t="str">
        <f>_xlfn.XLOOKUP(Jnl[[#This Row],[Acct]], config_BS[Acct], config_BS[Lv2],,0)</f>
        <v>Prep-Sub</v>
      </c>
      <c r="N1084" t="str">
        <f>_xlfn.XLOOKUP(Jnl[[#This Row],[TrxId]], Trx[Id], Trx[IncNode], ,0)</f>
        <v>Cost</v>
      </c>
      <c r="O1084" t="str">
        <f>_xlfn.XLOOKUP(Jnl[[#This Row],[IncNode]], config_IS[Node], config_IS[Type],,0)</f>
        <v>Op</v>
      </c>
      <c r="P1084" t="str">
        <f>_xlfn.XLOOKUP(Jnl[[#This Row],[BSLv2]], dict[Key], dict[Name],,0)</f>
        <v>2.预付-订阅</v>
      </c>
      <c r="Q1084" t="str">
        <f>_xlfn.XLOOKUP(Jnl[[#This Row],[Acct]], dict[Key], dict[Name],,0)</f>
        <v>预付订单</v>
      </c>
      <c r="R1084" t="str">
        <f>_xlfn.XLOOKUP(Jnl[[#This Row],[Vehicle]],config_vehicle[Id], config_vehicle[Name],,0)</f>
        <v>米小易</v>
      </c>
      <c r="S1084" t="str">
        <f>_xlfn.XLOOKUP(Jnl[[#This Row],[Division]],config_div[Id], config_div[Name],,0)</f>
        <v>水街店</v>
      </c>
      <c r="T1084" t="str">
        <f>IF(Jnl[[#This Row],[TrxDate]]&lt;=stmt_BS_date_end, "In", "Out")</f>
        <v>In</v>
      </c>
      <c r="U1084" t="str">
        <f>IF(Jnl[[#This Row],[TrxDate]]&lt;debug_date_start, "prior", IF(Jnl[[#This Row],[TrxDate]]&gt;debug_date_end, "post", "curr"))</f>
        <v>curr</v>
      </c>
    </row>
    <row r="1085" spans="1:21">
      <c r="A1085" s="11" t="s">
        <v>1540</v>
      </c>
      <c r="B1085" s="7">
        <f>_xlfn.XLOOKUP(Jnl[[#This Row],[TrxId]], Trx[Id], Trx[Date],,0)</f>
        <v>46081</v>
      </c>
      <c r="C1085" s="7" t="str">
        <f>_xlfn.XLOOKUP(Jnl[[#This Row],[TrxId]], Trx[Id], Trx[Division],,0)</f>
        <v>Shuijie</v>
      </c>
      <c r="D1085" s="7" t="str">
        <f>_xlfn.XLOOKUP(Jnl[[#This Row],[TrxId]], Trx[Id], Trx[Action],,0)</f>
        <v>薪酬-工资</v>
      </c>
      <c r="E1085" s="26" t="s">
        <v>82</v>
      </c>
      <c r="F1085" s="11" t="s">
        <v>596</v>
      </c>
      <c r="G1085" s="11" t="s">
        <v>149</v>
      </c>
      <c r="H1085" s="72">
        <f>124139.42-0.14</f>
        <v>124139.28</v>
      </c>
      <c r="I1085" s="5" t="b">
        <f>AND(Jnl[[#This Row],[TrxId]]&lt;&gt;"",Jnl[[#This Row],[Acct]]&lt;&gt;"",Jnl[[#This Row],[Item]]&lt;&gt;"",ISNUMBER(Jnl[[#This Row],[Bal]]))</f>
        <v>1</v>
      </c>
      <c r="J1085" s="10">
        <f>IF(Jnl[[#This Row],[BSLv0]]="A",1,-1)*Jnl[[#This Row],[Bal]]</f>
        <v>-124139.28</v>
      </c>
      <c r="K1085" t="str">
        <f>_xlfn.XLOOKUP(Jnl[[#This Row],[Acct]], config_BS[Acct], config_BS[Lv0],,0)</f>
        <v>LC</v>
      </c>
      <c r="L1085" t="str">
        <f>_xlfn.XLOOKUP(Jnl[[#This Row],[Acct]], config_BS[Acct], config_BS[Lv1],,0)</f>
        <v>Liability</v>
      </c>
      <c r="M1085" t="str">
        <f>_xlfn.XLOOKUP(Jnl[[#This Row],[Acct]], config_BS[Acct], config_BS[Lv2],,0)</f>
        <v>Rec-Pay</v>
      </c>
      <c r="N1085" t="str">
        <f>_xlfn.XLOOKUP(Jnl[[#This Row],[TrxId]], Trx[Id], Trx[IncNode], ,0)</f>
        <v>Expense</v>
      </c>
      <c r="O1085" t="str">
        <f>_xlfn.XLOOKUP(Jnl[[#This Row],[IncNode]], config_IS[Node], config_IS[Type],,0)</f>
        <v>Op</v>
      </c>
      <c r="P1085" t="str">
        <f>_xlfn.XLOOKUP(Jnl[[#This Row],[BSLv2]], dict[Key], dict[Name],,0)</f>
        <v>1.应收-应付</v>
      </c>
      <c r="Q1085" t="str">
        <f>_xlfn.XLOOKUP(Jnl[[#This Row],[Acct]], dict[Key], dict[Name],,0)</f>
        <v>应付-薪资</v>
      </c>
      <c r="R1085" t="str">
        <f>_xlfn.XLOOKUP(Jnl[[#This Row],[Vehicle]],config_vehicle[Id], config_vehicle[Name],,0)</f>
        <v>米小易</v>
      </c>
      <c r="S1085" t="str">
        <f>_xlfn.XLOOKUP(Jnl[[#This Row],[Division]],config_div[Id], config_div[Name],,0)</f>
        <v>水街店</v>
      </c>
      <c r="T1085" t="str">
        <f>IF(Jnl[[#This Row],[TrxDate]]&lt;=stmt_BS_date_end, "In", "Out")</f>
        <v>In</v>
      </c>
      <c r="U1085" t="str">
        <f>IF(Jnl[[#This Row],[TrxDate]]&lt;debug_date_start, "prior", IF(Jnl[[#This Row],[TrxDate]]&gt;debug_date_end, "post", "curr"))</f>
        <v>curr</v>
      </c>
    </row>
    <row r="1086" spans="1:21">
      <c r="A1086" s="11" t="s">
        <v>1541</v>
      </c>
      <c r="B1086" s="7">
        <f>_xlfn.XLOOKUP(Jnl[[#This Row],[TrxId]], Trx[Id], Trx[Date],,0)</f>
        <v>46081</v>
      </c>
      <c r="C1086" s="7" t="str">
        <f>_xlfn.XLOOKUP(Jnl[[#This Row],[TrxId]], Trx[Id], Trx[Division],,0)</f>
        <v>GM</v>
      </c>
      <c r="D1086" s="7" t="str">
        <f>_xlfn.XLOOKUP(Jnl[[#This Row],[TrxId]], Trx[Id], Trx[Action],,0)</f>
        <v>薪酬-工资</v>
      </c>
      <c r="E1086" s="26" t="s">
        <v>82</v>
      </c>
      <c r="F1086" s="11" t="s">
        <v>596</v>
      </c>
      <c r="G1086" s="11" t="s">
        <v>149</v>
      </c>
      <c r="H1086" s="72">
        <v>8880.5</v>
      </c>
      <c r="I1086" s="5" t="b">
        <f>AND(Jnl[[#This Row],[TrxId]]&lt;&gt;"",Jnl[[#This Row],[Acct]]&lt;&gt;"",Jnl[[#This Row],[Item]]&lt;&gt;"",ISNUMBER(Jnl[[#This Row],[Bal]]))</f>
        <v>1</v>
      </c>
      <c r="J1086" s="10">
        <f>IF(Jnl[[#This Row],[BSLv0]]="A",1,-1)*Jnl[[#This Row],[Bal]]</f>
        <v>-8880.5</v>
      </c>
      <c r="K1086" t="str">
        <f>_xlfn.XLOOKUP(Jnl[[#This Row],[Acct]], config_BS[Acct], config_BS[Lv0],,0)</f>
        <v>LC</v>
      </c>
      <c r="L1086" t="str">
        <f>_xlfn.XLOOKUP(Jnl[[#This Row],[Acct]], config_BS[Acct], config_BS[Lv1],,0)</f>
        <v>Liability</v>
      </c>
      <c r="M1086" t="str">
        <f>_xlfn.XLOOKUP(Jnl[[#This Row],[Acct]], config_BS[Acct], config_BS[Lv2],,0)</f>
        <v>Rec-Pay</v>
      </c>
      <c r="N1086" t="str">
        <f>_xlfn.XLOOKUP(Jnl[[#This Row],[TrxId]], Trx[Id], Trx[IncNode], ,0)</f>
        <v>Expense</v>
      </c>
      <c r="O1086" t="str">
        <f>_xlfn.XLOOKUP(Jnl[[#This Row],[IncNode]], config_IS[Node], config_IS[Type],,0)</f>
        <v>Op</v>
      </c>
      <c r="P1086" t="str">
        <f>_xlfn.XLOOKUP(Jnl[[#This Row],[BSLv2]], dict[Key], dict[Name],,0)</f>
        <v>1.应收-应付</v>
      </c>
      <c r="Q1086" t="str">
        <f>_xlfn.XLOOKUP(Jnl[[#This Row],[Acct]], dict[Key], dict[Name],,0)</f>
        <v>应付-薪资</v>
      </c>
      <c r="R1086" t="str">
        <f>_xlfn.XLOOKUP(Jnl[[#This Row],[Vehicle]],config_vehicle[Id], config_vehicle[Name],,0)</f>
        <v>米小易</v>
      </c>
      <c r="S1086" t="str">
        <f>_xlfn.XLOOKUP(Jnl[[#This Row],[Division]],config_div[Id], config_div[Name],,0)</f>
        <v>综合管理</v>
      </c>
      <c r="T1086" t="str">
        <f>IF(Jnl[[#This Row],[TrxDate]]&lt;=stmt_BS_date_end, "In", "Out")</f>
        <v>In</v>
      </c>
      <c r="U1086" t="str">
        <f>IF(Jnl[[#This Row],[TrxDate]]&lt;debug_date_start, "prior", IF(Jnl[[#This Row],[TrxDate]]&gt;debug_date_end, "post", "curr"))</f>
        <v>curr</v>
      </c>
    </row>
    <row r="1087" spans="1:21">
      <c r="A1087" s="11" t="s">
        <v>1542</v>
      </c>
      <c r="B1087" s="7">
        <f>_xlfn.XLOOKUP(Jnl[[#This Row],[TrxId]], Trx[Id], Trx[Date],,0)</f>
        <v>46081</v>
      </c>
      <c r="C1087" s="7" t="str">
        <f>_xlfn.XLOOKUP(Jnl[[#This Row],[TrxId]], Trx[Id], Trx[Division],,0)</f>
        <v>Shuijie</v>
      </c>
      <c r="D1087" s="7" t="str">
        <f>_xlfn.XLOOKUP(Jnl[[#This Row],[TrxId]], Trx[Id], Trx[Action],,0)</f>
        <v>计提税金</v>
      </c>
      <c r="E1087" s="26" t="s">
        <v>82</v>
      </c>
      <c r="F1087" s="11" t="s">
        <v>127</v>
      </c>
      <c r="G1087" s="11" t="s">
        <v>348</v>
      </c>
      <c r="H1087" s="72">
        <v>217.82999999999998</v>
      </c>
      <c r="I1087" s="5" t="b">
        <f>AND(Jnl[[#This Row],[TrxId]]&lt;&gt;"",Jnl[[#This Row],[Acct]]&lt;&gt;"",Jnl[[#This Row],[Item]]&lt;&gt;"",ISNUMBER(Jnl[[#This Row],[Bal]]))</f>
        <v>1</v>
      </c>
      <c r="J1087" s="10">
        <f>IF(Jnl[[#This Row],[BSLv0]]="A",1,-1)*Jnl[[#This Row],[Bal]]</f>
        <v>-217.82999999999998</v>
      </c>
      <c r="K1087" t="str">
        <f>_xlfn.XLOOKUP(Jnl[[#This Row],[Acct]], config_BS[Acct], config_BS[Lv0],,0)</f>
        <v>LC</v>
      </c>
      <c r="L1087" t="str">
        <f>_xlfn.XLOOKUP(Jnl[[#This Row],[Acct]], config_BS[Acct], config_BS[Lv1],,0)</f>
        <v>Liability</v>
      </c>
      <c r="M1087" t="str">
        <f>_xlfn.XLOOKUP(Jnl[[#This Row],[Acct]], config_BS[Acct], config_BS[Lv2],,0)</f>
        <v>Rec-Pay</v>
      </c>
      <c r="N1087" t="str">
        <f>_xlfn.XLOOKUP(Jnl[[#This Row],[TrxId]], Trx[Id], Trx[IncNode], ,0)</f>
        <v>Expense</v>
      </c>
      <c r="O1087" t="str">
        <f>_xlfn.XLOOKUP(Jnl[[#This Row],[IncNode]], config_IS[Node], config_IS[Type],,0)</f>
        <v>Op</v>
      </c>
      <c r="P1087" t="str">
        <f>_xlfn.XLOOKUP(Jnl[[#This Row],[BSLv2]], dict[Key], dict[Name],,0)</f>
        <v>1.应收-应付</v>
      </c>
      <c r="Q1087" t="str">
        <f>_xlfn.XLOOKUP(Jnl[[#This Row],[Acct]], dict[Key], dict[Name],,0)</f>
        <v>应付-税款</v>
      </c>
      <c r="R1087" t="str">
        <f>_xlfn.XLOOKUP(Jnl[[#This Row],[Vehicle]],config_vehicle[Id], config_vehicle[Name],,0)</f>
        <v>米小易</v>
      </c>
      <c r="S1087" t="str">
        <f>_xlfn.XLOOKUP(Jnl[[#This Row],[Division]],config_div[Id], config_div[Name],,0)</f>
        <v>水街店</v>
      </c>
      <c r="T1087" t="str">
        <f>IF(Jnl[[#This Row],[TrxDate]]&lt;=stmt_BS_date_end, "In", "Out")</f>
        <v>In</v>
      </c>
      <c r="U1087" t="str">
        <f>IF(Jnl[[#This Row],[TrxDate]]&lt;debug_date_start, "prior", IF(Jnl[[#This Row],[TrxDate]]&gt;debug_date_end, "post", "curr"))</f>
        <v>curr</v>
      </c>
    </row>
    <row r="1088" spans="1:21">
      <c r="A1088" s="11" t="s">
        <v>1542</v>
      </c>
      <c r="B1088" s="7">
        <f>_xlfn.XLOOKUP(Jnl[[#This Row],[TrxId]], Trx[Id], Trx[Date],,0)</f>
        <v>46081</v>
      </c>
      <c r="C1088" s="7" t="str">
        <f>_xlfn.XLOOKUP(Jnl[[#This Row],[TrxId]], Trx[Id], Trx[Division],,0)</f>
        <v>Shuijie</v>
      </c>
      <c r="D1088" s="7" t="str">
        <f>_xlfn.XLOOKUP(Jnl[[#This Row],[TrxId]], Trx[Id], Trx[Action],,0)</f>
        <v>计提税金</v>
      </c>
      <c r="E1088" s="26" t="s">
        <v>82</v>
      </c>
      <c r="F1088" s="11" t="s">
        <v>127</v>
      </c>
      <c r="G1088" s="11" t="s">
        <v>349</v>
      </c>
      <c r="H1088" s="72">
        <v>18.809999999999999</v>
      </c>
      <c r="I1088" s="5" t="b">
        <f>AND(Jnl[[#This Row],[TrxId]]&lt;&gt;"",Jnl[[#This Row],[Acct]]&lt;&gt;"",Jnl[[#This Row],[Item]]&lt;&gt;"",ISNUMBER(Jnl[[#This Row],[Bal]]))</f>
        <v>1</v>
      </c>
      <c r="J1088" s="10">
        <f>IF(Jnl[[#This Row],[BSLv0]]="A",1,-1)*Jnl[[#This Row],[Bal]]</f>
        <v>-18.809999999999999</v>
      </c>
      <c r="K1088" t="str">
        <f>_xlfn.XLOOKUP(Jnl[[#This Row],[Acct]], config_BS[Acct], config_BS[Lv0],,0)</f>
        <v>LC</v>
      </c>
      <c r="L1088" t="str">
        <f>_xlfn.XLOOKUP(Jnl[[#This Row],[Acct]], config_BS[Acct], config_BS[Lv1],,0)</f>
        <v>Liability</v>
      </c>
      <c r="M1088" t="str">
        <f>_xlfn.XLOOKUP(Jnl[[#This Row],[Acct]], config_BS[Acct], config_BS[Lv2],,0)</f>
        <v>Rec-Pay</v>
      </c>
      <c r="N1088" t="str">
        <f>_xlfn.XLOOKUP(Jnl[[#This Row],[TrxId]], Trx[Id], Trx[IncNode], ,0)</f>
        <v>Expense</v>
      </c>
      <c r="O1088" t="str">
        <f>_xlfn.XLOOKUP(Jnl[[#This Row],[IncNode]], config_IS[Node], config_IS[Type],,0)</f>
        <v>Op</v>
      </c>
      <c r="P1088" t="str">
        <f>_xlfn.XLOOKUP(Jnl[[#This Row],[BSLv2]], dict[Key], dict[Name],,0)</f>
        <v>1.应收-应付</v>
      </c>
      <c r="Q1088" t="str">
        <f>_xlfn.XLOOKUP(Jnl[[#This Row],[Acct]], dict[Key], dict[Name],,0)</f>
        <v>应付-税款</v>
      </c>
      <c r="R1088" t="str">
        <f>_xlfn.XLOOKUP(Jnl[[#This Row],[Vehicle]],config_vehicle[Id], config_vehicle[Name],,0)</f>
        <v>米小易</v>
      </c>
      <c r="S1088" t="str">
        <f>_xlfn.XLOOKUP(Jnl[[#This Row],[Division]],config_div[Id], config_div[Name],,0)</f>
        <v>水街店</v>
      </c>
      <c r="T1088" t="str">
        <f>IF(Jnl[[#This Row],[TrxDate]]&lt;=stmt_BS_date_end, "In", "Out")</f>
        <v>In</v>
      </c>
      <c r="U1088" t="str">
        <f>IF(Jnl[[#This Row],[TrxDate]]&lt;debug_date_start, "prior", IF(Jnl[[#This Row],[TrxDate]]&gt;debug_date_end, "post", "curr"))</f>
        <v>curr</v>
      </c>
    </row>
    <row r="1089" spans="1:21">
      <c r="A1089" s="11" t="s">
        <v>1624</v>
      </c>
      <c r="B1089" s="7">
        <f>_xlfn.XLOOKUP(Jnl[[#This Row],[TrxId]], Trx[Id], Trx[Date],,0)</f>
        <v>46081</v>
      </c>
      <c r="C1089" s="7" t="str">
        <f>_xlfn.XLOOKUP(Jnl[[#This Row],[TrxId]], Trx[Id], Trx[Division],,0)</f>
        <v>Shuijie</v>
      </c>
      <c r="D1089" s="7" t="str">
        <f>_xlfn.XLOOKUP(Jnl[[#This Row],[TrxId]], Trx[Id], Trx[Action],,0)</f>
        <v>采购</v>
      </c>
      <c r="E1089" s="26" t="s">
        <v>82</v>
      </c>
      <c r="F1089" s="11" t="s">
        <v>598</v>
      </c>
      <c r="G1089" s="11" t="s">
        <v>152</v>
      </c>
      <c r="H1089" s="72">
        <v>1092.1400000000001</v>
      </c>
      <c r="I1089" s="5" t="b">
        <f>AND(Jnl[[#This Row],[TrxId]]&lt;&gt;"",Jnl[[#This Row],[Acct]]&lt;&gt;"",Jnl[[#This Row],[Item]]&lt;&gt;"",ISNUMBER(Jnl[[#This Row],[Bal]]))</f>
        <v>1</v>
      </c>
      <c r="J1089" s="10">
        <f>IF(Jnl[[#This Row],[BSLv0]]="A",1,-1)*Jnl[[#This Row],[Bal]]</f>
        <v>1092.1400000000001</v>
      </c>
      <c r="K1089" t="str">
        <f>_xlfn.XLOOKUP(Jnl[[#This Row],[Acct]], config_BS[Acct], config_BS[Lv0],,0)</f>
        <v>A</v>
      </c>
      <c r="L1089" t="str">
        <f>_xlfn.XLOOKUP(Jnl[[#This Row],[Acct]], config_BS[Acct], config_BS[Lv1],,0)</f>
        <v>Assets</v>
      </c>
      <c r="M1089" t="str">
        <f>_xlfn.XLOOKUP(Jnl[[#This Row],[Acct]], config_BS[Acct], config_BS[Lv2],,0)</f>
        <v>Invtr</v>
      </c>
      <c r="N1089" t="str">
        <f>_xlfn.XLOOKUP(Jnl[[#This Row],[TrxId]], Trx[Id], Trx[IncNode], ,0)</f>
        <v>Cost</v>
      </c>
      <c r="O1089" t="str">
        <f>_xlfn.XLOOKUP(Jnl[[#This Row],[IncNode]], config_IS[Node], config_IS[Type],,0)</f>
        <v>Op</v>
      </c>
      <c r="P1089" t="str">
        <f>_xlfn.XLOOKUP(Jnl[[#This Row],[BSLv2]], dict[Key], dict[Name],,0)</f>
        <v>3.库存占款</v>
      </c>
      <c r="Q1089" t="str">
        <f>_xlfn.XLOOKUP(Jnl[[#This Row],[Acct]], dict[Key], dict[Name],,0)</f>
        <v>当期存货</v>
      </c>
      <c r="R1089" t="str">
        <f>_xlfn.XLOOKUP(Jnl[[#This Row],[Vehicle]],config_vehicle[Id], config_vehicle[Name],,0)</f>
        <v>米小易</v>
      </c>
      <c r="S1089" t="str">
        <f>_xlfn.XLOOKUP(Jnl[[#This Row],[Division]],config_div[Id], config_div[Name],,0)</f>
        <v>水街店</v>
      </c>
      <c r="T1089" t="str">
        <f>IF(Jnl[[#This Row],[TrxDate]]&lt;=stmt_BS_date_end, "In", "Out")</f>
        <v>In</v>
      </c>
      <c r="U1089" t="str">
        <f>IF(Jnl[[#This Row],[TrxDate]]&lt;debug_date_start, "prior", IF(Jnl[[#This Row],[TrxDate]]&gt;debug_date_end, "post", "curr"))</f>
        <v>curr</v>
      </c>
    </row>
    <row r="1090" spans="1:21">
      <c r="A1090" s="11" t="s">
        <v>1624</v>
      </c>
      <c r="B1090" s="7">
        <f>_xlfn.XLOOKUP(Jnl[[#This Row],[TrxId]], Trx[Id], Trx[Date],,0)</f>
        <v>46081</v>
      </c>
      <c r="C1090" s="7" t="str">
        <f>_xlfn.XLOOKUP(Jnl[[#This Row],[TrxId]], Trx[Id], Trx[Division],,0)</f>
        <v>Shuijie</v>
      </c>
      <c r="D1090" s="7" t="str">
        <f>_xlfn.XLOOKUP(Jnl[[#This Row],[TrxId]], Trx[Id], Trx[Action],,0)</f>
        <v>采购</v>
      </c>
      <c r="E1090" s="26" t="s">
        <v>82</v>
      </c>
      <c r="F1090" s="11" t="s">
        <v>597</v>
      </c>
      <c r="G1090" s="11" t="s">
        <v>529</v>
      </c>
      <c r="H1090" s="72">
        <v>-1092.1400000000001</v>
      </c>
      <c r="I1090" s="5" t="b">
        <f>AND(Jnl[[#This Row],[TrxId]]&lt;&gt;"",Jnl[[#This Row],[Acct]]&lt;&gt;"",Jnl[[#This Row],[Item]]&lt;&gt;"",ISNUMBER(Jnl[[#This Row],[Bal]]))</f>
        <v>1</v>
      </c>
      <c r="J1090" s="10">
        <f>IF(Jnl[[#This Row],[BSLv0]]="A",1,-1)*Jnl[[#This Row],[Bal]]</f>
        <v>-1092.1400000000001</v>
      </c>
      <c r="K1090" t="str">
        <f>_xlfn.XLOOKUP(Jnl[[#This Row],[Acct]], config_BS[Acct], config_BS[Lv0],,0)</f>
        <v>A</v>
      </c>
      <c r="L1090" t="str">
        <f>_xlfn.XLOOKUP(Jnl[[#This Row],[Acct]], config_BS[Acct], config_BS[Lv1],,0)</f>
        <v>Assets</v>
      </c>
      <c r="M1090" t="str">
        <f>_xlfn.XLOOKUP(Jnl[[#This Row],[Acct]], config_BS[Acct], config_BS[Lv2],,0)</f>
        <v>Prep-Sub</v>
      </c>
      <c r="N1090" t="str">
        <f>_xlfn.XLOOKUP(Jnl[[#This Row],[TrxId]], Trx[Id], Trx[IncNode], ,0)</f>
        <v>Cost</v>
      </c>
      <c r="O1090" t="str">
        <f>_xlfn.XLOOKUP(Jnl[[#This Row],[IncNode]], config_IS[Node], config_IS[Type],,0)</f>
        <v>Op</v>
      </c>
      <c r="P1090" t="str">
        <f>_xlfn.XLOOKUP(Jnl[[#This Row],[BSLv2]], dict[Key], dict[Name],,0)</f>
        <v>2.预付-订阅</v>
      </c>
      <c r="Q1090" t="str">
        <f>_xlfn.XLOOKUP(Jnl[[#This Row],[Acct]], dict[Key], dict[Name],,0)</f>
        <v>员工预支</v>
      </c>
      <c r="R1090" t="str">
        <f>_xlfn.XLOOKUP(Jnl[[#This Row],[Vehicle]],config_vehicle[Id], config_vehicle[Name],,0)</f>
        <v>米小易</v>
      </c>
      <c r="S1090" t="str">
        <f>_xlfn.XLOOKUP(Jnl[[#This Row],[Division]],config_div[Id], config_div[Name],,0)</f>
        <v>水街店</v>
      </c>
      <c r="T1090" t="str">
        <f>IF(Jnl[[#This Row],[TrxDate]]&lt;=stmt_BS_date_end, "In", "Out")</f>
        <v>In</v>
      </c>
      <c r="U1090" t="str">
        <f>IF(Jnl[[#This Row],[TrxDate]]&lt;debug_date_start, "prior", IF(Jnl[[#This Row],[TrxDate]]&gt;debug_date_end, "post", "curr"))</f>
        <v>curr</v>
      </c>
    </row>
    <row r="1091" spans="1:21">
      <c r="A1091" s="11" t="s">
        <v>1544</v>
      </c>
      <c r="B1091" s="7">
        <f>_xlfn.XLOOKUP(Jnl[[#This Row],[TrxId]], Trx[Id], Trx[Date],,0)</f>
        <v>46081</v>
      </c>
      <c r="C1091" s="7" t="str">
        <f>_xlfn.XLOOKUP(Jnl[[#This Row],[TrxId]], Trx[Id], Trx[Division],,0)</f>
        <v>Shuijie</v>
      </c>
      <c r="D1091" s="7" t="str">
        <f>_xlfn.XLOOKUP(Jnl[[#This Row],[TrxId]], Trx[Id], Trx[Action],,0)</f>
        <v>食材</v>
      </c>
      <c r="E1091" s="26" t="s">
        <v>82</v>
      </c>
      <c r="F1091" s="11" t="s">
        <v>493</v>
      </c>
      <c r="G1091" s="11" t="s">
        <v>428</v>
      </c>
      <c r="H1091" s="72">
        <v>-3381.5</v>
      </c>
      <c r="I1091" s="5" t="b">
        <f>AND(Jnl[[#This Row],[TrxId]]&lt;&gt;"",Jnl[[#This Row],[Acct]]&lt;&gt;"",Jnl[[#This Row],[Item]]&lt;&gt;"",ISNUMBER(Jnl[[#This Row],[Bal]]))</f>
        <v>1</v>
      </c>
      <c r="J1091" s="10">
        <f>IF(Jnl[[#This Row],[BSLv0]]="A",1,-1)*Jnl[[#This Row],[Bal]]</f>
        <v>-3381.5</v>
      </c>
      <c r="K1091" t="str">
        <f>_xlfn.XLOOKUP(Jnl[[#This Row],[Acct]], config_BS[Acct], config_BS[Lv0],,0)</f>
        <v>A</v>
      </c>
      <c r="L1091" t="str">
        <f>_xlfn.XLOOKUP(Jnl[[#This Row],[Acct]], config_BS[Acct], config_BS[Lv1],,0)</f>
        <v>Assets</v>
      </c>
      <c r="M1091" t="str">
        <f>_xlfn.XLOOKUP(Jnl[[#This Row],[Acct]], config_BS[Acct], config_BS[Lv2],,0)</f>
        <v>Prep-Sub</v>
      </c>
      <c r="N1091" t="str">
        <f>_xlfn.XLOOKUP(Jnl[[#This Row],[TrxId]], Trx[Id], Trx[IncNode], ,0)</f>
        <v>Cost</v>
      </c>
      <c r="O1091" t="str">
        <f>_xlfn.XLOOKUP(Jnl[[#This Row],[IncNode]], config_IS[Node], config_IS[Type],,0)</f>
        <v>Op</v>
      </c>
      <c r="P1091" t="str">
        <f>_xlfn.XLOOKUP(Jnl[[#This Row],[BSLv2]], dict[Key], dict[Name],,0)</f>
        <v>2.预付-订阅</v>
      </c>
      <c r="Q1091" t="str">
        <f>_xlfn.XLOOKUP(Jnl[[#This Row],[Acct]], dict[Key], dict[Name],,0)</f>
        <v>预付订单</v>
      </c>
      <c r="R1091" t="str">
        <f>_xlfn.XLOOKUP(Jnl[[#This Row],[Vehicle]],config_vehicle[Id], config_vehicle[Name],,0)</f>
        <v>米小易</v>
      </c>
      <c r="S1091" t="str">
        <f>_xlfn.XLOOKUP(Jnl[[#This Row],[Division]],config_div[Id], config_div[Name],,0)</f>
        <v>水街店</v>
      </c>
      <c r="T1091" t="str">
        <f>IF(Jnl[[#This Row],[TrxDate]]&lt;=stmt_BS_date_end, "In", "Out")</f>
        <v>In</v>
      </c>
      <c r="U1091" t="str">
        <f>IF(Jnl[[#This Row],[TrxDate]]&lt;debug_date_start, "prior", IF(Jnl[[#This Row],[TrxDate]]&gt;debug_date_end, "post", "curr"))</f>
        <v>curr</v>
      </c>
    </row>
    <row r="1092" spans="1:21">
      <c r="A1092" s="11" t="s">
        <v>1545</v>
      </c>
      <c r="B1092" s="7">
        <f>_xlfn.XLOOKUP(Jnl[[#This Row],[TrxId]], Trx[Id], Trx[Date],,0)</f>
        <v>46081</v>
      </c>
      <c r="C1092" s="7" t="str">
        <f>_xlfn.XLOOKUP(Jnl[[#This Row],[TrxId]], Trx[Id], Trx[Division],,0)</f>
        <v>Shuijie</v>
      </c>
      <c r="D1092" s="7" t="str">
        <f>_xlfn.XLOOKUP(Jnl[[#This Row],[TrxId]], Trx[Id], Trx[Action],,0)</f>
        <v>食材</v>
      </c>
      <c r="E1092" s="26" t="s">
        <v>82</v>
      </c>
      <c r="F1092" s="11" t="s">
        <v>493</v>
      </c>
      <c r="G1092" s="11" t="s">
        <v>428</v>
      </c>
      <c r="H1092" s="72">
        <v>-7020</v>
      </c>
      <c r="I1092" s="5" t="b">
        <f>AND(Jnl[[#This Row],[TrxId]]&lt;&gt;"",Jnl[[#This Row],[Acct]]&lt;&gt;"",Jnl[[#This Row],[Item]]&lt;&gt;"",ISNUMBER(Jnl[[#This Row],[Bal]]))</f>
        <v>1</v>
      </c>
      <c r="J1092" s="10">
        <f>IF(Jnl[[#This Row],[BSLv0]]="A",1,-1)*Jnl[[#This Row],[Bal]]</f>
        <v>-7020</v>
      </c>
      <c r="K1092" t="str">
        <f>_xlfn.XLOOKUP(Jnl[[#This Row],[Acct]], config_BS[Acct], config_BS[Lv0],,0)</f>
        <v>A</v>
      </c>
      <c r="L1092" t="str">
        <f>_xlfn.XLOOKUP(Jnl[[#This Row],[Acct]], config_BS[Acct], config_BS[Lv1],,0)</f>
        <v>Assets</v>
      </c>
      <c r="M1092" t="str">
        <f>_xlfn.XLOOKUP(Jnl[[#This Row],[Acct]], config_BS[Acct], config_BS[Lv2],,0)</f>
        <v>Prep-Sub</v>
      </c>
      <c r="N1092" t="str">
        <f>_xlfn.XLOOKUP(Jnl[[#This Row],[TrxId]], Trx[Id], Trx[IncNode], ,0)</f>
        <v>Cost</v>
      </c>
      <c r="O1092" t="str">
        <f>_xlfn.XLOOKUP(Jnl[[#This Row],[IncNode]], config_IS[Node], config_IS[Type],,0)</f>
        <v>Op</v>
      </c>
      <c r="P1092" t="str">
        <f>_xlfn.XLOOKUP(Jnl[[#This Row],[BSLv2]], dict[Key], dict[Name],,0)</f>
        <v>2.预付-订阅</v>
      </c>
      <c r="Q1092" t="str">
        <f>_xlfn.XLOOKUP(Jnl[[#This Row],[Acct]], dict[Key], dict[Name],,0)</f>
        <v>预付订单</v>
      </c>
      <c r="R1092" t="str">
        <f>_xlfn.XLOOKUP(Jnl[[#This Row],[Vehicle]],config_vehicle[Id], config_vehicle[Name],,0)</f>
        <v>米小易</v>
      </c>
      <c r="S1092" t="str">
        <f>_xlfn.XLOOKUP(Jnl[[#This Row],[Division]],config_div[Id], config_div[Name],,0)</f>
        <v>水街店</v>
      </c>
      <c r="T1092" t="str">
        <f>IF(Jnl[[#This Row],[TrxDate]]&lt;=stmt_BS_date_end, "In", "Out")</f>
        <v>In</v>
      </c>
      <c r="U1092" t="str">
        <f>IF(Jnl[[#This Row],[TrxDate]]&lt;debug_date_start, "prior", IF(Jnl[[#This Row],[TrxDate]]&gt;debug_date_end, "post", "curr"))</f>
        <v>curr</v>
      </c>
    </row>
    <row r="1093" spans="1:21">
      <c r="A1093" s="11" t="s">
        <v>1546</v>
      </c>
      <c r="B1093" s="7">
        <f>_xlfn.XLOOKUP(Jnl[[#This Row],[TrxId]], Trx[Id], Trx[Date],,0)</f>
        <v>46081</v>
      </c>
      <c r="C1093" s="7" t="str">
        <f>_xlfn.XLOOKUP(Jnl[[#This Row],[TrxId]], Trx[Id], Trx[Division],,0)</f>
        <v>Shuijie</v>
      </c>
      <c r="D1093" s="7" t="str">
        <f>_xlfn.XLOOKUP(Jnl[[#This Row],[TrxId]], Trx[Id], Trx[Action],,0)</f>
        <v>食材</v>
      </c>
      <c r="E1093" s="26" t="s">
        <v>82</v>
      </c>
      <c r="F1093" s="11" t="s">
        <v>493</v>
      </c>
      <c r="G1093" s="11" t="s">
        <v>428</v>
      </c>
      <c r="H1093" s="72">
        <v>-7302</v>
      </c>
      <c r="I1093" s="5" t="b">
        <f>AND(Jnl[[#This Row],[TrxId]]&lt;&gt;"",Jnl[[#This Row],[Acct]]&lt;&gt;"",Jnl[[#This Row],[Item]]&lt;&gt;"",ISNUMBER(Jnl[[#This Row],[Bal]]))</f>
        <v>1</v>
      </c>
      <c r="J1093" s="10">
        <f>IF(Jnl[[#This Row],[BSLv0]]="A",1,-1)*Jnl[[#This Row],[Bal]]</f>
        <v>-7302</v>
      </c>
      <c r="K1093" t="str">
        <f>_xlfn.XLOOKUP(Jnl[[#This Row],[Acct]], config_BS[Acct], config_BS[Lv0],,0)</f>
        <v>A</v>
      </c>
      <c r="L1093" t="str">
        <f>_xlfn.XLOOKUP(Jnl[[#This Row],[Acct]], config_BS[Acct], config_BS[Lv1],,0)</f>
        <v>Assets</v>
      </c>
      <c r="M1093" t="str">
        <f>_xlfn.XLOOKUP(Jnl[[#This Row],[Acct]], config_BS[Acct], config_BS[Lv2],,0)</f>
        <v>Prep-Sub</v>
      </c>
      <c r="N1093" t="str">
        <f>_xlfn.XLOOKUP(Jnl[[#This Row],[TrxId]], Trx[Id], Trx[IncNode], ,0)</f>
        <v>Cost</v>
      </c>
      <c r="O1093" t="str">
        <f>_xlfn.XLOOKUP(Jnl[[#This Row],[IncNode]], config_IS[Node], config_IS[Type],,0)</f>
        <v>Op</v>
      </c>
      <c r="P1093" t="str">
        <f>_xlfn.XLOOKUP(Jnl[[#This Row],[BSLv2]], dict[Key], dict[Name],,0)</f>
        <v>2.预付-订阅</v>
      </c>
      <c r="Q1093" t="str">
        <f>_xlfn.XLOOKUP(Jnl[[#This Row],[Acct]], dict[Key], dict[Name],,0)</f>
        <v>预付订单</v>
      </c>
      <c r="R1093" t="str">
        <f>_xlfn.XLOOKUP(Jnl[[#This Row],[Vehicle]],config_vehicle[Id], config_vehicle[Name],,0)</f>
        <v>米小易</v>
      </c>
      <c r="S1093" t="str">
        <f>_xlfn.XLOOKUP(Jnl[[#This Row],[Division]],config_div[Id], config_div[Name],,0)</f>
        <v>水街店</v>
      </c>
      <c r="T1093" t="str">
        <f>IF(Jnl[[#This Row],[TrxDate]]&lt;=stmt_BS_date_end, "In", "Out")</f>
        <v>In</v>
      </c>
      <c r="U1093" t="str">
        <f>IF(Jnl[[#This Row],[TrxDate]]&lt;debug_date_start, "prior", IF(Jnl[[#This Row],[TrxDate]]&gt;debug_date_end, "post", "curr"))</f>
        <v>curr</v>
      </c>
    </row>
    <row r="1094" spans="1:21">
      <c r="A1094" s="11" t="s">
        <v>1547</v>
      </c>
      <c r="B1094" s="7">
        <f>_xlfn.XLOOKUP(Jnl[[#This Row],[TrxId]], Trx[Id], Trx[Date],,0)</f>
        <v>46081</v>
      </c>
      <c r="C1094" s="7" t="str">
        <f>_xlfn.XLOOKUP(Jnl[[#This Row],[TrxId]], Trx[Id], Trx[Division],,0)</f>
        <v>Shuijie</v>
      </c>
      <c r="D1094" s="7" t="str">
        <f>_xlfn.XLOOKUP(Jnl[[#This Row],[TrxId]], Trx[Id], Trx[Action],,0)</f>
        <v>食材</v>
      </c>
      <c r="E1094" s="26" t="s">
        <v>82</v>
      </c>
      <c r="F1094" s="11" t="s">
        <v>493</v>
      </c>
      <c r="G1094" s="11" t="s">
        <v>428</v>
      </c>
      <c r="H1094" s="72">
        <v>-3218</v>
      </c>
      <c r="I1094" s="5" t="b">
        <f>AND(Jnl[[#This Row],[TrxId]]&lt;&gt;"",Jnl[[#This Row],[Acct]]&lt;&gt;"",Jnl[[#This Row],[Item]]&lt;&gt;"",ISNUMBER(Jnl[[#This Row],[Bal]]))</f>
        <v>1</v>
      </c>
      <c r="J1094" s="10">
        <f>IF(Jnl[[#This Row],[BSLv0]]="A",1,-1)*Jnl[[#This Row],[Bal]]</f>
        <v>-3218</v>
      </c>
      <c r="K1094" t="str">
        <f>_xlfn.XLOOKUP(Jnl[[#This Row],[Acct]], config_BS[Acct], config_BS[Lv0],,0)</f>
        <v>A</v>
      </c>
      <c r="L1094" t="str">
        <f>_xlfn.XLOOKUP(Jnl[[#This Row],[Acct]], config_BS[Acct], config_BS[Lv1],,0)</f>
        <v>Assets</v>
      </c>
      <c r="M1094" t="str">
        <f>_xlfn.XLOOKUP(Jnl[[#This Row],[Acct]], config_BS[Acct], config_BS[Lv2],,0)</f>
        <v>Prep-Sub</v>
      </c>
      <c r="N1094" t="str">
        <f>_xlfn.XLOOKUP(Jnl[[#This Row],[TrxId]], Trx[Id], Trx[IncNode], ,0)</f>
        <v>Cost</v>
      </c>
      <c r="O1094" t="str">
        <f>_xlfn.XLOOKUP(Jnl[[#This Row],[IncNode]], config_IS[Node], config_IS[Type],,0)</f>
        <v>Op</v>
      </c>
      <c r="P1094" t="str">
        <f>_xlfn.XLOOKUP(Jnl[[#This Row],[BSLv2]], dict[Key], dict[Name],,0)</f>
        <v>2.预付-订阅</v>
      </c>
      <c r="Q1094" t="str">
        <f>_xlfn.XLOOKUP(Jnl[[#This Row],[Acct]], dict[Key], dict[Name],,0)</f>
        <v>预付订单</v>
      </c>
      <c r="R1094" t="str">
        <f>_xlfn.XLOOKUP(Jnl[[#This Row],[Vehicle]],config_vehicle[Id], config_vehicle[Name],,0)</f>
        <v>米小易</v>
      </c>
      <c r="S1094" t="str">
        <f>_xlfn.XLOOKUP(Jnl[[#This Row],[Division]],config_div[Id], config_div[Name],,0)</f>
        <v>水街店</v>
      </c>
      <c r="T1094" t="str">
        <f>IF(Jnl[[#This Row],[TrxDate]]&lt;=stmt_BS_date_end, "In", "Out")</f>
        <v>In</v>
      </c>
      <c r="U1094" t="str">
        <f>IF(Jnl[[#This Row],[TrxDate]]&lt;debug_date_start, "prior", IF(Jnl[[#This Row],[TrxDate]]&gt;debug_date_end, "post", "curr"))</f>
        <v>curr</v>
      </c>
    </row>
    <row r="1095" spans="1:21">
      <c r="A1095" s="11" t="s">
        <v>1548</v>
      </c>
      <c r="B1095" s="7">
        <f>_xlfn.XLOOKUP(Jnl[[#This Row],[TrxId]], Trx[Id], Trx[Date],,0)</f>
        <v>46081</v>
      </c>
      <c r="C1095" s="7" t="str">
        <f>_xlfn.XLOOKUP(Jnl[[#This Row],[TrxId]], Trx[Id], Trx[Division],,0)</f>
        <v>Shuijie</v>
      </c>
      <c r="D1095" s="7" t="str">
        <f>_xlfn.XLOOKUP(Jnl[[#This Row],[TrxId]], Trx[Id], Trx[Action],,0)</f>
        <v>食材</v>
      </c>
      <c r="E1095" s="26" t="s">
        <v>82</v>
      </c>
      <c r="F1095" s="11" t="s">
        <v>493</v>
      </c>
      <c r="G1095" s="11" t="s">
        <v>428</v>
      </c>
      <c r="H1095" s="72">
        <v>-1040</v>
      </c>
      <c r="I1095" s="5" t="b">
        <f>AND(Jnl[[#This Row],[TrxId]]&lt;&gt;"",Jnl[[#This Row],[Acct]]&lt;&gt;"",Jnl[[#This Row],[Item]]&lt;&gt;"",ISNUMBER(Jnl[[#This Row],[Bal]]))</f>
        <v>1</v>
      </c>
      <c r="J1095" s="10">
        <f>IF(Jnl[[#This Row],[BSLv0]]="A",1,-1)*Jnl[[#This Row],[Bal]]</f>
        <v>-1040</v>
      </c>
      <c r="K1095" t="str">
        <f>_xlfn.XLOOKUP(Jnl[[#This Row],[Acct]], config_BS[Acct], config_BS[Lv0],,0)</f>
        <v>A</v>
      </c>
      <c r="L1095" t="str">
        <f>_xlfn.XLOOKUP(Jnl[[#This Row],[Acct]], config_BS[Acct], config_BS[Lv1],,0)</f>
        <v>Assets</v>
      </c>
      <c r="M1095" t="str">
        <f>_xlfn.XLOOKUP(Jnl[[#This Row],[Acct]], config_BS[Acct], config_BS[Lv2],,0)</f>
        <v>Prep-Sub</v>
      </c>
      <c r="N1095" t="str">
        <f>_xlfn.XLOOKUP(Jnl[[#This Row],[TrxId]], Trx[Id], Trx[IncNode], ,0)</f>
        <v>Cost</v>
      </c>
      <c r="O1095" t="str">
        <f>_xlfn.XLOOKUP(Jnl[[#This Row],[IncNode]], config_IS[Node], config_IS[Type],,0)</f>
        <v>Op</v>
      </c>
      <c r="P1095" t="str">
        <f>_xlfn.XLOOKUP(Jnl[[#This Row],[BSLv2]], dict[Key], dict[Name],,0)</f>
        <v>2.预付-订阅</v>
      </c>
      <c r="Q1095" t="str">
        <f>_xlfn.XLOOKUP(Jnl[[#This Row],[Acct]], dict[Key], dict[Name],,0)</f>
        <v>预付订单</v>
      </c>
      <c r="R1095" t="str">
        <f>_xlfn.XLOOKUP(Jnl[[#This Row],[Vehicle]],config_vehicle[Id], config_vehicle[Name],,0)</f>
        <v>米小易</v>
      </c>
      <c r="S1095" t="str">
        <f>_xlfn.XLOOKUP(Jnl[[#This Row],[Division]],config_div[Id], config_div[Name],,0)</f>
        <v>水街店</v>
      </c>
      <c r="T1095" t="str">
        <f>IF(Jnl[[#This Row],[TrxDate]]&lt;=stmt_BS_date_end, "In", "Out")</f>
        <v>In</v>
      </c>
      <c r="U1095" t="str">
        <f>IF(Jnl[[#This Row],[TrxDate]]&lt;debug_date_start, "prior", IF(Jnl[[#This Row],[TrxDate]]&gt;debug_date_end, "post", "curr"))</f>
        <v>curr</v>
      </c>
    </row>
    <row r="1096" spans="1:21">
      <c r="A1096" s="11" t="s">
        <v>1549</v>
      </c>
      <c r="B1096" s="7">
        <f>_xlfn.XLOOKUP(Jnl[[#This Row],[TrxId]], Trx[Id], Trx[Date],,0)</f>
        <v>46081</v>
      </c>
      <c r="C1096" s="7" t="str">
        <f>_xlfn.XLOOKUP(Jnl[[#This Row],[TrxId]], Trx[Id], Trx[Division],,0)</f>
        <v>Shuijie</v>
      </c>
      <c r="D1096" s="7" t="str">
        <f>_xlfn.XLOOKUP(Jnl[[#This Row],[TrxId]], Trx[Id], Trx[Action],,0)</f>
        <v>计提税金</v>
      </c>
      <c r="E1096" s="26" t="s">
        <v>82</v>
      </c>
      <c r="F1096" s="11" t="s">
        <v>127</v>
      </c>
      <c r="G1096" s="11" t="s">
        <v>347</v>
      </c>
      <c r="H1096" s="72">
        <v>2601.54</v>
      </c>
      <c r="I1096" s="5" t="b">
        <f>AND(Jnl[[#This Row],[TrxId]]&lt;&gt;"",Jnl[[#This Row],[Acct]]&lt;&gt;"",Jnl[[#This Row],[Item]]&lt;&gt;"",ISNUMBER(Jnl[[#This Row],[Bal]]))</f>
        <v>1</v>
      </c>
      <c r="J1096" s="10">
        <f>IF(Jnl[[#This Row],[BSLv0]]="A",1,-1)*Jnl[[#This Row],[Bal]]</f>
        <v>-2601.54</v>
      </c>
      <c r="K1096" t="str">
        <f>_xlfn.XLOOKUP(Jnl[[#This Row],[Acct]], config_BS[Acct], config_BS[Lv0],,0)</f>
        <v>LC</v>
      </c>
      <c r="L1096" t="str">
        <f>_xlfn.XLOOKUP(Jnl[[#This Row],[Acct]], config_BS[Acct], config_BS[Lv1],,0)</f>
        <v>Liability</v>
      </c>
      <c r="M1096" t="str">
        <f>_xlfn.XLOOKUP(Jnl[[#This Row],[Acct]], config_BS[Acct], config_BS[Lv2],,0)</f>
        <v>Rec-Pay</v>
      </c>
      <c r="N1096" t="str">
        <f>_xlfn.XLOOKUP(Jnl[[#This Row],[TrxId]], Trx[Id], Trx[IncNode], ,0)</f>
        <v>Expense</v>
      </c>
      <c r="O1096" t="str">
        <f>_xlfn.XLOOKUP(Jnl[[#This Row],[IncNode]], config_IS[Node], config_IS[Type],,0)</f>
        <v>Op</v>
      </c>
      <c r="P1096" t="str">
        <f>_xlfn.XLOOKUP(Jnl[[#This Row],[BSLv2]], dict[Key], dict[Name],,0)</f>
        <v>1.应收-应付</v>
      </c>
      <c r="Q1096" t="str">
        <f>_xlfn.XLOOKUP(Jnl[[#This Row],[Acct]], dict[Key], dict[Name],,0)</f>
        <v>应付-税款</v>
      </c>
      <c r="R1096" t="str">
        <f>_xlfn.XLOOKUP(Jnl[[#This Row],[Vehicle]],config_vehicle[Id], config_vehicle[Name],,0)</f>
        <v>米小易</v>
      </c>
      <c r="S1096" t="str">
        <f>_xlfn.XLOOKUP(Jnl[[#This Row],[Division]],config_div[Id], config_div[Name],,0)</f>
        <v>水街店</v>
      </c>
      <c r="T1096" t="str">
        <f>IF(Jnl[[#This Row],[TrxDate]]&lt;=stmt_BS_date_end, "In", "Out")</f>
        <v>In</v>
      </c>
      <c r="U1096" t="str">
        <f>IF(Jnl[[#This Row],[TrxDate]]&lt;debug_date_start, "prior", IF(Jnl[[#This Row],[TrxDate]]&gt;debug_date_end, "post", "curr"))</f>
        <v>curr</v>
      </c>
    </row>
    <row r="1097" spans="1:21">
      <c r="A1097" s="11" t="s">
        <v>1550</v>
      </c>
      <c r="B1097" s="7">
        <f>_xlfn.XLOOKUP(Jnl[[#This Row],[TrxId]], Trx[Id], Trx[Date],,0)</f>
        <v>46081</v>
      </c>
      <c r="C1097" s="7" t="str">
        <f>_xlfn.XLOOKUP(Jnl[[#This Row],[TrxId]], Trx[Id], Trx[Division],,0)</f>
        <v>Shuijie</v>
      </c>
      <c r="D1097" s="7" t="str">
        <f>_xlfn.XLOOKUP(Jnl[[#This Row],[TrxId]], Trx[Id], Trx[Action],,0)</f>
        <v>收款</v>
      </c>
      <c r="E1097" s="26" t="s">
        <v>106</v>
      </c>
      <c r="F1097" s="11" t="s">
        <v>590</v>
      </c>
      <c r="G1097" s="11" t="s">
        <v>687</v>
      </c>
      <c r="H1097" s="72">
        <v>2689.74</v>
      </c>
      <c r="I1097" s="5" t="b">
        <f>AND(Jnl[[#This Row],[TrxId]]&lt;&gt;"",Jnl[[#This Row],[Acct]]&lt;&gt;"",Jnl[[#This Row],[Item]]&lt;&gt;"",ISNUMBER(Jnl[[#This Row],[Bal]]))</f>
        <v>1</v>
      </c>
      <c r="J1097" s="10">
        <f>IF(Jnl[[#This Row],[BSLv0]]="A",1,-1)*Jnl[[#This Row],[Bal]]</f>
        <v>2689.74</v>
      </c>
      <c r="K1097" t="str">
        <f>_xlfn.XLOOKUP(Jnl[[#This Row],[Acct]], config_BS[Acct], config_BS[Lv0],,0)</f>
        <v>A</v>
      </c>
      <c r="L1097" t="str">
        <f>_xlfn.XLOOKUP(Jnl[[#This Row],[Acct]], config_BS[Acct], config_BS[Lv1],,0)</f>
        <v>Assets</v>
      </c>
      <c r="M1097" t="str">
        <f>_xlfn.XLOOKUP(Jnl[[#This Row],[Acct]], config_BS[Acct], config_BS[Lv2],,0)</f>
        <v>Cash alike</v>
      </c>
      <c r="N1097" t="str">
        <f>_xlfn.XLOOKUP(Jnl[[#This Row],[TrxId]], Trx[Id], Trx[IncNode], ,0)</f>
        <v>Revenue</v>
      </c>
      <c r="O1097" t="str">
        <f>_xlfn.XLOOKUP(Jnl[[#This Row],[IncNode]], config_IS[Node], config_IS[Type],,0)</f>
        <v>Op</v>
      </c>
      <c r="P1097" t="str">
        <f>_xlfn.XLOOKUP(Jnl[[#This Row],[BSLv2]], dict[Key], dict[Name],,0)</f>
        <v>0.现金及类似</v>
      </c>
      <c r="Q1097" t="str">
        <f>_xlfn.XLOOKUP(Jnl[[#This Row],[Acct]], dict[Key], dict[Name],,0)</f>
        <v>银行</v>
      </c>
      <c r="R1097" t="str">
        <f>_xlfn.XLOOKUP(Jnl[[#This Row],[Vehicle]],config_vehicle[Id], config_vehicle[Name],,0)</f>
        <v>远家花园高新分公司</v>
      </c>
      <c r="S1097" t="str">
        <f>_xlfn.XLOOKUP(Jnl[[#This Row],[Division]],config_div[Id], config_div[Name],,0)</f>
        <v>水街店</v>
      </c>
      <c r="T1097" t="str">
        <f>IF(Jnl[[#This Row],[TrxDate]]&lt;=stmt_BS_date_end, "In", "Out")</f>
        <v>In</v>
      </c>
      <c r="U1097" t="str">
        <f>IF(Jnl[[#This Row],[TrxDate]]&lt;debug_date_start, "prior", IF(Jnl[[#This Row],[TrxDate]]&gt;debug_date_end, "post", "curr"))</f>
        <v>curr</v>
      </c>
    </row>
    <row r="1098" spans="1:21">
      <c r="A1098" s="11" t="s">
        <v>1550</v>
      </c>
      <c r="B1098" s="7">
        <f>_xlfn.XLOOKUP(Jnl[[#This Row],[TrxId]], Trx[Id], Trx[Date],,0)</f>
        <v>46081</v>
      </c>
      <c r="C1098" s="7" t="str">
        <f>_xlfn.XLOOKUP(Jnl[[#This Row],[TrxId]], Trx[Id], Trx[Division],,0)</f>
        <v>Shuijie</v>
      </c>
      <c r="D1098" s="7" t="str">
        <f>_xlfn.XLOOKUP(Jnl[[#This Row],[TrxId]], Trx[Id], Trx[Action],,0)</f>
        <v>收款</v>
      </c>
      <c r="E1098" s="26" t="s">
        <v>106</v>
      </c>
      <c r="F1098" s="11" t="s">
        <v>593</v>
      </c>
      <c r="G1098" s="11" t="s">
        <v>594</v>
      </c>
      <c r="H1098" s="72">
        <v>-2689.74</v>
      </c>
      <c r="I1098" s="5" t="b">
        <f>AND(Jnl[[#This Row],[TrxId]]&lt;&gt;"",Jnl[[#This Row],[Acct]]&lt;&gt;"",Jnl[[#This Row],[Item]]&lt;&gt;"",ISNUMBER(Jnl[[#This Row],[Bal]]))</f>
        <v>1</v>
      </c>
      <c r="J1098" s="10">
        <f>IF(Jnl[[#This Row],[BSLv0]]="A",1,-1)*Jnl[[#This Row],[Bal]]</f>
        <v>-2689.74</v>
      </c>
      <c r="K1098" t="str">
        <f>_xlfn.XLOOKUP(Jnl[[#This Row],[Acct]], config_BS[Acct], config_BS[Lv0],,0)</f>
        <v>A</v>
      </c>
      <c r="L1098" t="str">
        <f>_xlfn.XLOOKUP(Jnl[[#This Row],[Acct]], config_BS[Acct], config_BS[Lv1],,0)</f>
        <v>Assets</v>
      </c>
      <c r="M1098" t="str">
        <f>_xlfn.XLOOKUP(Jnl[[#This Row],[Acct]], config_BS[Acct], config_BS[Lv2],,0)</f>
        <v>Rec-Pay</v>
      </c>
      <c r="N1098" t="str">
        <f>_xlfn.XLOOKUP(Jnl[[#This Row],[TrxId]], Trx[Id], Trx[IncNode], ,0)</f>
        <v>Revenue</v>
      </c>
      <c r="O1098" t="str">
        <f>_xlfn.XLOOKUP(Jnl[[#This Row],[IncNode]], config_IS[Node], config_IS[Type],,0)</f>
        <v>Op</v>
      </c>
      <c r="P1098" t="str">
        <f>_xlfn.XLOOKUP(Jnl[[#This Row],[BSLv2]], dict[Key], dict[Name],,0)</f>
        <v>1.应收-应付</v>
      </c>
      <c r="Q1098" t="str">
        <f>_xlfn.XLOOKUP(Jnl[[#This Row],[Acct]], dict[Key], dict[Name],,0)</f>
        <v>应收-一般</v>
      </c>
      <c r="R1098" t="str">
        <f>_xlfn.XLOOKUP(Jnl[[#This Row],[Vehicle]],config_vehicle[Id], config_vehicle[Name],,0)</f>
        <v>远家花园高新分公司</v>
      </c>
      <c r="S1098" t="str">
        <f>_xlfn.XLOOKUP(Jnl[[#This Row],[Division]],config_div[Id], config_div[Name],,0)</f>
        <v>水街店</v>
      </c>
      <c r="T1098" t="str">
        <f>IF(Jnl[[#This Row],[TrxDate]]&lt;=stmt_BS_date_end, "In", "Out")</f>
        <v>In</v>
      </c>
      <c r="U1098" t="str">
        <f>IF(Jnl[[#This Row],[TrxDate]]&lt;debug_date_start, "prior", IF(Jnl[[#This Row],[TrxDate]]&gt;debug_date_end, "post", "curr"))</f>
        <v>curr</v>
      </c>
    </row>
    <row r="1099" spans="1:21">
      <c r="A1099" s="11" t="s">
        <v>1551</v>
      </c>
      <c r="B1099" s="7">
        <f>_xlfn.XLOOKUP(Jnl[[#This Row],[TrxId]], Trx[Id], Trx[Date],,0)</f>
        <v>46081</v>
      </c>
      <c r="C1099" s="7" t="str">
        <f>_xlfn.XLOOKUP(Jnl[[#This Row],[TrxId]], Trx[Id], Trx[Division],,0)</f>
        <v>GM</v>
      </c>
      <c r="D1099" s="7" t="str">
        <f>_xlfn.XLOOKUP(Jnl[[#This Row],[TrxId]], Trx[Id], Trx[Action],,0)</f>
        <v>薪酬-社保</v>
      </c>
      <c r="E1099" s="26" t="s">
        <v>106</v>
      </c>
      <c r="F1099" s="11" t="s">
        <v>590</v>
      </c>
      <c r="G1099" s="11" t="s">
        <v>687</v>
      </c>
      <c r="H1099" s="72">
        <v>-5060.82</v>
      </c>
      <c r="I1099" s="5" t="b">
        <f>AND(Jnl[[#This Row],[TrxId]]&lt;&gt;"",Jnl[[#This Row],[Acct]]&lt;&gt;"",Jnl[[#This Row],[Item]]&lt;&gt;"",ISNUMBER(Jnl[[#This Row],[Bal]]))</f>
        <v>1</v>
      </c>
      <c r="J1099" s="10">
        <f>IF(Jnl[[#This Row],[BSLv0]]="A",1,-1)*Jnl[[#This Row],[Bal]]</f>
        <v>-5060.82</v>
      </c>
      <c r="K1099" t="str">
        <f>_xlfn.XLOOKUP(Jnl[[#This Row],[Acct]], config_BS[Acct], config_BS[Lv0],,0)</f>
        <v>A</v>
      </c>
      <c r="L1099" t="str">
        <f>_xlfn.XLOOKUP(Jnl[[#This Row],[Acct]], config_BS[Acct], config_BS[Lv1],,0)</f>
        <v>Assets</v>
      </c>
      <c r="M1099" t="str">
        <f>_xlfn.XLOOKUP(Jnl[[#This Row],[Acct]], config_BS[Acct], config_BS[Lv2],,0)</f>
        <v>Cash alike</v>
      </c>
      <c r="N1099" t="str">
        <f>_xlfn.XLOOKUP(Jnl[[#This Row],[TrxId]], Trx[Id], Trx[IncNode], ,0)</f>
        <v>Expense</v>
      </c>
      <c r="O1099" t="str">
        <f>_xlfn.XLOOKUP(Jnl[[#This Row],[IncNode]], config_IS[Node], config_IS[Type],,0)</f>
        <v>Op</v>
      </c>
      <c r="P1099" t="str">
        <f>_xlfn.XLOOKUP(Jnl[[#This Row],[BSLv2]], dict[Key], dict[Name],,0)</f>
        <v>0.现金及类似</v>
      </c>
      <c r="Q1099" t="str">
        <f>_xlfn.XLOOKUP(Jnl[[#This Row],[Acct]], dict[Key], dict[Name],,0)</f>
        <v>银行</v>
      </c>
      <c r="R1099" t="str">
        <f>_xlfn.XLOOKUP(Jnl[[#This Row],[Vehicle]],config_vehicle[Id], config_vehicle[Name],,0)</f>
        <v>远家花园高新分公司</v>
      </c>
      <c r="S1099" t="str">
        <f>_xlfn.XLOOKUP(Jnl[[#This Row],[Division]],config_div[Id], config_div[Name],,0)</f>
        <v>综合管理</v>
      </c>
      <c r="T1099" t="str">
        <f>IF(Jnl[[#This Row],[TrxDate]]&lt;=stmt_BS_date_end, "In", "Out")</f>
        <v>In</v>
      </c>
      <c r="U1099" t="str">
        <f>IF(Jnl[[#This Row],[TrxDate]]&lt;debug_date_start, "prior", IF(Jnl[[#This Row],[TrxDate]]&gt;debug_date_end, "post", "curr"))</f>
        <v>curr</v>
      </c>
    </row>
    <row r="1100" spans="1:21">
      <c r="A1100" s="11" t="s">
        <v>1551</v>
      </c>
      <c r="B1100" s="7">
        <f>_xlfn.XLOOKUP(Jnl[[#This Row],[TrxId]], Trx[Id], Trx[Date],,0)</f>
        <v>46081</v>
      </c>
      <c r="C1100" s="7" t="str">
        <f>_xlfn.XLOOKUP(Jnl[[#This Row],[TrxId]], Trx[Id], Trx[Division],,0)</f>
        <v>GM</v>
      </c>
      <c r="D1100" s="7" t="str">
        <f>_xlfn.XLOOKUP(Jnl[[#This Row],[TrxId]], Trx[Id], Trx[Action],,0)</f>
        <v>薪酬-社保</v>
      </c>
      <c r="E1100" s="26" t="s">
        <v>106</v>
      </c>
      <c r="F1100" s="11" t="s">
        <v>595</v>
      </c>
      <c r="G1100" s="11" t="s">
        <v>344</v>
      </c>
      <c r="H1100" s="72">
        <v>1474.3</v>
      </c>
      <c r="I1100" s="5" t="b">
        <f>AND(Jnl[[#This Row],[TrxId]]&lt;&gt;"",Jnl[[#This Row],[Acct]]&lt;&gt;"",Jnl[[#This Row],[Item]]&lt;&gt;"",ISNUMBER(Jnl[[#This Row],[Bal]]))</f>
        <v>1</v>
      </c>
      <c r="J1100" s="10">
        <f>IF(Jnl[[#This Row],[BSLv0]]="A",1,-1)*Jnl[[#This Row],[Bal]]</f>
        <v>1474.3</v>
      </c>
      <c r="K1100" t="str">
        <f>_xlfn.XLOOKUP(Jnl[[#This Row],[Acct]], config_BS[Acct], config_BS[Lv0],,0)</f>
        <v>A</v>
      </c>
      <c r="L1100" t="str">
        <f>_xlfn.XLOOKUP(Jnl[[#This Row],[Acct]], config_BS[Acct], config_BS[Lv1],,0)</f>
        <v>Assets</v>
      </c>
      <c r="M1100" t="str">
        <f>_xlfn.XLOOKUP(Jnl[[#This Row],[Acct]], config_BS[Acct], config_BS[Lv2],,0)</f>
        <v>Rec-Pay</v>
      </c>
      <c r="N1100" t="str">
        <f>_xlfn.XLOOKUP(Jnl[[#This Row],[TrxId]], Trx[Id], Trx[IncNode], ,0)</f>
        <v>Expense</v>
      </c>
      <c r="O1100" t="str">
        <f>_xlfn.XLOOKUP(Jnl[[#This Row],[IncNode]], config_IS[Node], config_IS[Type],,0)</f>
        <v>Op</v>
      </c>
      <c r="P1100" t="str">
        <f>_xlfn.XLOOKUP(Jnl[[#This Row],[BSLv2]], dict[Key], dict[Name],,0)</f>
        <v>1.应收-应付</v>
      </c>
      <c r="Q1100" t="str">
        <f>_xlfn.XLOOKUP(Jnl[[#This Row],[Acct]], dict[Key], dict[Name],,0)</f>
        <v>应收-其他</v>
      </c>
      <c r="R1100" t="str">
        <f>_xlfn.XLOOKUP(Jnl[[#This Row],[Vehicle]],config_vehicle[Id], config_vehicle[Name],,0)</f>
        <v>远家花园高新分公司</v>
      </c>
      <c r="S1100" t="str">
        <f>_xlfn.XLOOKUP(Jnl[[#This Row],[Division]],config_div[Id], config_div[Name],,0)</f>
        <v>综合管理</v>
      </c>
      <c r="T1100" t="str">
        <f>IF(Jnl[[#This Row],[TrxDate]]&lt;=stmt_BS_date_end, "In", "Out")</f>
        <v>In</v>
      </c>
      <c r="U1100" t="str">
        <f>IF(Jnl[[#This Row],[TrxDate]]&lt;debug_date_start, "prior", IF(Jnl[[#This Row],[TrxDate]]&gt;debug_date_end, "post", "curr"))</f>
        <v>curr</v>
      </c>
    </row>
    <row r="1101" spans="1:21">
      <c r="A1101" s="11" t="s">
        <v>1552</v>
      </c>
      <c r="B1101" s="7">
        <f>_xlfn.XLOOKUP(Jnl[[#This Row],[TrxId]], Trx[Id], Trx[Date],,0)</f>
        <v>46081</v>
      </c>
      <c r="C1101" s="7" t="str">
        <f>_xlfn.XLOOKUP(Jnl[[#This Row],[TrxId]], Trx[Id], Trx[Division],,0)</f>
        <v>Shuijie</v>
      </c>
      <c r="D1101" s="7" t="str">
        <f>_xlfn.XLOOKUP(Jnl[[#This Row],[TrxId]], Trx[Id], Trx[Action],,0)</f>
        <v>其他材料</v>
      </c>
      <c r="E1101" s="26" t="s">
        <v>106</v>
      </c>
      <c r="F1101" s="11" t="s">
        <v>590</v>
      </c>
      <c r="G1101" s="11" t="s">
        <v>687</v>
      </c>
      <c r="H1101" s="72">
        <v>-2238.81</v>
      </c>
      <c r="I1101" s="5" t="b">
        <f>AND(Jnl[[#This Row],[TrxId]]&lt;&gt;"",Jnl[[#This Row],[Acct]]&lt;&gt;"",Jnl[[#This Row],[Item]]&lt;&gt;"",ISNUMBER(Jnl[[#This Row],[Bal]]))</f>
        <v>1</v>
      </c>
      <c r="J1101" s="10">
        <f>IF(Jnl[[#This Row],[BSLv0]]="A",1,-1)*Jnl[[#This Row],[Bal]]</f>
        <v>-2238.81</v>
      </c>
      <c r="K1101" t="str">
        <f>_xlfn.XLOOKUP(Jnl[[#This Row],[Acct]], config_BS[Acct], config_BS[Lv0],,0)</f>
        <v>A</v>
      </c>
      <c r="L1101" t="str">
        <f>_xlfn.XLOOKUP(Jnl[[#This Row],[Acct]], config_BS[Acct], config_BS[Lv1],,0)</f>
        <v>Assets</v>
      </c>
      <c r="M1101" t="str">
        <f>_xlfn.XLOOKUP(Jnl[[#This Row],[Acct]], config_BS[Acct], config_BS[Lv2],,0)</f>
        <v>Cash alike</v>
      </c>
      <c r="N1101" t="str">
        <f>_xlfn.XLOOKUP(Jnl[[#This Row],[TrxId]], Trx[Id], Trx[IncNode], ,0)</f>
        <v>Cost</v>
      </c>
      <c r="O1101" t="str">
        <f>_xlfn.XLOOKUP(Jnl[[#This Row],[IncNode]], config_IS[Node], config_IS[Type],,0)</f>
        <v>Op</v>
      </c>
      <c r="P1101" t="str">
        <f>_xlfn.XLOOKUP(Jnl[[#This Row],[BSLv2]], dict[Key], dict[Name],,0)</f>
        <v>0.现金及类似</v>
      </c>
      <c r="Q1101" t="str">
        <f>_xlfn.XLOOKUP(Jnl[[#This Row],[Acct]], dict[Key], dict[Name],,0)</f>
        <v>银行</v>
      </c>
      <c r="R1101" t="str">
        <f>_xlfn.XLOOKUP(Jnl[[#This Row],[Vehicle]],config_vehicle[Id], config_vehicle[Name],,0)</f>
        <v>远家花园高新分公司</v>
      </c>
      <c r="S1101" t="str">
        <f>_xlfn.XLOOKUP(Jnl[[#This Row],[Division]],config_div[Id], config_div[Name],,0)</f>
        <v>水街店</v>
      </c>
      <c r="T1101" t="str">
        <f>IF(Jnl[[#This Row],[TrxDate]]&lt;=stmt_BS_date_end, "In", "Out")</f>
        <v>In</v>
      </c>
      <c r="U1101" t="str">
        <f>IF(Jnl[[#This Row],[TrxDate]]&lt;debug_date_start, "prior", IF(Jnl[[#This Row],[TrxDate]]&gt;debug_date_end, "post", "curr"))</f>
        <v>curr</v>
      </c>
    </row>
    <row r="1102" spans="1:21">
      <c r="A1102" s="11" t="s">
        <v>1553</v>
      </c>
      <c r="B1102" s="7">
        <f>_xlfn.XLOOKUP(Jnl[[#This Row],[TrxId]], Trx[Id], Trx[Date],,0)</f>
        <v>46081</v>
      </c>
      <c r="C1102" s="7" t="str">
        <f>_xlfn.XLOOKUP(Jnl[[#This Row],[TrxId]], Trx[Id], Trx[Division],,0)</f>
        <v>Shuijie</v>
      </c>
      <c r="D1102" s="7" t="str">
        <f>_xlfn.XLOOKUP(Jnl[[#This Row],[TrxId]], Trx[Id], Trx[Action],,0)</f>
        <v>办公</v>
      </c>
      <c r="E1102" s="26" t="s">
        <v>106</v>
      </c>
      <c r="F1102" s="11" t="s">
        <v>590</v>
      </c>
      <c r="G1102" s="11" t="s">
        <v>687</v>
      </c>
      <c r="H1102" s="72">
        <v>-794</v>
      </c>
      <c r="I1102" s="5" t="b">
        <f>AND(Jnl[[#This Row],[TrxId]]&lt;&gt;"",Jnl[[#This Row],[Acct]]&lt;&gt;"",Jnl[[#This Row],[Item]]&lt;&gt;"",ISNUMBER(Jnl[[#This Row],[Bal]]))</f>
        <v>1</v>
      </c>
      <c r="J1102" s="10">
        <f>IF(Jnl[[#This Row],[BSLv0]]="A",1,-1)*Jnl[[#This Row],[Bal]]</f>
        <v>-794</v>
      </c>
      <c r="K1102" t="str">
        <f>_xlfn.XLOOKUP(Jnl[[#This Row],[Acct]], config_BS[Acct], config_BS[Lv0],,0)</f>
        <v>A</v>
      </c>
      <c r="L1102" t="str">
        <f>_xlfn.XLOOKUP(Jnl[[#This Row],[Acct]], config_BS[Acct], config_BS[Lv1],,0)</f>
        <v>Assets</v>
      </c>
      <c r="M1102" t="str">
        <f>_xlfn.XLOOKUP(Jnl[[#This Row],[Acct]], config_BS[Acct], config_BS[Lv2],,0)</f>
        <v>Cash alike</v>
      </c>
      <c r="N1102" t="str">
        <f>_xlfn.XLOOKUP(Jnl[[#This Row],[TrxId]], Trx[Id], Trx[IncNode], ,0)</f>
        <v>Expense</v>
      </c>
      <c r="O1102" t="str">
        <f>_xlfn.XLOOKUP(Jnl[[#This Row],[IncNode]], config_IS[Node], config_IS[Type],,0)</f>
        <v>Op</v>
      </c>
      <c r="P1102" t="str">
        <f>_xlfn.XLOOKUP(Jnl[[#This Row],[BSLv2]], dict[Key], dict[Name],,0)</f>
        <v>0.现金及类似</v>
      </c>
      <c r="Q1102" t="str">
        <f>_xlfn.XLOOKUP(Jnl[[#This Row],[Acct]], dict[Key], dict[Name],,0)</f>
        <v>银行</v>
      </c>
      <c r="R1102" t="str">
        <f>_xlfn.XLOOKUP(Jnl[[#This Row],[Vehicle]],config_vehicle[Id], config_vehicle[Name],,0)</f>
        <v>远家花园高新分公司</v>
      </c>
      <c r="S1102" t="str">
        <f>_xlfn.XLOOKUP(Jnl[[#This Row],[Division]],config_div[Id], config_div[Name],,0)</f>
        <v>水街店</v>
      </c>
      <c r="T1102" t="str">
        <f>IF(Jnl[[#This Row],[TrxDate]]&lt;=stmt_BS_date_end, "In", "Out")</f>
        <v>In</v>
      </c>
      <c r="U1102" t="str">
        <f>IF(Jnl[[#This Row],[TrxDate]]&lt;debug_date_start, "prior", IF(Jnl[[#This Row],[TrxDate]]&gt;debug_date_end, "post", "curr"))</f>
        <v>curr</v>
      </c>
    </row>
    <row r="1103" spans="1:21">
      <c r="A1103" s="11" t="s">
        <v>1554</v>
      </c>
      <c r="B1103" s="7">
        <f>_xlfn.XLOOKUP(Jnl[[#This Row],[TrxId]], Trx[Id], Trx[Date],,0)</f>
        <v>46081</v>
      </c>
      <c r="C1103" s="7" t="str">
        <f>_xlfn.XLOOKUP(Jnl[[#This Row],[TrxId]], Trx[Id], Trx[Division],,0)</f>
        <v>Shuijie</v>
      </c>
      <c r="D1103" s="7" t="str">
        <f>_xlfn.XLOOKUP(Jnl[[#This Row],[TrxId]], Trx[Id], Trx[Action],,0)</f>
        <v>存现</v>
      </c>
      <c r="E1103" s="26" t="s">
        <v>106</v>
      </c>
      <c r="F1103" s="11" t="s">
        <v>590</v>
      </c>
      <c r="G1103" s="11" t="s">
        <v>687</v>
      </c>
      <c r="H1103" s="72">
        <v>1000</v>
      </c>
      <c r="I1103" s="5" t="b">
        <f>AND(Jnl[[#This Row],[TrxId]]&lt;&gt;"",Jnl[[#This Row],[Acct]]&lt;&gt;"",Jnl[[#This Row],[Item]]&lt;&gt;"",ISNUMBER(Jnl[[#This Row],[Bal]]))</f>
        <v>1</v>
      </c>
      <c r="J1103" s="10">
        <f>IF(Jnl[[#This Row],[BSLv0]]="A",1,-1)*Jnl[[#This Row],[Bal]]</f>
        <v>1000</v>
      </c>
      <c r="K1103" t="str">
        <f>_xlfn.XLOOKUP(Jnl[[#This Row],[Acct]], config_BS[Acct], config_BS[Lv0],,0)</f>
        <v>A</v>
      </c>
      <c r="L1103" t="str">
        <f>_xlfn.XLOOKUP(Jnl[[#This Row],[Acct]], config_BS[Acct], config_BS[Lv1],,0)</f>
        <v>Assets</v>
      </c>
      <c r="M1103" t="str">
        <f>_xlfn.XLOOKUP(Jnl[[#This Row],[Acct]], config_BS[Acct], config_BS[Lv2],,0)</f>
        <v>Cash alike</v>
      </c>
      <c r="N1103" t="str">
        <f>_xlfn.XLOOKUP(Jnl[[#This Row],[TrxId]], Trx[Id], Trx[IncNode], ,0)</f>
        <v>Revenue</v>
      </c>
      <c r="O1103" t="str">
        <f>_xlfn.XLOOKUP(Jnl[[#This Row],[IncNode]], config_IS[Node], config_IS[Type],,0)</f>
        <v>Op</v>
      </c>
      <c r="P1103" t="str">
        <f>_xlfn.XLOOKUP(Jnl[[#This Row],[BSLv2]], dict[Key], dict[Name],,0)</f>
        <v>0.现金及类似</v>
      </c>
      <c r="Q1103" t="str">
        <f>_xlfn.XLOOKUP(Jnl[[#This Row],[Acct]], dict[Key], dict[Name],,0)</f>
        <v>银行</v>
      </c>
      <c r="R1103" t="str">
        <f>_xlfn.XLOOKUP(Jnl[[#This Row],[Vehicle]],config_vehicle[Id], config_vehicle[Name],,0)</f>
        <v>远家花园高新分公司</v>
      </c>
      <c r="S1103" t="str">
        <f>_xlfn.XLOOKUP(Jnl[[#This Row],[Division]],config_div[Id], config_div[Name],,0)</f>
        <v>水街店</v>
      </c>
      <c r="T1103" t="str">
        <f>IF(Jnl[[#This Row],[TrxDate]]&lt;=stmt_BS_date_end, "In", "Out")</f>
        <v>In</v>
      </c>
      <c r="U1103" t="str">
        <f>IF(Jnl[[#This Row],[TrxDate]]&lt;debug_date_start, "prior", IF(Jnl[[#This Row],[TrxDate]]&gt;debug_date_end, "post", "curr"))</f>
        <v>curr</v>
      </c>
    </row>
    <row r="1104" spans="1:21">
      <c r="A1104" s="11" t="s">
        <v>1554</v>
      </c>
      <c r="B1104" s="7">
        <f>_xlfn.XLOOKUP(Jnl[[#This Row],[TrxId]], Trx[Id], Trx[Date],,0)</f>
        <v>46081</v>
      </c>
      <c r="C1104" s="7" t="str">
        <f>_xlfn.XLOOKUP(Jnl[[#This Row],[TrxId]], Trx[Id], Trx[Division],,0)</f>
        <v>Shuijie</v>
      </c>
      <c r="D1104" s="7" t="str">
        <f>_xlfn.XLOOKUP(Jnl[[#This Row],[TrxId]], Trx[Id], Trx[Action],,0)</f>
        <v>存现</v>
      </c>
      <c r="E1104" s="26" t="s">
        <v>106</v>
      </c>
      <c r="F1104" s="11" t="s">
        <v>599</v>
      </c>
      <c r="G1104" s="11" t="s">
        <v>688</v>
      </c>
      <c r="H1104" s="72">
        <v>-1000</v>
      </c>
      <c r="I1104" s="5" t="b">
        <f>AND(Jnl[[#This Row],[TrxId]]&lt;&gt;"",Jnl[[#This Row],[Acct]]&lt;&gt;"",Jnl[[#This Row],[Item]]&lt;&gt;"",ISNUMBER(Jnl[[#This Row],[Bal]]))</f>
        <v>1</v>
      </c>
      <c r="J1104" s="10">
        <f>IF(Jnl[[#This Row],[BSLv0]]="A",1,-1)*Jnl[[#This Row],[Bal]]</f>
        <v>-1000</v>
      </c>
      <c r="K1104" t="str">
        <f>_xlfn.XLOOKUP(Jnl[[#This Row],[Acct]], config_BS[Acct], config_BS[Lv0],,0)</f>
        <v>A</v>
      </c>
      <c r="L1104" t="str">
        <f>_xlfn.XLOOKUP(Jnl[[#This Row],[Acct]], config_BS[Acct], config_BS[Lv1],,0)</f>
        <v>Assets</v>
      </c>
      <c r="M1104" t="str">
        <f>_xlfn.XLOOKUP(Jnl[[#This Row],[Acct]], config_BS[Acct], config_BS[Lv2],,0)</f>
        <v>Cash alike</v>
      </c>
      <c r="N1104" t="str">
        <f>_xlfn.XLOOKUP(Jnl[[#This Row],[TrxId]], Trx[Id], Trx[IncNode], ,0)</f>
        <v>Revenue</v>
      </c>
      <c r="O1104" t="str">
        <f>_xlfn.XLOOKUP(Jnl[[#This Row],[IncNode]], config_IS[Node], config_IS[Type],,0)</f>
        <v>Op</v>
      </c>
      <c r="P1104" t="str">
        <f>_xlfn.XLOOKUP(Jnl[[#This Row],[BSLv2]], dict[Key], dict[Name],,0)</f>
        <v>0.现金及类似</v>
      </c>
      <c r="Q1104" t="str">
        <f>_xlfn.XLOOKUP(Jnl[[#This Row],[Acct]], dict[Key], dict[Name],,0)</f>
        <v>物理现金</v>
      </c>
      <c r="R1104" t="str">
        <f>_xlfn.XLOOKUP(Jnl[[#This Row],[Vehicle]],config_vehicle[Id], config_vehicle[Name],,0)</f>
        <v>远家花园高新分公司</v>
      </c>
      <c r="S1104" t="str">
        <f>_xlfn.XLOOKUP(Jnl[[#This Row],[Division]],config_div[Id], config_div[Name],,0)</f>
        <v>水街店</v>
      </c>
      <c r="T1104" t="str">
        <f>IF(Jnl[[#This Row],[TrxDate]]&lt;=stmt_BS_date_end, "In", "Out")</f>
        <v>In</v>
      </c>
      <c r="U1104" t="str">
        <f>IF(Jnl[[#This Row],[TrxDate]]&lt;debug_date_start, "prior", IF(Jnl[[#This Row],[TrxDate]]&gt;debug_date_end, "post", "curr"))</f>
        <v>curr</v>
      </c>
    </row>
    <row r="1105" spans="1:21">
      <c r="A1105" s="11" t="s">
        <v>1555</v>
      </c>
      <c r="B1105" s="7">
        <f>_xlfn.XLOOKUP(Jnl[[#This Row],[TrxId]], Trx[Id], Trx[Date],,0)</f>
        <v>46081</v>
      </c>
      <c r="C1105" s="7" t="str">
        <f>_xlfn.XLOOKUP(Jnl[[#This Row],[TrxId]], Trx[Id], Trx[Division],,0)</f>
        <v>Shuijie</v>
      </c>
      <c r="D1105" s="7" t="str">
        <f>_xlfn.XLOOKUP(Jnl[[#This Row],[TrxId]], Trx[Id], Trx[Action],,0)</f>
        <v>其他材料</v>
      </c>
      <c r="E1105" s="26" t="s">
        <v>106</v>
      </c>
      <c r="F1105" s="11" t="s">
        <v>590</v>
      </c>
      <c r="G1105" s="11" t="s">
        <v>687</v>
      </c>
      <c r="H1105" s="72">
        <v>-1979.57</v>
      </c>
      <c r="I1105" s="5" t="b">
        <f>AND(Jnl[[#This Row],[TrxId]]&lt;&gt;"",Jnl[[#This Row],[Acct]]&lt;&gt;"",Jnl[[#This Row],[Item]]&lt;&gt;"",ISNUMBER(Jnl[[#This Row],[Bal]]))</f>
        <v>1</v>
      </c>
      <c r="J1105" s="10">
        <f>IF(Jnl[[#This Row],[BSLv0]]="A",1,-1)*Jnl[[#This Row],[Bal]]</f>
        <v>-1979.57</v>
      </c>
      <c r="K1105" t="str">
        <f>_xlfn.XLOOKUP(Jnl[[#This Row],[Acct]], config_BS[Acct], config_BS[Lv0],,0)</f>
        <v>A</v>
      </c>
      <c r="L1105" t="str">
        <f>_xlfn.XLOOKUP(Jnl[[#This Row],[Acct]], config_BS[Acct], config_BS[Lv1],,0)</f>
        <v>Assets</v>
      </c>
      <c r="M1105" t="str">
        <f>_xlfn.XLOOKUP(Jnl[[#This Row],[Acct]], config_BS[Acct], config_BS[Lv2],,0)</f>
        <v>Cash alike</v>
      </c>
      <c r="N1105" t="str">
        <f>_xlfn.XLOOKUP(Jnl[[#This Row],[TrxId]], Trx[Id], Trx[IncNode], ,0)</f>
        <v>Cost</v>
      </c>
      <c r="O1105" t="str">
        <f>_xlfn.XLOOKUP(Jnl[[#This Row],[IncNode]], config_IS[Node], config_IS[Type],,0)</f>
        <v>Op</v>
      </c>
      <c r="P1105" t="str">
        <f>_xlfn.XLOOKUP(Jnl[[#This Row],[BSLv2]], dict[Key], dict[Name],,0)</f>
        <v>0.现金及类似</v>
      </c>
      <c r="Q1105" t="str">
        <f>_xlfn.XLOOKUP(Jnl[[#This Row],[Acct]], dict[Key], dict[Name],,0)</f>
        <v>银行</v>
      </c>
      <c r="R1105" t="str">
        <f>_xlfn.XLOOKUP(Jnl[[#This Row],[Vehicle]],config_vehicle[Id], config_vehicle[Name],,0)</f>
        <v>远家花园高新分公司</v>
      </c>
      <c r="S1105" t="str">
        <f>_xlfn.XLOOKUP(Jnl[[#This Row],[Division]],config_div[Id], config_div[Name],,0)</f>
        <v>水街店</v>
      </c>
      <c r="T1105" t="str">
        <f>IF(Jnl[[#This Row],[TrxDate]]&lt;=stmt_BS_date_end, "In", "Out")</f>
        <v>In</v>
      </c>
      <c r="U1105" t="str">
        <f>IF(Jnl[[#This Row],[TrxDate]]&lt;debug_date_start, "prior", IF(Jnl[[#This Row],[TrxDate]]&gt;debug_date_end, "post", "curr"))</f>
        <v>curr</v>
      </c>
    </row>
    <row r="1106" spans="1:21">
      <c r="A1106" s="11" t="s">
        <v>1556</v>
      </c>
      <c r="B1106" s="7">
        <f>_xlfn.XLOOKUP(Jnl[[#This Row],[TrxId]], Trx[Id], Trx[Date],,0)</f>
        <v>46081</v>
      </c>
      <c r="C1106" s="7" t="str">
        <f>_xlfn.XLOOKUP(Jnl[[#This Row],[TrxId]], Trx[Id], Trx[Division],,0)</f>
        <v>GM</v>
      </c>
      <c r="D1106" s="7" t="str">
        <f>_xlfn.XLOOKUP(Jnl[[#This Row],[TrxId]], Trx[Id], Trx[Action],,0)</f>
        <v>支付</v>
      </c>
      <c r="E1106" s="26" t="s">
        <v>106</v>
      </c>
      <c r="F1106" s="11" t="s">
        <v>590</v>
      </c>
      <c r="G1106" s="11" t="s">
        <v>687</v>
      </c>
      <c r="H1106" s="72">
        <v>-33595.449999999997</v>
      </c>
      <c r="I1106" s="5" t="b">
        <f>AND(Jnl[[#This Row],[TrxId]]&lt;&gt;"",Jnl[[#This Row],[Acct]]&lt;&gt;"",Jnl[[#This Row],[Item]]&lt;&gt;"",ISNUMBER(Jnl[[#This Row],[Bal]]))</f>
        <v>1</v>
      </c>
      <c r="J1106" s="10">
        <f>IF(Jnl[[#This Row],[BSLv0]]="A",1,-1)*Jnl[[#This Row],[Bal]]</f>
        <v>-33595.449999999997</v>
      </c>
      <c r="K1106" t="str">
        <f>_xlfn.XLOOKUP(Jnl[[#This Row],[Acct]], config_BS[Acct], config_BS[Lv0],,0)</f>
        <v>A</v>
      </c>
      <c r="L1106" t="str">
        <f>_xlfn.XLOOKUP(Jnl[[#This Row],[Acct]], config_BS[Acct], config_BS[Lv1],,0)</f>
        <v>Assets</v>
      </c>
      <c r="M1106" t="str">
        <f>_xlfn.XLOOKUP(Jnl[[#This Row],[Acct]], config_BS[Acct], config_BS[Lv2],,0)</f>
        <v>Cash alike</v>
      </c>
      <c r="N1106" t="str">
        <f>_xlfn.XLOOKUP(Jnl[[#This Row],[TrxId]], Trx[Id], Trx[IncNode], ,0)</f>
        <v>Expense</v>
      </c>
      <c r="O1106" t="str">
        <f>_xlfn.XLOOKUP(Jnl[[#This Row],[IncNode]], config_IS[Node], config_IS[Type],,0)</f>
        <v>Op</v>
      </c>
      <c r="P1106" t="str">
        <f>_xlfn.XLOOKUP(Jnl[[#This Row],[BSLv2]], dict[Key], dict[Name],,0)</f>
        <v>0.现金及类似</v>
      </c>
      <c r="Q1106" t="str">
        <f>_xlfn.XLOOKUP(Jnl[[#This Row],[Acct]], dict[Key], dict[Name],,0)</f>
        <v>银行</v>
      </c>
      <c r="R1106" t="str">
        <f>_xlfn.XLOOKUP(Jnl[[#This Row],[Vehicle]],config_vehicle[Id], config_vehicle[Name],,0)</f>
        <v>远家花园高新分公司</v>
      </c>
      <c r="S1106" t="str">
        <f>_xlfn.XLOOKUP(Jnl[[#This Row],[Division]],config_div[Id], config_div[Name],,0)</f>
        <v>综合管理</v>
      </c>
      <c r="T1106" t="str">
        <f>IF(Jnl[[#This Row],[TrxDate]]&lt;=stmt_BS_date_end, "In", "Out")</f>
        <v>In</v>
      </c>
      <c r="U1106" t="str">
        <f>IF(Jnl[[#This Row],[TrxDate]]&lt;debug_date_start, "prior", IF(Jnl[[#This Row],[TrxDate]]&gt;debug_date_end, "post", "curr"))</f>
        <v>curr</v>
      </c>
    </row>
    <row r="1107" spans="1:21">
      <c r="A1107" s="11" t="s">
        <v>1556</v>
      </c>
      <c r="B1107" s="7">
        <f>_xlfn.XLOOKUP(Jnl[[#This Row],[TrxId]], Trx[Id], Trx[Date],,0)</f>
        <v>46081</v>
      </c>
      <c r="C1107" s="7" t="str">
        <f>_xlfn.XLOOKUP(Jnl[[#This Row],[TrxId]], Trx[Id], Trx[Division],,0)</f>
        <v>GM</v>
      </c>
      <c r="D1107" s="7" t="str">
        <f>_xlfn.XLOOKUP(Jnl[[#This Row],[TrxId]], Trx[Id], Trx[Action],,0)</f>
        <v>支付</v>
      </c>
      <c r="E1107" s="26" t="s">
        <v>106</v>
      </c>
      <c r="F1107" s="11" t="s">
        <v>596</v>
      </c>
      <c r="G1107" s="11" t="s">
        <v>149</v>
      </c>
      <c r="H1107" s="72">
        <v>-35490.239999999998</v>
      </c>
      <c r="I1107" s="5" t="b">
        <f>AND(Jnl[[#This Row],[TrxId]]&lt;&gt;"",Jnl[[#This Row],[Acct]]&lt;&gt;"",Jnl[[#This Row],[Item]]&lt;&gt;"",ISNUMBER(Jnl[[#This Row],[Bal]]))</f>
        <v>1</v>
      </c>
      <c r="J1107" s="10">
        <f>IF(Jnl[[#This Row],[BSLv0]]="A",1,-1)*Jnl[[#This Row],[Bal]]</f>
        <v>35490.239999999998</v>
      </c>
      <c r="K1107" t="str">
        <f>_xlfn.XLOOKUP(Jnl[[#This Row],[Acct]], config_BS[Acct], config_BS[Lv0],,0)</f>
        <v>LC</v>
      </c>
      <c r="L1107" t="str">
        <f>_xlfn.XLOOKUP(Jnl[[#This Row],[Acct]], config_BS[Acct], config_BS[Lv1],,0)</f>
        <v>Liability</v>
      </c>
      <c r="M1107" t="str">
        <f>_xlfn.XLOOKUP(Jnl[[#This Row],[Acct]], config_BS[Acct], config_BS[Lv2],,0)</f>
        <v>Rec-Pay</v>
      </c>
      <c r="N1107" t="str">
        <f>_xlfn.XLOOKUP(Jnl[[#This Row],[TrxId]], Trx[Id], Trx[IncNode], ,0)</f>
        <v>Expense</v>
      </c>
      <c r="O1107" t="str">
        <f>_xlfn.XLOOKUP(Jnl[[#This Row],[IncNode]], config_IS[Node], config_IS[Type],,0)</f>
        <v>Op</v>
      </c>
      <c r="P1107" t="str">
        <f>_xlfn.XLOOKUP(Jnl[[#This Row],[BSLv2]], dict[Key], dict[Name],,0)</f>
        <v>1.应收-应付</v>
      </c>
      <c r="Q1107" t="str">
        <f>_xlfn.XLOOKUP(Jnl[[#This Row],[Acct]], dict[Key], dict[Name],,0)</f>
        <v>应付-薪资</v>
      </c>
      <c r="R1107" t="str">
        <f>_xlfn.XLOOKUP(Jnl[[#This Row],[Vehicle]],config_vehicle[Id], config_vehicle[Name],,0)</f>
        <v>远家花园高新分公司</v>
      </c>
      <c r="S1107" t="str">
        <f>_xlfn.XLOOKUP(Jnl[[#This Row],[Division]],config_div[Id], config_div[Name],,0)</f>
        <v>综合管理</v>
      </c>
      <c r="T1107" t="str">
        <f>IF(Jnl[[#This Row],[TrxDate]]&lt;=stmt_BS_date_end, "In", "Out")</f>
        <v>In</v>
      </c>
      <c r="U1107" t="str">
        <f>IF(Jnl[[#This Row],[TrxDate]]&lt;debug_date_start, "prior", IF(Jnl[[#This Row],[TrxDate]]&gt;debug_date_end, "post", "curr"))</f>
        <v>curr</v>
      </c>
    </row>
    <row r="1108" spans="1:21">
      <c r="A1108" s="11" t="s">
        <v>1556</v>
      </c>
      <c r="B1108" s="7">
        <f>_xlfn.XLOOKUP(Jnl[[#This Row],[TrxId]], Trx[Id], Trx[Date],,0)</f>
        <v>46081</v>
      </c>
      <c r="C1108" s="7" t="str">
        <f>_xlfn.XLOOKUP(Jnl[[#This Row],[TrxId]], Trx[Id], Trx[Division],,0)</f>
        <v>GM</v>
      </c>
      <c r="D1108" s="7" t="str">
        <f>_xlfn.XLOOKUP(Jnl[[#This Row],[TrxId]], Trx[Id], Trx[Action],,0)</f>
        <v>支付</v>
      </c>
      <c r="E1108" s="26" t="s">
        <v>106</v>
      </c>
      <c r="F1108" s="11" t="s">
        <v>127</v>
      </c>
      <c r="G1108" s="11" t="s">
        <v>343</v>
      </c>
      <c r="H1108" s="72">
        <v>420.49</v>
      </c>
      <c r="I1108" s="5" t="b">
        <f>AND(Jnl[[#This Row],[TrxId]]&lt;&gt;"",Jnl[[#This Row],[Acct]]&lt;&gt;"",Jnl[[#This Row],[Item]]&lt;&gt;"",ISNUMBER(Jnl[[#This Row],[Bal]]))</f>
        <v>1</v>
      </c>
      <c r="J1108" s="10">
        <f>IF(Jnl[[#This Row],[BSLv0]]="A",1,-1)*Jnl[[#This Row],[Bal]]</f>
        <v>-420.49</v>
      </c>
      <c r="K1108" t="str">
        <f>_xlfn.XLOOKUP(Jnl[[#This Row],[Acct]], config_BS[Acct], config_BS[Lv0],,0)</f>
        <v>LC</v>
      </c>
      <c r="L1108" t="str">
        <f>_xlfn.XLOOKUP(Jnl[[#This Row],[Acct]], config_BS[Acct], config_BS[Lv1],,0)</f>
        <v>Liability</v>
      </c>
      <c r="M1108" t="str">
        <f>_xlfn.XLOOKUP(Jnl[[#This Row],[Acct]], config_BS[Acct], config_BS[Lv2],,0)</f>
        <v>Rec-Pay</v>
      </c>
      <c r="N1108" t="str">
        <f>_xlfn.XLOOKUP(Jnl[[#This Row],[TrxId]], Trx[Id], Trx[IncNode], ,0)</f>
        <v>Expense</v>
      </c>
      <c r="O1108" t="str">
        <f>_xlfn.XLOOKUP(Jnl[[#This Row],[IncNode]], config_IS[Node], config_IS[Type],,0)</f>
        <v>Op</v>
      </c>
      <c r="P1108" t="str">
        <f>_xlfn.XLOOKUP(Jnl[[#This Row],[BSLv2]], dict[Key], dict[Name],,0)</f>
        <v>1.应收-应付</v>
      </c>
      <c r="Q1108" t="str">
        <f>_xlfn.XLOOKUP(Jnl[[#This Row],[Acct]], dict[Key], dict[Name],,0)</f>
        <v>应付-税款</v>
      </c>
      <c r="R1108" t="str">
        <f>_xlfn.XLOOKUP(Jnl[[#This Row],[Vehicle]],config_vehicle[Id], config_vehicle[Name],,0)</f>
        <v>远家花园高新分公司</v>
      </c>
      <c r="S1108" t="str">
        <f>_xlfn.XLOOKUP(Jnl[[#This Row],[Division]],config_div[Id], config_div[Name],,0)</f>
        <v>综合管理</v>
      </c>
      <c r="T1108" t="str">
        <f>IF(Jnl[[#This Row],[TrxDate]]&lt;=stmt_BS_date_end, "In", "Out")</f>
        <v>In</v>
      </c>
      <c r="U1108" t="str">
        <f>IF(Jnl[[#This Row],[TrxDate]]&lt;debug_date_start, "prior", IF(Jnl[[#This Row],[TrxDate]]&gt;debug_date_end, "post", "curr"))</f>
        <v>curr</v>
      </c>
    </row>
    <row r="1109" spans="1:21">
      <c r="A1109" s="11" t="s">
        <v>1556</v>
      </c>
      <c r="B1109" s="7">
        <f>_xlfn.XLOOKUP(Jnl[[#This Row],[TrxId]], Trx[Id], Trx[Date],,0)</f>
        <v>46081</v>
      </c>
      <c r="C1109" s="7" t="str">
        <f>_xlfn.XLOOKUP(Jnl[[#This Row],[TrxId]], Trx[Id], Trx[Division],,0)</f>
        <v>GM</v>
      </c>
      <c r="D1109" s="7" t="str">
        <f>_xlfn.XLOOKUP(Jnl[[#This Row],[TrxId]], Trx[Id], Trx[Action],,0)</f>
        <v>支付</v>
      </c>
      <c r="E1109" s="26" t="s">
        <v>106</v>
      </c>
      <c r="F1109" s="11" t="s">
        <v>595</v>
      </c>
      <c r="G1109" s="11" t="s">
        <v>344</v>
      </c>
      <c r="H1109" s="72">
        <v>-1474.3</v>
      </c>
      <c r="I1109" s="5" t="b">
        <f>AND(Jnl[[#This Row],[TrxId]]&lt;&gt;"",Jnl[[#This Row],[Acct]]&lt;&gt;"",Jnl[[#This Row],[Item]]&lt;&gt;"",ISNUMBER(Jnl[[#This Row],[Bal]]))</f>
        <v>1</v>
      </c>
      <c r="J1109" s="10">
        <f>IF(Jnl[[#This Row],[BSLv0]]="A",1,-1)*Jnl[[#This Row],[Bal]]</f>
        <v>-1474.3</v>
      </c>
      <c r="K1109" t="str">
        <f>_xlfn.XLOOKUP(Jnl[[#This Row],[Acct]], config_BS[Acct], config_BS[Lv0],,0)</f>
        <v>A</v>
      </c>
      <c r="L1109" t="str">
        <f>_xlfn.XLOOKUP(Jnl[[#This Row],[Acct]], config_BS[Acct], config_BS[Lv1],,0)</f>
        <v>Assets</v>
      </c>
      <c r="M1109" t="str">
        <f>_xlfn.XLOOKUP(Jnl[[#This Row],[Acct]], config_BS[Acct], config_BS[Lv2],,0)</f>
        <v>Rec-Pay</v>
      </c>
      <c r="N1109" t="str">
        <f>_xlfn.XLOOKUP(Jnl[[#This Row],[TrxId]], Trx[Id], Trx[IncNode], ,0)</f>
        <v>Expense</v>
      </c>
      <c r="O1109" t="str">
        <f>_xlfn.XLOOKUP(Jnl[[#This Row],[IncNode]], config_IS[Node], config_IS[Type],,0)</f>
        <v>Op</v>
      </c>
      <c r="P1109" t="str">
        <f>_xlfn.XLOOKUP(Jnl[[#This Row],[BSLv2]], dict[Key], dict[Name],,0)</f>
        <v>1.应收-应付</v>
      </c>
      <c r="Q1109" t="str">
        <f>_xlfn.XLOOKUP(Jnl[[#This Row],[Acct]], dict[Key], dict[Name],,0)</f>
        <v>应收-其他</v>
      </c>
      <c r="R1109" t="str">
        <f>_xlfn.XLOOKUP(Jnl[[#This Row],[Vehicle]],config_vehicle[Id], config_vehicle[Name],,0)</f>
        <v>远家花园高新分公司</v>
      </c>
      <c r="S1109" t="str">
        <f>_xlfn.XLOOKUP(Jnl[[#This Row],[Division]],config_div[Id], config_div[Name],,0)</f>
        <v>综合管理</v>
      </c>
      <c r="T1109" t="str">
        <f>IF(Jnl[[#This Row],[TrxDate]]&lt;=stmt_BS_date_end, "In", "Out")</f>
        <v>In</v>
      </c>
      <c r="U1109" t="str">
        <f>IF(Jnl[[#This Row],[TrxDate]]&lt;debug_date_start, "prior", IF(Jnl[[#This Row],[TrxDate]]&gt;debug_date_end, "post", "curr"))</f>
        <v>curr</v>
      </c>
    </row>
    <row r="1110" spans="1:21">
      <c r="A1110" s="11" t="s">
        <v>1557</v>
      </c>
      <c r="B1110" s="7">
        <f>_xlfn.XLOOKUP(Jnl[[#This Row],[TrxId]], Trx[Id], Trx[Date],,0)</f>
        <v>46081</v>
      </c>
      <c r="C1110" s="7" t="str">
        <f>_xlfn.XLOOKUP(Jnl[[#This Row],[TrxId]], Trx[Id], Trx[Division],,0)</f>
        <v>Shuijie</v>
      </c>
      <c r="D1110" s="7" t="str">
        <f>_xlfn.XLOOKUP(Jnl[[#This Row],[TrxId]], Trx[Id], Trx[Action],,0)</f>
        <v>支付</v>
      </c>
      <c r="E1110" s="26" t="s">
        <v>106</v>
      </c>
      <c r="F1110" s="11" t="s">
        <v>127</v>
      </c>
      <c r="G1110" s="11" t="s">
        <v>343</v>
      </c>
      <c r="H1110" s="72">
        <v>-13578.82</v>
      </c>
      <c r="I1110" s="5" t="b">
        <f>AND(Jnl[[#This Row],[TrxId]]&lt;&gt;"",Jnl[[#This Row],[Acct]]&lt;&gt;"",Jnl[[#This Row],[Item]]&lt;&gt;"",ISNUMBER(Jnl[[#This Row],[Bal]]))</f>
        <v>1</v>
      </c>
      <c r="J1110" s="10">
        <f>IF(Jnl[[#This Row],[BSLv0]]="A",1,-1)*Jnl[[#This Row],[Bal]]</f>
        <v>13578.82</v>
      </c>
      <c r="K1110" t="str">
        <f>_xlfn.XLOOKUP(Jnl[[#This Row],[Acct]], config_BS[Acct], config_BS[Lv0],,0)</f>
        <v>LC</v>
      </c>
      <c r="L1110" t="str">
        <f>_xlfn.XLOOKUP(Jnl[[#This Row],[Acct]], config_BS[Acct], config_BS[Lv1],,0)</f>
        <v>Liability</v>
      </c>
      <c r="M1110" t="str">
        <f>_xlfn.XLOOKUP(Jnl[[#This Row],[Acct]], config_BS[Acct], config_BS[Lv2],,0)</f>
        <v>Rec-Pay</v>
      </c>
      <c r="N1110" t="str">
        <f>_xlfn.XLOOKUP(Jnl[[#This Row],[TrxId]], Trx[Id], Trx[IncNode], ,0)</f>
        <v>Expense</v>
      </c>
      <c r="O1110" t="str">
        <f>_xlfn.XLOOKUP(Jnl[[#This Row],[IncNode]], config_IS[Node], config_IS[Type],,0)</f>
        <v>Op</v>
      </c>
      <c r="P1110" t="str">
        <f>_xlfn.XLOOKUP(Jnl[[#This Row],[BSLv2]], dict[Key], dict[Name],,0)</f>
        <v>1.应收-应付</v>
      </c>
      <c r="Q1110" t="str">
        <f>_xlfn.XLOOKUP(Jnl[[#This Row],[Acct]], dict[Key], dict[Name],,0)</f>
        <v>应付-税款</v>
      </c>
      <c r="R1110" t="str">
        <f>_xlfn.XLOOKUP(Jnl[[#This Row],[Vehicle]],config_vehicle[Id], config_vehicle[Name],,0)</f>
        <v>远家花园高新分公司</v>
      </c>
      <c r="S1110" t="str">
        <f>_xlfn.XLOOKUP(Jnl[[#This Row],[Division]],config_div[Id], config_div[Name],,0)</f>
        <v>水街店</v>
      </c>
      <c r="T1110" t="str">
        <f>IF(Jnl[[#This Row],[TrxDate]]&lt;=stmt_BS_date_end, "In", "Out")</f>
        <v>In</v>
      </c>
      <c r="U1110" t="str">
        <f>IF(Jnl[[#This Row],[TrxDate]]&lt;debug_date_start, "prior", IF(Jnl[[#This Row],[TrxDate]]&gt;debug_date_end, "post", "curr"))</f>
        <v>curr</v>
      </c>
    </row>
    <row r="1111" spans="1:21">
      <c r="A1111" s="11" t="s">
        <v>1557</v>
      </c>
      <c r="B1111" s="7">
        <f>_xlfn.XLOOKUP(Jnl[[#This Row],[TrxId]], Trx[Id], Trx[Date],,0)</f>
        <v>46081</v>
      </c>
      <c r="C1111" s="7" t="str">
        <f>_xlfn.XLOOKUP(Jnl[[#This Row],[TrxId]], Trx[Id], Trx[Division],,0)</f>
        <v>Shuijie</v>
      </c>
      <c r="D1111" s="7" t="str">
        <f>_xlfn.XLOOKUP(Jnl[[#This Row],[TrxId]], Trx[Id], Trx[Action],,0)</f>
        <v>支付</v>
      </c>
      <c r="E1111" s="26" t="s">
        <v>106</v>
      </c>
      <c r="F1111" s="11" t="s">
        <v>590</v>
      </c>
      <c r="G1111" s="11" t="s">
        <v>687</v>
      </c>
      <c r="H1111" s="72">
        <v>-13578.82</v>
      </c>
      <c r="I1111" s="5" t="b">
        <f>AND(Jnl[[#This Row],[TrxId]]&lt;&gt;"",Jnl[[#This Row],[Acct]]&lt;&gt;"",Jnl[[#This Row],[Item]]&lt;&gt;"",ISNUMBER(Jnl[[#This Row],[Bal]]))</f>
        <v>1</v>
      </c>
      <c r="J1111" s="10">
        <f>IF(Jnl[[#This Row],[BSLv0]]="A",1,-1)*Jnl[[#This Row],[Bal]]</f>
        <v>-13578.82</v>
      </c>
      <c r="K1111" t="str">
        <f>_xlfn.XLOOKUP(Jnl[[#This Row],[Acct]], config_BS[Acct], config_BS[Lv0],,0)</f>
        <v>A</v>
      </c>
      <c r="L1111" t="str">
        <f>_xlfn.XLOOKUP(Jnl[[#This Row],[Acct]], config_BS[Acct], config_BS[Lv1],,0)</f>
        <v>Assets</v>
      </c>
      <c r="M1111" t="str">
        <f>_xlfn.XLOOKUP(Jnl[[#This Row],[Acct]], config_BS[Acct], config_BS[Lv2],,0)</f>
        <v>Cash alike</v>
      </c>
      <c r="N1111" t="str">
        <f>_xlfn.XLOOKUP(Jnl[[#This Row],[TrxId]], Trx[Id], Trx[IncNode], ,0)</f>
        <v>Expense</v>
      </c>
      <c r="O1111" t="str">
        <f>_xlfn.XLOOKUP(Jnl[[#This Row],[IncNode]], config_IS[Node], config_IS[Type],,0)</f>
        <v>Op</v>
      </c>
      <c r="P1111" t="str">
        <f>_xlfn.XLOOKUP(Jnl[[#This Row],[BSLv2]], dict[Key], dict[Name],,0)</f>
        <v>0.现金及类似</v>
      </c>
      <c r="Q1111" t="str">
        <f>_xlfn.XLOOKUP(Jnl[[#This Row],[Acct]], dict[Key], dict[Name],,0)</f>
        <v>银行</v>
      </c>
      <c r="R1111" t="str">
        <f>_xlfn.XLOOKUP(Jnl[[#This Row],[Vehicle]],config_vehicle[Id], config_vehicle[Name],,0)</f>
        <v>远家花园高新分公司</v>
      </c>
      <c r="S1111" t="str">
        <f>_xlfn.XLOOKUP(Jnl[[#This Row],[Division]],config_div[Id], config_div[Name],,0)</f>
        <v>水街店</v>
      </c>
      <c r="T1111" t="str">
        <f>IF(Jnl[[#This Row],[TrxDate]]&lt;=stmt_BS_date_end, "In", "Out")</f>
        <v>In</v>
      </c>
      <c r="U1111" t="str">
        <f>IF(Jnl[[#This Row],[TrxDate]]&lt;debug_date_start, "prior", IF(Jnl[[#This Row],[TrxDate]]&gt;debug_date_end, "post", "curr"))</f>
        <v>curr</v>
      </c>
    </row>
    <row r="1112" spans="1:21">
      <c r="A1112" s="11" t="s">
        <v>1558</v>
      </c>
      <c r="B1112" s="7">
        <f>_xlfn.XLOOKUP(Jnl[[#This Row],[TrxId]], Trx[Id], Trx[Date],,0)</f>
        <v>46081</v>
      </c>
      <c r="C1112" s="7" t="str">
        <f>_xlfn.XLOOKUP(Jnl[[#This Row],[TrxId]], Trx[Id], Trx[Division],,0)</f>
        <v>Ctrl</v>
      </c>
      <c r="D1112" s="7" t="str">
        <f>_xlfn.XLOOKUP(Jnl[[#This Row],[TrxId]], Trx[Id], Trx[Action],,0)</f>
        <v>过账</v>
      </c>
      <c r="E1112" s="26" t="s">
        <v>106</v>
      </c>
      <c r="F1112" s="11" t="s">
        <v>590</v>
      </c>
      <c r="G1112" s="11" t="s">
        <v>687</v>
      </c>
      <c r="H1112" s="72">
        <v>10000</v>
      </c>
      <c r="I1112" s="5" t="b">
        <f>AND(Jnl[[#This Row],[TrxId]]&lt;&gt;"",Jnl[[#This Row],[Acct]]&lt;&gt;"",Jnl[[#This Row],[Item]]&lt;&gt;"",ISNUMBER(Jnl[[#This Row],[Bal]]))</f>
        <v>1</v>
      </c>
      <c r="J1112" s="10">
        <f>IF(Jnl[[#This Row],[BSLv0]]="A",1,-1)*Jnl[[#This Row],[Bal]]</f>
        <v>10000</v>
      </c>
      <c r="K1112" t="str">
        <f>_xlfn.XLOOKUP(Jnl[[#This Row],[Acct]], config_BS[Acct], config_BS[Lv0],,0)</f>
        <v>A</v>
      </c>
      <c r="L1112" t="str">
        <f>_xlfn.XLOOKUP(Jnl[[#This Row],[Acct]], config_BS[Acct], config_BS[Lv1],,0)</f>
        <v>Assets</v>
      </c>
      <c r="M1112" t="str">
        <f>_xlfn.XLOOKUP(Jnl[[#This Row],[Acct]], config_BS[Acct], config_BS[Lv2],,0)</f>
        <v>Cash alike</v>
      </c>
      <c r="N1112" t="str">
        <f>_xlfn.XLOOKUP(Jnl[[#This Row],[TrxId]], Trx[Id], Trx[IncNode], ,0)</f>
        <v>Other</v>
      </c>
      <c r="O1112" t="str">
        <f>_xlfn.XLOOKUP(Jnl[[#This Row],[IncNode]], config_IS[Node], config_IS[Type],,0)</f>
        <v>Non-Op</v>
      </c>
      <c r="P1112" t="str">
        <f>_xlfn.XLOOKUP(Jnl[[#This Row],[BSLv2]], dict[Key], dict[Name],,0)</f>
        <v>0.现金及类似</v>
      </c>
      <c r="Q1112" t="str">
        <f>_xlfn.XLOOKUP(Jnl[[#This Row],[Acct]], dict[Key], dict[Name],,0)</f>
        <v>银行</v>
      </c>
      <c r="R1112" t="str">
        <f>_xlfn.XLOOKUP(Jnl[[#This Row],[Vehicle]],config_vehicle[Id], config_vehicle[Name],,0)</f>
        <v>远家花园高新分公司</v>
      </c>
      <c r="S1112" t="str">
        <f>_xlfn.XLOOKUP(Jnl[[#This Row],[Division]],config_div[Id], config_div[Name],,0)</f>
        <v>内控合规</v>
      </c>
      <c r="T1112" t="str">
        <f>IF(Jnl[[#This Row],[TrxDate]]&lt;=stmt_BS_date_end, "In", "Out")</f>
        <v>In</v>
      </c>
      <c r="U1112" t="str">
        <f>IF(Jnl[[#This Row],[TrxDate]]&lt;debug_date_start, "prior", IF(Jnl[[#This Row],[TrxDate]]&gt;debug_date_end, "post", "curr"))</f>
        <v>curr</v>
      </c>
    </row>
    <row r="1113" spans="1:21">
      <c r="A1113" s="11" t="s">
        <v>1558</v>
      </c>
      <c r="B1113" s="7">
        <f>_xlfn.XLOOKUP(Jnl[[#This Row],[TrxId]], Trx[Id], Trx[Date],,0)</f>
        <v>46081</v>
      </c>
      <c r="C1113" s="7" t="str">
        <f>_xlfn.XLOOKUP(Jnl[[#This Row],[TrxId]], Trx[Id], Trx[Division],,0)</f>
        <v>Ctrl</v>
      </c>
      <c r="D1113" s="7" t="str">
        <f>_xlfn.XLOOKUP(Jnl[[#This Row],[TrxId]], Trx[Id], Trx[Action],,0)</f>
        <v>过账</v>
      </c>
      <c r="E1113" s="26" t="s">
        <v>80</v>
      </c>
      <c r="F1113" s="11" t="s">
        <v>590</v>
      </c>
      <c r="G1113" s="11" t="s">
        <v>391</v>
      </c>
      <c r="H1113" s="72">
        <f>-H1112</f>
        <v>-10000</v>
      </c>
      <c r="I1113" s="5" t="b">
        <f>AND(Jnl[[#This Row],[TrxId]]&lt;&gt;"",Jnl[[#This Row],[Acct]]&lt;&gt;"",Jnl[[#This Row],[Item]]&lt;&gt;"",ISNUMBER(Jnl[[#This Row],[Bal]]))</f>
        <v>1</v>
      </c>
      <c r="J1113" s="10">
        <f>IF(Jnl[[#This Row],[BSLv0]]="A",1,-1)*Jnl[[#This Row],[Bal]]</f>
        <v>-10000</v>
      </c>
      <c r="K1113" t="str">
        <f>_xlfn.XLOOKUP(Jnl[[#This Row],[Acct]], config_BS[Acct], config_BS[Lv0],,0)</f>
        <v>A</v>
      </c>
      <c r="L1113" t="str">
        <f>_xlfn.XLOOKUP(Jnl[[#This Row],[Acct]], config_BS[Acct], config_BS[Lv1],,0)</f>
        <v>Assets</v>
      </c>
      <c r="M1113" t="str">
        <f>_xlfn.XLOOKUP(Jnl[[#This Row],[Acct]], config_BS[Acct], config_BS[Lv2],,0)</f>
        <v>Cash alike</v>
      </c>
      <c r="N1113" t="str">
        <f>_xlfn.XLOOKUP(Jnl[[#This Row],[TrxId]], Trx[Id], Trx[IncNode], ,0)</f>
        <v>Other</v>
      </c>
      <c r="O1113" t="str">
        <f>_xlfn.XLOOKUP(Jnl[[#This Row],[IncNode]], config_IS[Node], config_IS[Type],,0)</f>
        <v>Non-Op</v>
      </c>
      <c r="P1113" t="str">
        <f>_xlfn.XLOOKUP(Jnl[[#This Row],[BSLv2]], dict[Key], dict[Name],,0)</f>
        <v>0.现金及类似</v>
      </c>
      <c r="Q1113" t="str">
        <f>_xlfn.XLOOKUP(Jnl[[#This Row],[Acct]], dict[Key], dict[Name],,0)</f>
        <v>银行</v>
      </c>
      <c r="R1113" t="str">
        <f>_xlfn.XLOOKUP(Jnl[[#This Row],[Vehicle]],config_vehicle[Id], config_vehicle[Name],,0)</f>
        <v>远家花园</v>
      </c>
      <c r="S1113" t="str">
        <f>_xlfn.XLOOKUP(Jnl[[#This Row],[Division]],config_div[Id], config_div[Name],,0)</f>
        <v>内控合规</v>
      </c>
      <c r="T1113" t="str">
        <f>IF(Jnl[[#This Row],[TrxDate]]&lt;=stmt_BS_date_end, "In", "Out")</f>
        <v>In</v>
      </c>
      <c r="U1113" t="str">
        <f>IF(Jnl[[#This Row],[TrxDate]]&lt;debug_date_start, "prior", IF(Jnl[[#This Row],[TrxDate]]&gt;debug_date_end, "post", "curr"))</f>
        <v>curr</v>
      </c>
    </row>
    <row r="1114" spans="1:21">
      <c r="A1114" s="11" t="s">
        <v>1560</v>
      </c>
      <c r="B1114" s="7">
        <f>_xlfn.XLOOKUP(Jnl[[#This Row],[TrxId]], Trx[Id], Trx[Date],,0)</f>
        <v>46081</v>
      </c>
      <c r="C1114" s="7" t="str">
        <f>_xlfn.XLOOKUP(Jnl[[#This Row],[TrxId]], Trx[Id], Trx[Division],,0)</f>
        <v>Shuijie</v>
      </c>
      <c r="D1114" s="7" t="str">
        <f>_xlfn.XLOOKUP(Jnl[[#This Row],[TrxId]], Trx[Id], Trx[Action],,0)</f>
        <v>收款</v>
      </c>
      <c r="E1114" s="26" t="s">
        <v>106</v>
      </c>
      <c r="F1114" s="11" t="s">
        <v>590</v>
      </c>
      <c r="G1114" s="11" t="s">
        <v>687</v>
      </c>
      <c r="H1114" s="72">
        <v>44701.51</v>
      </c>
      <c r="I1114" s="5" t="b">
        <f>AND(Jnl[[#This Row],[TrxId]]&lt;&gt;"",Jnl[[#This Row],[Acct]]&lt;&gt;"",Jnl[[#This Row],[Item]]&lt;&gt;"",ISNUMBER(Jnl[[#This Row],[Bal]]))</f>
        <v>1</v>
      </c>
      <c r="J1114" s="10">
        <f>IF(Jnl[[#This Row],[BSLv0]]="A",1,-1)*Jnl[[#This Row],[Bal]]</f>
        <v>44701.51</v>
      </c>
      <c r="K1114" t="str">
        <f>_xlfn.XLOOKUP(Jnl[[#This Row],[Acct]], config_BS[Acct], config_BS[Lv0],,0)</f>
        <v>A</v>
      </c>
      <c r="L1114" t="str">
        <f>_xlfn.XLOOKUP(Jnl[[#This Row],[Acct]], config_BS[Acct], config_BS[Lv1],,0)</f>
        <v>Assets</v>
      </c>
      <c r="M1114" t="str">
        <f>_xlfn.XLOOKUP(Jnl[[#This Row],[Acct]], config_BS[Acct], config_BS[Lv2],,0)</f>
        <v>Cash alike</v>
      </c>
      <c r="N1114" t="str">
        <f>_xlfn.XLOOKUP(Jnl[[#This Row],[TrxId]], Trx[Id], Trx[IncNode], ,0)</f>
        <v>Revenue</v>
      </c>
      <c r="O1114" t="str">
        <f>_xlfn.XLOOKUP(Jnl[[#This Row],[IncNode]], config_IS[Node], config_IS[Type],,0)</f>
        <v>Op</v>
      </c>
      <c r="P1114" t="str">
        <f>_xlfn.XLOOKUP(Jnl[[#This Row],[BSLv2]], dict[Key], dict[Name],,0)</f>
        <v>0.现金及类似</v>
      </c>
      <c r="Q1114" t="str">
        <f>_xlfn.XLOOKUP(Jnl[[#This Row],[Acct]], dict[Key], dict[Name],,0)</f>
        <v>银行</v>
      </c>
      <c r="R1114" t="str">
        <f>_xlfn.XLOOKUP(Jnl[[#This Row],[Vehicle]],config_vehicle[Id], config_vehicle[Name],,0)</f>
        <v>远家花园高新分公司</v>
      </c>
      <c r="S1114" t="str">
        <f>_xlfn.XLOOKUP(Jnl[[#This Row],[Division]],config_div[Id], config_div[Name],,0)</f>
        <v>水街店</v>
      </c>
      <c r="T1114" t="str">
        <f>IF(Jnl[[#This Row],[TrxDate]]&lt;=stmt_BS_date_end, "In", "Out")</f>
        <v>In</v>
      </c>
      <c r="U1114" t="str">
        <f>IF(Jnl[[#This Row],[TrxDate]]&lt;debug_date_start, "prior", IF(Jnl[[#This Row],[TrxDate]]&gt;debug_date_end, "post", "curr"))</f>
        <v>curr</v>
      </c>
    </row>
    <row r="1115" spans="1:21">
      <c r="A1115" s="11" t="s">
        <v>1560</v>
      </c>
      <c r="B1115" s="7">
        <f>_xlfn.XLOOKUP(Jnl[[#This Row],[TrxId]], Trx[Id], Trx[Date],,0)</f>
        <v>46081</v>
      </c>
      <c r="C1115" s="7" t="str">
        <f>_xlfn.XLOOKUP(Jnl[[#This Row],[TrxId]], Trx[Id], Trx[Division],,0)</f>
        <v>Shuijie</v>
      </c>
      <c r="D1115" s="7" t="str">
        <f>_xlfn.XLOOKUP(Jnl[[#This Row],[TrxId]], Trx[Id], Trx[Action],,0)</f>
        <v>收款</v>
      </c>
      <c r="E1115" s="26" t="s">
        <v>106</v>
      </c>
      <c r="F1115" s="11" t="s">
        <v>593</v>
      </c>
      <c r="G1115" s="11" t="s">
        <v>594</v>
      </c>
      <c r="H1115" s="72">
        <v>-44701.51</v>
      </c>
      <c r="I1115" s="5" t="b">
        <f>AND(Jnl[[#This Row],[TrxId]]&lt;&gt;"",Jnl[[#This Row],[Acct]]&lt;&gt;"",Jnl[[#This Row],[Item]]&lt;&gt;"",ISNUMBER(Jnl[[#This Row],[Bal]]))</f>
        <v>1</v>
      </c>
      <c r="J1115" s="10">
        <f>IF(Jnl[[#This Row],[BSLv0]]="A",1,-1)*Jnl[[#This Row],[Bal]]</f>
        <v>-44701.51</v>
      </c>
      <c r="K1115" t="str">
        <f>_xlfn.XLOOKUP(Jnl[[#This Row],[Acct]], config_BS[Acct], config_BS[Lv0],,0)</f>
        <v>A</v>
      </c>
      <c r="L1115" t="str">
        <f>_xlfn.XLOOKUP(Jnl[[#This Row],[Acct]], config_BS[Acct], config_BS[Lv1],,0)</f>
        <v>Assets</v>
      </c>
      <c r="M1115" t="str">
        <f>_xlfn.XLOOKUP(Jnl[[#This Row],[Acct]], config_BS[Acct], config_BS[Lv2],,0)</f>
        <v>Rec-Pay</v>
      </c>
      <c r="N1115" t="str">
        <f>_xlfn.XLOOKUP(Jnl[[#This Row],[TrxId]], Trx[Id], Trx[IncNode], ,0)</f>
        <v>Revenue</v>
      </c>
      <c r="O1115" t="str">
        <f>_xlfn.XLOOKUP(Jnl[[#This Row],[IncNode]], config_IS[Node], config_IS[Type],,0)</f>
        <v>Op</v>
      </c>
      <c r="P1115" t="str">
        <f>_xlfn.XLOOKUP(Jnl[[#This Row],[BSLv2]], dict[Key], dict[Name],,0)</f>
        <v>1.应收-应付</v>
      </c>
      <c r="Q1115" t="str">
        <f>_xlfn.XLOOKUP(Jnl[[#This Row],[Acct]], dict[Key], dict[Name],,0)</f>
        <v>应收-一般</v>
      </c>
      <c r="R1115" t="str">
        <f>_xlfn.XLOOKUP(Jnl[[#This Row],[Vehicle]],config_vehicle[Id], config_vehicle[Name],,0)</f>
        <v>远家花园高新分公司</v>
      </c>
      <c r="S1115" t="str">
        <f>_xlfn.XLOOKUP(Jnl[[#This Row],[Division]],config_div[Id], config_div[Name],,0)</f>
        <v>水街店</v>
      </c>
      <c r="T1115" t="str">
        <f>IF(Jnl[[#This Row],[TrxDate]]&lt;=stmt_BS_date_end, "In", "Out")</f>
        <v>In</v>
      </c>
      <c r="U1115" t="str">
        <f>IF(Jnl[[#This Row],[TrxDate]]&lt;debug_date_start, "prior", IF(Jnl[[#This Row],[TrxDate]]&gt;debug_date_end, "post", "curr"))</f>
        <v>curr</v>
      </c>
    </row>
    <row r="1116" spans="1:21">
      <c r="A1116" s="11" t="s">
        <v>1561</v>
      </c>
      <c r="B1116" s="7">
        <f>_xlfn.XLOOKUP(Jnl[[#This Row],[TrxId]], Trx[Id], Trx[Date],,0)</f>
        <v>46081</v>
      </c>
      <c r="C1116" s="7" t="str">
        <f>_xlfn.XLOOKUP(Jnl[[#This Row],[TrxId]], Trx[Id], Trx[Division],,0)</f>
        <v>Shuijie</v>
      </c>
      <c r="D1116" s="7" t="str">
        <f>_xlfn.XLOOKUP(Jnl[[#This Row],[TrxId]], Trx[Id], Trx[Action],,0)</f>
        <v>支付</v>
      </c>
      <c r="E1116" s="26" t="s">
        <v>106</v>
      </c>
      <c r="F1116" s="11" t="s">
        <v>590</v>
      </c>
      <c r="G1116" s="11" t="s">
        <v>687</v>
      </c>
      <c r="H1116" s="72">
        <f>-127758.33+90000</f>
        <v>-37758.33</v>
      </c>
      <c r="I1116" s="5" t="b">
        <f>AND(Jnl[[#This Row],[TrxId]]&lt;&gt;"",Jnl[[#This Row],[Acct]]&lt;&gt;"",Jnl[[#This Row],[Item]]&lt;&gt;"",ISNUMBER(Jnl[[#This Row],[Bal]]))</f>
        <v>1</v>
      </c>
      <c r="J1116" s="10">
        <f>IF(Jnl[[#This Row],[BSLv0]]="A",1,-1)*Jnl[[#This Row],[Bal]]</f>
        <v>-37758.33</v>
      </c>
      <c r="K1116" t="str">
        <f>_xlfn.XLOOKUP(Jnl[[#This Row],[Acct]], config_BS[Acct], config_BS[Lv0],,0)</f>
        <v>A</v>
      </c>
      <c r="L1116" t="str">
        <f>_xlfn.XLOOKUP(Jnl[[#This Row],[Acct]], config_BS[Acct], config_BS[Lv1],,0)</f>
        <v>Assets</v>
      </c>
      <c r="M1116" t="str">
        <f>_xlfn.XLOOKUP(Jnl[[#This Row],[Acct]], config_BS[Acct], config_BS[Lv2],,0)</f>
        <v>Cash alike</v>
      </c>
      <c r="N1116" t="str">
        <f>_xlfn.XLOOKUP(Jnl[[#This Row],[TrxId]], Trx[Id], Trx[IncNode], ,0)</f>
        <v>Expense</v>
      </c>
      <c r="O1116" t="str">
        <f>_xlfn.XLOOKUP(Jnl[[#This Row],[IncNode]], config_IS[Node], config_IS[Type],,0)</f>
        <v>Op</v>
      </c>
      <c r="P1116" t="str">
        <f>_xlfn.XLOOKUP(Jnl[[#This Row],[BSLv2]], dict[Key], dict[Name],,0)</f>
        <v>0.现金及类似</v>
      </c>
      <c r="Q1116" t="str">
        <f>_xlfn.XLOOKUP(Jnl[[#This Row],[Acct]], dict[Key], dict[Name],,0)</f>
        <v>银行</v>
      </c>
      <c r="R1116" t="str">
        <f>_xlfn.XLOOKUP(Jnl[[#This Row],[Vehicle]],config_vehicle[Id], config_vehicle[Name],,0)</f>
        <v>远家花园高新分公司</v>
      </c>
      <c r="S1116" t="str">
        <f>_xlfn.XLOOKUP(Jnl[[#This Row],[Division]],config_div[Id], config_div[Name],,0)</f>
        <v>水街店</v>
      </c>
      <c r="T1116" t="str">
        <f>IF(Jnl[[#This Row],[TrxDate]]&lt;=stmt_BS_date_end, "In", "Out")</f>
        <v>In</v>
      </c>
      <c r="U1116" t="str">
        <f>IF(Jnl[[#This Row],[TrxDate]]&lt;debug_date_start, "prior", IF(Jnl[[#This Row],[TrxDate]]&gt;debug_date_end, "post", "curr"))</f>
        <v>curr</v>
      </c>
    </row>
    <row r="1117" spans="1:21">
      <c r="A1117" s="11" t="s">
        <v>1561</v>
      </c>
      <c r="B1117" s="7">
        <f>_xlfn.XLOOKUP(Jnl[[#This Row],[TrxId]], Trx[Id], Trx[Date],,0)</f>
        <v>46081</v>
      </c>
      <c r="C1117" s="7" t="str">
        <f>_xlfn.XLOOKUP(Jnl[[#This Row],[TrxId]], Trx[Id], Trx[Division],,0)</f>
        <v>Shuijie</v>
      </c>
      <c r="D1117" s="7" t="str">
        <f>_xlfn.XLOOKUP(Jnl[[#This Row],[TrxId]], Trx[Id], Trx[Action],,0)</f>
        <v>支付</v>
      </c>
      <c r="E1117" s="26" t="s">
        <v>106</v>
      </c>
      <c r="F1117" s="11" t="s">
        <v>596</v>
      </c>
      <c r="G1117" s="11" t="s">
        <v>318</v>
      </c>
      <c r="H1117" s="72">
        <f>-140916.66+90000</f>
        <v>-50916.66</v>
      </c>
      <c r="I1117" s="5" t="b">
        <f>AND(Jnl[[#This Row],[TrxId]]&lt;&gt;"",Jnl[[#This Row],[Acct]]&lt;&gt;"",Jnl[[#This Row],[Item]]&lt;&gt;"",ISNUMBER(Jnl[[#This Row],[Bal]]))</f>
        <v>1</v>
      </c>
      <c r="J1117" s="10">
        <f>IF(Jnl[[#This Row],[BSLv0]]="A",1,-1)*Jnl[[#This Row],[Bal]]</f>
        <v>50916.66</v>
      </c>
      <c r="K1117" t="str">
        <f>_xlfn.XLOOKUP(Jnl[[#This Row],[Acct]], config_BS[Acct], config_BS[Lv0],,0)</f>
        <v>LC</v>
      </c>
      <c r="L1117" t="str">
        <f>_xlfn.XLOOKUP(Jnl[[#This Row],[Acct]], config_BS[Acct], config_BS[Lv1],,0)</f>
        <v>Liability</v>
      </c>
      <c r="M1117" t="str">
        <f>_xlfn.XLOOKUP(Jnl[[#This Row],[Acct]], config_BS[Acct], config_BS[Lv2],,0)</f>
        <v>Rec-Pay</v>
      </c>
      <c r="N1117" t="str">
        <f>_xlfn.XLOOKUP(Jnl[[#This Row],[TrxId]], Trx[Id], Trx[IncNode], ,0)</f>
        <v>Expense</v>
      </c>
      <c r="O1117" t="str">
        <f>_xlfn.XLOOKUP(Jnl[[#This Row],[IncNode]], config_IS[Node], config_IS[Type],,0)</f>
        <v>Op</v>
      </c>
      <c r="P1117" t="str">
        <f>_xlfn.XLOOKUP(Jnl[[#This Row],[BSLv2]], dict[Key], dict[Name],,0)</f>
        <v>1.应收-应付</v>
      </c>
      <c r="Q1117" t="str">
        <f>_xlfn.XLOOKUP(Jnl[[#This Row],[Acct]], dict[Key], dict[Name],,0)</f>
        <v>应付-薪资</v>
      </c>
      <c r="R1117" t="str">
        <f>_xlfn.XLOOKUP(Jnl[[#This Row],[Vehicle]],config_vehicle[Id], config_vehicle[Name],,0)</f>
        <v>远家花园高新分公司</v>
      </c>
      <c r="S1117" t="str">
        <f>_xlfn.XLOOKUP(Jnl[[#This Row],[Division]],config_div[Id], config_div[Name],,0)</f>
        <v>水街店</v>
      </c>
      <c r="T1117" t="str">
        <f>IF(Jnl[[#This Row],[TrxDate]]&lt;=stmt_BS_date_end, "In", "Out")</f>
        <v>In</v>
      </c>
      <c r="U1117" t="str">
        <f>IF(Jnl[[#This Row],[TrxDate]]&lt;debug_date_start, "prior", IF(Jnl[[#This Row],[TrxDate]]&gt;debug_date_end, "post", "curr"))</f>
        <v>curr</v>
      </c>
    </row>
    <row r="1118" spans="1:21">
      <c r="A1118" s="11" t="s">
        <v>1561</v>
      </c>
      <c r="B1118" s="7">
        <f>_xlfn.XLOOKUP(Jnl[[#This Row],[TrxId]], Trx[Id], Trx[Date],,0)</f>
        <v>46081</v>
      </c>
      <c r="C1118" s="7" t="str">
        <f>_xlfn.XLOOKUP(Jnl[[#This Row],[TrxId]], Trx[Id], Trx[Division],,0)</f>
        <v>Shuijie</v>
      </c>
      <c r="D1118" s="7" t="str">
        <f>_xlfn.XLOOKUP(Jnl[[#This Row],[TrxId]], Trx[Id], Trx[Action],,0)</f>
        <v>支付</v>
      </c>
      <c r="E1118" s="26" t="s">
        <v>106</v>
      </c>
      <c r="F1118" s="11" t="s">
        <v>127</v>
      </c>
      <c r="G1118" s="11" t="s">
        <v>343</v>
      </c>
      <c r="H1118" s="72">
        <v>13158.33</v>
      </c>
      <c r="I1118" s="5" t="b">
        <f>AND(Jnl[[#This Row],[TrxId]]&lt;&gt;"",Jnl[[#This Row],[Acct]]&lt;&gt;"",Jnl[[#This Row],[Item]]&lt;&gt;"",ISNUMBER(Jnl[[#This Row],[Bal]]))</f>
        <v>1</v>
      </c>
      <c r="J1118" s="10">
        <f>IF(Jnl[[#This Row],[BSLv0]]="A",1,-1)*Jnl[[#This Row],[Bal]]</f>
        <v>-13158.33</v>
      </c>
      <c r="K1118" t="str">
        <f>_xlfn.XLOOKUP(Jnl[[#This Row],[Acct]], config_BS[Acct], config_BS[Lv0],,0)</f>
        <v>LC</v>
      </c>
      <c r="L1118" t="str">
        <f>_xlfn.XLOOKUP(Jnl[[#This Row],[Acct]], config_BS[Acct], config_BS[Lv1],,0)</f>
        <v>Liability</v>
      </c>
      <c r="M1118" t="str">
        <f>_xlfn.XLOOKUP(Jnl[[#This Row],[Acct]], config_BS[Acct], config_BS[Lv2],,0)</f>
        <v>Rec-Pay</v>
      </c>
      <c r="N1118" t="str">
        <f>_xlfn.XLOOKUP(Jnl[[#This Row],[TrxId]], Trx[Id], Trx[IncNode], ,0)</f>
        <v>Expense</v>
      </c>
      <c r="O1118" t="str">
        <f>_xlfn.XLOOKUP(Jnl[[#This Row],[IncNode]], config_IS[Node], config_IS[Type],,0)</f>
        <v>Op</v>
      </c>
      <c r="P1118" t="str">
        <f>_xlfn.XLOOKUP(Jnl[[#This Row],[BSLv2]], dict[Key], dict[Name],,0)</f>
        <v>1.应收-应付</v>
      </c>
      <c r="Q1118" t="str">
        <f>_xlfn.XLOOKUP(Jnl[[#This Row],[Acct]], dict[Key], dict[Name],,0)</f>
        <v>应付-税款</v>
      </c>
      <c r="R1118" t="str">
        <f>_xlfn.XLOOKUP(Jnl[[#This Row],[Vehicle]],config_vehicle[Id], config_vehicle[Name],,0)</f>
        <v>远家花园高新分公司</v>
      </c>
      <c r="S1118" t="str">
        <f>_xlfn.XLOOKUP(Jnl[[#This Row],[Division]],config_div[Id], config_div[Name],,0)</f>
        <v>水街店</v>
      </c>
      <c r="T1118" t="str">
        <f>IF(Jnl[[#This Row],[TrxDate]]&lt;=stmt_BS_date_end, "In", "Out")</f>
        <v>In</v>
      </c>
      <c r="U1118" t="str">
        <f>IF(Jnl[[#This Row],[TrxDate]]&lt;debug_date_start, "prior", IF(Jnl[[#This Row],[TrxDate]]&gt;debug_date_end, "post", "curr"))</f>
        <v>curr</v>
      </c>
    </row>
    <row r="1119" spans="1:21">
      <c r="A1119" s="11" t="s">
        <v>1562</v>
      </c>
      <c r="B1119" s="7">
        <f>_xlfn.XLOOKUP(Jnl[[#This Row],[TrxId]], Trx[Id], Trx[Date],,0)</f>
        <v>46081</v>
      </c>
      <c r="C1119" s="7" t="str">
        <f>_xlfn.XLOOKUP(Jnl[[#This Row],[TrxId]], Trx[Id], Trx[Division],,0)</f>
        <v>GM</v>
      </c>
      <c r="D1119" s="7" t="str">
        <f>_xlfn.XLOOKUP(Jnl[[#This Row],[TrxId]], Trx[Id], Trx[Action],,0)</f>
        <v>分红</v>
      </c>
      <c r="E1119" s="26" t="s">
        <v>106</v>
      </c>
      <c r="F1119" s="11" t="s">
        <v>590</v>
      </c>
      <c r="G1119" s="11" t="s">
        <v>687</v>
      </c>
      <c r="H1119" s="72">
        <v>-90000</v>
      </c>
      <c r="I1119" s="5" t="b">
        <f>AND(Jnl[[#This Row],[TrxId]]&lt;&gt;"",Jnl[[#This Row],[Acct]]&lt;&gt;"",Jnl[[#This Row],[Item]]&lt;&gt;"",ISNUMBER(Jnl[[#This Row],[Bal]]))</f>
        <v>1</v>
      </c>
      <c r="J1119" s="10">
        <f>IF(Jnl[[#This Row],[BSLv0]]="A",1,-1)*Jnl[[#This Row],[Bal]]</f>
        <v>-90000</v>
      </c>
      <c r="K1119" t="str">
        <f>_xlfn.XLOOKUP(Jnl[[#This Row],[Acct]], config_BS[Acct], config_BS[Lv0],,0)</f>
        <v>A</v>
      </c>
      <c r="L1119" t="str">
        <f>_xlfn.XLOOKUP(Jnl[[#This Row],[Acct]], config_BS[Acct], config_BS[Lv1],,0)</f>
        <v>Assets</v>
      </c>
      <c r="M1119" t="str">
        <f>_xlfn.XLOOKUP(Jnl[[#This Row],[Acct]], config_BS[Acct], config_BS[Lv2],,0)</f>
        <v>Cash alike</v>
      </c>
      <c r="N1119" t="str">
        <f>_xlfn.XLOOKUP(Jnl[[#This Row],[TrxId]], Trx[Id], Trx[IncNode], ,0)</f>
        <v>Other</v>
      </c>
      <c r="O1119" t="str">
        <f>_xlfn.XLOOKUP(Jnl[[#This Row],[IncNode]], config_IS[Node], config_IS[Type],,0)</f>
        <v>Non-Op</v>
      </c>
      <c r="P1119" t="str">
        <f>_xlfn.XLOOKUP(Jnl[[#This Row],[BSLv2]], dict[Key], dict[Name],,0)</f>
        <v>0.现金及类似</v>
      </c>
      <c r="Q1119" t="str">
        <f>_xlfn.XLOOKUP(Jnl[[#This Row],[Acct]], dict[Key], dict[Name],,0)</f>
        <v>银行</v>
      </c>
      <c r="R1119" t="str">
        <f>_xlfn.XLOOKUP(Jnl[[#This Row],[Vehicle]],config_vehicle[Id], config_vehicle[Name],,0)</f>
        <v>远家花园高新分公司</v>
      </c>
      <c r="S1119" t="str">
        <f>_xlfn.XLOOKUP(Jnl[[#This Row],[Division]],config_div[Id], config_div[Name],,0)</f>
        <v>综合管理</v>
      </c>
      <c r="T1119" t="str">
        <f>IF(Jnl[[#This Row],[TrxDate]]&lt;=stmt_BS_date_end, "In", "Out")</f>
        <v>In</v>
      </c>
      <c r="U1119" t="str">
        <f>IF(Jnl[[#This Row],[TrxDate]]&lt;debug_date_start, "prior", IF(Jnl[[#This Row],[TrxDate]]&gt;debug_date_end, "post", "curr"))</f>
        <v>curr</v>
      </c>
    </row>
    <row r="1120" spans="1:21">
      <c r="A1120" s="11" t="s">
        <v>1562</v>
      </c>
      <c r="B1120" s="7">
        <f>_xlfn.XLOOKUP(Jnl[[#This Row],[TrxId]], Trx[Id], Trx[Date],,0)</f>
        <v>46081</v>
      </c>
      <c r="C1120" s="7" t="str">
        <f>_xlfn.XLOOKUP(Jnl[[#This Row],[TrxId]], Trx[Id], Trx[Division],,0)</f>
        <v>GM</v>
      </c>
      <c r="D1120" s="7" t="str">
        <f>_xlfn.XLOOKUP(Jnl[[#This Row],[TrxId]], Trx[Id], Trx[Action],,0)</f>
        <v>分红</v>
      </c>
      <c r="E1120" s="26" t="s">
        <v>81</v>
      </c>
      <c r="F1120" s="11" t="s">
        <v>1620</v>
      </c>
      <c r="G1120" s="11" t="s">
        <v>2001</v>
      </c>
      <c r="H1120" s="72">
        <f>H1119</f>
        <v>-90000</v>
      </c>
      <c r="I1120" s="5" t="b">
        <f>AND(Jnl[[#This Row],[TrxId]]&lt;&gt;"",Jnl[[#This Row],[Acct]]&lt;&gt;"",Jnl[[#This Row],[Item]]&lt;&gt;"",ISNUMBER(Jnl[[#This Row],[Bal]]))</f>
        <v>1</v>
      </c>
      <c r="J1120" s="10">
        <f>IF(Jnl[[#This Row],[BSLv0]]="A",1,-1)*Jnl[[#This Row],[Bal]]</f>
        <v>90000</v>
      </c>
      <c r="K1120" t="str">
        <f>_xlfn.XLOOKUP(Jnl[[#This Row],[Acct]], config_BS[Acct], config_BS[Lv0],,0)</f>
        <v>LC</v>
      </c>
      <c r="L1120" t="str">
        <f>_xlfn.XLOOKUP(Jnl[[#This Row],[Acct]], config_BS[Acct], config_BS[Lv1],,0)</f>
        <v>Equity</v>
      </c>
      <c r="M1120" t="str">
        <f>_xlfn.XLOOKUP(Jnl[[#This Row],[Acct]], config_BS[Acct], config_BS[Lv2],,0)</f>
        <v>Rsv</v>
      </c>
      <c r="N1120" t="str">
        <f>_xlfn.XLOOKUP(Jnl[[#This Row],[TrxId]], Trx[Id], Trx[IncNode], ,0)</f>
        <v>Other</v>
      </c>
      <c r="O1120" t="str">
        <f>_xlfn.XLOOKUP(Jnl[[#This Row],[IncNode]], config_IS[Node], config_IS[Type],,0)</f>
        <v>Non-Op</v>
      </c>
      <c r="P1120" t="str">
        <f>_xlfn.XLOOKUP(Jnl[[#This Row],[BSLv2]], dict[Key], dict[Name],,0)</f>
        <v>9.蓄水池</v>
      </c>
      <c r="Q1120" t="str">
        <f>_xlfn.XLOOKUP(Jnl[[#This Row],[Acct]], dict[Key], dict[Name],,0)</f>
        <v>可分配利润</v>
      </c>
      <c r="R1120" t="str">
        <f>_xlfn.XLOOKUP(Jnl[[#This Row],[Vehicle]],config_vehicle[Id], config_vehicle[Name],,0)</f>
        <v>喜家文化</v>
      </c>
      <c r="S1120" t="str">
        <f>_xlfn.XLOOKUP(Jnl[[#This Row],[Division]],config_div[Id], config_div[Name],,0)</f>
        <v>综合管理</v>
      </c>
      <c r="T1120" t="str">
        <f>IF(Jnl[[#This Row],[TrxDate]]&lt;=stmt_BS_date_end, "In", "Out")</f>
        <v>In</v>
      </c>
      <c r="U1120" t="str">
        <f>IF(Jnl[[#This Row],[TrxDate]]&lt;debug_date_start, "prior", IF(Jnl[[#This Row],[TrxDate]]&gt;debug_date_end, "post", "curr"))</f>
        <v>curr</v>
      </c>
    </row>
    <row r="1121" spans="1:21">
      <c r="A1121" s="11" t="s">
        <v>1563</v>
      </c>
      <c r="B1121" s="7">
        <f>_xlfn.XLOOKUP(Jnl[[#This Row],[TrxId]], Trx[Id], Trx[Date],,0)</f>
        <v>46081</v>
      </c>
      <c r="C1121" s="7" t="str">
        <f>_xlfn.XLOOKUP(Jnl[[#This Row],[TrxId]], Trx[Id], Trx[Division],,0)</f>
        <v>GM</v>
      </c>
      <c r="D1121" s="7" t="str">
        <f>_xlfn.XLOOKUP(Jnl[[#This Row],[TrxId]], Trx[Id], Trx[Action],,0)</f>
        <v>银行费</v>
      </c>
      <c r="E1121" s="26" t="s">
        <v>106</v>
      </c>
      <c r="F1121" s="11" t="s">
        <v>590</v>
      </c>
      <c r="G1121" s="11" t="s">
        <v>687</v>
      </c>
      <c r="H1121" s="72">
        <v>-5.8</v>
      </c>
      <c r="I1121" s="5" t="b">
        <f>AND(Jnl[[#This Row],[TrxId]]&lt;&gt;"",Jnl[[#This Row],[Acct]]&lt;&gt;"",Jnl[[#This Row],[Item]]&lt;&gt;"",ISNUMBER(Jnl[[#This Row],[Bal]]))</f>
        <v>1</v>
      </c>
      <c r="J1121" s="10">
        <f>IF(Jnl[[#This Row],[BSLv0]]="A",1,-1)*Jnl[[#This Row],[Bal]]</f>
        <v>-5.8</v>
      </c>
      <c r="K1121" t="str">
        <f>_xlfn.XLOOKUP(Jnl[[#This Row],[Acct]], config_BS[Acct], config_BS[Lv0],,0)</f>
        <v>A</v>
      </c>
      <c r="L1121" t="str">
        <f>_xlfn.XLOOKUP(Jnl[[#This Row],[Acct]], config_BS[Acct], config_BS[Lv1],,0)</f>
        <v>Assets</v>
      </c>
      <c r="M1121" t="str">
        <f>_xlfn.XLOOKUP(Jnl[[#This Row],[Acct]], config_BS[Acct], config_BS[Lv2],,0)</f>
        <v>Cash alike</v>
      </c>
      <c r="N1121" t="str">
        <f>_xlfn.XLOOKUP(Jnl[[#This Row],[TrxId]], Trx[Id], Trx[IncNode], ,0)</f>
        <v>Expense</v>
      </c>
      <c r="O1121" t="str">
        <f>_xlfn.XLOOKUP(Jnl[[#This Row],[IncNode]], config_IS[Node], config_IS[Type],,0)</f>
        <v>Op</v>
      </c>
      <c r="P1121" t="str">
        <f>_xlfn.XLOOKUP(Jnl[[#This Row],[BSLv2]], dict[Key], dict[Name],,0)</f>
        <v>0.现金及类似</v>
      </c>
      <c r="Q1121" t="str">
        <f>_xlfn.XLOOKUP(Jnl[[#This Row],[Acct]], dict[Key], dict[Name],,0)</f>
        <v>银行</v>
      </c>
      <c r="R1121" t="str">
        <f>_xlfn.XLOOKUP(Jnl[[#This Row],[Vehicle]],config_vehicle[Id], config_vehicle[Name],,0)</f>
        <v>远家花园高新分公司</v>
      </c>
      <c r="S1121" t="str">
        <f>_xlfn.XLOOKUP(Jnl[[#This Row],[Division]],config_div[Id], config_div[Name],,0)</f>
        <v>综合管理</v>
      </c>
      <c r="T1121" t="str">
        <f>IF(Jnl[[#This Row],[TrxDate]]&lt;=stmt_BS_date_end, "In", "Out")</f>
        <v>In</v>
      </c>
      <c r="U1121" t="str">
        <f>IF(Jnl[[#This Row],[TrxDate]]&lt;debug_date_start, "prior", IF(Jnl[[#This Row],[TrxDate]]&gt;debug_date_end, "post", "curr"))</f>
        <v>curr</v>
      </c>
    </row>
    <row r="1122" spans="1:21">
      <c r="A1122" s="11" t="s">
        <v>1564</v>
      </c>
      <c r="B1122" s="7">
        <f>_xlfn.XLOOKUP(Jnl[[#This Row],[TrxId]], Trx[Id], Trx[Date],,0)</f>
        <v>46081</v>
      </c>
      <c r="C1122" s="7" t="str">
        <f>_xlfn.XLOOKUP(Jnl[[#This Row],[TrxId]], Trx[Id], Trx[Division],,0)</f>
        <v>Brand</v>
      </c>
      <c r="D1122" s="7" t="str">
        <f>_xlfn.XLOOKUP(Jnl[[#This Row],[TrxId]], Trx[Id], Trx[Action],,0)</f>
        <v>折旧</v>
      </c>
      <c r="E1122" s="26" t="s">
        <v>106</v>
      </c>
      <c r="F1122" s="11" t="s">
        <v>689</v>
      </c>
      <c r="G1122" s="11" t="s">
        <v>690</v>
      </c>
      <c r="H1122" s="72">
        <v>-54022.96</v>
      </c>
      <c r="I1122" s="5" t="b">
        <f>AND(Jnl[[#This Row],[TrxId]]&lt;&gt;"",Jnl[[#This Row],[Acct]]&lt;&gt;"",Jnl[[#This Row],[Item]]&lt;&gt;"",ISNUMBER(Jnl[[#This Row],[Bal]]))</f>
        <v>1</v>
      </c>
      <c r="J1122" s="10">
        <f>IF(Jnl[[#This Row],[BSLv0]]="A",1,-1)*Jnl[[#This Row],[Bal]]</f>
        <v>-54022.96</v>
      </c>
      <c r="K1122" t="str">
        <f>_xlfn.XLOOKUP(Jnl[[#This Row],[Acct]], config_BS[Acct], config_BS[Lv0],,0)</f>
        <v>A</v>
      </c>
      <c r="L1122" t="str">
        <f>_xlfn.XLOOKUP(Jnl[[#This Row],[Acct]], config_BS[Acct], config_BS[Lv1],,0)</f>
        <v>Assets</v>
      </c>
      <c r="M1122" t="str">
        <f>_xlfn.XLOOKUP(Jnl[[#This Row],[Acct]], config_BS[Acct], config_BS[Lv2],,0)</f>
        <v>PP&amp;E</v>
      </c>
      <c r="N1122" t="str">
        <f>_xlfn.XLOOKUP(Jnl[[#This Row],[TrxId]], Trx[Id], Trx[IncNode], ,0)</f>
        <v>Expense</v>
      </c>
      <c r="O1122" t="str">
        <f>_xlfn.XLOOKUP(Jnl[[#This Row],[IncNode]], config_IS[Node], config_IS[Type],,0)</f>
        <v>Op</v>
      </c>
      <c r="P1122" t="str">
        <f>_xlfn.XLOOKUP(Jnl[[#This Row],[BSLv2]], dict[Key], dict[Name],,0)</f>
        <v>5.硬件设施</v>
      </c>
      <c r="Q1122" t="str">
        <f>_xlfn.XLOOKUP(Jnl[[#This Row],[Acct]], dict[Key], dict[Name],,0)</f>
        <v>房地产</v>
      </c>
      <c r="R1122" t="str">
        <f>_xlfn.XLOOKUP(Jnl[[#This Row],[Vehicle]],config_vehicle[Id], config_vehicle[Name],,0)</f>
        <v>远家花园高新分公司</v>
      </c>
      <c r="S1122" t="str">
        <f>_xlfn.XLOOKUP(Jnl[[#This Row],[Division]],config_div[Id], config_div[Name],,0)</f>
        <v>品牌</v>
      </c>
      <c r="T1122" t="str">
        <f>IF(Jnl[[#This Row],[TrxDate]]&lt;=stmt_BS_date_end, "In", "Out")</f>
        <v>In</v>
      </c>
      <c r="U1122" t="str">
        <f>IF(Jnl[[#This Row],[TrxDate]]&lt;debug_date_start, "prior", IF(Jnl[[#This Row],[TrxDate]]&gt;debug_date_end, "post", "curr"))</f>
        <v>curr</v>
      </c>
    </row>
    <row r="1123" spans="1:21">
      <c r="A1123" s="11" t="s">
        <v>1566</v>
      </c>
      <c r="B1123" s="7">
        <f>_xlfn.XLOOKUP(Jnl[[#This Row],[TrxId]], Trx[Id], Trx[Date],,0)</f>
        <v>46081</v>
      </c>
      <c r="C1123" s="7" t="str">
        <f>_xlfn.XLOOKUP(Jnl[[#This Row],[TrxId]], Trx[Id], Trx[Division],,0)</f>
        <v>Shuijie</v>
      </c>
      <c r="D1123" s="7" t="str">
        <f>_xlfn.XLOOKUP(Jnl[[#This Row],[TrxId]], Trx[Id], Trx[Action],,0)</f>
        <v>餐饮</v>
      </c>
      <c r="E1123" s="26" t="s">
        <v>106</v>
      </c>
      <c r="F1123" s="11" t="s">
        <v>593</v>
      </c>
      <c r="G1123" s="11" t="s">
        <v>594</v>
      </c>
      <c r="H1123" s="72">
        <v>46550</v>
      </c>
      <c r="I1123" s="5" t="b">
        <f>AND(Jnl[[#This Row],[TrxId]]&lt;&gt;"",Jnl[[#This Row],[Acct]]&lt;&gt;"",Jnl[[#This Row],[Item]]&lt;&gt;"",ISNUMBER(Jnl[[#This Row],[Bal]]))</f>
        <v>1</v>
      </c>
      <c r="J1123" s="10">
        <f>IF(Jnl[[#This Row],[BSLv0]]="A",1,-1)*Jnl[[#This Row],[Bal]]</f>
        <v>46550</v>
      </c>
      <c r="K1123" t="str">
        <f>_xlfn.XLOOKUP(Jnl[[#This Row],[Acct]], config_BS[Acct], config_BS[Lv0],,0)</f>
        <v>A</v>
      </c>
      <c r="L1123" t="str">
        <f>_xlfn.XLOOKUP(Jnl[[#This Row],[Acct]], config_BS[Acct], config_BS[Lv1],,0)</f>
        <v>Assets</v>
      </c>
      <c r="M1123" t="str">
        <f>_xlfn.XLOOKUP(Jnl[[#This Row],[Acct]], config_BS[Acct], config_BS[Lv2],,0)</f>
        <v>Rec-Pay</v>
      </c>
      <c r="N1123" t="str">
        <f>_xlfn.XLOOKUP(Jnl[[#This Row],[TrxId]], Trx[Id], Trx[IncNode], ,0)</f>
        <v>Revenue</v>
      </c>
      <c r="O1123" t="str">
        <f>_xlfn.XLOOKUP(Jnl[[#This Row],[IncNode]], config_IS[Node], config_IS[Type],,0)</f>
        <v>Op</v>
      </c>
      <c r="P1123" t="str">
        <f>_xlfn.XLOOKUP(Jnl[[#This Row],[BSLv2]], dict[Key], dict[Name],,0)</f>
        <v>1.应收-应付</v>
      </c>
      <c r="Q1123" t="str">
        <f>_xlfn.XLOOKUP(Jnl[[#This Row],[Acct]], dict[Key], dict[Name],,0)</f>
        <v>应收-一般</v>
      </c>
      <c r="R1123" t="str">
        <f>_xlfn.XLOOKUP(Jnl[[#This Row],[Vehicle]],config_vehicle[Id], config_vehicle[Name],,0)</f>
        <v>远家花园高新分公司</v>
      </c>
      <c r="S1123" t="str">
        <f>_xlfn.XLOOKUP(Jnl[[#This Row],[Division]],config_div[Id], config_div[Name],,0)</f>
        <v>水街店</v>
      </c>
      <c r="T1123" t="str">
        <f>IF(Jnl[[#This Row],[TrxDate]]&lt;=stmt_BS_date_end, "In", "Out")</f>
        <v>In</v>
      </c>
      <c r="U1123" t="str">
        <f>IF(Jnl[[#This Row],[TrxDate]]&lt;debug_date_start, "prior", IF(Jnl[[#This Row],[TrxDate]]&gt;debug_date_end, "post", "curr"))</f>
        <v>curr</v>
      </c>
    </row>
    <row r="1124" spans="1:21">
      <c r="A1124" s="11" t="s">
        <v>1566</v>
      </c>
      <c r="B1124" s="7">
        <f>_xlfn.XLOOKUP(Jnl[[#This Row],[TrxId]], Trx[Id], Trx[Date],,0)</f>
        <v>46081</v>
      </c>
      <c r="C1124" s="7" t="str">
        <f>_xlfn.XLOOKUP(Jnl[[#This Row],[TrxId]], Trx[Id], Trx[Division],,0)</f>
        <v>Shuijie</v>
      </c>
      <c r="D1124" s="7" t="str">
        <f>_xlfn.XLOOKUP(Jnl[[#This Row],[TrxId]], Trx[Id], Trx[Action],,0)</f>
        <v>餐饮</v>
      </c>
      <c r="E1124" s="26" t="s">
        <v>106</v>
      </c>
      <c r="F1124" s="11" t="s">
        <v>599</v>
      </c>
      <c r="G1124" s="11" t="s">
        <v>688</v>
      </c>
      <c r="H1124" s="72">
        <v>1000</v>
      </c>
      <c r="I1124" s="5" t="b">
        <f>AND(Jnl[[#This Row],[TrxId]]&lt;&gt;"",Jnl[[#This Row],[Acct]]&lt;&gt;"",Jnl[[#This Row],[Item]]&lt;&gt;"",ISNUMBER(Jnl[[#This Row],[Bal]]))</f>
        <v>1</v>
      </c>
      <c r="J1124" s="10">
        <f>IF(Jnl[[#This Row],[BSLv0]]="A",1,-1)*Jnl[[#This Row],[Bal]]</f>
        <v>1000</v>
      </c>
      <c r="K1124" t="str">
        <f>_xlfn.XLOOKUP(Jnl[[#This Row],[Acct]], config_BS[Acct], config_BS[Lv0],,0)</f>
        <v>A</v>
      </c>
      <c r="L1124" t="str">
        <f>_xlfn.XLOOKUP(Jnl[[#This Row],[Acct]], config_BS[Acct], config_BS[Lv1],,0)</f>
        <v>Assets</v>
      </c>
      <c r="M1124" t="str">
        <f>_xlfn.XLOOKUP(Jnl[[#This Row],[Acct]], config_BS[Acct], config_BS[Lv2],,0)</f>
        <v>Cash alike</v>
      </c>
      <c r="N1124" t="str">
        <f>_xlfn.XLOOKUP(Jnl[[#This Row],[TrxId]], Trx[Id], Trx[IncNode], ,0)</f>
        <v>Revenue</v>
      </c>
      <c r="O1124" t="str">
        <f>_xlfn.XLOOKUP(Jnl[[#This Row],[IncNode]], config_IS[Node], config_IS[Type],,0)</f>
        <v>Op</v>
      </c>
      <c r="P1124" t="str">
        <f>_xlfn.XLOOKUP(Jnl[[#This Row],[BSLv2]], dict[Key], dict[Name],,0)</f>
        <v>0.现金及类似</v>
      </c>
      <c r="Q1124" t="str">
        <f>_xlfn.XLOOKUP(Jnl[[#This Row],[Acct]], dict[Key], dict[Name],,0)</f>
        <v>物理现金</v>
      </c>
      <c r="R1124" t="str">
        <f>_xlfn.XLOOKUP(Jnl[[#This Row],[Vehicle]],config_vehicle[Id], config_vehicle[Name],,0)</f>
        <v>远家花园高新分公司</v>
      </c>
      <c r="S1124" t="str">
        <f>_xlfn.XLOOKUP(Jnl[[#This Row],[Division]],config_div[Id], config_div[Name],,0)</f>
        <v>水街店</v>
      </c>
      <c r="T1124" t="str">
        <f>IF(Jnl[[#This Row],[TrxDate]]&lt;=stmt_BS_date_end, "In", "Out")</f>
        <v>In</v>
      </c>
      <c r="U1124" t="str">
        <f>IF(Jnl[[#This Row],[TrxDate]]&lt;debug_date_start, "prior", IF(Jnl[[#This Row],[TrxDate]]&gt;debug_date_end, "post", "curr"))</f>
        <v>curr</v>
      </c>
    </row>
    <row r="1125" spans="1:21">
      <c r="A1125" s="11" t="s">
        <v>1568</v>
      </c>
      <c r="B1125" s="7">
        <f>_xlfn.XLOOKUP(Jnl[[#This Row],[TrxId]], Trx[Id], Trx[Date],,0)</f>
        <v>46081</v>
      </c>
      <c r="C1125" s="7" t="str">
        <f>_xlfn.XLOOKUP(Jnl[[#This Row],[TrxId]], Trx[Id], Trx[Division],,0)</f>
        <v>Shuijie</v>
      </c>
      <c r="D1125" s="7" t="str">
        <f>_xlfn.XLOOKUP(Jnl[[#This Row],[TrxId]], Trx[Id], Trx[Action],,0)</f>
        <v>增值税</v>
      </c>
      <c r="E1125" s="26" t="s">
        <v>106</v>
      </c>
      <c r="F1125" s="11" t="s">
        <v>127</v>
      </c>
      <c r="G1125" s="11" t="s">
        <v>307</v>
      </c>
      <c r="H1125" s="72">
        <v>470.79</v>
      </c>
      <c r="I1125" s="5" t="b">
        <f>AND(Jnl[[#This Row],[TrxId]]&lt;&gt;"",Jnl[[#This Row],[Acct]]&lt;&gt;"",Jnl[[#This Row],[Item]]&lt;&gt;"",ISNUMBER(Jnl[[#This Row],[Bal]]))</f>
        <v>1</v>
      </c>
      <c r="J1125" s="10">
        <f>IF(Jnl[[#This Row],[BSLv0]]="A",1,-1)*Jnl[[#This Row],[Bal]]</f>
        <v>-470.79</v>
      </c>
      <c r="K1125" t="str">
        <f>_xlfn.XLOOKUP(Jnl[[#This Row],[Acct]], config_BS[Acct], config_BS[Lv0],,0)</f>
        <v>LC</v>
      </c>
      <c r="L1125" t="str">
        <f>_xlfn.XLOOKUP(Jnl[[#This Row],[Acct]], config_BS[Acct], config_BS[Lv1],,0)</f>
        <v>Liability</v>
      </c>
      <c r="M1125" t="str">
        <f>_xlfn.XLOOKUP(Jnl[[#This Row],[Acct]], config_BS[Acct], config_BS[Lv2],,0)</f>
        <v>Rec-Pay</v>
      </c>
      <c r="N1125" t="str">
        <f>_xlfn.XLOOKUP(Jnl[[#This Row],[TrxId]], Trx[Id], Trx[IncNode], ,0)</f>
        <v>Cost</v>
      </c>
      <c r="O1125" t="str">
        <f>_xlfn.XLOOKUP(Jnl[[#This Row],[IncNode]], config_IS[Node], config_IS[Type],,0)</f>
        <v>Op</v>
      </c>
      <c r="P1125" t="str">
        <f>_xlfn.XLOOKUP(Jnl[[#This Row],[BSLv2]], dict[Key], dict[Name],,0)</f>
        <v>1.应收-应付</v>
      </c>
      <c r="Q1125" t="str">
        <f>_xlfn.XLOOKUP(Jnl[[#This Row],[Acct]], dict[Key], dict[Name],,0)</f>
        <v>应付-税款</v>
      </c>
      <c r="R1125" t="str">
        <f>_xlfn.XLOOKUP(Jnl[[#This Row],[Vehicle]],config_vehicle[Id], config_vehicle[Name],,0)</f>
        <v>远家花园高新分公司</v>
      </c>
      <c r="S1125" t="str">
        <f>_xlfn.XLOOKUP(Jnl[[#This Row],[Division]],config_div[Id], config_div[Name],,0)</f>
        <v>水街店</v>
      </c>
      <c r="T1125" t="str">
        <f>IF(Jnl[[#This Row],[TrxDate]]&lt;=stmt_BS_date_end, "In", "Out")</f>
        <v>In</v>
      </c>
      <c r="U1125" t="str">
        <f>IF(Jnl[[#This Row],[TrxDate]]&lt;debug_date_start, "prior", IF(Jnl[[#This Row],[TrxDate]]&gt;debug_date_end, "post", "curr"))</f>
        <v>curr</v>
      </c>
    </row>
    <row r="1126" spans="1:21">
      <c r="A1126" s="11" t="s">
        <v>1569</v>
      </c>
      <c r="B1126" s="7">
        <f>_xlfn.XLOOKUP(Jnl[[#This Row],[TrxId]], Trx[Id], Trx[Date],,0)</f>
        <v>46081</v>
      </c>
      <c r="C1126" s="7" t="str">
        <f>_xlfn.XLOOKUP(Jnl[[#This Row],[TrxId]], Trx[Id], Trx[Division],,0)</f>
        <v>Shuijie</v>
      </c>
      <c r="D1126" s="7" t="str">
        <f>_xlfn.XLOOKUP(Jnl[[#This Row],[TrxId]], Trx[Id], Trx[Action],,0)</f>
        <v>平台费</v>
      </c>
      <c r="E1126" s="26" t="s">
        <v>106</v>
      </c>
      <c r="F1126" s="11" t="s">
        <v>593</v>
      </c>
      <c r="G1126" s="11" t="s">
        <v>594</v>
      </c>
      <c r="H1126" s="72">
        <v>-176.87</v>
      </c>
      <c r="I1126" s="5" t="b">
        <f>AND(Jnl[[#This Row],[TrxId]]&lt;&gt;"",Jnl[[#This Row],[Acct]]&lt;&gt;"",Jnl[[#This Row],[Item]]&lt;&gt;"",ISNUMBER(Jnl[[#This Row],[Bal]]))</f>
        <v>1</v>
      </c>
      <c r="J1126" s="10">
        <f>IF(Jnl[[#This Row],[BSLv0]]="A",1,-1)*Jnl[[#This Row],[Bal]]</f>
        <v>-176.87</v>
      </c>
      <c r="K1126" t="str">
        <f>_xlfn.XLOOKUP(Jnl[[#This Row],[Acct]], config_BS[Acct], config_BS[Lv0],,0)</f>
        <v>A</v>
      </c>
      <c r="L1126" t="str">
        <f>_xlfn.XLOOKUP(Jnl[[#This Row],[Acct]], config_BS[Acct], config_BS[Lv1],,0)</f>
        <v>Assets</v>
      </c>
      <c r="M1126" t="str">
        <f>_xlfn.XLOOKUP(Jnl[[#This Row],[Acct]], config_BS[Acct], config_BS[Lv2],,0)</f>
        <v>Rec-Pay</v>
      </c>
      <c r="N1126" t="str">
        <f>_xlfn.XLOOKUP(Jnl[[#This Row],[TrxId]], Trx[Id], Trx[IncNode], ,0)</f>
        <v>Expense</v>
      </c>
      <c r="O1126" t="str">
        <f>_xlfn.XLOOKUP(Jnl[[#This Row],[IncNode]], config_IS[Node], config_IS[Type],,0)</f>
        <v>Op</v>
      </c>
      <c r="P1126" t="str">
        <f>_xlfn.XLOOKUP(Jnl[[#This Row],[BSLv2]], dict[Key], dict[Name],,0)</f>
        <v>1.应收-应付</v>
      </c>
      <c r="Q1126" t="str">
        <f>_xlfn.XLOOKUP(Jnl[[#This Row],[Acct]], dict[Key], dict[Name],,0)</f>
        <v>应收-一般</v>
      </c>
      <c r="R1126" t="str">
        <f>_xlfn.XLOOKUP(Jnl[[#This Row],[Vehicle]],config_vehicle[Id], config_vehicle[Name],,0)</f>
        <v>远家花园高新分公司</v>
      </c>
      <c r="S1126" t="str">
        <f>_xlfn.XLOOKUP(Jnl[[#This Row],[Division]],config_div[Id], config_div[Name],,0)</f>
        <v>水街店</v>
      </c>
      <c r="T1126" t="str">
        <f>IF(Jnl[[#This Row],[TrxDate]]&lt;=stmt_BS_date_end, "In", "Out")</f>
        <v>In</v>
      </c>
      <c r="U1126" t="str">
        <f>IF(Jnl[[#This Row],[TrxDate]]&lt;debug_date_start, "prior", IF(Jnl[[#This Row],[TrxDate]]&gt;debug_date_end, "post", "curr"))</f>
        <v>curr</v>
      </c>
    </row>
    <row r="1127" spans="1:21">
      <c r="A1127" s="11" t="s">
        <v>1570</v>
      </c>
      <c r="B1127" s="7">
        <f>_xlfn.XLOOKUP(Jnl[[#This Row],[TrxId]], Trx[Id], Trx[Date],,0)</f>
        <v>46081</v>
      </c>
      <c r="C1127" s="7" t="str">
        <f>_xlfn.XLOOKUP(Jnl[[#This Row],[TrxId]], Trx[Id], Trx[Division],,0)</f>
        <v>Shuijie</v>
      </c>
      <c r="D1127" s="7" t="str">
        <f>_xlfn.XLOOKUP(Jnl[[#This Row],[TrxId]], Trx[Id], Trx[Action],,0)</f>
        <v>计提税金</v>
      </c>
      <c r="E1127" s="26" t="s">
        <v>106</v>
      </c>
      <c r="F1127" s="11" t="s">
        <v>127</v>
      </c>
      <c r="G1127" s="11" t="s">
        <v>348</v>
      </c>
      <c r="H1127" s="72">
        <v>28.25</v>
      </c>
      <c r="I1127" s="5" t="b">
        <f>AND(Jnl[[#This Row],[TrxId]]&lt;&gt;"",Jnl[[#This Row],[Acct]]&lt;&gt;"",Jnl[[#This Row],[Item]]&lt;&gt;"",ISNUMBER(Jnl[[#This Row],[Bal]]))</f>
        <v>1</v>
      </c>
      <c r="J1127" s="10">
        <f>IF(Jnl[[#This Row],[BSLv0]]="A",1,-1)*Jnl[[#This Row],[Bal]]</f>
        <v>-28.25</v>
      </c>
      <c r="K1127" t="str">
        <f>_xlfn.XLOOKUP(Jnl[[#This Row],[Acct]], config_BS[Acct], config_BS[Lv0],,0)</f>
        <v>LC</v>
      </c>
      <c r="L1127" t="str">
        <f>_xlfn.XLOOKUP(Jnl[[#This Row],[Acct]], config_BS[Acct], config_BS[Lv1],,0)</f>
        <v>Liability</v>
      </c>
      <c r="M1127" t="str">
        <f>_xlfn.XLOOKUP(Jnl[[#This Row],[Acct]], config_BS[Acct], config_BS[Lv2],,0)</f>
        <v>Rec-Pay</v>
      </c>
      <c r="N1127" t="str">
        <f>_xlfn.XLOOKUP(Jnl[[#This Row],[TrxId]], Trx[Id], Trx[IncNode], ,0)</f>
        <v>Expense</v>
      </c>
      <c r="O1127" t="str">
        <f>_xlfn.XLOOKUP(Jnl[[#This Row],[IncNode]], config_IS[Node], config_IS[Type],,0)</f>
        <v>Op</v>
      </c>
      <c r="P1127" t="str">
        <f>_xlfn.XLOOKUP(Jnl[[#This Row],[BSLv2]], dict[Key], dict[Name],,0)</f>
        <v>1.应收-应付</v>
      </c>
      <c r="Q1127" t="str">
        <f>_xlfn.XLOOKUP(Jnl[[#This Row],[Acct]], dict[Key], dict[Name],,0)</f>
        <v>应付-税款</v>
      </c>
      <c r="R1127" t="str">
        <f>_xlfn.XLOOKUP(Jnl[[#This Row],[Vehicle]],config_vehicle[Id], config_vehicle[Name],,0)</f>
        <v>远家花园高新分公司</v>
      </c>
      <c r="S1127" t="str">
        <f>_xlfn.XLOOKUP(Jnl[[#This Row],[Division]],config_div[Id], config_div[Name],,0)</f>
        <v>水街店</v>
      </c>
      <c r="T1127" t="str">
        <f>IF(Jnl[[#This Row],[TrxDate]]&lt;=stmt_BS_date_end, "In", "Out")</f>
        <v>In</v>
      </c>
      <c r="U1127" t="str">
        <f>IF(Jnl[[#This Row],[TrxDate]]&lt;debug_date_start, "prior", IF(Jnl[[#This Row],[TrxDate]]&gt;debug_date_end, "post", "curr"))</f>
        <v>curr</v>
      </c>
    </row>
    <row r="1128" spans="1:21">
      <c r="A1128" s="11" t="s">
        <v>1571</v>
      </c>
      <c r="B1128" s="7">
        <f>_xlfn.XLOOKUP(Jnl[[#This Row],[TrxId]], Trx[Id], Trx[Date],,0)</f>
        <v>46081</v>
      </c>
      <c r="C1128" s="7" t="str">
        <f>_xlfn.XLOOKUP(Jnl[[#This Row],[TrxId]], Trx[Id], Trx[Division],,0)</f>
        <v>GM</v>
      </c>
      <c r="D1128" s="7" t="str">
        <f>_xlfn.XLOOKUP(Jnl[[#This Row],[TrxId]], Trx[Id], Trx[Action],,0)</f>
        <v>薪酬-工资</v>
      </c>
      <c r="E1128" s="26" t="s">
        <v>106</v>
      </c>
      <c r="F1128" s="11" t="s">
        <v>596</v>
      </c>
      <c r="G1128" s="11" t="s">
        <v>149</v>
      </c>
      <c r="H1128" s="72">
        <v>35255.71</v>
      </c>
      <c r="I1128" s="5" t="b">
        <f>AND(Jnl[[#This Row],[TrxId]]&lt;&gt;"",Jnl[[#This Row],[Acct]]&lt;&gt;"",Jnl[[#This Row],[Item]]&lt;&gt;"",ISNUMBER(Jnl[[#This Row],[Bal]]))</f>
        <v>1</v>
      </c>
      <c r="J1128" s="10">
        <f>IF(Jnl[[#This Row],[BSLv0]]="A",1,-1)*Jnl[[#This Row],[Bal]]</f>
        <v>-35255.71</v>
      </c>
      <c r="K1128" t="str">
        <f>_xlfn.XLOOKUP(Jnl[[#This Row],[Acct]], config_BS[Acct], config_BS[Lv0],,0)</f>
        <v>LC</v>
      </c>
      <c r="L1128" t="str">
        <f>_xlfn.XLOOKUP(Jnl[[#This Row],[Acct]], config_BS[Acct], config_BS[Lv1],,0)</f>
        <v>Liability</v>
      </c>
      <c r="M1128" t="str">
        <f>_xlfn.XLOOKUP(Jnl[[#This Row],[Acct]], config_BS[Acct], config_BS[Lv2],,0)</f>
        <v>Rec-Pay</v>
      </c>
      <c r="N1128" t="str">
        <f>_xlfn.XLOOKUP(Jnl[[#This Row],[TrxId]], Trx[Id], Trx[IncNode], ,0)</f>
        <v>Expense</v>
      </c>
      <c r="O1128" t="str">
        <f>_xlfn.XLOOKUP(Jnl[[#This Row],[IncNode]], config_IS[Node], config_IS[Type],,0)</f>
        <v>Op</v>
      </c>
      <c r="P1128" t="str">
        <f>_xlfn.XLOOKUP(Jnl[[#This Row],[BSLv2]], dict[Key], dict[Name],,0)</f>
        <v>1.应收-应付</v>
      </c>
      <c r="Q1128" t="str">
        <f>_xlfn.XLOOKUP(Jnl[[#This Row],[Acct]], dict[Key], dict[Name],,0)</f>
        <v>应付-薪资</v>
      </c>
      <c r="R1128" t="str">
        <f>_xlfn.XLOOKUP(Jnl[[#This Row],[Vehicle]],config_vehicle[Id], config_vehicle[Name],,0)</f>
        <v>远家花园高新分公司</v>
      </c>
      <c r="S1128" t="str">
        <f>_xlfn.XLOOKUP(Jnl[[#This Row],[Division]],config_div[Id], config_div[Name],,0)</f>
        <v>综合管理</v>
      </c>
      <c r="T1128" t="str">
        <f>IF(Jnl[[#This Row],[TrxDate]]&lt;=stmt_BS_date_end, "In", "Out")</f>
        <v>In</v>
      </c>
      <c r="U1128" t="str">
        <f>IF(Jnl[[#This Row],[TrxDate]]&lt;debug_date_start, "prior", IF(Jnl[[#This Row],[TrxDate]]&gt;debug_date_end, "post", "curr"))</f>
        <v>curr</v>
      </c>
    </row>
    <row r="1129" spans="1:21">
      <c r="A1129" s="11" t="s">
        <v>1572</v>
      </c>
      <c r="B1129" s="7">
        <f>_xlfn.XLOOKUP(Jnl[[#This Row],[TrxId]], Trx[Id], Trx[Date],,0)</f>
        <v>46081</v>
      </c>
      <c r="C1129" s="7" t="str">
        <f>_xlfn.XLOOKUP(Jnl[[#This Row],[TrxId]], Trx[Id], Trx[Division],,0)</f>
        <v>Shuijie</v>
      </c>
      <c r="D1129" s="7" t="str">
        <f>_xlfn.XLOOKUP(Jnl[[#This Row],[TrxId]], Trx[Id], Trx[Action],,0)</f>
        <v>收款</v>
      </c>
      <c r="E1129" s="26" t="s">
        <v>81</v>
      </c>
      <c r="F1129" s="11" t="s">
        <v>593</v>
      </c>
      <c r="G1129" s="11" t="s">
        <v>594</v>
      </c>
      <c r="H1129" s="72">
        <v>-60269.89</v>
      </c>
      <c r="I1129" s="5" t="b">
        <f>AND(Jnl[[#This Row],[TrxId]]&lt;&gt;"",Jnl[[#This Row],[Acct]]&lt;&gt;"",Jnl[[#This Row],[Item]]&lt;&gt;"",ISNUMBER(Jnl[[#This Row],[Bal]]))</f>
        <v>1</v>
      </c>
      <c r="J1129" s="10">
        <f>IF(Jnl[[#This Row],[BSLv0]]="A",1,-1)*Jnl[[#This Row],[Bal]]</f>
        <v>-60269.89</v>
      </c>
      <c r="K1129" t="str">
        <f>_xlfn.XLOOKUP(Jnl[[#This Row],[Acct]], config_BS[Acct], config_BS[Lv0],,0)</f>
        <v>A</v>
      </c>
      <c r="L1129" t="str">
        <f>_xlfn.XLOOKUP(Jnl[[#This Row],[Acct]], config_BS[Acct], config_BS[Lv1],,0)</f>
        <v>Assets</v>
      </c>
      <c r="M1129" t="str">
        <f>_xlfn.XLOOKUP(Jnl[[#This Row],[Acct]], config_BS[Acct], config_BS[Lv2],,0)</f>
        <v>Rec-Pay</v>
      </c>
      <c r="N1129" t="str">
        <f>_xlfn.XLOOKUP(Jnl[[#This Row],[TrxId]], Trx[Id], Trx[IncNode], ,0)</f>
        <v>Revenue</v>
      </c>
      <c r="O1129" t="str">
        <f>_xlfn.XLOOKUP(Jnl[[#This Row],[IncNode]], config_IS[Node], config_IS[Type],,0)</f>
        <v>Op</v>
      </c>
      <c r="P1129" t="str">
        <f>_xlfn.XLOOKUP(Jnl[[#This Row],[BSLv2]], dict[Key], dict[Name],,0)</f>
        <v>1.应收-应付</v>
      </c>
      <c r="Q1129" t="str">
        <f>_xlfn.XLOOKUP(Jnl[[#This Row],[Acct]], dict[Key], dict[Name],,0)</f>
        <v>应收-一般</v>
      </c>
      <c r="R1129" t="str">
        <f>_xlfn.XLOOKUP(Jnl[[#This Row],[Vehicle]],config_vehicle[Id], config_vehicle[Name],,0)</f>
        <v>喜家文化</v>
      </c>
      <c r="S1129" t="str">
        <f>_xlfn.XLOOKUP(Jnl[[#This Row],[Division]],config_div[Id], config_div[Name],,0)</f>
        <v>水街店</v>
      </c>
      <c r="T1129" t="str">
        <f>IF(Jnl[[#This Row],[TrxDate]]&lt;=stmt_BS_date_end, "In", "Out")</f>
        <v>In</v>
      </c>
      <c r="U1129" t="str">
        <f>IF(Jnl[[#This Row],[TrxDate]]&lt;debug_date_start, "prior", IF(Jnl[[#This Row],[TrxDate]]&gt;debug_date_end, "post", "curr"))</f>
        <v>curr</v>
      </c>
    </row>
    <row r="1130" spans="1:21">
      <c r="A1130" s="11" t="s">
        <v>1572</v>
      </c>
      <c r="B1130" s="7">
        <f>_xlfn.XLOOKUP(Jnl[[#This Row],[TrxId]], Trx[Id], Trx[Date],,0)</f>
        <v>46081</v>
      </c>
      <c r="C1130" s="7" t="str">
        <f>_xlfn.XLOOKUP(Jnl[[#This Row],[TrxId]], Trx[Id], Trx[Division],,0)</f>
        <v>Shuijie</v>
      </c>
      <c r="D1130" s="7" t="str">
        <f>_xlfn.XLOOKUP(Jnl[[#This Row],[TrxId]], Trx[Id], Trx[Action],,0)</f>
        <v>收款</v>
      </c>
      <c r="E1130" s="26" t="s">
        <v>81</v>
      </c>
      <c r="F1130" s="11" t="s">
        <v>590</v>
      </c>
      <c r="G1130" s="11" t="s">
        <v>392</v>
      </c>
      <c r="H1130" s="72">
        <v>60269.89</v>
      </c>
      <c r="I1130" s="5" t="b">
        <f>AND(Jnl[[#This Row],[TrxId]]&lt;&gt;"",Jnl[[#This Row],[Acct]]&lt;&gt;"",Jnl[[#This Row],[Item]]&lt;&gt;"",ISNUMBER(Jnl[[#This Row],[Bal]]))</f>
        <v>1</v>
      </c>
      <c r="J1130" s="10">
        <f>IF(Jnl[[#This Row],[BSLv0]]="A",1,-1)*Jnl[[#This Row],[Bal]]</f>
        <v>60269.89</v>
      </c>
      <c r="K1130" t="str">
        <f>_xlfn.XLOOKUP(Jnl[[#This Row],[Acct]], config_BS[Acct], config_BS[Lv0],,0)</f>
        <v>A</v>
      </c>
      <c r="L1130" t="str">
        <f>_xlfn.XLOOKUP(Jnl[[#This Row],[Acct]], config_BS[Acct], config_BS[Lv1],,0)</f>
        <v>Assets</v>
      </c>
      <c r="M1130" t="str">
        <f>_xlfn.XLOOKUP(Jnl[[#This Row],[Acct]], config_BS[Acct], config_BS[Lv2],,0)</f>
        <v>Cash alike</v>
      </c>
      <c r="N1130" t="str">
        <f>_xlfn.XLOOKUP(Jnl[[#This Row],[TrxId]], Trx[Id], Trx[IncNode], ,0)</f>
        <v>Revenue</v>
      </c>
      <c r="O1130" t="str">
        <f>_xlfn.XLOOKUP(Jnl[[#This Row],[IncNode]], config_IS[Node], config_IS[Type],,0)</f>
        <v>Op</v>
      </c>
      <c r="P1130" t="str">
        <f>_xlfn.XLOOKUP(Jnl[[#This Row],[BSLv2]], dict[Key], dict[Name],,0)</f>
        <v>0.现金及类似</v>
      </c>
      <c r="Q1130" t="str">
        <f>_xlfn.XLOOKUP(Jnl[[#This Row],[Acct]], dict[Key], dict[Name],,0)</f>
        <v>银行</v>
      </c>
      <c r="R1130" t="str">
        <f>_xlfn.XLOOKUP(Jnl[[#This Row],[Vehicle]],config_vehicle[Id], config_vehicle[Name],,0)</f>
        <v>喜家文化</v>
      </c>
      <c r="S1130" t="str">
        <f>_xlfn.XLOOKUP(Jnl[[#This Row],[Division]],config_div[Id], config_div[Name],,0)</f>
        <v>水街店</v>
      </c>
      <c r="T1130" t="str">
        <f>IF(Jnl[[#This Row],[TrxDate]]&lt;=stmt_BS_date_end, "In", "Out")</f>
        <v>In</v>
      </c>
      <c r="U1130" t="str">
        <f>IF(Jnl[[#This Row],[TrxDate]]&lt;debug_date_start, "prior", IF(Jnl[[#This Row],[TrxDate]]&gt;debug_date_end, "post", "curr"))</f>
        <v>curr</v>
      </c>
    </row>
    <row r="1131" spans="1:21">
      <c r="A1131" s="11" t="s">
        <v>1573</v>
      </c>
      <c r="B1131" s="7">
        <f>_xlfn.XLOOKUP(Jnl[[#This Row],[TrxId]], Trx[Id], Trx[Date],,0)</f>
        <v>46081</v>
      </c>
      <c r="C1131" s="7" t="str">
        <f>_xlfn.XLOOKUP(Jnl[[#This Row],[TrxId]], Trx[Id], Trx[Division],,0)</f>
        <v>GM</v>
      </c>
      <c r="D1131" s="7" t="str">
        <f>_xlfn.XLOOKUP(Jnl[[#This Row],[TrxId]], Trx[Id], Trx[Action],,0)</f>
        <v>薪酬-社保</v>
      </c>
      <c r="E1131" s="26" t="s">
        <v>81</v>
      </c>
      <c r="F1131" s="11" t="s">
        <v>590</v>
      </c>
      <c r="G1131" s="11" t="s">
        <v>392</v>
      </c>
      <c r="H1131" s="72">
        <v>-8189.55</v>
      </c>
      <c r="I1131" s="5" t="b">
        <f>AND(Jnl[[#This Row],[TrxId]]&lt;&gt;"",Jnl[[#This Row],[Acct]]&lt;&gt;"",Jnl[[#This Row],[Item]]&lt;&gt;"",ISNUMBER(Jnl[[#This Row],[Bal]]))</f>
        <v>1</v>
      </c>
      <c r="J1131" s="10">
        <f>IF(Jnl[[#This Row],[BSLv0]]="A",1,-1)*Jnl[[#This Row],[Bal]]</f>
        <v>-8189.55</v>
      </c>
      <c r="K1131" t="str">
        <f>_xlfn.XLOOKUP(Jnl[[#This Row],[Acct]], config_BS[Acct], config_BS[Lv0],,0)</f>
        <v>A</v>
      </c>
      <c r="L1131" t="str">
        <f>_xlfn.XLOOKUP(Jnl[[#This Row],[Acct]], config_BS[Acct], config_BS[Lv1],,0)</f>
        <v>Assets</v>
      </c>
      <c r="M1131" t="str">
        <f>_xlfn.XLOOKUP(Jnl[[#This Row],[Acct]], config_BS[Acct], config_BS[Lv2],,0)</f>
        <v>Cash alike</v>
      </c>
      <c r="N1131" t="str">
        <f>_xlfn.XLOOKUP(Jnl[[#This Row],[TrxId]], Trx[Id], Trx[IncNode], ,0)</f>
        <v>Expense</v>
      </c>
      <c r="O1131" t="str">
        <f>_xlfn.XLOOKUP(Jnl[[#This Row],[IncNode]], config_IS[Node], config_IS[Type],,0)</f>
        <v>Op</v>
      </c>
      <c r="P1131" t="str">
        <f>_xlfn.XLOOKUP(Jnl[[#This Row],[BSLv2]], dict[Key], dict[Name],,0)</f>
        <v>0.现金及类似</v>
      </c>
      <c r="Q1131" t="str">
        <f>_xlfn.XLOOKUP(Jnl[[#This Row],[Acct]], dict[Key], dict[Name],,0)</f>
        <v>银行</v>
      </c>
      <c r="R1131" t="str">
        <f>_xlfn.XLOOKUP(Jnl[[#This Row],[Vehicle]],config_vehicle[Id], config_vehicle[Name],,0)</f>
        <v>喜家文化</v>
      </c>
      <c r="S1131" t="str">
        <f>_xlfn.XLOOKUP(Jnl[[#This Row],[Division]],config_div[Id], config_div[Name],,0)</f>
        <v>综合管理</v>
      </c>
      <c r="T1131" t="str">
        <f>IF(Jnl[[#This Row],[TrxDate]]&lt;=stmt_BS_date_end, "In", "Out")</f>
        <v>In</v>
      </c>
      <c r="U1131" t="str">
        <f>IF(Jnl[[#This Row],[TrxDate]]&lt;debug_date_start, "prior", IF(Jnl[[#This Row],[TrxDate]]&gt;debug_date_end, "post", "curr"))</f>
        <v>curr</v>
      </c>
    </row>
    <row r="1132" spans="1:21">
      <c r="A1132" s="11" t="s">
        <v>1573</v>
      </c>
      <c r="B1132" s="7">
        <f>_xlfn.XLOOKUP(Jnl[[#This Row],[TrxId]], Trx[Id], Trx[Date],,0)</f>
        <v>46081</v>
      </c>
      <c r="C1132" s="7" t="str">
        <f>_xlfn.XLOOKUP(Jnl[[#This Row],[TrxId]], Trx[Id], Trx[Division],,0)</f>
        <v>GM</v>
      </c>
      <c r="D1132" s="7" t="str">
        <f>_xlfn.XLOOKUP(Jnl[[#This Row],[TrxId]], Trx[Id], Trx[Action],,0)</f>
        <v>薪酬-社保</v>
      </c>
      <c r="E1132" s="26" t="s">
        <v>81</v>
      </c>
      <c r="F1132" s="11" t="s">
        <v>595</v>
      </c>
      <c r="G1132" s="11" t="s">
        <v>344</v>
      </c>
      <c r="H1132" s="72">
        <v>2385.75</v>
      </c>
      <c r="I1132" s="5" t="b">
        <f>AND(Jnl[[#This Row],[TrxId]]&lt;&gt;"",Jnl[[#This Row],[Acct]]&lt;&gt;"",Jnl[[#This Row],[Item]]&lt;&gt;"",ISNUMBER(Jnl[[#This Row],[Bal]]))</f>
        <v>1</v>
      </c>
      <c r="J1132" s="10">
        <f>IF(Jnl[[#This Row],[BSLv0]]="A",1,-1)*Jnl[[#This Row],[Bal]]</f>
        <v>2385.75</v>
      </c>
      <c r="K1132" t="str">
        <f>_xlfn.XLOOKUP(Jnl[[#This Row],[Acct]], config_BS[Acct], config_BS[Lv0],,0)</f>
        <v>A</v>
      </c>
      <c r="L1132" t="str">
        <f>_xlfn.XLOOKUP(Jnl[[#This Row],[Acct]], config_BS[Acct], config_BS[Lv1],,0)</f>
        <v>Assets</v>
      </c>
      <c r="M1132" t="str">
        <f>_xlfn.XLOOKUP(Jnl[[#This Row],[Acct]], config_BS[Acct], config_BS[Lv2],,0)</f>
        <v>Rec-Pay</v>
      </c>
      <c r="N1132" t="str">
        <f>_xlfn.XLOOKUP(Jnl[[#This Row],[TrxId]], Trx[Id], Trx[IncNode], ,0)</f>
        <v>Expense</v>
      </c>
      <c r="O1132" t="str">
        <f>_xlfn.XLOOKUP(Jnl[[#This Row],[IncNode]], config_IS[Node], config_IS[Type],,0)</f>
        <v>Op</v>
      </c>
      <c r="P1132" t="str">
        <f>_xlfn.XLOOKUP(Jnl[[#This Row],[BSLv2]], dict[Key], dict[Name],,0)</f>
        <v>1.应收-应付</v>
      </c>
      <c r="Q1132" t="str">
        <f>_xlfn.XLOOKUP(Jnl[[#This Row],[Acct]], dict[Key], dict[Name],,0)</f>
        <v>应收-其他</v>
      </c>
      <c r="R1132" t="str">
        <f>_xlfn.XLOOKUP(Jnl[[#This Row],[Vehicle]],config_vehicle[Id], config_vehicle[Name],,0)</f>
        <v>喜家文化</v>
      </c>
      <c r="S1132" t="str">
        <f>_xlfn.XLOOKUP(Jnl[[#This Row],[Division]],config_div[Id], config_div[Name],,0)</f>
        <v>综合管理</v>
      </c>
      <c r="T1132" t="str">
        <f>IF(Jnl[[#This Row],[TrxDate]]&lt;=stmt_BS_date_end, "In", "Out")</f>
        <v>In</v>
      </c>
      <c r="U1132" t="str">
        <f>IF(Jnl[[#This Row],[TrxDate]]&lt;debug_date_start, "prior", IF(Jnl[[#This Row],[TrxDate]]&gt;debug_date_end, "post", "curr"))</f>
        <v>curr</v>
      </c>
    </row>
    <row r="1133" spans="1:21">
      <c r="A1133" s="11" t="s">
        <v>1574</v>
      </c>
      <c r="B1133" s="7">
        <f>_xlfn.XLOOKUP(Jnl[[#This Row],[TrxId]], Trx[Id], Trx[Date],,0)</f>
        <v>46081</v>
      </c>
      <c r="C1133" s="7" t="str">
        <f>_xlfn.XLOOKUP(Jnl[[#This Row],[TrxId]], Trx[Id], Trx[Division],,0)</f>
        <v>Shuijie</v>
      </c>
      <c r="D1133" s="7" t="str">
        <f>_xlfn.XLOOKUP(Jnl[[#This Row],[TrxId]], Trx[Id], Trx[Action],,0)</f>
        <v>支付</v>
      </c>
      <c r="E1133" s="26" t="s">
        <v>81</v>
      </c>
      <c r="F1133" s="11" t="s">
        <v>590</v>
      </c>
      <c r="G1133" s="11" t="s">
        <v>392</v>
      </c>
      <c r="H1133" s="72">
        <v>-14188.2</v>
      </c>
      <c r="I1133" s="5" t="b">
        <f>AND(Jnl[[#This Row],[TrxId]]&lt;&gt;"",Jnl[[#This Row],[Acct]]&lt;&gt;"",Jnl[[#This Row],[Item]]&lt;&gt;"",ISNUMBER(Jnl[[#This Row],[Bal]]))</f>
        <v>1</v>
      </c>
      <c r="J1133" s="10">
        <f>IF(Jnl[[#This Row],[BSLv0]]="A",1,-1)*Jnl[[#This Row],[Bal]]</f>
        <v>-14188.2</v>
      </c>
      <c r="K1133" t="str">
        <f>_xlfn.XLOOKUP(Jnl[[#This Row],[Acct]], config_BS[Acct], config_BS[Lv0],,0)</f>
        <v>A</v>
      </c>
      <c r="L1133" t="str">
        <f>_xlfn.XLOOKUP(Jnl[[#This Row],[Acct]], config_BS[Acct], config_BS[Lv1],,0)</f>
        <v>Assets</v>
      </c>
      <c r="M1133" t="str">
        <f>_xlfn.XLOOKUP(Jnl[[#This Row],[Acct]], config_BS[Acct], config_BS[Lv2],,0)</f>
        <v>Cash alike</v>
      </c>
      <c r="N1133" t="str">
        <f>_xlfn.XLOOKUP(Jnl[[#This Row],[TrxId]], Trx[Id], Trx[IncNode], ,0)</f>
        <v>Cost</v>
      </c>
      <c r="O1133" t="str">
        <f>_xlfn.XLOOKUP(Jnl[[#This Row],[IncNode]], config_IS[Node], config_IS[Type],,0)</f>
        <v>Op</v>
      </c>
      <c r="P1133" t="str">
        <f>_xlfn.XLOOKUP(Jnl[[#This Row],[BSLv2]], dict[Key], dict[Name],,0)</f>
        <v>0.现金及类似</v>
      </c>
      <c r="Q1133" t="str">
        <f>_xlfn.XLOOKUP(Jnl[[#This Row],[Acct]], dict[Key], dict[Name],,0)</f>
        <v>银行</v>
      </c>
      <c r="R1133" t="str">
        <f>_xlfn.XLOOKUP(Jnl[[#This Row],[Vehicle]],config_vehicle[Id], config_vehicle[Name],,0)</f>
        <v>喜家文化</v>
      </c>
      <c r="S1133" t="str">
        <f>_xlfn.XLOOKUP(Jnl[[#This Row],[Division]],config_div[Id], config_div[Name],,0)</f>
        <v>水街店</v>
      </c>
      <c r="T1133" t="str">
        <f>IF(Jnl[[#This Row],[TrxDate]]&lt;=stmt_BS_date_end, "In", "Out")</f>
        <v>In</v>
      </c>
      <c r="U1133" t="str">
        <f>IF(Jnl[[#This Row],[TrxDate]]&lt;debug_date_start, "prior", IF(Jnl[[#This Row],[TrxDate]]&gt;debug_date_end, "post", "curr"))</f>
        <v>curr</v>
      </c>
    </row>
    <row r="1134" spans="1:21">
      <c r="A1134" s="11" t="s">
        <v>1574</v>
      </c>
      <c r="B1134" s="7">
        <f>_xlfn.XLOOKUP(Jnl[[#This Row],[TrxId]], Trx[Id], Trx[Date],,0)</f>
        <v>46081</v>
      </c>
      <c r="C1134" s="7" t="str">
        <f>_xlfn.XLOOKUP(Jnl[[#This Row],[TrxId]], Trx[Id], Trx[Division],,0)</f>
        <v>Shuijie</v>
      </c>
      <c r="D1134" s="7" t="str">
        <f>_xlfn.XLOOKUP(Jnl[[#This Row],[TrxId]], Trx[Id], Trx[Action],,0)</f>
        <v>支付</v>
      </c>
      <c r="E1134" s="26" t="s">
        <v>81</v>
      </c>
      <c r="F1134" s="11" t="s">
        <v>652</v>
      </c>
      <c r="G1134" s="11" t="s">
        <v>136</v>
      </c>
      <c r="H1134" s="72">
        <f>H1133</f>
        <v>-14188.2</v>
      </c>
      <c r="I1134" s="5" t="b">
        <f>AND(Jnl[[#This Row],[TrxId]]&lt;&gt;"",Jnl[[#This Row],[Acct]]&lt;&gt;"",Jnl[[#This Row],[Item]]&lt;&gt;"",ISNUMBER(Jnl[[#This Row],[Bal]]))</f>
        <v>1</v>
      </c>
      <c r="J1134" s="10">
        <f>IF(Jnl[[#This Row],[BSLv0]]="A",1,-1)*Jnl[[#This Row],[Bal]]</f>
        <v>14188.2</v>
      </c>
      <c r="K1134" t="str">
        <f>_xlfn.XLOOKUP(Jnl[[#This Row],[Acct]], config_BS[Acct], config_BS[Lv0],,0)</f>
        <v>LC</v>
      </c>
      <c r="L1134" t="str">
        <f>_xlfn.XLOOKUP(Jnl[[#This Row],[Acct]], config_BS[Acct], config_BS[Lv1],,0)</f>
        <v>Liability</v>
      </c>
      <c r="M1134" t="str">
        <f>_xlfn.XLOOKUP(Jnl[[#This Row],[Acct]], config_BS[Acct], config_BS[Lv2],,0)</f>
        <v>Rec-Pay</v>
      </c>
      <c r="N1134" t="str">
        <f>_xlfn.XLOOKUP(Jnl[[#This Row],[TrxId]], Trx[Id], Trx[IncNode], ,0)</f>
        <v>Cost</v>
      </c>
      <c r="O1134" t="str">
        <f>_xlfn.XLOOKUP(Jnl[[#This Row],[IncNode]], config_IS[Node], config_IS[Type],,0)</f>
        <v>Op</v>
      </c>
      <c r="P1134" t="str">
        <f>_xlfn.XLOOKUP(Jnl[[#This Row],[BSLv2]], dict[Key], dict[Name],,0)</f>
        <v>1.应收-应付</v>
      </c>
      <c r="Q1134" t="str">
        <f>_xlfn.XLOOKUP(Jnl[[#This Row],[Acct]], dict[Key], dict[Name],,0)</f>
        <v>应付-一般</v>
      </c>
      <c r="R1134" t="str">
        <f>_xlfn.XLOOKUP(Jnl[[#This Row],[Vehicle]],config_vehicle[Id], config_vehicle[Name],,0)</f>
        <v>喜家文化</v>
      </c>
      <c r="S1134" t="str">
        <f>_xlfn.XLOOKUP(Jnl[[#This Row],[Division]],config_div[Id], config_div[Name],,0)</f>
        <v>水街店</v>
      </c>
      <c r="T1134" t="str">
        <f>IF(Jnl[[#This Row],[TrxDate]]&lt;=stmt_BS_date_end, "In", "Out")</f>
        <v>In</v>
      </c>
      <c r="U1134" t="str">
        <f>IF(Jnl[[#This Row],[TrxDate]]&lt;debug_date_start, "prior", IF(Jnl[[#This Row],[TrxDate]]&gt;debug_date_end, "post", "curr"))</f>
        <v>curr</v>
      </c>
    </row>
    <row r="1135" spans="1:21">
      <c r="A1135" s="11" t="s">
        <v>1575</v>
      </c>
      <c r="B1135" s="7">
        <f>_xlfn.XLOOKUP(Jnl[[#This Row],[TrxId]], Trx[Id], Trx[Date],,0)</f>
        <v>46081</v>
      </c>
      <c r="C1135" s="7" t="str">
        <f>_xlfn.XLOOKUP(Jnl[[#This Row],[TrxId]], Trx[Id], Trx[Division],,0)</f>
        <v>Shuijie</v>
      </c>
      <c r="D1135" s="7" t="str">
        <f>_xlfn.XLOOKUP(Jnl[[#This Row],[TrxId]], Trx[Id], Trx[Action],,0)</f>
        <v>支付</v>
      </c>
      <c r="E1135" s="26" t="s">
        <v>81</v>
      </c>
      <c r="F1135" s="11" t="s">
        <v>597</v>
      </c>
      <c r="G1135" s="11" t="s">
        <v>529</v>
      </c>
      <c r="H1135" s="72">
        <v>11000</v>
      </c>
      <c r="I1135" s="5" t="b">
        <f>AND(Jnl[[#This Row],[TrxId]]&lt;&gt;"",Jnl[[#This Row],[Acct]]&lt;&gt;"",Jnl[[#This Row],[Item]]&lt;&gt;"",ISNUMBER(Jnl[[#This Row],[Bal]]))</f>
        <v>1</v>
      </c>
      <c r="J1135" s="10">
        <f>IF(Jnl[[#This Row],[BSLv0]]="A",1,-1)*Jnl[[#This Row],[Bal]]</f>
        <v>11000</v>
      </c>
      <c r="K1135" t="str">
        <f>_xlfn.XLOOKUP(Jnl[[#This Row],[Acct]], config_BS[Acct], config_BS[Lv0],,0)</f>
        <v>A</v>
      </c>
      <c r="L1135" t="str">
        <f>_xlfn.XLOOKUP(Jnl[[#This Row],[Acct]], config_BS[Acct], config_BS[Lv1],,0)</f>
        <v>Assets</v>
      </c>
      <c r="M1135" t="str">
        <f>_xlfn.XLOOKUP(Jnl[[#This Row],[Acct]], config_BS[Acct], config_BS[Lv2],,0)</f>
        <v>Prep-Sub</v>
      </c>
      <c r="N1135" t="str">
        <f>_xlfn.XLOOKUP(Jnl[[#This Row],[TrxId]], Trx[Id], Trx[IncNode], ,0)</f>
        <v>Expense</v>
      </c>
      <c r="O1135" t="str">
        <f>_xlfn.XLOOKUP(Jnl[[#This Row],[IncNode]], config_IS[Node], config_IS[Type],,0)</f>
        <v>Op</v>
      </c>
      <c r="P1135" t="str">
        <f>_xlfn.XLOOKUP(Jnl[[#This Row],[BSLv2]], dict[Key], dict[Name],,0)</f>
        <v>2.预付-订阅</v>
      </c>
      <c r="Q1135" t="str">
        <f>_xlfn.XLOOKUP(Jnl[[#This Row],[Acct]], dict[Key], dict[Name],,0)</f>
        <v>员工预支</v>
      </c>
      <c r="R1135" t="str">
        <f>_xlfn.XLOOKUP(Jnl[[#This Row],[Vehicle]],config_vehicle[Id], config_vehicle[Name],,0)</f>
        <v>喜家文化</v>
      </c>
      <c r="S1135" t="str">
        <f>_xlfn.XLOOKUP(Jnl[[#This Row],[Division]],config_div[Id], config_div[Name],,0)</f>
        <v>水街店</v>
      </c>
      <c r="T1135" t="str">
        <f>IF(Jnl[[#This Row],[TrxDate]]&lt;=stmt_BS_date_end, "In", "Out")</f>
        <v>In</v>
      </c>
      <c r="U1135" t="str">
        <f>IF(Jnl[[#This Row],[TrxDate]]&lt;debug_date_start, "prior", IF(Jnl[[#This Row],[TrxDate]]&gt;debug_date_end, "post", "curr"))</f>
        <v>curr</v>
      </c>
    </row>
    <row r="1136" spans="1:21">
      <c r="A1136" s="11" t="s">
        <v>1575</v>
      </c>
      <c r="B1136" s="7">
        <f>_xlfn.XLOOKUP(Jnl[[#This Row],[TrxId]], Trx[Id], Trx[Date],,0)</f>
        <v>46081</v>
      </c>
      <c r="C1136" s="7" t="str">
        <f>_xlfn.XLOOKUP(Jnl[[#This Row],[TrxId]], Trx[Id], Trx[Division],,0)</f>
        <v>Shuijie</v>
      </c>
      <c r="D1136" s="7" t="str">
        <f>_xlfn.XLOOKUP(Jnl[[#This Row],[TrxId]], Trx[Id], Trx[Action],,0)</f>
        <v>支付</v>
      </c>
      <c r="E1136" s="26" t="s">
        <v>81</v>
      </c>
      <c r="F1136" s="11" t="s">
        <v>590</v>
      </c>
      <c r="G1136" s="11" t="s">
        <v>392</v>
      </c>
      <c r="H1136" s="72">
        <f>-H1135</f>
        <v>-11000</v>
      </c>
      <c r="I1136" s="5" t="b">
        <f>AND(Jnl[[#This Row],[TrxId]]&lt;&gt;"",Jnl[[#This Row],[Acct]]&lt;&gt;"",Jnl[[#This Row],[Item]]&lt;&gt;"",ISNUMBER(Jnl[[#This Row],[Bal]]))</f>
        <v>1</v>
      </c>
      <c r="J1136" s="10">
        <f>IF(Jnl[[#This Row],[BSLv0]]="A",1,-1)*Jnl[[#This Row],[Bal]]</f>
        <v>-11000</v>
      </c>
      <c r="K1136" t="str">
        <f>_xlfn.XLOOKUP(Jnl[[#This Row],[Acct]], config_BS[Acct], config_BS[Lv0],,0)</f>
        <v>A</v>
      </c>
      <c r="L1136" t="str">
        <f>_xlfn.XLOOKUP(Jnl[[#This Row],[Acct]], config_BS[Acct], config_BS[Lv1],,0)</f>
        <v>Assets</v>
      </c>
      <c r="M1136" t="str">
        <f>_xlfn.XLOOKUP(Jnl[[#This Row],[Acct]], config_BS[Acct], config_BS[Lv2],,0)</f>
        <v>Cash alike</v>
      </c>
      <c r="N1136" t="str">
        <f>_xlfn.XLOOKUP(Jnl[[#This Row],[TrxId]], Trx[Id], Trx[IncNode], ,0)</f>
        <v>Expense</v>
      </c>
      <c r="O1136" t="str">
        <f>_xlfn.XLOOKUP(Jnl[[#This Row],[IncNode]], config_IS[Node], config_IS[Type],,0)</f>
        <v>Op</v>
      </c>
      <c r="P1136" t="str">
        <f>_xlfn.XLOOKUP(Jnl[[#This Row],[BSLv2]], dict[Key], dict[Name],,0)</f>
        <v>0.现金及类似</v>
      </c>
      <c r="Q1136" t="str">
        <f>_xlfn.XLOOKUP(Jnl[[#This Row],[Acct]], dict[Key], dict[Name],,0)</f>
        <v>银行</v>
      </c>
      <c r="R1136" t="str">
        <f>_xlfn.XLOOKUP(Jnl[[#This Row],[Vehicle]],config_vehicle[Id], config_vehicle[Name],,0)</f>
        <v>喜家文化</v>
      </c>
      <c r="S1136" t="str">
        <f>_xlfn.XLOOKUP(Jnl[[#This Row],[Division]],config_div[Id], config_div[Name],,0)</f>
        <v>水街店</v>
      </c>
      <c r="T1136" t="str">
        <f>IF(Jnl[[#This Row],[TrxDate]]&lt;=stmt_BS_date_end, "In", "Out")</f>
        <v>In</v>
      </c>
      <c r="U1136" t="str">
        <f>IF(Jnl[[#This Row],[TrxDate]]&lt;debug_date_start, "prior", IF(Jnl[[#This Row],[TrxDate]]&gt;debug_date_end, "post", "curr"))</f>
        <v>curr</v>
      </c>
    </row>
    <row r="1137" spans="1:21">
      <c r="A1137" s="11" t="s">
        <v>1577</v>
      </c>
      <c r="B1137" s="7">
        <f>_xlfn.XLOOKUP(Jnl[[#This Row],[TrxId]], Trx[Id], Trx[Date],,0)</f>
        <v>46081</v>
      </c>
      <c r="C1137" s="7" t="str">
        <f>_xlfn.XLOOKUP(Jnl[[#This Row],[TrxId]], Trx[Id], Trx[Division],,0)</f>
        <v>Shuijie</v>
      </c>
      <c r="D1137" s="7" t="str">
        <f>_xlfn.XLOOKUP(Jnl[[#This Row],[TrxId]], Trx[Id], Trx[Action],,0)</f>
        <v>办公</v>
      </c>
      <c r="E1137" s="26" t="s">
        <v>81</v>
      </c>
      <c r="F1137" s="11" t="s">
        <v>590</v>
      </c>
      <c r="G1137" s="11" t="s">
        <v>392</v>
      </c>
      <c r="H1137" s="72">
        <v>-259.7</v>
      </c>
      <c r="I1137" s="5" t="b">
        <f>AND(Jnl[[#This Row],[TrxId]]&lt;&gt;"",Jnl[[#This Row],[Acct]]&lt;&gt;"",Jnl[[#This Row],[Item]]&lt;&gt;"",ISNUMBER(Jnl[[#This Row],[Bal]]))</f>
        <v>1</v>
      </c>
      <c r="J1137" s="10">
        <f>IF(Jnl[[#This Row],[BSLv0]]="A",1,-1)*Jnl[[#This Row],[Bal]]</f>
        <v>-259.7</v>
      </c>
      <c r="K1137" t="str">
        <f>_xlfn.XLOOKUP(Jnl[[#This Row],[Acct]], config_BS[Acct], config_BS[Lv0],,0)</f>
        <v>A</v>
      </c>
      <c r="L1137" t="str">
        <f>_xlfn.XLOOKUP(Jnl[[#This Row],[Acct]], config_BS[Acct], config_BS[Lv1],,0)</f>
        <v>Assets</v>
      </c>
      <c r="M1137" t="str">
        <f>_xlfn.XLOOKUP(Jnl[[#This Row],[Acct]], config_BS[Acct], config_BS[Lv2],,0)</f>
        <v>Cash alike</v>
      </c>
      <c r="N1137" t="str">
        <f>_xlfn.XLOOKUP(Jnl[[#This Row],[TrxId]], Trx[Id], Trx[IncNode], ,0)</f>
        <v>Expense</v>
      </c>
      <c r="O1137" t="str">
        <f>_xlfn.XLOOKUP(Jnl[[#This Row],[IncNode]], config_IS[Node], config_IS[Type],,0)</f>
        <v>Op</v>
      </c>
      <c r="P1137" t="str">
        <f>_xlfn.XLOOKUP(Jnl[[#This Row],[BSLv2]], dict[Key], dict[Name],,0)</f>
        <v>0.现金及类似</v>
      </c>
      <c r="Q1137" t="str">
        <f>_xlfn.XLOOKUP(Jnl[[#This Row],[Acct]], dict[Key], dict[Name],,0)</f>
        <v>银行</v>
      </c>
      <c r="R1137" t="str">
        <f>_xlfn.XLOOKUP(Jnl[[#This Row],[Vehicle]],config_vehicle[Id], config_vehicle[Name],,0)</f>
        <v>喜家文化</v>
      </c>
      <c r="S1137" t="str">
        <f>_xlfn.XLOOKUP(Jnl[[#This Row],[Division]],config_div[Id], config_div[Name],,0)</f>
        <v>水街店</v>
      </c>
      <c r="T1137" t="str">
        <f>IF(Jnl[[#This Row],[TrxDate]]&lt;=stmt_BS_date_end, "In", "Out")</f>
        <v>In</v>
      </c>
      <c r="U1137" t="str">
        <f>IF(Jnl[[#This Row],[TrxDate]]&lt;debug_date_start, "prior", IF(Jnl[[#This Row],[TrxDate]]&gt;debug_date_end, "post", "curr"))</f>
        <v>curr</v>
      </c>
    </row>
    <row r="1138" spans="1:21">
      <c r="A1138" s="11" t="s">
        <v>1579</v>
      </c>
      <c r="B1138" s="7">
        <f>_xlfn.XLOOKUP(Jnl[[#This Row],[TrxId]], Trx[Id], Trx[Date],,0)</f>
        <v>46081</v>
      </c>
      <c r="C1138" s="7" t="str">
        <f>_xlfn.XLOOKUP(Jnl[[#This Row],[TrxId]], Trx[Id], Trx[Division],,0)</f>
        <v>Shuijie</v>
      </c>
      <c r="D1138" s="7" t="str">
        <f>_xlfn.XLOOKUP(Jnl[[#This Row],[TrxId]], Trx[Id], Trx[Action],,0)</f>
        <v>存现</v>
      </c>
      <c r="E1138" s="26" t="s">
        <v>81</v>
      </c>
      <c r="F1138" s="11" t="s">
        <v>590</v>
      </c>
      <c r="G1138" s="11" t="s">
        <v>392</v>
      </c>
      <c r="H1138" s="72">
        <v>16770.2</v>
      </c>
      <c r="I1138" s="5" t="b">
        <f>AND(Jnl[[#This Row],[TrxId]]&lt;&gt;"",Jnl[[#This Row],[Acct]]&lt;&gt;"",Jnl[[#This Row],[Item]]&lt;&gt;"",ISNUMBER(Jnl[[#This Row],[Bal]]))</f>
        <v>1</v>
      </c>
      <c r="J1138" s="10">
        <f>IF(Jnl[[#This Row],[BSLv0]]="A",1,-1)*Jnl[[#This Row],[Bal]]</f>
        <v>16770.2</v>
      </c>
      <c r="K1138" t="str">
        <f>_xlfn.XLOOKUP(Jnl[[#This Row],[Acct]], config_BS[Acct], config_BS[Lv0],,0)</f>
        <v>A</v>
      </c>
      <c r="L1138" t="str">
        <f>_xlfn.XLOOKUP(Jnl[[#This Row],[Acct]], config_BS[Acct], config_BS[Lv1],,0)</f>
        <v>Assets</v>
      </c>
      <c r="M1138" t="str">
        <f>_xlfn.XLOOKUP(Jnl[[#This Row],[Acct]], config_BS[Acct], config_BS[Lv2],,0)</f>
        <v>Cash alike</v>
      </c>
      <c r="N1138" t="str">
        <f>_xlfn.XLOOKUP(Jnl[[#This Row],[TrxId]], Trx[Id], Trx[IncNode], ,0)</f>
        <v>Revenue</v>
      </c>
      <c r="O1138" t="str">
        <f>_xlfn.XLOOKUP(Jnl[[#This Row],[IncNode]], config_IS[Node], config_IS[Type],,0)</f>
        <v>Op</v>
      </c>
      <c r="P1138" t="str">
        <f>_xlfn.XLOOKUP(Jnl[[#This Row],[BSLv2]], dict[Key], dict[Name],,0)</f>
        <v>0.现金及类似</v>
      </c>
      <c r="Q1138" t="str">
        <f>_xlfn.XLOOKUP(Jnl[[#This Row],[Acct]], dict[Key], dict[Name],,0)</f>
        <v>银行</v>
      </c>
      <c r="R1138" t="str">
        <f>_xlfn.XLOOKUP(Jnl[[#This Row],[Vehicle]],config_vehicle[Id], config_vehicle[Name],,0)</f>
        <v>喜家文化</v>
      </c>
      <c r="S1138" t="str">
        <f>_xlfn.XLOOKUP(Jnl[[#This Row],[Division]],config_div[Id], config_div[Name],,0)</f>
        <v>水街店</v>
      </c>
      <c r="T1138" t="str">
        <f>IF(Jnl[[#This Row],[TrxDate]]&lt;=stmt_BS_date_end, "In", "Out")</f>
        <v>In</v>
      </c>
      <c r="U1138" t="str">
        <f>IF(Jnl[[#This Row],[TrxDate]]&lt;debug_date_start, "prior", IF(Jnl[[#This Row],[TrxDate]]&gt;debug_date_end, "post", "curr"))</f>
        <v>curr</v>
      </c>
    </row>
    <row r="1139" spans="1:21">
      <c r="A1139" s="11" t="s">
        <v>1579</v>
      </c>
      <c r="B1139" s="7">
        <f>_xlfn.XLOOKUP(Jnl[[#This Row],[TrxId]], Trx[Id], Trx[Date],,0)</f>
        <v>46081</v>
      </c>
      <c r="C1139" s="7" t="str">
        <f>_xlfn.XLOOKUP(Jnl[[#This Row],[TrxId]], Trx[Id], Trx[Division],,0)</f>
        <v>Shuijie</v>
      </c>
      <c r="D1139" s="7" t="str">
        <f>_xlfn.XLOOKUP(Jnl[[#This Row],[TrxId]], Trx[Id], Trx[Action],,0)</f>
        <v>存现</v>
      </c>
      <c r="E1139" s="26" t="s">
        <v>81</v>
      </c>
      <c r="F1139" s="11" t="s">
        <v>599</v>
      </c>
      <c r="G1139" s="11" t="s">
        <v>653</v>
      </c>
      <c r="H1139" s="72">
        <v>-16770.2</v>
      </c>
      <c r="I1139" s="5" t="b">
        <f>AND(Jnl[[#This Row],[TrxId]]&lt;&gt;"",Jnl[[#This Row],[Acct]]&lt;&gt;"",Jnl[[#This Row],[Item]]&lt;&gt;"",ISNUMBER(Jnl[[#This Row],[Bal]]))</f>
        <v>1</v>
      </c>
      <c r="J1139" s="10">
        <f>IF(Jnl[[#This Row],[BSLv0]]="A",1,-1)*Jnl[[#This Row],[Bal]]</f>
        <v>-16770.2</v>
      </c>
      <c r="K1139" t="str">
        <f>_xlfn.XLOOKUP(Jnl[[#This Row],[Acct]], config_BS[Acct], config_BS[Lv0],,0)</f>
        <v>A</v>
      </c>
      <c r="L1139" t="str">
        <f>_xlfn.XLOOKUP(Jnl[[#This Row],[Acct]], config_BS[Acct], config_BS[Lv1],,0)</f>
        <v>Assets</v>
      </c>
      <c r="M1139" t="str">
        <f>_xlfn.XLOOKUP(Jnl[[#This Row],[Acct]], config_BS[Acct], config_BS[Lv2],,0)</f>
        <v>Cash alike</v>
      </c>
      <c r="N1139" t="str">
        <f>_xlfn.XLOOKUP(Jnl[[#This Row],[TrxId]], Trx[Id], Trx[IncNode], ,0)</f>
        <v>Revenue</v>
      </c>
      <c r="O1139" t="str">
        <f>_xlfn.XLOOKUP(Jnl[[#This Row],[IncNode]], config_IS[Node], config_IS[Type],,0)</f>
        <v>Op</v>
      </c>
      <c r="P1139" t="str">
        <f>_xlfn.XLOOKUP(Jnl[[#This Row],[BSLv2]], dict[Key], dict[Name],,0)</f>
        <v>0.现金及类似</v>
      </c>
      <c r="Q1139" t="str">
        <f>_xlfn.XLOOKUP(Jnl[[#This Row],[Acct]], dict[Key], dict[Name],,0)</f>
        <v>物理现金</v>
      </c>
      <c r="R1139" t="str">
        <f>_xlfn.XLOOKUP(Jnl[[#This Row],[Vehicle]],config_vehicle[Id], config_vehicle[Name],,0)</f>
        <v>喜家文化</v>
      </c>
      <c r="S1139" t="str">
        <f>_xlfn.XLOOKUP(Jnl[[#This Row],[Division]],config_div[Id], config_div[Name],,0)</f>
        <v>水街店</v>
      </c>
      <c r="T1139" t="str">
        <f>IF(Jnl[[#This Row],[TrxDate]]&lt;=stmt_BS_date_end, "In", "Out")</f>
        <v>In</v>
      </c>
      <c r="U1139" t="str">
        <f>IF(Jnl[[#This Row],[TrxDate]]&lt;debug_date_start, "prior", IF(Jnl[[#This Row],[TrxDate]]&gt;debug_date_end, "post", "curr"))</f>
        <v>curr</v>
      </c>
    </row>
    <row r="1140" spans="1:21">
      <c r="A1140" s="11" t="s">
        <v>1580</v>
      </c>
      <c r="B1140" s="7">
        <f>_xlfn.XLOOKUP(Jnl[[#This Row],[TrxId]], Trx[Id], Trx[Date],,0)</f>
        <v>46081</v>
      </c>
      <c r="C1140" s="7" t="str">
        <f>_xlfn.XLOOKUP(Jnl[[#This Row],[TrxId]], Trx[Id], Trx[Division],,0)</f>
        <v>Shuijie</v>
      </c>
      <c r="D1140" s="7" t="str">
        <f>_xlfn.XLOOKUP(Jnl[[#This Row],[TrxId]], Trx[Id], Trx[Action],,0)</f>
        <v>支付</v>
      </c>
      <c r="E1140" s="26" t="s">
        <v>81</v>
      </c>
      <c r="F1140" s="11" t="s">
        <v>590</v>
      </c>
      <c r="G1140" s="11" t="s">
        <v>392</v>
      </c>
      <c r="H1140" s="72">
        <v>-450</v>
      </c>
      <c r="I1140" s="5" t="b">
        <f>AND(Jnl[[#This Row],[TrxId]]&lt;&gt;"",Jnl[[#This Row],[Acct]]&lt;&gt;"",Jnl[[#This Row],[Item]]&lt;&gt;"",ISNUMBER(Jnl[[#This Row],[Bal]]))</f>
        <v>1</v>
      </c>
      <c r="J1140" s="10">
        <f>IF(Jnl[[#This Row],[BSLv0]]="A",1,-1)*Jnl[[#This Row],[Bal]]</f>
        <v>-450</v>
      </c>
      <c r="K1140" t="str">
        <f>_xlfn.XLOOKUP(Jnl[[#This Row],[Acct]], config_BS[Acct], config_BS[Lv0],,0)</f>
        <v>A</v>
      </c>
      <c r="L1140" t="str">
        <f>_xlfn.XLOOKUP(Jnl[[#This Row],[Acct]], config_BS[Acct], config_BS[Lv1],,0)</f>
        <v>Assets</v>
      </c>
      <c r="M1140" t="str">
        <f>_xlfn.XLOOKUP(Jnl[[#This Row],[Acct]], config_BS[Acct], config_BS[Lv2],,0)</f>
        <v>Cash alike</v>
      </c>
      <c r="N1140" t="str">
        <f>_xlfn.XLOOKUP(Jnl[[#This Row],[TrxId]], Trx[Id], Trx[IncNode], ,0)</f>
        <v>Expense</v>
      </c>
      <c r="O1140" t="str">
        <f>_xlfn.XLOOKUP(Jnl[[#This Row],[IncNode]], config_IS[Node], config_IS[Type],,0)</f>
        <v>Op</v>
      </c>
      <c r="P1140" t="str">
        <f>_xlfn.XLOOKUP(Jnl[[#This Row],[BSLv2]], dict[Key], dict[Name],,0)</f>
        <v>0.现金及类似</v>
      </c>
      <c r="Q1140" t="str">
        <f>_xlfn.XLOOKUP(Jnl[[#This Row],[Acct]], dict[Key], dict[Name],,0)</f>
        <v>银行</v>
      </c>
      <c r="R1140" t="str">
        <f>_xlfn.XLOOKUP(Jnl[[#This Row],[Vehicle]],config_vehicle[Id], config_vehicle[Name],,0)</f>
        <v>喜家文化</v>
      </c>
      <c r="S1140" t="str">
        <f>_xlfn.XLOOKUP(Jnl[[#This Row],[Division]],config_div[Id], config_div[Name],,0)</f>
        <v>水街店</v>
      </c>
      <c r="T1140" t="str">
        <f>IF(Jnl[[#This Row],[TrxDate]]&lt;=stmt_BS_date_end, "In", "Out")</f>
        <v>In</v>
      </c>
      <c r="U1140" t="str">
        <f>IF(Jnl[[#This Row],[TrxDate]]&lt;debug_date_start, "prior", IF(Jnl[[#This Row],[TrxDate]]&gt;debug_date_end, "post", "curr"))</f>
        <v>curr</v>
      </c>
    </row>
    <row r="1141" spans="1:21">
      <c r="A1141" s="11" t="s">
        <v>1580</v>
      </c>
      <c r="B1141" s="7">
        <f>_xlfn.XLOOKUP(Jnl[[#This Row],[TrxId]], Trx[Id], Trx[Date],,0)</f>
        <v>46081</v>
      </c>
      <c r="C1141" s="7" t="str">
        <f>_xlfn.XLOOKUP(Jnl[[#This Row],[TrxId]], Trx[Id], Trx[Division],,0)</f>
        <v>Shuijie</v>
      </c>
      <c r="D1141" s="7" t="str">
        <f>_xlfn.XLOOKUP(Jnl[[#This Row],[TrxId]], Trx[Id], Trx[Action],,0)</f>
        <v>支付</v>
      </c>
      <c r="E1141" s="26" t="s">
        <v>81</v>
      </c>
      <c r="F1141" s="11" t="s">
        <v>493</v>
      </c>
      <c r="G1141" s="11" t="s">
        <v>141</v>
      </c>
      <c r="H1141" s="72">
        <v>450</v>
      </c>
      <c r="I1141" s="5" t="b">
        <f>AND(Jnl[[#This Row],[TrxId]]&lt;&gt;"",Jnl[[#This Row],[Acct]]&lt;&gt;"",Jnl[[#This Row],[Item]]&lt;&gt;"",ISNUMBER(Jnl[[#This Row],[Bal]]))</f>
        <v>1</v>
      </c>
      <c r="J1141" s="10">
        <f>IF(Jnl[[#This Row],[BSLv0]]="A",1,-1)*Jnl[[#This Row],[Bal]]</f>
        <v>450</v>
      </c>
      <c r="K1141" t="str">
        <f>_xlfn.XLOOKUP(Jnl[[#This Row],[Acct]], config_BS[Acct], config_BS[Lv0],,0)</f>
        <v>A</v>
      </c>
      <c r="L1141" t="str">
        <f>_xlfn.XLOOKUP(Jnl[[#This Row],[Acct]], config_BS[Acct], config_BS[Lv1],,0)</f>
        <v>Assets</v>
      </c>
      <c r="M1141" t="str">
        <f>_xlfn.XLOOKUP(Jnl[[#This Row],[Acct]], config_BS[Acct], config_BS[Lv2],,0)</f>
        <v>Prep-Sub</v>
      </c>
      <c r="N1141" t="str">
        <f>_xlfn.XLOOKUP(Jnl[[#This Row],[TrxId]], Trx[Id], Trx[IncNode], ,0)</f>
        <v>Expense</v>
      </c>
      <c r="O1141" t="str">
        <f>_xlfn.XLOOKUP(Jnl[[#This Row],[IncNode]], config_IS[Node], config_IS[Type],,0)</f>
        <v>Op</v>
      </c>
      <c r="P1141" t="str">
        <f>_xlfn.XLOOKUP(Jnl[[#This Row],[BSLv2]], dict[Key], dict[Name],,0)</f>
        <v>2.预付-订阅</v>
      </c>
      <c r="Q1141" t="str">
        <f>_xlfn.XLOOKUP(Jnl[[#This Row],[Acct]], dict[Key], dict[Name],,0)</f>
        <v>预付订单</v>
      </c>
      <c r="R1141" t="str">
        <f>_xlfn.XLOOKUP(Jnl[[#This Row],[Vehicle]],config_vehicle[Id], config_vehicle[Name],,0)</f>
        <v>喜家文化</v>
      </c>
      <c r="S1141" t="str">
        <f>_xlfn.XLOOKUP(Jnl[[#This Row],[Division]],config_div[Id], config_div[Name],,0)</f>
        <v>水街店</v>
      </c>
      <c r="T1141" t="str">
        <f>IF(Jnl[[#This Row],[TrxDate]]&lt;=stmt_BS_date_end, "In", "Out")</f>
        <v>In</v>
      </c>
      <c r="U1141" t="str">
        <f>IF(Jnl[[#This Row],[TrxDate]]&lt;debug_date_start, "prior", IF(Jnl[[#This Row],[TrxDate]]&gt;debug_date_end, "post", "curr"))</f>
        <v>curr</v>
      </c>
    </row>
    <row r="1142" spans="1:21">
      <c r="A1142" s="11" t="s">
        <v>1582</v>
      </c>
      <c r="B1142" s="7">
        <f>_xlfn.XLOOKUP(Jnl[[#This Row],[TrxId]], Trx[Id], Trx[Date],,0)</f>
        <v>46081</v>
      </c>
      <c r="C1142" s="7" t="str">
        <f>_xlfn.XLOOKUP(Jnl[[#This Row],[TrxId]], Trx[Id], Trx[Division],,0)</f>
        <v>Shuijie</v>
      </c>
      <c r="D1142" s="7" t="str">
        <f>_xlfn.XLOOKUP(Jnl[[#This Row],[TrxId]], Trx[Id], Trx[Action],,0)</f>
        <v>支付</v>
      </c>
      <c r="E1142" s="26" t="s">
        <v>81</v>
      </c>
      <c r="F1142" s="11" t="s">
        <v>590</v>
      </c>
      <c r="G1142" s="11" t="s">
        <v>392</v>
      </c>
      <c r="H1142" s="72">
        <v>-20000</v>
      </c>
      <c r="I1142" s="5" t="b">
        <f>AND(Jnl[[#This Row],[TrxId]]&lt;&gt;"",Jnl[[#This Row],[Acct]]&lt;&gt;"",Jnl[[#This Row],[Item]]&lt;&gt;"",ISNUMBER(Jnl[[#This Row],[Bal]]))</f>
        <v>1</v>
      </c>
      <c r="J1142" s="10">
        <f>IF(Jnl[[#This Row],[BSLv0]]="A",1,-1)*Jnl[[#This Row],[Bal]]</f>
        <v>-20000</v>
      </c>
      <c r="K1142" t="str">
        <f>_xlfn.XLOOKUP(Jnl[[#This Row],[Acct]], config_BS[Acct], config_BS[Lv0],,0)</f>
        <v>A</v>
      </c>
      <c r="L1142" t="str">
        <f>_xlfn.XLOOKUP(Jnl[[#This Row],[Acct]], config_BS[Acct], config_BS[Lv1],,0)</f>
        <v>Assets</v>
      </c>
      <c r="M1142" t="str">
        <f>_xlfn.XLOOKUP(Jnl[[#This Row],[Acct]], config_BS[Acct], config_BS[Lv2],,0)</f>
        <v>Cash alike</v>
      </c>
      <c r="N1142" t="str">
        <f>_xlfn.XLOOKUP(Jnl[[#This Row],[TrxId]], Trx[Id], Trx[IncNode], ,0)</f>
        <v>Expense</v>
      </c>
      <c r="O1142" t="str">
        <f>_xlfn.XLOOKUP(Jnl[[#This Row],[IncNode]], config_IS[Node], config_IS[Type],,0)</f>
        <v>Op</v>
      </c>
      <c r="P1142" t="str">
        <f>_xlfn.XLOOKUP(Jnl[[#This Row],[BSLv2]], dict[Key], dict[Name],,0)</f>
        <v>0.现金及类似</v>
      </c>
      <c r="Q1142" t="str">
        <f>_xlfn.XLOOKUP(Jnl[[#This Row],[Acct]], dict[Key], dict[Name],,0)</f>
        <v>银行</v>
      </c>
      <c r="R1142" t="str">
        <f>_xlfn.XLOOKUP(Jnl[[#This Row],[Vehicle]],config_vehicle[Id], config_vehicle[Name],,0)</f>
        <v>喜家文化</v>
      </c>
      <c r="S1142" t="str">
        <f>_xlfn.XLOOKUP(Jnl[[#This Row],[Division]],config_div[Id], config_div[Name],,0)</f>
        <v>水街店</v>
      </c>
      <c r="T1142" t="str">
        <f>IF(Jnl[[#This Row],[TrxDate]]&lt;=stmt_BS_date_end, "In", "Out")</f>
        <v>In</v>
      </c>
      <c r="U1142" t="str">
        <f>IF(Jnl[[#This Row],[TrxDate]]&lt;debug_date_start, "prior", IF(Jnl[[#This Row],[TrxDate]]&gt;debug_date_end, "post", "curr"))</f>
        <v>curr</v>
      </c>
    </row>
    <row r="1143" spans="1:21">
      <c r="A1143" s="11" t="s">
        <v>1582</v>
      </c>
      <c r="B1143" s="7">
        <f>_xlfn.XLOOKUP(Jnl[[#This Row],[TrxId]], Trx[Id], Trx[Date],,0)</f>
        <v>46081</v>
      </c>
      <c r="C1143" s="7" t="str">
        <f>_xlfn.XLOOKUP(Jnl[[#This Row],[TrxId]], Trx[Id], Trx[Division],,0)</f>
        <v>Shuijie</v>
      </c>
      <c r="D1143" s="7" t="str">
        <f>_xlfn.XLOOKUP(Jnl[[#This Row],[TrxId]], Trx[Id], Trx[Action],,0)</f>
        <v>支付</v>
      </c>
      <c r="E1143" s="26" t="s">
        <v>81</v>
      </c>
      <c r="F1143" s="11" t="s">
        <v>493</v>
      </c>
      <c r="G1143" s="11" t="s">
        <v>141</v>
      </c>
      <c r="H1143" s="72">
        <v>20000</v>
      </c>
      <c r="I1143" s="5" t="b">
        <f>AND(Jnl[[#This Row],[TrxId]]&lt;&gt;"",Jnl[[#This Row],[Acct]]&lt;&gt;"",Jnl[[#This Row],[Item]]&lt;&gt;"",ISNUMBER(Jnl[[#This Row],[Bal]]))</f>
        <v>1</v>
      </c>
      <c r="J1143" s="10">
        <f>IF(Jnl[[#This Row],[BSLv0]]="A",1,-1)*Jnl[[#This Row],[Bal]]</f>
        <v>20000</v>
      </c>
      <c r="K1143" t="str">
        <f>_xlfn.XLOOKUP(Jnl[[#This Row],[Acct]], config_BS[Acct], config_BS[Lv0],,0)</f>
        <v>A</v>
      </c>
      <c r="L1143" t="str">
        <f>_xlfn.XLOOKUP(Jnl[[#This Row],[Acct]], config_BS[Acct], config_BS[Lv1],,0)</f>
        <v>Assets</v>
      </c>
      <c r="M1143" t="str">
        <f>_xlfn.XLOOKUP(Jnl[[#This Row],[Acct]], config_BS[Acct], config_BS[Lv2],,0)</f>
        <v>Prep-Sub</v>
      </c>
      <c r="N1143" t="str">
        <f>_xlfn.XLOOKUP(Jnl[[#This Row],[TrxId]], Trx[Id], Trx[IncNode], ,0)</f>
        <v>Expense</v>
      </c>
      <c r="O1143" t="str">
        <f>_xlfn.XLOOKUP(Jnl[[#This Row],[IncNode]], config_IS[Node], config_IS[Type],,0)</f>
        <v>Op</v>
      </c>
      <c r="P1143" t="str">
        <f>_xlfn.XLOOKUP(Jnl[[#This Row],[BSLv2]], dict[Key], dict[Name],,0)</f>
        <v>2.预付-订阅</v>
      </c>
      <c r="Q1143" t="str">
        <f>_xlfn.XLOOKUP(Jnl[[#This Row],[Acct]], dict[Key], dict[Name],,0)</f>
        <v>预付订单</v>
      </c>
      <c r="R1143" t="str">
        <f>_xlfn.XLOOKUP(Jnl[[#This Row],[Vehicle]],config_vehicle[Id], config_vehicle[Name],,0)</f>
        <v>喜家文化</v>
      </c>
      <c r="S1143" t="str">
        <f>_xlfn.XLOOKUP(Jnl[[#This Row],[Division]],config_div[Id], config_div[Name],,0)</f>
        <v>水街店</v>
      </c>
      <c r="T1143" t="str">
        <f>IF(Jnl[[#This Row],[TrxDate]]&lt;=stmt_BS_date_end, "In", "Out")</f>
        <v>In</v>
      </c>
      <c r="U1143" t="str">
        <f>IF(Jnl[[#This Row],[TrxDate]]&lt;debug_date_start, "prior", IF(Jnl[[#This Row],[TrxDate]]&gt;debug_date_end, "post", "curr"))</f>
        <v>curr</v>
      </c>
    </row>
    <row r="1144" spans="1:21">
      <c r="A1144" s="11" t="s">
        <v>1584</v>
      </c>
      <c r="B1144" s="7">
        <f>_xlfn.XLOOKUP(Jnl[[#This Row],[TrxId]], Trx[Id], Trx[Date],,0)</f>
        <v>46081</v>
      </c>
      <c r="C1144" s="7" t="str">
        <f>_xlfn.XLOOKUP(Jnl[[#This Row],[TrxId]], Trx[Id], Trx[Division],,0)</f>
        <v>Shuijie</v>
      </c>
      <c r="D1144" s="7" t="str">
        <f>_xlfn.XLOOKUP(Jnl[[#This Row],[TrxId]], Trx[Id], Trx[Action],,0)</f>
        <v>支付</v>
      </c>
      <c r="E1144" s="26" t="s">
        <v>81</v>
      </c>
      <c r="F1144" s="11" t="s">
        <v>590</v>
      </c>
      <c r="G1144" s="11" t="s">
        <v>392</v>
      </c>
      <c r="H1144" s="72">
        <v>-15000</v>
      </c>
      <c r="I1144" s="5" t="b">
        <f>AND(Jnl[[#This Row],[TrxId]]&lt;&gt;"",Jnl[[#This Row],[Acct]]&lt;&gt;"",Jnl[[#This Row],[Item]]&lt;&gt;"",ISNUMBER(Jnl[[#This Row],[Bal]]))</f>
        <v>1</v>
      </c>
      <c r="J1144" s="10">
        <f>IF(Jnl[[#This Row],[BSLv0]]="A",1,-1)*Jnl[[#This Row],[Bal]]</f>
        <v>-15000</v>
      </c>
      <c r="K1144" t="str">
        <f>_xlfn.XLOOKUP(Jnl[[#This Row],[Acct]], config_BS[Acct], config_BS[Lv0],,0)</f>
        <v>A</v>
      </c>
      <c r="L1144" t="str">
        <f>_xlfn.XLOOKUP(Jnl[[#This Row],[Acct]], config_BS[Acct], config_BS[Lv1],,0)</f>
        <v>Assets</v>
      </c>
      <c r="M1144" t="str">
        <f>_xlfn.XLOOKUP(Jnl[[#This Row],[Acct]], config_BS[Acct], config_BS[Lv2],,0)</f>
        <v>Cash alike</v>
      </c>
      <c r="N1144" t="str">
        <f>_xlfn.XLOOKUP(Jnl[[#This Row],[TrxId]], Trx[Id], Trx[IncNode], ,0)</f>
        <v>Expense</v>
      </c>
      <c r="O1144" t="str">
        <f>_xlfn.XLOOKUP(Jnl[[#This Row],[IncNode]], config_IS[Node], config_IS[Type],,0)</f>
        <v>Op</v>
      </c>
      <c r="P1144" t="str">
        <f>_xlfn.XLOOKUP(Jnl[[#This Row],[BSLv2]], dict[Key], dict[Name],,0)</f>
        <v>0.现金及类似</v>
      </c>
      <c r="Q1144" t="str">
        <f>_xlfn.XLOOKUP(Jnl[[#This Row],[Acct]], dict[Key], dict[Name],,0)</f>
        <v>银行</v>
      </c>
      <c r="R1144" t="str">
        <f>_xlfn.XLOOKUP(Jnl[[#This Row],[Vehicle]],config_vehicle[Id], config_vehicle[Name],,0)</f>
        <v>喜家文化</v>
      </c>
      <c r="S1144" t="str">
        <f>_xlfn.XLOOKUP(Jnl[[#This Row],[Division]],config_div[Id], config_div[Name],,0)</f>
        <v>水街店</v>
      </c>
      <c r="T1144" t="str">
        <f>IF(Jnl[[#This Row],[TrxDate]]&lt;=stmt_BS_date_end, "In", "Out")</f>
        <v>In</v>
      </c>
      <c r="U1144" t="str">
        <f>IF(Jnl[[#This Row],[TrxDate]]&lt;debug_date_start, "prior", IF(Jnl[[#This Row],[TrxDate]]&gt;debug_date_end, "post", "curr"))</f>
        <v>curr</v>
      </c>
    </row>
    <row r="1145" spans="1:21">
      <c r="A1145" s="11" t="s">
        <v>1584</v>
      </c>
      <c r="B1145" s="7">
        <f>_xlfn.XLOOKUP(Jnl[[#This Row],[TrxId]], Trx[Id], Trx[Date],,0)</f>
        <v>46081</v>
      </c>
      <c r="C1145" s="7" t="str">
        <f>_xlfn.XLOOKUP(Jnl[[#This Row],[TrxId]], Trx[Id], Trx[Division],,0)</f>
        <v>Shuijie</v>
      </c>
      <c r="D1145" s="7" t="str">
        <f>_xlfn.XLOOKUP(Jnl[[#This Row],[TrxId]], Trx[Id], Trx[Action],,0)</f>
        <v>支付</v>
      </c>
      <c r="E1145" s="26" t="s">
        <v>81</v>
      </c>
      <c r="F1145" s="11" t="s">
        <v>493</v>
      </c>
      <c r="G1145" s="11" t="s">
        <v>141</v>
      </c>
      <c r="H1145" s="72">
        <v>15000</v>
      </c>
      <c r="I1145" s="5" t="b">
        <f>AND(Jnl[[#This Row],[TrxId]]&lt;&gt;"",Jnl[[#This Row],[Acct]]&lt;&gt;"",Jnl[[#This Row],[Item]]&lt;&gt;"",ISNUMBER(Jnl[[#This Row],[Bal]]))</f>
        <v>1</v>
      </c>
      <c r="J1145" s="10">
        <f>IF(Jnl[[#This Row],[BSLv0]]="A",1,-1)*Jnl[[#This Row],[Bal]]</f>
        <v>15000</v>
      </c>
      <c r="K1145" t="str">
        <f>_xlfn.XLOOKUP(Jnl[[#This Row],[Acct]], config_BS[Acct], config_BS[Lv0],,0)</f>
        <v>A</v>
      </c>
      <c r="L1145" t="str">
        <f>_xlfn.XLOOKUP(Jnl[[#This Row],[Acct]], config_BS[Acct], config_BS[Lv1],,0)</f>
        <v>Assets</v>
      </c>
      <c r="M1145" t="str">
        <f>_xlfn.XLOOKUP(Jnl[[#This Row],[Acct]], config_BS[Acct], config_BS[Lv2],,0)</f>
        <v>Prep-Sub</v>
      </c>
      <c r="N1145" t="str">
        <f>_xlfn.XLOOKUP(Jnl[[#This Row],[TrxId]], Trx[Id], Trx[IncNode], ,0)</f>
        <v>Expense</v>
      </c>
      <c r="O1145" t="str">
        <f>_xlfn.XLOOKUP(Jnl[[#This Row],[IncNode]], config_IS[Node], config_IS[Type],,0)</f>
        <v>Op</v>
      </c>
      <c r="P1145" t="str">
        <f>_xlfn.XLOOKUP(Jnl[[#This Row],[BSLv2]], dict[Key], dict[Name],,0)</f>
        <v>2.预付-订阅</v>
      </c>
      <c r="Q1145" t="str">
        <f>_xlfn.XLOOKUP(Jnl[[#This Row],[Acct]], dict[Key], dict[Name],,0)</f>
        <v>预付订单</v>
      </c>
      <c r="R1145" t="str">
        <f>_xlfn.XLOOKUP(Jnl[[#This Row],[Vehicle]],config_vehicle[Id], config_vehicle[Name],,0)</f>
        <v>喜家文化</v>
      </c>
      <c r="S1145" t="str">
        <f>_xlfn.XLOOKUP(Jnl[[#This Row],[Division]],config_div[Id], config_div[Name],,0)</f>
        <v>水街店</v>
      </c>
      <c r="T1145" t="str">
        <f>IF(Jnl[[#This Row],[TrxDate]]&lt;=stmt_BS_date_end, "In", "Out")</f>
        <v>In</v>
      </c>
      <c r="U1145" t="str">
        <f>IF(Jnl[[#This Row],[TrxDate]]&lt;debug_date_start, "prior", IF(Jnl[[#This Row],[TrxDate]]&gt;debug_date_end, "post", "curr"))</f>
        <v>curr</v>
      </c>
    </row>
    <row r="1146" spans="1:21">
      <c r="A1146" s="11" t="s">
        <v>1585</v>
      </c>
      <c r="B1146" s="7">
        <f>_xlfn.XLOOKUP(Jnl[[#This Row],[TrxId]], Trx[Id], Trx[Date],,0)</f>
        <v>46081</v>
      </c>
      <c r="C1146" s="7" t="str">
        <f>_xlfn.XLOOKUP(Jnl[[#This Row],[TrxId]], Trx[Id], Trx[Division],,0)</f>
        <v>Shuijie</v>
      </c>
      <c r="D1146" s="7" t="str">
        <f>_xlfn.XLOOKUP(Jnl[[#This Row],[TrxId]], Trx[Id], Trx[Action],,0)</f>
        <v>维护</v>
      </c>
      <c r="E1146" s="26" t="s">
        <v>81</v>
      </c>
      <c r="F1146" s="11" t="s">
        <v>590</v>
      </c>
      <c r="G1146" s="11" t="s">
        <v>392</v>
      </c>
      <c r="H1146" s="72">
        <v>-2716</v>
      </c>
      <c r="I1146" s="5" t="b">
        <f>AND(Jnl[[#This Row],[TrxId]]&lt;&gt;"",Jnl[[#This Row],[Acct]]&lt;&gt;"",Jnl[[#This Row],[Item]]&lt;&gt;"",ISNUMBER(Jnl[[#This Row],[Bal]]))</f>
        <v>1</v>
      </c>
      <c r="J1146" s="10">
        <f>IF(Jnl[[#This Row],[BSLv0]]="A",1,-1)*Jnl[[#This Row],[Bal]]</f>
        <v>-2716</v>
      </c>
      <c r="K1146" t="str">
        <f>_xlfn.XLOOKUP(Jnl[[#This Row],[Acct]], config_BS[Acct], config_BS[Lv0],,0)</f>
        <v>A</v>
      </c>
      <c r="L1146" t="str">
        <f>_xlfn.XLOOKUP(Jnl[[#This Row],[Acct]], config_BS[Acct], config_BS[Lv1],,0)</f>
        <v>Assets</v>
      </c>
      <c r="M1146" t="str">
        <f>_xlfn.XLOOKUP(Jnl[[#This Row],[Acct]], config_BS[Acct], config_BS[Lv2],,0)</f>
        <v>Cash alike</v>
      </c>
      <c r="N1146" t="str">
        <f>_xlfn.XLOOKUP(Jnl[[#This Row],[TrxId]], Trx[Id], Trx[IncNode], ,0)</f>
        <v>Expense</v>
      </c>
      <c r="O1146" t="str">
        <f>_xlfn.XLOOKUP(Jnl[[#This Row],[IncNode]], config_IS[Node], config_IS[Type],,0)</f>
        <v>Op</v>
      </c>
      <c r="P1146" t="str">
        <f>_xlfn.XLOOKUP(Jnl[[#This Row],[BSLv2]], dict[Key], dict[Name],,0)</f>
        <v>0.现金及类似</v>
      </c>
      <c r="Q1146" t="str">
        <f>_xlfn.XLOOKUP(Jnl[[#This Row],[Acct]], dict[Key], dict[Name],,0)</f>
        <v>银行</v>
      </c>
      <c r="R1146" t="str">
        <f>_xlfn.XLOOKUP(Jnl[[#This Row],[Vehicle]],config_vehicle[Id], config_vehicle[Name],,0)</f>
        <v>喜家文化</v>
      </c>
      <c r="S1146" t="str">
        <f>_xlfn.XLOOKUP(Jnl[[#This Row],[Division]],config_div[Id], config_div[Name],,0)</f>
        <v>水街店</v>
      </c>
      <c r="T1146" t="str">
        <f>IF(Jnl[[#This Row],[TrxDate]]&lt;=stmt_BS_date_end, "In", "Out")</f>
        <v>In</v>
      </c>
      <c r="U1146" t="str">
        <f>IF(Jnl[[#This Row],[TrxDate]]&lt;debug_date_start, "prior", IF(Jnl[[#This Row],[TrxDate]]&gt;debug_date_end, "post", "curr"))</f>
        <v>curr</v>
      </c>
    </row>
    <row r="1147" spans="1:21">
      <c r="A1147" s="11" t="s">
        <v>1586</v>
      </c>
      <c r="B1147" s="7">
        <f>_xlfn.XLOOKUP(Jnl[[#This Row],[TrxId]], Trx[Id], Trx[Date],,0)</f>
        <v>46081</v>
      </c>
      <c r="C1147" s="7" t="str">
        <f>_xlfn.XLOOKUP(Jnl[[#This Row],[TrxId]], Trx[Id], Trx[Division],,0)</f>
        <v>Shuijie</v>
      </c>
      <c r="D1147" s="7" t="str">
        <f>_xlfn.XLOOKUP(Jnl[[#This Row],[TrxId]], Trx[Id], Trx[Action],,0)</f>
        <v>物流</v>
      </c>
      <c r="E1147" s="26" t="s">
        <v>81</v>
      </c>
      <c r="F1147" s="11" t="s">
        <v>590</v>
      </c>
      <c r="G1147" s="11" t="s">
        <v>392</v>
      </c>
      <c r="H1147" s="72">
        <v>-3056.55</v>
      </c>
      <c r="I1147" s="5" t="b">
        <f>AND(Jnl[[#This Row],[TrxId]]&lt;&gt;"",Jnl[[#This Row],[Acct]]&lt;&gt;"",Jnl[[#This Row],[Item]]&lt;&gt;"",ISNUMBER(Jnl[[#This Row],[Bal]]))</f>
        <v>1</v>
      </c>
      <c r="J1147" s="10">
        <f>IF(Jnl[[#This Row],[BSLv0]]="A",1,-1)*Jnl[[#This Row],[Bal]]</f>
        <v>-3056.55</v>
      </c>
      <c r="K1147" t="str">
        <f>_xlfn.XLOOKUP(Jnl[[#This Row],[Acct]], config_BS[Acct], config_BS[Lv0],,0)</f>
        <v>A</v>
      </c>
      <c r="L1147" t="str">
        <f>_xlfn.XLOOKUP(Jnl[[#This Row],[Acct]], config_BS[Acct], config_BS[Lv1],,0)</f>
        <v>Assets</v>
      </c>
      <c r="M1147" t="str">
        <f>_xlfn.XLOOKUP(Jnl[[#This Row],[Acct]], config_BS[Acct], config_BS[Lv2],,0)</f>
        <v>Cash alike</v>
      </c>
      <c r="N1147" t="str">
        <f>_xlfn.XLOOKUP(Jnl[[#This Row],[TrxId]], Trx[Id], Trx[IncNode], ,0)</f>
        <v>Expense</v>
      </c>
      <c r="O1147" t="str">
        <f>_xlfn.XLOOKUP(Jnl[[#This Row],[IncNode]], config_IS[Node], config_IS[Type],,0)</f>
        <v>Op</v>
      </c>
      <c r="P1147" t="str">
        <f>_xlfn.XLOOKUP(Jnl[[#This Row],[BSLv2]], dict[Key], dict[Name],,0)</f>
        <v>0.现金及类似</v>
      </c>
      <c r="Q1147" t="str">
        <f>_xlfn.XLOOKUP(Jnl[[#This Row],[Acct]], dict[Key], dict[Name],,0)</f>
        <v>银行</v>
      </c>
      <c r="R1147" t="str">
        <f>_xlfn.XLOOKUP(Jnl[[#This Row],[Vehicle]],config_vehicle[Id], config_vehicle[Name],,0)</f>
        <v>喜家文化</v>
      </c>
      <c r="S1147" t="str">
        <f>_xlfn.XLOOKUP(Jnl[[#This Row],[Division]],config_div[Id], config_div[Name],,0)</f>
        <v>水街店</v>
      </c>
      <c r="T1147" t="str">
        <f>IF(Jnl[[#This Row],[TrxDate]]&lt;=stmt_BS_date_end, "In", "Out")</f>
        <v>In</v>
      </c>
      <c r="U1147" t="str">
        <f>IF(Jnl[[#This Row],[TrxDate]]&lt;debug_date_start, "prior", IF(Jnl[[#This Row],[TrxDate]]&gt;debug_date_end, "post", "curr"))</f>
        <v>curr</v>
      </c>
    </row>
    <row r="1148" spans="1:21">
      <c r="A1148" s="11" t="s">
        <v>1587</v>
      </c>
      <c r="B1148" s="7">
        <f>_xlfn.XLOOKUP(Jnl[[#This Row],[TrxId]], Trx[Id], Trx[Date],,0)</f>
        <v>46081</v>
      </c>
      <c r="C1148" s="7" t="str">
        <f>_xlfn.XLOOKUP(Jnl[[#This Row],[TrxId]], Trx[Id], Trx[Division],,0)</f>
        <v>Shuijie</v>
      </c>
      <c r="D1148" s="7" t="str">
        <f>_xlfn.XLOOKUP(Jnl[[#This Row],[TrxId]], Trx[Id], Trx[Action],,0)</f>
        <v>支付</v>
      </c>
      <c r="E1148" s="26" t="s">
        <v>81</v>
      </c>
      <c r="F1148" s="11" t="s">
        <v>590</v>
      </c>
      <c r="G1148" s="11" t="s">
        <v>392</v>
      </c>
      <c r="H1148" s="72">
        <v>-33</v>
      </c>
      <c r="I1148" s="5" t="b">
        <f>AND(Jnl[[#This Row],[TrxId]]&lt;&gt;"",Jnl[[#This Row],[Acct]]&lt;&gt;"",Jnl[[#This Row],[Item]]&lt;&gt;"",ISNUMBER(Jnl[[#This Row],[Bal]]))</f>
        <v>1</v>
      </c>
      <c r="J1148" s="10">
        <f>IF(Jnl[[#This Row],[BSLv0]]="A",1,-1)*Jnl[[#This Row],[Bal]]</f>
        <v>-33</v>
      </c>
      <c r="K1148" t="str">
        <f>_xlfn.XLOOKUP(Jnl[[#This Row],[Acct]], config_BS[Acct], config_BS[Lv0],,0)</f>
        <v>A</v>
      </c>
      <c r="L1148" t="str">
        <f>_xlfn.XLOOKUP(Jnl[[#This Row],[Acct]], config_BS[Acct], config_BS[Lv1],,0)</f>
        <v>Assets</v>
      </c>
      <c r="M1148" t="str">
        <f>_xlfn.XLOOKUP(Jnl[[#This Row],[Acct]], config_BS[Acct], config_BS[Lv2],,0)</f>
        <v>Cash alike</v>
      </c>
      <c r="N1148" t="str">
        <f>_xlfn.XLOOKUP(Jnl[[#This Row],[TrxId]], Trx[Id], Trx[IncNode], ,0)</f>
        <v>Expense</v>
      </c>
      <c r="O1148" t="str">
        <f>_xlfn.XLOOKUP(Jnl[[#This Row],[IncNode]], config_IS[Node], config_IS[Type],,0)</f>
        <v>Op</v>
      </c>
      <c r="P1148" t="str">
        <f>_xlfn.XLOOKUP(Jnl[[#This Row],[BSLv2]], dict[Key], dict[Name],,0)</f>
        <v>0.现金及类似</v>
      </c>
      <c r="Q1148" t="str">
        <f>_xlfn.XLOOKUP(Jnl[[#This Row],[Acct]], dict[Key], dict[Name],,0)</f>
        <v>银行</v>
      </c>
      <c r="R1148" t="str">
        <f>_xlfn.XLOOKUP(Jnl[[#This Row],[Vehicle]],config_vehicle[Id], config_vehicle[Name],,0)</f>
        <v>喜家文化</v>
      </c>
      <c r="S1148" t="str">
        <f>_xlfn.XLOOKUP(Jnl[[#This Row],[Division]],config_div[Id], config_div[Name],,0)</f>
        <v>水街店</v>
      </c>
      <c r="T1148" t="str">
        <f>IF(Jnl[[#This Row],[TrxDate]]&lt;=stmt_BS_date_end, "In", "Out")</f>
        <v>In</v>
      </c>
      <c r="U1148" t="str">
        <f>IF(Jnl[[#This Row],[TrxDate]]&lt;debug_date_start, "prior", IF(Jnl[[#This Row],[TrxDate]]&gt;debug_date_end, "post", "curr"))</f>
        <v>curr</v>
      </c>
    </row>
    <row r="1149" spans="1:21">
      <c r="A1149" s="11" t="s">
        <v>1587</v>
      </c>
      <c r="B1149" s="7">
        <f>_xlfn.XLOOKUP(Jnl[[#This Row],[TrxId]], Trx[Id], Trx[Date],,0)</f>
        <v>46081</v>
      </c>
      <c r="C1149" s="7" t="str">
        <f>_xlfn.XLOOKUP(Jnl[[#This Row],[TrxId]], Trx[Id], Trx[Division],,0)</f>
        <v>Shuijie</v>
      </c>
      <c r="D1149" s="7" t="str">
        <f>_xlfn.XLOOKUP(Jnl[[#This Row],[TrxId]], Trx[Id], Trx[Action],,0)</f>
        <v>支付</v>
      </c>
      <c r="E1149" s="26" t="s">
        <v>81</v>
      </c>
      <c r="F1149" s="11" t="s">
        <v>493</v>
      </c>
      <c r="G1149" s="11" t="s">
        <v>141</v>
      </c>
      <c r="H1149" s="72">
        <v>33</v>
      </c>
      <c r="I1149" s="5" t="b">
        <f>AND(Jnl[[#This Row],[TrxId]]&lt;&gt;"",Jnl[[#This Row],[Acct]]&lt;&gt;"",Jnl[[#This Row],[Item]]&lt;&gt;"",ISNUMBER(Jnl[[#This Row],[Bal]]))</f>
        <v>1</v>
      </c>
      <c r="J1149" s="10">
        <f>IF(Jnl[[#This Row],[BSLv0]]="A",1,-1)*Jnl[[#This Row],[Bal]]</f>
        <v>33</v>
      </c>
      <c r="K1149" t="str">
        <f>_xlfn.XLOOKUP(Jnl[[#This Row],[Acct]], config_BS[Acct], config_BS[Lv0],,0)</f>
        <v>A</v>
      </c>
      <c r="L1149" t="str">
        <f>_xlfn.XLOOKUP(Jnl[[#This Row],[Acct]], config_BS[Acct], config_BS[Lv1],,0)</f>
        <v>Assets</v>
      </c>
      <c r="M1149" t="str">
        <f>_xlfn.XLOOKUP(Jnl[[#This Row],[Acct]], config_BS[Acct], config_BS[Lv2],,0)</f>
        <v>Prep-Sub</v>
      </c>
      <c r="N1149" t="str">
        <f>_xlfn.XLOOKUP(Jnl[[#This Row],[TrxId]], Trx[Id], Trx[IncNode], ,0)</f>
        <v>Expense</v>
      </c>
      <c r="O1149" t="str">
        <f>_xlfn.XLOOKUP(Jnl[[#This Row],[IncNode]], config_IS[Node], config_IS[Type],,0)</f>
        <v>Op</v>
      </c>
      <c r="P1149" t="str">
        <f>_xlfn.XLOOKUP(Jnl[[#This Row],[BSLv2]], dict[Key], dict[Name],,0)</f>
        <v>2.预付-订阅</v>
      </c>
      <c r="Q1149" t="str">
        <f>_xlfn.XLOOKUP(Jnl[[#This Row],[Acct]], dict[Key], dict[Name],,0)</f>
        <v>预付订单</v>
      </c>
      <c r="R1149" t="str">
        <f>_xlfn.XLOOKUP(Jnl[[#This Row],[Vehicle]],config_vehicle[Id], config_vehicle[Name],,0)</f>
        <v>喜家文化</v>
      </c>
      <c r="S1149" t="str">
        <f>_xlfn.XLOOKUP(Jnl[[#This Row],[Division]],config_div[Id], config_div[Name],,0)</f>
        <v>水街店</v>
      </c>
      <c r="T1149" t="str">
        <f>IF(Jnl[[#This Row],[TrxDate]]&lt;=stmt_BS_date_end, "In", "Out")</f>
        <v>In</v>
      </c>
      <c r="U1149" t="str">
        <f>IF(Jnl[[#This Row],[TrxDate]]&lt;debug_date_start, "prior", IF(Jnl[[#This Row],[TrxDate]]&gt;debug_date_end, "post", "curr"))</f>
        <v>curr</v>
      </c>
    </row>
    <row r="1150" spans="1:21">
      <c r="A1150" s="11" t="s">
        <v>1588</v>
      </c>
      <c r="B1150" s="7">
        <f>_xlfn.XLOOKUP(Jnl[[#This Row],[TrxId]], Trx[Id], Trx[Date],,0)</f>
        <v>46081</v>
      </c>
      <c r="C1150" s="7" t="str">
        <f>_xlfn.XLOOKUP(Jnl[[#This Row],[TrxId]], Trx[Id], Trx[Division],,0)</f>
        <v>Shuijie</v>
      </c>
      <c r="D1150" s="7" t="str">
        <f>_xlfn.XLOOKUP(Jnl[[#This Row],[TrxId]], Trx[Id], Trx[Action],,0)</f>
        <v>支付</v>
      </c>
      <c r="E1150" s="26" t="s">
        <v>81</v>
      </c>
      <c r="F1150" s="11" t="s">
        <v>596</v>
      </c>
      <c r="G1150" s="11" t="s">
        <v>149</v>
      </c>
      <c r="H1150" s="72">
        <v>-36283.379999999997</v>
      </c>
      <c r="I1150" s="5" t="b">
        <f>AND(Jnl[[#This Row],[TrxId]]&lt;&gt;"",Jnl[[#This Row],[Acct]]&lt;&gt;"",Jnl[[#This Row],[Item]]&lt;&gt;"",ISNUMBER(Jnl[[#This Row],[Bal]]))</f>
        <v>1</v>
      </c>
      <c r="J1150" s="10">
        <f>IF(Jnl[[#This Row],[BSLv0]]="A",1,-1)*Jnl[[#This Row],[Bal]]</f>
        <v>36283.379999999997</v>
      </c>
      <c r="K1150" t="str">
        <f>_xlfn.XLOOKUP(Jnl[[#This Row],[Acct]], config_BS[Acct], config_BS[Lv0],,0)</f>
        <v>LC</v>
      </c>
      <c r="L1150" t="str">
        <f>_xlfn.XLOOKUP(Jnl[[#This Row],[Acct]], config_BS[Acct], config_BS[Lv1],,0)</f>
        <v>Liability</v>
      </c>
      <c r="M1150" t="str">
        <f>_xlfn.XLOOKUP(Jnl[[#This Row],[Acct]], config_BS[Acct], config_BS[Lv2],,0)</f>
        <v>Rec-Pay</v>
      </c>
      <c r="N1150" t="str">
        <f>_xlfn.XLOOKUP(Jnl[[#This Row],[TrxId]], Trx[Id], Trx[IncNode], ,0)</f>
        <v>Expense</v>
      </c>
      <c r="O1150" t="str">
        <f>_xlfn.XLOOKUP(Jnl[[#This Row],[IncNode]], config_IS[Node], config_IS[Type],,0)</f>
        <v>Op</v>
      </c>
      <c r="P1150" t="str">
        <f>_xlfn.XLOOKUP(Jnl[[#This Row],[BSLv2]], dict[Key], dict[Name],,0)</f>
        <v>1.应收-应付</v>
      </c>
      <c r="Q1150" t="str">
        <f>_xlfn.XLOOKUP(Jnl[[#This Row],[Acct]], dict[Key], dict[Name],,0)</f>
        <v>应付-薪资</v>
      </c>
      <c r="R1150" t="str">
        <f>_xlfn.XLOOKUP(Jnl[[#This Row],[Vehicle]],config_vehicle[Id], config_vehicle[Name],,0)</f>
        <v>喜家文化</v>
      </c>
      <c r="S1150" t="str">
        <f>_xlfn.XLOOKUP(Jnl[[#This Row],[Division]],config_div[Id], config_div[Name],,0)</f>
        <v>水街店</v>
      </c>
      <c r="T1150" t="str">
        <f>IF(Jnl[[#This Row],[TrxDate]]&lt;=stmt_BS_date_end, "In", "Out")</f>
        <v>In</v>
      </c>
      <c r="U1150" t="str">
        <f>IF(Jnl[[#This Row],[TrxDate]]&lt;debug_date_start, "prior", IF(Jnl[[#This Row],[TrxDate]]&gt;debug_date_end, "post", "curr"))</f>
        <v>curr</v>
      </c>
    </row>
    <row r="1151" spans="1:21">
      <c r="A1151" s="11" t="s">
        <v>1588</v>
      </c>
      <c r="B1151" s="7">
        <f>_xlfn.XLOOKUP(Jnl[[#This Row],[TrxId]], Trx[Id], Trx[Date],,0)</f>
        <v>46081</v>
      </c>
      <c r="C1151" s="7" t="str">
        <f>_xlfn.XLOOKUP(Jnl[[#This Row],[TrxId]], Trx[Id], Trx[Division],,0)</f>
        <v>Shuijie</v>
      </c>
      <c r="D1151" s="7" t="str">
        <f>_xlfn.XLOOKUP(Jnl[[#This Row],[TrxId]], Trx[Id], Trx[Action],,0)</f>
        <v>支付</v>
      </c>
      <c r="E1151" s="26" t="s">
        <v>81</v>
      </c>
      <c r="F1151" s="11" t="s">
        <v>590</v>
      </c>
      <c r="G1151" s="11" t="s">
        <v>392</v>
      </c>
      <c r="H1151" s="72">
        <v>-33630.68</v>
      </c>
      <c r="I1151" s="5" t="b">
        <f>AND(Jnl[[#This Row],[TrxId]]&lt;&gt;"",Jnl[[#This Row],[Acct]]&lt;&gt;"",Jnl[[#This Row],[Item]]&lt;&gt;"",ISNUMBER(Jnl[[#This Row],[Bal]]))</f>
        <v>1</v>
      </c>
      <c r="J1151" s="10">
        <f>IF(Jnl[[#This Row],[BSLv0]]="A",1,-1)*Jnl[[#This Row],[Bal]]</f>
        <v>-33630.68</v>
      </c>
      <c r="K1151" t="str">
        <f>_xlfn.XLOOKUP(Jnl[[#This Row],[Acct]], config_BS[Acct], config_BS[Lv0],,0)</f>
        <v>A</v>
      </c>
      <c r="L1151" t="str">
        <f>_xlfn.XLOOKUP(Jnl[[#This Row],[Acct]], config_BS[Acct], config_BS[Lv1],,0)</f>
        <v>Assets</v>
      </c>
      <c r="M1151" t="str">
        <f>_xlfn.XLOOKUP(Jnl[[#This Row],[Acct]], config_BS[Acct], config_BS[Lv2],,0)</f>
        <v>Cash alike</v>
      </c>
      <c r="N1151" t="str">
        <f>_xlfn.XLOOKUP(Jnl[[#This Row],[TrxId]], Trx[Id], Trx[IncNode], ,0)</f>
        <v>Expense</v>
      </c>
      <c r="O1151" t="str">
        <f>_xlfn.XLOOKUP(Jnl[[#This Row],[IncNode]], config_IS[Node], config_IS[Type],,0)</f>
        <v>Op</v>
      </c>
      <c r="P1151" t="str">
        <f>_xlfn.XLOOKUP(Jnl[[#This Row],[BSLv2]], dict[Key], dict[Name],,0)</f>
        <v>0.现金及类似</v>
      </c>
      <c r="Q1151" t="str">
        <f>_xlfn.XLOOKUP(Jnl[[#This Row],[Acct]], dict[Key], dict[Name],,0)</f>
        <v>银行</v>
      </c>
      <c r="R1151" t="str">
        <f>_xlfn.XLOOKUP(Jnl[[#This Row],[Vehicle]],config_vehicle[Id], config_vehicle[Name],,0)</f>
        <v>喜家文化</v>
      </c>
      <c r="S1151" t="str">
        <f>_xlfn.XLOOKUP(Jnl[[#This Row],[Division]],config_div[Id], config_div[Name],,0)</f>
        <v>水街店</v>
      </c>
      <c r="T1151" t="str">
        <f>IF(Jnl[[#This Row],[TrxDate]]&lt;=stmt_BS_date_end, "In", "Out")</f>
        <v>In</v>
      </c>
      <c r="U1151" t="str">
        <f>IF(Jnl[[#This Row],[TrxDate]]&lt;debug_date_start, "prior", IF(Jnl[[#This Row],[TrxDate]]&gt;debug_date_end, "post", "curr"))</f>
        <v>curr</v>
      </c>
    </row>
    <row r="1152" spans="1:21">
      <c r="A1152" s="11" t="s">
        <v>1588</v>
      </c>
      <c r="B1152" s="7">
        <f>_xlfn.XLOOKUP(Jnl[[#This Row],[TrxId]], Trx[Id], Trx[Date],,0)</f>
        <v>46081</v>
      </c>
      <c r="C1152" s="7" t="str">
        <f>_xlfn.XLOOKUP(Jnl[[#This Row],[TrxId]], Trx[Id], Trx[Division],,0)</f>
        <v>Shuijie</v>
      </c>
      <c r="D1152" s="7" t="str">
        <f>_xlfn.XLOOKUP(Jnl[[#This Row],[TrxId]], Trx[Id], Trx[Action],,0)</f>
        <v>支付</v>
      </c>
      <c r="E1152" s="26" t="s">
        <v>81</v>
      </c>
      <c r="F1152" s="11" t="s">
        <v>127</v>
      </c>
      <c r="G1152" s="11" t="s">
        <v>343</v>
      </c>
      <c r="H1152" s="72">
        <v>266.95</v>
      </c>
      <c r="I1152" s="5" t="b">
        <f>AND(Jnl[[#This Row],[TrxId]]&lt;&gt;"",Jnl[[#This Row],[Acct]]&lt;&gt;"",Jnl[[#This Row],[Item]]&lt;&gt;"",ISNUMBER(Jnl[[#This Row],[Bal]]))</f>
        <v>1</v>
      </c>
      <c r="J1152" s="10">
        <f>IF(Jnl[[#This Row],[BSLv0]]="A",1,-1)*Jnl[[#This Row],[Bal]]</f>
        <v>-266.95</v>
      </c>
      <c r="K1152" t="str">
        <f>_xlfn.XLOOKUP(Jnl[[#This Row],[Acct]], config_BS[Acct], config_BS[Lv0],,0)</f>
        <v>LC</v>
      </c>
      <c r="L1152" t="str">
        <f>_xlfn.XLOOKUP(Jnl[[#This Row],[Acct]], config_BS[Acct], config_BS[Lv1],,0)</f>
        <v>Liability</v>
      </c>
      <c r="M1152" t="str">
        <f>_xlfn.XLOOKUP(Jnl[[#This Row],[Acct]], config_BS[Acct], config_BS[Lv2],,0)</f>
        <v>Rec-Pay</v>
      </c>
      <c r="N1152" t="str">
        <f>_xlfn.XLOOKUP(Jnl[[#This Row],[TrxId]], Trx[Id], Trx[IncNode], ,0)</f>
        <v>Expense</v>
      </c>
      <c r="O1152" t="str">
        <f>_xlfn.XLOOKUP(Jnl[[#This Row],[IncNode]], config_IS[Node], config_IS[Type],,0)</f>
        <v>Op</v>
      </c>
      <c r="P1152" t="str">
        <f>_xlfn.XLOOKUP(Jnl[[#This Row],[BSLv2]], dict[Key], dict[Name],,0)</f>
        <v>1.应收-应付</v>
      </c>
      <c r="Q1152" t="str">
        <f>_xlfn.XLOOKUP(Jnl[[#This Row],[Acct]], dict[Key], dict[Name],,0)</f>
        <v>应付-税款</v>
      </c>
      <c r="R1152" t="str">
        <f>_xlfn.XLOOKUP(Jnl[[#This Row],[Vehicle]],config_vehicle[Id], config_vehicle[Name],,0)</f>
        <v>喜家文化</v>
      </c>
      <c r="S1152" t="str">
        <f>_xlfn.XLOOKUP(Jnl[[#This Row],[Division]],config_div[Id], config_div[Name],,0)</f>
        <v>水街店</v>
      </c>
      <c r="T1152" t="str">
        <f>IF(Jnl[[#This Row],[TrxDate]]&lt;=stmt_BS_date_end, "In", "Out")</f>
        <v>In</v>
      </c>
      <c r="U1152" t="str">
        <f>IF(Jnl[[#This Row],[TrxDate]]&lt;debug_date_start, "prior", IF(Jnl[[#This Row],[TrxDate]]&gt;debug_date_end, "post", "curr"))</f>
        <v>curr</v>
      </c>
    </row>
    <row r="1153" spans="1:21">
      <c r="A1153" s="11" t="s">
        <v>1588</v>
      </c>
      <c r="B1153" s="7">
        <f>_xlfn.XLOOKUP(Jnl[[#This Row],[TrxId]], Trx[Id], Trx[Date],,0)</f>
        <v>46081</v>
      </c>
      <c r="C1153" s="7" t="str">
        <f>_xlfn.XLOOKUP(Jnl[[#This Row],[TrxId]], Trx[Id], Trx[Division],,0)</f>
        <v>Shuijie</v>
      </c>
      <c r="D1153" s="7" t="str">
        <f>_xlfn.XLOOKUP(Jnl[[#This Row],[TrxId]], Trx[Id], Trx[Action],,0)</f>
        <v>支付</v>
      </c>
      <c r="E1153" s="26" t="s">
        <v>81</v>
      </c>
      <c r="F1153" s="11" t="s">
        <v>595</v>
      </c>
      <c r="G1153" s="11" t="s">
        <v>344</v>
      </c>
      <c r="H1153" s="72">
        <v>-2385.75</v>
      </c>
      <c r="I1153" s="5" t="b">
        <f>AND(Jnl[[#This Row],[TrxId]]&lt;&gt;"",Jnl[[#This Row],[Acct]]&lt;&gt;"",Jnl[[#This Row],[Item]]&lt;&gt;"",ISNUMBER(Jnl[[#This Row],[Bal]]))</f>
        <v>1</v>
      </c>
      <c r="J1153" s="10">
        <f>IF(Jnl[[#This Row],[BSLv0]]="A",1,-1)*Jnl[[#This Row],[Bal]]</f>
        <v>-2385.75</v>
      </c>
      <c r="K1153" t="str">
        <f>_xlfn.XLOOKUP(Jnl[[#This Row],[Acct]], config_BS[Acct], config_BS[Lv0],,0)</f>
        <v>A</v>
      </c>
      <c r="L1153" t="str">
        <f>_xlfn.XLOOKUP(Jnl[[#This Row],[Acct]], config_BS[Acct], config_BS[Lv1],,0)</f>
        <v>Assets</v>
      </c>
      <c r="M1153" t="str">
        <f>_xlfn.XLOOKUP(Jnl[[#This Row],[Acct]], config_BS[Acct], config_BS[Lv2],,0)</f>
        <v>Rec-Pay</v>
      </c>
      <c r="N1153" t="str">
        <f>_xlfn.XLOOKUP(Jnl[[#This Row],[TrxId]], Trx[Id], Trx[IncNode], ,0)</f>
        <v>Expense</v>
      </c>
      <c r="O1153" t="str">
        <f>_xlfn.XLOOKUP(Jnl[[#This Row],[IncNode]], config_IS[Node], config_IS[Type],,0)</f>
        <v>Op</v>
      </c>
      <c r="P1153" t="str">
        <f>_xlfn.XLOOKUP(Jnl[[#This Row],[BSLv2]], dict[Key], dict[Name],,0)</f>
        <v>1.应收-应付</v>
      </c>
      <c r="Q1153" t="str">
        <f>_xlfn.XLOOKUP(Jnl[[#This Row],[Acct]], dict[Key], dict[Name],,0)</f>
        <v>应收-其他</v>
      </c>
      <c r="R1153" t="str">
        <f>_xlfn.XLOOKUP(Jnl[[#This Row],[Vehicle]],config_vehicle[Id], config_vehicle[Name],,0)</f>
        <v>喜家文化</v>
      </c>
      <c r="S1153" t="str">
        <f>_xlfn.XLOOKUP(Jnl[[#This Row],[Division]],config_div[Id], config_div[Name],,0)</f>
        <v>水街店</v>
      </c>
      <c r="T1153" t="str">
        <f>IF(Jnl[[#This Row],[TrxDate]]&lt;=stmt_BS_date_end, "In", "Out")</f>
        <v>In</v>
      </c>
      <c r="U1153" t="str">
        <f>IF(Jnl[[#This Row],[TrxDate]]&lt;debug_date_start, "prior", IF(Jnl[[#This Row],[TrxDate]]&gt;debug_date_end, "post", "curr"))</f>
        <v>curr</v>
      </c>
    </row>
    <row r="1154" spans="1:21">
      <c r="A1154" s="11" t="s">
        <v>1589</v>
      </c>
      <c r="B1154" s="7">
        <f>_xlfn.XLOOKUP(Jnl[[#This Row],[TrxId]], Trx[Id], Trx[Date],,0)</f>
        <v>46081</v>
      </c>
      <c r="C1154" s="7" t="str">
        <f>_xlfn.XLOOKUP(Jnl[[#This Row],[TrxId]], Trx[Id], Trx[Division],,0)</f>
        <v>Shuijie</v>
      </c>
      <c r="D1154" s="7" t="str">
        <f>_xlfn.XLOOKUP(Jnl[[#This Row],[TrxId]], Trx[Id], Trx[Action],,0)</f>
        <v>支付</v>
      </c>
      <c r="E1154" s="26" t="s">
        <v>81</v>
      </c>
      <c r="F1154" s="11" t="s">
        <v>590</v>
      </c>
      <c r="G1154" s="11" t="s">
        <v>392</v>
      </c>
      <c r="H1154" s="72">
        <v>-29370.85</v>
      </c>
      <c r="I1154" s="5" t="b">
        <f>AND(Jnl[[#This Row],[TrxId]]&lt;&gt;"",Jnl[[#This Row],[Acct]]&lt;&gt;"",Jnl[[#This Row],[Item]]&lt;&gt;"",ISNUMBER(Jnl[[#This Row],[Bal]]))</f>
        <v>1</v>
      </c>
      <c r="J1154" s="10">
        <f>IF(Jnl[[#This Row],[BSLv0]]="A",1,-1)*Jnl[[#This Row],[Bal]]</f>
        <v>-29370.85</v>
      </c>
      <c r="K1154" t="str">
        <f>_xlfn.XLOOKUP(Jnl[[#This Row],[Acct]], config_BS[Acct], config_BS[Lv0],,0)</f>
        <v>A</v>
      </c>
      <c r="L1154" t="str">
        <f>_xlfn.XLOOKUP(Jnl[[#This Row],[Acct]], config_BS[Acct], config_BS[Lv1],,0)</f>
        <v>Assets</v>
      </c>
      <c r="M1154" t="str">
        <f>_xlfn.XLOOKUP(Jnl[[#This Row],[Acct]], config_BS[Acct], config_BS[Lv2],,0)</f>
        <v>Cash alike</v>
      </c>
      <c r="N1154" t="str">
        <f>_xlfn.XLOOKUP(Jnl[[#This Row],[TrxId]], Trx[Id], Trx[IncNode], ,0)</f>
        <v>Expense</v>
      </c>
      <c r="O1154" t="str">
        <f>_xlfn.XLOOKUP(Jnl[[#This Row],[IncNode]], config_IS[Node], config_IS[Type],,0)</f>
        <v>Op</v>
      </c>
      <c r="P1154" t="str">
        <f>_xlfn.XLOOKUP(Jnl[[#This Row],[BSLv2]], dict[Key], dict[Name],,0)</f>
        <v>0.现金及类似</v>
      </c>
      <c r="Q1154" t="str">
        <f>_xlfn.XLOOKUP(Jnl[[#This Row],[Acct]], dict[Key], dict[Name],,0)</f>
        <v>银行</v>
      </c>
      <c r="R1154" t="str">
        <f>_xlfn.XLOOKUP(Jnl[[#This Row],[Vehicle]],config_vehicle[Id], config_vehicle[Name],,0)</f>
        <v>喜家文化</v>
      </c>
      <c r="S1154" t="str">
        <f>_xlfn.XLOOKUP(Jnl[[#This Row],[Division]],config_div[Id], config_div[Name],,0)</f>
        <v>水街店</v>
      </c>
      <c r="T1154" t="str">
        <f>IF(Jnl[[#This Row],[TrxDate]]&lt;=stmt_BS_date_end, "In", "Out")</f>
        <v>In</v>
      </c>
      <c r="U1154" t="str">
        <f>IF(Jnl[[#This Row],[TrxDate]]&lt;debug_date_start, "prior", IF(Jnl[[#This Row],[TrxDate]]&gt;debug_date_end, "post", "curr"))</f>
        <v>curr</v>
      </c>
    </row>
    <row r="1155" spans="1:21">
      <c r="A1155" s="11" t="s">
        <v>1589</v>
      </c>
      <c r="B1155" s="7">
        <f>_xlfn.XLOOKUP(Jnl[[#This Row],[TrxId]], Trx[Id], Trx[Date],,0)</f>
        <v>46081</v>
      </c>
      <c r="C1155" s="7" t="str">
        <f>_xlfn.XLOOKUP(Jnl[[#This Row],[TrxId]], Trx[Id], Trx[Division],,0)</f>
        <v>Shuijie</v>
      </c>
      <c r="D1155" s="7" t="str">
        <f>_xlfn.XLOOKUP(Jnl[[#This Row],[TrxId]], Trx[Id], Trx[Action],,0)</f>
        <v>支付</v>
      </c>
      <c r="E1155" s="26" t="s">
        <v>81</v>
      </c>
      <c r="F1155" s="11" t="s">
        <v>127</v>
      </c>
      <c r="G1155" s="11" t="s">
        <v>307</v>
      </c>
      <c r="H1155" s="72">
        <v>-27625.07</v>
      </c>
      <c r="I1155" s="5" t="b">
        <f>AND(Jnl[[#This Row],[TrxId]]&lt;&gt;"",Jnl[[#This Row],[Acct]]&lt;&gt;"",Jnl[[#This Row],[Item]]&lt;&gt;"",ISNUMBER(Jnl[[#This Row],[Bal]]))</f>
        <v>1</v>
      </c>
      <c r="J1155" s="10">
        <f>IF(Jnl[[#This Row],[BSLv0]]="A",1,-1)*Jnl[[#This Row],[Bal]]</f>
        <v>27625.07</v>
      </c>
      <c r="K1155" t="str">
        <f>_xlfn.XLOOKUP(Jnl[[#This Row],[Acct]], config_BS[Acct], config_BS[Lv0],,0)</f>
        <v>LC</v>
      </c>
      <c r="L1155" t="str">
        <f>_xlfn.XLOOKUP(Jnl[[#This Row],[Acct]], config_BS[Acct], config_BS[Lv1],,0)</f>
        <v>Liability</v>
      </c>
      <c r="M1155" t="str">
        <f>_xlfn.XLOOKUP(Jnl[[#This Row],[Acct]], config_BS[Acct], config_BS[Lv2],,0)</f>
        <v>Rec-Pay</v>
      </c>
      <c r="N1155" t="str">
        <f>_xlfn.XLOOKUP(Jnl[[#This Row],[TrxId]], Trx[Id], Trx[IncNode], ,0)</f>
        <v>Expense</v>
      </c>
      <c r="O1155" t="str">
        <f>_xlfn.XLOOKUP(Jnl[[#This Row],[IncNode]], config_IS[Node], config_IS[Type],,0)</f>
        <v>Op</v>
      </c>
      <c r="P1155" t="str">
        <f>_xlfn.XLOOKUP(Jnl[[#This Row],[BSLv2]], dict[Key], dict[Name],,0)</f>
        <v>1.应收-应付</v>
      </c>
      <c r="Q1155" t="str">
        <f>_xlfn.XLOOKUP(Jnl[[#This Row],[Acct]], dict[Key], dict[Name],,0)</f>
        <v>应付-税款</v>
      </c>
      <c r="R1155" t="str">
        <f>_xlfn.XLOOKUP(Jnl[[#This Row],[Vehicle]],config_vehicle[Id], config_vehicle[Name],,0)</f>
        <v>喜家文化</v>
      </c>
      <c r="S1155" t="str">
        <f>_xlfn.XLOOKUP(Jnl[[#This Row],[Division]],config_div[Id], config_div[Name],,0)</f>
        <v>水街店</v>
      </c>
      <c r="T1155" t="str">
        <f>IF(Jnl[[#This Row],[TrxDate]]&lt;=stmt_BS_date_end, "In", "Out")</f>
        <v>In</v>
      </c>
      <c r="U1155" t="str">
        <f>IF(Jnl[[#This Row],[TrxDate]]&lt;debug_date_start, "prior", IF(Jnl[[#This Row],[TrxDate]]&gt;debug_date_end, "post", "curr"))</f>
        <v>curr</v>
      </c>
    </row>
    <row r="1156" spans="1:21">
      <c r="A1156" s="11" t="s">
        <v>1589</v>
      </c>
      <c r="B1156" s="7">
        <f>_xlfn.XLOOKUP(Jnl[[#This Row],[TrxId]], Trx[Id], Trx[Date],,0)</f>
        <v>46081</v>
      </c>
      <c r="C1156" s="7" t="str">
        <f>_xlfn.XLOOKUP(Jnl[[#This Row],[TrxId]], Trx[Id], Trx[Division],,0)</f>
        <v>Shuijie</v>
      </c>
      <c r="D1156" s="7" t="str">
        <f>_xlfn.XLOOKUP(Jnl[[#This Row],[TrxId]], Trx[Id], Trx[Action],,0)</f>
        <v>支付</v>
      </c>
      <c r="E1156" s="26" t="s">
        <v>81</v>
      </c>
      <c r="F1156" s="11" t="s">
        <v>127</v>
      </c>
      <c r="G1156" s="11" t="s">
        <v>616</v>
      </c>
      <c r="H1156" s="72">
        <v>-83.3</v>
      </c>
      <c r="I1156" s="5" t="b">
        <f>AND(Jnl[[#This Row],[TrxId]]&lt;&gt;"",Jnl[[#This Row],[Acct]]&lt;&gt;"",Jnl[[#This Row],[Item]]&lt;&gt;"",ISNUMBER(Jnl[[#This Row],[Bal]]))</f>
        <v>1</v>
      </c>
      <c r="J1156" s="10">
        <f>IF(Jnl[[#This Row],[BSLv0]]="A",1,-1)*Jnl[[#This Row],[Bal]]</f>
        <v>83.3</v>
      </c>
      <c r="K1156" t="str">
        <f>_xlfn.XLOOKUP(Jnl[[#This Row],[Acct]], config_BS[Acct], config_BS[Lv0],,0)</f>
        <v>LC</v>
      </c>
      <c r="L1156" t="str">
        <f>_xlfn.XLOOKUP(Jnl[[#This Row],[Acct]], config_BS[Acct], config_BS[Lv1],,0)</f>
        <v>Liability</v>
      </c>
      <c r="M1156" t="str">
        <f>_xlfn.XLOOKUP(Jnl[[#This Row],[Acct]], config_BS[Acct], config_BS[Lv2],,0)</f>
        <v>Rec-Pay</v>
      </c>
      <c r="N1156" t="str">
        <f>_xlfn.XLOOKUP(Jnl[[#This Row],[TrxId]], Trx[Id], Trx[IncNode], ,0)</f>
        <v>Expense</v>
      </c>
      <c r="O1156" t="str">
        <f>_xlfn.XLOOKUP(Jnl[[#This Row],[IncNode]], config_IS[Node], config_IS[Type],,0)</f>
        <v>Op</v>
      </c>
      <c r="P1156" t="str">
        <f>_xlfn.XLOOKUP(Jnl[[#This Row],[BSLv2]], dict[Key], dict[Name],,0)</f>
        <v>1.应收-应付</v>
      </c>
      <c r="Q1156" t="str">
        <f>_xlfn.XLOOKUP(Jnl[[#This Row],[Acct]], dict[Key], dict[Name],,0)</f>
        <v>应付-税款</v>
      </c>
      <c r="R1156" t="str">
        <f>_xlfn.XLOOKUP(Jnl[[#This Row],[Vehicle]],config_vehicle[Id], config_vehicle[Name],,0)</f>
        <v>喜家文化</v>
      </c>
      <c r="S1156" t="str">
        <f>_xlfn.XLOOKUP(Jnl[[#This Row],[Division]],config_div[Id], config_div[Name],,0)</f>
        <v>水街店</v>
      </c>
      <c r="T1156" t="str">
        <f>IF(Jnl[[#This Row],[TrxDate]]&lt;=stmt_BS_date_end, "In", "Out")</f>
        <v>In</v>
      </c>
      <c r="U1156" t="str">
        <f>IF(Jnl[[#This Row],[TrxDate]]&lt;debug_date_start, "prior", IF(Jnl[[#This Row],[TrxDate]]&gt;debug_date_end, "post", "curr"))</f>
        <v>curr</v>
      </c>
    </row>
    <row r="1157" spans="1:21">
      <c r="A1157" s="11" t="s">
        <v>1589</v>
      </c>
      <c r="B1157" s="7">
        <f>_xlfn.XLOOKUP(Jnl[[#This Row],[TrxId]], Trx[Id], Trx[Date],,0)</f>
        <v>46081</v>
      </c>
      <c r="C1157" s="7" t="str">
        <f>_xlfn.XLOOKUP(Jnl[[#This Row],[TrxId]], Trx[Id], Trx[Division],,0)</f>
        <v>Shuijie</v>
      </c>
      <c r="D1157" s="7" t="str">
        <f>_xlfn.XLOOKUP(Jnl[[#This Row],[TrxId]], Trx[Id], Trx[Action],,0)</f>
        <v>支付</v>
      </c>
      <c r="E1157" s="26" t="s">
        <v>81</v>
      </c>
      <c r="F1157" s="11" t="s">
        <v>127</v>
      </c>
      <c r="G1157" s="11" t="s">
        <v>348</v>
      </c>
      <c r="H1157" s="72">
        <v>-1662.48</v>
      </c>
      <c r="I1157" s="5" t="b">
        <f>AND(Jnl[[#This Row],[TrxId]]&lt;&gt;"",Jnl[[#This Row],[Acct]]&lt;&gt;"",Jnl[[#This Row],[Item]]&lt;&gt;"",ISNUMBER(Jnl[[#This Row],[Bal]]))</f>
        <v>1</v>
      </c>
      <c r="J1157" s="10">
        <f>IF(Jnl[[#This Row],[BSLv0]]="A",1,-1)*Jnl[[#This Row],[Bal]]</f>
        <v>1662.48</v>
      </c>
      <c r="K1157" t="str">
        <f>_xlfn.XLOOKUP(Jnl[[#This Row],[Acct]], config_BS[Acct], config_BS[Lv0],,0)</f>
        <v>LC</v>
      </c>
      <c r="L1157" t="str">
        <f>_xlfn.XLOOKUP(Jnl[[#This Row],[Acct]], config_BS[Acct], config_BS[Lv1],,0)</f>
        <v>Liability</v>
      </c>
      <c r="M1157" t="str">
        <f>_xlfn.XLOOKUP(Jnl[[#This Row],[Acct]], config_BS[Acct], config_BS[Lv2],,0)</f>
        <v>Rec-Pay</v>
      </c>
      <c r="N1157" t="str">
        <f>_xlfn.XLOOKUP(Jnl[[#This Row],[TrxId]], Trx[Id], Trx[IncNode], ,0)</f>
        <v>Expense</v>
      </c>
      <c r="O1157" t="str">
        <f>_xlfn.XLOOKUP(Jnl[[#This Row],[IncNode]], config_IS[Node], config_IS[Type],,0)</f>
        <v>Op</v>
      </c>
      <c r="P1157" t="str">
        <f>_xlfn.XLOOKUP(Jnl[[#This Row],[BSLv2]], dict[Key], dict[Name],,0)</f>
        <v>1.应收-应付</v>
      </c>
      <c r="Q1157" t="str">
        <f>_xlfn.XLOOKUP(Jnl[[#This Row],[Acct]], dict[Key], dict[Name],,0)</f>
        <v>应付-税款</v>
      </c>
      <c r="R1157" t="str">
        <f>_xlfn.XLOOKUP(Jnl[[#This Row],[Vehicle]],config_vehicle[Id], config_vehicle[Name],,0)</f>
        <v>喜家文化</v>
      </c>
      <c r="S1157" t="str">
        <f>_xlfn.XLOOKUP(Jnl[[#This Row],[Division]],config_div[Id], config_div[Name],,0)</f>
        <v>水街店</v>
      </c>
      <c r="T1157" t="str">
        <f>IF(Jnl[[#This Row],[TrxDate]]&lt;=stmt_BS_date_end, "In", "Out")</f>
        <v>In</v>
      </c>
      <c r="U1157" t="str">
        <f>IF(Jnl[[#This Row],[TrxDate]]&lt;debug_date_start, "prior", IF(Jnl[[#This Row],[TrxDate]]&gt;debug_date_end, "post", "curr"))</f>
        <v>curr</v>
      </c>
    </row>
    <row r="1158" spans="1:21">
      <c r="A1158" s="11" t="s">
        <v>1590</v>
      </c>
      <c r="B1158" s="7">
        <f>_xlfn.XLOOKUP(Jnl[[#This Row],[TrxId]], Trx[Id], Trx[Date],,0)</f>
        <v>46081</v>
      </c>
      <c r="C1158" s="7" t="str">
        <f>_xlfn.XLOOKUP(Jnl[[#This Row],[TrxId]], Trx[Id], Trx[Division],,0)</f>
        <v>Shuijie</v>
      </c>
      <c r="D1158" s="7" t="str">
        <f>_xlfn.XLOOKUP(Jnl[[#This Row],[TrxId]], Trx[Id], Trx[Action],,0)</f>
        <v>支付</v>
      </c>
      <c r="E1158" s="26" t="s">
        <v>81</v>
      </c>
      <c r="F1158" s="11" t="s">
        <v>127</v>
      </c>
      <c r="G1158" s="11" t="s">
        <v>343</v>
      </c>
      <c r="H1158" s="72">
        <v>-602.95000000000005</v>
      </c>
      <c r="I1158" s="5" t="b">
        <f>AND(Jnl[[#This Row],[TrxId]]&lt;&gt;"",Jnl[[#This Row],[Acct]]&lt;&gt;"",Jnl[[#This Row],[Item]]&lt;&gt;"",ISNUMBER(Jnl[[#This Row],[Bal]]))</f>
        <v>1</v>
      </c>
      <c r="J1158" s="10">
        <f>IF(Jnl[[#This Row],[BSLv0]]="A",1,-1)*Jnl[[#This Row],[Bal]]</f>
        <v>602.95000000000005</v>
      </c>
      <c r="K1158" t="str">
        <f>_xlfn.XLOOKUP(Jnl[[#This Row],[Acct]], config_BS[Acct], config_BS[Lv0],,0)</f>
        <v>LC</v>
      </c>
      <c r="L1158" t="str">
        <f>_xlfn.XLOOKUP(Jnl[[#This Row],[Acct]], config_BS[Acct], config_BS[Lv1],,0)</f>
        <v>Liability</v>
      </c>
      <c r="M1158" t="str">
        <f>_xlfn.XLOOKUP(Jnl[[#This Row],[Acct]], config_BS[Acct], config_BS[Lv2],,0)</f>
        <v>Rec-Pay</v>
      </c>
      <c r="N1158" t="str">
        <f>_xlfn.XLOOKUP(Jnl[[#This Row],[TrxId]], Trx[Id], Trx[IncNode], ,0)</f>
        <v>Expense</v>
      </c>
      <c r="O1158" t="str">
        <f>_xlfn.XLOOKUP(Jnl[[#This Row],[IncNode]], config_IS[Node], config_IS[Type],,0)</f>
        <v>Op</v>
      </c>
      <c r="P1158" t="str">
        <f>_xlfn.XLOOKUP(Jnl[[#This Row],[BSLv2]], dict[Key], dict[Name],,0)</f>
        <v>1.应收-应付</v>
      </c>
      <c r="Q1158" t="str">
        <f>_xlfn.XLOOKUP(Jnl[[#This Row],[Acct]], dict[Key], dict[Name],,0)</f>
        <v>应付-税款</v>
      </c>
      <c r="R1158" t="str">
        <f>_xlfn.XLOOKUP(Jnl[[#This Row],[Vehicle]],config_vehicle[Id], config_vehicle[Name],,0)</f>
        <v>喜家文化</v>
      </c>
      <c r="S1158" t="str">
        <f>_xlfn.XLOOKUP(Jnl[[#This Row],[Division]],config_div[Id], config_div[Name],,0)</f>
        <v>水街店</v>
      </c>
      <c r="T1158" t="str">
        <f>IF(Jnl[[#This Row],[TrxDate]]&lt;=stmt_BS_date_end, "In", "Out")</f>
        <v>In</v>
      </c>
      <c r="U1158" t="str">
        <f>IF(Jnl[[#This Row],[TrxDate]]&lt;debug_date_start, "prior", IF(Jnl[[#This Row],[TrxDate]]&gt;debug_date_end, "post", "curr"))</f>
        <v>curr</v>
      </c>
    </row>
    <row r="1159" spans="1:21">
      <c r="A1159" s="11" t="s">
        <v>1590</v>
      </c>
      <c r="B1159" s="7">
        <f>_xlfn.XLOOKUP(Jnl[[#This Row],[TrxId]], Trx[Id], Trx[Date],,0)</f>
        <v>46081</v>
      </c>
      <c r="C1159" s="7" t="str">
        <f>_xlfn.XLOOKUP(Jnl[[#This Row],[TrxId]], Trx[Id], Trx[Division],,0)</f>
        <v>Shuijie</v>
      </c>
      <c r="D1159" s="7" t="str">
        <f>_xlfn.XLOOKUP(Jnl[[#This Row],[TrxId]], Trx[Id], Trx[Action],,0)</f>
        <v>支付</v>
      </c>
      <c r="E1159" s="26" t="s">
        <v>81</v>
      </c>
      <c r="F1159" s="11" t="s">
        <v>590</v>
      </c>
      <c r="G1159" s="11" t="s">
        <v>392</v>
      </c>
      <c r="H1159" s="72">
        <v>-602.95000000000005</v>
      </c>
      <c r="I1159" s="5" t="b">
        <f>AND(Jnl[[#This Row],[TrxId]]&lt;&gt;"",Jnl[[#This Row],[Acct]]&lt;&gt;"",Jnl[[#This Row],[Item]]&lt;&gt;"",ISNUMBER(Jnl[[#This Row],[Bal]]))</f>
        <v>1</v>
      </c>
      <c r="J1159" s="10">
        <f>IF(Jnl[[#This Row],[BSLv0]]="A",1,-1)*Jnl[[#This Row],[Bal]]</f>
        <v>-602.95000000000005</v>
      </c>
      <c r="K1159" t="str">
        <f>_xlfn.XLOOKUP(Jnl[[#This Row],[Acct]], config_BS[Acct], config_BS[Lv0],,0)</f>
        <v>A</v>
      </c>
      <c r="L1159" t="str">
        <f>_xlfn.XLOOKUP(Jnl[[#This Row],[Acct]], config_BS[Acct], config_BS[Lv1],,0)</f>
        <v>Assets</v>
      </c>
      <c r="M1159" t="str">
        <f>_xlfn.XLOOKUP(Jnl[[#This Row],[Acct]], config_BS[Acct], config_BS[Lv2],,0)</f>
        <v>Cash alike</v>
      </c>
      <c r="N1159" t="str">
        <f>_xlfn.XLOOKUP(Jnl[[#This Row],[TrxId]], Trx[Id], Trx[IncNode], ,0)</f>
        <v>Expense</v>
      </c>
      <c r="O1159" t="str">
        <f>_xlfn.XLOOKUP(Jnl[[#This Row],[IncNode]], config_IS[Node], config_IS[Type],,0)</f>
        <v>Op</v>
      </c>
      <c r="P1159" t="str">
        <f>_xlfn.XLOOKUP(Jnl[[#This Row],[BSLv2]], dict[Key], dict[Name],,0)</f>
        <v>0.现金及类似</v>
      </c>
      <c r="Q1159" t="str">
        <f>_xlfn.XLOOKUP(Jnl[[#This Row],[Acct]], dict[Key], dict[Name],,0)</f>
        <v>银行</v>
      </c>
      <c r="R1159" t="str">
        <f>_xlfn.XLOOKUP(Jnl[[#This Row],[Vehicle]],config_vehicle[Id], config_vehicle[Name],,0)</f>
        <v>喜家文化</v>
      </c>
      <c r="S1159" t="str">
        <f>_xlfn.XLOOKUP(Jnl[[#This Row],[Division]],config_div[Id], config_div[Name],,0)</f>
        <v>水街店</v>
      </c>
      <c r="T1159" t="str">
        <f>IF(Jnl[[#This Row],[TrxDate]]&lt;=stmt_BS_date_end, "In", "Out")</f>
        <v>In</v>
      </c>
      <c r="U1159" t="str">
        <f>IF(Jnl[[#This Row],[TrxDate]]&lt;debug_date_start, "prior", IF(Jnl[[#This Row],[TrxDate]]&gt;debug_date_end, "post", "curr"))</f>
        <v>curr</v>
      </c>
    </row>
    <row r="1160" spans="1:21">
      <c r="A1160" s="11" t="s">
        <v>1591</v>
      </c>
      <c r="B1160" s="7">
        <f>_xlfn.XLOOKUP(Jnl[[#This Row],[TrxId]], Trx[Id], Trx[Date],,0)</f>
        <v>46081</v>
      </c>
      <c r="C1160" s="7" t="str">
        <f>_xlfn.XLOOKUP(Jnl[[#This Row],[TrxId]], Trx[Id], Trx[Division],,0)</f>
        <v>Shuijie</v>
      </c>
      <c r="D1160" s="7" t="str">
        <f>_xlfn.XLOOKUP(Jnl[[#This Row],[TrxId]], Trx[Id], Trx[Action],,0)</f>
        <v>支付</v>
      </c>
      <c r="E1160" s="26" t="s">
        <v>81</v>
      </c>
      <c r="F1160" s="11" t="s">
        <v>590</v>
      </c>
      <c r="G1160" s="11" t="s">
        <v>392</v>
      </c>
      <c r="H1160" s="72">
        <v>-10864</v>
      </c>
      <c r="I1160" s="5" t="b">
        <f>AND(Jnl[[#This Row],[TrxId]]&lt;&gt;"",Jnl[[#This Row],[Acct]]&lt;&gt;"",Jnl[[#This Row],[Item]]&lt;&gt;"",ISNUMBER(Jnl[[#This Row],[Bal]]))</f>
        <v>1</v>
      </c>
      <c r="J1160" s="10">
        <f>IF(Jnl[[#This Row],[BSLv0]]="A",1,-1)*Jnl[[#This Row],[Bal]]</f>
        <v>-10864</v>
      </c>
      <c r="K1160" t="str">
        <f>_xlfn.XLOOKUP(Jnl[[#This Row],[Acct]], config_BS[Acct], config_BS[Lv0],,0)</f>
        <v>A</v>
      </c>
      <c r="L1160" t="str">
        <f>_xlfn.XLOOKUP(Jnl[[#This Row],[Acct]], config_BS[Acct], config_BS[Lv1],,0)</f>
        <v>Assets</v>
      </c>
      <c r="M1160" t="str">
        <f>_xlfn.XLOOKUP(Jnl[[#This Row],[Acct]], config_BS[Acct], config_BS[Lv2],,0)</f>
        <v>Cash alike</v>
      </c>
      <c r="N1160" t="str">
        <f>_xlfn.XLOOKUP(Jnl[[#This Row],[TrxId]], Trx[Id], Trx[IncNode], ,0)</f>
        <v>Expense</v>
      </c>
      <c r="O1160" t="str">
        <f>_xlfn.XLOOKUP(Jnl[[#This Row],[IncNode]], config_IS[Node], config_IS[Type],,0)</f>
        <v>Op</v>
      </c>
      <c r="P1160" t="str">
        <f>_xlfn.XLOOKUP(Jnl[[#This Row],[BSLv2]], dict[Key], dict[Name],,0)</f>
        <v>0.现金及类似</v>
      </c>
      <c r="Q1160" t="str">
        <f>_xlfn.XLOOKUP(Jnl[[#This Row],[Acct]], dict[Key], dict[Name],,0)</f>
        <v>银行</v>
      </c>
      <c r="R1160" t="str">
        <f>_xlfn.XLOOKUP(Jnl[[#This Row],[Vehicle]],config_vehicle[Id], config_vehicle[Name],,0)</f>
        <v>喜家文化</v>
      </c>
      <c r="S1160" t="str">
        <f>_xlfn.XLOOKUP(Jnl[[#This Row],[Division]],config_div[Id], config_div[Name],,0)</f>
        <v>水街店</v>
      </c>
      <c r="T1160" t="str">
        <f>IF(Jnl[[#This Row],[TrxDate]]&lt;=stmt_BS_date_end, "In", "Out")</f>
        <v>In</v>
      </c>
      <c r="U1160" t="str">
        <f>IF(Jnl[[#This Row],[TrxDate]]&lt;debug_date_start, "prior", IF(Jnl[[#This Row],[TrxDate]]&gt;debug_date_end, "post", "curr"))</f>
        <v>curr</v>
      </c>
    </row>
    <row r="1161" spans="1:21">
      <c r="A1161" s="11" t="s">
        <v>1591</v>
      </c>
      <c r="B1161" s="7">
        <f>_xlfn.XLOOKUP(Jnl[[#This Row],[TrxId]], Trx[Id], Trx[Date],,0)</f>
        <v>46081</v>
      </c>
      <c r="C1161" s="7" t="str">
        <f>_xlfn.XLOOKUP(Jnl[[#This Row],[TrxId]], Trx[Id], Trx[Division],,0)</f>
        <v>Shuijie</v>
      </c>
      <c r="D1161" s="7" t="str">
        <f>_xlfn.XLOOKUP(Jnl[[#This Row],[TrxId]], Trx[Id], Trx[Action],,0)</f>
        <v>支付</v>
      </c>
      <c r="E1161" s="26" t="s">
        <v>81</v>
      </c>
      <c r="F1161" s="11" t="s">
        <v>596</v>
      </c>
      <c r="G1161" s="11" t="s">
        <v>318</v>
      </c>
      <c r="H1161" s="72">
        <v>-11200</v>
      </c>
      <c r="I1161" s="5" t="b">
        <f>AND(Jnl[[#This Row],[TrxId]]&lt;&gt;"",Jnl[[#This Row],[Acct]]&lt;&gt;"",Jnl[[#This Row],[Item]]&lt;&gt;"",ISNUMBER(Jnl[[#This Row],[Bal]]))</f>
        <v>1</v>
      </c>
      <c r="J1161" s="10">
        <f>IF(Jnl[[#This Row],[BSLv0]]="A",1,-1)*Jnl[[#This Row],[Bal]]</f>
        <v>11200</v>
      </c>
      <c r="K1161" t="str">
        <f>_xlfn.XLOOKUP(Jnl[[#This Row],[Acct]], config_BS[Acct], config_BS[Lv0],,0)</f>
        <v>LC</v>
      </c>
      <c r="L1161" t="str">
        <f>_xlfn.XLOOKUP(Jnl[[#This Row],[Acct]], config_BS[Acct], config_BS[Lv1],,0)</f>
        <v>Liability</v>
      </c>
      <c r="M1161" t="str">
        <f>_xlfn.XLOOKUP(Jnl[[#This Row],[Acct]], config_BS[Acct], config_BS[Lv2],,0)</f>
        <v>Rec-Pay</v>
      </c>
      <c r="N1161" t="str">
        <f>_xlfn.XLOOKUP(Jnl[[#This Row],[TrxId]], Trx[Id], Trx[IncNode], ,0)</f>
        <v>Expense</v>
      </c>
      <c r="O1161" t="str">
        <f>_xlfn.XLOOKUP(Jnl[[#This Row],[IncNode]], config_IS[Node], config_IS[Type],,0)</f>
        <v>Op</v>
      </c>
      <c r="P1161" t="str">
        <f>_xlfn.XLOOKUP(Jnl[[#This Row],[BSLv2]], dict[Key], dict[Name],,0)</f>
        <v>1.应收-应付</v>
      </c>
      <c r="Q1161" t="str">
        <f>_xlfn.XLOOKUP(Jnl[[#This Row],[Acct]], dict[Key], dict[Name],,0)</f>
        <v>应付-薪资</v>
      </c>
      <c r="R1161" t="str">
        <f>_xlfn.XLOOKUP(Jnl[[#This Row],[Vehicle]],config_vehicle[Id], config_vehicle[Name],,0)</f>
        <v>喜家文化</v>
      </c>
      <c r="S1161" t="str">
        <f>_xlfn.XLOOKUP(Jnl[[#This Row],[Division]],config_div[Id], config_div[Name],,0)</f>
        <v>水街店</v>
      </c>
      <c r="T1161" t="str">
        <f>IF(Jnl[[#This Row],[TrxDate]]&lt;=stmt_BS_date_end, "In", "Out")</f>
        <v>In</v>
      </c>
      <c r="U1161" t="str">
        <f>IF(Jnl[[#This Row],[TrxDate]]&lt;debug_date_start, "prior", IF(Jnl[[#This Row],[TrxDate]]&gt;debug_date_end, "post", "curr"))</f>
        <v>curr</v>
      </c>
    </row>
    <row r="1162" spans="1:21">
      <c r="A1162" s="11" t="s">
        <v>1591</v>
      </c>
      <c r="B1162" s="7">
        <f>_xlfn.XLOOKUP(Jnl[[#This Row],[TrxId]], Trx[Id], Trx[Date],,0)</f>
        <v>46081</v>
      </c>
      <c r="C1162" s="7" t="str">
        <f>_xlfn.XLOOKUP(Jnl[[#This Row],[TrxId]], Trx[Id], Trx[Division],,0)</f>
        <v>Shuijie</v>
      </c>
      <c r="D1162" s="7" t="str">
        <f>_xlfn.XLOOKUP(Jnl[[#This Row],[TrxId]], Trx[Id], Trx[Action],,0)</f>
        <v>支付</v>
      </c>
      <c r="E1162" s="26" t="s">
        <v>81</v>
      </c>
      <c r="F1162" s="11" t="s">
        <v>127</v>
      </c>
      <c r="G1162" s="11" t="s">
        <v>343</v>
      </c>
      <c r="H1162" s="72">
        <v>336</v>
      </c>
      <c r="I1162" s="5" t="b">
        <f>AND(Jnl[[#This Row],[TrxId]]&lt;&gt;"",Jnl[[#This Row],[Acct]]&lt;&gt;"",Jnl[[#This Row],[Item]]&lt;&gt;"",ISNUMBER(Jnl[[#This Row],[Bal]]))</f>
        <v>1</v>
      </c>
      <c r="J1162" s="10">
        <f>IF(Jnl[[#This Row],[BSLv0]]="A",1,-1)*Jnl[[#This Row],[Bal]]</f>
        <v>-336</v>
      </c>
      <c r="K1162" t="str">
        <f>_xlfn.XLOOKUP(Jnl[[#This Row],[Acct]], config_BS[Acct], config_BS[Lv0],,0)</f>
        <v>LC</v>
      </c>
      <c r="L1162" t="str">
        <f>_xlfn.XLOOKUP(Jnl[[#This Row],[Acct]], config_BS[Acct], config_BS[Lv1],,0)</f>
        <v>Liability</v>
      </c>
      <c r="M1162" t="str">
        <f>_xlfn.XLOOKUP(Jnl[[#This Row],[Acct]], config_BS[Acct], config_BS[Lv2],,0)</f>
        <v>Rec-Pay</v>
      </c>
      <c r="N1162" t="str">
        <f>_xlfn.XLOOKUP(Jnl[[#This Row],[TrxId]], Trx[Id], Trx[IncNode], ,0)</f>
        <v>Expense</v>
      </c>
      <c r="O1162" t="str">
        <f>_xlfn.XLOOKUP(Jnl[[#This Row],[IncNode]], config_IS[Node], config_IS[Type],,0)</f>
        <v>Op</v>
      </c>
      <c r="P1162" t="str">
        <f>_xlfn.XLOOKUP(Jnl[[#This Row],[BSLv2]], dict[Key], dict[Name],,0)</f>
        <v>1.应收-应付</v>
      </c>
      <c r="Q1162" t="str">
        <f>_xlfn.XLOOKUP(Jnl[[#This Row],[Acct]], dict[Key], dict[Name],,0)</f>
        <v>应付-税款</v>
      </c>
      <c r="R1162" t="str">
        <f>_xlfn.XLOOKUP(Jnl[[#This Row],[Vehicle]],config_vehicle[Id], config_vehicle[Name],,0)</f>
        <v>喜家文化</v>
      </c>
      <c r="S1162" t="str">
        <f>_xlfn.XLOOKUP(Jnl[[#This Row],[Division]],config_div[Id], config_div[Name],,0)</f>
        <v>水街店</v>
      </c>
      <c r="T1162" t="str">
        <f>IF(Jnl[[#This Row],[TrxDate]]&lt;=stmt_BS_date_end, "In", "Out")</f>
        <v>In</v>
      </c>
      <c r="U1162" t="str">
        <f>IF(Jnl[[#This Row],[TrxDate]]&lt;debug_date_start, "prior", IF(Jnl[[#This Row],[TrxDate]]&gt;debug_date_end, "post", "curr"))</f>
        <v>curr</v>
      </c>
    </row>
    <row r="1163" spans="1:21">
      <c r="A1163" s="11" t="s">
        <v>1592</v>
      </c>
      <c r="B1163" s="7">
        <f>_xlfn.XLOOKUP(Jnl[[#This Row],[TrxId]], Trx[Id], Trx[Date],,0)</f>
        <v>46081</v>
      </c>
      <c r="C1163" s="7" t="str">
        <f>_xlfn.XLOOKUP(Jnl[[#This Row],[TrxId]], Trx[Id], Trx[Division],,0)</f>
        <v>GM</v>
      </c>
      <c r="D1163" s="7" t="str">
        <f>_xlfn.XLOOKUP(Jnl[[#This Row],[TrxId]], Trx[Id], Trx[Action],,0)</f>
        <v>银行费</v>
      </c>
      <c r="E1163" s="26" t="s">
        <v>81</v>
      </c>
      <c r="F1163" s="11" t="s">
        <v>590</v>
      </c>
      <c r="G1163" s="11" t="s">
        <v>392</v>
      </c>
      <c r="H1163" s="72">
        <v>-24.9</v>
      </c>
      <c r="I1163" s="5" t="b">
        <f>AND(Jnl[[#This Row],[TrxId]]&lt;&gt;"",Jnl[[#This Row],[Acct]]&lt;&gt;"",Jnl[[#This Row],[Item]]&lt;&gt;"",ISNUMBER(Jnl[[#This Row],[Bal]]))</f>
        <v>1</v>
      </c>
      <c r="J1163" s="10">
        <f>IF(Jnl[[#This Row],[BSLv0]]="A",1,-1)*Jnl[[#This Row],[Bal]]</f>
        <v>-24.9</v>
      </c>
      <c r="K1163" t="str">
        <f>_xlfn.XLOOKUP(Jnl[[#This Row],[Acct]], config_BS[Acct], config_BS[Lv0],,0)</f>
        <v>A</v>
      </c>
      <c r="L1163" t="str">
        <f>_xlfn.XLOOKUP(Jnl[[#This Row],[Acct]], config_BS[Acct], config_BS[Lv1],,0)</f>
        <v>Assets</v>
      </c>
      <c r="M1163" t="str">
        <f>_xlfn.XLOOKUP(Jnl[[#This Row],[Acct]], config_BS[Acct], config_BS[Lv2],,0)</f>
        <v>Cash alike</v>
      </c>
      <c r="N1163" t="str">
        <f>_xlfn.XLOOKUP(Jnl[[#This Row],[TrxId]], Trx[Id], Trx[IncNode], ,0)</f>
        <v>Expense</v>
      </c>
      <c r="O1163" t="str">
        <f>_xlfn.XLOOKUP(Jnl[[#This Row],[IncNode]], config_IS[Node], config_IS[Type],,0)</f>
        <v>Op</v>
      </c>
      <c r="P1163" t="str">
        <f>_xlfn.XLOOKUP(Jnl[[#This Row],[BSLv2]], dict[Key], dict[Name],,0)</f>
        <v>0.现金及类似</v>
      </c>
      <c r="Q1163" t="str">
        <f>_xlfn.XLOOKUP(Jnl[[#This Row],[Acct]], dict[Key], dict[Name],,0)</f>
        <v>银行</v>
      </c>
      <c r="R1163" t="str">
        <f>_xlfn.XLOOKUP(Jnl[[#This Row],[Vehicle]],config_vehicle[Id], config_vehicle[Name],,0)</f>
        <v>喜家文化</v>
      </c>
      <c r="S1163" t="str">
        <f>_xlfn.XLOOKUP(Jnl[[#This Row],[Division]],config_div[Id], config_div[Name],,0)</f>
        <v>综合管理</v>
      </c>
      <c r="T1163" t="str">
        <f>IF(Jnl[[#This Row],[TrxDate]]&lt;=stmt_BS_date_end, "In", "Out")</f>
        <v>In</v>
      </c>
      <c r="U1163" t="str">
        <f>IF(Jnl[[#This Row],[TrxDate]]&lt;debug_date_start, "prior", IF(Jnl[[#This Row],[TrxDate]]&gt;debug_date_end, "post", "curr"))</f>
        <v>curr</v>
      </c>
    </row>
    <row r="1164" spans="1:21">
      <c r="A1164" s="11" t="s">
        <v>1593</v>
      </c>
      <c r="B1164" s="7">
        <f>_xlfn.XLOOKUP(Jnl[[#This Row],[TrxId]], Trx[Id], Trx[Date],,0)</f>
        <v>46081</v>
      </c>
      <c r="C1164" s="7" t="str">
        <f>_xlfn.XLOOKUP(Jnl[[#This Row],[TrxId]], Trx[Id], Trx[Division],,0)</f>
        <v>Shuijie</v>
      </c>
      <c r="D1164" s="7" t="str">
        <f>_xlfn.XLOOKUP(Jnl[[#This Row],[TrxId]], Trx[Id], Trx[Action],,0)</f>
        <v>收款</v>
      </c>
      <c r="E1164" s="26" t="s">
        <v>81</v>
      </c>
      <c r="F1164" s="11" t="s">
        <v>590</v>
      </c>
      <c r="G1164" s="11" t="s">
        <v>392</v>
      </c>
      <c r="H1164" s="72">
        <v>423157.12</v>
      </c>
      <c r="I1164" s="5" t="b">
        <f>AND(Jnl[[#This Row],[TrxId]]&lt;&gt;"",Jnl[[#This Row],[Acct]]&lt;&gt;"",Jnl[[#This Row],[Item]]&lt;&gt;"",ISNUMBER(Jnl[[#This Row],[Bal]]))</f>
        <v>1</v>
      </c>
      <c r="J1164" s="10">
        <f>IF(Jnl[[#This Row],[BSLv0]]="A",1,-1)*Jnl[[#This Row],[Bal]]</f>
        <v>423157.12</v>
      </c>
      <c r="K1164" t="str">
        <f>_xlfn.XLOOKUP(Jnl[[#This Row],[Acct]], config_BS[Acct], config_BS[Lv0],,0)</f>
        <v>A</v>
      </c>
      <c r="L1164" t="str">
        <f>_xlfn.XLOOKUP(Jnl[[#This Row],[Acct]], config_BS[Acct], config_BS[Lv1],,0)</f>
        <v>Assets</v>
      </c>
      <c r="M1164" t="str">
        <f>_xlfn.XLOOKUP(Jnl[[#This Row],[Acct]], config_BS[Acct], config_BS[Lv2],,0)</f>
        <v>Cash alike</v>
      </c>
      <c r="N1164" t="str">
        <f>_xlfn.XLOOKUP(Jnl[[#This Row],[TrxId]], Trx[Id], Trx[IncNode], ,0)</f>
        <v>Revenue</v>
      </c>
      <c r="O1164" t="str">
        <f>_xlfn.XLOOKUP(Jnl[[#This Row],[IncNode]], config_IS[Node], config_IS[Type],,0)</f>
        <v>Op</v>
      </c>
      <c r="P1164" t="str">
        <f>_xlfn.XLOOKUP(Jnl[[#This Row],[BSLv2]], dict[Key], dict[Name],,0)</f>
        <v>0.现金及类似</v>
      </c>
      <c r="Q1164" t="str">
        <f>_xlfn.XLOOKUP(Jnl[[#This Row],[Acct]], dict[Key], dict[Name],,0)</f>
        <v>银行</v>
      </c>
      <c r="R1164" t="str">
        <f>_xlfn.XLOOKUP(Jnl[[#This Row],[Vehicle]],config_vehicle[Id], config_vehicle[Name],,0)</f>
        <v>喜家文化</v>
      </c>
      <c r="S1164" t="str">
        <f>_xlfn.XLOOKUP(Jnl[[#This Row],[Division]],config_div[Id], config_div[Name],,0)</f>
        <v>水街店</v>
      </c>
      <c r="T1164" t="str">
        <f>IF(Jnl[[#This Row],[TrxDate]]&lt;=stmt_BS_date_end, "In", "Out")</f>
        <v>In</v>
      </c>
      <c r="U1164" t="str">
        <f>IF(Jnl[[#This Row],[TrxDate]]&lt;debug_date_start, "prior", IF(Jnl[[#This Row],[TrxDate]]&gt;debug_date_end, "post", "curr"))</f>
        <v>curr</v>
      </c>
    </row>
    <row r="1165" spans="1:21">
      <c r="A1165" s="11" t="s">
        <v>1593</v>
      </c>
      <c r="B1165" s="7">
        <f>_xlfn.XLOOKUP(Jnl[[#This Row],[TrxId]], Trx[Id], Trx[Date],,0)</f>
        <v>46081</v>
      </c>
      <c r="C1165" s="7" t="str">
        <f>_xlfn.XLOOKUP(Jnl[[#This Row],[TrxId]], Trx[Id], Trx[Division],,0)</f>
        <v>Shuijie</v>
      </c>
      <c r="D1165" s="7" t="str">
        <f>_xlfn.XLOOKUP(Jnl[[#This Row],[TrxId]], Trx[Id], Trx[Action],,0)</f>
        <v>收款</v>
      </c>
      <c r="E1165" s="26" t="s">
        <v>81</v>
      </c>
      <c r="F1165" s="11" t="s">
        <v>593</v>
      </c>
      <c r="G1165" s="11" t="s">
        <v>594</v>
      </c>
      <c r="H1165" s="72">
        <v>-423157.12</v>
      </c>
      <c r="I1165" s="5" t="b">
        <f>AND(Jnl[[#This Row],[TrxId]]&lt;&gt;"",Jnl[[#This Row],[Acct]]&lt;&gt;"",Jnl[[#This Row],[Item]]&lt;&gt;"",ISNUMBER(Jnl[[#This Row],[Bal]]))</f>
        <v>1</v>
      </c>
      <c r="J1165" s="10">
        <f>IF(Jnl[[#This Row],[BSLv0]]="A",1,-1)*Jnl[[#This Row],[Bal]]</f>
        <v>-423157.12</v>
      </c>
      <c r="K1165" t="str">
        <f>_xlfn.XLOOKUP(Jnl[[#This Row],[Acct]], config_BS[Acct], config_BS[Lv0],,0)</f>
        <v>A</v>
      </c>
      <c r="L1165" t="str">
        <f>_xlfn.XLOOKUP(Jnl[[#This Row],[Acct]], config_BS[Acct], config_BS[Lv1],,0)</f>
        <v>Assets</v>
      </c>
      <c r="M1165" t="str">
        <f>_xlfn.XLOOKUP(Jnl[[#This Row],[Acct]], config_BS[Acct], config_BS[Lv2],,0)</f>
        <v>Rec-Pay</v>
      </c>
      <c r="N1165" t="str">
        <f>_xlfn.XLOOKUP(Jnl[[#This Row],[TrxId]], Trx[Id], Trx[IncNode], ,0)</f>
        <v>Revenue</v>
      </c>
      <c r="O1165" t="str">
        <f>_xlfn.XLOOKUP(Jnl[[#This Row],[IncNode]], config_IS[Node], config_IS[Type],,0)</f>
        <v>Op</v>
      </c>
      <c r="P1165" t="str">
        <f>_xlfn.XLOOKUP(Jnl[[#This Row],[BSLv2]], dict[Key], dict[Name],,0)</f>
        <v>1.应收-应付</v>
      </c>
      <c r="Q1165" t="str">
        <f>_xlfn.XLOOKUP(Jnl[[#This Row],[Acct]], dict[Key], dict[Name],,0)</f>
        <v>应收-一般</v>
      </c>
      <c r="R1165" t="str">
        <f>_xlfn.XLOOKUP(Jnl[[#This Row],[Vehicle]],config_vehicle[Id], config_vehicle[Name],,0)</f>
        <v>喜家文化</v>
      </c>
      <c r="S1165" t="str">
        <f>_xlfn.XLOOKUP(Jnl[[#This Row],[Division]],config_div[Id], config_div[Name],,0)</f>
        <v>水街店</v>
      </c>
      <c r="T1165" t="str">
        <f>IF(Jnl[[#This Row],[TrxDate]]&lt;=stmt_BS_date_end, "In", "Out")</f>
        <v>In</v>
      </c>
      <c r="U1165" t="str">
        <f>IF(Jnl[[#This Row],[TrxDate]]&lt;debug_date_start, "prior", IF(Jnl[[#This Row],[TrxDate]]&gt;debug_date_end, "post", "curr"))</f>
        <v>curr</v>
      </c>
    </row>
    <row r="1166" spans="1:21">
      <c r="A1166" s="11" t="s">
        <v>1594</v>
      </c>
      <c r="B1166" s="7">
        <f>_xlfn.XLOOKUP(Jnl[[#This Row],[TrxId]], Trx[Id], Trx[Date],,0)</f>
        <v>46081</v>
      </c>
      <c r="C1166" s="7" t="str">
        <f>_xlfn.XLOOKUP(Jnl[[#This Row],[TrxId]], Trx[Id], Trx[Division],,0)</f>
        <v>GM</v>
      </c>
      <c r="D1166" s="7" t="str">
        <f>_xlfn.XLOOKUP(Jnl[[#This Row],[TrxId]], Trx[Id], Trx[Action],,0)</f>
        <v>补贴</v>
      </c>
      <c r="E1166" s="26" t="s">
        <v>81</v>
      </c>
      <c r="F1166" s="11" t="s">
        <v>590</v>
      </c>
      <c r="G1166" s="11" t="s">
        <v>392</v>
      </c>
      <c r="H1166" s="72">
        <v>122.15</v>
      </c>
      <c r="I1166" s="5" t="b">
        <f>AND(Jnl[[#This Row],[TrxId]]&lt;&gt;"",Jnl[[#This Row],[Acct]]&lt;&gt;"",Jnl[[#This Row],[Item]]&lt;&gt;"",ISNUMBER(Jnl[[#This Row],[Bal]]))</f>
        <v>1</v>
      </c>
      <c r="J1166" s="10">
        <f>IF(Jnl[[#This Row],[BSLv0]]="A",1,-1)*Jnl[[#This Row],[Bal]]</f>
        <v>122.15</v>
      </c>
      <c r="K1166" t="str">
        <f>_xlfn.XLOOKUP(Jnl[[#This Row],[Acct]], config_BS[Acct], config_BS[Lv0],,0)</f>
        <v>A</v>
      </c>
      <c r="L1166" t="str">
        <f>_xlfn.XLOOKUP(Jnl[[#This Row],[Acct]], config_BS[Acct], config_BS[Lv1],,0)</f>
        <v>Assets</v>
      </c>
      <c r="M1166" t="str">
        <f>_xlfn.XLOOKUP(Jnl[[#This Row],[Acct]], config_BS[Acct], config_BS[Lv2],,0)</f>
        <v>Cash alike</v>
      </c>
      <c r="N1166" t="str">
        <f>_xlfn.XLOOKUP(Jnl[[#This Row],[TrxId]], Trx[Id], Trx[IncNode], ,0)</f>
        <v>Other</v>
      </c>
      <c r="O1166" t="str">
        <f>_xlfn.XLOOKUP(Jnl[[#This Row],[IncNode]], config_IS[Node], config_IS[Type],,0)</f>
        <v>Non-Op</v>
      </c>
      <c r="P1166" t="str">
        <f>_xlfn.XLOOKUP(Jnl[[#This Row],[BSLv2]], dict[Key], dict[Name],,0)</f>
        <v>0.现金及类似</v>
      </c>
      <c r="Q1166" t="str">
        <f>_xlfn.XLOOKUP(Jnl[[#This Row],[Acct]], dict[Key], dict[Name],,0)</f>
        <v>银行</v>
      </c>
      <c r="R1166" t="str">
        <f>_xlfn.XLOOKUP(Jnl[[#This Row],[Vehicle]],config_vehicle[Id], config_vehicle[Name],,0)</f>
        <v>喜家文化</v>
      </c>
      <c r="S1166" t="str">
        <f>_xlfn.XLOOKUP(Jnl[[#This Row],[Division]],config_div[Id], config_div[Name],,0)</f>
        <v>综合管理</v>
      </c>
      <c r="T1166" t="str">
        <f>IF(Jnl[[#This Row],[TrxDate]]&lt;=stmt_BS_date_end, "In", "Out")</f>
        <v>In</v>
      </c>
      <c r="U1166" t="str">
        <f>IF(Jnl[[#This Row],[TrxDate]]&lt;debug_date_start, "prior", IF(Jnl[[#This Row],[TrxDate]]&gt;debug_date_end, "post", "curr"))</f>
        <v>curr</v>
      </c>
    </row>
    <row r="1167" spans="1:21">
      <c r="A1167" s="11" t="s">
        <v>1595</v>
      </c>
      <c r="B1167" s="7">
        <f>_xlfn.XLOOKUP(Jnl[[#This Row],[TrxId]], Trx[Id], Trx[Date],,0)</f>
        <v>46081</v>
      </c>
      <c r="C1167" s="7" t="str">
        <f>_xlfn.XLOOKUP(Jnl[[#This Row],[TrxId]], Trx[Id], Trx[Division],,0)</f>
        <v>Shuijie</v>
      </c>
      <c r="D1167" s="7" t="str">
        <f>_xlfn.XLOOKUP(Jnl[[#This Row],[TrxId]], Trx[Id], Trx[Action],,0)</f>
        <v>平台费</v>
      </c>
      <c r="E1167" s="26" t="s">
        <v>685</v>
      </c>
      <c r="F1167" s="11" t="s">
        <v>593</v>
      </c>
      <c r="G1167" s="11" t="s">
        <v>594</v>
      </c>
      <c r="H1167" s="72">
        <v>1888.88</v>
      </c>
      <c r="I1167" s="5" t="b">
        <f>AND(Jnl[[#This Row],[TrxId]]&lt;&gt;"",Jnl[[#This Row],[Acct]]&lt;&gt;"",Jnl[[#This Row],[Item]]&lt;&gt;"",ISNUMBER(Jnl[[#This Row],[Bal]]))</f>
        <v>1</v>
      </c>
      <c r="J1167" s="10">
        <f>IF(Jnl[[#This Row],[BSLv0]]="A",1,-1)*Jnl[[#This Row],[Bal]]</f>
        <v>1888.88</v>
      </c>
      <c r="K1167" t="str">
        <f>_xlfn.XLOOKUP(Jnl[[#This Row],[Acct]], config_BS[Acct], config_BS[Lv0],,0)</f>
        <v>A</v>
      </c>
      <c r="L1167" t="str">
        <f>_xlfn.XLOOKUP(Jnl[[#This Row],[Acct]], config_BS[Acct], config_BS[Lv1],,0)</f>
        <v>Assets</v>
      </c>
      <c r="M1167" t="str">
        <f>_xlfn.XLOOKUP(Jnl[[#This Row],[Acct]], config_BS[Acct], config_BS[Lv2],,0)</f>
        <v>Rec-Pay</v>
      </c>
      <c r="N1167" t="str">
        <f>_xlfn.XLOOKUP(Jnl[[#This Row],[TrxId]], Trx[Id], Trx[IncNode], ,0)</f>
        <v>Expense</v>
      </c>
      <c r="O1167" t="str">
        <f>_xlfn.XLOOKUP(Jnl[[#This Row],[IncNode]], config_IS[Node], config_IS[Type],,0)</f>
        <v>Op</v>
      </c>
      <c r="P1167" t="str">
        <f>_xlfn.XLOOKUP(Jnl[[#This Row],[BSLv2]], dict[Key], dict[Name],,0)</f>
        <v>1.应收-应付</v>
      </c>
      <c r="Q1167" t="str">
        <f>_xlfn.XLOOKUP(Jnl[[#This Row],[Acct]], dict[Key], dict[Name],,0)</f>
        <v>应收-一般</v>
      </c>
      <c r="R1167" t="str">
        <f>_xlfn.XLOOKUP(Jnl[[#This Row],[Vehicle]],config_vehicle[Id], config_vehicle[Name],,0)</f>
        <v>喜家文化</v>
      </c>
      <c r="S1167" t="str">
        <f>_xlfn.XLOOKUP(Jnl[[#This Row],[Division]],config_div[Id], config_div[Name],,0)</f>
        <v>水街店</v>
      </c>
      <c r="T1167" t="str">
        <f>IF(Jnl[[#This Row],[TrxDate]]&lt;=stmt_BS_date_end, "In", "Out")</f>
        <v>In</v>
      </c>
      <c r="U1167" t="str">
        <f>IF(Jnl[[#This Row],[TrxDate]]&lt;debug_date_start, "prior", IF(Jnl[[#This Row],[TrxDate]]&gt;debug_date_end, "post", "curr"))</f>
        <v>curr</v>
      </c>
    </row>
    <row r="1168" spans="1:21">
      <c r="A1168" s="11" t="s">
        <v>1597</v>
      </c>
      <c r="B1168" s="7">
        <f>_xlfn.XLOOKUP(Jnl[[#This Row],[TrxId]], Trx[Id], Trx[Date],,0)</f>
        <v>46081</v>
      </c>
      <c r="C1168" s="7" t="str">
        <f>_xlfn.XLOOKUP(Jnl[[#This Row],[TrxId]], Trx[Id], Trx[Division],,0)</f>
        <v>Shuijie</v>
      </c>
      <c r="D1168" s="7" t="str">
        <f>_xlfn.XLOOKUP(Jnl[[#This Row],[TrxId]], Trx[Id], Trx[Action],,0)</f>
        <v>平台费</v>
      </c>
      <c r="E1168" s="26" t="s">
        <v>685</v>
      </c>
      <c r="F1168" s="11" t="s">
        <v>593</v>
      </c>
      <c r="G1168" s="11" t="s">
        <v>594</v>
      </c>
      <c r="H1168" s="72">
        <v>-2134.44</v>
      </c>
      <c r="I1168" s="5" t="b">
        <f>AND(Jnl[[#This Row],[TrxId]]&lt;&gt;"",Jnl[[#This Row],[Acct]]&lt;&gt;"",Jnl[[#This Row],[Item]]&lt;&gt;"",ISNUMBER(Jnl[[#This Row],[Bal]]))</f>
        <v>1</v>
      </c>
      <c r="J1168" s="10">
        <f>IF(Jnl[[#This Row],[BSLv0]]="A",1,-1)*Jnl[[#This Row],[Bal]]</f>
        <v>-2134.44</v>
      </c>
      <c r="K1168" t="str">
        <f>_xlfn.XLOOKUP(Jnl[[#This Row],[Acct]], config_BS[Acct], config_BS[Lv0],,0)</f>
        <v>A</v>
      </c>
      <c r="L1168" t="str">
        <f>_xlfn.XLOOKUP(Jnl[[#This Row],[Acct]], config_BS[Acct], config_BS[Lv1],,0)</f>
        <v>Assets</v>
      </c>
      <c r="M1168" t="str">
        <f>_xlfn.XLOOKUP(Jnl[[#This Row],[Acct]], config_BS[Acct], config_BS[Lv2],,0)</f>
        <v>Rec-Pay</v>
      </c>
      <c r="N1168" t="str">
        <f>_xlfn.XLOOKUP(Jnl[[#This Row],[TrxId]], Trx[Id], Trx[IncNode], ,0)</f>
        <v>Expense</v>
      </c>
      <c r="O1168" t="str">
        <f>_xlfn.XLOOKUP(Jnl[[#This Row],[IncNode]], config_IS[Node], config_IS[Type],,0)</f>
        <v>Op</v>
      </c>
      <c r="P1168" t="str">
        <f>_xlfn.XLOOKUP(Jnl[[#This Row],[BSLv2]], dict[Key], dict[Name],,0)</f>
        <v>1.应收-应付</v>
      </c>
      <c r="Q1168" t="str">
        <f>_xlfn.XLOOKUP(Jnl[[#This Row],[Acct]], dict[Key], dict[Name],,0)</f>
        <v>应收-一般</v>
      </c>
      <c r="R1168" t="str">
        <f>_xlfn.XLOOKUP(Jnl[[#This Row],[Vehicle]],config_vehicle[Id], config_vehicle[Name],,0)</f>
        <v>喜家文化</v>
      </c>
      <c r="S1168" t="str">
        <f>_xlfn.XLOOKUP(Jnl[[#This Row],[Division]],config_div[Id], config_div[Name],,0)</f>
        <v>水街店</v>
      </c>
      <c r="T1168" t="str">
        <f>IF(Jnl[[#This Row],[TrxDate]]&lt;=stmt_BS_date_end, "In", "Out")</f>
        <v>In</v>
      </c>
      <c r="U1168" t="str">
        <f>IF(Jnl[[#This Row],[TrxDate]]&lt;debug_date_start, "prior", IF(Jnl[[#This Row],[TrxDate]]&gt;debug_date_end, "post", "curr"))</f>
        <v>curr</v>
      </c>
    </row>
    <row r="1169" spans="1:21">
      <c r="A1169" s="11" t="s">
        <v>1598</v>
      </c>
      <c r="B1169" s="7">
        <f>_xlfn.XLOOKUP(Jnl[[#This Row],[TrxId]], Trx[Id], Trx[Date],,0)</f>
        <v>46081</v>
      </c>
      <c r="C1169" s="7" t="str">
        <f>_xlfn.XLOOKUP(Jnl[[#This Row],[TrxId]], Trx[Id], Trx[Division],,0)</f>
        <v>Shuijie</v>
      </c>
      <c r="D1169" s="7" t="str">
        <f>_xlfn.XLOOKUP(Jnl[[#This Row],[TrxId]], Trx[Id], Trx[Action],,0)</f>
        <v>维护</v>
      </c>
      <c r="E1169" s="26" t="s">
        <v>685</v>
      </c>
      <c r="F1169" s="11" t="s">
        <v>493</v>
      </c>
      <c r="G1169" s="11" t="s">
        <v>141</v>
      </c>
      <c r="H1169" s="72">
        <v>-450</v>
      </c>
      <c r="I1169" s="5" t="b">
        <f>AND(Jnl[[#This Row],[TrxId]]&lt;&gt;"",Jnl[[#This Row],[Acct]]&lt;&gt;"",Jnl[[#This Row],[Item]]&lt;&gt;"",ISNUMBER(Jnl[[#This Row],[Bal]]))</f>
        <v>1</v>
      </c>
      <c r="J1169" s="10">
        <f>IF(Jnl[[#This Row],[BSLv0]]="A",1,-1)*Jnl[[#This Row],[Bal]]</f>
        <v>-450</v>
      </c>
      <c r="K1169" t="str">
        <f>_xlfn.XLOOKUP(Jnl[[#This Row],[Acct]], config_BS[Acct], config_BS[Lv0],,0)</f>
        <v>A</v>
      </c>
      <c r="L1169" t="str">
        <f>_xlfn.XLOOKUP(Jnl[[#This Row],[Acct]], config_BS[Acct], config_BS[Lv1],,0)</f>
        <v>Assets</v>
      </c>
      <c r="M1169" t="str">
        <f>_xlfn.XLOOKUP(Jnl[[#This Row],[Acct]], config_BS[Acct], config_BS[Lv2],,0)</f>
        <v>Prep-Sub</v>
      </c>
      <c r="N1169" t="str">
        <f>_xlfn.XLOOKUP(Jnl[[#This Row],[TrxId]], Trx[Id], Trx[IncNode], ,0)</f>
        <v>Expense</v>
      </c>
      <c r="O1169" t="str">
        <f>_xlfn.XLOOKUP(Jnl[[#This Row],[IncNode]], config_IS[Node], config_IS[Type],,0)</f>
        <v>Op</v>
      </c>
      <c r="P1169" t="str">
        <f>_xlfn.XLOOKUP(Jnl[[#This Row],[BSLv2]], dict[Key], dict[Name],,0)</f>
        <v>2.预付-订阅</v>
      </c>
      <c r="Q1169" t="str">
        <f>_xlfn.XLOOKUP(Jnl[[#This Row],[Acct]], dict[Key], dict[Name],,0)</f>
        <v>预付订单</v>
      </c>
      <c r="R1169" t="str">
        <f>_xlfn.XLOOKUP(Jnl[[#This Row],[Vehicle]],config_vehicle[Id], config_vehicle[Name],,0)</f>
        <v>喜家文化</v>
      </c>
      <c r="S1169" t="str">
        <f>_xlfn.XLOOKUP(Jnl[[#This Row],[Division]],config_div[Id], config_div[Name],,0)</f>
        <v>水街店</v>
      </c>
      <c r="T1169" t="str">
        <f>IF(Jnl[[#This Row],[TrxDate]]&lt;=stmt_BS_date_end, "In", "Out")</f>
        <v>In</v>
      </c>
      <c r="U1169" t="str">
        <f>IF(Jnl[[#This Row],[TrxDate]]&lt;debug_date_start, "prior", IF(Jnl[[#This Row],[TrxDate]]&gt;debug_date_end, "post", "curr"))</f>
        <v>curr</v>
      </c>
    </row>
    <row r="1170" spans="1:21">
      <c r="A1170" s="11" t="s">
        <v>1599</v>
      </c>
      <c r="B1170" s="7">
        <f>_xlfn.XLOOKUP(Jnl[[#This Row],[TrxId]], Trx[Id], Trx[Date],,0)</f>
        <v>46081</v>
      </c>
      <c r="C1170" s="7" t="str">
        <f>_xlfn.XLOOKUP(Jnl[[#This Row],[TrxId]], Trx[Id], Trx[Division],,0)</f>
        <v>Shuijie</v>
      </c>
      <c r="D1170" s="7" t="str">
        <f>_xlfn.XLOOKUP(Jnl[[#This Row],[TrxId]], Trx[Id], Trx[Action],,0)</f>
        <v>维护</v>
      </c>
      <c r="E1170" s="26" t="s">
        <v>685</v>
      </c>
      <c r="F1170" s="11" t="s">
        <v>493</v>
      </c>
      <c r="G1170" s="11" t="s">
        <v>141</v>
      </c>
      <c r="H1170" s="72">
        <v>-1450</v>
      </c>
      <c r="I1170" s="5" t="b">
        <f>AND(Jnl[[#This Row],[TrxId]]&lt;&gt;"",Jnl[[#This Row],[Acct]]&lt;&gt;"",Jnl[[#This Row],[Item]]&lt;&gt;"",ISNUMBER(Jnl[[#This Row],[Bal]]))</f>
        <v>1</v>
      </c>
      <c r="J1170" s="10">
        <f>IF(Jnl[[#This Row],[BSLv0]]="A",1,-1)*Jnl[[#This Row],[Bal]]</f>
        <v>-1450</v>
      </c>
      <c r="K1170" t="str">
        <f>_xlfn.XLOOKUP(Jnl[[#This Row],[Acct]], config_BS[Acct], config_BS[Lv0],,0)</f>
        <v>A</v>
      </c>
      <c r="L1170" t="str">
        <f>_xlfn.XLOOKUP(Jnl[[#This Row],[Acct]], config_BS[Acct], config_BS[Lv1],,0)</f>
        <v>Assets</v>
      </c>
      <c r="M1170" t="str">
        <f>_xlfn.XLOOKUP(Jnl[[#This Row],[Acct]], config_BS[Acct], config_BS[Lv2],,0)</f>
        <v>Prep-Sub</v>
      </c>
      <c r="N1170" t="str">
        <f>_xlfn.XLOOKUP(Jnl[[#This Row],[TrxId]], Trx[Id], Trx[IncNode], ,0)</f>
        <v>Expense</v>
      </c>
      <c r="O1170" t="str">
        <f>_xlfn.XLOOKUP(Jnl[[#This Row],[IncNode]], config_IS[Node], config_IS[Type],,0)</f>
        <v>Op</v>
      </c>
      <c r="P1170" t="str">
        <f>_xlfn.XLOOKUP(Jnl[[#This Row],[BSLv2]], dict[Key], dict[Name],,0)</f>
        <v>2.预付-订阅</v>
      </c>
      <c r="Q1170" t="str">
        <f>_xlfn.XLOOKUP(Jnl[[#This Row],[Acct]], dict[Key], dict[Name],,0)</f>
        <v>预付订单</v>
      </c>
      <c r="R1170" t="str">
        <f>_xlfn.XLOOKUP(Jnl[[#This Row],[Vehicle]],config_vehicle[Id], config_vehicle[Name],,0)</f>
        <v>喜家文化</v>
      </c>
      <c r="S1170" t="str">
        <f>_xlfn.XLOOKUP(Jnl[[#This Row],[Division]],config_div[Id], config_div[Name],,0)</f>
        <v>水街店</v>
      </c>
      <c r="T1170" t="str">
        <f>IF(Jnl[[#This Row],[TrxDate]]&lt;=stmt_BS_date_end, "In", "Out")</f>
        <v>In</v>
      </c>
      <c r="U1170" t="str">
        <f>IF(Jnl[[#This Row],[TrxDate]]&lt;debug_date_start, "prior", IF(Jnl[[#This Row],[TrxDate]]&gt;debug_date_end, "post", "curr"))</f>
        <v>curr</v>
      </c>
    </row>
    <row r="1171" spans="1:21">
      <c r="A1171" s="11" t="s">
        <v>1600</v>
      </c>
      <c r="B1171" s="7">
        <f>_xlfn.XLOOKUP(Jnl[[#This Row],[TrxId]], Trx[Id], Trx[Date],,0)</f>
        <v>46081</v>
      </c>
      <c r="C1171" s="7" t="str">
        <f>_xlfn.XLOOKUP(Jnl[[#This Row],[TrxId]], Trx[Id], Trx[Division],,0)</f>
        <v>GM</v>
      </c>
      <c r="D1171" s="7" t="str">
        <f>_xlfn.XLOOKUP(Jnl[[#This Row],[TrxId]], Trx[Id], Trx[Action],,0)</f>
        <v>房租</v>
      </c>
      <c r="E1171" s="26" t="s">
        <v>685</v>
      </c>
      <c r="F1171" s="11" t="s">
        <v>493</v>
      </c>
      <c r="G1171" s="11" t="s">
        <v>141</v>
      </c>
      <c r="H1171" s="72">
        <v>-45370.49</v>
      </c>
      <c r="I1171" s="5" t="b">
        <f>AND(Jnl[[#This Row],[TrxId]]&lt;&gt;"",Jnl[[#This Row],[Acct]]&lt;&gt;"",Jnl[[#This Row],[Item]]&lt;&gt;"",ISNUMBER(Jnl[[#This Row],[Bal]]))</f>
        <v>1</v>
      </c>
      <c r="J1171" s="10">
        <f>IF(Jnl[[#This Row],[BSLv0]]="A",1,-1)*Jnl[[#This Row],[Bal]]</f>
        <v>-45370.49</v>
      </c>
      <c r="K1171" t="str">
        <f>_xlfn.XLOOKUP(Jnl[[#This Row],[Acct]], config_BS[Acct], config_BS[Lv0],,0)</f>
        <v>A</v>
      </c>
      <c r="L1171" t="str">
        <f>_xlfn.XLOOKUP(Jnl[[#This Row],[Acct]], config_BS[Acct], config_BS[Lv1],,0)</f>
        <v>Assets</v>
      </c>
      <c r="M1171" t="str">
        <f>_xlfn.XLOOKUP(Jnl[[#This Row],[Acct]], config_BS[Acct], config_BS[Lv2],,0)</f>
        <v>Prep-Sub</v>
      </c>
      <c r="N1171" t="str">
        <f>_xlfn.XLOOKUP(Jnl[[#This Row],[TrxId]], Trx[Id], Trx[IncNode], ,0)</f>
        <v>Expense</v>
      </c>
      <c r="O1171" t="str">
        <f>_xlfn.XLOOKUP(Jnl[[#This Row],[IncNode]], config_IS[Node], config_IS[Type],,0)</f>
        <v>Op</v>
      </c>
      <c r="P1171" t="str">
        <f>_xlfn.XLOOKUP(Jnl[[#This Row],[BSLv2]], dict[Key], dict[Name],,0)</f>
        <v>2.预付-订阅</v>
      </c>
      <c r="Q1171" t="str">
        <f>_xlfn.XLOOKUP(Jnl[[#This Row],[Acct]], dict[Key], dict[Name],,0)</f>
        <v>预付订单</v>
      </c>
      <c r="R1171" t="str">
        <f>_xlfn.XLOOKUP(Jnl[[#This Row],[Vehicle]],config_vehicle[Id], config_vehicle[Name],,0)</f>
        <v>喜家文化</v>
      </c>
      <c r="S1171" t="str">
        <f>_xlfn.XLOOKUP(Jnl[[#This Row],[Division]],config_div[Id], config_div[Name],,0)</f>
        <v>综合管理</v>
      </c>
      <c r="T1171" t="str">
        <f>IF(Jnl[[#This Row],[TrxDate]]&lt;=stmt_BS_date_end, "In", "Out")</f>
        <v>In</v>
      </c>
      <c r="U1171" t="str">
        <f>IF(Jnl[[#This Row],[TrxDate]]&lt;debug_date_start, "prior", IF(Jnl[[#This Row],[TrxDate]]&gt;debug_date_end, "post", "curr"))</f>
        <v>curr</v>
      </c>
    </row>
    <row r="1172" spans="1:21">
      <c r="A1172" s="11" t="s">
        <v>1602</v>
      </c>
      <c r="B1172" s="7">
        <f>_xlfn.XLOOKUP(Jnl[[#This Row],[TrxId]], Trx[Id], Trx[Date],,0)</f>
        <v>46081</v>
      </c>
      <c r="C1172" s="7" t="str">
        <f>_xlfn.XLOOKUP(Jnl[[#This Row],[TrxId]], Trx[Id], Trx[Division],,0)</f>
        <v>Shuijie</v>
      </c>
      <c r="D1172" s="7" t="str">
        <f>_xlfn.XLOOKUP(Jnl[[#This Row],[TrxId]], Trx[Id], Trx[Action],,0)</f>
        <v>入库</v>
      </c>
      <c r="E1172" s="26" t="s">
        <v>685</v>
      </c>
      <c r="F1172" s="11" t="s">
        <v>652</v>
      </c>
      <c r="G1172" s="11" t="s">
        <v>136</v>
      </c>
      <c r="H1172" s="72">
        <v>289.39999999999998</v>
      </c>
      <c r="I1172" s="5" t="b">
        <f>AND(Jnl[[#This Row],[TrxId]]&lt;&gt;"",Jnl[[#This Row],[Acct]]&lt;&gt;"",Jnl[[#This Row],[Item]]&lt;&gt;"",ISNUMBER(Jnl[[#This Row],[Bal]]))</f>
        <v>1</v>
      </c>
      <c r="J1172" s="10">
        <f>IF(Jnl[[#This Row],[BSLv0]]="A",1,-1)*Jnl[[#This Row],[Bal]]</f>
        <v>-289.39999999999998</v>
      </c>
      <c r="K1172" t="str">
        <f>_xlfn.XLOOKUP(Jnl[[#This Row],[Acct]], config_BS[Acct], config_BS[Lv0],,0)</f>
        <v>LC</v>
      </c>
      <c r="L1172" t="str">
        <f>_xlfn.XLOOKUP(Jnl[[#This Row],[Acct]], config_BS[Acct], config_BS[Lv1],,0)</f>
        <v>Liability</v>
      </c>
      <c r="M1172" t="str">
        <f>_xlfn.XLOOKUP(Jnl[[#This Row],[Acct]], config_BS[Acct], config_BS[Lv2],,0)</f>
        <v>Rec-Pay</v>
      </c>
      <c r="N1172" t="str">
        <f>_xlfn.XLOOKUP(Jnl[[#This Row],[TrxId]], Trx[Id], Trx[IncNode], ,0)</f>
        <v>Cost</v>
      </c>
      <c r="O1172" t="str">
        <f>_xlfn.XLOOKUP(Jnl[[#This Row],[IncNode]], config_IS[Node], config_IS[Type],,0)</f>
        <v>Op</v>
      </c>
      <c r="P1172" t="str">
        <f>_xlfn.XLOOKUP(Jnl[[#This Row],[BSLv2]], dict[Key], dict[Name],,0)</f>
        <v>1.应收-应付</v>
      </c>
      <c r="Q1172" t="str">
        <f>_xlfn.XLOOKUP(Jnl[[#This Row],[Acct]], dict[Key], dict[Name],,0)</f>
        <v>应付-一般</v>
      </c>
      <c r="R1172" t="str">
        <f>_xlfn.XLOOKUP(Jnl[[#This Row],[Vehicle]],config_vehicle[Id], config_vehicle[Name],,0)</f>
        <v>喜家文化</v>
      </c>
      <c r="S1172" t="str">
        <f>_xlfn.XLOOKUP(Jnl[[#This Row],[Division]],config_div[Id], config_div[Name],,0)</f>
        <v>水街店</v>
      </c>
      <c r="T1172" t="str">
        <f>IF(Jnl[[#This Row],[TrxDate]]&lt;=stmt_BS_date_end, "In", "Out")</f>
        <v>In</v>
      </c>
      <c r="U1172" t="str">
        <f>IF(Jnl[[#This Row],[TrxDate]]&lt;debug_date_start, "prior", IF(Jnl[[#This Row],[TrxDate]]&gt;debug_date_end, "post", "curr"))</f>
        <v>curr</v>
      </c>
    </row>
    <row r="1173" spans="1:21">
      <c r="A1173" s="11" t="s">
        <v>1602</v>
      </c>
      <c r="B1173" s="7">
        <f>_xlfn.XLOOKUP(Jnl[[#This Row],[TrxId]], Trx[Id], Trx[Date],,0)</f>
        <v>46081</v>
      </c>
      <c r="C1173" s="7" t="str">
        <f>_xlfn.XLOOKUP(Jnl[[#This Row],[TrxId]], Trx[Id], Trx[Division],,0)</f>
        <v>Shuijie</v>
      </c>
      <c r="D1173" s="7" t="str">
        <f>_xlfn.XLOOKUP(Jnl[[#This Row],[TrxId]], Trx[Id], Trx[Action],,0)</f>
        <v>入库</v>
      </c>
      <c r="E1173" s="26" t="s">
        <v>685</v>
      </c>
      <c r="F1173" s="11" t="s">
        <v>598</v>
      </c>
      <c r="G1173" s="11" t="s">
        <v>151</v>
      </c>
      <c r="H1173" s="72">
        <f>H1172</f>
        <v>289.39999999999998</v>
      </c>
      <c r="I1173" s="5" t="b">
        <f>AND(Jnl[[#This Row],[TrxId]]&lt;&gt;"",Jnl[[#This Row],[Acct]]&lt;&gt;"",Jnl[[#This Row],[Item]]&lt;&gt;"",ISNUMBER(Jnl[[#This Row],[Bal]]))</f>
        <v>1</v>
      </c>
      <c r="J1173" s="10">
        <f>IF(Jnl[[#This Row],[BSLv0]]="A",1,-1)*Jnl[[#This Row],[Bal]]</f>
        <v>289.39999999999998</v>
      </c>
      <c r="K1173" t="str">
        <f>_xlfn.XLOOKUP(Jnl[[#This Row],[Acct]], config_BS[Acct], config_BS[Lv0],,0)</f>
        <v>A</v>
      </c>
      <c r="L1173" t="str">
        <f>_xlfn.XLOOKUP(Jnl[[#This Row],[Acct]], config_BS[Acct], config_BS[Lv1],,0)</f>
        <v>Assets</v>
      </c>
      <c r="M1173" t="str">
        <f>_xlfn.XLOOKUP(Jnl[[#This Row],[Acct]], config_BS[Acct], config_BS[Lv2],,0)</f>
        <v>Invtr</v>
      </c>
      <c r="N1173" t="str">
        <f>_xlfn.XLOOKUP(Jnl[[#This Row],[TrxId]], Trx[Id], Trx[IncNode], ,0)</f>
        <v>Cost</v>
      </c>
      <c r="O1173" t="str">
        <f>_xlfn.XLOOKUP(Jnl[[#This Row],[IncNode]], config_IS[Node], config_IS[Type],,0)</f>
        <v>Op</v>
      </c>
      <c r="P1173" t="str">
        <f>_xlfn.XLOOKUP(Jnl[[#This Row],[BSLv2]], dict[Key], dict[Name],,0)</f>
        <v>3.库存占款</v>
      </c>
      <c r="Q1173" t="str">
        <f>_xlfn.XLOOKUP(Jnl[[#This Row],[Acct]], dict[Key], dict[Name],,0)</f>
        <v>当期存货</v>
      </c>
      <c r="R1173" t="str">
        <f>_xlfn.XLOOKUP(Jnl[[#This Row],[Vehicle]],config_vehicle[Id], config_vehicle[Name],,0)</f>
        <v>喜家文化</v>
      </c>
      <c r="S1173" t="str">
        <f>_xlfn.XLOOKUP(Jnl[[#This Row],[Division]],config_div[Id], config_div[Name],,0)</f>
        <v>水街店</v>
      </c>
      <c r="T1173" t="str">
        <f>IF(Jnl[[#This Row],[TrxDate]]&lt;=stmt_BS_date_end, "In", "Out")</f>
        <v>In</v>
      </c>
      <c r="U1173" t="str">
        <f>IF(Jnl[[#This Row],[TrxDate]]&lt;debug_date_start, "prior", IF(Jnl[[#This Row],[TrxDate]]&gt;debug_date_end, "post", "curr"))</f>
        <v>curr</v>
      </c>
    </row>
    <row r="1174" spans="1:21">
      <c r="A1174" s="11" t="s">
        <v>1603</v>
      </c>
      <c r="B1174" s="7">
        <f>_xlfn.XLOOKUP(Jnl[[#This Row],[TrxId]], Trx[Id], Trx[Date],,0)</f>
        <v>46081</v>
      </c>
      <c r="C1174" s="7" t="str">
        <f>_xlfn.XLOOKUP(Jnl[[#This Row],[TrxId]], Trx[Id], Trx[Division],,0)</f>
        <v>Shuijie</v>
      </c>
      <c r="D1174" s="7" t="str">
        <f>_xlfn.XLOOKUP(Jnl[[#This Row],[TrxId]], Trx[Id], Trx[Action],,0)</f>
        <v>服饰</v>
      </c>
      <c r="E1174" s="26" t="s">
        <v>685</v>
      </c>
      <c r="F1174" s="11" t="s">
        <v>593</v>
      </c>
      <c r="G1174" s="11" t="s">
        <v>594</v>
      </c>
      <c r="H1174" s="72">
        <v>508</v>
      </c>
      <c r="I1174" s="5" t="b">
        <f>AND(Jnl[[#This Row],[TrxId]]&lt;&gt;"",Jnl[[#This Row],[Acct]]&lt;&gt;"",Jnl[[#This Row],[Item]]&lt;&gt;"",ISNUMBER(Jnl[[#This Row],[Bal]]))</f>
        <v>1</v>
      </c>
      <c r="J1174" s="10">
        <f>IF(Jnl[[#This Row],[BSLv0]]="A",1,-1)*Jnl[[#This Row],[Bal]]</f>
        <v>508</v>
      </c>
      <c r="K1174" t="str">
        <f>_xlfn.XLOOKUP(Jnl[[#This Row],[Acct]], config_BS[Acct], config_BS[Lv0],,0)</f>
        <v>A</v>
      </c>
      <c r="L1174" t="str">
        <f>_xlfn.XLOOKUP(Jnl[[#This Row],[Acct]], config_BS[Acct], config_BS[Lv1],,0)</f>
        <v>Assets</v>
      </c>
      <c r="M1174" t="str">
        <f>_xlfn.XLOOKUP(Jnl[[#This Row],[Acct]], config_BS[Acct], config_BS[Lv2],,0)</f>
        <v>Rec-Pay</v>
      </c>
      <c r="N1174" t="str">
        <f>_xlfn.XLOOKUP(Jnl[[#This Row],[TrxId]], Trx[Id], Trx[IncNode], ,0)</f>
        <v>Revenue</v>
      </c>
      <c r="O1174" t="str">
        <f>_xlfn.XLOOKUP(Jnl[[#This Row],[IncNode]], config_IS[Node], config_IS[Type],,0)</f>
        <v>Op</v>
      </c>
      <c r="P1174" t="str">
        <f>_xlfn.XLOOKUP(Jnl[[#This Row],[BSLv2]], dict[Key], dict[Name],,0)</f>
        <v>1.应收-应付</v>
      </c>
      <c r="Q1174" t="str">
        <f>_xlfn.XLOOKUP(Jnl[[#This Row],[Acct]], dict[Key], dict[Name],,0)</f>
        <v>应收-一般</v>
      </c>
      <c r="R1174" t="str">
        <f>_xlfn.XLOOKUP(Jnl[[#This Row],[Vehicle]],config_vehicle[Id], config_vehicle[Name],,0)</f>
        <v>喜家文化</v>
      </c>
      <c r="S1174" t="str">
        <f>_xlfn.XLOOKUP(Jnl[[#This Row],[Division]],config_div[Id], config_div[Name],,0)</f>
        <v>水街店</v>
      </c>
      <c r="T1174" t="str">
        <f>IF(Jnl[[#This Row],[TrxDate]]&lt;=stmt_BS_date_end, "In", "Out")</f>
        <v>In</v>
      </c>
      <c r="U1174" t="str">
        <f>IF(Jnl[[#This Row],[TrxDate]]&lt;debug_date_start, "prior", IF(Jnl[[#This Row],[TrxDate]]&gt;debug_date_end, "post", "curr"))</f>
        <v>curr</v>
      </c>
    </row>
    <row r="1175" spans="1:21">
      <c r="A1175" s="11" t="s">
        <v>1604</v>
      </c>
      <c r="B1175" s="7">
        <f>_xlfn.XLOOKUP(Jnl[[#This Row],[TrxId]], Trx[Id], Trx[Date],,0)</f>
        <v>46081</v>
      </c>
      <c r="C1175" s="7" t="str">
        <f>_xlfn.XLOOKUP(Jnl[[#This Row],[TrxId]], Trx[Id], Trx[Division],,0)</f>
        <v>Shuijie</v>
      </c>
      <c r="D1175" s="7" t="str">
        <f>_xlfn.XLOOKUP(Jnl[[#This Row],[TrxId]], Trx[Id], Trx[Action],,0)</f>
        <v>服饰</v>
      </c>
      <c r="E1175" s="26" t="s">
        <v>685</v>
      </c>
      <c r="F1175" s="11" t="s">
        <v>593</v>
      </c>
      <c r="G1175" s="11" t="s">
        <v>594</v>
      </c>
      <c r="H1175" s="72">
        <v>452769.26</v>
      </c>
      <c r="I1175" s="5" t="b">
        <f>AND(Jnl[[#This Row],[TrxId]]&lt;&gt;"",Jnl[[#This Row],[Acct]]&lt;&gt;"",Jnl[[#This Row],[Item]]&lt;&gt;"",ISNUMBER(Jnl[[#This Row],[Bal]]))</f>
        <v>1</v>
      </c>
      <c r="J1175" s="10">
        <f>IF(Jnl[[#This Row],[BSLv0]]="A",1,-1)*Jnl[[#This Row],[Bal]]</f>
        <v>452769.26</v>
      </c>
      <c r="K1175" t="str">
        <f>_xlfn.XLOOKUP(Jnl[[#This Row],[Acct]], config_BS[Acct], config_BS[Lv0],,0)</f>
        <v>A</v>
      </c>
      <c r="L1175" t="str">
        <f>_xlfn.XLOOKUP(Jnl[[#This Row],[Acct]], config_BS[Acct], config_BS[Lv1],,0)</f>
        <v>Assets</v>
      </c>
      <c r="M1175" t="str">
        <f>_xlfn.XLOOKUP(Jnl[[#This Row],[Acct]], config_BS[Acct], config_BS[Lv2],,0)</f>
        <v>Rec-Pay</v>
      </c>
      <c r="N1175" t="str">
        <f>_xlfn.XLOOKUP(Jnl[[#This Row],[TrxId]], Trx[Id], Trx[IncNode], ,0)</f>
        <v>Revenue</v>
      </c>
      <c r="O1175" t="str">
        <f>_xlfn.XLOOKUP(Jnl[[#This Row],[IncNode]], config_IS[Node], config_IS[Type],,0)</f>
        <v>Op</v>
      </c>
      <c r="P1175" t="str">
        <f>_xlfn.XLOOKUP(Jnl[[#This Row],[BSLv2]], dict[Key], dict[Name],,0)</f>
        <v>1.应收-应付</v>
      </c>
      <c r="Q1175" t="str">
        <f>_xlfn.XLOOKUP(Jnl[[#This Row],[Acct]], dict[Key], dict[Name],,0)</f>
        <v>应收-一般</v>
      </c>
      <c r="R1175" t="str">
        <f>_xlfn.XLOOKUP(Jnl[[#This Row],[Vehicle]],config_vehicle[Id], config_vehicle[Name],,0)</f>
        <v>喜家文化</v>
      </c>
      <c r="S1175" t="str">
        <f>_xlfn.XLOOKUP(Jnl[[#This Row],[Division]],config_div[Id], config_div[Name],,0)</f>
        <v>水街店</v>
      </c>
      <c r="T1175" t="str">
        <f>IF(Jnl[[#This Row],[TrxDate]]&lt;=stmt_BS_date_end, "In", "Out")</f>
        <v>In</v>
      </c>
      <c r="U1175" t="str">
        <f>IF(Jnl[[#This Row],[TrxDate]]&lt;debug_date_start, "prior", IF(Jnl[[#This Row],[TrxDate]]&gt;debug_date_end, "post", "curr"))</f>
        <v>curr</v>
      </c>
    </row>
    <row r="1176" spans="1:21">
      <c r="A1176" s="11" t="s">
        <v>1604</v>
      </c>
      <c r="B1176" s="7">
        <f>_xlfn.XLOOKUP(Jnl[[#This Row],[TrxId]], Trx[Id], Trx[Date],,0)</f>
        <v>46081</v>
      </c>
      <c r="C1176" s="7" t="str">
        <f>_xlfn.XLOOKUP(Jnl[[#This Row],[TrxId]], Trx[Id], Trx[Division],,0)</f>
        <v>Shuijie</v>
      </c>
      <c r="D1176" s="7" t="str">
        <f>_xlfn.XLOOKUP(Jnl[[#This Row],[TrxId]], Trx[Id], Trx[Action],,0)</f>
        <v>服饰</v>
      </c>
      <c r="E1176" s="26" t="s">
        <v>685</v>
      </c>
      <c r="F1176" s="11" t="s">
        <v>599</v>
      </c>
      <c r="G1176" s="11" t="s">
        <v>653</v>
      </c>
      <c r="H1176" s="72">
        <v>9954.25</v>
      </c>
      <c r="I1176" s="5" t="b">
        <f>AND(Jnl[[#This Row],[TrxId]]&lt;&gt;"",Jnl[[#This Row],[Acct]]&lt;&gt;"",Jnl[[#This Row],[Item]]&lt;&gt;"",ISNUMBER(Jnl[[#This Row],[Bal]]))</f>
        <v>1</v>
      </c>
      <c r="J1176" s="10">
        <f>IF(Jnl[[#This Row],[BSLv0]]="A",1,-1)*Jnl[[#This Row],[Bal]]</f>
        <v>9954.25</v>
      </c>
      <c r="K1176" t="str">
        <f>_xlfn.XLOOKUP(Jnl[[#This Row],[Acct]], config_BS[Acct], config_BS[Lv0],,0)</f>
        <v>A</v>
      </c>
      <c r="L1176" t="str">
        <f>_xlfn.XLOOKUP(Jnl[[#This Row],[Acct]], config_BS[Acct], config_BS[Lv1],,0)</f>
        <v>Assets</v>
      </c>
      <c r="M1176" t="str">
        <f>_xlfn.XLOOKUP(Jnl[[#This Row],[Acct]], config_BS[Acct], config_BS[Lv2],,0)</f>
        <v>Cash alike</v>
      </c>
      <c r="N1176" t="str">
        <f>_xlfn.XLOOKUP(Jnl[[#This Row],[TrxId]], Trx[Id], Trx[IncNode], ,0)</f>
        <v>Revenue</v>
      </c>
      <c r="O1176" t="str">
        <f>_xlfn.XLOOKUP(Jnl[[#This Row],[IncNode]], config_IS[Node], config_IS[Type],,0)</f>
        <v>Op</v>
      </c>
      <c r="P1176" t="str">
        <f>_xlfn.XLOOKUP(Jnl[[#This Row],[BSLv2]], dict[Key], dict[Name],,0)</f>
        <v>0.现金及类似</v>
      </c>
      <c r="Q1176" t="str">
        <f>_xlfn.XLOOKUP(Jnl[[#This Row],[Acct]], dict[Key], dict[Name],,0)</f>
        <v>物理现金</v>
      </c>
      <c r="R1176" t="str">
        <f>_xlfn.XLOOKUP(Jnl[[#This Row],[Vehicle]],config_vehicle[Id], config_vehicle[Name],,0)</f>
        <v>喜家文化</v>
      </c>
      <c r="S1176" t="str">
        <f>_xlfn.XLOOKUP(Jnl[[#This Row],[Division]],config_div[Id], config_div[Name],,0)</f>
        <v>水街店</v>
      </c>
      <c r="T1176" t="str">
        <f>IF(Jnl[[#This Row],[TrxDate]]&lt;=stmt_BS_date_end, "In", "Out")</f>
        <v>In</v>
      </c>
      <c r="U1176" t="str">
        <f>IF(Jnl[[#This Row],[TrxDate]]&lt;debug_date_start, "prior", IF(Jnl[[#This Row],[TrxDate]]&gt;debug_date_end, "post", "curr"))</f>
        <v>curr</v>
      </c>
    </row>
    <row r="1177" spans="1:21">
      <c r="A1177" s="11" t="s">
        <v>1605</v>
      </c>
      <c r="B1177" s="7">
        <f>_xlfn.XLOOKUP(Jnl[[#This Row],[TrxId]], Trx[Id], Trx[Date],,0)</f>
        <v>46081</v>
      </c>
      <c r="C1177" s="7" t="str">
        <f>_xlfn.XLOOKUP(Jnl[[#This Row],[TrxId]], Trx[Id], Trx[Division],,0)</f>
        <v>Shuijie</v>
      </c>
      <c r="D1177" s="7" t="str">
        <f>_xlfn.XLOOKUP(Jnl[[#This Row],[TrxId]], Trx[Id], Trx[Action],,0)</f>
        <v>平台费</v>
      </c>
      <c r="E1177" s="26" t="s">
        <v>685</v>
      </c>
      <c r="F1177" s="11" t="s">
        <v>593</v>
      </c>
      <c r="G1177" s="11" t="s">
        <v>594</v>
      </c>
      <c r="H1177" s="72">
        <v>-1504.54</v>
      </c>
      <c r="I1177" s="5" t="b">
        <f>AND(Jnl[[#This Row],[TrxId]]&lt;&gt;"",Jnl[[#This Row],[Acct]]&lt;&gt;"",Jnl[[#This Row],[Item]]&lt;&gt;"",ISNUMBER(Jnl[[#This Row],[Bal]]))</f>
        <v>1</v>
      </c>
      <c r="J1177" s="10">
        <f>IF(Jnl[[#This Row],[BSLv0]]="A",1,-1)*Jnl[[#This Row],[Bal]]</f>
        <v>-1504.54</v>
      </c>
      <c r="K1177" t="str">
        <f>_xlfn.XLOOKUP(Jnl[[#This Row],[Acct]], config_BS[Acct], config_BS[Lv0],,0)</f>
        <v>A</v>
      </c>
      <c r="L1177" t="str">
        <f>_xlfn.XLOOKUP(Jnl[[#This Row],[Acct]], config_BS[Acct], config_BS[Lv1],,0)</f>
        <v>Assets</v>
      </c>
      <c r="M1177" t="str">
        <f>_xlfn.XLOOKUP(Jnl[[#This Row],[Acct]], config_BS[Acct], config_BS[Lv2],,0)</f>
        <v>Rec-Pay</v>
      </c>
      <c r="N1177" t="str">
        <f>_xlfn.XLOOKUP(Jnl[[#This Row],[TrxId]], Trx[Id], Trx[IncNode], ,0)</f>
        <v>Expense</v>
      </c>
      <c r="O1177" t="str">
        <f>_xlfn.XLOOKUP(Jnl[[#This Row],[IncNode]], config_IS[Node], config_IS[Type],,0)</f>
        <v>Op</v>
      </c>
      <c r="P1177" t="str">
        <f>_xlfn.XLOOKUP(Jnl[[#This Row],[BSLv2]], dict[Key], dict[Name],,0)</f>
        <v>1.应收-应付</v>
      </c>
      <c r="Q1177" t="str">
        <f>_xlfn.XLOOKUP(Jnl[[#This Row],[Acct]], dict[Key], dict[Name],,0)</f>
        <v>应收-一般</v>
      </c>
      <c r="R1177" t="str">
        <f>_xlfn.XLOOKUP(Jnl[[#This Row],[Vehicle]],config_vehicle[Id], config_vehicle[Name],,0)</f>
        <v>喜家文化</v>
      </c>
      <c r="S1177" t="str">
        <f>_xlfn.XLOOKUP(Jnl[[#This Row],[Division]],config_div[Id], config_div[Name],,0)</f>
        <v>水街店</v>
      </c>
      <c r="T1177" t="str">
        <f>IF(Jnl[[#This Row],[TrxDate]]&lt;=stmt_BS_date_end, "In", "Out")</f>
        <v>In</v>
      </c>
      <c r="U1177" t="str">
        <f>IF(Jnl[[#This Row],[TrxDate]]&lt;debug_date_start, "prior", IF(Jnl[[#This Row],[TrxDate]]&gt;debug_date_end, "post", "curr"))</f>
        <v>curr</v>
      </c>
    </row>
    <row r="1178" spans="1:21">
      <c r="A1178" s="11" t="s">
        <v>1606</v>
      </c>
      <c r="B1178" s="7">
        <f>_xlfn.XLOOKUP(Jnl[[#This Row],[TrxId]], Trx[Id], Trx[Date],,0)</f>
        <v>46081</v>
      </c>
      <c r="C1178" s="7" t="str">
        <f>_xlfn.XLOOKUP(Jnl[[#This Row],[TrxId]], Trx[Id], Trx[Division],,0)</f>
        <v>Shuijie</v>
      </c>
      <c r="D1178" s="7" t="str">
        <f>_xlfn.XLOOKUP(Jnl[[#This Row],[TrxId]], Trx[Id], Trx[Action],,0)</f>
        <v>增值税</v>
      </c>
      <c r="E1178" s="26" t="s">
        <v>685</v>
      </c>
      <c r="F1178" s="11" t="s">
        <v>127</v>
      </c>
      <c r="G1178" s="11" t="s">
        <v>307</v>
      </c>
      <c r="H1178" s="72">
        <v>52680.04</v>
      </c>
      <c r="I1178" s="5" t="b">
        <f>AND(Jnl[[#This Row],[TrxId]]&lt;&gt;"",Jnl[[#This Row],[Acct]]&lt;&gt;"",Jnl[[#This Row],[Item]]&lt;&gt;"",ISNUMBER(Jnl[[#This Row],[Bal]]))</f>
        <v>1</v>
      </c>
      <c r="J1178" s="10">
        <f>IF(Jnl[[#This Row],[BSLv0]]="A",1,-1)*Jnl[[#This Row],[Bal]]</f>
        <v>-52680.04</v>
      </c>
      <c r="K1178" t="str">
        <f>_xlfn.XLOOKUP(Jnl[[#This Row],[Acct]], config_BS[Acct], config_BS[Lv0],,0)</f>
        <v>LC</v>
      </c>
      <c r="L1178" t="str">
        <f>_xlfn.XLOOKUP(Jnl[[#This Row],[Acct]], config_BS[Acct], config_BS[Lv1],,0)</f>
        <v>Liability</v>
      </c>
      <c r="M1178" t="str">
        <f>_xlfn.XLOOKUP(Jnl[[#This Row],[Acct]], config_BS[Acct], config_BS[Lv2],,0)</f>
        <v>Rec-Pay</v>
      </c>
      <c r="N1178" t="str">
        <f>_xlfn.XLOOKUP(Jnl[[#This Row],[TrxId]], Trx[Id], Trx[IncNode], ,0)</f>
        <v>Cost</v>
      </c>
      <c r="O1178" t="str">
        <f>_xlfn.XLOOKUP(Jnl[[#This Row],[IncNode]], config_IS[Node], config_IS[Type],,0)</f>
        <v>Op</v>
      </c>
      <c r="P1178" t="str">
        <f>_xlfn.XLOOKUP(Jnl[[#This Row],[BSLv2]], dict[Key], dict[Name],,0)</f>
        <v>1.应收-应付</v>
      </c>
      <c r="Q1178" t="str">
        <f>_xlfn.XLOOKUP(Jnl[[#This Row],[Acct]], dict[Key], dict[Name],,0)</f>
        <v>应付-税款</v>
      </c>
      <c r="R1178" t="str">
        <f>_xlfn.XLOOKUP(Jnl[[#This Row],[Vehicle]],config_vehicle[Id], config_vehicle[Name],,0)</f>
        <v>喜家文化</v>
      </c>
      <c r="S1178" t="str">
        <f>_xlfn.XLOOKUP(Jnl[[#This Row],[Division]],config_div[Id], config_div[Name],,0)</f>
        <v>水街店</v>
      </c>
      <c r="T1178" t="str">
        <f>IF(Jnl[[#This Row],[TrxDate]]&lt;=stmt_BS_date_end, "In", "Out")</f>
        <v>In</v>
      </c>
      <c r="U1178" t="str">
        <f>IF(Jnl[[#This Row],[TrxDate]]&lt;debug_date_start, "prior", IF(Jnl[[#This Row],[TrxDate]]&gt;debug_date_end, "post", "curr"))</f>
        <v>curr</v>
      </c>
    </row>
    <row r="1179" spans="1:21">
      <c r="A1179" s="11" t="s">
        <v>1607</v>
      </c>
      <c r="B1179" s="7">
        <f>_xlfn.XLOOKUP(Jnl[[#This Row],[TrxId]], Trx[Id], Trx[Date],,0)</f>
        <v>46081</v>
      </c>
      <c r="C1179" s="7" t="str">
        <f>_xlfn.XLOOKUP(Jnl[[#This Row],[TrxId]], Trx[Id], Trx[Division],,0)</f>
        <v>Shuijie</v>
      </c>
      <c r="D1179" s="7" t="str">
        <f>_xlfn.XLOOKUP(Jnl[[#This Row],[TrxId]], Trx[Id], Trx[Action],,0)</f>
        <v>计提税金</v>
      </c>
      <c r="E1179" s="26" t="s">
        <v>685</v>
      </c>
      <c r="F1179" s="11" t="s">
        <v>127</v>
      </c>
      <c r="G1179" s="11" t="s">
        <v>348</v>
      </c>
      <c r="H1179" s="72">
        <v>3164.65</v>
      </c>
      <c r="I1179" s="5" t="b">
        <f>AND(Jnl[[#This Row],[TrxId]]&lt;&gt;"",Jnl[[#This Row],[Acct]]&lt;&gt;"",Jnl[[#This Row],[Item]]&lt;&gt;"",ISNUMBER(Jnl[[#This Row],[Bal]]))</f>
        <v>1</v>
      </c>
      <c r="J1179" s="10">
        <f>IF(Jnl[[#This Row],[BSLv0]]="A",1,-1)*Jnl[[#This Row],[Bal]]</f>
        <v>-3164.65</v>
      </c>
      <c r="K1179" t="str">
        <f>_xlfn.XLOOKUP(Jnl[[#This Row],[Acct]], config_BS[Acct], config_BS[Lv0],,0)</f>
        <v>LC</v>
      </c>
      <c r="L1179" t="str">
        <f>_xlfn.XLOOKUP(Jnl[[#This Row],[Acct]], config_BS[Acct], config_BS[Lv1],,0)</f>
        <v>Liability</v>
      </c>
      <c r="M1179" t="str">
        <f>_xlfn.XLOOKUP(Jnl[[#This Row],[Acct]], config_BS[Acct], config_BS[Lv2],,0)</f>
        <v>Rec-Pay</v>
      </c>
      <c r="N1179" t="str">
        <f>_xlfn.XLOOKUP(Jnl[[#This Row],[TrxId]], Trx[Id], Trx[IncNode], ,0)</f>
        <v>Expense</v>
      </c>
      <c r="O1179" t="str">
        <f>_xlfn.XLOOKUP(Jnl[[#This Row],[IncNode]], config_IS[Node], config_IS[Type],,0)</f>
        <v>Op</v>
      </c>
      <c r="P1179" t="str">
        <f>_xlfn.XLOOKUP(Jnl[[#This Row],[BSLv2]], dict[Key], dict[Name],,0)</f>
        <v>1.应收-应付</v>
      </c>
      <c r="Q1179" t="str">
        <f>_xlfn.XLOOKUP(Jnl[[#This Row],[Acct]], dict[Key], dict[Name],,0)</f>
        <v>应付-税款</v>
      </c>
      <c r="R1179" t="str">
        <f>_xlfn.XLOOKUP(Jnl[[#This Row],[Vehicle]],config_vehicle[Id], config_vehicle[Name],,0)</f>
        <v>喜家文化</v>
      </c>
      <c r="S1179" t="str">
        <f>_xlfn.XLOOKUP(Jnl[[#This Row],[Division]],config_div[Id], config_div[Name],,0)</f>
        <v>水街店</v>
      </c>
      <c r="T1179" t="str">
        <f>IF(Jnl[[#This Row],[TrxDate]]&lt;=stmt_BS_date_end, "In", "Out")</f>
        <v>In</v>
      </c>
      <c r="U1179" t="str">
        <f>IF(Jnl[[#This Row],[TrxDate]]&lt;debug_date_start, "prior", IF(Jnl[[#This Row],[TrxDate]]&gt;debug_date_end, "post", "curr"))</f>
        <v>curr</v>
      </c>
    </row>
    <row r="1180" spans="1:21">
      <c r="A1180" s="11" t="s">
        <v>1607</v>
      </c>
      <c r="B1180" s="7">
        <f>_xlfn.XLOOKUP(Jnl[[#This Row],[TrxId]], Trx[Id], Trx[Date],,0)</f>
        <v>46081</v>
      </c>
      <c r="C1180" s="7" t="str">
        <f>_xlfn.XLOOKUP(Jnl[[#This Row],[TrxId]], Trx[Id], Trx[Division],,0)</f>
        <v>Shuijie</v>
      </c>
      <c r="D1180" s="7" t="str">
        <f>_xlfn.XLOOKUP(Jnl[[#This Row],[TrxId]], Trx[Id], Trx[Action],,0)</f>
        <v>计提税金</v>
      </c>
      <c r="E1180" s="26" t="s">
        <v>685</v>
      </c>
      <c r="F1180" s="11" t="s">
        <v>127</v>
      </c>
      <c r="G1180" s="11" t="s">
        <v>349</v>
      </c>
      <c r="H1180" s="72">
        <v>104.56</v>
      </c>
      <c r="I1180" s="5" t="b">
        <f>AND(Jnl[[#This Row],[TrxId]]&lt;&gt;"",Jnl[[#This Row],[Acct]]&lt;&gt;"",Jnl[[#This Row],[Item]]&lt;&gt;"",ISNUMBER(Jnl[[#This Row],[Bal]]))</f>
        <v>1</v>
      </c>
      <c r="J1180" s="10">
        <f>IF(Jnl[[#This Row],[BSLv0]]="A",1,-1)*Jnl[[#This Row],[Bal]]</f>
        <v>-104.56</v>
      </c>
      <c r="K1180" t="str">
        <f>_xlfn.XLOOKUP(Jnl[[#This Row],[Acct]], config_BS[Acct], config_BS[Lv0],,0)</f>
        <v>LC</v>
      </c>
      <c r="L1180" t="str">
        <f>_xlfn.XLOOKUP(Jnl[[#This Row],[Acct]], config_BS[Acct], config_BS[Lv1],,0)</f>
        <v>Liability</v>
      </c>
      <c r="M1180" t="str">
        <f>_xlfn.XLOOKUP(Jnl[[#This Row],[Acct]], config_BS[Acct], config_BS[Lv2],,0)</f>
        <v>Rec-Pay</v>
      </c>
      <c r="N1180" t="str">
        <f>_xlfn.XLOOKUP(Jnl[[#This Row],[TrxId]], Trx[Id], Trx[IncNode], ,0)</f>
        <v>Expense</v>
      </c>
      <c r="O1180" t="str">
        <f>_xlfn.XLOOKUP(Jnl[[#This Row],[IncNode]], config_IS[Node], config_IS[Type],,0)</f>
        <v>Op</v>
      </c>
      <c r="P1180" t="str">
        <f>_xlfn.XLOOKUP(Jnl[[#This Row],[BSLv2]], dict[Key], dict[Name],,0)</f>
        <v>1.应收-应付</v>
      </c>
      <c r="Q1180" t="str">
        <f>_xlfn.XLOOKUP(Jnl[[#This Row],[Acct]], dict[Key], dict[Name],,0)</f>
        <v>应付-税款</v>
      </c>
      <c r="R1180" t="str">
        <f>_xlfn.XLOOKUP(Jnl[[#This Row],[Vehicle]],config_vehicle[Id], config_vehicle[Name],,0)</f>
        <v>喜家文化</v>
      </c>
      <c r="S1180" t="str">
        <f>_xlfn.XLOOKUP(Jnl[[#This Row],[Division]],config_div[Id], config_div[Name],,0)</f>
        <v>水街店</v>
      </c>
      <c r="T1180" t="str">
        <f>IF(Jnl[[#This Row],[TrxDate]]&lt;=stmt_BS_date_end, "In", "Out")</f>
        <v>In</v>
      </c>
      <c r="U1180" t="str">
        <f>IF(Jnl[[#This Row],[TrxDate]]&lt;debug_date_start, "prior", IF(Jnl[[#This Row],[TrxDate]]&gt;debug_date_end, "post", "curr"))</f>
        <v>curr</v>
      </c>
    </row>
    <row r="1181" spans="1:21">
      <c r="A1181" s="11" t="s">
        <v>1607</v>
      </c>
      <c r="B1181" s="7">
        <f>_xlfn.XLOOKUP(Jnl[[#This Row],[TrxId]], Trx[Id], Trx[Date],,0)</f>
        <v>46081</v>
      </c>
      <c r="C1181" s="7" t="str">
        <f>_xlfn.XLOOKUP(Jnl[[#This Row],[TrxId]], Trx[Id], Trx[Division],,0)</f>
        <v>Shuijie</v>
      </c>
      <c r="D1181" s="7" t="str">
        <f>_xlfn.XLOOKUP(Jnl[[#This Row],[TrxId]], Trx[Id], Trx[Action],,0)</f>
        <v>计提税金</v>
      </c>
      <c r="E1181" s="26" t="s">
        <v>685</v>
      </c>
      <c r="F1181" s="11" t="s">
        <v>127</v>
      </c>
      <c r="G1181" s="11" t="s">
        <v>616</v>
      </c>
      <c r="H1181" s="72">
        <v>64.28</v>
      </c>
      <c r="I1181" s="5" t="b">
        <f>AND(Jnl[[#This Row],[TrxId]]&lt;&gt;"",Jnl[[#This Row],[Acct]]&lt;&gt;"",Jnl[[#This Row],[Item]]&lt;&gt;"",ISNUMBER(Jnl[[#This Row],[Bal]]))</f>
        <v>1</v>
      </c>
      <c r="J1181" s="10">
        <f>IF(Jnl[[#This Row],[BSLv0]]="A",1,-1)*Jnl[[#This Row],[Bal]]</f>
        <v>-64.28</v>
      </c>
      <c r="K1181" t="str">
        <f>_xlfn.XLOOKUP(Jnl[[#This Row],[Acct]], config_BS[Acct], config_BS[Lv0],,0)</f>
        <v>LC</v>
      </c>
      <c r="L1181" t="str">
        <f>_xlfn.XLOOKUP(Jnl[[#This Row],[Acct]], config_BS[Acct], config_BS[Lv1],,0)</f>
        <v>Liability</v>
      </c>
      <c r="M1181" t="str">
        <f>_xlfn.XLOOKUP(Jnl[[#This Row],[Acct]], config_BS[Acct], config_BS[Lv2],,0)</f>
        <v>Rec-Pay</v>
      </c>
      <c r="N1181" t="str">
        <f>_xlfn.XLOOKUP(Jnl[[#This Row],[TrxId]], Trx[Id], Trx[IncNode], ,0)</f>
        <v>Expense</v>
      </c>
      <c r="O1181" t="str">
        <f>_xlfn.XLOOKUP(Jnl[[#This Row],[IncNode]], config_IS[Node], config_IS[Type],,0)</f>
        <v>Op</v>
      </c>
      <c r="P1181" t="str">
        <f>_xlfn.XLOOKUP(Jnl[[#This Row],[BSLv2]], dict[Key], dict[Name],,0)</f>
        <v>1.应收-应付</v>
      </c>
      <c r="Q1181" t="str">
        <f>_xlfn.XLOOKUP(Jnl[[#This Row],[Acct]], dict[Key], dict[Name],,0)</f>
        <v>应付-税款</v>
      </c>
      <c r="R1181" t="str">
        <f>_xlfn.XLOOKUP(Jnl[[#This Row],[Vehicle]],config_vehicle[Id], config_vehicle[Name],,0)</f>
        <v>喜家文化</v>
      </c>
      <c r="S1181" t="str">
        <f>_xlfn.XLOOKUP(Jnl[[#This Row],[Division]],config_div[Id], config_div[Name],,0)</f>
        <v>水街店</v>
      </c>
      <c r="T1181" t="str">
        <f>IF(Jnl[[#This Row],[TrxDate]]&lt;=stmt_BS_date_end, "In", "Out")</f>
        <v>In</v>
      </c>
      <c r="U1181" t="str">
        <f>IF(Jnl[[#This Row],[TrxDate]]&lt;debug_date_start, "prior", IF(Jnl[[#This Row],[TrxDate]]&gt;debug_date_end, "post", "curr"))</f>
        <v>curr</v>
      </c>
    </row>
    <row r="1182" spans="1:21">
      <c r="A1182" s="11" t="s">
        <v>1607</v>
      </c>
      <c r="B1182" s="7">
        <f>_xlfn.XLOOKUP(Jnl[[#This Row],[TrxId]], Trx[Id], Trx[Date],,0)</f>
        <v>46081</v>
      </c>
      <c r="C1182" s="7" t="str">
        <f>_xlfn.XLOOKUP(Jnl[[#This Row],[TrxId]], Trx[Id], Trx[Division],,0)</f>
        <v>Shuijie</v>
      </c>
      <c r="D1182" s="7" t="str">
        <f>_xlfn.XLOOKUP(Jnl[[#This Row],[TrxId]], Trx[Id], Trx[Action],,0)</f>
        <v>计提税金</v>
      </c>
      <c r="E1182" s="26" t="s">
        <v>685</v>
      </c>
      <c r="F1182" s="11" t="s">
        <v>127</v>
      </c>
      <c r="G1182" s="11" t="s">
        <v>347</v>
      </c>
      <c r="H1182" s="72">
        <v>1557.97</v>
      </c>
      <c r="I1182" s="5" t="b">
        <f>AND(Jnl[[#This Row],[TrxId]]&lt;&gt;"",Jnl[[#This Row],[Acct]]&lt;&gt;"",Jnl[[#This Row],[Item]]&lt;&gt;"",ISNUMBER(Jnl[[#This Row],[Bal]]))</f>
        <v>1</v>
      </c>
      <c r="J1182" s="10">
        <f>IF(Jnl[[#This Row],[BSLv0]]="A",1,-1)*Jnl[[#This Row],[Bal]]</f>
        <v>-1557.97</v>
      </c>
      <c r="K1182" t="str">
        <f>_xlfn.XLOOKUP(Jnl[[#This Row],[Acct]], config_BS[Acct], config_BS[Lv0],,0)</f>
        <v>LC</v>
      </c>
      <c r="L1182" t="str">
        <f>_xlfn.XLOOKUP(Jnl[[#This Row],[Acct]], config_BS[Acct], config_BS[Lv1],,0)</f>
        <v>Liability</v>
      </c>
      <c r="M1182" t="str">
        <f>_xlfn.XLOOKUP(Jnl[[#This Row],[Acct]], config_BS[Acct], config_BS[Lv2],,0)</f>
        <v>Rec-Pay</v>
      </c>
      <c r="N1182" t="str">
        <f>_xlfn.XLOOKUP(Jnl[[#This Row],[TrxId]], Trx[Id], Trx[IncNode], ,0)</f>
        <v>Expense</v>
      </c>
      <c r="O1182" t="str">
        <f>_xlfn.XLOOKUP(Jnl[[#This Row],[IncNode]], config_IS[Node], config_IS[Type],,0)</f>
        <v>Op</v>
      </c>
      <c r="P1182" t="str">
        <f>_xlfn.XLOOKUP(Jnl[[#This Row],[BSLv2]], dict[Key], dict[Name],,0)</f>
        <v>1.应收-应付</v>
      </c>
      <c r="Q1182" t="str">
        <f>_xlfn.XLOOKUP(Jnl[[#This Row],[Acct]], dict[Key], dict[Name],,0)</f>
        <v>应付-税款</v>
      </c>
      <c r="R1182" t="str">
        <f>_xlfn.XLOOKUP(Jnl[[#This Row],[Vehicle]],config_vehicle[Id], config_vehicle[Name],,0)</f>
        <v>喜家文化</v>
      </c>
      <c r="S1182" t="str">
        <f>_xlfn.XLOOKUP(Jnl[[#This Row],[Division]],config_div[Id], config_div[Name],,0)</f>
        <v>水街店</v>
      </c>
      <c r="T1182" t="str">
        <f>IF(Jnl[[#This Row],[TrxDate]]&lt;=stmt_BS_date_end, "In", "Out")</f>
        <v>In</v>
      </c>
      <c r="U1182" t="str">
        <f>IF(Jnl[[#This Row],[TrxDate]]&lt;debug_date_start, "prior", IF(Jnl[[#This Row],[TrxDate]]&gt;debug_date_end, "post", "curr"))</f>
        <v>curr</v>
      </c>
    </row>
    <row r="1183" spans="1:21">
      <c r="A1183" s="11" t="s">
        <v>1608</v>
      </c>
      <c r="B1183" s="7">
        <f>_xlfn.XLOOKUP(Jnl[[#This Row],[TrxId]], Trx[Id], Trx[Date],,0)</f>
        <v>46081</v>
      </c>
      <c r="C1183" s="7" t="str">
        <f>_xlfn.XLOOKUP(Jnl[[#This Row],[TrxId]], Trx[Id], Trx[Division],,0)</f>
        <v>Shuijie</v>
      </c>
      <c r="D1183" s="7" t="str">
        <f>_xlfn.XLOOKUP(Jnl[[#This Row],[TrxId]], Trx[Id], Trx[Action],,0)</f>
        <v>薪酬-工资</v>
      </c>
      <c r="E1183" s="26" t="s">
        <v>685</v>
      </c>
      <c r="F1183" s="11" t="s">
        <v>596</v>
      </c>
      <c r="G1183" s="11" t="s">
        <v>149</v>
      </c>
      <c r="H1183" s="72">
        <v>28147.35</v>
      </c>
      <c r="I1183" s="5" t="b">
        <f>AND(Jnl[[#This Row],[TrxId]]&lt;&gt;"",Jnl[[#This Row],[Acct]]&lt;&gt;"",Jnl[[#This Row],[Item]]&lt;&gt;"",ISNUMBER(Jnl[[#This Row],[Bal]]))</f>
        <v>1</v>
      </c>
      <c r="J1183" s="10">
        <f>IF(Jnl[[#This Row],[BSLv0]]="A",1,-1)*Jnl[[#This Row],[Bal]]</f>
        <v>-28147.35</v>
      </c>
      <c r="K1183" t="str">
        <f>_xlfn.XLOOKUP(Jnl[[#This Row],[Acct]], config_BS[Acct], config_BS[Lv0],,0)</f>
        <v>LC</v>
      </c>
      <c r="L1183" t="str">
        <f>_xlfn.XLOOKUP(Jnl[[#This Row],[Acct]], config_BS[Acct], config_BS[Lv1],,0)</f>
        <v>Liability</v>
      </c>
      <c r="M1183" t="str">
        <f>_xlfn.XLOOKUP(Jnl[[#This Row],[Acct]], config_BS[Acct], config_BS[Lv2],,0)</f>
        <v>Rec-Pay</v>
      </c>
      <c r="N1183" t="str">
        <f>_xlfn.XLOOKUP(Jnl[[#This Row],[TrxId]], Trx[Id], Trx[IncNode], ,0)</f>
        <v>Expense</v>
      </c>
      <c r="O1183" t="str">
        <f>_xlfn.XLOOKUP(Jnl[[#This Row],[IncNode]], config_IS[Node], config_IS[Type],,0)</f>
        <v>Op</v>
      </c>
      <c r="P1183" t="str">
        <f>_xlfn.XLOOKUP(Jnl[[#This Row],[BSLv2]], dict[Key], dict[Name],,0)</f>
        <v>1.应收-应付</v>
      </c>
      <c r="Q1183" t="str">
        <f>_xlfn.XLOOKUP(Jnl[[#This Row],[Acct]], dict[Key], dict[Name],,0)</f>
        <v>应付-薪资</v>
      </c>
      <c r="R1183" t="str">
        <f>_xlfn.XLOOKUP(Jnl[[#This Row],[Vehicle]],config_vehicle[Id], config_vehicle[Name],,0)</f>
        <v>喜家文化</v>
      </c>
      <c r="S1183" t="str">
        <f>_xlfn.XLOOKUP(Jnl[[#This Row],[Division]],config_div[Id], config_div[Name],,0)</f>
        <v>水街店</v>
      </c>
      <c r="T1183" t="str">
        <f>IF(Jnl[[#This Row],[TrxDate]]&lt;=stmt_BS_date_end, "In", "Out")</f>
        <v>In</v>
      </c>
      <c r="U1183" t="str">
        <f>IF(Jnl[[#This Row],[TrxDate]]&lt;debug_date_start, "prior", IF(Jnl[[#This Row],[TrxDate]]&gt;debug_date_end, "post", "curr"))</f>
        <v>curr</v>
      </c>
    </row>
    <row r="1184" spans="1:21">
      <c r="A1184" s="11" t="s">
        <v>1609</v>
      </c>
      <c r="B1184" s="7">
        <f>_xlfn.XLOOKUP(Jnl[[#This Row],[TrxId]], Trx[Id], Trx[Date],,0)</f>
        <v>46081</v>
      </c>
      <c r="C1184" s="7" t="str">
        <f>_xlfn.XLOOKUP(Jnl[[#This Row],[TrxId]], Trx[Id], Trx[Division],,0)</f>
        <v>Shuijie</v>
      </c>
      <c r="D1184" s="7" t="str">
        <f>_xlfn.XLOOKUP(Jnl[[#This Row],[TrxId]], Trx[Id], Trx[Action],,0)</f>
        <v>库存摊销</v>
      </c>
      <c r="E1184" s="26" t="s">
        <v>685</v>
      </c>
      <c r="F1184" s="11" t="s">
        <v>598</v>
      </c>
      <c r="G1184" s="11" t="s">
        <v>151</v>
      </c>
      <c r="H1184" s="72">
        <v>-289.39999999999998</v>
      </c>
      <c r="I1184" s="5" t="b">
        <f>AND(Jnl[[#This Row],[TrxId]]&lt;&gt;"",Jnl[[#This Row],[Acct]]&lt;&gt;"",Jnl[[#This Row],[Item]]&lt;&gt;"",ISNUMBER(Jnl[[#This Row],[Bal]]))</f>
        <v>1</v>
      </c>
      <c r="J1184" s="10">
        <f>IF(Jnl[[#This Row],[BSLv0]]="A",1,-1)*Jnl[[#This Row],[Bal]]</f>
        <v>-289.39999999999998</v>
      </c>
      <c r="K1184" t="str">
        <f>_xlfn.XLOOKUP(Jnl[[#This Row],[Acct]], config_BS[Acct], config_BS[Lv0],,0)</f>
        <v>A</v>
      </c>
      <c r="L1184" t="str">
        <f>_xlfn.XLOOKUP(Jnl[[#This Row],[Acct]], config_BS[Acct], config_BS[Lv1],,0)</f>
        <v>Assets</v>
      </c>
      <c r="M1184" t="str">
        <f>_xlfn.XLOOKUP(Jnl[[#This Row],[Acct]], config_BS[Acct], config_BS[Lv2],,0)</f>
        <v>Invtr</v>
      </c>
      <c r="N1184" t="str">
        <f>_xlfn.XLOOKUP(Jnl[[#This Row],[TrxId]], Trx[Id], Trx[IncNode], ,0)</f>
        <v>Cost</v>
      </c>
      <c r="O1184" t="str">
        <f>_xlfn.XLOOKUP(Jnl[[#This Row],[IncNode]], config_IS[Node], config_IS[Type],,0)</f>
        <v>Op</v>
      </c>
      <c r="P1184" t="str">
        <f>_xlfn.XLOOKUP(Jnl[[#This Row],[BSLv2]], dict[Key], dict[Name],,0)</f>
        <v>3.库存占款</v>
      </c>
      <c r="Q1184" t="str">
        <f>_xlfn.XLOOKUP(Jnl[[#This Row],[Acct]], dict[Key], dict[Name],,0)</f>
        <v>当期存货</v>
      </c>
      <c r="R1184" t="str">
        <f>_xlfn.XLOOKUP(Jnl[[#This Row],[Vehicle]],config_vehicle[Id], config_vehicle[Name],,0)</f>
        <v>喜家文化</v>
      </c>
      <c r="S1184" t="str">
        <f>_xlfn.XLOOKUP(Jnl[[#This Row],[Division]],config_div[Id], config_div[Name],,0)</f>
        <v>水街店</v>
      </c>
      <c r="T1184" t="str">
        <f>IF(Jnl[[#This Row],[TrxDate]]&lt;=stmt_BS_date_end, "In", "Out")</f>
        <v>In</v>
      </c>
      <c r="U1184" t="str">
        <f>IF(Jnl[[#This Row],[TrxDate]]&lt;debug_date_start, "prior", IF(Jnl[[#This Row],[TrxDate]]&gt;debug_date_end, "post", "curr"))</f>
        <v>curr</v>
      </c>
    </row>
    <row r="1185" spans="1:21">
      <c r="A1185" s="11" t="s">
        <v>1610</v>
      </c>
      <c r="B1185" s="7">
        <f>_xlfn.XLOOKUP(Jnl[[#This Row],[TrxId]], Trx[Id], Trx[Date],,0)</f>
        <v>46081</v>
      </c>
      <c r="C1185" s="7" t="str">
        <f>_xlfn.XLOOKUP(Jnl[[#This Row],[TrxId]], Trx[Id], Trx[Division],,0)</f>
        <v>Shuijie</v>
      </c>
      <c r="D1185" s="7" t="str">
        <f>_xlfn.XLOOKUP(Jnl[[#This Row],[TrxId]], Trx[Id], Trx[Action],,0)</f>
        <v>调整</v>
      </c>
      <c r="E1185" s="26" t="s">
        <v>82</v>
      </c>
      <c r="F1185" s="11" t="s">
        <v>1194</v>
      </c>
      <c r="G1185" s="11" t="s">
        <v>914</v>
      </c>
      <c r="H1185" s="72">
        <v>10215.06</v>
      </c>
      <c r="I1185" s="5" t="b">
        <f>AND(Jnl[[#This Row],[TrxId]]&lt;&gt;"",Jnl[[#This Row],[Acct]]&lt;&gt;"",Jnl[[#This Row],[Item]]&lt;&gt;"",ISNUMBER(Jnl[[#This Row],[Bal]]))</f>
        <v>1</v>
      </c>
      <c r="J1185" s="10">
        <f>IF(Jnl[[#This Row],[BSLv0]]="A",1,-1)*Jnl[[#This Row],[Bal]]</f>
        <v>-10215.06</v>
      </c>
      <c r="K1185" t="str">
        <f>_xlfn.XLOOKUP(Jnl[[#This Row],[Acct]], config_BS[Acct], config_BS[Lv0],,0)</f>
        <v>LC</v>
      </c>
      <c r="L1185" t="str">
        <f>_xlfn.XLOOKUP(Jnl[[#This Row],[Acct]], config_BS[Acct], config_BS[Lv1],,0)</f>
        <v>Liability</v>
      </c>
      <c r="M1185" t="str">
        <f>_xlfn.XLOOKUP(Jnl[[#This Row],[Acct]], config_BS[Acct], config_BS[Lv2],,0)</f>
        <v>Cash alike</v>
      </c>
      <c r="N1185" t="str">
        <f>_xlfn.XLOOKUP(Jnl[[#This Row],[TrxId]], Trx[Id], Trx[IncNode], ,0)</f>
        <v>Revenue</v>
      </c>
      <c r="O1185" t="str">
        <f>_xlfn.XLOOKUP(Jnl[[#This Row],[IncNode]], config_IS[Node], config_IS[Type],,0)</f>
        <v>Op</v>
      </c>
      <c r="P1185" t="str">
        <f>_xlfn.XLOOKUP(Jnl[[#This Row],[BSLv2]], dict[Key], dict[Name],,0)</f>
        <v>0.现金及类似</v>
      </c>
      <c r="Q1185" t="str">
        <f>_xlfn.XLOOKUP(Jnl[[#This Row],[Acct]], dict[Key], dict[Name],,0)</f>
        <v>会员充值</v>
      </c>
      <c r="R1185" t="str">
        <f>_xlfn.XLOOKUP(Jnl[[#This Row],[Vehicle]],config_vehicle[Id], config_vehicle[Name],,0)</f>
        <v>米小易</v>
      </c>
      <c r="S1185" t="str">
        <f>_xlfn.XLOOKUP(Jnl[[#This Row],[Division]],config_div[Id], config_div[Name],,0)</f>
        <v>水街店</v>
      </c>
      <c r="T1185" t="str">
        <f>IF(Jnl[[#This Row],[TrxDate]]&lt;=stmt_BS_date_end, "In", "Out")</f>
        <v>In</v>
      </c>
      <c r="U1185" t="str">
        <f>IF(Jnl[[#This Row],[TrxDate]]&lt;debug_date_start, "prior", IF(Jnl[[#This Row],[TrxDate]]&gt;debug_date_end, "post", "curr"))</f>
        <v>curr</v>
      </c>
    </row>
    <row r="1186" spans="1:21">
      <c r="A1186" s="11" t="s">
        <v>1610</v>
      </c>
      <c r="B1186" s="7">
        <f>_xlfn.XLOOKUP(Jnl[[#This Row],[TrxId]], Trx[Id], Trx[Date],,0)</f>
        <v>46081</v>
      </c>
      <c r="C1186" s="7" t="str">
        <f>_xlfn.XLOOKUP(Jnl[[#This Row],[TrxId]], Trx[Id], Trx[Division],,0)</f>
        <v>Shuijie</v>
      </c>
      <c r="D1186" s="7" t="str">
        <f>_xlfn.XLOOKUP(Jnl[[#This Row],[TrxId]], Trx[Id], Trx[Action],,0)</f>
        <v>调整</v>
      </c>
      <c r="E1186" s="26" t="s">
        <v>82</v>
      </c>
      <c r="F1186" s="11" t="s">
        <v>593</v>
      </c>
      <c r="G1186" s="11" t="s">
        <v>594</v>
      </c>
      <c r="H1186" s="72">
        <f>H1185</f>
        <v>10215.06</v>
      </c>
      <c r="I1186" s="5" t="b">
        <f>AND(Jnl[[#This Row],[TrxId]]&lt;&gt;"",Jnl[[#This Row],[Acct]]&lt;&gt;"",Jnl[[#This Row],[Item]]&lt;&gt;"",ISNUMBER(Jnl[[#This Row],[Bal]]))</f>
        <v>1</v>
      </c>
      <c r="J1186" s="10">
        <f>IF(Jnl[[#This Row],[BSLv0]]="A",1,-1)*Jnl[[#This Row],[Bal]]</f>
        <v>10215.06</v>
      </c>
      <c r="K1186" t="str">
        <f>_xlfn.XLOOKUP(Jnl[[#This Row],[Acct]], config_BS[Acct], config_BS[Lv0],,0)</f>
        <v>A</v>
      </c>
      <c r="L1186" t="str">
        <f>_xlfn.XLOOKUP(Jnl[[#This Row],[Acct]], config_BS[Acct], config_BS[Lv1],,0)</f>
        <v>Assets</v>
      </c>
      <c r="M1186" t="str">
        <f>_xlfn.XLOOKUP(Jnl[[#This Row],[Acct]], config_BS[Acct], config_BS[Lv2],,0)</f>
        <v>Rec-Pay</v>
      </c>
      <c r="N1186" t="str">
        <f>_xlfn.XLOOKUP(Jnl[[#This Row],[TrxId]], Trx[Id], Trx[IncNode], ,0)</f>
        <v>Revenue</v>
      </c>
      <c r="O1186" t="str">
        <f>_xlfn.XLOOKUP(Jnl[[#This Row],[IncNode]], config_IS[Node], config_IS[Type],,0)</f>
        <v>Op</v>
      </c>
      <c r="P1186" t="str">
        <f>_xlfn.XLOOKUP(Jnl[[#This Row],[BSLv2]], dict[Key], dict[Name],,0)</f>
        <v>1.应收-应付</v>
      </c>
      <c r="Q1186" t="str">
        <f>_xlfn.XLOOKUP(Jnl[[#This Row],[Acct]], dict[Key], dict[Name],,0)</f>
        <v>应收-一般</v>
      </c>
      <c r="R1186" t="str">
        <f>_xlfn.XLOOKUP(Jnl[[#This Row],[Vehicle]],config_vehicle[Id], config_vehicle[Name],,0)</f>
        <v>米小易</v>
      </c>
      <c r="S1186" t="str">
        <f>_xlfn.XLOOKUP(Jnl[[#This Row],[Division]],config_div[Id], config_div[Name],,0)</f>
        <v>水街店</v>
      </c>
      <c r="T1186" t="str">
        <f>IF(Jnl[[#This Row],[TrxDate]]&lt;=stmt_BS_date_end, "In", "Out")</f>
        <v>In</v>
      </c>
      <c r="U1186" t="str">
        <f>IF(Jnl[[#This Row],[TrxDate]]&lt;debug_date_start, "prior", IF(Jnl[[#This Row],[TrxDate]]&gt;debug_date_end, "post", "curr"))</f>
        <v>curr</v>
      </c>
    </row>
    <row r="1187" spans="1:21">
      <c r="A1187" s="11" t="s">
        <v>1612</v>
      </c>
      <c r="B1187" s="7">
        <f>_xlfn.XLOOKUP(Jnl[[#This Row],[TrxId]], Trx[Id], Trx[Date],,0)</f>
        <v>46081</v>
      </c>
      <c r="C1187" s="7" t="str">
        <f>_xlfn.XLOOKUP(Jnl[[#This Row],[TrxId]], Trx[Id], Trx[Division],,0)</f>
        <v>Shuijie</v>
      </c>
      <c r="D1187" s="7" t="str">
        <f>_xlfn.XLOOKUP(Jnl[[#This Row],[TrxId]], Trx[Id], Trx[Action],,0)</f>
        <v>库存摊销</v>
      </c>
      <c r="E1187" s="26" t="s">
        <v>80</v>
      </c>
      <c r="F1187" s="11" t="s">
        <v>598</v>
      </c>
      <c r="G1187" s="11" t="s">
        <v>151</v>
      </c>
      <c r="H1187" s="72">
        <f>-463231.51*0.5+289.4</f>
        <v>-231326.35500000001</v>
      </c>
      <c r="I1187" s="5" t="b">
        <f>AND(Jnl[[#This Row],[TrxId]]&lt;&gt;"",Jnl[[#This Row],[Acct]]&lt;&gt;"",Jnl[[#This Row],[Item]]&lt;&gt;"",ISNUMBER(Jnl[[#This Row],[Bal]]))</f>
        <v>1</v>
      </c>
      <c r="J1187" s="10">
        <f>IF(Jnl[[#This Row],[BSLv0]]="A",1,-1)*Jnl[[#This Row],[Bal]]</f>
        <v>-231326.35500000001</v>
      </c>
      <c r="K1187" t="str">
        <f>_xlfn.XLOOKUP(Jnl[[#This Row],[Acct]], config_BS[Acct], config_BS[Lv0],,0)</f>
        <v>A</v>
      </c>
      <c r="L1187" t="str">
        <f>_xlfn.XLOOKUP(Jnl[[#This Row],[Acct]], config_BS[Acct], config_BS[Lv1],,0)</f>
        <v>Assets</v>
      </c>
      <c r="M1187" t="str">
        <f>_xlfn.XLOOKUP(Jnl[[#This Row],[Acct]], config_BS[Acct], config_BS[Lv2],,0)</f>
        <v>Invtr</v>
      </c>
      <c r="N1187" t="str">
        <f>_xlfn.XLOOKUP(Jnl[[#This Row],[TrxId]], Trx[Id], Trx[IncNode], ,0)</f>
        <v>Cost</v>
      </c>
      <c r="O1187" t="str">
        <f>_xlfn.XLOOKUP(Jnl[[#This Row],[IncNode]], config_IS[Node], config_IS[Type],,0)</f>
        <v>Op</v>
      </c>
      <c r="P1187" t="str">
        <f>_xlfn.XLOOKUP(Jnl[[#This Row],[BSLv2]], dict[Key], dict[Name],,0)</f>
        <v>3.库存占款</v>
      </c>
      <c r="Q1187" t="str">
        <f>_xlfn.XLOOKUP(Jnl[[#This Row],[Acct]], dict[Key], dict[Name],,0)</f>
        <v>当期存货</v>
      </c>
      <c r="R1187" t="str">
        <f>_xlfn.XLOOKUP(Jnl[[#This Row],[Vehicle]],config_vehicle[Id], config_vehicle[Name],,0)</f>
        <v>远家花园</v>
      </c>
      <c r="S1187" t="str">
        <f>_xlfn.XLOOKUP(Jnl[[#This Row],[Division]],config_div[Id], config_div[Name],,0)</f>
        <v>水街店</v>
      </c>
      <c r="T1187" t="str">
        <f>IF(Jnl[[#This Row],[TrxDate]]&lt;=stmt_BS_date_end, "In", "Out")</f>
        <v>In</v>
      </c>
      <c r="U1187" t="str">
        <f>IF(Jnl[[#This Row],[TrxDate]]&lt;debug_date_start, "prior", IF(Jnl[[#This Row],[TrxDate]]&gt;debug_date_end, "post", "curr"))</f>
        <v>curr</v>
      </c>
    </row>
    <row r="1188" spans="1:21">
      <c r="A1188" s="11" t="s">
        <v>1613</v>
      </c>
      <c r="B1188" s="7">
        <f>_xlfn.XLOOKUP(Jnl[[#This Row],[TrxId]], Trx[Id], Trx[Date],,0)</f>
        <v>46081</v>
      </c>
      <c r="C1188" s="7" t="str">
        <f>_xlfn.XLOOKUP(Jnl[[#This Row],[TrxId]], Trx[Id], Trx[Division],,0)</f>
        <v>GM</v>
      </c>
      <c r="D1188" s="7" t="str">
        <f>_xlfn.XLOOKUP(Jnl[[#This Row],[TrxId]], Trx[Id], Trx[Action],,0)</f>
        <v>团建</v>
      </c>
      <c r="E1188" s="26" t="s">
        <v>80</v>
      </c>
      <c r="F1188" s="11" t="s">
        <v>590</v>
      </c>
      <c r="G1188" s="11" t="s">
        <v>391</v>
      </c>
      <c r="H1188" s="72">
        <v>-6720</v>
      </c>
      <c r="I1188" s="5" t="b">
        <f>AND(Jnl[[#This Row],[TrxId]]&lt;&gt;"",Jnl[[#This Row],[Acct]]&lt;&gt;"",Jnl[[#This Row],[Item]]&lt;&gt;"",ISNUMBER(Jnl[[#This Row],[Bal]]))</f>
        <v>1</v>
      </c>
      <c r="J1188" s="10">
        <f>IF(Jnl[[#This Row],[BSLv0]]="A",1,-1)*Jnl[[#This Row],[Bal]]</f>
        <v>-6720</v>
      </c>
      <c r="K1188" t="str">
        <f>_xlfn.XLOOKUP(Jnl[[#This Row],[Acct]], config_BS[Acct], config_BS[Lv0],,0)</f>
        <v>A</v>
      </c>
      <c r="L1188" t="str">
        <f>_xlfn.XLOOKUP(Jnl[[#This Row],[Acct]], config_BS[Acct], config_BS[Lv1],,0)</f>
        <v>Assets</v>
      </c>
      <c r="M1188" t="str">
        <f>_xlfn.XLOOKUP(Jnl[[#This Row],[Acct]], config_BS[Acct], config_BS[Lv2],,0)</f>
        <v>Cash alike</v>
      </c>
      <c r="N1188" t="str">
        <f>_xlfn.XLOOKUP(Jnl[[#This Row],[TrxId]], Trx[Id], Trx[IncNode], ,0)</f>
        <v>Expense</v>
      </c>
      <c r="O1188" t="str">
        <f>_xlfn.XLOOKUP(Jnl[[#This Row],[IncNode]], config_IS[Node], config_IS[Type],,0)</f>
        <v>Op</v>
      </c>
      <c r="P1188" t="str">
        <f>_xlfn.XLOOKUP(Jnl[[#This Row],[BSLv2]], dict[Key], dict[Name],,0)</f>
        <v>0.现金及类似</v>
      </c>
      <c r="Q1188" t="str">
        <f>_xlfn.XLOOKUP(Jnl[[#This Row],[Acct]], dict[Key], dict[Name],,0)</f>
        <v>银行</v>
      </c>
      <c r="R1188" t="str">
        <f>_xlfn.XLOOKUP(Jnl[[#This Row],[Vehicle]],config_vehicle[Id], config_vehicle[Name],,0)</f>
        <v>远家花园</v>
      </c>
      <c r="S1188" t="str">
        <f>_xlfn.XLOOKUP(Jnl[[#This Row],[Division]],config_div[Id], config_div[Name],,0)</f>
        <v>综合管理</v>
      </c>
      <c r="T1188" t="str">
        <f>IF(Jnl[[#This Row],[TrxDate]]&lt;=stmt_BS_date_end, "In", "Out")</f>
        <v>In</v>
      </c>
      <c r="U1188" t="str">
        <f>IF(Jnl[[#This Row],[TrxDate]]&lt;debug_date_start, "prior", IF(Jnl[[#This Row],[TrxDate]]&gt;debug_date_end, "post", "curr"))</f>
        <v>curr</v>
      </c>
    </row>
    <row r="1189" spans="1:21">
      <c r="A1189" s="11" t="s">
        <v>1615</v>
      </c>
      <c r="B1189" s="7">
        <f>_xlfn.XLOOKUP(Jnl[[#This Row],[TrxId]], Trx[Id], Trx[Date],,0)</f>
        <v>46081</v>
      </c>
      <c r="C1189" s="7" t="str">
        <f>_xlfn.XLOOKUP(Jnl[[#This Row],[TrxId]], Trx[Id], Trx[Division],,0)</f>
        <v>Online</v>
      </c>
      <c r="D1189" s="7" t="str">
        <f>_xlfn.XLOOKUP(Jnl[[#This Row],[TrxId]], Trx[Id], Trx[Action],,0)</f>
        <v>收款</v>
      </c>
      <c r="E1189" s="26" t="s">
        <v>80</v>
      </c>
      <c r="F1189" s="11" t="s">
        <v>590</v>
      </c>
      <c r="G1189" s="11" t="s">
        <v>391</v>
      </c>
      <c r="H1189" s="72">
        <v>1017208.81</v>
      </c>
      <c r="I1189" s="5" t="b">
        <f>AND(Jnl[[#This Row],[TrxId]]&lt;&gt;"",Jnl[[#This Row],[Acct]]&lt;&gt;"",Jnl[[#This Row],[Item]]&lt;&gt;"",ISNUMBER(Jnl[[#This Row],[Bal]]))</f>
        <v>1</v>
      </c>
      <c r="J1189" s="10">
        <f>IF(Jnl[[#This Row],[BSLv0]]="A",1,-1)*Jnl[[#This Row],[Bal]]</f>
        <v>1017208.81</v>
      </c>
      <c r="K1189" t="str">
        <f>_xlfn.XLOOKUP(Jnl[[#This Row],[Acct]], config_BS[Acct], config_BS[Lv0],,0)</f>
        <v>A</v>
      </c>
      <c r="L1189" t="str">
        <f>_xlfn.XLOOKUP(Jnl[[#This Row],[Acct]], config_BS[Acct], config_BS[Lv1],,0)</f>
        <v>Assets</v>
      </c>
      <c r="M1189" t="str">
        <f>_xlfn.XLOOKUP(Jnl[[#This Row],[Acct]], config_BS[Acct], config_BS[Lv2],,0)</f>
        <v>Cash alike</v>
      </c>
      <c r="N1189" t="str">
        <f>_xlfn.XLOOKUP(Jnl[[#This Row],[TrxId]], Trx[Id], Trx[IncNode], ,0)</f>
        <v>Revenue</v>
      </c>
      <c r="O1189" t="str">
        <f>_xlfn.XLOOKUP(Jnl[[#This Row],[IncNode]], config_IS[Node], config_IS[Type],,0)</f>
        <v>Op</v>
      </c>
      <c r="P1189" t="str">
        <f>_xlfn.XLOOKUP(Jnl[[#This Row],[BSLv2]], dict[Key], dict[Name],,0)</f>
        <v>0.现金及类似</v>
      </c>
      <c r="Q1189" t="str">
        <f>_xlfn.XLOOKUP(Jnl[[#This Row],[Acct]], dict[Key], dict[Name],,0)</f>
        <v>银行</v>
      </c>
      <c r="R1189" t="str">
        <f>_xlfn.XLOOKUP(Jnl[[#This Row],[Vehicle]],config_vehicle[Id], config_vehicle[Name],,0)</f>
        <v>远家花园</v>
      </c>
      <c r="S1189" t="str">
        <f>_xlfn.XLOOKUP(Jnl[[#This Row],[Division]],config_div[Id], config_div[Name],,0)</f>
        <v>网店</v>
      </c>
      <c r="T1189" t="str">
        <f>IF(Jnl[[#This Row],[TrxDate]]&lt;=stmt_BS_date_end, "In", "Out")</f>
        <v>In</v>
      </c>
      <c r="U1189" t="str">
        <f>IF(Jnl[[#This Row],[TrxDate]]&lt;debug_date_start, "prior", IF(Jnl[[#This Row],[TrxDate]]&gt;debug_date_end, "post", "curr"))</f>
        <v>curr</v>
      </c>
    </row>
    <row r="1190" spans="1:21">
      <c r="A1190" s="11" t="s">
        <v>1615</v>
      </c>
      <c r="B1190" s="7">
        <f>_xlfn.XLOOKUP(Jnl[[#This Row],[TrxId]], Trx[Id], Trx[Date],,0)</f>
        <v>46081</v>
      </c>
      <c r="C1190" s="7" t="str">
        <f>_xlfn.XLOOKUP(Jnl[[#This Row],[TrxId]], Trx[Id], Trx[Division],,0)</f>
        <v>Online</v>
      </c>
      <c r="D1190" s="7" t="str">
        <f>_xlfn.XLOOKUP(Jnl[[#This Row],[TrxId]], Trx[Id], Trx[Action],,0)</f>
        <v>收款</v>
      </c>
      <c r="E1190" s="26" t="s">
        <v>80</v>
      </c>
      <c r="F1190" s="11" t="s">
        <v>593</v>
      </c>
      <c r="G1190" s="11" t="s">
        <v>594</v>
      </c>
      <c r="H1190" s="72">
        <v>-1017208.81</v>
      </c>
      <c r="I1190" s="5" t="b">
        <f>AND(Jnl[[#This Row],[TrxId]]&lt;&gt;"",Jnl[[#This Row],[Acct]]&lt;&gt;"",Jnl[[#This Row],[Item]]&lt;&gt;"",ISNUMBER(Jnl[[#This Row],[Bal]]))</f>
        <v>1</v>
      </c>
      <c r="J1190" s="10">
        <f>IF(Jnl[[#This Row],[BSLv0]]="A",1,-1)*Jnl[[#This Row],[Bal]]</f>
        <v>-1017208.81</v>
      </c>
      <c r="K1190" t="str">
        <f>_xlfn.XLOOKUP(Jnl[[#This Row],[Acct]], config_BS[Acct], config_BS[Lv0],,0)</f>
        <v>A</v>
      </c>
      <c r="L1190" t="str">
        <f>_xlfn.XLOOKUP(Jnl[[#This Row],[Acct]], config_BS[Acct], config_BS[Lv1],,0)</f>
        <v>Assets</v>
      </c>
      <c r="M1190" t="str">
        <f>_xlfn.XLOOKUP(Jnl[[#This Row],[Acct]], config_BS[Acct], config_BS[Lv2],,0)</f>
        <v>Rec-Pay</v>
      </c>
      <c r="N1190" t="str">
        <f>_xlfn.XLOOKUP(Jnl[[#This Row],[TrxId]], Trx[Id], Trx[IncNode], ,0)</f>
        <v>Revenue</v>
      </c>
      <c r="O1190" t="str">
        <f>_xlfn.XLOOKUP(Jnl[[#This Row],[IncNode]], config_IS[Node], config_IS[Type],,0)</f>
        <v>Op</v>
      </c>
      <c r="P1190" t="str">
        <f>_xlfn.XLOOKUP(Jnl[[#This Row],[BSLv2]], dict[Key], dict[Name],,0)</f>
        <v>1.应收-应付</v>
      </c>
      <c r="Q1190" t="str">
        <f>_xlfn.XLOOKUP(Jnl[[#This Row],[Acct]], dict[Key], dict[Name],,0)</f>
        <v>应收-一般</v>
      </c>
      <c r="R1190" t="str">
        <f>_xlfn.XLOOKUP(Jnl[[#This Row],[Vehicle]],config_vehicle[Id], config_vehicle[Name],,0)</f>
        <v>远家花园</v>
      </c>
      <c r="S1190" t="str">
        <f>_xlfn.XLOOKUP(Jnl[[#This Row],[Division]],config_div[Id], config_div[Name],,0)</f>
        <v>网店</v>
      </c>
      <c r="T1190" t="str">
        <f>IF(Jnl[[#This Row],[TrxDate]]&lt;=stmt_BS_date_end, "In", "Out")</f>
        <v>In</v>
      </c>
      <c r="U1190" t="str">
        <f>IF(Jnl[[#This Row],[TrxDate]]&lt;debug_date_start, "prior", IF(Jnl[[#This Row],[TrxDate]]&gt;debug_date_end, "post", "curr"))</f>
        <v>curr</v>
      </c>
    </row>
    <row r="1191" spans="1:21">
      <c r="A1191" s="11" t="s">
        <v>1616</v>
      </c>
      <c r="B1191" s="7">
        <f>_xlfn.XLOOKUP(Jnl[[#This Row],[TrxId]], Trx[Id], Trx[Date],,0)</f>
        <v>46081</v>
      </c>
      <c r="C1191" s="7" t="str">
        <f>_xlfn.XLOOKUP(Jnl[[#This Row],[TrxId]], Trx[Id], Trx[Division],,0)</f>
        <v>Online</v>
      </c>
      <c r="D1191" s="7" t="str">
        <f>_xlfn.XLOOKUP(Jnl[[#This Row],[TrxId]], Trx[Id], Trx[Action],,0)</f>
        <v>加工</v>
      </c>
      <c r="E1191" s="26" t="s">
        <v>80</v>
      </c>
      <c r="F1191" s="11" t="s">
        <v>598</v>
      </c>
      <c r="G1191" s="11" t="s">
        <v>151</v>
      </c>
      <c r="H1191" s="72">
        <v>51414</v>
      </c>
      <c r="I1191" s="5" t="b">
        <f>AND(Jnl[[#This Row],[TrxId]]&lt;&gt;"",Jnl[[#This Row],[Acct]]&lt;&gt;"",Jnl[[#This Row],[Item]]&lt;&gt;"",ISNUMBER(Jnl[[#This Row],[Bal]]))</f>
        <v>1</v>
      </c>
      <c r="J1191" s="10">
        <f>IF(Jnl[[#This Row],[BSLv0]]="A",1,-1)*Jnl[[#This Row],[Bal]]</f>
        <v>51414</v>
      </c>
      <c r="K1191" t="str">
        <f>_xlfn.XLOOKUP(Jnl[[#This Row],[Acct]], config_BS[Acct], config_BS[Lv0],,0)</f>
        <v>A</v>
      </c>
      <c r="L1191" t="str">
        <f>_xlfn.XLOOKUP(Jnl[[#This Row],[Acct]], config_BS[Acct], config_BS[Lv1],,0)</f>
        <v>Assets</v>
      </c>
      <c r="M1191" t="str">
        <f>_xlfn.XLOOKUP(Jnl[[#This Row],[Acct]], config_BS[Acct], config_BS[Lv2],,0)</f>
        <v>Invtr</v>
      </c>
      <c r="N1191" t="str">
        <f>_xlfn.XLOOKUP(Jnl[[#This Row],[TrxId]], Trx[Id], Trx[IncNode], ,0)</f>
        <v>Cost</v>
      </c>
      <c r="O1191" t="str">
        <f>_xlfn.XLOOKUP(Jnl[[#This Row],[IncNode]], config_IS[Node], config_IS[Type],,0)</f>
        <v>Op</v>
      </c>
      <c r="P1191" t="str">
        <f>_xlfn.XLOOKUP(Jnl[[#This Row],[BSLv2]], dict[Key], dict[Name],,0)</f>
        <v>3.库存占款</v>
      </c>
      <c r="Q1191" t="str">
        <f>_xlfn.XLOOKUP(Jnl[[#This Row],[Acct]], dict[Key], dict[Name],,0)</f>
        <v>当期存货</v>
      </c>
      <c r="R1191" t="str">
        <f>_xlfn.XLOOKUP(Jnl[[#This Row],[Vehicle]],config_vehicle[Id], config_vehicle[Name],,0)</f>
        <v>远家花园</v>
      </c>
      <c r="S1191" t="str">
        <f>_xlfn.XLOOKUP(Jnl[[#This Row],[Division]],config_div[Id], config_div[Name],,0)</f>
        <v>网店</v>
      </c>
      <c r="T1191" t="str">
        <f>IF(Jnl[[#This Row],[TrxDate]]&lt;=stmt_BS_date_end, "In", "Out")</f>
        <v>In</v>
      </c>
      <c r="U1191" t="str">
        <f>IF(Jnl[[#This Row],[TrxDate]]&lt;debug_date_start, "prior", IF(Jnl[[#This Row],[TrxDate]]&gt;debug_date_end, "post", "curr"))</f>
        <v>curr</v>
      </c>
    </row>
    <row r="1192" spans="1:21">
      <c r="A1192" s="11" t="s">
        <v>1616</v>
      </c>
      <c r="B1192" s="7">
        <f>_xlfn.XLOOKUP(Jnl[[#This Row],[TrxId]], Trx[Id], Trx[Date],,0)</f>
        <v>46081</v>
      </c>
      <c r="C1192" s="7" t="str">
        <f>_xlfn.XLOOKUP(Jnl[[#This Row],[TrxId]], Trx[Id], Trx[Division],,0)</f>
        <v>Online</v>
      </c>
      <c r="D1192" s="7" t="str">
        <f>_xlfn.XLOOKUP(Jnl[[#This Row],[TrxId]], Trx[Id], Trx[Action],,0)</f>
        <v>加工</v>
      </c>
      <c r="E1192" s="26" t="s">
        <v>80</v>
      </c>
      <c r="F1192" s="11" t="s">
        <v>590</v>
      </c>
      <c r="G1192" s="11" t="s">
        <v>391</v>
      </c>
      <c r="H1192" s="72">
        <v>-51414</v>
      </c>
      <c r="I1192" s="5" t="b">
        <f>AND(Jnl[[#This Row],[TrxId]]&lt;&gt;"",Jnl[[#This Row],[Acct]]&lt;&gt;"",Jnl[[#This Row],[Item]]&lt;&gt;"",ISNUMBER(Jnl[[#This Row],[Bal]]))</f>
        <v>1</v>
      </c>
      <c r="J1192" s="10">
        <f>IF(Jnl[[#This Row],[BSLv0]]="A",1,-1)*Jnl[[#This Row],[Bal]]</f>
        <v>-51414</v>
      </c>
      <c r="K1192" t="str">
        <f>_xlfn.XLOOKUP(Jnl[[#This Row],[Acct]], config_BS[Acct], config_BS[Lv0],,0)</f>
        <v>A</v>
      </c>
      <c r="L1192" t="str">
        <f>_xlfn.XLOOKUP(Jnl[[#This Row],[Acct]], config_BS[Acct], config_BS[Lv1],,0)</f>
        <v>Assets</v>
      </c>
      <c r="M1192" t="str">
        <f>_xlfn.XLOOKUP(Jnl[[#This Row],[Acct]], config_BS[Acct], config_BS[Lv2],,0)</f>
        <v>Cash alike</v>
      </c>
      <c r="N1192" t="str">
        <f>_xlfn.XLOOKUP(Jnl[[#This Row],[TrxId]], Trx[Id], Trx[IncNode], ,0)</f>
        <v>Cost</v>
      </c>
      <c r="O1192" t="str">
        <f>_xlfn.XLOOKUP(Jnl[[#This Row],[IncNode]], config_IS[Node], config_IS[Type],,0)</f>
        <v>Op</v>
      </c>
      <c r="P1192" t="str">
        <f>_xlfn.XLOOKUP(Jnl[[#This Row],[BSLv2]], dict[Key], dict[Name],,0)</f>
        <v>0.现金及类似</v>
      </c>
      <c r="Q1192" t="str">
        <f>_xlfn.XLOOKUP(Jnl[[#This Row],[Acct]], dict[Key], dict[Name],,0)</f>
        <v>银行</v>
      </c>
      <c r="R1192" t="str">
        <f>_xlfn.XLOOKUP(Jnl[[#This Row],[Vehicle]],config_vehicle[Id], config_vehicle[Name],,0)</f>
        <v>远家花园</v>
      </c>
      <c r="S1192" t="str">
        <f>_xlfn.XLOOKUP(Jnl[[#This Row],[Division]],config_div[Id], config_div[Name],,0)</f>
        <v>网店</v>
      </c>
      <c r="T1192" t="str">
        <f>IF(Jnl[[#This Row],[TrxDate]]&lt;=stmt_BS_date_end, "In", "Out")</f>
        <v>In</v>
      </c>
      <c r="U1192" t="str">
        <f>IF(Jnl[[#This Row],[TrxDate]]&lt;debug_date_start, "prior", IF(Jnl[[#This Row],[TrxDate]]&gt;debug_date_end, "post", "curr"))</f>
        <v>curr</v>
      </c>
    </row>
    <row r="1193" spans="1:21">
      <c r="A1193" s="11" t="s">
        <v>1617</v>
      </c>
      <c r="B1193" s="7">
        <f>_xlfn.XLOOKUP(Jnl[[#This Row],[TrxId]], Trx[Id], Trx[Date],,0)</f>
        <v>46081</v>
      </c>
      <c r="C1193" s="7" t="str">
        <f>_xlfn.XLOOKUP(Jnl[[#This Row],[TrxId]], Trx[Id], Trx[Division],,0)</f>
        <v>Online</v>
      </c>
      <c r="D1193" s="7" t="str">
        <f>_xlfn.XLOOKUP(Jnl[[#This Row],[TrxId]], Trx[Id], Trx[Action],,0)</f>
        <v>福利</v>
      </c>
      <c r="E1193" s="26" t="s">
        <v>80</v>
      </c>
      <c r="F1193" s="11" t="s">
        <v>590</v>
      </c>
      <c r="G1193" s="11" t="s">
        <v>391</v>
      </c>
      <c r="H1193" s="72">
        <v>-600</v>
      </c>
      <c r="I1193" s="5" t="b">
        <f>AND(Jnl[[#This Row],[TrxId]]&lt;&gt;"",Jnl[[#This Row],[Acct]]&lt;&gt;"",Jnl[[#This Row],[Item]]&lt;&gt;"",ISNUMBER(Jnl[[#This Row],[Bal]]))</f>
        <v>1</v>
      </c>
      <c r="J1193" s="10">
        <f>IF(Jnl[[#This Row],[BSLv0]]="A",1,-1)*Jnl[[#This Row],[Bal]]</f>
        <v>-600</v>
      </c>
      <c r="K1193" t="str">
        <f>_xlfn.XLOOKUP(Jnl[[#This Row],[Acct]], config_BS[Acct], config_BS[Lv0],,0)</f>
        <v>A</v>
      </c>
      <c r="L1193" t="str">
        <f>_xlfn.XLOOKUP(Jnl[[#This Row],[Acct]], config_BS[Acct], config_BS[Lv1],,0)</f>
        <v>Assets</v>
      </c>
      <c r="M1193" t="str">
        <f>_xlfn.XLOOKUP(Jnl[[#This Row],[Acct]], config_BS[Acct], config_BS[Lv2],,0)</f>
        <v>Cash alike</v>
      </c>
      <c r="N1193" t="str">
        <f>_xlfn.XLOOKUP(Jnl[[#This Row],[TrxId]], Trx[Id], Trx[IncNode], ,0)</f>
        <v>Expense</v>
      </c>
      <c r="O1193" t="str">
        <f>_xlfn.XLOOKUP(Jnl[[#This Row],[IncNode]], config_IS[Node], config_IS[Type],,0)</f>
        <v>Op</v>
      </c>
      <c r="P1193" t="str">
        <f>_xlfn.XLOOKUP(Jnl[[#This Row],[BSLv2]], dict[Key], dict[Name],,0)</f>
        <v>0.现金及类似</v>
      </c>
      <c r="Q1193" t="str">
        <f>_xlfn.XLOOKUP(Jnl[[#This Row],[Acct]], dict[Key], dict[Name],,0)</f>
        <v>银行</v>
      </c>
      <c r="R1193" t="str">
        <f>_xlfn.XLOOKUP(Jnl[[#This Row],[Vehicle]],config_vehicle[Id], config_vehicle[Name],,0)</f>
        <v>远家花园</v>
      </c>
      <c r="S1193" t="str">
        <f>_xlfn.XLOOKUP(Jnl[[#This Row],[Division]],config_div[Id], config_div[Name],,0)</f>
        <v>网店</v>
      </c>
      <c r="T1193" t="str">
        <f>IF(Jnl[[#This Row],[TrxDate]]&lt;=stmt_BS_date_end, "In", "Out")</f>
        <v>In</v>
      </c>
      <c r="U1193" t="str">
        <f>IF(Jnl[[#This Row],[TrxDate]]&lt;debug_date_start, "prior", IF(Jnl[[#This Row],[TrxDate]]&gt;debug_date_end, "post", "curr"))</f>
        <v>curr</v>
      </c>
    </row>
    <row r="1194" spans="1:21">
      <c r="A1194" s="11" t="s">
        <v>1619</v>
      </c>
      <c r="B1194" s="7">
        <f>_xlfn.XLOOKUP(Jnl[[#This Row],[TrxId]], Trx[Id], Trx[Date],,0)</f>
        <v>46081</v>
      </c>
      <c r="C1194" s="7" t="str">
        <f>_xlfn.XLOOKUP(Jnl[[#This Row],[TrxId]], Trx[Id], Trx[Division],,0)</f>
        <v>Brand</v>
      </c>
      <c r="D1194" s="7" t="str">
        <f>_xlfn.XLOOKUP(Jnl[[#This Row],[TrxId]], Trx[Id], Trx[Action],,0)</f>
        <v>拍摄</v>
      </c>
      <c r="E1194" s="26" t="s">
        <v>80</v>
      </c>
      <c r="F1194" s="11" t="s">
        <v>590</v>
      </c>
      <c r="G1194" s="11" t="s">
        <v>391</v>
      </c>
      <c r="H1194" s="72">
        <v>-1324</v>
      </c>
      <c r="I1194" s="5" t="b">
        <f>AND(Jnl[[#This Row],[TrxId]]&lt;&gt;"",Jnl[[#This Row],[Acct]]&lt;&gt;"",Jnl[[#This Row],[Item]]&lt;&gt;"",ISNUMBER(Jnl[[#This Row],[Bal]]))</f>
        <v>1</v>
      </c>
      <c r="J1194" s="10">
        <f>IF(Jnl[[#This Row],[BSLv0]]="A",1,-1)*Jnl[[#This Row],[Bal]]</f>
        <v>-1324</v>
      </c>
      <c r="K1194" t="str">
        <f>_xlfn.XLOOKUP(Jnl[[#This Row],[Acct]], config_BS[Acct], config_BS[Lv0],,0)</f>
        <v>A</v>
      </c>
      <c r="L1194" t="str">
        <f>_xlfn.XLOOKUP(Jnl[[#This Row],[Acct]], config_BS[Acct], config_BS[Lv1],,0)</f>
        <v>Assets</v>
      </c>
      <c r="M1194" t="str">
        <f>_xlfn.XLOOKUP(Jnl[[#This Row],[Acct]], config_BS[Acct], config_BS[Lv2],,0)</f>
        <v>Cash alike</v>
      </c>
      <c r="N1194" t="str">
        <f>_xlfn.XLOOKUP(Jnl[[#This Row],[TrxId]], Trx[Id], Trx[IncNode], ,0)</f>
        <v>Expense</v>
      </c>
      <c r="O1194" t="str">
        <f>_xlfn.XLOOKUP(Jnl[[#This Row],[IncNode]], config_IS[Node], config_IS[Type],,0)</f>
        <v>Op</v>
      </c>
      <c r="P1194" t="str">
        <f>_xlfn.XLOOKUP(Jnl[[#This Row],[BSLv2]], dict[Key], dict[Name],,0)</f>
        <v>0.现金及类似</v>
      </c>
      <c r="Q1194" t="str">
        <f>_xlfn.XLOOKUP(Jnl[[#This Row],[Acct]], dict[Key], dict[Name],,0)</f>
        <v>银行</v>
      </c>
      <c r="R1194" t="str">
        <f>_xlfn.XLOOKUP(Jnl[[#This Row],[Vehicle]],config_vehicle[Id], config_vehicle[Name],,0)</f>
        <v>远家花园</v>
      </c>
      <c r="S1194" t="str">
        <f>_xlfn.XLOOKUP(Jnl[[#This Row],[Division]],config_div[Id], config_div[Name],,0)</f>
        <v>品牌</v>
      </c>
      <c r="T1194" t="str">
        <f>IF(Jnl[[#This Row],[TrxDate]]&lt;=stmt_BS_date_end, "In", "Out")</f>
        <v>In</v>
      </c>
      <c r="U1194" t="str">
        <f>IF(Jnl[[#This Row],[TrxDate]]&lt;debug_date_start, "prior", IF(Jnl[[#This Row],[TrxDate]]&gt;debug_date_end, "post", "curr"))</f>
        <v>curr</v>
      </c>
    </row>
    <row r="1195" spans="1:21">
      <c r="A1195" s="11" t="s">
        <v>1626</v>
      </c>
      <c r="B1195" s="7">
        <f>_xlfn.XLOOKUP(Jnl[[#This Row],[TrxId]], Trx[Id], Trx[Date],,0)</f>
        <v>46081</v>
      </c>
      <c r="C1195" s="7" t="str">
        <f>_xlfn.XLOOKUP(Jnl[[#This Row],[TrxId]], Trx[Id], Trx[Division],,0)</f>
        <v>MY</v>
      </c>
      <c r="D1195" s="7" t="str">
        <f>_xlfn.XLOOKUP(Jnl[[#This Row],[TrxId]], Trx[Id], Trx[Action],,0)</f>
        <v>收款</v>
      </c>
      <c r="E1195" s="26" t="s">
        <v>83</v>
      </c>
      <c r="F1195" s="11" t="s">
        <v>14</v>
      </c>
      <c r="G1195" s="11" t="s">
        <v>135</v>
      </c>
      <c r="H1195" s="72">
        <v>781</v>
      </c>
      <c r="I1195" s="5" t="b">
        <f>AND(Jnl[[#This Row],[TrxId]]&lt;&gt;"",Jnl[[#This Row],[Acct]]&lt;&gt;"",Jnl[[#This Row],[Item]]&lt;&gt;"",ISNUMBER(Jnl[[#This Row],[Bal]]))</f>
        <v>1</v>
      </c>
      <c r="J1195" s="10">
        <f>IF(Jnl[[#This Row],[BSLv0]]="A",1,-1)*Jnl[[#This Row],[Bal]]</f>
        <v>781</v>
      </c>
      <c r="K1195" t="str">
        <f>_xlfn.XLOOKUP(Jnl[[#This Row],[Acct]], config_BS[Acct], config_BS[Lv0],,0)</f>
        <v>A</v>
      </c>
      <c r="L1195" t="str">
        <f>_xlfn.XLOOKUP(Jnl[[#This Row],[Acct]], config_BS[Acct], config_BS[Lv1],,0)</f>
        <v>Assets</v>
      </c>
      <c r="M1195" t="str">
        <f>_xlfn.XLOOKUP(Jnl[[#This Row],[Acct]], config_BS[Acct], config_BS[Lv2],,0)</f>
        <v>Cash alike</v>
      </c>
      <c r="N1195" t="str">
        <f>_xlfn.XLOOKUP(Jnl[[#This Row],[TrxId]], Trx[Id], Trx[IncNode], ,0)</f>
        <v>Revenue</v>
      </c>
      <c r="O1195" t="str">
        <f>_xlfn.XLOOKUP(Jnl[[#This Row],[IncNode]], config_IS[Node], config_IS[Type],,0)</f>
        <v>Op</v>
      </c>
      <c r="P1195" t="str">
        <f>_xlfn.XLOOKUP(Jnl[[#This Row],[BSLv2]], dict[Key], dict[Name],,0)</f>
        <v>0.现金及类似</v>
      </c>
      <c r="Q1195" t="str">
        <f>_xlfn.XLOOKUP(Jnl[[#This Row],[Acct]], dict[Key], dict[Name],,0)</f>
        <v>物理现金</v>
      </c>
      <c r="R1195" t="str">
        <f>_xlfn.XLOOKUP(Jnl[[#This Row],[Vehicle]],config_vehicle[Id], config_vehicle[Name],,0)</f>
        <v>远家文化</v>
      </c>
      <c r="S1195" t="str">
        <f>_xlfn.XLOOKUP(Jnl[[#This Row],[Division]],config_div[Id], config_div[Name],,0)</f>
        <v>明月村</v>
      </c>
      <c r="T1195" t="str">
        <f>IF(Jnl[[#This Row],[TrxDate]]&lt;=stmt_BS_date_end, "In", "Out")</f>
        <v>In</v>
      </c>
      <c r="U1195" t="str">
        <f>IF(Jnl[[#This Row],[TrxDate]]&lt;debug_date_start, "prior", IF(Jnl[[#This Row],[TrxDate]]&gt;debug_date_end, "post", "curr"))</f>
        <v>curr</v>
      </c>
    </row>
    <row r="1196" spans="1:21">
      <c r="A1196" s="11" t="s">
        <v>1626</v>
      </c>
      <c r="B1196" s="7">
        <f>_xlfn.XLOOKUP(Jnl[[#This Row],[TrxId]], Trx[Id], Trx[Date],,0)</f>
        <v>46081</v>
      </c>
      <c r="C1196" s="7" t="str">
        <f>_xlfn.XLOOKUP(Jnl[[#This Row],[TrxId]], Trx[Id], Trx[Division],,0)</f>
        <v>MY</v>
      </c>
      <c r="D1196" s="7" t="str">
        <f>_xlfn.XLOOKUP(Jnl[[#This Row],[TrxId]], Trx[Id], Trx[Action],,0)</f>
        <v>收款</v>
      </c>
      <c r="E1196" s="26" t="s">
        <v>83</v>
      </c>
      <c r="F1196" s="11" t="s">
        <v>593</v>
      </c>
      <c r="G1196" s="11" t="s">
        <v>1627</v>
      </c>
      <c r="H1196" s="72">
        <f>-H1195</f>
        <v>-781</v>
      </c>
      <c r="I1196" s="5" t="b">
        <f>AND(Jnl[[#This Row],[TrxId]]&lt;&gt;"",Jnl[[#This Row],[Acct]]&lt;&gt;"",Jnl[[#This Row],[Item]]&lt;&gt;"",ISNUMBER(Jnl[[#This Row],[Bal]]))</f>
        <v>1</v>
      </c>
      <c r="J1196" s="10">
        <f>IF(Jnl[[#This Row],[BSLv0]]="A",1,-1)*Jnl[[#This Row],[Bal]]</f>
        <v>-781</v>
      </c>
      <c r="K1196" t="str">
        <f>_xlfn.XLOOKUP(Jnl[[#This Row],[Acct]], config_BS[Acct], config_BS[Lv0],,0)</f>
        <v>A</v>
      </c>
      <c r="L1196" t="str">
        <f>_xlfn.XLOOKUP(Jnl[[#This Row],[Acct]], config_BS[Acct], config_BS[Lv1],,0)</f>
        <v>Assets</v>
      </c>
      <c r="M1196" t="str">
        <f>_xlfn.XLOOKUP(Jnl[[#This Row],[Acct]], config_BS[Acct], config_BS[Lv2],,0)</f>
        <v>Rec-Pay</v>
      </c>
      <c r="N1196" t="str">
        <f>_xlfn.XLOOKUP(Jnl[[#This Row],[TrxId]], Trx[Id], Trx[IncNode], ,0)</f>
        <v>Revenue</v>
      </c>
      <c r="O1196" t="str">
        <f>_xlfn.XLOOKUP(Jnl[[#This Row],[IncNode]], config_IS[Node], config_IS[Type],,0)</f>
        <v>Op</v>
      </c>
      <c r="P1196" t="str">
        <f>_xlfn.XLOOKUP(Jnl[[#This Row],[BSLv2]], dict[Key], dict[Name],,0)</f>
        <v>1.应收-应付</v>
      </c>
      <c r="Q1196" t="str">
        <f>_xlfn.XLOOKUP(Jnl[[#This Row],[Acct]], dict[Key], dict[Name],,0)</f>
        <v>应收-一般</v>
      </c>
      <c r="R1196" t="str">
        <f>_xlfn.XLOOKUP(Jnl[[#This Row],[Vehicle]],config_vehicle[Id], config_vehicle[Name],,0)</f>
        <v>远家文化</v>
      </c>
      <c r="S1196" t="str">
        <f>_xlfn.XLOOKUP(Jnl[[#This Row],[Division]],config_div[Id], config_div[Name],,0)</f>
        <v>明月村</v>
      </c>
      <c r="T1196" t="str">
        <f>IF(Jnl[[#This Row],[TrxDate]]&lt;=stmt_BS_date_end, "In", "Out")</f>
        <v>In</v>
      </c>
      <c r="U1196" t="str">
        <f>IF(Jnl[[#This Row],[TrxDate]]&lt;debug_date_start, "prior", IF(Jnl[[#This Row],[TrxDate]]&gt;debug_date_end, "post", "curr"))</f>
        <v>curr</v>
      </c>
    </row>
    <row r="1197" spans="1:21">
      <c r="A1197" s="11" t="s">
        <v>1628</v>
      </c>
      <c r="B1197" s="7">
        <f>_xlfn.XLOOKUP(Jnl[[#This Row],[TrxId]], Trx[Id], Trx[Date],,0)</f>
        <v>46081</v>
      </c>
      <c r="C1197" s="7" t="str">
        <f>_xlfn.XLOOKUP(Jnl[[#This Row],[TrxId]], Trx[Id], Trx[Division],,0)</f>
        <v>MY</v>
      </c>
      <c r="D1197" s="7" t="str">
        <f>_xlfn.XLOOKUP(Jnl[[#This Row],[TrxId]], Trx[Id], Trx[Action],,0)</f>
        <v>收款</v>
      </c>
      <c r="E1197" s="26" t="s">
        <v>83</v>
      </c>
      <c r="F1197" s="11" t="s">
        <v>14</v>
      </c>
      <c r="G1197" s="11" t="s">
        <v>135</v>
      </c>
      <c r="H1197" s="72">
        <v>23800</v>
      </c>
      <c r="I1197" s="5" t="b">
        <f>AND(Jnl[[#This Row],[TrxId]]&lt;&gt;"",Jnl[[#This Row],[Acct]]&lt;&gt;"",Jnl[[#This Row],[Item]]&lt;&gt;"",ISNUMBER(Jnl[[#This Row],[Bal]]))</f>
        <v>1</v>
      </c>
      <c r="J1197" s="10">
        <f>IF(Jnl[[#This Row],[BSLv0]]="A",1,-1)*Jnl[[#This Row],[Bal]]</f>
        <v>23800</v>
      </c>
      <c r="K1197" t="str">
        <f>_xlfn.XLOOKUP(Jnl[[#This Row],[Acct]], config_BS[Acct], config_BS[Lv0],,0)</f>
        <v>A</v>
      </c>
      <c r="L1197" t="str">
        <f>_xlfn.XLOOKUP(Jnl[[#This Row],[Acct]], config_BS[Acct], config_BS[Lv1],,0)</f>
        <v>Assets</v>
      </c>
      <c r="M1197" t="str">
        <f>_xlfn.XLOOKUP(Jnl[[#This Row],[Acct]], config_BS[Acct], config_BS[Lv2],,0)</f>
        <v>Cash alike</v>
      </c>
      <c r="N1197" t="str">
        <f>_xlfn.XLOOKUP(Jnl[[#This Row],[TrxId]], Trx[Id], Trx[IncNode], ,0)</f>
        <v>Revenue</v>
      </c>
      <c r="O1197" t="str">
        <f>_xlfn.XLOOKUP(Jnl[[#This Row],[IncNode]], config_IS[Node], config_IS[Type],,0)</f>
        <v>Op</v>
      </c>
      <c r="P1197" t="str">
        <f>_xlfn.XLOOKUP(Jnl[[#This Row],[BSLv2]], dict[Key], dict[Name],,0)</f>
        <v>0.现金及类似</v>
      </c>
      <c r="Q1197" t="str">
        <f>_xlfn.XLOOKUP(Jnl[[#This Row],[Acct]], dict[Key], dict[Name],,0)</f>
        <v>物理现金</v>
      </c>
      <c r="R1197" t="str">
        <f>_xlfn.XLOOKUP(Jnl[[#This Row],[Vehicle]],config_vehicle[Id], config_vehicle[Name],,0)</f>
        <v>远家文化</v>
      </c>
      <c r="S1197" t="str">
        <f>_xlfn.XLOOKUP(Jnl[[#This Row],[Division]],config_div[Id], config_div[Name],,0)</f>
        <v>明月村</v>
      </c>
      <c r="T1197" t="str">
        <f>IF(Jnl[[#This Row],[TrxDate]]&lt;=stmt_BS_date_end, "In", "Out")</f>
        <v>In</v>
      </c>
      <c r="U1197" t="str">
        <f>IF(Jnl[[#This Row],[TrxDate]]&lt;debug_date_start, "prior", IF(Jnl[[#This Row],[TrxDate]]&gt;debug_date_end, "post", "curr"))</f>
        <v>curr</v>
      </c>
    </row>
    <row r="1198" spans="1:21">
      <c r="A1198" s="11" t="s">
        <v>1628</v>
      </c>
      <c r="B1198" s="7">
        <f>_xlfn.XLOOKUP(Jnl[[#This Row],[TrxId]], Trx[Id], Trx[Date],,0)</f>
        <v>46081</v>
      </c>
      <c r="C1198" s="7" t="str">
        <f>_xlfn.XLOOKUP(Jnl[[#This Row],[TrxId]], Trx[Id], Trx[Division],,0)</f>
        <v>MY</v>
      </c>
      <c r="D1198" s="7" t="str">
        <f>_xlfn.XLOOKUP(Jnl[[#This Row],[TrxId]], Trx[Id], Trx[Action],,0)</f>
        <v>收款</v>
      </c>
      <c r="E1198" s="26" t="s">
        <v>83</v>
      </c>
      <c r="F1198" s="11" t="s">
        <v>593</v>
      </c>
      <c r="G1198" s="11" t="s">
        <v>947</v>
      </c>
      <c r="H1198" s="72">
        <f>-H1197</f>
        <v>-23800</v>
      </c>
      <c r="I1198" s="5" t="b">
        <f>AND(Jnl[[#This Row],[TrxId]]&lt;&gt;"",Jnl[[#This Row],[Acct]]&lt;&gt;"",Jnl[[#This Row],[Item]]&lt;&gt;"",ISNUMBER(Jnl[[#This Row],[Bal]]))</f>
        <v>1</v>
      </c>
      <c r="J1198" s="10">
        <f>IF(Jnl[[#This Row],[BSLv0]]="A",1,-1)*Jnl[[#This Row],[Bal]]</f>
        <v>-23800</v>
      </c>
      <c r="K1198" t="str">
        <f>_xlfn.XLOOKUP(Jnl[[#This Row],[Acct]], config_BS[Acct], config_BS[Lv0],,0)</f>
        <v>A</v>
      </c>
      <c r="L1198" t="str">
        <f>_xlfn.XLOOKUP(Jnl[[#This Row],[Acct]], config_BS[Acct], config_BS[Lv1],,0)</f>
        <v>Assets</v>
      </c>
      <c r="M1198" t="str">
        <f>_xlfn.XLOOKUP(Jnl[[#This Row],[Acct]], config_BS[Acct], config_BS[Lv2],,0)</f>
        <v>Rec-Pay</v>
      </c>
      <c r="N1198" t="str">
        <f>_xlfn.XLOOKUP(Jnl[[#This Row],[TrxId]], Trx[Id], Trx[IncNode], ,0)</f>
        <v>Revenue</v>
      </c>
      <c r="O1198" t="str">
        <f>_xlfn.XLOOKUP(Jnl[[#This Row],[IncNode]], config_IS[Node], config_IS[Type],,0)</f>
        <v>Op</v>
      </c>
      <c r="P1198" t="str">
        <f>_xlfn.XLOOKUP(Jnl[[#This Row],[BSLv2]], dict[Key], dict[Name],,0)</f>
        <v>1.应收-应付</v>
      </c>
      <c r="Q1198" t="str">
        <f>_xlfn.XLOOKUP(Jnl[[#This Row],[Acct]], dict[Key], dict[Name],,0)</f>
        <v>应收-一般</v>
      </c>
      <c r="R1198" t="str">
        <f>_xlfn.XLOOKUP(Jnl[[#This Row],[Vehicle]],config_vehicle[Id], config_vehicle[Name],,0)</f>
        <v>远家文化</v>
      </c>
      <c r="S1198" t="str">
        <f>_xlfn.XLOOKUP(Jnl[[#This Row],[Division]],config_div[Id], config_div[Name],,0)</f>
        <v>明月村</v>
      </c>
      <c r="T1198" t="str">
        <f>IF(Jnl[[#This Row],[TrxDate]]&lt;=stmt_BS_date_end, "In", "Out")</f>
        <v>In</v>
      </c>
      <c r="U1198" t="str">
        <f>IF(Jnl[[#This Row],[TrxDate]]&lt;debug_date_start, "prior", IF(Jnl[[#This Row],[TrxDate]]&gt;debug_date_end, "post", "curr"))</f>
        <v>curr</v>
      </c>
    </row>
    <row r="1199" spans="1:21">
      <c r="A1199" s="11" t="s">
        <v>1629</v>
      </c>
      <c r="B1199" s="7">
        <f>_xlfn.XLOOKUP(Jnl[[#This Row],[TrxId]], Trx[Id], Trx[Date],,0)</f>
        <v>46081</v>
      </c>
      <c r="C1199" s="7" t="str">
        <f>_xlfn.XLOOKUP(Jnl[[#This Row],[TrxId]], Trx[Id], Trx[Division],,0)</f>
        <v>MY</v>
      </c>
      <c r="D1199" s="7" t="str">
        <f>_xlfn.XLOOKUP(Jnl[[#This Row],[TrxId]], Trx[Id], Trx[Action],,0)</f>
        <v>收款</v>
      </c>
      <c r="E1199" s="26" t="s">
        <v>83</v>
      </c>
      <c r="F1199" s="11" t="s">
        <v>14</v>
      </c>
      <c r="G1199" s="11" t="s">
        <v>135</v>
      </c>
      <c r="H1199" s="72">
        <v>2019</v>
      </c>
      <c r="I1199" s="5" t="b">
        <f>AND(Jnl[[#This Row],[TrxId]]&lt;&gt;"",Jnl[[#This Row],[Acct]]&lt;&gt;"",Jnl[[#This Row],[Item]]&lt;&gt;"",ISNUMBER(Jnl[[#This Row],[Bal]]))</f>
        <v>1</v>
      </c>
      <c r="J1199" s="10">
        <f>IF(Jnl[[#This Row],[BSLv0]]="A",1,-1)*Jnl[[#This Row],[Bal]]</f>
        <v>2019</v>
      </c>
      <c r="K1199" t="str">
        <f>_xlfn.XLOOKUP(Jnl[[#This Row],[Acct]], config_BS[Acct], config_BS[Lv0],,0)</f>
        <v>A</v>
      </c>
      <c r="L1199" t="str">
        <f>_xlfn.XLOOKUP(Jnl[[#This Row],[Acct]], config_BS[Acct], config_BS[Lv1],,0)</f>
        <v>Assets</v>
      </c>
      <c r="M1199" t="str">
        <f>_xlfn.XLOOKUP(Jnl[[#This Row],[Acct]], config_BS[Acct], config_BS[Lv2],,0)</f>
        <v>Cash alike</v>
      </c>
      <c r="N1199" t="str">
        <f>_xlfn.XLOOKUP(Jnl[[#This Row],[TrxId]], Trx[Id], Trx[IncNode], ,0)</f>
        <v>Revenue</v>
      </c>
      <c r="O1199" t="str">
        <f>_xlfn.XLOOKUP(Jnl[[#This Row],[IncNode]], config_IS[Node], config_IS[Type],,0)</f>
        <v>Op</v>
      </c>
      <c r="P1199" t="str">
        <f>_xlfn.XLOOKUP(Jnl[[#This Row],[BSLv2]], dict[Key], dict[Name],,0)</f>
        <v>0.现金及类似</v>
      </c>
      <c r="Q1199" t="str">
        <f>_xlfn.XLOOKUP(Jnl[[#This Row],[Acct]], dict[Key], dict[Name],,0)</f>
        <v>物理现金</v>
      </c>
      <c r="R1199" t="str">
        <f>_xlfn.XLOOKUP(Jnl[[#This Row],[Vehicle]],config_vehicle[Id], config_vehicle[Name],,0)</f>
        <v>远家文化</v>
      </c>
      <c r="S1199" t="str">
        <f>_xlfn.XLOOKUP(Jnl[[#This Row],[Division]],config_div[Id], config_div[Name],,0)</f>
        <v>明月村</v>
      </c>
      <c r="T1199" t="str">
        <f>IF(Jnl[[#This Row],[TrxDate]]&lt;=stmt_BS_date_end, "In", "Out")</f>
        <v>In</v>
      </c>
      <c r="U1199" t="str">
        <f>IF(Jnl[[#This Row],[TrxDate]]&lt;debug_date_start, "prior", IF(Jnl[[#This Row],[TrxDate]]&gt;debug_date_end, "post", "curr"))</f>
        <v>curr</v>
      </c>
    </row>
    <row r="1200" spans="1:21">
      <c r="A1200" s="11" t="s">
        <v>1629</v>
      </c>
      <c r="B1200" s="7">
        <f>_xlfn.XLOOKUP(Jnl[[#This Row],[TrxId]], Trx[Id], Trx[Date],,0)</f>
        <v>46081</v>
      </c>
      <c r="C1200" s="7" t="str">
        <f>_xlfn.XLOOKUP(Jnl[[#This Row],[TrxId]], Trx[Id], Trx[Division],,0)</f>
        <v>MY</v>
      </c>
      <c r="D1200" s="7" t="str">
        <f>_xlfn.XLOOKUP(Jnl[[#This Row],[TrxId]], Trx[Id], Trx[Action],,0)</f>
        <v>收款</v>
      </c>
      <c r="E1200" s="26" t="s">
        <v>83</v>
      </c>
      <c r="F1200" s="11" t="s">
        <v>593</v>
      </c>
      <c r="G1200" s="11" t="s">
        <v>947</v>
      </c>
      <c r="H1200" s="72">
        <f>-H1199</f>
        <v>-2019</v>
      </c>
      <c r="I1200" s="5" t="b">
        <f>AND(Jnl[[#This Row],[TrxId]]&lt;&gt;"",Jnl[[#This Row],[Acct]]&lt;&gt;"",Jnl[[#This Row],[Item]]&lt;&gt;"",ISNUMBER(Jnl[[#This Row],[Bal]]))</f>
        <v>1</v>
      </c>
      <c r="J1200" s="10">
        <f>IF(Jnl[[#This Row],[BSLv0]]="A",1,-1)*Jnl[[#This Row],[Bal]]</f>
        <v>-2019</v>
      </c>
      <c r="K1200" t="str">
        <f>_xlfn.XLOOKUP(Jnl[[#This Row],[Acct]], config_BS[Acct], config_BS[Lv0],,0)</f>
        <v>A</v>
      </c>
      <c r="L1200" t="str">
        <f>_xlfn.XLOOKUP(Jnl[[#This Row],[Acct]], config_BS[Acct], config_BS[Lv1],,0)</f>
        <v>Assets</v>
      </c>
      <c r="M1200" t="str">
        <f>_xlfn.XLOOKUP(Jnl[[#This Row],[Acct]], config_BS[Acct], config_BS[Lv2],,0)</f>
        <v>Rec-Pay</v>
      </c>
      <c r="N1200" t="str">
        <f>_xlfn.XLOOKUP(Jnl[[#This Row],[TrxId]], Trx[Id], Trx[IncNode], ,0)</f>
        <v>Revenue</v>
      </c>
      <c r="O1200" t="str">
        <f>_xlfn.XLOOKUP(Jnl[[#This Row],[IncNode]], config_IS[Node], config_IS[Type],,0)</f>
        <v>Op</v>
      </c>
      <c r="P1200" t="str">
        <f>_xlfn.XLOOKUP(Jnl[[#This Row],[BSLv2]], dict[Key], dict[Name],,0)</f>
        <v>1.应收-应付</v>
      </c>
      <c r="Q1200" t="str">
        <f>_xlfn.XLOOKUP(Jnl[[#This Row],[Acct]], dict[Key], dict[Name],,0)</f>
        <v>应收-一般</v>
      </c>
      <c r="R1200" t="str">
        <f>_xlfn.XLOOKUP(Jnl[[#This Row],[Vehicle]],config_vehicle[Id], config_vehicle[Name],,0)</f>
        <v>远家文化</v>
      </c>
      <c r="S1200" t="str">
        <f>_xlfn.XLOOKUP(Jnl[[#This Row],[Division]],config_div[Id], config_div[Name],,0)</f>
        <v>明月村</v>
      </c>
      <c r="T1200" t="str">
        <f>IF(Jnl[[#This Row],[TrxDate]]&lt;=stmt_BS_date_end, "In", "Out")</f>
        <v>In</v>
      </c>
      <c r="U1200" t="str">
        <f>IF(Jnl[[#This Row],[TrxDate]]&lt;debug_date_start, "prior", IF(Jnl[[#This Row],[TrxDate]]&gt;debug_date_end, "post", "curr"))</f>
        <v>curr</v>
      </c>
    </row>
    <row r="1201" spans="1:21">
      <c r="A1201" s="11" t="s">
        <v>1630</v>
      </c>
      <c r="B1201" s="7">
        <f>_xlfn.XLOOKUP(Jnl[[#This Row],[TrxId]], Trx[Id], Trx[Date],,0)</f>
        <v>46081</v>
      </c>
      <c r="C1201" s="7" t="str">
        <f>_xlfn.XLOOKUP(Jnl[[#This Row],[TrxId]], Trx[Id], Trx[Division],,0)</f>
        <v>Ctrl</v>
      </c>
      <c r="D1201" s="7" t="str">
        <f>_xlfn.XLOOKUP(Jnl[[#This Row],[TrxId]], Trx[Id], Trx[Action],,0)</f>
        <v>过账</v>
      </c>
      <c r="E1201" s="26" t="s">
        <v>83</v>
      </c>
      <c r="F1201" s="11" t="s">
        <v>14</v>
      </c>
      <c r="G1201" s="11" t="s">
        <v>135</v>
      </c>
      <c r="H1201" s="72">
        <v>-30000</v>
      </c>
      <c r="I1201" s="5" t="b">
        <f>AND(Jnl[[#This Row],[TrxId]]&lt;&gt;"",Jnl[[#This Row],[Acct]]&lt;&gt;"",Jnl[[#This Row],[Item]]&lt;&gt;"",ISNUMBER(Jnl[[#This Row],[Bal]]))</f>
        <v>1</v>
      </c>
      <c r="J1201" s="10">
        <f>IF(Jnl[[#This Row],[BSLv0]]="A",1,-1)*Jnl[[#This Row],[Bal]]</f>
        <v>-30000</v>
      </c>
      <c r="K1201" t="str">
        <f>_xlfn.XLOOKUP(Jnl[[#This Row],[Acct]], config_BS[Acct], config_BS[Lv0],,0)</f>
        <v>A</v>
      </c>
      <c r="L1201" t="str">
        <f>_xlfn.XLOOKUP(Jnl[[#This Row],[Acct]], config_BS[Acct], config_BS[Lv1],,0)</f>
        <v>Assets</v>
      </c>
      <c r="M1201" t="str">
        <f>_xlfn.XLOOKUP(Jnl[[#This Row],[Acct]], config_BS[Acct], config_BS[Lv2],,0)</f>
        <v>Cash alike</v>
      </c>
      <c r="N1201" t="str">
        <f>_xlfn.XLOOKUP(Jnl[[#This Row],[TrxId]], Trx[Id], Trx[IncNode], ,0)</f>
        <v>Other</v>
      </c>
      <c r="O1201" t="str">
        <f>_xlfn.XLOOKUP(Jnl[[#This Row],[IncNode]], config_IS[Node], config_IS[Type],,0)</f>
        <v>Non-Op</v>
      </c>
      <c r="P1201" t="str">
        <f>_xlfn.XLOOKUP(Jnl[[#This Row],[BSLv2]], dict[Key], dict[Name],,0)</f>
        <v>0.现金及类似</v>
      </c>
      <c r="Q1201" t="str">
        <f>_xlfn.XLOOKUP(Jnl[[#This Row],[Acct]], dict[Key], dict[Name],,0)</f>
        <v>物理现金</v>
      </c>
      <c r="R1201" t="str">
        <f>_xlfn.XLOOKUP(Jnl[[#This Row],[Vehicle]],config_vehicle[Id], config_vehicle[Name],,0)</f>
        <v>远家文化</v>
      </c>
      <c r="S1201" t="str">
        <f>_xlfn.XLOOKUP(Jnl[[#This Row],[Division]],config_div[Id], config_div[Name],,0)</f>
        <v>内控合规</v>
      </c>
      <c r="T1201" t="str">
        <f>IF(Jnl[[#This Row],[TrxDate]]&lt;=stmt_BS_date_end, "In", "Out")</f>
        <v>In</v>
      </c>
      <c r="U1201" t="str">
        <f>IF(Jnl[[#This Row],[TrxDate]]&lt;debug_date_start, "prior", IF(Jnl[[#This Row],[TrxDate]]&gt;debug_date_end, "post", "curr"))</f>
        <v>curr</v>
      </c>
    </row>
    <row r="1202" spans="1:21">
      <c r="A1202" s="11" t="s">
        <v>1630</v>
      </c>
      <c r="B1202" s="7">
        <f>_xlfn.XLOOKUP(Jnl[[#This Row],[TrxId]], Trx[Id], Trx[Date],,0)</f>
        <v>46081</v>
      </c>
      <c r="C1202" s="7" t="str">
        <f>_xlfn.XLOOKUP(Jnl[[#This Row],[TrxId]], Trx[Id], Trx[Division],,0)</f>
        <v>Ctrl</v>
      </c>
      <c r="D1202" s="7" t="str">
        <f>_xlfn.XLOOKUP(Jnl[[#This Row],[TrxId]], Trx[Id], Trx[Action],,0)</f>
        <v>过账</v>
      </c>
      <c r="E1202" s="26" t="s">
        <v>88</v>
      </c>
      <c r="F1202" s="11" t="s">
        <v>590</v>
      </c>
      <c r="G1202" s="11" t="s">
        <v>103</v>
      </c>
      <c r="H1202" s="72">
        <f>-H1201</f>
        <v>30000</v>
      </c>
      <c r="I1202" s="5" t="b">
        <f>AND(Jnl[[#This Row],[TrxId]]&lt;&gt;"",Jnl[[#This Row],[Acct]]&lt;&gt;"",Jnl[[#This Row],[Item]]&lt;&gt;"",ISNUMBER(Jnl[[#This Row],[Bal]]))</f>
        <v>1</v>
      </c>
      <c r="J1202" s="10">
        <f>IF(Jnl[[#This Row],[BSLv0]]="A",1,-1)*Jnl[[#This Row],[Bal]]</f>
        <v>30000</v>
      </c>
      <c r="K1202" t="str">
        <f>_xlfn.XLOOKUP(Jnl[[#This Row],[Acct]], config_BS[Acct], config_BS[Lv0],,0)</f>
        <v>A</v>
      </c>
      <c r="L1202" t="str">
        <f>_xlfn.XLOOKUP(Jnl[[#This Row],[Acct]], config_BS[Acct], config_BS[Lv1],,0)</f>
        <v>Assets</v>
      </c>
      <c r="M1202" t="str">
        <f>_xlfn.XLOOKUP(Jnl[[#This Row],[Acct]], config_BS[Acct], config_BS[Lv2],,0)</f>
        <v>Cash alike</v>
      </c>
      <c r="N1202" t="str">
        <f>_xlfn.XLOOKUP(Jnl[[#This Row],[TrxId]], Trx[Id], Trx[IncNode], ,0)</f>
        <v>Other</v>
      </c>
      <c r="O1202" t="str">
        <f>_xlfn.XLOOKUP(Jnl[[#This Row],[IncNode]], config_IS[Node], config_IS[Type],,0)</f>
        <v>Non-Op</v>
      </c>
      <c r="P1202" t="str">
        <f>_xlfn.XLOOKUP(Jnl[[#This Row],[BSLv2]], dict[Key], dict[Name],,0)</f>
        <v>0.现金及类似</v>
      </c>
      <c r="Q1202" t="str">
        <f>_xlfn.XLOOKUP(Jnl[[#This Row],[Acct]], dict[Key], dict[Name],,0)</f>
        <v>银行</v>
      </c>
      <c r="R1202" t="str">
        <f>_xlfn.XLOOKUP(Jnl[[#This Row],[Vehicle]],config_vehicle[Id], config_vehicle[Name],,0)</f>
        <v>郑术燕</v>
      </c>
      <c r="S1202" t="str">
        <f>_xlfn.XLOOKUP(Jnl[[#This Row],[Division]],config_div[Id], config_div[Name],,0)</f>
        <v>内控合规</v>
      </c>
      <c r="T1202" t="str">
        <f>IF(Jnl[[#This Row],[TrxDate]]&lt;=stmt_BS_date_end, "In", "Out")</f>
        <v>In</v>
      </c>
      <c r="U1202" t="str">
        <f>IF(Jnl[[#This Row],[TrxDate]]&lt;debug_date_start, "prior", IF(Jnl[[#This Row],[TrxDate]]&gt;debug_date_end, "post", "curr"))</f>
        <v>curr</v>
      </c>
    </row>
    <row r="1203" spans="1:21">
      <c r="A1203" s="11" t="s">
        <v>1632</v>
      </c>
      <c r="B1203" s="7">
        <f>_xlfn.XLOOKUP(Jnl[[#This Row],[TrxId]], Trx[Id], Trx[Date],,0)</f>
        <v>46081</v>
      </c>
      <c r="C1203" s="7" t="str">
        <f>_xlfn.XLOOKUP(Jnl[[#This Row],[TrxId]], Trx[Id], Trx[Division],,0)</f>
        <v>MY</v>
      </c>
      <c r="D1203" s="7" t="str">
        <f>_xlfn.XLOOKUP(Jnl[[#This Row],[TrxId]], Trx[Id], Trx[Action],,0)</f>
        <v>交通</v>
      </c>
      <c r="E1203" s="26" t="s">
        <v>83</v>
      </c>
      <c r="F1203" s="11" t="s">
        <v>590</v>
      </c>
      <c r="G1203" s="11" t="s">
        <v>100</v>
      </c>
      <c r="H1203" s="72">
        <v>-206.8</v>
      </c>
      <c r="I1203" s="5" t="b">
        <f>AND(Jnl[[#This Row],[TrxId]]&lt;&gt;"",Jnl[[#This Row],[Acct]]&lt;&gt;"",Jnl[[#This Row],[Item]]&lt;&gt;"",ISNUMBER(Jnl[[#This Row],[Bal]]))</f>
        <v>1</v>
      </c>
      <c r="J1203" s="10">
        <f>IF(Jnl[[#This Row],[BSLv0]]="A",1,-1)*Jnl[[#This Row],[Bal]]</f>
        <v>-206.8</v>
      </c>
      <c r="K1203" t="str">
        <f>_xlfn.XLOOKUP(Jnl[[#This Row],[Acct]], config_BS[Acct], config_BS[Lv0],,0)</f>
        <v>A</v>
      </c>
      <c r="L1203" t="str">
        <f>_xlfn.XLOOKUP(Jnl[[#This Row],[Acct]], config_BS[Acct], config_BS[Lv1],,0)</f>
        <v>Assets</v>
      </c>
      <c r="M1203" t="str">
        <f>_xlfn.XLOOKUP(Jnl[[#This Row],[Acct]], config_BS[Acct], config_BS[Lv2],,0)</f>
        <v>Cash alike</v>
      </c>
      <c r="N1203" t="str">
        <f>_xlfn.XLOOKUP(Jnl[[#This Row],[TrxId]], Trx[Id], Trx[IncNode], ,0)</f>
        <v>Expense</v>
      </c>
      <c r="O1203" t="str">
        <f>_xlfn.XLOOKUP(Jnl[[#This Row],[IncNode]], config_IS[Node], config_IS[Type],,0)</f>
        <v>Op</v>
      </c>
      <c r="P1203" t="str">
        <f>_xlfn.XLOOKUP(Jnl[[#This Row],[BSLv2]], dict[Key], dict[Name],,0)</f>
        <v>0.现金及类似</v>
      </c>
      <c r="Q1203" t="str">
        <f>_xlfn.XLOOKUP(Jnl[[#This Row],[Acct]], dict[Key], dict[Name],,0)</f>
        <v>银行</v>
      </c>
      <c r="R1203" t="str">
        <f>_xlfn.XLOOKUP(Jnl[[#This Row],[Vehicle]],config_vehicle[Id], config_vehicle[Name],,0)</f>
        <v>远家文化</v>
      </c>
      <c r="S1203" t="str">
        <f>_xlfn.XLOOKUP(Jnl[[#This Row],[Division]],config_div[Id], config_div[Name],,0)</f>
        <v>明月村</v>
      </c>
      <c r="T1203" t="str">
        <f>IF(Jnl[[#This Row],[TrxDate]]&lt;=stmt_BS_date_end, "In", "Out")</f>
        <v>In</v>
      </c>
      <c r="U1203" t="str">
        <f>IF(Jnl[[#This Row],[TrxDate]]&lt;debug_date_start, "prior", IF(Jnl[[#This Row],[TrxDate]]&gt;debug_date_end, "post", "curr"))</f>
        <v>curr</v>
      </c>
    </row>
    <row r="1204" spans="1:21">
      <c r="A1204" s="11" t="s">
        <v>1633</v>
      </c>
      <c r="B1204" s="7">
        <f>_xlfn.XLOOKUP(Jnl[[#This Row],[TrxId]], Trx[Id], Trx[Date],,0)</f>
        <v>46081</v>
      </c>
      <c r="C1204" s="7" t="str">
        <f>_xlfn.XLOOKUP(Jnl[[#This Row],[TrxId]], Trx[Id], Trx[Division],,0)</f>
        <v>MY</v>
      </c>
      <c r="D1204" s="7" t="str">
        <f>_xlfn.XLOOKUP(Jnl[[#This Row],[TrxId]], Trx[Id], Trx[Action],,0)</f>
        <v>维护</v>
      </c>
      <c r="E1204" s="26" t="s">
        <v>83</v>
      </c>
      <c r="F1204" s="11" t="s">
        <v>590</v>
      </c>
      <c r="G1204" s="11" t="s">
        <v>100</v>
      </c>
      <c r="H1204" s="72">
        <v>-5000</v>
      </c>
      <c r="I1204" s="5" t="b">
        <f>AND(Jnl[[#This Row],[TrxId]]&lt;&gt;"",Jnl[[#This Row],[Acct]]&lt;&gt;"",Jnl[[#This Row],[Item]]&lt;&gt;"",ISNUMBER(Jnl[[#This Row],[Bal]]))</f>
        <v>1</v>
      </c>
      <c r="J1204" s="10">
        <f>IF(Jnl[[#This Row],[BSLv0]]="A",1,-1)*Jnl[[#This Row],[Bal]]</f>
        <v>-5000</v>
      </c>
      <c r="K1204" t="str">
        <f>_xlfn.XLOOKUP(Jnl[[#This Row],[Acct]], config_BS[Acct], config_BS[Lv0],,0)</f>
        <v>A</v>
      </c>
      <c r="L1204" t="str">
        <f>_xlfn.XLOOKUP(Jnl[[#This Row],[Acct]], config_BS[Acct], config_BS[Lv1],,0)</f>
        <v>Assets</v>
      </c>
      <c r="M1204" t="str">
        <f>_xlfn.XLOOKUP(Jnl[[#This Row],[Acct]], config_BS[Acct], config_BS[Lv2],,0)</f>
        <v>Cash alike</v>
      </c>
      <c r="N1204" t="str">
        <f>_xlfn.XLOOKUP(Jnl[[#This Row],[TrxId]], Trx[Id], Trx[IncNode], ,0)</f>
        <v>Expense</v>
      </c>
      <c r="O1204" t="str">
        <f>_xlfn.XLOOKUP(Jnl[[#This Row],[IncNode]], config_IS[Node], config_IS[Type],,0)</f>
        <v>Op</v>
      </c>
      <c r="P1204" t="str">
        <f>_xlfn.XLOOKUP(Jnl[[#This Row],[BSLv2]], dict[Key], dict[Name],,0)</f>
        <v>0.现金及类似</v>
      </c>
      <c r="Q1204" t="str">
        <f>_xlfn.XLOOKUP(Jnl[[#This Row],[Acct]], dict[Key], dict[Name],,0)</f>
        <v>银行</v>
      </c>
      <c r="R1204" t="str">
        <f>_xlfn.XLOOKUP(Jnl[[#This Row],[Vehicle]],config_vehicle[Id], config_vehicle[Name],,0)</f>
        <v>远家文化</v>
      </c>
      <c r="S1204" t="str">
        <f>_xlfn.XLOOKUP(Jnl[[#This Row],[Division]],config_div[Id], config_div[Name],,0)</f>
        <v>明月村</v>
      </c>
      <c r="T1204" t="str">
        <f>IF(Jnl[[#This Row],[TrxDate]]&lt;=stmt_BS_date_end, "In", "Out")</f>
        <v>In</v>
      </c>
      <c r="U1204" t="str">
        <f>IF(Jnl[[#This Row],[TrxDate]]&lt;debug_date_start, "prior", IF(Jnl[[#This Row],[TrxDate]]&gt;debug_date_end, "post", "curr"))</f>
        <v>curr</v>
      </c>
    </row>
    <row r="1205" spans="1:21">
      <c r="A1205" s="11" t="s">
        <v>1635</v>
      </c>
      <c r="B1205" s="7">
        <f>_xlfn.XLOOKUP(Jnl[[#This Row],[TrxId]], Trx[Id], Trx[Date],,0)</f>
        <v>46081</v>
      </c>
      <c r="C1205" s="7" t="str">
        <f>_xlfn.XLOOKUP(Jnl[[#This Row],[TrxId]], Trx[Id], Trx[Division],,0)</f>
        <v>GM</v>
      </c>
      <c r="D1205" s="7" t="str">
        <f>_xlfn.XLOOKUP(Jnl[[#This Row],[TrxId]], Trx[Id], Trx[Action],,0)</f>
        <v>银行费</v>
      </c>
      <c r="E1205" s="26" t="s">
        <v>83</v>
      </c>
      <c r="F1205" s="11" t="s">
        <v>590</v>
      </c>
      <c r="G1205" s="11" t="s">
        <v>100</v>
      </c>
      <c r="H1205" s="72">
        <v>-810</v>
      </c>
      <c r="I1205" s="5" t="b">
        <f>AND(Jnl[[#This Row],[TrxId]]&lt;&gt;"",Jnl[[#This Row],[Acct]]&lt;&gt;"",Jnl[[#This Row],[Item]]&lt;&gt;"",ISNUMBER(Jnl[[#This Row],[Bal]]))</f>
        <v>1</v>
      </c>
      <c r="J1205" s="10">
        <f>IF(Jnl[[#This Row],[BSLv0]]="A",1,-1)*Jnl[[#This Row],[Bal]]</f>
        <v>-810</v>
      </c>
      <c r="K1205" t="str">
        <f>_xlfn.XLOOKUP(Jnl[[#This Row],[Acct]], config_BS[Acct], config_BS[Lv0],,0)</f>
        <v>A</v>
      </c>
      <c r="L1205" t="str">
        <f>_xlfn.XLOOKUP(Jnl[[#This Row],[Acct]], config_BS[Acct], config_BS[Lv1],,0)</f>
        <v>Assets</v>
      </c>
      <c r="M1205" t="str">
        <f>_xlfn.XLOOKUP(Jnl[[#This Row],[Acct]], config_BS[Acct], config_BS[Lv2],,0)</f>
        <v>Cash alike</v>
      </c>
      <c r="N1205" t="str">
        <f>_xlfn.XLOOKUP(Jnl[[#This Row],[TrxId]], Trx[Id], Trx[IncNode], ,0)</f>
        <v>Expense</v>
      </c>
      <c r="O1205" t="str">
        <f>_xlfn.XLOOKUP(Jnl[[#This Row],[IncNode]], config_IS[Node], config_IS[Type],,0)</f>
        <v>Op</v>
      </c>
      <c r="P1205" t="str">
        <f>_xlfn.XLOOKUP(Jnl[[#This Row],[BSLv2]], dict[Key], dict[Name],,0)</f>
        <v>0.现金及类似</v>
      </c>
      <c r="Q1205" t="str">
        <f>_xlfn.XLOOKUP(Jnl[[#This Row],[Acct]], dict[Key], dict[Name],,0)</f>
        <v>银行</v>
      </c>
      <c r="R1205" t="str">
        <f>_xlfn.XLOOKUP(Jnl[[#This Row],[Vehicle]],config_vehicle[Id], config_vehicle[Name],,0)</f>
        <v>远家文化</v>
      </c>
      <c r="S1205" t="str">
        <f>_xlfn.XLOOKUP(Jnl[[#This Row],[Division]],config_div[Id], config_div[Name],,0)</f>
        <v>综合管理</v>
      </c>
      <c r="T1205" t="str">
        <f>IF(Jnl[[#This Row],[TrxDate]]&lt;=stmt_BS_date_end, "In", "Out")</f>
        <v>In</v>
      </c>
      <c r="U1205" t="str">
        <f>IF(Jnl[[#This Row],[TrxDate]]&lt;debug_date_start, "prior", IF(Jnl[[#This Row],[TrxDate]]&gt;debug_date_end, "post", "curr"))</f>
        <v>curr</v>
      </c>
    </row>
    <row r="1206" spans="1:21">
      <c r="A1206" s="11" t="s">
        <v>1636</v>
      </c>
      <c r="B1206" s="7">
        <f>_xlfn.XLOOKUP(Jnl[[#This Row],[TrxId]], Trx[Id], Trx[Date],,0)</f>
        <v>46081</v>
      </c>
      <c r="C1206" s="7" t="str">
        <f>_xlfn.XLOOKUP(Jnl[[#This Row],[TrxId]], Trx[Id], Trx[Division],,0)</f>
        <v>MY</v>
      </c>
      <c r="D1206" s="7" t="str">
        <f>_xlfn.XLOOKUP(Jnl[[#This Row],[TrxId]], Trx[Id], Trx[Action],,0)</f>
        <v>食材</v>
      </c>
      <c r="E1206" s="26" t="s">
        <v>83</v>
      </c>
      <c r="F1206" s="11" t="s">
        <v>590</v>
      </c>
      <c r="G1206" s="11" t="s">
        <v>100</v>
      </c>
      <c r="H1206" s="72">
        <v>-1985</v>
      </c>
      <c r="I1206" s="5" t="b">
        <f>AND(Jnl[[#This Row],[TrxId]]&lt;&gt;"",Jnl[[#This Row],[Acct]]&lt;&gt;"",Jnl[[#This Row],[Item]]&lt;&gt;"",ISNUMBER(Jnl[[#This Row],[Bal]]))</f>
        <v>1</v>
      </c>
      <c r="J1206" s="10">
        <f>IF(Jnl[[#This Row],[BSLv0]]="A",1,-1)*Jnl[[#This Row],[Bal]]</f>
        <v>-1985</v>
      </c>
      <c r="K1206" t="str">
        <f>_xlfn.XLOOKUP(Jnl[[#This Row],[Acct]], config_BS[Acct], config_BS[Lv0],,0)</f>
        <v>A</v>
      </c>
      <c r="L1206" t="str">
        <f>_xlfn.XLOOKUP(Jnl[[#This Row],[Acct]], config_BS[Acct], config_BS[Lv1],,0)</f>
        <v>Assets</v>
      </c>
      <c r="M1206" t="str">
        <f>_xlfn.XLOOKUP(Jnl[[#This Row],[Acct]], config_BS[Acct], config_BS[Lv2],,0)</f>
        <v>Cash alike</v>
      </c>
      <c r="N1206" t="str">
        <f>_xlfn.XLOOKUP(Jnl[[#This Row],[TrxId]], Trx[Id], Trx[IncNode], ,0)</f>
        <v>Cost</v>
      </c>
      <c r="O1206" t="str">
        <f>_xlfn.XLOOKUP(Jnl[[#This Row],[IncNode]], config_IS[Node], config_IS[Type],,0)</f>
        <v>Op</v>
      </c>
      <c r="P1206" t="str">
        <f>_xlfn.XLOOKUP(Jnl[[#This Row],[BSLv2]], dict[Key], dict[Name],,0)</f>
        <v>0.现金及类似</v>
      </c>
      <c r="Q1206" t="str">
        <f>_xlfn.XLOOKUP(Jnl[[#This Row],[Acct]], dict[Key], dict[Name],,0)</f>
        <v>银行</v>
      </c>
      <c r="R1206" t="str">
        <f>_xlfn.XLOOKUP(Jnl[[#This Row],[Vehicle]],config_vehicle[Id], config_vehicle[Name],,0)</f>
        <v>远家文化</v>
      </c>
      <c r="S1206" t="str">
        <f>_xlfn.XLOOKUP(Jnl[[#This Row],[Division]],config_div[Id], config_div[Name],,0)</f>
        <v>明月村</v>
      </c>
      <c r="T1206" t="str">
        <f>IF(Jnl[[#This Row],[TrxDate]]&lt;=stmt_BS_date_end, "In", "Out")</f>
        <v>In</v>
      </c>
      <c r="U1206" t="str">
        <f>IF(Jnl[[#This Row],[TrxDate]]&lt;debug_date_start, "prior", IF(Jnl[[#This Row],[TrxDate]]&gt;debug_date_end, "post", "curr"))</f>
        <v>curr</v>
      </c>
    </row>
    <row r="1207" spans="1:21">
      <c r="A1207" s="11" t="s">
        <v>1637</v>
      </c>
      <c r="B1207" s="7">
        <f>_xlfn.XLOOKUP(Jnl[[#This Row],[TrxId]], Trx[Id], Trx[Date],,0)</f>
        <v>46081</v>
      </c>
      <c r="C1207" s="7" t="str">
        <f>_xlfn.XLOOKUP(Jnl[[#This Row],[TrxId]], Trx[Id], Trx[Division],,0)</f>
        <v>Online</v>
      </c>
      <c r="D1207" s="7" t="str">
        <f>_xlfn.XLOOKUP(Jnl[[#This Row],[TrxId]], Trx[Id], Trx[Action],,0)</f>
        <v>服饰</v>
      </c>
      <c r="E1207" s="26" t="s">
        <v>83</v>
      </c>
      <c r="F1207" s="11" t="s">
        <v>590</v>
      </c>
      <c r="G1207" s="11" t="s">
        <v>100</v>
      </c>
      <c r="H1207" s="72">
        <v>18252.98</v>
      </c>
      <c r="I1207" s="5" t="b">
        <f>AND(Jnl[[#This Row],[TrxId]]&lt;&gt;"",Jnl[[#This Row],[Acct]]&lt;&gt;"",Jnl[[#This Row],[Item]]&lt;&gt;"",ISNUMBER(Jnl[[#This Row],[Bal]]))</f>
        <v>1</v>
      </c>
      <c r="J1207" s="10">
        <f>IF(Jnl[[#This Row],[BSLv0]]="A",1,-1)*Jnl[[#This Row],[Bal]]</f>
        <v>18252.98</v>
      </c>
      <c r="K1207" t="str">
        <f>_xlfn.XLOOKUP(Jnl[[#This Row],[Acct]], config_BS[Acct], config_BS[Lv0],,0)</f>
        <v>A</v>
      </c>
      <c r="L1207" t="str">
        <f>_xlfn.XLOOKUP(Jnl[[#This Row],[Acct]], config_BS[Acct], config_BS[Lv1],,0)</f>
        <v>Assets</v>
      </c>
      <c r="M1207" t="str">
        <f>_xlfn.XLOOKUP(Jnl[[#This Row],[Acct]], config_BS[Acct], config_BS[Lv2],,0)</f>
        <v>Cash alike</v>
      </c>
      <c r="N1207" t="str">
        <f>_xlfn.XLOOKUP(Jnl[[#This Row],[TrxId]], Trx[Id], Trx[IncNode], ,0)</f>
        <v>Revenue</v>
      </c>
      <c r="O1207" t="str">
        <f>_xlfn.XLOOKUP(Jnl[[#This Row],[IncNode]], config_IS[Node], config_IS[Type],,0)</f>
        <v>Op</v>
      </c>
      <c r="P1207" t="str">
        <f>_xlfn.XLOOKUP(Jnl[[#This Row],[BSLv2]], dict[Key], dict[Name],,0)</f>
        <v>0.现金及类似</v>
      </c>
      <c r="Q1207" t="str">
        <f>_xlfn.XLOOKUP(Jnl[[#This Row],[Acct]], dict[Key], dict[Name],,0)</f>
        <v>银行</v>
      </c>
      <c r="R1207" t="str">
        <f>_xlfn.XLOOKUP(Jnl[[#This Row],[Vehicle]],config_vehicle[Id], config_vehicle[Name],,0)</f>
        <v>远家文化</v>
      </c>
      <c r="S1207" t="str">
        <f>_xlfn.XLOOKUP(Jnl[[#This Row],[Division]],config_div[Id], config_div[Name],,0)</f>
        <v>网店</v>
      </c>
      <c r="T1207" t="str">
        <f>IF(Jnl[[#This Row],[TrxDate]]&lt;=stmt_BS_date_end, "In", "Out")</f>
        <v>In</v>
      </c>
      <c r="U1207" t="str">
        <f>IF(Jnl[[#This Row],[TrxDate]]&lt;debug_date_start, "prior", IF(Jnl[[#This Row],[TrxDate]]&gt;debug_date_end, "post", "curr"))</f>
        <v>curr</v>
      </c>
    </row>
    <row r="1208" spans="1:21">
      <c r="A1208" s="11" t="s">
        <v>1639</v>
      </c>
      <c r="B1208" s="7">
        <f>_xlfn.XLOOKUP(Jnl[[#This Row],[TrxId]], Trx[Id], Trx[Date],,0)</f>
        <v>46081</v>
      </c>
      <c r="C1208" s="7" t="str">
        <f>_xlfn.XLOOKUP(Jnl[[#This Row],[TrxId]], Trx[Id], Trx[Division],,0)</f>
        <v>Ctrl</v>
      </c>
      <c r="D1208" s="7" t="str">
        <f>_xlfn.XLOOKUP(Jnl[[#This Row],[TrxId]], Trx[Id], Trx[Action],,0)</f>
        <v>过账</v>
      </c>
      <c r="E1208" s="26" t="s">
        <v>88</v>
      </c>
      <c r="F1208" s="11" t="s">
        <v>590</v>
      </c>
      <c r="G1208" s="11" t="s">
        <v>103</v>
      </c>
      <c r="H1208" s="72">
        <v>40000</v>
      </c>
      <c r="I1208" s="5" t="b">
        <f>AND(Jnl[[#This Row],[TrxId]]&lt;&gt;"",Jnl[[#This Row],[Acct]]&lt;&gt;"",Jnl[[#This Row],[Item]]&lt;&gt;"",ISNUMBER(Jnl[[#This Row],[Bal]]))</f>
        <v>1</v>
      </c>
      <c r="J1208" s="10">
        <f>IF(Jnl[[#This Row],[BSLv0]]="A",1,-1)*Jnl[[#This Row],[Bal]]</f>
        <v>40000</v>
      </c>
      <c r="K1208" t="str">
        <f>_xlfn.XLOOKUP(Jnl[[#This Row],[Acct]], config_BS[Acct], config_BS[Lv0],,0)</f>
        <v>A</v>
      </c>
      <c r="L1208" t="str">
        <f>_xlfn.XLOOKUP(Jnl[[#This Row],[Acct]], config_BS[Acct], config_BS[Lv1],,0)</f>
        <v>Assets</v>
      </c>
      <c r="M1208" t="str">
        <f>_xlfn.XLOOKUP(Jnl[[#This Row],[Acct]], config_BS[Acct], config_BS[Lv2],,0)</f>
        <v>Cash alike</v>
      </c>
      <c r="N1208" t="str">
        <f>_xlfn.XLOOKUP(Jnl[[#This Row],[TrxId]], Trx[Id], Trx[IncNode], ,0)</f>
        <v>Other</v>
      </c>
      <c r="O1208" t="str">
        <f>_xlfn.XLOOKUP(Jnl[[#This Row],[IncNode]], config_IS[Node], config_IS[Type],,0)</f>
        <v>Non-Op</v>
      </c>
      <c r="P1208" t="str">
        <f>_xlfn.XLOOKUP(Jnl[[#This Row],[BSLv2]], dict[Key], dict[Name],,0)</f>
        <v>0.现金及类似</v>
      </c>
      <c r="Q1208" t="str">
        <f>_xlfn.XLOOKUP(Jnl[[#This Row],[Acct]], dict[Key], dict[Name],,0)</f>
        <v>银行</v>
      </c>
      <c r="R1208" t="str">
        <f>_xlfn.XLOOKUP(Jnl[[#This Row],[Vehicle]],config_vehicle[Id], config_vehicle[Name],,0)</f>
        <v>郑术燕</v>
      </c>
      <c r="S1208" t="str">
        <f>_xlfn.XLOOKUP(Jnl[[#This Row],[Division]],config_div[Id], config_div[Name],,0)</f>
        <v>内控合规</v>
      </c>
      <c r="T1208" t="str">
        <f>IF(Jnl[[#This Row],[TrxDate]]&lt;=stmt_BS_date_end, "In", "Out")</f>
        <v>In</v>
      </c>
      <c r="U1208" t="str">
        <f>IF(Jnl[[#This Row],[TrxDate]]&lt;debug_date_start, "prior", IF(Jnl[[#This Row],[TrxDate]]&gt;debug_date_end, "post", "curr"))</f>
        <v>curr</v>
      </c>
    </row>
    <row r="1209" spans="1:21">
      <c r="A1209" s="11" t="s">
        <v>1639</v>
      </c>
      <c r="B1209" s="7">
        <f>_xlfn.XLOOKUP(Jnl[[#This Row],[TrxId]], Trx[Id], Trx[Date],,0)</f>
        <v>46081</v>
      </c>
      <c r="C1209" s="7" t="str">
        <f>_xlfn.XLOOKUP(Jnl[[#This Row],[TrxId]], Trx[Id], Trx[Division],,0)</f>
        <v>Ctrl</v>
      </c>
      <c r="D1209" s="7" t="str">
        <f>_xlfn.XLOOKUP(Jnl[[#This Row],[TrxId]], Trx[Id], Trx[Action],,0)</f>
        <v>过账</v>
      </c>
      <c r="E1209" s="26" t="s">
        <v>83</v>
      </c>
      <c r="F1209" s="11" t="s">
        <v>590</v>
      </c>
      <c r="G1209" s="11" t="s">
        <v>100</v>
      </c>
      <c r="H1209" s="72">
        <f>-H1208</f>
        <v>-40000</v>
      </c>
      <c r="I1209" s="5" t="b">
        <f>AND(Jnl[[#This Row],[TrxId]]&lt;&gt;"",Jnl[[#This Row],[Acct]]&lt;&gt;"",Jnl[[#This Row],[Item]]&lt;&gt;"",ISNUMBER(Jnl[[#This Row],[Bal]]))</f>
        <v>1</v>
      </c>
      <c r="J1209" s="10">
        <f>IF(Jnl[[#This Row],[BSLv0]]="A",1,-1)*Jnl[[#This Row],[Bal]]</f>
        <v>-40000</v>
      </c>
      <c r="K1209" t="str">
        <f>_xlfn.XLOOKUP(Jnl[[#This Row],[Acct]], config_BS[Acct], config_BS[Lv0],,0)</f>
        <v>A</v>
      </c>
      <c r="L1209" t="str">
        <f>_xlfn.XLOOKUP(Jnl[[#This Row],[Acct]], config_BS[Acct], config_BS[Lv1],,0)</f>
        <v>Assets</v>
      </c>
      <c r="M1209" t="str">
        <f>_xlfn.XLOOKUP(Jnl[[#This Row],[Acct]], config_BS[Acct], config_BS[Lv2],,0)</f>
        <v>Cash alike</v>
      </c>
      <c r="N1209" t="str">
        <f>_xlfn.XLOOKUP(Jnl[[#This Row],[TrxId]], Trx[Id], Trx[IncNode], ,0)</f>
        <v>Other</v>
      </c>
      <c r="O1209" t="str">
        <f>_xlfn.XLOOKUP(Jnl[[#This Row],[IncNode]], config_IS[Node], config_IS[Type],,0)</f>
        <v>Non-Op</v>
      </c>
      <c r="P1209" t="str">
        <f>_xlfn.XLOOKUP(Jnl[[#This Row],[BSLv2]], dict[Key], dict[Name],,0)</f>
        <v>0.现金及类似</v>
      </c>
      <c r="Q1209" t="str">
        <f>_xlfn.XLOOKUP(Jnl[[#This Row],[Acct]], dict[Key], dict[Name],,0)</f>
        <v>银行</v>
      </c>
      <c r="R1209" t="str">
        <f>_xlfn.XLOOKUP(Jnl[[#This Row],[Vehicle]],config_vehicle[Id], config_vehicle[Name],,0)</f>
        <v>远家文化</v>
      </c>
      <c r="S1209" t="str">
        <f>_xlfn.XLOOKUP(Jnl[[#This Row],[Division]],config_div[Id], config_div[Name],,0)</f>
        <v>内控合规</v>
      </c>
      <c r="T1209" t="str">
        <f>IF(Jnl[[#This Row],[TrxDate]]&lt;=stmt_BS_date_end, "In", "Out")</f>
        <v>In</v>
      </c>
      <c r="U1209" t="str">
        <f>IF(Jnl[[#This Row],[TrxDate]]&lt;debug_date_start, "prior", IF(Jnl[[#This Row],[TrxDate]]&gt;debug_date_end, "post", "curr"))</f>
        <v>curr</v>
      </c>
    </row>
    <row r="1210" spans="1:21">
      <c r="A1210" s="11" t="s">
        <v>1641</v>
      </c>
      <c r="B1210" s="7">
        <f>_xlfn.XLOOKUP(Jnl[[#This Row],[TrxId]], Trx[Id], Trx[Date],,0)</f>
        <v>46081</v>
      </c>
      <c r="C1210" s="7" t="str">
        <f>_xlfn.XLOOKUP(Jnl[[#This Row],[TrxId]], Trx[Id], Trx[Division],,0)</f>
        <v>Ctrl</v>
      </c>
      <c r="D1210" s="7" t="str">
        <f>_xlfn.XLOOKUP(Jnl[[#This Row],[TrxId]], Trx[Id], Trx[Action],,0)</f>
        <v>过账</v>
      </c>
      <c r="E1210" s="26" t="s">
        <v>83</v>
      </c>
      <c r="F1210" s="11" t="s">
        <v>590</v>
      </c>
      <c r="G1210" s="11" t="s">
        <v>100</v>
      </c>
      <c r="H1210" s="72">
        <v>-10518.5</v>
      </c>
      <c r="I1210" s="5" t="b">
        <f>AND(Jnl[[#This Row],[TrxId]]&lt;&gt;"",Jnl[[#This Row],[Acct]]&lt;&gt;"",Jnl[[#This Row],[Item]]&lt;&gt;"",ISNUMBER(Jnl[[#This Row],[Bal]]))</f>
        <v>1</v>
      </c>
      <c r="J1210" s="10">
        <f>IF(Jnl[[#This Row],[BSLv0]]="A",1,-1)*Jnl[[#This Row],[Bal]]</f>
        <v>-10518.5</v>
      </c>
      <c r="K1210" t="str">
        <f>_xlfn.XLOOKUP(Jnl[[#This Row],[Acct]], config_BS[Acct], config_BS[Lv0],,0)</f>
        <v>A</v>
      </c>
      <c r="L1210" t="str">
        <f>_xlfn.XLOOKUP(Jnl[[#This Row],[Acct]], config_BS[Acct], config_BS[Lv1],,0)</f>
        <v>Assets</v>
      </c>
      <c r="M1210" t="str">
        <f>_xlfn.XLOOKUP(Jnl[[#This Row],[Acct]], config_BS[Acct], config_BS[Lv2],,0)</f>
        <v>Cash alike</v>
      </c>
      <c r="N1210" t="str">
        <f>_xlfn.XLOOKUP(Jnl[[#This Row],[TrxId]], Trx[Id], Trx[IncNode], ,0)</f>
        <v>Other</v>
      </c>
      <c r="O1210" t="str">
        <f>_xlfn.XLOOKUP(Jnl[[#This Row],[IncNode]], config_IS[Node], config_IS[Type],,0)</f>
        <v>Non-Op</v>
      </c>
      <c r="P1210" t="str">
        <f>_xlfn.XLOOKUP(Jnl[[#This Row],[BSLv2]], dict[Key], dict[Name],,0)</f>
        <v>0.现金及类似</v>
      </c>
      <c r="Q1210" t="str">
        <f>_xlfn.XLOOKUP(Jnl[[#This Row],[Acct]], dict[Key], dict[Name],,0)</f>
        <v>银行</v>
      </c>
      <c r="R1210" t="str">
        <f>_xlfn.XLOOKUP(Jnl[[#This Row],[Vehicle]],config_vehicle[Id], config_vehicle[Name],,0)</f>
        <v>远家文化</v>
      </c>
      <c r="S1210" t="str">
        <f>_xlfn.XLOOKUP(Jnl[[#This Row],[Division]],config_div[Id], config_div[Name],,0)</f>
        <v>内控合规</v>
      </c>
      <c r="T1210" t="str">
        <f>IF(Jnl[[#This Row],[TrxDate]]&lt;=stmt_BS_date_end, "In", "Out")</f>
        <v>In</v>
      </c>
      <c r="U1210" t="str">
        <f>IF(Jnl[[#This Row],[TrxDate]]&lt;debug_date_start, "prior", IF(Jnl[[#This Row],[TrxDate]]&gt;debug_date_end, "post", "curr"))</f>
        <v>curr</v>
      </c>
    </row>
    <row r="1211" spans="1:21">
      <c r="A1211" s="11" t="s">
        <v>1641</v>
      </c>
      <c r="B1211" s="7">
        <f>_xlfn.XLOOKUP(Jnl[[#This Row],[TrxId]], Trx[Id], Trx[Date],,0)</f>
        <v>46081</v>
      </c>
      <c r="C1211" s="7" t="str">
        <f>_xlfn.XLOOKUP(Jnl[[#This Row],[TrxId]], Trx[Id], Trx[Division],,0)</f>
        <v>Ctrl</v>
      </c>
      <c r="D1211" s="7" t="str">
        <f>_xlfn.XLOOKUP(Jnl[[#This Row],[TrxId]], Trx[Id], Trx[Action],,0)</f>
        <v>过账</v>
      </c>
      <c r="E1211" s="26" t="s">
        <v>80</v>
      </c>
      <c r="F1211" s="11" t="s">
        <v>590</v>
      </c>
      <c r="G1211" s="11" t="s">
        <v>50</v>
      </c>
      <c r="H1211" s="72">
        <v>10518.5</v>
      </c>
      <c r="I1211" s="5" t="b">
        <f>AND(Jnl[[#This Row],[TrxId]]&lt;&gt;"",Jnl[[#This Row],[Acct]]&lt;&gt;"",Jnl[[#This Row],[Item]]&lt;&gt;"",ISNUMBER(Jnl[[#This Row],[Bal]]))</f>
        <v>1</v>
      </c>
      <c r="J1211" s="10">
        <f>IF(Jnl[[#This Row],[BSLv0]]="A",1,-1)*Jnl[[#This Row],[Bal]]</f>
        <v>10518.5</v>
      </c>
      <c r="K1211" t="str">
        <f>_xlfn.XLOOKUP(Jnl[[#This Row],[Acct]], config_BS[Acct], config_BS[Lv0],,0)</f>
        <v>A</v>
      </c>
      <c r="L1211" t="str">
        <f>_xlfn.XLOOKUP(Jnl[[#This Row],[Acct]], config_BS[Acct], config_BS[Lv1],,0)</f>
        <v>Assets</v>
      </c>
      <c r="M1211" t="str">
        <f>_xlfn.XLOOKUP(Jnl[[#This Row],[Acct]], config_BS[Acct], config_BS[Lv2],,0)</f>
        <v>Cash alike</v>
      </c>
      <c r="N1211" t="str">
        <f>_xlfn.XLOOKUP(Jnl[[#This Row],[TrxId]], Trx[Id], Trx[IncNode], ,0)</f>
        <v>Other</v>
      </c>
      <c r="O1211" t="str">
        <f>_xlfn.XLOOKUP(Jnl[[#This Row],[IncNode]], config_IS[Node], config_IS[Type],,0)</f>
        <v>Non-Op</v>
      </c>
      <c r="P1211" t="str">
        <f>_xlfn.XLOOKUP(Jnl[[#This Row],[BSLv2]], dict[Key], dict[Name],,0)</f>
        <v>0.现金及类似</v>
      </c>
      <c r="Q1211" t="str">
        <f>_xlfn.XLOOKUP(Jnl[[#This Row],[Acct]], dict[Key], dict[Name],,0)</f>
        <v>银行</v>
      </c>
      <c r="R1211" t="str">
        <f>_xlfn.XLOOKUP(Jnl[[#This Row],[Vehicle]],config_vehicle[Id], config_vehicle[Name],,0)</f>
        <v>远家花园</v>
      </c>
      <c r="S1211" t="str">
        <f>_xlfn.XLOOKUP(Jnl[[#This Row],[Division]],config_div[Id], config_div[Name],,0)</f>
        <v>内控合规</v>
      </c>
      <c r="T1211" t="str">
        <f>IF(Jnl[[#This Row],[TrxDate]]&lt;=stmt_BS_date_end, "In", "Out")</f>
        <v>In</v>
      </c>
      <c r="U1211" t="str">
        <f>IF(Jnl[[#This Row],[TrxDate]]&lt;debug_date_start, "prior", IF(Jnl[[#This Row],[TrxDate]]&gt;debug_date_end, "post", "curr"))</f>
        <v>curr</v>
      </c>
    </row>
    <row r="1212" spans="1:21">
      <c r="A1212" s="11" t="s">
        <v>1642</v>
      </c>
      <c r="B1212" s="7">
        <f>_xlfn.XLOOKUP(Jnl[[#This Row],[TrxId]], Trx[Id], Trx[Date],,0)</f>
        <v>46081</v>
      </c>
      <c r="C1212" s="7" t="str">
        <f>_xlfn.XLOOKUP(Jnl[[#This Row],[TrxId]], Trx[Id], Trx[Division],,0)</f>
        <v>GM</v>
      </c>
      <c r="D1212" s="7" t="str">
        <f>_xlfn.XLOOKUP(Jnl[[#This Row],[TrxId]], Trx[Id], Trx[Action],,0)</f>
        <v>支付</v>
      </c>
      <c r="E1212" s="26" t="s">
        <v>83</v>
      </c>
      <c r="F1212" s="11" t="s">
        <v>596</v>
      </c>
      <c r="G1212" s="11" t="s">
        <v>149</v>
      </c>
      <c r="H1212" s="72">
        <v>-26142</v>
      </c>
      <c r="I1212" s="5" t="b">
        <f>AND(Jnl[[#This Row],[TrxId]]&lt;&gt;"",Jnl[[#This Row],[Acct]]&lt;&gt;"",Jnl[[#This Row],[Item]]&lt;&gt;"",ISNUMBER(Jnl[[#This Row],[Bal]]))</f>
        <v>1</v>
      </c>
      <c r="J1212" s="10">
        <f>IF(Jnl[[#This Row],[BSLv0]]="A",1,-1)*Jnl[[#This Row],[Bal]]</f>
        <v>26142</v>
      </c>
      <c r="K1212" t="str">
        <f>_xlfn.XLOOKUP(Jnl[[#This Row],[Acct]], config_BS[Acct], config_BS[Lv0],,0)</f>
        <v>LC</v>
      </c>
      <c r="L1212" t="str">
        <f>_xlfn.XLOOKUP(Jnl[[#This Row],[Acct]], config_BS[Acct], config_BS[Lv1],,0)</f>
        <v>Liability</v>
      </c>
      <c r="M1212" t="str">
        <f>_xlfn.XLOOKUP(Jnl[[#This Row],[Acct]], config_BS[Acct], config_BS[Lv2],,0)</f>
        <v>Rec-Pay</v>
      </c>
      <c r="N1212" t="str">
        <f>_xlfn.XLOOKUP(Jnl[[#This Row],[TrxId]], Trx[Id], Trx[IncNode], ,0)</f>
        <v>Expense</v>
      </c>
      <c r="O1212" t="str">
        <f>_xlfn.XLOOKUP(Jnl[[#This Row],[IncNode]], config_IS[Node], config_IS[Type],,0)</f>
        <v>Op</v>
      </c>
      <c r="P1212" t="str">
        <f>_xlfn.XLOOKUP(Jnl[[#This Row],[BSLv2]], dict[Key], dict[Name],,0)</f>
        <v>1.应收-应付</v>
      </c>
      <c r="Q1212" t="str">
        <f>_xlfn.XLOOKUP(Jnl[[#This Row],[Acct]], dict[Key], dict[Name],,0)</f>
        <v>应付-薪资</v>
      </c>
      <c r="R1212" t="str">
        <f>_xlfn.XLOOKUP(Jnl[[#This Row],[Vehicle]],config_vehicle[Id], config_vehicle[Name],,0)</f>
        <v>远家文化</v>
      </c>
      <c r="S1212" t="str">
        <f>_xlfn.XLOOKUP(Jnl[[#This Row],[Division]],config_div[Id], config_div[Name],,0)</f>
        <v>综合管理</v>
      </c>
      <c r="T1212" t="str">
        <f>IF(Jnl[[#This Row],[TrxDate]]&lt;=stmt_BS_date_end, "In", "Out")</f>
        <v>In</v>
      </c>
      <c r="U1212" t="str">
        <f>IF(Jnl[[#This Row],[TrxDate]]&lt;debug_date_start, "prior", IF(Jnl[[#This Row],[TrxDate]]&gt;debug_date_end, "post", "curr"))</f>
        <v>curr</v>
      </c>
    </row>
    <row r="1213" spans="1:21">
      <c r="A1213" s="11" t="s">
        <v>1642</v>
      </c>
      <c r="B1213" s="7">
        <f>_xlfn.XLOOKUP(Jnl[[#This Row],[TrxId]], Trx[Id], Trx[Date],,0)</f>
        <v>46081</v>
      </c>
      <c r="C1213" s="7" t="str">
        <f>_xlfn.XLOOKUP(Jnl[[#This Row],[TrxId]], Trx[Id], Trx[Division],,0)</f>
        <v>GM</v>
      </c>
      <c r="D1213" s="7" t="str">
        <f>_xlfn.XLOOKUP(Jnl[[#This Row],[TrxId]], Trx[Id], Trx[Action],,0)</f>
        <v>支付</v>
      </c>
      <c r="E1213" s="26" t="s">
        <v>83</v>
      </c>
      <c r="F1213" s="11" t="s">
        <v>590</v>
      </c>
      <c r="G1213" s="11" t="s">
        <v>100</v>
      </c>
      <c r="H1213" s="72">
        <f>-102871.93-H1214</f>
        <v>-26142</v>
      </c>
      <c r="I1213" s="5" t="b">
        <f>AND(Jnl[[#This Row],[TrxId]]&lt;&gt;"",Jnl[[#This Row],[Acct]]&lt;&gt;"",Jnl[[#This Row],[Item]]&lt;&gt;"",ISNUMBER(Jnl[[#This Row],[Bal]]))</f>
        <v>1</v>
      </c>
      <c r="J1213" s="10">
        <f>IF(Jnl[[#This Row],[BSLv0]]="A",1,-1)*Jnl[[#This Row],[Bal]]</f>
        <v>-26142</v>
      </c>
      <c r="K1213" t="str">
        <f>_xlfn.XLOOKUP(Jnl[[#This Row],[Acct]], config_BS[Acct], config_BS[Lv0],,0)</f>
        <v>A</v>
      </c>
      <c r="L1213" t="str">
        <f>_xlfn.XLOOKUP(Jnl[[#This Row],[Acct]], config_BS[Acct], config_BS[Lv1],,0)</f>
        <v>Assets</v>
      </c>
      <c r="M1213" t="str">
        <f>_xlfn.XLOOKUP(Jnl[[#This Row],[Acct]], config_BS[Acct], config_BS[Lv2],,0)</f>
        <v>Cash alike</v>
      </c>
      <c r="N1213" t="str">
        <f>_xlfn.XLOOKUP(Jnl[[#This Row],[TrxId]], Trx[Id], Trx[IncNode], ,0)</f>
        <v>Expense</v>
      </c>
      <c r="O1213" t="str">
        <f>_xlfn.XLOOKUP(Jnl[[#This Row],[IncNode]], config_IS[Node], config_IS[Type],,0)</f>
        <v>Op</v>
      </c>
      <c r="P1213" t="str">
        <f>_xlfn.XLOOKUP(Jnl[[#This Row],[BSLv2]], dict[Key], dict[Name],,0)</f>
        <v>0.现金及类似</v>
      </c>
      <c r="Q1213" t="str">
        <f>_xlfn.XLOOKUP(Jnl[[#This Row],[Acct]], dict[Key], dict[Name],,0)</f>
        <v>银行</v>
      </c>
      <c r="R1213" t="str">
        <f>_xlfn.XLOOKUP(Jnl[[#This Row],[Vehicle]],config_vehicle[Id], config_vehicle[Name],,0)</f>
        <v>远家文化</v>
      </c>
      <c r="S1213" t="str">
        <f>_xlfn.XLOOKUP(Jnl[[#This Row],[Division]],config_div[Id], config_div[Name],,0)</f>
        <v>综合管理</v>
      </c>
      <c r="T1213" t="str">
        <f>IF(Jnl[[#This Row],[TrxDate]]&lt;=stmt_BS_date_end, "In", "Out")</f>
        <v>In</v>
      </c>
      <c r="U1213" t="str">
        <f>IF(Jnl[[#This Row],[TrxDate]]&lt;debug_date_start, "prior", IF(Jnl[[#This Row],[TrxDate]]&gt;debug_date_end, "post", "curr"))</f>
        <v>curr</v>
      </c>
    </row>
    <row r="1214" spans="1:21">
      <c r="A1214" s="11" t="s">
        <v>1643</v>
      </c>
      <c r="B1214" s="7">
        <f>_xlfn.XLOOKUP(Jnl[[#This Row],[TrxId]], Trx[Id], Trx[Date],,0)</f>
        <v>46081</v>
      </c>
      <c r="C1214" s="7" t="str">
        <f>_xlfn.XLOOKUP(Jnl[[#This Row],[TrxId]], Trx[Id], Trx[Division],,0)</f>
        <v>MY</v>
      </c>
      <c r="D1214" s="7" t="str">
        <f>_xlfn.XLOOKUP(Jnl[[#This Row],[TrxId]], Trx[Id], Trx[Action],,0)</f>
        <v>支付</v>
      </c>
      <c r="E1214" s="26" t="s">
        <v>83</v>
      </c>
      <c r="F1214" s="11" t="s">
        <v>596</v>
      </c>
      <c r="G1214" s="11" t="s">
        <v>149</v>
      </c>
      <c r="H1214" s="72">
        <v>-76729.929999999993</v>
      </c>
      <c r="I1214" s="5" t="b">
        <f>AND(Jnl[[#This Row],[TrxId]]&lt;&gt;"",Jnl[[#This Row],[Acct]]&lt;&gt;"",Jnl[[#This Row],[Item]]&lt;&gt;"",ISNUMBER(Jnl[[#This Row],[Bal]]))</f>
        <v>1</v>
      </c>
      <c r="J1214" s="10">
        <f>IF(Jnl[[#This Row],[BSLv0]]="A",1,-1)*Jnl[[#This Row],[Bal]]</f>
        <v>76729.929999999993</v>
      </c>
      <c r="K1214" t="str">
        <f>_xlfn.XLOOKUP(Jnl[[#This Row],[Acct]], config_BS[Acct], config_BS[Lv0],,0)</f>
        <v>LC</v>
      </c>
      <c r="L1214" t="str">
        <f>_xlfn.XLOOKUP(Jnl[[#This Row],[Acct]], config_BS[Acct], config_BS[Lv1],,0)</f>
        <v>Liability</v>
      </c>
      <c r="M1214" t="str">
        <f>_xlfn.XLOOKUP(Jnl[[#This Row],[Acct]], config_BS[Acct], config_BS[Lv2],,0)</f>
        <v>Rec-Pay</v>
      </c>
      <c r="N1214" t="str">
        <f>_xlfn.XLOOKUP(Jnl[[#This Row],[TrxId]], Trx[Id], Trx[IncNode], ,0)</f>
        <v>Expense</v>
      </c>
      <c r="O1214" t="str">
        <f>_xlfn.XLOOKUP(Jnl[[#This Row],[IncNode]], config_IS[Node], config_IS[Type],,0)</f>
        <v>Op</v>
      </c>
      <c r="P1214" t="str">
        <f>_xlfn.XLOOKUP(Jnl[[#This Row],[BSLv2]], dict[Key], dict[Name],,0)</f>
        <v>1.应收-应付</v>
      </c>
      <c r="Q1214" t="str">
        <f>_xlfn.XLOOKUP(Jnl[[#This Row],[Acct]], dict[Key], dict[Name],,0)</f>
        <v>应付-薪资</v>
      </c>
      <c r="R1214" t="str">
        <f>_xlfn.XLOOKUP(Jnl[[#This Row],[Vehicle]],config_vehicle[Id], config_vehicle[Name],,0)</f>
        <v>远家文化</v>
      </c>
      <c r="S1214" t="str">
        <f>_xlfn.XLOOKUP(Jnl[[#This Row],[Division]],config_div[Id], config_div[Name],,0)</f>
        <v>明月村</v>
      </c>
      <c r="T1214" t="str">
        <f>IF(Jnl[[#This Row],[TrxDate]]&lt;=stmt_BS_date_end, "In", "Out")</f>
        <v>In</v>
      </c>
      <c r="U1214" t="str">
        <f>IF(Jnl[[#This Row],[TrxDate]]&lt;debug_date_start, "prior", IF(Jnl[[#This Row],[TrxDate]]&gt;debug_date_end, "post", "curr"))</f>
        <v>curr</v>
      </c>
    </row>
    <row r="1215" spans="1:21">
      <c r="A1215" s="11" t="s">
        <v>1643</v>
      </c>
      <c r="B1215" s="7">
        <f>_xlfn.XLOOKUP(Jnl[[#This Row],[TrxId]], Trx[Id], Trx[Date],,0)</f>
        <v>46081</v>
      </c>
      <c r="C1215" s="7" t="str">
        <f>_xlfn.XLOOKUP(Jnl[[#This Row],[TrxId]], Trx[Id], Trx[Division],,0)</f>
        <v>MY</v>
      </c>
      <c r="D1215" s="7" t="str">
        <f>_xlfn.XLOOKUP(Jnl[[#This Row],[TrxId]], Trx[Id], Trx[Action],,0)</f>
        <v>支付</v>
      </c>
      <c r="E1215" s="26" t="s">
        <v>83</v>
      </c>
      <c r="F1215" s="11" t="s">
        <v>590</v>
      </c>
      <c r="G1215" s="11" t="s">
        <v>100</v>
      </c>
      <c r="H1215" s="72">
        <f>H1214</f>
        <v>-76729.929999999993</v>
      </c>
      <c r="I1215" s="5" t="b">
        <f>AND(Jnl[[#This Row],[TrxId]]&lt;&gt;"",Jnl[[#This Row],[Acct]]&lt;&gt;"",Jnl[[#This Row],[Item]]&lt;&gt;"",ISNUMBER(Jnl[[#This Row],[Bal]]))</f>
        <v>1</v>
      </c>
      <c r="J1215" s="10">
        <f>IF(Jnl[[#This Row],[BSLv0]]="A",1,-1)*Jnl[[#This Row],[Bal]]</f>
        <v>-76729.929999999993</v>
      </c>
      <c r="K1215" t="str">
        <f>_xlfn.XLOOKUP(Jnl[[#This Row],[Acct]], config_BS[Acct], config_BS[Lv0],,0)</f>
        <v>A</v>
      </c>
      <c r="L1215" t="str">
        <f>_xlfn.XLOOKUP(Jnl[[#This Row],[Acct]], config_BS[Acct], config_BS[Lv1],,0)</f>
        <v>Assets</v>
      </c>
      <c r="M1215" t="str">
        <f>_xlfn.XLOOKUP(Jnl[[#This Row],[Acct]], config_BS[Acct], config_BS[Lv2],,0)</f>
        <v>Cash alike</v>
      </c>
      <c r="N1215" t="str">
        <f>_xlfn.XLOOKUP(Jnl[[#This Row],[TrxId]], Trx[Id], Trx[IncNode], ,0)</f>
        <v>Expense</v>
      </c>
      <c r="O1215" t="str">
        <f>_xlfn.XLOOKUP(Jnl[[#This Row],[IncNode]], config_IS[Node], config_IS[Type],,0)</f>
        <v>Op</v>
      </c>
      <c r="P1215" t="str">
        <f>_xlfn.XLOOKUP(Jnl[[#This Row],[BSLv2]], dict[Key], dict[Name],,0)</f>
        <v>0.现金及类似</v>
      </c>
      <c r="Q1215" t="str">
        <f>_xlfn.XLOOKUP(Jnl[[#This Row],[Acct]], dict[Key], dict[Name],,0)</f>
        <v>银行</v>
      </c>
      <c r="R1215" t="str">
        <f>_xlfn.XLOOKUP(Jnl[[#This Row],[Vehicle]],config_vehicle[Id], config_vehicle[Name],,0)</f>
        <v>远家文化</v>
      </c>
      <c r="S1215" t="str">
        <f>_xlfn.XLOOKUP(Jnl[[#This Row],[Division]],config_div[Id], config_div[Name],,0)</f>
        <v>明月村</v>
      </c>
      <c r="T1215" t="str">
        <f>IF(Jnl[[#This Row],[TrxDate]]&lt;=stmt_BS_date_end, "In", "Out")</f>
        <v>In</v>
      </c>
      <c r="U1215" t="str">
        <f>IF(Jnl[[#This Row],[TrxDate]]&lt;debug_date_start, "prior", IF(Jnl[[#This Row],[TrxDate]]&gt;debug_date_end, "post", "curr"))</f>
        <v>curr</v>
      </c>
    </row>
    <row r="1216" spans="1:21">
      <c r="A1216" s="11" t="s">
        <v>1645</v>
      </c>
      <c r="B1216" s="7">
        <f>_xlfn.XLOOKUP(Jnl[[#This Row],[TrxId]], Trx[Id], Trx[Date],,0)</f>
        <v>46081</v>
      </c>
      <c r="C1216" s="7" t="str">
        <f>_xlfn.XLOOKUP(Jnl[[#This Row],[TrxId]], Trx[Id], Trx[Division],,0)</f>
        <v>GM</v>
      </c>
      <c r="D1216" s="7" t="str">
        <f>_xlfn.XLOOKUP(Jnl[[#This Row],[TrxId]], Trx[Id], Trx[Action],,0)</f>
        <v>奖金-合伙人</v>
      </c>
      <c r="E1216" s="26" t="s">
        <v>83</v>
      </c>
      <c r="F1216" s="11" t="s">
        <v>590</v>
      </c>
      <c r="G1216" s="11" t="s">
        <v>100</v>
      </c>
      <c r="H1216" s="72">
        <v>-14925.38</v>
      </c>
      <c r="I1216" s="5" t="b">
        <f>AND(Jnl[[#This Row],[TrxId]]&lt;&gt;"",Jnl[[#This Row],[Acct]]&lt;&gt;"",Jnl[[#This Row],[Item]]&lt;&gt;"",ISNUMBER(Jnl[[#This Row],[Bal]]))</f>
        <v>1</v>
      </c>
      <c r="J1216" s="10">
        <f>IF(Jnl[[#This Row],[BSLv0]]="A",1,-1)*Jnl[[#This Row],[Bal]]</f>
        <v>-14925.38</v>
      </c>
      <c r="K1216" t="str">
        <f>_xlfn.XLOOKUP(Jnl[[#This Row],[Acct]], config_BS[Acct], config_BS[Lv0],,0)</f>
        <v>A</v>
      </c>
      <c r="L1216" t="str">
        <f>_xlfn.XLOOKUP(Jnl[[#This Row],[Acct]], config_BS[Acct], config_BS[Lv1],,0)</f>
        <v>Assets</v>
      </c>
      <c r="M1216" t="str">
        <f>_xlfn.XLOOKUP(Jnl[[#This Row],[Acct]], config_BS[Acct], config_BS[Lv2],,0)</f>
        <v>Cash alike</v>
      </c>
      <c r="N1216" t="str">
        <f>_xlfn.XLOOKUP(Jnl[[#This Row],[TrxId]], Trx[Id], Trx[IncNode], ,0)</f>
        <v>Discretion</v>
      </c>
      <c r="O1216" t="str">
        <f>_xlfn.XLOOKUP(Jnl[[#This Row],[IncNode]], config_IS[Node], config_IS[Type],,0)</f>
        <v>Non-Op</v>
      </c>
      <c r="P1216" t="str">
        <f>_xlfn.XLOOKUP(Jnl[[#This Row],[BSLv2]], dict[Key], dict[Name],,0)</f>
        <v>0.现金及类似</v>
      </c>
      <c r="Q1216" t="str">
        <f>_xlfn.XLOOKUP(Jnl[[#This Row],[Acct]], dict[Key], dict[Name],,0)</f>
        <v>银行</v>
      </c>
      <c r="R1216" t="str">
        <f>_xlfn.XLOOKUP(Jnl[[#This Row],[Vehicle]],config_vehicle[Id], config_vehicle[Name],,0)</f>
        <v>远家文化</v>
      </c>
      <c r="S1216" t="str">
        <f>_xlfn.XLOOKUP(Jnl[[#This Row],[Division]],config_div[Id], config_div[Name],,0)</f>
        <v>综合管理</v>
      </c>
      <c r="T1216" t="str">
        <f>IF(Jnl[[#This Row],[TrxDate]]&lt;=stmt_BS_date_end, "In", "Out")</f>
        <v>In</v>
      </c>
      <c r="U1216" t="str">
        <f>IF(Jnl[[#This Row],[TrxDate]]&lt;debug_date_start, "prior", IF(Jnl[[#This Row],[TrxDate]]&gt;debug_date_end, "post", "curr"))</f>
        <v>curr</v>
      </c>
    </row>
    <row r="1217" spans="1:21">
      <c r="A1217" s="11" t="s">
        <v>1648</v>
      </c>
      <c r="B1217" s="7">
        <f>_xlfn.XLOOKUP(Jnl[[#This Row],[TrxId]], Trx[Id], Trx[Date],,0)</f>
        <v>46081</v>
      </c>
      <c r="C1217" s="7" t="str">
        <f>_xlfn.XLOOKUP(Jnl[[#This Row],[TrxId]], Trx[Id], Trx[Division],,0)</f>
        <v>MY</v>
      </c>
      <c r="D1217" s="7" t="str">
        <f>_xlfn.XLOOKUP(Jnl[[#This Row],[TrxId]], Trx[Id], Trx[Action],,0)</f>
        <v>收款</v>
      </c>
      <c r="E1217" s="26" t="s">
        <v>83</v>
      </c>
      <c r="F1217" s="11" t="s">
        <v>590</v>
      </c>
      <c r="G1217" s="11" t="s">
        <v>100</v>
      </c>
      <c r="H1217" s="72">
        <v>9205.5</v>
      </c>
      <c r="I1217" s="5" t="b">
        <f>AND(Jnl[[#This Row],[TrxId]]&lt;&gt;"",Jnl[[#This Row],[Acct]]&lt;&gt;"",Jnl[[#This Row],[Item]]&lt;&gt;"",ISNUMBER(Jnl[[#This Row],[Bal]]))</f>
        <v>1</v>
      </c>
      <c r="J1217" s="10">
        <f>IF(Jnl[[#This Row],[BSLv0]]="A",1,-1)*Jnl[[#This Row],[Bal]]</f>
        <v>9205.5</v>
      </c>
      <c r="K1217" t="str">
        <f>_xlfn.XLOOKUP(Jnl[[#This Row],[Acct]], config_BS[Acct], config_BS[Lv0],,0)</f>
        <v>A</v>
      </c>
      <c r="L1217" t="str">
        <f>_xlfn.XLOOKUP(Jnl[[#This Row],[Acct]], config_BS[Acct], config_BS[Lv1],,0)</f>
        <v>Assets</v>
      </c>
      <c r="M1217" t="str">
        <f>_xlfn.XLOOKUP(Jnl[[#This Row],[Acct]], config_BS[Acct], config_BS[Lv2],,0)</f>
        <v>Cash alike</v>
      </c>
      <c r="N1217" t="str">
        <f>_xlfn.XLOOKUP(Jnl[[#This Row],[TrxId]], Trx[Id], Trx[IncNode], ,0)</f>
        <v>Revenue</v>
      </c>
      <c r="O1217" t="str">
        <f>_xlfn.XLOOKUP(Jnl[[#This Row],[IncNode]], config_IS[Node], config_IS[Type],,0)</f>
        <v>Op</v>
      </c>
      <c r="P1217" t="str">
        <f>_xlfn.XLOOKUP(Jnl[[#This Row],[BSLv2]], dict[Key], dict[Name],,0)</f>
        <v>0.现金及类似</v>
      </c>
      <c r="Q1217" t="str">
        <f>_xlfn.XLOOKUP(Jnl[[#This Row],[Acct]], dict[Key], dict[Name],,0)</f>
        <v>银行</v>
      </c>
      <c r="R1217" t="str">
        <f>_xlfn.XLOOKUP(Jnl[[#This Row],[Vehicle]],config_vehicle[Id], config_vehicle[Name],,0)</f>
        <v>远家文化</v>
      </c>
      <c r="S1217" t="str">
        <f>_xlfn.XLOOKUP(Jnl[[#This Row],[Division]],config_div[Id], config_div[Name],,0)</f>
        <v>明月村</v>
      </c>
      <c r="T1217" t="str">
        <f>IF(Jnl[[#This Row],[TrxDate]]&lt;=stmt_BS_date_end, "In", "Out")</f>
        <v>In</v>
      </c>
      <c r="U1217" t="str">
        <f>IF(Jnl[[#This Row],[TrxDate]]&lt;debug_date_start, "prior", IF(Jnl[[#This Row],[TrxDate]]&gt;debug_date_end, "post", "curr"))</f>
        <v>curr</v>
      </c>
    </row>
    <row r="1218" spans="1:21">
      <c r="A1218" s="11" t="s">
        <v>1648</v>
      </c>
      <c r="B1218" s="7">
        <f>_xlfn.XLOOKUP(Jnl[[#This Row],[TrxId]], Trx[Id], Trx[Date],,0)</f>
        <v>46081</v>
      </c>
      <c r="C1218" s="7" t="str">
        <f>_xlfn.XLOOKUP(Jnl[[#This Row],[TrxId]], Trx[Id], Trx[Division],,0)</f>
        <v>MY</v>
      </c>
      <c r="D1218" s="7" t="str">
        <f>_xlfn.XLOOKUP(Jnl[[#This Row],[TrxId]], Trx[Id], Trx[Action],,0)</f>
        <v>收款</v>
      </c>
      <c r="E1218" s="26" t="s">
        <v>83</v>
      </c>
      <c r="F1218" s="11" t="s">
        <v>593</v>
      </c>
      <c r="G1218" s="11" t="s">
        <v>965</v>
      </c>
      <c r="H1218" s="72">
        <v>-9205.5</v>
      </c>
      <c r="I1218" s="5" t="b">
        <f>AND(Jnl[[#This Row],[TrxId]]&lt;&gt;"",Jnl[[#This Row],[Acct]]&lt;&gt;"",Jnl[[#This Row],[Item]]&lt;&gt;"",ISNUMBER(Jnl[[#This Row],[Bal]]))</f>
        <v>1</v>
      </c>
      <c r="J1218" s="10">
        <f>IF(Jnl[[#This Row],[BSLv0]]="A",1,-1)*Jnl[[#This Row],[Bal]]</f>
        <v>-9205.5</v>
      </c>
      <c r="K1218" t="str">
        <f>_xlfn.XLOOKUP(Jnl[[#This Row],[Acct]], config_BS[Acct], config_BS[Lv0],,0)</f>
        <v>A</v>
      </c>
      <c r="L1218" t="str">
        <f>_xlfn.XLOOKUP(Jnl[[#This Row],[Acct]], config_BS[Acct], config_BS[Lv1],,0)</f>
        <v>Assets</v>
      </c>
      <c r="M1218" t="str">
        <f>_xlfn.XLOOKUP(Jnl[[#This Row],[Acct]], config_BS[Acct], config_BS[Lv2],,0)</f>
        <v>Rec-Pay</v>
      </c>
      <c r="N1218" t="str">
        <f>_xlfn.XLOOKUP(Jnl[[#This Row],[TrxId]], Trx[Id], Trx[IncNode], ,0)</f>
        <v>Revenue</v>
      </c>
      <c r="O1218" t="str">
        <f>_xlfn.XLOOKUP(Jnl[[#This Row],[IncNode]], config_IS[Node], config_IS[Type],,0)</f>
        <v>Op</v>
      </c>
      <c r="P1218" t="str">
        <f>_xlfn.XLOOKUP(Jnl[[#This Row],[BSLv2]], dict[Key], dict[Name],,0)</f>
        <v>1.应收-应付</v>
      </c>
      <c r="Q1218" t="str">
        <f>_xlfn.XLOOKUP(Jnl[[#This Row],[Acct]], dict[Key], dict[Name],,0)</f>
        <v>应收-一般</v>
      </c>
      <c r="R1218" t="str">
        <f>_xlfn.XLOOKUP(Jnl[[#This Row],[Vehicle]],config_vehicle[Id], config_vehicle[Name],,0)</f>
        <v>远家文化</v>
      </c>
      <c r="S1218" t="str">
        <f>_xlfn.XLOOKUP(Jnl[[#This Row],[Division]],config_div[Id], config_div[Name],,0)</f>
        <v>明月村</v>
      </c>
      <c r="T1218" t="str">
        <f>IF(Jnl[[#This Row],[TrxDate]]&lt;=stmt_BS_date_end, "In", "Out")</f>
        <v>In</v>
      </c>
      <c r="U1218" t="str">
        <f>IF(Jnl[[#This Row],[TrxDate]]&lt;debug_date_start, "prior", IF(Jnl[[#This Row],[TrxDate]]&gt;debug_date_end, "post", "curr"))</f>
        <v>curr</v>
      </c>
    </row>
    <row r="1219" spans="1:21">
      <c r="A1219" s="11" t="s">
        <v>1650</v>
      </c>
      <c r="B1219" s="7">
        <f>_xlfn.XLOOKUP(Jnl[[#This Row],[TrxId]], Trx[Id], Trx[Date],,0)</f>
        <v>46081</v>
      </c>
      <c r="C1219" s="7" t="str">
        <f>_xlfn.XLOOKUP(Jnl[[#This Row],[TrxId]], Trx[Id], Trx[Division],,0)</f>
        <v>MY</v>
      </c>
      <c r="D1219" s="7" t="str">
        <f>_xlfn.XLOOKUP(Jnl[[#This Row],[TrxId]], Trx[Id], Trx[Action],,0)</f>
        <v>收款</v>
      </c>
      <c r="E1219" s="26" t="s">
        <v>83</v>
      </c>
      <c r="F1219" s="11" t="s">
        <v>590</v>
      </c>
      <c r="G1219" s="11" t="s">
        <v>100</v>
      </c>
      <c r="H1219" s="72">
        <v>52722.33</v>
      </c>
      <c r="I1219" s="5" t="b">
        <f>AND(Jnl[[#This Row],[TrxId]]&lt;&gt;"",Jnl[[#This Row],[Acct]]&lt;&gt;"",Jnl[[#This Row],[Item]]&lt;&gt;"",ISNUMBER(Jnl[[#This Row],[Bal]]))</f>
        <v>1</v>
      </c>
      <c r="J1219" s="10">
        <f>IF(Jnl[[#This Row],[BSLv0]]="A",1,-1)*Jnl[[#This Row],[Bal]]</f>
        <v>52722.33</v>
      </c>
      <c r="K1219" t="str">
        <f>_xlfn.XLOOKUP(Jnl[[#This Row],[Acct]], config_BS[Acct], config_BS[Lv0],,0)</f>
        <v>A</v>
      </c>
      <c r="L1219" t="str">
        <f>_xlfn.XLOOKUP(Jnl[[#This Row],[Acct]], config_BS[Acct], config_BS[Lv1],,0)</f>
        <v>Assets</v>
      </c>
      <c r="M1219" t="str">
        <f>_xlfn.XLOOKUP(Jnl[[#This Row],[Acct]], config_BS[Acct], config_BS[Lv2],,0)</f>
        <v>Cash alike</v>
      </c>
      <c r="N1219" t="str">
        <f>_xlfn.XLOOKUP(Jnl[[#This Row],[TrxId]], Trx[Id], Trx[IncNode], ,0)</f>
        <v>Revenue</v>
      </c>
      <c r="O1219" t="str">
        <f>_xlfn.XLOOKUP(Jnl[[#This Row],[IncNode]], config_IS[Node], config_IS[Type],,0)</f>
        <v>Op</v>
      </c>
      <c r="P1219" t="str">
        <f>_xlfn.XLOOKUP(Jnl[[#This Row],[BSLv2]], dict[Key], dict[Name],,0)</f>
        <v>0.现金及类似</v>
      </c>
      <c r="Q1219" t="str">
        <f>_xlfn.XLOOKUP(Jnl[[#This Row],[Acct]], dict[Key], dict[Name],,0)</f>
        <v>银行</v>
      </c>
      <c r="R1219" t="str">
        <f>_xlfn.XLOOKUP(Jnl[[#This Row],[Vehicle]],config_vehicle[Id], config_vehicle[Name],,0)</f>
        <v>远家文化</v>
      </c>
      <c r="S1219" t="str">
        <f>_xlfn.XLOOKUP(Jnl[[#This Row],[Division]],config_div[Id], config_div[Name],,0)</f>
        <v>明月村</v>
      </c>
      <c r="T1219" t="str">
        <f>IF(Jnl[[#This Row],[TrxDate]]&lt;=stmt_BS_date_end, "In", "Out")</f>
        <v>In</v>
      </c>
      <c r="U1219" t="str">
        <f>IF(Jnl[[#This Row],[TrxDate]]&lt;debug_date_start, "prior", IF(Jnl[[#This Row],[TrxDate]]&gt;debug_date_end, "post", "curr"))</f>
        <v>curr</v>
      </c>
    </row>
    <row r="1220" spans="1:21">
      <c r="A1220" s="11" t="s">
        <v>1650</v>
      </c>
      <c r="B1220" s="7">
        <f>_xlfn.XLOOKUP(Jnl[[#This Row],[TrxId]], Trx[Id], Trx[Date],,0)</f>
        <v>46081</v>
      </c>
      <c r="C1220" s="7" t="str">
        <f>_xlfn.XLOOKUP(Jnl[[#This Row],[TrxId]], Trx[Id], Trx[Division],,0)</f>
        <v>MY</v>
      </c>
      <c r="D1220" s="7" t="str">
        <f>_xlfn.XLOOKUP(Jnl[[#This Row],[TrxId]], Trx[Id], Trx[Action],,0)</f>
        <v>收款</v>
      </c>
      <c r="E1220" s="26" t="s">
        <v>83</v>
      </c>
      <c r="F1220" s="11" t="s">
        <v>593</v>
      </c>
      <c r="G1220" s="11" t="s">
        <v>1130</v>
      </c>
      <c r="H1220" s="72">
        <v>-52722.33</v>
      </c>
      <c r="I1220" s="5" t="b">
        <f>AND(Jnl[[#This Row],[TrxId]]&lt;&gt;"",Jnl[[#This Row],[Acct]]&lt;&gt;"",Jnl[[#This Row],[Item]]&lt;&gt;"",ISNUMBER(Jnl[[#This Row],[Bal]]))</f>
        <v>1</v>
      </c>
      <c r="J1220" s="10">
        <f>IF(Jnl[[#This Row],[BSLv0]]="A",1,-1)*Jnl[[#This Row],[Bal]]</f>
        <v>-52722.33</v>
      </c>
      <c r="K1220" t="str">
        <f>_xlfn.XLOOKUP(Jnl[[#This Row],[Acct]], config_BS[Acct], config_BS[Lv0],,0)</f>
        <v>A</v>
      </c>
      <c r="L1220" t="str">
        <f>_xlfn.XLOOKUP(Jnl[[#This Row],[Acct]], config_BS[Acct], config_BS[Lv1],,0)</f>
        <v>Assets</v>
      </c>
      <c r="M1220" t="str">
        <f>_xlfn.XLOOKUP(Jnl[[#This Row],[Acct]], config_BS[Acct], config_BS[Lv2],,0)</f>
        <v>Rec-Pay</v>
      </c>
      <c r="N1220" t="str">
        <f>_xlfn.XLOOKUP(Jnl[[#This Row],[TrxId]], Trx[Id], Trx[IncNode], ,0)</f>
        <v>Revenue</v>
      </c>
      <c r="O1220" t="str">
        <f>_xlfn.XLOOKUP(Jnl[[#This Row],[IncNode]], config_IS[Node], config_IS[Type],,0)</f>
        <v>Op</v>
      </c>
      <c r="P1220" t="str">
        <f>_xlfn.XLOOKUP(Jnl[[#This Row],[BSLv2]], dict[Key], dict[Name],,0)</f>
        <v>1.应收-应付</v>
      </c>
      <c r="Q1220" t="str">
        <f>_xlfn.XLOOKUP(Jnl[[#This Row],[Acct]], dict[Key], dict[Name],,0)</f>
        <v>应收-一般</v>
      </c>
      <c r="R1220" t="str">
        <f>_xlfn.XLOOKUP(Jnl[[#This Row],[Vehicle]],config_vehicle[Id], config_vehicle[Name],,0)</f>
        <v>远家文化</v>
      </c>
      <c r="S1220" t="str">
        <f>_xlfn.XLOOKUP(Jnl[[#This Row],[Division]],config_div[Id], config_div[Name],,0)</f>
        <v>明月村</v>
      </c>
      <c r="T1220" t="str">
        <f>IF(Jnl[[#This Row],[TrxDate]]&lt;=stmt_BS_date_end, "In", "Out")</f>
        <v>In</v>
      </c>
      <c r="U1220" t="str">
        <f>IF(Jnl[[#This Row],[TrxDate]]&lt;debug_date_start, "prior", IF(Jnl[[#This Row],[TrxDate]]&gt;debug_date_end, "post", "curr"))</f>
        <v>curr</v>
      </c>
    </row>
    <row r="1221" spans="1:21">
      <c r="A1221" s="11" t="s">
        <v>1653</v>
      </c>
      <c r="B1221" s="7">
        <f>_xlfn.XLOOKUP(Jnl[[#This Row],[TrxId]], Trx[Id], Trx[Date],,0)</f>
        <v>46081</v>
      </c>
      <c r="C1221" s="7" t="str">
        <f>_xlfn.XLOOKUP(Jnl[[#This Row],[TrxId]], Trx[Id], Trx[Division],,0)</f>
        <v>Ctrl</v>
      </c>
      <c r="D1221" s="7" t="str">
        <f>_xlfn.XLOOKUP(Jnl[[#This Row],[TrxId]], Trx[Id], Trx[Action],,0)</f>
        <v>过账</v>
      </c>
      <c r="E1221" s="26" t="s">
        <v>83</v>
      </c>
      <c r="F1221" s="11" t="s">
        <v>590</v>
      </c>
      <c r="G1221" s="11" t="s">
        <v>100</v>
      </c>
      <c r="H1221" s="72">
        <v>100000</v>
      </c>
      <c r="I1221" s="5" t="b">
        <f>AND(Jnl[[#This Row],[TrxId]]&lt;&gt;"",Jnl[[#This Row],[Acct]]&lt;&gt;"",Jnl[[#This Row],[Item]]&lt;&gt;"",ISNUMBER(Jnl[[#This Row],[Bal]]))</f>
        <v>1</v>
      </c>
      <c r="J1221" s="10">
        <f>IF(Jnl[[#This Row],[BSLv0]]="A",1,-1)*Jnl[[#This Row],[Bal]]</f>
        <v>100000</v>
      </c>
      <c r="K1221" t="str">
        <f>_xlfn.XLOOKUP(Jnl[[#This Row],[Acct]], config_BS[Acct], config_BS[Lv0],,0)</f>
        <v>A</v>
      </c>
      <c r="L1221" t="str">
        <f>_xlfn.XLOOKUP(Jnl[[#This Row],[Acct]], config_BS[Acct], config_BS[Lv1],,0)</f>
        <v>Assets</v>
      </c>
      <c r="M1221" t="str">
        <f>_xlfn.XLOOKUP(Jnl[[#This Row],[Acct]], config_BS[Acct], config_BS[Lv2],,0)</f>
        <v>Cash alike</v>
      </c>
      <c r="N1221" t="str">
        <f>_xlfn.XLOOKUP(Jnl[[#This Row],[TrxId]], Trx[Id], Trx[IncNode], ,0)</f>
        <v>Other</v>
      </c>
      <c r="O1221" t="str">
        <f>_xlfn.XLOOKUP(Jnl[[#This Row],[IncNode]], config_IS[Node], config_IS[Type],,0)</f>
        <v>Non-Op</v>
      </c>
      <c r="P1221" t="str">
        <f>_xlfn.XLOOKUP(Jnl[[#This Row],[BSLv2]], dict[Key], dict[Name],,0)</f>
        <v>0.现金及类似</v>
      </c>
      <c r="Q1221" t="str">
        <f>_xlfn.XLOOKUP(Jnl[[#This Row],[Acct]], dict[Key], dict[Name],,0)</f>
        <v>银行</v>
      </c>
      <c r="R1221" t="str">
        <f>_xlfn.XLOOKUP(Jnl[[#This Row],[Vehicle]],config_vehicle[Id], config_vehicle[Name],,0)</f>
        <v>远家文化</v>
      </c>
      <c r="S1221" t="str">
        <f>_xlfn.XLOOKUP(Jnl[[#This Row],[Division]],config_div[Id], config_div[Name],,0)</f>
        <v>内控合规</v>
      </c>
      <c r="T1221" t="str">
        <f>IF(Jnl[[#This Row],[TrxDate]]&lt;=stmt_BS_date_end, "In", "Out")</f>
        <v>In</v>
      </c>
      <c r="U1221" t="str">
        <f>IF(Jnl[[#This Row],[TrxDate]]&lt;debug_date_start, "prior", IF(Jnl[[#This Row],[TrxDate]]&gt;debug_date_end, "post", "curr"))</f>
        <v>curr</v>
      </c>
    </row>
    <row r="1222" spans="1:21">
      <c r="A1222" s="11" t="s">
        <v>1653</v>
      </c>
      <c r="B1222" s="7">
        <f>_xlfn.XLOOKUP(Jnl[[#This Row],[TrxId]], Trx[Id], Trx[Date],,0)</f>
        <v>46081</v>
      </c>
      <c r="C1222" s="7" t="str">
        <f>_xlfn.XLOOKUP(Jnl[[#This Row],[TrxId]], Trx[Id], Trx[Division],,0)</f>
        <v>Ctrl</v>
      </c>
      <c r="D1222" s="7" t="str">
        <f>_xlfn.XLOOKUP(Jnl[[#This Row],[TrxId]], Trx[Id], Trx[Action],,0)</f>
        <v>过账</v>
      </c>
      <c r="E1222" s="26" t="s">
        <v>107</v>
      </c>
      <c r="F1222" s="11" t="s">
        <v>590</v>
      </c>
      <c r="G1222" s="11" t="s">
        <v>101</v>
      </c>
      <c r="H1222" s="72">
        <v>-100000</v>
      </c>
      <c r="I1222" s="5" t="b">
        <f>AND(Jnl[[#This Row],[TrxId]]&lt;&gt;"",Jnl[[#This Row],[Acct]]&lt;&gt;"",Jnl[[#This Row],[Item]]&lt;&gt;"",ISNUMBER(Jnl[[#This Row],[Bal]]))</f>
        <v>1</v>
      </c>
      <c r="J1222" s="10">
        <f>IF(Jnl[[#This Row],[BSLv0]]="A",1,-1)*Jnl[[#This Row],[Bal]]</f>
        <v>-100000</v>
      </c>
      <c r="K1222" t="str">
        <f>_xlfn.XLOOKUP(Jnl[[#This Row],[Acct]], config_BS[Acct], config_BS[Lv0],,0)</f>
        <v>A</v>
      </c>
      <c r="L1222" t="str">
        <f>_xlfn.XLOOKUP(Jnl[[#This Row],[Acct]], config_BS[Acct], config_BS[Lv1],,0)</f>
        <v>Assets</v>
      </c>
      <c r="M1222" t="str">
        <f>_xlfn.XLOOKUP(Jnl[[#This Row],[Acct]], config_BS[Acct], config_BS[Lv2],,0)</f>
        <v>Cash alike</v>
      </c>
      <c r="N1222" t="str">
        <f>_xlfn.XLOOKUP(Jnl[[#This Row],[TrxId]], Trx[Id], Trx[IncNode], ,0)</f>
        <v>Other</v>
      </c>
      <c r="O1222" t="str">
        <f>_xlfn.XLOOKUP(Jnl[[#This Row],[IncNode]], config_IS[Node], config_IS[Type],,0)</f>
        <v>Non-Op</v>
      </c>
      <c r="P1222" t="str">
        <f>_xlfn.XLOOKUP(Jnl[[#This Row],[BSLv2]], dict[Key], dict[Name],,0)</f>
        <v>0.现金及类似</v>
      </c>
      <c r="Q1222" t="str">
        <f>_xlfn.XLOOKUP(Jnl[[#This Row],[Acct]], dict[Key], dict[Name],,0)</f>
        <v>银行</v>
      </c>
      <c r="R1222" t="str">
        <f>_xlfn.XLOOKUP(Jnl[[#This Row],[Vehicle]],config_vehicle[Id], config_vehicle[Name],,0)</f>
        <v>远家文化蒲江分公司</v>
      </c>
      <c r="S1222" t="str">
        <f>_xlfn.XLOOKUP(Jnl[[#This Row],[Division]],config_div[Id], config_div[Name],,0)</f>
        <v>内控合规</v>
      </c>
      <c r="T1222" t="str">
        <f>IF(Jnl[[#This Row],[TrxDate]]&lt;=stmt_BS_date_end, "In", "Out")</f>
        <v>In</v>
      </c>
      <c r="U1222" t="str">
        <f>IF(Jnl[[#This Row],[TrxDate]]&lt;debug_date_start, "prior", IF(Jnl[[#This Row],[TrxDate]]&gt;debug_date_end, "post", "curr"))</f>
        <v>curr</v>
      </c>
    </row>
    <row r="1223" spans="1:21">
      <c r="A1223" s="11" t="s">
        <v>1655</v>
      </c>
      <c r="B1223" s="7">
        <f>_xlfn.XLOOKUP(Jnl[[#This Row],[TrxId]], Trx[Id], Trx[Date],,0)</f>
        <v>46081</v>
      </c>
      <c r="C1223" s="7" t="str">
        <f>_xlfn.XLOOKUP(Jnl[[#This Row],[TrxId]], Trx[Id], Trx[Division],,0)</f>
        <v>MY</v>
      </c>
      <c r="D1223" s="7" t="str">
        <f>_xlfn.XLOOKUP(Jnl[[#This Row],[TrxId]], Trx[Id], Trx[Action],,0)</f>
        <v>支付</v>
      </c>
      <c r="E1223" s="26" t="s">
        <v>83</v>
      </c>
      <c r="F1223" s="11" t="s">
        <v>590</v>
      </c>
      <c r="G1223" s="11" t="s">
        <v>100</v>
      </c>
      <c r="H1223" s="72">
        <v>-224.7</v>
      </c>
      <c r="I1223" s="5" t="b">
        <f>AND(Jnl[[#This Row],[TrxId]]&lt;&gt;"",Jnl[[#This Row],[Acct]]&lt;&gt;"",Jnl[[#This Row],[Item]]&lt;&gt;"",ISNUMBER(Jnl[[#This Row],[Bal]]))</f>
        <v>1</v>
      </c>
      <c r="J1223" s="10">
        <f>IF(Jnl[[#This Row],[BSLv0]]="A",1,-1)*Jnl[[#This Row],[Bal]]</f>
        <v>-224.7</v>
      </c>
      <c r="K1223" t="str">
        <f>_xlfn.XLOOKUP(Jnl[[#This Row],[Acct]], config_BS[Acct], config_BS[Lv0],,0)</f>
        <v>A</v>
      </c>
      <c r="L1223" t="str">
        <f>_xlfn.XLOOKUP(Jnl[[#This Row],[Acct]], config_BS[Acct], config_BS[Lv1],,0)</f>
        <v>Assets</v>
      </c>
      <c r="M1223" t="str">
        <f>_xlfn.XLOOKUP(Jnl[[#This Row],[Acct]], config_BS[Acct], config_BS[Lv2],,0)</f>
        <v>Cash alike</v>
      </c>
      <c r="N1223" t="str">
        <f>_xlfn.XLOOKUP(Jnl[[#This Row],[TrxId]], Trx[Id], Trx[IncNode], ,0)</f>
        <v>Expense</v>
      </c>
      <c r="O1223" t="str">
        <f>_xlfn.XLOOKUP(Jnl[[#This Row],[IncNode]], config_IS[Node], config_IS[Type],,0)</f>
        <v>Op</v>
      </c>
      <c r="P1223" t="str">
        <f>_xlfn.XLOOKUP(Jnl[[#This Row],[BSLv2]], dict[Key], dict[Name],,0)</f>
        <v>0.现金及类似</v>
      </c>
      <c r="Q1223" t="str">
        <f>_xlfn.XLOOKUP(Jnl[[#This Row],[Acct]], dict[Key], dict[Name],,0)</f>
        <v>银行</v>
      </c>
      <c r="R1223" t="str">
        <f>_xlfn.XLOOKUP(Jnl[[#This Row],[Vehicle]],config_vehicle[Id], config_vehicle[Name],,0)</f>
        <v>远家文化</v>
      </c>
      <c r="S1223" t="str">
        <f>_xlfn.XLOOKUP(Jnl[[#This Row],[Division]],config_div[Id], config_div[Name],,0)</f>
        <v>明月村</v>
      </c>
      <c r="T1223" t="str">
        <f>IF(Jnl[[#This Row],[TrxDate]]&lt;=stmt_BS_date_end, "In", "Out")</f>
        <v>In</v>
      </c>
      <c r="U1223" t="str">
        <f>IF(Jnl[[#This Row],[TrxDate]]&lt;debug_date_start, "prior", IF(Jnl[[#This Row],[TrxDate]]&gt;debug_date_end, "post", "curr"))</f>
        <v>curr</v>
      </c>
    </row>
    <row r="1224" spans="1:21">
      <c r="A1224" s="11" t="s">
        <v>1655</v>
      </c>
      <c r="B1224" s="7">
        <f>_xlfn.XLOOKUP(Jnl[[#This Row],[TrxId]], Trx[Id], Trx[Date],,0)</f>
        <v>46081</v>
      </c>
      <c r="C1224" s="7" t="str">
        <f>_xlfn.XLOOKUP(Jnl[[#This Row],[TrxId]], Trx[Id], Trx[Division],,0)</f>
        <v>MY</v>
      </c>
      <c r="D1224" s="7" t="str">
        <f>_xlfn.XLOOKUP(Jnl[[#This Row],[TrxId]], Trx[Id], Trx[Action],,0)</f>
        <v>支付</v>
      </c>
      <c r="E1224" s="26" t="s">
        <v>83</v>
      </c>
      <c r="F1224" s="11" t="s">
        <v>127</v>
      </c>
      <c r="G1224" s="11" t="s">
        <v>343</v>
      </c>
      <c r="H1224" s="72">
        <v>-224.7</v>
      </c>
      <c r="I1224" s="5" t="b">
        <f>AND(Jnl[[#This Row],[TrxId]]&lt;&gt;"",Jnl[[#This Row],[Acct]]&lt;&gt;"",Jnl[[#This Row],[Item]]&lt;&gt;"",ISNUMBER(Jnl[[#This Row],[Bal]]))</f>
        <v>1</v>
      </c>
      <c r="J1224" s="10">
        <f>IF(Jnl[[#This Row],[BSLv0]]="A",1,-1)*Jnl[[#This Row],[Bal]]</f>
        <v>224.7</v>
      </c>
      <c r="K1224" t="str">
        <f>_xlfn.XLOOKUP(Jnl[[#This Row],[Acct]], config_BS[Acct], config_BS[Lv0],,0)</f>
        <v>LC</v>
      </c>
      <c r="L1224" t="str">
        <f>_xlfn.XLOOKUP(Jnl[[#This Row],[Acct]], config_BS[Acct], config_BS[Lv1],,0)</f>
        <v>Liability</v>
      </c>
      <c r="M1224" t="str">
        <f>_xlfn.XLOOKUP(Jnl[[#This Row],[Acct]], config_BS[Acct], config_BS[Lv2],,0)</f>
        <v>Rec-Pay</v>
      </c>
      <c r="N1224" t="str">
        <f>_xlfn.XLOOKUP(Jnl[[#This Row],[TrxId]], Trx[Id], Trx[IncNode], ,0)</f>
        <v>Expense</v>
      </c>
      <c r="O1224" t="str">
        <f>_xlfn.XLOOKUP(Jnl[[#This Row],[IncNode]], config_IS[Node], config_IS[Type],,0)</f>
        <v>Op</v>
      </c>
      <c r="P1224" t="str">
        <f>_xlfn.XLOOKUP(Jnl[[#This Row],[BSLv2]], dict[Key], dict[Name],,0)</f>
        <v>1.应收-应付</v>
      </c>
      <c r="Q1224" t="str">
        <f>_xlfn.XLOOKUP(Jnl[[#This Row],[Acct]], dict[Key], dict[Name],,0)</f>
        <v>应付-税款</v>
      </c>
      <c r="R1224" t="str">
        <f>_xlfn.XLOOKUP(Jnl[[#This Row],[Vehicle]],config_vehicle[Id], config_vehicle[Name],,0)</f>
        <v>远家文化</v>
      </c>
      <c r="S1224" t="str">
        <f>_xlfn.XLOOKUP(Jnl[[#This Row],[Division]],config_div[Id], config_div[Name],,0)</f>
        <v>明月村</v>
      </c>
      <c r="T1224" t="str">
        <f>IF(Jnl[[#This Row],[TrxDate]]&lt;=stmt_BS_date_end, "In", "Out")</f>
        <v>In</v>
      </c>
      <c r="U1224" t="str">
        <f>IF(Jnl[[#This Row],[TrxDate]]&lt;debug_date_start, "prior", IF(Jnl[[#This Row],[TrxDate]]&gt;debug_date_end, "post", "curr"))</f>
        <v>curr</v>
      </c>
    </row>
    <row r="1225" spans="1:21">
      <c r="A1225" s="11" t="s">
        <v>1656</v>
      </c>
      <c r="B1225" s="7">
        <f>_xlfn.XLOOKUP(Jnl[[#This Row],[TrxId]], Trx[Id], Trx[Date],,0)</f>
        <v>46081</v>
      </c>
      <c r="C1225" s="7" t="str">
        <f>_xlfn.XLOOKUP(Jnl[[#This Row],[TrxId]], Trx[Id], Trx[Division],,0)</f>
        <v>MY</v>
      </c>
      <c r="D1225" s="7" t="str">
        <f>_xlfn.XLOOKUP(Jnl[[#This Row],[TrxId]], Trx[Id], Trx[Action],,0)</f>
        <v>交通</v>
      </c>
      <c r="E1225" s="26" t="s">
        <v>83</v>
      </c>
      <c r="F1225" s="11" t="s">
        <v>590</v>
      </c>
      <c r="G1225" s="11" t="s">
        <v>100</v>
      </c>
      <c r="H1225" s="72">
        <v>-248.55</v>
      </c>
      <c r="I1225" s="5" t="b">
        <f>AND(Jnl[[#This Row],[TrxId]]&lt;&gt;"",Jnl[[#This Row],[Acct]]&lt;&gt;"",Jnl[[#This Row],[Item]]&lt;&gt;"",ISNUMBER(Jnl[[#This Row],[Bal]]))</f>
        <v>1</v>
      </c>
      <c r="J1225" s="10">
        <f>IF(Jnl[[#This Row],[BSLv0]]="A",1,-1)*Jnl[[#This Row],[Bal]]</f>
        <v>-248.55</v>
      </c>
      <c r="K1225" t="str">
        <f>_xlfn.XLOOKUP(Jnl[[#This Row],[Acct]], config_BS[Acct], config_BS[Lv0],,0)</f>
        <v>A</v>
      </c>
      <c r="L1225" t="str">
        <f>_xlfn.XLOOKUP(Jnl[[#This Row],[Acct]], config_BS[Acct], config_BS[Lv1],,0)</f>
        <v>Assets</v>
      </c>
      <c r="M1225" t="str">
        <f>_xlfn.XLOOKUP(Jnl[[#This Row],[Acct]], config_BS[Acct], config_BS[Lv2],,0)</f>
        <v>Cash alike</v>
      </c>
      <c r="N1225" t="str">
        <f>_xlfn.XLOOKUP(Jnl[[#This Row],[TrxId]], Trx[Id], Trx[IncNode], ,0)</f>
        <v>Expense</v>
      </c>
      <c r="O1225" t="str">
        <f>_xlfn.XLOOKUP(Jnl[[#This Row],[IncNode]], config_IS[Node], config_IS[Type],,0)</f>
        <v>Op</v>
      </c>
      <c r="P1225" t="str">
        <f>_xlfn.XLOOKUP(Jnl[[#This Row],[BSLv2]], dict[Key], dict[Name],,0)</f>
        <v>0.现金及类似</v>
      </c>
      <c r="Q1225" t="str">
        <f>_xlfn.XLOOKUP(Jnl[[#This Row],[Acct]], dict[Key], dict[Name],,0)</f>
        <v>银行</v>
      </c>
      <c r="R1225" t="str">
        <f>_xlfn.XLOOKUP(Jnl[[#This Row],[Vehicle]],config_vehicle[Id], config_vehicle[Name],,0)</f>
        <v>远家文化</v>
      </c>
      <c r="S1225" t="str">
        <f>_xlfn.XLOOKUP(Jnl[[#This Row],[Division]],config_div[Id], config_div[Name],,0)</f>
        <v>明月村</v>
      </c>
      <c r="T1225" t="str">
        <f>IF(Jnl[[#This Row],[TrxDate]]&lt;=stmt_BS_date_end, "In", "Out")</f>
        <v>In</v>
      </c>
      <c r="U1225" t="str">
        <f>IF(Jnl[[#This Row],[TrxDate]]&lt;debug_date_start, "prior", IF(Jnl[[#This Row],[TrxDate]]&gt;debug_date_end, "post", "curr"))</f>
        <v>curr</v>
      </c>
    </row>
    <row r="1226" spans="1:21">
      <c r="A1226" s="11" t="s">
        <v>1657</v>
      </c>
      <c r="B1226" s="7">
        <f>_xlfn.XLOOKUP(Jnl[[#This Row],[TrxId]], Trx[Id], Trx[Date],,0)</f>
        <v>46081</v>
      </c>
      <c r="C1226" s="7" t="str">
        <f>_xlfn.XLOOKUP(Jnl[[#This Row],[TrxId]], Trx[Id], Trx[Division],,0)</f>
        <v>MY</v>
      </c>
      <c r="D1226" s="7" t="str">
        <f>_xlfn.XLOOKUP(Jnl[[#This Row],[TrxId]], Trx[Id], Trx[Action],,0)</f>
        <v>收款</v>
      </c>
      <c r="E1226" s="26" t="s">
        <v>83</v>
      </c>
      <c r="F1226" s="11" t="s">
        <v>590</v>
      </c>
      <c r="G1226" s="11" t="s">
        <v>100</v>
      </c>
      <c r="H1226" s="72">
        <v>1587</v>
      </c>
      <c r="I1226" s="5" t="b">
        <f>AND(Jnl[[#This Row],[TrxId]]&lt;&gt;"",Jnl[[#This Row],[Acct]]&lt;&gt;"",Jnl[[#This Row],[Item]]&lt;&gt;"",ISNUMBER(Jnl[[#This Row],[Bal]]))</f>
        <v>1</v>
      </c>
      <c r="J1226" s="10">
        <f>IF(Jnl[[#This Row],[BSLv0]]="A",1,-1)*Jnl[[#This Row],[Bal]]</f>
        <v>1587</v>
      </c>
      <c r="K1226" t="str">
        <f>_xlfn.XLOOKUP(Jnl[[#This Row],[Acct]], config_BS[Acct], config_BS[Lv0],,0)</f>
        <v>A</v>
      </c>
      <c r="L1226" t="str">
        <f>_xlfn.XLOOKUP(Jnl[[#This Row],[Acct]], config_BS[Acct], config_BS[Lv1],,0)</f>
        <v>Assets</v>
      </c>
      <c r="M1226" t="str">
        <f>_xlfn.XLOOKUP(Jnl[[#This Row],[Acct]], config_BS[Acct], config_BS[Lv2],,0)</f>
        <v>Cash alike</v>
      </c>
      <c r="N1226" t="str">
        <f>_xlfn.XLOOKUP(Jnl[[#This Row],[TrxId]], Trx[Id], Trx[IncNode], ,0)</f>
        <v>Revenue</v>
      </c>
      <c r="O1226" t="str">
        <f>_xlfn.XLOOKUP(Jnl[[#This Row],[IncNode]], config_IS[Node], config_IS[Type],,0)</f>
        <v>Op</v>
      </c>
      <c r="P1226" t="str">
        <f>_xlfn.XLOOKUP(Jnl[[#This Row],[BSLv2]], dict[Key], dict[Name],,0)</f>
        <v>0.现金及类似</v>
      </c>
      <c r="Q1226" t="str">
        <f>_xlfn.XLOOKUP(Jnl[[#This Row],[Acct]], dict[Key], dict[Name],,0)</f>
        <v>银行</v>
      </c>
      <c r="R1226" t="str">
        <f>_xlfn.XLOOKUP(Jnl[[#This Row],[Vehicle]],config_vehicle[Id], config_vehicle[Name],,0)</f>
        <v>远家文化</v>
      </c>
      <c r="S1226" t="str">
        <f>_xlfn.XLOOKUP(Jnl[[#This Row],[Division]],config_div[Id], config_div[Name],,0)</f>
        <v>明月村</v>
      </c>
      <c r="T1226" t="str">
        <f>IF(Jnl[[#This Row],[TrxDate]]&lt;=stmt_BS_date_end, "In", "Out")</f>
        <v>In</v>
      </c>
      <c r="U1226" t="str">
        <f>IF(Jnl[[#This Row],[TrxDate]]&lt;debug_date_start, "prior", IF(Jnl[[#This Row],[TrxDate]]&gt;debug_date_end, "post", "curr"))</f>
        <v>curr</v>
      </c>
    </row>
    <row r="1227" spans="1:21">
      <c r="A1227" s="11" t="s">
        <v>1657</v>
      </c>
      <c r="B1227" s="7">
        <f>_xlfn.XLOOKUP(Jnl[[#This Row],[TrxId]], Trx[Id], Trx[Date],,0)</f>
        <v>46081</v>
      </c>
      <c r="C1227" s="7" t="str">
        <f>_xlfn.XLOOKUP(Jnl[[#This Row],[TrxId]], Trx[Id], Trx[Division],,0)</f>
        <v>MY</v>
      </c>
      <c r="D1227" s="7" t="str">
        <f>_xlfn.XLOOKUP(Jnl[[#This Row],[TrxId]], Trx[Id], Trx[Action],,0)</f>
        <v>收款</v>
      </c>
      <c r="E1227" s="26" t="s">
        <v>83</v>
      </c>
      <c r="F1227" s="11" t="s">
        <v>593</v>
      </c>
      <c r="G1227" s="11" t="s">
        <v>947</v>
      </c>
      <c r="H1227" s="72">
        <v>-1587</v>
      </c>
      <c r="I1227" s="5" t="b">
        <f>AND(Jnl[[#This Row],[TrxId]]&lt;&gt;"",Jnl[[#This Row],[Acct]]&lt;&gt;"",Jnl[[#This Row],[Item]]&lt;&gt;"",ISNUMBER(Jnl[[#This Row],[Bal]]))</f>
        <v>1</v>
      </c>
      <c r="J1227" s="10">
        <f>IF(Jnl[[#This Row],[BSLv0]]="A",1,-1)*Jnl[[#This Row],[Bal]]</f>
        <v>-1587</v>
      </c>
      <c r="K1227" t="str">
        <f>_xlfn.XLOOKUP(Jnl[[#This Row],[Acct]], config_BS[Acct], config_BS[Lv0],,0)</f>
        <v>A</v>
      </c>
      <c r="L1227" t="str">
        <f>_xlfn.XLOOKUP(Jnl[[#This Row],[Acct]], config_BS[Acct], config_BS[Lv1],,0)</f>
        <v>Assets</v>
      </c>
      <c r="M1227" t="str">
        <f>_xlfn.XLOOKUP(Jnl[[#This Row],[Acct]], config_BS[Acct], config_BS[Lv2],,0)</f>
        <v>Rec-Pay</v>
      </c>
      <c r="N1227" t="str">
        <f>_xlfn.XLOOKUP(Jnl[[#This Row],[TrxId]], Trx[Id], Trx[IncNode], ,0)</f>
        <v>Revenue</v>
      </c>
      <c r="O1227" t="str">
        <f>_xlfn.XLOOKUP(Jnl[[#This Row],[IncNode]], config_IS[Node], config_IS[Type],,0)</f>
        <v>Op</v>
      </c>
      <c r="P1227" t="str">
        <f>_xlfn.XLOOKUP(Jnl[[#This Row],[BSLv2]], dict[Key], dict[Name],,0)</f>
        <v>1.应收-应付</v>
      </c>
      <c r="Q1227" t="str">
        <f>_xlfn.XLOOKUP(Jnl[[#This Row],[Acct]], dict[Key], dict[Name],,0)</f>
        <v>应收-一般</v>
      </c>
      <c r="R1227" t="str">
        <f>_xlfn.XLOOKUP(Jnl[[#This Row],[Vehicle]],config_vehicle[Id], config_vehicle[Name],,0)</f>
        <v>远家文化</v>
      </c>
      <c r="S1227" t="str">
        <f>_xlfn.XLOOKUP(Jnl[[#This Row],[Division]],config_div[Id], config_div[Name],,0)</f>
        <v>明月村</v>
      </c>
      <c r="T1227" t="str">
        <f>IF(Jnl[[#This Row],[TrxDate]]&lt;=stmt_BS_date_end, "In", "Out")</f>
        <v>In</v>
      </c>
      <c r="U1227" t="str">
        <f>IF(Jnl[[#This Row],[TrxDate]]&lt;debug_date_start, "prior", IF(Jnl[[#This Row],[TrxDate]]&gt;debug_date_end, "post", "curr"))</f>
        <v>curr</v>
      </c>
    </row>
    <row r="1228" spans="1:21">
      <c r="A1228" s="11" t="s">
        <v>1658</v>
      </c>
      <c r="B1228" s="7">
        <f>_xlfn.XLOOKUP(Jnl[[#This Row],[TrxId]], Trx[Id], Trx[Date],,0)</f>
        <v>46081</v>
      </c>
      <c r="C1228" s="7" t="str">
        <f>_xlfn.XLOOKUP(Jnl[[#This Row],[TrxId]], Trx[Id], Trx[Division],,0)</f>
        <v>MY</v>
      </c>
      <c r="D1228" s="7" t="str">
        <f>_xlfn.XLOOKUP(Jnl[[#This Row],[TrxId]], Trx[Id], Trx[Action],,0)</f>
        <v>其他材料</v>
      </c>
      <c r="E1228" s="26" t="s">
        <v>83</v>
      </c>
      <c r="F1228" s="11" t="s">
        <v>590</v>
      </c>
      <c r="G1228" s="11" t="s">
        <v>100</v>
      </c>
      <c r="H1228" s="72">
        <v>-3062.5</v>
      </c>
      <c r="I1228" s="5" t="b">
        <f>AND(Jnl[[#This Row],[TrxId]]&lt;&gt;"",Jnl[[#This Row],[Acct]]&lt;&gt;"",Jnl[[#This Row],[Item]]&lt;&gt;"",ISNUMBER(Jnl[[#This Row],[Bal]]))</f>
        <v>1</v>
      </c>
      <c r="J1228" s="10">
        <f>IF(Jnl[[#This Row],[BSLv0]]="A",1,-1)*Jnl[[#This Row],[Bal]]</f>
        <v>-3062.5</v>
      </c>
      <c r="K1228" t="str">
        <f>_xlfn.XLOOKUP(Jnl[[#This Row],[Acct]], config_BS[Acct], config_BS[Lv0],,0)</f>
        <v>A</v>
      </c>
      <c r="L1228" t="str">
        <f>_xlfn.XLOOKUP(Jnl[[#This Row],[Acct]], config_BS[Acct], config_BS[Lv1],,0)</f>
        <v>Assets</v>
      </c>
      <c r="M1228" t="str">
        <f>_xlfn.XLOOKUP(Jnl[[#This Row],[Acct]], config_BS[Acct], config_BS[Lv2],,0)</f>
        <v>Cash alike</v>
      </c>
      <c r="N1228" t="str">
        <f>_xlfn.XLOOKUP(Jnl[[#This Row],[TrxId]], Trx[Id], Trx[IncNode], ,0)</f>
        <v>Cost</v>
      </c>
      <c r="O1228" t="str">
        <f>_xlfn.XLOOKUP(Jnl[[#This Row],[IncNode]], config_IS[Node], config_IS[Type],,0)</f>
        <v>Op</v>
      </c>
      <c r="P1228" t="str">
        <f>_xlfn.XLOOKUP(Jnl[[#This Row],[BSLv2]], dict[Key], dict[Name],,0)</f>
        <v>0.现金及类似</v>
      </c>
      <c r="Q1228" t="str">
        <f>_xlfn.XLOOKUP(Jnl[[#This Row],[Acct]], dict[Key], dict[Name],,0)</f>
        <v>银行</v>
      </c>
      <c r="R1228" t="str">
        <f>_xlfn.XLOOKUP(Jnl[[#This Row],[Vehicle]],config_vehicle[Id], config_vehicle[Name],,0)</f>
        <v>远家文化</v>
      </c>
      <c r="S1228" t="str">
        <f>_xlfn.XLOOKUP(Jnl[[#This Row],[Division]],config_div[Id], config_div[Name],,0)</f>
        <v>明月村</v>
      </c>
      <c r="T1228" t="str">
        <f>IF(Jnl[[#This Row],[TrxDate]]&lt;=stmt_BS_date_end, "In", "Out")</f>
        <v>In</v>
      </c>
      <c r="U1228" t="str">
        <f>IF(Jnl[[#This Row],[TrxDate]]&lt;debug_date_start, "prior", IF(Jnl[[#This Row],[TrxDate]]&gt;debug_date_end, "post", "curr"))</f>
        <v>curr</v>
      </c>
    </row>
    <row r="1229" spans="1:21">
      <c r="A1229" s="11" t="s">
        <v>1660</v>
      </c>
      <c r="B1229" s="7">
        <f>_xlfn.XLOOKUP(Jnl[[#This Row],[TrxId]], Trx[Id], Trx[Date],,0)</f>
        <v>46081</v>
      </c>
      <c r="C1229" s="7" t="str">
        <f>_xlfn.XLOOKUP(Jnl[[#This Row],[TrxId]], Trx[Id], Trx[Division],,0)</f>
        <v>MY</v>
      </c>
      <c r="D1229" s="7" t="str">
        <f>_xlfn.XLOOKUP(Jnl[[#This Row],[TrxId]], Trx[Id], Trx[Action],,0)</f>
        <v>临时人力</v>
      </c>
      <c r="E1229" s="26" t="s">
        <v>83</v>
      </c>
      <c r="F1229" s="11" t="s">
        <v>590</v>
      </c>
      <c r="G1229" s="11" t="s">
        <v>100</v>
      </c>
      <c r="H1229" s="72">
        <v>-377</v>
      </c>
      <c r="I1229" s="5" t="b">
        <f>AND(Jnl[[#This Row],[TrxId]]&lt;&gt;"",Jnl[[#This Row],[Acct]]&lt;&gt;"",Jnl[[#This Row],[Item]]&lt;&gt;"",ISNUMBER(Jnl[[#This Row],[Bal]]))</f>
        <v>1</v>
      </c>
      <c r="J1229" s="10">
        <f>IF(Jnl[[#This Row],[BSLv0]]="A",1,-1)*Jnl[[#This Row],[Bal]]</f>
        <v>-377</v>
      </c>
      <c r="K1229" t="str">
        <f>_xlfn.XLOOKUP(Jnl[[#This Row],[Acct]], config_BS[Acct], config_BS[Lv0],,0)</f>
        <v>A</v>
      </c>
      <c r="L1229" t="str">
        <f>_xlfn.XLOOKUP(Jnl[[#This Row],[Acct]], config_BS[Acct], config_BS[Lv1],,0)</f>
        <v>Assets</v>
      </c>
      <c r="M1229" t="str">
        <f>_xlfn.XLOOKUP(Jnl[[#This Row],[Acct]], config_BS[Acct], config_BS[Lv2],,0)</f>
        <v>Cash alike</v>
      </c>
      <c r="N1229" t="str">
        <f>_xlfn.XLOOKUP(Jnl[[#This Row],[TrxId]], Trx[Id], Trx[IncNode], ,0)</f>
        <v>Expense</v>
      </c>
      <c r="O1229" t="str">
        <f>_xlfn.XLOOKUP(Jnl[[#This Row],[IncNode]], config_IS[Node], config_IS[Type],,0)</f>
        <v>Op</v>
      </c>
      <c r="P1229" t="str">
        <f>_xlfn.XLOOKUP(Jnl[[#This Row],[BSLv2]], dict[Key], dict[Name],,0)</f>
        <v>0.现金及类似</v>
      </c>
      <c r="Q1229" t="str">
        <f>_xlfn.XLOOKUP(Jnl[[#This Row],[Acct]], dict[Key], dict[Name],,0)</f>
        <v>银行</v>
      </c>
      <c r="R1229" t="str">
        <f>_xlfn.XLOOKUP(Jnl[[#This Row],[Vehicle]],config_vehicle[Id], config_vehicle[Name],,0)</f>
        <v>远家文化</v>
      </c>
      <c r="S1229" t="str">
        <f>_xlfn.XLOOKUP(Jnl[[#This Row],[Division]],config_div[Id], config_div[Name],,0)</f>
        <v>明月村</v>
      </c>
      <c r="T1229" t="str">
        <f>IF(Jnl[[#This Row],[TrxDate]]&lt;=stmt_BS_date_end, "In", "Out")</f>
        <v>In</v>
      </c>
      <c r="U1229" t="str">
        <f>IF(Jnl[[#This Row],[TrxDate]]&lt;debug_date_start, "prior", IF(Jnl[[#This Row],[TrxDate]]&gt;debug_date_end, "post", "curr"))</f>
        <v>curr</v>
      </c>
    </row>
    <row r="1230" spans="1:21">
      <c r="A1230" s="11" t="s">
        <v>1661</v>
      </c>
      <c r="B1230" s="7">
        <f>_xlfn.XLOOKUP(Jnl[[#This Row],[TrxId]], Trx[Id], Trx[Date],,0)</f>
        <v>46081</v>
      </c>
      <c r="C1230" s="7" t="str">
        <f>_xlfn.XLOOKUP(Jnl[[#This Row],[TrxId]], Trx[Id], Trx[Division],,0)</f>
        <v>MY</v>
      </c>
      <c r="D1230" s="7" t="str">
        <f>_xlfn.XLOOKUP(Jnl[[#This Row],[TrxId]], Trx[Id], Trx[Action],,0)</f>
        <v>支付</v>
      </c>
      <c r="E1230" s="26" t="s">
        <v>83</v>
      </c>
      <c r="F1230" s="11" t="s">
        <v>590</v>
      </c>
      <c r="G1230" s="11" t="s">
        <v>100</v>
      </c>
      <c r="H1230" s="72">
        <v>-4704.7</v>
      </c>
      <c r="I1230" s="5" t="b">
        <f>AND(Jnl[[#This Row],[TrxId]]&lt;&gt;"",Jnl[[#This Row],[Acct]]&lt;&gt;"",Jnl[[#This Row],[Item]]&lt;&gt;"",ISNUMBER(Jnl[[#This Row],[Bal]]))</f>
        <v>1</v>
      </c>
      <c r="J1230" s="10">
        <f>IF(Jnl[[#This Row],[BSLv0]]="A",1,-1)*Jnl[[#This Row],[Bal]]</f>
        <v>-4704.7</v>
      </c>
      <c r="K1230" t="str">
        <f>_xlfn.XLOOKUP(Jnl[[#This Row],[Acct]], config_BS[Acct], config_BS[Lv0],,0)</f>
        <v>A</v>
      </c>
      <c r="L1230" t="str">
        <f>_xlfn.XLOOKUP(Jnl[[#This Row],[Acct]], config_BS[Acct], config_BS[Lv1],,0)</f>
        <v>Assets</v>
      </c>
      <c r="M1230" t="str">
        <f>_xlfn.XLOOKUP(Jnl[[#This Row],[Acct]], config_BS[Acct], config_BS[Lv2],,0)</f>
        <v>Cash alike</v>
      </c>
      <c r="N1230" t="str">
        <f>_xlfn.XLOOKUP(Jnl[[#This Row],[TrxId]], Trx[Id], Trx[IncNode], ,0)</f>
        <v>Cost</v>
      </c>
      <c r="O1230" t="str">
        <f>_xlfn.XLOOKUP(Jnl[[#This Row],[IncNode]], config_IS[Node], config_IS[Type],,0)</f>
        <v>Op</v>
      </c>
      <c r="P1230" t="str">
        <f>_xlfn.XLOOKUP(Jnl[[#This Row],[BSLv2]], dict[Key], dict[Name],,0)</f>
        <v>0.现金及类似</v>
      </c>
      <c r="Q1230" t="str">
        <f>_xlfn.XLOOKUP(Jnl[[#This Row],[Acct]], dict[Key], dict[Name],,0)</f>
        <v>银行</v>
      </c>
      <c r="R1230" t="str">
        <f>_xlfn.XLOOKUP(Jnl[[#This Row],[Vehicle]],config_vehicle[Id], config_vehicle[Name],,0)</f>
        <v>远家文化</v>
      </c>
      <c r="S1230" t="str">
        <f>_xlfn.XLOOKUP(Jnl[[#This Row],[Division]],config_div[Id], config_div[Name],,0)</f>
        <v>明月村</v>
      </c>
      <c r="T1230" t="str">
        <f>IF(Jnl[[#This Row],[TrxDate]]&lt;=stmt_BS_date_end, "In", "Out")</f>
        <v>In</v>
      </c>
      <c r="U1230" t="str">
        <f>IF(Jnl[[#This Row],[TrxDate]]&lt;debug_date_start, "prior", IF(Jnl[[#This Row],[TrxDate]]&gt;debug_date_end, "post", "curr"))</f>
        <v>curr</v>
      </c>
    </row>
    <row r="1231" spans="1:21">
      <c r="A1231" s="11" t="s">
        <v>1661</v>
      </c>
      <c r="B1231" s="7">
        <f>_xlfn.XLOOKUP(Jnl[[#This Row],[TrxId]], Trx[Id], Trx[Date],,0)</f>
        <v>46081</v>
      </c>
      <c r="C1231" s="7" t="str">
        <f>_xlfn.XLOOKUP(Jnl[[#This Row],[TrxId]], Trx[Id], Trx[Division],,0)</f>
        <v>MY</v>
      </c>
      <c r="D1231" s="7" t="str">
        <f>_xlfn.XLOOKUP(Jnl[[#This Row],[TrxId]], Trx[Id], Trx[Action],,0)</f>
        <v>支付</v>
      </c>
      <c r="E1231" s="26" t="s">
        <v>83</v>
      </c>
      <c r="F1231" s="11" t="s">
        <v>127</v>
      </c>
      <c r="G1231" s="11" t="s">
        <v>307</v>
      </c>
      <c r="H1231" s="72">
        <v>-4704.7</v>
      </c>
      <c r="I1231" s="5" t="b">
        <f>AND(Jnl[[#This Row],[TrxId]]&lt;&gt;"",Jnl[[#This Row],[Acct]]&lt;&gt;"",Jnl[[#This Row],[Item]]&lt;&gt;"",ISNUMBER(Jnl[[#This Row],[Bal]]))</f>
        <v>1</v>
      </c>
      <c r="J1231" s="10">
        <f>IF(Jnl[[#This Row],[BSLv0]]="A",1,-1)*Jnl[[#This Row],[Bal]]</f>
        <v>4704.7</v>
      </c>
      <c r="K1231" t="str">
        <f>_xlfn.XLOOKUP(Jnl[[#This Row],[Acct]], config_BS[Acct], config_BS[Lv0],,0)</f>
        <v>LC</v>
      </c>
      <c r="L1231" t="str">
        <f>_xlfn.XLOOKUP(Jnl[[#This Row],[Acct]], config_BS[Acct], config_BS[Lv1],,0)</f>
        <v>Liability</v>
      </c>
      <c r="M1231" t="str">
        <f>_xlfn.XLOOKUP(Jnl[[#This Row],[Acct]], config_BS[Acct], config_BS[Lv2],,0)</f>
        <v>Rec-Pay</v>
      </c>
      <c r="N1231" t="str">
        <f>_xlfn.XLOOKUP(Jnl[[#This Row],[TrxId]], Trx[Id], Trx[IncNode], ,0)</f>
        <v>Cost</v>
      </c>
      <c r="O1231" t="str">
        <f>_xlfn.XLOOKUP(Jnl[[#This Row],[IncNode]], config_IS[Node], config_IS[Type],,0)</f>
        <v>Op</v>
      </c>
      <c r="P1231" t="str">
        <f>_xlfn.XLOOKUP(Jnl[[#This Row],[BSLv2]], dict[Key], dict[Name],,0)</f>
        <v>1.应收-应付</v>
      </c>
      <c r="Q1231" t="str">
        <f>_xlfn.XLOOKUP(Jnl[[#This Row],[Acct]], dict[Key], dict[Name],,0)</f>
        <v>应付-税款</v>
      </c>
      <c r="R1231" t="str">
        <f>_xlfn.XLOOKUP(Jnl[[#This Row],[Vehicle]],config_vehicle[Id], config_vehicle[Name],,0)</f>
        <v>远家文化</v>
      </c>
      <c r="S1231" t="str">
        <f>_xlfn.XLOOKUP(Jnl[[#This Row],[Division]],config_div[Id], config_div[Name],,0)</f>
        <v>明月村</v>
      </c>
      <c r="T1231" t="str">
        <f>IF(Jnl[[#This Row],[TrxDate]]&lt;=stmt_BS_date_end, "In", "Out")</f>
        <v>In</v>
      </c>
      <c r="U1231" t="str">
        <f>IF(Jnl[[#This Row],[TrxDate]]&lt;debug_date_start, "prior", IF(Jnl[[#This Row],[TrxDate]]&gt;debug_date_end, "post", "curr"))</f>
        <v>curr</v>
      </c>
    </row>
    <row r="1232" spans="1:21">
      <c r="A1232" s="11" t="s">
        <v>1662</v>
      </c>
      <c r="B1232" s="7">
        <f>_xlfn.XLOOKUP(Jnl[[#This Row],[TrxId]], Trx[Id], Trx[Date],,0)</f>
        <v>46081</v>
      </c>
      <c r="C1232" s="7" t="str">
        <f>_xlfn.XLOOKUP(Jnl[[#This Row],[TrxId]], Trx[Id], Trx[Division],,0)</f>
        <v>MY</v>
      </c>
      <c r="D1232" s="7" t="str">
        <f>_xlfn.XLOOKUP(Jnl[[#This Row],[TrxId]], Trx[Id], Trx[Action],,0)</f>
        <v>临时人力</v>
      </c>
      <c r="E1232" s="26" t="s">
        <v>83</v>
      </c>
      <c r="F1232" s="11" t="s">
        <v>590</v>
      </c>
      <c r="G1232" s="11" t="s">
        <v>100</v>
      </c>
      <c r="H1232" s="72">
        <v>-574</v>
      </c>
      <c r="I1232" s="5" t="b">
        <f>AND(Jnl[[#This Row],[TrxId]]&lt;&gt;"",Jnl[[#This Row],[Acct]]&lt;&gt;"",Jnl[[#This Row],[Item]]&lt;&gt;"",ISNUMBER(Jnl[[#This Row],[Bal]]))</f>
        <v>1</v>
      </c>
      <c r="J1232" s="10">
        <f>IF(Jnl[[#This Row],[BSLv0]]="A",1,-1)*Jnl[[#This Row],[Bal]]</f>
        <v>-574</v>
      </c>
      <c r="K1232" t="str">
        <f>_xlfn.XLOOKUP(Jnl[[#This Row],[Acct]], config_BS[Acct], config_BS[Lv0],,0)</f>
        <v>A</v>
      </c>
      <c r="L1232" t="str">
        <f>_xlfn.XLOOKUP(Jnl[[#This Row],[Acct]], config_BS[Acct], config_BS[Lv1],,0)</f>
        <v>Assets</v>
      </c>
      <c r="M1232" t="str">
        <f>_xlfn.XLOOKUP(Jnl[[#This Row],[Acct]], config_BS[Acct], config_BS[Lv2],,0)</f>
        <v>Cash alike</v>
      </c>
      <c r="N1232" t="str">
        <f>_xlfn.XLOOKUP(Jnl[[#This Row],[TrxId]], Trx[Id], Trx[IncNode], ,0)</f>
        <v>Expense</v>
      </c>
      <c r="O1232" t="str">
        <f>_xlfn.XLOOKUP(Jnl[[#This Row],[IncNode]], config_IS[Node], config_IS[Type],,0)</f>
        <v>Op</v>
      </c>
      <c r="P1232" t="str">
        <f>_xlfn.XLOOKUP(Jnl[[#This Row],[BSLv2]], dict[Key], dict[Name],,0)</f>
        <v>0.现金及类似</v>
      </c>
      <c r="Q1232" t="str">
        <f>_xlfn.XLOOKUP(Jnl[[#This Row],[Acct]], dict[Key], dict[Name],,0)</f>
        <v>银行</v>
      </c>
      <c r="R1232" t="str">
        <f>_xlfn.XLOOKUP(Jnl[[#This Row],[Vehicle]],config_vehicle[Id], config_vehicle[Name],,0)</f>
        <v>远家文化</v>
      </c>
      <c r="S1232" t="str">
        <f>_xlfn.XLOOKUP(Jnl[[#This Row],[Division]],config_div[Id], config_div[Name],,0)</f>
        <v>明月村</v>
      </c>
      <c r="T1232" t="str">
        <f>IF(Jnl[[#This Row],[TrxDate]]&lt;=stmt_BS_date_end, "In", "Out")</f>
        <v>In</v>
      </c>
      <c r="U1232" t="str">
        <f>IF(Jnl[[#This Row],[TrxDate]]&lt;debug_date_start, "prior", IF(Jnl[[#This Row],[TrxDate]]&gt;debug_date_end, "post", "curr"))</f>
        <v>curr</v>
      </c>
    </row>
    <row r="1233" spans="1:21">
      <c r="A1233" s="11" t="s">
        <v>1663</v>
      </c>
      <c r="B1233" s="7">
        <f>_xlfn.XLOOKUP(Jnl[[#This Row],[TrxId]], Trx[Id], Trx[Date],,0)</f>
        <v>46081</v>
      </c>
      <c r="C1233" s="7" t="str">
        <f>_xlfn.XLOOKUP(Jnl[[#This Row],[TrxId]], Trx[Id], Trx[Division],,0)</f>
        <v>MY</v>
      </c>
      <c r="D1233" s="7" t="str">
        <f>_xlfn.XLOOKUP(Jnl[[#This Row],[TrxId]], Trx[Id], Trx[Action],,0)</f>
        <v>演出</v>
      </c>
      <c r="E1233" s="26" t="s">
        <v>83</v>
      </c>
      <c r="F1233" s="11" t="s">
        <v>590</v>
      </c>
      <c r="G1233" s="11" t="s">
        <v>100</v>
      </c>
      <c r="H1233" s="72">
        <v>-1000</v>
      </c>
      <c r="I1233" s="5" t="b">
        <f>AND(Jnl[[#This Row],[TrxId]]&lt;&gt;"",Jnl[[#This Row],[Acct]]&lt;&gt;"",Jnl[[#This Row],[Item]]&lt;&gt;"",ISNUMBER(Jnl[[#This Row],[Bal]]))</f>
        <v>1</v>
      </c>
      <c r="J1233" s="10">
        <f>IF(Jnl[[#This Row],[BSLv0]]="A",1,-1)*Jnl[[#This Row],[Bal]]</f>
        <v>-1000</v>
      </c>
      <c r="K1233" t="str">
        <f>_xlfn.XLOOKUP(Jnl[[#This Row],[Acct]], config_BS[Acct], config_BS[Lv0],,0)</f>
        <v>A</v>
      </c>
      <c r="L1233" t="str">
        <f>_xlfn.XLOOKUP(Jnl[[#This Row],[Acct]], config_BS[Acct], config_BS[Lv1],,0)</f>
        <v>Assets</v>
      </c>
      <c r="M1233" t="str">
        <f>_xlfn.XLOOKUP(Jnl[[#This Row],[Acct]], config_BS[Acct], config_BS[Lv2],,0)</f>
        <v>Cash alike</v>
      </c>
      <c r="N1233" t="str">
        <f>_xlfn.XLOOKUP(Jnl[[#This Row],[TrxId]], Trx[Id], Trx[IncNode], ,0)</f>
        <v>Cost</v>
      </c>
      <c r="O1233" t="str">
        <f>_xlfn.XLOOKUP(Jnl[[#This Row],[IncNode]], config_IS[Node], config_IS[Type],,0)</f>
        <v>Op</v>
      </c>
      <c r="P1233" t="str">
        <f>_xlfn.XLOOKUP(Jnl[[#This Row],[BSLv2]], dict[Key], dict[Name],,0)</f>
        <v>0.现金及类似</v>
      </c>
      <c r="Q1233" t="str">
        <f>_xlfn.XLOOKUP(Jnl[[#This Row],[Acct]], dict[Key], dict[Name],,0)</f>
        <v>银行</v>
      </c>
      <c r="R1233" t="str">
        <f>_xlfn.XLOOKUP(Jnl[[#This Row],[Vehicle]],config_vehicle[Id], config_vehicle[Name],,0)</f>
        <v>远家文化</v>
      </c>
      <c r="S1233" t="str">
        <f>_xlfn.XLOOKUP(Jnl[[#This Row],[Division]],config_div[Id], config_div[Name],,0)</f>
        <v>明月村</v>
      </c>
      <c r="T1233" t="str">
        <f>IF(Jnl[[#This Row],[TrxDate]]&lt;=stmt_BS_date_end, "In", "Out")</f>
        <v>In</v>
      </c>
      <c r="U1233" t="str">
        <f>IF(Jnl[[#This Row],[TrxDate]]&lt;debug_date_start, "prior", IF(Jnl[[#This Row],[TrxDate]]&gt;debug_date_end, "post", "curr"))</f>
        <v>curr</v>
      </c>
    </row>
    <row r="1234" spans="1:21">
      <c r="A1234" s="11" t="s">
        <v>1665</v>
      </c>
      <c r="B1234" s="7">
        <f>_xlfn.XLOOKUP(Jnl[[#This Row],[TrxId]], Trx[Id], Trx[Date],,0)</f>
        <v>46081</v>
      </c>
      <c r="C1234" s="7" t="str">
        <f>_xlfn.XLOOKUP(Jnl[[#This Row],[TrxId]], Trx[Id], Trx[Division],,0)</f>
        <v>MY</v>
      </c>
      <c r="D1234" s="7" t="str">
        <f>_xlfn.XLOOKUP(Jnl[[#This Row],[TrxId]], Trx[Id], Trx[Action],,0)</f>
        <v>交通</v>
      </c>
      <c r="E1234" s="26" t="s">
        <v>83</v>
      </c>
      <c r="F1234" s="11" t="s">
        <v>590</v>
      </c>
      <c r="G1234" s="11" t="s">
        <v>100</v>
      </c>
      <c r="H1234" s="72">
        <v>-206.82</v>
      </c>
      <c r="I1234" s="5" t="b">
        <f>AND(Jnl[[#This Row],[TrxId]]&lt;&gt;"",Jnl[[#This Row],[Acct]]&lt;&gt;"",Jnl[[#This Row],[Item]]&lt;&gt;"",ISNUMBER(Jnl[[#This Row],[Bal]]))</f>
        <v>1</v>
      </c>
      <c r="J1234" s="10">
        <f>IF(Jnl[[#This Row],[BSLv0]]="A",1,-1)*Jnl[[#This Row],[Bal]]</f>
        <v>-206.82</v>
      </c>
      <c r="K1234" t="str">
        <f>_xlfn.XLOOKUP(Jnl[[#This Row],[Acct]], config_BS[Acct], config_BS[Lv0],,0)</f>
        <v>A</v>
      </c>
      <c r="L1234" t="str">
        <f>_xlfn.XLOOKUP(Jnl[[#This Row],[Acct]], config_BS[Acct], config_BS[Lv1],,0)</f>
        <v>Assets</v>
      </c>
      <c r="M1234" t="str">
        <f>_xlfn.XLOOKUP(Jnl[[#This Row],[Acct]], config_BS[Acct], config_BS[Lv2],,0)</f>
        <v>Cash alike</v>
      </c>
      <c r="N1234" t="str">
        <f>_xlfn.XLOOKUP(Jnl[[#This Row],[TrxId]], Trx[Id], Trx[IncNode], ,0)</f>
        <v>Expense</v>
      </c>
      <c r="O1234" t="str">
        <f>_xlfn.XLOOKUP(Jnl[[#This Row],[IncNode]], config_IS[Node], config_IS[Type],,0)</f>
        <v>Op</v>
      </c>
      <c r="P1234" t="str">
        <f>_xlfn.XLOOKUP(Jnl[[#This Row],[BSLv2]], dict[Key], dict[Name],,0)</f>
        <v>0.现金及类似</v>
      </c>
      <c r="Q1234" t="str">
        <f>_xlfn.XLOOKUP(Jnl[[#This Row],[Acct]], dict[Key], dict[Name],,0)</f>
        <v>银行</v>
      </c>
      <c r="R1234" t="str">
        <f>_xlfn.XLOOKUP(Jnl[[#This Row],[Vehicle]],config_vehicle[Id], config_vehicle[Name],,0)</f>
        <v>远家文化</v>
      </c>
      <c r="S1234" t="str">
        <f>_xlfn.XLOOKUP(Jnl[[#This Row],[Division]],config_div[Id], config_div[Name],,0)</f>
        <v>明月村</v>
      </c>
      <c r="T1234" t="str">
        <f>IF(Jnl[[#This Row],[TrxDate]]&lt;=stmt_BS_date_end, "In", "Out")</f>
        <v>In</v>
      </c>
      <c r="U1234" t="str">
        <f>IF(Jnl[[#This Row],[TrxDate]]&lt;debug_date_start, "prior", IF(Jnl[[#This Row],[TrxDate]]&gt;debug_date_end, "post", "curr"))</f>
        <v>curr</v>
      </c>
    </row>
    <row r="1235" spans="1:21">
      <c r="A1235" s="11" t="s">
        <v>1666</v>
      </c>
      <c r="B1235" s="7">
        <f>_xlfn.XLOOKUP(Jnl[[#This Row],[TrxId]], Trx[Id], Trx[Date],,0)</f>
        <v>46081</v>
      </c>
      <c r="C1235" s="7" t="str">
        <f>_xlfn.XLOOKUP(Jnl[[#This Row],[TrxId]], Trx[Id], Trx[Division],,0)</f>
        <v>MY</v>
      </c>
      <c r="D1235" s="7" t="str">
        <f>_xlfn.XLOOKUP(Jnl[[#This Row],[TrxId]], Trx[Id], Trx[Action],,0)</f>
        <v>收款</v>
      </c>
      <c r="E1235" s="26" t="s">
        <v>107</v>
      </c>
      <c r="F1235" s="11" t="s">
        <v>590</v>
      </c>
      <c r="G1235" s="11" t="s">
        <v>101</v>
      </c>
      <c r="H1235" s="72">
        <v>3900.94</v>
      </c>
      <c r="I1235" s="5" t="b">
        <f>AND(Jnl[[#This Row],[TrxId]]&lt;&gt;"",Jnl[[#This Row],[Acct]]&lt;&gt;"",Jnl[[#This Row],[Item]]&lt;&gt;"",ISNUMBER(Jnl[[#This Row],[Bal]]))</f>
        <v>1</v>
      </c>
      <c r="J1235" s="10">
        <f>IF(Jnl[[#This Row],[BSLv0]]="A",1,-1)*Jnl[[#This Row],[Bal]]</f>
        <v>3900.94</v>
      </c>
      <c r="K1235" t="str">
        <f>_xlfn.XLOOKUP(Jnl[[#This Row],[Acct]], config_BS[Acct], config_BS[Lv0],,0)</f>
        <v>A</v>
      </c>
      <c r="L1235" t="str">
        <f>_xlfn.XLOOKUP(Jnl[[#This Row],[Acct]], config_BS[Acct], config_BS[Lv1],,0)</f>
        <v>Assets</v>
      </c>
      <c r="M1235" t="str">
        <f>_xlfn.XLOOKUP(Jnl[[#This Row],[Acct]], config_BS[Acct], config_BS[Lv2],,0)</f>
        <v>Cash alike</v>
      </c>
      <c r="N1235" t="str">
        <f>_xlfn.XLOOKUP(Jnl[[#This Row],[TrxId]], Trx[Id], Trx[IncNode], ,0)</f>
        <v>Revenue</v>
      </c>
      <c r="O1235" t="str">
        <f>_xlfn.XLOOKUP(Jnl[[#This Row],[IncNode]], config_IS[Node], config_IS[Type],,0)</f>
        <v>Op</v>
      </c>
      <c r="P1235" t="str">
        <f>_xlfn.XLOOKUP(Jnl[[#This Row],[BSLv2]], dict[Key], dict[Name],,0)</f>
        <v>0.现金及类似</v>
      </c>
      <c r="Q1235" t="str">
        <f>_xlfn.XLOOKUP(Jnl[[#This Row],[Acct]], dict[Key], dict[Name],,0)</f>
        <v>银行</v>
      </c>
      <c r="R1235" t="str">
        <f>_xlfn.XLOOKUP(Jnl[[#This Row],[Vehicle]],config_vehicle[Id], config_vehicle[Name],,0)</f>
        <v>远家文化蒲江分公司</v>
      </c>
      <c r="S1235" t="str">
        <f>_xlfn.XLOOKUP(Jnl[[#This Row],[Division]],config_div[Id], config_div[Name],,0)</f>
        <v>明月村</v>
      </c>
      <c r="T1235" t="str">
        <f>IF(Jnl[[#This Row],[TrxDate]]&lt;=stmt_BS_date_end, "In", "Out")</f>
        <v>In</v>
      </c>
      <c r="U1235" t="str">
        <f>IF(Jnl[[#This Row],[TrxDate]]&lt;debug_date_start, "prior", IF(Jnl[[#This Row],[TrxDate]]&gt;debug_date_end, "post", "curr"))</f>
        <v>curr</v>
      </c>
    </row>
    <row r="1236" spans="1:21">
      <c r="A1236" s="11" t="s">
        <v>1666</v>
      </c>
      <c r="B1236" s="7">
        <f>_xlfn.XLOOKUP(Jnl[[#This Row],[TrxId]], Trx[Id], Trx[Date],,0)</f>
        <v>46081</v>
      </c>
      <c r="C1236" s="7" t="str">
        <f>_xlfn.XLOOKUP(Jnl[[#This Row],[TrxId]], Trx[Id], Trx[Division],,0)</f>
        <v>MY</v>
      </c>
      <c r="D1236" s="7" t="str">
        <f>_xlfn.XLOOKUP(Jnl[[#This Row],[TrxId]], Trx[Id], Trx[Action],,0)</f>
        <v>收款</v>
      </c>
      <c r="E1236" s="26" t="s">
        <v>83</v>
      </c>
      <c r="F1236" s="11" t="s">
        <v>593</v>
      </c>
      <c r="G1236" s="11" t="s">
        <v>1001</v>
      </c>
      <c r="H1236" s="72">
        <f>-H1235</f>
        <v>-3900.94</v>
      </c>
      <c r="I1236" s="5" t="b">
        <f>AND(Jnl[[#This Row],[TrxId]]&lt;&gt;"",Jnl[[#This Row],[Acct]]&lt;&gt;"",Jnl[[#This Row],[Item]]&lt;&gt;"",ISNUMBER(Jnl[[#This Row],[Bal]]))</f>
        <v>1</v>
      </c>
      <c r="J1236" s="10">
        <f>IF(Jnl[[#This Row],[BSLv0]]="A",1,-1)*Jnl[[#This Row],[Bal]]</f>
        <v>-3900.94</v>
      </c>
      <c r="K1236" t="str">
        <f>_xlfn.XLOOKUP(Jnl[[#This Row],[Acct]], config_BS[Acct], config_BS[Lv0],,0)</f>
        <v>A</v>
      </c>
      <c r="L1236" t="str">
        <f>_xlfn.XLOOKUP(Jnl[[#This Row],[Acct]], config_BS[Acct], config_BS[Lv1],,0)</f>
        <v>Assets</v>
      </c>
      <c r="M1236" t="str">
        <f>_xlfn.XLOOKUP(Jnl[[#This Row],[Acct]], config_BS[Acct], config_BS[Lv2],,0)</f>
        <v>Rec-Pay</v>
      </c>
      <c r="N1236" t="str">
        <f>_xlfn.XLOOKUP(Jnl[[#This Row],[TrxId]], Trx[Id], Trx[IncNode], ,0)</f>
        <v>Revenue</v>
      </c>
      <c r="O1236" t="str">
        <f>_xlfn.XLOOKUP(Jnl[[#This Row],[IncNode]], config_IS[Node], config_IS[Type],,0)</f>
        <v>Op</v>
      </c>
      <c r="P1236" t="str">
        <f>_xlfn.XLOOKUP(Jnl[[#This Row],[BSLv2]], dict[Key], dict[Name],,0)</f>
        <v>1.应收-应付</v>
      </c>
      <c r="Q1236" t="str">
        <f>_xlfn.XLOOKUP(Jnl[[#This Row],[Acct]], dict[Key], dict[Name],,0)</f>
        <v>应收-一般</v>
      </c>
      <c r="R1236" t="str">
        <f>_xlfn.XLOOKUP(Jnl[[#This Row],[Vehicle]],config_vehicle[Id], config_vehicle[Name],,0)</f>
        <v>远家文化</v>
      </c>
      <c r="S1236" t="str">
        <f>_xlfn.XLOOKUP(Jnl[[#This Row],[Division]],config_div[Id], config_div[Name],,0)</f>
        <v>明月村</v>
      </c>
      <c r="T1236" t="str">
        <f>IF(Jnl[[#This Row],[TrxDate]]&lt;=stmt_BS_date_end, "In", "Out")</f>
        <v>In</v>
      </c>
      <c r="U1236" t="str">
        <f>IF(Jnl[[#This Row],[TrxDate]]&lt;debug_date_start, "prior", IF(Jnl[[#This Row],[TrxDate]]&gt;debug_date_end, "post", "curr"))</f>
        <v>curr</v>
      </c>
    </row>
    <row r="1237" spans="1:21">
      <c r="A1237" s="11" t="s">
        <v>1667</v>
      </c>
      <c r="B1237" s="7">
        <f>_xlfn.XLOOKUP(Jnl[[#This Row],[TrxId]], Trx[Id], Trx[Date],,0)</f>
        <v>46081</v>
      </c>
      <c r="C1237" s="7" t="str">
        <f>_xlfn.XLOOKUP(Jnl[[#This Row],[TrxId]], Trx[Id], Trx[Division],,0)</f>
        <v>MY</v>
      </c>
      <c r="D1237" s="7" t="str">
        <f>_xlfn.XLOOKUP(Jnl[[#This Row],[TrxId]], Trx[Id], Trx[Action],,0)</f>
        <v>其他材料</v>
      </c>
      <c r="E1237" s="26" t="s">
        <v>107</v>
      </c>
      <c r="F1237" s="11" t="s">
        <v>590</v>
      </c>
      <c r="G1237" s="11" t="s">
        <v>101</v>
      </c>
      <c r="H1237" s="72">
        <v>-860</v>
      </c>
      <c r="I1237" s="5" t="b">
        <f>AND(Jnl[[#This Row],[TrxId]]&lt;&gt;"",Jnl[[#This Row],[Acct]]&lt;&gt;"",Jnl[[#This Row],[Item]]&lt;&gt;"",ISNUMBER(Jnl[[#This Row],[Bal]]))</f>
        <v>1</v>
      </c>
      <c r="J1237" s="10">
        <f>IF(Jnl[[#This Row],[BSLv0]]="A",1,-1)*Jnl[[#This Row],[Bal]]</f>
        <v>-860</v>
      </c>
      <c r="K1237" t="str">
        <f>_xlfn.XLOOKUP(Jnl[[#This Row],[Acct]], config_BS[Acct], config_BS[Lv0],,0)</f>
        <v>A</v>
      </c>
      <c r="L1237" t="str">
        <f>_xlfn.XLOOKUP(Jnl[[#This Row],[Acct]], config_BS[Acct], config_BS[Lv1],,0)</f>
        <v>Assets</v>
      </c>
      <c r="M1237" t="str">
        <f>_xlfn.XLOOKUP(Jnl[[#This Row],[Acct]], config_BS[Acct], config_BS[Lv2],,0)</f>
        <v>Cash alike</v>
      </c>
      <c r="N1237" t="str">
        <f>_xlfn.XLOOKUP(Jnl[[#This Row],[TrxId]], Trx[Id], Trx[IncNode], ,0)</f>
        <v>Cost</v>
      </c>
      <c r="O1237" t="str">
        <f>_xlfn.XLOOKUP(Jnl[[#This Row],[IncNode]], config_IS[Node], config_IS[Type],,0)</f>
        <v>Op</v>
      </c>
      <c r="P1237" t="str">
        <f>_xlfn.XLOOKUP(Jnl[[#This Row],[BSLv2]], dict[Key], dict[Name],,0)</f>
        <v>0.现金及类似</v>
      </c>
      <c r="Q1237" t="str">
        <f>_xlfn.XLOOKUP(Jnl[[#This Row],[Acct]], dict[Key], dict[Name],,0)</f>
        <v>银行</v>
      </c>
      <c r="R1237" t="str">
        <f>_xlfn.XLOOKUP(Jnl[[#This Row],[Vehicle]],config_vehicle[Id], config_vehicle[Name],,0)</f>
        <v>远家文化蒲江分公司</v>
      </c>
      <c r="S1237" t="str">
        <f>_xlfn.XLOOKUP(Jnl[[#This Row],[Division]],config_div[Id], config_div[Name],,0)</f>
        <v>明月村</v>
      </c>
      <c r="T1237" t="str">
        <f>IF(Jnl[[#This Row],[TrxDate]]&lt;=stmt_BS_date_end, "In", "Out")</f>
        <v>In</v>
      </c>
      <c r="U1237" t="str">
        <f>IF(Jnl[[#This Row],[TrxDate]]&lt;debug_date_start, "prior", IF(Jnl[[#This Row],[TrxDate]]&gt;debug_date_end, "post", "curr"))</f>
        <v>curr</v>
      </c>
    </row>
    <row r="1238" spans="1:21">
      <c r="A1238" s="11" t="s">
        <v>1669</v>
      </c>
      <c r="B1238" s="7">
        <f>_xlfn.XLOOKUP(Jnl[[#This Row],[TrxId]], Trx[Id], Trx[Date],,0)</f>
        <v>46081</v>
      </c>
      <c r="C1238" s="7" t="str">
        <f>_xlfn.XLOOKUP(Jnl[[#This Row],[TrxId]], Trx[Id], Trx[Division],,0)</f>
        <v>MY</v>
      </c>
      <c r="D1238" s="7" t="str">
        <f>_xlfn.XLOOKUP(Jnl[[#This Row],[TrxId]], Trx[Id], Trx[Action],,0)</f>
        <v>其他材料</v>
      </c>
      <c r="E1238" s="26" t="s">
        <v>107</v>
      </c>
      <c r="F1238" s="11" t="s">
        <v>590</v>
      </c>
      <c r="G1238" s="11" t="s">
        <v>101</v>
      </c>
      <c r="H1238" s="72">
        <v>-588</v>
      </c>
      <c r="I1238" s="5" t="b">
        <f>AND(Jnl[[#This Row],[TrxId]]&lt;&gt;"",Jnl[[#This Row],[Acct]]&lt;&gt;"",Jnl[[#This Row],[Item]]&lt;&gt;"",ISNUMBER(Jnl[[#This Row],[Bal]]))</f>
        <v>1</v>
      </c>
      <c r="J1238" s="10">
        <f>IF(Jnl[[#This Row],[BSLv0]]="A",1,-1)*Jnl[[#This Row],[Bal]]</f>
        <v>-588</v>
      </c>
      <c r="K1238" t="str">
        <f>_xlfn.XLOOKUP(Jnl[[#This Row],[Acct]], config_BS[Acct], config_BS[Lv0],,0)</f>
        <v>A</v>
      </c>
      <c r="L1238" t="str">
        <f>_xlfn.XLOOKUP(Jnl[[#This Row],[Acct]], config_BS[Acct], config_BS[Lv1],,0)</f>
        <v>Assets</v>
      </c>
      <c r="M1238" t="str">
        <f>_xlfn.XLOOKUP(Jnl[[#This Row],[Acct]], config_BS[Acct], config_BS[Lv2],,0)</f>
        <v>Cash alike</v>
      </c>
      <c r="N1238" t="str">
        <f>_xlfn.XLOOKUP(Jnl[[#This Row],[TrxId]], Trx[Id], Trx[IncNode], ,0)</f>
        <v>Cost</v>
      </c>
      <c r="O1238" t="str">
        <f>_xlfn.XLOOKUP(Jnl[[#This Row],[IncNode]], config_IS[Node], config_IS[Type],,0)</f>
        <v>Op</v>
      </c>
      <c r="P1238" t="str">
        <f>_xlfn.XLOOKUP(Jnl[[#This Row],[BSLv2]], dict[Key], dict[Name],,0)</f>
        <v>0.现金及类似</v>
      </c>
      <c r="Q1238" t="str">
        <f>_xlfn.XLOOKUP(Jnl[[#This Row],[Acct]], dict[Key], dict[Name],,0)</f>
        <v>银行</v>
      </c>
      <c r="R1238" t="str">
        <f>_xlfn.XLOOKUP(Jnl[[#This Row],[Vehicle]],config_vehicle[Id], config_vehicle[Name],,0)</f>
        <v>远家文化蒲江分公司</v>
      </c>
      <c r="S1238" t="str">
        <f>_xlfn.XLOOKUP(Jnl[[#This Row],[Division]],config_div[Id], config_div[Name],,0)</f>
        <v>明月村</v>
      </c>
      <c r="T1238" t="str">
        <f>IF(Jnl[[#This Row],[TrxDate]]&lt;=stmt_BS_date_end, "In", "Out")</f>
        <v>In</v>
      </c>
      <c r="U1238" t="str">
        <f>IF(Jnl[[#This Row],[TrxDate]]&lt;debug_date_start, "prior", IF(Jnl[[#This Row],[TrxDate]]&gt;debug_date_end, "post", "curr"))</f>
        <v>curr</v>
      </c>
    </row>
    <row r="1239" spans="1:21">
      <c r="A1239" s="11" t="s">
        <v>1670</v>
      </c>
      <c r="B1239" s="7">
        <f>_xlfn.XLOOKUP(Jnl[[#This Row],[TrxId]], Trx[Id], Trx[Date],,0)</f>
        <v>46081</v>
      </c>
      <c r="C1239" s="7" t="str">
        <f>_xlfn.XLOOKUP(Jnl[[#This Row],[TrxId]], Trx[Id], Trx[Division],,0)</f>
        <v>MY</v>
      </c>
      <c r="D1239" s="7" t="str">
        <f>_xlfn.XLOOKUP(Jnl[[#This Row],[TrxId]], Trx[Id], Trx[Action],,0)</f>
        <v>包装</v>
      </c>
      <c r="E1239" s="26" t="s">
        <v>107</v>
      </c>
      <c r="F1239" s="11" t="s">
        <v>590</v>
      </c>
      <c r="G1239" s="11" t="s">
        <v>101</v>
      </c>
      <c r="H1239" s="72">
        <v>-400</v>
      </c>
      <c r="I1239" s="5" t="b">
        <f>AND(Jnl[[#This Row],[TrxId]]&lt;&gt;"",Jnl[[#This Row],[Acct]]&lt;&gt;"",Jnl[[#This Row],[Item]]&lt;&gt;"",ISNUMBER(Jnl[[#This Row],[Bal]]))</f>
        <v>1</v>
      </c>
      <c r="J1239" s="10">
        <f>IF(Jnl[[#This Row],[BSLv0]]="A",1,-1)*Jnl[[#This Row],[Bal]]</f>
        <v>-400</v>
      </c>
      <c r="K1239" t="str">
        <f>_xlfn.XLOOKUP(Jnl[[#This Row],[Acct]], config_BS[Acct], config_BS[Lv0],,0)</f>
        <v>A</v>
      </c>
      <c r="L1239" t="str">
        <f>_xlfn.XLOOKUP(Jnl[[#This Row],[Acct]], config_BS[Acct], config_BS[Lv1],,0)</f>
        <v>Assets</v>
      </c>
      <c r="M1239" t="str">
        <f>_xlfn.XLOOKUP(Jnl[[#This Row],[Acct]], config_BS[Acct], config_BS[Lv2],,0)</f>
        <v>Cash alike</v>
      </c>
      <c r="N1239" t="str">
        <f>_xlfn.XLOOKUP(Jnl[[#This Row],[TrxId]], Trx[Id], Trx[IncNode], ,0)</f>
        <v>Cost</v>
      </c>
      <c r="O1239" t="str">
        <f>_xlfn.XLOOKUP(Jnl[[#This Row],[IncNode]], config_IS[Node], config_IS[Type],,0)</f>
        <v>Op</v>
      </c>
      <c r="P1239" t="str">
        <f>_xlfn.XLOOKUP(Jnl[[#This Row],[BSLv2]], dict[Key], dict[Name],,0)</f>
        <v>0.现金及类似</v>
      </c>
      <c r="Q1239" t="str">
        <f>_xlfn.XLOOKUP(Jnl[[#This Row],[Acct]], dict[Key], dict[Name],,0)</f>
        <v>银行</v>
      </c>
      <c r="R1239" t="str">
        <f>_xlfn.XLOOKUP(Jnl[[#This Row],[Vehicle]],config_vehicle[Id], config_vehicle[Name],,0)</f>
        <v>远家文化蒲江分公司</v>
      </c>
      <c r="S1239" t="str">
        <f>_xlfn.XLOOKUP(Jnl[[#This Row],[Division]],config_div[Id], config_div[Name],,0)</f>
        <v>明月村</v>
      </c>
      <c r="T1239" t="str">
        <f>IF(Jnl[[#This Row],[TrxDate]]&lt;=stmt_BS_date_end, "In", "Out")</f>
        <v>In</v>
      </c>
      <c r="U1239" t="str">
        <f>IF(Jnl[[#This Row],[TrxDate]]&lt;debug_date_start, "prior", IF(Jnl[[#This Row],[TrxDate]]&gt;debug_date_end, "post", "curr"))</f>
        <v>curr</v>
      </c>
    </row>
    <row r="1240" spans="1:21">
      <c r="A1240" s="11" t="s">
        <v>1672</v>
      </c>
      <c r="B1240" s="7">
        <f>_xlfn.XLOOKUP(Jnl[[#This Row],[TrxId]], Trx[Id], Trx[Date],,0)</f>
        <v>46081</v>
      </c>
      <c r="C1240" s="7" t="str">
        <f>_xlfn.XLOOKUP(Jnl[[#This Row],[TrxId]], Trx[Id], Trx[Division],,0)</f>
        <v>MY</v>
      </c>
      <c r="D1240" s="7" t="str">
        <f>_xlfn.XLOOKUP(Jnl[[#This Row],[TrxId]], Trx[Id], Trx[Action],,0)</f>
        <v>包装</v>
      </c>
      <c r="E1240" s="26" t="s">
        <v>107</v>
      </c>
      <c r="F1240" s="11" t="s">
        <v>590</v>
      </c>
      <c r="G1240" s="11" t="s">
        <v>101</v>
      </c>
      <c r="H1240" s="72">
        <v>-125</v>
      </c>
      <c r="I1240" s="5" t="b">
        <f>AND(Jnl[[#This Row],[TrxId]]&lt;&gt;"",Jnl[[#This Row],[Acct]]&lt;&gt;"",Jnl[[#This Row],[Item]]&lt;&gt;"",ISNUMBER(Jnl[[#This Row],[Bal]]))</f>
        <v>1</v>
      </c>
      <c r="J1240" s="10">
        <f>IF(Jnl[[#This Row],[BSLv0]]="A",1,-1)*Jnl[[#This Row],[Bal]]</f>
        <v>-125</v>
      </c>
      <c r="K1240" t="str">
        <f>_xlfn.XLOOKUP(Jnl[[#This Row],[Acct]], config_BS[Acct], config_BS[Lv0],,0)</f>
        <v>A</v>
      </c>
      <c r="L1240" t="str">
        <f>_xlfn.XLOOKUP(Jnl[[#This Row],[Acct]], config_BS[Acct], config_BS[Lv1],,0)</f>
        <v>Assets</v>
      </c>
      <c r="M1240" t="str">
        <f>_xlfn.XLOOKUP(Jnl[[#This Row],[Acct]], config_BS[Acct], config_BS[Lv2],,0)</f>
        <v>Cash alike</v>
      </c>
      <c r="N1240" t="str">
        <f>_xlfn.XLOOKUP(Jnl[[#This Row],[TrxId]], Trx[Id], Trx[IncNode], ,0)</f>
        <v>Cost</v>
      </c>
      <c r="O1240" t="str">
        <f>_xlfn.XLOOKUP(Jnl[[#This Row],[IncNode]], config_IS[Node], config_IS[Type],,0)</f>
        <v>Op</v>
      </c>
      <c r="P1240" t="str">
        <f>_xlfn.XLOOKUP(Jnl[[#This Row],[BSLv2]], dict[Key], dict[Name],,0)</f>
        <v>0.现金及类似</v>
      </c>
      <c r="Q1240" t="str">
        <f>_xlfn.XLOOKUP(Jnl[[#This Row],[Acct]], dict[Key], dict[Name],,0)</f>
        <v>银行</v>
      </c>
      <c r="R1240" t="str">
        <f>_xlfn.XLOOKUP(Jnl[[#This Row],[Vehicle]],config_vehicle[Id], config_vehicle[Name],,0)</f>
        <v>远家文化蒲江分公司</v>
      </c>
      <c r="S1240" t="str">
        <f>_xlfn.XLOOKUP(Jnl[[#This Row],[Division]],config_div[Id], config_div[Name],,0)</f>
        <v>明月村</v>
      </c>
      <c r="T1240" t="str">
        <f>IF(Jnl[[#This Row],[TrxDate]]&lt;=stmt_BS_date_end, "In", "Out")</f>
        <v>In</v>
      </c>
      <c r="U1240" t="str">
        <f>IF(Jnl[[#This Row],[TrxDate]]&lt;debug_date_start, "prior", IF(Jnl[[#This Row],[TrxDate]]&gt;debug_date_end, "post", "curr"))</f>
        <v>curr</v>
      </c>
    </row>
    <row r="1241" spans="1:21">
      <c r="A1241" s="11" t="s">
        <v>1673</v>
      </c>
      <c r="B1241" s="7">
        <f>_xlfn.XLOOKUP(Jnl[[#This Row],[TrxId]], Trx[Id], Trx[Date],,0)</f>
        <v>46081</v>
      </c>
      <c r="C1241" s="7" t="str">
        <f>_xlfn.XLOOKUP(Jnl[[#This Row],[TrxId]], Trx[Id], Trx[Division],,0)</f>
        <v>MY</v>
      </c>
      <c r="D1241" s="7" t="str">
        <f>_xlfn.XLOOKUP(Jnl[[#This Row],[TrxId]], Trx[Id], Trx[Action],,0)</f>
        <v>水果</v>
      </c>
      <c r="E1241" s="26" t="s">
        <v>107</v>
      </c>
      <c r="F1241" s="11" t="s">
        <v>590</v>
      </c>
      <c r="G1241" s="11" t="s">
        <v>101</v>
      </c>
      <c r="H1241" s="72">
        <v>-16300</v>
      </c>
      <c r="I1241" s="5" t="b">
        <f>AND(Jnl[[#This Row],[TrxId]]&lt;&gt;"",Jnl[[#This Row],[Acct]]&lt;&gt;"",Jnl[[#This Row],[Item]]&lt;&gt;"",ISNUMBER(Jnl[[#This Row],[Bal]]))</f>
        <v>1</v>
      </c>
      <c r="J1241" s="10">
        <f>IF(Jnl[[#This Row],[BSLv0]]="A",1,-1)*Jnl[[#This Row],[Bal]]</f>
        <v>-16300</v>
      </c>
      <c r="K1241" t="str">
        <f>_xlfn.XLOOKUP(Jnl[[#This Row],[Acct]], config_BS[Acct], config_BS[Lv0],,0)</f>
        <v>A</v>
      </c>
      <c r="L1241" t="str">
        <f>_xlfn.XLOOKUP(Jnl[[#This Row],[Acct]], config_BS[Acct], config_BS[Lv1],,0)</f>
        <v>Assets</v>
      </c>
      <c r="M1241" t="str">
        <f>_xlfn.XLOOKUP(Jnl[[#This Row],[Acct]], config_BS[Acct], config_BS[Lv2],,0)</f>
        <v>Cash alike</v>
      </c>
      <c r="N1241" t="str">
        <f>_xlfn.XLOOKUP(Jnl[[#This Row],[TrxId]], Trx[Id], Trx[IncNode], ,0)</f>
        <v>Cost</v>
      </c>
      <c r="O1241" t="str">
        <f>_xlfn.XLOOKUP(Jnl[[#This Row],[IncNode]], config_IS[Node], config_IS[Type],,0)</f>
        <v>Op</v>
      </c>
      <c r="P1241" t="str">
        <f>_xlfn.XLOOKUP(Jnl[[#This Row],[BSLv2]], dict[Key], dict[Name],,0)</f>
        <v>0.现金及类似</v>
      </c>
      <c r="Q1241" t="str">
        <f>_xlfn.XLOOKUP(Jnl[[#This Row],[Acct]], dict[Key], dict[Name],,0)</f>
        <v>银行</v>
      </c>
      <c r="R1241" t="str">
        <f>_xlfn.XLOOKUP(Jnl[[#This Row],[Vehicle]],config_vehicle[Id], config_vehicle[Name],,0)</f>
        <v>远家文化蒲江分公司</v>
      </c>
      <c r="S1241" t="str">
        <f>_xlfn.XLOOKUP(Jnl[[#This Row],[Division]],config_div[Id], config_div[Name],,0)</f>
        <v>明月村</v>
      </c>
      <c r="T1241" t="str">
        <f>IF(Jnl[[#This Row],[TrxDate]]&lt;=stmt_BS_date_end, "In", "Out")</f>
        <v>In</v>
      </c>
      <c r="U1241" t="str">
        <f>IF(Jnl[[#This Row],[TrxDate]]&lt;debug_date_start, "prior", IF(Jnl[[#This Row],[TrxDate]]&gt;debug_date_end, "post", "curr"))</f>
        <v>curr</v>
      </c>
    </row>
    <row r="1242" spans="1:21">
      <c r="A1242" s="11" t="s">
        <v>1674</v>
      </c>
      <c r="B1242" s="7">
        <f>_xlfn.XLOOKUP(Jnl[[#This Row],[TrxId]], Trx[Id], Trx[Date],,0)</f>
        <v>46081</v>
      </c>
      <c r="C1242" s="7" t="str">
        <f>_xlfn.XLOOKUP(Jnl[[#This Row],[TrxId]], Trx[Id], Trx[Division],,0)</f>
        <v>MY</v>
      </c>
      <c r="D1242" s="7" t="str">
        <f>_xlfn.XLOOKUP(Jnl[[#This Row],[TrxId]], Trx[Id], Trx[Action],,0)</f>
        <v>收款</v>
      </c>
      <c r="E1242" s="26" t="s">
        <v>86</v>
      </c>
      <c r="F1242" s="11" t="s">
        <v>590</v>
      </c>
      <c r="G1242" s="11" t="s">
        <v>102</v>
      </c>
      <c r="H1242" s="72">
        <v>80077.45</v>
      </c>
      <c r="I1242" s="5" t="b">
        <f>AND(Jnl[[#This Row],[TrxId]]&lt;&gt;"",Jnl[[#This Row],[Acct]]&lt;&gt;"",Jnl[[#This Row],[Item]]&lt;&gt;"",ISNUMBER(Jnl[[#This Row],[Bal]]))</f>
        <v>1</v>
      </c>
      <c r="J1242" s="10">
        <f>IF(Jnl[[#This Row],[BSLv0]]="A",1,-1)*Jnl[[#This Row],[Bal]]</f>
        <v>80077.45</v>
      </c>
      <c r="K1242" t="str">
        <f>_xlfn.XLOOKUP(Jnl[[#This Row],[Acct]], config_BS[Acct], config_BS[Lv0],,0)</f>
        <v>A</v>
      </c>
      <c r="L1242" t="str">
        <f>_xlfn.XLOOKUP(Jnl[[#This Row],[Acct]], config_BS[Acct], config_BS[Lv1],,0)</f>
        <v>Assets</v>
      </c>
      <c r="M1242" t="str">
        <f>_xlfn.XLOOKUP(Jnl[[#This Row],[Acct]], config_BS[Acct], config_BS[Lv2],,0)</f>
        <v>Cash alike</v>
      </c>
      <c r="N1242" t="str">
        <f>_xlfn.XLOOKUP(Jnl[[#This Row],[TrxId]], Trx[Id], Trx[IncNode], ,0)</f>
        <v>Revenue</v>
      </c>
      <c r="O1242" t="str">
        <f>_xlfn.XLOOKUP(Jnl[[#This Row],[IncNode]], config_IS[Node], config_IS[Type],,0)</f>
        <v>Op</v>
      </c>
      <c r="P1242" t="str">
        <f>_xlfn.XLOOKUP(Jnl[[#This Row],[BSLv2]], dict[Key], dict[Name],,0)</f>
        <v>0.现金及类似</v>
      </c>
      <c r="Q1242" t="str">
        <f>_xlfn.XLOOKUP(Jnl[[#This Row],[Acct]], dict[Key], dict[Name],,0)</f>
        <v>银行</v>
      </c>
      <c r="R1242" t="str">
        <f>_xlfn.XLOOKUP(Jnl[[#This Row],[Vehicle]],config_vehicle[Id], config_vehicle[Name],,0)</f>
        <v>张小喜</v>
      </c>
      <c r="S1242" t="str">
        <f>_xlfn.XLOOKUP(Jnl[[#This Row],[Division]],config_div[Id], config_div[Name],,0)</f>
        <v>明月村</v>
      </c>
      <c r="T1242" t="str">
        <f>IF(Jnl[[#This Row],[TrxDate]]&lt;=stmt_BS_date_end, "In", "Out")</f>
        <v>In</v>
      </c>
      <c r="U1242" t="str">
        <f>IF(Jnl[[#This Row],[TrxDate]]&lt;debug_date_start, "prior", IF(Jnl[[#This Row],[TrxDate]]&gt;debug_date_end, "post", "curr"))</f>
        <v>curr</v>
      </c>
    </row>
    <row r="1243" spans="1:21">
      <c r="A1243" s="11" t="s">
        <v>1674</v>
      </c>
      <c r="B1243" s="7">
        <f>_xlfn.XLOOKUP(Jnl[[#This Row],[TrxId]], Trx[Id], Trx[Date],,0)</f>
        <v>46081</v>
      </c>
      <c r="C1243" s="7" t="str">
        <f>_xlfn.XLOOKUP(Jnl[[#This Row],[TrxId]], Trx[Id], Trx[Division],,0)</f>
        <v>MY</v>
      </c>
      <c r="D1243" s="7" t="str">
        <f>_xlfn.XLOOKUP(Jnl[[#This Row],[TrxId]], Trx[Id], Trx[Action],,0)</f>
        <v>收款</v>
      </c>
      <c r="E1243" s="26" t="s">
        <v>83</v>
      </c>
      <c r="F1243" s="11" t="s">
        <v>593</v>
      </c>
      <c r="G1243" s="11" t="s">
        <v>944</v>
      </c>
      <c r="H1243" s="72">
        <f>-H1242</f>
        <v>-80077.45</v>
      </c>
      <c r="I1243" s="5" t="b">
        <f>AND(Jnl[[#This Row],[TrxId]]&lt;&gt;"",Jnl[[#This Row],[Acct]]&lt;&gt;"",Jnl[[#This Row],[Item]]&lt;&gt;"",ISNUMBER(Jnl[[#This Row],[Bal]]))</f>
        <v>1</v>
      </c>
      <c r="J1243" s="10">
        <f>IF(Jnl[[#This Row],[BSLv0]]="A",1,-1)*Jnl[[#This Row],[Bal]]</f>
        <v>-80077.45</v>
      </c>
      <c r="K1243" t="str">
        <f>_xlfn.XLOOKUP(Jnl[[#This Row],[Acct]], config_BS[Acct], config_BS[Lv0],,0)</f>
        <v>A</v>
      </c>
      <c r="L1243" t="str">
        <f>_xlfn.XLOOKUP(Jnl[[#This Row],[Acct]], config_BS[Acct], config_BS[Lv1],,0)</f>
        <v>Assets</v>
      </c>
      <c r="M1243" t="str">
        <f>_xlfn.XLOOKUP(Jnl[[#This Row],[Acct]], config_BS[Acct], config_BS[Lv2],,0)</f>
        <v>Rec-Pay</v>
      </c>
      <c r="N1243" t="str">
        <f>_xlfn.XLOOKUP(Jnl[[#This Row],[TrxId]], Trx[Id], Trx[IncNode], ,0)</f>
        <v>Revenue</v>
      </c>
      <c r="O1243" t="str">
        <f>_xlfn.XLOOKUP(Jnl[[#This Row],[IncNode]], config_IS[Node], config_IS[Type],,0)</f>
        <v>Op</v>
      </c>
      <c r="P1243" t="str">
        <f>_xlfn.XLOOKUP(Jnl[[#This Row],[BSLv2]], dict[Key], dict[Name],,0)</f>
        <v>1.应收-应付</v>
      </c>
      <c r="Q1243" t="str">
        <f>_xlfn.XLOOKUP(Jnl[[#This Row],[Acct]], dict[Key], dict[Name],,0)</f>
        <v>应收-一般</v>
      </c>
      <c r="R1243" t="str">
        <f>_xlfn.XLOOKUP(Jnl[[#This Row],[Vehicle]],config_vehicle[Id], config_vehicle[Name],,0)</f>
        <v>远家文化</v>
      </c>
      <c r="S1243" t="str">
        <f>_xlfn.XLOOKUP(Jnl[[#This Row],[Division]],config_div[Id], config_div[Name],,0)</f>
        <v>明月村</v>
      </c>
      <c r="T1243" t="str">
        <f>IF(Jnl[[#This Row],[TrxDate]]&lt;=stmt_BS_date_end, "In", "Out")</f>
        <v>In</v>
      </c>
      <c r="U1243" t="str">
        <f>IF(Jnl[[#This Row],[TrxDate]]&lt;debug_date_start, "prior", IF(Jnl[[#This Row],[TrxDate]]&gt;debug_date_end, "post", "curr"))</f>
        <v>curr</v>
      </c>
    </row>
    <row r="1244" spans="1:21">
      <c r="A1244" s="11" t="s">
        <v>1675</v>
      </c>
      <c r="B1244" s="7">
        <f>_xlfn.XLOOKUP(Jnl[[#This Row],[TrxId]], Trx[Id], Trx[Date],,0)</f>
        <v>46081</v>
      </c>
      <c r="C1244" s="7" t="str">
        <f>_xlfn.XLOOKUP(Jnl[[#This Row],[TrxId]], Trx[Id], Trx[Division],,0)</f>
        <v>MY</v>
      </c>
      <c r="D1244" s="7" t="str">
        <f>_xlfn.XLOOKUP(Jnl[[#This Row],[TrxId]], Trx[Id], Trx[Action],,0)</f>
        <v>其他销售</v>
      </c>
      <c r="E1244" s="26" t="s">
        <v>86</v>
      </c>
      <c r="F1244" s="11" t="s">
        <v>590</v>
      </c>
      <c r="G1244" s="11" t="s">
        <v>102</v>
      </c>
      <c r="H1244" s="72">
        <v>212.22</v>
      </c>
      <c r="I1244" s="5" t="b">
        <f>AND(Jnl[[#This Row],[TrxId]]&lt;&gt;"",Jnl[[#This Row],[Acct]]&lt;&gt;"",Jnl[[#This Row],[Item]]&lt;&gt;"",ISNUMBER(Jnl[[#This Row],[Bal]]))</f>
        <v>1</v>
      </c>
      <c r="J1244" s="10">
        <f>IF(Jnl[[#This Row],[BSLv0]]="A",1,-1)*Jnl[[#This Row],[Bal]]</f>
        <v>212.22</v>
      </c>
      <c r="K1244" t="str">
        <f>_xlfn.XLOOKUP(Jnl[[#This Row],[Acct]], config_BS[Acct], config_BS[Lv0],,0)</f>
        <v>A</v>
      </c>
      <c r="L1244" t="str">
        <f>_xlfn.XLOOKUP(Jnl[[#This Row],[Acct]], config_BS[Acct], config_BS[Lv1],,0)</f>
        <v>Assets</v>
      </c>
      <c r="M1244" t="str">
        <f>_xlfn.XLOOKUP(Jnl[[#This Row],[Acct]], config_BS[Acct], config_BS[Lv2],,0)</f>
        <v>Cash alike</v>
      </c>
      <c r="N1244" t="str">
        <f>_xlfn.XLOOKUP(Jnl[[#This Row],[TrxId]], Trx[Id], Trx[IncNode], ,0)</f>
        <v>Revenue</v>
      </c>
      <c r="O1244" t="str">
        <f>_xlfn.XLOOKUP(Jnl[[#This Row],[IncNode]], config_IS[Node], config_IS[Type],,0)</f>
        <v>Op</v>
      </c>
      <c r="P1244" t="str">
        <f>_xlfn.XLOOKUP(Jnl[[#This Row],[BSLv2]], dict[Key], dict[Name],,0)</f>
        <v>0.现金及类似</v>
      </c>
      <c r="Q1244" t="str">
        <f>_xlfn.XLOOKUP(Jnl[[#This Row],[Acct]], dict[Key], dict[Name],,0)</f>
        <v>银行</v>
      </c>
      <c r="R1244" t="str">
        <f>_xlfn.XLOOKUP(Jnl[[#This Row],[Vehicle]],config_vehicle[Id], config_vehicle[Name],,0)</f>
        <v>张小喜</v>
      </c>
      <c r="S1244" t="str">
        <f>_xlfn.XLOOKUP(Jnl[[#This Row],[Division]],config_div[Id], config_div[Name],,0)</f>
        <v>明月村</v>
      </c>
      <c r="T1244" t="str">
        <f>IF(Jnl[[#This Row],[TrxDate]]&lt;=stmt_BS_date_end, "In", "Out")</f>
        <v>In</v>
      </c>
      <c r="U1244" t="str">
        <f>IF(Jnl[[#This Row],[TrxDate]]&lt;debug_date_start, "prior", IF(Jnl[[#This Row],[TrxDate]]&gt;debug_date_end, "post", "curr"))</f>
        <v>curr</v>
      </c>
    </row>
    <row r="1245" spans="1:21">
      <c r="A1245" s="11" t="s">
        <v>1676</v>
      </c>
      <c r="B1245" s="7">
        <f>_xlfn.XLOOKUP(Jnl[[#This Row],[TrxId]], Trx[Id], Trx[Date],,0)</f>
        <v>46081</v>
      </c>
      <c r="C1245" s="7" t="str">
        <f>_xlfn.XLOOKUP(Jnl[[#This Row],[TrxId]], Trx[Id], Trx[Division],,0)</f>
        <v>MY</v>
      </c>
      <c r="D1245" s="7" t="str">
        <f>_xlfn.XLOOKUP(Jnl[[#This Row],[TrxId]], Trx[Id], Trx[Action],,0)</f>
        <v>内部结算</v>
      </c>
      <c r="E1245" s="26" t="s">
        <v>86</v>
      </c>
      <c r="F1245" s="11" t="s">
        <v>590</v>
      </c>
      <c r="G1245" s="11" t="s">
        <v>481</v>
      </c>
      <c r="H1245" s="72">
        <v>4265</v>
      </c>
      <c r="I1245" s="5" t="b">
        <f>AND(Jnl[[#This Row],[TrxId]]&lt;&gt;"",Jnl[[#This Row],[Acct]]&lt;&gt;"",Jnl[[#This Row],[Item]]&lt;&gt;"",ISNUMBER(Jnl[[#This Row],[Bal]]))</f>
        <v>1</v>
      </c>
      <c r="J1245" s="10">
        <f>IF(Jnl[[#This Row],[BSLv0]]="A",1,-1)*Jnl[[#This Row],[Bal]]</f>
        <v>4265</v>
      </c>
      <c r="K1245" t="str">
        <f>_xlfn.XLOOKUP(Jnl[[#This Row],[Acct]], config_BS[Acct], config_BS[Lv0],,0)</f>
        <v>A</v>
      </c>
      <c r="L1245" t="str">
        <f>_xlfn.XLOOKUP(Jnl[[#This Row],[Acct]], config_BS[Acct], config_BS[Lv1],,0)</f>
        <v>Assets</v>
      </c>
      <c r="M1245" t="str">
        <f>_xlfn.XLOOKUP(Jnl[[#This Row],[Acct]], config_BS[Acct], config_BS[Lv2],,0)</f>
        <v>Cash alike</v>
      </c>
      <c r="N1245" t="str">
        <f>_xlfn.XLOOKUP(Jnl[[#This Row],[TrxId]], Trx[Id], Trx[IncNode], ,0)</f>
        <v>Revenue</v>
      </c>
      <c r="O1245" t="str">
        <f>_xlfn.XLOOKUP(Jnl[[#This Row],[IncNode]], config_IS[Node], config_IS[Type],,0)</f>
        <v>Op</v>
      </c>
      <c r="P1245" t="str">
        <f>_xlfn.XLOOKUP(Jnl[[#This Row],[BSLv2]], dict[Key], dict[Name],,0)</f>
        <v>0.现金及类似</v>
      </c>
      <c r="Q1245" t="str">
        <f>_xlfn.XLOOKUP(Jnl[[#This Row],[Acct]], dict[Key], dict[Name],,0)</f>
        <v>银行</v>
      </c>
      <c r="R1245" t="str">
        <f>_xlfn.XLOOKUP(Jnl[[#This Row],[Vehicle]],config_vehicle[Id], config_vehicle[Name],,0)</f>
        <v>张小喜</v>
      </c>
      <c r="S1245" t="str">
        <f>_xlfn.XLOOKUP(Jnl[[#This Row],[Division]],config_div[Id], config_div[Name],,0)</f>
        <v>明月村</v>
      </c>
      <c r="T1245" t="str">
        <f>IF(Jnl[[#This Row],[TrxDate]]&lt;=stmt_BS_date_end, "In", "Out")</f>
        <v>In</v>
      </c>
      <c r="U1245" t="str">
        <f>IF(Jnl[[#This Row],[TrxDate]]&lt;debug_date_start, "prior", IF(Jnl[[#This Row],[TrxDate]]&gt;debug_date_end, "post", "curr"))</f>
        <v>curr</v>
      </c>
    </row>
    <row r="1246" spans="1:21">
      <c r="A1246" s="11" t="s">
        <v>1676</v>
      </c>
      <c r="B1246" s="7">
        <f>_xlfn.XLOOKUP(Jnl[[#This Row],[TrxId]], Trx[Id], Trx[Date],,0)</f>
        <v>46081</v>
      </c>
      <c r="C1246" s="7" t="str">
        <f>_xlfn.XLOOKUP(Jnl[[#This Row],[TrxId]], Trx[Id], Trx[Division],,0)</f>
        <v>MY</v>
      </c>
      <c r="D1246" s="7" t="str">
        <f>_xlfn.XLOOKUP(Jnl[[#This Row],[TrxId]], Trx[Id], Trx[Action],,0)</f>
        <v>内部结算</v>
      </c>
      <c r="E1246" s="26" t="s">
        <v>83</v>
      </c>
      <c r="F1246" s="11" t="s">
        <v>652</v>
      </c>
      <c r="G1246" s="11" t="s">
        <v>1125</v>
      </c>
      <c r="H1246" s="72">
        <f>H1245</f>
        <v>4265</v>
      </c>
      <c r="I1246" s="5" t="b">
        <f>AND(Jnl[[#This Row],[TrxId]]&lt;&gt;"",Jnl[[#This Row],[Acct]]&lt;&gt;"",Jnl[[#This Row],[Item]]&lt;&gt;"",ISNUMBER(Jnl[[#This Row],[Bal]]))</f>
        <v>1</v>
      </c>
      <c r="J1246" s="10">
        <f>IF(Jnl[[#This Row],[BSLv0]]="A",1,-1)*Jnl[[#This Row],[Bal]]</f>
        <v>-4265</v>
      </c>
      <c r="K1246" t="str">
        <f>_xlfn.XLOOKUP(Jnl[[#This Row],[Acct]], config_BS[Acct], config_BS[Lv0],,0)</f>
        <v>LC</v>
      </c>
      <c r="L1246" t="str">
        <f>_xlfn.XLOOKUP(Jnl[[#This Row],[Acct]], config_BS[Acct], config_BS[Lv1],,0)</f>
        <v>Liability</v>
      </c>
      <c r="M1246" t="str">
        <f>_xlfn.XLOOKUP(Jnl[[#This Row],[Acct]], config_BS[Acct], config_BS[Lv2],,0)</f>
        <v>Rec-Pay</v>
      </c>
      <c r="N1246" t="str">
        <f>_xlfn.XLOOKUP(Jnl[[#This Row],[TrxId]], Trx[Id], Trx[IncNode], ,0)</f>
        <v>Revenue</v>
      </c>
      <c r="O1246" t="str">
        <f>_xlfn.XLOOKUP(Jnl[[#This Row],[IncNode]], config_IS[Node], config_IS[Type],,0)</f>
        <v>Op</v>
      </c>
      <c r="P1246" t="str">
        <f>_xlfn.XLOOKUP(Jnl[[#This Row],[BSLv2]], dict[Key], dict[Name],,0)</f>
        <v>1.应收-应付</v>
      </c>
      <c r="Q1246" t="str">
        <f>_xlfn.XLOOKUP(Jnl[[#This Row],[Acct]], dict[Key], dict[Name],,0)</f>
        <v>应付-一般</v>
      </c>
      <c r="R1246" t="str">
        <f>_xlfn.XLOOKUP(Jnl[[#This Row],[Vehicle]],config_vehicle[Id], config_vehicle[Name],,0)</f>
        <v>远家文化</v>
      </c>
      <c r="S1246" t="str">
        <f>_xlfn.XLOOKUP(Jnl[[#This Row],[Division]],config_div[Id], config_div[Name],,0)</f>
        <v>明月村</v>
      </c>
      <c r="T1246" t="str">
        <f>IF(Jnl[[#This Row],[TrxDate]]&lt;=stmt_BS_date_end, "In", "Out")</f>
        <v>In</v>
      </c>
      <c r="U1246" t="str">
        <f>IF(Jnl[[#This Row],[TrxDate]]&lt;debug_date_start, "prior", IF(Jnl[[#This Row],[TrxDate]]&gt;debug_date_end, "post", "curr"))</f>
        <v>curr</v>
      </c>
    </row>
    <row r="1247" spans="1:21">
      <c r="A1247" s="11" t="s">
        <v>1677</v>
      </c>
      <c r="B1247" s="7">
        <f>_xlfn.XLOOKUP(Jnl[[#This Row],[TrxId]], Trx[Id], Trx[Date],,0)</f>
        <v>46081</v>
      </c>
      <c r="C1247" s="7" t="str">
        <f>_xlfn.XLOOKUP(Jnl[[#This Row],[TrxId]], Trx[Id], Trx[Division],,0)</f>
        <v>MY</v>
      </c>
      <c r="D1247" s="7" t="str">
        <f>_xlfn.XLOOKUP(Jnl[[#This Row],[TrxId]], Trx[Id], Trx[Action],,0)</f>
        <v>食材</v>
      </c>
      <c r="E1247" s="26" t="s">
        <v>88</v>
      </c>
      <c r="F1247" s="11" t="s">
        <v>590</v>
      </c>
      <c r="G1247" s="11" t="s">
        <v>1184</v>
      </c>
      <c r="H1247" s="72">
        <v>-13350.29</v>
      </c>
      <c r="I1247" s="5" t="b">
        <f>AND(Jnl[[#This Row],[TrxId]]&lt;&gt;"",Jnl[[#This Row],[Acct]]&lt;&gt;"",Jnl[[#This Row],[Item]]&lt;&gt;"",ISNUMBER(Jnl[[#This Row],[Bal]]))</f>
        <v>1</v>
      </c>
      <c r="J1247" s="10">
        <f>IF(Jnl[[#This Row],[BSLv0]]="A",1,-1)*Jnl[[#This Row],[Bal]]</f>
        <v>-13350.29</v>
      </c>
      <c r="K1247" t="str">
        <f>_xlfn.XLOOKUP(Jnl[[#This Row],[Acct]], config_BS[Acct], config_BS[Lv0],,0)</f>
        <v>A</v>
      </c>
      <c r="L1247" t="str">
        <f>_xlfn.XLOOKUP(Jnl[[#This Row],[Acct]], config_BS[Acct], config_BS[Lv1],,0)</f>
        <v>Assets</v>
      </c>
      <c r="M1247" t="str">
        <f>_xlfn.XLOOKUP(Jnl[[#This Row],[Acct]], config_BS[Acct], config_BS[Lv2],,0)</f>
        <v>Cash alike</v>
      </c>
      <c r="N1247" t="str">
        <f>_xlfn.XLOOKUP(Jnl[[#This Row],[TrxId]], Trx[Id], Trx[IncNode], ,0)</f>
        <v>Cost</v>
      </c>
      <c r="O1247" t="str">
        <f>_xlfn.XLOOKUP(Jnl[[#This Row],[IncNode]], config_IS[Node], config_IS[Type],,0)</f>
        <v>Op</v>
      </c>
      <c r="P1247" t="str">
        <f>_xlfn.XLOOKUP(Jnl[[#This Row],[BSLv2]], dict[Key], dict[Name],,0)</f>
        <v>0.现金及类似</v>
      </c>
      <c r="Q1247" t="str">
        <f>_xlfn.XLOOKUP(Jnl[[#This Row],[Acct]], dict[Key], dict[Name],,0)</f>
        <v>银行</v>
      </c>
      <c r="R1247" t="str">
        <f>_xlfn.XLOOKUP(Jnl[[#This Row],[Vehicle]],config_vehicle[Id], config_vehicle[Name],,0)</f>
        <v>郑术燕</v>
      </c>
      <c r="S1247" t="str">
        <f>_xlfn.XLOOKUP(Jnl[[#This Row],[Division]],config_div[Id], config_div[Name],,0)</f>
        <v>明月村</v>
      </c>
      <c r="T1247" t="str">
        <f>IF(Jnl[[#This Row],[TrxDate]]&lt;=stmt_BS_date_end, "In", "Out")</f>
        <v>In</v>
      </c>
      <c r="U1247" t="str">
        <f>IF(Jnl[[#This Row],[TrxDate]]&lt;debug_date_start, "prior", IF(Jnl[[#This Row],[TrxDate]]&gt;debug_date_end, "post", "curr"))</f>
        <v>curr</v>
      </c>
    </row>
    <row r="1248" spans="1:21">
      <c r="A1248" s="11" t="s">
        <v>1678</v>
      </c>
      <c r="B1248" s="7">
        <f>_xlfn.XLOOKUP(Jnl[[#This Row],[TrxId]], Trx[Id], Trx[Date],,0)</f>
        <v>46081</v>
      </c>
      <c r="C1248" s="7" t="str">
        <f>_xlfn.XLOOKUP(Jnl[[#This Row],[TrxId]], Trx[Id], Trx[Division],,0)</f>
        <v>MY</v>
      </c>
      <c r="D1248" s="7" t="str">
        <f>_xlfn.XLOOKUP(Jnl[[#This Row],[TrxId]], Trx[Id], Trx[Action],,0)</f>
        <v>食材</v>
      </c>
      <c r="E1248" s="26" t="s">
        <v>88</v>
      </c>
      <c r="F1248" s="11" t="s">
        <v>590</v>
      </c>
      <c r="G1248" s="11" t="s">
        <v>1184</v>
      </c>
      <c r="H1248" s="72">
        <v>-3234.1</v>
      </c>
      <c r="I1248" s="5" t="b">
        <f>AND(Jnl[[#This Row],[TrxId]]&lt;&gt;"",Jnl[[#This Row],[Acct]]&lt;&gt;"",Jnl[[#This Row],[Item]]&lt;&gt;"",ISNUMBER(Jnl[[#This Row],[Bal]]))</f>
        <v>1</v>
      </c>
      <c r="J1248" s="10">
        <f>IF(Jnl[[#This Row],[BSLv0]]="A",1,-1)*Jnl[[#This Row],[Bal]]</f>
        <v>-3234.1</v>
      </c>
      <c r="K1248" t="str">
        <f>_xlfn.XLOOKUP(Jnl[[#This Row],[Acct]], config_BS[Acct], config_BS[Lv0],,0)</f>
        <v>A</v>
      </c>
      <c r="L1248" t="str">
        <f>_xlfn.XLOOKUP(Jnl[[#This Row],[Acct]], config_BS[Acct], config_BS[Lv1],,0)</f>
        <v>Assets</v>
      </c>
      <c r="M1248" t="str">
        <f>_xlfn.XLOOKUP(Jnl[[#This Row],[Acct]], config_BS[Acct], config_BS[Lv2],,0)</f>
        <v>Cash alike</v>
      </c>
      <c r="N1248" t="str">
        <f>_xlfn.XLOOKUP(Jnl[[#This Row],[TrxId]], Trx[Id], Trx[IncNode], ,0)</f>
        <v>Cost</v>
      </c>
      <c r="O1248" t="str">
        <f>_xlfn.XLOOKUP(Jnl[[#This Row],[IncNode]], config_IS[Node], config_IS[Type],,0)</f>
        <v>Op</v>
      </c>
      <c r="P1248" t="str">
        <f>_xlfn.XLOOKUP(Jnl[[#This Row],[BSLv2]], dict[Key], dict[Name],,0)</f>
        <v>0.现金及类似</v>
      </c>
      <c r="Q1248" t="str">
        <f>_xlfn.XLOOKUP(Jnl[[#This Row],[Acct]], dict[Key], dict[Name],,0)</f>
        <v>银行</v>
      </c>
      <c r="R1248" t="str">
        <f>_xlfn.XLOOKUP(Jnl[[#This Row],[Vehicle]],config_vehicle[Id], config_vehicle[Name],,0)</f>
        <v>郑术燕</v>
      </c>
      <c r="S1248" t="str">
        <f>_xlfn.XLOOKUP(Jnl[[#This Row],[Division]],config_div[Id], config_div[Name],,0)</f>
        <v>明月村</v>
      </c>
      <c r="T1248" t="str">
        <f>IF(Jnl[[#This Row],[TrxDate]]&lt;=stmt_BS_date_end, "In", "Out")</f>
        <v>In</v>
      </c>
      <c r="U1248" t="str">
        <f>IF(Jnl[[#This Row],[TrxDate]]&lt;debug_date_start, "prior", IF(Jnl[[#This Row],[TrxDate]]&gt;debug_date_end, "post", "curr"))</f>
        <v>curr</v>
      </c>
    </row>
    <row r="1249" spans="1:21">
      <c r="A1249" s="11" t="s">
        <v>1679</v>
      </c>
      <c r="B1249" s="7">
        <f>_xlfn.XLOOKUP(Jnl[[#This Row],[TrxId]], Trx[Id], Trx[Date],,0)</f>
        <v>46081</v>
      </c>
      <c r="C1249" s="7" t="str">
        <f>_xlfn.XLOOKUP(Jnl[[#This Row],[TrxId]], Trx[Id], Trx[Division],,0)</f>
        <v>MY</v>
      </c>
      <c r="D1249" s="7" t="str">
        <f>_xlfn.XLOOKUP(Jnl[[#This Row],[TrxId]], Trx[Id], Trx[Action],,0)</f>
        <v>食材</v>
      </c>
      <c r="E1249" s="26" t="s">
        <v>88</v>
      </c>
      <c r="F1249" s="11" t="s">
        <v>590</v>
      </c>
      <c r="G1249" s="11" t="s">
        <v>1184</v>
      </c>
      <c r="H1249" s="72">
        <v>-9006.99</v>
      </c>
      <c r="I1249" s="5" t="b">
        <f>AND(Jnl[[#This Row],[TrxId]]&lt;&gt;"",Jnl[[#This Row],[Acct]]&lt;&gt;"",Jnl[[#This Row],[Item]]&lt;&gt;"",ISNUMBER(Jnl[[#This Row],[Bal]]))</f>
        <v>1</v>
      </c>
      <c r="J1249" s="10">
        <f>IF(Jnl[[#This Row],[BSLv0]]="A",1,-1)*Jnl[[#This Row],[Bal]]</f>
        <v>-9006.99</v>
      </c>
      <c r="K1249" t="str">
        <f>_xlfn.XLOOKUP(Jnl[[#This Row],[Acct]], config_BS[Acct], config_BS[Lv0],,0)</f>
        <v>A</v>
      </c>
      <c r="L1249" t="str">
        <f>_xlfn.XLOOKUP(Jnl[[#This Row],[Acct]], config_BS[Acct], config_BS[Lv1],,0)</f>
        <v>Assets</v>
      </c>
      <c r="M1249" t="str">
        <f>_xlfn.XLOOKUP(Jnl[[#This Row],[Acct]], config_BS[Acct], config_BS[Lv2],,0)</f>
        <v>Cash alike</v>
      </c>
      <c r="N1249" t="str">
        <f>_xlfn.XLOOKUP(Jnl[[#This Row],[TrxId]], Trx[Id], Trx[IncNode], ,0)</f>
        <v>Cost</v>
      </c>
      <c r="O1249" t="str">
        <f>_xlfn.XLOOKUP(Jnl[[#This Row],[IncNode]], config_IS[Node], config_IS[Type],,0)</f>
        <v>Op</v>
      </c>
      <c r="P1249" t="str">
        <f>_xlfn.XLOOKUP(Jnl[[#This Row],[BSLv2]], dict[Key], dict[Name],,0)</f>
        <v>0.现金及类似</v>
      </c>
      <c r="Q1249" t="str">
        <f>_xlfn.XLOOKUP(Jnl[[#This Row],[Acct]], dict[Key], dict[Name],,0)</f>
        <v>银行</v>
      </c>
      <c r="R1249" t="str">
        <f>_xlfn.XLOOKUP(Jnl[[#This Row],[Vehicle]],config_vehicle[Id], config_vehicle[Name],,0)</f>
        <v>郑术燕</v>
      </c>
      <c r="S1249" t="str">
        <f>_xlfn.XLOOKUP(Jnl[[#This Row],[Division]],config_div[Id], config_div[Name],,0)</f>
        <v>明月村</v>
      </c>
      <c r="T1249" t="str">
        <f>IF(Jnl[[#This Row],[TrxDate]]&lt;=stmt_BS_date_end, "In", "Out")</f>
        <v>In</v>
      </c>
      <c r="U1249" t="str">
        <f>IF(Jnl[[#This Row],[TrxDate]]&lt;debug_date_start, "prior", IF(Jnl[[#This Row],[TrxDate]]&gt;debug_date_end, "post", "curr"))</f>
        <v>curr</v>
      </c>
    </row>
    <row r="1250" spans="1:21">
      <c r="A1250" s="11" t="s">
        <v>1680</v>
      </c>
      <c r="B1250" s="7">
        <f>_xlfn.XLOOKUP(Jnl[[#This Row],[TrxId]], Trx[Id], Trx[Date],,0)</f>
        <v>46081</v>
      </c>
      <c r="C1250" s="7" t="str">
        <f>_xlfn.XLOOKUP(Jnl[[#This Row],[TrxId]], Trx[Id], Trx[Division],,0)</f>
        <v>MY</v>
      </c>
      <c r="D1250" s="7" t="str">
        <f>_xlfn.XLOOKUP(Jnl[[#This Row],[TrxId]], Trx[Id], Trx[Action],,0)</f>
        <v>其他材料</v>
      </c>
      <c r="E1250" s="26" t="s">
        <v>88</v>
      </c>
      <c r="F1250" s="11" t="s">
        <v>590</v>
      </c>
      <c r="G1250" s="11" t="s">
        <v>1184</v>
      </c>
      <c r="H1250" s="72">
        <v>-1319</v>
      </c>
      <c r="I1250" s="5" t="b">
        <f>AND(Jnl[[#This Row],[TrxId]]&lt;&gt;"",Jnl[[#This Row],[Acct]]&lt;&gt;"",Jnl[[#This Row],[Item]]&lt;&gt;"",ISNUMBER(Jnl[[#This Row],[Bal]]))</f>
        <v>1</v>
      </c>
      <c r="J1250" s="10">
        <f>IF(Jnl[[#This Row],[BSLv0]]="A",1,-1)*Jnl[[#This Row],[Bal]]</f>
        <v>-1319</v>
      </c>
      <c r="K1250" t="str">
        <f>_xlfn.XLOOKUP(Jnl[[#This Row],[Acct]], config_BS[Acct], config_BS[Lv0],,0)</f>
        <v>A</v>
      </c>
      <c r="L1250" t="str">
        <f>_xlfn.XLOOKUP(Jnl[[#This Row],[Acct]], config_BS[Acct], config_BS[Lv1],,0)</f>
        <v>Assets</v>
      </c>
      <c r="M1250" t="str">
        <f>_xlfn.XLOOKUP(Jnl[[#This Row],[Acct]], config_BS[Acct], config_BS[Lv2],,0)</f>
        <v>Cash alike</v>
      </c>
      <c r="N1250" t="str">
        <f>_xlfn.XLOOKUP(Jnl[[#This Row],[TrxId]], Trx[Id], Trx[IncNode], ,0)</f>
        <v>Cost</v>
      </c>
      <c r="O1250" t="str">
        <f>_xlfn.XLOOKUP(Jnl[[#This Row],[IncNode]], config_IS[Node], config_IS[Type],,0)</f>
        <v>Op</v>
      </c>
      <c r="P1250" t="str">
        <f>_xlfn.XLOOKUP(Jnl[[#This Row],[BSLv2]], dict[Key], dict[Name],,0)</f>
        <v>0.现金及类似</v>
      </c>
      <c r="Q1250" t="str">
        <f>_xlfn.XLOOKUP(Jnl[[#This Row],[Acct]], dict[Key], dict[Name],,0)</f>
        <v>银行</v>
      </c>
      <c r="R1250" t="str">
        <f>_xlfn.XLOOKUP(Jnl[[#This Row],[Vehicle]],config_vehicle[Id], config_vehicle[Name],,0)</f>
        <v>郑术燕</v>
      </c>
      <c r="S1250" t="str">
        <f>_xlfn.XLOOKUP(Jnl[[#This Row],[Division]],config_div[Id], config_div[Name],,0)</f>
        <v>明月村</v>
      </c>
      <c r="T1250" t="str">
        <f>IF(Jnl[[#This Row],[TrxDate]]&lt;=stmt_BS_date_end, "In", "Out")</f>
        <v>In</v>
      </c>
      <c r="U1250" t="str">
        <f>IF(Jnl[[#This Row],[TrxDate]]&lt;debug_date_start, "prior", IF(Jnl[[#This Row],[TrxDate]]&gt;debug_date_end, "post", "curr"))</f>
        <v>curr</v>
      </c>
    </row>
    <row r="1251" spans="1:21">
      <c r="A1251" s="11" t="s">
        <v>1681</v>
      </c>
      <c r="B1251" s="7">
        <f>_xlfn.XLOOKUP(Jnl[[#This Row],[TrxId]], Trx[Id], Trx[Date],,0)</f>
        <v>46081</v>
      </c>
      <c r="C1251" s="7" t="str">
        <f>_xlfn.XLOOKUP(Jnl[[#This Row],[TrxId]], Trx[Id], Trx[Division],,0)</f>
        <v>MY</v>
      </c>
      <c r="D1251" s="7" t="str">
        <f>_xlfn.XLOOKUP(Jnl[[#This Row],[TrxId]], Trx[Id], Trx[Action],,0)</f>
        <v>其他材料</v>
      </c>
      <c r="E1251" s="26" t="s">
        <v>88</v>
      </c>
      <c r="F1251" s="11" t="s">
        <v>590</v>
      </c>
      <c r="G1251" s="11" t="s">
        <v>1184</v>
      </c>
      <c r="H1251" s="72">
        <v>-1128.6099999999999</v>
      </c>
      <c r="I1251" s="5" t="b">
        <f>AND(Jnl[[#This Row],[TrxId]]&lt;&gt;"",Jnl[[#This Row],[Acct]]&lt;&gt;"",Jnl[[#This Row],[Item]]&lt;&gt;"",ISNUMBER(Jnl[[#This Row],[Bal]]))</f>
        <v>1</v>
      </c>
      <c r="J1251" s="10">
        <f>IF(Jnl[[#This Row],[BSLv0]]="A",1,-1)*Jnl[[#This Row],[Bal]]</f>
        <v>-1128.6099999999999</v>
      </c>
      <c r="K1251" t="str">
        <f>_xlfn.XLOOKUP(Jnl[[#This Row],[Acct]], config_BS[Acct], config_BS[Lv0],,0)</f>
        <v>A</v>
      </c>
      <c r="L1251" t="str">
        <f>_xlfn.XLOOKUP(Jnl[[#This Row],[Acct]], config_BS[Acct], config_BS[Lv1],,0)</f>
        <v>Assets</v>
      </c>
      <c r="M1251" t="str">
        <f>_xlfn.XLOOKUP(Jnl[[#This Row],[Acct]], config_BS[Acct], config_BS[Lv2],,0)</f>
        <v>Cash alike</v>
      </c>
      <c r="N1251" t="str">
        <f>_xlfn.XLOOKUP(Jnl[[#This Row],[TrxId]], Trx[Id], Trx[IncNode], ,0)</f>
        <v>Cost</v>
      </c>
      <c r="O1251" t="str">
        <f>_xlfn.XLOOKUP(Jnl[[#This Row],[IncNode]], config_IS[Node], config_IS[Type],,0)</f>
        <v>Op</v>
      </c>
      <c r="P1251" t="str">
        <f>_xlfn.XLOOKUP(Jnl[[#This Row],[BSLv2]], dict[Key], dict[Name],,0)</f>
        <v>0.现金及类似</v>
      </c>
      <c r="Q1251" t="str">
        <f>_xlfn.XLOOKUP(Jnl[[#This Row],[Acct]], dict[Key], dict[Name],,0)</f>
        <v>银行</v>
      </c>
      <c r="R1251" t="str">
        <f>_xlfn.XLOOKUP(Jnl[[#This Row],[Vehicle]],config_vehicle[Id], config_vehicle[Name],,0)</f>
        <v>郑术燕</v>
      </c>
      <c r="S1251" t="str">
        <f>_xlfn.XLOOKUP(Jnl[[#This Row],[Division]],config_div[Id], config_div[Name],,0)</f>
        <v>明月村</v>
      </c>
      <c r="T1251" t="str">
        <f>IF(Jnl[[#This Row],[TrxDate]]&lt;=stmt_BS_date_end, "In", "Out")</f>
        <v>In</v>
      </c>
      <c r="U1251" t="str">
        <f>IF(Jnl[[#This Row],[TrxDate]]&lt;debug_date_start, "prior", IF(Jnl[[#This Row],[TrxDate]]&gt;debug_date_end, "post", "curr"))</f>
        <v>curr</v>
      </c>
    </row>
    <row r="1252" spans="1:21">
      <c r="A1252" s="11" t="s">
        <v>1682</v>
      </c>
      <c r="B1252" s="7">
        <f>_xlfn.XLOOKUP(Jnl[[#This Row],[TrxId]], Trx[Id], Trx[Date],,0)</f>
        <v>46081</v>
      </c>
      <c r="C1252" s="7" t="str">
        <f>_xlfn.XLOOKUP(Jnl[[#This Row],[TrxId]], Trx[Id], Trx[Division],,0)</f>
        <v>MY</v>
      </c>
      <c r="D1252" s="7" t="str">
        <f>_xlfn.XLOOKUP(Jnl[[#This Row],[TrxId]], Trx[Id], Trx[Action],,0)</f>
        <v>办公</v>
      </c>
      <c r="E1252" s="26" t="s">
        <v>88</v>
      </c>
      <c r="F1252" s="11" t="s">
        <v>590</v>
      </c>
      <c r="G1252" s="11" t="s">
        <v>1184</v>
      </c>
      <c r="H1252" s="72">
        <v>-2242.4699999999998</v>
      </c>
      <c r="I1252" s="5" t="b">
        <f>AND(Jnl[[#This Row],[TrxId]]&lt;&gt;"",Jnl[[#This Row],[Acct]]&lt;&gt;"",Jnl[[#This Row],[Item]]&lt;&gt;"",ISNUMBER(Jnl[[#This Row],[Bal]]))</f>
        <v>1</v>
      </c>
      <c r="J1252" s="10">
        <f>IF(Jnl[[#This Row],[BSLv0]]="A",1,-1)*Jnl[[#This Row],[Bal]]</f>
        <v>-2242.4699999999998</v>
      </c>
      <c r="K1252" t="str">
        <f>_xlfn.XLOOKUP(Jnl[[#This Row],[Acct]], config_BS[Acct], config_BS[Lv0],,0)</f>
        <v>A</v>
      </c>
      <c r="L1252" t="str">
        <f>_xlfn.XLOOKUP(Jnl[[#This Row],[Acct]], config_BS[Acct], config_BS[Lv1],,0)</f>
        <v>Assets</v>
      </c>
      <c r="M1252" t="str">
        <f>_xlfn.XLOOKUP(Jnl[[#This Row],[Acct]], config_BS[Acct], config_BS[Lv2],,0)</f>
        <v>Cash alike</v>
      </c>
      <c r="N1252" t="str">
        <f>_xlfn.XLOOKUP(Jnl[[#This Row],[TrxId]], Trx[Id], Trx[IncNode], ,0)</f>
        <v>Expense</v>
      </c>
      <c r="O1252" t="str">
        <f>_xlfn.XLOOKUP(Jnl[[#This Row],[IncNode]], config_IS[Node], config_IS[Type],,0)</f>
        <v>Op</v>
      </c>
      <c r="P1252" t="str">
        <f>_xlfn.XLOOKUP(Jnl[[#This Row],[BSLv2]], dict[Key], dict[Name],,0)</f>
        <v>0.现金及类似</v>
      </c>
      <c r="Q1252" t="str">
        <f>_xlfn.XLOOKUP(Jnl[[#This Row],[Acct]], dict[Key], dict[Name],,0)</f>
        <v>银行</v>
      </c>
      <c r="R1252" t="str">
        <f>_xlfn.XLOOKUP(Jnl[[#This Row],[Vehicle]],config_vehicle[Id], config_vehicle[Name],,0)</f>
        <v>郑术燕</v>
      </c>
      <c r="S1252" t="str">
        <f>_xlfn.XLOOKUP(Jnl[[#This Row],[Division]],config_div[Id], config_div[Name],,0)</f>
        <v>明月村</v>
      </c>
      <c r="T1252" t="str">
        <f>IF(Jnl[[#This Row],[TrxDate]]&lt;=stmt_BS_date_end, "In", "Out")</f>
        <v>In</v>
      </c>
      <c r="U1252" t="str">
        <f>IF(Jnl[[#This Row],[TrxDate]]&lt;debug_date_start, "prior", IF(Jnl[[#This Row],[TrxDate]]&gt;debug_date_end, "post", "curr"))</f>
        <v>curr</v>
      </c>
    </row>
    <row r="1253" spans="1:21">
      <c r="A1253" s="11" t="s">
        <v>1684</v>
      </c>
      <c r="B1253" s="7">
        <f>_xlfn.XLOOKUP(Jnl[[#This Row],[TrxId]], Trx[Id], Trx[Date],,0)</f>
        <v>46081</v>
      </c>
      <c r="C1253" s="7" t="str">
        <f>_xlfn.XLOOKUP(Jnl[[#This Row],[TrxId]], Trx[Id], Trx[Division],,0)</f>
        <v>GM</v>
      </c>
      <c r="D1253" s="7" t="str">
        <f>_xlfn.XLOOKUP(Jnl[[#This Row],[TrxId]], Trx[Id], Trx[Action],,0)</f>
        <v>公共设施</v>
      </c>
      <c r="E1253" s="26" t="s">
        <v>88</v>
      </c>
      <c r="F1253" s="11" t="s">
        <v>590</v>
      </c>
      <c r="G1253" s="11" t="s">
        <v>1184</v>
      </c>
      <c r="H1253" s="72">
        <v>-9000</v>
      </c>
      <c r="I1253" s="5" t="b">
        <f>AND(Jnl[[#This Row],[TrxId]]&lt;&gt;"",Jnl[[#This Row],[Acct]]&lt;&gt;"",Jnl[[#This Row],[Item]]&lt;&gt;"",ISNUMBER(Jnl[[#This Row],[Bal]]))</f>
        <v>1</v>
      </c>
      <c r="J1253" s="10">
        <f>IF(Jnl[[#This Row],[BSLv0]]="A",1,-1)*Jnl[[#This Row],[Bal]]</f>
        <v>-9000</v>
      </c>
      <c r="K1253" t="str">
        <f>_xlfn.XLOOKUP(Jnl[[#This Row],[Acct]], config_BS[Acct], config_BS[Lv0],,0)</f>
        <v>A</v>
      </c>
      <c r="L1253" t="str">
        <f>_xlfn.XLOOKUP(Jnl[[#This Row],[Acct]], config_BS[Acct], config_BS[Lv1],,0)</f>
        <v>Assets</v>
      </c>
      <c r="M1253" t="str">
        <f>_xlfn.XLOOKUP(Jnl[[#This Row],[Acct]], config_BS[Acct], config_BS[Lv2],,0)</f>
        <v>Cash alike</v>
      </c>
      <c r="N1253" t="str">
        <f>_xlfn.XLOOKUP(Jnl[[#This Row],[TrxId]], Trx[Id], Trx[IncNode], ,0)</f>
        <v>Expense</v>
      </c>
      <c r="O1253" t="str">
        <f>_xlfn.XLOOKUP(Jnl[[#This Row],[IncNode]], config_IS[Node], config_IS[Type],,0)</f>
        <v>Op</v>
      </c>
      <c r="P1253" t="str">
        <f>_xlfn.XLOOKUP(Jnl[[#This Row],[BSLv2]], dict[Key], dict[Name],,0)</f>
        <v>0.现金及类似</v>
      </c>
      <c r="Q1253" t="str">
        <f>_xlfn.XLOOKUP(Jnl[[#This Row],[Acct]], dict[Key], dict[Name],,0)</f>
        <v>银行</v>
      </c>
      <c r="R1253" t="str">
        <f>_xlfn.XLOOKUP(Jnl[[#This Row],[Vehicle]],config_vehicle[Id], config_vehicle[Name],,0)</f>
        <v>郑术燕</v>
      </c>
      <c r="S1253" t="str">
        <f>_xlfn.XLOOKUP(Jnl[[#This Row],[Division]],config_div[Id], config_div[Name],,0)</f>
        <v>综合管理</v>
      </c>
      <c r="T1253" t="str">
        <f>IF(Jnl[[#This Row],[TrxDate]]&lt;=stmt_BS_date_end, "In", "Out")</f>
        <v>In</v>
      </c>
      <c r="U1253" t="str">
        <f>IF(Jnl[[#This Row],[TrxDate]]&lt;debug_date_start, "prior", IF(Jnl[[#This Row],[TrxDate]]&gt;debug_date_end, "post", "curr"))</f>
        <v>curr</v>
      </c>
    </row>
    <row r="1254" spans="1:21">
      <c r="A1254" s="11" t="s">
        <v>1685</v>
      </c>
      <c r="B1254" s="7">
        <f>_xlfn.XLOOKUP(Jnl[[#This Row],[TrxId]], Trx[Id], Trx[Date],,0)</f>
        <v>46081</v>
      </c>
      <c r="C1254" s="7" t="str">
        <f>_xlfn.XLOOKUP(Jnl[[#This Row],[TrxId]], Trx[Id], Trx[Division],,0)</f>
        <v>MY</v>
      </c>
      <c r="D1254" s="7" t="str">
        <f>_xlfn.XLOOKUP(Jnl[[#This Row],[TrxId]], Trx[Id], Trx[Action],,0)</f>
        <v>其他材料</v>
      </c>
      <c r="E1254" s="26" t="s">
        <v>88</v>
      </c>
      <c r="F1254" s="11" t="s">
        <v>590</v>
      </c>
      <c r="G1254" s="11" t="s">
        <v>1184</v>
      </c>
      <c r="H1254" s="72">
        <v>-2148.4699999999998</v>
      </c>
      <c r="I1254" s="5" t="b">
        <f>AND(Jnl[[#This Row],[TrxId]]&lt;&gt;"",Jnl[[#This Row],[Acct]]&lt;&gt;"",Jnl[[#This Row],[Item]]&lt;&gt;"",ISNUMBER(Jnl[[#This Row],[Bal]]))</f>
        <v>1</v>
      </c>
      <c r="J1254" s="10">
        <f>IF(Jnl[[#This Row],[BSLv0]]="A",1,-1)*Jnl[[#This Row],[Bal]]</f>
        <v>-2148.4699999999998</v>
      </c>
      <c r="K1254" t="str">
        <f>_xlfn.XLOOKUP(Jnl[[#This Row],[Acct]], config_BS[Acct], config_BS[Lv0],,0)</f>
        <v>A</v>
      </c>
      <c r="L1254" t="str">
        <f>_xlfn.XLOOKUP(Jnl[[#This Row],[Acct]], config_BS[Acct], config_BS[Lv1],,0)</f>
        <v>Assets</v>
      </c>
      <c r="M1254" t="str">
        <f>_xlfn.XLOOKUP(Jnl[[#This Row],[Acct]], config_BS[Acct], config_BS[Lv2],,0)</f>
        <v>Cash alike</v>
      </c>
      <c r="N1254" t="str">
        <f>_xlfn.XLOOKUP(Jnl[[#This Row],[TrxId]], Trx[Id], Trx[IncNode], ,0)</f>
        <v>Cost</v>
      </c>
      <c r="O1254" t="str">
        <f>_xlfn.XLOOKUP(Jnl[[#This Row],[IncNode]], config_IS[Node], config_IS[Type],,0)</f>
        <v>Op</v>
      </c>
      <c r="P1254" t="str">
        <f>_xlfn.XLOOKUP(Jnl[[#This Row],[BSLv2]], dict[Key], dict[Name],,0)</f>
        <v>0.现金及类似</v>
      </c>
      <c r="Q1254" t="str">
        <f>_xlfn.XLOOKUP(Jnl[[#This Row],[Acct]], dict[Key], dict[Name],,0)</f>
        <v>银行</v>
      </c>
      <c r="R1254" t="str">
        <f>_xlfn.XLOOKUP(Jnl[[#This Row],[Vehicle]],config_vehicle[Id], config_vehicle[Name],,0)</f>
        <v>郑术燕</v>
      </c>
      <c r="S1254" t="str">
        <f>_xlfn.XLOOKUP(Jnl[[#This Row],[Division]],config_div[Id], config_div[Name],,0)</f>
        <v>明月村</v>
      </c>
      <c r="T1254" t="str">
        <f>IF(Jnl[[#This Row],[TrxDate]]&lt;=stmt_BS_date_end, "In", "Out")</f>
        <v>In</v>
      </c>
      <c r="U1254" t="str">
        <f>IF(Jnl[[#This Row],[TrxDate]]&lt;debug_date_start, "prior", IF(Jnl[[#This Row],[TrxDate]]&gt;debug_date_end, "post", "curr"))</f>
        <v>curr</v>
      </c>
    </row>
    <row r="1255" spans="1:21">
      <c r="A1255" s="11" t="s">
        <v>1687</v>
      </c>
      <c r="B1255" s="7">
        <f>_xlfn.XLOOKUP(Jnl[[#This Row],[TrxId]], Trx[Id], Trx[Date],,0)</f>
        <v>46081</v>
      </c>
      <c r="C1255" s="7" t="str">
        <f>_xlfn.XLOOKUP(Jnl[[#This Row],[TrxId]], Trx[Id], Trx[Division],,0)</f>
        <v>MY</v>
      </c>
      <c r="D1255" s="7" t="str">
        <f>_xlfn.XLOOKUP(Jnl[[#This Row],[TrxId]], Trx[Id], Trx[Action],,0)</f>
        <v>办公</v>
      </c>
      <c r="E1255" s="26" t="s">
        <v>88</v>
      </c>
      <c r="F1255" s="11" t="s">
        <v>590</v>
      </c>
      <c r="G1255" s="11" t="s">
        <v>1184</v>
      </c>
      <c r="H1255" s="72">
        <v>15</v>
      </c>
      <c r="I1255" s="5" t="b">
        <f>AND(Jnl[[#This Row],[TrxId]]&lt;&gt;"",Jnl[[#This Row],[Acct]]&lt;&gt;"",Jnl[[#This Row],[Item]]&lt;&gt;"",ISNUMBER(Jnl[[#This Row],[Bal]]))</f>
        <v>1</v>
      </c>
      <c r="J1255" s="10">
        <f>IF(Jnl[[#This Row],[BSLv0]]="A",1,-1)*Jnl[[#This Row],[Bal]]</f>
        <v>15</v>
      </c>
      <c r="K1255" t="str">
        <f>_xlfn.XLOOKUP(Jnl[[#This Row],[Acct]], config_BS[Acct], config_BS[Lv0],,0)</f>
        <v>A</v>
      </c>
      <c r="L1255" t="str">
        <f>_xlfn.XLOOKUP(Jnl[[#This Row],[Acct]], config_BS[Acct], config_BS[Lv1],,0)</f>
        <v>Assets</v>
      </c>
      <c r="M1255" t="str">
        <f>_xlfn.XLOOKUP(Jnl[[#This Row],[Acct]], config_BS[Acct], config_BS[Lv2],,0)</f>
        <v>Cash alike</v>
      </c>
      <c r="N1255" t="str">
        <f>_xlfn.XLOOKUP(Jnl[[#This Row],[TrxId]], Trx[Id], Trx[IncNode], ,0)</f>
        <v>Expense</v>
      </c>
      <c r="O1255" t="str">
        <f>_xlfn.XLOOKUP(Jnl[[#This Row],[IncNode]], config_IS[Node], config_IS[Type],,0)</f>
        <v>Op</v>
      </c>
      <c r="P1255" t="str">
        <f>_xlfn.XLOOKUP(Jnl[[#This Row],[BSLv2]], dict[Key], dict[Name],,0)</f>
        <v>0.现金及类似</v>
      </c>
      <c r="Q1255" t="str">
        <f>_xlfn.XLOOKUP(Jnl[[#This Row],[Acct]], dict[Key], dict[Name],,0)</f>
        <v>银行</v>
      </c>
      <c r="R1255" t="str">
        <f>_xlfn.XLOOKUP(Jnl[[#This Row],[Vehicle]],config_vehicle[Id], config_vehicle[Name],,0)</f>
        <v>郑术燕</v>
      </c>
      <c r="S1255" t="str">
        <f>_xlfn.XLOOKUP(Jnl[[#This Row],[Division]],config_div[Id], config_div[Name],,0)</f>
        <v>明月村</v>
      </c>
      <c r="T1255" t="str">
        <f>IF(Jnl[[#This Row],[TrxDate]]&lt;=stmt_BS_date_end, "In", "Out")</f>
        <v>In</v>
      </c>
      <c r="U1255" t="str">
        <f>IF(Jnl[[#This Row],[TrxDate]]&lt;debug_date_start, "prior", IF(Jnl[[#This Row],[TrxDate]]&gt;debug_date_end, "post", "curr"))</f>
        <v>curr</v>
      </c>
    </row>
    <row r="1256" spans="1:21">
      <c r="A1256" s="11" t="s">
        <v>1690</v>
      </c>
      <c r="B1256" s="7">
        <f>_xlfn.XLOOKUP(Jnl[[#This Row],[TrxId]], Trx[Id], Trx[Date],,0)</f>
        <v>46081</v>
      </c>
      <c r="C1256" s="7" t="str">
        <f>_xlfn.XLOOKUP(Jnl[[#This Row],[TrxId]], Trx[Id], Trx[Division],,0)</f>
        <v>MY</v>
      </c>
      <c r="D1256" s="7" t="str">
        <f>_xlfn.XLOOKUP(Jnl[[#This Row],[TrxId]], Trx[Id], Trx[Action],,0)</f>
        <v>办公</v>
      </c>
      <c r="E1256" s="26" t="s">
        <v>88</v>
      </c>
      <c r="F1256" s="11" t="s">
        <v>590</v>
      </c>
      <c r="G1256" s="11" t="s">
        <v>1184</v>
      </c>
      <c r="H1256" s="72">
        <v>-2</v>
      </c>
      <c r="I1256" s="5" t="b">
        <f>AND(Jnl[[#This Row],[TrxId]]&lt;&gt;"",Jnl[[#This Row],[Acct]]&lt;&gt;"",Jnl[[#This Row],[Item]]&lt;&gt;"",ISNUMBER(Jnl[[#This Row],[Bal]]))</f>
        <v>1</v>
      </c>
      <c r="J1256" s="10">
        <f>IF(Jnl[[#This Row],[BSLv0]]="A",1,-1)*Jnl[[#This Row],[Bal]]</f>
        <v>-2</v>
      </c>
      <c r="K1256" t="str">
        <f>_xlfn.XLOOKUP(Jnl[[#This Row],[Acct]], config_BS[Acct], config_BS[Lv0],,0)</f>
        <v>A</v>
      </c>
      <c r="L1256" t="str">
        <f>_xlfn.XLOOKUP(Jnl[[#This Row],[Acct]], config_BS[Acct], config_BS[Lv1],,0)</f>
        <v>Assets</v>
      </c>
      <c r="M1256" t="str">
        <f>_xlfn.XLOOKUP(Jnl[[#This Row],[Acct]], config_BS[Acct], config_BS[Lv2],,0)</f>
        <v>Cash alike</v>
      </c>
      <c r="N1256" t="str">
        <f>_xlfn.XLOOKUP(Jnl[[#This Row],[TrxId]], Trx[Id], Trx[IncNode], ,0)</f>
        <v>Expense</v>
      </c>
      <c r="O1256" t="str">
        <f>_xlfn.XLOOKUP(Jnl[[#This Row],[IncNode]], config_IS[Node], config_IS[Type],,0)</f>
        <v>Op</v>
      </c>
      <c r="P1256" t="str">
        <f>_xlfn.XLOOKUP(Jnl[[#This Row],[BSLv2]], dict[Key], dict[Name],,0)</f>
        <v>0.现金及类似</v>
      </c>
      <c r="Q1256" t="str">
        <f>_xlfn.XLOOKUP(Jnl[[#This Row],[Acct]], dict[Key], dict[Name],,0)</f>
        <v>银行</v>
      </c>
      <c r="R1256" t="str">
        <f>_xlfn.XLOOKUP(Jnl[[#This Row],[Vehicle]],config_vehicle[Id], config_vehicle[Name],,0)</f>
        <v>郑术燕</v>
      </c>
      <c r="S1256" t="str">
        <f>_xlfn.XLOOKUP(Jnl[[#This Row],[Division]],config_div[Id], config_div[Name],,0)</f>
        <v>明月村</v>
      </c>
      <c r="T1256" t="str">
        <f>IF(Jnl[[#This Row],[TrxDate]]&lt;=stmt_BS_date_end, "In", "Out")</f>
        <v>In</v>
      </c>
      <c r="U1256" t="str">
        <f>IF(Jnl[[#This Row],[TrxDate]]&lt;debug_date_start, "prior", IF(Jnl[[#This Row],[TrxDate]]&gt;debug_date_end, "post", "curr"))</f>
        <v>curr</v>
      </c>
    </row>
    <row r="1257" spans="1:21">
      <c r="A1257" s="11" t="s">
        <v>1692</v>
      </c>
      <c r="B1257" s="7">
        <f>_xlfn.XLOOKUP(Jnl[[#This Row],[TrxId]], Trx[Id], Trx[Date],,0)</f>
        <v>46081</v>
      </c>
      <c r="C1257" s="7" t="str">
        <f>_xlfn.XLOOKUP(Jnl[[#This Row],[TrxId]], Trx[Id], Trx[Division],,0)</f>
        <v>MY</v>
      </c>
      <c r="D1257" s="7" t="str">
        <f>_xlfn.XLOOKUP(Jnl[[#This Row],[TrxId]], Trx[Id], Trx[Action],,0)</f>
        <v>办公</v>
      </c>
      <c r="E1257" s="26" t="s">
        <v>88</v>
      </c>
      <c r="F1257" s="11" t="s">
        <v>590</v>
      </c>
      <c r="G1257" s="11" t="s">
        <v>1184</v>
      </c>
      <c r="H1257" s="72">
        <v>-10</v>
      </c>
      <c r="I1257" s="5" t="b">
        <f>AND(Jnl[[#This Row],[TrxId]]&lt;&gt;"",Jnl[[#This Row],[Acct]]&lt;&gt;"",Jnl[[#This Row],[Item]]&lt;&gt;"",ISNUMBER(Jnl[[#This Row],[Bal]]))</f>
        <v>1</v>
      </c>
      <c r="J1257" s="10">
        <f>IF(Jnl[[#This Row],[BSLv0]]="A",1,-1)*Jnl[[#This Row],[Bal]]</f>
        <v>-10</v>
      </c>
      <c r="K1257" t="str">
        <f>_xlfn.XLOOKUP(Jnl[[#This Row],[Acct]], config_BS[Acct], config_BS[Lv0],,0)</f>
        <v>A</v>
      </c>
      <c r="L1257" t="str">
        <f>_xlfn.XLOOKUP(Jnl[[#This Row],[Acct]], config_BS[Acct], config_BS[Lv1],,0)</f>
        <v>Assets</v>
      </c>
      <c r="M1257" t="str">
        <f>_xlfn.XLOOKUP(Jnl[[#This Row],[Acct]], config_BS[Acct], config_BS[Lv2],,0)</f>
        <v>Cash alike</v>
      </c>
      <c r="N1257" t="str">
        <f>_xlfn.XLOOKUP(Jnl[[#This Row],[TrxId]], Trx[Id], Trx[IncNode], ,0)</f>
        <v>Expense</v>
      </c>
      <c r="O1257" t="str">
        <f>_xlfn.XLOOKUP(Jnl[[#This Row],[IncNode]], config_IS[Node], config_IS[Type],,0)</f>
        <v>Op</v>
      </c>
      <c r="P1257" t="str">
        <f>_xlfn.XLOOKUP(Jnl[[#This Row],[BSLv2]], dict[Key], dict[Name],,0)</f>
        <v>0.现金及类似</v>
      </c>
      <c r="Q1257" t="str">
        <f>_xlfn.XLOOKUP(Jnl[[#This Row],[Acct]], dict[Key], dict[Name],,0)</f>
        <v>银行</v>
      </c>
      <c r="R1257" t="str">
        <f>_xlfn.XLOOKUP(Jnl[[#This Row],[Vehicle]],config_vehicle[Id], config_vehicle[Name],,0)</f>
        <v>郑术燕</v>
      </c>
      <c r="S1257" t="str">
        <f>_xlfn.XLOOKUP(Jnl[[#This Row],[Division]],config_div[Id], config_div[Name],,0)</f>
        <v>明月村</v>
      </c>
      <c r="T1257" t="str">
        <f>IF(Jnl[[#This Row],[TrxDate]]&lt;=stmt_BS_date_end, "In", "Out")</f>
        <v>In</v>
      </c>
      <c r="U1257" t="str">
        <f>IF(Jnl[[#This Row],[TrxDate]]&lt;debug_date_start, "prior", IF(Jnl[[#This Row],[TrxDate]]&gt;debug_date_end, "post", "curr"))</f>
        <v>curr</v>
      </c>
    </row>
    <row r="1258" spans="1:21">
      <c r="A1258" s="11" t="s">
        <v>1694</v>
      </c>
      <c r="B1258" s="7">
        <f>_xlfn.XLOOKUP(Jnl[[#This Row],[TrxId]], Trx[Id], Trx[Date],,0)</f>
        <v>46081</v>
      </c>
      <c r="C1258" s="7" t="str">
        <f>_xlfn.XLOOKUP(Jnl[[#This Row],[TrxId]], Trx[Id], Trx[Division],,0)</f>
        <v>MY</v>
      </c>
      <c r="D1258" s="7" t="str">
        <f>_xlfn.XLOOKUP(Jnl[[#This Row],[TrxId]], Trx[Id], Trx[Action],,0)</f>
        <v>其他材料</v>
      </c>
      <c r="E1258" s="26" t="s">
        <v>88</v>
      </c>
      <c r="F1258" s="11" t="s">
        <v>590</v>
      </c>
      <c r="G1258" s="11" t="s">
        <v>1184</v>
      </c>
      <c r="H1258" s="72">
        <v>146</v>
      </c>
      <c r="I1258" s="5" t="b">
        <f>AND(Jnl[[#This Row],[TrxId]]&lt;&gt;"",Jnl[[#This Row],[Acct]]&lt;&gt;"",Jnl[[#This Row],[Item]]&lt;&gt;"",ISNUMBER(Jnl[[#This Row],[Bal]]))</f>
        <v>1</v>
      </c>
      <c r="J1258" s="10">
        <f>IF(Jnl[[#This Row],[BSLv0]]="A",1,-1)*Jnl[[#This Row],[Bal]]</f>
        <v>146</v>
      </c>
      <c r="K1258" t="str">
        <f>_xlfn.XLOOKUP(Jnl[[#This Row],[Acct]], config_BS[Acct], config_BS[Lv0],,0)</f>
        <v>A</v>
      </c>
      <c r="L1258" t="str">
        <f>_xlfn.XLOOKUP(Jnl[[#This Row],[Acct]], config_BS[Acct], config_BS[Lv1],,0)</f>
        <v>Assets</v>
      </c>
      <c r="M1258" t="str">
        <f>_xlfn.XLOOKUP(Jnl[[#This Row],[Acct]], config_BS[Acct], config_BS[Lv2],,0)</f>
        <v>Cash alike</v>
      </c>
      <c r="N1258" t="str">
        <f>_xlfn.XLOOKUP(Jnl[[#This Row],[TrxId]], Trx[Id], Trx[IncNode], ,0)</f>
        <v>Cost</v>
      </c>
      <c r="O1258" t="str">
        <f>_xlfn.XLOOKUP(Jnl[[#This Row],[IncNode]], config_IS[Node], config_IS[Type],,0)</f>
        <v>Op</v>
      </c>
      <c r="P1258" t="str">
        <f>_xlfn.XLOOKUP(Jnl[[#This Row],[BSLv2]], dict[Key], dict[Name],,0)</f>
        <v>0.现金及类似</v>
      </c>
      <c r="Q1258" t="str">
        <f>_xlfn.XLOOKUP(Jnl[[#This Row],[Acct]], dict[Key], dict[Name],,0)</f>
        <v>银行</v>
      </c>
      <c r="R1258" t="str">
        <f>_xlfn.XLOOKUP(Jnl[[#This Row],[Vehicle]],config_vehicle[Id], config_vehicle[Name],,0)</f>
        <v>郑术燕</v>
      </c>
      <c r="S1258" t="str">
        <f>_xlfn.XLOOKUP(Jnl[[#This Row],[Division]],config_div[Id], config_div[Name],,0)</f>
        <v>明月村</v>
      </c>
      <c r="T1258" t="str">
        <f>IF(Jnl[[#This Row],[TrxDate]]&lt;=stmt_BS_date_end, "In", "Out")</f>
        <v>In</v>
      </c>
      <c r="U1258" t="str">
        <f>IF(Jnl[[#This Row],[TrxDate]]&lt;debug_date_start, "prior", IF(Jnl[[#This Row],[TrxDate]]&gt;debug_date_end, "post", "curr"))</f>
        <v>curr</v>
      </c>
    </row>
    <row r="1259" spans="1:21">
      <c r="A1259" s="11" t="s">
        <v>1696</v>
      </c>
      <c r="B1259" s="7">
        <f>_xlfn.XLOOKUP(Jnl[[#This Row],[TrxId]], Trx[Id], Trx[Date],,0)</f>
        <v>46081</v>
      </c>
      <c r="C1259" s="7" t="str">
        <f>_xlfn.XLOOKUP(Jnl[[#This Row],[TrxId]], Trx[Id], Trx[Division],,0)</f>
        <v>MY</v>
      </c>
      <c r="D1259" s="7" t="str">
        <f>_xlfn.XLOOKUP(Jnl[[#This Row],[TrxId]], Trx[Id], Trx[Action],,0)</f>
        <v>其他材料</v>
      </c>
      <c r="E1259" s="26" t="s">
        <v>88</v>
      </c>
      <c r="F1259" s="11" t="s">
        <v>590</v>
      </c>
      <c r="G1259" s="11" t="s">
        <v>1184</v>
      </c>
      <c r="H1259" s="72">
        <v>207.66</v>
      </c>
      <c r="I1259" s="5" t="b">
        <f>AND(Jnl[[#This Row],[TrxId]]&lt;&gt;"",Jnl[[#This Row],[Acct]]&lt;&gt;"",Jnl[[#This Row],[Item]]&lt;&gt;"",ISNUMBER(Jnl[[#This Row],[Bal]]))</f>
        <v>1</v>
      </c>
      <c r="J1259" s="10">
        <f>IF(Jnl[[#This Row],[BSLv0]]="A",1,-1)*Jnl[[#This Row],[Bal]]</f>
        <v>207.66</v>
      </c>
      <c r="K1259" t="str">
        <f>_xlfn.XLOOKUP(Jnl[[#This Row],[Acct]], config_BS[Acct], config_BS[Lv0],,0)</f>
        <v>A</v>
      </c>
      <c r="L1259" t="str">
        <f>_xlfn.XLOOKUP(Jnl[[#This Row],[Acct]], config_BS[Acct], config_BS[Lv1],,0)</f>
        <v>Assets</v>
      </c>
      <c r="M1259" t="str">
        <f>_xlfn.XLOOKUP(Jnl[[#This Row],[Acct]], config_BS[Acct], config_BS[Lv2],,0)</f>
        <v>Cash alike</v>
      </c>
      <c r="N1259" t="str">
        <f>_xlfn.XLOOKUP(Jnl[[#This Row],[TrxId]], Trx[Id], Trx[IncNode], ,0)</f>
        <v>Cost</v>
      </c>
      <c r="O1259" t="str">
        <f>_xlfn.XLOOKUP(Jnl[[#This Row],[IncNode]], config_IS[Node], config_IS[Type],,0)</f>
        <v>Op</v>
      </c>
      <c r="P1259" t="str">
        <f>_xlfn.XLOOKUP(Jnl[[#This Row],[BSLv2]], dict[Key], dict[Name],,0)</f>
        <v>0.现金及类似</v>
      </c>
      <c r="Q1259" t="str">
        <f>_xlfn.XLOOKUP(Jnl[[#This Row],[Acct]], dict[Key], dict[Name],,0)</f>
        <v>银行</v>
      </c>
      <c r="R1259" t="str">
        <f>_xlfn.XLOOKUP(Jnl[[#This Row],[Vehicle]],config_vehicle[Id], config_vehicle[Name],,0)</f>
        <v>郑术燕</v>
      </c>
      <c r="S1259" t="str">
        <f>_xlfn.XLOOKUP(Jnl[[#This Row],[Division]],config_div[Id], config_div[Name],,0)</f>
        <v>明月村</v>
      </c>
      <c r="T1259" t="str">
        <f>IF(Jnl[[#This Row],[TrxDate]]&lt;=stmt_BS_date_end, "In", "Out")</f>
        <v>In</v>
      </c>
      <c r="U1259" t="str">
        <f>IF(Jnl[[#This Row],[TrxDate]]&lt;debug_date_start, "prior", IF(Jnl[[#This Row],[TrxDate]]&gt;debug_date_end, "post", "curr"))</f>
        <v>curr</v>
      </c>
    </row>
    <row r="1260" spans="1:21">
      <c r="A1260" s="11" t="s">
        <v>1697</v>
      </c>
      <c r="B1260" s="7">
        <f>_xlfn.XLOOKUP(Jnl[[#This Row],[TrxId]], Trx[Id], Trx[Date],,0)</f>
        <v>46081</v>
      </c>
      <c r="C1260" s="7" t="str">
        <f>_xlfn.XLOOKUP(Jnl[[#This Row],[TrxId]], Trx[Id], Trx[Division],,0)</f>
        <v>MY</v>
      </c>
      <c r="D1260" s="7" t="str">
        <f>_xlfn.XLOOKUP(Jnl[[#This Row],[TrxId]], Trx[Id], Trx[Action],,0)</f>
        <v>食材</v>
      </c>
      <c r="E1260" s="26" t="s">
        <v>88</v>
      </c>
      <c r="F1260" s="11" t="s">
        <v>590</v>
      </c>
      <c r="G1260" s="11" t="s">
        <v>1184</v>
      </c>
      <c r="H1260" s="72">
        <v>167.8</v>
      </c>
      <c r="I1260" s="5" t="b">
        <f>AND(Jnl[[#This Row],[TrxId]]&lt;&gt;"",Jnl[[#This Row],[Acct]]&lt;&gt;"",Jnl[[#This Row],[Item]]&lt;&gt;"",ISNUMBER(Jnl[[#This Row],[Bal]]))</f>
        <v>1</v>
      </c>
      <c r="J1260" s="10">
        <f>IF(Jnl[[#This Row],[BSLv0]]="A",1,-1)*Jnl[[#This Row],[Bal]]</f>
        <v>167.8</v>
      </c>
      <c r="K1260" t="str">
        <f>_xlfn.XLOOKUP(Jnl[[#This Row],[Acct]], config_BS[Acct], config_BS[Lv0],,0)</f>
        <v>A</v>
      </c>
      <c r="L1260" t="str">
        <f>_xlfn.XLOOKUP(Jnl[[#This Row],[Acct]], config_BS[Acct], config_BS[Lv1],,0)</f>
        <v>Assets</v>
      </c>
      <c r="M1260" t="str">
        <f>_xlfn.XLOOKUP(Jnl[[#This Row],[Acct]], config_BS[Acct], config_BS[Lv2],,0)</f>
        <v>Cash alike</v>
      </c>
      <c r="N1260" t="str">
        <f>_xlfn.XLOOKUP(Jnl[[#This Row],[TrxId]], Trx[Id], Trx[IncNode], ,0)</f>
        <v>Cost</v>
      </c>
      <c r="O1260" t="str">
        <f>_xlfn.XLOOKUP(Jnl[[#This Row],[IncNode]], config_IS[Node], config_IS[Type],,0)</f>
        <v>Op</v>
      </c>
      <c r="P1260" t="str">
        <f>_xlfn.XLOOKUP(Jnl[[#This Row],[BSLv2]], dict[Key], dict[Name],,0)</f>
        <v>0.现金及类似</v>
      </c>
      <c r="Q1260" t="str">
        <f>_xlfn.XLOOKUP(Jnl[[#This Row],[Acct]], dict[Key], dict[Name],,0)</f>
        <v>银行</v>
      </c>
      <c r="R1260" t="str">
        <f>_xlfn.XLOOKUP(Jnl[[#This Row],[Vehicle]],config_vehicle[Id], config_vehicle[Name],,0)</f>
        <v>郑术燕</v>
      </c>
      <c r="S1260" t="str">
        <f>_xlfn.XLOOKUP(Jnl[[#This Row],[Division]],config_div[Id], config_div[Name],,0)</f>
        <v>明月村</v>
      </c>
      <c r="T1260" t="str">
        <f>IF(Jnl[[#This Row],[TrxDate]]&lt;=stmt_BS_date_end, "In", "Out")</f>
        <v>In</v>
      </c>
      <c r="U1260" t="str">
        <f>IF(Jnl[[#This Row],[TrxDate]]&lt;debug_date_start, "prior", IF(Jnl[[#This Row],[TrxDate]]&gt;debug_date_end, "post", "curr"))</f>
        <v>curr</v>
      </c>
    </row>
    <row r="1261" spans="1:21">
      <c r="A1261" s="11" t="s">
        <v>1698</v>
      </c>
      <c r="B1261" s="7">
        <f>_xlfn.XLOOKUP(Jnl[[#This Row],[TrxId]], Trx[Id], Trx[Date],,0)</f>
        <v>46081</v>
      </c>
      <c r="C1261" s="7" t="str">
        <f>_xlfn.XLOOKUP(Jnl[[#This Row],[TrxId]], Trx[Id], Trx[Division],,0)</f>
        <v>MY</v>
      </c>
      <c r="D1261" s="7" t="str">
        <f>_xlfn.XLOOKUP(Jnl[[#This Row],[TrxId]], Trx[Id], Trx[Action],,0)</f>
        <v>收款</v>
      </c>
      <c r="E1261" s="26" t="s">
        <v>87</v>
      </c>
      <c r="F1261" s="11" t="s">
        <v>590</v>
      </c>
      <c r="G1261" s="11" t="s">
        <v>903</v>
      </c>
      <c r="H1261" s="72">
        <v>3441</v>
      </c>
      <c r="I1261" s="5" t="b">
        <f>AND(Jnl[[#This Row],[TrxId]]&lt;&gt;"",Jnl[[#This Row],[Acct]]&lt;&gt;"",Jnl[[#This Row],[Item]]&lt;&gt;"",ISNUMBER(Jnl[[#This Row],[Bal]]))</f>
        <v>1</v>
      </c>
      <c r="J1261" s="10">
        <f>IF(Jnl[[#This Row],[BSLv0]]="A",1,-1)*Jnl[[#This Row],[Bal]]</f>
        <v>3441</v>
      </c>
      <c r="K1261" t="str">
        <f>_xlfn.XLOOKUP(Jnl[[#This Row],[Acct]], config_BS[Acct], config_BS[Lv0],,0)</f>
        <v>A</v>
      </c>
      <c r="L1261" t="str">
        <f>_xlfn.XLOOKUP(Jnl[[#This Row],[Acct]], config_BS[Acct], config_BS[Lv1],,0)</f>
        <v>Assets</v>
      </c>
      <c r="M1261" t="str">
        <f>_xlfn.XLOOKUP(Jnl[[#This Row],[Acct]], config_BS[Acct], config_BS[Lv2],,0)</f>
        <v>Cash alike</v>
      </c>
      <c r="N1261" t="str">
        <f>_xlfn.XLOOKUP(Jnl[[#This Row],[TrxId]], Trx[Id], Trx[IncNode], ,0)</f>
        <v>Revenue</v>
      </c>
      <c r="O1261" t="str">
        <f>_xlfn.XLOOKUP(Jnl[[#This Row],[IncNode]], config_IS[Node], config_IS[Type],,0)</f>
        <v>Op</v>
      </c>
      <c r="P1261" t="str">
        <f>_xlfn.XLOOKUP(Jnl[[#This Row],[BSLv2]], dict[Key], dict[Name],,0)</f>
        <v>0.现金及类似</v>
      </c>
      <c r="Q1261" t="str">
        <f>_xlfn.XLOOKUP(Jnl[[#This Row],[Acct]], dict[Key], dict[Name],,0)</f>
        <v>银行</v>
      </c>
      <c r="R1261" t="str">
        <f>_xlfn.XLOOKUP(Jnl[[#This Row],[Vehicle]],config_vehicle[Id], config_vehicle[Name],,0)</f>
        <v>小月号</v>
      </c>
      <c r="S1261" t="str">
        <f>_xlfn.XLOOKUP(Jnl[[#This Row],[Division]],config_div[Id], config_div[Name],,0)</f>
        <v>明月村</v>
      </c>
      <c r="T1261" t="str">
        <f>IF(Jnl[[#This Row],[TrxDate]]&lt;=stmt_BS_date_end, "In", "Out")</f>
        <v>In</v>
      </c>
      <c r="U1261" t="str">
        <f>IF(Jnl[[#This Row],[TrxDate]]&lt;debug_date_start, "prior", IF(Jnl[[#This Row],[TrxDate]]&gt;debug_date_end, "post", "curr"))</f>
        <v>curr</v>
      </c>
    </row>
    <row r="1262" spans="1:21">
      <c r="A1262" s="11" t="s">
        <v>1698</v>
      </c>
      <c r="B1262" s="7">
        <f>_xlfn.XLOOKUP(Jnl[[#This Row],[TrxId]], Trx[Id], Trx[Date],,0)</f>
        <v>46081</v>
      </c>
      <c r="C1262" s="7" t="str">
        <f>_xlfn.XLOOKUP(Jnl[[#This Row],[TrxId]], Trx[Id], Trx[Division],,0)</f>
        <v>MY</v>
      </c>
      <c r="D1262" s="7" t="str">
        <f>_xlfn.XLOOKUP(Jnl[[#This Row],[TrxId]], Trx[Id], Trx[Action],,0)</f>
        <v>收款</v>
      </c>
      <c r="E1262" s="26" t="s">
        <v>83</v>
      </c>
      <c r="F1262" s="11" t="s">
        <v>593</v>
      </c>
      <c r="G1262" s="11" t="s">
        <v>1065</v>
      </c>
      <c r="H1262" s="72">
        <v>1000</v>
      </c>
      <c r="I1262" s="5" t="b">
        <f>AND(Jnl[[#This Row],[TrxId]]&lt;&gt;"",Jnl[[#This Row],[Acct]]&lt;&gt;"",Jnl[[#This Row],[Item]]&lt;&gt;"",ISNUMBER(Jnl[[#This Row],[Bal]]))</f>
        <v>1</v>
      </c>
      <c r="J1262" s="10">
        <f>IF(Jnl[[#This Row],[BSLv0]]="A",1,-1)*Jnl[[#This Row],[Bal]]</f>
        <v>1000</v>
      </c>
      <c r="K1262" t="str">
        <f>_xlfn.XLOOKUP(Jnl[[#This Row],[Acct]], config_BS[Acct], config_BS[Lv0],,0)</f>
        <v>A</v>
      </c>
      <c r="L1262" t="str">
        <f>_xlfn.XLOOKUP(Jnl[[#This Row],[Acct]], config_BS[Acct], config_BS[Lv1],,0)</f>
        <v>Assets</v>
      </c>
      <c r="M1262" t="str">
        <f>_xlfn.XLOOKUP(Jnl[[#This Row],[Acct]], config_BS[Acct], config_BS[Lv2],,0)</f>
        <v>Rec-Pay</v>
      </c>
      <c r="N1262" t="str">
        <f>_xlfn.XLOOKUP(Jnl[[#This Row],[TrxId]], Trx[Id], Trx[IncNode], ,0)</f>
        <v>Revenue</v>
      </c>
      <c r="O1262" t="str">
        <f>_xlfn.XLOOKUP(Jnl[[#This Row],[IncNode]], config_IS[Node], config_IS[Type],,0)</f>
        <v>Op</v>
      </c>
      <c r="P1262" t="str">
        <f>_xlfn.XLOOKUP(Jnl[[#This Row],[BSLv2]], dict[Key], dict[Name],,0)</f>
        <v>1.应收-应付</v>
      </c>
      <c r="Q1262" t="str">
        <f>_xlfn.XLOOKUP(Jnl[[#This Row],[Acct]], dict[Key], dict[Name],,0)</f>
        <v>应收-一般</v>
      </c>
      <c r="R1262" t="str">
        <f>_xlfn.XLOOKUP(Jnl[[#This Row],[Vehicle]],config_vehicle[Id], config_vehicle[Name],,0)</f>
        <v>远家文化</v>
      </c>
      <c r="S1262" t="str">
        <f>_xlfn.XLOOKUP(Jnl[[#This Row],[Division]],config_div[Id], config_div[Name],,0)</f>
        <v>明月村</v>
      </c>
      <c r="T1262" t="str">
        <f>IF(Jnl[[#This Row],[TrxDate]]&lt;=stmt_BS_date_end, "In", "Out")</f>
        <v>In</v>
      </c>
      <c r="U1262" t="str">
        <f>IF(Jnl[[#This Row],[TrxDate]]&lt;debug_date_start, "prior", IF(Jnl[[#This Row],[TrxDate]]&gt;debug_date_end, "post", "curr"))</f>
        <v>curr</v>
      </c>
    </row>
    <row r="1263" spans="1:21">
      <c r="A1263" s="11" t="s">
        <v>1698</v>
      </c>
      <c r="B1263" s="7">
        <f>_xlfn.XLOOKUP(Jnl[[#This Row],[TrxId]], Trx[Id], Trx[Date],,0)</f>
        <v>46081</v>
      </c>
      <c r="C1263" s="7" t="str">
        <f>_xlfn.XLOOKUP(Jnl[[#This Row],[TrxId]], Trx[Id], Trx[Division],,0)</f>
        <v>MY</v>
      </c>
      <c r="D1263" s="7" t="str">
        <f>_xlfn.XLOOKUP(Jnl[[#This Row],[TrxId]], Trx[Id], Trx[Action],,0)</f>
        <v>收款</v>
      </c>
      <c r="E1263" s="26" t="s">
        <v>83</v>
      </c>
      <c r="F1263" s="11" t="s">
        <v>593</v>
      </c>
      <c r="G1263" s="11" t="s">
        <v>947</v>
      </c>
      <c r="H1263" s="72">
        <v>-3970</v>
      </c>
      <c r="I1263" s="5" t="b">
        <f>AND(Jnl[[#This Row],[TrxId]]&lt;&gt;"",Jnl[[#This Row],[Acct]]&lt;&gt;"",Jnl[[#This Row],[Item]]&lt;&gt;"",ISNUMBER(Jnl[[#This Row],[Bal]]))</f>
        <v>1</v>
      </c>
      <c r="J1263" s="10">
        <f>IF(Jnl[[#This Row],[BSLv0]]="A",1,-1)*Jnl[[#This Row],[Bal]]</f>
        <v>-3970</v>
      </c>
      <c r="K1263" t="str">
        <f>_xlfn.XLOOKUP(Jnl[[#This Row],[Acct]], config_BS[Acct], config_BS[Lv0],,0)</f>
        <v>A</v>
      </c>
      <c r="L1263" t="str">
        <f>_xlfn.XLOOKUP(Jnl[[#This Row],[Acct]], config_BS[Acct], config_BS[Lv1],,0)</f>
        <v>Assets</v>
      </c>
      <c r="M1263" t="str">
        <f>_xlfn.XLOOKUP(Jnl[[#This Row],[Acct]], config_BS[Acct], config_BS[Lv2],,0)</f>
        <v>Rec-Pay</v>
      </c>
      <c r="N1263" t="str">
        <f>_xlfn.XLOOKUP(Jnl[[#This Row],[TrxId]], Trx[Id], Trx[IncNode], ,0)</f>
        <v>Revenue</v>
      </c>
      <c r="O1263" t="str">
        <f>_xlfn.XLOOKUP(Jnl[[#This Row],[IncNode]], config_IS[Node], config_IS[Type],,0)</f>
        <v>Op</v>
      </c>
      <c r="P1263" t="str">
        <f>_xlfn.XLOOKUP(Jnl[[#This Row],[BSLv2]], dict[Key], dict[Name],,0)</f>
        <v>1.应收-应付</v>
      </c>
      <c r="Q1263" t="str">
        <f>_xlfn.XLOOKUP(Jnl[[#This Row],[Acct]], dict[Key], dict[Name],,0)</f>
        <v>应收-一般</v>
      </c>
      <c r="R1263" t="str">
        <f>_xlfn.XLOOKUP(Jnl[[#This Row],[Vehicle]],config_vehicle[Id], config_vehicle[Name],,0)</f>
        <v>远家文化</v>
      </c>
      <c r="S1263" t="str">
        <f>_xlfn.XLOOKUP(Jnl[[#This Row],[Division]],config_div[Id], config_div[Name],,0)</f>
        <v>明月村</v>
      </c>
      <c r="T1263" t="str">
        <f>IF(Jnl[[#This Row],[TrxDate]]&lt;=stmt_BS_date_end, "In", "Out")</f>
        <v>In</v>
      </c>
      <c r="U1263" t="str">
        <f>IF(Jnl[[#This Row],[TrxDate]]&lt;debug_date_start, "prior", IF(Jnl[[#This Row],[TrxDate]]&gt;debug_date_end, "post", "curr"))</f>
        <v>curr</v>
      </c>
    </row>
    <row r="1264" spans="1:21">
      <c r="A1264" s="11" t="s">
        <v>1698</v>
      </c>
      <c r="B1264" s="7">
        <f>_xlfn.XLOOKUP(Jnl[[#This Row],[TrxId]], Trx[Id], Trx[Date],,0)</f>
        <v>46081</v>
      </c>
      <c r="C1264" s="7" t="str">
        <f>_xlfn.XLOOKUP(Jnl[[#This Row],[TrxId]], Trx[Id], Trx[Division],,0)</f>
        <v>MY</v>
      </c>
      <c r="D1264" s="7" t="str">
        <f>_xlfn.XLOOKUP(Jnl[[#This Row],[TrxId]], Trx[Id], Trx[Action],,0)</f>
        <v>收款</v>
      </c>
      <c r="E1264" s="26" t="s">
        <v>83</v>
      </c>
      <c r="F1264" s="11" t="s">
        <v>593</v>
      </c>
      <c r="G1264" s="11" t="s">
        <v>942</v>
      </c>
      <c r="H1264" s="72">
        <v>-471</v>
      </c>
      <c r="I1264" s="5" t="b">
        <f>AND(Jnl[[#This Row],[TrxId]]&lt;&gt;"",Jnl[[#This Row],[Acct]]&lt;&gt;"",Jnl[[#This Row],[Item]]&lt;&gt;"",ISNUMBER(Jnl[[#This Row],[Bal]]))</f>
        <v>1</v>
      </c>
      <c r="J1264" s="10">
        <f>IF(Jnl[[#This Row],[BSLv0]]="A",1,-1)*Jnl[[#This Row],[Bal]]</f>
        <v>-471</v>
      </c>
      <c r="K1264" t="str">
        <f>_xlfn.XLOOKUP(Jnl[[#This Row],[Acct]], config_BS[Acct], config_BS[Lv0],,0)</f>
        <v>A</v>
      </c>
      <c r="L1264" t="str">
        <f>_xlfn.XLOOKUP(Jnl[[#This Row],[Acct]], config_BS[Acct], config_BS[Lv1],,0)</f>
        <v>Assets</v>
      </c>
      <c r="M1264" t="str">
        <f>_xlfn.XLOOKUP(Jnl[[#This Row],[Acct]], config_BS[Acct], config_BS[Lv2],,0)</f>
        <v>Rec-Pay</v>
      </c>
      <c r="N1264" t="str">
        <f>_xlfn.XLOOKUP(Jnl[[#This Row],[TrxId]], Trx[Id], Trx[IncNode], ,0)</f>
        <v>Revenue</v>
      </c>
      <c r="O1264" t="str">
        <f>_xlfn.XLOOKUP(Jnl[[#This Row],[IncNode]], config_IS[Node], config_IS[Type],,0)</f>
        <v>Op</v>
      </c>
      <c r="P1264" t="str">
        <f>_xlfn.XLOOKUP(Jnl[[#This Row],[BSLv2]], dict[Key], dict[Name],,0)</f>
        <v>1.应收-应付</v>
      </c>
      <c r="Q1264" t="str">
        <f>_xlfn.XLOOKUP(Jnl[[#This Row],[Acct]], dict[Key], dict[Name],,0)</f>
        <v>应收-一般</v>
      </c>
      <c r="R1264" t="str">
        <f>_xlfn.XLOOKUP(Jnl[[#This Row],[Vehicle]],config_vehicle[Id], config_vehicle[Name],,0)</f>
        <v>远家文化</v>
      </c>
      <c r="S1264" t="str">
        <f>_xlfn.XLOOKUP(Jnl[[#This Row],[Division]],config_div[Id], config_div[Name],,0)</f>
        <v>明月村</v>
      </c>
      <c r="T1264" t="str">
        <f>IF(Jnl[[#This Row],[TrxDate]]&lt;=stmt_BS_date_end, "In", "Out")</f>
        <v>In</v>
      </c>
      <c r="U1264" t="str">
        <f>IF(Jnl[[#This Row],[TrxDate]]&lt;debug_date_start, "prior", IF(Jnl[[#This Row],[TrxDate]]&gt;debug_date_end, "post", "curr"))</f>
        <v>curr</v>
      </c>
    </row>
    <row r="1265" spans="1:21">
      <c r="A1265" s="11" t="s">
        <v>1699</v>
      </c>
      <c r="B1265" s="7">
        <f>_xlfn.XLOOKUP(Jnl[[#This Row],[TrxId]], Trx[Id], Trx[Date],,0)</f>
        <v>46081</v>
      </c>
      <c r="C1265" s="7" t="str">
        <f>_xlfn.XLOOKUP(Jnl[[#This Row],[TrxId]], Trx[Id], Trx[Division],,0)</f>
        <v>MY</v>
      </c>
      <c r="D1265" s="7" t="str">
        <f>_xlfn.XLOOKUP(Jnl[[#This Row],[TrxId]], Trx[Id], Trx[Action],,0)</f>
        <v>收款</v>
      </c>
      <c r="E1265" s="26" t="s">
        <v>87</v>
      </c>
      <c r="F1265" s="11" t="s">
        <v>590</v>
      </c>
      <c r="G1265" s="11" t="s">
        <v>903</v>
      </c>
      <c r="H1265" s="72">
        <v>576</v>
      </c>
      <c r="I1265" s="5" t="b">
        <f>AND(Jnl[[#This Row],[TrxId]]&lt;&gt;"",Jnl[[#This Row],[Acct]]&lt;&gt;"",Jnl[[#This Row],[Item]]&lt;&gt;"",ISNUMBER(Jnl[[#This Row],[Bal]]))</f>
        <v>1</v>
      </c>
      <c r="J1265" s="10">
        <f>IF(Jnl[[#This Row],[BSLv0]]="A",1,-1)*Jnl[[#This Row],[Bal]]</f>
        <v>576</v>
      </c>
      <c r="K1265" t="str">
        <f>_xlfn.XLOOKUP(Jnl[[#This Row],[Acct]], config_BS[Acct], config_BS[Lv0],,0)</f>
        <v>A</v>
      </c>
      <c r="L1265" t="str">
        <f>_xlfn.XLOOKUP(Jnl[[#This Row],[Acct]], config_BS[Acct], config_BS[Lv1],,0)</f>
        <v>Assets</v>
      </c>
      <c r="M1265" t="str">
        <f>_xlfn.XLOOKUP(Jnl[[#This Row],[Acct]], config_BS[Acct], config_BS[Lv2],,0)</f>
        <v>Cash alike</v>
      </c>
      <c r="N1265" t="str">
        <f>_xlfn.XLOOKUP(Jnl[[#This Row],[TrxId]], Trx[Id], Trx[IncNode], ,0)</f>
        <v>Revenue</v>
      </c>
      <c r="O1265" t="str">
        <f>_xlfn.XLOOKUP(Jnl[[#This Row],[IncNode]], config_IS[Node], config_IS[Type],,0)</f>
        <v>Op</v>
      </c>
      <c r="P1265" t="str">
        <f>_xlfn.XLOOKUP(Jnl[[#This Row],[BSLv2]], dict[Key], dict[Name],,0)</f>
        <v>0.现金及类似</v>
      </c>
      <c r="Q1265" t="str">
        <f>_xlfn.XLOOKUP(Jnl[[#This Row],[Acct]], dict[Key], dict[Name],,0)</f>
        <v>银行</v>
      </c>
      <c r="R1265" t="str">
        <f>_xlfn.XLOOKUP(Jnl[[#This Row],[Vehicle]],config_vehicle[Id], config_vehicle[Name],,0)</f>
        <v>小月号</v>
      </c>
      <c r="S1265" t="str">
        <f>_xlfn.XLOOKUP(Jnl[[#This Row],[Division]],config_div[Id], config_div[Name],,0)</f>
        <v>明月村</v>
      </c>
      <c r="T1265" t="str">
        <f>IF(Jnl[[#This Row],[TrxDate]]&lt;=stmt_BS_date_end, "In", "Out")</f>
        <v>In</v>
      </c>
      <c r="U1265" t="str">
        <f>IF(Jnl[[#This Row],[TrxDate]]&lt;debug_date_start, "prior", IF(Jnl[[#This Row],[TrxDate]]&gt;debug_date_end, "post", "curr"))</f>
        <v>curr</v>
      </c>
    </row>
    <row r="1266" spans="1:21">
      <c r="A1266" s="11" t="s">
        <v>1699</v>
      </c>
      <c r="B1266" s="7">
        <f>_xlfn.XLOOKUP(Jnl[[#This Row],[TrxId]], Trx[Id], Trx[Date],,0)</f>
        <v>46081</v>
      </c>
      <c r="C1266" s="7" t="str">
        <f>_xlfn.XLOOKUP(Jnl[[#This Row],[TrxId]], Trx[Id], Trx[Division],,0)</f>
        <v>MY</v>
      </c>
      <c r="D1266" s="7" t="str">
        <f>_xlfn.XLOOKUP(Jnl[[#This Row],[TrxId]], Trx[Id], Trx[Action],,0)</f>
        <v>收款</v>
      </c>
      <c r="E1266" s="26" t="s">
        <v>83</v>
      </c>
      <c r="F1266" s="11" t="s">
        <v>593</v>
      </c>
      <c r="G1266" s="11" t="s">
        <v>1001</v>
      </c>
      <c r="H1266" s="72">
        <f>-H1265</f>
        <v>-576</v>
      </c>
      <c r="I1266" s="5" t="b">
        <f>AND(Jnl[[#This Row],[TrxId]]&lt;&gt;"",Jnl[[#This Row],[Acct]]&lt;&gt;"",Jnl[[#This Row],[Item]]&lt;&gt;"",ISNUMBER(Jnl[[#This Row],[Bal]]))</f>
        <v>1</v>
      </c>
      <c r="J1266" s="10">
        <f>IF(Jnl[[#This Row],[BSLv0]]="A",1,-1)*Jnl[[#This Row],[Bal]]</f>
        <v>-576</v>
      </c>
      <c r="K1266" t="str">
        <f>_xlfn.XLOOKUP(Jnl[[#This Row],[Acct]], config_BS[Acct], config_BS[Lv0],,0)</f>
        <v>A</v>
      </c>
      <c r="L1266" t="str">
        <f>_xlfn.XLOOKUP(Jnl[[#This Row],[Acct]], config_BS[Acct], config_BS[Lv1],,0)</f>
        <v>Assets</v>
      </c>
      <c r="M1266" t="str">
        <f>_xlfn.XLOOKUP(Jnl[[#This Row],[Acct]], config_BS[Acct], config_BS[Lv2],,0)</f>
        <v>Rec-Pay</v>
      </c>
      <c r="N1266" t="str">
        <f>_xlfn.XLOOKUP(Jnl[[#This Row],[TrxId]], Trx[Id], Trx[IncNode], ,0)</f>
        <v>Revenue</v>
      </c>
      <c r="O1266" t="str">
        <f>_xlfn.XLOOKUP(Jnl[[#This Row],[IncNode]], config_IS[Node], config_IS[Type],,0)</f>
        <v>Op</v>
      </c>
      <c r="P1266" t="str">
        <f>_xlfn.XLOOKUP(Jnl[[#This Row],[BSLv2]], dict[Key], dict[Name],,0)</f>
        <v>1.应收-应付</v>
      </c>
      <c r="Q1266" t="str">
        <f>_xlfn.XLOOKUP(Jnl[[#This Row],[Acct]], dict[Key], dict[Name],,0)</f>
        <v>应收-一般</v>
      </c>
      <c r="R1266" t="str">
        <f>_xlfn.XLOOKUP(Jnl[[#This Row],[Vehicle]],config_vehicle[Id], config_vehicle[Name],,0)</f>
        <v>远家文化</v>
      </c>
      <c r="S1266" t="str">
        <f>_xlfn.XLOOKUP(Jnl[[#This Row],[Division]],config_div[Id], config_div[Name],,0)</f>
        <v>明月村</v>
      </c>
      <c r="T1266" t="str">
        <f>IF(Jnl[[#This Row],[TrxDate]]&lt;=stmt_BS_date_end, "In", "Out")</f>
        <v>In</v>
      </c>
      <c r="U1266" t="str">
        <f>IF(Jnl[[#This Row],[TrxDate]]&lt;debug_date_start, "prior", IF(Jnl[[#This Row],[TrxDate]]&gt;debug_date_end, "post", "curr"))</f>
        <v>curr</v>
      </c>
    </row>
    <row r="1267" spans="1:21">
      <c r="A1267" s="11" t="s">
        <v>1700</v>
      </c>
      <c r="B1267" s="7">
        <f>_xlfn.XLOOKUP(Jnl[[#This Row],[TrxId]], Trx[Id], Trx[Date],,0)</f>
        <v>46081</v>
      </c>
      <c r="C1267" s="7" t="str">
        <f>_xlfn.XLOOKUP(Jnl[[#This Row],[TrxId]], Trx[Id], Trx[Division],,0)</f>
        <v>MY</v>
      </c>
      <c r="D1267" s="7" t="str">
        <f>_xlfn.XLOOKUP(Jnl[[#This Row],[TrxId]], Trx[Id], Trx[Action],,0)</f>
        <v>收款</v>
      </c>
      <c r="E1267" s="26" t="s">
        <v>87</v>
      </c>
      <c r="F1267" s="11" t="s">
        <v>590</v>
      </c>
      <c r="G1267" s="11" t="s">
        <v>903</v>
      </c>
      <c r="H1267" s="72">
        <v>851</v>
      </c>
      <c r="I1267" s="5" t="b">
        <f>AND(Jnl[[#This Row],[TrxId]]&lt;&gt;"",Jnl[[#This Row],[Acct]]&lt;&gt;"",Jnl[[#This Row],[Item]]&lt;&gt;"",ISNUMBER(Jnl[[#This Row],[Bal]]))</f>
        <v>1</v>
      </c>
      <c r="J1267" s="10">
        <f>IF(Jnl[[#This Row],[BSLv0]]="A",1,-1)*Jnl[[#This Row],[Bal]]</f>
        <v>851</v>
      </c>
      <c r="K1267" t="str">
        <f>_xlfn.XLOOKUP(Jnl[[#This Row],[Acct]], config_BS[Acct], config_BS[Lv0],,0)</f>
        <v>A</v>
      </c>
      <c r="L1267" t="str">
        <f>_xlfn.XLOOKUP(Jnl[[#This Row],[Acct]], config_BS[Acct], config_BS[Lv1],,0)</f>
        <v>Assets</v>
      </c>
      <c r="M1267" t="str">
        <f>_xlfn.XLOOKUP(Jnl[[#This Row],[Acct]], config_BS[Acct], config_BS[Lv2],,0)</f>
        <v>Cash alike</v>
      </c>
      <c r="N1267" t="str">
        <f>_xlfn.XLOOKUP(Jnl[[#This Row],[TrxId]], Trx[Id], Trx[IncNode], ,0)</f>
        <v>Revenue</v>
      </c>
      <c r="O1267" t="str">
        <f>_xlfn.XLOOKUP(Jnl[[#This Row],[IncNode]], config_IS[Node], config_IS[Type],,0)</f>
        <v>Op</v>
      </c>
      <c r="P1267" t="str">
        <f>_xlfn.XLOOKUP(Jnl[[#This Row],[BSLv2]], dict[Key], dict[Name],,0)</f>
        <v>0.现金及类似</v>
      </c>
      <c r="Q1267" t="str">
        <f>_xlfn.XLOOKUP(Jnl[[#This Row],[Acct]], dict[Key], dict[Name],,0)</f>
        <v>银行</v>
      </c>
      <c r="R1267" t="str">
        <f>_xlfn.XLOOKUP(Jnl[[#This Row],[Vehicle]],config_vehicle[Id], config_vehicle[Name],,0)</f>
        <v>小月号</v>
      </c>
      <c r="S1267" t="str">
        <f>_xlfn.XLOOKUP(Jnl[[#This Row],[Division]],config_div[Id], config_div[Name],,0)</f>
        <v>明月村</v>
      </c>
      <c r="T1267" t="str">
        <f>IF(Jnl[[#This Row],[TrxDate]]&lt;=stmt_BS_date_end, "In", "Out")</f>
        <v>In</v>
      </c>
      <c r="U1267" t="str">
        <f>IF(Jnl[[#This Row],[TrxDate]]&lt;debug_date_start, "prior", IF(Jnl[[#This Row],[TrxDate]]&gt;debug_date_end, "post", "curr"))</f>
        <v>curr</v>
      </c>
    </row>
    <row r="1268" spans="1:21">
      <c r="A1268" s="11" t="s">
        <v>1700</v>
      </c>
      <c r="B1268" s="7">
        <f>_xlfn.XLOOKUP(Jnl[[#This Row],[TrxId]], Trx[Id], Trx[Date],,0)</f>
        <v>46081</v>
      </c>
      <c r="C1268" s="7" t="str">
        <f>_xlfn.XLOOKUP(Jnl[[#This Row],[TrxId]], Trx[Id], Trx[Division],,0)</f>
        <v>MY</v>
      </c>
      <c r="D1268" s="7" t="str">
        <f>_xlfn.XLOOKUP(Jnl[[#This Row],[TrxId]], Trx[Id], Trx[Action],,0)</f>
        <v>收款</v>
      </c>
      <c r="E1268" s="26" t="s">
        <v>83</v>
      </c>
      <c r="F1268" s="11" t="s">
        <v>593</v>
      </c>
      <c r="G1268" s="11" t="s">
        <v>947</v>
      </c>
      <c r="H1268" s="72">
        <v>-851</v>
      </c>
      <c r="I1268" s="5" t="b">
        <f>AND(Jnl[[#This Row],[TrxId]]&lt;&gt;"",Jnl[[#This Row],[Acct]]&lt;&gt;"",Jnl[[#This Row],[Item]]&lt;&gt;"",ISNUMBER(Jnl[[#This Row],[Bal]]))</f>
        <v>1</v>
      </c>
      <c r="J1268" s="10">
        <f>IF(Jnl[[#This Row],[BSLv0]]="A",1,-1)*Jnl[[#This Row],[Bal]]</f>
        <v>-851</v>
      </c>
      <c r="K1268" t="str">
        <f>_xlfn.XLOOKUP(Jnl[[#This Row],[Acct]], config_BS[Acct], config_BS[Lv0],,0)</f>
        <v>A</v>
      </c>
      <c r="L1268" t="str">
        <f>_xlfn.XLOOKUP(Jnl[[#This Row],[Acct]], config_BS[Acct], config_BS[Lv1],,0)</f>
        <v>Assets</v>
      </c>
      <c r="M1268" t="str">
        <f>_xlfn.XLOOKUP(Jnl[[#This Row],[Acct]], config_BS[Acct], config_BS[Lv2],,0)</f>
        <v>Rec-Pay</v>
      </c>
      <c r="N1268" t="str">
        <f>_xlfn.XLOOKUP(Jnl[[#This Row],[TrxId]], Trx[Id], Trx[IncNode], ,0)</f>
        <v>Revenue</v>
      </c>
      <c r="O1268" t="str">
        <f>_xlfn.XLOOKUP(Jnl[[#This Row],[IncNode]], config_IS[Node], config_IS[Type],,0)</f>
        <v>Op</v>
      </c>
      <c r="P1268" t="str">
        <f>_xlfn.XLOOKUP(Jnl[[#This Row],[BSLv2]], dict[Key], dict[Name],,0)</f>
        <v>1.应收-应付</v>
      </c>
      <c r="Q1268" t="str">
        <f>_xlfn.XLOOKUP(Jnl[[#This Row],[Acct]], dict[Key], dict[Name],,0)</f>
        <v>应收-一般</v>
      </c>
      <c r="R1268" t="str">
        <f>_xlfn.XLOOKUP(Jnl[[#This Row],[Vehicle]],config_vehicle[Id], config_vehicle[Name],,0)</f>
        <v>远家文化</v>
      </c>
      <c r="S1268" t="str">
        <f>_xlfn.XLOOKUP(Jnl[[#This Row],[Division]],config_div[Id], config_div[Name],,0)</f>
        <v>明月村</v>
      </c>
      <c r="T1268" t="str">
        <f>IF(Jnl[[#This Row],[TrxDate]]&lt;=stmt_BS_date_end, "In", "Out")</f>
        <v>In</v>
      </c>
      <c r="U1268" t="str">
        <f>IF(Jnl[[#This Row],[TrxDate]]&lt;debug_date_start, "prior", IF(Jnl[[#This Row],[TrxDate]]&gt;debug_date_end, "post", "curr"))</f>
        <v>curr</v>
      </c>
    </row>
    <row r="1269" spans="1:21">
      <c r="A1269" s="11" t="s">
        <v>1701</v>
      </c>
      <c r="B1269" s="7">
        <f>_xlfn.XLOOKUP(Jnl[[#This Row],[TrxId]], Trx[Id], Trx[Date],,0)</f>
        <v>46081</v>
      </c>
      <c r="C1269" s="7" t="str">
        <f>_xlfn.XLOOKUP(Jnl[[#This Row],[TrxId]], Trx[Id], Trx[Division],,0)</f>
        <v>MY</v>
      </c>
      <c r="D1269" s="7" t="str">
        <f>_xlfn.XLOOKUP(Jnl[[#This Row],[TrxId]], Trx[Id], Trx[Action],,0)</f>
        <v>交通</v>
      </c>
      <c r="E1269" s="26" t="s">
        <v>87</v>
      </c>
      <c r="F1269" s="11" t="s">
        <v>590</v>
      </c>
      <c r="G1269" s="11" t="s">
        <v>903</v>
      </c>
      <c r="H1269" s="72">
        <v>-439.73</v>
      </c>
      <c r="I1269" s="5" t="b">
        <f>AND(Jnl[[#This Row],[TrxId]]&lt;&gt;"",Jnl[[#This Row],[Acct]]&lt;&gt;"",Jnl[[#This Row],[Item]]&lt;&gt;"",ISNUMBER(Jnl[[#This Row],[Bal]]))</f>
        <v>1</v>
      </c>
      <c r="J1269" s="10">
        <f>IF(Jnl[[#This Row],[BSLv0]]="A",1,-1)*Jnl[[#This Row],[Bal]]</f>
        <v>-439.73</v>
      </c>
      <c r="K1269" t="str">
        <f>_xlfn.XLOOKUP(Jnl[[#This Row],[Acct]], config_BS[Acct], config_BS[Lv0],,0)</f>
        <v>A</v>
      </c>
      <c r="L1269" t="str">
        <f>_xlfn.XLOOKUP(Jnl[[#This Row],[Acct]], config_BS[Acct], config_BS[Lv1],,0)</f>
        <v>Assets</v>
      </c>
      <c r="M1269" t="str">
        <f>_xlfn.XLOOKUP(Jnl[[#This Row],[Acct]], config_BS[Acct], config_BS[Lv2],,0)</f>
        <v>Cash alike</v>
      </c>
      <c r="N1269" t="str">
        <f>_xlfn.XLOOKUP(Jnl[[#This Row],[TrxId]], Trx[Id], Trx[IncNode], ,0)</f>
        <v>Expense</v>
      </c>
      <c r="O1269" t="str">
        <f>_xlfn.XLOOKUP(Jnl[[#This Row],[IncNode]], config_IS[Node], config_IS[Type],,0)</f>
        <v>Op</v>
      </c>
      <c r="P1269" t="str">
        <f>_xlfn.XLOOKUP(Jnl[[#This Row],[BSLv2]], dict[Key], dict[Name],,0)</f>
        <v>0.现金及类似</v>
      </c>
      <c r="Q1269" t="str">
        <f>_xlfn.XLOOKUP(Jnl[[#This Row],[Acct]], dict[Key], dict[Name],,0)</f>
        <v>银行</v>
      </c>
      <c r="R1269" t="str">
        <f>_xlfn.XLOOKUP(Jnl[[#This Row],[Vehicle]],config_vehicle[Id], config_vehicle[Name],,0)</f>
        <v>小月号</v>
      </c>
      <c r="S1269" t="str">
        <f>_xlfn.XLOOKUP(Jnl[[#This Row],[Division]],config_div[Id], config_div[Name],,0)</f>
        <v>明月村</v>
      </c>
      <c r="T1269" t="str">
        <f>IF(Jnl[[#This Row],[TrxDate]]&lt;=stmt_BS_date_end, "In", "Out")</f>
        <v>In</v>
      </c>
      <c r="U1269" t="str">
        <f>IF(Jnl[[#This Row],[TrxDate]]&lt;debug_date_start, "prior", IF(Jnl[[#This Row],[TrxDate]]&gt;debug_date_end, "post", "curr"))</f>
        <v>curr</v>
      </c>
    </row>
    <row r="1270" spans="1:21">
      <c r="A1270" s="11" t="s">
        <v>1702</v>
      </c>
      <c r="B1270" s="7">
        <f>_xlfn.XLOOKUP(Jnl[[#This Row],[TrxId]], Trx[Id], Trx[Date],,0)</f>
        <v>46081</v>
      </c>
      <c r="C1270" s="7" t="str">
        <f>_xlfn.XLOOKUP(Jnl[[#This Row],[TrxId]], Trx[Id], Trx[Division],,0)</f>
        <v>MY</v>
      </c>
      <c r="D1270" s="7" t="str">
        <f>_xlfn.XLOOKUP(Jnl[[#This Row],[TrxId]], Trx[Id], Trx[Action],,0)</f>
        <v>退款-客人</v>
      </c>
      <c r="E1270" s="26" t="s">
        <v>87</v>
      </c>
      <c r="F1270" s="11" t="s">
        <v>590</v>
      </c>
      <c r="G1270" s="11" t="s">
        <v>903</v>
      </c>
      <c r="H1270" s="72">
        <v>-980</v>
      </c>
      <c r="I1270" s="5" t="b">
        <f>AND(Jnl[[#This Row],[TrxId]]&lt;&gt;"",Jnl[[#This Row],[Acct]]&lt;&gt;"",Jnl[[#This Row],[Item]]&lt;&gt;"",ISNUMBER(Jnl[[#This Row],[Bal]]))</f>
        <v>1</v>
      </c>
      <c r="J1270" s="10">
        <f>IF(Jnl[[#This Row],[BSLv0]]="A",1,-1)*Jnl[[#This Row],[Bal]]</f>
        <v>-980</v>
      </c>
      <c r="K1270" t="str">
        <f>_xlfn.XLOOKUP(Jnl[[#This Row],[Acct]], config_BS[Acct], config_BS[Lv0],,0)</f>
        <v>A</v>
      </c>
      <c r="L1270" t="str">
        <f>_xlfn.XLOOKUP(Jnl[[#This Row],[Acct]], config_BS[Acct], config_BS[Lv1],,0)</f>
        <v>Assets</v>
      </c>
      <c r="M1270" t="str">
        <f>_xlfn.XLOOKUP(Jnl[[#This Row],[Acct]], config_BS[Acct], config_BS[Lv2],,0)</f>
        <v>Cash alike</v>
      </c>
      <c r="N1270" t="str">
        <f>_xlfn.XLOOKUP(Jnl[[#This Row],[TrxId]], Trx[Id], Trx[IncNode], ,0)</f>
        <v>Revenue</v>
      </c>
      <c r="O1270" t="str">
        <f>_xlfn.XLOOKUP(Jnl[[#This Row],[IncNode]], config_IS[Node], config_IS[Type],,0)</f>
        <v>Op</v>
      </c>
      <c r="P1270" t="str">
        <f>_xlfn.XLOOKUP(Jnl[[#This Row],[BSLv2]], dict[Key], dict[Name],,0)</f>
        <v>0.现金及类似</v>
      </c>
      <c r="Q1270" t="str">
        <f>_xlfn.XLOOKUP(Jnl[[#This Row],[Acct]], dict[Key], dict[Name],,0)</f>
        <v>银行</v>
      </c>
      <c r="R1270" t="str">
        <f>_xlfn.XLOOKUP(Jnl[[#This Row],[Vehicle]],config_vehicle[Id], config_vehicle[Name],,0)</f>
        <v>小月号</v>
      </c>
      <c r="S1270" t="str">
        <f>_xlfn.XLOOKUP(Jnl[[#This Row],[Division]],config_div[Id], config_div[Name],,0)</f>
        <v>明月村</v>
      </c>
      <c r="T1270" t="str">
        <f>IF(Jnl[[#This Row],[TrxDate]]&lt;=stmt_BS_date_end, "In", "Out")</f>
        <v>In</v>
      </c>
      <c r="U1270" t="str">
        <f>IF(Jnl[[#This Row],[TrxDate]]&lt;debug_date_start, "prior", IF(Jnl[[#This Row],[TrxDate]]&gt;debug_date_end, "post", "curr"))</f>
        <v>curr</v>
      </c>
    </row>
    <row r="1271" spans="1:21">
      <c r="A1271" s="11" t="s">
        <v>1702</v>
      </c>
      <c r="B1271" s="7">
        <f>_xlfn.XLOOKUP(Jnl[[#This Row],[TrxId]], Trx[Id], Trx[Date],,0)</f>
        <v>46081</v>
      </c>
      <c r="C1271" s="7" t="str">
        <f>_xlfn.XLOOKUP(Jnl[[#This Row],[TrxId]], Trx[Id], Trx[Division],,0)</f>
        <v>MY</v>
      </c>
      <c r="D1271" s="7" t="str">
        <f>_xlfn.XLOOKUP(Jnl[[#This Row],[TrxId]], Trx[Id], Trx[Action],,0)</f>
        <v>退款-客人</v>
      </c>
      <c r="E1271" s="26" t="s">
        <v>83</v>
      </c>
      <c r="F1271" s="11" t="s">
        <v>1194</v>
      </c>
      <c r="G1271" s="11" t="s">
        <v>920</v>
      </c>
      <c r="H1271" s="72">
        <v>-980</v>
      </c>
      <c r="I1271" s="5" t="b">
        <f>AND(Jnl[[#This Row],[TrxId]]&lt;&gt;"",Jnl[[#This Row],[Acct]]&lt;&gt;"",Jnl[[#This Row],[Item]]&lt;&gt;"",ISNUMBER(Jnl[[#This Row],[Bal]]))</f>
        <v>1</v>
      </c>
      <c r="J1271" s="10">
        <f>IF(Jnl[[#This Row],[BSLv0]]="A",1,-1)*Jnl[[#This Row],[Bal]]</f>
        <v>980</v>
      </c>
      <c r="K1271" t="str">
        <f>_xlfn.XLOOKUP(Jnl[[#This Row],[Acct]], config_BS[Acct], config_BS[Lv0],,0)</f>
        <v>LC</v>
      </c>
      <c r="L1271" t="str">
        <f>_xlfn.XLOOKUP(Jnl[[#This Row],[Acct]], config_BS[Acct], config_BS[Lv1],,0)</f>
        <v>Liability</v>
      </c>
      <c r="M1271" t="str">
        <f>_xlfn.XLOOKUP(Jnl[[#This Row],[Acct]], config_BS[Acct], config_BS[Lv2],,0)</f>
        <v>Cash alike</v>
      </c>
      <c r="N1271" t="str">
        <f>_xlfn.XLOOKUP(Jnl[[#This Row],[TrxId]], Trx[Id], Trx[IncNode], ,0)</f>
        <v>Revenue</v>
      </c>
      <c r="O1271" t="str">
        <f>_xlfn.XLOOKUP(Jnl[[#This Row],[IncNode]], config_IS[Node], config_IS[Type],,0)</f>
        <v>Op</v>
      </c>
      <c r="P1271" t="str">
        <f>_xlfn.XLOOKUP(Jnl[[#This Row],[BSLv2]], dict[Key], dict[Name],,0)</f>
        <v>0.现金及类似</v>
      </c>
      <c r="Q1271" t="str">
        <f>_xlfn.XLOOKUP(Jnl[[#This Row],[Acct]], dict[Key], dict[Name],,0)</f>
        <v>会员充值</v>
      </c>
      <c r="R1271" t="str">
        <f>_xlfn.XLOOKUP(Jnl[[#This Row],[Vehicle]],config_vehicle[Id], config_vehicle[Name],,0)</f>
        <v>远家文化</v>
      </c>
      <c r="S1271" t="str">
        <f>_xlfn.XLOOKUP(Jnl[[#This Row],[Division]],config_div[Id], config_div[Name],,0)</f>
        <v>明月村</v>
      </c>
      <c r="T1271" t="str">
        <f>IF(Jnl[[#This Row],[TrxDate]]&lt;=stmt_BS_date_end, "In", "Out")</f>
        <v>In</v>
      </c>
      <c r="U1271" t="str">
        <f>IF(Jnl[[#This Row],[TrxDate]]&lt;debug_date_start, "prior", IF(Jnl[[#This Row],[TrxDate]]&gt;debug_date_end, "post", "curr"))</f>
        <v>curr</v>
      </c>
    </row>
    <row r="1272" spans="1:21">
      <c r="A1272" s="11" t="s">
        <v>1703</v>
      </c>
      <c r="B1272" s="7">
        <f>_xlfn.XLOOKUP(Jnl[[#This Row],[TrxId]], Trx[Id], Trx[Date],,0)</f>
        <v>46081</v>
      </c>
      <c r="C1272" s="7" t="str">
        <f>_xlfn.XLOOKUP(Jnl[[#This Row],[TrxId]], Trx[Id], Trx[Division],,0)</f>
        <v>MY</v>
      </c>
      <c r="D1272" s="7" t="str">
        <f>_xlfn.XLOOKUP(Jnl[[#This Row],[TrxId]], Trx[Id], Trx[Action],,0)</f>
        <v>福利</v>
      </c>
      <c r="E1272" s="26" t="s">
        <v>87</v>
      </c>
      <c r="F1272" s="11" t="s">
        <v>590</v>
      </c>
      <c r="G1272" s="11" t="s">
        <v>903</v>
      </c>
      <c r="H1272" s="72">
        <v>-136</v>
      </c>
      <c r="I1272" s="5" t="b">
        <f>AND(Jnl[[#This Row],[TrxId]]&lt;&gt;"",Jnl[[#This Row],[Acct]]&lt;&gt;"",Jnl[[#This Row],[Item]]&lt;&gt;"",ISNUMBER(Jnl[[#This Row],[Bal]]))</f>
        <v>1</v>
      </c>
      <c r="J1272" s="10">
        <f>IF(Jnl[[#This Row],[BSLv0]]="A",1,-1)*Jnl[[#This Row],[Bal]]</f>
        <v>-136</v>
      </c>
      <c r="K1272" t="str">
        <f>_xlfn.XLOOKUP(Jnl[[#This Row],[Acct]], config_BS[Acct], config_BS[Lv0],,0)</f>
        <v>A</v>
      </c>
      <c r="L1272" t="str">
        <f>_xlfn.XLOOKUP(Jnl[[#This Row],[Acct]], config_BS[Acct], config_BS[Lv1],,0)</f>
        <v>Assets</v>
      </c>
      <c r="M1272" t="str">
        <f>_xlfn.XLOOKUP(Jnl[[#This Row],[Acct]], config_BS[Acct], config_BS[Lv2],,0)</f>
        <v>Cash alike</v>
      </c>
      <c r="N1272" t="str">
        <f>_xlfn.XLOOKUP(Jnl[[#This Row],[TrxId]], Trx[Id], Trx[IncNode], ,0)</f>
        <v>Expense</v>
      </c>
      <c r="O1272" t="str">
        <f>_xlfn.XLOOKUP(Jnl[[#This Row],[IncNode]], config_IS[Node], config_IS[Type],,0)</f>
        <v>Op</v>
      </c>
      <c r="P1272" t="str">
        <f>_xlfn.XLOOKUP(Jnl[[#This Row],[BSLv2]], dict[Key], dict[Name],,0)</f>
        <v>0.现金及类似</v>
      </c>
      <c r="Q1272" t="str">
        <f>_xlfn.XLOOKUP(Jnl[[#This Row],[Acct]], dict[Key], dict[Name],,0)</f>
        <v>银行</v>
      </c>
      <c r="R1272" t="str">
        <f>_xlfn.XLOOKUP(Jnl[[#This Row],[Vehicle]],config_vehicle[Id], config_vehicle[Name],,0)</f>
        <v>小月号</v>
      </c>
      <c r="S1272" t="str">
        <f>_xlfn.XLOOKUP(Jnl[[#This Row],[Division]],config_div[Id], config_div[Name],,0)</f>
        <v>明月村</v>
      </c>
      <c r="T1272" t="str">
        <f>IF(Jnl[[#This Row],[TrxDate]]&lt;=stmt_BS_date_end, "In", "Out")</f>
        <v>In</v>
      </c>
      <c r="U1272" t="str">
        <f>IF(Jnl[[#This Row],[TrxDate]]&lt;debug_date_start, "prior", IF(Jnl[[#This Row],[TrxDate]]&gt;debug_date_end, "post", "curr"))</f>
        <v>curr</v>
      </c>
    </row>
    <row r="1273" spans="1:21">
      <c r="A1273" s="11" t="s">
        <v>1705</v>
      </c>
      <c r="B1273" s="7">
        <f>_xlfn.XLOOKUP(Jnl[[#This Row],[TrxId]], Trx[Id], Trx[Date],,0)</f>
        <v>46081</v>
      </c>
      <c r="C1273" s="7" t="str">
        <f>_xlfn.XLOOKUP(Jnl[[#This Row],[TrxId]], Trx[Id], Trx[Division],,0)</f>
        <v>MY</v>
      </c>
      <c r="D1273" s="7" t="str">
        <f>_xlfn.XLOOKUP(Jnl[[#This Row],[TrxId]], Trx[Id], Trx[Action],,0)</f>
        <v>福利</v>
      </c>
      <c r="E1273" s="26" t="s">
        <v>87</v>
      </c>
      <c r="F1273" s="11" t="s">
        <v>590</v>
      </c>
      <c r="G1273" s="11" t="s">
        <v>903</v>
      </c>
      <c r="H1273" s="72">
        <v>-200</v>
      </c>
      <c r="I1273" s="5" t="b">
        <f>AND(Jnl[[#This Row],[TrxId]]&lt;&gt;"",Jnl[[#This Row],[Acct]]&lt;&gt;"",Jnl[[#This Row],[Item]]&lt;&gt;"",ISNUMBER(Jnl[[#This Row],[Bal]]))</f>
        <v>1</v>
      </c>
      <c r="J1273" s="10">
        <f>IF(Jnl[[#This Row],[BSLv0]]="A",1,-1)*Jnl[[#This Row],[Bal]]</f>
        <v>-200</v>
      </c>
      <c r="K1273" t="str">
        <f>_xlfn.XLOOKUP(Jnl[[#This Row],[Acct]], config_BS[Acct], config_BS[Lv0],,0)</f>
        <v>A</v>
      </c>
      <c r="L1273" t="str">
        <f>_xlfn.XLOOKUP(Jnl[[#This Row],[Acct]], config_BS[Acct], config_BS[Lv1],,0)</f>
        <v>Assets</v>
      </c>
      <c r="M1273" t="str">
        <f>_xlfn.XLOOKUP(Jnl[[#This Row],[Acct]], config_BS[Acct], config_BS[Lv2],,0)</f>
        <v>Cash alike</v>
      </c>
      <c r="N1273" t="str">
        <f>_xlfn.XLOOKUP(Jnl[[#This Row],[TrxId]], Trx[Id], Trx[IncNode], ,0)</f>
        <v>Expense</v>
      </c>
      <c r="O1273" t="str">
        <f>_xlfn.XLOOKUP(Jnl[[#This Row],[IncNode]], config_IS[Node], config_IS[Type],,0)</f>
        <v>Op</v>
      </c>
      <c r="P1273" t="str">
        <f>_xlfn.XLOOKUP(Jnl[[#This Row],[BSLv2]], dict[Key], dict[Name],,0)</f>
        <v>0.现金及类似</v>
      </c>
      <c r="Q1273" t="str">
        <f>_xlfn.XLOOKUP(Jnl[[#This Row],[Acct]], dict[Key], dict[Name],,0)</f>
        <v>银行</v>
      </c>
      <c r="R1273" t="str">
        <f>_xlfn.XLOOKUP(Jnl[[#This Row],[Vehicle]],config_vehicle[Id], config_vehicle[Name],,0)</f>
        <v>小月号</v>
      </c>
      <c r="S1273" t="str">
        <f>_xlfn.XLOOKUP(Jnl[[#This Row],[Division]],config_div[Id], config_div[Name],,0)</f>
        <v>明月村</v>
      </c>
      <c r="T1273" t="str">
        <f>IF(Jnl[[#This Row],[TrxDate]]&lt;=stmt_BS_date_end, "In", "Out")</f>
        <v>In</v>
      </c>
      <c r="U1273" t="str">
        <f>IF(Jnl[[#This Row],[TrxDate]]&lt;debug_date_start, "prior", IF(Jnl[[#This Row],[TrxDate]]&gt;debug_date_end, "post", "curr"))</f>
        <v>curr</v>
      </c>
    </row>
    <row r="1274" spans="1:21">
      <c r="A1274" s="11" t="s">
        <v>1706</v>
      </c>
      <c r="B1274" s="7">
        <f>_xlfn.XLOOKUP(Jnl[[#This Row],[TrxId]], Trx[Id], Trx[Date],,0)</f>
        <v>46081</v>
      </c>
      <c r="C1274" s="7" t="str">
        <f>_xlfn.XLOOKUP(Jnl[[#This Row],[TrxId]], Trx[Id], Trx[Division],,0)</f>
        <v>MY</v>
      </c>
      <c r="D1274" s="7" t="str">
        <f>_xlfn.XLOOKUP(Jnl[[#This Row],[TrxId]], Trx[Id], Trx[Action],,0)</f>
        <v>收款</v>
      </c>
      <c r="E1274" s="26" t="s">
        <v>87</v>
      </c>
      <c r="F1274" s="11" t="s">
        <v>590</v>
      </c>
      <c r="G1274" s="11" t="s">
        <v>903</v>
      </c>
      <c r="H1274" s="72">
        <v>118</v>
      </c>
      <c r="I1274" s="5" t="b">
        <f>AND(Jnl[[#This Row],[TrxId]]&lt;&gt;"",Jnl[[#This Row],[Acct]]&lt;&gt;"",Jnl[[#This Row],[Item]]&lt;&gt;"",ISNUMBER(Jnl[[#This Row],[Bal]]))</f>
        <v>1</v>
      </c>
      <c r="J1274" s="10">
        <f>IF(Jnl[[#This Row],[BSLv0]]="A",1,-1)*Jnl[[#This Row],[Bal]]</f>
        <v>118</v>
      </c>
      <c r="K1274" t="str">
        <f>_xlfn.XLOOKUP(Jnl[[#This Row],[Acct]], config_BS[Acct], config_BS[Lv0],,0)</f>
        <v>A</v>
      </c>
      <c r="L1274" t="str">
        <f>_xlfn.XLOOKUP(Jnl[[#This Row],[Acct]], config_BS[Acct], config_BS[Lv1],,0)</f>
        <v>Assets</v>
      </c>
      <c r="M1274" t="str">
        <f>_xlfn.XLOOKUP(Jnl[[#This Row],[Acct]], config_BS[Acct], config_BS[Lv2],,0)</f>
        <v>Cash alike</v>
      </c>
      <c r="N1274" t="str">
        <f>_xlfn.XLOOKUP(Jnl[[#This Row],[TrxId]], Trx[Id], Trx[IncNode], ,0)</f>
        <v>Revenue</v>
      </c>
      <c r="O1274" t="str">
        <f>_xlfn.XLOOKUP(Jnl[[#This Row],[IncNode]], config_IS[Node], config_IS[Type],,0)</f>
        <v>Op</v>
      </c>
      <c r="P1274" t="str">
        <f>_xlfn.XLOOKUP(Jnl[[#This Row],[BSLv2]], dict[Key], dict[Name],,0)</f>
        <v>0.现金及类似</v>
      </c>
      <c r="Q1274" t="str">
        <f>_xlfn.XLOOKUP(Jnl[[#This Row],[Acct]], dict[Key], dict[Name],,0)</f>
        <v>银行</v>
      </c>
      <c r="R1274" t="str">
        <f>_xlfn.XLOOKUP(Jnl[[#This Row],[Vehicle]],config_vehicle[Id], config_vehicle[Name],,0)</f>
        <v>小月号</v>
      </c>
      <c r="S1274" t="str">
        <f>_xlfn.XLOOKUP(Jnl[[#This Row],[Division]],config_div[Id], config_div[Name],,0)</f>
        <v>明月村</v>
      </c>
      <c r="T1274" t="str">
        <f>IF(Jnl[[#This Row],[TrxDate]]&lt;=stmt_BS_date_end, "In", "Out")</f>
        <v>In</v>
      </c>
      <c r="U1274" t="str">
        <f>IF(Jnl[[#This Row],[TrxDate]]&lt;debug_date_start, "prior", IF(Jnl[[#This Row],[TrxDate]]&gt;debug_date_end, "post", "curr"))</f>
        <v>curr</v>
      </c>
    </row>
    <row r="1275" spans="1:21">
      <c r="A1275" s="11" t="s">
        <v>1706</v>
      </c>
      <c r="B1275" s="7">
        <f>_xlfn.XLOOKUP(Jnl[[#This Row],[TrxId]], Trx[Id], Trx[Date],,0)</f>
        <v>46081</v>
      </c>
      <c r="C1275" s="7" t="str">
        <f>_xlfn.XLOOKUP(Jnl[[#This Row],[TrxId]], Trx[Id], Trx[Division],,0)</f>
        <v>MY</v>
      </c>
      <c r="D1275" s="7" t="str">
        <f>_xlfn.XLOOKUP(Jnl[[#This Row],[TrxId]], Trx[Id], Trx[Action],,0)</f>
        <v>收款</v>
      </c>
      <c r="E1275" s="26" t="s">
        <v>83</v>
      </c>
      <c r="F1275" s="11" t="s">
        <v>593</v>
      </c>
      <c r="G1275" s="11" t="s">
        <v>1707</v>
      </c>
      <c r="H1275" s="72">
        <v>-118</v>
      </c>
      <c r="I1275" s="5" t="b">
        <f>AND(Jnl[[#This Row],[TrxId]]&lt;&gt;"",Jnl[[#This Row],[Acct]]&lt;&gt;"",Jnl[[#This Row],[Item]]&lt;&gt;"",ISNUMBER(Jnl[[#This Row],[Bal]]))</f>
        <v>1</v>
      </c>
      <c r="J1275" s="10">
        <f>IF(Jnl[[#This Row],[BSLv0]]="A",1,-1)*Jnl[[#This Row],[Bal]]</f>
        <v>-118</v>
      </c>
      <c r="K1275" t="str">
        <f>_xlfn.XLOOKUP(Jnl[[#This Row],[Acct]], config_BS[Acct], config_BS[Lv0],,0)</f>
        <v>A</v>
      </c>
      <c r="L1275" t="str">
        <f>_xlfn.XLOOKUP(Jnl[[#This Row],[Acct]], config_BS[Acct], config_BS[Lv1],,0)</f>
        <v>Assets</v>
      </c>
      <c r="M1275" t="str">
        <f>_xlfn.XLOOKUP(Jnl[[#This Row],[Acct]], config_BS[Acct], config_BS[Lv2],,0)</f>
        <v>Rec-Pay</v>
      </c>
      <c r="N1275" t="str">
        <f>_xlfn.XLOOKUP(Jnl[[#This Row],[TrxId]], Trx[Id], Trx[IncNode], ,0)</f>
        <v>Revenue</v>
      </c>
      <c r="O1275" t="str">
        <f>_xlfn.XLOOKUP(Jnl[[#This Row],[IncNode]], config_IS[Node], config_IS[Type],,0)</f>
        <v>Op</v>
      </c>
      <c r="P1275" t="str">
        <f>_xlfn.XLOOKUP(Jnl[[#This Row],[BSLv2]], dict[Key], dict[Name],,0)</f>
        <v>1.应收-应付</v>
      </c>
      <c r="Q1275" t="str">
        <f>_xlfn.XLOOKUP(Jnl[[#This Row],[Acct]], dict[Key], dict[Name],,0)</f>
        <v>应收-一般</v>
      </c>
      <c r="R1275" t="str">
        <f>_xlfn.XLOOKUP(Jnl[[#This Row],[Vehicle]],config_vehicle[Id], config_vehicle[Name],,0)</f>
        <v>远家文化</v>
      </c>
      <c r="S1275" t="str">
        <f>_xlfn.XLOOKUP(Jnl[[#This Row],[Division]],config_div[Id], config_div[Name],,0)</f>
        <v>明月村</v>
      </c>
      <c r="T1275" t="str">
        <f>IF(Jnl[[#This Row],[TrxDate]]&lt;=stmt_BS_date_end, "In", "Out")</f>
        <v>In</v>
      </c>
      <c r="U1275" t="str">
        <f>IF(Jnl[[#This Row],[TrxDate]]&lt;debug_date_start, "prior", IF(Jnl[[#This Row],[TrxDate]]&gt;debug_date_end, "post", "curr"))</f>
        <v>curr</v>
      </c>
    </row>
    <row r="1276" spans="1:21">
      <c r="A1276" s="11" t="s">
        <v>1708</v>
      </c>
      <c r="B1276" s="7">
        <f>_xlfn.XLOOKUP(Jnl[[#This Row],[TrxId]], Trx[Id], Trx[Date],,0)</f>
        <v>46081</v>
      </c>
      <c r="C1276" s="7" t="str">
        <f>_xlfn.XLOOKUP(Jnl[[#This Row],[TrxId]], Trx[Id], Trx[Division],,0)</f>
        <v>MY</v>
      </c>
      <c r="D1276" s="7" t="str">
        <f>_xlfn.XLOOKUP(Jnl[[#This Row],[TrxId]], Trx[Id], Trx[Action],,0)</f>
        <v>收款</v>
      </c>
      <c r="E1276" s="26" t="s">
        <v>87</v>
      </c>
      <c r="F1276" s="11" t="s">
        <v>590</v>
      </c>
      <c r="G1276" s="11" t="s">
        <v>903</v>
      </c>
      <c r="H1276" s="72">
        <v>2304</v>
      </c>
      <c r="I1276" s="5" t="b">
        <f>AND(Jnl[[#This Row],[TrxId]]&lt;&gt;"",Jnl[[#This Row],[Acct]]&lt;&gt;"",Jnl[[#This Row],[Item]]&lt;&gt;"",ISNUMBER(Jnl[[#This Row],[Bal]]))</f>
        <v>1</v>
      </c>
      <c r="J1276" s="10">
        <f>IF(Jnl[[#This Row],[BSLv0]]="A",1,-1)*Jnl[[#This Row],[Bal]]</f>
        <v>2304</v>
      </c>
      <c r="K1276" t="str">
        <f>_xlfn.XLOOKUP(Jnl[[#This Row],[Acct]], config_BS[Acct], config_BS[Lv0],,0)</f>
        <v>A</v>
      </c>
      <c r="L1276" t="str">
        <f>_xlfn.XLOOKUP(Jnl[[#This Row],[Acct]], config_BS[Acct], config_BS[Lv1],,0)</f>
        <v>Assets</v>
      </c>
      <c r="M1276" t="str">
        <f>_xlfn.XLOOKUP(Jnl[[#This Row],[Acct]], config_BS[Acct], config_BS[Lv2],,0)</f>
        <v>Cash alike</v>
      </c>
      <c r="N1276" t="str">
        <f>_xlfn.XLOOKUP(Jnl[[#This Row],[TrxId]], Trx[Id], Trx[IncNode], ,0)</f>
        <v>Revenue</v>
      </c>
      <c r="O1276" t="str">
        <f>_xlfn.XLOOKUP(Jnl[[#This Row],[IncNode]], config_IS[Node], config_IS[Type],,0)</f>
        <v>Op</v>
      </c>
      <c r="P1276" t="str">
        <f>_xlfn.XLOOKUP(Jnl[[#This Row],[BSLv2]], dict[Key], dict[Name],,0)</f>
        <v>0.现金及类似</v>
      </c>
      <c r="Q1276" t="str">
        <f>_xlfn.XLOOKUP(Jnl[[#This Row],[Acct]], dict[Key], dict[Name],,0)</f>
        <v>银行</v>
      </c>
      <c r="R1276" t="str">
        <f>_xlfn.XLOOKUP(Jnl[[#This Row],[Vehicle]],config_vehicle[Id], config_vehicle[Name],,0)</f>
        <v>小月号</v>
      </c>
      <c r="S1276" t="str">
        <f>_xlfn.XLOOKUP(Jnl[[#This Row],[Division]],config_div[Id], config_div[Name],,0)</f>
        <v>明月村</v>
      </c>
      <c r="T1276" t="str">
        <f>IF(Jnl[[#This Row],[TrxDate]]&lt;=stmt_BS_date_end, "In", "Out")</f>
        <v>In</v>
      </c>
      <c r="U1276" t="str">
        <f>IF(Jnl[[#This Row],[TrxDate]]&lt;debug_date_start, "prior", IF(Jnl[[#This Row],[TrxDate]]&gt;debug_date_end, "post", "curr"))</f>
        <v>curr</v>
      </c>
    </row>
    <row r="1277" spans="1:21">
      <c r="A1277" s="11" t="s">
        <v>1708</v>
      </c>
      <c r="B1277" s="7">
        <f>_xlfn.XLOOKUP(Jnl[[#This Row],[TrxId]], Trx[Id], Trx[Date],,0)</f>
        <v>46081</v>
      </c>
      <c r="C1277" s="7" t="str">
        <f>_xlfn.XLOOKUP(Jnl[[#This Row],[TrxId]], Trx[Id], Trx[Division],,0)</f>
        <v>MY</v>
      </c>
      <c r="D1277" s="7" t="str">
        <f>_xlfn.XLOOKUP(Jnl[[#This Row],[TrxId]], Trx[Id], Trx[Action],,0)</f>
        <v>收款</v>
      </c>
      <c r="E1277" s="26" t="s">
        <v>83</v>
      </c>
      <c r="F1277" s="11" t="s">
        <v>593</v>
      </c>
      <c r="G1277" s="11" t="s">
        <v>1001</v>
      </c>
      <c r="H1277" s="72">
        <v>-2304</v>
      </c>
      <c r="I1277" s="5" t="b">
        <f>AND(Jnl[[#This Row],[TrxId]]&lt;&gt;"",Jnl[[#This Row],[Acct]]&lt;&gt;"",Jnl[[#This Row],[Item]]&lt;&gt;"",ISNUMBER(Jnl[[#This Row],[Bal]]))</f>
        <v>1</v>
      </c>
      <c r="J1277" s="10">
        <f>IF(Jnl[[#This Row],[BSLv0]]="A",1,-1)*Jnl[[#This Row],[Bal]]</f>
        <v>-2304</v>
      </c>
      <c r="K1277" t="str">
        <f>_xlfn.XLOOKUP(Jnl[[#This Row],[Acct]], config_BS[Acct], config_BS[Lv0],,0)</f>
        <v>A</v>
      </c>
      <c r="L1277" t="str">
        <f>_xlfn.XLOOKUP(Jnl[[#This Row],[Acct]], config_BS[Acct], config_BS[Lv1],,0)</f>
        <v>Assets</v>
      </c>
      <c r="M1277" t="str">
        <f>_xlfn.XLOOKUP(Jnl[[#This Row],[Acct]], config_BS[Acct], config_BS[Lv2],,0)</f>
        <v>Rec-Pay</v>
      </c>
      <c r="N1277" t="str">
        <f>_xlfn.XLOOKUP(Jnl[[#This Row],[TrxId]], Trx[Id], Trx[IncNode], ,0)</f>
        <v>Revenue</v>
      </c>
      <c r="O1277" t="str">
        <f>_xlfn.XLOOKUP(Jnl[[#This Row],[IncNode]], config_IS[Node], config_IS[Type],,0)</f>
        <v>Op</v>
      </c>
      <c r="P1277" t="str">
        <f>_xlfn.XLOOKUP(Jnl[[#This Row],[BSLv2]], dict[Key], dict[Name],,0)</f>
        <v>1.应收-应付</v>
      </c>
      <c r="Q1277" t="str">
        <f>_xlfn.XLOOKUP(Jnl[[#This Row],[Acct]], dict[Key], dict[Name],,0)</f>
        <v>应收-一般</v>
      </c>
      <c r="R1277" t="str">
        <f>_xlfn.XLOOKUP(Jnl[[#This Row],[Vehicle]],config_vehicle[Id], config_vehicle[Name],,0)</f>
        <v>远家文化</v>
      </c>
      <c r="S1277" t="str">
        <f>_xlfn.XLOOKUP(Jnl[[#This Row],[Division]],config_div[Id], config_div[Name],,0)</f>
        <v>明月村</v>
      </c>
      <c r="T1277" t="str">
        <f>IF(Jnl[[#This Row],[TrxDate]]&lt;=stmt_BS_date_end, "In", "Out")</f>
        <v>In</v>
      </c>
      <c r="U1277" t="str">
        <f>IF(Jnl[[#This Row],[TrxDate]]&lt;debug_date_start, "prior", IF(Jnl[[#This Row],[TrxDate]]&gt;debug_date_end, "post", "curr"))</f>
        <v>curr</v>
      </c>
    </row>
    <row r="1278" spans="1:21">
      <c r="A1278" s="11" t="s">
        <v>1709</v>
      </c>
      <c r="B1278" s="7">
        <f>_xlfn.XLOOKUP(Jnl[[#This Row],[TrxId]], Trx[Id], Trx[Date],,0)</f>
        <v>46081</v>
      </c>
      <c r="C1278" s="7" t="str">
        <f>_xlfn.XLOOKUP(Jnl[[#This Row],[TrxId]], Trx[Id], Trx[Division],,0)</f>
        <v>MY</v>
      </c>
      <c r="D1278" s="7" t="str">
        <f>_xlfn.XLOOKUP(Jnl[[#This Row],[TrxId]], Trx[Id], Trx[Action],,0)</f>
        <v>收款</v>
      </c>
      <c r="E1278" s="26" t="s">
        <v>87</v>
      </c>
      <c r="F1278" s="11" t="s">
        <v>590</v>
      </c>
      <c r="G1278" s="11" t="s">
        <v>903</v>
      </c>
      <c r="H1278" s="72">
        <v>288</v>
      </c>
      <c r="I1278" s="5" t="b">
        <f>AND(Jnl[[#This Row],[TrxId]]&lt;&gt;"",Jnl[[#This Row],[Acct]]&lt;&gt;"",Jnl[[#This Row],[Item]]&lt;&gt;"",ISNUMBER(Jnl[[#This Row],[Bal]]))</f>
        <v>1</v>
      </c>
      <c r="J1278" s="10">
        <f>IF(Jnl[[#This Row],[BSLv0]]="A",1,-1)*Jnl[[#This Row],[Bal]]</f>
        <v>288</v>
      </c>
      <c r="K1278" t="str">
        <f>_xlfn.XLOOKUP(Jnl[[#This Row],[Acct]], config_BS[Acct], config_BS[Lv0],,0)</f>
        <v>A</v>
      </c>
      <c r="L1278" t="str">
        <f>_xlfn.XLOOKUP(Jnl[[#This Row],[Acct]], config_BS[Acct], config_BS[Lv1],,0)</f>
        <v>Assets</v>
      </c>
      <c r="M1278" t="str">
        <f>_xlfn.XLOOKUP(Jnl[[#This Row],[Acct]], config_BS[Acct], config_BS[Lv2],,0)</f>
        <v>Cash alike</v>
      </c>
      <c r="N1278" t="str">
        <f>_xlfn.XLOOKUP(Jnl[[#This Row],[TrxId]], Trx[Id], Trx[IncNode], ,0)</f>
        <v>Revenue</v>
      </c>
      <c r="O1278" t="str">
        <f>_xlfn.XLOOKUP(Jnl[[#This Row],[IncNode]], config_IS[Node], config_IS[Type],,0)</f>
        <v>Op</v>
      </c>
      <c r="P1278" t="str">
        <f>_xlfn.XLOOKUP(Jnl[[#This Row],[BSLv2]], dict[Key], dict[Name],,0)</f>
        <v>0.现金及类似</v>
      </c>
      <c r="Q1278" t="str">
        <f>_xlfn.XLOOKUP(Jnl[[#This Row],[Acct]], dict[Key], dict[Name],,0)</f>
        <v>银行</v>
      </c>
      <c r="R1278" t="str">
        <f>_xlfn.XLOOKUP(Jnl[[#This Row],[Vehicle]],config_vehicle[Id], config_vehicle[Name],,0)</f>
        <v>小月号</v>
      </c>
      <c r="S1278" t="str">
        <f>_xlfn.XLOOKUP(Jnl[[#This Row],[Division]],config_div[Id], config_div[Name],,0)</f>
        <v>明月村</v>
      </c>
      <c r="T1278" t="str">
        <f>IF(Jnl[[#This Row],[TrxDate]]&lt;=stmt_BS_date_end, "In", "Out")</f>
        <v>In</v>
      </c>
      <c r="U1278" t="str">
        <f>IF(Jnl[[#This Row],[TrxDate]]&lt;debug_date_start, "prior", IF(Jnl[[#This Row],[TrxDate]]&gt;debug_date_end, "post", "curr"))</f>
        <v>curr</v>
      </c>
    </row>
    <row r="1279" spans="1:21">
      <c r="A1279" s="11" t="s">
        <v>1709</v>
      </c>
      <c r="B1279" s="7">
        <f>_xlfn.XLOOKUP(Jnl[[#This Row],[TrxId]], Trx[Id], Trx[Date],,0)</f>
        <v>46081</v>
      </c>
      <c r="C1279" s="7" t="str">
        <f>_xlfn.XLOOKUP(Jnl[[#This Row],[TrxId]], Trx[Id], Trx[Division],,0)</f>
        <v>MY</v>
      </c>
      <c r="D1279" s="7" t="str">
        <f>_xlfn.XLOOKUP(Jnl[[#This Row],[TrxId]], Trx[Id], Trx[Action],,0)</f>
        <v>收款</v>
      </c>
      <c r="E1279" s="26" t="s">
        <v>83</v>
      </c>
      <c r="F1279" s="11" t="s">
        <v>593</v>
      </c>
      <c r="G1279" s="11" t="s">
        <v>1001</v>
      </c>
      <c r="H1279" s="72">
        <v>-288</v>
      </c>
      <c r="I1279" s="5" t="b">
        <f>AND(Jnl[[#This Row],[TrxId]]&lt;&gt;"",Jnl[[#This Row],[Acct]]&lt;&gt;"",Jnl[[#This Row],[Item]]&lt;&gt;"",ISNUMBER(Jnl[[#This Row],[Bal]]))</f>
        <v>1</v>
      </c>
      <c r="J1279" s="10">
        <f>IF(Jnl[[#This Row],[BSLv0]]="A",1,-1)*Jnl[[#This Row],[Bal]]</f>
        <v>-288</v>
      </c>
      <c r="K1279" t="str">
        <f>_xlfn.XLOOKUP(Jnl[[#This Row],[Acct]], config_BS[Acct], config_BS[Lv0],,0)</f>
        <v>A</v>
      </c>
      <c r="L1279" t="str">
        <f>_xlfn.XLOOKUP(Jnl[[#This Row],[Acct]], config_BS[Acct], config_BS[Lv1],,0)</f>
        <v>Assets</v>
      </c>
      <c r="M1279" t="str">
        <f>_xlfn.XLOOKUP(Jnl[[#This Row],[Acct]], config_BS[Acct], config_BS[Lv2],,0)</f>
        <v>Rec-Pay</v>
      </c>
      <c r="N1279" t="str">
        <f>_xlfn.XLOOKUP(Jnl[[#This Row],[TrxId]], Trx[Id], Trx[IncNode], ,0)</f>
        <v>Revenue</v>
      </c>
      <c r="O1279" t="str">
        <f>_xlfn.XLOOKUP(Jnl[[#This Row],[IncNode]], config_IS[Node], config_IS[Type],,0)</f>
        <v>Op</v>
      </c>
      <c r="P1279" t="str">
        <f>_xlfn.XLOOKUP(Jnl[[#This Row],[BSLv2]], dict[Key], dict[Name],,0)</f>
        <v>1.应收-应付</v>
      </c>
      <c r="Q1279" t="str">
        <f>_xlfn.XLOOKUP(Jnl[[#This Row],[Acct]], dict[Key], dict[Name],,0)</f>
        <v>应收-一般</v>
      </c>
      <c r="R1279" t="str">
        <f>_xlfn.XLOOKUP(Jnl[[#This Row],[Vehicle]],config_vehicle[Id], config_vehicle[Name],,0)</f>
        <v>远家文化</v>
      </c>
      <c r="S1279" t="str">
        <f>_xlfn.XLOOKUP(Jnl[[#This Row],[Division]],config_div[Id], config_div[Name],,0)</f>
        <v>明月村</v>
      </c>
      <c r="T1279" t="str">
        <f>IF(Jnl[[#This Row],[TrxDate]]&lt;=stmt_BS_date_end, "In", "Out")</f>
        <v>In</v>
      </c>
      <c r="U1279" t="str">
        <f>IF(Jnl[[#This Row],[TrxDate]]&lt;debug_date_start, "prior", IF(Jnl[[#This Row],[TrxDate]]&gt;debug_date_end, "post", "curr"))</f>
        <v>curr</v>
      </c>
    </row>
    <row r="1280" spans="1:21">
      <c r="A1280" s="11" t="s">
        <v>1710</v>
      </c>
      <c r="B1280" s="7">
        <f>_xlfn.XLOOKUP(Jnl[[#This Row],[TrxId]], Trx[Id], Trx[Date],,0)</f>
        <v>46081</v>
      </c>
      <c r="C1280" s="7" t="str">
        <f>_xlfn.XLOOKUP(Jnl[[#This Row],[TrxId]], Trx[Id], Trx[Division],,0)</f>
        <v>MY</v>
      </c>
      <c r="D1280" s="7" t="str">
        <f>_xlfn.XLOOKUP(Jnl[[#This Row],[TrxId]], Trx[Id], Trx[Action],,0)</f>
        <v>收款</v>
      </c>
      <c r="E1280" s="26" t="s">
        <v>87</v>
      </c>
      <c r="F1280" s="11" t="s">
        <v>590</v>
      </c>
      <c r="G1280" s="11" t="s">
        <v>903</v>
      </c>
      <c r="H1280" s="72">
        <v>18720</v>
      </c>
      <c r="I1280" s="5" t="b">
        <f>AND(Jnl[[#This Row],[TrxId]]&lt;&gt;"",Jnl[[#This Row],[Acct]]&lt;&gt;"",Jnl[[#This Row],[Item]]&lt;&gt;"",ISNUMBER(Jnl[[#This Row],[Bal]]))</f>
        <v>1</v>
      </c>
      <c r="J1280" s="10">
        <f>IF(Jnl[[#This Row],[BSLv0]]="A",1,-1)*Jnl[[#This Row],[Bal]]</f>
        <v>18720</v>
      </c>
      <c r="K1280" t="str">
        <f>_xlfn.XLOOKUP(Jnl[[#This Row],[Acct]], config_BS[Acct], config_BS[Lv0],,0)</f>
        <v>A</v>
      </c>
      <c r="L1280" t="str">
        <f>_xlfn.XLOOKUP(Jnl[[#This Row],[Acct]], config_BS[Acct], config_BS[Lv1],,0)</f>
        <v>Assets</v>
      </c>
      <c r="M1280" t="str">
        <f>_xlfn.XLOOKUP(Jnl[[#This Row],[Acct]], config_BS[Acct], config_BS[Lv2],,0)</f>
        <v>Cash alike</v>
      </c>
      <c r="N1280" t="str">
        <f>_xlfn.XLOOKUP(Jnl[[#This Row],[TrxId]], Trx[Id], Trx[IncNode], ,0)</f>
        <v>Revenue</v>
      </c>
      <c r="O1280" t="str">
        <f>_xlfn.XLOOKUP(Jnl[[#This Row],[IncNode]], config_IS[Node], config_IS[Type],,0)</f>
        <v>Op</v>
      </c>
      <c r="P1280" t="str">
        <f>_xlfn.XLOOKUP(Jnl[[#This Row],[BSLv2]], dict[Key], dict[Name],,0)</f>
        <v>0.现金及类似</v>
      </c>
      <c r="Q1280" t="str">
        <f>_xlfn.XLOOKUP(Jnl[[#This Row],[Acct]], dict[Key], dict[Name],,0)</f>
        <v>银行</v>
      </c>
      <c r="R1280" t="str">
        <f>_xlfn.XLOOKUP(Jnl[[#This Row],[Vehicle]],config_vehicle[Id], config_vehicle[Name],,0)</f>
        <v>小月号</v>
      </c>
      <c r="S1280" t="str">
        <f>_xlfn.XLOOKUP(Jnl[[#This Row],[Division]],config_div[Id], config_div[Name],,0)</f>
        <v>明月村</v>
      </c>
      <c r="T1280" t="str">
        <f>IF(Jnl[[#This Row],[TrxDate]]&lt;=stmt_BS_date_end, "In", "Out")</f>
        <v>In</v>
      </c>
      <c r="U1280" t="str">
        <f>IF(Jnl[[#This Row],[TrxDate]]&lt;debug_date_start, "prior", IF(Jnl[[#This Row],[TrxDate]]&gt;debug_date_end, "post", "curr"))</f>
        <v>curr</v>
      </c>
    </row>
    <row r="1281" spans="1:21">
      <c r="A1281" s="11" t="s">
        <v>1710</v>
      </c>
      <c r="B1281" s="7">
        <f>_xlfn.XLOOKUP(Jnl[[#This Row],[TrxId]], Trx[Id], Trx[Date],,0)</f>
        <v>46081</v>
      </c>
      <c r="C1281" s="7" t="str">
        <f>_xlfn.XLOOKUP(Jnl[[#This Row],[TrxId]], Trx[Id], Trx[Division],,0)</f>
        <v>MY</v>
      </c>
      <c r="D1281" s="7" t="str">
        <f>_xlfn.XLOOKUP(Jnl[[#This Row],[TrxId]], Trx[Id], Trx[Action],,0)</f>
        <v>收款</v>
      </c>
      <c r="E1281" s="26" t="s">
        <v>83</v>
      </c>
      <c r="F1281" s="11" t="s">
        <v>593</v>
      </c>
      <c r="G1281" s="11" t="s">
        <v>1711</v>
      </c>
      <c r="H1281" s="72">
        <v>-18720</v>
      </c>
      <c r="I1281" s="5" t="b">
        <f>AND(Jnl[[#This Row],[TrxId]]&lt;&gt;"",Jnl[[#This Row],[Acct]]&lt;&gt;"",Jnl[[#This Row],[Item]]&lt;&gt;"",ISNUMBER(Jnl[[#This Row],[Bal]]))</f>
        <v>1</v>
      </c>
      <c r="J1281" s="10">
        <f>IF(Jnl[[#This Row],[BSLv0]]="A",1,-1)*Jnl[[#This Row],[Bal]]</f>
        <v>-18720</v>
      </c>
      <c r="K1281" t="str">
        <f>_xlfn.XLOOKUP(Jnl[[#This Row],[Acct]], config_BS[Acct], config_BS[Lv0],,0)</f>
        <v>A</v>
      </c>
      <c r="L1281" t="str">
        <f>_xlfn.XLOOKUP(Jnl[[#This Row],[Acct]], config_BS[Acct], config_BS[Lv1],,0)</f>
        <v>Assets</v>
      </c>
      <c r="M1281" t="str">
        <f>_xlfn.XLOOKUP(Jnl[[#This Row],[Acct]], config_BS[Acct], config_BS[Lv2],,0)</f>
        <v>Rec-Pay</v>
      </c>
      <c r="N1281" t="str">
        <f>_xlfn.XLOOKUP(Jnl[[#This Row],[TrxId]], Trx[Id], Trx[IncNode], ,0)</f>
        <v>Revenue</v>
      </c>
      <c r="O1281" t="str">
        <f>_xlfn.XLOOKUP(Jnl[[#This Row],[IncNode]], config_IS[Node], config_IS[Type],,0)</f>
        <v>Op</v>
      </c>
      <c r="P1281" t="str">
        <f>_xlfn.XLOOKUP(Jnl[[#This Row],[BSLv2]], dict[Key], dict[Name],,0)</f>
        <v>1.应收-应付</v>
      </c>
      <c r="Q1281" t="str">
        <f>_xlfn.XLOOKUP(Jnl[[#This Row],[Acct]], dict[Key], dict[Name],,0)</f>
        <v>应收-一般</v>
      </c>
      <c r="R1281" t="str">
        <f>_xlfn.XLOOKUP(Jnl[[#This Row],[Vehicle]],config_vehicle[Id], config_vehicle[Name],,0)</f>
        <v>远家文化</v>
      </c>
      <c r="S1281" t="str">
        <f>_xlfn.XLOOKUP(Jnl[[#This Row],[Division]],config_div[Id], config_div[Name],,0)</f>
        <v>明月村</v>
      </c>
      <c r="T1281" t="str">
        <f>IF(Jnl[[#This Row],[TrxDate]]&lt;=stmt_BS_date_end, "In", "Out")</f>
        <v>In</v>
      </c>
      <c r="U1281" t="str">
        <f>IF(Jnl[[#This Row],[TrxDate]]&lt;debug_date_start, "prior", IF(Jnl[[#This Row],[TrxDate]]&gt;debug_date_end, "post", "curr"))</f>
        <v>curr</v>
      </c>
    </row>
    <row r="1282" spans="1:21">
      <c r="A1282" s="11" t="s">
        <v>1712</v>
      </c>
      <c r="B1282" s="7">
        <f>_xlfn.XLOOKUP(Jnl[[#This Row],[TrxId]], Trx[Id], Trx[Date],,0)</f>
        <v>46081</v>
      </c>
      <c r="C1282" s="7" t="str">
        <f>_xlfn.XLOOKUP(Jnl[[#This Row],[TrxId]], Trx[Id], Trx[Division],,0)</f>
        <v>MY</v>
      </c>
      <c r="D1282" s="7" t="str">
        <f>_xlfn.XLOOKUP(Jnl[[#This Row],[TrxId]], Trx[Id], Trx[Action],,0)</f>
        <v>办公</v>
      </c>
      <c r="E1282" s="26" t="s">
        <v>87</v>
      </c>
      <c r="F1282" s="11" t="s">
        <v>590</v>
      </c>
      <c r="G1282" s="11" t="s">
        <v>903</v>
      </c>
      <c r="H1282" s="72">
        <v>-29</v>
      </c>
      <c r="I1282" s="5" t="b">
        <f>AND(Jnl[[#This Row],[TrxId]]&lt;&gt;"",Jnl[[#This Row],[Acct]]&lt;&gt;"",Jnl[[#This Row],[Item]]&lt;&gt;"",ISNUMBER(Jnl[[#This Row],[Bal]]))</f>
        <v>1</v>
      </c>
      <c r="J1282" s="10">
        <f>IF(Jnl[[#This Row],[BSLv0]]="A",1,-1)*Jnl[[#This Row],[Bal]]</f>
        <v>-29</v>
      </c>
      <c r="K1282" t="str">
        <f>_xlfn.XLOOKUP(Jnl[[#This Row],[Acct]], config_BS[Acct], config_BS[Lv0],,0)</f>
        <v>A</v>
      </c>
      <c r="L1282" t="str">
        <f>_xlfn.XLOOKUP(Jnl[[#This Row],[Acct]], config_BS[Acct], config_BS[Lv1],,0)</f>
        <v>Assets</v>
      </c>
      <c r="M1282" t="str">
        <f>_xlfn.XLOOKUP(Jnl[[#This Row],[Acct]], config_BS[Acct], config_BS[Lv2],,0)</f>
        <v>Cash alike</v>
      </c>
      <c r="N1282" t="str">
        <f>_xlfn.XLOOKUP(Jnl[[#This Row],[TrxId]], Trx[Id], Trx[IncNode], ,0)</f>
        <v>Expense</v>
      </c>
      <c r="O1282" t="str">
        <f>_xlfn.XLOOKUP(Jnl[[#This Row],[IncNode]], config_IS[Node], config_IS[Type],,0)</f>
        <v>Op</v>
      </c>
      <c r="P1282" t="str">
        <f>_xlfn.XLOOKUP(Jnl[[#This Row],[BSLv2]], dict[Key], dict[Name],,0)</f>
        <v>0.现金及类似</v>
      </c>
      <c r="Q1282" t="str">
        <f>_xlfn.XLOOKUP(Jnl[[#This Row],[Acct]], dict[Key], dict[Name],,0)</f>
        <v>银行</v>
      </c>
      <c r="R1282" t="str">
        <f>_xlfn.XLOOKUP(Jnl[[#This Row],[Vehicle]],config_vehicle[Id], config_vehicle[Name],,0)</f>
        <v>小月号</v>
      </c>
      <c r="S1282" t="str">
        <f>_xlfn.XLOOKUP(Jnl[[#This Row],[Division]],config_div[Id], config_div[Name],,0)</f>
        <v>明月村</v>
      </c>
      <c r="T1282" t="str">
        <f>IF(Jnl[[#This Row],[TrxDate]]&lt;=stmt_BS_date_end, "In", "Out")</f>
        <v>In</v>
      </c>
      <c r="U1282" t="str">
        <f>IF(Jnl[[#This Row],[TrxDate]]&lt;debug_date_start, "prior", IF(Jnl[[#This Row],[TrxDate]]&gt;debug_date_end, "post", "curr"))</f>
        <v>curr</v>
      </c>
    </row>
    <row r="1283" spans="1:21">
      <c r="A1283" s="11" t="s">
        <v>1714</v>
      </c>
      <c r="B1283" s="7">
        <f>_xlfn.XLOOKUP(Jnl[[#This Row],[TrxId]], Trx[Id], Trx[Date],,0)</f>
        <v>46081</v>
      </c>
      <c r="C1283" s="7" t="str">
        <f>_xlfn.XLOOKUP(Jnl[[#This Row],[TrxId]], Trx[Id], Trx[Division],,0)</f>
        <v>MY</v>
      </c>
      <c r="D1283" s="7" t="str">
        <f>_xlfn.XLOOKUP(Jnl[[#This Row],[TrxId]], Trx[Id], Trx[Action],,0)</f>
        <v>物流</v>
      </c>
      <c r="E1283" s="26" t="s">
        <v>87</v>
      </c>
      <c r="F1283" s="11" t="s">
        <v>590</v>
      </c>
      <c r="G1283" s="11" t="s">
        <v>903</v>
      </c>
      <c r="H1283" s="72">
        <v>-72</v>
      </c>
      <c r="I1283" s="5" t="b">
        <f>AND(Jnl[[#This Row],[TrxId]]&lt;&gt;"",Jnl[[#This Row],[Acct]]&lt;&gt;"",Jnl[[#This Row],[Item]]&lt;&gt;"",ISNUMBER(Jnl[[#This Row],[Bal]]))</f>
        <v>1</v>
      </c>
      <c r="J1283" s="10">
        <f>IF(Jnl[[#This Row],[BSLv0]]="A",1,-1)*Jnl[[#This Row],[Bal]]</f>
        <v>-72</v>
      </c>
      <c r="K1283" t="str">
        <f>_xlfn.XLOOKUP(Jnl[[#This Row],[Acct]], config_BS[Acct], config_BS[Lv0],,0)</f>
        <v>A</v>
      </c>
      <c r="L1283" t="str">
        <f>_xlfn.XLOOKUP(Jnl[[#This Row],[Acct]], config_BS[Acct], config_BS[Lv1],,0)</f>
        <v>Assets</v>
      </c>
      <c r="M1283" t="str">
        <f>_xlfn.XLOOKUP(Jnl[[#This Row],[Acct]], config_BS[Acct], config_BS[Lv2],,0)</f>
        <v>Cash alike</v>
      </c>
      <c r="N1283" t="str">
        <f>_xlfn.XLOOKUP(Jnl[[#This Row],[TrxId]], Trx[Id], Trx[IncNode], ,0)</f>
        <v>Expense</v>
      </c>
      <c r="O1283" t="str">
        <f>_xlfn.XLOOKUP(Jnl[[#This Row],[IncNode]], config_IS[Node], config_IS[Type],,0)</f>
        <v>Op</v>
      </c>
      <c r="P1283" t="str">
        <f>_xlfn.XLOOKUP(Jnl[[#This Row],[BSLv2]], dict[Key], dict[Name],,0)</f>
        <v>0.现金及类似</v>
      </c>
      <c r="Q1283" t="str">
        <f>_xlfn.XLOOKUP(Jnl[[#This Row],[Acct]], dict[Key], dict[Name],,0)</f>
        <v>银行</v>
      </c>
      <c r="R1283" t="str">
        <f>_xlfn.XLOOKUP(Jnl[[#This Row],[Vehicle]],config_vehicle[Id], config_vehicle[Name],,0)</f>
        <v>小月号</v>
      </c>
      <c r="S1283" t="str">
        <f>_xlfn.XLOOKUP(Jnl[[#This Row],[Division]],config_div[Id], config_div[Name],,0)</f>
        <v>明月村</v>
      </c>
      <c r="T1283" t="str">
        <f>IF(Jnl[[#This Row],[TrxDate]]&lt;=stmt_BS_date_end, "In", "Out")</f>
        <v>In</v>
      </c>
      <c r="U1283" t="str">
        <f>IF(Jnl[[#This Row],[TrxDate]]&lt;debug_date_start, "prior", IF(Jnl[[#This Row],[TrxDate]]&gt;debug_date_end, "post", "curr"))</f>
        <v>curr</v>
      </c>
    </row>
    <row r="1284" spans="1:21">
      <c r="A1284" s="11" t="s">
        <v>1715</v>
      </c>
      <c r="B1284" s="7">
        <f>_xlfn.XLOOKUP(Jnl[[#This Row],[TrxId]], Trx[Id], Trx[Date],,0)</f>
        <v>46081</v>
      </c>
      <c r="C1284" s="7" t="str">
        <f>_xlfn.XLOOKUP(Jnl[[#This Row],[TrxId]], Trx[Id], Trx[Division],,0)</f>
        <v>MY</v>
      </c>
      <c r="D1284" s="7" t="str">
        <f>_xlfn.XLOOKUP(Jnl[[#This Row],[TrxId]], Trx[Id], Trx[Action],,0)</f>
        <v>收款</v>
      </c>
      <c r="E1284" s="26" t="s">
        <v>87</v>
      </c>
      <c r="F1284" s="11" t="s">
        <v>590</v>
      </c>
      <c r="G1284" s="11" t="s">
        <v>903</v>
      </c>
      <c r="H1284" s="72">
        <v>1000</v>
      </c>
      <c r="I1284" s="5" t="b">
        <f>AND(Jnl[[#This Row],[TrxId]]&lt;&gt;"",Jnl[[#This Row],[Acct]]&lt;&gt;"",Jnl[[#This Row],[Item]]&lt;&gt;"",ISNUMBER(Jnl[[#This Row],[Bal]]))</f>
        <v>1</v>
      </c>
      <c r="J1284" s="10">
        <f>IF(Jnl[[#This Row],[BSLv0]]="A",1,-1)*Jnl[[#This Row],[Bal]]</f>
        <v>1000</v>
      </c>
      <c r="K1284" t="str">
        <f>_xlfn.XLOOKUP(Jnl[[#This Row],[Acct]], config_BS[Acct], config_BS[Lv0],,0)</f>
        <v>A</v>
      </c>
      <c r="L1284" t="str">
        <f>_xlfn.XLOOKUP(Jnl[[#This Row],[Acct]], config_BS[Acct], config_BS[Lv1],,0)</f>
        <v>Assets</v>
      </c>
      <c r="M1284" t="str">
        <f>_xlfn.XLOOKUP(Jnl[[#This Row],[Acct]], config_BS[Acct], config_BS[Lv2],,0)</f>
        <v>Cash alike</v>
      </c>
      <c r="N1284" t="str">
        <f>_xlfn.XLOOKUP(Jnl[[#This Row],[TrxId]], Trx[Id], Trx[IncNode], ,0)</f>
        <v>Revenue</v>
      </c>
      <c r="O1284" t="str">
        <f>_xlfn.XLOOKUP(Jnl[[#This Row],[IncNode]], config_IS[Node], config_IS[Type],,0)</f>
        <v>Op</v>
      </c>
      <c r="P1284" t="str">
        <f>_xlfn.XLOOKUP(Jnl[[#This Row],[BSLv2]], dict[Key], dict[Name],,0)</f>
        <v>0.现金及类似</v>
      </c>
      <c r="Q1284" t="str">
        <f>_xlfn.XLOOKUP(Jnl[[#This Row],[Acct]], dict[Key], dict[Name],,0)</f>
        <v>银行</v>
      </c>
      <c r="R1284" t="str">
        <f>_xlfn.XLOOKUP(Jnl[[#This Row],[Vehicle]],config_vehicle[Id], config_vehicle[Name],,0)</f>
        <v>小月号</v>
      </c>
      <c r="S1284" t="str">
        <f>_xlfn.XLOOKUP(Jnl[[#This Row],[Division]],config_div[Id], config_div[Name],,0)</f>
        <v>明月村</v>
      </c>
      <c r="T1284" t="str">
        <f>IF(Jnl[[#This Row],[TrxDate]]&lt;=stmt_BS_date_end, "In", "Out")</f>
        <v>In</v>
      </c>
      <c r="U1284" t="str">
        <f>IF(Jnl[[#This Row],[TrxDate]]&lt;debug_date_start, "prior", IF(Jnl[[#This Row],[TrxDate]]&gt;debug_date_end, "post", "curr"))</f>
        <v>curr</v>
      </c>
    </row>
    <row r="1285" spans="1:21">
      <c r="A1285" s="11" t="s">
        <v>1715</v>
      </c>
      <c r="B1285" s="7">
        <f>_xlfn.XLOOKUP(Jnl[[#This Row],[TrxId]], Trx[Id], Trx[Date],,0)</f>
        <v>46081</v>
      </c>
      <c r="C1285" s="7" t="str">
        <f>_xlfn.XLOOKUP(Jnl[[#This Row],[TrxId]], Trx[Id], Trx[Division],,0)</f>
        <v>MY</v>
      </c>
      <c r="D1285" s="7" t="str">
        <f>_xlfn.XLOOKUP(Jnl[[#This Row],[TrxId]], Trx[Id], Trx[Action],,0)</f>
        <v>收款</v>
      </c>
      <c r="E1285" s="26" t="s">
        <v>83</v>
      </c>
      <c r="F1285" s="11" t="s">
        <v>593</v>
      </c>
      <c r="G1285" s="11" t="s">
        <v>1065</v>
      </c>
      <c r="H1285" s="72">
        <v>-1000</v>
      </c>
      <c r="I1285" s="5" t="b">
        <f>AND(Jnl[[#This Row],[TrxId]]&lt;&gt;"",Jnl[[#This Row],[Acct]]&lt;&gt;"",Jnl[[#This Row],[Item]]&lt;&gt;"",ISNUMBER(Jnl[[#This Row],[Bal]]))</f>
        <v>1</v>
      </c>
      <c r="J1285" s="10">
        <f>IF(Jnl[[#This Row],[BSLv0]]="A",1,-1)*Jnl[[#This Row],[Bal]]</f>
        <v>-1000</v>
      </c>
      <c r="K1285" t="str">
        <f>_xlfn.XLOOKUP(Jnl[[#This Row],[Acct]], config_BS[Acct], config_BS[Lv0],,0)</f>
        <v>A</v>
      </c>
      <c r="L1285" t="str">
        <f>_xlfn.XLOOKUP(Jnl[[#This Row],[Acct]], config_BS[Acct], config_BS[Lv1],,0)</f>
        <v>Assets</v>
      </c>
      <c r="M1285" t="str">
        <f>_xlfn.XLOOKUP(Jnl[[#This Row],[Acct]], config_BS[Acct], config_BS[Lv2],,0)</f>
        <v>Rec-Pay</v>
      </c>
      <c r="N1285" t="str">
        <f>_xlfn.XLOOKUP(Jnl[[#This Row],[TrxId]], Trx[Id], Trx[IncNode], ,0)</f>
        <v>Revenue</v>
      </c>
      <c r="O1285" t="str">
        <f>_xlfn.XLOOKUP(Jnl[[#This Row],[IncNode]], config_IS[Node], config_IS[Type],,0)</f>
        <v>Op</v>
      </c>
      <c r="P1285" t="str">
        <f>_xlfn.XLOOKUP(Jnl[[#This Row],[BSLv2]], dict[Key], dict[Name],,0)</f>
        <v>1.应收-应付</v>
      </c>
      <c r="Q1285" t="str">
        <f>_xlfn.XLOOKUP(Jnl[[#This Row],[Acct]], dict[Key], dict[Name],,0)</f>
        <v>应收-一般</v>
      </c>
      <c r="R1285" t="str">
        <f>_xlfn.XLOOKUP(Jnl[[#This Row],[Vehicle]],config_vehicle[Id], config_vehicle[Name],,0)</f>
        <v>远家文化</v>
      </c>
      <c r="S1285" t="str">
        <f>_xlfn.XLOOKUP(Jnl[[#This Row],[Division]],config_div[Id], config_div[Name],,0)</f>
        <v>明月村</v>
      </c>
      <c r="T1285" t="str">
        <f>IF(Jnl[[#This Row],[TrxDate]]&lt;=stmt_BS_date_end, "In", "Out")</f>
        <v>In</v>
      </c>
      <c r="U1285" t="str">
        <f>IF(Jnl[[#This Row],[TrxDate]]&lt;debug_date_start, "prior", IF(Jnl[[#This Row],[TrxDate]]&gt;debug_date_end, "post", "curr"))</f>
        <v>curr</v>
      </c>
    </row>
    <row r="1286" spans="1:21">
      <c r="A1286" s="11" t="s">
        <v>1716</v>
      </c>
      <c r="B1286" s="7">
        <f>_xlfn.XLOOKUP(Jnl[[#This Row],[TrxId]], Trx[Id], Trx[Date],,0)</f>
        <v>46081</v>
      </c>
      <c r="C1286" s="7" t="str">
        <f>_xlfn.XLOOKUP(Jnl[[#This Row],[TrxId]], Trx[Id], Trx[Division],,0)</f>
        <v>MY</v>
      </c>
      <c r="D1286" s="7" t="str">
        <f>_xlfn.XLOOKUP(Jnl[[#This Row],[TrxId]], Trx[Id], Trx[Action],,0)</f>
        <v>收款</v>
      </c>
      <c r="E1286" s="26" t="s">
        <v>87</v>
      </c>
      <c r="F1286" s="11" t="s">
        <v>590</v>
      </c>
      <c r="G1286" s="11" t="s">
        <v>903</v>
      </c>
      <c r="H1286" s="72">
        <v>4000</v>
      </c>
      <c r="I1286" s="5" t="b">
        <f>AND(Jnl[[#This Row],[TrxId]]&lt;&gt;"",Jnl[[#This Row],[Acct]]&lt;&gt;"",Jnl[[#This Row],[Item]]&lt;&gt;"",ISNUMBER(Jnl[[#This Row],[Bal]]))</f>
        <v>1</v>
      </c>
      <c r="J1286" s="10">
        <f>IF(Jnl[[#This Row],[BSLv0]]="A",1,-1)*Jnl[[#This Row],[Bal]]</f>
        <v>4000</v>
      </c>
      <c r="K1286" t="str">
        <f>_xlfn.XLOOKUP(Jnl[[#This Row],[Acct]], config_BS[Acct], config_BS[Lv0],,0)</f>
        <v>A</v>
      </c>
      <c r="L1286" t="str">
        <f>_xlfn.XLOOKUP(Jnl[[#This Row],[Acct]], config_BS[Acct], config_BS[Lv1],,0)</f>
        <v>Assets</v>
      </c>
      <c r="M1286" t="str">
        <f>_xlfn.XLOOKUP(Jnl[[#This Row],[Acct]], config_BS[Acct], config_BS[Lv2],,0)</f>
        <v>Cash alike</v>
      </c>
      <c r="N1286" t="str">
        <f>_xlfn.XLOOKUP(Jnl[[#This Row],[TrxId]], Trx[Id], Trx[IncNode], ,0)</f>
        <v>Revenue</v>
      </c>
      <c r="O1286" t="str">
        <f>_xlfn.XLOOKUP(Jnl[[#This Row],[IncNode]], config_IS[Node], config_IS[Type],,0)</f>
        <v>Op</v>
      </c>
      <c r="P1286" t="str">
        <f>_xlfn.XLOOKUP(Jnl[[#This Row],[BSLv2]], dict[Key], dict[Name],,0)</f>
        <v>0.现金及类似</v>
      </c>
      <c r="Q1286" t="str">
        <f>_xlfn.XLOOKUP(Jnl[[#This Row],[Acct]], dict[Key], dict[Name],,0)</f>
        <v>银行</v>
      </c>
      <c r="R1286" t="str">
        <f>_xlfn.XLOOKUP(Jnl[[#This Row],[Vehicle]],config_vehicle[Id], config_vehicle[Name],,0)</f>
        <v>小月号</v>
      </c>
      <c r="S1286" t="str">
        <f>_xlfn.XLOOKUP(Jnl[[#This Row],[Division]],config_div[Id], config_div[Name],,0)</f>
        <v>明月村</v>
      </c>
      <c r="T1286" t="str">
        <f>IF(Jnl[[#This Row],[TrxDate]]&lt;=stmt_BS_date_end, "In", "Out")</f>
        <v>In</v>
      </c>
      <c r="U1286" t="str">
        <f>IF(Jnl[[#This Row],[TrxDate]]&lt;debug_date_start, "prior", IF(Jnl[[#This Row],[TrxDate]]&gt;debug_date_end, "post", "curr"))</f>
        <v>curr</v>
      </c>
    </row>
    <row r="1287" spans="1:21">
      <c r="A1287" s="11" t="s">
        <v>1716</v>
      </c>
      <c r="B1287" s="7">
        <f>_xlfn.XLOOKUP(Jnl[[#This Row],[TrxId]], Trx[Id], Trx[Date],,0)</f>
        <v>46081</v>
      </c>
      <c r="C1287" s="7" t="str">
        <f>_xlfn.XLOOKUP(Jnl[[#This Row],[TrxId]], Trx[Id], Trx[Division],,0)</f>
        <v>MY</v>
      </c>
      <c r="D1287" s="7" t="str">
        <f>_xlfn.XLOOKUP(Jnl[[#This Row],[TrxId]], Trx[Id], Trx[Action],,0)</f>
        <v>收款</v>
      </c>
      <c r="E1287" s="26" t="s">
        <v>83</v>
      </c>
      <c r="F1287" s="11" t="s">
        <v>593</v>
      </c>
      <c r="G1287" s="11"/>
      <c r="H1287" s="72">
        <v>-4000</v>
      </c>
      <c r="I1287" s="5" t="b">
        <f>AND(Jnl[[#This Row],[TrxId]]&lt;&gt;"",Jnl[[#This Row],[Acct]]&lt;&gt;"",Jnl[[#This Row],[Item]]&lt;&gt;"",ISNUMBER(Jnl[[#This Row],[Bal]]))</f>
        <v>0</v>
      </c>
      <c r="J1287" s="10">
        <f>IF(Jnl[[#This Row],[BSLv0]]="A",1,-1)*Jnl[[#This Row],[Bal]]</f>
        <v>-4000</v>
      </c>
      <c r="K1287" t="str">
        <f>_xlfn.XLOOKUP(Jnl[[#This Row],[Acct]], config_BS[Acct], config_BS[Lv0],,0)</f>
        <v>A</v>
      </c>
      <c r="L1287" t="str">
        <f>_xlfn.XLOOKUP(Jnl[[#This Row],[Acct]], config_BS[Acct], config_BS[Lv1],,0)</f>
        <v>Assets</v>
      </c>
      <c r="M1287" t="str">
        <f>_xlfn.XLOOKUP(Jnl[[#This Row],[Acct]], config_BS[Acct], config_BS[Lv2],,0)</f>
        <v>Rec-Pay</v>
      </c>
      <c r="N1287" t="str">
        <f>_xlfn.XLOOKUP(Jnl[[#This Row],[TrxId]], Trx[Id], Trx[IncNode], ,0)</f>
        <v>Revenue</v>
      </c>
      <c r="O1287" t="str">
        <f>_xlfn.XLOOKUP(Jnl[[#This Row],[IncNode]], config_IS[Node], config_IS[Type],,0)</f>
        <v>Op</v>
      </c>
      <c r="P1287" t="str">
        <f>_xlfn.XLOOKUP(Jnl[[#This Row],[BSLv2]], dict[Key], dict[Name],,0)</f>
        <v>1.应收-应付</v>
      </c>
      <c r="Q1287" t="str">
        <f>_xlfn.XLOOKUP(Jnl[[#This Row],[Acct]], dict[Key], dict[Name],,0)</f>
        <v>应收-一般</v>
      </c>
      <c r="R1287" t="str">
        <f>_xlfn.XLOOKUP(Jnl[[#This Row],[Vehicle]],config_vehicle[Id], config_vehicle[Name],,0)</f>
        <v>远家文化</v>
      </c>
      <c r="S1287" t="str">
        <f>_xlfn.XLOOKUP(Jnl[[#This Row],[Division]],config_div[Id], config_div[Name],,0)</f>
        <v>明月村</v>
      </c>
      <c r="T1287" t="str">
        <f>IF(Jnl[[#This Row],[TrxDate]]&lt;=stmt_BS_date_end, "In", "Out")</f>
        <v>In</v>
      </c>
      <c r="U1287" t="str">
        <f>IF(Jnl[[#This Row],[TrxDate]]&lt;debug_date_start, "prior", IF(Jnl[[#This Row],[TrxDate]]&gt;debug_date_end, "post", "curr"))</f>
        <v>curr</v>
      </c>
    </row>
    <row r="1288" spans="1:21">
      <c r="A1288" s="11" t="s">
        <v>1717</v>
      </c>
      <c r="B1288" s="7">
        <f>_xlfn.XLOOKUP(Jnl[[#This Row],[TrxId]], Trx[Id], Trx[Date],,0)</f>
        <v>46081</v>
      </c>
      <c r="C1288" s="7" t="str">
        <f>_xlfn.XLOOKUP(Jnl[[#This Row],[TrxId]], Trx[Id], Trx[Division],,0)</f>
        <v>MY</v>
      </c>
      <c r="D1288" s="7" t="str">
        <f>_xlfn.XLOOKUP(Jnl[[#This Row],[TrxId]], Trx[Id], Trx[Action],,0)</f>
        <v>支付</v>
      </c>
      <c r="E1288" s="26" t="s">
        <v>87</v>
      </c>
      <c r="F1288" s="11" t="s">
        <v>590</v>
      </c>
      <c r="G1288" s="11" t="s">
        <v>903</v>
      </c>
      <c r="H1288" s="72">
        <v>-5286</v>
      </c>
      <c r="I1288" s="5" t="b">
        <f>AND(Jnl[[#This Row],[TrxId]]&lt;&gt;"",Jnl[[#This Row],[Acct]]&lt;&gt;"",Jnl[[#This Row],[Item]]&lt;&gt;"",ISNUMBER(Jnl[[#This Row],[Bal]]))</f>
        <v>1</v>
      </c>
      <c r="J1288" s="10">
        <f>IF(Jnl[[#This Row],[BSLv0]]="A",1,-1)*Jnl[[#This Row],[Bal]]</f>
        <v>-5286</v>
      </c>
      <c r="K1288" t="str">
        <f>_xlfn.XLOOKUP(Jnl[[#This Row],[Acct]], config_BS[Acct], config_BS[Lv0],,0)</f>
        <v>A</v>
      </c>
      <c r="L1288" t="str">
        <f>_xlfn.XLOOKUP(Jnl[[#This Row],[Acct]], config_BS[Acct], config_BS[Lv1],,0)</f>
        <v>Assets</v>
      </c>
      <c r="M1288" t="str">
        <f>_xlfn.XLOOKUP(Jnl[[#This Row],[Acct]], config_BS[Acct], config_BS[Lv2],,0)</f>
        <v>Cash alike</v>
      </c>
      <c r="N1288" t="str">
        <f>_xlfn.XLOOKUP(Jnl[[#This Row],[TrxId]], Trx[Id], Trx[IncNode], ,0)</f>
        <v>Expense</v>
      </c>
      <c r="O1288" t="str">
        <f>_xlfn.XLOOKUP(Jnl[[#This Row],[IncNode]], config_IS[Node], config_IS[Type],,0)</f>
        <v>Op</v>
      </c>
      <c r="P1288" t="str">
        <f>_xlfn.XLOOKUP(Jnl[[#This Row],[BSLv2]], dict[Key], dict[Name],,0)</f>
        <v>0.现金及类似</v>
      </c>
      <c r="Q1288" t="str">
        <f>_xlfn.XLOOKUP(Jnl[[#This Row],[Acct]], dict[Key], dict[Name],,0)</f>
        <v>银行</v>
      </c>
      <c r="R1288" t="str">
        <f>_xlfn.XLOOKUP(Jnl[[#This Row],[Vehicle]],config_vehicle[Id], config_vehicle[Name],,0)</f>
        <v>小月号</v>
      </c>
      <c r="S1288" t="str">
        <f>_xlfn.XLOOKUP(Jnl[[#This Row],[Division]],config_div[Id], config_div[Name],,0)</f>
        <v>明月村</v>
      </c>
      <c r="T1288" t="str">
        <f>IF(Jnl[[#This Row],[TrxDate]]&lt;=stmt_BS_date_end, "In", "Out")</f>
        <v>In</v>
      </c>
      <c r="U1288" t="str">
        <f>IF(Jnl[[#This Row],[TrxDate]]&lt;debug_date_start, "prior", IF(Jnl[[#This Row],[TrxDate]]&gt;debug_date_end, "post", "curr"))</f>
        <v>curr</v>
      </c>
    </row>
    <row r="1289" spans="1:21">
      <c r="A1289" s="11" t="s">
        <v>1717</v>
      </c>
      <c r="B1289" s="7">
        <f>_xlfn.XLOOKUP(Jnl[[#This Row],[TrxId]], Trx[Id], Trx[Date],,0)</f>
        <v>46081</v>
      </c>
      <c r="C1289" s="7" t="str">
        <f>_xlfn.XLOOKUP(Jnl[[#This Row],[TrxId]], Trx[Id], Trx[Division],,0)</f>
        <v>MY</v>
      </c>
      <c r="D1289" s="7" t="str">
        <f>_xlfn.XLOOKUP(Jnl[[#This Row],[TrxId]], Trx[Id], Trx[Action],,0)</f>
        <v>支付</v>
      </c>
      <c r="E1289" s="26" t="s">
        <v>83</v>
      </c>
      <c r="F1289" s="11" t="s">
        <v>596</v>
      </c>
      <c r="G1289" s="11" t="s">
        <v>149</v>
      </c>
      <c r="H1289" s="72">
        <v>-5286</v>
      </c>
      <c r="I1289" s="5" t="b">
        <f>AND(Jnl[[#This Row],[TrxId]]&lt;&gt;"",Jnl[[#This Row],[Acct]]&lt;&gt;"",Jnl[[#This Row],[Item]]&lt;&gt;"",ISNUMBER(Jnl[[#This Row],[Bal]]))</f>
        <v>1</v>
      </c>
      <c r="J1289" s="10">
        <f>IF(Jnl[[#This Row],[BSLv0]]="A",1,-1)*Jnl[[#This Row],[Bal]]</f>
        <v>5286</v>
      </c>
      <c r="K1289" t="str">
        <f>_xlfn.XLOOKUP(Jnl[[#This Row],[Acct]], config_BS[Acct], config_BS[Lv0],,0)</f>
        <v>LC</v>
      </c>
      <c r="L1289" t="str">
        <f>_xlfn.XLOOKUP(Jnl[[#This Row],[Acct]], config_BS[Acct], config_BS[Lv1],,0)</f>
        <v>Liability</v>
      </c>
      <c r="M1289" t="str">
        <f>_xlfn.XLOOKUP(Jnl[[#This Row],[Acct]], config_BS[Acct], config_BS[Lv2],,0)</f>
        <v>Rec-Pay</v>
      </c>
      <c r="N1289" t="str">
        <f>_xlfn.XLOOKUP(Jnl[[#This Row],[TrxId]], Trx[Id], Trx[IncNode], ,0)</f>
        <v>Expense</v>
      </c>
      <c r="O1289" t="str">
        <f>_xlfn.XLOOKUP(Jnl[[#This Row],[IncNode]], config_IS[Node], config_IS[Type],,0)</f>
        <v>Op</v>
      </c>
      <c r="P1289" t="str">
        <f>_xlfn.XLOOKUP(Jnl[[#This Row],[BSLv2]], dict[Key], dict[Name],,0)</f>
        <v>1.应收-应付</v>
      </c>
      <c r="Q1289" t="str">
        <f>_xlfn.XLOOKUP(Jnl[[#This Row],[Acct]], dict[Key], dict[Name],,0)</f>
        <v>应付-薪资</v>
      </c>
      <c r="R1289" t="str">
        <f>_xlfn.XLOOKUP(Jnl[[#This Row],[Vehicle]],config_vehicle[Id], config_vehicle[Name],,0)</f>
        <v>远家文化</v>
      </c>
      <c r="S1289" t="str">
        <f>_xlfn.XLOOKUP(Jnl[[#This Row],[Division]],config_div[Id], config_div[Name],,0)</f>
        <v>明月村</v>
      </c>
      <c r="T1289" t="str">
        <f>IF(Jnl[[#This Row],[TrxDate]]&lt;=stmt_BS_date_end, "In", "Out")</f>
        <v>In</v>
      </c>
      <c r="U1289" t="str">
        <f>IF(Jnl[[#This Row],[TrxDate]]&lt;debug_date_start, "prior", IF(Jnl[[#This Row],[TrxDate]]&gt;debug_date_end, "post", "curr"))</f>
        <v>curr</v>
      </c>
    </row>
    <row r="1290" spans="1:21">
      <c r="A1290" s="11" t="s">
        <v>1718</v>
      </c>
      <c r="B1290" s="7">
        <f>_xlfn.XLOOKUP(Jnl[[#This Row],[TrxId]], Trx[Id], Trx[Date],,0)</f>
        <v>46081</v>
      </c>
      <c r="C1290" s="7" t="str">
        <f>_xlfn.XLOOKUP(Jnl[[#This Row],[TrxId]], Trx[Id], Trx[Division],,0)</f>
        <v>GM</v>
      </c>
      <c r="D1290" s="7" t="str">
        <f>_xlfn.XLOOKUP(Jnl[[#This Row],[TrxId]], Trx[Id], Trx[Action],,0)</f>
        <v>支付</v>
      </c>
      <c r="E1290" s="26" t="s">
        <v>87</v>
      </c>
      <c r="F1290" s="11" t="s">
        <v>590</v>
      </c>
      <c r="G1290" s="11" t="s">
        <v>903</v>
      </c>
      <c r="H1290" s="72">
        <v>-99375</v>
      </c>
      <c r="I1290" s="5" t="b">
        <f>AND(Jnl[[#This Row],[TrxId]]&lt;&gt;"",Jnl[[#This Row],[Acct]]&lt;&gt;"",Jnl[[#This Row],[Item]]&lt;&gt;"",ISNUMBER(Jnl[[#This Row],[Bal]]))</f>
        <v>1</v>
      </c>
      <c r="J1290" s="10">
        <f>IF(Jnl[[#This Row],[BSLv0]]="A",1,-1)*Jnl[[#This Row],[Bal]]</f>
        <v>-99375</v>
      </c>
      <c r="K1290" t="str">
        <f>_xlfn.XLOOKUP(Jnl[[#This Row],[Acct]], config_BS[Acct], config_BS[Lv0],,0)</f>
        <v>A</v>
      </c>
      <c r="L1290" t="str">
        <f>_xlfn.XLOOKUP(Jnl[[#This Row],[Acct]], config_BS[Acct], config_BS[Lv1],,0)</f>
        <v>Assets</v>
      </c>
      <c r="M1290" t="str">
        <f>_xlfn.XLOOKUP(Jnl[[#This Row],[Acct]], config_BS[Acct], config_BS[Lv2],,0)</f>
        <v>Cash alike</v>
      </c>
      <c r="N1290" t="str">
        <f>_xlfn.XLOOKUP(Jnl[[#This Row],[TrxId]], Trx[Id], Trx[IncNode], ,0)</f>
        <v>Expense</v>
      </c>
      <c r="O1290" t="str">
        <f>_xlfn.XLOOKUP(Jnl[[#This Row],[IncNode]], config_IS[Node], config_IS[Type],,0)</f>
        <v>Op</v>
      </c>
      <c r="P1290" t="str">
        <f>_xlfn.XLOOKUP(Jnl[[#This Row],[BSLv2]], dict[Key], dict[Name],,0)</f>
        <v>0.现金及类似</v>
      </c>
      <c r="Q1290" t="str">
        <f>_xlfn.XLOOKUP(Jnl[[#This Row],[Acct]], dict[Key], dict[Name],,0)</f>
        <v>银行</v>
      </c>
      <c r="R1290" t="str">
        <f>_xlfn.XLOOKUP(Jnl[[#This Row],[Vehicle]],config_vehicle[Id], config_vehicle[Name],,0)</f>
        <v>小月号</v>
      </c>
      <c r="S1290" t="str">
        <f>_xlfn.XLOOKUP(Jnl[[#This Row],[Division]],config_div[Id], config_div[Name],,0)</f>
        <v>综合管理</v>
      </c>
      <c r="T1290" t="str">
        <f>IF(Jnl[[#This Row],[TrxDate]]&lt;=stmt_BS_date_end, "In", "Out")</f>
        <v>In</v>
      </c>
      <c r="U1290" t="str">
        <f>IF(Jnl[[#This Row],[TrxDate]]&lt;debug_date_start, "prior", IF(Jnl[[#This Row],[TrxDate]]&gt;debug_date_end, "post", "curr"))</f>
        <v>curr</v>
      </c>
    </row>
    <row r="1291" spans="1:21">
      <c r="A1291" s="11" t="s">
        <v>1718</v>
      </c>
      <c r="B1291" s="7">
        <f>_xlfn.XLOOKUP(Jnl[[#This Row],[TrxId]], Trx[Id], Trx[Date],,0)</f>
        <v>46081</v>
      </c>
      <c r="C1291" s="7" t="str">
        <f>_xlfn.XLOOKUP(Jnl[[#This Row],[TrxId]], Trx[Id], Trx[Division],,0)</f>
        <v>GM</v>
      </c>
      <c r="D1291" s="7" t="str">
        <f>_xlfn.XLOOKUP(Jnl[[#This Row],[TrxId]], Trx[Id], Trx[Action],,0)</f>
        <v>支付</v>
      </c>
      <c r="E1291" s="26" t="s">
        <v>83</v>
      </c>
      <c r="F1291" s="11" t="s">
        <v>596</v>
      </c>
      <c r="G1291" s="11" t="s">
        <v>318</v>
      </c>
      <c r="H1291" s="72">
        <v>-99375</v>
      </c>
      <c r="I1291" s="5" t="b">
        <f>AND(Jnl[[#This Row],[TrxId]]&lt;&gt;"",Jnl[[#This Row],[Acct]]&lt;&gt;"",Jnl[[#This Row],[Item]]&lt;&gt;"",ISNUMBER(Jnl[[#This Row],[Bal]]))</f>
        <v>1</v>
      </c>
      <c r="J1291" s="10">
        <f>IF(Jnl[[#This Row],[BSLv0]]="A",1,-1)*Jnl[[#This Row],[Bal]]</f>
        <v>99375</v>
      </c>
      <c r="K1291" t="str">
        <f>_xlfn.XLOOKUP(Jnl[[#This Row],[Acct]], config_BS[Acct], config_BS[Lv0],,0)</f>
        <v>LC</v>
      </c>
      <c r="L1291" t="str">
        <f>_xlfn.XLOOKUP(Jnl[[#This Row],[Acct]], config_BS[Acct], config_BS[Lv1],,0)</f>
        <v>Liability</v>
      </c>
      <c r="M1291" t="str">
        <f>_xlfn.XLOOKUP(Jnl[[#This Row],[Acct]], config_BS[Acct], config_BS[Lv2],,0)</f>
        <v>Rec-Pay</v>
      </c>
      <c r="N1291" t="str">
        <f>_xlfn.XLOOKUP(Jnl[[#This Row],[TrxId]], Trx[Id], Trx[IncNode], ,0)</f>
        <v>Expense</v>
      </c>
      <c r="O1291" t="str">
        <f>_xlfn.XLOOKUP(Jnl[[#This Row],[IncNode]], config_IS[Node], config_IS[Type],,0)</f>
        <v>Op</v>
      </c>
      <c r="P1291" t="str">
        <f>_xlfn.XLOOKUP(Jnl[[#This Row],[BSLv2]], dict[Key], dict[Name],,0)</f>
        <v>1.应收-应付</v>
      </c>
      <c r="Q1291" t="str">
        <f>_xlfn.XLOOKUP(Jnl[[#This Row],[Acct]], dict[Key], dict[Name],,0)</f>
        <v>应付-薪资</v>
      </c>
      <c r="R1291" t="str">
        <f>_xlfn.XLOOKUP(Jnl[[#This Row],[Vehicle]],config_vehicle[Id], config_vehicle[Name],,0)</f>
        <v>远家文化</v>
      </c>
      <c r="S1291" t="str">
        <f>_xlfn.XLOOKUP(Jnl[[#This Row],[Division]],config_div[Id], config_div[Name],,0)</f>
        <v>综合管理</v>
      </c>
      <c r="T1291" t="str">
        <f>IF(Jnl[[#This Row],[TrxDate]]&lt;=stmt_BS_date_end, "In", "Out")</f>
        <v>In</v>
      </c>
      <c r="U1291" t="str">
        <f>IF(Jnl[[#This Row],[TrxDate]]&lt;debug_date_start, "prior", IF(Jnl[[#This Row],[TrxDate]]&gt;debug_date_end, "post", "curr"))</f>
        <v>curr</v>
      </c>
    </row>
    <row r="1292" spans="1:21">
      <c r="A1292" s="11" t="s">
        <v>1719</v>
      </c>
      <c r="B1292" s="7">
        <f>_xlfn.XLOOKUP(Jnl[[#This Row],[TrxId]], Trx[Id], Trx[Date],,0)</f>
        <v>46081</v>
      </c>
      <c r="C1292" s="7" t="str">
        <f>_xlfn.XLOOKUP(Jnl[[#This Row],[TrxId]], Trx[Id], Trx[Division],,0)</f>
        <v>MY</v>
      </c>
      <c r="D1292" s="7" t="str">
        <f>_xlfn.XLOOKUP(Jnl[[#This Row],[TrxId]], Trx[Id], Trx[Action],,0)</f>
        <v>收款</v>
      </c>
      <c r="E1292" s="26" t="s">
        <v>87</v>
      </c>
      <c r="F1292" s="11" t="s">
        <v>590</v>
      </c>
      <c r="G1292" s="11" t="s">
        <v>903</v>
      </c>
      <c r="H1292" s="72">
        <v>274.39999999999998</v>
      </c>
      <c r="I1292" s="5" t="b">
        <f>AND(Jnl[[#This Row],[TrxId]]&lt;&gt;"",Jnl[[#This Row],[Acct]]&lt;&gt;"",Jnl[[#This Row],[Item]]&lt;&gt;"",ISNUMBER(Jnl[[#This Row],[Bal]]))</f>
        <v>1</v>
      </c>
      <c r="J1292" s="10">
        <f>IF(Jnl[[#This Row],[BSLv0]]="A",1,-1)*Jnl[[#This Row],[Bal]]</f>
        <v>274.39999999999998</v>
      </c>
      <c r="K1292" t="str">
        <f>_xlfn.XLOOKUP(Jnl[[#This Row],[Acct]], config_BS[Acct], config_BS[Lv0],,0)</f>
        <v>A</v>
      </c>
      <c r="L1292" t="str">
        <f>_xlfn.XLOOKUP(Jnl[[#This Row],[Acct]], config_BS[Acct], config_BS[Lv1],,0)</f>
        <v>Assets</v>
      </c>
      <c r="M1292" t="str">
        <f>_xlfn.XLOOKUP(Jnl[[#This Row],[Acct]], config_BS[Acct], config_BS[Lv2],,0)</f>
        <v>Cash alike</v>
      </c>
      <c r="N1292" t="str">
        <f>_xlfn.XLOOKUP(Jnl[[#This Row],[TrxId]], Trx[Id], Trx[IncNode], ,0)</f>
        <v>Revenue</v>
      </c>
      <c r="O1292" t="str">
        <f>_xlfn.XLOOKUP(Jnl[[#This Row],[IncNode]], config_IS[Node], config_IS[Type],,0)</f>
        <v>Op</v>
      </c>
      <c r="P1292" t="str">
        <f>_xlfn.XLOOKUP(Jnl[[#This Row],[BSLv2]], dict[Key], dict[Name],,0)</f>
        <v>0.现金及类似</v>
      </c>
      <c r="Q1292" t="str">
        <f>_xlfn.XLOOKUP(Jnl[[#This Row],[Acct]], dict[Key], dict[Name],,0)</f>
        <v>银行</v>
      </c>
      <c r="R1292" t="str">
        <f>_xlfn.XLOOKUP(Jnl[[#This Row],[Vehicle]],config_vehicle[Id], config_vehicle[Name],,0)</f>
        <v>小月号</v>
      </c>
      <c r="S1292" t="str">
        <f>_xlfn.XLOOKUP(Jnl[[#This Row],[Division]],config_div[Id], config_div[Name],,0)</f>
        <v>明月村</v>
      </c>
      <c r="T1292" t="str">
        <f>IF(Jnl[[#This Row],[TrxDate]]&lt;=stmt_BS_date_end, "In", "Out")</f>
        <v>In</v>
      </c>
      <c r="U1292" t="str">
        <f>IF(Jnl[[#This Row],[TrxDate]]&lt;debug_date_start, "prior", IF(Jnl[[#This Row],[TrxDate]]&gt;debug_date_end, "post", "curr"))</f>
        <v>curr</v>
      </c>
    </row>
    <row r="1293" spans="1:21">
      <c r="A1293" s="11" t="s">
        <v>1719</v>
      </c>
      <c r="B1293" s="7">
        <f>_xlfn.XLOOKUP(Jnl[[#This Row],[TrxId]], Trx[Id], Trx[Date],,0)</f>
        <v>46081</v>
      </c>
      <c r="C1293" s="7" t="str">
        <f>_xlfn.XLOOKUP(Jnl[[#This Row],[TrxId]], Trx[Id], Trx[Division],,0)</f>
        <v>MY</v>
      </c>
      <c r="D1293" s="7" t="str">
        <f>_xlfn.XLOOKUP(Jnl[[#This Row],[TrxId]], Trx[Id], Trx[Action],,0)</f>
        <v>收款</v>
      </c>
      <c r="E1293" s="26" t="s">
        <v>83</v>
      </c>
      <c r="F1293" s="11" t="s">
        <v>593</v>
      </c>
      <c r="G1293" s="11" t="s">
        <v>1001</v>
      </c>
      <c r="H1293" s="72">
        <f>-H1292</f>
        <v>-274.39999999999998</v>
      </c>
      <c r="I1293" s="5" t="b">
        <f>AND(Jnl[[#This Row],[TrxId]]&lt;&gt;"",Jnl[[#This Row],[Acct]]&lt;&gt;"",Jnl[[#This Row],[Item]]&lt;&gt;"",ISNUMBER(Jnl[[#This Row],[Bal]]))</f>
        <v>1</v>
      </c>
      <c r="J1293" s="10">
        <f>IF(Jnl[[#This Row],[BSLv0]]="A",1,-1)*Jnl[[#This Row],[Bal]]</f>
        <v>-274.39999999999998</v>
      </c>
      <c r="K1293" t="str">
        <f>_xlfn.XLOOKUP(Jnl[[#This Row],[Acct]], config_BS[Acct], config_BS[Lv0],,0)</f>
        <v>A</v>
      </c>
      <c r="L1293" t="str">
        <f>_xlfn.XLOOKUP(Jnl[[#This Row],[Acct]], config_BS[Acct], config_BS[Lv1],,0)</f>
        <v>Assets</v>
      </c>
      <c r="M1293" t="str">
        <f>_xlfn.XLOOKUP(Jnl[[#This Row],[Acct]], config_BS[Acct], config_BS[Lv2],,0)</f>
        <v>Rec-Pay</v>
      </c>
      <c r="N1293" t="str">
        <f>_xlfn.XLOOKUP(Jnl[[#This Row],[TrxId]], Trx[Id], Trx[IncNode], ,0)</f>
        <v>Revenue</v>
      </c>
      <c r="O1293" t="str">
        <f>_xlfn.XLOOKUP(Jnl[[#This Row],[IncNode]], config_IS[Node], config_IS[Type],,0)</f>
        <v>Op</v>
      </c>
      <c r="P1293" t="str">
        <f>_xlfn.XLOOKUP(Jnl[[#This Row],[BSLv2]], dict[Key], dict[Name],,0)</f>
        <v>1.应收-应付</v>
      </c>
      <c r="Q1293" t="str">
        <f>_xlfn.XLOOKUP(Jnl[[#This Row],[Acct]], dict[Key], dict[Name],,0)</f>
        <v>应收-一般</v>
      </c>
      <c r="R1293" t="str">
        <f>_xlfn.XLOOKUP(Jnl[[#This Row],[Vehicle]],config_vehicle[Id], config_vehicle[Name],,0)</f>
        <v>远家文化</v>
      </c>
      <c r="S1293" t="str">
        <f>_xlfn.XLOOKUP(Jnl[[#This Row],[Division]],config_div[Id], config_div[Name],,0)</f>
        <v>明月村</v>
      </c>
      <c r="T1293" t="str">
        <f>IF(Jnl[[#This Row],[TrxDate]]&lt;=stmt_BS_date_end, "In", "Out")</f>
        <v>In</v>
      </c>
      <c r="U1293" t="str">
        <f>IF(Jnl[[#This Row],[TrxDate]]&lt;debug_date_start, "prior", IF(Jnl[[#This Row],[TrxDate]]&gt;debug_date_end, "post", "curr"))</f>
        <v>curr</v>
      </c>
    </row>
    <row r="1294" spans="1:21">
      <c r="A1294" s="11" t="s">
        <v>1720</v>
      </c>
      <c r="B1294" s="7">
        <f>_xlfn.XLOOKUP(Jnl[[#This Row],[TrxId]], Trx[Id], Trx[Date],,0)</f>
        <v>46081</v>
      </c>
      <c r="C1294" s="7" t="str">
        <f>_xlfn.XLOOKUP(Jnl[[#This Row],[TrxId]], Trx[Id], Trx[Division],,0)</f>
        <v>MY</v>
      </c>
      <c r="D1294" s="7" t="str">
        <f>_xlfn.XLOOKUP(Jnl[[#This Row],[TrxId]], Trx[Id], Trx[Action],,0)</f>
        <v>收款</v>
      </c>
      <c r="E1294" s="26" t="s">
        <v>87</v>
      </c>
      <c r="F1294" s="11" t="s">
        <v>590</v>
      </c>
      <c r="G1294" s="11" t="s">
        <v>903</v>
      </c>
      <c r="H1294" s="72">
        <v>4600</v>
      </c>
      <c r="I1294" s="5" t="b">
        <f>AND(Jnl[[#This Row],[TrxId]]&lt;&gt;"",Jnl[[#This Row],[Acct]]&lt;&gt;"",Jnl[[#This Row],[Item]]&lt;&gt;"",ISNUMBER(Jnl[[#This Row],[Bal]]))</f>
        <v>1</v>
      </c>
      <c r="J1294" s="10">
        <f>IF(Jnl[[#This Row],[BSLv0]]="A",1,-1)*Jnl[[#This Row],[Bal]]</f>
        <v>4600</v>
      </c>
      <c r="K1294" t="str">
        <f>_xlfn.XLOOKUP(Jnl[[#This Row],[Acct]], config_BS[Acct], config_BS[Lv0],,0)</f>
        <v>A</v>
      </c>
      <c r="L1294" t="str">
        <f>_xlfn.XLOOKUP(Jnl[[#This Row],[Acct]], config_BS[Acct], config_BS[Lv1],,0)</f>
        <v>Assets</v>
      </c>
      <c r="M1294" t="str">
        <f>_xlfn.XLOOKUP(Jnl[[#This Row],[Acct]], config_BS[Acct], config_BS[Lv2],,0)</f>
        <v>Cash alike</v>
      </c>
      <c r="N1294" t="str">
        <f>_xlfn.XLOOKUP(Jnl[[#This Row],[TrxId]], Trx[Id], Trx[IncNode], ,0)</f>
        <v>Revenue</v>
      </c>
      <c r="O1294" t="str">
        <f>_xlfn.XLOOKUP(Jnl[[#This Row],[IncNode]], config_IS[Node], config_IS[Type],,0)</f>
        <v>Op</v>
      </c>
      <c r="P1294" t="str">
        <f>_xlfn.XLOOKUP(Jnl[[#This Row],[BSLv2]], dict[Key], dict[Name],,0)</f>
        <v>0.现金及类似</v>
      </c>
      <c r="Q1294" t="str">
        <f>_xlfn.XLOOKUP(Jnl[[#This Row],[Acct]], dict[Key], dict[Name],,0)</f>
        <v>银行</v>
      </c>
      <c r="R1294" t="str">
        <f>_xlfn.XLOOKUP(Jnl[[#This Row],[Vehicle]],config_vehicle[Id], config_vehicle[Name],,0)</f>
        <v>小月号</v>
      </c>
      <c r="S1294" t="str">
        <f>_xlfn.XLOOKUP(Jnl[[#This Row],[Division]],config_div[Id], config_div[Name],,0)</f>
        <v>明月村</v>
      </c>
      <c r="T1294" t="str">
        <f>IF(Jnl[[#This Row],[TrxDate]]&lt;=stmt_BS_date_end, "In", "Out")</f>
        <v>In</v>
      </c>
      <c r="U1294" t="str">
        <f>IF(Jnl[[#This Row],[TrxDate]]&lt;debug_date_start, "prior", IF(Jnl[[#This Row],[TrxDate]]&gt;debug_date_end, "post", "curr"))</f>
        <v>curr</v>
      </c>
    </row>
    <row r="1295" spans="1:21">
      <c r="A1295" s="11" t="s">
        <v>1720</v>
      </c>
      <c r="B1295" s="7">
        <f>_xlfn.XLOOKUP(Jnl[[#This Row],[TrxId]], Trx[Id], Trx[Date],,0)</f>
        <v>46081</v>
      </c>
      <c r="C1295" s="7" t="str">
        <f>_xlfn.XLOOKUP(Jnl[[#This Row],[TrxId]], Trx[Id], Trx[Division],,0)</f>
        <v>MY</v>
      </c>
      <c r="D1295" s="7" t="str">
        <f>_xlfn.XLOOKUP(Jnl[[#This Row],[TrxId]], Trx[Id], Trx[Action],,0)</f>
        <v>收款</v>
      </c>
      <c r="E1295" s="26" t="s">
        <v>83</v>
      </c>
      <c r="F1295" s="11" t="s">
        <v>593</v>
      </c>
      <c r="G1295" s="11" t="s">
        <v>947</v>
      </c>
      <c r="H1295" s="72">
        <v>-5600</v>
      </c>
      <c r="I1295" s="5" t="b">
        <f>AND(Jnl[[#This Row],[TrxId]]&lt;&gt;"",Jnl[[#This Row],[Acct]]&lt;&gt;"",Jnl[[#This Row],[Item]]&lt;&gt;"",ISNUMBER(Jnl[[#This Row],[Bal]]))</f>
        <v>1</v>
      </c>
      <c r="J1295" s="10">
        <f>IF(Jnl[[#This Row],[BSLv0]]="A",1,-1)*Jnl[[#This Row],[Bal]]</f>
        <v>-5600</v>
      </c>
      <c r="K1295" t="str">
        <f>_xlfn.XLOOKUP(Jnl[[#This Row],[Acct]], config_BS[Acct], config_BS[Lv0],,0)</f>
        <v>A</v>
      </c>
      <c r="L1295" t="str">
        <f>_xlfn.XLOOKUP(Jnl[[#This Row],[Acct]], config_BS[Acct], config_BS[Lv1],,0)</f>
        <v>Assets</v>
      </c>
      <c r="M1295" t="str">
        <f>_xlfn.XLOOKUP(Jnl[[#This Row],[Acct]], config_BS[Acct], config_BS[Lv2],,0)</f>
        <v>Rec-Pay</v>
      </c>
      <c r="N1295" t="str">
        <f>_xlfn.XLOOKUP(Jnl[[#This Row],[TrxId]], Trx[Id], Trx[IncNode], ,0)</f>
        <v>Revenue</v>
      </c>
      <c r="O1295" t="str">
        <f>_xlfn.XLOOKUP(Jnl[[#This Row],[IncNode]], config_IS[Node], config_IS[Type],,0)</f>
        <v>Op</v>
      </c>
      <c r="P1295" t="str">
        <f>_xlfn.XLOOKUP(Jnl[[#This Row],[BSLv2]], dict[Key], dict[Name],,0)</f>
        <v>1.应收-应付</v>
      </c>
      <c r="Q1295" t="str">
        <f>_xlfn.XLOOKUP(Jnl[[#This Row],[Acct]], dict[Key], dict[Name],,0)</f>
        <v>应收-一般</v>
      </c>
      <c r="R1295" t="str">
        <f>_xlfn.XLOOKUP(Jnl[[#This Row],[Vehicle]],config_vehicle[Id], config_vehicle[Name],,0)</f>
        <v>远家文化</v>
      </c>
      <c r="S1295" t="str">
        <f>_xlfn.XLOOKUP(Jnl[[#This Row],[Division]],config_div[Id], config_div[Name],,0)</f>
        <v>明月村</v>
      </c>
      <c r="T1295" t="str">
        <f>IF(Jnl[[#This Row],[TrxDate]]&lt;=stmt_BS_date_end, "In", "Out")</f>
        <v>In</v>
      </c>
      <c r="U1295" t="str">
        <f>IF(Jnl[[#This Row],[TrxDate]]&lt;debug_date_start, "prior", IF(Jnl[[#This Row],[TrxDate]]&gt;debug_date_end, "post", "curr"))</f>
        <v>curr</v>
      </c>
    </row>
    <row r="1296" spans="1:21">
      <c r="A1296" s="11" t="s">
        <v>1720</v>
      </c>
      <c r="B1296" s="7">
        <f>_xlfn.XLOOKUP(Jnl[[#This Row],[TrxId]], Trx[Id], Trx[Date],,0)</f>
        <v>46081</v>
      </c>
      <c r="C1296" s="7" t="str">
        <f>_xlfn.XLOOKUP(Jnl[[#This Row],[TrxId]], Trx[Id], Trx[Division],,0)</f>
        <v>MY</v>
      </c>
      <c r="D1296" s="7" t="str">
        <f>_xlfn.XLOOKUP(Jnl[[#This Row],[TrxId]], Trx[Id], Trx[Action],,0)</f>
        <v>收款</v>
      </c>
      <c r="E1296" s="26" t="s">
        <v>83</v>
      </c>
      <c r="F1296" s="11" t="s">
        <v>593</v>
      </c>
      <c r="G1296" s="11" t="s">
        <v>1065</v>
      </c>
      <c r="H1296" s="72">
        <v>1000</v>
      </c>
      <c r="I1296" s="5" t="b">
        <f>AND(Jnl[[#This Row],[TrxId]]&lt;&gt;"",Jnl[[#This Row],[Acct]]&lt;&gt;"",Jnl[[#This Row],[Item]]&lt;&gt;"",ISNUMBER(Jnl[[#This Row],[Bal]]))</f>
        <v>1</v>
      </c>
      <c r="J1296" s="10">
        <f>IF(Jnl[[#This Row],[BSLv0]]="A",1,-1)*Jnl[[#This Row],[Bal]]</f>
        <v>1000</v>
      </c>
      <c r="K1296" t="str">
        <f>_xlfn.XLOOKUP(Jnl[[#This Row],[Acct]], config_BS[Acct], config_BS[Lv0],,0)</f>
        <v>A</v>
      </c>
      <c r="L1296" t="str">
        <f>_xlfn.XLOOKUP(Jnl[[#This Row],[Acct]], config_BS[Acct], config_BS[Lv1],,0)</f>
        <v>Assets</v>
      </c>
      <c r="M1296" t="str">
        <f>_xlfn.XLOOKUP(Jnl[[#This Row],[Acct]], config_BS[Acct], config_BS[Lv2],,0)</f>
        <v>Rec-Pay</v>
      </c>
      <c r="N1296" t="str">
        <f>_xlfn.XLOOKUP(Jnl[[#This Row],[TrxId]], Trx[Id], Trx[IncNode], ,0)</f>
        <v>Revenue</v>
      </c>
      <c r="O1296" t="str">
        <f>_xlfn.XLOOKUP(Jnl[[#This Row],[IncNode]], config_IS[Node], config_IS[Type],,0)</f>
        <v>Op</v>
      </c>
      <c r="P1296" t="str">
        <f>_xlfn.XLOOKUP(Jnl[[#This Row],[BSLv2]], dict[Key], dict[Name],,0)</f>
        <v>1.应收-应付</v>
      </c>
      <c r="Q1296" t="str">
        <f>_xlfn.XLOOKUP(Jnl[[#This Row],[Acct]], dict[Key], dict[Name],,0)</f>
        <v>应收-一般</v>
      </c>
      <c r="R1296" t="str">
        <f>_xlfn.XLOOKUP(Jnl[[#This Row],[Vehicle]],config_vehicle[Id], config_vehicle[Name],,0)</f>
        <v>远家文化</v>
      </c>
      <c r="S1296" t="str">
        <f>_xlfn.XLOOKUP(Jnl[[#This Row],[Division]],config_div[Id], config_div[Name],,0)</f>
        <v>明月村</v>
      </c>
      <c r="T1296" t="str">
        <f>IF(Jnl[[#This Row],[TrxDate]]&lt;=stmt_BS_date_end, "In", "Out")</f>
        <v>In</v>
      </c>
      <c r="U1296" t="str">
        <f>IF(Jnl[[#This Row],[TrxDate]]&lt;debug_date_start, "prior", IF(Jnl[[#This Row],[TrxDate]]&gt;debug_date_end, "post", "curr"))</f>
        <v>curr</v>
      </c>
    </row>
    <row r="1297" spans="1:21">
      <c r="A1297" s="11" t="s">
        <v>1721</v>
      </c>
      <c r="B1297" s="7">
        <f>_xlfn.XLOOKUP(Jnl[[#This Row],[TrxId]], Trx[Id], Trx[Date],,0)</f>
        <v>46081</v>
      </c>
      <c r="C1297" s="7" t="str">
        <f>_xlfn.XLOOKUP(Jnl[[#This Row],[TrxId]], Trx[Id], Trx[Division],,0)</f>
        <v>MY</v>
      </c>
      <c r="D1297" s="7" t="str">
        <f>_xlfn.XLOOKUP(Jnl[[#This Row],[TrxId]], Trx[Id], Trx[Action],,0)</f>
        <v>收款</v>
      </c>
      <c r="E1297" s="26" t="s">
        <v>87</v>
      </c>
      <c r="F1297" s="11" t="s">
        <v>590</v>
      </c>
      <c r="G1297" s="11" t="s">
        <v>903</v>
      </c>
      <c r="H1297" s="72">
        <v>274.39999999999998</v>
      </c>
      <c r="I1297" s="5" t="b">
        <f>AND(Jnl[[#This Row],[TrxId]]&lt;&gt;"",Jnl[[#This Row],[Acct]]&lt;&gt;"",Jnl[[#This Row],[Item]]&lt;&gt;"",ISNUMBER(Jnl[[#This Row],[Bal]]))</f>
        <v>1</v>
      </c>
      <c r="J1297" s="10">
        <f>IF(Jnl[[#This Row],[BSLv0]]="A",1,-1)*Jnl[[#This Row],[Bal]]</f>
        <v>274.39999999999998</v>
      </c>
      <c r="K1297" t="str">
        <f>_xlfn.XLOOKUP(Jnl[[#This Row],[Acct]], config_BS[Acct], config_BS[Lv0],,0)</f>
        <v>A</v>
      </c>
      <c r="L1297" t="str">
        <f>_xlfn.XLOOKUP(Jnl[[#This Row],[Acct]], config_BS[Acct], config_BS[Lv1],,0)</f>
        <v>Assets</v>
      </c>
      <c r="M1297" t="str">
        <f>_xlfn.XLOOKUP(Jnl[[#This Row],[Acct]], config_BS[Acct], config_BS[Lv2],,0)</f>
        <v>Cash alike</v>
      </c>
      <c r="N1297" t="str">
        <f>_xlfn.XLOOKUP(Jnl[[#This Row],[TrxId]], Trx[Id], Trx[IncNode], ,0)</f>
        <v>Revenue</v>
      </c>
      <c r="O1297" t="str">
        <f>_xlfn.XLOOKUP(Jnl[[#This Row],[IncNode]], config_IS[Node], config_IS[Type],,0)</f>
        <v>Op</v>
      </c>
      <c r="P1297" t="str">
        <f>_xlfn.XLOOKUP(Jnl[[#This Row],[BSLv2]], dict[Key], dict[Name],,0)</f>
        <v>0.现金及类似</v>
      </c>
      <c r="Q1297" t="str">
        <f>_xlfn.XLOOKUP(Jnl[[#This Row],[Acct]], dict[Key], dict[Name],,0)</f>
        <v>银行</v>
      </c>
      <c r="R1297" t="str">
        <f>_xlfn.XLOOKUP(Jnl[[#This Row],[Vehicle]],config_vehicle[Id], config_vehicle[Name],,0)</f>
        <v>小月号</v>
      </c>
      <c r="S1297" t="str">
        <f>_xlfn.XLOOKUP(Jnl[[#This Row],[Division]],config_div[Id], config_div[Name],,0)</f>
        <v>明月村</v>
      </c>
      <c r="T1297" t="str">
        <f>IF(Jnl[[#This Row],[TrxDate]]&lt;=stmt_BS_date_end, "In", "Out")</f>
        <v>In</v>
      </c>
      <c r="U1297" t="str">
        <f>IF(Jnl[[#This Row],[TrxDate]]&lt;debug_date_start, "prior", IF(Jnl[[#This Row],[TrxDate]]&gt;debug_date_end, "post", "curr"))</f>
        <v>curr</v>
      </c>
    </row>
    <row r="1298" spans="1:21">
      <c r="A1298" s="11" t="s">
        <v>1721</v>
      </c>
      <c r="B1298" s="7">
        <f>_xlfn.XLOOKUP(Jnl[[#This Row],[TrxId]], Trx[Id], Trx[Date],,0)</f>
        <v>46081</v>
      </c>
      <c r="C1298" s="7" t="str">
        <f>_xlfn.XLOOKUP(Jnl[[#This Row],[TrxId]], Trx[Id], Trx[Division],,0)</f>
        <v>MY</v>
      </c>
      <c r="D1298" s="7" t="str">
        <f>_xlfn.XLOOKUP(Jnl[[#This Row],[TrxId]], Trx[Id], Trx[Action],,0)</f>
        <v>收款</v>
      </c>
      <c r="E1298" s="26" t="s">
        <v>83</v>
      </c>
      <c r="F1298" s="11" t="s">
        <v>593</v>
      </c>
      <c r="G1298" s="11" t="s">
        <v>1001</v>
      </c>
      <c r="H1298" s="72">
        <f>-H1297</f>
        <v>-274.39999999999998</v>
      </c>
      <c r="I1298" s="5" t="b">
        <f>AND(Jnl[[#This Row],[TrxId]]&lt;&gt;"",Jnl[[#This Row],[Acct]]&lt;&gt;"",Jnl[[#This Row],[Item]]&lt;&gt;"",ISNUMBER(Jnl[[#This Row],[Bal]]))</f>
        <v>1</v>
      </c>
      <c r="J1298" s="10">
        <f>IF(Jnl[[#This Row],[BSLv0]]="A",1,-1)*Jnl[[#This Row],[Bal]]</f>
        <v>-274.39999999999998</v>
      </c>
      <c r="K1298" t="str">
        <f>_xlfn.XLOOKUP(Jnl[[#This Row],[Acct]], config_BS[Acct], config_BS[Lv0],,0)</f>
        <v>A</v>
      </c>
      <c r="L1298" t="str">
        <f>_xlfn.XLOOKUP(Jnl[[#This Row],[Acct]], config_BS[Acct], config_BS[Lv1],,0)</f>
        <v>Assets</v>
      </c>
      <c r="M1298" t="str">
        <f>_xlfn.XLOOKUP(Jnl[[#This Row],[Acct]], config_BS[Acct], config_BS[Lv2],,0)</f>
        <v>Rec-Pay</v>
      </c>
      <c r="N1298" t="str">
        <f>_xlfn.XLOOKUP(Jnl[[#This Row],[TrxId]], Trx[Id], Trx[IncNode], ,0)</f>
        <v>Revenue</v>
      </c>
      <c r="O1298" t="str">
        <f>_xlfn.XLOOKUP(Jnl[[#This Row],[IncNode]], config_IS[Node], config_IS[Type],,0)</f>
        <v>Op</v>
      </c>
      <c r="P1298" t="str">
        <f>_xlfn.XLOOKUP(Jnl[[#This Row],[BSLv2]], dict[Key], dict[Name],,0)</f>
        <v>1.应收-应付</v>
      </c>
      <c r="Q1298" t="str">
        <f>_xlfn.XLOOKUP(Jnl[[#This Row],[Acct]], dict[Key], dict[Name],,0)</f>
        <v>应收-一般</v>
      </c>
      <c r="R1298" t="str">
        <f>_xlfn.XLOOKUP(Jnl[[#This Row],[Vehicle]],config_vehicle[Id], config_vehicle[Name],,0)</f>
        <v>远家文化</v>
      </c>
      <c r="S1298" t="str">
        <f>_xlfn.XLOOKUP(Jnl[[#This Row],[Division]],config_div[Id], config_div[Name],,0)</f>
        <v>明月村</v>
      </c>
      <c r="T1298" t="str">
        <f>IF(Jnl[[#This Row],[TrxDate]]&lt;=stmt_BS_date_end, "In", "Out")</f>
        <v>In</v>
      </c>
      <c r="U1298" t="str">
        <f>IF(Jnl[[#This Row],[TrxDate]]&lt;debug_date_start, "prior", IF(Jnl[[#This Row],[TrxDate]]&gt;debug_date_end, "post", "curr"))</f>
        <v>curr</v>
      </c>
    </row>
    <row r="1299" spans="1:21">
      <c r="A1299" s="11" t="s">
        <v>1722</v>
      </c>
      <c r="B1299" s="7">
        <f>_xlfn.XLOOKUP(Jnl[[#This Row],[TrxId]], Trx[Id], Trx[Date],,0)</f>
        <v>46081</v>
      </c>
      <c r="C1299" s="7" t="str">
        <f>_xlfn.XLOOKUP(Jnl[[#This Row],[TrxId]], Trx[Id], Trx[Division],,0)</f>
        <v>MY</v>
      </c>
      <c r="D1299" s="7" t="str">
        <f>_xlfn.XLOOKUP(Jnl[[#This Row],[TrxId]], Trx[Id], Trx[Action],,0)</f>
        <v>收款</v>
      </c>
      <c r="E1299" s="26" t="s">
        <v>87</v>
      </c>
      <c r="F1299" s="11" t="s">
        <v>590</v>
      </c>
      <c r="G1299" s="11" t="s">
        <v>903</v>
      </c>
      <c r="H1299" s="72">
        <v>165</v>
      </c>
      <c r="I1299" s="5" t="b">
        <f>AND(Jnl[[#This Row],[TrxId]]&lt;&gt;"",Jnl[[#This Row],[Acct]]&lt;&gt;"",Jnl[[#This Row],[Item]]&lt;&gt;"",ISNUMBER(Jnl[[#This Row],[Bal]]))</f>
        <v>1</v>
      </c>
      <c r="J1299" s="10">
        <f>IF(Jnl[[#This Row],[BSLv0]]="A",1,-1)*Jnl[[#This Row],[Bal]]</f>
        <v>165</v>
      </c>
      <c r="K1299" t="str">
        <f>_xlfn.XLOOKUP(Jnl[[#This Row],[Acct]], config_BS[Acct], config_BS[Lv0],,0)</f>
        <v>A</v>
      </c>
      <c r="L1299" t="str">
        <f>_xlfn.XLOOKUP(Jnl[[#This Row],[Acct]], config_BS[Acct], config_BS[Lv1],,0)</f>
        <v>Assets</v>
      </c>
      <c r="M1299" t="str">
        <f>_xlfn.XLOOKUP(Jnl[[#This Row],[Acct]], config_BS[Acct], config_BS[Lv2],,0)</f>
        <v>Cash alike</v>
      </c>
      <c r="N1299" t="str">
        <f>_xlfn.XLOOKUP(Jnl[[#This Row],[TrxId]], Trx[Id], Trx[IncNode], ,0)</f>
        <v>Revenue</v>
      </c>
      <c r="O1299" t="str">
        <f>_xlfn.XLOOKUP(Jnl[[#This Row],[IncNode]], config_IS[Node], config_IS[Type],,0)</f>
        <v>Op</v>
      </c>
      <c r="P1299" t="str">
        <f>_xlfn.XLOOKUP(Jnl[[#This Row],[BSLv2]], dict[Key], dict[Name],,0)</f>
        <v>0.现金及类似</v>
      </c>
      <c r="Q1299" t="str">
        <f>_xlfn.XLOOKUP(Jnl[[#This Row],[Acct]], dict[Key], dict[Name],,0)</f>
        <v>银行</v>
      </c>
      <c r="R1299" t="str">
        <f>_xlfn.XLOOKUP(Jnl[[#This Row],[Vehicle]],config_vehicle[Id], config_vehicle[Name],,0)</f>
        <v>小月号</v>
      </c>
      <c r="S1299" t="str">
        <f>_xlfn.XLOOKUP(Jnl[[#This Row],[Division]],config_div[Id], config_div[Name],,0)</f>
        <v>明月村</v>
      </c>
      <c r="T1299" t="str">
        <f>IF(Jnl[[#This Row],[TrxDate]]&lt;=stmt_BS_date_end, "In", "Out")</f>
        <v>In</v>
      </c>
      <c r="U1299" t="str">
        <f>IF(Jnl[[#This Row],[TrxDate]]&lt;debug_date_start, "prior", IF(Jnl[[#This Row],[TrxDate]]&gt;debug_date_end, "post", "curr"))</f>
        <v>curr</v>
      </c>
    </row>
    <row r="1300" spans="1:21">
      <c r="A1300" s="11" t="s">
        <v>1722</v>
      </c>
      <c r="B1300" s="7">
        <f>_xlfn.XLOOKUP(Jnl[[#This Row],[TrxId]], Trx[Id], Trx[Date],,0)</f>
        <v>46081</v>
      </c>
      <c r="C1300" s="7" t="str">
        <f>_xlfn.XLOOKUP(Jnl[[#This Row],[TrxId]], Trx[Id], Trx[Division],,0)</f>
        <v>MY</v>
      </c>
      <c r="D1300" s="7" t="str">
        <f>_xlfn.XLOOKUP(Jnl[[#This Row],[TrxId]], Trx[Id], Trx[Action],,0)</f>
        <v>收款</v>
      </c>
      <c r="E1300" s="26" t="s">
        <v>83</v>
      </c>
      <c r="F1300" s="11" t="s">
        <v>593</v>
      </c>
      <c r="G1300" s="11"/>
      <c r="H1300" s="72">
        <v>-165</v>
      </c>
      <c r="I1300" s="5" t="b">
        <f>AND(Jnl[[#This Row],[TrxId]]&lt;&gt;"",Jnl[[#This Row],[Acct]]&lt;&gt;"",Jnl[[#This Row],[Item]]&lt;&gt;"",ISNUMBER(Jnl[[#This Row],[Bal]]))</f>
        <v>0</v>
      </c>
      <c r="J1300" s="10">
        <f>IF(Jnl[[#This Row],[BSLv0]]="A",1,-1)*Jnl[[#This Row],[Bal]]</f>
        <v>-165</v>
      </c>
      <c r="K1300" t="str">
        <f>_xlfn.XLOOKUP(Jnl[[#This Row],[Acct]], config_BS[Acct], config_BS[Lv0],,0)</f>
        <v>A</v>
      </c>
      <c r="L1300" t="str">
        <f>_xlfn.XLOOKUP(Jnl[[#This Row],[Acct]], config_BS[Acct], config_BS[Lv1],,0)</f>
        <v>Assets</v>
      </c>
      <c r="M1300" t="str">
        <f>_xlfn.XLOOKUP(Jnl[[#This Row],[Acct]], config_BS[Acct], config_BS[Lv2],,0)</f>
        <v>Rec-Pay</v>
      </c>
      <c r="N1300" t="str">
        <f>_xlfn.XLOOKUP(Jnl[[#This Row],[TrxId]], Trx[Id], Trx[IncNode], ,0)</f>
        <v>Revenue</v>
      </c>
      <c r="O1300" t="str">
        <f>_xlfn.XLOOKUP(Jnl[[#This Row],[IncNode]], config_IS[Node], config_IS[Type],,0)</f>
        <v>Op</v>
      </c>
      <c r="P1300" t="str">
        <f>_xlfn.XLOOKUP(Jnl[[#This Row],[BSLv2]], dict[Key], dict[Name],,0)</f>
        <v>1.应收-应付</v>
      </c>
      <c r="Q1300" t="str">
        <f>_xlfn.XLOOKUP(Jnl[[#This Row],[Acct]], dict[Key], dict[Name],,0)</f>
        <v>应收-一般</v>
      </c>
      <c r="R1300" t="str">
        <f>_xlfn.XLOOKUP(Jnl[[#This Row],[Vehicle]],config_vehicle[Id], config_vehicle[Name],,0)</f>
        <v>远家文化</v>
      </c>
      <c r="S1300" t="str">
        <f>_xlfn.XLOOKUP(Jnl[[#This Row],[Division]],config_div[Id], config_div[Name],,0)</f>
        <v>明月村</v>
      </c>
      <c r="T1300" t="str">
        <f>IF(Jnl[[#This Row],[TrxDate]]&lt;=stmt_BS_date_end, "In", "Out")</f>
        <v>In</v>
      </c>
      <c r="U1300" t="str">
        <f>IF(Jnl[[#This Row],[TrxDate]]&lt;debug_date_start, "prior", IF(Jnl[[#This Row],[TrxDate]]&gt;debug_date_end, "post", "curr"))</f>
        <v>curr</v>
      </c>
    </row>
    <row r="1301" spans="1:21">
      <c r="A1301" s="11" t="s">
        <v>1723</v>
      </c>
      <c r="B1301" s="7">
        <f>_xlfn.XLOOKUP(Jnl[[#This Row],[TrxId]], Trx[Id], Trx[Date],,0)</f>
        <v>46081</v>
      </c>
      <c r="C1301" s="7" t="str">
        <f>_xlfn.XLOOKUP(Jnl[[#This Row],[TrxId]], Trx[Id], Trx[Division],,0)</f>
        <v>MY</v>
      </c>
      <c r="D1301" s="7" t="str">
        <f>_xlfn.XLOOKUP(Jnl[[#This Row],[TrxId]], Trx[Id], Trx[Action],,0)</f>
        <v>其他材料</v>
      </c>
      <c r="E1301" s="26" t="s">
        <v>87</v>
      </c>
      <c r="F1301" s="11" t="s">
        <v>590</v>
      </c>
      <c r="G1301" s="11" t="s">
        <v>903</v>
      </c>
      <c r="H1301" s="72">
        <v>-252</v>
      </c>
      <c r="I1301" s="5" t="b">
        <f>AND(Jnl[[#This Row],[TrxId]]&lt;&gt;"",Jnl[[#This Row],[Acct]]&lt;&gt;"",Jnl[[#This Row],[Item]]&lt;&gt;"",ISNUMBER(Jnl[[#This Row],[Bal]]))</f>
        <v>1</v>
      </c>
      <c r="J1301" s="10">
        <f>IF(Jnl[[#This Row],[BSLv0]]="A",1,-1)*Jnl[[#This Row],[Bal]]</f>
        <v>-252</v>
      </c>
      <c r="K1301" t="str">
        <f>_xlfn.XLOOKUP(Jnl[[#This Row],[Acct]], config_BS[Acct], config_BS[Lv0],,0)</f>
        <v>A</v>
      </c>
      <c r="L1301" t="str">
        <f>_xlfn.XLOOKUP(Jnl[[#This Row],[Acct]], config_BS[Acct], config_BS[Lv1],,0)</f>
        <v>Assets</v>
      </c>
      <c r="M1301" t="str">
        <f>_xlfn.XLOOKUP(Jnl[[#This Row],[Acct]], config_BS[Acct], config_BS[Lv2],,0)</f>
        <v>Cash alike</v>
      </c>
      <c r="N1301" t="str">
        <f>_xlfn.XLOOKUP(Jnl[[#This Row],[TrxId]], Trx[Id], Trx[IncNode], ,0)</f>
        <v>Cost</v>
      </c>
      <c r="O1301" t="str">
        <f>_xlfn.XLOOKUP(Jnl[[#This Row],[IncNode]], config_IS[Node], config_IS[Type],,0)</f>
        <v>Op</v>
      </c>
      <c r="P1301" t="str">
        <f>_xlfn.XLOOKUP(Jnl[[#This Row],[BSLv2]], dict[Key], dict[Name],,0)</f>
        <v>0.现金及类似</v>
      </c>
      <c r="Q1301" t="str">
        <f>_xlfn.XLOOKUP(Jnl[[#This Row],[Acct]], dict[Key], dict[Name],,0)</f>
        <v>银行</v>
      </c>
      <c r="R1301" t="str">
        <f>_xlfn.XLOOKUP(Jnl[[#This Row],[Vehicle]],config_vehicle[Id], config_vehicle[Name],,0)</f>
        <v>小月号</v>
      </c>
      <c r="S1301" t="str">
        <f>_xlfn.XLOOKUP(Jnl[[#This Row],[Division]],config_div[Id], config_div[Name],,0)</f>
        <v>明月村</v>
      </c>
      <c r="T1301" t="str">
        <f>IF(Jnl[[#This Row],[TrxDate]]&lt;=stmt_BS_date_end, "In", "Out")</f>
        <v>In</v>
      </c>
      <c r="U1301" t="str">
        <f>IF(Jnl[[#This Row],[TrxDate]]&lt;debug_date_start, "prior", IF(Jnl[[#This Row],[TrxDate]]&gt;debug_date_end, "post", "curr"))</f>
        <v>curr</v>
      </c>
    </row>
    <row r="1302" spans="1:21">
      <c r="A1302" s="11" t="s">
        <v>1724</v>
      </c>
      <c r="B1302" s="7">
        <f>_xlfn.XLOOKUP(Jnl[[#This Row],[TrxId]], Trx[Id], Trx[Date],,0)</f>
        <v>46081</v>
      </c>
      <c r="C1302" s="7" t="str">
        <f>_xlfn.XLOOKUP(Jnl[[#This Row],[TrxId]], Trx[Id], Trx[Division],,0)</f>
        <v>MY</v>
      </c>
      <c r="D1302" s="7" t="str">
        <f>_xlfn.XLOOKUP(Jnl[[#This Row],[TrxId]], Trx[Id], Trx[Action],,0)</f>
        <v>办公</v>
      </c>
      <c r="E1302" s="26" t="s">
        <v>87</v>
      </c>
      <c r="F1302" s="11" t="s">
        <v>590</v>
      </c>
      <c r="G1302" s="11" t="s">
        <v>903</v>
      </c>
      <c r="H1302" s="72">
        <v>-17</v>
      </c>
      <c r="I1302" s="5" t="b">
        <f>AND(Jnl[[#This Row],[TrxId]]&lt;&gt;"",Jnl[[#This Row],[Acct]]&lt;&gt;"",Jnl[[#This Row],[Item]]&lt;&gt;"",ISNUMBER(Jnl[[#This Row],[Bal]]))</f>
        <v>1</v>
      </c>
      <c r="J1302" s="10">
        <f>IF(Jnl[[#This Row],[BSLv0]]="A",1,-1)*Jnl[[#This Row],[Bal]]</f>
        <v>-17</v>
      </c>
      <c r="K1302" t="str">
        <f>_xlfn.XLOOKUP(Jnl[[#This Row],[Acct]], config_BS[Acct], config_BS[Lv0],,0)</f>
        <v>A</v>
      </c>
      <c r="L1302" t="str">
        <f>_xlfn.XLOOKUP(Jnl[[#This Row],[Acct]], config_BS[Acct], config_BS[Lv1],,0)</f>
        <v>Assets</v>
      </c>
      <c r="M1302" t="str">
        <f>_xlfn.XLOOKUP(Jnl[[#This Row],[Acct]], config_BS[Acct], config_BS[Lv2],,0)</f>
        <v>Cash alike</v>
      </c>
      <c r="N1302" t="str">
        <f>_xlfn.XLOOKUP(Jnl[[#This Row],[TrxId]], Trx[Id], Trx[IncNode], ,0)</f>
        <v>Expense</v>
      </c>
      <c r="O1302" t="str">
        <f>_xlfn.XLOOKUP(Jnl[[#This Row],[IncNode]], config_IS[Node], config_IS[Type],,0)</f>
        <v>Op</v>
      </c>
      <c r="P1302" t="str">
        <f>_xlfn.XLOOKUP(Jnl[[#This Row],[BSLv2]], dict[Key], dict[Name],,0)</f>
        <v>0.现金及类似</v>
      </c>
      <c r="Q1302" t="str">
        <f>_xlfn.XLOOKUP(Jnl[[#This Row],[Acct]], dict[Key], dict[Name],,0)</f>
        <v>银行</v>
      </c>
      <c r="R1302" t="str">
        <f>_xlfn.XLOOKUP(Jnl[[#This Row],[Vehicle]],config_vehicle[Id], config_vehicle[Name],,0)</f>
        <v>小月号</v>
      </c>
      <c r="S1302" t="str">
        <f>_xlfn.XLOOKUP(Jnl[[#This Row],[Division]],config_div[Id], config_div[Name],,0)</f>
        <v>明月村</v>
      </c>
      <c r="T1302" t="str">
        <f>IF(Jnl[[#This Row],[TrxDate]]&lt;=stmt_BS_date_end, "In", "Out")</f>
        <v>In</v>
      </c>
      <c r="U1302" t="str">
        <f>IF(Jnl[[#This Row],[TrxDate]]&lt;debug_date_start, "prior", IF(Jnl[[#This Row],[TrxDate]]&gt;debug_date_end, "post", "curr"))</f>
        <v>curr</v>
      </c>
    </row>
    <row r="1303" spans="1:21">
      <c r="A1303" s="11" t="s">
        <v>1725</v>
      </c>
      <c r="B1303" s="7">
        <f>_xlfn.XLOOKUP(Jnl[[#This Row],[TrxId]], Trx[Id], Trx[Date],,0)</f>
        <v>46081</v>
      </c>
      <c r="C1303" s="7" t="str">
        <f>_xlfn.XLOOKUP(Jnl[[#This Row],[TrxId]], Trx[Id], Trx[Division],,0)</f>
        <v>MY</v>
      </c>
      <c r="D1303" s="7" t="str">
        <f>_xlfn.XLOOKUP(Jnl[[#This Row],[TrxId]], Trx[Id], Trx[Action],,0)</f>
        <v>收款</v>
      </c>
      <c r="E1303" s="26" t="s">
        <v>83</v>
      </c>
      <c r="F1303" s="11" t="s">
        <v>593</v>
      </c>
      <c r="G1303" s="11" t="s">
        <v>1065</v>
      </c>
      <c r="H1303" s="72">
        <v>-2000</v>
      </c>
      <c r="I1303" s="5" t="b">
        <f>AND(Jnl[[#This Row],[TrxId]]&lt;&gt;"",Jnl[[#This Row],[Acct]]&lt;&gt;"",Jnl[[#This Row],[Item]]&lt;&gt;"",ISNUMBER(Jnl[[#This Row],[Bal]]))</f>
        <v>1</v>
      </c>
      <c r="J1303" s="10">
        <f>IF(Jnl[[#This Row],[BSLv0]]="A",1,-1)*Jnl[[#This Row],[Bal]]</f>
        <v>-2000</v>
      </c>
      <c r="K1303" t="str">
        <f>_xlfn.XLOOKUP(Jnl[[#This Row],[Acct]], config_BS[Acct], config_BS[Lv0],,0)</f>
        <v>A</v>
      </c>
      <c r="L1303" t="str">
        <f>_xlfn.XLOOKUP(Jnl[[#This Row],[Acct]], config_BS[Acct], config_BS[Lv1],,0)</f>
        <v>Assets</v>
      </c>
      <c r="M1303" t="str">
        <f>_xlfn.XLOOKUP(Jnl[[#This Row],[Acct]], config_BS[Acct], config_BS[Lv2],,0)</f>
        <v>Rec-Pay</v>
      </c>
      <c r="N1303" t="str">
        <f>_xlfn.XLOOKUP(Jnl[[#This Row],[TrxId]], Trx[Id], Trx[IncNode], ,0)</f>
        <v>Revenue</v>
      </c>
      <c r="O1303" t="str">
        <f>_xlfn.XLOOKUP(Jnl[[#This Row],[IncNode]], config_IS[Node], config_IS[Type],,0)</f>
        <v>Op</v>
      </c>
      <c r="P1303" t="str">
        <f>_xlfn.XLOOKUP(Jnl[[#This Row],[BSLv2]], dict[Key], dict[Name],,0)</f>
        <v>1.应收-应付</v>
      </c>
      <c r="Q1303" t="str">
        <f>_xlfn.XLOOKUP(Jnl[[#This Row],[Acct]], dict[Key], dict[Name],,0)</f>
        <v>应收-一般</v>
      </c>
      <c r="R1303" t="str">
        <f>_xlfn.XLOOKUP(Jnl[[#This Row],[Vehicle]],config_vehicle[Id], config_vehicle[Name],,0)</f>
        <v>远家文化</v>
      </c>
      <c r="S1303" t="str">
        <f>_xlfn.XLOOKUP(Jnl[[#This Row],[Division]],config_div[Id], config_div[Name],,0)</f>
        <v>明月村</v>
      </c>
      <c r="T1303" t="str">
        <f>IF(Jnl[[#This Row],[TrxDate]]&lt;=stmt_BS_date_end, "In", "Out")</f>
        <v>In</v>
      </c>
      <c r="U1303" t="str">
        <f>IF(Jnl[[#This Row],[TrxDate]]&lt;debug_date_start, "prior", IF(Jnl[[#This Row],[TrxDate]]&gt;debug_date_end, "post", "curr"))</f>
        <v>curr</v>
      </c>
    </row>
    <row r="1304" spans="1:21">
      <c r="A1304" s="11" t="s">
        <v>1725</v>
      </c>
      <c r="B1304" s="7">
        <f>_xlfn.XLOOKUP(Jnl[[#This Row],[TrxId]], Trx[Id], Trx[Date],,0)</f>
        <v>46081</v>
      </c>
      <c r="C1304" s="7" t="str">
        <f>_xlfn.XLOOKUP(Jnl[[#This Row],[TrxId]], Trx[Id], Trx[Division],,0)</f>
        <v>MY</v>
      </c>
      <c r="D1304" s="7" t="str">
        <f>_xlfn.XLOOKUP(Jnl[[#This Row],[TrxId]], Trx[Id], Trx[Action],,0)</f>
        <v>收款</v>
      </c>
      <c r="E1304" s="26" t="s">
        <v>87</v>
      </c>
      <c r="F1304" s="11" t="s">
        <v>590</v>
      </c>
      <c r="G1304" s="11" t="s">
        <v>903</v>
      </c>
      <c r="H1304" s="72">
        <v>2000</v>
      </c>
      <c r="I1304" s="5" t="b">
        <f>AND(Jnl[[#This Row],[TrxId]]&lt;&gt;"",Jnl[[#This Row],[Acct]]&lt;&gt;"",Jnl[[#This Row],[Item]]&lt;&gt;"",ISNUMBER(Jnl[[#This Row],[Bal]]))</f>
        <v>1</v>
      </c>
      <c r="J1304" s="10">
        <f>IF(Jnl[[#This Row],[BSLv0]]="A",1,-1)*Jnl[[#This Row],[Bal]]</f>
        <v>2000</v>
      </c>
      <c r="K1304" t="str">
        <f>_xlfn.XLOOKUP(Jnl[[#This Row],[Acct]], config_BS[Acct], config_BS[Lv0],,0)</f>
        <v>A</v>
      </c>
      <c r="L1304" t="str">
        <f>_xlfn.XLOOKUP(Jnl[[#This Row],[Acct]], config_BS[Acct], config_BS[Lv1],,0)</f>
        <v>Assets</v>
      </c>
      <c r="M1304" t="str">
        <f>_xlfn.XLOOKUP(Jnl[[#This Row],[Acct]], config_BS[Acct], config_BS[Lv2],,0)</f>
        <v>Cash alike</v>
      </c>
      <c r="N1304" t="str">
        <f>_xlfn.XLOOKUP(Jnl[[#This Row],[TrxId]], Trx[Id], Trx[IncNode], ,0)</f>
        <v>Revenue</v>
      </c>
      <c r="O1304" t="str">
        <f>_xlfn.XLOOKUP(Jnl[[#This Row],[IncNode]], config_IS[Node], config_IS[Type],,0)</f>
        <v>Op</v>
      </c>
      <c r="P1304" t="str">
        <f>_xlfn.XLOOKUP(Jnl[[#This Row],[BSLv2]], dict[Key], dict[Name],,0)</f>
        <v>0.现金及类似</v>
      </c>
      <c r="Q1304" t="str">
        <f>_xlfn.XLOOKUP(Jnl[[#This Row],[Acct]], dict[Key], dict[Name],,0)</f>
        <v>银行</v>
      </c>
      <c r="R1304" t="str">
        <f>_xlfn.XLOOKUP(Jnl[[#This Row],[Vehicle]],config_vehicle[Id], config_vehicle[Name],,0)</f>
        <v>小月号</v>
      </c>
      <c r="S1304" t="str">
        <f>_xlfn.XLOOKUP(Jnl[[#This Row],[Division]],config_div[Id], config_div[Name],,0)</f>
        <v>明月村</v>
      </c>
      <c r="T1304" t="str">
        <f>IF(Jnl[[#This Row],[TrxDate]]&lt;=stmt_BS_date_end, "In", "Out")</f>
        <v>In</v>
      </c>
      <c r="U1304" t="str">
        <f>IF(Jnl[[#This Row],[TrxDate]]&lt;debug_date_start, "prior", IF(Jnl[[#This Row],[TrxDate]]&gt;debug_date_end, "post", "curr"))</f>
        <v>curr</v>
      </c>
    </row>
    <row r="1305" spans="1:21">
      <c r="A1305" s="11" t="s">
        <v>1726</v>
      </c>
      <c r="B1305" s="7">
        <f>_xlfn.XLOOKUP(Jnl[[#This Row],[TrxId]], Trx[Id], Trx[Date],,0)</f>
        <v>46081</v>
      </c>
      <c r="C1305" s="7" t="str">
        <f>_xlfn.XLOOKUP(Jnl[[#This Row],[TrxId]], Trx[Id], Trx[Division],,0)</f>
        <v>MY</v>
      </c>
      <c r="D1305" s="7" t="str">
        <f>_xlfn.XLOOKUP(Jnl[[#This Row],[TrxId]], Trx[Id], Trx[Action],,0)</f>
        <v>退款-客人</v>
      </c>
      <c r="E1305" s="26" t="s">
        <v>83</v>
      </c>
      <c r="F1305" s="11" t="s">
        <v>593</v>
      </c>
      <c r="G1305" s="11" t="s">
        <v>1065</v>
      </c>
      <c r="H1305" s="72">
        <v>1000</v>
      </c>
      <c r="I1305" s="5" t="b">
        <f>AND(Jnl[[#This Row],[TrxId]]&lt;&gt;"",Jnl[[#This Row],[Acct]]&lt;&gt;"",Jnl[[#This Row],[Item]]&lt;&gt;"",ISNUMBER(Jnl[[#This Row],[Bal]]))</f>
        <v>1</v>
      </c>
      <c r="J1305" s="10">
        <f>IF(Jnl[[#This Row],[BSLv0]]="A",1,-1)*Jnl[[#This Row],[Bal]]</f>
        <v>1000</v>
      </c>
      <c r="K1305" t="str">
        <f>_xlfn.XLOOKUP(Jnl[[#This Row],[Acct]], config_BS[Acct], config_BS[Lv0],,0)</f>
        <v>A</v>
      </c>
      <c r="L1305" t="str">
        <f>_xlfn.XLOOKUP(Jnl[[#This Row],[Acct]], config_BS[Acct], config_BS[Lv1],,0)</f>
        <v>Assets</v>
      </c>
      <c r="M1305" t="str">
        <f>_xlfn.XLOOKUP(Jnl[[#This Row],[Acct]], config_BS[Acct], config_BS[Lv2],,0)</f>
        <v>Rec-Pay</v>
      </c>
      <c r="N1305" t="str">
        <f>_xlfn.XLOOKUP(Jnl[[#This Row],[TrxId]], Trx[Id], Trx[IncNode], ,0)</f>
        <v>Revenue</v>
      </c>
      <c r="O1305" t="str">
        <f>_xlfn.XLOOKUP(Jnl[[#This Row],[IncNode]], config_IS[Node], config_IS[Type],,0)</f>
        <v>Op</v>
      </c>
      <c r="P1305" t="str">
        <f>_xlfn.XLOOKUP(Jnl[[#This Row],[BSLv2]], dict[Key], dict[Name],,0)</f>
        <v>1.应收-应付</v>
      </c>
      <c r="Q1305" t="str">
        <f>_xlfn.XLOOKUP(Jnl[[#This Row],[Acct]], dict[Key], dict[Name],,0)</f>
        <v>应收-一般</v>
      </c>
      <c r="R1305" t="str">
        <f>_xlfn.XLOOKUP(Jnl[[#This Row],[Vehicle]],config_vehicle[Id], config_vehicle[Name],,0)</f>
        <v>远家文化</v>
      </c>
      <c r="S1305" t="str">
        <f>_xlfn.XLOOKUP(Jnl[[#This Row],[Division]],config_div[Id], config_div[Name],,0)</f>
        <v>明月村</v>
      </c>
      <c r="T1305" t="str">
        <f>IF(Jnl[[#This Row],[TrxDate]]&lt;=stmt_BS_date_end, "In", "Out")</f>
        <v>In</v>
      </c>
      <c r="U1305" t="str">
        <f>IF(Jnl[[#This Row],[TrxDate]]&lt;debug_date_start, "prior", IF(Jnl[[#This Row],[TrxDate]]&gt;debug_date_end, "post", "curr"))</f>
        <v>curr</v>
      </c>
    </row>
    <row r="1306" spans="1:21">
      <c r="A1306" s="11" t="s">
        <v>1726</v>
      </c>
      <c r="B1306" s="7">
        <f>_xlfn.XLOOKUP(Jnl[[#This Row],[TrxId]], Trx[Id], Trx[Date],,0)</f>
        <v>46081</v>
      </c>
      <c r="C1306" s="7" t="str">
        <f>_xlfn.XLOOKUP(Jnl[[#This Row],[TrxId]], Trx[Id], Trx[Division],,0)</f>
        <v>MY</v>
      </c>
      <c r="D1306" s="7" t="str">
        <f>_xlfn.XLOOKUP(Jnl[[#This Row],[TrxId]], Trx[Id], Trx[Action],,0)</f>
        <v>退款-客人</v>
      </c>
      <c r="E1306" s="26" t="s">
        <v>87</v>
      </c>
      <c r="F1306" s="11" t="s">
        <v>590</v>
      </c>
      <c r="G1306" s="11" t="s">
        <v>903</v>
      </c>
      <c r="H1306" s="72">
        <v>-1000</v>
      </c>
      <c r="I1306" s="5" t="b">
        <f>AND(Jnl[[#This Row],[TrxId]]&lt;&gt;"",Jnl[[#This Row],[Acct]]&lt;&gt;"",Jnl[[#This Row],[Item]]&lt;&gt;"",ISNUMBER(Jnl[[#This Row],[Bal]]))</f>
        <v>1</v>
      </c>
      <c r="J1306" s="10">
        <f>IF(Jnl[[#This Row],[BSLv0]]="A",1,-1)*Jnl[[#This Row],[Bal]]</f>
        <v>-1000</v>
      </c>
      <c r="K1306" t="str">
        <f>_xlfn.XLOOKUP(Jnl[[#This Row],[Acct]], config_BS[Acct], config_BS[Lv0],,0)</f>
        <v>A</v>
      </c>
      <c r="L1306" t="str">
        <f>_xlfn.XLOOKUP(Jnl[[#This Row],[Acct]], config_BS[Acct], config_BS[Lv1],,0)</f>
        <v>Assets</v>
      </c>
      <c r="M1306" t="str">
        <f>_xlfn.XLOOKUP(Jnl[[#This Row],[Acct]], config_BS[Acct], config_BS[Lv2],,0)</f>
        <v>Cash alike</v>
      </c>
      <c r="N1306" t="str">
        <f>_xlfn.XLOOKUP(Jnl[[#This Row],[TrxId]], Trx[Id], Trx[IncNode], ,0)</f>
        <v>Revenue</v>
      </c>
      <c r="O1306" t="str">
        <f>_xlfn.XLOOKUP(Jnl[[#This Row],[IncNode]], config_IS[Node], config_IS[Type],,0)</f>
        <v>Op</v>
      </c>
      <c r="P1306" t="str">
        <f>_xlfn.XLOOKUP(Jnl[[#This Row],[BSLv2]], dict[Key], dict[Name],,0)</f>
        <v>0.现金及类似</v>
      </c>
      <c r="Q1306" t="str">
        <f>_xlfn.XLOOKUP(Jnl[[#This Row],[Acct]], dict[Key], dict[Name],,0)</f>
        <v>银行</v>
      </c>
      <c r="R1306" t="str">
        <f>_xlfn.XLOOKUP(Jnl[[#This Row],[Vehicle]],config_vehicle[Id], config_vehicle[Name],,0)</f>
        <v>小月号</v>
      </c>
      <c r="S1306" t="str">
        <f>_xlfn.XLOOKUP(Jnl[[#This Row],[Division]],config_div[Id], config_div[Name],,0)</f>
        <v>明月村</v>
      </c>
      <c r="T1306" t="str">
        <f>IF(Jnl[[#This Row],[TrxDate]]&lt;=stmt_BS_date_end, "In", "Out")</f>
        <v>In</v>
      </c>
      <c r="U1306" t="str">
        <f>IF(Jnl[[#This Row],[TrxDate]]&lt;debug_date_start, "prior", IF(Jnl[[#This Row],[TrxDate]]&gt;debug_date_end, "post", "curr"))</f>
        <v>curr</v>
      </c>
    </row>
    <row r="1307" spans="1:21">
      <c r="A1307" s="11" t="s">
        <v>1727</v>
      </c>
      <c r="B1307" s="7">
        <f>_xlfn.XLOOKUP(Jnl[[#This Row],[TrxId]], Trx[Id], Trx[Date],,0)</f>
        <v>46081</v>
      </c>
      <c r="C1307" s="7" t="str">
        <f>_xlfn.XLOOKUP(Jnl[[#This Row],[TrxId]], Trx[Id], Trx[Division],,0)</f>
        <v>MY</v>
      </c>
      <c r="D1307" s="7" t="str">
        <f>_xlfn.XLOOKUP(Jnl[[#This Row],[TrxId]], Trx[Id], Trx[Action],,0)</f>
        <v>收款</v>
      </c>
      <c r="E1307" s="26" t="s">
        <v>83</v>
      </c>
      <c r="F1307" s="11" t="s">
        <v>593</v>
      </c>
      <c r="G1307" s="11" t="s">
        <v>1060</v>
      </c>
      <c r="H1307" s="72">
        <v>-100</v>
      </c>
      <c r="I1307" s="5" t="b">
        <f>AND(Jnl[[#This Row],[TrxId]]&lt;&gt;"",Jnl[[#This Row],[Acct]]&lt;&gt;"",Jnl[[#This Row],[Item]]&lt;&gt;"",ISNUMBER(Jnl[[#This Row],[Bal]]))</f>
        <v>1</v>
      </c>
      <c r="J1307" s="10">
        <f>IF(Jnl[[#This Row],[BSLv0]]="A",1,-1)*Jnl[[#This Row],[Bal]]</f>
        <v>-100</v>
      </c>
      <c r="K1307" t="str">
        <f>_xlfn.XLOOKUP(Jnl[[#This Row],[Acct]], config_BS[Acct], config_BS[Lv0],,0)</f>
        <v>A</v>
      </c>
      <c r="L1307" t="str">
        <f>_xlfn.XLOOKUP(Jnl[[#This Row],[Acct]], config_BS[Acct], config_BS[Lv1],,0)</f>
        <v>Assets</v>
      </c>
      <c r="M1307" t="str">
        <f>_xlfn.XLOOKUP(Jnl[[#This Row],[Acct]], config_BS[Acct], config_BS[Lv2],,0)</f>
        <v>Rec-Pay</v>
      </c>
      <c r="N1307" t="str">
        <f>_xlfn.XLOOKUP(Jnl[[#This Row],[TrxId]], Trx[Id], Trx[IncNode], ,0)</f>
        <v>Revenue</v>
      </c>
      <c r="O1307" t="str">
        <f>_xlfn.XLOOKUP(Jnl[[#This Row],[IncNode]], config_IS[Node], config_IS[Type],,0)</f>
        <v>Op</v>
      </c>
      <c r="P1307" t="str">
        <f>_xlfn.XLOOKUP(Jnl[[#This Row],[BSLv2]], dict[Key], dict[Name],,0)</f>
        <v>1.应收-应付</v>
      </c>
      <c r="Q1307" t="str">
        <f>_xlfn.XLOOKUP(Jnl[[#This Row],[Acct]], dict[Key], dict[Name],,0)</f>
        <v>应收-一般</v>
      </c>
      <c r="R1307" t="str">
        <f>_xlfn.XLOOKUP(Jnl[[#This Row],[Vehicle]],config_vehicle[Id], config_vehicle[Name],,0)</f>
        <v>远家文化</v>
      </c>
      <c r="S1307" t="str">
        <f>_xlfn.XLOOKUP(Jnl[[#This Row],[Division]],config_div[Id], config_div[Name],,0)</f>
        <v>明月村</v>
      </c>
      <c r="T1307" t="str">
        <f>IF(Jnl[[#This Row],[TrxDate]]&lt;=stmt_BS_date_end, "In", "Out")</f>
        <v>In</v>
      </c>
      <c r="U1307" t="str">
        <f>IF(Jnl[[#This Row],[TrxDate]]&lt;debug_date_start, "prior", IF(Jnl[[#This Row],[TrxDate]]&gt;debug_date_end, "post", "curr"))</f>
        <v>curr</v>
      </c>
    </row>
    <row r="1308" spans="1:21">
      <c r="A1308" s="11" t="s">
        <v>1727</v>
      </c>
      <c r="B1308" s="7">
        <f>_xlfn.XLOOKUP(Jnl[[#This Row],[TrxId]], Trx[Id], Trx[Date],,0)</f>
        <v>46081</v>
      </c>
      <c r="C1308" s="7" t="str">
        <f>_xlfn.XLOOKUP(Jnl[[#This Row],[TrxId]], Trx[Id], Trx[Division],,0)</f>
        <v>MY</v>
      </c>
      <c r="D1308" s="7" t="str">
        <f>_xlfn.XLOOKUP(Jnl[[#This Row],[TrxId]], Trx[Id], Trx[Action],,0)</f>
        <v>收款</v>
      </c>
      <c r="E1308" s="26" t="s">
        <v>87</v>
      </c>
      <c r="F1308" s="11" t="s">
        <v>590</v>
      </c>
      <c r="G1308" s="11" t="s">
        <v>903</v>
      </c>
      <c r="H1308" s="72">
        <v>100</v>
      </c>
      <c r="I1308" s="5" t="b">
        <f>AND(Jnl[[#This Row],[TrxId]]&lt;&gt;"",Jnl[[#This Row],[Acct]]&lt;&gt;"",Jnl[[#This Row],[Item]]&lt;&gt;"",ISNUMBER(Jnl[[#This Row],[Bal]]))</f>
        <v>1</v>
      </c>
      <c r="J1308" s="10">
        <f>IF(Jnl[[#This Row],[BSLv0]]="A",1,-1)*Jnl[[#This Row],[Bal]]</f>
        <v>100</v>
      </c>
      <c r="K1308" t="str">
        <f>_xlfn.XLOOKUP(Jnl[[#This Row],[Acct]], config_BS[Acct], config_BS[Lv0],,0)</f>
        <v>A</v>
      </c>
      <c r="L1308" t="str">
        <f>_xlfn.XLOOKUP(Jnl[[#This Row],[Acct]], config_BS[Acct], config_BS[Lv1],,0)</f>
        <v>Assets</v>
      </c>
      <c r="M1308" t="str">
        <f>_xlfn.XLOOKUP(Jnl[[#This Row],[Acct]], config_BS[Acct], config_BS[Lv2],,0)</f>
        <v>Cash alike</v>
      </c>
      <c r="N1308" t="str">
        <f>_xlfn.XLOOKUP(Jnl[[#This Row],[TrxId]], Trx[Id], Trx[IncNode], ,0)</f>
        <v>Revenue</v>
      </c>
      <c r="O1308" t="str">
        <f>_xlfn.XLOOKUP(Jnl[[#This Row],[IncNode]], config_IS[Node], config_IS[Type],,0)</f>
        <v>Op</v>
      </c>
      <c r="P1308" t="str">
        <f>_xlfn.XLOOKUP(Jnl[[#This Row],[BSLv2]], dict[Key], dict[Name],,0)</f>
        <v>0.现金及类似</v>
      </c>
      <c r="Q1308" t="str">
        <f>_xlfn.XLOOKUP(Jnl[[#This Row],[Acct]], dict[Key], dict[Name],,0)</f>
        <v>银行</v>
      </c>
      <c r="R1308" t="str">
        <f>_xlfn.XLOOKUP(Jnl[[#This Row],[Vehicle]],config_vehicle[Id], config_vehicle[Name],,0)</f>
        <v>小月号</v>
      </c>
      <c r="S1308" t="str">
        <f>_xlfn.XLOOKUP(Jnl[[#This Row],[Division]],config_div[Id], config_div[Name],,0)</f>
        <v>明月村</v>
      </c>
      <c r="T1308" t="str">
        <f>IF(Jnl[[#This Row],[TrxDate]]&lt;=stmt_BS_date_end, "In", "Out")</f>
        <v>In</v>
      </c>
      <c r="U1308" t="str">
        <f>IF(Jnl[[#This Row],[TrxDate]]&lt;debug_date_start, "prior", IF(Jnl[[#This Row],[TrxDate]]&gt;debug_date_end, "post", "curr"))</f>
        <v>curr</v>
      </c>
    </row>
    <row r="1309" spans="1:21">
      <c r="A1309" s="11" t="s">
        <v>1728</v>
      </c>
      <c r="B1309" s="7">
        <f>_xlfn.XLOOKUP(Jnl[[#This Row],[TrxId]], Trx[Id], Trx[Date],,0)</f>
        <v>46081</v>
      </c>
      <c r="C1309" s="7" t="str">
        <f>_xlfn.XLOOKUP(Jnl[[#This Row],[TrxId]], Trx[Id], Trx[Division],,0)</f>
        <v>MY</v>
      </c>
      <c r="D1309" s="7" t="str">
        <f>_xlfn.XLOOKUP(Jnl[[#This Row],[TrxId]], Trx[Id], Trx[Action],,0)</f>
        <v>收款</v>
      </c>
      <c r="E1309" s="26" t="s">
        <v>83</v>
      </c>
      <c r="F1309" s="11" t="s">
        <v>593</v>
      </c>
      <c r="G1309" s="11" t="s">
        <v>947</v>
      </c>
      <c r="H1309" s="72">
        <v>-2336</v>
      </c>
      <c r="I1309" s="5" t="b">
        <f>AND(Jnl[[#This Row],[TrxId]]&lt;&gt;"",Jnl[[#This Row],[Acct]]&lt;&gt;"",Jnl[[#This Row],[Item]]&lt;&gt;"",ISNUMBER(Jnl[[#This Row],[Bal]]))</f>
        <v>1</v>
      </c>
      <c r="J1309" s="10">
        <f>IF(Jnl[[#This Row],[BSLv0]]="A",1,-1)*Jnl[[#This Row],[Bal]]</f>
        <v>-2336</v>
      </c>
      <c r="K1309" t="str">
        <f>_xlfn.XLOOKUP(Jnl[[#This Row],[Acct]], config_BS[Acct], config_BS[Lv0],,0)</f>
        <v>A</v>
      </c>
      <c r="L1309" t="str">
        <f>_xlfn.XLOOKUP(Jnl[[#This Row],[Acct]], config_BS[Acct], config_BS[Lv1],,0)</f>
        <v>Assets</v>
      </c>
      <c r="M1309" t="str">
        <f>_xlfn.XLOOKUP(Jnl[[#This Row],[Acct]], config_BS[Acct], config_BS[Lv2],,0)</f>
        <v>Rec-Pay</v>
      </c>
      <c r="N1309" t="str">
        <f>_xlfn.XLOOKUP(Jnl[[#This Row],[TrxId]], Trx[Id], Trx[IncNode], ,0)</f>
        <v>Revenue</v>
      </c>
      <c r="O1309" t="str">
        <f>_xlfn.XLOOKUP(Jnl[[#This Row],[IncNode]], config_IS[Node], config_IS[Type],,0)</f>
        <v>Op</v>
      </c>
      <c r="P1309" t="str">
        <f>_xlfn.XLOOKUP(Jnl[[#This Row],[BSLv2]], dict[Key], dict[Name],,0)</f>
        <v>1.应收-应付</v>
      </c>
      <c r="Q1309" t="str">
        <f>_xlfn.XLOOKUP(Jnl[[#This Row],[Acct]], dict[Key], dict[Name],,0)</f>
        <v>应收-一般</v>
      </c>
      <c r="R1309" t="str">
        <f>_xlfn.XLOOKUP(Jnl[[#This Row],[Vehicle]],config_vehicle[Id], config_vehicle[Name],,0)</f>
        <v>远家文化</v>
      </c>
      <c r="S1309" t="str">
        <f>_xlfn.XLOOKUP(Jnl[[#This Row],[Division]],config_div[Id], config_div[Name],,0)</f>
        <v>明月村</v>
      </c>
      <c r="T1309" t="str">
        <f>IF(Jnl[[#This Row],[TrxDate]]&lt;=stmt_BS_date_end, "In", "Out")</f>
        <v>In</v>
      </c>
      <c r="U1309" t="str">
        <f>IF(Jnl[[#This Row],[TrxDate]]&lt;debug_date_start, "prior", IF(Jnl[[#This Row],[TrxDate]]&gt;debug_date_end, "post", "curr"))</f>
        <v>curr</v>
      </c>
    </row>
    <row r="1310" spans="1:21">
      <c r="A1310" s="11" t="s">
        <v>1728</v>
      </c>
      <c r="B1310" s="7">
        <f>_xlfn.XLOOKUP(Jnl[[#This Row],[TrxId]], Trx[Id], Trx[Date],,0)</f>
        <v>46081</v>
      </c>
      <c r="C1310" s="7" t="str">
        <f>_xlfn.XLOOKUP(Jnl[[#This Row],[TrxId]], Trx[Id], Trx[Division],,0)</f>
        <v>MY</v>
      </c>
      <c r="D1310" s="7" t="str">
        <f>_xlfn.XLOOKUP(Jnl[[#This Row],[TrxId]], Trx[Id], Trx[Action],,0)</f>
        <v>收款</v>
      </c>
      <c r="E1310" s="26" t="s">
        <v>87</v>
      </c>
      <c r="F1310" s="11" t="s">
        <v>590</v>
      </c>
      <c r="G1310" s="11" t="s">
        <v>903</v>
      </c>
      <c r="H1310" s="72">
        <v>2336</v>
      </c>
      <c r="I1310" s="5" t="b">
        <f>AND(Jnl[[#This Row],[TrxId]]&lt;&gt;"",Jnl[[#This Row],[Acct]]&lt;&gt;"",Jnl[[#This Row],[Item]]&lt;&gt;"",ISNUMBER(Jnl[[#This Row],[Bal]]))</f>
        <v>1</v>
      </c>
      <c r="J1310" s="10">
        <f>IF(Jnl[[#This Row],[BSLv0]]="A",1,-1)*Jnl[[#This Row],[Bal]]</f>
        <v>2336</v>
      </c>
      <c r="K1310" t="str">
        <f>_xlfn.XLOOKUP(Jnl[[#This Row],[Acct]], config_BS[Acct], config_BS[Lv0],,0)</f>
        <v>A</v>
      </c>
      <c r="L1310" t="str">
        <f>_xlfn.XLOOKUP(Jnl[[#This Row],[Acct]], config_BS[Acct], config_BS[Lv1],,0)</f>
        <v>Assets</v>
      </c>
      <c r="M1310" t="str">
        <f>_xlfn.XLOOKUP(Jnl[[#This Row],[Acct]], config_BS[Acct], config_BS[Lv2],,0)</f>
        <v>Cash alike</v>
      </c>
      <c r="N1310" t="str">
        <f>_xlfn.XLOOKUP(Jnl[[#This Row],[TrxId]], Trx[Id], Trx[IncNode], ,0)</f>
        <v>Revenue</v>
      </c>
      <c r="O1310" t="str">
        <f>_xlfn.XLOOKUP(Jnl[[#This Row],[IncNode]], config_IS[Node], config_IS[Type],,0)</f>
        <v>Op</v>
      </c>
      <c r="P1310" t="str">
        <f>_xlfn.XLOOKUP(Jnl[[#This Row],[BSLv2]], dict[Key], dict[Name],,0)</f>
        <v>0.现金及类似</v>
      </c>
      <c r="Q1310" t="str">
        <f>_xlfn.XLOOKUP(Jnl[[#This Row],[Acct]], dict[Key], dict[Name],,0)</f>
        <v>银行</v>
      </c>
      <c r="R1310" t="str">
        <f>_xlfn.XLOOKUP(Jnl[[#This Row],[Vehicle]],config_vehicle[Id], config_vehicle[Name],,0)</f>
        <v>小月号</v>
      </c>
      <c r="S1310" t="str">
        <f>_xlfn.XLOOKUP(Jnl[[#This Row],[Division]],config_div[Id], config_div[Name],,0)</f>
        <v>明月村</v>
      </c>
      <c r="T1310" t="str">
        <f>IF(Jnl[[#This Row],[TrxDate]]&lt;=stmt_BS_date_end, "In", "Out")</f>
        <v>In</v>
      </c>
      <c r="U1310" t="str">
        <f>IF(Jnl[[#This Row],[TrxDate]]&lt;debug_date_start, "prior", IF(Jnl[[#This Row],[TrxDate]]&gt;debug_date_end, "post", "curr"))</f>
        <v>curr</v>
      </c>
    </row>
    <row r="1311" spans="1:21">
      <c r="A1311" s="11" t="s">
        <v>1729</v>
      </c>
      <c r="B1311" s="7">
        <f>_xlfn.XLOOKUP(Jnl[[#This Row],[TrxId]], Trx[Id], Trx[Date],,0)</f>
        <v>46081</v>
      </c>
      <c r="C1311" s="7" t="str">
        <f>_xlfn.XLOOKUP(Jnl[[#This Row],[TrxId]], Trx[Id], Trx[Division],,0)</f>
        <v>MY</v>
      </c>
      <c r="D1311" s="7" t="str">
        <f>_xlfn.XLOOKUP(Jnl[[#This Row],[TrxId]], Trx[Id], Trx[Action],,0)</f>
        <v>收款</v>
      </c>
      <c r="E1311" s="26" t="s">
        <v>83</v>
      </c>
      <c r="F1311" s="11" t="s">
        <v>593</v>
      </c>
      <c r="G1311" s="11" t="s">
        <v>947</v>
      </c>
      <c r="H1311" s="72">
        <v>-500</v>
      </c>
      <c r="I1311" s="5" t="b">
        <f>AND(Jnl[[#This Row],[TrxId]]&lt;&gt;"",Jnl[[#This Row],[Acct]]&lt;&gt;"",Jnl[[#This Row],[Item]]&lt;&gt;"",ISNUMBER(Jnl[[#This Row],[Bal]]))</f>
        <v>1</v>
      </c>
      <c r="J1311" s="10">
        <f>IF(Jnl[[#This Row],[BSLv0]]="A",1,-1)*Jnl[[#This Row],[Bal]]</f>
        <v>-500</v>
      </c>
      <c r="K1311" t="str">
        <f>_xlfn.XLOOKUP(Jnl[[#This Row],[Acct]], config_BS[Acct], config_BS[Lv0],,0)</f>
        <v>A</v>
      </c>
      <c r="L1311" t="str">
        <f>_xlfn.XLOOKUP(Jnl[[#This Row],[Acct]], config_BS[Acct], config_BS[Lv1],,0)</f>
        <v>Assets</v>
      </c>
      <c r="M1311" t="str">
        <f>_xlfn.XLOOKUP(Jnl[[#This Row],[Acct]], config_BS[Acct], config_BS[Lv2],,0)</f>
        <v>Rec-Pay</v>
      </c>
      <c r="N1311" t="str">
        <f>_xlfn.XLOOKUP(Jnl[[#This Row],[TrxId]], Trx[Id], Trx[IncNode], ,0)</f>
        <v>Revenue</v>
      </c>
      <c r="O1311" t="str">
        <f>_xlfn.XLOOKUP(Jnl[[#This Row],[IncNode]], config_IS[Node], config_IS[Type],,0)</f>
        <v>Op</v>
      </c>
      <c r="P1311" t="str">
        <f>_xlfn.XLOOKUP(Jnl[[#This Row],[BSLv2]], dict[Key], dict[Name],,0)</f>
        <v>1.应收-应付</v>
      </c>
      <c r="Q1311" t="str">
        <f>_xlfn.XLOOKUP(Jnl[[#This Row],[Acct]], dict[Key], dict[Name],,0)</f>
        <v>应收-一般</v>
      </c>
      <c r="R1311" t="str">
        <f>_xlfn.XLOOKUP(Jnl[[#This Row],[Vehicle]],config_vehicle[Id], config_vehicle[Name],,0)</f>
        <v>远家文化</v>
      </c>
      <c r="S1311" t="str">
        <f>_xlfn.XLOOKUP(Jnl[[#This Row],[Division]],config_div[Id], config_div[Name],,0)</f>
        <v>明月村</v>
      </c>
      <c r="T1311" t="str">
        <f>IF(Jnl[[#This Row],[TrxDate]]&lt;=stmt_BS_date_end, "In", "Out")</f>
        <v>In</v>
      </c>
      <c r="U1311" t="str">
        <f>IF(Jnl[[#This Row],[TrxDate]]&lt;debug_date_start, "prior", IF(Jnl[[#This Row],[TrxDate]]&gt;debug_date_end, "post", "curr"))</f>
        <v>curr</v>
      </c>
    </row>
    <row r="1312" spans="1:21">
      <c r="A1312" s="11" t="s">
        <v>1729</v>
      </c>
      <c r="B1312" s="7">
        <f>_xlfn.XLOOKUP(Jnl[[#This Row],[TrxId]], Trx[Id], Trx[Date],,0)</f>
        <v>46081</v>
      </c>
      <c r="C1312" s="7" t="str">
        <f>_xlfn.XLOOKUP(Jnl[[#This Row],[TrxId]], Trx[Id], Trx[Division],,0)</f>
        <v>MY</v>
      </c>
      <c r="D1312" s="7" t="str">
        <f>_xlfn.XLOOKUP(Jnl[[#This Row],[TrxId]], Trx[Id], Trx[Action],,0)</f>
        <v>收款</v>
      </c>
      <c r="E1312" s="26" t="s">
        <v>87</v>
      </c>
      <c r="F1312" s="11" t="s">
        <v>590</v>
      </c>
      <c r="G1312" s="11" t="s">
        <v>903</v>
      </c>
      <c r="H1312" s="72">
        <v>500</v>
      </c>
      <c r="I1312" s="5" t="b">
        <f>AND(Jnl[[#This Row],[TrxId]]&lt;&gt;"",Jnl[[#This Row],[Acct]]&lt;&gt;"",Jnl[[#This Row],[Item]]&lt;&gt;"",ISNUMBER(Jnl[[#This Row],[Bal]]))</f>
        <v>1</v>
      </c>
      <c r="J1312" s="10">
        <f>IF(Jnl[[#This Row],[BSLv0]]="A",1,-1)*Jnl[[#This Row],[Bal]]</f>
        <v>500</v>
      </c>
      <c r="K1312" t="str">
        <f>_xlfn.XLOOKUP(Jnl[[#This Row],[Acct]], config_BS[Acct], config_BS[Lv0],,0)</f>
        <v>A</v>
      </c>
      <c r="L1312" t="str">
        <f>_xlfn.XLOOKUP(Jnl[[#This Row],[Acct]], config_BS[Acct], config_BS[Lv1],,0)</f>
        <v>Assets</v>
      </c>
      <c r="M1312" t="str">
        <f>_xlfn.XLOOKUP(Jnl[[#This Row],[Acct]], config_BS[Acct], config_BS[Lv2],,0)</f>
        <v>Cash alike</v>
      </c>
      <c r="N1312" t="str">
        <f>_xlfn.XLOOKUP(Jnl[[#This Row],[TrxId]], Trx[Id], Trx[IncNode], ,0)</f>
        <v>Revenue</v>
      </c>
      <c r="O1312" t="str">
        <f>_xlfn.XLOOKUP(Jnl[[#This Row],[IncNode]], config_IS[Node], config_IS[Type],,0)</f>
        <v>Op</v>
      </c>
      <c r="P1312" t="str">
        <f>_xlfn.XLOOKUP(Jnl[[#This Row],[BSLv2]], dict[Key], dict[Name],,0)</f>
        <v>0.现金及类似</v>
      </c>
      <c r="Q1312" t="str">
        <f>_xlfn.XLOOKUP(Jnl[[#This Row],[Acct]], dict[Key], dict[Name],,0)</f>
        <v>银行</v>
      </c>
      <c r="R1312" t="str">
        <f>_xlfn.XLOOKUP(Jnl[[#This Row],[Vehicle]],config_vehicle[Id], config_vehicle[Name],,0)</f>
        <v>小月号</v>
      </c>
      <c r="S1312" t="str">
        <f>_xlfn.XLOOKUP(Jnl[[#This Row],[Division]],config_div[Id], config_div[Name],,0)</f>
        <v>明月村</v>
      </c>
      <c r="T1312" t="str">
        <f>IF(Jnl[[#This Row],[TrxDate]]&lt;=stmt_BS_date_end, "In", "Out")</f>
        <v>In</v>
      </c>
      <c r="U1312" t="str">
        <f>IF(Jnl[[#This Row],[TrxDate]]&lt;debug_date_start, "prior", IF(Jnl[[#This Row],[TrxDate]]&gt;debug_date_end, "post", "curr"))</f>
        <v>curr</v>
      </c>
    </row>
    <row r="1313" spans="1:21">
      <c r="A1313" s="11" t="s">
        <v>1730</v>
      </c>
      <c r="B1313" s="7">
        <f>_xlfn.XLOOKUP(Jnl[[#This Row],[TrxId]], Trx[Id], Trx[Date],,0)</f>
        <v>46081</v>
      </c>
      <c r="C1313" s="7" t="str">
        <f>_xlfn.XLOOKUP(Jnl[[#This Row],[TrxId]], Trx[Id], Trx[Division],,0)</f>
        <v>MY</v>
      </c>
      <c r="D1313" s="7" t="str">
        <f>_xlfn.XLOOKUP(Jnl[[#This Row],[TrxId]], Trx[Id], Trx[Action],,0)</f>
        <v>收款</v>
      </c>
      <c r="E1313" s="26" t="s">
        <v>83</v>
      </c>
      <c r="F1313" s="11" t="s">
        <v>593</v>
      </c>
      <c r="G1313" s="11" t="s">
        <v>942</v>
      </c>
      <c r="H1313" s="72">
        <v>-3117</v>
      </c>
      <c r="I1313" s="5" t="b">
        <f>AND(Jnl[[#This Row],[TrxId]]&lt;&gt;"",Jnl[[#This Row],[Acct]]&lt;&gt;"",Jnl[[#This Row],[Item]]&lt;&gt;"",ISNUMBER(Jnl[[#This Row],[Bal]]))</f>
        <v>1</v>
      </c>
      <c r="J1313" s="10">
        <f>IF(Jnl[[#This Row],[BSLv0]]="A",1,-1)*Jnl[[#This Row],[Bal]]</f>
        <v>-3117</v>
      </c>
      <c r="K1313" t="str">
        <f>_xlfn.XLOOKUP(Jnl[[#This Row],[Acct]], config_BS[Acct], config_BS[Lv0],,0)</f>
        <v>A</v>
      </c>
      <c r="L1313" t="str">
        <f>_xlfn.XLOOKUP(Jnl[[#This Row],[Acct]], config_BS[Acct], config_BS[Lv1],,0)</f>
        <v>Assets</v>
      </c>
      <c r="M1313" t="str">
        <f>_xlfn.XLOOKUP(Jnl[[#This Row],[Acct]], config_BS[Acct], config_BS[Lv2],,0)</f>
        <v>Rec-Pay</v>
      </c>
      <c r="N1313" t="str">
        <f>_xlfn.XLOOKUP(Jnl[[#This Row],[TrxId]], Trx[Id], Trx[IncNode], ,0)</f>
        <v>Revenue</v>
      </c>
      <c r="O1313" t="str">
        <f>_xlfn.XLOOKUP(Jnl[[#This Row],[IncNode]], config_IS[Node], config_IS[Type],,0)</f>
        <v>Op</v>
      </c>
      <c r="P1313" t="str">
        <f>_xlfn.XLOOKUP(Jnl[[#This Row],[BSLv2]], dict[Key], dict[Name],,0)</f>
        <v>1.应收-应付</v>
      </c>
      <c r="Q1313" t="str">
        <f>_xlfn.XLOOKUP(Jnl[[#This Row],[Acct]], dict[Key], dict[Name],,0)</f>
        <v>应收-一般</v>
      </c>
      <c r="R1313" t="str">
        <f>_xlfn.XLOOKUP(Jnl[[#This Row],[Vehicle]],config_vehicle[Id], config_vehicle[Name],,0)</f>
        <v>远家文化</v>
      </c>
      <c r="S1313" t="str">
        <f>_xlfn.XLOOKUP(Jnl[[#This Row],[Division]],config_div[Id], config_div[Name],,0)</f>
        <v>明月村</v>
      </c>
      <c r="T1313" t="str">
        <f>IF(Jnl[[#This Row],[TrxDate]]&lt;=stmt_BS_date_end, "In", "Out")</f>
        <v>In</v>
      </c>
      <c r="U1313" t="str">
        <f>IF(Jnl[[#This Row],[TrxDate]]&lt;debug_date_start, "prior", IF(Jnl[[#This Row],[TrxDate]]&gt;debug_date_end, "post", "curr"))</f>
        <v>curr</v>
      </c>
    </row>
    <row r="1314" spans="1:21">
      <c r="A1314" s="11" t="s">
        <v>1730</v>
      </c>
      <c r="B1314" s="7">
        <f>_xlfn.XLOOKUP(Jnl[[#This Row],[TrxId]], Trx[Id], Trx[Date],,0)</f>
        <v>46081</v>
      </c>
      <c r="C1314" s="7" t="str">
        <f>_xlfn.XLOOKUP(Jnl[[#This Row],[TrxId]], Trx[Id], Trx[Division],,0)</f>
        <v>MY</v>
      </c>
      <c r="D1314" s="7" t="str">
        <f>_xlfn.XLOOKUP(Jnl[[#This Row],[TrxId]], Trx[Id], Trx[Action],,0)</f>
        <v>收款</v>
      </c>
      <c r="E1314" s="26" t="s">
        <v>87</v>
      </c>
      <c r="F1314" s="11" t="s">
        <v>590</v>
      </c>
      <c r="G1314" s="11" t="s">
        <v>903</v>
      </c>
      <c r="H1314" s="72">
        <v>3117</v>
      </c>
      <c r="I1314" s="5" t="b">
        <f>AND(Jnl[[#This Row],[TrxId]]&lt;&gt;"",Jnl[[#This Row],[Acct]]&lt;&gt;"",Jnl[[#This Row],[Item]]&lt;&gt;"",ISNUMBER(Jnl[[#This Row],[Bal]]))</f>
        <v>1</v>
      </c>
      <c r="J1314" s="10">
        <f>IF(Jnl[[#This Row],[BSLv0]]="A",1,-1)*Jnl[[#This Row],[Bal]]</f>
        <v>3117</v>
      </c>
      <c r="K1314" t="str">
        <f>_xlfn.XLOOKUP(Jnl[[#This Row],[Acct]], config_BS[Acct], config_BS[Lv0],,0)</f>
        <v>A</v>
      </c>
      <c r="L1314" t="str">
        <f>_xlfn.XLOOKUP(Jnl[[#This Row],[Acct]], config_BS[Acct], config_BS[Lv1],,0)</f>
        <v>Assets</v>
      </c>
      <c r="M1314" t="str">
        <f>_xlfn.XLOOKUP(Jnl[[#This Row],[Acct]], config_BS[Acct], config_BS[Lv2],,0)</f>
        <v>Cash alike</v>
      </c>
      <c r="N1314" t="str">
        <f>_xlfn.XLOOKUP(Jnl[[#This Row],[TrxId]], Trx[Id], Trx[IncNode], ,0)</f>
        <v>Revenue</v>
      </c>
      <c r="O1314" t="str">
        <f>_xlfn.XLOOKUP(Jnl[[#This Row],[IncNode]], config_IS[Node], config_IS[Type],,0)</f>
        <v>Op</v>
      </c>
      <c r="P1314" t="str">
        <f>_xlfn.XLOOKUP(Jnl[[#This Row],[BSLv2]], dict[Key], dict[Name],,0)</f>
        <v>0.现金及类似</v>
      </c>
      <c r="Q1314" t="str">
        <f>_xlfn.XLOOKUP(Jnl[[#This Row],[Acct]], dict[Key], dict[Name],,0)</f>
        <v>银行</v>
      </c>
      <c r="R1314" t="str">
        <f>_xlfn.XLOOKUP(Jnl[[#This Row],[Vehicle]],config_vehicle[Id], config_vehicle[Name],,0)</f>
        <v>小月号</v>
      </c>
      <c r="S1314" t="str">
        <f>_xlfn.XLOOKUP(Jnl[[#This Row],[Division]],config_div[Id], config_div[Name],,0)</f>
        <v>明月村</v>
      </c>
      <c r="T1314" t="str">
        <f>IF(Jnl[[#This Row],[TrxDate]]&lt;=stmt_BS_date_end, "In", "Out")</f>
        <v>In</v>
      </c>
      <c r="U1314" t="str">
        <f>IF(Jnl[[#This Row],[TrxDate]]&lt;debug_date_start, "prior", IF(Jnl[[#This Row],[TrxDate]]&gt;debug_date_end, "post", "curr"))</f>
        <v>curr</v>
      </c>
    </row>
    <row r="1315" spans="1:21">
      <c r="A1315" s="11" t="s">
        <v>1731</v>
      </c>
      <c r="B1315" s="7">
        <f>_xlfn.XLOOKUP(Jnl[[#This Row],[TrxId]], Trx[Id], Trx[Date],,0)</f>
        <v>46081</v>
      </c>
      <c r="C1315" s="7" t="str">
        <f>_xlfn.XLOOKUP(Jnl[[#This Row],[TrxId]], Trx[Id], Trx[Division],,0)</f>
        <v>MY</v>
      </c>
      <c r="D1315" s="7" t="str">
        <f>_xlfn.XLOOKUP(Jnl[[#This Row],[TrxId]], Trx[Id], Trx[Action],,0)</f>
        <v>其他材料</v>
      </c>
      <c r="E1315" s="26" t="s">
        <v>87</v>
      </c>
      <c r="F1315" s="11" t="s">
        <v>590</v>
      </c>
      <c r="G1315" s="11" t="s">
        <v>903</v>
      </c>
      <c r="H1315" s="72">
        <v>-360</v>
      </c>
      <c r="I1315" s="5" t="b">
        <f>AND(Jnl[[#This Row],[TrxId]]&lt;&gt;"",Jnl[[#This Row],[Acct]]&lt;&gt;"",Jnl[[#This Row],[Item]]&lt;&gt;"",ISNUMBER(Jnl[[#This Row],[Bal]]))</f>
        <v>1</v>
      </c>
      <c r="J1315" s="10">
        <f>IF(Jnl[[#This Row],[BSLv0]]="A",1,-1)*Jnl[[#This Row],[Bal]]</f>
        <v>-360</v>
      </c>
      <c r="K1315" t="str">
        <f>_xlfn.XLOOKUP(Jnl[[#This Row],[Acct]], config_BS[Acct], config_BS[Lv0],,0)</f>
        <v>A</v>
      </c>
      <c r="L1315" t="str">
        <f>_xlfn.XLOOKUP(Jnl[[#This Row],[Acct]], config_BS[Acct], config_BS[Lv1],,0)</f>
        <v>Assets</v>
      </c>
      <c r="M1315" t="str">
        <f>_xlfn.XLOOKUP(Jnl[[#This Row],[Acct]], config_BS[Acct], config_BS[Lv2],,0)</f>
        <v>Cash alike</v>
      </c>
      <c r="N1315" t="str">
        <f>_xlfn.XLOOKUP(Jnl[[#This Row],[TrxId]], Trx[Id], Trx[IncNode], ,0)</f>
        <v>Cost</v>
      </c>
      <c r="O1315" t="str">
        <f>_xlfn.XLOOKUP(Jnl[[#This Row],[IncNode]], config_IS[Node], config_IS[Type],,0)</f>
        <v>Op</v>
      </c>
      <c r="P1315" t="str">
        <f>_xlfn.XLOOKUP(Jnl[[#This Row],[BSLv2]], dict[Key], dict[Name],,0)</f>
        <v>0.现金及类似</v>
      </c>
      <c r="Q1315" t="str">
        <f>_xlfn.XLOOKUP(Jnl[[#This Row],[Acct]], dict[Key], dict[Name],,0)</f>
        <v>银行</v>
      </c>
      <c r="R1315" t="str">
        <f>_xlfn.XLOOKUP(Jnl[[#This Row],[Vehicle]],config_vehicle[Id], config_vehicle[Name],,0)</f>
        <v>小月号</v>
      </c>
      <c r="S1315" t="str">
        <f>_xlfn.XLOOKUP(Jnl[[#This Row],[Division]],config_div[Id], config_div[Name],,0)</f>
        <v>明月村</v>
      </c>
      <c r="T1315" t="str">
        <f>IF(Jnl[[#This Row],[TrxDate]]&lt;=stmt_BS_date_end, "In", "Out")</f>
        <v>In</v>
      </c>
      <c r="U1315" t="str">
        <f>IF(Jnl[[#This Row],[TrxDate]]&lt;debug_date_start, "prior", IF(Jnl[[#This Row],[TrxDate]]&gt;debug_date_end, "post", "curr"))</f>
        <v>curr</v>
      </c>
    </row>
    <row r="1316" spans="1:21">
      <c r="A1316" s="11" t="s">
        <v>1732</v>
      </c>
      <c r="B1316" s="7">
        <f>_xlfn.XLOOKUP(Jnl[[#This Row],[TrxId]], Trx[Id], Trx[Date],,0)</f>
        <v>46081</v>
      </c>
      <c r="C1316" s="7" t="str">
        <f>_xlfn.XLOOKUP(Jnl[[#This Row],[TrxId]], Trx[Id], Trx[Division],,0)</f>
        <v>MY</v>
      </c>
      <c r="D1316" s="7" t="str">
        <f>_xlfn.XLOOKUP(Jnl[[#This Row],[TrxId]], Trx[Id], Trx[Action],,0)</f>
        <v>退款-客人</v>
      </c>
      <c r="E1316" s="26" t="s">
        <v>83</v>
      </c>
      <c r="F1316" s="11" t="s">
        <v>593</v>
      </c>
      <c r="G1316" s="11" t="s">
        <v>942</v>
      </c>
      <c r="H1316" s="72">
        <v>1558.5</v>
      </c>
      <c r="I1316" s="5" t="b">
        <f>AND(Jnl[[#This Row],[TrxId]]&lt;&gt;"",Jnl[[#This Row],[Acct]]&lt;&gt;"",Jnl[[#This Row],[Item]]&lt;&gt;"",ISNUMBER(Jnl[[#This Row],[Bal]]))</f>
        <v>1</v>
      </c>
      <c r="J1316" s="10">
        <f>IF(Jnl[[#This Row],[BSLv0]]="A",1,-1)*Jnl[[#This Row],[Bal]]</f>
        <v>1558.5</v>
      </c>
      <c r="K1316" t="str">
        <f>_xlfn.XLOOKUP(Jnl[[#This Row],[Acct]], config_BS[Acct], config_BS[Lv0],,0)</f>
        <v>A</v>
      </c>
      <c r="L1316" t="str">
        <f>_xlfn.XLOOKUP(Jnl[[#This Row],[Acct]], config_BS[Acct], config_BS[Lv1],,0)</f>
        <v>Assets</v>
      </c>
      <c r="M1316" t="str">
        <f>_xlfn.XLOOKUP(Jnl[[#This Row],[Acct]], config_BS[Acct], config_BS[Lv2],,0)</f>
        <v>Rec-Pay</v>
      </c>
      <c r="N1316" t="str">
        <f>_xlfn.XLOOKUP(Jnl[[#This Row],[TrxId]], Trx[Id], Trx[IncNode], ,0)</f>
        <v>Revenue</v>
      </c>
      <c r="O1316" t="str">
        <f>_xlfn.XLOOKUP(Jnl[[#This Row],[IncNode]], config_IS[Node], config_IS[Type],,0)</f>
        <v>Op</v>
      </c>
      <c r="P1316" t="str">
        <f>_xlfn.XLOOKUP(Jnl[[#This Row],[BSLv2]], dict[Key], dict[Name],,0)</f>
        <v>1.应收-应付</v>
      </c>
      <c r="Q1316" t="str">
        <f>_xlfn.XLOOKUP(Jnl[[#This Row],[Acct]], dict[Key], dict[Name],,0)</f>
        <v>应收-一般</v>
      </c>
      <c r="R1316" t="str">
        <f>_xlfn.XLOOKUP(Jnl[[#This Row],[Vehicle]],config_vehicle[Id], config_vehicle[Name],,0)</f>
        <v>远家文化</v>
      </c>
      <c r="S1316" t="str">
        <f>_xlfn.XLOOKUP(Jnl[[#This Row],[Division]],config_div[Id], config_div[Name],,0)</f>
        <v>明月村</v>
      </c>
      <c r="T1316" t="str">
        <f>IF(Jnl[[#This Row],[TrxDate]]&lt;=stmt_BS_date_end, "In", "Out")</f>
        <v>In</v>
      </c>
      <c r="U1316" t="str">
        <f>IF(Jnl[[#This Row],[TrxDate]]&lt;debug_date_start, "prior", IF(Jnl[[#This Row],[TrxDate]]&gt;debug_date_end, "post", "curr"))</f>
        <v>curr</v>
      </c>
    </row>
    <row r="1317" spans="1:21">
      <c r="A1317" s="11" t="s">
        <v>1732</v>
      </c>
      <c r="B1317" s="7">
        <f>_xlfn.XLOOKUP(Jnl[[#This Row],[TrxId]], Trx[Id], Trx[Date],,0)</f>
        <v>46081</v>
      </c>
      <c r="C1317" s="7" t="str">
        <f>_xlfn.XLOOKUP(Jnl[[#This Row],[TrxId]], Trx[Id], Trx[Division],,0)</f>
        <v>MY</v>
      </c>
      <c r="D1317" s="7" t="str">
        <f>_xlfn.XLOOKUP(Jnl[[#This Row],[TrxId]], Trx[Id], Trx[Action],,0)</f>
        <v>退款-客人</v>
      </c>
      <c r="E1317" s="26" t="s">
        <v>87</v>
      </c>
      <c r="F1317" s="11" t="s">
        <v>590</v>
      </c>
      <c r="G1317" s="11" t="s">
        <v>903</v>
      </c>
      <c r="H1317" s="72">
        <v>-1558.5</v>
      </c>
      <c r="I1317" s="5" t="b">
        <f>AND(Jnl[[#This Row],[TrxId]]&lt;&gt;"",Jnl[[#This Row],[Acct]]&lt;&gt;"",Jnl[[#This Row],[Item]]&lt;&gt;"",ISNUMBER(Jnl[[#This Row],[Bal]]))</f>
        <v>1</v>
      </c>
      <c r="J1317" s="10">
        <f>IF(Jnl[[#This Row],[BSLv0]]="A",1,-1)*Jnl[[#This Row],[Bal]]</f>
        <v>-1558.5</v>
      </c>
      <c r="K1317" t="str">
        <f>_xlfn.XLOOKUP(Jnl[[#This Row],[Acct]], config_BS[Acct], config_BS[Lv0],,0)</f>
        <v>A</v>
      </c>
      <c r="L1317" t="str">
        <f>_xlfn.XLOOKUP(Jnl[[#This Row],[Acct]], config_BS[Acct], config_BS[Lv1],,0)</f>
        <v>Assets</v>
      </c>
      <c r="M1317" t="str">
        <f>_xlfn.XLOOKUP(Jnl[[#This Row],[Acct]], config_BS[Acct], config_BS[Lv2],,0)</f>
        <v>Cash alike</v>
      </c>
      <c r="N1317" t="str">
        <f>_xlfn.XLOOKUP(Jnl[[#This Row],[TrxId]], Trx[Id], Trx[IncNode], ,0)</f>
        <v>Revenue</v>
      </c>
      <c r="O1317" t="str">
        <f>_xlfn.XLOOKUP(Jnl[[#This Row],[IncNode]], config_IS[Node], config_IS[Type],,0)</f>
        <v>Op</v>
      </c>
      <c r="P1317" t="str">
        <f>_xlfn.XLOOKUP(Jnl[[#This Row],[BSLv2]], dict[Key], dict[Name],,0)</f>
        <v>0.现金及类似</v>
      </c>
      <c r="Q1317" t="str">
        <f>_xlfn.XLOOKUP(Jnl[[#This Row],[Acct]], dict[Key], dict[Name],,0)</f>
        <v>银行</v>
      </c>
      <c r="R1317" t="str">
        <f>_xlfn.XLOOKUP(Jnl[[#This Row],[Vehicle]],config_vehicle[Id], config_vehicle[Name],,0)</f>
        <v>小月号</v>
      </c>
      <c r="S1317" t="str">
        <f>_xlfn.XLOOKUP(Jnl[[#This Row],[Division]],config_div[Id], config_div[Name],,0)</f>
        <v>明月村</v>
      </c>
      <c r="T1317" t="str">
        <f>IF(Jnl[[#This Row],[TrxDate]]&lt;=stmt_BS_date_end, "In", "Out")</f>
        <v>In</v>
      </c>
      <c r="U1317" t="str">
        <f>IF(Jnl[[#This Row],[TrxDate]]&lt;debug_date_start, "prior", IF(Jnl[[#This Row],[TrxDate]]&gt;debug_date_end, "post", "curr"))</f>
        <v>curr</v>
      </c>
    </row>
    <row r="1318" spans="1:21">
      <c r="A1318" s="11" t="s">
        <v>1733</v>
      </c>
      <c r="B1318" s="7">
        <f>_xlfn.XLOOKUP(Jnl[[#This Row],[TrxId]], Trx[Id], Trx[Date],,0)</f>
        <v>46081</v>
      </c>
      <c r="C1318" s="7" t="str">
        <f>_xlfn.XLOOKUP(Jnl[[#This Row],[TrxId]], Trx[Id], Trx[Division],,0)</f>
        <v>MY</v>
      </c>
      <c r="D1318" s="7" t="str">
        <f>_xlfn.XLOOKUP(Jnl[[#This Row],[TrxId]], Trx[Id], Trx[Action],,0)</f>
        <v>演出</v>
      </c>
      <c r="E1318" s="26" t="s">
        <v>87</v>
      </c>
      <c r="F1318" s="11" t="s">
        <v>590</v>
      </c>
      <c r="G1318" s="11" t="s">
        <v>903</v>
      </c>
      <c r="H1318" s="72">
        <v>-900</v>
      </c>
      <c r="I1318" s="5" t="b">
        <f>AND(Jnl[[#This Row],[TrxId]]&lt;&gt;"",Jnl[[#This Row],[Acct]]&lt;&gt;"",Jnl[[#This Row],[Item]]&lt;&gt;"",ISNUMBER(Jnl[[#This Row],[Bal]]))</f>
        <v>1</v>
      </c>
      <c r="J1318" s="10">
        <f>IF(Jnl[[#This Row],[BSLv0]]="A",1,-1)*Jnl[[#This Row],[Bal]]</f>
        <v>-900</v>
      </c>
      <c r="K1318" t="str">
        <f>_xlfn.XLOOKUP(Jnl[[#This Row],[Acct]], config_BS[Acct], config_BS[Lv0],,0)</f>
        <v>A</v>
      </c>
      <c r="L1318" t="str">
        <f>_xlfn.XLOOKUP(Jnl[[#This Row],[Acct]], config_BS[Acct], config_BS[Lv1],,0)</f>
        <v>Assets</v>
      </c>
      <c r="M1318" t="str">
        <f>_xlfn.XLOOKUP(Jnl[[#This Row],[Acct]], config_BS[Acct], config_BS[Lv2],,0)</f>
        <v>Cash alike</v>
      </c>
      <c r="N1318" t="str">
        <f>_xlfn.XLOOKUP(Jnl[[#This Row],[TrxId]], Trx[Id], Trx[IncNode], ,0)</f>
        <v>Cost</v>
      </c>
      <c r="O1318" t="str">
        <f>_xlfn.XLOOKUP(Jnl[[#This Row],[IncNode]], config_IS[Node], config_IS[Type],,0)</f>
        <v>Op</v>
      </c>
      <c r="P1318" t="str">
        <f>_xlfn.XLOOKUP(Jnl[[#This Row],[BSLv2]], dict[Key], dict[Name],,0)</f>
        <v>0.现金及类似</v>
      </c>
      <c r="Q1318" t="str">
        <f>_xlfn.XLOOKUP(Jnl[[#This Row],[Acct]], dict[Key], dict[Name],,0)</f>
        <v>银行</v>
      </c>
      <c r="R1318" t="str">
        <f>_xlfn.XLOOKUP(Jnl[[#This Row],[Vehicle]],config_vehicle[Id], config_vehicle[Name],,0)</f>
        <v>小月号</v>
      </c>
      <c r="S1318" t="str">
        <f>_xlfn.XLOOKUP(Jnl[[#This Row],[Division]],config_div[Id], config_div[Name],,0)</f>
        <v>明月村</v>
      </c>
      <c r="T1318" t="str">
        <f>IF(Jnl[[#This Row],[TrxDate]]&lt;=stmt_BS_date_end, "In", "Out")</f>
        <v>In</v>
      </c>
      <c r="U1318" t="str">
        <f>IF(Jnl[[#This Row],[TrxDate]]&lt;debug_date_start, "prior", IF(Jnl[[#This Row],[TrxDate]]&gt;debug_date_end, "post", "curr"))</f>
        <v>curr</v>
      </c>
    </row>
    <row r="1319" spans="1:21">
      <c r="A1319" s="11" t="s">
        <v>1735</v>
      </c>
      <c r="B1319" s="7">
        <f>_xlfn.XLOOKUP(Jnl[[#This Row],[TrxId]], Trx[Id], Trx[Date],,0)</f>
        <v>46081</v>
      </c>
      <c r="C1319" s="7" t="str">
        <f>_xlfn.XLOOKUP(Jnl[[#This Row],[TrxId]], Trx[Id], Trx[Division],,0)</f>
        <v>MY</v>
      </c>
      <c r="D1319" s="7" t="str">
        <f>_xlfn.XLOOKUP(Jnl[[#This Row],[TrxId]], Trx[Id], Trx[Action],,0)</f>
        <v>退款-客人</v>
      </c>
      <c r="E1319" s="26" t="s">
        <v>83</v>
      </c>
      <c r="F1319" s="11" t="s">
        <v>593</v>
      </c>
      <c r="G1319" s="11" t="s">
        <v>1065</v>
      </c>
      <c r="H1319" s="72">
        <v>500</v>
      </c>
      <c r="I1319" s="5" t="b">
        <f>AND(Jnl[[#This Row],[TrxId]]&lt;&gt;"",Jnl[[#This Row],[Acct]]&lt;&gt;"",Jnl[[#This Row],[Item]]&lt;&gt;"",ISNUMBER(Jnl[[#This Row],[Bal]]))</f>
        <v>1</v>
      </c>
      <c r="J1319" s="10">
        <f>IF(Jnl[[#This Row],[BSLv0]]="A",1,-1)*Jnl[[#This Row],[Bal]]</f>
        <v>500</v>
      </c>
      <c r="K1319" t="str">
        <f>_xlfn.XLOOKUP(Jnl[[#This Row],[Acct]], config_BS[Acct], config_BS[Lv0],,0)</f>
        <v>A</v>
      </c>
      <c r="L1319" t="str">
        <f>_xlfn.XLOOKUP(Jnl[[#This Row],[Acct]], config_BS[Acct], config_BS[Lv1],,0)</f>
        <v>Assets</v>
      </c>
      <c r="M1319" t="str">
        <f>_xlfn.XLOOKUP(Jnl[[#This Row],[Acct]], config_BS[Acct], config_BS[Lv2],,0)</f>
        <v>Rec-Pay</v>
      </c>
      <c r="N1319" t="str">
        <f>_xlfn.XLOOKUP(Jnl[[#This Row],[TrxId]], Trx[Id], Trx[IncNode], ,0)</f>
        <v>Revenue</v>
      </c>
      <c r="O1319" t="str">
        <f>_xlfn.XLOOKUP(Jnl[[#This Row],[IncNode]], config_IS[Node], config_IS[Type],,0)</f>
        <v>Op</v>
      </c>
      <c r="P1319" t="str">
        <f>_xlfn.XLOOKUP(Jnl[[#This Row],[BSLv2]], dict[Key], dict[Name],,0)</f>
        <v>1.应收-应付</v>
      </c>
      <c r="Q1319" t="str">
        <f>_xlfn.XLOOKUP(Jnl[[#This Row],[Acct]], dict[Key], dict[Name],,0)</f>
        <v>应收-一般</v>
      </c>
      <c r="R1319" t="str">
        <f>_xlfn.XLOOKUP(Jnl[[#This Row],[Vehicle]],config_vehicle[Id], config_vehicle[Name],,0)</f>
        <v>远家文化</v>
      </c>
      <c r="S1319" t="str">
        <f>_xlfn.XLOOKUP(Jnl[[#This Row],[Division]],config_div[Id], config_div[Name],,0)</f>
        <v>明月村</v>
      </c>
      <c r="T1319" t="str">
        <f>IF(Jnl[[#This Row],[TrxDate]]&lt;=stmt_BS_date_end, "In", "Out")</f>
        <v>In</v>
      </c>
      <c r="U1319" t="str">
        <f>IF(Jnl[[#This Row],[TrxDate]]&lt;debug_date_start, "prior", IF(Jnl[[#This Row],[TrxDate]]&gt;debug_date_end, "post", "curr"))</f>
        <v>curr</v>
      </c>
    </row>
    <row r="1320" spans="1:21">
      <c r="A1320" s="11" t="s">
        <v>1735</v>
      </c>
      <c r="B1320" s="7">
        <f>_xlfn.XLOOKUP(Jnl[[#This Row],[TrxId]], Trx[Id], Trx[Date],,0)</f>
        <v>46081</v>
      </c>
      <c r="C1320" s="7" t="str">
        <f>_xlfn.XLOOKUP(Jnl[[#This Row],[TrxId]], Trx[Id], Trx[Division],,0)</f>
        <v>MY</v>
      </c>
      <c r="D1320" s="7" t="str">
        <f>_xlfn.XLOOKUP(Jnl[[#This Row],[TrxId]], Trx[Id], Trx[Action],,0)</f>
        <v>退款-客人</v>
      </c>
      <c r="E1320" s="26" t="s">
        <v>87</v>
      </c>
      <c r="F1320" s="11" t="s">
        <v>590</v>
      </c>
      <c r="G1320" s="11" t="s">
        <v>903</v>
      </c>
      <c r="H1320" s="72">
        <v>-500</v>
      </c>
      <c r="I1320" s="5" t="b">
        <f>AND(Jnl[[#This Row],[TrxId]]&lt;&gt;"",Jnl[[#This Row],[Acct]]&lt;&gt;"",Jnl[[#This Row],[Item]]&lt;&gt;"",ISNUMBER(Jnl[[#This Row],[Bal]]))</f>
        <v>1</v>
      </c>
      <c r="J1320" s="10">
        <f>IF(Jnl[[#This Row],[BSLv0]]="A",1,-1)*Jnl[[#This Row],[Bal]]</f>
        <v>-500</v>
      </c>
      <c r="K1320" t="str">
        <f>_xlfn.XLOOKUP(Jnl[[#This Row],[Acct]], config_BS[Acct], config_BS[Lv0],,0)</f>
        <v>A</v>
      </c>
      <c r="L1320" t="str">
        <f>_xlfn.XLOOKUP(Jnl[[#This Row],[Acct]], config_BS[Acct], config_BS[Lv1],,0)</f>
        <v>Assets</v>
      </c>
      <c r="M1320" t="str">
        <f>_xlfn.XLOOKUP(Jnl[[#This Row],[Acct]], config_BS[Acct], config_BS[Lv2],,0)</f>
        <v>Cash alike</v>
      </c>
      <c r="N1320" t="str">
        <f>_xlfn.XLOOKUP(Jnl[[#This Row],[TrxId]], Trx[Id], Trx[IncNode], ,0)</f>
        <v>Revenue</v>
      </c>
      <c r="O1320" t="str">
        <f>_xlfn.XLOOKUP(Jnl[[#This Row],[IncNode]], config_IS[Node], config_IS[Type],,0)</f>
        <v>Op</v>
      </c>
      <c r="P1320" t="str">
        <f>_xlfn.XLOOKUP(Jnl[[#This Row],[BSLv2]], dict[Key], dict[Name],,0)</f>
        <v>0.现金及类似</v>
      </c>
      <c r="Q1320" t="str">
        <f>_xlfn.XLOOKUP(Jnl[[#This Row],[Acct]], dict[Key], dict[Name],,0)</f>
        <v>银行</v>
      </c>
      <c r="R1320" t="str">
        <f>_xlfn.XLOOKUP(Jnl[[#This Row],[Vehicle]],config_vehicle[Id], config_vehicle[Name],,0)</f>
        <v>小月号</v>
      </c>
      <c r="S1320" t="str">
        <f>_xlfn.XLOOKUP(Jnl[[#This Row],[Division]],config_div[Id], config_div[Name],,0)</f>
        <v>明月村</v>
      </c>
      <c r="T1320" t="str">
        <f>IF(Jnl[[#This Row],[TrxDate]]&lt;=stmt_BS_date_end, "In", "Out")</f>
        <v>In</v>
      </c>
      <c r="U1320" t="str">
        <f>IF(Jnl[[#This Row],[TrxDate]]&lt;debug_date_start, "prior", IF(Jnl[[#This Row],[TrxDate]]&gt;debug_date_end, "post", "curr"))</f>
        <v>curr</v>
      </c>
    </row>
    <row r="1321" spans="1:21">
      <c r="A1321" s="11" t="s">
        <v>1736</v>
      </c>
      <c r="B1321" s="7">
        <f>_xlfn.XLOOKUP(Jnl[[#This Row],[TrxId]], Trx[Id], Trx[Date],,0)</f>
        <v>46081</v>
      </c>
      <c r="C1321" s="7" t="str">
        <f>_xlfn.XLOOKUP(Jnl[[#This Row],[TrxId]], Trx[Id], Trx[Division],,0)</f>
        <v>MY</v>
      </c>
      <c r="D1321" s="7" t="str">
        <f>_xlfn.XLOOKUP(Jnl[[#This Row],[TrxId]], Trx[Id], Trx[Action],,0)</f>
        <v>水果</v>
      </c>
      <c r="E1321" s="26" t="s">
        <v>87</v>
      </c>
      <c r="F1321" s="11" t="s">
        <v>590</v>
      </c>
      <c r="G1321" s="11" t="s">
        <v>903</v>
      </c>
      <c r="H1321" s="72">
        <v>-20</v>
      </c>
      <c r="I1321" s="5" t="b">
        <f>AND(Jnl[[#This Row],[TrxId]]&lt;&gt;"",Jnl[[#This Row],[Acct]]&lt;&gt;"",Jnl[[#This Row],[Item]]&lt;&gt;"",ISNUMBER(Jnl[[#This Row],[Bal]]))</f>
        <v>1</v>
      </c>
      <c r="J1321" s="10">
        <f>IF(Jnl[[#This Row],[BSLv0]]="A",1,-1)*Jnl[[#This Row],[Bal]]</f>
        <v>-20</v>
      </c>
      <c r="K1321" t="str">
        <f>_xlfn.XLOOKUP(Jnl[[#This Row],[Acct]], config_BS[Acct], config_BS[Lv0],,0)</f>
        <v>A</v>
      </c>
      <c r="L1321" t="str">
        <f>_xlfn.XLOOKUP(Jnl[[#This Row],[Acct]], config_BS[Acct], config_BS[Lv1],,0)</f>
        <v>Assets</v>
      </c>
      <c r="M1321" t="str">
        <f>_xlfn.XLOOKUP(Jnl[[#This Row],[Acct]], config_BS[Acct], config_BS[Lv2],,0)</f>
        <v>Cash alike</v>
      </c>
      <c r="N1321" t="str">
        <f>_xlfn.XLOOKUP(Jnl[[#This Row],[TrxId]], Trx[Id], Trx[IncNode], ,0)</f>
        <v>Cost</v>
      </c>
      <c r="O1321" t="str">
        <f>_xlfn.XLOOKUP(Jnl[[#This Row],[IncNode]], config_IS[Node], config_IS[Type],,0)</f>
        <v>Op</v>
      </c>
      <c r="P1321" t="str">
        <f>_xlfn.XLOOKUP(Jnl[[#This Row],[BSLv2]], dict[Key], dict[Name],,0)</f>
        <v>0.现金及类似</v>
      </c>
      <c r="Q1321" t="str">
        <f>_xlfn.XLOOKUP(Jnl[[#This Row],[Acct]], dict[Key], dict[Name],,0)</f>
        <v>银行</v>
      </c>
      <c r="R1321" t="str">
        <f>_xlfn.XLOOKUP(Jnl[[#This Row],[Vehicle]],config_vehicle[Id], config_vehicle[Name],,0)</f>
        <v>小月号</v>
      </c>
      <c r="S1321" t="str">
        <f>_xlfn.XLOOKUP(Jnl[[#This Row],[Division]],config_div[Id], config_div[Name],,0)</f>
        <v>明月村</v>
      </c>
      <c r="T1321" t="str">
        <f>IF(Jnl[[#This Row],[TrxDate]]&lt;=stmt_BS_date_end, "In", "Out")</f>
        <v>In</v>
      </c>
      <c r="U1321" t="str">
        <f>IF(Jnl[[#This Row],[TrxDate]]&lt;debug_date_start, "prior", IF(Jnl[[#This Row],[TrxDate]]&gt;debug_date_end, "post", "curr"))</f>
        <v>curr</v>
      </c>
    </row>
    <row r="1322" spans="1:21">
      <c r="A1322" s="11" t="s">
        <v>1738</v>
      </c>
      <c r="B1322" s="7">
        <f>_xlfn.XLOOKUP(Jnl[[#This Row],[TrxId]], Trx[Id], Trx[Date],,0)</f>
        <v>46081</v>
      </c>
      <c r="C1322" s="7" t="str">
        <f>_xlfn.XLOOKUP(Jnl[[#This Row],[TrxId]], Trx[Id], Trx[Division],,0)</f>
        <v>MY</v>
      </c>
      <c r="D1322" s="7" t="str">
        <f>_xlfn.XLOOKUP(Jnl[[#This Row],[TrxId]], Trx[Id], Trx[Action],,0)</f>
        <v>物流</v>
      </c>
      <c r="E1322" s="26" t="s">
        <v>87</v>
      </c>
      <c r="F1322" s="11" t="s">
        <v>590</v>
      </c>
      <c r="G1322" s="11" t="s">
        <v>903</v>
      </c>
      <c r="H1322" s="72">
        <v>-50.63</v>
      </c>
      <c r="I1322" s="5" t="b">
        <f>AND(Jnl[[#This Row],[TrxId]]&lt;&gt;"",Jnl[[#This Row],[Acct]]&lt;&gt;"",Jnl[[#This Row],[Item]]&lt;&gt;"",ISNUMBER(Jnl[[#This Row],[Bal]]))</f>
        <v>1</v>
      </c>
      <c r="J1322" s="10">
        <f>IF(Jnl[[#This Row],[BSLv0]]="A",1,-1)*Jnl[[#This Row],[Bal]]</f>
        <v>-50.63</v>
      </c>
      <c r="K1322" t="str">
        <f>_xlfn.XLOOKUP(Jnl[[#This Row],[Acct]], config_BS[Acct], config_BS[Lv0],,0)</f>
        <v>A</v>
      </c>
      <c r="L1322" t="str">
        <f>_xlfn.XLOOKUP(Jnl[[#This Row],[Acct]], config_BS[Acct], config_BS[Lv1],,0)</f>
        <v>Assets</v>
      </c>
      <c r="M1322" t="str">
        <f>_xlfn.XLOOKUP(Jnl[[#This Row],[Acct]], config_BS[Acct], config_BS[Lv2],,0)</f>
        <v>Cash alike</v>
      </c>
      <c r="N1322" t="str">
        <f>_xlfn.XLOOKUP(Jnl[[#This Row],[TrxId]], Trx[Id], Trx[IncNode], ,0)</f>
        <v>Expense</v>
      </c>
      <c r="O1322" t="str">
        <f>_xlfn.XLOOKUP(Jnl[[#This Row],[IncNode]], config_IS[Node], config_IS[Type],,0)</f>
        <v>Op</v>
      </c>
      <c r="P1322" t="str">
        <f>_xlfn.XLOOKUP(Jnl[[#This Row],[BSLv2]], dict[Key], dict[Name],,0)</f>
        <v>0.现金及类似</v>
      </c>
      <c r="Q1322" t="str">
        <f>_xlfn.XLOOKUP(Jnl[[#This Row],[Acct]], dict[Key], dict[Name],,0)</f>
        <v>银行</v>
      </c>
      <c r="R1322" t="str">
        <f>_xlfn.XLOOKUP(Jnl[[#This Row],[Vehicle]],config_vehicle[Id], config_vehicle[Name],,0)</f>
        <v>小月号</v>
      </c>
      <c r="S1322" t="str">
        <f>_xlfn.XLOOKUP(Jnl[[#This Row],[Division]],config_div[Id], config_div[Name],,0)</f>
        <v>明月村</v>
      </c>
      <c r="T1322" t="str">
        <f>IF(Jnl[[#This Row],[TrxDate]]&lt;=stmt_BS_date_end, "In", "Out")</f>
        <v>In</v>
      </c>
      <c r="U1322" t="str">
        <f>IF(Jnl[[#This Row],[TrxDate]]&lt;debug_date_start, "prior", IF(Jnl[[#This Row],[TrxDate]]&gt;debug_date_end, "post", "curr"))</f>
        <v>curr</v>
      </c>
    </row>
    <row r="1323" spans="1:21">
      <c r="A1323" s="11" t="s">
        <v>1739</v>
      </c>
      <c r="B1323" s="7">
        <f>_xlfn.XLOOKUP(Jnl[[#This Row],[TrxId]], Trx[Id], Trx[Date],,0)</f>
        <v>46081</v>
      </c>
      <c r="C1323" s="7" t="str">
        <f>_xlfn.XLOOKUP(Jnl[[#This Row],[TrxId]], Trx[Id], Trx[Division],,0)</f>
        <v>MY</v>
      </c>
      <c r="D1323" s="7" t="str">
        <f>_xlfn.XLOOKUP(Jnl[[#This Row],[TrxId]], Trx[Id], Trx[Action],,0)</f>
        <v>收款</v>
      </c>
      <c r="E1323" s="26" t="s">
        <v>83</v>
      </c>
      <c r="F1323" s="11" t="s">
        <v>593</v>
      </c>
      <c r="G1323" s="11" t="s">
        <v>1065</v>
      </c>
      <c r="H1323" s="72">
        <v>-1000</v>
      </c>
      <c r="I1323" s="5" t="b">
        <f>AND(Jnl[[#This Row],[TrxId]]&lt;&gt;"",Jnl[[#This Row],[Acct]]&lt;&gt;"",Jnl[[#This Row],[Item]]&lt;&gt;"",ISNUMBER(Jnl[[#This Row],[Bal]]))</f>
        <v>1</v>
      </c>
      <c r="J1323" s="10">
        <f>IF(Jnl[[#This Row],[BSLv0]]="A",1,-1)*Jnl[[#This Row],[Bal]]</f>
        <v>-1000</v>
      </c>
      <c r="K1323" t="str">
        <f>_xlfn.XLOOKUP(Jnl[[#This Row],[Acct]], config_BS[Acct], config_BS[Lv0],,0)</f>
        <v>A</v>
      </c>
      <c r="L1323" t="str">
        <f>_xlfn.XLOOKUP(Jnl[[#This Row],[Acct]], config_BS[Acct], config_BS[Lv1],,0)</f>
        <v>Assets</v>
      </c>
      <c r="M1323" t="str">
        <f>_xlfn.XLOOKUP(Jnl[[#This Row],[Acct]], config_BS[Acct], config_BS[Lv2],,0)</f>
        <v>Rec-Pay</v>
      </c>
      <c r="N1323" t="str">
        <f>_xlfn.XLOOKUP(Jnl[[#This Row],[TrxId]], Trx[Id], Trx[IncNode], ,0)</f>
        <v>Revenue</v>
      </c>
      <c r="O1323" t="str">
        <f>_xlfn.XLOOKUP(Jnl[[#This Row],[IncNode]], config_IS[Node], config_IS[Type],,0)</f>
        <v>Op</v>
      </c>
      <c r="P1323" t="str">
        <f>_xlfn.XLOOKUP(Jnl[[#This Row],[BSLv2]], dict[Key], dict[Name],,0)</f>
        <v>1.应收-应付</v>
      </c>
      <c r="Q1323" t="str">
        <f>_xlfn.XLOOKUP(Jnl[[#This Row],[Acct]], dict[Key], dict[Name],,0)</f>
        <v>应收-一般</v>
      </c>
      <c r="R1323" t="str">
        <f>_xlfn.XLOOKUP(Jnl[[#This Row],[Vehicle]],config_vehicle[Id], config_vehicle[Name],,0)</f>
        <v>远家文化</v>
      </c>
      <c r="S1323" t="str">
        <f>_xlfn.XLOOKUP(Jnl[[#This Row],[Division]],config_div[Id], config_div[Name],,0)</f>
        <v>明月村</v>
      </c>
      <c r="T1323" t="str">
        <f>IF(Jnl[[#This Row],[TrxDate]]&lt;=stmt_BS_date_end, "In", "Out")</f>
        <v>In</v>
      </c>
      <c r="U1323" t="str">
        <f>IF(Jnl[[#This Row],[TrxDate]]&lt;debug_date_start, "prior", IF(Jnl[[#This Row],[TrxDate]]&gt;debug_date_end, "post", "curr"))</f>
        <v>curr</v>
      </c>
    </row>
    <row r="1324" spans="1:21">
      <c r="A1324" s="11" t="s">
        <v>1739</v>
      </c>
      <c r="B1324" s="7">
        <f>_xlfn.XLOOKUP(Jnl[[#This Row],[TrxId]], Trx[Id], Trx[Date],,0)</f>
        <v>46081</v>
      </c>
      <c r="C1324" s="7" t="str">
        <f>_xlfn.XLOOKUP(Jnl[[#This Row],[TrxId]], Trx[Id], Trx[Division],,0)</f>
        <v>MY</v>
      </c>
      <c r="D1324" s="7" t="str">
        <f>_xlfn.XLOOKUP(Jnl[[#This Row],[TrxId]], Trx[Id], Trx[Action],,0)</f>
        <v>收款</v>
      </c>
      <c r="E1324" s="26" t="s">
        <v>87</v>
      </c>
      <c r="F1324" s="11" t="s">
        <v>590</v>
      </c>
      <c r="G1324" s="11" t="s">
        <v>903</v>
      </c>
      <c r="H1324" s="72">
        <v>1000</v>
      </c>
      <c r="I1324" s="5" t="b">
        <f>AND(Jnl[[#This Row],[TrxId]]&lt;&gt;"",Jnl[[#This Row],[Acct]]&lt;&gt;"",Jnl[[#This Row],[Item]]&lt;&gt;"",ISNUMBER(Jnl[[#This Row],[Bal]]))</f>
        <v>1</v>
      </c>
      <c r="J1324" s="10">
        <f>IF(Jnl[[#This Row],[BSLv0]]="A",1,-1)*Jnl[[#This Row],[Bal]]</f>
        <v>1000</v>
      </c>
      <c r="K1324" t="str">
        <f>_xlfn.XLOOKUP(Jnl[[#This Row],[Acct]], config_BS[Acct], config_BS[Lv0],,0)</f>
        <v>A</v>
      </c>
      <c r="L1324" t="str">
        <f>_xlfn.XLOOKUP(Jnl[[#This Row],[Acct]], config_BS[Acct], config_BS[Lv1],,0)</f>
        <v>Assets</v>
      </c>
      <c r="M1324" t="str">
        <f>_xlfn.XLOOKUP(Jnl[[#This Row],[Acct]], config_BS[Acct], config_BS[Lv2],,0)</f>
        <v>Cash alike</v>
      </c>
      <c r="N1324" t="str">
        <f>_xlfn.XLOOKUP(Jnl[[#This Row],[TrxId]], Trx[Id], Trx[IncNode], ,0)</f>
        <v>Revenue</v>
      </c>
      <c r="O1324" t="str">
        <f>_xlfn.XLOOKUP(Jnl[[#This Row],[IncNode]], config_IS[Node], config_IS[Type],,0)</f>
        <v>Op</v>
      </c>
      <c r="P1324" t="str">
        <f>_xlfn.XLOOKUP(Jnl[[#This Row],[BSLv2]], dict[Key], dict[Name],,0)</f>
        <v>0.现金及类似</v>
      </c>
      <c r="Q1324" t="str">
        <f>_xlfn.XLOOKUP(Jnl[[#This Row],[Acct]], dict[Key], dict[Name],,0)</f>
        <v>银行</v>
      </c>
      <c r="R1324" t="str">
        <f>_xlfn.XLOOKUP(Jnl[[#This Row],[Vehicle]],config_vehicle[Id], config_vehicle[Name],,0)</f>
        <v>小月号</v>
      </c>
      <c r="S1324" t="str">
        <f>_xlfn.XLOOKUP(Jnl[[#This Row],[Division]],config_div[Id], config_div[Name],,0)</f>
        <v>明月村</v>
      </c>
      <c r="T1324" t="str">
        <f>IF(Jnl[[#This Row],[TrxDate]]&lt;=stmt_BS_date_end, "In", "Out")</f>
        <v>In</v>
      </c>
      <c r="U1324" t="str">
        <f>IF(Jnl[[#This Row],[TrxDate]]&lt;debug_date_start, "prior", IF(Jnl[[#This Row],[TrxDate]]&gt;debug_date_end, "post", "curr"))</f>
        <v>curr</v>
      </c>
    </row>
    <row r="1325" spans="1:21">
      <c r="A1325" s="11" t="s">
        <v>1740</v>
      </c>
      <c r="B1325" s="7">
        <f>_xlfn.XLOOKUP(Jnl[[#This Row],[TrxId]], Trx[Id], Trx[Date],,0)</f>
        <v>46081</v>
      </c>
      <c r="C1325" s="7" t="str">
        <f>_xlfn.XLOOKUP(Jnl[[#This Row],[TrxId]], Trx[Id], Trx[Division],,0)</f>
        <v>MY</v>
      </c>
      <c r="D1325" s="7" t="str">
        <f>_xlfn.XLOOKUP(Jnl[[#This Row],[TrxId]], Trx[Id], Trx[Action],,0)</f>
        <v>其他材料</v>
      </c>
      <c r="E1325" s="26" t="s">
        <v>87</v>
      </c>
      <c r="F1325" s="11" t="s">
        <v>590</v>
      </c>
      <c r="G1325" s="11" t="s">
        <v>903</v>
      </c>
      <c r="H1325" s="72">
        <v>-340</v>
      </c>
      <c r="I1325" s="5" t="b">
        <f>AND(Jnl[[#This Row],[TrxId]]&lt;&gt;"",Jnl[[#This Row],[Acct]]&lt;&gt;"",Jnl[[#This Row],[Item]]&lt;&gt;"",ISNUMBER(Jnl[[#This Row],[Bal]]))</f>
        <v>1</v>
      </c>
      <c r="J1325" s="10">
        <f>IF(Jnl[[#This Row],[BSLv0]]="A",1,-1)*Jnl[[#This Row],[Bal]]</f>
        <v>-340</v>
      </c>
      <c r="K1325" t="str">
        <f>_xlfn.XLOOKUP(Jnl[[#This Row],[Acct]], config_BS[Acct], config_BS[Lv0],,0)</f>
        <v>A</v>
      </c>
      <c r="L1325" t="str">
        <f>_xlfn.XLOOKUP(Jnl[[#This Row],[Acct]], config_BS[Acct], config_BS[Lv1],,0)</f>
        <v>Assets</v>
      </c>
      <c r="M1325" t="str">
        <f>_xlfn.XLOOKUP(Jnl[[#This Row],[Acct]], config_BS[Acct], config_BS[Lv2],,0)</f>
        <v>Cash alike</v>
      </c>
      <c r="N1325" t="str">
        <f>_xlfn.XLOOKUP(Jnl[[#This Row],[TrxId]], Trx[Id], Trx[IncNode], ,0)</f>
        <v>Cost</v>
      </c>
      <c r="O1325" t="str">
        <f>_xlfn.XLOOKUP(Jnl[[#This Row],[IncNode]], config_IS[Node], config_IS[Type],,0)</f>
        <v>Op</v>
      </c>
      <c r="P1325" t="str">
        <f>_xlfn.XLOOKUP(Jnl[[#This Row],[BSLv2]], dict[Key], dict[Name],,0)</f>
        <v>0.现金及类似</v>
      </c>
      <c r="Q1325" t="str">
        <f>_xlfn.XLOOKUP(Jnl[[#This Row],[Acct]], dict[Key], dict[Name],,0)</f>
        <v>银行</v>
      </c>
      <c r="R1325" t="str">
        <f>_xlfn.XLOOKUP(Jnl[[#This Row],[Vehicle]],config_vehicle[Id], config_vehicle[Name],,0)</f>
        <v>小月号</v>
      </c>
      <c r="S1325" t="str">
        <f>_xlfn.XLOOKUP(Jnl[[#This Row],[Division]],config_div[Id], config_div[Name],,0)</f>
        <v>明月村</v>
      </c>
      <c r="T1325" t="str">
        <f>IF(Jnl[[#This Row],[TrxDate]]&lt;=stmt_BS_date_end, "In", "Out")</f>
        <v>In</v>
      </c>
      <c r="U1325" t="str">
        <f>IF(Jnl[[#This Row],[TrxDate]]&lt;debug_date_start, "prior", IF(Jnl[[#This Row],[TrxDate]]&gt;debug_date_end, "post", "curr"))</f>
        <v>curr</v>
      </c>
    </row>
    <row r="1326" spans="1:21">
      <c r="A1326" s="11" t="s">
        <v>1741</v>
      </c>
      <c r="B1326" s="7">
        <f>_xlfn.XLOOKUP(Jnl[[#This Row],[TrxId]], Trx[Id], Trx[Date],,0)</f>
        <v>46081</v>
      </c>
      <c r="C1326" s="7" t="str">
        <f>_xlfn.XLOOKUP(Jnl[[#This Row],[TrxId]], Trx[Id], Trx[Division],,0)</f>
        <v>MY</v>
      </c>
      <c r="D1326" s="7" t="str">
        <f>_xlfn.XLOOKUP(Jnl[[#This Row],[TrxId]], Trx[Id], Trx[Action],,0)</f>
        <v>退款-客人</v>
      </c>
      <c r="E1326" s="26" t="s">
        <v>83</v>
      </c>
      <c r="F1326" s="11" t="s">
        <v>593</v>
      </c>
      <c r="G1326" s="11" t="s">
        <v>1065</v>
      </c>
      <c r="H1326" s="72">
        <v>1000</v>
      </c>
      <c r="I1326" s="5" t="b">
        <f>AND(Jnl[[#This Row],[TrxId]]&lt;&gt;"",Jnl[[#This Row],[Acct]]&lt;&gt;"",Jnl[[#This Row],[Item]]&lt;&gt;"",ISNUMBER(Jnl[[#This Row],[Bal]]))</f>
        <v>1</v>
      </c>
      <c r="J1326" s="10">
        <f>IF(Jnl[[#This Row],[BSLv0]]="A",1,-1)*Jnl[[#This Row],[Bal]]</f>
        <v>1000</v>
      </c>
      <c r="K1326" t="str">
        <f>_xlfn.XLOOKUP(Jnl[[#This Row],[Acct]], config_BS[Acct], config_BS[Lv0],,0)</f>
        <v>A</v>
      </c>
      <c r="L1326" t="str">
        <f>_xlfn.XLOOKUP(Jnl[[#This Row],[Acct]], config_BS[Acct], config_BS[Lv1],,0)</f>
        <v>Assets</v>
      </c>
      <c r="M1326" t="str">
        <f>_xlfn.XLOOKUP(Jnl[[#This Row],[Acct]], config_BS[Acct], config_BS[Lv2],,0)</f>
        <v>Rec-Pay</v>
      </c>
      <c r="N1326" t="str">
        <f>_xlfn.XLOOKUP(Jnl[[#This Row],[TrxId]], Trx[Id], Trx[IncNode], ,0)</f>
        <v>Revenue</v>
      </c>
      <c r="O1326" t="str">
        <f>_xlfn.XLOOKUP(Jnl[[#This Row],[IncNode]], config_IS[Node], config_IS[Type],,0)</f>
        <v>Op</v>
      </c>
      <c r="P1326" t="str">
        <f>_xlfn.XLOOKUP(Jnl[[#This Row],[BSLv2]], dict[Key], dict[Name],,0)</f>
        <v>1.应收-应付</v>
      </c>
      <c r="Q1326" t="str">
        <f>_xlfn.XLOOKUP(Jnl[[#This Row],[Acct]], dict[Key], dict[Name],,0)</f>
        <v>应收-一般</v>
      </c>
      <c r="R1326" t="str">
        <f>_xlfn.XLOOKUP(Jnl[[#This Row],[Vehicle]],config_vehicle[Id], config_vehicle[Name],,0)</f>
        <v>远家文化</v>
      </c>
      <c r="S1326" t="str">
        <f>_xlfn.XLOOKUP(Jnl[[#This Row],[Division]],config_div[Id], config_div[Name],,0)</f>
        <v>明月村</v>
      </c>
      <c r="T1326" t="str">
        <f>IF(Jnl[[#This Row],[TrxDate]]&lt;=stmt_BS_date_end, "In", "Out")</f>
        <v>In</v>
      </c>
      <c r="U1326" t="str">
        <f>IF(Jnl[[#This Row],[TrxDate]]&lt;debug_date_start, "prior", IF(Jnl[[#This Row],[TrxDate]]&gt;debug_date_end, "post", "curr"))</f>
        <v>curr</v>
      </c>
    </row>
    <row r="1327" spans="1:21">
      <c r="A1327" s="11" t="s">
        <v>1741</v>
      </c>
      <c r="B1327" s="7">
        <f>_xlfn.XLOOKUP(Jnl[[#This Row],[TrxId]], Trx[Id], Trx[Date],,0)</f>
        <v>46081</v>
      </c>
      <c r="C1327" s="7" t="str">
        <f>_xlfn.XLOOKUP(Jnl[[#This Row],[TrxId]], Trx[Id], Trx[Division],,0)</f>
        <v>MY</v>
      </c>
      <c r="D1327" s="7" t="str">
        <f>_xlfn.XLOOKUP(Jnl[[#This Row],[TrxId]], Trx[Id], Trx[Action],,0)</f>
        <v>退款-客人</v>
      </c>
      <c r="E1327" s="26" t="s">
        <v>87</v>
      </c>
      <c r="F1327" s="11" t="s">
        <v>590</v>
      </c>
      <c r="G1327" s="11" t="s">
        <v>903</v>
      </c>
      <c r="H1327" s="72">
        <v>-44</v>
      </c>
      <c r="I1327" s="5" t="b">
        <f>AND(Jnl[[#This Row],[TrxId]]&lt;&gt;"",Jnl[[#This Row],[Acct]]&lt;&gt;"",Jnl[[#This Row],[Item]]&lt;&gt;"",ISNUMBER(Jnl[[#This Row],[Bal]]))</f>
        <v>1</v>
      </c>
      <c r="J1327" s="10">
        <f>IF(Jnl[[#This Row],[BSLv0]]="A",1,-1)*Jnl[[#This Row],[Bal]]</f>
        <v>-44</v>
      </c>
      <c r="K1327" t="str">
        <f>_xlfn.XLOOKUP(Jnl[[#This Row],[Acct]], config_BS[Acct], config_BS[Lv0],,0)</f>
        <v>A</v>
      </c>
      <c r="L1327" t="str">
        <f>_xlfn.XLOOKUP(Jnl[[#This Row],[Acct]], config_BS[Acct], config_BS[Lv1],,0)</f>
        <v>Assets</v>
      </c>
      <c r="M1327" t="str">
        <f>_xlfn.XLOOKUP(Jnl[[#This Row],[Acct]], config_BS[Acct], config_BS[Lv2],,0)</f>
        <v>Cash alike</v>
      </c>
      <c r="N1327" t="str">
        <f>_xlfn.XLOOKUP(Jnl[[#This Row],[TrxId]], Trx[Id], Trx[IncNode], ,0)</f>
        <v>Revenue</v>
      </c>
      <c r="O1327" t="str">
        <f>_xlfn.XLOOKUP(Jnl[[#This Row],[IncNode]], config_IS[Node], config_IS[Type],,0)</f>
        <v>Op</v>
      </c>
      <c r="P1327" t="str">
        <f>_xlfn.XLOOKUP(Jnl[[#This Row],[BSLv2]], dict[Key], dict[Name],,0)</f>
        <v>0.现金及类似</v>
      </c>
      <c r="Q1327" t="str">
        <f>_xlfn.XLOOKUP(Jnl[[#This Row],[Acct]], dict[Key], dict[Name],,0)</f>
        <v>银行</v>
      </c>
      <c r="R1327" t="str">
        <f>_xlfn.XLOOKUP(Jnl[[#This Row],[Vehicle]],config_vehicle[Id], config_vehicle[Name],,0)</f>
        <v>小月号</v>
      </c>
      <c r="S1327" t="str">
        <f>_xlfn.XLOOKUP(Jnl[[#This Row],[Division]],config_div[Id], config_div[Name],,0)</f>
        <v>明月村</v>
      </c>
      <c r="T1327" t="str">
        <f>IF(Jnl[[#This Row],[TrxDate]]&lt;=stmt_BS_date_end, "In", "Out")</f>
        <v>In</v>
      </c>
      <c r="U1327" t="str">
        <f>IF(Jnl[[#This Row],[TrxDate]]&lt;debug_date_start, "prior", IF(Jnl[[#This Row],[TrxDate]]&gt;debug_date_end, "post", "curr"))</f>
        <v>curr</v>
      </c>
    </row>
    <row r="1328" spans="1:21">
      <c r="A1328" s="11" t="s">
        <v>1741</v>
      </c>
      <c r="B1328" s="7">
        <f>_xlfn.XLOOKUP(Jnl[[#This Row],[TrxId]], Trx[Id], Trx[Date],,0)</f>
        <v>46081</v>
      </c>
      <c r="C1328" s="7" t="str">
        <f>_xlfn.XLOOKUP(Jnl[[#This Row],[TrxId]], Trx[Id], Trx[Division],,0)</f>
        <v>MY</v>
      </c>
      <c r="D1328" s="7" t="str">
        <f>_xlfn.XLOOKUP(Jnl[[#This Row],[TrxId]], Trx[Id], Trx[Action],,0)</f>
        <v>退款-客人</v>
      </c>
      <c r="E1328" s="26" t="s">
        <v>83</v>
      </c>
      <c r="F1328" s="11" t="s">
        <v>593</v>
      </c>
      <c r="G1328" s="11" t="s">
        <v>947</v>
      </c>
      <c r="H1328" s="72">
        <v>-956</v>
      </c>
      <c r="I1328" s="5" t="b">
        <f>AND(Jnl[[#This Row],[TrxId]]&lt;&gt;"",Jnl[[#This Row],[Acct]]&lt;&gt;"",Jnl[[#This Row],[Item]]&lt;&gt;"",ISNUMBER(Jnl[[#This Row],[Bal]]))</f>
        <v>1</v>
      </c>
      <c r="J1328" s="10">
        <f>IF(Jnl[[#This Row],[BSLv0]]="A",1,-1)*Jnl[[#This Row],[Bal]]</f>
        <v>-956</v>
      </c>
      <c r="K1328" t="str">
        <f>_xlfn.XLOOKUP(Jnl[[#This Row],[Acct]], config_BS[Acct], config_BS[Lv0],,0)</f>
        <v>A</v>
      </c>
      <c r="L1328" t="str">
        <f>_xlfn.XLOOKUP(Jnl[[#This Row],[Acct]], config_BS[Acct], config_BS[Lv1],,0)</f>
        <v>Assets</v>
      </c>
      <c r="M1328" t="str">
        <f>_xlfn.XLOOKUP(Jnl[[#This Row],[Acct]], config_BS[Acct], config_BS[Lv2],,0)</f>
        <v>Rec-Pay</v>
      </c>
      <c r="N1328" t="str">
        <f>_xlfn.XLOOKUP(Jnl[[#This Row],[TrxId]], Trx[Id], Trx[IncNode], ,0)</f>
        <v>Revenue</v>
      </c>
      <c r="O1328" t="str">
        <f>_xlfn.XLOOKUP(Jnl[[#This Row],[IncNode]], config_IS[Node], config_IS[Type],,0)</f>
        <v>Op</v>
      </c>
      <c r="P1328" t="str">
        <f>_xlfn.XLOOKUP(Jnl[[#This Row],[BSLv2]], dict[Key], dict[Name],,0)</f>
        <v>1.应收-应付</v>
      </c>
      <c r="Q1328" t="str">
        <f>_xlfn.XLOOKUP(Jnl[[#This Row],[Acct]], dict[Key], dict[Name],,0)</f>
        <v>应收-一般</v>
      </c>
      <c r="R1328" t="str">
        <f>_xlfn.XLOOKUP(Jnl[[#This Row],[Vehicle]],config_vehicle[Id], config_vehicle[Name],,0)</f>
        <v>远家文化</v>
      </c>
      <c r="S1328" t="str">
        <f>_xlfn.XLOOKUP(Jnl[[#This Row],[Division]],config_div[Id], config_div[Name],,0)</f>
        <v>明月村</v>
      </c>
      <c r="T1328" t="str">
        <f>IF(Jnl[[#This Row],[TrxDate]]&lt;=stmt_BS_date_end, "In", "Out")</f>
        <v>In</v>
      </c>
      <c r="U1328" t="str">
        <f>IF(Jnl[[#This Row],[TrxDate]]&lt;debug_date_start, "prior", IF(Jnl[[#This Row],[TrxDate]]&gt;debug_date_end, "post", "curr"))</f>
        <v>curr</v>
      </c>
    </row>
    <row r="1329" spans="1:21">
      <c r="A1329" s="11" t="s">
        <v>1742</v>
      </c>
      <c r="B1329" s="7">
        <f>_xlfn.XLOOKUP(Jnl[[#This Row],[TrxId]], Trx[Id], Trx[Date],,0)</f>
        <v>46081</v>
      </c>
      <c r="C1329" s="7" t="str">
        <f>_xlfn.XLOOKUP(Jnl[[#This Row],[TrxId]], Trx[Id], Trx[Division],,0)</f>
        <v>MY</v>
      </c>
      <c r="D1329" s="7" t="str">
        <f>_xlfn.XLOOKUP(Jnl[[#This Row],[TrxId]], Trx[Id], Trx[Action],,0)</f>
        <v>收款</v>
      </c>
      <c r="E1329" s="26" t="s">
        <v>83</v>
      </c>
      <c r="F1329" s="11" t="s">
        <v>593</v>
      </c>
      <c r="G1329" s="11" t="s">
        <v>947</v>
      </c>
      <c r="H1329" s="72">
        <v>-168</v>
      </c>
      <c r="I1329" s="5" t="b">
        <f>AND(Jnl[[#This Row],[TrxId]]&lt;&gt;"",Jnl[[#This Row],[Acct]]&lt;&gt;"",Jnl[[#This Row],[Item]]&lt;&gt;"",ISNUMBER(Jnl[[#This Row],[Bal]]))</f>
        <v>1</v>
      </c>
      <c r="J1329" s="10">
        <f>IF(Jnl[[#This Row],[BSLv0]]="A",1,-1)*Jnl[[#This Row],[Bal]]</f>
        <v>-168</v>
      </c>
      <c r="K1329" t="str">
        <f>_xlfn.XLOOKUP(Jnl[[#This Row],[Acct]], config_BS[Acct], config_BS[Lv0],,0)</f>
        <v>A</v>
      </c>
      <c r="L1329" t="str">
        <f>_xlfn.XLOOKUP(Jnl[[#This Row],[Acct]], config_BS[Acct], config_BS[Lv1],,0)</f>
        <v>Assets</v>
      </c>
      <c r="M1329" t="str">
        <f>_xlfn.XLOOKUP(Jnl[[#This Row],[Acct]], config_BS[Acct], config_BS[Lv2],,0)</f>
        <v>Rec-Pay</v>
      </c>
      <c r="N1329" t="str">
        <f>_xlfn.XLOOKUP(Jnl[[#This Row],[TrxId]], Trx[Id], Trx[IncNode], ,0)</f>
        <v>Revenue</v>
      </c>
      <c r="O1329" t="str">
        <f>_xlfn.XLOOKUP(Jnl[[#This Row],[IncNode]], config_IS[Node], config_IS[Type],,0)</f>
        <v>Op</v>
      </c>
      <c r="P1329" t="str">
        <f>_xlfn.XLOOKUP(Jnl[[#This Row],[BSLv2]], dict[Key], dict[Name],,0)</f>
        <v>1.应收-应付</v>
      </c>
      <c r="Q1329" t="str">
        <f>_xlfn.XLOOKUP(Jnl[[#This Row],[Acct]], dict[Key], dict[Name],,0)</f>
        <v>应收-一般</v>
      </c>
      <c r="R1329" t="str">
        <f>_xlfn.XLOOKUP(Jnl[[#This Row],[Vehicle]],config_vehicle[Id], config_vehicle[Name],,0)</f>
        <v>远家文化</v>
      </c>
      <c r="S1329" t="str">
        <f>_xlfn.XLOOKUP(Jnl[[#This Row],[Division]],config_div[Id], config_div[Name],,0)</f>
        <v>明月村</v>
      </c>
      <c r="T1329" t="str">
        <f>IF(Jnl[[#This Row],[TrxDate]]&lt;=stmt_BS_date_end, "In", "Out")</f>
        <v>In</v>
      </c>
      <c r="U1329" t="str">
        <f>IF(Jnl[[#This Row],[TrxDate]]&lt;debug_date_start, "prior", IF(Jnl[[#This Row],[TrxDate]]&gt;debug_date_end, "post", "curr"))</f>
        <v>curr</v>
      </c>
    </row>
    <row r="1330" spans="1:21">
      <c r="A1330" s="11" t="s">
        <v>1742</v>
      </c>
      <c r="B1330" s="7">
        <f>_xlfn.XLOOKUP(Jnl[[#This Row],[TrxId]], Trx[Id], Trx[Date],,0)</f>
        <v>46081</v>
      </c>
      <c r="C1330" s="7" t="str">
        <f>_xlfn.XLOOKUP(Jnl[[#This Row],[TrxId]], Trx[Id], Trx[Division],,0)</f>
        <v>MY</v>
      </c>
      <c r="D1330" s="7" t="str">
        <f>_xlfn.XLOOKUP(Jnl[[#This Row],[TrxId]], Trx[Id], Trx[Action],,0)</f>
        <v>收款</v>
      </c>
      <c r="E1330" s="26" t="s">
        <v>87</v>
      </c>
      <c r="F1330" s="11" t="s">
        <v>590</v>
      </c>
      <c r="G1330" s="11" t="s">
        <v>903</v>
      </c>
      <c r="H1330" s="72">
        <f>-H1329</f>
        <v>168</v>
      </c>
      <c r="I1330" s="5" t="b">
        <f>AND(Jnl[[#This Row],[TrxId]]&lt;&gt;"",Jnl[[#This Row],[Acct]]&lt;&gt;"",Jnl[[#This Row],[Item]]&lt;&gt;"",ISNUMBER(Jnl[[#This Row],[Bal]]))</f>
        <v>1</v>
      </c>
      <c r="J1330" s="10">
        <f>IF(Jnl[[#This Row],[BSLv0]]="A",1,-1)*Jnl[[#This Row],[Bal]]</f>
        <v>168</v>
      </c>
      <c r="K1330" t="str">
        <f>_xlfn.XLOOKUP(Jnl[[#This Row],[Acct]], config_BS[Acct], config_BS[Lv0],,0)</f>
        <v>A</v>
      </c>
      <c r="L1330" t="str">
        <f>_xlfn.XLOOKUP(Jnl[[#This Row],[Acct]], config_BS[Acct], config_BS[Lv1],,0)</f>
        <v>Assets</v>
      </c>
      <c r="M1330" t="str">
        <f>_xlfn.XLOOKUP(Jnl[[#This Row],[Acct]], config_BS[Acct], config_BS[Lv2],,0)</f>
        <v>Cash alike</v>
      </c>
      <c r="N1330" t="str">
        <f>_xlfn.XLOOKUP(Jnl[[#This Row],[TrxId]], Trx[Id], Trx[IncNode], ,0)</f>
        <v>Revenue</v>
      </c>
      <c r="O1330" t="str">
        <f>_xlfn.XLOOKUP(Jnl[[#This Row],[IncNode]], config_IS[Node], config_IS[Type],,0)</f>
        <v>Op</v>
      </c>
      <c r="P1330" t="str">
        <f>_xlfn.XLOOKUP(Jnl[[#This Row],[BSLv2]], dict[Key], dict[Name],,0)</f>
        <v>0.现金及类似</v>
      </c>
      <c r="Q1330" t="str">
        <f>_xlfn.XLOOKUP(Jnl[[#This Row],[Acct]], dict[Key], dict[Name],,0)</f>
        <v>银行</v>
      </c>
      <c r="R1330" t="str">
        <f>_xlfn.XLOOKUP(Jnl[[#This Row],[Vehicle]],config_vehicle[Id], config_vehicle[Name],,0)</f>
        <v>小月号</v>
      </c>
      <c r="S1330" t="str">
        <f>_xlfn.XLOOKUP(Jnl[[#This Row],[Division]],config_div[Id], config_div[Name],,0)</f>
        <v>明月村</v>
      </c>
      <c r="T1330" t="str">
        <f>IF(Jnl[[#This Row],[TrxDate]]&lt;=stmt_BS_date_end, "In", "Out")</f>
        <v>In</v>
      </c>
      <c r="U1330" t="str">
        <f>IF(Jnl[[#This Row],[TrxDate]]&lt;debug_date_start, "prior", IF(Jnl[[#This Row],[TrxDate]]&gt;debug_date_end, "post", "curr"))</f>
        <v>curr</v>
      </c>
    </row>
    <row r="1331" spans="1:21">
      <c r="A1331" s="11" t="s">
        <v>1743</v>
      </c>
      <c r="B1331" s="7">
        <f>_xlfn.XLOOKUP(Jnl[[#This Row],[TrxId]], Trx[Id], Trx[Date],,0)</f>
        <v>46081</v>
      </c>
      <c r="C1331" s="7" t="str">
        <f>_xlfn.XLOOKUP(Jnl[[#This Row],[TrxId]], Trx[Id], Trx[Division],,0)</f>
        <v>MY</v>
      </c>
      <c r="D1331" s="7" t="str">
        <f>_xlfn.XLOOKUP(Jnl[[#This Row],[TrxId]], Trx[Id], Trx[Action],,0)</f>
        <v>收款</v>
      </c>
      <c r="E1331" s="26" t="s">
        <v>83</v>
      </c>
      <c r="F1331" s="11" t="s">
        <v>593</v>
      </c>
      <c r="G1331" s="11" t="s">
        <v>942</v>
      </c>
      <c r="H1331" s="72">
        <v>-3600</v>
      </c>
      <c r="I1331" s="5" t="b">
        <f>AND(Jnl[[#This Row],[TrxId]]&lt;&gt;"",Jnl[[#This Row],[Acct]]&lt;&gt;"",Jnl[[#This Row],[Item]]&lt;&gt;"",ISNUMBER(Jnl[[#This Row],[Bal]]))</f>
        <v>1</v>
      </c>
      <c r="J1331" s="10">
        <f>IF(Jnl[[#This Row],[BSLv0]]="A",1,-1)*Jnl[[#This Row],[Bal]]</f>
        <v>-3600</v>
      </c>
      <c r="K1331" t="str">
        <f>_xlfn.XLOOKUP(Jnl[[#This Row],[Acct]], config_BS[Acct], config_BS[Lv0],,0)</f>
        <v>A</v>
      </c>
      <c r="L1331" t="str">
        <f>_xlfn.XLOOKUP(Jnl[[#This Row],[Acct]], config_BS[Acct], config_BS[Lv1],,0)</f>
        <v>Assets</v>
      </c>
      <c r="M1331" t="str">
        <f>_xlfn.XLOOKUP(Jnl[[#This Row],[Acct]], config_BS[Acct], config_BS[Lv2],,0)</f>
        <v>Rec-Pay</v>
      </c>
      <c r="N1331" t="str">
        <f>_xlfn.XLOOKUP(Jnl[[#This Row],[TrxId]], Trx[Id], Trx[IncNode], ,0)</f>
        <v>Revenue</v>
      </c>
      <c r="O1331" t="str">
        <f>_xlfn.XLOOKUP(Jnl[[#This Row],[IncNode]], config_IS[Node], config_IS[Type],,0)</f>
        <v>Op</v>
      </c>
      <c r="P1331" t="str">
        <f>_xlfn.XLOOKUP(Jnl[[#This Row],[BSLv2]], dict[Key], dict[Name],,0)</f>
        <v>1.应收-应付</v>
      </c>
      <c r="Q1331" t="str">
        <f>_xlfn.XLOOKUP(Jnl[[#This Row],[Acct]], dict[Key], dict[Name],,0)</f>
        <v>应收-一般</v>
      </c>
      <c r="R1331" t="str">
        <f>_xlfn.XLOOKUP(Jnl[[#This Row],[Vehicle]],config_vehicle[Id], config_vehicle[Name],,0)</f>
        <v>远家文化</v>
      </c>
      <c r="S1331" t="str">
        <f>_xlfn.XLOOKUP(Jnl[[#This Row],[Division]],config_div[Id], config_div[Name],,0)</f>
        <v>明月村</v>
      </c>
      <c r="T1331" t="str">
        <f>IF(Jnl[[#This Row],[TrxDate]]&lt;=stmt_BS_date_end, "In", "Out")</f>
        <v>In</v>
      </c>
      <c r="U1331" t="str">
        <f>IF(Jnl[[#This Row],[TrxDate]]&lt;debug_date_start, "prior", IF(Jnl[[#This Row],[TrxDate]]&gt;debug_date_end, "post", "curr"))</f>
        <v>curr</v>
      </c>
    </row>
    <row r="1332" spans="1:21">
      <c r="A1332" s="11" t="s">
        <v>1743</v>
      </c>
      <c r="B1332" s="7">
        <f>_xlfn.XLOOKUP(Jnl[[#This Row],[TrxId]], Trx[Id], Trx[Date],,0)</f>
        <v>46081</v>
      </c>
      <c r="C1332" s="7" t="str">
        <f>_xlfn.XLOOKUP(Jnl[[#This Row],[TrxId]], Trx[Id], Trx[Division],,0)</f>
        <v>MY</v>
      </c>
      <c r="D1332" s="7" t="str">
        <f>_xlfn.XLOOKUP(Jnl[[#This Row],[TrxId]], Trx[Id], Trx[Action],,0)</f>
        <v>收款</v>
      </c>
      <c r="E1332" s="26" t="s">
        <v>87</v>
      </c>
      <c r="F1332" s="11" t="s">
        <v>590</v>
      </c>
      <c r="G1332" s="11" t="s">
        <v>903</v>
      </c>
      <c r="H1332" s="72">
        <v>3600</v>
      </c>
      <c r="I1332" s="5" t="b">
        <f>AND(Jnl[[#This Row],[TrxId]]&lt;&gt;"",Jnl[[#This Row],[Acct]]&lt;&gt;"",Jnl[[#This Row],[Item]]&lt;&gt;"",ISNUMBER(Jnl[[#This Row],[Bal]]))</f>
        <v>1</v>
      </c>
      <c r="J1332" s="10">
        <f>IF(Jnl[[#This Row],[BSLv0]]="A",1,-1)*Jnl[[#This Row],[Bal]]</f>
        <v>3600</v>
      </c>
      <c r="K1332" t="str">
        <f>_xlfn.XLOOKUP(Jnl[[#This Row],[Acct]], config_BS[Acct], config_BS[Lv0],,0)</f>
        <v>A</v>
      </c>
      <c r="L1332" t="str">
        <f>_xlfn.XLOOKUP(Jnl[[#This Row],[Acct]], config_BS[Acct], config_BS[Lv1],,0)</f>
        <v>Assets</v>
      </c>
      <c r="M1332" t="str">
        <f>_xlfn.XLOOKUP(Jnl[[#This Row],[Acct]], config_BS[Acct], config_BS[Lv2],,0)</f>
        <v>Cash alike</v>
      </c>
      <c r="N1332" t="str">
        <f>_xlfn.XLOOKUP(Jnl[[#This Row],[TrxId]], Trx[Id], Trx[IncNode], ,0)</f>
        <v>Revenue</v>
      </c>
      <c r="O1332" t="str">
        <f>_xlfn.XLOOKUP(Jnl[[#This Row],[IncNode]], config_IS[Node], config_IS[Type],,0)</f>
        <v>Op</v>
      </c>
      <c r="P1332" t="str">
        <f>_xlfn.XLOOKUP(Jnl[[#This Row],[BSLv2]], dict[Key], dict[Name],,0)</f>
        <v>0.现金及类似</v>
      </c>
      <c r="Q1332" t="str">
        <f>_xlfn.XLOOKUP(Jnl[[#This Row],[Acct]], dict[Key], dict[Name],,0)</f>
        <v>银行</v>
      </c>
      <c r="R1332" t="str">
        <f>_xlfn.XLOOKUP(Jnl[[#This Row],[Vehicle]],config_vehicle[Id], config_vehicle[Name],,0)</f>
        <v>小月号</v>
      </c>
      <c r="S1332" t="str">
        <f>_xlfn.XLOOKUP(Jnl[[#This Row],[Division]],config_div[Id], config_div[Name],,0)</f>
        <v>明月村</v>
      </c>
      <c r="T1332" t="str">
        <f>IF(Jnl[[#This Row],[TrxDate]]&lt;=stmt_BS_date_end, "In", "Out")</f>
        <v>In</v>
      </c>
      <c r="U1332" t="str">
        <f>IF(Jnl[[#This Row],[TrxDate]]&lt;debug_date_start, "prior", IF(Jnl[[#This Row],[TrxDate]]&gt;debug_date_end, "post", "curr"))</f>
        <v>curr</v>
      </c>
    </row>
    <row r="1333" spans="1:21">
      <c r="A1333" s="11" t="s">
        <v>1744</v>
      </c>
      <c r="B1333" s="7">
        <f>_xlfn.XLOOKUP(Jnl[[#This Row],[TrxId]], Trx[Id], Trx[Date],,0)</f>
        <v>46081</v>
      </c>
      <c r="C1333" s="7" t="str">
        <f>_xlfn.XLOOKUP(Jnl[[#This Row],[TrxId]], Trx[Id], Trx[Division],,0)</f>
        <v>MY</v>
      </c>
      <c r="D1333" s="7" t="str">
        <f>_xlfn.XLOOKUP(Jnl[[#This Row],[TrxId]], Trx[Id], Trx[Action],,0)</f>
        <v>收款</v>
      </c>
      <c r="E1333" s="26" t="s">
        <v>83</v>
      </c>
      <c r="F1333" s="11" t="s">
        <v>593</v>
      </c>
      <c r="G1333" s="11" t="s">
        <v>1707</v>
      </c>
      <c r="H1333" s="72">
        <v>-186</v>
      </c>
      <c r="I1333" s="5" t="b">
        <f>AND(Jnl[[#This Row],[TrxId]]&lt;&gt;"",Jnl[[#This Row],[Acct]]&lt;&gt;"",Jnl[[#This Row],[Item]]&lt;&gt;"",ISNUMBER(Jnl[[#This Row],[Bal]]))</f>
        <v>1</v>
      </c>
      <c r="J1333" s="10">
        <f>IF(Jnl[[#This Row],[BSLv0]]="A",1,-1)*Jnl[[#This Row],[Bal]]</f>
        <v>-186</v>
      </c>
      <c r="K1333" t="str">
        <f>_xlfn.XLOOKUP(Jnl[[#This Row],[Acct]], config_BS[Acct], config_BS[Lv0],,0)</f>
        <v>A</v>
      </c>
      <c r="L1333" t="str">
        <f>_xlfn.XLOOKUP(Jnl[[#This Row],[Acct]], config_BS[Acct], config_BS[Lv1],,0)</f>
        <v>Assets</v>
      </c>
      <c r="M1333" t="str">
        <f>_xlfn.XLOOKUP(Jnl[[#This Row],[Acct]], config_BS[Acct], config_BS[Lv2],,0)</f>
        <v>Rec-Pay</v>
      </c>
      <c r="N1333" t="str">
        <f>_xlfn.XLOOKUP(Jnl[[#This Row],[TrxId]], Trx[Id], Trx[IncNode], ,0)</f>
        <v>Revenue</v>
      </c>
      <c r="O1333" t="str">
        <f>_xlfn.XLOOKUP(Jnl[[#This Row],[IncNode]], config_IS[Node], config_IS[Type],,0)</f>
        <v>Op</v>
      </c>
      <c r="P1333" t="str">
        <f>_xlfn.XLOOKUP(Jnl[[#This Row],[BSLv2]], dict[Key], dict[Name],,0)</f>
        <v>1.应收-应付</v>
      </c>
      <c r="Q1333" t="str">
        <f>_xlfn.XLOOKUP(Jnl[[#This Row],[Acct]], dict[Key], dict[Name],,0)</f>
        <v>应收-一般</v>
      </c>
      <c r="R1333" t="str">
        <f>_xlfn.XLOOKUP(Jnl[[#This Row],[Vehicle]],config_vehicle[Id], config_vehicle[Name],,0)</f>
        <v>远家文化</v>
      </c>
      <c r="S1333" t="str">
        <f>_xlfn.XLOOKUP(Jnl[[#This Row],[Division]],config_div[Id], config_div[Name],,0)</f>
        <v>明月村</v>
      </c>
      <c r="T1333" t="str">
        <f>IF(Jnl[[#This Row],[TrxDate]]&lt;=stmt_BS_date_end, "In", "Out")</f>
        <v>In</v>
      </c>
      <c r="U1333" t="str">
        <f>IF(Jnl[[#This Row],[TrxDate]]&lt;debug_date_start, "prior", IF(Jnl[[#This Row],[TrxDate]]&gt;debug_date_end, "post", "curr"))</f>
        <v>curr</v>
      </c>
    </row>
    <row r="1334" spans="1:21">
      <c r="A1334" s="11" t="s">
        <v>1744</v>
      </c>
      <c r="B1334" s="7">
        <f>_xlfn.XLOOKUP(Jnl[[#This Row],[TrxId]], Trx[Id], Trx[Date],,0)</f>
        <v>46081</v>
      </c>
      <c r="C1334" s="7" t="str">
        <f>_xlfn.XLOOKUP(Jnl[[#This Row],[TrxId]], Trx[Id], Trx[Division],,0)</f>
        <v>MY</v>
      </c>
      <c r="D1334" s="7" t="str">
        <f>_xlfn.XLOOKUP(Jnl[[#This Row],[TrxId]], Trx[Id], Trx[Action],,0)</f>
        <v>收款</v>
      </c>
      <c r="E1334" s="26" t="s">
        <v>87</v>
      </c>
      <c r="F1334" s="11" t="s">
        <v>590</v>
      </c>
      <c r="G1334" s="11" t="s">
        <v>903</v>
      </c>
      <c r="H1334" s="72">
        <v>186</v>
      </c>
      <c r="I1334" s="5" t="b">
        <f>AND(Jnl[[#This Row],[TrxId]]&lt;&gt;"",Jnl[[#This Row],[Acct]]&lt;&gt;"",Jnl[[#This Row],[Item]]&lt;&gt;"",ISNUMBER(Jnl[[#This Row],[Bal]]))</f>
        <v>1</v>
      </c>
      <c r="J1334" s="10">
        <f>IF(Jnl[[#This Row],[BSLv0]]="A",1,-1)*Jnl[[#This Row],[Bal]]</f>
        <v>186</v>
      </c>
      <c r="K1334" t="str">
        <f>_xlfn.XLOOKUP(Jnl[[#This Row],[Acct]], config_BS[Acct], config_BS[Lv0],,0)</f>
        <v>A</v>
      </c>
      <c r="L1334" t="str">
        <f>_xlfn.XLOOKUP(Jnl[[#This Row],[Acct]], config_BS[Acct], config_BS[Lv1],,0)</f>
        <v>Assets</v>
      </c>
      <c r="M1334" t="str">
        <f>_xlfn.XLOOKUP(Jnl[[#This Row],[Acct]], config_BS[Acct], config_BS[Lv2],,0)</f>
        <v>Cash alike</v>
      </c>
      <c r="N1334" t="str">
        <f>_xlfn.XLOOKUP(Jnl[[#This Row],[TrxId]], Trx[Id], Trx[IncNode], ,0)</f>
        <v>Revenue</v>
      </c>
      <c r="O1334" t="str">
        <f>_xlfn.XLOOKUP(Jnl[[#This Row],[IncNode]], config_IS[Node], config_IS[Type],,0)</f>
        <v>Op</v>
      </c>
      <c r="P1334" t="str">
        <f>_xlfn.XLOOKUP(Jnl[[#This Row],[BSLv2]], dict[Key], dict[Name],,0)</f>
        <v>0.现金及类似</v>
      </c>
      <c r="Q1334" t="str">
        <f>_xlfn.XLOOKUP(Jnl[[#This Row],[Acct]], dict[Key], dict[Name],,0)</f>
        <v>银行</v>
      </c>
      <c r="R1334" t="str">
        <f>_xlfn.XLOOKUP(Jnl[[#This Row],[Vehicle]],config_vehicle[Id], config_vehicle[Name],,0)</f>
        <v>小月号</v>
      </c>
      <c r="S1334" t="str">
        <f>_xlfn.XLOOKUP(Jnl[[#This Row],[Division]],config_div[Id], config_div[Name],,0)</f>
        <v>明月村</v>
      </c>
      <c r="T1334" t="str">
        <f>IF(Jnl[[#This Row],[TrxDate]]&lt;=stmt_BS_date_end, "In", "Out")</f>
        <v>In</v>
      </c>
      <c r="U1334" t="str">
        <f>IF(Jnl[[#This Row],[TrxDate]]&lt;debug_date_start, "prior", IF(Jnl[[#This Row],[TrxDate]]&gt;debug_date_end, "post", "curr"))</f>
        <v>curr</v>
      </c>
    </row>
    <row r="1335" spans="1:21">
      <c r="A1335" s="11" t="s">
        <v>1745</v>
      </c>
      <c r="B1335" s="7">
        <f>_xlfn.XLOOKUP(Jnl[[#This Row],[TrxId]], Trx[Id], Trx[Date],,0)</f>
        <v>46081</v>
      </c>
      <c r="C1335" s="7" t="str">
        <f>_xlfn.XLOOKUP(Jnl[[#This Row],[TrxId]], Trx[Id], Trx[Division],,0)</f>
        <v>MY</v>
      </c>
      <c r="D1335" s="7" t="str">
        <f>_xlfn.XLOOKUP(Jnl[[#This Row],[TrxId]], Trx[Id], Trx[Action],,0)</f>
        <v>退款-客人</v>
      </c>
      <c r="E1335" s="26" t="s">
        <v>83</v>
      </c>
      <c r="F1335" s="11" t="s">
        <v>593</v>
      </c>
      <c r="G1335" s="11" t="s">
        <v>1065</v>
      </c>
      <c r="H1335" s="72">
        <v>1000</v>
      </c>
      <c r="I1335" s="5" t="b">
        <f>AND(Jnl[[#This Row],[TrxId]]&lt;&gt;"",Jnl[[#This Row],[Acct]]&lt;&gt;"",Jnl[[#This Row],[Item]]&lt;&gt;"",ISNUMBER(Jnl[[#This Row],[Bal]]))</f>
        <v>1</v>
      </c>
      <c r="J1335" s="10">
        <f>IF(Jnl[[#This Row],[BSLv0]]="A",1,-1)*Jnl[[#This Row],[Bal]]</f>
        <v>1000</v>
      </c>
      <c r="K1335" t="str">
        <f>_xlfn.XLOOKUP(Jnl[[#This Row],[Acct]], config_BS[Acct], config_BS[Lv0],,0)</f>
        <v>A</v>
      </c>
      <c r="L1335" t="str">
        <f>_xlfn.XLOOKUP(Jnl[[#This Row],[Acct]], config_BS[Acct], config_BS[Lv1],,0)</f>
        <v>Assets</v>
      </c>
      <c r="M1335" t="str">
        <f>_xlfn.XLOOKUP(Jnl[[#This Row],[Acct]], config_BS[Acct], config_BS[Lv2],,0)</f>
        <v>Rec-Pay</v>
      </c>
      <c r="N1335" t="str">
        <f>_xlfn.XLOOKUP(Jnl[[#This Row],[TrxId]], Trx[Id], Trx[IncNode], ,0)</f>
        <v>Revenue</v>
      </c>
      <c r="O1335" t="str">
        <f>_xlfn.XLOOKUP(Jnl[[#This Row],[IncNode]], config_IS[Node], config_IS[Type],,0)</f>
        <v>Op</v>
      </c>
      <c r="P1335" t="str">
        <f>_xlfn.XLOOKUP(Jnl[[#This Row],[BSLv2]], dict[Key], dict[Name],,0)</f>
        <v>1.应收-应付</v>
      </c>
      <c r="Q1335" t="str">
        <f>_xlfn.XLOOKUP(Jnl[[#This Row],[Acct]], dict[Key], dict[Name],,0)</f>
        <v>应收-一般</v>
      </c>
      <c r="R1335" t="str">
        <f>_xlfn.XLOOKUP(Jnl[[#This Row],[Vehicle]],config_vehicle[Id], config_vehicle[Name],,0)</f>
        <v>远家文化</v>
      </c>
      <c r="S1335" t="str">
        <f>_xlfn.XLOOKUP(Jnl[[#This Row],[Division]],config_div[Id], config_div[Name],,0)</f>
        <v>明月村</v>
      </c>
      <c r="T1335" t="str">
        <f>IF(Jnl[[#This Row],[TrxDate]]&lt;=stmt_BS_date_end, "In", "Out")</f>
        <v>In</v>
      </c>
      <c r="U1335" t="str">
        <f>IF(Jnl[[#This Row],[TrxDate]]&lt;debug_date_start, "prior", IF(Jnl[[#This Row],[TrxDate]]&gt;debug_date_end, "post", "curr"))</f>
        <v>curr</v>
      </c>
    </row>
    <row r="1336" spans="1:21">
      <c r="A1336" s="11" t="s">
        <v>1745</v>
      </c>
      <c r="B1336" s="7">
        <f>_xlfn.XLOOKUP(Jnl[[#This Row],[TrxId]], Trx[Id], Trx[Date],,0)</f>
        <v>46081</v>
      </c>
      <c r="C1336" s="7" t="str">
        <f>_xlfn.XLOOKUP(Jnl[[#This Row],[TrxId]], Trx[Id], Trx[Division],,0)</f>
        <v>MY</v>
      </c>
      <c r="D1336" s="7" t="str">
        <f>_xlfn.XLOOKUP(Jnl[[#This Row],[TrxId]], Trx[Id], Trx[Action],,0)</f>
        <v>退款-客人</v>
      </c>
      <c r="E1336" s="26" t="s">
        <v>87</v>
      </c>
      <c r="F1336" s="11" t="s">
        <v>590</v>
      </c>
      <c r="G1336" s="11" t="s">
        <v>903</v>
      </c>
      <c r="H1336" s="72">
        <v>-1000</v>
      </c>
      <c r="I1336" s="5" t="b">
        <f>AND(Jnl[[#This Row],[TrxId]]&lt;&gt;"",Jnl[[#This Row],[Acct]]&lt;&gt;"",Jnl[[#This Row],[Item]]&lt;&gt;"",ISNUMBER(Jnl[[#This Row],[Bal]]))</f>
        <v>1</v>
      </c>
      <c r="J1336" s="10">
        <f>IF(Jnl[[#This Row],[BSLv0]]="A",1,-1)*Jnl[[#This Row],[Bal]]</f>
        <v>-1000</v>
      </c>
      <c r="K1336" t="str">
        <f>_xlfn.XLOOKUP(Jnl[[#This Row],[Acct]], config_BS[Acct], config_BS[Lv0],,0)</f>
        <v>A</v>
      </c>
      <c r="L1336" t="str">
        <f>_xlfn.XLOOKUP(Jnl[[#This Row],[Acct]], config_BS[Acct], config_BS[Lv1],,0)</f>
        <v>Assets</v>
      </c>
      <c r="M1336" t="str">
        <f>_xlfn.XLOOKUP(Jnl[[#This Row],[Acct]], config_BS[Acct], config_BS[Lv2],,0)</f>
        <v>Cash alike</v>
      </c>
      <c r="N1336" t="str">
        <f>_xlfn.XLOOKUP(Jnl[[#This Row],[TrxId]], Trx[Id], Trx[IncNode], ,0)</f>
        <v>Revenue</v>
      </c>
      <c r="O1336" t="str">
        <f>_xlfn.XLOOKUP(Jnl[[#This Row],[IncNode]], config_IS[Node], config_IS[Type],,0)</f>
        <v>Op</v>
      </c>
      <c r="P1336" t="str">
        <f>_xlfn.XLOOKUP(Jnl[[#This Row],[BSLv2]], dict[Key], dict[Name],,0)</f>
        <v>0.现金及类似</v>
      </c>
      <c r="Q1336" t="str">
        <f>_xlfn.XLOOKUP(Jnl[[#This Row],[Acct]], dict[Key], dict[Name],,0)</f>
        <v>银行</v>
      </c>
      <c r="R1336" t="str">
        <f>_xlfn.XLOOKUP(Jnl[[#This Row],[Vehicle]],config_vehicle[Id], config_vehicle[Name],,0)</f>
        <v>小月号</v>
      </c>
      <c r="S1336" t="str">
        <f>_xlfn.XLOOKUP(Jnl[[#This Row],[Division]],config_div[Id], config_div[Name],,0)</f>
        <v>明月村</v>
      </c>
      <c r="T1336" t="str">
        <f>IF(Jnl[[#This Row],[TrxDate]]&lt;=stmt_BS_date_end, "In", "Out")</f>
        <v>In</v>
      </c>
      <c r="U1336" t="str">
        <f>IF(Jnl[[#This Row],[TrxDate]]&lt;debug_date_start, "prior", IF(Jnl[[#This Row],[TrxDate]]&gt;debug_date_end, "post", "curr"))</f>
        <v>curr</v>
      </c>
    </row>
    <row r="1337" spans="1:21">
      <c r="A1337" s="11" t="s">
        <v>1746</v>
      </c>
      <c r="B1337" s="7">
        <f>_xlfn.XLOOKUP(Jnl[[#This Row],[TrxId]], Trx[Id], Trx[Date],,0)</f>
        <v>46081</v>
      </c>
      <c r="C1337" s="7" t="str">
        <f>_xlfn.XLOOKUP(Jnl[[#This Row],[TrxId]], Trx[Id], Trx[Division],,0)</f>
        <v>MY</v>
      </c>
      <c r="D1337" s="7" t="str">
        <f>_xlfn.XLOOKUP(Jnl[[#This Row],[TrxId]], Trx[Id], Trx[Action],,0)</f>
        <v>退款-客人</v>
      </c>
      <c r="E1337" s="26" t="s">
        <v>83</v>
      </c>
      <c r="F1337" s="11" t="s">
        <v>593</v>
      </c>
      <c r="G1337" s="11" t="s">
        <v>1065</v>
      </c>
      <c r="H1337" s="72">
        <v>1000</v>
      </c>
      <c r="I1337" s="5" t="b">
        <f>AND(Jnl[[#This Row],[TrxId]]&lt;&gt;"",Jnl[[#This Row],[Acct]]&lt;&gt;"",Jnl[[#This Row],[Item]]&lt;&gt;"",ISNUMBER(Jnl[[#This Row],[Bal]]))</f>
        <v>1</v>
      </c>
      <c r="J1337" s="10">
        <f>IF(Jnl[[#This Row],[BSLv0]]="A",1,-1)*Jnl[[#This Row],[Bal]]</f>
        <v>1000</v>
      </c>
      <c r="K1337" t="str">
        <f>_xlfn.XLOOKUP(Jnl[[#This Row],[Acct]], config_BS[Acct], config_BS[Lv0],,0)</f>
        <v>A</v>
      </c>
      <c r="L1337" t="str">
        <f>_xlfn.XLOOKUP(Jnl[[#This Row],[Acct]], config_BS[Acct], config_BS[Lv1],,0)</f>
        <v>Assets</v>
      </c>
      <c r="M1337" t="str">
        <f>_xlfn.XLOOKUP(Jnl[[#This Row],[Acct]], config_BS[Acct], config_BS[Lv2],,0)</f>
        <v>Rec-Pay</v>
      </c>
      <c r="N1337" t="str">
        <f>_xlfn.XLOOKUP(Jnl[[#This Row],[TrxId]], Trx[Id], Trx[IncNode], ,0)</f>
        <v>Revenue</v>
      </c>
      <c r="O1337" t="str">
        <f>_xlfn.XLOOKUP(Jnl[[#This Row],[IncNode]], config_IS[Node], config_IS[Type],,0)</f>
        <v>Op</v>
      </c>
      <c r="P1337" t="str">
        <f>_xlfn.XLOOKUP(Jnl[[#This Row],[BSLv2]], dict[Key], dict[Name],,0)</f>
        <v>1.应收-应付</v>
      </c>
      <c r="Q1337" t="str">
        <f>_xlfn.XLOOKUP(Jnl[[#This Row],[Acct]], dict[Key], dict[Name],,0)</f>
        <v>应收-一般</v>
      </c>
      <c r="R1337" t="str">
        <f>_xlfn.XLOOKUP(Jnl[[#This Row],[Vehicle]],config_vehicle[Id], config_vehicle[Name],,0)</f>
        <v>远家文化</v>
      </c>
      <c r="S1337" t="str">
        <f>_xlfn.XLOOKUP(Jnl[[#This Row],[Division]],config_div[Id], config_div[Name],,0)</f>
        <v>明月村</v>
      </c>
      <c r="T1337" t="str">
        <f>IF(Jnl[[#This Row],[TrxDate]]&lt;=stmt_BS_date_end, "In", "Out")</f>
        <v>In</v>
      </c>
      <c r="U1337" t="str">
        <f>IF(Jnl[[#This Row],[TrxDate]]&lt;debug_date_start, "prior", IF(Jnl[[#This Row],[TrxDate]]&gt;debug_date_end, "post", "curr"))</f>
        <v>curr</v>
      </c>
    </row>
    <row r="1338" spans="1:21">
      <c r="A1338" s="11" t="s">
        <v>1746</v>
      </c>
      <c r="B1338" s="7">
        <f>_xlfn.XLOOKUP(Jnl[[#This Row],[TrxId]], Trx[Id], Trx[Date],,0)</f>
        <v>46081</v>
      </c>
      <c r="C1338" s="7" t="str">
        <f>_xlfn.XLOOKUP(Jnl[[#This Row],[TrxId]], Trx[Id], Trx[Division],,0)</f>
        <v>MY</v>
      </c>
      <c r="D1338" s="7" t="str">
        <f>_xlfn.XLOOKUP(Jnl[[#This Row],[TrxId]], Trx[Id], Trx[Action],,0)</f>
        <v>退款-客人</v>
      </c>
      <c r="E1338" s="26" t="s">
        <v>87</v>
      </c>
      <c r="F1338" s="11" t="s">
        <v>590</v>
      </c>
      <c r="G1338" s="11" t="s">
        <v>903</v>
      </c>
      <c r="H1338" s="72">
        <v>-1000</v>
      </c>
      <c r="I1338" s="5" t="b">
        <f>AND(Jnl[[#This Row],[TrxId]]&lt;&gt;"",Jnl[[#This Row],[Acct]]&lt;&gt;"",Jnl[[#This Row],[Item]]&lt;&gt;"",ISNUMBER(Jnl[[#This Row],[Bal]]))</f>
        <v>1</v>
      </c>
      <c r="J1338" s="10">
        <f>IF(Jnl[[#This Row],[BSLv0]]="A",1,-1)*Jnl[[#This Row],[Bal]]</f>
        <v>-1000</v>
      </c>
      <c r="K1338" t="str">
        <f>_xlfn.XLOOKUP(Jnl[[#This Row],[Acct]], config_BS[Acct], config_BS[Lv0],,0)</f>
        <v>A</v>
      </c>
      <c r="L1338" t="str">
        <f>_xlfn.XLOOKUP(Jnl[[#This Row],[Acct]], config_BS[Acct], config_BS[Lv1],,0)</f>
        <v>Assets</v>
      </c>
      <c r="M1338" t="str">
        <f>_xlfn.XLOOKUP(Jnl[[#This Row],[Acct]], config_BS[Acct], config_BS[Lv2],,0)</f>
        <v>Cash alike</v>
      </c>
      <c r="N1338" t="str">
        <f>_xlfn.XLOOKUP(Jnl[[#This Row],[TrxId]], Trx[Id], Trx[IncNode], ,0)</f>
        <v>Revenue</v>
      </c>
      <c r="O1338" t="str">
        <f>_xlfn.XLOOKUP(Jnl[[#This Row],[IncNode]], config_IS[Node], config_IS[Type],,0)</f>
        <v>Op</v>
      </c>
      <c r="P1338" t="str">
        <f>_xlfn.XLOOKUP(Jnl[[#This Row],[BSLv2]], dict[Key], dict[Name],,0)</f>
        <v>0.现金及类似</v>
      </c>
      <c r="Q1338" t="str">
        <f>_xlfn.XLOOKUP(Jnl[[#This Row],[Acct]], dict[Key], dict[Name],,0)</f>
        <v>银行</v>
      </c>
      <c r="R1338" t="str">
        <f>_xlfn.XLOOKUP(Jnl[[#This Row],[Vehicle]],config_vehicle[Id], config_vehicle[Name],,0)</f>
        <v>小月号</v>
      </c>
      <c r="S1338" t="str">
        <f>_xlfn.XLOOKUP(Jnl[[#This Row],[Division]],config_div[Id], config_div[Name],,0)</f>
        <v>明月村</v>
      </c>
      <c r="T1338" t="str">
        <f>IF(Jnl[[#This Row],[TrxDate]]&lt;=stmt_BS_date_end, "In", "Out")</f>
        <v>In</v>
      </c>
      <c r="U1338" t="str">
        <f>IF(Jnl[[#This Row],[TrxDate]]&lt;debug_date_start, "prior", IF(Jnl[[#This Row],[TrxDate]]&gt;debug_date_end, "post", "curr"))</f>
        <v>curr</v>
      </c>
    </row>
    <row r="1339" spans="1:21">
      <c r="A1339" s="11" t="s">
        <v>1747</v>
      </c>
      <c r="B1339" s="7">
        <f>_xlfn.XLOOKUP(Jnl[[#This Row],[TrxId]], Trx[Id], Trx[Date],,0)</f>
        <v>46081</v>
      </c>
      <c r="C1339" s="7" t="str">
        <f>_xlfn.XLOOKUP(Jnl[[#This Row],[TrxId]], Trx[Id], Trx[Division],,0)</f>
        <v>MY</v>
      </c>
      <c r="D1339" s="7" t="str">
        <f>_xlfn.XLOOKUP(Jnl[[#This Row],[TrxId]], Trx[Id], Trx[Action],,0)</f>
        <v>收款</v>
      </c>
      <c r="E1339" s="26" t="s">
        <v>83</v>
      </c>
      <c r="F1339" s="11" t="s">
        <v>593</v>
      </c>
      <c r="G1339" s="11" t="s">
        <v>942</v>
      </c>
      <c r="H1339" s="72">
        <v>-3600</v>
      </c>
      <c r="I1339" s="5" t="b">
        <f>AND(Jnl[[#This Row],[TrxId]]&lt;&gt;"",Jnl[[#This Row],[Acct]]&lt;&gt;"",Jnl[[#This Row],[Item]]&lt;&gt;"",ISNUMBER(Jnl[[#This Row],[Bal]]))</f>
        <v>1</v>
      </c>
      <c r="J1339" s="10">
        <f>IF(Jnl[[#This Row],[BSLv0]]="A",1,-1)*Jnl[[#This Row],[Bal]]</f>
        <v>-3600</v>
      </c>
      <c r="K1339" t="str">
        <f>_xlfn.XLOOKUP(Jnl[[#This Row],[Acct]], config_BS[Acct], config_BS[Lv0],,0)</f>
        <v>A</v>
      </c>
      <c r="L1339" t="str">
        <f>_xlfn.XLOOKUP(Jnl[[#This Row],[Acct]], config_BS[Acct], config_BS[Lv1],,0)</f>
        <v>Assets</v>
      </c>
      <c r="M1339" t="str">
        <f>_xlfn.XLOOKUP(Jnl[[#This Row],[Acct]], config_BS[Acct], config_BS[Lv2],,0)</f>
        <v>Rec-Pay</v>
      </c>
      <c r="N1339" t="str">
        <f>_xlfn.XLOOKUP(Jnl[[#This Row],[TrxId]], Trx[Id], Trx[IncNode], ,0)</f>
        <v>Revenue</v>
      </c>
      <c r="O1339" t="str">
        <f>_xlfn.XLOOKUP(Jnl[[#This Row],[IncNode]], config_IS[Node], config_IS[Type],,0)</f>
        <v>Op</v>
      </c>
      <c r="P1339" t="str">
        <f>_xlfn.XLOOKUP(Jnl[[#This Row],[BSLv2]], dict[Key], dict[Name],,0)</f>
        <v>1.应收-应付</v>
      </c>
      <c r="Q1339" t="str">
        <f>_xlfn.XLOOKUP(Jnl[[#This Row],[Acct]], dict[Key], dict[Name],,0)</f>
        <v>应收-一般</v>
      </c>
      <c r="R1339" t="str">
        <f>_xlfn.XLOOKUP(Jnl[[#This Row],[Vehicle]],config_vehicle[Id], config_vehicle[Name],,0)</f>
        <v>远家文化</v>
      </c>
      <c r="S1339" t="str">
        <f>_xlfn.XLOOKUP(Jnl[[#This Row],[Division]],config_div[Id], config_div[Name],,0)</f>
        <v>明月村</v>
      </c>
      <c r="T1339" t="str">
        <f>IF(Jnl[[#This Row],[TrxDate]]&lt;=stmt_BS_date_end, "In", "Out")</f>
        <v>In</v>
      </c>
      <c r="U1339" t="str">
        <f>IF(Jnl[[#This Row],[TrxDate]]&lt;debug_date_start, "prior", IF(Jnl[[#This Row],[TrxDate]]&gt;debug_date_end, "post", "curr"))</f>
        <v>curr</v>
      </c>
    </row>
    <row r="1340" spans="1:21">
      <c r="A1340" s="11" t="s">
        <v>1747</v>
      </c>
      <c r="B1340" s="7">
        <f>_xlfn.XLOOKUP(Jnl[[#This Row],[TrxId]], Trx[Id], Trx[Date],,0)</f>
        <v>46081</v>
      </c>
      <c r="C1340" s="7" t="str">
        <f>_xlfn.XLOOKUP(Jnl[[#This Row],[TrxId]], Trx[Id], Trx[Division],,0)</f>
        <v>MY</v>
      </c>
      <c r="D1340" s="7" t="str">
        <f>_xlfn.XLOOKUP(Jnl[[#This Row],[TrxId]], Trx[Id], Trx[Action],,0)</f>
        <v>收款</v>
      </c>
      <c r="E1340" s="26" t="s">
        <v>87</v>
      </c>
      <c r="F1340" s="11" t="s">
        <v>590</v>
      </c>
      <c r="G1340" s="11" t="s">
        <v>903</v>
      </c>
      <c r="H1340" s="72">
        <v>3600</v>
      </c>
      <c r="I1340" s="5" t="b">
        <f>AND(Jnl[[#This Row],[TrxId]]&lt;&gt;"",Jnl[[#This Row],[Acct]]&lt;&gt;"",Jnl[[#This Row],[Item]]&lt;&gt;"",ISNUMBER(Jnl[[#This Row],[Bal]]))</f>
        <v>1</v>
      </c>
      <c r="J1340" s="10">
        <f>IF(Jnl[[#This Row],[BSLv0]]="A",1,-1)*Jnl[[#This Row],[Bal]]</f>
        <v>3600</v>
      </c>
      <c r="K1340" t="str">
        <f>_xlfn.XLOOKUP(Jnl[[#This Row],[Acct]], config_BS[Acct], config_BS[Lv0],,0)</f>
        <v>A</v>
      </c>
      <c r="L1340" t="str">
        <f>_xlfn.XLOOKUP(Jnl[[#This Row],[Acct]], config_BS[Acct], config_BS[Lv1],,0)</f>
        <v>Assets</v>
      </c>
      <c r="M1340" t="str">
        <f>_xlfn.XLOOKUP(Jnl[[#This Row],[Acct]], config_BS[Acct], config_BS[Lv2],,0)</f>
        <v>Cash alike</v>
      </c>
      <c r="N1340" t="str">
        <f>_xlfn.XLOOKUP(Jnl[[#This Row],[TrxId]], Trx[Id], Trx[IncNode], ,0)</f>
        <v>Revenue</v>
      </c>
      <c r="O1340" t="str">
        <f>_xlfn.XLOOKUP(Jnl[[#This Row],[IncNode]], config_IS[Node], config_IS[Type],,0)</f>
        <v>Op</v>
      </c>
      <c r="P1340" t="str">
        <f>_xlfn.XLOOKUP(Jnl[[#This Row],[BSLv2]], dict[Key], dict[Name],,0)</f>
        <v>0.现金及类似</v>
      </c>
      <c r="Q1340" t="str">
        <f>_xlfn.XLOOKUP(Jnl[[#This Row],[Acct]], dict[Key], dict[Name],,0)</f>
        <v>银行</v>
      </c>
      <c r="R1340" t="str">
        <f>_xlfn.XLOOKUP(Jnl[[#This Row],[Vehicle]],config_vehicle[Id], config_vehicle[Name],,0)</f>
        <v>小月号</v>
      </c>
      <c r="S1340" t="str">
        <f>_xlfn.XLOOKUP(Jnl[[#This Row],[Division]],config_div[Id], config_div[Name],,0)</f>
        <v>明月村</v>
      </c>
      <c r="T1340" t="str">
        <f>IF(Jnl[[#This Row],[TrxDate]]&lt;=stmt_BS_date_end, "In", "Out")</f>
        <v>In</v>
      </c>
      <c r="U1340" t="str">
        <f>IF(Jnl[[#This Row],[TrxDate]]&lt;debug_date_start, "prior", IF(Jnl[[#This Row],[TrxDate]]&gt;debug_date_end, "post", "curr"))</f>
        <v>curr</v>
      </c>
    </row>
    <row r="1341" spans="1:21">
      <c r="A1341" s="11" t="s">
        <v>1748</v>
      </c>
      <c r="B1341" s="7">
        <f>_xlfn.XLOOKUP(Jnl[[#This Row],[TrxId]], Trx[Id], Trx[Date],,0)</f>
        <v>46081</v>
      </c>
      <c r="C1341" s="7" t="str">
        <f>_xlfn.XLOOKUP(Jnl[[#This Row],[TrxId]], Trx[Id], Trx[Division],,0)</f>
        <v>MY</v>
      </c>
      <c r="D1341" s="7" t="str">
        <f>_xlfn.XLOOKUP(Jnl[[#This Row],[TrxId]], Trx[Id], Trx[Action],,0)</f>
        <v>收款</v>
      </c>
      <c r="E1341" s="26" t="s">
        <v>83</v>
      </c>
      <c r="F1341" s="11" t="s">
        <v>593</v>
      </c>
      <c r="G1341" s="11" t="s">
        <v>947</v>
      </c>
      <c r="H1341" s="72">
        <v>-5</v>
      </c>
      <c r="I1341" s="5" t="b">
        <f>AND(Jnl[[#This Row],[TrxId]]&lt;&gt;"",Jnl[[#This Row],[Acct]]&lt;&gt;"",Jnl[[#This Row],[Item]]&lt;&gt;"",ISNUMBER(Jnl[[#This Row],[Bal]]))</f>
        <v>1</v>
      </c>
      <c r="J1341" s="10">
        <f>IF(Jnl[[#This Row],[BSLv0]]="A",1,-1)*Jnl[[#This Row],[Bal]]</f>
        <v>-5</v>
      </c>
      <c r="K1341" t="str">
        <f>_xlfn.XLOOKUP(Jnl[[#This Row],[Acct]], config_BS[Acct], config_BS[Lv0],,0)</f>
        <v>A</v>
      </c>
      <c r="L1341" t="str">
        <f>_xlfn.XLOOKUP(Jnl[[#This Row],[Acct]], config_BS[Acct], config_BS[Lv1],,0)</f>
        <v>Assets</v>
      </c>
      <c r="M1341" t="str">
        <f>_xlfn.XLOOKUP(Jnl[[#This Row],[Acct]], config_BS[Acct], config_BS[Lv2],,0)</f>
        <v>Rec-Pay</v>
      </c>
      <c r="N1341" t="str">
        <f>_xlfn.XLOOKUP(Jnl[[#This Row],[TrxId]], Trx[Id], Trx[IncNode], ,0)</f>
        <v>Revenue</v>
      </c>
      <c r="O1341" t="str">
        <f>_xlfn.XLOOKUP(Jnl[[#This Row],[IncNode]], config_IS[Node], config_IS[Type],,0)</f>
        <v>Op</v>
      </c>
      <c r="P1341" t="str">
        <f>_xlfn.XLOOKUP(Jnl[[#This Row],[BSLv2]], dict[Key], dict[Name],,0)</f>
        <v>1.应收-应付</v>
      </c>
      <c r="Q1341" t="str">
        <f>_xlfn.XLOOKUP(Jnl[[#This Row],[Acct]], dict[Key], dict[Name],,0)</f>
        <v>应收-一般</v>
      </c>
      <c r="R1341" t="str">
        <f>_xlfn.XLOOKUP(Jnl[[#This Row],[Vehicle]],config_vehicle[Id], config_vehicle[Name],,0)</f>
        <v>远家文化</v>
      </c>
      <c r="S1341" t="str">
        <f>_xlfn.XLOOKUP(Jnl[[#This Row],[Division]],config_div[Id], config_div[Name],,0)</f>
        <v>明月村</v>
      </c>
      <c r="T1341" t="str">
        <f>IF(Jnl[[#This Row],[TrxDate]]&lt;=stmt_BS_date_end, "In", "Out")</f>
        <v>In</v>
      </c>
      <c r="U1341" t="str">
        <f>IF(Jnl[[#This Row],[TrxDate]]&lt;debug_date_start, "prior", IF(Jnl[[#This Row],[TrxDate]]&gt;debug_date_end, "post", "curr"))</f>
        <v>curr</v>
      </c>
    </row>
    <row r="1342" spans="1:21">
      <c r="A1342" s="11" t="s">
        <v>1748</v>
      </c>
      <c r="B1342" s="7">
        <f>_xlfn.XLOOKUP(Jnl[[#This Row],[TrxId]], Trx[Id], Trx[Date],,0)</f>
        <v>46081</v>
      </c>
      <c r="C1342" s="7" t="str">
        <f>_xlfn.XLOOKUP(Jnl[[#This Row],[TrxId]], Trx[Id], Trx[Division],,0)</f>
        <v>MY</v>
      </c>
      <c r="D1342" s="7" t="str">
        <f>_xlfn.XLOOKUP(Jnl[[#This Row],[TrxId]], Trx[Id], Trx[Action],,0)</f>
        <v>收款</v>
      </c>
      <c r="E1342" s="26" t="s">
        <v>87</v>
      </c>
      <c r="F1342" s="11" t="s">
        <v>590</v>
      </c>
      <c r="G1342" s="11" t="s">
        <v>903</v>
      </c>
      <c r="H1342" s="72">
        <v>5</v>
      </c>
      <c r="I1342" s="5" t="b">
        <f>AND(Jnl[[#This Row],[TrxId]]&lt;&gt;"",Jnl[[#This Row],[Acct]]&lt;&gt;"",Jnl[[#This Row],[Item]]&lt;&gt;"",ISNUMBER(Jnl[[#This Row],[Bal]]))</f>
        <v>1</v>
      </c>
      <c r="J1342" s="10">
        <f>IF(Jnl[[#This Row],[BSLv0]]="A",1,-1)*Jnl[[#This Row],[Bal]]</f>
        <v>5</v>
      </c>
      <c r="K1342" t="str">
        <f>_xlfn.XLOOKUP(Jnl[[#This Row],[Acct]], config_BS[Acct], config_BS[Lv0],,0)</f>
        <v>A</v>
      </c>
      <c r="L1342" t="str">
        <f>_xlfn.XLOOKUP(Jnl[[#This Row],[Acct]], config_BS[Acct], config_BS[Lv1],,0)</f>
        <v>Assets</v>
      </c>
      <c r="M1342" t="str">
        <f>_xlfn.XLOOKUP(Jnl[[#This Row],[Acct]], config_BS[Acct], config_BS[Lv2],,0)</f>
        <v>Cash alike</v>
      </c>
      <c r="N1342" t="str">
        <f>_xlfn.XLOOKUP(Jnl[[#This Row],[TrxId]], Trx[Id], Trx[IncNode], ,0)</f>
        <v>Revenue</v>
      </c>
      <c r="O1342" t="str">
        <f>_xlfn.XLOOKUP(Jnl[[#This Row],[IncNode]], config_IS[Node], config_IS[Type],,0)</f>
        <v>Op</v>
      </c>
      <c r="P1342" t="str">
        <f>_xlfn.XLOOKUP(Jnl[[#This Row],[BSLv2]], dict[Key], dict[Name],,0)</f>
        <v>0.现金及类似</v>
      </c>
      <c r="Q1342" t="str">
        <f>_xlfn.XLOOKUP(Jnl[[#This Row],[Acct]], dict[Key], dict[Name],,0)</f>
        <v>银行</v>
      </c>
      <c r="R1342" t="str">
        <f>_xlfn.XLOOKUP(Jnl[[#This Row],[Vehicle]],config_vehicle[Id], config_vehicle[Name],,0)</f>
        <v>小月号</v>
      </c>
      <c r="S1342" t="str">
        <f>_xlfn.XLOOKUP(Jnl[[#This Row],[Division]],config_div[Id], config_div[Name],,0)</f>
        <v>明月村</v>
      </c>
      <c r="T1342" t="str">
        <f>IF(Jnl[[#This Row],[TrxDate]]&lt;=stmt_BS_date_end, "In", "Out")</f>
        <v>In</v>
      </c>
      <c r="U1342" t="str">
        <f>IF(Jnl[[#This Row],[TrxDate]]&lt;debug_date_start, "prior", IF(Jnl[[#This Row],[TrxDate]]&gt;debug_date_end, "post", "curr"))</f>
        <v>curr</v>
      </c>
    </row>
    <row r="1343" spans="1:21">
      <c r="A1343" s="11" t="s">
        <v>1749</v>
      </c>
      <c r="B1343" s="7">
        <f>_xlfn.XLOOKUP(Jnl[[#This Row],[TrxId]], Trx[Id], Trx[Date],,0)</f>
        <v>46081</v>
      </c>
      <c r="C1343" s="7" t="str">
        <f>_xlfn.XLOOKUP(Jnl[[#This Row],[TrxId]], Trx[Id], Trx[Division],,0)</f>
        <v>MY</v>
      </c>
      <c r="D1343" s="7" t="str">
        <f>_xlfn.XLOOKUP(Jnl[[#This Row],[TrxId]], Trx[Id], Trx[Action],,0)</f>
        <v>收款</v>
      </c>
      <c r="E1343" s="26" t="s">
        <v>83</v>
      </c>
      <c r="F1343" s="11" t="s">
        <v>593</v>
      </c>
      <c r="G1343" s="11" t="s">
        <v>942</v>
      </c>
      <c r="H1343" s="72">
        <v>-1127</v>
      </c>
      <c r="I1343" s="5" t="b">
        <f>AND(Jnl[[#This Row],[TrxId]]&lt;&gt;"",Jnl[[#This Row],[Acct]]&lt;&gt;"",Jnl[[#This Row],[Item]]&lt;&gt;"",ISNUMBER(Jnl[[#This Row],[Bal]]))</f>
        <v>1</v>
      </c>
      <c r="J1343" s="10">
        <f>IF(Jnl[[#This Row],[BSLv0]]="A",1,-1)*Jnl[[#This Row],[Bal]]</f>
        <v>-1127</v>
      </c>
      <c r="K1343" t="str">
        <f>_xlfn.XLOOKUP(Jnl[[#This Row],[Acct]], config_BS[Acct], config_BS[Lv0],,0)</f>
        <v>A</v>
      </c>
      <c r="L1343" t="str">
        <f>_xlfn.XLOOKUP(Jnl[[#This Row],[Acct]], config_BS[Acct], config_BS[Lv1],,0)</f>
        <v>Assets</v>
      </c>
      <c r="M1343" t="str">
        <f>_xlfn.XLOOKUP(Jnl[[#This Row],[Acct]], config_BS[Acct], config_BS[Lv2],,0)</f>
        <v>Rec-Pay</v>
      </c>
      <c r="N1343" t="str">
        <f>_xlfn.XLOOKUP(Jnl[[#This Row],[TrxId]], Trx[Id], Trx[IncNode], ,0)</f>
        <v>Revenue</v>
      </c>
      <c r="O1343" t="str">
        <f>_xlfn.XLOOKUP(Jnl[[#This Row],[IncNode]], config_IS[Node], config_IS[Type],,0)</f>
        <v>Op</v>
      </c>
      <c r="P1343" t="str">
        <f>_xlfn.XLOOKUP(Jnl[[#This Row],[BSLv2]], dict[Key], dict[Name],,0)</f>
        <v>1.应收-应付</v>
      </c>
      <c r="Q1343" t="str">
        <f>_xlfn.XLOOKUP(Jnl[[#This Row],[Acct]], dict[Key], dict[Name],,0)</f>
        <v>应收-一般</v>
      </c>
      <c r="R1343" t="str">
        <f>_xlfn.XLOOKUP(Jnl[[#This Row],[Vehicle]],config_vehicle[Id], config_vehicle[Name],,0)</f>
        <v>远家文化</v>
      </c>
      <c r="S1343" t="str">
        <f>_xlfn.XLOOKUP(Jnl[[#This Row],[Division]],config_div[Id], config_div[Name],,0)</f>
        <v>明月村</v>
      </c>
      <c r="T1343" t="str">
        <f>IF(Jnl[[#This Row],[TrxDate]]&lt;=stmt_BS_date_end, "In", "Out")</f>
        <v>In</v>
      </c>
      <c r="U1343" t="str">
        <f>IF(Jnl[[#This Row],[TrxDate]]&lt;debug_date_start, "prior", IF(Jnl[[#This Row],[TrxDate]]&gt;debug_date_end, "post", "curr"))</f>
        <v>curr</v>
      </c>
    </row>
    <row r="1344" spans="1:21">
      <c r="A1344" s="11" t="s">
        <v>1749</v>
      </c>
      <c r="B1344" s="7">
        <f>_xlfn.XLOOKUP(Jnl[[#This Row],[TrxId]], Trx[Id], Trx[Date],,0)</f>
        <v>46081</v>
      </c>
      <c r="C1344" s="7" t="str">
        <f>_xlfn.XLOOKUP(Jnl[[#This Row],[TrxId]], Trx[Id], Trx[Division],,0)</f>
        <v>MY</v>
      </c>
      <c r="D1344" s="7" t="str">
        <f>_xlfn.XLOOKUP(Jnl[[#This Row],[TrxId]], Trx[Id], Trx[Action],,0)</f>
        <v>收款</v>
      </c>
      <c r="E1344" s="26" t="s">
        <v>87</v>
      </c>
      <c r="F1344" s="11" t="s">
        <v>590</v>
      </c>
      <c r="G1344" s="11" t="s">
        <v>903</v>
      </c>
      <c r="H1344" s="72">
        <f>-H1343</f>
        <v>1127</v>
      </c>
      <c r="I1344" s="5" t="b">
        <f>AND(Jnl[[#This Row],[TrxId]]&lt;&gt;"",Jnl[[#This Row],[Acct]]&lt;&gt;"",Jnl[[#This Row],[Item]]&lt;&gt;"",ISNUMBER(Jnl[[#This Row],[Bal]]))</f>
        <v>1</v>
      </c>
      <c r="J1344" s="10">
        <f>IF(Jnl[[#This Row],[BSLv0]]="A",1,-1)*Jnl[[#This Row],[Bal]]</f>
        <v>1127</v>
      </c>
      <c r="K1344" t="str">
        <f>_xlfn.XLOOKUP(Jnl[[#This Row],[Acct]], config_BS[Acct], config_BS[Lv0],,0)</f>
        <v>A</v>
      </c>
      <c r="L1344" t="str">
        <f>_xlfn.XLOOKUP(Jnl[[#This Row],[Acct]], config_BS[Acct], config_BS[Lv1],,0)</f>
        <v>Assets</v>
      </c>
      <c r="M1344" t="str">
        <f>_xlfn.XLOOKUP(Jnl[[#This Row],[Acct]], config_BS[Acct], config_BS[Lv2],,0)</f>
        <v>Cash alike</v>
      </c>
      <c r="N1344" t="str">
        <f>_xlfn.XLOOKUP(Jnl[[#This Row],[TrxId]], Trx[Id], Trx[IncNode], ,0)</f>
        <v>Revenue</v>
      </c>
      <c r="O1344" t="str">
        <f>_xlfn.XLOOKUP(Jnl[[#This Row],[IncNode]], config_IS[Node], config_IS[Type],,0)</f>
        <v>Op</v>
      </c>
      <c r="P1344" t="str">
        <f>_xlfn.XLOOKUP(Jnl[[#This Row],[BSLv2]], dict[Key], dict[Name],,0)</f>
        <v>0.现金及类似</v>
      </c>
      <c r="Q1344" t="str">
        <f>_xlfn.XLOOKUP(Jnl[[#This Row],[Acct]], dict[Key], dict[Name],,0)</f>
        <v>银行</v>
      </c>
      <c r="R1344" t="str">
        <f>_xlfn.XLOOKUP(Jnl[[#This Row],[Vehicle]],config_vehicle[Id], config_vehicle[Name],,0)</f>
        <v>小月号</v>
      </c>
      <c r="S1344" t="str">
        <f>_xlfn.XLOOKUP(Jnl[[#This Row],[Division]],config_div[Id], config_div[Name],,0)</f>
        <v>明月村</v>
      </c>
      <c r="T1344" t="str">
        <f>IF(Jnl[[#This Row],[TrxDate]]&lt;=stmt_BS_date_end, "In", "Out")</f>
        <v>In</v>
      </c>
      <c r="U1344" t="str">
        <f>IF(Jnl[[#This Row],[TrxDate]]&lt;debug_date_start, "prior", IF(Jnl[[#This Row],[TrxDate]]&gt;debug_date_end, "post", "curr"))</f>
        <v>curr</v>
      </c>
    </row>
    <row r="1345" spans="1:21">
      <c r="A1345" s="11" t="s">
        <v>1750</v>
      </c>
      <c r="B1345" s="7">
        <f>_xlfn.XLOOKUP(Jnl[[#This Row],[TrxId]], Trx[Id], Trx[Date],,0)</f>
        <v>46081</v>
      </c>
      <c r="C1345" s="7" t="str">
        <f>_xlfn.XLOOKUP(Jnl[[#This Row],[TrxId]], Trx[Id], Trx[Division],,0)</f>
        <v>MY</v>
      </c>
      <c r="D1345" s="7" t="str">
        <f>_xlfn.XLOOKUP(Jnl[[#This Row],[TrxId]], Trx[Id], Trx[Action],,0)</f>
        <v>收款</v>
      </c>
      <c r="E1345" s="26" t="s">
        <v>83</v>
      </c>
      <c r="F1345" s="11" t="s">
        <v>593</v>
      </c>
      <c r="G1345" s="11" t="s">
        <v>942</v>
      </c>
      <c r="H1345" s="72">
        <v>-6600</v>
      </c>
      <c r="I1345" s="5" t="b">
        <f>AND(Jnl[[#This Row],[TrxId]]&lt;&gt;"",Jnl[[#This Row],[Acct]]&lt;&gt;"",Jnl[[#This Row],[Item]]&lt;&gt;"",ISNUMBER(Jnl[[#This Row],[Bal]]))</f>
        <v>1</v>
      </c>
      <c r="J1345" s="10">
        <f>IF(Jnl[[#This Row],[BSLv0]]="A",1,-1)*Jnl[[#This Row],[Bal]]</f>
        <v>-6600</v>
      </c>
      <c r="K1345" t="str">
        <f>_xlfn.XLOOKUP(Jnl[[#This Row],[Acct]], config_BS[Acct], config_BS[Lv0],,0)</f>
        <v>A</v>
      </c>
      <c r="L1345" t="str">
        <f>_xlfn.XLOOKUP(Jnl[[#This Row],[Acct]], config_BS[Acct], config_BS[Lv1],,0)</f>
        <v>Assets</v>
      </c>
      <c r="M1345" t="str">
        <f>_xlfn.XLOOKUP(Jnl[[#This Row],[Acct]], config_BS[Acct], config_BS[Lv2],,0)</f>
        <v>Rec-Pay</v>
      </c>
      <c r="N1345" t="str">
        <f>_xlfn.XLOOKUP(Jnl[[#This Row],[TrxId]], Trx[Id], Trx[IncNode], ,0)</f>
        <v>Revenue</v>
      </c>
      <c r="O1345" t="str">
        <f>_xlfn.XLOOKUP(Jnl[[#This Row],[IncNode]], config_IS[Node], config_IS[Type],,0)</f>
        <v>Op</v>
      </c>
      <c r="P1345" t="str">
        <f>_xlfn.XLOOKUP(Jnl[[#This Row],[BSLv2]], dict[Key], dict[Name],,0)</f>
        <v>1.应收-应付</v>
      </c>
      <c r="Q1345" t="str">
        <f>_xlfn.XLOOKUP(Jnl[[#This Row],[Acct]], dict[Key], dict[Name],,0)</f>
        <v>应收-一般</v>
      </c>
      <c r="R1345" t="str">
        <f>_xlfn.XLOOKUP(Jnl[[#This Row],[Vehicle]],config_vehicle[Id], config_vehicle[Name],,0)</f>
        <v>远家文化</v>
      </c>
      <c r="S1345" t="str">
        <f>_xlfn.XLOOKUP(Jnl[[#This Row],[Division]],config_div[Id], config_div[Name],,0)</f>
        <v>明月村</v>
      </c>
      <c r="T1345" t="str">
        <f>IF(Jnl[[#This Row],[TrxDate]]&lt;=stmt_BS_date_end, "In", "Out")</f>
        <v>In</v>
      </c>
      <c r="U1345" t="str">
        <f>IF(Jnl[[#This Row],[TrxDate]]&lt;debug_date_start, "prior", IF(Jnl[[#This Row],[TrxDate]]&gt;debug_date_end, "post", "curr"))</f>
        <v>curr</v>
      </c>
    </row>
    <row r="1346" spans="1:21">
      <c r="A1346" s="11" t="s">
        <v>1750</v>
      </c>
      <c r="B1346" s="7">
        <f>_xlfn.XLOOKUP(Jnl[[#This Row],[TrxId]], Trx[Id], Trx[Date],,0)</f>
        <v>46081</v>
      </c>
      <c r="C1346" s="7" t="str">
        <f>_xlfn.XLOOKUP(Jnl[[#This Row],[TrxId]], Trx[Id], Trx[Division],,0)</f>
        <v>MY</v>
      </c>
      <c r="D1346" s="7" t="str">
        <f>_xlfn.XLOOKUP(Jnl[[#This Row],[TrxId]], Trx[Id], Trx[Action],,0)</f>
        <v>收款</v>
      </c>
      <c r="E1346" s="26" t="s">
        <v>87</v>
      </c>
      <c r="F1346" s="11" t="s">
        <v>590</v>
      </c>
      <c r="G1346" s="11" t="s">
        <v>903</v>
      </c>
      <c r="H1346" s="72">
        <v>6600</v>
      </c>
      <c r="I1346" s="5" t="b">
        <f>AND(Jnl[[#This Row],[TrxId]]&lt;&gt;"",Jnl[[#This Row],[Acct]]&lt;&gt;"",Jnl[[#This Row],[Item]]&lt;&gt;"",ISNUMBER(Jnl[[#This Row],[Bal]]))</f>
        <v>1</v>
      </c>
      <c r="J1346" s="10">
        <f>IF(Jnl[[#This Row],[BSLv0]]="A",1,-1)*Jnl[[#This Row],[Bal]]</f>
        <v>6600</v>
      </c>
      <c r="K1346" t="str">
        <f>_xlfn.XLOOKUP(Jnl[[#This Row],[Acct]], config_BS[Acct], config_BS[Lv0],,0)</f>
        <v>A</v>
      </c>
      <c r="L1346" t="str">
        <f>_xlfn.XLOOKUP(Jnl[[#This Row],[Acct]], config_BS[Acct], config_BS[Lv1],,0)</f>
        <v>Assets</v>
      </c>
      <c r="M1346" t="str">
        <f>_xlfn.XLOOKUP(Jnl[[#This Row],[Acct]], config_BS[Acct], config_BS[Lv2],,0)</f>
        <v>Cash alike</v>
      </c>
      <c r="N1346" t="str">
        <f>_xlfn.XLOOKUP(Jnl[[#This Row],[TrxId]], Trx[Id], Trx[IncNode], ,0)</f>
        <v>Revenue</v>
      </c>
      <c r="O1346" t="str">
        <f>_xlfn.XLOOKUP(Jnl[[#This Row],[IncNode]], config_IS[Node], config_IS[Type],,0)</f>
        <v>Op</v>
      </c>
      <c r="P1346" t="str">
        <f>_xlfn.XLOOKUP(Jnl[[#This Row],[BSLv2]], dict[Key], dict[Name],,0)</f>
        <v>0.现金及类似</v>
      </c>
      <c r="Q1346" t="str">
        <f>_xlfn.XLOOKUP(Jnl[[#This Row],[Acct]], dict[Key], dict[Name],,0)</f>
        <v>银行</v>
      </c>
      <c r="R1346" t="str">
        <f>_xlfn.XLOOKUP(Jnl[[#This Row],[Vehicle]],config_vehicle[Id], config_vehicle[Name],,0)</f>
        <v>小月号</v>
      </c>
      <c r="S1346" t="str">
        <f>_xlfn.XLOOKUP(Jnl[[#This Row],[Division]],config_div[Id], config_div[Name],,0)</f>
        <v>明月村</v>
      </c>
      <c r="T1346" t="str">
        <f>IF(Jnl[[#This Row],[TrxDate]]&lt;=stmt_BS_date_end, "In", "Out")</f>
        <v>In</v>
      </c>
      <c r="U1346" t="str">
        <f>IF(Jnl[[#This Row],[TrxDate]]&lt;debug_date_start, "prior", IF(Jnl[[#This Row],[TrxDate]]&gt;debug_date_end, "post", "curr"))</f>
        <v>curr</v>
      </c>
    </row>
    <row r="1347" spans="1:21">
      <c r="A1347" s="11" t="s">
        <v>1751</v>
      </c>
      <c r="B1347" s="7">
        <f>_xlfn.XLOOKUP(Jnl[[#This Row],[TrxId]], Trx[Id], Trx[Date],,0)</f>
        <v>46081</v>
      </c>
      <c r="C1347" s="7" t="str">
        <f>_xlfn.XLOOKUP(Jnl[[#This Row],[TrxId]], Trx[Id], Trx[Division],,0)</f>
        <v>MY</v>
      </c>
      <c r="D1347" s="7" t="str">
        <f>_xlfn.XLOOKUP(Jnl[[#This Row],[TrxId]], Trx[Id], Trx[Action],,0)</f>
        <v>收款</v>
      </c>
      <c r="E1347" s="26" t="s">
        <v>83</v>
      </c>
      <c r="F1347" s="11" t="s">
        <v>593</v>
      </c>
      <c r="G1347" s="11" t="s">
        <v>947</v>
      </c>
      <c r="H1347" s="72">
        <v>-168</v>
      </c>
      <c r="I1347" s="5" t="b">
        <f>AND(Jnl[[#This Row],[TrxId]]&lt;&gt;"",Jnl[[#This Row],[Acct]]&lt;&gt;"",Jnl[[#This Row],[Item]]&lt;&gt;"",ISNUMBER(Jnl[[#This Row],[Bal]]))</f>
        <v>1</v>
      </c>
      <c r="J1347" s="10">
        <f>IF(Jnl[[#This Row],[BSLv0]]="A",1,-1)*Jnl[[#This Row],[Bal]]</f>
        <v>-168</v>
      </c>
      <c r="K1347" t="str">
        <f>_xlfn.XLOOKUP(Jnl[[#This Row],[Acct]], config_BS[Acct], config_BS[Lv0],,0)</f>
        <v>A</v>
      </c>
      <c r="L1347" t="str">
        <f>_xlfn.XLOOKUP(Jnl[[#This Row],[Acct]], config_BS[Acct], config_BS[Lv1],,0)</f>
        <v>Assets</v>
      </c>
      <c r="M1347" t="str">
        <f>_xlfn.XLOOKUP(Jnl[[#This Row],[Acct]], config_BS[Acct], config_BS[Lv2],,0)</f>
        <v>Rec-Pay</v>
      </c>
      <c r="N1347" t="str">
        <f>_xlfn.XLOOKUP(Jnl[[#This Row],[TrxId]], Trx[Id], Trx[IncNode], ,0)</f>
        <v>Revenue</v>
      </c>
      <c r="O1347" t="str">
        <f>_xlfn.XLOOKUP(Jnl[[#This Row],[IncNode]], config_IS[Node], config_IS[Type],,0)</f>
        <v>Op</v>
      </c>
      <c r="P1347" t="str">
        <f>_xlfn.XLOOKUP(Jnl[[#This Row],[BSLv2]], dict[Key], dict[Name],,0)</f>
        <v>1.应收-应付</v>
      </c>
      <c r="Q1347" t="str">
        <f>_xlfn.XLOOKUP(Jnl[[#This Row],[Acct]], dict[Key], dict[Name],,0)</f>
        <v>应收-一般</v>
      </c>
      <c r="R1347" t="str">
        <f>_xlfn.XLOOKUP(Jnl[[#This Row],[Vehicle]],config_vehicle[Id], config_vehicle[Name],,0)</f>
        <v>远家文化</v>
      </c>
      <c r="S1347" t="str">
        <f>_xlfn.XLOOKUP(Jnl[[#This Row],[Division]],config_div[Id], config_div[Name],,0)</f>
        <v>明月村</v>
      </c>
      <c r="T1347" t="str">
        <f>IF(Jnl[[#This Row],[TrxDate]]&lt;=stmt_BS_date_end, "In", "Out")</f>
        <v>In</v>
      </c>
      <c r="U1347" t="str">
        <f>IF(Jnl[[#This Row],[TrxDate]]&lt;debug_date_start, "prior", IF(Jnl[[#This Row],[TrxDate]]&gt;debug_date_end, "post", "curr"))</f>
        <v>curr</v>
      </c>
    </row>
    <row r="1348" spans="1:21">
      <c r="A1348" s="11" t="s">
        <v>1751</v>
      </c>
      <c r="B1348" s="7">
        <f>_xlfn.XLOOKUP(Jnl[[#This Row],[TrxId]], Trx[Id], Trx[Date],,0)</f>
        <v>46081</v>
      </c>
      <c r="C1348" s="7" t="str">
        <f>_xlfn.XLOOKUP(Jnl[[#This Row],[TrxId]], Trx[Id], Trx[Division],,0)</f>
        <v>MY</v>
      </c>
      <c r="D1348" s="7" t="str">
        <f>_xlfn.XLOOKUP(Jnl[[#This Row],[TrxId]], Trx[Id], Trx[Action],,0)</f>
        <v>收款</v>
      </c>
      <c r="E1348" s="26" t="s">
        <v>87</v>
      </c>
      <c r="F1348" s="11" t="s">
        <v>590</v>
      </c>
      <c r="G1348" s="11" t="s">
        <v>903</v>
      </c>
      <c r="H1348" s="72">
        <v>168</v>
      </c>
      <c r="I1348" s="5" t="b">
        <f>AND(Jnl[[#This Row],[TrxId]]&lt;&gt;"",Jnl[[#This Row],[Acct]]&lt;&gt;"",Jnl[[#This Row],[Item]]&lt;&gt;"",ISNUMBER(Jnl[[#This Row],[Bal]]))</f>
        <v>1</v>
      </c>
      <c r="J1348" s="10">
        <f>IF(Jnl[[#This Row],[BSLv0]]="A",1,-1)*Jnl[[#This Row],[Bal]]</f>
        <v>168</v>
      </c>
      <c r="K1348" t="str">
        <f>_xlfn.XLOOKUP(Jnl[[#This Row],[Acct]], config_BS[Acct], config_BS[Lv0],,0)</f>
        <v>A</v>
      </c>
      <c r="L1348" t="str">
        <f>_xlfn.XLOOKUP(Jnl[[#This Row],[Acct]], config_BS[Acct], config_BS[Lv1],,0)</f>
        <v>Assets</v>
      </c>
      <c r="M1348" t="str">
        <f>_xlfn.XLOOKUP(Jnl[[#This Row],[Acct]], config_BS[Acct], config_BS[Lv2],,0)</f>
        <v>Cash alike</v>
      </c>
      <c r="N1348" t="str">
        <f>_xlfn.XLOOKUP(Jnl[[#This Row],[TrxId]], Trx[Id], Trx[IncNode], ,0)</f>
        <v>Revenue</v>
      </c>
      <c r="O1348" t="str">
        <f>_xlfn.XLOOKUP(Jnl[[#This Row],[IncNode]], config_IS[Node], config_IS[Type],,0)</f>
        <v>Op</v>
      </c>
      <c r="P1348" t="str">
        <f>_xlfn.XLOOKUP(Jnl[[#This Row],[BSLv2]], dict[Key], dict[Name],,0)</f>
        <v>0.现金及类似</v>
      </c>
      <c r="Q1348" t="str">
        <f>_xlfn.XLOOKUP(Jnl[[#This Row],[Acct]], dict[Key], dict[Name],,0)</f>
        <v>银行</v>
      </c>
      <c r="R1348" t="str">
        <f>_xlfn.XLOOKUP(Jnl[[#This Row],[Vehicle]],config_vehicle[Id], config_vehicle[Name],,0)</f>
        <v>小月号</v>
      </c>
      <c r="S1348" t="str">
        <f>_xlfn.XLOOKUP(Jnl[[#This Row],[Division]],config_div[Id], config_div[Name],,0)</f>
        <v>明月村</v>
      </c>
      <c r="T1348" t="str">
        <f>IF(Jnl[[#This Row],[TrxDate]]&lt;=stmt_BS_date_end, "In", "Out")</f>
        <v>In</v>
      </c>
      <c r="U1348" t="str">
        <f>IF(Jnl[[#This Row],[TrxDate]]&lt;debug_date_start, "prior", IF(Jnl[[#This Row],[TrxDate]]&gt;debug_date_end, "post", "curr"))</f>
        <v>curr</v>
      </c>
    </row>
    <row r="1349" spans="1:21">
      <c r="A1349" s="11" t="s">
        <v>1752</v>
      </c>
      <c r="B1349" s="7">
        <f>_xlfn.XLOOKUP(Jnl[[#This Row],[TrxId]], Trx[Id], Trx[Date],,0)</f>
        <v>46081</v>
      </c>
      <c r="C1349" s="7" t="str">
        <f>_xlfn.XLOOKUP(Jnl[[#This Row],[TrxId]], Trx[Id], Trx[Division],,0)</f>
        <v>MY</v>
      </c>
      <c r="D1349" s="7" t="str">
        <f>_xlfn.XLOOKUP(Jnl[[#This Row],[TrxId]], Trx[Id], Trx[Action],,0)</f>
        <v>收款</v>
      </c>
      <c r="E1349" s="26" t="s">
        <v>83</v>
      </c>
      <c r="F1349" s="11" t="s">
        <v>593</v>
      </c>
      <c r="G1349" s="11" t="s">
        <v>947</v>
      </c>
      <c r="H1349" s="72">
        <v>-823.2</v>
      </c>
      <c r="I1349" s="5" t="b">
        <f>AND(Jnl[[#This Row],[TrxId]]&lt;&gt;"",Jnl[[#This Row],[Acct]]&lt;&gt;"",Jnl[[#This Row],[Item]]&lt;&gt;"",ISNUMBER(Jnl[[#This Row],[Bal]]))</f>
        <v>1</v>
      </c>
      <c r="J1349" s="10">
        <f>IF(Jnl[[#This Row],[BSLv0]]="A",1,-1)*Jnl[[#This Row],[Bal]]</f>
        <v>-823.2</v>
      </c>
      <c r="K1349" t="str">
        <f>_xlfn.XLOOKUP(Jnl[[#This Row],[Acct]], config_BS[Acct], config_BS[Lv0],,0)</f>
        <v>A</v>
      </c>
      <c r="L1349" t="str">
        <f>_xlfn.XLOOKUP(Jnl[[#This Row],[Acct]], config_BS[Acct], config_BS[Lv1],,0)</f>
        <v>Assets</v>
      </c>
      <c r="M1349" t="str">
        <f>_xlfn.XLOOKUP(Jnl[[#This Row],[Acct]], config_BS[Acct], config_BS[Lv2],,0)</f>
        <v>Rec-Pay</v>
      </c>
      <c r="N1349" t="str">
        <f>_xlfn.XLOOKUP(Jnl[[#This Row],[TrxId]], Trx[Id], Trx[IncNode], ,0)</f>
        <v>Revenue</v>
      </c>
      <c r="O1349" t="str">
        <f>_xlfn.XLOOKUP(Jnl[[#This Row],[IncNode]], config_IS[Node], config_IS[Type],,0)</f>
        <v>Op</v>
      </c>
      <c r="P1349" t="str">
        <f>_xlfn.XLOOKUP(Jnl[[#This Row],[BSLv2]], dict[Key], dict[Name],,0)</f>
        <v>1.应收-应付</v>
      </c>
      <c r="Q1349" t="str">
        <f>_xlfn.XLOOKUP(Jnl[[#This Row],[Acct]], dict[Key], dict[Name],,0)</f>
        <v>应收-一般</v>
      </c>
      <c r="R1349" t="str">
        <f>_xlfn.XLOOKUP(Jnl[[#This Row],[Vehicle]],config_vehicle[Id], config_vehicle[Name],,0)</f>
        <v>远家文化</v>
      </c>
      <c r="S1349" t="str">
        <f>_xlfn.XLOOKUP(Jnl[[#This Row],[Division]],config_div[Id], config_div[Name],,0)</f>
        <v>明月村</v>
      </c>
      <c r="T1349" t="str">
        <f>IF(Jnl[[#This Row],[TrxDate]]&lt;=stmt_BS_date_end, "In", "Out")</f>
        <v>In</v>
      </c>
      <c r="U1349" t="str">
        <f>IF(Jnl[[#This Row],[TrxDate]]&lt;debug_date_start, "prior", IF(Jnl[[#This Row],[TrxDate]]&gt;debug_date_end, "post", "curr"))</f>
        <v>curr</v>
      </c>
    </row>
    <row r="1350" spans="1:21">
      <c r="A1350" s="11" t="s">
        <v>1752</v>
      </c>
      <c r="B1350" s="7">
        <f>_xlfn.XLOOKUP(Jnl[[#This Row],[TrxId]], Trx[Id], Trx[Date],,0)</f>
        <v>46081</v>
      </c>
      <c r="C1350" s="7" t="str">
        <f>_xlfn.XLOOKUP(Jnl[[#This Row],[TrxId]], Trx[Id], Trx[Division],,0)</f>
        <v>MY</v>
      </c>
      <c r="D1350" s="7" t="str">
        <f>_xlfn.XLOOKUP(Jnl[[#This Row],[TrxId]], Trx[Id], Trx[Action],,0)</f>
        <v>收款</v>
      </c>
      <c r="E1350" s="26" t="s">
        <v>87</v>
      </c>
      <c r="F1350" s="11" t="s">
        <v>590</v>
      </c>
      <c r="G1350" s="11" t="s">
        <v>903</v>
      </c>
      <c r="H1350" s="72">
        <v>823.2</v>
      </c>
      <c r="I1350" s="5" t="b">
        <f>AND(Jnl[[#This Row],[TrxId]]&lt;&gt;"",Jnl[[#This Row],[Acct]]&lt;&gt;"",Jnl[[#This Row],[Item]]&lt;&gt;"",ISNUMBER(Jnl[[#This Row],[Bal]]))</f>
        <v>1</v>
      </c>
      <c r="J1350" s="10">
        <f>IF(Jnl[[#This Row],[BSLv0]]="A",1,-1)*Jnl[[#This Row],[Bal]]</f>
        <v>823.2</v>
      </c>
      <c r="K1350" t="str">
        <f>_xlfn.XLOOKUP(Jnl[[#This Row],[Acct]], config_BS[Acct], config_BS[Lv0],,0)</f>
        <v>A</v>
      </c>
      <c r="L1350" t="str">
        <f>_xlfn.XLOOKUP(Jnl[[#This Row],[Acct]], config_BS[Acct], config_BS[Lv1],,0)</f>
        <v>Assets</v>
      </c>
      <c r="M1350" t="str">
        <f>_xlfn.XLOOKUP(Jnl[[#This Row],[Acct]], config_BS[Acct], config_BS[Lv2],,0)</f>
        <v>Cash alike</v>
      </c>
      <c r="N1350" t="str">
        <f>_xlfn.XLOOKUP(Jnl[[#This Row],[TrxId]], Trx[Id], Trx[IncNode], ,0)</f>
        <v>Revenue</v>
      </c>
      <c r="O1350" t="str">
        <f>_xlfn.XLOOKUP(Jnl[[#This Row],[IncNode]], config_IS[Node], config_IS[Type],,0)</f>
        <v>Op</v>
      </c>
      <c r="P1350" t="str">
        <f>_xlfn.XLOOKUP(Jnl[[#This Row],[BSLv2]], dict[Key], dict[Name],,0)</f>
        <v>0.现金及类似</v>
      </c>
      <c r="Q1350" t="str">
        <f>_xlfn.XLOOKUP(Jnl[[#This Row],[Acct]], dict[Key], dict[Name],,0)</f>
        <v>银行</v>
      </c>
      <c r="R1350" t="str">
        <f>_xlfn.XLOOKUP(Jnl[[#This Row],[Vehicle]],config_vehicle[Id], config_vehicle[Name],,0)</f>
        <v>小月号</v>
      </c>
      <c r="S1350" t="str">
        <f>_xlfn.XLOOKUP(Jnl[[#This Row],[Division]],config_div[Id], config_div[Name],,0)</f>
        <v>明月村</v>
      </c>
      <c r="T1350" t="str">
        <f>IF(Jnl[[#This Row],[TrxDate]]&lt;=stmt_BS_date_end, "In", "Out")</f>
        <v>In</v>
      </c>
      <c r="U1350" t="str">
        <f>IF(Jnl[[#This Row],[TrxDate]]&lt;debug_date_start, "prior", IF(Jnl[[#This Row],[TrxDate]]&gt;debug_date_end, "post", "curr"))</f>
        <v>curr</v>
      </c>
    </row>
    <row r="1351" spans="1:21">
      <c r="A1351" s="11" t="s">
        <v>1753</v>
      </c>
      <c r="B1351" s="7">
        <f>_xlfn.XLOOKUP(Jnl[[#This Row],[TrxId]], Trx[Id], Trx[Date],,0)</f>
        <v>46081</v>
      </c>
      <c r="C1351" s="7" t="str">
        <f>_xlfn.XLOOKUP(Jnl[[#This Row],[TrxId]], Trx[Id], Trx[Division],,0)</f>
        <v>MY</v>
      </c>
      <c r="D1351" s="7" t="str">
        <f>_xlfn.XLOOKUP(Jnl[[#This Row],[TrxId]], Trx[Id], Trx[Action],,0)</f>
        <v>收款</v>
      </c>
      <c r="E1351" s="26" t="s">
        <v>83</v>
      </c>
      <c r="F1351" s="11" t="s">
        <v>593</v>
      </c>
      <c r="G1351" s="11" t="s">
        <v>1060</v>
      </c>
      <c r="H1351" s="72">
        <v>-382</v>
      </c>
      <c r="I1351" s="5" t="b">
        <f>AND(Jnl[[#This Row],[TrxId]]&lt;&gt;"",Jnl[[#This Row],[Acct]]&lt;&gt;"",Jnl[[#This Row],[Item]]&lt;&gt;"",ISNUMBER(Jnl[[#This Row],[Bal]]))</f>
        <v>1</v>
      </c>
      <c r="J1351" s="10">
        <f>IF(Jnl[[#This Row],[BSLv0]]="A",1,-1)*Jnl[[#This Row],[Bal]]</f>
        <v>-382</v>
      </c>
      <c r="K1351" t="str">
        <f>_xlfn.XLOOKUP(Jnl[[#This Row],[Acct]], config_BS[Acct], config_BS[Lv0],,0)</f>
        <v>A</v>
      </c>
      <c r="L1351" t="str">
        <f>_xlfn.XLOOKUP(Jnl[[#This Row],[Acct]], config_BS[Acct], config_BS[Lv1],,0)</f>
        <v>Assets</v>
      </c>
      <c r="M1351" t="str">
        <f>_xlfn.XLOOKUP(Jnl[[#This Row],[Acct]], config_BS[Acct], config_BS[Lv2],,0)</f>
        <v>Rec-Pay</v>
      </c>
      <c r="N1351" t="str">
        <f>_xlfn.XLOOKUP(Jnl[[#This Row],[TrxId]], Trx[Id], Trx[IncNode], ,0)</f>
        <v>Revenue</v>
      </c>
      <c r="O1351" t="str">
        <f>_xlfn.XLOOKUP(Jnl[[#This Row],[IncNode]], config_IS[Node], config_IS[Type],,0)</f>
        <v>Op</v>
      </c>
      <c r="P1351" t="str">
        <f>_xlfn.XLOOKUP(Jnl[[#This Row],[BSLv2]], dict[Key], dict[Name],,0)</f>
        <v>1.应收-应付</v>
      </c>
      <c r="Q1351" t="str">
        <f>_xlfn.XLOOKUP(Jnl[[#This Row],[Acct]], dict[Key], dict[Name],,0)</f>
        <v>应收-一般</v>
      </c>
      <c r="R1351" t="str">
        <f>_xlfn.XLOOKUP(Jnl[[#This Row],[Vehicle]],config_vehicle[Id], config_vehicle[Name],,0)</f>
        <v>远家文化</v>
      </c>
      <c r="S1351" t="str">
        <f>_xlfn.XLOOKUP(Jnl[[#This Row],[Division]],config_div[Id], config_div[Name],,0)</f>
        <v>明月村</v>
      </c>
      <c r="T1351" t="str">
        <f>IF(Jnl[[#This Row],[TrxDate]]&lt;=stmt_BS_date_end, "In", "Out")</f>
        <v>In</v>
      </c>
      <c r="U1351" t="str">
        <f>IF(Jnl[[#This Row],[TrxDate]]&lt;debug_date_start, "prior", IF(Jnl[[#This Row],[TrxDate]]&gt;debug_date_end, "post", "curr"))</f>
        <v>curr</v>
      </c>
    </row>
    <row r="1352" spans="1:21">
      <c r="A1352" s="11" t="s">
        <v>1753</v>
      </c>
      <c r="B1352" s="7">
        <f>_xlfn.XLOOKUP(Jnl[[#This Row],[TrxId]], Trx[Id], Trx[Date],,0)</f>
        <v>46081</v>
      </c>
      <c r="C1352" s="7" t="str">
        <f>_xlfn.XLOOKUP(Jnl[[#This Row],[TrxId]], Trx[Id], Trx[Division],,0)</f>
        <v>MY</v>
      </c>
      <c r="D1352" s="7" t="str">
        <f>_xlfn.XLOOKUP(Jnl[[#This Row],[TrxId]], Trx[Id], Trx[Action],,0)</f>
        <v>收款</v>
      </c>
      <c r="E1352" s="26" t="s">
        <v>87</v>
      </c>
      <c r="F1352" s="11" t="s">
        <v>590</v>
      </c>
      <c r="G1352" s="11" t="s">
        <v>903</v>
      </c>
      <c r="H1352" s="72">
        <v>382</v>
      </c>
      <c r="I1352" s="5" t="b">
        <f>AND(Jnl[[#This Row],[TrxId]]&lt;&gt;"",Jnl[[#This Row],[Acct]]&lt;&gt;"",Jnl[[#This Row],[Item]]&lt;&gt;"",ISNUMBER(Jnl[[#This Row],[Bal]]))</f>
        <v>1</v>
      </c>
      <c r="J1352" s="10">
        <f>IF(Jnl[[#This Row],[BSLv0]]="A",1,-1)*Jnl[[#This Row],[Bal]]</f>
        <v>382</v>
      </c>
      <c r="K1352" t="str">
        <f>_xlfn.XLOOKUP(Jnl[[#This Row],[Acct]], config_BS[Acct], config_BS[Lv0],,0)</f>
        <v>A</v>
      </c>
      <c r="L1352" t="str">
        <f>_xlfn.XLOOKUP(Jnl[[#This Row],[Acct]], config_BS[Acct], config_BS[Lv1],,0)</f>
        <v>Assets</v>
      </c>
      <c r="M1352" t="str">
        <f>_xlfn.XLOOKUP(Jnl[[#This Row],[Acct]], config_BS[Acct], config_BS[Lv2],,0)</f>
        <v>Cash alike</v>
      </c>
      <c r="N1352" t="str">
        <f>_xlfn.XLOOKUP(Jnl[[#This Row],[TrxId]], Trx[Id], Trx[IncNode], ,0)</f>
        <v>Revenue</v>
      </c>
      <c r="O1352" t="str">
        <f>_xlfn.XLOOKUP(Jnl[[#This Row],[IncNode]], config_IS[Node], config_IS[Type],,0)</f>
        <v>Op</v>
      </c>
      <c r="P1352" t="str">
        <f>_xlfn.XLOOKUP(Jnl[[#This Row],[BSLv2]], dict[Key], dict[Name],,0)</f>
        <v>0.现金及类似</v>
      </c>
      <c r="Q1352" t="str">
        <f>_xlfn.XLOOKUP(Jnl[[#This Row],[Acct]], dict[Key], dict[Name],,0)</f>
        <v>银行</v>
      </c>
      <c r="R1352" t="str">
        <f>_xlfn.XLOOKUP(Jnl[[#This Row],[Vehicle]],config_vehicle[Id], config_vehicle[Name],,0)</f>
        <v>小月号</v>
      </c>
      <c r="S1352" t="str">
        <f>_xlfn.XLOOKUP(Jnl[[#This Row],[Division]],config_div[Id], config_div[Name],,0)</f>
        <v>明月村</v>
      </c>
      <c r="T1352" t="str">
        <f>IF(Jnl[[#This Row],[TrxDate]]&lt;=stmt_BS_date_end, "In", "Out")</f>
        <v>In</v>
      </c>
      <c r="U1352" t="str">
        <f>IF(Jnl[[#This Row],[TrxDate]]&lt;debug_date_start, "prior", IF(Jnl[[#This Row],[TrxDate]]&gt;debug_date_end, "post", "curr"))</f>
        <v>curr</v>
      </c>
    </row>
    <row r="1353" spans="1:21">
      <c r="A1353" s="11" t="s">
        <v>1754</v>
      </c>
      <c r="B1353" s="7">
        <f>_xlfn.XLOOKUP(Jnl[[#This Row],[TrxId]], Trx[Id], Trx[Date],,0)</f>
        <v>46081</v>
      </c>
      <c r="C1353" s="7" t="str">
        <f>_xlfn.XLOOKUP(Jnl[[#This Row],[TrxId]], Trx[Id], Trx[Division],,0)</f>
        <v>MY</v>
      </c>
      <c r="D1353" s="7" t="str">
        <f>_xlfn.XLOOKUP(Jnl[[#This Row],[TrxId]], Trx[Id], Trx[Action],,0)</f>
        <v>收款</v>
      </c>
      <c r="E1353" s="26" t="s">
        <v>83</v>
      </c>
      <c r="F1353" s="11" t="s">
        <v>593</v>
      </c>
      <c r="G1353" s="11" t="s">
        <v>947</v>
      </c>
      <c r="H1353" s="72">
        <v>-300</v>
      </c>
      <c r="I1353" s="5" t="b">
        <f>AND(Jnl[[#This Row],[TrxId]]&lt;&gt;"",Jnl[[#This Row],[Acct]]&lt;&gt;"",Jnl[[#This Row],[Item]]&lt;&gt;"",ISNUMBER(Jnl[[#This Row],[Bal]]))</f>
        <v>1</v>
      </c>
      <c r="J1353" s="10">
        <f>IF(Jnl[[#This Row],[BSLv0]]="A",1,-1)*Jnl[[#This Row],[Bal]]</f>
        <v>-300</v>
      </c>
      <c r="K1353" t="str">
        <f>_xlfn.XLOOKUP(Jnl[[#This Row],[Acct]], config_BS[Acct], config_BS[Lv0],,0)</f>
        <v>A</v>
      </c>
      <c r="L1353" t="str">
        <f>_xlfn.XLOOKUP(Jnl[[#This Row],[Acct]], config_BS[Acct], config_BS[Lv1],,0)</f>
        <v>Assets</v>
      </c>
      <c r="M1353" t="str">
        <f>_xlfn.XLOOKUP(Jnl[[#This Row],[Acct]], config_BS[Acct], config_BS[Lv2],,0)</f>
        <v>Rec-Pay</v>
      </c>
      <c r="N1353" t="str">
        <f>_xlfn.XLOOKUP(Jnl[[#This Row],[TrxId]], Trx[Id], Trx[IncNode], ,0)</f>
        <v>Revenue</v>
      </c>
      <c r="O1353" t="str">
        <f>_xlfn.XLOOKUP(Jnl[[#This Row],[IncNode]], config_IS[Node], config_IS[Type],,0)</f>
        <v>Op</v>
      </c>
      <c r="P1353" t="str">
        <f>_xlfn.XLOOKUP(Jnl[[#This Row],[BSLv2]], dict[Key], dict[Name],,0)</f>
        <v>1.应收-应付</v>
      </c>
      <c r="Q1353" t="str">
        <f>_xlfn.XLOOKUP(Jnl[[#This Row],[Acct]], dict[Key], dict[Name],,0)</f>
        <v>应收-一般</v>
      </c>
      <c r="R1353" t="str">
        <f>_xlfn.XLOOKUP(Jnl[[#This Row],[Vehicle]],config_vehicle[Id], config_vehicle[Name],,0)</f>
        <v>远家文化</v>
      </c>
      <c r="S1353" t="str">
        <f>_xlfn.XLOOKUP(Jnl[[#This Row],[Division]],config_div[Id], config_div[Name],,0)</f>
        <v>明月村</v>
      </c>
      <c r="T1353" t="str">
        <f>IF(Jnl[[#This Row],[TrxDate]]&lt;=stmt_BS_date_end, "In", "Out")</f>
        <v>In</v>
      </c>
      <c r="U1353" t="str">
        <f>IF(Jnl[[#This Row],[TrxDate]]&lt;debug_date_start, "prior", IF(Jnl[[#This Row],[TrxDate]]&gt;debug_date_end, "post", "curr"))</f>
        <v>curr</v>
      </c>
    </row>
    <row r="1354" spans="1:21">
      <c r="A1354" s="11" t="s">
        <v>1754</v>
      </c>
      <c r="B1354" s="7">
        <f>_xlfn.XLOOKUP(Jnl[[#This Row],[TrxId]], Trx[Id], Trx[Date],,0)</f>
        <v>46081</v>
      </c>
      <c r="C1354" s="7" t="str">
        <f>_xlfn.XLOOKUP(Jnl[[#This Row],[TrxId]], Trx[Id], Trx[Division],,0)</f>
        <v>MY</v>
      </c>
      <c r="D1354" s="7" t="str">
        <f>_xlfn.XLOOKUP(Jnl[[#This Row],[TrxId]], Trx[Id], Trx[Action],,0)</f>
        <v>收款</v>
      </c>
      <c r="E1354" s="26" t="s">
        <v>87</v>
      </c>
      <c r="F1354" s="11" t="s">
        <v>590</v>
      </c>
      <c r="G1354" s="11" t="s">
        <v>903</v>
      </c>
      <c r="H1354" s="72">
        <v>300</v>
      </c>
      <c r="I1354" s="5" t="b">
        <f>AND(Jnl[[#This Row],[TrxId]]&lt;&gt;"",Jnl[[#This Row],[Acct]]&lt;&gt;"",Jnl[[#This Row],[Item]]&lt;&gt;"",ISNUMBER(Jnl[[#This Row],[Bal]]))</f>
        <v>1</v>
      </c>
      <c r="J1354" s="10">
        <f>IF(Jnl[[#This Row],[BSLv0]]="A",1,-1)*Jnl[[#This Row],[Bal]]</f>
        <v>300</v>
      </c>
      <c r="K1354" t="str">
        <f>_xlfn.XLOOKUP(Jnl[[#This Row],[Acct]], config_BS[Acct], config_BS[Lv0],,0)</f>
        <v>A</v>
      </c>
      <c r="L1354" t="str">
        <f>_xlfn.XLOOKUP(Jnl[[#This Row],[Acct]], config_BS[Acct], config_BS[Lv1],,0)</f>
        <v>Assets</v>
      </c>
      <c r="M1354" t="str">
        <f>_xlfn.XLOOKUP(Jnl[[#This Row],[Acct]], config_BS[Acct], config_BS[Lv2],,0)</f>
        <v>Cash alike</v>
      </c>
      <c r="N1354" t="str">
        <f>_xlfn.XLOOKUP(Jnl[[#This Row],[TrxId]], Trx[Id], Trx[IncNode], ,0)</f>
        <v>Revenue</v>
      </c>
      <c r="O1354" t="str">
        <f>_xlfn.XLOOKUP(Jnl[[#This Row],[IncNode]], config_IS[Node], config_IS[Type],,0)</f>
        <v>Op</v>
      </c>
      <c r="P1354" t="str">
        <f>_xlfn.XLOOKUP(Jnl[[#This Row],[BSLv2]], dict[Key], dict[Name],,0)</f>
        <v>0.现金及类似</v>
      </c>
      <c r="Q1354" t="str">
        <f>_xlfn.XLOOKUP(Jnl[[#This Row],[Acct]], dict[Key], dict[Name],,0)</f>
        <v>银行</v>
      </c>
      <c r="R1354" t="str">
        <f>_xlfn.XLOOKUP(Jnl[[#This Row],[Vehicle]],config_vehicle[Id], config_vehicle[Name],,0)</f>
        <v>小月号</v>
      </c>
      <c r="S1354" t="str">
        <f>_xlfn.XLOOKUP(Jnl[[#This Row],[Division]],config_div[Id], config_div[Name],,0)</f>
        <v>明月村</v>
      </c>
      <c r="T1354" t="str">
        <f>IF(Jnl[[#This Row],[TrxDate]]&lt;=stmt_BS_date_end, "In", "Out")</f>
        <v>In</v>
      </c>
      <c r="U1354" t="str">
        <f>IF(Jnl[[#This Row],[TrxDate]]&lt;debug_date_start, "prior", IF(Jnl[[#This Row],[TrxDate]]&gt;debug_date_end, "post", "curr"))</f>
        <v>curr</v>
      </c>
    </row>
    <row r="1355" spans="1:21">
      <c r="A1355" s="11" t="s">
        <v>1755</v>
      </c>
      <c r="B1355" s="7">
        <f>_xlfn.XLOOKUP(Jnl[[#This Row],[TrxId]], Trx[Id], Trx[Date],,0)</f>
        <v>46081</v>
      </c>
      <c r="C1355" s="7" t="str">
        <f>_xlfn.XLOOKUP(Jnl[[#This Row],[TrxId]], Trx[Id], Trx[Division],,0)</f>
        <v>MY</v>
      </c>
      <c r="D1355" s="7" t="str">
        <f>_xlfn.XLOOKUP(Jnl[[#This Row],[TrxId]], Trx[Id], Trx[Action],,0)</f>
        <v>赔付</v>
      </c>
      <c r="E1355" s="26" t="s">
        <v>87</v>
      </c>
      <c r="F1355" s="11" t="s">
        <v>590</v>
      </c>
      <c r="G1355" s="11" t="s">
        <v>903</v>
      </c>
      <c r="H1355" s="72">
        <v>-3000</v>
      </c>
      <c r="I1355" s="5" t="b">
        <f>AND(Jnl[[#This Row],[TrxId]]&lt;&gt;"",Jnl[[#This Row],[Acct]]&lt;&gt;"",Jnl[[#This Row],[Item]]&lt;&gt;"",ISNUMBER(Jnl[[#This Row],[Bal]]))</f>
        <v>1</v>
      </c>
      <c r="J1355" s="10">
        <f>IF(Jnl[[#This Row],[BSLv0]]="A",1,-1)*Jnl[[#This Row],[Bal]]</f>
        <v>-3000</v>
      </c>
      <c r="K1355" t="str">
        <f>_xlfn.XLOOKUP(Jnl[[#This Row],[Acct]], config_BS[Acct], config_BS[Lv0],,0)</f>
        <v>A</v>
      </c>
      <c r="L1355" t="str">
        <f>_xlfn.XLOOKUP(Jnl[[#This Row],[Acct]], config_BS[Acct], config_BS[Lv1],,0)</f>
        <v>Assets</v>
      </c>
      <c r="M1355" t="str">
        <f>_xlfn.XLOOKUP(Jnl[[#This Row],[Acct]], config_BS[Acct], config_BS[Lv2],,0)</f>
        <v>Cash alike</v>
      </c>
      <c r="N1355" t="str">
        <f>_xlfn.XLOOKUP(Jnl[[#This Row],[TrxId]], Trx[Id], Trx[IncNode], ,0)</f>
        <v>Other</v>
      </c>
      <c r="O1355" t="str">
        <f>_xlfn.XLOOKUP(Jnl[[#This Row],[IncNode]], config_IS[Node], config_IS[Type],,0)</f>
        <v>Non-Op</v>
      </c>
      <c r="P1355" t="str">
        <f>_xlfn.XLOOKUP(Jnl[[#This Row],[BSLv2]], dict[Key], dict[Name],,0)</f>
        <v>0.现金及类似</v>
      </c>
      <c r="Q1355" t="str">
        <f>_xlfn.XLOOKUP(Jnl[[#This Row],[Acct]], dict[Key], dict[Name],,0)</f>
        <v>银行</v>
      </c>
      <c r="R1355" t="str">
        <f>_xlfn.XLOOKUP(Jnl[[#This Row],[Vehicle]],config_vehicle[Id], config_vehicle[Name],,0)</f>
        <v>小月号</v>
      </c>
      <c r="S1355" t="str">
        <f>_xlfn.XLOOKUP(Jnl[[#This Row],[Division]],config_div[Id], config_div[Name],,0)</f>
        <v>明月村</v>
      </c>
      <c r="T1355" t="str">
        <f>IF(Jnl[[#This Row],[TrxDate]]&lt;=stmt_BS_date_end, "In", "Out")</f>
        <v>In</v>
      </c>
      <c r="U1355" t="str">
        <f>IF(Jnl[[#This Row],[TrxDate]]&lt;debug_date_start, "prior", IF(Jnl[[#This Row],[TrxDate]]&gt;debug_date_end, "post", "curr"))</f>
        <v>curr</v>
      </c>
    </row>
    <row r="1356" spans="1:21">
      <c r="A1356" s="11" t="s">
        <v>1758</v>
      </c>
      <c r="B1356" s="7">
        <f>_xlfn.XLOOKUP(Jnl[[#This Row],[TrxId]], Trx[Id], Trx[Date],,0)</f>
        <v>46081</v>
      </c>
      <c r="C1356" s="7" t="str">
        <f>_xlfn.XLOOKUP(Jnl[[#This Row],[TrxId]], Trx[Id], Trx[Division],,0)</f>
        <v>MY</v>
      </c>
      <c r="D1356" s="7" t="str">
        <f>_xlfn.XLOOKUP(Jnl[[#This Row],[TrxId]], Trx[Id], Trx[Action],,0)</f>
        <v>收款</v>
      </c>
      <c r="E1356" s="26" t="s">
        <v>83</v>
      </c>
      <c r="F1356" s="11" t="s">
        <v>593</v>
      </c>
      <c r="G1356" s="11" t="s">
        <v>1060</v>
      </c>
      <c r="H1356" s="72">
        <v>-4310</v>
      </c>
      <c r="I1356" s="5" t="b">
        <f>AND(Jnl[[#This Row],[TrxId]]&lt;&gt;"",Jnl[[#This Row],[Acct]]&lt;&gt;"",Jnl[[#This Row],[Item]]&lt;&gt;"",ISNUMBER(Jnl[[#This Row],[Bal]]))</f>
        <v>1</v>
      </c>
      <c r="J1356" s="10">
        <f>IF(Jnl[[#This Row],[BSLv0]]="A",1,-1)*Jnl[[#This Row],[Bal]]</f>
        <v>-4310</v>
      </c>
      <c r="K1356" t="str">
        <f>_xlfn.XLOOKUP(Jnl[[#This Row],[Acct]], config_BS[Acct], config_BS[Lv0],,0)</f>
        <v>A</v>
      </c>
      <c r="L1356" t="str">
        <f>_xlfn.XLOOKUP(Jnl[[#This Row],[Acct]], config_BS[Acct], config_BS[Lv1],,0)</f>
        <v>Assets</v>
      </c>
      <c r="M1356" t="str">
        <f>_xlfn.XLOOKUP(Jnl[[#This Row],[Acct]], config_BS[Acct], config_BS[Lv2],,0)</f>
        <v>Rec-Pay</v>
      </c>
      <c r="N1356" t="str">
        <f>_xlfn.XLOOKUP(Jnl[[#This Row],[TrxId]], Trx[Id], Trx[IncNode], ,0)</f>
        <v>Revenue</v>
      </c>
      <c r="O1356" t="str">
        <f>_xlfn.XLOOKUP(Jnl[[#This Row],[IncNode]], config_IS[Node], config_IS[Type],,0)</f>
        <v>Op</v>
      </c>
      <c r="P1356" t="str">
        <f>_xlfn.XLOOKUP(Jnl[[#This Row],[BSLv2]], dict[Key], dict[Name],,0)</f>
        <v>1.应收-应付</v>
      </c>
      <c r="Q1356" t="str">
        <f>_xlfn.XLOOKUP(Jnl[[#This Row],[Acct]], dict[Key], dict[Name],,0)</f>
        <v>应收-一般</v>
      </c>
      <c r="R1356" t="str">
        <f>_xlfn.XLOOKUP(Jnl[[#This Row],[Vehicle]],config_vehicle[Id], config_vehicle[Name],,0)</f>
        <v>远家文化</v>
      </c>
      <c r="S1356" t="str">
        <f>_xlfn.XLOOKUP(Jnl[[#This Row],[Division]],config_div[Id], config_div[Name],,0)</f>
        <v>明月村</v>
      </c>
      <c r="T1356" t="str">
        <f>IF(Jnl[[#This Row],[TrxDate]]&lt;=stmt_BS_date_end, "In", "Out")</f>
        <v>In</v>
      </c>
      <c r="U1356" t="str">
        <f>IF(Jnl[[#This Row],[TrxDate]]&lt;debug_date_start, "prior", IF(Jnl[[#This Row],[TrxDate]]&gt;debug_date_end, "post", "curr"))</f>
        <v>curr</v>
      </c>
    </row>
    <row r="1357" spans="1:21">
      <c r="A1357" s="11" t="s">
        <v>1758</v>
      </c>
      <c r="B1357" s="7">
        <f>_xlfn.XLOOKUP(Jnl[[#This Row],[TrxId]], Trx[Id], Trx[Date],,0)</f>
        <v>46081</v>
      </c>
      <c r="C1357" s="7" t="str">
        <f>_xlfn.XLOOKUP(Jnl[[#This Row],[TrxId]], Trx[Id], Trx[Division],,0)</f>
        <v>MY</v>
      </c>
      <c r="D1357" s="7" t="str">
        <f>_xlfn.XLOOKUP(Jnl[[#This Row],[TrxId]], Trx[Id], Trx[Action],,0)</f>
        <v>收款</v>
      </c>
      <c r="E1357" s="26" t="s">
        <v>87</v>
      </c>
      <c r="F1357" s="11" t="s">
        <v>590</v>
      </c>
      <c r="G1357" s="11" t="s">
        <v>904</v>
      </c>
      <c r="H1357" s="72">
        <v>4310</v>
      </c>
      <c r="I1357" s="5" t="b">
        <f>AND(Jnl[[#This Row],[TrxId]]&lt;&gt;"",Jnl[[#This Row],[Acct]]&lt;&gt;"",Jnl[[#This Row],[Item]]&lt;&gt;"",ISNUMBER(Jnl[[#This Row],[Bal]]))</f>
        <v>1</v>
      </c>
      <c r="J1357" s="10">
        <f>IF(Jnl[[#This Row],[BSLv0]]="A",1,-1)*Jnl[[#This Row],[Bal]]</f>
        <v>4310</v>
      </c>
      <c r="K1357" t="str">
        <f>_xlfn.XLOOKUP(Jnl[[#This Row],[Acct]], config_BS[Acct], config_BS[Lv0],,0)</f>
        <v>A</v>
      </c>
      <c r="L1357" t="str">
        <f>_xlfn.XLOOKUP(Jnl[[#This Row],[Acct]], config_BS[Acct], config_BS[Lv1],,0)</f>
        <v>Assets</v>
      </c>
      <c r="M1357" t="str">
        <f>_xlfn.XLOOKUP(Jnl[[#This Row],[Acct]], config_BS[Acct], config_BS[Lv2],,0)</f>
        <v>Cash alike</v>
      </c>
      <c r="N1357" t="str">
        <f>_xlfn.XLOOKUP(Jnl[[#This Row],[TrxId]], Trx[Id], Trx[IncNode], ,0)</f>
        <v>Revenue</v>
      </c>
      <c r="O1357" t="str">
        <f>_xlfn.XLOOKUP(Jnl[[#This Row],[IncNode]], config_IS[Node], config_IS[Type],,0)</f>
        <v>Op</v>
      </c>
      <c r="P1357" t="str">
        <f>_xlfn.XLOOKUP(Jnl[[#This Row],[BSLv2]], dict[Key], dict[Name],,0)</f>
        <v>0.现金及类似</v>
      </c>
      <c r="Q1357" t="str">
        <f>_xlfn.XLOOKUP(Jnl[[#This Row],[Acct]], dict[Key], dict[Name],,0)</f>
        <v>银行</v>
      </c>
      <c r="R1357" t="str">
        <f>_xlfn.XLOOKUP(Jnl[[#This Row],[Vehicle]],config_vehicle[Id], config_vehicle[Name],,0)</f>
        <v>小月号</v>
      </c>
      <c r="S1357" t="str">
        <f>_xlfn.XLOOKUP(Jnl[[#This Row],[Division]],config_div[Id], config_div[Name],,0)</f>
        <v>明月村</v>
      </c>
      <c r="T1357" t="str">
        <f>IF(Jnl[[#This Row],[TrxDate]]&lt;=stmt_BS_date_end, "In", "Out")</f>
        <v>In</v>
      </c>
      <c r="U1357" t="str">
        <f>IF(Jnl[[#This Row],[TrxDate]]&lt;debug_date_start, "prior", IF(Jnl[[#This Row],[TrxDate]]&gt;debug_date_end, "post", "curr"))</f>
        <v>curr</v>
      </c>
    </row>
    <row r="1358" spans="1:21">
      <c r="A1358" s="11" t="s">
        <v>1759</v>
      </c>
      <c r="B1358" s="7">
        <f>_xlfn.XLOOKUP(Jnl[[#This Row],[TrxId]], Trx[Id], Trx[Date],,0)</f>
        <v>46081</v>
      </c>
      <c r="C1358" s="7" t="str">
        <f>_xlfn.XLOOKUP(Jnl[[#This Row],[TrxId]], Trx[Id], Trx[Division],,0)</f>
        <v>MY</v>
      </c>
      <c r="D1358" s="7" t="str">
        <f>_xlfn.XLOOKUP(Jnl[[#This Row],[TrxId]], Trx[Id], Trx[Action],,0)</f>
        <v>收款</v>
      </c>
      <c r="E1358" s="26" t="s">
        <v>83</v>
      </c>
      <c r="F1358" s="11" t="s">
        <v>593</v>
      </c>
      <c r="G1358" s="11" t="s">
        <v>1707</v>
      </c>
      <c r="H1358" s="72">
        <v>-236</v>
      </c>
      <c r="I1358" s="5" t="b">
        <f>AND(Jnl[[#This Row],[TrxId]]&lt;&gt;"",Jnl[[#This Row],[Acct]]&lt;&gt;"",Jnl[[#This Row],[Item]]&lt;&gt;"",ISNUMBER(Jnl[[#This Row],[Bal]]))</f>
        <v>1</v>
      </c>
      <c r="J1358" s="10">
        <f>IF(Jnl[[#This Row],[BSLv0]]="A",1,-1)*Jnl[[#This Row],[Bal]]</f>
        <v>-236</v>
      </c>
      <c r="K1358" t="str">
        <f>_xlfn.XLOOKUP(Jnl[[#This Row],[Acct]], config_BS[Acct], config_BS[Lv0],,0)</f>
        <v>A</v>
      </c>
      <c r="L1358" t="str">
        <f>_xlfn.XLOOKUP(Jnl[[#This Row],[Acct]], config_BS[Acct], config_BS[Lv1],,0)</f>
        <v>Assets</v>
      </c>
      <c r="M1358" t="str">
        <f>_xlfn.XLOOKUP(Jnl[[#This Row],[Acct]], config_BS[Acct], config_BS[Lv2],,0)</f>
        <v>Rec-Pay</v>
      </c>
      <c r="N1358" t="str">
        <f>_xlfn.XLOOKUP(Jnl[[#This Row],[TrxId]], Trx[Id], Trx[IncNode], ,0)</f>
        <v>Revenue</v>
      </c>
      <c r="O1358" t="str">
        <f>_xlfn.XLOOKUP(Jnl[[#This Row],[IncNode]], config_IS[Node], config_IS[Type],,0)</f>
        <v>Op</v>
      </c>
      <c r="P1358" t="str">
        <f>_xlfn.XLOOKUP(Jnl[[#This Row],[BSLv2]], dict[Key], dict[Name],,0)</f>
        <v>1.应收-应付</v>
      </c>
      <c r="Q1358" t="str">
        <f>_xlfn.XLOOKUP(Jnl[[#This Row],[Acct]], dict[Key], dict[Name],,0)</f>
        <v>应收-一般</v>
      </c>
      <c r="R1358" t="str">
        <f>_xlfn.XLOOKUP(Jnl[[#This Row],[Vehicle]],config_vehicle[Id], config_vehicle[Name],,0)</f>
        <v>远家文化</v>
      </c>
      <c r="S1358" t="str">
        <f>_xlfn.XLOOKUP(Jnl[[#This Row],[Division]],config_div[Id], config_div[Name],,0)</f>
        <v>明月村</v>
      </c>
      <c r="T1358" t="str">
        <f>IF(Jnl[[#This Row],[TrxDate]]&lt;=stmt_BS_date_end, "In", "Out")</f>
        <v>In</v>
      </c>
      <c r="U1358" t="str">
        <f>IF(Jnl[[#This Row],[TrxDate]]&lt;debug_date_start, "prior", IF(Jnl[[#This Row],[TrxDate]]&gt;debug_date_end, "post", "curr"))</f>
        <v>curr</v>
      </c>
    </row>
    <row r="1359" spans="1:21">
      <c r="A1359" s="11" t="s">
        <v>1759</v>
      </c>
      <c r="B1359" s="7">
        <f>_xlfn.XLOOKUP(Jnl[[#This Row],[TrxId]], Trx[Id], Trx[Date],,0)</f>
        <v>46081</v>
      </c>
      <c r="C1359" s="7" t="str">
        <f>_xlfn.XLOOKUP(Jnl[[#This Row],[TrxId]], Trx[Id], Trx[Division],,0)</f>
        <v>MY</v>
      </c>
      <c r="D1359" s="7" t="str">
        <f>_xlfn.XLOOKUP(Jnl[[#This Row],[TrxId]], Trx[Id], Trx[Action],,0)</f>
        <v>收款</v>
      </c>
      <c r="E1359" s="26" t="s">
        <v>87</v>
      </c>
      <c r="F1359" s="11" t="s">
        <v>590</v>
      </c>
      <c r="G1359" s="11" t="s">
        <v>904</v>
      </c>
      <c r="H1359" s="72">
        <v>236</v>
      </c>
      <c r="I1359" s="5" t="b">
        <f>AND(Jnl[[#This Row],[TrxId]]&lt;&gt;"",Jnl[[#This Row],[Acct]]&lt;&gt;"",Jnl[[#This Row],[Item]]&lt;&gt;"",ISNUMBER(Jnl[[#This Row],[Bal]]))</f>
        <v>1</v>
      </c>
      <c r="J1359" s="10">
        <f>IF(Jnl[[#This Row],[BSLv0]]="A",1,-1)*Jnl[[#This Row],[Bal]]</f>
        <v>236</v>
      </c>
      <c r="K1359" t="str">
        <f>_xlfn.XLOOKUP(Jnl[[#This Row],[Acct]], config_BS[Acct], config_BS[Lv0],,0)</f>
        <v>A</v>
      </c>
      <c r="L1359" t="str">
        <f>_xlfn.XLOOKUP(Jnl[[#This Row],[Acct]], config_BS[Acct], config_BS[Lv1],,0)</f>
        <v>Assets</v>
      </c>
      <c r="M1359" t="str">
        <f>_xlfn.XLOOKUP(Jnl[[#This Row],[Acct]], config_BS[Acct], config_BS[Lv2],,0)</f>
        <v>Cash alike</v>
      </c>
      <c r="N1359" t="str">
        <f>_xlfn.XLOOKUP(Jnl[[#This Row],[TrxId]], Trx[Id], Trx[IncNode], ,0)</f>
        <v>Revenue</v>
      </c>
      <c r="O1359" t="str">
        <f>_xlfn.XLOOKUP(Jnl[[#This Row],[IncNode]], config_IS[Node], config_IS[Type],,0)</f>
        <v>Op</v>
      </c>
      <c r="P1359" t="str">
        <f>_xlfn.XLOOKUP(Jnl[[#This Row],[BSLv2]], dict[Key], dict[Name],,0)</f>
        <v>0.现金及类似</v>
      </c>
      <c r="Q1359" t="str">
        <f>_xlfn.XLOOKUP(Jnl[[#This Row],[Acct]], dict[Key], dict[Name],,0)</f>
        <v>银行</v>
      </c>
      <c r="R1359" t="str">
        <f>_xlfn.XLOOKUP(Jnl[[#This Row],[Vehicle]],config_vehicle[Id], config_vehicle[Name],,0)</f>
        <v>小月号</v>
      </c>
      <c r="S1359" t="str">
        <f>_xlfn.XLOOKUP(Jnl[[#This Row],[Division]],config_div[Id], config_div[Name],,0)</f>
        <v>明月村</v>
      </c>
      <c r="T1359" t="str">
        <f>IF(Jnl[[#This Row],[TrxDate]]&lt;=stmt_BS_date_end, "In", "Out")</f>
        <v>In</v>
      </c>
      <c r="U1359" t="str">
        <f>IF(Jnl[[#This Row],[TrxDate]]&lt;debug_date_start, "prior", IF(Jnl[[#This Row],[TrxDate]]&gt;debug_date_end, "post", "curr"))</f>
        <v>curr</v>
      </c>
    </row>
    <row r="1360" spans="1:21">
      <c r="A1360" s="11" t="s">
        <v>1760</v>
      </c>
      <c r="B1360" s="7">
        <f>_xlfn.XLOOKUP(Jnl[[#This Row],[TrxId]], Trx[Id], Trx[Date],,0)</f>
        <v>46081</v>
      </c>
      <c r="C1360" s="7" t="str">
        <f>_xlfn.XLOOKUP(Jnl[[#This Row],[TrxId]], Trx[Id], Trx[Division],,0)</f>
        <v>MY</v>
      </c>
      <c r="D1360" s="7" t="str">
        <f>_xlfn.XLOOKUP(Jnl[[#This Row],[TrxId]], Trx[Id], Trx[Action],,0)</f>
        <v>收款</v>
      </c>
      <c r="E1360" s="26" t="s">
        <v>83</v>
      </c>
      <c r="F1360" s="11" t="s">
        <v>593</v>
      </c>
      <c r="G1360" s="11" t="s">
        <v>1001</v>
      </c>
      <c r="H1360" s="72">
        <v>-82</v>
      </c>
      <c r="I1360" s="5" t="b">
        <f>AND(Jnl[[#This Row],[TrxId]]&lt;&gt;"",Jnl[[#This Row],[Acct]]&lt;&gt;"",Jnl[[#This Row],[Item]]&lt;&gt;"",ISNUMBER(Jnl[[#This Row],[Bal]]))</f>
        <v>1</v>
      </c>
      <c r="J1360" s="10">
        <f>IF(Jnl[[#This Row],[BSLv0]]="A",1,-1)*Jnl[[#This Row],[Bal]]</f>
        <v>-82</v>
      </c>
      <c r="K1360" t="str">
        <f>_xlfn.XLOOKUP(Jnl[[#This Row],[Acct]], config_BS[Acct], config_BS[Lv0],,0)</f>
        <v>A</v>
      </c>
      <c r="L1360" t="str">
        <f>_xlfn.XLOOKUP(Jnl[[#This Row],[Acct]], config_BS[Acct], config_BS[Lv1],,0)</f>
        <v>Assets</v>
      </c>
      <c r="M1360" t="str">
        <f>_xlfn.XLOOKUP(Jnl[[#This Row],[Acct]], config_BS[Acct], config_BS[Lv2],,0)</f>
        <v>Rec-Pay</v>
      </c>
      <c r="N1360" t="str">
        <f>_xlfn.XLOOKUP(Jnl[[#This Row],[TrxId]], Trx[Id], Trx[IncNode], ,0)</f>
        <v>Revenue</v>
      </c>
      <c r="O1360" t="str">
        <f>_xlfn.XLOOKUP(Jnl[[#This Row],[IncNode]], config_IS[Node], config_IS[Type],,0)</f>
        <v>Op</v>
      </c>
      <c r="P1360" t="str">
        <f>_xlfn.XLOOKUP(Jnl[[#This Row],[BSLv2]], dict[Key], dict[Name],,0)</f>
        <v>1.应收-应付</v>
      </c>
      <c r="Q1360" t="str">
        <f>_xlfn.XLOOKUP(Jnl[[#This Row],[Acct]], dict[Key], dict[Name],,0)</f>
        <v>应收-一般</v>
      </c>
      <c r="R1360" t="str">
        <f>_xlfn.XLOOKUP(Jnl[[#This Row],[Vehicle]],config_vehicle[Id], config_vehicle[Name],,0)</f>
        <v>远家文化</v>
      </c>
      <c r="S1360" t="str">
        <f>_xlfn.XLOOKUP(Jnl[[#This Row],[Division]],config_div[Id], config_div[Name],,0)</f>
        <v>明月村</v>
      </c>
      <c r="T1360" t="str">
        <f>IF(Jnl[[#This Row],[TrxDate]]&lt;=stmt_BS_date_end, "In", "Out")</f>
        <v>In</v>
      </c>
      <c r="U1360" t="str">
        <f>IF(Jnl[[#This Row],[TrxDate]]&lt;debug_date_start, "prior", IF(Jnl[[#This Row],[TrxDate]]&gt;debug_date_end, "post", "curr"))</f>
        <v>curr</v>
      </c>
    </row>
    <row r="1361" spans="1:21">
      <c r="A1361" s="11" t="s">
        <v>1760</v>
      </c>
      <c r="B1361" s="7">
        <f>_xlfn.XLOOKUP(Jnl[[#This Row],[TrxId]], Trx[Id], Trx[Date],,0)</f>
        <v>46081</v>
      </c>
      <c r="C1361" s="7" t="str">
        <f>_xlfn.XLOOKUP(Jnl[[#This Row],[TrxId]], Trx[Id], Trx[Division],,0)</f>
        <v>MY</v>
      </c>
      <c r="D1361" s="7" t="str">
        <f>_xlfn.XLOOKUP(Jnl[[#This Row],[TrxId]], Trx[Id], Trx[Action],,0)</f>
        <v>收款</v>
      </c>
      <c r="E1361" s="26" t="s">
        <v>87</v>
      </c>
      <c r="F1361" s="11" t="s">
        <v>590</v>
      </c>
      <c r="G1361" s="11" t="s">
        <v>904</v>
      </c>
      <c r="H1361" s="72">
        <v>82</v>
      </c>
      <c r="I1361" s="5" t="b">
        <f>AND(Jnl[[#This Row],[TrxId]]&lt;&gt;"",Jnl[[#This Row],[Acct]]&lt;&gt;"",Jnl[[#This Row],[Item]]&lt;&gt;"",ISNUMBER(Jnl[[#This Row],[Bal]]))</f>
        <v>1</v>
      </c>
      <c r="J1361" s="10">
        <f>IF(Jnl[[#This Row],[BSLv0]]="A",1,-1)*Jnl[[#This Row],[Bal]]</f>
        <v>82</v>
      </c>
      <c r="K1361" t="str">
        <f>_xlfn.XLOOKUP(Jnl[[#This Row],[Acct]], config_BS[Acct], config_BS[Lv0],,0)</f>
        <v>A</v>
      </c>
      <c r="L1361" t="str">
        <f>_xlfn.XLOOKUP(Jnl[[#This Row],[Acct]], config_BS[Acct], config_BS[Lv1],,0)</f>
        <v>Assets</v>
      </c>
      <c r="M1361" t="str">
        <f>_xlfn.XLOOKUP(Jnl[[#This Row],[Acct]], config_BS[Acct], config_BS[Lv2],,0)</f>
        <v>Cash alike</v>
      </c>
      <c r="N1361" t="str">
        <f>_xlfn.XLOOKUP(Jnl[[#This Row],[TrxId]], Trx[Id], Trx[IncNode], ,0)</f>
        <v>Revenue</v>
      </c>
      <c r="O1361" t="str">
        <f>_xlfn.XLOOKUP(Jnl[[#This Row],[IncNode]], config_IS[Node], config_IS[Type],,0)</f>
        <v>Op</v>
      </c>
      <c r="P1361" t="str">
        <f>_xlfn.XLOOKUP(Jnl[[#This Row],[BSLv2]], dict[Key], dict[Name],,0)</f>
        <v>0.现金及类似</v>
      </c>
      <c r="Q1361" t="str">
        <f>_xlfn.XLOOKUP(Jnl[[#This Row],[Acct]], dict[Key], dict[Name],,0)</f>
        <v>银行</v>
      </c>
      <c r="R1361" t="str">
        <f>_xlfn.XLOOKUP(Jnl[[#This Row],[Vehicle]],config_vehicle[Id], config_vehicle[Name],,0)</f>
        <v>小月号</v>
      </c>
      <c r="S1361" t="str">
        <f>_xlfn.XLOOKUP(Jnl[[#This Row],[Division]],config_div[Id], config_div[Name],,0)</f>
        <v>明月村</v>
      </c>
      <c r="T1361" t="str">
        <f>IF(Jnl[[#This Row],[TrxDate]]&lt;=stmt_BS_date_end, "In", "Out")</f>
        <v>In</v>
      </c>
      <c r="U1361" t="str">
        <f>IF(Jnl[[#This Row],[TrxDate]]&lt;debug_date_start, "prior", IF(Jnl[[#This Row],[TrxDate]]&gt;debug_date_end, "post", "curr"))</f>
        <v>curr</v>
      </c>
    </row>
    <row r="1362" spans="1:21">
      <c r="A1362" s="11" t="s">
        <v>1761</v>
      </c>
      <c r="B1362" s="7">
        <f>_xlfn.XLOOKUP(Jnl[[#This Row],[TrxId]], Trx[Id], Trx[Date],,0)</f>
        <v>46081</v>
      </c>
      <c r="C1362" s="7" t="str">
        <f>_xlfn.XLOOKUP(Jnl[[#This Row],[TrxId]], Trx[Id], Trx[Division],,0)</f>
        <v>MY</v>
      </c>
      <c r="D1362" s="7" t="str">
        <f>_xlfn.XLOOKUP(Jnl[[#This Row],[TrxId]], Trx[Id], Trx[Action],,0)</f>
        <v>收款</v>
      </c>
      <c r="E1362" s="26" t="s">
        <v>83</v>
      </c>
      <c r="F1362" s="11" t="s">
        <v>593</v>
      </c>
      <c r="G1362" s="11" t="s">
        <v>1060</v>
      </c>
      <c r="H1362" s="72">
        <v>-180</v>
      </c>
      <c r="I1362" s="5" t="b">
        <f>AND(Jnl[[#This Row],[TrxId]]&lt;&gt;"",Jnl[[#This Row],[Acct]]&lt;&gt;"",Jnl[[#This Row],[Item]]&lt;&gt;"",ISNUMBER(Jnl[[#This Row],[Bal]]))</f>
        <v>1</v>
      </c>
      <c r="J1362" s="10">
        <f>IF(Jnl[[#This Row],[BSLv0]]="A",1,-1)*Jnl[[#This Row],[Bal]]</f>
        <v>-180</v>
      </c>
      <c r="K1362" t="str">
        <f>_xlfn.XLOOKUP(Jnl[[#This Row],[Acct]], config_BS[Acct], config_BS[Lv0],,0)</f>
        <v>A</v>
      </c>
      <c r="L1362" t="str">
        <f>_xlfn.XLOOKUP(Jnl[[#This Row],[Acct]], config_BS[Acct], config_BS[Lv1],,0)</f>
        <v>Assets</v>
      </c>
      <c r="M1362" t="str">
        <f>_xlfn.XLOOKUP(Jnl[[#This Row],[Acct]], config_BS[Acct], config_BS[Lv2],,0)</f>
        <v>Rec-Pay</v>
      </c>
      <c r="N1362" t="str">
        <f>_xlfn.XLOOKUP(Jnl[[#This Row],[TrxId]], Trx[Id], Trx[IncNode], ,0)</f>
        <v>Revenue</v>
      </c>
      <c r="O1362" t="str">
        <f>_xlfn.XLOOKUP(Jnl[[#This Row],[IncNode]], config_IS[Node], config_IS[Type],,0)</f>
        <v>Op</v>
      </c>
      <c r="P1362" t="str">
        <f>_xlfn.XLOOKUP(Jnl[[#This Row],[BSLv2]], dict[Key], dict[Name],,0)</f>
        <v>1.应收-应付</v>
      </c>
      <c r="Q1362" t="str">
        <f>_xlfn.XLOOKUP(Jnl[[#This Row],[Acct]], dict[Key], dict[Name],,0)</f>
        <v>应收-一般</v>
      </c>
      <c r="R1362" t="str">
        <f>_xlfn.XLOOKUP(Jnl[[#This Row],[Vehicle]],config_vehicle[Id], config_vehicle[Name],,0)</f>
        <v>远家文化</v>
      </c>
      <c r="S1362" t="str">
        <f>_xlfn.XLOOKUP(Jnl[[#This Row],[Division]],config_div[Id], config_div[Name],,0)</f>
        <v>明月村</v>
      </c>
      <c r="T1362" t="str">
        <f>IF(Jnl[[#This Row],[TrxDate]]&lt;=stmt_BS_date_end, "In", "Out")</f>
        <v>In</v>
      </c>
      <c r="U1362" t="str">
        <f>IF(Jnl[[#This Row],[TrxDate]]&lt;debug_date_start, "prior", IF(Jnl[[#This Row],[TrxDate]]&gt;debug_date_end, "post", "curr"))</f>
        <v>curr</v>
      </c>
    </row>
    <row r="1363" spans="1:21">
      <c r="A1363" s="11" t="s">
        <v>1761</v>
      </c>
      <c r="B1363" s="7">
        <f>_xlfn.XLOOKUP(Jnl[[#This Row],[TrxId]], Trx[Id], Trx[Date],,0)</f>
        <v>46081</v>
      </c>
      <c r="C1363" s="7" t="str">
        <f>_xlfn.XLOOKUP(Jnl[[#This Row],[TrxId]], Trx[Id], Trx[Division],,0)</f>
        <v>MY</v>
      </c>
      <c r="D1363" s="7" t="str">
        <f>_xlfn.XLOOKUP(Jnl[[#This Row],[TrxId]], Trx[Id], Trx[Action],,0)</f>
        <v>收款</v>
      </c>
      <c r="E1363" s="26" t="s">
        <v>87</v>
      </c>
      <c r="F1363" s="11" t="s">
        <v>590</v>
      </c>
      <c r="G1363" s="11" t="s">
        <v>904</v>
      </c>
      <c r="H1363" s="72">
        <v>180</v>
      </c>
      <c r="I1363" s="5" t="b">
        <f>AND(Jnl[[#This Row],[TrxId]]&lt;&gt;"",Jnl[[#This Row],[Acct]]&lt;&gt;"",Jnl[[#This Row],[Item]]&lt;&gt;"",ISNUMBER(Jnl[[#This Row],[Bal]]))</f>
        <v>1</v>
      </c>
      <c r="J1363" s="10">
        <f>IF(Jnl[[#This Row],[BSLv0]]="A",1,-1)*Jnl[[#This Row],[Bal]]</f>
        <v>180</v>
      </c>
      <c r="K1363" t="str">
        <f>_xlfn.XLOOKUP(Jnl[[#This Row],[Acct]], config_BS[Acct], config_BS[Lv0],,0)</f>
        <v>A</v>
      </c>
      <c r="L1363" t="str">
        <f>_xlfn.XLOOKUP(Jnl[[#This Row],[Acct]], config_BS[Acct], config_BS[Lv1],,0)</f>
        <v>Assets</v>
      </c>
      <c r="M1363" t="str">
        <f>_xlfn.XLOOKUP(Jnl[[#This Row],[Acct]], config_BS[Acct], config_BS[Lv2],,0)</f>
        <v>Cash alike</v>
      </c>
      <c r="N1363" t="str">
        <f>_xlfn.XLOOKUP(Jnl[[#This Row],[TrxId]], Trx[Id], Trx[IncNode], ,0)</f>
        <v>Revenue</v>
      </c>
      <c r="O1363" t="str">
        <f>_xlfn.XLOOKUP(Jnl[[#This Row],[IncNode]], config_IS[Node], config_IS[Type],,0)</f>
        <v>Op</v>
      </c>
      <c r="P1363" t="str">
        <f>_xlfn.XLOOKUP(Jnl[[#This Row],[BSLv2]], dict[Key], dict[Name],,0)</f>
        <v>0.现金及类似</v>
      </c>
      <c r="Q1363" t="str">
        <f>_xlfn.XLOOKUP(Jnl[[#This Row],[Acct]], dict[Key], dict[Name],,0)</f>
        <v>银行</v>
      </c>
      <c r="R1363" t="str">
        <f>_xlfn.XLOOKUP(Jnl[[#This Row],[Vehicle]],config_vehicle[Id], config_vehicle[Name],,0)</f>
        <v>小月号</v>
      </c>
      <c r="S1363" t="str">
        <f>_xlfn.XLOOKUP(Jnl[[#This Row],[Division]],config_div[Id], config_div[Name],,0)</f>
        <v>明月村</v>
      </c>
      <c r="T1363" t="str">
        <f>IF(Jnl[[#This Row],[TrxDate]]&lt;=stmt_BS_date_end, "In", "Out")</f>
        <v>In</v>
      </c>
      <c r="U1363" t="str">
        <f>IF(Jnl[[#This Row],[TrxDate]]&lt;debug_date_start, "prior", IF(Jnl[[#This Row],[TrxDate]]&gt;debug_date_end, "post", "curr"))</f>
        <v>curr</v>
      </c>
    </row>
    <row r="1364" spans="1:21">
      <c r="A1364" s="11" t="s">
        <v>1762</v>
      </c>
      <c r="B1364" s="7">
        <f>_xlfn.XLOOKUP(Jnl[[#This Row],[TrxId]], Trx[Id], Trx[Date],,0)</f>
        <v>46081</v>
      </c>
      <c r="C1364" s="7" t="str">
        <f>_xlfn.XLOOKUP(Jnl[[#This Row],[TrxId]], Trx[Id], Trx[Division],,0)</f>
        <v>MY</v>
      </c>
      <c r="D1364" s="7" t="str">
        <f>_xlfn.XLOOKUP(Jnl[[#This Row],[TrxId]], Trx[Id], Trx[Action],,0)</f>
        <v>水果</v>
      </c>
      <c r="E1364" s="26" t="s">
        <v>87</v>
      </c>
      <c r="F1364" s="11" t="s">
        <v>590</v>
      </c>
      <c r="G1364" s="11" t="s">
        <v>904</v>
      </c>
      <c r="H1364" s="72">
        <v>-10.5</v>
      </c>
      <c r="I1364" s="5" t="b">
        <f>AND(Jnl[[#This Row],[TrxId]]&lt;&gt;"",Jnl[[#This Row],[Acct]]&lt;&gt;"",Jnl[[#This Row],[Item]]&lt;&gt;"",ISNUMBER(Jnl[[#This Row],[Bal]]))</f>
        <v>1</v>
      </c>
      <c r="J1364" s="10">
        <f>IF(Jnl[[#This Row],[BSLv0]]="A",1,-1)*Jnl[[#This Row],[Bal]]</f>
        <v>-10.5</v>
      </c>
      <c r="K1364" t="str">
        <f>_xlfn.XLOOKUP(Jnl[[#This Row],[Acct]], config_BS[Acct], config_BS[Lv0],,0)</f>
        <v>A</v>
      </c>
      <c r="L1364" t="str">
        <f>_xlfn.XLOOKUP(Jnl[[#This Row],[Acct]], config_BS[Acct], config_BS[Lv1],,0)</f>
        <v>Assets</v>
      </c>
      <c r="M1364" t="str">
        <f>_xlfn.XLOOKUP(Jnl[[#This Row],[Acct]], config_BS[Acct], config_BS[Lv2],,0)</f>
        <v>Cash alike</v>
      </c>
      <c r="N1364" t="str">
        <f>_xlfn.XLOOKUP(Jnl[[#This Row],[TrxId]], Trx[Id], Trx[IncNode], ,0)</f>
        <v>Cost</v>
      </c>
      <c r="O1364" t="str">
        <f>_xlfn.XLOOKUP(Jnl[[#This Row],[IncNode]], config_IS[Node], config_IS[Type],,0)</f>
        <v>Op</v>
      </c>
      <c r="P1364" t="str">
        <f>_xlfn.XLOOKUP(Jnl[[#This Row],[BSLv2]], dict[Key], dict[Name],,0)</f>
        <v>0.现金及类似</v>
      </c>
      <c r="Q1364" t="str">
        <f>_xlfn.XLOOKUP(Jnl[[#This Row],[Acct]], dict[Key], dict[Name],,0)</f>
        <v>银行</v>
      </c>
      <c r="R1364" t="str">
        <f>_xlfn.XLOOKUP(Jnl[[#This Row],[Vehicle]],config_vehicle[Id], config_vehicle[Name],,0)</f>
        <v>小月号</v>
      </c>
      <c r="S1364" t="str">
        <f>_xlfn.XLOOKUP(Jnl[[#This Row],[Division]],config_div[Id], config_div[Name],,0)</f>
        <v>明月村</v>
      </c>
      <c r="T1364" t="str">
        <f>IF(Jnl[[#This Row],[TrxDate]]&lt;=stmt_BS_date_end, "In", "Out")</f>
        <v>In</v>
      </c>
      <c r="U1364" t="str">
        <f>IF(Jnl[[#This Row],[TrxDate]]&lt;debug_date_start, "prior", IF(Jnl[[#This Row],[TrxDate]]&gt;debug_date_end, "post", "curr"))</f>
        <v>curr</v>
      </c>
    </row>
    <row r="1365" spans="1:21">
      <c r="A1365" s="11" t="s">
        <v>1763</v>
      </c>
      <c r="B1365" s="7">
        <f>_xlfn.XLOOKUP(Jnl[[#This Row],[TrxId]], Trx[Id], Trx[Date],,0)</f>
        <v>46081</v>
      </c>
      <c r="C1365" s="7" t="str">
        <f>_xlfn.XLOOKUP(Jnl[[#This Row],[TrxId]], Trx[Id], Trx[Division],,0)</f>
        <v>MY</v>
      </c>
      <c r="D1365" s="7" t="str">
        <f>_xlfn.XLOOKUP(Jnl[[#This Row],[TrxId]], Trx[Id], Trx[Action],,0)</f>
        <v>退款-客人</v>
      </c>
      <c r="E1365" s="26" t="s">
        <v>83</v>
      </c>
      <c r="F1365" s="11" t="s">
        <v>1194</v>
      </c>
      <c r="G1365" s="11" t="s">
        <v>920</v>
      </c>
      <c r="H1365" s="72">
        <v>-1960</v>
      </c>
      <c r="I1365" s="5" t="b">
        <f>AND(Jnl[[#This Row],[TrxId]]&lt;&gt;"",Jnl[[#This Row],[Acct]]&lt;&gt;"",Jnl[[#This Row],[Item]]&lt;&gt;"",ISNUMBER(Jnl[[#This Row],[Bal]]))</f>
        <v>1</v>
      </c>
      <c r="J1365" s="10">
        <f>IF(Jnl[[#This Row],[BSLv0]]="A",1,-1)*Jnl[[#This Row],[Bal]]</f>
        <v>1960</v>
      </c>
      <c r="K1365" t="str">
        <f>_xlfn.XLOOKUP(Jnl[[#This Row],[Acct]], config_BS[Acct], config_BS[Lv0],,0)</f>
        <v>LC</v>
      </c>
      <c r="L1365" t="str">
        <f>_xlfn.XLOOKUP(Jnl[[#This Row],[Acct]], config_BS[Acct], config_BS[Lv1],,0)</f>
        <v>Liability</v>
      </c>
      <c r="M1365" t="str">
        <f>_xlfn.XLOOKUP(Jnl[[#This Row],[Acct]], config_BS[Acct], config_BS[Lv2],,0)</f>
        <v>Cash alike</v>
      </c>
      <c r="N1365" t="str">
        <f>_xlfn.XLOOKUP(Jnl[[#This Row],[TrxId]], Trx[Id], Trx[IncNode], ,0)</f>
        <v>Revenue</v>
      </c>
      <c r="O1365" t="str">
        <f>_xlfn.XLOOKUP(Jnl[[#This Row],[IncNode]], config_IS[Node], config_IS[Type],,0)</f>
        <v>Op</v>
      </c>
      <c r="P1365" t="str">
        <f>_xlfn.XLOOKUP(Jnl[[#This Row],[BSLv2]], dict[Key], dict[Name],,0)</f>
        <v>0.现金及类似</v>
      </c>
      <c r="Q1365" t="str">
        <f>_xlfn.XLOOKUP(Jnl[[#This Row],[Acct]], dict[Key], dict[Name],,0)</f>
        <v>会员充值</v>
      </c>
      <c r="R1365" t="str">
        <f>_xlfn.XLOOKUP(Jnl[[#This Row],[Vehicle]],config_vehicle[Id], config_vehicle[Name],,0)</f>
        <v>远家文化</v>
      </c>
      <c r="S1365" t="str">
        <f>_xlfn.XLOOKUP(Jnl[[#This Row],[Division]],config_div[Id], config_div[Name],,0)</f>
        <v>明月村</v>
      </c>
      <c r="T1365" t="str">
        <f>IF(Jnl[[#This Row],[TrxDate]]&lt;=stmt_BS_date_end, "In", "Out")</f>
        <v>In</v>
      </c>
      <c r="U1365" t="str">
        <f>IF(Jnl[[#This Row],[TrxDate]]&lt;debug_date_start, "prior", IF(Jnl[[#This Row],[TrxDate]]&gt;debug_date_end, "post", "curr"))</f>
        <v>curr</v>
      </c>
    </row>
    <row r="1366" spans="1:21">
      <c r="A1366" s="11" t="s">
        <v>1763</v>
      </c>
      <c r="B1366" s="7">
        <f>_xlfn.XLOOKUP(Jnl[[#This Row],[TrxId]], Trx[Id], Trx[Date],,0)</f>
        <v>46081</v>
      </c>
      <c r="C1366" s="7" t="str">
        <f>_xlfn.XLOOKUP(Jnl[[#This Row],[TrxId]], Trx[Id], Trx[Division],,0)</f>
        <v>MY</v>
      </c>
      <c r="D1366" s="7" t="str">
        <f>_xlfn.XLOOKUP(Jnl[[#This Row],[TrxId]], Trx[Id], Trx[Action],,0)</f>
        <v>退款-客人</v>
      </c>
      <c r="E1366" s="26" t="s">
        <v>87</v>
      </c>
      <c r="F1366" s="11" t="s">
        <v>590</v>
      </c>
      <c r="G1366" s="11" t="s">
        <v>904</v>
      </c>
      <c r="H1366" s="72">
        <v>-1960</v>
      </c>
      <c r="I1366" s="5" t="b">
        <f>AND(Jnl[[#This Row],[TrxId]]&lt;&gt;"",Jnl[[#This Row],[Acct]]&lt;&gt;"",Jnl[[#This Row],[Item]]&lt;&gt;"",ISNUMBER(Jnl[[#This Row],[Bal]]))</f>
        <v>1</v>
      </c>
      <c r="J1366" s="10">
        <f>IF(Jnl[[#This Row],[BSLv0]]="A",1,-1)*Jnl[[#This Row],[Bal]]</f>
        <v>-1960</v>
      </c>
      <c r="K1366" t="str">
        <f>_xlfn.XLOOKUP(Jnl[[#This Row],[Acct]], config_BS[Acct], config_BS[Lv0],,0)</f>
        <v>A</v>
      </c>
      <c r="L1366" t="str">
        <f>_xlfn.XLOOKUP(Jnl[[#This Row],[Acct]], config_BS[Acct], config_BS[Lv1],,0)</f>
        <v>Assets</v>
      </c>
      <c r="M1366" t="str">
        <f>_xlfn.XLOOKUP(Jnl[[#This Row],[Acct]], config_BS[Acct], config_BS[Lv2],,0)</f>
        <v>Cash alike</v>
      </c>
      <c r="N1366" t="str">
        <f>_xlfn.XLOOKUP(Jnl[[#This Row],[TrxId]], Trx[Id], Trx[IncNode], ,0)</f>
        <v>Revenue</v>
      </c>
      <c r="O1366" t="str">
        <f>_xlfn.XLOOKUP(Jnl[[#This Row],[IncNode]], config_IS[Node], config_IS[Type],,0)</f>
        <v>Op</v>
      </c>
      <c r="P1366" t="str">
        <f>_xlfn.XLOOKUP(Jnl[[#This Row],[BSLv2]], dict[Key], dict[Name],,0)</f>
        <v>0.现金及类似</v>
      </c>
      <c r="Q1366" t="str">
        <f>_xlfn.XLOOKUP(Jnl[[#This Row],[Acct]], dict[Key], dict[Name],,0)</f>
        <v>银行</v>
      </c>
      <c r="R1366" t="str">
        <f>_xlfn.XLOOKUP(Jnl[[#This Row],[Vehicle]],config_vehicle[Id], config_vehicle[Name],,0)</f>
        <v>小月号</v>
      </c>
      <c r="S1366" t="str">
        <f>_xlfn.XLOOKUP(Jnl[[#This Row],[Division]],config_div[Id], config_div[Name],,0)</f>
        <v>明月村</v>
      </c>
      <c r="T1366" t="str">
        <f>IF(Jnl[[#This Row],[TrxDate]]&lt;=stmt_BS_date_end, "In", "Out")</f>
        <v>In</v>
      </c>
      <c r="U1366" t="str">
        <f>IF(Jnl[[#This Row],[TrxDate]]&lt;debug_date_start, "prior", IF(Jnl[[#This Row],[TrxDate]]&gt;debug_date_end, "post", "curr"))</f>
        <v>curr</v>
      </c>
    </row>
    <row r="1367" spans="1:21">
      <c r="A1367" s="11" t="s">
        <v>1764</v>
      </c>
      <c r="B1367" s="7">
        <f>_xlfn.XLOOKUP(Jnl[[#This Row],[TrxId]], Trx[Id], Trx[Date],,0)</f>
        <v>46081</v>
      </c>
      <c r="C1367" s="7" t="str">
        <f>_xlfn.XLOOKUP(Jnl[[#This Row],[TrxId]], Trx[Id], Trx[Division],,0)</f>
        <v>MY</v>
      </c>
      <c r="D1367" s="7" t="str">
        <f>_xlfn.XLOOKUP(Jnl[[#This Row],[TrxId]], Trx[Id], Trx[Action],,0)</f>
        <v>收款</v>
      </c>
      <c r="E1367" s="26" t="s">
        <v>83</v>
      </c>
      <c r="F1367" s="11" t="s">
        <v>593</v>
      </c>
      <c r="G1367" s="11" t="s">
        <v>942</v>
      </c>
      <c r="H1367" s="72">
        <v>-3048</v>
      </c>
      <c r="I1367" s="5" t="b">
        <f>AND(Jnl[[#This Row],[TrxId]]&lt;&gt;"",Jnl[[#This Row],[Acct]]&lt;&gt;"",Jnl[[#This Row],[Item]]&lt;&gt;"",ISNUMBER(Jnl[[#This Row],[Bal]]))</f>
        <v>1</v>
      </c>
      <c r="J1367" s="10">
        <f>IF(Jnl[[#This Row],[BSLv0]]="A",1,-1)*Jnl[[#This Row],[Bal]]</f>
        <v>-3048</v>
      </c>
      <c r="K1367" t="str">
        <f>_xlfn.XLOOKUP(Jnl[[#This Row],[Acct]], config_BS[Acct], config_BS[Lv0],,0)</f>
        <v>A</v>
      </c>
      <c r="L1367" t="str">
        <f>_xlfn.XLOOKUP(Jnl[[#This Row],[Acct]], config_BS[Acct], config_BS[Lv1],,0)</f>
        <v>Assets</v>
      </c>
      <c r="M1367" t="str">
        <f>_xlfn.XLOOKUP(Jnl[[#This Row],[Acct]], config_BS[Acct], config_BS[Lv2],,0)</f>
        <v>Rec-Pay</v>
      </c>
      <c r="N1367" t="str">
        <f>_xlfn.XLOOKUP(Jnl[[#This Row],[TrxId]], Trx[Id], Trx[IncNode], ,0)</f>
        <v>Revenue</v>
      </c>
      <c r="O1367" t="str">
        <f>_xlfn.XLOOKUP(Jnl[[#This Row],[IncNode]], config_IS[Node], config_IS[Type],,0)</f>
        <v>Op</v>
      </c>
      <c r="P1367" t="str">
        <f>_xlfn.XLOOKUP(Jnl[[#This Row],[BSLv2]], dict[Key], dict[Name],,0)</f>
        <v>1.应收-应付</v>
      </c>
      <c r="Q1367" t="str">
        <f>_xlfn.XLOOKUP(Jnl[[#This Row],[Acct]], dict[Key], dict[Name],,0)</f>
        <v>应收-一般</v>
      </c>
      <c r="R1367" t="str">
        <f>_xlfn.XLOOKUP(Jnl[[#This Row],[Vehicle]],config_vehicle[Id], config_vehicle[Name],,0)</f>
        <v>远家文化</v>
      </c>
      <c r="S1367" t="str">
        <f>_xlfn.XLOOKUP(Jnl[[#This Row],[Division]],config_div[Id], config_div[Name],,0)</f>
        <v>明月村</v>
      </c>
      <c r="T1367" t="str">
        <f>IF(Jnl[[#This Row],[TrxDate]]&lt;=stmt_BS_date_end, "In", "Out")</f>
        <v>In</v>
      </c>
      <c r="U1367" t="str">
        <f>IF(Jnl[[#This Row],[TrxDate]]&lt;debug_date_start, "prior", IF(Jnl[[#This Row],[TrxDate]]&gt;debug_date_end, "post", "curr"))</f>
        <v>curr</v>
      </c>
    </row>
    <row r="1368" spans="1:21">
      <c r="A1368" s="11" t="s">
        <v>1764</v>
      </c>
      <c r="B1368" s="7">
        <f>_xlfn.XLOOKUP(Jnl[[#This Row],[TrxId]], Trx[Id], Trx[Date],,0)</f>
        <v>46081</v>
      </c>
      <c r="C1368" s="7" t="str">
        <f>_xlfn.XLOOKUP(Jnl[[#This Row],[TrxId]], Trx[Id], Trx[Division],,0)</f>
        <v>MY</v>
      </c>
      <c r="D1368" s="7" t="str">
        <f>_xlfn.XLOOKUP(Jnl[[#This Row],[TrxId]], Trx[Id], Trx[Action],,0)</f>
        <v>收款</v>
      </c>
      <c r="E1368" s="26" t="s">
        <v>87</v>
      </c>
      <c r="F1368" s="11" t="s">
        <v>590</v>
      </c>
      <c r="G1368" s="11" t="s">
        <v>904</v>
      </c>
      <c r="H1368" s="72">
        <v>3048</v>
      </c>
      <c r="I1368" s="5" t="b">
        <f>AND(Jnl[[#This Row],[TrxId]]&lt;&gt;"",Jnl[[#This Row],[Acct]]&lt;&gt;"",Jnl[[#This Row],[Item]]&lt;&gt;"",ISNUMBER(Jnl[[#This Row],[Bal]]))</f>
        <v>1</v>
      </c>
      <c r="J1368" s="10">
        <f>IF(Jnl[[#This Row],[BSLv0]]="A",1,-1)*Jnl[[#This Row],[Bal]]</f>
        <v>3048</v>
      </c>
      <c r="K1368" t="str">
        <f>_xlfn.XLOOKUP(Jnl[[#This Row],[Acct]], config_BS[Acct], config_BS[Lv0],,0)</f>
        <v>A</v>
      </c>
      <c r="L1368" t="str">
        <f>_xlfn.XLOOKUP(Jnl[[#This Row],[Acct]], config_BS[Acct], config_BS[Lv1],,0)</f>
        <v>Assets</v>
      </c>
      <c r="M1368" t="str">
        <f>_xlfn.XLOOKUP(Jnl[[#This Row],[Acct]], config_BS[Acct], config_BS[Lv2],,0)</f>
        <v>Cash alike</v>
      </c>
      <c r="N1368" t="str">
        <f>_xlfn.XLOOKUP(Jnl[[#This Row],[TrxId]], Trx[Id], Trx[IncNode], ,0)</f>
        <v>Revenue</v>
      </c>
      <c r="O1368" t="str">
        <f>_xlfn.XLOOKUP(Jnl[[#This Row],[IncNode]], config_IS[Node], config_IS[Type],,0)</f>
        <v>Op</v>
      </c>
      <c r="P1368" t="str">
        <f>_xlfn.XLOOKUP(Jnl[[#This Row],[BSLv2]], dict[Key], dict[Name],,0)</f>
        <v>0.现金及类似</v>
      </c>
      <c r="Q1368" t="str">
        <f>_xlfn.XLOOKUP(Jnl[[#This Row],[Acct]], dict[Key], dict[Name],,0)</f>
        <v>银行</v>
      </c>
      <c r="R1368" t="str">
        <f>_xlfn.XLOOKUP(Jnl[[#This Row],[Vehicle]],config_vehicle[Id], config_vehicle[Name],,0)</f>
        <v>小月号</v>
      </c>
      <c r="S1368" t="str">
        <f>_xlfn.XLOOKUP(Jnl[[#This Row],[Division]],config_div[Id], config_div[Name],,0)</f>
        <v>明月村</v>
      </c>
      <c r="T1368" t="str">
        <f>IF(Jnl[[#This Row],[TrxDate]]&lt;=stmt_BS_date_end, "In", "Out")</f>
        <v>In</v>
      </c>
      <c r="U1368" t="str">
        <f>IF(Jnl[[#This Row],[TrxDate]]&lt;debug_date_start, "prior", IF(Jnl[[#This Row],[TrxDate]]&gt;debug_date_end, "post", "curr"))</f>
        <v>curr</v>
      </c>
    </row>
    <row r="1369" spans="1:21">
      <c r="A1369" s="11" t="s">
        <v>1765</v>
      </c>
      <c r="B1369" s="7">
        <f>_xlfn.XLOOKUP(Jnl[[#This Row],[TrxId]], Trx[Id], Trx[Date],,0)</f>
        <v>46081</v>
      </c>
      <c r="C1369" s="7" t="str">
        <f>_xlfn.XLOOKUP(Jnl[[#This Row],[TrxId]], Trx[Id], Trx[Division],,0)</f>
        <v>MY</v>
      </c>
      <c r="D1369" s="7" t="str">
        <f>_xlfn.XLOOKUP(Jnl[[#This Row],[TrxId]], Trx[Id], Trx[Action],,0)</f>
        <v>收款</v>
      </c>
      <c r="E1369" s="26" t="s">
        <v>83</v>
      </c>
      <c r="F1369" s="11" t="s">
        <v>593</v>
      </c>
      <c r="G1369" s="11" t="s">
        <v>947</v>
      </c>
      <c r="H1369" s="72">
        <v>-1280</v>
      </c>
      <c r="I1369" s="5" t="b">
        <f>AND(Jnl[[#This Row],[TrxId]]&lt;&gt;"",Jnl[[#This Row],[Acct]]&lt;&gt;"",Jnl[[#This Row],[Item]]&lt;&gt;"",ISNUMBER(Jnl[[#This Row],[Bal]]))</f>
        <v>1</v>
      </c>
      <c r="J1369" s="10">
        <f>IF(Jnl[[#This Row],[BSLv0]]="A",1,-1)*Jnl[[#This Row],[Bal]]</f>
        <v>-1280</v>
      </c>
      <c r="K1369" t="str">
        <f>_xlfn.XLOOKUP(Jnl[[#This Row],[Acct]], config_BS[Acct], config_BS[Lv0],,0)</f>
        <v>A</v>
      </c>
      <c r="L1369" t="str">
        <f>_xlfn.XLOOKUP(Jnl[[#This Row],[Acct]], config_BS[Acct], config_BS[Lv1],,0)</f>
        <v>Assets</v>
      </c>
      <c r="M1369" t="str">
        <f>_xlfn.XLOOKUP(Jnl[[#This Row],[Acct]], config_BS[Acct], config_BS[Lv2],,0)</f>
        <v>Rec-Pay</v>
      </c>
      <c r="N1369" t="str">
        <f>_xlfn.XLOOKUP(Jnl[[#This Row],[TrxId]], Trx[Id], Trx[IncNode], ,0)</f>
        <v>Revenue</v>
      </c>
      <c r="O1369" t="str">
        <f>_xlfn.XLOOKUP(Jnl[[#This Row],[IncNode]], config_IS[Node], config_IS[Type],,0)</f>
        <v>Op</v>
      </c>
      <c r="P1369" t="str">
        <f>_xlfn.XLOOKUP(Jnl[[#This Row],[BSLv2]], dict[Key], dict[Name],,0)</f>
        <v>1.应收-应付</v>
      </c>
      <c r="Q1369" t="str">
        <f>_xlfn.XLOOKUP(Jnl[[#This Row],[Acct]], dict[Key], dict[Name],,0)</f>
        <v>应收-一般</v>
      </c>
      <c r="R1369" t="str">
        <f>_xlfn.XLOOKUP(Jnl[[#This Row],[Vehicle]],config_vehicle[Id], config_vehicle[Name],,0)</f>
        <v>远家文化</v>
      </c>
      <c r="S1369" t="str">
        <f>_xlfn.XLOOKUP(Jnl[[#This Row],[Division]],config_div[Id], config_div[Name],,0)</f>
        <v>明月村</v>
      </c>
      <c r="T1369" t="str">
        <f>IF(Jnl[[#This Row],[TrxDate]]&lt;=stmt_BS_date_end, "In", "Out")</f>
        <v>In</v>
      </c>
      <c r="U1369" t="str">
        <f>IF(Jnl[[#This Row],[TrxDate]]&lt;debug_date_start, "prior", IF(Jnl[[#This Row],[TrxDate]]&gt;debug_date_end, "post", "curr"))</f>
        <v>curr</v>
      </c>
    </row>
    <row r="1370" spans="1:21">
      <c r="A1370" s="11" t="s">
        <v>1765</v>
      </c>
      <c r="B1370" s="7">
        <f>_xlfn.XLOOKUP(Jnl[[#This Row],[TrxId]], Trx[Id], Trx[Date],,0)</f>
        <v>46081</v>
      </c>
      <c r="C1370" s="7" t="str">
        <f>_xlfn.XLOOKUP(Jnl[[#This Row],[TrxId]], Trx[Id], Trx[Division],,0)</f>
        <v>MY</v>
      </c>
      <c r="D1370" s="7" t="str">
        <f>_xlfn.XLOOKUP(Jnl[[#This Row],[TrxId]], Trx[Id], Trx[Action],,0)</f>
        <v>收款</v>
      </c>
      <c r="E1370" s="26" t="s">
        <v>87</v>
      </c>
      <c r="F1370" s="11" t="s">
        <v>590</v>
      </c>
      <c r="G1370" s="11" t="s">
        <v>904</v>
      </c>
      <c r="H1370" s="72">
        <v>1280</v>
      </c>
      <c r="I1370" s="5" t="b">
        <f>AND(Jnl[[#This Row],[TrxId]]&lt;&gt;"",Jnl[[#This Row],[Acct]]&lt;&gt;"",Jnl[[#This Row],[Item]]&lt;&gt;"",ISNUMBER(Jnl[[#This Row],[Bal]]))</f>
        <v>1</v>
      </c>
      <c r="J1370" s="10">
        <f>IF(Jnl[[#This Row],[BSLv0]]="A",1,-1)*Jnl[[#This Row],[Bal]]</f>
        <v>1280</v>
      </c>
      <c r="K1370" t="str">
        <f>_xlfn.XLOOKUP(Jnl[[#This Row],[Acct]], config_BS[Acct], config_BS[Lv0],,0)</f>
        <v>A</v>
      </c>
      <c r="L1370" t="str">
        <f>_xlfn.XLOOKUP(Jnl[[#This Row],[Acct]], config_BS[Acct], config_BS[Lv1],,0)</f>
        <v>Assets</v>
      </c>
      <c r="M1370" t="str">
        <f>_xlfn.XLOOKUP(Jnl[[#This Row],[Acct]], config_BS[Acct], config_BS[Lv2],,0)</f>
        <v>Cash alike</v>
      </c>
      <c r="N1370" t="str">
        <f>_xlfn.XLOOKUP(Jnl[[#This Row],[TrxId]], Trx[Id], Trx[IncNode], ,0)</f>
        <v>Revenue</v>
      </c>
      <c r="O1370" t="str">
        <f>_xlfn.XLOOKUP(Jnl[[#This Row],[IncNode]], config_IS[Node], config_IS[Type],,0)</f>
        <v>Op</v>
      </c>
      <c r="P1370" t="str">
        <f>_xlfn.XLOOKUP(Jnl[[#This Row],[BSLv2]], dict[Key], dict[Name],,0)</f>
        <v>0.现金及类似</v>
      </c>
      <c r="Q1370" t="str">
        <f>_xlfn.XLOOKUP(Jnl[[#This Row],[Acct]], dict[Key], dict[Name],,0)</f>
        <v>银行</v>
      </c>
      <c r="R1370" t="str">
        <f>_xlfn.XLOOKUP(Jnl[[#This Row],[Vehicle]],config_vehicle[Id], config_vehicle[Name],,0)</f>
        <v>小月号</v>
      </c>
      <c r="S1370" t="str">
        <f>_xlfn.XLOOKUP(Jnl[[#This Row],[Division]],config_div[Id], config_div[Name],,0)</f>
        <v>明月村</v>
      </c>
      <c r="T1370" t="str">
        <f>IF(Jnl[[#This Row],[TrxDate]]&lt;=stmt_BS_date_end, "In", "Out")</f>
        <v>In</v>
      </c>
      <c r="U1370" t="str">
        <f>IF(Jnl[[#This Row],[TrxDate]]&lt;debug_date_start, "prior", IF(Jnl[[#This Row],[TrxDate]]&gt;debug_date_end, "post", "curr"))</f>
        <v>curr</v>
      </c>
    </row>
    <row r="1371" spans="1:21">
      <c r="A1371" s="11" t="s">
        <v>1766</v>
      </c>
      <c r="B1371" s="7">
        <f>_xlfn.XLOOKUP(Jnl[[#This Row],[TrxId]], Trx[Id], Trx[Date],,0)</f>
        <v>46081</v>
      </c>
      <c r="C1371" s="7" t="str">
        <f>_xlfn.XLOOKUP(Jnl[[#This Row],[TrxId]], Trx[Id], Trx[Division],,0)</f>
        <v>MY</v>
      </c>
      <c r="D1371" s="7" t="str">
        <f>_xlfn.XLOOKUP(Jnl[[#This Row],[TrxId]], Trx[Id], Trx[Action],,0)</f>
        <v>收款</v>
      </c>
      <c r="E1371" s="26" t="s">
        <v>83</v>
      </c>
      <c r="F1371" s="11" t="s">
        <v>593</v>
      </c>
      <c r="G1371" s="11" t="s">
        <v>947</v>
      </c>
      <c r="H1371" s="72">
        <v>-328</v>
      </c>
      <c r="I1371" s="5" t="b">
        <f>AND(Jnl[[#This Row],[TrxId]]&lt;&gt;"",Jnl[[#This Row],[Acct]]&lt;&gt;"",Jnl[[#This Row],[Item]]&lt;&gt;"",ISNUMBER(Jnl[[#This Row],[Bal]]))</f>
        <v>1</v>
      </c>
      <c r="J1371" s="10">
        <f>IF(Jnl[[#This Row],[BSLv0]]="A",1,-1)*Jnl[[#This Row],[Bal]]</f>
        <v>-328</v>
      </c>
      <c r="K1371" t="str">
        <f>_xlfn.XLOOKUP(Jnl[[#This Row],[Acct]], config_BS[Acct], config_BS[Lv0],,0)</f>
        <v>A</v>
      </c>
      <c r="L1371" t="str">
        <f>_xlfn.XLOOKUP(Jnl[[#This Row],[Acct]], config_BS[Acct], config_BS[Lv1],,0)</f>
        <v>Assets</v>
      </c>
      <c r="M1371" t="str">
        <f>_xlfn.XLOOKUP(Jnl[[#This Row],[Acct]], config_BS[Acct], config_BS[Lv2],,0)</f>
        <v>Rec-Pay</v>
      </c>
      <c r="N1371" t="str">
        <f>_xlfn.XLOOKUP(Jnl[[#This Row],[TrxId]], Trx[Id], Trx[IncNode], ,0)</f>
        <v>Revenue</v>
      </c>
      <c r="O1371" t="str">
        <f>_xlfn.XLOOKUP(Jnl[[#This Row],[IncNode]], config_IS[Node], config_IS[Type],,0)</f>
        <v>Op</v>
      </c>
      <c r="P1371" t="str">
        <f>_xlfn.XLOOKUP(Jnl[[#This Row],[BSLv2]], dict[Key], dict[Name],,0)</f>
        <v>1.应收-应付</v>
      </c>
      <c r="Q1371" t="str">
        <f>_xlfn.XLOOKUP(Jnl[[#This Row],[Acct]], dict[Key], dict[Name],,0)</f>
        <v>应收-一般</v>
      </c>
      <c r="R1371" t="str">
        <f>_xlfn.XLOOKUP(Jnl[[#This Row],[Vehicle]],config_vehicle[Id], config_vehicle[Name],,0)</f>
        <v>远家文化</v>
      </c>
      <c r="S1371" t="str">
        <f>_xlfn.XLOOKUP(Jnl[[#This Row],[Division]],config_div[Id], config_div[Name],,0)</f>
        <v>明月村</v>
      </c>
      <c r="T1371" t="str">
        <f>IF(Jnl[[#This Row],[TrxDate]]&lt;=stmt_BS_date_end, "In", "Out")</f>
        <v>In</v>
      </c>
      <c r="U1371" t="str">
        <f>IF(Jnl[[#This Row],[TrxDate]]&lt;debug_date_start, "prior", IF(Jnl[[#This Row],[TrxDate]]&gt;debug_date_end, "post", "curr"))</f>
        <v>curr</v>
      </c>
    </row>
    <row r="1372" spans="1:21">
      <c r="A1372" s="11" t="s">
        <v>1766</v>
      </c>
      <c r="B1372" s="7">
        <f>_xlfn.XLOOKUP(Jnl[[#This Row],[TrxId]], Trx[Id], Trx[Date],,0)</f>
        <v>46081</v>
      </c>
      <c r="C1372" s="7" t="str">
        <f>_xlfn.XLOOKUP(Jnl[[#This Row],[TrxId]], Trx[Id], Trx[Division],,0)</f>
        <v>MY</v>
      </c>
      <c r="D1372" s="7" t="str">
        <f>_xlfn.XLOOKUP(Jnl[[#This Row],[TrxId]], Trx[Id], Trx[Action],,0)</f>
        <v>收款</v>
      </c>
      <c r="E1372" s="26" t="s">
        <v>87</v>
      </c>
      <c r="F1372" s="11" t="s">
        <v>590</v>
      </c>
      <c r="G1372" s="11" t="s">
        <v>904</v>
      </c>
      <c r="H1372" s="72">
        <v>328</v>
      </c>
      <c r="I1372" s="5" t="b">
        <f>AND(Jnl[[#This Row],[TrxId]]&lt;&gt;"",Jnl[[#This Row],[Acct]]&lt;&gt;"",Jnl[[#This Row],[Item]]&lt;&gt;"",ISNUMBER(Jnl[[#This Row],[Bal]]))</f>
        <v>1</v>
      </c>
      <c r="J1372" s="10">
        <f>IF(Jnl[[#This Row],[BSLv0]]="A",1,-1)*Jnl[[#This Row],[Bal]]</f>
        <v>328</v>
      </c>
      <c r="K1372" t="str">
        <f>_xlfn.XLOOKUP(Jnl[[#This Row],[Acct]], config_BS[Acct], config_BS[Lv0],,0)</f>
        <v>A</v>
      </c>
      <c r="L1372" t="str">
        <f>_xlfn.XLOOKUP(Jnl[[#This Row],[Acct]], config_BS[Acct], config_BS[Lv1],,0)</f>
        <v>Assets</v>
      </c>
      <c r="M1372" t="str">
        <f>_xlfn.XLOOKUP(Jnl[[#This Row],[Acct]], config_BS[Acct], config_BS[Lv2],,0)</f>
        <v>Cash alike</v>
      </c>
      <c r="N1372" t="str">
        <f>_xlfn.XLOOKUP(Jnl[[#This Row],[TrxId]], Trx[Id], Trx[IncNode], ,0)</f>
        <v>Revenue</v>
      </c>
      <c r="O1372" t="str">
        <f>_xlfn.XLOOKUP(Jnl[[#This Row],[IncNode]], config_IS[Node], config_IS[Type],,0)</f>
        <v>Op</v>
      </c>
      <c r="P1372" t="str">
        <f>_xlfn.XLOOKUP(Jnl[[#This Row],[BSLv2]], dict[Key], dict[Name],,0)</f>
        <v>0.现金及类似</v>
      </c>
      <c r="Q1372" t="str">
        <f>_xlfn.XLOOKUP(Jnl[[#This Row],[Acct]], dict[Key], dict[Name],,0)</f>
        <v>银行</v>
      </c>
      <c r="R1372" t="str">
        <f>_xlfn.XLOOKUP(Jnl[[#This Row],[Vehicle]],config_vehicle[Id], config_vehicle[Name],,0)</f>
        <v>小月号</v>
      </c>
      <c r="S1372" t="str">
        <f>_xlfn.XLOOKUP(Jnl[[#This Row],[Division]],config_div[Id], config_div[Name],,0)</f>
        <v>明月村</v>
      </c>
      <c r="T1372" t="str">
        <f>IF(Jnl[[#This Row],[TrxDate]]&lt;=stmt_BS_date_end, "In", "Out")</f>
        <v>In</v>
      </c>
      <c r="U1372" t="str">
        <f>IF(Jnl[[#This Row],[TrxDate]]&lt;debug_date_start, "prior", IF(Jnl[[#This Row],[TrxDate]]&gt;debug_date_end, "post", "curr"))</f>
        <v>curr</v>
      </c>
    </row>
    <row r="1373" spans="1:21">
      <c r="A1373" s="11" t="s">
        <v>1767</v>
      </c>
      <c r="B1373" s="7">
        <f>_xlfn.XLOOKUP(Jnl[[#This Row],[TrxId]], Trx[Id], Trx[Date],,0)</f>
        <v>46081</v>
      </c>
      <c r="C1373" s="7" t="str">
        <f>_xlfn.XLOOKUP(Jnl[[#This Row],[TrxId]], Trx[Id], Trx[Division],,0)</f>
        <v>MY</v>
      </c>
      <c r="D1373" s="7" t="str">
        <f>_xlfn.XLOOKUP(Jnl[[#This Row],[TrxId]], Trx[Id], Trx[Action],,0)</f>
        <v>物流</v>
      </c>
      <c r="E1373" s="26" t="s">
        <v>87</v>
      </c>
      <c r="F1373" s="11" t="s">
        <v>590</v>
      </c>
      <c r="G1373" s="11" t="s">
        <v>904</v>
      </c>
      <c r="H1373" s="72">
        <v>8</v>
      </c>
      <c r="I1373" s="5" t="b">
        <f>AND(Jnl[[#This Row],[TrxId]]&lt;&gt;"",Jnl[[#This Row],[Acct]]&lt;&gt;"",Jnl[[#This Row],[Item]]&lt;&gt;"",ISNUMBER(Jnl[[#This Row],[Bal]]))</f>
        <v>1</v>
      </c>
      <c r="J1373" s="10">
        <f>IF(Jnl[[#This Row],[BSLv0]]="A",1,-1)*Jnl[[#This Row],[Bal]]</f>
        <v>8</v>
      </c>
      <c r="K1373" t="str">
        <f>_xlfn.XLOOKUP(Jnl[[#This Row],[Acct]], config_BS[Acct], config_BS[Lv0],,0)</f>
        <v>A</v>
      </c>
      <c r="L1373" t="str">
        <f>_xlfn.XLOOKUP(Jnl[[#This Row],[Acct]], config_BS[Acct], config_BS[Lv1],,0)</f>
        <v>Assets</v>
      </c>
      <c r="M1373" t="str">
        <f>_xlfn.XLOOKUP(Jnl[[#This Row],[Acct]], config_BS[Acct], config_BS[Lv2],,0)</f>
        <v>Cash alike</v>
      </c>
      <c r="N1373" t="str">
        <f>_xlfn.XLOOKUP(Jnl[[#This Row],[TrxId]], Trx[Id], Trx[IncNode], ,0)</f>
        <v>Expense</v>
      </c>
      <c r="O1373" t="str">
        <f>_xlfn.XLOOKUP(Jnl[[#This Row],[IncNode]], config_IS[Node], config_IS[Type],,0)</f>
        <v>Op</v>
      </c>
      <c r="P1373" t="str">
        <f>_xlfn.XLOOKUP(Jnl[[#This Row],[BSLv2]], dict[Key], dict[Name],,0)</f>
        <v>0.现金及类似</v>
      </c>
      <c r="Q1373" t="str">
        <f>_xlfn.XLOOKUP(Jnl[[#This Row],[Acct]], dict[Key], dict[Name],,0)</f>
        <v>银行</v>
      </c>
      <c r="R1373" t="str">
        <f>_xlfn.XLOOKUP(Jnl[[#This Row],[Vehicle]],config_vehicle[Id], config_vehicle[Name],,0)</f>
        <v>小月号</v>
      </c>
      <c r="S1373" t="str">
        <f>_xlfn.XLOOKUP(Jnl[[#This Row],[Division]],config_div[Id], config_div[Name],,0)</f>
        <v>明月村</v>
      </c>
      <c r="T1373" t="str">
        <f>IF(Jnl[[#This Row],[TrxDate]]&lt;=stmt_BS_date_end, "In", "Out")</f>
        <v>In</v>
      </c>
      <c r="U1373" t="str">
        <f>IF(Jnl[[#This Row],[TrxDate]]&lt;debug_date_start, "prior", IF(Jnl[[#This Row],[TrxDate]]&gt;debug_date_end, "post", "curr"))</f>
        <v>curr</v>
      </c>
    </row>
    <row r="1374" spans="1:21">
      <c r="A1374" s="11" t="s">
        <v>1769</v>
      </c>
      <c r="B1374" s="7">
        <f>_xlfn.XLOOKUP(Jnl[[#This Row],[TrxId]], Trx[Id], Trx[Date],,0)</f>
        <v>46081</v>
      </c>
      <c r="C1374" s="7" t="str">
        <f>_xlfn.XLOOKUP(Jnl[[#This Row],[TrxId]], Trx[Id], Trx[Division],,0)</f>
        <v>MY</v>
      </c>
      <c r="D1374" s="7" t="str">
        <f>_xlfn.XLOOKUP(Jnl[[#This Row],[TrxId]], Trx[Id], Trx[Action],,0)</f>
        <v>收款</v>
      </c>
      <c r="E1374" s="26" t="s">
        <v>87</v>
      </c>
      <c r="F1374" s="11" t="s">
        <v>590</v>
      </c>
      <c r="G1374" s="11" t="s">
        <v>903</v>
      </c>
      <c r="H1374" s="72">
        <v>8234.2000000000007</v>
      </c>
      <c r="I1374" s="5" t="b">
        <f>AND(Jnl[[#This Row],[TrxId]]&lt;&gt;"",Jnl[[#This Row],[Acct]]&lt;&gt;"",Jnl[[#This Row],[Item]]&lt;&gt;"",ISNUMBER(Jnl[[#This Row],[Bal]]))</f>
        <v>1</v>
      </c>
      <c r="J1374" s="10">
        <f>IF(Jnl[[#This Row],[BSLv0]]="A",1,-1)*Jnl[[#This Row],[Bal]]</f>
        <v>8234.2000000000007</v>
      </c>
      <c r="K1374" t="str">
        <f>_xlfn.XLOOKUP(Jnl[[#This Row],[Acct]], config_BS[Acct], config_BS[Lv0],,0)</f>
        <v>A</v>
      </c>
      <c r="L1374" t="str">
        <f>_xlfn.XLOOKUP(Jnl[[#This Row],[Acct]], config_BS[Acct], config_BS[Lv1],,0)</f>
        <v>Assets</v>
      </c>
      <c r="M1374" t="str">
        <f>_xlfn.XLOOKUP(Jnl[[#This Row],[Acct]], config_BS[Acct], config_BS[Lv2],,0)</f>
        <v>Cash alike</v>
      </c>
      <c r="N1374" t="str">
        <f>_xlfn.XLOOKUP(Jnl[[#This Row],[TrxId]], Trx[Id], Trx[IncNode], ,0)</f>
        <v>Revenue</v>
      </c>
      <c r="O1374" t="str">
        <f>_xlfn.XLOOKUP(Jnl[[#This Row],[IncNode]], config_IS[Node], config_IS[Type],,0)</f>
        <v>Op</v>
      </c>
      <c r="P1374" t="str">
        <f>_xlfn.XLOOKUP(Jnl[[#This Row],[BSLv2]], dict[Key], dict[Name],,0)</f>
        <v>0.现金及类似</v>
      </c>
      <c r="Q1374" t="str">
        <f>_xlfn.XLOOKUP(Jnl[[#This Row],[Acct]], dict[Key], dict[Name],,0)</f>
        <v>银行</v>
      </c>
      <c r="R1374" t="str">
        <f>_xlfn.XLOOKUP(Jnl[[#This Row],[Vehicle]],config_vehicle[Id], config_vehicle[Name],,0)</f>
        <v>小月号</v>
      </c>
      <c r="S1374" t="str">
        <f>_xlfn.XLOOKUP(Jnl[[#This Row],[Division]],config_div[Id], config_div[Name],,0)</f>
        <v>明月村</v>
      </c>
      <c r="T1374" t="str">
        <f>IF(Jnl[[#This Row],[TrxDate]]&lt;=stmt_BS_date_end, "In", "Out")</f>
        <v>In</v>
      </c>
      <c r="U1374" t="str">
        <f>IF(Jnl[[#This Row],[TrxDate]]&lt;debug_date_start, "prior", IF(Jnl[[#This Row],[TrxDate]]&gt;debug_date_end, "post", "curr"))</f>
        <v>curr</v>
      </c>
    </row>
    <row r="1375" spans="1:21">
      <c r="A1375" s="11" t="s">
        <v>1769</v>
      </c>
      <c r="B1375" s="7">
        <f>_xlfn.XLOOKUP(Jnl[[#This Row],[TrxId]], Trx[Id], Trx[Date],,0)</f>
        <v>46081</v>
      </c>
      <c r="C1375" s="7" t="str">
        <f>_xlfn.XLOOKUP(Jnl[[#This Row],[TrxId]], Trx[Id], Trx[Division],,0)</f>
        <v>MY</v>
      </c>
      <c r="D1375" s="7" t="str">
        <f>_xlfn.XLOOKUP(Jnl[[#This Row],[TrxId]], Trx[Id], Trx[Action],,0)</f>
        <v>收款</v>
      </c>
      <c r="E1375" s="26" t="s">
        <v>83</v>
      </c>
      <c r="F1375" s="11" t="s">
        <v>593</v>
      </c>
      <c r="G1375" s="11"/>
      <c r="H1375" s="72">
        <v>-8234.2000000000007</v>
      </c>
      <c r="I1375" s="5" t="b">
        <f>AND(Jnl[[#This Row],[TrxId]]&lt;&gt;"",Jnl[[#This Row],[Acct]]&lt;&gt;"",Jnl[[#This Row],[Item]]&lt;&gt;"",ISNUMBER(Jnl[[#This Row],[Bal]]))</f>
        <v>0</v>
      </c>
      <c r="J1375" s="10">
        <f>IF(Jnl[[#This Row],[BSLv0]]="A",1,-1)*Jnl[[#This Row],[Bal]]</f>
        <v>-8234.2000000000007</v>
      </c>
      <c r="K1375" t="str">
        <f>_xlfn.XLOOKUP(Jnl[[#This Row],[Acct]], config_BS[Acct], config_BS[Lv0],,0)</f>
        <v>A</v>
      </c>
      <c r="L1375" t="str">
        <f>_xlfn.XLOOKUP(Jnl[[#This Row],[Acct]], config_BS[Acct], config_BS[Lv1],,0)</f>
        <v>Assets</v>
      </c>
      <c r="M1375" t="str">
        <f>_xlfn.XLOOKUP(Jnl[[#This Row],[Acct]], config_BS[Acct], config_BS[Lv2],,0)</f>
        <v>Rec-Pay</v>
      </c>
      <c r="N1375" t="str">
        <f>_xlfn.XLOOKUP(Jnl[[#This Row],[TrxId]], Trx[Id], Trx[IncNode], ,0)</f>
        <v>Revenue</v>
      </c>
      <c r="O1375" t="str">
        <f>_xlfn.XLOOKUP(Jnl[[#This Row],[IncNode]], config_IS[Node], config_IS[Type],,0)</f>
        <v>Op</v>
      </c>
      <c r="P1375" t="str">
        <f>_xlfn.XLOOKUP(Jnl[[#This Row],[BSLv2]], dict[Key], dict[Name],,0)</f>
        <v>1.应收-应付</v>
      </c>
      <c r="Q1375" t="str">
        <f>_xlfn.XLOOKUP(Jnl[[#This Row],[Acct]], dict[Key], dict[Name],,0)</f>
        <v>应收-一般</v>
      </c>
      <c r="R1375" t="str">
        <f>_xlfn.XLOOKUP(Jnl[[#This Row],[Vehicle]],config_vehicle[Id], config_vehicle[Name],,0)</f>
        <v>远家文化</v>
      </c>
      <c r="S1375" t="str">
        <f>_xlfn.XLOOKUP(Jnl[[#This Row],[Division]],config_div[Id], config_div[Name],,0)</f>
        <v>明月村</v>
      </c>
      <c r="T1375" t="str">
        <f>IF(Jnl[[#This Row],[TrxDate]]&lt;=stmt_BS_date_end, "In", "Out")</f>
        <v>In</v>
      </c>
      <c r="U1375" t="str">
        <f>IF(Jnl[[#This Row],[TrxDate]]&lt;debug_date_start, "prior", IF(Jnl[[#This Row],[TrxDate]]&gt;debug_date_end, "post", "curr"))</f>
        <v>curr</v>
      </c>
    </row>
    <row r="1376" spans="1:21">
      <c r="A1376" s="11" t="s">
        <v>1770</v>
      </c>
      <c r="B1376" s="7">
        <f>_xlfn.XLOOKUP(Jnl[[#This Row],[TrxId]], Trx[Id], Trx[Date],,0)</f>
        <v>46081</v>
      </c>
      <c r="C1376" s="7" t="str">
        <f>_xlfn.XLOOKUP(Jnl[[#This Row],[TrxId]], Trx[Id], Trx[Division],,0)</f>
        <v>MY</v>
      </c>
      <c r="D1376" s="7" t="str">
        <f>_xlfn.XLOOKUP(Jnl[[#This Row],[TrxId]], Trx[Id], Trx[Action],,0)</f>
        <v>内部结算</v>
      </c>
      <c r="E1376" s="26" t="s">
        <v>83</v>
      </c>
      <c r="F1376" s="11" t="s">
        <v>593</v>
      </c>
      <c r="G1376" s="11" t="s">
        <v>1125</v>
      </c>
      <c r="H1376" s="72">
        <f>H1377</f>
        <v>18953.2</v>
      </c>
      <c r="I1376" s="5" t="b">
        <f>AND(Jnl[[#This Row],[TrxId]]&lt;&gt;"",Jnl[[#This Row],[Acct]]&lt;&gt;"",Jnl[[#This Row],[Item]]&lt;&gt;"",ISNUMBER(Jnl[[#This Row],[Bal]]))</f>
        <v>1</v>
      </c>
      <c r="J1376" s="10">
        <f>IF(Jnl[[#This Row],[BSLv0]]="A",1,-1)*Jnl[[#This Row],[Bal]]</f>
        <v>18953.2</v>
      </c>
      <c r="K1376" t="str">
        <f>_xlfn.XLOOKUP(Jnl[[#This Row],[Acct]], config_BS[Acct], config_BS[Lv0],,0)</f>
        <v>A</v>
      </c>
      <c r="L1376" t="str">
        <f>_xlfn.XLOOKUP(Jnl[[#This Row],[Acct]], config_BS[Acct], config_BS[Lv1],,0)</f>
        <v>Assets</v>
      </c>
      <c r="M1376" t="str">
        <f>_xlfn.XLOOKUP(Jnl[[#This Row],[Acct]], config_BS[Acct], config_BS[Lv2],,0)</f>
        <v>Rec-Pay</v>
      </c>
      <c r="N1376" t="str">
        <f>_xlfn.XLOOKUP(Jnl[[#This Row],[TrxId]], Trx[Id], Trx[IncNode], ,0)</f>
        <v>Revenue</v>
      </c>
      <c r="O1376" t="str">
        <f>_xlfn.XLOOKUP(Jnl[[#This Row],[IncNode]], config_IS[Node], config_IS[Type],,0)</f>
        <v>Op</v>
      </c>
      <c r="P1376" t="str">
        <f>_xlfn.XLOOKUP(Jnl[[#This Row],[BSLv2]], dict[Key], dict[Name],,0)</f>
        <v>1.应收-应付</v>
      </c>
      <c r="Q1376" t="str">
        <f>_xlfn.XLOOKUP(Jnl[[#This Row],[Acct]], dict[Key], dict[Name],,0)</f>
        <v>应收-一般</v>
      </c>
      <c r="R1376" t="str">
        <f>_xlfn.XLOOKUP(Jnl[[#This Row],[Vehicle]],config_vehicle[Id], config_vehicle[Name],,0)</f>
        <v>远家文化</v>
      </c>
      <c r="S1376" t="str">
        <f>_xlfn.XLOOKUP(Jnl[[#This Row],[Division]],config_div[Id], config_div[Name],,0)</f>
        <v>明月村</v>
      </c>
      <c r="T1376" t="str">
        <f>IF(Jnl[[#This Row],[TrxDate]]&lt;=stmt_BS_date_end, "In", "Out")</f>
        <v>In</v>
      </c>
      <c r="U1376" t="str">
        <f>IF(Jnl[[#This Row],[TrxDate]]&lt;debug_date_start, "prior", IF(Jnl[[#This Row],[TrxDate]]&gt;debug_date_end, "post", "curr"))</f>
        <v>curr</v>
      </c>
    </row>
    <row r="1377" spans="1:21">
      <c r="A1377" s="11" t="s">
        <v>1770</v>
      </c>
      <c r="B1377" s="7">
        <f>_xlfn.XLOOKUP(Jnl[[#This Row],[TrxId]], Trx[Id], Trx[Date],,0)</f>
        <v>46081</v>
      </c>
      <c r="C1377" s="7" t="str">
        <f>_xlfn.XLOOKUP(Jnl[[#This Row],[TrxId]], Trx[Id], Trx[Division],,0)</f>
        <v>MY</v>
      </c>
      <c r="D1377" s="7" t="str">
        <f>_xlfn.XLOOKUP(Jnl[[#This Row],[TrxId]], Trx[Id], Trx[Action],,0)</f>
        <v>内部结算</v>
      </c>
      <c r="E1377" s="26" t="s">
        <v>93</v>
      </c>
      <c r="F1377" s="11" t="s">
        <v>652</v>
      </c>
      <c r="G1377" s="11" t="s">
        <v>1771</v>
      </c>
      <c r="H1377" s="72">
        <v>18953.2</v>
      </c>
      <c r="I1377" s="5" t="b">
        <f>AND(Jnl[[#This Row],[TrxId]]&lt;&gt;"",Jnl[[#This Row],[Acct]]&lt;&gt;"",Jnl[[#This Row],[Item]]&lt;&gt;"",ISNUMBER(Jnl[[#This Row],[Bal]]))</f>
        <v>1</v>
      </c>
      <c r="J1377" s="10">
        <f>IF(Jnl[[#This Row],[BSLv0]]="A",1,-1)*Jnl[[#This Row],[Bal]]</f>
        <v>-18953.2</v>
      </c>
      <c r="K1377" t="str">
        <f>_xlfn.XLOOKUP(Jnl[[#This Row],[Acct]], config_BS[Acct], config_BS[Lv0],,0)</f>
        <v>LC</v>
      </c>
      <c r="L1377" t="str">
        <f>_xlfn.XLOOKUP(Jnl[[#This Row],[Acct]], config_BS[Acct], config_BS[Lv1],,0)</f>
        <v>Liability</v>
      </c>
      <c r="M1377" t="str">
        <f>_xlfn.XLOOKUP(Jnl[[#This Row],[Acct]], config_BS[Acct], config_BS[Lv2],,0)</f>
        <v>Rec-Pay</v>
      </c>
      <c r="N1377" t="str">
        <f>_xlfn.XLOOKUP(Jnl[[#This Row],[TrxId]], Trx[Id], Trx[IncNode], ,0)</f>
        <v>Revenue</v>
      </c>
      <c r="O1377" t="str">
        <f>_xlfn.XLOOKUP(Jnl[[#This Row],[IncNode]], config_IS[Node], config_IS[Type],,0)</f>
        <v>Op</v>
      </c>
      <c r="P1377" t="str">
        <f>_xlfn.XLOOKUP(Jnl[[#This Row],[BSLv2]], dict[Key], dict[Name],,0)</f>
        <v>1.应收-应付</v>
      </c>
      <c r="Q1377" t="str">
        <f>_xlfn.XLOOKUP(Jnl[[#This Row],[Acct]], dict[Key], dict[Name],,0)</f>
        <v>应付-一般</v>
      </c>
      <c r="R1377" t="str">
        <f>_xlfn.XLOOKUP(Jnl[[#This Row],[Vehicle]],config_vehicle[Id], config_vehicle[Name],,0)</f>
        <v>创业园-琦</v>
      </c>
      <c r="S1377" t="str">
        <f>_xlfn.XLOOKUP(Jnl[[#This Row],[Division]],config_div[Id], config_div[Name],,0)</f>
        <v>明月村</v>
      </c>
      <c r="T1377" t="str">
        <f>IF(Jnl[[#This Row],[TrxDate]]&lt;=stmt_BS_date_end, "In", "Out")</f>
        <v>In</v>
      </c>
      <c r="U1377" t="str">
        <f>IF(Jnl[[#This Row],[TrxDate]]&lt;debug_date_start, "prior", IF(Jnl[[#This Row],[TrxDate]]&gt;debug_date_end, "post", "curr"))</f>
        <v>curr</v>
      </c>
    </row>
    <row r="1378" spans="1:21">
      <c r="A1378" s="11" t="s">
        <v>1774</v>
      </c>
      <c r="B1378" s="7">
        <f>_xlfn.XLOOKUP(Jnl[[#This Row],[TrxId]], Trx[Id], Trx[Date],,0)</f>
        <v>46081</v>
      </c>
      <c r="C1378" s="7" t="str">
        <f>_xlfn.XLOOKUP(Jnl[[#This Row],[TrxId]], Trx[Id], Trx[Division],,0)</f>
        <v>MY</v>
      </c>
      <c r="D1378" s="7" t="str">
        <f>_xlfn.XLOOKUP(Jnl[[#This Row],[TrxId]], Trx[Id], Trx[Action],,0)</f>
        <v>年会</v>
      </c>
      <c r="E1378" s="26" t="s">
        <v>83</v>
      </c>
      <c r="F1378" s="11" t="s">
        <v>593</v>
      </c>
      <c r="G1378" s="11" t="s">
        <v>1125</v>
      </c>
      <c r="H1378" s="72">
        <v>33883.4</v>
      </c>
      <c r="I1378" s="5" t="b">
        <f>AND(Jnl[[#This Row],[TrxId]]&lt;&gt;"",Jnl[[#This Row],[Acct]]&lt;&gt;"",Jnl[[#This Row],[Item]]&lt;&gt;"",ISNUMBER(Jnl[[#This Row],[Bal]]))</f>
        <v>1</v>
      </c>
      <c r="J1378" s="10">
        <f>IF(Jnl[[#This Row],[BSLv0]]="A",1,-1)*Jnl[[#This Row],[Bal]]</f>
        <v>33883.4</v>
      </c>
      <c r="K1378" t="str">
        <f>_xlfn.XLOOKUP(Jnl[[#This Row],[Acct]], config_BS[Acct], config_BS[Lv0],,0)</f>
        <v>A</v>
      </c>
      <c r="L1378" t="str">
        <f>_xlfn.XLOOKUP(Jnl[[#This Row],[Acct]], config_BS[Acct], config_BS[Lv1],,0)</f>
        <v>Assets</v>
      </c>
      <c r="M1378" t="str">
        <f>_xlfn.XLOOKUP(Jnl[[#This Row],[Acct]], config_BS[Acct], config_BS[Lv2],,0)</f>
        <v>Rec-Pay</v>
      </c>
      <c r="N1378" t="str">
        <f>_xlfn.XLOOKUP(Jnl[[#This Row],[TrxId]], Trx[Id], Trx[IncNode], ,0)</f>
        <v>Discretion</v>
      </c>
      <c r="O1378" t="str">
        <f>_xlfn.XLOOKUP(Jnl[[#This Row],[IncNode]], config_IS[Node], config_IS[Type],,0)</f>
        <v>Non-Op</v>
      </c>
      <c r="P1378" t="str">
        <f>_xlfn.XLOOKUP(Jnl[[#This Row],[BSLv2]], dict[Key], dict[Name],,0)</f>
        <v>1.应收-应付</v>
      </c>
      <c r="Q1378" t="str">
        <f>_xlfn.XLOOKUP(Jnl[[#This Row],[Acct]], dict[Key], dict[Name],,0)</f>
        <v>应收-一般</v>
      </c>
      <c r="R1378" t="str">
        <f>_xlfn.XLOOKUP(Jnl[[#This Row],[Vehicle]],config_vehicle[Id], config_vehicle[Name],,0)</f>
        <v>远家文化</v>
      </c>
      <c r="S1378" t="str">
        <f>_xlfn.XLOOKUP(Jnl[[#This Row],[Division]],config_div[Id], config_div[Name],,0)</f>
        <v>明月村</v>
      </c>
      <c r="T1378" t="str">
        <f>IF(Jnl[[#This Row],[TrxDate]]&lt;=stmt_BS_date_end, "In", "Out")</f>
        <v>In</v>
      </c>
      <c r="U1378" t="str">
        <f>IF(Jnl[[#This Row],[TrxDate]]&lt;debug_date_start, "prior", IF(Jnl[[#This Row],[TrxDate]]&gt;debug_date_end, "post", "curr"))</f>
        <v>curr</v>
      </c>
    </row>
    <row r="1379" spans="1:21">
      <c r="A1379" s="11" t="s">
        <v>1777</v>
      </c>
      <c r="B1379" s="7">
        <f>_xlfn.XLOOKUP(Jnl[[#This Row],[TrxId]], Trx[Id], Trx[Date],,0)</f>
        <v>46081</v>
      </c>
      <c r="C1379" s="7" t="str">
        <f>_xlfn.XLOOKUP(Jnl[[#This Row],[TrxId]], Trx[Id], Trx[Division],,0)</f>
        <v>GM</v>
      </c>
      <c r="D1379" s="7" t="str">
        <f>_xlfn.XLOOKUP(Jnl[[#This Row],[TrxId]], Trx[Id], Trx[Action],,0)</f>
        <v>年会</v>
      </c>
      <c r="E1379" s="26" t="s">
        <v>93</v>
      </c>
      <c r="F1379" s="11" t="s">
        <v>652</v>
      </c>
      <c r="G1379" s="11" t="s">
        <v>1771</v>
      </c>
      <c r="H1379" s="72">
        <f>H1378</f>
        <v>33883.4</v>
      </c>
      <c r="I1379" s="5" t="b">
        <f>AND(Jnl[[#This Row],[TrxId]]&lt;&gt;"",Jnl[[#This Row],[Acct]]&lt;&gt;"",Jnl[[#This Row],[Item]]&lt;&gt;"",ISNUMBER(Jnl[[#This Row],[Bal]]))</f>
        <v>1</v>
      </c>
      <c r="J1379" s="10">
        <f>IF(Jnl[[#This Row],[BSLv0]]="A",1,-1)*Jnl[[#This Row],[Bal]]</f>
        <v>-33883.4</v>
      </c>
      <c r="K1379" t="str">
        <f>_xlfn.XLOOKUP(Jnl[[#This Row],[Acct]], config_BS[Acct], config_BS[Lv0],,0)</f>
        <v>LC</v>
      </c>
      <c r="L1379" t="str">
        <f>_xlfn.XLOOKUP(Jnl[[#This Row],[Acct]], config_BS[Acct], config_BS[Lv1],,0)</f>
        <v>Liability</v>
      </c>
      <c r="M1379" t="str">
        <f>_xlfn.XLOOKUP(Jnl[[#This Row],[Acct]], config_BS[Acct], config_BS[Lv2],,0)</f>
        <v>Rec-Pay</v>
      </c>
      <c r="N1379" t="str">
        <f>_xlfn.XLOOKUP(Jnl[[#This Row],[TrxId]], Trx[Id], Trx[IncNode], ,0)</f>
        <v>Discretion</v>
      </c>
      <c r="O1379" t="str">
        <f>_xlfn.XLOOKUP(Jnl[[#This Row],[IncNode]], config_IS[Node], config_IS[Type],,0)</f>
        <v>Non-Op</v>
      </c>
      <c r="P1379" t="str">
        <f>_xlfn.XLOOKUP(Jnl[[#This Row],[BSLv2]], dict[Key], dict[Name],,0)</f>
        <v>1.应收-应付</v>
      </c>
      <c r="Q1379" t="str">
        <f>_xlfn.XLOOKUP(Jnl[[#This Row],[Acct]], dict[Key], dict[Name],,0)</f>
        <v>应付-一般</v>
      </c>
      <c r="R1379" t="str">
        <f>_xlfn.XLOOKUP(Jnl[[#This Row],[Vehicle]],config_vehicle[Id], config_vehicle[Name],,0)</f>
        <v>创业园-琦</v>
      </c>
      <c r="S1379" t="str">
        <f>_xlfn.XLOOKUP(Jnl[[#This Row],[Division]],config_div[Id], config_div[Name],,0)</f>
        <v>综合管理</v>
      </c>
      <c r="T1379" t="str">
        <f>IF(Jnl[[#This Row],[TrxDate]]&lt;=stmt_BS_date_end, "In", "Out")</f>
        <v>In</v>
      </c>
      <c r="U1379" t="str">
        <f>IF(Jnl[[#This Row],[TrxDate]]&lt;debug_date_start, "prior", IF(Jnl[[#This Row],[TrxDate]]&gt;debug_date_end, "post", "curr"))</f>
        <v>curr</v>
      </c>
    </row>
    <row r="1380" spans="1:21">
      <c r="A1380" s="11" t="s">
        <v>1778</v>
      </c>
      <c r="B1380" s="7">
        <f>_xlfn.XLOOKUP(Jnl[[#This Row],[TrxId]], Trx[Id], Trx[Date],,0)</f>
        <v>46081</v>
      </c>
      <c r="C1380" s="7" t="str">
        <f>_xlfn.XLOOKUP(Jnl[[#This Row],[TrxId]], Trx[Id], Trx[Division],,0)</f>
        <v>MY</v>
      </c>
      <c r="D1380" s="7" t="str">
        <f>_xlfn.XLOOKUP(Jnl[[#This Row],[TrxId]], Trx[Id], Trx[Action],,0)</f>
        <v>团建</v>
      </c>
      <c r="E1380" s="26" t="s">
        <v>83</v>
      </c>
      <c r="F1380" s="11" t="s">
        <v>593</v>
      </c>
      <c r="G1380" s="11" t="s">
        <v>1125</v>
      </c>
      <c r="H1380" s="72">
        <v>4390.3999999999996</v>
      </c>
      <c r="I1380" s="5" t="b">
        <f>AND(Jnl[[#This Row],[TrxId]]&lt;&gt;"",Jnl[[#This Row],[Acct]]&lt;&gt;"",Jnl[[#This Row],[Item]]&lt;&gt;"",ISNUMBER(Jnl[[#This Row],[Bal]]))</f>
        <v>1</v>
      </c>
      <c r="J1380" s="10">
        <f>IF(Jnl[[#This Row],[BSLv0]]="A",1,-1)*Jnl[[#This Row],[Bal]]</f>
        <v>4390.3999999999996</v>
      </c>
      <c r="K1380" t="str">
        <f>_xlfn.XLOOKUP(Jnl[[#This Row],[Acct]], config_BS[Acct], config_BS[Lv0],,0)</f>
        <v>A</v>
      </c>
      <c r="L1380" t="str">
        <f>_xlfn.XLOOKUP(Jnl[[#This Row],[Acct]], config_BS[Acct], config_BS[Lv1],,0)</f>
        <v>Assets</v>
      </c>
      <c r="M1380" t="str">
        <f>_xlfn.XLOOKUP(Jnl[[#This Row],[Acct]], config_BS[Acct], config_BS[Lv2],,0)</f>
        <v>Rec-Pay</v>
      </c>
      <c r="N1380" t="str">
        <f>_xlfn.XLOOKUP(Jnl[[#This Row],[TrxId]], Trx[Id], Trx[IncNode], ,0)</f>
        <v>Expense</v>
      </c>
      <c r="O1380" t="str">
        <f>_xlfn.XLOOKUP(Jnl[[#This Row],[IncNode]], config_IS[Node], config_IS[Type],,0)</f>
        <v>Op</v>
      </c>
      <c r="P1380" t="str">
        <f>_xlfn.XLOOKUP(Jnl[[#This Row],[BSLv2]], dict[Key], dict[Name],,0)</f>
        <v>1.应收-应付</v>
      </c>
      <c r="Q1380" t="str">
        <f>_xlfn.XLOOKUP(Jnl[[#This Row],[Acct]], dict[Key], dict[Name],,0)</f>
        <v>应收-一般</v>
      </c>
      <c r="R1380" t="str">
        <f>_xlfn.XLOOKUP(Jnl[[#This Row],[Vehicle]],config_vehicle[Id], config_vehicle[Name],,0)</f>
        <v>远家文化</v>
      </c>
      <c r="S1380" t="str">
        <f>_xlfn.XLOOKUP(Jnl[[#This Row],[Division]],config_div[Id], config_div[Name],,0)</f>
        <v>明月村</v>
      </c>
      <c r="T1380" t="str">
        <f>IF(Jnl[[#This Row],[TrxDate]]&lt;=stmt_BS_date_end, "In", "Out")</f>
        <v>In</v>
      </c>
      <c r="U1380" t="str">
        <f>IF(Jnl[[#This Row],[TrxDate]]&lt;debug_date_start, "prior", IF(Jnl[[#This Row],[TrxDate]]&gt;debug_date_end, "post", "curr"))</f>
        <v>curr</v>
      </c>
    </row>
    <row r="1381" spans="1:21">
      <c r="A1381" s="11" t="s">
        <v>1779</v>
      </c>
      <c r="B1381" s="7">
        <f>_xlfn.XLOOKUP(Jnl[[#This Row],[TrxId]], Trx[Id], Trx[Date],,0)</f>
        <v>46081</v>
      </c>
      <c r="C1381" s="7" t="str">
        <f>_xlfn.XLOOKUP(Jnl[[#This Row],[TrxId]], Trx[Id], Trx[Division],,0)</f>
        <v>GM</v>
      </c>
      <c r="D1381" s="7" t="str">
        <f>_xlfn.XLOOKUP(Jnl[[#This Row],[TrxId]], Trx[Id], Trx[Action],,0)</f>
        <v>团建</v>
      </c>
      <c r="E1381" s="26" t="s">
        <v>93</v>
      </c>
      <c r="F1381" s="11" t="s">
        <v>652</v>
      </c>
      <c r="G1381" s="11" t="s">
        <v>1771</v>
      </c>
      <c r="H1381" s="72">
        <f>H1380</f>
        <v>4390.3999999999996</v>
      </c>
      <c r="I1381" s="5" t="b">
        <f>AND(Jnl[[#This Row],[TrxId]]&lt;&gt;"",Jnl[[#This Row],[Acct]]&lt;&gt;"",Jnl[[#This Row],[Item]]&lt;&gt;"",ISNUMBER(Jnl[[#This Row],[Bal]]))</f>
        <v>1</v>
      </c>
      <c r="J1381" s="10">
        <f>IF(Jnl[[#This Row],[BSLv0]]="A",1,-1)*Jnl[[#This Row],[Bal]]</f>
        <v>-4390.3999999999996</v>
      </c>
      <c r="K1381" t="str">
        <f>_xlfn.XLOOKUP(Jnl[[#This Row],[Acct]], config_BS[Acct], config_BS[Lv0],,0)</f>
        <v>LC</v>
      </c>
      <c r="L1381" t="str">
        <f>_xlfn.XLOOKUP(Jnl[[#This Row],[Acct]], config_BS[Acct], config_BS[Lv1],,0)</f>
        <v>Liability</v>
      </c>
      <c r="M1381" t="str">
        <f>_xlfn.XLOOKUP(Jnl[[#This Row],[Acct]], config_BS[Acct], config_BS[Lv2],,0)</f>
        <v>Rec-Pay</v>
      </c>
      <c r="N1381" t="str">
        <f>_xlfn.XLOOKUP(Jnl[[#This Row],[TrxId]], Trx[Id], Trx[IncNode], ,0)</f>
        <v>Expense</v>
      </c>
      <c r="O1381" t="str">
        <f>_xlfn.XLOOKUP(Jnl[[#This Row],[IncNode]], config_IS[Node], config_IS[Type],,0)</f>
        <v>Op</v>
      </c>
      <c r="P1381" t="str">
        <f>_xlfn.XLOOKUP(Jnl[[#This Row],[BSLv2]], dict[Key], dict[Name],,0)</f>
        <v>1.应收-应付</v>
      </c>
      <c r="Q1381" t="str">
        <f>_xlfn.XLOOKUP(Jnl[[#This Row],[Acct]], dict[Key], dict[Name],,0)</f>
        <v>应付-一般</v>
      </c>
      <c r="R1381" t="str">
        <f>_xlfn.XLOOKUP(Jnl[[#This Row],[Vehicle]],config_vehicle[Id], config_vehicle[Name],,0)</f>
        <v>创业园-琦</v>
      </c>
      <c r="S1381" t="str">
        <f>_xlfn.XLOOKUP(Jnl[[#This Row],[Division]],config_div[Id], config_div[Name],,0)</f>
        <v>综合管理</v>
      </c>
      <c r="T1381" t="str">
        <f>IF(Jnl[[#This Row],[TrxDate]]&lt;=stmt_BS_date_end, "In", "Out")</f>
        <v>In</v>
      </c>
      <c r="U1381" t="str">
        <f>IF(Jnl[[#This Row],[TrxDate]]&lt;debug_date_start, "prior", IF(Jnl[[#This Row],[TrxDate]]&gt;debug_date_end, "post", "curr"))</f>
        <v>curr</v>
      </c>
    </row>
    <row r="1382" spans="1:21">
      <c r="A1382" s="11" t="s">
        <v>1781</v>
      </c>
      <c r="B1382" s="7">
        <f>_xlfn.XLOOKUP(Jnl[[#This Row],[TrxId]], Trx[Id], Trx[Date],,0)</f>
        <v>46081</v>
      </c>
      <c r="C1382" s="7" t="str">
        <f>_xlfn.XLOOKUP(Jnl[[#This Row],[TrxId]], Trx[Id], Trx[Division],,0)</f>
        <v>MY</v>
      </c>
      <c r="D1382" s="7" t="str">
        <f>_xlfn.XLOOKUP(Jnl[[#This Row],[TrxId]], Trx[Id], Trx[Action],,0)</f>
        <v>薪酬-工资</v>
      </c>
      <c r="E1382" s="26" t="s">
        <v>83</v>
      </c>
      <c r="F1382" s="11" t="s">
        <v>596</v>
      </c>
      <c r="G1382" s="11" t="s">
        <v>149</v>
      </c>
      <c r="H1382" s="72">
        <f>96315.23-H1383-H1384</f>
        <v>86123.47</v>
      </c>
      <c r="I1382" s="5" t="b">
        <f>AND(Jnl[[#This Row],[TrxId]]&lt;&gt;"",Jnl[[#This Row],[Acct]]&lt;&gt;"",Jnl[[#This Row],[Item]]&lt;&gt;"",ISNUMBER(Jnl[[#This Row],[Bal]]))</f>
        <v>1</v>
      </c>
      <c r="J1382" s="10">
        <f>IF(Jnl[[#This Row],[BSLv0]]="A",1,-1)*Jnl[[#This Row],[Bal]]</f>
        <v>-86123.47</v>
      </c>
      <c r="K1382" t="str">
        <f>_xlfn.XLOOKUP(Jnl[[#This Row],[Acct]], config_BS[Acct], config_BS[Lv0],,0)</f>
        <v>LC</v>
      </c>
      <c r="L1382" t="str">
        <f>_xlfn.XLOOKUP(Jnl[[#This Row],[Acct]], config_BS[Acct], config_BS[Lv1],,0)</f>
        <v>Liability</v>
      </c>
      <c r="M1382" t="str">
        <f>_xlfn.XLOOKUP(Jnl[[#This Row],[Acct]], config_BS[Acct], config_BS[Lv2],,0)</f>
        <v>Rec-Pay</v>
      </c>
      <c r="N1382" t="str">
        <f>_xlfn.XLOOKUP(Jnl[[#This Row],[TrxId]], Trx[Id], Trx[IncNode], ,0)</f>
        <v>Expense</v>
      </c>
      <c r="O1382" t="str">
        <f>_xlfn.XLOOKUP(Jnl[[#This Row],[IncNode]], config_IS[Node], config_IS[Type],,0)</f>
        <v>Op</v>
      </c>
      <c r="P1382" t="str">
        <f>_xlfn.XLOOKUP(Jnl[[#This Row],[BSLv2]], dict[Key], dict[Name],,0)</f>
        <v>1.应收-应付</v>
      </c>
      <c r="Q1382" t="str">
        <f>_xlfn.XLOOKUP(Jnl[[#This Row],[Acct]], dict[Key], dict[Name],,0)</f>
        <v>应付-薪资</v>
      </c>
      <c r="R1382" t="str">
        <f>_xlfn.XLOOKUP(Jnl[[#This Row],[Vehicle]],config_vehicle[Id], config_vehicle[Name],,0)</f>
        <v>远家文化</v>
      </c>
      <c r="S1382" t="str">
        <f>_xlfn.XLOOKUP(Jnl[[#This Row],[Division]],config_div[Id], config_div[Name],,0)</f>
        <v>明月村</v>
      </c>
      <c r="T1382" t="str">
        <f>IF(Jnl[[#This Row],[TrxDate]]&lt;=stmt_BS_date_end, "In", "Out")</f>
        <v>In</v>
      </c>
      <c r="U1382" t="str">
        <f>IF(Jnl[[#This Row],[TrxDate]]&lt;debug_date_start, "prior", IF(Jnl[[#This Row],[TrxDate]]&gt;debug_date_end, "post", "curr"))</f>
        <v>curr</v>
      </c>
    </row>
    <row r="1383" spans="1:21">
      <c r="A1383" s="11" t="s">
        <v>1781</v>
      </c>
      <c r="B1383" s="7">
        <f>_xlfn.XLOOKUP(Jnl[[#This Row],[TrxId]], Trx[Id], Trx[Date],,0)</f>
        <v>46081</v>
      </c>
      <c r="C1383" s="7" t="str">
        <f>_xlfn.XLOOKUP(Jnl[[#This Row],[TrxId]], Trx[Id], Trx[Division],,0)</f>
        <v>MY</v>
      </c>
      <c r="D1383" s="7" t="str">
        <f>_xlfn.XLOOKUP(Jnl[[#This Row],[TrxId]], Trx[Id], Trx[Action],,0)</f>
        <v>薪酬-工资</v>
      </c>
      <c r="E1383" s="26" t="s">
        <v>83</v>
      </c>
      <c r="F1383" s="11" t="s">
        <v>127</v>
      </c>
      <c r="G1383" s="11" t="s">
        <v>343</v>
      </c>
      <c r="H1383" s="72">
        <v>171.61</v>
      </c>
      <c r="I1383" s="5" t="b">
        <f>AND(Jnl[[#This Row],[TrxId]]&lt;&gt;"",Jnl[[#This Row],[Acct]]&lt;&gt;"",Jnl[[#This Row],[Item]]&lt;&gt;"",ISNUMBER(Jnl[[#This Row],[Bal]]))</f>
        <v>1</v>
      </c>
      <c r="J1383" s="10">
        <f>IF(Jnl[[#This Row],[BSLv0]]="A",1,-1)*Jnl[[#This Row],[Bal]]</f>
        <v>-171.61</v>
      </c>
      <c r="K1383" t="str">
        <f>_xlfn.XLOOKUP(Jnl[[#This Row],[Acct]], config_BS[Acct], config_BS[Lv0],,0)</f>
        <v>LC</v>
      </c>
      <c r="L1383" t="str">
        <f>_xlfn.XLOOKUP(Jnl[[#This Row],[Acct]], config_BS[Acct], config_BS[Lv1],,0)</f>
        <v>Liability</v>
      </c>
      <c r="M1383" t="str">
        <f>_xlfn.XLOOKUP(Jnl[[#This Row],[Acct]], config_BS[Acct], config_BS[Lv2],,0)</f>
        <v>Rec-Pay</v>
      </c>
      <c r="N1383" t="str">
        <f>_xlfn.XLOOKUP(Jnl[[#This Row],[TrxId]], Trx[Id], Trx[IncNode], ,0)</f>
        <v>Expense</v>
      </c>
      <c r="O1383" t="str">
        <f>_xlfn.XLOOKUP(Jnl[[#This Row],[IncNode]], config_IS[Node], config_IS[Type],,0)</f>
        <v>Op</v>
      </c>
      <c r="P1383" t="str">
        <f>_xlfn.XLOOKUP(Jnl[[#This Row],[BSLv2]], dict[Key], dict[Name],,0)</f>
        <v>1.应收-应付</v>
      </c>
      <c r="Q1383" t="str">
        <f>_xlfn.XLOOKUP(Jnl[[#This Row],[Acct]], dict[Key], dict[Name],,0)</f>
        <v>应付-税款</v>
      </c>
      <c r="R1383" t="str">
        <f>_xlfn.XLOOKUP(Jnl[[#This Row],[Vehicle]],config_vehicle[Id], config_vehicle[Name],,0)</f>
        <v>远家文化</v>
      </c>
      <c r="S1383" t="str">
        <f>_xlfn.XLOOKUP(Jnl[[#This Row],[Division]],config_div[Id], config_div[Name],,0)</f>
        <v>明月村</v>
      </c>
      <c r="T1383" t="str">
        <f>IF(Jnl[[#This Row],[TrxDate]]&lt;=stmt_BS_date_end, "In", "Out")</f>
        <v>In</v>
      </c>
      <c r="U1383" t="str">
        <f>IF(Jnl[[#This Row],[TrxDate]]&lt;debug_date_start, "prior", IF(Jnl[[#This Row],[TrxDate]]&gt;debug_date_end, "post", "curr"))</f>
        <v>curr</v>
      </c>
    </row>
    <row r="1384" spans="1:21">
      <c r="A1384" s="11" t="s">
        <v>1781</v>
      </c>
      <c r="B1384" s="7">
        <f>_xlfn.XLOOKUP(Jnl[[#This Row],[TrxId]], Trx[Id], Trx[Date],,0)</f>
        <v>46081</v>
      </c>
      <c r="C1384" s="7" t="str">
        <f>_xlfn.XLOOKUP(Jnl[[#This Row],[TrxId]], Trx[Id], Trx[Division],,0)</f>
        <v>MY</v>
      </c>
      <c r="D1384" s="7" t="str">
        <f>_xlfn.XLOOKUP(Jnl[[#This Row],[TrxId]], Trx[Id], Trx[Action],,0)</f>
        <v>薪酬-工资</v>
      </c>
      <c r="E1384" s="26" t="s">
        <v>83</v>
      </c>
      <c r="F1384" s="11" t="s">
        <v>131</v>
      </c>
      <c r="G1384" s="11" t="s">
        <v>1808</v>
      </c>
      <c r="H1384" s="72">
        <v>10020.15</v>
      </c>
      <c r="I1384" s="5" t="b">
        <f>AND(Jnl[[#This Row],[TrxId]]&lt;&gt;"",Jnl[[#This Row],[Acct]]&lt;&gt;"",Jnl[[#This Row],[Item]]&lt;&gt;"",ISNUMBER(Jnl[[#This Row],[Bal]]))</f>
        <v>1</v>
      </c>
      <c r="J1384" s="10">
        <f>IF(Jnl[[#This Row],[BSLv0]]="A",1,-1)*Jnl[[#This Row],[Bal]]</f>
        <v>-10020.15</v>
      </c>
      <c r="K1384" t="str">
        <f>_xlfn.XLOOKUP(Jnl[[#This Row],[Acct]], config_BS[Acct], config_BS[Lv0],,0)</f>
        <v>LC</v>
      </c>
      <c r="L1384" t="str">
        <f>_xlfn.XLOOKUP(Jnl[[#This Row],[Acct]], config_BS[Acct], config_BS[Lv1],,0)</f>
        <v>Liability</v>
      </c>
      <c r="M1384" t="str">
        <f>_xlfn.XLOOKUP(Jnl[[#This Row],[Acct]], config_BS[Acct], config_BS[Lv2],,0)</f>
        <v>Rec-Pay</v>
      </c>
      <c r="N1384" t="str">
        <f>_xlfn.XLOOKUP(Jnl[[#This Row],[TrxId]], Trx[Id], Trx[IncNode], ,0)</f>
        <v>Expense</v>
      </c>
      <c r="O1384" t="str">
        <f>_xlfn.XLOOKUP(Jnl[[#This Row],[IncNode]], config_IS[Node], config_IS[Type],,0)</f>
        <v>Op</v>
      </c>
      <c r="P1384" t="str">
        <f>_xlfn.XLOOKUP(Jnl[[#This Row],[BSLv2]], dict[Key], dict[Name],,0)</f>
        <v>1.应收-应付</v>
      </c>
      <c r="Q1384" t="str">
        <f>_xlfn.XLOOKUP(Jnl[[#This Row],[Acct]], dict[Key], dict[Name],,0)</f>
        <v>应付-其他</v>
      </c>
      <c r="R1384" t="str">
        <f>_xlfn.XLOOKUP(Jnl[[#This Row],[Vehicle]],config_vehicle[Id], config_vehicle[Name],,0)</f>
        <v>远家文化</v>
      </c>
      <c r="S1384" t="str">
        <f>_xlfn.XLOOKUP(Jnl[[#This Row],[Division]],config_div[Id], config_div[Name],,0)</f>
        <v>明月村</v>
      </c>
      <c r="T1384" t="str">
        <f>IF(Jnl[[#This Row],[TrxDate]]&lt;=stmt_BS_date_end, "In", "Out")</f>
        <v>In</v>
      </c>
      <c r="U1384" t="str">
        <f>IF(Jnl[[#This Row],[TrxDate]]&lt;debug_date_start, "prior", IF(Jnl[[#This Row],[TrxDate]]&gt;debug_date_end, "post", "curr"))</f>
        <v>curr</v>
      </c>
    </row>
    <row r="1385" spans="1:21">
      <c r="A1385" s="11" t="s">
        <v>1782</v>
      </c>
      <c r="B1385" s="7">
        <f>_xlfn.XLOOKUP(Jnl[[#This Row],[TrxId]], Trx[Id], Trx[Date],,0)</f>
        <v>46081</v>
      </c>
      <c r="C1385" s="7" t="str">
        <f>_xlfn.XLOOKUP(Jnl[[#This Row],[TrxId]], Trx[Id], Trx[Division],,0)</f>
        <v>GM</v>
      </c>
      <c r="D1385" s="7" t="str">
        <f>_xlfn.XLOOKUP(Jnl[[#This Row],[TrxId]], Trx[Id], Trx[Action],,0)</f>
        <v>薪酬-工资</v>
      </c>
      <c r="E1385" s="26" t="s">
        <v>83</v>
      </c>
      <c r="F1385" s="11" t="s">
        <v>596</v>
      </c>
      <c r="G1385" s="11" t="s">
        <v>149</v>
      </c>
      <c r="H1385" s="72">
        <v>23854</v>
      </c>
      <c r="I1385" s="5" t="b">
        <f>AND(Jnl[[#This Row],[TrxId]]&lt;&gt;"",Jnl[[#This Row],[Acct]]&lt;&gt;"",Jnl[[#This Row],[Item]]&lt;&gt;"",ISNUMBER(Jnl[[#This Row],[Bal]]))</f>
        <v>1</v>
      </c>
      <c r="J1385" s="10">
        <f>IF(Jnl[[#This Row],[BSLv0]]="A",1,-1)*Jnl[[#This Row],[Bal]]</f>
        <v>-23854</v>
      </c>
      <c r="K1385" t="str">
        <f>_xlfn.XLOOKUP(Jnl[[#This Row],[Acct]], config_BS[Acct], config_BS[Lv0],,0)</f>
        <v>LC</v>
      </c>
      <c r="L1385" t="str">
        <f>_xlfn.XLOOKUP(Jnl[[#This Row],[Acct]], config_BS[Acct], config_BS[Lv1],,0)</f>
        <v>Liability</v>
      </c>
      <c r="M1385" t="str">
        <f>_xlfn.XLOOKUP(Jnl[[#This Row],[Acct]], config_BS[Acct], config_BS[Lv2],,0)</f>
        <v>Rec-Pay</v>
      </c>
      <c r="N1385" t="str">
        <f>_xlfn.XLOOKUP(Jnl[[#This Row],[TrxId]], Trx[Id], Trx[IncNode], ,0)</f>
        <v>Expense</v>
      </c>
      <c r="O1385" t="str">
        <f>_xlfn.XLOOKUP(Jnl[[#This Row],[IncNode]], config_IS[Node], config_IS[Type],,0)</f>
        <v>Op</v>
      </c>
      <c r="P1385" t="str">
        <f>_xlfn.XLOOKUP(Jnl[[#This Row],[BSLv2]], dict[Key], dict[Name],,0)</f>
        <v>1.应收-应付</v>
      </c>
      <c r="Q1385" t="str">
        <f>_xlfn.XLOOKUP(Jnl[[#This Row],[Acct]], dict[Key], dict[Name],,0)</f>
        <v>应付-薪资</v>
      </c>
      <c r="R1385" t="str">
        <f>_xlfn.XLOOKUP(Jnl[[#This Row],[Vehicle]],config_vehicle[Id], config_vehicle[Name],,0)</f>
        <v>远家文化</v>
      </c>
      <c r="S1385" t="str">
        <f>_xlfn.XLOOKUP(Jnl[[#This Row],[Division]],config_div[Id], config_div[Name],,0)</f>
        <v>综合管理</v>
      </c>
      <c r="T1385" t="str">
        <f>IF(Jnl[[#This Row],[TrxDate]]&lt;=stmt_BS_date_end, "In", "Out")</f>
        <v>In</v>
      </c>
      <c r="U1385" t="str">
        <f>IF(Jnl[[#This Row],[TrxDate]]&lt;debug_date_start, "prior", IF(Jnl[[#This Row],[TrxDate]]&gt;debug_date_end, "post", "curr"))</f>
        <v>curr</v>
      </c>
    </row>
    <row r="1386" spans="1:21">
      <c r="A1386" s="11" t="s">
        <v>1783</v>
      </c>
      <c r="B1386" s="7">
        <f>_xlfn.XLOOKUP(Jnl[[#This Row],[TrxId]], Trx[Id], Trx[Date],,0)</f>
        <v>46081</v>
      </c>
      <c r="C1386" s="7" t="str">
        <f>_xlfn.XLOOKUP(Jnl[[#This Row],[TrxId]], Trx[Id], Trx[Division],,0)</f>
        <v>MY</v>
      </c>
      <c r="D1386" s="7" t="str">
        <f>_xlfn.XLOOKUP(Jnl[[#This Row],[TrxId]], Trx[Id], Trx[Action],,0)</f>
        <v>服饰</v>
      </c>
      <c r="E1386" s="26" t="s">
        <v>83</v>
      </c>
      <c r="F1386" s="11" t="s">
        <v>593</v>
      </c>
      <c r="G1386" s="11" t="s">
        <v>944</v>
      </c>
      <c r="H1386" s="72">
        <v>76622.03</v>
      </c>
      <c r="I1386" s="5" t="b">
        <f>AND(Jnl[[#This Row],[TrxId]]&lt;&gt;"",Jnl[[#This Row],[Acct]]&lt;&gt;"",Jnl[[#This Row],[Item]]&lt;&gt;"",ISNUMBER(Jnl[[#This Row],[Bal]]))</f>
        <v>1</v>
      </c>
      <c r="J1386" s="10">
        <f>IF(Jnl[[#This Row],[BSLv0]]="A",1,-1)*Jnl[[#This Row],[Bal]]</f>
        <v>76622.03</v>
      </c>
      <c r="K1386" t="str">
        <f>_xlfn.XLOOKUP(Jnl[[#This Row],[Acct]], config_BS[Acct], config_BS[Lv0],,0)</f>
        <v>A</v>
      </c>
      <c r="L1386" t="str">
        <f>_xlfn.XLOOKUP(Jnl[[#This Row],[Acct]], config_BS[Acct], config_BS[Lv1],,0)</f>
        <v>Assets</v>
      </c>
      <c r="M1386" t="str">
        <f>_xlfn.XLOOKUP(Jnl[[#This Row],[Acct]], config_BS[Acct], config_BS[Lv2],,0)</f>
        <v>Rec-Pay</v>
      </c>
      <c r="N1386" t="str">
        <f>_xlfn.XLOOKUP(Jnl[[#This Row],[TrxId]], Trx[Id], Trx[IncNode], ,0)</f>
        <v>Revenue</v>
      </c>
      <c r="O1386" t="str">
        <f>_xlfn.XLOOKUP(Jnl[[#This Row],[IncNode]], config_IS[Node], config_IS[Type],,0)</f>
        <v>Op</v>
      </c>
      <c r="P1386" t="str">
        <f>_xlfn.XLOOKUP(Jnl[[#This Row],[BSLv2]], dict[Key], dict[Name],,0)</f>
        <v>1.应收-应付</v>
      </c>
      <c r="Q1386" t="str">
        <f>_xlfn.XLOOKUP(Jnl[[#This Row],[Acct]], dict[Key], dict[Name],,0)</f>
        <v>应收-一般</v>
      </c>
      <c r="R1386" t="str">
        <f>_xlfn.XLOOKUP(Jnl[[#This Row],[Vehicle]],config_vehicle[Id], config_vehicle[Name],,0)</f>
        <v>远家文化</v>
      </c>
      <c r="S1386" t="str">
        <f>_xlfn.XLOOKUP(Jnl[[#This Row],[Division]],config_div[Id], config_div[Name],,0)</f>
        <v>明月村</v>
      </c>
      <c r="T1386" t="str">
        <f>IF(Jnl[[#This Row],[TrxDate]]&lt;=stmt_BS_date_end, "In", "Out")</f>
        <v>In</v>
      </c>
      <c r="U1386" t="str">
        <f>IF(Jnl[[#This Row],[TrxDate]]&lt;debug_date_start, "prior", IF(Jnl[[#This Row],[TrxDate]]&gt;debug_date_end, "post", "curr"))</f>
        <v>curr</v>
      </c>
    </row>
    <row r="1387" spans="1:21">
      <c r="A1387" s="11" t="s">
        <v>1783</v>
      </c>
      <c r="B1387" s="7">
        <f>_xlfn.XLOOKUP(Jnl[[#This Row],[TrxId]], Trx[Id], Trx[Date],,0)</f>
        <v>46081</v>
      </c>
      <c r="C1387" s="7" t="str">
        <f>_xlfn.XLOOKUP(Jnl[[#This Row],[TrxId]], Trx[Id], Trx[Division],,0)</f>
        <v>MY</v>
      </c>
      <c r="D1387" s="7" t="str">
        <f>_xlfn.XLOOKUP(Jnl[[#This Row],[TrxId]], Trx[Id], Trx[Action],,0)</f>
        <v>服饰</v>
      </c>
      <c r="E1387" s="26" t="s">
        <v>83</v>
      </c>
      <c r="F1387" s="11" t="s">
        <v>1194</v>
      </c>
      <c r="G1387" s="11" t="s">
        <v>920</v>
      </c>
      <c r="H1387" s="72">
        <v>-4530</v>
      </c>
      <c r="I1387" s="5" t="b">
        <f>AND(Jnl[[#This Row],[TrxId]]&lt;&gt;"",Jnl[[#This Row],[Acct]]&lt;&gt;"",Jnl[[#This Row],[Item]]&lt;&gt;"",ISNUMBER(Jnl[[#This Row],[Bal]]))</f>
        <v>1</v>
      </c>
      <c r="J1387" s="10">
        <f>IF(Jnl[[#This Row],[BSLv0]]="A",1,-1)*Jnl[[#This Row],[Bal]]</f>
        <v>4530</v>
      </c>
      <c r="K1387" t="str">
        <f>_xlfn.XLOOKUP(Jnl[[#This Row],[Acct]], config_BS[Acct], config_BS[Lv0],,0)</f>
        <v>LC</v>
      </c>
      <c r="L1387" t="str">
        <f>_xlfn.XLOOKUP(Jnl[[#This Row],[Acct]], config_BS[Acct], config_BS[Lv1],,0)</f>
        <v>Liability</v>
      </c>
      <c r="M1387" t="str">
        <f>_xlfn.XLOOKUP(Jnl[[#This Row],[Acct]], config_BS[Acct], config_BS[Lv2],,0)</f>
        <v>Cash alike</v>
      </c>
      <c r="N1387" t="str">
        <f>_xlfn.XLOOKUP(Jnl[[#This Row],[TrxId]], Trx[Id], Trx[IncNode], ,0)</f>
        <v>Revenue</v>
      </c>
      <c r="O1387" t="str">
        <f>_xlfn.XLOOKUP(Jnl[[#This Row],[IncNode]], config_IS[Node], config_IS[Type],,0)</f>
        <v>Op</v>
      </c>
      <c r="P1387" t="str">
        <f>_xlfn.XLOOKUP(Jnl[[#This Row],[BSLv2]], dict[Key], dict[Name],,0)</f>
        <v>0.现金及类似</v>
      </c>
      <c r="Q1387" t="str">
        <f>_xlfn.XLOOKUP(Jnl[[#This Row],[Acct]], dict[Key], dict[Name],,0)</f>
        <v>会员充值</v>
      </c>
      <c r="R1387" t="str">
        <f>_xlfn.XLOOKUP(Jnl[[#This Row],[Vehicle]],config_vehicle[Id], config_vehicle[Name],,0)</f>
        <v>远家文化</v>
      </c>
      <c r="S1387" t="str">
        <f>_xlfn.XLOOKUP(Jnl[[#This Row],[Division]],config_div[Id], config_div[Name],,0)</f>
        <v>明月村</v>
      </c>
      <c r="T1387" t="str">
        <f>IF(Jnl[[#This Row],[TrxDate]]&lt;=stmt_BS_date_end, "In", "Out")</f>
        <v>In</v>
      </c>
      <c r="U1387" t="str">
        <f>IF(Jnl[[#This Row],[TrxDate]]&lt;debug_date_start, "prior", IF(Jnl[[#This Row],[TrxDate]]&gt;debug_date_end, "post", "curr"))</f>
        <v>curr</v>
      </c>
    </row>
    <row r="1388" spans="1:21">
      <c r="A1388" s="11" t="s">
        <v>1784</v>
      </c>
      <c r="B1388" s="7">
        <f>_xlfn.XLOOKUP(Jnl[[#This Row],[TrxId]], Trx[Id], Trx[Date],,0)</f>
        <v>46081</v>
      </c>
      <c r="C1388" s="7" t="str">
        <f>_xlfn.XLOOKUP(Jnl[[#This Row],[TrxId]], Trx[Id], Trx[Division],,0)</f>
        <v>MY</v>
      </c>
      <c r="D1388" s="7" t="str">
        <f>_xlfn.XLOOKUP(Jnl[[#This Row],[TrxId]], Trx[Id], Trx[Action],,0)</f>
        <v>餐饮</v>
      </c>
      <c r="E1388" s="26" t="s">
        <v>83</v>
      </c>
      <c r="F1388" s="11" t="s">
        <v>593</v>
      </c>
      <c r="G1388" s="11" t="s">
        <v>947</v>
      </c>
      <c r="H1388" s="72">
        <v>14897.64</v>
      </c>
      <c r="I1388" s="5" t="b">
        <f>AND(Jnl[[#This Row],[TrxId]]&lt;&gt;"",Jnl[[#This Row],[Acct]]&lt;&gt;"",Jnl[[#This Row],[Item]]&lt;&gt;"",ISNUMBER(Jnl[[#This Row],[Bal]]))</f>
        <v>1</v>
      </c>
      <c r="J1388" s="10">
        <f>IF(Jnl[[#This Row],[BSLv0]]="A",1,-1)*Jnl[[#This Row],[Bal]]</f>
        <v>14897.64</v>
      </c>
      <c r="K1388" t="str">
        <f>_xlfn.XLOOKUP(Jnl[[#This Row],[Acct]], config_BS[Acct], config_BS[Lv0],,0)</f>
        <v>A</v>
      </c>
      <c r="L1388" t="str">
        <f>_xlfn.XLOOKUP(Jnl[[#This Row],[Acct]], config_BS[Acct], config_BS[Lv1],,0)</f>
        <v>Assets</v>
      </c>
      <c r="M1388" t="str">
        <f>_xlfn.XLOOKUP(Jnl[[#This Row],[Acct]], config_BS[Acct], config_BS[Lv2],,0)</f>
        <v>Rec-Pay</v>
      </c>
      <c r="N1388" t="str">
        <f>_xlfn.XLOOKUP(Jnl[[#This Row],[TrxId]], Trx[Id], Trx[IncNode], ,0)</f>
        <v>Revenue</v>
      </c>
      <c r="O1388" t="str">
        <f>_xlfn.XLOOKUP(Jnl[[#This Row],[IncNode]], config_IS[Node], config_IS[Type],,0)</f>
        <v>Op</v>
      </c>
      <c r="P1388" t="str">
        <f>_xlfn.XLOOKUP(Jnl[[#This Row],[BSLv2]], dict[Key], dict[Name],,0)</f>
        <v>1.应收-应付</v>
      </c>
      <c r="Q1388" t="str">
        <f>_xlfn.XLOOKUP(Jnl[[#This Row],[Acct]], dict[Key], dict[Name],,0)</f>
        <v>应收-一般</v>
      </c>
      <c r="R1388" t="str">
        <f>_xlfn.XLOOKUP(Jnl[[#This Row],[Vehicle]],config_vehicle[Id], config_vehicle[Name],,0)</f>
        <v>远家文化</v>
      </c>
      <c r="S1388" t="str">
        <f>_xlfn.XLOOKUP(Jnl[[#This Row],[Division]],config_div[Id], config_div[Name],,0)</f>
        <v>明月村</v>
      </c>
      <c r="T1388" t="str">
        <f>IF(Jnl[[#This Row],[TrxDate]]&lt;=stmt_BS_date_end, "In", "Out")</f>
        <v>In</v>
      </c>
      <c r="U1388" t="str">
        <f>IF(Jnl[[#This Row],[TrxDate]]&lt;debug_date_start, "prior", IF(Jnl[[#This Row],[TrxDate]]&gt;debug_date_end, "post", "curr"))</f>
        <v>curr</v>
      </c>
    </row>
    <row r="1389" spans="1:21">
      <c r="A1389" s="11" t="s">
        <v>1784</v>
      </c>
      <c r="B1389" s="7">
        <f>_xlfn.XLOOKUP(Jnl[[#This Row],[TrxId]], Trx[Id], Trx[Date],,0)</f>
        <v>46081</v>
      </c>
      <c r="C1389" s="7" t="str">
        <f>_xlfn.XLOOKUP(Jnl[[#This Row],[TrxId]], Trx[Id], Trx[Division],,0)</f>
        <v>MY</v>
      </c>
      <c r="D1389" s="7" t="str">
        <f>_xlfn.XLOOKUP(Jnl[[#This Row],[TrxId]], Trx[Id], Trx[Action],,0)</f>
        <v>餐饮</v>
      </c>
      <c r="E1389" s="26" t="s">
        <v>83</v>
      </c>
      <c r="F1389" s="11" t="s">
        <v>593</v>
      </c>
      <c r="G1389" s="11" t="s">
        <v>1130</v>
      </c>
      <c r="H1389" s="72">
        <v>75200</v>
      </c>
      <c r="I1389" s="5" t="b">
        <f>AND(Jnl[[#This Row],[TrxId]]&lt;&gt;"",Jnl[[#This Row],[Acct]]&lt;&gt;"",Jnl[[#This Row],[Item]]&lt;&gt;"",ISNUMBER(Jnl[[#This Row],[Bal]]))</f>
        <v>1</v>
      </c>
      <c r="J1389" s="10">
        <f>IF(Jnl[[#This Row],[BSLv0]]="A",1,-1)*Jnl[[#This Row],[Bal]]</f>
        <v>75200</v>
      </c>
      <c r="K1389" t="str">
        <f>_xlfn.XLOOKUP(Jnl[[#This Row],[Acct]], config_BS[Acct], config_BS[Lv0],,0)</f>
        <v>A</v>
      </c>
      <c r="L1389" t="str">
        <f>_xlfn.XLOOKUP(Jnl[[#This Row],[Acct]], config_BS[Acct], config_BS[Lv1],,0)</f>
        <v>Assets</v>
      </c>
      <c r="M1389" t="str">
        <f>_xlfn.XLOOKUP(Jnl[[#This Row],[Acct]], config_BS[Acct], config_BS[Lv2],,0)</f>
        <v>Rec-Pay</v>
      </c>
      <c r="N1389" t="str">
        <f>_xlfn.XLOOKUP(Jnl[[#This Row],[TrxId]], Trx[Id], Trx[IncNode], ,0)</f>
        <v>Revenue</v>
      </c>
      <c r="O1389" t="str">
        <f>_xlfn.XLOOKUP(Jnl[[#This Row],[IncNode]], config_IS[Node], config_IS[Type],,0)</f>
        <v>Op</v>
      </c>
      <c r="P1389" t="str">
        <f>_xlfn.XLOOKUP(Jnl[[#This Row],[BSLv2]], dict[Key], dict[Name],,0)</f>
        <v>1.应收-应付</v>
      </c>
      <c r="Q1389" t="str">
        <f>_xlfn.XLOOKUP(Jnl[[#This Row],[Acct]], dict[Key], dict[Name],,0)</f>
        <v>应收-一般</v>
      </c>
      <c r="R1389" t="str">
        <f>_xlfn.XLOOKUP(Jnl[[#This Row],[Vehicle]],config_vehicle[Id], config_vehicle[Name],,0)</f>
        <v>远家文化</v>
      </c>
      <c r="S1389" t="str">
        <f>_xlfn.XLOOKUP(Jnl[[#This Row],[Division]],config_div[Id], config_div[Name],,0)</f>
        <v>明月村</v>
      </c>
      <c r="T1389" t="str">
        <f>IF(Jnl[[#This Row],[TrxDate]]&lt;=stmt_BS_date_end, "In", "Out")</f>
        <v>In</v>
      </c>
      <c r="U1389" t="str">
        <f>IF(Jnl[[#This Row],[TrxDate]]&lt;debug_date_start, "prior", IF(Jnl[[#This Row],[TrxDate]]&gt;debug_date_end, "post", "curr"))</f>
        <v>curr</v>
      </c>
    </row>
    <row r="1390" spans="1:21">
      <c r="A1390" s="11" t="s">
        <v>1784</v>
      </c>
      <c r="B1390" s="7">
        <f>_xlfn.XLOOKUP(Jnl[[#This Row],[TrxId]], Trx[Id], Trx[Date],,0)</f>
        <v>46081</v>
      </c>
      <c r="C1390" s="7" t="str">
        <f>_xlfn.XLOOKUP(Jnl[[#This Row],[TrxId]], Trx[Id], Trx[Division],,0)</f>
        <v>MY</v>
      </c>
      <c r="D1390" s="7" t="str">
        <f>_xlfn.XLOOKUP(Jnl[[#This Row],[TrxId]], Trx[Id], Trx[Action],,0)</f>
        <v>餐饮</v>
      </c>
      <c r="E1390" s="26" t="s">
        <v>83</v>
      </c>
      <c r="F1390" s="11" t="s">
        <v>1194</v>
      </c>
      <c r="G1390" s="11" t="s">
        <v>920</v>
      </c>
      <c r="H1390" s="72">
        <v>-10110</v>
      </c>
      <c r="I1390" s="5" t="b">
        <f>AND(Jnl[[#This Row],[TrxId]]&lt;&gt;"",Jnl[[#This Row],[Acct]]&lt;&gt;"",Jnl[[#This Row],[Item]]&lt;&gt;"",ISNUMBER(Jnl[[#This Row],[Bal]]))</f>
        <v>1</v>
      </c>
      <c r="J1390" s="10">
        <f>IF(Jnl[[#This Row],[BSLv0]]="A",1,-1)*Jnl[[#This Row],[Bal]]</f>
        <v>10110</v>
      </c>
      <c r="K1390" t="str">
        <f>_xlfn.XLOOKUP(Jnl[[#This Row],[Acct]], config_BS[Acct], config_BS[Lv0],,0)</f>
        <v>LC</v>
      </c>
      <c r="L1390" t="str">
        <f>_xlfn.XLOOKUP(Jnl[[#This Row],[Acct]], config_BS[Acct], config_BS[Lv1],,0)</f>
        <v>Liability</v>
      </c>
      <c r="M1390" t="str">
        <f>_xlfn.XLOOKUP(Jnl[[#This Row],[Acct]], config_BS[Acct], config_BS[Lv2],,0)</f>
        <v>Cash alike</v>
      </c>
      <c r="N1390" t="str">
        <f>_xlfn.XLOOKUP(Jnl[[#This Row],[TrxId]], Trx[Id], Trx[IncNode], ,0)</f>
        <v>Revenue</v>
      </c>
      <c r="O1390" t="str">
        <f>_xlfn.XLOOKUP(Jnl[[#This Row],[IncNode]], config_IS[Node], config_IS[Type],,0)</f>
        <v>Op</v>
      </c>
      <c r="P1390" t="str">
        <f>_xlfn.XLOOKUP(Jnl[[#This Row],[BSLv2]], dict[Key], dict[Name],,0)</f>
        <v>0.现金及类似</v>
      </c>
      <c r="Q1390" t="str">
        <f>_xlfn.XLOOKUP(Jnl[[#This Row],[Acct]], dict[Key], dict[Name],,0)</f>
        <v>会员充值</v>
      </c>
      <c r="R1390" t="str">
        <f>_xlfn.XLOOKUP(Jnl[[#This Row],[Vehicle]],config_vehicle[Id], config_vehicle[Name],,0)</f>
        <v>远家文化</v>
      </c>
      <c r="S1390" t="str">
        <f>_xlfn.XLOOKUP(Jnl[[#This Row],[Division]],config_div[Id], config_div[Name],,0)</f>
        <v>明月村</v>
      </c>
      <c r="T1390" t="str">
        <f>IF(Jnl[[#This Row],[TrxDate]]&lt;=stmt_BS_date_end, "In", "Out")</f>
        <v>In</v>
      </c>
      <c r="U1390" t="str">
        <f>IF(Jnl[[#This Row],[TrxDate]]&lt;debug_date_start, "prior", IF(Jnl[[#This Row],[TrxDate]]&gt;debug_date_end, "post", "curr"))</f>
        <v>curr</v>
      </c>
    </row>
    <row r="1391" spans="1:21">
      <c r="A1391" s="11" t="s">
        <v>1785</v>
      </c>
      <c r="B1391" s="7">
        <f>_xlfn.XLOOKUP(Jnl[[#This Row],[TrxId]], Trx[Id], Trx[Date],,0)</f>
        <v>46081</v>
      </c>
      <c r="C1391" s="7" t="str">
        <f>_xlfn.XLOOKUP(Jnl[[#This Row],[TrxId]], Trx[Id], Trx[Division],,0)</f>
        <v>MY</v>
      </c>
      <c r="D1391" s="7" t="str">
        <f>_xlfn.XLOOKUP(Jnl[[#This Row],[TrxId]], Trx[Id], Trx[Action],,0)</f>
        <v>客房</v>
      </c>
      <c r="E1391" s="26" t="s">
        <v>83</v>
      </c>
      <c r="F1391" s="11" t="s">
        <v>593</v>
      </c>
      <c r="G1391" s="11" t="s">
        <v>1130</v>
      </c>
      <c r="H1391" s="72">
        <v>22080.31</v>
      </c>
      <c r="I1391" s="5" t="b">
        <f>AND(Jnl[[#This Row],[TrxId]]&lt;&gt;"",Jnl[[#This Row],[Acct]]&lt;&gt;"",Jnl[[#This Row],[Item]]&lt;&gt;"",ISNUMBER(Jnl[[#This Row],[Bal]]))</f>
        <v>1</v>
      </c>
      <c r="J1391" s="10">
        <f>IF(Jnl[[#This Row],[BSLv0]]="A",1,-1)*Jnl[[#This Row],[Bal]]</f>
        <v>22080.31</v>
      </c>
      <c r="K1391" t="str">
        <f>_xlfn.XLOOKUP(Jnl[[#This Row],[Acct]], config_BS[Acct], config_BS[Lv0],,0)</f>
        <v>A</v>
      </c>
      <c r="L1391" t="str">
        <f>_xlfn.XLOOKUP(Jnl[[#This Row],[Acct]], config_BS[Acct], config_BS[Lv1],,0)</f>
        <v>Assets</v>
      </c>
      <c r="M1391" t="str">
        <f>_xlfn.XLOOKUP(Jnl[[#This Row],[Acct]], config_BS[Acct], config_BS[Lv2],,0)</f>
        <v>Rec-Pay</v>
      </c>
      <c r="N1391" t="str">
        <f>_xlfn.XLOOKUP(Jnl[[#This Row],[TrxId]], Trx[Id], Trx[IncNode], ,0)</f>
        <v>Revenue</v>
      </c>
      <c r="O1391" t="str">
        <f>_xlfn.XLOOKUP(Jnl[[#This Row],[IncNode]], config_IS[Node], config_IS[Type],,0)</f>
        <v>Op</v>
      </c>
      <c r="P1391" t="str">
        <f>_xlfn.XLOOKUP(Jnl[[#This Row],[BSLv2]], dict[Key], dict[Name],,0)</f>
        <v>1.应收-应付</v>
      </c>
      <c r="Q1391" t="str">
        <f>_xlfn.XLOOKUP(Jnl[[#This Row],[Acct]], dict[Key], dict[Name],,0)</f>
        <v>应收-一般</v>
      </c>
      <c r="R1391" t="str">
        <f>_xlfn.XLOOKUP(Jnl[[#This Row],[Vehicle]],config_vehicle[Id], config_vehicle[Name],,0)</f>
        <v>远家文化</v>
      </c>
      <c r="S1391" t="str">
        <f>_xlfn.XLOOKUP(Jnl[[#This Row],[Division]],config_div[Id], config_div[Name],,0)</f>
        <v>明月村</v>
      </c>
      <c r="T1391" t="str">
        <f>IF(Jnl[[#This Row],[TrxDate]]&lt;=stmt_BS_date_end, "In", "Out")</f>
        <v>In</v>
      </c>
      <c r="U1391" t="str">
        <f>IF(Jnl[[#This Row],[TrxDate]]&lt;debug_date_start, "prior", IF(Jnl[[#This Row],[TrxDate]]&gt;debug_date_end, "post", "curr"))</f>
        <v>curr</v>
      </c>
    </row>
    <row r="1392" spans="1:21">
      <c r="A1392" s="11" t="s">
        <v>1785</v>
      </c>
      <c r="B1392" s="7">
        <f>_xlfn.XLOOKUP(Jnl[[#This Row],[TrxId]], Trx[Id], Trx[Date],,0)</f>
        <v>46081</v>
      </c>
      <c r="C1392" s="7" t="str">
        <f>_xlfn.XLOOKUP(Jnl[[#This Row],[TrxId]], Trx[Id], Trx[Division],,0)</f>
        <v>MY</v>
      </c>
      <c r="D1392" s="7" t="str">
        <f>_xlfn.XLOOKUP(Jnl[[#This Row],[TrxId]], Trx[Id], Trx[Action],,0)</f>
        <v>客房</v>
      </c>
      <c r="E1392" s="26" t="s">
        <v>83</v>
      </c>
      <c r="F1392" s="11" t="s">
        <v>593</v>
      </c>
      <c r="G1392" s="11" t="s">
        <v>965</v>
      </c>
      <c r="H1392" s="72">
        <v>12899.5</v>
      </c>
      <c r="I1392" s="5" t="b">
        <f>AND(Jnl[[#This Row],[TrxId]]&lt;&gt;"",Jnl[[#This Row],[Acct]]&lt;&gt;"",Jnl[[#This Row],[Item]]&lt;&gt;"",ISNUMBER(Jnl[[#This Row],[Bal]]))</f>
        <v>1</v>
      </c>
      <c r="J1392" s="10">
        <f>IF(Jnl[[#This Row],[BSLv0]]="A",1,-1)*Jnl[[#This Row],[Bal]]</f>
        <v>12899.5</v>
      </c>
      <c r="K1392" t="str">
        <f>_xlfn.XLOOKUP(Jnl[[#This Row],[Acct]], config_BS[Acct], config_BS[Lv0],,0)</f>
        <v>A</v>
      </c>
      <c r="L1392" t="str">
        <f>_xlfn.XLOOKUP(Jnl[[#This Row],[Acct]], config_BS[Acct], config_BS[Lv1],,0)</f>
        <v>Assets</v>
      </c>
      <c r="M1392" t="str">
        <f>_xlfn.XLOOKUP(Jnl[[#This Row],[Acct]], config_BS[Acct], config_BS[Lv2],,0)</f>
        <v>Rec-Pay</v>
      </c>
      <c r="N1392" t="str">
        <f>_xlfn.XLOOKUP(Jnl[[#This Row],[TrxId]], Trx[Id], Trx[IncNode], ,0)</f>
        <v>Revenue</v>
      </c>
      <c r="O1392" t="str">
        <f>_xlfn.XLOOKUP(Jnl[[#This Row],[IncNode]], config_IS[Node], config_IS[Type],,0)</f>
        <v>Op</v>
      </c>
      <c r="P1392" t="str">
        <f>_xlfn.XLOOKUP(Jnl[[#This Row],[BSLv2]], dict[Key], dict[Name],,0)</f>
        <v>1.应收-应付</v>
      </c>
      <c r="Q1392" t="str">
        <f>_xlfn.XLOOKUP(Jnl[[#This Row],[Acct]], dict[Key], dict[Name],,0)</f>
        <v>应收-一般</v>
      </c>
      <c r="R1392" t="str">
        <f>_xlfn.XLOOKUP(Jnl[[#This Row],[Vehicle]],config_vehicle[Id], config_vehicle[Name],,0)</f>
        <v>远家文化</v>
      </c>
      <c r="S1392" t="str">
        <f>_xlfn.XLOOKUP(Jnl[[#This Row],[Division]],config_div[Id], config_div[Name],,0)</f>
        <v>明月村</v>
      </c>
      <c r="T1392" t="str">
        <f>IF(Jnl[[#This Row],[TrxDate]]&lt;=stmt_BS_date_end, "In", "Out")</f>
        <v>In</v>
      </c>
      <c r="U1392" t="str">
        <f>IF(Jnl[[#This Row],[TrxDate]]&lt;debug_date_start, "prior", IF(Jnl[[#This Row],[TrxDate]]&gt;debug_date_end, "post", "curr"))</f>
        <v>curr</v>
      </c>
    </row>
    <row r="1393" spans="1:21">
      <c r="A1393" s="11" t="s">
        <v>1785</v>
      </c>
      <c r="B1393" s="7">
        <f>_xlfn.XLOOKUP(Jnl[[#This Row],[TrxId]], Trx[Id], Trx[Date],,0)</f>
        <v>46081</v>
      </c>
      <c r="C1393" s="7" t="str">
        <f>_xlfn.XLOOKUP(Jnl[[#This Row],[TrxId]], Trx[Id], Trx[Division],,0)</f>
        <v>MY</v>
      </c>
      <c r="D1393" s="7" t="str">
        <f>_xlfn.XLOOKUP(Jnl[[#This Row],[TrxId]], Trx[Id], Trx[Action],,0)</f>
        <v>客房</v>
      </c>
      <c r="E1393" s="26" t="s">
        <v>83</v>
      </c>
      <c r="F1393" s="11" t="s">
        <v>1194</v>
      </c>
      <c r="G1393" s="11" t="s">
        <v>920</v>
      </c>
      <c r="H1393" s="72">
        <v>-14760</v>
      </c>
      <c r="I1393" s="5" t="b">
        <f>AND(Jnl[[#This Row],[TrxId]]&lt;&gt;"",Jnl[[#This Row],[Acct]]&lt;&gt;"",Jnl[[#This Row],[Item]]&lt;&gt;"",ISNUMBER(Jnl[[#This Row],[Bal]]))</f>
        <v>1</v>
      </c>
      <c r="J1393" s="10">
        <f>IF(Jnl[[#This Row],[BSLv0]]="A",1,-1)*Jnl[[#This Row],[Bal]]</f>
        <v>14760</v>
      </c>
      <c r="K1393" t="str">
        <f>_xlfn.XLOOKUP(Jnl[[#This Row],[Acct]], config_BS[Acct], config_BS[Lv0],,0)</f>
        <v>LC</v>
      </c>
      <c r="L1393" t="str">
        <f>_xlfn.XLOOKUP(Jnl[[#This Row],[Acct]], config_BS[Acct], config_BS[Lv1],,0)</f>
        <v>Liability</v>
      </c>
      <c r="M1393" t="str">
        <f>_xlfn.XLOOKUP(Jnl[[#This Row],[Acct]], config_BS[Acct], config_BS[Lv2],,0)</f>
        <v>Cash alike</v>
      </c>
      <c r="N1393" t="str">
        <f>_xlfn.XLOOKUP(Jnl[[#This Row],[TrxId]], Trx[Id], Trx[IncNode], ,0)</f>
        <v>Revenue</v>
      </c>
      <c r="O1393" t="str">
        <f>_xlfn.XLOOKUP(Jnl[[#This Row],[IncNode]], config_IS[Node], config_IS[Type],,0)</f>
        <v>Op</v>
      </c>
      <c r="P1393" t="str">
        <f>_xlfn.XLOOKUP(Jnl[[#This Row],[BSLv2]], dict[Key], dict[Name],,0)</f>
        <v>0.现金及类似</v>
      </c>
      <c r="Q1393" t="str">
        <f>_xlfn.XLOOKUP(Jnl[[#This Row],[Acct]], dict[Key], dict[Name],,0)</f>
        <v>会员充值</v>
      </c>
      <c r="R1393" t="str">
        <f>_xlfn.XLOOKUP(Jnl[[#This Row],[Vehicle]],config_vehicle[Id], config_vehicle[Name],,0)</f>
        <v>远家文化</v>
      </c>
      <c r="S1393" t="str">
        <f>_xlfn.XLOOKUP(Jnl[[#This Row],[Division]],config_div[Id], config_div[Name],,0)</f>
        <v>明月村</v>
      </c>
      <c r="T1393" t="str">
        <f>IF(Jnl[[#This Row],[TrxDate]]&lt;=stmt_BS_date_end, "In", "Out")</f>
        <v>In</v>
      </c>
      <c r="U1393" t="str">
        <f>IF(Jnl[[#This Row],[TrxDate]]&lt;debug_date_start, "prior", IF(Jnl[[#This Row],[TrxDate]]&gt;debug_date_end, "post", "curr"))</f>
        <v>curr</v>
      </c>
    </row>
    <row r="1394" spans="1:21">
      <c r="A1394" s="11" t="s">
        <v>1786</v>
      </c>
      <c r="B1394" s="7">
        <f>_xlfn.XLOOKUP(Jnl[[#This Row],[TrxId]], Trx[Id], Trx[Date],,0)</f>
        <v>46081</v>
      </c>
      <c r="C1394" s="7" t="str">
        <f>_xlfn.XLOOKUP(Jnl[[#This Row],[TrxId]], Trx[Id], Trx[Division],,0)</f>
        <v>MY</v>
      </c>
      <c r="D1394" s="7" t="str">
        <f>_xlfn.XLOOKUP(Jnl[[#This Row],[TrxId]], Trx[Id], Trx[Action],,0)</f>
        <v>其他销售</v>
      </c>
      <c r="E1394" s="26" t="s">
        <v>87</v>
      </c>
      <c r="F1394" s="11" t="s">
        <v>590</v>
      </c>
      <c r="G1394" s="11" t="s">
        <v>903</v>
      </c>
      <c r="H1394" s="72">
        <v>370</v>
      </c>
      <c r="I1394" s="5" t="b">
        <f>AND(Jnl[[#This Row],[TrxId]]&lt;&gt;"",Jnl[[#This Row],[Acct]]&lt;&gt;"",Jnl[[#This Row],[Item]]&lt;&gt;"",ISNUMBER(Jnl[[#This Row],[Bal]]))</f>
        <v>1</v>
      </c>
      <c r="J1394" s="10">
        <f>IF(Jnl[[#This Row],[BSLv0]]="A",1,-1)*Jnl[[#This Row],[Bal]]</f>
        <v>370</v>
      </c>
      <c r="K1394" t="str">
        <f>_xlfn.XLOOKUP(Jnl[[#This Row],[Acct]], config_BS[Acct], config_BS[Lv0],,0)</f>
        <v>A</v>
      </c>
      <c r="L1394" t="str">
        <f>_xlfn.XLOOKUP(Jnl[[#This Row],[Acct]], config_BS[Acct], config_BS[Lv1],,0)</f>
        <v>Assets</v>
      </c>
      <c r="M1394" t="str">
        <f>_xlfn.XLOOKUP(Jnl[[#This Row],[Acct]], config_BS[Acct], config_BS[Lv2],,0)</f>
        <v>Cash alike</v>
      </c>
      <c r="N1394" t="str">
        <f>_xlfn.XLOOKUP(Jnl[[#This Row],[TrxId]], Trx[Id], Trx[IncNode], ,0)</f>
        <v>Revenue</v>
      </c>
      <c r="O1394" t="str">
        <f>_xlfn.XLOOKUP(Jnl[[#This Row],[IncNode]], config_IS[Node], config_IS[Type],,0)</f>
        <v>Op</v>
      </c>
      <c r="P1394" t="str">
        <f>_xlfn.XLOOKUP(Jnl[[#This Row],[BSLv2]], dict[Key], dict[Name],,0)</f>
        <v>0.现金及类似</v>
      </c>
      <c r="Q1394" t="str">
        <f>_xlfn.XLOOKUP(Jnl[[#This Row],[Acct]], dict[Key], dict[Name],,0)</f>
        <v>银行</v>
      </c>
      <c r="R1394" t="str">
        <f>_xlfn.XLOOKUP(Jnl[[#This Row],[Vehicle]],config_vehicle[Id], config_vehicle[Name],,0)</f>
        <v>小月号</v>
      </c>
      <c r="S1394" t="str">
        <f>_xlfn.XLOOKUP(Jnl[[#This Row],[Division]],config_div[Id], config_div[Name],,0)</f>
        <v>明月村</v>
      </c>
      <c r="T1394" t="str">
        <f>IF(Jnl[[#This Row],[TrxDate]]&lt;=stmt_BS_date_end, "In", "Out")</f>
        <v>In</v>
      </c>
      <c r="U1394" t="str">
        <f>IF(Jnl[[#This Row],[TrxDate]]&lt;debug_date_start, "prior", IF(Jnl[[#This Row],[TrxDate]]&gt;debug_date_end, "post", "curr"))</f>
        <v>curr</v>
      </c>
    </row>
    <row r="1395" spans="1:21">
      <c r="A1395" s="11" t="s">
        <v>1788</v>
      </c>
      <c r="B1395" s="7">
        <f>_xlfn.XLOOKUP(Jnl[[#This Row],[TrxId]], Trx[Id], Trx[Date],,0)</f>
        <v>46081</v>
      </c>
      <c r="C1395" s="7" t="str">
        <f>_xlfn.XLOOKUP(Jnl[[#This Row],[TrxId]], Trx[Id], Trx[Division],,0)</f>
        <v>MY</v>
      </c>
      <c r="D1395" s="7" t="str">
        <f>_xlfn.XLOOKUP(Jnl[[#This Row],[TrxId]], Trx[Id], Trx[Action],,0)</f>
        <v>餐饮</v>
      </c>
      <c r="E1395" s="26" t="s">
        <v>83</v>
      </c>
      <c r="F1395" s="11" t="s">
        <v>593</v>
      </c>
      <c r="G1395" s="11" t="s">
        <v>1065</v>
      </c>
      <c r="H1395" s="72">
        <v>1000</v>
      </c>
      <c r="I1395" s="5" t="b">
        <f>AND(Jnl[[#This Row],[TrxId]]&lt;&gt;"",Jnl[[#This Row],[Acct]]&lt;&gt;"",Jnl[[#This Row],[Item]]&lt;&gt;"",ISNUMBER(Jnl[[#This Row],[Bal]]))</f>
        <v>1</v>
      </c>
      <c r="J1395" s="10">
        <f>IF(Jnl[[#This Row],[BSLv0]]="A",1,-1)*Jnl[[#This Row],[Bal]]</f>
        <v>1000</v>
      </c>
      <c r="K1395" t="str">
        <f>_xlfn.XLOOKUP(Jnl[[#This Row],[Acct]], config_BS[Acct], config_BS[Lv0],,0)</f>
        <v>A</v>
      </c>
      <c r="L1395" t="str">
        <f>_xlfn.XLOOKUP(Jnl[[#This Row],[Acct]], config_BS[Acct], config_BS[Lv1],,0)</f>
        <v>Assets</v>
      </c>
      <c r="M1395" t="str">
        <f>_xlfn.XLOOKUP(Jnl[[#This Row],[Acct]], config_BS[Acct], config_BS[Lv2],,0)</f>
        <v>Rec-Pay</v>
      </c>
      <c r="N1395" t="str">
        <f>_xlfn.XLOOKUP(Jnl[[#This Row],[TrxId]], Trx[Id], Trx[IncNode], ,0)</f>
        <v>Revenue</v>
      </c>
      <c r="O1395" t="str">
        <f>_xlfn.XLOOKUP(Jnl[[#This Row],[IncNode]], config_IS[Node], config_IS[Type],,0)</f>
        <v>Op</v>
      </c>
      <c r="P1395" t="str">
        <f>_xlfn.XLOOKUP(Jnl[[#This Row],[BSLv2]], dict[Key], dict[Name],,0)</f>
        <v>1.应收-应付</v>
      </c>
      <c r="Q1395" t="str">
        <f>_xlfn.XLOOKUP(Jnl[[#This Row],[Acct]], dict[Key], dict[Name],,0)</f>
        <v>应收-一般</v>
      </c>
      <c r="R1395" t="str">
        <f>_xlfn.XLOOKUP(Jnl[[#This Row],[Vehicle]],config_vehicle[Id], config_vehicle[Name],,0)</f>
        <v>远家文化</v>
      </c>
      <c r="S1395" t="str">
        <f>_xlfn.XLOOKUP(Jnl[[#This Row],[Division]],config_div[Id], config_div[Name],,0)</f>
        <v>明月村</v>
      </c>
      <c r="T1395" t="str">
        <f>IF(Jnl[[#This Row],[TrxDate]]&lt;=stmt_BS_date_end, "In", "Out")</f>
        <v>In</v>
      </c>
      <c r="U1395" t="str">
        <f>IF(Jnl[[#This Row],[TrxDate]]&lt;debug_date_start, "prior", IF(Jnl[[#This Row],[TrxDate]]&gt;debug_date_end, "post", "curr"))</f>
        <v>curr</v>
      </c>
    </row>
    <row r="1396" spans="1:21">
      <c r="A1396" s="11" t="s">
        <v>1788</v>
      </c>
      <c r="B1396" s="7">
        <f>_xlfn.XLOOKUP(Jnl[[#This Row],[TrxId]], Trx[Id], Trx[Date],,0)</f>
        <v>46081</v>
      </c>
      <c r="C1396" s="7" t="str">
        <f>_xlfn.XLOOKUP(Jnl[[#This Row],[TrxId]], Trx[Id], Trx[Division],,0)</f>
        <v>MY</v>
      </c>
      <c r="D1396" s="7" t="str">
        <f>_xlfn.XLOOKUP(Jnl[[#This Row],[TrxId]], Trx[Id], Trx[Action],,0)</f>
        <v>餐饮</v>
      </c>
      <c r="E1396" s="26" t="s">
        <v>87</v>
      </c>
      <c r="F1396" s="11" t="s">
        <v>590</v>
      </c>
      <c r="G1396" s="11" t="s">
        <v>903</v>
      </c>
      <c r="H1396" s="72">
        <v>148</v>
      </c>
      <c r="I1396" s="5" t="b">
        <f>AND(Jnl[[#This Row],[TrxId]]&lt;&gt;"",Jnl[[#This Row],[Acct]]&lt;&gt;"",Jnl[[#This Row],[Item]]&lt;&gt;"",ISNUMBER(Jnl[[#This Row],[Bal]]))</f>
        <v>1</v>
      </c>
      <c r="J1396" s="10">
        <f>IF(Jnl[[#This Row],[BSLv0]]="A",1,-1)*Jnl[[#This Row],[Bal]]</f>
        <v>148</v>
      </c>
      <c r="K1396" t="str">
        <f>_xlfn.XLOOKUP(Jnl[[#This Row],[Acct]], config_BS[Acct], config_BS[Lv0],,0)</f>
        <v>A</v>
      </c>
      <c r="L1396" t="str">
        <f>_xlfn.XLOOKUP(Jnl[[#This Row],[Acct]], config_BS[Acct], config_BS[Lv1],,0)</f>
        <v>Assets</v>
      </c>
      <c r="M1396" t="str">
        <f>_xlfn.XLOOKUP(Jnl[[#This Row],[Acct]], config_BS[Acct], config_BS[Lv2],,0)</f>
        <v>Cash alike</v>
      </c>
      <c r="N1396" t="str">
        <f>_xlfn.XLOOKUP(Jnl[[#This Row],[TrxId]], Trx[Id], Trx[IncNode], ,0)</f>
        <v>Revenue</v>
      </c>
      <c r="O1396" t="str">
        <f>_xlfn.XLOOKUP(Jnl[[#This Row],[IncNode]], config_IS[Node], config_IS[Type],,0)</f>
        <v>Op</v>
      </c>
      <c r="P1396" t="str">
        <f>_xlfn.XLOOKUP(Jnl[[#This Row],[BSLv2]], dict[Key], dict[Name],,0)</f>
        <v>0.现金及类似</v>
      </c>
      <c r="Q1396" t="str">
        <f>_xlfn.XLOOKUP(Jnl[[#This Row],[Acct]], dict[Key], dict[Name],,0)</f>
        <v>银行</v>
      </c>
      <c r="R1396" t="str">
        <f>_xlfn.XLOOKUP(Jnl[[#This Row],[Vehicle]],config_vehicle[Id], config_vehicle[Name],,0)</f>
        <v>小月号</v>
      </c>
      <c r="S1396" t="str">
        <f>_xlfn.XLOOKUP(Jnl[[#This Row],[Division]],config_div[Id], config_div[Name],,0)</f>
        <v>明月村</v>
      </c>
      <c r="T1396" t="str">
        <f>IF(Jnl[[#This Row],[TrxDate]]&lt;=stmt_BS_date_end, "In", "Out")</f>
        <v>In</v>
      </c>
      <c r="U1396" t="str">
        <f>IF(Jnl[[#This Row],[TrxDate]]&lt;debug_date_start, "prior", IF(Jnl[[#This Row],[TrxDate]]&gt;debug_date_end, "post", "curr"))</f>
        <v>curr</v>
      </c>
    </row>
    <row r="1397" spans="1:21">
      <c r="A1397" s="11" t="s">
        <v>1789</v>
      </c>
      <c r="B1397" s="7">
        <f>_xlfn.XLOOKUP(Jnl[[#This Row],[TrxId]], Trx[Id], Trx[Date],,0)</f>
        <v>46081</v>
      </c>
      <c r="C1397" s="7" t="str">
        <f>_xlfn.XLOOKUP(Jnl[[#This Row],[TrxId]], Trx[Id], Trx[Division],,0)</f>
        <v>MY</v>
      </c>
      <c r="D1397" s="7" t="str">
        <f>_xlfn.XLOOKUP(Jnl[[#This Row],[TrxId]], Trx[Id], Trx[Action],,0)</f>
        <v>客房</v>
      </c>
      <c r="E1397" s="26" t="s">
        <v>87</v>
      </c>
      <c r="F1397" s="11" t="s">
        <v>590</v>
      </c>
      <c r="G1397" s="11" t="s">
        <v>903</v>
      </c>
      <c r="H1397" s="72">
        <v>2780</v>
      </c>
      <c r="I1397" s="5" t="b">
        <f>AND(Jnl[[#This Row],[TrxId]]&lt;&gt;"",Jnl[[#This Row],[Acct]]&lt;&gt;"",Jnl[[#This Row],[Item]]&lt;&gt;"",ISNUMBER(Jnl[[#This Row],[Bal]]))</f>
        <v>1</v>
      </c>
      <c r="J1397" s="10">
        <f>IF(Jnl[[#This Row],[BSLv0]]="A",1,-1)*Jnl[[#This Row],[Bal]]</f>
        <v>2780</v>
      </c>
      <c r="K1397" t="str">
        <f>_xlfn.XLOOKUP(Jnl[[#This Row],[Acct]], config_BS[Acct], config_BS[Lv0],,0)</f>
        <v>A</v>
      </c>
      <c r="L1397" t="str">
        <f>_xlfn.XLOOKUP(Jnl[[#This Row],[Acct]], config_BS[Acct], config_BS[Lv1],,0)</f>
        <v>Assets</v>
      </c>
      <c r="M1397" t="str">
        <f>_xlfn.XLOOKUP(Jnl[[#This Row],[Acct]], config_BS[Acct], config_BS[Lv2],,0)</f>
        <v>Cash alike</v>
      </c>
      <c r="N1397" t="str">
        <f>_xlfn.XLOOKUP(Jnl[[#This Row],[TrxId]], Trx[Id], Trx[IncNode], ,0)</f>
        <v>Revenue</v>
      </c>
      <c r="O1397" t="str">
        <f>_xlfn.XLOOKUP(Jnl[[#This Row],[IncNode]], config_IS[Node], config_IS[Type],,0)</f>
        <v>Op</v>
      </c>
      <c r="P1397" t="str">
        <f>_xlfn.XLOOKUP(Jnl[[#This Row],[BSLv2]], dict[Key], dict[Name],,0)</f>
        <v>0.现金及类似</v>
      </c>
      <c r="Q1397" t="str">
        <f>_xlfn.XLOOKUP(Jnl[[#This Row],[Acct]], dict[Key], dict[Name],,0)</f>
        <v>银行</v>
      </c>
      <c r="R1397" t="str">
        <f>_xlfn.XLOOKUP(Jnl[[#This Row],[Vehicle]],config_vehicle[Id], config_vehicle[Name],,0)</f>
        <v>小月号</v>
      </c>
      <c r="S1397" t="str">
        <f>_xlfn.XLOOKUP(Jnl[[#This Row],[Division]],config_div[Id], config_div[Name],,0)</f>
        <v>明月村</v>
      </c>
      <c r="T1397" t="str">
        <f>IF(Jnl[[#This Row],[TrxDate]]&lt;=stmt_BS_date_end, "In", "Out")</f>
        <v>In</v>
      </c>
      <c r="U1397" t="str">
        <f>IF(Jnl[[#This Row],[TrxDate]]&lt;debug_date_start, "prior", IF(Jnl[[#This Row],[TrxDate]]&gt;debug_date_end, "post", "curr"))</f>
        <v>curr</v>
      </c>
    </row>
    <row r="1398" spans="1:21">
      <c r="A1398" s="11" t="s">
        <v>1790</v>
      </c>
      <c r="B1398" s="7">
        <f>_xlfn.XLOOKUP(Jnl[[#This Row],[TrxId]], Trx[Id], Trx[Date],,0)</f>
        <v>46081</v>
      </c>
      <c r="C1398" s="7" t="str">
        <f>_xlfn.XLOOKUP(Jnl[[#This Row],[TrxId]], Trx[Id], Trx[Division],,0)</f>
        <v>MY</v>
      </c>
      <c r="D1398" s="7" t="str">
        <f>_xlfn.XLOOKUP(Jnl[[#This Row],[TrxId]], Trx[Id], Trx[Action],,0)</f>
        <v>手工课</v>
      </c>
      <c r="E1398" s="26" t="s">
        <v>87</v>
      </c>
      <c r="F1398" s="11" t="s">
        <v>590</v>
      </c>
      <c r="G1398" s="11" t="s">
        <v>903</v>
      </c>
      <c r="H1398" s="72">
        <v>236</v>
      </c>
      <c r="I1398" s="5" t="b">
        <f>AND(Jnl[[#This Row],[TrxId]]&lt;&gt;"",Jnl[[#This Row],[Acct]]&lt;&gt;"",Jnl[[#This Row],[Item]]&lt;&gt;"",ISNUMBER(Jnl[[#This Row],[Bal]]))</f>
        <v>1</v>
      </c>
      <c r="J1398" s="10">
        <f>IF(Jnl[[#This Row],[BSLv0]]="A",1,-1)*Jnl[[#This Row],[Bal]]</f>
        <v>236</v>
      </c>
      <c r="K1398" t="str">
        <f>_xlfn.XLOOKUP(Jnl[[#This Row],[Acct]], config_BS[Acct], config_BS[Lv0],,0)</f>
        <v>A</v>
      </c>
      <c r="L1398" t="str">
        <f>_xlfn.XLOOKUP(Jnl[[#This Row],[Acct]], config_BS[Acct], config_BS[Lv1],,0)</f>
        <v>Assets</v>
      </c>
      <c r="M1398" t="str">
        <f>_xlfn.XLOOKUP(Jnl[[#This Row],[Acct]], config_BS[Acct], config_BS[Lv2],,0)</f>
        <v>Cash alike</v>
      </c>
      <c r="N1398" t="str">
        <f>_xlfn.XLOOKUP(Jnl[[#This Row],[TrxId]], Trx[Id], Trx[IncNode], ,0)</f>
        <v>Revenue</v>
      </c>
      <c r="O1398" t="str">
        <f>_xlfn.XLOOKUP(Jnl[[#This Row],[IncNode]], config_IS[Node], config_IS[Type],,0)</f>
        <v>Op</v>
      </c>
      <c r="P1398" t="str">
        <f>_xlfn.XLOOKUP(Jnl[[#This Row],[BSLv2]], dict[Key], dict[Name],,0)</f>
        <v>0.现金及类似</v>
      </c>
      <c r="Q1398" t="str">
        <f>_xlfn.XLOOKUP(Jnl[[#This Row],[Acct]], dict[Key], dict[Name],,0)</f>
        <v>银行</v>
      </c>
      <c r="R1398" t="str">
        <f>_xlfn.XLOOKUP(Jnl[[#This Row],[Vehicle]],config_vehicle[Id], config_vehicle[Name],,0)</f>
        <v>小月号</v>
      </c>
      <c r="S1398" t="str">
        <f>_xlfn.XLOOKUP(Jnl[[#This Row],[Division]],config_div[Id], config_div[Name],,0)</f>
        <v>明月村</v>
      </c>
      <c r="T1398" t="str">
        <f>IF(Jnl[[#This Row],[TrxDate]]&lt;=stmt_BS_date_end, "In", "Out")</f>
        <v>In</v>
      </c>
      <c r="U1398" t="str">
        <f>IF(Jnl[[#This Row],[TrxDate]]&lt;debug_date_start, "prior", IF(Jnl[[#This Row],[TrxDate]]&gt;debug_date_end, "post", "curr"))</f>
        <v>curr</v>
      </c>
    </row>
    <row r="1399" spans="1:21">
      <c r="A1399" s="11" t="s">
        <v>1791</v>
      </c>
      <c r="B1399" s="7">
        <f>_xlfn.XLOOKUP(Jnl[[#This Row],[TrxId]], Trx[Id], Trx[Date],,0)</f>
        <v>46081</v>
      </c>
      <c r="C1399" s="7" t="str">
        <f>_xlfn.XLOOKUP(Jnl[[#This Row],[TrxId]], Trx[Id], Trx[Division],,0)</f>
        <v>MY</v>
      </c>
      <c r="D1399" s="7" t="str">
        <f>_xlfn.XLOOKUP(Jnl[[#This Row],[TrxId]], Trx[Id], Trx[Action],,0)</f>
        <v>冬令营</v>
      </c>
      <c r="E1399" s="26" t="s">
        <v>83</v>
      </c>
      <c r="F1399" s="11" t="s">
        <v>593</v>
      </c>
      <c r="G1399" s="11" t="s">
        <v>1711</v>
      </c>
      <c r="H1399" s="72">
        <v>18720</v>
      </c>
      <c r="I1399" s="5" t="b">
        <f>AND(Jnl[[#This Row],[TrxId]]&lt;&gt;"",Jnl[[#This Row],[Acct]]&lt;&gt;"",Jnl[[#This Row],[Item]]&lt;&gt;"",ISNUMBER(Jnl[[#This Row],[Bal]]))</f>
        <v>1</v>
      </c>
      <c r="J1399" s="10">
        <f>IF(Jnl[[#This Row],[BSLv0]]="A",1,-1)*Jnl[[#This Row],[Bal]]</f>
        <v>18720</v>
      </c>
      <c r="K1399" t="str">
        <f>_xlfn.XLOOKUP(Jnl[[#This Row],[Acct]], config_BS[Acct], config_BS[Lv0],,0)</f>
        <v>A</v>
      </c>
      <c r="L1399" t="str">
        <f>_xlfn.XLOOKUP(Jnl[[#This Row],[Acct]], config_BS[Acct], config_BS[Lv1],,0)</f>
        <v>Assets</v>
      </c>
      <c r="M1399" t="str">
        <f>_xlfn.XLOOKUP(Jnl[[#This Row],[Acct]], config_BS[Acct], config_BS[Lv2],,0)</f>
        <v>Rec-Pay</v>
      </c>
      <c r="N1399" t="str">
        <f>_xlfn.XLOOKUP(Jnl[[#This Row],[TrxId]], Trx[Id], Trx[IncNode], ,0)</f>
        <v>Revenue</v>
      </c>
      <c r="O1399" t="str">
        <f>_xlfn.XLOOKUP(Jnl[[#This Row],[IncNode]], config_IS[Node], config_IS[Type],,0)</f>
        <v>Op</v>
      </c>
      <c r="P1399" t="str">
        <f>_xlfn.XLOOKUP(Jnl[[#This Row],[BSLv2]], dict[Key], dict[Name],,0)</f>
        <v>1.应收-应付</v>
      </c>
      <c r="Q1399" t="str">
        <f>_xlfn.XLOOKUP(Jnl[[#This Row],[Acct]], dict[Key], dict[Name],,0)</f>
        <v>应收-一般</v>
      </c>
      <c r="R1399" t="str">
        <f>_xlfn.XLOOKUP(Jnl[[#This Row],[Vehicle]],config_vehicle[Id], config_vehicle[Name],,0)</f>
        <v>远家文化</v>
      </c>
      <c r="S1399" t="str">
        <f>_xlfn.XLOOKUP(Jnl[[#This Row],[Division]],config_div[Id], config_div[Name],,0)</f>
        <v>明月村</v>
      </c>
      <c r="T1399" t="str">
        <f>IF(Jnl[[#This Row],[TrxDate]]&lt;=stmt_BS_date_end, "In", "Out")</f>
        <v>In</v>
      </c>
      <c r="U1399" t="str">
        <f>IF(Jnl[[#This Row],[TrxDate]]&lt;debug_date_start, "prior", IF(Jnl[[#This Row],[TrxDate]]&gt;debug_date_end, "post", "curr"))</f>
        <v>curr</v>
      </c>
    </row>
    <row r="1400" spans="1:21">
      <c r="A1400" s="11" t="s">
        <v>1792</v>
      </c>
      <c r="B1400" s="7">
        <f>_xlfn.XLOOKUP(Jnl[[#This Row],[TrxId]], Trx[Id], Trx[Date],,0)</f>
        <v>46081</v>
      </c>
      <c r="C1400" s="7" t="str">
        <f>_xlfn.XLOOKUP(Jnl[[#This Row],[TrxId]], Trx[Id], Trx[Division],,0)</f>
        <v>MY</v>
      </c>
      <c r="D1400" s="7" t="str">
        <f>_xlfn.XLOOKUP(Jnl[[#This Row],[TrxId]], Trx[Id], Trx[Action],,0)</f>
        <v>课程</v>
      </c>
      <c r="E1400" s="26" t="s">
        <v>83</v>
      </c>
      <c r="F1400" s="11" t="s">
        <v>652</v>
      </c>
      <c r="G1400" s="11" t="s">
        <v>1711</v>
      </c>
      <c r="H1400" s="72">
        <v>9000</v>
      </c>
      <c r="I1400" s="5" t="b">
        <f>AND(Jnl[[#This Row],[TrxId]]&lt;&gt;"",Jnl[[#This Row],[Acct]]&lt;&gt;"",Jnl[[#This Row],[Item]]&lt;&gt;"",ISNUMBER(Jnl[[#This Row],[Bal]]))</f>
        <v>1</v>
      </c>
      <c r="J1400" s="10">
        <f>IF(Jnl[[#This Row],[BSLv0]]="A",1,-1)*Jnl[[#This Row],[Bal]]</f>
        <v>-9000</v>
      </c>
      <c r="K1400" t="str">
        <f>_xlfn.XLOOKUP(Jnl[[#This Row],[Acct]], config_BS[Acct], config_BS[Lv0],,0)</f>
        <v>LC</v>
      </c>
      <c r="L1400" t="str">
        <f>_xlfn.XLOOKUP(Jnl[[#This Row],[Acct]], config_BS[Acct], config_BS[Lv1],,0)</f>
        <v>Liability</v>
      </c>
      <c r="M1400" t="str">
        <f>_xlfn.XLOOKUP(Jnl[[#This Row],[Acct]], config_BS[Acct], config_BS[Lv2],,0)</f>
        <v>Rec-Pay</v>
      </c>
      <c r="N1400" t="str">
        <f>_xlfn.XLOOKUP(Jnl[[#This Row],[TrxId]], Trx[Id], Trx[IncNode], ,0)</f>
        <v>Cost</v>
      </c>
      <c r="O1400" t="str">
        <f>_xlfn.XLOOKUP(Jnl[[#This Row],[IncNode]], config_IS[Node], config_IS[Type],,0)</f>
        <v>Op</v>
      </c>
      <c r="P1400" t="str">
        <f>_xlfn.XLOOKUP(Jnl[[#This Row],[BSLv2]], dict[Key], dict[Name],,0)</f>
        <v>1.应收-应付</v>
      </c>
      <c r="Q1400" t="str">
        <f>_xlfn.XLOOKUP(Jnl[[#This Row],[Acct]], dict[Key], dict[Name],,0)</f>
        <v>应付-一般</v>
      </c>
      <c r="R1400" t="str">
        <f>_xlfn.XLOOKUP(Jnl[[#This Row],[Vehicle]],config_vehicle[Id], config_vehicle[Name],,0)</f>
        <v>远家文化</v>
      </c>
      <c r="S1400" t="str">
        <f>_xlfn.XLOOKUP(Jnl[[#This Row],[Division]],config_div[Id], config_div[Name],,0)</f>
        <v>明月村</v>
      </c>
      <c r="T1400" t="str">
        <f>IF(Jnl[[#This Row],[TrxDate]]&lt;=stmt_BS_date_end, "In", "Out")</f>
        <v>In</v>
      </c>
      <c r="U1400" t="str">
        <f>IF(Jnl[[#This Row],[TrxDate]]&lt;debug_date_start, "prior", IF(Jnl[[#This Row],[TrxDate]]&gt;debug_date_end, "post", "curr"))</f>
        <v>curr</v>
      </c>
    </row>
    <row r="1401" spans="1:21">
      <c r="A1401" s="11" t="s">
        <v>1793</v>
      </c>
      <c r="B1401" s="7">
        <f>_xlfn.XLOOKUP(Jnl[[#This Row],[TrxId]], Trx[Id], Trx[Date],,0)</f>
        <v>46081</v>
      </c>
      <c r="C1401" s="7" t="str">
        <f>_xlfn.XLOOKUP(Jnl[[#This Row],[TrxId]], Trx[Id], Trx[Division],,0)</f>
        <v>MY</v>
      </c>
      <c r="D1401" s="7" t="str">
        <f>_xlfn.XLOOKUP(Jnl[[#This Row],[TrxId]], Trx[Id], Trx[Action],,0)</f>
        <v>杂货</v>
      </c>
      <c r="E1401" s="26" t="s">
        <v>83</v>
      </c>
      <c r="F1401" s="11" t="s">
        <v>593</v>
      </c>
      <c r="G1401" s="11" t="s">
        <v>1001</v>
      </c>
      <c r="H1401" s="72">
        <v>33000.660000000003</v>
      </c>
      <c r="I1401" s="5" t="b">
        <f>AND(Jnl[[#This Row],[TrxId]]&lt;&gt;"",Jnl[[#This Row],[Acct]]&lt;&gt;"",Jnl[[#This Row],[Item]]&lt;&gt;"",ISNUMBER(Jnl[[#This Row],[Bal]]))</f>
        <v>1</v>
      </c>
      <c r="J1401" s="10">
        <f>IF(Jnl[[#This Row],[BSLv0]]="A",1,-1)*Jnl[[#This Row],[Bal]]</f>
        <v>33000.660000000003</v>
      </c>
      <c r="K1401" t="str">
        <f>_xlfn.XLOOKUP(Jnl[[#This Row],[Acct]], config_BS[Acct], config_BS[Lv0],,0)</f>
        <v>A</v>
      </c>
      <c r="L1401" t="str">
        <f>_xlfn.XLOOKUP(Jnl[[#This Row],[Acct]], config_BS[Acct], config_BS[Lv1],,0)</f>
        <v>Assets</v>
      </c>
      <c r="M1401" t="str">
        <f>_xlfn.XLOOKUP(Jnl[[#This Row],[Acct]], config_BS[Acct], config_BS[Lv2],,0)</f>
        <v>Rec-Pay</v>
      </c>
      <c r="N1401" t="str">
        <f>_xlfn.XLOOKUP(Jnl[[#This Row],[TrxId]], Trx[Id], Trx[IncNode], ,0)</f>
        <v>Revenue</v>
      </c>
      <c r="O1401" t="str">
        <f>_xlfn.XLOOKUP(Jnl[[#This Row],[IncNode]], config_IS[Node], config_IS[Type],,0)</f>
        <v>Op</v>
      </c>
      <c r="P1401" t="str">
        <f>_xlfn.XLOOKUP(Jnl[[#This Row],[BSLv2]], dict[Key], dict[Name],,0)</f>
        <v>1.应收-应付</v>
      </c>
      <c r="Q1401" t="str">
        <f>_xlfn.XLOOKUP(Jnl[[#This Row],[Acct]], dict[Key], dict[Name],,0)</f>
        <v>应收-一般</v>
      </c>
      <c r="R1401" t="str">
        <f>_xlfn.XLOOKUP(Jnl[[#This Row],[Vehicle]],config_vehicle[Id], config_vehicle[Name],,0)</f>
        <v>远家文化</v>
      </c>
      <c r="S1401" t="str">
        <f>_xlfn.XLOOKUP(Jnl[[#This Row],[Division]],config_div[Id], config_div[Name],,0)</f>
        <v>明月村</v>
      </c>
      <c r="T1401" t="str">
        <f>IF(Jnl[[#This Row],[TrxDate]]&lt;=stmt_BS_date_end, "In", "Out")</f>
        <v>In</v>
      </c>
      <c r="U1401" t="str">
        <f>IF(Jnl[[#This Row],[TrxDate]]&lt;debug_date_start, "prior", IF(Jnl[[#This Row],[TrxDate]]&gt;debug_date_end, "post", "curr"))</f>
        <v>curr</v>
      </c>
    </row>
    <row r="1402" spans="1:21">
      <c r="A1402" s="11" t="s">
        <v>1794</v>
      </c>
      <c r="B1402" s="7">
        <f>_xlfn.XLOOKUP(Jnl[[#This Row],[TrxId]], Trx[Id], Trx[Date],,0)</f>
        <v>46081</v>
      </c>
      <c r="C1402" s="7" t="str">
        <f>_xlfn.XLOOKUP(Jnl[[#This Row],[TrxId]], Trx[Id], Trx[Division],,0)</f>
        <v>MY</v>
      </c>
      <c r="D1402" s="7" t="str">
        <f>_xlfn.XLOOKUP(Jnl[[#This Row],[TrxId]], Trx[Id], Trx[Action],,0)</f>
        <v>杂货</v>
      </c>
      <c r="E1402" s="26" t="s">
        <v>83</v>
      </c>
      <c r="F1402" s="11" t="s">
        <v>593</v>
      </c>
      <c r="G1402" s="11" t="s">
        <v>1127</v>
      </c>
      <c r="H1402" s="72">
        <v>2156</v>
      </c>
      <c r="I1402" s="5" t="b">
        <f>AND(Jnl[[#This Row],[TrxId]]&lt;&gt;"",Jnl[[#This Row],[Acct]]&lt;&gt;"",Jnl[[#This Row],[Item]]&lt;&gt;"",ISNUMBER(Jnl[[#This Row],[Bal]]))</f>
        <v>1</v>
      </c>
      <c r="J1402" s="10">
        <f>IF(Jnl[[#This Row],[BSLv0]]="A",1,-1)*Jnl[[#This Row],[Bal]]</f>
        <v>2156</v>
      </c>
      <c r="K1402" t="str">
        <f>_xlfn.XLOOKUP(Jnl[[#This Row],[Acct]], config_BS[Acct], config_BS[Lv0],,0)</f>
        <v>A</v>
      </c>
      <c r="L1402" t="str">
        <f>_xlfn.XLOOKUP(Jnl[[#This Row],[Acct]], config_BS[Acct], config_BS[Lv1],,0)</f>
        <v>Assets</v>
      </c>
      <c r="M1402" t="str">
        <f>_xlfn.XLOOKUP(Jnl[[#This Row],[Acct]], config_BS[Acct], config_BS[Lv2],,0)</f>
        <v>Rec-Pay</v>
      </c>
      <c r="N1402" t="str">
        <f>_xlfn.XLOOKUP(Jnl[[#This Row],[TrxId]], Trx[Id], Trx[IncNode], ,0)</f>
        <v>Revenue</v>
      </c>
      <c r="O1402" t="str">
        <f>_xlfn.XLOOKUP(Jnl[[#This Row],[IncNode]], config_IS[Node], config_IS[Type],,0)</f>
        <v>Op</v>
      </c>
      <c r="P1402" t="str">
        <f>_xlfn.XLOOKUP(Jnl[[#This Row],[BSLv2]], dict[Key], dict[Name],,0)</f>
        <v>1.应收-应付</v>
      </c>
      <c r="Q1402" t="str">
        <f>_xlfn.XLOOKUP(Jnl[[#This Row],[Acct]], dict[Key], dict[Name],,0)</f>
        <v>应收-一般</v>
      </c>
      <c r="R1402" t="str">
        <f>_xlfn.XLOOKUP(Jnl[[#This Row],[Vehicle]],config_vehicle[Id], config_vehicle[Name],,0)</f>
        <v>远家文化</v>
      </c>
      <c r="S1402" t="str">
        <f>_xlfn.XLOOKUP(Jnl[[#This Row],[Division]],config_div[Id], config_div[Name],,0)</f>
        <v>明月村</v>
      </c>
      <c r="T1402" t="str">
        <f>IF(Jnl[[#This Row],[TrxDate]]&lt;=stmt_BS_date_end, "In", "Out")</f>
        <v>In</v>
      </c>
      <c r="U1402" t="str">
        <f>IF(Jnl[[#This Row],[TrxDate]]&lt;debug_date_start, "prior", IF(Jnl[[#This Row],[TrxDate]]&gt;debug_date_end, "post", "curr"))</f>
        <v>curr</v>
      </c>
    </row>
    <row r="1403" spans="1:21">
      <c r="A1403" s="11" t="s">
        <v>1797</v>
      </c>
      <c r="B1403" s="7">
        <f>_xlfn.XLOOKUP(Jnl[[#This Row],[TrxId]], Trx[Id], Trx[Date],,0)</f>
        <v>46081</v>
      </c>
      <c r="C1403" s="7" t="str">
        <f>_xlfn.XLOOKUP(Jnl[[#This Row],[TrxId]], Trx[Id], Trx[Division],,0)</f>
        <v>MY</v>
      </c>
      <c r="D1403" s="7" t="str">
        <f>_xlfn.XLOOKUP(Jnl[[#This Row],[TrxId]], Trx[Id], Trx[Action],,0)</f>
        <v>果园</v>
      </c>
      <c r="E1403" s="26" t="s">
        <v>83</v>
      </c>
      <c r="F1403" s="11" t="s">
        <v>652</v>
      </c>
      <c r="G1403" s="11" t="s">
        <v>1125</v>
      </c>
      <c r="H1403" s="72">
        <v>-346.6</v>
      </c>
      <c r="I1403" s="5" t="b">
        <f>AND(Jnl[[#This Row],[TrxId]]&lt;&gt;"",Jnl[[#This Row],[Acct]]&lt;&gt;"",Jnl[[#This Row],[Item]]&lt;&gt;"",ISNUMBER(Jnl[[#This Row],[Bal]]))</f>
        <v>1</v>
      </c>
      <c r="J1403" s="10">
        <f>IF(Jnl[[#This Row],[BSLv0]]="A",1,-1)*Jnl[[#This Row],[Bal]]</f>
        <v>346.6</v>
      </c>
      <c r="K1403" t="str">
        <f>_xlfn.XLOOKUP(Jnl[[#This Row],[Acct]], config_BS[Acct], config_BS[Lv0],,0)</f>
        <v>LC</v>
      </c>
      <c r="L1403" t="str">
        <f>_xlfn.XLOOKUP(Jnl[[#This Row],[Acct]], config_BS[Acct], config_BS[Lv1],,0)</f>
        <v>Liability</v>
      </c>
      <c r="M1403" t="str">
        <f>_xlfn.XLOOKUP(Jnl[[#This Row],[Acct]], config_BS[Acct], config_BS[Lv2],,0)</f>
        <v>Rec-Pay</v>
      </c>
      <c r="N1403" t="str">
        <f>_xlfn.XLOOKUP(Jnl[[#This Row],[TrxId]], Trx[Id], Trx[IncNode], ,0)</f>
        <v>Revenue</v>
      </c>
      <c r="O1403" t="str">
        <f>_xlfn.XLOOKUP(Jnl[[#This Row],[IncNode]], config_IS[Node], config_IS[Type],,0)</f>
        <v>Op</v>
      </c>
      <c r="P1403" t="str">
        <f>_xlfn.XLOOKUP(Jnl[[#This Row],[BSLv2]], dict[Key], dict[Name],,0)</f>
        <v>1.应收-应付</v>
      </c>
      <c r="Q1403" t="str">
        <f>_xlfn.XLOOKUP(Jnl[[#This Row],[Acct]], dict[Key], dict[Name],,0)</f>
        <v>应付-一般</v>
      </c>
      <c r="R1403" t="str">
        <f>_xlfn.XLOOKUP(Jnl[[#This Row],[Vehicle]],config_vehicle[Id], config_vehicle[Name],,0)</f>
        <v>远家文化</v>
      </c>
      <c r="S1403" t="str">
        <f>_xlfn.XLOOKUP(Jnl[[#This Row],[Division]],config_div[Id], config_div[Name],,0)</f>
        <v>明月村</v>
      </c>
      <c r="T1403" t="str">
        <f>IF(Jnl[[#This Row],[TrxDate]]&lt;=stmt_BS_date_end, "In", "Out")</f>
        <v>In</v>
      </c>
      <c r="U1403" t="str">
        <f>IF(Jnl[[#This Row],[TrxDate]]&lt;debug_date_start, "prior", IF(Jnl[[#This Row],[TrxDate]]&gt;debug_date_end, "post", "curr"))</f>
        <v>curr</v>
      </c>
    </row>
    <row r="1404" spans="1:21">
      <c r="A1404" s="11" t="s">
        <v>1798</v>
      </c>
      <c r="B1404" s="7">
        <f>_xlfn.XLOOKUP(Jnl[[#This Row],[TrxId]], Trx[Id], Trx[Date],,0)</f>
        <v>46081</v>
      </c>
      <c r="C1404" s="7" t="str">
        <f>_xlfn.XLOOKUP(Jnl[[#This Row],[TrxId]], Trx[Id], Trx[Division],,0)</f>
        <v>MY</v>
      </c>
      <c r="D1404" s="7" t="str">
        <f>_xlfn.XLOOKUP(Jnl[[#This Row],[TrxId]], Trx[Id], Trx[Action],,0)</f>
        <v>其他销售</v>
      </c>
      <c r="E1404" s="26" t="s">
        <v>83</v>
      </c>
      <c r="F1404" s="11" t="s">
        <v>652</v>
      </c>
      <c r="G1404" s="11" t="s">
        <v>1125</v>
      </c>
      <c r="H1404" s="72">
        <v>-1280</v>
      </c>
      <c r="I1404" s="5" t="b">
        <f>AND(Jnl[[#This Row],[TrxId]]&lt;&gt;"",Jnl[[#This Row],[Acct]]&lt;&gt;"",Jnl[[#This Row],[Item]]&lt;&gt;"",ISNUMBER(Jnl[[#This Row],[Bal]]))</f>
        <v>1</v>
      </c>
      <c r="J1404" s="10">
        <f>IF(Jnl[[#This Row],[BSLv0]]="A",1,-1)*Jnl[[#This Row],[Bal]]</f>
        <v>1280</v>
      </c>
      <c r="K1404" t="str">
        <f>_xlfn.XLOOKUP(Jnl[[#This Row],[Acct]], config_BS[Acct], config_BS[Lv0],,0)</f>
        <v>LC</v>
      </c>
      <c r="L1404" t="str">
        <f>_xlfn.XLOOKUP(Jnl[[#This Row],[Acct]], config_BS[Acct], config_BS[Lv1],,0)</f>
        <v>Liability</v>
      </c>
      <c r="M1404" t="str">
        <f>_xlfn.XLOOKUP(Jnl[[#This Row],[Acct]], config_BS[Acct], config_BS[Lv2],,0)</f>
        <v>Rec-Pay</v>
      </c>
      <c r="N1404" t="str">
        <f>_xlfn.XLOOKUP(Jnl[[#This Row],[TrxId]], Trx[Id], Trx[IncNode], ,0)</f>
        <v>Revenue</v>
      </c>
      <c r="O1404" t="str">
        <f>_xlfn.XLOOKUP(Jnl[[#This Row],[IncNode]], config_IS[Node], config_IS[Type],,0)</f>
        <v>Op</v>
      </c>
      <c r="P1404" t="str">
        <f>_xlfn.XLOOKUP(Jnl[[#This Row],[BSLv2]], dict[Key], dict[Name],,0)</f>
        <v>1.应收-应付</v>
      </c>
      <c r="Q1404" t="str">
        <f>_xlfn.XLOOKUP(Jnl[[#This Row],[Acct]], dict[Key], dict[Name],,0)</f>
        <v>应付-一般</v>
      </c>
      <c r="R1404" t="str">
        <f>_xlfn.XLOOKUP(Jnl[[#This Row],[Vehicle]],config_vehicle[Id], config_vehicle[Name],,0)</f>
        <v>远家文化</v>
      </c>
      <c r="S1404" t="str">
        <f>_xlfn.XLOOKUP(Jnl[[#This Row],[Division]],config_div[Id], config_div[Name],,0)</f>
        <v>明月村</v>
      </c>
      <c r="T1404" t="str">
        <f>IF(Jnl[[#This Row],[TrxDate]]&lt;=stmt_BS_date_end, "In", "Out")</f>
        <v>In</v>
      </c>
      <c r="U1404" t="str">
        <f>IF(Jnl[[#This Row],[TrxDate]]&lt;debug_date_start, "prior", IF(Jnl[[#This Row],[TrxDate]]&gt;debug_date_end, "post", "curr"))</f>
        <v>curr</v>
      </c>
    </row>
    <row r="1405" spans="1:21">
      <c r="A1405" s="11" t="s">
        <v>1799</v>
      </c>
      <c r="B1405" s="7">
        <f>_xlfn.XLOOKUP(Jnl[[#This Row],[TrxId]], Trx[Id], Trx[Date],,0)</f>
        <v>46081</v>
      </c>
      <c r="C1405" s="7" t="str">
        <f>_xlfn.XLOOKUP(Jnl[[#This Row],[TrxId]], Trx[Id], Trx[Division],,0)</f>
        <v>MY</v>
      </c>
      <c r="D1405" s="7" t="str">
        <f>_xlfn.XLOOKUP(Jnl[[#This Row],[TrxId]], Trx[Id], Trx[Action],,0)</f>
        <v>餐饮</v>
      </c>
      <c r="E1405" s="26" t="s">
        <v>83</v>
      </c>
      <c r="F1405" s="11" t="s">
        <v>652</v>
      </c>
      <c r="G1405" s="11" t="s">
        <v>1125</v>
      </c>
      <c r="H1405" s="72">
        <v>-10</v>
      </c>
      <c r="I1405" s="5" t="b">
        <f>AND(Jnl[[#This Row],[TrxId]]&lt;&gt;"",Jnl[[#This Row],[Acct]]&lt;&gt;"",Jnl[[#This Row],[Item]]&lt;&gt;"",ISNUMBER(Jnl[[#This Row],[Bal]]))</f>
        <v>1</v>
      </c>
      <c r="J1405" s="10">
        <f>IF(Jnl[[#This Row],[BSLv0]]="A",1,-1)*Jnl[[#This Row],[Bal]]</f>
        <v>10</v>
      </c>
      <c r="K1405" t="str">
        <f>_xlfn.XLOOKUP(Jnl[[#This Row],[Acct]], config_BS[Acct], config_BS[Lv0],,0)</f>
        <v>LC</v>
      </c>
      <c r="L1405" t="str">
        <f>_xlfn.XLOOKUP(Jnl[[#This Row],[Acct]], config_BS[Acct], config_BS[Lv1],,0)</f>
        <v>Liability</v>
      </c>
      <c r="M1405" t="str">
        <f>_xlfn.XLOOKUP(Jnl[[#This Row],[Acct]], config_BS[Acct], config_BS[Lv2],,0)</f>
        <v>Rec-Pay</v>
      </c>
      <c r="N1405" t="str">
        <f>_xlfn.XLOOKUP(Jnl[[#This Row],[TrxId]], Trx[Id], Trx[IncNode], ,0)</f>
        <v>Revenue</v>
      </c>
      <c r="O1405" t="str">
        <f>_xlfn.XLOOKUP(Jnl[[#This Row],[IncNode]], config_IS[Node], config_IS[Type],,0)</f>
        <v>Op</v>
      </c>
      <c r="P1405" t="str">
        <f>_xlfn.XLOOKUP(Jnl[[#This Row],[BSLv2]], dict[Key], dict[Name],,0)</f>
        <v>1.应收-应付</v>
      </c>
      <c r="Q1405" t="str">
        <f>_xlfn.XLOOKUP(Jnl[[#This Row],[Acct]], dict[Key], dict[Name],,0)</f>
        <v>应付-一般</v>
      </c>
      <c r="R1405" t="str">
        <f>_xlfn.XLOOKUP(Jnl[[#This Row],[Vehicle]],config_vehicle[Id], config_vehicle[Name],,0)</f>
        <v>远家文化</v>
      </c>
      <c r="S1405" t="str">
        <f>_xlfn.XLOOKUP(Jnl[[#This Row],[Division]],config_div[Id], config_div[Name],,0)</f>
        <v>明月村</v>
      </c>
      <c r="T1405" t="str">
        <f>IF(Jnl[[#This Row],[TrxDate]]&lt;=stmt_BS_date_end, "In", "Out")</f>
        <v>In</v>
      </c>
      <c r="U1405" t="str">
        <f>IF(Jnl[[#This Row],[TrxDate]]&lt;debug_date_start, "prior", IF(Jnl[[#This Row],[TrxDate]]&gt;debug_date_end, "post", "curr"))</f>
        <v>curr</v>
      </c>
    </row>
    <row r="1406" spans="1:21">
      <c r="A1406" s="11" t="s">
        <v>1800</v>
      </c>
      <c r="B1406" s="7">
        <f>_xlfn.XLOOKUP(Jnl[[#This Row],[TrxId]], Trx[Id], Trx[Date],,0)</f>
        <v>46081</v>
      </c>
      <c r="C1406" s="7" t="str">
        <f>_xlfn.XLOOKUP(Jnl[[#This Row],[TrxId]], Trx[Id], Trx[Division],,0)</f>
        <v>MY</v>
      </c>
      <c r="D1406" s="7" t="str">
        <f>_xlfn.XLOOKUP(Jnl[[#This Row],[TrxId]], Trx[Id], Trx[Action],,0)</f>
        <v>其他材料</v>
      </c>
      <c r="E1406" s="26" t="s">
        <v>83</v>
      </c>
      <c r="F1406" s="11" t="s">
        <v>598</v>
      </c>
      <c r="G1406" s="11" t="s">
        <v>153</v>
      </c>
      <c r="H1406" s="72">
        <v>-2000</v>
      </c>
      <c r="I1406" s="5" t="b">
        <f>AND(Jnl[[#This Row],[TrxId]]&lt;&gt;"",Jnl[[#This Row],[Acct]]&lt;&gt;"",Jnl[[#This Row],[Item]]&lt;&gt;"",ISNUMBER(Jnl[[#This Row],[Bal]]))</f>
        <v>1</v>
      </c>
      <c r="J1406" s="10">
        <f>IF(Jnl[[#This Row],[BSLv0]]="A",1,-1)*Jnl[[#This Row],[Bal]]</f>
        <v>-2000</v>
      </c>
      <c r="K1406" t="str">
        <f>_xlfn.XLOOKUP(Jnl[[#This Row],[Acct]], config_BS[Acct], config_BS[Lv0],,0)</f>
        <v>A</v>
      </c>
      <c r="L1406" t="str">
        <f>_xlfn.XLOOKUP(Jnl[[#This Row],[Acct]], config_BS[Acct], config_BS[Lv1],,0)</f>
        <v>Assets</v>
      </c>
      <c r="M1406" t="str">
        <f>_xlfn.XLOOKUP(Jnl[[#This Row],[Acct]], config_BS[Acct], config_BS[Lv2],,0)</f>
        <v>Invtr</v>
      </c>
      <c r="N1406" t="str">
        <f>_xlfn.XLOOKUP(Jnl[[#This Row],[TrxId]], Trx[Id], Trx[IncNode], ,0)</f>
        <v>Cost</v>
      </c>
      <c r="O1406" t="str">
        <f>_xlfn.XLOOKUP(Jnl[[#This Row],[IncNode]], config_IS[Node], config_IS[Type],,0)</f>
        <v>Op</v>
      </c>
      <c r="P1406" t="str">
        <f>_xlfn.XLOOKUP(Jnl[[#This Row],[BSLv2]], dict[Key], dict[Name],,0)</f>
        <v>3.库存占款</v>
      </c>
      <c r="Q1406" t="str">
        <f>_xlfn.XLOOKUP(Jnl[[#This Row],[Acct]], dict[Key], dict[Name],,0)</f>
        <v>当期存货</v>
      </c>
      <c r="R1406" t="str">
        <f>_xlfn.XLOOKUP(Jnl[[#This Row],[Vehicle]],config_vehicle[Id], config_vehicle[Name],,0)</f>
        <v>远家文化</v>
      </c>
      <c r="S1406" t="str">
        <f>_xlfn.XLOOKUP(Jnl[[#This Row],[Division]],config_div[Id], config_div[Name],,0)</f>
        <v>明月村</v>
      </c>
      <c r="T1406" t="str">
        <f>IF(Jnl[[#This Row],[TrxDate]]&lt;=stmt_BS_date_end, "In", "Out")</f>
        <v>In</v>
      </c>
      <c r="U1406" t="str">
        <f>IF(Jnl[[#This Row],[TrxDate]]&lt;debug_date_start, "prior", IF(Jnl[[#This Row],[TrxDate]]&gt;debug_date_end, "post", "curr"))</f>
        <v>curr</v>
      </c>
    </row>
    <row r="1407" spans="1:21">
      <c r="A1407" s="11" t="s">
        <v>1801</v>
      </c>
      <c r="B1407" s="7">
        <f>_xlfn.XLOOKUP(Jnl[[#This Row],[TrxId]], Trx[Id], Trx[Date],,0)</f>
        <v>46081</v>
      </c>
      <c r="C1407" s="7" t="str">
        <f>_xlfn.XLOOKUP(Jnl[[#This Row],[TrxId]], Trx[Id], Trx[Division],,0)</f>
        <v>MY</v>
      </c>
      <c r="D1407" s="7" t="str">
        <f>_xlfn.XLOOKUP(Jnl[[#This Row],[TrxId]], Trx[Id], Trx[Action],,0)</f>
        <v>库存摊销</v>
      </c>
      <c r="E1407" s="26" t="s">
        <v>83</v>
      </c>
      <c r="F1407" s="11" t="s">
        <v>598</v>
      </c>
      <c r="G1407" s="11" t="s">
        <v>153</v>
      </c>
      <c r="H1407" s="72">
        <v>-20182</v>
      </c>
      <c r="I1407" s="5" t="b">
        <f>AND(Jnl[[#This Row],[TrxId]]&lt;&gt;"",Jnl[[#This Row],[Acct]]&lt;&gt;"",Jnl[[#This Row],[Item]]&lt;&gt;"",ISNUMBER(Jnl[[#This Row],[Bal]]))</f>
        <v>1</v>
      </c>
      <c r="J1407" s="10">
        <f>IF(Jnl[[#This Row],[BSLv0]]="A",1,-1)*Jnl[[#This Row],[Bal]]</f>
        <v>-20182</v>
      </c>
      <c r="K1407" t="str">
        <f>_xlfn.XLOOKUP(Jnl[[#This Row],[Acct]], config_BS[Acct], config_BS[Lv0],,0)</f>
        <v>A</v>
      </c>
      <c r="L1407" t="str">
        <f>_xlfn.XLOOKUP(Jnl[[#This Row],[Acct]], config_BS[Acct], config_BS[Lv1],,0)</f>
        <v>Assets</v>
      </c>
      <c r="M1407" t="str">
        <f>_xlfn.XLOOKUP(Jnl[[#This Row],[Acct]], config_BS[Acct], config_BS[Lv2],,0)</f>
        <v>Invtr</v>
      </c>
      <c r="N1407" t="str">
        <f>_xlfn.XLOOKUP(Jnl[[#This Row],[TrxId]], Trx[Id], Trx[IncNode], ,0)</f>
        <v>Cost</v>
      </c>
      <c r="O1407" t="str">
        <f>_xlfn.XLOOKUP(Jnl[[#This Row],[IncNode]], config_IS[Node], config_IS[Type],,0)</f>
        <v>Op</v>
      </c>
      <c r="P1407" t="str">
        <f>_xlfn.XLOOKUP(Jnl[[#This Row],[BSLv2]], dict[Key], dict[Name],,0)</f>
        <v>3.库存占款</v>
      </c>
      <c r="Q1407" t="str">
        <f>_xlfn.XLOOKUP(Jnl[[#This Row],[Acct]], dict[Key], dict[Name],,0)</f>
        <v>当期存货</v>
      </c>
      <c r="R1407" t="str">
        <f>_xlfn.XLOOKUP(Jnl[[#This Row],[Vehicle]],config_vehicle[Id], config_vehicle[Name],,0)</f>
        <v>远家文化</v>
      </c>
      <c r="S1407" t="str">
        <f>_xlfn.XLOOKUP(Jnl[[#This Row],[Division]],config_div[Id], config_div[Name],,0)</f>
        <v>明月村</v>
      </c>
      <c r="T1407" t="str">
        <f>IF(Jnl[[#This Row],[TrxDate]]&lt;=stmt_BS_date_end, "In", "Out")</f>
        <v>In</v>
      </c>
      <c r="U1407" t="str">
        <f>IF(Jnl[[#This Row],[TrxDate]]&lt;debug_date_start, "prior", IF(Jnl[[#This Row],[TrxDate]]&gt;debug_date_end, "post", "curr"))</f>
        <v>curr</v>
      </c>
    </row>
    <row r="1408" spans="1:21">
      <c r="A1408" s="11" t="s">
        <v>1803</v>
      </c>
      <c r="B1408" s="7">
        <f>_xlfn.XLOOKUP(Jnl[[#This Row],[TrxId]], Trx[Id], Trx[Date],,0)</f>
        <v>46081</v>
      </c>
      <c r="C1408" s="7" t="str">
        <f>_xlfn.XLOOKUP(Jnl[[#This Row],[TrxId]], Trx[Id], Trx[Division],,0)</f>
        <v>MY</v>
      </c>
      <c r="D1408" s="7" t="str">
        <f>_xlfn.XLOOKUP(Jnl[[#This Row],[TrxId]], Trx[Id], Trx[Action],,0)</f>
        <v>增值税</v>
      </c>
      <c r="E1408" s="26" t="s">
        <v>83</v>
      </c>
      <c r="F1408" s="11" t="s">
        <v>127</v>
      </c>
      <c r="G1408" s="11" t="s">
        <v>307</v>
      </c>
      <c r="H1408" s="72">
        <v>8000</v>
      </c>
      <c r="I1408" s="5" t="b">
        <f>AND(Jnl[[#This Row],[TrxId]]&lt;&gt;"",Jnl[[#This Row],[Acct]]&lt;&gt;"",Jnl[[#This Row],[Item]]&lt;&gt;"",ISNUMBER(Jnl[[#This Row],[Bal]]))</f>
        <v>1</v>
      </c>
      <c r="J1408" s="10">
        <f>IF(Jnl[[#This Row],[BSLv0]]="A",1,-1)*Jnl[[#This Row],[Bal]]</f>
        <v>-8000</v>
      </c>
      <c r="K1408" t="str">
        <f>_xlfn.XLOOKUP(Jnl[[#This Row],[Acct]], config_BS[Acct], config_BS[Lv0],,0)</f>
        <v>LC</v>
      </c>
      <c r="L1408" t="str">
        <f>_xlfn.XLOOKUP(Jnl[[#This Row],[Acct]], config_BS[Acct], config_BS[Lv1],,0)</f>
        <v>Liability</v>
      </c>
      <c r="M1408" t="str">
        <f>_xlfn.XLOOKUP(Jnl[[#This Row],[Acct]], config_BS[Acct], config_BS[Lv2],,0)</f>
        <v>Rec-Pay</v>
      </c>
      <c r="N1408" t="str">
        <f>_xlfn.XLOOKUP(Jnl[[#This Row],[TrxId]], Trx[Id], Trx[IncNode], ,0)</f>
        <v>Cost</v>
      </c>
      <c r="O1408" t="str">
        <f>_xlfn.XLOOKUP(Jnl[[#This Row],[IncNode]], config_IS[Node], config_IS[Type],,0)</f>
        <v>Op</v>
      </c>
      <c r="P1408" t="str">
        <f>_xlfn.XLOOKUP(Jnl[[#This Row],[BSLv2]], dict[Key], dict[Name],,0)</f>
        <v>1.应收-应付</v>
      </c>
      <c r="Q1408" t="str">
        <f>_xlfn.XLOOKUP(Jnl[[#This Row],[Acct]], dict[Key], dict[Name],,0)</f>
        <v>应付-税款</v>
      </c>
      <c r="R1408" t="str">
        <f>_xlfn.XLOOKUP(Jnl[[#This Row],[Vehicle]],config_vehicle[Id], config_vehicle[Name],,0)</f>
        <v>远家文化</v>
      </c>
      <c r="S1408" t="str">
        <f>_xlfn.XLOOKUP(Jnl[[#This Row],[Division]],config_div[Id], config_div[Name],,0)</f>
        <v>明月村</v>
      </c>
      <c r="T1408" t="str">
        <f>IF(Jnl[[#This Row],[TrxDate]]&lt;=stmt_BS_date_end, "In", "Out")</f>
        <v>In</v>
      </c>
      <c r="U1408" t="str">
        <f>IF(Jnl[[#This Row],[TrxDate]]&lt;debug_date_start, "prior", IF(Jnl[[#This Row],[TrxDate]]&gt;debug_date_end, "post", "curr"))</f>
        <v>curr</v>
      </c>
    </row>
    <row r="1409" spans="1:21">
      <c r="A1409" s="11" t="s">
        <v>1804</v>
      </c>
      <c r="B1409" s="7">
        <f>_xlfn.XLOOKUP(Jnl[[#This Row],[TrxId]], Trx[Id], Trx[Date],,0)</f>
        <v>46081</v>
      </c>
      <c r="C1409" s="7" t="str">
        <f>_xlfn.XLOOKUP(Jnl[[#This Row],[TrxId]], Trx[Id], Trx[Division],,0)</f>
        <v>MY</v>
      </c>
      <c r="D1409" s="7" t="str">
        <f>_xlfn.XLOOKUP(Jnl[[#This Row],[TrxId]], Trx[Id], Trx[Action],,0)</f>
        <v>果园</v>
      </c>
      <c r="E1409" s="26" t="s">
        <v>83</v>
      </c>
      <c r="F1409" s="11" t="s">
        <v>593</v>
      </c>
      <c r="G1409" s="11" t="s">
        <v>1060</v>
      </c>
      <c r="H1409" s="72">
        <v>7873.1</v>
      </c>
      <c r="I1409" s="5" t="b">
        <f>AND(Jnl[[#This Row],[TrxId]]&lt;&gt;"",Jnl[[#This Row],[Acct]]&lt;&gt;"",Jnl[[#This Row],[Item]]&lt;&gt;"",ISNUMBER(Jnl[[#This Row],[Bal]]))</f>
        <v>1</v>
      </c>
      <c r="J1409" s="10">
        <f>IF(Jnl[[#This Row],[BSLv0]]="A",1,-1)*Jnl[[#This Row],[Bal]]</f>
        <v>7873.1</v>
      </c>
      <c r="K1409" t="str">
        <f>_xlfn.XLOOKUP(Jnl[[#This Row],[Acct]], config_BS[Acct], config_BS[Lv0],,0)</f>
        <v>A</v>
      </c>
      <c r="L1409" t="str">
        <f>_xlfn.XLOOKUP(Jnl[[#This Row],[Acct]], config_BS[Acct], config_BS[Lv1],,0)</f>
        <v>Assets</v>
      </c>
      <c r="M1409" t="str">
        <f>_xlfn.XLOOKUP(Jnl[[#This Row],[Acct]], config_BS[Acct], config_BS[Lv2],,0)</f>
        <v>Rec-Pay</v>
      </c>
      <c r="N1409" t="str">
        <f>_xlfn.XLOOKUP(Jnl[[#This Row],[TrxId]], Trx[Id], Trx[IncNode], ,0)</f>
        <v>Revenue</v>
      </c>
      <c r="O1409" t="str">
        <f>_xlfn.XLOOKUP(Jnl[[#This Row],[IncNode]], config_IS[Node], config_IS[Type],,0)</f>
        <v>Op</v>
      </c>
      <c r="P1409" t="str">
        <f>_xlfn.XLOOKUP(Jnl[[#This Row],[BSLv2]], dict[Key], dict[Name],,0)</f>
        <v>1.应收-应付</v>
      </c>
      <c r="Q1409" t="str">
        <f>_xlfn.XLOOKUP(Jnl[[#This Row],[Acct]], dict[Key], dict[Name],,0)</f>
        <v>应收-一般</v>
      </c>
      <c r="R1409" t="str">
        <f>_xlfn.XLOOKUP(Jnl[[#This Row],[Vehicle]],config_vehicle[Id], config_vehicle[Name],,0)</f>
        <v>远家文化</v>
      </c>
      <c r="S1409" t="str">
        <f>_xlfn.XLOOKUP(Jnl[[#This Row],[Division]],config_div[Id], config_div[Name],,0)</f>
        <v>明月村</v>
      </c>
      <c r="T1409" t="str">
        <f>IF(Jnl[[#This Row],[TrxDate]]&lt;=stmt_BS_date_end, "In", "Out")</f>
        <v>In</v>
      </c>
      <c r="U1409" t="str">
        <f>IF(Jnl[[#This Row],[TrxDate]]&lt;debug_date_start, "prior", IF(Jnl[[#This Row],[TrxDate]]&gt;debug_date_end, "post", "curr"))</f>
        <v>curr</v>
      </c>
    </row>
    <row r="1410" spans="1:21">
      <c r="A1410" s="11" t="s">
        <v>1805</v>
      </c>
      <c r="B1410" s="7">
        <f>_xlfn.XLOOKUP(Jnl[[#This Row],[TrxId]], Trx[Id], Trx[Date],,0)</f>
        <v>46081</v>
      </c>
      <c r="C1410" s="7" t="str">
        <f>_xlfn.XLOOKUP(Jnl[[#This Row],[TrxId]], Trx[Id], Trx[Division],,0)</f>
        <v>MY</v>
      </c>
      <c r="D1410" s="7" t="str">
        <f>_xlfn.XLOOKUP(Jnl[[#This Row],[TrxId]], Trx[Id], Trx[Action],,0)</f>
        <v>客房</v>
      </c>
      <c r="E1410" s="26" t="s">
        <v>83</v>
      </c>
      <c r="F1410" s="11" t="s">
        <v>593</v>
      </c>
      <c r="G1410" s="11" t="s">
        <v>942</v>
      </c>
      <c r="H1410" s="72">
        <v>20004.5</v>
      </c>
      <c r="I1410" s="5" t="b">
        <f>AND(Jnl[[#This Row],[TrxId]]&lt;&gt;"",Jnl[[#This Row],[Acct]]&lt;&gt;"",Jnl[[#This Row],[Item]]&lt;&gt;"",ISNUMBER(Jnl[[#This Row],[Bal]]))</f>
        <v>1</v>
      </c>
      <c r="J1410" s="10">
        <f>IF(Jnl[[#This Row],[BSLv0]]="A",1,-1)*Jnl[[#This Row],[Bal]]</f>
        <v>20004.5</v>
      </c>
      <c r="K1410" t="str">
        <f>_xlfn.XLOOKUP(Jnl[[#This Row],[Acct]], config_BS[Acct], config_BS[Lv0],,0)</f>
        <v>A</v>
      </c>
      <c r="L1410" t="str">
        <f>_xlfn.XLOOKUP(Jnl[[#This Row],[Acct]], config_BS[Acct], config_BS[Lv1],,0)</f>
        <v>Assets</v>
      </c>
      <c r="M1410" t="str">
        <f>_xlfn.XLOOKUP(Jnl[[#This Row],[Acct]], config_BS[Acct], config_BS[Lv2],,0)</f>
        <v>Rec-Pay</v>
      </c>
      <c r="N1410" t="str">
        <f>_xlfn.XLOOKUP(Jnl[[#This Row],[TrxId]], Trx[Id], Trx[IncNode], ,0)</f>
        <v>Revenue</v>
      </c>
      <c r="O1410" t="str">
        <f>_xlfn.XLOOKUP(Jnl[[#This Row],[IncNode]], config_IS[Node], config_IS[Type],,0)</f>
        <v>Op</v>
      </c>
      <c r="P1410" t="str">
        <f>_xlfn.XLOOKUP(Jnl[[#This Row],[BSLv2]], dict[Key], dict[Name],,0)</f>
        <v>1.应收-应付</v>
      </c>
      <c r="Q1410" t="str">
        <f>_xlfn.XLOOKUP(Jnl[[#This Row],[Acct]], dict[Key], dict[Name],,0)</f>
        <v>应收-一般</v>
      </c>
      <c r="R1410" t="str">
        <f>_xlfn.XLOOKUP(Jnl[[#This Row],[Vehicle]],config_vehicle[Id], config_vehicle[Name],,0)</f>
        <v>远家文化</v>
      </c>
      <c r="S1410" t="str">
        <f>_xlfn.XLOOKUP(Jnl[[#This Row],[Division]],config_div[Id], config_div[Name],,0)</f>
        <v>明月村</v>
      </c>
      <c r="T1410" t="str">
        <f>IF(Jnl[[#This Row],[TrxDate]]&lt;=stmt_BS_date_end, "In", "Out")</f>
        <v>In</v>
      </c>
      <c r="U1410" t="str">
        <f>IF(Jnl[[#This Row],[TrxDate]]&lt;debug_date_start, "prior", IF(Jnl[[#This Row],[TrxDate]]&gt;debug_date_end, "post", "curr"))</f>
        <v>curr</v>
      </c>
    </row>
    <row r="1411" spans="1:21">
      <c r="A1411" s="11" t="s">
        <v>1805</v>
      </c>
      <c r="B1411" s="7">
        <f>_xlfn.XLOOKUP(Jnl[[#This Row],[TrxId]], Trx[Id], Trx[Date],,0)</f>
        <v>46081</v>
      </c>
      <c r="C1411" s="7" t="str">
        <f>_xlfn.XLOOKUP(Jnl[[#This Row],[TrxId]], Trx[Id], Trx[Division],,0)</f>
        <v>MY</v>
      </c>
      <c r="D1411" s="7" t="str">
        <f>_xlfn.XLOOKUP(Jnl[[#This Row],[TrxId]], Trx[Id], Trx[Action],,0)</f>
        <v>客房</v>
      </c>
      <c r="E1411" s="26" t="s">
        <v>83</v>
      </c>
      <c r="F1411" s="11" t="s">
        <v>593</v>
      </c>
      <c r="G1411" s="11"/>
      <c r="H1411" s="72">
        <v>12399.2</v>
      </c>
      <c r="I1411" s="5" t="b">
        <f>AND(Jnl[[#This Row],[TrxId]]&lt;&gt;"",Jnl[[#This Row],[Acct]]&lt;&gt;"",Jnl[[#This Row],[Item]]&lt;&gt;"",ISNUMBER(Jnl[[#This Row],[Bal]]))</f>
        <v>0</v>
      </c>
      <c r="J1411" s="10">
        <f>IF(Jnl[[#This Row],[BSLv0]]="A",1,-1)*Jnl[[#This Row],[Bal]]</f>
        <v>12399.2</v>
      </c>
      <c r="K1411" t="str">
        <f>_xlfn.XLOOKUP(Jnl[[#This Row],[Acct]], config_BS[Acct], config_BS[Lv0],,0)</f>
        <v>A</v>
      </c>
      <c r="L1411" t="str">
        <f>_xlfn.XLOOKUP(Jnl[[#This Row],[Acct]], config_BS[Acct], config_BS[Lv1],,0)</f>
        <v>Assets</v>
      </c>
      <c r="M1411" t="str">
        <f>_xlfn.XLOOKUP(Jnl[[#This Row],[Acct]], config_BS[Acct], config_BS[Lv2],,0)</f>
        <v>Rec-Pay</v>
      </c>
      <c r="N1411" t="str">
        <f>_xlfn.XLOOKUP(Jnl[[#This Row],[TrxId]], Trx[Id], Trx[IncNode], ,0)</f>
        <v>Revenue</v>
      </c>
      <c r="O1411" t="str">
        <f>_xlfn.XLOOKUP(Jnl[[#This Row],[IncNode]], config_IS[Node], config_IS[Type],,0)</f>
        <v>Op</v>
      </c>
      <c r="P1411" t="str">
        <f>_xlfn.XLOOKUP(Jnl[[#This Row],[BSLv2]], dict[Key], dict[Name],,0)</f>
        <v>1.应收-应付</v>
      </c>
      <c r="Q1411" t="str">
        <f>_xlfn.XLOOKUP(Jnl[[#This Row],[Acct]], dict[Key], dict[Name],,0)</f>
        <v>应收-一般</v>
      </c>
      <c r="R1411" t="str">
        <f>_xlfn.XLOOKUP(Jnl[[#This Row],[Vehicle]],config_vehicle[Id], config_vehicle[Name],,0)</f>
        <v>远家文化</v>
      </c>
      <c r="S1411" t="str">
        <f>_xlfn.XLOOKUP(Jnl[[#This Row],[Division]],config_div[Id], config_div[Name],,0)</f>
        <v>明月村</v>
      </c>
      <c r="T1411" t="str">
        <f>IF(Jnl[[#This Row],[TrxDate]]&lt;=stmt_BS_date_end, "In", "Out")</f>
        <v>In</v>
      </c>
      <c r="U1411" t="str">
        <f>IF(Jnl[[#This Row],[TrxDate]]&lt;debug_date_start, "prior", IF(Jnl[[#This Row],[TrxDate]]&gt;debug_date_end, "post", "curr"))</f>
        <v>curr</v>
      </c>
    </row>
    <row r="1412" spans="1:21">
      <c r="A1412" s="11" t="s">
        <v>1806</v>
      </c>
      <c r="B1412" s="7">
        <f>_xlfn.XLOOKUP(Jnl[[#This Row],[TrxId]], Trx[Id], Trx[Date],,0)</f>
        <v>46081</v>
      </c>
      <c r="C1412" s="7" t="str">
        <f>_xlfn.XLOOKUP(Jnl[[#This Row],[TrxId]], Trx[Id], Trx[Division],,0)</f>
        <v>MY</v>
      </c>
      <c r="D1412" s="7" t="str">
        <f>_xlfn.XLOOKUP(Jnl[[#This Row],[TrxId]], Trx[Id], Trx[Action],,0)</f>
        <v>手工课</v>
      </c>
      <c r="E1412" s="26" t="s">
        <v>83</v>
      </c>
      <c r="F1412" s="11" t="s">
        <v>593</v>
      </c>
      <c r="G1412" s="11" t="s">
        <v>1707</v>
      </c>
      <c r="H1412" s="72">
        <v>540</v>
      </c>
      <c r="I1412" s="5" t="b">
        <f>AND(Jnl[[#This Row],[TrxId]]&lt;&gt;"",Jnl[[#This Row],[Acct]]&lt;&gt;"",Jnl[[#This Row],[Item]]&lt;&gt;"",ISNUMBER(Jnl[[#This Row],[Bal]]))</f>
        <v>1</v>
      </c>
      <c r="J1412" s="10">
        <f>IF(Jnl[[#This Row],[BSLv0]]="A",1,-1)*Jnl[[#This Row],[Bal]]</f>
        <v>540</v>
      </c>
      <c r="K1412" t="str">
        <f>_xlfn.XLOOKUP(Jnl[[#This Row],[Acct]], config_BS[Acct], config_BS[Lv0],,0)</f>
        <v>A</v>
      </c>
      <c r="L1412" t="str">
        <f>_xlfn.XLOOKUP(Jnl[[#This Row],[Acct]], config_BS[Acct], config_BS[Lv1],,0)</f>
        <v>Assets</v>
      </c>
      <c r="M1412" t="str">
        <f>_xlfn.XLOOKUP(Jnl[[#This Row],[Acct]], config_BS[Acct], config_BS[Lv2],,0)</f>
        <v>Rec-Pay</v>
      </c>
      <c r="N1412" t="str">
        <f>_xlfn.XLOOKUP(Jnl[[#This Row],[TrxId]], Trx[Id], Trx[IncNode], ,0)</f>
        <v>Revenue</v>
      </c>
      <c r="O1412" t="str">
        <f>_xlfn.XLOOKUP(Jnl[[#This Row],[IncNode]], config_IS[Node], config_IS[Type],,0)</f>
        <v>Op</v>
      </c>
      <c r="P1412" t="str">
        <f>_xlfn.XLOOKUP(Jnl[[#This Row],[BSLv2]], dict[Key], dict[Name],,0)</f>
        <v>1.应收-应付</v>
      </c>
      <c r="Q1412" t="str">
        <f>_xlfn.XLOOKUP(Jnl[[#This Row],[Acct]], dict[Key], dict[Name],,0)</f>
        <v>应收-一般</v>
      </c>
      <c r="R1412" t="str">
        <f>_xlfn.XLOOKUP(Jnl[[#This Row],[Vehicle]],config_vehicle[Id], config_vehicle[Name],,0)</f>
        <v>远家文化</v>
      </c>
      <c r="S1412" t="str">
        <f>_xlfn.XLOOKUP(Jnl[[#This Row],[Division]],config_div[Id], config_div[Name],,0)</f>
        <v>明月村</v>
      </c>
      <c r="T1412" t="str">
        <f>IF(Jnl[[#This Row],[TrxDate]]&lt;=stmt_BS_date_end, "In", "Out")</f>
        <v>In</v>
      </c>
      <c r="U1412" t="str">
        <f>IF(Jnl[[#This Row],[TrxDate]]&lt;debug_date_start, "prior", IF(Jnl[[#This Row],[TrxDate]]&gt;debug_date_end, "post", "curr"))</f>
        <v>curr</v>
      </c>
    </row>
    <row r="1413" spans="1:21">
      <c r="A1413" s="11" t="s">
        <v>1807</v>
      </c>
      <c r="B1413" s="7">
        <f>_xlfn.XLOOKUP(Jnl[[#This Row],[TrxId]], Trx[Id], Trx[Date],,0)</f>
        <v>46081</v>
      </c>
      <c r="C1413" s="7" t="str">
        <f>_xlfn.XLOOKUP(Jnl[[#This Row],[TrxId]], Trx[Id], Trx[Division],,0)</f>
        <v>Brand</v>
      </c>
      <c r="D1413" s="7" t="str">
        <f>_xlfn.XLOOKUP(Jnl[[#This Row],[TrxId]], Trx[Id], Trx[Action],,0)</f>
        <v>折旧</v>
      </c>
      <c r="E1413" s="26" t="s">
        <v>83</v>
      </c>
      <c r="F1413" s="11" t="s">
        <v>689</v>
      </c>
      <c r="G1413" s="11" t="s">
        <v>1283</v>
      </c>
      <c r="H1413" s="72">
        <v>-102296.66725490197</v>
      </c>
      <c r="I1413" s="5" t="b">
        <f>AND(Jnl[[#This Row],[TrxId]]&lt;&gt;"",Jnl[[#This Row],[Acct]]&lt;&gt;"",Jnl[[#This Row],[Item]]&lt;&gt;"",ISNUMBER(Jnl[[#This Row],[Bal]]))</f>
        <v>1</v>
      </c>
      <c r="J1413" s="10">
        <f>IF(Jnl[[#This Row],[BSLv0]]="A",1,-1)*Jnl[[#This Row],[Bal]]</f>
        <v>-102296.66725490197</v>
      </c>
      <c r="K1413" t="str">
        <f>_xlfn.XLOOKUP(Jnl[[#This Row],[Acct]], config_BS[Acct], config_BS[Lv0],,0)</f>
        <v>A</v>
      </c>
      <c r="L1413" t="str">
        <f>_xlfn.XLOOKUP(Jnl[[#This Row],[Acct]], config_BS[Acct], config_BS[Lv1],,0)</f>
        <v>Assets</v>
      </c>
      <c r="M1413" t="str">
        <f>_xlfn.XLOOKUP(Jnl[[#This Row],[Acct]], config_BS[Acct], config_BS[Lv2],,0)</f>
        <v>PP&amp;E</v>
      </c>
      <c r="N1413" t="str">
        <f>_xlfn.XLOOKUP(Jnl[[#This Row],[TrxId]], Trx[Id], Trx[IncNode], ,0)</f>
        <v>Expense</v>
      </c>
      <c r="O1413" t="str">
        <f>_xlfn.XLOOKUP(Jnl[[#This Row],[IncNode]], config_IS[Node], config_IS[Type],,0)</f>
        <v>Op</v>
      </c>
      <c r="P1413" t="str">
        <f>_xlfn.XLOOKUP(Jnl[[#This Row],[BSLv2]], dict[Key], dict[Name],,0)</f>
        <v>5.硬件设施</v>
      </c>
      <c r="Q1413" t="str">
        <f>_xlfn.XLOOKUP(Jnl[[#This Row],[Acct]], dict[Key], dict[Name],,0)</f>
        <v>房地产</v>
      </c>
      <c r="R1413" t="str">
        <f>_xlfn.XLOOKUP(Jnl[[#This Row],[Vehicle]],config_vehicle[Id], config_vehicle[Name],,0)</f>
        <v>远家文化</v>
      </c>
      <c r="S1413" t="str">
        <f>_xlfn.XLOOKUP(Jnl[[#This Row],[Division]],config_div[Id], config_div[Name],,0)</f>
        <v>品牌</v>
      </c>
      <c r="T1413" t="str">
        <f>IF(Jnl[[#This Row],[TrxDate]]&lt;=stmt_BS_date_end, "In", "Out")</f>
        <v>In</v>
      </c>
      <c r="U1413" t="str">
        <f>IF(Jnl[[#This Row],[TrxDate]]&lt;debug_date_start, "prior", IF(Jnl[[#This Row],[TrxDate]]&gt;debug_date_end, "post", "curr"))</f>
        <v>curr</v>
      </c>
    </row>
    <row r="1414" spans="1:21">
      <c r="A1414" s="11" t="s">
        <v>1809</v>
      </c>
      <c r="B1414" s="7">
        <f>_xlfn.XLOOKUP(Jnl[[#This Row],[TrxId]], Trx[Id], Trx[Date],,0)</f>
        <v>46081</v>
      </c>
      <c r="C1414" s="7" t="str">
        <f>_xlfn.XLOOKUP(Jnl[[#This Row],[TrxId]], Trx[Id], Trx[Division],,0)</f>
        <v>GM</v>
      </c>
      <c r="D1414" s="7" t="str">
        <f>_xlfn.XLOOKUP(Jnl[[#This Row],[TrxId]], Trx[Id], Trx[Action],,0)</f>
        <v>薪酬-社保</v>
      </c>
      <c r="E1414" s="26" t="s">
        <v>83</v>
      </c>
      <c r="F1414" s="11" t="s">
        <v>131</v>
      </c>
      <c r="G1414" s="11" t="s">
        <v>1808</v>
      </c>
      <c r="H1414" s="72">
        <v>25983.02</v>
      </c>
      <c r="I1414" s="5" t="b">
        <f>AND(Jnl[[#This Row],[TrxId]]&lt;&gt;"",Jnl[[#This Row],[Acct]]&lt;&gt;"",Jnl[[#This Row],[Item]]&lt;&gt;"",ISNUMBER(Jnl[[#This Row],[Bal]]))</f>
        <v>1</v>
      </c>
      <c r="J1414" s="10">
        <f>IF(Jnl[[#This Row],[BSLv0]]="A",1,-1)*Jnl[[#This Row],[Bal]]</f>
        <v>-25983.02</v>
      </c>
      <c r="K1414" t="str">
        <f>_xlfn.XLOOKUP(Jnl[[#This Row],[Acct]], config_BS[Acct], config_BS[Lv0],,0)</f>
        <v>LC</v>
      </c>
      <c r="L1414" t="str">
        <f>_xlfn.XLOOKUP(Jnl[[#This Row],[Acct]], config_BS[Acct], config_BS[Lv1],,0)</f>
        <v>Liability</v>
      </c>
      <c r="M1414" t="str">
        <f>_xlfn.XLOOKUP(Jnl[[#This Row],[Acct]], config_BS[Acct], config_BS[Lv2],,0)</f>
        <v>Rec-Pay</v>
      </c>
      <c r="N1414" t="str">
        <f>_xlfn.XLOOKUP(Jnl[[#This Row],[TrxId]], Trx[Id], Trx[IncNode], ,0)</f>
        <v>Expense</v>
      </c>
      <c r="O1414" t="str">
        <f>_xlfn.XLOOKUP(Jnl[[#This Row],[IncNode]], config_IS[Node], config_IS[Type],,0)</f>
        <v>Op</v>
      </c>
      <c r="P1414" t="str">
        <f>_xlfn.XLOOKUP(Jnl[[#This Row],[BSLv2]], dict[Key], dict[Name],,0)</f>
        <v>1.应收-应付</v>
      </c>
      <c r="Q1414" t="str">
        <f>_xlfn.XLOOKUP(Jnl[[#This Row],[Acct]], dict[Key], dict[Name],,0)</f>
        <v>应付-其他</v>
      </c>
      <c r="R1414" t="str">
        <f>_xlfn.XLOOKUP(Jnl[[#This Row],[Vehicle]],config_vehicle[Id], config_vehicle[Name],,0)</f>
        <v>远家文化</v>
      </c>
      <c r="S1414" t="str">
        <f>_xlfn.XLOOKUP(Jnl[[#This Row],[Division]],config_div[Id], config_div[Name],,0)</f>
        <v>综合管理</v>
      </c>
      <c r="T1414" t="str">
        <f>IF(Jnl[[#This Row],[TrxDate]]&lt;=stmt_BS_date_end, "In", "Out")</f>
        <v>In</v>
      </c>
      <c r="U1414" t="str">
        <f>IF(Jnl[[#This Row],[TrxDate]]&lt;debug_date_start, "prior", IF(Jnl[[#This Row],[TrxDate]]&gt;debug_date_end, "post", "curr"))</f>
        <v>curr</v>
      </c>
    </row>
    <row r="1415" spans="1:21">
      <c r="A1415" s="11" t="s">
        <v>1810</v>
      </c>
      <c r="B1415" s="7">
        <f>_xlfn.XLOOKUP(Jnl[[#This Row],[TrxId]], Trx[Id], Trx[Date],,0)</f>
        <v>46081</v>
      </c>
      <c r="C1415" s="7" t="str">
        <f>_xlfn.XLOOKUP(Jnl[[#This Row],[TrxId]], Trx[Id], Trx[Division],,0)</f>
        <v>MY</v>
      </c>
      <c r="D1415" s="7" t="str">
        <f>_xlfn.XLOOKUP(Jnl[[#This Row],[TrxId]], Trx[Id], Trx[Action],,0)</f>
        <v>库存摊销</v>
      </c>
      <c r="E1415" s="26" t="s">
        <v>80</v>
      </c>
      <c r="F1415" s="11" t="s">
        <v>598</v>
      </c>
      <c r="G1415" s="11" t="s">
        <v>151</v>
      </c>
      <c r="H1415" s="72">
        <f>-81152.03*0.5</f>
        <v>-40576.014999999999</v>
      </c>
      <c r="I1415" s="5" t="b">
        <f>AND(Jnl[[#This Row],[TrxId]]&lt;&gt;"",Jnl[[#This Row],[Acct]]&lt;&gt;"",Jnl[[#This Row],[Item]]&lt;&gt;"",ISNUMBER(Jnl[[#This Row],[Bal]]))</f>
        <v>1</v>
      </c>
      <c r="J1415" s="10">
        <f>IF(Jnl[[#This Row],[BSLv0]]="A",1,-1)*Jnl[[#This Row],[Bal]]</f>
        <v>-40576.014999999999</v>
      </c>
      <c r="K1415" t="str">
        <f>_xlfn.XLOOKUP(Jnl[[#This Row],[Acct]], config_BS[Acct], config_BS[Lv0],,0)</f>
        <v>A</v>
      </c>
      <c r="L1415" t="str">
        <f>_xlfn.XLOOKUP(Jnl[[#This Row],[Acct]], config_BS[Acct], config_BS[Lv1],,0)</f>
        <v>Assets</v>
      </c>
      <c r="M1415" t="str">
        <f>_xlfn.XLOOKUP(Jnl[[#This Row],[Acct]], config_BS[Acct], config_BS[Lv2],,0)</f>
        <v>Invtr</v>
      </c>
      <c r="N1415" t="str">
        <f>_xlfn.XLOOKUP(Jnl[[#This Row],[TrxId]], Trx[Id], Trx[IncNode], ,0)</f>
        <v>Cost</v>
      </c>
      <c r="O1415" t="str">
        <f>_xlfn.XLOOKUP(Jnl[[#This Row],[IncNode]], config_IS[Node], config_IS[Type],,0)</f>
        <v>Op</v>
      </c>
      <c r="P1415" t="str">
        <f>_xlfn.XLOOKUP(Jnl[[#This Row],[BSLv2]], dict[Key], dict[Name],,0)</f>
        <v>3.库存占款</v>
      </c>
      <c r="Q1415" t="str">
        <f>_xlfn.XLOOKUP(Jnl[[#This Row],[Acct]], dict[Key], dict[Name],,0)</f>
        <v>当期存货</v>
      </c>
      <c r="R1415" t="str">
        <f>_xlfn.XLOOKUP(Jnl[[#This Row],[Vehicle]],config_vehicle[Id], config_vehicle[Name],,0)</f>
        <v>远家花园</v>
      </c>
      <c r="S1415" t="str">
        <f>_xlfn.XLOOKUP(Jnl[[#This Row],[Division]],config_div[Id], config_div[Name],,0)</f>
        <v>明月村</v>
      </c>
      <c r="T1415" t="str">
        <f>IF(Jnl[[#This Row],[TrxDate]]&lt;=stmt_BS_date_end, "In", "Out")</f>
        <v>In</v>
      </c>
      <c r="U1415" t="str">
        <f>IF(Jnl[[#This Row],[TrxDate]]&lt;debug_date_start, "prior", IF(Jnl[[#This Row],[TrxDate]]&gt;debug_date_end, "post", "curr"))</f>
        <v>curr</v>
      </c>
    </row>
    <row r="1416" spans="1:21">
      <c r="A1416" s="11" t="s">
        <v>1811</v>
      </c>
      <c r="B1416" s="7">
        <f>_xlfn.XLOOKUP(Jnl[[#This Row],[TrxId]], Trx[Id], Trx[Date],,0)</f>
        <v>46081</v>
      </c>
      <c r="C1416" s="7" t="str">
        <f>_xlfn.XLOOKUP(Jnl[[#This Row],[TrxId]], Trx[Id], Trx[Division],,0)</f>
        <v>Online</v>
      </c>
      <c r="D1416" s="7" t="str">
        <f>_xlfn.XLOOKUP(Jnl[[#This Row],[TrxId]], Trx[Id], Trx[Action],,0)</f>
        <v>采购</v>
      </c>
      <c r="E1416" s="26" t="s">
        <v>80</v>
      </c>
      <c r="F1416" s="11" t="s">
        <v>598</v>
      </c>
      <c r="G1416" s="11" t="s">
        <v>151</v>
      </c>
      <c r="H1416" s="72">
        <v>4345.8</v>
      </c>
      <c r="I1416" s="5" t="b">
        <f>AND(Jnl[[#This Row],[TrxId]]&lt;&gt;"",Jnl[[#This Row],[Acct]]&lt;&gt;"",Jnl[[#This Row],[Item]]&lt;&gt;"",ISNUMBER(Jnl[[#This Row],[Bal]]))</f>
        <v>1</v>
      </c>
      <c r="J1416" s="10">
        <f>IF(Jnl[[#This Row],[BSLv0]]="A",1,-1)*Jnl[[#This Row],[Bal]]</f>
        <v>4345.8</v>
      </c>
      <c r="K1416" t="str">
        <f>_xlfn.XLOOKUP(Jnl[[#This Row],[Acct]], config_BS[Acct], config_BS[Lv0],,0)</f>
        <v>A</v>
      </c>
      <c r="L1416" t="str">
        <f>_xlfn.XLOOKUP(Jnl[[#This Row],[Acct]], config_BS[Acct], config_BS[Lv1],,0)</f>
        <v>Assets</v>
      </c>
      <c r="M1416" t="str">
        <f>_xlfn.XLOOKUP(Jnl[[#This Row],[Acct]], config_BS[Acct], config_BS[Lv2],,0)</f>
        <v>Invtr</v>
      </c>
      <c r="N1416" t="str">
        <f>_xlfn.XLOOKUP(Jnl[[#This Row],[TrxId]], Trx[Id], Trx[IncNode], ,0)</f>
        <v>Cost</v>
      </c>
      <c r="O1416" t="str">
        <f>_xlfn.XLOOKUP(Jnl[[#This Row],[IncNode]], config_IS[Node], config_IS[Type],,0)</f>
        <v>Op</v>
      </c>
      <c r="P1416" t="str">
        <f>_xlfn.XLOOKUP(Jnl[[#This Row],[BSLv2]], dict[Key], dict[Name],,0)</f>
        <v>3.库存占款</v>
      </c>
      <c r="Q1416" t="str">
        <f>_xlfn.XLOOKUP(Jnl[[#This Row],[Acct]], dict[Key], dict[Name],,0)</f>
        <v>当期存货</v>
      </c>
      <c r="R1416" t="str">
        <f>_xlfn.XLOOKUP(Jnl[[#This Row],[Vehicle]],config_vehicle[Id], config_vehicle[Name],,0)</f>
        <v>远家花园</v>
      </c>
      <c r="S1416" t="str">
        <f>_xlfn.XLOOKUP(Jnl[[#This Row],[Division]],config_div[Id], config_div[Name],,0)</f>
        <v>网店</v>
      </c>
      <c r="T1416" t="str">
        <f>IF(Jnl[[#This Row],[TrxDate]]&lt;=stmt_BS_date_end, "In", "Out")</f>
        <v>In</v>
      </c>
      <c r="U1416" t="str">
        <f>IF(Jnl[[#This Row],[TrxDate]]&lt;debug_date_start, "prior", IF(Jnl[[#This Row],[TrxDate]]&gt;debug_date_end, "post", "curr"))</f>
        <v>curr</v>
      </c>
    </row>
    <row r="1417" spans="1:21">
      <c r="A1417" s="11" t="s">
        <v>1811</v>
      </c>
      <c r="B1417" s="7">
        <f>_xlfn.XLOOKUP(Jnl[[#This Row],[TrxId]], Trx[Id], Trx[Date],,0)</f>
        <v>46081</v>
      </c>
      <c r="C1417" s="7" t="str">
        <f>_xlfn.XLOOKUP(Jnl[[#This Row],[TrxId]], Trx[Id], Trx[Division],,0)</f>
        <v>Online</v>
      </c>
      <c r="D1417" s="7" t="str">
        <f>_xlfn.XLOOKUP(Jnl[[#This Row],[TrxId]], Trx[Id], Trx[Action],,0)</f>
        <v>采购</v>
      </c>
      <c r="E1417" s="26" t="s">
        <v>80</v>
      </c>
      <c r="F1417" s="11" t="s">
        <v>590</v>
      </c>
      <c r="G1417" s="11" t="s">
        <v>391</v>
      </c>
      <c r="H1417" s="72">
        <v>-4345.8</v>
      </c>
      <c r="I1417" s="5" t="b">
        <f>AND(Jnl[[#This Row],[TrxId]]&lt;&gt;"",Jnl[[#This Row],[Acct]]&lt;&gt;"",Jnl[[#This Row],[Item]]&lt;&gt;"",ISNUMBER(Jnl[[#This Row],[Bal]]))</f>
        <v>1</v>
      </c>
      <c r="J1417" s="10">
        <f>IF(Jnl[[#This Row],[BSLv0]]="A",1,-1)*Jnl[[#This Row],[Bal]]</f>
        <v>-4345.8</v>
      </c>
      <c r="K1417" t="str">
        <f>_xlfn.XLOOKUP(Jnl[[#This Row],[Acct]], config_BS[Acct], config_BS[Lv0],,0)</f>
        <v>A</v>
      </c>
      <c r="L1417" t="str">
        <f>_xlfn.XLOOKUP(Jnl[[#This Row],[Acct]], config_BS[Acct], config_BS[Lv1],,0)</f>
        <v>Assets</v>
      </c>
      <c r="M1417" t="str">
        <f>_xlfn.XLOOKUP(Jnl[[#This Row],[Acct]], config_BS[Acct], config_BS[Lv2],,0)</f>
        <v>Cash alike</v>
      </c>
      <c r="N1417" t="str">
        <f>_xlfn.XLOOKUP(Jnl[[#This Row],[TrxId]], Trx[Id], Trx[IncNode], ,0)</f>
        <v>Cost</v>
      </c>
      <c r="O1417" t="str">
        <f>_xlfn.XLOOKUP(Jnl[[#This Row],[IncNode]], config_IS[Node], config_IS[Type],,0)</f>
        <v>Op</v>
      </c>
      <c r="P1417" t="str">
        <f>_xlfn.XLOOKUP(Jnl[[#This Row],[BSLv2]], dict[Key], dict[Name],,0)</f>
        <v>0.现金及类似</v>
      </c>
      <c r="Q1417" t="str">
        <f>_xlfn.XLOOKUP(Jnl[[#This Row],[Acct]], dict[Key], dict[Name],,0)</f>
        <v>银行</v>
      </c>
      <c r="R1417" t="str">
        <f>_xlfn.XLOOKUP(Jnl[[#This Row],[Vehicle]],config_vehicle[Id], config_vehicle[Name],,0)</f>
        <v>远家花园</v>
      </c>
      <c r="S1417" t="str">
        <f>_xlfn.XLOOKUP(Jnl[[#This Row],[Division]],config_div[Id], config_div[Name],,0)</f>
        <v>网店</v>
      </c>
      <c r="T1417" t="str">
        <f>IF(Jnl[[#This Row],[TrxDate]]&lt;=stmt_BS_date_end, "In", "Out")</f>
        <v>In</v>
      </c>
      <c r="U1417" t="str">
        <f>IF(Jnl[[#This Row],[TrxDate]]&lt;debug_date_start, "prior", IF(Jnl[[#This Row],[TrxDate]]&gt;debug_date_end, "post", "curr"))</f>
        <v>curr</v>
      </c>
    </row>
    <row r="1418" spans="1:21">
      <c r="A1418" s="11" t="s">
        <v>1812</v>
      </c>
      <c r="B1418" s="7">
        <f>_xlfn.XLOOKUP(Jnl[[#This Row],[TrxId]], Trx[Id], Trx[Date],,0)</f>
        <v>46081</v>
      </c>
      <c r="C1418" s="7" t="str">
        <f>_xlfn.XLOOKUP(Jnl[[#This Row],[TrxId]], Trx[Id], Trx[Division],,0)</f>
        <v>Online</v>
      </c>
      <c r="D1418" s="7" t="str">
        <f>_xlfn.XLOOKUP(Jnl[[#This Row],[TrxId]], Trx[Id], Trx[Action],,0)</f>
        <v>采购</v>
      </c>
      <c r="E1418" s="26" t="s">
        <v>80</v>
      </c>
      <c r="F1418" s="11" t="s">
        <v>598</v>
      </c>
      <c r="G1418" s="11" t="s">
        <v>151</v>
      </c>
      <c r="H1418" s="72">
        <v>4715</v>
      </c>
      <c r="I1418" s="5" t="b">
        <f>AND(Jnl[[#This Row],[TrxId]]&lt;&gt;"",Jnl[[#This Row],[Acct]]&lt;&gt;"",Jnl[[#This Row],[Item]]&lt;&gt;"",ISNUMBER(Jnl[[#This Row],[Bal]]))</f>
        <v>1</v>
      </c>
      <c r="J1418" s="10">
        <f>IF(Jnl[[#This Row],[BSLv0]]="A",1,-1)*Jnl[[#This Row],[Bal]]</f>
        <v>4715</v>
      </c>
      <c r="K1418" t="str">
        <f>_xlfn.XLOOKUP(Jnl[[#This Row],[Acct]], config_BS[Acct], config_BS[Lv0],,0)</f>
        <v>A</v>
      </c>
      <c r="L1418" t="str">
        <f>_xlfn.XLOOKUP(Jnl[[#This Row],[Acct]], config_BS[Acct], config_BS[Lv1],,0)</f>
        <v>Assets</v>
      </c>
      <c r="M1418" t="str">
        <f>_xlfn.XLOOKUP(Jnl[[#This Row],[Acct]], config_BS[Acct], config_BS[Lv2],,0)</f>
        <v>Invtr</v>
      </c>
      <c r="N1418" t="str">
        <f>_xlfn.XLOOKUP(Jnl[[#This Row],[TrxId]], Trx[Id], Trx[IncNode], ,0)</f>
        <v>Cost</v>
      </c>
      <c r="O1418" t="str">
        <f>_xlfn.XLOOKUP(Jnl[[#This Row],[IncNode]], config_IS[Node], config_IS[Type],,0)</f>
        <v>Op</v>
      </c>
      <c r="P1418" t="str">
        <f>_xlfn.XLOOKUP(Jnl[[#This Row],[BSLv2]], dict[Key], dict[Name],,0)</f>
        <v>3.库存占款</v>
      </c>
      <c r="Q1418" t="str">
        <f>_xlfn.XLOOKUP(Jnl[[#This Row],[Acct]], dict[Key], dict[Name],,0)</f>
        <v>当期存货</v>
      </c>
      <c r="R1418" t="str">
        <f>_xlfn.XLOOKUP(Jnl[[#This Row],[Vehicle]],config_vehicle[Id], config_vehicle[Name],,0)</f>
        <v>远家花园</v>
      </c>
      <c r="S1418" t="str">
        <f>_xlfn.XLOOKUP(Jnl[[#This Row],[Division]],config_div[Id], config_div[Name],,0)</f>
        <v>网店</v>
      </c>
      <c r="T1418" t="str">
        <f>IF(Jnl[[#This Row],[TrxDate]]&lt;=stmt_BS_date_end, "In", "Out")</f>
        <v>In</v>
      </c>
      <c r="U1418" t="str">
        <f>IF(Jnl[[#This Row],[TrxDate]]&lt;debug_date_start, "prior", IF(Jnl[[#This Row],[TrxDate]]&gt;debug_date_end, "post", "curr"))</f>
        <v>curr</v>
      </c>
    </row>
    <row r="1419" spans="1:21">
      <c r="A1419" s="11" t="s">
        <v>1812</v>
      </c>
      <c r="B1419" s="7">
        <f>_xlfn.XLOOKUP(Jnl[[#This Row],[TrxId]], Trx[Id], Trx[Date],,0)</f>
        <v>46081</v>
      </c>
      <c r="C1419" s="7" t="str">
        <f>_xlfn.XLOOKUP(Jnl[[#This Row],[TrxId]], Trx[Id], Trx[Division],,0)</f>
        <v>Online</v>
      </c>
      <c r="D1419" s="7" t="str">
        <f>_xlfn.XLOOKUP(Jnl[[#This Row],[TrxId]], Trx[Id], Trx[Action],,0)</f>
        <v>采购</v>
      </c>
      <c r="E1419" s="26" t="s">
        <v>80</v>
      </c>
      <c r="F1419" s="11" t="s">
        <v>590</v>
      </c>
      <c r="G1419" s="11" t="s">
        <v>391</v>
      </c>
      <c r="H1419" s="72">
        <v>-4715</v>
      </c>
      <c r="I1419" s="5" t="b">
        <f>AND(Jnl[[#This Row],[TrxId]]&lt;&gt;"",Jnl[[#This Row],[Acct]]&lt;&gt;"",Jnl[[#This Row],[Item]]&lt;&gt;"",ISNUMBER(Jnl[[#This Row],[Bal]]))</f>
        <v>1</v>
      </c>
      <c r="J1419" s="10">
        <f>IF(Jnl[[#This Row],[BSLv0]]="A",1,-1)*Jnl[[#This Row],[Bal]]</f>
        <v>-4715</v>
      </c>
      <c r="K1419" t="str">
        <f>_xlfn.XLOOKUP(Jnl[[#This Row],[Acct]], config_BS[Acct], config_BS[Lv0],,0)</f>
        <v>A</v>
      </c>
      <c r="L1419" t="str">
        <f>_xlfn.XLOOKUP(Jnl[[#This Row],[Acct]], config_BS[Acct], config_BS[Lv1],,0)</f>
        <v>Assets</v>
      </c>
      <c r="M1419" t="str">
        <f>_xlfn.XLOOKUP(Jnl[[#This Row],[Acct]], config_BS[Acct], config_BS[Lv2],,0)</f>
        <v>Cash alike</v>
      </c>
      <c r="N1419" t="str">
        <f>_xlfn.XLOOKUP(Jnl[[#This Row],[TrxId]], Trx[Id], Trx[IncNode], ,0)</f>
        <v>Cost</v>
      </c>
      <c r="O1419" t="str">
        <f>_xlfn.XLOOKUP(Jnl[[#This Row],[IncNode]], config_IS[Node], config_IS[Type],,0)</f>
        <v>Op</v>
      </c>
      <c r="P1419" t="str">
        <f>_xlfn.XLOOKUP(Jnl[[#This Row],[BSLv2]], dict[Key], dict[Name],,0)</f>
        <v>0.现金及类似</v>
      </c>
      <c r="Q1419" t="str">
        <f>_xlfn.XLOOKUP(Jnl[[#This Row],[Acct]], dict[Key], dict[Name],,0)</f>
        <v>银行</v>
      </c>
      <c r="R1419" t="str">
        <f>_xlfn.XLOOKUP(Jnl[[#This Row],[Vehicle]],config_vehicle[Id], config_vehicle[Name],,0)</f>
        <v>远家花园</v>
      </c>
      <c r="S1419" t="str">
        <f>_xlfn.XLOOKUP(Jnl[[#This Row],[Division]],config_div[Id], config_div[Name],,0)</f>
        <v>网店</v>
      </c>
      <c r="T1419" t="str">
        <f>IF(Jnl[[#This Row],[TrxDate]]&lt;=stmt_BS_date_end, "In", "Out")</f>
        <v>In</v>
      </c>
      <c r="U1419" t="str">
        <f>IF(Jnl[[#This Row],[TrxDate]]&lt;debug_date_start, "prior", IF(Jnl[[#This Row],[TrxDate]]&gt;debug_date_end, "post", "curr"))</f>
        <v>curr</v>
      </c>
    </row>
    <row r="1420" spans="1:21">
      <c r="A1420" s="11" t="s">
        <v>1813</v>
      </c>
      <c r="B1420" s="7">
        <f>_xlfn.XLOOKUP(Jnl[[#This Row],[TrxId]], Trx[Id], Trx[Date],,0)</f>
        <v>46081</v>
      </c>
      <c r="C1420" s="7" t="str">
        <f>_xlfn.XLOOKUP(Jnl[[#This Row],[TrxId]], Trx[Id], Trx[Division],,0)</f>
        <v>GM</v>
      </c>
      <c r="D1420" s="7" t="str">
        <f>_xlfn.XLOOKUP(Jnl[[#This Row],[TrxId]], Trx[Id], Trx[Action],,0)</f>
        <v>薪酬-社保</v>
      </c>
      <c r="E1420" s="26" t="s">
        <v>80</v>
      </c>
      <c r="F1420" s="11" t="s">
        <v>595</v>
      </c>
      <c r="G1420" s="11" t="s">
        <v>344</v>
      </c>
      <c r="H1420" s="72">
        <v>24114.6</v>
      </c>
      <c r="I1420" s="5" t="b">
        <f>AND(Jnl[[#This Row],[TrxId]]&lt;&gt;"",Jnl[[#This Row],[Acct]]&lt;&gt;"",Jnl[[#This Row],[Item]]&lt;&gt;"",ISNUMBER(Jnl[[#This Row],[Bal]]))</f>
        <v>1</v>
      </c>
      <c r="J1420" s="10">
        <f>IF(Jnl[[#This Row],[BSLv0]]="A",1,-1)*Jnl[[#This Row],[Bal]]</f>
        <v>24114.6</v>
      </c>
      <c r="K1420" t="str">
        <f>_xlfn.XLOOKUP(Jnl[[#This Row],[Acct]], config_BS[Acct], config_BS[Lv0],,0)</f>
        <v>A</v>
      </c>
      <c r="L1420" t="str">
        <f>_xlfn.XLOOKUP(Jnl[[#This Row],[Acct]], config_BS[Acct], config_BS[Lv1],,0)</f>
        <v>Assets</v>
      </c>
      <c r="M1420" t="str">
        <f>_xlfn.XLOOKUP(Jnl[[#This Row],[Acct]], config_BS[Acct], config_BS[Lv2],,0)</f>
        <v>Rec-Pay</v>
      </c>
      <c r="N1420" t="str">
        <f>_xlfn.XLOOKUP(Jnl[[#This Row],[TrxId]], Trx[Id], Trx[IncNode], ,0)</f>
        <v>Expense</v>
      </c>
      <c r="O1420" t="str">
        <f>_xlfn.XLOOKUP(Jnl[[#This Row],[IncNode]], config_IS[Node], config_IS[Type],,0)</f>
        <v>Op</v>
      </c>
      <c r="P1420" t="str">
        <f>_xlfn.XLOOKUP(Jnl[[#This Row],[BSLv2]], dict[Key], dict[Name],,0)</f>
        <v>1.应收-应付</v>
      </c>
      <c r="Q1420" t="str">
        <f>_xlfn.XLOOKUP(Jnl[[#This Row],[Acct]], dict[Key], dict[Name],,0)</f>
        <v>应收-其他</v>
      </c>
      <c r="R1420" t="str">
        <f>_xlfn.XLOOKUP(Jnl[[#This Row],[Vehicle]],config_vehicle[Id], config_vehicle[Name],,0)</f>
        <v>远家花园</v>
      </c>
      <c r="S1420" t="str">
        <f>_xlfn.XLOOKUP(Jnl[[#This Row],[Division]],config_div[Id], config_div[Name],,0)</f>
        <v>综合管理</v>
      </c>
      <c r="T1420" t="str">
        <f>IF(Jnl[[#This Row],[TrxDate]]&lt;=stmt_BS_date_end, "In", "Out")</f>
        <v>In</v>
      </c>
      <c r="U1420" t="str">
        <f>IF(Jnl[[#This Row],[TrxDate]]&lt;debug_date_start, "prior", IF(Jnl[[#This Row],[TrxDate]]&gt;debug_date_end, "post", "curr"))</f>
        <v>curr</v>
      </c>
    </row>
    <row r="1421" spans="1:21">
      <c r="A1421" s="11" t="s">
        <v>1813</v>
      </c>
      <c r="B1421" s="7">
        <f>_xlfn.XLOOKUP(Jnl[[#This Row],[TrxId]], Trx[Id], Trx[Date],,0)</f>
        <v>46081</v>
      </c>
      <c r="C1421" s="7" t="str">
        <f>_xlfn.XLOOKUP(Jnl[[#This Row],[TrxId]], Trx[Id], Trx[Division],,0)</f>
        <v>GM</v>
      </c>
      <c r="D1421" s="7" t="str">
        <f>_xlfn.XLOOKUP(Jnl[[#This Row],[TrxId]], Trx[Id], Trx[Action],,0)</f>
        <v>薪酬-社保</v>
      </c>
      <c r="E1421" s="26" t="s">
        <v>80</v>
      </c>
      <c r="F1421" s="11" t="s">
        <v>590</v>
      </c>
      <c r="G1421" s="11" t="s">
        <v>391</v>
      </c>
      <c r="H1421" s="72">
        <v>-82369.64</v>
      </c>
      <c r="I1421" s="5" t="b">
        <f>AND(Jnl[[#This Row],[TrxId]]&lt;&gt;"",Jnl[[#This Row],[Acct]]&lt;&gt;"",Jnl[[#This Row],[Item]]&lt;&gt;"",ISNUMBER(Jnl[[#This Row],[Bal]]))</f>
        <v>1</v>
      </c>
      <c r="J1421" s="10">
        <f>IF(Jnl[[#This Row],[BSLv0]]="A",1,-1)*Jnl[[#This Row],[Bal]]</f>
        <v>-82369.64</v>
      </c>
      <c r="K1421" t="str">
        <f>_xlfn.XLOOKUP(Jnl[[#This Row],[Acct]], config_BS[Acct], config_BS[Lv0],,0)</f>
        <v>A</v>
      </c>
      <c r="L1421" t="str">
        <f>_xlfn.XLOOKUP(Jnl[[#This Row],[Acct]], config_BS[Acct], config_BS[Lv1],,0)</f>
        <v>Assets</v>
      </c>
      <c r="M1421" t="str">
        <f>_xlfn.XLOOKUP(Jnl[[#This Row],[Acct]], config_BS[Acct], config_BS[Lv2],,0)</f>
        <v>Cash alike</v>
      </c>
      <c r="N1421" t="str">
        <f>_xlfn.XLOOKUP(Jnl[[#This Row],[TrxId]], Trx[Id], Trx[IncNode], ,0)</f>
        <v>Expense</v>
      </c>
      <c r="O1421" t="str">
        <f>_xlfn.XLOOKUP(Jnl[[#This Row],[IncNode]], config_IS[Node], config_IS[Type],,0)</f>
        <v>Op</v>
      </c>
      <c r="P1421" t="str">
        <f>_xlfn.XLOOKUP(Jnl[[#This Row],[BSLv2]], dict[Key], dict[Name],,0)</f>
        <v>0.现金及类似</v>
      </c>
      <c r="Q1421" t="str">
        <f>_xlfn.XLOOKUP(Jnl[[#This Row],[Acct]], dict[Key], dict[Name],,0)</f>
        <v>银行</v>
      </c>
      <c r="R1421" t="str">
        <f>_xlfn.XLOOKUP(Jnl[[#This Row],[Vehicle]],config_vehicle[Id], config_vehicle[Name],,0)</f>
        <v>远家花园</v>
      </c>
      <c r="S1421" t="str">
        <f>_xlfn.XLOOKUP(Jnl[[#This Row],[Division]],config_div[Id], config_div[Name],,0)</f>
        <v>综合管理</v>
      </c>
      <c r="T1421" t="str">
        <f>IF(Jnl[[#This Row],[TrxDate]]&lt;=stmt_BS_date_end, "In", "Out")</f>
        <v>In</v>
      </c>
      <c r="U1421" t="str">
        <f>IF(Jnl[[#This Row],[TrxDate]]&lt;debug_date_start, "prior", IF(Jnl[[#This Row],[TrxDate]]&gt;debug_date_end, "post", "curr"))</f>
        <v>curr</v>
      </c>
    </row>
    <row r="1422" spans="1:21">
      <c r="A1422" s="11" t="s">
        <v>1814</v>
      </c>
      <c r="B1422" s="7">
        <f>_xlfn.XLOOKUP(Jnl[[#This Row],[TrxId]], Trx[Id], Trx[Date],,0)</f>
        <v>46081</v>
      </c>
      <c r="C1422" s="7" t="str">
        <f>_xlfn.XLOOKUP(Jnl[[#This Row],[TrxId]], Trx[Id], Trx[Division],,0)</f>
        <v>Online</v>
      </c>
      <c r="D1422" s="7" t="str">
        <f>_xlfn.XLOOKUP(Jnl[[#This Row],[TrxId]], Trx[Id], Trx[Action],,0)</f>
        <v>招待</v>
      </c>
      <c r="E1422" s="26" t="s">
        <v>80</v>
      </c>
      <c r="F1422" s="11" t="s">
        <v>590</v>
      </c>
      <c r="G1422" s="11" t="s">
        <v>391</v>
      </c>
      <c r="H1422" s="72">
        <v>-113.91</v>
      </c>
      <c r="I1422" s="5" t="b">
        <f>AND(Jnl[[#This Row],[TrxId]]&lt;&gt;"",Jnl[[#This Row],[Acct]]&lt;&gt;"",Jnl[[#This Row],[Item]]&lt;&gt;"",ISNUMBER(Jnl[[#This Row],[Bal]]))</f>
        <v>1</v>
      </c>
      <c r="J1422" s="10">
        <f>IF(Jnl[[#This Row],[BSLv0]]="A",1,-1)*Jnl[[#This Row],[Bal]]</f>
        <v>-113.91</v>
      </c>
      <c r="K1422" t="str">
        <f>_xlfn.XLOOKUP(Jnl[[#This Row],[Acct]], config_BS[Acct], config_BS[Lv0],,0)</f>
        <v>A</v>
      </c>
      <c r="L1422" t="str">
        <f>_xlfn.XLOOKUP(Jnl[[#This Row],[Acct]], config_BS[Acct], config_BS[Lv1],,0)</f>
        <v>Assets</v>
      </c>
      <c r="M1422" t="str">
        <f>_xlfn.XLOOKUP(Jnl[[#This Row],[Acct]], config_BS[Acct], config_BS[Lv2],,0)</f>
        <v>Cash alike</v>
      </c>
      <c r="N1422" t="str">
        <f>_xlfn.XLOOKUP(Jnl[[#This Row],[TrxId]], Trx[Id], Trx[IncNode], ,0)</f>
        <v>Expense</v>
      </c>
      <c r="O1422" t="str">
        <f>_xlfn.XLOOKUP(Jnl[[#This Row],[IncNode]], config_IS[Node], config_IS[Type],,0)</f>
        <v>Op</v>
      </c>
      <c r="P1422" t="str">
        <f>_xlfn.XLOOKUP(Jnl[[#This Row],[BSLv2]], dict[Key], dict[Name],,0)</f>
        <v>0.现金及类似</v>
      </c>
      <c r="Q1422" t="str">
        <f>_xlfn.XLOOKUP(Jnl[[#This Row],[Acct]], dict[Key], dict[Name],,0)</f>
        <v>银行</v>
      </c>
      <c r="R1422" t="str">
        <f>_xlfn.XLOOKUP(Jnl[[#This Row],[Vehicle]],config_vehicle[Id], config_vehicle[Name],,0)</f>
        <v>远家花园</v>
      </c>
      <c r="S1422" t="str">
        <f>_xlfn.XLOOKUP(Jnl[[#This Row],[Division]],config_div[Id], config_div[Name],,0)</f>
        <v>网店</v>
      </c>
      <c r="T1422" t="str">
        <f>IF(Jnl[[#This Row],[TrxDate]]&lt;=stmt_BS_date_end, "In", "Out")</f>
        <v>In</v>
      </c>
      <c r="U1422" t="str">
        <f>IF(Jnl[[#This Row],[TrxDate]]&lt;debug_date_start, "prior", IF(Jnl[[#This Row],[TrxDate]]&gt;debug_date_end, "post", "curr"))</f>
        <v>curr</v>
      </c>
    </row>
    <row r="1423" spans="1:21">
      <c r="A1423" s="11" t="s">
        <v>1817</v>
      </c>
      <c r="B1423" s="7">
        <f>_xlfn.XLOOKUP(Jnl[[#This Row],[TrxId]], Trx[Id], Trx[Date],,0)</f>
        <v>46081</v>
      </c>
      <c r="C1423" s="7" t="str">
        <f>_xlfn.XLOOKUP(Jnl[[#This Row],[TrxId]], Trx[Id], Trx[Division],,0)</f>
        <v>Online</v>
      </c>
      <c r="D1423" s="7" t="str">
        <f>_xlfn.XLOOKUP(Jnl[[#This Row],[TrxId]], Trx[Id], Trx[Action],,0)</f>
        <v>交通</v>
      </c>
      <c r="E1423" s="26" t="s">
        <v>80</v>
      </c>
      <c r="F1423" s="11" t="s">
        <v>590</v>
      </c>
      <c r="G1423" s="11" t="s">
        <v>391</v>
      </c>
      <c r="H1423" s="72">
        <v>-329.94</v>
      </c>
      <c r="I1423" s="5" t="b">
        <f>AND(Jnl[[#This Row],[TrxId]]&lt;&gt;"",Jnl[[#This Row],[Acct]]&lt;&gt;"",Jnl[[#This Row],[Item]]&lt;&gt;"",ISNUMBER(Jnl[[#This Row],[Bal]]))</f>
        <v>1</v>
      </c>
      <c r="J1423" s="10">
        <f>IF(Jnl[[#This Row],[BSLv0]]="A",1,-1)*Jnl[[#This Row],[Bal]]</f>
        <v>-329.94</v>
      </c>
      <c r="K1423" t="str">
        <f>_xlfn.XLOOKUP(Jnl[[#This Row],[Acct]], config_BS[Acct], config_BS[Lv0],,0)</f>
        <v>A</v>
      </c>
      <c r="L1423" t="str">
        <f>_xlfn.XLOOKUP(Jnl[[#This Row],[Acct]], config_BS[Acct], config_BS[Lv1],,0)</f>
        <v>Assets</v>
      </c>
      <c r="M1423" t="str">
        <f>_xlfn.XLOOKUP(Jnl[[#This Row],[Acct]], config_BS[Acct], config_BS[Lv2],,0)</f>
        <v>Cash alike</v>
      </c>
      <c r="N1423" t="str">
        <f>_xlfn.XLOOKUP(Jnl[[#This Row],[TrxId]], Trx[Id], Trx[IncNode], ,0)</f>
        <v>Expense</v>
      </c>
      <c r="O1423" t="str">
        <f>_xlfn.XLOOKUP(Jnl[[#This Row],[IncNode]], config_IS[Node], config_IS[Type],,0)</f>
        <v>Op</v>
      </c>
      <c r="P1423" t="str">
        <f>_xlfn.XLOOKUP(Jnl[[#This Row],[BSLv2]], dict[Key], dict[Name],,0)</f>
        <v>0.现金及类似</v>
      </c>
      <c r="Q1423" t="str">
        <f>_xlfn.XLOOKUP(Jnl[[#This Row],[Acct]], dict[Key], dict[Name],,0)</f>
        <v>银行</v>
      </c>
      <c r="R1423" t="str">
        <f>_xlfn.XLOOKUP(Jnl[[#This Row],[Vehicle]],config_vehicle[Id], config_vehicle[Name],,0)</f>
        <v>远家花园</v>
      </c>
      <c r="S1423" t="str">
        <f>_xlfn.XLOOKUP(Jnl[[#This Row],[Division]],config_div[Id], config_div[Name],,0)</f>
        <v>网店</v>
      </c>
      <c r="T1423" t="str">
        <f>IF(Jnl[[#This Row],[TrxDate]]&lt;=stmt_BS_date_end, "In", "Out")</f>
        <v>In</v>
      </c>
      <c r="U1423" t="str">
        <f>IF(Jnl[[#This Row],[TrxDate]]&lt;debug_date_start, "prior", IF(Jnl[[#This Row],[TrxDate]]&gt;debug_date_end, "post", "curr"))</f>
        <v>curr</v>
      </c>
    </row>
    <row r="1424" spans="1:21">
      <c r="A1424" s="11" t="s">
        <v>1819</v>
      </c>
      <c r="B1424" s="7">
        <f>_xlfn.XLOOKUP(Jnl[[#This Row],[TrxId]], Trx[Id], Trx[Date],,0)</f>
        <v>46081</v>
      </c>
      <c r="C1424" s="7" t="str">
        <f>_xlfn.XLOOKUP(Jnl[[#This Row],[TrxId]], Trx[Id], Trx[Division],,0)</f>
        <v>Online</v>
      </c>
      <c r="D1424" s="7" t="str">
        <f>_xlfn.XLOOKUP(Jnl[[#This Row],[TrxId]], Trx[Id], Trx[Action],,0)</f>
        <v>采购</v>
      </c>
      <c r="E1424" s="26" t="s">
        <v>80</v>
      </c>
      <c r="F1424" s="11" t="s">
        <v>598</v>
      </c>
      <c r="G1424" s="11" t="s">
        <v>151</v>
      </c>
      <c r="H1424" s="72">
        <v>10106</v>
      </c>
      <c r="I1424" s="5" t="b">
        <f>AND(Jnl[[#This Row],[TrxId]]&lt;&gt;"",Jnl[[#This Row],[Acct]]&lt;&gt;"",Jnl[[#This Row],[Item]]&lt;&gt;"",ISNUMBER(Jnl[[#This Row],[Bal]]))</f>
        <v>1</v>
      </c>
      <c r="J1424" s="10">
        <f>IF(Jnl[[#This Row],[BSLv0]]="A",1,-1)*Jnl[[#This Row],[Bal]]</f>
        <v>10106</v>
      </c>
      <c r="K1424" t="str">
        <f>_xlfn.XLOOKUP(Jnl[[#This Row],[Acct]], config_BS[Acct], config_BS[Lv0],,0)</f>
        <v>A</v>
      </c>
      <c r="L1424" t="str">
        <f>_xlfn.XLOOKUP(Jnl[[#This Row],[Acct]], config_BS[Acct], config_BS[Lv1],,0)</f>
        <v>Assets</v>
      </c>
      <c r="M1424" t="str">
        <f>_xlfn.XLOOKUP(Jnl[[#This Row],[Acct]], config_BS[Acct], config_BS[Lv2],,0)</f>
        <v>Invtr</v>
      </c>
      <c r="N1424" t="str">
        <f>_xlfn.XLOOKUP(Jnl[[#This Row],[TrxId]], Trx[Id], Trx[IncNode], ,0)</f>
        <v>Cost</v>
      </c>
      <c r="O1424" t="str">
        <f>_xlfn.XLOOKUP(Jnl[[#This Row],[IncNode]], config_IS[Node], config_IS[Type],,0)</f>
        <v>Op</v>
      </c>
      <c r="P1424" t="str">
        <f>_xlfn.XLOOKUP(Jnl[[#This Row],[BSLv2]], dict[Key], dict[Name],,0)</f>
        <v>3.库存占款</v>
      </c>
      <c r="Q1424" t="str">
        <f>_xlfn.XLOOKUP(Jnl[[#This Row],[Acct]], dict[Key], dict[Name],,0)</f>
        <v>当期存货</v>
      </c>
      <c r="R1424" t="str">
        <f>_xlfn.XLOOKUP(Jnl[[#This Row],[Vehicle]],config_vehicle[Id], config_vehicle[Name],,0)</f>
        <v>远家花园</v>
      </c>
      <c r="S1424" t="str">
        <f>_xlfn.XLOOKUP(Jnl[[#This Row],[Division]],config_div[Id], config_div[Name],,0)</f>
        <v>网店</v>
      </c>
      <c r="T1424" t="str">
        <f>IF(Jnl[[#This Row],[TrxDate]]&lt;=stmt_BS_date_end, "In", "Out")</f>
        <v>In</v>
      </c>
      <c r="U1424" t="str">
        <f>IF(Jnl[[#This Row],[TrxDate]]&lt;debug_date_start, "prior", IF(Jnl[[#This Row],[TrxDate]]&gt;debug_date_end, "post", "curr"))</f>
        <v>curr</v>
      </c>
    </row>
    <row r="1425" spans="1:21">
      <c r="A1425" s="11" t="s">
        <v>1819</v>
      </c>
      <c r="B1425" s="7">
        <f>_xlfn.XLOOKUP(Jnl[[#This Row],[TrxId]], Trx[Id], Trx[Date],,0)</f>
        <v>46081</v>
      </c>
      <c r="C1425" s="7" t="str">
        <f>_xlfn.XLOOKUP(Jnl[[#This Row],[TrxId]], Trx[Id], Trx[Division],,0)</f>
        <v>Online</v>
      </c>
      <c r="D1425" s="7" t="str">
        <f>_xlfn.XLOOKUP(Jnl[[#This Row],[TrxId]], Trx[Id], Trx[Action],,0)</f>
        <v>采购</v>
      </c>
      <c r="E1425" s="26" t="s">
        <v>80</v>
      </c>
      <c r="F1425" s="11" t="s">
        <v>590</v>
      </c>
      <c r="G1425" s="11" t="s">
        <v>391</v>
      </c>
      <c r="H1425" s="72">
        <v>-10106</v>
      </c>
      <c r="I1425" s="5" t="b">
        <f>AND(Jnl[[#This Row],[TrxId]]&lt;&gt;"",Jnl[[#This Row],[Acct]]&lt;&gt;"",Jnl[[#This Row],[Item]]&lt;&gt;"",ISNUMBER(Jnl[[#This Row],[Bal]]))</f>
        <v>1</v>
      </c>
      <c r="J1425" s="10">
        <f>IF(Jnl[[#This Row],[BSLv0]]="A",1,-1)*Jnl[[#This Row],[Bal]]</f>
        <v>-10106</v>
      </c>
      <c r="K1425" t="str">
        <f>_xlfn.XLOOKUP(Jnl[[#This Row],[Acct]], config_BS[Acct], config_BS[Lv0],,0)</f>
        <v>A</v>
      </c>
      <c r="L1425" t="str">
        <f>_xlfn.XLOOKUP(Jnl[[#This Row],[Acct]], config_BS[Acct], config_BS[Lv1],,0)</f>
        <v>Assets</v>
      </c>
      <c r="M1425" t="str">
        <f>_xlfn.XLOOKUP(Jnl[[#This Row],[Acct]], config_BS[Acct], config_BS[Lv2],,0)</f>
        <v>Cash alike</v>
      </c>
      <c r="N1425" t="str">
        <f>_xlfn.XLOOKUP(Jnl[[#This Row],[TrxId]], Trx[Id], Trx[IncNode], ,0)</f>
        <v>Cost</v>
      </c>
      <c r="O1425" t="str">
        <f>_xlfn.XLOOKUP(Jnl[[#This Row],[IncNode]], config_IS[Node], config_IS[Type],,0)</f>
        <v>Op</v>
      </c>
      <c r="P1425" t="str">
        <f>_xlfn.XLOOKUP(Jnl[[#This Row],[BSLv2]], dict[Key], dict[Name],,0)</f>
        <v>0.现金及类似</v>
      </c>
      <c r="Q1425" t="str">
        <f>_xlfn.XLOOKUP(Jnl[[#This Row],[Acct]], dict[Key], dict[Name],,0)</f>
        <v>银行</v>
      </c>
      <c r="R1425" t="str">
        <f>_xlfn.XLOOKUP(Jnl[[#This Row],[Vehicle]],config_vehicle[Id], config_vehicle[Name],,0)</f>
        <v>远家花园</v>
      </c>
      <c r="S1425" t="str">
        <f>_xlfn.XLOOKUP(Jnl[[#This Row],[Division]],config_div[Id], config_div[Name],,0)</f>
        <v>网店</v>
      </c>
      <c r="T1425" t="str">
        <f>IF(Jnl[[#This Row],[TrxDate]]&lt;=stmt_BS_date_end, "In", "Out")</f>
        <v>In</v>
      </c>
      <c r="U1425" t="str">
        <f>IF(Jnl[[#This Row],[TrxDate]]&lt;debug_date_start, "prior", IF(Jnl[[#This Row],[TrxDate]]&gt;debug_date_end, "post", "curr"))</f>
        <v>curr</v>
      </c>
    </row>
    <row r="1426" spans="1:21">
      <c r="A1426" s="11" t="s">
        <v>1820</v>
      </c>
      <c r="B1426" s="7">
        <f>_xlfn.XLOOKUP(Jnl[[#This Row],[TrxId]], Trx[Id], Trx[Date],,0)</f>
        <v>46081</v>
      </c>
      <c r="C1426" s="7" t="str">
        <f>_xlfn.XLOOKUP(Jnl[[#This Row],[TrxId]], Trx[Id], Trx[Division],,0)</f>
        <v>Online</v>
      </c>
      <c r="D1426" s="7" t="str">
        <f>_xlfn.XLOOKUP(Jnl[[#This Row],[TrxId]], Trx[Id], Trx[Action],,0)</f>
        <v>交通</v>
      </c>
      <c r="E1426" s="26" t="s">
        <v>80</v>
      </c>
      <c r="F1426" s="11" t="s">
        <v>590</v>
      </c>
      <c r="G1426" s="11" t="s">
        <v>391</v>
      </c>
      <c r="H1426" s="72">
        <v>-59.22</v>
      </c>
      <c r="I1426" s="5" t="b">
        <f>AND(Jnl[[#This Row],[TrxId]]&lt;&gt;"",Jnl[[#This Row],[Acct]]&lt;&gt;"",Jnl[[#This Row],[Item]]&lt;&gt;"",ISNUMBER(Jnl[[#This Row],[Bal]]))</f>
        <v>1</v>
      </c>
      <c r="J1426" s="10">
        <f>IF(Jnl[[#This Row],[BSLv0]]="A",1,-1)*Jnl[[#This Row],[Bal]]</f>
        <v>-59.22</v>
      </c>
      <c r="K1426" t="str">
        <f>_xlfn.XLOOKUP(Jnl[[#This Row],[Acct]], config_BS[Acct], config_BS[Lv0],,0)</f>
        <v>A</v>
      </c>
      <c r="L1426" t="str">
        <f>_xlfn.XLOOKUP(Jnl[[#This Row],[Acct]], config_BS[Acct], config_BS[Lv1],,0)</f>
        <v>Assets</v>
      </c>
      <c r="M1426" t="str">
        <f>_xlfn.XLOOKUP(Jnl[[#This Row],[Acct]], config_BS[Acct], config_BS[Lv2],,0)</f>
        <v>Cash alike</v>
      </c>
      <c r="N1426" t="str">
        <f>_xlfn.XLOOKUP(Jnl[[#This Row],[TrxId]], Trx[Id], Trx[IncNode], ,0)</f>
        <v>Expense</v>
      </c>
      <c r="O1426" t="str">
        <f>_xlfn.XLOOKUP(Jnl[[#This Row],[IncNode]], config_IS[Node], config_IS[Type],,0)</f>
        <v>Op</v>
      </c>
      <c r="P1426" t="str">
        <f>_xlfn.XLOOKUP(Jnl[[#This Row],[BSLv2]], dict[Key], dict[Name],,0)</f>
        <v>0.现金及类似</v>
      </c>
      <c r="Q1426" t="str">
        <f>_xlfn.XLOOKUP(Jnl[[#This Row],[Acct]], dict[Key], dict[Name],,0)</f>
        <v>银行</v>
      </c>
      <c r="R1426" t="str">
        <f>_xlfn.XLOOKUP(Jnl[[#This Row],[Vehicle]],config_vehicle[Id], config_vehicle[Name],,0)</f>
        <v>远家花园</v>
      </c>
      <c r="S1426" t="str">
        <f>_xlfn.XLOOKUP(Jnl[[#This Row],[Division]],config_div[Id], config_div[Name],,0)</f>
        <v>网店</v>
      </c>
      <c r="T1426" t="str">
        <f>IF(Jnl[[#This Row],[TrxDate]]&lt;=stmt_BS_date_end, "In", "Out")</f>
        <v>In</v>
      </c>
      <c r="U1426" t="str">
        <f>IF(Jnl[[#This Row],[TrxDate]]&lt;debug_date_start, "prior", IF(Jnl[[#This Row],[TrxDate]]&gt;debug_date_end, "post", "curr"))</f>
        <v>curr</v>
      </c>
    </row>
    <row r="1427" spans="1:21">
      <c r="A1427" s="11" t="s">
        <v>1821</v>
      </c>
      <c r="B1427" s="7">
        <f>_xlfn.XLOOKUP(Jnl[[#This Row],[TrxId]], Trx[Id], Trx[Date],,0)</f>
        <v>46081</v>
      </c>
      <c r="C1427" s="7" t="str">
        <f>_xlfn.XLOOKUP(Jnl[[#This Row],[TrxId]], Trx[Id], Trx[Division],,0)</f>
        <v>Online</v>
      </c>
      <c r="D1427" s="7" t="str">
        <f>_xlfn.XLOOKUP(Jnl[[#This Row],[TrxId]], Trx[Id], Trx[Action],,0)</f>
        <v>采购</v>
      </c>
      <c r="E1427" s="26" t="s">
        <v>80</v>
      </c>
      <c r="F1427" s="11" t="s">
        <v>598</v>
      </c>
      <c r="G1427" s="11" t="s">
        <v>151</v>
      </c>
      <c r="H1427" s="72">
        <v>20187.349999999999</v>
      </c>
      <c r="I1427" s="5" t="b">
        <f>AND(Jnl[[#This Row],[TrxId]]&lt;&gt;"",Jnl[[#This Row],[Acct]]&lt;&gt;"",Jnl[[#This Row],[Item]]&lt;&gt;"",ISNUMBER(Jnl[[#This Row],[Bal]]))</f>
        <v>1</v>
      </c>
      <c r="J1427" s="10">
        <f>IF(Jnl[[#This Row],[BSLv0]]="A",1,-1)*Jnl[[#This Row],[Bal]]</f>
        <v>20187.349999999999</v>
      </c>
      <c r="K1427" t="str">
        <f>_xlfn.XLOOKUP(Jnl[[#This Row],[Acct]], config_BS[Acct], config_BS[Lv0],,0)</f>
        <v>A</v>
      </c>
      <c r="L1427" t="str">
        <f>_xlfn.XLOOKUP(Jnl[[#This Row],[Acct]], config_BS[Acct], config_BS[Lv1],,0)</f>
        <v>Assets</v>
      </c>
      <c r="M1427" t="str">
        <f>_xlfn.XLOOKUP(Jnl[[#This Row],[Acct]], config_BS[Acct], config_BS[Lv2],,0)</f>
        <v>Invtr</v>
      </c>
      <c r="N1427" t="str">
        <f>_xlfn.XLOOKUP(Jnl[[#This Row],[TrxId]], Trx[Id], Trx[IncNode], ,0)</f>
        <v>Cost</v>
      </c>
      <c r="O1427" t="str">
        <f>_xlfn.XLOOKUP(Jnl[[#This Row],[IncNode]], config_IS[Node], config_IS[Type],,0)</f>
        <v>Op</v>
      </c>
      <c r="P1427" t="str">
        <f>_xlfn.XLOOKUP(Jnl[[#This Row],[BSLv2]], dict[Key], dict[Name],,0)</f>
        <v>3.库存占款</v>
      </c>
      <c r="Q1427" t="str">
        <f>_xlfn.XLOOKUP(Jnl[[#This Row],[Acct]], dict[Key], dict[Name],,0)</f>
        <v>当期存货</v>
      </c>
      <c r="R1427" t="str">
        <f>_xlfn.XLOOKUP(Jnl[[#This Row],[Vehicle]],config_vehicle[Id], config_vehicle[Name],,0)</f>
        <v>远家花园</v>
      </c>
      <c r="S1427" t="str">
        <f>_xlfn.XLOOKUP(Jnl[[#This Row],[Division]],config_div[Id], config_div[Name],,0)</f>
        <v>网店</v>
      </c>
      <c r="T1427" t="str">
        <f>IF(Jnl[[#This Row],[TrxDate]]&lt;=stmt_BS_date_end, "In", "Out")</f>
        <v>In</v>
      </c>
      <c r="U1427" t="str">
        <f>IF(Jnl[[#This Row],[TrxDate]]&lt;debug_date_start, "prior", IF(Jnl[[#This Row],[TrxDate]]&gt;debug_date_end, "post", "curr"))</f>
        <v>curr</v>
      </c>
    </row>
    <row r="1428" spans="1:21">
      <c r="A1428" s="11" t="s">
        <v>1821</v>
      </c>
      <c r="B1428" s="7">
        <f>_xlfn.XLOOKUP(Jnl[[#This Row],[TrxId]], Trx[Id], Trx[Date],,0)</f>
        <v>46081</v>
      </c>
      <c r="C1428" s="7" t="str">
        <f>_xlfn.XLOOKUP(Jnl[[#This Row],[TrxId]], Trx[Id], Trx[Division],,0)</f>
        <v>Online</v>
      </c>
      <c r="D1428" s="7" t="str">
        <f>_xlfn.XLOOKUP(Jnl[[#This Row],[TrxId]], Trx[Id], Trx[Action],,0)</f>
        <v>采购</v>
      </c>
      <c r="E1428" s="26" t="s">
        <v>80</v>
      </c>
      <c r="F1428" s="11" t="s">
        <v>590</v>
      </c>
      <c r="G1428" s="11" t="s">
        <v>391</v>
      </c>
      <c r="H1428" s="72">
        <v>-20187.349999999999</v>
      </c>
      <c r="I1428" s="5" t="b">
        <f>AND(Jnl[[#This Row],[TrxId]]&lt;&gt;"",Jnl[[#This Row],[Acct]]&lt;&gt;"",Jnl[[#This Row],[Item]]&lt;&gt;"",ISNUMBER(Jnl[[#This Row],[Bal]]))</f>
        <v>1</v>
      </c>
      <c r="J1428" s="10">
        <f>IF(Jnl[[#This Row],[BSLv0]]="A",1,-1)*Jnl[[#This Row],[Bal]]</f>
        <v>-20187.349999999999</v>
      </c>
      <c r="K1428" t="str">
        <f>_xlfn.XLOOKUP(Jnl[[#This Row],[Acct]], config_BS[Acct], config_BS[Lv0],,0)</f>
        <v>A</v>
      </c>
      <c r="L1428" t="str">
        <f>_xlfn.XLOOKUP(Jnl[[#This Row],[Acct]], config_BS[Acct], config_BS[Lv1],,0)</f>
        <v>Assets</v>
      </c>
      <c r="M1428" t="str">
        <f>_xlfn.XLOOKUP(Jnl[[#This Row],[Acct]], config_BS[Acct], config_BS[Lv2],,0)</f>
        <v>Cash alike</v>
      </c>
      <c r="N1428" t="str">
        <f>_xlfn.XLOOKUP(Jnl[[#This Row],[TrxId]], Trx[Id], Trx[IncNode], ,0)</f>
        <v>Cost</v>
      </c>
      <c r="O1428" t="str">
        <f>_xlfn.XLOOKUP(Jnl[[#This Row],[IncNode]], config_IS[Node], config_IS[Type],,0)</f>
        <v>Op</v>
      </c>
      <c r="P1428" t="str">
        <f>_xlfn.XLOOKUP(Jnl[[#This Row],[BSLv2]], dict[Key], dict[Name],,0)</f>
        <v>0.现金及类似</v>
      </c>
      <c r="Q1428" t="str">
        <f>_xlfn.XLOOKUP(Jnl[[#This Row],[Acct]], dict[Key], dict[Name],,0)</f>
        <v>银行</v>
      </c>
      <c r="R1428" t="str">
        <f>_xlfn.XLOOKUP(Jnl[[#This Row],[Vehicle]],config_vehicle[Id], config_vehicle[Name],,0)</f>
        <v>远家花园</v>
      </c>
      <c r="S1428" t="str">
        <f>_xlfn.XLOOKUP(Jnl[[#This Row],[Division]],config_div[Id], config_div[Name],,0)</f>
        <v>网店</v>
      </c>
      <c r="T1428" t="str">
        <f>IF(Jnl[[#This Row],[TrxDate]]&lt;=stmt_BS_date_end, "In", "Out")</f>
        <v>In</v>
      </c>
      <c r="U1428" t="str">
        <f>IF(Jnl[[#This Row],[TrxDate]]&lt;debug_date_start, "prior", IF(Jnl[[#This Row],[TrxDate]]&gt;debug_date_end, "post", "curr"))</f>
        <v>curr</v>
      </c>
    </row>
    <row r="1429" spans="1:21">
      <c r="A1429" s="11" t="s">
        <v>1822</v>
      </c>
      <c r="B1429" s="7">
        <f>_xlfn.XLOOKUP(Jnl[[#This Row],[TrxId]], Trx[Id], Trx[Date],,0)</f>
        <v>46081</v>
      </c>
      <c r="C1429" s="7" t="str">
        <f>_xlfn.XLOOKUP(Jnl[[#This Row],[TrxId]], Trx[Id], Trx[Division],,0)</f>
        <v>Online</v>
      </c>
      <c r="D1429" s="7" t="str">
        <f>_xlfn.XLOOKUP(Jnl[[#This Row],[TrxId]], Trx[Id], Trx[Action],,0)</f>
        <v>采购</v>
      </c>
      <c r="E1429" s="26" t="s">
        <v>80</v>
      </c>
      <c r="F1429" s="11" t="s">
        <v>598</v>
      </c>
      <c r="G1429" s="11" t="s">
        <v>151</v>
      </c>
      <c r="H1429" s="72">
        <v>12381</v>
      </c>
      <c r="I1429" s="5" t="b">
        <f>AND(Jnl[[#This Row],[TrxId]]&lt;&gt;"",Jnl[[#This Row],[Acct]]&lt;&gt;"",Jnl[[#This Row],[Item]]&lt;&gt;"",ISNUMBER(Jnl[[#This Row],[Bal]]))</f>
        <v>1</v>
      </c>
      <c r="J1429" s="10">
        <f>IF(Jnl[[#This Row],[BSLv0]]="A",1,-1)*Jnl[[#This Row],[Bal]]</f>
        <v>12381</v>
      </c>
      <c r="K1429" t="str">
        <f>_xlfn.XLOOKUP(Jnl[[#This Row],[Acct]], config_BS[Acct], config_BS[Lv0],,0)</f>
        <v>A</v>
      </c>
      <c r="L1429" t="str">
        <f>_xlfn.XLOOKUP(Jnl[[#This Row],[Acct]], config_BS[Acct], config_BS[Lv1],,0)</f>
        <v>Assets</v>
      </c>
      <c r="M1429" t="str">
        <f>_xlfn.XLOOKUP(Jnl[[#This Row],[Acct]], config_BS[Acct], config_BS[Lv2],,0)</f>
        <v>Invtr</v>
      </c>
      <c r="N1429" t="str">
        <f>_xlfn.XLOOKUP(Jnl[[#This Row],[TrxId]], Trx[Id], Trx[IncNode], ,0)</f>
        <v>Cost</v>
      </c>
      <c r="O1429" t="str">
        <f>_xlfn.XLOOKUP(Jnl[[#This Row],[IncNode]], config_IS[Node], config_IS[Type],,0)</f>
        <v>Op</v>
      </c>
      <c r="P1429" t="str">
        <f>_xlfn.XLOOKUP(Jnl[[#This Row],[BSLv2]], dict[Key], dict[Name],,0)</f>
        <v>3.库存占款</v>
      </c>
      <c r="Q1429" t="str">
        <f>_xlfn.XLOOKUP(Jnl[[#This Row],[Acct]], dict[Key], dict[Name],,0)</f>
        <v>当期存货</v>
      </c>
      <c r="R1429" t="str">
        <f>_xlfn.XLOOKUP(Jnl[[#This Row],[Vehicle]],config_vehicle[Id], config_vehicle[Name],,0)</f>
        <v>远家花园</v>
      </c>
      <c r="S1429" t="str">
        <f>_xlfn.XLOOKUP(Jnl[[#This Row],[Division]],config_div[Id], config_div[Name],,0)</f>
        <v>网店</v>
      </c>
      <c r="T1429" t="str">
        <f>IF(Jnl[[#This Row],[TrxDate]]&lt;=stmt_BS_date_end, "In", "Out")</f>
        <v>In</v>
      </c>
      <c r="U1429" t="str">
        <f>IF(Jnl[[#This Row],[TrxDate]]&lt;debug_date_start, "prior", IF(Jnl[[#This Row],[TrxDate]]&gt;debug_date_end, "post", "curr"))</f>
        <v>curr</v>
      </c>
    </row>
    <row r="1430" spans="1:21">
      <c r="A1430" s="11" t="s">
        <v>1822</v>
      </c>
      <c r="B1430" s="7">
        <f>_xlfn.XLOOKUP(Jnl[[#This Row],[TrxId]], Trx[Id], Trx[Date],,0)</f>
        <v>46081</v>
      </c>
      <c r="C1430" s="7" t="str">
        <f>_xlfn.XLOOKUP(Jnl[[#This Row],[TrxId]], Trx[Id], Trx[Division],,0)</f>
        <v>Online</v>
      </c>
      <c r="D1430" s="7" t="str">
        <f>_xlfn.XLOOKUP(Jnl[[#This Row],[TrxId]], Trx[Id], Trx[Action],,0)</f>
        <v>采购</v>
      </c>
      <c r="E1430" s="26" t="s">
        <v>80</v>
      </c>
      <c r="F1430" s="11" t="s">
        <v>590</v>
      </c>
      <c r="G1430" s="11" t="s">
        <v>391</v>
      </c>
      <c r="H1430" s="72">
        <v>-12381</v>
      </c>
      <c r="I1430" s="120" t="b">
        <f>AND(Jnl[[#This Row],[TrxId]]&lt;&gt;"",Jnl[[#This Row],[Acct]]&lt;&gt;"",Jnl[[#This Row],[Item]]&lt;&gt;"",ISNUMBER(Jnl[[#This Row],[Bal]]))</f>
        <v>1</v>
      </c>
      <c r="J1430" s="10">
        <f>IF(Jnl[[#This Row],[BSLv0]]="A",1,-1)*Jnl[[#This Row],[Bal]]</f>
        <v>-12381</v>
      </c>
      <c r="K1430" t="str">
        <f>_xlfn.XLOOKUP(Jnl[[#This Row],[Acct]], config_BS[Acct], config_BS[Lv0],,0)</f>
        <v>A</v>
      </c>
      <c r="L1430" t="str">
        <f>_xlfn.XLOOKUP(Jnl[[#This Row],[Acct]], config_BS[Acct], config_BS[Lv1],,0)</f>
        <v>Assets</v>
      </c>
      <c r="M1430" t="str">
        <f>_xlfn.XLOOKUP(Jnl[[#This Row],[Acct]], config_BS[Acct], config_BS[Lv2],,0)</f>
        <v>Cash alike</v>
      </c>
      <c r="N1430" t="str">
        <f>_xlfn.XLOOKUP(Jnl[[#This Row],[TrxId]], Trx[Id], Trx[IncNode], ,0)</f>
        <v>Cost</v>
      </c>
      <c r="O1430" t="str">
        <f>_xlfn.XLOOKUP(Jnl[[#This Row],[IncNode]], config_IS[Node], config_IS[Type],,0)</f>
        <v>Op</v>
      </c>
      <c r="P1430" t="str">
        <f>_xlfn.XLOOKUP(Jnl[[#This Row],[BSLv2]], dict[Key], dict[Name],,0)</f>
        <v>0.现金及类似</v>
      </c>
      <c r="Q1430" t="str">
        <f>_xlfn.XLOOKUP(Jnl[[#This Row],[Acct]], dict[Key], dict[Name],,0)</f>
        <v>银行</v>
      </c>
      <c r="R1430" t="str">
        <f>_xlfn.XLOOKUP(Jnl[[#This Row],[Vehicle]],config_vehicle[Id], config_vehicle[Name],,0)</f>
        <v>远家花园</v>
      </c>
      <c r="S1430" t="str">
        <f>_xlfn.XLOOKUP(Jnl[[#This Row],[Division]],config_div[Id], config_div[Name],,0)</f>
        <v>网店</v>
      </c>
      <c r="T1430" t="str">
        <f>IF(Jnl[[#This Row],[TrxDate]]&lt;=stmt_BS_date_end, "In", "Out")</f>
        <v>In</v>
      </c>
      <c r="U1430" t="str">
        <f>IF(Jnl[[#This Row],[TrxDate]]&lt;debug_date_start, "prior", IF(Jnl[[#This Row],[TrxDate]]&gt;debug_date_end, "post", "curr"))</f>
        <v>curr</v>
      </c>
    </row>
    <row r="1431" spans="1:21">
      <c r="A1431" s="11" t="s">
        <v>1823</v>
      </c>
      <c r="B1431" s="7">
        <f>_xlfn.XLOOKUP(Jnl[[#This Row],[TrxId]], Trx[Id], Trx[Date],,0)</f>
        <v>46081</v>
      </c>
      <c r="C1431" s="7" t="str">
        <f>_xlfn.XLOOKUP(Jnl[[#This Row],[TrxId]], Trx[Id], Trx[Division],,0)</f>
        <v>Online</v>
      </c>
      <c r="D1431" s="7" t="str">
        <f>_xlfn.XLOOKUP(Jnl[[#This Row],[TrxId]], Trx[Id], Trx[Action],,0)</f>
        <v>采购</v>
      </c>
      <c r="E1431" s="26" t="s">
        <v>80</v>
      </c>
      <c r="F1431" s="11" t="s">
        <v>598</v>
      </c>
      <c r="G1431" s="11" t="s">
        <v>151</v>
      </c>
      <c r="H1431" s="72">
        <v>3450</v>
      </c>
      <c r="I1431" s="5" t="b">
        <f>AND(Jnl[[#This Row],[TrxId]]&lt;&gt;"",Jnl[[#This Row],[Acct]]&lt;&gt;"",Jnl[[#This Row],[Item]]&lt;&gt;"",ISNUMBER(Jnl[[#This Row],[Bal]]))</f>
        <v>1</v>
      </c>
      <c r="J1431" s="10">
        <f>IF(Jnl[[#This Row],[BSLv0]]="A",1,-1)*Jnl[[#This Row],[Bal]]</f>
        <v>3450</v>
      </c>
      <c r="K1431" t="str">
        <f>_xlfn.XLOOKUP(Jnl[[#This Row],[Acct]], config_BS[Acct], config_BS[Lv0],,0)</f>
        <v>A</v>
      </c>
      <c r="L1431" t="str">
        <f>_xlfn.XLOOKUP(Jnl[[#This Row],[Acct]], config_BS[Acct], config_BS[Lv1],,0)</f>
        <v>Assets</v>
      </c>
      <c r="M1431" t="str">
        <f>_xlfn.XLOOKUP(Jnl[[#This Row],[Acct]], config_BS[Acct], config_BS[Lv2],,0)</f>
        <v>Invtr</v>
      </c>
      <c r="N1431" t="str">
        <f>_xlfn.XLOOKUP(Jnl[[#This Row],[TrxId]], Trx[Id], Trx[IncNode], ,0)</f>
        <v>Cost</v>
      </c>
      <c r="O1431" t="str">
        <f>_xlfn.XLOOKUP(Jnl[[#This Row],[IncNode]], config_IS[Node], config_IS[Type],,0)</f>
        <v>Op</v>
      </c>
      <c r="P1431" t="str">
        <f>_xlfn.XLOOKUP(Jnl[[#This Row],[BSLv2]], dict[Key], dict[Name],,0)</f>
        <v>3.库存占款</v>
      </c>
      <c r="Q1431" t="str">
        <f>_xlfn.XLOOKUP(Jnl[[#This Row],[Acct]], dict[Key], dict[Name],,0)</f>
        <v>当期存货</v>
      </c>
      <c r="R1431" t="str">
        <f>_xlfn.XLOOKUP(Jnl[[#This Row],[Vehicle]],config_vehicle[Id], config_vehicle[Name],,0)</f>
        <v>远家花园</v>
      </c>
      <c r="S1431" t="str">
        <f>_xlfn.XLOOKUP(Jnl[[#This Row],[Division]],config_div[Id], config_div[Name],,0)</f>
        <v>网店</v>
      </c>
      <c r="T1431" t="str">
        <f>IF(Jnl[[#This Row],[TrxDate]]&lt;=stmt_BS_date_end, "In", "Out")</f>
        <v>In</v>
      </c>
      <c r="U1431" t="str">
        <f>IF(Jnl[[#This Row],[TrxDate]]&lt;debug_date_start, "prior", IF(Jnl[[#This Row],[TrxDate]]&gt;debug_date_end, "post", "curr"))</f>
        <v>curr</v>
      </c>
    </row>
    <row r="1432" spans="1:21">
      <c r="A1432" s="11" t="s">
        <v>1823</v>
      </c>
      <c r="B1432" s="7">
        <f>_xlfn.XLOOKUP(Jnl[[#This Row],[TrxId]], Trx[Id], Trx[Date],,0)</f>
        <v>46081</v>
      </c>
      <c r="C1432" s="7" t="str">
        <f>_xlfn.XLOOKUP(Jnl[[#This Row],[TrxId]], Trx[Id], Trx[Division],,0)</f>
        <v>Online</v>
      </c>
      <c r="D1432" s="7" t="str">
        <f>_xlfn.XLOOKUP(Jnl[[#This Row],[TrxId]], Trx[Id], Trx[Action],,0)</f>
        <v>采购</v>
      </c>
      <c r="E1432" s="26" t="s">
        <v>80</v>
      </c>
      <c r="F1432" s="11" t="s">
        <v>590</v>
      </c>
      <c r="G1432" s="11" t="s">
        <v>391</v>
      </c>
      <c r="H1432" s="72">
        <v>-3450</v>
      </c>
      <c r="I1432" s="5" t="b">
        <f>AND(Jnl[[#This Row],[TrxId]]&lt;&gt;"",Jnl[[#This Row],[Acct]]&lt;&gt;"",Jnl[[#This Row],[Item]]&lt;&gt;"",ISNUMBER(Jnl[[#This Row],[Bal]]))</f>
        <v>1</v>
      </c>
      <c r="J1432" s="10">
        <f>IF(Jnl[[#This Row],[BSLv0]]="A",1,-1)*Jnl[[#This Row],[Bal]]</f>
        <v>-3450</v>
      </c>
      <c r="K1432" t="str">
        <f>_xlfn.XLOOKUP(Jnl[[#This Row],[Acct]], config_BS[Acct], config_BS[Lv0],,0)</f>
        <v>A</v>
      </c>
      <c r="L1432" t="str">
        <f>_xlfn.XLOOKUP(Jnl[[#This Row],[Acct]], config_BS[Acct], config_BS[Lv1],,0)</f>
        <v>Assets</v>
      </c>
      <c r="M1432" t="str">
        <f>_xlfn.XLOOKUP(Jnl[[#This Row],[Acct]], config_BS[Acct], config_BS[Lv2],,0)</f>
        <v>Cash alike</v>
      </c>
      <c r="N1432" t="str">
        <f>_xlfn.XLOOKUP(Jnl[[#This Row],[TrxId]], Trx[Id], Trx[IncNode], ,0)</f>
        <v>Cost</v>
      </c>
      <c r="O1432" t="str">
        <f>_xlfn.XLOOKUP(Jnl[[#This Row],[IncNode]], config_IS[Node], config_IS[Type],,0)</f>
        <v>Op</v>
      </c>
      <c r="P1432" t="str">
        <f>_xlfn.XLOOKUP(Jnl[[#This Row],[BSLv2]], dict[Key], dict[Name],,0)</f>
        <v>0.现金及类似</v>
      </c>
      <c r="Q1432" t="str">
        <f>_xlfn.XLOOKUP(Jnl[[#This Row],[Acct]], dict[Key], dict[Name],,0)</f>
        <v>银行</v>
      </c>
      <c r="R1432" t="str">
        <f>_xlfn.XLOOKUP(Jnl[[#This Row],[Vehicle]],config_vehicle[Id], config_vehicle[Name],,0)</f>
        <v>远家花园</v>
      </c>
      <c r="S1432" t="str">
        <f>_xlfn.XLOOKUP(Jnl[[#This Row],[Division]],config_div[Id], config_div[Name],,0)</f>
        <v>网店</v>
      </c>
      <c r="T1432" t="str">
        <f>IF(Jnl[[#This Row],[TrxDate]]&lt;=stmt_BS_date_end, "In", "Out")</f>
        <v>In</v>
      </c>
      <c r="U1432" t="str">
        <f>IF(Jnl[[#This Row],[TrxDate]]&lt;debug_date_start, "prior", IF(Jnl[[#This Row],[TrxDate]]&gt;debug_date_end, "post", "curr"))</f>
        <v>curr</v>
      </c>
    </row>
    <row r="1433" spans="1:21">
      <c r="A1433" s="11" t="s">
        <v>1824</v>
      </c>
      <c r="B1433" s="7">
        <f>_xlfn.XLOOKUP(Jnl[[#This Row],[TrxId]], Trx[Id], Trx[Date],,0)</f>
        <v>46081</v>
      </c>
      <c r="C1433" s="7" t="str">
        <f>_xlfn.XLOOKUP(Jnl[[#This Row],[TrxId]], Trx[Id], Trx[Division],,0)</f>
        <v>Online</v>
      </c>
      <c r="D1433" s="7" t="str">
        <f>_xlfn.XLOOKUP(Jnl[[#This Row],[TrxId]], Trx[Id], Trx[Action],,0)</f>
        <v>采购</v>
      </c>
      <c r="E1433" s="26" t="s">
        <v>80</v>
      </c>
      <c r="F1433" s="11" t="s">
        <v>598</v>
      </c>
      <c r="G1433" s="11" t="s">
        <v>151</v>
      </c>
      <c r="H1433" s="72">
        <v>6444</v>
      </c>
      <c r="I1433" s="5" t="b">
        <f>AND(Jnl[[#This Row],[TrxId]]&lt;&gt;"",Jnl[[#This Row],[Acct]]&lt;&gt;"",Jnl[[#This Row],[Item]]&lt;&gt;"",ISNUMBER(Jnl[[#This Row],[Bal]]))</f>
        <v>1</v>
      </c>
      <c r="J1433" s="10">
        <f>IF(Jnl[[#This Row],[BSLv0]]="A",1,-1)*Jnl[[#This Row],[Bal]]</f>
        <v>6444</v>
      </c>
      <c r="K1433" t="str">
        <f>_xlfn.XLOOKUP(Jnl[[#This Row],[Acct]], config_BS[Acct], config_BS[Lv0],,0)</f>
        <v>A</v>
      </c>
      <c r="L1433" t="str">
        <f>_xlfn.XLOOKUP(Jnl[[#This Row],[Acct]], config_BS[Acct], config_BS[Lv1],,0)</f>
        <v>Assets</v>
      </c>
      <c r="M1433" t="str">
        <f>_xlfn.XLOOKUP(Jnl[[#This Row],[Acct]], config_BS[Acct], config_BS[Lv2],,0)</f>
        <v>Invtr</v>
      </c>
      <c r="N1433" t="str">
        <f>_xlfn.XLOOKUP(Jnl[[#This Row],[TrxId]], Trx[Id], Trx[IncNode], ,0)</f>
        <v>Cost</v>
      </c>
      <c r="O1433" t="str">
        <f>_xlfn.XLOOKUP(Jnl[[#This Row],[IncNode]], config_IS[Node], config_IS[Type],,0)</f>
        <v>Op</v>
      </c>
      <c r="P1433" t="str">
        <f>_xlfn.XLOOKUP(Jnl[[#This Row],[BSLv2]], dict[Key], dict[Name],,0)</f>
        <v>3.库存占款</v>
      </c>
      <c r="Q1433" t="str">
        <f>_xlfn.XLOOKUP(Jnl[[#This Row],[Acct]], dict[Key], dict[Name],,0)</f>
        <v>当期存货</v>
      </c>
      <c r="R1433" t="str">
        <f>_xlfn.XLOOKUP(Jnl[[#This Row],[Vehicle]],config_vehicle[Id], config_vehicle[Name],,0)</f>
        <v>远家花园</v>
      </c>
      <c r="S1433" t="str">
        <f>_xlfn.XLOOKUP(Jnl[[#This Row],[Division]],config_div[Id], config_div[Name],,0)</f>
        <v>网店</v>
      </c>
      <c r="T1433" t="str">
        <f>IF(Jnl[[#This Row],[TrxDate]]&lt;=stmt_BS_date_end, "In", "Out")</f>
        <v>In</v>
      </c>
      <c r="U1433" t="str">
        <f>IF(Jnl[[#This Row],[TrxDate]]&lt;debug_date_start, "prior", IF(Jnl[[#This Row],[TrxDate]]&gt;debug_date_end, "post", "curr"))</f>
        <v>curr</v>
      </c>
    </row>
    <row r="1434" spans="1:21">
      <c r="A1434" s="11" t="s">
        <v>1824</v>
      </c>
      <c r="B1434" s="7">
        <f>_xlfn.XLOOKUP(Jnl[[#This Row],[TrxId]], Trx[Id], Trx[Date],,0)</f>
        <v>46081</v>
      </c>
      <c r="C1434" s="7" t="str">
        <f>_xlfn.XLOOKUP(Jnl[[#This Row],[TrxId]], Trx[Id], Trx[Division],,0)</f>
        <v>Online</v>
      </c>
      <c r="D1434" s="7" t="str">
        <f>_xlfn.XLOOKUP(Jnl[[#This Row],[TrxId]], Trx[Id], Trx[Action],,0)</f>
        <v>采购</v>
      </c>
      <c r="E1434" s="26" t="s">
        <v>80</v>
      </c>
      <c r="F1434" s="11" t="s">
        <v>590</v>
      </c>
      <c r="G1434" s="11" t="s">
        <v>391</v>
      </c>
      <c r="H1434" s="72">
        <v>-6444</v>
      </c>
      <c r="I1434" s="5" t="b">
        <f>AND(Jnl[[#This Row],[TrxId]]&lt;&gt;"",Jnl[[#This Row],[Acct]]&lt;&gt;"",Jnl[[#This Row],[Item]]&lt;&gt;"",ISNUMBER(Jnl[[#This Row],[Bal]]))</f>
        <v>1</v>
      </c>
      <c r="J1434" s="10">
        <f>IF(Jnl[[#This Row],[BSLv0]]="A",1,-1)*Jnl[[#This Row],[Bal]]</f>
        <v>-6444</v>
      </c>
      <c r="K1434" t="str">
        <f>_xlfn.XLOOKUP(Jnl[[#This Row],[Acct]], config_BS[Acct], config_BS[Lv0],,0)</f>
        <v>A</v>
      </c>
      <c r="L1434" t="str">
        <f>_xlfn.XLOOKUP(Jnl[[#This Row],[Acct]], config_BS[Acct], config_BS[Lv1],,0)</f>
        <v>Assets</v>
      </c>
      <c r="M1434" t="str">
        <f>_xlfn.XLOOKUP(Jnl[[#This Row],[Acct]], config_BS[Acct], config_BS[Lv2],,0)</f>
        <v>Cash alike</v>
      </c>
      <c r="N1434" t="str">
        <f>_xlfn.XLOOKUP(Jnl[[#This Row],[TrxId]], Trx[Id], Trx[IncNode], ,0)</f>
        <v>Cost</v>
      </c>
      <c r="O1434" t="str">
        <f>_xlfn.XLOOKUP(Jnl[[#This Row],[IncNode]], config_IS[Node], config_IS[Type],,0)</f>
        <v>Op</v>
      </c>
      <c r="P1434" t="str">
        <f>_xlfn.XLOOKUP(Jnl[[#This Row],[BSLv2]], dict[Key], dict[Name],,0)</f>
        <v>0.现金及类似</v>
      </c>
      <c r="Q1434" t="str">
        <f>_xlfn.XLOOKUP(Jnl[[#This Row],[Acct]], dict[Key], dict[Name],,0)</f>
        <v>银行</v>
      </c>
      <c r="R1434" t="str">
        <f>_xlfn.XLOOKUP(Jnl[[#This Row],[Vehicle]],config_vehicle[Id], config_vehicle[Name],,0)</f>
        <v>远家花园</v>
      </c>
      <c r="S1434" t="str">
        <f>_xlfn.XLOOKUP(Jnl[[#This Row],[Division]],config_div[Id], config_div[Name],,0)</f>
        <v>网店</v>
      </c>
      <c r="T1434" t="str">
        <f>IF(Jnl[[#This Row],[TrxDate]]&lt;=stmt_BS_date_end, "In", "Out")</f>
        <v>In</v>
      </c>
      <c r="U1434" t="str">
        <f>IF(Jnl[[#This Row],[TrxDate]]&lt;debug_date_start, "prior", IF(Jnl[[#This Row],[TrxDate]]&gt;debug_date_end, "post", "curr"))</f>
        <v>curr</v>
      </c>
    </row>
    <row r="1435" spans="1:21">
      <c r="A1435" s="11" t="s">
        <v>1825</v>
      </c>
      <c r="B1435" s="7">
        <f>_xlfn.XLOOKUP(Jnl[[#This Row],[TrxId]], Trx[Id], Trx[Date],,0)</f>
        <v>46081</v>
      </c>
      <c r="C1435" s="7" t="str">
        <f>_xlfn.XLOOKUP(Jnl[[#This Row],[TrxId]], Trx[Id], Trx[Division],,0)</f>
        <v>GM</v>
      </c>
      <c r="D1435" s="7" t="str">
        <f>_xlfn.XLOOKUP(Jnl[[#This Row],[TrxId]], Trx[Id], Trx[Action],,0)</f>
        <v>公共设施</v>
      </c>
      <c r="E1435" s="26" t="s">
        <v>80</v>
      </c>
      <c r="F1435" s="11" t="s">
        <v>590</v>
      </c>
      <c r="G1435" s="11" t="s">
        <v>391</v>
      </c>
      <c r="H1435" s="72">
        <v>-2072.2800000000002</v>
      </c>
      <c r="I1435" s="5" t="b">
        <f>AND(Jnl[[#This Row],[TrxId]]&lt;&gt;"",Jnl[[#This Row],[Acct]]&lt;&gt;"",Jnl[[#This Row],[Item]]&lt;&gt;"",ISNUMBER(Jnl[[#This Row],[Bal]]))</f>
        <v>1</v>
      </c>
      <c r="J1435" s="10">
        <f>IF(Jnl[[#This Row],[BSLv0]]="A",1,-1)*Jnl[[#This Row],[Bal]]</f>
        <v>-2072.2800000000002</v>
      </c>
      <c r="K1435" t="str">
        <f>_xlfn.XLOOKUP(Jnl[[#This Row],[Acct]], config_BS[Acct], config_BS[Lv0],,0)</f>
        <v>A</v>
      </c>
      <c r="L1435" t="str">
        <f>_xlfn.XLOOKUP(Jnl[[#This Row],[Acct]], config_BS[Acct], config_BS[Lv1],,0)</f>
        <v>Assets</v>
      </c>
      <c r="M1435" t="str">
        <f>_xlfn.XLOOKUP(Jnl[[#This Row],[Acct]], config_BS[Acct], config_BS[Lv2],,0)</f>
        <v>Cash alike</v>
      </c>
      <c r="N1435" t="str">
        <f>_xlfn.XLOOKUP(Jnl[[#This Row],[TrxId]], Trx[Id], Trx[IncNode], ,0)</f>
        <v>Expense</v>
      </c>
      <c r="O1435" t="str">
        <f>_xlfn.XLOOKUP(Jnl[[#This Row],[IncNode]], config_IS[Node], config_IS[Type],,0)</f>
        <v>Op</v>
      </c>
      <c r="P1435" t="str">
        <f>_xlfn.XLOOKUP(Jnl[[#This Row],[BSLv2]], dict[Key], dict[Name],,0)</f>
        <v>0.现金及类似</v>
      </c>
      <c r="Q1435" t="str">
        <f>_xlfn.XLOOKUP(Jnl[[#This Row],[Acct]], dict[Key], dict[Name],,0)</f>
        <v>银行</v>
      </c>
      <c r="R1435" t="str">
        <f>_xlfn.XLOOKUP(Jnl[[#This Row],[Vehicle]],config_vehicle[Id], config_vehicle[Name],,0)</f>
        <v>远家花园</v>
      </c>
      <c r="S1435" t="str">
        <f>_xlfn.XLOOKUP(Jnl[[#This Row],[Division]],config_div[Id], config_div[Name],,0)</f>
        <v>综合管理</v>
      </c>
      <c r="T1435" t="str">
        <f>IF(Jnl[[#This Row],[TrxDate]]&lt;=stmt_BS_date_end, "In", "Out")</f>
        <v>In</v>
      </c>
      <c r="U1435" t="str">
        <f>IF(Jnl[[#This Row],[TrxDate]]&lt;debug_date_start, "prior", IF(Jnl[[#This Row],[TrxDate]]&gt;debug_date_end, "post", "curr"))</f>
        <v>curr</v>
      </c>
    </row>
    <row r="1436" spans="1:21">
      <c r="A1436" s="11" t="s">
        <v>1826</v>
      </c>
      <c r="B1436" s="7">
        <f>_xlfn.XLOOKUP(Jnl[[#This Row],[TrxId]], Trx[Id], Trx[Date],,0)</f>
        <v>46081</v>
      </c>
      <c r="C1436" s="7" t="str">
        <f>_xlfn.XLOOKUP(Jnl[[#This Row],[TrxId]], Trx[Id], Trx[Division],,0)</f>
        <v>Online</v>
      </c>
      <c r="D1436" s="7" t="str">
        <f>_xlfn.XLOOKUP(Jnl[[#This Row],[TrxId]], Trx[Id], Trx[Action],,0)</f>
        <v>退款-供应商</v>
      </c>
      <c r="E1436" s="26" t="s">
        <v>80</v>
      </c>
      <c r="F1436" s="11" t="s">
        <v>598</v>
      </c>
      <c r="G1436" s="11" t="s">
        <v>151</v>
      </c>
      <c r="H1436" s="72">
        <v>-5004</v>
      </c>
      <c r="I1436" s="5" t="b">
        <f>AND(Jnl[[#This Row],[TrxId]]&lt;&gt;"",Jnl[[#This Row],[Acct]]&lt;&gt;"",Jnl[[#This Row],[Item]]&lt;&gt;"",ISNUMBER(Jnl[[#This Row],[Bal]]))</f>
        <v>1</v>
      </c>
      <c r="J1436" s="10">
        <f>IF(Jnl[[#This Row],[BSLv0]]="A",1,-1)*Jnl[[#This Row],[Bal]]</f>
        <v>-5004</v>
      </c>
      <c r="K1436" t="str">
        <f>_xlfn.XLOOKUP(Jnl[[#This Row],[Acct]], config_BS[Acct], config_BS[Lv0],,0)</f>
        <v>A</v>
      </c>
      <c r="L1436" t="str">
        <f>_xlfn.XLOOKUP(Jnl[[#This Row],[Acct]], config_BS[Acct], config_BS[Lv1],,0)</f>
        <v>Assets</v>
      </c>
      <c r="M1436" t="str">
        <f>_xlfn.XLOOKUP(Jnl[[#This Row],[Acct]], config_BS[Acct], config_BS[Lv2],,0)</f>
        <v>Invtr</v>
      </c>
      <c r="N1436" t="str">
        <f>_xlfn.XLOOKUP(Jnl[[#This Row],[TrxId]], Trx[Id], Trx[IncNode], ,0)</f>
        <v>Cost</v>
      </c>
      <c r="O1436" t="str">
        <f>_xlfn.XLOOKUP(Jnl[[#This Row],[IncNode]], config_IS[Node], config_IS[Type],,0)</f>
        <v>Op</v>
      </c>
      <c r="P1436" t="str">
        <f>_xlfn.XLOOKUP(Jnl[[#This Row],[BSLv2]], dict[Key], dict[Name],,0)</f>
        <v>3.库存占款</v>
      </c>
      <c r="Q1436" t="str">
        <f>_xlfn.XLOOKUP(Jnl[[#This Row],[Acct]], dict[Key], dict[Name],,0)</f>
        <v>当期存货</v>
      </c>
      <c r="R1436" t="str">
        <f>_xlfn.XLOOKUP(Jnl[[#This Row],[Vehicle]],config_vehicle[Id], config_vehicle[Name],,0)</f>
        <v>远家花园</v>
      </c>
      <c r="S1436" t="str">
        <f>_xlfn.XLOOKUP(Jnl[[#This Row],[Division]],config_div[Id], config_div[Name],,0)</f>
        <v>网店</v>
      </c>
      <c r="T1436" t="str">
        <f>IF(Jnl[[#This Row],[TrxDate]]&lt;=stmt_BS_date_end, "In", "Out")</f>
        <v>In</v>
      </c>
      <c r="U1436" t="str">
        <f>IF(Jnl[[#This Row],[TrxDate]]&lt;debug_date_start, "prior", IF(Jnl[[#This Row],[TrxDate]]&gt;debug_date_end, "post", "curr"))</f>
        <v>curr</v>
      </c>
    </row>
    <row r="1437" spans="1:21">
      <c r="A1437" s="11" t="s">
        <v>1826</v>
      </c>
      <c r="B1437" s="7">
        <f>_xlfn.XLOOKUP(Jnl[[#This Row],[TrxId]], Trx[Id], Trx[Date],,0)</f>
        <v>46081</v>
      </c>
      <c r="C1437" s="7" t="str">
        <f>_xlfn.XLOOKUP(Jnl[[#This Row],[TrxId]], Trx[Id], Trx[Division],,0)</f>
        <v>Online</v>
      </c>
      <c r="D1437" s="7" t="str">
        <f>_xlfn.XLOOKUP(Jnl[[#This Row],[TrxId]], Trx[Id], Trx[Action],,0)</f>
        <v>退款-供应商</v>
      </c>
      <c r="E1437" s="26" t="s">
        <v>80</v>
      </c>
      <c r="F1437" s="11" t="s">
        <v>590</v>
      </c>
      <c r="G1437" s="11" t="s">
        <v>391</v>
      </c>
      <c r="H1437" s="72">
        <v>5004</v>
      </c>
      <c r="I1437" s="5" t="b">
        <f>AND(Jnl[[#This Row],[TrxId]]&lt;&gt;"",Jnl[[#This Row],[Acct]]&lt;&gt;"",Jnl[[#This Row],[Item]]&lt;&gt;"",ISNUMBER(Jnl[[#This Row],[Bal]]))</f>
        <v>1</v>
      </c>
      <c r="J1437" s="10">
        <f>IF(Jnl[[#This Row],[BSLv0]]="A",1,-1)*Jnl[[#This Row],[Bal]]</f>
        <v>5004</v>
      </c>
      <c r="K1437" t="str">
        <f>_xlfn.XLOOKUP(Jnl[[#This Row],[Acct]], config_BS[Acct], config_BS[Lv0],,0)</f>
        <v>A</v>
      </c>
      <c r="L1437" t="str">
        <f>_xlfn.XLOOKUP(Jnl[[#This Row],[Acct]], config_BS[Acct], config_BS[Lv1],,0)</f>
        <v>Assets</v>
      </c>
      <c r="M1437" t="str">
        <f>_xlfn.XLOOKUP(Jnl[[#This Row],[Acct]], config_BS[Acct], config_BS[Lv2],,0)</f>
        <v>Cash alike</v>
      </c>
      <c r="N1437" t="str">
        <f>_xlfn.XLOOKUP(Jnl[[#This Row],[TrxId]], Trx[Id], Trx[IncNode], ,0)</f>
        <v>Cost</v>
      </c>
      <c r="O1437" t="str">
        <f>_xlfn.XLOOKUP(Jnl[[#This Row],[IncNode]], config_IS[Node], config_IS[Type],,0)</f>
        <v>Op</v>
      </c>
      <c r="P1437" t="str">
        <f>_xlfn.XLOOKUP(Jnl[[#This Row],[BSLv2]], dict[Key], dict[Name],,0)</f>
        <v>0.现金及类似</v>
      </c>
      <c r="Q1437" t="str">
        <f>_xlfn.XLOOKUP(Jnl[[#This Row],[Acct]], dict[Key], dict[Name],,0)</f>
        <v>银行</v>
      </c>
      <c r="R1437" t="str">
        <f>_xlfn.XLOOKUP(Jnl[[#This Row],[Vehicle]],config_vehicle[Id], config_vehicle[Name],,0)</f>
        <v>远家花园</v>
      </c>
      <c r="S1437" t="str">
        <f>_xlfn.XLOOKUP(Jnl[[#This Row],[Division]],config_div[Id], config_div[Name],,0)</f>
        <v>网店</v>
      </c>
      <c r="T1437" t="str">
        <f>IF(Jnl[[#This Row],[TrxDate]]&lt;=stmt_BS_date_end, "In", "Out")</f>
        <v>In</v>
      </c>
      <c r="U1437" t="str">
        <f>IF(Jnl[[#This Row],[TrxDate]]&lt;debug_date_start, "prior", IF(Jnl[[#This Row],[TrxDate]]&gt;debug_date_end, "post", "curr"))</f>
        <v>curr</v>
      </c>
    </row>
    <row r="1438" spans="1:21">
      <c r="A1438" s="11" t="s">
        <v>1827</v>
      </c>
      <c r="B1438" s="7">
        <f>_xlfn.XLOOKUP(Jnl[[#This Row],[TrxId]], Trx[Id], Trx[Date],,0)</f>
        <v>46081</v>
      </c>
      <c r="C1438" s="7" t="str">
        <f>_xlfn.XLOOKUP(Jnl[[#This Row],[TrxId]], Trx[Id], Trx[Division],,0)</f>
        <v>Brand</v>
      </c>
      <c r="D1438" s="7" t="str">
        <f>_xlfn.XLOOKUP(Jnl[[#This Row],[TrxId]], Trx[Id], Trx[Action],,0)</f>
        <v>拍摄</v>
      </c>
      <c r="E1438" s="26" t="s">
        <v>80</v>
      </c>
      <c r="F1438" s="11" t="s">
        <v>590</v>
      </c>
      <c r="G1438" s="11" t="s">
        <v>391</v>
      </c>
      <c r="H1438" s="72">
        <v>-627</v>
      </c>
      <c r="I1438" s="5" t="b">
        <f>AND(Jnl[[#This Row],[TrxId]]&lt;&gt;"",Jnl[[#This Row],[Acct]]&lt;&gt;"",Jnl[[#This Row],[Item]]&lt;&gt;"",ISNUMBER(Jnl[[#This Row],[Bal]]))</f>
        <v>1</v>
      </c>
      <c r="J1438" s="10">
        <f>IF(Jnl[[#This Row],[BSLv0]]="A",1,-1)*Jnl[[#This Row],[Bal]]</f>
        <v>-627</v>
      </c>
      <c r="K1438" t="str">
        <f>_xlfn.XLOOKUP(Jnl[[#This Row],[Acct]], config_BS[Acct], config_BS[Lv0],,0)</f>
        <v>A</v>
      </c>
      <c r="L1438" t="str">
        <f>_xlfn.XLOOKUP(Jnl[[#This Row],[Acct]], config_BS[Acct], config_BS[Lv1],,0)</f>
        <v>Assets</v>
      </c>
      <c r="M1438" t="str">
        <f>_xlfn.XLOOKUP(Jnl[[#This Row],[Acct]], config_BS[Acct], config_BS[Lv2],,0)</f>
        <v>Cash alike</v>
      </c>
      <c r="N1438" t="str">
        <f>_xlfn.XLOOKUP(Jnl[[#This Row],[TrxId]], Trx[Id], Trx[IncNode], ,0)</f>
        <v>Expense</v>
      </c>
      <c r="O1438" t="str">
        <f>_xlfn.XLOOKUP(Jnl[[#This Row],[IncNode]], config_IS[Node], config_IS[Type],,0)</f>
        <v>Op</v>
      </c>
      <c r="P1438" t="str">
        <f>_xlfn.XLOOKUP(Jnl[[#This Row],[BSLv2]], dict[Key], dict[Name],,0)</f>
        <v>0.现金及类似</v>
      </c>
      <c r="Q1438" t="str">
        <f>_xlfn.XLOOKUP(Jnl[[#This Row],[Acct]], dict[Key], dict[Name],,0)</f>
        <v>银行</v>
      </c>
      <c r="R1438" t="str">
        <f>_xlfn.XLOOKUP(Jnl[[#This Row],[Vehicle]],config_vehicle[Id], config_vehicle[Name],,0)</f>
        <v>远家花园</v>
      </c>
      <c r="S1438" t="str">
        <f>_xlfn.XLOOKUP(Jnl[[#This Row],[Division]],config_div[Id], config_div[Name],,0)</f>
        <v>品牌</v>
      </c>
      <c r="T1438" t="str">
        <f>IF(Jnl[[#This Row],[TrxDate]]&lt;=stmt_BS_date_end, "In", "Out")</f>
        <v>In</v>
      </c>
      <c r="U1438" t="str">
        <f>IF(Jnl[[#This Row],[TrxDate]]&lt;debug_date_start, "prior", IF(Jnl[[#This Row],[TrxDate]]&gt;debug_date_end, "post", "curr"))</f>
        <v>curr</v>
      </c>
    </row>
    <row r="1439" spans="1:21">
      <c r="A1439" s="11" t="s">
        <v>1829</v>
      </c>
      <c r="B1439" s="7">
        <f>_xlfn.XLOOKUP(Jnl[[#This Row],[TrxId]], Trx[Id], Trx[Date],,0)</f>
        <v>46081</v>
      </c>
      <c r="C1439" s="7" t="str">
        <f>_xlfn.XLOOKUP(Jnl[[#This Row],[TrxId]], Trx[Id], Trx[Division],,0)</f>
        <v>Online</v>
      </c>
      <c r="D1439" s="7" t="str">
        <f>_xlfn.XLOOKUP(Jnl[[#This Row],[TrxId]], Trx[Id], Trx[Action],,0)</f>
        <v>采购</v>
      </c>
      <c r="E1439" s="26" t="s">
        <v>80</v>
      </c>
      <c r="F1439" s="11" t="s">
        <v>598</v>
      </c>
      <c r="G1439" s="11" t="s">
        <v>151</v>
      </c>
      <c r="H1439" s="72">
        <v>1990</v>
      </c>
      <c r="I1439" s="5" t="b">
        <f>AND(Jnl[[#This Row],[TrxId]]&lt;&gt;"",Jnl[[#This Row],[Acct]]&lt;&gt;"",Jnl[[#This Row],[Item]]&lt;&gt;"",ISNUMBER(Jnl[[#This Row],[Bal]]))</f>
        <v>1</v>
      </c>
      <c r="J1439" s="10">
        <f>IF(Jnl[[#This Row],[BSLv0]]="A",1,-1)*Jnl[[#This Row],[Bal]]</f>
        <v>1990</v>
      </c>
      <c r="K1439" t="str">
        <f>_xlfn.XLOOKUP(Jnl[[#This Row],[Acct]], config_BS[Acct], config_BS[Lv0],,0)</f>
        <v>A</v>
      </c>
      <c r="L1439" t="str">
        <f>_xlfn.XLOOKUP(Jnl[[#This Row],[Acct]], config_BS[Acct], config_BS[Lv1],,0)</f>
        <v>Assets</v>
      </c>
      <c r="M1439" t="str">
        <f>_xlfn.XLOOKUP(Jnl[[#This Row],[Acct]], config_BS[Acct], config_BS[Lv2],,0)</f>
        <v>Invtr</v>
      </c>
      <c r="N1439" t="str">
        <f>_xlfn.XLOOKUP(Jnl[[#This Row],[TrxId]], Trx[Id], Trx[IncNode], ,0)</f>
        <v>Cost</v>
      </c>
      <c r="O1439" t="str">
        <f>_xlfn.XLOOKUP(Jnl[[#This Row],[IncNode]], config_IS[Node], config_IS[Type],,0)</f>
        <v>Op</v>
      </c>
      <c r="P1439" t="str">
        <f>_xlfn.XLOOKUP(Jnl[[#This Row],[BSLv2]], dict[Key], dict[Name],,0)</f>
        <v>3.库存占款</v>
      </c>
      <c r="Q1439" t="str">
        <f>_xlfn.XLOOKUP(Jnl[[#This Row],[Acct]], dict[Key], dict[Name],,0)</f>
        <v>当期存货</v>
      </c>
      <c r="R1439" t="str">
        <f>_xlfn.XLOOKUP(Jnl[[#This Row],[Vehicle]],config_vehicle[Id], config_vehicle[Name],,0)</f>
        <v>远家花园</v>
      </c>
      <c r="S1439" t="str">
        <f>_xlfn.XLOOKUP(Jnl[[#This Row],[Division]],config_div[Id], config_div[Name],,0)</f>
        <v>网店</v>
      </c>
      <c r="T1439" t="str">
        <f>IF(Jnl[[#This Row],[TrxDate]]&lt;=stmt_BS_date_end, "In", "Out")</f>
        <v>In</v>
      </c>
      <c r="U1439" t="str">
        <f>IF(Jnl[[#This Row],[TrxDate]]&lt;debug_date_start, "prior", IF(Jnl[[#This Row],[TrxDate]]&gt;debug_date_end, "post", "curr"))</f>
        <v>curr</v>
      </c>
    </row>
    <row r="1440" spans="1:21">
      <c r="A1440" s="11" t="s">
        <v>1829</v>
      </c>
      <c r="B1440" s="7">
        <f>_xlfn.XLOOKUP(Jnl[[#This Row],[TrxId]], Trx[Id], Trx[Date],,0)</f>
        <v>46081</v>
      </c>
      <c r="C1440" s="7" t="str">
        <f>_xlfn.XLOOKUP(Jnl[[#This Row],[TrxId]], Trx[Id], Trx[Division],,0)</f>
        <v>Online</v>
      </c>
      <c r="D1440" s="7" t="str">
        <f>_xlfn.XLOOKUP(Jnl[[#This Row],[TrxId]], Trx[Id], Trx[Action],,0)</f>
        <v>采购</v>
      </c>
      <c r="E1440" s="26" t="s">
        <v>80</v>
      </c>
      <c r="F1440" s="11" t="s">
        <v>590</v>
      </c>
      <c r="G1440" s="11" t="s">
        <v>391</v>
      </c>
      <c r="H1440" s="72">
        <v>-1990</v>
      </c>
      <c r="I1440" s="5" t="b">
        <f>AND(Jnl[[#This Row],[TrxId]]&lt;&gt;"",Jnl[[#This Row],[Acct]]&lt;&gt;"",Jnl[[#This Row],[Item]]&lt;&gt;"",ISNUMBER(Jnl[[#This Row],[Bal]]))</f>
        <v>1</v>
      </c>
      <c r="J1440" s="10">
        <f>IF(Jnl[[#This Row],[BSLv0]]="A",1,-1)*Jnl[[#This Row],[Bal]]</f>
        <v>-1990</v>
      </c>
      <c r="K1440" t="str">
        <f>_xlfn.XLOOKUP(Jnl[[#This Row],[Acct]], config_BS[Acct], config_BS[Lv0],,0)</f>
        <v>A</v>
      </c>
      <c r="L1440" t="str">
        <f>_xlfn.XLOOKUP(Jnl[[#This Row],[Acct]], config_BS[Acct], config_BS[Lv1],,0)</f>
        <v>Assets</v>
      </c>
      <c r="M1440" t="str">
        <f>_xlfn.XLOOKUP(Jnl[[#This Row],[Acct]], config_BS[Acct], config_BS[Lv2],,0)</f>
        <v>Cash alike</v>
      </c>
      <c r="N1440" t="str">
        <f>_xlfn.XLOOKUP(Jnl[[#This Row],[TrxId]], Trx[Id], Trx[IncNode], ,0)</f>
        <v>Cost</v>
      </c>
      <c r="O1440" t="str">
        <f>_xlfn.XLOOKUP(Jnl[[#This Row],[IncNode]], config_IS[Node], config_IS[Type],,0)</f>
        <v>Op</v>
      </c>
      <c r="P1440" t="str">
        <f>_xlfn.XLOOKUP(Jnl[[#This Row],[BSLv2]], dict[Key], dict[Name],,0)</f>
        <v>0.现金及类似</v>
      </c>
      <c r="Q1440" t="str">
        <f>_xlfn.XLOOKUP(Jnl[[#This Row],[Acct]], dict[Key], dict[Name],,0)</f>
        <v>银行</v>
      </c>
      <c r="R1440" t="str">
        <f>_xlfn.XLOOKUP(Jnl[[#This Row],[Vehicle]],config_vehicle[Id], config_vehicle[Name],,0)</f>
        <v>远家花园</v>
      </c>
      <c r="S1440" t="str">
        <f>_xlfn.XLOOKUP(Jnl[[#This Row],[Division]],config_div[Id], config_div[Name],,0)</f>
        <v>网店</v>
      </c>
      <c r="T1440" t="str">
        <f>IF(Jnl[[#This Row],[TrxDate]]&lt;=stmt_BS_date_end, "In", "Out")</f>
        <v>In</v>
      </c>
      <c r="U1440" t="str">
        <f>IF(Jnl[[#This Row],[TrxDate]]&lt;debug_date_start, "prior", IF(Jnl[[#This Row],[TrxDate]]&gt;debug_date_end, "post", "curr"))</f>
        <v>curr</v>
      </c>
    </row>
    <row r="1441" spans="1:21">
      <c r="A1441" s="11" t="s">
        <v>1830</v>
      </c>
      <c r="B1441" s="7">
        <f>_xlfn.XLOOKUP(Jnl[[#This Row],[TrxId]], Trx[Id], Trx[Date],,0)</f>
        <v>46081</v>
      </c>
      <c r="C1441" s="7" t="str">
        <f>_xlfn.XLOOKUP(Jnl[[#This Row],[TrxId]], Trx[Id], Trx[Division],,0)</f>
        <v>Online</v>
      </c>
      <c r="D1441" s="7" t="str">
        <f>_xlfn.XLOOKUP(Jnl[[#This Row],[TrxId]], Trx[Id], Trx[Action],,0)</f>
        <v>采购</v>
      </c>
      <c r="E1441" s="26" t="s">
        <v>80</v>
      </c>
      <c r="F1441" s="11" t="s">
        <v>598</v>
      </c>
      <c r="G1441" s="11" t="s">
        <v>151</v>
      </c>
      <c r="H1441" s="72">
        <v>6854</v>
      </c>
      <c r="I1441" s="5" t="b">
        <f>AND(Jnl[[#This Row],[TrxId]]&lt;&gt;"",Jnl[[#This Row],[Acct]]&lt;&gt;"",Jnl[[#This Row],[Item]]&lt;&gt;"",ISNUMBER(Jnl[[#This Row],[Bal]]))</f>
        <v>1</v>
      </c>
      <c r="J1441" s="10">
        <f>IF(Jnl[[#This Row],[BSLv0]]="A",1,-1)*Jnl[[#This Row],[Bal]]</f>
        <v>6854</v>
      </c>
      <c r="K1441" t="str">
        <f>_xlfn.XLOOKUP(Jnl[[#This Row],[Acct]], config_BS[Acct], config_BS[Lv0],,0)</f>
        <v>A</v>
      </c>
      <c r="L1441" t="str">
        <f>_xlfn.XLOOKUP(Jnl[[#This Row],[Acct]], config_BS[Acct], config_BS[Lv1],,0)</f>
        <v>Assets</v>
      </c>
      <c r="M1441" t="str">
        <f>_xlfn.XLOOKUP(Jnl[[#This Row],[Acct]], config_BS[Acct], config_BS[Lv2],,0)</f>
        <v>Invtr</v>
      </c>
      <c r="N1441" t="str">
        <f>_xlfn.XLOOKUP(Jnl[[#This Row],[TrxId]], Trx[Id], Trx[IncNode], ,0)</f>
        <v>Cost</v>
      </c>
      <c r="O1441" t="str">
        <f>_xlfn.XLOOKUP(Jnl[[#This Row],[IncNode]], config_IS[Node], config_IS[Type],,0)</f>
        <v>Op</v>
      </c>
      <c r="P1441" t="str">
        <f>_xlfn.XLOOKUP(Jnl[[#This Row],[BSLv2]], dict[Key], dict[Name],,0)</f>
        <v>3.库存占款</v>
      </c>
      <c r="Q1441" t="str">
        <f>_xlfn.XLOOKUP(Jnl[[#This Row],[Acct]], dict[Key], dict[Name],,0)</f>
        <v>当期存货</v>
      </c>
      <c r="R1441" t="str">
        <f>_xlfn.XLOOKUP(Jnl[[#This Row],[Vehicle]],config_vehicle[Id], config_vehicle[Name],,0)</f>
        <v>远家花园</v>
      </c>
      <c r="S1441" t="str">
        <f>_xlfn.XLOOKUP(Jnl[[#This Row],[Division]],config_div[Id], config_div[Name],,0)</f>
        <v>网店</v>
      </c>
      <c r="T1441" t="str">
        <f>IF(Jnl[[#This Row],[TrxDate]]&lt;=stmt_BS_date_end, "In", "Out")</f>
        <v>In</v>
      </c>
      <c r="U1441" t="str">
        <f>IF(Jnl[[#This Row],[TrxDate]]&lt;debug_date_start, "prior", IF(Jnl[[#This Row],[TrxDate]]&gt;debug_date_end, "post", "curr"))</f>
        <v>curr</v>
      </c>
    </row>
    <row r="1442" spans="1:21">
      <c r="A1442" s="11" t="s">
        <v>1830</v>
      </c>
      <c r="B1442" s="7">
        <f>_xlfn.XLOOKUP(Jnl[[#This Row],[TrxId]], Trx[Id], Trx[Date],,0)</f>
        <v>46081</v>
      </c>
      <c r="C1442" s="7" t="str">
        <f>_xlfn.XLOOKUP(Jnl[[#This Row],[TrxId]], Trx[Id], Trx[Division],,0)</f>
        <v>Online</v>
      </c>
      <c r="D1442" s="7" t="str">
        <f>_xlfn.XLOOKUP(Jnl[[#This Row],[TrxId]], Trx[Id], Trx[Action],,0)</f>
        <v>采购</v>
      </c>
      <c r="E1442" s="26" t="s">
        <v>80</v>
      </c>
      <c r="F1442" s="11" t="s">
        <v>590</v>
      </c>
      <c r="G1442" s="11" t="s">
        <v>391</v>
      </c>
      <c r="H1442" s="72">
        <v>-6854</v>
      </c>
      <c r="I1442" s="5" t="b">
        <f>AND(Jnl[[#This Row],[TrxId]]&lt;&gt;"",Jnl[[#This Row],[Acct]]&lt;&gt;"",Jnl[[#This Row],[Item]]&lt;&gt;"",ISNUMBER(Jnl[[#This Row],[Bal]]))</f>
        <v>1</v>
      </c>
      <c r="J1442" s="10">
        <f>IF(Jnl[[#This Row],[BSLv0]]="A",1,-1)*Jnl[[#This Row],[Bal]]</f>
        <v>-6854</v>
      </c>
      <c r="K1442" t="str">
        <f>_xlfn.XLOOKUP(Jnl[[#This Row],[Acct]], config_BS[Acct], config_BS[Lv0],,0)</f>
        <v>A</v>
      </c>
      <c r="L1442" t="str">
        <f>_xlfn.XLOOKUP(Jnl[[#This Row],[Acct]], config_BS[Acct], config_BS[Lv1],,0)</f>
        <v>Assets</v>
      </c>
      <c r="M1442" t="str">
        <f>_xlfn.XLOOKUP(Jnl[[#This Row],[Acct]], config_BS[Acct], config_BS[Lv2],,0)</f>
        <v>Cash alike</v>
      </c>
      <c r="N1442" t="str">
        <f>_xlfn.XLOOKUP(Jnl[[#This Row],[TrxId]], Trx[Id], Trx[IncNode], ,0)</f>
        <v>Cost</v>
      </c>
      <c r="O1442" t="str">
        <f>_xlfn.XLOOKUP(Jnl[[#This Row],[IncNode]], config_IS[Node], config_IS[Type],,0)</f>
        <v>Op</v>
      </c>
      <c r="P1442" t="str">
        <f>_xlfn.XLOOKUP(Jnl[[#This Row],[BSLv2]], dict[Key], dict[Name],,0)</f>
        <v>0.现金及类似</v>
      </c>
      <c r="Q1442" t="str">
        <f>_xlfn.XLOOKUP(Jnl[[#This Row],[Acct]], dict[Key], dict[Name],,0)</f>
        <v>银行</v>
      </c>
      <c r="R1442" t="str">
        <f>_xlfn.XLOOKUP(Jnl[[#This Row],[Vehicle]],config_vehicle[Id], config_vehicle[Name],,0)</f>
        <v>远家花园</v>
      </c>
      <c r="S1442" t="str">
        <f>_xlfn.XLOOKUP(Jnl[[#This Row],[Division]],config_div[Id], config_div[Name],,0)</f>
        <v>网店</v>
      </c>
      <c r="T1442" t="str">
        <f>IF(Jnl[[#This Row],[TrxDate]]&lt;=stmt_BS_date_end, "In", "Out")</f>
        <v>In</v>
      </c>
      <c r="U1442" t="str">
        <f>IF(Jnl[[#This Row],[TrxDate]]&lt;debug_date_start, "prior", IF(Jnl[[#This Row],[TrxDate]]&gt;debug_date_end, "post", "curr"))</f>
        <v>curr</v>
      </c>
    </row>
    <row r="1443" spans="1:21">
      <c r="A1443" s="11" t="s">
        <v>1831</v>
      </c>
      <c r="B1443" s="7">
        <f>_xlfn.XLOOKUP(Jnl[[#This Row],[TrxId]], Trx[Id], Trx[Date],,0)</f>
        <v>46081</v>
      </c>
      <c r="C1443" s="7" t="str">
        <f>_xlfn.XLOOKUP(Jnl[[#This Row],[TrxId]], Trx[Id], Trx[Division],,0)</f>
        <v>Online</v>
      </c>
      <c r="D1443" s="7" t="str">
        <f>_xlfn.XLOOKUP(Jnl[[#This Row],[TrxId]], Trx[Id], Trx[Action],,0)</f>
        <v>采购</v>
      </c>
      <c r="E1443" s="26" t="s">
        <v>80</v>
      </c>
      <c r="F1443" s="11" t="s">
        <v>598</v>
      </c>
      <c r="G1443" s="11" t="s">
        <v>151</v>
      </c>
      <c r="H1443" s="72">
        <v>16265.5</v>
      </c>
      <c r="I1443" s="5" t="b">
        <f>AND(Jnl[[#This Row],[TrxId]]&lt;&gt;"",Jnl[[#This Row],[Acct]]&lt;&gt;"",Jnl[[#This Row],[Item]]&lt;&gt;"",ISNUMBER(Jnl[[#This Row],[Bal]]))</f>
        <v>1</v>
      </c>
      <c r="J1443" s="10">
        <f>IF(Jnl[[#This Row],[BSLv0]]="A",1,-1)*Jnl[[#This Row],[Bal]]</f>
        <v>16265.5</v>
      </c>
      <c r="K1443" t="str">
        <f>_xlfn.XLOOKUP(Jnl[[#This Row],[Acct]], config_BS[Acct], config_BS[Lv0],,0)</f>
        <v>A</v>
      </c>
      <c r="L1443" t="str">
        <f>_xlfn.XLOOKUP(Jnl[[#This Row],[Acct]], config_BS[Acct], config_BS[Lv1],,0)</f>
        <v>Assets</v>
      </c>
      <c r="M1443" t="str">
        <f>_xlfn.XLOOKUP(Jnl[[#This Row],[Acct]], config_BS[Acct], config_BS[Lv2],,0)</f>
        <v>Invtr</v>
      </c>
      <c r="N1443" t="str">
        <f>_xlfn.XLOOKUP(Jnl[[#This Row],[TrxId]], Trx[Id], Trx[IncNode], ,0)</f>
        <v>Cost</v>
      </c>
      <c r="O1443" t="str">
        <f>_xlfn.XLOOKUP(Jnl[[#This Row],[IncNode]], config_IS[Node], config_IS[Type],,0)</f>
        <v>Op</v>
      </c>
      <c r="P1443" t="str">
        <f>_xlfn.XLOOKUP(Jnl[[#This Row],[BSLv2]], dict[Key], dict[Name],,0)</f>
        <v>3.库存占款</v>
      </c>
      <c r="Q1443" t="str">
        <f>_xlfn.XLOOKUP(Jnl[[#This Row],[Acct]], dict[Key], dict[Name],,0)</f>
        <v>当期存货</v>
      </c>
      <c r="R1443" t="str">
        <f>_xlfn.XLOOKUP(Jnl[[#This Row],[Vehicle]],config_vehicle[Id], config_vehicle[Name],,0)</f>
        <v>远家花园</v>
      </c>
      <c r="S1443" t="str">
        <f>_xlfn.XLOOKUP(Jnl[[#This Row],[Division]],config_div[Id], config_div[Name],,0)</f>
        <v>网店</v>
      </c>
      <c r="T1443" t="str">
        <f>IF(Jnl[[#This Row],[TrxDate]]&lt;=stmt_BS_date_end, "In", "Out")</f>
        <v>In</v>
      </c>
      <c r="U1443" t="str">
        <f>IF(Jnl[[#This Row],[TrxDate]]&lt;debug_date_start, "prior", IF(Jnl[[#This Row],[TrxDate]]&gt;debug_date_end, "post", "curr"))</f>
        <v>curr</v>
      </c>
    </row>
    <row r="1444" spans="1:21">
      <c r="A1444" s="11" t="s">
        <v>1831</v>
      </c>
      <c r="B1444" s="7">
        <f>_xlfn.XLOOKUP(Jnl[[#This Row],[TrxId]], Trx[Id], Trx[Date],,0)</f>
        <v>46081</v>
      </c>
      <c r="C1444" s="7" t="str">
        <f>_xlfn.XLOOKUP(Jnl[[#This Row],[TrxId]], Trx[Id], Trx[Division],,0)</f>
        <v>Online</v>
      </c>
      <c r="D1444" s="7" t="str">
        <f>_xlfn.XLOOKUP(Jnl[[#This Row],[TrxId]], Trx[Id], Trx[Action],,0)</f>
        <v>采购</v>
      </c>
      <c r="E1444" s="26" t="s">
        <v>80</v>
      </c>
      <c r="F1444" s="11" t="s">
        <v>590</v>
      </c>
      <c r="G1444" s="11" t="s">
        <v>391</v>
      </c>
      <c r="H1444" s="72">
        <v>-16265.5</v>
      </c>
      <c r="I1444" s="5" t="b">
        <f>AND(Jnl[[#This Row],[TrxId]]&lt;&gt;"",Jnl[[#This Row],[Acct]]&lt;&gt;"",Jnl[[#This Row],[Item]]&lt;&gt;"",ISNUMBER(Jnl[[#This Row],[Bal]]))</f>
        <v>1</v>
      </c>
      <c r="J1444" s="10">
        <f>IF(Jnl[[#This Row],[BSLv0]]="A",1,-1)*Jnl[[#This Row],[Bal]]</f>
        <v>-16265.5</v>
      </c>
      <c r="K1444" t="str">
        <f>_xlfn.XLOOKUP(Jnl[[#This Row],[Acct]], config_BS[Acct], config_BS[Lv0],,0)</f>
        <v>A</v>
      </c>
      <c r="L1444" t="str">
        <f>_xlfn.XLOOKUP(Jnl[[#This Row],[Acct]], config_BS[Acct], config_BS[Lv1],,0)</f>
        <v>Assets</v>
      </c>
      <c r="M1444" t="str">
        <f>_xlfn.XLOOKUP(Jnl[[#This Row],[Acct]], config_BS[Acct], config_BS[Lv2],,0)</f>
        <v>Cash alike</v>
      </c>
      <c r="N1444" t="str">
        <f>_xlfn.XLOOKUP(Jnl[[#This Row],[TrxId]], Trx[Id], Trx[IncNode], ,0)</f>
        <v>Cost</v>
      </c>
      <c r="O1444" t="str">
        <f>_xlfn.XLOOKUP(Jnl[[#This Row],[IncNode]], config_IS[Node], config_IS[Type],,0)</f>
        <v>Op</v>
      </c>
      <c r="P1444" t="str">
        <f>_xlfn.XLOOKUP(Jnl[[#This Row],[BSLv2]], dict[Key], dict[Name],,0)</f>
        <v>0.现金及类似</v>
      </c>
      <c r="Q1444" t="str">
        <f>_xlfn.XLOOKUP(Jnl[[#This Row],[Acct]], dict[Key], dict[Name],,0)</f>
        <v>银行</v>
      </c>
      <c r="R1444" t="str">
        <f>_xlfn.XLOOKUP(Jnl[[#This Row],[Vehicle]],config_vehicle[Id], config_vehicle[Name],,0)</f>
        <v>远家花园</v>
      </c>
      <c r="S1444" t="str">
        <f>_xlfn.XLOOKUP(Jnl[[#This Row],[Division]],config_div[Id], config_div[Name],,0)</f>
        <v>网店</v>
      </c>
      <c r="T1444" t="str">
        <f>IF(Jnl[[#This Row],[TrxDate]]&lt;=stmt_BS_date_end, "In", "Out")</f>
        <v>In</v>
      </c>
      <c r="U1444" t="str">
        <f>IF(Jnl[[#This Row],[TrxDate]]&lt;debug_date_start, "prior", IF(Jnl[[#This Row],[TrxDate]]&gt;debug_date_end, "post", "curr"))</f>
        <v>curr</v>
      </c>
    </row>
    <row r="1445" spans="1:21">
      <c r="A1445" s="11" t="s">
        <v>1832</v>
      </c>
      <c r="B1445" s="7">
        <f>_xlfn.XLOOKUP(Jnl[[#This Row],[TrxId]], Trx[Id], Trx[Date],,0)</f>
        <v>46081</v>
      </c>
      <c r="C1445" s="7" t="str">
        <f>_xlfn.XLOOKUP(Jnl[[#This Row],[TrxId]], Trx[Id], Trx[Division],,0)</f>
        <v>Online</v>
      </c>
      <c r="D1445" s="7" t="str">
        <f>_xlfn.XLOOKUP(Jnl[[#This Row],[TrxId]], Trx[Id], Trx[Action],,0)</f>
        <v>加工</v>
      </c>
      <c r="E1445" s="26" t="s">
        <v>80</v>
      </c>
      <c r="F1445" s="11" t="s">
        <v>598</v>
      </c>
      <c r="G1445" s="11" t="s">
        <v>151</v>
      </c>
      <c r="H1445" s="72">
        <v>6112</v>
      </c>
      <c r="I1445" s="5" t="b">
        <f>AND(Jnl[[#This Row],[TrxId]]&lt;&gt;"",Jnl[[#This Row],[Acct]]&lt;&gt;"",Jnl[[#This Row],[Item]]&lt;&gt;"",ISNUMBER(Jnl[[#This Row],[Bal]]))</f>
        <v>1</v>
      </c>
      <c r="J1445" s="10">
        <f>IF(Jnl[[#This Row],[BSLv0]]="A",1,-1)*Jnl[[#This Row],[Bal]]</f>
        <v>6112</v>
      </c>
      <c r="K1445" t="str">
        <f>_xlfn.XLOOKUP(Jnl[[#This Row],[Acct]], config_BS[Acct], config_BS[Lv0],,0)</f>
        <v>A</v>
      </c>
      <c r="L1445" t="str">
        <f>_xlfn.XLOOKUP(Jnl[[#This Row],[Acct]], config_BS[Acct], config_BS[Lv1],,0)</f>
        <v>Assets</v>
      </c>
      <c r="M1445" t="str">
        <f>_xlfn.XLOOKUP(Jnl[[#This Row],[Acct]], config_BS[Acct], config_BS[Lv2],,0)</f>
        <v>Invtr</v>
      </c>
      <c r="N1445" t="str">
        <f>_xlfn.XLOOKUP(Jnl[[#This Row],[TrxId]], Trx[Id], Trx[IncNode], ,0)</f>
        <v>Cost</v>
      </c>
      <c r="O1445" t="str">
        <f>_xlfn.XLOOKUP(Jnl[[#This Row],[IncNode]], config_IS[Node], config_IS[Type],,0)</f>
        <v>Op</v>
      </c>
      <c r="P1445" t="str">
        <f>_xlfn.XLOOKUP(Jnl[[#This Row],[BSLv2]], dict[Key], dict[Name],,0)</f>
        <v>3.库存占款</v>
      </c>
      <c r="Q1445" t="str">
        <f>_xlfn.XLOOKUP(Jnl[[#This Row],[Acct]], dict[Key], dict[Name],,0)</f>
        <v>当期存货</v>
      </c>
      <c r="R1445" t="str">
        <f>_xlfn.XLOOKUP(Jnl[[#This Row],[Vehicle]],config_vehicle[Id], config_vehicle[Name],,0)</f>
        <v>远家花园</v>
      </c>
      <c r="S1445" t="str">
        <f>_xlfn.XLOOKUP(Jnl[[#This Row],[Division]],config_div[Id], config_div[Name],,0)</f>
        <v>网店</v>
      </c>
      <c r="T1445" t="str">
        <f>IF(Jnl[[#This Row],[TrxDate]]&lt;=stmt_BS_date_end, "In", "Out")</f>
        <v>In</v>
      </c>
      <c r="U1445" t="str">
        <f>IF(Jnl[[#This Row],[TrxDate]]&lt;debug_date_start, "prior", IF(Jnl[[#This Row],[TrxDate]]&gt;debug_date_end, "post", "curr"))</f>
        <v>curr</v>
      </c>
    </row>
    <row r="1446" spans="1:21">
      <c r="A1446" s="11" t="s">
        <v>1832</v>
      </c>
      <c r="B1446" s="7">
        <f>_xlfn.XLOOKUP(Jnl[[#This Row],[TrxId]], Trx[Id], Trx[Date],,0)</f>
        <v>46081</v>
      </c>
      <c r="C1446" s="7" t="str">
        <f>_xlfn.XLOOKUP(Jnl[[#This Row],[TrxId]], Trx[Id], Trx[Division],,0)</f>
        <v>Online</v>
      </c>
      <c r="D1446" s="7" t="str">
        <f>_xlfn.XLOOKUP(Jnl[[#This Row],[TrxId]], Trx[Id], Trx[Action],,0)</f>
        <v>加工</v>
      </c>
      <c r="E1446" s="26" t="s">
        <v>80</v>
      </c>
      <c r="F1446" s="11" t="s">
        <v>590</v>
      </c>
      <c r="G1446" s="11" t="s">
        <v>391</v>
      </c>
      <c r="H1446" s="72">
        <v>-6112</v>
      </c>
      <c r="I1446" s="5" t="b">
        <f>AND(Jnl[[#This Row],[TrxId]]&lt;&gt;"",Jnl[[#This Row],[Acct]]&lt;&gt;"",Jnl[[#This Row],[Item]]&lt;&gt;"",ISNUMBER(Jnl[[#This Row],[Bal]]))</f>
        <v>1</v>
      </c>
      <c r="J1446" s="10">
        <f>IF(Jnl[[#This Row],[BSLv0]]="A",1,-1)*Jnl[[#This Row],[Bal]]</f>
        <v>-6112</v>
      </c>
      <c r="K1446" t="str">
        <f>_xlfn.XLOOKUP(Jnl[[#This Row],[Acct]], config_BS[Acct], config_BS[Lv0],,0)</f>
        <v>A</v>
      </c>
      <c r="L1446" t="str">
        <f>_xlfn.XLOOKUP(Jnl[[#This Row],[Acct]], config_BS[Acct], config_BS[Lv1],,0)</f>
        <v>Assets</v>
      </c>
      <c r="M1446" t="str">
        <f>_xlfn.XLOOKUP(Jnl[[#This Row],[Acct]], config_BS[Acct], config_BS[Lv2],,0)</f>
        <v>Cash alike</v>
      </c>
      <c r="N1446" t="str">
        <f>_xlfn.XLOOKUP(Jnl[[#This Row],[TrxId]], Trx[Id], Trx[IncNode], ,0)</f>
        <v>Cost</v>
      </c>
      <c r="O1446" t="str">
        <f>_xlfn.XLOOKUP(Jnl[[#This Row],[IncNode]], config_IS[Node], config_IS[Type],,0)</f>
        <v>Op</v>
      </c>
      <c r="P1446" t="str">
        <f>_xlfn.XLOOKUP(Jnl[[#This Row],[BSLv2]], dict[Key], dict[Name],,0)</f>
        <v>0.现金及类似</v>
      </c>
      <c r="Q1446" t="str">
        <f>_xlfn.XLOOKUP(Jnl[[#This Row],[Acct]], dict[Key], dict[Name],,0)</f>
        <v>银行</v>
      </c>
      <c r="R1446" t="str">
        <f>_xlfn.XLOOKUP(Jnl[[#This Row],[Vehicle]],config_vehicle[Id], config_vehicle[Name],,0)</f>
        <v>远家花园</v>
      </c>
      <c r="S1446" t="str">
        <f>_xlfn.XLOOKUP(Jnl[[#This Row],[Division]],config_div[Id], config_div[Name],,0)</f>
        <v>网店</v>
      </c>
      <c r="T1446" t="str">
        <f>IF(Jnl[[#This Row],[TrxDate]]&lt;=stmt_BS_date_end, "In", "Out")</f>
        <v>In</v>
      </c>
      <c r="U1446" t="str">
        <f>IF(Jnl[[#This Row],[TrxDate]]&lt;debug_date_start, "prior", IF(Jnl[[#This Row],[TrxDate]]&gt;debug_date_end, "post", "curr"))</f>
        <v>curr</v>
      </c>
    </row>
    <row r="1447" spans="1:21">
      <c r="A1447" s="11" t="s">
        <v>1833</v>
      </c>
      <c r="B1447" s="7">
        <f>_xlfn.XLOOKUP(Jnl[[#This Row],[TrxId]], Trx[Id], Trx[Date],,0)</f>
        <v>46081</v>
      </c>
      <c r="C1447" s="7" t="str">
        <f>_xlfn.XLOOKUP(Jnl[[#This Row],[TrxId]], Trx[Id], Trx[Division],,0)</f>
        <v>Brand</v>
      </c>
      <c r="D1447" s="7" t="str">
        <f>_xlfn.XLOOKUP(Jnl[[#This Row],[TrxId]], Trx[Id], Trx[Action],,0)</f>
        <v>拍摄</v>
      </c>
      <c r="E1447" s="26" t="s">
        <v>80</v>
      </c>
      <c r="F1447" s="11" t="s">
        <v>590</v>
      </c>
      <c r="G1447" s="11" t="s">
        <v>391</v>
      </c>
      <c r="H1447" s="72">
        <v>-988.41</v>
      </c>
      <c r="I1447" s="5" t="b">
        <f>AND(Jnl[[#This Row],[TrxId]]&lt;&gt;"",Jnl[[#This Row],[Acct]]&lt;&gt;"",Jnl[[#This Row],[Item]]&lt;&gt;"",ISNUMBER(Jnl[[#This Row],[Bal]]))</f>
        <v>1</v>
      </c>
      <c r="J1447" s="10">
        <f>IF(Jnl[[#This Row],[BSLv0]]="A",1,-1)*Jnl[[#This Row],[Bal]]</f>
        <v>-988.41</v>
      </c>
      <c r="K1447" t="str">
        <f>_xlfn.XLOOKUP(Jnl[[#This Row],[Acct]], config_BS[Acct], config_BS[Lv0],,0)</f>
        <v>A</v>
      </c>
      <c r="L1447" t="str">
        <f>_xlfn.XLOOKUP(Jnl[[#This Row],[Acct]], config_BS[Acct], config_BS[Lv1],,0)</f>
        <v>Assets</v>
      </c>
      <c r="M1447" t="str">
        <f>_xlfn.XLOOKUP(Jnl[[#This Row],[Acct]], config_BS[Acct], config_BS[Lv2],,0)</f>
        <v>Cash alike</v>
      </c>
      <c r="N1447" t="str">
        <f>_xlfn.XLOOKUP(Jnl[[#This Row],[TrxId]], Trx[Id], Trx[IncNode], ,0)</f>
        <v>Expense</v>
      </c>
      <c r="O1447" t="str">
        <f>_xlfn.XLOOKUP(Jnl[[#This Row],[IncNode]], config_IS[Node], config_IS[Type],,0)</f>
        <v>Op</v>
      </c>
      <c r="P1447" t="str">
        <f>_xlfn.XLOOKUP(Jnl[[#This Row],[BSLv2]], dict[Key], dict[Name],,0)</f>
        <v>0.现金及类似</v>
      </c>
      <c r="Q1447" t="str">
        <f>_xlfn.XLOOKUP(Jnl[[#This Row],[Acct]], dict[Key], dict[Name],,0)</f>
        <v>银行</v>
      </c>
      <c r="R1447" t="str">
        <f>_xlfn.XLOOKUP(Jnl[[#This Row],[Vehicle]],config_vehicle[Id], config_vehicle[Name],,0)</f>
        <v>远家花园</v>
      </c>
      <c r="S1447" t="str">
        <f>_xlfn.XLOOKUP(Jnl[[#This Row],[Division]],config_div[Id], config_div[Name],,0)</f>
        <v>品牌</v>
      </c>
      <c r="T1447" t="str">
        <f>IF(Jnl[[#This Row],[TrxDate]]&lt;=stmt_BS_date_end, "In", "Out")</f>
        <v>In</v>
      </c>
      <c r="U1447" t="str">
        <f>IF(Jnl[[#This Row],[TrxDate]]&lt;debug_date_start, "prior", IF(Jnl[[#This Row],[TrxDate]]&gt;debug_date_end, "post", "curr"))</f>
        <v>curr</v>
      </c>
    </row>
    <row r="1448" spans="1:21">
      <c r="A1448" s="11" t="s">
        <v>1835</v>
      </c>
      <c r="B1448" s="7">
        <f>_xlfn.XLOOKUP(Jnl[[#This Row],[TrxId]], Trx[Id], Trx[Date],,0)</f>
        <v>46081</v>
      </c>
      <c r="C1448" s="7" t="str">
        <f>_xlfn.XLOOKUP(Jnl[[#This Row],[TrxId]], Trx[Id], Trx[Division],,0)</f>
        <v>GM</v>
      </c>
      <c r="D1448" s="7" t="str">
        <f>_xlfn.XLOOKUP(Jnl[[#This Row],[TrxId]], Trx[Id], Trx[Action],,0)</f>
        <v>年会</v>
      </c>
      <c r="E1448" s="26" t="s">
        <v>80</v>
      </c>
      <c r="F1448" s="11" t="s">
        <v>590</v>
      </c>
      <c r="G1448" s="11" t="s">
        <v>391</v>
      </c>
      <c r="H1448" s="72">
        <v>-38000</v>
      </c>
      <c r="I1448" s="5" t="b">
        <f>AND(Jnl[[#This Row],[TrxId]]&lt;&gt;"",Jnl[[#This Row],[Acct]]&lt;&gt;"",Jnl[[#This Row],[Item]]&lt;&gt;"",ISNUMBER(Jnl[[#This Row],[Bal]]))</f>
        <v>1</v>
      </c>
      <c r="J1448" s="10">
        <f>IF(Jnl[[#This Row],[BSLv0]]="A",1,-1)*Jnl[[#This Row],[Bal]]</f>
        <v>-38000</v>
      </c>
      <c r="K1448" t="str">
        <f>_xlfn.XLOOKUP(Jnl[[#This Row],[Acct]], config_BS[Acct], config_BS[Lv0],,0)</f>
        <v>A</v>
      </c>
      <c r="L1448" t="str">
        <f>_xlfn.XLOOKUP(Jnl[[#This Row],[Acct]], config_BS[Acct], config_BS[Lv1],,0)</f>
        <v>Assets</v>
      </c>
      <c r="M1448" t="str">
        <f>_xlfn.XLOOKUP(Jnl[[#This Row],[Acct]], config_BS[Acct], config_BS[Lv2],,0)</f>
        <v>Cash alike</v>
      </c>
      <c r="N1448" t="str">
        <f>_xlfn.XLOOKUP(Jnl[[#This Row],[TrxId]], Trx[Id], Trx[IncNode], ,0)</f>
        <v>Discretion</v>
      </c>
      <c r="O1448" t="str">
        <f>_xlfn.XLOOKUP(Jnl[[#This Row],[IncNode]], config_IS[Node], config_IS[Type],,0)</f>
        <v>Non-Op</v>
      </c>
      <c r="P1448" t="str">
        <f>_xlfn.XLOOKUP(Jnl[[#This Row],[BSLv2]], dict[Key], dict[Name],,0)</f>
        <v>0.现金及类似</v>
      </c>
      <c r="Q1448" t="str">
        <f>_xlfn.XLOOKUP(Jnl[[#This Row],[Acct]], dict[Key], dict[Name],,0)</f>
        <v>银行</v>
      </c>
      <c r="R1448" t="str">
        <f>_xlfn.XLOOKUP(Jnl[[#This Row],[Vehicle]],config_vehicle[Id], config_vehicle[Name],,0)</f>
        <v>远家花园</v>
      </c>
      <c r="S1448" t="str">
        <f>_xlfn.XLOOKUP(Jnl[[#This Row],[Division]],config_div[Id], config_div[Name],,0)</f>
        <v>综合管理</v>
      </c>
      <c r="T1448" t="str">
        <f>IF(Jnl[[#This Row],[TrxDate]]&lt;=stmt_BS_date_end, "In", "Out")</f>
        <v>In</v>
      </c>
      <c r="U1448" t="str">
        <f>IF(Jnl[[#This Row],[TrxDate]]&lt;debug_date_start, "prior", IF(Jnl[[#This Row],[TrxDate]]&gt;debug_date_end, "post", "curr"))</f>
        <v>curr</v>
      </c>
    </row>
    <row r="1449" spans="1:21">
      <c r="A1449" s="11" t="s">
        <v>1837</v>
      </c>
      <c r="B1449" s="7">
        <f>_xlfn.XLOOKUP(Jnl[[#This Row],[TrxId]], Trx[Id], Trx[Date],,0)</f>
        <v>46081</v>
      </c>
      <c r="C1449" s="7" t="str">
        <f>_xlfn.XLOOKUP(Jnl[[#This Row],[TrxId]], Trx[Id], Trx[Division],,0)</f>
        <v>Online</v>
      </c>
      <c r="D1449" s="7" t="str">
        <f>_xlfn.XLOOKUP(Jnl[[#This Row],[TrxId]], Trx[Id], Trx[Action],,0)</f>
        <v>加工</v>
      </c>
      <c r="E1449" s="26" t="s">
        <v>80</v>
      </c>
      <c r="F1449" s="11" t="s">
        <v>598</v>
      </c>
      <c r="G1449" s="11" t="s">
        <v>151</v>
      </c>
      <c r="H1449" s="72">
        <v>13340</v>
      </c>
      <c r="I1449" s="5" t="b">
        <f>AND(Jnl[[#This Row],[TrxId]]&lt;&gt;"",Jnl[[#This Row],[Acct]]&lt;&gt;"",Jnl[[#This Row],[Item]]&lt;&gt;"",ISNUMBER(Jnl[[#This Row],[Bal]]))</f>
        <v>1</v>
      </c>
      <c r="J1449" s="10">
        <f>IF(Jnl[[#This Row],[BSLv0]]="A",1,-1)*Jnl[[#This Row],[Bal]]</f>
        <v>13340</v>
      </c>
      <c r="K1449" t="str">
        <f>_xlfn.XLOOKUP(Jnl[[#This Row],[Acct]], config_BS[Acct], config_BS[Lv0],,0)</f>
        <v>A</v>
      </c>
      <c r="L1449" t="str">
        <f>_xlfn.XLOOKUP(Jnl[[#This Row],[Acct]], config_BS[Acct], config_BS[Lv1],,0)</f>
        <v>Assets</v>
      </c>
      <c r="M1449" t="str">
        <f>_xlfn.XLOOKUP(Jnl[[#This Row],[Acct]], config_BS[Acct], config_BS[Lv2],,0)</f>
        <v>Invtr</v>
      </c>
      <c r="N1449" t="str">
        <f>_xlfn.XLOOKUP(Jnl[[#This Row],[TrxId]], Trx[Id], Trx[IncNode], ,0)</f>
        <v>Cost</v>
      </c>
      <c r="O1449" t="str">
        <f>_xlfn.XLOOKUP(Jnl[[#This Row],[IncNode]], config_IS[Node], config_IS[Type],,0)</f>
        <v>Op</v>
      </c>
      <c r="P1449" t="str">
        <f>_xlfn.XLOOKUP(Jnl[[#This Row],[BSLv2]], dict[Key], dict[Name],,0)</f>
        <v>3.库存占款</v>
      </c>
      <c r="Q1449" t="str">
        <f>_xlfn.XLOOKUP(Jnl[[#This Row],[Acct]], dict[Key], dict[Name],,0)</f>
        <v>当期存货</v>
      </c>
      <c r="R1449" t="str">
        <f>_xlfn.XLOOKUP(Jnl[[#This Row],[Vehicle]],config_vehicle[Id], config_vehicle[Name],,0)</f>
        <v>远家花园</v>
      </c>
      <c r="S1449" t="str">
        <f>_xlfn.XLOOKUP(Jnl[[#This Row],[Division]],config_div[Id], config_div[Name],,0)</f>
        <v>网店</v>
      </c>
      <c r="T1449" t="str">
        <f>IF(Jnl[[#This Row],[TrxDate]]&lt;=stmt_BS_date_end, "In", "Out")</f>
        <v>In</v>
      </c>
      <c r="U1449" t="str">
        <f>IF(Jnl[[#This Row],[TrxDate]]&lt;debug_date_start, "prior", IF(Jnl[[#This Row],[TrxDate]]&gt;debug_date_end, "post", "curr"))</f>
        <v>curr</v>
      </c>
    </row>
    <row r="1450" spans="1:21">
      <c r="A1450" s="11" t="s">
        <v>1837</v>
      </c>
      <c r="B1450" s="7">
        <f>_xlfn.XLOOKUP(Jnl[[#This Row],[TrxId]], Trx[Id], Trx[Date],,0)</f>
        <v>46081</v>
      </c>
      <c r="C1450" s="7" t="str">
        <f>_xlfn.XLOOKUP(Jnl[[#This Row],[TrxId]], Trx[Id], Trx[Division],,0)</f>
        <v>Online</v>
      </c>
      <c r="D1450" s="7" t="str">
        <f>_xlfn.XLOOKUP(Jnl[[#This Row],[TrxId]], Trx[Id], Trx[Action],,0)</f>
        <v>加工</v>
      </c>
      <c r="E1450" s="26" t="s">
        <v>80</v>
      </c>
      <c r="F1450" s="11" t="s">
        <v>590</v>
      </c>
      <c r="G1450" s="11" t="s">
        <v>391</v>
      </c>
      <c r="H1450" s="72">
        <v>-13340</v>
      </c>
      <c r="I1450" s="5" t="b">
        <f>AND(Jnl[[#This Row],[TrxId]]&lt;&gt;"",Jnl[[#This Row],[Acct]]&lt;&gt;"",Jnl[[#This Row],[Item]]&lt;&gt;"",ISNUMBER(Jnl[[#This Row],[Bal]]))</f>
        <v>1</v>
      </c>
      <c r="J1450" s="10">
        <f>IF(Jnl[[#This Row],[BSLv0]]="A",1,-1)*Jnl[[#This Row],[Bal]]</f>
        <v>-13340</v>
      </c>
      <c r="K1450" t="str">
        <f>_xlfn.XLOOKUP(Jnl[[#This Row],[Acct]], config_BS[Acct], config_BS[Lv0],,0)</f>
        <v>A</v>
      </c>
      <c r="L1450" t="str">
        <f>_xlfn.XLOOKUP(Jnl[[#This Row],[Acct]], config_BS[Acct], config_BS[Lv1],,0)</f>
        <v>Assets</v>
      </c>
      <c r="M1450" t="str">
        <f>_xlfn.XLOOKUP(Jnl[[#This Row],[Acct]], config_BS[Acct], config_BS[Lv2],,0)</f>
        <v>Cash alike</v>
      </c>
      <c r="N1450" t="str">
        <f>_xlfn.XLOOKUP(Jnl[[#This Row],[TrxId]], Trx[Id], Trx[IncNode], ,0)</f>
        <v>Cost</v>
      </c>
      <c r="O1450" t="str">
        <f>_xlfn.XLOOKUP(Jnl[[#This Row],[IncNode]], config_IS[Node], config_IS[Type],,0)</f>
        <v>Op</v>
      </c>
      <c r="P1450" t="str">
        <f>_xlfn.XLOOKUP(Jnl[[#This Row],[BSLv2]], dict[Key], dict[Name],,0)</f>
        <v>0.现金及类似</v>
      </c>
      <c r="Q1450" t="str">
        <f>_xlfn.XLOOKUP(Jnl[[#This Row],[Acct]], dict[Key], dict[Name],,0)</f>
        <v>银行</v>
      </c>
      <c r="R1450" t="str">
        <f>_xlfn.XLOOKUP(Jnl[[#This Row],[Vehicle]],config_vehicle[Id], config_vehicle[Name],,0)</f>
        <v>远家花园</v>
      </c>
      <c r="S1450" t="str">
        <f>_xlfn.XLOOKUP(Jnl[[#This Row],[Division]],config_div[Id], config_div[Name],,0)</f>
        <v>网店</v>
      </c>
      <c r="T1450" t="str">
        <f>IF(Jnl[[#This Row],[TrxDate]]&lt;=stmt_BS_date_end, "In", "Out")</f>
        <v>In</v>
      </c>
      <c r="U1450" t="str">
        <f>IF(Jnl[[#This Row],[TrxDate]]&lt;debug_date_start, "prior", IF(Jnl[[#This Row],[TrxDate]]&gt;debug_date_end, "post", "curr"))</f>
        <v>curr</v>
      </c>
    </row>
    <row r="1451" spans="1:21">
      <c r="A1451" s="11" t="s">
        <v>1838</v>
      </c>
      <c r="B1451" s="7">
        <f>_xlfn.XLOOKUP(Jnl[[#This Row],[TrxId]], Trx[Id], Trx[Date],,0)</f>
        <v>46081</v>
      </c>
      <c r="C1451" s="7" t="str">
        <f>_xlfn.XLOOKUP(Jnl[[#This Row],[TrxId]], Trx[Id], Trx[Division],,0)</f>
        <v>Online</v>
      </c>
      <c r="D1451" s="7" t="str">
        <f>_xlfn.XLOOKUP(Jnl[[#This Row],[TrxId]], Trx[Id], Trx[Action],,0)</f>
        <v>福利</v>
      </c>
      <c r="E1451" s="26" t="s">
        <v>80</v>
      </c>
      <c r="F1451" s="11" t="s">
        <v>590</v>
      </c>
      <c r="G1451" s="11" t="s">
        <v>391</v>
      </c>
      <c r="H1451" s="72">
        <v>-6870.8</v>
      </c>
      <c r="I1451" s="5" t="b">
        <f>AND(Jnl[[#This Row],[TrxId]]&lt;&gt;"",Jnl[[#This Row],[Acct]]&lt;&gt;"",Jnl[[#This Row],[Item]]&lt;&gt;"",ISNUMBER(Jnl[[#This Row],[Bal]]))</f>
        <v>1</v>
      </c>
      <c r="J1451" s="10">
        <f>IF(Jnl[[#This Row],[BSLv0]]="A",1,-1)*Jnl[[#This Row],[Bal]]</f>
        <v>-6870.8</v>
      </c>
      <c r="K1451" t="str">
        <f>_xlfn.XLOOKUP(Jnl[[#This Row],[Acct]], config_BS[Acct], config_BS[Lv0],,0)</f>
        <v>A</v>
      </c>
      <c r="L1451" t="str">
        <f>_xlfn.XLOOKUP(Jnl[[#This Row],[Acct]], config_BS[Acct], config_BS[Lv1],,0)</f>
        <v>Assets</v>
      </c>
      <c r="M1451" t="str">
        <f>_xlfn.XLOOKUP(Jnl[[#This Row],[Acct]], config_BS[Acct], config_BS[Lv2],,0)</f>
        <v>Cash alike</v>
      </c>
      <c r="N1451" t="str">
        <f>_xlfn.XLOOKUP(Jnl[[#This Row],[TrxId]], Trx[Id], Trx[IncNode], ,0)</f>
        <v>Expense</v>
      </c>
      <c r="O1451" t="str">
        <f>_xlfn.XLOOKUP(Jnl[[#This Row],[IncNode]], config_IS[Node], config_IS[Type],,0)</f>
        <v>Op</v>
      </c>
      <c r="P1451" t="str">
        <f>_xlfn.XLOOKUP(Jnl[[#This Row],[BSLv2]], dict[Key], dict[Name],,0)</f>
        <v>0.现金及类似</v>
      </c>
      <c r="Q1451" t="str">
        <f>_xlfn.XLOOKUP(Jnl[[#This Row],[Acct]], dict[Key], dict[Name],,0)</f>
        <v>银行</v>
      </c>
      <c r="R1451" t="str">
        <f>_xlfn.XLOOKUP(Jnl[[#This Row],[Vehicle]],config_vehicle[Id], config_vehicle[Name],,0)</f>
        <v>远家花园</v>
      </c>
      <c r="S1451" t="str">
        <f>_xlfn.XLOOKUP(Jnl[[#This Row],[Division]],config_div[Id], config_div[Name],,0)</f>
        <v>网店</v>
      </c>
      <c r="T1451" t="str">
        <f>IF(Jnl[[#This Row],[TrxDate]]&lt;=stmt_BS_date_end, "In", "Out")</f>
        <v>In</v>
      </c>
      <c r="U1451" t="str">
        <f>IF(Jnl[[#This Row],[TrxDate]]&lt;debug_date_start, "prior", IF(Jnl[[#This Row],[TrxDate]]&gt;debug_date_end, "post", "curr"))</f>
        <v>curr</v>
      </c>
    </row>
    <row r="1452" spans="1:21">
      <c r="A1452" s="11" t="s">
        <v>1840</v>
      </c>
      <c r="B1452" s="7">
        <f>_xlfn.XLOOKUP(Jnl[[#This Row],[TrxId]], Trx[Id], Trx[Date],,0)</f>
        <v>46081</v>
      </c>
      <c r="C1452" s="7" t="str">
        <f>_xlfn.XLOOKUP(Jnl[[#This Row],[TrxId]], Trx[Id], Trx[Division],,0)</f>
        <v>GM</v>
      </c>
      <c r="D1452" s="7" t="str">
        <f>_xlfn.XLOOKUP(Jnl[[#This Row],[TrxId]], Trx[Id], Trx[Action],,0)</f>
        <v>交通</v>
      </c>
      <c r="E1452" s="26" t="s">
        <v>80</v>
      </c>
      <c r="F1452" s="11" t="s">
        <v>590</v>
      </c>
      <c r="G1452" s="11" t="s">
        <v>391</v>
      </c>
      <c r="H1452" s="72">
        <v>-142.5</v>
      </c>
      <c r="I1452" s="5" t="b">
        <f>AND(Jnl[[#This Row],[TrxId]]&lt;&gt;"",Jnl[[#This Row],[Acct]]&lt;&gt;"",Jnl[[#This Row],[Item]]&lt;&gt;"",ISNUMBER(Jnl[[#This Row],[Bal]]))</f>
        <v>1</v>
      </c>
      <c r="J1452" s="10">
        <f>IF(Jnl[[#This Row],[BSLv0]]="A",1,-1)*Jnl[[#This Row],[Bal]]</f>
        <v>-142.5</v>
      </c>
      <c r="K1452" t="str">
        <f>_xlfn.XLOOKUP(Jnl[[#This Row],[Acct]], config_BS[Acct], config_BS[Lv0],,0)</f>
        <v>A</v>
      </c>
      <c r="L1452" t="str">
        <f>_xlfn.XLOOKUP(Jnl[[#This Row],[Acct]], config_BS[Acct], config_BS[Lv1],,0)</f>
        <v>Assets</v>
      </c>
      <c r="M1452" t="str">
        <f>_xlfn.XLOOKUP(Jnl[[#This Row],[Acct]], config_BS[Acct], config_BS[Lv2],,0)</f>
        <v>Cash alike</v>
      </c>
      <c r="N1452" t="str">
        <f>_xlfn.XLOOKUP(Jnl[[#This Row],[TrxId]], Trx[Id], Trx[IncNode], ,0)</f>
        <v>Expense</v>
      </c>
      <c r="O1452" t="str">
        <f>_xlfn.XLOOKUP(Jnl[[#This Row],[IncNode]], config_IS[Node], config_IS[Type],,0)</f>
        <v>Op</v>
      </c>
      <c r="P1452" t="str">
        <f>_xlfn.XLOOKUP(Jnl[[#This Row],[BSLv2]], dict[Key], dict[Name],,0)</f>
        <v>0.现金及类似</v>
      </c>
      <c r="Q1452" t="str">
        <f>_xlfn.XLOOKUP(Jnl[[#This Row],[Acct]], dict[Key], dict[Name],,0)</f>
        <v>银行</v>
      </c>
      <c r="R1452" t="str">
        <f>_xlfn.XLOOKUP(Jnl[[#This Row],[Vehicle]],config_vehicle[Id], config_vehicle[Name],,0)</f>
        <v>远家花园</v>
      </c>
      <c r="S1452" t="str">
        <f>_xlfn.XLOOKUP(Jnl[[#This Row],[Division]],config_div[Id], config_div[Name],,0)</f>
        <v>综合管理</v>
      </c>
      <c r="T1452" t="str">
        <f>IF(Jnl[[#This Row],[TrxDate]]&lt;=stmt_BS_date_end, "In", "Out")</f>
        <v>In</v>
      </c>
      <c r="U1452" t="str">
        <f>IF(Jnl[[#This Row],[TrxDate]]&lt;debug_date_start, "prior", IF(Jnl[[#This Row],[TrxDate]]&gt;debug_date_end, "post", "curr"))</f>
        <v>curr</v>
      </c>
    </row>
    <row r="1453" spans="1:21">
      <c r="A1453" s="11" t="s">
        <v>1842</v>
      </c>
      <c r="B1453" s="7">
        <f>_xlfn.XLOOKUP(Jnl[[#This Row],[TrxId]], Trx[Id], Trx[Date],,0)</f>
        <v>46081</v>
      </c>
      <c r="C1453" s="7" t="str">
        <f>_xlfn.XLOOKUP(Jnl[[#This Row],[TrxId]], Trx[Id], Trx[Division],,0)</f>
        <v>Online</v>
      </c>
      <c r="D1453" s="7" t="str">
        <f>_xlfn.XLOOKUP(Jnl[[#This Row],[TrxId]], Trx[Id], Trx[Action],,0)</f>
        <v>福利</v>
      </c>
      <c r="E1453" s="26" t="s">
        <v>80</v>
      </c>
      <c r="F1453" s="11" t="s">
        <v>590</v>
      </c>
      <c r="G1453" s="11" t="s">
        <v>391</v>
      </c>
      <c r="H1453" s="72">
        <v>-215</v>
      </c>
      <c r="I1453" s="5" t="b">
        <f>AND(Jnl[[#This Row],[TrxId]]&lt;&gt;"",Jnl[[#This Row],[Acct]]&lt;&gt;"",Jnl[[#This Row],[Item]]&lt;&gt;"",ISNUMBER(Jnl[[#This Row],[Bal]]))</f>
        <v>1</v>
      </c>
      <c r="J1453" s="10">
        <f>IF(Jnl[[#This Row],[BSLv0]]="A",1,-1)*Jnl[[#This Row],[Bal]]</f>
        <v>-215</v>
      </c>
      <c r="K1453" t="str">
        <f>_xlfn.XLOOKUP(Jnl[[#This Row],[Acct]], config_BS[Acct], config_BS[Lv0],,0)</f>
        <v>A</v>
      </c>
      <c r="L1453" t="str">
        <f>_xlfn.XLOOKUP(Jnl[[#This Row],[Acct]], config_BS[Acct], config_BS[Lv1],,0)</f>
        <v>Assets</v>
      </c>
      <c r="M1453" t="str">
        <f>_xlfn.XLOOKUP(Jnl[[#This Row],[Acct]], config_BS[Acct], config_BS[Lv2],,0)</f>
        <v>Cash alike</v>
      </c>
      <c r="N1453" t="str">
        <f>_xlfn.XLOOKUP(Jnl[[#This Row],[TrxId]], Trx[Id], Trx[IncNode], ,0)</f>
        <v>Expense</v>
      </c>
      <c r="O1453" t="str">
        <f>_xlfn.XLOOKUP(Jnl[[#This Row],[IncNode]], config_IS[Node], config_IS[Type],,0)</f>
        <v>Op</v>
      </c>
      <c r="P1453" t="str">
        <f>_xlfn.XLOOKUP(Jnl[[#This Row],[BSLv2]], dict[Key], dict[Name],,0)</f>
        <v>0.现金及类似</v>
      </c>
      <c r="Q1453" t="str">
        <f>_xlfn.XLOOKUP(Jnl[[#This Row],[Acct]], dict[Key], dict[Name],,0)</f>
        <v>银行</v>
      </c>
      <c r="R1453" t="str">
        <f>_xlfn.XLOOKUP(Jnl[[#This Row],[Vehicle]],config_vehicle[Id], config_vehicle[Name],,0)</f>
        <v>远家花园</v>
      </c>
      <c r="S1453" t="str">
        <f>_xlfn.XLOOKUP(Jnl[[#This Row],[Division]],config_div[Id], config_div[Name],,0)</f>
        <v>网店</v>
      </c>
      <c r="T1453" t="str">
        <f>IF(Jnl[[#This Row],[TrxDate]]&lt;=stmt_BS_date_end, "In", "Out")</f>
        <v>In</v>
      </c>
      <c r="U1453" t="str">
        <f>IF(Jnl[[#This Row],[TrxDate]]&lt;debug_date_start, "prior", IF(Jnl[[#This Row],[TrxDate]]&gt;debug_date_end, "post", "curr"))</f>
        <v>curr</v>
      </c>
    </row>
    <row r="1454" spans="1:21">
      <c r="A1454" s="11" t="s">
        <v>1844</v>
      </c>
      <c r="B1454" s="7">
        <f>_xlfn.XLOOKUP(Jnl[[#This Row],[TrxId]], Trx[Id], Trx[Date],,0)</f>
        <v>46081</v>
      </c>
      <c r="C1454" s="7" t="str">
        <f>_xlfn.XLOOKUP(Jnl[[#This Row],[TrxId]], Trx[Id], Trx[Division],,0)</f>
        <v>GM</v>
      </c>
      <c r="D1454" s="7" t="str">
        <f>_xlfn.XLOOKUP(Jnl[[#This Row],[TrxId]], Trx[Id], Trx[Action],,0)</f>
        <v>薪酬-工资</v>
      </c>
      <c r="E1454" s="26" t="s">
        <v>80</v>
      </c>
      <c r="F1454" s="11" t="s">
        <v>590</v>
      </c>
      <c r="G1454" s="11" t="s">
        <v>391</v>
      </c>
      <c r="H1454" s="72">
        <v>-11098.71</v>
      </c>
      <c r="I1454" s="5" t="b">
        <f>AND(Jnl[[#This Row],[TrxId]]&lt;&gt;"",Jnl[[#This Row],[Acct]]&lt;&gt;"",Jnl[[#This Row],[Item]]&lt;&gt;"",ISNUMBER(Jnl[[#This Row],[Bal]]))</f>
        <v>1</v>
      </c>
      <c r="J1454" s="10">
        <f>IF(Jnl[[#This Row],[BSLv0]]="A",1,-1)*Jnl[[#This Row],[Bal]]</f>
        <v>-11098.71</v>
      </c>
      <c r="K1454" t="str">
        <f>_xlfn.XLOOKUP(Jnl[[#This Row],[Acct]], config_BS[Acct], config_BS[Lv0],,0)</f>
        <v>A</v>
      </c>
      <c r="L1454" t="str">
        <f>_xlfn.XLOOKUP(Jnl[[#This Row],[Acct]], config_BS[Acct], config_BS[Lv1],,0)</f>
        <v>Assets</v>
      </c>
      <c r="M1454" t="str">
        <f>_xlfn.XLOOKUP(Jnl[[#This Row],[Acct]], config_BS[Acct], config_BS[Lv2],,0)</f>
        <v>Cash alike</v>
      </c>
      <c r="N1454" t="str">
        <f>_xlfn.XLOOKUP(Jnl[[#This Row],[TrxId]], Trx[Id], Trx[IncNode], ,0)</f>
        <v>Expense</v>
      </c>
      <c r="O1454" t="str">
        <f>_xlfn.XLOOKUP(Jnl[[#This Row],[IncNode]], config_IS[Node], config_IS[Type],,0)</f>
        <v>Op</v>
      </c>
      <c r="P1454" t="str">
        <f>_xlfn.XLOOKUP(Jnl[[#This Row],[BSLv2]], dict[Key], dict[Name],,0)</f>
        <v>0.现金及类似</v>
      </c>
      <c r="Q1454" t="str">
        <f>_xlfn.XLOOKUP(Jnl[[#This Row],[Acct]], dict[Key], dict[Name],,0)</f>
        <v>银行</v>
      </c>
      <c r="R1454" t="str">
        <f>_xlfn.XLOOKUP(Jnl[[#This Row],[Vehicle]],config_vehicle[Id], config_vehicle[Name],,0)</f>
        <v>远家花园</v>
      </c>
      <c r="S1454" t="str">
        <f>_xlfn.XLOOKUP(Jnl[[#This Row],[Division]],config_div[Id], config_div[Name],,0)</f>
        <v>综合管理</v>
      </c>
      <c r="T1454" t="str">
        <f>IF(Jnl[[#This Row],[TrxDate]]&lt;=stmt_BS_date_end, "In", "Out")</f>
        <v>In</v>
      </c>
      <c r="U1454" t="str">
        <f>IF(Jnl[[#This Row],[TrxDate]]&lt;debug_date_start, "prior", IF(Jnl[[#This Row],[TrxDate]]&gt;debug_date_end, "post", "curr"))</f>
        <v>curr</v>
      </c>
    </row>
    <row r="1455" spans="1:21">
      <c r="A1455" s="11" t="s">
        <v>1845</v>
      </c>
      <c r="B1455" s="7">
        <f>_xlfn.XLOOKUP(Jnl[[#This Row],[TrxId]], Trx[Id], Trx[Date],,0)</f>
        <v>46081</v>
      </c>
      <c r="C1455" s="7" t="str">
        <f>_xlfn.XLOOKUP(Jnl[[#This Row],[TrxId]], Trx[Id], Trx[Division],,0)</f>
        <v>GM</v>
      </c>
      <c r="D1455" s="7" t="str">
        <f>_xlfn.XLOOKUP(Jnl[[#This Row],[TrxId]], Trx[Id], Trx[Action],,0)</f>
        <v>薪酬-工资</v>
      </c>
      <c r="E1455" s="26" t="s">
        <v>80</v>
      </c>
      <c r="F1455" s="11" t="s">
        <v>590</v>
      </c>
      <c r="G1455" s="11" t="s">
        <v>391</v>
      </c>
      <c r="H1455" s="72">
        <v>-11564.2</v>
      </c>
      <c r="I1455" s="5" t="b">
        <f>AND(Jnl[[#This Row],[TrxId]]&lt;&gt;"",Jnl[[#This Row],[Acct]]&lt;&gt;"",Jnl[[#This Row],[Item]]&lt;&gt;"",ISNUMBER(Jnl[[#This Row],[Bal]]))</f>
        <v>1</v>
      </c>
      <c r="J1455" s="10">
        <f>IF(Jnl[[#This Row],[BSLv0]]="A",1,-1)*Jnl[[#This Row],[Bal]]</f>
        <v>-11564.2</v>
      </c>
      <c r="K1455" t="str">
        <f>_xlfn.XLOOKUP(Jnl[[#This Row],[Acct]], config_BS[Acct], config_BS[Lv0],,0)</f>
        <v>A</v>
      </c>
      <c r="L1455" t="str">
        <f>_xlfn.XLOOKUP(Jnl[[#This Row],[Acct]], config_BS[Acct], config_BS[Lv1],,0)</f>
        <v>Assets</v>
      </c>
      <c r="M1455" t="str">
        <f>_xlfn.XLOOKUP(Jnl[[#This Row],[Acct]], config_BS[Acct], config_BS[Lv2],,0)</f>
        <v>Cash alike</v>
      </c>
      <c r="N1455" t="str">
        <f>_xlfn.XLOOKUP(Jnl[[#This Row],[TrxId]], Trx[Id], Trx[IncNode], ,0)</f>
        <v>Expense</v>
      </c>
      <c r="O1455" t="str">
        <f>_xlfn.XLOOKUP(Jnl[[#This Row],[IncNode]], config_IS[Node], config_IS[Type],,0)</f>
        <v>Op</v>
      </c>
      <c r="P1455" t="str">
        <f>_xlfn.XLOOKUP(Jnl[[#This Row],[BSLv2]], dict[Key], dict[Name],,0)</f>
        <v>0.现金及类似</v>
      </c>
      <c r="Q1455" t="str">
        <f>_xlfn.XLOOKUP(Jnl[[#This Row],[Acct]], dict[Key], dict[Name],,0)</f>
        <v>银行</v>
      </c>
      <c r="R1455" t="str">
        <f>_xlfn.XLOOKUP(Jnl[[#This Row],[Vehicle]],config_vehicle[Id], config_vehicle[Name],,0)</f>
        <v>远家花园</v>
      </c>
      <c r="S1455" t="str">
        <f>_xlfn.XLOOKUP(Jnl[[#This Row],[Division]],config_div[Id], config_div[Name],,0)</f>
        <v>综合管理</v>
      </c>
      <c r="T1455" t="str">
        <f>IF(Jnl[[#This Row],[TrxDate]]&lt;=stmt_BS_date_end, "In", "Out")</f>
        <v>In</v>
      </c>
      <c r="U1455" t="str">
        <f>IF(Jnl[[#This Row],[TrxDate]]&lt;debug_date_start, "prior", IF(Jnl[[#This Row],[TrxDate]]&gt;debug_date_end, "post", "curr"))</f>
        <v>curr</v>
      </c>
    </row>
    <row r="1456" spans="1:21">
      <c r="A1456" s="11" t="s">
        <v>1846</v>
      </c>
      <c r="B1456" s="7">
        <f>_xlfn.XLOOKUP(Jnl[[#This Row],[TrxId]], Trx[Id], Trx[Date],,0)</f>
        <v>46081</v>
      </c>
      <c r="C1456" s="7" t="str">
        <f>_xlfn.XLOOKUP(Jnl[[#This Row],[TrxId]], Trx[Id], Trx[Division],,0)</f>
        <v>GM</v>
      </c>
      <c r="D1456" s="7" t="str">
        <f>_xlfn.XLOOKUP(Jnl[[#This Row],[TrxId]], Trx[Id], Trx[Action],,0)</f>
        <v>支付</v>
      </c>
      <c r="E1456" s="26" t="s">
        <v>80</v>
      </c>
      <c r="F1456" s="11" t="s">
        <v>590</v>
      </c>
      <c r="G1456" s="11" t="s">
        <v>391</v>
      </c>
      <c r="H1456" s="72">
        <v>-395582.23</v>
      </c>
      <c r="I1456" s="5" t="b">
        <f>AND(Jnl[[#This Row],[TrxId]]&lt;&gt;"",Jnl[[#This Row],[Acct]]&lt;&gt;"",Jnl[[#This Row],[Item]]&lt;&gt;"",ISNUMBER(Jnl[[#This Row],[Bal]]))</f>
        <v>1</v>
      </c>
      <c r="J1456" s="10">
        <f>IF(Jnl[[#This Row],[BSLv0]]="A",1,-1)*Jnl[[#This Row],[Bal]]</f>
        <v>-395582.23</v>
      </c>
      <c r="K1456" t="str">
        <f>_xlfn.XLOOKUP(Jnl[[#This Row],[Acct]], config_BS[Acct], config_BS[Lv0],,0)</f>
        <v>A</v>
      </c>
      <c r="L1456" t="str">
        <f>_xlfn.XLOOKUP(Jnl[[#This Row],[Acct]], config_BS[Acct], config_BS[Lv1],,0)</f>
        <v>Assets</v>
      </c>
      <c r="M1456" t="str">
        <f>_xlfn.XLOOKUP(Jnl[[#This Row],[Acct]], config_BS[Acct], config_BS[Lv2],,0)</f>
        <v>Cash alike</v>
      </c>
      <c r="N1456" t="str">
        <f>_xlfn.XLOOKUP(Jnl[[#This Row],[TrxId]], Trx[Id], Trx[IncNode], ,0)</f>
        <v>Expense</v>
      </c>
      <c r="O1456" t="str">
        <f>_xlfn.XLOOKUP(Jnl[[#This Row],[IncNode]], config_IS[Node], config_IS[Type],,0)</f>
        <v>Op</v>
      </c>
      <c r="P1456" t="str">
        <f>_xlfn.XLOOKUP(Jnl[[#This Row],[BSLv2]], dict[Key], dict[Name],,0)</f>
        <v>0.现金及类似</v>
      </c>
      <c r="Q1456" t="str">
        <f>_xlfn.XLOOKUP(Jnl[[#This Row],[Acct]], dict[Key], dict[Name],,0)</f>
        <v>银行</v>
      </c>
      <c r="R1456" t="str">
        <f>_xlfn.XLOOKUP(Jnl[[#This Row],[Vehicle]],config_vehicle[Id], config_vehicle[Name],,0)</f>
        <v>远家花园</v>
      </c>
      <c r="S1456" t="str">
        <f>_xlfn.XLOOKUP(Jnl[[#This Row],[Division]],config_div[Id], config_div[Name],,0)</f>
        <v>综合管理</v>
      </c>
      <c r="T1456" t="str">
        <f>IF(Jnl[[#This Row],[TrxDate]]&lt;=stmt_BS_date_end, "In", "Out")</f>
        <v>In</v>
      </c>
      <c r="U1456" t="str">
        <f>IF(Jnl[[#This Row],[TrxDate]]&lt;debug_date_start, "prior", IF(Jnl[[#This Row],[TrxDate]]&gt;debug_date_end, "post", "curr"))</f>
        <v>curr</v>
      </c>
    </row>
    <row r="1457" spans="1:21">
      <c r="A1457" s="11" t="s">
        <v>1846</v>
      </c>
      <c r="B1457" s="7">
        <f>_xlfn.XLOOKUP(Jnl[[#This Row],[TrxId]], Trx[Id], Trx[Date],,0)</f>
        <v>46081</v>
      </c>
      <c r="C1457" s="7" t="str">
        <f>_xlfn.XLOOKUP(Jnl[[#This Row],[TrxId]], Trx[Id], Trx[Division],,0)</f>
        <v>GM</v>
      </c>
      <c r="D1457" s="7" t="str">
        <f>_xlfn.XLOOKUP(Jnl[[#This Row],[TrxId]], Trx[Id], Trx[Action],,0)</f>
        <v>支付</v>
      </c>
      <c r="E1457" s="26" t="s">
        <v>80</v>
      </c>
      <c r="F1457" s="11" t="s">
        <v>127</v>
      </c>
      <c r="G1457" s="11" t="s">
        <v>343</v>
      </c>
      <c r="H1457" s="72">
        <v>2041.2</v>
      </c>
      <c r="I1457" s="5" t="b">
        <f>AND(Jnl[[#This Row],[TrxId]]&lt;&gt;"",Jnl[[#This Row],[Acct]]&lt;&gt;"",Jnl[[#This Row],[Item]]&lt;&gt;"",ISNUMBER(Jnl[[#This Row],[Bal]]))</f>
        <v>1</v>
      </c>
      <c r="J1457" s="10">
        <f>IF(Jnl[[#This Row],[BSLv0]]="A",1,-1)*Jnl[[#This Row],[Bal]]</f>
        <v>-2041.2</v>
      </c>
      <c r="K1457" t="str">
        <f>_xlfn.XLOOKUP(Jnl[[#This Row],[Acct]], config_BS[Acct], config_BS[Lv0],,0)</f>
        <v>LC</v>
      </c>
      <c r="L1457" t="str">
        <f>_xlfn.XLOOKUP(Jnl[[#This Row],[Acct]], config_BS[Acct], config_BS[Lv1],,0)</f>
        <v>Liability</v>
      </c>
      <c r="M1457" t="str">
        <f>_xlfn.XLOOKUP(Jnl[[#This Row],[Acct]], config_BS[Acct], config_BS[Lv2],,0)</f>
        <v>Rec-Pay</v>
      </c>
      <c r="N1457" t="str">
        <f>_xlfn.XLOOKUP(Jnl[[#This Row],[TrxId]], Trx[Id], Trx[IncNode], ,0)</f>
        <v>Expense</v>
      </c>
      <c r="O1457" t="str">
        <f>_xlfn.XLOOKUP(Jnl[[#This Row],[IncNode]], config_IS[Node], config_IS[Type],,0)</f>
        <v>Op</v>
      </c>
      <c r="P1457" t="str">
        <f>_xlfn.XLOOKUP(Jnl[[#This Row],[BSLv2]], dict[Key], dict[Name],,0)</f>
        <v>1.应收-应付</v>
      </c>
      <c r="Q1457" t="str">
        <f>_xlfn.XLOOKUP(Jnl[[#This Row],[Acct]], dict[Key], dict[Name],,0)</f>
        <v>应付-税款</v>
      </c>
      <c r="R1457" t="str">
        <f>_xlfn.XLOOKUP(Jnl[[#This Row],[Vehicle]],config_vehicle[Id], config_vehicle[Name],,0)</f>
        <v>远家花园</v>
      </c>
      <c r="S1457" t="str">
        <f>_xlfn.XLOOKUP(Jnl[[#This Row],[Division]],config_div[Id], config_div[Name],,0)</f>
        <v>综合管理</v>
      </c>
      <c r="T1457" t="str">
        <f>IF(Jnl[[#This Row],[TrxDate]]&lt;=stmt_BS_date_end, "In", "Out")</f>
        <v>In</v>
      </c>
      <c r="U1457" t="str">
        <f>IF(Jnl[[#This Row],[TrxDate]]&lt;debug_date_start, "prior", IF(Jnl[[#This Row],[TrxDate]]&gt;debug_date_end, "post", "curr"))</f>
        <v>curr</v>
      </c>
    </row>
    <row r="1458" spans="1:21">
      <c r="A1458" s="11" t="s">
        <v>1846</v>
      </c>
      <c r="B1458" s="7">
        <f>_xlfn.XLOOKUP(Jnl[[#This Row],[TrxId]], Trx[Id], Trx[Date],,0)</f>
        <v>46081</v>
      </c>
      <c r="C1458" s="7" t="str">
        <f>_xlfn.XLOOKUP(Jnl[[#This Row],[TrxId]], Trx[Id], Trx[Division],,0)</f>
        <v>GM</v>
      </c>
      <c r="D1458" s="7" t="str">
        <f>_xlfn.XLOOKUP(Jnl[[#This Row],[TrxId]], Trx[Id], Trx[Action],,0)</f>
        <v>支付</v>
      </c>
      <c r="E1458" s="26" t="s">
        <v>80</v>
      </c>
      <c r="F1458" s="11" t="s">
        <v>595</v>
      </c>
      <c r="G1458" s="11" t="s">
        <v>344</v>
      </c>
      <c r="H1458" s="72">
        <v>-24114.6</v>
      </c>
      <c r="I1458" s="5" t="b">
        <f>AND(Jnl[[#This Row],[TrxId]]&lt;&gt;"",Jnl[[#This Row],[Acct]]&lt;&gt;"",Jnl[[#This Row],[Item]]&lt;&gt;"",ISNUMBER(Jnl[[#This Row],[Bal]]))</f>
        <v>1</v>
      </c>
      <c r="J1458" s="10">
        <f>IF(Jnl[[#This Row],[BSLv0]]="A",1,-1)*Jnl[[#This Row],[Bal]]</f>
        <v>-24114.6</v>
      </c>
      <c r="K1458" t="str">
        <f>_xlfn.XLOOKUP(Jnl[[#This Row],[Acct]], config_BS[Acct], config_BS[Lv0],,0)</f>
        <v>A</v>
      </c>
      <c r="L1458" t="str">
        <f>_xlfn.XLOOKUP(Jnl[[#This Row],[Acct]], config_BS[Acct], config_BS[Lv1],,0)</f>
        <v>Assets</v>
      </c>
      <c r="M1458" t="str">
        <f>_xlfn.XLOOKUP(Jnl[[#This Row],[Acct]], config_BS[Acct], config_BS[Lv2],,0)</f>
        <v>Rec-Pay</v>
      </c>
      <c r="N1458" t="str">
        <f>_xlfn.XLOOKUP(Jnl[[#This Row],[TrxId]], Trx[Id], Trx[IncNode], ,0)</f>
        <v>Expense</v>
      </c>
      <c r="O1458" t="str">
        <f>_xlfn.XLOOKUP(Jnl[[#This Row],[IncNode]], config_IS[Node], config_IS[Type],,0)</f>
        <v>Op</v>
      </c>
      <c r="P1458" t="str">
        <f>_xlfn.XLOOKUP(Jnl[[#This Row],[BSLv2]], dict[Key], dict[Name],,0)</f>
        <v>1.应收-应付</v>
      </c>
      <c r="Q1458" t="str">
        <f>_xlfn.XLOOKUP(Jnl[[#This Row],[Acct]], dict[Key], dict[Name],,0)</f>
        <v>应收-其他</v>
      </c>
      <c r="R1458" t="str">
        <f>_xlfn.XLOOKUP(Jnl[[#This Row],[Vehicle]],config_vehicle[Id], config_vehicle[Name],,0)</f>
        <v>远家花园</v>
      </c>
      <c r="S1458" t="str">
        <f>_xlfn.XLOOKUP(Jnl[[#This Row],[Division]],config_div[Id], config_div[Name],,0)</f>
        <v>综合管理</v>
      </c>
      <c r="T1458" t="str">
        <f>IF(Jnl[[#This Row],[TrxDate]]&lt;=stmt_BS_date_end, "In", "Out")</f>
        <v>In</v>
      </c>
      <c r="U1458" t="str">
        <f>IF(Jnl[[#This Row],[TrxDate]]&lt;debug_date_start, "prior", IF(Jnl[[#This Row],[TrxDate]]&gt;debug_date_end, "post", "curr"))</f>
        <v>curr</v>
      </c>
    </row>
    <row r="1459" spans="1:21">
      <c r="A1459" s="11" t="s">
        <v>1846</v>
      </c>
      <c r="B1459" s="7">
        <f>_xlfn.XLOOKUP(Jnl[[#This Row],[TrxId]], Trx[Id], Trx[Date],,0)</f>
        <v>46081</v>
      </c>
      <c r="C1459" s="7" t="str">
        <f>_xlfn.XLOOKUP(Jnl[[#This Row],[TrxId]], Trx[Id], Trx[Division],,0)</f>
        <v>GM</v>
      </c>
      <c r="D1459" s="7" t="str">
        <f>_xlfn.XLOOKUP(Jnl[[#This Row],[TrxId]], Trx[Id], Trx[Action],,0)</f>
        <v>支付</v>
      </c>
      <c r="E1459" s="26" t="s">
        <v>80</v>
      </c>
      <c r="F1459" s="11" t="s">
        <v>596</v>
      </c>
      <c r="G1459" s="11" t="s">
        <v>149</v>
      </c>
      <c r="H1459" s="72">
        <v>-421738.03</v>
      </c>
      <c r="I1459" s="5" t="b">
        <f>AND(Jnl[[#This Row],[TrxId]]&lt;&gt;"",Jnl[[#This Row],[Acct]]&lt;&gt;"",Jnl[[#This Row],[Item]]&lt;&gt;"",ISNUMBER(Jnl[[#This Row],[Bal]]))</f>
        <v>1</v>
      </c>
      <c r="J1459" s="10">
        <f>IF(Jnl[[#This Row],[BSLv0]]="A",1,-1)*Jnl[[#This Row],[Bal]]</f>
        <v>421738.03</v>
      </c>
      <c r="K1459" t="str">
        <f>_xlfn.XLOOKUP(Jnl[[#This Row],[Acct]], config_BS[Acct], config_BS[Lv0],,0)</f>
        <v>LC</v>
      </c>
      <c r="L1459" t="str">
        <f>_xlfn.XLOOKUP(Jnl[[#This Row],[Acct]], config_BS[Acct], config_BS[Lv1],,0)</f>
        <v>Liability</v>
      </c>
      <c r="M1459" t="str">
        <f>_xlfn.XLOOKUP(Jnl[[#This Row],[Acct]], config_BS[Acct], config_BS[Lv2],,0)</f>
        <v>Rec-Pay</v>
      </c>
      <c r="N1459" t="str">
        <f>_xlfn.XLOOKUP(Jnl[[#This Row],[TrxId]], Trx[Id], Trx[IncNode], ,0)</f>
        <v>Expense</v>
      </c>
      <c r="O1459" t="str">
        <f>_xlfn.XLOOKUP(Jnl[[#This Row],[IncNode]], config_IS[Node], config_IS[Type],,0)</f>
        <v>Op</v>
      </c>
      <c r="P1459" t="str">
        <f>_xlfn.XLOOKUP(Jnl[[#This Row],[BSLv2]], dict[Key], dict[Name],,0)</f>
        <v>1.应收-应付</v>
      </c>
      <c r="Q1459" t="str">
        <f>_xlfn.XLOOKUP(Jnl[[#This Row],[Acct]], dict[Key], dict[Name],,0)</f>
        <v>应付-薪资</v>
      </c>
      <c r="R1459" t="str">
        <f>_xlfn.XLOOKUP(Jnl[[#This Row],[Vehicle]],config_vehicle[Id], config_vehicle[Name],,0)</f>
        <v>远家花园</v>
      </c>
      <c r="S1459" t="str">
        <f>_xlfn.XLOOKUP(Jnl[[#This Row],[Division]],config_div[Id], config_div[Name],,0)</f>
        <v>综合管理</v>
      </c>
      <c r="T1459" t="str">
        <f>IF(Jnl[[#This Row],[TrxDate]]&lt;=stmt_BS_date_end, "In", "Out")</f>
        <v>In</v>
      </c>
      <c r="U1459" t="str">
        <f>IF(Jnl[[#This Row],[TrxDate]]&lt;debug_date_start, "prior", IF(Jnl[[#This Row],[TrxDate]]&gt;debug_date_end, "post", "curr"))</f>
        <v>curr</v>
      </c>
    </row>
    <row r="1460" spans="1:21">
      <c r="A1460" s="11" t="s">
        <v>1847</v>
      </c>
      <c r="B1460" s="7">
        <f>_xlfn.XLOOKUP(Jnl[[#This Row],[TrxId]], Trx[Id], Trx[Date],,0)</f>
        <v>46081</v>
      </c>
      <c r="C1460" s="7" t="str">
        <f>_xlfn.XLOOKUP(Jnl[[#This Row],[TrxId]], Trx[Id], Trx[Division],,0)</f>
        <v>Online</v>
      </c>
      <c r="D1460" s="7" t="str">
        <f>_xlfn.XLOOKUP(Jnl[[#This Row],[TrxId]], Trx[Id], Trx[Action],,0)</f>
        <v>福利</v>
      </c>
      <c r="E1460" s="26" t="s">
        <v>80</v>
      </c>
      <c r="F1460" s="11" t="s">
        <v>590</v>
      </c>
      <c r="G1460" s="11" t="s">
        <v>391</v>
      </c>
      <c r="H1460" s="72">
        <v>-17938</v>
      </c>
      <c r="I1460" s="5" t="b">
        <f>AND(Jnl[[#This Row],[TrxId]]&lt;&gt;"",Jnl[[#This Row],[Acct]]&lt;&gt;"",Jnl[[#This Row],[Item]]&lt;&gt;"",ISNUMBER(Jnl[[#This Row],[Bal]]))</f>
        <v>1</v>
      </c>
      <c r="J1460" s="10">
        <f>IF(Jnl[[#This Row],[BSLv0]]="A",1,-1)*Jnl[[#This Row],[Bal]]</f>
        <v>-17938</v>
      </c>
      <c r="K1460" t="str">
        <f>_xlfn.XLOOKUP(Jnl[[#This Row],[Acct]], config_BS[Acct], config_BS[Lv0],,0)</f>
        <v>A</v>
      </c>
      <c r="L1460" t="str">
        <f>_xlfn.XLOOKUP(Jnl[[#This Row],[Acct]], config_BS[Acct], config_BS[Lv1],,0)</f>
        <v>Assets</v>
      </c>
      <c r="M1460" t="str">
        <f>_xlfn.XLOOKUP(Jnl[[#This Row],[Acct]], config_BS[Acct], config_BS[Lv2],,0)</f>
        <v>Cash alike</v>
      </c>
      <c r="N1460" t="str">
        <f>_xlfn.XLOOKUP(Jnl[[#This Row],[TrxId]], Trx[Id], Trx[IncNode], ,0)</f>
        <v>Expense</v>
      </c>
      <c r="O1460" t="str">
        <f>_xlfn.XLOOKUP(Jnl[[#This Row],[IncNode]], config_IS[Node], config_IS[Type],,0)</f>
        <v>Op</v>
      </c>
      <c r="P1460" t="str">
        <f>_xlfn.XLOOKUP(Jnl[[#This Row],[BSLv2]], dict[Key], dict[Name],,0)</f>
        <v>0.现金及类似</v>
      </c>
      <c r="Q1460" t="str">
        <f>_xlfn.XLOOKUP(Jnl[[#This Row],[Acct]], dict[Key], dict[Name],,0)</f>
        <v>银行</v>
      </c>
      <c r="R1460" t="str">
        <f>_xlfn.XLOOKUP(Jnl[[#This Row],[Vehicle]],config_vehicle[Id], config_vehicle[Name],,0)</f>
        <v>远家花园</v>
      </c>
      <c r="S1460" t="str">
        <f>_xlfn.XLOOKUP(Jnl[[#This Row],[Division]],config_div[Id], config_div[Name],,0)</f>
        <v>网店</v>
      </c>
      <c r="T1460" t="str">
        <f>IF(Jnl[[#This Row],[TrxDate]]&lt;=stmt_BS_date_end, "In", "Out")</f>
        <v>In</v>
      </c>
      <c r="U1460" t="str">
        <f>IF(Jnl[[#This Row],[TrxDate]]&lt;debug_date_start, "prior", IF(Jnl[[#This Row],[TrxDate]]&gt;debug_date_end, "post", "curr"))</f>
        <v>curr</v>
      </c>
    </row>
    <row r="1461" spans="1:21">
      <c r="A1461" s="11" t="s">
        <v>1848</v>
      </c>
      <c r="B1461" s="7">
        <f>_xlfn.XLOOKUP(Jnl[[#This Row],[TrxId]], Trx[Id], Trx[Date],,0)</f>
        <v>46081</v>
      </c>
      <c r="C1461" s="7" t="str">
        <f>_xlfn.XLOOKUP(Jnl[[#This Row],[TrxId]], Trx[Id], Trx[Division],,0)</f>
        <v>Online</v>
      </c>
      <c r="D1461" s="7" t="str">
        <f>_xlfn.XLOOKUP(Jnl[[#This Row],[TrxId]], Trx[Id], Trx[Action],,0)</f>
        <v>福利</v>
      </c>
      <c r="E1461" s="26" t="s">
        <v>80</v>
      </c>
      <c r="F1461" s="11" t="s">
        <v>590</v>
      </c>
      <c r="G1461" s="11" t="s">
        <v>391</v>
      </c>
      <c r="H1461" s="72">
        <v>-30</v>
      </c>
      <c r="I1461" s="5" t="b">
        <f>AND(Jnl[[#This Row],[TrxId]]&lt;&gt;"",Jnl[[#This Row],[Acct]]&lt;&gt;"",Jnl[[#This Row],[Item]]&lt;&gt;"",ISNUMBER(Jnl[[#This Row],[Bal]]))</f>
        <v>1</v>
      </c>
      <c r="J1461" s="10">
        <f>IF(Jnl[[#This Row],[BSLv0]]="A",1,-1)*Jnl[[#This Row],[Bal]]</f>
        <v>-30</v>
      </c>
      <c r="K1461" t="str">
        <f>_xlfn.XLOOKUP(Jnl[[#This Row],[Acct]], config_BS[Acct], config_BS[Lv0],,0)</f>
        <v>A</v>
      </c>
      <c r="L1461" t="str">
        <f>_xlfn.XLOOKUP(Jnl[[#This Row],[Acct]], config_BS[Acct], config_BS[Lv1],,0)</f>
        <v>Assets</v>
      </c>
      <c r="M1461" t="str">
        <f>_xlfn.XLOOKUP(Jnl[[#This Row],[Acct]], config_BS[Acct], config_BS[Lv2],,0)</f>
        <v>Cash alike</v>
      </c>
      <c r="N1461" t="str">
        <f>_xlfn.XLOOKUP(Jnl[[#This Row],[TrxId]], Trx[Id], Trx[IncNode], ,0)</f>
        <v>Expense</v>
      </c>
      <c r="O1461" t="str">
        <f>_xlfn.XLOOKUP(Jnl[[#This Row],[IncNode]], config_IS[Node], config_IS[Type],,0)</f>
        <v>Op</v>
      </c>
      <c r="P1461" t="str">
        <f>_xlfn.XLOOKUP(Jnl[[#This Row],[BSLv2]], dict[Key], dict[Name],,0)</f>
        <v>0.现金及类似</v>
      </c>
      <c r="Q1461" t="str">
        <f>_xlfn.XLOOKUP(Jnl[[#This Row],[Acct]], dict[Key], dict[Name],,0)</f>
        <v>银行</v>
      </c>
      <c r="R1461" t="str">
        <f>_xlfn.XLOOKUP(Jnl[[#This Row],[Vehicle]],config_vehicle[Id], config_vehicle[Name],,0)</f>
        <v>远家花园</v>
      </c>
      <c r="S1461" t="str">
        <f>_xlfn.XLOOKUP(Jnl[[#This Row],[Division]],config_div[Id], config_div[Name],,0)</f>
        <v>网店</v>
      </c>
      <c r="T1461" t="str">
        <f>IF(Jnl[[#This Row],[TrxDate]]&lt;=stmt_BS_date_end, "In", "Out")</f>
        <v>In</v>
      </c>
      <c r="U1461" t="str">
        <f>IF(Jnl[[#This Row],[TrxDate]]&lt;debug_date_start, "prior", IF(Jnl[[#This Row],[TrxDate]]&gt;debug_date_end, "post", "curr"))</f>
        <v>curr</v>
      </c>
    </row>
    <row r="1462" spans="1:21">
      <c r="A1462" s="11" t="s">
        <v>1850</v>
      </c>
      <c r="B1462" s="7">
        <f>_xlfn.XLOOKUP(Jnl[[#This Row],[TrxId]], Trx[Id], Trx[Date],,0)</f>
        <v>46081</v>
      </c>
      <c r="C1462" s="7" t="str">
        <f>_xlfn.XLOOKUP(Jnl[[#This Row],[TrxId]], Trx[Id], Trx[Division],,0)</f>
        <v>Online</v>
      </c>
      <c r="D1462" s="7" t="str">
        <f>_xlfn.XLOOKUP(Jnl[[#This Row],[TrxId]], Trx[Id], Trx[Action],,0)</f>
        <v>设备</v>
      </c>
      <c r="E1462" s="26" t="s">
        <v>80</v>
      </c>
      <c r="F1462" s="11" t="s">
        <v>590</v>
      </c>
      <c r="G1462" s="11" t="s">
        <v>391</v>
      </c>
      <c r="H1462" s="72">
        <v>-4450</v>
      </c>
      <c r="I1462" s="5" t="b">
        <f>AND(Jnl[[#This Row],[TrxId]]&lt;&gt;"",Jnl[[#This Row],[Acct]]&lt;&gt;"",Jnl[[#This Row],[Item]]&lt;&gt;"",ISNUMBER(Jnl[[#This Row],[Bal]]))</f>
        <v>1</v>
      </c>
      <c r="J1462" s="10">
        <f>IF(Jnl[[#This Row],[BSLv0]]="A",1,-1)*Jnl[[#This Row],[Bal]]</f>
        <v>-4450</v>
      </c>
      <c r="K1462" t="str">
        <f>_xlfn.XLOOKUP(Jnl[[#This Row],[Acct]], config_BS[Acct], config_BS[Lv0],,0)</f>
        <v>A</v>
      </c>
      <c r="L1462" t="str">
        <f>_xlfn.XLOOKUP(Jnl[[#This Row],[Acct]], config_BS[Acct], config_BS[Lv1],,0)</f>
        <v>Assets</v>
      </c>
      <c r="M1462" t="str">
        <f>_xlfn.XLOOKUP(Jnl[[#This Row],[Acct]], config_BS[Acct], config_BS[Lv2],,0)</f>
        <v>Cash alike</v>
      </c>
      <c r="N1462" t="str">
        <f>_xlfn.XLOOKUP(Jnl[[#This Row],[TrxId]], Trx[Id], Trx[IncNode], ,0)</f>
        <v>Expense</v>
      </c>
      <c r="O1462" t="str">
        <f>_xlfn.XLOOKUP(Jnl[[#This Row],[IncNode]], config_IS[Node], config_IS[Type],,0)</f>
        <v>Op</v>
      </c>
      <c r="P1462" t="str">
        <f>_xlfn.XLOOKUP(Jnl[[#This Row],[BSLv2]], dict[Key], dict[Name],,0)</f>
        <v>0.现金及类似</v>
      </c>
      <c r="Q1462" t="str">
        <f>_xlfn.XLOOKUP(Jnl[[#This Row],[Acct]], dict[Key], dict[Name],,0)</f>
        <v>银行</v>
      </c>
      <c r="R1462" t="str">
        <f>_xlfn.XLOOKUP(Jnl[[#This Row],[Vehicle]],config_vehicle[Id], config_vehicle[Name],,0)</f>
        <v>远家花园</v>
      </c>
      <c r="S1462" t="str">
        <f>_xlfn.XLOOKUP(Jnl[[#This Row],[Division]],config_div[Id], config_div[Name],,0)</f>
        <v>网店</v>
      </c>
      <c r="T1462" t="str">
        <f>IF(Jnl[[#This Row],[TrxDate]]&lt;=stmt_BS_date_end, "In", "Out")</f>
        <v>In</v>
      </c>
      <c r="U1462" t="str">
        <f>IF(Jnl[[#This Row],[TrxDate]]&lt;debug_date_start, "prior", IF(Jnl[[#This Row],[TrxDate]]&gt;debug_date_end, "post", "curr"))</f>
        <v>curr</v>
      </c>
    </row>
    <row r="1463" spans="1:21">
      <c r="A1463" s="11" t="s">
        <v>1853</v>
      </c>
      <c r="B1463" s="7">
        <f>_xlfn.XLOOKUP(Jnl[[#This Row],[TrxId]], Trx[Id], Trx[Date],,0)</f>
        <v>46081</v>
      </c>
      <c r="C1463" s="7" t="str">
        <f>_xlfn.XLOOKUP(Jnl[[#This Row],[TrxId]], Trx[Id], Trx[Division],,0)</f>
        <v>Online</v>
      </c>
      <c r="D1463" s="7" t="str">
        <f>_xlfn.XLOOKUP(Jnl[[#This Row],[TrxId]], Trx[Id], Trx[Action],,0)</f>
        <v>物流</v>
      </c>
      <c r="E1463" s="26" t="s">
        <v>80</v>
      </c>
      <c r="F1463" s="11" t="s">
        <v>590</v>
      </c>
      <c r="G1463" s="11" t="s">
        <v>391</v>
      </c>
      <c r="H1463" s="72">
        <v>-8391.14</v>
      </c>
      <c r="I1463" s="5" t="b">
        <f>AND(Jnl[[#This Row],[TrxId]]&lt;&gt;"",Jnl[[#This Row],[Acct]]&lt;&gt;"",Jnl[[#This Row],[Item]]&lt;&gt;"",ISNUMBER(Jnl[[#This Row],[Bal]]))</f>
        <v>1</v>
      </c>
      <c r="J1463" s="10">
        <f>IF(Jnl[[#This Row],[BSLv0]]="A",1,-1)*Jnl[[#This Row],[Bal]]</f>
        <v>-8391.14</v>
      </c>
      <c r="K1463" t="str">
        <f>_xlfn.XLOOKUP(Jnl[[#This Row],[Acct]], config_BS[Acct], config_BS[Lv0],,0)</f>
        <v>A</v>
      </c>
      <c r="L1463" t="str">
        <f>_xlfn.XLOOKUP(Jnl[[#This Row],[Acct]], config_BS[Acct], config_BS[Lv1],,0)</f>
        <v>Assets</v>
      </c>
      <c r="M1463" t="str">
        <f>_xlfn.XLOOKUP(Jnl[[#This Row],[Acct]], config_BS[Acct], config_BS[Lv2],,0)</f>
        <v>Cash alike</v>
      </c>
      <c r="N1463" t="str">
        <f>_xlfn.XLOOKUP(Jnl[[#This Row],[TrxId]], Trx[Id], Trx[IncNode], ,0)</f>
        <v>Expense</v>
      </c>
      <c r="O1463" t="str">
        <f>_xlfn.XLOOKUP(Jnl[[#This Row],[IncNode]], config_IS[Node], config_IS[Type],,0)</f>
        <v>Op</v>
      </c>
      <c r="P1463" t="str">
        <f>_xlfn.XLOOKUP(Jnl[[#This Row],[BSLv2]], dict[Key], dict[Name],,0)</f>
        <v>0.现金及类似</v>
      </c>
      <c r="Q1463" t="str">
        <f>_xlfn.XLOOKUP(Jnl[[#This Row],[Acct]], dict[Key], dict[Name],,0)</f>
        <v>银行</v>
      </c>
      <c r="R1463" t="str">
        <f>_xlfn.XLOOKUP(Jnl[[#This Row],[Vehicle]],config_vehicle[Id], config_vehicle[Name],,0)</f>
        <v>远家花园</v>
      </c>
      <c r="S1463" t="str">
        <f>_xlfn.XLOOKUP(Jnl[[#This Row],[Division]],config_div[Id], config_div[Name],,0)</f>
        <v>网店</v>
      </c>
      <c r="T1463" t="str">
        <f>IF(Jnl[[#This Row],[TrxDate]]&lt;=stmt_BS_date_end, "In", "Out")</f>
        <v>In</v>
      </c>
      <c r="U1463" t="str">
        <f>IF(Jnl[[#This Row],[TrxDate]]&lt;debug_date_start, "prior", IF(Jnl[[#This Row],[TrxDate]]&gt;debug_date_end, "post", "curr"))</f>
        <v>curr</v>
      </c>
    </row>
    <row r="1464" spans="1:21">
      <c r="A1464" s="11" t="s">
        <v>1855</v>
      </c>
      <c r="B1464" s="7">
        <f>_xlfn.XLOOKUP(Jnl[[#This Row],[TrxId]], Trx[Id], Trx[Date],,0)</f>
        <v>46081</v>
      </c>
      <c r="C1464" s="7" t="str">
        <f>_xlfn.XLOOKUP(Jnl[[#This Row],[TrxId]], Trx[Id], Trx[Division],,0)</f>
        <v>Online</v>
      </c>
      <c r="D1464" s="7" t="str">
        <f>_xlfn.XLOOKUP(Jnl[[#This Row],[TrxId]], Trx[Id], Trx[Action],,0)</f>
        <v>物流</v>
      </c>
      <c r="E1464" s="26" t="s">
        <v>80</v>
      </c>
      <c r="F1464" s="11" t="s">
        <v>590</v>
      </c>
      <c r="G1464" s="11" t="s">
        <v>391</v>
      </c>
      <c r="H1464" s="72">
        <v>-44928.800000000003</v>
      </c>
      <c r="I1464" s="5" t="b">
        <f>AND(Jnl[[#This Row],[TrxId]]&lt;&gt;"",Jnl[[#This Row],[Acct]]&lt;&gt;"",Jnl[[#This Row],[Item]]&lt;&gt;"",ISNUMBER(Jnl[[#This Row],[Bal]]))</f>
        <v>1</v>
      </c>
      <c r="J1464" s="10">
        <f>IF(Jnl[[#This Row],[BSLv0]]="A",1,-1)*Jnl[[#This Row],[Bal]]</f>
        <v>-44928.800000000003</v>
      </c>
      <c r="K1464" t="str">
        <f>_xlfn.XLOOKUP(Jnl[[#This Row],[Acct]], config_BS[Acct], config_BS[Lv0],,0)</f>
        <v>A</v>
      </c>
      <c r="L1464" t="str">
        <f>_xlfn.XLOOKUP(Jnl[[#This Row],[Acct]], config_BS[Acct], config_BS[Lv1],,0)</f>
        <v>Assets</v>
      </c>
      <c r="M1464" t="str">
        <f>_xlfn.XLOOKUP(Jnl[[#This Row],[Acct]], config_BS[Acct], config_BS[Lv2],,0)</f>
        <v>Cash alike</v>
      </c>
      <c r="N1464" t="str">
        <f>_xlfn.XLOOKUP(Jnl[[#This Row],[TrxId]], Trx[Id], Trx[IncNode], ,0)</f>
        <v>Expense</v>
      </c>
      <c r="O1464" t="str">
        <f>_xlfn.XLOOKUP(Jnl[[#This Row],[IncNode]], config_IS[Node], config_IS[Type],,0)</f>
        <v>Op</v>
      </c>
      <c r="P1464" t="str">
        <f>_xlfn.XLOOKUP(Jnl[[#This Row],[BSLv2]], dict[Key], dict[Name],,0)</f>
        <v>0.现金及类似</v>
      </c>
      <c r="Q1464" t="str">
        <f>_xlfn.XLOOKUP(Jnl[[#This Row],[Acct]], dict[Key], dict[Name],,0)</f>
        <v>银行</v>
      </c>
      <c r="R1464" t="str">
        <f>_xlfn.XLOOKUP(Jnl[[#This Row],[Vehicle]],config_vehicle[Id], config_vehicle[Name],,0)</f>
        <v>远家花园</v>
      </c>
      <c r="S1464" t="str">
        <f>_xlfn.XLOOKUP(Jnl[[#This Row],[Division]],config_div[Id], config_div[Name],,0)</f>
        <v>网店</v>
      </c>
      <c r="T1464" t="str">
        <f>IF(Jnl[[#This Row],[TrxDate]]&lt;=stmt_BS_date_end, "In", "Out")</f>
        <v>In</v>
      </c>
      <c r="U1464" t="str">
        <f>IF(Jnl[[#This Row],[TrxDate]]&lt;debug_date_start, "prior", IF(Jnl[[#This Row],[TrxDate]]&gt;debug_date_end, "post", "curr"))</f>
        <v>curr</v>
      </c>
    </row>
    <row r="1465" spans="1:21">
      <c r="A1465" s="11" t="s">
        <v>1857</v>
      </c>
      <c r="B1465" s="7">
        <f>_xlfn.XLOOKUP(Jnl[[#This Row],[TrxId]], Trx[Id], Trx[Date],,0)</f>
        <v>46081</v>
      </c>
      <c r="C1465" s="7" t="str">
        <f>_xlfn.XLOOKUP(Jnl[[#This Row],[TrxId]], Trx[Id], Trx[Division],,0)</f>
        <v>GM</v>
      </c>
      <c r="D1465" s="7" t="str">
        <f>_xlfn.XLOOKUP(Jnl[[#This Row],[TrxId]], Trx[Id], Trx[Action],,0)</f>
        <v>年会</v>
      </c>
      <c r="E1465" s="26" t="s">
        <v>80</v>
      </c>
      <c r="F1465" s="11" t="s">
        <v>590</v>
      </c>
      <c r="G1465" s="11" t="s">
        <v>391</v>
      </c>
      <c r="H1465" s="72">
        <v>-46800</v>
      </c>
      <c r="I1465" s="5" t="b">
        <f>AND(Jnl[[#This Row],[TrxId]]&lt;&gt;"",Jnl[[#This Row],[Acct]]&lt;&gt;"",Jnl[[#This Row],[Item]]&lt;&gt;"",ISNUMBER(Jnl[[#This Row],[Bal]]))</f>
        <v>1</v>
      </c>
      <c r="J1465" s="10">
        <f>IF(Jnl[[#This Row],[BSLv0]]="A",1,-1)*Jnl[[#This Row],[Bal]]</f>
        <v>-46800</v>
      </c>
      <c r="K1465" t="str">
        <f>_xlfn.XLOOKUP(Jnl[[#This Row],[Acct]], config_BS[Acct], config_BS[Lv0],,0)</f>
        <v>A</v>
      </c>
      <c r="L1465" t="str">
        <f>_xlfn.XLOOKUP(Jnl[[#This Row],[Acct]], config_BS[Acct], config_BS[Lv1],,0)</f>
        <v>Assets</v>
      </c>
      <c r="M1465" t="str">
        <f>_xlfn.XLOOKUP(Jnl[[#This Row],[Acct]], config_BS[Acct], config_BS[Lv2],,0)</f>
        <v>Cash alike</v>
      </c>
      <c r="N1465" t="str">
        <f>_xlfn.XLOOKUP(Jnl[[#This Row],[TrxId]], Trx[Id], Trx[IncNode], ,0)</f>
        <v>Discretion</v>
      </c>
      <c r="O1465" t="str">
        <f>_xlfn.XLOOKUP(Jnl[[#This Row],[IncNode]], config_IS[Node], config_IS[Type],,0)</f>
        <v>Non-Op</v>
      </c>
      <c r="P1465" t="str">
        <f>_xlfn.XLOOKUP(Jnl[[#This Row],[BSLv2]], dict[Key], dict[Name],,0)</f>
        <v>0.现金及类似</v>
      </c>
      <c r="Q1465" t="str">
        <f>_xlfn.XLOOKUP(Jnl[[#This Row],[Acct]], dict[Key], dict[Name],,0)</f>
        <v>银行</v>
      </c>
      <c r="R1465" t="str">
        <f>_xlfn.XLOOKUP(Jnl[[#This Row],[Vehicle]],config_vehicle[Id], config_vehicle[Name],,0)</f>
        <v>远家花园</v>
      </c>
      <c r="S1465" t="str">
        <f>_xlfn.XLOOKUP(Jnl[[#This Row],[Division]],config_div[Id], config_div[Name],,0)</f>
        <v>综合管理</v>
      </c>
      <c r="T1465" t="str">
        <f>IF(Jnl[[#This Row],[TrxDate]]&lt;=stmt_BS_date_end, "In", "Out")</f>
        <v>In</v>
      </c>
      <c r="U1465" t="str">
        <f>IF(Jnl[[#This Row],[TrxDate]]&lt;debug_date_start, "prior", IF(Jnl[[#This Row],[TrxDate]]&gt;debug_date_end, "post", "curr"))</f>
        <v>curr</v>
      </c>
    </row>
    <row r="1466" spans="1:21">
      <c r="A1466" s="11" t="s">
        <v>1858</v>
      </c>
      <c r="B1466" s="7">
        <f>_xlfn.XLOOKUP(Jnl[[#This Row],[TrxId]], Trx[Id], Trx[Date],,0)</f>
        <v>46081</v>
      </c>
      <c r="C1466" s="7" t="str">
        <f>_xlfn.XLOOKUP(Jnl[[#This Row],[TrxId]], Trx[Id], Trx[Division],,0)</f>
        <v>Online</v>
      </c>
      <c r="D1466" s="7" t="str">
        <f>_xlfn.XLOOKUP(Jnl[[#This Row],[TrxId]], Trx[Id], Trx[Action],,0)</f>
        <v>福利</v>
      </c>
      <c r="E1466" s="26" t="s">
        <v>80</v>
      </c>
      <c r="F1466" s="11" t="s">
        <v>590</v>
      </c>
      <c r="G1466" s="11" t="s">
        <v>391</v>
      </c>
      <c r="H1466" s="72">
        <v>-2236.96</v>
      </c>
      <c r="I1466" s="5" t="b">
        <f>AND(Jnl[[#This Row],[TrxId]]&lt;&gt;"",Jnl[[#This Row],[Acct]]&lt;&gt;"",Jnl[[#This Row],[Item]]&lt;&gt;"",ISNUMBER(Jnl[[#This Row],[Bal]]))</f>
        <v>1</v>
      </c>
      <c r="J1466" s="10">
        <f>IF(Jnl[[#This Row],[BSLv0]]="A",1,-1)*Jnl[[#This Row],[Bal]]</f>
        <v>-2236.96</v>
      </c>
      <c r="K1466" t="str">
        <f>_xlfn.XLOOKUP(Jnl[[#This Row],[Acct]], config_BS[Acct], config_BS[Lv0],,0)</f>
        <v>A</v>
      </c>
      <c r="L1466" t="str">
        <f>_xlfn.XLOOKUP(Jnl[[#This Row],[Acct]], config_BS[Acct], config_BS[Lv1],,0)</f>
        <v>Assets</v>
      </c>
      <c r="M1466" t="str">
        <f>_xlfn.XLOOKUP(Jnl[[#This Row],[Acct]], config_BS[Acct], config_BS[Lv2],,0)</f>
        <v>Cash alike</v>
      </c>
      <c r="N1466" t="str">
        <f>_xlfn.XLOOKUP(Jnl[[#This Row],[TrxId]], Trx[Id], Trx[IncNode], ,0)</f>
        <v>Expense</v>
      </c>
      <c r="O1466" t="str">
        <f>_xlfn.XLOOKUP(Jnl[[#This Row],[IncNode]], config_IS[Node], config_IS[Type],,0)</f>
        <v>Op</v>
      </c>
      <c r="P1466" t="str">
        <f>_xlfn.XLOOKUP(Jnl[[#This Row],[BSLv2]], dict[Key], dict[Name],,0)</f>
        <v>0.现金及类似</v>
      </c>
      <c r="Q1466" t="str">
        <f>_xlfn.XLOOKUP(Jnl[[#This Row],[Acct]], dict[Key], dict[Name],,0)</f>
        <v>银行</v>
      </c>
      <c r="R1466" t="str">
        <f>_xlfn.XLOOKUP(Jnl[[#This Row],[Vehicle]],config_vehicle[Id], config_vehicle[Name],,0)</f>
        <v>远家花园</v>
      </c>
      <c r="S1466" t="str">
        <f>_xlfn.XLOOKUP(Jnl[[#This Row],[Division]],config_div[Id], config_div[Name],,0)</f>
        <v>网店</v>
      </c>
      <c r="T1466" t="str">
        <f>IF(Jnl[[#This Row],[TrxDate]]&lt;=stmt_BS_date_end, "In", "Out")</f>
        <v>In</v>
      </c>
      <c r="U1466" t="str">
        <f>IF(Jnl[[#This Row],[TrxDate]]&lt;debug_date_start, "prior", IF(Jnl[[#This Row],[TrxDate]]&gt;debug_date_end, "post", "curr"))</f>
        <v>curr</v>
      </c>
    </row>
    <row r="1467" spans="1:21">
      <c r="A1467" s="11" t="s">
        <v>1859</v>
      </c>
      <c r="B1467" s="7">
        <f>_xlfn.XLOOKUP(Jnl[[#This Row],[TrxId]], Trx[Id], Trx[Date],,0)</f>
        <v>46081</v>
      </c>
      <c r="C1467" s="7" t="str">
        <f>_xlfn.XLOOKUP(Jnl[[#This Row],[TrxId]], Trx[Id], Trx[Division],,0)</f>
        <v>Online</v>
      </c>
      <c r="D1467" s="7" t="str">
        <f>_xlfn.XLOOKUP(Jnl[[#This Row],[TrxId]], Trx[Id], Trx[Action],,0)</f>
        <v>采购</v>
      </c>
      <c r="E1467" s="26" t="s">
        <v>80</v>
      </c>
      <c r="F1467" s="11" t="s">
        <v>598</v>
      </c>
      <c r="G1467" s="11" t="s">
        <v>151</v>
      </c>
      <c r="H1467" s="72">
        <v>219166</v>
      </c>
      <c r="I1467" s="5" t="b">
        <f>AND(Jnl[[#This Row],[TrxId]]&lt;&gt;"",Jnl[[#This Row],[Acct]]&lt;&gt;"",Jnl[[#This Row],[Item]]&lt;&gt;"",ISNUMBER(Jnl[[#This Row],[Bal]]))</f>
        <v>1</v>
      </c>
      <c r="J1467" s="10">
        <f>IF(Jnl[[#This Row],[BSLv0]]="A",1,-1)*Jnl[[#This Row],[Bal]]</f>
        <v>219166</v>
      </c>
      <c r="K1467" t="str">
        <f>_xlfn.XLOOKUP(Jnl[[#This Row],[Acct]], config_BS[Acct], config_BS[Lv0],,0)</f>
        <v>A</v>
      </c>
      <c r="L1467" t="str">
        <f>_xlfn.XLOOKUP(Jnl[[#This Row],[Acct]], config_BS[Acct], config_BS[Lv1],,0)</f>
        <v>Assets</v>
      </c>
      <c r="M1467" t="str">
        <f>_xlfn.XLOOKUP(Jnl[[#This Row],[Acct]], config_BS[Acct], config_BS[Lv2],,0)</f>
        <v>Invtr</v>
      </c>
      <c r="N1467" t="str">
        <f>_xlfn.XLOOKUP(Jnl[[#This Row],[TrxId]], Trx[Id], Trx[IncNode], ,0)</f>
        <v>Cost</v>
      </c>
      <c r="O1467" t="str">
        <f>_xlfn.XLOOKUP(Jnl[[#This Row],[IncNode]], config_IS[Node], config_IS[Type],,0)</f>
        <v>Op</v>
      </c>
      <c r="P1467" t="str">
        <f>_xlfn.XLOOKUP(Jnl[[#This Row],[BSLv2]], dict[Key], dict[Name],,0)</f>
        <v>3.库存占款</v>
      </c>
      <c r="Q1467" t="str">
        <f>_xlfn.XLOOKUP(Jnl[[#This Row],[Acct]], dict[Key], dict[Name],,0)</f>
        <v>当期存货</v>
      </c>
      <c r="R1467" t="str">
        <f>_xlfn.XLOOKUP(Jnl[[#This Row],[Vehicle]],config_vehicle[Id], config_vehicle[Name],,0)</f>
        <v>远家花园</v>
      </c>
      <c r="S1467" t="str">
        <f>_xlfn.XLOOKUP(Jnl[[#This Row],[Division]],config_div[Id], config_div[Name],,0)</f>
        <v>网店</v>
      </c>
      <c r="T1467" t="str">
        <f>IF(Jnl[[#This Row],[TrxDate]]&lt;=stmt_BS_date_end, "In", "Out")</f>
        <v>In</v>
      </c>
      <c r="U1467" t="str">
        <f>IF(Jnl[[#This Row],[TrxDate]]&lt;debug_date_start, "prior", IF(Jnl[[#This Row],[TrxDate]]&gt;debug_date_end, "post", "curr"))</f>
        <v>curr</v>
      </c>
    </row>
    <row r="1468" spans="1:21">
      <c r="A1468" s="11" t="s">
        <v>1859</v>
      </c>
      <c r="B1468" s="7">
        <f>_xlfn.XLOOKUP(Jnl[[#This Row],[TrxId]], Trx[Id], Trx[Date],,0)</f>
        <v>46081</v>
      </c>
      <c r="C1468" s="7" t="str">
        <f>_xlfn.XLOOKUP(Jnl[[#This Row],[TrxId]], Trx[Id], Trx[Division],,0)</f>
        <v>Online</v>
      </c>
      <c r="D1468" s="7" t="str">
        <f>_xlfn.XLOOKUP(Jnl[[#This Row],[TrxId]], Trx[Id], Trx[Action],,0)</f>
        <v>采购</v>
      </c>
      <c r="E1468" s="26" t="s">
        <v>80</v>
      </c>
      <c r="F1468" s="11" t="s">
        <v>590</v>
      </c>
      <c r="G1468" s="11" t="s">
        <v>391</v>
      </c>
      <c r="H1468" s="72">
        <v>-219166</v>
      </c>
      <c r="I1468" s="5" t="b">
        <f>AND(Jnl[[#This Row],[TrxId]]&lt;&gt;"",Jnl[[#This Row],[Acct]]&lt;&gt;"",Jnl[[#This Row],[Item]]&lt;&gt;"",ISNUMBER(Jnl[[#This Row],[Bal]]))</f>
        <v>1</v>
      </c>
      <c r="J1468" s="10">
        <f>IF(Jnl[[#This Row],[BSLv0]]="A",1,-1)*Jnl[[#This Row],[Bal]]</f>
        <v>-219166</v>
      </c>
      <c r="K1468" t="str">
        <f>_xlfn.XLOOKUP(Jnl[[#This Row],[Acct]], config_BS[Acct], config_BS[Lv0],,0)</f>
        <v>A</v>
      </c>
      <c r="L1468" t="str">
        <f>_xlfn.XLOOKUP(Jnl[[#This Row],[Acct]], config_BS[Acct], config_BS[Lv1],,0)</f>
        <v>Assets</v>
      </c>
      <c r="M1468" t="str">
        <f>_xlfn.XLOOKUP(Jnl[[#This Row],[Acct]], config_BS[Acct], config_BS[Lv2],,0)</f>
        <v>Cash alike</v>
      </c>
      <c r="N1468" t="str">
        <f>_xlfn.XLOOKUP(Jnl[[#This Row],[TrxId]], Trx[Id], Trx[IncNode], ,0)</f>
        <v>Cost</v>
      </c>
      <c r="O1468" t="str">
        <f>_xlfn.XLOOKUP(Jnl[[#This Row],[IncNode]], config_IS[Node], config_IS[Type],,0)</f>
        <v>Op</v>
      </c>
      <c r="P1468" t="str">
        <f>_xlfn.XLOOKUP(Jnl[[#This Row],[BSLv2]], dict[Key], dict[Name],,0)</f>
        <v>0.现金及类似</v>
      </c>
      <c r="Q1468" t="str">
        <f>_xlfn.XLOOKUP(Jnl[[#This Row],[Acct]], dict[Key], dict[Name],,0)</f>
        <v>银行</v>
      </c>
      <c r="R1468" t="str">
        <f>_xlfn.XLOOKUP(Jnl[[#This Row],[Vehicle]],config_vehicle[Id], config_vehicle[Name],,0)</f>
        <v>远家花园</v>
      </c>
      <c r="S1468" t="str">
        <f>_xlfn.XLOOKUP(Jnl[[#This Row],[Division]],config_div[Id], config_div[Name],,0)</f>
        <v>网店</v>
      </c>
      <c r="T1468" t="str">
        <f>IF(Jnl[[#This Row],[TrxDate]]&lt;=stmt_BS_date_end, "In", "Out")</f>
        <v>In</v>
      </c>
      <c r="U1468" t="str">
        <f>IF(Jnl[[#This Row],[TrxDate]]&lt;debug_date_start, "prior", IF(Jnl[[#This Row],[TrxDate]]&gt;debug_date_end, "post", "curr"))</f>
        <v>curr</v>
      </c>
    </row>
    <row r="1469" spans="1:21">
      <c r="A1469" s="11" t="s">
        <v>1860</v>
      </c>
      <c r="B1469" s="7">
        <f>_xlfn.XLOOKUP(Jnl[[#This Row],[TrxId]], Trx[Id], Trx[Date],,0)</f>
        <v>46081</v>
      </c>
      <c r="C1469" s="7" t="str">
        <f>_xlfn.XLOOKUP(Jnl[[#This Row],[TrxId]], Trx[Id], Trx[Division],,0)</f>
        <v>Online</v>
      </c>
      <c r="D1469" s="7" t="str">
        <f>_xlfn.XLOOKUP(Jnl[[#This Row],[TrxId]], Trx[Id], Trx[Action],,0)</f>
        <v>加工</v>
      </c>
      <c r="E1469" s="26" t="s">
        <v>80</v>
      </c>
      <c r="F1469" s="11" t="s">
        <v>598</v>
      </c>
      <c r="G1469" s="11" t="s">
        <v>151</v>
      </c>
      <c r="H1469" s="72">
        <v>21104.66</v>
      </c>
      <c r="I1469" s="5" t="b">
        <f>AND(Jnl[[#This Row],[TrxId]]&lt;&gt;"",Jnl[[#This Row],[Acct]]&lt;&gt;"",Jnl[[#This Row],[Item]]&lt;&gt;"",ISNUMBER(Jnl[[#This Row],[Bal]]))</f>
        <v>1</v>
      </c>
      <c r="J1469" s="10">
        <f>IF(Jnl[[#This Row],[BSLv0]]="A",1,-1)*Jnl[[#This Row],[Bal]]</f>
        <v>21104.66</v>
      </c>
      <c r="K1469" t="str">
        <f>_xlfn.XLOOKUP(Jnl[[#This Row],[Acct]], config_BS[Acct], config_BS[Lv0],,0)</f>
        <v>A</v>
      </c>
      <c r="L1469" t="str">
        <f>_xlfn.XLOOKUP(Jnl[[#This Row],[Acct]], config_BS[Acct], config_BS[Lv1],,0)</f>
        <v>Assets</v>
      </c>
      <c r="M1469" t="str">
        <f>_xlfn.XLOOKUP(Jnl[[#This Row],[Acct]], config_BS[Acct], config_BS[Lv2],,0)</f>
        <v>Invtr</v>
      </c>
      <c r="N1469" t="str">
        <f>_xlfn.XLOOKUP(Jnl[[#This Row],[TrxId]], Trx[Id], Trx[IncNode], ,0)</f>
        <v>Cost</v>
      </c>
      <c r="O1469" t="str">
        <f>_xlfn.XLOOKUP(Jnl[[#This Row],[IncNode]], config_IS[Node], config_IS[Type],,0)</f>
        <v>Op</v>
      </c>
      <c r="P1469" t="str">
        <f>_xlfn.XLOOKUP(Jnl[[#This Row],[BSLv2]], dict[Key], dict[Name],,0)</f>
        <v>3.库存占款</v>
      </c>
      <c r="Q1469" t="str">
        <f>_xlfn.XLOOKUP(Jnl[[#This Row],[Acct]], dict[Key], dict[Name],,0)</f>
        <v>当期存货</v>
      </c>
      <c r="R1469" t="str">
        <f>_xlfn.XLOOKUP(Jnl[[#This Row],[Vehicle]],config_vehicle[Id], config_vehicle[Name],,0)</f>
        <v>远家花园</v>
      </c>
      <c r="S1469" t="str">
        <f>_xlfn.XLOOKUP(Jnl[[#This Row],[Division]],config_div[Id], config_div[Name],,0)</f>
        <v>网店</v>
      </c>
      <c r="T1469" t="str">
        <f>IF(Jnl[[#This Row],[TrxDate]]&lt;=stmt_BS_date_end, "In", "Out")</f>
        <v>In</v>
      </c>
      <c r="U1469" t="str">
        <f>IF(Jnl[[#This Row],[TrxDate]]&lt;debug_date_start, "prior", IF(Jnl[[#This Row],[TrxDate]]&gt;debug_date_end, "post", "curr"))</f>
        <v>curr</v>
      </c>
    </row>
    <row r="1470" spans="1:21">
      <c r="A1470" s="11" t="s">
        <v>1860</v>
      </c>
      <c r="B1470" s="7">
        <f>_xlfn.XLOOKUP(Jnl[[#This Row],[TrxId]], Trx[Id], Trx[Date],,0)</f>
        <v>46081</v>
      </c>
      <c r="C1470" s="7" t="str">
        <f>_xlfn.XLOOKUP(Jnl[[#This Row],[TrxId]], Trx[Id], Trx[Division],,0)</f>
        <v>Online</v>
      </c>
      <c r="D1470" s="7" t="str">
        <f>_xlfn.XLOOKUP(Jnl[[#This Row],[TrxId]], Trx[Id], Trx[Action],,0)</f>
        <v>加工</v>
      </c>
      <c r="E1470" s="26" t="s">
        <v>80</v>
      </c>
      <c r="F1470" s="11" t="s">
        <v>590</v>
      </c>
      <c r="G1470" s="11" t="s">
        <v>391</v>
      </c>
      <c r="H1470" s="72">
        <v>-21104.66</v>
      </c>
      <c r="I1470" s="5" t="b">
        <f>AND(Jnl[[#This Row],[TrxId]]&lt;&gt;"",Jnl[[#This Row],[Acct]]&lt;&gt;"",Jnl[[#This Row],[Item]]&lt;&gt;"",ISNUMBER(Jnl[[#This Row],[Bal]]))</f>
        <v>1</v>
      </c>
      <c r="J1470" s="10">
        <f>IF(Jnl[[#This Row],[BSLv0]]="A",1,-1)*Jnl[[#This Row],[Bal]]</f>
        <v>-21104.66</v>
      </c>
      <c r="K1470" t="str">
        <f>_xlfn.XLOOKUP(Jnl[[#This Row],[Acct]], config_BS[Acct], config_BS[Lv0],,0)</f>
        <v>A</v>
      </c>
      <c r="L1470" t="str">
        <f>_xlfn.XLOOKUP(Jnl[[#This Row],[Acct]], config_BS[Acct], config_BS[Lv1],,0)</f>
        <v>Assets</v>
      </c>
      <c r="M1470" t="str">
        <f>_xlfn.XLOOKUP(Jnl[[#This Row],[Acct]], config_BS[Acct], config_BS[Lv2],,0)</f>
        <v>Cash alike</v>
      </c>
      <c r="N1470" t="str">
        <f>_xlfn.XLOOKUP(Jnl[[#This Row],[TrxId]], Trx[Id], Trx[IncNode], ,0)</f>
        <v>Cost</v>
      </c>
      <c r="O1470" t="str">
        <f>_xlfn.XLOOKUP(Jnl[[#This Row],[IncNode]], config_IS[Node], config_IS[Type],,0)</f>
        <v>Op</v>
      </c>
      <c r="P1470" t="str">
        <f>_xlfn.XLOOKUP(Jnl[[#This Row],[BSLv2]], dict[Key], dict[Name],,0)</f>
        <v>0.现金及类似</v>
      </c>
      <c r="Q1470" t="str">
        <f>_xlfn.XLOOKUP(Jnl[[#This Row],[Acct]], dict[Key], dict[Name],,0)</f>
        <v>银行</v>
      </c>
      <c r="R1470" t="str">
        <f>_xlfn.XLOOKUP(Jnl[[#This Row],[Vehicle]],config_vehicle[Id], config_vehicle[Name],,0)</f>
        <v>远家花园</v>
      </c>
      <c r="S1470" t="str">
        <f>_xlfn.XLOOKUP(Jnl[[#This Row],[Division]],config_div[Id], config_div[Name],,0)</f>
        <v>网店</v>
      </c>
      <c r="T1470" t="str">
        <f>IF(Jnl[[#This Row],[TrxDate]]&lt;=stmt_BS_date_end, "In", "Out")</f>
        <v>In</v>
      </c>
      <c r="U1470" t="str">
        <f>IF(Jnl[[#This Row],[TrxDate]]&lt;debug_date_start, "prior", IF(Jnl[[#This Row],[TrxDate]]&gt;debug_date_end, "post", "curr"))</f>
        <v>curr</v>
      </c>
    </row>
    <row r="1471" spans="1:21">
      <c r="A1471" s="11" t="s">
        <v>1862</v>
      </c>
      <c r="B1471" s="7">
        <f>_xlfn.XLOOKUP(Jnl[[#This Row],[TrxId]], Trx[Id], Trx[Date],,0)</f>
        <v>46081</v>
      </c>
      <c r="C1471" s="7" t="str">
        <f>_xlfn.XLOOKUP(Jnl[[#This Row],[TrxId]], Trx[Id], Trx[Division],,0)</f>
        <v>Online</v>
      </c>
      <c r="D1471" s="7" t="str">
        <f>_xlfn.XLOOKUP(Jnl[[#This Row],[TrxId]], Trx[Id], Trx[Action],,0)</f>
        <v>采购</v>
      </c>
      <c r="E1471" s="26" t="s">
        <v>80</v>
      </c>
      <c r="F1471" s="11" t="s">
        <v>598</v>
      </c>
      <c r="G1471" s="11" t="s">
        <v>151</v>
      </c>
      <c r="H1471" s="72">
        <v>5462.4</v>
      </c>
      <c r="I1471" s="5" t="b">
        <f>AND(Jnl[[#This Row],[TrxId]]&lt;&gt;"",Jnl[[#This Row],[Acct]]&lt;&gt;"",Jnl[[#This Row],[Item]]&lt;&gt;"",ISNUMBER(Jnl[[#This Row],[Bal]]))</f>
        <v>1</v>
      </c>
      <c r="J1471" s="10">
        <f>IF(Jnl[[#This Row],[BSLv0]]="A",1,-1)*Jnl[[#This Row],[Bal]]</f>
        <v>5462.4</v>
      </c>
      <c r="K1471" t="str">
        <f>_xlfn.XLOOKUP(Jnl[[#This Row],[Acct]], config_BS[Acct], config_BS[Lv0],,0)</f>
        <v>A</v>
      </c>
      <c r="L1471" t="str">
        <f>_xlfn.XLOOKUP(Jnl[[#This Row],[Acct]], config_BS[Acct], config_BS[Lv1],,0)</f>
        <v>Assets</v>
      </c>
      <c r="M1471" t="str">
        <f>_xlfn.XLOOKUP(Jnl[[#This Row],[Acct]], config_BS[Acct], config_BS[Lv2],,0)</f>
        <v>Invtr</v>
      </c>
      <c r="N1471" t="str">
        <f>_xlfn.XLOOKUP(Jnl[[#This Row],[TrxId]], Trx[Id], Trx[IncNode], ,0)</f>
        <v>Cost</v>
      </c>
      <c r="O1471" t="str">
        <f>_xlfn.XLOOKUP(Jnl[[#This Row],[IncNode]], config_IS[Node], config_IS[Type],,0)</f>
        <v>Op</v>
      </c>
      <c r="P1471" t="str">
        <f>_xlfn.XLOOKUP(Jnl[[#This Row],[BSLv2]], dict[Key], dict[Name],,0)</f>
        <v>3.库存占款</v>
      </c>
      <c r="Q1471" t="str">
        <f>_xlfn.XLOOKUP(Jnl[[#This Row],[Acct]], dict[Key], dict[Name],,0)</f>
        <v>当期存货</v>
      </c>
      <c r="R1471" t="str">
        <f>_xlfn.XLOOKUP(Jnl[[#This Row],[Vehicle]],config_vehicle[Id], config_vehicle[Name],,0)</f>
        <v>远家花园</v>
      </c>
      <c r="S1471" t="str">
        <f>_xlfn.XLOOKUP(Jnl[[#This Row],[Division]],config_div[Id], config_div[Name],,0)</f>
        <v>网店</v>
      </c>
      <c r="T1471" t="str">
        <f>IF(Jnl[[#This Row],[TrxDate]]&lt;=stmt_BS_date_end, "In", "Out")</f>
        <v>In</v>
      </c>
      <c r="U1471" t="str">
        <f>IF(Jnl[[#This Row],[TrxDate]]&lt;debug_date_start, "prior", IF(Jnl[[#This Row],[TrxDate]]&gt;debug_date_end, "post", "curr"))</f>
        <v>curr</v>
      </c>
    </row>
    <row r="1472" spans="1:21">
      <c r="A1472" s="11" t="s">
        <v>1862</v>
      </c>
      <c r="B1472" s="7">
        <f>_xlfn.XLOOKUP(Jnl[[#This Row],[TrxId]], Trx[Id], Trx[Date],,0)</f>
        <v>46081</v>
      </c>
      <c r="C1472" s="7" t="str">
        <f>_xlfn.XLOOKUP(Jnl[[#This Row],[TrxId]], Trx[Id], Trx[Division],,0)</f>
        <v>Online</v>
      </c>
      <c r="D1472" s="7" t="str">
        <f>_xlfn.XLOOKUP(Jnl[[#This Row],[TrxId]], Trx[Id], Trx[Action],,0)</f>
        <v>采购</v>
      </c>
      <c r="E1472" s="26" t="s">
        <v>80</v>
      </c>
      <c r="F1472" s="11" t="s">
        <v>590</v>
      </c>
      <c r="G1472" s="11" t="s">
        <v>391</v>
      </c>
      <c r="H1472" s="72">
        <v>-5462.4</v>
      </c>
      <c r="I1472" s="5" t="b">
        <f>AND(Jnl[[#This Row],[TrxId]]&lt;&gt;"",Jnl[[#This Row],[Acct]]&lt;&gt;"",Jnl[[#This Row],[Item]]&lt;&gt;"",ISNUMBER(Jnl[[#This Row],[Bal]]))</f>
        <v>1</v>
      </c>
      <c r="J1472" s="10">
        <f>IF(Jnl[[#This Row],[BSLv0]]="A",1,-1)*Jnl[[#This Row],[Bal]]</f>
        <v>-5462.4</v>
      </c>
      <c r="K1472" t="str">
        <f>_xlfn.XLOOKUP(Jnl[[#This Row],[Acct]], config_BS[Acct], config_BS[Lv0],,0)</f>
        <v>A</v>
      </c>
      <c r="L1472" t="str">
        <f>_xlfn.XLOOKUP(Jnl[[#This Row],[Acct]], config_BS[Acct], config_BS[Lv1],,0)</f>
        <v>Assets</v>
      </c>
      <c r="M1472" t="str">
        <f>_xlfn.XLOOKUP(Jnl[[#This Row],[Acct]], config_BS[Acct], config_BS[Lv2],,0)</f>
        <v>Cash alike</v>
      </c>
      <c r="N1472" t="str">
        <f>_xlfn.XLOOKUP(Jnl[[#This Row],[TrxId]], Trx[Id], Trx[IncNode], ,0)</f>
        <v>Cost</v>
      </c>
      <c r="O1472" t="str">
        <f>_xlfn.XLOOKUP(Jnl[[#This Row],[IncNode]], config_IS[Node], config_IS[Type],,0)</f>
        <v>Op</v>
      </c>
      <c r="P1472" t="str">
        <f>_xlfn.XLOOKUP(Jnl[[#This Row],[BSLv2]], dict[Key], dict[Name],,0)</f>
        <v>0.现金及类似</v>
      </c>
      <c r="Q1472" t="str">
        <f>_xlfn.XLOOKUP(Jnl[[#This Row],[Acct]], dict[Key], dict[Name],,0)</f>
        <v>银行</v>
      </c>
      <c r="R1472" t="str">
        <f>_xlfn.XLOOKUP(Jnl[[#This Row],[Vehicle]],config_vehicle[Id], config_vehicle[Name],,0)</f>
        <v>远家花园</v>
      </c>
      <c r="S1472" t="str">
        <f>_xlfn.XLOOKUP(Jnl[[#This Row],[Division]],config_div[Id], config_div[Name],,0)</f>
        <v>网店</v>
      </c>
      <c r="T1472" t="str">
        <f>IF(Jnl[[#This Row],[TrxDate]]&lt;=stmt_BS_date_end, "In", "Out")</f>
        <v>In</v>
      </c>
      <c r="U1472" t="str">
        <f>IF(Jnl[[#This Row],[TrxDate]]&lt;debug_date_start, "prior", IF(Jnl[[#This Row],[TrxDate]]&gt;debug_date_end, "post", "curr"))</f>
        <v>curr</v>
      </c>
    </row>
    <row r="1473" spans="1:21">
      <c r="A1473" s="11" t="s">
        <v>1863</v>
      </c>
      <c r="B1473" s="7">
        <f>_xlfn.XLOOKUP(Jnl[[#This Row],[TrxId]], Trx[Id], Trx[Date],,0)</f>
        <v>46081</v>
      </c>
      <c r="C1473" s="7" t="str">
        <f>_xlfn.XLOOKUP(Jnl[[#This Row],[TrxId]], Trx[Id], Trx[Division],,0)</f>
        <v>Online</v>
      </c>
      <c r="D1473" s="7" t="str">
        <f>_xlfn.XLOOKUP(Jnl[[#This Row],[TrxId]], Trx[Id], Trx[Action],,0)</f>
        <v>采购</v>
      </c>
      <c r="E1473" s="26" t="s">
        <v>80</v>
      </c>
      <c r="F1473" s="11" t="s">
        <v>598</v>
      </c>
      <c r="G1473" s="11" t="s">
        <v>151</v>
      </c>
      <c r="H1473" s="72">
        <v>69421.5</v>
      </c>
      <c r="I1473" s="5" t="b">
        <f>AND(Jnl[[#This Row],[TrxId]]&lt;&gt;"",Jnl[[#This Row],[Acct]]&lt;&gt;"",Jnl[[#This Row],[Item]]&lt;&gt;"",ISNUMBER(Jnl[[#This Row],[Bal]]))</f>
        <v>1</v>
      </c>
      <c r="J1473" s="10">
        <f>IF(Jnl[[#This Row],[BSLv0]]="A",1,-1)*Jnl[[#This Row],[Bal]]</f>
        <v>69421.5</v>
      </c>
      <c r="K1473" t="str">
        <f>_xlfn.XLOOKUP(Jnl[[#This Row],[Acct]], config_BS[Acct], config_BS[Lv0],,0)</f>
        <v>A</v>
      </c>
      <c r="L1473" t="str">
        <f>_xlfn.XLOOKUP(Jnl[[#This Row],[Acct]], config_BS[Acct], config_BS[Lv1],,0)</f>
        <v>Assets</v>
      </c>
      <c r="M1473" t="str">
        <f>_xlfn.XLOOKUP(Jnl[[#This Row],[Acct]], config_BS[Acct], config_BS[Lv2],,0)</f>
        <v>Invtr</v>
      </c>
      <c r="N1473" t="str">
        <f>_xlfn.XLOOKUP(Jnl[[#This Row],[TrxId]], Trx[Id], Trx[IncNode], ,0)</f>
        <v>Cost</v>
      </c>
      <c r="O1473" t="str">
        <f>_xlfn.XLOOKUP(Jnl[[#This Row],[IncNode]], config_IS[Node], config_IS[Type],,0)</f>
        <v>Op</v>
      </c>
      <c r="P1473" t="str">
        <f>_xlfn.XLOOKUP(Jnl[[#This Row],[BSLv2]], dict[Key], dict[Name],,0)</f>
        <v>3.库存占款</v>
      </c>
      <c r="Q1473" t="str">
        <f>_xlfn.XLOOKUP(Jnl[[#This Row],[Acct]], dict[Key], dict[Name],,0)</f>
        <v>当期存货</v>
      </c>
      <c r="R1473" t="str">
        <f>_xlfn.XLOOKUP(Jnl[[#This Row],[Vehicle]],config_vehicle[Id], config_vehicle[Name],,0)</f>
        <v>远家花园</v>
      </c>
      <c r="S1473" t="str">
        <f>_xlfn.XLOOKUP(Jnl[[#This Row],[Division]],config_div[Id], config_div[Name],,0)</f>
        <v>网店</v>
      </c>
      <c r="T1473" t="str">
        <f>IF(Jnl[[#This Row],[TrxDate]]&lt;=stmt_BS_date_end, "In", "Out")</f>
        <v>In</v>
      </c>
      <c r="U1473" t="str">
        <f>IF(Jnl[[#This Row],[TrxDate]]&lt;debug_date_start, "prior", IF(Jnl[[#This Row],[TrxDate]]&gt;debug_date_end, "post", "curr"))</f>
        <v>curr</v>
      </c>
    </row>
    <row r="1474" spans="1:21">
      <c r="A1474" s="11" t="s">
        <v>1863</v>
      </c>
      <c r="B1474" s="7">
        <f>_xlfn.XLOOKUP(Jnl[[#This Row],[TrxId]], Trx[Id], Trx[Date],,0)</f>
        <v>46081</v>
      </c>
      <c r="C1474" s="7" t="str">
        <f>_xlfn.XLOOKUP(Jnl[[#This Row],[TrxId]], Trx[Id], Trx[Division],,0)</f>
        <v>Online</v>
      </c>
      <c r="D1474" s="7" t="str">
        <f>_xlfn.XLOOKUP(Jnl[[#This Row],[TrxId]], Trx[Id], Trx[Action],,0)</f>
        <v>采购</v>
      </c>
      <c r="E1474" s="26" t="s">
        <v>80</v>
      </c>
      <c r="F1474" s="11" t="s">
        <v>590</v>
      </c>
      <c r="G1474" s="11" t="s">
        <v>391</v>
      </c>
      <c r="H1474" s="72">
        <v>-69421.5</v>
      </c>
      <c r="I1474" s="5" t="b">
        <f>AND(Jnl[[#This Row],[TrxId]]&lt;&gt;"",Jnl[[#This Row],[Acct]]&lt;&gt;"",Jnl[[#This Row],[Item]]&lt;&gt;"",ISNUMBER(Jnl[[#This Row],[Bal]]))</f>
        <v>1</v>
      </c>
      <c r="J1474" s="10">
        <f>IF(Jnl[[#This Row],[BSLv0]]="A",1,-1)*Jnl[[#This Row],[Bal]]</f>
        <v>-69421.5</v>
      </c>
      <c r="K1474" t="str">
        <f>_xlfn.XLOOKUP(Jnl[[#This Row],[Acct]], config_BS[Acct], config_BS[Lv0],,0)</f>
        <v>A</v>
      </c>
      <c r="L1474" t="str">
        <f>_xlfn.XLOOKUP(Jnl[[#This Row],[Acct]], config_BS[Acct], config_BS[Lv1],,0)</f>
        <v>Assets</v>
      </c>
      <c r="M1474" t="str">
        <f>_xlfn.XLOOKUP(Jnl[[#This Row],[Acct]], config_BS[Acct], config_BS[Lv2],,0)</f>
        <v>Cash alike</v>
      </c>
      <c r="N1474" t="str">
        <f>_xlfn.XLOOKUP(Jnl[[#This Row],[TrxId]], Trx[Id], Trx[IncNode], ,0)</f>
        <v>Cost</v>
      </c>
      <c r="O1474" t="str">
        <f>_xlfn.XLOOKUP(Jnl[[#This Row],[IncNode]], config_IS[Node], config_IS[Type],,0)</f>
        <v>Op</v>
      </c>
      <c r="P1474" t="str">
        <f>_xlfn.XLOOKUP(Jnl[[#This Row],[BSLv2]], dict[Key], dict[Name],,0)</f>
        <v>0.现金及类似</v>
      </c>
      <c r="Q1474" t="str">
        <f>_xlfn.XLOOKUP(Jnl[[#This Row],[Acct]], dict[Key], dict[Name],,0)</f>
        <v>银行</v>
      </c>
      <c r="R1474" t="str">
        <f>_xlfn.XLOOKUP(Jnl[[#This Row],[Vehicle]],config_vehicle[Id], config_vehicle[Name],,0)</f>
        <v>远家花园</v>
      </c>
      <c r="S1474" t="str">
        <f>_xlfn.XLOOKUP(Jnl[[#This Row],[Division]],config_div[Id], config_div[Name],,0)</f>
        <v>网店</v>
      </c>
      <c r="T1474" t="str">
        <f>IF(Jnl[[#This Row],[TrxDate]]&lt;=stmt_BS_date_end, "In", "Out")</f>
        <v>In</v>
      </c>
      <c r="U1474" t="str">
        <f>IF(Jnl[[#This Row],[TrxDate]]&lt;debug_date_start, "prior", IF(Jnl[[#This Row],[TrxDate]]&gt;debug_date_end, "post", "curr"))</f>
        <v>curr</v>
      </c>
    </row>
    <row r="1475" spans="1:21">
      <c r="A1475" s="11" t="s">
        <v>1864</v>
      </c>
      <c r="B1475" s="7">
        <f>_xlfn.XLOOKUP(Jnl[[#This Row],[TrxId]], Trx[Id], Trx[Date],,0)</f>
        <v>46081</v>
      </c>
      <c r="C1475" s="7" t="str">
        <f>_xlfn.XLOOKUP(Jnl[[#This Row],[TrxId]], Trx[Id], Trx[Division],,0)</f>
        <v>Online</v>
      </c>
      <c r="D1475" s="7" t="str">
        <f>_xlfn.XLOOKUP(Jnl[[#This Row],[TrxId]], Trx[Id], Trx[Action],,0)</f>
        <v>包装</v>
      </c>
      <c r="E1475" s="26" t="s">
        <v>80</v>
      </c>
      <c r="F1475" s="11" t="s">
        <v>590</v>
      </c>
      <c r="G1475" s="11" t="s">
        <v>391</v>
      </c>
      <c r="H1475" s="72">
        <v>-33578.81</v>
      </c>
      <c r="I1475" s="5" t="b">
        <f>AND(Jnl[[#This Row],[TrxId]]&lt;&gt;"",Jnl[[#This Row],[Acct]]&lt;&gt;"",Jnl[[#This Row],[Item]]&lt;&gt;"",ISNUMBER(Jnl[[#This Row],[Bal]]))</f>
        <v>1</v>
      </c>
      <c r="J1475" s="10">
        <f>IF(Jnl[[#This Row],[BSLv0]]="A",1,-1)*Jnl[[#This Row],[Bal]]</f>
        <v>-33578.81</v>
      </c>
      <c r="K1475" t="str">
        <f>_xlfn.XLOOKUP(Jnl[[#This Row],[Acct]], config_BS[Acct], config_BS[Lv0],,0)</f>
        <v>A</v>
      </c>
      <c r="L1475" t="str">
        <f>_xlfn.XLOOKUP(Jnl[[#This Row],[Acct]], config_BS[Acct], config_BS[Lv1],,0)</f>
        <v>Assets</v>
      </c>
      <c r="M1475" t="str">
        <f>_xlfn.XLOOKUP(Jnl[[#This Row],[Acct]], config_BS[Acct], config_BS[Lv2],,0)</f>
        <v>Cash alike</v>
      </c>
      <c r="N1475" t="str">
        <f>_xlfn.XLOOKUP(Jnl[[#This Row],[TrxId]], Trx[Id], Trx[IncNode], ,0)</f>
        <v>Cost</v>
      </c>
      <c r="O1475" t="str">
        <f>_xlfn.XLOOKUP(Jnl[[#This Row],[IncNode]], config_IS[Node], config_IS[Type],,0)</f>
        <v>Op</v>
      </c>
      <c r="P1475" t="str">
        <f>_xlfn.XLOOKUP(Jnl[[#This Row],[BSLv2]], dict[Key], dict[Name],,0)</f>
        <v>0.现金及类似</v>
      </c>
      <c r="Q1475" t="str">
        <f>_xlfn.XLOOKUP(Jnl[[#This Row],[Acct]], dict[Key], dict[Name],,0)</f>
        <v>银行</v>
      </c>
      <c r="R1475" t="str">
        <f>_xlfn.XLOOKUP(Jnl[[#This Row],[Vehicle]],config_vehicle[Id], config_vehicle[Name],,0)</f>
        <v>远家花园</v>
      </c>
      <c r="S1475" t="str">
        <f>_xlfn.XLOOKUP(Jnl[[#This Row],[Division]],config_div[Id], config_div[Name],,0)</f>
        <v>网店</v>
      </c>
      <c r="T1475" t="str">
        <f>IF(Jnl[[#This Row],[TrxDate]]&lt;=stmt_BS_date_end, "In", "Out")</f>
        <v>In</v>
      </c>
      <c r="U1475" t="str">
        <f>IF(Jnl[[#This Row],[TrxDate]]&lt;debug_date_start, "prior", IF(Jnl[[#This Row],[TrxDate]]&gt;debug_date_end, "post", "curr"))</f>
        <v>curr</v>
      </c>
    </row>
    <row r="1476" spans="1:21">
      <c r="A1476" s="11" t="s">
        <v>1866</v>
      </c>
      <c r="B1476" s="7">
        <f>_xlfn.XLOOKUP(Jnl[[#This Row],[TrxId]], Trx[Id], Trx[Date],,0)</f>
        <v>46081</v>
      </c>
      <c r="C1476" s="7" t="str">
        <f>_xlfn.XLOOKUP(Jnl[[#This Row],[TrxId]], Trx[Id], Trx[Division],,0)</f>
        <v>Online</v>
      </c>
      <c r="D1476" s="7" t="str">
        <f>_xlfn.XLOOKUP(Jnl[[#This Row],[TrxId]], Trx[Id], Trx[Action],,0)</f>
        <v>采购</v>
      </c>
      <c r="E1476" s="26" t="s">
        <v>80</v>
      </c>
      <c r="F1476" s="11" t="s">
        <v>598</v>
      </c>
      <c r="G1476" s="11" t="s">
        <v>151</v>
      </c>
      <c r="H1476" s="72">
        <v>303.5</v>
      </c>
      <c r="I1476" s="5" t="b">
        <f>AND(Jnl[[#This Row],[TrxId]]&lt;&gt;"",Jnl[[#This Row],[Acct]]&lt;&gt;"",Jnl[[#This Row],[Item]]&lt;&gt;"",ISNUMBER(Jnl[[#This Row],[Bal]]))</f>
        <v>1</v>
      </c>
      <c r="J1476" s="10">
        <f>IF(Jnl[[#This Row],[BSLv0]]="A",1,-1)*Jnl[[#This Row],[Bal]]</f>
        <v>303.5</v>
      </c>
      <c r="K1476" t="str">
        <f>_xlfn.XLOOKUP(Jnl[[#This Row],[Acct]], config_BS[Acct], config_BS[Lv0],,0)</f>
        <v>A</v>
      </c>
      <c r="L1476" t="str">
        <f>_xlfn.XLOOKUP(Jnl[[#This Row],[Acct]], config_BS[Acct], config_BS[Lv1],,0)</f>
        <v>Assets</v>
      </c>
      <c r="M1476" t="str">
        <f>_xlfn.XLOOKUP(Jnl[[#This Row],[Acct]], config_BS[Acct], config_BS[Lv2],,0)</f>
        <v>Invtr</v>
      </c>
      <c r="N1476" t="str">
        <f>_xlfn.XLOOKUP(Jnl[[#This Row],[TrxId]], Trx[Id], Trx[IncNode], ,0)</f>
        <v>Cost</v>
      </c>
      <c r="O1476" t="str">
        <f>_xlfn.XLOOKUP(Jnl[[#This Row],[IncNode]], config_IS[Node], config_IS[Type],,0)</f>
        <v>Op</v>
      </c>
      <c r="P1476" t="str">
        <f>_xlfn.XLOOKUP(Jnl[[#This Row],[BSLv2]], dict[Key], dict[Name],,0)</f>
        <v>3.库存占款</v>
      </c>
      <c r="Q1476" t="str">
        <f>_xlfn.XLOOKUP(Jnl[[#This Row],[Acct]], dict[Key], dict[Name],,0)</f>
        <v>当期存货</v>
      </c>
      <c r="R1476" t="str">
        <f>_xlfn.XLOOKUP(Jnl[[#This Row],[Vehicle]],config_vehicle[Id], config_vehicle[Name],,0)</f>
        <v>远家花园</v>
      </c>
      <c r="S1476" t="str">
        <f>_xlfn.XLOOKUP(Jnl[[#This Row],[Division]],config_div[Id], config_div[Name],,0)</f>
        <v>网店</v>
      </c>
      <c r="T1476" t="str">
        <f>IF(Jnl[[#This Row],[TrxDate]]&lt;=stmt_BS_date_end, "In", "Out")</f>
        <v>In</v>
      </c>
      <c r="U1476" t="str">
        <f>IF(Jnl[[#This Row],[TrxDate]]&lt;debug_date_start, "prior", IF(Jnl[[#This Row],[TrxDate]]&gt;debug_date_end, "post", "curr"))</f>
        <v>curr</v>
      </c>
    </row>
    <row r="1477" spans="1:21">
      <c r="A1477" s="11" t="s">
        <v>1866</v>
      </c>
      <c r="B1477" s="7">
        <f>_xlfn.XLOOKUP(Jnl[[#This Row],[TrxId]], Trx[Id], Trx[Date],,0)</f>
        <v>46081</v>
      </c>
      <c r="C1477" s="7" t="str">
        <f>_xlfn.XLOOKUP(Jnl[[#This Row],[TrxId]], Trx[Id], Trx[Division],,0)</f>
        <v>Online</v>
      </c>
      <c r="D1477" s="7" t="str">
        <f>_xlfn.XLOOKUP(Jnl[[#This Row],[TrxId]], Trx[Id], Trx[Action],,0)</f>
        <v>采购</v>
      </c>
      <c r="E1477" s="26" t="s">
        <v>80</v>
      </c>
      <c r="F1477" s="11" t="s">
        <v>590</v>
      </c>
      <c r="G1477" s="11" t="s">
        <v>391</v>
      </c>
      <c r="H1477" s="72">
        <v>-303.5</v>
      </c>
      <c r="I1477" s="5" t="b">
        <f>AND(Jnl[[#This Row],[TrxId]]&lt;&gt;"",Jnl[[#This Row],[Acct]]&lt;&gt;"",Jnl[[#This Row],[Item]]&lt;&gt;"",ISNUMBER(Jnl[[#This Row],[Bal]]))</f>
        <v>1</v>
      </c>
      <c r="J1477" s="10">
        <f>IF(Jnl[[#This Row],[BSLv0]]="A",1,-1)*Jnl[[#This Row],[Bal]]</f>
        <v>-303.5</v>
      </c>
      <c r="K1477" t="str">
        <f>_xlfn.XLOOKUP(Jnl[[#This Row],[Acct]], config_BS[Acct], config_BS[Lv0],,0)</f>
        <v>A</v>
      </c>
      <c r="L1477" t="str">
        <f>_xlfn.XLOOKUP(Jnl[[#This Row],[Acct]], config_BS[Acct], config_BS[Lv1],,0)</f>
        <v>Assets</v>
      </c>
      <c r="M1477" t="str">
        <f>_xlfn.XLOOKUP(Jnl[[#This Row],[Acct]], config_BS[Acct], config_BS[Lv2],,0)</f>
        <v>Cash alike</v>
      </c>
      <c r="N1477" t="str">
        <f>_xlfn.XLOOKUP(Jnl[[#This Row],[TrxId]], Trx[Id], Trx[IncNode], ,0)</f>
        <v>Cost</v>
      </c>
      <c r="O1477" t="str">
        <f>_xlfn.XLOOKUP(Jnl[[#This Row],[IncNode]], config_IS[Node], config_IS[Type],,0)</f>
        <v>Op</v>
      </c>
      <c r="P1477" t="str">
        <f>_xlfn.XLOOKUP(Jnl[[#This Row],[BSLv2]], dict[Key], dict[Name],,0)</f>
        <v>0.现金及类似</v>
      </c>
      <c r="Q1477" t="str">
        <f>_xlfn.XLOOKUP(Jnl[[#This Row],[Acct]], dict[Key], dict[Name],,0)</f>
        <v>银行</v>
      </c>
      <c r="R1477" t="str">
        <f>_xlfn.XLOOKUP(Jnl[[#This Row],[Vehicle]],config_vehicle[Id], config_vehicle[Name],,0)</f>
        <v>远家花园</v>
      </c>
      <c r="S1477" t="str">
        <f>_xlfn.XLOOKUP(Jnl[[#This Row],[Division]],config_div[Id], config_div[Name],,0)</f>
        <v>网店</v>
      </c>
      <c r="T1477" t="str">
        <f>IF(Jnl[[#This Row],[TrxDate]]&lt;=stmt_BS_date_end, "In", "Out")</f>
        <v>In</v>
      </c>
      <c r="U1477" t="str">
        <f>IF(Jnl[[#This Row],[TrxDate]]&lt;debug_date_start, "prior", IF(Jnl[[#This Row],[TrxDate]]&gt;debug_date_end, "post", "curr"))</f>
        <v>curr</v>
      </c>
    </row>
    <row r="1478" spans="1:21">
      <c r="A1478" s="11" t="s">
        <v>1867</v>
      </c>
      <c r="B1478" s="7">
        <f>_xlfn.XLOOKUP(Jnl[[#This Row],[TrxId]], Trx[Id], Trx[Date],,0)</f>
        <v>46081</v>
      </c>
      <c r="C1478" s="7" t="str">
        <f>_xlfn.XLOOKUP(Jnl[[#This Row],[TrxId]], Trx[Id], Trx[Division],,0)</f>
        <v>Online</v>
      </c>
      <c r="D1478" s="7" t="str">
        <f>_xlfn.XLOOKUP(Jnl[[#This Row],[TrxId]], Trx[Id], Trx[Action],,0)</f>
        <v>采购</v>
      </c>
      <c r="E1478" s="26" t="s">
        <v>80</v>
      </c>
      <c r="F1478" s="11" t="s">
        <v>598</v>
      </c>
      <c r="G1478" s="11" t="s">
        <v>151</v>
      </c>
      <c r="H1478" s="72">
        <v>39112.9</v>
      </c>
      <c r="I1478" s="5" t="b">
        <f>AND(Jnl[[#This Row],[TrxId]]&lt;&gt;"",Jnl[[#This Row],[Acct]]&lt;&gt;"",Jnl[[#This Row],[Item]]&lt;&gt;"",ISNUMBER(Jnl[[#This Row],[Bal]]))</f>
        <v>1</v>
      </c>
      <c r="J1478" s="10">
        <f>IF(Jnl[[#This Row],[BSLv0]]="A",1,-1)*Jnl[[#This Row],[Bal]]</f>
        <v>39112.9</v>
      </c>
      <c r="K1478" t="str">
        <f>_xlfn.XLOOKUP(Jnl[[#This Row],[Acct]], config_BS[Acct], config_BS[Lv0],,0)</f>
        <v>A</v>
      </c>
      <c r="L1478" t="str">
        <f>_xlfn.XLOOKUP(Jnl[[#This Row],[Acct]], config_BS[Acct], config_BS[Lv1],,0)</f>
        <v>Assets</v>
      </c>
      <c r="M1478" t="str">
        <f>_xlfn.XLOOKUP(Jnl[[#This Row],[Acct]], config_BS[Acct], config_BS[Lv2],,0)</f>
        <v>Invtr</v>
      </c>
      <c r="N1478" t="str">
        <f>_xlfn.XLOOKUP(Jnl[[#This Row],[TrxId]], Trx[Id], Trx[IncNode], ,0)</f>
        <v>Cost</v>
      </c>
      <c r="O1478" t="str">
        <f>_xlfn.XLOOKUP(Jnl[[#This Row],[IncNode]], config_IS[Node], config_IS[Type],,0)</f>
        <v>Op</v>
      </c>
      <c r="P1478" t="str">
        <f>_xlfn.XLOOKUP(Jnl[[#This Row],[BSLv2]], dict[Key], dict[Name],,0)</f>
        <v>3.库存占款</v>
      </c>
      <c r="Q1478" t="str">
        <f>_xlfn.XLOOKUP(Jnl[[#This Row],[Acct]], dict[Key], dict[Name],,0)</f>
        <v>当期存货</v>
      </c>
      <c r="R1478" t="str">
        <f>_xlfn.XLOOKUP(Jnl[[#This Row],[Vehicle]],config_vehicle[Id], config_vehicle[Name],,0)</f>
        <v>远家花园</v>
      </c>
      <c r="S1478" t="str">
        <f>_xlfn.XLOOKUP(Jnl[[#This Row],[Division]],config_div[Id], config_div[Name],,0)</f>
        <v>网店</v>
      </c>
      <c r="T1478" t="str">
        <f>IF(Jnl[[#This Row],[TrxDate]]&lt;=stmt_BS_date_end, "In", "Out")</f>
        <v>In</v>
      </c>
      <c r="U1478" t="str">
        <f>IF(Jnl[[#This Row],[TrxDate]]&lt;debug_date_start, "prior", IF(Jnl[[#This Row],[TrxDate]]&gt;debug_date_end, "post", "curr"))</f>
        <v>curr</v>
      </c>
    </row>
    <row r="1479" spans="1:21">
      <c r="A1479" s="11" t="s">
        <v>1867</v>
      </c>
      <c r="B1479" s="7">
        <f>_xlfn.XLOOKUP(Jnl[[#This Row],[TrxId]], Trx[Id], Trx[Date],,0)</f>
        <v>46081</v>
      </c>
      <c r="C1479" s="7" t="str">
        <f>_xlfn.XLOOKUP(Jnl[[#This Row],[TrxId]], Trx[Id], Trx[Division],,0)</f>
        <v>Online</v>
      </c>
      <c r="D1479" s="7" t="str">
        <f>_xlfn.XLOOKUP(Jnl[[#This Row],[TrxId]], Trx[Id], Trx[Action],,0)</f>
        <v>采购</v>
      </c>
      <c r="E1479" s="26" t="s">
        <v>80</v>
      </c>
      <c r="F1479" s="11" t="s">
        <v>590</v>
      </c>
      <c r="G1479" s="11" t="s">
        <v>391</v>
      </c>
      <c r="H1479" s="72">
        <v>-39112.9</v>
      </c>
      <c r="I1479" s="5" t="b">
        <f>AND(Jnl[[#This Row],[TrxId]]&lt;&gt;"",Jnl[[#This Row],[Acct]]&lt;&gt;"",Jnl[[#This Row],[Item]]&lt;&gt;"",ISNUMBER(Jnl[[#This Row],[Bal]]))</f>
        <v>1</v>
      </c>
      <c r="J1479" s="10">
        <f>IF(Jnl[[#This Row],[BSLv0]]="A",1,-1)*Jnl[[#This Row],[Bal]]</f>
        <v>-39112.9</v>
      </c>
      <c r="K1479" t="str">
        <f>_xlfn.XLOOKUP(Jnl[[#This Row],[Acct]], config_BS[Acct], config_BS[Lv0],,0)</f>
        <v>A</v>
      </c>
      <c r="L1479" t="str">
        <f>_xlfn.XLOOKUP(Jnl[[#This Row],[Acct]], config_BS[Acct], config_BS[Lv1],,0)</f>
        <v>Assets</v>
      </c>
      <c r="M1479" t="str">
        <f>_xlfn.XLOOKUP(Jnl[[#This Row],[Acct]], config_BS[Acct], config_BS[Lv2],,0)</f>
        <v>Cash alike</v>
      </c>
      <c r="N1479" t="str">
        <f>_xlfn.XLOOKUP(Jnl[[#This Row],[TrxId]], Trx[Id], Trx[IncNode], ,0)</f>
        <v>Cost</v>
      </c>
      <c r="O1479" t="str">
        <f>_xlfn.XLOOKUP(Jnl[[#This Row],[IncNode]], config_IS[Node], config_IS[Type],,0)</f>
        <v>Op</v>
      </c>
      <c r="P1479" t="str">
        <f>_xlfn.XLOOKUP(Jnl[[#This Row],[BSLv2]], dict[Key], dict[Name],,0)</f>
        <v>0.现金及类似</v>
      </c>
      <c r="Q1479" t="str">
        <f>_xlfn.XLOOKUP(Jnl[[#This Row],[Acct]], dict[Key], dict[Name],,0)</f>
        <v>银行</v>
      </c>
      <c r="R1479" t="str">
        <f>_xlfn.XLOOKUP(Jnl[[#This Row],[Vehicle]],config_vehicle[Id], config_vehicle[Name],,0)</f>
        <v>远家花园</v>
      </c>
      <c r="S1479" t="str">
        <f>_xlfn.XLOOKUP(Jnl[[#This Row],[Division]],config_div[Id], config_div[Name],,0)</f>
        <v>网店</v>
      </c>
      <c r="T1479" t="str">
        <f>IF(Jnl[[#This Row],[TrxDate]]&lt;=stmt_BS_date_end, "In", "Out")</f>
        <v>In</v>
      </c>
      <c r="U1479" t="str">
        <f>IF(Jnl[[#This Row],[TrxDate]]&lt;debug_date_start, "prior", IF(Jnl[[#This Row],[TrxDate]]&gt;debug_date_end, "post", "curr"))</f>
        <v>curr</v>
      </c>
    </row>
    <row r="1480" spans="1:21">
      <c r="A1480" s="11" t="s">
        <v>1869</v>
      </c>
      <c r="B1480" s="7">
        <f>_xlfn.XLOOKUP(Jnl[[#This Row],[TrxId]], Trx[Id], Trx[Date],,0)</f>
        <v>46081</v>
      </c>
      <c r="C1480" s="7" t="str">
        <f>_xlfn.XLOOKUP(Jnl[[#This Row],[TrxId]], Trx[Id], Trx[Division],,0)</f>
        <v>Online</v>
      </c>
      <c r="D1480" s="7" t="str">
        <f>_xlfn.XLOOKUP(Jnl[[#This Row],[TrxId]], Trx[Id], Trx[Action],,0)</f>
        <v>平台费</v>
      </c>
      <c r="E1480" s="26" t="s">
        <v>80</v>
      </c>
      <c r="F1480" s="11" t="s">
        <v>593</v>
      </c>
      <c r="G1480" s="11" t="s">
        <v>594</v>
      </c>
      <c r="H1480" s="72">
        <v>-90895.1</v>
      </c>
      <c r="I1480" s="5" t="b">
        <f>AND(Jnl[[#This Row],[TrxId]]&lt;&gt;"",Jnl[[#This Row],[Acct]]&lt;&gt;"",Jnl[[#This Row],[Item]]&lt;&gt;"",ISNUMBER(Jnl[[#This Row],[Bal]]))</f>
        <v>1</v>
      </c>
      <c r="J1480" s="10">
        <f>IF(Jnl[[#This Row],[BSLv0]]="A",1,-1)*Jnl[[#This Row],[Bal]]</f>
        <v>-90895.1</v>
      </c>
      <c r="K1480" t="str">
        <f>_xlfn.XLOOKUP(Jnl[[#This Row],[Acct]], config_BS[Acct], config_BS[Lv0],,0)</f>
        <v>A</v>
      </c>
      <c r="L1480" t="str">
        <f>_xlfn.XLOOKUP(Jnl[[#This Row],[Acct]], config_BS[Acct], config_BS[Lv1],,0)</f>
        <v>Assets</v>
      </c>
      <c r="M1480" t="str">
        <f>_xlfn.XLOOKUP(Jnl[[#This Row],[Acct]], config_BS[Acct], config_BS[Lv2],,0)</f>
        <v>Rec-Pay</v>
      </c>
      <c r="N1480" t="str">
        <f>_xlfn.XLOOKUP(Jnl[[#This Row],[TrxId]], Trx[Id], Trx[IncNode], ,0)</f>
        <v>Expense</v>
      </c>
      <c r="O1480" t="str">
        <f>_xlfn.XLOOKUP(Jnl[[#This Row],[IncNode]], config_IS[Node], config_IS[Type],,0)</f>
        <v>Op</v>
      </c>
      <c r="P1480" t="str">
        <f>_xlfn.XLOOKUP(Jnl[[#This Row],[BSLv2]], dict[Key], dict[Name],,0)</f>
        <v>1.应收-应付</v>
      </c>
      <c r="Q1480" t="str">
        <f>_xlfn.XLOOKUP(Jnl[[#This Row],[Acct]], dict[Key], dict[Name],,0)</f>
        <v>应收-一般</v>
      </c>
      <c r="R1480" t="str">
        <f>_xlfn.XLOOKUP(Jnl[[#This Row],[Vehicle]],config_vehicle[Id], config_vehicle[Name],,0)</f>
        <v>远家花园</v>
      </c>
      <c r="S1480" t="str">
        <f>_xlfn.XLOOKUP(Jnl[[#This Row],[Division]],config_div[Id], config_div[Name],,0)</f>
        <v>网店</v>
      </c>
      <c r="T1480" t="str">
        <f>IF(Jnl[[#This Row],[TrxDate]]&lt;=stmt_BS_date_end, "In", "Out")</f>
        <v>In</v>
      </c>
      <c r="U1480" t="str">
        <f>IF(Jnl[[#This Row],[TrxDate]]&lt;debug_date_start, "prior", IF(Jnl[[#This Row],[TrxDate]]&gt;debug_date_end, "post", "curr"))</f>
        <v>curr</v>
      </c>
    </row>
    <row r="1481" spans="1:21">
      <c r="A1481" s="11" t="s">
        <v>1870</v>
      </c>
      <c r="B1481" s="7">
        <f>_xlfn.XLOOKUP(Jnl[[#This Row],[TrxId]], Trx[Id], Trx[Date],,0)</f>
        <v>46081</v>
      </c>
      <c r="C1481" s="7" t="str">
        <f>_xlfn.XLOOKUP(Jnl[[#This Row],[TrxId]], Trx[Id], Trx[Division],,0)</f>
        <v>Online</v>
      </c>
      <c r="D1481" s="7" t="str">
        <f>_xlfn.XLOOKUP(Jnl[[#This Row],[TrxId]], Trx[Id], Trx[Action],,0)</f>
        <v>包装</v>
      </c>
      <c r="E1481" s="26" t="s">
        <v>80</v>
      </c>
      <c r="F1481" s="11" t="s">
        <v>590</v>
      </c>
      <c r="G1481" s="11" t="s">
        <v>391</v>
      </c>
      <c r="H1481" s="72">
        <v>-6900</v>
      </c>
      <c r="I1481" s="5" t="b">
        <f>AND(Jnl[[#This Row],[TrxId]]&lt;&gt;"",Jnl[[#This Row],[Acct]]&lt;&gt;"",Jnl[[#This Row],[Item]]&lt;&gt;"",ISNUMBER(Jnl[[#This Row],[Bal]]))</f>
        <v>1</v>
      </c>
      <c r="J1481" s="10">
        <f>IF(Jnl[[#This Row],[BSLv0]]="A",1,-1)*Jnl[[#This Row],[Bal]]</f>
        <v>-6900</v>
      </c>
      <c r="K1481" t="str">
        <f>_xlfn.XLOOKUP(Jnl[[#This Row],[Acct]], config_BS[Acct], config_BS[Lv0],,0)</f>
        <v>A</v>
      </c>
      <c r="L1481" t="str">
        <f>_xlfn.XLOOKUP(Jnl[[#This Row],[Acct]], config_BS[Acct], config_BS[Lv1],,0)</f>
        <v>Assets</v>
      </c>
      <c r="M1481" t="str">
        <f>_xlfn.XLOOKUP(Jnl[[#This Row],[Acct]], config_BS[Acct], config_BS[Lv2],,0)</f>
        <v>Cash alike</v>
      </c>
      <c r="N1481" t="str">
        <f>_xlfn.XLOOKUP(Jnl[[#This Row],[TrxId]], Trx[Id], Trx[IncNode], ,0)</f>
        <v>Cost</v>
      </c>
      <c r="O1481" t="str">
        <f>_xlfn.XLOOKUP(Jnl[[#This Row],[IncNode]], config_IS[Node], config_IS[Type],,0)</f>
        <v>Op</v>
      </c>
      <c r="P1481" t="str">
        <f>_xlfn.XLOOKUP(Jnl[[#This Row],[BSLv2]], dict[Key], dict[Name],,0)</f>
        <v>0.现金及类似</v>
      </c>
      <c r="Q1481" t="str">
        <f>_xlfn.XLOOKUP(Jnl[[#This Row],[Acct]], dict[Key], dict[Name],,0)</f>
        <v>银行</v>
      </c>
      <c r="R1481" t="str">
        <f>_xlfn.XLOOKUP(Jnl[[#This Row],[Vehicle]],config_vehicle[Id], config_vehicle[Name],,0)</f>
        <v>远家花园</v>
      </c>
      <c r="S1481" t="str">
        <f>_xlfn.XLOOKUP(Jnl[[#This Row],[Division]],config_div[Id], config_div[Name],,0)</f>
        <v>网店</v>
      </c>
      <c r="T1481" t="str">
        <f>IF(Jnl[[#This Row],[TrxDate]]&lt;=stmt_BS_date_end, "In", "Out")</f>
        <v>In</v>
      </c>
      <c r="U1481" t="str">
        <f>IF(Jnl[[#This Row],[TrxDate]]&lt;debug_date_start, "prior", IF(Jnl[[#This Row],[TrxDate]]&gt;debug_date_end, "post", "curr"))</f>
        <v>curr</v>
      </c>
    </row>
    <row r="1482" spans="1:21">
      <c r="A1482" s="11" t="s">
        <v>1872</v>
      </c>
      <c r="B1482" s="7">
        <f>_xlfn.XLOOKUP(Jnl[[#This Row],[TrxId]], Trx[Id], Trx[Date],,0)</f>
        <v>46081</v>
      </c>
      <c r="C1482" s="7" t="str">
        <f>_xlfn.XLOOKUP(Jnl[[#This Row],[TrxId]], Trx[Id], Trx[Division],,0)</f>
        <v>Online</v>
      </c>
      <c r="D1482" s="7" t="str">
        <f>_xlfn.XLOOKUP(Jnl[[#This Row],[TrxId]], Trx[Id], Trx[Action],,0)</f>
        <v>物流</v>
      </c>
      <c r="E1482" s="26" t="s">
        <v>80</v>
      </c>
      <c r="F1482" s="11" t="s">
        <v>590</v>
      </c>
      <c r="G1482" s="11" t="s">
        <v>391</v>
      </c>
      <c r="H1482" s="72">
        <v>-357</v>
      </c>
      <c r="I1482" s="5" t="b">
        <f>AND(Jnl[[#This Row],[TrxId]]&lt;&gt;"",Jnl[[#This Row],[Acct]]&lt;&gt;"",Jnl[[#This Row],[Item]]&lt;&gt;"",ISNUMBER(Jnl[[#This Row],[Bal]]))</f>
        <v>1</v>
      </c>
      <c r="J1482" s="10">
        <f>IF(Jnl[[#This Row],[BSLv0]]="A",1,-1)*Jnl[[#This Row],[Bal]]</f>
        <v>-357</v>
      </c>
      <c r="K1482" t="str">
        <f>_xlfn.XLOOKUP(Jnl[[#This Row],[Acct]], config_BS[Acct], config_BS[Lv0],,0)</f>
        <v>A</v>
      </c>
      <c r="L1482" t="str">
        <f>_xlfn.XLOOKUP(Jnl[[#This Row],[Acct]], config_BS[Acct], config_BS[Lv1],,0)</f>
        <v>Assets</v>
      </c>
      <c r="M1482" t="str">
        <f>_xlfn.XLOOKUP(Jnl[[#This Row],[Acct]], config_BS[Acct], config_BS[Lv2],,0)</f>
        <v>Cash alike</v>
      </c>
      <c r="N1482" t="str">
        <f>_xlfn.XLOOKUP(Jnl[[#This Row],[TrxId]], Trx[Id], Trx[IncNode], ,0)</f>
        <v>Expense</v>
      </c>
      <c r="O1482" t="str">
        <f>_xlfn.XLOOKUP(Jnl[[#This Row],[IncNode]], config_IS[Node], config_IS[Type],,0)</f>
        <v>Op</v>
      </c>
      <c r="P1482" t="str">
        <f>_xlfn.XLOOKUP(Jnl[[#This Row],[BSLv2]], dict[Key], dict[Name],,0)</f>
        <v>0.现金及类似</v>
      </c>
      <c r="Q1482" t="str">
        <f>_xlfn.XLOOKUP(Jnl[[#This Row],[Acct]], dict[Key], dict[Name],,0)</f>
        <v>银行</v>
      </c>
      <c r="R1482" t="str">
        <f>_xlfn.XLOOKUP(Jnl[[#This Row],[Vehicle]],config_vehicle[Id], config_vehicle[Name],,0)</f>
        <v>远家花园</v>
      </c>
      <c r="S1482" t="str">
        <f>_xlfn.XLOOKUP(Jnl[[#This Row],[Division]],config_div[Id], config_div[Name],,0)</f>
        <v>网店</v>
      </c>
      <c r="T1482" t="str">
        <f>IF(Jnl[[#This Row],[TrxDate]]&lt;=stmt_BS_date_end, "In", "Out")</f>
        <v>In</v>
      </c>
      <c r="U1482" t="str">
        <f>IF(Jnl[[#This Row],[TrxDate]]&lt;debug_date_start, "prior", IF(Jnl[[#This Row],[TrxDate]]&gt;debug_date_end, "post", "curr"))</f>
        <v>curr</v>
      </c>
    </row>
    <row r="1483" spans="1:21">
      <c r="A1483" s="11" t="s">
        <v>1874</v>
      </c>
      <c r="B1483" s="7">
        <f>_xlfn.XLOOKUP(Jnl[[#This Row],[TrxId]], Trx[Id], Trx[Date],,0)</f>
        <v>46081</v>
      </c>
      <c r="C1483" s="7" t="str">
        <f>_xlfn.XLOOKUP(Jnl[[#This Row],[TrxId]], Trx[Id], Trx[Division],,0)</f>
        <v>Online</v>
      </c>
      <c r="D1483" s="7" t="str">
        <f>_xlfn.XLOOKUP(Jnl[[#This Row],[TrxId]], Trx[Id], Trx[Action],,0)</f>
        <v>支付</v>
      </c>
      <c r="E1483" s="26" t="s">
        <v>80</v>
      </c>
      <c r="F1483" s="11" t="s">
        <v>590</v>
      </c>
      <c r="G1483" s="11" t="s">
        <v>391</v>
      </c>
      <c r="H1483" s="72">
        <v>-306575.90000000002</v>
      </c>
      <c r="I1483" s="5" t="b">
        <f>AND(Jnl[[#This Row],[TrxId]]&lt;&gt;"",Jnl[[#This Row],[Acct]]&lt;&gt;"",Jnl[[#This Row],[Item]]&lt;&gt;"",ISNUMBER(Jnl[[#This Row],[Bal]]))</f>
        <v>1</v>
      </c>
      <c r="J1483" s="10">
        <f>IF(Jnl[[#This Row],[BSLv0]]="A",1,-1)*Jnl[[#This Row],[Bal]]</f>
        <v>-306575.90000000002</v>
      </c>
      <c r="K1483" t="str">
        <f>_xlfn.XLOOKUP(Jnl[[#This Row],[Acct]], config_BS[Acct], config_BS[Lv0],,0)</f>
        <v>A</v>
      </c>
      <c r="L1483" t="str">
        <f>_xlfn.XLOOKUP(Jnl[[#This Row],[Acct]], config_BS[Acct], config_BS[Lv1],,0)</f>
        <v>Assets</v>
      </c>
      <c r="M1483" t="str">
        <f>_xlfn.XLOOKUP(Jnl[[#This Row],[Acct]], config_BS[Acct], config_BS[Lv2],,0)</f>
        <v>Cash alike</v>
      </c>
      <c r="N1483" t="str">
        <f>_xlfn.XLOOKUP(Jnl[[#This Row],[TrxId]], Trx[Id], Trx[IncNode], ,0)</f>
        <v>Expense</v>
      </c>
      <c r="O1483" t="str">
        <f>_xlfn.XLOOKUP(Jnl[[#This Row],[IncNode]], config_IS[Node], config_IS[Type],,0)</f>
        <v>Op</v>
      </c>
      <c r="P1483" t="str">
        <f>_xlfn.XLOOKUP(Jnl[[#This Row],[BSLv2]], dict[Key], dict[Name],,0)</f>
        <v>0.现金及类似</v>
      </c>
      <c r="Q1483" t="str">
        <f>_xlfn.XLOOKUP(Jnl[[#This Row],[Acct]], dict[Key], dict[Name],,0)</f>
        <v>银行</v>
      </c>
      <c r="R1483" t="str">
        <f>_xlfn.XLOOKUP(Jnl[[#This Row],[Vehicle]],config_vehicle[Id], config_vehicle[Name],,0)</f>
        <v>远家花园</v>
      </c>
      <c r="S1483" t="str">
        <f>_xlfn.XLOOKUP(Jnl[[#This Row],[Division]],config_div[Id], config_div[Name],,0)</f>
        <v>网店</v>
      </c>
      <c r="T1483" t="str">
        <f>IF(Jnl[[#This Row],[TrxDate]]&lt;=stmt_BS_date_end, "In", "Out")</f>
        <v>In</v>
      </c>
      <c r="U1483" t="str">
        <f>IF(Jnl[[#This Row],[TrxDate]]&lt;debug_date_start, "prior", IF(Jnl[[#This Row],[TrxDate]]&gt;debug_date_end, "post", "curr"))</f>
        <v>curr</v>
      </c>
    </row>
    <row r="1484" spans="1:21">
      <c r="A1484" s="11" t="s">
        <v>1874</v>
      </c>
      <c r="B1484" s="7">
        <f>_xlfn.XLOOKUP(Jnl[[#This Row],[TrxId]], Trx[Id], Trx[Date],,0)</f>
        <v>46081</v>
      </c>
      <c r="C1484" s="7" t="str">
        <f>_xlfn.XLOOKUP(Jnl[[#This Row],[TrxId]], Trx[Id], Trx[Division],,0)</f>
        <v>Online</v>
      </c>
      <c r="D1484" s="7" t="str">
        <f>_xlfn.XLOOKUP(Jnl[[#This Row],[TrxId]], Trx[Id], Trx[Action],,0)</f>
        <v>支付</v>
      </c>
      <c r="E1484" s="26" t="s">
        <v>80</v>
      </c>
      <c r="F1484" s="11" t="s">
        <v>127</v>
      </c>
      <c r="G1484" s="11" t="s">
        <v>307</v>
      </c>
      <c r="H1484" s="72">
        <v>-287946.64</v>
      </c>
      <c r="I1484" s="5" t="b">
        <f>AND(Jnl[[#This Row],[TrxId]]&lt;&gt;"",Jnl[[#This Row],[Acct]]&lt;&gt;"",Jnl[[#This Row],[Item]]&lt;&gt;"",ISNUMBER(Jnl[[#This Row],[Bal]]))</f>
        <v>1</v>
      </c>
      <c r="J1484" s="10">
        <f>IF(Jnl[[#This Row],[BSLv0]]="A",1,-1)*Jnl[[#This Row],[Bal]]</f>
        <v>287946.64</v>
      </c>
      <c r="K1484" t="str">
        <f>_xlfn.XLOOKUP(Jnl[[#This Row],[Acct]], config_BS[Acct], config_BS[Lv0],,0)</f>
        <v>LC</v>
      </c>
      <c r="L1484" t="str">
        <f>_xlfn.XLOOKUP(Jnl[[#This Row],[Acct]], config_BS[Acct], config_BS[Lv1],,0)</f>
        <v>Liability</v>
      </c>
      <c r="M1484" t="str">
        <f>_xlfn.XLOOKUP(Jnl[[#This Row],[Acct]], config_BS[Acct], config_BS[Lv2],,0)</f>
        <v>Rec-Pay</v>
      </c>
      <c r="N1484" t="str">
        <f>_xlfn.XLOOKUP(Jnl[[#This Row],[TrxId]], Trx[Id], Trx[IncNode], ,0)</f>
        <v>Expense</v>
      </c>
      <c r="O1484" t="str">
        <f>_xlfn.XLOOKUP(Jnl[[#This Row],[IncNode]], config_IS[Node], config_IS[Type],,0)</f>
        <v>Op</v>
      </c>
      <c r="P1484" t="str">
        <f>_xlfn.XLOOKUP(Jnl[[#This Row],[BSLv2]], dict[Key], dict[Name],,0)</f>
        <v>1.应收-应付</v>
      </c>
      <c r="Q1484" t="str">
        <f>_xlfn.XLOOKUP(Jnl[[#This Row],[Acct]], dict[Key], dict[Name],,0)</f>
        <v>应付-税款</v>
      </c>
      <c r="R1484" t="str">
        <f>_xlfn.XLOOKUP(Jnl[[#This Row],[Vehicle]],config_vehicle[Id], config_vehicle[Name],,0)</f>
        <v>远家花园</v>
      </c>
      <c r="S1484" t="str">
        <f>_xlfn.XLOOKUP(Jnl[[#This Row],[Division]],config_div[Id], config_div[Name],,0)</f>
        <v>网店</v>
      </c>
      <c r="T1484" t="str">
        <f>IF(Jnl[[#This Row],[TrxDate]]&lt;=stmt_BS_date_end, "In", "Out")</f>
        <v>In</v>
      </c>
      <c r="U1484" t="str">
        <f>IF(Jnl[[#This Row],[TrxDate]]&lt;debug_date_start, "prior", IF(Jnl[[#This Row],[TrxDate]]&gt;debug_date_end, "post", "curr"))</f>
        <v>curr</v>
      </c>
    </row>
    <row r="1485" spans="1:21">
      <c r="A1485" s="11" t="s">
        <v>1874</v>
      </c>
      <c r="B1485" s="7">
        <f>_xlfn.XLOOKUP(Jnl[[#This Row],[TrxId]], Trx[Id], Trx[Date],,0)</f>
        <v>46081</v>
      </c>
      <c r="C1485" s="7" t="str">
        <f>_xlfn.XLOOKUP(Jnl[[#This Row],[TrxId]], Trx[Id], Trx[Division],,0)</f>
        <v>Online</v>
      </c>
      <c r="D1485" s="7" t="str">
        <f>_xlfn.XLOOKUP(Jnl[[#This Row],[TrxId]], Trx[Id], Trx[Action],,0)</f>
        <v>支付</v>
      </c>
      <c r="E1485" s="26" t="s">
        <v>80</v>
      </c>
      <c r="F1485" s="11" t="s">
        <v>127</v>
      </c>
      <c r="G1485" s="11" t="s">
        <v>348</v>
      </c>
      <c r="H1485" s="72">
        <v>-17370.7</v>
      </c>
      <c r="I1485" s="5" t="b">
        <f>AND(Jnl[[#This Row],[TrxId]]&lt;&gt;"",Jnl[[#This Row],[Acct]]&lt;&gt;"",Jnl[[#This Row],[Item]]&lt;&gt;"",ISNUMBER(Jnl[[#This Row],[Bal]]))</f>
        <v>1</v>
      </c>
      <c r="J1485" s="10">
        <f>IF(Jnl[[#This Row],[BSLv0]]="A",1,-1)*Jnl[[#This Row],[Bal]]</f>
        <v>17370.7</v>
      </c>
      <c r="K1485" t="str">
        <f>_xlfn.XLOOKUP(Jnl[[#This Row],[Acct]], config_BS[Acct], config_BS[Lv0],,0)</f>
        <v>LC</v>
      </c>
      <c r="L1485" t="str">
        <f>_xlfn.XLOOKUP(Jnl[[#This Row],[Acct]], config_BS[Acct], config_BS[Lv1],,0)</f>
        <v>Liability</v>
      </c>
      <c r="M1485" t="str">
        <f>_xlfn.XLOOKUP(Jnl[[#This Row],[Acct]], config_BS[Acct], config_BS[Lv2],,0)</f>
        <v>Rec-Pay</v>
      </c>
      <c r="N1485" t="str">
        <f>_xlfn.XLOOKUP(Jnl[[#This Row],[TrxId]], Trx[Id], Trx[IncNode], ,0)</f>
        <v>Expense</v>
      </c>
      <c r="O1485" t="str">
        <f>_xlfn.XLOOKUP(Jnl[[#This Row],[IncNode]], config_IS[Node], config_IS[Type],,0)</f>
        <v>Op</v>
      </c>
      <c r="P1485" t="str">
        <f>_xlfn.XLOOKUP(Jnl[[#This Row],[BSLv2]], dict[Key], dict[Name],,0)</f>
        <v>1.应收-应付</v>
      </c>
      <c r="Q1485" t="str">
        <f>_xlfn.XLOOKUP(Jnl[[#This Row],[Acct]], dict[Key], dict[Name],,0)</f>
        <v>应付-税款</v>
      </c>
      <c r="R1485" t="str">
        <f>_xlfn.XLOOKUP(Jnl[[#This Row],[Vehicle]],config_vehicle[Id], config_vehicle[Name],,0)</f>
        <v>远家花园</v>
      </c>
      <c r="S1485" t="str">
        <f>_xlfn.XLOOKUP(Jnl[[#This Row],[Division]],config_div[Id], config_div[Name],,0)</f>
        <v>网店</v>
      </c>
      <c r="T1485" t="str">
        <f>IF(Jnl[[#This Row],[TrxDate]]&lt;=stmt_BS_date_end, "In", "Out")</f>
        <v>In</v>
      </c>
      <c r="U1485" t="str">
        <f>IF(Jnl[[#This Row],[TrxDate]]&lt;debug_date_start, "prior", IF(Jnl[[#This Row],[TrxDate]]&gt;debug_date_end, "post", "curr"))</f>
        <v>curr</v>
      </c>
    </row>
    <row r="1486" spans="1:21">
      <c r="A1486" s="11" t="s">
        <v>1874</v>
      </c>
      <c r="B1486" s="7">
        <f>_xlfn.XLOOKUP(Jnl[[#This Row],[TrxId]], Trx[Id], Trx[Date],,0)</f>
        <v>46081</v>
      </c>
      <c r="C1486" s="7" t="str">
        <f>_xlfn.XLOOKUP(Jnl[[#This Row],[TrxId]], Trx[Id], Trx[Division],,0)</f>
        <v>Online</v>
      </c>
      <c r="D1486" s="7" t="str">
        <f>_xlfn.XLOOKUP(Jnl[[#This Row],[TrxId]], Trx[Id], Trx[Action],,0)</f>
        <v>支付</v>
      </c>
      <c r="E1486" s="26" t="s">
        <v>80</v>
      </c>
      <c r="F1486" s="11" t="s">
        <v>127</v>
      </c>
      <c r="G1486" s="11" t="s">
        <v>616</v>
      </c>
      <c r="H1486" s="72">
        <v>-915.28</v>
      </c>
      <c r="I1486" s="5" t="b">
        <f>AND(Jnl[[#This Row],[TrxId]]&lt;&gt;"",Jnl[[#This Row],[Acct]]&lt;&gt;"",Jnl[[#This Row],[Item]]&lt;&gt;"",ISNUMBER(Jnl[[#This Row],[Bal]]))</f>
        <v>1</v>
      </c>
      <c r="J1486" s="10">
        <f>IF(Jnl[[#This Row],[BSLv0]]="A",1,-1)*Jnl[[#This Row],[Bal]]</f>
        <v>915.28</v>
      </c>
      <c r="K1486" t="str">
        <f>_xlfn.XLOOKUP(Jnl[[#This Row],[Acct]], config_BS[Acct], config_BS[Lv0],,0)</f>
        <v>LC</v>
      </c>
      <c r="L1486" t="str">
        <f>_xlfn.XLOOKUP(Jnl[[#This Row],[Acct]], config_BS[Acct], config_BS[Lv1],,0)</f>
        <v>Liability</v>
      </c>
      <c r="M1486" t="str">
        <f>_xlfn.XLOOKUP(Jnl[[#This Row],[Acct]], config_BS[Acct], config_BS[Lv2],,0)</f>
        <v>Rec-Pay</v>
      </c>
      <c r="N1486" t="str">
        <f>_xlfn.XLOOKUP(Jnl[[#This Row],[TrxId]], Trx[Id], Trx[IncNode], ,0)</f>
        <v>Expense</v>
      </c>
      <c r="O1486" t="str">
        <f>_xlfn.XLOOKUP(Jnl[[#This Row],[IncNode]], config_IS[Node], config_IS[Type],,0)</f>
        <v>Op</v>
      </c>
      <c r="P1486" t="str">
        <f>_xlfn.XLOOKUP(Jnl[[#This Row],[BSLv2]], dict[Key], dict[Name],,0)</f>
        <v>1.应收-应付</v>
      </c>
      <c r="Q1486" t="str">
        <f>_xlfn.XLOOKUP(Jnl[[#This Row],[Acct]], dict[Key], dict[Name],,0)</f>
        <v>应付-税款</v>
      </c>
      <c r="R1486" t="str">
        <f>_xlfn.XLOOKUP(Jnl[[#This Row],[Vehicle]],config_vehicle[Id], config_vehicle[Name],,0)</f>
        <v>远家花园</v>
      </c>
      <c r="S1486" t="str">
        <f>_xlfn.XLOOKUP(Jnl[[#This Row],[Division]],config_div[Id], config_div[Name],,0)</f>
        <v>网店</v>
      </c>
      <c r="T1486" t="str">
        <f>IF(Jnl[[#This Row],[TrxDate]]&lt;=stmt_BS_date_end, "In", "Out")</f>
        <v>In</v>
      </c>
      <c r="U1486" t="str">
        <f>IF(Jnl[[#This Row],[TrxDate]]&lt;debug_date_start, "prior", IF(Jnl[[#This Row],[TrxDate]]&gt;debug_date_end, "post", "curr"))</f>
        <v>curr</v>
      </c>
    </row>
    <row r="1487" spans="1:21">
      <c r="A1487" s="11" t="s">
        <v>1874</v>
      </c>
      <c r="B1487" s="7">
        <f>_xlfn.XLOOKUP(Jnl[[#This Row],[TrxId]], Trx[Id], Trx[Date],,0)</f>
        <v>46081</v>
      </c>
      <c r="C1487" s="7" t="str">
        <f>_xlfn.XLOOKUP(Jnl[[#This Row],[TrxId]], Trx[Id], Trx[Division],,0)</f>
        <v>Online</v>
      </c>
      <c r="D1487" s="7" t="str">
        <f>_xlfn.XLOOKUP(Jnl[[#This Row],[TrxId]], Trx[Id], Trx[Action],,0)</f>
        <v>支付</v>
      </c>
      <c r="E1487" s="26" t="s">
        <v>80</v>
      </c>
      <c r="F1487" s="11" t="s">
        <v>127</v>
      </c>
      <c r="G1487" s="11" t="s">
        <v>349</v>
      </c>
      <c r="H1487" s="72">
        <v>-343.28</v>
      </c>
      <c r="I1487" s="5" t="b">
        <f>AND(Jnl[[#This Row],[TrxId]]&lt;&gt;"",Jnl[[#This Row],[Acct]]&lt;&gt;"",Jnl[[#This Row],[Item]]&lt;&gt;"",ISNUMBER(Jnl[[#This Row],[Bal]]))</f>
        <v>1</v>
      </c>
      <c r="J1487" s="10">
        <f>IF(Jnl[[#This Row],[BSLv0]]="A",1,-1)*Jnl[[#This Row],[Bal]]</f>
        <v>343.28</v>
      </c>
      <c r="K1487" t="str">
        <f>_xlfn.XLOOKUP(Jnl[[#This Row],[Acct]], config_BS[Acct], config_BS[Lv0],,0)</f>
        <v>LC</v>
      </c>
      <c r="L1487" t="str">
        <f>_xlfn.XLOOKUP(Jnl[[#This Row],[Acct]], config_BS[Acct], config_BS[Lv1],,0)</f>
        <v>Liability</v>
      </c>
      <c r="M1487" t="str">
        <f>_xlfn.XLOOKUP(Jnl[[#This Row],[Acct]], config_BS[Acct], config_BS[Lv2],,0)</f>
        <v>Rec-Pay</v>
      </c>
      <c r="N1487" t="str">
        <f>_xlfn.XLOOKUP(Jnl[[#This Row],[TrxId]], Trx[Id], Trx[IncNode], ,0)</f>
        <v>Expense</v>
      </c>
      <c r="O1487" t="str">
        <f>_xlfn.XLOOKUP(Jnl[[#This Row],[IncNode]], config_IS[Node], config_IS[Type],,0)</f>
        <v>Op</v>
      </c>
      <c r="P1487" t="str">
        <f>_xlfn.XLOOKUP(Jnl[[#This Row],[BSLv2]], dict[Key], dict[Name],,0)</f>
        <v>1.应收-应付</v>
      </c>
      <c r="Q1487" t="str">
        <f>_xlfn.XLOOKUP(Jnl[[#This Row],[Acct]], dict[Key], dict[Name],,0)</f>
        <v>应付-税款</v>
      </c>
      <c r="R1487" t="str">
        <f>_xlfn.XLOOKUP(Jnl[[#This Row],[Vehicle]],config_vehicle[Id], config_vehicle[Name],,0)</f>
        <v>远家花园</v>
      </c>
      <c r="S1487" t="str">
        <f>_xlfn.XLOOKUP(Jnl[[#This Row],[Division]],config_div[Id], config_div[Name],,0)</f>
        <v>网店</v>
      </c>
      <c r="T1487" t="str">
        <f>IF(Jnl[[#This Row],[TrxDate]]&lt;=stmt_BS_date_end, "In", "Out")</f>
        <v>In</v>
      </c>
      <c r="U1487" t="str">
        <f>IF(Jnl[[#This Row],[TrxDate]]&lt;debug_date_start, "prior", IF(Jnl[[#This Row],[TrxDate]]&gt;debug_date_end, "post", "curr"))</f>
        <v>curr</v>
      </c>
    </row>
    <row r="1488" spans="1:21">
      <c r="A1488" s="11" t="s">
        <v>1875</v>
      </c>
      <c r="B1488" s="7">
        <f>_xlfn.XLOOKUP(Jnl[[#This Row],[TrxId]], Trx[Id], Trx[Date],,0)</f>
        <v>46081</v>
      </c>
      <c r="C1488" s="7" t="str">
        <f>_xlfn.XLOOKUP(Jnl[[#This Row],[TrxId]], Trx[Id], Trx[Division],,0)</f>
        <v>GM</v>
      </c>
      <c r="D1488" s="7" t="str">
        <f>_xlfn.XLOOKUP(Jnl[[#This Row],[TrxId]], Trx[Id], Trx[Action],,0)</f>
        <v>办公</v>
      </c>
      <c r="E1488" s="26" t="s">
        <v>80</v>
      </c>
      <c r="F1488" s="11" t="s">
        <v>590</v>
      </c>
      <c r="G1488" s="11" t="s">
        <v>391</v>
      </c>
      <c r="H1488" s="72">
        <v>-7100</v>
      </c>
      <c r="I1488" s="5" t="b">
        <f>AND(Jnl[[#This Row],[TrxId]]&lt;&gt;"",Jnl[[#This Row],[Acct]]&lt;&gt;"",Jnl[[#This Row],[Item]]&lt;&gt;"",ISNUMBER(Jnl[[#This Row],[Bal]]))</f>
        <v>1</v>
      </c>
      <c r="J1488" s="10">
        <f>IF(Jnl[[#This Row],[BSLv0]]="A",1,-1)*Jnl[[#This Row],[Bal]]</f>
        <v>-7100</v>
      </c>
      <c r="K1488" t="str">
        <f>_xlfn.XLOOKUP(Jnl[[#This Row],[Acct]], config_BS[Acct], config_BS[Lv0],,0)</f>
        <v>A</v>
      </c>
      <c r="L1488" t="str">
        <f>_xlfn.XLOOKUP(Jnl[[#This Row],[Acct]], config_BS[Acct], config_BS[Lv1],,0)</f>
        <v>Assets</v>
      </c>
      <c r="M1488" t="str">
        <f>_xlfn.XLOOKUP(Jnl[[#This Row],[Acct]], config_BS[Acct], config_BS[Lv2],,0)</f>
        <v>Cash alike</v>
      </c>
      <c r="N1488" t="str">
        <f>_xlfn.XLOOKUP(Jnl[[#This Row],[TrxId]], Trx[Id], Trx[IncNode], ,0)</f>
        <v>Expense</v>
      </c>
      <c r="O1488" t="str">
        <f>_xlfn.XLOOKUP(Jnl[[#This Row],[IncNode]], config_IS[Node], config_IS[Type],,0)</f>
        <v>Op</v>
      </c>
      <c r="P1488" t="str">
        <f>_xlfn.XLOOKUP(Jnl[[#This Row],[BSLv2]], dict[Key], dict[Name],,0)</f>
        <v>0.现金及类似</v>
      </c>
      <c r="Q1488" t="str">
        <f>_xlfn.XLOOKUP(Jnl[[#This Row],[Acct]], dict[Key], dict[Name],,0)</f>
        <v>银行</v>
      </c>
      <c r="R1488" t="str">
        <f>_xlfn.XLOOKUP(Jnl[[#This Row],[Vehicle]],config_vehicle[Id], config_vehicle[Name],,0)</f>
        <v>远家花园</v>
      </c>
      <c r="S1488" t="str">
        <f>_xlfn.XLOOKUP(Jnl[[#This Row],[Division]],config_div[Id], config_div[Name],,0)</f>
        <v>综合管理</v>
      </c>
      <c r="T1488" t="str">
        <f>IF(Jnl[[#This Row],[TrxDate]]&lt;=stmt_BS_date_end, "In", "Out")</f>
        <v>In</v>
      </c>
      <c r="U1488" t="str">
        <f>IF(Jnl[[#This Row],[TrxDate]]&lt;debug_date_start, "prior", IF(Jnl[[#This Row],[TrxDate]]&gt;debug_date_end, "post", "curr"))</f>
        <v>curr</v>
      </c>
    </row>
    <row r="1489" spans="1:21">
      <c r="A1489" s="11" t="s">
        <v>1877</v>
      </c>
      <c r="B1489" s="7">
        <f>_xlfn.XLOOKUP(Jnl[[#This Row],[TrxId]], Trx[Id], Trx[Date],,0)</f>
        <v>46081</v>
      </c>
      <c r="C1489" s="7" t="str">
        <f>_xlfn.XLOOKUP(Jnl[[#This Row],[TrxId]], Trx[Id], Trx[Division],,0)</f>
        <v>Online</v>
      </c>
      <c r="D1489" s="7" t="str">
        <f>_xlfn.XLOOKUP(Jnl[[#This Row],[TrxId]], Trx[Id], Trx[Action],,0)</f>
        <v>物流</v>
      </c>
      <c r="E1489" s="26" t="s">
        <v>80</v>
      </c>
      <c r="F1489" s="11" t="s">
        <v>590</v>
      </c>
      <c r="G1489" s="11" t="s">
        <v>391</v>
      </c>
      <c r="H1489" s="72">
        <v>-297.36</v>
      </c>
      <c r="I1489" s="5" t="b">
        <f>AND(Jnl[[#This Row],[TrxId]]&lt;&gt;"",Jnl[[#This Row],[Acct]]&lt;&gt;"",Jnl[[#This Row],[Item]]&lt;&gt;"",ISNUMBER(Jnl[[#This Row],[Bal]]))</f>
        <v>1</v>
      </c>
      <c r="J1489" s="10">
        <f>IF(Jnl[[#This Row],[BSLv0]]="A",1,-1)*Jnl[[#This Row],[Bal]]</f>
        <v>-297.36</v>
      </c>
      <c r="K1489" t="str">
        <f>_xlfn.XLOOKUP(Jnl[[#This Row],[Acct]], config_BS[Acct], config_BS[Lv0],,0)</f>
        <v>A</v>
      </c>
      <c r="L1489" t="str">
        <f>_xlfn.XLOOKUP(Jnl[[#This Row],[Acct]], config_BS[Acct], config_BS[Lv1],,0)</f>
        <v>Assets</v>
      </c>
      <c r="M1489" t="str">
        <f>_xlfn.XLOOKUP(Jnl[[#This Row],[Acct]], config_BS[Acct], config_BS[Lv2],,0)</f>
        <v>Cash alike</v>
      </c>
      <c r="N1489" t="str">
        <f>_xlfn.XLOOKUP(Jnl[[#This Row],[TrxId]], Trx[Id], Trx[IncNode], ,0)</f>
        <v>Expense</v>
      </c>
      <c r="O1489" t="str">
        <f>_xlfn.XLOOKUP(Jnl[[#This Row],[IncNode]], config_IS[Node], config_IS[Type],,0)</f>
        <v>Op</v>
      </c>
      <c r="P1489" t="str">
        <f>_xlfn.XLOOKUP(Jnl[[#This Row],[BSLv2]], dict[Key], dict[Name],,0)</f>
        <v>0.现金及类似</v>
      </c>
      <c r="Q1489" t="str">
        <f>_xlfn.XLOOKUP(Jnl[[#This Row],[Acct]], dict[Key], dict[Name],,0)</f>
        <v>银行</v>
      </c>
      <c r="R1489" t="str">
        <f>_xlfn.XLOOKUP(Jnl[[#This Row],[Vehicle]],config_vehicle[Id], config_vehicle[Name],,0)</f>
        <v>远家花园</v>
      </c>
      <c r="S1489" t="str">
        <f>_xlfn.XLOOKUP(Jnl[[#This Row],[Division]],config_div[Id], config_div[Name],,0)</f>
        <v>网店</v>
      </c>
      <c r="T1489" t="str">
        <f>IF(Jnl[[#This Row],[TrxDate]]&lt;=stmt_BS_date_end, "In", "Out")</f>
        <v>In</v>
      </c>
      <c r="U1489" t="str">
        <f>IF(Jnl[[#This Row],[TrxDate]]&lt;debug_date_start, "prior", IF(Jnl[[#This Row],[TrxDate]]&gt;debug_date_end, "post", "curr"))</f>
        <v>curr</v>
      </c>
    </row>
    <row r="1490" spans="1:21">
      <c r="A1490" s="11" t="s">
        <v>1879</v>
      </c>
      <c r="B1490" s="7">
        <f>_xlfn.XLOOKUP(Jnl[[#This Row],[TrxId]], Trx[Id], Trx[Date],,0)</f>
        <v>46081</v>
      </c>
      <c r="C1490" s="7" t="str">
        <f>_xlfn.XLOOKUP(Jnl[[#This Row],[TrxId]], Trx[Id], Trx[Division],,0)</f>
        <v>Online</v>
      </c>
      <c r="D1490" s="7" t="str">
        <f>_xlfn.XLOOKUP(Jnl[[#This Row],[TrxId]], Trx[Id], Trx[Action],,0)</f>
        <v>加工</v>
      </c>
      <c r="E1490" s="26" t="s">
        <v>80</v>
      </c>
      <c r="F1490" s="11" t="s">
        <v>598</v>
      </c>
      <c r="G1490" s="11" t="s">
        <v>151</v>
      </c>
      <c r="H1490" s="72">
        <v>850</v>
      </c>
      <c r="I1490" s="5" t="b">
        <f>AND(Jnl[[#This Row],[TrxId]]&lt;&gt;"",Jnl[[#This Row],[Acct]]&lt;&gt;"",Jnl[[#This Row],[Item]]&lt;&gt;"",ISNUMBER(Jnl[[#This Row],[Bal]]))</f>
        <v>1</v>
      </c>
      <c r="J1490" s="10">
        <f>IF(Jnl[[#This Row],[BSLv0]]="A",1,-1)*Jnl[[#This Row],[Bal]]</f>
        <v>850</v>
      </c>
      <c r="K1490" t="str">
        <f>_xlfn.XLOOKUP(Jnl[[#This Row],[Acct]], config_BS[Acct], config_BS[Lv0],,0)</f>
        <v>A</v>
      </c>
      <c r="L1490" t="str">
        <f>_xlfn.XLOOKUP(Jnl[[#This Row],[Acct]], config_BS[Acct], config_BS[Lv1],,0)</f>
        <v>Assets</v>
      </c>
      <c r="M1490" t="str">
        <f>_xlfn.XLOOKUP(Jnl[[#This Row],[Acct]], config_BS[Acct], config_BS[Lv2],,0)</f>
        <v>Invtr</v>
      </c>
      <c r="N1490" t="str">
        <f>_xlfn.XLOOKUP(Jnl[[#This Row],[TrxId]], Trx[Id], Trx[IncNode], ,0)</f>
        <v>Cost</v>
      </c>
      <c r="O1490" t="str">
        <f>_xlfn.XLOOKUP(Jnl[[#This Row],[IncNode]], config_IS[Node], config_IS[Type],,0)</f>
        <v>Op</v>
      </c>
      <c r="P1490" t="str">
        <f>_xlfn.XLOOKUP(Jnl[[#This Row],[BSLv2]], dict[Key], dict[Name],,0)</f>
        <v>3.库存占款</v>
      </c>
      <c r="Q1490" t="str">
        <f>_xlfn.XLOOKUP(Jnl[[#This Row],[Acct]], dict[Key], dict[Name],,0)</f>
        <v>当期存货</v>
      </c>
      <c r="R1490" t="str">
        <f>_xlfn.XLOOKUP(Jnl[[#This Row],[Vehicle]],config_vehicle[Id], config_vehicle[Name],,0)</f>
        <v>远家花园</v>
      </c>
      <c r="S1490" t="str">
        <f>_xlfn.XLOOKUP(Jnl[[#This Row],[Division]],config_div[Id], config_div[Name],,0)</f>
        <v>网店</v>
      </c>
      <c r="T1490" t="str">
        <f>IF(Jnl[[#This Row],[TrxDate]]&lt;=stmt_BS_date_end, "In", "Out")</f>
        <v>In</v>
      </c>
      <c r="U1490" t="str">
        <f>IF(Jnl[[#This Row],[TrxDate]]&lt;debug_date_start, "prior", IF(Jnl[[#This Row],[TrxDate]]&gt;debug_date_end, "post", "curr"))</f>
        <v>curr</v>
      </c>
    </row>
    <row r="1491" spans="1:21">
      <c r="A1491" s="11" t="s">
        <v>1879</v>
      </c>
      <c r="B1491" s="7">
        <f>_xlfn.XLOOKUP(Jnl[[#This Row],[TrxId]], Trx[Id], Trx[Date],,0)</f>
        <v>46081</v>
      </c>
      <c r="C1491" s="7" t="str">
        <f>_xlfn.XLOOKUP(Jnl[[#This Row],[TrxId]], Trx[Id], Trx[Division],,0)</f>
        <v>Online</v>
      </c>
      <c r="D1491" s="7" t="str">
        <f>_xlfn.XLOOKUP(Jnl[[#This Row],[TrxId]], Trx[Id], Trx[Action],,0)</f>
        <v>加工</v>
      </c>
      <c r="E1491" s="26" t="s">
        <v>80</v>
      </c>
      <c r="F1491" s="11" t="s">
        <v>590</v>
      </c>
      <c r="G1491" s="11" t="s">
        <v>391</v>
      </c>
      <c r="H1491" s="72">
        <v>-850</v>
      </c>
      <c r="I1491" s="5" t="b">
        <f>AND(Jnl[[#This Row],[TrxId]]&lt;&gt;"",Jnl[[#This Row],[Acct]]&lt;&gt;"",Jnl[[#This Row],[Item]]&lt;&gt;"",ISNUMBER(Jnl[[#This Row],[Bal]]))</f>
        <v>1</v>
      </c>
      <c r="J1491" s="10">
        <f>IF(Jnl[[#This Row],[BSLv0]]="A",1,-1)*Jnl[[#This Row],[Bal]]</f>
        <v>-850</v>
      </c>
      <c r="K1491" t="str">
        <f>_xlfn.XLOOKUP(Jnl[[#This Row],[Acct]], config_BS[Acct], config_BS[Lv0],,0)</f>
        <v>A</v>
      </c>
      <c r="L1491" t="str">
        <f>_xlfn.XLOOKUP(Jnl[[#This Row],[Acct]], config_BS[Acct], config_BS[Lv1],,0)</f>
        <v>Assets</v>
      </c>
      <c r="M1491" t="str">
        <f>_xlfn.XLOOKUP(Jnl[[#This Row],[Acct]], config_BS[Acct], config_BS[Lv2],,0)</f>
        <v>Cash alike</v>
      </c>
      <c r="N1491" t="str">
        <f>_xlfn.XLOOKUP(Jnl[[#This Row],[TrxId]], Trx[Id], Trx[IncNode], ,0)</f>
        <v>Cost</v>
      </c>
      <c r="O1491" t="str">
        <f>_xlfn.XLOOKUP(Jnl[[#This Row],[IncNode]], config_IS[Node], config_IS[Type],,0)</f>
        <v>Op</v>
      </c>
      <c r="P1491" t="str">
        <f>_xlfn.XLOOKUP(Jnl[[#This Row],[BSLv2]], dict[Key], dict[Name],,0)</f>
        <v>0.现金及类似</v>
      </c>
      <c r="Q1491" t="str">
        <f>_xlfn.XLOOKUP(Jnl[[#This Row],[Acct]], dict[Key], dict[Name],,0)</f>
        <v>银行</v>
      </c>
      <c r="R1491" t="str">
        <f>_xlfn.XLOOKUP(Jnl[[#This Row],[Vehicle]],config_vehicle[Id], config_vehicle[Name],,0)</f>
        <v>远家花园</v>
      </c>
      <c r="S1491" t="str">
        <f>_xlfn.XLOOKUP(Jnl[[#This Row],[Division]],config_div[Id], config_div[Name],,0)</f>
        <v>网店</v>
      </c>
      <c r="T1491" t="str">
        <f>IF(Jnl[[#This Row],[TrxDate]]&lt;=stmt_BS_date_end, "In", "Out")</f>
        <v>In</v>
      </c>
      <c r="U1491" t="str">
        <f>IF(Jnl[[#This Row],[TrxDate]]&lt;debug_date_start, "prior", IF(Jnl[[#This Row],[TrxDate]]&gt;debug_date_end, "post", "curr"))</f>
        <v>curr</v>
      </c>
    </row>
    <row r="1492" spans="1:21">
      <c r="A1492" s="11" t="s">
        <v>1881</v>
      </c>
      <c r="B1492" s="7">
        <f>_xlfn.XLOOKUP(Jnl[[#This Row],[TrxId]], Trx[Id], Trx[Date],,0)</f>
        <v>46081</v>
      </c>
      <c r="C1492" s="7" t="str">
        <f>_xlfn.XLOOKUP(Jnl[[#This Row],[TrxId]], Trx[Id], Trx[Division],,0)</f>
        <v>Brand</v>
      </c>
      <c r="D1492" s="7" t="str">
        <f>_xlfn.XLOOKUP(Jnl[[#This Row],[TrxId]], Trx[Id], Trx[Action],,0)</f>
        <v>拍摄</v>
      </c>
      <c r="E1492" s="26" t="s">
        <v>80</v>
      </c>
      <c r="F1492" s="11" t="s">
        <v>590</v>
      </c>
      <c r="G1492" s="11" t="s">
        <v>391</v>
      </c>
      <c r="H1492" s="72">
        <v>-433.91</v>
      </c>
      <c r="I1492" s="5" t="b">
        <f>AND(Jnl[[#This Row],[TrxId]]&lt;&gt;"",Jnl[[#This Row],[Acct]]&lt;&gt;"",Jnl[[#This Row],[Item]]&lt;&gt;"",ISNUMBER(Jnl[[#This Row],[Bal]]))</f>
        <v>1</v>
      </c>
      <c r="J1492" s="10">
        <f>IF(Jnl[[#This Row],[BSLv0]]="A",1,-1)*Jnl[[#This Row],[Bal]]</f>
        <v>-433.91</v>
      </c>
      <c r="K1492" t="str">
        <f>_xlfn.XLOOKUP(Jnl[[#This Row],[Acct]], config_BS[Acct], config_BS[Lv0],,0)</f>
        <v>A</v>
      </c>
      <c r="L1492" t="str">
        <f>_xlfn.XLOOKUP(Jnl[[#This Row],[Acct]], config_BS[Acct], config_BS[Lv1],,0)</f>
        <v>Assets</v>
      </c>
      <c r="M1492" t="str">
        <f>_xlfn.XLOOKUP(Jnl[[#This Row],[Acct]], config_BS[Acct], config_BS[Lv2],,0)</f>
        <v>Cash alike</v>
      </c>
      <c r="N1492" t="str">
        <f>_xlfn.XLOOKUP(Jnl[[#This Row],[TrxId]], Trx[Id], Trx[IncNode], ,0)</f>
        <v>Expense</v>
      </c>
      <c r="O1492" t="str">
        <f>_xlfn.XLOOKUP(Jnl[[#This Row],[IncNode]], config_IS[Node], config_IS[Type],,0)</f>
        <v>Op</v>
      </c>
      <c r="P1492" t="str">
        <f>_xlfn.XLOOKUP(Jnl[[#This Row],[BSLv2]], dict[Key], dict[Name],,0)</f>
        <v>0.现金及类似</v>
      </c>
      <c r="Q1492" t="str">
        <f>_xlfn.XLOOKUP(Jnl[[#This Row],[Acct]], dict[Key], dict[Name],,0)</f>
        <v>银行</v>
      </c>
      <c r="R1492" t="str">
        <f>_xlfn.XLOOKUP(Jnl[[#This Row],[Vehicle]],config_vehicle[Id], config_vehicle[Name],,0)</f>
        <v>远家花园</v>
      </c>
      <c r="S1492" t="str">
        <f>_xlfn.XLOOKUP(Jnl[[#This Row],[Division]],config_div[Id], config_div[Name],,0)</f>
        <v>品牌</v>
      </c>
      <c r="T1492" t="str">
        <f>IF(Jnl[[#This Row],[TrxDate]]&lt;=stmt_BS_date_end, "In", "Out")</f>
        <v>In</v>
      </c>
      <c r="U1492" t="str">
        <f>IF(Jnl[[#This Row],[TrxDate]]&lt;debug_date_start, "prior", IF(Jnl[[#This Row],[TrxDate]]&gt;debug_date_end, "post", "curr"))</f>
        <v>curr</v>
      </c>
    </row>
    <row r="1493" spans="1:21">
      <c r="A1493" s="11" t="s">
        <v>1883</v>
      </c>
      <c r="B1493" s="7">
        <f>_xlfn.XLOOKUP(Jnl[[#This Row],[TrxId]], Trx[Id], Trx[Date],,0)</f>
        <v>46081</v>
      </c>
      <c r="C1493" s="7" t="str">
        <f>_xlfn.XLOOKUP(Jnl[[#This Row],[TrxId]], Trx[Id], Trx[Division],,0)</f>
        <v>Online</v>
      </c>
      <c r="D1493" s="7" t="str">
        <f>_xlfn.XLOOKUP(Jnl[[#This Row],[TrxId]], Trx[Id], Trx[Action],,0)</f>
        <v>交通</v>
      </c>
      <c r="E1493" s="26" t="s">
        <v>80</v>
      </c>
      <c r="F1493" s="11" t="s">
        <v>590</v>
      </c>
      <c r="G1493" s="11" t="s">
        <v>391</v>
      </c>
      <c r="H1493" s="72">
        <v>-534.66</v>
      </c>
      <c r="I1493" s="5" t="b">
        <f>AND(Jnl[[#This Row],[TrxId]]&lt;&gt;"",Jnl[[#This Row],[Acct]]&lt;&gt;"",Jnl[[#This Row],[Item]]&lt;&gt;"",ISNUMBER(Jnl[[#This Row],[Bal]]))</f>
        <v>1</v>
      </c>
      <c r="J1493" s="10">
        <f>IF(Jnl[[#This Row],[BSLv0]]="A",1,-1)*Jnl[[#This Row],[Bal]]</f>
        <v>-534.66</v>
      </c>
      <c r="K1493" t="str">
        <f>_xlfn.XLOOKUP(Jnl[[#This Row],[Acct]], config_BS[Acct], config_BS[Lv0],,0)</f>
        <v>A</v>
      </c>
      <c r="L1493" t="str">
        <f>_xlfn.XLOOKUP(Jnl[[#This Row],[Acct]], config_BS[Acct], config_BS[Lv1],,0)</f>
        <v>Assets</v>
      </c>
      <c r="M1493" t="str">
        <f>_xlfn.XLOOKUP(Jnl[[#This Row],[Acct]], config_BS[Acct], config_BS[Lv2],,0)</f>
        <v>Cash alike</v>
      </c>
      <c r="N1493" t="str">
        <f>_xlfn.XLOOKUP(Jnl[[#This Row],[TrxId]], Trx[Id], Trx[IncNode], ,0)</f>
        <v>Expense</v>
      </c>
      <c r="O1493" t="str">
        <f>_xlfn.XLOOKUP(Jnl[[#This Row],[IncNode]], config_IS[Node], config_IS[Type],,0)</f>
        <v>Op</v>
      </c>
      <c r="P1493" t="str">
        <f>_xlfn.XLOOKUP(Jnl[[#This Row],[BSLv2]], dict[Key], dict[Name],,0)</f>
        <v>0.现金及类似</v>
      </c>
      <c r="Q1493" t="str">
        <f>_xlfn.XLOOKUP(Jnl[[#This Row],[Acct]], dict[Key], dict[Name],,0)</f>
        <v>银行</v>
      </c>
      <c r="R1493" t="str">
        <f>_xlfn.XLOOKUP(Jnl[[#This Row],[Vehicle]],config_vehicle[Id], config_vehicle[Name],,0)</f>
        <v>远家花园</v>
      </c>
      <c r="S1493" t="str">
        <f>_xlfn.XLOOKUP(Jnl[[#This Row],[Division]],config_div[Id], config_div[Name],,0)</f>
        <v>网店</v>
      </c>
      <c r="T1493" t="str">
        <f>IF(Jnl[[#This Row],[TrxDate]]&lt;=stmt_BS_date_end, "In", "Out")</f>
        <v>In</v>
      </c>
      <c r="U1493" t="str">
        <f>IF(Jnl[[#This Row],[TrxDate]]&lt;debug_date_start, "prior", IF(Jnl[[#This Row],[TrxDate]]&gt;debug_date_end, "post", "curr"))</f>
        <v>curr</v>
      </c>
    </row>
    <row r="1494" spans="1:21">
      <c r="A1494" s="11" t="s">
        <v>1884</v>
      </c>
      <c r="B1494" s="7">
        <f>_xlfn.XLOOKUP(Jnl[[#This Row],[TrxId]], Trx[Id], Trx[Date],,0)</f>
        <v>46081</v>
      </c>
      <c r="C1494" s="7" t="str">
        <f>_xlfn.XLOOKUP(Jnl[[#This Row],[TrxId]], Trx[Id], Trx[Division],,0)</f>
        <v>Online</v>
      </c>
      <c r="D1494" s="7" t="str">
        <f>_xlfn.XLOOKUP(Jnl[[#This Row],[TrxId]], Trx[Id], Trx[Action],,0)</f>
        <v>福利</v>
      </c>
      <c r="E1494" s="26" t="s">
        <v>80</v>
      </c>
      <c r="F1494" s="11" t="s">
        <v>590</v>
      </c>
      <c r="G1494" s="11" t="s">
        <v>391</v>
      </c>
      <c r="H1494" s="72">
        <v>-195.42</v>
      </c>
      <c r="I1494" s="5" t="b">
        <f>AND(Jnl[[#This Row],[TrxId]]&lt;&gt;"",Jnl[[#This Row],[Acct]]&lt;&gt;"",Jnl[[#This Row],[Item]]&lt;&gt;"",ISNUMBER(Jnl[[#This Row],[Bal]]))</f>
        <v>1</v>
      </c>
      <c r="J1494" s="10">
        <f>IF(Jnl[[#This Row],[BSLv0]]="A",1,-1)*Jnl[[#This Row],[Bal]]</f>
        <v>-195.42</v>
      </c>
      <c r="K1494" t="str">
        <f>_xlfn.XLOOKUP(Jnl[[#This Row],[Acct]], config_BS[Acct], config_BS[Lv0],,0)</f>
        <v>A</v>
      </c>
      <c r="L1494" t="str">
        <f>_xlfn.XLOOKUP(Jnl[[#This Row],[Acct]], config_BS[Acct], config_BS[Lv1],,0)</f>
        <v>Assets</v>
      </c>
      <c r="M1494" t="str">
        <f>_xlfn.XLOOKUP(Jnl[[#This Row],[Acct]], config_BS[Acct], config_BS[Lv2],,0)</f>
        <v>Cash alike</v>
      </c>
      <c r="N1494" t="str">
        <f>_xlfn.XLOOKUP(Jnl[[#This Row],[TrxId]], Trx[Id], Trx[IncNode], ,0)</f>
        <v>Expense</v>
      </c>
      <c r="O1494" t="str">
        <f>_xlfn.XLOOKUP(Jnl[[#This Row],[IncNode]], config_IS[Node], config_IS[Type],,0)</f>
        <v>Op</v>
      </c>
      <c r="P1494" t="str">
        <f>_xlfn.XLOOKUP(Jnl[[#This Row],[BSLv2]], dict[Key], dict[Name],,0)</f>
        <v>0.现金及类似</v>
      </c>
      <c r="Q1494" t="str">
        <f>_xlfn.XLOOKUP(Jnl[[#This Row],[Acct]], dict[Key], dict[Name],,0)</f>
        <v>银行</v>
      </c>
      <c r="R1494" t="str">
        <f>_xlfn.XLOOKUP(Jnl[[#This Row],[Vehicle]],config_vehicle[Id], config_vehicle[Name],,0)</f>
        <v>远家花园</v>
      </c>
      <c r="S1494" t="str">
        <f>_xlfn.XLOOKUP(Jnl[[#This Row],[Division]],config_div[Id], config_div[Name],,0)</f>
        <v>网店</v>
      </c>
      <c r="T1494" t="str">
        <f>IF(Jnl[[#This Row],[TrxDate]]&lt;=stmt_BS_date_end, "In", "Out")</f>
        <v>In</v>
      </c>
      <c r="U1494" t="str">
        <f>IF(Jnl[[#This Row],[TrxDate]]&lt;debug_date_start, "prior", IF(Jnl[[#This Row],[TrxDate]]&gt;debug_date_end, "post", "curr"))</f>
        <v>curr</v>
      </c>
    </row>
    <row r="1495" spans="1:21">
      <c r="A1495" s="11" t="s">
        <v>1885</v>
      </c>
      <c r="B1495" s="7">
        <f>_xlfn.XLOOKUP(Jnl[[#This Row],[TrxId]], Trx[Id], Trx[Date],,0)</f>
        <v>46081</v>
      </c>
      <c r="C1495" s="7" t="str">
        <f>_xlfn.XLOOKUP(Jnl[[#This Row],[TrxId]], Trx[Id], Trx[Division],,0)</f>
        <v>Online</v>
      </c>
      <c r="D1495" s="7" t="str">
        <f>_xlfn.XLOOKUP(Jnl[[#This Row],[TrxId]], Trx[Id], Trx[Action],,0)</f>
        <v>包装</v>
      </c>
      <c r="E1495" s="26" t="s">
        <v>80</v>
      </c>
      <c r="F1495" s="11" t="s">
        <v>590</v>
      </c>
      <c r="G1495" s="11" t="s">
        <v>391</v>
      </c>
      <c r="H1495" s="72">
        <v>-2870</v>
      </c>
      <c r="I1495" s="5" t="b">
        <f>AND(Jnl[[#This Row],[TrxId]]&lt;&gt;"",Jnl[[#This Row],[Acct]]&lt;&gt;"",Jnl[[#This Row],[Item]]&lt;&gt;"",ISNUMBER(Jnl[[#This Row],[Bal]]))</f>
        <v>1</v>
      </c>
      <c r="J1495" s="10">
        <f>IF(Jnl[[#This Row],[BSLv0]]="A",1,-1)*Jnl[[#This Row],[Bal]]</f>
        <v>-2870</v>
      </c>
      <c r="K1495" t="str">
        <f>_xlfn.XLOOKUP(Jnl[[#This Row],[Acct]], config_BS[Acct], config_BS[Lv0],,0)</f>
        <v>A</v>
      </c>
      <c r="L1495" t="str">
        <f>_xlfn.XLOOKUP(Jnl[[#This Row],[Acct]], config_BS[Acct], config_BS[Lv1],,0)</f>
        <v>Assets</v>
      </c>
      <c r="M1495" t="str">
        <f>_xlfn.XLOOKUP(Jnl[[#This Row],[Acct]], config_BS[Acct], config_BS[Lv2],,0)</f>
        <v>Cash alike</v>
      </c>
      <c r="N1495" t="str">
        <f>_xlfn.XLOOKUP(Jnl[[#This Row],[TrxId]], Trx[Id], Trx[IncNode], ,0)</f>
        <v>Cost</v>
      </c>
      <c r="O1495" t="str">
        <f>_xlfn.XLOOKUP(Jnl[[#This Row],[IncNode]], config_IS[Node], config_IS[Type],,0)</f>
        <v>Op</v>
      </c>
      <c r="P1495" t="str">
        <f>_xlfn.XLOOKUP(Jnl[[#This Row],[BSLv2]], dict[Key], dict[Name],,0)</f>
        <v>0.现金及类似</v>
      </c>
      <c r="Q1495" t="str">
        <f>_xlfn.XLOOKUP(Jnl[[#This Row],[Acct]], dict[Key], dict[Name],,0)</f>
        <v>银行</v>
      </c>
      <c r="R1495" t="str">
        <f>_xlfn.XLOOKUP(Jnl[[#This Row],[Vehicle]],config_vehicle[Id], config_vehicle[Name],,0)</f>
        <v>远家花园</v>
      </c>
      <c r="S1495" t="str">
        <f>_xlfn.XLOOKUP(Jnl[[#This Row],[Division]],config_div[Id], config_div[Name],,0)</f>
        <v>网店</v>
      </c>
      <c r="T1495" t="str">
        <f>IF(Jnl[[#This Row],[TrxDate]]&lt;=stmt_BS_date_end, "In", "Out")</f>
        <v>In</v>
      </c>
      <c r="U1495" t="str">
        <f>IF(Jnl[[#This Row],[TrxDate]]&lt;debug_date_start, "prior", IF(Jnl[[#This Row],[TrxDate]]&gt;debug_date_end, "post", "curr"))</f>
        <v>curr</v>
      </c>
    </row>
    <row r="1496" spans="1:21">
      <c r="A1496" s="11" t="s">
        <v>1887</v>
      </c>
      <c r="B1496" s="7">
        <f>_xlfn.XLOOKUP(Jnl[[#This Row],[TrxId]], Trx[Id], Trx[Date],,0)</f>
        <v>46081</v>
      </c>
      <c r="C1496" s="7" t="str">
        <f>_xlfn.XLOOKUP(Jnl[[#This Row],[TrxId]], Trx[Id], Trx[Division],,0)</f>
        <v>Online</v>
      </c>
      <c r="D1496" s="7" t="str">
        <f>_xlfn.XLOOKUP(Jnl[[#This Row],[TrxId]], Trx[Id], Trx[Action],,0)</f>
        <v>加工</v>
      </c>
      <c r="E1496" s="26" t="s">
        <v>80</v>
      </c>
      <c r="F1496" s="11" t="s">
        <v>598</v>
      </c>
      <c r="G1496" s="11" t="s">
        <v>151</v>
      </c>
      <c r="H1496" s="72">
        <v>14964</v>
      </c>
      <c r="I1496" s="5" t="b">
        <f>AND(Jnl[[#This Row],[TrxId]]&lt;&gt;"",Jnl[[#This Row],[Acct]]&lt;&gt;"",Jnl[[#This Row],[Item]]&lt;&gt;"",ISNUMBER(Jnl[[#This Row],[Bal]]))</f>
        <v>1</v>
      </c>
      <c r="J1496" s="10">
        <f>IF(Jnl[[#This Row],[BSLv0]]="A",1,-1)*Jnl[[#This Row],[Bal]]</f>
        <v>14964</v>
      </c>
      <c r="K1496" t="str">
        <f>_xlfn.XLOOKUP(Jnl[[#This Row],[Acct]], config_BS[Acct], config_BS[Lv0],,0)</f>
        <v>A</v>
      </c>
      <c r="L1496" t="str">
        <f>_xlfn.XLOOKUP(Jnl[[#This Row],[Acct]], config_BS[Acct], config_BS[Lv1],,0)</f>
        <v>Assets</v>
      </c>
      <c r="M1496" t="str">
        <f>_xlfn.XLOOKUP(Jnl[[#This Row],[Acct]], config_BS[Acct], config_BS[Lv2],,0)</f>
        <v>Invtr</v>
      </c>
      <c r="N1496" t="str">
        <f>_xlfn.XLOOKUP(Jnl[[#This Row],[TrxId]], Trx[Id], Trx[IncNode], ,0)</f>
        <v>Cost</v>
      </c>
      <c r="O1496" t="str">
        <f>_xlfn.XLOOKUP(Jnl[[#This Row],[IncNode]], config_IS[Node], config_IS[Type],,0)</f>
        <v>Op</v>
      </c>
      <c r="P1496" t="str">
        <f>_xlfn.XLOOKUP(Jnl[[#This Row],[BSLv2]], dict[Key], dict[Name],,0)</f>
        <v>3.库存占款</v>
      </c>
      <c r="Q1496" t="str">
        <f>_xlfn.XLOOKUP(Jnl[[#This Row],[Acct]], dict[Key], dict[Name],,0)</f>
        <v>当期存货</v>
      </c>
      <c r="R1496" t="str">
        <f>_xlfn.XLOOKUP(Jnl[[#This Row],[Vehicle]],config_vehicle[Id], config_vehicle[Name],,0)</f>
        <v>远家花园</v>
      </c>
      <c r="S1496" t="str">
        <f>_xlfn.XLOOKUP(Jnl[[#This Row],[Division]],config_div[Id], config_div[Name],,0)</f>
        <v>网店</v>
      </c>
      <c r="T1496" t="str">
        <f>IF(Jnl[[#This Row],[TrxDate]]&lt;=stmt_BS_date_end, "In", "Out")</f>
        <v>In</v>
      </c>
      <c r="U1496" t="str">
        <f>IF(Jnl[[#This Row],[TrxDate]]&lt;debug_date_start, "prior", IF(Jnl[[#This Row],[TrxDate]]&gt;debug_date_end, "post", "curr"))</f>
        <v>curr</v>
      </c>
    </row>
    <row r="1497" spans="1:21">
      <c r="A1497" s="11" t="s">
        <v>1887</v>
      </c>
      <c r="B1497" s="7">
        <f>_xlfn.XLOOKUP(Jnl[[#This Row],[TrxId]], Trx[Id], Trx[Date],,0)</f>
        <v>46081</v>
      </c>
      <c r="C1497" s="7" t="str">
        <f>_xlfn.XLOOKUP(Jnl[[#This Row],[TrxId]], Trx[Id], Trx[Division],,0)</f>
        <v>Online</v>
      </c>
      <c r="D1497" s="7" t="str">
        <f>_xlfn.XLOOKUP(Jnl[[#This Row],[TrxId]], Trx[Id], Trx[Action],,0)</f>
        <v>加工</v>
      </c>
      <c r="E1497" s="26" t="s">
        <v>80</v>
      </c>
      <c r="F1497" s="11" t="s">
        <v>590</v>
      </c>
      <c r="G1497" s="11" t="s">
        <v>391</v>
      </c>
      <c r="H1497" s="72">
        <v>-14964</v>
      </c>
      <c r="I1497" s="5" t="b">
        <f>AND(Jnl[[#This Row],[TrxId]]&lt;&gt;"",Jnl[[#This Row],[Acct]]&lt;&gt;"",Jnl[[#This Row],[Item]]&lt;&gt;"",ISNUMBER(Jnl[[#This Row],[Bal]]))</f>
        <v>1</v>
      </c>
      <c r="J1497" s="10">
        <f>IF(Jnl[[#This Row],[BSLv0]]="A",1,-1)*Jnl[[#This Row],[Bal]]</f>
        <v>-14964</v>
      </c>
      <c r="K1497" t="str">
        <f>_xlfn.XLOOKUP(Jnl[[#This Row],[Acct]], config_BS[Acct], config_BS[Lv0],,0)</f>
        <v>A</v>
      </c>
      <c r="L1497" t="str">
        <f>_xlfn.XLOOKUP(Jnl[[#This Row],[Acct]], config_BS[Acct], config_BS[Lv1],,0)</f>
        <v>Assets</v>
      </c>
      <c r="M1497" t="str">
        <f>_xlfn.XLOOKUP(Jnl[[#This Row],[Acct]], config_BS[Acct], config_BS[Lv2],,0)</f>
        <v>Cash alike</v>
      </c>
      <c r="N1497" t="str">
        <f>_xlfn.XLOOKUP(Jnl[[#This Row],[TrxId]], Trx[Id], Trx[IncNode], ,0)</f>
        <v>Cost</v>
      </c>
      <c r="O1497" t="str">
        <f>_xlfn.XLOOKUP(Jnl[[#This Row],[IncNode]], config_IS[Node], config_IS[Type],,0)</f>
        <v>Op</v>
      </c>
      <c r="P1497" t="str">
        <f>_xlfn.XLOOKUP(Jnl[[#This Row],[BSLv2]], dict[Key], dict[Name],,0)</f>
        <v>0.现金及类似</v>
      </c>
      <c r="Q1497" t="str">
        <f>_xlfn.XLOOKUP(Jnl[[#This Row],[Acct]], dict[Key], dict[Name],,0)</f>
        <v>银行</v>
      </c>
      <c r="R1497" t="str">
        <f>_xlfn.XLOOKUP(Jnl[[#This Row],[Vehicle]],config_vehicle[Id], config_vehicle[Name],,0)</f>
        <v>远家花园</v>
      </c>
      <c r="S1497" t="str">
        <f>_xlfn.XLOOKUP(Jnl[[#This Row],[Division]],config_div[Id], config_div[Name],,0)</f>
        <v>网店</v>
      </c>
      <c r="T1497" t="str">
        <f>IF(Jnl[[#This Row],[TrxDate]]&lt;=stmt_BS_date_end, "In", "Out")</f>
        <v>In</v>
      </c>
      <c r="U1497" t="str">
        <f>IF(Jnl[[#This Row],[TrxDate]]&lt;debug_date_start, "prior", IF(Jnl[[#This Row],[TrxDate]]&gt;debug_date_end, "post", "curr"))</f>
        <v>curr</v>
      </c>
    </row>
    <row r="1498" spans="1:21">
      <c r="A1498" s="11" t="s">
        <v>1888</v>
      </c>
      <c r="B1498" s="7">
        <f>_xlfn.XLOOKUP(Jnl[[#This Row],[TrxId]], Trx[Id], Trx[Date],,0)</f>
        <v>46081</v>
      </c>
      <c r="C1498" s="7" t="str">
        <f>_xlfn.XLOOKUP(Jnl[[#This Row],[TrxId]], Trx[Id], Trx[Division],,0)</f>
        <v>Online</v>
      </c>
      <c r="D1498" s="7" t="str">
        <f>_xlfn.XLOOKUP(Jnl[[#This Row],[TrxId]], Trx[Id], Trx[Action],,0)</f>
        <v>退款-供应商</v>
      </c>
      <c r="E1498" s="26" t="s">
        <v>80</v>
      </c>
      <c r="F1498" s="11" t="s">
        <v>590</v>
      </c>
      <c r="G1498" s="11" t="s">
        <v>391</v>
      </c>
      <c r="H1498" s="72">
        <v>2870</v>
      </c>
      <c r="I1498" s="5" t="b">
        <f>AND(Jnl[[#This Row],[TrxId]]&lt;&gt;"",Jnl[[#This Row],[Acct]]&lt;&gt;"",Jnl[[#This Row],[Item]]&lt;&gt;"",ISNUMBER(Jnl[[#This Row],[Bal]]))</f>
        <v>1</v>
      </c>
      <c r="J1498" s="10">
        <f>IF(Jnl[[#This Row],[BSLv0]]="A",1,-1)*Jnl[[#This Row],[Bal]]</f>
        <v>2870</v>
      </c>
      <c r="K1498" t="str">
        <f>_xlfn.XLOOKUP(Jnl[[#This Row],[Acct]], config_BS[Acct], config_BS[Lv0],,0)</f>
        <v>A</v>
      </c>
      <c r="L1498" t="str">
        <f>_xlfn.XLOOKUP(Jnl[[#This Row],[Acct]], config_BS[Acct], config_BS[Lv1],,0)</f>
        <v>Assets</v>
      </c>
      <c r="M1498" t="str">
        <f>_xlfn.XLOOKUP(Jnl[[#This Row],[Acct]], config_BS[Acct], config_BS[Lv2],,0)</f>
        <v>Cash alike</v>
      </c>
      <c r="N1498" t="str">
        <f>_xlfn.XLOOKUP(Jnl[[#This Row],[TrxId]], Trx[Id], Trx[IncNode], ,0)</f>
        <v>Expense</v>
      </c>
      <c r="O1498" t="str">
        <f>_xlfn.XLOOKUP(Jnl[[#This Row],[IncNode]], config_IS[Node], config_IS[Type],,0)</f>
        <v>Op</v>
      </c>
      <c r="P1498" t="str">
        <f>_xlfn.XLOOKUP(Jnl[[#This Row],[BSLv2]], dict[Key], dict[Name],,0)</f>
        <v>0.现金及类似</v>
      </c>
      <c r="Q1498" t="str">
        <f>_xlfn.XLOOKUP(Jnl[[#This Row],[Acct]], dict[Key], dict[Name],,0)</f>
        <v>银行</v>
      </c>
      <c r="R1498" t="str">
        <f>_xlfn.XLOOKUP(Jnl[[#This Row],[Vehicle]],config_vehicle[Id], config_vehicle[Name],,0)</f>
        <v>远家花园</v>
      </c>
      <c r="S1498" t="str">
        <f>_xlfn.XLOOKUP(Jnl[[#This Row],[Division]],config_div[Id], config_div[Name],,0)</f>
        <v>网店</v>
      </c>
      <c r="T1498" t="str">
        <f>IF(Jnl[[#This Row],[TrxDate]]&lt;=stmt_BS_date_end, "In", "Out")</f>
        <v>In</v>
      </c>
      <c r="U1498" t="str">
        <f>IF(Jnl[[#This Row],[TrxDate]]&lt;debug_date_start, "prior", IF(Jnl[[#This Row],[TrxDate]]&gt;debug_date_end, "post", "curr"))</f>
        <v>curr</v>
      </c>
    </row>
    <row r="1499" spans="1:21">
      <c r="A1499" s="11" t="s">
        <v>1888</v>
      </c>
      <c r="B1499" s="7">
        <f>_xlfn.XLOOKUP(Jnl[[#This Row],[TrxId]], Trx[Id], Trx[Date],,0)</f>
        <v>46081</v>
      </c>
      <c r="C1499" s="7" t="str">
        <f>_xlfn.XLOOKUP(Jnl[[#This Row],[TrxId]], Trx[Id], Trx[Division],,0)</f>
        <v>Online</v>
      </c>
      <c r="D1499" s="7" t="str">
        <f>_xlfn.XLOOKUP(Jnl[[#This Row],[TrxId]], Trx[Id], Trx[Action],,0)</f>
        <v>退款-供应商</v>
      </c>
      <c r="E1499" s="26" t="s">
        <v>80</v>
      </c>
      <c r="F1499" s="11" t="s">
        <v>493</v>
      </c>
      <c r="G1499" s="11" t="s">
        <v>141</v>
      </c>
      <c r="H1499" s="72">
        <f>-H1498</f>
        <v>-2870</v>
      </c>
      <c r="I1499" s="5" t="b">
        <f>AND(Jnl[[#This Row],[TrxId]]&lt;&gt;"",Jnl[[#This Row],[Acct]]&lt;&gt;"",Jnl[[#This Row],[Item]]&lt;&gt;"",ISNUMBER(Jnl[[#This Row],[Bal]]))</f>
        <v>1</v>
      </c>
      <c r="J1499" s="10">
        <f>IF(Jnl[[#This Row],[BSLv0]]="A",1,-1)*Jnl[[#This Row],[Bal]]</f>
        <v>-2870</v>
      </c>
      <c r="K1499" t="str">
        <f>_xlfn.XLOOKUP(Jnl[[#This Row],[Acct]], config_BS[Acct], config_BS[Lv0],,0)</f>
        <v>A</v>
      </c>
      <c r="L1499" t="str">
        <f>_xlfn.XLOOKUP(Jnl[[#This Row],[Acct]], config_BS[Acct], config_BS[Lv1],,0)</f>
        <v>Assets</v>
      </c>
      <c r="M1499" t="str">
        <f>_xlfn.XLOOKUP(Jnl[[#This Row],[Acct]], config_BS[Acct], config_BS[Lv2],,0)</f>
        <v>Prep-Sub</v>
      </c>
      <c r="N1499" t="str">
        <f>_xlfn.XLOOKUP(Jnl[[#This Row],[TrxId]], Trx[Id], Trx[IncNode], ,0)</f>
        <v>Expense</v>
      </c>
      <c r="O1499" t="str">
        <f>_xlfn.XLOOKUP(Jnl[[#This Row],[IncNode]], config_IS[Node], config_IS[Type],,0)</f>
        <v>Op</v>
      </c>
      <c r="P1499" t="str">
        <f>_xlfn.XLOOKUP(Jnl[[#This Row],[BSLv2]], dict[Key], dict[Name],,0)</f>
        <v>2.预付-订阅</v>
      </c>
      <c r="Q1499" t="str">
        <f>_xlfn.XLOOKUP(Jnl[[#This Row],[Acct]], dict[Key], dict[Name],,0)</f>
        <v>预付订单</v>
      </c>
      <c r="R1499" t="str">
        <f>_xlfn.XLOOKUP(Jnl[[#This Row],[Vehicle]],config_vehicle[Id], config_vehicle[Name],,0)</f>
        <v>远家花园</v>
      </c>
      <c r="S1499" t="str">
        <f>_xlfn.XLOOKUP(Jnl[[#This Row],[Division]],config_div[Id], config_div[Name],,0)</f>
        <v>网店</v>
      </c>
      <c r="T1499" t="str">
        <f>IF(Jnl[[#This Row],[TrxDate]]&lt;=stmt_BS_date_end, "In", "Out")</f>
        <v>In</v>
      </c>
      <c r="U1499" t="str">
        <f>IF(Jnl[[#This Row],[TrxDate]]&lt;debug_date_start, "prior", IF(Jnl[[#This Row],[TrxDate]]&gt;debug_date_end, "post", "curr"))</f>
        <v>curr</v>
      </c>
    </row>
    <row r="1500" spans="1:21">
      <c r="A1500" s="11" t="s">
        <v>1889</v>
      </c>
      <c r="B1500" s="7">
        <f>_xlfn.XLOOKUP(Jnl[[#This Row],[TrxId]], Trx[Id], Trx[Date],,0)</f>
        <v>46081</v>
      </c>
      <c r="C1500" s="7" t="str">
        <f>_xlfn.XLOOKUP(Jnl[[#This Row],[TrxId]], Trx[Id], Trx[Division],,0)</f>
        <v>Online</v>
      </c>
      <c r="D1500" s="7" t="str">
        <f>_xlfn.XLOOKUP(Jnl[[#This Row],[TrxId]], Trx[Id], Trx[Action],,0)</f>
        <v>采购</v>
      </c>
      <c r="E1500" s="26" t="s">
        <v>80</v>
      </c>
      <c r="F1500" s="11" t="s">
        <v>598</v>
      </c>
      <c r="G1500" s="11" t="s">
        <v>151</v>
      </c>
      <c r="H1500" s="72">
        <v>29556</v>
      </c>
      <c r="I1500" s="5" t="b">
        <f>AND(Jnl[[#This Row],[TrxId]]&lt;&gt;"",Jnl[[#This Row],[Acct]]&lt;&gt;"",Jnl[[#This Row],[Item]]&lt;&gt;"",ISNUMBER(Jnl[[#This Row],[Bal]]))</f>
        <v>1</v>
      </c>
      <c r="J1500" s="10">
        <f>IF(Jnl[[#This Row],[BSLv0]]="A",1,-1)*Jnl[[#This Row],[Bal]]</f>
        <v>29556</v>
      </c>
      <c r="K1500" t="str">
        <f>_xlfn.XLOOKUP(Jnl[[#This Row],[Acct]], config_BS[Acct], config_BS[Lv0],,0)</f>
        <v>A</v>
      </c>
      <c r="L1500" t="str">
        <f>_xlfn.XLOOKUP(Jnl[[#This Row],[Acct]], config_BS[Acct], config_BS[Lv1],,0)</f>
        <v>Assets</v>
      </c>
      <c r="M1500" t="str">
        <f>_xlfn.XLOOKUP(Jnl[[#This Row],[Acct]], config_BS[Acct], config_BS[Lv2],,0)</f>
        <v>Invtr</v>
      </c>
      <c r="N1500" t="str">
        <f>_xlfn.XLOOKUP(Jnl[[#This Row],[TrxId]], Trx[Id], Trx[IncNode], ,0)</f>
        <v>Cost</v>
      </c>
      <c r="O1500" t="str">
        <f>_xlfn.XLOOKUP(Jnl[[#This Row],[IncNode]], config_IS[Node], config_IS[Type],,0)</f>
        <v>Op</v>
      </c>
      <c r="P1500" t="str">
        <f>_xlfn.XLOOKUP(Jnl[[#This Row],[BSLv2]], dict[Key], dict[Name],,0)</f>
        <v>3.库存占款</v>
      </c>
      <c r="Q1500" t="str">
        <f>_xlfn.XLOOKUP(Jnl[[#This Row],[Acct]], dict[Key], dict[Name],,0)</f>
        <v>当期存货</v>
      </c>
      <c r="R1500" t="str">
        <f>_xlfn.XLOOKUP(Jnl[[#This Row],[Vehicle]],config_vehicle[Id], config_vehicle[Name],,0)</f>
        <v>远家花园</v>
      </c>
      <c r="S1500" t="str">
        <f>_xlfn.XLOOKUP(Jnl[[#This Row],[Division]],config_div[Id], config_div[Name],,0)</f>
        <v>网店</v>
      </c>
      <c r="T1500" t="str">
        <f>IF(Jnl[[#This Row],[TrxDate]]&lt;=stmt_BS_date_end, "In", "Out")</f>
        <v>In</v>
      </c>
      <c r="U1500" t="str">
        <f>IF(Jnl[[#This Row],[TrxDate]]&lt;debug_date_start, "prior", IF(Jnl[[#This Row],[TrxDate]]&gt;debug_date_end, "post", "curr"))</f>
        <v>curr</v>
      </c>
    </row>
    <row r="1501" spans="1:21">
      <c r="A1501" s="11" t="s">
        <v>1889</v>
      </c>
      <c r="B1501" s="7">
        <f>_xlfn.XLOOKUP(Jnl[[#This Row],[TrxId]], Trx[Id], Trx[Date],,0)</f>
        <v>46081</v>
      </c>
      <c r="C1501" s="7" t="str">
        <f>_xlfn.XLOOKUP(Jnl[[#This Row],[TrxId]], Trx[Id], Trx[Division],,0)</f>
        <v>Online</v>
      </c>
      <c r="D1501" s="7" t="str">
        <f>_xlfn.XLOOKUP(Jnl[[#This Row],[TrxId]], Trx[Id], Trx[Action],,0)</f>
        <v>采购</v>
      </c>
      <c r="E1501" s="26" t="s">
        <v>80</v>
      </c>
      <c r="F1501" s="11" t="s">
        <v>590</v>
      </c>
      <c r="G1501" s="11" t="s">
        <v>391</v>
      </c>
      <c r="H1501" s="72">
        <v>-29556</v>
      </c>
      <c r="I1501" s="5" t="b">
        <f>AND(Jnl[[#This Row],[TrxId]]&lt;&gt;"",Jnl[[#This Row],[Acct]]&lt;&gt;"",Jnl[[#This Row],[Item]]&lt;&gt;"",ISNUMBER(Jnl[[#This Row],[Bal]]))</f>
        <v>1</v>
      </c>
      <c r="J1501" s="10">
        <f>IF(Jnl[[#This Row],[BSLv0]]="A",1,-1)*Jnl[[#This Row],[Bal]]</f>
        <v>-29556</v>
      </c>
      <c r="K1501" t="str">
        <f>_xlfn.XLOOKUP(Jnl[[#This Row],[Acct]], config_BS[Acct], config_BS[Lv0],,0)</f>
        <v>A</v>
      </c>
      <c r="L1501" t="str">
        <f>_xlfn.XLOOKUP(Jnl[[#This Row],[Acct]], config_BS[Acct], config_BS[Lv1],,0)</f>
        <v>Assets</v>
      </c>
      <c r="M1501" t="str">
        <f>_xlfn.XLOOKUP(Jnl[[#This Row],[Acct]], config_BS[Acct], config_BS[Lv2],,0)</f>
        <v>Cash alike</v>
      </c>
      <c r="N1501" t="str">
        <f>_xlfn.XLOOKUP(Jnl[[#This Row],[TrxId]], Trx[Id], Trx[IncNode], ,0)</f>
        <v>Cost</v>
      </c>
      <c r="O1501" t="str">
        <f>_xlfn.XLOOKUP(Jnl[[#This Row],[IncNode]], config_IS[Node], config_IS[Type],,0)</f>
        <v>Op</v>
      </c>
      <c r="P1501" t="str">
        <f>_xlfn.XLOOKUP(Jnl[[#This Row],[BSLv2]], dict[Key], dict[Name],,0)</f>
        <v>0.现金及类似</v>
      </c>
      <c r="Q1501" t="str">
        <f>_xlfn.XLOOKUP(Jnl[[#This Row],[Acct]], dict[Key], dict[Name],,0)</f>
        <v>银行</v>
      </c>
      <c r="R1501" t="str">
        <f>_xlfn.XLOOKUP(Jnl[[#This Row],[Vehicle]],config_vehicle[Id], config_vehicle[Name],,0)</f>
        <v>远家花园</v>
      </c>
      <c r="S1501" t="str">
        <f>_xlfn.XLOOKUP(Jnl[[#This Row],[Division]],config_div[Id], config_div[Name],,0)</f>
        <v>网店</v>
      </c>
      <c r="T1501" t="str">
        <f>IF(Jnl[[#This Row],[TrxDate]]&lt;=stmt_BS_date_end, "In", "Out")</f>
        <v>In</v>
      </c>
      <c r="U1501" t="str">
        <f>IF(Jnl[[#This Row],[TrxDate]]&lt;debug_date_start, "prior", IF(Jnl[[#This Row],[TrxDate]]&gt;debug_date_end, "post", "curr"))</f>
        <v>curr</v>
      </c>
    </row>
    <row r="1502" spans="1:21">
      <c r="A1502" s="11" t="s">
        <v>1890</v>
      </c>
      <c r="B1502" s="7">
        <f>_xlfn.XLOOKUP(Jnl[[#This Row],[TrxId]], Trx[Id], Trx[Date],,0)</f>
        <v>46081</v>
      </c>
      <c r="C1502" s="7" t="str">
        <f>_xlfn.XLOOKUP(Jnl[[#This Row],[TrxId]], Trx[Id], Trx[Division],,0)</f>
        <v>Online</v>
      </c>
      <c r="D1502" s="7" t="str">
        <f>_xlfn.XLOOKUP(Jnl[[#This Row],[TrxId]], Trx[Id], Trx[Action],,0)</f>
        <v>加工</v>
      </c>
      <c r="E1502" s="26" t="s">
        <v>80</v>
      </c>
      <c r="F1502" s="11" t="s">
        <v>598</v>
      </c>
      <c r="G1502" s="11" t="s">
        <v>151</v>
      </c>
      <c r="H1502" s="72">
        <v>34563</v>
      </c>
      <c r="I1502" s="5" t="b">
        <f>AND(Jnl[[#This Row],[TrxId]]&lt;&gt;"",Jnl[[#This Row],[Acct]]&lt;&gt;"",Jnl[[#This Row],[Item]]&lt;&gt;"",ISNUMBER(Jnl[[#This Row],[Bal]]))</f>
        <v>1</v>
      </c>
      <c r="J1502" s="10">
        <f>IF(Jnl[[#This Row],[BSLv0]]="A",1,-1)*Jnl[[#This Row],[Bal]]</f>
        <v>34563</v>
      </c>
      <c r="K1502" t="str">
        <f>_xlfn.XLOOKUP(Jnl[[#This Row],[Acct]], config_BS[Acct], config_BS[Lv0],,0)</f>
        <v>A</v>
      </c>
      <c r="L1502" t="str">
        <f>_xlfn.XLOOKUP(Jnl[[#This Row],[Acct]], config_BS[Acct], config_BS[Lv1],,0)</f>
        <v>Assets</v>
      </c>
      <c r="M1502" t="str">
        <f>_xlfn.XLOOKUP(Jnl[[#This Row],[Acct]], config_BS[Acct], config_BS[Lv2],,0)</f>
        <v>Invtr</v>
      </c>
      <c r="N1502" t="str">
        <f>_xlfn.XLOOKUP(Jnl[[#This Row],[TrxId]], Trx[Id], Trx[IncNode], ,0)</f>
        <v>Cost</v>
      </c>
      <c r="O1502" t="str">
        <f>_xlfn.XLOOKUP(Jnl[[#This Row],[IncNode]], config_IS[Node], config_IS[Type],,0)</f>
        <v>Op</v>
      </c>
      <c r="P1502" t="str">
        <f>_xlfn.XLOOKUP(Jnl[[#This Row],[BSLv2]], dict[Key], dict[Name],,0)</f>
        <v>3.库存占款</v>
      </c>
      <c r="Q1502" t="str">
        <f>_xlfn.XLOOKUP(Jnl[[#This Row],[Acct]], dict[Key], dict[Name],,0)</f>
        <v>当期存货</v>
      </c>
      <c r="R1502" t="str">
        <f>_xlfn.XLOOKUP(Jnl[[#This Row],[Vehicle]],config_vehicle[Id], config_vehicle[Name],,0)</f>
        <v>远家花园</v>
      </c>
      <c r="S1502" t="str">
        <f>_xlfn.XLOOKUP(Jnl[[#This Row],[Division]],config_div[Id], config_div[Name],,0)</f>
        <v>网店</v>
      </c>
      <c r="T1502" t="str">
        <f>IF(Jnl[[#This Row],[TrxDate]]&lt;=stmt_BS_date_end, "In", "Out")</f>
        <v>In</v>
      </c>
      <c r="U1502" t="str">
        <f>IF(Jnl[[#This Row],[TrxDate]]&lt;debug_date_start, "prior", IF(Jnl[[#This Row],[TrxDate]]&gt;debug_date_end, "post", "curr"))</f>
        <v>curr</v>
      </c>
    </row>
    <row r="1503" spans="1:21">
      <c r="A1503" s="11" t="s">
        <v>1890</v>
      </c>
      <c r="B1503" s="7">
        <f>_xlfn.XLOOKUP(Jnl[[#This Row],[TrxId]], Trx[Id], Trx[Date],,0)</f>
        <v>46081</v>
      </c>
      <c r="C1503" s="7" t="str">
        <f>_xlfn.XLOOKUP(Jnl[[#This Row],[TrxId]], Trx[Id], Trx[Division],,0)</f>
        <v>Online</v>
      </c>
      <c r="D1503" s="7" t="str">
        <f>_xlfn.XLOOKUP(Jnl[[#This Row],[TrxId]], Trx[Id], Trx[Action],,0)</f>
        <v>加工</v>
      </c>
      <c r="E1503" s="26" t="s">
        <v>80</v>
      </c>
      <c r="F1503" s="11" t="s">
        <v>590</v>
      </c>
      <c r="G1503" s="11" t="s">
        <v>391</v>
      </c>
      <c r="H1503" s="72">
        <v>-34563</v>
      </c>
      <c r="I1503" s="5" t="b">
        <f>AND(Jnl[[#This Row],[TrxId]]&lt;&gt;"",Jnl[[#This Row],[Acct]]&lt;&gt;"",Jnl[[#This Row],[Item]]&lt;&gt;"",ISNUMBER(Jnl[[#This Row],[Bal]]))</f>
        <v>1</v>
      </c>
      <c r="J1503" s="10">
        <f>IF(Jnl[[#This Row],[BSLv0]]="A",1,-1)*Jnl[[#This Row],[Bal]]</f>
        <v>-34563</v>
      </c>
      <c r="K1503" t="str">
        <f>_xlfn.XLOOKUP(Jnl[[#This Row],[Acct]], config_BS[Acct], config_BS[Lv0],,0)</f>
        <v>A</v>
      </c>
      <c r="L1503" t="str">
        <f>_xlfn.XLOOKUP(Jnl[[#This Row],[Acct]], config_BS[Acct], config_BS[Lv1],,0)</f>
        <v>Assets</v>
      </c>
      <c r="M1503" t="str">
        <f>_xlfn.XLOOKUP(Jnl[[#This Row],[Acct]], config_BS[Acct], config_BS[Lv2],,0)</f>
        <v>Cash alike</v>
      </c>
      <c r="N1503" t="str">
        <f>_xlfn.XLOOKUP(Jnl[[#This Row],[TrxId]], Trx[Id], Trx[IncNode], ,0)</f>
        <v>Cost</v>
      </c>
      <c r="O1503" t="str">
        <f>_xlfn.XLOOKUP(Jnl[[#This Row],[IncNode]], config_IS[Node], config_IS[Type],,0)</f>
        <v>Op</v>
      </c>
      <c r="P1503" t="str">
        <f>_xlfn.XLOOKUP(Jnl[[#This Row],[BSLv2]], dict[Key], dict[Name],,0)</f>
        <v>0.现金及类似</v>
      </c>
      <c r="Q1503" t="str">
        <f>_xlfn.XLOOKUP(Jnl[[#This Row],[Acct]], dict[Key], dict[Name],,0)</f>
        <v>银行</v>
      </c>
      <c r="R1503" t="str">
        <f>_xlfn.XLOOKUP(Jnl[[#This Row],[Vehicle]],config_vehicle[Id], config_vehicle[Name],,0)</f>
        <v>远家花园</v>
      </c>
      <c r="S1503" t="str">
        <f>_xlfn.XLOOKUP(Jnl[[#This Row],[Division]],config_div[Id], config_div[Name],,0)</f>
        <v>网店</v>
      </c>
      <c r="T1503" t="str">
        <f>IF(Jnl[[#This Row],[TrxDate]]&lt;=stmt_BS_date_end, "In", "Out")</f>
        <v>In</v>
      </c>
      <c r="U1503" t="str">
        <f>IF(Jnl[[#This Row],[TrxDate]]&lt;debug_date_start, "prior", IF(Jnl[[#This Row],[TrxDate]]&gt;debug_date_end, "post", "curr"))</f>
        <v>curr</v>
      </c>
    </row>
    <row r="1504" spans="1:21">
      <c r="A1504" s="11" t="s">
        <v>1891</v>
      </c>
      <c r="B1504" s="7">
        <f>_xlfn.XLOOKUP(Jnl[[#This Row],[TrxId]], Trx[Id], Trx[Date],,0)</f>
        <v>46081</v>
      </c>
      <c r="C1504" s="7" t="str">
        <f>_xlfn.XLOOKUP(Jnl[[#This Row],[TrxId]], Trx[Id], Trx[Division],,0)</f>
        <v>GM</v>
      </c>
      <c r="D1504" s="7" t="str">
        <f>_xlfn.XLOOKUP(Jnl[[#This Row],[TrxId]], Trx[Id], Trx[Action],,0)</f>
        <v>支付</v>
      </c>
      <c r="E1504" s="26" t="s">
        <v>80</v>
      </c>
      <c r="F1504" s="11" t="s">
        <v>596</v>
      </c>
      <c r="G1504" s="11" t="s">
        <v>318</v>
      </c>
      <c r="H1504" s="72">
        <v>-449869.55</v>
      </c>
      <c r="I1504" s="5" t="b">
        <f>AND(Jnl[[#This Row],[TrxId]]&lt;&gt;"",Jnl[[#This Row],[Acct]]&lt;&gt;"",Jnl[[#This Row],[Item]]&lt;&gt;"",ISNUMBER(Jnl[[#This Row],[Bal]]))</f>
        <v>1</v>
      </c>
      <c r="J1504" s="10">
        <f>IF(Jnl[[#This Row],[BSLv0]]="A",1,-1)*Jnl[[#This Row],[Bal]]</f>
        <v>449869.55</v>
      </c>
      <c r="K1504" t="str">
        <f>_xlfn.XLOOKUP(Jnl[[#This Row],[Acct]], config_BS[Acct], config_BS[Lv0],,0)</f>
        <v>LC</v>
      </c>
      <c r="L1504" t="str">
        <f>_xlfn.XLOOKUP(Jnl[[#This Row],[Acct]], config_BS[Acct], config_BS[Lv1],,0)</f>
        <v>Liability</v>
      </c>
      <c r="M1504" t="str">
        <f>_xlfn.XLOOKUP(Jnl[[#This Row],[Acct]], config_BS[Acct], config_BS[Lv2],,0)</f>
        <v>Rec-Pay</v>
      </c>
      <c r="N1504" t="str">
        <f>_xlfn.XLOOKUP(Jnl[[#This Row],[TrxId]], Trx[Id], Trx[IncNode], ,0)</f>
        <v>Expense</v>
      </c>
      <c r="O1504" t="str">
        <f>_xlfn.XLOOKUP(Jnl[[#This Row],[IncNode]], config_IS[Node], config_IS[Type],,0)</f>
        <v>Op</v>
      </c>
      <c r="P1504" t="str">
        <f>_xlfn.XLOOKUP(Jnl[[#This Row],[BSLv2]], dict[Key], dict[Name],,0)</f>
        <v>1.应收-应付</v>
      </c>
      <c r="Q1504" t="str">
        <f>_xlfn.XLOOKUP(Jnl[[#This Row],[Acct]], dict[Key], dict[Name],,0)</f>
        <v>应付-薪资</v>
      </c>
      <c r="R1504" t="str">
        <f>_xlfn.XLOOKUP(Jnl[[#This Row],[Vehicle]],config_vehicle[Id], config_vehicle[Name],,0)</f>
        <v>远家花园</v>
      </c>
      <c r="S1504" t="str">
        <f>_xlfn.XLOOKUP(Jnl[[#This Row],[Division]],config_div[Id], config_div[Name],,0)</f>
        <v>综合管理</v>
      </c>
      <c r="T1504" t="str">
        <f>IF(Jnl[[#This Row],[TrxDate]]&lt;=stmt_BS_date_end, "In", "Out")</f>
        <v>In</v>
      </c>
      <c r="U1504" t="str">
        <f>IF(Jnl[[#This Row],[TrxDate]]&lt;debug_date_start, "prior", IF(Jnl[[#This Row],[TrxDate]]&gt;debug_date_end, "post", "curr"))</f>
        <v>curr</v>
      </c>
    </row>
    <row r="1505" spans="1:21">
      <c r="A1505" s="11" t="s">
        <v>1891</v>
      </c>
      <c r="B1505" s="7">
        <f>_xlfn.XLOOKUP(Jnl[[#This Row],[TrxId]], Trx[Id], Trx[Date],,0)</f>
        <v>46081</v>
      </c>
      <c r="C1505" s="7" t="str">
        <f>_xlfn.XLOOKUP(Jnl[[#This Row],[TrxId]], Trx[Id], Trx[Division],,0)</f>
        <v>GM</v>
      </c>
      <c r="D1505" s="7" t="str">
        <f>_xlfn.XLOOKUP(Jnl[[#This Row],[TrxId]], Trx[Id], Trx[Action],,0)</f>
        <v>支付</v>
      </c>
      <c r="E1505" s="26" t="s">
        <v>80</v>
      </c>
      <c r="F1505" s="11" t="s">
        <v>590</v>
      </c>
      <c r="G1505" s="11" t="s">
        <v>391</v>
      </c>
      <c r="H1505" s="72">
        <f>-896970.96-H1509</f>
        <v>-366970.95999999996</v>
      </c>
      <c r="I1505" s="5" t="b">
        <f>AND(Jnl[[#This Row],[TrxId]]&lt;&gt;"",Jnl[[#This Row],[Acct]]&lt;&gt;"",Jnl[[#This Row],[Item]]&lt;&gt;"",ISNUMBER(Jnl[[#This Row],[Bal]]))</f>
        <v>1</v>
      </c>
      <c r="J1505" s="10">
        <f>IF(Jnl[[#This Row],[BSLv0]]="A",1,-1)*Jnl[[#This Row],[Bal]]</f>
        <v>-366970.95999999996</v>
      </c>
      <c r="K1505" t="str">
        <f>_xlfn.XLOOKUP(Jnl[[#This Row],[Acct]], config_BS[Acct], config_BS[Lv0],,0)</f>
        <v>A</v>
      </c>
      <c r="L1505" t="str">
        <f>_xlfn.XLOOKUP(Jnl[[#This Row],[Acct]], config_BS[Acct], config_BS[Lv1],,0)</f>
        <v>Assets</v>
      </c>
      <c r="M1505" t="str">
        <f>_xlfn.XLOOKUP(Jnl[[#This Row],[Acct]], config_BS[Acct], config_BS[Lv2],,0)</f>
        <v>Cash alike</v>
      </c>
      <c r="N1505" t="str">
        <f>_xlfn.XLOOKUP(Jnl[[#This Row],[TrxId]], Trx[Id], Trx[IncNode], ,0)</f>
        <v>Expense</v>
      </c>
      <c r="O1505" t="str">
        <f>_xlfn.XLOOKUP(Jnl[[#This Row],[IncNode]], config_IS[Node], config_IS[Type],,0)</f>
        <v>Op</v>
      </c>
      <c r="P1505" t="str">
        <f>_xlfn.XLOOKUP(Jnl[[#This Row],[BSLv2]], dict[Key], dict[Name],,0)</f>
        <v>0.现金及类似</v>
      </c>
      <c r="Q1505" t="str">
        <f>_xlfn.XLOOKUP(Jnl[[#This Row],[Acct]], dict[Key], dict[Name],,0)</f>
        <v>银行</v>
      </c>
      <c r="R1505" t="str">
        <f>_xlfn.XLOOKUP(Jnl[[#This Row],[Vehicle]],config_vehicle[Id], config_vehicle[Name],,0)</f>
        <v>远家花园</v>
      </c>
      <c r="S1505" t="str">
        <f>_xlfn.XLOOKUP(Jnl[[#This Row],[Division]],config_div[Id], config_div[Name],,0)</f>
        <v>综合管理</v>
      </c>
      <c r="T1505" t="str">
        <f>IF(Jnl[[#This Row],[TrxDate]]&lt;=stmt_BS_date_end, "In", "Out")</f>
        <v>In</v>
      </c>
      <c r="U1505" t="str">
        <f>IF(Jnl[[#This Row],[TrxDate]]&lt;debug_date_start, "prior", IF(Jnl[[#This Row],[TrxDate]]&gt;debug_date_end, "post", "curr"))</f>
        <v>curr</v>
      </c>
    </row>
    <row r="1506" spans="1:21">
      <c r="A1506" s="11" t="s">
        <v>1891</v>
      </c>
      <c r="B1506" s="7">
        <f>_xlfn.XLOOKUP(Jnl[[#This Row],[TrxId]], Trx[Id], Trx[Date],,0)</f>
        <v>46081</v>
      </c>
      <c r="C1506" s="7" t="str">
        <f>_xlfn.XLOOKUP(Jnl[[#This Row],[TrxId]], Trx[Id], Trx[Division],,0)</f>
        <v>GM</v>
      </c>
      <c r="D1506" s="7" t="str">
        <f>_xlfn.XLOOKUP(Jnl[[#This Row],[TrxId]], Trx[Id], Trx[Action],,0)</f>
        <v>支付</v>
      </c>
      <c r="E1506" s="26" t="s">
        <v>80</v>
      </c>
      <c r="F1506" s="11" t="s">
        <v>127</v>
      </c>
      <c r="G1506" s="11" t="s">
        <v>343</v>
      </c>
      <c r="H1506" s="72">
        <v>82898.59</v>
      </c>
      <c r="I1506" s="5" t="b">
        <f>AND(Jnl[[#This Row],[TrxId]]&lt;&gt;"",Jnl[[#This Row],[Acct]]&lt;&gt;"",Jnl[[#This Row],[Item]]&lt;&gt;"",ISNUMBER(Jnl[[#This Row],[Bal]]))</f>
        <v>1</v>
      </c>
      <c r="J1506" s="10">
        <f>IF(Jnl[[#This Row],[BSLv0]]="A",1,-1)*Jnl[[#This Row],[Bal]]</f>
        <v>-82898.59</v>
      </c>
      <c r="K1506" t="str">
        <f>_xlfn.XLOOKUP(Jnl[[#This Row],[Acct]], config_BS[Acct], config_BS[Lv0],,0)</f>
        <v>LC</v>
      </c>
      <c r="L1506" t="str">
        <f>_xlfn.XLOOKUP(Jnl[[#This Row],[Acct]], config_BS[Acct], config_BS[Lv1],,0)</f>
        <v>Liability</v>
      </c>
      <c r="M1506" t="str">
        <f>_xlfn.XLOOKUP(Jnl[[#This Row],[Acct]], config_BS[Acct], config_BS[Lv2],,0)</f>
        <v>Rec-Pay</v>
      </c>
      <c r="N1506" t="str">
        <f>_xlfn.XLOOKUP(Jnl[[#This Row],[TrxId]], Trx[Id], Trx[IncNode], ,0)</f>
        <v>Expense</v>
      </c>
      <c r="O1506" t="str">
        <f>_xlfn.XLOOKUP(Jnl[[#This Row],[IncNode]], config_IS[Node], config_IS[Type],,0)</f>
        <v>Op</v>
      </c>
      <c r="P1506" t="str">
        <f>_xlfn.XLOOKUP(Jnl[[#This Row],[BSLv2]], dict[Key], dict[Name],,0)</f>
        <v>1.应收-应付</v>
      </c>
      <c r="Q1506" t="str">
        <f>_xlfn.XLOOKUP(Jnl[[#This Row],[Acct]], dict[Key], dict[Name],,0)</f>
        <v>应付-税款</v>
      </c>
      <c r="R1506" t="str">
        <f>_xlfn.XLOOKUP(Jnl[[#This Row],[Vehicle]],config_vehicle[Id], config_vehicle[Name],,0)</f>
        <v>远家花园</v>
      </c>
      <c r="S1506" t="str">
        <f>_xlfn.XLOOKUP(Jnl[[#This Row],[Division]],config_div[Id], config_div[Name],,0)</f>
        <v>综合管理</v>
      </c>
      <c r="T1506" t="str">
        <f>IF(Jnl[[#This Row],[TrxDate]]&lt;=stmt_BS_date_end, "In", "Out")</f>
        <v>In</v>
      </c>
      <c r="U1506" t="str">
        <f>IF(Jnl[[#This Row],[TrxDate]]&lt;debug_date_start, "prior", IF(Jnl[[#This Row],[TrxDate]]&gt;debug_date_end, "post", "curr"))</f>
        <v>curr</v>
      </c>
    </row>
    <row r="1507" spans="1:21">
      <c r="A1507" s="11" t="s">
        <v>1928</v>
      </c>
      <c r="B1507" s="7">
        <f>_xlfn.XLOOKUP(Jnl[[#This Row],[TrxId]], Trx[Id], Trx[Date],,0)</f>
        <v>46081</v>
      </c>
      <c r="C1507" s="7" t="str">
        <f>_xlfn.XLOOKUP(Jnl[[#This Row],[TrxId]], Trx[Id], Trx[Division],,0)</f>
        <v>GM</v>
      </c>
      <c r="D1507" s="7" t="str">
        <f>_xlfn.XLOOKUP(Jnl[[#This Row],[TrxId]], Trx[Id], Trx[Action],,0)</f>
        <v>薪酬-工资</v>
      </c>
      <c r="E1507" s="26" t="s">
        <v>80</v>
      </c>
      <c r="F1507" s="11" t="s">
        <v>590</v>
      </c>
      <c r="G1507" s="11" t="s">
        <v>391</v>
      </c>
      <c r="H1507" s="72">
        <v>-0.01</v>
      </c>
      <c r="I1507" s="5" t="b">
        <f>AND(Jnl[[#This Row],[TrxId]]&lt;&gt;"",Jnl[[#This Row],[Acct]]&lt;&gt;"",Jnl[[#This Row],[Item]]&lt;&gt;"",ISNUMBER(Jnl[[#This Row],[Bal]]))</f>
        <v>1</v>
      </c>
      <c r="J1507" s="10">
        <f>IF(Jnl[[#This Row],[BSLv0]]="A",1,-1)*Jnl[[#This Row],[Bal]]</f>
        <v>-0.01</v>
      </c>
      <c r="K1507" t="str">
        <f>_xlfn.XLOOKUP(Jnl[[#This Row],[Acct]], config_BS[Acct], config_BS[Lv0],,0)</f>
        <v>A</v>
      </c>
      <c r="L1507" t="str">
        <f>_xlfn.XLOOKUP(Jnl[[#This Row],[Acct]], config_BS[Acct], config_BS[Lv1],,0)</f>
        <v>Assets</v>
      </c>
      <c r="M1507" t="str">
        <f>_xlfn.XLOOKUP(Jnl[[#This Row],[Acct]], config_BS[Acct], config_BS[Lv2],,0)</f>
        <v>Cash alike</v>
      </c>
      <c r="N1507" t="str">
        <f>_xlfn.XLOOKUP(Jnl[[#This Row],[TrxId]], Trx[Id], Trx[IncNode], ,0)</f>
        <v>Expense</v>
      </c>
      <c r="O1507" t="str">
        <f>_xlfn.XLOOKUP(Jnl[[#This Row],[IncNode]], config_IS[Node], config_IS[Type],,0)</f>
        <v>Op</v>
      </c>
      <c r="P1507" t="str">
        <f>_xlfn.XLOOKUP(Jnl[[#This Row],[BSLv2]], dict[Key], dict[Name],,0)</f>
        <v>0.现金及类似</v>
      </c>
      <c r="Q1507" t="str">
        <f>_xlfn.XLOOKUP(Jnl[[#This Row],[Acct]], dict[Key], dict[Name],,0)</f>
        <v>银行</v>
      </c>
      <c r="R1507" t="str">
        <f>_xlfn.XLOOKUP(Jnl[[#This Row],[Vehicle]],config_vehicle[Id], config_vehicle[Name],,0)</f>
        <v>远家花园</v>
      </c>
      <c r="S1507" t="str">
        <f>_xlfn.XLOOKUP(Jnl[[#This Row],[Division]],config_div[Id], config_div[Name],,0)</f>
        <v>综合管理</v>
      </c>
      <c r="T1507" t="str">
        <f>IF(Jnl[[#This Row],[TrxDate]]&lt;=stmt_BS_date_end, "In", "Out")</f>
        <v>In</v>
      </c>
      <c r="U1507" t="str">
        <f>IF(Jnl[[#This Row],[TrxDate]]&lt;debug_date_start, "prior", IF(Jnl[[#This Row],[TrxDate]]&gt;debug_date_end, "post", "curr"))</f>
        <v>curr</v>
      </c>
    </row>
    <row r="1508" spans="1:21">
      <c r="A1508" s="11" t="s">
        <v>1892</v>
      </c>
      <c r="B1508" s="7">
        <f>_xlfn.XLOOKUP(Jnl[[#This Row],[TrxId]], Trx[Id], Trx[Date],,0)</f>
        <v>46081</v>
      </c>
      <c r="C1508" s="7" t="str">
        <f>_xlfn.XLOOKUP(Jnl[[#This Row],[TrxId]], Trx[Id], Trx[Division],,0)</f>
        <v>GM</v>
      </c>
      <c r="D1508" s="7" t="str">
        <f>_xlfn.XLOOKUP(Jnl[[#This Row],[TrxId]], Trx[Id], Trx[Action],,0)</f>
        <v>分红</v>
      </c>
      <c r="E1508" s="26" t="s">
        <v>81</v>
      </c>
      <c r="F1508" s="11" t="s">
        <v>1620</v>
      </c>
      <c r="G1508" s="11" t="s">
        <v>2001</v>
      </c>
      <c r="H1508" s="72">
        <f>H1509</f>
        <v>-530000</v>
      </c>
      <c r="I1508" s="5" t="b">
        <f>AND(Jnl[[#This Row],[TrxId]]&lt;&gt;"",Jnl[[#This Row],[Acct]]&lt;&gt;"",Jnl[[#This Row],[Item]]&lt;&gt;"",ISNUMBER(Jnl[[#This Row],[Bal]]))</f>
        <v>1</v>
      </c>
      <c r="J1508" s="10">
        <f>IF(Jnl[[#This Row],[BSLv0]]="A",1,-1)*Jnl[[#This Row],[Bal]]</f>
        <v>530000</v>
      </c>
      <c r="K1508" t="str">
        <f>_xlfn.XLOOKUP(Jnl[[#This Row],[Acct]], config_BS[Acct], config_BS[Lv0],,0)</f>
        <v>LC</v>
      </c>
      <c r="L1508" t="str">
        <f>_xlfn.XLOOKUP(Jnl[[#This Row],[Acct]], config_BS[Acct], config_BS[Lv1],,0)</f>
        <v>Equity</v>
      </c>
      <c r="M1508" t="str">
        <f>_xlfn.XLOOKUP(Jnl[[#This Row],[Acct]], config_BS[Acct], config_BS[Lv2],,0)</f>
        <v>Rsv</v>
      </c>
      <c r="N1508" t="str">
        <f>_xlfn.XLOOKUP(Jnl[[#This Row],[TrxId]], Trx[Id], Trx[IncNode], ,0)</f>
        <v>Other</v>
      </c>
      <c r="O1508" t="str">
        <f>_xlfn.XLOOKUP(Jnl[[#This Row],[IncNode]], config_IS[Node], config_IS[Type],,0)</f>
        <v>Non-Op</v>
      </c>
      <c r="P1508" t="str">
        <f>_xlfn.XLOOKUP(Jnl[[#This Row],[BSLv2]], dict[Key], dict[Name],,0)</f>
        <v>9.蓄水池</v>
      </c>
      <c r="Q1508" t="str">
        <f>_xlfn.XLOOKUP(Jnl[[#This Row],[Acct]], dict[Key], dict[Name],,0)</f>
        <v>可分配利润</v>
      </c>
      <c r="R1508" t="str">
        <f>_xlfn.XLOOKUP(Jnl[[#This Row],[Vehicle]],config_vehicle[Id], config_vehicle[Name],,0)</f>
        <v>喜家文化</v>
      </c>
      <c r="S1508" t="str">
        <f>_xlfn.XLOOKUP(Jnl[[#This Row],[Division]],config_div[Id], config_div[Name],,0)</f>
        <v>综合管理</v>
      </c>
      <c r="T1508" t="str">
        <f>IF(Jnl[[#This Row],[TrxDate]]&lt;=stmt_BS_date_end, "In", "Out")</f>
        <v>In</v>
      </c>
      <c r="U1508" t="str">
        <f>IF(Jnl[[#This Row],[TrxDate]]&lt;debug_date_start, "prior", IF(Jnl[[#This Row],[TrxDate]]&gt;debug_date_end, "post", "curr"))</f>
        <v>curr</v>
      </c>
    </row>
    <row r="1509" spans="1:21">
      <c r="A1509" s="11" t="s">
        <v>1892</v>
      </c>
      <c r="B1509" s="7">
        <f>_xlfn.XLOOKUP(Jnl[[#This Row],[TrxId]], Trx[Id], Trx[Date],,0)</f>
        <v>46081</v>
      </c>
      <c r="C1509" s="7" t="str">
        <f>_xlfn.XLOOKUP(Jnl[[#This Row],[TrxId]], Trx[Id], Trx[Division],,0)</f>
        <v>GM</v>
      </c>
      <c r="D1509" s="7" t="str">
        <f>_xlfn.XLOOKUP(Jnl[[#This Row],[TrxId]], Trx[Id], Trx[Action],,0)</f>
        <v>分红</v>
      </c>
      <c r="E1509" s="26" t="s">
        <v>80</v>
      </c>
      <c r="F1509" s="11" t="s">
        <v>590</v>
      </c>
      <c r="G1509" s="11" t="s">
        <v>391</v>
      </c>
      <c r="H1509" s="72">
        <f>-530000</f>
        <v>-530000</v>
      </c>
      <c r="I1509" s="5" t="b">
        <f>AND(Jnl[[#This Row],[TrxId]]&lt;&gt;"",Jnl[[#This Row],[Acct]]&lt;&gt;"",Jnl[[#This Row],[Item]]&lt;&gt;"",ISNUMBER(Jnl[[#This Row],[Bal]]))</f>
        <v>1</v>
      </c>
      <c r="J1509" s="10">
        <f>IF(Jnl[[#This Row],[BSLv0]]="A",1,-1)*Jnl[[#This Row],[Bal]]</f>
        <v>-530000</v>
      </c>
      <c r="K1509" t="str">
        <f>_xlfn.XLOOKUP(Jnl[[#This Row],[Acct]], config_BS[Acct], config_BS[Lv0],,0)</f>
        <v>A</v>
      </c>
      <c r="L1509" t="str">
        <f>_xlfn.XLOOKUP(Jnl[[#This Row],[Acct]], config_BS[Acct], config_BS[Lv1],,0)</f>
        <v>Assets</v>
      </c>
      <c r="M1509" t="str">
        <f>_xlfn.XLOOKUP(Jnl[[#This Row],[Acct]], config_BS[Acct], config_BS[Lv2],,0)</f>
        <v>Cash alike</v>
      </c>
      <c r="N1509" t="str">
        <f>_xlfn.XLOOKUP(Jnl[[#This Row],[TrxId]], Trx[Id], Trx[IncNode], ,0)</f>
        <v>Other</v>
      </c>
      <c r="O1509" t="str">
        <f>_xlfn.XLOOKUP(Jnl[[#This Row],[IncNode]], config_IS[Node], config_IS[Type],,0)</f>
        <v>Non-Op</v>
      </c>
      <c r="P1509" t="str">
        <f>_xlfn.XLOOKUP(Jnl[[#This Row],[BSLv2]], dict[Key], dict[Name],,0)</f>
        <v>0.现金及类似</v>
      </c>
      <c r="Q1509" t="str">
        <f>_xlfn.XLOOKUP(Jnl[[#This Row],[Acct]], dict[Key], dict[Name],,0)</f>
        <v>银行</v>
      </c>
      <c r="R1509" t="str">
        <f>_xlfn.XLOOKUP(Jnl[[#This Row],[Vehicle]],config_vehicle[Id], config_vehicle[Name],,0)</f>
        <v>远家花园</v>
      </c>
      <c r="S1509" t="str">
        <f>_xlfn.XLOOKUP(Jnl[[#This Row],[Division]],config_div[Id], config_div[Name],,0)</f>
        <v>综合管理</v>
      </c>
      <c r="T1509" t="str">
        <f>IF(Jnl[[#This Row],[TrxDate]]&lt;=stmt_BS_date_end, "In", "Out")</f>
        <v>In</v>
      </c>
      <c r="U1509" t="str">
        <f>IF(Jnl[[#This Row],[TrxDate]]&lt;debug_date_start, "prior", IF(Jnl[[#This Row],[TrxDate]]&gt;debug_date_end, "post", "curr"))</f>
        <v>curr</v>
      </c>
    </row>
    <row r="1510" spans="1:21">
      <c r="A1510" s="11" t="s">
        <v>1893</v>
      </c>
      <c r="B1510" s="7">
        <f>_xlfn.XLOOKUP(Jnl[[#This Row],[TrxId]], Trx[Id], Trx[Date],,0)</f>
        <v>46081</v>
      </c>
      <c r="C1510" s="7" t="str">
        <f>_xlfn.XLOOKUP(Jnl[[#This Row],[TrxId]], Trx[Id], Trx[Division],,0)</f>
        <v>Online</v>
      </c>
      <c r="D1510" s="7" t="str">
        <f>_xlfn.XLOOKUP(Jnl[[#This Row],[TrxId]], Trx[Id], Trx[Action],,0)</f>
        <v>办公</v>
      </c>
      <c r="E1510" s="26" t="s">
        <v>80</v>
      </c>
      <c r="F1510" s="11" t="s">
        <v>590</v>
      </c>
      <c r="G1510" s="11" t="s">
        <v>391</v>
      </c>
      <c r="H1510" s="72">
        <v>-500</v>
      </c>
      <c r="I1510" s="5" t="b">
        <f>AND(Jnl[[#This Row],[TrxId]]&lt;&gt;"",Jnl[[#This Row],[Acct]]&lt;&gt;"",Jnl[[#This Row],[Item]]&lt;&gt;"",ISNUMBER(Jnl[[#This Row],[Bal]]))</f>
        <v>1</v>
      </c>
      <c r="J1510" s="10">
        <f>IF(Jnl[[#This Row],[BSLv0]]="A",1,-1)*Jnl[[#This Row],[Bal]]</f>
        <v>-500</v>
      </c>
      <c r="K1510" t="str">
        <f>_xlfn.XLOOKUP(Jnl[[#This Row],[Acct]], config_BS[Acct], config_BS[Lv0],,0)</f>
        <v>A</v>
      </c>
      <c r="L1510" t="str">
        <f>_xlfn.XLOOKUP(Jnl[[#This Row],[Acct]], config_BS[Acct], config_BS[Lv1],,0)</f>
        <v>Assets</v>
      </c>
      <c r="M1510" t="str">
        <f>_xlfn.XLOOKUP(Jnl[[#This Row],[Acct]], config_BS[Acct], config_BS[Lv2],,0)</f>
        <v>Cash alike</v>
      </c>
      <c r="N1510" t="str">
        <f>_xlfn.XLOOKUP(Jnl[[#This Row],[TrxId]], Trx[Id], Trx[IncNode], ,0)</f>
        <v>Expense</v>
      </c>
      <c r="O1510" t="str">
        <f>_xlfn.XLOOKUP(Jnl[[#This Row],[IncNode]], config_IS[Node], config_IS[Type],,0)</f>
        <v>Op</v>
      </c>
      <c r="P1510" t="str">
        <f>_xlfn.XLOOKUP(Jnl[[#This Row],[BSLv2]], dict[Key], dict[Name],,0)</f>
        <v>0.现金及类似</v>
      </c>
      <c r="Q1510" t="str">
        <f>_xlfn.XLOOKUP(Jnl[[#This Row],[Acct]], dict[Key], dict[Name],,0)</f>
        <v>银行</v>
      </c>
      <c r="R1510" t="str">
        <f>_xlfn.XLOOKUP(Jnl[[#This Row],[Vehicle]],config_vehicle[Id], config_vehicle[Name],,0)</f>
        <v>远家花园</v>
      </c>
      <c r="S1510" t="str">
        <f>_xlfn.XLOOKUP(Jnl[[#This Row],[Division]],config_div[Id], config_div[Name],,0)</f>
        <v>网店</v>
      </c>
      <c r="T1510" t="str">
        <f>IF(Jnl[[#This Row],[TrxDate]]&lt;=stmt_BS_date_end, "In", "Out")</f>
        <v>In</v>
      </c>
      <c r="U1510" t="str">
        <f>IF(Jnl[[#This Row],[TrxDate]]&lt;debug_date_start, "prior", IF(Jnl[[#This Row],[TrxDate]]&gt;debug_date_end, "post", "curr"))</f>
        <v>curr</v>
      </c>
    </row>
    <row r="1511" spans="1:21">
      <c r="A1511" s="11" t="s">
        <v>1895</v>
      </c>
      <c r="B1511" s="7">
        <f>_xlfn.XLOOKUP(Jnl[[#This Row],[TrxId]], Trx[Id], Trx[Date],,0)</f>
        <v>46081</v>
      </c>
      <c r="C1511" s="7" t="str">
        <f>_xlfn.XLOOKUP(Jnl[[#This Row],[TrxId]], Trx[Id], Trx[Division],,0)</f>
        <v>Online</v>
      </c>
      <c r="D1511" s="7" t="str">
        <f>_xlfn.XLOOKUP(Jnl[[#This Row],[TrxId]], Trx[Id], Trx[Action],,0)</f>
        <v>支付</v>
      </c>
      <c r="E1511" s="26" t="s">
        <v>80</v>
      </c>
      <c r="F1511" s="11" t="s">
        <v>127</v>
      </c>
      <c r="G1511" s="11" t="s">
        <v>343</v>
      </c>
      <c r="H1511" s="72">
        <v>-84939.79</v>
      </c>
      <c r="I1511" s="5" t="b">
        <f>AND(Jnl[[#This Row],[TrxId]]&lt;&gt;"",Jnl[[#This Row],[Acct]]&lt;&gt;"",Jnl[[#This Row],[Item]]&lt;&gt;"",ISNUMBER(Jnl[[#This Row],[Bal]]))</f>
        <v>1</v>
      </c>
      <c r="J1511" s="10">
        <f>IF(Jnl[[#This Row],[BSLv0]]="A",1,-1)*Jnl[[#This Row],[Bal]]</f>
        <v>84939.79</v>
      </c>
      <c r="K1511" t="str">
        <f>_xlfn.XLOOKUP(Jnl[[#This Row],[Acct]], config_BS[Acct], config_BS[Lv0],,0)</f>
        <v>LC</v>
      </c>
      <c r="L1511" t="str">
        <f>_xlfn.XLOOKUP(Jnl[[#This Row],[Acct]], config_BS[Acct], config_BS[Lv1],,0)</f>
        <v>Liability</v>
      </c>
      <c r="M1511" t="str">
        <f>_xlfn.XLOOKUP(Jnl[[#This Row],[Acct]], config_BS[Acct], config_BS[Lv2],,0)</f>
        <v>Rec-Pay</v>
      </c>
      <c r="N1511" t="str">
        <f>_xlfn.XLOOKUP(Jnl[[#This Row],[TrxId]], Trx[Id], Trx[IncNode], ,0)</f>
        <v>Expense</v>
      </c>
      <c r="O1511" t="str">
        <f>_xlfn.XLOOKUP(Jnl[[#This Row],[IncNode]], config_IS[Node], config_IS[Type],,0)</f>
        <v>Op</v>
      </c>
      <c r="P1511" t="str">
        <f>_xlfn.XLOOKUP(Jnl[[#This Row],[BSLv2]], dict[Key], dict[Name],,0)</f>
        <v>1.应收-应付</v>
      </c>
      <c r="Q1511" t="str">
        <f>_xlfn.XLOOKUP(Jnl[[#This Row],[Acct]], dict[Key], dict[Name],,0)</f>
        <v>应付-税款</v>
      </c>
      <c r="R1511" t="str">
        <f>_xlfn.XLOOKUP(Jnl[[#This Row],[Vehicle]],config_vehicle[Id], config_vehicle[Name],,0)</f>
        <v>远家花园</v>
      </c>
      <c r="S1511" t="str">
        <f>_xlfn.XLOOKUP(Jnl[[#This Row],[Division]],config_div[Id], config_div[Name],,0)</f>
        <v>网店</v>
      </c>
      <c r="T1511" t="str">
        <f>IF(Jnl[[#This Row],[TrxDate]]&lt;=stmt_BS_date_end, "In", "Out")</f>
        <v>In</v>
      </c>
      <c r="U1511" t="str">
        <f>IF(Jnl[[#This Row],[TrxDate]]&lt;debug_date_start, "prior", IF(Jnl[[#This Row],[TrxDate]]&gt;debug_date_end, "post", "curr"))</f>
        <v>curr</v>
      </c>
    </row>
    <row r="1512" spans="1:21">
      <c r="A1512" s="11" t="s">
        <v>1895</v>
      </c>
      <c r="B1512" s="7">
        <f>_xlfn.XLOOKUP(Jnl[[#This Row],[TrxId]], Trx[Id], Trx[Date],,0)</f>
        <v>46081</v>
      </c>
      <c r="C1512" s="7" t="str">
        <f>_xlfn.XLOOKUP(Jnl[[#This Row],[TrxId]], Trx[Id], Trx[Division],,0)</f>
        <v>Online</v>
      </c>
      <c r="D1512" s="7" t="str">
        <f>_xlfn.XLOOKUP(Jnl[[#This Row],[TrxId]], Trx[Id], Trx[Action],,0)</f>
        <v>支付</v>
      </c>
      <c r="E1512" s="26" t="s">
        <v>80</v>
      </c>
      <c r="F1512" s="11" t="s">
        <v>590</v>
      </c>
      <c r="G1512" s="11" t="s">
        <v>391</v>
      </c>
      <c r="H1512" s="72">
        <v>-84939.79</v>
      </c>
      <c r="I1512" s="5" t="b">
        <f>AND(Jnl[[#This Row],[TrxId]]&lt;&gt;"",Jnl[[#This Row],[Acct]]&lt;&gt;"",Jnl[[#This Row],[Item]]&lt;&gt;"",ISNUMBER(Jnl[[#This Row],[Bal]]))</f>
        <v>1</v>
      </c>
      <c r="J1512" s="10">
        <f>IF(Jnl[[#This Row],[BSLv0]]="A",1,-1)*Jnl[[#This Row],[Bal]]</f>
        <v>-84939.79</v>
      </c>
      <c r="K1512" t="str">
        <f>_xlfn.XLOOKUP(Jnl[[#This Row],[Acct]], config_BS[Acct], config_BS[Lv0],,0)</f>
        <v>A</v>
      </c>
      <c r="L1512" t="str">
        <f>_xlfn.XLOOKUP(Jnl[[#This Row],[Acct]], config_BS[Acct], config_BS[Lv1],,0)</f>
        <v>Assets</v>
      </c>
      <c r="M1512" t="str">
        <f>_xlfn.XLOOKUP(Jnl[[#This Row],[Acct]], config_BS[Acct], config_BS[Lv2],,0)</f>
        <v>Cash alike</v>
      </c>
      <c r="N1512" t="str">
        <f>_xlfn.XLOOKUP(Jnl[[#This Row],[TrxId]], Trx[Id], Trx[IncNode], ,0)</f>
        <v>Expense</v>
      </c>
      <c r="O1512" t="str">
        <f>_xlfn.XLOOKUP(Jnl[[#This Row],[IncNode]], config_IS[Node], config_IS[Type],,0)</f>
        <v>Op</v>
      </c>
      <c r="P1512" t="str">
        <f>_xlfn.XLOOKUP(Jnl[[#This Row],[BSLv2]], dict[Key], dict[Name],,0)</f>
        <v>0.现金及类似</v>
      </c>
      <c r="Q1512" t="str">
        <f>_xlfn.XLOOKUP(Jnl[[#This Row],[Acct]], dict[Key], dict[Name],,0)</f>
        <v>银行</v>
      </c>
      <c r="R1512" t="str">
        <f>_xlfn.XLOOKUP(Jnl[[#This Row],[Vehicle]],config_vehicle[Id], config_vehicle[Name],,0)</f>
        <v>远家花园</v>
      </c>
      <c r="S1512" t="str">
        <f>_xlfn.XLOOKUP(Jnl[[#This Row],[Division]],config_div[Id], config_div[Name],,0)</f>
        <v>网店</v>
      </c>
      <c r="T1512" t="str">
        <f>IF(Jnl[[#This Row],[TrxDate]]&lt;=stmt_BS_date_end, "In", "Out")</f>
        <v>In</v>
      </c>
      <c r="U1512" t="str">
        <f>IF(Jnl[[#This Row],[TrxDate]]&lt;debug_date_start, "prior", IF(Jnl[[#This Row],[TrxDate]]&gt;debug_date_end, "post", "curr"))</f>
        <v>curr</v>
      </c>
    </row>
    <row r="1513" spans="1:21">
      <c r="A1513" s="11" t="s">
        <v>1896</v>
      </c>
      <c r="B1513" s="7">
        <f>_xlfn.XLOOKUP(Jnl[[#This Row],[TrxId]], Trx[Id], Trx[Date],,0)</f>
        <v>46081</v>
      </c>
      <c r="C1513" s="7" t="str">
        <f>_xlfn.XLOOKUP(Jnl[[#This Row],[TrxId]], Trx[Id], Trx[Division],,0)</f>
        <v>Online</v>
      </c>
      <c r="D1513" s="7" t="str">
        <f>_xlfn.XLOOKUP(Jnl[[#This Row],[TrxId]], Trx[Id], Trx[Action],,0)</f>
        <v>采购</v>
      </c>
      <c r="E1513" s="26" t="s">
        <v>80</v>
      </c>
      <c r="F1513" s="11" t="s">
        <v>598</v>
      </c>
      <c r="G1513" s="11" t="s">
        <v>151</v>
      </c>
      <c r="H1513" s="72">
        <v>9992.4</v>
      </c>
      <c r="I1513" s="5" t="b">
        <f>AND(Jnl[[#This Row],[TrxId]]&lt;&gt;"",Jnl[[#This Row],[Acct]]&lt;&gt;"",Jnl[[#This Row],[Item]]&lt;&gt;"",ISNUMBER(Jnl[[#This Row],[Bal]]))</f>
        <v>1</v>
      </c>
      <c r="J1513" s="10">
        <f>IF(Jnl[[#This Row],[BSLv0]]="A",1,-1)*Jnl[[#This Row],[Bal]]</f>
        <v>9992.4</v>
      </c>
      <c r="K1513" t="str">
        <f>_xlfn.XLOOKUP(Jnl[[#This Row],[Acct]], config_BS[Acct], config_BS[Lv0],,0)</f>
        <v>A</v>
      </c>
      <c r="L1513" t="str">
        <f>_xlfn.XLOOKUP(Jnl[[#This Row],[Acct]], config_BS[Acct], config_BS[Lv1],,0)</f>
        <v>Assets</v>
      </c>
      <c r="M1513" t="str">
        <f>_xlfn.XLOOKUP(Jnl[[#This Row],[Acct]], config_BS[Acct], config_BS[Lv2],,0)</f>
        <v>Invtr</v>
      </c>
      <c r="N1513" t="str">
        <f>_xlfn.XLOOKUP(Jnl[[#This Row],[TrxId]], Trx[Id], Trx[IncNode], ,0)</f>
        <v>Cost</v>
      </c>
      <c r="O1513" t="str">
        <f>_xlfn.XLOOKUP(Jnl[[#This Row],[IncNode]], config_IS[Node], config_IS[Type],,0)</f>
        <v>Op</v>
      </c>
      <c r="P1513" t="str">
        <f>_xlfn.XLOOKUP(Jnl[[#This Row],[BSLv2]], dict[Key], dict[Name],,0)</f>
        <v>3.库存占款</v>
      </c>
      <c r="Q1513" t="str">
        <f>_xlfn.XLOOKUP(Jnl[[#This Row],[Acct]], dict[Key], dict[Name],,0)</f>
        <v>当期存货</v>
      </c>
      <c r="R1513" t="str">
        <f>_xlfn.XLOOKUP(Jnl[[#This Row],[Vehicle]],config_vehicle[Id], config_vehicle[Name],,0)</f>
        <v>远家花园</v>
      </c>
      <c r="S1513" t="str">
        <f>_xlfn.XLOOKUP(Jnl[[#This Row],[Division]],config_div[Id], config_div[Name],,0)</f>
        <v>网店</v>
      </c>
      <c r="T1513" t="str">
        <f>IF(Jnl[[#This Row],[TrxDate]]&lt;=stmt_BS_date_end, "In", "Out")</f>
        <v>In</v>
      </c>
      <c r="U1513" t="str">
        <f>IF(Jnl[[#This Row],[TrxDate]]&lt;debug_date_start, "prior", IF(Jnl[[#This Row],[TrxDate]]&gt;debug_date_end, "post", "curr"))</f>
        <v>curr</v>
      </c>
    </row>
    <row r="1514" spans="1:21">
      <c r="A1514" s="11" t="s">
        <v>1896</v>
      </c>
      <c r="B1514" s="7">
        <f>_xlfn.XLOOKUP(Jnl[[#This Row],[TrxId]], Trx[Id], Trx[Date],,0)</f>
        <v>46081</v>
      </c>
      <c r="C1514" s="7" t="str">
        <f>_xlfn.XLOOKUP(Jnl[[#This Row],[TrxId]], Trx[Id], Trx[Division],,0)</f>
        <v>Online</v>
      </c>
      <c r="D1514" s="7" t="str">
        <f>_xlfn.XLOOKUP(Jnl[[#This Row],[TrxId]], Trx[Id], Trx[Action],,0)</f>
        <v>采购</v>
      </c>
      <c r="E1514" s="26" t="s">
        <v>80</v>
      </c>
      <c r="F1514" s="11" t="s">
        <v>590</v>
      </c>
      <c r="G1514" s="11" t="s">
        <v>391</v>
      </c>
      <c r="H1514" s="72">
        <v>-9992.4</v>
      </c>
      <c r="I1514" s="5" t="b">
        <f>AND(Jnl[[#This Row],[TrxId]]&lt;&gt;"",Jnl[[#This Row],[Acct]]&lt;&gt;"",Jnl[[#This Row],[Item]]&lt;&gt;"",ISNUMBER(Jnl[[#This Row],[Bal]]))</f>
        <v>1</v>
      </c>
      <c r="J1514" s="10">
        <f>IF(Jnl[[#This Row],[BSLv0]]="A",1,-1)*Jnl[[#This Row],[Bal]]</f>
        <v>-9992.4</v>
      </c>
      <c r="K1514" t="str">
        <f>_xlfn.XLOOKUP(Jnl[[#This Row],[Acct]], config_BS[Acct], config_BS[Lv0],,0)</f>
        <v>A</v>
      </c>
      <c r="L1514" t="str">
        <f>_xlfn.XLOOKUP(Jnl[[#This Row],[Acct]], config_BS[Acct], config_BS[Lv1],,0)</f>
        <v>Assets</v>
      </c>
      <c r="M1514" t="str">
        <f>_xlfn.XLOOKUP(Jnl[[#This Row],[Acct]], config_BS[Acct], config_BS[Lv2],,0)</f>
        <v>Cash alike</v>
      </c>
      <c r="N1514" t="str">
        <f>_xlfn.XLOOKUP(Jnl[[#This Row],[TrxId]], Trx[Id], Trx[IncNode], ,0)</f>
        <v>Cost</v>
      </c>
      <c r="O1514" t="str">
        <f>_xlfn.XLOOKUP(Jnl[[#This Row],[IncNode]], config_IS[Node], config_IS[Type],,0)</f>
        <v>Op</v>
      </c>
      <c r="P1514" t="str">
        <f>_xlfn.XLOOKUP(Jnl[[#This Row],[BSLv2]], dict[Key], dict[Name],,0)</f>
        <v>0.现金及类似</v>
      </c>
      <c r="Q1514" t="str">
        <f>_xlfn.XLOOKUP(Jnl[[#This Row],[Acct]], dict[Key], dict[Name],,0)</f>
        <v>银行</v>
      </c>
      <c r="R1514" t="str">
        <f>_xlfn.XLOOKUP(Jnl[[#This Row],[Vehicle]],config_vehicle[Id], config_vehicle[Name],,0)</f>
        <v>远家花园</v>
      </c>
      <c r="S1514" t="str">
        <f>_xlfn.XLOOKUP(Jnl[[#This Row],[Division]],config_div[Id], config_div[Name],,0)</f>
        <v>网店</v>
      </c>
      <c r="T1514" t="str">
        <f>IF(Jnl[[#This Row],[TrxDate]]&lt;=stmt_BS_date_end, "In", "Out")</f>
        <v>In</v>
      </c>
      <c r="U1514" t="str">
        <f>IF(Jnl[[#This Row],[TrxDate]]&lt;debug_date_start, "prior", IF(Jnl[[#This Row],[TrxDate]]&gt;debug_date_end, "post", "curr"))</f>
        <v>curr</v>
      </c>
    </row>
    <row r="1515" spans="1:21">
      <c r="A1515" s="11" t="s">
        <v>1897</v>
      </c>
      <c r="B1515" s="7">
        <f>_xlfn.XLOOKUP(Jnl[[#This Row],[TrxId]], Trx[Id], Trx[Date],,0)</f>
        <v>46081</v>
      </c>
      <c r="C1515" s="7" t="str">
        <f>_xlfn.XLOOKUP(Jnl[[#This Row],[TrxId]], Trx[Id], Trx[Division],,0)</f>
        <v>Online</v>
      </c>
      <c r="D1515" s="7" t="str">
        <f>_xlfn.XLOOKUP(Jnl[[#This Row],[TrxId]], Trx[Id], Trx[Action],,0)</f>
        <v>采购</v>
      </c>
      <c r="E1515" s="26" t="s">
        <v>80</v>
      </c>
      <c r="F1515" s="11" t="s">
        <v>598</v>
      </c>
      <c r="G1515" s="11" t="s">
        <v>151</v>
      </c>
      <c r="H1515" s="72">
        <v>2394</v>
      </c>
      <c r="I1515" s="5" t="b">
        <f>AND(Jnl[[#This Row],[TrxId]]&lt;&gt;"",Jnl[[#This Row],[Acct]]&lt;&gt;"",Jnl[[#This Row],[Item]]&lt;&gt;"",ISNUMBER(Jnl[[#This Row],[Bal]]))</f>
        <v>1</v>
      </c>
      <c r="J1515" s="10">
        <f>IF(Jnl[[#This Row],[BSLv0]]="A",1,-1)*Jnl[[#This Row],[Bal]]</f>
        <v>2394</v>
      </c>
      <c r="K1515" t="str">
        <f>_xlfn.XLOOKUP(Jnl[[#This Row],[Acct]], config_BS[Acct], config_BS[Lv0],,0)</f>
        <v>A</v>
      </c>
      <c r="L1515" t="str">
        <f>_xlfn.XLOOKUP(Jnl[[#This Row],[Acct]], config_BS[Acct], config_BS[Lv1],,0)</f>
        <v>Assets</v>
      </c>
      <c r="M1515" t="str">
        <f>_xlfn.XLOOKUP(Jnl[[#This Row],[Acct]], config_BS[Acct], config_BS[Lv2],,0)</f>
        <v>Invtr</v>
      </c>
      <c r="N1515" t="str">
        <f>_xlfn.XLOOKUP(Jnl[[#This Row],[TrxId]], Trx[Id], Trx[IncNode], ,0)</f>
        <v>Cost</v>
      </c>
      <c r="O1515" t="str">
        <f>_xlfn.XLOOKUP(Jnl[[#This Row],[IncNode]], config_IS[Node], config_IS[Type],,0)</f>
        <v>Op</v>
      </c>
      <c r="P1515" t="str">
        <f>_xlfn.XLOOKUP(Jnl[[#This Row],[BSLv2]], dict[Key], dict[Name],,0)</f>
        <v>3.库存占款</v>
      </c>
      <c r="Q1515" t="str">
        <f>_xlfn.XLOOKUP(Jnl[[#This Row],[Acct]], dict[Key], dict[Name],,0)</f>
        <v>当期存货</v>
      </c>
      <c r="R1515" t="str">
        <f>_xlfn.XLOOKUP(Jnl[[#This Row],[Vehicle]],config_vehicle[Id], config_vehicle[Name],,0)</f>
        <v>远家花园</v>
      </c>
      <c r="S1515" t="str">
        <f>_xlfn.XLOOKUP(Jnl[[#This Row],[Division]],config_div[Id], config_div[Name],,0)</f>
        <v>网店</v>
      </c>
      <c r="T1515" t="str">
        <f>IF(Jnl[[#This Row],[TrxDate]]&lt;=stmt_BS_date_end, "In", "Out")</f>
        <v>In</v>
      </c>
      <c r="U1515" t="str">
        <f>IF(Jnl[[#This Row],[TrxDate]]&lt;debug_date_start, "prior", IF(Jnl[[#This Row],[TrxDate]]&gt;debug_date_end, "post", "curr"))</f>
        <v>curr</v>
      </c>
    </row>
    <row r="1516" spans="1:21">
      <c r="A1516" s="11" t="s">
        <v>1897</v>
      </c>
      <c r="B1516" s="7">
        <f>_xlfn.XLOOKUP(Jnl[[#This Row],[TrxId]], Trx[Id], Trx[Date],,0)</f>
        <v>46081</v>
      </c>
      <c r="C1516" s="7" t="str">
        <f>_xlfn.XLOOKUP(Jnl[[#This Row],[TrxId]], Trx[Id], Trx[Division],,0)</f>
        <v>Online</v>
      </c>
      <c r="D1516" s="7" t="str">
        <f>_xlfn.XLOOKUP(Jnl[[#This Row],[TrxId]], Trx[Id], Trx[Action],,0)</f>
        <v>采购</v>
      </c>
      <c r="E1516" s="26" t="s">
        <v>80</v>
      </c>
      <c r="F1516" s="11" t="s">
        <v>590</v>
      </c>
      <c r="G1516" s="11" t="s">
        <v>391</v>
      </c>
      <c r="H1516" s="72">
        <v>-2394</v>
      </c>
      <c r="I1516" s="5" t="b">
        <f>AND(Jnl[[#This Row],[TrxId]]&lt;&gt;"",Jnl[[#This Row],[Acct]]&lt;&gt;"",Jnl[[#This Row],[Item]]&lt;&gt;"",ISNUMBER(Jnl[[#This Row],[Bal]]))</f>
        <v>1</v>
      </c>
      <c r="J1516" s="10">
        <f>IF(Jnl[[#This Row],[BSLv0]]="A",1,-1)*Jnl[[#This Row],[Bal]]</f>
        <v>-2394</v>
      </c>
      <c r="K1516" t="str">
        <f>_xlfn.XLOOKUP(Jnl[[#This Row],[Acct]], config_BS[Acct], config_BS[Lv0],,0)</f>
        <v>A</v>
      </c>
      <c r="L1516" t="str">
        <f>_xlfn.XLOOKUP(Jnl[[#This Row],[Acct]], config_BS[Acct], config_BS[Lv1],,0)</f>
        <v>Assets</v>
      </c>
      <c r="M1516" t="str">
        <f>_xlfn.XLOOKUP(Jnl[[#This Row],[Acct]], config_BS[Acct], config_BS[Lv2],,0)</f>
        <v>Cash alike</v>
      </c>
      <c r="N1516" t="str">
        <f>_xlfn.XLOOKUP(Jnl[[#This Row],[TrxId]], Trx[Id], Trx[IncNode], ,0)</f>
        <v>Cost</v>
      </c>
      <c r="O1516" t="str">
        <f>_xlfn.XLOOKUP(Jnl[[#This Row],[IncNode]], config_IS[Node], config_IS[Type],,0)</f>
        <v>Op</v>
      </c>
      <c r="P1516" t="str">
        <f>_xlfn.XLOOKUP(Jnl[[#This Row],[BSLv2]], dict[Key], dict[Name],,0)</f>
        <v>0.现金及类似</v>
      </c>
      <c r="Q1516" t="str">
        <f>_xlfn.XLOOKUP(Jnl[[#This Row],[Acct]], dict[Key], dict[Name],,0)</f>
        <v>银行</v>
      </c>
      <c r="R1516" t="str">
        <f>_xlfn.XLOOKUP(Jnl[[#This Row],[Vehicle]],config_vehicle[Id], config_vehicle[Name],,0)</f>
        <v>远家花园</v>
      </c>
      <c r="S1516" t="str">
        <f>_xlfn.XLOOKUP(Jnl[[#This Row],[Division]],config_div[Id], config_div[Name],,0)</f>
        <v>网店</v>
      </c>
      <c r="T1516" t="str">
        <f>IF(Jnl[[#This Row],[TrxDate]]&lt;=stmt_BS_date_end, "In", "Out")</f>
        <v>In</v>
      </c>
      <c r="U1516" t="str">
        <f>IF(Jnl[[#This Row],[TrxDate]]&lt;debug_date_start, "prior", IF(Jnl[[#This Row],[TrxDate]]&gt;debug_date_end, "post", "curr"))</f>
        <v>curr</v>
      </c>
    </row>
    <row r="1517" spans="1:21">
      <c r="A1517" s="11" t="s">
        <v>1898</v>
      </c>
      <c r="B1517" s="7">
        <f>_xlfn.XLOOKUP(Jnl[[#This Row],[TrxId]], Trx[Id], Trx[Date],,0)</f>
        <v>46081</v>
      </c>
      <c r="C1517" s="7" t="str">
        <f>_xlfn.XLOOKUP(Jnl[[#This Row],[TrxId]], Trx[Id], Trx[Division],,0)</f>
        <v>GM</v>
      </c>
      <c r="D1517" s="7" t="str">
        <f>_xlfn.XLOOKUP(Jnl[[#This Row],[TrxId]], Trx[Id], Trx[Action],,0)</f>
        <v>年会</v>
      </c>
      <c r="E1517" s="26" t="s">
        <v>80</v>
      </c>
      <c r="F1517" s="11" t="s">
        <v>590</v>
      </c>
      <c r="G1517" s="11" t="s">
        <v>391</v>
      </c>
      <c r="H1517" s="72">
        <v>-6000</v>
      </c>
      <c r="I1517" s="5" t="b">
        <f>AND(Jnl[[#This Row],[TrxId]]&lt;&gt;"",Jnl[[#This Row],[Acct]]&lt;&gt;"",Jnl[[#This Row],[Item]]&lt;&gt;"",ISNUMBER(Jnl[[#This Row],[Bal]]))</f>
        <v>1</v>
      </c>
      <c r="J1517" s="10">
        <f>IF(Jnl[[#This Row],[BSLv0]]="A",1,-1)*Jnl[[#This Row],[Bal]]</f>
        <v>-6000</v>
      </c>
      <c r="K1517" t="str">
        <f>_xlfn.XLOOKUP(Jnl[[#This Row],[Acct]], config_BS[Acct], config_BS[Lv0],,0)</f>
        <v>A</v>
      </c>
      <c r="L1517" t="str">
        <f>_xlfn.XLOOKUP(Jnl[[#This Row],[Acct]], config_BS[Acct], config_BS[Lv1],,0)</f>
        <v>Assets</v>
      </c>
      <c r="M1517" t="str">
        <f>_xlfn.XLOOKUP(Jnl[[#This Row],[Acct]], config_BS[Acct], config_BS[Lv2],,0)</f>
        <v>Cash alike</v>
      </c>
      <c r="N1517" t="str">
        <f>_xlfn.XLOOKUP(Jnl[[#This Row],[TrxId]], Trx[Id], Trx[IncNode], ,0)</f>
        <v>Discretion</v>
      </c>
      <c r="O1517" t="str">
        <f>_xlfn.XLOOKUP(Jnl[[#This Row],[IncNode]], config_IS[Node], config_IS[Type],,0)</f>
        <v>Non-Op</v>
      </c>
      <c r="P1517" t="str">
        <f>_xlfn.XLOOKUP(Jnl[[#This Row],[BSLv2]], dict[Key], dict[Name],,0)</f>
        <v>0.现金及类似</v>
      </c>
      <c r="Q1517" t="str">
        <f>_xlfn.XLOOKUP(Jnl[[#This Row],[Acct]], dict[Key], dict[Name],,0)</f>
        <v>银行</v>
      </c>
      <c r="R1517" t="str">
        <f>_xlfn.XLOOKUP(Jnl[[#This Row],[Vehicle]],config_vehicle[Id], config_vehicle[Name],,0)</f>
        <v>远家花园</v>
      </c>
      <c r="S1517" t="str">
        <f>_xlfn.XLOOKUP(Jnl[[#This Row],[Division]],config_div[Id], config_div[Name],,0)</f>
        <v>综合管理</v>
      </c>
      <c r="T1517" t="str">
        <f>IF(Jnl[[#This Row],[TrxDate]]&lt;=stmt_BS_date_end, "In", "Out")</f>
        <v>In</v>
      </c>
      <c r="U1517" t="str">
        <f>IF(Jnl[[#This Row],[TrxDate]]&lt;debug_date_start, "prior", IF(Jnl[[#This Row],[TrxDate]]&gt;debug_date_end, "post", "curr"))</f>
        <v>curr</v>
      </c>
    </row>
    <row r="1518" spans="1:21">
      <c r="A1518" s="11" t="s">
        <v>1900</v>
      </c>
      <c r="B1518" s="7">
        <f>_xlfn.XLOOKUP(Jnl[[#This Row],[TrxId]], Trx[Id], Trx[Date],,0)</f>
        <v>46081</v>
      </c>
      <c r="C1518" s="7" t="str">
        <f>_xlfn.XLOOKUP(Jnl[[#This Row],[TrxId]], Trx[Id], Trx[Division],,0)</f>
        <v>Online</v>
      </c>
      <c r="D1518" s="7" t="str">
        <f>_xlfn.XLOOKUP(Jnl[[#This Row],[TrxId]], Trx[Id], Trx[Action],,0)</f>
        <v>收款</v>
      </c>
      <c r="E1518" s="26" t="s">
        <v>80</v>
      </c>
      <c r="F1518" s="11" t="s">
        <v>590</v>
      </c>
      <c r="G1518" s="11" t="s">
        <v>391</v>
      </c>
      <c r="H1518" s="72">
        <v>3400806.86</v>
      </c>
      <c r="I1518" s="5" t="b">
        <f>AND(Jnl[[#This Row],[TrxId]]&lt;&gt;"",Jnl[[#This Row],[Acct]]&lt;&gt;"",Jnl[[#This Row],[Item]]&lt;&gt;"",ISNUMBER(Jnl[[#This Row],[Bal]]))</f>
        <v>1</v>
      </c>
      <c r="J1518" s="10">
        <f>IF(Jnl[[#This Row],[BSLv0]]="A",1,-1)*Jnl[[#This Row],[Bal]]</f>
        <v>3400806.86</v>
      </c>
      <c r="K1518" t="str">
        <f>_xlfn.XLOOKUP(Jnl[[#This Row],[Acct]], config_BS[Acct], config_BS[Lv0],,0)</f>
        <v>A</v>
      </c>
      <c r="L1518" t="str">
        <f>_xlfn.XLOOKUP(Jnl[[#This Row],[Acct]], config_BS[Acct], config_BS[Lv1],,0)</f>
        <v>Assets</v>
      </c>
      <c r="M1518" t="str">
        <f>_xlfn.XLOOKUP(Jnl[[#This Row],[Acct]], config_BS[Acct], config_BS[Lv2],,0)</f>
        <v>Cash alike</v>
      </c>
      <c r="N1518" t="str">
        <f>_xlfn.XLOOKUP(Jnl[[#This Row],[TrxId]], Trx[Id], Trx[IncNode], ,0)</f>
        <v>Revenue</v>
      </c>
      <c r="O1518" t="str">
        <f>_xlfn.XLOOKUP(Jnl[[#This Row],[IncNode]], config_IS[Node], config_IS[Type],,0)</f>
        <v>Op</v>
      </c>
      <c r="P1518" t="str">
        <f>_xlfn.XLOOKUP(Jnl[[#This Row],[BSLv2]], dict[Key], dict[Name],,0)</f>
        <v>0.现金及类似</v>
      </c>
      <c r="Q1518" t="str">
        <f>_xlfn.XLOOKUP(Jnl[[#This Row],[Acct]], dict[Key], dict[Name],,0)</f>
        <v>银行</v>
      </c>
      <c r="R1518" t="str">
        <f>_xlfn.XLOOKUP(Jnl[[#This Row],[Vehicle]],config_vehicle[Id], config_vehicle[Name],,0)</f>
        <v>远家花园</v>
      </c>
      <c r="S1518" t="str">
        <f>_xlfn.XLOOKUP(Jnl[[#This Row],[Division]],config_div[Id], config_div[Name],,0)</f>
        <v>网店</v>
      </c>
      <c r="T1518" t="str">
        <f>IF(Jnl[[#This Row],[TrxDate]]&lt;=stmt_BS_date_end, "In", "Out")</f>
        <v>In</v>
      </c>
      <c r="U1518" t="str">
        <f>IF(Jnl[[#This Row],[TrxDate]]&lt;debug_date_start, "prior", IF(Jnl[[#This Row],[TrxDate]]&gt;debug_date_end, "post", "curr"))</f>
        <v>curr</v>
      </c>
    </row>
    <row r="1519" spans="1:21">
      <c r="A1519" s="11" t="s">
        <v>1900</v>
      </c>
      <c r="B1519" s="7">
        <f>_xlfn.XLOOKUP(Jnl[[#This Row],[TrxId]], Trx[Id], Trx[Date],,0)</f>
        <v>46081</v>
      </c>
      <c r="C1519" s="7" t="str">
        <f>_xlfn.XLOOKUP(Jnl[[#This Row],[TrxId]], Trx[Id], Trx[Division],,0)</f>
        <v>Online</v>
      </c>
      <c r="D1519" s="7" t="str">
        <f>_xlfn.XLOOKUP(Jnl[[#This Row],[TrxId]], Trx[Id], Trx[Action],,0)</f>
        <v>收款</v>
      </c>
      <c r="E1519" s="26" t="s">
        <v>80</v>
      </c>
      <c r="F1519" s="11" t="s">
        <v>593</v>
      </c>
      <c r="G1519" s="11" t="s">
        <v>594</v>
      </c>
      <c r="H1519" s="72">
        <v>-3400806.86</v>
      </c>
      <c r="I1519" s="5" t="b">
        <f>AND(Jnl[[#This Row],[TrxId]]&lt;&gt;"",Jnl[[#This Row],[Acct]]&lt;&gt;"",Jnl[[#This Row],[Item]]&lt;&gt;"",ISNUMBER(Jnl[[#This Row],[Bal]]))</f>
        <v>1</v>
      </c>
      <c r="J1519" s="10">
        <f>IF(Jnl[[#This Row],[BSLv0]]="A",1,-1)*Jnl[[#This Row],[Bal]]</f>
        <v>-3400806.86</v>
      </c>
      <c r="K1519" t="str">
        <f>_xlfn.XLOOKUP(Jnl[[#This Row],[Acct]], config_BS[Acct], config_BS[Lv0],,0)</f>
        <v>A</v>
      </c>
      <c r="L1519" t="str">
        <f>_xlfn.XLOOKUP(Jnl[[#This Row],[Acct]], config_BS[Acct], config_BS[Lv1],,0)</f>
        <v>Assets</v>
      </c>
      <c r="M1519" t="str">
        <f>_xlfn.XLOOKUP(Jnl[[#This Row],[Acct]], config_BS[Acct], config_BS[Lv2],,0)</f>
        <v>Rec-Pay</v>
      </c>
      <c r="N1519" t="str">
        <f>_xlfn.XLOOKUP(Jnl[[#This Row],[TrxId]], Trx[Id], Trx[IncNode], ,0)</f>
        <v>Revenue</v>
      </c>
      <c r="O1519" t="str">
        <f>_xlfn.XLOOKUP(Jnl[[#This Row],[IncNode]], config_IS[Node], config_IS[Type],,0)</f>
        <v>Op</v>
      </c>
      <c r="P1519" t="str">
        <f>_xlfn.XLOOKUP(Jnl[[#This Row],[BSLv2]], dict[Key], dict[Name],,0)</f>
        <v>1.应收-应付</v>
      </c>
      <c r="Q1519" t="str">
        <f>_xlfn.XLOOKUP(Jnl[[#This Row],[Acct]], dict[Key], dict[Name],,0)</f>
        <v>应收-一般</v>
      </c>
      <c r="R1519" t="str">
        <f>_xlfn.XLOOKUP(Jnl[[#This Row],[Vehicle]],config_vehicle[Id], config_vehicle[Name],,0)</f>
        <v>远家花园</v>
      </c>
      <c r="S1519" t="str">
        <f>_xlfn.XLOOKUP(Jnl[[#This Row],[Division]],config_div[Id], config_div[Name],,0)</f>
        <v>网店</v>
      </c>
      <c r="T1519" t="str">
        <f>IF(Jnl[[#This Row],[TrxDate]]&lt;=stmt_BS_date_end, "In", "Out")</f>
        <v>In</v>
      </c>
      <c r="U1519" t="str">
        <f>IF(Jnl[[#This Row],[TrxDate]]&lt;debug_date_start, "prior", IF(Jnl[[#This Row],[TrxDate]]&gt;debug_date_end, "post", "curr"))</f>
        <v>curr</v>
      </c>
    </row>
    <row r="1520" spans="1:21">
      <c r="A1520" s="11" t="s">
        <v>1901</v>
      </c>
      <c r="B1520" s="7">
        <f>_xlfn.XLOOKUP(Jnl[[#This Row],[TrxId]], Trx[Id], Trx[Date],,0)</f>
        <v>46081</v>
      </c>
      <c r="C1520" s="7" t="str">
        <f>_xlfn.XLOOKUP(Jnl[[#This Row],[TrxId]], Trx[Id], Trx[Division],,0)</f>
        <v>GM</v>
      </c>
      <c r="D1520" s="7" t="str">
        <f>_xlfn.XLOOKUP(Jnl[[#This Row],[TrxId]], Trx[Id], Trx[Action],,0)</f>
        <v>补贴</v>
      </c>
      <c r="E1520" s="26" t="s">
        <v>80</v>
      </c>
      <c r="F1520" s="11" t="s">
        <v>590</v>
      </c>
      <c r="G1520" s="11" t="s">
        <v>391</v>
      </c>
      <c r="H1520" s="72">
        <v>19885.12</v>
      </c>
      <c r="I1520" s="5" t="b">
        <f>AND(Jnl[[#This Row],[TrxId]]&lt;&gt;"",Jnl[[#This Row],[Acct]]&lt;&gt;"",Jnl[[#This Row],[Item]]&lt;&gt;"",ISNUMBER(Jnl[[#This Row],[Bal]]))</f>
        <v>1</v>
      </c>
      <c r="J1520" s="10">
        <f>IF(Jnl[[#This Row],[BSLv0]]="A",1,-1)*Jnl[[#This Row],[Bal]]</f>
        <v>19885.12</v>
      </c>
      <c r="K1520" t="str">
        <f>_xlfn.XLOOKUP(Jnl[[#This Row],[Acct]], config_BS[Acct], config_BS[Lv0],,0)</f>
        <v>A</v>
      </c>
      <c r="L1520" t="str">
        <f>_xlfn.XLOOKUP(Jnl[[#This Row],[Acct]], config_BS[Acct], config_BS[Lv1],,0)</f>
        <v>Assets</v>
      </c>
      <c r="M1520" t="str">
        <f>_xlfn.XLOOKUP(Jnl[[#This Row],[Acct]], config_BS[Acct], config_BS[Lv2],,0)</f>
        <v>Cash alike</v>
      </c>
      <c r="N1520" t="str">
        <f>_xlfn.XLOOKUP(Jnl[[#This Row],[TrxId]], Trx[Id], Trx[IncNode], ,0)</f>
        <v>Other</v>
      </c>
      <c r="O1520" t="str">
        <f>_xlfn.XLOOKUP(Jnl[[#This Row],[IncNode]], config_IS[Node], config_IS[Type],,0)</f>
        <v>Non-Op</v>
      </c>
      <c r="P1520" t="str">
        <f>_xlfn.XLOOKUP(Jnl[[#This Row],[BSLv2]], dict[Key], dict[Name],,0)</f>
        <v>0.现金及类似</v>
      </c>
      <c r="Q1520" t="str">
        <f>_xlfn.XLOOKUP(Jnl[[#This Row],[Acct]], dict[Key], dict[Name],,0)</f>
        <v>银行</v>
      </c>
      <c r="R1520" t="str">
        <f>_xlfn.XLOOKUP(Jnl[[#This Row],[Vehicle]],config_vehicle[Id], config_vehicle[Name],,0)</f>
        <v>远家花园</v>
      </c>
      <c r="S1520" t="str">
        <f>_xlfn.XLOOKUP(Jnl[[#This Row],[Division]],config_div[Id], config_div[Name],,0)</f>
        <v>综合管理</v>
      </c>
      <c r="T1520" t="str">
        <f>IF(Jnl[[#This Row],[TrxDate]]&lt;=stmt_BS_date_end, "In", "Out")</f>
        <v>In</v>
      </c>
      <c r="U1520" t="str">
        <f>IF(Jnl[[#This Row],[TrxDate]]&lt;debug_date_start, "prior", IF(Jnl[[#This Row],[TrxDate]]&gt;debug_date_end, "post", "curr"))</f>
        <v>curr</v>
      </c>
    </row>
    <row r="1521" spans="1:21">
      <c r="A1521" s="11" t="s">
        <v>1903</v>
      </c>
      <c r="B1521" s="7">
        <f>_xlfn.XLOOKUP(Jnl[[#This Row],[TrxId]], Trx[Id], Trx[Date],,0)</f>
        <v>46081</v>
      </c>
      <c r="C1521" s="7" t="str">
        <f>_xlfn.XLOOKUP(Jnl[[#This Row],[TrxId]], Trx[Id], Trx[Division],,0)</f>
        <v>GM</v>
      </c>
      <c r="D1521" s="7" t="str">
        <f>_xlfn.XLOOKUP(Jnl[[#This Row],[TrxId]], Trx[Id], Trx[Action],,0)</f>
        <v>银行费</v>
      </c>
      <c r="E1521" s="26" t="s">
        <v>80</v>
      </c>
      <c r="F1521" s="11" t="s">
        <v>590</v>
      </c>
      <c r="G1521" s="11" t="s">
        <v>391</v>
      </c>
      <c r="H1521" s="72">
        <v>-498.8</v>
      </c>
      <c r="I1521" s="5" t="b">
        <f>AND(Jnl[[#This Row],[TrxId]]&lt;&gt;"",Jnl[[#This Row],[Acct]]&lt;&gt;"",Jnl[[#This Row],[Item]]&lt;&gt;"",ISNUMBER(Jnl[[#This Row],[Bal]]))</f>
        <v>1</v>
      </c>
      <c r="J1521" s="10">
        <f>IF(Jnl[[#This Row],[BSLv0]]="A",1,-1)*Jnl[[#This Row],[Bal]]</f>
        <v>-498.8</v>
      </c>
      <c r="K1521" t="str">
        <f>_xlfn.XLOOKUP(Jnl[[#This Row],[Acct]], config_BS[Acct], config_BS[Lv0],,0)</f>
        <v>A</v>
      </c>
      <c r="L1521" t="str">
        <f>_xlfn.XLOOKUP(Jnl[[#This Row],[Acct]], config_BS[Acct], config_BS[Lv1],,0)</f>
        <v>Assets</v>
      </c>
      <c r="M1521" t="str">
        <f>_xlfn.XLOOKUP(Jnl[[#This Row],[Acct]], config_BS[Acct], config_BS[Lv2],,0)</f>
        <v>Cash alike</v>
      </c>
      <c r="N1521" t="str">
        <f>_xlfn.XLOOKUP(Jnl[[#This Row],[TrxId]], Trx[Id], Trx[IncNode], ,0)</f>
        <v>Expense</v>
      </c>
      <c r="O1521" t="str">
        <f>_xlfn.XLOOKUP(Jnl[[#This Row],[IncNode]], config_IS[Node], config_IS[Type],,0)</f>
        <v>Op</v>
      </c>
      <c r="P1521" t="str">
        <f>_xlfn.XLOOKUP(Jnl[[#This Row],[BSLv2]], dict[Key], dict[Name],,0)</f>
        <v>0.现金及类似</v>
      </c>
      <c r="Q1521" t="str">
        <f>_xlfn.XLOOKUP(Jnl[[#This Row],[Acct]], dict[Key], dict[Name],,0)</f>
        <v>银行</v>
      </c>
      <c r="R1521" t="str">
        <f>_xlfn.XLOOKUP(Jnl[[#This Row],[Vehicle]],config_vehicle[Id], config_vehicle[Name],,0)</f>
        <v>远家花园</v>
      </c>
      <c r="S1521" t="str">
        <f>_xlfn.XLOOKUP(Jnl[[#This Row],[Division]],config_div[Id], config_div[Name],,0)</f>
        <v>综合管理</v>
      </c>
      <c r="T1521" t="str">
        <f>IF(Jnl[[#This Row],[TrxDate]]&lt;=stmt_BS_date_end, "In", "Out")</f>
        <v>In</v>
      </c>
      <c r="U1521" t="str">
        <f>IF(Jnl[[#This Row],[TrxDate]]&lt;debug_date_start, "prior", IF(Jnl[[#This Row],[TrxDate]]&gt;debug_date_end, "post", "curr"))</f>
        <v>curr</v>
      </c>
    </row>
    <row r="1522" spans="1:21">
      <c r="A1522" s="11" t="s">
        <v>1904</v>
      </c>
      <c r="B1522" s="7">
        <f>_xlfn.XLOOKUP(Jnl[[#This Row],[TrxId]], Trx[Id], Trx[Date],,0)</f>
        <v>46081</v>
      </c>
      <c r="C1522" s="7" t="str">
        <f>_xlfn.XLOOKUP(Jnl[[#This Row],[TrxId]], Trx[Id], Trx[Division],,0)</f>
        <v>Online</v>
      </c>
      <c r="D1522" s="7" t="str">
        <f>_xlfn.XLOOKUP(Jnl[[#This Row],[TrxId]], Trx[Id], Trx[Action],,0)</f>
        <v>交通</v>
      </c>
      <c r="E1522" s="26" t="s">
        <v>80</v>
      </c>
      <c r="F1522" s="11" t="s">
        <v>590</v>
      </c>
      <c r="G1522" s="11" t="s">
        <v>391</v>
      </c>
      <c r="H1522" s="72">
        <v>-32.880000000000003</v>
      </c>
      <c r="I1522" s="5" t="b">
        <f>AND(Jnl[[#This Row],[TrxId]]&lt;&gt;"",Jnl[[#This Row],[Acct]]&lt;&gt;"",Jnl[[#This Row],[Item]]&lt;&gt;"",ISNUMBER(Jnl[[#This Row],[Bal]]))</f>
        <v>1</v>
      </c>
      <c r="J1522" s="10">
        <f>IF(Jnl[[#This Row],[BSLv0]]="A",1,-1)*Jnl[[#This Row],[Bal]]</f>
        <v>-32.880000000000003</v>
      </c>
      <c r="K1522" t="str">
        <f>_xlfn.XLOOKUP(Jnl[[#This Row],[Acct]], config_BS[Acct], config_BS[Lv0],,0)</f>
        <v>A</v>
      </c>
      <c r="L1522" t="str">
        <f>_xlfn.XLOOKUP(Jnl[[#This Row],[Acct]], config_BS[Acct], config_BS[Lv1],,0)</f>
        <v>Assets</v>
      </c>
      <c r="M1522" t="str">
        <f>_xlfn.XLOOKUP(Jnl[[#This Row],[Acct]], config_BS[Acct], config_BS[Lv2],,0)</f>
        <v>Cash alike</v>
      </c>
      <c r="N1522" t="str">
        <f>_xlfn.XLOOKUP(Jnl[[#This Row],[TrxId]], Trx[Id], Trx[IncNode], ,0)</f>
        <v>Expense</v>
      </c>
      <c r="O1522" t="str">
        <f>_xlfn.XLOOKUP(Jnl[[#This Row],[IncNode]], config_IS[Node], config_IS[Type],,0)</f>
        <v>Op</v>
      </c>
      <c r="P1522" t="str">
        <f>_xlfn.XLOOKUP(Jnl[[#This Row],[BSLv2]], dict[Key], dict[Name],,0)</f>
        <v>0.现金及类似</v>
      </c>
      <c r="Q1522" t="str">
        <f>_xlfn.XLOOKUP(Jnl[[#This Row],[Acct]], dict[Key], dict[Name],,0)</f>
        <v>银行</v>
      </c>
      <c r="R1522" t="str">
        <f>_xlfn.XLOOKUP(Jnl[[#This Row],[Vehicle]],config_vehicle[Id], config_vehicle[Name],,0)</f>
        <v>远家花园</v>
      </c>
      <c r="S1522" t="str">
        <f>_xlfn.XLOOKUP(Jnl[[#This Row],[Division]],config_div[Id], config_div[Name],,0)</f>
        <v>网店</v>
      </c>
      <c r="T1522" t="str">
        <f>IF(Jnl[[#This Row],[TrxDate]]&lt;=stmt_BS_date_end, "In", "Out")</f>
        <v>In</v>
      </c>
      <c r="U1522" t="str">
        <f>IF(Jnl[[#This Row],[TrxDate]]&lt;debug_date_start, "prior", IF(Jnl[[#This Row],[TrxDate]]&gt;debug_date_end, "post", "curr"))</f>
        <v>curr</v>
      </c>
    </row>
    <row r="1523" spans="1:21">
      <c r="A1523" s="11" t="s">
        <v>1905</v>
      </c>
      <c r="B1523" s="7">
        <f>_xlfn.XLOOKUP(Jnl[[#This Row],[TrxId]], Trx[Id], Trx[Date],,0)</f>
        <v>46081</v>
      </c>
      <c r="C1523" s="7" t="str">
        <f>_xlfn.XLOOKUP(Jnl[[#This Row],[TrxId]], Trx[Id], Trx[Division],,0)</f>
        <v>Online</v>
      </c>
      <c r="D1523" s="7" t="str">
        <f>_xlfn.XLOOKUP(Jnl[[#This Row],[TrxId]], Trx[Id], Trx[Action],,0)</f>
        <v>办公</v>
      </c>
      <c r="E1523" s="26" t="s">
        <v>80</v>
      </c>
      <c r="F1523" s="11" t="s">
        <v>590</v>
      </c>
      <c r="G1523" s="11" t="s">
        <v>391</v>
      </c>
      <c r="H1523" s="72">
        <v>-1958.57</v>
      </c>
      <c r="I1523" s="5" t="b">
        <f>AND(Jnl[[#This Row],[TrxId]]&lt;&gt;"",Jnl[[#This Row],[Acct]]&lt;&gt;"",Jnl[[#This Row],[Item]]&lt;&gt;"",ISNUMBER(Jnl[[#This Row],[Bal]]))</f>
        <v>1</v>
      </c>
      <c r="J1523" s="10">
        <f>IF(Jnl[[#This Row],[BSLv0]]="A",1,-1)*Jnl[[#This Row],[Bal]]</f>
        <v>-1958.57</v>
      </c>
      <c r="K1523" t="str">
        <f>_xlfn.XLOOKUP(Jnl[[#This Row],[Acct]], config_BS[Acct], config_BS[Lv0],,0)</f>
        <v>A</v>
      </c>
      <c r="L1523" t="str">
        <f>_xlfn.XLOOKUP(Jnl[[#This Row],[Acct]], config_BS[Acct], config_BS[Lv1],,0)</f>
        <v>Assets</v>
      </c>
      <c r="M1523" t="str">
        <f>_xlfn.XLOOKUP(Jnl[[#This Row],[Acct]], config_BS[Acct], config_BS[Lv2],,0)</f>
        <v>Cash alike</v>
      </c>
      <c r="N1523" t="str">
        <f>_xlfn.XLOOKUP(Jnl[[#This Row],[TrxId]], Trx[Id], Trx[IncNode], ,0)</f>
        <v>Expense</v>
      </c>
      <c r="O1523" t="str">
        <f>_xlfn.XLOOKUP(Jnl[[#This Row],[IncNode]], config_IS[Node], config_IS[Type],,0)</f>
        <v>Op</v>
      </c>
      <c r="P1523" t="str">
        <f>_xlfn.XLOOKUP(Jnl[[#This Row],[BSLv2]], dict[Key], dict[Name],,0)</f>
        <v>0.现金及类似</v>
      </c>
      <c r="Q1523" t="str">
        <f>_xlfn.XLOOKUP(Jnl[[#This Row],[Acct]], dict[Key], dict[Name],,0)</f>
        <v>银行</v>
      </c>
      <c r="R1523" t="str">
        <f>_xlfn.XLOOKUP(Jnl[[#This Row],[Vehicle]],config_vehicle[Id], config_vehicle[Name],,0)</f>
        <v>远家花园</v>
      </c>
      <c r="S1523" t="str">
        <f>_xlfn.XLOOKUP(Jnl[[#This Row],[Division]],config_div[Id], config_div[Name],,0)</f>
        <v>网店</v>
      </c>
      <c r="T1523" t="str">
        <f>IF(Jnl[[#This Row],[TrxDate]]&lt;=stmt_BS_date_end, "In", "Out")</f>
        <v>In</v>
      </c>
      <c r="U1523" t="str">
        <f>IF(Jnl[[#This Row],[TrxDate]]&lt;debug_date_start, "prior", IF(Jnl[[#This Row],[TrxDate]]&gt;debug_date_end, "post", "curr"))</f>
        <v>curr</v>
      </c>
    </row>
    <row r="1524" spans="1:21">
      <c r="A1524" s="11" t="s">
        <v>1907</v>
      </c>
      <c r="B1524" s="7">
        <f>_xlfn.XLOOKUP(Jnl[[#This Row],[TrxId]], Trx[Id], Trx[Date],,0)</f>
        <v>46081</v>
      </c>
      <c r="C1524" s="7" t="str">
        <f>_xlfn.XLOOKUP(Jnl[[#This Row],[TrxId]], Trx[Id], Trx[Division],,0)</f>
        <v>Online</v>
      </c>
      <c r="D1524" s="7" t="str">
        <f>_xlfn.XLOOKUP(Jnl[[#This Row],[TrxId]], Trx[Id], Trx[Action],,0)</f>
        <v>差旅</v>
      </c>
      <c r="E1524" s="26" t="s">
        <v>80</v>
      </c>
      <c r="F1524" s="11" t="s">
        <v>590</v>
      </c>
      <c r="G1524" s="11" t="s">
        <v>391</v>
      </c>
      <c r="H1524" s="72">
        <v>-25773</v>
      </c>
      <c r="I1524" s="5" t="b">
        <f>AND(Jnl[[#This Row],[TrxId]]&lt;&gt;"",Jnl[[#This Row],[Acct]]&lt;&gt;"",Jnl[[#This Row],[Item]]&lt;&gt;"",ISNUMBER(Jnl[[#This Row],[Bal]]))</f>
        <v>1</v>
      </c>
      <c r="J1524" s="10">
        <f>IF(Jnl[[#This Row],[BSLv0]]="A",1,-1)*Jnl[[#This Row],[Bal]]</f>
        <v>-25773</v>
      </c>
      <c r="K1524" t="str">
        <f>_xlfn.XLOOKUP(Jnl[[#This Row],[Acct]], config_BS[Acct], config_BS[Lv0],,0)</f>
        <v>A</v>
      </c>
      <c r="L1524" t="str">
        <f>_xlfn.XLOOKUP(Jnl[[#This Row],[Acct]], config_BS[Acct], config_BS[Lv1],,0)</f>
        <v>Assets</v>
      </c>
      <c r="M1524" t="str">
        <f>_xlfn.XLOOKUP(Jnl[[#This Row],[Acct]], config_BS[Acct], config_BS[Lv2],,0)</f>
        <v>Cash alike</v>
      </c>
      <c r="N1524" t="str">
        <f>_xlfn.XLOOKUP(Jnl[[#This Row],[TrxId]], Trx[Id], Trx[IncNode], ,0)</f>
        <v>Expense</v>
      </c>
      <c r="O1524" t="str">
        <f>_xlfn.XLOOKUP(Jnl[[#This Row],[IncNode]], config_IS[Node], config_IS[Type],,0)</f>
        <v>Op</v>
      </c>
      <c r="P1524" t="str">
        <f>_xlfn.XLOOKUP(Jnl[[#This Row],[BSLv2]], dict[Key], dict[Name],,0)</f>
        <v>0.现金及类似</v>
      </c>
      <c r="Q1524" t="str">
        <f>_xlfn.XLOOKUP(Jnl[[#This Row],[Acct]], dict[Key], dict[Name],,0)</f>
        <v>银行</v>
      </c>
      <c r="R1524" t="str">
        <f>_xlfn.XLOOKUP(Jnl[[#This Row],[Vehicle]],config_vehicle[Id], config_vehicle[Name],,0)</f>
        <v>远家花园</v>
      </c>
      <c r="S1524" t="str">
        <f>_xlfn.XLOOKUP(Jnl[[#This Row],[Division]],config_div[Id], config_div[Name],,0)</f>
        <v>网店</v>
      </c>
      <c r="T1524" t="str">
        <f>IF(Jnl[[#This Row],[TrxDate]]&lt;=stmt_BS_date_end, "In", "Out")</f>
        <v>In</v>
      </c>
      <c r="U1524" t="str">
        <f>IF(Jnl[[#This Row],[TrxDate]]&lt;debug_date_start, "prior", IF(Jnl[[#This Row],[TrxDate]]&gt;debug_date_end, "post", "curr"))</f>
        <v>curr</v>
      </c>
    </row>
    <row r="1525" spans="1:21">
      <c r="A1525" s="11" t="s">
        <v>1908</v>
      </c>
      <c r="B1525" s="7">
        <f>_xlfn.XLOOKUP(Jnl[[#This Row],[TrxId]], Trx[Id], Trx[Date],,0)</f>
        <v>46081</v>
      </c>
      <c r="C1525" s="7" t="str">
        <f>_xlfn.XLOOKUP(Jnl[[#This Row],[TrxId]], Trx[Id], Trx[Division],,0)</f>
        <v>Online</v>
      </c>
      <c r="D1525" s="7" t="str">
        <f>_xlfn.XLOOKUP(Jnl[[#This Row],[TrxId]], Trx[Id], Trx[Action],,0)</f>
        <v>办公</v>
      </c>
      <c r="E1525" s="26" t="s">
        <v>80</v>
      </c>
      <c r="F1525" s="11" t="s">
        <v>590</v>
      </c>
      <c r="G1525" s="11" t="s">
        <v>391</v>
      </c>
      <c r="H1525" s="72">
        <f>-26546-H1524</f>
        <v>-773</v>
      </c>
      <c r="I1525" s="5" t="b">
        <f>AND(Jnl[[#This Row],[TrxId]]&lt;&gt;"",Jnl[[#This Row],[Acct]]&lt;&gt;"",Jnl[[#This Row],[Item]]&lt;&gt;"",ISNUMBER(Jnl[[#This Row],[Bal]]))</f>
        <v>1</v>
      </c>
      <c r="J1525" s="10">
        <f>IF(Jnl[[#This Row],[BSLv0]]="A",1,-1)*Jnl[[#This Row],[Bal]]</f>
        <v>-773</v>
      </c>
      <c r="K1525" t="str">
        <f>_xlfn.XLOOKUP(Jnl[[#This Row],[Acct]], config_BS[Acct], config_BS[Lv0],,0)</f>
        <v>A</v>
      </c>
      <c r="L1525" t="str">
        <f>_xlfn.XLOOKUP(Jnl[[#This Row],[Acct]], config_BS[Acct], config_BS[Lv1],,0)</f>
        <v>Assets</v>
      </c>
      <c r="M1525" t="str">
        <f>_xlfn.XLOOKUP(Jnl[[#This Row],[Acct]], config_BS[Acct], config_BS[Lv2],,0)</f>
        <v>Cash alike</v>
      </c>
      <c r="N1525" t="str">
        <f>_xlfn.XLOOKUP(Jnl[[#This Row],[TrxId]], Trx[Id], Trx[IncNode], ,0)</f>
        <v>Expense</v>
      </c>
      <c r="O1525" t="str">
        <f>_xlfn.XLOOKUP(Jnl[[#This Row],[IncNode]], config_IS[Node], config_IS[Type],,0)</f>
        <v>Op</v>
      </c>
      <c r="P1525" t="str">
        <f>_xlfn.XLOOKUP(Jnl[[#This Row],[BSLv2]], dict[Key], dict[Name],,0)</f>
        <v>0.现金及类似</v>
      </c>
      <c r="Q1525" t="str">
        <f>_xlfn.XLOOKUP(Jnl[[#This Row],[Acct]], dict[Key], dict[Name],,0)</f>
        <v>银行</v>
      </c>
      <c r="R1525" t="str">
        <f>_xlfn.XLOOKUP(Jnl[[#This Row],[Vehicle]],config_vehicle[Id], config_vehicle[Name],,0)</f>
        <v>远家花园</v>
      </c>
      <c r="S1525" t="str">
        <f>_xlfn.XLOOKUP(Jnl[[#This Row],[Division]],config_div[Id], config_div[Name],,0)</f>
        <v>网店</v>
      </c>
      <c r="T1525" t="str">
        <f>IF(Jnl[[#This Row],[TrxDate]]&lt;=stmt_BS_date_end, "In", "Out")</f>
        <v>In</v>
      </c>
      <c r="U1525" t="str">
        <f>IF(Jnl[[#This Row],[TrxDate]]&lt;debug_date_start, "prior", IF(Jnl[[#This Row],[TrxDate]]&gt;debug_date_end, "post", "curr"))</f>
        <v>curr</v>
      </c>
    </row>
    <row r="1526" spans="1:21">
      <c r="A1526" s="11" t="s">
        <v>1909</v>
      </c>
      <c r="B1526" s="7">
        <f>_xlfn.XLOOKUP(Jnl[[#This Row],[TrxId]], Trx[Id], Trx[Date],,0)</f>
        <v>46081</v>
      </c>
      <c r="C1526" s="7" t="str">
        <f>_xlfn.XLOOKUP(Jnl[[#This Row],[TrxId]], Trx[Id], Trx[Division],,0)</f>
        <v>Online</v>
      </c>
      <c r="D1526" s="7" t="str">
        <f>_xlfn.XLOOKUP(Jnl[[#This Row],[TrxId]], Trx[Id], Trx[Action],,0)</f>
        <v>办公</v>
      </c>
      <c r="E1526" s="26" t="s">
        <v>80</v>
      </c>
      <c r="F1526" s="11" t="s">
        <v>590</v>
      </c>
      <c r="G1526" s="11" t="s">
        <v>391</v>
      </c>
      <c r="H1526" s="72">
        <v>-826.36</v>
      </c>
      <c r="I1526" s="5" t="b">
        <f>AND(Jnl[[#This Row],[TrxId]]&lt;&gt;"",Jnl[[#This Row],[Acct]]&lt;&gt;"",Jnl[[#This Row],[Item]]&lt;&gt;"",ISNUMBER(Jnl[[#This Row],[Bal]]))</f>
        <v>1</v>
      </c>
      <c r="J1526" s="10">
        <f>IF(Jnl[[#This Row],[BSLv0]]="A",1,-1)*Jnl[[#This Row],[Bal]]</f>
        <v>-826.36</v>
      </c>
      <c r="K1526" t="str">
        <f>_xlfn.XLOOKUP(Jnl[[#This Row],[Acct]], config_BS[Acct], config_BS[Lv0],,0)</f>
        <v>A</v>
      </c>
      <c r="L1526" t="str">
        <f>_xlfn.XLOOKUP(Jnl[[#This Row],[Acct]], config_BS[Acct], config_BS[Lv1],,0)</f>
        <v>Assets</v>
      </c>
      <c r="M1526" t="str">
        <f>_xlfn.XLOOKUP(Jnl[[#This Row],[Acct]], config_BS[Acct], config_BS[Lv2],,0)</f>
        <v>Cash alike</v>
      </c>
      <c r="N1526" t="str">
        <f>_xlfn.XLOOKUP(Jnl[[#This Row],[TrxId]], Trx[Id], Trx[IncNode], ,0)</f>
        <v>Expense</v>
      </c>
      <c r="O1526" t="str">
        <f>_xlfn.XLOOKUP(Jnl[[#This Row],[IncNode]], config_IS[Node], config_IS[Type],,0)</f>
        <v>Op</v>
      </c>
      <c r="P1526" t="str">
        <f>_xlfn.XLOOKUP(Jnl[[#This Row],[BSLv2]], dict[Key], dict[Name],,0)</f>
        <v>0.现金及类似</v>
      </c>
      <c r="Q1526" t="str">
        <f>_xlfn.XLOOKUP(Jnl[[#This Row],[Acct]], dict[Key], dict[Name],,0)</f>
        <v>银行</v>
      </c>
      <c r="R1526" t="str">
        <f>_xlfn.XLOOKUP(Jnl[[#This Row],[Vehicle]],config_vehicle[Id], config_vehicle[Name],,0)</f>
        <v>远家花园</v>
      </c>
      <c r="S1526" t="str">
        <f>_xlfn.XLOOKUP(Jnl[[#This Row],[Division]],config_div[Id], config_div[Name],,0)</f>
        <v>网店</v>
      </c>
      <c r="T1526" t="str">
        <f>IF(Jnl[[#This Row],[TrxDate]]&lt;=stmt_BS_date_end, "In", "Out")</f>
        <v>In</v>
      </c>
      <c r="U1526" t="str">
        <f>IF(Jnl[[#This Row],[TrxDate]]&lt;debug_date_start, "prior", IF(Jnl[[#This Row],[TrxDate]]&gt;debug_date_end, "post", "curr"))</f>
        <v>curr</v>
      </c>
    </row>
    <row r="1527" spans="1:21">
      <c r="A1527" s="11" t="s">
        <v>1912</v>
      </c>
      <c r="B1527" s="7">
        <f>_xlfn.XLOOKUP(Jnl[[#This Row],[TrxId]], Trx[Id], Trx[Date],,0)</f>
        <v>46081</v>
      </c>
      <c r="C1527" s="7" t="str">
        <f>_xlfn.XLOOKUP(Jnl[[#This Row],[TrxId]], Trx[Id], Trx[Division],,0)</f>
        <v>GM</v>
      </c>
      <c r="D1527" s="7" t="str">
        <f>_xlfn.XLOOKUP(Jnl[[#This Row],[TrxId]], Trx[Id], Trx[Action],,0)</f>
        <v>年会</v>
      </c>
      <c r="E1527" s="26" t="s">
        <v>80</v>
      </c>
      <c r="F1527" s="11" t="s">
        <v>590</v>
      </c>
      <c r="G1527" s="11" t="s">
        <v>391</v>
      </c>
      <c r="H1527" s="72">
        <v>-7405</v>
      </c>
      <c r="I1527" s="5" t="b">
        <f>AND(Jnl[[#This Row],[TrxId]]&lt;&gt;"",Jnl[[#This Row],[Acct]]&lt;&gt;"",Jnl[[#This Row],[Item]]&lt;&gt;"",ISNUMBER(Jnl[[#This Row],[Bal]]))</f>
        <v>1</v>
      </c>
      <c r="J1527" s="10">
        <f>IF(Jnl[[#This Row],[BSLv0]]="A",1,-1)*Jnl[[#This Row],[Bal]]</f>
        <v>-7405</v>
      </c>
      <c r="K1527" t="str">
        <f>_xlfn.XLOOKUP(Jnl[[#This Row],[Acct]], config_BS[Acct], config_BS[Lv0],,0)</f>
        <v>A</v>
      </c>
      <c r="L1527" t="str">
        <f>_xlfn.XLOOKUP(Jnl[[#This Row],[Acct]], config_BS[Acct], config_BS[Lv1],,0)</f>
        <v>Assets</v>
      </c>
      <c r="M1527" t="str">
        <f>_xlfn.XLOOKUP(Jnl[[#This Row],[Acct]], config_BS[Acct], config_BS[Lv2],,0)</f>
        <v>Cash alike</v>
      </c>
      <c r="N1527" t="str">
        <f>_xlfn.XLOOKUP(Jnl[[#This Row],[TrxId]], Trx[Id], Trx[IncNode], ,0)</f>
        <v>Discretion</v>
      </c>
      <c r="O1527" t="str">
        <f>_xlfn.XLOOKUP(Jnl[[#This Row],[IncNode]], config_IS[Node], config_IS[Type],,0)</f>
        <v>Non-Op</v>
      </c>
      <c r="P1527" t="str">
        <f>_xlfn.XLOOKUP(Jnl[[#This Row],[BSLv2]], dict[Key], dict[Name],,0)</f>
        <v>0.现金及类似</v>
      </c>
      <c r="Q1527" t="str">
        <f>_xlfn.XLOOKUP(Jnl[[#This Row],[Acct]], dict[Key], dict[Name],,0)</f>
        <v>银行</v>
      </c>
      <c r="R1527" t="str">
        <f>_xlfn.XLOOKUP(Jnl[[#This Row],[Vehicle]],config_vehicle[Id], config_vehicle[Name],,0)</f>
        <v>远家花园</v>
      </c>
      <c r="S1527" t="str">
        <f>_xlfn.XLOOKUP(Jnl[[#This Row],[Division]],config_div[Id], config_div[Name],,0)</f>
        <v>综合管理</v>
      </c>
      <c r="T1527" t="str">
        <f>IF(Jnl[[#This Row],[TrxDate]]&lt;=stmt_BS_date_end, "In", "Out")</f>
        <v>In</v>
      </c>
      <c r="U1527" t="str">
        <f>IF(Jnl[[#This Row],[TrxDate]]&lt;debug_date_start, "prior", IF(Jnl[[#This Row],[TrxDate]]&gt;debug_date_end, "post", "curr"))</f>
        <v>curr</v>
      </c>
    </row>
    <row r="1528" spans="1:21">
      <c r="A1528" s="11" t="s">
        <v>1914</v>
      </c>
      <c r="B1528" s="7">
        <f>_xlfn.XLOOKUP(Jnl[[#This Row],[TrxId]], Trx[Id], Trx[Date],,0)</f>
        <v>46081</v>
      </c>
      <c r="C1528" s="7" t="str">
        <f>_xlfn.XLOOKUP(Jnl[[#This Row],[TrxId]], Trx[Id], Trx[Division],,0)</f>
        <v>Online</v>
      </c>
      <c r="D1528" s="7" t="str">
        <f>_xlfn.XLOOKUP(Jnl[[#This Row],[TrxId]], Trx[Id], Trx[Action],,0)</f>
        <v>设计</v>
      </c>
      <c r="E1528" s="26" t="s">
        <v>80</v>
      </c>
      <c r="F1528" s="11" t="s">
        <v>590</v>
      </c>
      <c r="G1528" s="11" t="s">
        <v>391</v>
      </c>
      <c r="H1528" s="72">
        <v>-120</v>
      </c>
      <c r="I1528" s="5" t="b">
        <f>AND(Jnl[[#This Row],[TrxId]]&lt;&gt;"",Jnl[[#This Row],[Acct]]&lt;&gt;"",Jnl[[#This Row],[Item]]&lt;&gt;"",ISNUMBER(Jnl[[#This Row],[Bal]]))</f>
        <v>1</v>
      </c>
      <c r="J1528" s="10">
        <f>IF(Jnl[[#This Row],[BSLv0]]="A",1,-1)*Jnl[[#This Row],[Bal]]</f>
        <v>-120</v>
      </c>
      <c r="K1528" t="str">
        <f>_xlfn.XLOOKUP(Jnl[[#This Row],[Acct]], config_BS[Acct], config_BS[Lv0],,0)</f>
        <v>A</v>
      </c>
      <c r="L1528" t="str">
        <f>_xlfn.XLOOKUP(Jnl[[#This Row],[Acct]], config_BS[Acct], config_BS[Lv1],,0)</f>
        <v>Assets</v>
      </c>
      <c r="M1528" t="str">
        <f>_xlfn.XLOOKUP(Jnl[[#This Row],[Acct]], config_BS[Acct], config_BS[Lv2],,0)</f>
        <v>Cash alike</v>
      </c>
      <c r="N1528" t="str">
        <f>_xlfn.XLOOKUP(Jnl[[#This Row],[TrxId]], Trx[Id], Trx[IncNode], ,0)</f>
        <v>Expense</v>
      </c>
      <c r="O1528" t="str">
        <f>_xlfn.XLOOKUP(Jnl[[#This Row],[IncNode]], config_IS[Node], config_IS[Type],,0)</f>
        <v>Op</v>
      </c>
      <c r="P1528" t="str">
        <f>_xlfn.XLOOKUP(Jnl[[#This Row],[BSLv2]], dict[Key], dict[Name],,0)</f>
        <v>0.现金及类似</v>
      </c>
      <c r="Q1528" t="str">
        <f>_xlfn.XLOOKUP(Jnl[[#This Row],[Acct]], dict[Key], dict[Name],,0)</f>
        <v>银行</v>
      </c>
      <c r="R1528" t="str">
        <f>_xlfn.XLOOKUP(Jnl[[#This Row],[Vehicle]],config_vehicle[Id], config_vehicle[Name],,0)</f>
        <v>远家花园</v>
      </c>
      <c r="S1528" t="str">
        <f>_xlfn.XLOOKUP(Jnl[[#This Row],[Division]],config_div[Id], config_div[Name],,0)</f>
        <v>网店</v>
      </c>
      <c r="T1528" t="str">
        <f>IF(Jnl[[#This Row],[TrxDate]]&lt;=stmt_BS_date_end, "In", "Out")</f>
        <v>In</v>
      </c>
      <c r="U1528" t="str">
        <f>IF(Jnl[[#This Row],[TrxDate]]&lt;debug_date_start, "prior", IF(Jnl[[#This Row],[TrxDate]]&gt;debug_date_end, "post", "curr"))</f>
        <v>curr</v>
      </c>
    </row>
    <row r="1529" spans="1:21">
      <c r="A1529" s="11" t="s">
        <v>1915</v>
      </c>
      <c r="B1529" s="7">
        <f>_xlfn.XLOOKUP(Jnl[[#This Row],[TrxId]], Trx[Id], Trx[Date],,0)</f>
        <v>46081</v>
      </c>
      <c r="C1529" s="7" t="str">
        <f>_xlfn.XLOOKUP(Jnl[[#This Row],[TrxId]], Trx[Id], Trx[Division],,0)</f>
        <v>Online</v>
      </c>
      <c r="D1529" s="7" t="str">
        <f>_xlfn.XLOOKUP(Jnl[[#This Row],[TrxId]], Trx[Id], Trx[Action],,0)</f>
        <v>退款-供应商</v>
      </c>
      <c r="E1529" s="26" t="s">
        <v>80</v>
      </c>
      <c r="F1529" s="11" t="s">
        <v>598</v>
      </c>
      <c r="G1529" s="11" t="s">
        <v>151</v>
      </c>
      <c r="H1529" s="72">
        <v>-37665.4</v>
      </c>
      <c r="I1529" s="5" t="b">
        <f>AND(Jnl[[#This Row],[TrxId]]&lt;&gt;"",Jnl[[#This Row],[Acct]]&lt;&gt;"",Jnl[[#This Row],[Item]]&lt;&gt;"",ISNUMBER(Jnl[[#This Row],[Bal]]))</f>
        <v>1</v>
      </c>
      <c r="J1529" s="10">
        <f>IF(Jnl[[#This Row],[BSLv0]]="A",1,-1)*Jnl[[#This Row],[Bal]]</f>
        <v>-37665.4</v>
      </c>
      <c r="K1529" t="str">
        <f>_xlfn.XLOOKUP(Jnl[[#This Row],[Acct]], config_BS[Acct], config_BS[Lv0],,0)</f>
        <v>A</v>
      </c>
      <c r="L1529" t="str">
        <f>_xlfn.XLOOKUP(Jnl[[#This Row],[Acct]], config_BS[Acct], config_BS[Lv1],,0)</f>
        <v>Assets</v>
      </c>
      <c r="M1529" t="str">
        <f>_xlfn.XLOOKUP(Jnl[[#This Row],[Acct]], config_BS[Acct], config_BS[Lv2],,0)</f>
        <v>Invtr</v>
      </c>
      <c r="N1529" t="str">
        <f>_xlfn.XLOOKUP(Jnl[[#This Row],[TrxId]], Trx[Id], Trx[IncNode], ,0)</f>
        <v>Cost</v>
      </c>
      <c r="O1529" t="str">
        <f>_xlfn.XLOOKUP(Jnl[[#This Row],[IncNode]], config_IS[Node], config_IS[Type],,0)</f>
        <v>Op</v>
      </c>
      <c r="P1529" t="str">
        <f>_xlfn.XLOOKUP(Jnl[[#This Row],[BSLv2]], dict[Key], dict[Name],,0)</f>
        <v>3.库存占款</v>
      </c>
      <c r="Q1529" t="str">
        <f>_xlfn.XLOOKUP(Jnl[[#This Row],[Acct]], dict[Key], dict[Name],,0)</f>
        <v>当期存货</v>
      </c>
      <c r="R1529" t="str">
        <f>_xlfn.XLOOKUP(Jnl[[#This Row],[Vehicle]],config_vehicle[Id], config_vehicle[Name],,0)</f>
        <v>远家花园</v>
      </c>
      <c r="S1529" t="str">
        <f>_xlfn.XLOOKUP(Jnl[[#This Row],[Division]],config_div[Id], config_div[Name],,0)</f>
        <v>网店</v>
      </c>
      <c r="T1529" t="str">
        <f>IF(Jnl[[#This Row],[TrxDate]]&lt;=stmt_BS_date_end, "In", "Out")</f>
        <v>In</v>
      </c>
      <c r="U1529" t="str">
        <f>IF(Jnl[[#This Row],[TrxDate]]&lt;debug_date_start, "prior", IF(Jnl[[#This Row],[TrxDate]]&gt;debug_date_end, "post", "curr"))</f>
        <v>curr</v>
      </c>
    </row>
    <row r="1530" spans="1:21">
      <c r="A1530" s="11" t="s">
        <v>1915</v>
      </c>
      <c r="B1530" s="7">
        <f>_xlfn.XLOOKUP(Jnl[[#This Row],[TrxId]], Trx[Id], Trx[Date],,0)</f>
        <v>46081</v>
      </c>
      <c r="C1530" s="7" t="str">
        <f>_xlfn.XLOOKUP(Jnl[[#This Row],[TrxId]], Trx[Id], Trx[Division],,0)</f>
        <v>Online</v>
      </c>
      <c r="D1530" s="7" t="str">
        <f>_xlfn.XLOOKUP(Jnl[[#This Row],[TrxId]], Trx[Id], Trx[Action],,0)</f>
        <v>退款-供应商</v>
      </c>
      <c r="E1530" s="26" t="s">
        <v>80</v>
      </c>
      <c r="F1530" s="11" t="s">
        <v>590</v>
      </c>
      <c r="G1530" s="11" t="s">
        <v>391</v>
      </c>
      <c r="H1530" s="72">
        <v>37665.4</v>
      </c>
      <c r="I1530" s="5" t="b">
        <f>AND(Jnl[[#This Row],[TrxId]]&lt;&gt;"",Jnl[[#This Row],[Acct]]&lt;&gt;"",Jnl[[#This Row],[Item]]&lt;&gt;"",ISNUMBER(Jnl[[#This Row],[Bal]]))</f>
        <v>1</v>
      </c>
      <c r="J1530" s="10">
        <f>IF(Jnl[[#This Row],[BSLv0]]="A",1,-1)*Jnl[[#This Row],[Bal]]</f>
        <v>37665.4</v>
      </c>
      <c r="K1530" t="str">
        <f>_xlfn.XLOOKUP(Jnl[[#This Row],[Acct]], config_BS[Acct], config_BS[Lv0],,0)</f>
        <v>A</v>
      </c>
      <c r="L1530" t="str">
        <f>_xlfn.XLOOKUP(Jnl[[#This Row],[Acct]], config_BS[Acct], config_BS[Lv1],,0)</f>
        <v>Assets</v>
      </c>
      <c r="M1530" t="str">
        <f>_xlfn.XLOOKUP(Jnl[[#This Row],[Acct]], config_BS[Acct], config_BS[Lv2],,0)</f>
        <v>Cash alike</v>
      </c>
      <c r="N1530" t="str">
        <f>_xlfn.XLOOKUP(Jnl[[#This Row],[TrxId]], Trx[Id], Trx[IncNode], ,0)</f>
        <v>Cost</v>
      </c>
      <c r="O1530" t="str">
        <f>_xlfn.XLOOKUP(Jnl[[#This Row],[IncNode]], config_IS[Node], config_IS[Type],,0)</f>
        <v>Op</v>
      </c>
      <c r="P1530" t="str">
        <f>_xlfn.XLOOKUP(Jnl[[#This Row],[BSLv2]], dict[Key], dict[Name],,0)</f>
        <v>0.现金及类似</v>
      </c>
      <c r="Q1530" t="str">
        <f>_xlfn.XLOOKUP(Jnl[[#This Row],[Acct]], dict[Key], dict[Name],,0)</f>
        <v>银行</v>
      </c>
      <c r="R1530" t="str">
        <f>_xlfn.XLOOKUP(Jnl[[#This Row],[Vehicle]],config_vehicle[Id], config_vehicle[Name],,0)</f>
        <v>远家花园</v>
      </c>
      <c r="S1530" t="str">
        <f>_xlfn.XLOOKUP(Jnl[[#This Row],[Division]],config_div[Id], config_div[Name],,0)</f>
        <v>网店</v>
      </c>
      <c r="T1530" t="str">
        <f>IF(Jnl[[#This Row],[TrxDate]]&lt;=stmt_BS_date_end, "In", "Out")</f>
        <v>In</v>
      </c>
      <c r="U1530" t="str">
        <f>IF(Jnl[[#This Row],[TrxDate]]&lt;debug_date_start, "prior", IF(Jnl[[#This Row],[TrxDate]]&gt;debug_date_end, "post", "curr"))</f>
        <v>curr</v>
      </c>
    </row>
    <row r="1531" spans="1:21">
      <c r="A1531" s="11" t="s">
        <v>1916</v>
      </c>
      <c r="B1531" s="7">
        <f>_xlfn.XLOOKUP(Jnl[[#This Row],[TrxId]], Trx[Id], Trx[Date],,0)</f>
        <v>46081</v>
      </c>
      <c r="C1531" s="7" t="str">
        <f>_xlfn.XLOOKUP(Jnl[[#This Row],[TrxId]], Trx[Id], Trx[Division],,0)</f>
        <v>Online</v>
      </c>
      <c r="D1531" s="7" t="str">
        <f>_xlfn.XLOOKUP(Jnl[[#This Row],[TrxId]], Trx[Id], Trx[Action],,0)</f>
        <v>计提税金</v>
      </c>
      <c r="E1531" s="26" t="s">
        <v>80</v>
      </c>
      <c r="F1531" s="11" t="s">
        <v>127</v>
      </c>
      <c r="G1531" s="11" t="s">
        <v>349</v>
      </c>
      <c r="H1531" s="72">
        <v>266.38</v>
      </c>
      <c r="I1531" s="5" t="b">
        <f>AND(Jnl[[#This Row],[TrxId]]&lt;&gt;"",Jnl[[#This Row],[Acct]]&lt;&gt;"",Jnl[[#This Row],[Item]]&lt;&gt;"",ISNUMBER(Jnl[[#This Row],[Bal]]))</f>
        <v>1</v>
      </c>
      <c r="J1531" s="10">
        <f>IF(Jnl[[#This Row],[BSLv0]]="A",1,-1)*Jnl[[#This Row],[Bal]]</f>
        <v>-266.38</v>
      </c>
      <c r="K1531" t="str">
        <f>_xlfn.XLOOKUP(Jnl[[#This Row],[Acct]], config_BS[Acct], config_BS[Lv0],,0)</f>
        <v>LC</v>
      </c>
      <c r="L1531" t="str">
        <f>_xlfn.XLOOKUP(Jnl[[#This Row],[Acct]], config_BS[Acct], config_BS[Lv1],,0)</f>
        <v>Liability</v>
      </c>
      <c r="M1531" t="str">
        <f>_xlfn.XLOOKUP(Jnl[[#This Row],[Acct]], config_BS[Acct], config_BS[Lv2],,0)</f>
        <v>Rec-Pay</v>
      </c>
      <c r="N1531" t="str">
        <f>_xlfn.XLOOKUP(Jnl[[#This Row],[TrxId]], Trx[Id], Trx[IncNode], ,0)</f>
        <v>Expense</v>
      </c>
      <c r="O1531" t="str">
        <f>_xlfn.XLOOKUP(Jnl[[#This Row],[IncNode]], config_IS[Node], config_IS[Type],,0)</f>
        <v>Op</v>
      </c>
      <c r="P1531" t="str">
        <f>_xlfn.XLOOKUP(Jnl[[#This Row],[BSLv2]], dict[Key], dict[Name],,0)</f>
        <v>1.应收-应付</v>
      </c>
      <c r="Q1531" t="str">
        <f>_xlfn.XLOOKUP(Jnl[[#This Row],[Acct]], dict[Key], dict[Name],,0)</f>
        <v>应付-税款</v>
      </c>
      <c r="R1531" t="str">
        <f>_xlfn.XLOOKUP(Jnl[[#This Row],[Vehicle]],config_vehicle[Id], config_vehicle[Name],,0)</f>
        <v>远家花园</v>
      </c>
      <c r="S1531" t="str">
        <f>_xlfn.XLOOKUP(Jnl[[#This Row],[Division]],config_div[Id], config_div[Name],,0)</f>
        <v>网店</v>
      </c>
      <c r="T1531" t="str">
        <f>IF(Jnl[[#This Row],[TrxDate]]&lt;=stmt_BS_date_end, "In", "Out")</f>
        <v>In</v>
      </c>
      <c r="U1531" t="str">
        <f>IF(Jnl[[#This Row],[TrxDate]]&lt;debug_date_start, "prior", IF(Jnl[[#This Row],[TrxDate]]&gt;debug_date_end, "post", "curr"))</f>
        <v>curr</v>
      </c>
    </row>
    <row r="1532" spans="1:21">
      <c r="A1532" s="11" t="s">
        <v>1916</v>
      </c>
      <c r="B1532" s="7">
        <f>_xlfn.XLOOKUP(Jnl[[#This Row],[TrxId]], Trx[Id], Trx[Date],,0)</f>
        <v>46081</v>
      </c>
      <c r="C1532" s="7" t="str">
        <f>_xlfn.XLOOKUP(Jnl[[#This Row],[TrxId]], Trx[Id], Trx[Division],,0)</f>
        <v>Online</v>
      </c>
      <c r="D1532" s="7" t="str">
        <f>_xlfn.XLOOKUP(Jnl[[#This Row],[TrxId]], Trx[Id], Trx[Action],,0)</f>
        <v>计提税金</v>
      </c>
      <c r="E1532" s="26" t="s">
        <v>80</v>
      </c>
      <c r="F1532" s="11" t="s">
        <v>127</v>
      </c>
      <c r="G1532" s="11" t="s">
        <v>348</v>
      </c>
      <c r="H1532" s="72">
        <v>24156.59</v>
      </c>
      <c r="I1532" s="5" t="b">
        <f>AND(Jnl[[#This Row],[TrxId]]&lt;&gt;"",Jnl[[#This Row],[Acct]]&lt;&gt;"",Jnl[[#This Row],[Item]]&lt;&gt;"",ISNUMBER(Jnl[[#This Row],[Bal]]))</f>
        <v>1</v>
      </c>
      <c r="J1532" s="10">
        <f>IF(Jnl[[#This Row],[BSLv0]]="A",1,-1)*Jnl[[#This Row],[Bal]]</f>
        <v>-24156.59</v>
      </c>
      <c r="K1532" t="str">
        <f>_xlfn.XLOOKUP(Jnl[[#This Row],[Acct]], config_BS[Acct], config_BS[Lv0],,0)</f>
        <v>LC</v>
      </c>
      <c r="L1532" t="str">
        <f>_xlfn.XLOOKUP(Jnl[[#This Row],[Acct]], config_BS[Acct], config_BS[Lv1],,0)</f>
        <v>Liability</v>
      </c>
      <c r="M1532" t="str">
        <f>_xlfn.XLOOKUP(Jnl[[#This Row],[Acct]], config_BS[Acct], config_BS[Lv2],,0)</f>
        <v>Rec-Pay</v>
      </c>
      <c r="N1532" t="str">
        <f>_xlfn.XLOOKUP(Jnl[[#This Row],[TrxId]], Trx[Id], Trx[IncNode], ,0)</f>
        <v>Expense</v>
      </c>
      <c r="O1532" t="str">
        <f>_xlfn.XLOOKUP(Jnl[[#This Row],[IncNode]], config_IS[Node], config_IS[Type],,0)</f>
        <v>Op</v>
      </c>
      <c r="P1532" t="str">
        <f>_xlfn.XLOOKUP(Jnl[[#This Row],[BSLv2]], dict[Key], dict[Name],,0)</f>
        <v>1.应收-应付</v>
      </c>
      <c r="Q1532" t="str">
        <f>_xlfn.XLOOKUP(Jnl[[#This Row],[Acct]], dict[Key], dict[Name],,0)</f>
        <v>应付-税款</v>
      </c>
      <c r="R1532" t="str">
        <f>_xlfn.XLOOKUP(Jnl[[#This Row],[Vehicle]],config_vehicle[Id], config_vehicle[Name],,0)</f>
        <v>远家花园</v>
      </c>
      <c r="S1532" t="str">
        <f>_xlfn.XLOOKUP(Jnl[[#This Row],[Division]],config_div[Id], config_div[Name],,0)</f>
        <v>网店</v>
      </c>
      <c r="T1532" t="str">
        <f>IF(Jnl[[#This Row],[TrxDate]]&lt;=stmt_BS_date_end, "In", "Out")</f>
        <v>In</v>
      </c>
      <c r="U1532" t="str">
        <f>IF(Jnl[[#This Row],[TrxDate]]&lt;debug_date_start, "prior", IF(Jnl[[#This Row],[TrxDate]]&gt;debug_date_end, "post", "curr"))</f>
        <v>curr</v>
      </c>
    </row>
    <row r="1533" spans="1:21">
      <c r="A1533" s="11" t="s">
        <v>1916</v>
      </c>
      <c r="B1533" s="7">
        <f>_xlfn.XLOOKUP(Jnl[[#This Row],[TrxId]], Trx[Id], Trx[Date],,0)</f>
        <v>46081</v>
      </c>
      <c r="C1533" s="7" t="str">
        <f>_xlfn.XLOOKUP(Jnl[[#This Row],[TrxId]], Trx[Id], Trx[Division],,0)</f>
        <v>Online</v>
      </c>
      <c r="D1533" s="7" t="str">
        <f>_xlfn.XLOOKUP(Jnl[[#This Row],[TrxId]], Trx[Id], Trx[Action],,0)</f>
        <v>计提税金</v>
      </c>
      <c r="E1533" s="26" t="s">
        <v>80</v>
      </c>
      <c r="F1533" s="11" t="s">
        <v>127</v>
      </c>
      <c r="G1533" s="11" t="s">
        <v>616</v>
      </c>
      <c r="H1533" s="72">
        <v>725.58</v>
      </c>
      <c r="I1533" s="5" t="b">
        <f>AND(Jnl[[#This Row],[TrxId]]&lt;&gt;"",Jnl[[#This Row],[Acct]]&lt;&gt;"",Jnl[[#This Row],[Item]]&lt;&gt;"",ISNUMBER(Jnl[[#This Row],[Bal]]))</f>
        <v>1</v>
      </c>
      <c r="J1533" s="10">
        <f>IF(Jnl[[#This Row],[BSLv0]]="A",1,-1)*Jnl[[#This Row],[Bal]]</f>
        <v>-725.58</v>
      </c>
      <c r="K1533" t="str">
        <f>_xlfn.XLOOKUP(Jnl[[#This Row],[Acct]], config_BS[Acct], config_BS[Lv0],,0)</f>
        <v>LC</v>
      </c>
      <c r="L1533" t="str">
        <f>_xlfn.XLOOKUP(Jnl[[#This Row],[Acct]], config_BS[Acct], config_BS[Lv1],,0)</f>
        <v>Liability</v>
      </c>
      <c r="M1533" t="str">
        <f>_xlfn.XLOOKUP(Jnl[[#This Row],[Acct]], config_BS[Acct], config_BS[Lv2],,0)</f>
        <v>Rec-Pay</v>
      </c>
      <c r="N1533" t="str">
        <f>_xlfn.XLOOKUP(Jnl[[#This Row],[TrxId]], Trx[Id], Trx[IncNode], ,0)</f>
        <v>Expense</v>
      </c>
      <c r="O1533" t="str">
        <f>_xlfn.XLOOKUP(Jnl[[#This Row],[IncNode]], config_IS[Node], config_IS[Type],,0)</f>
        <v>Op</v>
      </c>
      <c r="P1533" t="str">
        <f>_xlfn.XLOOKUP(Jnl[[#This Row],[BSLv2]], dict[Key], dict[Name],,0)</f>
        <v>1.应收-应付</v>
      </c>
      <c r="Q1533" t="str">
        <f>_xlfn.XLOOKUP(Jnl[[#This Row],[Acct]], dict[Key], dict[Name],,0)</f>
        <v>应付-税款</v>
      </c>
      <c r="R1533" t="str">
        <f>_xlfn.XLOOKUP(Jnl[[#This Row],[Vehicle]],config_vehicle[Id], config_vehicle[Name],,0)</f>
        <v>远家花园</v>
      </c>
      <c r="S1533" t="str">
        <f>_xlfn.XLOOKUP(Jnl[[#This Row],[Division]],config_div[Id], config_div[Name],,0)</f>
        <v>网店</v>
      </c>
      <c r="T1533" t="str">
        <f>IF(Jnl[[#This Row],[TrxDate]]&lt;=stmt_BS_date_end, "In", "Out")</f>
        <v>In</v>
      </c>
      <c r="U1533" t="str">
        <f>IF(Jnl[[#This Row],[TrxDate]]&lt;debug_date_start, "prior", IF(Jnl[[#This Row],[TrxDate]]&gt;debug_date_end, "post", "curr"))</f>
        <v>curr</v>
      </c>
    </row>
    <row r="1534" spans="1:21">
      <c r="A1534" s="11" t="s">
        <v>1917</v>
      </c>
      <c r="B1534" s="7">
        <f>_xlfn.XLOOKUP(Jnl[[#This Row],[TrxId]], Trx[Id], Trx[Date],,0)</f>
        <v>46081</v>
      </c>
      <c r="C1534" s="7" t="str">
        <f>_xlfn.XLOOKUP(Jnl[[#This Row],[TrxId]], Trx[Id], Trx[Division],,0)</f>
        <v>Online</v>
      </c>
      <c r="D1534" s="7" t="str">
        <f>_xlfn.XLOOKUP(Jnl[[#This Row],[TrxId]], Trx[Id], Trx[Action],,0)</f>
        <v>薪酬-工资</v>
      </c>
      <c r="E1534" s="26" t="s">
        <v>80</v>
      </c>
      <c r="F1534" s="11" t="s">
        <v>596</v>
      </c>
      <c r="G1534" s="11" t="s">
        <v>149</v>
      </c>
      <c r="H1534" s="72">
        <v>122833.38</v>
      </c>
      <c r="I1534" s="5" t="b">
        <f>AND(Jnl[[#This Row],[TrxId]]&lt;&gt;"",Jnl[[#This Row],[Acct]]&lt;&gt;"",Jnl[[#This Row],[Item]]&lt;&gt;"",ISNUMBER(Jnl[[#This Row],[Bal]]))</f>
        <v>1</v>
      </c>
      <c r="J1534" s="10">
        <f>IF(Jnl[[#This Row],[BSLv0]]="A",1,-1)*Jnl[[#This Row],[Bal]]</f>
        <v>-122833.38</v>
      </c>
      <c r="K1534" t="str">
        <f>_xlfn.XLOOKUP(Jnl[[#This Row],[Acct]], config_BS[Acct], config_BS[Lv0],,0)</f>
        <v>LC</v>
      </c>
      <c r="L1534" t="str">
        <f>_xlfn.XLOOKUP(Jnl[[#This Row],[Acct]], config_BS[Acct], config_BS[Lv1],,0)</f>
        <v>Liability</v>
      </c>
      <c r="M1534" t="str">
        <f>_xlfn.XLOOKUP(Jnl[[#This Row],[Acct]], config_BS[Acct], config_BS[Lv2],,0)</f>
        <v>Rec-Pay</v>
      </c>
      <c r="N1534" t="str">
        <f>_xlfn.XLOOKUP(Jnl[[#This Row],[TrxId]], Trx[Id], Trx[IncNode], ,0)</f>
        <v>Expense</v>
      </c>
      <c r="O1534" t="str">
        <f>_xlfn.XLOOKUP(Jnl[[#This Row],[IncNode]], config_IS[Node], config_IS[Type],,0)</f>
        <v>Op</v>
      </c>
      <c r="P1534" t="str">
        <f>_xlfn.XLOOKUP(Jnl[[#This Row],[BSLv2]], dict[Key], dict[Name],,0)</f>
        <v>1.应收-应付</v>
      </c>
      <c r="Q1534" t="str">
        <f>_xlfn.XLOOKUP(Jnl[[#This Row],[Acct]], dict[Key], dict[Name],,0)</f>
        <v>应付-薪资</v>
      </c>
      <c r="R1534" t="str">
        <f>_xlfn.XLOOKUP(Jnl[[#This Row],[Vehicle]],config_vehicle[Id], config_vehicle[Name],,0)</f>
        <v>远家花园</v>
      </c>
      <c r="S1534" t="str">
        <f>_xlfn.XLOOKUP(Jnl[[#This Row],[Division]],config_div[Id], config_div[Name],,0)</f>
        <v>网店</v>
      </c>
      <c r="T1534" t="str">
        <f>IF(Jnl[[#This Row],[TrxDate]]&lt;=stmt_BS_date_end, "In", "Out")</f>
        <v>In</v>
      </c>
      <c r="U1534" t="str">
        <f>IF(Jnl[[#This Row],[TrxDate]]&lt;debug_date_start, "prior", IF(Jnl[[#This Row],[TrxDate]]&gt;debug_date_end, "post", "curr"))</f>
        <v>curr</v>
      </c>
    </row>
    <row r="1535" spans="1:21">
      <c r="A1535" s="11" t="s">
        <v>1918</v>
      </c>
      <c r="B1535" s="7">
        <f>_xlfn.XLOOKUP(Jnl[[#This Row],[TrxId]], Trx[Id], Trx[Date],,0)</f>
        <v>46081</v>
      </c>
      <c r="C1535" s="7" t="str">
        <f>_xlfn.XLOOKUP(Jnl[[#This Row],[TrxId]], Trx[Id], Trx[Division],,0)</f>
        <v>GM</v>
      </c>
      <c r="D1535" s="7" t="str">
        <f>_xlfn.XLOOKUP(Jnl[[#This Row],[TrxId]], Trx[Id], Trx[Action],,0)</f>
        <v>薪酬-工资</v>
      </c>
      <c r="E1535" s="26" t="s">
        <v>80</v>
      </c>
      <c r="F1535" s="11" t="s">
        <v>596</v>
      </c>
      <c r="G1535" s="11" t="s">
        <v>149</v>
      </c>
      <c r="H1535" s="72">
        <v>232522.65</v>
      </c>
      <c r="I1535" s="5" t="b">
        <f>AND(Jnl[[#This Row],[TrxId]]&lt;&gt;"",Jnl[[#This Row],[Acct]]&lt;&gt;"",Jnl[[#This Row],[Item]]&lt;&gt;"",ISNUMBER(Jnl[[#This Row],[Bal]]))</f>
        <v>1</v>
      </c>
      <c r="J1535" s="10">
        <f>IF(Jnl[[#This Row],[BSLv0]]="A",1,-1)*Jnl[[#This Row],[Bal]]</f>
        <v>-232522.65</v>
      </c>
      <c r="K1535" t="str">
        <f>_xlfn.XLOOKUP(Jnl[[#This Row],[Acct]], config_BS[Acct], config_BS[Lv0],,0)</f>
        <v>LC</v>
      </c>
      <c r="L1535" t="str">
        <f>_xlfn.XLOOKUP(Jnl[[#This Row],[Acct]], config_BS[Acct], config_BS[Lv1],,0)</f>
        <v>Liability</v>
      </c>
      <c r="M1535" t="str">
        <f>_xlfn.XLOOKUP(Jnl[[#This Row],[Acct]], config_BS[Acct], config_BS[Lv2],,0)</f>
        <v>Rec-Pay</v>
      </c>
      <c r="N1535" t="str">
        <f>_xlfn.XLOOKUP(Jnl[[#This Row],[TrxId]], Trx[Id], Trx[IncNode], ,0)</f>
        <v>Expense</v>
      </c>
      <c r="O1535" t="str">
        <f>_xlfn.XLOOKUP(Jnl[[#This Row],[IncNode]], config_IS[Node], config_IS[Type],,0)</f>
        <v>Op</v>
      </c>
      <c r="P1535" t="str">
        <f>_xlfn.XLOOKUP(Jnl[[#This Row],[BSLv2]], dict[Key], dict[Name],,0)</f>
        <v>1.应收-应付</v>
      </c>
      <c r="Q1535" t="str">
        <f>_xlfn.XLOOKUP(Jnl[[#This Row],[Acct]], dict[Key], dict[Name],,0)</f>
        <v>应付-薪资</v>
      </c>
      <c r="R1535" t="str">
        <f>_xlfn.XLOOKUP(Jnl[[#This Row],[Vehicle]],config_vehicle[Id], config_vehicle[Name],,0)</f>
        <v>远家花园</v>
      </c>
      <c r="S1535" t="str">
        <f>_xlfn.XLOOKUP(Jnl[[#This Row],[Division]],config_div[Id], config_div[Name],,0)</f>
        <v>综合管理</v>
      </c>
      <c r="T1535" t="str">
        <f>IF(Jnl[[#This Row],[TrxDate]]&lt;=stmt_BS_date_end, "In", "Out")</f>
        <v>In</v>
      </c>
      <c r="U1535" t="str">
        <f>IF(Jnl[[#This Row],[TrxDate]]&lt;debug_date_start, "prior", IF(Jnl[[#This Row],[TrxDate]]&gt;debug_date_end, "post", "curr"))</f>
        <v>curr</v>
      </c>
    </row>
    <row r="1536" spans="1:21">
      <c r="A1536" s="11" t="s">
        <v>1919</v>
      </c>
      <c r="B1536" s="7">
        <f>_xlfn.XLOOKUP(Jnl[[#This Row],[TrxId]], Trx[Id], Trx[Date],,0)</f>
        <v>46081</v>
      </c>
      <c r="C1536" s="7" t="str">
        <f>_xlfn.XLOOKUP(Jnl[[#This Row],[TrxId]], Trx[Id], Trx[Division],,0)</f>
        <v>Online</v>
      </c>
      <c r="D1536" s="7" t="str">
        <f>_xlfn.XLOOKUP(Jnl[[#This Row],[TrxId]], Trx[Id], Trx[Action],,0)</f>
        <v>加工</v>
      </c>
      <c r="E1536" s="26" t="s">
        <v>80</v>
      </c>
      <c r="F1536" s="11" t="s">
        <v>596</v>
      </c>
      <c r="G1536" s="11" t="s">
        <v>149</v>
      </c>
      <c r="H1536" s="72">
        <v>52950.6</v>
      </c>
      <c r="I1536" s="5" t="b">
        <f>AND(Jnl[[#This Row],[TrxId]]&lt;&gt;"",Jnl[[#This Row],[Acct]]&lt;&gt;"",Jnl[[#This Row],[Item]]&lt;&gt;"",ISNUMBER(Jnl[[#This Row],[Bal]]))</f>
        <v>1</v>
      </c>
      <c r="J1536" s="10">
        <f>IF(Jnl[[#This Row],[BSLv0]]="A",1,-1)*Jnl[[#This Row],[Bal]]</f>
        <v>-52950.6</v>
      </c>
      <c r="K1536" t="str">
        <f>_xlfn.XLOOKUP(Jnl[[#This Row],[Acct]], config_BS[Acct], config_BS[Lv0],,0)</f>
        <v>LC</v>
      </c>
      <c r="L1536" t="str">
        <f>_xlfn.XLOOKUP(Jnl[[#This Row],[Acct]], config_BS[Acct], config_BS[Lv1],,0)</f>
        <v>Liability</v>
      </c>
      <c r="M1536" t="str">
        <f>_xlfn.XLOOKUP(Jnl[[#This Row],[Acct]], config_BS[Acct], config_BS[Lv2],,0)</f>
        <v>Rec-Pay</v>
      </c>
      <c r="N1536" t="str">
        <f>_xlfn.XLOOKUP(Jnl[[#This Row],[TrxId]], Trx[Id], Trx[IncNode], ,0)</f>
        <v>Cost</v>
      </c>
      <c r="O1536" t="str">
        <f>_xlfn.XLOOKUP(Jnl[[#This Row],[IncNode]], config_IS[Node], config_IS[Type],,0)</f>
        <v>Op</v>
      </c>
      <c r="P1536" t="str">
        <f>_xlfn.XLOOKUP(Jnl[[#This Row],[BSLv2]], dict[Key], dict[Name],,0)</f>
        <v>1.应收-应付</v>
      </c>
      <c r="Q1536" t="str">
        <f>_xlfn.XLOOKUP(Jnl[[#This Row],[Acct]], dict[Key], dict[Name],,0)</f>
        <v>应付-薪资</v>
      </c>
      <c r="R1536" t="str">
        <f>_xlfn.XLOOKUP(Jnl[[#This Row],[Vehicle]],config_vehicle[Id], config_vehicle[Name],,0)</f>
        <v>远家花园</v>
      </c>
      <c r="S1536" t="str">
        <f>_xlfn.XLOOKUP(Jnl[[#This Row],[Division]],config_div[Id], config_div[Name],,0)</f>
        <v>网店</v>
      </c>
      <c r="T1536" t="str">
        <f>IF(Jnl[[#This Row],[TrxDate]]&lt;=stmt_BS_date_end, "In", "Out")</f>
        <v>In</v>
      </c>
      <c r="U1536" t="str">
        <f>IF(Jnl[[#This Row],[TrxDate]]&lt;debug_date_start, "prior", IF(Jnl[[#This Row],[TrxDate]]&gt;debug_date_end, "post", "curr"))</f>
        <v>curr</v>
      </c>
    </row>
    <row r="1537" spans="1:21">
      <c r="A1537" s="11" t="s">
        <v>1919</v>
      </c>
      <c r="B1537" s="7">
        <f>_xlfn.XLOOKUP(Jnl[[#This Row],[TrxId]], Trx[Id], Trx[Date],,0)</f>
        <v>46081</v>
      </c>
      <c r="C1537" s="7" t="str">
        <f>_xlfn.XLOOKUP(Jnl[[#This Row],[TrxId]], Trx[Id], Trx[Division],,0)</f>
        <v>Online</v>
      </c>
      <c r="D1537" s="7" t="str">
        <f>_xlfn.XLOOKUP(Jnl[[#This Row],[TrxId]], Trx[Id], Trx[Action],,0)</f>
        <v>加工</v>
      </c>
      <c r="E1537" s="26" t="s">
        <v>80</v>
      </c>
      <c r="F1537" s="11" t="s">
        <v>598</v>
      </c>
      <c r="G1537" s="11" t="s">
        <v>151</v>
      </c>
      <c r="H1537" s="72">
        <f>H1536</f>
        <v>52950.6</v>
      </c>
      <c r="I1537" s="5" t="b">
        <f>AND(Jnl[[#This Row],[TrxId]]&lt;&gt;"",Jnl[[#This Row],[Acct]]&lt;&gt;"",Jnl[[#This Row],[Item]]&lt;&gt;"",ISNUMBER(Jnl[[#This Row],[Bal]]))</f>
        <v>1</v>
      </c>
      <c r="J1537" s="10">
        <f>IF(Jnl[[#This Row],[BSLv0]]="A",1,-1)*Jnl[[#This Row],[Bal]]</f>
        <v>52950.6</v>
      </c>
      <c r="K1537" t="str">
        <f>_xlfn.XLOOKUP(Jnl[[#This Row],[Acct]], config_BS[Acct], config_BS[Lv0],,0)</f>
        <v>A</v>
      </c>
      <c r="L1537" t="str">
        <f>_xlfn.XLOOKUP(Jnl[[#This Row],[Acct]], config_BS[Acct], config_BS[Lv1],,0)</f>
        <v>Assets</v>
      </c>
      <c r="M1537" t="str">
        <f>_xlfn.XLOOKUP(Jnl[[#This Row],[Acct]], config_BS[Acct], config_BS[Lv2],,0)</f>
        <v>Invtr</v>
      </c>
      <c r="N1537" t="str">
        <f>_xlfn.XLOOKUP(Jnl[[#This Row],[TrxId]], Trx[Id], Trx[IncNode], ,0)</f>
        <v>Cost</v>
      </c>
      <c r="O1537" t="str">
        <f>_xlfn.XLOOKUP(Jnl[[#This Row],[IncNode]], config_IS[Node], config_IS[Type],,0)</f>
        <v>Op</v>
      </c>
      <c r="P1537" t="str">
        <f>_xlfn.XLOOKUP(Jnl[[#This Row],[BSLv2]], dict[Key], dict[Name],,0)</f>
        <v>3.库存占款</v>
      </c>
      <c r="Q1537" t="str">
        <f>_xlfn.XLOOKUP(Jnl[[#This Row],[Acct]], dict[Key], dict[Name],,0)</f>
        <v>当期存货</v>
      </c>
      <c r="R1537" t="str">
        <f>_xlfn.XLOOKUP(Jnl[[#This Row],[Vehicle]],config_vehicle[Id], config_vehicle[Name],,0)</f>
        <v>远家花园</v>
      </c>
      <c r="S1537" t="str">
        <f>_xlfn.XLOOKUP(Jnl[[#This Row],[Division]],config_div[Id], config_div[Name],,0)</f>
        <v>网店</v>
      </c>
      <c r="T1537" t="str">
        <f>IF(Jnl[[#This Row],[TrxDate]]&lt;=stmt_BS_date_end, "In", "Out")</f>
        <v>In</v>
      </c>
      <c r="U1537" t="str">
        <f>IF(Jnl[[#This Row],[TrxDate]]&lt;debug_date_start, "prior", IF(Jnl[[#This Row],[TrxDate]]&gt;debug_date_end, "post", "curr"))</f>
        <v>curr</v>
      </c>
    </row>
    <row r="1538" spans="1:21">
      <c r="A1538" s="11" t="s">
        <v>1920</v>
      </c>
      <c r="B1538" s="7">
        <f>_xlfn.XLOOKUP(Jnl[[#This Row],[TrxId]], Trx[Id], Trx[Date],,0)</f>
        <v>46081</v>
      </c>
      <c r="C1538" s="7" t="str">
        <f>_xlfn.XLOOKUP(Jnl[[#This Row],[TrxId]], Trx[Id], Trx[Division],,0)</f>
        <v>Online</v>
      </c>
      <c r="D1538" s="7" t="str">
        <f>_xlfn.XLOOKUP(Jnl[[#This Row],[TrxId]], Trx[Id], Trx[Action],,0)</f>
        <v>服饰</v>
      </c>
      <c r="E1538" s="26" t="s">
        <v>80</v>
      </c>
      <c r="F1538" s="11" t="s">
        <v>593</v>
      </c>
      <c r="G1538" s="11" t="s">
        <v>594</v>
      </c>
      <c r="H1538" s="72">
        <v>3680459.8400000003</v>
      </c>
      <c r="I1538" s="5" t="b">
        <f>AND(Jnl[[#This Row],[TrxId]]&lt;&gt;"",Jnl[[#This Row],[Acct]]&lt;&gt;"",Jnl[[#This Row],[Item]]&lt;&gt;"",ISNUMBER(Jnl[[#This Row],[Bal]]))</f>
        <v>1</v>
      </c>
      <c r="J1538" s="10">
        <f>IF(Jnl[[#This Row],[BSLv0]]="A",1,-1)*Jnl[[#This Row],[Bal]]</f>
        <v>3680459.8400000003</v>
      </c>
      <c r="K1538" t="str">
        <f>_xlfn.XLOOKUP(Jnl[[#This Row],[Acct]], config_BS[Acct], config_BS[Lv0],,0)</f>
        <v>A</v>
      </c>
      <c r="L1538" t="str">
        <f>_xlfn.XLOOKUP(Jnl[[#This Row],[Acct]], config_BS[Acct], config_BS[Lv1],,0)</f>
        <v>Assets</v>
      </c>
      <c r="M1538" t="str">
        <f>_xlfn.XLOOKUP(Jnl[[#This Row],[Acct]], config_BS[Acct], config_BS[Lv2],,0)</f>
        <v>Rec-Pay</v>
      </c>
      <c r="N1538" t="str">
        <f>_xlfn.XLOOKUP(Jnl[[#This Row],[TrxId]], Trx[Id], Trx[IncNode], ,0)</f>
        <v>Revenue</v>
      </c>
      <c r="O1538" t="str">
        <f>_xlfn.XLOOKUP(Jnl[[#This Row],[IncNode]], config_IS[Node], config_IS[Type],,0)</f>
        <v>Op</v>
      </c>
      <c r="P1538" t="str">
        <f>_xlfn.XLOOKUP(Jnl[[#This Row],[BSLv2]], dict[Key], dict[Name],,0)</f>
        <v>1.应收-应付</v>
      </c>
      <c r="Q1538" t="str">
        <f>_xlfn.XLOOKUP(Jnl[[#This Row],[Acct]], dict[Key], dict[Name],,0)</f>
        <v>应收-一般</v>
      </c>
      <c r="R1538" t="str">
        <f>_xlfn.XLOOKUP(Jnl[[#This Row],[Vehicle]],config_vehicle[Id], config_vehicle[Name],,0)</f>
        <v>远家花园</v>
      </c>
      <c r="S1538" t="str">
        <f>_xlfn.XLOOKUP(Jnl[[#This Row],[Division]],config_div[Id], config_div[Name],,0)</f>
        <v>网店</v>
      </c>
      <c r="T1538" t="str">
        <f>IF(Jnl[[#This Row],[TrxDate]]&lt;=stmt_BS_date_end, "In", "Out")</f>
        <v>In</v>
      </c>
      <c r="U1538" t="str">
        <f>IF(Jnl[[#This Row],[TrxDate]]&lt;debug_date_start, "prior", IF(Jnl[[#This Row],[TrxDate]]&gt;debug_date_end, "post", "curr"))</f>
        <v>curr</v>
      </c>
    </row>
    <row r="1539" spans="1:21">
      <c r="A1539" s="11" t="s">
        <v>1921</v>
      </c>
      <c r="B1539" s="7">
        <f>_xlfn.XLOOKUP(Jnl[[#This Row],[TrxId]], Trx[Id], Trx[Date],,0)</f>
        <v>46081</v>
      </c>
      <c r="C1539" s="7" t="str">
        <f>_xlfn.XLOOKUP(Jnl[[#This Row],[TrxId]], Trx[Id], Trx[Division],,0)</f>
        <v>Online</v>
      </c>
      <c r="D1539" s="7" t="str">
        <f>_xlfn.XLOOKUP(Jnl[[#This Row],[TrxId]], Trx[Id], Trx[Action],,0)</f>
        <v>增值税</v>
      </c>
      <c r="E1539" s="26" t="s">
        <v>80</v>
      </c>
      <c r="F1539" s="11" t="s">
        <v>127</v>
      </c>
      <c r="G1539" s="11" t="s">
        <v>307</v>
      </c>
      <c r="H1539" s="72">
        <v>401234.55</v>
      </c>
      <c r="I1539" s="5" t="b">
        <f>AND(Jnl[[#This Row],[TrxId]]&lt;&gt;"",Jnl[[#This Row],[Acct]]&lt;&gt;"",Jnl[[#This Row],[Item]]&lt;&gt;"",ISNUMBER(Jnl[[#This Row],[Bal]]))</f>
        <v>1</v>
      </c>
      <c r="J1539" s="10">
        <f>IF(Jnl[[#This Row],[BSLv0]]="A",1,-1)*Jnl[[#This Row],[Bal]]</f>
        <v>-401234.55</v>
      </c>
      <c r="K1539" t="str">
        <f>_xlfn.XLOOKUP(Jnl[[#This Row],[Acct]], config_BS[Acct], config_BS[Lv0],,0)</f>
        <v>LC</v>
      </c>
      <c r="L1539" t="str">
        <f>_xlfn.XLOOKUP(Jnl[[#This Row],[Acct]], config_BS[Acct], config_BS[Lv1],,0)</f>
        <v>Liability</v>
      </c>
      <c r="M1539" t="str">
        <f>_xlfn.XLOOKUP(Jnl[[#This Row],[Acct]], config_BS[Acct], config_BS[Lv2],,0)</f>
        <v>Rec-Pay</v>
      </c>
      <c r="N1539" t="str">
        <f>_xlfn.XLOOKUP(Jnl[[#This Row],[TrxId]], Trx[Id], Trx[IncNode], ,0)</f>
        <v>Cost</v>
      </c>
      <c r="O1539" t="str">
        <f>_xlfn.XLOOKUP(Jnl[[#This Row],[IncNode]], config_IS[Node], config_IS[Type],,0)</f>
        <v>Op</v>
      </c>
      <c r="P1539" t="str">
        <f>_xlfn.XLOOKUP(Jnl[[#This Row],[BSLv2]], dict[Key], dict[Name],,0)</f>
        <v>1.应收-应付</v>
      </c>
      <c r="Q1539" t="str">
        <f>_xlfn.XLOOKUP(Jnl[[#This Row],[Acct]], dict[Key], dict[Name],,0)</f>
        <v>应付-税款</v>
      </c>
      <c r="R1539" t="str">
        <f>_xlfn.XLOOKUP(Jnl[[#This Row],[Vehicle]],config_vehicle[Id], config_vehicle[Name],,0)</f>
        <v>远家花园</v>
      </c>
      <c r="S1539" t="str">
        <f>_xlfn.XLOOKUP(Jnl[[#This Row],[Division]],config_div[Id], config_div[Name],,0)</f>
        <v>网店</v>
      </c>
      <c r="T1539" t="str">
        <f>IF(Jnl[[#This Row],[TrxDate]]&lt;=stmt_BS_date_end, "In", "Out")</f>
        <v>In</v>
      </c>
      <c r="U1539" t="str">
        <f>IF(Jnl[[#This Row],[TrxDate]]&lt;debug_date_start, "prior", IF(Jnl[[#This Row],[TrxDate]]&gt;debug_date_end, "post", "curr"))</f>
        <v>curr</v>
      </c>
    </row>
    <row r="1540" spans="1:21">
      <c r="A1540" s="11" t="s">
        <v>1922</v>
      </c>
      <c r="B1540" s="7">
        <f>_xlfn.XLOOKUP(Jnl[[#This Row],[TrxId]], Trx[Id], Trx[Date],,0)</f>
        <v>46081</v>
      </c>
      <c r="C1540" s="7" t="str">
        <f>_xlfn.XLOOKUP(Jnl[[#This Row],[TrxId]], Trx[Id], Trx[Division],,0)</f>
        <v>GM</v>
      </c>
      <c r="D1540" s="7" t="str">
        <f>_xlfn.XLOOKUP(Jnl[[#This Row],[TrxId]], Trx[Id], Trx[Action],,0)</f>
        <v>房租</v>
      </c>
      <c r="E1540" s="26" t="s">
        <v>80</v>
      </c>
      <c r="F1540" s="11" t="s">
        <v>493</v>
      </c>
      <c r="G1540" s="11" t="s">
        <v>141</v>
      </c>
      <c r="H1540" s="72">
        <v>-28258.42</v>
      </c>
      <c r="I1540" s="5" t="b">
        <f>AND(Jnl[[#This Row],[TrxId]]&lt;&gt;"",Jnl[[#This Row],[Acct]]&lt;&gt;"",Jnl[[#This Row],[Item]]&lt;&gt;"",ISNUMBER(Jnl[[#This Row],[Bal]]))</f>
        <v>1</v>
      </c>
      <c r="J1540" s="10">
        <f>IF(Jnl[[#This Row],[BSLv0]]="A",1,-1)*Jnl[[#This Row],[Bal]]</f>
        <v>-28258.42</v>
      </c>
      <c r="K1540" t="str">
        <f>_xlfn.XLOOKUP(Jnl[[#This Row],[Acct]], config_BS[Acct], config_BS[Lv0],,0)</f>
        <v>A</v>
      </c>
      <c r="L1540" t="str">
        <f>_xlfn.XLOOKUP(Jnl[[#This Row],[Acct]], config_BS[Acct], config_BS[Lv1],,0)</f>
        <v>Assets</v>
      </c>
      <c r="M1540" t="str">
        <f>_xlfn.XLOOKUP(Jnl[[#This Row],[Acct]], config_BS[Acct], config_BS[Lv2],,0)</f>
        <v>Prep-Sub</v>
      </c>
      <c r="N1540" t="str">
        <f>_xlfn.XLOOKUP(Jnl[[#This Row],[TrxId]], Trx[Id], Trx[IncNode], ,0)</f>
        <v>Expense</v>
      </c>
      <c r="O1540" t="str">
        <f>_xlfn.XLOOKUP(Jnl[[#This Row],[IncNode]], config_IS[Node], config_IS[Type],,0)</f>
        <v>Op</v>
      </c>
      <c r="P1540" t="str">
        <f>_xlfn.XLOOKUP(Jnl[[#This Row],[BSLv2]], dict[Key], dict[Name],,0)</f>
        <v>2.预付-订阅</v>
      </c>
      <c r="Q1540" t="str">
        <f>_xlfn.XLOOKUP(Jnl[[#This Row],[Acct]], dict[Key], dict[Name],,0)</f>
        <v>预付订单</v>
      </c>
      <c r="R1540" t="str">
        <f>_xlfn.XLOOKUP(Jnl[[#This Row],[Vehicle]],config_vehicle[Id], config_vehicle[Name],,0)</f>
        <v>远家花园</v>
      </c>
      <c r="S1540" t="str">
        <f>_xlfn.XLOOKUP(Jnl[[#This Row],[Division]],config_div[Id], config_div[Name],,0)</f>
        <v>综合管理</v>
      </c>
      <c r="T1540" t="str">
        <f>IF(Jnl[[#This Row],[TrxDate]]&lt;=stmt_BS_date_end, "In", "Out")</f>
        <v>In</v>
      </c>
      <c r="U1540" t="str">
        <f>IF(Jnl[[#This Row],[TrxDate]]&lt;debug_date_start, "prior", IF(Jnl[[#This Row],[TrxDate]]&gt;debug_date_end, "post", "curr"))</f>
        <v>curr</v>
      </c>
    </row>
    <row r="1541" spans="1:21">
      <c r="A1541" s="11" t="s">
        <v>1925</v>
      </c>
      <c r="B1541" s="7">
        <f>_xlfn.XLOOKUP(Jnl[[#This Row],[TrxId]], Trx[Id], Trx[Date],,0)</f>
        <v>46081</v>
      </c>
      <c r="C1541" s="7" t="str">
        <f>_xlfn.XLOOKUP(Jnl[[#This Row],[TrxId]], Trx[Id], Trx[Division],,0)</f>
        <v>Online</v>
      </c>
      <c r="D1541" s="7" t="str">
        <f>_xlfn.XLOOKUP(Jnl[[#This Row],[TrxId]], Trx[Id], Trx[Action],,0)</f>
        <v>库存摊销</v>
      </c>
      <c r="E1541" s="26" t="s">
        <v>80</v>
      </c>
      <c r="F1541" s="11" t="s">
        <v>598</v>
      </c>
      <c r="G1541" s="11" t="s">
        <v>151</v>
      </c>
      <c r="H1541" s="72">
        <f>-3716677.12*0.5</f>
        <v>-1858338.56</v>
      </c>
      <c r="I1541" s="5" t="b">
        <f>AND(Jnl[[#This Row],[TrxId]]&lt;&gt;"",Jnl[[#This Row],[Acct]]&lt;&gt;"",Jnl[[#This Row],[Item]]&lt;&gt;"",ISNUMBER(Jnl[[#This Row],[Bal]]))</f>
        <v>1</v>
      </c>
      <c r="J1541" s="10">
        <f>IF(Jnl[[#This Row],[BSLv0]]="A",1,-1)*Jnl[[#This Row],[Bal]]</f>
        <v>-1858338.56</v>
      </c>
      <c r="K1541" t="str">
        <f>_xlfn.XLOOKUP(Jnl[[#This Row],[Acct]], config_BS[Acct], config_BS[Lv0],,0)</f>
        <v>A</v>
      </c>
      <c r="L1541" t="str">
        <f>_xlfn.XLOOKUP(Jnl[[#This Row],[Acct]], config_BS[Acct], config_BS[Lv1],,0)</f>
        <v>Assets</v>
      </c>
      <c r="M1541" t="str">
        <f>_xlfn.XLOOKUP(Jnl[[#This Row],[Acct]], config_BS[Acct], config_BS[Lv2],,0)</f>
        <v>Invtr</v>
      </c>
      <c r="N1541" t="str">
        <f>_xlfn.XLOOKUP(Jnl[[#This Row],[TrxId]], Trx[Id], Trx[IncNode], ,0)</f>
        <v>Cost</v>
      </c>
      <c r="O1541" t="str">
        <f>_xlfn.XLOOKUP(Jnl[[#This Row],[IncNode]], config_IS[Node], config_IS[Type],,0)</f>
        <v>Op</v>
      </c>
      <c r="P1541" t="str">
        <f>_xlfn.XLOOKUP(Jnl[[#This Row],[BSLv2]], dict[Key], dict[Name],,0)</f>
        <v>3.库存占款</v>
      </c>
      <c r="Q1541" t="str">
        <f>_xlfn.XLOOKUP(Jnl[[#This Row],[Acct]], dict[Key], dict[Name],,0)</f>
        <v>当期存货</v>
      </c>
      <c r="R1541" t="str">
        <f>_xlfn.XLOOKUP(Jnl[[#This Row],[Vehicle]],config_vehicle[Id], config_vehicle[Name],,0)</f>
        <v>远家花园</v>
      </c>
      <c r="S1541" t="str">
        <f>_xlfn.XLOOKUP(Jnl[[#This Row],[Division]],config_div[Id], config_div[Name],,0)</f>
        <v>网店</v>
      </c>
      <c r="T1541" t="str">
        <f>IF(Jnl[[#This Row],[TrxDate]]&lt;=stmt_BS_date_end, "In", "Out")</f>
        <v>In</v>
      </c>
      <c r="U1541" t="str">
        <f>IF(Jnl[[#This Row],[TrxDate]]&lt;debug_date_start, "prior", IF(Jnl[[#This Row],[TrxDate]]&gt;debug_date_end, "post", "curr"))</f>
        <v>curr</v>
      </c>
    </row>
    <row r="1542" spans="1:21">
      <c r="A1542" s="11" t="s">
        <v>1927</v>
      </c>
      <c r="B1542" s="7">
        <f>_xlfn.XLOOKUP(Jnl[[#This Row],[TrxId]], Trx[Id], Trx[Date],,0)</f>
        <v>46081</v>
      </c>
      <c r="C1542" s="7" t="str">
        <f>_xlfn.XLOOKUP(Jnl[[#This Row],[TrxId]], Trx[Id], Trx[Division],,0)</f>
        <v>Online</v>
      </c>
      <c r="D1542" s="7" t="str">
        <f>_xlfn.XLOOKUP(Jnl[[#This Row],[TrxId]], Trx[Id], Trx[Action],,0)</f>
        <v>库存风险准备</v>
      </c>
      <c r="E1542" s="26" t="s">
        <v>80</v>
      </c>
      <c r="F1542" s="11" t="s">
        <v>598</v>
      </c>
      <c r="G1542" s="11" t="s">
        <v>151</v>
      </c>
      <c r="H1542" s="72">
        <v>0</v>
      </c>
      <c r="I1542" s="5" t="b">
        <f>AND(Jnl[[#This Row],[TrxId]]&lt;&gt;"",Jnl[[#This Row],[Acct]]&lt;&gt;"",Jnl[[#This Row],[Item]]&lt;&gt;"",ISNUMBER(Jnl[[#This Row],[Bal]]))</f>
        <v>1</v>
      </c>
      <c r="J1542" s="10">
        <f>IF(Jnl[[#This Row],[BSLv0]]="A",1,-1)*Jnl[[#This Row],[Bal]]</f>
        <v>0</v>
      </c>
      <c r="K1542" t="str">
        <f>_xlfn.XLOOKUP(Jnl[[#This Row],[Acct]], config_BS[Acct], config_BS[Lv0],,0)</f>
        <v>A</v>
      </c>
      <c r="L1542" t="str">
        <f>_xlfn.XLOOKUP(Jnl[[#This Row],[Acct]], config_BS[Acct], config_BS[Lv1],,0)</f>
        <v>Assets</v>
      </c>
      <c r="M1542" t="str">
        <f>_xlfn.XLOOKUP(Jnl[[#This Row],[Acct]], config_BS[Acct], config_BS[Lv2],,0)</f>
        <v>Invtr</v>
      </c>
      <c r="N1542" t="str">
        <f>_xlfn.XLOOKUP(Jnl[[#This Row],[TrxId]], Trx[Id], Trx[IncNode], ,0)</f>
        <v>Gain-Loss</v>
      </c>
      <c r="O1542" t="str">
        <f>_xlfn.XLOOKUP(Jnl[[#This Row],[IncNode]], config_IS[Node], config_IS[Type],,0)</f>
        <v>Non-Op</v>
      </c>
      <c r="P1542" t="str">
        <f>_xlfn.XLOOKUP(Jnl[[#This Row],[BSLv2]], dict[Key], dict[Name],,0)</f>
        <v>3.库存占款</v>
      </c>
      <c r="Q1542" t="str">
        <f>_xlfn.XLOOKUP(Jnl[[#This Row],[Acct]], dict[Key], dict[Name],,0)</f>
        <v>当期存货</v>
      </c>
      <c r="R1542" t="str">
        <f>_xlfn.XLOOKUP(Jnl[[#This Row],[Vehicle]],config_vehicle[Id], config_vehicle[Name],,0)</f>
        <v>远家花园</v>
      </c>
      <c r="S1542" t="str">
        <f>_xlfn.XLOOKUP(Jnl[[#This Row],[Division]],config_div[Id], config_div[Name],,0)</f>
        <v>网店</v>
      </c>
      <c r="T1542" t="str">
        <f>IF(Jnl[[#This Row],[TrxDate]]&lt;=stmt_BS_date_end, "In", "Out")</f>
        <v>In</v>
      </c>
      <c r="U1542" t="str">
        <f>IF(Jnl[[#This Row],[TrxDate]]&lt;debug_date_start, "prior", IF(Jnl[[#This Row],[TrxDate]]&gt;debug_date_end, "post", "curr"))</f>
        <v>curr</v>
      </c>
    </row>
  </sheetData>
  <phoneticPr fontId="6" type="noConversion"/>
  <dataValidations count="2">
    <dataValidation type="list" allowBlank="1" showInputMessage="1" showErrorMessage="1" sqref="F269:F270 F261:F262 F891 F264:F265 F336:F338 F275 F387:F389 F277 F252:F259 F294:F298 F300:F301 F303 F305:F310 F312 F314 F316 F318:F319 F321 F323 F325 F327:F329 F333:F334 F416:F423 F340 F345 F348:F349 F352 F354 F356 F358 F361 F363:F366 F368:F374 F397:F406 F408 F410:F411 F413 F466 F672:F676 F431:F432 F435:F437 F426:F429 F455:F458 F460:F461 F545:F546 F469:F470 F472:F474 F476 F443 F485:F487 F490:F491 F493:F494 F496:F498 F500 F502:F503 F505:F506 F508 F510 F512:F514 F516:F518 F520:F525 F529 F531:F532 F537:F538 F540:F541 F543 F763 F548:F553 F559 F562:F565 F570:F572 F574 F576:F577 F579 F581 F583 F587:F590 F592 F596 F598 F600 F602 F604 F618 F620 F622:F623 F625 F627:F628 F630:F631 F637:F638 F555:F557 F568 F585 F594 F607:F612 F614:F616 F635 F641 F643 F645 F647 F649 F651:F653 F655 F657:F660 F662 F664 F666 F668 F670 F758 F2:F113 F248:F250 F279:F288 F290:F291 F905 F1122 F1403 F1413 F115:F246" xr:uid="{27180EBA-4775-47D1-B40D-F072FAF2E681}">
      <formula1>INDIRECT("config_BS[Acct]")</formula1>
    </dataValidation>
    <dataValidation type="list" allowBlank="1" showInputMessage="1" showErrorMessage="1" sqref="E2:E1542" xr:uid="{BB80EDC6-E731-41ED-BF45-4D37F23079E3}">
      <formula1>INDIRECT("config_vehicle[Id]")</formula1>
    </dataValidation>
  </dataValidations>
  <pageMargins left="0.7" right="0.7" top="0.75" bottom="0.75" header="0.3" footer="0.3"/>
  <pageSetup paperSize="9"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A8AFF-CB18-4FAA-AE90-4DB8B4C138F0}">
  <sheetPr codeName="Sheet5">
    <tabColor theme="9" tint="0.79998168889431442"/>
  </sheetPr>
  <dimension ref="A1:AC58"/>
  <sheetViews>
    <sheetView zoomScale="110" zoomScaleNormal="110" workbookViewId="0">
      <selection activeCell="F27" sqref="F27"/>
    </sheetView>
  </sheetViews>
  <sheetFormatPr defaultRowHeight="15"/>
  <cols>
    <col min="1" max="1" width="16.5703125" customWidth="1"/>
    <col min="2" max="2" width="14.7109375" bestFit="1" customWidth="1"/>
    <col min="3" max="3" width="12.85546875" customWidth="1"/>
    <col min="4" max="4" width="12.5703125" customWidth="1"/>
    <col min="5" max="5" width="4.28515625" customWidth="1"/>
    <col min="6" max="6" width="18.140625" bestFit="1" customWidth="1"/>
    <col min="7" max="7" width="15.28515625" customWidth="1"/>
    <col min="8" max="8" width="16.28515625" customWidth="1"/>
    <col min="9" max="9" width="15" customWidth="1"/>
    <col min="10" max="10" width="15.28515625" customWidth="1"/>
    <col min="11" max="11" width="23.5703125" customWidth="1"/>
    <col min="12" max="12" width="17" bestFit="1" customWidth="1"/>
    <col min="13" max="20" width="15.7109375" customWidth="1"/>
    <col min="21" max="21" width="9.7109375" bestFit="1" customWidth="1"/>
    <col min="22" max="22" width="12.5703125" bestFit="1" customWidth="1"/>
    <col min="23" max="23" width="15.140625" customWidth="1"/>
    <col min="24" max="24" width="18.140625" bestFit="1" customWidth="1"/>
    <col min="25" max="25" width="16.28515625" bestFit="1" customWidth="1"/>
    <col min="26" max="26" width="12.42578125" bestFit="1" customWidth="1"/>
    <col min="27" max="27" width="4.5703125" bestFit="1" customWidth="1"/>
    <col min="28" max="28" width="12.42578125" bestFit="1" customWidth="1"/>
    <col min="29" max="29" width="15" bestFit="1" customWidth="1"/>
    <col min="30" max="30" width="11.5703125" bestFit="1" customWidth="1"/>
    <col min="31" max="31" width="15.28515625" bestFit="1" customWidth="1"/>
    <col min="32" max="32" width="15" bestFit="1" customWidth="1"/>
  </cols>
  <sheetData>
    <row r="1" spans="1:29">
      <c r="A1" s="2" t="s">
        <v>215</v>
      </c>
      <c r="B1" s="2"/>
      <c r="C1" s="2"/>
      <c r="D1" s="2"/>
      <c r="F1" s="2" t="s">
        <v>1410</v>
      </c>
      <c r="G1" s="2"/>
      <c r="H1" s="2"/>
      <c r="I1" s="2"/>
      <c r="J1" s="2"/>
      <c r="L1" s="12" t="s">
        <v>288</v>
      </c>
      <c r="M1" t="s">
        <v>1996</v>
      </c>
    </row>
    <row r="2" spans="1:29">
      <c r="A2" s="20" t="s">
        <v>38</v>
      </c>
      <c r="F2" t="s">
        <v>208</v>
      </c>
      <c r="G2" s="10">
        <f>SUMIFS(Jnl[NetBal], Jnl[IncNode], "Revenue", Jnl[ScopeDebug], "Curr")</f>
        <v>4934655.32</v>
      </c>
    </row>
    <row r="3" spans="1:29">
      <c r="A3" s="6" t="s">
        <v>116</v>
      </c>
      <c r="B3" s="24">
        <f>MAX(Jnl[TrxDate])</f>
        <v>46081</v>
      </c>
      <c r="F3" t="s">
        <v>1411</v>
      </c>
      <c r="G3" s="10">
        <f>SUMIFS(Jnl[NetBal], Jnl[IncNode], "Cost", Jnl[ScopeDebug], "Curr")</f>
        <v>-2841297.49</v>
      </c>
      <c r="H3" s="29">
        <f>(G2+G3)/G2</f>
        <v>0.42421561269247876</v>
      </c>
      <c r="I3" s="3" t="s">
        <v>1412</v>
      </c>
      <c r="J3" s="9"/>
      <c r="K3" s="52"/>
      <c r="L3" s="13" t="s">
        <v>291</v>
      </c>
      <c r="M3" s="13" t="s">
        <v>1990</v>
      </c>
      <c r="N3" s="6"/>
      <c r="O3" s="6"/>
      <c r="P3" s="6"/>
      <c r="Q3" s="6"/>
      <c r="R3" s="6"/>
      <c r="S3" s="6"/>
      <c r="T3" s="6"/>
      <c r="X3" s="115" t="s">
        <v>1933</v>
      </c>
      <c r="Y3" s="115" t="s">
        <v>1990</v>
      </c>
      <c r="Z3" s="116"/>
      <c r="AA3" s="116"/>
      <c r="AB3" s="116"/>
    </row>
    <row r="4" spans="1:29">
      <c r="A4" s="6" t="s">
        <v>286</v>
      </c>
      <c r="B4" s="24">
        <f>IF(C4&lt;&gt;"",C4, EOMONTH(B4,-1)+1)</f>
        <v>46081</v>
      </c>
      <c r="C4" s="26">
        <v>46081</v>
      </c>
      <c r="F4" s="69" t="s">
        <v>1413</v>
      </c>
      <c r="G4" s="70">
        <f>SUMIFS(Jnl[NetBal], Jnl[IncNode], "Expense", Jnl[ScopeDebug], "Curr")</f>
        <v>-1512525.4330882351</v>
      </c>
      <c r="H4" s="71">
        <f>-G4/G2</f>
        <v>0.30651085739626388</v>
      </c>
      <c r="I4" s="3" t="s">
        <v>1414</v>
      </c>
      <c r="J4" s="9"/>
      <c r="K4" s="43"/>
      <c r="L4" s="13" t="s">
        <v>1991</v>
      </c>
      <c r="M4" s="17" t="s">
        <v>294</v>
      </c>
      <c r="N4" s="17" t="s">
        <v>1924</v>
      </c>
      <c r="O4" s="17" t="s">
        <v>31</v>
      </c>
      <c r="P4" s="17" t="s">
        <v>1930</v>
      </c>
      <c r="Q4" s="17" t="s">
        <v>36</v>
      </c>
      <c r="R4" s="17" t="s">
        <v>34</v>
      </c>
      <c r="S4" s="17" t="s">
        <v>293</v>
      </c>
      <c r="T4" s="17" t="s">
        <v>1992</v>
      </c>
      <c r="X4" s="115" t="s">
        <v>1991</v>
      </c>
      <c r="Y4" s="116" t="s">
        <v>1993</v>
      </c>
      <c r="Z4" s="116" t="s">
        <v>1994</v>
      </c>
      <c r="AA4" s="116" t="s">
        <v>1995</v>
      </c>
      <c r="AB4" s="116" t="s">
        <v>1992</v>
      </c>
    </row>
    <row r="5" spans="1:29">
      <c r="A5" s="6" t="s">
        <v>287</v>
      </c>
      <c r="B5" s="24">
        <f>IF(C5&lt;&gt;"",C5,EOMONTH(B4,0))</f>
        <v>46081</v>
      </c>
      <c r="C5" s="26"/>
      <c r="F5" t="s">
        <v>1415</v>
      </c>
      <c r="G5" s="10">
        <f>SUM(G2:G4)</f>
        <v>580832.39691176498</v>
      </c>
      <c r="H5" s="29">
        <f>G5/G2</f>
        <v>0.11770475529621488</v>
      </c>
      <c r="I5" s="3" t="s">
        <v>1416</v>
      </c>
      <c r="J5" s="9"/>
      <c r="K5" s="49"/>
      <c r="L5" s="14" t="s">
        <v>1993</v>
      </c>
      <c r="M5" s="116">
        <v>1066293.2450000001</v>
      </c>
      <c r="N5" s="116">
        <v>443029.06999999983</v>
      </c>
      <c r="O5" s="116">
        <v>14229.335000000014</v>
      </c>
      <c r="P5" s="116">
        <v>-18181.62</v>
      </c>
      <c r="Q5" s="116">
        <v>-1552922.8958333337</v>
      </c>
      <c r="R5" s="116">
        <v>-113646.81725490198</v>
      </c>
      <c r="S5" s="116">
        <v>-40019.679999999993</v>
      </c>
      <c r="T5" s="116">
        <v>-201219.36308823075</v>
      </c>
      <c r="X5" s="117" t="s">
        <v>26</v>
      </c>
      <c r="Y5" s="116">
        <v>517487.94691176614</v>
      </c>
      <c r="Z5" s="116">
        <v>580832.39691176452</v>
      </c>
      <c r="AA5" s="116"/>
      <c r="AB5" s="116">
        <v>1098320.3438235312</v>
      </c>
    </row>
    <row r="6" spans="1:29">
      <c r="L6" s="14" t="s">
        <v>1994</v>
      </c>
      <c r="M6" s="116">
        <v>1006998.7500000005</v>
      </c>
      <c r="N6" s="116">
        <v>276524.34499999997</v>
      </c>
      <c r="O6" s="116">
        <v>125718.31499999992</v>
      </c>
      <c r="P6" s="116">
        <v>-4776.9199999999973</v>
      </c>
      <c r="Q6" s="116">
        <v>-883253.67583333375</v>
      </c>
      <c r="R6" s="116">
        <v>-116510.497254902</v>
      </c>
      <c r="S6" s="116">
        <v>-3000</v>
      </c>
      <c r="T6" s="116">
        <v>401700.31691176217</v>
      </c>
      <c r="X6" s="118" t="s">
        <v>22</v>
      </c>
      <c r="Y6" s="116">
        <v>4936550.8500000006</v>
      </c>
      <c r="Z6" s="116">
        <v>4934655.32</v>
      </c>
      <c r="AA6" s="116"/>
      <c r="AB6" s="116">
        <v>9871206.1700000018</v>
      </c>
    </row>
    <row r="7" spans="1:29">
      <c r="A7" s="3" t="s">
        <v>290</v>
      </c>
      <c r="L7" s="15" t="s">
        <v>26</v>
      </c>
      <c r="M7" s="116">
        <v>1006998.7500000005</v>
      </c>
      <c r="N7" s="116">
        <v>276524.34499999997</v>
      </c>
      <c r="O7" s="116">
        <v>94834.914999999921</v>
      </c>
      <c r="P7" s="116">
        <v>-4776.9199999999973</v>
      </c>
      <c r="Q7" s="116">
        <v>-628338.19583333365</v>
      </c>
      <c r="R7" s="116">
        <v>-161410.497254902</v>
      </c>
      <c r="S7" s="116">
        <v>-3000</v>
      </c>
      <c r="T7" s="116">
        <v>580832.39691176219</v>
      </c>
      <c r="X7" s="118" t="s">
        <v>23</v>
      </c>
      <c r="Y7" s="116">
        <v>-2676926.8499999996</v>
      </c>
      <c r="Z7" s="116">
        <v>-2841297.49</v>
      </c>
      <c r="AA7" s="116"/>
      <c r="AB7" s="116">
        <v>-5518224.3399999999</v>
      </c>
    </row>
    <row r="8" spans="1:29">
      <c r="L8" s="73" t="s">
        <v>22</v>
      </c>
      <c r="M8" s="116">
        <v>3730669.9200000004</v>
      </c>
      <c r="N8" s="116">
        <v>871485.26</v>
      </c>
      <c r="O8" s="116">
        <v>332175.75999999989</v>
      </c>
      <c r="P8" s="116">
        <v>324.38</v>
      </c>
      <c r="Q8" s="116"/>
      <c r="R8" s="116"/>
      <c r="S8" s="116"/>
      <c r="T8" s="116">
        <v>4934655.3199999984</v>
      </c>
      <c r="X8" s="119" t="s">
        <v>1947</v>
      </c>
      <c r="Y8" s="116">
        <v>-2109627.5299999998</v>
      </c>
      <c r="Z8" s="116">
        <v>-2152839.83</v>
      </c>
      <c r="AA8" s="116"/>
      <c r="AB8" s="116">
        <v>-4262467.3599999994</v>
      </c>
    </row>
    <row r="9" spans="1:29">
      <c r="A9" s="2" t="s">
        <v>585</v>
      </c>
      <c r="B9" s="2"/>
      <c r="C9" s="2"/>
      <c r="D9" s="2"/>
      <c r="F9" s="2" t="s">
        <v>1409</v>
      </c>
      <c r="G9" s="2"/>
      <c r="H9" s="2"/>
      <c r="I9" s="2"/>
      <c r="J9" s="2"/>
      <c r="L9" s="73" t="s">
        <v>23</v>
      </c>
      <c r="M9" s="116">
        <v>-2308442.1800000002</v>
      </c>
      <c r="N9" s="116">
        <v>-416635.63500000001</v>
      </c>
      <c r="O9" s="116">
        <v>-135627.01500000001</v>
      </c>
      <c r="P9" s="116">
        <v>19407.34</v>
      </c>
      <c r="Q9" s="116"/>
      <c r="R9" s="116"/>
      <c r="S9" s="116"/>
      <c r="T9" s="116">
        <v>-2841297.49</v>
      </c>
      <c r="U9" s="62"/>
      <c r="X9" s="119" t="s">
        <v>282</v>
      </c>
      <c r="Y9" s="116">
        <v>-336482.15</v>
      </c>
      <c r="Z9" s="116">
        <v>-473233.49</v>
      </c>
      <c r="AA9" s="116"/>
      <c r="AB9" s="116">
        <v>-809715.64</v>
      </c>
      <c r="AC9">
        <f>GETPIVOTDATA("NetBal",$X$3,"Action","增值税","IncNode","Cost","IncType","Op","月(TrxDate)",1)-GETPIVOTDATA("NetBal",$X$3,"Action","增值税","IncNode","Cost","IncType","Op","月(TrxDate)",2)</f>
        <v>136751.33999999997</v>
      </c>
    </row>
    <row r="10" spans="1:29">
      <c r="A10" t="s">
        <v>1353</v>
      </c>
      <c r="B10" s="68">
        <v>49931.55</v>
      </c>
      <c r="F10" s="13" t="s">
        <v>110</v>
      </c>
      <c r="G10" s="13" t="s">
        <v>1990</v>
      </c>
      <c r="H10" s="6"/>
      <c r="I10" s="6"/>
      <c r="L10" s="73" t="s">
        <v>24</v>
      </c>
      <c r="M10" s="116">
        <v>-415228.99</v>
      </c>
      <c r="N10" s="116">
        <v>-178325.28</v>
      </c>
      <c r="O10" s="116">
        <v>-101713.83000000002</v>
      </c>
      <c r="P10" s="116">
        <v>-24508.639999999999</v>
      </c>
      <c r="Q10" s="116">
        <v>-628338.19583333365</v>
      </c>
      <c r="R10" s="116">
        <v>-161410.497254902</v>
      </c>
      <c r="S10" s="116">
        <v>-3000</v>
      </c>
      <c r="T10" s="116">
        <v>-1512525.4330882353</v>
      </c>
      <c r="U10" s="62"/>
      <c r="X10" s="119" t="s">
        <v>1300</v>
      </c>
      <c r="Y10" s="116">
        <v>-198506.08999999997</v>
      </c>
      <c r="Z10" s="116">
        <v>-149167.94</v>
      </c>
      <c r="AA10" s="116"/>
      <c r="AB10" s="116">
        <v>-347674.02999999997</v>
      </c>
    </row>
    <row r="11" spans="1:29">
      <c r="A11" t="s">
        <v>1354</v>
      </c>
      <c r="B11" s="67">
        <v>0.5</v>
      </c>
      <c r="C11" s="3" t="s">
        <v>1355</v>
      </c>
      <c r="F11" s="13" t="s">
        <v>1991</v>
      </c>
      <c r="G11" s="17" t="s">
        <v>219</v>
      </c>
      <c r="H11" s="17" t="s">
        <v>289</v>
      </c>
      <c r="I11" s="17" t="s">
        <v>287</v>
      </c>
      <c r="L11" s="15" t="s">
        <v>27</v>
      </c>
      <c r="M11" s="116"/>
      <c r="N11" s="116"/>
      <c r="O11" s="116">
        <v>30883.4</v>
      </c>
      <c r="P11" s="116"/>
      <c r="Q11" s="116">
        <v>-254915.47999999998</v>
      </c>
      <c r="R11" s="116">
        <v>44900</v>
      </c>
      <c r="S11" s="116"/>
      <c r="T11" s="116">
        <v>-179132.08</v>
      </c>
      <c r="U11" s="62"/>
      <c r="X11" s="119" t="s">
        <v>1302</v>
      </c>
      <c r="Y11" s="116">
        <v>-34699.269999999997</v>
      </c>
      <c r="Z11" s="116">
        <v>-16056.58</v>
      </c>
      <c r="AA11" s="116"/>
      <c r="AB11" s="116">
        <v>-50755.85</v>
      </c>
    </row>
    <row r="12" spans="1:29">
      <c r="A12" t="s">
        <v>1356</v>
      </c>
      <c r="B12" s="66">
        <f>1-B11</f>
        <v>0.5</v>
      </c>
      <c r="F12" s="14" t="s">
        <v>183</v>
      </c>
      <c r="G12" s="9">
        <v>1475605.78</v>
      </c>
      <c r="H12" s="9">
        <v>-755928.66999999981</v>
      </c>
      <c r="I12" s="9">
        <v>719677.11000000022</v>
      </c>
      <c r="L12" s="73" t="s">
        <v>155</v>
      </c>
      <c r="M12" s="116"/>
      <c r="N12" s="116"/>
      <c r="O12" s="116">
        <v>33883.4</v>
      </c>
      <c r="P12" s="116"/>
      <c r="Q12" s="116">
        <v>-274922.75</v>
      </c>
      <c r="R12" s="116">
        <v>44900</v>
      </c>
      <c r="S12" s="116"/>
      <c r="T12" s="116">
        <v>-196139.34999999998</v>
      </c>
      <c r="U12" s="62"/>
      <c r="X12" s="119" t="s">
        <v>1934</v>
      </c>
      <c r="Y12" s="116">
        <v>-2435.59</v>
      </c>
      <c r="Z12" s="116">
        <v>-43873.81</v>
      </c>
      <c r="AA12" s="116"/>
      <c r="AB12" s="116">
        <v>-46309.399999999994</v>
      </c>
    </row>
    <row r="13" spans="1:29">
      <c r="A13" t="s">
        <v>860</v>
      </c>
      <c r="B13" s="22">
        <f>IF(B10="","",B10*B12)</f>
        <v>24965.775000000001</v>
      </c>
      <c r="F13" s="14" t="s">
        <v>199</v>
      </c>
      <c r="G13" s="9">
        <v>57060.649999999987</v>
      </c>
      <c r="H13" s="9">
        <v>-1431.4499999999996</v>
      </c>
      <c r="I13" s="9">
        <v>55629.19999999999</v>
      </c>
      <c r="L13" s="73" t="s">
        <v>25</v>
      </c>
      <c r="M13" s="116"/>
      <c r="N13" s="116"/>
      <c r="O13" s="116">
        <v>-3000</v>
      </c>
      <c r="P13" s="116"/>
      <c r="Q13" s="116">
        <v>20007.27</v>
      </c>
      <c r="R13" s="116"/>
      <c r="S13" s="116"/>
      <c r="T13" s="116">
        <v>17007.27</v>
      </c>
      <c r="U13" s="62"/>
      <c r="X13" s="119" t="s">
        <v>1298</v>
      </c>
      <c r="Y13" s="116">
        <v>-8632.7999999999993</v>
      </c>
      <c r="Z13" s="116">
        <v>-9000</v>
      </c>
      <c r="AA13" s="116"/>
      <c r="AB13" s="116">
        <v>-17632.8</v>
      </c>
    </row>
    <row r="14" spans="1:29">
      <c r="F14" s="14" t="s">
        <v>1988</v>
      </c>
      <c r="G14" s="9">
        <v>448657.02416666673</v>
      </c>
      <c r="H14" s="9">
        <v>-70861.045833333337</v>
      </c>
      <c r="I14" s="9">
        <v>377795.97833333339</v>
      </c>
      <c r="L14" s="14" t="s">
        <v>1992</v>
      </c>
      <c r="M14" s="116">
        <v>2073291.995000002</v>
      </c>
      <c r="N14" s="116">
        <v>719553.41499999969</v>
      </c>
      <c r="O14" s="116">
        <v>139947.65</v>
      </c>
      <c r="P14" s="116">
        <v>-22958.539999999997</v>
      </c>
      <c r="Q14" s="116">
        <v>-2436176.5716666654</v>
      </c>
      <c r="R14" s="116">
        <v>-230157.31450980389</v>
      </c>
      <c r="S14" s="116">
        <v>-43019.679999999993</v>
      </c>
      <c r="T14" s="116">
        <v>200480.95382353189</v>
      </c>
      <c r="U14" s="62"/>
      <c r="X14" s="119" t="s">
        <v>1938</v>
      </c>
      <c r="Y14" s="116"/>
      <c r="Z14" s="116">
        <v>-16330.5</v>
      </c>
      <c r="AA14" s="116"/>
      <c r="AB14" s="116">
        <v>-16330.5</v>
      </c>
    </row>
    <row r="15" spans="1:29">
      <c r="F15" s="14" t="s">
        <v>193</v>
      </c>
      <c r="G15" s="9">
        <v>209278.6</v>
      </c>
      <c r="H15" s="9"/>
      <c r="I15" s="9">
        <v>209278.6</v>
      </c>
      <c r="U15" s="74"/>
      <c r="X15" s="119" t="s">
        <v>1303</v>
      </c>
      <c r="Y15" s="116">
        <v>-3500</v>
      </c>
      <c r="Z15" s="116">
        <v>-1900</v>
      </c>
      <c r="AA15" s="116"/>
      <c r="AB15" s="116">
        <v>-5400</v>
      </c>
    </row>
    <row r="16" spans="1:29">
      <c r="F16" s="14" t="s">
        <v>184</v>
      </c>
      <c r="G16" s="9">
        <v>12299.199999999993</v>
      </c>
      <c r="H16" s="9">
        <v>54956.599999999991</v>
      </c>
      <c r="I16" s="9">
        <v>67255.799999999988</v>
      </c>
      <c r="X16" s="119" t="s">
        <v>1301</v>
      </c>
      <c r="Y16" s="116">
        <v>-2626.2</v>
      </c>
      <c r="Z16" s="116"/>
      <c r="AA16" s="116"/>
      <c r="AB16" s="116">
        <v>-2626.2</v>
      </c>
    </row>
    <row r="17" spans="4:28">
      <c r="D17" t="s">
        <v>125</v>
      </c>
      <c r="F17" s="14" t="s">
        <v>167</v>
      </c>
      <c r="G17" s="9">
        <v>18217.650000000001</v>
      </c>
      <c r="H17" s="9">
        <v>36003.17</v>
      </c>
      <c r="I17" s="9">
        <v>54220.82</v>
      </c>
      <c r="X17" s="119" t="s">
        <v>1323</v>
      </c>
      <c r="Y17" s="116">
        <v>-2000</v>
      </c>
      <c r="Z17" s="116"/>
      <c r="AA17" s="116"/>
      <c r="AB17" s="116">
        <v>-2000</v>
      </c>
    </row>
    <row r="18" spans="4:28">
      <c r="F18" s="14" t="s">
        <v>166</v>
      </c>
      <c r="G18" s="9">
        <v>1640557.6199999999</v>
      </c>
      <c r="H18" s="9">
        <v>-812977.18999999983</v>
      </c>
      <c r="I18" s="108">
        <v>827580.43</v>
      </c>
      <c r="X18" s="119" t="s">
        <v>1299</v>
      </c>
      <c r="Y18" s="116">
        <v>-1800</v>
      </c>
      <c r="Z18" s="116"/>
      <c r="AA18" s="116"/>
      <c r="AB18" s="116">
        <v>-1800</v>
      </c>
    </row>
    <row r="19" spans="4:28">
      <c r="F19" s="14" t="s">
        <v>165</v>
      </c>
      <c r="G19" s="9">
        <v>370694.03000000026</v>
      </c>
      <c r="H19" s="9">
        <v>165435.38999999987</v>
      </c>
      <c r="I19" s="109">
        <v>536129.42000000016</v>
      </c>
      <c r="X19" s="119" t="s">
        <v>283</v>
      </c>
      <c r="Y19" s="116">
        <v>0</v>
      </c>
      <c r="Z19" s="116">
        <v>0</v>
      </c>
      <c r="AA19" s="116"/>
      <c r="AB19" s="116">
        <v>0</v>
      </c>
    </row>
    <row r="20" spans="4:28">
      <c r="F20" s="14" t="s">
        <v>191</v>
      </c>
      <c r="G20" s="9">
        <v>30000.000000000004</v>
      </c>
      <c r="H20" s="9">
        <v>11000</v>
      </c>
      <c r="I20" s="9">
        <v>41000</v>
      </c>
      <c r="X20" s="119" t="s">
        <v>1296</v>
      </c>
      <c r="Y20" s="116">
        <v>0</v>
      </c>
      <c r="Z20" s="116"/>
      <c r="AA20" s="116"/>
      <c r="AB20" s="116">
        <v>0</v>
      </c>
    </row>
    <row r="21" spans="4:28">
      <c r="E21" s="61"/>
      <c r="X21" s="119" t="s">
        <v>284</v>
      </c>
      <c r="Y21" s="116">
        <v>0</v>
      </c>
      <c r="Z21" s="116">
        <v>0</v>
      </c>
      <c r="AA21" s="116"/>
      <c r="AB21" s="116">
        <v>0</v>
      </c>
    </row>
    <row r="22" spans="4:28">
      <c r="X22" s="119" t="s">
        <v>856</v>
      </c>
      <c r="Y22" s="116">
        <v>0</v>
      </c>
      <c r="Z22" s="116"/>
      <c r="AA22" s="116"/>
      <c r="AB22" s="116">
        <v>0</v>
      </c>
    </row>
    <row r="23" spans="4:28">
      <c r="X23" s="119" t="s">
        <v>240</v>
      </c>
      <c r="Y23" s="116">
        <v>0</v>
      </c>
      <c r="Z23" s="116">
        <v>0</v>
      </c>
      <c r="AA23" s="116"/>
      <c r="AB23" s="116">
        <v>0</v>
      </c>
    </row>
    <row r="24" spans="4:28">
      <c r="X24" s="119" t="s">
        <v>285</v>
      </c>
      <c r="Y24" s="116">
        <v>0</v>
      </c>
      <c r="Z24" s="116">
        <v>0</v>
      </c>
      <c r="AA24" s="116"/>
      <c r="AB24" s="116">
        <v>0</v>
      </c>
    </row>
    <row r="25" spans="4:28">
      <c r="X25" s="119" t="s">
        <v>968</v>
      </c>
      <c r="Y25" s="116">
        <v>1582.08</v>
      </c>
      <c r="Z25" s="116">
        <v>0</v>
      </c>
      <c r="AA25" s="116"/>
      <c r="AB25" s="116">
        <v>1582.08</v>
      </c>
    </row>
    <row r="26" spans="4:28">
      <c r="X26" s="119" t="s">
        <v>861</v>
      </c>
      <c r="Y26" s="116">
        <v>21800.699999999997</v>
      </c>
      <c r="Z26" s="116">
        <v>21104.660000000003</v>
      </c>
      <c r="AA26" s="116"/>
      <c r="AB26" s="116">
        <v>42905.36</v>
      </c>
    </row>
    <row r="27" spans="4:28" ht="14.45" customHeight="1">
      <c r="X27" s="118" t="s">
        <v>24</v>
      </c>
      <c r="Y27" s="116">
        <v>-1742136.0530882354</v>
      </c>
      <c r="Z27" s="116">
        <v>-1512525.4330882353</v>
      </c>
      <c r="AA27" s="116"/>
      <c r="AB27" s="116">
        <v>-3254661.4861764708</v>
      </c>
    </row>
    <row r="28" spans="4:28">
      <c r="X28" s="119" t="s">
        <v>849</v>
      </c>
      <c r="Y28" s="116">
        <v>-904261.42</v>
      </c>
      <c r="Z28" s="116">
        <v>-807153.51</v>
      </c>
      <c r="AA28" s="116"/>
      <c r="AB28" s="116">
        <v>-1711414.9300000002</v>
      </c>
    </row>
    <row r="29" spans="4:28">
      <c r="X29" s="119" t="s">
        <v>1291</v>
      </c>
      <c r="Y29" s="116">
        <v>-156319.62725490198</v>
      </c>
      <c r="Z29" s="116">
        <v>-156319.62725490198</v>
      </c>
      <c r="AA29" s="116"/>
      <c r="AB29" s="116">
        <v>-312639.25450980396</v>
      </c>
    </row>
    <row r="30" spans="4:28">
      <c r="X30" s="119" t="s">
        <v>848</v>
      </c>
      <c r="Y30" s="116">
        <v>-149861.09</v>
      </c>
      <c r="Z30" s="116">
        <v>-136631.54999999999</v>
      </c>
      <c r="AA30" s="116"/>
      <c r="AB30" s="116">
        <v>-286492.64</v>
      </c>
    </row>
    <row r="31" spans="4:28">
      <c r="X31" s="119" t="s">
        <v>1314</v>
      </c>
      <c r="Y31" s="116">
        <v>-144929.4</v>
      </c>
      <c r="Z31" s="116">
        <v>-104218.31</v>
      </c>
      <c r="AA31" s="116"/>
      <c r="AB31" s="116">
        <v>-249147.71</v>
      </c>
    </row>
    <row r="32" spans="4:28">
      <c r="X32" s="119" t="s">
        <v>1319</v>
      </c>
      <c r="Y32" s="116">
        <v>-86628.045833333294</v>
      </c>
      <c r="Z32" s="116">
        <v>-86628.045833333337</v>
      </c>
      <c r="AA32" s="116"/>
      <c r="AB32" s="116">
        <v>-173256.09166666662</v>
      </c>
    </row>
    <row r="33" spans="24:28">
      <c r="X33" s="119" t="s">
        <v>1304</v>
      </c>
      <c r="Y33" s="116">
        <v>-93313.84</v>
      </c>
      <c r="Z33" s="116">
        <v>-58576.990000000005</v>
      </c>
      <c r="AA33" s="116"/>
      <c r="AB33" s="116">
        <v>-151890.83000000002</v>
      </c>
    </row>
    <row r="34" spans="24:28">
      <c r="X34" s="119" t="s">
        <v>1322</v>
      </c>
      <c r="Y34" s="116">
        <v>-49149.440000000002</v>
      </c>
      <c r="Z34" s="116">
        <v>-13612.44</v>
      </c>
      <c r="AA34" s="116"/>
      <c r="AB34" s="116">
        <v>-62761.880000000005</v>
      </c>
    </row>
    <row r="35" spans="24:28">
      <c r="X35" s="119" t="s">
        <v>1935</v>
      </c>
      <c r="Y35" s="116">
        <v>-26563.94</v>
      </c>
      <c r="Z35" s="116">
        <v>-32906.44</v>
      </c>
      <c r="AA35" s="116"/>
      <c r="AB35" s="116">
        <v>-59470.380000000005</v>
      </c>
    </row>
    <row r="36" spans="24:28">
      <c r="X36" s="119" t="s">
        <v>1318</v>
      </c>
      <c r="Y36" s="116">
        <v>-24060.800000000003</v>
      </c>
      <c r="Z36" s="116">
        <v>-31512.179999999997</v>
      </c>
      <c r="AA36" s="116"/>
      <c r="AB36" s="116">
        <v>-55572.979999999996</v>
      </c>
    </row>
    <row r="37" spans="24:28">
      <c r="X37" s="119" t="s">
        <v>1313</v>
      </c>
      <c r="Y37" s="116">
        <v>-31426</v>
      </c>
      <c r="Z37" s="116">
        <v>-10366</v>
      </c>
      <c r="AA37" s="116"/>
      <c r="AB37" s="116">
        <v>-41792</v>
      </c>
    </row>
    <row r="38" spans="24:28">
      <c r="X38" s="119" t="s">
        <v>1937</v>
      </c>
      <c r="Y38" s="116"/>
      <c r="Z38" s="116">
        <v>-27490.55</v>
      </c>
      <c r="AA38" s="116"/>
      <c r="AB38" s="116">
        <v>-27490.55</v>
      </c>
    </row>
    <row r="39" spans="24:28">
      <c r="X39" s="119" t="s">
        <v>1311</v>
      </c>
      <c r="Y39" s="116">
        <v>-10239.239999999998</v>
      </c>
      <c r="Z39" s="116">
        <v>-16690.78</v>
      </c>
      <c r="AA39" s="116"/>
      <c r="AB39" s="116">
        <v>-26930.019999999997</v>
      </c>
    </row>
    <row r="40" spans="24:28">
      <c r="X40" s="119" t="s">
        <v>1308</v>
      </c>
      <c r="Y40" s="116">
        <v>-10174.41</v>
      </c>
      <c r="Z40" s="116">
        <v>-4450</v>
      </c>
      <c r="AA40" s="116"/>
      <c r="AB40" s="116">
        <v>-14624.41</v>
      </c>
    </row>
    <row r="41" spans="24:28">
      <c r="X41" s="119" t="s">
        <v>855</v>
      </c>
      <c r="Y41" s="116">
        <v>-11000</v>
      </c>
      <c r="Z41" s="116">
        <v>-3000</v>
      </c>
      <c r="AA41" s="116"/>
      <c r="AB41" s="116">
        <v>-14000</v>
      </c>
    </row>
    <row r="42" spans="24:28">
      <c r="X42" s="119" t="s">
        <v>851</v>
      </c>
      <c r="Y42" s="116">
        <v>-9584.0499999999993</v>
      </c>
      <c r="Z42" s="116">
        <v>-1886.94</v>
      </c>
      <c r="AA42" s="116"/>
      <c r="AB42" s="116">
        <v>-11470.99</v>
      </c>
    </row>
    <row r="43" spans="24:28">
      <c r="X43" s="119" t="s">
        <v>1317</v>
      </c>
      <c r="Y43" s="116">
        <v>-3679</v>
      </c>
      <c r="Z43" s="116">
        <v>-7089</v>
      </c>
      <c r="AA43" s="116"/>
      <c r="AB43" s="116">
        <v>-10768</v>
      </c>
    </row>
    <row r="44" spans="24:28">
      <c r="X44" s="119" t="s">
        <v>1312</v>
      </c>
      <c r="Y44" s="116">
        <v>-6052.78</v>
      </c>
      <c r="Z44" s="116">
        <v>-3373.3199999999997</v>
      </c>
      <c r="AA44" s="116"/>
      <c r="AB44" s="116">
        <v>-9426.0999999999985</v>
      </c>
    </row>
    <row r="45" spans="24:28">
      <c r="X45" s="119" t="s">
        <v>1310</v>
      </c>
      <c r="Y45" s="116">
        <v>-2182.6999999999998</v>
      </c>
      <c r="Z45" s="116">
        <v>-6720</v>
      </c>
      <c r="AA45" s="116"/>
      <c r="AB45" s="116">
        <v>-8902.7000000000007</v>
      </c>
    </row>
    <row r="46" spans="24:28">
      <c r="X46" s="119" t="s">
        <v>1320</v>
      </c>
      <c r="Y46" s="116">
        <v>-7200</v>
      </c>
      <c r="Z46" s="116"/>
      <c r="AA46" s="116"/>
      <c r="AB46" s="116">
        <v>-7200</v>
      </c>
    </row>
    <row r="47" spans="24:28">
      <c r="X47" s="119" t="s">
        <v>1321</v>
      </c>
      <c r="Y47" s="116">
        <v>-6086.97</v>
      </c>
      <c r="Z47" s="116">
        <v>-113.91</v>
      </c>
      <c r="AA47" s="116"/>
      <c r="AB47" s="116">
        <v>-6200.88</v>
      </c>
    </row>
    <row r="48" spans="24:28">
      <c r="X48" s="119" t="s">
        <v>1307</v>
      </c>
      <c r="Y48" s="116">
        <v>-2469</v>
      </c>
      <c r="Z48" s="116">
        <v>-2326.84</v>
      </c>
      <c r="AA48" s="116"/>
      <c r="AB48" s="116">
        <v>-4795.84</v>
      </c>
    </row>
    <row r="49" spans="24:28">
      <c r="X49" s="119" t="s">
        <v>1316</v>
      </c>
      <c r="Y49" s="116">
        <v>-3615</v>
      </c>
      <c r="Z49" s="116"/>
      <c r="AA49" s="116"/>
      <c r="AB49" s="116">
        <v>-3615</v>
      </c>
    </row>
    <row r="50" spans="24:28">
      <c r="X50" s="119" t="s">
        <v>1315</v>
      </c>
      <c r="Y50" s="116">
        <v>-1059.3</v>
      </c>
      <c r="Z50" s="116">
        <v>-1459</v>
      </c>
      <c r="AA50" s="116"/>
      <c r="AB50" s="116">
        <v>-2518.3000000000002</v>
      </c>
    </row>
    <row r="51" spans="24:28">
      <c r="X51" s="119" t="s">
        <v>1305</v>
      </c>
      <c r="Y51" s="116">
        <v>-2340</v>
      </c>
      <c r="Z51" s="116"/>
      <c r="AA51" s="116"/>
      <c r="AB51" s="116">
        <v>-2340</v>
      </c>
    </row>
    <row r="52" spans="24:28">
      <c r="X52" s="119" t="s">
        <v>1309</v>
      </c>
      <c r="Y52" s="116">
        <v>-1540</v>
      </c>
      <c r="Z52" s="116"/>
      <c r="AA52" s="116"/>
      <c r="AB52" s="116">
        <v>-1540</v>
      </c>
    </row>
    <row r="53" spans="24:28">
      <c r="X53" s="119" t="s">
        <v>968</v>
      </c>
      <c r="Y53" s="116"/>
      <c r="Z53" s="116">
        <v>0</v>
      </c>
      <c r="AA53" s="116"/>
      <c r="AB53" s="116">
        <v>0</v>
      </c>
    </row>
    <row r="54" spans="24:28">
      <c r="X54" s="119" t="s">
        <v>858</v>
      </c>
      <c r="Y54" s="116">
        <v>0</v>
      </c>
      <c r="Z54" s="116"/>
      <c r="AA54" s="116"/>
      <c r="AB54" s="116">
        <v>0</v>
      </c>
    </row>
    <row r="55" spans="24:28">
      <c r="X55" s="119" t="s">
        <v>285</v>
      </c>
      <c r="Y55" s="116">
        <v>0</v>
      </c>
      <c r="Z55" s="116">
        <v>0</v>
      </c>
      <c r="AA55" s="116"/>
      <c r="AB55" s="116">
        <v>0</v>
      </c>
    </row>
    <row r="56" spans="24:28">
      <c r="X56" s="119" t="s">
        <v>1936</v>
      </c>
      <c r="Y56" s="116">
        <v>1600</v>
      </c>
      <c r="Z56" s="116"/>
      <c r="AA56" s="116"/>
      <c r="AB56" s="116">
        <v>1600</v>
      </c>
    </row>
    <row r="57" spans="24:28">
      <c r="X57" s="117" t="s">
        <v>27</v>
      </c>
      <c r="Y57" s="116">
        <v>-718707.31</v>
      </c>
      <c r="Z57" s="116">
        <v>-179132.08000000002</v>
      </c>
      <c r="AA57" s="116">
        <v>2.0489096641540527E-8</v>
      </c>
      <c r="AB57" s="116">
        <v>-897839.38999997964</v>
      </c>
    </row>
    <row r="58" spans="24:28">
      <c r="X58" s="117" t="s">
        <v>1992</v>
      </c>
      <c r="Y58" s="116">
        <v>-201219.36308823392</v>
      </c>
      <c r="Z58" s="116">
        <v>401700.3169117645</v>
      </c>
      <c r="AA58" s="116">
        <v>2.0489096641540527E-8</v>
      </c>
      <c r="AB58" s="116">
        <v>200480.95382355154</v>
      </c>
    </row>
  </sheetData>
  <phoneticPr fontId="6" type="noConversion"/>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EA1EA-C188-40A8-B534-CB4C298497DB}">
  <sheetPr codeName="Sheet6">
    <tabColor theme="9" tint="0.39997558519241921"/>
  </sheetPr>
  <dimension ref="A1:M23"/>
  <sheetViews>
    <sheetView zoomScaleNormal="100" workbookViewId="0">
      <selection activeCell="I17" sqref="I17"/>
    </sheetView>
  </sheetViews>
  <sheetFormatPr defaultRowHeight="15"/>
  <cols>
    <col min="1" max="1" width="15.85546875" customWidth="1"/>
    <col min="2" max="2" width="13.28515625" customWidth="1"/>
    <col min="3" max="3" width="12.28515625" customWidth="1"/>
    <col min="4" max="4" width="13.28515625" customWidth="1"/>
    <col min="5" max="5" width="17" customWidth="1"/>
    <col min="6" max="6" width="18.7109375" bestFit="1" customWidth="1"/>
    <col min="7" max="7" width="23.140625" customWidth="1"/>
    <col min="8" max="8" width="12.42578125" bestFit="1" customWidth="1"/>
    <col min="9" max="9" width="21.85546875" customWidth="1"/>
    <col min="10" max="10" width="15.42578125" bestFit="1" customWidth="1"/>
    <col min="11" max="11" width="11.7109375" customWidth="1"/>
    <col min="12" max="12" width="13.5703125" bestFit="1" customWidth="1"/>
    <col min="13" max="13" width="11.7109375" customWidth="1"/>
  </cols>
  <sheetData>
    <row r="1" spans="1:13">
      <c r="A1" s="2" t="s">
        <v>215</v>
      </c>
      <c r="B1" s="2"/>
      <c r="C1" s="2"/>
      <c r="E1" s="2" t="s">
        <v>217</v>
      </c>
      <c r="F1" s="2"/>
      <c r="G1" s="2"/>
      <c r="I1" s="12" t="s">
        <v>227</v>
      </c>
      <c r="J1" t="s">
        <v>235</v>
      </c>
    </row>
    <row r="2" spans="1:13">
      <c r="A2" t="s">
        <v>203</v>
      </c>
      <c r="B2" s="10">
        <f>SUMIFS(Jnl[NetBal], Jnl[TrxDate], "&lt;"&amp;const_date_start)</f>
        <v>2.0489096641540527E-8</v>
      </c>
      <c r="E2" s="20" t="s">
        <v>224</v>
      </c>
    </row>
    <row r="3" spans="1:13">
      <c r="A3" s="25" t="s">
        <v>204</v>
      </c>
      <c r="E3" s="23" t="s">
        <v>208</v>
      </c>
      <c r="F3" s="21">
        <v>58333810.554496594</v>
      </c>
      <c r="I3" s="6"/>
      <c r="J3" s="13" t="s">
        <v>1990</v>
      </c>
      <c r="K3" s="6"/>
      <c r="L3" s="6"/>
      <c r="M3" s="6"/>
    </row>
    <row r="4" spans="1:13">
      <c r="A4" t="s">
        <v>228</v>
      </c>
      <c r="B4" s="24">
        <f>IF(C4&lt;&gt;"",C4, const_date_prior)</f>
        <v>46081</v>
      </c>
      <c r="C4" s="24">
        <v>46081</v>
      </c>
      <c r="I4" s="6"/>
      <c r="J4" s="112" t="s">
        <v>117</v>
      </c>
      <c r="K4" s="113"/>
      <c r="L4" s="112" t="s">
        <v>124</v>
      </c>
      <c r="M4" s="113"/>
    </row>
    <row r="5" spans="1:13">
      <c r="A5" s="3" t="s">
        <v>220</v>
      </c>
      <c r="E5" s="23" t="s">
        <v>300</v>
      </c>
      <c r="F5" s="21">
        <v>13209505.352789778</v>
      </c>
      <c r="I5" s="13" t="s">
        <v>1991</v>
      </c>
      <c r="J5" s="17" t="s">
        <v>110</v>
      </c>
      <c r="K5" s="17" t="s">
        <v>156</v>
      </c>
      <c r="L5" s="17" t="s">
        <v>110</v>
      </c>
      <c r="M5" s="17" t="s">
        <v>156</v>
      </c>
    </row>
    <row r="6" spans="1:13">
      <c r="E6" s="28" t="s">
        <v>301</v>
      </c>
      <c r="F6" s="29">
        <f>F5/F3</f>
        <v>0.22644681064421804</v>
      </c>
      <c r="G6" s="6"/>
      <c r="I6" s="14" t="s">
        <v>226</v>
      </c>
      <c r="J6" s="10">
        <v>9949252.1200000029</v>
      </c>
      <c r="K6" s="16">
        <v>0.23938717667417783</v>
      </c>
      <c r="L6" s="10">
        <v>628280.38000000012</v>
      </c>
      <c r="M6" s="16">
        <v>1.5190215503499077E-2</v>
      </c>
    </row>
    <row r="7" spans="1:13">
      <c r="E7" s="23" t="s">
        <v>205</v>
      </c>
      <c r="F7" s="22">
        <f>SUMIFS(Jnl[Bal], Jnl[BSLv2], "Cap")</f>
        <v>39987049.93</v>
      </c>
      <c r="I7" s="15" t="s">
        <v>158</v>
      </c>
      <c r="J7" s="10">
        <v>9916583.8700000029</v>
      </c>
      <c r="K7" s="16">
        <v>0.23860115175089081</v>
      </c>
      <c r="L7" s="10"/>
      <c r="M7" s="16">
        <v>0</v>
      </c>
    </row>
    <row r="8" spans="1:13">
      <c r="E8" s="28" t="s">
        <v>216</v>
      </c>
      <c r="F8" s="29">
        <f>F5/F7</f>
        <v>0.33034458345674161</v>
      </c>
      <c r="I8" s="15" t="s">
        <v>159</v>
      </c>
      <c r="J8" s="10">
        <v>32668.25</v>
      </c>
      <c r="K8" s="16">
        <v>7.8602492328701864E-4</v>
      </c>
      <c r="L8" s="10"/>
      <c r="M8" s="16">
        <v>0</v>
      </c>
    </row>
    <row r="9" spans="1:13">
      <c r="I9" s="15" t="s">
        <v>196</v>
      </c>
      <c r="J9" s="10"/>
      <c r="K9" s="16">
        <v>0</v>
      </c>
      <c r="L9" s="10">
        <v>628280.38000000012</v>
      </c>
      <c r="M9" s="16">
        <v>1.5190215503499077E-2</v>
      </c>
    </row>
    <row r="10" spans="1:13">
      <c r="I10" s="14" t="s">
        <v>174</v>
      </c>
      <c r="J10" s="10">
        <v>775306.31000000041</v>
      </c>
      <c r="K10" s="16">
        <v>1.8654506526725241E-2</v>
      </c>
      <c r="L10" s="10">
        <v>1485186.4700000002</v>
      </c>
      <c r="M10" s="16">
        <v>3.5908016962396733E-2</v>
      </c>
    </row>
    <row r="11" spans="1:13">
      <c r="E11" s="20" t="s">
        <v>223</v>
      </c>
      <c r="G11" s="3"/>
      <c r="I11" s="14" t="s">
        <v>175</v>
      </c>
      <c r="J11" s="10">
        <v>628074.57833333337</v>
      </c>
      <c r="K11" s="16">
        <v>1.511199015107895E-2</v>
      </c>
      <c r="L11" s="10"/>
      <c r="M11" s="16">
        <v>0</v>
      </c>
    </row>
    <row r="12" spans="1:13">
      <c r="E12" s="23" t="s">
        <v>222</v>
      </c>
      <c r="F12" s="22">
        <f>SUMIFS(Jnl[NetBal], Jnl[ScopeBS], "In", Jnl[BSLv2], "Cash alike")</f>
        <v>9320971.7399999965</v>
      </c>
      <c r="I12" s="14" t="s">
        <v>176</v>
      </c>
      <c r="J12" s="10">
        <v>4157118.1400000015</v>
      </c>
      <c r="K12" s="16">
        <v>0.10002367641635455</v>
      </c>
      <c r="L12" s="10"/>
      <c r="M12" s="16">
        <v>0</v>
      </c>
    </row>
    <row r="13" spans="1:13">
      <c r="E13" s="23" t="s">
        <v>229</v>
      </c>
      <c r="F13" s="22">
        <f>SUMIFS(Jnl[Bal], Jnl[ScopeBS], "In", Jnl[BSLv2], "Rec-Pay", Jnl[BSLv0], "LC")</f>
        <v>1485186.469999999</v>
      </c>
      <c r="I13" s="15" t="s">
        <v>160</v>
      </c>
      <c r="J13" s="10">
        <v>4157118.1400000006</v>
      </c>
      <c r="K13" s="16">
        <v>0.10002367641635454</v>
      </c>
      <c r="L13" s="10"/>
      <c r="M13" s="16">
        <v>0</v>
      </c>
    </row>
    <row r="14" spans="1:13">
      <c r="E14" s="28" t="s">
        <v>234</v>
      </c>
      <c r="F14" s="30">
        <f>F12/F13</f>
        <v>6.2759605802226321</v>
      </c>
      <c r="G14" s="3" t="s">
        <v>231</v>
      </c>
      <c r="I14" s="15" t="s">
        <v>209</v>
      </c>
      <c r="J14" s="10">
        <v>0</v>
      </c>
      <c r="K14" s="16">
        <v>0</v>
      </c>
      <c r="L14" s="10"/>
      <c r="M14" s="16">
        <v>0</v>
      </c>
    </row>
    <row r="15" spans="1:13">
      <c r="I15" s="14" t="s">
        <v>177</v>
      </c>
      <c r="J15" s="10">
        <v>23951590.015490193</v>
      </c>
      <c r="K15" s="16">
        <v>0.57629492563965934</v>
      </c>
      <c r="L15" s="10"/>
      <c r="M15" s="16">
        <v>0</v>
      </c>
    </row>
    <row r="16" spans="1:13">
      <c r="E16" s="23" t="s">
        <v>230</v>
      </c>
      <c r="F16" s="22">
        <f>SUMIFS(Jnl[Bal], Jnl[ScopeBS], "In", Jnl[Acct], "Curr")</f>
        <v>4157118.1400000011</v>
      </c>
      <c r="I16" s="14" t="s">
        <v>178</v>
      </c>
      <c r="J16" s="10">
        <v>2100000</v>
      </c>
      <c r="K16" s="16">
        <v>5.0527724592004136E-2</v>
      </c>
      <c r="L16" s="10"/>
      <c r="M16" s="16">
        <v>0</v>
      </c>
    </row>
    <row r="17" spans="5:13">
      <c r="E17" s="31" t="s">
        <v>233</v>
      </c>
      <c r="F17" s="30">
        <f>(F12-F13)/F16</f>
        <v>1.8849080074496021</v>
      </c>
      <c r="G17" s="3" t="s">
        <v>232</v>
      </c>
      <c r="I17" s="14" t="s">
        <v>210</v>
      </c>
      <c r="J17" s="10"/>
      <c r="K17" s="16">
        <v>0</v>
      </c>
      <c r="L17" s="10">
        <v>-739656.56999999937</v>
      </c>
      <c r="M17" s="16">
        <v>-1.7883007419201818E-2</v>
      </c>
    </row>
    <row r="18" spans="5:13">
      <c r="I18" s="14" t="s">
        <v>179</v>
      </c>
      <c r="J18" s="10"/>
      <c r="K18" s="16">
        <v>0</v>
      </c>
      <c r="L18" s="10">
        <v>39987049.93</v>
      </c>
      <c r="M18" s="16">
        <v>0.96678477495330595</v>
      </c>
    </row>
    <row r="19" spans="5:13">
      <c r="I19" s="15" t="s">
        <v>170</v>
      </c>
      <c r="J19" s="10"/>
      <c r="K19" s="16">
        <v>0</v>
      </c>
      <c r="L19" s="10">
        <v>14950858.93</v>
      </c>
      <c r="M19" s="16">
        <v>0.36147359735969087</v>
      </c>
    </row>
    <row r="20" spans="5:13">
      <c r="I20" s="73" t="s">
        <v>1997</v>
      </c>
      <c r="J20" s="10"/>
      <c r="K20" s="16">
        <v>0</v>
      </c>
      <c r="L20" s="10">
        <v>14402045</v>
      </c>
      <c r="M20" s="16">
        <v>0.34820467772858249</v>
      </c>
    </row>
    <row r="21" spans="5:13">
      <c r="I21" s="73" t="s">
        <v>1998</v>
      </c>
      <c r="J21" s="10"/>
      <c r="K21" s="16">
        <v>0</v>
      </c>
      <c r="L21" s="10">
        <v>548813.93000000005</v>
      </c>
      <c r="M21" s="16">
        <v>1.3268919631108418E-2</v>
      </c>
    </row>
    <row r="22" spans="5:13">
      <c r="I22" s="15" t="s">
        <v>169</v>
      </c>
      <c r="J22" s="10"/>
      <c r="K22" s="16">
        <v>0</v>
      </c>
      <c r="L22" s="10">
        <v>25036191</v>
      </c>
      <c r="M22" s="16">
        <v>0.60531117759361508</v>
      </c>
    </row>
    <row r="23" spans="5:13">
      <c r="I23" s="14" t="s">
        <v>1992</v>
      </c>
      <c r="J23" s="10">
        <v>41561341.16382353</v>
      </c>
      <c r="K23" s="16">
        <v>1</v>
      </c>
      <c r="L23" s="10">
        <v>41360860.210000001</v>
      </c>
      <c r="M23" s="16">
        <v>1</v>
      </c>
    </row>
  </sheetData>
  <mergeCells count="2">
    <mergeCell ref="J4:K4"/>
    <mergeCell ref="L4:M4"/>
  </mergeCells>
  <phoneticPr fontId="6" type="noConversion"/>
  <conditionalFormatting pivot="1" sqref="K6:K23 M6:M23">
    <cfRule type="dataBar" priority="1">
      <dataBar>
        <cfvo type="min"/>
        <cfvo type="max"/>
        <color rgb="FF638EC6"/>
      </dataBar>
      <extLst>
        <ext xmlns:x14="http://schemas.microsoft.com/office/spreadsheetml/2009/9/main" uri="{B025F937-C7B1-47D3-B67F-A62EFF666E3E}">
          <x14:id>{D82CD119-6F50-430B-932B-180680CFB548}</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D82CD119-6F50-430B-932B-180680CFB548}">
            <x14:dataBar minLength="0" maxLength="100" border="1" negativeBarBorderColorSameAsPositive="0">
              <x14:cfvo type="autoMin"/>
              <x14:cfvo type="autoMax"/>
              <x14:borderColor rgb="FF638EC6"/>
              <x14:negativeFillColor rgb="FFFF0000"/>
              <x14:negativeBorderColor rgb="FFFF0000"/>
              <x14:axisColor rgb="FF000000"/>
            </x14:dataBar>
          </x14:cfRule>
          <xm:sqref>K6:K23 M6:M23</xm:sqref>
        </x14:conditionalFormatting>
      </x14:conditionalFormattings>
    </ex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819FF-4DF1-4629-B15C-CE7A9DD8DFE4}">
  <sheetPr codeName="Sheet7">
    <tabColor theme="9" tint="0.39997558519241921"/>
  </sheetPr>
  <dimension ref="A1:P31"/>
  <sheetViews>
    <sheetView zoomScale="115" zoomScaleNormal="115" workbookViewId="0">
      <selection activeCell="H29" sqref="H29"/>
    </sheetView>
  </sheetViews>
  <sheetFormatPr defaultRowHeight="15"/>
  <cols>
    <col min="1" max="1" width="11.7109375" customWidth="1"/>
    <col min="2" max="2" width="14" bestFit="1" customWidth="1"/>
    <col min="4" max="4" width="12" customWidth="1"/>
    <col min="5" max="5" width="11.5703125" customWidth="1"/>
    <col min="6" max="6" width="11.7109375" bestFit="1" customWidth="1"/>
    <col min="8" max="8" width="19.7109375" bestFit="1" customWidth="1"/>
    <col min="9" max="12" width="12.7109375" customWidth="1"/>
    <col min="13" max="13" width="7.140625" customWidth="1"/>
    <col min="14" max="16" width="12.7109375" customWidth="1"/>
    <col min="17" max="17" width="14.7109375" bestFit="1" customWidth="1"/>
  </cols>
  <sheetData>
    <row r="1" spans="1:14" ht="13.9">
      <c r="A1" s="77" t="s">
        <v>1954</v>
      </c>
      <c r="B1" s="75"/>
      <c r="C1" s="75"/>
      <c r="D1" s="75"/>
      <c r="E1" s="78" t="s">
        <v>1942</v>
      </c>
      <c r="H1" s="75" t="s">
        <v>1940</v>
      </c>
      <c r="I1" s="75"/>
      <c r="J1" s="75"/>
      <c r="K1" s="75"/>
      <c r="L1" s="75"/>
      <c r="M1" s="75"/>
    </row>
    <row r="2" spans="1:14" ht="13.9">
      <c r="A2" s="76" t="s">
        <v>1941</v>
      </c>
      <c r="B2" s="83">
        <f>SUMIFS(Jnl[NetBal], Jnl[IncNode], "Revenue")</f>
        <v>9871206.1699999999</v>
      </c>
      <c r="C2" s="74">
        <f>B2/E2</f>
        <v>0.15921300274193548</v>
      </c>
      <c r="D2" s="3" t="s">
        <v>1946</v>
      </c>
      <c r="E2" s="10">
        <v>62000000</v>
      </c>
      <c r="H2" s="100" t="s">
        <v>1941</v>
      </c>
      <c r="I2" s="87" t="s">
        <v>1958</v>
      </c>
      <c r="J2" s="87" t="s">
        <v>134</v>
      </c>
      <c r="K2" s="87" t="s">
        <v>1771</v>
      </c>
      <c r="L2" s="87" t="s">
        <v>1950</v>
      </c>
      <c r="M2" s="88"/>
    </row>
    <row r="3" spans="1:14" ht="13.9">
      <c r="B3" s="10"/>
      <c r="H3" s="89" t="s">
        <v>151</v>
      </c>
      <c r="I3" s="90">
        <f>SUMIFS(Jnl[NetBal], Jnl[IncNode], "Revenue", Jnl[NameDiv], I$2, Jnl[Action], $H3)/stmt_is_rev</f>
        <v>0.73377676094065403</v>
      </c>
      <c r="J3" s="90">
        <f>SUMIFS(Jnl[NetBal], Jnl[IncNode], "Revenue", Jnl[NameDiv], J$2, Jnl[Action], $H3)/stmt_is_rev</f>
        <v>0.11009808034431927</v>
      </c>
      <c r="K3" s="90">
        <f>SUMIFS(Jnl[NetBal], Jnl[IncNode], "Revenue", Jnl[NameDiv], K$2, Jnl[Action], $H3)/stmt_is_rev</f>
        <v>1.3279388328285723E-2</v>
      </c>
      <c r="L3" s="90"/>
      <c r="M3" s="88"/>
    </row>
    <row r="4" spans="1:14" ht="13.9">
      <c r="A4" s="76" t="s">
        <v>1945</v>
      </c>
      <c r="B4" s="83">
        <f>SUMIFS(Jnl[NetBal], Jnl[IncNode], "Cost")</f>
        <v>-5518224.3399999999</v>
      </c>
      <c r="C4" s="80">
        <f t="shared" ref="C4" si="0">B4/$B$2*-1</f>
        <v>0.55902229625905986</v>
      </c>
      <c r="D4" s="3" t="s">
        <v>1949</v>
      </c>
      <c r="H4" s="89" t="s">
        <v>1348</v>
      </c>
      <c r="I4" s="90">
        <f>SUMIFS(Jnl[NetBal], Jnl[IncNode], "Revenue", Jnl[NameDiv], I$2, Jnl[Action], $H4)/stmt_is_rev</f>
        <v>0</v>
      </c>
      <c r="J4" s="90">
        <f>SUMIFS(Jnl[NetBal], Jnl[IncNode], "Revenue", Jnl[NameDiv], J$2, Jnl[Action], $H4)/stmt_is_rev</f>
        <v>9.5979538233066819E-2</v>
      </c>
      <c r="K4" s="90">
        <f>SUMIFS(Jnl[NetBal], Jnl[IncNode], "Revenue", Jnl[NameDiv], K$2, Jnl[Action], $H4)/stmt_is_rev</f>
        <v>1.8077426094322981E-2</v>
      </c>
      <c r="L4" s="90"/>
      <c r="M4" s="88"/>
    </row>
    <row r="5" spans="1:14" ht="13.9">
      <c r="A5" s="82" t="s">
        <v>1948</v>
      </c>
      <c r="B5" s="79">
        <f>SUMIFS(Jnl[NetBal], Jnl[IncNode], "Cost", Jnl[Action], A5)</f>
        <v>-4262467.3599999994</v>
      </c>
      <c r="C5" s="80">
        <f>B5/$B$2*-1</f>
        <v>0.43180815865787953</v>
      </c>
      <c r="D5" s="3"/>
      <c r="E5" s="3" t="s">
        <v>1951</v>
      </c>
      <c r="F5" s="10"/>
      <c r="H5" s="91" t="s">
        <v>1340</v>
      </c>
      <c r="I5" s="92">
        <f>SUMIFS(Jnl[NetBal], Jnl[IncNode], "Revenue", Jnl[NameDiv], I$2, Jnl[Action], $H5)/stmt_is_rev</f>
        <v>0</v>
      </c>
      <c r="J5" s="92">
        <f>SUMIFS(Jnl[NetBal], Jnl[IncNode], "Revenue", Jnl[NameDiv], J$2, Jnl[Action], $H5)/stmt_is_rev</f>
        <v>0</v>
      </c>
      <c r="K5" s="92">
        <f>SUMIFS(Jnl[NetBal], Jnl[IncNode], "Revenue", Jnl[NameDiv], K$2, Jnl[Action], $H5)/stmt_is_rev</f>
        <v>6.7316839356420816E-3</v>
      </c>
      <c r="L5" s="92"/>
      <c r="M5" s="88"/>
    </row>
    <row r="6" spans="1:14" ht="13.9">
      <c r="A6" s="82" t="s">
        <v>282</v>
      </c>
      <c r="B6" s="79">
        <f>SUMIFS(Jnl[NetBal], Jnl[IncNode], "Cost", Jnl[Action], A6)</f>
        <v>-809715.64</v>
      </c>
      <c r="C6" s="80">
        <f>B6/$B$2*-1</f>
        <v>8.2028034472711259E-2</v>
      </c>
      <c r="F6" s="10"/>
      <c r="H6" s="89" t="s">
        <v>1950</v>
      </c>
      <c r="I6" s="90"/>
      <c r="J6" s="90"/>
      <c r="K6" s="90"/>
      <c r="L6" s="90">
        <f>1-SUM(I3:K5)</f>
        <v>2.205712212370925E-2</v>
      </c>
      <c r="M6" s="93">
        <v>1</v>
      </c>
    </row>
    <row r="7" spans="1:14" ht="13.9">
      <c r="A7" s="82" t="s">
        <v>504</v>
      </c>
      <c r="B7" s="79">
        <f>SUMIFS(Jnl[NetBal], Jnl[IncNode], "Cost", Jnl[Action], A7)</f>
        <v>-347674.02999999991</v>
      </c>
      <c r="C7" s="80">
        <f>B7/$B$2*-1</f>
        <v>3.5221028110691353E-2</v>
      </c>
      <c r="F7" s="10"/>
    </row>
    <row r="8" spans="1:14" ht="13.9">
      <c r="A8" s="82" t="s">
        <v>1020</v>
      </c>
      <c r="B8" s="79">
        <f>SUMIFS(Jnl[NetBal], Jnl[IncNode], "Cost", Jnl[Action], A8)</f>
        <v>0</v>
      </c>
      <c r="C8" s="80">
        <f>B8/$B$2*-1</f>
        <v>0</v>
      </c>
      <c r="F8" s="10"/>
      <c r="H8" s="107" t="s">
        <v>1986</v>
      </c>
      <c r="I8" s="104" t="s">
        <v>1981</v>
      </c>
      <c r="J8" s="104" t="s">
        <v>1983</v>
      </c>
      <c r="K8" s="104" t="s">
        <v>1947</v>
      </c>
      <c r="L8" s="104" t="s">
        <v>1982</v>
      </c>
      <c r="M8" s="105"/>
    </row>
    <row r="9" spans="1:14" ht="13.9">
      <c r="A9" s="82" t="s">
        <v>1950</v>
      </c>
      <c r="B9" s="79">
        <f>B4-SUM(B5:B8)</f>
        <v>-98367.310000000522</v>
      </c>
      <c r="C9" s="81">
        <f>B9/$B$2*-1</f>
        <v>9.9650750177777431E-3</v>
      </c>
      <c r="F9" s="10"/>
      <c r="H9" s="105"/>
      <c r="I9" s="106">
        <f>SUMIFS(Jnl[NetBal], Jnl[Vehicle], "HuaYuan", Jnl[Acct], "Curr", Jnl[TrxDate], "2025/12/31")</f>
        <v>5926374.9699999997</v>
      </c>
      <c r="J9" s="106">
        <f>SUMIFS(Jnl[NetBal], Jnl[Vehicle], "HuaYuan", Jnl[Acct], "Curr")-I9-K9</f>
        <v>2036011.2600000002</v>
      </c>
      <c r="K9" s="106">
        <f>SUMIFS(Jnl[NetBal], Jnl[Vehicle], "HuaYuan", Jnl[Acct], "Curr", Jnl[Action], K8)</f>
        <v>-4223325.76</v>
      </c>
      <c r="L9" s="106">
        <f>I9+J9+K9</f>
        <v>3739060.4700000007</v>
      </c>
      <c r="M9" s="105"/>
    </row>
    <row r="10" spans="1:14" ht="13.9">
      <c r="B10" s="10"/>
      <c r="C10" s="81"/>
    </row>
    <row r="11" spans="1:14" ht="13.9">
      <c r="A11" s="76" t="s">
        <v>1952</v>
      </c>
      <c r="B11" s="83">
        <f>SUMIFS(Jnl[NetBal], Jnl[IncNode], "Expense")</f>
        <v>-3254661.4861764694</v>
      </c>
      <c r="C11" s="80">
        <f t="shared" ref="C11:C17" si="1">B11/$B$2*-1</f>
        <v>0.32971264404018313</v>
      </c>
    </row>
    <row r="12" spans="1:14" ht="13.9">
      <c r="A12" s="6" t="s">
        <v>1953</v>
      </c>
      <c r="B12" s="79">
        <f>SUMIFS(Jnl[NetBal], Jnl[IncNode], "Expense", Jnl[Action], A12)</f>
        <v>-1997907.5699999994</v>
      </c>
      <c r="C12" s="80">
        <f t="shared" si="1"/>
        <v>0.20239751207627743</v>
      </c>
      <c r="H12" s="101" t="s">
        <v>1952</v>
      </c>
      <c r="I12" s="94" t="s">
        <v>1958</v>
      </c>
      <c r="J12" s="94" t="s">
        <v>134</v>
      </c>
      <c r="K12" s="94" t="s">
        <v>1771</v>
      </c>
      <c r="L12" s="94" t="s">
        <v>1980</v>
      </c>
      <c r="M12" s="94" t="s">
        <v>1950</v>
      </c>
    </row>
    <row r="13" spans="1:14" ht="13.9">
      <c r="A13" s="82" t="s">
        <v>887</v>
      </c>
      <c r="B13" s="79">
        <f>SUMIFS(Jnl[NetBal], Jnl[IncNode], "Expense", Jnl[Action], A13)</f>
        <v>-312639.25450980396</v>
      </c>
      <c r="C13" s="80">
        <f t="shared" si="1"/>
        <v>3.1671839198330103E-2</v>
      </c>
      <c r="H13" s="102" t="s">
        <v>1953</v>
      </c>
      <c r="I13" s="96">
        <f>SUMIFS(Jnl[NetBal], Jnl[IncNode], "Expense", Jnl[NameDiv], I$12, Jnl[Action], $H13)/stmt_is_rev</f>
        <v>-3.3356500140853611E-2</v>
      </c>
      <c r="J13" s="96">
        <f>SUMIFS(Jnl[NetBal], Jnl[IncNode], "Expense", Jnl[NameDiv], J$12, Jnl[Action], $H13)/stmt_is_rev</f>
        <v>-3.2876544609745498E-2</v>
      </c>
      <c r="K13" s="96">
        <f>SUMIFS(Jnl[NetBal], Jnl[IncNode], "Expense", Jnl[NameDiv], K$12, Jnl[Action], $H13)/stmt_is_rev</f>
        <v>-1.9105011763724512E-2</v>
      </c>
      <c r="L13" s="96">
        <f>SUMIFS(Jnl[NetBal], Jnl[IncNode], "Expense", Jnl[NameDiv], L$12, Jnl[Action], $H13)/stmt_is_rev</f>
        <v>-0.11134670080545993</v>
      </c>
      <c r="M13" s="97"/>
    </row>
    <row r="14" spans="1:14" ht="13.9">
      <c r="A14" s="82" t="s">
        <v>1418</v>
      </c>
      <c r="B14" s="79">
        <f>SUMIFS(Jnl[NetBal], Jnl[IncNode], "Expense", Jnl[Action], A14)</f>
        <v>-249147.71</v>
      </c>
      <c r="C14" s="80">
        <f t="shared" si="1"/>
        <v>2.5239844625796121E-2</v>
      </c>
      <c r="H14" s="95" t="s">
        <v>1418</v>
      </c>
      <c r="I14" s="96">
        <f>SUMIFS(Jnl[NetBal], Jnl[IncNode], "Expense", Jnl[NameDiv], I$12, Jnl[Action], $H14)/stmt_is_rev</f>
        <v>-2.450422125060326E-2</v>
      </c>
      <c r="J14" s="96">
        <f>SUMIFS(Jnl[NetBal], Jnl[IncNode], "Expense", Jnl[NameDiv], J$12, Jnl[Action], $H14)/stmt_is_rev</f>
        <v>-7.3562337519286162E-4</v>
      </c>
      <c r="K14" s="96">
        <f>SUMIFS(Jnl[NetBal], Jnl[IncNode], "Expense", Jnl[NameDiv], K$12, Jnl[Action], $H14)/stmt_is_rev</f>
        <v>0</v>
      </c>
      <c r="L14" s="96">
        <f>SUMIFS(Jnl[NetBal], Jnl[IncNode], "Expense", Jnl[NameDiv], L$12, Jnl[Action], $H14)/stmt_is_rev</f>
        <v>0</v>
      </c>
      <c r="M14" s="97"/>
    </row>
    <row r="15" spans="1:14" ht="13.9">
      <c r="A15" s="82" t="s">
        <v>444</v>
      </c>
      <c r="B15" s="79">
        <f>SUMIFS(Jnl[NetBal], Jnl[IncNode], "Expense", Jnl[Action], A15)</f>
        <v>-173256.09166666662</v>
      </c>
      <c r="C15" s="80">
        <f t="shared" si="1"/>
        <v>1.7551663766603977E-2</v>
      </c>
      <c r="H15" s="103" t="s">
        <v>1304</v>
      </c>
      <c r="I15" s="98">
        <f>SUMIFS(Jnl[NetBal], Jnl[IncNode], "Expense", Jnl[NameDiv], I$12, Jnl[Action], $H15)/stmt_is_rev</f>
        <v>-1.3908789628694383E-2</v>
      </c>
      <c r="J15" s="98">
        <f>SUMIFS(Jnl[NetBal], Jnl[IncNode], "Expense", Jnl[NameDiv], J$12, Jnl[Action], $H15)/stmt_is_rev</f>
        <v>-5.0713559354216185E-4</v>
      </c>
      <c r="K15" s="98">
        <f>SUMIFS(Jnl[NetBal], Jnl[IncNode], "Expense", Jnl[NameDiv], K$12, Jnl[Action], $H15)/stmt_is_rev</f>
        <v>-9.5693776802151416E-4</v>
      </c>
      <c r="L15" s="98">
        <f>SUMIFS(Jnl[NetBal], Jnl[IncNode], "Expense", Jnl[NameDiv], L$12, Jnl[Action], $H15)/stmt_is_rev</f>
        <v>0</v>
      </c>
      <c r="M15" s="97"/>
    </row>
    <row r="16" spans="1:14" ht="13.9">
      <c r="A16" s="82" t="s">
        <v>335</v>
      </c>
      <c r="B16" s="79">
        <f>SUMIFS(Jnl[NetBal], Jnl[IncNode], "Expense", Jnl[Action], A16)</f>
        <v>-55572.98</v>
      </c>
      <c r="C16" s="80">
        <f t="shared" si="1"/>
        <v>5.6298064332699479E-3</v>
      </c>
      <c r="H16" s="95" t="s">
        <v>1950</v>
      </c>
      <c r="I16" s="97"/>
      <c r="J16" s="97"/>
      <c r="K16" s="97"/>
      <c r="L16" s="99"/>
      <c r="M16" s="96">
        <f>-C11-SUM(I13:L15)</f>
        <v>-9.2415179104345435E-2</v>
      </c>
      <c r="N16" s="81">
        <f>SUM(I13:M16)</f>
        <v>-0.32971264404018313</v>
      </c>
    </row>
    <row r="17" spans="1:16" ht="13.9">
      <c r="A17" s="82" t="s">
        <v>1950</v>
      </c>
      <c r="B17" s="10">
        <f>B11-SUM(B12:B16)</f>
        <v>-466137.87999999942</v>
      </c>
      <c r="C17" s="80">
        <f t="shared" si="1"/>
        <v>4.7221977939905534E-2</v>
      </c>
      <c r="I17" s="10"/>
      <c r="J17" s="10"/>
      <c r="K17" s="10"/>
      <c r="L17" s="10"/>
    </row>
    <row r="19" spans="1:16" ht="13.9">
      <c r="A19" s="76" t="s">
        <v>1955</v>
      </c>
      <c r="B19" s="22">
        <f>B2+B4+B11</f>
        <v>1098320.3438235307</v>
      </c>
      <c r="C19" s="80">
        <f>B19/$B$2</f>
        <v>0.11126505970075698</v>
      </c>
      <c r="D19" s="3" t="s">
        <v>1956</v>
      </c>
    </row>
    <row r="20" spans="1:16" ht="13.9">
      <c r="A20" s="86" t="s">
        <v>1974</v>
      </c>
      <c r="B20" s="22">
        <f>SUMIFS(Jnl[NetBal], Jnl[IncType], "Non-Op")</f>
        <v>-897839.38999997987</v>
      </c>
      <c r="F20" t="s">
        <v>1962</v>
      </c>
    </row>
    <row r="21" spans="1:16" ht="13.9">
      <c r="A21" s="76" t="s">
        <v>1978</v>
      </c>
      <c r="B21" s="22">
        <f>B20+B19</f>
        <v>200480.95382355084</v>
      </c>
      <c r="C21" s="80">
        <f>B21/$B$2</f>
        <v>2.0309671419166685E-2</v>
      </c>
      <c r="D21" s="3" t="s">
        <v>1987</v>
      </c>
      <c r="F21" t="s">
        <v>1963</v>
      </c>
      <c r="I21" s="76" t="s">
        <v>1979</v>
      </c>
    </row>
    <row r="22" spans="1:16" ht="13.9">
      <c r="F22" s="76" t="s">
        <v>1964</v>
      </c>
    </row>
    <row r="23" spans="1:16" ht="13.9">
      <c r="F23" t="s">
        <v>1965</v>
      </c>
    </row>
    <row r="25" spans="1:16" ht="13.9">
      <c r="A25" s="75" t="s">
        <v>1943</v>
      </c>
      <c r="B25" s="75"/>
      <c r="C25" s="75"/>
      <c r="D25" s="75"/>
      <c r="F25" t="s">
        <v>1966</v>
      </c>
      <c r="H25" s="13" t="s">
        <v>1957</v>
      </c>
      <c r="I25" s="13" t="s">
        <v>1990</v>
      </c>
      <c r="J25" s="6"/>
      <c r="K25" s="6"/>
      <c r="L25" s="6"/>
      <c r="M25" s="6"/>
      <c r="N25" s="6"/>
      <c r="O25" s="6"/>
      <c r="P25" s="6"/>
    </row>
    <row r="26" spans="1:16">
      <c r="A26" t="s">
        <v>1944</v>
      </c>
      <c r="B26" s="61">
        <v>1</v>
      </c>
      <c r="F26" t="s">
        <v>1967</v>
      </c>
      <c r="H26" s="13" t="s">
        <v>1991</v>
      </c>
      <c r="I26" s="17" t="s">
        <v>294</v>
      </c>
      <c r="J26" s="17" t="s">
        <v>1924</v>
      </c>
      <c r="K26" s="17" t="s">
        <v>31</v>
      </c>
      <c r="L26" s="17" t="s">
        <v>1930</v>
      </c>
      <c r="M26" s="17" t="s">
        <v>36</v>
      </c>
      <c r="N26" s="17" t="s">
        <v>293</v>
      </c>
      <c r="O26" s="17" t="s">
        <v>34</v>
      </c>
      <c r="P26" s="17" t="s">
        <v>1992</v>
      </c>
    </row>
    <row r="27" spans="1:16" ht="13.9">
      <c r="F27" t="s">
        <v>1968</v>
      </c>
      <c r="H27" s="14" t="s">
        <v>26</v>
      </c>
      <c r="I27" s="81">
        <v>0.21003431546256859</v>
      </c>
      <c r="J27" s="81">
        <v>7.2894174734069866E-2</v>
      </c>
      <c r="K27" s="81">
        <v>1.1076584765833076E-2</v>
      </c>
      <c r="L27" s="81">
        <v>-2.3258090247534093E-3</v>
      </c>
      <c r="M27" s="81">
        <v>-0.14173997803983276</v>
      </c>
      <c r="N27" s="81">
        <v>-4.3463726721942571E-3</v>
      </c>
      <c r="O27" s="81">
        <v>-3.4327853608748918E-2</v>
      </c>
      <c r="P27" s="81">
        <v>0.11126506161694208</v>
      </c>
    </row>
    <row r="28" spans="1:16" ht="13.9">
      <c r="H28" s="15" t="s">
        <v>22</v>
      </c>
      <c r="I28" s="81">
        <v>0.73381417022398276</v>
      </c>
      <c r="J28" s="81">
        <v>0.20685694331574073</v>
      </c>
      <c r="K28" s="81">
        <v>5.9225581960299485E-2</v>
      </c>
      <c r="L28" s="81">
        <v>1.0332172178353891E-4</v>
      </c>
      <c r="M28" s="81">
        <v>0</v>
      </c>
      <c r="N28" s="81">
        <v>0</v>
      </c>
      <c r="O28" s="81">
        <v>0</v>
      </c>
      <c r="P28" s="81">
        <v>1.0000000172218064</v>
      </c>
    </row>
    <row r="29" spans="1:16" ht="13.9">
      <c r="H29" s="15" t="s">
        <v>23</v>
      </c>
      <c r="I29" s="81">
        <v>-0.44189095689017127</v>
      </c>
      <c r="J29" s="81">
        <v>-9.4465338379120051E-2</v>
      </c>
      <c r="K29" s="81">
        <v>-2.6813609198308695E-2</v>
      </c>
      <c r="L29" s="81">
        <v>4.1475985811662728E-3</v>
      </c>
      <c r="M29" s="81">
        <v>0</v>
      </c>
      <c r="N29" s="81">
        <v>0</v>
      </c>
      <c r="O29" s="81">
        <v>0</v>
      </c>
      <c r="P29" s="81">
        <v>-0.55902230588643387</v>
      </c>
    </row>
    <row r="30" spans="1:16" ht="13.9">
      <c r="H30" s="15" t="s">
        <v>24</v>
      </c>
      <c r="I30" s="81">
        <v>-8.1888897871242872E-2</v>
      </c>
      <c r="J30" s="81">
        <v>-3.9497430202550719E-2</v>
      </c>
      <c r="K30" s="81">
        <v>-2.1335387996157716E-2</v>
      </c>
      <c r="L30" s="81">
        <v>-6.5767293277032204E-3</v>
      </c>
      <c r="M30" s="81">
        <v>-0.14173997803983276</v>
      </c>
      <c r="N30" s="81">
        <v>-4.3463726721942571E-3</v>
      </c>
      <c r="O30" s="81">
        <v>-3.4327853608748918E-2</v>
      </c>
      <c r="P30" s="81">
        <v>-0.32971264971843062</v>
      </c>
    </row>
    <row r="31" spans="1:16" ht="13.9">
      <c r="H31" s="14" t="s">
        <v>1992</v>
      </c>
      <c r="I31" s="81">
        <v>0.21003431546256859</v>
      </c>
      <c r="J31" s="81">
        <v>7.2894174734069866E-2</v>
      </c>
      <c r="K31" s="81">
        <v>1.1076584765833076E-2</v>
      </c>
      <c r="L31" s="81">
        <v>-2.3258090247534093E-3</v>
      </c>
      <c r="M31" s="81">
        <v>-0.14173997803983276</v>
      </c>
      <c r="N31" s="81">
        <v>-4.3463726721942571E-3</v>
      </c>
      <c r="O31" s="81">
        <v>-3.4327853608748918E-2</v>
      </c>
      <c r="P31" s="81">
        <v>0.11126506161694208</v>
      </c>
    </row>
  </sheetData>
  <phoneticPr fontId="6" type="noConversion"/>
  <conditionalFormatting sqref="C2 B26">
    <cfRule type="dataBar" priority="7">
      <dataBar>
        <cfvo type="min"/>
        <cfvo type="max"/>
        <color rgb="FF638EC6"/>
      </dataBar>
      <extLst>
        <ext xmlns:x14="http://schemas.microsoft.com/office/spreadsheetml/2009/9/main" uri="{B025F937-C7B1-47D3-B67F-A62EFF666E3E}">
          <x14:id>{B7281ADD-869F-4382-A137-9F6B3DF70EE5}</x14:id>
        </ext>
      </extLst>
    </cfRule>
  </conditionalFormatting>
  <conditionalFormatting pivot="1" sqref="I27:P31">
    <cfRule type="colorScale" priority="6">
      <colorScale>
        <cfvo type="min"/>
        <cfvo type="percentile" val="50"/>
        <cfvo type="max"/>
        <color rgb="FFF8696B"/>
        <color rgb="FFFFEB84"/>
        <color rgb="FF63BE7B"/>
      </colorScale>
    </cfRule>
  </conditionalFormatting>
  <conditionalFormatting sqref="I3:M6">
    <cfRule type="dataBar" priority="5">
      <dataBar>
        <cfvo type="min"/>
        <cfvo type="max"/>
        <color rgb="FF63C384"/>
      </dataBar>
      <extLst>
        <ext xmlns:x14="http://schemas.microsoft.com/office/spreadsheetml/2009/9/main" uri="{B025F937-C7B1-47D3-B67F-A62EFF666E3E}">
          <x14:id>{62B574A9-E66F-4D53-B0C4-1561F5ECE681}</x14:id>
        </ext>
      </extLst>
    </cfRule>
  </conditionalFormatting>
  <conditionalFormatting sqref="M13:M15">
    <cfRule type="dataBar" priority="3">
      <dataBar>
        <cfvo type="min"/>
        <cfvo type="max"/>
        <color rgb="FF63C384"/>
      </dataBar>
      <extLst>
        <ext xmlns:x14="http://schemas.microsoft.com/office/spreadsheetml/2009/9/main" uri="{B025F937-C7B1-47D3-B67F-A62EFF666E3E}">
          <x14:id>{EFDEF2C4-FA5D-413F-B1CE-3B8B419D5CE8}</x14:id>
        </ext>
      </extLst>
    </cfRule>
  </conditionalFormatting>
  <conditionalFormatting sqref="I13:N16">
    <cfRule type="dataBar" priority="1">
      <dataBar>
        <cfvo type="min"/>
        <cfvo type="max"/>
        <color rgb="FFFFB628"/>
      </dataBar>
      <extLst>
        <ext xmlns:x14="http://schemas.microsoft.com/office/spreadsheetml/2009/9/main" uri="{B025F937-C7B1-47D3-B67F-A62EFF666E3E}">
          <x14:id>{266FF9AA-9D46-433B-818A-BF89EBAB26D2}</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B7281ADD-869F-4382-A137-9F6B3DF70EE5}">
            <x14:dataBar minLength="0" maxLength="100" border="1" negativeBarBorderColorSameAsPositive="0">
              <x14:cfvo type="autoMin"/>
              <x14:cfvo type="autoMax"/>
              <x14:borderColor rgb="FF638EC6"/>
              <x14:negativeFillColor rgb="FFFF0000"/>
              <x14:negativeBorderColor rgb="FFFF0000"/>
              <x14:axisColor rgb="FF000000"/>
            </x14:dataBar>
          </x14:cfRule>
          <xm:sqref>C2 B26</xm:sqref>
        </x14:conditionalFormatting>
        <x14:conditionalFormatting xmlns:xm="http://schemas.microsoft.com/office/excel/2006/main">
          <x14:cfRule type="dataBar" id="{62B574A9-E66F-4D53-B0C4-1561F5ECE681}">
            <x14:dataBar minLength="0" maxLength="100" border="1" negativeBarBorderColorSameAsPositive="0">
              <x14:cfvo type="autoMin"/>
              <x14:cfvo type="autoMax"/>
              <x14:borderColor rgb="FF63C384"/>
              <x14:negativeFillColor rgb="FFFF0000"/>
              <x14:negativeBorderColor rgb="FFFF0000"/>
              <x14:axisColor rgb="FF000000"/>
            </x14:dataBar>
          </x14:cfRule>
          <xm:sqref>I3:M6</xm:sqref>
        </x14:conditionalFormatting>
        <x14:conditionalFormatting xmlns:xm="http://schemas.microsoft.com/office/excel/2006/main">
          <x14:cfRule type="dataBar" id="{EFDEF2C4-FA5D-413F-B1CE-3B8B419D5CE8}">
            <x14:dataBar minLength="0" maxLength="100" border="1" negativeBarBorderColorSameAsPositive="0">
              <x14:cfvo type="autoMin"/>
              <x14:cfvo type="autoMax"/>
              <x14:borderColor rgb="FF63C384"/>
              <x14:negativeFillColor rgb="FFFF0000"/>
              <x14:negativeBorderColor rgb="FFFF0000"/>
              <x14:axisColor rgb="FF000000"/>
            </x14:dataBar>
          </x14:cfRule>
          <xm:sqref>M13:M15</xm:sqref>
        </x14:conditionalFormatting>
        <x14:conditionalFormatting xmlns:xm="http://schemas.microsoft.com/office/excel/2006/main">
          <x14:cfRule type="dataBar" id="{266FF9AA-9D46-433B-818A-BF89EBAB26D2}">
            <x14:dataBar minLength="0" maxLength="100" border="1" negativeBarBorderColorSameAsPositive="0">
              <x14:cfvo type="autoMin"/>
              <x14:cfvo type="autoMax"/>
              <x14:borderColor rgb="FFFFB628"/>
              <x14:negativeFillColor rgb="FFFF0000"/>
              <x14:negativeBorderColor rgb="FFFF0000"/>
              <x14:axisColor rgb="FF000000"/>
            </x14:dataBar>
          </x14:cfRule>
          <xm:sqref>I13:N16</xm:sqref>
        </x14:conditionalFormatting>
      </x14:conditionalFormattings>
    </ex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6" tint="0.39997558519241921"/>
  </sheetPr>
  <dimension ref="A1:S21"/>
  <sheetViews>
    <sheetView zoomScale="115" zoomScaleNormal="115" workbookViewId="0">
      <pane ySplit="1" topLeftCell="A2" activePane="bottomLeft" state="frozen"/>
      <selection pane="bottomLeft" activeCell="K5" sqref="K5"/>
    </sheetView>
  </sheetViews>
  <sheetFormatPr defaultRowHeight="15"/>
  <cols>
    <col min="1" max="1" width="12.5703125" customWidth="1"/>
    <col min="2" max="2" width="11.5703125" customWidth="1"/>
    <col min="3" max="3" width="18.42578125" customWidth="1"/>
    <col min="5" max="5" width="12.28515625" customWidth="1"/>
    <col min="6" max="7" width="13.28515625" customWidth="1"/>
    <col min="8" max="8" width="10.7109375" customWidth="1"/>
    <col min="10" max="10" width="12.7109375" customWidth="1"/>
    <col min="11" max="11" width="13.28515625" customWidth="1"/>
    <col min="13" max="13" width="11.7109375" customWidth="1"/>
    <col min="14" max="14" width="20.5703125" customWidth="1"/>
    <col min="16" max="16" width="12.42578125" customWidth="1"/>
    <col min="17" max="17" width="11.28515625" customWidth="1"/>
    <col min="18" max="18" width="20.5703125" bestFit="1" customWidth="1"/>
    <col min="19" max="19" width="41.28515625" bestFit="1" customWidth="1"/>
  </cols>
  <sheetData>
    <row r="1" spans="1:19">
      <c r="A1" s="2" t="s">
        <v>0</v>
      </c>
      <c r="B1" s="2"/>
      <c r="C1" s="2"/>
      <c r="E1" s="6" t="s">
        <v>8</v>
      </c>
      <c r="F1" s="6" t="s">
        <v>9</v>
      </c>
      <c r="G1" s="6" t="s">
        <v>10</v>
      </c>
      <c r="H1" s="6" t="s">
        <v>11</v>
      </c>
      <c r="J1" s="6" t="s">
        <v>20</v>
      </c>
      <c r="K1" s="6" t="s">
        <v>21</v>
      </c>
      <c r="M1" s="6" t="s">
        <v>28</v>
      </c>
      <c r="N1" s="6" t="s">
        <v>51</v>
      </c>
      <c r="P1" s="6" t="s">
        <v>28</v>
      </c>
      <c r="Q1" s="6" t="s">
        <v>21</v>
      </c>
      <c r="R1" s="6" t="s">
        <v>51</v>
      </c>
      <c r="S1" s="6" t="s">
        <v>32</v>
      </c>
    </row>
    <row r="2" spans="1:19">
      <c r="A2" t="s">
        <v>1</v>
      </c>
      <c r="B2" s="4" t="s">
        <v>3</v>
      </c>
      <c r="C2" s="3" t="s">
        <v>2</v>
      </c>
      <c r="E2" t="s">
        <v>12</v>
      </c>
      <c r="F2" t="s">
        <v>225</v>
      </c>
      <c r="G2" t="s">
        <v>13</v>
      </c>
      <c r="H2" t="str">
        <f>IF(config_BS[[#This Row],[Lv1]]="Assets", "A","LC")</f>
        <v>A</v>
      </c>
      <c r="J2" t="s">
        <v>22</v>
      </c>
      <c r="K2" t="s">
        <v>132</v>
      </c>
      <c r="M2" t="s">
        <v>295</v>
      </c>
      <c r="N2" t="s">
        <v>294</v>
      </c>
      <c r="P2" t="s">
        <v>85</v>
      </c>
      <c r="Q2" t="s">
        <v>52</v>
      </c>
      <c r="R2" t="s">
        <v>69</v>
      </c>
      <c r="S2" s="3" t="s">
        <v>70</v>
      </c>
    </row>
    <row r="3" spans="1:19">
      <c r="A3" t="s">
        <v>4</v>
      </c>
      <c r="B3" s="5" t="s">
        <v>5</v>
      </c>
      <c r="C3" s="3" t="s">
        <v>6</v>
      </c>
      <c r="E3" t="s">
        <v>14</v>
      </c>
      <c r="F3" t="s">
        <v>225</v>
      </c>
      <c r="G3" t="s">
        <v>13</v>
      </c>
      <c r="H3" t="str">
        <f>IF(config_BS[[#This Row],[Lv1]]="Assets", "A","LC")</f>
        <v>A</v>
      </c>
      <c r="J3" t="s">
        <v>23</v>
      </c>
      <c r="K3" t="s">
        <v>26</v>
      </c>
      <c r="M3" t="s">
        <v>29</v>
      </c>
      <c r="N3" t="s">
        <v>134</v>
      </c>
      <c r="P3" t="s">
        <v>86</v>
      </c>
      <c r="Q3" t="s">
        <v>52</v>
      </c>
      <c r="R3" t="s">
        <v>71</v>
      </c>
      <c r="S3" s="3" t="s">
        <v>72</v>
      </c>
    </row>
    <row r="4" spans="1:19">
      <c r="A4" t="s">
        <v>38</v>
      </c>
      <c r="E4" t="s">
        <v>195</v>
      </c>
      <c r="F4" t="s">
        <v>225</v>
      </c>
      <c r="G4" t="s">
        <v>123</v>
      </c>
      <c r="H4" t="str">
        <f>IF(config_BS[[#This Row],[Lv1]]="Assets", "A","LC")</f>
        <v>LC</v>
      </c>
      <c r="J4" t="s">
        <v>24</v>
      </c>
      <c r="K4" t="s">
        <v>26</v>
      </c>
      <c r="M4" t="s">
        <v>30</v>
      </c>
      <c r="N4" t="s">
        <v>31</v>
      </c>
      <c r="P4" t="s">
        <v>87</v>
      </c>
      <c r="Q4" t="s">
        <v>52</v>
      </c>
      <c r="R4" t="s">
        <v>73</v>
      </c>
      <c r="S4" s="3" t="s">
        <v>74</v>
      </c>
    </row>
    <row r="5" spans="1:19">
      <c r="A5" s="6" t="s">
        <v>218</v>
      </c>
      <c r="B5" s="8">
        <v>46023</v>
      </c>
      <c r="C5" s="3" t="s">
        <v>7</v>
      </c>
      <c r="E5" t="s">
        <v>113</v>
      </c>
      <c r="F5" t="s">
        <v>112</v>
      </c>
      <c r="G5" t="s">
        <v>13</v>
      </c>
      <c r="H5" t="str">
        <f>IF(config_BS[[#This Row],[Lv1]]="Assets", "A","LC")</f>
        <v>A</v>
      </c>
      <c r="J5" s="19" t="s">
        <v>133</v>
      </c>
      <c r="K5" s="19" t="s">
        <v>1977</v>
      </c>
      <c r="M5" t="s">
        <v>485</v>
      </c>
      <c r="N5" t="s">
        <v>486</v>
      </c>
      <c r="P5" t="s">
        <v>88</v>
      </c>
      <c r="Q5" t="s">
        <v>52</v>
      </c>
      <c r="R5" t="s">
        <v>76</v>
      </c>
      <c r="S5" s="3" t="s">
        <v>77</v>
      </c>
    </row>
    <row r="6" spans="1:19">
      <c r="A6" s="6" t="s">
        <v>219</v>
      </c>
      <c r="B6" s="24">
        <f>const_date_start-1</f>
        <v>46022</v>
      </c>
      <c r="C6" s="27" t="s">
        <v>221</v>
      </c>
      <c r="E6" t="s">
        <v>198</v>
      </c>
      <c r="F6" t="s">
        <v>112</v>
      </c>
      <c r="G6" t="s">
        <v>13</v>
      </c>
      <c r="H6" t="str">
        <f>IF(config_BS[[#This Row],[Lv1]]="Assets", "A","LC")</f>
        <v>A</v>
      </c>
      <c r="J6" s="19" t="s">
        <v>1975</v>
      </c>
      <c r="K6" s="19" t="s">
        <v>27</v>
      </c>
      <c r="M6" t="s">
        <v>33</v>
      </c>
      <c r="N6" t="s">
        <v>34</v>
      </c>
      <c r="P6" t="s">
        <v>93</v>
      </c>
      <c r="Q6" t="s">
        <v>52</v>
      </c>
      <c r="R6" s="18" t="s">
        <v>92</v>
      </c>
      <c r="S6" s="3" t="s">
        <v>75</v>
      </c>
    </row>
    <row r="7" spans="1:19">
      <c r="E7" t="s">
        <v>115</v>
      </c>
      <c r="F7" t="s">
        <v>129</v>
      </c>
      <c r="G7" t="s">
        <v>13</v>
      </c>
      <c r="H7" t="str">
        <f>IF(config_BS[[#This Row],[Lv1]]="Assets", "A","LC")</f>
        <v>A</v>
      </c>
      <c r="J7" t="s">
        <v>25</v>
      </c>
      <c r="K7" t="s">
        <v>27</v>
      </c>
      <c r="M7" t="s">
        <v>35</v>
      </c>
      <c r="N7" t="s">
        <v>36</v>
      </c>
      <c r="P7" t="s">
        <v>106</v>
      </c>
      <c r="Q7" t="s">
        <v>79</v>
      </c>
      <c r="R7" t="s">
        <v>55</v>
      </c>
      <c r="S7" s="3" t="s">
        <v>56</v>
      </c>
    </row>
    <row r="8" spans="1:19">
      <c r="E8" t="s">
        <v>189</v>
      </c>
      <c r="F8" t="s">
        <v>129</v>
      </c>
      <c r="G8" t="s">
        <v>13</v>
      </c>
      <c r="H8" t="str">
        <f>IF(config_BS[[#This Row],[Lv1]]="Assets", "A","LC")</f>
        <v>A</v>
      </c>
      <c r="M8" t="s">
        <v>37</v>
      </c>
      <c r="N8" t="s">
        <v>293</v>
      </c>
      <c r="P8" t="s">
        <v>107</v>
      </c>
      <c r="Q8" t="s">
        <v>79</v>
      </c>
      <c r="R8" t="s">
        <v>63</v>
      </c>
      <c r="S8" s="3" t="s">
        <v>64</v>
      </c>
    </row>
    <row r="9" spans="1:19">
      <c r="E9" t="s">
        <v>448</v>
      </c>
      <c r="F9" t="s">
        <v>129</v>
      </c>
      <c r="G9" t="s">
        <v>13</v>
      </c>
      <c r="H9" t="str">
        <f>IF(config_BS[[#This Row],[Lv1]]="Assets", "A","LC")</f>
        <v>A</v>
      </c>
      <c r="P9" t="s">
        <v>80</v>
      </c>
      <c r="Q9" t="s">
        <v>78</v>
      </c>
      <c r="R9" t="s">
        <v>53</v>
      </c>
      <c r="S9" s="3" t="s">
        <v>54</v>
      </c>
    </row>
    <row r="10" spans="1:19">
      <c r="E10" t="s">
        <v>116</v>
      </c>
      <c r="F10" t="s">
        <v>119</v>
      </c>
      <c r="G10" t="s">
        <v>13</v>
      </c>
      <c r="H10" t="str">
        <f>IF(config_BS[[#This Row],[Lv1]]="Assets", "A","LC")</f>
        <v>A</v>
      </c>
      <c r="P10" t="s">
        <v>81</v>
      </c>
      <c r="Q10" t="s">
        <v>78</v>
      </c>
      <c r="R10" t="s">
        <v>57</v>
      </c>
      <c r="S10" s="3" t="s">
        <v>58</v>
      </c>
    </row>
    <row r="11" spans="1:19">
      <c r="E11" t="s">
        <v>161</v>
      </c>
      <c r="F11" t="s">
        <v>119</v>
      </c>
      <c r="G11" t="s">
        <v>13</v>
      </c>
      <c r="H11" t="str">
        <f>IF(config_BS[[#This Row],[Lv1]]="Assets", "A","LC")</f>
        <v>A</v>
      </c>
      <c r="P11" t="s">
        <v>82</v>
      </c>
      <c r="Q11" t="s">
        <v>78</v>
      </c>
      <c r="R11" t="s">
        <v>59</v>
      </c>
      <c r="S11" s="3" t="s">
        <v>60</v>
      </c>
    </row>
    <row r="12" spans="1:19">
      <c r="E12" t="s">
        <v>121</v>
      </c>
      <c r="F12" t="s">
        <v>120</v>
      </c>
      <c r="G12" t="s">
        <v>13</v>
      </c>
      <c r="H12" t="str">
        <f>IF(config_BS[[#This Row],[Lv1]]="Assets", "A","LC")</f>
        <v>A</v>
      </c>
      <c r="P12" t="s">
        <v>83</v>
      </c>
      <c r="Q12" t="s">
        <v>78</v>
      </c>
      <c r="R12" t="s">
        <v>61</v>
      </c>
      <c r="S12" s="3" t="s">
        <v>62</v>
      </c>
    </row>
    <row r="13" spans="1:19">
      <c r="E13" t="s">
        <v>164</v>
      </c>
      <c r="F13" t="s">
        <v>180</v>
      </c>
      <c r="G13" t="s">
        <v>13</v>
      </c>
      <c r="H13" t="str">
        <f>IF(config_BS[[#This Row],[Lv1]]="Assets", "A","LC")</f>
        <v>A</v>
      </c>
      <c r="M13" t="s">
        <v>125</v>
      </c>
      <c r="P13" t="s">
        <v>84</v>
      </c>
      <c r="Q13" t="s">
        <v>78</v>
      </c>
      <c r="R13" t="s">
        <v>65</v>
      </c>
      <c r="S13" s="3" t="s">
        <v>66</v>
      </c>
    </row>
    <row r="14" spans="1:19">
      <c r="E14" t="s">
        <v>114</v>
      </c>
      <c r="F14" t="s">
        <v>112</v>
      </c>
      <c r="G14" t="s">
        <v>123</v>
      </c>
      <c r="H14" t="str">
        <f>IF(config_BS[[#This Row],[Lv1]]="Assets", "A","LC")</f>
        <v>LC</v>
      </c>
      <c r="P14" t="s">
        <v>111</v>
      </c>
      <c r="Q14" t="s">
        <v>78</v>
      </c>
      <c r="R14" t="s">
        <v>67</v>
      </c>
      <c r="S14" s="3" t="s">
        <v>68</v>
      </c>
    </row>
    <row r="15" spans="1:19">
      <c r="E15" t="s">
        <v>127</v>
      </c>
      <c r="F15" t="s">
        <v>128</v>
      </c>
      <c r="G15" t="s">
        <v>123</v>
      </c>
      <c r="H15" t="str">
        <f>IF(config_BS[[#This Row],[Lv1]]="Assets", "A","LC")</f>
        <v>LC</v>
      </c>
    </row>
    <row r="16" spans="1:19">
      <c r="E16" t="s">
        <v>596</v>
      </c>
      <c r="F16" t="s">
        <v>112</v>
      </c>
      <c r="G16" t="s">
        <v>123</v>
      </c>
      <c r="H16" t="str">
        <f>IF(config_BS[[#This Row],[Lv1]]="Assets", "A","LC")</f>
        <v>LC</v>
      </c>
    </row>
    <row r="17" spans="5:8">
      <c r="E17" t="s">
        <v>131</v>
      </c>
      <c r="F17" t="s">
        <v>112</v>
      </c>
      <c r="G17" t="s">
        <v>123</v>
      </c>
      <c r="H17" t="str">
        <f>IF(config_BS[[#This Row],[Lv1]]="Assets", "A","LC")</f>
        <v>LC</v>
      </c>
    </row>
    <row r="18" spans="5:8">
      <c r="E18" t="s">
        <v>1289</v>
      </c>
      <c r="F18" t="s">
        <v>112</v>
      </c>
      <c r="G18" t="s">
        <v>123</v>
      </c>
      <c r="H18" t="str">
        <f>IF(config_BS[[#This Row],[Lv1]]="Assets", "A","LC")</f>
        <v>LC</v>
      </c>
    </row>
    <row r="19" spans="5:8">
      <c r="E19" t="s">
        <v>18</v>
      </c>
      <c r="F19" t="s">
        <v>19</v>
      </c>
      <c r="G19" t="s">
        <v>17</v>
      </c>
      <c r="H19" t="str">
        <f>IF(config_BS[[#This Row],[Lv1]]="Assets", "A","LC")</f>
        <v>LC</v>
      </c>
    </row>
    <row r="20" spans="5:8">
      <c r="E20" t="s">
        <v>154</v>
      </c>
      <c r="F20" t="s">
        <v>15</v>
      </c>
      <c r="G20" t="s">
        <v>17</v>
      </c>
      <c r="H20" t="str">
        <f>IF(config_BS[[#This Row],[Lv1]]="Assets", "A","LC")</f>
        <v>LC</v>
      </c>
    </row>
    <row r="21" spans="5:8">
      <c r="E21" t="s">
        <v>16</v>
      </c>
      <c r="F21" t="s">
        <v>15</v>
      </c>
      <c r="G21" t="s">
        <v>17</v>
      </c>
      <c r="H21" t="str">
        <f>IF(config_BS[[#This Row],[Lv1]]="Assets", "A","LC")</f>
        <v>LC</v>
      </c>
    </row>
  </sheetData>
  <phoneticPr fontId="6" type="noConversion"/>
  <dataValidations count="1">
    <dataValidation type="list" allowBlank="1" showInputMessage="1" showErrorMessage="1" sqref="G2:G21" xr:uid="{F683D44A-802D-4F34-82A2-33DE8400CFEA}">
      <formula1>"Assets,Liability,Equity"</formula1>
    </dataValidation>
  </dataValidations>
  <pageMargins left="0.7" right="0.7" top="0.75" bottom="0.75" header="0.3" footer="0.3"/>
  <legacyDrawing r:id="rId1"/>
  <tableParts count="4">
    <tablePart r:id="rId2"/>
    <tablePart r:id="rId3"/>
    <tablePart r:id="rId4"/>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A532F-8FA5-4E8F-8D59-6A27F81FADE1}">
  <sheetPr codeName="Sheet8">
    <tabColor theme="0" tint="-0.249977111117893"/>
  </sheetPr>
  <dimension ref="A1:C29"/>
  <sheetViews>
    <sheetView zoomScale="130" zoomScaleNormal="130" workbookViewId="0">
      <pane ySplit="1" topLeftCell="A5" activePane="bottomLeft" state="frozen"/>
      <selection pane="bottomLeft" activeCell="F18" sqref="F18"/>
    </sheetView>
  </sheetViews>
  <sheetFormatPr defaultRowHeight="15"/>
  <cols>
    <col min="1" max="1" width="12.85546875" customWidth="1"/>
    <col min="2" max="2" width="20.7109375" customWidth="1"/>
    <col min="3" max="3" width="10.140625" customWidth="1"/>
  </cols>
  <sheetData>
    <row r="1" spans="1:3">
      <c r="A1" s="6" t="s">
        <v>157</v>
      </c>
      <c r="B1" s="6" t="s">
        <v>51</v>
      </c>
      <c r="C1" s="6" t="s">
        <v>171</v>
      </c>
    </row>
    <row r="2" spans="1:3">
      <c r="A2" t="s">
        <v>12</v>
      </c>
      <c r="B2" t="s">
        <v>158</v>
      </c>
      <c r="C2" t="s">
        <v>172</v>
      </c>
    </row>
    <row r="3" spans="1:3">
      <c r="A3" t="s">
        <v>14</v>
      </c>
      <c r="B3" t="s">
        <v>159</v>
      </c>
      <c r="C3" t="s">
        <v>172</v>
      </c>
    </row>
    <row r="4" spans="1:3">
      <c r="A4" t="s">
        <v>195</v>
      </c>
      <c r="B4" t="s">
        <v>196</v>
      </c>
      <c r="C4" t="s">
        <v>172</v>
      </c>
    </row>
    <row r="5" spans="1:3">
      <c r="A5" t="s">
        <v>113</v>
      </c>
      <c r="B5" t="s">
        <v>183</v>
      </c>
      <c r="C5" t="s">
        <v>172</v>
      </c>
    </row>
    <row r="6" spans="1:3">
      <c r="A6" t="s">
        <v>198</v>
      </c>
      <c r="B6" t="s">
        <v>199</v>
      </c>
      <c r="C6" t="s">
        <v>172</v>
      </c>
    </row>
    <row r="7" spans="1:3">
      <c r="A7" t="s">
        <v>115</v>
      </c>
      <c r="B7" t="s">
        <v>651</v>
      </c>
      <c r="C7" t="s">
        <v>172</v>
      </c>
    </row>
    <row r="8" spans="1:3">
      <c r="A8" t="s">
        <v>189</v>
      </c>
      <c r="B8" t="s">
        <v>191</v>
      </c>
      <c r="C8" t="s">
        <v>172</v>
      </c>
    </row>
    <row r="9" spans="1:3">
      <c r="A9" t="s">
        <v>192</v>
      </c>
      <c r="B9" t="s">
        <v>193</v>
      </c>
      <c r="C9" t="s">
        <v>172</v>
      </c>
    </row>
    <row r="10" spans="1:3">
      <c r="A10" t="s">
        <v>116</v>
      </c>
      <c r="B10" t="s">
        <v>160</v>
      </c>
      <c r="C10" t="s">
        <v>172</v>
      </c>
    </row>
    <row r="11" spans="1:3">
      <c r="A11" t="s">
        <v>161</v>
      </c>
      <c r="B11" t="s">
        <v>209</v>
      </c>
      <c r="C11" t="s">
        <v>172</v>
      </c>
    </row>
    <row r="12" spans="1:3">
      <c r="A12" t="s">
        <v>121</v>
      </c>
      <c r="B12" t="s">
        <v>162</v>
      </c>
      <c r="C12" t="s">
        <v>172</v>
      </c>
    </row>
    <row r="13" spans="1:3">
      <c r="A13" t="s">
        <v>164</v>
      </c>
      <c r="B13" t="s">
        <v>163</v>
      </c>
      <c r="C13" t="s">
        <v>172</v>
      </c>
    </row>
    <row r="14" spans="1:3">
      <c r="A14" t="s">
        <v>114</v>
      </c>
      <c r="B14" t="s">
        <v>184</v>
      </c>
      <c r="C14" t="s">
        <v>172</v>
      </c>
    </row>
    <row r="15" spans="1:3">
      <c r="A15" t="s">
        <v>126</v>
      </c>
      <c r="B15" t="s">
        <v>165</v>
      </c>
      <c r="C15" t="s">
        <v>172</v>
      </c>
    </row>
    <row r="16" spans="1:3">
      <c r="A16" t="s">
        <v>188</v>
      </c>
      <c r="B16" t="s">
        <v>166</v>
      </c>
      <c r="C16" t="s">
        <v>172</v>
      </c>
    </row>
    <row r="17" spans="1:3">
      <c r="A17" t="s">
        <v>130</v>
      </c>
      <c r="B17" t="s">
        <v>167</v>
      </c>
      <c r="C17" t="s">
        <v>172</v>
      </c>
    </row>
    <row r="18" spans="1:3">
      <c r="A18" t="s">
        <v>1289</v>
      </c>
      <c r="B18" t="s">
        <v>1290</v>
      </c>
      <c r="C18" t="s">
        <v>172</v>
      </c>
    </row>
    <row r="19" spans="1:3">
      <c r="A19" t="s">
        <v>18</v>
      </c>
      <c r="B19" t="s">
        <v>168</v>
      </c>
      <c r="C19" t="s">
        <v>172</v>
      </c>
    </row>
    <row r="20" spans="1:3">
      <c r="A20" t="s">
        <v>154</v>
      </c>
      <c r="B20" t="s">
        <v>170</v>
      </c>
      <c r="C20" t="s">
        <v>172</v>
      </c>
    </row>
    <row r="21" spans="1:3">
      <c r="A21" t="s">
        <v>16</v>
      </c>
      <c r="B21" t="s">
        <v>169</v>
      </c>
      <c r="C21" t="s">
        <v>172</v>
      </c>
    </row>
    <row r="22" spans="1:3">
      <c r="A22" t="s">
        <v>225</v>
      </c>
      <c r="B22" t="s">
        <v>226</v>
      </c>
      <c r="C22" t="s">
        <v>173</v>
      </c>
    </row>
    <row r="23" spans="1:3">
      <c r="A23" t="s">
        <v>112</v>
      </c>
      <c r="B23" t="s">
        <v>174</v>
      </c>
      <c r="C23" t="s">
        <v>173</v>
      </c>
    </row>
    <row r="24" spans="1:3">
      <c r="A24" t="s">
        <v>118</v>
      </c>
      <c r="B24" t="s">
        <v>175</v>
      </c>
      <c r="C24" t="s">
        <v>173</v>
      </c>
    </row>
    <row r="25" spans="1:3">
      <c r="A25" t="s">
        <v>119</v>
      </c>
      <c r="B25" t="s">
        <v>176</v>
      </c>
      <c r="C25" t="s">
        <v>173</v>
      </c>
    </row>
    <row r="26" spans="1:3">
      <c r="A26" t="s">
        <v>120</v>
      </c>
      <c r="B26" t="s">
        <v>177</v>
      </c>
      <c r="C26" t="s">
        <v>173</v>
      </c>
    </row>
    <row r="27" spans="1:3">
      <c r="A27" t="s">
        <v>180</v>
      </c>
      <c r="B27" t="s">
        <v>178</v>
      </c>
      <c r="C27" t="s">
        <v>173</v>
      </c>
    </row>
    <row r="28" spans="1:3">
      <c r="A28" t="s">
        <v>19</v>
      </c>
      <c r="B28" t="s">
        <v>210</v>
      </c>
      <c r="C28" t="s">
        <v>173</v>
      </c>
    </row>
    <row r="29" spans="1:3">
      <c r="A29" t="s">
        <v>15</v>
      </c>
      <c r="B29" t="s">
        <v>179</v>
      </c>
      <c r="C29" t="s">
        <v>173</v>
      </c>
    </row>
  </sheetData>
  <phoneticPr fontId="6"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3AD77-7F60-4BF9-A7B0-DB58FFA4F614}">
  <sheetPr codeName="Sheet9">
    <tabColor theme="4" tint="0.39997558519241921"/>
  </sheetPr>
  <dimension ref="A1:R11"/>
  <sheetViews>
    <sheetView workbookViewId="0">
      <selection activeCell="C3" sqref="C3:D3"/>
    </sheetView>
  </sheetViews>
  <sheetFormatPr defaultRowHeight="15"/>
  <cols>
    <col min="2" max="4" width="13.85546875" customWidth="1"/>
    <col min="5" max="5" width="11.7109375" bestFit="1" customWidth="1"/>
    <col min="17" max="17" width="13.28515625" customWidth="1"/>
    <col min="18" max="18" width="15.7109375" customWidth="1"/>
  </cols>
  <sheetData>
    <row r="1" spans="1:18">
      <c r="A1" s="38" t="s">
        <v>122</v>
      </c>
      <c r="B1" s="38" t="s">
        <v>43</v>
      </c>
      <c r="C1" s="38" t="s">
        <v>670</v>
      </c>
      <c r="D1" s="38" t="s">
        <v>686</v>
      </c>
      <c r="E1" s="39" t="s">
        <v>432</v>
      </c>
      <c r="F1" s="39" t="s">
        <v>433</v>
      </c>
      <c r="G1" s="39" t="s">
        <v>434</v>
      </c>
      <c r="H1" s="39" t="s">
        <v>435</v>
      </c>
      <c r="I1" s="39" t="s">
        <v>436</v>
      </c>
      <c r="J1" s="39" t="s">
        <v>437</v>
      </c>
      <c r="K1" s="39" t="s">
        <v>438</v>
      </c>
      <c r="L1" s="39" t="s">
        <v>439</v>
      </c>
      <c r="M1" s="39" t="s">
        <v>440</v>
      </c>
      <c r="N1" s="39" t="s">
        <v>441</v>
      </c>
      <c r="O1" s="39" t="s">
        <v>442</v>
      </c>
      <c r="P1" s="39" t="s">
        <v>443</v>
      </c>
      <c r="Q1" s="39" t="s">
        <v>445</v>
      </c>
      <c r="R1" s="39" t="s">
        <v>672</v>
      </c>
    </row>
    <row r="2" spans="1:18">
      <c r="A2" s="40" t="s">
        <v>84</v>
      </c>
      <c r="B2" s="41" t="s">
        <v>679</v>
      </c>
      <c r="C2" s="44">
        <v>155989.63</v>
      </c>
      <c r="D2" s="44"/>
      <c r="E2" s="46">
        <f>-155989.63/12</f>
        <v>-12999.135833333334</v>
      </c>
      <c r="F2" s="45">
        <v>-12999.135833333334</v>
      </c>
      <c r="G2" s="45"/>
      <c r="H2" s="45"/>
      <c r="I2" s="45"/>
      <c r="J2" s="45"/>
      <c r="K2" s="45"/>
      <c r="L2" s="45"/>
      <c r="M2" s="45"/>
      <c r="N2" s="45"/>
      <c r="O2" s="45"/>
      <c r="P2" s="45"/>
      <c r="Q2" s="46">
        <f>SUM(E2:P2)</f>
        <v>-25998.271666666667</v>
      </c>
      <c r="R2" s="47">
        <f>C2+D2+Q2</f>
        <v>129991.35833333334</v>
      </c>
    </row>
    <row r="3" spans="1:18">
      <c r="A3" s="48" t="s">
        <v>106</v>
      </c>
      <c r="B3" s="41" t="s">
        <v>671</v>
      </c>
      <c r="C3" s="44">
        <v>6467900</v>
      </c>
      <c r="D3" s="44">
        <v>-1065602.3999999999</v>
      </c>
      <c r="E3" s="46">
        <v>-54022.96</v>
      </c>
      <c r="F3" s="45">
        <v>-54022.96</v>
      </c>
      <c r="G3" s="45"/>
      <c r="H3" s="45"/>
      <c r="I3" s="45"/>
      <c r="J3" s="45"/>
      <c r="K3" s="45"/>
      <c r="L3" s="45"/>
      <c r="M3" s="45"/>
      <c r="N3" s="45"/>
      <c r="O3" s="45"/>
      <c r="P3" s="45"/>
      <c r="Q3" s="46">
        <f>SUM(E3:P3)</f>
        <v>-108045.92</v>
      </c>
      <c r="R3" s="47">
        <f>C3+D3+Q3</f>
        <v>5294251.68</v>
      </c>
    </row>
    <row r="4" spans="1:18">
      <c r="A4" s="114" t="s">
        <v>83</v>
      </c>
      <c r="B4" s="41" t="s">
        <v>200</v>
      </c>
      <c r="C4" s="44">
        <v>2949723.27</v>
      </c>
      <c r="D4" s="44"/>
      <c r="E4" s="58"/>
      <c r="F4" s="58"/>
      <c r="G4" s="58"/>
      <c r="H4" s="58"/>
      <c r="I4" s="58"/>
      <c r="J4" s="58"/>
      <c r="K4" s="58"/>
      <c r="L4" s="58"/>
      <c r="M4" s="58"/>
      <c r="N4" s="58"/>
      <c r="O4" s="58"/>
      <c r="P4" s="58"/>
      <c r="Q4" s="46">
        <f t="shared" ref="Q4:Q5" si="0">SUM(E4:P4)</f>
        <v>0</v>
      </c>
      <c r="R4" s="47">
        <f t="shared" ref="R4:R5" si="1">C4+D4+Q4</f>
        <v>2949723.27</v>
      </c>
    </row>
    <row r="5" spans="1:18">
      <c r="A5" s="114"/>
      <c r="B5" s="41" t="s">
        <v>201</v>
      </c>
      <c r="C5" s="44">
        <v>21129338.43</v>
      </c>
      <c r="D5" s="44">
        <v>-5217130.03</v>
      </c>
      <c r="E5" s="58">
        <v>-102296.66725490197</v>
      </c>
      <c r="F5" s="58">
        <v>-102296.66725490197</v>
      </c>
      <c r="G5" s="58"/>
      <c r="H5" s="58"/>
      <c r="I5" s="58"/>
      <c r="J5" s="58"/>
      <c r="K5" s="58"/>
      <c r="L5" s="58"/>
      <c r="M5" s="58"/>
      <c r="N5" s="58"/>
      <c r="O5" s="58"/>
      <c r="P5" s="58"/>
      <c r="Q5" s="46">
        <f t="shared" si="0"/>
        <v>-204593.33450980394</v>
      </c>
      <c r="R5" s="47">
        <f t="shared" si="1"/>
        <v>15707615.065490194</v>
      </c>
    </row>
    <row r="8" spans="1:18">
      <c r="D8" s="59"/>
    </row>
    <row r="9" spans="1:18">
      <c r="D9" s="59"/>
    </row>
    <row r="11" spans="1:18">
      <c r="D11" s="59"/>
    </row>
  </sheetData>
  <mergeCells count="1">
    <mergeCell ref="A4:A5"/>
  </mergeCells>
  <phoneticPr fontId="6" type="noConversion"/>
  <dataValidations count="1">
    <dataValidation type="list" allowBlank="1" showInputMessage="1" showErrorMessage="1" sqref="A2:A4" xr:uid="{FE1BE97B-8037-42CE-B261-889D4B69EBE4}">
      <formula1>INDIRECT("config_vehicle[Id]")</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8CAB8-11E8-44A6-BC0D-630B8DF9E32F}">
  <sheetPr>
    <tabColor theme="4" tint="0.39997558519241921"/>
  </sheetPr>
  <dimension ref="A1:D3"/>
  <sheetViews>
    <sheetView workbookViewId="0">
      <selection activeCell="D4" sqref="D4"/>
    </sheetView>
  </sheetViews>
  <sheetFormatPr defaultRowHeight="15"/>
  <cols>
    <col min="1" max="1" width="13.85546875" bestFit="1" customWidth="1"/>
    <col min="2" max="2" width="10.140625" bestFit="1" customWidth="1"/>
    <col min="3" max="3" width="9.140625" bestFit="1" customWidth="1"/>
  </cols>
  <sheetData>
    <row r="1" spans="1:4">
      <c r="A1" s="84" t="s">
        <v>308</v>
      </c>
      <c r="B1" s="84" t="s">
        <v>1959</v>
      </c>
      <c r="C1" s="84" t="s">
        <v>1960</v>
      </c>
      <c r="D1" s="6" t="s">
        <v>1969</v>
      </c>
    </row>
    <row r="2" spans="1:4">
      <c r="A2" t="s">
        <v>1961</v>
      </c>
      <c r="B2" s="36">
        <v>46053</v>
      </c>
      <c r="C2" s="10">
        <v>-517487.94691176619</v>
      </c>
      <c r="D2" t="s">
        <v>1970</v>
      </c>
    </row>
    <row r="3" spans="1:4">
      <c r="A3" t="s">
        <v>1961</v>
      </c>
      <c r="B3" s="36">
        <v>46081</v>
      </c>
      <c r="C3" s="10">
        <v>-580832.396911763</v>
      </c>
      <c r="D3" t="s">
        <v>1970</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8</vt:i4>
      </vt:variant>
    </vt:vector>
  </HeadingPairs>
  <TitlesOfParts>
    <vt:vector size="18" baseType="lpstr">
      <vt:lpstr>参考说明</vt:lpstr>
      <vt:lpstr>src_trx</vt:lpstr>
      <vt:lpstr>src_jnl</vt:lpstr>
      <vt:lpstr>debug</vt:lpstr>
      <vt:lpstr>stmt_BS</vt:lpstr>
      <vt:lpstr>stmt_IS</vt:lpstr>
      <vt:lpstr>config</vt:lpstr>
      <vt:lpstr>dict</vt:lpstr>
      <vt:lpstr>摊销折旧明细</vt:lpstr>
      <vt:lpstr>arch</vt:lpstr>
      <vt:lpstr>const_date_prior</vt:lpstr>
      <vt:lpstr>const_date_start</vt:lpstr>
      <vt:lpstr>const_default_str</vt:lpstr>
      <vt:lpstr>const_func_ccy</vt:lpstr>
      <vt:lpstr>debug_date_end</vt:lpstr>
      <vt:lpstr>debug_date_start</vt:lpstr>
      <vt:lpstr>stmt_BS_date_end</vt:lpstr>
      <vt:lpstr>stmt_is_rev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Yu Wang</cp:lastModifiedBy>
  <dcterms:created xsi:type="dcterms:W3CDTF">2015-06-05T18:17:20Z</dcterms:created>
  <dcterms:modified xsi:type="dcterms:W3CDTF">2026-03-23T08:55:11Z</dcterms:modified>
</cp:coreProperties>
</file>