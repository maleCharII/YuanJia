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d45dba343eb289d6/Desktop/YuanJia/"/>
    </mc:Choice>
  </mc:AlternateContent>
  <xr:revisionPtr revIDLastSave="632" documentId="11_F25DC773A252ABDACC1048EAB19C73525BDE58EE" xr6:coauthVersionLast="47" xr6:coauthVersionMax="47" xr10:uidLastSave="{2BD1226C-63A8-4DBB-AAA9-09E80E6DC5A8}"/>
  <bookViews>
    <workbookView xWindow="-60" yWindow="-16320" windowWidth="29040" windowHeight="16440" activeTab="3" xr2:uid="{00000000-000D-0000-FFFF-FFFF00000000}"/>
  </bookViews>
  <sheets>
    <sheet name="doc" sheetId="2" r:id="rId1"/>
    <sheet name="config" sheetId="1" r:id="rId2"/>
    <sheet name="data" sheetId="3" r:id="rId3"/>
    <sheet name="stmt" sheetId="4" r:id="rId4"/>
  </sheets>
  <definedNames>
    <definedName name="stmt_total_sales">stmt!$E$3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4" l="1"/>
  <c r="P3" i="4" s="1"/>
  <c r="M2" i="4"/>
  <c r="M3" i="4" s="1"/>
  <c r="B5" i="4"/>
  <c r="B4" i="4"/>
  <c r="B3" i="4"/>
  <c r="B2" i="4"/>
  <c r="B7" i="4" s="1"/>
  <c r="I5" i="4"/>
  <c r="I4" i="4"/>
  <c r="H5" i="4"/>
  <c r="H4" i="4"/>
  <c r="E4" i="4"/>
  <c r="E3" i="4"/>
  <c r="F27" i="3"/>
  <c r="G27" i="3"/>
  <c r="H27" i="3"/>
  <c r="I27" i="3"/>
  <c r="F26" i="3"/>
  <c r="G26" i="3"/>
  <c r="H26" i="3"/>
  <c r="I26" i="3"/>
  <c r="F25" i="3"/>
  <c r="G25" i="3"/>
  <c r="H25" i="3"/>
  <c r="I25" i="3"/>
  <c r="F24" i="3"/>
  <c r="G24" i="3"/>
  <c r="H24" i="3"/>
  <c r="I24" i="3"/>
  <c r="F23" i="3"/>
  <c r="G23" i="3"/>
  <c r="H23" i="3"/>
  <c r="I23" i="3"/>
  <c r="F22" i="3"/>
  <c r="G22" i="3"/>
  <c r="H22" i="3"/>
  <c r="I22" i="3"/>
  <c r="F21" i="3"/>
  <c r="G21" i="3"/>
  <c r="H21" i="3"/>
  <c r="I21" i="3"/>
  <c r="F20" i="3"/>
  <c r="G20" i="3"/>
  <c r="H20" i="3"/>
  <c r="I20" i="3"/>
  <c r="F19" i="3"/>
  <c r="G19" i="3"/>
  <c r="H19" i="3"/>
  <c r="I19" i="3"/>
  <c r="F18" i="3"/>
  <c r="G18" i="3"/>
  <c r="H18" i="3"/>
  <c r="I18" i="3"/>
  <c r="F17" i="3"/>
  <c r="G17" i="3"/>
  <c r="H17" i="3"/>
  <c r="I17" i="3"/>
  <c r="F16" i="3"/>
  <c r="G16" i="3"/>
  <c r="H16" i="3"/>
  <c r="I16" i="3"/>
  <c r="F15" i="3"/>
  <c r="G15" i="3"/>
  <c r="H15" i="3"/>
  <c r="I15" i="3"/>
  <c r="F14" i="3"/>
  <c r="G14" i="3"/>
  <c r="H14" i="3"/>
  <c r="I14" i="3"/>
  <c r="F13" i="3"/>
  <c r="G13" i="3"/>
  <c r="H13" i="3"/>
  <c r="I13" i="3"/>
  <c r="F12" i="3"/>
  <c r="G12" i="3"/>
  <c r="H12" i="3"/>
  <c r="I12" i="3"/>
  <c r="F11" i="3"/>
  <c r="G11" i="3"/>
  <c r="H11" i="3"/>
  <c r="I11" i="3"/>
  <c r="F10" i="3"/>
  <c r="G10" i="3"/>
  <c r="H10" i="3"/>
  <c r="I10" i="3"/>
  <c r="F9" i="3"/>
  <c r="G9" i="3"/>
  <c r="H9" i="3"/>
  <c r="I9" i="3"/>
  <c r="F8" i="3"/>
  <c r="G8" i="3"/>
  <c r="H8" i="3"/>
  <c r="I8" i="3"/>
  <c r="F7" i="3"/>
  <c r="G7" i="3"/>
  <c r="H7" i="3"/>
  <c r="I7" i="3"/>
  <c r="F6" i="3"/>
  <c r="G6" i="3"/>
  <c r="H6" i="3"/>
  <c r="I6" i="3"/>
  <c r="I2" i="3"/>
  <c r="I3" i="3"/>
  <c r="I4" i="3"/>
  <c r="I5" i="3"/>
  <c r="F5" i="3"/>
  <c r="G5" i="3"/>
  <c r="H5" i="3"/>
  <c r="F4" i="3"/>
  <c r="G4" i="3"/>
  <c r="H4" i="3"/>
  <c r="F3" i="3"/>
  <c r="G3" i="3"/>
  <c r="H3" i="3"/>
  <c r="H2" i="3"/>
  <c r="G2" i="3"/>
  <c r="F2" i="3"/>
  <c r="E5" i="4" l="1"/>
  <c r="E6" i="4" s="1"/>
  <c r="I6" i="4"/>
  <c r="I7" i="4" s="1"/>
  <c r="H6" i="4"/>
  <c r="H7" i="4" s="1"/>
  <c r="J5" i="4"/>
  <c r="J4" i="4"/>
  <c r="J6" i="4" s="1"/>
  <c r="J7" i="4" s="1"/>
</calcChain>
</file>

<file path=xl/sharedStrings.xml><?xml version="1.0" encoding="utf-8"?>
<sst xmlns="http://schemas.openxmlformats.org/spreadsheetml/2006/main" count="273" uniqueCount="120">
  <si>
    <t>IS</t>
  </si>
  <si>
    <t>income statement</t>
  </si>
  <si>
    <t>利润表</t>
  </si>
  <si>
    <t>经常性</t>
  </si>
  <si>
    <t>销售</t>
  </si>
  <si>
    <t>成本</t>
  </si>
  <si>
    <t>费用</t>
  </si>
  <si>
    <t>非经常性</t>
  </si>
  <si>
    <t>财税补贴</t>
  </si>
  <si>
    <t>活动</t>
  </si>
  <si>
    <t>note</t>
  </si>
  <si>
    <t>div</t>
  </si>
  <si>
    <t>division</t>
  </si>
  <si>
    <t>部门</t>
  </si>
  <si>
    <t>创业园</t>
  </si>
  <si>
    <t>水街</t>
  </si>
  <si>
    <t>明月村</t>
  </si>
  <si>
    <t>综合管理</t>
  </si>
  <si>
    <t>品牌管理</t>
  </si>
  <si>
    <t>Class</t>
  </si>
  <si>
    <t>ClassName</t>
  </si>
  <si>
    <t>Type</t>
  </si>
  <si>
    <t>Sales</t>
  </si>
  <si>
    <t>Cost</t>
  </si>
  <si>
    <t>Expense</t>
  </si>
  <si>
    <t>Code</t>
  </si>
  <si>
    <t>Name</t>
  </si>
  <si>
    <t>CY</t>
  </si>
  <si>
    <t>ShuiJie</t>
  </si>
  <si>
    <t>MingYue</t>
  </si>
  <si>
    <t>GA</t>
  </si>
  <si>
    <t>Brand</t>
  </si>
  <si>
    <t>TrxId</t>
  </si>
  <si>
    <t>Action</t>
  </si>
  <si>
    <t>缩写 &amp; 术语</t>
  </si>
  <si>
    <t>Amt</t>
  </si>
  <si>
    <t>ActName</t>
  </si>
  <si>
    <t>T001</t>
  </si>
  <si>
    <t>Note</t>
  </si>
  <si>
    <t>T002</t>
  </si>
  <si>
    <t>T003</t>
  </si>
  <si>
    <t>food</t>
  </si>
  <si>
    <t>餐饮</t>
  </si>
  <si>
    <t>T004</t>
  </si>
  <si>
    <t>Division</t>
  </si>
  <si>
    <t>DivName</t>
  </si>
  <si>
    <t>T005</t>
  </si>
  <si>
    <t>T006</t>
  </si>
  <si>
    <t>hotel</t>
  </si>
  <si>
    <t>住宿</t>
  </si>
  <si>
    <t>T007</t>
  </si>
  <si>
    <t>T008</t>
  </si>
  <si>
    <t>Event</t>
  </si>
  <si>
    <t>研学营</t>
  </si>
  <si>
    <t>camp</t>
  </si>
  <si>
    <t>T010</t>
  </si>
  <si>
    <t>T011</t>
  </si>
  <si>
    <t>服装</t>
  </si>
  <si>
    <t>cloth</t>
  </si>
  <si>
    <t>T012</t>
  </si>
  <si>
    <t>T013</t>
  </si>
  <si>
    <t>T014</t>
  </si>
  <si>
    <t>T015</t>
  </si>
  <si>
    <t>appSale</t>
  </si>
  <si>
    <t>小程序销售</t>
  </si>
  <si>
    <t>T016</t>
  </si>
  <si>
    <t>salary</t>
  </si>
  <si>
    <t>薪资</t>
  </si>
  <si>
    <t>T017</t>
  </si>
  <si>
    <t>tax</t>
  </si>
  <si>
    <t>税费</t>
  </si>
  <si>
    <t>合规</t>
  </si>
  <si>
    <t>Cmpl</t>
  </si>
  <si>
    <t>TnS</t>
  </si>
  <si>
    <t>T018</t>
  </si>
  <si>
    <t>rent</t>
  </si>
  <si>
    <t>租赁</t>
  </si>
  <si>
    <t>T019</t>
  </si>
  <si>
    <t>depr</t>
  </si>
  <si>
    <t>折旧</t>
  </si>
  <si>
    <t>misc</t>
  </si>
  <si>
    <t>T020</t>
  </si>
  <si>
    <t>photo</t>
  </si>
  <si>
    <t>拍摄</t>
  </si>
  <si>
    <t>T021</t>
  </si>
  <si>
    <t>T022</t>
  </si>
  <si>
    <t>tour</t>
  </si>
  <si>
    <t>游学</t>
  </si>
  <si>
    <t>show</t>
  </si>
  <si>
    <t>SYG</t>
  </si>
  <si>
    <t>诗与歌</t>
  </si>
  <si>
    <t>杂项</t>
  </si>
  <si>
    <t>福利、差旅，etc</t>
  </si>
  <si>
    <t>T022.1</t>
  </si>
  <si>
    <t>T023</t>
  </si>
  <si>
    <t>T023.1</t>
  </si>
  <si>
    <t>T024</t>
  </si>
  <si>
    <t>书写营</t>
  </si>
  <si>
    <t>RWC</t>
  </si>
  <si>
    <t>T025</t>
  </si>
  <si>
    <t>展会</t>
  </si>
  <si>
    <t>Column Labels</t>
  </si>
  <si>
    <t>Grand Total</t>
  </si>
  <si>
    <t>Row Labels</t>
  </si>
  <si>
    <t>Sum of Amt</t>
  </si>
  <si>
    <t>综观</t>
  </si>
  <si>
    <t>毛利</t>
  </si>
  <si>
    <t>毛利率</t>
  </si>
  <si>
    <t xml:space="preserve"> 其他</t>
  </si>
  <si>
    <t>总收入</t>
  </si>
  <si>
    <t>非经常性-活动</t>
  </si>
  <si>
    <t>非经常性-财税</t>
  </si>
  <si>
    <t>毛利-分类</t>
  </si>
  <si>
    <t>毛利-总</t>
  </si>
  <si>
    <t>总费用</t>
  </si>
  <si>
    <t>费用率</t>
  </si>
  <si>
    <t>总税费</t>
  </si>
  <si>
    <t>税费率</t>
  </si>
  <si>
    <t>Sum of percSales</t>
  </si>
  <si>
    <t>(税后）净利润率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</si>
</sst>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_);[Red]\(0.00%\)"/>
  </numFmts>
  <fonts count="5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indexed="64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3" fillId="2" borderId="1" applyNumberFormat="0" applyAlignment="0" applyProtection="0"/>
    <xf numFmtId="0" fontId="2" fillId="3" borderId="2" applyNumberFormat="0" applyFont="0" applyAlignment="0" applyProtection="0"/>
    <xf numFmtId="0" fontId="2" fillId="4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38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indent="2"/>
    </xf>
    <xf numFmtId="0" fontId="4" fillId="0" borderId="0" xfId="0" applyFont="1"/>
    <xf numFmtId="0" fontId="4" fillId="4" borderId="0" xfId="4" applyFont="1"/>
    <xf numFmtId="38" fontId="3" fillId="2" borderId="1" xfId="2" applyNumberFormat="1"/>
    <xf numFmtId="0" fontId="0" fillId="0" borderId="3" xfId="0" applyBorder="1"/>
    <xf numFmtId="38" fontId="3" fillId="2" borderId="4" xfId="2" applyNumberFormat="1" applyBorder="1"/>
    <xf numFmtId="164" fontId="0" fillId="0" borderId="0" xfId="0" applyNumberFormat="1"/>
    <xf numFmtId="0" fontId="4" fillId="0" borderId="0" xfId="0" applyFont="1" applyAlignment="1">
      <alignment horizontal="left"/>
    </xf>
    <xf numFmtId="164" fontId="4" fillId="3" borderId="2" xfId="3" applyNumberFormat="1" applyFont="1"/>
    <xf numFmtId="10" fontId="0" fillId="0" borderId="0" xfId="0" applyNumberFormat="1"/>
  </cellXfs>
  <cellStyles count="5">
    <cellStyle name="60% - Accent1" xfId="4" builtinId="32"/>
    <cellStyle name="Explanatory Text" xfId="1" builtinId="53"/>
    <cellStyle name="Normal" xfId="0" builtinId="0"/>
    <cellStyle name="Note" xfId="3" builtinId="10"/>
    <cellStyle name="Output" xfId="2" builtinId="21"/>
  </cellStyles>
  <dxfs count="8">
    <dxf>
      <numFmt numFmtId="6" formatCode="#,##0_);[Red]\(#,##0\)"/>
    </dxf>
    <dxf>
      <numFmt numFmtId="14" formatCode="0.00%"/>
    </dxf>
    <dxf>
      <numFmt numFmtId="0" formatCode="General"/>
    </dxf>
    <dxf>
      <numFmt numFmtId="6" formatCode="#,##0_);[Red]\(#,##0\)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35.773770254629" createdVersion="8" refreshedVersion="8" minRefreshableVersion="3" recordCount="26" xr:uid="{556C4A8C-5238-4E7E-B8FE-B535CA21330F}">
  <cacheSource type="worksheet">
    <worksheetSource name="Jnl"/>
  </cacheSource>
  <cacheFields count="10">
    <cacheField name="TrxId" numFmtId="0">
      <sharedItems/>
    </cacheField>
    <cacheField name="Division" numFmtId="0">
      <sharedItems/>
    </cacheField>
    <cacheField name="Action" numFmtId="0">
      <sharedItems count="15">
        <s v="cloth"/>
        <s v="food"/>
        <s v="hotel"/>
        <s v="appSale"/>
        <s v="camp"/>
        <s v="salary"/>
        <s v="tax"/>
        <s v="rent"/>
        <s v="depr"/>
        <s v="misc"/>
        <s v="photo"/>
        <s v="SYG"/>
        <s v="tour"/>
        <s v="RWC"/>
        <s v="show"/>
      </sharedItems>
    </cacheField>
    <cacheField name="Class" numFmtId="0">
      <sharedItems count="5">
        <s v="Sales"/>
        <s v="Event"/>
        <s v="Cost"/>
        <s v="Expense"/>
        <s v="TnS"/>
      </sharedItems>
    </cacheField>
    <cacheField name="Amt" numFmtId="38">
      <sharedItems containsSemiMixedTypes="0" containsString="0" containsNumber="1" minValue="-21471183.379999999" maxValue="41517120.644496597"/>
    </cacheField>
    <cacheField name="Type" numFmtId="0">
      <sharedItems count="2">
        <s v="经常性"/>
        <s v="非经常性"/>
      </sharedItems>
    </cacheField>
    <cacheField name="ClassName" numFmtId="0">
      <sharedItems count="5">
        <s v="销售"/>
        <s v="活动"/>
        <s v="成本"/>
        <s v="费用"/>
        <s v="财税补贴"/>
      </sharedItems>
    </cacheField>
    <cacheField name="ActName" numFmtId="0">
      <sharedItems count="15">
        <s v="服装"/>
        <s v="餐饮"/>
        <s v="住宿"/>
        <s v="小程序销售"/>
        <s v="研学营"/>
        <s v="薪资"/>
        <s v="税费"/>
        <s v="租赁"/>
        <s v="折旧"/>
        <s v="杂项"/>
        <s v="拍摄"/>
        <s v="诗与歌"/>
        <s v="游学"/>
        <s v="书写营"/>
        <s v="展会"/>
      </sharedItems>
    </cacheField>
    <cacheField name="DivName" numFmtId="0">
      <sharedItems count="6">
        <s v="创业园"/>
        <s v="水街"/>
        <s v="明月村"/>
        <s v="综合管理"/>
        <s v="合规"/>
        <s v="品牌管理"/>
      </sharedItems>
    </cacheField>
    <cacheField name="percSales" numFmtId="0" formula="Amt/ 5833381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s v="T001"/>
    <s v="CY"/>
    <x v="0"/>
    <x v="0"/>
    <n v="41517120.644496597"/>
    <x v="0"/>
    <x v="0"/>
    <x v="0"/>
    <x v="0"/>
  </r>
  <r>
    <s v="T002"/>
    <s v="ShuiJie"/>
    <x v="1"/>
    <x v="0"/>
    <n v="5886357.4800000004"/>
    <x v="0"/>
    <x v="0"/>
    <x v="1"/>
    <x v="1"/>
  </r>
  <r>
    <s v="T003"/>
    <s v="ShuiJie"/>
    <x v="0"/>
    <x v="0"/>
    <n v="6407169.3600000003"/>
    <x v="0"/>
    <x v="0"/>
    <x v="0"/>
    <x v="1"/>
  </r>
  <r>
    <s v="T004"/>
    <s v="MingYue"/>
    <x v="1"/>
    <x v="0"/>
    <n v="1357305.86"/>
    <x v="0"/>
    <x v="0"/>
    <x v="1"/>
    <x v="2"/>
  </r>
  <r>
    <s v="T005"/>
    <s v="MingYue"/>
    <x v="2"/>
    <x v="0"/>
    <n v="1298358.3400000001"/>
    <x v="0"/>
    <x v="0"/>
    <x v="2"/>
    <x v="2"/>
  </r>
  <r>
    <s v="T006"/>
    <s v="MingYue"/>
    <x v="0"/>
    <x v="0"/>
    <n v="1022488.07"/>
    <x v="0"/>
    <x v="0"/>
    <x v="0"/>
    <x v="2"/>
  </r>
  <r>
    <s v="T007"/>
    <s v="MingYue"/>
    <x v="3"/>
    <x v="0"/>
    <n v="845010.8"/>
    <x v="0"/>
    <x v="0"/>
    <x v="3"/>
    <x v="2"/>
  </r>
  <r>
    <s v="T008"/>
    <s v="MingYue"/>
    <x v="4"/>
    <x v="1"/>
    <n v="582748.43999999994"/>
    <x v="1"/>
    <x v="1"/>
    <x v="4"/>
    <x v="2"/>
  </r>
  <r>
    <s v="T010"/>
    <s v="CY"/>
    <x v="0"/>
    <x v="2"/>
    <n v="-21471183.379999999"/>
    <x v="0"/>
    <x v="2"/>
    <x v="0"/>
    <x v="0"/>
  </r>
  <r>
    <s v="T011"/>
    <s v="ShuiJie"/>
    <x v="1"/>
    <x v="2"/>
    <n v="-1555348.81"/>
    <x v="0"/>
    <x v="2"/>
    <x v="1"/>
    <x v="1"/>
  </r>
  <r>
    <s v="T012"/>
    <s v="MingYue"/>
    <x v="1"/>
    <x v="2"/>
    <n v="-532895.71"/>
    <x v="0"/>
    <x v="2"/>
    <x v="1"/>
    <x v="2"/>
  </r>
  <r>
    <s v="T013"/>
    <s v="MingYue"/>
    <x v="2"/>
    <x v="2"/>
    <n v="-25745.3"/>
    <x v="0"/>
    <x v="2"/>
    <x v="2"/>
    <x v="2"/>
  </r>
  <r>
    <s v="T014"/>
    <s v="MingYue"/>
    <x v="3"/>
    <x v="2"/>
    <n v="-494750.81"/>
    <x v="0"/>
    <x v="2"/>
    <x v="3"/>
    <x v="2"/>
  </r>
  <r>
    <s v="T015"/>
    <s v="MingYue"/>
    <x v="4"/>
    <x v="2"/>
    <n v="-266944.39"/>
    <x v="0"/>
    <x v="2"/>
    <x v="4"/>
    <x v="2"/>
  </r>
  <r>
    <s v="T016"/>
    <s v="GA"/>
    <x v="5"/>
    <x v="3"/>
    <n v="-13174909.57"/>
    <x v="0"/>
    <x v="3"/>
    <x v="5"/>
    <x v="3"/>
  </r>
  <r>
    <s v="T017"/>
    <s v="Cmpl"/>
    <x v="6"/>
    <x v="4"/>
    <n v="-1047565.02449658"/>
    <x v="1"/>
    <x v="4"/>
    <x v="6"/>
    <x v="4"/>
  </r>
  <r>
    <s v="T018"/>
    <s v="GA"/>
    <x v="7"/>
    <x v="3"/>
    <n v="-706472.88"/>
    <x v="0"/>
    <x v="3"/>
    <x v="7"/>
    <x v="3"/>
  </r>
  <r>
    <s v="T019"/>
    <s v="Brand"/>
    <x v="8"/>
    <x v="3"/>
    <n v="-960000"/>
    <x v="0"/>
    <x v="3"/>
    <x v="8"/>
    <x v="5"/>
  </r>
  <r>
    <s v="T020"/>
    <s v="GA"/>
    <x v="9"/>
    <x v="3"/>
    <n v="-5789816.3949999996"/>
    <x v="0"/>
    <x v="3"/>
    <x v="9"/>
    <x v="3"/>
  </r>
  <r>
    <s v="T021"/>
    <s v="Brand"/>
    <x v="10"/>
    <x v="3"/>
    <n v="-159933.04"/>
    <x v="0"/>
    <x v="3"/>
    <x v="10"/>
    <x v="5"/>
  </r>
  <r>
    <s v="T022"/>
    <s v="Brand"/>
    <x v="11"/>
    <x v="1"/>
    <n v="209742.45"/>
    <x v="1"/>
    <x v="1"/>
    <x v="11"/>
    <x v="5"/>
  </r>
  <r>
    <s v="T022.1"/>
    <s v="Brand"/>
    <x v="11"/>
    <x v="1"/>
    <n v="-216608.1"/>
    <x v="1"/>
    <x v="1"/>
    <x v="11"/>
    <x v="5"/>
  </r>
  <r>
    <s v="T023"/>
    <s v="Brand"/>
    <x v="12"/>
    <x v="1"/>
    <n v="1507039.1877897601"/>
    <x v="1"/>
    <x v="1"/>
    <x v="12"/>
    <x v="5"/>
  </r>
  <r>
    <s v="T023.1"/>
    <s v="Brand"/>
    <x v="12"/>
    <x v="1"/>
    <n v="-1309571.0114285699"/>
    <x v="1"/>
    <x v="1"/>
    <x v="12"/>
    <x v="5"/>
  </r>
  <r>
    <s v="T024"/>
    <s v="Brand"/>
    <x v="13"/>
    <x v="1"/>
    <n v="653789.6"/>
    <x v="1"/>
    <x v="1"/>
    <x v="13"/>
    <x v="5"/>
  </r>
  <r>
    <s v="T025"/>
    <s v="Brand"/>
    <x v="14"/>
    <x v="1"/>
    <n v="-365880.45857142902"/>
    <x v="1"/>
    <x v="1"/>
    <x v="1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2675F7-2336-4514-9160-1C1FD3503B93}" name="PivotTable1" cacheId="0" applyNumberFormats="0" applyBorderFormats="0" applyFontFormats="0" applyPatternFormats="0" applyAlignmentFormats="0" applyWidthHeightFormats="1" dataCaption="Values" updatedVersion="8" minRefreshableVersion="3" itemPrintTitles="1" mergeItem="1" createdVersion="8" indent="0" outline="1" outlineData="1" multipleFieldFilters="0">
  <location ref="A12:H26" firstHeaderRow="1" firstDataRow="2" firstDataCol="1"/>
  <pivotFields count="10">
    <pivotField showAll="0"/>
    <pivotField showAll="0"/>
    <pivotField showAll="0">
      <items count="16">
        <item x="3"/>
        <item x="4"/>
        <item x="0"/>
        <item x="8"/>
        <item x="1"/>
        <item x="2"/>
        <item x="9"/>
        <item x="10"/>
        <item x="7"/>
        <item x="13"/>
        <item x="5"/>
        <item x="14"/>
        <item x="11"/>
        <item x="6"/>
        <item x="12"/>
        <item t="default"/>
      </items>
    </pivotField>
    <pivotField showAll="0"/>
    <pivotField dataField="1" numFmtId="38" showAll="0"/>
    <pivotField axis="axisRow" showAll="0">
      <items count="3">
        <item x="0"/>
        <item x="1"/>
        <item t="default"/>
      </items>
    </pivotField>
    <pivotField axis="axisRow" showAll="0">
      <items count="6">
        <item sd="0" x="0"/>
        <item sd="0" x="2"/>
        <item sd="0" x="1"/>
        <item sd="0" x="4"/>
        <item x="3"/>
        <item t="default" sd="0"/>
      </items>
    </pivotField>
    <pivotField axis="axisRow" showAll="0">
      <items count="16">
        <item x="13"/>
        <item x="2"/>
        <item x="3"/>
        <item x="14"/>
        <item x="8"/>
        <item x="10"/>
        <item x="0"/>
        <item x="9"/>
        <item x="12"/>
        <item x="4"/>
        <item x="7"/>
        <item x="6"/>
        <item x="5"/>
        <item x="11"/>
        <item x="1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ragToRow="0" dragToCol="0" dragToPage="0" showAll="0" defaultSubtotal="0"/>
  </pivotFields>
  <rowFields count="3">
    <field x="5"/>
    <field x="6"/>
    <field x="7"/>
  </rowFields>
  <rowItems count="13">
    <i>
      <x/>
    </i>
    <i r="1">
      <x/>
    </i>
    <i r="1">
      <x v="1"/>
    </i>
    <i r="1">
      <x v="4"/>
    </i>
    <i r="2">
      <x v="4"/>
    </i>
    <i r="2">
      <x v="5"/>
    </i>
    <i r="2">
      <x v="7"/>
    </i>
    <i r="2">
      <x v="10"/>
    </i>
    <i r="2">
      <x v="12"/>
    </i>
    <i>
      <x v="1"/>
    </i>
    <i r="1">
      <x v="2"/>
    </i>
    <i r="1">
      <x v="3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mt" fld="4" baseField="0" baseItem="0" numFmtId="3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2CC3A-B7D3-482A-952B-1FF3E3E570CA}" name="PivotTable3" cacheId="0" applyNumberFormats="0" applyBorderFormats="0" applyFontFormats="0" applyPatternFormats="0" applyAlignmentFormats="0" applyWidthHeightFormats="1" dataCaption="Values" updatedVersion="8" minRefreshableVersion="3" itemPrintTitles="1" mergeItem="1" createdVersion="8" indent="0" outline="1" outlineData="1" multipleFieldFilters="0">
  <location ref="J12:Q41" firstHeaderRow="1" firstDataRow="2" firstDataCol="1"/>
  <pivotFields count="10">
    <pivotField showAll="0"/>
    <pivotField showAll="0"/>
    <pivotField showAll="0">
      <items count="16">
        <item x="3"/>
        <item x="4"/>
        <item x="0"/>
        <item x="8"/>
        <item x="1"/>
        <item x="2"/>
        <item x="9"/>
        <item x="10"/>
        <item x="7"/>
        <item x="13"/>
        <item x="5"/>
        <item x="14"/>
        <item x="11"/>
        <item x="6"/>
        <item x="12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numFmtId="38" showAll="0"/>
    <pivotField axis="axisRow" showAll="0">
      <items count="3">
        <item x="0"/>
        <item x="1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  <pivotField axis="axisRow" showAll="0">
      <items count="16">
        <item x="13"/>
        <item x="2"/>
        <item x="3"/>
        <item x="14"/>
        <item x="8"/>
        <item x="10"/>
        <item x="0"/>
        <item x="9"/>
        <item x="12"/>
        <item x="4"/>
        <item x="7"/>
        <item x="6"/>
        <item x="5"/>
        <item x="11"/>
        <item x="1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dataField="1" dragToRow="0" dragToCol="0" dragToPage="0" showAll="0" defaultSubtotal="0"/>
  </pivotFields>
  <rowFields count="3">
    <field x="5"/>
    <field x="6"/>
    <field x="7"/>
  </rowFields>
  <rowItems count="28">
    <i>
      <x/>
    </i>
    <i r="1">
      <x/>
    </i>
    <i r="2">
      <x v="1"/>
    </i>
    <i r="2">
      <x v="2"/>
    </i>
    <i r="2">
      <x v="6"/>
    </i>
    <i r="2">
      <x v="14"/>
    </i>
    <i r="1">
      <x v="1"/>
    </i>
    <i r="2">
      <x v="1"/>
    </i>
    <i r="2">
      <x v="2"/>
    </i>
    <i r="2">
      <x v="6"/>
    </i>
    <i r="2">
      <x v="9"/>
    </i>
    <i r="2">
      <x v="14"/>
    </i>
    <i r="1">
      <x v="4"/>
    </i>
    <i r="2">
      <x v="4"/>
    </i>
    <i r="2">
      <x v="5"/>
    </i>
    <i r="2">
      <x v="7"/>
    </i>
    <i r="2">
      <x v="10"/>
    </i>
    <i r="2">
      <x v="12"/>
    </i>
    <i>
      <x v="1"/>
    </i>
    <i r="1">
      <x v="2"/>
    </i>
    <i r="2">
      <x/>
    </i>
    <i r="2">
      <x v="3"/>
    </i>
    <i r="2">
      <x v="8"/>
    </i>
    <i r="2">
      <x v="9"/>
    </i>
    <i r="2">
      <x v="13"/>
    </i>
    <i r="1">
      <x v="3"/>
    </i>
    <i r="2">
      <x v="11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percSales" fld="9" baseField="0" baseItem="0" numFmtId="10"/>
  </dataFields>
  <formats count="1">
    <format dxfId="1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4F10E-D9B8-4998-9508-E7C00C30D01C}" name="config_IS" displayName="config_IS" ref="A1:C6" totalsRowShown="0" headerRowDxfId="7">
  <autoFilter ref="A1:C6" xr:uid="{4F94F10E-D9B8-4998-9508-E7C00C30D01C}"/>
  <tableColumns count="3">
    <tableColumn id="3" xr3:uid="{13EA6600-C21D-4107-95A4-204A4BB09336}" name="Class"/>
    <tableColumn id="1" xr3:uid="{CBB4C86E-CBE7-444A-B630-BE840FF826EF}" name="Name"/>
    <tableColumn id="2" xr3:uid="{827996F5-B9E0-4F17-8293-6C88FDFF6EEC}" name="Type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3E1C82-B2F4-4452-82C4-F6639F9D4BC0}" name="config_div" displayName="config_div" ref="F1:H7" totalsRowShown="0" headerRowDxfId="6">
  <autoFilter ref="F1:H7" xr:uid="{9D3E1C82-B2F4-4452-82C4-F6639F9D4BC0}"/>
  <tableColumns count="3">
    <tableColumn id="3" xr3:uid="{A3BB491A-CCE1-4CC2-9714-A674C484CB23}" name="Code"/>
    <tableColumn id="1" xr3:uid="{E3870240-F7D0-48DC-A24A-2CC078AA61D9}" name="Name"/>
    <tableColumn id="2" xr3:uid="{331D07D3-A6B0-466E-A442-6835C9B1C279}" name="note" dataCellStyle="Explanatory Text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E19367-1FBC-45F8-AD15-D86622A1D847}" name="config_act" displayName="config_act" ref="K1:M16" totalsRowShown="0" headerRowDxfId="5">
  <autoFilter ref="K1:M16" xr:uid="{FEE19367-1FBC-45F8-AD15-D86622A1D847}"/>
  <tableColumns count="3">
    <tableColumn id="1" xr3:uid="{DD99B1B1-016D-45B4-BA77-926ACCD54237}" name="Code"/>
    <tableColumn id="2" xr3:uid="{F92FFDA8-08EC-40E3-A7AF-F0D0ECFB8E02}" name="Name"/>
    <tableColumn id="3" xr3:uid="{6A8606E2-B594-4560-BE09-0DF266D24B4C}" name="Not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286025-DE6C-47FB-A6A1-452F3C913DC7}" name="Jnl" displayName="Jnl" ref="A1:I27" totalsRowShown="0" headerRowDxfId="4">
  <autoFilter ref="A1:I27" xr:uid="{EC286025-DE6C-47FB-A6A1-452F3C913DC7}"/>
  <tableColumns count="9">
    <tableColumn id="1" xr3:uid="{A13614AE-C28A-42C8-984B-5F92F5128A72}" name="TrxId"/>
    <tableColumn id="8" xr3:uid="{D6ADA764-DCB1-4A67-AB12-043F1A029D3A}" name="Division"/>
    <tableColumn id="2" xr3:uid="{B9D22C06-0161-44A6-9508-7736983066E0}" name="Action"/>
    <tableColumn id="3" xr3:uid="{138E8723-3DDF-4F31-BDF4-BF163B358E21}" name="Class"/>
    <tableColumn id="4" xr3:uid="{B83387E7-3F68-41F6-B5C0-20329F5968FE}" name="Amt" dataDxfId="3"/>
    <tableColumn id="5" xr3:uid="{919D6DDE-6A03-4ACB-B790-DD317AAC8225}" name="Type">
      <calculatedColumnFormula>_xlfn.XLOOKUP(Jnl[[#This Row],[Class]], config_IS[Class], config_IS[Type],,0)</calculatedColumnFormula>
    </tableColumn>
    <tableColumn id="6" xr3:uid="{99656CCF-CF4B-46D0-9259-54F669F4F363}" name="ClassName">
      <calculatedColumnFormula>_xlfn.XLOOKUP(Jnl[[#This Row],[Class]], config_IS[Class], config_IS[Name],,0)</calculatedColumnFormula>
    </tableColumn>
    <tableColumn id="7" xr3:uid="{A9422DFD-047E-4FB0-8AD8-4529892C8DC1}" name="ActName">
      <calculatedColumnFormula>_xlfn.XLOOKUP(Jnl[[#This Row],[Action]], config_act[Code], config_act[Name],,0)</calculatedColumnFormula>
    </tableColumn>
    <tableColumn id="9" xr3:uid="{784FBC7D-498D-4E8F-B78D-42C75832C229}" name="DivName" dataDxfId="2">
      <calculatedColumnFormula>_xlfn.XLOOKUP(Jnl[[#This Row],[Division]], config_div[Code], config_div[Name],,0)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E8FB4-0DDC-4C94-94B8-2612D7A42AB9}">
  <sheetPr>
    <tabColor theme="8" tint="-0.249977111117893"/>
  </sheetPr>
  <dimension ref="A1:D6"/>
  <sheetViews>
    <sheetView workbookViewId="0">
      <selection activeCell="B7" sqref="B7"/>
    </sheetView>
  </sheetViews>
  <sheetFormatPr defaultRowHeight="15" x14ac:dyDescent="0.25"/>
  <sheetData>
    <row r="1" spans="1:4" x14ac:dyDescent="0.25">
      <c r="A1" t="s">
        <v>34</v>
      </c>
    </row>
    <row r="2" spans="1:4" x14ac:dyDescent="0.25">
      <c r="A2" t="s">
        <v>0</v>
      </c>
      <c r="B2" t="s">
        <v>1</v>
      </c>
      <c r="D2" t="s">
        <v>2</v>
      </c>
    </row>
    <row r="4" spans="1:4" x14ac:dyDescent="0.25">
      <c r="A4" t="s">
        <v>11</v>
      </c>
      <c r="B4" t="s">
        <v>12</v>
      </c>
      <c r="D4" t="s">
        <v>13</v>
      </c>
    </row>
    <row r="6" spans="1:4" x14ac:dyDescent="0.25">
      <c r="A6" t="s">
        <v>33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M16"/>
  <sheetViews>
    <sheetView workbookViewId="0">
      <selection activeCell="K16" sqref="K16"/>
    </sheetView>
  </sheetViews>
  <sheetFormatPr defaultRowHeight="15" x14ac:dyDescent="0.25"/>
  <cols>
    <col min="1" max="1" width="15.5703125" customWidth="1"/>
    <col min="2" max="2" width="20.28515625" customWidth="1"/>
    <col min="3" max="3" width="19.42578125" customWidth="1"/>
    <col min="4" max="4" width="10.28515625" customWidth="1"/>
    <col min="5" max="5" width="9.7109375" customWidth="1"/>
    <col min="6" max="6" width="15.5703125" customWidth="1"/>
    <col min="7" max="7" width="13.140625" customWidth="1"/>
    <col min="8" max="8" width="28.5703125" customWidth="1"/>
    <col min="11" max="11" width="11.28515625" bestFit="1" customWidth="1"/>
    <col min="12" max="12" width="14.140625" customWidth="1"/>
    <col min="13" max="13" width="19.7109375" customWidth="1"/>
  </cols>
  <sheetData>
    <row r="1" spans="1:13" x14ac:dyDescent="0.25">
      <c r="A1" s="1" t="s">
        <v>19</v>
      </c>
      <c r="B1" s="1" t="s">
        <v>26</v>
      </c>
      <c r="C1" s="1" t="s">
        <v>21</v>
      </c>
      <c r="F1" s="1" t="s">
        <v>25</v>
      </c>
      <c r="G1" s="1" t="s">
        <v>26</v>
      </c>
      <c r="H1" s="1" t="s">
        <v>10</v>
      </c>
      <c r="K1" s="1" t="s">
        <v>25</v>
      </c>
      <c r="L1" s="1" t="s">
        <v>26</v>
      </c>
      <c r="M1" s="1" t="s">
        <v>38</v>
      </c>
    </row>
    <row r="2" spans="1:13" x14ac:dyDescent="0.25">
      <c r="A2" t="s">
        <v>22</v>
      </c>
      <c r="B2" t="s">
        <v>4</v>
      </c>
      <c r="C2" t="s">
        <v>3</v>
      </c>
      <c r="F2" t="s">
        <v>27</v>
      </c>
      <c r="G2" t="s">
        <v>14</v>
      </c>
      <c r="H2" s="2"/>
      <c r="K2" t="s">
        <v>58</v>
      </c>
      <c r="L2" t="s">
        <v>57</v>
      </c>
    </row>
    <row r="3" spans="1:13" x14ac:dyDescent="0.25">
      <c r="A3" t="s">
        <v>23</v>
      </c>
      <c r="B3" t="s">
        <v>5</v>
      </c>
      <c r="C3" t="s">
        <v>3</v>
      </c>
      <c r="F3" t="s">
        <v>28</v>
      </c>
      <c r="G3" t="s">
        <v>15</v>
      </c>
      <c r="H3" s="2"/>
      <c r="K3" t="s">
        <v>41</v>
      </c>
      <c r="L3" t="s">
        <v>42</v>
      </c>
    </row>
    <row r="4" spans="1:13" x14ac:dyDescent="0.25">
      <c r="A4" t="s">
        <v>24</v>
      </c>
      <c r="B4" t="s">
        <v>6</v>
      </c>
      <c r="C4" t="s">
        <v>3</v>
      </c>
      <c r="F4" t="s">
        <v>29</v>
      </c>
      <c r="G4" t="s">
        <v>16</v>
      </c>
      <c r="H4" s="2"/>
      <c r="K4" t="s">
        <v>48</v>
      </c>
      <c r="L4" t="s">
        <v>49</v>
      </c>
    </row>
    <row r="5" spans="1:13" x14ac:dyDescent="0.25">
      <c r="A5" t="s">
        <v>73</v>
      </c>
      <c r="B5" t="s">
        <v>8</v>
      </c>
      <c r="C5" t="s">
        <v>7</v>
      </c>
      <c r="F5" t="s">
        <v>30</v>
      </c>
      <c r="G5" t="s">
        <v>17</v>
      </c>
      <c r="H5" s="2"/>
      <c r="K5" t="s">
        <v>63</v>
      </c>
      <c r="L5" t="s">
        <v>64</v>
      </c>
    </row>
    <row r="6" spans="1:13" x14ac:dyDescent="0.25">
      <c r="A6" t="s">
        <v>52</v>
      </c>
      <c r="B6" t="s">
        <v>9</v>
      </c>
      <c r="C6" t="s">
        <v>7</v>
      </c>
      <c r="F6" t="s">
        <v>31</v>
      </c>
      <c r="G6" t="s">
        <v>18</v>
      </c>
      <c r="H6" s="2"/>
      <c r="K6" t="s">
        <v>54</v>
      </c>
      <c r="L6" t="s">
        <v>53</v>
      </c>
    </row>
    <row r="7" spans="1:13" x14ac:dyDescent="0.25">
      <c r="F7" t="s">
        <v>72</v>
      </c>
      <c r="G7" t="s">
        <v>71</v>
      </c>
      <c r="H7" s="2"/>
      <c r="K7" t="s">
        <v>66</v>
      </c>
      <c r="L7" t="s">
        <v>67</v>
      </c>
    </row>
    <row r="8" spans="1:13" x14ac:dyDescent="0.25">
      <c r="K8" t="s">
        <v>69</v>
      </c>
      <c r="L8" t="s">
        <v>70</v>
      </c>
    </row>
    <row r="9" spans="1:13" x14ac:dyDescent="0.25">
      <c r="K9" t="s">
        <v>75</v>
      </c>
      <c r="L9" t="s">
        <v>76</v>
      </c>
    </row>
    <row r="10" spans="1:13" x14ac:dyDescent="0.25">
      <c r="K10" t="s">
        <v>78</v>
      </c>
      <c r="L10" t="s">
        <v>79</v>
      </c>
    </row>
    <row r="11" spans="1:13" x14ac:dyDescent="0.25">
      <c r="K11" t="s">
        <v>80</v>
      </c>
      <c r="L11" t="s">
        <v>91</v>
      </c>
      <c r="M11" t="s">
        <v>92</v>
      </c>
    </row>
    <row r="12" spans="1:13" x14ac:dyDescent="0.25">
      <c r="K12" t="s">
        <v>82</v>
      </c>
      <c r="L12" t="s">
        <v>83</v>
      </c>
    </row>
    <row r="13" spans="1:13" x14ac:dyDescent="0.25">
      <c r="K13" t="s">
        <v>86</v>
      </c>
      <c r="L13" t="s">
        <v>87</v>
      </c>
    </row>
    <row r="14" spans="1:13" x14ac:dyDescent="0.25">
      <c r="K14" t="s">
        <v>89</v>
      </c>
      <c r="L14" t="s">
        <v>90</v>
      </c>
    </row>
    <row r="15" spans="1:13" x14ac:dyDescent="0.25">
      <c r="K15" t="s">
        <v>98</v>
      </c>
      <c r="L15" t="s">
        <v>97</v>
      </c>
    </row>
    <row r="16" spans="1:13" x14ac:dyDescent="0.25">
      <c r="K16" t="s">
        <v>88</v>
      </c>
      <c r="L16" t="s">
        <v>100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8D09E-C9BA-45F9-8000-08DEBB5CB159}">
  <sheetPr>
    <tabColor theme="4" tint="0.39997558519241921"/>
  </sheetPr>
  <dimension ref="A1:I27"/>
  <sheetViews>
    <sheetView workbookViewId="0">
      <selection activeCell="B14" sqref="B14"/>
    </sheetView>
  </sheetViews>
  <sheetFormatPr defaultRowHeight="15" x14ac:dyDescent="0.25"/>
  <cols>
    <col min="1" max="1" width="11.140625" customWidth="1"/>
    <col min="2" max="2" width="13.28515625" customWidth="1"/>
    <col min="3" max="3" width="13.85546875" customWidth="1"/>
    <col min="4" max="4" width="14" customWidth="1"/>
    <col min="5" max="5" width="16.28515625" customWidth="1"/>
    <col min="6" max="6" width="18" customWidth="1"/>
    <col min="7" max="7" width="16.5703125" customWidth="1"/>
    <col min="8" max="8" width="19.28515625" customWidth="1"/>
    <col min="9" max="9" width="13.7109375" bestFit="1" customWidth="1"/>
  </cols>
  <sheetData>
    <row r="1" spans="1:9" x14ac:dyDescent="0.25">
      <c r="A1" s="1" t="s">
        <v>32</v>
      </c>
      <c r="B1" s="1" t="s">
        <v>44</v>
      </c>
      <c r="C1" s="1" t="s">
        <v>33</v>
      </c>
      <c r="D1" s="1" t="s">
        <v>19</v>
      </c>
      <c r="E1" s="1" t="s">
        <v>35</v>
      </c>
      <c r="F1" s="1" t="s">
        <v>21</v>
      </c>
      <c r="G1" s="1" t="s">
        <v>20</v>
      </c>
      <c r="H1" s="1" t="s">
        <v>36</v>
      </c>
      <c r="I1" s="1" t="s">
        <v>45</v>
      </c>
    </row>
    <row r="2" spans="1:9" x14ac:dyDescent="0.25">
      <c r="A2" t="s">
        <v>37</v>
      </c>
      <c r="B2" t="s">
        <v>27</v>
      </c>
      <c r="C2" t="s">
        <v>58</v>
      </c>
      <c r="D2" t="s">
        <v>22</v>
      </c>
      <c r="E2" s="3">
        <v>41517120.644496597</v>
      </c>
      <c r="F2" t="str">
        <f>_xlfn.XLOOKUP(Jnl[[#This Row],[Class]], config_IS[Class], config_IS[Type],,0)</f>
        <v>经常性</v>
      </c>
      <c r="G2" t="str">
        <f>_xlfn.XLOOKUP(Jnl[[#This Row],[Class]], config_IS[Class], config_IS[Name],,0)</f>
        <v>销售</v>
      </c>
      <c r="H2" t="str">
        <f>_xlfn.XLOOKUP(Jnl[[#This Row],[Action]], config_act[Code], config_act[Name],,0)</f>
        <v>服装</v>
      </c>
      <c r="I2" t="str">
        <f>_xlfn.XLOOKUP(Jnl[[#This Row],[Division]], config_div[Code], config_div[Name],,0)</f>
        <v>创业园</v>
      </c>
    </row>
    <row r="3" spans="1:9" x14ac:dyDescent="0.25">
      <c r="A3" t="s">
        <v>39</v>
      </c>
      <c r="B3" t="s">
        <v>28</v>
      </c>
      <c r="C3" t="s">
        <v>41</v>
      </c>
      <c r="D3" t="s">
        <v>22</v>
      </c>
      <c r="E3" s="3">
        <v>5886357.4800000004</v>
      </c>
      <c r="F3" t="str">
        <f>_xlfn.XLOOKUP(Jnl[[#This Row],[Class]], config_IS[Class], config_IS[Type],,0)</f>
        <v>经常性</v>
      </c>
      <c r="G3" t="str">
        <f>_xlfn.XLOOKUP(Jnl[[#This Row],[Class]], config_IS[Class], config_IS[Name],,0)</f>
        <v>销售</v>
      </c>
      <c r="H3" t="str">
        <f>_xlfn.XLOOKUP(Jnl[[#This Row],[Action]], config_act[Code], config_act[Name],,0)</f>
        <v>餐饮</v>
      </c>
      <c r="I3" t="str">
        <f>_xlfn.XLOOKUP(Jnl[[#This Row],[Division]], config_div[Code], config_div[Name],,0)</f>
        <v>水街</v>
      </c>
    </row>
    <row r="4" spans="1:9" x14ac:dyDescent="0.25">
      <c r="A4" t="s">
        <v>40</v>
      </c>
      <c r="B4" t="s">
        <v>28</v>
      </c>
      <c r="C4" t="s">
        <v>58</v>
      </c>
      <c r="D4" t="s">
        <v>22</v>
      </c>
      <c r="E4" s="3">
        <v>6407169.3600000003</v>
      </c>
      <c r="F4" t="str">
        <f>_xlfn.XLOOKUP(Jnl[[#This Row],[Class]], config_IS[Class], config_IS[Type],,0)</f>
        <v>经常性</v>
      </c>
      <c r="G4" t="str">
        <f>_xlfn.XLOOKUP(Jnl[[#This Row],[Class]], config_IS[Class], config_IS[Name],,0)</f>
        <v>销售</v>
      </c>
      <c r="H4" t="str">
        <f>_xlfn.XLOOKUP(Jnl[[#This Row],[Action]], config_act[Code], config_act[Name],,0)</f>
        <v>服装</v>
      </c>
      <c r="I4" t="str">
        <f>_xlfn.XLOOKUP(Jnl[[#This Row],[Division]], config_div[Code], config_div[Name],,0)</f>
        <v>水街</v>
      </c>
    </row>
    <row r="5" spans="1:9" x14ac:dyDescent="0.25">
      <c r="A5" t="s">
        <v>43</v>
      </c>
      <c r="B5" t="s">
        <v>29</v>
      </c>
      <c r="C5" t="s">
        <v>41</v>
      </c>
      <c r="D5" t="s">
        <v>22</v>
      </c>
      <c r="E5" s="3">
        <v>1357305.86</v>
      </c>
      <c r="F5" t="str">
        <f>_xlfn.XLOOKUP(Jnl[[#This Row],[Class]], config_IS[Class], config_IS[Type],,0)</f>
        <v>经常性</v>
      </c>
      <c r="G5" t="str">
        <f>_xlfn.XLOOKUP(Jnl[[#This Row],[Class]], config_IS[Class], config_IS[Name],,0)</f>
        <v>销售</v>
      </c>
      <c r="H5" t="str">
        <f>_xlfn.XLOOKUP(Jnl[[#This Row],[Action]], config_act[Code], config_act[Name],,0)</f>
        <v>餐饮</v>
      </c>
      <c r="I5" t="str">
        <f>_xlfn.XLOOKUP(Jnl[[#This Row],[Division]], config_div[Code], config_div[Name],,0)</f>
        <v>明月村</v>
      </c>
    </row>
    <row r="6" spans="1:9" x14ac:dyDescent="0.25">
      <c r="A6" t="s">
        <v>46</v>
      </c>
      <c r="B6" t="s">
        <v>29</v>
      </c>
      <c r="C6" t="s">
        <v>48</v>
      </c>
      <c r="D6" t="s">
        <v>22</v>
      </c>
      <c r="E6" s="3">
        <v>1298358.3400000001</v>
      </c>
      <c r="F6" t="str">
        <f>_xlfn.XLOOKUP(Jnl[[#This Row],[Class]], config_IS[Class], config_IS[Type],,0)</f>
        <v>经常性</v>
      </c>
      <c r="G6" t="str">
        <f>_xlfn.XLOOKUP(Jnl[[#This Row],[Class]], config_IS[Class], config_IS[Name],,0)</f>
        <v>销售</v>
      </c>
      <c r="H6" t="str">
        <f>_xlfn.XLOOKUP(Jnl[[#This Row],[Action]], config_act[Code], config_act[Name],,0)</f>
        <v>住宿</v>
      </c>
      <c r="I6" t="str">
        <f>_xlfn.XLOOKUP(Jnl[[#This Row],[Division]], config_div[Code], config_div[Name],,0)</f>
        <v>明月村</v>
      </c>
    </row>
    <row r="7" spans="1:9" x14ac:dyDescent="0.25">
      <c r="A7" t="s">
        <v>47</v>
      </c>
      <c r="B7" t="s">
        <v>29</v>
      </c>
      <c r="C7" t="s">
        <v>58</v>
      </c>
      <c r="D7" t="s">
        <v>22</v>
      </c>
      <c r="E7" s="3">
        <v>1022488.07</v>
      </c>
      <c r="F7" t="str">
        <f>_xlfn.XLOOKUP(Jnl[[#This Row],[Class]], config_IS[Class], config_IS[Type],,0)</f>
        <v>经常性</v>
      </c>
      <c r="G7" t="str">
        <f>_xlfn.XLOOKUP(Jnl[[#This Row],[Class]], config_IS[Class], config_IS[Name],,0)</f>
        <v>销售</v>
      </c>
      <c r="H7" t="str">
        <f>_xlfn.XLOOKUP(Jnl[[#This Row],[Action]], config_act[Code], config_act[Name],,0)</f>
        <v>服装</v>
      </c>
      <c r="I7" t="str">
        <f>_xlfn.XLOOKUP(Jnl[[#This Row],[Division]], config_div[Code], config_div[Name],,0)</f>
        <v>明月村</v>
      </c>
    </row>
    <row r="8" spans="1:9" x14ac:dyDescent="0.25">
      <c r="A8" t="s">
        <v>50</v>
      </c>
      <c r="B8" t="s">
        <v>29</v>
      </c>
      <c r="C8" t="s">
        <v>63</v>
      </c>
      <c r="D8" t="s">
        <v>22</v>
      </c>
      <c r="E8" s="3">
        <v>845010.8</v>
      </c>
      <c r="F8" t="str">
        <f>_xlfn.XLOOKUP(Jnl[[#This Row],[Class]], config_IS[Class], config_IS[Type],,0)</f>
        <v>经常性</v>
      </c>
      <c r="G8" t="str">
        <f>_xlfn.XLOOKUP(Jnl[[#This Row],[Class]], config_IS[Class], config_IS[Name],,0)</f>
        <v>销售</v>
      </c>
      <c r="H8" t="str">
        <f>_xlfn.XLOOKUP(Jnl[[#This Row],[Action]], config_act[Code], config_act[Name],,0)</f>
        <v>小程序销售</v>
      </c>
      <c r="I8" t="str">
        <f>_xlfn.XLOOKUP(Jnl[[#This Row],[Division]], config_div[Code], config_div[Name],,0)</f>
        <v>明月村</v>
      </c>
    </row>
    <row r="9" spans="1:9" x14ac:dyDescent="0.25">
      <c r="A9" t="s">
        <v>51</v>
      </c>
      <c r="B9" t="s">
        <v>29</v>
      </c>
      <c r="C9" t="s">
        <v>54</v>
      </c>
      <c r="D9" t="s">
        <v>52</v>
      </c>
      <c r="E9" s="3">
        <v>582748.43999999994</v>
      </c>
      <c r="F9" t="str">
        <f>_xlfn.XLOOKUP(Jnl[[#This Row],[Class]], config_IS[Class], config_IS[Type],,0)</f>
        <v>非经常性</v>
      </c>
      <c r="G9" t="str">
        <f>_xlfn.XLOOKUP(Jnl[[#This Row],[Class]], config_IS[Class], config_IS[Name],,0)</f>
        <v>活动</v>
      </c>
      <c r="H9" t="str">
        <f>_xlfn.XLOOKUP(Jnl[[#This Row],[Action]], config_act[Code], config_act[Name],,0)</f>
        <v>研学营</v>
      </c>
      <c r="I9" t="str">
        <f>_xlfn.XLOOKUP(Jnl[[#This Row],[Division]], config_div[Code], config_div[Name],,0)</f>
        <v>明月村</v>
      </c>
    </row>
    <row r="10" spans="1:9" x14ac:dyDescent="0.25">
      <c r="A10" t="s">
        <v>55</v>
      </c>
      <c r="B10" t="s">
        <v>27</v>
      </c>
      <c r="C10" t="s">
        <v>58</v>
      </c>
      <c r="D10" t="s">
        <v>23</v>
      </c>
      <c r="E10" s="3">
        <v>-21471183.379999999</v>
      </c>
      <c r="F10" t="str">
        <f>_xlfn.XLOOKUP(Jnl[[#This Row],[Class]], config_IS[Class], config_IS[Type],,0)</f>
        <v>经常性</v>
      </c>
      <c r="G10" t="str">
        <f>_xlfn.XLOOKUP(Jnl[[#This Row],[Class]], config_IS[Class], config_IS[Name],,0)</f>
        <v>成本</v>
      </c>
      <c r="H10" t="str">
        <f>_xlfn.XLOOKUP(Jnl[[#This Row],[Action]], config_act[Code], config_act[Name],,0)</f>
        <v>服装</v>
      </c>
      <c r="I10" t="str">
        <f>_xlfn.XLOOKUP(Jnl[[#This Row],[Division]], config_div[Code], config_div[Name],,0)</f>
        <v>创业园</v>
      </c>
    </row>
    <row r="11" spans="1:9" x14ac:dyDescent="0.25">
      <c r="A11" t="s">
        <v>56</v>
      </c>
      <c r="B11" t="s">
        <v>28</v>
      </c>
      <c r="C11" t="s">
        <v>41</v>
      </c>
      <c r="D11" t="s">
        <v>23</v>
      </c>
      <c r="E11" s="3">
        <v>-1555348.81</v>
      </c>
      <c r="F11" t="str">
        <f>_xlfn.XLOOKUP(Jnl[[#This Row],[Class]], config_IS[Class], config_IS[Type],,0)</f>
        <v>经常性</v>
      </c>
      <c r="G11" t="str">
        <f>_xlfn.XLOOKUP(Jnl[[#This Row],[Class]], config_IS[Class], config_IS[Name],,0)</f>
        <v>成本</v>
      </c>
      <c r="H11" t="str">
        <f>_xlfn.XLOOKUP(Jnl[[#This Row],[Action]], config_act[Code], config_act[Name],,0)</f>
        <v>餐饮</v>
      </c>
      <c r="I11" t="str">
        <f>_xlfn.XLOOKUP(Jnl[[#This Row],[Division]], config_div[Code], config_div[Name],,0)</f>
        <v>水街</v>
      </c>
    </row>
    <row r="12" spans="1:9" x14ac:dyDescent="0.25">
      <c r="A12" t="s">
        <v>59</v>
      </c>
      <c r="B12" t="s">
        <v>29</v>
      </c>
      <c r="C12" t="s">
        <v>41</v>
      </c>
      <c r="D12" t="s">
        <v>23</v>
      </c>
      <c r="E12" s="3">
        <v>-532895.71</v>
      </c>
      <c r="F12" t="str">
        <f>_xlfn.XLOOKUP(Jnl[[#This Row],[Class]], config_IS[Class], config_IS[Type],,0)</f>
        <v>经常性</v>
      </c>
      <c r="G12" t="str">
        <f>_xlfn.XLOOKUP(Jnl[[#This Row],[Class]], config_IS[Class], config_IS[Name],,0)</f>
        <v>成本</v>
      </c>
      <c r="H12" t="str">
        <f>_xlfn.XLOOKUP(Jnl[[#This Row],[Action]], config_act[Code], config_act[Name],,0)</f>
        <v>餐饮</v>
      </c>
      <c r="I12" t="str">
        <f>_xlfn.XLOOKUP(Jnl[[#This Row],[Division]], config_div[Code], config_div[Name],,0)</f>
        <v>明月村</v>
      </c>
    </row>
    <row r="13" spans="1:9" x14ac:dyDescent="0.25">
      <c r="A13" t="s">
        <v>60</v>
      </c>
      <c r="B13" t="s">
        <v>29</v>
      </c>
      <c r="C13" t="s">
        <v>48</v>
      </c>
      <c r="D13" t="s">
        <v>23</v>
      </c>
      <c r="E13" s="3">
        <v>-25745.3</v>
      </c>
      <c r="F13" t="str">
        <f>_xlfn.XLOOKUP(Jnl[[#This Row],[Class]], config_IS[Class], config_IS[Type],,0)</f>
        <v>经常性</v>
      </c>
      <c r="G13" t="str">
        <f>_xlfn.XLOOKUP(Jnl[[#This Row],[Class]], config_IS[Class], config_IS[Name],,0)</f>
        <v>成本</v>
      </c>
      <c r="H13" t="str">
        <f>_xlfn.XLOOKUP(Jnl[[#This Row],[Action]], config_act[Code], config_act[Name],,0)</f>
        <v>住宿</v>
      </c>
      <c r="I13" t="str">
        <f>_xlfn.XLOOKUP(Jnl[[#This Row],[Division]], config_div[Code], config_div[Name],,0)</f>
        <v>明月村</v>
      </c>
    </row>
    <row r="14" spans="1:9" x14ac:dyDescent="0.25">
      <c r="A14" t="s">
        <v>61</v>
      </c>
      <c r="B14" t="s">
        <v>29</v>
      </c>
      <c r="C14" t="s">
        <v>63</v>
      </c>
      <c r="D14" t="s">
        <v>23</v>
      </c>
      <c r="E14" s="3">
        <v>-494750.81</v>
      </c>
      <c r="F14" t="str">
        <f>_xlfn.XLOOKUP(Jnl[[#This Row],[Class]], config_IS[Class], config_IS[Type],,0)</f>
        <v>经常性</v>
      </c>
      <c r="G14" t="str">
        <f>_xlfn.XLOOKUP(Jnl[[#This Row],[Class]], config_IS[Class], config_IS[Name],,0)</f>
        <v>成本</v>
      </c>
      <c r="H14" t="str">
        <f>_xlfn.XLOOKUP(Jnl[[#This Row],[Action]], config_act[Code], config_act[Name],,0)</f>
        <v>小程序销售</v>
      </c>
      <c r="I14" t="str">
        <f>_xlfn.XLOOKUP(Jnl[[#This Row],[Division]], config_div[Code], config_div[Name],,0)</f>
        <v>明月村</v>
      </c>
    </row>
    <row r="15" spans="1:9" x14ac:dyDescent="0.25">
      <c r="A15" t="s">
        <v>62</v>
      </c>
      <c r="B15" t="s">
        <v>29</v>
      </c>
      <c r="C15" t="s">
        <v>54</v>
      </c>
      <c r="D15" t="s">
        <v>23</v>
      </c>
      <c r="E15" s="3">
        <v>-266944.39</v>
      </c>
      <c r="F15" t="str">
        <f>_xlfn.XLOOKUP(Jnl[[#This Row],[Class]], config_IS[Class], config_IS[Type],,0)</f>
        <v>经常性</v>
      </c>
      <c r="G15" t="str">
        <f>_xlfn.XLOOKUP(Jnl[[#This Row],[Class]], config_IS[Class], config_IS[Name],,0)</f>
        <v>成本</v>
      </c>
      <c r="H15" t="str">
        <f>_xlfn.XLOOKUP(Jnl[[#This Row],[Action]], config_act[Code], config_act[Name],,0)</f>
        <v>研学营</v>
      </c>
      <c r="I15" t="str">
        <f>_xlfn.XLOOKUP(Jnl[[#This Row],[Division]], config_div[Code], config_div[Name],,0)</f>
        <v>明月村</v>
      </c>
    </row>
    <row r="16" spans="1:9" x14ac:dyDescent="0.25">
      <c r="A16" t="s">
        <v>65</v>
      </c>
      <c r="B16" t="s">
        <v>30</v>
      </c>
      <c r="C16" t="s">
        <v>66</v>
      </c>
      <c r="D16" t="s">
        <v>24</v>
      </c>
      <c r="E16" s="3">
        <v>-13174909.57</v>
      </c>
      <c r="F16" t="str">
        <f>_xlfn.XLOOKUP(Jnl[[#This Row],[Class]], config_IS[Class], config_IS[Type],,0)</f>
        <v>经常性</v>
      </c>
      <c r="G16" t="str">
        <f>_xlfn.XLOOKUP(Jnl[[#This Row],[Class]], config_IS[Class], config_IS[Name],,0)</f>
        <v>费用</v>
      </c>
      <c r="H16" t="str">
        <f>_xlfn.XLOOKUP(Jnl[[#This Row],[Action]], config_act[Code], config_act[Name],,0)</f>
        <v>薪资</v>
      </c>
      <c r="I16" t="str">
        <f>_xlfn.XLOOKUP(Jnl[[#This Row],[Division]], config_div[Code], config_div[Name],,0)</f>
        <v>综合管理</v>
      </c>
    </row>
    <row r="17" spans="1:9" x14ac:dyDescent="0.25">
      <c r="A17" t="s">
        <v>68</v>
      </c>
      <c r="B17" t="s">
        <v>72</v>
      </c>
      <c r="C17" t="s">
        <v>69</v>
      </c>
      <c r="D17" t="s">
        <v>73</v>
      </c>
      <c r="E17" s="3">
        <v>-1047565.02449658</v>
      </c>
      <c r="F17" t="str">
        <f>_xlfn.XLOOKUP(Jnl[[#This Row],[Class]], config_IS[Class], config_IS[Type],,0)</f>
        <v>非经常性</v>
      </c>
      <c r="G17" t="str">
        <f>_xlfn.XLOOKUP(Jnl[[#This Row],[Class]], config_IS[Class], config_IS[Name],,0)</f>
        <v>财税补贴</v>
      </c>
      <c r="H17" t="str">
        <f>_xlfn.XLOOKUP(Jnl[[#This Row],[Action]], config_act[Code], config_act[Name],,0)</f>
        <v>税费</v>
      </c>
      <c r="I17" t="str">
        <f>_xlfn.XLOOKUP(Jnl[[#This Row],[Division]], config_div[Code], config_div[Name],,0)</f>
        <v>合规</v>
      </c>
    </row>
    <row r="18" spans="1:9" x14ac:dyDescent="0.25">
      <c r="A18" t="s">
        <v>74</v>
      </c>
      <c r="B18" t="s">
        <v>30</v>
      </c>
      <c r="C18" t="s">
        <v>75</v>
      </c>
      <c r="D18" t="s">
        <v>24</v>
      </c>
      <c r="E18" s="3">
        <v>-706472.88</v>
      </c>
      <c r="F18" t="str">
        <f>_xlfn.XLOOKUP(Jnl[[#This Row],[Class]], config_IS[Class], config_IS[Type],,0)</f>
        <v>经常性</v>
      </c>
      <c r="G18" t="str">
        <f>_xlfn.XLOOKUP(Jnl[[#This Row],[Class]], config_IS[Class], config_IS[Name],,0)</f>
        <v>费用</v>
      </c>
      <c r="H18" t="str">
        <f>_xlfn.XLOOKUP(Jnl[[#This Row],[Action]], config_act[Code], config_act[Name],,0)</f>
        <v>租赁</v>
      </c>
      <c r="I18" t="str">
        <f>_xlfn.XLOOKUP(Jnl[[#This Row],[Division]], config_div[Code], config_div[Name],,0)</f>
        <v>综合管理</v>
      </c>
    </row>
    <row r="19" spans="1:9" x14ac:dyDescent="0.25">
      <c r="A19" t="s">
        <v>77</v>
      </c>
      <c r="B19" t="s">
        <v>31</v>
      </c>
      <c r="C19" t="s">
        <v>78</v>
      </c>
      <c r="D19" t="s">
        <v>24</v>
      </c>
      <c r="E19" s="3">
        <v>-960000</v>
      </c>
      <c r="F19" t="str">
        <f>_xlfn.XLOOKUP(Jnl[[#This Row],[Class]], config_IS[Class], config_IS[Type],,0)</f>
        <v>经常性</v>
      </c>
      <c r="G19" t="str">
        <f>_xlfn.XLOOKUP(Jnl[[#This Row],[Class]], config_IS[Class], config_IS[Name],,0)</f>
        <v>费用</v>
      </c>
      <c r="H19" t="str">
        <f>_xlfn.XLOOKUP(Jnl[[#This Row],[Action]], config_act[Code], config_act[Name],,0)</f>
        <v>折旧</v>
      </c>
      <c r="I19" t="str">
        <f>_xlfn.XLOOKUP(Jnl[[#This Row],[Division]], config_div[Code], config_div[Name],,0)</f>
        <v>品牌管理</v>
      </c>
    </row>
    <row r="20" spans="1:9" x14ac:dyDescent="0.25">
      <c r="A20" t="s">
        <v>81</v>
      </c>
      <c r="B20" t="s">
        <v>30</v>
      </c>
      <c r="C20" t="s">
        <v>80</v>
      </c>
      <c r="D20" t="s">
        <v>24</v>
      </c>
      <c r="E20" s="3">
        <v>-5789816.3949999996</v>
      </c>
      <c r="F20" t="str">
        <f>_xlfn.XLOOKUP(Jnl[[#This Row],[Class]], config_IS[Class], config_IS[Type],,0)</f>
        <v>经常性</v>
      </c>
      <c r="G20" t="str">
        <f>_xlfn.XLOOKUP(Jnl[[#This Row],[Class]], config_IS[Class], config_IS[Name],,0)</f>
        <v>费用</v>
      </c>
      <c r="H20" t="str">
        <f>_xlfn.XLOOKUP(Jnl[[#This Row],[Action]], config_act[Code], config_act[Name],,0)</f>
        <v>杂项</v>
      </c>
      <c r="I20" t="str">
        <f>_xlfn.XLOOKUP(Jnl[[#This Row],[Division]], config_div[Code], config_div[Name],,0)</f>
        <v>综合管理</v>
      </c>
    </row>
    <row r="21" spans="1:9" x14ac:dyDescent="0.25">
      <c r="A21" t="s">
        <v>84</v>
      </c>
      <c r="B21" t="s">
        <v>31</v>
      </c>
      <c r="C21" t="s">
        <v>82</v>
      </c>
      <c r="D21" t="s">
        <v>24</v>
      </c>
      <c r="E21" s="3">
        <v>-159933.04</v>
      </c>
      <c r="F21" t="str">
        <f>_xlfn.XLOOKUP(Jnl[[#This Row],[Class]], config_IS[Class], config_IS[Type],,0)</f>
        <v>经常性</v>
      </c>
      <c r="G21" t="str">
        <f>_xlfn.XLOOKUP(Jnl[[#This Row],[Class]], config_IS[Class], config_IS[Name],,0)</f>
        <v>费用</v>
      </c>
      <c r="H21" t="str">
        <f>_xlfn.XLOOKUP(Jnl[[#This Row],[Action]], config_act[Code], config_act[Name],,0)</f>
        <v>拍摄</v>
      </c>
      <c r="I21" t="str">
        <f>_xlfn.XLOOKUP(Jnl[[#This Row],[Division]], config_div[Code], config_div[Name],,0)</f>
        <v>品牌管理</v>
      </c>
    </row>
    <row r="22" spans="1:9" x14ac:dyDescent="0.25">
      <c r="A22" t="s">
        <v>85</v>
      </c>
      <c r="B22" t="s">
        <v>31</v>
      </c>
      <c r="C22" t="s">
        <v>89</v>
      </c>
      <c r="D22" t="s">
        <v>52</v>
      </c>
      <c r="E22" s="3">
        <v>209742.45</v>
      </c>
      <c r="F22" t="str">
        <f>_xlfn.XLOOKUP(Jnl[[#This Row],[Class]], config_IS[Class], config_IS[Type],,0)</f>
        <v>非经常性</v>
      </c>
      <c r="G22" t="str">
        <f>_xlfn.XLOOKUP(Jnl[[#This Row],[Class]], config_IS[Class], config_IS[Name],,0)</f>
        <v>活动</v>
      </c>
      <c r="H22" t="str">
        <f>_xlfn.XLOOKUP(Jnl[[#This Row],[Action]], config_act[Code], config_act[Name],,0)</f>
        <v>诗与歌</v>
      </c>
      <c r="I22" t="str">
        <f>_xlfn.XLOOKUP(Jnl[[#This Row],[Division]], config_div[Code], config_div[Name],,0)</f>
        <v>品牌管理</v>
      </c>
    </row>
    <row r="23" spans="1:9" x14ac:dyDescent="0.25">
      <c r="A23" t="s">
        <v>93</v>
      </c>
      <c r="B23" t="s">
        <v>31</v>
      </c>
      <c r="C23" t="s">
        <v>89</v>
      </c>
      <c r="D23" t="s">
        <v>52</v>
      </c>
      <c r="E23" s="3">
        <v>-216608.1</v>
      </c>
      <c r="F23" t="str">
        <f>_xlfn.XLOOKUP(Jnl[[#This Row],[Class]], config_IS[Class], config_IS[Type],,0)</f>
        <v>非经常性</v>
      </c>
      <c r="G23" t="str">
        <f>_xlfn.XLOOKUP(Jnl[[#This Row],[Class]], config_IS[Class], config_IS[Name],,0)</f>
        <v>活动</v>
      </c>
      <c r="H23" t="str">
        <f>_xlfn.XLOOKUP(Jnl[[#This Row],[Action]], config_act[Code], config_act[Name],,0)</f>
        <v>诗与歌</v>
      </c>
      <c r="I23" t="str">
        <f>_xlfn.XLOOKUP(Jnl[[#This Row],[Division]], config_div[Code], config_div[Name],,0)</f>
        <v>品牌管理</v>
      </c>
    </row>
    <row r="24" spans="1:9" x14ac:dyDescent="0.25">
      <c r="A24" t="s">
        <v>94</v>
      </c>
      <c r="B24" t="s">
        <v>31</v>
      </c>
      <c r="C24" t="s">
        <v>86</v>
      </c>
      <c r="D24" t="s">
        <v>52</v>
      </c>
      <c r="E24" s="3">
        <v>1507039.1877897601</v>
      </c>
      <c r="F24" t="str">
        <f>_xlfn.XLOOKUP(Jnl[[#This Row],[Class]], config_IS[Class], config_IS[Type],,0)</f>
        <v>非经常性</v>
      </c>
      <c r="G24" t="str">
        <f>_xlfn.XLOOKUP(Jnl[[#This Row],[Class]], config_IS[Class], config_IS[Name],,0)</f>
        <v>活动</v>
      </c>
      <c r="H24" t="str">
        <f>_xlfn.XLOOKUP(Jnl[[#This Row],[Action]], config_act[Code], config_act[Name],,0)</f>
        <v>游学</v>
      </c>
      <c r="I24" t="str">
        <f>_xlfn.XLOOKUP(Jnl[[#This Row],[Division]], config_div[Code], config_div[Name],,0)</f>
        <v>品牌管理</v>
      </c>
    </row>
    <row r="25" spans="1:9" x14ac:dyDescent="0.25">
      <c r="A25" t="s">
        <v>95</v>
      </c>
      <c r="B25" t="s">
        <v>31</v>
      </c>
      <c r="C25" t="s">
        <v>86</v>
      </c>
      <c r="D25" t="s">
        <v>52</v>
      </c>
      <c r="E25" s="3">
        <v>-1309571.0114285699</v>
      </c>
      <c r="F25" t="str">
        <f>_xlfn.XLOOKUP(Jnl[[#This Row],[Class]], config_IS[Class], config_IS[Type],,0)</f>
        <v>非经常性</v>
      </c>
      <c r="G25" t="str">
        <f>_xlfn.XLOOKUP(Jnl[[#This Row],[Class]], config_IS[Class], config_IS[Name],,0)</f>
        <v>活动</v>
      </c>
      <c r="H25" t="str">
        <f>_xlfn.XLOOKUP(Jnl[[#This Row],[Action]], config_act[Code], config_act[Name],,0)</f>
        <v>游学</v>
      </c>
      <c r="I25" t="str">
        <f>_xlfn.XLOOKUP(Jnl[[#This Row],[Division]], config_div[Code], config_div[Name],,0)</f>
        <v>品牌管理</v>
      </c>
    </row>
    <row r="26" spans="1:9" x14ac:dyDescent="0.25">
      <c r="A26" t="s">
        <v>96</v>
      </c>
      <c r="B26" t="s">
        <v>31</v>
      </c>
      <c r="C26" t="s">
        <v>98</v>
      </c>
      <c r="D26" t="s">
        <v>52</v>
      </c>
      <c r="E26" s="3">
        <v>653789.6</v>
      </c>
      <c r="F26" t="str">
        <f>_xlfn.XLOOKUP(Jnl[[#This Row],[Class]], config_IS[Class], config_IS[Type],,0)</f>
        <v>非经常性</v>
      </c>
      <c r="G26" t="str">
        <f>_xlfn.XLOOKUP(Jnl[[#This Row],[Class]], config_IS[Class], config_IS[Name],,0)</f>
        <v>活动</v>
      </c>
      <c r="H26" t="str">
        <f>_xlfn.XLOOKUP(Jnl[[#This Row],[Action]], config_act[Code], config_act[Name],,0)</f>
        <v>书写营</v>
      </c>
      <c r="I26" t="str">
        <f>_xlfn.XLOOKUP(Jnl[[#This Row],[Division]], config_div[Code], config_div[Name],,0)</f>
        <v>品牌管理</v>
      </c>
    </row>
    <row r="27" spans="1:9" x14ac:dyDescent="0.25">
      <c r="A27" t="s">
        <v>99</v>
      </c>
      <c r="B27" t="s">
        <v>31</v>
      </c>
      <c r="C27" t="s">
        <v>88</v>
      </c>
      <c r="D27" t="s">
        <v>52</v>
      </c>
      <c r="E27" s="3">
        <v>-365880.45857142902</v>
      </c>
      <c r="F27" t="str">
        <f>_xlfn.XLOOKUP(Jnl[[#This Row],[Class]], config_IS[Class], config_IS[Type],,0)</f>
        <v>非经常性</v>
      </c>
      <c r="G27" t="str">
        <f>_xlfn.XLOOKUP(Jnl[[#This Row],[Class]], config_IS[Class], config_IS[Name],,0)</f>
        <v>活动</v>
      </c>
      <c r="H27" t="str">
        <f>_xlfn.XLOOKUP(Jnl[[#This Row],[Action]], config_act[Code], config_act[Name],,0)</f>
        <v>展会</v>
      </c>
      <c r="I27" t="str">
        <f>_xlfn.XLOOKUP(Jnl[[#This Row],[Division]], config_div[Code], config_div[Name],,0)</f>
        <v>品牌管理</v>
      </c>
    </row>
  </sheetData>
  <dataValidations count="3">
    <dataValidation type="list" allowBlank="1" showInputMessage="1" showErrorMessage="1" sqref="D2:D27" xr:uid="{3FA9FC04-2E2D-4A48-B9D4-B0FB8DE3E32F}">
      <formula1>INDIRECT("config_IS[Class]")</formula1>
    </dataValidation>
    <dataValidation type="list" allowBlank="1" showInputMessage="1" showErrorMessage="1" sqref="C2:C27" xr:uid="{C5087CED-3A1E-4D04-9C33-726C97027395}">
      <formula1>INDIRECT("config_act[Code]")</formula1>
    </dataValidation>
    <dataValidation type="list" allowBlank="1" showInputMessage="1" showErrorMessage="1" sqref="B2:B27" xr:uid="{B5F24622-FAE3-4F92-A452-5EE3E65A8E7F}">
      <formula1>INDIRECT("config_div[code]")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9DF7-2498-4BFA-B21A-25222A1BB0B2}">
  <sheetPr>
    <tabColor theme="9" tint="0.39997558519241921"/>
  </sheetPr>
  <dimension ref="A1:R41"/>
  <sheetViews>
    <sheetView tabSelected="1" workbookViewId="0">
      <selection activeCell="R5" sqref="R5"/>
    </sheetView>
  </sheetViews>
  <sheetFormatPr defaultRowHeight="15" x14ac:dyDescent="0.25"/>
  <cols>
    <col min="1" max="1" width="16.85546875" bestFit="1" customWidth="1"/>
    <col min="2" max="2" width="16.42578125" bestFit="1" customWidth="1"/>
    <col min="3" max="5" width="13.28515625" bestFit="1" customWidth="1"/>
    <col min="6" max="6" width="13.5703125" bestFit="1" customWidth="1"/>
    <col min="7" max="7" width="14.28515625" bestFit="1" customWidth="1"/>
    <col min="8" max="9" width="12.7109375" customWidth="1"/>
    <col min="10" max="11" width="16.140625" bestFit="1" customWidth="1"/>
    <col min="12" max="12" width="16.28515625" bestFit="1" customWidth="1"/>
    <col min="13" max="13" width="14" customWidth="1"/>
    <col min="14" max="14" width="9.5703125" bestFit="1" customWidth="1"/>
    <col min="15" max="15" width="11.42578125" customWidth="1"/>
    <col min="16" max="16" width="12" customWidth="1"/>
    <col min="17" max="17" width="12.85546875" customWidth="1"/>
    <col min="18" max="18" width="11.28515625" bestFit="1" customWidth="1"/>
  </cols>
  <sheetData>
    <row r="1" spans="1:18" x14ac:dyDescent="0.25">
      <c r="A1" s="10" t="s">
        <v>105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x14ac:dyDescent="0.25">
      <c r="A2" s="9" t="s">
        <v>109</v>
      </c>
      <c r="B2" s="3">
        <f>SUM(Jnl[Amt])</f>
        <v>13209505.352789767</v>
      </c>
      <c r="D2" s="15" t="s">
        <v>113</v>
      </c>
      <c r="E2" s="1"/>
      <c r="G2" s="9" t="s">
        <v>112</v>
      </c>
      <c r="H2" s="1"/>
      <c r="L2" s="15" t="s">
        <v>114</v>
      </c>
      <c r="M2" s="3">
        <f>SUMIFS(Jnl[Amt], Jnl[Class], "Expense")</f>
        <v>-20791131.884999998</v>
      </c>
      <c r="O2" s="9" t="s">
        <v>116</v>
      </c>
      <c r="P2" s="3">
        <f>SUMIFS(Jnl[Amt], Jnl[Class], "TnS")</f>
        <v>-1047565.02449658</v>
      </c>
    </row>
    <row r="3" spans="1:18" x14ac:dyDescent="0.25">
      <c r="A3" s="1" t="s">
        <v>3</v>
      </c>
      <c r="B3" s="3">
        <f>SUMIFS(Jnl[Amt], Jnl[Type], A3)</f>
        <v>13195810.26949659</v>
      </c>
      <c r="D3" t="s">
        <v>4</v>
      </c>
      <c r="E3" s="11">
        <f>SUMIFS(Jnl[Amt], Jnl[Class], "Sales")</f>
        <v>58333810.554496594</v>
      </c>
      <c r="H3" s="1" t="s">
        <v>57</v>
      </c>
      <c r="I3" s="1" t="s">
        <v>42</v>
      </c>
      <c r="J3" s="1" t="s">
        <v>108</v>
      </c>
      <c r="L3" s="1" t="s">
        <v>115</v>
      </c>
      <c r="M3" s="14">
        <f>M2/stmt_total_sales</f>
        <v>-0.35641648792301189</v>
      </c>
      <c r="O3" s="1" t="s">
        <v>117</v>
      </c>
      <c r="P3" s="14">
        <f>P2/stmt_total_sales</f>
        <v>-1.7958110648676452E-2</v>
      </c>
    </row>
    <row r="4" spans="1:18" x14ac:dyDescent="0.25">
      <c r="A4" s="1" t="s">
        <v>110</v>
      </c>
      <c r="B4" s="3">
        <f>SUMIFS(Jnl[Amt], Jnl[Class], "Event")</f>
        <v>1061260.1077897614</v>
      </c>
      <c r="D4" s="12" t="s">
        <v>5</v>
      </c>
      <c r="E4" s="13">
        <f>SUMIFS(Jnl[Amt], Jnl[Class], "Cost")</f>
        <v>-24346868.399999999</v>
      </c>
      <c r="G4" t="s">
        <v>4</v>
      </c>
      <c r="H4" s="11">
        <f>SUMIFS(Jnl[Amt], Jnl[Class], "Sales", Jnl[Action], "Cloth")</f>
        <v>48946778.074496597</v>
      </c>
      <c r="I4" s="11">
        <f>SUMIFS(Jnl[Amt], Jnl[Class], "Sales", Jnl[Action], "food")</f>
        <v>7243663.3400000008</v>
      </c>
      <c r="J4" s="11">
        <f>E3-(H4+I4)</f>
        <v>2143369.1399999931</v>
      </c>
    </row>
    <row r="5" spans="1:18" x14ac:dyDescent="0.25">
      <c r="A5" s="1" t="s">
        <v>111</v>
      </c>
      <c r="B5" s="3">
        <f>SUMIFS(Jnl[Amt], Jnl[Class], "TnS")</f>
        <v>-1047565.02449658</v>
      </c>
      <c r="D5" s="1" t="s">
        <v>106</v>
      </c>
      <c r="E5" s="3">
        <f>E3+E4</f>
        <v>33986942.154496595</v>
      </c>
      <c r="G5" s="12" t="s">
        <v>5</v>
      </c>
      <c r="H5" s="13">
        <f>SUMIFS(Jnl[Amt], Jnl[Class], "Cost", Jnl[Action], "Cloth")</f>
        <v>-21471183.379999999</v>
      </c>
      <c r="I5" s="13">
        <f>SUMIFS(Jnl[Amt], Jnl[Class], "Cost", Jnl[Action], "food")</f>
        <v>-2088244.52</v>
      </c>
      <c r="J5" s="11">
        <f>E4-(H5+I5)</f>
        <v>-787440.5</v>
      </c>
    </row>
    <row r="6" spans="1:18" x14ac:dyDescent="0.25">
      <c r="D6" s="1" t="s">
        <v>107</v>
      </c>
      <c r="E6" s="14">
        <f>E5/E3</f>
        <v>0.58262852763142092</v>
      </c>
      <c r="G6" s="1" t="s">
        <v>106</v>
      </c>
      <c r="H6" s="3">
        <f t="shared" ref="H6:J6" si="0">H4+H5</f>
        <v>27475594.694496598</v>
      </c>
      <c r="I6" s="3">
        <f t="shared" si="0"/>
        <v>5155418.82</v>
      </c>
      <c r="J6" s="3">
        <f t="shared" si="0"/>
        <v>1355928.6399999931</v>
      </c>
    </row>
    <row r="7" spans="1:18" x14ac:dyDescent="0.25">
      <c r="A7" s="9" t="s">
        <v>119</v>
      </c>
      <c r="B7" s="16">
        <f>B2/stmt_total_sales</f>
        <v>0.22644681064421784</v>
      </c>
      <c r="G7" s="1" t="s">
        <v>107</v>
      </c>
      <c r="H7" s="14">
        <f t="shared" ref="H7:J7" si="1">H6/H4</f>
        <v>0.56133612416079703</v>
      </c>
      <c r="I7" s="14">
        <f t="shared" si="1"/>
        <v>0.71171430504388955</v>
      </c>
      <c r="J7" s="14">
        <f t="shared" si="1"/>
        <v>0.63261554656889274</v>
      </c>
    </row>
    <row r="12" spans="1:18" x14ac:dyDescent="0.25">
      <c r="A12" s="6" t="s">
        <v>104</v>
      </c>
      <c r="B12" s="6" t="s">
        <v>101</v>
      </c>
      <c r="C12" s="1"/>
      <c r="D12" s="1"/>
      <c r="E12" s="1"/>
      <c r="F12" s="1"/>
      <c r="G12" s="1"/>
      <c r="H12" s="1"/>
      <c r="J12" s="6" t="s">
        <v>118</v>
      </c>
      <c r="K12" s="6" t="s">
        <v>101</v>
      </c>
      <c r="L12" s="1"/>
      <c r="M12" s="1"/>
      <c r="N12" s="1"/>
      <c r="O12" s="1"/>
      <c r="P12" s="1"/>
      <c r="Q12" s="1"/>
    </row>
    <row r="13" spans="1:18" x14ac:dyDescent="0.25">
      <c r="A13" s="6" t="s">
        <v>103</v>
      </c>
      <c r="B13" s="7" t="s">
        <v>14</v>
      </c>
      <c r="C13" s="7" t="s">
        <v>15</v>
      </c>
      <c r="D13" s="7" t="s">
        <v>16</v>
      </c>
      <c r="E13" s="7" t="s">
        <v>17</v>
      </c>
      <c r="F13" s="7" t="s">
        <v>71</v>
      </c>
      <c r="G13" s="7" t="s">
        <v>18</v>
      </c>
      <c r="H13" s="7" t="s">
        <v>102</v>
      </c>
      <c r="J13" s="6" t="s">
        <v>103</v>
      </c>
      <c r="K13" s="7" t="s">
        <v>14</v>
      </c>
      <c r="L13" s="7" t="s">
        <v>15</v>
      </c>
      <c r="M13" s="7" t="s">
        <v>16</v>
      </c>
      <c r="N13" s="7" t="s">
        <v>17</v>
      </c>
      <c r="O13" s="7" t="s">
        <v>71</v>
      </c>
      <c r="P13" s="7" t="s">
        <v>18</v>
      </c>
      <c r="Q13" s="7" t="s">
        <v>102</v>
      </c>
    </row>
    <row r="14" spans="1:18" x14ac:dyDescent="0.25">
      <c r="A14" s="4" t="s">
        <v>3</v>
      </c>
      <c r="B14" s="3">
        <v>20045937.264496598</v>
      </c>
      <c r="C14" s="3">
        <v>10738178.029999999</v>
      </c>
      <c r="D14" s="3">
        <v>3202826.8600000003</v>
      </c>
      <c r="E14" s="3">
        <v>-19671198.844999999</v>
      </c>
      <c r="F14" s="3"/>
      <c r="G14" s="3">
        <v>-1119933.04</v>
      </c>
      <c r="H14" s="3">
        <v>13195810.269496597</v>
      </c>
      <c r="J14" s="4" t="s">
        <v>3</v>
      </c>
      <c r="K14" s="17">
        <v>0.34364182488431277</v>
      </c>
      <c r="L14" s="17">
        <v>0.18408154457798068</v>
      </c>
      <c r="M14" s="17">
        <v>5.4905153719512691E-2</v>
      </c>
      <c r="N14" s="17">
        <v>-0.33721779029660859</v>
      </c>
      <c r="O14" s="17">
        <v>0</v>
      </c>
      <c r="P14" s="17">
        <v>-1.9198694904401153E-2</v>
      </c>
      <c r="Q14" s="17">
        <v>0.2262120379807965</v>
      </c>
    </row>
    <row r="15" spans="1:18" x14ac:dyDescent="0.25">
      <c r="A15" s="5" t="s">
        <v>4</v>
      </c>
      <c r="B15" s="3">
        <v>41517120.644496597</v>
      </c>
      <c r="C15" s="3">
        <v>12293526.84</v>
      </c>
      <c r="D15" s="3">
        <v>4523163.07</v>
      </c>
      <c r="E15" s="3"/>
      <c r="F15" s="3"/>
      <c r="G15" s="3"/>
      <c r="H15" s="3">
        <v>58333810.554496594</v>
      </c>
      <c r="J15" s="5" t="s">
        <v>4</v>
      </c>
      <c r="K15" s="17">
        <v>0.71171624025210001</v>
      </c>
      <c r="L15" s="17">
        <v>0.21074444870402861</v>
      </c>
      <c r="M15" s="17">
        <v>7.7539303406732679E-2</v>
      </c>
      <c r="N15" s="17">
        <v>0</v>
      </c>
      <c r="O15" s="17">
        <v>0</v>
      </c>
      <c r="P15" s="17">
        <v>0</v>
      </c>
      <c r="Q15" s="17">
        <v>0.99999999236286141</v>
      </c>
    </row>
    <row r="16" spans="1:18" x14ac:dyDescent="0.25">
      <c r="A16" s="5" t="s">
        <v>5</v>
      </c>
      <c r="B16" s="3">
        <v>-21471183.379999999</v>
      </c>
      <c r="C16" s="3">
        <v>-1555348.81</v>
      </c>
      <c r="D16" s="3">
        <v>-1320336.21</v>
      </c>
      <c r="E16" s="3"/>
      <c r="F16" s="3"/>
      <c r="G16" s="3"/>
      <c r="H16" s="3">
        <v>-24346868.399999999</v>
      </c>
      <c r="J16" s="8" t="s">
        <v>49</v>
      </c>
      <c r="K16" s="17">
        <v>0</v>
      </c>
      <c r="L16" s="17">
        <v>0</v>
      </c>
      <c r="M16" s="17">
        <v>2.2257389286635156E-2</v>
      </c>
      <c r="N16" s="17">
        <v>0</v>
      </c>
      <c r="O16" s="17">
        <v>0</v>
      </c>
      <c r="P16" s="17">
        <v>0</v>
      </c>
      <c r="Q16" s="17">
        <v>2.2257389286635156E-2</v>
      </c>
    </row>
    <row r="17" spans="1:17" x14ac:dyDescent="0.25">
      <c r="A17" s="5" t="s">
        <v>6</v>
      </c>
      <c r="B17" s="3"/>
      <c r="C17" s="3"/>
      <c r="D17" s="3"/>
      <c r="E17" s="3">
        <v>-19671198.844999999</v>
      </c>
      <c r="F17" s="3"/>
      <c r="G17" s="3">
        <v>-1119933.04</v>
      </c>
      <c r="H17" s="3">
        <v>-20791131.884999998</v>
      </c>
      <c r="J17" s="8" t="s">
        <v>64</v>
      </c>
      <c r="K17" s="17">
        <v>0</v>
      </c>
      <c r="L17" s="17">
        <v>0</v>
      </c>
      <c r="M17" s="17">
        <v>1.4485780810720562E-2</v>
      </c>
      <c r="N17" s="17">
        <v>0</v>
      </c>
      <c r="O17" s="17">
        <v>0</v>
      </c>
      <c r="P17" s="17">
        <v>0</v>
      </c>
      <c r="Q17" s="17">
        <v>1.4485780810720562E-2</v>
      </c>
    </row>
    <row r="18" spans="1:17" x14ac:dyDescent="0.25">
      <c r="A18" s="8" t="s">
        <v>79</v>
      </c>
      <c r="B18" s="3"/>
      <c r="C18" s="3"/>
      <c r="D18" s="3"/>
      <c r="E18" s="3"/>
      <c r="F18" s="3"/>
      <c r="G18" s="3">
        <v>-960000</v>
      </c>
      <c r="H18" s="3">
        <v>-960000</v>
      </c>
      <c r="J18" s="8" t="s">
        <v>57</v>
      </c>
      <c r="K18" s="17">
        <v>0.71171624025210001</v>
      </c>
      <c r="L18" s="17">
        <v>0.10983628962626837</v>
      </c>
      <c r="M18" s="17">
        <v>1.7528223383176524E-2</v>
      </c>
      <c r="N18" s="17">
        <v>0</v>
      </c>
      <c r="O18" s="17">
        <v>0</v>
      </c>
      <c r="P18" s="17">
        <v>0</v>
      </c>
      <c r="Q18" s="17">
        <v>0.83908075326154496</v>
      </c>
    </row>
    <row r="19" spans="1:17" x14ac:dyDescent="0.25">
      <c r="A19" s="8" t="s">
        <v>83</v>
      </c>
      <c r="B19" s="3"/>
      <c r="C19" s="3"/>
      <c r="D19" s="3"/>
      <c r="E19" s="3"/>
      <c r="F19" s="3"/>
      <c r="G19" s="3">
        <v>-159933.04</v>
      </c>
      <c r="H19" s="3">
        <v>-159933.04</v>
      </c>
      <c r="J19" s="8" t="s">
        <v>42</v>
      </c>
      <c r="K19" s="17">
        <v>0</v>
      </c>
      <c r="L19" s="17">
        <v>0.10090815907776024</v>
      </c>
      <c r="M19" s="17">
        <v>2.3267909926200436E-2</v>
      </c>
      <c r="N19" s="17">
        <v>0</v>
      </c>
      <c r="O19" s="17">
        <v>0</v>
      </c>
      <c r="P19" s="17">
        <v>0</v>
      </c>
      <c r="Q19" s="17">
        <v>0.12417606900396068</v>
      </c>
    </row>
    <row r="20" spans="1:17" x14ac:dyDescent="0.25">
      <c r="A20" s="8" t="s">
        <v>91</v>
      </c>
      <c r="B20" s="3"/>
      <c r="C20" s="3"/>
      <c r="D20" s="3"/>
      <c r="E20" s="3">
        <v>-5789816.3949999996</v>
      </c>
      <c r="F20" s="3"/>
      <c r="G20" s="3"/>
      <c r="H20" s="3">
        <v>-5789816.3949999996</v>
      </c>
      <c r="J20" s="5" t="s">
        <v>5</v>
      </c>
      <c r="K20" s="17">
        <v>-0.36807441536778729</v>
      </c>
      <c r="L20" s="17">
        <v>-2.666290412604793E-2</v>
      </c>
      <c r="M20" s="17">
        <v>-2.2634149687219988E-2</v>
      </c>
      <c r="N20" s="17">
        <v>0</v>
      </c>
      <c r="O20" s="17">
        <v>0</v>
      </c>
      <c r="P20" s="17">
        <v>0</v>
      </c>
      <c r="Q20" s="17">
        <v>-0.41737146918105522</v>
      </c>
    </row>
    <row r="21" spans="1:17" x14ac:dyDescent="0.25">
      <c r="A21" s="8" t="s">
        <v>76</v>
      </c>
      <c r="B21" s="3"/>
      <c r="C21" s="3"/>
      <c r="D21" s="3"/>
      <c r="E21" s="3">
        <v>-706472.88</v>
      </c>
      <c r="F21" s="3"/>
      <c r="G21" s="3"/>
      <c r="H21" s="3">
        <v>-706472.88</v>
      </c>
      <c r="J21" s="8" t="s">
        <v>49</v>
      </c>
      <c r="K21" s="17">
        <v>0</v>
      </c>
      <c r="L21" s="17">
        <v>0</v>
      </c>
      <c r="M21" s="17">
        <v>-4.4134438601997047E-4</v>
      </c>
      <c r="N21" s="17">
        <v>0</v>
      </c>
      <c r="O21" s="17">
        <v>0</v>
      </c>
      <c r="P21" s="17">
        <v>0</v>
      </c>
      <c r="Q21" s="17">
        <v>-4.4134438601997047E-4</v>
      </c>
    </row>
    <row r="22" spans="1:17" x14ac:dyDescent="0.25">
      <c r="A22" s="8" t="s">
        <v>67</v>
      </c>
      <c r="B22" s="3"/>
      <c r="C22" s="3"/>
      <c r="D22" s="3"/>
      <c r="E22" s="3">
        <v>-13174909.57</v>
      </c>
      <c r="F22" s="3"/>
      <c r="G22" s="3"/>
      <c r="H22" s="3">
        <v>-13174909.57</v>
      </c>
      <c r="J22" s="8" t="s">
        <v>64</v>
      </c>
      <c r="K22" s="17">
        <v>0</v>
      </c>
      <c r="L22" s="17">
        <v>0</v>
      </c>
      <c r="M22" s="17">
        <v>-8.4813730068141781E-3</v>
      </c>
      <c r="N22" s="17">
        <v>0</v>
      </c>
      <c r="O22" s="17">
        <v>0</v>
      </c>
      <c r="P22" s="17">
        <v>0</v>
      </c>
      <c r="Q22" s="17">
        <v>-8.4813730068141781E-3</v>
      </c>
    </row>
    <row r="23" spans="1:17" x14ac:dyDescent="0.25">
      <c r="A23" s="4" t="s">
        <v>7</v>
      </c>
      <c r="B23" s="3"/>
      <c r="C23" s="3"/>
      <c r="D23" s="3">
        <v>582748.43999999994</v>
      </c>
      <c r="E23" s="3"/>
      <c r="F23" s="3">
        <v>-1047565.02449658</v>
      </c>
      <c r="G23" s="3">
        <v>478511.66778976121</v>
      </c>
      <c r="H23" s="3">
        <v>13695.083293181146</v>
      </c>
      <c r="J23" s="8" t="s">
        <v>57</v>
      </c>
      <c r="K23" s="17">
        <v>-0.36807441536778729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-0.36807441536778729</v>
      </c>
    </row>
    <row r="24" spans="1:17" x14ac:dyDescent="0.25">
      <c r="A24" s="5" t="s">
        <v>9</v>
      </c>
      <c r="B24" s="3"/>
      <c r="C24" s="3"/>
      <c r="D24" s="3">
        <v>582748.43999999994</v>
      </c>
      <c r="E24" s="3"/>
      <c r="F24" s="3"/>
      <c r="G24" s="3">
        <v>478511.66778976121</v>
      </c>
      <c r="H24" s="3">
        <v>1061260.1077897612</v>
      </c>
      <c r="J24" s="8" t="s">
        <v>53</v>
      </c>
      <c r="K24" s="17">
        <v>0</v>
      </c>
      <c r="L24" s="17">
        <v>0</v>
      </c>
      <c r="M24" s="17">
        <v>-4.5761520707090445E-3</v>
      </c>
      <c r="N24" s="17">
        <v>0</v>
      </c>
      <c r="O24" s="17">
        <v>0</v>
      </c>
      <c r="P24" s="17">
        <v>0</v>
      </c>
      <c r="Q24" s="17">
        <v>-4.5761520707090445E-3</v>
      </c>
    </row>
    <row r="25" spans="1:17" x14ac:dyDescent="0.25">
      <c r="A25" s="5" t="s">
        <v>8</v>
      </c>
      <c r="B25" s="3"/>
      <c r="C25" s="3"/>
      <c r="D25" s="3"/>
      <c r="E25" s="3"/>
      <c r="F25" s="3">
        <v>-1047565.02449658</v>
      </c>
      <c r="G25" s="3"/>
      <c r="H25" s="3">
        <v>-1047565.02449658</v>
      </c>
      <c r="J25" s="8" t="s">
        <v>42</v>
      </c>
      <c r="K25" s="17">
        <v>0</v>
      </c>
      <c r="L25" s="17">
        <v>-2.666290412604793E-2</v>
      </c>
      <c r="M25" s="17">
        <v>-9.1352802236767967E-3</v>
      </c>
      <c r="N25" s="17">
        <v>0</v>
      </c>
      <c r="O25" s="17">
        <v>0</v>
      </c>
      <c r="P25" s="17">
        <v>0</v>
      </c>
      <c r="Q25" s="17">
        <v>-3.5798184349724725E-2</v>
      </c>
    </row>
    <row r="26" spans="1:17" x14ac:dyDescent="0.25">
      <c r="A26" s="4" t="s">
        <v>102</v>
      </c>
      <c r="B26" s="3">
        <v>20045937.264496598</v>
      </c>
      <c r="C26" s="3">
        <v>10738178.029999999</v>
      </c>
      <c r="D26" s="3">
        <v>3785575.3000000003</v>
      </c>
      <c r="E26" s="3">
        <v>-19671198.844999999</v>
      </c>
      <c r="F26" s="3">
        <v>-1047565.02449658</v>
      </c>
      <c r="G26" s="3">
        <v>-641421.37221023883</v>
      </c>
      <c r="H26" s="3">
        <v>13209505.352789778</v>
      </c>
      <c r="J26" s="5" t="s">
        <v>6</v>
      </c>
      <c r="K26" s="17">
        <v>0</v>
      </c>
      <c r="L26" s="17">
        <v>0</v>
      </c>
      <c r="M26" s="17">
        <v>0</v>
      </c>
      <c r="N26" s="17">
        <v>-0.33721779029660859</v>
      </c>
      <c r="O26" s="17">
        <v>0</v>
      </c>
      <c r="P26" s="17">
        <v>-1.9198694904401153E-2</v>
      </c>
      <c r="Q26" s="17">
        <v>-0.35641648520100971</v>
      </c>
    </row>
    <row r="27" spans="1:17" x14ac:dyDescent="0.25">
      <c r="J27" s="8" t="s">
        <v>79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-1.6457008097756548E-2</v>
      </c>
      <c r="Q27" s="17">
        <v>-1.6457008097756548E-2</v>
      </c>
    </row>
    <row r="28" spans="1:17" x14ac:dyDescent="0.25">
      <c r="J28" s="8" t="s">
        <v>83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-2.7416868066446063E-3</v>
      </c>
      <c r="Q28" s="17">
        <v>-2.7416868066446063E-3</v>
      </c>
    </row>
    <row r="29" spans="1:17" x14ac:dyDescent="0.25">
      <c r="J29" s="8" t="s">
        <v>91</v>
      </c>
      <c r="K29" s="17">
        <v>0</v>
      </c>
      <c r="L29" s="17">
        <v>0</v>
      </c>
      <c r="M29" s="17">
        <v>0</v>
      </c>
      <c r="N29" s="17">
        <v>-9.9253182601081888E-2</v>
      </c>
      <c r="O29" s="17">
        <v>0</v>
      </c>
      <c r="P29" s="17">
        <v>0</v>
      </c>
      <c r="Q29" s="17">
        <v>-9.9253182601081888E-2</v>
      </c>
    </row>
    <row r="30" spans="1:17" x14ac:dyDescent="0.25">
      <c r="J30" s="8" t="s">
        <v>76</v>
      </c>
      <c r="K30" s="17">
        <v>0</v>
      </c>
      <c r="L30" s="17">
        <v>0</v>
      </c>
      <c r="M30" s="17">
        <v>0</v>
      </c>
      <c r="N30" s="17">
        <v>-1.2110864486463948E-2</v>
      </c>
      <c r="O30" s="17">
        <v>0</v>
      </c>
      <c r="P30" s="17">
        <v>0</v>
      </c>
      <c r="Q30" s="17">
        <v>-1.2110864486463948E-2</v>
      </c>
    </row>
    <row r="31" spans="1:17" x14ac:dyDescent="0.25">
      <c r="J31" s="8" t="s">
        <v>67</v>
      </c>
      <c r="K31" s="17">
        <v>0</v>
      </c>
      <c r="L31" s="17">
        <v>0</v>
      </c>
      <c r="M31" s="17">
        <v>0</v>
      </c>
      <c r="N31" s="17">
        <v>-0.22585374320906276</v>
      </c>
      <c r="O31" s="17">
        <v>0</v>
      </c>
      <c r="P31" s="17">
        <v>0</v>
      </c>
      <c r="Q31" s="17">
        <v>-0.22585374320906276</v>
      </c>
    </row>
    <row r="32" spans="1:17" x14ac:dyDescent="0.25">
      <c r="J32" s="4" t="s">
        <v>7</v>
      </c>
      <c r="K32" s="17">
        <v>0</v>
      </c>
      <c r="L32" s="17">
        <v>0</v>
      </c>
      <c r="M32" s="17">
        <v>9.9898914542031203E-3</v>
      </c>
      <c r="N32" s="17">
        <v>0</v>
      </c>
      <c r="O32" s="17">
        <v>-1.7958110511527868E-2</v>
      </c>
      <c r="P32" s="17">
        <v>8.2029899913407187E-3</v>
      </c>
      <c r="Q32" s="17">
        <v>2.3477093401597139E-4</v>
      </c>
    </row>
    <row r="33" spans="10:17" x14ac:dyDescent="0.25">
      <c r="J33" s="5" t="s">
        <v>9</v>
      </c>
      <c r="K33" s="17">
        <v>0</v>
      </c>
      <c r="L33" s="17">
        <v>0</v>
      </c>
      <c r="M33" s="17">
        <v>9.9898914542031203E-3</v>
      </c>
      <c r="N33" s="17">
        <v>0</v>
      </c>
      <c r="O33" s="17">
        <v>0</v>
      </c>
      <c r="P33" s="17">
        <v>8.2029899913407187E-3</v>
      </c>
      <c r="Q33" s="17">
        <v>1.8192881445543839E-2</v>
      </c>
    </row>
    <row r="34" spans="10:17" x14ac:dyDescent="0.25">
      <c r="J34" s="8" t="s">
        <v>97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1.1207729938988557E-2</v>
      </c>
      <c r="Q34" s="17">
        <v>1.1207729938988557E-2</v>
      </c>
    </row>
    <row r="35" spans="10:17" x14ac:dyDescent="0.25">
      <c r="J35" s="8" t="s">
        <v>100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-6.2721850724175897E-3</v>
      </c>
      <c r="Q35" s="17">
        <v>-6.2721850724175897E-3</v>
      </c>
    </row>
    <row r="36" spans="10:17" x14ac:dyDescent="0.25">
      <c r="J36" s="8" t="s">
        <v>87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3.3851410181513796E-3</v>
      </c>
      <c r="Q36" s="17">
        <v>3.3851410181513796E-3</v>
      </c>
    </row>
    <row r="37" spans="10:17" x14ac:dyDescent="0.25">
      <c r="J37" s="8" t="s">
        <v>53</v>
      </c>
      <c r="K37" s="17">
        <v>0</v>
      </c>
      <c r="L37" s="17">
        <v>0</v>
      </c>
      <c r="M37" s="17">
        <v>9.9898914542031203E-3</v>
      </c>
      <c r="N37" s="17">
        <v>0</v>
      </c>
      <c r="O37" s="17">
        <v>0</v>
      </c>
      <c r="P37" s="17">
        <v>0</v>
      </c>
      <c r="Q37" s="17">
        <v>9.9898914542031203E-3</v>
      </c>
    </row>
    <row r="38" spans="10:17" x14ac:dyDescent="0.25">
      <c r="J38" s="8" t="s">
        <v>90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-1.1769589338162724E-4</v>
      </c>
      <c r="Q38" s="17">
        <v>-1.1769589338162724E-4</v>
      </c>
    </row>
    <row r="39" spans="10:17" x14ac:dyDescent="0.25">
      <c r="J39" s="5" t="s">
        <v>8</v>
      </c>
      <c r="K39" s="17">
        <v>0</v>
      </c>
      <c r="L39" s="17">
        <v>0</v>
      </c>
      <c r="M39" s="17">
        <v>0</v>
      </c>
      <c r="N39" s="17">
        <v>0</v>
      </c>
      <c r="O39" s="17">
        <v>-1.7958110511527868E-2</v>
      </c>
      <c r="P39" s="17">
        <v>0</v>
      </c>
      <c r="Q39" s="17">
        <v>-1.7958110511527868E-2</v>
      </c>
    </row>
    <row r="40" spans="10:17" x14ac:dyDescent="0.25">
      <c r="J40" s="8" t="s">
        <v>70</v>
      </c>
      <c r="K40" s="17">
        <v>0</v>
      </c>
      <c r="L40" s="17">
        <v>0</v>
      </c>
      <c r="M40" s="17">
        <v>0</v>
      </c>
      <c r="N40" s="17">
        <v>0</v>
      </c>
      <c r="O40" s="17">
        <v>-1.7958110511527868E-2</v>
      </c>
      <c r="P40" s="17">
        <v>0</v>
      </c>
      <c r="Q40" s="17">
        <v>-1.7958110511527868E-2</v>
      </c>
    </row>
    <row r="41" spans="10:17" x14ac:dyDescent="0.25">
      <c r="J41" s="4" t="s">
        <v>102</v>
      </c>
      <c r="K41" s="17">
        <v>0.34364182488431277</v>
      </c>
      <c r="L41" s="17">
        <v>0.18408154457798068</v>
      </c>
      <c r="M41" s="17">
        <v>6.4895045173715804E-2</v>
      </c>
      <c r="N41" s="17">
        <v>-0.33721779029660859</v>
      </c>
      <c r="O41" s="17">
        <v>-1.7958110511527868E-2</v>
      </c>
      <c r="P41" s="17">
        <v>-1.0995704913060437E-2</v>
      </c>
      <c r="Q41" s="17">
        <v>0.22644680891481248</v>
      </c>
    </row>
  </sheetData>
  <conditionalFormatting pivot="1" sqref="K14:Q4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doc</vt:lpstr>
      <vt:lpstr>config</vt:lpstr>
      <vt:lpstr>data</vt:lpstr>
      <vt:lpstr>stmt</vt:lpstr>
      <vt:lpstr>stmt_total_sales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Yu Wang</cp:lastModifiedBy>
  <dcterms:created xsi:type="dcterms:W3CDTF">2015-06-05T18:17:20Z</dcterms:created>
  <dcterms:modified xsi:type="dcterms:W3CDTF">2026-01-13T10:49:27Z</dcterms:modified>
</cp:coreProperties>
</file>