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5dba343eb289d6/Desktop/YuanJia/"/>
    </mc:Choice>
  </mc:AlternateContent>
  <xr:revisionPtr revIDLastSave="5" documentId="13_ncr:1_{2FAB432D-FD6B-4355-81CD-D470AF425EAF}" xr6:coauthVersionLast="47" xr6:coauthVersionMax="47" xr10:uidLastSave="{77CFF4A4-CB4A-4DD8-8C81-C57070F32D5A}"/>
  <bookViews>
    <workbookView xWindow="-60" yWindow="-16320" windowWidth="29040" windowHeight="16440" activeTab="1" xr2:uid="{04CAD51C-7388-4953-A4A8-BD5F52A08A19}"/>
  </bookViews>
  <sheets>
    <sheet name="config" sheetId="1" r:id="rId1"/>
    <sheet name="BS2025" sheetId="6" r:id="rId2"/>
    <sheet name="view" sheetId="7" r:id="rId3"/>
  </sheets>
  <definedNames>
    <definedName name="_xlnm._FilterDatabase" localSheetId="1" hidden="1">'BS2025'!$D$1:$E$1</definedName>
    <definedName name="_xlnm._FilterDatabase" localSheetId="0" hidden="1">config!$D$1:$D$14</definedName>
  </definedName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6" l="1"/>
  <c r="F4" i="6"/>
  <c r="F5" i="6"/>
  <c r="F6" i="6"/>
  <c r="F7" i="6"/>
  <c r="F8" i="6"/>
  <c r="F9" i="6"/>
  <c r="F10" i="6"/>
  <c r="F11" i="6"/>
  <c r="F12" i="6"/>
  <c r="F13" i="6"/>
  <c r="F14" i="6"/>
  <c r="F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tc={F118583F-0B1D-4C4D-8820-5E5CE9ACA618}</author>
    <author>tc={6F0C4B0A-DEC4-46AA-88D6-C48006671069}</author>
  </authors>
  <commentList>
    <comment ref="C8" authorId="0" shapeId="0" xr:uid="{F118583F-0B1D-4C4D-8820-5E5CE9ACA618}">
      <text>
        <t>[Threaded comment]
Your version of Excel allows you to read this threaded comment; however, any edits to it will get removed if the file is opened in a newer version of Excel. Learn more: https://go.microsoft.com/fwlink/?linkid=870924
Comment:
    可主张资产、坏账</t>
      </text>
    </comment>
    <comment ref="I12" authorId="1" shapeId="0" xr:uid="{6F0C4B0A-DEC4-46AA-88D6-C48006671069}">
      <text>
        <t>[Threaded comment]
Your version of Excel allows you to read this threaded comment; however, any edits to it will get removed if the file is opened in a newer version of Excel. Learn more: https://go.microsoft.com/fwlink/?linkid=870924
Comment:
    装修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tc={42504EF4-998E-44D7-8EC1-45FD9C516571}</author>
    <author>tc={0F1E7D7D-690D-419A-912C-6ED0182493FC}</author>
  </authors>
  <commentList>
    <comment ref="G6" authorId="0" shapeId="0" xr:uid="{42504EF4-998E-44D7-8EC1-45FD9C516571}">
      <text>
        <t>[Threaded comment]
Your version of Excel allows you to read this threaded comment; however, any edits to it will get removed if the file is opened in a newer version of Excel. Learn more: https://go.microsoft.com/fwlink/?linkid=870924
Comment:
    明月村21年9月开业；水街24年5月开业</t>
      </text>
    </comment>
    <comment ref="C8" authorId="1" shapeId="0" xr:uid="{0F1E7D7D-690D-419A-912C-6ED0182493FC}">
      <text>
        <t>[Threaded comment]
Your version of Excel allows you to read this threaded comment; however, any edits to it will get removed if the file is opened in a newer version of Excel. Learn more: https://go.microsoft.com/fwlink/?linkid=870924
Comment:
    可主张资产、坏账</t>
      </text>
    </comment>
  </commentList>
</comments>
</file>

<file path=xl/sharedStrings.xml><?xml version="1.0" encoding="utf-8"?>
<sst xmlns="http://schemas.openxmlformats.org/spreadsheetml/2006/main" count="224" uniqueCount="138">
  <si>
    <t>Acct</t>
    <phoneticPr fontId="2" type="noConversion"/>
  </si>
  <si>
    <t>Type</t>
    <phoneticPr fontId="2" type="noConversion"/>
  </si>
  <si>
    <t>AcctName</t>
    <phoneticPr fontId="2" type="noConversion"/>
  </si>
  <si>
    <t>Cash</t>
    <phoneticPr fontId="2" type="noConversion"/>
  </si>
  <si>
    <t>Assets</t>
    <phoneticPr fontId="2" type="noConversion"/>
  </si>
  <si>
    <t>Common</t>
    <phoneticPr fontId="2" type="noConversion"/>
  </si>
  <si>
    <t>股本</t>
    <phoneticPr fontId="2" type="noConversion"/>
  </si>
  <si>
    <t>Equity</t>
    <phoneticPr fontId="2" type="noConversion"/>
  </si>
  <si>
    <t>Note</t>
    <phoneticPr fontId="2" type="noConversion"/>
  </si>
  <si>
    <t>Liab</t>
    <phoneticPr fontId="2" type="noConversion"/>
  </si>
  <si>
    <t>AP</t>
    <phoneticPr fontId="2" type="noConversion"/>
  </si>
  <si>
    <t>Invt</t>
    <phoneticPr fontId="2" type="noConversion"/>
  </si>
  <si>
    <t>工资</t>
    <phoneticPr fontId="2" type="noConversion"/>
  </si>
  <si>
    <t>Loan</t>
    <phoneticPr fontId="2" type="noConversion"/>
  </si>
  <si>
    <t>贷款</t>
    <phoneticPr fontId="2" type="noConversion"/>
  </si>
  <si>
    <t>留存利润</t>
    <phoneticPr fontId="2" type="noConversion"/>
  </si>
  <si>
    <t>RE</t>
    <phoneticPr fontId="2" type="noConversion"/>
  </si>
  <si>
    <t>水街</t>
    <phoneticPr fontId="2" type="noConversion"/>
  </si>
  <si>
    <t>明月村</t>
    <phoneticPr fontId="2" type="noConversion"/>
  </si>
  <si>
    <t>AR</t>
    <phoneticPr fontId="2" type="noConversion"/>
  </si>
  <si>
    <t>应收账款</t>
    <phoneticPr fontId="2" type="noConversion"/>
  </si>
  <si>
    <t>存货</t>
    <phoneticPr fontId="2" type="noConversion"/>
  </si>
  <si>
    <t>预付账款</t>
    <phoneticPr fontId="2" type="noConversion"/>
  </si>
  <si>
    <t>Prepay</t>
    <phoneticPr fontId="2" type="noConversion"/>
  </si>
  <si>
    <t>PPE</t>
    <phoneticPr fontId="2" type="noConversion"/>
  </si>
  <si>
    <t>固定资产</t>
    <phoneticPr fontId="2" type="noConversion"/>
  </si>
  <si>
    <t>无形资产</t>
    <phoneticPr fontId="2" type="noConversion"/>
  </si>
  <si>
    <t>IA</t>
    <phoneticPr fontId="2" type="noConversion"/>
  </si>
  <si>
    <t>OR</t>
    <phoneticPr fontId="2" type="noConversion"/>
  </si>
  <si>
    <t>其他应收款</t>
    <phoneticPr fontId="2" type="noConversion"/>
  </si>
  <si>
    <t>应付账款</t>
    <phoneticPr fontId="2" type="noConversion"/>
  </si>
  <si>
    <t>资本公积</t>
    <phoneticPr fontId="2" type="noConversion"/>
  </si>
  <si>
    <t>CR</t>
    <phoneticPr fontId="2" type="noConversion"/>
  </si>
  <si>
    <t>Sub-Acct</t>
    <phoneticPr fontId="2" type="noConversion"/>
  </si>
  <si>
    <t>银行存款</t>
    <phoneticPr fontId="2" type="noConversion"/>
  </si>
  <si>
    <t>库存现金</t>
    <phoneticPr fontId="2" type="noConversion"/>
  </si>
  <si>
    <t>货币资金</t>
    <phoneticPr fontId="2" type="noConversion"/>
  </si>
  <si>
    <t>AcctCode</t>
    <phoneticPr fontId="2" type="noConversion"/>
  </si>
  <si>
    <t>内部应收</t>
    <phoneticPr fontId="2" type="noConversion"/>
  </si>
  <si>
    <t>外部应收</t>
    <phoneticPr fontId="2" type="noConversion"/>
  </si>
  <si>
    <t>定金</t>
    <phoneticPr fontId="2" type="noConversion"/>
  </si>
  <si>
    <t>预支员工款</t>
    <phoneticPr fontId="2" type="noConversion"/>
  </si>
  <si>
    <t>当期存货</t>
    <phoneticPr fontId="2" type="noConversion"/>
  </si>
  <si>
    <t>往期存货</t>
    <phoneticPr fontId="2" type="noConversion"/>
  </si>
  <si>
    <t>商标</t>
    <phoneticPr fontId="2" type="noConversion"/>
  </si>
  <si>
    <t>税</t>
    <phoneticPr fontId="2" type="noConversion"/>
  </si>
  <si>
    <t>货款</t>
    <phoneticPr fontId="2" type="noConversion"/>
  </si>
  <si>
    <t>AR_Int</t>
    <phoneticPr fontId="2" type="noConversion"/>
  </si>
  <si>
    <t>AR_Ext</t>
    <phoneticPr fontId="2" type="noConversion"/>
  </si>
  <si>
    <t>INV_Curr</t>
    <phoneticPr fontId="2" type="noConversion"/>
  </si>
  <si>
    <t>INV_Prior</t>
    <phoneticPr fontId="2" type="noConversion"/>
  </si>
  <si>
    <t>PPE_MYC</t>
    <phoneticPr fontId="2" type="noConversion"/>
  </si>
  <si>
    <t>PPE_SJ</t>
    <phoneticPr fontId="2" type="noConversion"/>
  </si>
  <si>
    <t>IA_TM</t>
    <phoneticPr fontId="2" type="noConversion"/>
  </si>
  <si>
    <t>AP_Salary</t>
    <phoneticPr fontId="2" type="noConversion"/>
  </si>
  <si>
    <t xml:space="preserve">AP_Tax </t>
    <phoneticPr fontId="2" type="noConversion"/>
  </si>
  <si>
    <t>AP_Goods</t>
    <phoneticPr fontId="2" type="noConversion"/>
  </si>
  <si>
    <t>Cash_on_Hand</t>
    <phoneticPr fontId="2" type="noConversion"/>
  </si>
  <si>
    <t>Cash_in_Bank</t>
    <phoneticPr fontId="2" type="noConversion"/>
  </si>
  <si>
    <t>Prepay_Expenses</t>
    <phoneticPr fontId="2" type="noConversion"/>
  </si>
  <si>
    <t>Prepay_Deposit</t>
    <phoneticPr fontId="2" type="noConversion"/>
  </si>
  <si>
    <t>Prepay_Employee</t>
    <phoneticPr fontId="2" type="noConversion"/>
  </si>
  <si>
    <t>预支费用</t>
    <phoneticPr fontId="2" type="noConversion"/>
  </si>
  <si>
    <t>LTEI</t>
    <phoneticPr fontId="2" type="noConversion"/>
  </si>
  <si>
    <t>长期股权投资</t>
    <phoneticPr fontId="2" type="noConversion"/>
  </si>
  <si>
    <t>AP_Int</t>
    <phoneticPr fontId="2" type="noConversion"/>
  </si>
  <si>
    <t>内部应付</t>
    <phoneticPr fontId="2" type="noConversion"/>
  </si>
  <si>
    <t>含预收至尊卡27万，住房券10万，水街充值余额5万</t>
    <phoneticPr fontId="2" type="noConversion"/>
  </si>
  <si>
    <t xml:space="preserve"> </t>
    <phoneticPr fontId="2" type="noConversion"/>
  </si>
  <si>
    <t>41个商标，代理费单价800</t>
    <phoneticPr fontId="2" type="noConversion"/>
  </si>
  <si>
    <t>登记的明月村修建原值24079061.7(应折旧5217130.035）、水街装修费6467900（已摊销1065602.4）；不含机器车辆</t>
    <phoneticPr fontId="2" type="noConversion"/>
  </si>
  <si>
    <t>行标签</t>
  </si>
  <si>
    <t>总计</t>
  </si>
  <si>
    <t>存货</t>
  </si>
  <si>
    <t>贷款</t>
  </si>
  <si>
    <t>股本</t>
  </si>
  <si>
    <t>固定资产</t>
  </si>
  <si>
    <t>货币资金</t>
  </si>
  <si>
    <t>留存利润</t>
  </si>
  <si>
    <t>其他应收款</t>
  </si>
  <si>
    <t>无形资产</t>
  </si>
  <si>
    <t>应付账款</t>
  </si>
  <si>
    <t>应收账款</t>
  </si>
  <si>
    <t>预付账款</t>
  </si>
  <si>
    <t>长期股权投资</t>
  </si>
  <si>
    <t>资本公积</t>
  </si>
  <si>
    <t>列标签</t>
  </si>
  <si>
    <t>Assets</t>
  </si>
  <si>
    <t>Equity</t>
  </si>
  <si>
    <t>Liab</t>
  </si>
  <si>
    <t>Lv0</t>
    <phoneticPr fontId="2" type="noConversion"/>
  </si>
  <si>
    <t>Bal</t>
    <phoneticPr fontId="2" type="noConversion"/>
  </si>
  <si>
    <t>乐于斯幼儿园200万，低苦艾10万</t>
    <phoneticPr fontId="2" type="noConversion"/>
  </si>
  <si>
    <t>远家花园</t>
    <phoneticPr fontId="2" type="noConversion"/>
  </si>
  <si>
    <t>喜家文化</t>
    <phoneticPr fontId="2" type="noConversion"/>
  </si>
  <si>
    <t>米小易</t>
    <phoneticPr fontId="2" type="noConversion"/>
  </si>
  <si>
    <t>远家文化</t>
    <phoneticPr fontId="2" type="noConversion"/>
  </si>
  <si>
    <t>远家文化蒲江分公司</t>
    <phoneticPr fontId="2" type="noConversion"/>
  </si>
  <si>
    <t>远家花园高新分公司</t>
    <phoneticPr fontId="2" type="noConversion"/>
  </si>
  <si>
    <t>榆乐</t>
    <phoneticPr fontId="2" type="noConversion"/>
  </si>
  <si>
    <t>桑木</t>
    <phoneticPr fontId="2" type="noConversion"/>
  </si>
  <si>
    <t>染匠文化</t>
    <phoneticPr fontId="2" type="noConversion"/>
  </si>
  <si>
    <t>张小喜</t>
    <phoneticPr fontId="2" type="noConversion"/>
  </si>
  <si>
    <t>小月号</t>
    <phoneticPr fontId="2" type="noConversion"/>
  </si>
  <si>
    <t>王洳琦</t>
    <phoneticPr fontId="2" type="noConversion"/>
  </si>
  <si>
    <t>淘宝</t>
    <phoneticPr fontId="2" type="noConversion"/>
  </si>
  <si>
    <t>水街活动</t>
    <phoneticPr fontId="2" type="noConversion"/>
  </si>
  <si>
    <t>水街服装</t>
    <phoneticPr fontId="2" type="noConversion"/>
  </si>
  <si>
    <t>水街餐饮</t>
    <phoneticPr fontId="2" type="noConversion"/>
  </si>
  <si>
    <t>明月村客房餐饮</t>
    <phoneticPr fontId="2" type="noConversion"/>
  </si>
  <si>
    <t>明月村小程序</t>
    <phoneticPr fontId="2" type="noConversion"/>
  </si>
  <si>
    <t>驻色染色</t>
    <phoneticPr fontId="2" type="noConversion"/>
  </si>
  <si>
    <t>明月村服装</t>
    <phoneticPr fontId="2" type="noConversion"/>
  </si>
  <si>
    <t>明月村杂项</t>
    <phoneticPr fontId="2" type="noConversion"/>
  </si>
  <si>
    <t>创业园杂项</t>
    <phoneticPr fontId="2" type="noConversion"/>
  </si>
  <si>
    <t>Code</t>
    <phoneticPr fontId="2" type="noConversion"/>
  </si>
  <si>
    <t>Name</t>
    <phoneticPr fontId="2" type="noConversion"/>
  </si>
  <si>
    <t>HY</t>
    <phoneticPr fontId="2" type="noConversion"/>
  </si>
  <si>
    <t>GX</t>
    <phoneticPr fontId="2" type="noConversion"/>
  </si>
  <si>
    <t>XJ</t>
    <phoneticPr fontId="2" type="noConversion"/>
  </si>
  <si>
    <t>MXY</t>
    <phoneticPr fontId="2" type="noConversion"/>
  </si>
  <si>
    <t>YWH</t>
    <phoneticPr fontId="2" type="noConversion"/>
  </si>
  <si>
    <t>PJ</t>
    <phoneticPr fontId="2" type="noConversion"/>
  </si>
  <si>
    <t>RJ</t>
    <phoneticPr fontId="2" type="noConversion"/>
  </si>
  <si>
    <t>YL</t>
    <phoneticPr fontId="2" type="noConversion"/>
  </si>
  <si>
    <t>SM</t>
    <phoneticPr fontId="2" type="noConversion"/>
  </si>
  <si>
    <t>ZXX</t>
    <phoneticPr fontId="2" type="noConversion"/>
  </si>
  <si>
    <t>WRQ</t>
    <phoneticPr fontId="2" type="noConversion"/>
  </si>
  <si>
    <t>XY</t>
    <phoneticPr fontId="2" type="noConversion"/>
  </si>
  <si>
    <t>实体</t>
    <phoneticPr fontId="2" type="noConversion"/>
  </si>
  <si>
    <t>代持</t>
    <phoneticPr fontId="2" type="noConversion"/>
  </si>
  <si>
    <t>合作实体收款；为远家花园提供成本发票</t>
    <phoneticPr fontId="2" type="noConversion"/>
  </si>
  <si>
    <t>已收购，为远家花园提供成本发票</t>
    <phoneticPr fontId="2" type="noConversion"/>
  </si>
  <si>
    <r>
      <t>米小易图书和明月村低耗，远家花园库存9.2万件，</t>
    </r>
    <r>
      <rPr>
        <sz val="11"/>
        <color rgb="FFFF0000"/>
        <rFont val="Calibri"/>
        <family val="3"/>
        <charset val="134"/>
        <scheme val="minor"/>
      </rPr>
      <t>成本约1000万（当期？）</t>
    </r>
    <phoneticPr fontId="2" type="noConversion"/>
  </si>
  <si>
    <t>求和项:Bal</t>
  </si>
  <si>
    <t>郑术燕</t>
    <phoneticPr fontId="2" type="noConversion"/>
  </si>
  <si>
    <t>明月村采购</t>
    <phoneticPr fontId="2" type="noConversion"/>
  </si>
  <si>
    <t>ZSY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</si>
</sst>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7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9"/>
      <color rgb="FF000000"/>
      <name val="新宋体"/>
      <family val="3"/>
      <charset val="134"/>
    </font>
    <font>
      <sz val="11"/>
      <color rgb="FFFF0000"/>
      <name val="Calibri"/>
      <family val="3"/>
      <charset val="134"/>
      <scheme val="minor"/>
    </font>
    <font>
      <sz val="11"/>
      <color rgb="FFFF0000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0"/>
        <bgColor theme="6"/>
      </patternFill>
    </fill>
  </fills>
  <borders count="4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 tint="0.39997558519241921"/>
      </left>
      <right/>
      <top/>
      <bottom style="thin">
        <color theme="6" tint="0.39997558519241921"/>
      </bottom>
      <diagonal/>
    </border>
  </borders>
  <cellStyleXfs count="3">
    <xf numFmtId="0" fontId="0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4" fillId="0" borderId="2" applyNumberFormat="0" applyFill="0" applyProtection="0">
      <alignment horizontal="left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3" xfId="0" applyFont="1" applyFill="1" applyBorder="1">
      <alignment vertical="center"/>
    </xf>
    <xf numFmtId="164" fontId="0" fillId="0" borderId="0" xfId="1" applyFont="1" applyAlignment="1">
      <alignment horizontal="center" vertical="center"/>
    </xf>
    <xf numFmtId="164" fontId="0" fillId="0" borderId="0" xfId="0" applyNumberFormat="1">
      <alignment vertical="center"/>
    </xf>
    <xf numFmtId="0" fontId="0" fillId="0" borderId="0" xfId="0" applyAlignment="1">
      <alignment horizontal="left" vertical="center" shrinkToFit="1"/>
    </xf>
    <xf numFmtId="0" fontId="0" fillId="0" borderId="0" xfId="0" pivotButton="1">
      <alignment vertical="center"/>
    </xf>
    <xf numFmtId="164" fontId="6" fillId="0" borderId="0" xfId="1" applyFont="1" applyAlignment="1">
      <alignment horizontal="center" vertical="center"/>
    </xf>
  </cellXfs>
  <cellStyles count="3">
    <cellStyle name="accountCodeD" xfId="2" xr:uid="{4E1946C5-EAB7-44DF-AF19-44DA642ACE66}"/>
    <cellStyle name="Comma" xfId="1" builtinId="3"/>
    <cellStyle name="Normal" xfId="0" builtinId="0"/>
  </cellStyles>
  <dxfs count="19"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charset val="134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 outline="0">
        <top style="thin">
          <color theme="6" tint="0.39997558519241921"/>
        </top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等线"/>
        <family val="2"/>
        <charset val="134"/>
        <scheme val="minor"/>
      </font>
      <fill>
        <patternFill patternType="solid">
          <fgColor theme="6"/>
          <bgColor theme="6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6" tint="0.39997558519241921"/>
        </left>
        <right style="thin">
          <color theme="6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charset val="134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charset val="134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二毛 邓" id="{ECEF63A4-2F7C-4AB2-A1C1-78810469D6F5}" userId="7a206d0ca3328fad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邓二毛" refreshedDate="46044.649810532406" createdVersion="8" refreshedVersion="8" minRefreshableVersion="3" recordCount="13" xr:uid="{75E47EFC-784D-49F4-8BB0-DF6268CB0EEB}">
  <cacheSource type="worksheet">
    <worksheetSource name="config_BS9"/>
  </cacheSource>
  <cacheFields count="7">
    <cacheField name="Type" numFmtId="0">
      <sharedItems count="3">
        <s v="Assets"/>
        <s v="Liab"/>
        <s v="Equity"/>
      </sharedItems>
    </cacheField>
    <cacheField name="Acct" numFmtId="0">
      <sharedItems/>
    </cacheField>
    <cacheField name="AcctName" numFmtId="0">
      <sharedItems count="13">
        <s v="货币资金"/>
        <s v="应收账款"/>
        <s v="预付账款"/>
        <s v="存货"/>
        <s v="固定资产"/>
        <s v="无形资产"/>
        <s v="其他应收款"/>
        <s v="长期股权投资"/>
        <s v="应付账款"/>
        <s v="贷款"/>
        <s v="股本"/>
        <s v="资本公积"/>
        <s v="留存利润"/>
      </sharedItems>
    </cacheField>
    <cacheField name="AcctCode" numFmtId="0">
      <sharedItems containsSemiMixedTypes="0" containsString="0" containsNumber="1" containsInteger="1" minValue="1001" maxValue="3104"/>
    </cacheField>
    <cacheField name="Bal" numFmtId="164">
      <sharedItems containsString="0" containsBlank="1" containsNumber="1" minValue="32800" maxValue="25036191"/>
    </cacheField>
    <cacheField name="Lv0" numFmtId="164">
      <sharedItems/>
    </cacheField>
    <cacheField name="No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s v="Cash"/>
    <x v="0"/>
    <n v="1001"/>
    <n v="11026122.639999999"/>
    <s v="A"/>
    <m/>
  </r>
  <r>
    <x v="0"/>
    <s v="AR"/>
    <x v="1"/>
    <n v="1122"/>
    <n v="497776.87999999995"/>
    <s v="A"/>
    <m/>
  </r>
  <r>
    <x v="0"/>
    <s v="Prepay"/>
    <x v="2"/>
    <n v="1123"/>
    <n v="318808.92"/>
    <s v="A"/>
    <m/>
  </r>
  <r>
    <x v="0"/>
    <s v="Invt"/>
    <x v="3"/>
    <n v="1405"/>
    <n v="10948328.32"/>
    <s v="A"/>
    <s v="米小易图书和明月村低耗，远家花园库存9.2万件，成本约1000万（当期？）"/>
  </r>
  <r>
    <x v="0"/>
    <s v="PPE"/>
    <x v="4"/>
    <n v="1601"/>
    <n v="24264229.264999997"/>
    <s v="A"/>
    <s v="登记的明月村修建原值24079061.7(应折旧5217130.035）、水街装修费6467900（已摊销1065602.4）；不含机器车辆"/>
  </r>
  <r>
    <x v="0"/>
    <s v="IA"/>
    <x v="5"/>
    <n v="1701"/>
    <n v="32800"/>
    <s v="A"/>
    <s v="41个商标，代理费单价800"/>
  </r>
  <r>
    <x v="0"/>
    <s v="OR"/>
    <x v="6"/>
    <n v="1221"/>
    <m/>
    <s v="A"/>
    <m/>
  </r>
  <r>
    <x v="0"/>
    <s v="LTEI"/>
    <x v="7"/>
    <n v="1511"/>
    <n v="2100000"/>
    <s v="A"/>
    <s v="乐于斯幼儿园200万，低苦艾10万"/>
  </r>
  <r>
    <x v="1"/>
    <s v="AP"/>
    <x v="8"/>
    <n v="2202"/>
    <n v="2059673.3900000001"/>
    <s v="LC"/>
    <s v="含预收至尊卡27万，住房券10万，水街充值余额5万"/>
  </r>
  <r>
    <x v="1"/>
    <s v="Loan"/>
    <x v="9"/>
    <n v="2001"/>
    <n v="14402045"/>
    <s v="LC"/>
    <m/>
  </r>
  <r>
    <x v="2"/>
    <s v="Common"/>
    <x v="10"/>
    <n v="3001"/>
    <n v="25036191"/>
    <s v="LC"/>
    <m/>
  </r>
  <r>
    <x v="2"/>
    <s v="CR"/>
    <x v="11"/>
    <n v="3002"/>
    <m/>
    <s v="LC"/>
    <m/>
  </r>
  <r>
    <x v="2"/>
    <s v="RE"/>
    <x v="12"/>
    <n v="3104"/>
    <n v="7690156.6349999905"/>
    <s v="LC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DC4526-4F32-4108-9315-9800352FCE53}" name="数据透视表1" cacheId="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1:E16" firstHeaderRow="1" firstDataRow="2" firstDataCol="1"/>
  <pivotFields count="7">
    <pivotField axis="axisCol" showAll="0">
      <items count="4">
        <item x="0"/>
        <item x="2"/>
        <item x="1"/>
        <item t="default"/>
      </items>
    </pivotField>
    <pivotField showAll="0"/>
    <pivotField axis="axisRow" showAll="0">
      <items count="14">
        <item x="3"/>
        <item x="9"/>
        <item x="10"/>
        <item x="4"/>
        <item x="0"/>
        <item x="12"/>
        <item x="6"/>
        <item x="5"/>
        <item x="8"/>
        <item x="1"/>
        <item x="2"/>
        <item x="7"/>
        <item x="11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求和项:Bal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67050E-FD80-4114-AFF0-18C78CC053A3}" name="config_BS" displayName="config_BS" ref="A1:D14" totalsRowShown="0">
  <autoFilter ref="A1:D14" xr:uid="{3767050E-FD80-4114-AFF0-18C78CC053A3}"/>
  <tableColumns count="4">
    <tableColumn id="2" xr3:uid="{4E9428A0-2916-48D4-919E-40EA1FA3B940}" name="Type"/>
    <tableColumn id="1" xr3:uid="{1C2BDBD0-ED5E-4B29-BEAD-4979ED6D37EA}" name="Acct"/>
    <tableColumn id="4" xr3:uid="{590B945C-34E0-4AF7-AEDB-C5268519D9A5}" name="AcctName" dataDxfId="18"/>
    <tableColumn id="3" xr3:uid="{339B2344-FC56-40BB-847E-98D3E9D4363A}" name="AcctCode" dataDxfId="17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3AB71DE-5AE3-4A3C-9664-4C3FFE23F9AA}" name="表6" displayName="表6" ref="G1:J17" totalsRowShown="0" headerRowDxfId="16" dataDxfId="14" headerRowBorderDxfId="15" tableBorderDxfId="13">
  <autoFilter ref="G1:J17" xr:uid="{73AB71DE-5AE3-4A3C-9664-4C3FFE23F9AA}"/>
  <tableColumns count="4">
    <tableColumn id="1" xr3:uid="{CE9C4D4B-AFF0-4B25-B69E-8B39FA7FD17D}" name="Type" dataDxfId="12"/>
    <tableColumn id="2" xr3:uid="{A4499407-F88A-4AEF-9FA2-866FCF2AA876}" name="Sub-Acct" dataDxfId="11"/>
    <tableColumn id="3" xr3:uid="{15DAFB72-2C49-4F70-B290-791C4B085078}" name="AcctName" dataDxfId="10"/>
    <tableColumn id="4" xr3:uid="{A09D884E-E57E-45AC-9BBC-2EADFE0D6CD2}" name="AcctCode" dataDxfId="9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EB16C4-5EBC-465C-AD56-77FFB6EC21F7}" name="表3" displayName="表3" ref="M1:P14" totalsRowShown="0">
  <autoFilter ref="M1:P14" xr:uid="{59EB16C4-5EBC-465C-AD56-77FFB6EC21F7}"/>
  <sortState xmlns:xlrd2="http://schemas.microsoft.com/office/spreadsheetml/2017/richdata2" ref="M2:P13">
    <sortCondition descending="1" ref="N1:N13"/>
  </sortState>
  <tableColumns count="4">
    <tableColumn id="1" xr3:uid="{22C6906C-C482-4607-BCC3-4A753C31D5EC}" name="Code"/>
    <tableColumn id="2" xr3:uid="{805D151A-7158-4282-9BB0-8DD280D9042A}" name="Type"/>
    <tableColumn id="3" xr3:uid="{832CC253-C2D7-46BE-ACA1-2B632A940144}" name="Name"/>
    <tableColumn id="4" xr3:uid="{3CCF8ED4-6824-4D3D-9732-B8106436D97F}" name="Note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766053F-C708-4991-89FA-3A64F8065AC0}" name="config_BS9" displayName="config_BS9" ref="A1:G14" totalsRowShown="0" headerRowDxfId="8" dataDxfId="7">
  <autoFilter ref="A1:G14" xr:uid="{9766053F-C708-4991-89FA-3A64F8065AC0}"/>
  <tableColumns count="7">
    <tableColumn id="2" xr3:uid="{1A8B569A-E7C4-4EDA-B464-9622138E736C}" name="Type" dataDxfId="6"/>
    <tableColumn id="1" xr3:uid="{88485916-62A9-45AE-897F-461026AFC430}" name="Acct" dataDxfId="5"/>
    <tableColumn id="5" xr3:uid="{18FFAD64-7FE6-4D26-9FC9-3E49823E6219}" name="AcctName" dataDxfId="4"/>
    <tableColumn id="4" xr3:uid="{C278154B-BAF5-4A29-8D5A-E4379E787900}" name="AcctCode" dataDxfId="3"/>
    <tableColumn id="3" xr3:uid="{36CD7D75-5F29-44DF-A7B3-EB4D33E3281A}" name="Bal" dataDxfId="2"/>
    <tableColumn id="7" xr3:uid="{2852157C-8C07-4B8B-B0C8-FD86DC572D0E}" name="Lv0" dataDxfId="1">
      <calculatedColumnFormula>IF(config_BS9[[#This Row],[Type]]="Assets", "A", "LC")</calculatedColumnFormula>
    </tableColumn>
    <tableColumn id="6" xr3:uid="{DF54BB25-DA45-4220-9638-5DCD757BB378}" name="Not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8" dT="2026-01-21T02:32:12.62" personId="{ECEF63A4-2F7C-4AB2-A1C1-78810469D6F5}" id="{F118583F-0B1D-4C4D-8820-5E5CE9ACA618}" done="1">
    <text>可主张资产、坏账</text>
  </threadedComment>
  <threadedComment ref="I12" dT="2026-01-21T02:44:35.50" personId="{ECEF63A4-2F7C-4AB2-A1C1-78810469D6F5}" id="{6F0C4B0A-DEC4-46AA-88D6-C48006671069}">
    <text>装修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6" dT="2026-01-22T02:54:49.24" personId="{ECEF63A4-2F7C-4AB2-A1C1-78810469D6F5}" id="{42504EF4-998E-44D7-8EC1-45FD9C516571}">
    <text>明月村21年9月开业；水街24年5月开业</text>
  </threadedComment>
  <threadedComment ref="C8" dT="2026-01-21T02:32:12.62" personId="{ECEF63A4-2F7C-4AB2-A1C1-78810469D6F5}" id="{0F1E7D7D-690D-419A-912C-6ED0182493FC}" done="1">
    <text>可主张资产、坏账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E19E6-A2B8-4E58-A734-C5416486F237}">
  <sheetPr codeName="Sheet1"/>
  <dimension ref="A1:P17"/>
  <sheetViews>
    <sheetView workbookViewId="0">
      <selection activeCell="O23" sqref="O23"/>
    </sheetView>
  </sheetViews>
  <sheetFormatPr defaultRowHeight="15"/>
  <cols>
    <col min="1" max="1" width="10.42578125" bestFit="1" customWidth="1"/>
    <col min="3" max="3" width="14.7109375" customWidth="1"/>
    <col min="4" max="4" width="9" customWidth="1"/>
    <col min="5" max="5" width="10.85546875" customWidth="1"/>
    <col min="6" max="6" width="12" style="1" customWidth="1"/>
    <col min="7" max="7" width="6.28515625" customWidth="1"/>
    <col min="8" max="8" width="11.28515625" customWidth="1"/>
    <col min="9" max="9" width="10.7109375" customWidth="1"/>
    <col min="10" max="10" width="8.7109375" customWidth="1"/>
    <col min="11" max="11" width="9.85546875" customWidth="1"/>
    <col min="13" max="14" width="10.28515625" customWidth="1"/>
    <col min="15" max="15" width="20.5703125" bestFit="1" customWidth="1"/>
    <col min="16" max="16" width="43.85546875" customWidth="1"/>
  </cols>
  <sheetData>
    <row r="1" spans="1:16">
      <c r="A1" s="1" t="s">
        <v>1</v>
      </c>
      <c r="B1" s="1" t="s">
        <v>0</v>
      </c>
      <c r="C1" s="1" t="s">
        <v>2</v>
      </c>
      <c r="D1" s="1" t="s">
        <v>37</v>
      </c>
      <c r="F1" s="3"/>
      <c r="G1" s="4" t="s">
        <v>1</v>
      </c>
      <c r="H1" s="4" t="s">
        <v>33</v>
      </c>
      <c r="I1" s="4" t="s">
        <v>2</v>
      </c>
      <c r="J1" s="4" t="s">
        <v>37</v>
      </c>
      <c r="M1" t="s">
        <v>115</v>
      </c>
      <c r="N1" t="s">
        <v>1</v>
      </c>
      <c r="O1" t="s">
        <v>116</v>
      </c>
      <c r="P1" t="s">
        <v>8</v>
      </c>
    </row>
    <row r="2" spans="1:16">
      <c r="A2" t="s">
        <v>4</v>
      </c>
      <c r="B2" t="s">
        <v>3</v>
      </c>
      <c r="C2" t="s">
        <v>36</v>
      </c>
      <c r="D2">
        <v>1001</v>
      </c>
      <c r="G2" t="s">
        <v>4</v>
      </c>
      <c r="H2" t="s">
        <v>57</v>
      </c>
      <c r="I2" t="s">
        <v>35</v>
      </c>
      <c r="J2">
        <v>100101</v>
      </c>
      <c r="M2" t="s">
        <v>117</v>
      </c>
      <c r="N2" t="s">
        <v>129</v>
      </c>
      <c r="O2" t="s">
        <v>93</v>
      </c>
      <c r="P2" t="s">
        <v>105</v>
      </c>
    </row>
    <row r="3" spans="1:16">
      <c r="A3" t="s">
        <v>4</v>
      </c>
      <c r="B3" t="s">
        <v>19</v>
      </c>
      <c r="C3" t="s">
        <v>20</v>
      </c>
      <c r="D3">
        <v>1122</v>
      </c>
      <c r="G3" t="s">
        <v>4</v>
      </c>
      <c r="H3" t="s">
        <v>58</v>
      </c>
      <c r="I3" t="s">
        <v>34</v>
      </c>
      <c r="J3">
        <v>100102</v>
      </c>
      <c r="M3" t="s">
        <v>118</v>
      </c>
      <c r="N3" t="s">
        <v>129</v>
      </c>
      <c r="O3" t="s">
        <v>98</v>
      </c>
      <c r="P3" t="s">
        <v>106</v>
      </c>
    </row>
    <row r="4" spans="1:16">
      <c r="A4" t="s">
        <v>4</v>
      </c>
      <c r="B4" t="s">
        <v>23</v>
      </c>
      <c r="C4" t="s">
        <v>22</v>
      </c>
      <c r="D4">
        <v>1123</v>
      </c>
      <c r="G4" t="s">
        <v>4</v>
      </c>
      <c r="H4" t="s">
        <v>47</v>
      </c>
      <c r="I4" t="s">
        <v>38</v>
      </c>
      <c r="J4">
        <v>112201</v>
      </c>
      <c r="M4" t="s">
        <v>119</v>
      </c>
      <c r="N4" t="s">
        <v>129</v>
      </c>
      <c r="O4" t="s">
        <v>94</v>
      </c>
      <c r="P4" t="s">
        <v>107</v>
      </c>
    </row>
    <row r="5" spans="1:16">
      <c r="A5" t="s">
        <v>4</v>
      </c>
      <c r="B5" t="s">
        <v>11</v>
      </c>
      <c r="C5" t="s">
        <v>21</v>
      </c>
      <c r="D5">
        <v>1405</v>
      </c>
      <c r="G5" t="s">
        <v>4</v>
      </c>
      <c r="H5" t="s">
        <v>48</v>
      </c>
      <c r="I5" t="s">
        <v>39</v>
      </c>
      <c r="J5">
        <v>112202</v>
      </c>
      <c r="M5" t="s">
        <v>120</v>
      </c>
      <c r="N5" t="s">
        <v>129</v>
      </c>
      <c r="O5" t="s">
        <v>95</v>
      </c>
      <c r="P5" t="s">
        <v>108</v>
      </c>
    </row>
    <row r="6" spans="1:16">
      <c r="A6" t="s">
        <v>4</v>
      </c>
      <c r="B6" t="s">
        <v>24</v>
      </c>
      <c r="C6" t="s">
        <v>25</v>
      </c>
      <c r="D6">
        <v>1601</v>
      </c>
      <c r="G6" t="s">
        <v>4</v>
      </c>
      <c r="H6" t="s">
        <v>60</v>
      </c>
      <c r="I6" t="s">
        <v>40</v>
      </c>
      <c r="J6">
        <v>112301</v>
      </c>
      <c r="M6" t="s">
        <v>121</v>
      </c>
      <c r="N6" t="s">
        <v>129</v>
      </c>
      <c r="O6" t="s">
        <v>96</v>
      </c>
      <c r="P6" t="s">
        <v>109</v>
      </c>
    </row>
    <row r="7" spans="1:16">
      <c r="A7" t="s">
        <v>4</v>
      </c>
      <c r="B7" t="s">
        <v>27</v>
      </c>
      <c r="C7" t="s">
        <v>26</v>
      </c>
      <c r="D7">
        <v>1701</v>
      </c>
      <c r="G7" t="s">
        <v>4</v>
      </c>
      <c r="H7" t="s">
        <v>59</v>
      </c>
      <c r="I7" t="s">
        <v>62</v>
      </c>
      <c r="J7">
        <v>112302</v>
      </c>
      <c r="M7" t="s">
        <v>122</v>
      </c>
      <c r="N7" t="s">
        <v>129</v>
      </c>
      <c r="O7" t="s">
        <v>97</v>
      </c>
      <c r="P7" t="s">
        <v>110</v>
      </c>
    </row>
    <row r="8" spans="1:16">
      <c r="A8" t="s">
        <v>4</v>
      </c>
      <c r="B8" t="s">
        <v>28</v>
      </c>
      <c r="C8" t="s">
        <v>29</v>
      </c>
      <c r="D8">
        <v>1221</v>
      </c>
      <c r="G8" t="s">
        <v>4</v>
      </c>
      <c r="H8" t="s">
        <v>61</v>
      </c>
      <c r="I8" t="s">
        <v>41</v>
      </c>
      <c r="J8">
        <v>112303</v>
      </c>
      <c r="M8" t="s">
        <v>124</v>
      </c>
      <c r="N8" t="s">
        <v>129</v>
      </c>
      <c r="O8" t="s">
        <v>99</v>
      </c>
      <c r="P8" t="s">
        <v>132</v>
      </c>
    </row>
    <row r="9" spans="1:16">
      <c r="A9" t="s">
        <v>4</v>
      </c>
      <c r="B9" t="s">
        <v>63</v>
      </c>
      <c r="C9" t="s">
        <v>64</v>
      </c>
      <c r="D9">
        <v>1511</v>
      </c>
      <c r="G9" t="s">
        <v>4</v>
      </c>
      <c r="H9" t="s">
        <v>49</v>
      </c>
      <c r="I9" t="s">
        <v>42</v>
      </c>
      <c r="J9">
        <v>140501</v>
      </c>
      <c r="M9" t="s">
        <v>123</v>
      </c>
      <c r="N9" t="s">
        <v>130</v>
      </c>
      <c r="O9" t="s">
        <v>101</v>
      </c>
      <c r="P9" t="s">
        <v>111</v>
      </c>
    </row>
    <row r="10" spans="1:16">
      <c r="A10" t="s">
        <v>9</v>
      </c>
      <c r="B10" t="s">
        <v>10</v>
      </c>
      <c r="C10" t="s">
        <v>30</v>
      </c>
      <c r="D10">
        <v>2202</v>
      </c>
      <c r="G10" t="s">
        <v>4</v>
      </c>
      <c r="H10" t="s">
        <v>50</v>
      </c>
      <c r="I10" t="s">
        <v>43</v>
      </c>
      <c r="J10">
        <v>140502</v>
      </c>
      <c r="M10" t="s">
        <v>125</v>
      </c>
      <c r="N10" t="s">
        <v>130</v>
      </c>
      <c r="O10" t="s">
        <v>100</v>
      </c>
      <c r="P10" t="s">
        <v>131</v>
      </c>
    </row>
    <row r="11" spans="1:16">
      <c r="A11" t="s">
        <v>9</v>
      </c>
      <c r="B11" t="s">
        <v>13</v>
      </c>
      <c r="C11" t="s">
        <v>14</v>
      </c>
      <c r="D11">
        <v>2001</v>
      </c>
      <c r="G11" t="s">
        <v>4</v>
      </c>
      <c r="H11" t="s">
        <v>51</v>
      </c>
      <c r="I11" t="s">
        <v>18</v>
      </c>
      <c r="J11">
        <v>160101</v>
      </c>
      <c r="M11" t="s">
        <v>126</v>
      </c>
      <c r="N11" t="s">
        <v>130</v>
      </c>
      <c r="O11" t="s">
        <v>102</v>
      </c>
      <c r="P11" t="s">
        <v>112</v>
      </c>
    </row>
    <row r="12" spans="1:16">
      <c r="A12" t="s">
        <v>7</v>
      </c>
      <c r="B12" t="s">
        <v>5</v>
      </c>
      <c r="C12" t="s">
        <v>6</v>
      </c>
      <c r="D12">
        <v>3001</v>
      </c>
      <c r="G12" t="s">
        <v>4</v>
      </c>
      <c r="H12" t="s">
        <v>52</v>
      </c>
      <c r="I12" t="s">
        <v>17</v>
      </c>
      <c r="J12">
        <v>160102</v>
      </c>
      <c r="M12" t="s">
        <v>128</v>
      </c>
      <c r="N12" t="s">
        <v>130</v>
      </c>
      <c r="O12" t="s">
        <v>103</v>
      </c>
      <c r="P12" t="s">
        <v>113</v>
      </c>
    </row>
    <row r="13" spans="1:16">
      <c r="A13" t="s">
        <v>7</v>
      </c>
      <c r="B13" t="s">
        <v>32</v>
      </c>
      <c r="C13" t="s">
        <v>31</v>
      </c>
      <c r="D13">
        <v>3002</v>
      </c>
      <c r="G13" t="s">
        <v>4</v>
      </c>
      <c r="H13" t="s">
        <v>53</v>
      </c>
      <c r="I13" t="s">
        <v>44</v>
      </c>
      <c r="J13">
        <v>170101</v>
      </c>
      <c r="M13" t="s">
        <v>127</v>
      </c>
      <c r="N13" t="s">
        <v>130</v>
      </c>
      <c r="O13" t="s">
        <v>104</v>
      </c>
      <c r="P13" t="s">
        <v>114</v>
      </c>
    </row>
    <row r="14" spans="1:16">
      <c r="A14" t="s">
        <v>7</v>
      </c>
      <c r="B14" t="s">
        <v>16</v>
      </c>
      <c r="C14" t="s">
        <v>15</v>
      </c>
      <c r="D14">
        <v>3104</v>
      </c>
      <c r="G14" t="s">
        <v>9</v>
      </c>
      <c r="H14" t="s">
        <v>54</v>
      </c>
      <c r="I14" t="s">
        <v>12</v>
      </c>
      <c r="J14">
        <v>220201</v>
      </c>
      <c r="M14" t="s">
        <v>137</v>
      </c>
      <c r="N14" t="s">
        <v>130</v>
      </c>
      <c r="O14" t="s">
        <v>135</v>
      </c>
      <c r="P14" t="s">
        <v>136</v>
      </c>
    </row>
    <row r="15" spans="1:16">
      <c r="G15" t="s">
        <v>9</v>
      </c>
      <c r="H15" t="s">
        <v>55</v>
      </c>
      <c r="I15" t="s">
        <v>45</v>
      </c>
      <c r="J15">
        <v>220202</v>
      </c>
    </row>
    <row r="16" spans="1:16">
      <c r="G16" t="s">
        <v>9</v>
      </c>
      <c r="H16" t="s">
        <v>56</v>
      </c>
      <c r="I16" t="s">
        <v>46</v>
      </c>
      <c r="J16">
        <v>220203</v>
      </c>
    </row>
    <row r="17" spans="7:10">
      <c r="G17" t="s">
        <v>9</v>
      </c>
      <c r="H17" t="s">
        <v>65</v>
      </c>
      <c r="I17" t="s">
        <v>66</v>
      </c>
      <c r="J17">
        <v>220204</v>
      </c>
    </row>
  </sheetData>
  <phoneticPr fontId="2" type="noConversion"/>
  <pageMargins left="0.7" right="0.7" top="0.75" bottom="0.75" header="0.3" footer="0.3"/>
  <legacy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28B1D-4EE6-4DCC-9FD8-D11802DBD069}">
  <sheetPr codeName="Sheet2"/>
  <dimension ref="A1:L20"/>
  <sheetViews>
    <sheetView tabSelected="1" workbookViewId="0">
      <selection activeCell="G6" sqref="G6"/>
    </sheetView>
  </sheetViews>
  <sheetFormatPr defaultRowHeight="15"/>
  <cols>
    <col min="3" max="3" width="13.28515625" customWidth="1"/>
    <col min="4" max="4" width="14.7109375" style="1" bestFit="1" customWidth="1"/>
    <col min="5" max="6" width="14.42578125" customWidth="1"/>
    <col min="7" max="7" width="78.140625" style="2" customWidth="1"/>
    <col min="9" max="9" width="11.7109375" bestFit="1" customWidth="1"/>
    <col min="12" max="12" width="13.28515625" bestFit="1" customWidth="1"/>
  </cols>
  <sheetData>
    <row r="1" spans="1:10">
      <c r="A1" s="1" t="s">
        <v>1</v>
      </c>
      <c r="B1" s="1" t="s">
        <v>0</v>
      </c>
      <c r="C1" s="1" t="s">
        <v>2</v>
      </c>
      <c r="D1" s="1" t="s">
        <v>37</v>
      </c>
      <c r="E1" s="1" t="s">
        <v>91</v>
      </c>
      <c r="F1" s="1" t="s">
        <v>90</v>
      </c>
      <c r="G1" s="1" t="s">
        <v>8</v>
      </c>
    </row>
    <row r="2" spans="1:10">
      <c r="A2" t="s">
        <v>4</v>
      </c>
      <c r="B2" t="s">
        <v>3</v>
      </c>
      <c r="C2" t="s">
        <v>36</v>
      </c>
      <c r="D2">
        <v>1001</v>
      </c>
      <c r="E2" s="5">
        <v>10484984.029999999</v>
      </c>
      <c r="F2" s="5" t="str">
        <f>IF(config_BS9[[#This Row],[Type]]="Assets", "A", "LC")</f>
        <v>A</v>
      </c>
    </row>
    <row r="3" spans="1:10">
      <c r="A3" t="s">
        <v>4</v>
      </c>
      <c r="B3" t="s">
        <v>19</v>
      </c>
      <c r="C3" t="s">
        <v>20</v>
      </c>
      <c r="D3">
        <v>1122</v>
      </c>
      <c r="E3" s="5">
        <v>1038915.49</v>
      </c>
      <c r="F3" s="5" t="str">
        <f>IF(config_BS9[[#This Row],[Type]]="Assets", "A", "LC")</f>
        <v>A</v>
      </c>
    </row>
    <row r="4" spans="1:10">
      <c r="A4" t="s">
        <v>4</v>
      </c>
      <c r="B4" t="s">
        <v>23</v>
      </c>
      <c r="C4" t="s">
        <v>22</v>
      </c>
      <c r="D4">
        <v>1123</v>
      </c>
      <c r="E4" s="5">
        <v>318808.92</v>
      </c>
      <c r="F4" s="5" t="str">
        <f>IF(config_BS9[[#This Row],[Type]]="Assets", "A", "LC")</f>
        <v>A</v>
      </c>
    </row>
    <row r="5" spans="1:10">
      <c r="A5" t="s">
        <v>4</v>
      </c>
      <c r="B5" t="s">
        <v>11</v>
      </c>
      <c r="C5" t="s">
        <v>21</v>
      </c>
      <c r="D5">
        <v>1405</v>
      </c>
      <c r="E5" s="9">
        <v>10948328.32</v>
      </c>
      <c r="F5" s="5" t="str">
        <f>IF(config_BS9[[#This Row],[Type]]="Assets", "A", "LC")</f>
        <v>A</v>
      </c>
      <c r="G5" s="2" t="s">
        <v>133</v>
      </c>
    </row>
    <row r="6" spans="1:10">
      <c r="A6" t="s">
        <v>4</v>
      </c>
      <c r="B6" t="s">
        <v>24</v>
      </c>
      <c r="C6" t="s">
        <v>25</v>
      </c>
      <c r="D6">
        <v>1601</v>
      </c>
      <c r="E6" s="5">
        <v>24264229.264999997</v>
      </c>
      <c r="F6" s="5" t="str">
        <f>IF(config_BS9[[#This Row],[Type]]="Assets", "A", "LC")</f>
        <v>A</v>
      </c>
      <c r="G6" s="7" t="s">
        <v>70</v>
      </c>
    </row>
    <row r="7" spans="1:10">
      <c r="A7" t="s">
        <v>4</v>
      </c>
      <c r="B7" t="s">
        <v>27</v>
      </c>
      <c r="C7" t="s">
        <v>26</v>
      </c>
      <c r="D7">
        <v>1701</v>
      </c>
      <c r="E7" s="5">
        <v>32800</v>
      </c>
      <c r="F7" s="5" t="str">
        <f>IF(config_BS9[[#This Row],[Type]]="Assets", "A", "LC")</f>
        <v>A</v>
      </c>
      <c r="G7" s="2" t="s">
        <v>69</v>
      </c>
    </row>
    <row r="8" spans="1:10">
      <c r="A8" t="s">
        <v>4</v>
      </c>
      <c r="B8" t="s">
        <v>28</v>
      </c>
      <c r="C8" t="s">
        <v>29</v>
      </c>
      <c r="D8">
        <v>1221</v>
      </c>
      <c r="E8" s="5"/>
      <c r="F8" s="5" t="str">
        <f>IF(config_BS9[[#This Row],[Type]]="Assets", "A", "LC")</f>
        <v>A</v>
      </c>
    </row>
    <row r="9" spans="1:10">
      <c r="A9" t="s">
        <v>4</v>
      </c>
      <c r="B9" t="s">
        <v>63</v>
      </c>
      <c r="C9" t="s">
        <v>64</v>
      </c>
      <c r="D9">
        <v>1511</v>
      </c>
      <c r="E9" s="5">
        <v>2100000</v>
      </c>
      <c r="F9" s="5" t="str">
        <f>IF(config_BS9[[#This Row],[Type]]="Assets", "A", "LC")</f>
        <v>A</v>
      </c>
      <c r="G9" s="2" t="s">
        <v>92</v>
      </c>
    </row>
    <row r="10" spans="1:10">
      <c r="A10" t="s">
        <v>9</v>
      </c>
      <c r="B10" t="s">
        <v>10</v>
      </c>
      <c r="C10" t="s">
        <v>30</v>
      </c>
      <c r="D10">
        <v>2202</v>
      </c>
      <c r="E10" s="5">
        <v>2059673.3900000001</v>
      </c>
      <c r="F10" s="5" t="str">
        <f>IF(config_BS9[[#This Row],[Type]]="Assets", "A", "LC")</f>
        <v>LC</v>
      </c>
      <c r="G10" s="2" t="s">
        <v>67</v>
      </c>
    </row>
    <row r="11" spans="1:10">
      <c r="A11" t="s">
        <v>9</v>
      </c>
      <c r="B11" t="s">
        <v>13</v>
      </c>
      <c r="C11" t="s">
        <v>14</v>
      </c>
      <c r="D11">
        <v>2001</v>
      </c>
      <c r="E11" s="5">
        <v>14402045</v>
      </c>
      <c r="F11" s="5" t="str">
        <f>IF(config_BS9[[#This Row],[Type]]="Assets", "A", "LC")</f>
        <v>LC</v>
      </c>
    </row>
    <row r="12" spans="1:10">
      <c r="A12" t="s">
        <v>7</v>
      </c>
      <c r="B12" t="s">
        <v>5</v>
      </c>
      <c r="C12" t="s">
        <v>6</v>
      </c>
      <c r="D12">
        <v>3001</v>
      </c>
      <c r="E12" s="5">
        <v>25036191</v>
      </c>
      <c r="F12" s="5" t="str">
        <f>IF(config_BS9[[#This Row],[Type]]="Assets", "A", "LC")</f>
        <v>LC</v>
      </c>
    </row>
    <row r="13" spans="1:10">
      <c r="A13" t="s">
        <v>7</v>
      </c>
      <c r="B13" t="s">
        <v>32</v>
      </c>
      <c r="C13" t="s">
        <v>31</v>
      </c>
      <c r="D13">
        <v>3002</v>
      </c>
      <c r="E13" s="5"/>
      <c r="F13" s="5" t="str">
        <f>IF(config_BS9[[#This Row],[Type]]="Assets", "A", "LC")</f>
        <v>LC</v>
      </c>
    </row>
    <row r="14" spans="1:10">
      <c r="A14" t="s">
        <v>7</v>
      </c>
      <c r="B14" t="s">
        <v>16</v>
      </c>
      <c r="C14" t="s">
        <v>15</v>
      </c>
      <c r="D14">
        <v>3104</v>
      </c>
      <c r="E14" s="5">
        <v>7690156.6349999905</v>
      </c>
      <c r="F14" s="5" t="str">
        <f>IF(config_BS9[[#This Row],[Type]]="Assets", "A", "LC")</f>
        <v>LC</v>
      </c>
      <c r="J14" t="s">
        <v>68</v>
      </c>
    </row>
    <row r="19" spans="12:12">
      <c r="L19" s="6"/>
    </row>
    <row r="20" spans="12:12">
      <c r="L20" s="6"/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98A7B-70FA-4ABB-B8F6-AD63A2223E59}">
  <sheetPr codeName="Sheet3">
    <tabColor theme="9" tint="0.39997558519241921"/>
  </sheetPr>
  <dimension ref="A1:E16"/>
  <sheetViews>
    <sheetView workbookViewId="0">
      <selection activeCell="D20" sqref="D20"/>
    </sheetView>
  </sheetViews>
  <sheetFormatPr defaultRowHeight="15"/>
  <cols>
    <col min="1" max="1" width="13.85546875" bestFit="1" customWidth="1"/>
    <col min="2" max="5" width="14.140625" bestFit="1" customWidth="1"/>
  </cols>
  <sheetData>
    <row r="1" spans="1:5">
      <c r="A1" s="8" t="s">
        <v>134</v>
      </c>
      <c r="B1" s="8" t="s">
        <v>86</v>
      </c>
    </row>
    <row r="2" spans="1:5">
      <c r="A2" s="8" t="s">
        <v>71</v>
      </c>
      <c r="B2" t="s">
        <v>87</v>
      </c>
      <c r="C2" t="s">
        <v>88</v>
      </c>
      <c r="D2" t="s">
        <v>89</v>
      </c>
      <c r="E2" t="s">
        <v>72</v>
      </c>
    </row>
    <row r="3" spans="1:5">
      <c r="A3" s="2" t="s">
        <v>73</v>
      </c>
      <c r="B3">
        <v>10948328.32</v>
      </c>
      <c r="E3">
        <v>10948328.32</v>
      </c>
    </row>
    <row r="4" spans="1:5">
      <c r="A4" s="2" t="s">
        <v>74</v>
      </c>
      <c r="D4">
        <v>14402045</v>
      </c>
      <c r="E4">
        <v>14402045</v>
      </c>
    </row>
    <row r="5" spans="1:5">
      <c r="A5" s="2" t="s">
        <v>75</v>
      </c>
      <c r="C5">
        <v>25036191</v>
      </c>
      <c r="E5">
        <v>25036191</v>
      </c>
    </row>
    <row r="6" spans="1:5">
      <c r="A6" s="2" t="s">
        <v>76</v>
      </c>
      <c r="B6">
        <v>24264229.264999997</v>
      </c>
      <c r="E6">
        <v>24264229.264999997</v>
      </c>
    </row>
    <row r="7" spans="1:5">
      <c r="A7" s="2" t="s">
        <v>77</v>
      </c>
      <c r="B7">
        <v>11026122.639999999</v>
      </c>
      <c r="E7">
        <v>11026122.639999999</v>
      </c>
    </row>
    <row r="8" spans="1:5">
      <c r="A8" s="2" t="s">
        <v>78</v>
      </c>
      <c r="C8">
        <v>7690156.6349999905</v>
      </c>
      <c r="E8">
        <v>7690156.6349999905</v>
      </c>
    </row>
    <row r="9" spans="1:5">
      <c r="A9" s="2" t="s">
        <v>79</v>
      </c>
    </row>
    <row r="10" spans="1:5">
      <c r="A10" s="2" t="s">
        <v>80</v>
      </c>
      <c r="B10">
        <v>32800</v>
      </c>
      <c r="E10">
        <v>32800</v>
      </c>
    </row>
    <row r="11" spans="1:5">
      <c r="A11" s="2" t="s">
        <v>81</v>
      </c>
      <c r="D11">
        <v>2059673.3900000001</v>
      </c>
      <c r="E11">
        <v>2059673.3900000001</v>
      </c>
    </row>
    <row r="12" spans="1:5">
      <c r="A12" s="2" t="s">
        <v>82</v>
      </c>
      <c r="B12">
        <v>497776.87999999995</v>
      </c>
      <c r="E12">
        <v>497776.87999999995</v>
      </c>
    </row>
    <row r="13" spans="1:5">
      <c r="A13" s="2" t="s">
        <v>83</v>
      </c>
      <c r="B13">
        <v>318808.92</v>
      </c>
      <c r="E13">
        <v>318808.92</v>
      </c>
    </row>
    <row r="14" spans="1:5">
      <c r="A14" s="2" t="s">
        <v>84</v>
      </c>
      <c r="B14">
        <v>2100000</v>
      </c>
      <c r="E14">
        <v>2100000</v>
      </c>
    </row>
    <row r="15" spans="1:5">
      <c r="A15" s="2" t="s">
        <v>85</v>
      </c>
    </row>
    <row r="16" spans="1:5">
      <c r="A16" s="2" t="s">
        <v>72</v>
      </c>
      <c r="B16">
        <v>49188066.024999999</v>
      </c>
      <c r="C16">
        <v>32726347.63499999</v>
      </c>
      <c r="D16">
        <v>16461718.390000001</v>
      </c>
      <c r="E16">
        <v>98376132.049999982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DCD667-A83C-45D1-8721-F50FC5E9AD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BS2025</vt:lpstr>
      <vt:lpstr>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二毛 邓</dc:creator>
  <cp:lastModifiedBy>Yu Wang</cp:lastModifiedBy>
  <dcterms:created xsi:type="dcterms:W3CDTF">2026-01-14T06:57:08Z</dcterms:created>
  <dcterms:modified xsi:type="dcterms:W3CDTF">2026-01-27T04:04:42Z</dcterms:modified>
</cp:coreProperties>
</file>