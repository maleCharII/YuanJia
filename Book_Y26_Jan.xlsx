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mc:AlternateContent xmlns:mc="http://schemas.openxmlformats.org/markup-compatibility/2006">
    <mc:Choice Requires="x15">
      <x15ac:absPath xmlns:x15ac="http://schemas.microsoft.com/office/spreadsheetml/2010/11/ac" url="C:\Users\86189\Desktop\"/>
    </mc:Choice>
  </mc:AlternateContent>
  <xr:revisionPtr revIDLastSave="0" documentId="13_ncr:1_{EB6C54EF-2D03-46FB-8619-674C02C6D3C5}" xr6:coauthVersionLast="47" xr6:coauthVersionMax="47" xr10:uidLastSave="{00000000-0000-0000-0000-000000000000}"/>
  <bookViews>
    <workbookView xWindow="-108" yWindow="-108" windowWidth="23256" windowHeight="12576" activeTab="3" xr2:uid="{00000000-000D-0000-FFFF-FFFF00000000}"/>
  </bookViews>
  <sheets>
    <sheet name="参考说明" sheetId="8" r:id="rId1"/>
    <sheet name="src_trx" sheetId="2" r:id="rId2"/>
    <sheet name="src_jnl" sheetId="3" r:id="rId3"/>
    <sheet name="debug" sheetId="4" r:id="rId4"/>
    <sheet name="stmt_BS" sheetId="5" r:id="rId5"/>
    <sheet name="stmt_IS" sheetId="7" r:id="rId6"/>
    <sheet name="config" sheetId="1" r:id="rId7"/>
    <sheet name="dict" sheetId="6" r:id="rId8"/>
    <sheet name="摊销折旧明细" sheetId="9" r:id="rId9"/>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tmt_BS_date_end">stmt_BS!$B$4</definedName>
    <definedName name="切片器_IncType">#N/A</definedName>
    <definedName name="切片器_NameVehicle">#N/A</definedName>
    <definedName name="切片器_TrxDate">#N/A</definedName>
    <definedName name="切片器_Vehicle1">#N/A</definedName>
  </definedNames>
  <calcPr calcId="191029"/>
  <pivotCaches>
    <pivotCache cacheId="443"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4" l="1"/>
  <c r="H687" i="3"/>
  <c r="D795" i="3"/>
  <c r="B796" i="3"/>
  <c r="U796" i="3" s="1"/>
  <c r="C796" i="3"/>
  <c r="S796" i="3" s="1"/>
  <c r="D796" i="3"/>
  <c r="I796" i="3"/>
  <c r="K796" i="3"/>
  <c r="J796" i="3" s="1"/>
  <c r="L796" i="3"/>
  <c r="M796" i="3"/>
  <c r="N796" i="3"/>
  <c r="O796" i="3" s="1"/>
  <c r="P796" i="3"/>
  <c r="Q796" i="3"/>
  <c r="R796" i="3"/>
  <c r="B877" i="3"/>
  <c r="T877" i="3" s="1"/>
  <c r="B878" i="3"/>
  <c r="T878" i="3" s="1"/>
  <c r="C877" i="3"/>
  <c r="S877" i="3" s="1"/>
  <c r="C878" i="3"/>
  <c r="S878" i="3" s="1"/>
  <c r="D877" i="3"/>
  <c r="D878" i="3"/>
  <c r="I877" i="3"/>
  <c r="I878" i="3"/>
  <c r="K877" i="3"/>
  <c r="J877" i="3" s="1"/>
  <c r="K878" i="3"/>
  <c r="J878" i="3" s="1"/>
  <c r="L877" i="3"/>
  <c r="L878" i="3"/>
  <c r="M877" i="3"/>
  <c r="P877" i="3" s="1"/>
  <c r="M878" i="3"/>
  <c r="P878" i="3" s="1"/>
  <c r="N877" i="3"/>
  <c r="O877" i="3" s="1"/>
  <c r="N878" i="3"/>
  <c r="O878" i="3" s="1"/>
  <c r="Q877" i="3"/>
  <c r="Q878" i="3"/>
  <c r="R877" i="3"/>
  <c r="R878" i="3"/>
  <c r="D875" i="3"/>
  <c r="T796" i="3" l="1"/>
  <c r="U878" i="3"/>
  <c r="U877" i="3"/>
  <c r="H688" i="3" l="1"/>
  <c r="I688" i="3" s="1"/>
  <c r="I687" i="3"/>
  <c r="B687" i="3"/>
  <c r="T687" i="3" s="1"/>
  <c r="B688" i="3"/>
  <c r="T688" i="3" s="1"/>
  <c r="C687" i="3"/>
  <c r="S687" i="3" s="1"/>
  <c r="C688" i="3"/>
  <c r="S688" i="3" s="1"/>
  <c r="D687" i="3"/>
  <c r="D688" i="3"/>
  <c r="K687" i="3"/>
  <c r="K688" i="3"/>
  <c r="L687" i="3"/>
  <c r="L688" i="3"/>
  <c r="M687" i="3"/>
  <c r="P687" i="3" s="1"/>
  <c r="M688" i="3"/>
  <c r="P688" i="3" s="1"/>
  <c r="N687" i="3"/>
  <c r="O687" i="3" s="1"/>
  <c r="N688" i="3"/>
  <c r="O688" i="3" s="1"/>
  <c r="Q687" i="3"/>
  <c r="Q688" i="3"/>
  <c r="R687" i="3"/>
  <c r="R688" i="3"/>
  <c r="B679" i="3"/>
  <c r="T679" i="3" s="1"/>
  <c r="C679" i="3"/>
  <c r="S679" i="3" s="1"/>
  <c r="D679" i="3"/>
  <c r="I679" i="3"/>
  <c r="K679" i="3"/>
  <c r="J679" i="3" s="1"/>
  <c r="L679" i="3"/>
  <c r="M679" i="3"/>
  <c r="P679" i="3" s="1"/>
  <c r="N679" i="3"/>
  <c r="O679" i="3" s="1"/>
  <c r="Q679" i="3"/>
  <c r="R679" i="3"/>
  <c r="B631" i="3"/>
  <c r="U631" i="3" s="1"/>
  <c r="C631" i="3"/>
  <c r="S631" i="3" s="1"/>
  <c r="D631" i="3"/>
  <c r="I631" i="3"/>
  <c r="K631" i="3"/>
  <c r="J631" i="3" s="1"/>
  <c r="L631" i="3"/>
  <c r="M631" i="3"/>
  <c r="P631" i="3" s="1"/>
  <c r="N631" i="3"/>
  <c r="O631" i="3" s="1"/>
  <c r="Q631" i="3"/>
  <c r="R631" i="3"/>
  <c r="U687" i="3" l="1"/>
  <c r="U688" i="3"/>
  <c r="J688" i="3"/>
  <c r="J687" i="3"/>
  <c r="U679" i="3"/>
  <c r="T631" i="3"/>
  <c r="B681" i="3"/>
  <c r="T681" i="3" s="1"/>
  <c r="C681" i="3"/>
  <c r="S681" i="3" s="1"/>
  <c r="D681" i="3"/>
  <c r="I681" i="3"/>
  <c r="K681" i="3"/>
  <c r="J681" i="3" s="1"/>
  <c r="L681" i="3"/>
  <c r="M681" i="3"/>
  <c r="P681" i="3" s="1"/>
  <c r="N681" i="3"/>
  <c r="O681" i="3" s="1"/>
  <c r="Q681" i="3"/>
  <c r="R681" i="3"/>
  <c r="B390" i="3"/>
  <c r="T390" i="3" s="1"/>
  <c r="C390" i="3"/>
  <c r="S390" i="3" s="1"/>
  <c r="D390" i="3"/>
  <c r="I390" i="3"/>
  <c r="K390" i="3"/>
  <c r="J390" i="3" s="1"/>
  <c r="L390" i="3"/>
  <c r="M390" i="3"/>
  <c r="P390" i="3" s="1"/>
  <c r="N390" i="3"/>
  <c r="O390" i="3" s="1"/>
  <c r="Q390" i="3"/>
  <c r="R390" i="3"/>
  <c r="B233" i="3"/>
  <c r="T233" i="3" s="1"/>
  <c r="C233" i="3"/>
  <c r="S233" i="3" s="1"/>
  <c r="D233" i="3"/>
  <c r="I233" i="3"/>
  <c r="K233" i="3"/>
  <c r="J233" i="3" s="1"/>
  <c r="L233" i="3"/>
  <c r="M233" i="3"/>
  <c r="P233" i="3" s="1"/>
  <c r="N233" i="3"/>
  <c r="O233" i="3" s="1"/>
  <c r="Q233" i="3"/>
  <c r="R233" i="3"/>
  <c r="B180" i="3"/>
  <c r="U180" i="3" s="1"/>
  <c r="C180" i="3"/>
  <c r="S180" i="3" s="1"/>
  <c r="D180" i="3"/>
  <c r="I180" i="3"/>
  <c r="K180" i="3"/>
  <c r="J180" i="3" s="1"/>
  <c r="L180" i="3"/>
  <c r="M180" i="3"/>
  <c r="P180" i="3" s="1"/>
  <c r="N180" i="3"/>
  <c r="O180" i="3" s="1"/>
  <c r="Q180" i="3"/>
  <c r="R180" i="3"/>
  <c r="X10" i="4"/>
  <c r="U681" i="3" l="1"/>
  <c r="U390" i="3"/>
  <c r="U233" i="3"/>
  <c r="T180" i="3"/>
  <c r="D733" i="3"/>
  <c r="H18" i="1"/>
  <c r="D241" i="3"/>
  <c r="H686" i="3"/>
  <c r="B287" i="3"/>
  <c r="C287" i="3"/>
  <c r="S287" i="3" s="1"/>
  <c r="D287" i="3"/>
  <c r="I287" i="3"/>
  <c r="L287" i="3"/>
  <c r="M287" i="3"/>
  <c r="P287" i="3" s="1"/>
  <c r="N287" i="3"/>
  <c r="O287" i="3" s="1"/>
  <c r="Q287" i="3"/>
  <c r="R287" i="3"/>
  <c r="B249" i="3"/>
  <c r="C249" i="3"/>
  <c r="S249" i="3" s="1"/>
  <c r="D249" i="3"/>
  <c r="I249" i="3"/>
  <c r="L249" i="3"/>
  <c r="M249" i="3"/>
  <c r="P249" i="3" s="1"/>
  <c r="N249" i="3"/>
  <c r="O249" i="3" s="1"/>
  <c r="Q249" i="3"/>
  <c r="R249" i="3"/>
  <c r="U249" i="3" l="1"/>
  <c r="U287" i="3"/>
  <c r="H888" i="3"/>
  <c r="I888" i="3"/>
  <c r="B884" i="3"/>
  <c r="C884" i="3"/>
  <c r="S884" i="3" s="1"/>
  <c r="D884" i="3"/>
  <c r="I884" i="3"/>
  <c r="L884" i="3"/>
  <c r="M884" i="3"/>
  <c r="P884" i="3" s="1"/>
  <c r="N884" i="3"/>
  <c r="O884" i="3" s="1"/>
  <c r="Q884" i="3"/>
  <c r="R884" i="3"/>
  <c r="B888" i="3"/>
  <c r="C888" i="3"/>
  <c r="S888" i="3" s="1"/>
  <c r="D888" i="3"/>
  <c r="L888" i="3"/>
  <c r="M888" i="3"/>
  <c r="P888" i="3" s="1"/>
  <c r="N888" i="3"/>
  <c r="O888" i="3" s="1"/>
  <c r="Q888" i="3"/>
  <c r="R888" i="3"/>
  <c r="B887" i="3"/>
  <c r="C887" i="3"/>
  <c r="S887" i="3" s="1"/>
  <c r="D887" i="3"/>
  <c r="I887" i="3"/>
  <c r="L887" i="3"/>
  <c r="M887" i="3"/>
  <c r="P887" i="3" s="1"/>
  <c r="N887" i="3"/>
  <c r="O887" i="3" s="1"/>
  <c r="Q887" i="3"/>
  <c r="R887" i="3"/>
  <c r="R2" i="9"/>
  <c r="E2" i="9"/>
  <c r="R4" i="9"/>
  <c r="R5" i="9"/>
  <c r="R3" i="9"/>
  <c r="U884" i="3" l="1"/>
  <c r="U888" i="3"/>
  <c r="U887" i="3"/>
  <c r="Q4" i="9" l="1"/>
  <c r="Q5" i="9"/>
  <c r="B886" i="3"/>
  <c r="C886" i="3"/>
  <c r="S886" i="3" s="1"/>
  <c r="D886" i="3"/>
  <c r="I886" i="3"/>
  <c r="L886" i="3"/>
  <c r="M886" i="3"/>
  <c r="P886" i="3" s="1"/>
  <c r="N886" i="3"/>
  <c r="O886" i="3" s="1"/>
  <c r="Q886" i="3"/>
  <c r="R886" i="3"/>
  <c r="B885" i="3"/>
  <c r="U885" i="3" s="1"/>
  <c r="C885" i="3"/>
  <c r="S885" i="3" s="1"/>
  <c r="D885" i="3"/>
  <c r="I885" i="3"/>
  <c r="L885" i="3"/>
  <c r="M885" i="3"/>
  <c r="P885" i="3" s="1"/>
  <c r="N885" i="3"/>
  <c r="O885" i="3" s="1"/>
  <c r="Q885" i="3"/>
  <c r="R885" i="3"/>
  <c r="B883" i="3"/>
  <c r="C883" i="3"/>
  <c r="S883" i="3" s="1"/>
  <c r="D883" i="3"/>
  <c r="I883" i="3"/>
  <c r="L883" i="3"/>
  <c r="M883" i="3"/>
  <c r="P883" i="3" s="1"/>
  <c r="N883" i="3"/>
  <c r="O883" i="3" s="1"/>
  <c r="Q883" i="3"/>
  <c r="R883" i="3"/>
  <c r="B882" i="3"/>
  <c r="C882" i="3"/>
  <c r="S882" i="3" s="1"/>
  <c r="D882" i="3"/>
  <c r="I882" i="3"/>
  <c r="L882" i="3"/>
  <c r="M882" i="3"/>
  <c r="P882" i="3" s="1"/>
  <c r="N882" i="3"/>
  <c r="O882" i="3" s="1"/>
  <c r="Q882" i="3"/>
  <c r="R882" i="3"/>
  <c r="B881" i="3"/>
  <c r="C881" i="3"/>
  <c r="S881" i="3" s="1"/>
  <c r="D881" i="3"/>
  <c r="I881" i="3"/>
  <c r="L881" i="3"/>
  <c r="M881" i="3"/>
  <c r="P881" i="3" s="1"/>
  <c r="N881" i="3"/>
  <c r="O881" i="3" s="1"/>
  <c r="Q881" i="3"/>
  <c r="R881" i="3"/>
  <c r="B880" i="3"/>
  <c r="C880" i="3"/>
  <c r="S880" i="3" s="1"/>
  <c r="D880" i="3"/>
  <c r="I880" i="3"/>
  <c r="L880" i="3"/>
  <c r="M880" i="3"/>
  <c r="P880" i="3" s="1"/>
  <c r="N880" i="3"/>
  <c r="O880" i="3" s="1"/>
  <c r="Q880" i="3"/>
  <c r="R880" i="3"/>
  <c r="B879" i="3"/>
  <c r="U879" i="3" s="1"/>
  <c r="C879" i="3"/>
  <c r="S879" i="3" s="1"/>
  <c r="D879" i="3"/>
  <c r="I879" i="3"/>
  <c r="L879" i="3"/>
  <c r="M879" i="3"/>
  <c r="P879" i="3" s="1"/>
  <c r="N879" i="3"/>
  <c r="O879" i="3" s="1"/>
  <c r="Q879" i="3"/>
  <c r="R879" i="3"/>
  <c r="B876" i="3"/>
  <c r="C876" i="3"/>
  <c r="S876" i="3" s="1"/>
  <c r="D876" i="3"/>
  <c r="I876" i="3"/>
  <c r="L876" i="3"/>
  <c r="M876" i="3"/>
  <c r="P876" i="3" s="1"/>
  <c r="N876" i="3"/>
  <c r="O876" i="3" s="1"/>
  <c r="Q876" i="3"/>
  <c r="R876" i="3"/>
  <c r="B875" i="3"/>
  <c r="C875" i="3"/>
  <c r="S875" i="3" s="1"/>
  <c r="I875" i="3"/>
  <c r="L875" i="3"/>
  <c r="M875" i="3"/>
  <c r="P875" i="3" s="1"/>
  <c r="N875" i="3"/>
  <c r="O875" i="3" s="1"/>
  <c r="Q875" i="3"/>
  <c r="R875" i="3"/>
  <c r="B874" i="3"/>
  <c r="C874" i="3"/>
  <c r="S874" i="3" s="1"/>
  <c r="D874" i="3"/>
  <c r="I874" i="3"/>
  <c r="L874" i="3"/>
  <c r="M874" i="3"/>
  <c r="P874" i="3" s="1"/>
  <c r="N874" i="3"/>
  <c r="O874" i="3" s="1"/>
  <c r="Q874" i="3"/>
  <c r="R874" i="3"/>
  <c r="B873" i="3"/>
  <c r="C873" i="3"/>
  <c r="S873" i="3" s="1"/>
  <c r="D873" i="3"/>
  <c r="I873" i="3"/>
  <c r="L873" i="3"/>
  <c r="M873" i="3"/>
  <c r="P873" i="3" s="1"/>
  <c r="N873" i="3"/>
  <c r="O873" i="3" s="1"/>
  <c r="Q873" i="3"/>
  <c r="R873" i="3"/>
  <c r="B872" i="3"/>
  <c r="C872" i="3"/>
  <c r="S872" i="3" s="1"/>
  <c r="D872" i="3"/>
  <c r="I872" i="3"/>
  <c r="L872" i="3"/>
  <c r="M872" i="3"/>
  <c r="P872" i="3" s="1"/>
  <c r="N872" i="3"/>
  <c r="O872" i="3" s="1"/>
  <c r="Q872" i="3"/>
  <c r="R872" i="3"/>
  <c r="B871" i="3"/>
  <c r="C871" i="3"/>
  <c r="S871" i="3" s="1"/>
  <c r="D871" i="3"/>
  <c r="I871" i="3"/>
  <c r="L871" i="3"/>
  <c r="M871" i="3"/>
  <c r="P871" i="3" s="1"/>
  <c r="N871" i="3"/>
  <c r="O871" i="3" s="1"/>
  <c r="Q871" i="3"/>
  <c r="R871" i="3"/>
  <c r="B870" i="3"/>
  <c r="U870" i="3" s="1"/>
  <c r="C870" i="3"/>
  <c r="S870" i="3" s="1"/>
  <c r="D870" i="3"/>
  <c r="I870" i="3"/>
  <c r="L870" i="3"/>
  <c r="M870" i="3"/>
  <c r="P870" i="3" s="1"/>
  <c r="N870" i="3"/>
  <c r="O870" i="3" s="1"/>
  <c r="Q870" i="3"/>
  <c r="R870" i="3"/>
  <c r="B868" i="3"/>
  <c r="B869" i="3"/>
  <c r="U869" i="3" s="1"/>
  <c r="C868" i="3"/>
  <c r="S868" i="3" s="1"/>
  <c r="C869" i="3"/>
  <c r="S869" i="3" s="1"/>
  <c r="D868" i="3"/>
  <c r="D869" i="3"/>
  <c r="I868" i="3"/>
  <c r="I869" i="3"/>
  <c r="L868" i="3"/>
  <c r="L869" i="3"/>
  <c r="M868" i="3"/>
  <c r="P868" i="3" s="1"/>
  <c r="M869" i="3"/>
  <c r="P869" i="3" s="1"/>
  <c r="N868" i="3"/>
  <c r="O868" i="3" s="1"/>
  <c r="N869" i="3"/>
  <c r="O869" i="3" s="1"/>
  <c r="Q868" i="3"/>
  <c r="Q869" i="3"/>
  <c r="R868" i="3"/>
  <c r="R869" i="3"/>
  <c r="B867" i="3"/>
  <c r="C867" i="3"/>
  <c r="S867" i="3" s="1"/>
  <c r="D867" i="3"/>
  <c r="I867" i="3"/>
  <c r="L867" i="3"/>
  <c r="M867" i="3"/>
  <c r="P867" i="3" s="1"/>
  <c r="N867" i="3"/>
  <c r="O867" i="3" s="1"/>
  <c r="Q867" i="3"/>
  <c r="R867" i="3"/>
  <c r="D44" i="3"/>
  <c r="C44" i="3"/>
  <c r="S44" i="3" s="1"/>
  <c r="B44" i="3"/>
  <c r="D43" i="3"/>
  <c r="C43" i="3"/>
  <c r="S43" i="3" s="1"/>
  <c r="B43" i="3"/>
  <c r="D42" i="3"/>
  <c r="C42" i="3"/>
  <c r="S42" i="3" s="1"/>
  <c r="B42" i="3"/>
  <c r="I42" i="3"/>
  <c r="I43" i="3"/>
  <c r="I44" i="3"/>
  <c r="L42" i="3"/>
  <c r="L43" i="3"/>
  <c r="L44" i="3"/>
  <c r="M42" i="3"/>
  <c r="P42" i="3" s="1"/>
  <c r="M43" i="3"/>
  <c r="P43" i="3" s="1"/>
  <c r="M44" i="3"/>
  <c r="P44" i="3" s="1"/>
  <c r="N42" i="3"/>
  <c r="O42" i="3" s="1"/>
  <c r="N43" i="3"/>
  <c r="O43" i="3" s="1"/>
  <c r="N44" i="3"/>
  <c r="O44" i="3" s="1"/>
  <c r="Q42" i="3"/>
  <c r="Q43" i="3"/>
  <c r="Q44" i="3"/>
  <c r="R42" i="3"/>
  <c r="R43" i="3"/>
  <c r="R44" i="3"/>
  <c r="D41" i="3"/>
  <c r="C41" i="3"/>
  <c r="S41" i="3" s="1"/>
  <c r="B41" i="3"/>
  <c r="D40" i="3"/>
  <c r="C40" i="3"/>
  <c r="S40" i="3" s="1"/>
  <c r="B40" i="3"/>
  <c r="D39" i="3"/>
  <c r="C39" i="3"/>
  <c r="S39" i="3" s="1"/>
  <c r="B39" i="3"/>
  <c r="D38" i="3"/>
  <c r="C38" i="3"/>
  <c r="S38" i="3" s="1"/>
  <c r="B38" i="3"/>
  <c r="I38" i="3"/>
  <c r="I39" i="3"/>
  <c r="I40" i="3"/>
  <c r="I41" i="3"/>
  <c r="L38" i="3"/>
  <c r="L39" i="3"/>
  <c r="L40" i="3"/>
  <c r="L41" i="3"/>
  <c r="M38" i="3"/>
  <c r="P38" i="3" s="1"/>
  <c r="M39" i="3"/>
  <c r="P39" i="3" s="1"/>
  <c r="M40" i="3"/>
  <c r="P40" i="3" s="1"/>
  <c r="M41" i="3"/>
  <c r="P41" i="3" s="1"/>
  <c r="N38" i="3"/>
  <c r="O38" i="3" s="1"/>
  <c r="N39" i="3"/>
  <c r="O39" i="3" s="1"/>
  <c r="N40" i="3"/>
  <c r="O40" i="3" s="1"/>
  <c r="N41" i="3"/>
  <c r="O41" i="3" s="1"/>
  <c r="Q38" i="3"/>
  <c r="Q39" i="3"/>
  <c r="Q40" i="3"/>
  <c r="Q41" i="3"/>
  <c r="R38" i="3"/>
  <c r="R39" i="3"/>
  <c r="R40" i="3"/>
  <c r="R41" i="3"/>
  <c r="B866" i="3"/>
  <c r="C866" i="3"/>
  <c r="S866" i="3" s="1"/>
  <c r="D866" i="3"/>
  <c r="I866" i="3"/>
  <c r="L866" i="3"/>
  <c r="M866" i="3"/>
  <c r="P866" i="3" s="1"/>
  <c r="N866" i="3"/>
  <c r="O866" i="3" s="1"/>
  <c r="Q866" i="3"/>
  <c r="R866" i="3"/>
  <c r="H865" i="3"/>
  <c r="I865" i="3" s="1"/>
  <c r="B865" i="3"/>
  <c r="C865" i="3"/>
  <c r="S865" i="3" s="1"/>
  <c r="D865" i="3"/>
  <c r="L865" i="3"/>
  <c r="M865" i="3"/>
  <c r="P865" i="3" s="1"/>
  <c r="N865" i="3"/>
  <c r="O865" i="3" s="1"/>
  <c r="Q865" i="3"/>
  <c r="R865" i="3"/>
  <c r="B864" i="3"/>
  <c r="C864" i="3"/>
  <c r="S864" i="3" s="1"/>
  <c r="D864" i="3"/>
  <c r="I864" i="3"/>
  <c r="L864" i="3"/>
  <c r="M864" i="3"/>
  <c r="P864" i="3" s="1"/>
  <c r="N864" i="3"/>
  <c r="O864" i="3" s="1"/>
  <c r="Q864" i="3"/>
  <c r="R864" i="3"/>
  <c r="H289" i="3"/>
  <c r="B863" i="3"/>
  <c r="C863" i="3"/>
  <c r="S863" i="3" s="1"/>
  <c r="D863" i="3"/>
  <c r="I863" i="3"/>
  <c r="L863" i="3"/>
  <c r="M863" i="3"/>
  <c r="P863" i="3" s="1"/>
  <c r="N863" i="3"/>
  <c r="O863" i="3" s="1"/>
  <c r="Q863" i="3"/>
  <c r="R863" i="3"/>
  <c r="B862" i="3"/>
  <c r="C862" i="3"/>
  <c r="S862" i="3" s="1"/>
  <c r="D862" i="3"/>
  <c r="I862" i="3"/>
  <c r="L862" i="3"/>
  <c r="M862" i="3"/>
  <c r="P862" i="3" s="1"/>
  <c r="N862" i="3"/>
  <c r="O862" i="3" s="1"/>
  <c r="Q862" i="3"/>
  <c r="R862" i="3"/>
  <c r="U886" i="3" l="1"/>
  <c r="U883" i="3"/>
  <c r="U882" i="3"/>
  <c r="U881" i="3"/>
  <c r="U880" i="3"/>
  <c r="U876" i="3"/>
  <c r="U875" i="3"/>
  <c r="U874" i="3"/>
  <c r="U873" i="3"/>
  <c r="U872" i="3"/>
  <c r="U871" i="3"/>
  <c r="U867" i="3"/>
  <c r="U868" i="3"/>
  <c r="U44" i="3"/>
  <c r="U43" i="3"/>
  <c r="U42" i="3"/>
  <c r="U40" i="3"/>
  <c r="U41" i="3"/>
  <c r="U866" i="3"/>
  <c r="U39" i="3"/>
  <c r="U38" i="3"/>
  <c r="U865" i="3"/>
  <c r="U864" i="3"/>
  <c r="U863" i="3"/>
  <c r="U862" i="3"/>
  <c r="B861" i="3" l="1"/>
  <c r="C861" i="3"/>
  <c r="S861" i="3" s="1"/>
  <c r="D861" i="3"/>
  <c r="I861" i="3"/>
  <c r="L861" i="3"/>
  <c r="M861" i="3"/>
  <c r="P861" i="3" s="1"/>
  <c r="N861" i="3"/>
  <c r="O861" i="3" s="1"/>
  <c r="Q861" i="3"/>
  <c r="R861" i="3"/>
  <c r="H860" i="3"/>
  <c r="I860" i="3" s="1"/>
  <c r="B860" i="3"/>
  <c r="C860" i="3"/>
  <c r="S860" i="3" s="1"/>
  <c r="D860" i="3"/>
  <c r="L860" i="3"/>
  <c r="M860" i="3"/>
  <c r="P860" i="3" s="1"/>
  <c r="N860" i="3"/>
  <c r="O860" i="3" s="1"/>
  <c r="Q860" i="3"/>
  <c r="R860" i="3"/>
  <c r="B859" i="3"/>
  <c r="C859" i="3"/>
  <c r="S859" i="3" s="1"/>
  <c r="D859" i="3"/>
  <c r="I859" i="3"/>
  <c r="L859" i="3"/>
  <c r="M859" i="3"/>
  <c r="P859" i="3" s="1"/>
  <c r="N859" i="3"/>
  <c r="O859" i="3" s="1"/>
  <c r="Q859" i="3"/>
  <c r="R859" i="3"/>
  <c r="H673" i="3"/>
  <c r="H858" i="3"/>
  <c r="I858" i="3" s="1"/>
  <c r="B858" i="3"/>
  <c r="C858" i="3"/>
  <c r="S858" i="3" s="1"/>
  <c r="D858" i="3"/>
  <c r="L858" i="3"/>
  <c r="M858" i="3"/>
  <c r="P858" i="3" s="1"/>
  <c r="N858" i="3"/>
  <c r="O858" i="3" s="1"/>
  <c r="Q858" i="3"/>
  <c r="R858" i="3"/>
  <c r="B857" i="3"/>
  <c r="C857" i="3"/>
  <c r="S857" i="3" s="1"/>
  <c r="D857" i="3"/>
  <c r="I857" i="3"/>
  <c r="L857" i="3"/>
  <c r="M857" i="3"/>
  <c r="P857" i="3" s="1"/>
  <c r="N857" i="3"/>
  <c r="O857" i="3" s="1"/>
  <c r="Q857" i="3"/>
  <c r="R857" i="3"/>
  <c r="H855" i="3"/>
  <c r="I855" i="3" s="1"/>
  <c r="B856" i="3"/>
  <c r="C856" i="3"/>
  <c r="S856" i="3" s="1"/>
  <c r="D856" i="3"/>
  <c r="I856" i="3"/>
  <c r="L856" i="3"/>
  <c r="M856" i="3"/>
  <c r="P856" i="3" s="1"/>
  <c r="N856" i="3"/>
  <c r="O856" i="3" s="1"/>
  <c r="Q856" i="3"/>
  <c r="R856" i="3"/>
  <c r="B855" i="3"/>
  <c r="C855" i="3"/>
  <c r="S855" i="3" s="1"/>
  <c r="D855" i="3"/>
  <c r="L855" i="3"/>
  <c r="M855" i="3"/>
  <c r="P855" i="3" s="1"/>
  <c r="N855" i="3"/>
  <c r="O855" i="3" s="1"/>
  <c r="Q855" i="3"/>
  <c r="R855" i="3"/>
  <c r="B854" i="3"/>
  <c r="C854" i="3"/>
  <c r="S854" i="3" s="1"/>
  <c r="D854" i="3"/>
  <c r="I854" i="3"/>
  <c r="L854" i="3"/>
  <c r="M854" i="3"/>
  <c r="P854" i="3" s="1"/>
  <c r="N854" i="3"/>
  <c r="O854" i="3" s="1"/>
  <c r="Q854" i="3"/>
  <c r="R854" i="3"/>
  <c r="B853" i="3"/>
  <c r="U853" i="3" s="1"/>
  <c r="C853" i="3"/>
  <c r="S853" i="3" s="1"/>
  <c r="D853" i="3"/>
  <c r="I853" i="3"/>
  <c r="L853" i="3"/>
  <c r="M853" i="3"/>
  <c r="P853" i="3" s="1"/>
  <c r="N853" i="3"/>
  <c r="O853" i="3" s="1"/>
  <c r="Q853" i="3"/>
  <c r="R853" i="3"/>
  <c r="B852" i="3"/>
  <c r="C852" i="3"/>
  <c r="S852" i="3" s="1"/>
  <c r="D852" i="3"/>
  <c r="I852" i="3"/>
  <c r="L852" i="3"/>
  <c r="M852" i="3"/>
  <c r="P852" i="3" s="1"/>
  <c r="N852" i="3"/>
  <c r="O852" i="3" s="1"/>
  <c r="Q852" i="3"/>
  <c r="R852" i="3"/>
  <c r="H851" i="3"/>
  <c r="I851" i="3" s="1"/>
  <c r="B851" i="3"/>
  <c r="C851" i="3"/>
  <c r="S851" i="3" s="1"/>
  <c r="D851" i="3"/>
  <c r="L851" i="3"/>
  <c r="M851" i="3"/>
  <c r="P851" i="3" s="1"/>
  <c r="N851" i="3"/>
  <c r="O851" i="3" s="1"/>
  <c r="Q851" i="3"/>
  <c r="R851" i="3"/>
  <c r="B850" i="3"/>
  <c r="C850" i="3"/>
  <c r="S850" i="3" s="1"/>
  <c r="D850" i="3"/>
  <c r="I850" i="3"/>
  <c r="L850" i="3"/>
  <c r="M850" i="3"/>
  <c r="P850" i="3" s="1"/>
  <c r="N850" i="3"/>
  <c r="O850" i="3" s="1"/>
  <c r="Q850" i="3"/>
  <c r="R850" i="3"/>
  <c r="H849" i="3"/>
  <c r="I849" i="3" s="1"/>
  <c r="B849" i="3"/>
  <c r="C849" i="3"/>
  <c r="S849" i="3" s="1"/>
  <c r="D849" i="3"/>
  <c r="L849" i="3"/>
  <c r="M849" i="3"/>
  <c r="P849" i="3" s="1"/>
  <c r="N849" i="3"/>
  <c r="O849" i="3" s="1"/>
  <c r="Q849" i="3"/>
  <c r="R849" i="3"/>
  <c r="B848" i="3"/>
  <c r="U848" i="3" s="1"/>
  <c r="C848" i="3"/>
  <c r="S848" i="3" s="1"/>
  <c r="D848" i="3"/>
  <c r="I848" i="3"/>
  <c r="L848" i="3"/>
  <c r="M848" i="3"/>
  <c r="P848" i="3" s="1"/>
  <c r="N848" i="3"/>
  <c r="O848" i="3" s="1"/>
  <c r="Q848" i="3"/>
  <c r="R848" i="3"/>
  <c r="B847" i="3"/>
  <c r="C847" i="3"/>
  <c r="S847" i="3" s="1"/>
  <c r="D847" i="3"/>
  <c r="I847" i="3"/>
  <c r="L847" i="3"/>
  <c r="M847" i="3"/>
  <c r="P847" i="3" s="1"/>
  <c r="N847" i="3"/>
  <c r="O847" i="3" s="1"/>
  <c r="Q847" i="3"/>
  <c r="R847" i="3"/>
  <c r="B846" i="3"/>
  <c r="C846" i="3"/>
  <c r="S846" i="3" s="1"/>
  <c r="D846" i="3"/>
  <c r="I846" i="3"/>
  <c r="L846" i="3"/>
  <c r="M846" i="3"/>
  <c r="P846" i="3" s="1"/>
  <c r="N846" i="3"/>
  <c r="O846" i="3" s="1"/>
  <c r="Q846" i="3"/>
  <c r="R846" i="3"/>
  <c r="B845" i="3"/>
  <c r="C845" i="3"/>
  <c r="S845" i="3" s="1"/>
  <c r="D845" i="3"/>
  <c r="I845" i="3"/>
  <c r="L845" i="3"/>
  <c r="M845" i="3"/>
  <c r="P845" i="3" s="1"/>
  <c r="N845" i="3"/>
  <c r="O845" i="3" s="1"/>
  <c r="Q845" i="3"/>
  <c r="R845" i="3"/>
  <c r="B844" i="3"/>
  <c r="U844" i="3" s="1"/>
  <c r="C844" i="3"/>
  <c r="S844" i="3" s="1"/>
  <c r="D844" i="3"/>
  <c r="I844" i="3"/>
  <c r="L844" i="3"/>
  <c r="M844" i="3"/>
  <c r="P844" i="3" s="1"/>
  <c r="N844" i="3"/>
  <c r="O844" i="3" s="1"/>
  <c r="Q844" i="3"/>
  <c r="R844" i="3"/>
  <c r="B843" i="3"/>
  <c r="C843" i="3"/>
  <c r="S843" i="3" s="1"/>
  <c r="D843" i="3"/>
  <c r="I843" i="3"/>
  <c r="L843" i="3"/>
  <c r="M843" i="3"/>
  <c r="P843" i="3" s="1"/>
  <c r="N843" i="3"/>
  <c r="O843" i="3" s="1"/>
  <c r="Q843" i="3"/>
  <c r="R843" i="3"/>
  <c r="B842" i="3"/>
  <c r="C842" i="3"/>
  <c r="S842" i="3" s="1"/>
  <c r="D842" i="3"/>
  <c r="I842" i="3"/>
  <c r="L842" i="3"/>
  <c r="M842" i="3"/>
  <c r="P842" i="3" s="1"/>
  <c r="N842" i="3"/>
  <c r="O842" i="3" s="1"/>
  <c r="Q842" i="3"/>
  <c r="R842" i="3"/>
  <c r="B841" i="3"/>
  <c r="C841" i="3"/>
  <c r="S841" i="3" s="1"/>
  <c r="D841" i="3"/>
  <c r="I841" i="3"/>
  <c r="L841" i="3"/>
  <c r="M841" i="3"/>
  <c r="P841" i="3" s="1"/>
  <c r="N841" i="3"/>
  <c r="O841" i="3" s="1"/>
  <c r="Q841" i="3"/>
  <c r="R841" i="3"/>
  <c r="H840" i="3"/>
  <c r="I840" i="3" s="1"/>
  <c r="B840" i="3"/>
  <c r="U840" i="3" s="1"/>
  <c r="C840" i="3"/>
  <c r="S840" i="3" s="1"/>
  <c r="D840" i="3"/>
  <c r="L840" i="3"/>
  <c r="M840" i="3"/>
  <c r="P840" i="3" s="1"/>
  <c r="N840" i="3"/>
  <c r="O840" i="3" s="1"/>
  <c r="Q840" i="3"/>
  <c r="R840" i="3"/>
  <c r="B839" i="3"/>
  <c r="C839" i="3"/>
  <c r="S839" i="3" s="1"/>
  <c r="D839" i="3"/>
  <c r="I839" i="3"/>
  <c r="L839" i="3"/>
  <c r="M839" i="3"/>
  <c r="P839" i="3" s="1"/>
  <c r="N839" i="3"/>
  <c r="O839" i="3" s="1"/>
  <c r="Q839" i="3"/>
  <c r="R839" i="3"/>
  <c r="B838" i="3"/>
  <c r="C838" i="3"/>
  <c r="S838" i="3" s="1"/>
  <c r="D838" i="3"/>
  <c r="I838" i="3"/>
  <c r="L838" i="3"/>
  <c r="M838" i="3"/>
  <c r="P838" i="3" s="1"/>
  <c r="N838" i="3"/>
  <c r="O838" i="3" s="1"/>
  <c r="Q838" i="3"/>
  <c r="R838" i="3"/>
  <c r="B837" i="3"/>
  <c r="U837" i="3" s="1"/>
  <c r="C837" i="3"/>
  <c r="S837" i="3" s="1"/>
  <c r="D837" i="3"/>
  <c r="I837" i="3"/>
  <c r="L837" i="3"/>
  <c r="M837" i="3"/>
  <c r="P837" i="3" s="1"/>
  <c r="N837" i="3"/>
  <c r="O837" i="3" s="1"/>
  <c r="Q837" i="3"/>
  <c r="R837" i="3"/>
  <c r="H836" i="3"/>
  <c r="I836" i="3" s="1"/>
  <c r="D836" i="3"/>
  <c r="D835" i="3"/>
  <c r="B836" i="3"/>
  <c r="C836" i="3"/>
  <c r="S836" i="3" s="1"/>
  <c r="L836" i="3"/>
  <c r="M836" i="3"/>
  <c r="P836" i="3" s="1"/>
  <c r="N836" i="3"/>
  <c r="O836" i="3" s="1"/>
  <c r="Q836" i="3"/>
  <c r="R836" i="3"/>
  <c r="B835" i="3"/>
  <c r="U835" i="3" s="1"/>
  <c r="C835" i="3"/>
  <c r="S835" i="3" s="1"/>
  <c r="I835" i="3"/>
  <c r="L835" i="3"/>
  <c r="M835" i="3"/>
  <c r="P835" i="3" s="1"/>
  <c r="N835" i="3"/>
  <c r="O835" i="3" s="1"/>
  <c r="Q835" i="3"/>
  <c r="R835" i="3"/>
  <c r="B834" i="3"/>
  <c r="U834" i="3" s="1"/>
  <c r="C834" i="3"/>
  <c r="S834" i="3" s="1"/>
  <c r="D834" i="3"/>
  <c r="I834" i="3"/>
  <c r="L834" i="3"/>
  <c r="M834" i="3"/>
  <c r="P834" i="3" s="1"/>
  <c r="N834" i="3"/>
  <c r="O834" i="3" s="1"/>
  <c r="Q834" i="3"/>
  <c r="R834" i="3"/>
  <c r="B833" i="3"/>
  <c r="C833" i="3"/>
  <c r="S833" i="3" s="1"/>
  <c r="D833" i="3"/>
  <c r="I833" i="3"/>
  <c r="L833" i="3"/>
  <c r="M833" i="3"/>
  <c r="P833" i="3" s="1"/>
  <c r="N833" i="3"/>
  <c r="O833" i="3" s="1"/>
  <c r="Q833" i="3"/>
  <c r="R833" i="3"/>
  <c r="B832" i="3"/>
  <c r="C832" i="3"/>
  <c r="S832" i="3" s="1"/>
  <c r="D832" i="3"/>
  <c r="I832" i="3"/>
  <c r="L832" i="3"/>
  <c r="M832" i="3"/>
  <c r="P832" i="3" s="1"/>
  <c r="N832" i="3"/>
  <c r="O832" i="3" s="1"/>
  <c r="Q832" i="3"/>
  <c r="R832" i="3"/>
  <c r="B831" i="3"/>
  <c r="U831" i="3" s="1"/>
  <c r="C831" i="3"/>
  <c r="S831" i="3" s="1"/>
  <c r="D831" i="3"/>
  <c r="I831" i="3"/>
  <c r="L831" i="3"/>
  <c r="M831" i="3"/>
  <c r="P831" i="3" s="1"/>
  <c r="N831" i="3"/>
  <c r="O831" i="3" s="1"/>
  <c r="Q831" i="3"/>
  <c r="R831" i="3"/>
  <c r="B830" i="3"/>
  <c r="U830" i="3" s="1"/>
  <c r="C830" i="3"/>
  <c r="S830" i="3" s="1"/>
  <c r="D830" i="3"/>
  <c r="I830" i="3"/>
  <c r="L830" i="3"/>
  <c r="M830" i="3"/>
  <c r="P830" i="3" s="1"/>
  <c r="N830" i="3"/>
  <c r="O830" i="3" s="1"/>
  <c r="Q830" i="3"/>
  <c r="R830" i="3"/>
  <c r="B829" i="3"/>
  <c r="U829" i="3" s="1"/>
  <c r="C829" i="3"/>
  <c r="S829" i="3" s="1"/>
  <c r="D829" i="3"/>
  <c r="I829" i="3"/>
  <c r="L829" i="3"/>
  <c r="M829" i="3"/>
  <c r="P829" i="3" s="1"/>
  <c r="N829" i="3"/>
  <c r="O829" i="3" s="1"/>
  <c r="Q829" i="3"/>
  <c r="R829" i="3"/>
  <c r="H828" i="3"/>
  <c r="I828" i="3" s="1"/>
  <c r="B828" i="3"/>
  <c r="C828" i="3"/>
  <c r="S828" i="3" s="1"/>
  <c r="D828" i="3"/>
  <c r="L828" i="3"/>
  <c r="M828" i="3"/>
  <c r="P828" i="3" s="1"/>
  <c r="N828" i="3"/>
  <c r="O828" i="3" s="1"/>
  <c r="Q828" i="3"/>
  <c r="R828" i="3"/>
  <c r="B827" i="3"/>
  <c r="U827" i="3" s="1"/>
  <c r="C827" i="3"/>
  <c r="S827" i="3" s="1"/>
  <c r="D827" i="3"/>
  <c r="I827" i="3"/>
  <c r="L827" i="3"/>
  <c r="M827" i="3"/>
  <c r="P827" i="3" s="1"/>
  <c r="N827" i="3"/>
  <c r="O827" i="3" s="1"/>
  <c r="Q827" i="3"/>
  <c r="R827" i="3"/>
  <c r="B826" i="3"/>
  <c r="C826" i="3"/>
  <c r="S826" i="3" s="1"/>
  <c r="D826" i="3"/>
  <c r="I826" i="3"/>
  <c r="L826" i="3"/>
  <c r="M826" i="3"/>
  <c r="P826" i="3" s="1"/>
  <c r="N826" i="3"/>
  <c r="O826" i="3" s="1"/>
  <c r="Q826" i="3"/>
  <c r="R826" i="3"/>
  <c r="H825" i="3"/>
  <c r="I825" i="3" s="1"/>
  <c r="B825" i="3"/>
  <c r="C825" i="3"/>
  <c r="S825" i="3" s="1"/>
  <c r="D825" i="3"/>
  <c r="L825" i="3"/>
  <c r="M825" i="3"/>
  <c r="P825" i="3" s="1"/>
  <c r="N825" i="3"/>
  <c r="O825" i="3" s="1"/>
  <c r="Q825" i="3"/>
  <c r="R825" i="3"/>
  <c r="B824" i="3"/>
  <c r="C824" i="3"/>
  <c r="S824" i="3" s="1"/>
  <c r="D824" i="3"/>
  <c r="I824" i="3"/>
  <c r="L824" i="3"/>
  <c r="M824" i="3"/>
  <c r="P824" i="3" s="1"/>
  <c r="N824" i="3"/>
  <c r="O824" i="3" s="1"/>
  <c r="Q824" i="3"/>
  <c r="R824" i="3"/>
  <c r="B823" i="3"/>
  <c r="C823" i="3"/>
  <c r="S823" i="3" s="1"/>
  <c r="D823" i="3"/>
  <c r="I823" i="3"/>
  <c r="L823" i="3"/>
  <c r="M823" i="3"/>
  <c r="P823" i="3" s="1"/>
  <c r="N823" i="3"/>
  <c r="O823" i="3" s="1"/>
  <c r="Q823" i="3"/>
  <c r="R823" i="3"/>
  <c r="H822" i="3"/>
  <c r="I822" i="3" s="1"/>
  <c r="B822" i="3"/>
  <c r="U822" i="3" s="1"/>
  <c r="C822" i="3"/>
  <c r="S822" i="3" s="1"/>
  <c r="D822" i="3"/>
  <c r="L822" i="3"/>
  <c r="M822" i="3"/>
  <c r="P822" i="3" s="1"/>
  <c r="N822" i="3"/>
  <c r="O822" i="3" s="1"/>
  <c r="Q822" i="3"/>
  <c r="R822" i="3"/>
  <c r="B821" i="3"/>
  <c r="C821" i="3"/>
  <c r="S821" i="3" s="1"/>
  <c r="D821" i="3"/>
  <c r="I821" i="3"/>
  <c r="L821" i="3"/>
  <c r="M821" i="3"/>
  <c r="P821" i="3" s="1"/>
  <c r="N821" i="3"/>
  <c r="O821" i="3" s="1"/>
  <c r="Q821" i="3"/>
  <c r="R821" i="3"/>
  <c r="B820" i="3"/>
  <c r="U820" i="3" s="1"/>
  <c r="C820" i="3"/>
  <c r="S820" i="3" s="1"/>
  <c r="D820" i="3"/>
  <c r="I820" i="3"/>
  <c r="L820" i="3"/>
  <c r="M820" i="3"/>
  <c r="P820" i="3" s="1"/>
  <c r="N820" i="3"/>
  <c r="O820" i="3" s="1"/>
  <c r="Q820" i="3"/>
  <c r="R820" i="3"/>
  <c r="B819" i="3"/>
  <c r="C819" i="3"/>
  <c r="S819" i="3" s="1"/>
  <c r="D819" i="3"/>
  <c r="I819" i="3"/>
  <c r="L819" i="3"/>
  <c r="M819" i="3"/>
  <c r="P819" i="3" s="1"/>
  <c r="N819" i="3"/>
  <c r="O819" i="3" s="1"/>
  <c r="Q819" i="3"/>
  <c r="R819" i="3"/>
  <c r="H818" i="3"/>
  <c r="I818" i="3" s="1"/>
  <c r="B818" i="3"/>
  <c r="U818" i="3" s="1"/>
  <c r="C818" i="3"/>
  <c r="S818" i="3" s="1"/>
  <c r="D818" i="3"/>
  <c r="L818" i="3"/>
  <c r="M818" i="3"/>
  <c r="P818" i="3" s="1"/>
  <c r="N818" i="3"/>
  <c r="O818" i="3" s="1"/>
  <c r="Q818" i="3"/>
  <c r="R818" i="3"/>
  <c r="B817" i="3"/>
  <c r="U817" i="3" s="1"/>
  <c r="C817" i="3"/>
  <c r="S817" i="3" s="1"/>
  <c r="D817" i="3"/>
  <c r="I817" i="3"/>
  <c r="L817" i="3"/>
  <c r="M817" i="3"/>
  <c r="P817" i="3" s="1"/>
  <c r="N817" i="3"/>
  <c r="O817" i="3" s="1"/>
  <c r="Q817" i="3"/>
  <c r="R817" i="3"/>
  <c r="H816" i="3"/>
  <c r="I816" i="3" s="1"/>
  <c r="B816" i="3"/>
  <c r="C816" i="3"/>
  <c r="S816" i="3" s="1"/>
  <c r="D816" i="3"/>
  <c r="L816" i="3"/>
  <c r="M816" i="3"/>
  <c r="P816" i="3" s="1"/>
  <c r="N816" i="3"/>
  <c r="O816" i="3" s="1"/>
  <c r="Q816" i="3"/>
  <c r="R816" i="3"/>
  <c r="B815" i="3"/>
  <c r="C815" i="3"/>
  <c r="S815" i="3" s="1"/>
  <c r="D815" i="3"/>
  <c r="I815" i="3"/>
  <c r="L815" i="3"/>
  <c r="M815" i="3"/>
  <c r="P815" i="3" s="1"/>
  <c r="N815" i="3"/>
  <c r="O815" i="3" s="1"/>
  <c r="Q815" i="3"/>
  <c r="R815" i="3"/>
  <c r="B814" i="3"/>
  <c r="U814" i="3" s="1"/>
  <c r="C814" i="3"/>
  <c r="S814" i="3" s="1"/>
  <c r="D814" i="3"/>
  <c r="I814" i="3"/>
  <c r="L814" i="3"/>
  <c r="M814" i="3"/>
  <c r="P814" i="3" s="1"/>
  <c r="N814" i="3"/>
  <c r="O814" i="3" s="1"/>
  <c r="Q814" i="3"/>
  <c r="R814" i="3"/>
  <c r="B813" i="3"/>
  <c r="C813" i="3"/>
  <c r="S813" i="3" s="1"/>
  <c r="D813" i="3"/>
  <c r="I813" i="3"/>
  <c r="L813" i="3"/>
  <c r="M813" i="3"/>
  <c r="P813" i="3" s="1"/>
  <c r="N813" i="3"/>
  <c r="O813" i="3" s="1"/>
  <c r="Q813" i="3"/>
  <c r="R813" i="3"/>
  <c r="B812" i="3"/>
  <c r="U812" i="3" s="1"/>
  <c r="C812" i="3"/>
  <c r="S812" i="3" s="1"/>
  <c r="D812" i="3"/>
  <c r="I812" i="3"/>
  <c r="L812" i="3"/>
  <c r="M812" i="3"/>
  <c r="P812" i="3" s="1"/>
  <c r="N812" i="3"/>
  <c r="O812" i="3" s="1"/>
  <c r="Q812" i="3"/>
  <c r="R812" i="3"/>
  <c r="B811" i="3"/>
  <c r="C811" i="3"/>
  <c r="S811" i="3" s="1"/>
  <c r="D811" i="3"/>
  <c r="I811" i="3"/>
  <c r="L811" i="3"/>
  <c r="M811" i="3"/>
  <c r="P811" i="3" s="1"/>
  <c r="N811" i="3"/>
  <c r="O811" i="3" s="1"/>
  <c r="Q811" i="3"/>
  <c r="R811" i="3"/>
  <c r="H810" i="3"/>
  <c r="I810" i="3" s="1"/>
  <c r="B810" i="3"/>
  <c r="C810" i="3"/>
  <c r="S810" i="3" s="1"/>
  <c r="D810" i="3"/>
  <c r="L810" i="3"/>
  <c r="M810" i="3"/>
  <c r="P810" i="3" s="1"/>
  <c r="N810" i="3"/>
  <c r="O810" i="3" s="1"/>
  <c r="Q810" i="3"/>
  <c r="R810" i="3"/>
  <c r="B809" i="3"/>
  <c r="C809" i="3"/>
  <c r="S809" i="3" s="1"/>
  <c r="D809" i="3"/>
  <c r="I809" i="3"/>
  <c r="L809" i="3"/>
  <c r="M809" i="3"/>
  <c r="P809" i="3" s="1"/>
  <c r="N809" i="3"/>
  <c r="O809" i="3" s="1"/>
  <c r="Q809" i="3"/>
  <c r="R809" i="3"/>
  <c r="B808" i="3"/>
  <c r="C808" i="3"/>
  <c r="S808" i="3" s="1"/>
  <c r="D808" i="3"/>
  <c r="I808" i="3"/>
  <c r="L808" i="3"/>
  <c r="M808" i="3"/>
  <c r="P808" i="3" s="1"/>
  <c r="N808" i="3"/>
  <c r="O808" i="3" s="1"/>
  <c r="Q808" i="3"/>
  <c r="R808" i="3"/>
  <c r="B807" i="3"/>
  <c r="U807" i="3" s="1"/>
  <c r="C807" i="3"/>
  <c r="S807" i="3" s="1"/>
  <c r="D807" i="3"/>
  <c r="I807" i="3"/>
  <c r="L807" i="3"/>
  <c r="M807" i="3"/>
  <c r="P807" i="3" s="1"/>
  <c r="N807" i="3"/>
  <c r="O807" i="3" s="1"/>
  <c r="Q807" i="3"/>
  <c r="R807" i="3"/>
  <c r="B806" i="3"/>
  <c r="C806" i="3"/>
  <c r="S806" i="3" s="1"/>
  <c r="D806" i="3"/>
  <c r="I806" i="3"/>
  <c r="L806" i="3"/>
  <c r="M806" i="3"/>
  <c r="P806" i="3" s="1"/>
  <c r="N806" i="3"/>
  <c r="O806" i="3" s="1"/>
  <c r="Q806" i="3"/>
  <c r="R806" i="3"/>
  <c r="B805" i="3"/>
  <c r="C805" i="3"/>
  <c r="S805" i="3" s="1"/>
  <c r="D805" i="3"/>
  <c r="I805" i="3"/>
  <c r="L805" i="3"/>
  <c r="M805" i="3"/>
  <c r="P805" i="3" s="1"/>
  <c r="N805" i="3"/>
  <c r="O805" i="3" s="1"/>
  <c r="Q805" i="3"/>
  <c r="R805" i="3"/>
  <c r="B804" i="3"/>
  <c r="C804" i="3"/>
  <c r="S804" i="3" s="1"/>
  <c r="D804" i="3"/>
  <c r="I804" i="3"/>
  <c r="L804" i="3"/>
  <c r="M804" i="3"/>
  <c r="P804" i="3" s="1"/>
  <c r="N804" i="3"/>
  <c r="O804" i="3" s="1"/>
  <c r="Q804" i="3"/>
  <c r="R804" i="3"/>
  <c r="B803" i="3"/>
  <c r="C803" i="3"/>
  <c r="S803" i="3" s="1"/>
  <c r="D803" i="3"/>
  <c r="I803" i="3"/>
  <c r="L803" i="3"/>
  <c r="M803" i="3"/>
  <c r="P803" i="3" s="1"/>
  <c r="N803" i="3"/>
  <c r="O803" i="3" s="1"/>
  <c r="Q803" i="3"/>
  <c r="R803" i="3"/>
  <c r="H802" i="3"/>
  <c r="I802" i="3" s="1"/>
  <c r="B802" i="3"/>
  <c r="U802" i="3" s="1"/>
  <c r="C802" i="3"/>
  <c r="S802" i="3" s="1"/>
  <c r="D802" i="3"/>
  <c r="L802" i="3"/>
  <c r="M802" i="3"/>
  <c r="P802" i="3" s="1"/>
  <c r="N802" i="3"/>
  <c r="O802" i="3" s="1"/>
  <c r="Q802" i="3"/>
  <c r="R802" i="3"/>
  <c r="B801" i="3"/>
  <c r="C801" i="3"/>
  <c r="S801" i="3" s="1"/>
  <c r="D801" i="3"/>
  <c r="I801" i="3"/>
  <c r="L801" i="3"/>
  <c r="M801" i="3"/>
  <c r="P801" i="3" s="1"/>
  <c r="N801" i="3"/>
  <c r="O801" i="3" s="1"/>
  <c r="Q801" i="3"/>
  <c r="R801" i="3"/>
  <c r="H800" i="3"/>
  <c r="I800" i="3" s="1"/>
  <c r="B800" i="3"/>
  <c r="C800" i="3"/>
  <c r="S800" i="3" s="1"/>
  <c r="D800" i="3"/>
  <c r="L800" i="3"/>
  <c r="M800" i="3"/>
  <c r="P800" i="3" s="1"/>
  <c r="N800" i="3"/>
  <c r="O800" i="3" s="1"/>
  <c r="Q800" i="3"/>
  <c r="R800" i="3"/>
  <c r="B799" i="3"/>
  <c r="U799" i="3" s="1"/>
  <c r="C799" i="3"/>
  <c r="S799" i="3" s="1"/>
  <c r="D799" i="3"/>
  <c r="I799" i="3"/>
  <c r="L799" i="3"/>
  <c r="M799" i="3"/>
  <c r="P799" i="3" s="1"/>
  <c r="N799" i="3"/>
  <c r="O799" i="3" s="1"/>
  <c r="Q799" i="3"/>
  <c r="R799" i="3"/>
  <c r="H798" i="3"/>
  <c r="I798" i="3" s="1"/>
  <c r="B798" i="3"/>
  <c r="C798" i="3"/>
  <c r="S798" i="3" s="1"/>
  <c r="D798" i="3"/>
  <c r="L798" i="3"/>
  <c r="M798" i="3"/>
  <c r="P798" i="3" s="1"/>
  <c r="N798" i="3"/>
  <c r="O798" i="3" s="1"/>
  <c r="Q798" i="3"/>
  <c r="R798" i="3"/>
  <c r="B797" i="3"/>
  <c r="C797" i="3"/>
  <c r="S797" i="3" s="1"/>
  <c r="D797" i="3"/>
  <c r="I797" i="3"/>
  <c r="L797" i="3"/>
  <c r="M797" i="3"/>
  <c r="P797" i="3" s="1"/>
  <c r="N797" i="3"/>
  <c r="O797" i="3" s="1"/>
  <c r="Q797" i="3"/>
  <c r="R797" i="3"/>
  <c r="B795" i="3"/>
  <c r="C795" i="3"/>
  <c r="S795" i="3" s="1"/>
  <c r="I795" i="3"/>
  <c r="L795" i="3"/>
  <c r="M795" i="3"/>
  <c r="P795" i="3" s="1"/>
  <c r="N795" i="3"/>
  <c r="O795" i="3" s="1"/>
  <c r="Q795" i="3"/>
  <c r="R795" i="3"/>
  <c r="B794" i="3"/>
  <c r="U794" i="3" s="1"/>
  <c r="C794" i="3"/>
  <c r="S794" i="3" s="1"/>
  <c r="D794" i="3"/>
  <c r="I794" i="3"/>
  <c r="L794" i="3"/>
  <c r="M794" i="3"/>
  <c r="P794" i="3" s="1"/>
  <c r="N794" i="3"/>
  <c r="O794" i="3" s="1"/>
  <c r="Q794" i="3"/>
  <c r="R794" i="3"/>
  <c r="B793" i="3"/>
  <c r="U793" i="3" s="1"/>
  <c r="C793" i="3"/>
  <c r="S793" i="3" s="1"/>
  <c r="D793" i="3"/>
  <c r="I793" i="3"/>
  <c r="L793" i="3"/>
  <c r="M793" i="3"/>
  <c r="P793" i="3" s="1"/>
  <c r="N793" i="3"/>
  <c r="O793" i="3" s="1"/>
  <c r="Q793" i="3"/>
  <c r="R793" i="3"/>
  <c r="H792" i="3"/>
  <c r="I792" i="3" s="1"/>
  <c r="B792" i="3"/>
  <c r="U792" i="3" s="1"/>
  <c r="C792" i="3"/>
  <c r="S792" i="3" s="1"/>
  <c r="D792" i="3"/>
  <c r="L792" i="3"/>
  <c r="M792" i="3"/>
  <c r="P792" i="3" s="1"/>
  <c r="N792" i="3"/>
  <c r="O792" i="3" s="1"/>
  <c r="Q792" i="3"/>
  <c r="R792" i="3"/>
  <c r="B791" i="3"/>
  <c r="C791" i="3"/>
  <c r="S791" i="3" s="1"/>
  <c r="D791" i="3"/>
  <c r="I791" i="3"/>
  <c r="L791" i="3"/>
  <c r="M791" i="3"/>
  <c r="P791" i="3" s="1"/>
  <c r="N791" i="3"/>
  <c r="O791" i="3" s="1"/>
  <c r="Q791" i="3"/>
  <c r="R791" i="3"/>
  <c r="H790" i="3"/>
  <c r="I790" i="3" s="1"/>
  <c r="B790" i="3"/>
  <c r="U790" i="3" s="1"/>
  <c r="C790" i="3"/>
  <c r="S790" i="3" s="1"/>
  <c r="D790" i="3"/>
  <c r="L790" i="3"/>
  <c r="M790" i="3"/>
  <c r="P790" i="3" s="1"/>
  <c r="N790" i="3"/>
  <c r="O790" i="3" s="1"/>
  <c r="Q790" i="3"/>
  <c r="R790" i="3"/>
  <c r="B789" i="3"/>
  <c r="U789" i="3" s="1"/>
  <c r="C789" i="3"/>
  <c r="S789" i="3" s="1"/>
  <c r="D789" i="3"/>
  <c r="I789" i="3"/>
  <c r="L789" i="3"/>
  <c r="M789" i="3"/>
  <c r="P789" i="3" s="1"/>
  <c r="N789" i="3"/>
  <c r="O789" i="3" s="1"/>
  <c r="Q789" i="3"/>
  <c r="R789" i="3"/>
  <c r="B788" i="3"/>
  <c r="C788" i="3"/>
  <c r="S788" i="3" s="1"/>
  <c r="D788" i="3"/>
  <c r="I788" i="3"/>
  <c r="L788" i="3"/>
  <c r="M788" i="3"/>
  <c r="P788" i="3" s="1"/>
  <c r="N788" i="3"/>
  <c r="O788" i="3" s="1"/>
  <c r="Q788" i="3"/>
  <c r="R788" i="3"/>
  <c r="B787" i="3"/>
  <c r="C787" i="3"/>
  <c r="S787" i="3" s="1"/>
  <c r="D787" i="3"/>
  <c r="I787" i="3"/>
  <c r="L787" i="3"/>
  <c r="M787" i="3"/>
  <c r="P787" i="3" s="1"/>
  <c r="N787" i="3"/>
  <c r="O787" i="3" s="1"/>
  <c r="Q787" i="3"/>
  <c r="R787" i="3"/>
  <c r="B786" i="3"/>
  <c r="C786" i="3"/>
  <c r="S786" i="3" s="1"/>
  <c r="D786" i="3"/>
  <c r="I786" i="3"/>
  <c r="L786" i="3"/>
  <c r="M786" i="3"/>
  <c r="P786" i="3" s="1"/>
  <c r="N786" i="3"/>
  <c r="O786" i="3" s="1"/>
  <c r="Q786" i="3"/>
  <c r="R786" i="3"/>
  <c r="H785" i="3"/>
  <c r="I785" i="3" s="1"/>
  <c r="B785" i="3"/>
  <c r="C785" i="3"/>
  <c r="S785" i="3" s="1"/>
  <c r="D785" i="3"/>
  <c r="L785" i="3"/>
  <c r="M785" i="3"/>
  <c r="P785" i="3" s="1"/>
  <c r="N785" i="3"/>
  <c r="O785" i="3" s="1"/>
  <c r="Q785" i="3"/>
  <c r="R785" i="3"/>
  <c r="B784" i="3"/>
  <c r="U784" i="3" s="1"/>
  <c r="C784" i="3"/>
  <c r="S784" i="3" s="1"/>
  <c r="D784" i="3"/>
  <c r="I784" i="3"/>
  <c r="L784" i="3"/>
  <c r="M784" i="3"/>
  <c r="P784" i="3" s="1"/>
  <c r="N784" i="3"/>
  <c r="O784" i="3" s="1"/>
  <c r="Q784" i="3"/>
  <c r="R784" i="3"/>
  <c r="B783" i="3"/>
  <c r="U783" i="3" s="1"/>
  <c r="C783" i="3"/>
  <c r="S783" i="3" s="1"/>
  <c r="D783" i="3"/>
  <c r="I783" i="3"/>
  <c r="L783" i="3"/>
  <c r="M783" i="3"/>
  <c r="P783" i="3" s="1"/>
  <c r="N783" i="3"/>
  <c r="O783" i="3" s="1"/>
  <c r="Q783" i="3"/>
  <c r="R783" i="3"/>
  <c r="B782" i="3"/>
  <c r="C782" i="3"/>
  <c r="S782" i="3" s="1"/>
  <c r="D782" i="3"/>
  <c r="I782" i="3"/>
  <c r="L782" i="3"/>
  <c r="M782" i="3"/>
  <c r="P782" i="3" s="1"/>
  <c r="N782" i="3"/>
  <c r="O782" i="3" s="1"/>
  <c r="Q782" i="3"/>
  <c r="R782" i="3"/>
  <c r="B781" i="3"/>
  <c r="C781" i="3"/>
  <c r="S781" i="3" s="1"/>
  <c r="D781" i="3"/>
  <c r="I781" i="3"/>
  <c r="L781" i="3"/>
  <c r="M781" i="3"/>
  <c r="P781" i="3" s="1"/>
  <c r="N781" i="3"/>
  <c r="O781" i="3" s="1"/>
  <c r="Q781" i="3"/>
  <c r="R781" i="3"/>
  <c r="B780" i="3"/>
  <c r="C780" i="3"/>
  <c r="S780" i="3" s="1"/>
  <c r="D780" i="3"/>
  <c r="I780" i="3"/>
  <c r="L780" i="3"/>
  <c r="M780" i="3"/>
  <c r="P780" i="3" s="1"/>
  <c r="N780" i="3"/>
  <c r="O780" i="3" s="1"/>
  <c r="Q780" i="3"/>
  <c r="R780" i="3"/>
  <c r="B779" i="3"/>
  <c r="C779" i="3"/>
  <c r="S779" i="3" s="1"/>
  <c r="D779" i="3"/>
  <c r="I779" i="3"/>
  <c r="L779" i="3"/>
  <c r="M779" i="3"/>
  <c r="P779" i="3" s="1"/>
  <c r="N779" i="3"/>
  <c r="O779" i="3" s="1"/>
  <c r="Q779" i="3"/>
  <c r="R779" i="3"/>
  <c r="B778" i="3"/>
  <c r="C778" i="3"/>
  <c r="S778" i="3" s="1"/>
  <c r="D778" i="3"/>
  <c r="I778" i="3"/>
  <c r="L778" i="3"/>
  <c r="M778" i="3"/>
  <c r="P778" i="3" s="1"/>
  <c r="N778" i="3"/>
  <c r="O778" i="3" s="1"/>
  <c r="Q778" i="3"/>
  <c r="R778" i="3"/>
  <c r="B777" i="3"/>
  <c r="C777" i="3"/>
  <c r="S777" i="3" s="1"/>
  <c r="D777" i="3"/>
  <c r="I777" i="3"/>
  <c r="L777" i="3"/>
  <c r="M777" i="3"/>
  <c r="P777" i="3" s="1"/>
  <c r="N777" i="3"/>
  <c r="O777" i="3" s="1"/>
  <c r="Q777" i="3"/>
  <c r="R777" i="3"/>
  <c r="B776" i="3"/>
  <c r="C776" i="3"/>
  <c r="S776" i="3" s="1"/>
  <c r="D776" i="3"/>
  <c r="I776" i="3"/>
  <c r="L776" i="3"/>
  <c r="M776" i="3"/>
  <c r="P776" i="3" s="1"/>
  <c r="N776" i="3"/>
  <c r="O776" i="3" s="1"/>
  <c r="Q776" i="3"/>
  <c r="R776" i="3"/>
  <c r="B775" i="3"/>
  <c r="C775" i="3"/>
  <c r="S775" i="3" s="1"/>
  <c r="D775" i="3"/>
  <c r="I775" i="3"/>
  <c r="L775" i="3"/>
  <c r="M775" i="3"/>
  <c r="P775" i="3" s="1"/>
  <c r="N775" i="3"/>
  <c r="O775" i="3" s="1"/>
  <c r="Q775" i="3"/>
  <c r="R775" i="3"/>
  <c r="B774" i="3"/>
  <c r="U774" i="3" s="1"/>
  <c r="C774" i="3"/>
  <c r="S774" i="3" s="1"/>
  <c r="D774" i="3"/>
  <c r="I774" i="3"/>
  <c r="L774" i="3"/>
  <c r="M774" i="3"/>
  <c r="P774" i="3" s="1"/>
  <c r="N774" i="3"/>
  <c r="O774" i="3" s="1"/>
  <c r="Q774" i="3"/>
  <c r="R774" i="3"/>
  <c r="B773" i="3"/>
  <c r="C773" i="3"/>
  <c r="S773" i="3" s="1"/>
  <c r="D773" i="3"/>
  <c r="I773" i="3"/>
  <c r="L773" i="3"/>
  <c r="M773" i="3"/>
  <c r="P773" i="3" s="1"/>
  <c r="N773" i="3"/>
  <c r="O773" i="3" s="1"/>
  <c r="Q773" i="3"/>
  <c r="R773" i="3"/>
  <c r="B772" i="3"/>
  <c r="C772" i="3"/>
  <c r="S772" i="3" s="1"/>
  <c r="D772" i="3"/>
  <c r="I772" i="3"/>
  <c r="L772" i="3"/>
  <c r="M772" i="3"/>
  <c r="P772" i="3" s="1"/>
  <c r="N772" i="3"/>
  <c r="O772" i="3" s="1"/>
  <c r="Q772" i="3"/>
  <c r="R772" i="3"/>
  <c r="B771" i="3"/>
  <c r="U771" i="3" s="1"/>
  <c r="C771" i="3"/>
  <c r="S771" i="3" s="1"/>
  <c r="D771" i="3"/>
  <c r="I771" i="3"/>
  <c r="L771" i="3"/>
  <c r="M771" i="3"/>
  <c r="P771" i="3" s="1"/>
  <c r="N771" i="3"/>
  <c r="O771" i="3" s="1"/>
  <c r="Q771" i="3"/>
  <c r="R771" i="3"/>
  <c r="B770" i="3"/>
  <c r="U770" i="3" s="1"/>
  <c r="C770" i="3"/>
  <c r="S770" i="3" s="1"/>
  <c r="D770" i="3"/>
  <c r="I770" i="3"/>
  <c r="L770" i="3"/>
  <c r="M770" i="3"/>
  <c r="P770" i="3" s="1"/>
  <c r="N770" i="3"/>
  <c r="O770" i="3" s="1"/>
  <c r="Q770" i="3"/>
  <c r="R770" i="3"/>
  <c r="B769" i="3"/>
  <c r="C769" i="3"/>
  <c r="S769" i="3" s="1"/>
  <c r="D769" i="3"/>
  <c r="I769" i="3"/>
  <c r="L769" i="3"/>
  <c r="M769" i="3"/>
  <c r="P769" i="3" s="1"/>
  <c r="N769" i="3"/>
  <c r="O769" i="3" s="1"/>
  <c r="Q769" i="3"/>
  <c r="R769" i="3"/>
  <c r="B768" i="3"/>
  <c r="C768" i="3"/>
  <c r="S768" i="3" s="1"/>
  <c r="D768" i="3"/>
  <c r="I768" i="3"/>
  <c r="L768" i="3"/>
  <c r="M768" i="3"/>
  <c r="P768" i="3" s="1"/>
  <c r="N768" i="3"/>
  <c r="O768" i="3" s="1"/>
  <c r="Q768" i="3"/>
  <c r="R768" i="3"/>
  <c r="B767" i="3"/>
  <c r="U767" i="3" s="1"/>
  <c r="C767" i="3"/>
  <c r="S767" i="3" s="1"/>
  <c r="D767" i="3"/>
  <c r="I767" i="3"/>
  <c r="L767" i="3"/>
  <c r="M767" i="3"/>
  <c r="P767" i="3" s="1"/>
  <c r="N767" i="3"/>
  <c r="O767" i="3" s="1"/>
  <c r="Q767" i="3"/>
  <c r="R767" i="3"/>
  <c r="H766" i="3"/>
  <c r="I766" i="3" s="1"/>
  <c r="B766" i="3"/>
  <c r="U766" i="3" s="1"/>
  <c r="C766" i="3"/>
  <c r="S766" i="3" s="1"/>
  <c r="D766" i="3"/>
  <c r="L766" i="3"/>
  <c r="M766" i="3"/>
  <c r="P766" i="3" s="1"/>
  <c r="N766" i="3"/>
  <c r="O766" i="3" s="1"/>
  <c r="Q766" i="3"/>
  <c r="R766" i="3"/>
  <c r="B765" i="3"/>
  <c r="C765" i="3"/>
  <c r="S765" i="3" s="1"/>
  <c r="D765" i="3"/>
  <c r="I765" i="3"/>
  <c r="L765" i="3"/>
  <c r="M765" i="3"/>
  <c r="P765" i="3" s="1"/>
  <c r="N765" i="3"/>
  <c r="O765" i="3" s="1"/>
  <c r="Q765" i="3"/>
  <c r="R765" i="3"/>
  <c r="B764" i="3"/>
  <c r="U764" i="3" s="1"/>
  <c r="C764" i="3"/>
  <c r="S764" i="3" s="1"/>
  <c r="D764" i="3"/>
  <c r="I764" i="3"/>
  <c r="L764" i="3"/>
  <c r="M764" i="3"/>
  <c r="P764" i="3" s="1"/>
  <c r="N764" i="3"/>
  <c r="O764" i="3" s="1"/>
  <c r="Q764" i="3"/>
  <c r="R764" i="3"/>
  <c r="B763" i="3"/>
  <c r="C763" i="3"/>
  <c r="S763" i="3" s="1"/>
  <c r="D763" i="3"/>
  <c r="I763" i="3"/>
  <c r="L763" i="3"/>
  <c r="M763" i="3"/>
  <c r="P763" i="3" s="1"/>
  <c r="N763" i="3"/>
  <c r="O763" i="3" s="1"/>
  <c r="Q763" i="3"/>
  <c r="R763" i="3"/>
  <c r="B762" i="3"/>
  <c r="U762" i="3" s="1"/>
  <c r="C762" i="3"/>
  <c r="S762" i="3" s="1"/>
  <c r="D762" i="3"/>
  <c r="I762" i="3"/>
  <c r="L762" i="3"/>
  <c r="M762" i="3"/>
  <c r="P762" i="3" s="1"/>
  <c r="N762" i="3"/>
  <c r="O762" i="3" s="1"/>
  <c r="Q762" i="3"/>
  <c r="R762" i="3"/>
  <c r="B761" i="3"/>
  <c r="U761" i="3" s="1"/>
  <c r="C761" i="3"/>
  <c r="S761" i="3" s="1"/>
  <c r="D761" i="3"/>
  <c r="I761" i="3"/>
  <c r="L761" i="3"/>
  <c r="M761" i="3"/>
  <c r="P761" i="3" s="1"/>
  <c r="N761" i="3"/>
  <c r="O761" i="3" s="1"/>
  <c r="Q761" i="3"/>
  <c r="R761" i="3"/>
  <c r="B760" i="3"/>
  <c r="C760" i="3"/>
  <c r="S760" i="3" s="1"/>
  <c r="D760" i="3"/>
  <c r="I760" i="3"/>
  <c r="L760" i="3"/>
  <c r="M760" i="3"/>
  <c r="P760" i="3" s="1"/>
  <c r="N760" i="3"/>
  <c r="O760" i="3" s="1"/>
  <c r="Q760" i="3"/>
  <c r="R760" i="3"/>
  <c r="B759" i="3"/>
  <c r="U759" i="3" s="1"/>
  <c r="C759" i="3"/>
  <c r="S759" i="3" s="1"/>
  <c r="D759" i="3"/>
  <c r="I759" i="3"/>
  <c r="L759" i="3"/>
  <c r="M759" i="3"/>
  <c r="P759" i="3" s="1"/>
  <c r="N759" i="3"/>
  <c r="O759" i="3" s="1"/>
  <c r="Q759" i="3"/>
  <c r="R759" i="3"/>
  <c r="B758" i="3"/>
  <c r="C758" i="3"/>
  <c r="S758" i="3" s="1"/>
  <c r="D758" i="3"/>
  <c r="I758" i="3"/>
  <c r="L758" i="3"/>
  <c r="M758" i="3"/>
  <c r="P758" i="3" s="1"/>
  <c r="N758" i="3"/>
  <c r="O758" i="3" s="1"/>
  <c r="Q758" i="3"/>
  <c r="R758" i="3"/>
  <c r="B757" i="3"/>
  <c r="C757" i="3"/>
  <c r="S757" i="3" s="1"/>
  <c r="D757" i="3"/>
  <c r="I757" i="3"/>
  <c r="L757" i="3"/>
  <c r="M757" i="3"/>
  <c r="P757" i="3" s="1"/>
  <c r="N757" i="3"/>
  <c r="O757" i="3" s="1"/>
  <c r="Q757" i="3"/>
  <c r="R757" i="3"/>
  <c r="I756" i="3"/>
  <c r="B756" i="3"/>
  <c r="C756" i="3"/>
  <c r="S756" i="3" s="1"/>
  <c r="D756" i="3"/>
  <c r="L756" i="3"/>
  <c r="M756" i="3"/>
  <c r="P756" i="3" s="1"/>
  <c r="N756" i="3"/>
  <c r="O756" i="3" s="1"/>
  <c r="Q756" i="3"/>
  <c r="R756" i="3"/>
  <c r="B755" i="3"/>
  <c r="C755" i="3"/>
  <c r="S755" i="3" s="1"/>
  <c r="D755" i="3"/>
  <c r="I755" i="3"/>
  <c r="L755" i="3"/>
  <c r="M755" i="3"/>
  <c r="P755" i="3" s="1"/>
  <c r="N755" i="3"/>
  <c r="O755" i="3" s="1"/>
  <c r="Q755" i="3"/>
  <c r="R755" i="3"/>
  <c r="H754" i="3"/>
  <c r="I754" i="3" s="1"/>
  <c r="B754" i="3"/>
  <c r="C754" i="3"/>
  <c r="S754" i="3" s="1"/>
  <c r="D754" i="3"/>
  <c r="L754" i="3"/>
  <c r="M754" i="3"/>
  <c r="P754" i="3" s="1"/>
  <c r="N754" i="3"/>
  <c r="O754" i="3" s="1"/>
  <c r="Q754" i="3"/>
  <c r="R754" i="3"/>
  <c r="B753" i="3"/>
  <c r="C753" i="3"/>
  <c r="S753" i="3" s="1"/>
  <c r="D753" i="3"/>
  <c r="I753" i="3"/>
  <c r="L753" i="3"/>
  <c r="M753" i="3"/>
  <c r="P753" i="3" s="1"/>
  <c r="N753" i="3"/>
  <c r="O753" i="3" s="1"/>
  <c r="Q753" i="3"/>
  <c r="R753" i="3"/>
  <c r="B752" i="3"/>
  <c r="C752" i="3"/>
  <c r="S752" i="3" s="1"/>
  <c r="D752" i="3"/>
  <c r="I752" i="3"/>
  <c r="L752" i="3"/>
  <c r="M752" i="3"/>
  <c r="P752" i="3" s="1"/>
  <c r="N752" i="3"/>
  <c r="O752" i="3" s="1"/>
  <c r="Q752" i="3"/>
  <c r="R752" i="3"/>
  <c r="B751" i="3"/>
  <c r="C751" i="3"/>
  <c r="S751" i="3" s="1"/>
  <c r="D751" i="3"/>
  <c r="I751" i="3"/>
  <c r="L751" i="3"/>
  <c r="M751" i="3"/>
  <c r="P751" i="3" s="1"/>
  <c r="N751" i="3"/>
  <c r="O751" i="3" s="1"/>
  <c r="Q751" i="3"/>
  <c r="R751" i="3"/>
  <c r="B750" i="3"/>
  <c r="C750" i="3"/>
  <c r="S750" i="3" s="1"/>
  <c r="D750" i="3"/>
  <c r="I750" i="3"/>
  <c r="L750" i="3"/>
  <c r="M750" i="3"/>
  <c r="P750" i="3" s="1"/>
  <c r="N750" i="3"/>
  <c r="O750" i="3" s="1"/>
  <c r="Q750" i="3"/>
  <c r="R750" i="3"/>
  <c r="H749" i="3"/>
  <c r="I749" i="3" s="1"/>
  <c r="B749" i="3"/>
  <c r="C749" i="3"/>
  <c r="S749" i="3" s="1"/>
  <c r="D749" i="3"/>
  <c r="L749" i="3"/>
  <c r="M749" i="3"/>
  <c r="P749" i="3" s="1"/>
  <c r="N749" i="3"/>
  <c r="O749" i="3" s="1"/>
  <c r="Q749" i="3"/>
  <c r="R749" i="3"/>
  <c r="B748" i="3"/>
  <c r="U748" i="3" s="1"/>
  <c r="C748" i="3"/>
  <c r="S748" i="3" s="1"/>
  <c r="D748" i="3"/>
  <c r="I748" i="3"/>
  <c r="L748" i="3"/>
  <c r="M748" i="3"/>
  <c r="P748" i="3" s="1"/>
  <c r="N748" i="3"/>
  <c r="O748" i="3" s="1"/>
  <c r="Q748" i="3"/>
  <c r="R748" i="3"/>
  <c r="H747" i="3"/>
  <c r="I747" i="3" s="1"/>
  <c r="B747" i="3"/>
  <c r="C747" i="3"/>
  <c r="S747" i="3" s="1"/>
  <c r="D747" i="3"/>
  <c r="L747" i="3"/>
  <c r="M747" i="3"/>
  <c r="P747" i="3" s="1"/>
  <c r="N747" i="3"/>
  <c r="O747" i="3" s="1"/>
  <c r="Q747" i="3"/>
  <c r="R747" i="3"/>
  <c r="B746" i="3"/>
  <c r="U746" i="3" s="1"/>
  <c r="C746" i="3"/>
  <c r="S746" i="3" s="1"/>
  <c r="D746" i="3"/>
  <c r="I746" i="3"/>
  <c r="L746" i="3"/>
  <c r="M746" i="3"/>
  <c r="P746" i="3" s="1"/>
  <c r="N746" i="3"/>
  <c r="O746" i="3" s="1"/>
  <c r="Q746" i="3"/>
  <c r="R746" i="3"/>
  <c r="B745" i="3"/>
  <c r="C745" i="3"/>
  <c r="S745" i="3" s="1"/>
  <c r="D745" i="3"/>
  <c r="I745" i="3"/>
  <c r="L745" i="3"/>
  <c r="M745" i="3"/>
  <c r="P745" i="3" s="1"/>
  <c r="N745" i="3"/>
  <c r="O745" i="3" s="1"/>
  <c r="Q745" i="3"/>
  <c r="R745" i="3"/>
  <c r="B744" i="3"/>
  <c r="C744" i="3"/>
  <c r="S744" i="3" s="1"/>
  <c r="D744" i="3"/>
  <c r="I744" i="3"/>
  <c r="L744" i="3"/>
  <c r="M744" i="3"/>
  <c r="P744" i="3" s="1"/>
  <c r="N744" i="3"/>
  <c r="O744" i="3" s="1"/>
  <c r="Q744" i="3"/>
  <c r="R744" i="3"/>
  <c r="H743" i="3"/>
  <c r="I743" i="3" s="1"/>
  <c r="B743" i="3"/>
  <c r="C743" i="3"/>
  <c r="S743" i="3" s="1"/>
  <c r="D743" i="3"/>
  <c r="L743" i="3"/>
  <c r="M743" i="3"/>
  <c r="P743" i="3" s="1"/>
  <c r="N743" i="3"/>
  <c r="O743" i="3" s="1"/>
  <c r="Q743" i="3"/>
  <c r="R743" i="3"/>
  <c r="B742" i="3"/>
  <c r="U742" i="3" s="1"/>
  <c r="C742" i="3"/>
  <c r="S742" i="3" s="1"/>
  <c r="D742" i="3"/>
  <c r="I742" i="3"/>
  <c r="L742" i="3"/>
  <c r="M742" i="3"/>
  <c r="P742" i="3" s="1"/>
  <c r="N742" i="3"/>
  <c r="O742" i="3" s="1"/>
  <c r="Q742" i="3"/>
  <c r="R742" i="3"/>
  <c r="H740" i="3"/>
  <c r="I740" i="3" s="1"/>
  <c r="B741" i="3"/>
  <c r="C741" i="3"/>
  <c r="S741" i="3" s="1"/>
  <c r="D741" i="3"/>
  <c r="I741" i="3"/>
  <c r="L741" i="3"/>
  <c r="M741" i="3"/>
  <c r="P741" i="3" s="1"/>
  <c r="N741" i="3"/>
  <c r="O741" i="3" s="1"/>
  <c r="Q741" i="3"/>
  <c r="R741" i="3"/>
  <c r="B740" i="3"/>
  <c r="C740" i="3"/>
  <c r="S740" i="3" s="1"/>
  <c r="D740" i="3"/>
  <c r="L740" i="3"/>
  <c r="M740" i="3"/>
  <c r="P740" i="3" s="1"/>
  <c r="N740" i="3"/>
  <c r="O740" i="3" s="1"/>
  <c r="Q740" i="3"/>
  <c r="R740" i="3"/>
  <c r="B739" i="3"/>
  <c r="C739" i="3"/>
  <c r="S739" i="3" s="1"/>
  <c r="D739" i="3"/>
  <c r="I739" i="3"/>
  <c r="L739" i="3"/>
  <c r="M739" i="3"/>
  <c r="P739" i="3" s="1"/>
  <c r="N739" i="3"/>
  <c r="O739" i="3" s="1"/>
  <c r="Q739" i="3"/>
  <c r="R739" i="3"/>
  <c r="B738" i="3"/>
  <c r="C738" i="3"/>
  <c r="S738" i="3" s="1"/>
  <c r="D738" i="3"/>
  <c r="I738" i="3"/>
  <c r="L738" i="3"/>
  <c r="M738" i="3"/>
  <c r="P738" i="3" s="1"/>
  <c r="N738" i="3"/>
  <c r="O738" i="3" s="1"/>
  <c r="Q738" i="3"/>
  <c r="R738" i="3"/>
  <c r="B737" i="3"/>
  <c r="U737" i="3" s="1"/>
  <c r="C737" i="3"/>
  <c r="S737" i="3" s="1"/>
  <c r="D737" i="3"/>
  <c r="I737" i="3"/>
  <c r="L737" i="3"/>
  <c r="M737" i="3"/>
  <c r="P737" i="3" s="1"/>
  <c r="N737" i="3"/>
  <c r="O737" i="3" s="1"/>
  <c r="Q737" i="3"/>
  <c r="R737" i="3"/>
  <c r="B736" i="3"/>
  <c r="C736" i="3"/>
  <c r="S736" i="3" s="1"/>
  <c r="D736" i="3"/>
  <c r="I736" i="3"/>
  <c r="L736" i="3"/>
  <c r="M736" i="3"/>
  <c r="P736" i="3" s="1"/>
  <c r="N736" i="3"/>
  <c r="O736" i="3" s="1"/>
  <c r="Q736" i="3"/>
  <c r="R736" i="3"/>
  <c r="B735" i="3"/>
  <c r="U735" i="3" s="1"/>
  <c r="C735" i="3"/>
  <c r="S735" i="3" s="1"/>
  <c r="D735" i="3"/>
  <c r="I735" i="3"/>
  <c r="L735" i="3"/>
  <c r="M735" i="3"/>
  <c r="P735" i="3" s="1"/>
  <c r="N735" i="3"/>
  <c r="O735" i="3" s="1"/>
  <c r="Q735" i="3"/>
  <c r="R735" i="3"/>
  <c r="B734" i="3"/>
  <c r="C734" i="3"/>
  <c r="S734" i="3" s="1"/>
  <c r="D734" i="3"/>
  <c r="I734" i="3"/>
  <c r="L734" i="3"/>
  <c r="M734" i="3"/>
  <c r="P734" i="3" s="1"/>
  <c r="N734" i="3"/>
  <c r="O734" i="3" s="1"/>
  <c r="Q734" i="3"/>
  <c r="R734" i="3"/>
  <c r="B733" i="3"/>
  <c r="C733" i="3"/>
  <c r="S733" i="3" s="1"/>
  <c r="I733" i="3"/>
  <c r="L733" i="3"/>
  <c r="M733" i="3"/>
  <c r="P733" i="3" s="1"/>
  <c r="N733" i="3"/>
  <c r="O733" i="3" s="1"/>
  <c r="Q733" i="3"/>
  <c r="R733" i="3"/>
  <c r="B732" i="3"/>
  <c r="C732" i="3"/>
  <c r="S732" i="3" s="1"/>
  <c r="D732" i="3"/>
  <c r="I732" i="3"/>
  <c r="L732" i="3"/>
  <c r="M732" i="3"/>
  <c r="P732" i="3" s="1"/>
  <c r="N732" i="3"/>
  <c r="O732" i="3" s="1"/>
  <c r="Q732" i="3"/>
  <c r="R732" i="3"/>
  <c r="B731" i="3"/>
  <c r="U731" i="3" s="1"/>
  <c r="C731" i="3"/>
  <c r="S731" i="3" s="1"/>
  <c r="D731" i="3"/>
  <c r="I731" i="3"/>
  <c r="L731" i="3"/>
  <c r="M731" i="3"/>
  <c r="P731" i="3" s="1"/>
  <c r="N731" i="3"/>
  <c r="O731" i="3" s="1"/>
  <c r="Q731" i="3"/>
  <c r="R731" i="3"/>
  <c r="B730" i="3"/>
  <c r="U730" i="3" s="1"/>
  <c r="C730" i="3"/>
  <c r="S730" i="3" s="1"/>
  <c r="D730" i="3"/>
  <c r="I730" i="3"/>
  <c r="L730" i="3"/>
  <c r="M730" i="3"/>
  <c r="P730" i="3" s="1"/>
  <c r="N730" i="3"/>
  <c r="O730" i="3" s="1"/>
  <c r="Q730" i="3"/>
  <c r="R730" i="3"/>
  <c r="B729" i="3"/>
  <c r="U729" i="3" s="1"/>
  <c r="C729" i="3"/>
  <c r="S729" i="3" s="1"/>
  <c r="D729" i="3"/>
  <c r="I729" i="3"/>
  <c r="L729" i="3"/>
  <c r="M729" i="3"/>
  <c r="P729" i="3" s="1"/>
  <c r="N729" i="3"/>
  <c r="O729" i="3" s="1"/>
  <c r="Q729" i="3"/>
  <c r="R729" i="3"/>
  <c r="B728" i="3"/>
  <c r="U728" i="3" s="1"/>
  <c r="C728" i="3"/>
  <c r="S728" i="3" s="1"/>
  <c r="D728" i="3"/>
  <c r="I728" i="3"/>
  <c r="L728" i="3"/>
  <c r="M728" i="3"/>
  <c r="P728" i="3" s="1"/>
  <c r="N728" i="3"/>
  <c r="O728" i="3" s="1"/>
  <c r="Q728" i="3"/>
  <c r="R728" i="3"/>
  <c r="B727" i="3"/>
  <c r="C727" i="3"/>
  <c r="S727" i="3" s="1"/>
  <c r="D727" i="3"/>
  <c r="I727" i="3"/>
  <c r="L727" i="3"/>
  <c r="M727" i="3"/>
  <c r="P727" i="3" s="1"/>
  <c r="N727" i="3"/>
  <c r="O727" i="3" s="1"/>
  <c r="Q727" i="3"/>
  <c r="R727" i="3"/>
  <c r="B726" i="3"/>
  <c r="C726" i="3"/>
  <c r="S726" i="3" s="1"/>
  <c r="D726" i="3"/>
  <c r="I726" i="3"/>
  <c r="L726" i="3"/>
  <c r="M726" i="3"/>
  <c r="P726" i="3" s="1"/>
  <c r="N726" i="3"/>
  <c r="O726" i="3" s="1"/>
  <c r="Q726" i="3"/>
  <c r="R726" i="3"/>
  <c r="B725" i="3"/>
  <c r="U725" i="3" s="1"/>
  <c r="C725" i="3"/>
  <c r="S725" i="3" s="1"/>
  <c r="D725" i="3"/>
  <c r="I725" i="3"/>
  <c r="L725" i="3"/>
  <c r="M725" i="3"/>
  <c r="P725" i="3" s="1"/>
  <c r="N725" i="3"/>
  <c r="O725" i="3" s="1"/>
  <c r="Q725" i="3"/>
  <c r="R725" i="3"/>
  <c r="B724" i="3"/>
  <c r="C724" i="3"/>
  <c r="S724" i="3" s="1"/>
  <c r="D724" i="3"/>
  <c r="I724" i="3"/>
  <c r="L724" i="3"/>
  <c r="M724" i="3"/>
  <c r="P724" i="3" s="1"/>
  <c r="N724" i="3"/>
  <c r="O724" i="3" s="1"/>
  <c r="Q724" i="3"/>
  <c r="R724" i="3"/>
  <c r="B723" i="3"/>
  <c r="U723" i="3" s="1"/>
  <c r="C723" i="3"/>
  <c r="S723" i="3" s="1"/>
  <c r="D723" i="3"/>
  <c r="I723" i="3"/>
  <c r="L723" i="3"/>
  <c r="M723" i="3"/>
  <c r="P723" i="3" s="1"/>
  <c r="N723" i="3"/>
  <c r="O723" i="3" s="1"/>
  <c r="Q723" i="3"/>
  <c r="R723" i="3"/>
  <c r="B722" i="3"/>
  <c r="U722" i="3" s="1"/>
  <c r="C722" i="3"/>
  <c r="S722" i="3" s="1"/>
  <c r="D722" i="3"/>
  <c r="I722" i="3"/>
  <c r="L722" i="3"/>
  <c r="M722" i="3"/>
  <c r="P722" i="3" s="1"/>
  <c r="N722" i="3"/>
  <c r="O722" i="3" s="1"/>
  <c r="Q722" i="3"/>
  <c r="R722" i="3"/>
  <c r="B721" i="3"/>
  <c r="U721" i="3" s="1"/>
  <c r="C721" i="3"/>
  <c r="S721" i="3" s="1"/>
  <c r="D721" i="3"/>
  <c r="I721" i="3"/>
  <c r="L721" i="3"/>
  <c r="M721" i="3"/>
  <c r="P721" i="3" s="1"/>
  <c r="N721" i="3"/>
  <c r="O721" i="3" s="1"/>
  <c r="Q721" i="3"/>
  <c r="R721" i="3"/>
  <c r="B720" i="3"/>
  <c r="U720" i="3" s="1"/>
  <c r="C720" i="3"/>
  <c r="S720" i="3" s="1"/>
  <c r="D720" i="3"/>
  <c r="I720" i="3"/>
  <c r="L720" i="3"/>
  <c r="M720" i="3"/>
  <c r="P720" i="3" s="1"/>
  <c r="N720" i="3"/>
  <c r="O720" i="3" s="1"/>
  <c r="Q720" i="3"/>
  <c r="R720" i="3"/>
  <c r="B719" i="3"/>
  <c r="C719" i="3"/>
  <c r="S719" i="3" s="1"/>
  <c r="D719" i="3"/>
  <c r="I719" i="3"/>
  <c r="L719" i="3"/>
  <c r="M719" i="3"/>
  <c r="P719" i="3" s="1"/>
  <c r="N719" i="3"/>
  <c r="O719" i="3" s="1"/>
  <c r="Q719" i="3"/>
  <c r="R719" i="3"/>
  <c r="B718" i="3"/>
  <c r="C718" i="3"/>
  <c r="S718" i="3" s="1"/>
  <c r="D718" i="3"/>
  <c r="I718" i="3"/>
  <c r="L718" i="3"/>
  <c r="M718" i="3"/>
  <c r="P718" i="3" s="1"/>
  <c r="N718" i="3"/>
  <c r="O718" i="3" s="1"/>
  <c r="Q718" i="3"/>
  <c r="R718" i="3"/>
  <c r="B717" i="3"/>
  <c r="U717" i="3" s="1"/>
  <c r="C717" i="3"/>
  <c r="S717" i="3" s="1"/>
  <c r="D717" i="3"/>
  <c r="I717" i="3"/>
  <c r="L717" i="3"/>
  <c r="M717" i="3"/>
  <c r="P717" i="3" s="1"/>
  <c r="N717" i="3"/>
  <c r="O717" i="3" s="1"/>
  <c r="Q717" i="3"/>
  <c r="R717" i="3"/>
  <c r="B716" i="3"/>
  <c r="U716" i="3" s="1"/>
  <c r="C716" i="3"/>
  <c r="S716" i="3" s="1"/>
  <c r="D716" i="3"/>
  <c r="I716" i="3"/>
  <c r="L716" i="3"/>
  <c r="M716" i="3"/>
  <c r="P716" i="3" s="1"/>
  <c r="N716" i="3"/>
  <c r="O716" i="3" s="1"/>
  <c r="Q716" i="3"/>
  <c r="R716" i="3"/>
  <c r="B715" i="3"/>
  <c r="U715" i="3" s="1"/>
  <c r="C715" i="3"/>
  <c r="S715" i="3" s="1"/>
  <c r="D715" i="3"/>
  <c r="I715" i="3"/>
  <c r="L715" i="3"/>
  <c r="M715" i="3"/>
  <c r="P715" i="3" s="1"/>
  <c r="N715" i="3"/>
  <c r="O715" i="3" s="1"/>
  <c r="Q715" i="3"/>
  <c r="R715" i="3"/>
  <c r="H713" i="3"/>
  <c r="I713" i="3" s="1"/>
  <c r="B714" i="3"/>
  <c r="U714" i="3" s="1"/>
  <c r="C714" i="3"/>
  <c r="S714" i="3" s="1"/>
  <c r="D714" i="3"/>
  <c r="I714" i="3"/>
  <c r="L714" i="3"/>
  <c r="M714" i="3"/>
  <c r="P714" i="3" s="1"/>
  <c r="N714" i="3"/>
  <c r="O714" i="3" s="1"/>
  <c r="Q714" i="3"/>
  <c r="R714" i="3"/>
  <c r="B713" i="3"/>
  <c r="C713" i="3"/>
  <c r="S713" i="3" s="1"/>
  <c r="D713" i="3"/>
  <c r="L713" i="3"/>
  <c r="M713" i="3"/>
  <c r="P713" i="3" s="1"/>
  <c r="N713" i="3"/>
  <c r="O713" i="3" s="1"/>
  <c r="Q713" i="3"/>
  <c r="R713" i="3"/>
  <c r="B712" i="3"/>
  <c r="U712" i="3" s="1"/>
  <c r="C712" i="3"/>
  <c r="S712" i="3" s="1"/>
  <c r="D712" i="3"/>
  <c r="I712" i="3"/>
  <c r="L712" i="3"/>
  <c r="M712" i="3"/>
  <c r="P712" i="3" s="1"/>
  <c r="N712" i="3"/>
  <c r="O712" i="3" s="1"/>
  <c r="Q712" i="3"/>
  <c r="R712" i="3"/>
  <c r="B711" i="3"/>
  <c r="C711" i="3"/>
  <c r="S711" i="3" s="1"/>
  <c r="D711" i="3"/>
  <c r="I711" i="3"/>
  <c r="L711" i="3"/>
  <c r="M711" i="3"/>
  <c r="P711" i="3" s="1"/>
  <c r="N711" i="3"/>
  <c r="O711" i="3" s="1"/>
  <c r="Q711" i="3"/>
  <c r="R711" i="3"/>
  <c r="B710" i="3"/>
  <c r="C710" i="3"/>
  <c r="S710" i="3" s="1"/>
  <c r="D710" i="3"/>
  <c r="I710" i="3"/>
  <c r="L710" i="3"/>
  <c r="M710" i="3"/>
  <c r="P710" i="3" s="1"/>
  <c r="N710" i="3"/>
  <c r="O710" i="3" s="1"/>
  <c r="Q710" i="3"/>
  <c r="R710" i="3"/>
  <c r="B709" i="3"/>
  <c r="U709" i="3" s="1"/>
  <c r="C709" i="3"/>
  <c r="S709" i="3" s="1"/>
  <c r="D709" i="3"/>
  <c r="I709" i="3"/>
  <c r="L709" i="3"/>
  <c r="M709" i="3"/>
  <c r="P709" i="3" s="1"/>
  <c r="N709" i="3"/>
  <c r="O709" i="3" s="1"/>
  <c r="Q709" i="3"/>
  <c r="R709" i="3"/>
  <c r="B708" i="3"/>
  <c r="U708" i="3" s="1"/>
  <c r="C708" i="3"/>
  <c r="S708" i="3" s="1"/>
  <c r="D708" i="3"/>
  <c r="I708" i="3"/>
  <c r="L708" i="3"/>
  <c r="M708" i="3"/>
  <c r="P708" i="3" s="1"/>
  <c r="N708" i="3"/>
  <c r="O708" i="3" s="1"/>
  <c r="Q708" i="3"/>
  <c r="R708" i="3"/>
  <c r="B707" i="3"/>
  <c r="U707" i="3" s="1"/>
  <c r="C707" i="3"/>
  <c r="S707" i="3" s="1"/>
  <c r="D707" i="3"/>
  <c r="I707" i="3"/>
  <c r="L707" i="3"/>
  <c r="M707" i="3"/>
  <c r="P707" i="3" s="1"/>
  <c r="N707" i="3"/>
  <c r="O707" i="3" s="1"/>
  <c r="Q707" i="3"/>
  <c r="R707" i="3"/>
  <c r="B706" i="3"/>
  <c r="U706" i="3" s="1"/>
  <c r="C706" i="3"/>
  <c r="S706" i="3" s="1"/>
  <c r="D706" i="3"/>
  <c r="I706" i="3"/>
  <c r="L706" i="3"/>
  <c r="M706" i="3"/>
  <c r="P706" i="3" s="1"/>
  <c r="N706" i="3"/>
  <c r="O706" i="3" s="1"/>
  <c r="Q706" i="3"/>
  <c r="R706" i="3"/>
  <c r="B705" i="3"/>
  <c r="U705" i="3" s="1"/>
  <c r="C705" i="3"/>
  <c r="S705" i="3" s="1"/>
  <c r="D705" i="3"/>
  <c r="I705" i="3"/>
  <c r="L705" i="3"/>
  <c r="M705" i="3"/>
  <c r="P705" i="3" s="1"/>
  <c r="N705" i="3"/>
  <c r="O705" i="3" s="1"/>
  <c r="Q705" i="3"/>
  <c r="R705" i="3"/>
  <c r="B704" i="3"/>
  <c r="U704" i="3" s="1"/>
  <c r="C704" i="3"/>
  <c r="S704" i="3" s="1"/>
  <c r="D704" i="3"/>
  <c r="I704" i="3"/>
  <c r="L704" i="3"/>
  <c r="M704" i="3"/>
  <c r="P704" i="3" s="1"/>
  <c r="N704" i="3"/>
  <c r="O704" i="3" s="1"/>
  <c r="Q704" i="3"/>
  <c r="R704" i="3"/>
  <c r="B703" i="3"/>
  <c r="C703" i="3"/>
  <c r="S703" i="3" s="1"/>
  <c r="D703" i="3"/>
  <c r="I703" i="3"/>
  <c r="L703" i="3"/>
  <c r="M703" i="3"/>
  <c r="P703" i="3" s="1"/>
  <c r="N703" i="3"/>
  <c r="O703" i="3" s="1"/>
  <c r="Q703" i="3"/>
  <c r="R703" i="3"/>
  <c r="B702" i="3"/>
  <c r="U702" i="3" s="1"/>
  <c r="C702" i="3"/>
  <c r="S702" i="3" s="1"/>
  <c r="D702" i="3"/>
  <c r="I702" i="3"/>
  <c r="L702" i="3"/>
  <c r="M702" i="3"/>
  <c r="P702" i="3" s="1"/>
  <c r="N702" i="3"/>
  <c r="O702" i="3" s="1"/>
  <c r="Q702" i="3"/>
  <c r="R702" i="3"/>
  <c r="B701" i="3"/>
  <c r="C701" i="3"/>
  <c r="S701" i="3" s="1"/>
  <c r="D701" i="3"/>
  <c r="I701" i="3"/>
  <c r="L701" i="3"/>
  <c r="M701" i="3"/>
  <c r="P701" i="3" s="1"/>
  <c r="N701" i="3"/>
  <c r="O701" i="3" s="1"/>
  <c r="Q701" i="3"/>
  <c r="R701" i="3"/>
  <c r="B700" i="3"/>
  <c r="C700" i="3"/>
  <c r="S700" i="3" s="1"/>
  <c r="D700" i="3"/>
  <c r="I700" i="3"/>
  <c r="L700" i="3"/>
  <c r="M700" i="3"/>
  <c r="P700" i="3" s="1"/>
  <c r="N700" i="3"/>
  <c r="O700" i="3" s="1"/>
  <c r="Q700" i="3"/>
  <c r="R700" i="3"/>
  <c r="B699" i="3"/>
  <c r="C699" i="3"/>
  <c r="S699" i="3" s="1"/>
  <c r="D699" i="3"/>
  <c r="I699" i="3"/>
  <c r="L699" i="3"/>
  <c r="M699" i="3"/>
  <c r="P699" i="3" s="1"/>
  <c r="N699" i="3"/>
  <c r="O699" i="3" s="1"/>
  <c r="Q699" i="3"/>
  <c r="R699" i="3"/>
  <c r="B698" i="3"/>
  <c r="C698" i="3"/>
  <c r="S698" i="3" s="1"/>
  <c r="D698" i="3"/>
  <c r="I698" i="3"/>
  <c r="L698" i="3"/>
  <c r="M698" i="3"/>
  <c r="P698" i="3" s="1"/>
  <c r="N698" i="3"/>
  <c r="O698" i="3" s="1"/>
  <c r="Q698" i="3"/>
  <c r="R698" i="3"/>
  <c r="B697" i="3"/>
  <c r="C697" i="3"/>
  <c r="S697" i="3" s="1"/>
  <c r="D697" i="3"/>
  <c r="I697" i="3"/>
  <c r="L697" i="3"/>
  <c r="M697" i="3"/>
  <c r="P697" i="3" s="1"/>
  <c r="N697" i="3"/>
  <c r="O697" i="3" s="1"/>
  <c r="Q697" i="3"/>
  <c r="R697" i="3"/>
  <c r="B696" i="3"/>
  <c r="C696" i="3"/>
  <c r="S696" i="3" s="1"/>
  <c r="D696" i="3"/>
  <c r="I696" i="3"/>
  <c r="L696" i="3"/>
  <c r="M696" i="3"/>
  <c r="P696" i="3" s="1"/>
  <c r="N696" i="3"/>
  <c r="O696" i="3" s="1"/>
  <c r="Q696" i="3"/>
  <c r="R696" i="3"/>
  <c r="B695" i="3"/>
  <c r="U695" i="3" s="1"/>
  <c r="C695" i="3"/>
  <c r="S695" i="3" s="1"/>
  <c r="D695" i="3"/>
  <c r="I695" i="3"/>
  <c r="L695" i="3"/>
  <c r="M695" i="3"/>
  <c r="P695" i="3" s="1"/>
  <c r="N695" i="3"/>
  <c r="O695" i="3" s="1"/>
  <c r="Q695" i="3"/>
  <c r="R695" i="3"/>
  <c r="B694" i="3"/>
  <c r="C694" i="3"/>
  <c r="S694" i="3" s="1"/>
  <c r="D694" i="3"/>
  <c r="I694" i="3"/>
  <c r="L694" i="3"/>
  <c r="M694" i="3"/>
  <c r="P694" i="3" s="1"/>
  <c r="N694" i="3"/>
  <c r="O694" i="3" s="1"/>
  <c r="Q694" i="3"/>
  <c r="R694" i="3"/>
  <c r="B693" i="3"/>
  <c r="C693" i="3"/>
  <c r="S693" i="3" s="1"/>
  <c r="D693" i="3"/>
  <c r="I693" i="3"/>
  <c r="L693" i="3"/>
  <c r="M693" i="3"/>
  <c r="P693" i="3" s="1"/>
  <c r="N693" i="3"/>
  <c r="O693" i="3" s="1"/>
  <c r="Q693" i="3"/>
  <c r="R693" i="3"/>
  <c r="B692" i="3"/>
  <c r="U692" i="3" s="1"/>
  <c r="C692" i="3"/>
  <c r="S692" i="3" s="1"/>
  <c r="D692" i="3"/>
  <c r="I692" i="3"/>
  <c r="L692" i="3"/>
  <c r="M692" i="3"/>
  <c r="P692" i="3" s="1"/>
  <c r="N692" i="3"/>
  <c r="O692" i="3" s="1"/>
  <c r="Q692" i="3"/>
  <c r="R692" i="3"/>
  <c r="U861" i="3" l="1"/>
  <c r="U860" i="3"/>
  <c r="U859" i="3"/>
  <c r="U858" i="3"/>
  <c r="U857" i="3"/>
  <c r="U856" i="3"/>
  <c r="U855" i="3"/>
  <c r="U854" i="3"/>
  <c r="U852" i="3"/>
  <c r="U851" i="3"/>
  <c r="U850" i="3"/>
  <c r="U849" i="3"/>
  <c r="U847" i="3"/>
  <c r="U846" i="3"/>
  <c r="U845" i="3"/>
  <c r="U843" i="3"/>
  <c r="U842" i="3"/>
  <c r="U841" i="3"/>
  <c r="U839" i="3"/>
  <c r="U838" i="3"/>
  <c r="U836" i="3"/>
  <c r="U833" i="3"/>
  <c r="U832" i="3"/>
  <c r="U828" i="3"/>
  <c r="U825" i="3"/>
  <c r="U826" i="3"/>
  <c r="U824" i="3"/>
  <c r="U823" i="3"/>
  <c r="U821" i="3"/>
  <c r="U819" i="3"/>
  <c r="U816" i="3"/>
  <c r="U815" i="3"/>
  <c r="U813" i="3"/>
  <c r="U810" i="3"/>
  <c r="U811" i="3"/>
  <c r="U809" i="3"/>
  <c r="U808" i="3"/>
  <c r="U806" i="3"/>
  <c r="U805" i="3"/>
  <c r="U804" i="3"/>
  <c r="U803" i="3"/>
  <c r="U801" i="3"/>
  <c r="U800" i="3"/>
  <c r="U798" i="3"/>
  <c r="U797" i="3"/>
  <c r="U795" i="3"/>
  <c r="U791" i="3"/>
  <c r="U788" i="3"/>
  <c r="U787" i="3"/>
  <c r="U785" i="3"/>
  <c r="U786" i="3"/>
  <c r="U782" i="3"/>
  <c r="U781" i="3"/>
  <c r="U780" i="3"/>
  <c r="U779" i="3"/>
  <c r="U778" i="3"/>
  <c r="U777" i="3"/>
  <c r="U776" i="3"/>
  <c r="U775" i="3"/>
  <c r="U773" i="3"/>
  <c r="U772" i="3"/>
  <c r="U769" i="3"/>
  <c r="U768" i="3"/>
  <c r="U765" i="3"/>
  <c r="U763" i="3"/>
  <c r="U760" i="3"/>
  <c r="U758" i="3"/>
  <c r="U757" i="3"/>
  <c r="U756" i="3"/>
  <c r="U754" i="3"/>
  <c r="U755" i="3"/>
  <c r="U753" i="3"/>
  <c r="U752" i="3"/>
  <c r="U751" i="3"/>
  <c r="U750" i="3"/>
  <c r="U749" i="3"/>
  <c r="U747" i="3"/>
  <c r="U745" i="3"/>
  <c r="U744" i="3"/>
  <c r="U743" i="3"/>
  <c r="U741" i="3"/>
  <c r="U740" i="3"/>
  <c r="U739" i="3"/>
  <c r="U738" i="3"/>
  <c r="U736" i="3"/>
  <c r="U734" i="3"/>
  <c r="U733" i="3"/>
  <c r="U732" i="3"/>
  <c r="U727" i="3"/>
  <c r="U726" i="3"/>
  <c r="U724" i="3"/>
  <c r="U719" i="3"/>
  <c r="U718" i="3"/>
  <c r="U713" i="3"/>
  <c r="U711" i="3"/>
  <c r="U710" i="3"/>
  <c r="U703" i="3"/>
  <c r="U701" i="3"/>
  <c r="U700" i="3"/>
  <c r="U699" i="3"/>
  <c r="U698" i="3"/>
  <c r="U697" i="3"/>
  <c r="U696" i="3"/>
  <c r="U694" i="3"/>
  <c r="U693" i="3"/>
  <c r="B691" i="3" l="1"/>
  <c r="U691" i="3" s="1"/>
  <c r="C691" i="3"/>
  <c r="S691" i="3" s="1"/>
  <c r="D691" i="3"/>
  <c r="I691" i="3"/>
  <c r="L691" i="3"/>
  <c r="M691" i="3"/>
  <c r="P691" i="3" s="1"/>
  <c r="N691" i="3"/>
  <c r="O691" i="3" s="1"/>
  <c r="Q691" i="3"/>
  <c r="R691" i="3"/>
  <c r="B690" i="3"/>
  <c r="C690" i="3"/>
  <c r="S690" i="3" s="1"/>
  <c r="D690" i="3"/>
  <c r="I690" i="3"/>
  <c r="L690" i="3"/>
  <c r="M690" i="3"/>
  <c r="P690" i="3" s="1"/>
  <c r="N690" i="3"/>
  <c r="O690" i="3" s="1"/>
  <c r="Q690" i="3"/>
  <c r="R690" i="3"/>
  <c r="H525" i="3"/>
  <c r="I525" i="3" s="1"/>
  <c r="B525" i="3"/>
  <c r="C525" i="3"/>
  <c r="S525" i="3" s="1"/>
  <c r="D525" i="3"/>
  <c r="L525" i="3"/>
  <c r="M525" i="3"/>
  <c r="P525" i="3" s="1"/>
  <c r="N525" i="3"/>
  <c r="O525" i="3" s="1"/>
  <c r="Q525" i="3"/>
  <c r="R525" i="3"/>
  <c r="B689" i="3"/>
  <c r="C689" i="3"/>
  <c r="S689" i="3" s="1"/>
  <c r="D689" i="3"/>
  <c r="I689" i="3"/>
  <c r="L689" i="3"/>
  <c r="M689" i="3"/>
  <c r="P689" i="3" s="1"/>
  <c r="N689" i="3"/>
  <c r="O689" i="3" s="1"/>
  <c r="Q689" i="3"/>
  <c r="R689" i="3"/>
  <c r="B686" i="3"/>
  <c r="U686" i="3" s="1"/>
  <c r="C686" i="3"/>
  <c r="S686" i="3" s="1"/>
  <c r="D686" i="3"/>
  <c r="I686" i="3"/>
  <c r="L686" i="3"/>
  <c r="M686" i="3"/>
  <c r="P686" i="3" s="1"/>
  <c r="N686" i="3"/>
  <c r="O686" i="3" s="1"/>
  <c r="Q686" i="3"/>
  <c r="R686" i="3"/>
  <c r="B685" i="3"/>
  <c r="U685" i="3" s="1"/>
  <c r="C685" i="3"/>
  <c r="S685" i="3" s="1"/>
  <c r="D685" i="3"/>
  <c r="I685" i="3"/>
  <c r="L685" i="3"/>
  <c r="M685" i="3"/>
  <c r="P685" i="3" s="1"/>
  <c r="N685" i="3"/>
  <c r="O685" i="3" s="1"/>
  <c r="Q685" i="3"/>
  <c r="R685" i="3"/>
  <c r="B684" i="3"/>
  <c r="C684" i="3"/>
  <c r="S684" i="3" s="1"/>
  <c r="D684" i="3"/>
  <c r="I684" i="3"/>
  <c r="L684" i="3"/>
  <c r="M684" i="3"/>
  <c r="P684" i="3" s="1"/>
  <c r="N684" i="3"/>
  <c r="O684" i="3" s="1"/>
  <c r="Q684" i="3"/>
  <c r="R684" i="3"/>
  <c r="B683" i="3"/>
  <c r="C683" i="3"/>
  <c r="S683" i="3" s="1"/>
  <c r="D683" i="3"/>
  <c r="I683" i="3"/>
  <c r="L683" i="3"/>
  <c r="M683" i="3"/>
  <c r="P683" i="3" s="1"/>
  <c r="N683" i="3"/>
  <c r="O683" i="3" s="1"/>
  <c r="Q683" i="3"/>
  <c r="R683" i="3"/>
  <c r="I682" i="3"/>
  <c r="B682" i="3"/>
  <c r="U682" i="3" s="1"/>
  <c r="C682" i="3"/>
  <c r="S682" i="3" s="1"/>
  <c r="D682" i="3"/>
  <c r="L682" i="3"/>
  <c r="M682" i="3"/>
  <c r="P682" i="3" s="1"/>
  <c r="N682" i="3"/>
  <c r="O682" i="3" s="1"/>
  <c r="Q682" i="3"/>
  <c r="R682" i="3"/>
  <c r="I680" i="3"/>
  <c r="B680" i="3"/>
  <c r="C680" i="3"/>
  <c r="S680" i="3" s="1"/>
  <c r="D680" i="3"/>
  <c r="L680" i="3"/>
  <c r="M680" i="3"/>
  <c r="P680" i="3" s="1"/>
  <c r="N680" i="3"/>
  <c r="O680" i="3" s="1"/>
  <c r="Q680" i="3"/>
  <c r="R680" i="3"/>
  <c r="B678" i="3"/>
  <c r="C678" i="3"/>
  <c r="S678" i="3" s="1"/>
  <c r="D678" i="3"/>
  <c r="I678" i="3"/>
  <c r="L678" i="3"/>
  <c r="M678" i="3"/>
  <c r="P678" i="3" s="1"/>
  <c r="N678" i="3"/>
  <c r="O678" i="3" s="1"/>
  <c r="Q678" i="3"/>
  <c r="R678" i="3"/>
  <c r="B676" i="3"/>
  <c r="B677" i="3"/>
  <c r="C676" i="3"/>
  <c r="S676" i="3" s="1"/>
  <c r="C677" i="3"/>
  <c r="S677" i="3" s="1"/>
  <c r="D676" i="3"/>
  <c r="D677" i="3"/>
  <c r="I676" i="3"/>
  <c r="I677" i="3"/>
  <c r="L676" i="3"/>
  <c r="L677" i="3"/>
  <c r="M676" i="3"/>
  <c r="P676" i="3" s="1"/>
  <c r="M677" i="3"/>
  <c r="P677" i="3" s="1"/>
  <c r="N676" i="3"/>
  <c r="O676" i="3" s="1"/>
  <c r="N677" i="3"/>
  <c r="O677" i="3" s="1"/>
  <c r="Q676" i="3"/>
  <c r="Q677" i="3"/>
  <c r="R676" i="3"/>
  <c r="R677" i="3"/>
  <c r="B675" i="3"/>
  <c r="C675" i="3"/>
  <c r="S675" i="3" s="1"/>
  <c r="D675" i="3"/>
  <c r="I675" i="3"/>
  <c r="L675" i="3"/>
  <c r="M675" i="3"/>
  <c r="P675" i="3" s="1"/>
  <c r="N675" i="3"/>
  <c r="O675" i="3" s="1"/>
  <c r="Q675" i="3"/>
  <c r="R675" i="3"/>
  <c r="B674" i="3"/>
  <c r="C674" i="3"/>
  <c r="S674" i="3" s="1"/>
  <c r="D674" i="3"/>
  <c r="I674" i="3"/>
  <c r="L674" i="3"/>
  <c r="M674" i="3"/>
  <c r="P674" i="3" s="1"/>
  <c r="N674" i="3"/>
  <c r="O674" i="3" s="1"/>
  <c r="Q674" i="3"/>
  <c r="R674" i="3"/>
  <c r="B673" i="3"/>
  <c r="C673" i="3"/>
  <c r="S673" i="3" s="1"/>
  <c r="D673" i="3"/>
  <c r="I673" i="3"/>
  <c r="L673" i="3"/>
  <c r="M673" i="3"/>
  <c r="P673" i="3" s="1"/>
  <c r="N673" i="3"/>
  <c r="O673" i="3" s="1"/>
  <c r="Q673" i="3"/>
  <c r="R673" i="3"/>
  <c r="B672" i="3"/>
  <c r="C672" i="3"/>
  <c r="S672" i="3" s="1"/>
  <c r="D672" i="3"/>
  <c r="I672" i="3"/>
  <c r="L672" i="3"/>
  <c r="M672" i="3"/>
  <c r="P672" i="3" s="1"/>
  <c r="N672" i="3"/>
  <c r="O672" i="3" s="1"/>
  <c r="Q672" i="3"/>
  <c r="R672" i="3"/>
  <c r="U690" i="3" l="1"/>
  <c r="U525" i="3"/>
  <c r="U689" i="3"/>
  <c r="U684" i="3"/>
  <c r="U683" i="3"/>
  <c r="U680" i="3"/>
  <c r="U678" i="3"/>
  <c r="U676" i="3"/>
  <c r="U677" i="3"/>
  <c r="U675" i="3"/>
  <c r="U674" i="3"/>
  <c r="U673" i="3"/>
  <c r="U672" i="3"/>
  <c r="B671" i="3" l="1"/>
  <c r="C671" i="3"/>
  <c r="S671" i="3" s="1"/>
  <c r="D671" i="3"/>
  <c r="I671" i="3"/>
  <c r="L671" i="3"/>
  <c r="M671" i="3"/>
  <c r="P671" i="3" s="1"/>
  <c r="N671" i="3"/>
  <c r="O671" i="3" s="1"/>
  <c r="Q671" i="3"/>
  <c r="R671" i="3"/>
  <c r="B670" i="3"/>
  <c r="C670" i="3"/>
  <c r="S670" i="3" s="1"/>
  <c r="D670" i="3"/>
  <c r="I670" i="3"/>
  <c r="L670" i="3"/>
  <c r="M670" i="3"/>
  <c r="P670" i="3" s="1"/>
  <c r="N670" i="3"/>
  <c r="O670" i="3" s="1"/>
  <c r="Q670" i="3"/>
  <c r="R670" i="3"/>
  <c r="B669" i="3"/>
  <c r="C669" i="3"/>
  <c r="S669" i="3" s="1"/>
  <c r="D669" i="3"/>
  <c r="I669" i="3"/>
  <c r="L669" i="3"/>
  <c r="M669" i="3"/>
  <c r="P669" i="3" s="1"/>
  <c r="N669" i="3"/>
  <c r="O669" i="3" s="1"/>
  <c r="Q669" i="3"/>
  <c r="R669" i="3"/>
  <c r="B668" i="3"/>
  <c r="C668" i="3"/>
  <c r="S668" i="3" s="1"/>
  <c r="D668" i="3"/>
  <c r="I668" i="3"/>
  <c r="L668" i="3"/>
  <c r="M668" i="3"/>
  <c r="P668" i="3" s="1"/>
  <c r="N668" i="3"/>
  <c r="O668" i="3" s="1"/>
  <c r="Q668" i="3"/>
  <c r="R668" i="3"/>
  <c r="B667" i="3"/>
  <c r="U667" i="3" s="1"/>
  <c r="C667" i="3"/>
  <c r="S667" i="3" s="1"/>
  <c r="D667" i="3"/>
  <c r="I667" i="3"/>
  <c r="L667" i="3"/>
  <c r="M667" i="3"/>
  <c r="P667" i="3" s="1"/>
  <c r="N667" i="3"/>
  <c r="O667" i="3" s="1"/>
  <c r="Q667" i="3"/>
  <c r="R667" i="3"/>
  <c r="B666" i="3"/>
  <c r="C666" i="3"/>
  <c r="S666" i="3" s="1"/>
  <c r="D666" i="3"/>
  <c r="I666" i="3"/>
  <c r="L666" i="3"/>
  <c r="M666" i="3"/>
  <c r="P666" i="3" s="1"/>
  <c r="N666" i="3"/>
  <c r="O666" i="3" s="1"/>
  <c r="Q666" i="3"/>
  <c r="R666" i="3"/>
  <c r="B665" i="3"/>
  <c r="C665" i="3"/>
  <c r="S665" i="3" s="1"/>
  <c r="D665" i="3"/>
  <c r="I665" i="3"/>
  <c r="L665" i="3"/>
  <c r="M665" i="3"/>
  <c r="P665" i="3" s="1"/>
  <c r="N665" i="3"/>
  <c r="O665" i="3" s="1"/>
  <c r="Q665" i="3"/>
  <c r="R665" i="3"/>
  <c r="B664" i="3"/>
  <c r="C664" i="3"/>
  <c r="S664" i="3" s="1"/>
  <c r="D664" i="3"/>
  <c r="I664" i="3"/>
  <c r="L664" i="3"/>
  <c r="M664" i="3"/>
  <c r="P664" i="3" s="1"/>
  <c r="N664" i="3"/>
  <c r="O664" i="3" s="1"/>
  <c r="Q664" i="3"/>
  <c r="R664" i="3"/>
  <c r="B663" i="3"/>
  <c r="C663" i="3"/>
  <c r="S663" i="3" s="1"/>
  <c r="D663" i="3"/>
  <c r="I663" i="3"/>
  <c r="L663" i="3"/>
  <c r="M663" i="3"/>
  <c r="P663" i="3" s="1"/>
  <c r="N663" i="3"/>
  <c r="O663" i="3" s="1"/>
  <c r="Q663" i="3"/>
  <c r="R663" i="3"/>
  <c r="B662" i="3"/>
  <c r="U662" i="3" s="1"/>
  <c r="C662" i="3"/>
  <c r="S662" i="3" s="1"/>
  <c r="D662" i="3"/>
  <c r="I662" i="3"/>
  <c r="L662" i="3"/>
  <c r="M662" i="3"/>
  <c r="P662" i="3" s="1"/>
  <c r="N662" i="3"/>
  <c r="O662" i="3" s="1"/>
  <c r="Q662" i="3"/>
  <c r="R662" i="3"/>
  <c r="B661" i="3"/>
  <c r="C661" i="3"/>
  <c r="S661" i="3" s="1"/>
  <c r="D661" i="3"/>
  <c r="I661" i="3"/>
  <c r="L661" i="3"/>
  <c r="M661" i="3"/>
  <c r="P661" i="3" s="1"/>
  <c r="N661" i="3"/>
  <c r="O661" i="3" s="1"/>
  <c r="Q661" i="3"/>
  <c r="R661" i="3"/>
  <c r="B660" i="3"/>
  <c r="C660" i="3"/>
  <c r="S660" i="3" s="1"/>
  <c r="D660" i="3"/>
  <c r="I660" i="3"/>
  <c r="L660" i="3"/>
  <c r="M660" i="3"/>
  <c r="P660" i="3" s="1"/>
  <c r="N660" i="3"/>
  <c r="O660" i="3" s="1"/>
  <c r="Q660" i="3"/>
  <c r="R660" i="3"/>
  <c r="B659" i="3"/>
  <c r="U659" i="3" s="1"/>
  <c r="C659" i="3"/>
  <c r="S659" i="3" s="1"/>
  <c r="D659" i="3"/>
  <c r="I659" i="3"/>
  <c r="L659" i="3"/>
  <c r="M659" i="3"/>
  <c r="P659" i="3" s="1"/>
  <c r="N659" i="3"/>
  <c r="O659" i="3" s="1"/>
  <c r="Q659" i="3"/>
  <c r="R659" i="3"/>
  <c r="B658" i="3"/>
  <c r="C658" i="3"/>
  <c r="S658" i="3" s="1"/>
  <c r="D658" i="3"/>
  <c r="I658" i="3"/>
  <c r="L658" i="3"/>
  <c r="M658" i="3"/>
  <c r="P658" i="3" s="1"/>
  <c r="N658" i="3"/>
  <c r="O658" i="3" s="1"/>
  <c r="Q658" i="3"/>
  <c r="R658" i="3"/>
  <c r="B657" i="3"/>
  <c r="C657" i="3"/>
  <c r="S657" i="3" s="1"/>
  <c r="D657" i="3"/>
  <c r="I657" i="3"/>
  <c r="L657" i="3"/>
  <c r="M657" i="3"/>
  <c r="P657" i="3" s="1"/>
  <c r="N657" i="3"/>
  <c r="O657" i="3" s="1"/>
  <c r="Q657" i="3"/>
  <c r="R657" i="3"/>
  <c r="H656" i="3"/>
  <c r="I656" i="3" s="1"/>
  <c r="B656" i="3"/>
  <c r="C656" i="3"/>
  <c r="S656" i="3" s="1"/>
  <c r="D656" i="3"/>
  <c r="L656" i="3"/>
  <c r="M656" i="3"/>
  <c r="P656" i="3" s="1"/>
  <c r="N656" i="3"/>
  <c r="O656" i="3" s="1"/>
  <c r="Q656" i="3"/>
  <c r="R656" i="3"/>
  <c r="B655" i="3"/>
  <c r="C655" i="3"/>
  <c r="S655" i="3" s="1"/>
  <c r="D655" i="3"/>
  <c r="I655" i="3"/>
  <c r="L655" i="3"/>
  <c r="M655" i="3"/>
  <c r="P655" i="3" s="1"/>
  <c r="N655" i="3"/>
  <c r="O655" i="3" s="1"/>
  <c r="Q655" i="3"/>
  <c r="R655" i="3"/>
  <c r="B654" i="3"/>
  <c r="C654" i="3"/>
  <c r="S654" i="3" s="1"/>
  <c r="D654" i="3"/>
  <c r="I654" i="3"/>
  <c r="L654" i="3"/>
  <c r="M654" i="3"/>
  <c r="P654" i="3" s="1"/>
  <c r="N654" i="3"/>
  <c r="O654" i="3" s="1"/>
  <c r="Q654" i="3"/>
  <c r="R654" i="3"/>
  <c r="B653" i="3"/>
  <c r="U653" i="3" s="1"/>
  <c r="C653" i="3"/>
  <c r="S653" i="3" s="1"/>
  <c r="D653" i="3"/>
  <c r="I653" i="3"/>
  <c r="L653" i="3"/>
  <c r="M653" i="3"/>
  <c r="P653" i="3" s="1"/>
  <c r="N653" i="3"/>
  <c r="O653" i="3" s="1"/>
  <c r="Q653" i="3"/>
  <c r="R653" i="3"/>
  <c r="B652" i="3"/>
  <c r="C652" i="3"/>
  <c r="S652" i="3" s="1"/>
  <c r="D652" i="3"/>
  <c r="I652" i="3"/>
  <c r="L652" i="3"/>
  <c r="M652" i="3"/>
  <c r="P652" i="3" s="1"/>
  <c r="N652" i="3"/>
  <c r="O652" i="3" s="1"/>
  <c r="Q652" i="3"/>
  <c r="R652" i="3"/>
  <c r="B651" i="3"/>
  <c r="U651" i="3" s="1"/>
  <c r="C651" i="3"/>
  <c r="S651" i="3" s="1"/>
  <c r="D651" i="3"/>
  <c r="I651" i="3"/>
  <c r="L651" i="3"/>
  <c r="M651" i="3"/>
  <c r="P651" i="3" s="1"/>
  <c r="N651" i="3"/>
  <c r="O651" i="3" s="1"/>
  <c r="Q651" i="3"/>
  <c r="R651" i="3"/>
  <c r="B650" i="3"/>
  <c r="U650" i="3" s="1"/>
  <c r="C650" i="3"/>
  <c r="S650" i="3" s="1"/>
  <c r="D650" i="3"/>
  <c r="I650" i="3"/>
  <c r="L650" i="3"/>
  <c r="M650" i="3"/>
  <c r="P650" i="3" s="1"/>
  <c r="N650" i="3"/>
  <c r="O650" i="3" s="1"/>
  <c r="Q650" i="3"/>
  <c r="R650" i="3"/>
  <c r="B649" i="3"/>
  <c r="C649" i="3"/>
  <c r="S649" i="3" s="1"/>
  <c r="D649" i="3"/>
  <c r="I649" i="3"/>
  <c r="L649" i="3"/>
  <c r="M649" i="3"/>
  <c r="P649" i="3" s="1"/>
  <c r="N649" i="3"/>
  <c r="O649" i="3" s="1"/>
  <c r="Q649" i="3"/>
  <c r="R649" i="3"/>
  <c r="B648" i="3"/>
  <c r="C648" i="3"/>
  <c r="S648" i="3" s="1"/>
  <c r="D648" i="3"/>
  <c r="I648" i="3"/>
  <c r="L648" i="3"/>
  <c r="M648" i="3"/>
  <c r="P648" i="3" s="1"/>
  <c r="N648" i="3"/>
  <c r="O648" i="3" s="1"/>
  <c r="Q648" i="3"/>
  <c r="R648" i="3"/>
  <c r="B647" i="3"/>
  <c r="C647" i="3"/>
  <c r="S647" i="3" s="1"/>
  <c r="D647" i="3"/>
  <c r="I647" i="3"/>
  <c r="L647" i="3"/>
  <c r="M647" i="3"/>
  <c r="P647" i="3" s="1"/>
  <c r="N647" i="3"/>
  <c r="O647" i="3" s="1"/>
  <c r="Q647" i="3"/>
  <c r="R647" i="3"/>
  <c r="B646" i="3"/>
  <c r="C646" i="3"/>
  <c r="S646" i="3" s="1"/>
  <c r="D646" i="3"/>
  <c r="I646" i="3"/>
  <c r="L646" i="3"/>
  <c r="M646" i="3"/>
  <c r="P646" i="3" s="1"/>
  <c r="N646" i="3"/>
  <c r="O646" i="3" s="1"/>
  <c r="Q646" i="3"/>
  <c r="R646" i="3"/>
  <c r="B645" i="3"/>
  <c r="U645" i="3" s="1"/>
  <c r="C645" i="3"/>
  <c r="S645" i="3" s="1"/>
  <c r="D645" i="3"/>
  <c r="I645" i="3"/>
  <c r="L645" i="3"/>
  <c r="M645" i="3"/>
  <c r="P645" i="3" s="1"/>
  <c r="N645" i="3"/>
  <c r="O645" i="3" s="1"/>
  <c r="Q645" i="3"/>
  <c r="R645" i="3"/>
  <c r="B644" i="3"/>
  <c r="U644" i="3" s="1"/>
  <c r="C644" i="3"/>
  <c r="S644" i="3" s="1"/>
  <c r="D644" i="3"/>
  <c r="I644" i="3"/>
  <c r="L644" i="3"/>
  <c r="M644" i="3"/>
  <c r="P644" i="3" s="1"/>
  <c r="N644" i="3"/>
  <c r="O644" i="3" s="1"/>
  <c r="Q644" i="3"/>
  <c r="R644" i="3"/>
  <c r="B643" i="3"/>
  <c r="C643" i="3"/>
  <c r="S643" i="3" s="1"/>
  <c r="D643" i="3"/>
  <c r="I643" i="3"/>
  <c r="L643" i="3"/>
  <c r="M643" i="3"/>
  <c r="P643" i="3" s="1"/>
  <c r="N643" i="3"/>
  <c r="O643" i="3" s="1"/>
  <c r="Q643" i="3"/>
  <c r="R643" i="3"/>
  <c r="B642" i="3"/>
  <c r="U642" i="3" s="1"/>
  <c r="C642" i="3"/>
  <c r="S642" i="3" s="1"/>
  <c r="D642" i="3"/>
  <c r="I642" i="3"/>
  <c r="L642" i="3"/>
  <c r="M642" i="3"/>
  <c r="P642" i="3" s="1"/>
  <c r="N642" i="3"/>
  <c r="O642" i="3" s="1"/>
  <c r="Q642" i="3"/>
  <c r="R642" i="3"/>
  <c r="B641" i="3"/>
  <c r="C641" i="3"/>
  <c r="S641" i="3" s="1"/>
  <c r="D641" i="3"/>
  <c r="I641" i="3"/>
  <c r="L641" i="3"/>
  <c r="M641" i="3"/>
  <c r="P641" i="3" s="1"/>
  <c r="N641" i="3"/>
  <c r="O641" i="3" s="1"/>
  <c r="Q641" i="3"/>
  <c r="R641" i="3"/>
  <c r="B640" i="3"/>
  <c r="U640" i="3" s="1"/>
  <c r="C640" i="3"/>
  <c r="S640" i="3" s="1"/>
  <c r="D640" i="3"/>
  <c r="I640" i="3"/>
  <c r="L640" i="3"/>
  <c r="M640" i="3"/>
  <c r="P640" i="3" s="1"/>
  <c r="N640" i="3"/>
  <c r="O640" i="3" s="1"/>
  <c r="Q640" i="3"/>
  <c r="R640" i="3"/>
  <c r="B639" i="3"/>
  <c r="C639" i="3"/>
  <c r="S639" i="3" s="1"/>
  <c r="D639" i="3"/>
  <c r="I639" i="3"/>
  <c r="L639" i="3"/>
  <c r="M639" i="3"/>
  <c r="P639" i="3" s="1"/>
  <c r="N639" i="3"/>
  <c r="O639" i="3" s="1"/>
  <c r="Q639" i="3"/>
  <c r="R639" i="3"/>
  <c r="B638" i="3"/>
  <c r="U638" i="3" s="1"/>
  <c r="C638" i="3"/>
  <c r="S638" i="3" s="1"/>
  <c r="D638" i="3"/>
  <c r="I638" i="3"/>
  <c r="L638" i="3"/>
  <c r="M638" i="3"/>
  <c r="P638" i="3" s="1"/>
  <c r="N638" i="3"/>
  <c r="O638" i="3" s="1"/>
  <c r="Q638" i="3"/>
  <c r="R638" i="3"/>
  <c r="H632" i="3"/>
  <c r="I632" i="3" s="1"/>
  <c r="H611" i="3"/>
  <c r="I611" i="3" s="1"/>
  <c r="H601" i="3"/>
  <c r="I601" i="3" s="1"/>
  <c r="H582" i="3"/>
  <c r="I582" i="3" s="1"/>
  <c r="H565" i="3"/>
  <c r="I565" i="3" s="1"/>
  <c r="H552" i="3"/>
  <c r="I552" i="3" s="1"/>
  <c r="H528" i="3"/>
  <c r="I528" i="3" s="1"/>
  <c r="H499" i="3"/>
  <c r="I499" i="3" s="1"/>
  <c r="H497" i="3"/>
  <c r="I497" i="3" s="1"/>
  <c r="H637" i="3"/>
  <c r="I637" i="3" s="1"/>
  <c r="B637" i="3"/>
  <c r="U637" i="3" s="1"/>
  <c r="C637" i="3"/>
  <c r="S637" i="3" s="1"/>
  <c r="D637" i="3"/>
  <c r="L637" i="3"/>
  <c r="M637" i="3"/>
  <c r="P637" i="3" s="1"/>
  <c r="N637" i="3"/>
  <c r="O637" i="3" s="1"/>
  <c r="Q637" i="3"/>
  <c r="R637" i="3"/>
  <c r="B636" i="3"/>
  <c r="U636" i="3" s="1"/>
  <c r="C636" i="3"/>
  <c r="S636" i="3" s="1"/>
  <c r="D636" i="3"/>
  <c r="I636" i="3"/>
  <c r="L636" i="3"/>
  <c r="M636" i="3"/>
  <c r="P636" i="3" s="1"/>
  <c r="N636" i="3"/>
  <c r="O636" i="3" s="1"/>
  <c r="Q636" i="3"/>
  <c r="R636" i="3"/>
  <c r="B635" i="3"/>
  <c r="C635" i="3"/>
  <c r="S635" i="3" s="1"/>
  <c r="D635" i="3"/>
  <c r="I635" i="3"/>
  <c r="L635" i="3"/>
  <c r="M635" i="3"/>
  <c r="P635" i="3" s="1"/>
  <c r="N635" i="3"/>
  <c r="O635" i="3" s="1"/>
  <c r="Q635" i="3"/>
  <c r="R635" i="3"/>
  <c r="B634" i="3"/>
  <c r="C634" i="3"/>
  <c r="S634" i="3" s="1"/>
  <c r="D634" i="3"/>
  <c r="I634" i="3"/>
  <c r="L634" i="3"/>
  <c r="M634" i="3"/>
  <c r="P634" i="3" s="1"/>
  <c r="N634" i="3"/>
  <c r="O634" i="3" s="1"/>
  <c r="Q634" i="3"/>
  <c r="R634" i="3"/>
  <c r="B633" i="3"/>
  <c r="C633" i="3"/>
  <c r="S633" i="3" s="1"/>
  <c r="D633" i="3"/>
  <c r="I633" i="3"/>
  <c r="L633" i="3"/>
  <c r="M633" i="3"/>
  <c r="P633" i="3" s="1"/>
  <c r="N633" i="3"/>
  <c r="O633" i="3" s="1"/>
  <c r="Q633" i="3"/>
  <c r="R633" i="3"/>
  <c r="B632" i="3"/>
  <c r="C632" i="3"/>
  <c r="S632" i="3" s="1"/>
  <c r="D632" i="3"/>
  <c r="L632" i="3"/>
  <c r="M632" i="3"/>
  <c r="P632" i="3" s="1"/>
  <c r="N632" i="3"/>
  <c r="O632" i="3" s="1"/>
  <c r="Q632" i="3"/>
  <c r="R632" i="3"/>
  <c r="B630" i="3"/>
  <c r="U630" i="3" s="1"/>
  <c r="C630" i="3"/>
  <c r="S630" i="3" s="1"/>
  <c r="D630" i="3"/>
  <c r="I630" i="3"/>
  <c r="L630" i="3"/>
  <c r="M630" i="3"/>
  <c r="P630" i="3" s="1"/>
  <c r="N630" i="3"/>
  <c r="O630" i="3" s="1"/>
  <c r="Q630" i="3"/>
  <c r="R630" i="3"/>
  <c r="B629" i="3"/>
  <c r="C629" i="3"/>
  <c r="S629" i="3" s="1"/>
  <c r="D629" i="3"/>
  <c r="I629" i="3"/>
  <c r="L629" i="3"/>
  <c r="M629" i="3"/>
  <c r="P629" i="3" s="1"/>
  <c r="N629" i="3"/>
  <c r="O629" i="3" s="1"/>
  <c r="Q629" i="3"/>
  <c r="R629" i="3"/>
  <c r="B628" i="3"/>
  <c r="C628" i="3"/>
  <c r="S628" i="3" s="1"/>
  <c r="D628" i="3"/>
  <c r="I628" i="3"/>
  <c r="L628" i="3"/>
  <c r="M628" i="3"/>
  <c r="P628" i="3" s="1"/>
  <c r="N628" i="3"/>
  <c r="O628" i="3" s="1"/>
  <c r="Q628" i="3"/>
  <c r="R628" i="3"/>
  <c r="B627" i="3"/>
  <c r="C627" i="3"/>
  <c r="S627" i="3" s="1"/>
  <c r="D627" i="3"/>
  <c r="I627" i="3"/>
  <c r="L627" i="3"/>
  <c r="M627" i="3"/>
  <c r="P627" i="3" s="1"/>
  <c r="N627" i="3"/>
  <c r="O627" i="3" s="1"/>
  <c r="Q627" i="3"/>
  <c r="R627" i="3"/>
  <c r="B626" i="3"/>
  <c r="U626" i="3" s="1"/>
  <c r="C626" i="3"/>
  <c r="S626" i="3" s="1"/>
  <c r="D626" i="3"/>
  <c r="I626" i="3"/>
  <c r="L626" i="3"/>
  <c r="M626" i="3"/>
  <c r="P626" i="3" s="1"/>
  <c r="N626" i="3"/>
  <c r="O626" i="3" s="1"/>
  <c r="Q626" i="3"/>
  <c r="R626" i="3"/>
  <c r="B625" i="3"/>
  <c r="C625" i="3"/>
  <c r="S625" i="3" s="1"/>
  <c r="D625" i="3"/>
  <c r="I625" i="3"/>
  <c r="L625" i="3"/>
  <c r="M625" i="3"/>
  <c r="P625" i="3" s="1"/>
  <c r="N625" i="3"/>
  <c r="O625" i="3" s="1"/>
  <c r="Q625" i="3"/>
  <c r="R625" i="3"/>
  <c r="B624" i="3"/>
  <c r="U624" i="3" s="1"/>
  <c r="C624" i="3"/>
  <c r="S624" i="3" s="1"/>
  <c r="D624" i="3"/>
  <c r="I624" i="3"/>
  <c r="L624" i="3"/>
  <c r="M624" i="3"/>
  <c r="P624" i="3" s="1"/>
  <c r="N624" i="3"/>
  <c r="O624" i="3" s="1"/>
  <c r="Q624" i="3"/>
  <c r="R624" i="3"/>
  <c r="B623" i="3"/>
  <c r="U623" i="3" s="1"/>
  <c r="C623" i="3"/>
  <c r="S623" i="3" s="1"/>
  <c r="D623" i="3"/>
  <c r="I623" i="3"/>
  <c r="L623" i="3"/>
  <c r="M623" i="3"/>
  <c r="P623" i="3" s="1"/>
  <c r="N623" i="3"/>
  <c r="O623" i="3" s="1"/>
  <c r="Q623" i="3"/>
  <c r="R623" i="3"/>
  <c r="B622" i="3"/>
  <c r="U622" i="3" s="1"/>
  <c r="C622" i="3"/>
  <c r="S622" i="3" s="1"/>
  <c r="D622" i="3"/>
  <c r="I622" i="3"/>
  <c r="L622" i="3"/>
  <c r="M622" i="3"/>
  <c r="P622" i="3" s="1"/>
  <c r="N622" i="3"/>
  <c r="O622" i="3" s="1"/>
  <c r="Q622" i="3"/>
  <c r="R622" i="3"/>
  <c r="B621" i="3"/>
  <c r="C621" i="3"/>
  <c r="S621" i="3" s="1"/>
  <c r="D621" i="3"/>
  <c r="I621" i="3"/>
  <c r="L621" i="3"/>
  <c r="M621" i="3"/>
  <c r="P621" i="3" s="1"/>
  <c r="N621" i="3"/>
  <c r="O621" i="3" s="1"/>
  <c r="Q621" i="3"/>
  <c r="R621" i="3"/>
  <c r="B620" i="3"/>
  <c r="C620" i="3"/>
  <c r="S620" i="3" s="1"/>
  <c r="D620" i="3"/>
  <c r="I620" i="3"/>
  <c r="L620" i="3"/>
  <c r="M620" i="3"/>
  <c r="P620" i="3" s="1"/>
  <c r="N620" i="3"/>
  <c r="O620" i="3" s="1"/>
  <c r="Q620" i="3"/>
  <c r="R620" i="3"/>
  <c r="B619" i="3"/>
  <c r="U619" i="3" s="1"/>
  <c r="C619" i="3"/>
  <c r="S619" i="3" s="1"/>
  <c r="D619" i="3"/>
  <c r="I619" i="3"/>
  <c r="L619" i="3"/>
  <c r="M619" i="3"/>
  <c r="P619" i="3" s="1"/>
  <c r="N619" i="3"/>
  <c r="O619" i="3" s="1"/>
  <c r="Q619" i="3"/>
  <c r="R619" i="3"/>
  <c r="B618" i="3"/>
  <c r="C618" i="3"/>
  <c r="S618" i="3" s="1"/>
  <c r="D618" i="3"/>
  <c r="I618" i="3"/>
  <c r="L618" i="3"/>
  <c r="M618" i="3"/>
  <c r="P618" i="3" s="1"/>
  <c r="N618" i="3"/>
  <c r="O618" i="3" s="1"/>
  <c r="Q618" i="3"/>
  <c r="R618" i="3"/>
  <c r="H617" i="3"/>
  <c r="I617" i="3" s="1"/>
  <c r="B617" i="3"/>
  <c r="C617" i="3"/>
  <c r="S617" i="3" s="1"/>
  <c r="D617" i="3"/>
  <c r="L617" i="3"/>
  <c r="M617" i="3"/>
  <c r="P617" i="3" s="1"/>
  <c r="N617" i="3"/>
  <c r="O617" i="3" s="1"/>
  <c r="Q617" i="3"/>
  <c r="R617" i="3"/>
  <c r="B616" i="3"/>
  <c r="C616" i="3"/>
  <c r="S616" i="3" s="1"/>
  <c r="D616" i="3"/>
  <c r="I616" i="3"/>
  <c r="L616" i="3"/>
  <c r="M616" i="3"/>
  <c r="P616" i="3" s="1"/>
  <c r="N616" i="3"/>
  <c r="O616" i="3" s="1"/>
  <c r="Q616" i="3"/>
  <c r="R616" i="3"/>
  <c r="B615" i="3"/>
  <c r="U615" i="3" s="1"/>
  <c r="C615" i="3"/>
  <c r="S615" i="3" s="1"/>
  <c r="D615" i="3"/>
  <c r="I615" i="3"/>
  <c r="L615" i="3"/>
  <c r="M615" i="3"/>
  <c r="P615" i="3" s="1"/>
  <c r="N615" i="3"/>
  <c r="O615" i="3" s="1"/>
  <c r="Q615" i="3"/>
  <c r="R615" i="3"/>
  <c r="B614" i="3"/>
  <c r="U614" i="3" s="1"/>
  <c r="C614" i="3"/>
  <c r="S614" i="3" s="1"/>
  <c r="D614" i="3"/>
  <c r="I614" i="3"/>
  <c r="L614" i="3"/>
  <c r="M614" i="3"/>
  <c r="P614" i="3" s="1"/>
  <c r="N614" i="3"/>
  <c r="O614" i="3" s="1"/>
  <c r="Q614" i="3"/>
  <c r="R614" i="3"/>
  <c r="B613" i="3"/>
  <c r="C613" i="3"/>
  <c r="S613" i="3" s="1"/>
  <c r="D613" i="3"/>
  <c r="I613" i="3"/>
  <c r="L613" i="3"/>
  <c r="M613" i="3"/>
  <c r="P613" i="3" s="1"/>
  <c r="N613" i="3"/>
  <c r="O613" i="3" s="1"/>
  <c r="Q613" i="3"/>
  <c r="R613" i="3"/>
  <c r="B612" i="3"/>
  <c r="C612" i="3"/>
  <c r="S612" i="3" s="1"/>
  <c r="D612" i="3"/>
  <c r="I612" i="3"/>
  <c r="L612" i="3"/>
  <c r="M612" i="3"/>
  <c r="P612" i="3" s="1"/>
  <c r="N612" i="3"/>
  <c r="O612" i="3" s="1"/>
  <c r="Q612" i="3"/>
  <c r="R612" i="3"/>
  <c r="B611" i="3"/>
  <c r="C611" i="3"/>
  <c r="S611" i="3" s="1"/>
  <c r="D611" i="3"/>
  <c r="L611" i="3"/>
  <c r="M611" i="3"/>
  <c r="P611" i="3" s="1"/>
  <c r="N611" i="3"/>
  <c r="O611" i="3" s="1"/>
  <c r="Q611" i="3"/>
  <c r="R611" i="3"/>
  <c r="B610" i="3"/>
  <c r="C610" i="3"/>
  <c r="S610" i="3" s="1"/>
  <c r="D610" i="3"/>
  <c r="I610" i="3"/>
  <c r="L610" i="3"/>
  <c r="M610" i="3"/>
  <c r="P610" i="3" s="1"/>
  <c r="N610" i="3"/>
  <c r="O610" i="3" s="1"/>
  <c r="Q610" i="3"/>
  <c r="R610" i="3"/>
  <c r="B609" i="3"/>
  <c r="U609" i="3" s="1"/>
  <c r="C609" i="3"/>
  <c r="S609" i="3" s="1"/>
  <c r="D609" i="3"/>
  <c r="I609" i="3"/>
  <c r="L609" i="3"/>
  <c r="M609" i="3"/>
  <c r="P609" i="3" s="1"/>
  <c r="N609" i="3"/>
  <c r="O609" i="3" s="1"/>
  <c r="Q609" i="3"/>
  <c r="R609" i="3"/>
  <c r="B608" i="3"/>
  <c r="C608" i="3"/>
  <c r="S608" i="3" s="1"/>
  <c r="D608" i="3"/>
  <c r="I608" i="3"/>
  <c r="L608" i="3"/>
  <c r="M608" i="3"/>
  <c r="P608" i="3" s="1"/>
  <c r="N608" i="3"/>
  <c r="O608" i="3" s="1"/>
  <c r="Q608" i="3"/>
  <c r="R608" i="3"/>
  <c r="B607" i="3"/>
  <c r="U607" i="3" s="1"/>
  <c r="C607" i="3"/>
  <c r="S607" i="3" s="1"/>
  <c r="D607" i="3"/>
  <c r="I607" i="3"/>
  <c r="L607" i="3"/>
  <c r="M607" i="3"/>
  <c r="P607" i="3" s="1"/>
  <c r="N607" i="3"/>
  <c r="O607" i="3" s="1"/>
  <c r="Q607" i="3"/>
  <c r="R607" i="3"/>
  <c r="B606" i="3"/>
  <c r="C606" i="3"/>
  <c r="S606" i="3" s="1"/>
  <c r="D606" i="3"/>
  <c r="I606" i="3"/>
  <c r="L606" i="3"/>
  <c r="M606" i="3"/>
  <c r="P606" i="3" s="1"/>
  <c r="N606" i="3"/>
  <c r="O606" i="3" s="1"/>
  <c r="Q606" i="3"/>
  <c r="R606" i="3"/>
  <c r="B605" i="3"/>
  <c r="C605" i="3"/>
  <c r="S605" i="3" s="1"/>
  <c r="D605" i="3"/>
  <c r="I605" i="3"/>
  <c r="L605" i="3"/>
  <c r="M605" i="3"/>
  <c r="P605" i="3" s="1"/>
  <c r="N605" i="3"/>
  <c r="O605" i="3" s="1"/>
  <c r="Q605" i="3"/>
  <c r="R605" i="3"/>
  <c r="B604" i="3"/>
  <c r="C604" i="3"/>
  <c r="S604" i="3" s="1"/>
  <c r="D604" i="3"/>
  <c r="I604" i="3"/>
  <c r="L604" i="3"/>
  <c r="M604" i="3"/>
  <c r="P604" i="3" s="1"/>
  <c r="N604" i="3"/>
  <c r="O604" i="3" s="1"/>
  <c r="Q604" i="3"/>
  <c r="R604" i="3"/>
  <c r="B603" i="3"/>
  <c r="C603" i="3"/>
  <c r="S603" i="3" s="1"/>
  <c r="D603" i="3"/>
  <c r="I603" i="3"/>
  <c r="L603" i="3"/>
  <c r="M603" i="3"/>
  <c r="P603" i="3" s="1"/>
  <c r="N603" i="3"/>
  <c r="O603" i="3" s="1"/>
  <c r="Q603" i="3"/>
  <c r="R603" i="3"/>
  <c r="B601" i="3"/>
  <c r="U601" i="3" s="1"/>
  <c r="B602" i="3"/>
  <c r="C601" i="3"/>
  <c r="S601" i="3" s="1"/>
  <c r="C602" i="3"/>
  <c r="S602" i="3" s="1"/>
  <c r="D601" i="3"/>
  <c r="D602" i="3"/>
  <c r="I602" i="3"/>
  <c r="L601" i="3"/>
  <c r="L602" i="3"/>
  <c r="M601" i="3"/>
  <c r="P601" i="3" s="1"/>
  <c r="M602" i="3"/>
  <c r="P602" i="3" s="1"/>
  <c r="N601" i="3"/>
  <c r="O601" i="3" s="1"/>
  <c r="N602" i="3"/>
  <c r="O602" i="3" s="1"/>
  <c r="Q601" i="3"/>
  <c r="Q602" i="3"/>
  <c r="R601" i="3"/>
  <c r="R602" i="3"/>
  <c r="B600" i="3"/>
  <c r="C600" i="3"/>
  <c r="S600" i="3" s="1"/>
  <c r="D600" i="3"/>
  <c r="I600" i="3"/>
  <c r="L600" i="3"/>
  <c r="M600" i="3"/>
  <c r="P600" i="3" s="1"/>
  <c r="N600" i="3"/>
  <c r="O600" i="3" s="1"/>
  <c r="Q600" i="3"/>
  <c r="R600" i="3"/>
  <c r="B599" i="3"/>
  <c r="C599" i="3"/>
  <c r="S599" i="3" s="1"/>
  <c r="D599" i="3"/>
  <c r="I599" i="3"/>
  <c r="L599" i="3"/>
  <c r="M599" i="3"/>
  <c r="P599" i="3" s="1"/>
  <c r="N599" i="3"/>
  <c r="O599" i="3" s="1"/>
  <c r="Q599" i="3"/>
  <c r="R599" i="3"/>
  <c r="B598" i="3"/>
  <c r="C598" i="3"/>
  <c r="S598" i="3" s="1"/>
  <c r="D598" i="3"/>
  <c r="I598" i="3"/>
  <c r="L598" i="3"/>
  <c r="M598" i="3"/>
  <c r="P598" i="3" s="1"/>
  <c r="N598" i="3"/>
  <c r="O598" i="3" s="1"/>
  <c r="Q598" i="3"/>
  <c r="R598" i="3"/>
  <c r="B597" i="3"/>
  <c r="U597" i="3" s="1"/>
  <c r="C597" i="3"/>
  <c r="S597" i="3" s="1"/>
  <c r="D597" i="3"/>
  <c r="I597" i="3"/>
  <c r="L597" i="3"/>
  <c r="M597" i="3"/>
  <c r="P597" i="3" s="1"/>
  <c r="N597" i="3"/>
  <c r="O597" i="3" s="1"/>
  <c r="Q597" i="3"/>
  <c r="R597" i="3"/>
  <c r="B596" i="3"/>
  <c r="C596" i="3"/>
  <c r="S596" i="3" s="1"/>
  <c r="D596" i="3"/>
  <c r="I596" i="3"/>
  <c r="L596" i="3"/>
  <c r="M596" i="3"/>
  <c r="P596" i="3" s="1"/>
  <c r="N596" i="3"/>
  <c r="O596" i="3" s="1"/>
  <c r="Q596" i="3"/>
  <c r="R596" i="3"/>
  <c r="B595" i="3"/>
  <c r="C595" i="3"/>
  <c r="S595" i="3" s="1"/>
  <c r="D595" i="3"/>
  <c r="I595" i="3"/>
  <c r="L595" i="3"/>
  <c r="M595" i="3"/>
  <c r="P595" i="3" s="1"/>
  <c r="N595" i="3"/>
  <c r="O595" i="3" s="1"/>
  <c r="Q595" i="3"/>
  <c r="R595" i="3"/>
  <c r="B594" i="3"/>
  <c r="C594" i="3"/>
  <c r="S594" i="3" s="1"/>
  <c r="D594" i="3"/>
  <c r="I594" i="3"/>
  <c r="L594" i="3"/>
  <c r="M594" i="3"/>
  <c r="P594" i="3" s="1"/>
  <c r="N594" i="3"/>
  <c r="O594" i="3" s="1"/>
  <c r="Q594" i="3"/>
  <c r="R594" i="3"/>
  <c r="B593" i="3"/>
  <c r="C593" i="3"/>
  <c r="S593" i="3" s="1"/>
  <c r="D593" i="3"/>
  <c r="I593" i="3"/>
  <c r="L593" i="3"/>
  <c r="M593" i="3"/>
  <c r="P593" i="3" s="1"/>
  <c r="N593" i="3"/>
  <c r="O593" i="3" s="1"/>
  <c r="Q593" i="3"/>
  <c r="R593" i="3"/>
  <c r="H223" i="3"/>
  <c r="I223" i="3" s="1"/>
  <c r="H159" i="3"/>
  <c r="I159" i="3" s="1"/>
  <c r="B592" i="3"/>
  <c r="C592" i="3"/>
  <c r="S592" i="3" s="1"/>
  <c r="D592" i="3"/>
  <c r="I592" i="3"/>
  <c r="L592" i="3"/>
  <c r="M592" i="3"/>
  <c r="P592" i="3" s="1"/>
  <c r="N592" i="3"/>
  <c r="O592" i="3" s="1"/>
  <c r="Q592" i="3"/>
  <c r="R592" i="3"/>
  <c r="B591" i="3"/>
  <c r="C591" i="3"/>
  <c r="S591" i="3" s="1"/>
  <c r="D591" i="3"/>
  <c r="I591" i="3"/>
  <c r="L591" i="3"/>
  <c r="M591" i="3"/>
  <c r="P591" i="3" s="1"/>
  <c r="N591" i="3"/>
  <c r="O591" i="3" s="1"/>
  <c r="Q591" i="3"/>
  <c r="R591" i="3"/>
  <c r="B590" i="3"/>
  <c r="C590" i="3"/>
  <c r="S590" i="3" s="1"/>
  <c r="D590" i="3"/>
  <c r="I590" i="3"/>
  <c r="L590" i="3"/>
  <c r="M590" i="3"/>
  <c r="P590" i="3" s="1"/>
  <c r="N590" i="3"/>
  <c r="O590" i="3" s="1"/>
  <c r="Q590" i="3"/>
  <c r="R590" i="3"/>
  <c r="B589" i="3"/>
  <c r="C589" i="3"/>
  <c r="S589" i="3" s="1"/>
  <c r="D589" i="3"/>
  <c r="I589" i="3"/>
  <c r="L589" i="3"/>
  <c r="M589" i="3"/>
  <c r="P589" i="3" s="1"/>
  <c r="N589" i="3"/>
  <c r="O589" i="3" s="1"/>
  <c r="Q589" i="3"/>
  <c r="R589" i="3"/>
  <c r="B588" i="3"/>
  <c r="C588" i="3"/>
  <c r="S588" i="3" s="1"/>
  <c r="D588" i="3"/>
  <c r="I588" i="3"/>
  <c r="L588" i="3"/>
  <c r="M588" i="3"/>
  <c r="P588" i="3" s="1"/>
  <c r="N588" i="3"/>
  <c r="O588" i="3" s="1"/>
  <c r="Q588" i="3"/>
  <c r="R588" i="3"/>
  <c r="B587" i="3"/>
  <c r="C587" i="3"/>
  <c r="S587" i="3" s="1"/>
  <c r="D587" i="3"/>
  <c r="I587" i="3"/>
  <c r="L587" i="3"/>
  <c r="M587" i="3"/>
  <c r="P587" i="3" s="1"/>
  <c r="N587" i="3"/>
  <c r="O587" i="3" s="1"/>
  <c r="Q587" i="3"/>
  <c r="R587" i="3"/>
  <c r="B586" i="3"/>
  <c r="C586" i="3"/>
  <c r="S586" i="3" s="1"/>
  <c r="D586" i="3"/>
  <c r="I586" i="3"/>
  <c r="L586" i="3"/>
  <c r="M586" i="3"/>
  <c r="P586" i="3" s="1"/>
  <c r="N586" i="3"/>
  <c r="O586" i="3" s="1"/>
  <c r="Q586" i="3"/>
  <c r="R586" i="3"/>
  <c r="B585" i="3"/>
  <c r="U585" i="3" s="1"/>
  <c r="C585" i="3"/>
  <c r="S585" i="3" s="1"/>
  <c r="D585" i="3"/>
  <c r="I585" i="3"/>
  <c r="L585" i="3"/>
  <c r="M585" i="3"/>
  <c r="P585" i="3" s="1"/>
  <c r="N585" i="3"/>
  <c r="O585" i="3" s="1"/>
  <c r="Q585" i="3"/>
  <c r="R585" i="3"/>
  <c r="B584" i="3"/>
  <c r="C584" i="3"/>
  <c r="S584" i="3" s="1"/>
  <c r="D584" i="3"/>
  <c r="I584" i="3"/>
  <c r="L584" i="3"/>
  <c r="M584" i="3"/>
  <c r="P584" i="3" s="1"/>
  <c r="N584" i="3"/>
  <c r="O584" i="3" s="1"/>
  <c r="Q584" i="3"/>
  <c r="R584" i="3"/>
  <c r="B583" i="3"/>
  <c r="U583" i="3" s="1"/>
  <c r="C583" i="3"/>
  <c r="S583" i="3" s="1"/>
  <c r="D583" i="3"/>
  <c r="I583" i="3"/>
  <c r="L583" i="3"/>
  <c r="M583" i="3"/>
  <c r="P583" i="3" s="1"/>
  <c r="N583" i="3"/>
  <c r="O583" i="3" s="1"/>
  <c r="Q583" i="3"/>
  <c r="R583" i="3"/>
  <c r="B582" i="3"/>
  <c r="C582" i="3"/>
  <c r="S582" i="3" s="1"/>
  <c r="D582" i="3"/>
  <c r="L582" i="3"/>
  <c r="M582" i="3"/>
  <c r="P582" i="3" s="1"/>
  <c r="N582" i="3"/>
  <c r="O582" i="3" s="1"/>
  <c r="Q582" i="3"/>
  <c r="R582" i="3"/>
  <c r="B581" i="3"/>
  <c r="C581" i="3"/>
  <c r="S581" i="3" s="1"/>
  <c r="D581" i="3"/>
  <c r="I581" i="3"/>
  <c r="L581" i="3"/>
  <c r="M581" i="3"/>
  <c r="P581" i="3" s="1"/>
  <c r="N581" i="3"/>
  <c r="O581" i="3" s="1"/>
  <c r="Q581" i="3"/>
  <c r="R581" i="3"/>
  <c r="B580" i="3"/>
  <c r="U580" i="3" s="1"/>
  <c r="C580" i="3"/>
  <c r="S580" i="3" s="1"/>
  <c r="D580" i="3"/>
  <c r="I580" i="3"/>
  <c r="L580" i="3"/>
  <c r="M580" i="3"/>
  <c r="P580" i="3" s="1"/>
  <c r="N580" i="3"/>
  <c r="O580" i="3" s="1"/>
  <c r="Q580" i="3"/>
  <c r="R580" i="3"/>
  <c r="B579" i="3"/>
  <c r="C579" i="3"/>
  <c r="S579" i="3" s="1"/>
  <c r="D579" i="3"/>
  <c r="I579" i="3"/>
  <c r="L579" i="3"/>
  <c r="M579" i="3"/>
  <c r="P579" i="3" s="1"/>
  <c r="N579" i="3"/>
  <c r="O579" i="3" s="1"/>
  <c r="Q579" i="3"/>
  <c r="R579" i="3"/>
  <c r="B578" i="3"/>
  <c r="C578" i="3"/>
  <c r="S578" i="3" s="1"/>
  <c r="D578" i="3"/>
  <c r="I578" i="3"/>
  <c r="L578" i="3"/>
  <c r="M578" i="3"/>
  <c r="P578" i="3" s="1"/>
  <c r="N578" i="3"/>
  <c r="O578" i="3" s="1"/>
  <c r="Q578" i="3"/>
  <c r="R578" i="3"/>
  <c r="B577" i="3"/>
  <c r="U577" i="3" s="1"/>
  <c r="C577" i="3"/>
  <c r="S577" i="3" s="1"/>
  <c r="D577" i="3"/>
  <c r="I577" i="3"/>
  <c r="L577" i="3"/>
  <c r="M577" i="3"/>
  <c r="P577" i="3" s="1"/>
  <c r="N577" i="3"/>
  <c r="O577" i="3" s="1"/>
  <c r="Q577" i="3"/>
  <c r="R577" i="3"/>
  <c r="B576" i="3"/>
  <c r="C576" i="3"/>
  <c r="S576" i="3" s="1"/>
  <c r="D576" i="3"/>
  <c r="I576" i="3"/>
  <c r="L576" i="3"/>
  <c r="M576" i="3"/>
  <c r="P576" i="3" s="1"/>
  <c r="N576" i="3"/>
  <c r="O576" i="3" s="1"/>
  <c r="Q576" i="3"/>
  <c r="R576" i="3"/>
  <c r="B575" i="3"/>
  <c r="C575" i="3"/>
  <c r="S575" i="3" s="1"/>
  <c r="D575" i="3"/>
  <c r="I575" i="3"/>
  <c r="L575" i="3"/>
  <c r="M575" i="3"/>
  <c r="P575" i="3" s="1"/>
  <c r="N575" i="3"/>
  <c r="O575" i="3" s="1"/>
  <c r="Q575" i="3"/>
  <c r="R575" i="3"/>
  <c r="B574" i="3"/>
  <c r="U574" i="3" s="1"/>
  <c r="C574" i="3"/>
  <c r="S574" i="3" s="1"/>
  <c r="D574" i="3"/>
  <c r="I574" i="3"/>
  <c r="L574" i="3"/>
  <c r="M574" i="3"/>
  <c r="P574" i="3" s="1"/>
  <c r="N574" i="3"/>
  <c r="O574" i="3" s="1"/>
  <c r="Q574" i="3"/>
  <c r="R574" i="3"/>
  <c r="B573" i="3"/>
  <c r="C573" i="3"/>
  <c r="S573" i="3" s="1"/>
  <c r="D573" i="3"/>
  <c r="I573" i="3"/>
  <c r="L573" i="3"/>
  <c r="M573" i="3"/>
  <c r="P573" i="3" s="1"/>
  <c r="N573" i="3"/>
  <c r="O573" i="3" s="1"/>
  <c r="Q573" i="3"/>
  <c r="R573" i="3"/>
  <c r="H113" i="3"/>
  <c r="I113" i="3" s="1"/>
  <c r="H114" i="3"/>
  <c r="I114" i="3" s="1"/>
  <c r="B572" i="3"/>
  <c r="U572" i="3" s="1"/>
  <c r="C572" i="3"/>
  <c r="S572" i="3" s="1"/>
  <c r="D572" i="3"/>
  <c r="I572" i="3"/>
  <c r="L572" i="3"/>
  <c r="M572" i="3"/>
  <c r="P572" i="3" s="1"/>
  <c r="N572" i="3"/>
  <c r="O572" i="3" s="1"/>
  <c r="Q572" i="3"/>
  <c r="R572" i="3"/>
  <c r="H571" i="3"/>
  <c r="I571" i="3" s="1"/>
  <c r="B571" i="3"/>
  <c r="C571" i="3"/>
  <c r="S571" i="3" s="1"/>
  <c r="D571" i="3"/>
  <c r="L571" i="3"/>
  <c r="M571" i="3"/>
  <c r="P571" i="3" s="1"/>
  <c r="N571" i="3"/>
  <c r="O571" i="3" s="1"/>
  <c r="Q571" i="3"/>
  <c r="R571" i="3"/>
  <c r="B570" i="3"/>
  <c r="C570" i="3"/>
  <c r="S570" i="3" s="1"/>
  <c r="D570" i="3"/>
  <c r="I570" i="3"/>
  <c r="L570" i="3"/>
  <c r="M570" i="3"/>
  <c r="P570" i="3" s="1"/>
  <c r="N570" i="3"/>
  <c r="O570" i="3" s="1"/>
  <c r="Q570" i="3"/>
  <c r="R570" i="3"/>
  <c r="B569" i="3"/>
  <c r="C569" i="3"/>
  <c r="S569" i="3" s="1"/>
  <c r="D569" i="3"/>
  <c r="I569" i="3"/>
  <c r="L569" i="3"/>
  <c r="M569" i="3"/>
  <c r="P569" i="3" s="1"/>
  <c r="N569" i="3"/>
  <c r="O569" i="3" s="1"/>
  <c r="Q569" i="3"/>
  <c r="R569" i="3"/>
  <c r="B568" i="3"/>
  <c r="U568" i="3" s="1"/>
  <c r="C568" i="3"/>
  <c r="S568" i="3" s="1"/>
  <c r="D568" i="3"/>
  <c r="I568" i="3"/>
  <c r="L568" i="3"/>
  <c r="M568" i="3"/>
  <c r="P568" i="3" s="1"/>
  <c r="N568" i="3"/>
  <c r="O568" i="3" s="1"/>
  <c r="Q568" i="3"/>
  <c r="R568" i="3"/>
  <c r="B567" i="3"/>
  <c r="U567" i="3" s="1"/>
  <c r="C567" i="3"/>
  <c r="S567" i="3" s="1"/>
  <c r="D567" i="3"/>
  <c r="I567" i="3"/>
  <c r="L567" i="3"/>
  <c r="M567" i="3"/>
  <c r="P567" i="3" s="1"/>
  <c r="N567" i="3"/>
  <c r="O567" i="3" s="1"/>
  <c r="Q567" i="3"/>
  <c r="R567" i="3"/>
  <c r="B566" i="3"/>
  <c r="U566" i="3" s="1"/>
  <c r="C566" i="3"/>
  <c r="S566" i="3" s="1"/>
  <c r="D566" i="3"/>
  <c r="I566" i="3"/>
  <c r="L566" i="3"/>
  <c r="M566" i="3"/>
  <c r="P566" i="3" s="1"/>
  <c r="N566" i="3"/>
  <c r="O566" i="3" s="1"/>
  <c r="Q566" i="3"/>
  <c r="R566" i="3"/>
  <c r="B565" i="3"/>
  <c r="C565" i="3"/>
  <c r="S565" i="3" s="1"/>
  <c r="D565" i="3"/>
  <c r="L565" i="3"/>
  <c r="M565" i="3"/>
  <c r="P565" i="3" s="1"/>
  <c r="N565" i="3"/>
  <c r="O565" i="3" s="1"/>
  <c r="Q565" i="3"/>
  <c r="R565" i="3"/>
  <c r="B564" i="3"/>
  <c r="C564" i="3"/>
  <c r="S564" i="3" s="1"/>
  <c r="D564" i="3"/>
  <c r="I564" i="3"/>
  <c r="L564" i="3"/>
  <c r="M564" i="3"/>
  <c r="P564" i="3" s="1"/>
  <c r="N564" i="3"/>
  <c r="O564" i="3" s="1"/>
  <c r="Q564" i="3"/>
  <c r="R564" i="3"/>
  <c r="B563" i="3"/>
  <c r="C563" i="3"/>
  <c r="S563" i="3" s="1"/>
  <c r="D563" i="3"/>
  <c r="I563" i="3"/>
  <c r="L563" i="3"/>
  <c r="M563" i="3"/>
  <c r="P563" i="3" s="1"/>
  <c r="N563" i="3"/>
  <c r="O563" i="3" s="1"/>
  <c r="Q563" i="3"/>
  <c r="R563" i="3"/>
  <c r="B562" i="3"/>
  <c r="C562" i="3"/>
  <c r="S562" i="3" s="1"/>
  <c r="D562" i="3"/>
  <c r="I562" i="3"/>
  <c r="L562" i="3"/>
  <c r="M562" i="3"/>
  <c r="P562" i="3" s="1"/>
  <c r="N562" i="3"/>
  <c r="O562" i="3" s="1"/>
  <c r="Q562" i="3"/>
  <c r="R562" i="3"/>
  <c r="B561" i="3"/>
  <c r="C561" i="3"/>
  <c r="S561" i="3" s="1"/>
  <c r="D561" i="3"/>
  <c r="I561" i="3"/>
  <c r="L561" i="3"/>
  <c r="M561" i="3"/>
  <c r="P561" i="3" s="1"/>
  <c r="N561" i="3"/>
  <c r="O561" i="3" s="1"/>
  <c r="Q561" i="3"/>
  <c r="R561" i="3"/>
  <c r="B560" i="3"/>
  <c r="C560" i="3"/>
  <c r="S560" i="3" s="1"/>
  <c r="D560" i="3"/>
  <c r="I560" i="3"/>
  <c r="L560" i="3"/>
  <c r="M560" i="3"/>
  <c r="P560" i="3" s="1"/>
  <c r="N560" i="3"/>
  <c r="O560" i="3" s="1"/>
  <c r="Q560" i="3"/>
  <c r="R560" i="3"/>
  <c r="B559" i="3"/>
  <c r="C559" i="3"/>
  <c r="S559" i="3" s="1"/>
  <c r="D559" i="3"/>
  <c r="I559" i="3"/>
  <c r="L559" i="3"/>
  <c r="M559" i="3"/>
  <c r="P559" i="3" s="1"/>
  <c r="N559" i="3"/>
  <c r="O559" i="3" s="1"/>
  <c r="Q559" i="3"/>
  <c r="R559" i="3"/>
  <c r="B558" i="3"/>
  <c r="C558" i="3"/>
  <c r="S558" i="3" s="1"/>
  <c r="D558" i="3"/>
  <c r="I558" i="3"/>
  <c r="L558" i="3"/>
  <c r="M558" i="3"/>
  <c r="P558" i="3" s="1"/>
  <c r="N558" i="3"/>
  <c r="O558" i="3" s="1"/>
  <c r="Q558" i="3"/>
  <c r="R558" i="3"/>
  <c r="B557" i="3"/>
  <c r="C557" i="3"/>
  <c r="S557" i="3" s="1"/>
  <c r="D557" i="3"/>
  <c r="I557" i="3"/>
  <c r="L557" i="3"/>
  <c r="M557" i="3"/>
  <c r="P557" i="3" s="1"/>
  <c r="N557" i="3"/>
  <c r="O557" i="3" s="1"/>
  <c r="Q557" i="3"/>
  <c r="R557" i="3"/>
  <c r="H556" i="3"/>
  <c r="I556" i="3" s="1"/>
  <c r="B556" i="3"/>
  <c r="C556" i="3"/>
  <c r="S556" i="3" s="1"/>
  <c r="D556" i="3"/>
  <c r="L556" i="3"/>
  <c r="M556" i="3"/>
  <c r="P556" i="3" s="1"/>
  <c r="N556" i="3"/>
  <c r="O556" i="3" s="1"/>
  <c r="Q556" i="3"/>
  <c r="R556" i="3"/>
  <c r="B555" i="3"/>
  <c r="C555" i="3"/>
  <c r="S555" i="3" s="1"/>
  <c r="D555" i="3"/>
  <c r="I555" i="3"/>
  <c r="L555" i="3"/>
  <c r="M555" i="3"/>
  <c r="P555" i="3" s="1"/>
  <c r="N555" i="3"/>
  <c r="O555" i="3" s="1"/>
  <c r="Q555" i="3"/>
  <c r="R555" i="3"/>
  <c r="B554" i="3"/>
  <c r="U554" i="3" s="1"/>
  <c r="C554" i="3"/>
  <c r="S554" i="3" s="1"/>
  <c r="D554" i="3"/>
  <c r="I554" i="3"/>
  <c r="L554" i="3"/>
  <c r="M554" i="3"/>
  <c r="P554" i="3" s="1"/>
  <c r="N554" i="3"/>
  <c r="O554" i="3" s="1"/>
  <c r="Q554" i="3"/>
  <c r="R554" i="3"/>
  <c r="B553" i="3"/>
  <c r="C553" i="3"/>
  <c r="S553" i="3" s="1"/>
  <c r="D553" i="3"/>
  <c r="I553" i="3"/>
  <c r="L553" i="3"/>
  <c r="M553" i="3"/>
  <c r="P553" i="3" s="1"/>
  <c r="N553" i="3"/>
  <c r="O553" i="3" s="1"/>
  <c r="Q553" i="3"/>
  <c r="R553" i="3"/>
  <c r="B552" i="3"/>
  <c r="U552" i="3" s="1"/>
  <c r="C552" i="3"/>
  <c r="S552" i="3" s="1"/>
  <c r="D552" i="3"/>
  <c r="L552" i="3"/>
  <c r="M552" i="3"/>
  <c r="P552" i="3" s="1"/>
  <c r="N552" i="3"/>
  <c r="O552" i="3" s="1"/>
  <c r="Q552" i="3"/>
  <c r="R552" i="3"/>
  <c r="H551" i="3"/>
  <c r="I551" i="3" s="1"/>
  <c r="B551" i="3"/>
  <c r="C551" i="3"/>
  <c r="S551" i="3" s="1"/>
  <c r="D551" i="3"/>
  <c r="L551" i="3"/>
  <c r="M551" i="3"/>
  <c r="P551" i="3" s="1"/>
  <c r="N551" i="3"/>
  <c r="O551" i="3" s="1"/>
  <c r="Q551" i="3"/>
  <c r="R551" i="3"/>
  <c r="B73" i="3"/>
  <c r="U73" i="3" s="1"/>
  <c r="C73" i="3"/>
  <c r="S73" i="3" s="1"/>
  <c r="D73" i="3"/>
  <c r="I73" i="3"/>
  <c r="L73" i="3"/>
  <c r="M73" i="3"/>
  <c r="P73" i="3" s="1"/>
  <c r="N73" i="3"/>
  <c r="O73" i="3" s="1"/>
  <c r="Q73" i="3"/>
  <c r="R73" i="3"/>
  <c r="B69" i="3"/>
  <c r="B70" i="3"/>
  <c r="B71" i="3"/>
  <c r="U71" i="3" s="1"/>
  <c r="B72" i="3"/>
  <c r="C69" i="3"/>
  <c r="S69" i="3" s="1"/>
  <c r="C70" i="3"/>
  <c r="S70" i="3" s="1"/>
  <c r="C71" i="3"/>
  <c r="S71" i="3" s="1"/>
  <c r="C72" i="3"/>
  <c r="S72" i="3" s="1"/>
  <c r="D69" i="3"/>
  <c r="D70" i="3"/>
  <c r="D71" i="3"/>
  <c r="D72" i="3"/>
  <c r="I69" i="3"/>
  <c r="I70" i="3"/>
  <c r="I71" i="3"/>
  <c r="I72" i="3"/>
  <c r="L69" i="3"/>
  <c r="L70" i="3"/>
  <c r="L71" i="3"/>
  <c r="L72" i="3"/>
  <c r="M69" i="3"/>
  <c r="P69" i="3" s="1"/>
  <c r="M70" i="3"/>
  <c r="P70" i="3" s="1"/>
  <c r="M71" i="3"/>
  <c r="P71" i="3" s="1"/>
  <c r="M72" i="3"/>
  <c r="P72" i="3" s="1"/>
  <c r="N69" i="3"/>
  <c r="O69" i="3" s="1"/>
  <c r="N70" i="3"/>
  <c r="O70" i="3" s="1"/>
  <c r="N71" i="3"/>
  <c r="O71" i="3" s="1"/>
  <c r="N72" i="3"/>
  <c r="O72" i="3" s="1"/>
  <c r="Q69" i="3"/>
  <c r="Q70" i="3"/>
  <c r="Q71" i="3"/>
  <c r="Q72" i="3"/>
  <c r="R69" i="3"/>
  <c r="R70" i="3"/>
  <c r="R71" i="3"/>
  <c r="R72" i="3"/>
  <c r="B547" i="3"/>
  <c r="B548" i="3"/>
  <c r="B549" i="3"/>
  <c r="U549" i="3" s="1"/>
  <c r="B550" i="3"/>
  <c r="C547" i="3"/>
  <c r="S547" i="3" s="1"/>
  <c r="C548" i="3"/>
  <c r="S548" i="3" s="1"/>
  <c r="C549" i="3"/>
  <c r="S549" i="3" s="1"/>
  <c r="C550" i="3"/>
  <c r="S550" i="3" s="1"/>
  <c r="D547" i="3"/>
  <c r="D548" i="3"/>
  <c r="D549" i="3"/>
  <c r="D550" i="3"/>
  <c r="I547" i="3"/>
  <c r="I548" i="3"/>
  <c r="I549" i="3"/>
  <c r="I550" i="3"/>
  <c r="L547" i="3"/>
  <c r="L548" i="3"/>
  <c r="L549" i="3"/>
  <c r="L550" i="3"/>
  <c r="M547" i="3"/>
  <c r="P547" i="3" s="1"/>
  <c r="M548" i="3"/>
  <c r="P548" i="3" s="1"/>
  <c r="M549" i="3"/>
  <c r="P549" i="3" s="1"/>
  <c r="M550" i="3"/>
  <c r="P550" i="3" s="1"/>
  <c r="N547" i="3"/>
  <c r="O547" i="3" s="1"/>
  <c r="N548" i="3"/>
  <c r="O548" i="3" s="1"/>
  <c r="N549" i="3"/>
  <c r="O549" i="3" s="1"/>
  <c r="N550" i="3"/>
  <c r="O550" i="3" s="1"/>
  <c r="Q547" i="3"/>
  <c r="Q548" i="3"/>
  <c r="Q549" i="3"/>
  <c r="Q550" i="3"/>
  <c r="R547" i="3"/>
  <c r="R548" i="3"/>
  <c r="R549" i="3"/>
  <c r="R550" i="3"/>
  <c r="B546" i="3"/>
  <c r="U546" i="3" s="1"/>
  <c r="C546" i="3"/>
  <c r="S546" i="3" s="1"/>
  <c r="D546" i="3"/>
  <c r="I546" i="3"/>
  <c r="L546" i="3"/>
  <c r="M546" i="3"/>
  <c r="P546" i="3" s="1"/>
  <c r="N546" i="3"/>
  <c r="O546" i="3" s="1"/>
  <c r="Q546" i="3"/>
  <c r="R546" i="3"/>
  <c r="H545" i="3"/>
  <c r="I545" i="3" s="1"/>
  <c r="B545" i="3"/>
  <c r="U545" i="3" s="1"/>
  <c r="C545" i="3"/>
  <c r="S545" i="3" s="1"/>
  <c r="D545" i="3"/>
  <c r="L545" i="3"/>
  <c r="M545" i="3"/>
  <c r="P545" i="3" s="1"/>
  <c r="N545" i="3"/>
  <c r="O545" i="3" s="1"/>
  <c r="Q545" i="3"/>
  <c r="R545" i="3"/>
  <c r="B544" i="3"/>
  <c r="U544" i="3" s="1"/>
  <c r="C544" i="3"/>
  <c r="S544" i="3" s="1"/>
  <c r="D544" i="3"/>
  <c r="I544" i="3"/>
  <c r="L544" i="3"/>
  <c r="M544" i="3"/>
  <c r="P544" i="3" s="1"/>
  <c r="N544" i="3"/>
  <c r="O544" i="3" s="1"/>
  <c r="Q544" i="3"/>
  <c r="R544" i="3"/>
  <c r="B543" i="3"/>
  <c r="C543" i="3"/>
  <c r="S543" i="3" s="1"/>
  <c r="D543" i="3"/>
  <c r="I543" i="3"/>
  <c r="L543" i="3"/>
  <c r="M543" i="3"/>
  <c r="P543" i="3" s="1"/>
  <c r="N543" i="3"/>
  <c r="O543" i="3" s="1"/>
  <c r="Q543" i="3"/>
  <c r="R543" i="3"/>
  <c r="H542" i="3"/>
  <c r="I542" i="3" s="1"/>
  <c r="B542" i="3"/>
  <c r="U542" i="3" s="1"/>
  <c r="C542" i="3"/>
  <c r="S542" i="3" s="1"/>
  <c r="D542" i="3"/>
  <c r="L542" i="3"/>
  <c r="M542" i="3"/>
  <c r="P542" i="3" s="1"/>
  <c r="N542" i="3"/>
  <c r="O542" i="3" s="1"/>
  <c r="Q542" i="3"/>
  <c r="R542" i="3"/>
  <c r="B541" i="3"/>
  <c r="U541" i="3" s="1"/>
  <c r="C541" i="3"/>
  <c r="S541" i="3" s="1"/>
  <c r="D541" i="3"/>
  <c r="I541" i="3"/>
  <c r="L541" i="3"/>
  <c r="M541" i="3"/>
  <c r="P541" i="3" s="1"/>
  <c r="N541" i="3"/>
  <c r="O541" i="3" s="1"/>
  <c r="Q541" i="3"/>
  <c r="R541" i="3"/>
  <c r="H540" i="3"/>
  <c r="I540" i="3" s="1"/>
  <c r="B540" i="3"/>
  <c r="C540" i="3"/>
  <c r="S540" i="3" s="1"/>
  <c r="D540" i="3"/>
  <c r="L540" i="3"/>
  <c r="M540" i="3"/>
  <c r="P540" i="3" s="1"/>
  <c r="N540" i="3"/>
  <c r="O540" i="3" s="1"/>
  <c r="Q540" i="3"/>
  <c r="R540" i="3"/>
  <c r="B539" i="3"/>
  <c r="C539" i="3"/>
  <c r="S539" i="3" s="1"/>
  <c r="D539" i="3"/>
  <c r="I539" i="3"/>
  <c r="L539" i="3"/>
  <c r="M539" i="3"/>
  <c r="P539" i="3" s="1"/>
  <c r="N539" i="3"/>
  <c r="O539" i="3" s="1"/>
  <c r="Q539" i="3"/>
  <c r="R539" i="3"/>
  <c r="B538" i="3"/>
  <c r="U538" i="3" s="1"/>
  <c r="C538" i="3"/>
  <c r="S538" i="3" s="1"/>
  <c r="D538" i="3"/>
  <c r="I538" i="3"/>
  <c r="L538" i="3"/>
  <c r="M538" i="3"/>
  <c r="P538" i="3" s="1"/>
  <c r="N538" i="3"/>
  <c r="O538" i="3" s="1"/>
  <c r="Q538" i="3"/>
  <c r="R538" i="3"/>
  <c r="B537" i="3"/>
  <c r="U537" i="3" s="1"/>
  <c r="C537" i="3"/>
  <c r="S537" i="3" s="1"/>
  <c r="D537" i="3"/>
  <c r="I537" i="3"/>
  <c r="L537" i="3"/>
  <c r="M537" i="3"/>
  <c r="P537" i="3" s="1"/>
  <c r="N537" i="3"/>
  <c r="O537" i="3" s="1"/>
  <c r="Q537" i="3"/>
  <c r="R537" i="3"/>
  <c r="B536" i="3"/>
  <c r="U536" i="3" s="1"/>
  <c r="C536" i="3"/>
  <c r="S536" i="3" s="1"/>
  <c r="D536" i="3"/>
  <c r="I536" i="3"/>
  <c r="L536" i="3"/>
  <c r="M536" i="3"/>
  <c r="P536" i="3" s="1"/>
  <c r="N536" i="3"/>
  <c r="O536" i="3" s="1"/>
  <c r="Q536" i="3"/>
  <c r="R536" i="3"/>
  <c r="H535" i="3"/>
  <c r="I535" i="3" s="1"/>
  <c r="B535" i="3"/>
  <c r="U535" i="3" s="1"/>
  <c r="C535" i="3"/>
  <c r="S535" i="3" s="1"/>
  <c r="D535" i="3"/>
  <c r="L535" i="3"/>
  <c r="M535" i="3"/>
  <c r="P535" i="3" s="1"/>
  <c r="N535" i="3"/>
  <c r="O535" i="3" s="1"/>
  <c r="Q535" i="3"/>
  <c r="R535" i="3"/>
  <c r="B534" i="3"/>
  <c r="C534" i="3"/>
  <c r="S534" i="3" s="1"/>
  <c r="D534" i="3"/>
  <c r="I534" i="3"/>
  <c r="L534" i="3"/>
  <c r="M534" i="3"/>
  <c r="P534" i="3" s="1"/>
  <c r="N534" i="3"/>
  <c r="O534" i="3" s="1"/>
  <c r="Q534" i="3"/>
  <c r="R534" i="3"/>
  <c r="B2" i="3"/>
  <c r="C2" i="3"/>
  <c r="S2" i="3" s="1"/>
  <c r="D2" i="3"/>
  <c r="I2" i="3"/>
  <c r="L2" i="3"/>
  <c r="M2" i="3"/>
  <c r="P2" i="3" s="1"/>
  <c r="N2" i="3"/>
  <c r="Q2" i="3"/>
  <c r="R2" i="3"/>
  <c r="B3" i="3"/>
  <c r="U3" i="3" s="1"/>
  <c r="C3" i="3"/>
  <c r="S3" i="3" s="1"/>
  <c r="D3" i="3"/>
  <c r="I3" i="3"/>
  <c r="L3" i="3"/>
  <c r="M3" i="3"/>
  <c r="P3" i="3" s="1"/>
  <c r="N3" i="3"/>
  <c r="O3" i="3" s="1"/>
  <c r="Q3" i="3"/>
  <c r="R3" i="3"/>
  <c r="B4" i="3"/>
  <c r="C4" i="3"/>
  <c r="S4" i="3" s="1"/>
  <c r="D4" i="3"/>
  <c r="I4" i="3"/>
  <c r="L4" i="3"/>
  <c r="M4" i="3"/>
  <c r="P4" i="3" s="1"/>
  <c r="N4" i="3"/>
  <c r="O4" i="3" s="1"/>
  <c r="Q4" i="3"/>
  <c r="R4" i="3"/>
  <c r="B5" i="3"/>
  <c r="C5" i="3"/>
  <c r="S5" i="3" s="1"/>
  <c r="D5" i="3"/>
  <c r="I5" i="3"/>
  <c r="L5" i="3"/>
  <c r="M5" i="3"/>
  <c r="P5" i="3" s="1"/>
  <c r="N5" i="3"/>
  <c r="O5" i="3" s="1"/>
  <c r="Q5" i="3"/>
  <c r="R5" i="3"/>
  <c r="B6" i="3"/>
  <c r="C6" i="3"/>
  <c r="S6" i="3" s="1"/>
  <c r="D6" i="3"/>
  <c r="I6" i="3"/>
  <c r="L6" i="3"/>
  <c r="M6" i="3"/>
  <c r="P6" i="3" s="1"/>
  <c r="N6" i="3"/>
  <c r="O6" i="3" s="1"/>
  <c r="Q6" i="3"/>
  <c r="R6" i="3"/>
  <c r="B7" i="3"/>
  <c r="C7" i="3"/>
  <c r="S7" i="3" s="1"/>
  <c r="D7" i="3"/>
  <c r="I7" i="3"/>
  <c r="L7" i="3"/>
  <c r="M7" i="3"/>
  <c r="P7" i="3" s="1"/>
  <c r="N7" i="3"/>
  <c r="O7" i="3" s="1"/>
  <c r="Q7" i="3"/>
  <c r="R7" i="3"/>
  <c r="B8" i="3"/>
  <c r="C8" i="3"/>
  <c r="S8" i="3" s="1"/>
  <c r="D8" i="3"/>
  <c r="I8" i="3"/>
  <c r="L8" i="3"/>
  <c r="M8" i="3"/>
  <c r="P8" i="3" s="1"/>
  <c r="N8" i="3"/>
  <c r="O8" i="3" s="1"/>
  <c r="Q8" i="3"/>
  <c r="R8" i="3"/>
  <c r="B9" i="3"/>
  <c r="C9" i="3"/>
  <c r="S9" i="3" s="1"/>
  <c r="D9" i="3"/>
  <c r="I9" i="3"/>
  <c r="L9" i="3"/>
  <c r="M9" i="3"/>
  <c r="P9" i="3" s="1"/>
  <c r="N9" i="3"/>
  <c r="O9" i="3" s="1"/>
  <c r="Q9" i="3"/>
  <c r="R9" i="3"/>
  <c r="B10" i="3"/>
  <c r="U10" i="3" s="1"/>
  <c r="C10" i="3"/>
  <c r="S10" i="3" s="1"/>
  <c r="D10" i="3"/>
  <c r="I10" i="3"/>
  <c r="L10" i="3"/>
  <c r="M10" i="3"/>
  <c r="P10" i="3" s="1"/>
  <c r="N10" i="3"/>
  <c r="O10" i="3" s="1"/>
  <c r="Q10" i="3"/>
  <c r="R10" i="3"/>
  <c r="B11" i="3"/>
  <c r="C11" i="3"/>
  <c r="S11" i="3" s="1"/>
  <c r="D11" i="3"/>
  <c r="I11" i="3"/>
  <c r="L11" i="3"/>
  <c r="M11" i="3"/>
  <c r="P11" i="3" s="1"/>
  <c r="N11" i="3"/>
  <c r="O11" i="3" s="1"/>
  <c r="Q11" i="3"/>
  <c r="R11" i="3"/>
  <c r="B12" i="3"/>
  <c r="U12" i="3" s="1"/>
  <c r="C12" i="3"/>
  <c r="S12" i="3" s="1"/>
  <c r="D12" i="3"/>
  <c r="I12" i="3"/>
  <c r="L12" i="3"/>
  <c r="M12" i="3"/>
  <c r="P12" i="3" s="1"/>
  <c r="N12" i="3"/>
  <c r="O12" i="3" s="1"/>
  <c r="Q12" i="3"/>
  <c r="R12" i="3"/>
  <c r="B13" i="3"/>
  <c r="C13" i="3"/>
  <c r="S13" i="3" s="1"/>
  <c r="D13" i="3"/>
  <c r="I13" i="3"/>
  <c r="L13" i="3"/>
  <c r="M13" i="3"/>
  <c r="P13" i="3" s="1"/>
  <c r="N13" i="3"/>
  <c r="O13" i="3" s="1"/>
  <c r="Q13" i="3"/>
  <c r="R13" i="3"/>
  <c r="B14" i="3"/>
  <c r="C14" i="3"/>
  <c r="S14" i="3" s="1"/>
  <c r="D14" i="3"/>
  <c r="I14" i="3"/>
  <c r="L14" i="3"/>
  <c r="M14" i="3"/>
  <c r="P14" i="3" s="1"/>
  <c r="N14" i="3"/>
  <c r="O14" i="3" s="1"/>
  <c r="Q14" i="3"/>
  <c r="R14" i="3"/>
  <c r="B15" i="3"/>
  <c r="C15" i="3"/>
  <c r="S15" i="3" s="1"/>
  <c r="D15" i="3"/>
  <c r="I15" i="3"/>
  <c r="L15" i="3"/>
  <c r="M15" i="3"/>
  <c r="P15" i="3" s="1"/>
  <c r="N15" i="3"/>
  <c r="O15" i="3" s="1"/>
  <c r="Q15" i="3"/>
  <c r="R15" i="3"/>
  <c r="B16" i="3"/>
  <c r="C16" i="3"/>
  <c r="S16" i="3" s="1"/>
  <c r="D16" i="3"/>
  <c r="I16" i="3"/>
  <c r="L16" i="3"/>
  <c r="M16" i="3"/>
  <c r="P16" i="3" s="1"/>
  <c r="N16" i="3"/>
  <c r="O16" i="3" s="1"/>
  <c r="Q16" i="3"/>
  <c r="R16" i="3"/>
  <c r="B17" i="3"/>
  <c r="U17" i="3" s="1"/>
  <c r="C17" i="3"/>
  <c r="S17" i="3" s="1"/>
  <c r="D17" i="3"/>
  <c r="I17" i="3"/>
  <c r="L17" i="3"/>
  <c r="M17" i="3"/>
  <c r="P17" i="3" s="1"/>
  <c r="N17" i="3"/>
  <c r="O17" i="3" s="1"/>
  <c r="Q17" i="3"/>
  <c r="R17" i="3"/>
  <c r="B18" i="3"/>
  <c r="U18" i="3" s="1"/>
  <c r="C18" i="3"/>
  <c r="S18" i="3" s="1"/>
  <c r="D18" i="3"/>
  <c r="I18" i="3"/>
  <c r="L18" i="3"/>
  <c r="M18" i="3"/>
  <c r="P18" i="3" s="1"/>
  <c r="N18" i="3"/>
  <c r="O18" i="3" s="1"/>
  <c r="Q18" i="3"/>
  <c r="R18" i="3"/>
  <c r="B19" i="3"/>
  <c r="C19" i="3"/>
  <c r="S19" i="3" s="1"/>
  <c r="D19" i="3"/>
  <c r="I19" i="3"/>
  <c r="L19" i="3"/>
  <c r="M19" i="3"/>
  <c r="P19" i="3" s="1"/>
  <c r="N19" i="3"/>
  <c r="O19" i="3" s="1"/>
  <c r="Q19" i="3"/>
  <c r="R19" i="3"/>
  <c r="B20" i="3"/>
  <c r="C20" i="3"/>
  <c r="S20" i="3" s="1"/>
  <c r="D20" i="3"/>
  <c r="I20" i="3"/>
  <c r="L20" i="3"/>
  <c r="M20" i="3"/>
  <c r="P20" i="3" s="1"/>
  <c r="N20" i="3"/>
  <c r="O20" i="3" s="1"/>
  <c r="Q20" i="3"/>
  <c r="R20" i="3"/>
  <c r="B21" i="3"/>
  <c r="C21" i="3"/>
  <c r="S21" i="3" s="1"/>
  <c r="D21" i="3"/>
  <c r="I21" i="3"/>
  <c r="L21" i="3"/>
  <c r="M21" i="3"/>
  <c r="P21" i="3" s="1"/>
  <c r="N21" i="3"/>
  <c r="O21" i="3" s="1"/>
  <c r="Q21" i="3"/>
  <c r="R21" i="3"/>
  <c r="B22" i="3"/>
  <c r="C22" i="3"/>
  <c r="S22" i="3" s="1"/>
  <c r="D22" i="3"/>
  <c r="I22" i="3"/>
  <c r="L22" i="3"/>
  <c r="M22" i="3"/>
  <c r="P22" i="3" s="1"/>
  <c r="N22" i="3"/>
  <c r="O22" i="3" s="1"/>
  <c r="Q22" i="3"/>
  <c r="R22" i="3"/>
  <c r="B23" i="3"/>
  <c r="C23" i="3"/>
  <c r="S23" i="3" s="1"/>
  <c r="D23" i="3"/>
  <c r="I23" i="3"/>
  <c r="L23" i="3"/>
  <c r="M23" i="3"/>
  <c r="P23" i="3" s="1"/>
  <c r="N23" i="3"/>
  <c r="O23" i="3" s="1"/>
  <c r="Q23" i="3"/>
  <c r="R23" i="3"/>
  <c r="B24" i="3"/>
  <c r="C24" i="3"/>
  <c r="S24" i="3" s="1"/>
  <c r="D24" i="3"/>
  <c r="I24" i="3"/>
  <c r="L24" i="3"/>
  <c r="M24" i="3"/>
  <c r="P24" i="3" s="1"/>
  <c r="N24" i="3"/>
  <c r="O24" i="3" s="1"/>
  <c r="Q24" i="3"/>
  <c r="R24" i="3"/>
  <c r="B25" i="3"/>
  <c r="C25" i="3"/>
  <c r="S25" i="3" s="1"/>
  <c r="D25" i="3"/>
  <c r="I25" i="3"/>
  <c r="L25" i="3"/>
  <c r="M25" i="3"/>
  <c r="P25" i="3" s="1"/>
  <c r="N25" i="3"/>
  <c r="O25" i="3" s="1"/>
  <c r="Q25" i="3"/>
  <c r="R25" i="3"/>
  <c r="B26" i="3"/>
  <c r="U26" i="3" s="1"/>
  <c r="C26" i="3"/>
  <c r="S26" i="3" s="1"/>
  <c r="D26" i="3"/>
  <c r="I26" i="3"/>
  <c r="L26" i="3"/>
  <c r="M26" i="3"/>
  <c r="P26" i="3" s="1"/>
  <c r="N26" i="3"/>
  <c r="O26" i="3" s="1"/>
  <c r="Q26" i="3"/>
  <c r="R26" i="3"/>
  <c r="B27" i="3"/>
  <c r="C27" i="3"/>
  <c r="S27" i="3" s="1"/>
  <c r="D27" i="3"/>
  <c r="I27" i="3"/>
  <c r="L27" i="3"/>
  <c r="M27" i="3"/>
  <c r="P27" i="3" s="1"/>
  <c r="N27" i="3"/>
  <c r="O27" i="3" s="1"/>
  <c r="Q27" i="3"/>
  <c r="R27" i="3"/>
  <c r="B28" i="3"/>
  <c r="U28" i="3" s="1"/>
  <c r="C28" i="3"/>
  <c r="S28" i="3" s="1"/>
  <c r="D28" i="3"/>
  <c r="I28" i="3"/>
  <c r="L28" i="3"/>
  <c r="M28" i="3"/>
  <c r="P28" i="3" s="1"/>
  <c r="N28" i="3"/>
  <c r="O28" i="3" s="1"/>
  <c r="Q28" i="3"/>
  <c r="R28" i="3"/>
  <c r="B29" i="3"/>
  <c r="C29" i="3"/>
  <c r="S29" i="3" s="1"/>
  <c r="D29" i="3"/>
  <c r="I29" i="3"/>
  <c r="L29" i="3"/>
  <c r="M29" i="3"/>
  <c r="P29" i="3" s="1"/>
  <c r="N29" i="3"/>
  <c r="O29" i="3" s="1"/>
  <c r="Q29" i="3"/>
  <c r="R29" i="3"/>
  <c r="B30" i="3"/>
  <c r="C30" i="3"/>
  <c r="S30" i="3" s="1"/>
  <c r="D30" i="3"/>
  <c r="I30" i="3"/>
  <c r="L30" i="3"/>
  <c r="M30" i="3"/>
  <c r="P30" i="3" s="1"/>
  <c r="N30" i="3"/>
  <c r="O30" i="3" s="1"/>
  <c r="Q30" i="3"/>
  <c r="R30" i="3"/>
  <c r="B31" i="3"/>
  <c r="C31" i="3"/>
  <c r="S31" i="3" s="1"/>
  <c r="D31" i="3"/>
  <c r="I31" i="3"/>
  <c r="L31" i="3"/>
  <c r="M31" i="3"/>
  <c r="P31" i="3" s="1"/>
  <c r="N31" i="3"/>
  <c r="O31" i="3" s="1"/>
  <c r="Q31" i="3"/>
  <c r="R31" i="3"/>
  <c r="B32" i="3"/>
  <c r="C32" i="3"/>
  <c r="S32" i="3" s="1"/>
  <c r="D32" i="3"/>
  <c r="I32" i="3"/>
  <c r="L32" i="3"/>
  <c r="M32" i="3"/>
  <c r="P32" i="3" s="1"/>
  <c r="N32" i="3"/>
  <c r="O32" i="3" s="1"/>
  <c r="Q32" i="3"/>
  <c r="R32" i="3"/>
  <c r="B33" i="3"/>
  <c r="C33" i="3"/>
  <c r="S33" i="3" s="1"/>
  <c r="D33" i="3"/>
  <c r="I33" i="3"/>
  <c r="L33" i="3"/>
  <c r="M33" i="3"/>
  <c r="P33" i="3" s="1"/>
  <c r="N33" i="3"/>
  <c r="O33" i="3" s="1"/>
  <c r="Q33" i="3"/>
  <c r="R33" i="3"/>
  <c r="B34" i="3"/>
  <c r="C34" i="3"/>
  <c r="S34" i="3" s="1"/>
  <c r="D34" i="3"/>
  <c r="I34" i="3"/>
  <c r="L34" i="3"/>
  <c r="M34" i="3"/>
  <c r="P34" i="3" s="1"/>
  <c r="N34" i="3"/>
  <c r="O34" i="3" s="1"/>
  <c r="Q34" i="3"/>
  <c r="R34" i="3"/>
  <c r="B35" i="3"/>
  <c r="U35" i="3" s="1"/>
  <c r="C35" i="3"/>
  <c r="S35" i="3" s="1"/>
  <c r="D35" i="3"/>
  <c r="I35" i="3"/>
  <c r="L35" i="3"/>
  <c r="M35" i="3"/>
  <c r="P35" i="3" s="1"/>
  <c r="N35" i="3"/>
  <c r="O35" i="3" s="1"/>
  <c r="Q35" i="3"/>
  <c r="R35" i="3"/>
  <c r="B36" i="3"/>
  <c r="C36" i="3"/>
  <c r="S36" i="3" s="1"/>
  <c r="D36" i="3"/>
  <c r="I36" i="3"/>
  <c r="L36" i="3"/>
  <c r="M36" i="3"/>
  <c r="P36" i="3" s="1"/>
  <c r="N36" i="3"/>
  <c r="O36" i="3" s="1"/>
  <c r="Q36" i="3"/>
  <c r="R36" i="3"/>
  <c r="B37" i="3"/>
  <c r="C37" i="3"/>
  <c r="S37" i="3" s="1"/>
  <c r="D37" i="3"/>
  <c r="I37" i="3"/>
  <c r="L37" i="3"/>
  <c r="M37" i="3"/>
  <c r="P37" i="3" s="1"/>
  <c r="N37" i="3"/>
  <c r="O37" i="3" s="1"/>
  <c r="Q37" i="3"/>
  <c r="R37" i="3"/>
  <c r="B45" i="3"/>
  <c r="C45" i="3"/>
  <c r="S45" i="3" s="1"/>
  <c r="D45" i="3"/>
  <c r="I45" i="3"/>
  <c r="L45" i="3"/>
  <c r="M45" i="3"/>
  <c r="P45" i="3" s="1"/>
  <c r="N45" i="3"/>
  <c r="O45" i="3" s="1"/>
  <c r="Q45" i="3"/>
  <c r="R45" i="3"/>
  <c r="B46" i="3"/>
  <c r="C46" i="3"/>
  <c r="S46" i="3" s="1"/>
  <c r="D46" i="3"/>
  <c r="I46" i="3"/>
  <c r="L46" i="3"/>
  <c r="M46" i="3"/>
  <c r="P46" i="3" s="1"/>
  <c r="N46" i="3"/>
  <c r="O46" i="3" s="1"/>
  <c r="Q46" i="3"/>
  <c r="R46" i="3"/>
  <c r="B47" i="3"/>
  <c r="C47" i="3"/>
  <c r="S47" i="3" s="1"/>
  <c r="D47" i="3"/>
  <c r="I47" i="3"/>
  <c r="L47" i="3"/>
  <c r="M47" i="3"/>
  <c r="P47" i="3" s="1"/>
  <c r="N47" i="3"/>
  <c r="O47" i="3" s="1"/>
  <c r="Q47" i="3"/>
  <c r="R47" i="3"/>
  <c r="B48" i="3"/>
  <c r="U48" i="3" s="1"/>
  <c r="C48" i="3"/>
  <c r="S48" i="3" s="1"/>
  <c r="D48" i="3"/>
  <c r="I48" i="3"/>
  <c r="L48" i="3"/>
  <c r="M48" i="3"/>
  <c r="P48" i="3" s="1"/>
  <c r="N48" i="3"/>
  <c r="O48" i="3" s="1"/>
  <c r="Q48" i="3"/>
  <c r="R48" i="3"/>
  <c r="B49" i="3"/>
  <c r="C49" i="3"/>
  <c r="S49" i="3" s="1"/>
  <c r="D49" i="3"/>
  <c r="I49" i="3"/>
  <c r="L49" i="3"/>
  <c r="M49" i="3"/>
  <c r="P49" i="3" s="1"/>
  <c r="N49" i="3"/>
  <c r="O49" i="3" s="1"/>
  <c r="Q49" i="3"/>
  <c r="R49" i="3"/>
  <c r="B50" i="3"/>
  <c r="C50" i="3"/>
  <c r="S50" i="3" s="1"/>
  <c r="D50" i="3"/>
  <c r="I50" i="3"/>
  <c r="L50" i="3"/>
  <c r="M50" i="3"/>
  <c r="P50" i="3" s="1"/>
  <c r="N50" i="3"/>
  <c r="O50" i="3" s="1"/>
  <c r="Q50" i="3"/>
  <c r="R50" i="3"/>
  <c r="B51" i="3"/>
  <c r="C51" i="3"/>
  <c r="S51" i="3" s="1"/>
  <c r="D51" i="3"/>
  <c r="I51" i="3"/>
  <c r="L51" i="3"/>
  <c r="M51" i="3"/>
  <c r="P51" i="3" s="1"/>
  <c r="N51" i="3"/>
  <c r="O51" i="3" s="1"/>
  <c r="Q51" i="3"/>
  <c r="R51" i="3"/>
  <c r="B52" i="3"/>
  <c r="C52" i="3"/>
  <c r="S52" i="3" s="1"/>
  <c r="D52" i="3"/>
  <c r="I52" i="3"/>
  <c r="L52" i="3"/>
  <c r="M52" i="3"/>
  <c r="P52" i="3" s="1"/>
  <c r="N52" i="3"/>
  <c r="O52" i="3" s="1"/>
  <c r="Q52" i="3"/>
  <c r="R52" i="3"/>
  <c r="B53" i="3"/>
  <c r="C53" i="3"/>
  <c r="S53" i="3" s="1"/>
  <c r="D53" i="3"/>
  <c r="I53" i="3"/>
  <c r="L53" i="3"/>
  <c r="M53" i="3"/>
  <c r="P53" i="3" s="1"/>
  <c r="N53" i="3"/>
  <c r="O53" i="3" s="1"/>
  <c r="Q53" i="3"/>
  <c r="R53" i="3"/>
  <c r="B54" i="3"/>
  <c r="U54" i="3" s="1"/>
  <c r="C54" i="3"/>
  <c r="S54" i="3" s="1"/>
  <c r="D54" i="3"/>
  <c r="I54" i="3"/>
  <c r="L54" i="3"/>
  <c r="M54" i="3"/>
  <c r="P54" i="3" s="1"/>
  <c r="N54" i="3"/>
  <c r="O54" i="3" s="1"/>
  <c r="Q54" i="3"/>
  <c r="R54" i="3"/>
  <c r="B55" i="3"/>
  <c r="U55" i="3" s="1"/>
  <c r="C55" i="3"/>
  <c r="S55" i="3" s="1"/>
  <c r="D55" i="3"/>
  <c r="I55" i="3"/>
  <c r="L55" i="3"/>
  <c r="M55" i="3"/>
  <c r="P55" i="3" s="1"/>
  <c r="N55" i="3"/>
  <c r="O55" i="3" s="1"/>
  <c r="Q55" i="3"/>
  <c r="R55" i="3"/>
  <c r="B56" i="3"/>
  <c r="C56" i="3"/>
  <c r="S56" i="3" s="1"/>
  <c r="D56" i="3"/>
  <c r="I56" i="3"/>
  <c r="L56" i="3"/>
  <c r="M56" i="3"/>
  <c r="P56" i="3" s="1"/>
  <c r="N56" i="3"/>
  <c r="O56" i="3" s="1"/>
  <c r="Q56" i="3"/>
  <c r="R56" i="3"/>
  <c r="B57" i="3"/>
  <c r="C57" i="3"/>
  <c r="S57" i="3" s="1"/>
  <c r="D57" i="3"/>
  <c r="I57" i="3"/>
  <c r="L57" i="3"/>
  <c r="M57" i="3"/>
  <c r="P57" i="3" s="1"/>
  <c r="N57" i="3"/>
  <c r="O57" i="3" s="1"/>
  <c r="Q57" i="3"/>
  <c r="R57" i="3"/>
  <c r="B58" i="3"/>
  <c r="C58" i="3"/>
  <c r="S58" i="3" s="1"/>
  <c r="D58" i="3"/>
  <c r="I58" i="3"/>
  <c r="L58" i="3"/>
  <c r="M58" i="3"/>
  <c r="P58" i="3" s="1"/>
  <c r="N58" i="3"/>
  <c r="O58" i="3" s="1"/>
  <c r="Q58" i="3"/>
  <c r="R58" i="3"/>
  <c r="B59" i="3"/>
  <c r="C59" i="3"/>
  <c r="S59" i="3" s="1"/>
  <c r="D59" i="3"/>
  <c r="I59" i="3"/>
  <c r="L59" i="3"/>
  <c r="M59" i="3"/>
  <c r="P59" i="3" s="1"/>
  <c r="N59" i="3"/>
  <c r="O59" i="3" s="1"/>
  <c r="Q59" i="3"/>
  <c r="R59" i="3"/>
  <c r="B60" i="3"/>
  <c r="C60" i="3"/>
  <c r="S60" i="3" s="1"/>
  <c r="D60" i="3"/>
  <c r="I60" i="3"/>
  <c r="L60" i="3"/>
  <c r="M60" i="3"/>
  <c r="P60" i="3" s="1"/>
  <c r="N60" i="3"/>
  <c r="O60" i="3" s="1"/>
  <c r="Q60" i="3"/>
  <c r="R60" i="3"/>
  <c r="B61" i="3"/>
  <c r="C61" i="3"/>
  <c r="S61" i="3" s="1"/>
  <c r="D61" i="3"/>
  <c r="I61" i="3"/>
  <c r="L61" i="3"/>
  <c r="M61" i="3"/>
  <c r="P61" i="3" s="1"/>
  <c r="N61" i="3"/>
  <c r="O61" i="3" s="1"/>
  <c r="Q61" i="3"/>
  <c r="R61" i="3"/>
  <c r="B62" i="3"/>
  <c r="C62" i="3"/>
  <c r="S62" i="3" s="1"/>
  <c r="D62" i="3"/>
  <c r="I62" i="3"/>
  <c r="L62" i="3"/>
  <c r="M62" i="3"/>
  <c r="P62" i="3" s="1"/>
  <c r="N62" i="3"/>
  <c r="O62" i="3" s="1"/>
  <c r="Q62" i="3"/>
  <c r="R62" i="3"/>
  <c r="B63" i="3"/>
  <c r="C63" i="3"/>
  <c r="S63" i="3" s="1"/>
  <c r="D63" i="3"/>
  <c r="I63" i="3"/>
  <c r="L63" i="3"/>
  <c r="M63" i="3"/>
  <c r="P63" i="3" s="1"/>
  <c r="N63" i="3"/>
  <c r="O63" i="3" s="1"/>
  <c r="Q63" i="3"/>
  <c r="R63" i="3"/>
  <c r="B64" i="3"/>
  <c r="C64" i="3"/>
  <c r="S64" i="3" s="1"/>
  <c r="D64" i="3"/>
  <c r="I64" i="3"/>
  <c r="L64" i="3"/>
  <c r="M64" i="3"/>
  <c r="P64" i="3" s="1"/>
  <c r="N64" i="3"/>
  <c r="O64" i="3" s="1"/>
  <c r="Q64" i="3"/>
  <c r="R64" i="3"/>
  <c r="B65" i="3"/>
  <c r="C65" i="3"/>
  <c r="S65" i="3" s="1"/>
  <c r="D65" i="3"/>
  <c r="I65" i="3"/>
  <c r="L65" i="3"/>
  <c r="M65" i="3"/>
  <c r="P65" i="3" s="1"/>
  <c r="N65" i="3"/>
  <c r="O65" i="3" s="1"/>
  <c r="Q65" i="3"/>
  <c r="R65" i="3"/>
  <c r="B66" i="3"/>
  <c r="C66" i="3"/>
  <c r="S66" i="3" s="1"/>
  <c r="D66" i="3"/>
  <c r="I66" i="3"/>
  <c r="L66" i="3"/>
  <c r="M66" i="3"/>
  <c r="P66" i="3" s="1"/>
  <c r="N66" i="3"/>
  <c r="O66" i="3" s="1"/>
  <c r="Q66" i="3"/>
  <c r="R66" i="3"/>
  <c r="B67" i="3"/>
  <c r="C67" i="3"/>
  <c r="S67" i="3" s="1"/>
  <c r="D67" i="3"/>
  <c r="I67" i="3"/>
  <c r="L67" i="3"/>
  <c r="M67" i="3"/>
  <c r="P67" i="3" s="1"/>
  <c r="N67" i="3"/>
  <c r="O67" i="3" s="1"/>
  <c r="Q67" i="3"/>
  <c r="R67" i="3"/>
  <c r="B68" i="3"/>
  <c r="C68" i="3"/>
  <c r="S68" i="3" s="1"/>
  <c r="D68" i="3"/>
  <c r="I68" i="3"/>
  <c r="L68" i="3"/>
  <c r="M68" i="3"/>
  <c r="P68" i="3" s="1"/>
  <c r="N68" i="3"/>
  <c r="O68" i="3" s="1"/>
  <c r="Q68" i="3"/>
  <c r="R68" i="3"/>
  <c r="B74" i="3"/>
  <c r="U74" i="3" s="1"/>
  <c r="C74" i="3"/>
  <c r="S74" i="3" s="1"/>
  <c r="D74" i="3"/>
  <c r="I74" i="3"/>
  <c r="L74" i="3"/>
  <c r="M74" i="3"/>
  <c r="P74" i="3" s="1"/>
  <c r="N74" i="3"/>
  <c r="O74" i="3" s="1"/>
  <c r="Q74" i="3"/>
  <c r="R74" i="3"/>
  <c r="B75" i="3"/>
  <c r="C75" i="3"/>
  <c r="S75" i="3" s="1"/>
  <c r="D75" i="3"/>
  <c r="I75" i="3"/>
  <c r="L75" i="3"/>
  <c r="M75" i="3"/>
  <c r="P75" i="3" s="1"/>
  <c r="N75" i="3"/>
  <c r="O75" i="3" s="1"/>
  <c r="Q75" i="3"/>
  <c r="R75" i="3"/>
  <c r="B76" i="3"/>
  <c r="C76" i="3"/>
  <c r="S76" i="3" s="1"/>
  <c r="D76" i="3"/>
  <c r="I76" i="3"/>
  <c r="L76" i="3"/>
  <c r="M76" i="3"/>
  <c r="P76" i="3" s="1"/>
  <c r="N76" i="3"/>
  <c r="O76" i="3" s="1"/>
  <c r="Q76" i="3"/>
  <c r="R76" i="3"/>
  <c r="B77" i="3"/>
  <c r="C77" i="3"/>
  <c r="S77" i="3" s="1"/>
  <c r="D77" i="3"/>
  <c r="I77" i="3"/>
  <c r="L77" i="3"/>
  <c r="M77" i="3"/>
  <c r="P77" i="3" s="1"/>
  <c r="N77" i="3"/>
  <c r="O77" i="3" s="1"/>
  <c r="Q77" i="3"/>
  <c r="R77" i="3"/>
  <c r="B78" i="3"/>
  <c r="C78" i="3"/>
  <c r="S78" i="3" s="1"/>
  <c r="D78" i="3"/>
  <c r="I78" i="3"/>
  <c r="L78" i="3"/>
  <c r="M78" i="3"/>
  <c r="P78" i="3" s="1"/>
  <c r="N78" i="3"/>
  <c r="O78" i="3" s="1"/>
  <c r="Q78" i="3"/>
  <c r="R78" i="3"/>
  <c r="B79" i="3"/>
  <c r="C79" i="3"/>
  <c r="S79" i="3" s="1"/>
  <c r="D79" i="3"/>
  <c r="I79" i="3"/>
  <c r="L79" i="3"/>
  <c r="M79" i="3"/>
  <c r="P79" i="3" s="1"/>
  <c r="N79" i="3"/>
  <c r="O79" i="3" s="1"/>
  <c r="Q79" i="3"/>
  <c r="R79" i="3"/>
  <c r="B80" i="3"/>
  <c r="C80" i="3"/>
  <c r="S80" i="3" s="1"/>
  <c r="D80" i="3"/>
  <c r="I80" i="3"/>
  <c r="L80" i="3"/>
  <c r="M80" i="3"/>
  <c r="P80" i="3" s="1"/>
  <c r="N80" i="3"/>
  <c r="O80" i="3" s="1"/>
  <c r="Q80" i="3"/>
  <c r="R80" i="3"/>
  <c r="B81" i="3"/>
  <c r="C81" i="3"/>
  <c r="S81" i="3" s="1"/>
  <c r="D81" i="3"/>
  <c r="I81" i="3"/>
  <c r="L81" i="3"/>
  <c r="M81" i="3"/>
  <c r="P81" i="3" s="1"/>
  <c r="N81" i="3"/>
  <c r="O81" i="3" s="1"/>
  <c r="Q81" i="3"/>
  <c r="R81" i="3"/>
  <c r="B82" i="3"/>
  <c r="C82" i="3"/>
  <c r="S82" i="3" s="1"/>
  <c r="D82" i="3"/>
  <c r="I82" i="3"/>
  <c r="L82" i="3"/>
  <c r="M82" i="3"/>
  <c r="P82" i="3" s="1"/>
  <c r="N82" i="3"/>
  <c r="O82" i="3" s="1"/>
  <c r="Q82" i="3"/>
  <c r="R82" i="3"/>
  <c r="B83" i="3"/>
  <c r="C83" i="3"/>
  <c r="S83" i="3" s="1"/>
  <c r="D83" i="3"/>
  <c r="I83" i="3"/>
  <c r="L83" i="3"/>
  <c r="M83" i="3"/>
  <c r="P83" i="3" s="1"/>
  <c r="N83" i="3"/>
  <c r="O83" i="3" s="1"/>
  <c r="Q83" i="3"/>
  <c r="R83" i="3"/>
  <c r="B84" i="3"/>
  <c r="C84" i="3"/>
  <c r="S84" i="3" s="1"/>
  <c r="D84" i="3"/>
  <c r="I84" i="3"/>
  <c r="L84" i="3"/>
  <c r="M84" i="3"/>
  <c r="P84" i="3" s="1"/>
  <c r="N84" i="3"/>
  <c r="O84" i="3" s="1"/>
  <c r="Q84" i="3"/>
  <c r="R84" i="3"/>
  <c r="B85" i="3"/>
  <c r="C85" i="3"/>
  <c r="S85" i="3" s="1"/>
  <c r="D85" i="3"/>
  <c r="I85" i="3"/>
  <c r="L85" i="3"/>
  <c r="M85" i="3"/>
  <c r="P85" i="3" s="1"/>
  <c r="N85" i="3"/>
  <c r="O85" i="3" s="1"/>
  <c r="Q85" i="3"/>
  <c r="R85" i="3"/>
  <c r="B86" i="3"/>
  <c r="U86" i="3" s="1"/>
  <c r="C86" i="3"/>
  <c r="S86" i="3" s="1"/>
  <c r="D86" i="3"/>
  <c r="I86" i="3"/>
  <c r="L86" i="3"/>
  <c r="M86" i="3"/>
  <c r="P86" i="3" s="1"/>
  <c r="N86" i="3"/>
  <c r="O86" i="3" s="1"/>
  <c r="Q86" i="3"/>
  <c r="R86" i="3"/>
  <c r="B87" i="3"/>
  <c r="C87" i="3"/>
  <c r="S87" i="3" s="1"/>
  <c r="D87" i="3"/>
  <c r="I87" i="3"/>
  <c r="L87" i="3"/>
  <c r="M87" i="3"/>
  <c r="P87" i="3" s="1"/>
  <c r="N87" i="3"/>
  <c r="O87" i="3" s="1"/>
  <c r="Q87" i="3"/>
  <c r="R87" i="3"/>
  <c r="B88" i="3"/>
  <c r="U88" i="3" s="1"/>
  <c r="C88" i="3"/>
  <c r="S88" i="3" s="1"/>
  <c r="D88" i="3"/>
  <c r="I88" i="3"/>
  <c r="L88" i="3"/>
  <c r="M88" i="3"/>
  <c r="P88" i="3" s="1"/>
  <c r="N88" i="3"/>
  <c r="O88" i="3" s="1"/>
  <c r="Q88" i="3"/>
  <c r="R88" i="3"/>
  <c r="B89" i="3"/>
  <c r="C89" i="3"/>
  <c r="S89" i="3" s="1"/>
  <c r="D89" i="3"/>
  <c r="I89" i="3"/>
  <c r="L89" i="3"/>
  <c r="M89" i="3"/>
  <c r="P89" i="3" s="1"/>
  <c r="N89" i="3"/>
  <c r="O89" i="3" s="1"/>
  <c r="Q89" i="3"/>
  <c r="R89" i="3"/>
  <c r="B90" i="3"/>
  <c r="C90" i="3"/>
  <c r="S90" i="3" s="1"/>
  <c r="D90" i="3"/>
  <c r="I90" i="3"/>
  <c r="L90" i="3"/>
  <c r="M90" i="3"/>
  <c r="P90" i="3" s="1"/>
  <c r="N90" i="3"/>
  <c r="O90" i="3" s="1"/>
  <c r="Q90" i="3"/>
  <c r="R90" i="3"/>
  <c r="B91" i="3"/>
  <c r="C91" i="3"/>
  <c r="S91" i="3" s="1"/>
  <c r="D91" i="3"/>
  <c r="I91" i="3"/>
  <c r="L91" i="3"/>
  <c r="M91" i="3"/>
  <c r="P91" i="3" s="1"/>
  <c r="N91" i="3"/>
  <c r="O91" i="3" s="1"/>
  <c r="Q91" i="3"/>
  <c r="R91" i="3"/>
  <c r="B92" i="3"/>
  <c r="U92" i="3" s="1"/>
  <c r="C92" i="3"/>
  <c r="S92" i="3" s="1"/>
  <c r="D92" i="3"/>
  <c r="I92" i="3"/>
  <c r="L92" i="3"/>
  <c r="M92" i="3"/>
  <c r="P92" i="3" s="1"/>
  <c r="N92" i="3"/>
  <c r="O92" i="3" s="1"/>
  <c r="Q92" i="3"/>
  <c r="R92" i="3"/>
  <c r="B93" i="3"/>
  <c r="C93" i="3"/>
  <c r="S93" i="3" s="1"/>
  <c r="D93" i="3"/>
  <c r="I93" i="3"/>
  <c r="L93" i="3"/>
  <c r="M93" i="3"/>
  <c r="P93" i="3" s="1"/>
  <c r="N93" i="3"/>
  <c r="O93" i="3" s="1"/>
  <c r="Q93" i="3"/>
  <c r="R93" i="3"/>
  <c r="B94" i="3"/>
  <c r="U94" i="3" s="1"/>
  <c r="C94" i="3"/>
  <c r="S94" i="3" s="1"/>
  <c r="D94" i="3"/>
  <c r="I94" i="3"/>
  <c r="L94" i="3"/>
  <c r="M94" i="3"/>
  <c r="P94" i="3" s="1"/>
  <c r="N94" i="3"/>
  <c r="O94" i="3" s="1"/>
  <c r="Q94" i="3"/>
  <c r="R94" i="3"/>
  <c r="B95" i="3"/>
  <c r="U95" i="3" s="1"/>
  <c r="C95" i="3"/>
  <c r="S95" i="3" s="1"/>
  <c r="D95" i="3"/>
  <c r="I95" i="3"/>
  <c r="L95" i="3"/>
  <c r="M95" i="3"/>
  <c r="P95" i="3" s="1"/>
  <c r="N95" i="3"/>
  <c r="O95" i="3" s="1"/>
  <c r="Q95" i="3"/>
  <c r="R95" i="3"/>
  <c r="B96" i="3"/>
  <c r="C96" i="3"/>
  <c r="S96" i="3" s="1"/>
  <c r="D96" i="3"/>
  <c r="I96" i="3"/>
  <c r="L96" i="3"/>
  <c r="M96" i="3"/>
  <c r="P96" i="3" s="1"/>
  <c r="N96" i="3"/>
  <c r="O96" i="3" s="1"/>
  <c r="Q96" i="3"/>
  <c r="R96" i="3"/>
  <c r="B97" i="3"/>
  <c r="C97" i="3"/>
  <c r="S97" i="3" s="1"/>
  <c r="D97" i="3"/>
  <c r="I97" i="3"/>
  <c r="L97" i="3"/>
  <c r="M97" i="3"/>
  <c r="P97" i="3" s="1"/>
  <c r="N97" i="3"/>
  <c r="O97" i="3" s="1"/>
  <c r="Q97" i="3"/>
  <c r="R97" i="3"/>
  <c r="B98" i="3"/>
  <c r="C98" i="3"/>
  <c r="S98" i="3" s="1"/>
  <c r="D98" i="3"/>
  <c r="I98" i="3"/>
  <c r="L98" i="3"/>
  <c r="M98" i="3"/>
  <c r="P98" i="3" s="1"/>
  <c r="N98" i="3"/>
  <c r="O98" i="3" s="1"/>
  <c r="Q98" i="3"/>
  <c r="R98" i="3"/>
  <c r="B99" i="3"/>
  <c r="C99" i="3"/>
  <c r="S99" i="3" s="1"/>
  <c r="D99" i="3"/>
  <c r="I99" i="3"/>
  <c r="L99" i="3"/>
  <c r="M99" i="3"/>
  <c r="P99" i="3" s="1"/>
  <c r="N99" i="3"/>
  <c r="O99" i="3" s="1"/>
  <c r="Q99" i="3"/>
  <c r="R99" i="3"/>
  <c r="B100" i="3"/>
  <c r="C100" i="3"/>
  <c r="S100" i="3" s="1"/>
  <c r="D100" i="3"/>
  <c r="I100" i="3"/>
  <c r="L100" i="3"/>
  <c r="M100" i="3"/>
  <c r="P100" i="3" s="1"/>
  <c r="N100" i="3"/>
  <c r="O100" i="3" s="1"/>
  <c r="Q100" i="3"/>
  <c r="R100" i="3"/>
  <c r="B101" i="3"/>
  <c r="C101" i="3"/>
  <c r="S101" i="3" s="1"/>
  <c r="D101" i="3"/>
  <c r="I101" i="3"/>
  <c r="L101" i="3"/>
  <c r="M101" i="3"/>
  <c r="P101" i="3" s="1"/>
  <c r="N101" i="3"/>
  <c r="O101" i="3" s="1"/>
  <c r="Q101" i="3"/>
  <c r="R101" i="3"/>
  <c r="B102" i="3"/>
  <c r="U102" i="3" s="1"/>
  <c r="C102" i="3"/>
  <c r="S102" i="3" s="1"/>
  <c r="D102" i="3"/>
  <c r="I102" i="3"/>
  <c r="L102" i="3"/>
  <c r="M102" i="3"/>
  <c r="P102" i="3" s="1"/>
  <c r="N102" i="3"/>
  <c r="O102" i="3" s="1"/>
  <c r="Q102" i="3"/>
  <c r="R102" i="3"/>
  <c r="B103" i="3"/>
  <c r="C103" i="3"/>
  <c r="S103" i="3" s="1"/>
  <c r="D103" i="3"/>
  <c r="I103" i="3"/>
  <c r="L103" i="3"/>
  <c r="M103" i="3"/>
  <c r="P103" i="3" s="1"/>
  <c r="N103" i="3"/>
  <c r="O103" i="3" s="1"/>
  <c r="Q103" i="3"/>
  <c r="R103" i="3"/>
  <c r="B104" i="3"/>
  <c r="C104" i="3"/>
  <c r="S104" i="3" s="1"/>
  <c r="D104" i="3"/>
  <c r="I104" i="3"/>
  <c r="L104" i="3"/>
  <c r="M104" i="3"/>
  <c r="P104" i="3" s="1"/>
  <c r="N104" i="3"/>
  <c r="O104" i="3" s="1"/>
  <c r="Q104" i="3"/>
  <c r="R104" i="3"/>
  <c r="B105" i="3"/>
  <c r="C105" i="3"/>
  <c r="S105" i="3" s="1"/>
  <c r="D105" i="3"/>
  <c r="I105" i="3"/>
  <c r="L105" i="3"/>
  <c r="M105" i="3"/>
  <c r="P105" i="3" s="1"/>
  <c r="N105" i="3"/>
  <c r="O105" i="3" s="1"/>
  <c r="Q105" i="3"/>
  <c r="R105" i="3"/>
  <c r="B106" i="3"/>
  <c r="C106" i="3"/>
  <c r="S106" i="3" s="1"/>
  <c r="D106" i="3"/>
  <c r="I106" i="3"/>
  <c r="L106" i="3"/>
  <c r="M106" i="3"/>
  <c r="P106" i="3" s="1"/>
  <c r="N106" i="3"/>
  <c r="O106" i="3" s="1"/>
  <c r="Q106" i="3"/>
  <c r="R106" i="3"/>
  <c r="B107" i="3"/>
  <c r="C107" i="3"/>
  <c r="S107" i="3" s="1"/>
  <c r="D107" i="3"/>
  <c r="I107" i="3"/>
  <c r="L107" i="3"/>
  <c r="M107" i="3"/>
  <c r="P107" i="3" s="1"/>
  <c r="N107" i="3"/>
  <c r="O107" i="3" s="1"/>
  <c r="Q107" i="3"/>
  <c r="R107" i="3"/>
  <c r="B108" i="3"/>
  <c r="U108" i="3" s="1"/>
  <c r="C108" i="3"/>
  <c r="S108" i="3" s="1"/>
  <c r="D108" i="3"/>
  <c r="I108" i="3"/>
  <c r="L108" i="3"/>
  <c r="M108" i="3"/>
  <c r="P108" i="3" s="1"/>
  <c r="N108" i="3"/>
  <c r="O108" i="3" s="1"/>
  <c r="Q108" i="3"/>
  <c r="R108" i="3"/>
  <c r="B109" i="3"/>
  <c r="U109" i="3" s="1"/>
  <c r="C109" i="3"/>
  <c r="S109" i="3" s="1"/>
  <c r="D109" i="3"/>
  <c r="I109" i="3"/>
  <c r="L109" i="3"/>
  <c r="M109" i="3"/>
  <c r="P109" i="3" s="1"/>
  <c r="N109" i="3"/>
  <c r="O109" i="3" s="1"/>
  <c r="Q109" i="3"/>
  <c r="R109" i="3"/>
  <c r="B110" i="3"/>
  <c r="C110" i="3"/>
  <c r="S110" i="3" s="1"/>
  <c r="D110" i="3"/>
  <c r="I110" i="3"/>
  <c r="L110" i="3"/>
  <c r="M110" i="3"/>
  <c r="P110" i="3" s="1"/>
  <c r="N110" i="3"/>
  <c r="O110" i="3" s="1"/>
  <c r="Q110" i="3"/>
  <c r="R110" i="3"/>
  <c r="B111" i="3"/>
  <c r="C111" i="3"/>
  <c r="S111" i="3" s="1"/>
  <c r="D111" i="3"/>
  <c r="I111" i="3"/>
  <c r="L111" i="3"/>
  <c r="M111" i="3"/>
  <c r="P111" i="3" s="1"/>
  <c r="N111" i="3"/>
  <c r="O111" i="3" s="1"/>
  <c r="Q111" i="3"/>
  <c r="R111" i="3"/>
  <c r="B112" i="3"/>
  <c r="C112" i="3"/>
  <c r="S112" i="3" s="1"/>
  <c r="D112" i="3"/>
  <c r="I112" i="3"/>
  <c r="L112" i="3"/>
  <c r="M112" i="3"/>
  <c r="P112" i="3" s="1"/>
  <c r="N112" i="3"/>
  <c r="O112" i="3" s="1"/>
  <c r="Q112" i="3"/>
  <c r="R112" i="3"/>
  <c r="B113" i="3"/>
  <c r="U113" i="3" s="1"/>
  <c r="C113" i="3"/>
  <c r="S113" i="3" s="1"/>
  <c r="D113" i="3"/>
  <c r="L113" i="3"/>
  <c r="M113" i="3"/>
  <c r="P113" i="3" s="1"/>
  <c r="N113" i="3"/>
  <c r="O113" i="3" s="1"/>
  <c r="Q113" i="3"/>
  <c r="R113" i="3"/>
  <c r="B114" i="3"/>
  <c r="C114" i="3"/>
  <c r="S114" i="3" s="1"/>
  <c r="D114" i="3"/>
  <c r="L114" i="3"/>
  <c r="M114" i="3"/>
  <c r="P114" i="3" s="1"/>
  <c r="N114" i="3"/>
  <c r="O114" i="3" s="1"/>
  <c r="Q114" i="3"/>
  <c r="R114" i="3"/>
  <c r="B115" i="3"/>
  <c r="C115" i="3"/>
  <c r="S115" i="3" s="1"/>
  <c r="D115" i="3"/>
  <c r="I115" i="3"/>
  <c r="L115" i="3"/>
  <c r="M115" i="3"/>
  <c r="P115" i="3" s="1"/>
  <c r="N115" i="3"/>
  <c r="O115" i="3" s="1"/>
  <c r="Q115" i="3"/>
  <c r="R115" i="3"/>
  <c r="B116" i="3"/>
  <c r="U116" i="3" s="1"/>
  <c r="C116" i="3"/>
  <c r="S116" i="3" s="1"/>
  <c r="D116" i="3"/>
  <c r="I116" i="3"/>
  <c r="L116" i="3"/>
  <c r="M116" i="3"/>
  <c r="P116" i="3" s="1"/>
  <c r="N116" i="3"/>
  <c r="O116" i="3" s="1"/>
  <c r="Q116" i="3"/>
  <c r="R116" i="3"/>
  <c r="B117" i="3"/>
  <c r="C117" i="3"/>
  <c r="S117" i="3" s="1"/>
  <c r="D117" i="3"/>
  <c r="I117" i="3"/>
  <c r="L117" i="3"/>
  <c r="M117" i="3"/>
  <c r="P117" i="3" s="1"/>
  <c r="N117" i="3"/>
  <c r="O117" i="3" s="1"/>
  <c r="Q117" i="3"/>
  <c r="R117" i="3"/>
  <c r="B118" i="3"/>
  <c r="C118" i="3"/>
  <c r="S118" i="3" s="1"/>
  <c r="D118" i="3"/>
  <c r="I118" i="3"/>
  <c r="L118" i="3"/>
  <c r="M118" i="3"/>
  <c r="P118" i="3" s="1"/>
  <c r="N118" i="3"/>
  <c r="O118" i="3" s="1"/>
  <c r="Q118" i="3"/>
  <c r="R118" i="3"/>
  <c r="B119" i="3"/>
  <c r="C119" i="3"/>
  <c r="S119" i="3" s="1"/>
  <c r="D119" i="3"/>
  <c r="I119" i="3"/>
  <c r="L119" i="3"/>
  <c r="M119" i="3"/>
  <c r="P119" i="3" s="1"/>
  <c r="N119" i="3"/>
  <c r="O119" i="3" s="1"/>
  <c r="Q119" i="3"/>
  <c r="R119" i="3"/>
  <c r="B120" i="3"/>
  <c r="C120" i="3"/>
  <c r="S120" i="3" s="1"/>
  <c r="D120" i="3"/>
  <c r="I120" i="3"/>
  <c r="L120" i="3"/>
  <c r="M120" i="3"/>
  <c r="P120" i="3" s="1"/>
  <c r="N120" i="3"/>
  <c r="O120" i="3" s="1"/>
  <c r="Q120" i="3"/>
  <c r="R120" i="3"/>
  <c r="B121" i="3"/>
  <c r="U121" i="3" s="1"/>
  <c r="C121" i="3"/>
  <c r="S121" i="3" s="1"/>
  <c r="D121" i="3"/>
  <c r="I121" i="3"/>
  <c r="L121" i="3"/>
  <c r="M121" i="3"/>
  <c r="P121" i="3" s="1"/>
  <c r="N121" i="3"/>
  <c r="O121" i="3" s="1"/>
  <c r="Q121" i="3"/>
  <c r="R121" i="3"/>
  <c r="B122" i="3"/>
  <c r="C122" i="3"/>
  <c r="S122" i="3" s="1"/>
  <c r="D122" i="3"/>
  <c r="I122" i="3"/>
  <c r="L122" i="3"/>
  <c r="M122" i="3"/>
  <c r="P122" i="3" s="1"/>
  <c r="N122" i="3"/>
  <c r="O122" i="3" s="1"/>
  <c r="Q122" i="3"/>
  <c r="R122" i="3"/>
  <c r="B123" i="3"/>
  <c r="C123" i="3"/>
  <c r="S123" i="3" s="1"/>
  <c r="D123" i="3"/>
  <c r="I123" i="3"/>
  <c r="L123" i="3"/>
  <c r="M123" i="3"/>
  <c r="P123" i="3" s="1"/>
  <c r="N123" i="3"/>
  <c r="O123" i="3" s="1"/>
  <c r="Q123" i="3"/>
  <c r="R123" i="3"/>
  <c r="B124" i="3"/>
  <c r="C124" i="3"/>
  <c r="S124" i="3" s="1"/>
  <c r="D124" i="3"/>
  <c r="I124" i="3"/>
  <c r="L124" i="3"/>
  <c r="M124" i="3"/>
  <c r="P124" i="3" s="1"/>
  <c r="N124" i="3"/>
  <c r="O124" i="3" s="1"/>
  <c r="Q124" i="3"/>
  <c r="R124" i="3"/>
  <c r="B125" i="3"/>
  <c r="C125" i="3"/>
  <c r="S125" i="3" s="1"/>
  <c r="D125" i="3"/>
  <c r="I125" i="3"/>
  <c r="L125" i="3"/>
  <c r="M125" i="3"/>
  <c r="P125" i="3" s="1"/>
  <c r="N125" i="3"/>
  <c r="O125" i="3" s="1"/>
  <c r="Q125" i="3"/>
  <c r="R125" i="3"/>
  <c r="B126" i="3"/>
  <c r="C126" i="3"/>
  <c r="S126" i="3" s="1"/>
  <c r="D126" i="3"/>
  <c r="I126" i="3"/>
  <c r="L126" i="3"/>
  <c r="M126" i="3"/>
  <c r="P126" i="3" s="1"/>
  <c r="N126" i="3"/>
  <c r="O126" i="3" s="1"/>
  <c r="Q126" i="3"/>
  <c r="R126" i="3"/>
  <c r="B127" i="3"/>
  <c r="C127" i="3"/>
  <c r="S127" i="3" s="1"/>
  <c r="D127" i="3"/>
  <c r="I127" i="3"/>
  <c r="L127" i="3"/>
  <c r="M127" i="3"/>
  <c r="P127" i="3" s="1"/>
  <c r="N127" i="3"/>
  <c r="O127" i="3" s="1"/>
  <c r="Q127" i="3"/>
  <c r="R127" i="3"/>
  <c r="B128" i="3"/>
  <c r="C128" i="3"/>
  <c r="S128" i="3" s="1"/>
  <c r="D128" i="3"/>
  <c r="I128" i="3"/>
  <c r="L128" i="3"/>
  <c r="M128" i="3"/>
  <c r="P128" i="3" s="1"/>
  <c r="N128" i="3"/>
  <c r="O128" i="3" s="1"/>
  <c r="Q128" i="3"/>
  <c r="R128" i="3"/>
  <c r="B129" i="3"/>
  <c r="C129" i="3"/>
  <c r="S129" i="3" s="1"/>
  <c r="D129" i="3"/>
  <c r="I129" i="3"/>
  <c r="L129" i="3"/>
  <c r="M129" i="3"/>
  <c r="P129" i="3" s="1"/>
  <c r="N129" i="3"/>
  <c r="O129" i="3" s="1"/>
  <c r="Q129" i="3"/>
  <c r="R129" i="3"/>
  <c r="B130" i="3"/>
  <c r="C130" i="3"/>
  <c r="S130" i="3" s="1"/>
  <c r="D130" i="3"/>
  <c r="I130" i="3"/>
  <c r="L130" i="3"/>
  <c r="M130" i="3"/>
  <c r="P130" i="3" s="1"/>
  <c r="N130" i="3"/>
  <c r="O130" i="3" s="1"/>
  <c r="Q130" i="3"/>
  <c r="R130" i="3"/>
  <c r="B131" i="3"/>
  <c r="C131" i="3"/>
  <c r="S131" i="3" s="1"/>
  <c r="D131" i="3"/>
  <c r="I131" i="3"/>
  <c r="L131" i="3"/>
  <c r="M131" i="3"/>
  <c r="P131" i="3" s="1"/>
  <c r="N131" i="3"/>
  <c r="O131" i="3" s="1"/>
  <c r="Q131" i="3"/>
  <c r="R131" i="3"/>
  <c r="B132" i="3"/>
  <c r="C132" i="3"/>
  <c r="S132" i="3" s="1"/>
  <c r="D132" i="3"/>
  <c r="I132" i="3"/>
  <c r="L132" i="3"/>
  <c r="M132" i="3"/>
  <c r="P132" i="3" s="1"/>
  <c r="N132" i="3"/>
  <c r="O132" i="3" s="1"/>
  <c r="Q132" i="3"/>
  <c r="R132" i="3"/>
  <c r="B133" i="3"/>
  <c r="C133" i="3"/>
  <c r="S133" i="3" s="1"/>
  <c r="D133" i="3"/>
  <c r="I133" i="3"/>
  <c r="L133" i="3"/>
  <c r="M133" i="3"/>
  <c r="P133" i="3" s="1"/>
  <c r="N133" i="3"/>
  <c r="O133" i="3" s="1"/>
  <c r="Q133" i="3"/>
  <c r="R133" i="3"/>
  <c r="B134" i="3"/>
  <c r="U134" i="3" s="1"/>
  <c r="C134" i="3"/>
  <c r="S134" i="3" s="1"/>
  <c r="D134" i="3"/>
  <c r="I134" i="3"/>
  <c r="L134" i="3"/>
  <c r="M134" i="3"/>
  <c r="P134" i="3" s="1"/>
  <c r="N134" i="3"/>
  <c r="O134" i="3" s="1"/>
  <c r="Q134" i="3"/>
  <c r="R134" i="3"/>
  <c r="B135" i="3"/>
  <c r="C135" i="3"/>
  <c r="S135" i="3" s="1"/>
  <c r="D135" i="3"/>
  <c r="I135" i="3"/>
  <c r="L135" i="3"/>
  <c r="M135" i="3"/>
  <c r="P135" i="3" s="1"/>
  <c r="N135" i="3"/>
  <c r="O135" i="3" s="1"/>
  <c r="Q135" i="3"/>
  <c r="R135" i="3"/>
  <c r="B136" i="3"/>
  <c r="C136" i="3"/>
  <c r="S136" i="3" s="1"/>
  <c r="D136" i="3"/>
  <c r="I136" i="3"/>
  <c r="L136" i="3"/>
  <c r="M136" i="3"/>
  <c r="P136" i="3" s="1"/>
  <c r="N136" i="3"/>
  <c r="O136" i="3" s="1"/>
  <c r="Q136" i="3"/>
  <c r="R136" i="3"/>
  <c r="B137" i="3"/>
  <c r="C137" i="3"/>
  <c r="S137" i="3" s="1"/>
  <c r="D137" i="3"/>
  <c r="I137" i="3"/>
  <c r="L137" i="3"/>
  <c r="M137" i="3"/>
  <c r="P137" i="3" s="1"/>
  <c r="N137" i="3"/>
  <c r="O137" i="3" s="1"/>
  <c r="Q137" i="3"/>
  <c r="R137" i="3"/>
  <c r="B138" i="3"/>
  <c r="C138" i="3"/>
  <c r="S138" i="3" s="1"/>
  <c r="D138" i="3"/>
  <c r="I138" i="3"/>
  <c r="L138" i="3"/>
  <c r="M138" i="3"/>
  <c r="P138" i="3" s="1"/>
  <c r="N138" i="3"/>
  <c r="O138" i="3" s="1"/>
  <c r="Q138" i="3"/>
  <c r="R138" i="3"/>
  <c r="B139" i="3"/>
  <c r="U139" i="3" s="1"/>
  <c r="C139" i="3"/>
  <c r="S139" i="3" s="1"/>
  <c r="D139" i="3"/>
  <c r="I139" i="3"/>
  <c r="L139" i="3"/>
  <c r="M139" i="3"/>
  <c r="P139" i="3" s="1"/>
  <c r="N139" i="3"/>
  <c r="O139" i="3" s="1"/>
  <c r="Q139" i="3"/>
  <c r="R139" i="3"/>
  <c r="B140" i="3"/>
  <c r="C140" i="3"/>
  <c r="S140" i="3" s="1"/>
  <c r="D140" i="3"/>
  <c r="I140" i="3"/>
  <c r="L140" i="3"/>
  <c r="M140" i="3"/>
  <c r="P140" i="3" s="1"/>
  <c r="N140" i="3"/>
  <c r="O140" i="3" s="1"/>
  <c r="Q140" i="3"/>
  <c r="R140" i="3"/>
  <c r="B141" i="3"/>
  <c r="C141" i="3"/>
  <c r="S141" i="3" s="1"/>
  <c r="D141" i="3"/>
  <c r="I141" i="3"/>
  <c r="L141" i="3"/>
  <c r="M141" i="3"/>
  <c r="P141" i="3" s="1"/>
  <c r="N141" i="3"/>
  <c r="O141" i="3" s="1"/>
  <c r="Q141" i="3"/>
  <c r="R141" i="3"/>
  <c r="B142" i="3"/>
  <c r="C142" i="3"/>
  <c r="S142" i="3" s="1"/>
  <c r="D142" i="3"/>
  <c r="I142" i="3"/>
  <c r="L142" i="3"/>
  <c r="M142" i="3"/>
  <c r="P142" i="3" s="1"/>
  <c r="N142" i="3"/>
  <c r="O142" i="3" s="1"/>
  <c r="Q142" i="3"/>
  <c r="R142" i="3"/>
  <c r="B143" i="3"/>
  <c r="U143" i="3" s="1"/>
  <c r="C143" i="3"/>
  <c r="S143" i="3" s="1"/>
  <c r="D143" i="3"/>
  <c r="I143" i="3"/>
  <c r="L143" i="3"/>
  <c r="M143" i="3"/>
  <c r="P143" i="3" s="1"/>
  <c r="N143" i="3"/>
  <c r="O143" i="3" s="1"/>
  <c r="Q143" i="3"/>
  <c r="R143" i="3"/>
  <c r="B144" i="3"/>
  <c r="U144" i="3" s="1"/>
  <c r="C144" i="3"/>
  <c r="S144" i="3" s="1"/>
  <c r="D144" i="3"/>
  <c r="I144" i="3"/>
  <c r="L144" i="3"/>
  <c r="M144" i="3"/>
  <c r="P144" i="3" s="1"/>
  <c r="N144" i="3"/>
  <c r="O144" i="3" s="1"/>
  <c r="Q144" i="3"/>
  <c r="R144" i="3"/>
  <c r="B145" i="3"/>
  <c r="C145" i="3"/>
  <c r="S145" i="3" s="1"/>
  <c r="D145" i="3"/>
  <c r="I145" i="3"/>
  <c r="L145" i="3"/>
  <c r="M145" i="3"/>
  <c r="P145" i="3" s="1"/>
  <c r="N145" i="3"/>
  <c r="O145" i="3" s="1"/>
  <c r="Q145" i="3"/>
  <c r="R145" i="3"/>
  <c r="B146" i="3"/>
  <c r="U146" i="3" s="1"/>
  <c r="C146" i="3"/>
  <c r="S146" i="3" s="1"/>
  <c r="D146" i="3"/>
  <c r="I146" i="3"/>
  <c r="L146" i="3"/>
  <c r="M146" i="3"/>
  <c r="P146" i="3" s="1"/>
  <c r="N146" i="3"/>
  <c r="O146" i="3" s="1"/>
  <c r="Q146" i="3"/>
  <c r="R146" i="3"/>
  <c r="B147" i="3"/>
  <c r="C147" i="3"/>
  <c r="S147" i="3" s="1"/>
  <c r="D147" i="3"/>
  <c r="I147" i="3"/>
  <c r="L147" i="3"/>
  <c r="M147" i="3"/>
  <c r="P147" i="3" s="1"/>
  <c r="N147" i="3"/>
  <c r="O147" i="3" s="1"/>
  <c r="Q147" i="3"/>
  <c r="R147" i="3"/>
  <c r="B148" i="3"/>
  <c r="C148" i="3"/>
  <c r="S148" i="3" s="1"/>
  <c r="D148" i="3"/>
  <c r="I148" i="3"/>
  <c r="L148" i="3"/>
  <c r="M148" i="3"/>
  <c r="P148" i="3" s="1"/>
  <c r="N148" i="3"/>
  <c r="O148" i="3" s="1"/>
  <c r="Q148" i="3"/>
  <c r="R148" i="3"/>
  <c r="B149" i="3"/>
  <c r="C149" i="3"/>
  <c r="S149" i="3" s="1"/>
  <c r="D149" i="3"/>
  <c r="I149" i="3"/>
  <c r="L149" i="3"/>
  <c r="M149" i="3"/>
  <c r="P149" i="3" s="1"/>
  <c r="N149" i="3"/>
  <c r="O149" i="3" s="1"/>
  <c r="Q149" i="3"/>
  <c r="R149" i="3"/>
  <c r="B150" i="3"/>
  <c r="C150" i="3"/>
  <c r="S150" i="3" s="1"/>
  <c r="D150" i="3"/>
  <c r="I150" i="3"/>
  <c r="L150" i="3"/>
  <c r="M150" i="3"/>
  <c r="P150" i="3" s="1"/>
  <c r="N150" i="3"/>
  <c r="O150" i="3" s="1"/>
  <c r="Q150" i="3"/>
  <c r="R150" i="3"/>
  <c r="B151" i="3"/>
  <c r="C151" i="3"/>
  <c r="S151" i="3" s="1"/>
  <c r="D151" i="3"/>
  <c r="I151" i="3"/>
  <c r="L151" i="3"/>
  <c r="M151" i="3"/>
  <c r="P151" i="3" s="1"/>
  <c r="N151" i="3"/>
  <c r="O151" i="3" s="1"/>
  <c r="Q151" i="3"/>
  <c r="R151" i="3"/>
  <c r="B152" i="3"/>
  <c r="C152" i="3"/>
  <c r="S152" i="3" s="1"/>
  <c r="D152" i="3"/>
  <c r="I152" i="3"/>
  <c r="L152" i="3"/>
  <c r="M152" i="3"/>
  <c r="P152" i="3" s="1"/>
  <c r="N152" i="3"/>
  <c r="O152" i="3" s="1"/>
  <c r="Q152" i="3"/>
  <c r="R152" i="3"/>
  <c r="B153" i="3"/>
  <c r="C153" i="3"/>
  <c r="S153" i="3" s="1"/>
  <c r="D153" i="3"/>
  <c r="I153" i="3"/>
  <c r="L153" i="3"/>
  <c r="M153" i="3"/>
  <c r="P153" i="3" s="1"/>
  <c r="N153" i="3"/>
  <c r="O153" i="3" s="1"/>
  <c r="Q153" i="3"/>
  <c r="R153" i="3"/>
  <c r="B154" i="3"/>
  <c r="C154" i="3"/>
  <c r="S154" i="3" s="1"/>
  <c r="D154" i="3"/>
  <c r="I154" i="3"/>
  <c r="L154" i="3"/>
  <c r="M154" i="3"/>
  <c r="P154" i="3" s="1"/>
  <c r="N154" i="3"/>
  <c r="O154" i="3" s="1"/>
  <c r="Q154" i="3"/>
  <c r="R154" i="3"/>
  <c r="B155" i="3"/>
  <c r="C155" i="3"/>
  <c r="S155" i="3" s="1"/>
  <c r="D155" i="3"/>
  <c r="I155" i="3"/>
  <c r="L155" i="3"/>
  <c r="M155" i="3"/>
  <c r="P155" i="3" s="1"/>
  <c r="N155" i="3"/>
  <c r="O155" i="3" s="1"/>
  <c r="Q155" i="3"/>
  <c r="R155" i="3"/>
  <c r="B156" i="3"/>
  <c r="C156" i="3"/>
  <c r="S156" i="3" s="1"/>
  <c r="D156" i="3"/>
  <c r="I156" i="3"/>
  <c r="L156" i="3"/>
  <c r="M156" i="3"/>
  <c r="P156" i="3" s="1"/>
  <c r="N156" i="3"/>
  <c r="O156" i="3" s="1"/>
  <c r="Q156" i="3"/>
  <c r="R156" i="3"/>
  <c r="B157" i="3"/>
  <c r="C157" i="3"/>
  <c r="S157" i="3" s="1"/>
  <c r="D157" i="3"/>
  <c r="I157" i="3"/>
  <c r="L157" i="3"/>
  <c r="M157" i="3"/>
  <c r="P157" i="3" s="1"/>
  <c r="N157" i="3"/>
  <c r="O157" i="3" s="1"/>
  <c r="Q157" i="3"/>
  <c r="R157" i="3"/>
  <c r="B158" i="3"/>
  <c r="U158" i="3" s="1"/>
  <c r="C158" i="3"/>
  <c r="S158" i="3" s="1"/>
  <c r="D158" i="3"/>
  <c r="I158" i="3"/>
  <c r="L158" i="3"/>
  <c r="M158" i="3"/>
  <c r="P158" i="3" s="1"/>
  <c r="N158" i="3"/>
  <c r="O158" i="3" s="1"/>
  <c r="Q158" i="3"/>
  <c r="R158" i="3"/>
  <c r="B159" i="3"/>
  <c r="C159" i="3"/>
  <c r="S159" i="3" s="1"/>
  <c r="D159" i="3"/>
  <c r="L159" i="3"/>
  <c r="M159" i="3"/>
  <c r="P159" i="3" s="1"/>
  <c r="N159" i="3"/>
  <c r="O159" i="3" s="1"/>
  <c r="Q159" i="3"/>
  <c r="R159" i="3"/>
  <c r="B160" i="3"/>
  <c r="U160" i="3" s="1"/>
  <c r="C160" i="3"/>
  <c r="S160" i="3" s="1"/>
  <c r="D160" i="3"/>
  <c r="I160" i="3"/>
  <c r="L160" i="3"/>
  <c r="M160" i="3"/>
  <c r="P160" i="3" s="1"/>
  <c r="N160" i="3"/>
  <c r="O160" i="3" s="1"/>
  <c r="Q160" i="3"/>
  <c r="R160" i="3"/>
  <c r="B161" i="3"/>
  <c r="U161" i="3" s="1"/>
  <c r="C161" i="3"/>
  <c r="S161" i="3" s="1"/>
  <c r="D161" i="3"/>
  <c r="I161" i="3"/>
  <c r="L161" i="3"/>
  <c r="M161" i="3"/>
  <c r="P161" i="3" s="1"/>
  <c r="N161" i="3"/>
  <c r="O161" i="3" s="1"/>
  <c r="Q161" i="3"/>
  <c r="R161" i="3"/>
  <c r="B162" i="3"/>
  <c r="C162" i="3"/>
  <c r="S162" i="3" s="1"/>
  <c r="D162" i="3"/>
  <c r="I162" i="3"/>
  <c r="L162" i="3"/>
  <c r="M162" i="3"/>
  <c r="P162" i="3" s="1"/>
  <c r="N162" i="3"/>
  <c r="O162" i="3" s="1"/>
  <c r="Q162" i="3"/>
  <c r="R162" i="3"/>
  <c r="B163" i="3"/>
  <c r="C163" i="3"/>
  <c r="S163" i="3" s="1"/>
  <c r="D163" i="3"/>
  <c r="I163" i="3"/>
  <c r="L163" i="3"/>
  <c r="M163" i="3"/>
  <c r="P163" i="3" s="1"/>
  <c r="N163" i="3"/>
  <c r="O163" i="3" s="1"/>
  <c r="Q163" i="3"/>
  <c r="R163" i="3"/>
  <c r="B164" i="3"/>
  <c r="U164" i="3" s="1"/>
  <c r="C164" i="3"/>
  <c r="S164" i="3" s="1"/>
  <c r="D164" i="3"/>
  <c r="I164" i="3"/>
  <c r="L164" i="3"/>
  <c r="M164" i="3"/>
  <c r="P164" i="3" s="1"/>
  <c r="N164" i="3"/>
  <c r="O164" i="3" s="1"/>
  <c r="Q164" i="3"/>
  <c r="R164" i="3"/>
  <c r="B165" i="3"/>
  <c r="U165" i="3" s="1"/>
  <c r="C165" i="3"/>
  <c r="S165" i="3" s="1"/>
  <c r="D165" i="3"/>
  <c r="I165" i="3"/>
  <c r="L165" i="3"/>
  <c r="M165" i="3"/>
  <c r="P165" i="3" s="1"/>
  <c r="N165" i="3"/>
  <c r="O165" i="3" s="1"/>
  <c r="Q165" i="3"/>
  <c r="R165" i="3"/>
  <c r="B166" i="3"/>
  <c r="C166" i="3"/>
  <c r="S166" i="3" s="1"/>
  <c r="D166" i="3"/>
  <c r="I166" i="3"/>
  <c r="L166" i="3"/>
  <c r="M166" i="3"/>
  <c r="P166" i="3" s="1"/>
  <c r="N166" i="3"/>
  <c r="O166" i="3" s="1"/>
  <c r="Q166" i="3"/>
  <c r="R166" i="3"/>
  <c r="B167" i="3"/>
  <c r="U167" i="3" s="1"/>
  <c r="C167" i="3"/>
  <c r="S167" i="3" s="1"/>
  <c r="D167" i="3"/>
  <c r="I167" i="3"/>
  <c r="L167" i="3"/>
  <c r="M167" i="3"/>
  <c r="P167" i="3" s="1"/>
  <c r="N167" i="3"/>
  <c r="O167" i="3" s="1"/>
  <c r="Q167" i="3"/>
  <c r="R167" i="3"/>
  <c r="B168" i="3"/>
  <c r="C168" i="3"/>
  <c r="S168" i="3" s="1"/>
  <c r="D168" i="3"/>
  <c r="I168" i="3"/>
  <c r="L168" i="3"/>
  <c r="M168" i="3"/>
  <c r="P168" i="3" s="1"/>
  <c r="N168" i="3"/>
  <c r="O168" i="3" s="1"/>
  <c r="Q168" i="3"/>
  <c r="R168" i="3"/>
  <c r="B169" i="3"/>
  <c r="C169" i="3"/>
  <c r="S169" i="3" s="1"/>
  <c r="D169" i="3"/>
  <c r="I169" i="3"/>
  <c r="L169" i="3"/>
  <c r="M169" i="3"/>
  <c r="P169" i="3" s="1"/>
  <c r="N169" i="3"/>
  <c r="O169" i="3" s="1"/>
  <c r="Q169" i="3"/>
  <c r="R169" i="3"/>
  <c r="B170" i="3"/>
  <c r="U170" i="3" s="1"/>
  <c r="C170" i="3"/>
  <c r="S170" i="3" s="1"/>
  <c r="D170" i="3"/>
  <c r="I170" i="3"/>
  <c r="L170" i="3"/>
  <c r="M170" i="3"/>
  <c r="P170" i="3" s="1"/>
  <c r="N170" i="3"/>
  <c r="O170" i="3" s="1"/>
  <c r="Q170" i="3"/>
  <c r="R170" i="3"/>
  <c r="B171" i="3"/>
  <c r="C171" i="3"/>
  <c r="S171" i="3" s="1"/>
  <c r="D171" i="3"/>
  <c r="I171" i="3"/>
  <c r="L171" i="3"/>
  <c r="M171" i="3"/>
  <c r="P171" i="3" s="1"/>
  <c r="N171" i="3"/>
  <c r="O171" i="3" s="1"/>
  <c r="Q171" i="3"/>
  <c r="R171" i="3"/>
  <c r="B172" i="3"/>
  <c r="U172" i="3" s="1"/>
  <c r="C172" i="3"/>
  <c r="S172" i="3" s="1"/>
  <c r="D172" i="3"/>
  <c r="I172" i="3"/>
  <c r="L172" i="3"/>
  <c r="M172" i="3"/>
  <c r="P172" i="3" s="1"/>
  <c r="N172" i="3"/>
  <c r="O172" i="3" s="1"/>
  <c r="Q172" i="3"/>
  <c r="R172" i="3"/>
  <c r="B173" i="3"/>
  <c r="C173" i="3"/>
  <c r="S173" i="3" s="1"/>
  <c r="D173" i="3"/>
  <c r="I173" i="3"/>
  <c r="L173" i="3"/>
  <c r="M173" i="3"/>
  <c r="P173" i="3" s="1"/>
  <c r="N173" i="3"/>
  <c r="O173" i="3" s="1"/>
  <c r="Q173" i="3"/>
  <c r="R173" i="3"/>
  <c r="B174" i="3"/>
  <c r="U174" i="3" s="1"/>
  <c r="C174" i="3"/>
  <c r="S174" i="3" s="1"/>
  <c r="D174" i="3"/>
  <c r="I174" i="3"/>
  <c r="L174" i="3"/>
  <c r="M174" i="3"/>
  <c r="P174" i="3" s="1"/>
  <c r="N174" i="3"/>
  <c r="O174" i="3" s="1"/>
  <c r="Q174" i="3"/>
  <c r="R174" i="3"/>
  <c r="B175" i="3"/>
  <c r="C175" i="3"/>
  <c r="S175" i="3" s="1"/>
  <c r="D175" i="3"/>
  <c r="I175" i="3"/>
  <c r="L175" i="3"/>
  <c r="M175" i="3"/>
  <c r="P175" i="3" s="1"/>
  <c r="N175" i="3"/>
  <c r="O175" i="3" s="1"/>
  <c r="Q175" i="3"/>
  <c r="R175" i="3"/>
  <c r="B176" i="3"/>
  <c r="C176" i="3"/>
  <c r="S176" i="3" s="1"/>
  <c r="D176" i="3"/>
  <c r="I176" i="3"/>
  <c r="L176" i="3"/>
  <c r="M176" i="3"/>
  <c r="P176" i="3" s="1"/>
  <c r="N176" i="3"/>
  <c r="O176" i="3" s="1"/>
  <c r="Q176" i="3"/>
  <c r="R176" i="3"/>
  <c r="B177" i="3"/>
  <c r="U177" i="3" s="1"/>
  <c r="C177" i="3"/>
  <c r="S177" i="3" s="1"/>
  <c r="D177" i="3"/>
  <c r="I177" i="3"/>
  <c r="L177" i="3"/>
  <c r="M177" i="3"/>
  <c r="P177" i="3" s="1"/>
  <c r="N177" i="3"/>
  <c r="O177" i="3" s="1"/>
  <c r="Q177" i="3"/>
  <c r="R177" i="3"/>
  <c r="B178" i="3"/>
  <c r="C178" i="3"/>
  <c r="S178" i="3" s="1"/>
  <c r="D178" i="3"/>
  <c r="I178" i="3"/>
  <c r="L178" i="3"/>
  <c r="M178" i="3"/>
  <c r="P178" i="3" s="1"/>
  <c r="N178" i="3"/>
  <c r="O178" i="3" s="1"/>
  <c r="Q178" i="3"/>
  <c r="R178" i="3"/>
  <c r="B179" i="3"/>
  <c r="C179" i="3"/>
  <c r="S179" i="3" s="1"/>
  <c r="D179" i="3"/>
  <c r="I179" i="3"/>
  <c r="L179" i="3"/>
  <c r="M179" i="3"/>
  <c r="P179" i="3" s="1"/>
  <c r="N179" i="3"/>
  <c r="O179" i="3" s="1"/>
  <c r="Q179" i="3"/>
  <c r="R179" i="3"/>
  <c r="B181" i="3"/>
  <c r="U181" i="3" s="1"/>
  <c r="C181" i="3"/>
  <c r="S181" i="3" s="1"/>
  <c r="D181" i="3"/>
  <c r="I181" i="3"/>
  <c r="L181" i="3"/>
  <c r="M181" i="3"/>
  <c r="P181" i="3" s="1"/>
  <c r="N181" i="3"/>
  <c r="O181" i="3" s="1"/>
  <c r="Q181" i="3"/>
  <c r="R181" i="3"/>
  <c r="B182" i="3"/>
  <c r="C182" i="3"/>
  <c r="S182" i="3" s="1"/>
  <c r="D182" i="3"/>
  <c r="I182" i="3"/>
  <c r="L182" i="3"/>
  <c r="M182" i="3"/>
  <c r="P182" i="3" s="1"/>
  <c r="N182" i="3"/>
  <c r="O182" i="3" s="1"/>
  <c r="Q182" i="3"/>
  <c r="R182" i="3"/>
  <c r="B183" i="3"/>
  <c r="U183" i="3" s="1"/>
  <c r="C183" i="3"/>
  <c r="S183" i="3" s="1"/>
  <c r="D183" i="3"/>
  <c r="I183" i="3"/>
  <c r="L183" i="3"/>
  <c r="M183" i="3"/>
  <c r="P183" i="3" s="1"/>
  <c r="N183" i="3"/>
  <c r="O183" i="3" s="1"/>
  <c r="Q183" i="3"/>
  <c r="R183" i="3"/>
  <c r="B184" i="3"/>
  <c r="U184" i="3" s="1"/>
  <c r="C184" i="3"/>
  <c r="S184" i="3" s="1"/>
  <c r="D184" i="3"/>
  <c r="I184" i="3"/>
  <c r="L184" i="3"/>
  <c r="M184" i="3"/>
  <c r="P184" i="3" s="1"/>
  <c r="N184" i="3"/>
  <c r="O184" i="3" s="1"/>
  <c r="Q184" i="3"/>
  <c r="R184" i="3"/>
  <c r="B185" i="3"/>
  <c r="C185" i="3"/>
  <c r="S185" i="3" s="1"/>
  <c r="D185" i="3"/>
  <c r="I185" i="3"/>
  <c r="L185" i="3"/>
  <c r="M185" i="3"/>
  <c r="P185" i="3" s="1"/>
  <c r="N185" i="3"/>
  <c r="O185" i="3" s="1"/>
  <c r="Q185" i="3"/>
  <c r="R185" i="3"/>
  <c r="B186" i="3"/>
  <c r="C186" i="3"/>
  <c r="S186" i="3" s="1"/>
  <c r="D186" i="3"/>
  <c r="I186" i="3"/>
  <c r="L186" i="3"/>
  <c r="M186" i="3"/>
  <c r="P186" i="3" s="1"/>
  <c r="N186" i="3"/>
  <c r="O186" i="3" s="1"/>
  <c r="Q186" i="3"/>
  <c r="R186" i="3"/>
  <c r="B187" i="3"/>
  <c r="U187" i="3" s="1"/>
  <c r="C187" i="3"/>
  <c r="S187" i="3" s="1"/>
  <c r="D187" i="3"/>
  <c r="I187" i="3"/>
  <c r="L187" i="3"/>
  <c r="M187" i="3"/>
  <c r="P187" i="3" s="1"/>
  <c r="N187" i="3"/>
  <c r="O187" i="3" s="1"/>
  <c r="Q187" i="3"/>
  <c r="R187" i="3"/>
  <c r="B188" i="3"/>
  <c r="U188" i="3" s="1"/>
  <c r="C188" i="3"/>
  <c r="S188" i="3" s="1"/>
  <c r="D188" i="3"/>
  <c r="I188" i="3"/>
  <c r="L188" i="3"/>
  <c r="M188" i="3"/>
  <c r="P188" i="3" s="1"/>
  <c r="N188" i="3"/>
  <c r="O188" i="3" s="1"/>
  <c r="Q188" i="3"/>
  <c r="R188" i="3"/>
  <c r="B189" i="3"/>
  <c r="C189" i="3"/>
  <c r="S189" i="3" s="1"/>
  <c r="D189" i="3"/>
  <c r="I189" i="3"/>
  <c r="L189" i="3"/>
  <c r="M189" i="3"/>
  <c r="P189" i="3" s="1"/>
  <c r="N189" i="3"/>
  <c r="O189" i="3" s="1"/>
  <c r="Q189" i="3"/>
  <c r="R189" i="3"/>
  <c r="B190" i="3"/>
  <c r="C190" i="3"/>
  <c r="S190" i="3" s="1"/>
  <c r="D190" i="3"/>
  <c r="I190" i="3"/>
  <c r="L190" i="3"/>
  <c r="M190" i="3"/>
  <c r="P190" i="3" s="1"/>
  <c r="N190" i="3"/>
  <c r="O190" i="3" s="1"/>
  <c r="Q190" i="3"/>
  <c r="R190" i="3"/>
  <c r="B191" i="3"/>
  <c r="C191" i="3"/>
  <c r="S191" i="3" s="1"/>
  <c r="D191" i="3"/>
  <c r="I191" i="3"/>
  <c r="L191" i="3"/>
  <c r="M191" i="3"/>
  <c r="P191" i="3" s="1"/>
  <c r="N191" i="3"/>
  <c r="O191" i="3" s="1"/>
  <c r="Q191" i="3"/>
  <c r="R191" i="3"/>
  <c r="B192" i="3"/>
  <c r="U192" i="3" s="1"/>
  <c r="C192" i="3"/>
  <c r="S192" i="3" s="1"/>
  <c r="D192" i="3"/>
  <c r="I192" i="3"/>
  <c r="L192" i="3"/>
  <c r="M192" i="3"/>
  <c r="P192" i="3" s="1"/>
  <c r="N192" i="3"/>
  <c r="O192" i="3" s="1"/>
  <c r="Q192" i="3"/>
  <c r="R192" i="3"/>
  <c r="B193" i="3"/>
  <c r="U193" i="3" s="1"/>
  <c r="C193" i="3"/>
  <c r="S193" i="3" s="1"/>
  <c r="D193" i="3"/>
  <c r="I193" i="3"/>
  <c r="L193" i="3"/>
  <c r="M193" i="3"/>
  <c r="P193" i="3" s="1"/>
  <c r="N193" i="3"/>
  <c r="O193" i="3" s="1"/>
  <c r="Q193" i="3"/>
  <c r="R193" i="3"/>
  <c r="B194" i="3"/>
  <c r="C194" i="3"/>
  <c r="S194" i="3" s="1"/>
  <c r="D194" i="3"/>
  <c r="I194" i="3"/>
  <c r="L194" i="3"/>
  <c r="M194" i="3"/>
  <c r="P194" i="3" s="1"/>
  <c r="N194" i="3"/>
  <c r="O194" i="3" s="1"/>
  <c r="Q194" i="3"/>
  <c r="R194" i="3"/>
  <c r="B195" i="3"/>
  <c r="C195" i="3"/>
  <c r="S195" i="3" s="1"/>
  <c r="D195" i="3"/>
  <c r="I195" i="3"/>
  <c r="L195" i="3"/>
  <c r="M195" i="3"/>
  <c r="P195" i="3" s="1"/>
  <c r="N195" i="3"/>
  <c r="O195" i="3" s="1"/>
  <c r="Q195" i="3"/>
  <c r="R195" i="3"/>
  <c r="B196" i="3"/>
  <c r="C196" i="3"/>
  <c r="S196" i="3" s="1"/>
  <c r="D196" i="3"/>
  <c r="I196" i="3"/>
  <c r="L196" i="3"/>
  <c r="M196" i="3"/>
  <c r="P196" i="3" s="1"/>
  <c r="N196" i="3"/>
  <c r="O196" i="3" s="1"/>
  <c r="Q196" i="3"/>
  <c r="R196" i="3"/>
  <c r="B197" i="3"/>
  <c r="U197" i="3" s="1"/>
  <c r="C197" i="3"/>
  <c r="S197" i="3" s="1"/>
  <c r="D197" i="3"/>
  <c r="I197" i="3"/>
  <c r="L197" i="3"/>
  <c r="M197" i="3"/>
  <c r="P197" i="3" s="1"/>
  <c r="N197" i="3"/>
  <c r="O197" i="3" s="1"/>
  <c r="Q197" i="3"/>
  <c r="R197" i="3"/>
  <c r="B198" i="3"/>
  <c r="C198" i="3"/>
  <c r="S198" i="3" s="1"/>
  <c r="D198" i="3"/>
  <c r="I198" i="3"/>
  <c r="L198" i="3"/>
  <c r="M198" i="3"/>
  <c r="P198" i="3" s="1"/>
  <c r="N198" i="3"/>
  <c r="O198" i="3" s="1"/>
  <c r="Q198" i="3"/>
  <c r="R198" i="3"/>
  <c r="B199" i="3"/>
  <c r="C199" i="3"/>
  <c r="S199" i="3" s="1"/>
  <c r="D199" i="3"/>
  <c r="I199" i="3"/>
  <c r="L199" i="3"/>
  <c r="M199" i="3"/>
  <c r="P199" i="3" s="1"/>
  <c r="N199" i="3"/>
  <c r="O199" i="3" s="1"/>
  <c r="Q199" i="3"/>
  <c r="R199" i="3"/>
  <c r="B200" i="3"/>
  <c r="U200" i="3" s="1"/>
  <c r="C200" i="3"/>
  <c r="S200" i="3" s="1"/>
  <c r="D200" i="3"/>
  <c r="I200" i="3"/>
  <c r="L200" i="3"/>
  <c r="M200" i="3"/>
  <c r="P200" i="3" s="1"/>
  <c r="N200" i="3"/>
  <c r="O200" i="3" s="1"/>
  <c r="Q200" i="3"/>
  <c r="R200" i="3"/>
  <c r="B201" i="3"/>
  <c r="C201" i="3"/>
  <c r="S201" i="3" s="1"/>
  <c r="D201" i="3"/>
  <c r="I201" i="3"/>
  <c r="L201" i="3"/>
  <c r="M201" i="3"/>
  <c r="P201" i="3" s="1"/>
  <c r="N201" i="3"/>
  <c r="O201" i="3" s="1"/>
  <c r="Q201" i="3"/>
  <c r="R201" i="3"/>
  <c r="B202" i="3"/>
  <c r="U202" i="3" s="1"/>
  <c r="C202" i="3"/>
  <c r="S202" i="3" s="1"/>
  <c r="D202" i="3"/>
  <c r="I202" i="3"/>
  <c r="L202" i="3"/>
  <c r="M202" i="3"/>
  <c r="P202" i="3" s="1"/>
  <c r="N202" i="3"/>
  <c r="O202" i="3" s="1"/>
  <c r="Q202" i="3"/>
  <c r="R202" i="3"/>
  <c r="B203" i="3"/>
  <c r="U203" i="3" s="1"/>
  <c r="C203" i="3"/>
  <c r="S203" i="3" s="1"/>
  <c r="D203" i="3"/>
  <c r="I203" i="3"/>
  <c r="L203" i="3"/>
  <c r="M203" i="3"/>
  <c r="P203" i="3" s="1"/>
  <c r="N203" i="3"/>
  <c r="O203" i="3" s="1"/>
  <c r="Q203" i="3"/>
  <c r="R203" i="3"/>
  <c r="B204" i="3"/>
  <c r="C204" i="3"/>
  <c r="S204" i="3" s="1"/>
  <c r="D204" i="3"/>
  <c r="I204" i="3"/>
  <c r="L204" i="3"/>
  <c r="M204" i="3"/>
  <c r="P204" i="3" s="1"/>
  <c r="N204" i="3"/>
  <c r="O204" i="3" s="1"/>
  <c r="Q204" i="3"/>
  <c r="R204" i="3"/>
  <c r="B205" i="3"/>
  <c r="C205" i="3"/>
  <c r="S205" i="3" s="1"/>
  <c r="D205" i="3"/>
  <c r="I205" i="3"/>
  <c r="L205" i="3"/>
  <c r="M205" i="3"/>
  <c r="P205" i="3" s="1"/>
  <c r="N205" i="3"/>
  <c r="O205" i="3" s="1"/>
  <c r="Q205" i="3"/>
  <c r="R205" i="3"/>
  <c r="B206" i="3"/>
  <c r="U206" i="3" s="1"/>
  <c r="C206" i="3"/>
  <c r="S206" i="3" s="1"/>
  <c r="D206" i="3"/>
  <c r="I206" i="3"/>
  <c r="L206" i="3"/>
  <c r="M206" i="3"/>
  <c r="P206" i="3" s="1"/>
  <c r="N206" i="3"/>
  <c r="O206" i="3" s="1"/>
  <c r="Q206" i="3"/>
  <c r="R206" i="3"/>
  <c r="B207" i="3"/>
  <c r="C207" i="3"/>
  <c r="S207" i="3" s="1"/>
  <c r="D207" i="3"/>
  <c r="I207" i="3"/>
  <c r="L207" i="3"/>
  <c r="M207" i="3"/>
  <c r="P207" i="3" s="1"/>
  <c r="N207" i="3"/>
  <c r="O207" i="3" s="1"/>
  <c r="Q207" i="3"/>
  <c r="R207" i="3"/>
  <c r="B208" i="3"/>
  <c r="U208" i="3" s="1"/>
  <c r="C208" i="3"/>
  <c r="S208" i="3" s="1"/>
  <c r="D208" i="3"/>
  <c r="I208" i="3"/>
  <c r="L208" i="3"/>
  <c r="M208" i="3"/>
  <c r="P208" i="3" s="1"/>
  <c r="N208" i="3"/>
  <c r="O208" i="3" s="1"/>
  <c r="Q208" i="3"/>
  <c r="R208" i="3"/>
  <c r="B209" i="3"/>
  <c r="U209" i="3" s="1"/>
  <c r="C209" i="3"/>
  <c r="S209" i="3" s="1"/>
  <c r="D209" i="3"/>
  <c r="I209" i="3"/>
  <c r="L209" i="3"/>
  <c r="M209" i="3"/>
  <c r="P209" i="3" s="1"/>
  <c r="N209" i="3"/>
  <c r="O209" i="3" s="1"/>
  <c r="Q209" i="3"/>
  <c r="R209" i="3"/>
  <c r="B210" i="3"/>
  <c r="C210" i="3"/>
  <c r="S210" i="3" s="1"/>
  <c r="D210" i="3"/>
  <c r="I210" i="3"/>
  <c r="L210" i="3"/>
  <c r="M210" i="3"/>
  <c r="P210" i="3" s="1"/>
  <c r="N210" i="3"/>
  <c r="O210" i="3" s="1"/>
  <c r="Q210" i="3"/>
  <c r="R210" i="3"/>
  <c r="B211" i="3"/>
  <c r="C211" i="3"/>
  <c r="S211" i="3" s="1"/>
  <c r="D211" i="3"/>
  <c r="I211" i="3"/>
  <c r="L211" i="3"/>
  <c r="M211" i="3"/>
  <c r="P211" i="3" s="1"/>
  <c r="N211" i="3"/>
  <c r="O211" i="3" s="1"/>
  <c r="Q211" i="3"/>
  <c r="R211" i="3"/>
  <c r="B212" i="3"/>
  <c r="U212" i="3" s="1"/>
  <c r="C212" i="3"/>
  <c r="S212" i="3" s="1"/>
  <c r="D212" i="3"/>
  <c r="I212" i="3"/>
  <c r="L212" i="3"/>
  <c r="M212" i="3"/>
  <c r="P212" i="3" s="1"/>
  <c r="N212" i="3"/>
  <c r="O212" i="3" s="1"/>
  <c r="Q212" i="3"/>
  <c r="R212" i="3"/>
  <c r="B213" i="3"/>
  <c r="U213" i="3" s="1"/>
  <c r="C213" i="3"/>
  <c r="S213" i="3" s="1"/>
  <c r="D213" i="3"/>
  <c r="I213" i="3"/>
  <c r="L213" i="3"/>
  <c r="M213" i="3"/>
  <c r="P213" i="3" s="1"/>
  <c r="N213" i="3"/>
  <c r="O213" i="3" s="1"/>
  <c r="Q213" i="3"/>
  <c r="R213" i="3"/>
  <c r="B214" i="3"/>
  <c r="C214" i="3"/>
  <c r="S214" i="3" s="1"/>
  <c r="D214" i="3"/>
  <c r="I214" i="3"/>
  <c r="L214" i="3"/>
  <c r="M214" i="3"/>
  <c r="P214" i="3" s="1"/>
  <c r="N214" i="3"/>
  <c r="O214" i="3" s="1"/>
  <c r="Q214" i="3"/>
  <c r="R214" i="3"/>
  <c r="B215" i="3"/>
  <c r="C215" i="3"/>
  <c r="S215" i="3" s="1"/>
  <c r="D215" i="3"/>
  <c r="I215" i="3"/>
  <c r="L215" i="3"/>
  <c r="M215" i="3"/>
  <c r="P215" i="3" s="1"/>
  <c r="N215" i="3"/>
  <c r="O215" i="3" s="1"/>
  <c r="Q215" i="3"/>
  <c r="R215" i="3"/>
  <c r="B216" i="3"/>
  <c r="C216" i="3"/>
  <c r="S216" i="3" s="1"/>
  <c r="D216" i="3"/>
  <c r="I216" i="3"/>
  <c r="L216" i="3"/>
  <c r="M216" i="3"/>
  <c r="P216" i="3" s="1"/>
  <c r="N216" i="3"/>
  <c r="O216" i="3" s="1"/>
  <c r="Q216" i="3"/>
  <c r="R216" i="3"/>
  <c r="B217" i="3"/>
  <c r="U217" i="3" s="1"/>
  <c r="C217" i="3"/>
  <c r="S217" i="3" s="1"/>
  <c r="D217" i="3"/>
  <c r="I217" i="3"/>
  <c r="L217" i="3"/>
  <c r="M217" i="3"/>
  <c r="P217" i="3" s="1"/>
  <c r="N217" i="3"/>
  <c r="O217" i="3" s="1"/>
  <c r="Q217" i="3"/>
  <c r="R217" i="3"/>
  <c r="B218" i="3"/>
  <c r="U218" i="3" s="1"/>
  <c r="C218" i="3"/>
  <c r="S218" i="3" s="1"/>
  <c r="D218" i="3"/>
  <c r="I218" i="3"/>
  <c r="L218" i="3"/>
  <c r="M218" i="3"/>
  <c r="P218" i="3" s="1"/>
  <c r="N218" i="3"/>
  <c r="O218" i="3" s="1"/>
  <c r="Q218" i="3"/>
  <c r="R218" i="3"/>
  <c r="B219" i="3"/>
  <c r="U219" i="3" s="1"/>
  <c r="C219" i="3"/>
  <c r="S219" i="3" s="1"/>
  <c r="D219" i="3"/>
  <c r="I219" i="3"/>
  <c r="L219" i="3"/>
  <c r="M219" i="3"/>
  <c r="P219" i="3" s="1"/>
  <c r="N219" i="3"/>
  <c r="O219" i="3" s="1"/>
  <c r="Q219" i="3"/>
  <c r="R219" i="3"/>
  <c r="B220" i="3"/>
  <c r="C220" i="3"/>
  <c r="S220" i="3" s="1"/>
  <c r="D220" i="3"/>
  <c r="I220" i="3"/>
  <c r="L220" i="3"/>
  <c r="M220" i="3"/>
  <c r="P220" i="3" s="1"/>
  <c r="N220" i="3"/>
  <c r="O220" i="3" s="1"/>
  <c r="Q220" i="3"/>
  <c r="R220" i="3"/>
  <c r="B221" i="3"/>
  <c r="C221" i="3"/>
  <c r="S221" i="3" s="1"/>
  <c r="D221" i="3"/>
  <c r="I221" i="3"/>
  <c r="L221" i="3"/>
  <c r="M221" i="3"/>
  <c r="P221" i="3" s="1"/>
  <c r="N221" i="3"/>
  <c r="O221" i="3" s="1"/>
  <c r="Q221" i="3"/>
  <c r="R221" i="3"/>
  <c r="B222" i="3"/>
  <c r="C222" i="3"/>
  <c r="S222" i="3" s="1"/>
  <c r="D222" i="3"/>
  <c r="I222" i="3"/>
  <c r="L222" i="3"/>
  <c r="M222" i="3"/>
  <c r="P222" i="3" s="1"/>
  <c r="N222" i="3"/>
  <c r="O222" i="3" s="1"/>
  <c r="Q222" i="3"/>
  <c r="R222" i="3"/>
  <c r="B223" i="3"/>
  <c r="C223" i="3"/>
  <c r="S223" i="3" s="1"/>
  <c r="D223" i="3"/>
  <c r="L223" i="3"/>
  <c r="M223" i="3"/>
  <c r="P223" i="3" s="1"/>
  <c r="N223" i="3"/>
  <c r="O223" i="3" s="1"/>
  <c r="Q223" i="3"/>
  <c r="R223" i="3"/>
  <c r="B224" i="3"/>
  <c r="C224" i="3"/>
  <c r="S224" i="3" s="1"/>
  <c r="D224" i="3"/>
  <c r="I224" i="3"/>
  <c r="L224" i="3"/>
  <c r="M224" i="3"/>
  <c r="P224" i="3" s="1"/>
  <c r="N224" i="3"/>
  <c r="O224" i="3" s="1"/>
  <c r="Q224" i="3"/>
  <c r="R224" i="3"/>
  <c r="B225" i="3"/>
  <c r="C225" i="3"/>
  <c r="S225" i="3" s="1"/>
  <c r="D225" i="3"/>
  <c r="I225" i="3"/>
  <c r="L225" i="3"/>
  <c r="M225" i="3"/>
  <c r="P225" i="3" s="1"/>
  <c r="N225" i="3"/>
  <c r="O225" i="3" s="1"/>
  <c r="Q225" i="3"/>
  <c r="R225" i="3"/>
  <c r="B226" i="3"/>
  <c r="C226" i="3"/>
  <c r="S226" i="3" s="1"/>
  <c r="D226" i="3"/>
  <c r="I226" i="3"/>
  <c r="L226" i="3"/>
  <c r="M226" i="3"/>
  <c r="P226" i="3" s="1"/>
  <c r="N226" i="3"/>
  <c r="O226" i="3" s="1"/>
  <c r="Q226" i="3"/>
  <c r="R226" i="3"/>
  <c r="B227" i="3"/>
  <c r="C227" i="3"/>
  <c r="S227" i="3" s="1"/>
  <c r="D227" i="3"/>
  <c r="I227" i="3"/>
  <c r="L227" i="3"/>
  <c r="M227" i="3"/>
  <c r="P227" i="3" s="1"/>
  <c r="N227" i="3"/>
  <c r="O227" i="3" s="1"/>
  <c r="Q227" i="3"/>
  <c r="R227" i="3"/>
  <c r="B228" i="3"/>
  <c r="C228" i="3"/>
  <c r="S228" i="3" s="1"/>
  <c r="D228" i="3"/>
  <c r="I228" i="3"/>
  <c r="L228" i="3"/>
  <c r="M228" i="3"/>
  <c r="P228" i="3" s="1"/>
  <c r="N228" i="3"/>
  <c r="O228" i="3" s="1"/>
  <c r="Q228" i="3"/>
  <c r="R228" i="3"/>
  <c r="B229" i="3"/>
  <c r="C229" i="3"/>
  <c r="S229" i="3" s="1"/>
  <c r="D229" i="3"/>
  <c r="I229" i="3"/>
  <c r="L229" i="3"/>
  <c r="M229" i="3"/>
  <c r="P229" i="3" s="1"/>
  <c r="N229" i="3"/>
  <c r="O229" i="3" s="1"/>
  <c r="Q229" i="3"/>
  <c r="R229" i="3"/>
  <c r="B230" i="3"/>
  <c r="C230" i="3"/>
  <c r="S230" i="3" s="1"/>
  <c r="D230" i="3"/>
  <c r="I230" i="3"/>
  <c r="L230" i="3"/>
  <c r="M230" i="3"/>
  <c r="P230" i="3" s="1"/>
  <c r="N230" i="3"/>
  <c r="O230" i="3" s="1"/>
  <c r="Q230" i="3"/>
  <c r="R230" i="3"/>
  <c r="B231" i="3"/>
  <c r="C231" i="3"/>
  <c r="S231" i="3" s="1"/>
  <c r="D231" i="3"/>
  <c r="I231" i="3"/>
  <c r="L231" i="3"/>
  <c r="M231" i="3"/>
  <c r="P231" i="3" s="1"/>
  <c r="N231" i="3"/>
  <c r="O231" i="3" s="1"/>
  <c r="Q231" i="3"/>
  <c r="R231" i="3"/>
  <c r="B232" i="3"/>
  <c r="C232" i="3"/>
  <c r="S232" i="3" s="1"/>
  <c r="D232" i="3"/>
  <c r="I232" i="3"/>
  <c r="L232" i="3"/>
  <c r="M232" i="3"/>
  <c r="P232" i="3" s="1"/>
  <c r="N232" i="3"/>
  <c r="O232" i="3" s="1"/>
  <c r="Q232" i="3"/>
  <c r="R232" i="3"/>
  <c r="B234" i="3"/>
  <c r="C234" i="3"/>
  <c r="S234" i="3" s="1"/>
  <c r="D234" i="3"/>
  <c r="I234" i="3"/>
  <c r="L234" i="3"/>
  <c r="M234" i="3"/>
  <c r="P234" i="3" s="1"/>
  <c r="N234" i="3"/>
  <c r="O234" i="3" s="1"/>
  <c r="Q234" i="3"/>
  <c r="R234" i="3"/>
  <c r="B235" i="3"/>
  <c r="C235" i="3"/>
  <c r="S235" i="3" s="1"/>
  <c r="D235" i="3"/>
  <c r="I235" i="3"/>
  <c r="L235" i="3"/>
  <c r="M235" i="3"/>
  <c r="P235" i="3" s="1"/>
  <c r="N235" i="3"/>
  <c r="O235" i="3" s="1"/>
  <c r="Q235" i="3"/>
  <c r="R235" i="3"/>
  <c r="B236" i="3"/>
  <c r="C236" i="3"/>
  <c r="S236" i="3" s="1"/>
  <c r="D236" i="3"/>
  <c r="I236" i="3"/>
  <c r="L236" i="3"/>
  <c r="M236" i="3"/>
  <c r="P236" i="3" s="1"/>
  <c r="N236" i="3"/>
  <c r="O236" i="3" s="1"/>
  <c r="Q236" i="3"/>
  <c r="R236" i="3"/>
  <c r="B237" i="3"/>
  <c r="C237" i="3"/>
  <c r="S237" i="3" s="1"/>
  <c r="D237" i="3"/>
  <c r="I237" i="3"/>
  <c r="L237" i="3"/>
  <c r="M237" i="3"/>
  <c r="P237" i="3" s="1"/>
  <c r="N237" i="3"/>
  <c r="O237" i="3" s="1"/>
  <c r="Q237" i="3"/>
  <c r="R237" i="3"/>
  <c r="B238" i="3"/>
  <c r="C238" i="3"/>
  <c r="S238" i="3" s="1"/>
  <c r="D238" i="3"/>
  <c r="I238" i="3"/>
  <c r="L238" i="3"/>
  <c r="M238" i="3"/>
  <c r="P238" i="3" s="1"/>
  <c r="N238" i="3"/>
  <c r="O238" i="3" s="1"/>
  <c r="Q238" i="3"/>
  <c r="R238" i="3"/>
  <c r="B239" i="3"/>
  <c r="C239" i="3"/>
  <c r="S239" i="3" s="1"/>
  <c r="D239" i="3"/>
  <c r="I239" i="3"/>
  <c r="L239" i="3"/>
  <c r="M239" i="3"/>
  <c r="P239" i="3" s="1"/>
  <c r="N239" i="3"/>
  <c r="O239" i="3" s="1"/>
  <c r="Q239" i="3"/>
  <c r="R239" i="3"/>
  <c r="B240" i="3"/>
  <c r="C240" i="3"/>
  <c r="S240" i="3" s="1"/>
  <c r="D240" i="3"/>
  <c r="I240" i="3"/>
  <c r="L240" i="3"/>
  <c r="M240" i="3"/>
  <c r="P240" i="3" s="1"/>
  <c r="N240" i="3"/>
  <c r="O240" i="3" s="1"/>
  <c r="Q240" i="3"/>
  <c r="R240" i="3"/>
  <c r="B241" i="3"/>
  <c r="C241" i="3"/>
  <c r="S241" i="3" s="1"/>
  <c r="H241" i="3"/>
  <c r="I241" i="3" s="1"/>
  <c r="L241" i="3"/>
  <c r="M241" i="3"/>
  <c r="P241" i="3" s="1"/>
  <c r="N241" i="3"/>
  <c r="O241" i="3" s="1"/>
  <c r="Q241" i="3"/>
  <c r="R241" i="3"/>
  <c r="B242" i="3"/>
  <c r="C242" i="3"/>
  <c r="S242" i="3" s="1"/>
  <c r="D242" i="3"/>
  <c r="I242" i="3"/>
  <c r="L242" i="3"/>
  <c r="M242" i="3"/>
  <c r="P242" i="3" s="1"/>
  <c r="N242" i="3"/>
  <c r="O242" i="3" s="1"/>
  <c r="Q242" i="3"/>
  <c r="R242" i="3"/>
  <c r="B243" i="3"/>
  <c r="C243" i="3"/>
  <c r="S243" i="3" s="1"/>
  <c r="D243" i="3"/>
  <c r="I243" i="3"/>
  <c r="L243" i="3"/>
  <c r="M243" i="3"/>
  <c r="P243" i="3" s="1"/>
  <c r="N243" i="3"/>
  <c r="O243" i="3" s="1"/>
  <c r="Q243" i="3"/>
  <c r="R243" i="3"/>
  <c r="B244" i="3"/>
  <c r="U244" i="3" s="1"/>
  <c r="C244" i="3"/>
  <c r="S244" i="3" s="1"/>
  <c r="D244" i="3"/>
  <c r="I244" i="3"/>
  <c r="L244" i="3"/>
  <c r="M244" i="3"/>
  <c r="P244" i="3" s="1"/>
  <c r="N244" i="3"/>
  <c r="O244" i="3" s="1"/>
  <c r="Q244" i="3"/>
  <c r="R244" i="3"/>
  <c r="B245" i="3"/>
  <c r="C245" i="3"/>
  <c r="S245" i="3" s="1"/>
  <c r="D245" i="3"/>
  <c r="I245" i="3"/>
  <c r="L245" i="3"/>
  <c r="M245" i="3"/>
  <c r="P245" i="3" s="1"/>
  <c r="N245" i="3"/>
  <c r="O245" i="3" s="1"/>
  <c r="Q245" i="3"/>
  <c r="R245" i="3"/>
  <c r="B246" i="3"/>
  <c r="C246" i="3"/>
  <c r="S246" i="3" s="1"/>
  <c r="D246" i="3"/>
  <c r="I246" i="3"/>
  <c r="L246" i="3"/>
  <c r="M246" i="3"/>
  <c r="P246" i="3" s="1"/>
  <c r="N246" i="3"/>
  <c r="O246" i="3" s="1"/>
  <c r="Q246" i="3"/>
  <c r="R246" i="3"/>
  <c r="B247" i="3"/>
  <c r="C247" i="3"/>
  <c r="S247" i="3" s="1"/>
  <c r="D247" i="3"/>
  <c r="I247" i="3"/>
  <c r="L247" i="3"/>
  <c r="M247" i="3"/>
  <c r="P247" i="3" s="1"/>
  <c r="N247" i="3"/>
  <c r="O247" i="3" s="1"/>
  <c r="Q247" i="3"/>
  <c r="R247" i="3"/>
  <c r="B248" i="3"/>
  <c r="C248" i="3"/>
  <c r="S248" i="3" s="1"/>
  <c r="D248" i="3"/>
  <c r="I248" i="3"/>
  <c r="L248" i="3"/>
  <c r="M248" i="3"/>
  <c r="P248" i="3" s="1"/>
  <c r="N248" i="3"/>
  <c r="O248" i="3" s="1"/>
  <c r="Q248" i="3"/>
  <c r="R248" i="3"/>
  <c r="B250" i="3"/>
  <c r="U250" i="3" s="1"/>
  <c r="C250" i="3"/>
  <c r="S250" i="3" s="1"/>
  <c r="D250" i="3"/>
  <c r="I250" i="3"/>
  <c r="L250" i="3"/>
  <c r="M250" i="3"/>
  <c r="P250" i="3" s="1"/>
  <c r="N250" i="3"/>
  <c r="O250" i="3" s="1"/>
  <c r="Q250" i="3"/>
  <c r="R250" i="3"/>
  <c r="B251" i="3"/>
  <c r="C251" i="3"/>
  <c r="S251" i="3" s="1"/>
  <c r="D251" i="3"/>
  <c r="I251" i="3"/>
  <c r="L251" i="3"/>
  <c r="M251" i="3"/>
  <c r="P251" i="3" s="1"/>
  <c r="N251" i="3"/>
  <c r="O251" i="3" s="1"/>
  <c r="Q251" i="3"/>
  <c r="R251" i="3"/>
  <c r="B252" i="3"/>
  <c r="C252" i="3"/>
  <c r="S252" i="3" s="1"/>
  <c r="D252" i="3"/>
  <c r="I252" i="3"/>
  <c r="L252" i="3"/>
  <c r="M252" i="3"/>
  <c r="P252" i="3" s="1"/>
  <c r="N252" i="3"/>
  <c r="O252" i="3" s="1"/>
  <c r="Q252" i="3"/>
  <c r="R252" i="3"/>
  <c r="B253" i="3"/>
  <c r="U253" i="3" s="1"/>
  <c r="C253" i="3"/>
  <c r="S253" i="3" s="1"/>
  <c r="D253" i="3"/>
  <c r="I253" i="3"/>
  <c r="L253" i="3"/>
  <c r="M253" i="3"/>
  <c r="P253" i="3" s="1"/>
  <c r="N253" i="3"/>
  <c r="O253" i="3" s="1"/>
  <c r="Q253" i="3"/>
  <c r="R253" i="3"/>
  <c r="B254" i="3"/>
  <c r="C254" i="3"/>
  <c r="S254" i="3" s="1"/>
  <c r="D254" i="3"/>
  <c r="I254" i="3"/>
  <c r="L254" i="3"/>
  <c r="M254" i="3"/>
  <c r="P254" i="3" s="1"/>
  <c r="N254" i="3"/>
  <c r="O254" i="3" s="1"/>
  <c r="Q254" i="3"/>
  <c r="R254" i="3"/>
  <c r="B255" i="3"/>
  <c r="U255" i="3" s="1"/>
  <c r="C255" i="3"/>
  <c r="S255" i="3" s="1"/>
  <c r="D255" i="3"/>
  <c r="I255" i="3"/>
  <c r="L255" i="3"/>
  <c r="M255" i="3"/>
  <c r="P255" i="3" s="1"/>
  <c r="N255" i="3"/>
  <c r="O255" i="3" s="1"/>
  <c r="Q255" i="3"/>
  <c r="R255" i="3"/>
  <c r="B256" i="3"/>
  <c r="U256" i="3" s="1"/>
  <c r="C256" i="3"/>
  <c r="S256" i="3" s="1"/>
  <c r="D256" i="3"/>
  <c r="I256" i="3"/>
  <c r="L256" i="3"/>
  <c r="M256" i="3"/>
  <c r="P256" i="3" s="1"/>
  <c r="N256" i="3"/>
  <c r="O256" i="3" s="1"/>
  <c r="Q256" i="3"/>
  <c r="R256" i="3"/>
  <c r="B257" i="3"/>
  <c r="C257" i="3"/>
  <c r="S257" i="3" s="1"/>
  <c r="D257" i="3"/>
  <c r="I257" i="3"/>
  <c r="L257" i="3"/>
  <c r="M257" i="3"/>
  <c r="P257" i="3" s="1"/>
  <c r="N257" i="3"/>
  <c r="O257" i="3" s="1"/>
  <c r="Q257" i="3"/>
  <c r="R257" i="3"/>
  <c r="B258" i="3"/>
  <c r="C258" i="3"/>
  <c r="S258" i="3" s="1"/>
  <c r="D258" i="3"/>
  <c r="I258" i="3"/>
  <c r="L258" i="3"/>
  <c r="M258" i="3"/>
  <c r="P258" i="3" s="1"/>
  <c r="N258" i="3"/>
  <c r="O258" i="3" s="1"/>
  <c r="Q258" i="3"/>
  <c r="R258" i="3"/>
  <c r="B259" i="3"/>
  <c r="C259" i="3"/>
  <c r="S259" i="3" s="1"/>
  <c r="D259" i="3"/>
  <c r="I259" i="3"/>
  <c r="L259" i="3"/>
  <c r="M259" i="3"/>
  <c r="P259" i="3" s="1"/>
  <c r="N259" i="3"/>
  <c r="O259" i="3" s="1"/>
  <c r="Q259" i="3"/>
  <c r="R259" i="3"/>
  <c r="B260" i="3"/>
  <c r="U260" i="3" s="1"/>
  <c r="C260" i="3"/>
  <c r="S260" i="3" s="1"/>
  <c r="D260" i="3"/>
  <c r="I260" i="3"/>
  <c r="L260" i="3"/>
  <c r="M260" i="3"/>
  <c r="P260" i="3" s="1"/>
  <c r="N260" i="3"/>
  <c r="O260" i="3" s="1"/>
  <c r="Q260" i="3"/>
  <c r="R260" i="3"/>
  <c r="B261" i="3"/>
  <c r="C261" i="3"/>
  <c r="S261" i="3" s="1"/>
  <c r="D261" i="3"/>
  <c r="I261" i="3"/>
  <c r="L261" i="3"/>
  <c r="M261" i="3"/>
  <c r="P261" i="3" s="1"/>
  <c r="N261" i="3"/>
  <c r="O261" i="3" s="1"/>
  <c r="Q261" i="3"/>
  <c r="R261" i="3"/>
  <c r="B262" i="3"/>
  <c r="C262" i="3"/>
  <c r="S262" i="3" s="1"/>
  <c r="D262" i="3"/>
  <c r="I262" i="3"/>
  <c r="L262" i="3"/>
  <c r="M262" i="3"/>
  <c r="P262" i="3" s="1"/>
  <c r="N262" i="3"/>
  <c r="O262" i="3" s="1"/>
  <c r="Q262" i="3"/>
  <c r="R262" i="3"/>
  <c r="B263" i="3"/>
  <c r="C263" i="3"/>
  <c r="S263" i="3" s="1"/>
  <c r="D263" i="3"/>
  <c r="I263" i="3"/>
  <c r="L263" i="3"/>
  <c r="M263" i="3"/>
  <c r="P263" i="3" s="1"/>
  <c r="N263" i="3"/>
  <c r="O263" i="3" s="1"/>
  <c r="Q263" i="3"/>
  <c r="R263" i="3"/>
  <c r="B264" i="3"/>
  <c r="C264" i="3"/>
  <c r="S264" i="3" s="1"/>
  <c r="D264" i="3"/>
  <c r="I264" i="3"/>
  <c r="L264" i="3"/>
  <c r="M264" i="3"/>
  <c r="P264" i="3" s="1"/>
  <c r="N264" i="3"/>
  <c r="O264" i="3" s="1"/>
  <c r="Q264" i="3"/>
  <c r="R264" i="3"/>
  <c r="B265" i="3"/>
  <c r="U265" i="3" s="1"/>
  <c r="C265" i="3"/>
  <c r="S265" i="3" s="1"/>
  <c r="D265" i="3"/>
  <c r="I265" i="3"/>
  <c r="L265" i="3"/>
  <c r="M265" i="3"/>
  <c r="P265" i="3" s="1"/>
  <c r="N265" i="3"/>
  <c r="O265" i="3" s="1"/>
  <c r="Q265" i="3"/>
  <c r="R265" i="3"/>
  <c r="B266" i="3"/>
  <c r="C266" i="3"/>
  <c r="S266" i="3" s="1"/>
  <c r="D266" i="3"/>
  <c r="I266" i="3"/>
  <c r="L266" i="3"/>
  <c r="M266" i="3"/>
  <c r="P266" i="3" s="1"/>
  <c r="N266" i="3"/>
  <c r="O266" i="3" s="1"/>
  <c r="Q266" i="3"/>
  <c r="R266" i="3"/>
  <c r="B267" i="3"/>
  <c r="C267" i="3"/>
  <c r="S267" i="3" s="1"/>
  <c r="D267" i="3"/>
  <c r="I267" i="3"/>
  <c r="L267" i="3"/>
  <c r="M267" i="3"/>
  <c r="P267" i="3" s="1"/>
  <c r="N267" i="3"/>
  <c r="O267" i="3" s="1"/>
  <c r="Q267" i="3"/>
  <c r="R267" i="3"/>
  <c r="B268" i="3"/>
  <c r="C268" i="3"/>
  <c r="S268" i="3" s="1"/>
  <c r="D268" i="3"/>
  <c r="I268" i="3"/>
  <c r="L268" i="3"/>
  <c r="M268" i="3"/>
  <c r="P268" i="3" s="1"/>
  <c r="N268" i="3"/>
  <c r="O268" i="3" s="1"/>
  <c r="Q268" i="3"/>
  <c r="R268" i="3"/>
  <c r="B269" i="3"/>
  <c r="C269" i="3"/>
  <c r="S269" i="3" s="1"/>
  <c r="D269" i="3"/>
  <c r="I269" i="3"/>
  <c r="L269" i="3"/>
  <c r="M269" i="3"/>
  <c r="P269" i="3" s="1"/>
  <c r="N269" i="3"/>
  <c r="O269" i="3" s="1"/>
  <c r="Q269" i="3"/>
  <c r="R269" i="3"/>
  <c r="B270" i="3"/>
  <c r="C270" i="3"/>
  <c r="S270" i="3" s="1"/>
  <c r="D270" i="3"/>
  <c r="I270" i="3"/>
  <c r="L270" i="3"/>
  <c r="M270" i="3"/>
  <c r="P270" i="3" s="1"/>
  <c r="N270" i="3"/>
  <c r="O270" i="3" s="1"/>
  <c r="Q270" i="3"/>
  <c r="R270" i="3"/>
  <c r="B271" i="3"/>
  <c r="C271" i="3"/>
  <c r="S271" i="3" s="1"/>
  <c r="D271" i="3"/>
  <c r="I271" i="3"/>
  <c r="L271" i="3"/>
  <c r="M271" i="3"/>
  <c r="P271" i="3" s="1"/>
  <c r="N271" i="3"/>
  <c r="O271" i="3" s="1"/>
  <c r="Q271" i="3"/>
  <c r="R271" i="3"/>
  <c r="B272" i="3"/>
  <c r="C272" i="3"/>
  <c r="S272" i="3" s="1"/>
  <c r="D272" i="3"/>
  <c r="I272" i="3"/>
  <c r="L272" i="3"/>
  <c r="M272" i="3"/>
  <c r="P272" i="3" s="1"/>
  <c r="N272" i="3"/>
  <c r="O272" i="3" s="1"/>
  <c r="Q272" i="3"/>
  <c r="R272" i="3"/>
  <c r="B273" i="3"/>
  <c r="C273" i="3"/>
  <c r="S273" i="3" s="1"/>
  <c r="D273" i="3"/>
  <c r="I273" i="3"/>
  <c r="L273" i="3"/>
  <c r="M273" i="3"/>
  <c r="P273" i="3" s="1"/>
  <c r="N273" i="3"/>
  <c r="O273" i="3" s="1"/>
  <c r="Q273" i="3"/>
  <c r="R273" i="3"/>
  <c r="B274" i="3"/>
  <c r="C274" i="3"/>
  <c r="S274" i="3" s="1"/>
  <c r="D274" i="3"/>
  <c r="I274" i="3"/>
  <c r="L274" i="3"/>
  <c r="M274" i="3"/>
  <c r="P274" i="3" s="1"/>
  <c r="N274" i="3"/>
  <c r="O274" i="3" s="1"/>
  <c r="Q274" i="3"/>
  <c r="R274" i="3"/>
  <c r="B275" i="3"/>
  <c r="C275" i="3"/>
  <c r="S275" i="3" s="1"/>
  <c r="D275" i="3"/>
  <c r="I275" i="3"/>
  <c r="L275" i="3"/>
  <c r="M275" i="3"/>
  <c r="P275" i="3" s="1"/>
  <c r="N275" i="3"/>
  <c r="O275" i="3" s="1"/>
  <c r="Q275" i="3"/>
  <c r="R275" i="3"/>
  <c r="B276" i="3"/>
  <c r="U276" i="3" s="1"/>
  <c r="C276" i="3"/>
  <c r="S276" i="3" s="1"/>
  <c r="D276" i="3"/>
  <c r="I276" i="3"/>
  <c r="L276" i="3"/>
  <c r="M276" i="3"/>
  <c r="P276" i="3" s="1"/>
  <c r="N276" i="3"/>
  <c r="O276" i="3" s="1"/>
  <c r="Q276" i="3"/>
  <c r="R276" i="3"/>
  <c r="B277" i="3"/>
  <c r="C277" i="3"/>
  <c r="S277" i="3" s="1"/>
  <c r="D277" i="3"/>
  <c r="I277" i="3"/>
  <c r="L277" i="3"/>
  <c r="M277" i="3"/>
  <c r="P277" i="3" s="1"/>
  <c r="N277" i="3"/>
  <c r="O277" i="3" s="1"/>
  <c r="Q277" i="3"/>
  <c r="R277" i="3"/>
  <c r="B278" i="3"/>
  <c r="C278" i="3"/>
  <c r="S278" i="3" s="1"/>
  <c r="D278" i="3"/>
  <c r="I278" i="3"/>
  <c r="L278" i="3"/>
  <c r="M278" i="3"/>
  <c r="P278" i="3" s="1"/>
  <c r="N278" i="3"/>
  <c r="O278" i="3" s="1"/>
  <c r="Q278" i="3"/>
  <c r="R278" i="3"/>
  <c r="B279" i="3"/>
  <c r="U279" i="3" s="1"/>
  <c r="C279" i="3"/>
  <c r="S279" i="3" s="1"/>
  <c r="D279" i="3"/>
  <c r="I279" i="3"/>
  <c r="L279" i="3"/>
  <c r="M279" i="3"/>
  <c r="P279" i="3" s="1"/>
  <c r="N279" i="3"/>
  <c r="O279" i="3" s="1"/>
  <c r="Q279" i="3"/>
  <c r="R279" i="3"/>
  <c r="B280" i="3"/>
  <c r="C280" i="3"/>
  <c r="S280" i="3" s="1"/>
  <c r="D280" i="3"/>
  <c r="I280" i="3"/>
  <c r="L280" i="3"/>
  <c r="M280" i="3"/>
  <c r="P280" i="3" s="1"/>
  <c r="N280" i="3"/>
  <c r="O280" i="3" s="1"/>
  <c r="Q280" i="3"/>
  <c r="R280" i="3"/>
  <c r="B281" i="3"/>
  <c r="C281" i="3"/>
  <c r="S281" i="3" s="1"/>
  <c r="D281" i="3"/>
  <c r="I281" i="3"/>
  <c r="L281" i="3"/>
  <c r="M281" i="3"/>
  <c r="P281" i="3" s="1"/>
  <c r="N281" i="3"/>
  <c r="O281" i="3" s="1"/>
  <c r="Q281" i="3"/>
  <c r="R281" i="3"/>
  <c r="B282" i="3"/>
  <c r="C282" i="3"/>
  <c r="S282" i="3" s="1"/>
  <c r="D282" i="3"/>
  <c r="I282" i="3"/>
  <c r="L282" i="3"/>
  <c r="M282" i="3"/>
  <c r="P282" i="3" s="1"/>
  <c r="N282" i="3"/>
  <c r="O282" i="3" s="1"/>
  <c r="Q282" i="3"/>
  <c r="R282" i="3"/>
  <c r="B283" i="3"/>
  <c r="U283" i="3" s="1"/>
  <c r="C283" i="3"/>
  <c r="S283" i="3" s="1"/>
  <c r="D283" i="3"/>
  <c r="I283" i="3"/>
  <c r="L283" i="3"/>
  <c r="M283" i="3"/>
  <c r="P283" i="3" s="1"/>
  <c r="N283" i="3"/>
  <c r="O283" i="3" s="1"/>
  <c r="Q283" i="3"/>
  <c r="R283" i="3"/>
  <c r="B284" i="3"/>
  <c r="C284" i="3"/>
  <c r="S284" i="3" s="1"/>
  <c r="D284" i="3"/>
  <c r="I284" i="3"/>
  <c r="L284" i="3"/>
  <c r="M284" i="3"/>
  <c r="P284" i="3" s="1"/>
  <c r="N284" i="3"/>
  <c r="O284" i="3" s="1"/>
  <c r="Q284" i="3"/>
  <c r="R284" i="3"/>
  <c r="B285" i="3"/>
  <c r="C285" i="3"/>
  <c r="S285" i="3" s="1"/>
  <c r="D285" i="3"/>
  <c r="I285" i="3"/>
  <c r="L285" i="3"/>
  <c r="M285" i="3"/>
  <c r="P285" i="3" s="1"/>
  <c r="N285" i="3"/>
  <c r="O285" i="3" s="1"/>
  <c r="Q285" i="3"/>
  <c r="R285" i="3"/>
  <c r="B286" i="3"/>
  <c r="C286" i="3"/>
  <c r="S286" i="3" s="1"/>
  <c r="D286" i="3"/>
  <c r="I286" i="3"/>
  <c r="L286" i="3"/>
  <c r="M286" i="3"/>
  <c r="P286" i="3" s="1"/>
  <c r="N286" i="3"/>
  <c r="O286" i="3" s="1"/>
  <c r="Q286" i="3"/>
  <c r="R286" i="3"/>
  <c r="B288" i="3"/>
  <c r="C288" i="3"/>
  <c r="S288" i="3" s="1"/>
  <c r="D288" i="3"/>
  <c r="I288" i="3"/>
  <c r="L288" i="3"/>
  <c r="M288" i="3"/>
  <c r="P288" i="3" s="1"/>
  <c r="N288" i="3"/>
  <c r="O288" i="3" s="1"/>
  <c r="Q288" i="3"/>
  <c r="R288" i="3"/>
  <c r="B289" i="3"/>
  <c r="C289" i="3"/>
  <c r="S289" i="3" s="1"/>
  <c r="D289" i="3"/>
  <c r="I289" i="3"/>
  <c r="L289" i="3"/>
  <c r="M289" i="3"/>
  <c r="P289" i="3" s="1"/>
  <c r="N289" i="3"/>
  <c r="O289" i="3" s="1"/>
  <c r="Q289" i="3"/>
  <c r="R289" i="3"/>
  <c r="B290" i="3"/>
  <c r="C290" i="3"/>
  <c r="S290" i="3" s="1"/>
  <c r="D290" i="3"/>
  <c r="I290" i="3"/>
  <c r="L290" i="3"/>
  <c r="M290" i="3"/>
  <c r="P290" i="3" s="1"/>
  <c r="N290" i="3"/>
  <c r="O290" i="3" s="1"/>
  <c r="Q290" i="3"/>
  <c r="R290" i="3"/>
  <c r="B291" i="3"/>
  <c r="C291" i="3"/>
  <c r="S291" i="3" s="1"/>
  <c r="D291" i="3"/>
  <c r="I291" i="3"/>
  <c r="L291" i="3"/>
  <c r="M291" i="3"/>
  <c r="P291" i="3" s="1"/>
  <c r="N291" i="3"/>
  <c r="O291" i="3" s="1"/>
  <c r="Q291" i="3"/>
  <c r="R291" i="3"/>
  <c r="B292" i="3"/>
  <c r="C292" i="3"/>
  <c r="S292" i="3" s="1"/>
  <c r="D292" i="3"/>
  <c r="I292" i="3"/>
  <c r="L292" i="3"/>
  <c r="M292" i="3"/>
  <c r="P292" i="3" s="1"/>
  <c r="N292" i="3"/>
  <c r="O292" i="3" s="1"/>
  <c r="Q292" i="3"/>
  <c r="R292" i="3"/>
  <c r="B293" i="3"/>
  <c r="U293" i="3" s="1"/>
  <c r="C293" i="3"/>
  <c r="S293" i="3" s="1"/>
  <c r="D293" i="3"/>
  <c r="I293" i="3"/>
  <c r="L293" i="3"/>
  <c r="M293" i="3"/>
  <c r="P293" i="3" s="1"/>
  <c r="N293" i="3"/>
  <c r="O293" i="3" s="1"/>
  <c r="Q293" i="3"/>
  <c r="R293" i="3"/>
  <c r="B294" i="3"/>
  <c r="C294" i="3"/>
  <c r="S294" i="3" s="1"/>
  <c r="D294" i="3"/>
  <c r="I294" i="3"/>
  <c r="L294" i="3"/>
  <c r="M294" i="3"/>
  <c r="P294" i="3" s="1"/>
  <c r="N294" i="3"/>
  <c r="O294" i="3" s="1"/>
  <c r="Q294" i="3"/>
  <c r="R294" i="3"/>
  <c r="B295" i="3"/>
  <c r="C295" i="3"/>
  <c r="S295" i="3" s="1"/>
  <c r="D295" i="3"/>
  <c r="H295" i="3"/>
  <c r="I295" i="3" s="1"/>
  <c r="L295" i="3"/>
  <c r="M295" i="3"/>
  <c r="P295" i="3" s="1"/>
  <c r="N295" i="3"/>
  <c r="O295" i="3" s="1"/>
  <c r="Q295" i="3"/>
  <c r="R295" i="3"/>
  <c r="B296" i="3"/>
  <c r="U296" i="3" s="1"/>
  <c r="C296" i="3"/>
  <c r="S296" i="3" s="1"/>
  <c r="D296" i="3"/>
  <c r="I296" i="3"/>
  <c r="L296" i="3"/>
  <c r="M296" i="3"/>
  <c r="P296" i="3" s="1"/>
  <c r="N296" i="3"/>
  <c r="O296" i="3" s="1"/>
  <c r="Q296" i="3"/>
  <c r="R296" i="3"/>
  <c r="B297" i="3"/>
  <c r="U297" i="3" s="1"/>
  <c r="C297" i="3"/>
  <c r="S297" i="3" s="1"/>
  <c r="D297" i="3"/>
  <c r="I297" i="3"/>
  <c r="L297" i="3"/>
  <c r="M297" i="3"/>
  <c r="P297" i="3" s="1"/>
  <c r="N297" i="3"/>
  <c r="O297" i="3" s="1"/>
  <c r="Q297" i="3"/>
  <c r="R297" i="3"/>
  <c r="B298" i="3"/>
  <c r="C298" i="3"/>
  <c r="S298" i="3" s="1"/>
  <c r="D298" i="3"/>
  <c r="I298" i="3"/>
  <c r="L298" i="3"/>
  <c r="M298" i="3"/>
  <c r="P298" i="3" s="1"/>
  <c r="N298" i="3"/>
  <c r="O298" i="3" s="1"/>
  <c r="Q298" i="3"/>
  <c r="R298" i="3"/>
  <c r="B299" i="3"/>
  <c r="C299" i="3"/>
  <c r="S299" i="3" s="1"/>
  <c r="D299" i="3"/>
  <c r="I299" i="3"/>
  <c r="L299" i="3"/>
  <c r="M299" i="3"/>
  <c r="P299" i="3" s="1"/>
  <c r="N299" i="3"/>
  <c r="O299" i="3" s="1"/>
  <c r="Q299" i="3"/>
  <c r="R299" i="3"/>
  <c r="B300" i="3"/>
  <c r="U300" i="3" s="1"/>
  <c r="C300" i="3"/>
  <c r="S300" i="3" s="1"/>
  <c r="D300" i="3"/>
  <c r="I300" i="3"/>
  <c r="L300" i="3"/>
  <c r="M300" i="3"/>
  <c r="P300" i="3" s="1"/>
  <c r="N300" i="3"/>
  <c r="O300" i="3" s="1"/>
  <c r="Q300" i="3"/>
  <c r="R300" i="3"/>
  <c r="B301" i="3"/>
  <c r="U301" i="3" s="1"/>
  <c r="C301" i="3"/>
  <c r="S301" i="3" s="1"/>
  <c r="D301" i="3"/>
  <c r="I301" i="3"/>
  <c r="L301" i="3"/>
  <c r="M301" i="3"/>
  <c r="P301" i="3" s="1"/>
  <c r="N301" i="3"/>
  <c r="O301" i="3" s="1"/>
  <c r="Q301" i="3"/>
  <c r="R301" i="3"/>
  <c r="B302" i="3"/>
  <c r="U302" i="3" s="1"/>
  <c r="C302" i="3"/>
  <c r="S302" i="3" s="1"/>
  <c r="D302" i="3"/>
  <c r="I302" i="3"/>
  <c r="L302" i="3"/>
  <c r="M302" i="3"/>
  <c r="P302" i="3" s="1"/>
  <c r="N302" i="3"/>
  <c r="O302" i="3" s="1"/>
  <c r="Q302" i="3"/>
  <c r="R302" i="3"/>
  <c r="B303" i="3"/>
  <c r="U303" i="3" s="1"/>
  <c r="C303" i="3"/>
  <c r="S303" i="3" s="1"/>
  <c r="D303" i="3"/>
  <c r="I303" i="3"/>
  <c r="L303" i="3"/>
  <c r="M303" i="3"/>
  <c r="P303" i="3" s="1"/>
  <c r="N303" i="3"/>
  <c r="O303" i="3" s="1"/>
  <c r="Q303" i="3"/>
  <c r="R303" i="3"/>
  <c r="B304" i="3"/>
  <c r="U304" i="3" s="1"/>
  <c r="C304" i="3"/>
  <c r="S304" i="3" s="1"/>
  <c r="D304" i="3"/>
  <c r="I304" i="3"/>
  <c r="L304" i="3"/>
  <c r="M304" i="3"/>
  <c r="P304" i="3" s="1"/>
  <c r="N304" i="3"/>
  <c r="O304" i="3" s="1"/>
  <c r="Q304" i="3"/>
  <c r="R304" i="3"/>
  <c r="B305" i="3"/>
  <c r="C305" i="3"/>
  <c r="S305" i="3" s="1"/>
  <c r="D305" i="3"/>
  <c r="I305" i="3"/>
  <c r="L305" i="3"/>
  <c r="M305" i="3"/>
  <c r="P305" i="3" s="1"/>
  <c r="N305" i="3"/>
  <c r="O305" i="3" s="1"/>
  <c r="Q305" i="3"/>
  <c r="R305" i="3"/>
  <c r="B306" i="3"/>
  <c r="C306" i="3"/>
  <c r="S306" i="3" s="1"/>
  <c r="D306" i="3"/>
  <c r="I306" i="3"/>
  <c r="L306" i="3"/>
  <c r="M306" i="3"/>
  <c r="P306" i="3" s="1"/>
  <c r="N306" i="3"/>
  <c r="O306" i="3" s="1"/>
  <c r="Q306" i="3"/>
  <c r="R306" i="3"/>
  <c r="B307" i="3"/>
  <c r="C307" i="3"/>
  <c r="S307" i="3" s="1"/>
  <c r="D307" i="3"/>
  <c r="I307" i="3"/>
  <c r="L307" i="3"/>
  <c r="M307" i="3"/>
  <c r="P307" i="3" s="1"/>
  <c r="N307" i="3"/>
  <c r="O307" i="3" s="1"/>
  <c r="Q307" i="3"/>
  <c r="R307" i="3"/>
  <c r="B308" i="3"/>
  <c r="U308" i="3" s="1"/>
  <c r="C308" i="3"/>
  <c r="S308" i="3" s="1"/>
  <c r="D308" i="3"/>
  <c r="I308" i="3"/>
  <c r="L308" i="3"/>
  <c r="M308" i="3"/>
  <c r="P308" i="3" s="1"/>
  <c r="N308" i="3"/>
  <c r="O308" i="3" s="1"/>
  <c r="Q308" i="3"/>
  <c r="R308" i="3"/>
  <c r="B309" i="3"/>
  <c r="U309" i="3" s="1"/>
  <c r="C309" i="3"/>
  <c r="S309" i="3" s="1"/>
  <c r="D309" i="3"/>
  <c r="I309" i="3"/>
  <c r="L309" i="3"/>
  <c r="M309" i="3"/>
  <c r="P309" i="3" s="1"/>
  <c r="N309" i="3"/>
  <c r="O309" i="3" s="1"/>
  <c r="Q309" i="3"/>
  <c r="R309" i="3"/>
  <c r="B310" i="3"/>
  <c r="U310" i="3" s="1"/>
  <c r="C310" i="3"/>
  <c r="S310" i="3" s="1"/>
  <c r="D310" i="3"/>
  <c r="I310" i="3"/>
  <c r="L310" i="3"/>
  <c r="M310" i="3"/>
  <c r="P310" i="3" s="1"/>
  <c r="N310" i="3"/>
  <c r="O310" i="3" s="1"/>
  <c r="Q310" i="3"/>
  <c r="R310" i="3"/>
  <c r="B311" i="3"/>
  <c r="U311" i="3" s="1"/>
  <c r="C311" i="3"/>
  <c r="S311" i="3" s="1"/>
  <c r="D311" i="3"/>
  <c r="I311" i="3"/>
  <c r="L311" i="3"/>
  <c r="M311" i="3"/>
  <c r="P311" i="3" s="1"/>
  <c r="N311" i="3"/>
  <c r="O311" i="3" s="1"/>
  <c r="Q311" i="3"/>
  <c r="R311" i="3"/>
  <c r="B312" i="3"/>
  <c r="U312" i="3" s="1"/>
  <c r="C312" i="3"/>
  <c r="S312" i="3" s="1"/>
  <c r="D312" i="3"/>
  <c r="I312" i="3"/>
  <c r="L312" i="3"/>
  <c r="M312" i="3"/>
  <c r="P312" i="3" s="1"/>
  <c r="N312" i="3"/>
  <c r="O312" i="3" s="1"/>
  <c r="Q312" i="3"/>
  <c r="R312" i="3"/>
  <c r="B313" i="3"/>
  <c r="U313" i="3" s="1"/>
  <c r="C313" i="3"/>
  <c r="S313" i="3" s="1"/>
  <c r="D313" i="3"/>
  <c r="I313" i="3"/>
  <c r="L313" i="3"/>
  <c r="M313" i="3"/>
  <c r="P313" i="3" s="1"/>
  <c r="N313" i="3"/>
  <c r="O313" i="3" s="1"/>
  <c r="Q313" i="3"/>
  <c r="R313" i="3"/>
  <c r="B314" i="3"/>
  <c r="U314" i="3" s="1"/>
  <c r="C314" i="3"/>
  <c r="S314" i="3" s="1"/>
  <c r="D314" i="3"/>
  <c r="I314" i="3"/>
  <c r="L314" i="3"/>
  <c r="M314" i="3"/>
  <c r="P314" i="3" s="1"/>
  <c r="N314" i="3"/>
  <c r="O314" i="3" s="1"/>
  <c r="Q314" i="3"/>
  <c r="R314" i="3"/>
  <c r="B315" i="3"/>
  <c r="U315" i="3" s="1"/>
  <c r="C315" i="3"/>
  <c r="S315" i="3" s="1"/>
  <c r="D315" i="3"/>
  <c r="I315" i="3"/>
  <c r="L315" i="3"/>
  <c r="M315" i="3"/>
  <c r="P315" i="3" s="1"/>
  <c r="N315" i="3"/>
  <c r="O315" i="3" s="1"/>
  <c r="Q315" i="3"/>
  <c r="R315" i="3"/>
  <c r="B316" i="3"/>
  <c r="U316" i="3" s="1"/>
  <c r="C316" i="3"/>
  <c r="S316" i="3" s="1"/>
  <c r="D316" i="3"/>
  <c r="I316" i="3"/>
  <c r="L316" i="3"/>
  <c r="M316" i="3"/>
  <c r="P316" i="3" s="1"/>
  <c r="N316" i="3"/>
  <c r="O316" i="3" s="1"/>
  <c r="Q316" i="3"/>
  <c r="R316" i="3"/>
  <c r="B317" i="3"/>
  <c r="U317" i="3" s="1"/>
  <c r="C317" i="3"/>
  <c r="S317" i="3" s="1"/>
  <c r="D317" i="3"/>
  <c r="I317" i="3"/>
  <c r="L317" i="3"/>
  <c r="M317" i="3"/>
  <c r="P317" i="3" s="1"/>
  <c r="N317" i="3"/>
  <c r="O317" i="3" s="1"/>
  <c r="Q317" i="3"/>
  <c r="R317" i="3"/>
  <c r="B318" i="3"/>
  <c r="U318" i="3" s="1"/>
  <c r="C318" i="3"/>
  <c r="S318" i="3" s="1"/>
  <c r="D318" i="3"/>
  <c r="I318" i="3"/>
  <c r="L318" i="3"/>
  <c r="M318" i="3"/>
  <c r="P318" i="3" s="1"/>
  <c r="N318" i="3"/>
  <c r="O318" i="3" s="1"/>
  <c r="Q318" i="3"/>
  <c r="R318" i="3"/>
  <c r="B319" i="3"/>
  <c r="U319" i="3" s="1"/>
  <c r="C319" i="3"/>
  <c r="S319" i="3" s="1"/>
  <c r="D319" i="3"/>
  <c r="I319" i="3"/>
  <c r="L319" i="3"/>
  <c r="M319" i="3"/>
  <c r="P319" i="3" s="1"/>
  <c r="N319" i="3"/>
  <c r="O319" i="3" s="1"/>
  <c r="Q319" i="3"/>
  <c r="R319" i="3"/>
  <c r="B320" i="3"/>
  <c r="U320" i="3" s="1"/>
  <c r="C320" i="3"/>
  <c r="S320" i="3" s="1"/>
  <c r="D320" i="3"/>
  <c r="I320" i="3"/>
  <c r="L320" i="3"/>
  <c r="M320" i="3"/>
  <c r="P320" i="3" s="1"/>
  <c r="N320" i="3"/>
  <c r="O320" i="3" s="1"/>
  <c r="Q320" i="3"/>
  <c r="R320" i="3"/>
  <c r="B321" i="3"/>
  <c r="C321" i="3"/>
  <c r="S321" i="3" s="1"/>
  <c r="D321" i="3"/>
  <c r="I321" i="3"/>
  <c r="L321" i="3"/>
  <c r="M321" i="3"/>
  <c r="P321" i="3" s="1"/>
  <c r="N321" i="3"/>
  <c r="O321" i="3" s="1"/>
  <c r="Q321" i="3"/>
  <c r="R321" i="3"/>
  <c r="B322" i="3"/>
  <c r="C322" i="3"/>
  <c r="S322" i="3" s="1"/>
  <c r="D322" i="3"/>
  <c r="I322" i="3"/>
  <c r="L322" i="3"/>
  <c r="M322" i="3"/>
  <c r="P322" i="3" s="1"/>
  <c r="N322" i="3"/>
  <c r="O322" i="3" s="1"/>
  <c r="Q322" i="3"/>
  <c r="R322" i="3"/>
  <c r="B323" i="3"/>
  <c r="U323" i="3" s="1"/>
  <c r="C323" i="3"/>
  <c r="S323" i="3" s="1"/>
  <c r="D323" i="3"/>
  <c r="I323" i="3"/>
  <c r="L323" i="3"/>
  <c r="M323" i="3"/>
  <c r="P323" i="3" s="1"/>
  <c r="N323" i="3"/>
  <c r="O323" i="3" s="1"/>
  <c r="Q323" i="3"/>
  <c r="R323" i="3"/>
  <c r="B324" i="3"/>
  <c r="C324" i="3"/>
  <c r="S324" i="3" s="1"/>
  <c r="D324" i="3"/>
  <c r="I324" i="3"/>
  <c r="L324" i="3"/>
  <c r="M324" i="3"/>
  <c r="P324" i="3" s="1"/>
  <c r="N324" i="3"/>
  <c r="O324" i="3" s="1"/>
  <c r="Q324" i="3"/>
  <c r="R324" i="3"/>
  <c r="B325" i="3"/>
  <c r="U325" i="3" s="1"/>
  <c r="C325" i="3"/>
  <c r="S325" i="3" s="1"/>
  <c r="D325" i="3"/>
  <c r="I325" i="3"/>
  <c r="L325" i="3"/>
  <c r="M325" i="3"/>
  <c r="P325" i="3" s="1"/>
  <c r="N325" i="3"/>
  <c r="O325" i="3" s="1"/>
  <c r="Q325" i="3"/>
  <c r="R325" i="3"/>
  <c r="B326" i="3"/>
  <c r="U326" i="3" s="1"/>
  <c r="C326" i="3"/>
  <c r="S326" i="3" s="1"/>
  <c r="D326" i="3"/>
  <c r="I326" i="3"/>
  <c r="L326" i="3"/>
  <c r="M326" i="3"/>
  <c r="P326" i="3" s="1"/>
  <c r="N326" i="3"/>
  <c r="O326" i="3" s="1"/>
  <c r="Q326" i="3"/>
  <c r="R326" i="3"/>
  <c r="B327" i="3"/>
  <c r="U327" i="3" s="1"/>
  <c r="C327" i="3"/>
  <c r="S327" i="3" s="1"/>
  <c r="D327" i="3"/>
  <c r="I327" i="3"/>
  <c r="L327" i="3"/>
  <c r="M327" i="3"/>
  <c r="P327" i="3" s="1"/>
  <c r="N327" i="3"/>
  <c r="O327" i="3" s="1"/>
  <c r="Q327" i="3"/>
  <c r="R327" i="3"/>
  <c r="B328" i="3"/>
  <c r="U328" i="3" s="1"/>
  <c r="C328" i="3"/>
  <c r="S328" i="3" s="1"/>
  <c r="D328" i="3"/>
  <c r="I328" i="3"/>
  <c r="L328" i="3"/>
  <c r="M328" i="3"/>
  <c r="P328" i="3" s="1"/>
  <c r="N328" i="3"/>
  <c r="O328" i="3" s="1"/>
  <c r="Q328" i="3"/>
  <c r="R328" i="3"/>
  <c r="B329" i="3"/>
  <c r="U329" i="3" s="1"/>
  <c r="C329" i="3"/>
  <c r="S329" i="3" s="1"/>
  <c r="D329" i="3"/>
  <c r="I329" i="3"/>
  <c r="L329" i="3"/>
  <c r="M329" i="3"/>
  <c r="P329" i="3" s="1"/>
  <c r="N329" i="3"/>
  <c r="O329" i="3" s="1"/>
  <c r="Q329" i="3"/>
  <c r="R329" i="3"/>
  <c r="B330" i="3"/>
  <c r="U330" i="3" s="1"/>
  <c r="C330" i="3"/>
  <c r="S330" i="3" s="1"/>
  <c r="D330" i="3"/>
  <c r="I330" i="3"/>
  <c r="L330" i="3"/>
  <c r="M330" i="3"/>
  <c r="P330" i="3" s="1"/>
  <c r="N330" i="3"/>
  <c r="O330" i="3" s="1"/>
  <c r="Q330" i="3"/>
  <c r="R330" i="3"/>
  <c r="B331" i="3"/>
  <c r="U331" i="3" s="1"/>
  <c r="C331" i="3"/>
  <c r="S331" i="3" s="1"/>
  <c r="D331" i="3"/>
  <c r="I331" i="3"/>
  <c r="L331" i="3"/>
  <c r="M331" i="3"/>
  <c r="P331" i="3" s="1"/>
  <c r="N331" i="3"/>
  <c r="O331" i="3" s="1"/>
  <c r="Q331" i="3"/>
  <c r="R331" i="3"/>
  <c r="B332" i="3"/>
  <c r="U332" i="3" s="1"/>
  <c r="C332" i="3"/>
  <c r="S332" i="3" s="1"/>
  <c r="D332" i="3"/>
  <c r="I332" i="3"/>
  <c r="L332" i="3"/>
  <c r="M332" i="3"/>
  <c r="P332" i="3" s="1"/>
  <c r="N332" i="3"/>
  <c r="O332" i="3" s="1"/>
  <c r="Q332" i="3"/>
  <c r="R332" i="3"/>
  <c r="B333" i="3"/>
  <c r="U333" i="3" s="1"/>
  <c r="C333" i="3"/>
  <c r="S333" i="3" s="1"/>
  <c r="D333" i="3"/>
  <c r="I333" i="3"/>
  <c r="L333" i="3"/>
  <c r="M333" i="3"/>
  <c r="P333" i="3" s="1"/>
  <c r="N333" i="3"/>
  <c r="O333" i="3" s="1"/>
  <c r="Q333" i="3"/>
  <c r="R333" i="3"/>
  <c r="B334" i="3"/>
  <c r="C334" i="3"/>
  <c r="S334" i="3" s="1"/>
  <c r="D334" i="3"/>
  <c r="I334" i="3"/>
  <c r="L334" i="3"/>
  <c r="M334" i="3"/>
  <c r="P334" i="3" s="1"/>
  <c r="N334" i="3"/>
  <c r="O334" i="3" s="1"/>
  <c r="Q334" i="3"/>
  <c r="R334" i="3"/>
  <c r="B335" i="3"/>
  <c r="U335" i="3" s="1"/>
  <c r="C335" i="3"/>
  <c r="S335" i="3" s="1"/>
  <c r="D335" i="3"/>
  <c r="I335" i="3"/>
  <c r="L335" i="3"/>
  <c r="M335" i="3"/>
  <c r="P335" i="3" s="1"/>
  <c r="N335" i="3"/>
  <c r="O335" i="3" s="1"/>
  <c r="Q335" i="3"/>
  <c r="R335" i="3"/>
  <c r="B336" i="3"/>
  <c r="U336" i="3" s="1"/>
  <c r="C336" i="3"/>
  <c r="S336" i="3" s="1"/>
  <c r="D336" i="3"/>
  <c r="I336" i="3"/>
  <c r="L336" i="3"/>
  <c r="M336" i="3"/>
  <c r="P336" i="3" s="1"/>
  <c r="N336" i="3"/>
  <c r="O336" i="3" s="1"/>
  <c r="Q336" i="3"/>
  <c r="R336" i="3"/>
  <c r="B337" i="3"/>
  <c r="C337" i="3"/>
  <c r="S337" i="3" s="1"/>
  <c r="D337" i="3"/>
  <c r="I337" i="3"/>
  <c r="L337" i="3"/>
  <c r="M337" i="3"/>
  <c r="P337" i="3" s="1"/>
  <c r="N337" i="3"/>
  <c r="O337" i="3" s="1"/>
  <c r="Q337" i="3"/>
  <c r="R337" i="3"/>
  <c r="B338" i="3"/>
  <c r="C338" i="3"/>
  <c r="S338" i="3" s="1"/>
  <c r="D338" i="3"/>
  <c r="I338" i="3"/>
  <c r="L338" i="3"/>
  <c r="M338" i="3"/>
  <c r="P338" i="3" s="1"/>
  <c r="N338" i="3"/>
  <c r="O338" i="3" s="1"/>
  <c r="Q338" i="3"/>
  <c r="R338" i="3"/>
  <c r="B339" i="3"/>
  <c r="U339" i="3" s="1"/>
  <c r="C339" i="3"/>
  <c r="S339" i="3" s="1"/>
  <c r="D339" i="3"/>
  <c r="I339" i="3"/>
  <c r="L339" i="3"/>
  <c r="M339" i="3"/>
  <c r="P339" i="3" s="1"/>
  <c r="N339" i="3"/>
  <c r="O339" i="3" s="1"/>
  <c r="Q339" i="3"/>
  <c r="R339" i="3"/>
  <c r="B340" i="3"/>
  <c r="U340" i="3" s="1"/>
  <c r="C340" i="3"/>
  <c r="S340" i="3" s="1"/>
  <c r="D340" i="3"/>
  <c r="I340" i="3"/>
  <c r="L340" i="3"/>
  <c r="M340" i="3"/>
  <c r="P340" i="3" s="1"/>
  <c r="N340" i="3"/>
  <c r="O340" i="3" s="1"/>
  <c r="Q340" i="3"/>
  <c r="R340" i="3"/>
  <c r="B341" i="3"/>
  <c r="U341" i="3" s="1"/>
  <c r="C341" i="3"/>
  <c r="S341" i="3" s="1"/>
  <c r="D341" i="3"/>
  <c r="I341" i="3"/>
  <c r="L341" i="3"/>
  <c r="M341" i="3"/>
  <c r="P341" i="3" s="1"/>
  <c r="N341" i="3"/>
  <c r="O341" i="3" s="1"/>
  <c r="Q341" i="3"/>
  <c r="R341" i="3"/>
  <c r="B342" i="3"/>
  <c r="U342" i="3" s="1"/>
  <c r="C342" i="3"/>
  <c r="S342" i="3" s="1"/>
  <c r="D342" i="3"/>
  <c r="I342" i="3"/>
  <c r="L342" i="3"/>
  <c r="M342" i="3"/>
  <c r="P342" i="3" s="1"/>
  <c r="N342" i="3"/>
  <c r="O342" i="3" s="1"/>
  <c r="Q342" i="3"/>
  <c r="R342" i="3"/>
  <c r="B343" i="3"/>
  <c r="U343" i="3" s="1"/>
  <c r="C343" i="3"/>
  <c r="S343" i="3" s="1"/>
  <c r="D343" i="3"/>
  <c r="I343" i="3"/>
  <c r="L343" i="3"/>
  <c r="M343" i="3"/>
  <c r="P343" i="3" s="1"/>
  <c r="N343" i="3"/>
  <c r="O343" i="3" s="1"/>
  <c r="Q343" i="3"/>
  <c r="R343" i="3"/>
  <c r="B344" i="3"/>
  <c r="U344" i="3" s="1"/>
  <c r="C344" i="3"/>
  <c r="S344" i="3" s="1"/>
  <c r="D344" i="3"/>
  <c r="I344" i="3"/>
  <c r="L344" i="3"/>
  <c r="M344" i="3"/>
  <c r="P344" i="3" s="1"/>
  <c r="N344" i="3"/>
  <c r="O344" i="3" s="1"/>
  <c r="Q344" i="3"/>
  <c r="R344" i="3"/>
  <c r="B345" i="3"/>
  <c r="U345" i="3" s="1"/>
  <c r="C345" i="3"/>
  <c r="S345" i="3" s="1"/>
  <c r="D345" i="3"/>
  <c r="I345" i="3"/>
  <c r="L345" i="3"/>
  <c r="M345" i="3"/>
  <c r="P345" i="3" s="1"/>
  <c r="N345" i="3"/>
  <c r="O345" i="3" s="1"/>
  <c r="Q345" i="3"/>
  <c r="R345" i="3"/>
  <c r="B346" i="3"/>
  <c r="U346" i="3" s="1"/>
  <c r="C346" i="3"/>
  <c r="S346" i="3" s="1"/>
  <c r="D346" i="3"/>
  <c r="I346" i="3"/>
  <c r="L346" i="3"/>
  <c r="M346" i="3"/>
  <c r="P346" i="3" s="1"/>
  <c r="N346" i="3"/>
  <c r="O346" i="3" s="1"/>
  <c r="Q346" i="3"/>
  <c r="R346" i="3"/>
  <c r="B347" i="3"/>
  <c r="U347" i="3" s="1"/>
  <c r="C347" i="3"/>
  <c r="S347" i="3" s="1"/>
  <c r="D347" i="3"/>
  <c r="I347" i="3"/>
  <c r="L347" i="3"/>
  <c r="M347" i="3"/>
  <c r="P347" i="3" s="1"/>
  <c r="N347" i="3"/>
  <c r="O347" i="3" s="1"/>
  <c r="Q347" i="3"/>
  <c r="R347" i="3"/>
  <c r="B348" i="3"/>
  <c r="U348" i="3" s="1"/>
  <c r="C348" i="3"/>
  <c r="S348" i="3" s="1"/>
  <c r="D348" i="3"/>
  <c r="I348" i="3"/>
  <c r="L348" i="3"/>
  <c r="M348" i="3"/>
  <c r="P348" i="3" s="1"/>
  <c r="N348" i="3"/>
  <c r="O348" i="3" s="1"/>
  <c r="Q348" i="3"/>
  <c r="R348" i="3"/>
  <c r="B349" i="3"/>
  <c r="C349" i="3"/>
  <c r="S349" i="3" s="1"/>
  <c r="D349" i="3"/>
  <c r="H349" i="3"/>
  <c r="I349" i="3" s="1"/>
  <c r="L349" i="3"/>
  <c r="M349" i="3"/>
  <c r="P349" i="3" s="1"/>
  <c r="N349" i="3"/>
  <c r="O349" i="3" s="1"/>
  <c r="Q349" i="3"/>
  <c r="R349" i="3"/>
  <c r="B350" i="3"/>
  <c r="C350" i="3"/>
  <c r="S350" i="3" s="1"/>
  <c r="D350" i="3"/>
  <c r="I350" i="3"/>
  <c r="L350" i="3"/>
  <c r="M350" i="3"/>
  <c r="P350" i="3" s="1"/>
  <c r="N350" i="3"/>
  <c r="O350" i="3" s="1"/>
  <c r="Q350" i="3"/>
  <c r="R350" i="3"/>
  <c r="B351" i="3"/>
  <c r="C351" i="3"/>
  <c r="S351" i="3" s="1"/>
  <c r="D351" i="3"/>
  <c r="I351" i="3"/>
  <c r="L351" i="3"/>
  <c r="M351" i="3"/>
  <c r="P351" i="3" s="1"/>
  <c r="N351" i="3"/>
  <c r="O351" i="3" s="1"/>
  <c r="Q351" i="3"/>
  <c r="R351" i="3"/>
  <c r="B352" i="3"/>
  <c r="C352" i="3"/>
  <c r="S352" i="3" s="1"/>
  <c r="D352" i="3"/>
  <c r="I352" i="3"/>
  <c r="L352" i="3"/>
  <c r="M352" i="3"/>
  <c r="P352" i="3" s="1"/>
  <c r="N352" i="3"/>
  <c r="O352" i="3" s="1"/>
  <c r="Q352" i="3"/>
  <c r="R352" i="3"/>
  <c r="B353" i="3"/>
  <c r="C353" i="3"/>
  <c r="S353" i="3" s="1"/>
  <c r="D353" i="3"/>
  <c r="I353" i="3"/>
  <c r="L353" i="3"/>
  <c r="M353" i="3"/>
  <c r="P353" i="3" s="1"/>
  <c r="N353" i="3"/>
  <c r="O353" i="3" s="1"/>
  <c r="Q353" i="3"/>
  <c r="R353" i="3"/>
  <c r="B354" i="3"/>
  <c r="C354" i="3"/>
  <c r="S354" i="3" s="1"/>
  <c r="D354" i="3"/>
  <c r="I354" i="3"/>
  <c r="L354" i="3"/>
  <c r="M354" i="3"/>
  <c r="P354" i="3" s="1"/>
  <c r="N354" i="3"/>
  <c r="O354" i="3" s="1"/>
  <c r="Q354" i="3"/>
  <c r="R354" i="3"/>
  <c r="B355" i="3"/>
  <c r="C355" i="3"/>
  <c r="S355" i="3" s="1"/>
  <c r="D355" i="3"/>
  <c r="I355" i="3"/>
  <c r="L355" i="3"/>
  <c r="M355" i="3"/>
  <c r="P355" i="3" s="1"/>
  <c r="N355" i="3"/>
  <c r="O355" i="3" s="1"/>
  <c r="Q355" i="3"/>
  <c r="R355" i="3"/>
  <c r="B356" i="3"/>
  <c r="C356" i="3"/>
  <c r="S356" i="3" s="1"/>
  <c r="D356" i="3"/>
  <c r="I356" i="3"/>
  <c r="L356" i="3"/>
  <c r="M356" i="3"/>
  <c r="P356" i="3" s="1"/>
  <c r="N356" i="3"/>
  <c r="O356" i="3" s="1"/>
  <c r="Q356" i="3"/>
  <c r="R356" i="3"/>
  <c r="B357" i="3"/>
  <c r="C357" i="3"/>
  <c r="S357" i="3" s="1"/>
  <c r="D357" i="3"/>
  <c r="I357" i="3"/>
  <c r="L357" i="3"/>
  <c r="M357" i="3"/>
  <c r="P357" i="3" s="1"/>
  <c r="N357" i="3"/>
  <c r="O357" i="3" s="1"/>
  <c r="Q357" i="3"/>
  <c r="R357" i="3"/>
  <c r="B358" i="3"/>
  <c r="C358" i="3"/>
  <c r="S358" i="3" s="1"/>
  <c r="D358" i="3"/>
  <c r="I358" i="3"/>
  <c r="L358" i="3"/>
  <c r="M358" i="3"/>
  <c r="P358" i="3" s="1"/>
  <c r="N358" i="3"/>
  <c r="O358" i="3" s="1"/>
  <c r="Q358" i="3"/>
  <c r="R358" i="3"/>
  <c r="B359" i="3"/>
  <c r="C359" i="3"/>
  <c r="S359" i="3" s="1"/>
  <c r="D359" i="3"/>
  <c r="I359" i="3"/>
  <c r="L359" i="3"/>
  <c r="M359" i="3"/>
  <c r="P359" i="3" s="1"/>
  <c r="N359" i="3"/>
  <c r="O359" i="3" s="1"/>
  <c r="Q359" i="3"/>
  <c r="R359" i="3"/>
  <c r="B360" i="3"/>
  <c r="C360" i="3"/>
  <c r="S360" i="3" s="1"/>
  <c r="D360" i="3"/>
  <c r="I360" i="3"/>
  <c r="L360" i="3"/>
  <c r="M360" i="3"/>
  <c r="P360" i="3" s="1"/>
  <c r="N360" i="3"/>
  <c r="O360" i="3" s="1"/>
  <c r="Q360" i="3"/>
  <c r="R360" i="3"/>
  <c r="B361" i="3"/>
  <c r="C361" i="3"/>
  <c r="S361" i="3" s="1"/>
  <c r="D361" i="3"/>
  <c r="I361" i="3"/>
  <c r="L361" i="3"/>
  <c r="M361" i="3"/>
  <c r="P361" i="3" s="1"/>
  <c r="N361" i="3"/>
  <c r="O361" i="3" s="1"/>
  <c r="Q361" i="3"/>
  <c r="R361" i="3"/>
  <c r="B362" i="3"/>
  <c r="C362" i="3"/>
  <c r="S362" i="3" s="1"/>
  <c r="D362" i="3"/>
  <c r="I362" i="3"/>
  <c r="L362" i="3"/>
  <c r="M362" i="3"/>
  <c r="P362" i="3" s="1"/>
  <c r="N362" i="3"/>
  <c r="O362" i="3" s="1"/>
  <c r="Q362" i="3"/>
  <c r="R362" i="3"/>
  <c r="B363" i="3"/>
  <c r="C363" i="3"/>
  <c r="S363" i="3" s="1"/>
  <c r="D363" i="3"/>
  <c r="I363" i="3"/>
  <c r="L363" i="3"/>
  <c r="M363" i="3"/>
  <c r="P363" i="3" s="1"/>
  <c r="N363" i="3"/>
  <c r="O363" i="3" s="1"/>
  <c r="Q363" i="3"/>
  <c r="R363" i="3"/>
  <c r="B364" i="3"/>
  <c r="C364" i="3"/>
  <c r="S364" i="3" s="1"/>
  <c r="D364" i="3"/>
  <c r="I364" i="3"/>
  <c r="L364" i="3"/>
  <c r="M364" i="3"/>
  <c r="P364" i="3" s="1"/>
  <c r="N364" i="3"/>
  <c r="O364" i="3" s="1"/>
  <c r="Q364" i="3"/>
  <c r="R364" i="3"/>
  <c r="B365" i="3"/>
  <c r="C365" i="3"/>
  <c r="S365" i="3" s="1"/>
  <c r="D365" i="3"/>
  <c r="I365" i="3"/>
  <c r="L365" i="3"/>
  <c r="M365" i="3"/>
  <c r="P365" i="3" s="1"/>
  <c r="N365" i="3"/>
  <c r="O365" i="3" s="1"/>
  <c r="Q365" i="3"/>
  <c r="R365" i="3"/>
  <c r="B366" i="3"/>
  <c r="C366" i="3"/>
  <c r="S366" i="3" s="1"/>
  <c r="D366" i="3"/>
  <c r="I366" i="3"/>
  <c r="L366" i="3"/>
  <c r="M366" i="3"/>
  <c r="P366" i="3" s="1"/>
  <c r="N366" i="3"/>
  <c r="O366" i="3" s="1"/>
  <c r="Q366" i="3"/>
  <c r="R366" i="3"/>
  <c r="B367" i="3"/>
  <c r="C367" i="3"/>
  <c r="S367" i="3" s="1"/>
  <c r="D367" i="3"/>
  <c r="I367" i="3"/>
  <c r="L367" i="3"/>
  <c r="M367" i="3"/>
  <c r="P367" i="3" s="1"/>
  <c r="N367" i="3"/>
  <c r="O367" i="3" s="1"/>
  <c r="Q367" i="3"/>
  <c r="R367" i="3"/>
  <c r="B368" i="3"/>
  <c r="C368" i="3"/>
  <c r="S368" i="3" s="1"/>
  <c r="D368" i="3"/>
  <c r="I368" i="3"/>
  <c r="L368" i="3"/>
  <c r="M368" i="3"/>
  <c r="P368" i="3" s="1"/>
  <c r="N368" i="3"/>
  <c r="O368" i="3" s="1"/>
  <c r="Q368" i="3"/>
  <c r="R368" i="3"/>
  <c r="B369" i="3"/>
  <c r="C369" i="3"/>
  <c r="S369" i="3" s="1"/>
  <c r="D369" i="3"/>
  <c r="I369" i="3"/>
  <c r="L369" i="3"/>
  <c r="M369" i="3"/>
  <c r="P369" i="3" s="1"/>
  <c r="N369" i="3"/>
  <c r="O369" i="3" s="1"/>
  <c r="Q369" i="3"/>
  <c r="R369" i="3"/>
  <c r="B370" i="3"/>
  <c r="C370" i="3"/>
  <c r="S370" i="3" s="1"/>
  <c r="D370" i="3"/>
  <c r="I370" i="3"/>
  <c r="L370" i="3"/>
  <c r="M370" i="3"/>
  <c r="P370" i="3" s="1"/>
  <c r="N370" i="3"/>
  <c r="O370" i="3" s="1"/>
  <c r="Q370" i="3"/>
  <c r="R370" i="3"/>
  <c r="B371" i="3"/>
  <c r="C371" i="3"/>
  <c r="S371" i="3" s="1"/>
  <c r="D371" i="3"/>
  <c r="I371" i="3"/>
  <c r="L371" i="3"/>
  <c r="M371" i="3"/>
  <c r="P371" i="3" s="1"/>
  <c r="N371" i="3"/>
  <c r="O371" i="3" s="1"/>
  <c r="Q371" i="3"/>
  <c r="R371" i="3"/>
  <c r="B372" i="3"/>
  <c r="C372" i="3"/>
  <c r="S372" i="3" s="1"/>
  <c r="D372" i="3"/>
  <c r="I372" i="3"/>
  <c r="L372" i="3"/>
  <c r="M372" i="3"/>
  <c r="P372" i="3" s="1"/>
  <c r="N372" i="3"/>
  <c r="O372" i="3" s="1"/>
  <c r="Q372" i="3"/>
  <c r="R372" i="3"/>
  <c r="B373" i="3"/>
  <c r="C373" i="3"/>
  <c r="S373" i="3" s="1"/>
  <c r="D373" i="3"/>
  <c r="I373" i="3"/>
  <c r="L373" i="3"/>
  <c r="M373" i="3"/>
  <c r="P373" i="3" s="1"/>
  <c r="N373" i="3"/>
  <c r="O373" i="3" s="1"/>
  <c r="Q373" i="3"/>
  <c r="R373" i="3"/>
  <c r="B374" i="3"/>
  <c r="C374" i="3"/>
  <c r="S374" i="3" s="1"/>
  <c r="D374" i="3"/>
  <c r="I374" i="3"/>
  <c r="L374" i="3"/>
  <c r="M374" i="3"/>
  <c r="P374" i="3" s="1"/>
  <c r="N374" i="3"/>
  <c r="O374" i="3" s="1"/>
  <c r="Q374" i="3"/>
  <c r="R374" i="3"/>
  <c r="B375" i="3"/>
  <c r="C375" i="3"/>
  <c r="S375" i="3" s="1"/>
  <c r="D375" i="3"/>
  <c r="I375" i="3"/>
  <c r="L375" i="3"/>
  <c r="M375" i="3"/>
  <c r="P375" i="3" s="1"/>
  <c r="N375" i="3"/>
  <c r="O375" i="3" s="1"/>
  <c r="Q375" i="3"/>
  <c r="R375" i="3"/>
  <c r="B376" i="3"/>
  <c r="C376" i="3"/>
  <c r="S376" i="3" s="1"/>
  <c r="D376" i="3"/>
  <c r="I376" i="3"/>
  <c r="L376" i="3"/>
  <c r="M376" i="3"/>
  <c r="P376" i="3" s="1"/>
  <c r="N376" i="3"/>
  <c r="O376" i="3" s="1"/>
  <c r="Q376" i="3"/>
  <c r="R376" i="3"/>
  <c r="B377" i="3"/>
  <c r="C377" i="3"/>
  <c r="S377" i="3" s="1"/>
  <c r="D377" i="3"/>
  <c r="I377" i="3"/>
  <c r="L377" i="3"/>
  <c r="M377" i="3"/>
  <c r="P377" i="3" s="1"/>
  <c r="N377" i="3"/>
  <c r="O377" i="3" s="1"/>
  <c r="Q377" i="3"/>
  <c r="R377" i="3"/>
  <c r="B378" i="3"/>
  <c r="C378" i="3"/>
  <c r="S378" i="3" s="1"/>
  <c r="D378" i="3"/>
  <c r="I378" i="3"/>
  <c r="L378" i="3"/>
  <c r="M378" i="3"/>
  <c r="P378" i="3" s="1"/>
  <c r="N378" i="3"/>
  <c r="O378" i="3" s="1"/>
  <c r="Q378" i="3"/>
  <c r="R378" i="3"/>
  <c r="B379" i="3"/>
  <c r="C379" i="3"/>
  <c r="S379" i="3" s="1"/>
  <c r="D379" i="3"/>
  <c r="I379" i="3"/>
  <c r="L379" i="3"/>
  <c r="M379" i="3"/>
  <c r="P379" i="3" s="1"/>
  <c r="N379" i="3"/>
  <c r="O379" i="3" s="1"/>
  <c r="Q379" i="3"/>
  <c r="R379" i="3"/>
  <c r="B380" i="3"/>
  <c r="C380" i="3"/>
  <c r="S380" i="3" s="1"/>
  <c r="D380" i="3"/>
  <c r="H380" i="3"/>
  <c r="I380" i="3" s="1"/>
  <c r="L380" i="3"/>
  <c r="M380" i="3"/>
  <c r="P380" i="3" s="1"/>
  <c r="N380" i="3"/>
  <c r="O380" i="3" s="1"/>
  <c r="Q380" i="3"/>
  <c r="R380" i="3"/>
  <c r="B381" i="3"/>
  <c r="C381" i="3"/>
  <c r="S381" i="3" s="1"/>
  <c r="D381" i="3"/>
  <c r="I381" i="3"/>
  <c r="L381" i="3"/>
  <c r="M381" i="3"/>
  <c r="P381" i="3" s="1"/>
  <c r="N381" i="3"/>
  <c r="O381" i="3" s="1"/>
  <c r="Q381" i="3"/>
  <c r="R381" i="3"/>
  <c r="B382" i="3"/>
  <c r="U382" i="3" s="1"/>
  <c r="C382" i="3"/>
  <c r="S382" i="3" s="1"/>
  <c r="D382" i="3"/>
  <c r="I382" i="3"/>
  <c r="L382" i="3"/>
  <c r="M382" i="3"/>
  <c r="P382" i="3" s="1"/>
  <c r="N382" i="3"/>
  <c r="O382" i="3" s="1"/>
  <c r="Q382" i="3"/>
  <c r="R382" i="3"/>
  <c r="B383" i="3"/>
  <c r="C383" i="3"/>
  <c r="S383" i="3" s="1"/>
  <c r="D383" i="3"/>
  <c r="I383" i="3"/>
  <c r="L383" i="3"/>
  <c r="M383" i="3"/>
  <c r="P383" i="3" s="1"/>
  <c r="N383" i="3"/>
  <c r="O383" i="3" s="1"/>
  <c r="Q383" i="3"/>
  <c r="R383" i="3"/>
  <c r="B384" i="3"/>
  <c r="C384" i="3"/>
  <c r="S384" i="3" s="1"/>
  <c r="D384" i="3"/>
  <c r="I384" i="3"/>
  <c r="L384" i="3"/>
  <c r="M384" i="3"/>
  <c r="P384" i="3" s="1"/>
  <c r="N384" i="3"/>
  <c r="O384" i="3" s="1"/>
  <c r="Q384" i="3"/>
  <c r="R384" i="3"/>
  <c r="B385" i="3"/>
  <c r="C385" i="3"/>
  <c r="S385" i="3" s="1"/>
  <c r="D385" i="3"/>
  <c r="I385" i="3"/>
  <c r="L385" i="3"/>
  <c r="M385" i="3"/>
  <c r="P385" i="3" s="1"/>
  <c r="N385" i="3"/>
  <c r="O385" i="3" s="1"/>
  <c r="Q385" i="3"/>
  <c r="R385" i="3"/>
  <c r="B386" i="3"/>
  <c r="C386" i="3"/>
  <c r="S386" i="3" s="1"/>
  <c r="D386" i="3"/>
  <c r="H386" i="3"/>
  <c r="I386" i="3" s="1"/>
  <c r="L386" i="3"/>
  <c r="M386" i="3"/>
  <c r="P386" i="3" s="1"/>
  <c r="N386" i="3"/>
  <c r="O386" i="3" s="1"/>
  <c r="Q386" i="3"/>
  <c r="R386" i="3"/>
  <c r="B387" i="3"/>
  <c r="C387" i="3"/>
  <c r="S387" i="3" s="1"/>
  <c r="D387" i="3"/>
  <c r="H387" i="3"/>
  <c r="I387" i="3" s="1"/>
  <c r="L387" i="3"/>
  <c r="M387" i="3"/>
  <c r="P387" i="3" s="1"/>
  <c r="N387" i="3"/>
  <c r="O387" i="3" s="1"/>
  <c r="Q387" i="3"/>
  <c r="R387" i="3"/>
  <c r="B388" i="3"/>
  <c r="C388" i="3"/>
  <c r="S388" i="3" s="1"/>
  <c r="D388" i="3"/>
  <c r="I388" i="3"/>
  <c r="L388" i="3"/>
  <c r="M388" i="3"/>
  <c r="P388" i="3" s="1"/>
  <c r="N388" i="3"/>
  <c r="O388" i="3" s="1"/>
  <c r="Q388" i="3"/>
  <c r="R388" i="3"/>
  <c r="B389" i="3"/>
  <c r="C389" i="3"/>
  <c r="S389" i="3" s="1"/>
  <c r="D389" i="3"/>
  <c r="I389" i="3"/>
  <c r="L389" i="3"/>
  <c r="M389" i="3"/>
  <c r="P389" i="3" s="1"/>
  <c r="N389" i="3"/>
  <c r="O389" i="3" s="1"/>
  <c r="Q389" i="3"/>
  <c r="R389" i="3"/>
  <c r="B391" i="3"/>
  <c r="C391" i="3"/>
  <c r="S391" i="3" s="1"/>
  <c r="D391" i="3"/>
  <c r="I391" i="3"/>
  <c r="L391" i="3"/>
  <c r="M391" i="3"/>
  <c r="P391" i="3" s="1"/>
  <c r="N391" i="3"/>
  <c r="O391" i="3" s="1"/>
  <c r="Q391" i="3"/>
  <c r="R391" i="3"/>
  <c r="B392" i="3"/>
  <c r="U392" i="3" s="1"/>
  <c r="C392" i="3"/>
  <c r="S392" i="3" s="1"/>
  <c r="D392" i="3"/>
  <c r="I392" i="3"/>
  <c r="L392" i="3"/>
  <c r="M392" i="3"/>
  <c r="P392" i="3" s="1"/>
  <c r="N392" i="3"/>
  <c r="O392" i="3" s="1"/>
  <c r="Q392" i="3"/>
  <c r="R392" i="3"/>
  <c r="B393" i="3"/>
  <c r="C393" i="3"/>
  <c r="S393" i="3" s="1"/>
  <c r="D393" i="3"/>
  <c r="I393" i="3"/>
  <c r="L393" i="3"/>
  <c r="M393" i="3"/>
  <c r="P393" i="3" s="1"/>
  <c r="N393" i="3"/>
  <c r="O393" i="3" s="1"/>
  <c r="Q393" i="3"/>
  <c r="R393" i="3"/>
  <c r="B394" i="3"/>
  <c r="U394" i="3" s="1"/>
  <c r="C394" i="3"/>
  <c r="S394" i="3" s="1"/>
  <c r="D394" i="3"/>
  <c r="I394" i="3"/>
  <c r="L394" i="3"/>
  <c r="M394" i="3"/>
  <c r="P394" i="3" s="1"/>
  <c r="N394" i="3"/>
  <c r="O394" i="3" s="1"/>
  <c r="Q394" i="3"/>
  <c r="R394" i="3"/>
  <c r="B395" i="3"/>
  <c r="C395" i="3"/>
  <c r="S395" i="3" s="1"/>
  <c r="D395" i="3"/>
  <c r="I395" i="3"/>
  <c r="L395" i="3"/>
  <c r="M395" i="3"/>
  <c r="P395" i="3" s="1"/>
  <c r="N395" i="3"/>
  <c r="O395" i="3" s="1"/>
  <c r="Q395" i="3"/>
  <c r="R395" i="3"/>
  <c r="B396" i="3"/>
  <c r="U396" i="3" s="1"/>
  <c r="C396" i="3"/>
  <c r="S396" i="3" s="1"/>
  <c r="D396" i="3"/>
  <c r="I396" i="3"/>
  <c r="L396" i="3"/>
  <c r="M396" i="3"/>
  <c r="P396" i="3" s="1"/>
  <c r="N396" i="3"/>
  <c r="O396" i="3" s="1"/>
  <c r="Q396" i="3"/>
  <c r="R396" i="3"/>
  <c r="B397" i="3"/>
  <c r="C397" i="3"/>
  <c r="S397" i="3" s="1"/>
  <c r="D397" i="3"/>
  <c r="H397" i="3"/>
  <c r="I397" i="3" s="1"/>
  <c r="L397" i="3"/>
  <c r="M397" i="3"/>
  <c r="P397" i="3" s="1"/>
  <c r="N397" i="3"/>
  <c r="O397" i="3" s="1"/>
  <c r="Q397" i="3"/>
  <c r="R397" i="3"/>
  <c r="B398" i="3"/>
  <c r="C398" i="3"/>
  <c r="S398" i="3" s="1"/>
  <c r="D398" i="3"/>
  <c r="I398" i="3"/>
  <c r="L398" i="3"/>
  <c r="M398" i="3"/>
  <c r="P398" i="3" s="1"/>
  <c r="N398" i="3"/>
  <c r="O398" i="3" s="1"/>
  <c r="Q398" i="3"/>
  <c r="R398" i="3"/>
  <c r="B399" i="3"/>
  <c r="C399" i="3"/>
  <c r="S399" i="3" s="1"/>
  <c r="D399" i="3"/>
  <c r="I399" i="3"/>
  <c r="L399" i="3"/>
  <c r="M399" i="3"/>
  <c r="P399" i="3" s="1"/>
  <c r="N399" i="3"/>
  <c r="O399" i="3" s="1"/>
  <c r="Q399" i="3"/>
  <c r="R399" i="3"/>
  <c r="B400" i="3"/>
  <c r="C400" i="3"/>
  <c r="S400" i="3" s="1"/>
  <c r="D400" i="3"/>
  <c r="I400" i="3"/>
  <c r="L400" i="3"/>
  <c r="M400" i="3"/>
  <c r="P400" i="3" s="1"/>
  <c r="N400" i="3"/>
  <c r="O400" i="3" s="1"/>
  <c r="Q400" i="3"/>
  <c r="R400" i="3"/>
  <c r="B401" i="3"/>
  <c r="C401" i="3"/>
  <c r="S401" i="3" s="1"/>
  <c r="D401" i="3"/>
  <c r="I401" i="3"/>
  <c r="L401" i="3"/>
  <c r="M401" i="3"/>
  <c r="P401" i="3" s="1"/>
  <c r="N401" i="3"/>
  <c r="O401" i="3" s="1"/>
  <c r="Q401" i="3"/>
  <c r="R401" i="3"/>
  <c r="B402" i="3"/>
  <c r="U402" i="3" s="1"/>
  <c r="C402" i="3"/>
  <c r="S402" i="3" s="1"/>
  <c r="D402" i="3"/>
  <c r="I402" i="3"/>
  <c r="L402" i="3"/>
  <c r="M402" i="3"/>
  <c r="P402" i="3" s="1"/>
  <c r="N402" i="3"/>
  <c r="O402" i="3" s="1"/>
  <c r="Q402" i="3"/>
  <c r="R402" i="3"/>
  <c r="B403" i="3"/>
  <c r="U403" i="3" s="1"/>
  <c r="C403" i="3"/>
  <c r="S403" i="3" s="1"/>
  <c r="D403" i="3"/>
  <c r="I403" i="3"/>
  <c r="L403" i="3"/>
  <c r="M403" i="3"/>
  <c r="P403" i="3" s="1"/>
  <c r="N403" i="3"/>
  <c r="O403" i="3" s="1"/>
  <c r="Q403" i="3"/>
  <c r="R403" i="3"/>
  <c r="B404" i="3"/>
  <c r="U404" i="3" s="1"/>
  <c r="C404" i="3"/>
  <c r="S404" i="3" s="1"/>
  <c r="D404" i="3"/>
  <c r="I404" i="3"/>
  <c r="L404" i="3"/>
  <c r="M404" i="3"/>
  <c r="P404" i="3" s="1"/>
  <c r="N404" i="3"/>
  <c r="O404" i="3" s="1"/>
  <c r="Q404" i="3"/>
  <c r="R404" i="3"/>
  <c r="B405" i="3"/>
  <c r="C405" i="3"/>
  <c r="S405" i="3" s="1"/>
  <c r="D405" i="3"/>
  <c r="I405" i="3"/>
  <c r="L405" i="3"/>
  <c r="M405" i="3"/>
  <c r="P405" i="3" s="1"/>
  <c r="N405" i="3"/>
  <c r="O405" i="3" s="1"/>
  <c r="Q405" i="3"/>
  <c r="R405" i="3"/>
  <c r="B406" i="3"/>
  <c r="C406" i="3"/>
  <c r="S406" i="3" s="1"/>
  <c r="D406" i="3"/>
  <c r="I406" i="3"/>
  <c r="L406" i="3"/>
  <c r="M406" i="3"/>
  <c r="P406" i="3" s="1"/>
  <c r="N406" i="3"/>
  <c r="O406" i="3" s="1"/>
  <c r="Q406" i="3"/>
  <c r="R406" i="3"/>
  <c r="B407" i="3"/>
  <c r="U407" i="3" s="1"/>
  <c r="C407" i="3"/>
  <c r="S407" i="3" s="1"/>
  <c r="D407" i="3"/>
  <c r="I407" i="3"/>
  <c r="L407" i="3"/>
  <c r="M407" i="3"/>
  <c r="P407" i="3" s="1"/>
  <c r="N407" i="3"/>
  <c r="O407" i="3" s="1"/>
  <c r="Q407" i="3"/>
  <c r="R407" i="3"/>
  <c r="B408" i="3"/>
  <c r="U408" i="3" s="1"/>
  <c r="C408" i="3"/>
  <c r="S408" i="3" s="1"/>
  <c r="D408" i="3"/>
  <c r="I408" i="3"/>
  <c r="L408" i="3"/>
  <c r="M408" i="3"/>
  <c r="P408" i="3" s="1"/>
  <c r="N408" i="3"/>
  <c r="O408" i="3" s="1"/>
  <c r="Q408" i="3"/>
  <c r="R408" i="3"/>
  <c r="B409" i="3"/>
  <c r="C409" i="3"/>
  <c r="S409" i="3" s="1"/>
  <c r="D409" i="3"/>
  <c r="I409" i="3"/>
  <c r="L409" i="3"/>
  <c r="M409" i="3"/>
  <c r="P409" i="3" s="1"/>
  <c r="N409" i="3"/>
  <c r="O409" i="3" s="1"/>
  <c r="Q409" i="3"/>
  <c r="R409" i="3"/>
  <c r="B410" i="3"/>
  <c r="C410" i="3"/>
  <c r="S410" i="3" s="1"/>
  <c r="D410" i="3"/>
  <c r="I410" i="3"/>
  <c r="L410" i="3"/>
  <c r="M410" i="3"/>
  <c r="P410" i="3" s="1"/>
  <c r="N410" i="3"/>
  <c r="O410" i="3" s="1"/>
  <c r="Q410" i="3"/>
  <c r="R410" i="3"/>
  <c r="B411" i="3"/>
  <c r="C411" i="3"/>
  <c r="S411" i="3" s="1"/>
  <c r="D411" i="3"/>
  <c r="I411" i="3"/>
  <c r="L411" i="3"/>
  <c r="M411" i="3"/>
  <c r="P411" i="3" s="1"/>
  <c r="N411" i="3"/>
  <c r="O411" i="3" s="1"/>
  <c r="Q411" i="3"/>
  <c r="R411" i="3"/>
  <c r="B412" i="3"/>
  <c r="C412" i="3"/>
  <c r="S412" i="3" s="1"/>
  <c r="D412" i="3"/>
  <c r="I412" i="3"/>
  <c r="L412" i="3"/>
  <c r="M412" i="3"/>
  <c r="P412" i="3" s="1"/>
  <c r="N412" i="3"/>
  <c r="O412" i="3" s="1"/>
  <c r="Q412" i="3"/>
  <c r="R412" i="3"/>
  <c r="B413" i="3"/>
  <c r="U413" i="3" s="1"/>
  <c r="C413" i="3"/>
  <c r="S413" i="3" s="1"/>
  <c r="D413" i="3"/>
  <c r="I413" i="3"/>
  <c r="L413" i="3"/>
  <c r="M413" i="3"/>
  <c r="P413" i="3" s="1"/>
  <c r="N413" i="3"/>
  <c r="O413" i="3" s="1"/>
  <c r="Q413" i="3"/>
  <c r="R413" i="3"/>
  <c r="B414" i="3"/>
  <c r="C414" i="3"/>
  <c r="S414" i="3" s="1"/>
  <c r="D414" i="3"/>
  <c r="I414" i="3"/>
  <c r="L414" i="3"/>
  <c r="M414" i="3"/>
  <c r="P414" i="3" s="1"/>
  <c r="N414" i="3"/>
  <c r="O414" i="3" s="1"/>
  <c r="Q414" i="3"/>
  <c r="R414" i="3"/>
  <c r="B415" i="3"/>
  <c r="C415" i="3"/>
  <c r="S415" i="3" s="1"/>
  <c r="D415" i="3"/>
  <c r="I415" i="3"/>
  <c r="L415" i="3"/>
  <c r="M415" i="3"/>
  <c r="P415" i="3" s="1"/>
  <c r="N415" i="3"/>
  <c r="O415" i="3" s="1"/>
  <c r="Q415" i="3"/>
  <c r="R415" i="3"/>
  <c r="B416" i="3"/>
  <c r="C416" i="3"/>
  <c r="S416" i="3" s="1"/>
  <c r="D416" i="3"/>
  <c r="I416" i="3"/>
  <c r="L416" i="3"/>
  <c r="M416" i="3"/>
  <c r="P416" i="3" s="1"/>
  <c r="N416" i="3"/>
  <c r="O416" i="3" s="1"/>
  <c r="Q416" i="3"/>
  <c r="R416" i="3"/>
  <c r="B417" i="3"/>
  <c r="C417" i="3"/>
  <c r="S417" i="3" s="1"/>
  <c r="D417" i="3"/>
  <c r="I417" i="3"/>
  <c r="L417" i="3"/>
  <c r="M417" i="3"/>
  <c r="P417" i="3" s="1"/>
  <c r="N417" i="3"/>
  <c r="O417" i="3" s="1"/>
  <c r="Q417" i="3"/>
  <c r="R417" i="3"/>
  <c r="B418" i="3"/>
  <c r="C418" i="3"/>
  <c r="S418" i="3" s="1"/>
  <c r="D418" i="3"/>
  <c r="I418" i="3"/>
  <c r="L418" i="3"/>
  <c r="M418" i="3"/>
  <c r="P418" i="3" s="1"/>
  <c r="N418" i="3"/>
  <c r="O418" i="3" s="1"/>
  <c r="Q418" i="3"/>
  <c r="R418" i="3"/>
  <c r="B419" i="3"/>
  <c r="C419" i="3"/>
  <c r="S419" i="3" s="1"/>
  <c r="D419" i="3"/>
  <c r="I419" i="3"/>
  <c r="L419" i="3"/>
  <c r="M419" i="3"/>
  <c r="P419" i="3" s="1"/>
  <c r="N419" i="3"/>
  <c r="O419" i="3" s="1"/>
  <c r="Q419" i="3"/>
  <c r="R419" i="3"/>
  <c r="B420" i="3"/>
  <c r="C420" i="3"/>
  <c r="S420" i="3" s="1"/>
  <c r="D420" i="3"/>
  <c r="I420" i="3"/>
  <c r="L420" i="3"/>
  <c r="M420" i="3"/>
  <c r="P420" i="3" s="1"/>
  <c r="N420" i="3"/>
  <c r="O420" i="3" s="1"/>
  <c r="Q420" i="3"/>
  <c r="R420" i="3"/>
  <c r="B421" i="3"/>
  <c r="C421" i="3"/>
  <c r="S421" i="3" s="1"/>
  <c r="D421" i="3"/>
  <c r="I421" i="3"/>
  <c r="L421" i="3"/>
  <c r="M421" i="3"/>
  <c r="P421" i="3" s="1"/>
  <c r="N421" i="3"/>
  <c r="O421" i="3" s="1"/>
  <c r="Q421" i="3"/>
  <c r="R421" i="3"/>
  <c r="B422" i="3"/>
  <c r="C422" i="3"/>
  <c r="S422" i="3" s="1"/>
  <c r="D422" i="3"/>
  <c r="I422" i="3"/>
  <c r="L422" i="3"/>
  <c r="M422" i="3"/>
  <c r="P422" i="3" s="1"/>
  <c r="N422" i="3"/>
  <c r="O422" i="3" s="1"/>
  <c r="Q422" i="3"/>
  <c r="R422" i="3"/>
  <c r="B423" i="3"/>
  <c r="U423" i="3" s="1"/>
  <c r="C423" i="3"/>
  <c r="S423" i="3" s="1"/>
  <c r="D423" i="3"/>
  <c r="I423" i="3"/>
  <c r="L423" i="3"/>
  <c r="M423" i="3"/>
  <c r="P423" i="3" s="1"/>
  <c r="N423" i="3"/>
  <c r="O423" i="3" s="1"/>
  <c r="Q423" i="3"/>
  <c r="R423" i="3"/>
  <c r="B424" i="3"/>
  <c r="C424" i="3"/>
  <c r="S424" i="3" s="1"/>
  <c r="D424" i="3"/>
  <c r="I424" i="3"/>
  <c r="L424" i="3"/>
  <c r="M424" i="3"/>
  <c r="P424" i="3" s="1"/>
  <c r="N424" i="3"/>
  <c r="O424" i="3" s="1"/>
  <c r="Q424" i="3"/>
  <c r="R424" i="3"/>
  <c r="B425" i="3"/>
  <c r="C425" i="3"/>
  <c r="S425" i="3" s="1"/>
  <c r="D425" i="3"/>
  <c r="I425" i="3"/>
  <c r="L425" i="3"/>
  <c r="M425" i="3"/>
  <c r="P425" i="3" s="1"/>
  <c r="N425" i="3"/>
  <c r="O425" i="3" s="1"/>
  <c r="Q425" i="3"/>
  <c r="R425" i="3"/>
  <c r="B426" i="3"/>
  <c r="C426" i="3"/>
  <c r="S426" i="3" s="1"/>
  <c r="D426" i="3"/>
  <c r="I426" i="3"/>
  <c r="L426" i="3"/>
  <c r="M426" i="3"/>
  <c r="P426" i="3" s="1"/>
  <c r="N426" i="3"/>
  <c r="O426" i="3" s="1"/>
  <c r="Q426" i="3"/>
  <c r="R426" i="3"/>
  <c r="B427" i="3"/>
  <c r="C427" i="3"/>
  <c r="S427" i="3" s="1"/>
  <c r="D427" i="3"/>
  <c r="I427" i="3"/>
  <c r="L427" i="3"/>
  <c r="M427" i="3"/>
  <c r="P427" i="3" s="1"/>
  <c r="N427" i="3"/>
  <c r="O427" i="3" s="1"/>
  <c r="Q427" i="3"/>
  <c r="R427" i="3"/>
  <c r="B428" i="3"/>
  <c r="C428" i="3"/>
  <c r="S428" i="3" s="1"/>
  <c r="D428" i="3"/>
  <c r="I428" i="3"/>
  <c r="L428" i="3"/>
  <c r="M428" i="3"/>
  <c r="P428" i="3" s="1"/>
  <c r="N428" i="3"/>
  <c r="O428" i="3" s="1"/>
  <c r="Q428" i="3"/>
  <c r="R428" i="3"/>
  <c r="B429" i="3"/>
  <c r="C429" i="3"/>
  <c r="S429" i="3" s="1"/>
  <c r="D429" i="3"/>
  <c r="I429" i="3"/>
  <c r="L429" i="3"/>
  <c r="M429" i="3"/>
  <c r="P429" i="3" s="1"/>
  <c r="N429" i="3"/>
  <c r="O429" i="3" s="1"/>
  <c r="Q429" i="3"/>
  <c r="R429" i="3"/>
  <c r="B430" i="3"/>
  <c r="U430" i="3" s="1"/>
  <c r="C430" i="3"/>
  <c r="S430" i="3" s="1"/>
  <c r="D430" i="3"/>
  <c r="I430" i="3"/>
  <c r="L430" i="3"/>
  <c r="M430" i="3"/>
  <c r="P430" i="3" s="1"/>
  <c r="N430" i="3"/>
  <c r="O430" i="3" s="1"/>
  <c r="Q430" i="3"/>
  <c r="R430" i="3"/>
  <c r="B431" i="3"/>
  <c r="C431" i="3"/>
  <c r="S431" i="3" s="1"/>
  <c r="D431" i="3"/>
  <c r="I431" i="3"/>
  <c r="L431" i="3"/>
  <c r="M431" i="3"/>
  <c r="P431" i="3" s="1"/>
  <c r="N431" i="3"/>
  <c r="O431" i="3" s="1"/>
  <c r="Q431" i="3"/>
  <c r="R431" i="3"/>
  <c r="B432" i="3"/>
  <c r="U432" i="3" s="1"/>
  <c r="C432" i="3"/>
  <c r="S432" i="3" s="1"/>
  <c r="D432" i="3"/>
  <c r="I432" i="3"/>
  <c r="L432" i="3"/>
  <c r="M432" i="3"/>
  <c r="P432" i="3" s="1"/>
  <c r="N432" i="3"/>
  <c r="O432" i="3" s="1"/>
  <c r="Q432" i="3"/>
  <c r="R432" i="3"/>
  <c r="B433" i="3"/>
  <c r="U433" i="3" s="1"/>
  <c r="C433" i="3"/>
  <c r="S433" i="3" s="1"/>
  <c r="D433" i="3"/>
  <c r="I433" i="3"/>
  <c r="L433" i="3"/>
  <c r="M433" i="3"/>
  <c r="P433" i="3" s="1"/>
  <c r="N433" i="3"/>
  <c r="O433" i="3" s="1"/>
  <c r="Q433" i="3"/>
  <c r="R433" i="3"/>
  <c r="B434" i="3"/>
  <c r="C434" i="3"/>
  <c r="S434" i="3" s="1"/>
  <c r="D434" i="3"/>
  <c r="I434" i="3"/>
  <c r="L434" i="3"/>
  <c r="M434" i="3"/>
  <c r="P434" i="3" s="1"/>
  <c r="N434" i="3"/>
  <c r="O434" i="3" s="1"/>
  <c r="Q434" i="3"/>
  <c r="R434" i="3"/>
  <c r="B435" i="3"/>
  <c r="C435" i="3"/>
  <c r="S435" i="3" s="1"/>
  <c r="D435" i="3"/>
  <c r="I435" i="3"/>
  <c r="L435" i="3"/>
  <c r="M435" i="3"/>
  <c r="P435" i="3" s="1"/>
  <c r="N435" i="3"/>
  <c r="O435" i="3" s="1"/>
  <c r="Q435" i="3"/>
  <c r="R435" i="3"/>
  <c r="B436" i="3"/>
  <c r="C436" i="3"/>
  <c r="S436" i="3" s="1"/>
  <c r="D436" i="3"/>
  <c r="H436" i="3"/>
  <c r="I436" i="3" s="1"/>
  <c r="L436" i="3"/>
  <c r="M436" i="3"/>
  <c r="P436" i="3" s="1"/>
  <c r="N436" i="3"/>
  <c r="O436" i="3" s="1"/>
  <c r="Q436" i="3"/>
  <c r="R436" i="3"/>
  <c r="B437" i="3"/>
  <c r="C437" i="3"/>
  <c r="S437" i="3" s="1"/>
  <c r="D437" i="3"/>
  <c r="I437" i="3"/>
  <c r="L437" i="3"/>
  <c r="M437" i="3"/>
  <c r="P437" i="3" s="1"/>
  <c r="N437" i="3"/>
  <c r="O437" i="3" s="1"/>
  <c r="Q437" i="3"/>
  <c r="R437" i="3"/>
  <c r="B438" i="3"/>
  <c r="C438" i="3"/>
  <c r="S438" i="3" s="1"/>
  <c r="D438" i="3"/>
  <c r="I438" i="3"/>
  <c r="L438" i="3"/>
  <c r="M438" i="3"/>
  <c r="P438" i="3" s="1"/>
  <c r="N438" i="3"/>
  <c r="O438" i="3" s="1"/>
  <c r="Q438" i="3"/>
  <c r="R438" i="3"/>
  <c r="B439" i="3"/>
  <c r="C439" i="3"/>
  <c r="S439" i="3" s="1"/>
  <c r="D439" i="3"/>
  <c r="I439" i="3"/>
  <c r="L439" i="3"/>
  <c r="M439" i="3"/>
  <c r="P439" i="3" s="1"/>
  <c r="N439" i="3"/>
  <c r="O439" i="3" s="1"/>
  <c r="Q439" i="3"/>
  <c r="R439" i="3"/>
  <c r="B440" i="3"/>
  <c r="C440" i="3"/>
  <c r="S440" i="3" s="1"/>
  <c r="D440" i="3"/>
  <c r="I440" i="3"/>
  <c r="L440" i="3"/>
  <c r="M440" i="3"/>
  <c r="P440" i="3" s="1"/>
  <c r="N440" i="3"/>
  <c r="O440" i="3" s="1"/>
  <c r="Q440" i="3"/>
  <c r="R440" i="3"/>
  <c r="B441" i="3"/>
  <c r="C441" i="3"/>
  <c r="S441" i="3" s="1"/>
  <c r="D441" i="3"/>
  <c r="I441" i="3"/>
  <c r="L441" i="3"/>
  <c r="M441" i="3"/>
  <c r="P441" i="3" s="1"/>
  <c r="N441" i="3"/>
  <c r="O441" i="3" s="1"/>
  <c r="Q441" i="3"/>
  <c r="R441" i="3"/>
  <c r="B442" i="3"/>
  <c r="C442" i="3"/>
  <c r="S442" i="3" s="1"/>
  <c r="D442" i="3"/>
  <c r="I442" i="3"/>
  <c r="L442" i="3"/>
  <c r="M442" i="3"/>
  <c r="P442" i="3" s="1"/>
  <c r="N442" i="3"/>
  <c r="O442" i="3" s="1"/>
  <c r="Q442" i="3"/>
  <c r="R442" i="3"/>
  <c r="B443" i="3"/>
  <c r="C443" i="3"/>
  <c r="S443" i="3" s="1"/>
  <c r="D443" i="3"/>
  <c r="I443" i="3"/>
  <c r="L443" i="3"/>
  <c r="M443" i="3"/>
  <c r="P443" i="3" s="1"/>
  <c r="N443" i="3"/>
  <c r="O443" i="3" s="1"/>
  <c r="Q443" i="3"/>
  <c r="R443" i="3"/>
  <c r="B444" i="3"/>
  <c r="U444" i="3" s="1"/>
  <c r="C444" i="3"/>
  <c r="S444" i="3" s="1"/>
  <c r="D444" i="3"/>
  <c r="I444" i="3"/>
  <c r="L444" i="3"/>
  <c r="M444" i="3"/>
  <c r="P444" i="3" s="1"/>
  <c r="N444" i="3"/>
  <c r="O444" i="3" s="1"/>
  <c r="Q444" i="3"/>
  <c r="R444" i="3"/>
  <c r="B445" i="3"/>
  <c r="C445" i="3"/>
  <c r="S445" i="3" s="1"/>
  <c r="D445" i="3"/>
  <c r="I445" i="3"/>
  <c r="L445" i="3"/>
  <c r="M445" i="3"/>
  <c r="P445" i="3" s="1"/>
  <c r="N445" i="3"/>
  <c r="O445" i="3" s="1"/>
  <c r="Q445" i="3"/>
  <c r="R445" i="3"/>
  <c r="B446" i="3"/>
  <c r="C446" i="3"/>
  <c r="S446" i="3" s="1"/>
  <c r="D446" i="3"/>
  <c r="I446" i="3"/>
  <c r="L446" i="3"/>
  <c r="M446" i="3"/>
  <c r="P446" i="3" s="1"/>
  <c r="N446" i="3"/>
  <c r="O446" i="3" s="1"/>
  <c r="Q446" i="3"/>
  <c r="R446" i="3"/>
  <c r="B447" i="3"/>
  <c r="U447" i="3" s="1"/>
  <c r="C447" i="3"/>
  <c r="S447" i="3" s="1"/>
  <c r="D447" i="3"/>
  <c r="I447" i="3"/>
  <c r="L447" i="3"/>
  <c r="M447" i="3"/>
  <c r="P447" i="3" s="1"/>
  <c r="N447" i="3"/>
  <c r="O447" i="3" s="1"/>
  <c r="Q447" i="3"/>
  <c r="R447" i="3"/>
  <c r="B448" i="3"/>
  <c r="U448" i="3" s="1"/>
  <c r="C448" i="3"/>
  <c r="S448" i="3" s="1"/>
  <c r="D448" i="3"/>
  <c r="I448" i="3"/>
  <c r="L448" i="3"/>
  <c r="M448" i="3"/>
  <c r="P448" i="3" s="1"/>
  <c r="N448" i="3"/>
  <c r="O448" i="3" s="1"/>
  <c r="Q448" i="3"/>
  <c r="R448" i="3"/>
  <c r="B449" i="3"/>
  <c r="C449" i="3"/>
  <c r="S449" i="3" s="1"/>
  <c r="D449" i="3"/>
  <c r="I449" i="3"/>
  <c r="L449" i="3"/>
  <c r="M449" i="3"/>
  <c r="P449" i="3" s="1"/>
  <c r="N449" i="3"/>
  <c r="O449" i="3" s="1"/>
  <c r="Q449" i="3"/>
  <c r="R449" i="3"/>
  <c r="B450" i="3"/>
  <c r="U450" i="3" s="1"/>
  <c r="C450" i="3"/>
  <c r="S450" i="3" s="1"/>
  <c r="D450" i="3"/>
  <c r="I450" i="3"/>
  <c r="L450" i="3"/>
  <c r="M450" i="3"/>
  <c r="P450" i="3" s="1"/>
  <c r="N450" i="3"/>
  <c r="O450" i="3" s="1"/>
  <c r="Q450" i="3"/>
  <c r="R450" i="3"/>
  <c r="B451" i="3"/>
  <c r="U451" i="3" s="1"/>
  <c r="C451" i="3"/>
  <c r="S451" i="3" s="1"/>
  <c r="D451" i="3"/>
  <c r="I451" i="3"/>
  <c r="L451" i="3"/>
  <c r="M451" i="3"/>
  <c r="P451" i="3" s="1"/>
  <c r="N451" i="3"/>
  <c r="O451" i="3" s="1"/>
  <c r="Q451" i="3"/>
  <c r="R451" i="3"/>
  <c r="B452" i="3"/>
  <c r="C452" i="3"/>
  <c r="S452" i="3" s="1"/>
  <c r="D452" i="3"/>
  <c r="I452" i="3"/>
  <c r="L452" i="3"/>
  <c r="M452" i="3"/>
  <c r="P452" i="3" s="1"/>
  <c r="N452" i="3"/>
  <c r="O452" i="3" s="1"/>
  <c r="Q452" i="3"/>
  <c r="R452" i="3"/>
  <c r="B453" i="3"/>
  <c r="U453" i="3" s="1"/>
  <c r="C453" i="3"/>
  <c r="S453" i="3" s="1"/>
  <c r="D453" i="3"/>
  <c r="I453" i="3"/>
  <c r="L453" i="3"/>
  <c r="M453" i="3"/>
  <c r="P453" i="3" s="1"/>
  <c r="N453" i="3"/>
  <c r="O453" i="3" s="1"/>
  <c r="Q453" i="3"/>
  <c r="R453" i="3"/>
  <c r="B454" i="3"/>
  <c r="C454" i="3"/>
  <c r="S454" i="3" s="1"/>
  <c r="D454" i="3"/>
  <c r="I454" i="3"/>
  <c r="L454" i="3"/>
  <c r="M454" i="3"/>
  <c r="P454" i="3" s="1"/>
  <c r="N454" i="3"/>
  <c r="O454" i="3" s="1"/>
  <c r="Q454" i="3"/>
  <c r="R454" i="3"/>
  <c r="B455" i="3"/>
  <c r="C455" i="3"/>
  <c r="S455" i="3" s="1"/>
  <c r="D455" i="3"/>
  <c r="I455" i="3"/>
  <c r="L455" i="3"/>
  <c r="M455" i="3"/>
  <c r="P455" i="3" s="1"/>
  <c r="N455" i="3"/>
  <c r="O455" i="3" s="1"/>
  <c r="Q455" i="3"/>
  <c r="R455" i="3"/>
  <c r="B456" i="3"/>
  <c r="U456" i="3" s="1"/>
  <c r="C456" i="3"/>
  <c r="S456" i="3" s="1"/>
  <c r="D456" i="3"/>
  <c r="I456" i="3"/>
  <c r="L456" i="3"/>
  <c r="M456" i="3"/>
  <c r="P456" i="3" s="1"/>
  <c r="N456" i="3"/>
  <c r="O456" i="3" s="1"/>
  <c r="Q456" i="3"/>
  <c r="R456" i="3"/>
  <c r="B457" i="3"/>
  <c r="U457" i="3" s="1"/>
  <c r="C457" i="3"/>
  <c r="S457" i="3" s="1"/>
  <c r="D457" i="3"/>
  <c r="I457" i="3"/>
  <c r="L457" i="3"/>
  <c r="M457" i="3"/>
  <c r="P457" i="3" s="1"/>
  <c r="N457" i="3"/>
  <c r="O457" i="3" s="1"/>
  <c r="Q457" i="3"/>
  <c r="R457" i="3"/>
  <c r="B458" i="3"/>
  <c r="U458" i="3" s="1"/>
  <c r="C458" i="3"/>
  <c r="S458" i="3" s="1"/>
  <c r="D458" i="3"/>
  <c r="I458" i="3"/>
  <c r="L458" i="3"/>
  <c r="M458" i="3"/>
  <c r="P458" i="3" s="1"/>
  <c r="N458" i="3"/>
  <c r="O458" i="3" s="1"/>
  <c r="Q458" i="3"/>
  <c r="R458" i="3"/>
  <c r="B459" i="3"/>
  <c r="C459" i="3"/>
  <c r="S459" i="3" s="1"/>
  <c r="D459" i="3"/>
  <c r="I459" i="3"/>
  <c r="L459" i="3"/>
  <c r="M459" i="3"/>
  <c r="P459" i="3" s="1"/>
  <c r="N459" i="3"/>
  <c r="O459" i="3" s="1"/>
  <c r="Q459" i="3"/>
  <c r="R459" i="3"/>
  <c r="B460" i="3"/>
  <c r="U460" i="3" s="1"/>
  <c r="C460" i="3"/>
  <c r="S460" i="3" s="1"/>
  <c r="D460" i="3"/>
  <c r="I460" i="3"/>
  <c r="L460" i="3"/>
  <c r="M460" i="3"/>
  <c r="P460" i="3" s="1"/>
  <c r="N460" i="3"/>
  <c r="O460" i="3" s="1"/>
  <c r="Q460" i="3"/>
  <c r="R460" i="3"/>
  <c r="B461" i="3"/>
  <c r="U461" i="3" s="1"/>
  <c r="C461" i="3"/>
  <c r="S461" i="3" s="1"/>
  <c r="D461" i="3"/>
  <c r="I461" i="3"/>
  <c r="L461" i="3"/>
  <c r="M461" i="3"/>
  <c r="P461" i="3" s="1"/>
  <c r="N461" i="3"/>
  <c r="O461" i="3" s="1"/>
  <c r="Q461" i="3"/>
  <c r="R461" i="3"/>
  <c r="B462" i="3"/>
  <c r="C462" i="3"/>
  <c r="S462" i="3" s="1"/>
  <c r="D462" i="3"/>
  <c r="I462" i="3"/>
  <c r="L462" i="3"/>
  <c r="M462" i="3"/>
  <c r="P462" i="3" s="1"/>
  <c r="N462" i="3"/>
  <c r="O462" i="3" s="1"/>
  <c r="Q462" i="3"/>
  <c r="R462" i="3"/>
  <c r="B463" i="3"/>
  <c r="C463" i="3"/>
  <c r="S463" i="3" s="1"/>
  <c r="D463" i="3"/>
  <c r="I463" i="3"/>
  <c r="L463" i="3"/>
  <c r="M463" i="3"/>
  <c r="P463" i="3" s="1"/>
  <c r="N463" i="3"/>
  <c r="O463" i="3" s="1"/>
  <c r="Q463" i="3"/>
  <c r="R463" i="3"/>
  <c r="B464" i="3"/>
  <c r="U464" i="3" s="1"/>
  <c r="C464" i="3"/>
  <c r="S464" i="3" s="1"/>
  <c r="D464" i="3"/>
  <c r="I464" i="3"/>
  <c r="L464" i="3"/>
  <c r="M464" i="3"/>
  <c r="P464" i="3" s="1"/>
  <c r="N464" i="3"/>
  <c r="O464" i="3" s="1"/>
  <c r="Q464" i="3"/>
  <c r="R464" i="3"/>
  <c r="B465" i="3"/>
  <c r="U465" i="3" s="1"/>
  <c r="C465" i="3"/>
  <c r="S465" i="3" s="1"/>
  <c r="D465" i="3"/>
  <c r="I465" i="3"/>
  <c r="L465" i="3"/>
  <c r="M465" i="3"/>
  <c r="P465" i="3" s="1"/>
  <c r="N465" i="3"/>
  <c r="O465" i="3" s="1"/>
  <c r="Q465" i="3"/>
  <c r="R465" i="3"/>
  <c r="B466" i="3"/>
  <c r="U466" i="3" s="1"/>
  <c r="C466" i="3"/>
  <c r="S466" i="3" s="1"/>
  <c r="D466" i="3"/>
  <c r="I466" i="3"/>
  <c r="L466" i="3"/>
  <c r="M466" i="3"/>
  <c r="P466" i="3" s="1"/>
  <c r="N466" i="3"/>
  <c r="O466" i="3" s="1"/>
  <c r="Q466" i="3"/>
  <c r="R466" i="3"/>
  <c r="B467" i="3"/>
  <c r="U467" i="3" s="1"/>
  <c r="C467" i="3"/>
  <c r="S467" i="3" s="1"/>
  <c r="D467" i="3"/>
  <c r="I467" i="3"/>
  <c r="L467" i="3"/>
  <c r="M467" i="3"/>
  <c r="P467" i="3" s="1"/>
  <c r="N467" i="3"/>
  <c r="O467" i="3" s="1"/>
  <c r="Q467" i="3"/>
  <c r="R467" i="3"/>
  <c r="B468" i="3"/>
  <c r="U468" i="3" s="1"/>
  <c r="C468" i="3"/>
  <c r="S468" i="3" s="1"/>
  <c r="D468" i="3"/>
  <c r="I468" i="3"/>
  <c r="L468" i="3"/>
  <c r="M468" i="3"/>
  <c r="P468" i="3" s="1"/>
  <c r="N468" i="3"/>
  <c r="O468" i="3" s="1"/>
  <c r="Q468" i="3"/>
  <c r="R468" i="3"/>
  <c r="B469" i="3"/>
  <c r="U469" i="3" s="1"/>
  <c r="C469" i="3"/>
  <c r="S469" i="3" s="1"/>
  <c r="D469" i="3"/>
  <c r="I469" i="3"/>
  <c r="L469" i="3"/>
  <c r="M469" i="3"/>
  <c r="P469" i="3" s="1"/>
  <c r="N469" i="3"/>
  <c r="O469" i="3" s="1"/>
  <c r="Q469" i="3"/>
  <c r="R469" i="3"/>
  <c r="B470" i="3"/>
  <c r="C470" i="3"/>
  <c r="S470" i="3" s="1"/>
  <c r="D470" i="3"/>
  <c r="I470" i="3"/>
  <c r="L470" i="3"/>
  <c r="M470" i="3"/>
  <c r="P470" i="3" s="1"/>
  <c r="N470" i="3"/>
  <c r="O470" i="3" s="1"/>
  <c r="Q470" i="3"/>
  <c r="R470" i="3"/>
  <c r="B471" i="3"/>
  <c r="C471" i="3"/>
  <c r="S471" i="3" s="1"/>
  <c r="D471" i="3"/>
  <c r="I471" i="3"/>
  <c r="L471" i="3"/>
  <c r="M471" i="3"/>
  <c r="P471" i="3" s="1"/>
  <c r="N471" i="3"/>
  <c r="O471" i="3" s="1"/>
  <c r="Q471" i="3"/>
  <c r="R471" i="3"/>
  <c r="B472" i="3"/>
  <c r="U472" i="3" s="1"/>
  <c r="C472" i="3"/>
  <c r="S472" i="3" s="1"/>
  <c r="D472" i="3"/>
  <c r="I472" i="3"/>
  <c r="L472" i="3"/>
  <c r="M472" i="3"/>
  <c r="P472" i="3" s="1"/>
  <c r="N472" i="3"/>
  <c r="O472" i="3" s="1"/>
  <c r="Q472" i="3"/>
  <c r="R472" i="3"/>
  <c r="B473" i="3"/>
  <c r="U473" i="3" s="1"/>
  <c r="C473" i="3"/>
  <c r="S473" i="3" s="1"/>
  <c r="D473" i="3"/>
  <c r="I473" i="3"/>
  <c r="L473" i="3"/>
  <c r="M473" i="3"/>
  <c r="P473" i="3" s="1"/>
  <c r="N473" i="3"/>
  <c r="O473" i="3" s="1"/>
  <c r="Q473" i="3"/>
  <c r="R473" i="3"/>
  <c r="B474" i="3"/>
  <c r="U474" i="3" s="1"/>
  <c r="C474" i="3"/>
  <c r="S474" i="3" s="1"/>
  <c r="D474" i="3"/>
  <c r="I474" i="3"/>
  <c r="L474" i="3"/>
  <c r="M474" i="3"/>
  <c r="P474" i="3" s="1"/>
  <c r="N474" i="3"/>
  <c r="O474" i="3" s="1"/>
  <c r="Q474" i="3"/>
  <c r="R474" i="3"/>
  <c r="B475" i="3"/>
  <c r="U475" i="3" s="1"/>
  <c r="C475" i="3"/>
  <c r="S475" i="3" s="1"/>
  <c r="D475" i="3"/>
  <c r="I475" i="3"/>
  <c r="L475" i="3"/>
  <c r="M475" i="3"/>
  <c r="P475" i="3" s="1"/>
  <c r="N475" i="3"/>
  <c r="O475" i="3" s="1"/>
  <c r="Q475" i="3"/>
  <c r="R475" i="3"/>
  <c r="B476" i="3"/>
  <c r="U476" i="3" s="1"/>
  <c r="C476" i="3"/>
  <c r="S476" i="3" s="1"/>
  <c r="D476" i="3"/>
  <c r="H476" i="3"/>
  <c r="I476" i="3" s="1"/>
  <c r="L476" i="3"/>
  <c r="M476" i="3"/>
  <c r="P476" i="3" s="1"/>
  <c r="N476" i="3"/>
  <c r="O476" i="3" s="1"/>
  <c r="Q476" i="3"/>
  <c r="R476" i="3"/>
  <c r="B477" i="3"/>
  <c r="U477" i="3" s="1"/>
  <c r="C477" i="3"/>
  <c r="S477" i="3" s="1"/>
  <c r="D477" i="3"/>
  <c r="I477" i="3"/>
  <c r="L477" i="3"/>
  <c r="M477" i="3"/>
  <c r="P477" i="3" s="1"/>
  <c r="N477" i="3"/>
  <c r="O477" i="3" s="1"/>
  <c r="Q477" i="3"/>
  <c r="R477" i="3"/>
  <c r="B478" i="3"/>
  <c r="C478" i="3"/>
  <c r="S478" i="3" s="1"/>
  <c r="D478" i="3"/>
  <c r="I478" i="3"/>
  <c r="L478" i="3"/>
  <c r="M478" i="3"/>
  <c r="P478" i="3" s="1"/>
  <c r="N478" i="3"/>
  <c r="O478" i="3" s="1"/>
  <c r="Q478" i="3"/>
  <c r="R478" i="3"/>
  <c r="B479" i="3"/>
  <c r="U479" i="3" s="1"/>
  <c r="C479" i="3"/>
  <c r="S479" i="3" s="1"/>
  <c r="D479" i="3"/>
  <c r="I479" i="3"/>
  <c r="L479" i="3"/>
  <c r="M479" i="3"/>
  <c r="P479" i="3" s="1"/>
  <c r="N479" i="3"/>
  <c r="O479" i="3" s="1"/>
  <c r="Q479" i="3"/>
  <c r="R479" i="3"/>
  <c r="B480" i="3"/>
  <c r="C480" i="3"/>
  <c r="S480" i="3" s="1"/>
  <c r="D480" i="3"/>
  <c r="I480" i="3"/>
  <c r="L480" i="3"/>
  <c r="M480" i="3"/>
  <c r="P480" i="3" s="1"/>
  <c r="N480" i="3"/>
  <c r="O480" i="3" s="1"/>
  <c r="Q480" i="3"/>
  <c r="R480" i="3"/>
  <c r="B481" i="3"/>
  <c r="U481" i="3" s="1"/>
  <c r="C481" i="3"/>
  <c r="S481" i="3" s="1"/>
  <c r="D481" i="3"/>
  <c r="I481" i="3"/>
  <c r="L481" i="3"/>
  <c r="M481" i="3"/>
  <c r="P481" i="3" s="1"/>
  <c r="N481" i="3"/>
  <c r="O481" i="3" s="1"/>
  <c r="Q481" i="3"/>
  <c r="R481" i="3"/>
  <c r="B482" i="3"/>
  <c r="C482" i="3"/>
  <c r="S482" i="3" s="1"/>
  <c r="D482" i="3"/>
  <c r="H482" i="3"/>
  <c r="I482" i="3" s="1"/>
  <c r="L482" i="3"/>
  <c r="M482" i="3"/>
  <c r="P482" i="3" s="1"/>
  <c r="N482" i="3"/>
  <c r="O482" i="3" s="1"/>
  <c r="Q482" i="3"/>
  <c r="R482" i="3"/>
  <c r="B483" i="3"/>
  <c r="U483" i="3" s="1"/>
  <c r="C483" i="3"/>
  <c r="S483" i="3" s="1"/>
  <c r="D483" i="3"/>
  <c r="I483" i="3"/>
  <c r="L483" i="3"/>
  <c r="M483" i="3"/>
  <c r="P483" i="3" s="1"/>
  <c r="N483" i="3"/>
  <c r="O483" i="3" s="1"/>
  <c r="Q483" i="3"/>
  <c r="R483" i="3"/>
  <c r="B484" i="3"/>
  <c r="C484" i="3"/>
  <c r="S484" i="3" s="1"/>
  <c r="D484" i="3"/>
  <c r="I484" i="3"/>
  <c r="L484" i="3"/>
  <c r="M484" i="3"/>
  <c r="P484" i="3" s="1"/>
  <c r="N484" i="3"/>
  <c r="O484" i="3" s="1"/>
  <c r="Q484" i="3"/>
  <c r="R484" i="3"/>
  <c r="B485" i="3"/>
  <c r="C485" i="3"/>
  <c r="S485" i="3" s="1"/>
  <c r="D485" i="3"/>
  <c r="I485" i="3"/>
  <c r="L485" i="3"/>
  <c r="M485" i="3"/>
  <c r="P485" i="3" s="1"/>
  <c r="N485" i="3"/>
  <c r="O485" i="3" s="1"/>
  <c r="Q485" i="3"/>
  <c r="R485" i="3"/>
  <c r="B486" i="3"/>
  <c r="C486" i="3"/>
  <c r="S486" i="3" s="1"/>
  <c r="D486" i="3"/>
  <c r="I486" i="3"/>
  <c r="L486" i="3"/>
  <c r="M486" i="3"/>
  <c r="P486" i="3" s="1"/>
  <c r="N486" i="3"/>
  <c r="O486" i="3" s="1"/>
  <c r="Q486" i="3"/>
  <c r="R486" i="3"/>
  <c r="B487" i="3"/>
  <c r="C487" i="3"/>
  <c r="S487" i="3" s="1"/>
  <c r="D487" i="3"/>
  <c r="I487" i="3"/>
  <c r="L487" i="3"/>
  <c r="M487" i="3"/>
  <c r="P487" i="3" s="1"/>
  <c r="N487" i="3"/>
  <c r="O487" i="3" s="1"/>
  <c r="Q487" i="3"/>
  <c r="R487" i="3"/>
  <c r="B488" i="3"/>
  <c r="U488" i="3" s="1"/>
  <c r="C488" i="3"/>
  <c r="S488" i="3" s="1"/>
  <c r="D488" i="3"/>
  <c r="I488" i="3"/>
  <c r="L488" i="3"/>
  <c r="M488" i="3"/>
  <c r="P488" i="3" s="1"/>
  <c r="N488" i="3"/>
  <c r="O488" i="3" s="1"/>
  <c r="Q488" i="3"/>
  <c r="R488" i="3"/>
  <c r="B489" i="3"/>
  <c r="U489" i="3" s="1"/>
  <c r="C489" i="3"/>
  <c r="S489" i="3" s="1"/>
  <c r="D489" i="3"/>
  <c r="I489" i="3"/>
  <c r="L489" i="3"/>
  <c r="M489" i="3"/>
  <c r="P489" i="3" s="1"/>
  <c r="N489" i="3"/>
  <c r="O489" i="3" s="1"/>
  <c r="Q489" i="3"/>
  <c r="R489" i="3"/>
  <c r="B490" i="3"/>
  <c r="C490" i="3"/>
  <c r="S490" i="3" s="1"/>
  <c r="D490" i="3"/>
  <c r="I490" i="3"/>
  <c r="L490" i="3"/>
  <c r="M490" i="3"/>
  <c r="P490" i="3" s="1"/>
  <c r="N490" i="3"/>
  <c r="O490" i="3" s="1"/>
  <c r="Q490" i="3"/>
  <c r="R490" i="3"/>
  <c r="B491" i="3"/>
  <c r="C491" i="3"/>
  <c r="S491" i="3" s="1"/>
  <c r="D491" i="3"/>
  <c r="I491" i="3"/>
  <c r="L491" i="3"/>
  <c r="M491" i="3"/>
  <c r="P491" i="3" s="1"/>
  <c r="N491" i="3"/>
  <c r="O491" i="3" s="1"/>
  <c r="Q491" i="3"/>
  <c r="R491" i="3"/>
  <c r="B492" i="3"/>
  <c r="C492" i="3"/>
  <c r="S492" i="3" s="1"/>
  <c r="D492" i="3"/>
  <c r="I492" i="3"/>
  <c r="L492" i="3"/>
  <c r="M492" i="3"/>
  <c r="P492" i="3" s="1"/>
  <c r="N492" i="3"/>
  <c r="O492" i="3" s="1"/>
  <c r="Q492" i="3"/>
  <c r="R492" i="3"/>
  <c r="B493" i="3"/>
  <c r="U493" i="3" s="1"/>
  <c r="C493" i="3"/>
  <c r="S493" i="3" s="1"/>
  <c r="D493" i="3"/>
  <c r="H493" i="3"/>
  <c r="I493" i="3" s="1"/>
  <c r="L493" i="3"/>
  <c r="M493" i="3"/>
  <c r="P493" i="3" s="1"/>
  <c r="N493" i="3"/>
  <c r="O493" i="3" s="1"/>
  <c r="Q493" i="3"/>
  <c r="R493" i="3"/>
  <c r="B494" i="3"/>
  <c r="U494" i="3" s="1"/>
  <c r="C494" i="3"/>
  <c r="S494" i="3" s="1"/>
  <c r="D494" i="3"/>
  <c r="I494" i="3"/>
  <c r="L494" i="3"/>
  <c r="M494" i="3"/>
  <c r="P494" i="3" s="1"/>
  <c r="N494" i="3"/>
  <c r="O494" i="3" s="1"/>
  <c r="Q494" i="3"/>
  <c r="R494" i="3"/>
  <c r="B495" i="3"/>
  <c r="U495" i="3" s="1"/>
  <c r="C495" i="3"/>
  <c r="S495" i="3" s="1"/>
  <c r="D495" i="3"/>
  <c r="H495" i="3"/>
  <c r="I495" i="3" s="1"/>
  <c r="L495" i="3"/>
  <c r="M495" i="3"/>
  <c r="P495" i="3" s="1"/>
  <c r="N495" i="3"/>
  <c r="O495" i="3" s="1"/>
  <c r="Q495" i="3"/>
  <c r="R495" i="3"/>
  <c r="B496" i="3"/>
  <c r="U496" i="3" s="1"/>
  <c r="C496" i="3"/>
  <c r="S496" i="3" s="1"/>
  <c r="D496" i="3"/>
  <c r="I496" i="3"/>
  <c r="L496" i="3"/>
  <c r="M496" i="3"/>
  <c r="P496" i="3" s="1"/>
  <c r="N496" i="3"/>
  <c r="O496" i="3" s="1"/>
  <c r="Q496" i="3"/>
  <c r="R496" i="3"/>
  <c r="B497" i="3"/>
  <c r="U497" i="3" s="1"/>
  <c r="C497" i="3"/>
  <c r="S497" i="3" s="1"/>
  <c r="D497" i="3"/>
  <c r="L497" i="3"/>
  <c r="M497" i="3"/>
  <c r="P497" i="3" s="1"/>
  <c r="N497" i="3"/>
  <c r="O497" i="3" s="1"/>
  <c r="Q497" i="3"/>
  <c r="R497" i="3"/>
  <c r="B498" i="3"/>
  <c r="U498" i="3" s="1"/>
  <c r="C498" i="3"/>
  <c r="S498" i="3" s="1"/>
  <c r="D498" i="3"/>
  <c r="I498" i="3"/>
  <c r="L498" i="3"/>
  <c r="M498" i="3"/>
  <c r="P498" i="3" s="1"/>
  <c r="N498" i="3"/>
  <c r="O498" i="3" s="1"/>
  <c r="Q498" i="3"/>
  <c r="R498" i="3"/>
  <c r="B499" i="3"/>
  <c r="U499" i="3" s="1"/>
  <c r="C499" i="3"/>
  <c r="S499" i="3" s="1"/>
  <c r="D499" i="3"/>
  <c r="L499" i="3"/>
  <c r="M499" i="3"/>
  <c r="P499" i="3" s="1"/>
  <c r="N499" i="3"/>
  <c r="O499" i="3" s="1"/>
  <c r="Q499" i="3"/>
  <c r="R499" i="3"/>
  <c r="B500" i="3"/>
  <c r="U500" i="3" s="1"/>
  <c r="C500" i="3"/>
  <c r="S500" i="3" s="1"/>
  <c r="D500" i="3"/>
  <c r="I500" i="3"/>
  <c r="L500" i="3"/>
  <c r="M500" i="3"/>
  <c r="P500" i="3" s="1"/>
  <c r="N500" i="3"/>
  <c r="O500" i="3" s="1"/>
  <c r="Q500" i="3"/>
  <c r="R500" i="3"/>
  <c r="B501" i="3"/>
  <c r="U501" i="3" s="1"/>
  <c r="C501" i="3"/>
  <c r="S501" i="3" s="1"/>
  <c r="D501" i="3"/>
  <c r="I501" i="3"/>
  <c r="L501" i="3"/>
  <c r="M501" i="3"/>
  <c r="P501" i="3" s="1"/>
  <c r="N501" i="3"/>
  <c r="O501" i="3" s="1"/>
  <c r="Q501" i="3"/>
  <c r="R501" i="3"/>
  <c r="B502" i="3"/>
  <c r="U502" i="3" s="1"/>
  <c r="C502" i="3"/>
  <c r="S502" i="3" s="1"/>
  <c r="D502" i="3"/>
  <c r="I502" i="3"/>
  <c r="L502" i="3"/>
  <c r="M502" i="3"/>
  <c r="P502" i="3" s="1"/>
  <c r="N502" i="3"/>
  <c r="O502" i="3" s="1"/>
  <c r="Q502" i="3"/>
  <c r="R502" i="3"/>
  <c r="B503" i="3"/>
  <c r="U503" i="3" s="1"/>
  <c r="C503" i="3"/>
  <c r="S503" i="3" s="1"/>
  <c r="D503" i="3"/>
  <c r="I503" i="3"/>
  <c r="L503" i="3"/>
  <c r="M503" i="3"/>
  <c r="P503" i="3" s="1"/>
  <c r="N503" i="3"/>
  <c r="O503" i="3" s="1"/>
  <c r="Q503" i="3"/>
  <c r="R503" i="3"/>
  <c r="B504" i="3"/>
  <c r="U504" i="3" s="1"/>
  <c r="C504" i="3"/>
  <c r="S504" i="3" s="1"/>
  <c r="D504" i="3"/>
  <c r="I504" i="3"/>
  <c r="L504" i="3"/>
  <c r="M504" i="3"/>
  <c r="P504" i="3" s="1"/>
  <c r="N504" i="3"/>
  <c r="O504" i="3" s="1"/>
  <c r="Q504" i="3"/>
  <c r="R504" i="3"/>
  <c r="B505" i="3"/>
  <c r="U505" i="3" s="1"/>
  <c r="C505" i="3"/>
  <c r="S505" i="3" s="1"/>
  <c r="D505" i="3"/>
  <c r="I505" i="3"/>
  <c r="L505" i="3"/>
  <c r="M505" i="3"/>
  <c r="P505" i="3" s="1"/>
  <c r="N505" i="3"/>
  <c r="O505" i="3" s="1"/>
  <c r="Q505" i="3"/>
  <c r="R505" i="3"/>
  <c r="B506" i="3"/>
  <c r="U506" i="3" s="1"/>
  <c r="C506" i="3"/>
  <c r="S506" i="3" s="1"/>
  <c r="D506" i="3"/>
  <c r="I506" i="3"/>
  <c r="L506" i="3"/>
  <c r="M506" i="3"/>
  <c r="P506" i="3" s="1"/>
  <c r="N506" i="3"/>
  <c r="O506" i="3" s="1"/>
  <c r="Q506" i="3"/>
  <c r="R506" i="3"/>
  <c r="B507" i="3"/>
  <c r="C507" i="3"/>
  <c r="S507" i="3" s="1"/>
  <c r="D507" i="3"/>
  <c r="H507" i="3"/>
  <c r="I507" i="3" s="1"/>
  <c r="L507" i="3"/>
  <c r="M507" i="3"/>
  <c r="P507" i="3" s="1"/>
  <c r="N507" i="3"/>
  <c r="O507" i="3" s="1"/>
  <c r="Q507" i="3"/>
  <c r="R507" i="3"/>
  <c r="B508" i="3"/>
  <c r="C508" i="3"/>
  <c r="S508" i="3" s="1"/>
  <c r="D508" i="3"/>
  <c r="I508" i="3"/>
  <c r="L508" i="3"/>
  <c r="M508" i="3"/>
  <c r="P508" i="3" s="1"/>
  <c r="N508" i="3"/>
  <c r="O508" i="3" s="1"/>
  <c r="Q508" i="3"/>
  <c r="R508" i="3"/>
  <c r="B509" i="3"/>
  <c r="C509" i="3"/>
  <c r="S509" i="3" s="1"/>
  <c r="D509" i="3"/>
  <c r="I509" i="3"/>
  <c r="L509" i="3"/>
  <c r="M509" i="3"/>
  <c r="P509" i="3" s="1"/>
  <c r="N509" i="3"/>
  <c r="O509" i="3" s="1"/>
  <c r="Q509" i="3"/>
  <c r="R509" i="3"/>
  <c r="B510" i="3"/>
  <c r="C510" i="3"/>
  <c r="S510" i="3" s="1"/>
  <c r="D510" i="3"/>
  <c r="I510" i="3"/>
  <c r="L510" i="3"/>
  <c r="M510" i="3"/>
  <c r="P510" i="3" s="1"/>
  <c r="N510" i="3"/>
  <c r="O510" i="3" s="1"/>
  <c r="Q510" i="3"/>
  <c r="R510" i="3"/>
  <c r="B511" i="3"/>
  <c r="U511" i="3" s="1"/>
  <c r="C511" i="3"/>
  <c r="S511" i="3" s="1"/>
  <c r="D511" i="3"/>
  <c r="I511" i="3"/>
  <c r="L511" i="3"/>
  <c r="M511" i="3"/>
  <c r="P511" i="3" s="1"/>
  <c r="N511" i="3"/>
  <c r="O511" i="3" s="1"/>
  <c r="Q511" i="3"/>
  <c r="R511" i="3"/>
  <c r="B512" i="3"/>
  <c r="C512" i="3"/>
  <c r="S512" i="3" s="1"/>
  <c r="D512" i="3"/>
  <c r="I512" i="3"/>
  <c r="L512" i="3"/>
  <c r="M512" i="3"/>
  <c r="P512" i="3" s="1"/>
  <c r="N512" i="3"/>
  <c r="O512" i="3" s="1"/>
  <c r="Q512" i="3"/>
  <c r="R512" i="3"/>
  <c r="B513" i="3"/>
  <c r="U513" i="3" s="1"/>
  <c r="C513" i="3"/>
  <c r="S513" i="3" s="1"/>
  <c r="D513" i="3"/>
  <c r="I513" i="3"/>
  <c r="L513" i="3"/>
  <c r="M513" i="3"/>
  <c r="P513" i="3" s="1"/>
  <c r="N513" i="3"/>
  <c r="O513" i="3" s="1"/>
  <c r="Q513" i="3"/>
  <c r="R513" i="3"/>
  <c r="B514" i="3"/>
  <c r="C514" i="3"/>
  <c r="S514" i="3" s="1"/>
  <c r="D514" i="3"/>
  <c r="I514" i="3"/>
  <c r="L514" i="3"/>
  <c r="M514" i="3"/>
  <c r="P514" i="3" s="1"/>
  <c r="N514" i="3"/>
  <c r="O514" i="3" s="1"/>
  <c r="Q514" i="3"/>
  <c r="R514" i="3"/>
  <c r="B515" i="3"/>
  <c r="C515" i="3"/>
  <c r="S515" i="3" s="1"/>
  <c r="D515" i="3"/>
  <c r="I515" i="3"/>
  <c r="L515" i="3"/>
  <c r="M515" i="3"/>
  <c r="P515" i="3" s="1"/>
  <c r="N515" i="3"/>
  <c r="O515" i="3" s="1"/>
  <c r="Q515" i="3"/>
  <c r="R515" i="3"/>
  <c r="B516" i="3"/>
  <c r="U516" i="3" s="1"/>
  <c r="C516" i="3"/>
  <c r="S516" i="3" s="1"/>
  <c r="D516" i="3"/>
  <c r="I516" i="3"/>
  <c r="L516" i="3"/>
  <c r="M516" i="3"/>
  <c r="P516" i="3" s="1"/>
  <c r="N516" i="3"/>
  <c r="O516" i="3" s="1"/>
  <c r="Q516" i="3"/>
  <c r="R516" i="3"/>
  <c r="B517" i="3"/>
  <c r="U517" i="3" s="1"/>
  <c r="C517" i="3"/>
  <c r="S517" i="3" s="1"/>
  <c r="D517" i="3"/>
  <c r="I517" i="3"/>
  <c r="L517" i="3"/>
  <c r="M517" i="3"/>
  <c r="P517" i="3" s="1"/>
  <c r="N517" i="3"/>
  <c r="O517" i="3" s="1"/>
  <c r="Q517" i="3"/>
  <c r="R517" i="3"/>
  <c r="B518" i="3"/>
  <c r="C518" i="3"/>
  <c r="S518" i="3" s="1"/>
  <c r="D518" i="3"/>
  <c r="I518" i="3"/>
  <c r="L518" i="3"/>
  <c r="M518" i="3"/>
  <c r="P518" i="3" s="1"/>
  <c r="N518" i="3"/>
  <c r="O518" i="3" s="1"/>
  <c r="Q518" i="3"/>
  <c r="R518" i="3"/>
  <c r="B519" i="3"/>
  <c r="C519" i="3"/>
  <c r="S519" i="3" s="1"/>
  <c r="D519" i="3"/>
  <c r="I519" i="3"/>
  <c r="L519" i="3"/>
  <c r="M519" i="3"/>
  <c r="P519" i="3" s="1"/>
  <c r="N519" i="3"/>
  <c r="O519" i="3" s="1"/>
  <c r="Q519" i="3"/>
  <c r="R519" i="3"/>
  <c r="B520" i="3"/>
  <c r="U520" i="3" s="1"/>
  <c r="C520" i="3"/>
  <c r="S520" i="3" s="1"/>
  <c r="D520" i="3"/>
  <c r="I520" i="3"/>
  <c r="L520" i="3"/>
  <c r="M520" i="3"/>
  <c r="P520" i="3" s="1"/>
  <c r="N520" i="3"/>
  <c r="O520" i="3" s="1"/>
  <c r="Q520" i="3"/>
  <c r="R520" i="3"/>
  <c r="B521" i="3"/>
  <c r="C521" i="3"/>
  <c r="S521" i="3" s="1"/>
  <c r="D521" i="3"/>
  <c r="I521" i="3"/>
  <c r="L521" i="3"/>
  <c r="M521" i="3"/>
  <c r="P521" i="3" s="1"/>
  <c r="N521" i="3"/>
  <c r="O521" i="3" s="1"/>
  <c r="Q521" i="3"/>
  <c r="R521" i="3"/>
  <c r="B522" i="3"/>
  <c r="U522" i="3" s="1"/>
  <c r="C522" i="3"/>
  <c r="S522" i="3" s="1"/>
  <c r="D522" i="3"/>
  <c r="I522" i="3"/>
  <c r="L522" i="3"/>
  <c r="M522" i="3"/>
  <c r="P522" i="3" s="1"/>
  <c r="N522" i="3"/>
  <c r="O522" i="3" s="1"/>
  <c r="Q522" i="3"/>
  <c r="R522" i="3"/>
  <c r="B523" i="3"/>
  <c r="C523" i="3"/>
  <c r="S523" i="3" s="1"/>
  <c r="D523" i="3"/>
  <c r="I523" i="3"/>
  <c r="L523" i="3"/>
  <c r="M523" i="3"/>
  <c r="P523" i="3" s="1"/>
  <c r="N523" i="3"/>
  <c r="O523" i="3" s="1"/>
  <c r="Q523" i="3"/>
  <c r="R523" i="3"/>
  <c r="B524" i="3"/>
  <c r="U524" i="3" s="1"/>
  <c r="C524" i="3"/>
  <c r="S524" i="3" s="1"/>
  <c r="D524" i="3"/>
  <c r="I524" i="3"/>
  <c r="L524" i="3"/>
  <c r="M524" i="3"/>
  <c r="P524" i="3" s="1"/>
  <c r="N524" i="3"/>
  <c r="O524" i="3" s="1"/>
  <c r="Q524" i="3"/>
  <c r="R524" i="3"/>
  <c r="B526" i="3"/>
  <c r="U526" i="3" s="1"/>
  <c r="C526" i="3"/>
  <c r="S526" i="3" s="1"/>
  <c r="D526" i="3"/>
  <c r="I526" i="3"/>
  <c r="L526" i="3"/>
  <c r="M526" i="3"/>
  <c r="P526" i="3" s="1"/>
  <c r="N526" i="3"/>
  <c r="O526" i="3" s="1"/>
  <c r="Q526" i="3"/>
  <c r="R526" i="3"/>
  <c r="B527" i="3"/>
  <c r="C527" i="3"/>
  <c r="S527" i="3" s="1"/>
  <c r="D527" i="3"/>
  <c r="I527" i="3"/>
  <c r="L527" i="3"/>
  <c r="M527" i="3"/>
  <c r="P527" i="3" s="1"/>
  <c r="N527" i="3"/>
  <c r="O527" i="3" s="1"/>
  <c r="Q527" i="3"/>
  <c r="R527" i="3"/>
  <c r="B528" i="3"/>
  <c r="C528" i="3"/>
  <c r="S528" i="3" s="1"/>
  <c r="D528" i="3"/>
  <c r="L528" i="3"/>
  <c r="M528" i="3"/>
  <c r="P528" i="3" s="1"/>
  <c r="N528" i="3"/>
  <c r="O528" i="3" s="1"/>
  <c r="Q528" i="3"/>
  <c r="R528" i="3"/>
  <c r="B529" i="3"/>
  <c r="C529" i="3"/>
  <c r="S529" i="3" s="1"/>
  <c r="D529" i="3"/>
  <c r="I529" i="3"/>
  <c r="L529" i="3"/>
  <c r="M529" i="3"/>
  <c r="P529" i="3" s="1"/>
  <c r="N529" i="3"/>
  <c r="O529" i="3" s="1"/>
  <c r="Q529" i="3"/>
  <c r="R529" i="3"/>
  <c r="B530" i="3"/>
  <c r="C530" i="3"/>
  <c r="S530" i="3" s="1"/>
  <c r="D530" i="3"/>
  <c r="I530" i="3"/>
  <c r="L530" i="3"/>
  <c r="M530" i="3"/>
  <c r="P530" i="3" s="1"/>
  <c r="N530" i="3"/>
  <c r="O530" i="3" s="1"/>
  <c r="Q530" i="3"/>
  <c r="R530" i="3"/>
  <c r="B531" i="3"/>
  <c r="C531" i="3"/>
  <c r="S531" i="3" s="1"/>
  <c r="D531" i="3"/>
  <c r="I531" i="3"/>
  <c r="L531" i="3"/>
  <c r="M531" i="3"/>
  <c r="P531" i="3" s="1"/>
  <c r="N531" i="3"/>
  <c r="O531" i="3" s="1"/>
  <c r="Q531" i="3"/>
  <c r="R531" i="3"/>
  <c r="B532" i="3"/>
  <c r="C532" i="3"/>
  <c r="S532" i="3" s="1"/>
  <c r="D532" i="3"/>
  <c r="I532" i="3"/>
  <c r="L532" i="3"/>
  <c r="M532" i="3"/>
  <c r="P532" i="3" s="1"/>
  <c r="N532" i="3"/>
  <c r="O532" i="3" s="1"/>
  <c r="Q532" i="3"/>
  <c r="R532" i="3"/>
  <c r="B533" i="3"/>
  <c r="C533" i="3"/>
  <c r="S533" i="3" s="1"/>
  <c r="D533" i="3"/>
  <c r="I533" i="3"/>
  <c r="L533" i="3"/>
  <c r="M533" i="3"/>
  <c r="P533" i="3" s="1"/>
  <c r="N533" i="3"/>
  <c r="O533" i="3" s="1"/>
  <c r="Q533" i="3"/>
  <c r="R533" i="3"/>
  <c r="Q3" i="9"/>
  <c r="O2" i="3" l="1"/>
  <c r="U671" i="3"/>
  <c r="U670" i="3"/>
  <c r="U669" i="3"/>
  <c r="U668" i="3"/>
  <c r="U666" i="3"/>
  <c r="U665" i="3"/>
  <c r="U664" i="3"/>
  <c r="U663" i="3"/>
  <c r="U661" i="3"/>
  <c r="U660" i="3"/>
  <c r="U658" i="3"/>
  <c r="U657" i="3"/>
  <c r="U656" i="3"/>
  <c r="U655" i="3"/>
  <c r="U654" i="3"/>
  <c r="U652" i="3"/>
  <c r="U649" i="3"/>
  <c r="U648" i="3"/>
  <c r="U647" i="3"/>
  <c r="U646" i="3"/>
  <c r="U643" i="3"/>
  <c r="U641" i="3"/>
  <c r="U639" i="3"/>
  <c r="U635" i="3"/>
  <c r="U634" i="3"/>
  <c r="U633" i="3"/>
  <c r="U632" i="3"/>
  <c r="U629" i="3"/>
  <c r="U628" i="3"/>
  <c r="U627" i="3"/>
  <c r="U625" i="3"/>
  <c r="U621" i="3"/>
  <c r="U620" i="3"/>
  <c r="U617" i="3"/>
  <c r="U618" i="3"/>
  <c r="U616" i="3"/>
  <c r="U613" i="3"/>
  <c r="U612" i="3"/>
  <c r="U611" i="3"/>
  <c r="U610" i="3"/>
  <c r="U608" i="3"/>
  <c r="U606" i="3"/>
  <c r="U605" i="3"/>
  <c r="U604" i="3"/>
  <c r="U603" i="3"/>
  <c r="U602" i="3"/>
  <c r="U599" i="3"/>
  <c r="U598" i="3"/>
  <c r="U600" i="3"/>
  <c r="U596" i="3"/>
  <c r="U595" i="3"/>
  <c r="U594" i="3"/>
  <c r="U593" i="3"/>
  <c r="U592" i="3"/>
  <c r="U591" i="3"/>
  <c r="U590" i="3"/>
  <c r="U589" i="3"/>
  <c r="U588" i="3"/>
  <c r="U587" i="3"/>
  <c r="U586" i="3"/>
  <c r="U584" i="3"/>
  <c r="U582" i="3"/>
  <c r="U581" i="3"/>
  <c r="U579" i="3"/>
  <c r="U578" i="3"/>
  <c r="U576" i="3"/>
  <c r="U575" i="3"/>
  <c r="U573" i="3"/>
  <c r="U571" i="3"/>
  <c r="U570" i="3"/>
  <c r="U569" i="3"/>
  <c r="U565" i="3"/>
  <c r="U564" i="3"/>
  <c r="U563" i="3"/>
  <c r="U562" i="3"/>
  <c r="U560" i="3"/>
  <c r="U561" i="3"/>
  <c r="U559" i="3"/>
  <c r="U558" i="3"/>
  <c r="U557" i="3"/>
  <c r="U556" i="3"/>
  <c r="U555" i="3"/>
  <c r="U553" i="3"/>
  <c r="U551" i="3"/>
  <c r="U72" i="3"/>
  <c r="U550" i="3"/>
  <c r="U548" i="3"/>
  <c r="U70" i="3"/>
  <c r="U547" i="3"/>
  <c r="U69" i="3"/>
  <c r="U543" i="3"/>
  <c r="U540" i="3"/>
  <c r="U539" i="3"/>
  <c r="U251" i="3"/>
  <c r="U410" i="3"/>
  <c r="U449" i="3"/>
  <c r="U534" i="3"/>
  <c r="U2" i="3"/>
  <c r="U68" i="3"/>
  <c r="U262" i="3"/>
  <c r="U79" i="3"/>
  <c r="U227" i="3"/>
  <c r="U53" i="3"/>
  <c r="U380" i="3"/>
  <c r="U173" i="3"/>
  <c r="U93" i="3"/>
  <c r="U459" i="3"/>
  <c r="U223" i="3"/>
  <c r="U22" i="3"/>
  <c r="U128" i="3"/>
  <c r="U295" i="3"/>
  <c r="U64" i="3"/>
  <c r="U284" i="3"/>
  <c r="U443" i="3"/>
  <c r="U61" i="3"/>
  <c r="U372" i="3"/>
  <c r="U142" i="3"/>
  <c r="U115" i="3"/>
  <c r="U29" i="3"/>
  <c r="U431" i="3"/>
  <c r="U34" i="3"/>
  <c r="U30" i="3"/>
  <c r="U366" i="3"/>
  <c r="U229" i="3"/>
  <c r="U126" i="3"/>
  <c r="U248" i="3"/>
  <c r="U145" i="3"/>
  <c r="U532" i="3"/>
  <c r="U261" i="3"/>
  <c r="U245" i="3"/>
  <c r="U153" i="3"/>
  <c r="U56" i="3"/>
  <c r="U45" i="3"/>
  <c r="U14" i="3"/>
  <c r="U124" i="3"/>
  <c r="U530" i="3"/>
  <c r="U424" i="3"/>
  <c r="U228" i="3"/>
  <c r="U23" i="3"/>
  <c r="U373" i="3"/>
  <c r="U290" i="3"/>
  <c r="U367" i="3"/>
  <c r="U294" i="3"/>
  <c r="U132" i="3"/>
  <c r="U127" i="3"/>
  <c r="U78" i="3"/>
  <c r="U52" i="3"/>
  <c r="U365" i="3"/>
  <c r="U65" i="3"/>
  <c r="U391" i="3"/>
  <c r="U528" i="3"/>
  <c r="U271" i="3"/>
  <c r="U533" i="3"/>
  <c r="U387" i="3"/>
  <c r="U379" i="3"/>
  <c r="U90" i="3"/>
  <c r="U246" i="3"/>
  <c r="U393" i="3"/>
  <c r="U334" i="3"/>
  <c r="U278" i="3"/>
  <c r="U75" i="3"/>
  <c r="U277" i="3"/>
  <c r="U507" i="3"/>
  <c r="U478" i="3"/>
  <c r="U434" i="3"/>
  <c r="U361" i="3"/>
  <c r="U176" i="3"/>
  <c r="U96" i="3"/>
  <c r="U412" i="3"/>
  <c r="U112" i="3"/>
  <c r="U357" i="3"/>
  <c r="U436" i="3"/>
  <c r="U435" i="3"/>
  <c r="U398" i="3"/>
  <c r="U362" i="3"/>
  <c r="U307" i="3"/>
  <c r="U156" i="3"/>
  <c r="U152" i="3"/>
  <c r="U50" i="3"/>
  <c r="U32" i="3"/>
  <c r="U11" i="3"/>
  <c r="U107" i="3"/>
  <c r="U31" i="3"/>
  <c r="U298" i="3"/>
  <c r="U205" i="3"/>
  <c r="U239" i="3"/>
  <c r="U76" i="3"/>
  <c r="U7" i="3"/>
  <c r="U299" i="3"/>
  <c r="U268" i="3"/>
  <c r="U215" i="3"/>
  <c r="U216" i="3"/>
  <c r="U452" i="3"/>
  <c r="U438" i="3"/>
  <c r="U385" i="3"/>
  <c r="U269" i="3"/>
  <c r="U199" i="3"/>
  <c r="U129" i="3"/>
  <c r="U529" i="3"/>
  <c r="U247" i="3"/>
  <c r="U49" i="3"/>
  <c r="U130" i="3"/>
  <c r="U487" i="3"/>
  <c r="U454" i="3"/>
  <c r="U409" i="3"/>
  <c r="U288" i="3"/>
  <c r="U254" i="3"/>
  <c r="U157" i="3"/>
  <c r="U441" i="3"/>
  <c r="U175" i="3"/>
  <c r="U141" i="3"/>
  <c r="U67" i="3"/>
  <c r="U147" i="3"/>
  <c r="U151" i="3"/>
  <c r="U463" i="3"/>
  <c r="U15" i="3"/>
  <c r="U527" i="3"/>
  <c r="U440" i="3"/>
  <c r="U286" i="3"/>
  <c r="U225" i="3"/>
  <c r="U106" i="3"/>
  <c r="U486" i="3"/>
  <c r="U437" i="3"/>
  <c r="U194" i="3"/>
  <c r="U77" i="3"/>
  <c r="U470" i="3"/>
  <c r="U471" i="3"/>
  <c r="U439" i="3"/>
  <c r="U356" i="3"/>
  <c r="U324" i="3"/>
  <c r="U273" i="3"/>
  <c r="U224" i="3"/>
  <c r="U418" i="3"/>
  <c r="U462" i="3"/>
  <c r="U411" i="3"/>
  <c r="U238" i="3"/>
  <c r="U234" i="3"/>
  <c r="U204" i="3"/>
  <c r="U85" i="3"/>
  <c r="U27" i="3"/>
  <c r="U16" i="3"/>
  <c r="U281" i="3"/>
  <c r="U419" i="3"/>
  <c r="U455" i="3"/>
  <c r="U386" i="3"/>
  <c r="U289" i="3"/>
  <c r="U84" i="3"/>
  <c r="U442" i="3"/>
  <c r="U270" i="3"/>
  <c r="U221" i="3"/>
  <c r="U226" i="3"/>
  <c r="U445" i="3"/>
  <c r="U531" i="3"/>
  <c r="U446" i="3"/>
  <c r="U429" i="3"/>
  <c r="U428" i="3"/>
  <c r="U427" i="3"/>
  <c r="U426" i="3"/>
  <c r="U425" i="3"/>
  <c r="U420" i="3"/>
  <c r="U377" i="3"/>
  <c r="U133" i="3"/>
  <c r="U125" i="3"/>
  <c r="U114" i="3"/>
  <c r="U509" i="3"/>
  <c r="U378" i="3"/>
  <c r="U222" i="3"/>
  <c r="U120" i="3"/>
  <c r="U103" i="3"/>
  <c r="U87" i="3"/>
  <c r="U51" i="3"/>
  <c r="U381" i="3"/>
  <c r="U149" i="3"/>
  <c r="U490" i="3"/>
  <c r="U220" i="3"/>
  <c r="U492" i="3"/>
  <c r="U482" i="3"/>
  <c r="U370" i="3"/>
  <c r="U349" i="3"/>
  <c r="U523" i="3"/>
  <c r="U515" i="3"/>
  <c r="U322" i="3"/>
  <c r="U274" i="3"/>
  <c r="U491" i="3"/>
  <c r="U159" i="3"/>
  <c r="U230" i="3"/>
  <c r="U406" i="3"/>
  <c r="U397" i="3"/>
  <c r="U369" i="3"/>
  <c r="U484" i="3"/>
  <c r="U414" i="3"/>
  <c r="U383" i="3"/>
  <c r="U338" i="3"/>
  <c r="U292" i="3"/>
  <c r="U240" i="3"/>
  <c r="U235" i="3"/>
  <c r="U231" i="3"/>
  <c r="U110" i="3"/>
  <c r="U104" i="3"/>
  <c r="U99" i="3"/>
  <c r="U83" i="3"/>
  <c r="U9" i="3"/>
  <c r="U399" i="3"/>
  <c r="U371" i="3"/>
  <c r="U363" i="3"/>
  <c r="U350" i="3"/>
  <c r="U521" i="3"/>
  <c r="U518" i="3"/>
  <c r="U514" i="3"/>
  <c r="U512" i="3"/>
  <c r="U510" i="3"/>
  <c r="U97" i="3"/>
  <c r="U4" i="3"/>
  <c r="U422" i="3"/>
  <c r="U421" i="3"/>
  <c r="U485" i="3"/>
  <c r="U415" i="3"/>
  <c r="U384" i="3"/>
  <c r="U364" i="3"/>
  <c r="U306" i="3"/>
  <c r="U237" i="3"/>
  <c r="U190" i="3"/>
  <c r="U135" i="3"/>
  <c r="U168" i="3"/>
  <c r="U154" i="3"/>
  <c r="U178" i="3"/>
  <c r="U264" i="3"/>
  <c r="U401" i="3"/>
  <c r="U351" i="3"/>
  <c r="U280" i="3"/>
  <c r="U242" i="3"/>
  <c r="U236" i="3"/>
  <c r="U195" i="3"/>
  <c r="U185" i="3"/>
  <c r="U117" i="3"/>
  <c r="U355" i="3"/>
  <c r="U480" i="3"/>
  <c r="U395" i="3"/>
  <c r="U368" i="3"/>
  <c r="U169" i="3"/>
  <c r="U57" i="3"/>
  <c r="U417" i="3"/>
  <c r="U400" i="3"/>
  <c r="U241" i="3"/>
  <c r="U207" i="3"/>
  <c r="U416" i="3"/>
  <c r="U388" i="3"/>
  <c r="U352" i="3"/>
  <c r="U321" i="3"/>
  <c r="U201" i="3"/>
  <c r="U196" i="3"/>
  <c r="U162" i="3"/>
  <c r="U519" i="3"/>
  <c r="U291" i="3"/>
  <c r="U258" i="3"/>
  <c r="U305" i="3"/>
  <c r="U405" i="3"/>
  <c r="U389" i="3"/>
  <c r="U354" i="3"/>
  <c r="U282" i="3"/>
  <c r="U272" i="3"/>
  <c r="U257" i="3"/>
  <c r="U118" i="3"/>
  <c r="U191" i="3"/>
  <c r="U263" i="3"/>
  <c r="U337" i="3"/>
  <c r="U508" i="3"/>
  <c r="U353" i="3"/>
  <c r="U148" i="3"/>
  <c r="U198" i="3"/>
  <c r="U186" i="3"/>
  <c r="U179" i="3"/>
  <c r="U123" i="3"/>
  <c r="U80" i="3"/>
  <c r="U210" i="3"/>
  <c r="U58" i="3"/>
  <c r="U19" i="3"/>
  <c r="U275" i="3"/>
  <c r="U243" i="3"/>
  <c r="U131" i="3"/>
  <c r="U36" i="3"/>
  <c r="U259" i="3"/>
  <c r="U155" i="3"/>
  <c r="U119" i="3"/>
  <c r="U66" i="3"/>
  <c r="U374" i="3"/>
  <c r="U358" i="3"/>
  <c r="U285" i="3"/>
  <c r="U266" i="3"/>
  <c r="U375" i="3"/>
  <c r="U359" i="3"/>
  <c r="U267" i="3"/>
  <c r="U211" i="3"/>
  <c r="U166" i="3"/>
  <c r="U89" i="3"/>
  <c r="U81" i="3"/>
  <c r="U20" i="3"/>
  <c r="U376" i="3"/>
  <c r="U360" i="3"/>
  <c r="U252" i="3"/>
  <c r="U232" i="3"/>
  <c r="U189" i="3"/>
  <c r="U91" i="3"/>
  <c r="U6" i="3"/>
  <c r="U171" i="3"/>
  <c r="U163" i="3"/>
  <c r="U150" i="3"/>
  <c r="U140" i="3"/>
  <c r="U98" i="3"/>
  <c r="U105" i="3"/>
  <c r="U37" i="3"/>
  <c r="U182" i="3"/>
  <c r="U136" i="3"/>
  <c r="U60" i="3"/>
  <c r="U100" i="3"/>
  <c r="U47" i="3"/>
  <c r="U214" i="3"/>
  <c r="U122" i="3"/>
  <c r="U5" i="3"/>
  <c r="U59" i="3"/>
  <c r="U21" i="3"/>
  <c r="U137" i="3"/>
  <c r="U111" i="3"/>
  <c r="U101" i="3"/>
  <c r="U33" i="3"/>
  <c r="U63" i="3"/>
  <c r="U25" i="3"/>
  <c r="U138" i="3"/>
  <c r="U82" i="3"/>
  <c r="U62" i="3"/>
  <c r="U46" i="3"/>
  <c r="U24" i="3"/>
  <c r="U8" i="3"/>
  <c r="U13" i="3"/>
  <c r="Q2" i="9" l="1"/>
  <c r="B6" i="1" l="1"/>
  <c r="B4" i="5" s="1"/>
  <c r="F6" i="5"/>
  <c r="T249" i="3" l="1"/>
  <c r="T287" i="3"/>
  <c r="T888" i="3"/>
  <c r="T887" i="3"/>
  <c r="T884" i="3"/>
  <c r="T864" i="3"/>
  <c r="T868" i="3"/>
  <c r="T873" i="3"/>
  <c r="T882" i="3"/>
  <c r="T41" i="3"/>
  <c r="T879" i="3"/>
  <c r="T38" i="3"/>
  <c r="T874" i="3"/>
  <c r="T42" i="3"/>
  <c r="T880" i="3"/>
  <c r="T871" i="3"/>
  <c r="T881" i="3"/>
  <c r="T876" i="3"/>
  <c r="T875" i="3"/>
  <c r="T869" i="3"/>
  <c r="T885" i="3"/>
  <c r="T44" i="3"/>
  <c r="T865" i="3"/>
  <c r="T883" i="3"/>
  <c r="T862" i="3"/>
  <c r="T866" i="3"/>
  <c r="T39" i="3"/>
  <c r="T867" i="3"/>
  <c r="T870" i="3"/>
  <c r="T886" i="3"/>
  <c r="T863" i="3"/>
  <c r="T43" i="3"/>
  <c r="T872" i="3"/>
  <c r="T40" i="3"/>
  <c r="T697" i="3"/>
  <c r="T779" i="3"/>
  <c r="T859" i="3"/>
  <c r="T813" i="3"/>
  <c r="T804" i="3"/>
  <c r="T757" i="3"/>
  <c r="T791" i="3"/>
  <c r="T848" i="3"/>
  <c r="T761" i="3"/>
  <c r="T704" i="3"/>
  <c r="T745" i="3"/>
  <c r="T787" i="3"/>
  <c r="T703" i="3"/>
  <c r="T821" i="3"/>
  <c r="T852" i="3"/>
  <c r="T773" i="3"/>
  <c r="T808" i="3"/>
  <c r="T818" i="3"/>
  <c r="T789" i="3"/>
  <c r="T748" i="3"/>
  <c r="T735" i="3"/>
  <c r="T717" i="3"/>
  <c r="T753" i="3"/>
  <c r="T696" i="3"/>
  <c r="T711" i="3"/>
  <c r="T845" i="3"/>
  <c r="T860" i="3"/>
  <c r="T781" i="3"/>
  <c r="T832" i="3"/>
  <c r="T831" i="3"/>
  <c r="T817" i="3"/>
  <c r="T802" i="3"/>
  <c r="T774" i="3"/>
  <c r="T759" i="3"/>
  <c r="T702" i="3"/>
  <c r="T769" i="3"/>
  <c r="T744" i="3"/>
  <c r="T719" i="3"/>
  <c r="T777" i="3"/>
  <c r="T825" i="3"/>
  <c r="T838" i="3"/>
  <c r="T740" i="3"/>
  <c r="T830" i="3"/>
  <c r="T746" i="3"/>
  <c r="T716" i="3"/>
  <c r="T842" i="3"/>
  <c r="T752" i="3"/>
  <c r="T751" i="3"/>
  <c r="T826" i="3"/>
  <c r="T849" i="3"/>
  <c r="T846" i="3"/>
  <c r="T713" i="3"/>
  <c r="T829" i="3"/>
  <c r="T731" i="3"/>
  <c r="T715" i="3"/>
  <c r="T855" i="3"/>
  <c r="T768" i="3"/>
  <c r="T775" i="3"/>
  <c r="T850" i="3"/>
  <c r="T736" i="3"/>
  <c r="T854" i="3"/>
  <c r="T785" i="3"/>
  <c r="T844" i="3"/>
  <c r="T771" i="3"/>
  <c r="T730" i="3"/>
  <c r="T714" i="3"/>
  <c r="T694" i="3"/>
  <c r="T801" i="3"/>
  <c r="T824" i="3"/>
  <c r="T836" i="3"/>
  <c r="T760" i="3"/>
  <c r="T851" i="3"/>
  <c r="T810" i="3"/>
  <c r="T827" i="3"/>
  <c r="T814" i="3"/>
  <c r="T799" i="3"/>
  <c r="T770" i="3"/>
  <c r="T729" i="3"/>
  <c r="T726" i="3"/>
  <c r="T749" i="3"/>
  <c r="T756" i="3"/>
  <c r="T710" i="3"/>
  <c r="T776" i="3"/>
  <c r="T738" i="3"/>
  <c r="T858" i="3"/>
  <c r="T750" i="3"/>
  <c r="T724" i="3"/>
  <c r="T833" i="3"/>
  <c r="T820" i="3"/>
  <c r="T782" i="3"/>
  <c r="T732" i="3"/>
  <c r="T841" i="3"/>
  <c r="T853" i="3"/>
  <c r="T767" i="3"/>
  <c r="T815" i="3"/>
  <c r="T772" i="3"/>
  <c r="T857" i="3"/>
  <c r="T837" i="3"/>
  <c r="T784" i="3"/>
  <c r="T766" i="3"/>
  <c r="T737" i="3"/>
  <c r="T847" i="3"/>
  <c r="T780" i="3"/>
  <c r="T741" i="3"/>
  <c r="T835" i="3"/>
  <c r="T695" i="3"/>
  <c r="T828" i="3"/>
  <c r="T788" i="3"/>
  <c r="T798" i="3"/>
  <c r="T834" i="3"/>
  <c r="T783" i="3"/>
  <c r="T712" i="3"/>
  <c r="T739" i="3"/>
  <c r="T797" i="3"/>
  <c r="T701" i="3"/>
  <c r="T764" i="3"/>
  <c r="T755" i="3"/>
  <c r="T805" i="3"/>
  <c r="T733" i="3"/>
  <c r="T812" i="3"/>
  <c r="T692" i="3"/>
  <c r="T693" i="3"/>
  <c r="T718" i="3"/>
  <c r="T786" i="3"/>
  <c r="T794" i="3"/>
  <c r="T762" i="3"/>
  <c r="T728" i="3"/>
  <c r="T709" i="3"/>
  <c r="T765" i="3"/>
  <c r="T758" i="3"/>
  <c r="T811" i="3"/>
  <c r="T792" i="3"/>
  <c r="T708" i="3"/>
  <c r="T806" i="3"/>
  <c r="T823" i="3"/>
  <c r="T819" i="3"/>
  <c r="T793" i="3"/>
  <c r="T707" i="3"/>
  <c r="T754" i="3"/>
  <c r="T839" i="3"/>
  <c r="T843" i="3"/>
  <c r="T725" i="3"/>
  <c r="T706" i="3"/>
  <c r="T698" i="3"/>
  <c r="T747" i="3"/>
  <c r="T800" i="3"/>
  <c r="T790" i="3"/>
  <c r="T723" i="3"/>
  <c r="T705" i="3"/>
  <c r="T778" i="3"/>
  <c r="T699" i="3"/>
  <c r="T816" i="3"/>
  <c r="T807" i="3"/>
  <c r="T803" i="3"/>
  <c r="T763" i="3"/>
  <c r="T856" i="3"/>
  <c r="T822" i="3"/>
  <c r="T742" i="3"/>
  <c r="T722" i="3"/>
  <c r="T743" i="3"/>
  <c r="T795" i="3"/>
  <c r="T727" i="3"/>
  <c r="T840" i="3"/>
  <c r="T721" i="3"/>
  <c r="T734" i="3"/>
  <c r="T700" i="3"/>
  <c r="T809" i="3"/>
  <c r="T861" i="3"/>
  <c r="T720" i="3"/>
  <c r="T678" i="3"/>
  <c r="T676" i="3"/>
  <c r="T675" i="3"/>
  <c r="T686" i="3"/>
  <c r="T672" i="3"/>
  <c r="T690" i="3"/>
  <c r="T685" i="3"/>
  <c r="T677" i="3"/>
  <c r="T689" i="3"/>
  <c r="T674" i="3"/>
  <c r="T682" i="3"/>
  <c r="T684" i="3"/>
  <c r="T680" i="3"/>
  <c r="T525" i="3"/>
  <c r="T673" i="3"/>
  <c r="T683" i="3"/>
  <c r="T691" i="3"/>
  <c r="T378" i="3"/>
  <c r="T373" i="3"/>
  <c r="T221" i="3"/>
  <c r="T425" i="3"/>
  <c r="T14" i="3"/>
  <c r="T523" i="3"/>
  <c r="T540" i="3"/>
  <c r="T571" i="3"/>
  <c r="T656" i="3"/>
  <c r="T633" i="3"/>
  <c r="T388" i="3"/>
  <c r="T70" i="3"/>
  <c r="T509" i="3"/>
  <c r="T126" i="3"/>
  <c r="T232" i="3"/>
  <c r="T362" i="3"/>
  <c r="T349" i="3"/>
  <c r="T550" i="3"/>
  <c r="T409" i="3"/>
  <c r="T569" i="3"/>
  <c r="T438" i="3"/>
  <c r="T652" i="3"/>
  <c r="T582" i="3"/>
  <c r="T222" i="3"/>
  <c r="T72" i="3"/>
  <c r="T380" i="3"/>
  <c r="T557" i="3"/>
  <c r="T480" i="3"/>
  <c r="T97" i="3"/>
  <c r="T93" i="3"/>
  <c r="T611" i="3"/>
  <c r="T586" i="3"/>
  <c r="T653" i="3"/>
  <c r="T615" i="3"/>
  <c r="T538" i="3"/>
  <c r="T223" i="3"/>
  <c r="T144" i="3"/>
  <c r="T209" i="3"/>
  <c r="T456" i="3"/>
  <c r="T176" i="3"/>
  <c r="T307" i="3"/>
  <c r="T298" i="3"/>
  <c r="T215" i="3"/>
  <c r="T529" i="3"/>
  <c r="T254" i="3"/>
  <c r="T463" i="3"/>
  <c r="T54" i="3"/>
  <c r="T324" i="3"/>
  <c r="T204" i="3"/>
  <c r="T289" i="3"/>
  <c r="T465" i="3"/>
  <c r="T12" i="3"/>
  <c r="T481" i="3"/>
  <c r="T330" i="3"/>
  <c r="T9" i="3"/>
  <c r="T318" i="3"/>
  <c r="T201" i="3"/>
  <c r="T423" i="3"/>
  <c r="T179" i="3"/>
  <c r="T131" i="3"/>
  <c r="T81" i="3"/>
  <c r="T182" i="3"/>
  <c r="T248" i="3"/>
  <c r="T284" i="3"/>
  <c r="T564" i="3"/>
  <c r="T393" i="3"/>
  <c r="T604" i="3"/>
  <c r="T512" i="3"/>
  <c r="T660" i="3"/>
  <c r="T593" i="3"/>
  <c r="T563" i="3"/>
  <c r="T560" i="3"/>
  <c r="T372" i="3"/>
  <c r="T589" i="3"/>
  <c r="T424" i="3"/>
  <c r="T89" i="3"/>
  <c r="T56" i="3"/>
  <c r="T627" i="3"/>
  <c r="T602" i="3"/>
  <c r="T614" i="3"/>
  <c r="T572" i="3"/>
  <c r="T403" i="3"/>
  <c r="T167" i="3"/>
  <c r="T108" i="3"/>
  <c r="T116" i="3"/>
  <c r="T96" i="3"/>
  <c r="T450" i="3"/>
  <c r="T15" i="3"/>
  <c r="T496" i="3"/>
  <c r="T273" i="3"/>
  <c r="T85" i="3"/>
  <c r="T457" i="3"/>
  <c r="T524" i="3"/>
  <c r="T396" i="3"/>
  <c r="T159" i="3"/>
  <c r="T317" i="3"/>
  <c r="T516" i="3"/>
  <c r="T178" i="3"/>
  <c r="T185" i="3"/>
  <c r="T417" i="3"/>
  <c r="T646" i="3"/>
  <c r="T235" i="3"/>
  <c r="T628" i="3"/>
  <c r="T98" i="3"/>
  <c r="T290" i="3"/>
  <c r="T352" i="3"/>
  <c r="T399" i="3"/>
  <c r="T361" i="3"/>
  <c r="T429" i="3"/>
  <c r="T531" i="3"/>
  <c r="T383" i="3"/>
  <c r="T570" i="3"/>
  <c r="T133" i="3"/>
  <c r="T23" i="3"/>
  <c r="T638" i="3"/>
  <c r="T630" i="3"/>
  <c r="T554" i="3"/>
  <c r="T536" i="3"/>
  <c r="T158" i="3"/>
  <c r="T188" i="3"/>
  <c r="T35" i="3"/>
  <c r="T430" i="3"/>
  <c r="T395" i="3"/>
  <c r="T226" i="3"/>
  <c r="T641" i="3"/>
  <c r="T82" i="3"/>
  <c r="T137" i="3"/>
  <c r="T654" i="3"/>
  <c r="T24" i="3"/>
  <c r="T140" i="3"/>
  <c r="T649" i="3"/>
  <c r="T61" i="3"/>
  <c r="T8" i="3"/>
  <c r="T492" i="3"/>
  <c r="T374" i="3"/>
  <c r="T120" i="3"/>
  <c r="T405" i="3"/>
  <c r="T613" i="3"/>
  <c r="T367" i="3"/>
  <c r="T581" i="3"/>
  <c r="T4" i="3"/>
  <c r="T669" i="3"/>
  <c r="T597" i="3"/>
  <c r="T585" i="3"/>
  <c r="T448" i="3"/>
  <c r="T328" i="3"/>
  <c r="T494" i="3"/>
  <c r="T444" i="3"/>
  <c r="T161" i="3"/>
  <c r="T466" i="3"/>
  <c r="T216" i="3"/>
  <c r="T543" i="3"/>
  <c r="T132" i="3"/>
  <c r="T657" i="3"/>
  <c r="T53" i="3"/>
  <c r="T240" i="3"/>
  <c r="T484" i="3"/>
  <c r="T366" i="3"/>
  <c r="T75" i="3"/>
  <c r="T397" i="3"/>
  <c r="T621" i="3"/>
  <c r="T359" i="3"/>
  <c r="T605" i="3"/>
  <c r="T533" i="3"/>
  <c r="T562" i="3"/>
  <c r="T650" i="3"/>
  <c r="T626" i="3"/>
  <c r="T568" i="3"/>
  <c r="T552" i="3"/>
  <c r="T109" i="3"/>
  <c r="T458" i="3"/>
  <c r="T213" i="3"/>
  <c r="T472" i="3"/>
  <c r="T86" i="3"/>
  <c r="T246" i="3"/>
  <c r="T205" i="3"/>
  <c r="T469" i="3"/>
  <c r="T175" i="3"/>
  <c r="T473" i="3"/>
  <c r="T517" i="3"/>
  <c r="T406" i="3"/>
  <c r="T110" i="3"/>
  <c r="T331" i="3"/>
  <c r="T300" i="3"/>
  <c r="T506" i="3"/>
  <c r="T36" i="3"/>
  <c r="T187" i="3"/>
  <c r="T20" i="3"/>
  <c r="T171" i="3"/>
  <c r="T60" i="3"/>
  <c r="T578" i="3"/>
  <c r="T124" i="3"/>
  <c r="T665" i="3"/>
  <c r="T45" i="3"/>
  <c r="T84" i="3"/>
  <c r="T436" i="3"/>
  <c r="T294" i="3"/>
  <c r="T62" i="3"/>
  <c r="T364" i="3"/>
  <c r="T629" i="3"/>
  <c r="T351" i="3"/>
  <c r="T635" i="3"/>
  <c r="T555" i="3"/>
  <c r="T618" i="3"/>
  <c r="T667" i="3"/>
  <c r="T651" i="3"/>
  <c r="T583" i="3"/>
  <c r="T567" i="3"/>
  <c r="T295" i="3"/>
  <c r="T192" i="3"/>
  <c r="T433" i="3"/>
  <c r="T156" i="3"/>
  <c r="T461" i="3"/>
  <c r="T10" i="3"/>
  <c r="T141" i="3"/>
  <c r="T253" i="3"/>
  <c r="T471" i="3"/>
  <c r="T234" i="3"/>
  <c r="T28" i="3"/>
  <c r="T513" i="3"/>
  <c r="T336" i="3"/>
  <c r="T17" i="3"/>
  <c r="T502" i="3"/>
  <c r="T168" i="3"/>
  <c r="T169" i="3"/>
  <c r="T263" i="3"/>
  <c r="T123" i="3"/>
  <c r="T259" i="3"/>
  <c r="T100" i="3"/>
  <c r="T559" i="3"/>
  <c r="T111" i="3"/>
  <c r="T527" i="3"/>
  <c r="T30" i="3"/>
  <c r="T632" i="3"/>
  <c r="T379" i="3"/>
  <c r="T261" i="3"/>
  <c r="T46" i="3"/>
  <c r="T267" i="3"/>
  <c r="T658" i="3"/>
  <c r="T286" i="3"/>
  <c r="T521" i="3"/>
  <c r="T598" i="3"/>
  <c r="T639" i="3"/>
  <c r="T624" i="3"/>
  <c r="T609" i="3"/>
  <c r="T566" i="3"/>
  <c r="T464" i="3"/>
  <c r="T92" i="3"/>
  <c r="T152" i="3"/>
  <c r="T297" i="3"/>
  <c r="T451" i="3"/>
  <c r="T130" i="3"/>
  <c r="T225" i="3"/>
  <c r="T303" i="3"/>
  <c r="T526" i="3"/>
  <c r="T479" i="3"/>
  <c r="T57" i="3"/>
  <c r="T163" i="3"/>
  <c r="T594" i="3"/>
  <c r="T103" i="3"/>
  <c r="T518" i="3"/>
  <c r="T617" i="3"/>
  <c r="T551" i="3"/>
  <c r="T363" i="3"/>
  <c r="T227" i="3"/>
  <c r="T603" i="3"/>
  <c r="T251" i="3"/>
  <c r="T666" i="3"/>
  <c r="T270" i="3"/>
  <c r="T452" i="3"/>
  <c r="T664" i="3"/>
  <c r="T647" i="3"/>
  <c r="T173" i="3"/>
  <c r="T218" i="3"/>
  <c r="T412" i="3"/>
  <c r="T239" i="3"/>
  <c r="T67" i="3"/>
  <c r="T356" i="3"/>
  <c r="T504" i="3"/>
  <c r="T149" i="3"/>
  <c r="T104" i="3"/>
  <c r="T154" i="3"/>
  <c r="T195" i="3"/>
  <c r="T196" i="3"/>
  <c r="T354" i="3"/>
  <c r="T337" i="3"/>
  <c r="T80" i="3"/>
  <c r="T342" i="3"/>
  <c r="T343" i="3"/>
  <c r="T150" i="3"/>
  <c r="T47" i="3"/>
  <c r="T668" i="3"/>
  <c r="T87" i="3"/>
  <c r="T510" i="3"/>
  <c r="T634" i="3"/>
  <c r="T591" i="3"/>
  <c r="T241" i="3"/>
  <c r="T51" i="3"/>
  <c r="T584" i="3"/>
  <c r="T115" i="3"/>
  <c r="T420" i="3"/>
  <c r="T262" i="3"/>
  <c r="T428" i="3"/>
  <c r="T528" i="3"/>
  <c r="T655" i="3"/>
  <c r="T607" i="3"/>
  <c r="T580" i="3"/>
  <c r="T73" i="3"/>
  <c r="T505" i="3"/>
  <c r="T276" i="3"/>
  <c r="T184" i="3"/>
  <c r="T197" i="3"/>
  <c r="T160" i="3"/>
  <c r="T334" i="3"/>
  <c r="T408" i="3"/>
  <c r="T202" i="3"/>
  <c r="T312" i="3"/>
  <c r="T99" i="3"/>
  <c r="T155" i="3"/>
  <c r="T326" i="3"/>
  <c r="T327" i="3"/>
  <c r="T515" i="3"/>
  <c r="T449" i="3"/>
  <c r="T365" i="3"/>
  <c r="T391" i="3"/>
  <c r="T445" i="3"/>
  <c r="T547" i="3"/>
  <c r="T487" i="3"/>
  <c r="T663" i="3"/>
  <c r="T662" i="3"/>
  <c r="T71" i="3"/>
  <c r="T542" i="3"/>
  <c r="T308" i="3"/>
  <c r="T278" i="3"/>
  <c r="T357" i="3"/>
  <c r="T462" i="3"/>
  <c r="T413" i="3"/>
  <c r="T501" i="3"/>
  <c r="T422" i="3"/>
  <c r="T162" i="3"/>
  <c r="T170" i="3"/>
  <c r="T55" i="3"/>
  <c r="T322" i="3"/>
  <c r="T522" i="3"/>
  <c r="T148" i="3"/>
  <c r="T243" i="3"/>
  <c r="T311" i="3"/>
  <c r="T105" i="3"/>
  <c r="T5" i="3"/>
  <c r="T561" i="3"/>
  <c r="T13" i="3"/>
  <c r="T237" i="3"/>
  <c r="T596" i="3"/>
  <c r="T69" i="3"/>
  <c r="T177" i="3"/>
  <c r="T344" i="3"/>
  <c r="T214" i="3"/>
  <c r="T599" i="3"/>
  <c r="T266" i="3"/>
  <c r="T545" i="3"/>
  <c r="T106" i="3"/>
  <c r="T19" i="3"/>
  <c r="T612" i="3"/>
  <c r="T101" i="3"/>
  <c r="T128" i="3"/>
  <c r="T544" i="3"/>
  <c r="T468" i="3"/>
  <c r="T260" i="3"/>
  <c r="T122" i="3"/>
  <c r="T415" i="3"/>
  <c r="T644" i="3"/>
  <c r="T22" i="3"/>
  <c r="T11" i="3"/>
  <c r="T200" i="3"/>
  <c r="T309" i="3"/>
  <c r="T486" i="3"/>
  <c r="T384" i="3"/>
  <c r="T670" i="3"/>
  <c r="T539" i="3"/>
  <c r="T437" i="3"/>
  <c r="T643" i="3"/>
  <c r="T439" i="3"/>
  <c r="T671" i="3"/>
  <c r="T642" i="3"/>
  <c r="T541" i="3"/>
  <c r="T460" i="3"/>
  <c r="T265" i="3"/>
  <c r="T595" i="3"/>
  <c r="T113" i="3"/>
  <c r="T95" i="3"/>
  <c r="T530" i="3"/>
  <c r="T353" i="3"/>
  <c r="T88" i="3"/>
  <c r="T247" i="3"/>
  <c r="T102" i="3"/>
  <c r="T321" i="3"/>
  <c r="T508" i="3"/>
  <c r="T280" i="3"/>
  <c r="T18" i="3"/>
  <c r="T495" i="3"/>
  <c r="T489" i="3"/>
  <c r="T25" i="3"/>
  <c r="T443" i="3"/>
  <c r="T447" i="3"/>
  <c r="T32" i="3"/>
  <c r="T83" i="3"/>
  <c r="T320" i="3"/>
  <c r="T427" i="3"/>
  <c r="T64" i="3"/>
  <c r="T636" i="3"/>
  <c r="T477" i="3"/>
  <c r="T256" i="3"/>
  <c r="T242" i="3"/>
  <c r="T275" i="3"/>
  <c r="T478" i="3"/>
  <c r="T376" i="3"/>
  <c r="T491" i="3"/>
  <c r="T606" i="3"/>
  <c r="T421" i="3"/>
  <c r="T416" i="3"/>
  <c r="T358" i="3"/>
  <c r="T255" i="3"/>
  <c r="T121" i="3"/>
  <c r="T74" i="3"/>
  <c r="T94" i="3"/>
  <c r="T107" i="3"/>
  <c r="T151" i="3"/>
  <c r="T194" i="3"/>
  <c r="T411" i="3"/>
  <c r="T455" i="3"/>
  <c r="T503" i="3"/>
  <c r="T274" i="3"/>
  <c r="T279" i="3"/>
  <c r="T511" i="3"/>
  <c r="T291" i="3"/>
  <c r="T257" i="3"/>
  <c r="T402" i="3"/>
  <c r="T382" i="3"/>
  <c r="T306" i="3"/>
  <c r="T488" i="3"/>
  <c r="T66" i="3"/>
  <c r="T166" i="3"/>
  <c r="T532" i="3"/>
  <c r="T377" i="3"/>
  <c r="T432" i="3"/>
  <c r="T370" i="3"/>
  <c r="T616" i="3"/>
  <c r="T601" i="3"/>
  <c r="T183" i="3"/>
  <c r="T16" i="3"/>
  <c r="T63" i="3"/>
  <c r="T625" i="3"/>
  <c r="T619" i="3"/>
  <c r="T299" i="3"/>
  <c r="T339" i="3"/>
  <c r="T332" i="3"/>
  <c r="T203" i="3"/>
  <c r="T514" i="3"/>
  <c r="T549" i="3"/>
  <c r="T476" i="3"/>
  <c r="T346" i="3"/>
  <c r="T620" i="3"/>
  <c r="T590" i="3"/>
  <c r="T329" i="3"/>
  <c r="T268" i="3"/>
  <c r="T419" i="3"/>
  <c r="T135" i="3"/>
  <c r="T333" i="3"/>
  <c r="T165" i="3"/>
  <c r="T446" i="3"/>
  <c r="T368" i="3"/>
  <c r="T435" i="3"/>
  <c r="T587" i="3"/>
  <c r="T78" i="3"/>
  <c r="T400" i="3"/>
  <c r="T350" i="3"/>
  <c r="T659" i="3"/>
  <c r="T640" i="3"/>
  <c r="T392" i="3"/>
  <c r="T48" i="3"/>
  <c r="T31" i="3"/>
  <c r="T454" i="3"/>
  <c r="T77" i="3"/>
  <c r="T323" i="3"/>
  <c r="T386" i="3"/>
  <c r="T338" i="3"/>
  <c r="T371" i="3"/>
  <c r="T500" i="3"/>
  <c r="T198" i="3"/>
  <c r="T37" i="3"/>
  <c r="T59" i="3"/>
  <c r="T414" i="3"/>
  <c r="T360" i="3"/>
  <c r="T153" i="3"/>
  <c r="T648" i="3"/>
  <c r="T65" i="3"/>
  <c r="T375" i="3"/>
  <c r="T285" i="3"/>
  <c r="T537" i="3"/>
  <c r="T277" i="3"/>
  <c r="T404" i="3"/>
  <c r="T385" i="3"/>
  <c r="T238" i="3"/>
  <c r="T220" i="3"/>
  <c r="T493" i="3"/>
  <c r="T292" i="3"/>
  <c r="T134" i="3"/>
  <c r="T219" i="3"/>
  <c r="T146" i="3"/>
  <c r="T310" i="3"/>
  <c r="T389" i="3"/>
  <c r="T271" i="3"/>
  <c r="T145" i="3"/>
  <c r="T490" i="3"/>
  <c r="T49" i="3"/>
  <c r="T245" i="3"/>
  <c r="T236" i="3"/>
  <c r="T577" i="3"/>
  <c r="T535" i="3"/>
  <c r="T244" i="3"/>
  <c r="T398" i="3"/>
  <c r="T288" i="3"/>
  <c r="T345" i="3"/>
  <c r="T117" i="3"/>
  <c r="T207" i="3"/>
  <c r="T497" i="3"/>
  <c r="T186" i="3"/>
  <c r="T293" i="3"/>
  <c r="T21" i="3"/>
  <c r="T381" i="3"/>
  <c r="T229" i="3"/>
  <c r="T129" i="3"/>
  <c r="T434" i="3"/>
  <c r="T34" i="3"/>
  <c r="T228" i="3"/>
  <c r="T125" i="3"/>
  <c r="T474" i="3"/>
  <c r="T507" i="3"/>
  <c r="T269" i="3"/>
  <c r="T453" i="3"/>
  <c r="T470" i="3"/>
  <c r="T340" i="3"/>
  <c r="T394" i="3"/>
  <c r="T483" i="3"/>
  <c r="T258" i="3"/>
  <c r="T118" i="3"/>
  <c r="T189" i="3"/>
  <c r="T136" i="3"/>
  <c r="T252" i="3"/>
  <c r="T127" i="3"/>
  <c r="T610" i="3"/>
  <c r="T410" i="3"/>
  <c r="T2" i="3"/>
  <c r="T142" i="3"/>
  <c r="T519" i="3"/>
  <c r="T296" i="3"/>
  <c r="T475" i="3"/>
  <c r="T348" i="3"/>
  <c r="T335" i="3"/>
  <c r="T302" i="3"/>
  <c r="T304" i="3"/>
  <c r="T355" i="3"/>
  <c r="T407" i="3"/>
  <c r="T119" i="3"/>
  <c r="T79" i="3"/>
  <c r="T114" i="3"/>
  <c r="T224" i="3"/>
  <c r="T369" i="3"/>
  <c r="T565" i="3"/>
  <c r="T68" i="3"/>
  <c r="T482" i="3"/>
  <c r="T574" i="3"/>
  <c r="T467" i="3"/>
  <c r="T313" i="3"/>
  <c r="T319" i="3"/>
  <c r="T76" i="3"/>
  <c r="T440" i="3"/>
  <c r="T217" i="3"/>
  <c r="T498" i="3"/>
  <c r="T230" i="3"/>
  <c r="T231" i="3"/>
  <c r="T264" i="3"/>
  <c r="T191" i="3"/>
  <c r="T211" i="3"/>
  <c r="T91" i="3"/>
  <c r="T556" i="3"/>
  <c r="T548" i="3"/>
  <c r="T138" i="3"/>
  <c r="T272" i="3"/>
  <c r="T576" i="3"/>
  <c r="T52" i="3"/>
  <c r="T442" i="3"/>
  <c r="T623" i="3"/>
  <c r="T459" i="3"/>
  <c r="T301" i="3"/>
  <c r="T250" i="3"/>
  <c r="T199" i="3"/>
  <c r="T157" i="3"/>
  <c r="T347" i="3"/>
  <c r="T27" i="3"/>
  <c r="T212" i="3"/>
  <c r="T315" i="3"/>
  <c r="T305" i="3"/>
  <c r="T575" i="3"/>
  <c r="T553" i="3"/>
  <c r="T33" i="3"/>
  <c r="T592" i="3"/>
  <c r="T608" i="3"/>
  <c r="T29" i="3"/>
  <c r="T426" i="3"/>
  <c r="T622" i="3"/>
  <c r="T26" i="3"/>
  <c r="T193" i="3"/>
  <c r="T164" i="3"/>
  <c r="T208" i="3"/>
  <c r="T7" i="3"/>
  <c r="T441" i="3"/>
  <c r="T206" i="3"/>
  <c r="T143" i="3"/>
  <c r="T3" i="3"/>
  <c r="T401" i="3"/>
  <c r="T210" i="3"/>
  <c r="T6" i="3"/>
  <c r="T534" i="3"/>
  <c r="T600" i="3"/>
  <c r="T283" i="3"/>
  <c r="T90" i="3"/>
  <c r="T181" i="3"/>
  <c r="T588" i="3"/>
  <c r="T387" i="3"/>
  <c r="T172" i="3"/>
  <c r="T50" i="3"/>
  <c r="T139" i="3"/>
  <c r="T316" i="3"/>
  <c r="T58" i="3"/>
  <c r="T661" i="3"/>
  <c r="T573" i="3"/>
  <c r="T645" i="3"/>
  <c r="T174" i="3"/>
  <c r="T281" i="3"/>
  <c r="T314" i="3"/>
  <c r="T499" i="3"/>
  <c r="T341" i="3"/>
  <c r="T431" i="3"/>
  <c r="T558" i="3"/>
  <c r="T637" i="3"/>
  <c r="T112" i="3"/>
  <c r="T418" i="3"/>
  <c r="T190" i="3"/>
  <c r="T325" i="3"/>
  <c r="T485" i="3"/>
  <c r="T579" i="3"/>
  <c r="T546" i="3"/>
  <c r="T147" i="3"/>
  <c r="T520" i="3"/>
  <c r="T282" i="3"/>
  <c r="H6" i="1"/>
  <c r="H4" i="1"/>
  <c r="H9" i="1"/>
  <c r="H8" i="1"/>
  <c r="K197" i="3" l="1"/>
  <c r="J197" i="3" s="1"/>
  <c r="K260" i="3"/>
  <c r="J260" i="3" s="1"/>
  <c r="K462" i="3"/>
  <c r="J462" i="3" s="1"/>
  <c r="K24" i="3"/>
  <c r="J24" i="3" s="1"/>
  <c r="K137" i="3"/>
  <c r="J137" i="3" s="1"/>
  <c r="K637" i="3"/>
  <c r="J637" i="3" s="1"/>
  <c r="K27" i="3"/>
  <c r="J27" i="3" s="1"/>
  <c r="K306" i="3"/>
  <c r="J306" i="3" s="1"/>
  <c r="K411" i="3"/>
  <c r="J411" i="3" s="1"/>
  <c r="K32" i="3"/>
  <c r="J32" i="3" s="1"/>
  <c r="K327" i="3"/>
  <c r="J327" i="3" s="1"/>
  <c r="K509" i="3"/>
  <c r="J509" i="3" s="1"/>
  <c r="K33" i="3"/>
  <c r="J33" i="3" s="1"/>
  <c r="K31" i="3"/>
  <c r="J31" i="3" s="1"/>
  <c r="K457" i="3"/>
  <c r="J457" i="3" s="1"/>
  <c r="K190" i="3"/>
  <c r="J190" i="3" s="1"/>
  <c r="K34" i="3"/>
  <c r="J34" i="3" s="1"/>
  <c r="K404" i="3"/>
  <c r="J404" i="3" s="1"/>
  <c r="K537" i="3"/>
  <c r="J537" i="3" s="1"/>
  <c r="K127" i="3"/>
  <c r="J127" i="3" s="1"/>
  <c r="K532" i="3"/>
  <c r="J532" i="3" s="1"/>
  <c r="K30" i="3"/>
  <c r="J30" i="3" s="1"/>
  <c r="K263" i="3"/>
  <c r="J263" i="3" s="1"/>
  <c r="K333" i="3"/>
  <c r="J333" i="3" s="1"/>
  <c r="K349" i="3"/>
  <c r="J349" i="3" s="1"/>
  <c r="K365" i="3"/>
  <c r="J365" i="3" s="1"/>
  <c r="K381" i="3"/>
  <c r="J381" i="3" s="1"/>
  <c r="K378" i="3"/>
  <c r="J378" i="3" s="1"/>
  <c r="K37" i="3"/>
  <c r="J37" i="3" s="1"/>
  <c r="K351" i="3"/>
  <c r="J351" i="3" s="1"/>
  <c r="K353" i="3"/>
  <c r="J353" i="3" s="1"/>
  <c r="K380" i="3"/>
  <c r="J380" i="3" s="1"/>
  <c r="K348" i="3"/>
  <c r="J348" i="3" s="1"/>
  <c r="K377" i="3"/>
  <c r="J377" i="3" s="1"/>
  <c r="K35" i="3"/>
  <c r="J35" i="3" s="1"/>
  <c r="K46" i="3"/>
  <c r="J46" i="3" s="1"/>
  <c r="K28" i="3"/>
  <c r="J28" i="3" s="1"/>
  <c r="K25" i="3"/>
  <c r="J25" i="3" s="1"/>
  <c r="K872" i="3"/>
  <c r="J872" i="3" s="1"/>
  <c r="K756" i="3"/>
  <c r="J756" i="3" s="1"/>
  <c r="K857" i="3"/>
  <c r="J857" i="3" s="1"/>
  <c r="K761" i="3"/>
  <c r="J761" i="3" s="1"/>
  <c r="K99" i="3"/>
  <c r="J99" i="3" s="1"/>
  <c r="K102" i="3"/>
  <c r="J102" i="3" s="1"/>
  <c r="H13" i="1"/>
  <c r="K60" i="3" l="1"/>
  <c r="J60" i="3" s="1"/>
  <c r="K61" i="3"/>
  <c r="J61" i="3" s="1"/>
  <c r="H17" i="1"/>
  <c r="H16" i="1"/>
  <c r="H19" i="1"/>
  <c r="H20" i="1"/>
  <c r="K105" i="3" s="1"/>
  <c r="J105" i="3" s="1"/>
  <c r="H15" i="1"/>
  <c r="K103" i="3" l="1"/>
  <c r="J103" i="3" s="1"/>
  <c r="K573" i="3"/>
  <c r="J573" i="3" s="1"/>
  <c r="K245" i="3"/>
  <c r="J245" i="3" s="1"/>
  <c r="K114" i="3"/>
  <c r="J114" i="3" s="1"/>
  <c r="K78" i="3"/>
  <c r="J78" i="3" s="1"/>
  <c r="K287" i="3"/>
  <c r="J287" i="3" s="1"/>
  <c r="K249" i="3"/>
  <c r="J249" i="3" s="1"/>
  <c r="K881" i="3"/>
  <c r="J881" i="3" s="1"/>
  <c r="K728" i="3"/>
  <c r="J728" i="3" s="1"/>
  <c r="K713" i="3"/>
  <c r="J713" i="3" s="1"/>
  <c r="K676" i="3"/>
  <c r="J676" i="3" s="1"/>
  <c r="K675" i="3"/>
  <c r="J675" i="3" s="1"/>
  <c r="K677" i="3"/>
  <c r="J677" i="3" s="1"/>
  <c r="K684" i="3"/>
  <c r="J684" i="3" s="1"/>
  <c r="K689" i="3"/>
  <c r="J689" i="3" s="1"/>
  <c r="K683" i="3"/>
  <c r="J683" i="3" s="1"/>
  <c r="K276" i="3"/>
  <c r="J276" i="3" s="1"/>
  <c r="K341" i="3"/>
  <c r="J341" i="3" s="1"/>
  <c r="K357" i="3"/>
  <c r="J357" i="3" s="1"/>
  <c r="K446" i="3"/>
  <c r="J446" i="3" s="1"/>
  <c r="K69" i="3"/>
  <c r="J69" i="3" s="1"/>
  <c r="K66" i="3"/>
  <c r="J66" i="3" s="1"/>
  <c r="K79" i="3"/>
  <c r="J79" i="3" s="1"/>
  <c r="K87" i="3"/>
  <c r="J87" i="3" s="1"/>
  <c r="K95" i="3"/>
  <c r="J95" i="3" s="1"/>
  <c r="K235" i="3"/>
  <c r="J235" i="3" s="1"/>
  <c r="K71" i="3"/>
  <c r="J71" i="3" s="1"/>
  <c r="K63" i="3"/>
  <c r="J63" i="3" s="1"/>
  <c r="K76" i="3"/>
  <c r="J76" i="3" s="1"/>
  <c r="K84" i="3"/>
  <c r="J84" i="3" s="1"/>
  <c r="K92" i="3"/>
  <c r="J92" i="3" s="1"/>
  <c r="K70" i="3"/>
  <c r="J70" i="3" s="1"/>
  <c r="K169" i="3"/>
  <c r="J169" i="3" s="1"/>
  <c r="K202" i="3"/>
  <c r="J202" i="3" s="1"/>
  <c r="K330" i="3"/>
  <c r="J330" i="3" s="1"/>
  <c r="K419" i="3"/>
  <c r="J419" i="3" s="1"/>
  <c r="K100" i="3"/>
  <c r="J100" i="3" s="1"/>
  <c r="K72" i="3"/>
  <c r="J72" i="3" s="1"/>
  <c r="K480" i="3"/>
  <c r="J480" i="3" s="1"/>
  <c r="K97" i="3"/>
  <c r="J97" i="3" s="1"/>
  <c r="K142" i="3"/>
  <c r="J142" i="3" s="1"/>
  <c r="K270" i="3"/>
  <c r="J270" i="3" s="1"/>
  <c r="K448" i="3"/>
  <c r="J448" i="3" s="1"/>
  <c r="K392" i="3"/>
  <c r="J392" i="3" s="1"/>
  <c r="K416" i="3"/>
  <c r="J416" i="3" s="1"/>
  <c r="K81" i="3"/>
  <c r="J81" i="3" s="1"/>
  <c r="K546" i="3"/>
  <c r="J546" i="3" s="1"/>
  <c r="K89" i="3"/>
  <c r="J89" i="3" s="1"/>
  <c r="K203" i="3"/>
  <c r="J203" i="3" s="1"/>
  <c r="K339" i="3"/>
  <c r="J339" i="3" s="1"/>
  <c r="K463" i="3"/>
  <c r="J463" i="3" s="1"/>
  <c r="K534" i="3"/>
  <c r="J534" i="3" s="1"/>
  <c r="K447" i="3"/>
  <c r="J447" i="3" s="1"/>
  <c r="K550" i="3"/>
  <c r="J550" i="3" s="1"/>
  <c r="K204" i="3"/>
  <c r="J204" i="3" s="1"/>
  <c r="K75" i="3"/>
  <c r="J75" i="3" s="1"/>
  <c r="K90" i="3"/>
  <c r="J90" i="3" s="1"/>
  <c r="K391" i="3"/>
  <c r="J391" i="3" s="1"/>
  <c r="K64" i="3"/>
  <c r="J64" i="3" s="1"/>
  <c r="K139" i="3"/>
  <c r="J139" i="3" s="1"/>
  <c r="K144" i="3"/>
  <c r="J144" i="3" s="1"/>
  <c r="K412" i="3"/>
  <c r="J412" i="3" s="1"/>
  <c r="K417" i="3"/>
  <c r="J417" i="3" s="1"/>
  <c r="K328" i="3"/>
  <c r="J328" i="3" s="1"/>
  <c r="K138" i="3"/>
  <c r="J138" i="3" s="1"/>
  <c r="K143" i="3"/>
  <c r="J143" i="3" s="1"/>
  <c r="K477" i="3"/>
  <c r="J477" i="3" s="1"/>
  <c r="K548" i="3"/>
  <c r="J548" i="3" s="1"/>
  <c r="K264" i="3"/>
  <c r="J264" i="3" s="1"/>
  <c r="K340" i="3"/>
  <c r="J340" i="3" s="1"/>
  <c r="K94" i="3"/>
  <c r="J94" i="3" s="1"/>
  <c r="K291" i="3"/>
  <c r="J291" i="3" s="1"/>
  <c r="K415" i="3"/>
  <c r="J415" i="3" s="1"/>
  <c r="K86" i="3"/>
  <c r="J86" i="3" s="1"/>
  <c r="K533" i="3"/>
  <c r="J533" i="3" s="1"/>
  <c r="K133" i="3"/>
  <c r="J133" i="3" s="1"/>
  <c r="K269" i="3"/>
  <c r="J269" i="3" s="1"/>
  <c r="K274" i="3"/>
  <c r="J274" i="3" s="1"/>
  <c r="K549" i="3"/>
  <c r="J549" i="3" s="1"/>
  <c r="K80" i="3"/>
  <c r="J80" i="3" s="1"/>
  <c r="K85" i="3"/>
  <c r="J85" i="3" s="1"/>
  <c r="K266" i="3"/>
  <c r="J266" i="3" s="1"/>
  <c r="K271" i="3"/>
  <c r="J271" i="3" s="1"/>
  <c r="K385" i="3"/>
  <c r="J385" i="3" s="1"/>
  <c r="K200" i="3"/>
  <c r="J200" i="3" s="1"/>
  <c r="K445" i="3"/>
  <c r="J445" i="3" s="1"/>
  <c r="K460" i="3"/>
  <c r="J460" i="3" s="1"/>
  <c r="K465" i="3"/>
  <c r="J465" i="3" s="1"/>
  <c r="K236" i="3"/>
  <c r="J236" i="3" s="1"/>
  <c r="K91" i="3"/>
  <c r="J91" i="3" s="1"/>
  <c r="K96" i="3"/>
  <c r="J96" i="3" s="1"/>
  <c r="K272" i="3"/>
  <c r="J272" i="3" s="1"/>
  <c r="K547" i="3"/>
  <c r="J547" i="3" s="1"/>
  <c r="K444" i="3"/>
  <c r="J444" i="3" s="1"/>
  <c r="K65" i="3"/>
  <c r="J65" i="3" s="1"/>
  <c r="K393" i="3"/>
  <c r="J393" i="3" s="1"/>
  <c r="K201" i="3"/>
  <c r="J201" i="3" s="1"/>
  <c r="K82" i="3"/>
  <c r="J82" i="3" s="1"/>
  <c r="K342" i="3"/>
  <c r="J342" i="3" s="1"/>
  <c r="K413" i="3"/>
  <c r="J413" i="3" s="1"/>
  <c r="K67" i="3"/>
  <c r="J67" i="3" s="1"/>
  <c r="K196" i="3"/>
  <c r="J196" i="3" s="1"/>
  <c r="K73" i="3"/>
  <c r="J73" i="3" s="1"/>
  <c r="K418" i="3"/>
  <c r="J418" i="3" s="1"/>
  <c r="K466" i="3"/>
  <c r="J466" i="3" s="1"/>
  <c r="K121" i="3"/>
  <c r="J121" i="3" s="1"/>
  <c r="K240" i="3"/>
  <c r="J240" i="3" s="1"/>
  <c r="K113" i="3"/>
  <c r="J113" i="3" s="1"/>
  <c r="K119" i="3"/>
  <c r="J119" i="3" s="1"/>
  <c r="K888" i="3"/>
  <c r="J888" i="3" s="1"/>
  <c r="K880" i="3"/>
  <c r="J880" i="3" s="1"/>
  <c r="K882" i="3"/>
  <c r="J882" i="3" s="1"/>
  <c r="K718" i="3"/>
  <c r="J718" i="3" s="1"/>
  <c r="K802" i="3"/>
  <c r="J802" i="3" s="1"/>
  <c r="K754" i="3"/>
  <c r="J754" i="3" s="1"/>
  <c r="K680" i="3"/>
  <c r="J680" i="3" s="1"/>
  <c r="K181" i="3"/>
  <c r="J181" i="3" s="1"/>
  <c r="K389" i="3"/>
  <c r="J389" i="3" s="1"/>
  <c r="K265" i="3"/>
  <c r="J265" i="3" s="1"/>
  <c r="K290" i="3"/>
  <c r="J290" i="3" s="1"/>
  <c r="K68" i="3"/>
  <c r="J68" i="3" s="1"/>
  <c r="K329" i="3"/>
  <c r="J329" i="3" s="1"/>
  <c r="K531" i="3"/>
  <c r="J531" i="3" s="1"/>
  <c r="K232" i="3"/>
  <c r="J232" i="3" s="1"/>
  <c r="K135" i="3"/>
  <c r="J135" i="3" s="1"/>
  <c r="K74" i="3"/>
  <c r="J74" i="3" s="1"/>
  <c r="K234" i="3"/>
  <c r="J234" i="3" s="1"/>
  <c r="K93" i="3"/>
  <c r="J93" i="3" s="1"/>
  <c r="K394" i="3"/>
  <c r="J394" i="3" s="1"/>
  <c r="K410" i="3"/>
  <c r="J410" i="3" s="1"/>
  <c r="K101" i="3"/>
  <c r="J101" i="3" s="1"/>
  <c r="K83" i="3"/>
  <c r="J83" i="3" s="1"/>
  <c r="K88" i="3"/>
  <c r="J88" i="3" s="1"/>
  <c r="K179" i="3"/>
  <c r="J179" i="3" s="1"/>
  <c r="K195" i="3"/>
  <c r="J195" i="3" s="1"/>
  <c r="K450" i="3"/>
  <c r="J450" i="3" s="1"/>
  <c r="K482" i="3"/>
  <c r="J482" i="3" s="1"/>
  <c r="K98" i="3"/>
  <c r="J98" i="3" s="1"/>
  <c r="K449" i="3"/>
  <c r="J449" i="3" s="1"/>
  <c r="K77" i="3"/>
  <c r="J77" i="3" s="1"/>
  <c r="K461" i="3"/>
  <c r="J461" i="3" s="1"/>
  <c r="K481" i="3"/>
  <c r="J481" i="3" s="1"/>
  <c r="H11" i="1"/>
  <c r="K118" i="3" l="1"/>
  <c r="J118" i="3" s="1"/>
  <c r="K120" i="3"/>
  <c r="J120" i="3" s="1"/>
  <c r="H12" i="1"/>
  <c r="H10" i="1"/>
  <c r="H7" i="1"/>
  <c r="H14" i="1"/>
  <c r="H5" i="1"/>
  <c r="K685" i="3" l="1"/>
  <c r="J685" i="3" s="1"/>
  <c r="K309" i="3"/>
  <c r="J309" i="3" s="1"/>
  <c r="K373" i="3"/>
  <c r="J373" i="3" s="1"/>
  <c r="K398" i="3"/>
  <c r="J398" i="3" s="1"/>
  <c r="K422" i="3"/>
  <c r="J422" i="3" s="1"/>
  <c r="K50" i="3"/>
  <c r="J50" i="3" s="1"/>
  <c r="K156" i="3"/>
  <c r="J156" i="3" s="1"/>
  <c r="K177" i="3"/>
  <c r="J177" i="3" s="1"/>
  <c r="K322" i="3"/>
  <c r="J322" i="3" s="1"/>
  <c r="K153" i="3"/>
  <c r="J153" i="3" s="1"/>
  <c r="K174" i="3"/>
  <c r="J174" i="3" s="1"/>
  <c r="K311" i="3"/>
  <c r="J311" i="3" s="1"/>
  <c r="K375" i="3"/>
  <c r="J375" i="3" s="1"/>
  <c r="K432" i="3"/>
  <c r="J432" i="3" s="1"/>
  <c r="K126" i="3"/>
  <c r="J126" i="3" s="1"/>
  <c r="K324" i="3"/>
  <c r="J324" i="3" s="1"/>
  <c r="K51" i="3"/>
  <c r="J51" i="3" s="1"/>
  <c r="K220" i="3"/>
  <c r="J220" i="3" s="1"/>
  <c r="K318" i="3"/>
  <c r="J318" i="3" s="1"/>
  <c r="K123" i="3"/>
  <c r="J123" i="3" s="1"/>
  <c r="K358" i="3"/>
  <c r="J358" i="3" s="1"/>
  <c r="K542" i="3"/>
  <c r="J542" i="3" s="1"/>
  <c r="K630" i="3"/>
  <c r="J630" i="3" s="1"/>
  <c r="K49" i="3"/>
  <c r="J49" i="3" s="1"/>
  <c r="K149" i="3"/>
  <c r="J149" i="3" s="1"/>
  <c r="K407" i="3"/>
  <c r="J407" i="3" s="1"/>
  <c r="K313" i="3"/>
  <c r="J313" i="3" s="1"/>
  <c r="K48" i="3"/>
  <c r="J48" i="3" s="1"/>
  <c r="K487" i="3"/>
  <c r="J487" i="3" s="1"/>
  <c r="K173" i="3"/>
  <c r="J173" i="3" s="1"/>
  <c r="K300" i="3"/>
  <c r="J300" i="3" s="1"/>
  <c r="K150" i="3"/>
  <c r="J150" i="3" s="1"/>
  <c r="K405" i="3"/>
  <c r="J405" i="3" s="1"/>
  <c r="K437" i="3"/>
  <c r="J437" i="3" s="1"/>
  <c r="K315" i="3"/>
  <c r="J315" i="3" s="1"/>
  <c r="K320" i="3"/>
  <c r="J320" i="3" s="1"/>
  <c r="K261" i="3"/>
  <c r="J261" i="3" s="1"/>
  <c r="K131" i="3"/>
  <c r="J131" i="3" s="1"/>
  <c r="K146" i="3"/>
  <c r="J146" i="3" s="1"/>
  <c r="K604" i="3"/>
  <c r="J604" i="3" s="1"/>
  <c r="K345" i="3"/>
  <c r="J345" i="3" s="1"/>
  <c r="K360" i="3"/>
  <c r="J360" i="3" s="1"/>
  <c r="K595" i="3"/>
  <c r="J595" i="3" s="1"/>
  <c r="K382" i="3"/>
  <c r="J382" i="3" s="1"/>
  <c r="K302" i="3"/>
  <c r="J302" i="3" s="1"/>
  <c r="K297" i="3"/>
  <c r="J297" i="3" s="1"/>
  <c r="K428" i="3"/>
  <c r="J428" i="3" s="1"/>
  <c r="K170" i="3"/>
  <c r="J170" i="3" s="1"/>
  <c r="K436" i="3"/>
  <c r="J436" i="3" s="1"/>
  <c r="K167" i="3"/>
  <c r="J167" i="3" s="1"/>
  <c r="K337" i="3"/>
  <c r="J337" i="3" s="1"/>
  <c r="K603" i="3"/>
  <c r="J603" i="3" s="1"/>
  <c r="K884" i="3"/>
  <c r="J884" i="3" s="1"/>
  <c r="K875" i="3"/>
  <c r="J875" i="3" s="1"/>
  <c r="K868" i="3"/>
  <c r="J868" i="3" s="1"/>
  <c r="K867" i="3"/>
  <c r="J867" i="3" s="1"/>
  <c r="K866" i="3"/>
  <c r="J866" i="3" s="1"/>
  <c r="K876" i="3"/>
  <c r="J876" i="3" s="1"/>
  <c r="K40" i="3"/>
  <c r="J40" i="3" s="1"/>
  <c r="K871" i="3"/>
  <c r="J871" i="3" s="1"/>
  <c r="K869" i="3"/>
  <c r="J869" i="3" s="1"/>
  <c r="K870" i="3"/>
  <c r="J870" i="3" s="1"/>
  <c r="K42" i="3"/>
  <c r="J42" i="3" s="1"/>
  <c r="K43" i="3"/>
  <c r="J43" i="3" s="1"/>
  <c r="K873" i="3"/>
  <c r="J873" i="3" s="1"/>
  <c r="K44" i="3"/>
  <c r="J44" i="3" s="1"/>
  <c r="K38" i="3"/>
  <c r="J38" i="3" s="1"/>
  <c r="K39" i="3"/>
  <c r="J39" i="3" s="1"/>
  <c r="K886" i="3"/>
  <c r="J886" i="3" s="1"/>
  <c r="K41" i="3"/>
  <c r="J41" i="3" s="1"/>
  <c r="K874" i="3"/>
  <c r="J874" i="3" s="1"/>
  <c r="K879" i="3"/>
  <c r="J879" i="3" s="1"/>
  <c r="K836" i="3"/>
  <c r="J836" i="3" s="1"/>
  <c r="K845" i="3"/>
  <c r="J845" i="3" s="1"/>
  <c r="K724" i="3"/>
  <c r="J724" i="3" s="1"/>
  <c r="K708" i="3"/>
  <c r="J708" i="3" s="1"/>
  <c r="K700" i="3"/>
  <c r="J700" i="3" s="1"/>
  <c r="K816" i="3"/>
  <c r="J816" i="3" s="1"/>
  <c r="K808" i="3"/>
  <c r="J808" i="3" s="1"/>
  <c r="K794" i="3"/>
  <c r="J794" i="3" s="1"/>
  <c r="K854" i="3"/>
  <c r="J854" i="3" s="1"/>
  <c r="K822" i="3"/>
  <c r="J822" i="3" s="1"/>
  <c r="K814" i="3"/>
  <c r="J814" i="3" s="1"/>
  <c r="K798" i="3"/>
  <c r="J798" i="3" s="1"/>
  <c r="K749" i="3"/>
  <c r="J749" i="3" s="1"/>
  <c r="K849" i="3"/>
  <c r="J849" i="3" s="1"/>
  <c r="K825" i="3"/>
  <c r="J825" i="3" s="1"/>
  <c r="K731" i="3"/>
  <c r="J731" i="3" s="1"/>
  <c r="K855" i="3"/>
  <c r="J855" i="3" s="1"/>
  <c r="K847" i="3"/>
  <c r="J847" i="3" s="1"/>
  <c r="K790" i="3"/>
  <c r="J790" i="3" s="1"/>
  <c r="K766" i="3"/>
  <c r="J766" i="3" s="1"/>
  <c r="K710" i="3"/>
  <c r="J710" i="3" s="1"/>
  <c r="K818" i="3"/>
  <c r="J818" i="3" s="1"/>
  <c r="K810" i="3"/>
  <c r="J810" i="3" s="1"/>
  <c r="K785" i="3"/>
  <c r="J785" i="3" s="1"/>
  <c r="K800" i="3"/>
  <c r="J800" i="3" s="1"/>
  <c r="K695" i="3"/>
  <c r="J695" i="3" s="1"/>
  <c r="K851" i="3"/>
  <c r="J851" i="3" s="1"/>
  <c r="K843" i="3"/>
  <c r="J843" i="3" s="1"/>
  <c r="K828" i="3"/>
  <c r="J828" i="3" s="1"/>
  <c r="K747" i="3"/>
  <c r="J747" i="3" s="1"/>
  <c r="K745" i="3"/>
  <c r="J745" i="3" s="1"/>
  <c r="K729" i="3"/>
  <c r="J729" i="3" s="1"/>
  <c r="K697" i="3"/>
  <c r="J697" i="3" s="1"/>
  <c r="K740" i="3"/>
  <c r="J740" i="3" s="1"/>
  <c r="K722" i="3"/>
  <c r="J722" i="3" s="1"/>
  <c r="K792" i="3"/>
  <c r="J792" i="3" s="1"/>
  <c r="K712" i="3"/>
  <c r="J712" i="3" s="1"/>
  <c r="K860" i="3"/>
  <c r="J860" i="3" s="1"/>
  <c r="K693" i="3"/>
  <c r="J693" i="3" s="1"/>
  <c r="K812" i="3"/>
  <c r="J812" i="3" s="1"/>
  <c r="K804" i="3"/>
  <c r="J804" i="3" s="1"/>
  <c r="K682" i="3"/>
  <c r="J682" i="3" s="1"/>
  <c r="K525" i="3"/>
  <c r="J525" i="3" s="1"/>
  <c r="K691" i="3"/>
  <c r="J691" i="3" s="1"/>
  <c r="K478" i="3"/>
  <c r="J478" i="3" s="1"/>
  <c r="K540" i="3"/>
  <c r="J540" i="3" s="1"/>
  <c r="K386" i="3"/>
  <c r="J386" i="3" s="1"/>
  <c r="K395" i="3"/>
  <c r="J395" i="3" s="1"/>
  <c r="K443" i="3"/>
  <c r="J443" i="3" s="1"/>
  <c r="K47" i="3"/>
  <c r="J47" i="3" s="1"/>
  <c r="K440" i="3"/>
  <c r="J440" i="3" s="1"/>
  <c r="K29" i="3"/>
  <c r="J29" i="3" s="1"/>
  <c r="K473" i="3"/>
  <c r="J473" i="3" s="1"/>
  <c r="K442" i="3"/>
  <c r="J442" i="3" s="1"/>
  <c r="K23" i="3"/>
  <c r="J23" i="3" s="1"/>
  <c r="K45" i="3"/>
  <c r="J45" i="3" s="1"/>
  <c r="K384" i="3"/>
  <c r="J384" i="3" s="1"/>
  <c r="K493" i="3"/>
  <c r="J493" i="3" s="1"/>
  <c r="K452" i="3"/>
  <c r="J452" i="3" s="1"/>
  <c r="K524" i="3"/>
  <c r="J524" i="3" s="1"/>
  <c r="K479" i="3"/>
  <c r="J479" i="3" s="1"/>
  <c r="K26" i="3"/>
  <c r="J26" i="3" s="1"/>
  <c r="K36" i="3"/>
  <c r="J36" i="3" s="1"/>
  <c r="K617" i="3"/>
  <c r="J617" i="3" s="1"/>
  <c r="K476" i="3"/>
  <c r="J476" i="3" s="1"/>
  <c r="K513" i="3"/>
  <c r="J513" i="3" s="1"/>
  <c r="K294" i="3"/>
  <c r="J294" i="3" s="1"/>
  <c r="K387" i="3"/>
  <c r="J387" i="3" s="1"/>
  <c r="K423" i="3"/>
  <c r="J423" i="3" s="1"/>
  <c r="K258" i="3"/>
  <c r="J258" i="3" s="1"/>
  <c r="K885" i="3"/>
  <c r="J885" i="3" s="1"/>
  <c r="K865" i="3"/>
  <c r="J865" i="3" s="1"/>
  <c r="K438" i="3"/>
  <c r="J438" i="3" s="1"/>
  <c r="K402" i="3"/>
  <c r="J402" i="3" s="1"/>
  <c r="K104" i="3"/>
  <c r="J104" i="3" s="1"/>
  <c r="K439" i="3"/>
  <c r="J439" i="3" s="1"/>
  <c r="K62" i="3"/>
  <c r="J62" i="3" s="1"/>
  <c r="K686" i="3"/>
  <c r="J686" i="3" s="1"/>
  <c r="K678" i="3"/>
  <c r="J678" i="3" s="1"/>
  <c r="K665" i="3"/>
  <c r="J665" i="3" s="1"/>
  <c r="K599" i="3"/>
  <c r="J599" i="3" s="1"/>
  <c r="K564" i="3"/>
  <c r="J564" i="3" s="1"/>
  <c r="K556" i="3"/>
  <c r="J556" i="3" s="1"/>
  <c r="K172" i="3"/>
  <c r="J172" i="3" s="1"/>
  <c r="K213" i="3"/>
  <c r="J213" i="3" s="1"/>
  <c r="K486" i="3"/>
  <c r="J486" i="3" s="1"/>
  <c r="K499" i="3"/>
  <c r="J499" i="3" s="1"/>
  <c r="K507" i="3"/>
  <c r="J507" i="3" s="1"/>
  <c r="K578" i="3"/>
  <c r="J578" i="3" s="1"/>
  <c r="K567" i="3"/>
  <c r="J567" i="3" s="1"/>
  <c r="K116" i="3"/>
  <c r="J116" i="3" s="1"/>
  <c r="K148" i="3"/>
  <c r="J148" i="3" s="1"/>
  <c r="K663" i="3"/>
  <c r="J663" i="3" s="1"/>
  <c r="K597" i="3"/>
  <c r="J597" i="3" s="1"/>
  <c r="K652" i="3"/>
  <c r="J652" i="3" s="1"/>
  <c r="K644" i="3"/>
  <c r="J644" i="3" s="1"/>
  <c r="K632" i="3"/>
  <c r="J632" i="3" s="1"/>
  <c r="K615" i="3"/>
  <c r="J615" i="3" s="1"/>
  <c r="K591" i="3"/>
  <c r="J591" i="3" s="1"/>
  <c r="K559" i="3"/>
  <c r="J559" i="3" s="1"/>
  <c r="K52" i="3"/>
  <c r="J52" i="3" s="1"/>
  <c r="K517" i="3"/>
  <c r="J517" i="3" s="1"/>
  <c r="K526" i="3"/>
  <c r="J526" i="3" s="1"/>
  <c r="K634" i="3"/>
  <c r="J634" i="3" s="1"/>
  <c r="K193" i="3"/>
  <c r="J193" i="3" s="1"/>
  <c r="K344" i="3"/>
  <c r="J344" i="3" s="1"/>
  <c r="K490" i="3"/>
  <c r="J490" i="3" s="1"/>
  <c r="K627" i="3"/>
  <c r="J627" i="3" s="1"/>
  <c r="K622" i="3"/>
  <c r="J622" i="3" s="1"/>
  <c r="K552" i="3"/>
  <c r="J552" i="3" s="1"/>
  <c r="K648" i="3"/>
  <c r="J648" i="3" s="1"/>
  <c r="K638" i="3"/>
  <c r="J638" i="3" s="1"/>
  <c r="K558" i="3"/>
  <c r="J558" i="3" s="1"/>
  <c r="K54" i="3"/>
  <c r="J54" i="3" s="1"/>
  <c r="K374" i="3"/>
  <c r="J374" i="3" s="1"/>
  <c r="K379" i="3"/>
  <c r="J379" i="3" s="1"/>
  <c r="K505" i="3"/>
  <c r="J505" i="3" s="1"/>
  <c r="K646" i="3"/>
  <c r="J646" i="3" s="1"/>
  <c r="K576" i="3"/>
  <c r="J576" i="3" s="1"/>
  <c r="K528" i="3"/>
  <c r="J528" i="3" s="1"/>
  <c r="K217" i="3"/>
  <c r="J217" i="3" s="1"/>
  <c r="K611" i="3"/>
  <c r="J611" i="3" s="1"/>
  <c r="K376" i="3"/>
  <c r="J376" i="3" s="1"/>
  <c r="K624" i="3"/>
  <c r="J624" i="3" s="1"/>
  <c r="K619" i="3"/>
  <c r="J619" i="3" s="1"/>
  <c r="K497" i="3"/>
  <c r="J497" i="3" s="1"/>
  <c r="K669" i="3"/>
  <c r="J669" i="3" s="1"/>
  <c r="K659" i="3"/>
  <c r="J659" i="3" s="1"/>
  <c r="K654" i="3"/>
  <c r="J654" i="3" s="1"/>
  <c r="K584" i="3"/>
  <c r="J584" i="3" s="1"/>
  <c r="K388" i="3"/>
  <c r="J388" i="3" s="1"/>
  <c r="K582" i="3"/>
  <c r="J582" i="3" s="1"/>
  <c r="K125" i="3"/>
  <c r="J125" i="3" s="1"/>
  <c r="K209" i="3"/>
  <c r="J209" i="3" s="1"/>
  <c r="K545" i="3"/>
  <c r="J545" i="3" s="1"/>
  <c r="K661" i="3"/>
  <c r="J661" i="3" s="1"/>
  <c r="K571" i="3"/>
  <c r="J571" i="3" s="1"/>
  <c r="K502" i="3"/>
  <c r="J502" i="3" s="1"/>
  <c r="K176" i="3"/>
  <c r="J176" i="3" s="1"/>
  <c r="K187" i="3"/>
  <c r="J187" i="3" s="1"/>
  <c r="K53" i="3"/>
  <c r="J53" i="3" s="1"/>
  <c r="K589" i="3"/>
  <c r="J589" i="3" s="1"/>
  <c r="K163" i="3"/>
  <c r="J163" i="3" s="1"/>
  <c r="K667" i="3"/>
  <c r="J667" i="3" s="1"/>
  <c r="K115" i="3"/>
  <c r="J115" i="3" s="1"/>
  <c r="K642" i="3"/>
  <c r="J642" i="3" s="1"/>
  <c r="K601" i="3"/>
  <c r="J601" i="3" s="1"/>
  <c r="K211" i="3"/>
  <c r="J211" i="3" s="1"/>
  <c r="K580" i="3"/>
  <c r="J580" i="3" s="1"/>
  <c r="K565" i="3"/>
  <c r="J565" i="3" s="1"/>
  <c r="K152" i="3"/>
  <c r="J152" i="3" s="1"/>
  <c r="K117" i="3"/>
  <c r="J117" i="3" s="1"/>
  <c r="K593" i="3"/>
  <c r="J593" i="3" s="1"/>
  <c r="K640" i="3"/>
  <c r="J640" i="3" s="1"/>
  <c r="K887" i="3"/>
  <c r="J887" i="3" s="1"/>
  <c r="K58" i="3"/>
  <c r="J58" i="3" s="1"/>
  <c r="K55" i="3"/>
  <c r="J55" i="3" s="1"/>
  <c r="K474" i="3"/>
  <c r="J474" i="3" s="1"/>
  <c r="K59" i="3"/>
  <c r="J59" i="3" s="1"/>
  <c r="K56" i="3"/>
  <c r="J56" i="3" s="1"/>
  <c r="K57" i="3"/>
  <c r="J57" i="3" s="1"/>
  <c r="B3" i="4"/>
  <c r="F7" i="5"/>
  <c r="F8" i="5" s="1"/>
  <c r="H21" i="1"/>
  <c r="H2" i="1"/>
  <c r="H3" i="1"/>
  <c r="K696" i="3" l="1"/>
  <c r="J696" i="3" s="1"/>
  <c r="K694" i="3"/>
  <c r="J694" i="3" s="1"/>
  <c r="K692" i="3"/>
  <c r="J692" i="3" s="1"/>
  <c r="K698" i="3"/>
  <c r="J698" i="3" s="1"/>
  <c r="K690" i="3"/>
  <c r="J690" i="3" s="1"/>
  <c r="K11" i="3"/>
  <c r="J11" i="3" s="1"/>
  <c r="K451" i="3"/>
  <c r="J451" i="3" s="1"/>
  <c r="K475" i="3"/>
  <c r="J475" i="3" s="1"/>
  <c r="K383" i="3"/>
  <c r="J383" i="3" s="1"/>
  <c r="K7" i="3"/>
  <c r="J7" i="3" s="1"/>
  <c r="K355" i="3"/>
  <c r="J355" i="3" s="1"/>
  <c r="K469" i="3"/>
  <c r="J469" i="3" s="1"/>
  <c r="K9" i="3"/>
  <c r="J9" i="3" s="1"/>
  <c r="K431" i="3"/>
  <c r="J431" i="3" s="1"/>
  <c r="K20" i="3"/>
  <c r="J20" i="3" s="1"/>
  <c r="K862" i="3"/>
  <c r="J862" i="3" s="1"/>
  <c r="K883" i="3"/>
  <c r="J883" i="3" s="1"/>
  <c r="K864" i="3"/>
  <c r="J864" i="3" s="1"/>
  <c r="K863" i="3"/>
  <c r="J863" i="3" s="1"/>
  <c r="K853" i="3"/>
  <c r="J853" i="3" s="1"/>
  <c r="K837" i="3"/>
  <c r="J837" i="3" s="1"/>
  <c r="K829" i="3"/>
  <c r="J829" i="3" s="1"/>
  <c r="K732" i="3"/>
  <c r="J732" i="3" s="1"/>
  <c r="K848" i="3"/>
  <c r="J848" i="3" s="1"/>
  <c r="K783" i="3"/>
  <c r="J783" i="3" s="1"/>
  <c r="K767" i="3"/>
  <c r="J767" i="3" s="1"/>
  <c r="K751" i="3"/>
  <c r="J751" i="3" s="1"/>
  <c r="K735" i="3"/>
  <c r="J735" i="3" s="1"/>
  <c r="K703" i="3"/>
  <c r="J703" i="3" s="1"/>
  <c r="K811" i="3"/>
  <c r="J811" i="3" s="1"/>
  <c r="K803" i="3"/>
  <c r="J803" i="3" s="1"/>
  <c r="K786" i="3"/>
  <c r="J786" i="3" s="1"/>
  <c r="K778" i="3"/>
  <c r="J778" i="3" s="1"/>
  <c r="K770" i="3"/>
  <c r="J770" i="3" s="1"/>
  <c r="K738" i="3"/>
  <c r="J738" i="3" s="1"/>
  <c r="K730" i="3"/>
  <c r="J730" i="3" s="1"/>
  <c r="K706" i="3"/>
  <c r="J706" i="3" s="1"/>
  <c r="K846" i="3"/>
  <c r="J846" i="3" s="1"/>
  <c r="K838" i="3"/>
  <c r="J838" i="3" s="1"/>
  <c r="K781" i="3"/>
  <c r="J781" i="3" s="1"/>
  <c r="K725" i="3"/>
  <c r="J725" i="3" s="1"/>
  <c r="K741" i="3"/>
  <c r="J741" i="3" s="1"/>
  <c r="K841" i="3"/>
  <c r="J841" i="3" s="1"/>
  <c r="K833" i="3"/>
  <c r="J833" i="3" s="1"/>
  <c r="K768" i="3"/>
  <c r="J768" i="3" s="1"/>
  <c r="K760" i="3"/>
  <c r="J760" i="3" s="1"/>
  <c r="K752" i="3"/>
  <c r="J752" i="3" s="1"/>
  <c r="K704" i="3"/>
  <c r="J704" i="3" s="1"/>
  <c r="K755" i="3"/>
  <c r="J755" i="3" s="1"/>
  <c r="K723" i="3"/>
  <c r="J723" i="3" s="1"/>
  <c r="K707" i="3"/>
  <c r="J707" i="3" s="1"/>
  <c r="K839" i="3"/>
  <c r="J839" i="3" s="1"/>
  <c r="K831" i="3"/>
  <c r="J831" i="3" s="1"/>
  <c r="K823" i="3"/>
  <c r="J823" i="3" s="1"/>
  <c r="K815" i="3"/>
  <c r="J815" i="3" s="1"/>
  <c r="K807" i="3"/>
  <c r="J807" i="3" s="1"/>
  <c r="K799" i="3"/>
  <c r="J799" i="3" s="1"/>
  <c r="K782" i="3"/>
  <c r="J782" i="3" s="1"/>
  <c r="K774" i="3"/>
  <c r="J774" i="3" s="1"/>
  <c r="K758" i="3"/>
  <c r="J758" i="3" s="1"/>
  <c r="K750" i="3"/>
  <c r="J750" i="3" s="1"/>
  <c r="K742" i="3"/>
  <c r="J742" i="3" s="1"/>
  <c r="K734" i="3"/>
  <c r="J734" i="3" s="1"/>
  <c r="K726" i="3"/>
  <c r="J726" i="3" s="1"/>
  <c r="K702" i="3"/>
  <c r="J702" i="3" s="1"/>
  <c r="K850" i="3"/>
  <c r="J850" i="3" s="1"/>
  <c r="K842" i="3"/>
  <c r="J842" i="3" s="1"/>
  <c r="K834" i="3"/>
  <c r="J834" i="3" s="1"/>
  <c r="K826" i="3"/>
  <c r="J826" i="3" s="1"/>
  <c r="K793" i="3"/>
  <c r="J793" i="3" s="1"/>
  <c r="K777" i="3"/>
  <c r="J777" i="3" s="1"/>
  <c r="K753" i="3"/>
  <c r="J753" i="3" s="1"/>
  <c r="K737" i="3"/>
  <c r="J737" i="3" s="1"/>
  <c r="K705" i="3"/>
  <c r="J705" i="3" s="1"/>
  <c r="K861" i="3"/>
  <c r="J861" i="3" s="1"/>
  <c r="K821" i="3"/>
  <c r="J821" i="3" s="1"/>
  <c r="K805" i="3"/>
  <c r="J805" i="3" s="1"/>
  <c r="K797" i="3"/>
  <c r="J797" i="3" s="1"/>
  <c r="K780" i="3"/>
  <c r="J780" i="3" s="1"/>
  <c r="K764" i="3"/>
  <c r="J764" i="3" s="1"/>
  <c r="K840" i="3"/>
  <c r="J840" i="3" s="1"/>
  <c r="K832" i="3"/>
  <c r="J832" i="3" s="1"/>
  <c r="K824" i="3"/>
  <c r="J824" i="3" s="1"/>
  <c r="K791" i="3"/>
  <c r="J791" i="3" s="1"/>
  <c r="K775" i="3"/>
  <c r="J775" i="3" s="1"/>
  <c r="K759" i="3"/>
  <c r="J759" i="3" s="1"/>
  <c r="K743" i="3"/>
  <c r="J743" i="3" s="1"/>
  <c r="K711" i="3"/>
  <c r="J711" i="3" s="1"/>
  <c r="K856" i="3"/>
  <c r="J856" i="3" s="1"/>
  <c r="K835" i="3"/>
  <c r="J835" i="3" s="1"/>
  <c r="K819" i="3"/>
  <c r="J819" i="3" s="1"/>
  <c r="K746" i="3"/>
  <c r="J746" i="3" s="1"/>
  <c r="K817" i="3"/>
  <c r="J817" i="3" s="1"/>
  <c r="K801" i="3"/>
  <c r="J801" i="3" s="1"/>
  <c r="K784" i="3"/>
  <c r="J784" i="3" s="1"/>
  <c r="K776" i="3"/>
  <c r="J776" i="3" s="1"/>
  <c r="K744" i="3"/>
  <c r="J744" i="3" s="1"/>
  <c r="K763" i="3"/>
  <c r="J763" i="3" s="1"/>
  <c r="K699" i="3"/>
  <c r="J699" i="3" s="1"/>
  <c r="K858" i="3"/>
  <c r="J858" i="3" s="1"/>
  <c r="K769" i="3"/>
  <c r="J769" i="3" s="1"/>
  <c r="K721" i="3"/>
  <c r="J721" i="3" s="1"/>
  <c r="K813" i="3"/>
  <c r="J813" i="3" s="1"/>
  <c r="K788" i="3"/>
  <c r="J788" i="3" s="1"/>
  <c r="K772" i="3"/>
  <c r="J772" i="3" s="1"/>
  <c r="K748" i="3"/>
  <c r="J748" i="3" s="1"/>
  <c r="K716" i="3"/>
  <c r="J716" i="3" s="1"/>
  <c r="K727" i="3"/>
  <c r="J727" i="3" s="1"/>
  <c r="K719" i="3"/>
  <c r="J719" i="3" s="1"/>
  <c r="K859" i="3"/>
  <c r="J859" i="3" s="1"/>
  <c r="K827" i="3"/>
  <c r="J827" i="3" s="1"/>
  <c r="K762" i="3"/>
  <c r="J762" i="3" s="1"/>
  <c r="K806" i="3"/>
  <c r="J806" i="3" s="1"/>
  <c r="K773" i="3"/>
  <c r="J773" i="3" s="1"/>
  <c r="K809" i="3"/>
  <c r="J809" i="3" s="1"/>
  <c r="K736" i="3"/>
  <c r="J736" i="3" s="1"/>
  <c r="K844" i="3"/>
  <c r="J844" i="3" s="1"/>
  <c r="K820" i="3"/>
  <c r="J820" i="3" s="1"/>
  <c r="K795" i="3"/>
  <c r="J795" i="3" s="1"/>
  <c r="K771" i="3"/>
  <c r="J771" i="3" s="1"/>
  <c r="K739" i="3"/>
  <c r="J739" i="3" s="1"/>
  <c r="K715" i="3"/>
  <c r="J715" i="3" s="1"/>
  <c r="K714" i="3"/>
  <c r="J714" i="3" s="1"/>
  <c r="K830" i="3"/>
  <c r="J830" i="3" s="1"/>
  <c r="K789" i="3"/>
  <c r="J789" i="3" s="1"/>
  <c r="K765" i="3"/>
  <c r="J765" i="3" s="1"/>
  <c r="K757" i="3"/>
  <c r="J757" i="3" s="1"/>
  <c r="K733" i="3"/>
  <c r="J733" i="3" s="1"/>
  <c r="K717" i="3"/>
  <c r="J717" i="3" s="1"/>
  <c r="K709" i="3"/>
  <c r="J709" i="3" s="1"/>
  <c r="K701" i="3"/>
  <c r="J701" i="3" s="1"/>
  <c r="K720" i="3"/>
  <c r="J720" i="3" s="1"/>
  <c r="K852" i="3"/>
  <c r="J852" i="3" s="1"/>
  <c r="K787" i="3"/>
  <c r="J787" i="3" s="1"/>
  <c r="K779" i="3"/>
  <c r="J779" i="3" s="1"/>
  <c r="K674" i="3"/>
  <c r="J674" i="3" s="1"/>
  <c r="K672" i="3"/>
  <c r="J672" i="3" s="1"/>
  <c r="K673" i="3"/>
  <c r="J673" i="3" s="1"/>
  <c r="K657" i="3"/>
  <c r="J657" i="3" s="1"/>
  <c r="K649" i="3"/>
  <c r="J649" i="3" s="1"/>
  <c r="K641" i="3"/>
  <c r="J641" i="3" s="1"/>
  <c r="K628" i="3"/>
  <c r="J628" i="3" s="1"/>
  <c r="K620" i="3"/>
  <c r="J620" i="3" s="1"/>
  <c r="K612" i="3"/>
  <c r="J612" i="3" s="1"/>
  <c r="K588" i="3"/>
  <c r="J588" i="3" s="1"/>
  <c r="K164" i="3"/>
  <c r="J164" i="3" s="1"/>
  <c r="K189" i="3"/>
  <c r="J189" i="3" s="1"/>
  <c r="K205" i="3"/>
  <c r="J205" i="3" s="1"/>
  <c r="K221" i="3"/>
  <c r="J221" i="3" s="1"/>
  <c r="K243" i="3"/>
  <c r="J243" i="3" s="1"/>
  <c r="K252" i="3"/>
  <c r="J252" i="3" s="1"/>
  <c r="K268" i="3"/>
  <c r="J268" i="3" s="1"/>
  <c r="K284" i="3"/>
  <c r="J284" i="3" s="1"/>
  <c r="K293" i="3"/>
  <c r="J293" i="3" s="1"/>
  <c r="K301" i="3"/>
  <c r="J301" i="3" s="1"/>
  <c r="K317" i="3"/>
  <c r="J317" i="3" s="1"/>
  <c r="K325" i="3"/>
  <c r="J325" i="3" s="1"/>
  <c r="K406" i="3"/>
  <c r="J406" i="3" s="1"/>
  <c r="K414" i="3"/>
  <c r="J414" i="3" s="1"/>
  <c r="K430" i="3"/>
  <c r="J430" i="3" s="1"/>
  <c r="K454" i="3"/>
  <c r="J454" i="3" s="1"/>
  <c r="K470" i="3"/>
  <c r="J470" i="3" s="1"/>
  <c r="K494" i="3"/>
  <c r="J494" i="3" s="1"/>
  <c r="K515" i="3"/>
  <c r="J515" i="3" s="1"/>
  <c r="K523" i="3"/>
  <c r="J523" i="3" s="1"/>
  <c r="K529" i="3"/>
  <c r="J529" i="3" s="1"/>
  <c r="K610" i="3"/>
  <c r="J610" i="3" s="1"/>
  <c r="K535" i="3"/>
  <c r="J535" i="3" s="1"/>
  <c r="K8" i="3"/>
  <c r="J8" i="3" s="1"/>
  <c r="K145" i="3"/>
  <c r="J145" i="3" s="1"/>
  <c r="K639" i="3"/>
  <c r="J639" i="3" s="1"/>
  <c r="K626" i="3"/>
  <c r="J626" i="3" s="1"/>
  <c r="K618" i="3"/>
  <c r="J618" i="3" s="1"/>
  <c r="K562" i="3"/>
  <c r="J562" i="3" s="1"/>
  <c r="K554" i="3"/>
  <c r="J554" i="3" s="1"/>
  <c r="K607" i="3"/>
  <c r="J607" i="3" s="1"/>
  <c r="K575" i="3"/>
  <c r="J575" i="3" s="1"/>
  <c r="K572" i="3"/>
  <c r="J572" i="3" s="1"/>
  <c r="K551" i="3"/>
  <c r="J551" i="3" s="1"/>
  <c r="K3" i="3"/>
  <c r="J3" i="3" s="1"/>
  <c r="K19" i="3"/>
  <c r="J19" i="3" s="1"/>
  <c r="K124" i="3"/>
  <c r="J124" i="3" s="1"/>
  <c r="X5" i="4" s="1"/>
  <c r="X4" i="4" s="1"/>
  <c r="K132" i="3"/>
  <c r="J132" i="3" s="1"/>
  <c r="K140" i="3"/>
  <c r="J140" i="3" s="1"/>
  <c r="K226" i="3"/>
  <c r="J226" i="3" s="1"/>
  <c r="K543" i="3"/>
  <c r="J543" i="3" s="1"/>
  <c r="K129" i="3"/>
  <c r="J129" i="3" s="1"/>
  <c r="K671" i="3"/>
  <c r="J671" i="3" s="1"/>
  <c r="K647" i="3"/>
  <c r="J647" i="3" s="1"/>
  <c r="K586" i="3"/>
  <c r="J586" i="3" s="1"/>
  <c r="K668" i="3"/>
  <c r="J668" i="3" s="1"/>
  <c r="K660" i="3"/>
  <c r="J660" i="3" s="1"/>
  <c r="K623" i="3"/>
  <c r="J623" i="3" s="1"/>
  <c r="K594" i="3"/>
  <c r="J594" i="3" s="1"/>
  <c r="K583" i="3"/>
  <c r="J583" i="3" s="1"/>
  <c r="K161" i="3"/>
  <c r="J161" i="3" s="1"/>
  <c r="K186" i="3"/>
  <c r="J186" i="3" s="1"/>
  <c r="K194" i="3"/>
  <c r="J194" i="3" s="1"/>
  <c r="K210" i="3"/>
  <c r="J210" i="3" s="1"/>
  <c r="K218" i="3"/>
  <c r="J218" i="3" s="1"/>
  <c r="K248" i="3"/>
  <c r="J248" i="3" s="1"/>
  <c r="K257" i="3"/>
  <c r="J257" i="3" s="1"/>
  <c r="K273" i="3"/>
  <c r="J273" i="3" s="1"/>
  <c r="K281" i="3"/>
  <c r="J281" i="3" s="1"/>
  <c r="K298" i="3"/>
  <c r="J298" i="3" s="1"/>
  <c r="K314" i="3"/>
  <c r="J314" i="3" s="1"/>
  <c r="K338" i="3"/>
  <c r="J338" i="3" s="1"/>
  <c r="K346" i="3"/>
  <c r="J346" i="3" s="1"/>
  <c r="K354" i="3"/>
  <c r="J354" i="3" s="1"/>
  <c r="K362" i="3"/>
  <c r="J362" i="3" s="1"/>
  <c r="K370" i="3"/>
  <c r="J370" i="3" s="1"/>
  <c r="K403" i="3"/>
  <c r="J403" i="3" s="1"/>
  <c r="K427" i="3"/>
  <c r="J427" i="3" s="1"/>
  <c r="K435" i="3"/>
  <c r="J435" i="3" s="1"/>
  <c r="K459" i="3"/>
  <c r="J459" i="3" s="1"/>
  <c r="K467" i="3"/>
  <c r="J467" i="3" s="1"/>
  <c r="K483" i="3"/>
  <c r="J483" i="3" s="1"/>
  <c r="K491" i="3"/>
  <c r="J491" i="3" s="1"/>
  <c r="K504" i="3"/>
  <c r="J504" i="3" s="1"/>
  <c r="K512" i="3"/>
  <c r="J512" i="3" s="1"/>
  <c r="K520" i="3"/>
  <c r="J520" i="3" s="1"/>
  <c r="K16" i="3"/>
  <c r="J16" i="3" s="1"/>
  <c r="K223" i="3"/>
  <c r="J223" i="3" s="1"/>
  <c r="K231" i="3"/>
  <c r="J231" i="3" s="1"/>
  <c r="K655" i="3"/>
  <c r="J655" i="3" s="1"/>
  <c r="K191" i="3"/>
  <c r="J191" i="3" s="1"/>
  <c r="K215" i="3"/>
  <c r="J215" i="3" s="1"/>
  <c r="K254" i="3"/>
  <c r="J254" i="3" s="1"/>
  <c r="K286" i="3"/>
  <c r="J286" i="3" s="1"/>
  <c r="K359" i="3"/>
  <c r="J359" i="3" s="1"/>
  <c r="K400" i="3"/>
  <c r="J400" i="3" s="1"/>
  <c r="K464" i="3"/>
  <c r="J464" i="3" s="1"/>
  <c r="K472" i="3"/>
  <c r="J472" i="3" s="1"/>
  <c r="K496" i="3"/>
  <c r="J496" i="3" s="1"/>
  <c r="K635" i="3"/>
  <c r="J635" i="3" s="1"/>
  <c r="K199" i="3"/>
  <c r="J199" i="3" s="1"/>
  <c r="K207" i="3"/>
  <c r="J207" i="3" s="1"/>
  <c r="K295" i="3"/>
  <c r="J295" i="3" s="1"/>
  <c r="K303" i="3"/>
  <c r="J303" i="3" s="1"/>
  <c r="K343" i="3"/>
  <c r="J343" i="3" s="1"/>
  <c r="K408" i="3"/>
  <c r="J408" i="3" s="1"/>
  <c r="K488" i="3"/>
  <c r="J488" i="3" s="1"/>
  <c r="K581" i="3"/>
  <c r="J581" i="3" s="1"/>
  <c r="K570" i="3"/>
  <c r="J570" i="3" s="1"/>
  <c r="K134" i="3"/>
  <c r="J134" i="3" s="1"/>
  <c r="K166" i="3"/>
  <c r="J166" i="3" s="1"/>
  <c r="K183" i="3"/>
  <c r="J183" i="3" s="1"/>
  <c r="K262" i="3"/>
  <c r="J262" i="3" s="1"/>
  <c r="K278" i="3"/>
  <c r="J278" i="3" s="1"/>
  <c r="K319" i="3"/>
  <c r="J319" i="3" s="1"/>
  <c r="K335" i="3"/>
  <c r="J335" i="3" s="1"/>
  <c r="K367" i="3"/>
  <c r="J367" i="3" s="1"/>
  <c r="K424" i="3"/>
  <c r="J424" i="3" s="1"/>
  <c r="K456" i="3"/>
  <c r="J456" i="3" s="1"/>
  <c r="K501" i="3"/>
  <c r="J501" i="3" s="1"/>
  <c r="K605" i="3"/>
  <c r="J605" i="3" s="1"/>
  <c r="K538" i="3"/>
  <c r="J538" i="3" s="1"/>
  <c r="K5" i="3"/>
  <c r="J5" i="3" s="1"/>
  <c r="K13" i="3"/>
  <c r="J13" i="3" s="1"/>
  <c r="K21" i="3"/>
  <c r="J21" i="3" s="1"/>
  <c r="K613" i="3"/>
  <c r="J613" i="3" s="1"/>
  <c r="K2" i="3"/>
  <c r="J2" i="3" s="1"/>
  <c r="K12" i="3"/>
  <c r="J12" i="3" s="1"/>
  <c r="K17" i="3"/>
  <c r="J17" i="3" s="1"/>
  <c r="K22" i="3"/>
  <c r="J22" i="3" s="1"/>
  <c r="K188" i="3"/>
  <c r="J188" i="3" s="1"/>
  <c r="K198" i="3"/>
  <c r="J198" i="3" s="1"/>
  <c r="K208" i="3"/>
  <c r="J208" i="3" s="1"/>
  <c r="K228" i="3"/>
  <c r="J228" i="3" s="1"/>
  <c r="K334" i="3"/>
  <c r="J334" i="3" s="1"/>
  <c r="K453" i="3"/>
  <c r="J453" i="3" s="1"/>
  <c r="K458" i="3"/>
  <c r="J458" i="3" s="1"/>
  <c r="K468" i="3"/>
  <c r="J468" i="3" s="1"/>
  <c r="K498" i="3"/>
  <c r="J498" i="3" s="1"/>
  <c r="K366" i="3"/>
  <c r="J366" i="3" s="1"/>
  <c r="K371" i="3"/>
  <c r="J371" i="3" s="1"/>
  <c r="K566" i="3"/>
  <c r="J566" i="3" s="1"/>
  <c r="K267" i="3"/>
  <c r="J267" i="3" s="1"/>
  <c r="K277" i="3"/>
  <c r="J277" i="3" s="1"/>
  <c r="K614" i="3"/>
  <c r="J614" i="3" s="1"/>
  <c r="K6" i="3"/>
  <c r="J6" i="3" s="1"/>
  <c r="K323" i="3"/>
  <c r="J323" i="3" s="1"/>
  <c r="K522" i="3"/>
  <c r="J522" i="3" s="1"/>
  <c r="K212" i="3"/>
  <c r="J212" i="3" s="1"/>
  <c r="K222" i="3"/>
  <c r="J222" i="3" s="1"/>
  <c r="K259" i="3"/>
  <c r="J259" i="3" s="1"/>
  <c r="K399" i="3"/>
  <c r="J399" i="3" s="1"/>
  <c r="K409" i="3"/>
  <c r="J409" i="3" s="1"/>
  <c r="K429" i="3"/>
  <c r="J429" i="3" s="1"/>
  <c r="K434" i="3"/>
  <c r="J434" i="3" s="1"/>
  <c r="K662" i="3"/>
  <c r="J662" i="3" s="1"/>
  <c r="K557" i="3"/>
  <c r="J557" i="3" s="1"/>
  <c r="K256" i="3"/>
  <c r="J256" i="3" s="1"/>
  <c r="K396" i="3"/>
  <c r="J396" i="3" s="1"/>
  <c r="K401" i="3"/>
  <c r="J401" i="3" s="1"/>
  <c r="K625" i="3"/>
  <c r="J625" i="3" s="1"/>
  <c r="K658" i="3"/>
  <c r="J658" i="3" s="1"/>
  <c r="K653" i="3"/>
  <c r="J653" i="3" s="1"/>
  <c r="K643" i="3"/>
  <c r="J643" i="3" s="1"/>
  <c r="K563" i="3"/>
  <c r="J563" i="3" s="1"/>
  <c r="K553" i="3"/>
  <c r="J553" i="3" s="1"/>
  <c r="K244" i="3"/>
  <c r="J244" i="3" s="1"/>
  <c r="K250" i="3"/>
  <c r="J250" i="3" s="1"/>
  <c r="K255" i="3"/>
  <c r="J255" i="3" s="1"/>
  <c r="K364" i="3"/>
  <c r="J364" i="3" s="1"/>
  <c r="K369" i="3"/>
  <c r="J369" i="3" s="1"/>
  <c r="K500" i="3"/>
  <c r="J500" i="3" s="1"/>
  <c r="K510" i="3"/>
  <c r="J510" i="3" s="1"/>
  <c r="K656" i="3"/>
  <c r="J656" i="3" s="1"/>
  <c r="K561" i="3"/>
  <c r="J561" i="3" s="1"/>
  <c r="K495" i="3"/>
  <c r="J495" i="3" s="1"/>
  <c r="K397" i="3"/>
  <c r="J397" i="3" s="1"/>
  <c r="K544" i="3"/>
  <c r="J544" i="3" s="1"/>
  <c r="K574" i="3"/>
  <c r="J574" i="3" s="1"/>
  <c r="K492" i="3"/>
  <c r="J492" i="3" s="1"/>
  <c r="K158" i="3"/>
  <c r="J158" i="3" s="1"/>
  <c r="K178" i="3"/>
  <c r="J178" i="3" s="1"/>
  <c r="K184" i="3"/>
  <c r="J184" i="3" s="1"/>
  <c r="K18" i="3"/>
  <c r="J18" i="3" s="1"/>
  <c r="K592" i="3"/>
  <c r="J592" i="3" s="1"/>
  <c r="K251" i="3"/>
  <c r="J251" i="3" s="1"/>
  <c r="K155" i="3"/>
  <c r="J155" i="3" s="1"/>
  <c r="K606" i="3"/>
  <c r="J606" i="3" s="1"/>
  <c r="K596" i="3"/>
  <c r="J596" i="3" s="1"/>
  <c r="K568" i="3"/>
  <c r="J568" i="3" s="1"/>
  <c r="K154" i="3"/>
  <c r="J154" i="3" s="1"/>
  <c r="K159" i="3"/>
  <c r="J159" i="3" s="1"/>
  <c r="K239" i="3"/>
  <c r="J239" i="3" s="1"/>
  <c r="K275" i="3"/>
  <c r="J275" i="3" s="1"/>
  <c r="K280" i="3"/>
  <c r="J280" i="3" s="1"/>
  <c r="K285" i="3"/>
  <c r="J285" i="3" s="1"/>
  <c r="K296" i="3"/>
  <c r="J296" i="3" s="1"/>
  <c r="K420" i="3"/>
  <c r="J420" i="3" s="1"/>
  <c r="K425" i="3"/>
  <c r="J425" i="3" s="1"/>
  <c r="K230" i="3"/>
  <c r="J230" i="3" s="1"/>
  <c r="K361" i="3"/>
  <c r="J361" i="3" s="1"/>
  <c r="K151" i="3"/>
  <c r="J151" i="3" s="1"/>
  <c r="K282" i="3"/>
  <c r="J282" i="3" s="1"/>
  <c r="K288" i="3"/>
  <c r="J288" i="3" s="1"/>
  <c r="K629" i="3"/>
  <c r="J629" i="3" s="1"/>
  <c r="K192" i="3"/>
  <c r="J192" i="3" s="1"/>
  <c r="K308" i="3"/>
  <c r="J308" i="3" s="1"/>
  <c r="K664" i="3"/>
  <c r="J664" i="3" s="1"/>
  <c r="K128" i="3"/>
  <c r="J128" i="3" s="1"/>
  <c r="K363" i="3"/>
  <c r="J363" i="3" s="1"/>
  <c r="K368" i="3"/>
  <c r="J368" i="3" s="1"/>
  <c r="K569" i="3"/>
  <c r="J569" i="3" s="1"/>
  <c r="K279" i="3"/>
  <c r="J279" i="3" s="1"/>
  <c r="K224" i="3"/>
  <c r="J224" i="3" s="1"/>
  <c r="K310" i="3"/>
  <c r="J310" i="3" s="1"/>
  <c r="K519" i="3"/>
  <c r="J519" i="3" s="1"/>
  <c r="K633" i="3"/>
  <c r="J633" i="3" s="1"/>
  <c r="K130" i="3"/>
  <c r="J130" i="3" s="1"/>
  <c r="K350" i="3"/>
  <c r="J350" i="3" s="1"/>
  <c r="K484" i="3"/>
  <c r="J484" i="3" s="1"/>
  <c r="K489" i="3"/>
  <c r="J489" i="3" s="1"/>
  <c r="K587" i="3"/>
  <c r="J587" i="3" s="1"/>
  <c r="K600" i="3"/>
  <c r="J600" i="3" s="1"/>
  <c r="K621" i="3"/>
  <c r="J621" i="3" s="1"/>
  <c r="K616" i="3"/>
  <c r="J616" i="3" s="1"/>
  <c r="K541" i="3"/>
  <c r="J541" i="3" s="1"/>
  <c r="K536" i="3"/>
  <c r="J536" i="3" s="1"/>
  <c r="K4" i="3"/>
  <c r="J4" i="3" s="1"/>
  <c r="K14" i="3"/>
  <c r="J14" i="3" s="1"/>
  <c r="K185" i="3"/>
  <c r="J185" i="3" s="1"/>
  <c r="K225" i="3"/>
  <c r="J225" i="3" s="1"/>
  <c r="K316" i="3"/>
  <c r="J316" i="3" s="1"/>
  <c r="K321" i="3"/>
  <c r="J321" i="3" s="1"/>
  <c r="K326" i="3"/>
  <c r="J326" i="3" s="1"/>
  <c r="K331" i="3"/>
  <c r="J331" i="3" s="1"/>
  <c r="K336" i="3"/>
  <c r="J336" i="3" s="1"/>
  <c r="K455" i="3"/>
  <c r="J455" i="3" s="1"/>
  <c r="K666" i="3"/>
  <c r="J666" i="3" s="1"/>
  <c r="K651" i="3"/>
  <c r="J651" i="3" s="1"/>
  <c r="K136" i="3"/>
  <c r="J136" i="3" s="1"/>
  <c r="K141" i="3"/>
  <c r="J141" i="3" s="1"/>
  <c r="K241" i="3"/>
  <c r="J241" i="3" s="1"/>
  <c r="K246" i="3"/>
  <c r="J246" i="3" s="1"/>
  <c r="K356" i="3"/>
  <c r="J356" i="3" s="1"/>
  <c r="K485" i="3"/>
  <c r="J485" i="3" s="1"/>
  <c r="K609" i="3"/>
  <c r="J609" i="3" s="1"/>
  <c r="K539" i="3"/>
  <c r="J539" i="3" s="1"/>
  <c r="K171" i="3"/>
  <c r="J171" i="3" s="1"/>
  <c r="K182" i="3"/>
  <c r="J182" i="3" s="1"/>
  <c r="K227" i="3"/>
  <c r="J227" i="3" s="1"/>
  <c r="K579" i="3"/>
  <c r="J579" i="3" s="1"/>
  <c r="K238" i="3"/>
  <c r="J238" i="3" s="1"/>
  <c r="K530" i="3"/>
  <c r="J530" i="3" s="1"/>
  <c r="K168" i="3"/>
  <c r="J168" i="3" s="1"/>
  <c r="K305" i="3"/>
  <c r="J305" i="3" s="1"/>
  <c r="K514" i="3"/>
  <c r="J514" i="3" s="1"/>
  <c r="K577" i="3"/>
  <c r="J577" i="3" s="1"/>
  <c r="K214" i="3"/>
  <c r="J214" i="3" s="1"/>
  <c r="K219" i="3"/>
  <c r="J219" i="3" s="1"/>
  <c r="K229" i="3"/>
  <c r="J229" i="3" s="1"/>
  <c r="K160" i="3"/>
  <c r="J160" i="3" s="1"/>
  <c r="K165" i="3"/>
  <c r="J165" i="3" s="1"/>
  <c r="K645" i="3"/>
  <c r="J645" i="3" s="1"/>
  <c r="K15" i="3"/>
  <c r="J15" i="3" s="1"/>
  <c r="K253" i="3"/>
  <c r="J253" i="3" s="1"/>
  <c r="K433" i="3"/>
  <c r="J433" i="3" s="1"/>
  <c r="K521" i="3"/>
  <c r="J521" i="3" s="1"/>
  <c r="K560" i="3"/>
  <c r="J560" i="3" s="1"/>
  <c r="K307" i="3"/>
  <c r="J307" i="3" s="1"/>
  <c r="K292" i="3"/>
  <c r="J292" i="3" s="1"/>
  <c r="K332" i="3"/>
  <c r="J332" i="3" s="1"/>
  <c r="K471" i="3"/>
  <c r="J471" i="3" s="1"/>
  <c r="K608" i="3"/>
  <c r="J608" i="3" s="1"/>
  <c r="K421" i="3"/>
  <c r="J421" i="3" s="1"/>
  <c r="K157" i="3"/>
  <c r="J157" i="3" s="1"/>
  <c r="K283" i="3"/>
  <c r="J283" i="3" s="1"/>
  <c r="K147" i="3"/>
  <c r="J147" i="3" s="1"/>
  <c r="K590" i="3"/>
  <c r="J590" i="3" s="1"/>
  <c r="K516" i="3"/>
  <c r="J516" i="3" s="1"/>
  <c r="K602" i="3"/>
  <c r="J602" i="3" s="1"/>
  <c r="K518" i="3"/>
  <c r="J518" i="3" s="1"/>
  <c r="K508" i="3"/>
  <c r="J508" i="3" s="1"/>
  <c r="K670" i="3"/>
  <c r="J670" i="3" s="1"/>
  <c r="K650" i="3"/>
  <c r="J650" i="3" s="1"/>
  <c r="K10" i="3"/>
  <c r="J10" i="3" s="1"/>
  <c r="K122" i="3"/>
  <c r="J122" i="3" s="1"/>
  <c r="K247" i="3"/>
  <c r="J247" i="3" s="1"/>
  <c r="K347" i="3"/>
  <c r="J347" i="3" s="1"/>
  <c r="K555" i="3"/>
  <c r="J555" i="3" s="1"/>
  <c r="K206" i="3"/>
  <c r="J206" i="3" s="1"/>
  <c r="K237" i="3"/>
  <c r="J237" i="3" s="1"/>
  <c r="K511" i="3"/>
  <c r="J511" i="3" s="1"/>
  <c r="K598" i="3"/>
  <c r="J598" i="3" s="1"/>
  <c r="K636" i="3"/>
  <c r="J636" i="3" s="1"/>
  <c r="K304" i="3"/>
  <c r="J304" i="3" s="1"/>
  <c r="K299" i="3"/>
  <c r="J299" i="3" s="1"/>
  <c r="K216" i="3"/>
  <c r="J216" i="3" s="1"/>
  <c r="K352" i="3"/>
  <c r="J352" i="3" s="1"/>
  <c r="K527" i="3"/>
  <c r="J527" i="3" s="1"/>
  <c r="K585" i="3"/>
  <c r="J585" i="3" s="1"/>
  <c r="K242" i="3"/>
  <c r="J242" i="3" s="1"/>
  <c r="K175" i="3"/>
  <c r="J175" i="3" s="1"/>
  <c r="K312" i="3"/>
  <c r="J312" i="3" s="1"/>
  <c r="K372" i="3"/>
  <c r="J372" i="3" s="1"/>
  <c r="K441" i="3"/>
  <c r="J441" i="3" s="1"/>
  <c r="K289" i="3"/>
  <c r="J289" i="3" s="1"/>
  <c r="K506" i="3"/>
  <c r="J506" i="3" s="1"/>
  <c r="K503" i="3"/>
  <c r="J503" i="3" s="1"/>
  <c r="K162" i="3"/>
  <c r="J162" i="3" s="1"/>
  <c r="K426" i="3"/>
  <c r="J426" i="3" s="1"/>
  <c r="K111" i="3"/>
  <c r="J111" i="3" s="1"/>
  <c r="K108" i="3"/>
  <c r="J108" i="3" s="1"/>
  <c r="K106" i="3"/>
  <c r="J106" i="3" s="1"/>
  <c r="K110" i="3"/>
  <c r="J110" i="3" s="1"/>
  <c r="K109" i="3"/>
  <c r="J109" i="3" s="1"/>
  <c r="K112" i="3"/>
  <c r="J112" i="3" s="1"/>
  <c r="K107" i="3"/>
  <c r="J107" i="3" s="1"/>
  <c r="F16" i="5"/>
  <c r="F13" i="5"/>
  <c r="X2" i="4" l="1"/>
  <c r="F12" i="5"/>
  <c r="F17" i="5" s="1"/>
  <c r="B2" i="5"/>
  <c r="X8" i="4" l="1"/>
  <c r="F14" i="5"/>
  <c r="B4" i="4"/>
  <c r="B5"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tc={F2BAAA19-B511-4EEC-AB6A-62ADEB9CE566}</author>
  </authors>
  <commentList>
    <comment ref="H1" authorId="0" shapeId="0" xr:uid="{F2BAAA19-B511-4EEC-AB6A-62ADEB9CE566}">
      <text>
        <t>[线程批注]
你的Excel版本可读取此线程批注; 但如果在更新版本的Excel中打开文件，则对批注所作的任何改动都将被删除。了解详细信息: https://go.microsoft.com/fwlink/?linkid=870924
注释: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[线程批注]
你的Excel版本可读取此线程批注; 但如果在更新版本的Excel中打开文件，则对批注所作的任何改动都将被删除。了解详细信息: https://go.microsoft.com/fwlink/?linkid=870924
注释:
    载体</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[线程批注]
你的Excel版本可读取此线程批注; 但如果在更新版本的Excel中打开文件，则对批注所作的任何改动都将被删除。了解详细信息: https://go.microsoft.com/fwlink/?linkid=870924
注释:
    Operating经营性经常事件 </t>
      </text>
    </comment>
    <comment ref="F5" authorId="1" shapeId="0" xr:uid="{60652D12-341E-458F-9404-85AE92F8BD45}">
      <text>
        <t>[线程批注]
你的Excel版本可读取此线程批注; 但如果在更新版本的Excel中打开文件，则对批注所作的任何改动都将被删除。了解详细信息: https://go.microsoft.com/fwlink/?linkid=870924
注释:
    Receivables and Payables 应付 应收</t>
      </text>
    </comment>
    <comment ref="J5" authorId="2" shapeId="0" xr:uid="{5D615C4E-EBE7-4C5B-AFF7-7BFD865942AD}">
      <text>
        <t>[线程批注]
你的Excel版本可读取此线程批注; 但如果在更新版本的Excel中打开文件，则对批注所作的任何改动都将被删除。了解详细信息: https://go.microsoft.com/fwlink/?linkid=870924
注释:
    资产处置损益</t>
      </text>
    </comment>
    <comment ref="J6" authorId="3" shapeId="0" xr:uid="{1AB846D4-C243-49DD-BFCE-0F152034E39C}">
      <text>
        <t>[线程批注]
你的Excel版本可读取此线程批注; 但如果在更新版本的Excel中打开文件，则对批注所作的任何改动都将被删除。了解详细信息: https://go.microsoft.com/fwlink/?linkid=870924
注释:
    自主活动损益 （类似 诗与歌 这样的活动）</t>
      </text>
    </comment>
    <comment ref="F10" authorId="4" shapeId="0" xr:uid="{AF69EBA6-49A2-4E66-B2B5-ADDCB203CBBC}">
      <text>
        <t>[线程批注]
你的Excel版本可读取此线程批注; 但如果在更新版本的Excel中打开文件，则对批注所作的任何改动都将被删除。了解详细信息: https://go.microsoft.com/fwlink/?linkid=870924
注释:
    Inventories</t>
      </text>
    </comment>
    <comment ref="F19" authorId="5" shapeId="0" xr:uid="{89049742-F5D2-410B-B198-12AF77C32560}">
      <text>
        <t>[线程批注]
你的Excel版本可读取此线程批注; 但如果在更新版本的Excel中打开文件，则对批注所作的任何改动都将被删除。了解详细信息: https://go.microsoft.com/fwlink/?linkid=870924
注释:
    Reserve 准备金</t>
      </text>
    </comment>
    <comment ref="E20" authorId="6" shapeId="0" xr:uid="{8D1C1E60-2EA0-4CC8-8F9F-A8A7E37ADBA1}">
      <text>
        <t>[线程批注]
你的Excel版本可读取此线程批注; 但如果在更新版本的Excel中打开文件，则对批注所作的任何改动都将被删除。了解详细信息: https://go.microsoft.com/fwlink/?linkid=870924
注释:
    Additional Paid-In Capital 
答复:
    差不多是 资本公积</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tc={1162A067-267B-4F1D-B71F-7C12A30DE0F0}</author>
  </authors>
  <commentList>
    <comment ref="A1" authorId="0" shapeId="0" xr:uid="{1162A067-267B-4F1D-B71F-7C12A30DE0F0}">
      <text>
        <t>[线程批注]
你的Excel版本可读取此线程批注; 但如果在更新版本的Excel中打开文件，则对批注所作的任何改动都将被删除。了解详细信息: https://go.microsoft.com/fwlink/?linkid=870924
注释:
    载体</t>
      </text>
    </comment>
  </commentList>
</comments>
</file>

<file path=xl/sharedStrings.xml><?xml version="1.0" encoding="utf-8"?>
<sst xmlns="http://schemas.openxmlformats.org/spreadsheetml/2006/main" count="6667" uniqueCount="1377">
  <si>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</si>
  <si>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</si>
  <si>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</si>
  <si>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</si>
  <si>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</si>
  <si>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</si>
  <si>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</si>
  <si>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</si>
  <si>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</si>
  <si>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</si>
  <si>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</si>
  <si>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</si>
  <si>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</si>
  <si>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</si>
  <si>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</si>
  <si>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</si>
  <si>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</si>
  <si>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</si>
  <si>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</si>
  <si>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</si>
  <si>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</si>
  <si>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</si>
  <si>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</si>
  <si>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</si>
  <si>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</si>
  <si>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</si>
  <si>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</si>
  <si>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</si>
  <si>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</si>
  <si>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</si>
  <si>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</si>
  <si>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</si>
  <si>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</si>
  <si>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</si>
  <si>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</si>
  <si>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</si>
  <si>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</si>
  <si>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</si>
  <si>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</si>
  <si>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</si>
  <si>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</si>
  <si>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</si>
  <si>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</si>
  <si>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TrxDate</t>
  </si>
  <si>
    <t>Item</t>
  </si>
  <si>
    <t>Bal</t>
  </si>
  <si>
    <t>NetBal</t>
  </si>
  <si>
    <t>IsValid</t>
  </si>
  <si>
    <t>BSLv0</t>
  </si>
  <si>
    <t>BSLv1</t>
  </si>
  <si>
    <t>BSLv2</t>
  </si>
  <si>
    <t>IncType</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</si>
  <si>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</si>
  <si>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</si>
  <si>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</si>
  <si>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</si>
  <si>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</si>
  <si>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</si>
  <si>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</si>
  <si>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</si>
  <si>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</si>
  <si>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</si>
  <si>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</si>
  <si>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</si>
  <si>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</si>
  <si>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</si>
  <si>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</si>
  <si>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</si>
  <si>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</si>
  <si>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</si>
  <si>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</si>
  <si>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</si>
  <si>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</si>
  <si>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</si>
  <si>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</si>
  <si>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</si>
  <si>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</si>
  <si>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</si>
  <si>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</si>
  <si>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</si>
  <si>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</si>
  <si>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</si>
  <si>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</si>
  <si>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</si>
  <si>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</si>
  <si>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</si>
  <si>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</si>
  <si>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</si>
  <si>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</si>
  <si>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</si>
  <si>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</si>
  <si>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</si>
  <si>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</si>
  <si>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</si>
  <si>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</si>
  <si>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</si>
  <si>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</si>
  <si>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</si>
  <si>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</si>
  <si>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</si>
  <si>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</si>
  <si>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</si>
  <si>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</si>
  <si>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</si>
  <si>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</si>
  <si>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</si>
  <si>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</si>
  <si>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</si>
  <si>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</si>
  <si>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</si>
  <si>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</si>
  <si>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</si>
  <si>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</si>
  <si>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</si>
  <si>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</si>
  <si>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</si>
  <si>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</si>
  <si>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</si>
  <si>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</si>
  <si>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</si>
  <si>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</si>
  <si>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</si>
  <si>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</si>
  <si>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</si>
  <si>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5" type="noConversion"/>
  </si>
  <si>
    <t>Liability</t>
  </si>
  <si>
    <t>LC</t>
  </si>
  <si>
    <t xml:space="preserve"> </t>
    <phoneticPr fontId="5" type="noConversion"/>
  </si>
  <si>
    <t>accuInc</t>
    <phoneticPr fontId="5" type="noConversion"/>
  </si>
  <si>
    <t>ToTax</t>
  </si>
  <si>
    <t>ToTax</t>
    <phoneticPr fontId="5" type="noConversion"/>
  </si>
  <si>
    <t>Rec-Pay</t>
    <phoneticPr fontId="5" type="noConversion"/>
  </si>
  <si>
    <t>Prep-Sub</t>
    <phoneticPr fontId="5" type="noConversion"/>
  </si>
  <si>
    <t>ToOther</t>
  </si>
  <si>
    <t>ToOther</t>
    <phoneticPr fontId="5" type="noConversion"/>
  </si>
  <si>
    <t>Op</t>
    <phoneticPr fontId="5" type="noConversion"/>
  </si>
  <si>
    <t>Gain-Loss</t>
    <phoneticPr fontId="5" type="noConversion"/>
  </si>
  <si>
    <t>水街店</t>
    <phoneticPr fontId="5" type="noConversion"/>
  </si>
  <si>
    <t>Casher.myc</t>
    <phoneticPr fontId="5" type="noConversion"/>
  </si>
  <si>
    <t>货款</t>
    <phoneticPr fontId="5" type="noConversion"/>
  </si>
  <si>
    <t>个人社保</t>
  </si>
  <si>
    <t>平台</t>
  </si>
  <si>
    <t>保证金</t>
  </si>
  <si>
    <t>借款</t>
  </si>
  <si>
    <t>预付费用</t>
    <phoneticPr fontId="5" type="noConversion"/>
  </si>
  <si>
    <t>预付费用</t>
  </si>
  <si>
    <t>预付货款</t>
  </si>
  <si>
    <t>乐于斯</t>
    <phoneticPr fontId="5" type="noConversion"/>
  </si>
  <si>
    <t>低苦艾</t>
    <phoneticPr fontId="5" type="noConversion"/>
  </si>
  <si>
    <t>前期修建借款</t>
    <phoneticPr fontId="5" type="noConversion"/>
  </si>
  <si>
    <t>注册资本</t>
    <phoneticPr fontId="5" type="noConversion"/>
  </si>
  <si>
    <t>税金</t>
    <phoneticPr fontId="5" type="noConversion"/>
  </si>
  <si>
    <t>工资</t>
    <phoneticPr fontId="5" type="noConversion"/>
  </si>
  <si>
    <t>服饰</t>
  </si>
  <si>
    <t>服饰</t>
    <phoneticPr fontId="5" type="noConversion"/>
  </si>
  <si>
    <t>图书</t>
    <phoneticPr fontId="5" type="noConversion"/>
  </si>
  <si>
    <t>低耗</t>
    <phoneticPr fontId="5" type="noConversion"/>
  </si>
  <si>
    <t>APIC</t>
  </si>
  <si>
    <t>Discretion</t>
  </si>
  <si>
    <t>perc</t>
  </si>
  <si>
    <t>Key</t>
  </si>
  <si>
    <t>银行</t>
  </si>
  <si>
    <t>物理现金</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</si>
  <si>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</si>
  <si>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</si>
  <si>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</si>
  <si>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</si>
  <si>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</si>
  <si>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</si>
  <si>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</si>
  <si>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</si>
  <si>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</si>
  <si>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</si>
  <si>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</si>
  <si>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</si>
  <si>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</si>
  <si>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</si>
  <si>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</si>
  <si>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</si>
  <si>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</si>
  <si>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</si>
  <si>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</si>
  <si>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</si>
  <si>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</si>
  <si>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</si>
  <si>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</si>
  <si>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</si>
  <si>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</si>
  <si>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</si>
  <si>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</si>
  <si>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</si>
  <si>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</si>
  <si>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OnEmp</t>
  </si>
  <si>
    <t>水街员工</t>
  </si>
  <si>
    <t>员工预支</t>
  </si>
  <si>
    <t>Depo</t>
  </si>
  <si>
    <t>押金</t>
  </si>
  <si>
    <t>尾款-工程</t>
  </si>
  <si>
    <t>MemShip</t>
  </si>
  <si>
    <t>会员充值</t>
  </si>
  <si>
    <t>住房押金</t>
  </si>
  <si>
    <t>FrOther</t>
  </si>
  <si>
    <t>应收-其他</t>
  </si>
  <si>
    <t>明月村-土地</t>
  </si>
  <si>
    <t>明月村-建筑</t>
  </si>
  <si>
    <t>水街-建筑</t>
  </si>
  <si>
    <t>配平</t>
  </si>
  <si>
    <t>*资产-负债/权益</t>
  </si>
  <si>
    <t>资本</t>
  </si>
  <si>
    <t>材料</t>
  </si>
  <si>
    <t>accuInc</t>
  </si>
  <si>
    <t>xxx</t>
  </si>
  <si>
    <t>营业额</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</si>
  <si>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</si>
  <si>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</si>
  <si>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</si>
  <si>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</si>
  <si>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</si>
  <si>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</si>
  <si>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</si>
  <si>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</si>
  <si>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</si>
  <si>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</si>
  <si>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</si>
  <si>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</si>
  <si>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</si>
  <si>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</si>
  <si>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</si>
  <si>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</si>
  <si>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</si>
  <si>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</si>
  <si>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</si>
  <si>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</si>
  <si>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应付</t>
  </si>
  <si>
    <t>当期库存</t>
  </si>
  <si>
    <t>*一般不低于200%</t>
  </si>
  <si>
    <t>*可以再增加多少库存</t>
  </si>
  <si>
    <t>库存倍数</t>
  </si>
  <si>
    <t>支付倍数</t>
  </si>
  <si>
    <t>In</t>
  </si>
  <si>
    <t>T000</t>
  </si>
  <si>
    <t>T000.1</t>
  </si>
  <si>
    <t>T000.2</t>
  </si>
  <si>
    <t>报销</t>
  </si>
  <si>
    <t>采购</t>
  </si>
  <si>
    <t>过账</t>
  </si>
  <si>
    <t>销售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</si>
  <si>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</si>
  <si>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</si>
  <si>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</si>
  <si>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</si>
  <si>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</si>
  <si>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</si>
  <si>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</si>
  <si>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</si>
  <si>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</si>
  <si>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</si>
  <si>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</si>
  <si>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</si>
  <si>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</si>
  <si>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</si>
  <si>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</si>
  <si>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</si>
  <si>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</si>
  <si>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</si>
  <si>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</si>
  <si>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</si>
  <si>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</si>
  <si>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</si>
  <si>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</si>
  <si>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</si>
  <si>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</si>
  <si>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</si>
  <si>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</si>
  <si>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</si>
  <si>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</si>
  <si>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</si>
  <si>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</si>
  <si>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</si>
  <si>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</si>
  <si>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</si>
  <si>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</si>
  <si>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</si>
  <si>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</si>
  <si>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</si>
  <si>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工资</t>
  </si>
  <si>
    <t>增值税</t>
  </si>
  <si>
    <t>入库</t>
  </si>
  <si>
    <t>订购</t>
  </si>
  <si>
    <t>支付</t>
  </si>
  <si>
    <t>Start</t>
  </si>
  <si>
    <t>End</t>
  </si>
  <si>
    <t>ScopeDebug</t>
  </si>
  <si>
    <t>curr</t>
  </si>
  <si>
    <t>*隐藏筛选：不包含end之后的内容</t>
  </si>
  <si>
    <t>Sum of NetBal</t>
  </si>
  <si>
    <t>NameDiv</t>
  </si>
  <si>
    <t>内控合规</t>
  </si>
  <si>
    <t>网店</t>
  </si>
  <si>
    <t>Online</t>
  </si>
  <si>
    <t>附加</t>
  </si>
  <si>
    <t>*pending</t>
  </si>
  <si>
    <t>所得税-企业</t>
  </si>
  <si>
    <t>所得税-个人</t>
  </si>
  <si>
    <t>附加税</t>
  </si>
  <si>
    <t>损益</t>
  </si>
  <si>
    <t>损益率</t>
  </si>
  <si>
    <t>期初数据结转，</t>
    <phoneticPr fontId="5" type="noConversion"/>
  </si>
  <si>
    <t>预付货款定金</t>
    <phoneticPr fontId="5" type="noConversion"/>
  </si>
  <si>
    <t>薪酬-社保</t>
    <phoneticPr fontId="5" type="noConversion"/>
  </si>
  <si>
    <t>预付结转入库</t>
    <phoneticPr fontId="5" type="noConversion"/>
  </si>
  <si>
    <t>付款直接入库</t>
    <phoneticPr fontId="5" type="noConversion"/>
  </si>
  <si>
    <t>增值税</t>
    <phoneticPr fontId="5" type="noConversion"/>
  </si>
  <si>
    <t>Action</t>
    <phoneticPr fontId="5" type="noConversion"/>
  </si>
  <si>
    <t>Item</t>
    <phoneticPr fontId="5" type="noConversion"/>
  </si>
  <si>
    <t>交通费</t>
    <phoneticPr fontId="5" type="noConversion"/>
  </si>
  <si>
    <t>内部资金收付</t>
    <phoneticPr fontId="5" type="noConversion"/>
  </si>
  <si>
    <t>ScopeBS</t>
    <phoneticPr fontId="5" type="noConversion"/>
  </si>
  <si>
    <t>物流费</t>
    <phoneticPr fontId="5" type="noConversion"/>
  </si>
  <si>
    <t>T030</t>
  </si>
  <si>
    <t>银行手续费</t>
    <phoneticPr fontId="5" type="noConversion"/>
  </si>
  <si>
    <t>T031</t>
  </si>
  <si>
    <t>T032</t>
  </si>
  <si>
    <t>奖金</t>
    <phoneticPr fontId="5" type="noConversion"/>
  </si>
  <si>
    <t>T033</t>
  </si>
  <si>
    <t>剪板面料</t>
    <phoneticPr fontId="5" type="noConversion"/>
  </si>
  <si>
    <t>水街餐饮现金</t>
    <phoneticPr fontId="5" type="noConversion"/>
  </si>
  <si>
    <t>水街服装现金</t>
    <phoneticPr fontId="5" type="noConversion"/>
  </si>
  <si>
    <t>水街活动现金</t>
    <phoneticPr fontId="5" type="noConversion"/>
  </si>
  <si>
    <t>远家文化一般户</t>
    <phoneticPr fontId="5" type="noConversion"/>
  </si>
  <si>
    <t>明月村现金</t>
    <phoneticPr fontId="5" type="noConversion"/>
  </si>
  <si>
    <t>火锅店（正在注销）</t>
    <phoneticPr fontId="5" type="noConversion"/>
  </si>
  <si>
    <t>T034</t>
  </si>
  <si>
    <t>招待费</t>
    <phoneticPr fontId="5" type="noConversion"/>
  </si>
  <si>
    <t>T035</t>
  </si>
  <si>
    <t>T035</t>
    <phoneticPr fontId="5" type="noConversion"/>
  </si>
  <si>
    <t>T036</t>
  </si>
  <si>
    <t>T036</t>
    <phoneticPr fontId="5" type="noConversion"/>
  </si>
  <si>
    <t>T037</t>
  </si>
  <si>
    <t>T038</t>
  </si>
  <si>
    <t>福利</t>
    <phoneticPr fontId="5" type="noConversion"/>
  </si>
  <si>
    <t>T039</t>
  </si>
  <si>
    <t>T040</t>
  </si>
  <si>
    <t>T041</t>
  </si>
  <si>
    <t>辅料</t>
    <phoneticPr fontId="5" type="noConversion"/>
  </si>
  <si>
    <t>T042</t>
  </si>
  <si>
    <t>T043</t>
  </si>
  <si>
    <t>个人所得税</t>
    <phoneticPr fontId="5" type="noConversion"/>
  </si>
  <si>
    <t>所得税-个人</t>
    <phoneticPr fontId="5" type="noConversion"/>
  </si>
  <si>
    <t>个人社保</t>
    <phoneticPr fontId="5" type="noConversion"/>
  </si>
  <si>
    <t>T044</t>
  </si>
  <si>
    <t>T045</t>
  </si>
  <si>
    <t>所得税-企业</t>
    <phoneticPr fontId="5" type="noConversion"/>
  </si>
  <si>
    <t>附加税</t>
    <phoneticPr fontId="5" type="noConversion"/>
  </si>
  <si>
    <t>印花税</t>
    <phoneticPr fontId="5" type="noConversion"/>
  </si>
  <si>
    <t>T046</t>
  </si>
  <si>
    <t>水电费</t>
    <phoneticPr fontId="5" type="noConversion"/>
  </si>
  <si>
    <t>T047</t>
  </si>
  <si>
    <t>T046</t>
    <phoneticPr fontId="5" type="noConversion"/>
  </si>
  <si>
    <t>T048</t>
  </si>
  <si>
    <t>T047</t>
    <phoneticPr fontId="5" type="noConversion"/>
  </si>
  <si>
    <t>T048</t>
    <phoneticPr fontId="5" type="noConversion"/>
  </si>
  <si>
    <t>T049</t>
  </si>
  <si>
    <t>T050</t>
  </si>
  <si>
    <t>薪酬-工资</t>
    <phoneticPr fontId="5" type="noConversion"/>
  </si>
  <si>
    <t>设计</t>
    <phoneticPr fontId="5" type="noConversion"/>
  </si>
  <si>
    <t>T051</t>
  </si>
  <si>
    <t>T052</t>
  </si>
  <si>
    <t>T053</t>
  </si>
  <si>
    <t>T054</t>
  </si>
  <si>
    <t>摄影费</t>
    <phoneticPr fontId="5" type="noConversion"/>
  </si>
  <si>
    <t>T055</t>
  </si>
  <si>
    <t>12-2 2026年房租</t>
    <phoneticPr fontId="5" type="noConversion"/>
  </si>
  <si>
    <t>T056</t>
  </si>
  <si>
    <t>T057</t>
  </si>
  <si>
    <t>过账</t>
    <phoneticPr fontId="5" type="noConversion"/>
  </si>
  <si>
    <t>榆乐 远家花园</t>
    <phoneticPr fontId="5" type="noConversion"/>
  </si>
  <si>
    <t>T058</t>
  </si>
  <si>
    <t>榆乐 喜家</t>
    <phoneticPr fontId="5" type="noConversion"/>
  </si>
  <si>
    <t>T059</t>
  </si>
  <si>
    <t>榆乐 王洳琦</t>
    <phoneticPr fontId="5" type="noConversion"/>
  </si>
  <si>
    <t>T060</t>
  </si>
  <si>
    <t>样品</t>
    <phoneticPr fontId="5" type="noConversion"/>
  </si>
  <si>
    <t>T061</t>
  </si>
  <si>
    <t>T062</t>
  </si>
  <si>
    <t>个税手续费退库</t>
    <phoneticPr fontId="5" type="noConversion"/>
  </si>
  <si>
    <t>补贴</t>
    <phoneticPr fontId="5" type="noConversion"/>
  </si>
  <si>
    <t>T063</t>
  </si>
  <si>
    <t>T064</t>
  </si>
  <si>
    <t>T065</t>
  </si>
  <si>
    <t>年终奖</t>
    <phoneticPr fontId="5" type="noConversion"/>
  </si>
  <si>
    <t>T066</t>
  </si>
  <si>
    <t>调整</t>
    <phoneticPr fontId="5" type="noConversion"/>
  </si>
  <si>
    <t>税费尾差</t>
    <phoneticPr fontId="5" type="noConversion"/>
  </si>
  <si>
    <t>T067</t>
  </si>
  <si>
    <t>JH.2521</t>
    <phoneticPr fontId="5" type="noConversion"/>
  </si>
  <si>
    <t>JH.0682</t>
    <phoneticPr fontId="5" type="noConversion"/>
  </si>
  <si>
    <t>JH.1465</t>
    <phoneticPr fontId="5" type="noConversion"/>
  </si>
  <si>
    <t>JH.7471</t>
    <phoneticPr fontId="5" type="noConversion"/>
  </si>
  <si>
    <t>王洳琦 张小喜</t>
    <phoneticPr fontId="5" type="noConversion"/>
  </si>
  <si>
    <t>T068</t>
  </si>
  <si>
    <t>分红</t>
    <phoneticPr fontId="5" type="noConversion"/>
  </si>
  <si>
    <t>王洳琦 陈晓</t>
    <phoneticPr fontId="5" type="noConversion"/>
  </si>
  <si>
    <t>T069</t>
  </si>
  <si>
    <t>快递私人件</t>
    <phoneticPr fontId="5" type="noConversion"/>
  </si>
  <si>
    <t>T070</t>
  </si>
  <si>
    <t>12月sunny提现（线下和内购）</t>
    <phoneticPr fontId="5" type="noConversion"/>
  </si>
  <si>
    <t>T071</t>
  </si>
  <si>
    <t>12月sunny提现（书写营）</t>
    <phoneticPr fontId="5" type="noConversion"/>
  </si>
  <si>
    <t>远姐装修款</t>
    <phoneticPr fontId="5" type="noConversion"/>
  </si>
  <si>
    <t>T072</t>
  </si>
  <si>
    <t>代付款</t>
    <phoneticPr fontId="5" type="noConversion"/>
  </si>
  <si>
    <t>T073</t>
  </si>
  <si>
    <t>废纸销售</t>
    <phoneticPr fontId="5" type="noConversion"/>
  </si>
  <si>
    <t>T074</t>
  </si>
  <si>
    <t>找票</t>
    <phoneticPr fontId="5" type="noConversion"/>
  </si>
  <si>
    <t>榆乐</t>
    <phoneticPr fontId="5" type="noConversion"/>
  </si>
  <si>
    <t>T075</t>
  </si>
  <si>
    <t>T076</t>
  </si>
  <si>
    <t>王洳琦 喜家</t>
    <phoneticPr fontId="5" type="noConversion"/>
  </si>
  <si>
    <t>T077</t>
  </si>
  <si>
    <t>厂家退多付款项</t>
    <phoneticPr fontId="5" type="noConversion"/>
  </si>
  <si>
    <t>T078</t>
  </si>
  <si>
    <t>桑木</t>
    <phoneticPr fontId="5" type="noConversion"/>
  </si>
  <si>
    <t>T079</t>
  </si>
  <si>
    <t>T080</t>
  </si>
  <si>
    <t>T081</t>
  </si>
  <si>
    <t>王洳琦 明月远家</t>
    <phoneticPr fontId="5" type="noConversion"/>
  </si>
  <si>
    <t>T082</t>
  </si>
  <si>
    <t>T082</t>
    <phoneticPr fontId="5" type="noConversion"/>
  </si>
  <si>
    <t>T083</t>
  </si>
  <si>
    <t>计提1月工资</t>
    <phoneticPr fontId="5" type="noConversion"/>
  </si>
  <si>
    <t>支付</t>
    <phoneticPr fontId="5" type="noConversion"/>
  </si>
  <si>
    <t>预付货款</t>
    <phoneticPr fontId="5" type="noConversion"/>
  </si>
  <si>
    <t>12月工资</t>
    <phoneticPr fontId="5" type="noConversion"/>
  </si>
  <si>
    <t>计提年终奖</t>
    <phoneticPr fontId="5" type="noConversion"/>
  </si>
  <si>
    <t>缴纳计提社保</t>
    <phoneticPr fontId="5" type="noConversion"/>
  </si>
  <si>
    <t>1月</t>
    <phoneticPr fontId="5" type="noConversion"/>
  </si>
  <si>
    <t>2月</t>
  </si>
  <si>
    <t>3月</t>
  </si>
  <si>
    <t>4月</t>
  </si>
  <si>
    <t>5月</t>
  </si>
  <si>
    <t>6月</t>
  </si>
  <si>
    <t>7月</t>
  </si>
  <si>
    <t>8月</t>
  </si>
  <si>
    <t>9月</t>
  </si>
  <si>
    <t>10月</t>
  </si>
  <si>
    <t>11月</t>
  </si>
  <si>
    <t>12月</t>
  </si>
  <si>
    <t>房租</t>
    <phoneticPr fontId="5" type="noConversion"/>
  </si>
  <si>
    <t>合计</t>
    <phoneticPr fontId="5" type="noConversion"/>
  </si>
  <si>
    <t>T084</t>
  </si>
  <si>
    <t xml:space="preserve">榆乐1月房租12-2 </t>
    <phoneticPr fontId="5" type="noConversion"/>
  </si>
  <si>
    <t>Depo</t>
    <phoneticPr fontId="5" type="noConversion"/>
  </si>
  <si>
    <t>T085</t>
  </si>
  <si>
    <t>T086</t>
  </si>
  <si>
    <t>第四季度税费</t>
    <phoneticPr fontId="5" type="noConversion"/>
  </si>
  <si>
    <t>T087</t>
  </si>
  <si>
    <t>驻色淘宝</t>
    <phoneticPr fontId="5" type="noConversion"/>
  </si>
  <si>
    <t>T088</t>
  </si>
  <si>
    <t>结转榆乐增值税</t>
    <phoneticPr fontId="5" type="noConversion"/>
  </si>
  <si>
    <t>T089</t>
  </si>
  <si>
    <t>T090</t>
  </si>
  <si>
    <t>个税手续费增值税</t>
    <phoneticPr fontId="5" type="noConversion"/>
  </si>
  <si>
    <t>T091</t>
  </si>
  <si>
    <t>福利费</t>
    <phoneticPr fontId="5" type="noConversion"/>
  </si>
  <si>
    <t>T092</t>
  </si>
  <si>
    <t>办公水电费等</t>
    <phoneticPr fontId="5" type="noConversion"/>
  </si>
  <si>
    <t>T093</t>
  </si>
  <si>
    <t>办公费</t>
    <phoneticPr fontId="5" type="noConversion"/>
  </si>
  <si>
    <t>T094</t>
  </si>
  <si>
    <t>T095</t>
  </si>
  <si>
    <t>蜡染服务费</t>
    <phoneticPr fontId="5" type="noConversion"/>
  </si>
  <si>
    <t>内部结算</t>
    <phoneticPr fontId="5" type="noConversion"/>
  </si>
  <si>
    <t>T096</t>
  </si>
  <si>
    <t>T097</t>
  </si>
  <si>
    <t>修理费</t>
    <phoneticPr fontId="5" type="noConversion"/>
  </si>
  <si>
    <t>T098</t>
  </si>
  <si>
    <t>染匠 远家花园</t>
    <phoneticPr fontId="5" type="noConversion"/>
  </si>
  <si>
    <t>T099</t>
  </si>
  <si>
    <t>T100</t>
  </si>
  <si>
    <t>驻色员工</t>
    <phoneticPr fontId="5" type="noConversion"/>
  </si>
  <si>
    <t>T101</t>
  </si>
  <si>
    <t>染匠 远家文化</t>
    <phoneticPr fontId="5" type="noConversion"/>
  </si>
  <si>
    <t>T102</t>
  </si>
  <si>
    <t>T103</t>
  </si>
  <si>
    <t>JH.2761</t>
    <phoneticPr fontId="5" type="noConversion"/>
  </si>
  <si>
    <t>JH.0754</t>
    <phoneticPr fontId="5" type="noConversion"/>
  </si>
  <si>
    <t>T104</t>
  </si>
  <si>
    <t>Zhuse</t>
  </si>
  <si>
    <t>Zhuse</t>
    <phoneticPr fontId="5" type="noConversion"/>
  </si>
  <si>
    <t>驻色</t>
    <phoneticPr fontId="5" type="noConversion"/>
  </si>
  <si>
    <t>打样收入</t>
    <phoneticPr fontId="5" type="noConversion"/>
  </si>
  <si>
    <t>T105</t>
  </si>
  <si>
    <t>收款</t>
    <phoneticPr fontId="5" type="noConversion"/>
  </si>
  <si>
    <t>T106</t>
  </si>
  <si>
    <t>餐饮图书</t>
    <phoneticPr fontId="5" type="noConversion"/>
  </si>
  <si>
    <t>T107</t>
  </si>
  <si>
    <t>Order</t>
    <phoneticPr fontId="5" type="noConversion"/>
  </si>
  <si>
    <t>T108</t>
  </si>
  <si>
    <t>采购</t>
    <phoneticPr fontId="5" type="noConversion"/>
  </si>
  <si>
    <t>水果</t>
    <phoneticPr fontId="5" type="noConversion"/>
  </si>
  <si>
    <t>T109</t>
  </si>
  <si>
    <t>牛奶</t>
    <phoneticPr fontId="5" type="noConversion"/>
  </si>
  <si>
    <t>T110</t>
  </si>
  <si>
    <t>茶叶</t>
    <phoneticPr fontId="5" type="noConversion"/>
  </si>
  <si>
    <t>T111</t>
  </si>
  <si>
    <t>甜品</t>
    <phoneticPr fontId="5" type="noConversion"/>
  </si>
  <si>
    <t>MiXiaoYi</t>
    <phoneticPr fontId="5" type="noConversion"/>
  </si>
  <si>
    <t>食材</t>
    <phoneticPr fontId="5" type="noConversion"/>
  </si>
  <si>
    <t>T112</t>
  </si>
  <si>
    <t>T113</t>
  </si>
  <si>
    <t>T114</t>
  </si>
  <si>
    <t>T115</t>
  </si>
  <si>
    <t>洗涤费</t>
    <phoneticPr fontId="5" type="noConversion"/>
  </si>
  <si>
    <t>T116</t>
  </si>
  <si>
    <t>T117</t>
  </si>
  <si>
    <t>鸡蛋</t>
    <phoneticPr fontId="5" type="noConversion"/>
  </si>
  <si>
    <t>T118</t>
  </si>
  <si>
    <t>T119</t>
  </si>
  <si>
    <t>干杂</t>
    <phoneticPr fontId="5" type="noConversion"/>
  </si>
  <si>
    <t>T120</t>
  </si>
  <si>
    <t>蔬菜</t>
    <phoneticPr fontId="5" type="noConversion"/>
  </si>
  <si>
    <t>T121</t>
  </si>
  <si>
    <t>咖啡</t>
    <phoneticPr fontId="5" type="noConversion"/>
  </si>
  <si>
    <t>T122</t>
  </si>
  <si>
    <t>冻品</t>
    <phoneticPr fontId="5" type="noConversion"/>
  </si>
  <si>
    <t>T123</t>
  </si>
  <si>
    <t>T124</t>
  </si>
  <si>
    <t>T125</t>
  </si>
  <si>
    <t>T126</t>
  </si>
  <si>
    <t>餐具低耗</t>
    <phoneticPr fontId="5" type="noConversion"/>
  </si>
  <si>
    <t>T127</t>
  </si>
  <si>
    <t>活动物料</t>
    <phoneticPr fontId="5" type="noConversion"/>
  </si>
  <si>
    <t>水街员工</t>
    <phoneticPr fontId="5" type="noConversion"/>
  </si>
  <si>
    <t>T128</t>
  </si>
  <si>
    <t>兼职</t>
    <phoneticPr fontId="5" type="noConversion"/>
  </si>
  <si>
    <t>T129</t>
  </si>
  <si>
    <t>T130</t>
  </si>
  <si>
    <t>啤酒</t>
    <phoneticPr fontId="5" type="noConversion"/>
  </si>
  <si>
    <t>T131</t>
  </si>
  <si>
    <t>第四季度税费 实际缴纳和前期计提有4分钱尾差</t>
    <phoneticPr fontId="5" type="noConversion"/>
  </si>
  <si>
    <t>第四季度税费 实际缴纳和前期计提有1分钱尾差</t>
    <phoneticPr fontId="5" type="noConversion"/>
  </si>
  <si>
    <t>T132</t>
  </si>
  <si>
    <t>T133</t>
  </si>
  <si>
    <t>T134</t>
  </si>
  <si>
    <t>税务代理</t>
    <phoneticPr fontId="5" type="noConversion"/>
  </si>
  <si>
    <t>T135</t>
  </si>
  <si>
    <t>T136</t>
  </si>
  <si>
    <t>T137</t>
  </si>
  <si>
    <t>T138</t>
  </si>
  <si>
    <t>水街员工预支款</t>
    <phoneticPr fontId="5" type="noConversion"/>
  </si>
  <si>
    <t>T139</t>
  </si>
  <si>
    <t>存现</t>
    <phoneticPr fontId="5" type="noConversion"/>
  </si>
  <si>
    <t>餐厅现金</t>
    <phoneticPr fontId="5" type="noConversion"/>
  </si>
  <si>
    <t>T140</t>
  </si>
  <si>
    <t>个税手续费返还</t>
    <phoneticPr fontId="5" type="noConversion"/>
  </si>
  <si>
    <t>T141</t>
  </si>
  <si>
    <t>T142</t>
  </si>
  <si>
    <t>T143</t>
  </si>
  <si>
    <t>葡萄酒</t>
    <phoneticPr fontId="5" type="noConversion"/>
  </si>
  <si>
    <t>T144</t>
  </si>
  <si>
    <t>T145</t>
  </si>
  <si>
    <t>T146</t>
  </si>
  <si>
    <t>T147</t>
  </si>
  <si>
    <t>低耗用品</t>
    <phoneticPr fontId="5" type="noConversion"/>
  </si>
  <si>
    <t>T148</t>
  </si>
  <si>
    <t>T149</t>
  </si>
  <si>
    <t>宽带费</t>
    <phoneticPr fontId="5" type="noConversion"/>
  </si>
  <si>
    <t>T150</t>
  </si>
  <si>
    <t>T151</t>
  </si>
  <si>
    <t>米小易 远家花园</t>
    <phoneticPr fontId="5" type="noConversion"/>
  </si>
  <si>
    <t>T152</t>
  </si>
  <si>
    <t>T153</t>
  </si>
  <si>
    <t>T154</t>
  </si>
  <si>
    <t>T155</t>
  </si>
  <si>
    <t>T156</t>
  </si>
  <si>
    <t>入库</t>
    <phoneticPr fontId="5" type="noConversion"/>
  </si>
  <si>
    <t>T157</t>
  </si>
  <si>
    <t>T158</t>
  </si>
  <si>
    <t>T159</t>
  </si>
  <si>
    <t>T160</t>
  </si>
  <si>
    <t>T161</t>
  </si>
  <si>
    <t>现金</t>
    <phoneticPr fontId="5" type="noConversion"/>
  </si>
  <si>
    <t>T162</t>
  </si>
  <si>
    <t>T163</t>
  </si>
  <si>
    <t>平台手续费</t>
    <phoneticPr fontId="5" type="noConversion"/>
  </si>
  <si>
    <t>T164</t>
  </si>
  <si>
    <t>T165</t>
  </si>
  <si>
    <t>T166</t>
  </si>
  <si>
    <t>成本结转</t>
    <phoneticPr fontId="5" type="noConversion"/>
  </si>
  <si>
    <t>T167</t>
  </si>
  <si>
    <t>T168</t>
  </si>
  <si>
    <t>T169</t>
  </si>
  <si>
    <t>T126</t>
    <phoneticPr fontId="5" type="noConversion"/>
  </si>
  <si>
    <t>水街店</t>
  </si>
  <si>
    <t>Bank</t>
    <phoneticPr fontId="5" type="noConversion"/>
  </si>
  <si>
    <t>JH.8952</t>
    <phoneticPr fontId="5" type="noConversion"/>
  </si>
  <si>
    <t>JH.4559</t>
    <phoneticPr fontId="5" type="noConversion"/>
  </si>
  <si>
    <t>AR</t>
    <phoneticPr fontId="5" type="noConversion"/>
  </si>
  <si>
    <t>平台</t>
    <phoneticPr fontId="5" type="noConversion"/>
  </si>
  <si>
    <t>FrOther</t>
    <phoneticPr fontId="5" type="noConversion"/>
  </si>
  <si>
    <t>ToEmp</t>
    <phoneticPr fontId="5" type="noConversion"/>
  </si>
  <si>
    <t>OnEmp</t>
    <phoneticPr fontId="5" type="noConversion"/>
  </si>
  <si>
    <t>Curr</t>
    <phoneticPr fontId="5" type="noConversion"/>
  </si>
  <si>
    <t>Phys.C</t>
    <phoneticPr fontId="5" type="noConversion"/>
  </si>
  <si>
    <t>Casher.cy</t>
    <phoneticPr fontId="5" type="noConversion"/>
  </si>
  <si>
    <t>平台到账</t>
    <phoneticPr fontId="5" type="noConversion"/>
  </si>
  <si>
    <t>T170</t>
  </si>
  <si>
    <t>燃气费</t>
    <phoneticPr fontId="5" type="noConversion"/>
  </si>
  <si>
    <t>T171</t>
  </si>
  <si>
    <t>插花</t>
    <phoneticPr fontId="5" type="noConversion"/>
  </si>
  <si>
    <t>T172</t>
  </si>
  <si>
    <t>T173</t>
  </si>
  <si>
    <t>消杀</t>
    <phoneticPr fontId="5" type="noConversion"/>
  </si>
  <si>
    <t>T174</t>
  </si>
  <si>
    <t>T174</t>
    <phoneticPr fontId="5" type="noConversion"/>
  </si>
  <si>
    <t>T175</t>
  </si>
  <si>
    <t>电费</t>
    <phoneticPr fontId="5" type="noConversion"/>
  </si>
  <si>
    <t>T176</t>
  </si>
  <si>
    <t>T177</t>
  </si>
  <si>
    <t>T178</t>
  </si>
  <si>
    <t>消费税</t>
    <phoneticPr fontId="5" type="noConversion"/>
  </si>
  <si>
    <t>T179</t>
  </si>
  <si>
    <t>木板</t>
    <phoneticPr fontId="5" type="noConversion"/>
  </si>
  <si>
    <t>T180</t>
  </si>
  <si>
    <t>T181</t>
  </si>
  <si>
    <t>T182</t>
  </si>
  <si>
    <t>店家快递费</t>
    <phoneticPr fontId="5" type="noConversion"/>
  </si>
  <si>
    <t>T183</t>
  </si>
  <si>
    <t>喜家 远家花园</t>
    <phoneticPr fontId="5" type="noConversion"/>
  </si>
  <si>
    <t>T183</t>
    <phoneticPr fontId="5" type="noConversion"/>
  </si>
  <si>
    <t>T184</t>
  </si>
  <si>
    <t>T184</t>
    <phoneticPr fontId="5" type="noConversion"/>
  </si>
  <si>
    <t>T185</t>
  </si>
  <si>
    <t>T186</t>
  </si>
  <si>
    <t>T187</t>
  </si>
  <si>
    <t>T188</t>
  </si>
  <si>
    <t>T189</t>
  </si>
  <si>
    <t>服装</t>
    <phoneticPr fontId="5" type="noConversion"/>
  </si>
  <si>
    <t>T190</t>
  </si>
  <si>
    <t>T191</t>
  </si>
  <si>
    <t>T192</t>
  </si>
  <si>
    <t>T193</t>
  </si>
  <si>
    <t>时一</t>
    <phoneticPr fontId="5" type="noConversion"/>
  </si>
  <si>
    <t>T194</t>
  </si>
  <si>
    <t>T195</t>
  </si>
  <si>
    <t>T196</t>
  </si>
  <si>
    <t>T196</t>
    <phoneticPr fontId="5" type="noConversion"/>
  </si>
  <si>
    <t>T197</t>
  </si>
  <si>
    <t>T198</t>
  </si>
  <si>
    <t>T199</t>
  </si>
  <si>
    <t>T200</t>
  </si>
  <si>
    <t>T201</t>
  </si>
  <si>
    <t>T202</t>
  </si>
  <si>
    <t>平台下月到账</t>
    <phoneticPr fontId="5" type="noConversion"/>
  </si>
  <si>
    <t>12月多确认</t>
    <phoneticPr fontId="5" type="noConversion"/>
  </si>
  <si>
    <t>预付订单</t>
    <phoneticPr fontId="5" type="noConversion"/>
  </si>
  <si>
    <t>AP</t>
    <phoneticPr fontId="5" type="noConversion"/>
  </si>
  <si>
    <t>Casher.fz</t>
    <phoneticPr fontId="5" type="noConversion"/>
  </si>
  <si>
    <t>T203</t>
  </si>
  <si>
    <t>瑜伽课程费</t>
    <phoneticPr fontId="5" type="noConversion"/>
  </si>
  <si>
    <t>花艺课程费</t>
    <phoneticPr fontId="5" type="noConversion"/>
  </si>
  <si>
    <t>T204</t>
  </si>
  <si>
    <t>打印费</t>
    <phoneticPr fontId="5" type="noConversion"/>
  </si>
  <si>
    <t>T205</t>
  </si>
  <si>
    <t>T206</t>
  </si>
  <si>
    <t>T207</t>
  </si>
  <si>
    <t>T208</t>
  </si>
  <si>
    <t>T209</t>
  </si>
  <si>
    <t>T210</t>
  </si>
  <si>
    <t>T000</t>
    <phoneticPr fontId="5" type="noConversion"/>
  </si>
  <si>
    <t>T211</t>
  </si>
  <si>
    <t>T212</t>
  </si>
  <si>
    <t>T213</t>
  </si>
  <si>
    <t>T214</t>
  </si>
  <si>
    <t>原值</t>
    <phoneticPr fontId="5" type="noConversion"/>
  </si>
  <si>
    <t>装修</t>
    <phoneticPr fontId="5" type="noConversion"/>
  </si>
  <si>
    <t>剩余待摊金额</t>
    <phoneticPr fontId="5" type="noConversion"/>
  </si>
  <si>
    <t>T215</t>
  </si>
  <si>
    <t>装修费</t>
    <phoneticPr fontId="5" type="noConversion"/>
  </si>
  <si>
    <t>T216</t>
  </si>
  <si>
    <t>T217</t>
  </si>
  <si>
    <t>T218</t>
  </si>
  <si>
    <t>T219</t>
    <phoneticPr fontId="5" type="noConversion"/>
  </si>
  <si>
    <t>2026房租</t>
    <phoneticPr fontId="5" type="noConversion"/>
  </si>
  <si>
    <t>T220</t>
  </si>
  <si>
    <t>税费</t>
    <phoneticPr fontId="5" type="noConversion"/>
  </si>
  <si>
    <t>T221</t>
  </si>
  <si>
    <t>T222</t>
  </si>
  <si>
    <t>奖金 账面多9万</t>
    <phoneticPr fontId="5" type="noConversion"/>
  </si>
  <si>
    <t>XiJia</t>
    <phoneticPr fontId="5" type="noConversion"/>
  </si>
  <si>
    <t>前期累计摊销额</t>
    <phoneticPr fontId="5" type="noConversion"/>
  </si>
  <si>
    <t>JH.2131</t>
    <phoneticPr fontId="5" type="noConversion"/>
  </si>
  <si>
    <t>Casher.hd</t>
    <phoneticPr fontId="5" type="noConversion"/>
  </si>
  <si>
    <t>Property</t>
    <phoneticPr fontId="5" type="noConversion"/>
  </si>
  <si>
    <t>水街-累计折旧</t>
    <phoneticPr fontId="5" type="noConversion"/>
  </si>
  <si>
    <t>T223</t>
  </si>
  <si>
    <t>T224</t>
  </si>
  <si>
    <t>T225</t>
  </si>
  <si>
    <t>T228</t>
  </si>
  <si>
    <t>停车费</t>
    <phoneticPr fontId="5" type="noConversion"/>
  </si>
  <si>
    <t>T229</t>
  </si>
  <si>
    <t>T231</t>
  </si>
  <si>
    <t>T232</t>
  </si>
  <si>
    <t>淘宝</t>
    <phoneticPr fontId="5" type="noConversion"/>
  </si>
  <si>
    <t>T233</t>
  </si>
  <si>
    <t>T234</t>
  </si>
  <si>
    <t>工资发票形式</t>
    <phoneticPr fontId="5" type="noConversion"/>
  </si>
  <si>
    <t>T235</t>
  </si>
  <si>
    <t>贝壳报销交通、餐食</t>
    <phoneticPr fontId="5" type="noConversion"/>
  </si>
  <si>
    <t>T236</t>
  </si>
  <si>
    <t>T237</t>
  </si>
  <si>
    <t>T238</t>
  </si>
  <si>
    <t>T239</t>
  </si>
  <si>
    <t>T240</t>
  </si>
  <si>
    <t>T241</t>
  </si>
  <si>
    <t>T242</t>
  </si>
  <si>
    <t>T244</t>
  </si>
  <si>
    <t>T245</t>
  </si>
  <si>
    <t>T246</t>
  </si>
  <si>
    <t>T247</t>
  </si>
  <si>
    <t>T248</t>
  </si>
  <si>
    <t>T249</t>
  </si>
  <si>
    <t>T250</t>
  </si>
  <si>
    <t>T251</t>
  </si>
  <si>
    <t>T252</t>
  </si>
  <si>
    <t>T253</t>
  </si>
  <si>
    <t>包装费</t>
    <phoneticPr fontId="5" type="noConversion"/>
  </si>
  <si>
    <t>T254</t>
  </si>
  <si>
    <t>T255</t>
  </si>
  <si>
    <t>包装费等</t>
    <phoneticPr fontId="5" type="noConversion"/>
  </si>
  <si>
    <t>T256</t>
  </si>
  <si>
    <t>T258</t>
  </si>
  <si>
    <t>T259</t>
  </si>
  <si>
    <t>T260</t>
  </si>
  <si>
    <t>T261</t>
  </si>
  <si>
    <t>T262</t>
  </si>
  <si>
    <t>T263</t>
  </si>
  <si>
    <t>T264</t>
  </si>
  <si>
    <t>T265</t>
  </si>
  <si>
    <t>T266</t>
  </si>
  <si>
    <t>T267</t>
  </si>
  <si>
    <t>T268</t>
  </si>
  <si>
    <t>T269</t>
  </si>
  <si>
    <t>T270</t>
  </si>
  <si>
    <t>T271</t>
  </si>
  <si>
    <t>T272</t>
  </si>
  <si>
    <t>T273</t>
  </si>
  <si>
    <t>T275</t>
  </si>
  <si>
    <t>T276</t>
  </si>
  <si>
    <t>T277</t>
  </si>
  <si>
    <t>T278</t>
  </si>
  <si>
    <t>T279</t>
  </si>
  <si>
    <t>T280</t>
  </si>
  <si>
    <t>T282</t>
  </si>
  <si>
    <t>T283</t>
  </si>
  <si>
    <t>T285</t>
  </si>
  <si>
    <t>T286</t>
  </si>
  <si>
    <t>T287</t>
  </si>
  <si>
    <t>T288</t>
  </si>
  <si>
    <t>T289</t>
  </si>
  <si>
    <t>T290</t>
  </si>
  <si>
    <t>T291</t>
  </si>
  <si>
    <t>T292</t>
  </si>
  <si>
    <t>T293</t>
  </si>
  <si>
    <t>T294</t>
  </si>
  <si>
    <t>电脑设备</t>
    <phoneticPr fontId="5" type="noConversion"/>
  </si>
  <si>
    <t>T295</t>
  </si>
  <si>
    <t>T296</t>
  </si>
  <si>
    <t>T298</t>
  </si>
  <si>
    <t>T301</t>
  </si>
  <si>
    <t>T302</t>
  </si>
  <si>
    <t>外加工费</t>
    <phoneticPr fontId="5" type="noConversion"/>
  </si>
  <si>
    <t>T303</t>
  </si>
  <si>
    <t>T304</t>
  </si>
  <si>
    <t>T305</t>
  </si>
  <si>
    <t>T306</t>
  </si>
  <si>
    <t>T307</t>
  </si>
  <si>
    <t>T308</t>
  </si>
  <si>
    <t>T309</t>
  </si>
  <si>
    <t>T310</t>
  </si>
  <si>
    <t>T311</t>
  </si>
  <si>
    <t>油费</t>
    <phoneticPr fontId="5" type="noConversion"/>
  </si>
  <si>
    <t>T312</t>
  </si>
  <si>
    <t>T313</t>
  </si>
  <si>
    <t>商标代理费</t>
    <phoneticPr fontId="5" type="noConversion"/>
  </si>
  <si>
    <t>T314</t>
  </si>
  <si>
    <t>T315</t>
  </si>
  <si>
    <t>T316</t>
  </si>
  <si>
    <t>T317</t>
  </si>
  <si>
    <t>T318</t>
  </si>
  <si>
    <t>T319</t>
  </si>
  <si>
    <t>生产物料</t>
    <phoneticPr fontId="5" type="noConversion"/>
  </si>
  <si>
    <t>T320</t>
  </si>
  <si>
    <t>T321</t>
  </si>
  <si>
    <t>面料</t>
    <phoneticPr fontId="5" type="noConversion"/>
  </si>
  <si>
    <t>T323</t>
  </si>
  <si>
    <t>T324</t>
  </si>
  <si>
    <t>团建经费</t>
    <phoneticPr fontId="5" type="noConversion"/>
  </si>
  <si>
    <t>T325</t>
  </si>
  <si>
    <t>T326</t>
  </si>
  <si>
    <t>T327</t>
  </si>
  <si>
    <t>T330</t>
  </si>
  <si>
    <t>T331</t>
  </si>
  <si>
    <t>T332</t>
  </si>
  <si>
    <t>T333</t>
  </si>
  <si>
    <t>T334</t>
  </si>
  <si>
    <t>大货</t>
    <phoneticPr fontId="5" type="noConversion"/>
  </si>
  <si>
    <t>供应商退货款</t>
    <phoneticPr fontId="5" type="noConversion"/>
  </si>
  <si>
    <t>加工</t>
    <phoneticPr fontId="5" type="noConversion"/>
  </si>
  <si>
    <t>T333</t>
    <phoneticPr fontId="5" type="noConversion"/>
  </si>
  <si>
    <t>绣花</t>
    <phoneticPr fontId="5" type="noConversion"/>
  </si>
  <si>
    <t>T335</t>
  </si>
  <si>
    <t>T336</t>
  </si>
  <si>
    <t>T337</t>
  </si>
  <si>
    <t>T338</t>
  </si>
  <si>
    <t>T339</t>
  </si>
  <si>
    <t>T340</t>
  </si>
  <si>
    <t>T341</t>
  </si>
  <si>
    <t>T342</t>
  </si>
  <si>
    <t>T343</t>
  </si>
  <si>
    <t>办公杂项</t>
    <phoneticPr fontId="5" type="noConversion"/>
  </si>
  <si>
    <t>T344</t>
  </si>
  <si>
    <t>T345</t>
  </si>
  <si>
    <t>驻色染色</t>
    <phoneticPr fontId="5" type="noConversion"/>
  </si>
  <si>
    <t>T346</t>
  </si>
  <si>
    <t>T347</t>
  </si>
  <si>
    <t>T348</t>
  </si>
  <si>
    <t>T349</t>
  </si>
  <si>
    <t>T350</t>
  </si>
  <si>
    <t>T351</t>
  </si>
  <si>
    <t>T352</t>
  </si>
  <si>
    <t>费用退回</t>
    <phoneticPr fontId="5" type="noConversion"/>
  </si>
  <si>
    <t>T354</t>
  </si>
  <si>
    <t>视频号</t>
    <phoneticPr fontId="5" type="noConversion"/>
  </si>
  <si>
    <t>T355</t>
  </si>
  <si>
    <t>T356</t>
  </si>
  <si>
    <t>T357</t>
  </si>
  <si>
    <t>T358</t>
  </si>
  <si>
    <t>T359</t>
  </si>
  <si>
    <t>T360</t>
  </si>
  <si>
    <t>T361</t>
  </si>
  <si>
    <t>增值税销项</t>
    <phoneticPr fontId="5" type="noConversion"/>
  </si>
  <si>
    <t>增值税进项</t>
    <phoneticPr fontId="5" type="noConversion"/>
  </si>
  <si>
    <t>T362</t>
  </si>
  <si>
    <t>T363</t>
  </si>
  <si>
    <t>低耗</t>
  </si>
  <si>
    <t>图书</t>
  </si>
  <si>
    <t>T364</t>
  </si>
  <si>
    <t>增值税减免优惠</t>
    <phoneticPr fontId="5" type="noConversion"/>
  </si>
  <si>
    <t>T364</t>
    <phoneticPr fontId="5" type="noConversion"/>
  </si>
  <si>
    <t>NH.3284</t>
    <phoneticPr fontId="5" type="noConversion"/>
  </si>
  <si>
    <t>ETC</t>
    <phoneticPr fontId="5" type="noConversion"/>
  </si>
  <si>
    <t>薪酬-社保</t>
  </si>
  <si>
    <t>薪酬-工资</t>
  </si>
  <si>
    <t>薪酬-奖金</t>
  </si>
  <si>
    <t>设计</t>
  </si>
  <si>
    <t>补贴</t>
  </si>
  <si>
    <t>分红</t>
  </si>
  <si>
    <t>代付款</t>
  </si>
  <si>
    <t>找票</t>
  </si>
  <si>
    <t>内部结算</t>
  </si>
  <si>
    <t>摊销</t>
  </si>
  <si>
    <t>收款</t>
  </si>
  <si>
    <t>存现</t>
  </si>
  <si>
    <t>成本结转</t>
  </si>
  <si>
    <t>加工</t>
  </si>
  <si>
    <t>确认补贴收入</t>
    <phoneticPr fontId="5" type="noConversion"/>
  </si>
  <si>
    <t>确认销售收入</t>
    <phoneticPr fontId="5" type="noConversion"/>
  </si>
  <si>
    <t>缴纳并计提社保</t>
    <phoneticPr fontId="5" type="noConversion"/>
  </si>
  <si>
    <t>说明</t>
    <phoneticPr fontId="5" type="noConversion"/>
  </si>
  <si>
    <t>是否影响损益</t>
    <phoneticPr fontId="5" type="noConversion"/>
  </si>
  <si>
    <t>是</t>
    <phoneticPr fontId="5" type="noConversion"/>
  </si>
  <si>
    <t>否</t>
    <phoneticPr fontId="5" type="noConversion"/>
  </si>
  <si>
    <t xml:space="preserve">计提工资 </t>
    <phoneticPr fontId="5" type="noConversion"/>
  </si>
  <si>
    <t xml:space="preserve">计提奖金 </t>
    <phoneticPr fontId="5" type="noConversion"/>
  </si>
  <si>
    <t>支付剪板面料、样品</t>
    <phoneticPr fontId="5" type="noConversion"/>
  </si>
  <si>
    <t xml:space="preserve">股东分红  </t>
    <phoneticPr fontId="5" type="noConversion"/>
  </si>
  <si>
    <t>代收付款</t>
    <phoneticPr fontId="5" type="noConversion"/>
  </si>
  <si>
    <t>外部开票费用</t>
    <phoneticPr fontId="5" type="noConversion"/>
  </si>
  <si>
    <t xml:space="preserve">内部往来过账  </t>
    <phoneticPr fontId="5" type="noConversion"/>
  </si>
  <si>
    <t>房租 物管 装修</t>
    <phoneticPr fontId="5" type="noConversion"/>
  </si>
  <si>
    <t>计提税金</t>
    <phoneticPr fontId="5" type="noConversion"/>
  </si>
  <si>
    <t>附加税 消费税 印花税 所得税</t>
    <phoneticPr fontId="5" type="noConversion"/>
  </si>
  <si>
    <t>退款-客人</t>
    <phoneticPr fontId="5" type="noConversion"/>
  </si>
  <si>
    <t>退款给客人</t>
    <phoneticPr fontId="5" type="noConversion"/>
  </si>
  <si>
    <t>退款-供应商</t>
    <phoneticPr fontId="5" type="noConversion"/>
  </si>
  <si>
    <t>外加工费用</t>
    <phoneticPr fontId="5" type="noConversion"/>
  </si>
  <si>
    <t>已报销费用退回</t>
    <phoneticPr fontId="5" type="noConversion"/>
  </si>
  <si>
    <t>退费-供应商</t>
    <phoneticPr fontId="5" type="noConversion"/>
  </si>
  <si>
    <t>创业园3-5和5-2房租</t>
    <phoneticPr fontId="5" type="noConversion"/>
  </si>
  <si>
    <t>增值税销项 进项 减免优惠</t>
    <phoneticPr fontId="5" type="noConversion"/>
  </si>
  <si>
    <t>折旧</t>
    <phoneticPr fontId="5" type="noConversion"/>
  </si>
  <si>
    <t>房屋土地</t>
    <phoneticPr fontId="5" type="noConversion"/>
  </si>
  <si>
    <t>费用付款</t>
    <phoneticPr fontId="5" type="noConversion"/>
  </si>
  <si>
    <t>现金存入银行</t>
    <phoneticPr fontId="5" type="noConversion"/>
  </si>
  <si>
    <t>到账</t>
    <phoneticPr fontId="5" type="noConversion"/>
  </si>
  <si>
    <t>付款</t>
    <phoneticPr fontId="5" type="noConversion"/>
  </si>
  <si>
    <t>乐于斯</t>
  </si>
  <si>
    <t>低苦艾</t>
  </si>
  <si>
    <t>货款</t>
  </si>
  <si>
    <t>消费税</t>
  </si>
  <si>
    <t>印花税</t>
  </si>
  <si>
    <t>远姐装修款</t>
  </si>
  <si>
    <t>奖金</t>
  </si>
  <si>
    <t>NS.9539</t>
    <phoneticPr fontId="5" type="noConversion"/>
  </si>
  <si>
    <t>huotang</t>
    <phoneticPr fontId="5" type="noConversion"/>
  </si>
  <si>
    <t>驻色-建</t>
    <phoneticPr fontId="5" type="noConversion"/>
  </si>
  <si>
    <t>WeC1</t>
    <phoneticPr fontId="5" type="noConversion"/>
  </si>
  <si>
    <t>WeC2</t>
    <phoneticPr fontId="5" type="noConversion"/>
  </si>
  <si>
    <t>小月1号</t>
    <phoneticPr fontId="5" type="noConversion"/>
  </si>
  <si>
    <t>小月2号</t>
    <phoneticPr fontId="5" type="noConversion"/>
  </si>
  <si>
    <t>线上平台</t>
    <phoneticPr fontId="5" type="noConversion"/>
  </si>
  <si>
    <t>个人预支</t>
    <phoneticPr fontId="5" type="noConversion"/>
  </si>
  <si>
    <t>明月远家</t>
    <phoneticPr fontId="5" type="noConversion"/>
  </si>
  <si>
    <t>明月村低耗</t>
    <phoneticPr fontId="5" type="noConversion"/>
  </si>
  <si>
    <t>水街图书</t>
    <phoneticPr fontId="5" type="noConversion"/>
  </si>
  <si>
    <t>创业园服装</t>
    <phoneticPr fontId="5" type="noConversion"/>
  </si>
  <si>
    <t>应付货款</t>
    <phoneticPr fontId="5" type="noConversion"/>
  </si>
  <si>
    <t>会员充值</t>
    <phoneticPr fontId="5" type="noConversion"/>
  </si>
  <si>
    <t>水街充值预收账面余额</t>
    <phoneticPr fontId="5" type="noConversion"/>
  </si>
  <si>
    <t>收明月远家客人押金</t>
    <phoneticPr fontId="5" type="noConversion"/>
  </si>
  <si>
    <t>水街装修暂未付款</t>
    <phoneticPr fontId="5" type="noConversion"/>
  </si>
  <si>
    <t>借出款项</t>
    <phoneticPr fontId="5" type="noConversion"/>
  </si>
  <si>
    <t>付的押金</t>
    <phoneticPr fontId="5" type="noConversion"/>
  </si>
  <si>
    <t>至尊卡</t>
    <phoneticPr fontId="5" type="noConversion"/>
  </si>
  <si>
    <t>预售至尊卡</t>
    <phoneticPr fontId="5" type="noConversion"/>
  </si>
  <si>
    <t>榆乐、桑木</t>
    <phoneticPr fontId="5" type="noConversion"/>
  </si>
  <si>
    <t>采购入库直接计入远家花园Curr</t>
    <phoneticPr fontId="5" type="noConversion"/>
  </si>
  <si>
    <t>小规模纳税人</t>
    <phoneticPr fontId="5" type="noConversion"/>
  </si>
  <si>
    <t>一般纳税人</t>
    <phoneticPr fontId="5" type="noConversion"/>
  </si>
  <si>
    <t>note</t>
    <phoneticPr fontId="5" type="noConversion"/>
  </si>
  <si>
    <t>对象</t>
    <phoneticPr fontId="5" type="noConversion"/>
  </si>
  <si>
    <t>IncNode</t>
    <phoneticPr fontId="5" type="noConversion"/>
  </si>
  <si>
    <t>确认收入的时候记录附加：应交增值税，计入IncNode的Revenue</t>
    <phoneticPr fontId="5" type="noConversion"/>
  </si>
  <si>
    <t>结转增值税时，记录销项减进项、减免后的净额，计入IncNode的Revenue</t>
    <phoneticPr fontId="5" type="noConversion"/>
  </si>
  <si>
    <t>Division</t>
    <phoneticPr fontId="5" type="noConversion"/>
  </si>
  <si>
    <r>
      <t>按所属板块记录，</t>
    </r>
    <r>
      <rPr>
        <sz val="11"/>
        <color rgb="FFFF0000"/>
        <rFont val="等线"/>
        <family val="3"/>
        <charset val="134"/>
        <scheme val="minor"/>
      </rPr>
      <t>不记录在内控合规；方便看各板块的税负</t>
    </r>
    <phoneticPr fontId="5" type="noConversion"/>
  </si>
  <si>
    <t>1、喜家和远家花园：以过账银行抵消，不计往来</t>
    <phoneticPr fontId="5" type="noConversion"/>
  </si>
  <si>
    <t>2、琦琦和明月村：以往来记录抵消</t>
    <phoneticPr fontId="5" type="noConversion"/>
  </si>
  <si>
    <t>3、远家花园和明月远家（视频号）：以过账银行抵消，不计往来</t>
    <phoneticPr fontId="5" type="noConversion"/>
  </si>
  <si>
    <t>内部结算都不计损益</t>
    <phoneticPr fontId="5" type="noConversion"/>
  </si>
  <si>
    <t>远家花园</t>
    <phoneticPr fontId="5" type="noConversion"/>
  </si>
  <si>
    <t>不记录预付货款，支付即入库成为存货占款</t>
    <phoneticPr fontId="5" type="noConversion"/>
  </si>
  <si>
    <t>T257</t>
  </si>
  <si>
    <t>两个分录，一个是报销AR（平台）减少，一个是销售AR（平台）增加（注意销售计入IncNode的Revenue）</t>
    <phoneticPr fontId="5" type="noConversion"/>
  </si>
  <si>
    <t>T365</t>
  </si>
  <si>
    <t>客房现金</t>
    <phoneticPr fontId="5" type="noConversion"/>
  </si>
  <si>
    <t>客房</t>
    <phoneticPr fontId="5" type="noConversion"/>
  </si>
  <si>
    <t>T366</t>
  </si>
  <si>
    <t>卖场</t>
    <phoneticPr fontId="5" type="noConversion"/>
  </si>
  <si>
    <t>T367</t>
  </si>
  <si>
    <t>T368</t>
  </si>
  <si>
    <t>餐厅</t>
    <phoneticPr fontId="5" type="noConversion"/>
  </si>
  <si>
    <t>T369</t>
  </si>
  <si>
    <t>T370</t>
  </si>
  <si>
    <t>卖场现金</t>
    <phoneticPr fontId="5" type="noConversion"/>
  </si>
  <si>
    <t>礼金现金</t>
    <phoneticPr fontId="5" type="noConversion"/>
  </si>
  <si>
    <t>T371</t>
  </si>
  <si>
    <t>T372</t>
  </si>
  <si>
    <t>T373</t>
  </si>
  <si>
    <t>临时工</t>
    <phoneticPr fontId="5" type="noConversion"/>
  </si>
  <si>
    <t>T374</t>
  </si>
  <si>
    <t>T375</t>
  </si>
  <si>
    <t>演出费</t>
    <phoneticPr fontId="5" type="noConversion"/>
  </si>
  <si>
    <t>T376</t>
  </si>
  <si>
    <t>清洗费</t>
    <phoneticPr fontId="5" type="noConversion"/>
  </si>
  <si>
    <t>T377</t>
  </si>
  <si>
    <t>T378</t>
  </si>
  <si>
    <t>客房（订单来了）</t>
    <phoneticPr fontId="5" type="noConversion"/>
  </si>
  <si>
    <t>T379</t>
  </si>
  <si>
    <t>客房（携程）</t>
    <phoneticPr fontId="5" type="noConversion"/>
  </si>
  <si>
    <t>T380</t>
  </si>
  <si>
    <t>T381</t>
  </si>
  <si>
    <t>退款-供应商</t>
  </si>
  <si>
    <t>供应商退货款A减库存不影响损益B减费用成本影响</t>
    <phoneticPr fontId="5" type="noConversion"/>
  </si>
  <si>
    <t>T382</t>
  </si>
  <si>
    <t>T383</t>
  </si>
  <si>
    <t>T384</t>
  </si>
  <si>
    <t>布草洗涤</t>
    <phoneticPr fontId="5" type="noConversion"/>
  </si>
  <si>
    <t>T385</t>
  </si>
  <si>
    <t>T386</t>
  </si>
  <si>
    <t>团队定金</t>
    <phoneticPr fontId="5" type="noConversion"/>
  </si>
  <si>
    <t>团队</t>
    <phoneticPr fontId="5" type="noConversion"/>
  </si>
  <si>
    <t>T387</t>
  </si>
  <si>
    <t>餐具</t>
    <phoneticPr fontId="5" type="noConversion"/>
  </si>
  <si>
    <t>1、布草洗涤、燃气实际支付时记录费用</t>
    <phoneticPr fontId="5" type="noConversion"/>
  </si>
  <si>
    <t>T388</t>
  </si>
  <si>
    <t>T389</t>
  </si>
  <si>
    <t>T390</t>
  </si>
  <si>
    <t>T391</t>
  </si>
  <si>
    <t>团队尾款</t>
    <phoneticPr fontId="5" type="noConversion"/>
  </si>
  <si>
    <t>T392</t>
  </si>
  <si>
    <t>T393</t>
  </si>
  <si>
    <t>T394</t>
  </si>
  <si>
    <t>T395</t>
  </si>
  <si>
    <t>酒店业保险</t>
    <phoneticPr fontId="5" type="noConversion"/>
  </si>
  <si>
    <t>重要说明：</t>
    <phoneticPr fontId="5" type="noConversion"/>
  </si>
  <si>
    <t>1、远姐20年个人转入明月远家100万，用于艺术驻留基金等，明月远家账务处理为往来，25年余额548813.93；本账务处理为前期营业外收入，后期支出影响损益</t>
    <phoneticPr fontId="5" type="noConversion"/>
  </si>
  <si>
    <t>T396</t>
  </si>
  <si>
    <t>诗与歌费用结算</t>
    <phoneticPr fontId="5" type="noConversion"/>
  </si>
  <si>
    <t>T397</t>
  </si>
  <si>
    <t>T398</t>
  </si>
  <si>
    <t>客房（美团）</t>
    <phoneticPr fontId="5" type="noConversion"/>
  </si>
  <si>
    <t>T399</t>
  </si>
  <si>
    <t>T400</t>
  </si>
  <si>
    <t>远家文化 郑燕</t>
    <phoneticPr fontId="5" type="noConversion"/>
  </si>
  <si>
    <t>T401</t>
  </si>
  <si>
    <t>小程序</t>
    <phoneticPr fontId="5" type="noConversion"/>
  </si>
  <si>
    <t>T402</t>
  </si>
  <si>
    <t>T403</t>
  </si>
  <si>
    <t>T404</t>
  </si>
  <si>
    <t>爱媛</t>
    <phoneticPr fontId="5" type="noConversion"/>
  </si>
  <si>
    <t>T405</t>
  </si>
  <si>
    <t>白茶包装盒</t>
    <phoneticPr fontId="5" type="noConversion"/>
  </si>
  <si>
    <t>T406</t>
  </si>
  <si>
    <t>2、社保缴纳时未记录个人部分，暂全额记录为费用</t>
    <phoneticPr fontId="5" type="noConversion"/>
  </si>
  <si>
    <t>T407</t>
  </si>
  <si>
    <t>T408</t>
  </si>
  <si>
    <t>YuanWH</t>
    <phoneticPr fontId="5" type="noConversion"/>
  </si>
  <si>
    <t>3、只有银行和现金计入了相应的Vehicle，其他资产、往来皆在YuanWH</t>
    <phoneticPr fontId="5" type="noConversion"/>
  </si>
  <si>
    <t>T409</t>
  </si>
  <si>
    <t>远家文化分公司 郑燕</t>
    <phoneticPr fontId="5" type="noConversion"/>
  </si>
  <si>
    <t>T410</t>
  </si>
  <si>
    <t>小程序咖啡杯</t>
    <phoneticPr fontId="5" type="noConversion"/>
  </si>
  <si>
    <t>T411</t>
  </si>
  <si>
    <t>T412</t>
  </si>
  <si>
    <t>物流</t>
    <phoneticPr fontId="5" type="noConversion"/>
  </si>
  <si>
    <t>T413</t>
  </si>
  <si>
    <t>包装贴纸</t>
    <phoneticPr fontId="5" type="noConversion"/>
  </si>
  <si>
    <t>T414</t>
  </si>
  <si>
    <t>小程序销售采购</t>
    <phoneticPr fontId="5" type="noConversion"/>
  </si>
  <si>
    <t>T415</t>
  </si>
  <si>
    <t>T416</t>
  </si>
  <si>
    <t>充电桩</t>
    <phoneticPr fontId="5" type="noConversion"/>
  </si>
  <si>
    <t>T417</t>
  </si>
  <si>
    <t>T418</t>
  </si>
  <si>
    <t>T419</t>
  </si>
  <si>
    <t>厨房采购</t>
    <phoneticPr fontId="5" type="noConversion"/>
  </si>
  <si>
    <t>客房采购</t>
    <phoneticPr fontId="5" type="noConversion"/>
  </si>
  <si>
    <t>T420</t>
  </si>
  <si>
    <t>吧台采购</t>
    <phoneticPr fontId="5" type="noConversion"/>
  </si>
  <si>
    <t>T421</t>
  </si>
  <si>
    <t>餐厅耗品</t>
    <phoneticPr fontId="5" type="noConversion"/>
  </si>
  <si>
    <t>T422</t>
  </si>
  <si>
    <t>T423</t>
  </si>
  <si>
    <t>T424</t>
  </si>
  <si>
    <t>T425</t>
  </si>
  <si>
    <t>办公用品</t>
    <phoneticPr fontId="5" type="noConversion"/>
  </si>
  <si>
    <t>T426</t>
  </si>
  <si>
    <t>采购相机</t>
    <phoneticPr fontId="5" type="noConversion"/>
  </si>
  <si>
    <t>T427</t>
  </si>
  <si>
    <t>萝卜干</t>
    <phoneticPr fontId="5" type="noConversion"/>
  </si>
  <si>
    <t>T428</t>
  </si>
  <si>
    <t>手工教室采购</t>
    <phoneticPr fontId="5" type="noConversion"/>
  </si>
  <si>
    <t>T429</t>
  </si>
  <si>
    <t>T430</t>
  </si>
  <si>
    <t>T431</t>
  </si>
  <si>
    <t>T432</t>
  </si>
  <si>
    <t>前台采购</t>
    <phoneticPr fontId="5" type="noConversion"/>
  </si>
  <si>
    <t>T433</t>
  </si>
  <si>
    <t>T434</t>
  </si>
  <si>
    <t>手工课</t>
    <phoneticPr fontId="5" type="noConversion"/>
  </si>
  <si>
    <t>T435</t>
  </si>
  <si>
    <t>T436</t>
  </si>
  <si>
    <t>宿舍电费</t>
    <phoneticPr fontId="5" type="noConversion"/>
  </si>
  <si>
    <t>T437</t>
  </si>
  <si>
    <t>果园</t>
    <phoneticPr fontId="5" type="noConversion"/>
  </si>
  <si>
    <t>T438</t>
  </si>
  <si>
    <t>T439</t>
  </si>
  <si>
    <t>T440</t>
  </si>
  <si>
    <t>T441</t>
  </si>
  <si>
    <t>定金</t>
    <phoneticPr fontId="5" type="noConversion"/>
  </si>
  <si>
    <t>前期对公收款已确认收入</t>
    <phoneticPr fontId="5" type="noConversion"/>
  </si>
  <si>
    <t>T442</t>
  </si>
  <si>
    <t>T443</t>
  </si>
  <si>
    <t>T444</t>
  </si>
  <si>
    <t>T445</t>
  </si>
  <si>
    <t>T446</t>
  </si>
  <si>
    <t>饲料</t>
    <phoneticPr fontId="5" type="noConversion"/>
  </si>
  <si>
    <t>T447</t>
  </si>
  <si>
    <t>T448</t>
  </si>
  <si>
    <t>T449</t>
  </si>
  <si>
    <t>T450</t>
  </si>
  <si>
    <t>T451</t>
  </si>
  <si>
    <t>T452</t>
  </si>
  <si>
    <t>T453</t>
  </si>
  <si>
    <t>T454</t>
  </si>
  <si>
    <t>宿舍燃气费</t>
    <phoneticPr fontId="5" type="noConversion"/>
  </si>
  <si>
    <t>T455</t>
  </si>
  <si>
    <t>T456</t>
  </si>
  <si>
    <t>T457</t>
  </si>
  <si>
    <t>T458</t>
  </si>
  <si>
    <t>业务招待费</t>
    <phoneticPr fontId="5" type="noConversion"/>
  </si>
  <si>
    <t>T459</t>
  </si>
  <si>
    <t>T460</t>
  </si>
  <si>
    <t>香肠</t>
    <phoneticPr fontId="5" type="noConversion"/>
  </si>
  <si>
    <t>T461</t>
  </si>
  <si>
    <t>公车费用</t>
    <phoneticPr fontId="5" type="noConversion"/>
  </si>
  <si>
    <t>T462</t>
  </si>
  <si>
    <t>T463</t>
  </si>
  <si>
    <t>扑克</t>
    <phoneticPr fontId="5" type="noConversion"/>
  </si>
  <si>
    <t>T464</t>
  </si>
  <si>
    <t>T465</t>
  </si>
  <si>
    <t>T466</t>
  </si>
  <si>
    <t>T467</t>
  </si>
  <si>
    <t>团队佣金</t>
    <phoneticPr fontId="5" type="noConversion"/>
  </si>
  <si>
    <t>T468</t>
  </si>
  <si>
    <t>团队活动（麻将费用）</t>
    <phoneticPr fontId="5" type="noConversion"/>
  </si>
  <si>
    <t>T469</t>
  </si>
  <si>
    <t>张小喜 小月1</t>
    <phoneticPr fontId="5" type="noConversion"/>
  </si>
  <si>
    <t>T470</t>
  </si>
  <si>
    <t>提现手续费</t>
    <phoneticPr fontId="5" type="noConversion"/>
  </si>
  <si>
    <t>T471</t>
  </si>
  <si>
    <t>耙耙柑</t>
    <phoneticPr fontId="5" type="noConversion"/>
  </si>
  <si>
    <t>T472</t>
  </si>
  <si>
    <t>T473</t>
  </si>
  <si>
    <t>T474</t>
  </si>
  <si>
    <t>T475</t>
  </si>
  <si>
    <t>T476</t>
  </si>
  <si>
    <t>白露咬伤赔付</t>
    <phoneticPr fontId="5" type="noConversion"/>
  </si>
  <si>
    <t>T477</t>
  </si>
  <si>
    <t>差价</t>
    <phoneticPr fontId="5" type="noConversion"/>
  </si>
  <si>
    <t>T478</t>
  </si>
  <si>
    <t>T479</t>
  </si>
  <si>
    <t>T480</t>
  </si>
  <si>
    <t>T481</t>
  </si>
  <si>
    <t>创业园视频号</t>
    <phoneticPr fontId="5" type="noConversion"/>
  </si>
  <si>
    <t>T482</t>
  </si>
  <si>
    <t>T483</t>
  </si>
  <si>
    <t>T484</t>
  </si>
  <si>
    <t>张小喜 琦</t>
    <phoneticPr fontId="5" type="noConversion"/>
  </si>
  <si>
    <t>总部</t>
    <phoneticPr fontId="5" type="noConversion"/>
  </si>
  <si>
    <t>T485</t>
  </si>
  <si>
    <t>小商店</t>
    <phoneticPr fontId="5" type="noConversion"/>
  </si>
  <si>
    <t>T486</t>
  </si>
  <si>
    <t>T487</t>
  </si>
  <si>
    <t>订单来了</t>
    <phoneticPr fontId="5" type="noConversion"/>
  </si>
  <si>
    <t>T488</t>
  </si>
  <si>
    <t>快团团</t>
    <phoneticPr fontId="5" type="noConversion"/>
  </si>
  <si>
    <t>T489</t>
  </si>
  <si>
    <t>结转尾差</t>
    <phoneticPr fontId="5" type="noConversion"/>
  </si>
  <si>
    <t>T489</t>
    <phoneticPr fontId="5" type="noConversion"/>
  </si>
  <si>
    <t>4、应收账款的二级科目为Item</t>
    <phoneticPr fontId="5" type="noConversion"/>
  </si>
  <si>
    <t>T490</t>
  </si>
  <si>
    <t>T491</t>
  </si>
  <si>
    <t>团队活动</t>
    <phoneticPr fontId="5" type="noConversion"/>
  </si>
  <si>
    <t>T492</t>
  </si>
  <si>
    <t>T493</t>
  </si>
  <si>
    <t>T494</t>
  </si>
  <si>
    <t>T495</t>
  </si>
  <si>
    <t>T496</t>
  </si>
  <si>
    <t>T497</t>
  </si>
  <si>
    <t>明月远家房屋土地</t>
    <phoneticPr fontId="5" type="noConversion"/>
  </si>
  <si>
    <t>T498</t>
  </si>
  <si>
    <t>驻色</t>
  </si>
  <si>
    <t>T365</t>
    <phoneticPr fontId="5" type="noConversion"/>
  </si>
  <si>
    <t>T366</t>
    <phoneticPr fontId="5" type="noConversion"/>
  </si>
  <si>
    <t>T367</t>
    <phoneticPr fontId="5" type="noConversion"/>
  </si>
  <si>
    <t>T368</t>
    <phoneticPr fontId="5" type="noConversion"/>
  </si>
  <si>
    <t>T369</t>
    <phoneticPr fontId="5" type="noConversion"/>
  </si>
  <si>
    <t>T370</t>
    <phoneticPr fontId="5" type="noConversion"/>
  </si>
  <si>
    <t>T371</t>
    <phoneticPr fontId="5" type="noConversion"/>
  </si>
  <si>
    <t>T372</t>
    <phoneticPr fontId="5" type="noConversion"/>
  </si>
  <si>
    <t>T373</t>
    <phoneticPr fontId="5" type="noConversion"/>
  </si>
  <si>
    <t>T374</t>
    <phoneticPr fontId="5" type="noConversion"/>
  </si>
  <si>
    <t>T375</t>
    <phoneticPr fontId="5" type="noConversion"/>
  </si>
  <si>
    <t>T376</t>
    <phoneticPr fontId="5" type="noConversion"/>
  </si>
  <si>
    <t>T377</t>
    <phoneticPr fontId="5" type="noConversion"/>
  </si>
  <si>
    <t>T378</t>
    <phoneticPr fontId="5" type="noConversion"/>
  </si>
  <si>
    <t>T379</t>
    <phoneticPr fontId="5" type="noConversion"/>
  </si>
  <si>
    <t>T380</t>
    <phoneticPr fontId="5" type="noConversion"/>
  </si>
  <si>
    <t>T381</t>
    <phoneticPr fontId="5" type="noConversion"/>
  </si>
  <si>
    <t>T382</t>
    <phoneticPr fontId="5" type="noConversion"/>
  </si>
  <si>
    <t>T383</t>
    <phoneticPr fontId="5" type="noConversion"/>
  </si>
  <si>
    <t>T384</t>
    <phoneticPr fontId="5" type="noConversion"/>
  </si>
  <si>
    <t>T385</t>
    <phoneticPr fontId="5" type="noConversion"/>
  </si>
  <si>
    <t>T386</t>
    <phoneticPr fontId="5" type="noConversion"/>
  </si>
  <si>
    <t>T387</t>
    <phoneticPr fontId="5" type="noConversion"/>
  </si>
  <si>
    <t>T388</t>
    <phoneticPr fontId="5" type="noConversion"/>
  </si>
  <si>
    <t>T389</t>
    <phoneticPr fontId="5" type="noConversion"/>
  </si>
  <si>
    <t>T390</t>
    <phoneticPr fontId="5" type="noConversion"/>
  </si>
  <si>
    <t>T391</t>
    <phoneticPr fontId="5" type="noConversion"/>
  </si>
  <si>
    <t>T392</t>
    <phoneticPr fontId="5" type="noConversion"/>
  </si>
  <si>
    <t>T393</t>
    <phoneticPr fontId="5" type="noConversion"/>
  </si>
  <si>
    <t>T394</t>
    <phoneticPr fontId="5" type="noConversion"/>
  </si>
  <si>
    <t>T395</t>
    <phoneticPr fontId="5" type="noConversion"/>
  </si>
  <si>
    <t>T396</t>
    <phoneticPr fontId="5" type="noConversion"/>
  </si>
  <si>
    <t>T397</t>
    <phoneticPr fontId="5" type="noConversion"/>
  </si>
  <si>
    <t>T398</t>
    <phoneticPr fontId="5" type="noConversion"/>
  </si>
  <si>
    <t>T399</t>
    <phoneticPr fontId="5" type="noConversion"/>
  </si>
  <si>
    <t>T400</t>
    <phoneticPr fontId="5" type="noConversion"/>
  </si>
  <si>
    <t>NH.5074</t>
    <phoneticPr fontId="5" type="noConversion"/>
  </si>
  <si>
    <t>T401</t>
    <phoneticPr fontId="5" type="noConversion"/>
  </si>
  <si>
    <t>NS.3524</t>
    <phoneticPr fontId="5" type="noConversion"/>
  </si>
  <si>
    <t>T402</t>
    <phoneticPr fontId="5" type="noConversion"/>
  </si>
  <si>
    <t>T403</t>
    <phoneticPr fontId="5" type="noConversion"/>
  </si>
  <si>
    <t>T404</t>
    <phoneticPr fontId="5" type="noConversion"/>
  </si>
  <si>
    <t>T405</t>
    <phoneticPr fontId="5" type="noConversion"/>
  </si>
  <si>
    <t>T406</t>
    <phoneticPr fontId="5" type="noConversion"/>
  </si>
  <si>
    <t>T407</t>
    <phoneticPr fontId="5" type="noConversion"/>
  </si>
  <si>
    <t>T408</t>
    <phoneticPr fontId="5" type="noConversion"/>
  </si>
  <si>
    <t>MemShip</t>
    <phoneticPr fontId="5" type="noConversion"/>
  </si>
  <si>
    <t>T409</t>
    <phoneticPr fontId="5" type="noConversion"/>
  </si>
  <si>
    <t>T410</t>
    <phoneticPr fontId="5" type="noConversion"/>
  </si>
  <si>
    <t>T411</t>
    <phoneticPr fontId="5" type="noConversion"/>
  </si>
  <si>
    <t>T412</t>
    <phoneticPr fontId="5" type="noConversion"/>
  </si>
  <si>
    <t>T413</t>
    <phoneticPr fontId="5" type="noConversion"/>
  </si>
  <si>
    <t>T414</t>
    <phoneticPr fontId="5" type="noConversion"/>
  </si>
  <si>
    <t>T415</t>
    <phoneticPr fontId="5" type="noConversion"/>
  </si>
  <si>
    <t>T416</t>
    <phoneticPr fontId="5" type="noConversion"/>
  </si>
  <si>
    <t>T417</t>
    <phoneticPr fontId="5" type="noConversion"/>
  </si>
  <si>
    <t>T418</t>
    <phoneticPr fontId="5" type="noConversion"/>
  </si>
  <si>
    <t>T419</t>
    <phoneticPr fontId="5" type="noConversion"/>
  </si>
  <si>
    <t>T420</t>
    <phoneticPr fontId="5" type="noConversion"/>
  </si>
  <si>
    <t>T421</t>
    <phoneticPr fontId="5" type="noConversion"/>
  </si>
  <si>
    <t>T422</t>
    <phoneticPr fontId="5" type="noConversion"/>
  </si>
  <si>
    <t>T423</t>
    <phoneticPr fontId="5" type="noConversion"/>
  </si>
  <si>
    <t>T424</t>
    <phoneticPr fontId="5" type="noConversion"/>
  </si>
  <si>
    <t>T425</t>
    <phoneticPr fontId="5" type="noConversion"/>
  </si>
  <si>
    <t>T426</t>
    <phoneticPr fontId="5" type="noConversion"/>
  </si>
  <si>
    <t>T427</t>
    <phoneticPr fontId="5" type="noConversion"/>
  </si>
  <si>
    <t>T428</t>
    <phoneticPr fontId="5" type="noConversion"/>
  </si>
  <si>
    <t>T429</t>
    <phoneticPr fontId="5" type="noConversion"/>
  </si>
  <si>
    <t>T430</t>
    <phoneticPr fontId="5" type="noConversion"/>
  </si>
  <si>
    <t>T431</t>
    <phoneticPr fontId="5" type="noConversion"/>
  </si>
  <si>
    <t>T432</t>
    <phoneticPr fontId="5" type="noConversion"/>
  </si>
  <si>
    <t>T433</t>
    <phoneticPr fontId="5" type="noConversion"/>
  </si>
  <si>
    <t>T434</t>
    <phoneticPr fontId="5" type="noConversion"/>
  </si>
  <si>
    <t>T435</t>
    <phoneticPr fontId="5" type="noConversion"/>
  </si>
  <si>
    <t>T436</t>
    <phoneticPr fontId="5" type="noConversion"/>
  </si>
  <si>
    <t>T437</t>
    <phoneticPr fontId="5" type="noConversion"/>
  </si>
  <si>
    <t>T438</t>
    <phoneticPr fontId="5" type="noConversion"/>
  </si>
  <si>
    <t>T439</t>
    <phoneticPr fontId="5" type="noConversion"/>
  </si>
  <si>
    <t>T440</t>
    <phoneticPr fontId="5" type="noConversion"/>
  </si>
  <si>
    <t>T441</t>
    <phoneticPr fontId="5" type="noConversion"/>
  </si>
  <si>
    <t>T442</t>
    <phoneticPr fontId="5" type="noConversion"/>
  </si>
  <si>
    <t>T443</t>
    <phoneticPr fontId="5" type="noConversion"/>
  </si>
  <si>
    <t>T444</t>
    <phoneticPr fontId="5" type="noConversion"/>
  </si>
  <si>
    <t>T445</t>
    <phoneticPr fontId="5" type="noConversion"/>
  </si>
  <si>
    <t>T446</t>
    <phoneticPr fontId="5" type="noConversion"/>
  </si>
  <si>
    <t>T447</t>
    <phoneticPr fontId="5" type="noConversion"/>
  </si>
  <si>
    <t>T448</t>
    <phoneticPr fontId="5" type="noConversion"/>
  </si>
  <si>
    <t>T449</t>
    <phoneticPr fontId="5" type="noConversion"/>
  </si>
  <si>
    <t>T450</t>
    <phoneticPr fontId="5" type="noConversion"/>
  </si>
  <si>
    <t>T451</t>
    <phoneticPr fontId="5" type="noConversion"/>
  </si>
  <si>
    <t>T452</t>
    <phoneticPr fontId="5" type="noConversion"/>
  </si>
  <si>
    <t>T453</t>
    <phoneticPr fontId="5" type="noConversion"/>
  </si>
  <si>
    <t>T454</t>
    <phoneticPr fontId="5" type="noConversion"/>
  </si>
  <si>
    <t>T455</t>
    <phoneticPr fontId="5" type="noConversion"/>
  </si>
  <si>
    <t>T456</t>
    <phoneticPr fontId="5" type="noConversion"/>
  </si>
  <si>
    <t>T457</t>
    <phoneticPr fontId="5" type="noConversion"/>
  </si>
  <si>
    <t>T458</t>
    <phoneticPr fontId="5" type="noConversion"/>
  </si>
  <si>
    <t>T459</t>
    <phoneticPr fontId="5" type="noConversion"/>
  </si>
  <si>
    <t>T460</t>
    <phoneticPr fontId="5" type="noConversion"/>
  </si>
  <si>
    <t>T461</t>
    <phoneticPr fontId="5" type="noConversion"/>
  </si>
  <si>
    <t>T462</t>
    <phoneticPr fontId="5" type="noConversion"/>
  </si>
  <si>
    <t>T463</t>
    <phoneticPr fontId="5" type="noConversion"/>
  </si>
  <si>
    <t>T464</t>
    <phoneticPr fontId="5" type="noConversion"/>
  </si>
  <si>
    <t>T465</t>
    <phoneticPr fontId="5" type="noConversion"/>
  </si>
  <si>
    <t>T466</t>
    <phoneticPr fontId="5" type="noConversion"/>
  </si>
  <si>
    <t>T467</t>
    <phoneticPr fontId="5" type="noConversion"/>
  </si>
  <si>
    <t>T468</t>
    <phoneticPr fontId="5" type="noConversion"/>
  </si>
  <si>
    <t>T469</t>
    <phoneticPr fontId="5" type="noConversion"/>
  </si>
  <si>
    <t>T470</t>
    <phoneticPr fontId="5" type="noConversion"/>
  </si>
  <si>
    <t>T471</t>
    <phoneticPr fontId="5" type="noConversion"/>
  </si>
  <si>
    <t>T472</t>
    <phoneticPr fontId="5" type="noConversion"/>
  </si>
  <si>
    <t>T473</t>
    <phoneticPr fontId="5" type="noConversion"/>
  </si>
  <si>
    <t>T474</t>
    <phoneticPr fontId="5" type="noConversion"/>
  </si>
  <si>
    <t>T475</t>
    <phoneticPr fontId="5" type="noConversion"/>
  </si>
  <si>
    <t>T476</t>
    <phoneticPr fontId="5" type="noConversion"/>
  </si>
  <si>
    <t>T477</t>
    <phoneticPr fontId="5" type="noConversion"/>
  </si>
  <si>
    <t>T478</t>
    <phoneticPr fontId="5" type="noConversion"/>
  </si>
  <si>
    <t>T479</t>
    <phoneticPr fontId="5" type="noConversion"/>
  </si>
  <si>
    <t>T480</t>
    <phoneticPr fontId="5" type="noConversion"/>
  </si>
  <si>
    <t>T481</t>
    <phoneticPr fontId="5" type="noConversion"/>
  </si>
  <si>
    <t>T482</t>
    <phoneticPr fontId="5" type="noConversion"/>
  </si>
  <si>
    <t>T483</t>
    <phoneticPr fontId="5" type="noConversion"/>
  </si>
  <si>
    <t>T484</t>
    <phoneticPr fontId="5" type="noConversion"/>
  </si>
  <si>
    <t>T485</t>
    <phoneticPr fontId="5" type="noConversion"/>
  </si>
  <si>
    <t>T486</t>
    <phoneticPr fontId="5" type="noConversion"/>
  </si>
  <si>
    <t>T487</t>
    <phoneticPr fontId="5" type="noConversion"/>
  </si>
  <si>
    <t>T488</t>
    <phoneticPr fontId="5" type="noConversion"/>
  </si>
  <si>
    <t>T490</t>
    <phoneticPr fontId="5" type="noConversion"/>
  </si>
  <si>
    <t>T491</t>
    <phoneticPr fontId="5" type="noConversion"/>
  </si>
  <si>
    <t>T492</t>
    <phoneticPr fontId="5" type="noConversion"/>
  </si>
  <si>
    <t>T493</t>
    <phoneticPr fontId="5" type="noConversion"/>
  </si>
  <si>
    <t>T494</t>
    <phoneticPr fontId="5" type="noConversion"/>
  </si>
  <si>
    <t>T495</t>
    <phoneticPr fontId="5" type="noConversion"/>
  </si>
  <si>
    <t>T496</t>
    <phoneticPr fontId="5" type="noConversion"/>
  </si>
  <si>
    <t>T497</t>
    <phoneticPr fontId="5" type="noConversion"/>
  </si>
  <si>
    <t>明月村-累计折旧</t>
    <phoneticPr fontId="5" type="noConversion"/>
  </si>
  <si>
    <t>T498</t>
    <phoneticPr fontId="5" type="noConversion"/>
  </si>
  <si>
    <t>T169-1</t>
    <phoneticPr fontId="5" type="noConversion"/>
  </si>
  <si>
    <t>T068</t>
    <phoneticPr fontId="5" type="noConversion"/>
  </si>
  <si>
    <t>T067-1</t>
    <phoneticPr fontId="5" type="noConversion"/>
  </si>
  <si>
    <t>T079-1</t>
    <phoneticPr fontId="5" type="noConversion"/>
  </si>
  <si>
    <t>ToInv</t>
    <phoneticPr fontId="5" type="noConversion"/>
  </si>
  <si>
    <t>应付-股东</t>
    <phoneticPr fontId="5" type="noConversion"/>
  </si>
  <si>
    <t>折旧</t>
  </si>
  <si>
    <t>书写营</t>
  </si>
  <si>
    <t>诗与歌</t>
  </si>
  <si>
    <t>年终奖</t>
  </si>
  <si>
    <t>餐饮</t>
  </si>
  <si>
    <t>计件</t>
  </si>
  <si>
    <t>其他销售</t>
  </si>
  <si>
    <t>课程</t>
  </si>
  <si>
    <t>住宿</t>
  </si>
  <si>
    <t>食材</t>
  </si>
  <si>
    <t>布草</t>
  </si>
  <si>
    <t>其他材料</t>
  </si>
  <si>
    <t>演出</t>
  </si>
  <si>
    <t>物流</t>
  </si>
  <si>
    <t>代理</t>
  </si>
  <si>
    <t>事故</t>
  </si>
  <si>
    <t>交通</t>
  </si>
  <si>
    <t>设备</t>
  </si>
  <si>
    <t>保险</t>
  </si>
  <si>
    <t>团建</t>
  </si>
  <si>
    <t>办公</t>
  </si>
  <si>
    <t>拍摄</t>
  </si>
  <si>
    <t>维护</t>
  </si>
  <si>
    <t>物料</t>
  </si>
  <si>
    <t>平台费</t>
  </si>
  <si>
    <t>银行费</t>
  </si>
  <si>
    <t>杂项</t>
  </si>
  <si>
    <t>临时人力</t>
  </si>
  <si>
    <t>福利</t>
  </si>
  <si>
    <t>房租</t>
  </si>
  <si>
    <t>商标</t>
  </si>
  <si>
    <t>招待</t>
  </si>
  <si>
    <t>公共设施</t>
  </si>
  <si>
    <t>佣金</t>
  </si>
  <si>
    <t>列标签</t>
  </si>
  <si>
    <t>行标签</t>
  </si>
  <si>
    <t>总计</t>
  </si>
  <si>
    <t>(全部)</t>
  </si>
  <si>
    <t>杂货</t>
    <phoneticPr fontId="5" type="noConversion"/>
  </si>
  <si>
    <t>Revenue</t>
    <phoneticPr fontId="5" type="noConversion"/>
  </si>
  <si>
    <t>Cost</t>
    <phoneticPr fontId="5" type="noConversion"/>
  </si>
  <si>
    <t>非库存结转</t>
    <phoneticPr fontId="5" type="noConversion"/>
  </si>
  <si>
    <t>基础销售额</t>
    <phoneticPr fontId="5" type="noConversion"/>
  </si>
  <si>
    <t>毛利润</t>
    <phoneticPr fontId="5" type="noConversion"/>
  </si>
  <si>
    <t>结转比例</t>
    <phoneticPr fontId="5" type="noConversion"/>
  </si>
  <si>
    <t>费用</t>
    <phoneticPr fontId="5" type="noConversion"/>
  </si>
  <si>
    <t>T031.1</t>
    <phoneticPr fontId="5" type="noConversion"/>
  </si>
  <si>
    <t>桑木：财务在综合管理，其余在网店</t>
    <phoneticPr fontId="5" type="noConversion"/>
  </si>
  <si>
    <t>T064.1</t>
    <phoneticPr fontId="5" type="noConversion"/>
  </si>
  <si>
    <t>榆乐：4个设计师在综合管理，其余在网店</t>
    <phoneticPr fontId="5" type="noConversion"/>
  </si>
  <si>
    <t>T166.1</t>
    <phoneticPr fontId="5" type="noConversion"/>
  </si>
  <si>
    <t>驻色：全部在驻色</t>
    <phoneticPr fontId="5" type="noConversion"/>
  </si>
  <si>
    <t>米小易：小曼在综合管理，其余在水街</t>
    <phoneticPr fontId="5" type="noConversion"/>
  </si>
  <si>
    <t>喜家：全部在水街</t>
    <phoneticPr fontId="5" type="noConversion"/>
  </si>
  <si>
    <t>高新分公司：全部在综合管理</t>
    <phoneticPr fontId="5" type="noConversion"/>
  </si>
  <si>
    <t>T358.1</t>
    <phoneticPr fontId="5" type="noConversion"/>
  </si>
  <si>
    <t>远家花园：生产部为库存，品牌、视觉、股东、财务为综合，其余在网店</t>
    <phoneticPr fontId="5" type="noConversion"/>
  </si>
  <si>
    <t>税金</t>
  </si>
  <si>
    <t>5、雯子工资计提时挂了往来社保、个税，本账套转换为应付工资，发放时再记录社保和个税</t>
    <phoneticPr fontId="5" type="noConversion"/>
  </si>
  <si>
    <t>T493.1</t>
    <phoneticPr fontId="5" type="noConversion"/>
  </si>
  <si>
    <t>明月远家：凉笑、雯子、坤坤3人在综合、其余在明月村</t>
    <phoneticPr fontId="5" type="noConversion"/>
  </si>
  <si>
    <t>生产部工资</t>
    <phoneticPr fontId="5" type="noConversion"/>
  </si>
  <si>
    <t>远家染色费记录为加工，成本</t>
    <phoneticPr fontId="5" type="noConversion"/>
  </si>
  <si>
    <t>住宿</t>
    <phoneticPr fontId="5" type="noConversion"/>
  </si>
  <si>
    <t>团队在外订房</t>
    <phoneticPr fontId="5" type="noConversion"/>
  </si>
  <si>
    <t>T363.1</t>
    <phoneticPr fontId="5" type="noConversion"/>
  </si>
  <si>
    <t>T363.2</t>
    <phoneticPr fontId="5" type="noConversion"/>
  </si>
  <si>
    <t>服装销售额的70%</t>
    <phoneticPr fontId="5" type="noConversion"/>
  </si>
  <si>
    <t>包装</t>
    <phoneticPr fontId="5" type="noConversion"/>
  </si>
  <si>
    <t>预付订单</t>
  </si>
  <si>
    <t>T491.1</t>
    <phoneticPr fontId="5" type="noConversion"/>
  </si>
  <si>
    <t>T491.2</t>
    <phoneticPr fontId="5" type="noConversion"/>
  </si>
  <si>
    <t>餐饮</t>
    <phoneticPr fontId="5" type="noConversion"/>
  </si>
  <si>
    <t>交通</t>
    <phoneticPr fontId="5" type="noConversion"/>
  </si>
  <si>
    <t>其他材料</t>
    <phoneticPr fontId="5" type="noConversion"/>
  </si>
  <si>
    <t>银行费</t>
    <phoneticPr fontId="5" type="noConversion"/>
  </si>
  <si>
    <t>股东停车费</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</si>
</sst>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76" formatCode="mm/dd/yy"/>
    <numFmt numFmtId="177" formatCode="0.00%_);[Red]\(0.00%\)"/>
    <numFmt numFmtId="178" formatCode="#,##0.000000000000_ ;[Red]\-#,##0.000000000000\ "/>
    <numFmt numFmtId="179" formatCode="#,##0.0000000000_ ;[Red]\-#,##0.0000000000\ "/>
    <numFmt numFmtId="180" formatCode="#,##0.000_);[Red]\(#,##0.000\)"/>
    <numFmt numFmtId="181" formatCode="_ * #,##0_ ;_ * \-#,##0_ ;_ * &quot;-&quot;??_ ;_ @_ "/>
    <numFmt numFmtId="183" formatCode="#,##0_);[Red]\(#,##0\)"/>
    <numFmt numFmtId="184" formatCode="#,##0.00_);[Red]\(#,##0.00\)"/>
  </numFmts>
  <fonts count="18">
    <font>
      <sz val="11"/>
      <color theme="1"/>
      <name val="等线"/>
      <family val="2"/>
      <scheme val="minor"/>
    </font>
    <font>
      <sz val="11"/>
      <color theme="1"/>
      <name val="等线"/>
      <family val="2"/>
      <scheme val="minor"/>
    </font>
    <font>
      <i/>
      <sz val="11"/>
      <color rgb="FF7F7F7F"/>
      <name val="等线"/>
      <family val="2"/>
      <scheme val="minor"/>
    </font>
    <font>
      <b/>
      <sz val="11"/>
      <color theme="1"/>
      <name val="等线"/>
      <family val="2"/>
      <scheme val="minor"/>
    </font>
    <font>
      <sz val="11"/>
      <color rgb="FF3F3F76"/>
      <name val="等线"/>
      <family val="2"/>
      <scheme val="minor"/>
    </font>
    <font>
      <sz val="9"/>
      <name val="等线"/>
      <family val="3"/>
      <charset val="134"/>
      <scheme val="minor"/>
    </font>
    <font>
      <sz val="11"/>
      <color rgb="FFFF0000"/>
      <name val="等线"/>
      <family val="3"/>
      <charset val="134"/>
      <scheme val="minor"/>
    </font>
    <font>
      <sz val="11"/>
      <name val="等线"/>
      <family val="3"/>
      <charset val="134"/>
      <scheme val="minor"/>
    </font>
    <font>
      <sz val="11"/>
      <color rgb="FF9C5700"/>
      <name val="等线"/>
      <family val="2"/>
      <scheme val="minor"/>
    </font>
    <font>
      <b/>
      <sz val="11"/>
      <color rgb="FF3F3F3F"/>
      <name val="等线"/>
      <family val="2"/>
      <scheme val="minor"/>
    </font>
    <font>
      <b/>
      <sz val="11"/>
      <color theme="0"/>
      <name val="等线"/>
      <family val="2"/>
      <scheme val="minor"/>
    </font>
    <font>
      <sz val="11"/>
      <name val="等线"/>
      <family val="2"/>
      <scheme val="minor"/>
    </font>
    <font>
      <sz val="11"/>
      <color rgb="FFFF0000"/>
      <name val="等线"/>
      <family val="2"/>
      <scheme val="minor"/>
    </font>
    <font>
      <sz val="9"/>
      <color rgb="FF000000"/>
      <name val="新宋体"/>
      <family val="3"/>
      <charset val="134"/>
    </font>
    <font>
      <sz val="11"/>
      <color theme="1"/>
      <name val="等线"/>
      <family val="3"/>
      <charset val="134"/>
      <scheme val="minor"/>
    </font>
    <font>
      <i/>
      <sz val="9"/>
      <color rgb="FF7F7F7F"/>
      <name val="等线"/>
      <family val="2"/>
      <scheme val="minor"/>
    </font>
    <font>
      <sz val="11"/>
      <color rgb="FF00B0F0"/>
      <name val="等线"/>
      <family val="2"/>
      <scheme val="minor"/>
    </font>
    <font>
      <sz val="11"/>
      <color rgb="FF00B0F0"/>
      <name val="等线"/>
      <family val="3"/>
      <charset val="134"/>
      <scheme val="minor"/>
    </font>
  </fonts>
  <fills count="16">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FEB9C"/>
      </patternFill>
    </fill>
    <fill>
      <patternFill patternType="solid">
        <fgColor rgb="FFF2F2F2"/>
      </patternFill>
    </fill>
    <fill>
      <patternFill patternType="solid">
        <fgColor theme="0"/>
        <bgColor indexed="64"/>
      </patternFill>
    </fill>
    <fill>
      <patternFill patternType="solid">
        <fgColor theme="4"/>
        <bgColor theme="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8" tint="0.59999389629810485"/>
        <bgColor theme="5"/>
      </patternFill>
    </fill>
    <fill>
      <patternFill patternType="solid">
        <fgColor rgb="FF92D050"/>
        <bgColor indexed="64"/>
      </patternFill>
    </fill>
    <fill>
      <patternFill patternType="solid">
        <fgColor theme="0"/>
        <bgColor theme="4" tint="0.79998168889431442"/>
      </patternFill>
    </fill>
  </fills>
  <borders count="12">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7F7F7F"/>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5" tint="0.39997558519241921"/>
      </right>
      <top style="thin">
        <color theme="5" tint="0.39997558519241921"/>
      </top>
      <bottom style="thin">
        <color theme="5" tint="0.39997558519241921"/>
      </bottom>
      <diagonal/>
    </border>
    <border>
      <left/>
      <right/>
      <top style="thin">
        <color theme="4" tint="0.39997558519241921"/>
      </top>
      <bottom/>
      <diagonal/>
    </border>
    <border>
      <left style="thin">
        <color rgb="FF7F7F7F"/>
      </left>
      <right/>
      <top/>
      <bottom/>
      <diagonal/>
    </border>
    <border>
      <left style="thin">
        <color rgb="FF7F7F7F"/>
      </left>
      <right style="thin">
        <color rgb="FF7F7F7F"/>
      </right>
      <top style="thin">
        <color rgb="FF7F7F7F"/>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10">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3" borderId="0" applyNumberFormat="0" applyBorder="0" applyAlignment="0" applyProtection="0"/>
    <xf numFmtId="0" fontId="4" fillId="4" borderId="2" applyNumberFormat="0" applyAlignment="0" applyProtection="0"/>
    <xf numFmtId="0" fontId="8" fillId="6" borderId="0" applyNumberFormat="0" applyBorder="0" applyAlignment="0" applyProtection="0"/>
    <xf numFmtId="0" fontId="9" fillId="7" borderId="4" applyNumberFormat="0" applyAlignment="0" applyProtection="0"/>
    <xf numFmtId="43" fontId="1" fillId="0" borderId="0" applyFont="0" applyFill="0" applyBorder="0" applyAlignment="0" applyProtection="0">
      <alignment vertical="center"/>
    </xf>
    <xf numFmtId="40" fontId="13" fillId="0" borderId="10" applyFill="0" applyProtection="0">
      <alignment horizontal="right"/>
    </xf>
    <xf numFmtId="9" fontId="1" fillId="0" borderId="0" applyFont="0" applyFill="0" applyBorder="0" applyAlignment="0" applyProtection="0">
      <alignment vertical="center"/>
    </xf>
  </cellStyleXfs>
  <cellXfs count="105">
    <xf numFmtId="0" fontId="0" fillId="0" borderId="0" xfId="0"/>
    <xf numFmtId="0" fontId="3" fillId="3" borderId="0" xfId="3" applyFont="1"/>
    <xf numFmtId="0" fontId="2" fillId="0" borderId="0" xfId="2"/>
    <xf numFmtId="0" fontId="2" fillId="2" borderId="1" xfId="1" applyFont="1"/>
    <xf numFmtId="0" fontId="0" fillId="2" borderId="1" xfId="1" applyFont="1"/>
    <xf numFmtId="0" fontId="0" fillId="0" borderId="0" xfId="0" applyAlignment="1">
      <alignment horizontal="center"/>
    </xf>
    <xf numFmtId="176" fontId="0" fillId="0" borderId="0" xfId="0" applyNumberFormat="1"/>
    <xf numFmtId="176" fontId="0" fillId="2" borderId="1" xfId="1" applyNumberFormat="1" applyFont="1"/>
    <xf numFmtId="40" fontId="0" fillId="0" borderId="0" xfId="0" applyNumberFormat="1"/>
    <xf numFmtId="38" fontId="0" fillId="0" borderId="0" xfId="0" applyNumberFormat="1"/>
    <xf numFmtId="0" fontId="4" fillId="4" borderId="2" xfId="4"/>
    <xf numFmtId="0" fontId="0" fillId="2" borderId="3" xfId="1" applyFont="1" applyBorder="1"/>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6" fillId="0" borderId="0" xfId="0" applyFont="1"/>
    <xf numFmtId="0" fontId="7" fillId="0" borderId="0" xfId="0" applyFont="1"/>
    <xf numFmtId="40" fontId="4" fillId="5" borderId="2" xfId="4" applyNumberFormat="1" applyFill="1"/>
    <xf numFmtId="0" fontId="3" fillId="0" borderId="0" xfId="0" applyFont="1"/>
    <xf numFmtId="38" fontId="0" fillId="2" borderId="1" xfId="1" applyNumberFormat="1" applyFont="1"/>
    <xf numFmtId="38" fontId="9" fillId="7" borderId="4" xfId="6" applyNumberFormat="1"/>
    <xf numFmtId="0" fontId="3" fillId="0" borderId="0" xfId="0" applyFont="1" applyAlignment="1">
      <alignment horizontal="center"/>
    </xf>
    <xf numFmtId="176" fontId="9" fillId="7" borderId="4" xfId="6" applyNumberFormat="1"/>
    <xf numFmtId="0" fontId="2" fillId="0" borderId="0" xfId="2" applyAlignment="1">
      <alignment horizontal="center"/>
    </xf>
    <xf numFmtId="176" fontId="4" fillId="4" borderId="2" xfId="4" applyNumberFormat="1"/>
    <xf numFmtId="0" fontId="2" fillId="0" borderId="0" xfId="2" applyFill="1" applyBorder="1"/>
    <xf numFmtId="0" fontId="2" fillId="0" borderId="0" xfId="2" applyAlignment="1">
      <alignment horizontal="right"/>
    </xf>
    <xf numFmtId="177" fontId="2" fillId="0" borderId="0" xfId="2" applyNumberFormat="1"/>
    <xf numFmtId="40" fontId="2" fillId="0" borderId="0" xfId="2" applyNumberFormat="1"/>
    <xf numFmtId="0" fontId="2" fillId="0" borderId="0" xfId="2" applyFill="1" applyBorder="1" applyAlignment="1">
      <alignment horizontal="right"/>
    </xf>
    <xf numFmtId="0" fontId="0" fillId="0" borderId="5" xfId="0" applyBorder="1" applyAlignment="1">
      <alignment horizontal="center"/>
    </xf>
    <xf numFmtId="0" fontId="11" fillId="8" borderId="0" xfId="5" applyFont="1" applyFill="1"/>
    <xf numFmtId="0" fontId="0" fillId="0" borderId="7" xfId="0" applyBorder="1" applyAlignment="1">
      <alignment horizontal="center"/>
    </xf>
    <xf numFmtId="0" fontId="12" fillId="0" borderId="0" xfId="0" applyFont="1"/>
    <xf numFmtId="40" fontId="0" fillId="5" borderId="0" xfId="0" applyNumberFormat="1" applyFill="1"/>
    <xf numFmtId="0" fontId="0" fillId="0" borderId="8" xfId="0" applyBorder="1"/>
    <xf numFmtId="0" fontId="4" fillId="4" borderId="9" xfId="4" applyBorder="1"/>
    <xf numFmtId="14" fontId="0" fillId="0" borderId="0" xfId="0" applyNumberFormat="1" applyAlignment="1">
      <alignment horizontal="center"/>
    </xf>
    <xf numFmtId="14" fontId="0" fillId="0" borderId="0" xfId="0" applyNumberFormat="1"/>
    <xf numFmtId="0" fontId="11" fillId="0" borderId="0" xfId="0" applyFont="1"/>
    <xf numFmtId="0" fontId="10" fillId="9" borderId="10" xfId="0" applyFont="1" applyFill="1" applyBorder="1" applyAlignment="1">
      <alignment horizontal="center" vertical="center"/>
    </xf>
    <xf numFmtId="0" fontId="0" fillId="5" borderId="10" xfId="0" applyFill="1" applyBorder="1" applyAlignment="1">
      <alignment horizontal="center" vertical="center"/>
    </xf>
    <xf numFmtId="176" fontId="4" fillId="4" borderId="10" xfId="4" applyNumberFormat="1" applyBorder="1" applyAlignment="1">
      <alignment horizontal="center" vertical="center"/>
    </xf>
    <xf numFmtId="0" fontId="0" fillId="10" borderId="10" xfId="0" applyFill="1" applyBorder="1" applyAlignment="1">
      <alignment horizontal="center" vertical="center"/>
    </xf>
    <xf numFmtId="0" fontId="4" fillId="11" borderId="2" xfId="4" applyFill="1"/>
    <xf numFmtId="176" fontId="0" fillId="11" borderId="0" xfId="0" applyNumberFormat="1" applyFill="1"/>
    <xf numFmtId="176" fontId="4" fillId="11" borderId="2" xfId="4" applyNumberFormat="1" applyFill="1"/>
    <xf numFmtId="40" fontId="4" fillId="11" borderId="2" xfId="4" applyNumberFormat="1" applyFill="1"/>
    <xf numFmtId="0" fontId="0" fillId="11" borderId="1" xfId="1" applyFont="1" applyFill="1"/>
    <xf numFmtId="38" fontId="0" fillId="11" borderId="0" xfId="0" applyNumberFormat="1" applyFill="1"/>
    <xf numFmtId="0" fontId="0" fillId="11" borderId="0" xfId="0" applyFill="1"/>
    <xf numFmtId="0" fontId="0" fillId="11" borderId="3" xfId="1" applyFont="1" applyFill="1" applyBorder="1"/>
    <xf numFmtId="43" fontId="0" fillId="0" borderId="0" xfId="7" applyFont="1" applyAlignment="1"/>
    <xf numFmtId="14" fontId="7" fillId="0" borderId="0" xfId="0" applyNumberFormat="1" applyFont="1"/>
    <xf numFmtId="43" fontId="0" fillId="10" borderId="10" xfId="7" applyFont="1" applyFill="1" applyBorder="1" applyAlignment="1">
      <alignment horizontal="center" vertical="center"/>
    </xf>
    <xf numFmtId="0" fontId="0" fillId="0" borderId="10" xfId="0" applyBorder="1" applyAlignment="1">
      <alignment horizontal="center" vertical="center"/>
    </xf>
    <xf numFmtId="43" fontId="0" fillId="0" borderId="10" xfId="7" applyFont="1" applyBorder="1" applyAlignment="1">
      <alignment horizontal="center" vertical="center"/>
    </xf>
    <xf numFmtId="43" fontId="0" fillId="0" borderId="10" xfId="0" applyNumberFormat="1" applyBorder="1" applyAlignment="1">
      <alignment horizontal="center"/>
    </xf>
    <xf numFmtId="176" fontId="4" fillId="4" borderId="10" xfId="4" applyNumberFormat="1" applyBorder="1" applyAlignment="1">
      <alignment horizontal="center"/>
    </xf>
    <xf numFmtId="178" fontId="0" fillId="0" borderId="0" xfId="0" applyNumberFormat="1"/>
    <xf numFmtId="0" fontId="0" fillId="10" borderId="0" xfId="0" applyFill="1"/>
    <xf numFmtId="0" fontId="0" fillId="12" borderId="0" xfId="0" applyFill="1"/>
    <xf numFmtId="179" fontId="0" fillId="0" borderId="0" xfId="0" applyNumberFormat="1"/>
    <xf numFmtId="0" fontId="14" fillId="0" borderId="5" xfId="0" applyFont="1" applyBorder="1" applyAlignment="1">
      <alignment horizontal="center"/>
    </xf>
    <xf numFmtId="0" fontId="14" fillId="0" borderId="0" xfId="0" applyFont="1" applyAlignment="1">
      <alignment horizontal="center"/>
    </xf>
    <xf numFmtId="0" fontId="10" fillId="13" borderId="6" xfId="0" applyFont="1" applyFill="1" applyBorder="1" applyAlignment="1">
      <alignment horizontal="center"/>
    </xf>
    <xf numFmtId="0" fontId="10" fillId="9" borderId="5" xfId="0" applyFont="1" applyFill="1" applyBorder="1" applyAlignment="1">
      <alignment horizontal="center"/>
    </xf>
    <xf numFmtId="14" fontId="0" fillId="11" borderId="0" xfId="0" applyNumberFormat="1" applyFill="1"/>
    <xf numFmtId="0" fontId="2" fillId="11" borderId="0" xfId="2" applyFill="1"/>
    <xf numFmtId="0" fontId="15" fillId="0" borderId="0" xfId="2" applyFont="1"/>
    <xf numFmtId="0" fontId="14" fillId="0" borderId="0" xfId="0" applyFont="1" applyAlignment="1">
      <alignment horizontal="left"/>
    </xf>
    <xf numFmtId="0" fontId="0" fillId="0" borderId="10" xfId="0" applyBorder="1"/>
    <xf numFmtId="43" fontId="0" fillId="0" borderId="0" xfId="0" applyNumberFormat="1"/>
    <xf numFmtId="0" fontId="3" fillId="0" borderId="11" xfId="0" applyFont="1" applyBorder="1" applyAlignment="1">
      <alignment horizontal="left"/>
    </xf>
    <xf numFmtId="180" fontId="0" fillId="0" borderId="0" xfId="0" applyNumberFormat="1"/>
    <xf numFmtId="177" fontId="0" fillId="0" borderId="0" xfId="0" applyNumberFormat="1"/>
    <xf numFmtId="0" fontId="0" fillId="0" borderId="5" xfId="0" applyBorder="1"/>
    <xf numFmtId="0" fontId="14" fillId="0" borderId="5" xfId="0" applyFont="1" applyBorder="1"/>
    <xf numFmtId="181" fontId="0" fillId="0" borderId="0" xfId="7" applyNumberFormat="1" applyFont="1" applyAlignment="1"/>
    <xf numFmtId="0" fontId="0" fillId="0" borderId="0" xfId="0" applyAlignment="1">
      <alignment vertical="center" wrapText="1"/>
    </xf>
    <xf numFmtId="9" fontId="0" fillId="0" borderId="0" xfId="0" applyNumberFormat="1"/>
    <xf numFmtId="181" fontId="0" fillId="0" borderId="0" xfId="0" applyNumberFormat="1"/>
    <xf numFmtId="10" fontId="0" fillId="0" borderId="0" xfId="9" applyNumberFormat="1" applyFont="1" applyAlignment="1"/>
    <xf numFmtId="0" fontId="0" fillId="0" borderId="0" xfId="0"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176" fontId="4" fillId="4" borderId="10" xfId="4" applyNumberFormat="1" applyBorder="1" applyAlignment="1">
      <alignment horizontal="center" vertical="center"/>
    </xf>
    <xf numFmtId="0" fontId="4" fillId="4" borderId="2" xfId="4" applyBorder="1"/>
    <xf numFmtId="184" fontId="0" fillId="5" borderId="0" xfId="0" applyNumberFormat="1" applyFill="1"/>
    <xf numFmtId="183" fontId="0" fillId="0" borderId="0" xfId="0" applyNumberFormat="1"/>
    <xf numFmtId="0" fontId="0" fillId="0" borderId="0" xfId="0" applyNumberFormat="1"/>
    <xf numFmtId="0" fontId="0" fillId="0" borderId="0" xfId="0" applyFont="1"/>
    <xf numFmtId="0" fontId="0" fillId="0" borderId="0" xfId="0" applyFill="1" applyBorder="1" applyAlignment="1">
      <alignment horizontal="center" vertical="center"/>
    </xf>
    <xf numFmtId="0" fontId="0" fillId="8" borderId="0" xfId="0" applyFill="1"/>
    <xf numFmtId="14" fontId="0" fillId="8" borderId="0" xfId="0" applyNumberFormat="1" applyFill="1"/>
    <xf numFmtId="0" fontId="2" fillId="8" borderId="0" xfId="2" applyFill="1"/>
    <xf numFmtId="40" fontId="0" fillId="14" borderId="0" xfId="0" applyNumberFormat="1" applyFill="1"/>
    <xf numFmtId="38" fontId="3" fillId="15" borderId="7" xfId="0" applyNumberFormat="1" applyFont="1" applyFill="1" applyBorder="1"/>
    <xf numFmtId="184" fontId="0" fillId="14" borderId="0" xfId="0" applyNumberFormat="1" applyFill="1"/>
    <xf numFmtId="0" fontId="14" fillId="0" borderId="0" xfId="0" applyFont="1"/>
  </cellXfs>
  <cellStyles count="10">
    <cellStyle name="60% - 着色 1" xfId="3" builtinId="32"/>
    <cellStyle name="periodEndBalanceAmountDrD" xfId="8" xr:uid="{95178045-CD64-4B3A-A6FA-AF4C148BC00E}"/>
    <cellStyle name="百分比" xfId="9" builtinId="5"/>
    <cellStyle name="常规" xfId="0" builtinId="0"/>
    <cellStyle name="解释性文本" xfId="2" builtinId="53"/>
    <cellStyle name="千位分隔" xfId="7" builtinId="3"/>
    <cellStyle name="适中" xfId="5" builtinId="28"/>
    <cellStyle name="输出" xfId="6" builtinId="21"/>
    <cellStyle name="输入" xfId="4" builtinId="20"/>
    <cellStyle name="注释" xfId="1" builtinId="10"/>
  </cellStyles>
  <dxfs count="986">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numFmt numFmtId="182"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bgColor theme="0"/>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83" formatCode="#,##0_);[Red]\(#,##0\)"/>
    </dxf>
    <dxf>
      <border outline="0">
        <left style="thin">
          <color rgb="FF7F7F7F"/>
        </left>
      </border>
    </dxf>
    <dxf>
      <numFmt numFmtId="184" formatCode="#,##0.00_);[Red]\(#,##0.00\)"/>
      <fill>
        <patternFill patternType="solid">
          <fgColor indexed="64"/>
          <bgColor theme="9" tint="0.59999389629810485"/>
        </patternFill>
      </fill>
    </dxf>
    <dxf>
      <border outline="0">
        <right style="thin">
          <color rgb="FF7F7F7F"/>
        </right>
      </border>
    </dxf>
    <dxf>
      <numFmt numFmtId="176" formatCode="mm/dd/yy"/>
    </dxf>
    <dxf>
      <numFmt numFmtId="176" formatCode="mm/dd/yy"/>
    </dxf>
    <dxf>
      <numFmt numFmtId="176" formatCode="mm/dd/yy"/>
    </dxf>
    <dxf>
      <numFmt numFmtId="176" formatCode="mm/dd/yy"/>
    </dxf>
    <dxf>
      <alignment horizontal="center" vertical="bottom" textRotation="0" wrapText="0" indent="0" justifyLastLine="0" shrinkToFit="0" readingOrder="0"/>
    </dxf>
    <dxf>
      <numFmt numFmtId="19" formatCode="yyyy/m/d"/>
    </dxf>
    <dxf>
      <alignment horizontal="center" vertical="bottom" textRotation="0" wrapText="0" indent="0" justifyLastLine="0" shrinkToFit="0" readingOrder="0"/>
    </dxf>
    <dxf>
      <fill>
        <patternFill patternType="solid">
          <fgColor indexed="64"/>
          <bgColor theme="0"/>
        </patternFill>
      </fill>
    </dxf>
    <dxf>
      <fill>
        <patternFill patternType="solid">
          <fgColor theme="5"/>
          <bgColor theme="8" tint="0.59999389629810485"/>
        </patternFill>
      </fill>
      <alignment horizontal="center"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等线"/>
        <family val="2"/>
        <scheme val="minor"/>
      </font>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center" vertical="bottom" textRotation="0" wrapText="0" indent="0" justifyLastLine="0" shrinkToFit="0" readingOrder="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8" formatCode="#,##0.00;[Red]\-#,##0.00"/>
    </dxf>
    <dxf>
      <numFmt numFmtId="182" formatCode="#,##0.0;[Red]\-#,##0.0"/>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drawings/drawing1.xml><?xml version="1.0" encoding="utf-8"?>
<xdr:wsDr xmlns:xdr="http://schemas.openxmlformats.org/drawingml/2006/spreadsheetDrawing" xmlns:a="http://schemas.openxmlformats.org/drawingml/2006/main">
  <xdr:twoCellAnchor editAs="oneCell">
    <xdr:from>
      <xdr:col>0</xdr:col>
      <xdr:colOff>169866</xdr:colOff>
      <xdr:row>10</xdr:row>
      <xdr:rowOff>4732</xdr:rowOff>
    </xdr:from>
    <xdr:to>
      <xdr:col>3</xdr:col>
      <xdr:colOff>341462</xdr:colOff>
      <xdr:row>17</xdr:row>
      <xdr:rowOff>159062</xdr:rowOff>
    </xdr:to>
    <mc:AlternateContent xmlns:mc="http://schemas.openxmlformats.org/markup-compatibility/2006" xmlns:a14="http://schemas.microsoft.com/office/drawing/2010/main">
      <mc:Choice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mlns="">
        <xdr:sp macro="" textlink="">
          <xdr:nvSpPr>
            <xdr:cNvPr id="0" name=""/>
            <xdr:cNvSpPr>
              <a:spLocks noTextEdit="1"/>
            </xdr:cNvSpPr>
          </xdr:nvSpPr>
          <xdr:spPr>
            <a:xfrm>
              <a:off x="169866" y="1891760"/>
              <a:ext cx="3109969" cy="1475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170842</xdr:colOff>
      <xdr:row>18</xdr:row>
      <xdr:rowOff>125219</xdr:rowOff>
    </xdr:from>
    <xdr:to>
      <xdr:col>3</xdr:col>
      <xdr:colOff>404362</xdr:colOff>
      <xdr:row>28</xdr:row>
      <xdr:rowOff>149683</xdr:rowOff>
    </xdr:to>
    <mc:AlternateContent xmlns:mc="http://schemas.openxmlformats.org/markup-compatibility/2006" xmlns:a14="http://schemas.microsoft.com/office/drawing/2010/main">
      <mc:Choice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mlns="">
        <xdr:sp macro="" textlink="">
          <xdr:nvSpPr>
            <xdr:cNvPr id="0" name=""/>
            <xdr:cNvSpPr>
              <a:spLocks noTextEdit="1"/>
            </xdr:cNvSpPr>
          </xdr:nvSpPr>
          <xdr:spPr>
            <a:xfrm>
              <a:off x="170842" y="3521870"/>
              <a:ext cx="3171893" cy="19186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481643</xdr:colOff>
      <xdr:row>0</xdr:row>
      <xdr:rowOff>28756</xdr:rowOff>
    </xdr:from>
    <xdr:to>
      <xdr:col>10</xdr:col>
      <xdr:colOff>1056739</xdr:colOff>
      <xdr:row>11</xdr:row>
      <xdr:rowOff>14379</xdr:rowOff>
    </xdr:to>
    <mc:AlternateContent xmlns:mc="http://schemas.openxmlformats.org/markup-compatibility/2006" xmlns:a14="http://schemas.microsoft.com/office/drawing/2010/main">
      <mc:Choice Requires="a14">
        <xdr:graphicFrame macro="">
          <xdr:nvGraphicFramePr>
            <xdr:cNvPr id="6" name="TrxDate">
              <a:extLst>
                <a:ext uri="{FF2B5EF4-FFF2-40B4-BE49-F238E27FC236}">
                  <a16:creationId xmlns:a16="http://schemas.microsoft.com/office/drawing/2014/main" id="{CF1372F2-3AB5-7801-2A80-1A063F54F985}"/>
                </a:ext>
              </a:extLst>
            </xdr:cNvPr>
            <xdr:cNvGraphicFramePr/>
          </xdr:nvGraphicFramePr>
          <xdr:xfrm>
            <a:off x="0" y="0"/>
            <a:ext cx="0" cy="0"/>
          </xdr:xfrm>
          <a:graphic>
            <a:graphicData uri="http://schemas.microsoft.com/office/drawing/2010/slicer">
              <sle:slicer xmlns:sle="http://schemas.microsoft.com/office/drawing/2010/slicer" name="TrxDate"/>
            </a:graphicData>
          </a:graphic>
        </xdr:graphicFrame>
      </mc:Choice>
      <mc:Fallback xmlns="">
        <xdr:sp macro="" textlink="">
          <xdr:nvSpPr>
            <xdr:cNvPr id="0" name=""/>
            <xdr:cNvSpPr>
              <a:spLocks noTextEdit="1"/>
            </xdr:cNvSpPr>
          </xdr:nvSpPr>
          <xdr:spPr>
            <a:xfrm>
              <a:off x="9949134" y="28756"/>
              <a:ext cx="1473679" cy="1883434"/>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9</xdr:col>
      <xdr:colOff>161307</xdr:colOff>
      <xdr:row>11</xdr:row>
      <xdr:rowOff>158644</xdr:rowOff>
    </xdr:from>
    <xdr:to>
      <xdr:col>10</xdr:col>
      <xdr:colOff>1380228</xdr:colOff>
      <xdr:row>30</xdr:row>
      <xdr:rowOff>132190</xdr:rowOff>
    </xdr:to>
    <mc:AlternateContent xmlns:mc="http://schemas.openxmlformats.org/markup-compatibility/2006">
      <mc:Choice xmlns:a14="http://schemas.microsoft.com/office/drawing/2010/main" Requires="a14">
        <xdr:graphicFrame macro="">
          <xdr:nvGraphicFramePr>
            <xdr:cNvPr id="3" name="NameVehicle 1">
              <a:extLst>
                <a:ext uri="{FF2B5EF4-FFF2-40B4-BE49-F238E27FC236}">
                  <a16:creationId xmlns:a16="http://schemas.microsoft.com/office/drawing/2014/main" id="{F51F91BB-5244-B4A6-D769-EBA489AE1A9B}"/>
                </a:ext>
              </a:extLst>
            </xdr:cNvPr>
            <xdr:cNvGraphicFramePr/>
          </xdr:nvGraphicFramePr>
          <xdr:xfrm>
            <a:off x="0" y="0"/>
            <a:ext cx="0" cy="0"/>
          </xdr:xfrm>
          <a:graphic>
            <a:graphicData uri="http://schemas.microsoft.com/office/drawing/2010/slicer">
              <sle:slicer xmlns:sle="http://schemas.microsoft.com/office/drawing/2010/slicer" name="NameVehicle 1"/>
            </a:graphicData>
          </a:graphic>
        </xdr:graphicFrame>
      </mc:Choice>
      <mc:Fallback>
        <xdr:sp macro="" textlink="">
          <xdr:nvSpPr>
            <xdr:cNvPr id="0" name=""/>
            <xdr:cNvSpPr>
              <a:spLocks noTextEdit="1"/>
            </xdr:cNvSpPr>
          </xdr:nvSpPr>
          <xdr:spPr>
            <a:xfrm>
              <a:off x="9381507" y="2063644"/>
              <a:ext cx="2119466" cy="3270928"/>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22</xdr:col>
      <xdr:colOff>32060</xdr:colOff>
      <xdr:row>17</xdr:row>
      <xdr:rowOff>13084</xdr:rowOff>
    </xdr:from>
    <xdr:to>
      <xdr:col>23</xdr:col>
      <xdr:colOff>761999</xdr:colOff>
      <xdr:row>24</xdr:row>
      <xdr:rowOff>57510</xdr:rowOff>
    </xdr:to>
    <mc:AlternateContent xmlns:mc="http://schemas.openxmlformats.org/markup-compatibility/2006" xmlns:a14="http://schemas.microsoft.com/office/drawing/2010/main">
      <mc:Choice Requires="a14">
        <xdr:graphicFrame macro="">
          <xdr:nvGraphicFramePr>
            <xdr:cNvPr id="2" name="IncType">
              <a:extLst>
                <a:ext uri="{FF2B5EF4-FFF2-40B4-BE49-F238E27FC236}">
                  <a16:creationId xmlns:a16="http://schemas.microsoft.com/office/drawing/2014/main" id="{B057D99D-8293-C85F-8388-4399572729FD}"/>
                </a:ext>
              </a:extLst>
            </xdr:cNvPr>
            <xdr:cNvGraphicFramePr/>
          </xdr:nvGraphicFramePr>
          <xdr:xfrm>
            <a:off x="0" y="0"/>
            <a:ext cx="0" cy="0"/>
          </xdr:xfrm>
          <a:graphic>
            <a:graphicData uri="http://schemas.microsoft.com/office/drawing/2010/slicer">
              <sle:slicer xmlns:sle="http://schemas.microsoft.com/office/drawing/2010/slicer" name="IncType"/>
            </a:graphicData>
          </a:graphic>
        </xdr:graphicFrame>
      </mc:Choice>
      <mc:Fallback xmlns="">
        <xdr:sp macro="" textlink="">
          <xdr:nvSpPr>
            <xdr:cNvPr id="0" name=""/>
            <xdr:cNvSpPr>
              <a:spLocks noTextEdit="1"/>
            </xdr:cNvSpPr>
          </xdr:nvSpPr>
          <xdr:spPr>
            <a:xfrm>
              <a:off x="21994593" y="3035684"/>
              <a:ext cx="1695139" cy="1289026"/>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81915</xdr:colOff>
      <xdr:row>2</xdr:row>
      <xdr:rowOff>22860</xdr:rowOff>
    </xdr:from>
    <xdr:to>
      <xdr:col>17</xdr:col>
      <xdr:colOff>219075</xdr:colOff>
      <xdr:row>21</xdr:row>
      <xdr:rowOff>85725</xdr:rowOff>
    </xdr:to>
    <mc:AlternateContent xmlns:mc="http://schemas.openxmlformats.org/markup-compatibility/2006" xmlns:a14="http://schemas.microsoft.com/office/drawing/2010/main">
      <mc:Choice Requires="a14">
        <xdr:graphicFrame macro="">
          <xdr:nvGraphicFramePr>
            <xdr:cNvPr id="2" name="Vehicle 1">
              <a:extLst>
                <a:ext uri="{FF2B5EF4-FFF2-40B4-BE49-F238E27FC236}">
                  <a16:creationId xmlns:a16="http://schemas.microsoft.com/office/drawing/2014/main" id="{1579F694-06CC-0265-9EE3-C52613DB724B}"/>
                </a:ext>
              </a:extLst>
            </xdr:cNvPr>
            <xdr:cNvGraphicFramePr/>
          </xdr:nvGraphicFramePr>
          <xdr:xfrm>
            <a:off x="0" y="0"/>
            <a:ext cx="0" cy="0"/>
          </xdr:xfrm>
          <a:graphic>
            <a:graphicData uri="http://schemas.microsoft.com/office/drawing/2010/slicer">
              <sle:slicer xmlns:sle="http://schemas.microsoft.com/office/drawing/2010/slicer" name="Vehicle 1"/>
            </a:graphicData>
          </a:graphic>
        </xdr:graphicFrame>
      </mc:Choice>
      <mc:Fallback xmlns="">
        <xdr:sp macro="" textlink="">
          <xdr:nvSpPr>
            <xdr:cNvPr id="0" name=""/>
            <xdr:cNvSpPr>
              <a:spLocks noTextEdit="1"/>
            </xdr:cNvSpPr>
          </xdr:nvSpPr>
          <xdr:spPr>
            <a:xfrm>
              <a:off x="14045565" y="403860"/>
              <a:ext cx="1965960" cy="3682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邓二毛" refreshedDate="46092.630850462963" createdVersion="8" refreshedVersion="8" minRefreshableVersion="3" recordCount="887" xr:uid="{05F4C23F-DC46-422C-907A-0D04194B955D}">
  <cacheSource type="worksheet">
    <worksheetSource name="Jnl"/>
  </cacheSource>
  <cacheFields count="21">
    <cacheField name="TrxId" numFmtId="0">
      <sharedItems count="500">
        <s v="T000"/>
        <s v="T000.1"/>
        <s v="T000.2"/>
        <s v="T001"/>
        <s v="T002"/>
        <s v="T003"/>
        <s v="T004"/>
        <s v="T005"/>
        <s v="T006"/>
        <s v="T007"/>
        <s v="T008"/>
        <s v="T009"/>
        <s v="T010"/>
        <s v="T011"/>
        <s v="T012"/>
        <s v="T013"/>
        <s v="T014"/>
        <s v="T015"/>
        <s v="T016"/>
        <s v="T017"/>
        <s v="T018"/>
        <s v="T019"/>
        <s v="T020"/>
        <s v="T021"/>
        <s v="T022"/>
        <s v="T023"/>
        <s v="T024"/>
        <s v="T025"/>
        <s v="T026"/>
        <s v="T027"/>
        <s v="T028"/>
        <s v="T029"/>
        <s v="T030"/>
        <s v="T031"/>
        <s v="T031.1"/>
        <s v="T032"/>
        <s v="T033"/>
        <s v="T034"/>
        <s v="T035"/>
        <s v="T036"/>
        <s v="T037"/>
        <s v="T038"/>
        <s v="T039"/>
        <s v="T040"/>
        <s v="T041"/>
        <s v="T042"/>
        <s v="T043"/>
        <s v="T044"/>
        <s v="T045"/>
        <s v="T046"/>
        <s v="T047"/>
        <s v="T048"/>
        <s v="T049"/>
        <s v="T050"/>
        <s v="T051"/>
        <s v="T052"/>
        <s v="T053"/>
        <s v="T054"/>
        <s v="T055"/>
        <s v="T056"/>
        <s v="T057"/>
        <s v="T058"/>
        <s v="T059"/>
        <s v="T060"/>
        <s v="T061"/>
        <s v="T062"/>
        <s v="T063"/>
        <s v="T064"/>
        <s v="T064.1"/>
        <s v="T065"/>
        <s v="T066"/>
        <s v="T067"/>
        <s v="T068"/>
        <s v="T069"/>
        <s v="T070"/>
        <s v="T071"/>
        <s v="T072"/>
        <s v="T073"/>
        <s v="T074"/>
        <s v="T075"/>
        <s v="T067-1"/>
        <s v="T076"/>
        <s v="T077"/>
        <s v="T078"/>
        <s v="T079"/>
        <s v="T080"/>
        <s v="T081"/>
        <s v="T082"/>
        <s v="T083"/>
        <s v="T084"/>
        <s v="T085"/>
        <s v="T086"/>
        <s v="T087"/>
        <s v="T088"/>
        <s v="T089"/>
        <s v="T090"/>
        <s v="T091"/>
        <s v="T092"/>
        <s v="T093"/>
        <s v="T094"/>
        <s v="T095"/>
        <s v="T096"/>
        <s v="T097"/>
        <s v="T098"/>
        <s v="T099"/>
        <s v="T100"/>
        <s v="T079-1"/>
        <s v="T101"/>
        <s v="T102"/>
        <s v="T103"/>
        <s v="T104"/>
        <s v="T105"/>
        <s v="T106"/>
        <s v="T107"/>
        <s v="T108"/>
        <s v="T109"/>
        <s v="T110"/>
        <s v="T111"/>
        <s v="T112"/>
        <s v="T113"/>
        <s v="T114"/>
        <s v="T115"/>
        <s v="T116"/>
        <s v="T117"/>
        <s v="T118"/>
        <s v="T119"/>
        <s v="T120"/>
        <s v="T121"/>
        <s v="T122"/>
        <s v="T123"/>
        <s v="T124"/>
        <s v="T125"/>
        <s v="T126"/>
        <s v="T127"/>
        <s v="T128"/>
        <s v="T129"/>
        <s v="T130"/>
        <s v="T131"/>
        <s v="T132"/>
        <s v="T133"/>
        <s v="T134"/>
        <s v="T135"/>
        <s v="T136"/>
        <s v="T137"/>
        <s v="T138"/>
        <s v="T139"/>
        <s v="T140"/>
        <s v="T141"/>
        <s v="T142"/>
        <s v="T143"/>
        <s v="T144"/>
        <s v="T145"/>
        <s v="T146"/>
        <s v="T147"/>
        <s v="T148"/>
        <s v="T149"/>
        <s v="T150"/>
        <s v="T151"/>
        <s v="T152"/>
        <s v="T153"/>
        <s v="T154"/>
        <s v="T155"/>
        <s v="T156"/>
        <s v="T157"/>
        <s v="T158"/>
        <s v="T159"/>
        <s v="T160"/>
        <s v="T161"/>
        <s v="T162"/>
        <s v="T163"/>
        <s v="T164"/>
        <s v="T165"/>
        <s v="T166"/>
        <s v="T166.1"/>
        <s v="T167"/>
        <s v="T168"/>
        <s v="T169"/>
        <s v="T169-1"/>
        <s v="T170"/>
        <s v="T171"/>
        <s v="T172"/>
        <s v="T173"/>
        <s v="T174"/>
        <s v="T175"/>
        <s v="T176"/>
        <s v="T177"/>
        <s v="T178"/>
        <s v="T179"/>
        <s v="T180"/>
        <s v="T181"/>
        <s v="T182"/>
        <s v="T183"/>
        <s v="T184"/>
        <s v="T185"/>
        <s v="T186"/>
        <s v="T187"/>
        <s v="T188"/>
        <s v="T189"/>
        <s v="T190"/>
        <s v="T191"/>
        <s v="T192"/>
        <s v="T193"/>
        <s v="T194"/>
        <s v="T195"/>
        <s v="T196"/>
        <s v="T197"/>
        <s v="T198"/>
        <s v="T199"/>
        <s v="T200"/>
        <s v="T201"/>
        <s v="T202"/>
        <s v="T203"/>
        <s v="T204"/>
        <s v="T205"/>
        <s v="T206"/>
        <s v="T207"/>
        <s v="T208"/>
        <s v="T209"/>
        <s v="T210"/>
        <s v="T211"/>
        <s v="T212"/>
        <s v="T213"/>
        <s v="T214"/>
        <s v="T215"/>
        <s v="T216"/>
        <s v="T217"/>
        <s v="T218"/>
        <s v="T219"/>
        <s v="T220"/>
        <s v="T221"/>
        <s v="T222"/>
        <s v="T223"/>
        <s v="T224"/>
        <s v="T225"/>
        <s v="T228"/>
        <s v="T229"/>
        <s v="T231"/>
        <s v="T232"/>
        <s v="T233"/>
        <s v="T234"/>
        <s v="T235"/>
        <s v="T236"/>
        <s v="T237"/>
        <s v="T238"/>
        <s v="T239"/>
        <s v="T240"/>
        <s v="T241"/>
        <s v="T242"/>
        <s v="T244"/>
        <s v="T245"/>
        <s v="T246"/>
        <s v="T247"/>
        <s v="T248"/>
        <s v="T249"/>
        <s v="T250"/>
        <s v="T251"/>
        <s v="T252"/>
        <s v="T253"/>
        <s v="T254"/>
        <s v="T255"/>
        <s v="T256"/>
        <s v="T257"/>
        <s v="T258"/>
        <s v="T260"/>
        <s v="T261"/>
        <s v="T262"/>
        <s v="T263"/>
        <s v="T264"/>
        <s v="T265"/>
        <s v="T266"/>
        <s v="T267"/>
        <s v="T268"/>
        <s v="T269"/>
        <s v="T270"/>
        <s v="T271"/>
        <s v="T272"/>
        <s v="T273"/>
        <s v="T275"/>
        <s v="T276"/>
        <s v="T277"/>
        <s v="T278"/>
        <s v="T279"/>
        <s v="T280"/>
        <s v="T282"/>
        <s v="T283"/>
        <s v="T285"/>
        <s v="T286"/>
        <s v="T287"/>
        <s v="T288"/>
        <s v="T289"/>
        <s v="T290"/>
        <s v="T291"/>
        <s v="T292"/>
        <s v="T293"/>
        <s v="T294"/>
        <s v="T295"/>
        <s v="T296"/>
        <s v="T298"/>
        <s v="T301"/>
        <s v="T302"/>
        <s v="T303"/>
        <s v="T304"/>
        <s v="T305"/>
        <s v="T306"/>
        <s v="T307"/>
        <s v="T308"/>
        <s v="T309"/>
        <s v="T310"/>
        <s v="T311"/>
        <s v="T312"/>
        <s v="T313"/>
        <s v="T314"/>
        <s v="T315"/>
        <s v="T316"/>
        <s v="T317"/>
        <s v="T318"/>
        <s v="T319"/>
        <s v="T320"/>
        <s v="T321"/>
        <s v="T323"/>
        <s v="T324"/>
        <s v="T325"/>
        <s v="T326"/>
        <s v="T327"/>
        <s v="T330"/>
        <s v="T331"/>
        <s v="T332"/>
        <s v="T333"/>
        <s v="T334"/>
        <s v="T335"/>
        <s v="T336"/>
        <s v="T337"/>
        <s v="T338"/>
        <s v="T339"/>
        <s v="T340"/>
        <s v="T341"/>
        <s v="T342"/>
        <s v="T343"/>
        <s v="T344"/>
        <s v="T345"/>
        <s v="T346"/>
        <s v="T347"/>
        <s v="T348"/>
        <s v="T349"/>
        <s v="T350"/>
        <s v="T351"/>
        <s v="T352"/>
        <s v="T354"/>
        <s v="T355"/>
        <s v="T356"/>
        <s v="T357"/>
        <s v="T358"/>
        <s v="T358.1"/>
        <s v="T359"/>
        <s v="T360"/>
        <s v="T361"/>
        <s v="T362"/>
        <s v="T363"/>
        <s v="T363.1"/>
        <s v="T363.2"/>
        <s v="T364"/>
        <s v="T365"/>
        <s v="T366"/>
        <s v="T367"/>
        <s v="T368"/>
        <s v="T369"/>
        <s v="T370"/>
        <s v="T371"/>
        <s v="T372"/>
        <s v="T373"/>
        <s v="T374"/>
        <s v="T375"/>
        <s v="T376"/>
        <s v="T377"/>
        <s v="T378"/>
        <s v="T379"/>
        <s v="T380"/>
        <s v="T381"/>
        <s v="T382"/>
        <s v="T383"/>
        <s v="T384"/>
        <s v="T385"/>
        <s v="T386"/>
        <s v="T387"/>
        <s v="T388"/>
        <s v="T389"/>
        <s v="T390"/>
        <s v="T391"/>
        <s v="T392"/>
        <s v="T393"/>
        <s v="T394"/>
        <s v="T395"/>
        <s v="T396"/>
        <s v="T397"/>
        <s v="T398"/>
        <s v="T399"/>
        <s v="T400"/>
        <s v="T401"/>
        <s v="T402"/>
        <s v="T403"/>
        <s v="T404"/>
        <s v="T405"/>
        <s v="T406"/>
        <s v="T407"/>
        <s v="T408"/>
        <s v="T409"/>
        <s v="T410"/>
        <s v="T411"/>
        <s v="T412"/>
        <s v="T413"/>
        <s v="T414"/>
        <s v="T415"/>
        <s v="T416"/>
        <s v="T417"/>
        <s v="T418"/>
        <s v="T419"/>
        <s v="T420"/>
        <s v="T421"/>
        <s v="T422"/>
        <s v="T423"/>
        <s v="T424"/>
        <s v="T425"/>
        <s v="T426"/>
        <s v="T427"/>
        <s v="T428"/>
        <s v="T429"/>
        <s v="T430"/>
        <s v="T431"/>
        <s v="T432"/>
        <s v="T433"/>
        <s v="T434"/>
        <s v="T435"/>
        <s v="T436"/>
        <s v="T437"/>
        <s v="T438"/>
        <s v="T439"/>
        <s v="T440"/>
        <s v="T441"/>
        <s v="T442"/>
        <s v="T443"/>
        <s v="T444"/>
        <s v="T445"/>
        <s v="T446"/>
        <s v="T447"/>
        <s v="T448"/>
        <s v="T449"/>
        <s v="T450"/>
        <s v="T451"/>
        <s v="T452"/>
        <s v="T453"/>
        <s v="T454"/>
        <s v="T455"/>
        <s v="T456"/>
        <s v="T457"/>
        <s v="T458"/>
        <s v="T459"/>
        <s v="T460"/>
        <s v="T461"/>
        <s v="T462"/>
        <s v="T463"/>
        <s v="T464"/>
        <s v="T465"/>
        <s v="T466"/>
        <s v="T467"/>
        <s v="T468"/>
        <s v="T469"/>
        <s v="T470"/>
        <s v="T471"/>
        <s v="T472"/>
        <s v="T473"/>
        <s v="T474"/>
        <s v="T475"/>
        <s v="T476"/>
        <s v="T477"/>
        <s v="T478"/>
        <s v="T479"/>
        <s v="T480"/>
        <s v="T481"/>
        <s v="T482"/>
        <s v="T483"/>
        <s v="T484"/>
        <s v="T485"/>
        <s v="T486"/>
        <s v="T487"/>
        <s v="T488"/>
        <s v="T489"/>
        <s v="T490"/>
        <s v="T491"/>
        <s v="T491.1"/>
        <s v="T491.2"/>
        <s v="T492"/>
        <s v="T493"/>
        <s v="T493.1"/>
        <s v="T494"/>
        <s v="T495"/>
        <s v="T496"/>
        <s v="T497"/>
        <s v="T498"/>
        <s v="T499" u="1"/>
        <s v="T353" u="1"/>
      </sharedItems>
    </cacheField>
    <cacheField name="TrxDate" numFmtId="176">
      <sharedItems containsSemiMixedTypes="0" containsNonDate="0" containsDate="1" containsString="0" minDate="2025-12-31T00:00:00" maxDate="2026-02-01T00:00:00" count="16">
        <d v="2025-12-31T00:00:00"/>
        <d v="2026-01-31T00:00:00"/>
        <d v="2026-01-01T00:00:00" u="1"/>
        <d v="2026-01-05T00:00:00" u="1"/>
        <d v="2026-01-06T00:00:00" u="1"/>
        <d v="2026-01-07T00:00:00" u="1"/>
        <d v="2026-01-12T00:00:00" u="1"/>
        <d v="2026-01-14T00:00:00" u="1"/>
        <d v="2026-01-19T00:00:00" u="1"/>
        <d v="2026-01-20T00:00:00" u="1"/>
        <d v="2026-01-21T00:00:00" u="1"/>
        <d v="2026-01-23T00:00:00" u="1"/>
        <d v="2026-01-26T00:00:00" u="1"/>
        <d v="2026-01-27T00:00:00" u="1"/>
        <d v="2026-01-30T00:00:00" u="1"/>
        <d v="2026-01-04T00:00:00" u="1"/>
      </sharedItems>
    </cacheField>
    <cacheField name="Division" numFmtId="176">
      <sharedItems/>
    </cacheField>
    <cacheField name="Action" numFmtId="176">
      <sharedItems containsDate="1" containsMixedTypes="1" minDate="1899-12-30T00:00:00" maxDate="1899-12-31T00:00:00" count="98">
        <s v="结转"/>
        <s v="调整"/>
        <s v="冲销"/>
        <s v="交通"/>
        <s v="订购"/>
        <s v="入库"/>
        <s v="薪酬-社保"/>
        <s v="过账"/>
        <s v="支付"/>
        <s v="物流"/>
        <s v="服饰"/>
        <s v="采购"/>
        <s v="增值税"/>
        <s v="银行费"/>
        <s v="薪酬-工资"/>
        <s v="年终奖"/>
        <s v="设计"/>
        <s v="招待"/>
        <s v="福利"/>
        <s v="公共设施"/>
        <s v="拍摄"/>
        <s v="补贴"/>
        <s v="分红"/>
        <s v="其他销售"/>
        <s v="书写营"/>
        <s v="代付款"/>
        <s v="找票"/>
        <s v="退款-供应商"/>
        <s v="内部结算"/>
        <s v="房租"/>
        <s v="办公"/>
        <s v="加工"/>
        <s v="维护"/>
        <s v="收款"/>
        <s v="图书"/>
        <s v="食材"/>
        <s v="其他材料"/>
        <s v="临时人力"/>
        <s v="代理"/>
        <s v="存现"/>
        <s v="餐饮"/>
        <s v="物料"/>
        <s v="杂项"/>
        <s v="平台费"/>
        <s v="成本结转"/>
        <s v="计提税金"/>
        <s v="课程"/>
        <s v="折旧"/>
        <s v="包装"/>
        <s v="设备"/>
        <s v="商标"/>
        <s v="团建"/>
        <s v="退费-供应商"/>
        <s v="计件"/>
        <s v="演出"/>
        <s v="布草"/>
        <s v="住宿"/>
        <s v="保险"/>
        <s v="诗与歌"/>
        <s v="退款-客人"/>
        <s v="佣金"/>
        <s v="事故"/>
        <s v="杂货"/>
        <s v="报销" u="1"/>
        <s v="附加税" u="1"/>
        <s v="折扣" u="1"/>
        <s v="附加" u="1"/>
        <s v="染色" u="1"/>
        <s v="水电气网" u="1"/>
        <s v="摊销" u="1"/>
        <s v="水电" u="1"/>
        <s v="兼职" u="1"/>
        <s v="洗涤" u="1"/>
        <s v="银行手续" u="1"/>
        <s v="手续费" u="1"/>
        <s v="摄影" u="1"/>
        <s v="意外" u="1"/>
        <s v="客房" u="1"/>
        <s v="服装" u="1"/>
        <s v="销售" u="1"/>
        <s v="薪酬-奖金" u="1"/>
        <s v="结转损益" u="1"/>
        <s v="利润结转" u="1"/>
        <s v="销售附加" u="1"/>
        <s v="退款" u="1"/>
        <s v="结算" u="1"/>
        <s v="计提" u="1"/>
        <s v="退货" u="1"/>
        <s v="退费" u="1"/>
        <s v="结转成本" u="1"/>
        <d v="1899-12-30T00:00:00" u="1"/>
        <s v="设计-测试" u="1"/>
        <s v="内部销售" u="1"/>
        <s v="薪酬-个税" u="1"/>
        <s v="转账" u="1"/>
        <s v="工资" u="1"/>
        <s v="个税" u="1"/>
        <s v="销售税费" u="1"/>
      </sharedItems>
    </cacheField>
    <cacheField name="Vehicle" numFmtId="176">
      <sharedItems containsBlank="1" count="14">
        <s v="HuaYuan"/>
        <s v="CYY-Qi"/>
        <s v="SangMu"/>
        <s v="YuLe"/>
        <s v="XiJia"/>
        <s v="HY-GaoX"/>
        <s v="MiXiaoYi"/>
        <s v="YuanWH"/>
        <s v="YWH-PuJ"/>
        <s v="XiaoXi"/>
        <s v="XiaoYue"/>
        <s v="ZhengSY"/>
        <s v="RanJ"/>
        <m u="1"/>
      </sharedItems>
    </cacheField>
    <cacheField name="Acct" numFmtId="0">
      <sharedItems/>
    </cacheField>
    <cacheField name="Item" numFmtId="0">
      <sharedItems containsBlank="1" count="107">
        <s v="JH.0682"/>
        <s v="JH.7471"/>
        <s v="JT.7708"/>
        <s v="JH.2521"/>
        <s v="JH.1465"/>
        <s v="Casher.fz"/>
        <s v="JH.2131"/>
        <s v="Casher.hd"/>
        <s v="JH.4559"/>
        <s v="Casher.cy"/>
        <s v="NH.3284"/>
        <s v="NS.3524"/>
        <s v="JH.2761"/>
        <s v="WeC1"/>
        <s v="WeC2"/>
        <s v="NH.5074"/>
        <s v="NS.9539"/>
        <s v="huotang"/>
        <s v="Casher.myc"/>
        <s v="JH.0754"/>
        <s v="JH.8952"/>
        <s v="平台"/>
        <s v="个人社保"/>
        <s v="保证金"/>
        <s v="水街员工"/>
        <s v="卖场"/>
        <s v="餐厅"/>
        <s v="订单来了"/>
        <s v="客房（携程）"/>
        <s v="小程序"/>
        <s v="小商店"/>
        <s v="果园"/>
        <s v="借款"/>
        <s v="明月远家"/>
        <s v="预付费用"/>
        <s v="预付货款"/>
        <s v="低耗"/>
        <s v="图书"/>
        <s v="服饰"/>
        <s v="明月村-土地"/>
        <s v="明月村-建筑"/>
        <s v="明月村-累计折旧"/>
        <s v="水街-建筑"/>
        <s v="水街-累计折旧"/>
        <s v="乐于斯"/>
        <s v="低苦艾"/>
        <s v="货款"/>
        <s v="增值税"/>
        <s v="消费税"/>
        <s v="附加税"/>
        <s v="印花税"/>
        <s v="所得税-企业"/>
        <s v="工资"/>
        <s v="尾款-工程"/>
        <s v="所得税-个人"/>
        <s v="会员充值"/>
        <s v="税金"/>
        <s v="至尊卡"/>
        <s v="住房押金"/>
        <s v="总部"/>
        <s v="前期修建借款"/>
        <s v="注册资本"/>
        <s v="accuInc"/>
        <s v="远姐装修款"/>
        <s v="材料"/>
        <s v="xxx"/>
        <s v="deduct.Y25"/>
        <s v="奖金"/>
        <s v="客房"/>
        <s v="团队"/>
        <s v="定金"/>
        <s v="快团团"/>
        <s v="已入库" u="1"/>
        <m u="1"/>
        <s v="WeC" u="1"/>
        <s v="合作实体" u="1"/>
        <s v="水街" u="1"/>
        <s v="明月村" u="1"/>
        <s v="装修款" u="1"/>
        <s v="所得税" u="1"/>
        <s v="个人所得税" u="1"/>
        <s v="货物入库" u="1"/>
        <s v="存货" u="1"/>
        <s v="VAT" u="1"/>
        <s v="企业所得税" u="1"/>
        <s v="税金及附加" u="1"/>
        <s v="税" u="1"/>
        <s v="CD.0214" u="1"/>
        <s v="明月村-基础投资" u="1"/>
        <s v="水街-建设投资" u="1"/>
        <s v="充值" u="1"/>
        <s v="预收账款" u="1"/>
        <s v="客户押金" u="1"/>
        <s v="销售预付" u="1"/>
        <s v="员工预支款" u="1"/>
        <s v="明月村.基础投资" u="1"/>
        <s v="SJ.Base" u="1"/>
        <s v="SJ.AccuD" u="1"/>
        <s v="MYC.Base" u="1"/>
        <s v="MYC.AccuD" u="1"/>
        <s v="?" u="1"/>
        <s v="TaoBao" u="1"/>
        <s v="zzz" u="1"/>
        <s v="Alipay" u="1"/>
        <s v="div.withheld" u="1"/>
        <s v="accuDiv" u="1"/>
        <s v="land.MYC" u="1"/>
      </sharedItems>
    </cacheField>
    <cacheField name="Bal" numFmtId="0">
      <sharedItems containsSemiMixedTypes="0" containsString="0" containsNumber="1" minValue="-10513383.689999999" maxValue="21129338.43"/>
    </cacheField>
    <cacheField name="IsValid" numFmtId="0">
      <sharedItems/>
    </cacheField>
    <cacheField name="NetBal" numFmtId="0">
      <sharedItems containsSemiMixedTypes="0" containsString="0" containsNumber="1" minValue="-14402045" maxValue="21129338.43"/>
    </cacheField>
    <cacheField name="BSLv0" numFmtId="0">
      <sharedItems count="3">
        <s v="A"/>
        <s v="LC"/>
        <e v="#N/A" u="1"/>
      </sharedItems>
    </cacheField>
    <cacheField name="BSLv1" numFmtId="0">
      <sharedItems/>
    </cacheField>
    <cacheField name="BSLv2" numFmtId="0">
      <sharedItems/>
    </cacheField>
    <cacheField name="IncNode" numFmtId="0">
      <sharedItems containsMixedTypes="1" containsNumber="1" containsInteger="1" minValue="0" maxValue="0" count="6">
        <s v="Other"/>
        <s v="Expense"/>
        <s v="Cost"/>
        <s v="Revenue"/>
        <s v="Discretion"/>
        <n v="0" u="1"/>
      </sharedItems>
    </cacheField>
    <cacheField name="IncType" numFmtId="0">
      <sharedItems count="3">
        <s v="Non-Op"/>
        <s v="Op"/>
        <e v="#N/A" u="1"/>
      </sharedItems>
    </cacheField>
    <cacheField name="NameBSLv2" numFmtId="0">
      <sharedItems count="13">
        <s v="0.现金及类似"/>
        <s v="1.应收-应付"/>
        <s v="2.预付-订阅"/>
        <s v="3.库存占款"/>
        <s v="5.硬件设施"/>
        <s v="6.投资与长期负债"/>
        <s v="X.资本"/>
        <s v="9.蓄水池"/>
        <e v="#N/A" u="1"/>
        <s v="0.现金-预售" u="1"/>
        <s v="9.储备性权益" u="1"/>
        <s v="0.现金" u="1"/>
        <s v="0.待完成销售" u="1"/>
      </sharedItems>
    </cacheField>
    <cacheField name="NameAcct" numFmtId="0">
      <sharedItems count="24">
        <s v="银行"/>
        <s v="物理现金"/>
        <s v="应收-一般"/>
        <s v="应收-其他"/>
        <s v="押金"/>
        <s v="员工预支"/>
        <s v="预付订单"/>
        <s v="当期存货"/>
        <s v="房地产"/>
        <s v="权益性投资"/>
        <s v="应付-一般"/>
        <s v="应付-税款"/>
        <s v="应付-薪资"/>
        <s v="应付-其他"/>
        <s v="会员充值"/>
        <s v="额外投入"/>
        <s v="原始资本"/>
        <s v="可分配利润"/>
        <s v="往期存货"/>
        <e v="#N/A" u="1"/>
        <s v="订单" u="1"/>
        <s v="往期存过" u="1"/>
        <s v="应收账款-一般" u="1"/>
        <s v="应付账款-一般" u="1"/>
      </sharedItems>
    </cacheField>
    <cacheField name="NameVehicle" numFmtId="0">
      <sharedItems count="15">
        <s v="远家花园"/>
        <s v="创业园-琦"/>
        <s v="桑木"/>
        <s v="榆乐"/>
        <s v="喜家文化"/>
        <s v="远家花园高新分公司"/>
        <s v="米小易"/>
        <s v="远家文化"/>
        <s v="远家文化蒲江分公司"/>
        <s v="张小喜"/>
        <s v="小月号"/>
        <s v="郑术燕"/>
        <s v="染匠文化"/>
        <e v="#N/A" u="1"/>
        <s v="创业园-晓" u="1"/>
      </sharedItems>
    </cacheField>
    <cacheField name="NameDiv" numFmtId="0">
      <sharedItems count="9">
        <s v="内控合规"/>
        <s v="综合管理"/>
        <s v="网店"/>
        <s v="品牌"/>
        <s v="明月村"/>
        <s v="驻色"/>
        <s v="水街店"/>
        <e v="#N/A" u="1"/>
        <s v="主淘宝店" u="1"/>
      </sharedItems>
    </cacheField>
    <cacheField name="ScopeBS" numFmtId="0">
      <sharedItems count="3">
        <s v="In"/>
        <s v="Out" u="1"/>
        <s v="Up to" u="1"/>
      </sharedItems>
    </cacheField>
    <cacheField name="ScopeDebug" numFmtId="0">
      <sharedItems count="3">
        <s v="prior"/>
        <s v="curr"/>
        <s v="post" u="1"/>
      </sharedItems>
    </cacheField>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7">
  <r>
    <x v="0"/>
    <x v="0"/>
    <s v="Ctrl"/>
    <x v="0"/>
    <x v="0"/>
    <s v="Bank"/>
    <x v="0"/>
    <n v="1982899.24"/>
    <b v="1"/>
    <n v="1982899.24"/>
    <x v="0"/>
    <s v="Assets"/>
    <s v="Cash alike"/>
    <x v="0"/>
    <x v="0"/>
    <x v="0"/>
    <x v="0"/>
    <x v="0"/>
    <x v="0"/>
    <x v="0"/>
    <x v="0"/>
  </r>
  <r>
    <x v="0"/>
    <x v="0"/>
    <s v="Ctrl"/>
    <x v="0"/>
    <x v="1"/>
    <s v="Bank"/>
    <x v="1"/>
    <n v="1238274.1000000001"/>
    <b v="1"/>
    <n v="1238274.1000000001"/>
    <x v="0"/>
    <s v="Assets"/>
    <s v="Cash alike"/>
    <x v="0"/>
    <x v="0"/>
    <x v="0"/>
    <x v="0"/>
    <x v="1"/>
    <x v="0"/>
    <x v="0"/>
    <x v="0"/>
  </r>
  <r>
    <x v="0"/>
    <x v="0"/>
    <s v="Ctrl"/>
    <x v="0"/>
    <x v="2"/>
    <s v="Bank"/>
    <x v="2"/>
    <n v="1597158.42"/>
    <b v="1"/>
    <n v="1597158.42"/>
    <x v="0"/>
    <s v="Assets"/>
    <s v="Cash alike"/>
    <x v="0"/>
    <x v="0"/>
    <x v="0"/>
    <x v="0"/>
    <x v="2"/>
    <x v="0"/>
    <x v="0"/>
    <x v="0"/>
  </r>
  <r>
    <x v="0"/>
    <x v="0"/>
    <s v="Ctrl"/>
    <x v="0"/>
    <x v="3"/>
    <s v="Bank"/>
    <x v="3"/>
    <n v="2759122.91"/>
    <b v="1"/>
    <n v="2759122.91"/>
    <x v="0"/>
    <s v="Assets"/>
    <s v="Cash alike"/>
    <x v="0"/>
    <x v="0"/>
    <x v="0"/>
    <x v="0"/>
    <x v="3"/>
    <x v="0"/>
    <x v="0"/>
    <x v="0"/>
  </r>
  <r>
    <x v="0"/>
    <x v="0"/>
    <s v="Ctrl"/>
    <x v="0"/>
    <x v="4"/>
    <s v="Bank"/>
    <x v="4"/>
    <n v="838646.21"/>
    <b v="1"/>
    <n v="838646.21"/>
    <x v="0"/>
    <s v="Assets"/>
    <s v="Cash alike"/>
    <x v="0"/>
    <x v="0"/>
    <x v="0"/>
    <x v="0"/>
    <x v="4"/>
    <x v="0"/>
    <x v="0"/>
    <x v="0"/>
  </r>
  <r>
    <x v="0"/>
    <x v="0"/>
    <s v="Ctrl"/>
    <x v="0"/>
    <x v="4"/>
    <s v="Phys.C"/>
    <x v="5"/>
    <n v="25540.15"/>
    <b v="1"/>
    <n v="25540.15"/>
    <x v="0"/>
    <s v="Assets"/>
    <s v="Cash alike"/>
    <x v="0"/>
    <x v="0"/>
    <x v="0"/>
    <x v="1"/>
    <x v="4"/>
    <x v="0"/>
    <x v="0"/>
    <x v="0"/>
  </r>
  <r>
    <x v="0"/>
    <x v="0"/>
    <s v="Ctrl"/>
    <x v="0"/>
    <x v="5"/>
    <s v="Bank"/>
    <x v="6"/>
    <n v="125030.24"/>
    <b v="1"/>
    <n v="125030.24"/>
    <x v="0"/>
    <s v="Assets"/>
    <s v="Cash alike"/>
    <x v="0"/>
    <x v="0"/>
    <x v="0"/>
    <x v="0"/>
    <x v="5"/>
    <x v="0"/>
    <x v="0"/>
    <x v="0"/>
  </r>
  <r>
    <x v="0"/>
    <x v="0"/>
    <s v="Ctrl"/>
    <x v="0"/>
    <x v="5"/>
    <s v="Phys.C"/>
    <x v="7"/>
    <n v="2000"/>
    <b v="1"/>
    <n v="2000"/>
    <x v="0"/>
    <s v="Assets"/>
    <s v="Cash alike"/>
    <x v="0"/>
    <x v="0"/>
    <x v="0"/>
    <x v="1"/>
    <x v="5"/>
    <x v="0"/>
    <x v="0"/>
    <x v="0"/>
  </r>
  <r>
    <x v="0"/>
    <x v="0"/>
    <s v="Ctrl"/>
    <x v="0"/>
    <x v="6"/>
    <s v="Bank"/>
    <x v="8"/>
    <n v="1012107.86"/>
    <b v="1"/>
    <n v="1012107.86"/>
    <x v="0"/>
    <s v="Assets"/>
    <s v="Cash alike"/>
    <x v="0"/>
    <x v="0"/>
    <x v="0"/>
    <x v="0"/>
    <x v="6"/>
    <x v="0"/>
    <x v="0"/>
    <x v="0"/>
  </r>
  <r>
    <x v="0"/>
    <x v="0"/>
    <s v="Ctrl"/>
    <x v="0"/>
    <x v="6"/>
    <s v="Phys.C"/>
    <x v="9"/>
    <n v="1304"/>
    <b v="1"/>
    <n v="1304"/>
    <x v="0"/>
    <s v="Assets"/>
    <s v="Cash alike"/>
    <x v="0"/>
    <x v="0"/>
    <x v="0"/>
    <x v="1"/>
    <x v="6"/>
    <x v="0"/>
    <x v="0"/>
    <x v="0"/>
  </r>
  <r>
    <x v="0"/>
    <x v="0"/>
    <s v="Ctrl"/>
    <x v="0"/>
    <x v="7"/>
    <s v="Bank"/>
    <x v="10"/>
    <n v="174191.78"/>
    <b v="1"/>
    <n v="174191.78"/>
    <x v="0"/>
    <s v="Assets"/>
    <s v="Cash alike"/>
    <x v="0"/>
    <x v="0"/>
    <x v="0"/>
    <x v="0"/>
    <x v="7"/>
    <x v="0"/>
    <x v="0"/>
    <x v="0"/>
  </r>
  <r>
    <x v="0"/>
    <x v="0"/>
    <s v="Ctrl"/>
    <x v="0"/>
    <x v="8"/>
    <s v="Bank"/>
    <x v="11"/>
    <n v="21355.13"/>
    <b v="1"/>
    <n v="21355.13"/>
    <x v="0"/>
    <s v="Assets"/>
    <s v="Cash alike"/>
    <x v="0"/>
    <x v="0"/>
    <x v="0"/>
    <x v="0"/>
    <x v="8"/>
    <x v="0"/>
    <x v="0"/>
    <x v="0"/>
  </r>
  <r>
    <x v="0"/>
    <x v="0"/>
    <s v="Ctrl"/>
    <x v="0"/>
    <x v="9"/>
    <s v="Bank"/>
    <x v="12"/>
    <n v="143995.32"/>
    <b v="1"/>
    <n v="143995.32"/>
    <x v="0"/>
    <s v="Assets"/>
    <s v="Cash alike"/>
    <x v="0"/>
    <x v="0"/>
    <x v="0"/>
    <x v="0"/>
    <x v="9"/>
    <x v="0"/>
    <x v="0"/>
    <x v="0"/>
  </r>
  <r>
    <x v="0"/>
    <x v="0"/>
    <s v="Ctrl"/>
    <x v="0"/>
    <x v="10"/>
    <s v="Bank"/>
    <x v="13"/>
    <n v="435221.41"/>
    <b v="1"/>
    <n v="435221.41"/>
    <x v="0"/>
    <s v="Assets"/>
    <s v="Cash alike"/>
    <x v="0"/>
    <x v="0"/>
    <x v="0"/>
    <x v="0"/>
    <x v="10"/>
    <x v="0"/>
    <x v="0"/>
    <x v="0"/>
  </r>
  <r>
    <x v="0"/>
    <x v="0"/>
    <s v="Ctrl"/>
    <x v="0"/>
    <x v="10"/>
    <s v="Bank"/>
    <x v="14"/>
    <n v="12977.6"/>
    <b v="1"/>
    <n v="12977.6"/>
    <x v="0"/>
    <s v="Assets"/>
    <s v="Cash alike"/>
    <x v="0"/>
    <x v="0"/>
    <x v="0"/>
    <x v="0"/>
    <x v="10"/>
    <x v="0"/>
    <x v="0"/>
    <x v="0"/>
  </r>
  <r>
    <x v="0"/>
    <x v="0"/>
    <s v="Ctrl"/>
    <x v="0"/>
    <x v="11"/>
    <s v="Bank"/>
    <x v="15"/>
    <n v="30900.25"/>
    <b v="1"/>
    <n v="30900.25"/>
    <x v="0"/>
    <s v="Assets"/>
    <s v="Cash alike"/>
    <x v="0"/>
    <x v="0"/>
    <x v="0"/>
    <x v="0"/>
    <x v="11"/>
    <x v="0"/>
    <x v="0"/>
    <x v="0"/>
  </r>
  <r>
    <x v="0"/>
    <x v="0"/>
    <s v="Ctrl"/>
    <x v="0"/>
    <x v="7"/>
    <s v="Bank"/>
    <x v="16"/>
    <n v="6917.42"/>
    <b v="1"/>
    <n v="6917.42"/>
    <x v="0"/>
    <s v="Assets"/>
    <s v="Cash alike"/>
    <x v="0"/>
    <x v="0"/>
    <x v="0"/>
    <x v="0"/>
    <x v="7"/>
    <x v="0"/>
    <x v="0"/>
    <x v="0"/>
  </r>
  <r>
    <x v="0"/>
    <x v="0"/>
    <s v="Ctrl"/>
    <x v="0"/>
    <x v="8"/>
    <s v="Bank"/>
    <x v="17"/>
    <n v="709.51"/>
    <b v="1"/>
    <n v="709.51"/>
    <x v="0"/>
    <s v="Assets"/>
    <s v="Cash alike"/>
    <x v="0"/>
    <x v="0"/>
    <x v="0"/>
    <x v="0"/>
    <x v="8"/>
    <x v="0"/>
    <x v="0"/>
    <x v="0"/>
  </r>
  <r>
    <x v="0"/>
    <x v="0"/>
    <s v="Ctrl"/>
    <x v="0"/>
    <x v="8"/>
    <s v="Phys.C"/>
    <x v="18"/>
    <n v="20812"/>
    <b v="1"/>
    <n v="20812"/>
    <x v="0"/>
    <s v="Assets"/>
    <s v="Cash alike"/>
    <x v="0"/>
    <x v="0"/>
    <x v="0"/>
    <x v="1"/>
    <x v="8"/>
    <x v="0"/>
    <x v="0"/>
    <x v="0"/>
  </r>
  <r>
    <x v="0"/>
    <x v="0"/>
    <s v="Ctrl"/>
    <x v="0"/>
    <x v="12"/>
    <s v="Bank"/>
    <x v="19"/>
    <n v="630993.46"/>
    <b v="1"/>
    <n v="630993.46"/>
    <x v="0"/>
    <s v="Assets"/>
    <s v="Cash alike"/>
    <x v="0"/>
    <x v="0"/>
    <x v="0"/>
    <x v="0"/>
    <x v="12"/>
    <x v="0"/>
    <x v="0"/>
    <x v="0"/>
  </r>
  <r>
    <x v="0"/>
    <x v="0"/>
    <s v="Ctrl"/>
    <x v="0"/>
    <x v="12"/>
    <s v="Bank"/>
    <x v="20"/>
    <n v="20124.45"/>
    <b v="1"/>
    <n v="20124.45"/>
    <x v="0"/>
    <s v="Assets"/>
    <s v="Cash alike"/>
    <x v="0"/>
    <x v="0"/>
    <x v="0"/>
    <x v="0"/>
    <x v="12"/>
    <x v="0"/>
    <x v="0"/>
    <x v="0"/>
  </r>
  <r>
    <x v="0"/>
    <x v="0"/>
    <s v="Ctrl"/>
    <x v="0"/>
    <x v="4"/>
    <s v="AR"/>
    <x v="21"/>
    <n v="18526.13"/>
    <b v="1"/>
    <n v="18526.13"/>
    <x v="0"/>
    <s v="Assets"/>
    <s v="Rec-Pay"/>
    <x v="0"/>
    <x v="0"/>
    <x v="1"/>
    <x v="2"/>
    <x v="4"/>
    <x v="0"/>
    <x v="0"/>
    <x v="0"/>
  </r>
  <r>
    <x v="0"/>
    <x v="0"/>
    <s v="Ctrl"/>
    <x v="0"/>
    <x v="4"/>
    <s v="FrOther"/>
    <x v="22"/>
    <n v="2385.75"/>
    <b v="1"/>
    <n v="2385.75"/>
    <x v="0"/>
    <s v="Assets"/>
    <s v="Rec-Pay"/>
    <x v="0"/>
    <x v="0"/>
    <x v="1"/>
    <x v="3"/>
    <x v="4"/>
    <x v="0"/>
    <x v="0"/>
    <x v="0"/>
  </r>
  <r>
    <x v="0"/>
    <x v="0"/>
    <s v="Ctrl"/>
    <x v="0"/>
    <x v="4"/>
    <s v="Depo"/>
    <x v="23"/>
    <n v="100000"/>
    <b v="1"/>
    <n v="100000"/>
    <x v="0"/>
    <s v="Assets"/>
    <s v="Prep-Sub"/>
    <x v="0"/>
    <x v="0"/>
    <x v="2"/>
    <x v="4"/>
    <x v="4"/>
    <x v="0"/>
    <x v="0"/>
    <x v="0"/>
  </r>
  <r>
    <x v="0"/>
    <x v="0"/>
    <s v="Ctrl"/>
    <x v="0"/>
    <x v="0"/>
    <s v="AR"/>
    <x v="21"/>
    <n v="289043.94"/>
    <b v="1"/>
    <n v="289043.94"/>
    <x v="0"/>
    <s v="Assets"/>
    <s v="Rec-Pay"/>
    <x v="0"/>
    <x v="0"/>
    <x v="1"/>
    <x v="2"/>
    <x v="0"/>
    <x v="0"/>
    <x v="0"/>
    <x v="0"/>
  </r>
  <r>
    <x v="0"/>
    <x v="0"/>
    <s v="Ctrl"/>
    <x v="0"/>
    <x v="0"/>
    <s v="FrOther"/>
    <x v="22"/>
    <n v="24591.75"/>
    <b v="1"/>
    <n v="24591.75"/>
    <x v="0"/>
    <s v="Assets"/>
    <s v="Rec-Pay"/>
    <x v="0"/>
    <x v="0"/>
    <x v="1"/>
    <x v="3"/>
    <x v="0"/>
    <x v="0"/>
    <x v="0"/>
    <x v="0"/>
  </r>
  <r>
    <x v="0"/>
    <x v="0"/>
    <s v="Ctrl"/>
    <x v="0"/>
    <x v="0"/>
    <s v="Depo"/>
    <x v="23"/>
    <n v="66888.95"/>
    <b v="1"/>
    <n v="66888.95"/>
    <x v="0"/>
    <s v="Assets"/>
    <s v="Prep-Sub"/>
    <x v="0"/>
    <x v="0"/>
    <x v="2"/>
    <x v="4"/>
    <x v="0"/>
    <x v="0"/>
    <x v="0"/>
    <x v="0"/>
  </r>
  <r>
    <x v="0"/>
    <x v="0"/>
    <s v="Ctrl"/>
    <x v="0"/>
    <x v="5"/>
    <s v="AR"/>
    <x v="21"/>
    <n v="4640.3"/>
    <b v="1"/>
    <n v="4640.3"/>
    <x v="0"/>
    <s v="Assets"/>
    <s v="Rec-Pay"/>
    <x v="0"/>
    <x v="0"/>
    <x v="1"/>
    <x v="2"/>
    <x v="5"/>
    <x v="0"/>
    <x v="0"/>
    <x v="0"/>
  </r>
  <r>
    <x v="0"/>
    <x v="0"/>
    <s v="Ctrl"/>
    <x v="0"/>
    <x v="5"/>
    <s v="FrOther"/>
    <x v="22"/>
    <n v="1474.3"/>
    <b v="1"/>
    <n v="1474.3"/>
    <x v="0"/>
    <s v="Assets"/>
    <s v="Rec-Pay"/>
    <x v="0"/>
    <x v="0"/>
    <x v="1"/>
    <x v="3"/>
    <x v="5"/>
    <x v="0"/>
    <x v="0"/>
    <x v="0"/>
  </r>
  <r>
    <x v="0"/>
    <x v="0"/>
    <s v="Ctrl"/>
    <x v="0"/>
    <x v="12"/>
    <s v="FrOther"/>
    <x v="22"/>
    <n v="3340.05"/>
    <b v="1"/>
    <n v="3340.05"/>
    <x v="0"/>
    <s v="Assets"/>
    <s v="Rec-Pay"/>
    <x v="0"/>
    <x v="0"/>
    <x v="1"/>
    <x v="3"/>
    <x v="12"/>
    <x v="0"/>
    <x v="0"/>
    <x v="0"/>
  </r>
  <r>
    <x v="0"/>
    <x v="0"/>
    <s v="Ctrl"/>
    <x v="0"/>
    <x v="3"/>
    <s v="FrOther"/>
    <x v="22"/>
    <n v="14294.35"/>
    <b v="1"/>
    <n v="14294.35"/>
    <x v="0"/>
    <s v="Assets"/>
    <s v="Rec-Pay"/>
    <x v="0"/>
    <x v="0"/>
    <x v="1"/>
    <x v="3"/>
    <x v="3"/>
    <x v="0"/>
    <x v="0"/>
    <x v="0"/>
  </r>
  <r>
    <x v="0"/>
    <x v="0"/>
    <s v="Ctrl"/>
    <x v="0"/>
    <x v="2"/>
    <s v="FrOther"/>
    <x v="22"/>
    <n v="1431.45"/>
    <b v="1"/>
    <n v="1431.45"/>
    <x v="0"/>
    <s v="Assets"/>
    <s v="Rec-Pay"/>
    <x v="0"/>
    <x v="0"/>
    <x v="1"/>
    <x v="3"/>
    <x v="2"/>
    <x v="0"/>
    <x v="0"/>
    <x v="0"/>
  </r>
  <r>
    <x v="0"/>
    <x v="0"/>
    <s v="Ctrl"/>
    <x v="0"/>
    <x v="6"/>
    <s v="FrOther"/>
    <x v="22"/>
    <n v="11451.6"/>
    <b v="1"/>
    <n v="11451.6"/>
    <x v="0"/>
    <s v="Assets"/>
    <s v="Rec-Pay"/>
    <x v="0"/>
    <x v="0"/>
    <x v="1"/>
    <x v="3"/>
    <x v="6"/>
    <x v="0"/>
    <x v="0"/>
    <x v="0"/>
  </r>
  <r>
    <x v="0"/>
    <x v="0"/>
    <s v="Ctrl"/>
    <x v="0"/>
    <x v="6"/>
    <s v="Depo"/>
    <x v="23"/>
    <n v="4000"/>
    <b v="1"/>
    <n v="4000"/>
    <x v="0"/>
    <s v="Assets"/>
    <s v="Prep-Sub"/>
    <x v="0"/>
    <x v="0"/>
    <x v="2"/>
    <x v="4"/>
    <x v="6"/>
    <x v="0"/>
    <x v="0"/>
    <x v="0"/>
  </r>
  <r>
    <x v="0"/>
    <x v="0"/>
    <s v="Ctrl"/>
    <x v="0"/>
    <x v="6"/>
    <s v="AR"/>
    <x v="21"/>
    <n v="12892.74"/>
    <b v="1"/>
    <n v="12892.74"/>
    <x v="0"/>
    <s v="Assets"/>
    <s v="Rec-Pay"/>
    <x v="0"/>
    <x v="0"/>
    <x v="1"/>
    <x v="2"/>
    <x v="6"/>
    <x v="0"/>
    <x v="0"/>
    <x v="0"/>
  </r>
  <r>
    <x v="0"/>
    <x v="0"/>
    <s v="Ctrl"/>
    <x v="0"/>
    <x v="6"/>
    <s v="OnEmp"/>
    <x v="24"/>
    <n v="30000"/>
    <b v="1"/>
    <n v="30000"/>
    <x v="0"/>
    <s v="Assets"/>
    <s v="Prep-Sub"/>
    <x v="0"/>
    <x v="0"/>
    <x v="2"/>
    <x v="5"/>
    <x v="6"/>
    <x v="0"/>
    <x v="0"/>
    <x v="0"/>
  </r>
  <r>
    <x v="0"/>
    <x v="0"/>
    <s v="Ctrl"/>
    <x v="0"/>
    <x v="7"/>
    <s v="AR"/>
    <x v="25"/>
    <n v="1524.65"/>
    <b v="1"/>
    <n v="1524.65"/>
    <x v="0"/>
    <s v="Assets"/>
    <s v="Rec-Pay"/>
    <x v="0"/>
    <x v="0"/>
    <x v="1"/>
    <x v="2"/>
    <x v="7"/>
    <x v="0"/>
    <x v="0"/>
    <x v="0"/>
  </r>
  <r>
    <x v="0"/>
    <x v="0"/>
    <s v="Ctrl"/>
    <x v="0"/>
    <x v="7"/>
    <s v="AR"/>
    <x v="26"/>
    <n v="38471.800000000003"/>
    <b v="1"/>
    <n v="38471.800000000003"/>
    <x v="0"/>
    <s v="Assets"/>
    <s v="Rec-Pay"/>
    <x v="0"/>
    <x v="0"/>
    <x v="1"/>
    <x v="2"/>
    <x v="7"/>
    <x v="0"/>
    <x v="0"/>
    <x v="0"/>
  </r>
  <r>
    <x v="0"/>
    <x v="0"/>
    <s v="Ctrl"/>
    <x v="0"/>
    <x v="7"/>
    <s v="AR"/>
    <x v="27"/>
    <n v="3394.82"/>
    <b v="1"/>
    <n v="3394.82"/>
    <x v="0"/>
    <s v="Assets"/>
    <s v="Rec-Pay"/>
    <x v="0"/>
    <x v="0"/>
    <x v="1"/>
    <x v="2"/>
    <x v="7"/>
    <x v="0"/>
    <x v="0"/>
    <x v="0"/>
  </r>
  <r>
    <x v="0"/>
    <x v="0"/>
    <s v="Ctrl"/>
    <x v="0"/>
    <x v="7"/>
    <s v="AR"/>
    <x v="28"/>
    <n v="9243"/>
    <b v="1"/>
    <n v="9243"/>
    <x v="0"/>
    <s v="Assets"/>
    <s v="Rec-Pay"/>
    <x v="0"/>
    <x v="0"/>
    <x v="1"/>
    <x v="2"/>
    <x v="7"/>
    <x v="0"/>
    <x v="0"/>
    <x v="0"/>
  </r>
  <r>
    <x v="0"/>
    <x v="0"/>
    <s v="Ctrl"/>
    <x v="0"/>
    <x v="7"/>
    <s v="AR"/>
    <x v="29"/>
    <n v="163630.56"/>
    <b v="1"/>
    <n v="163630.56"/>
    <x v="0"/>
    <s v="Assets"/>
    <s v="Rec-Pay"/>
    <x v="0"/>
    <x v="0"/>
    <x v="1"/>
    <x v="2"/>
    <x v="7"/>
    <x v="0"/>
    <x v="0"/>
    <x v="0"/>
  </r>
  <r>
    <x v="0"/>
    <x v="0"/>
    <s v="Ctrl"/>
    <x v="0"/>
    <x v="7"/>
    <s v="AR"/>
    <x v="30"/>
    <n v="22937.1"/>
    <b v="1"/>
    <n v="22937.1"/>
    <x v="0"/>
    <s v="Assets"/>
    <s v="Rec-Pay"/>
    <x v="0"/>
    <x v="0"/>
    <x v="1"/>
    <x v="2"/>
    <x v="7"/>
    <x v="0"/>
    <x v="0"/>
    <x v="0"/>
  </r>
  <r>
    <x v="0"/>
    <x v="0"/>
    <s v="Ctrl"/>
    <x v="0"/>
    <x v="7"/>
    <s v="AR"/>
    <x v="31"/>
    <n v="811.3"/>
    <b v="1"/>
    <n v="811.3"/>
    <x v="0"/>
    <s v="Assets"/>
    <s v="Rec-Pay"/>
    <x v="0"/>
    <x v="0"/>
    <x v="1"/>
    <x v="2"/>
    <x v="7"/>
    <x v="0"/>
    <x v="0"/>
    <x v="0"/>
  </r>
  <r>
    <x v="0"/>
    <x v="0"/>
    <s v="Ctrl"/>
    <x v="0"/>
    <x v="7"/>
    <s v="AR"/>
    <x v="32"/>
    <n v="150000"/>
    <b v="1"/>
    <n v="150000"/>
    <x v="0"/>
    <s v="Assets"/>
    <s v="Rec-Pay"/>
    <x v="0"/>
    <x v="0"/>
    <x v="1"/>
    <x v="2"/>
    <x v="7"/>
    <x v="0"/>
    <x v="0"/>
    <x v="0"/>
  </r>
  <r>
    <x v="0"/>
    <x v="0"/>
    <s v="Ctrl"/>
    <x v="0"/>
    <x v="7"/>
    <s v="Depo"/>
    <x v="23"/>
    <n v="38389.65"/>
    <b v="1"/>
    <n v="38389.65"/>
    <x v="0"/>
    <s v="Assets"/>
    <s v="Prep-Sub"/>
    <x v="0"/>
    <x v="0"/>
    <x v="2"/>
    <x v="4"/>
    <x v="7"/>
    <x v="0"/>
    <x v="0"/>
    <x v="0"/>
  </r>
  <r>
    <x v="0"/>
    <x v="0"/>
    <s v="Ctrl"/>
    <x v="0"/>
    <x v="1"/>
    <s v="AR"/>
    <x v="33"/>
    <n v="25551.3"/>
    <b v="1"/>
    <n v="25551.3"/>
    <x v="0"/>
    <s v="Assets"/>
    <s v="Rec-Pay"/>
    <x v="0"/>
    <x v="0"/>
    <x v="1"/>
    <x v="2"/>
    <x v="1"/>
    <x v="0"/>
    <x v="0"/>
    <x v="0"/>
  </r>
  <r>
    <x v="0"/>
    <x v="0"/>
    <s v="Ctrl"/>
    <x v="0"/>
    <x v="4"/>
    <s v="Order"/>
    <x v="34"/>
    <n v="130521.15"/>
    <b v="1"/>
    <n v="130521.15"/>
    <x v="0"/>
    <s v="Assets"/>
    <s v="Prep-Sub"/>
    <x v="0"/>
    <x v="0"/>
    <x v="2"/>
    <x v="6"/>
    <x v="4"/>
    <x v="0"/>
    <x v="0"/>
    <x v="0"/>
  </r>
  <r>
    <x v="0"/>
    <x v="0"/>
    <s v="Ctrl"/>
    <x v="0"/>
    <x v="0"/>
    <s v="Order"/>
    <x v="34"/>
    <n v="87645.27"/>
    <b v="1"/>
    <n v="87645.27"/>
    <x v="0"/>
    <s v="Assets"/>
    <s v="Prep-Sub"/>
    <x v="0"/>
    <x v="0"/>
    <x v="2"/>
    <x v="6"/>
    <x v="0"/>
    <x v="0"/>
    <x v="0"/>
    <x v="0"/>
  </r>
  <r>
    <x v="0"/>
    <x v="0"/>
    <s v="Ctrl"/>
    <x v="0"/>
    <x v="2"/>
    <s v="Order"/>
    <x v="35"/>
    <n v="99417.5"/>
    <b v="1"/>
    <n v="99417.5"/>
    <x v="0"/>
    <s v="Assets"/>
    <s v="Prep-Sub"/>
    <x v="0"/>
    <x v="0"/>
    <x v="2"/>
    <x v="6"/>
    <x v="2"/>
    <x v="0"/>
    <x v="0"/>
    <x v="0"/>
  </r>
  <r>
    <x v="0"/>
    <x v="0"/>
    <s v="Ctrl"/>
    <x v="0"/>
    <x v="6"/>
    <s v="Order"/>
    <x v="34"/>
    <n v="1225"/>
    <b v="1"/>
    <n v="1225"/>
    <x v="0"/>
    <s v="Assets"/>
    <s v="Prep-Sub"/>
    <x v="0"/>
    <x v="0"/>
    <x v="2"/>
    <x v="6"/>
    <x v="6"/>
    <x v="0"/>
    <x v="0"/>
    <x v="0"/>
  </r>
  <r>
    <x v="0"/>
    <x v="0"/>
    <s v="Ctrl"/>
    <x v="0"/>
    <x v="7"/>
    <s v="Curr"/>
    <x v="36"/>
    <n v="192761.82"/>
    <b v="1"/>
    <n v="192761.82"/>
    <x v="0"/>
    <s v="Assets"/>
    <s v="Invtr"/>
    <x v="0"/>
    <x v="0"/>
    <x v="3"/>
    <x v="7"/>
    <x v="7"/>
    <x v="0"/>
    <x v="0"/>
    <x v="0"/>
  </r>
  <r>
    <x v="0"/>
    <x v="0"/>
    <s v="Ctrl"/>
    <x v="0"/>
    <x v="6"/>
    <s v="Curr"/>
    <x v="37"/>
    <n v="242182.81"/>
    <b v="1"/>
    <n v="242182.81"/>
    <x v="0"/>
    <s v="Assets"/>
    <s v="Invtr"/>
    <x v="0"/>
    <x v="0"/>
    <x v="3"/>
    <x v="7"/>
    <x v="6"/>
    <x v="0"/>
    <x v="0"/>
    <x v="0"/>
  </r>
  <r>
    <x v="0"/>
    <x v="0"/>
    <s v="Ctrl"/>
    <x v="0"/>
    <x v="0"/>
    <s v="Curr"/>
    <x v="38"/>
    <n v="10513383.689999999"/>
    <b v="1"/>
    <n v="10513383.689999999"/>
    <x v="0"/>
    <s v="Assets"/>
    <s v="Invtr"/>
    <x v="0"/>
    <x v="0"/>
    <x v="3"/>
    <x v="7"/>
    <x v="0"/>
    <x v="0"/>
    <x v="0"/>
    <x v="0"/>
  </r>
  <r>
    <x v="0"/>
    <x v="0"/>
    <s v="Ctrl"/>
    <x v="0"/>
    <x v="7"/>
    <s v="Property"/>
    <x v="39"/>
    <n v="2949723.27"/>
    <b v="1"/>
    <n v="2949723.27"/>
    <x v="0"/>
    <s v="Assets"/>
    <s v="PP&amp;E"/>
    <x v="0"/>
    <x v="0"/>
    <x v="4"/>
    <x v="8"/>
    <x v="7"/>
    <x v="0"/>
    <x v="0"/>
    <x v="0"/>
  </r>
  <r>
    <x v="0"/>
    <x v="0"/>
    <s v="Ctrl"/>
    <x v="0"/>
    <x v="7"/>
    <s v="Property"/>
    <x v="40"/>
    <n v="21129338.43"/>
    <b v="1"/>
    <n v="21129338.43"/>
    <x v="0"/>
    <s v="Assets"/>
    <s v="PP&amp;E"/>
    <x v="0"/>
    <x v="0"/>
    <x v="4"/>
    <x v="8"/>
    <x v="7"/>
    <x v="0"/>
    <x v="0"/>
    <x v="0"/>
  </r>
  <r>
    <x v="0"/>
    <x v="0"/>
    <s v="Ctrl"/>
    <x v="0"/>
    <x v="7"/>
    <s v="Property"/>
    <x v="41"/>
    <n v="-5217130.03"/>
    <b v="1"/>
    <n v="-5217130.03"/>
    <x v="0"/>
    <s v="Assets"/>
    <s v="PP&amp;E"/>
    <x v="0"/>
    <x v="0"/>
    <x v="4"/>
    <x v="8"/>
    <x v="7"/>
    <x v="0"/>
    <x v="0"/>
    <x v="0"/>
  </r>
  <r>
    <x v="0"/>
    <x v="0"/>
    <s v="Ctrl"/>
    <x v="0"/>
    <x v="5"/>
    <s v="Property"/>
    <x v="42"/>
    <n v="6467900"/>
    <b v="1"/>
    <n v="6467900"/>
    <x v="0"/>
    <s v="Assets"/>
    <s v="PP&amp;E"/>
    <x v="0"/>
    <x v="0"/>
    <x v="4"/>
    <x v="8"/>
    <x v="5"/>
    <x v="0"/>
    <x v="0"/>
    <x v="0"/>
  </r>
  <r>
    <x v="0"/>
    <x v="0"/>
    <s v="Ctrl"/>
    <x v="0"/>
    <x v="5"/>
    <s v="Property"/>
    <x v="43"/>
    <n v="-1065602.3999999999"/>
    <b v="1"/>
    <n v="-1065602.3999999999"/>
    <x v="0"/>
    <s v="Assets"/>
    <s v="PP&amp;E"/>
    <x v="0"/>
    <x v="0"/>
    <x v="4"/>
    <x v="8"/>
    <x v="5"/>
    <x v="0"/>
    <x v="0"/>
    <x v="0"/>
  </r>
  <r>
    <x v="0"/>
    <x v="0"/>
    <s v="Ctrl"/>
    <x v="0"/>
    <x v="4"/>
    <s v="Eq-Inv"/>
    <x v="44"/>
    <n v="2000000"/>
    <b v="1"/>
    <n v="2000000"/>
    <x v="0"/>
    <s v="Assets"/>
    <s v="Invest-LTD"/>
    <x v="0"/>
    <x v="0"/>
    <x v="5"/>
    <x v="9"/>
    <x v="4"/>
    <x v="0"/>
    <x v="0"/>
    <x v="0"/>
  </r>
  <r>
    <x v="0"/>
    <x v="0"/>
    <s v="Ctrl"/>
    <x v="0"/>
    <x v="4"/>
    <s v="Eq-Inv"/>
    <x v="45"/>
    <n v="100000"/>
    <b v="1"/>
    <n v="100000"/>
    <x v="0"/>
    <s v="Assets"/>
    <s v="Invest-LTD"/>
    <x v="0"/>
    <x v="0"/>
    <x v="5"/>
    <x v="9"/>
    <x v="4"/>
    <x v="0"/>
    <x v="0"/>
    <x v="0"/>
  </r>
  <r>
    <x v="0"/>
    <x v="0"/>
    <s v="Ctrl"/>
    <x v="0"/>
    <x v="4"/>
    <s v="AP"/>
    <x v="46"/>
    <n v="6891.7999999999993"/>
    <b v="1"/>
    <n v="-6891.7999999999993"/>
    <x v="1"/>
    <s v="Liability"/>
    <s v="Rec-Pay"/>
    <x v="0"/>
    <x v="0"/>
    <x v="1"/>
    <x v="10"/>
    <x v="4"/>
    <x v="0"/>
    <x v="0"/>
    <x v="0"/>
  </r>
  <r>
    <x v="0"/>
    <x v="0"/>
    <s v="Ctrl"/>
    <x v="0"/>
    <x v="4"/>
    <s v="ToTax"/>
    <x v="47"/>
    <n v="11047.53"/>
    <b v="1"/>
    <n v="-11047.53"/>
    <x v="1"/>
    <s v="Liability"/>
    <s v="Rec-Pay"/>
    <x v="0"/>
    <x v="0"/>
    <x v="1"/>
    <x v="11"/>
    <x v="4"/>
    <x v="0"/>
    <x v="0"/>
    <x v="0"/>
  </r>
  <r>
    <x v="0"/>
    <x v="0"/>
    <s v="Ctrl"/>
    <x v="0"/>
    <x v="4"/>
    <s v="ToTax"/>
    <x v="48"/>
    <n v="78.09"/>
    <b v="1"/>
    <n v="-78.09"/>
    <x v="1"/>
    <s v="Liability"/>
    <s v="Rec-Pay"/>
    <x v="0"/>
    <x v="0"/>
    <x v="1"/>
    <x v="11"/>
    <x v="4"/>
    <x v="0"/>
    <x v="0"/>
    <x v="0"/>
  </r>
  <r>
    <x v="0"/>
    <x v="0"/>
    <s v="Ctrl"/>
    <x v="0"/>
    <x v="4"/>
    <s v="ToTax"/>
    <x v="49"/>
    <n v="667.52"/>
    <b v="1"/>
    <n v="-667.52"/>
    <x v="1"/>
    <s v="Liability"/>
    <s v="Rec-Pay"/>
    <x v="0"/>
    <x v="0"/>
    <x v="1"/>
    <x v="11"/>
    <x v="4"/>
    <x v="0"/>
    <x v="0"/>
    <x v="0"/>
  </r>
  <r>
    <x v="0"/>
    <x v="0"/>
    <s v="Ctrl"/>
    <x v="0"/>
    <x v="4"/>
    <s v="ToTax"/>
    <x v="50"/>
    <n v="980.15"/>
    <b v="1"/>
    <n v="-980.15"/>
    <x v="1"/>
    <s v="Liability"/>
    <s v="Rec-Pay"/>
    <x v="0"/>
    <x v="0"/>
    <x v="1"/>
    <x v="11"/>
    <x v="4"/>
    <x v="0"/>
    <x v="0"/>
    <x v="0"/>
  </r>
  <r>
    <x v="0"/>
    <x v="0"/>
    <s v="Ctrl"/>
    <x v="0"/>
    <x v="4"/>
    <s v="ToTax"/>
    <x v="51"/>
    <n v="17957.240000000002"/>
    <b v="1"/>
    <n v="-17957.240000000002"/>
    <x v="1"/>
    <s v="Liability"/>
    <s v="Rec-Pay"/>
    <x v="0"/>
    <x v="0"/>
    <x v="1"/>
    <x v="11"/>
    <x v="4"/>
    <x v="0"/>
    <x v="0"/>
    <x v="0"/>
  </r>
  <r>
    <x v="0"/>
    <x v="0"/>
    <s v="Ctrl"/>
    <x v="0"/>
    <x v="4"/>
    <s v="ToEmp"/>
    <x v="52"/>
    <n v="37380.69"/>
    <b v="1"/>
    <n v="-37380.69"/>
    <x v="1"/>
    <s v="Liability"/>
    <s v="Rec-Pay"/>
    <x v="0"/>
    <x v="0"/>
    <x v="1"/>
    <x v="12"/>
    <x v="4"/>
    <x v="0"/>
    <x v="0"/>
    <x v="0"/>
  </r>
  <r>
    <x v="0"/>
    <x v="0"/>
    <s v="Ctrl"/>
    <x v="0"/>
    <x v="0"/>
    <s v="ToTax"/>
    <x v="47"/>
    <n v="379473.01"/>
    <b v="1"/>
    <n v="-379473.01"/>
    <x v="1"/>
    <s v="Liability"/>
    <s v="Rec-Pay"/>
    <x v="0"/>
    <x v="0"/>
    <x v="1"/>
    <x v="11"/>
    <x v="0"/>
    <x v="0"/>
    <x v="0"/>
    <x v="0"/>
  </r>
  <r>
    <x v="0"/>
    <x v="0"/>
    <s v="Ctrl"/>
    <x v="0"/>
    <x v="0"/>
    <s v="ToTax"/>
    <x v="49"/>
    <n v="22987.3"/>
    <b v="1"/>
    <n v="-22987.3"/>
    <x v="1"/>
    <s v="Liability"/>
    <s v="Rec-Pay"/>
    <x v="0"/>
    <x v="0"/>
    <x v="1"/>
    <x v="11"/>
    <x v="0"/>
    <x v="0"/>
    <x v="0"/>
    <x v="0"/>
  </r>
  <r>
    <x v="0"/>
    <x v="0"/>
    <s v="Ctrl"/>
    <x v="0"/>
    <x v="0"/>
    <s v="ToTax"/>
    <x v="50"/>
    <n v="583.9"/>
    <b v="1"/>
    <n v="-583.9"/>
    <x v="1"/>
    <s v="Liability"/>
    <s v="Rec-Pay"/>
    <x v="0"/>
    <x v="0"/>
    <x v="1"/>
    <x v="11"/>
    <x v="0"/>
    <x v="0"/>
    <x v="0"/>
    <x v="0"/>
  </r>
  <r>
    <x v="0"/>
    <x v="0"/>
    <s v="Ctrl"/>
    <x v="0"/>
    <x v="0"/>
    <s v="ToTax"/>
    <x v="48"/>
    <n v="1049.06"/>
    <b v="1"/>
    <n v="-1049.06"/>
    <x v="1"/>
    <s v="Liability"/>
    <s v="Rec-Pay"/>
    <x v="0"/>
    <x v="0"/>
    <x v="1"/>
    <x v="11"/>
    <x v="0"/>
    <x v="0"/>
    <x v="0"/>
    <x v="0"/>
  </r>
  <r>
    <x v="0"/>
    <x v="0"/>
    <s v="Ctrl"/>
    <x v="0"/>
    <x v="0"/>
    <s v="ToTax"/>
    <x v="51"/>
    <n v="37203.69"/>
    <b v="1"/>
    <n v="-37203.69"/>
    <x v="1"/>
    <s v="Liability"/>
    <s v="Rec-Pay"/>
    <x v="0"/>
    <x v="0"/>
    <x v="1"/>
    <x v="11"/>
    <x v="0"/>
    <x v="0"/>
    <x v="0"/>
    <x v="0"/>
  </r>
  <r>
    <x v="0"/>
    <x v="0"/>
    <s v="Ctrl"/>
    <x v="0"/>
    <x v="0"/>
    <s v="ToEmp"/>
    <x v="52"/>
    <n v="454010.9"/>
    <b v="1"/>
    <n v="-454010.9"/>
    <x v="1"/>
    <s v="Liability"/>
    <s v="Rec-Pay"/>
    <x v="0"/>
    <x v="0"/>
    <x v="1"/>
    <x v="12"/>
    <x v="0"/>
    <x v="0"/>
    <x v="0"/>
    <x v="0"/>
  </r>
  <r>
    <x v="0"/>
    <x v="0"/>
    <s v="Ctrl"/>
    <x v="0"/>
    <x v="5"/>
    <s v="ToTax"/>
    <x v="47"/>
    <n v="5178.93"/>
    <b v="1"/>
    <n v="-5178.93"/>
    <x v="1"/>
    <s v="Liability"/>
    <s v="Rec-Pay"/>
    <x v="0"/>
    <x v="0"/>
    <x v="1"/>
    <x v="11"/>
    <x v="5"/>
    <x v="0"/>
    <x v="0"/>
    <x v="0"/>
  </r>
  <r>
    <x v="0"/>
    <x v="0"/>
    <s v="Ctrl"/>
    <x v="0"/>
    <x v="5"/>
    <s v="ToTax"/>
    <x v="49"/>
    <n v="310.73"/>
    <b v="1"/>
    <n v="-310.73"/>
    <x v="1"/>
    <s v="Liability"/>
    <s v="Rec-Pay"/>
    <x v="0"/>
    <x v="0"/>
    <x v="1"/>
    <x v="11"/>
    <x v="5"/>
    <x v="0"/>
    <x v="0"/>
    <x v="0"/>
  </r>
  <r>
    <x v="0"/>
    <x v="0"/>
    <s v="Ctrl"/>
    <x v="0"/>
    <x v="5"/>
    <s v="ToEmp"/>
    <x v="52"/>
    <n v="34956.620000000003"/>
    <b v="1"/>
    <n v="-34956.620000000003"/>
    <x v="1"/>
    <s v="Liability"/>
    <s v="Rec-Pay"/>
    <x v="0"/>
    <x v="0"/>
    <x v="1"/>
    <x v="12"/>
    <x v="5"/>
    <x v="0"/>
    <x v="0"/>
    <x v="0"/>
  </r>
  <r>
    <x v="0"/>
    <x v="0"/>
    <s v="Ctrl"/>
    <x v="0"/>
    <x v="5"/>
    <s v="ToOther"/>
    <x v="53"/>
    <n v="2200"/>
    <b v="1"/>
    <n v="-2200"/>
    <x v="1"/>
    <s v="Liability"/>
    <s v="Rec-Pay"/>
    <x v="0"/>
    <x v="0"/>
    <x v="1"/>
    <x v="13"/>
    <x v="5"/>
    <x v="0"/>
    <x v="0"/>
    <x v="0"/>
  </r>
  <r>
    <x v="0"/>
    <x v="0"/>
    <s v="Ctrl"/>
    <x v="0"/>
    <x v="12"/>
    <s v="ToTax"/>
    <x v="47"/>
    <n v="4117.58"/>
    <b v="1"/>
    <n v="-4117.58"/>
    <x v="1"/>
    <s v="Liability"/>
    <s v="Rec-Pay"/>
    <x v="0"/>
    <x v="0"/>
    <x v="1"/>
    <x v="11"/>
    <x v="12"/>
    <x v="0"/>
    <x v="0"/>
    <x v="0"/>
  </r>
  <r>
    <x v="0"/>
    <x v="0"/>
    <s v="Ctrl"/>
    <x v="0"/>
    <x v="12"/>
    <s v="ToTax"/>
    <x v="49"/>
    <n v="205.87"/>
    <b v="1"/>
    <n v="-205.87"/>
    <x v="1"/>
    <s v="Liability"/>
    <s v="Rec-Pay"/>
    <x v="0"/>
    <x v="0"/>
    <x v="1"/>
    <x v="11"/>
    <x v="12"/>
    <x v="0"/>
    <x v="0"/>
    <x v="0"/>
  </r>
  <r>
    <x v="0"/>
    <x v="0"/>
    <s v="Ctrl"/>
    <x v="0"/>
    <x v="12"/>
    <s v="ToTax"/>
    <x v="50"/>
    <n v="2.96"/>
    <b v="1"/>
    <n v="-2.96"/>
    <x v="1"/>
    <s v="Liability"/>
    <s v="Rec-Pay"/>
    <x v="0"/>
    <x v="0"/>
    <x v="1"/>
    <x v="11"/>
    <x v="12"/>
    <x v="0"/>
    <x v="0"/>
    <x v="0"/>
  </r>
  <r>
    <x v="0"/>
    <x v="0"/>
    <s v="Ctrl"/>
    <x v="0"/>
    <x v="12"/>
    <s v="ToTax"/>
    <x v="51"/>
    <n v="11399.28"/>
    <b v="1"/>
    <n v="-11399.28"/>
    <x v="1"/>
    <s v="Liability"/>
    <s v="Rec-Pay"/>
    <x v="0"/>
    <x v="0"/>
    <x v="1"/>
    <x v="11"/>
    <x v="12"/>
    <x v="0"/>
    <x v="0"/>
    <x v="0"/>
  </r>
  <r>
    <x v="0"/>
    <x v="0"/>
    <s v="Ctrl"/>
    <x v="0"/>
    <x v="12"/>
    <s v="ToEmp"/>
    <x v="52"/>
    <n v="33541.86"/>
    <b v="1"/>
    <n v="-33541.86"/>
    <x v="1"/>
    <s v="Liability"/>
    <s v="Rec-Pay"/>
    <x v="0"/>
    <x v="0"/>
    <x v="1"/>
    <x v="12"/>
    <x v="12"/>
    <x v="0"/>
    <x v="0"/>
    <x v="0"/>
  </r>
  <r>
    <x v="0"/>
    <x v="0"/>
    <s v="Ctrl"/>
    <x v="0"/>
    <x v="3"/>
    <s v="ToTax"/>
    <x v="47"/>
    <n v="10950.5"/>
    <b v="1"/>
    <n v="-10950.5"/>
    <x v="1"/>
    <s v="Liability"/>
    <s v="Rec-Pay"/>
    <x v="0"/>
    <x v="0"/>
    <x v="1"/>
    <x v="11"/>
    <x v="3"/>
    <x v="0"/>
    <x v="0"/>
    <x v="0"/>
  </r>
  <r>
    <x v="0"/>
    <x v="0"/>
    <s v="Ctrl"/>
    <x v="0"/>
    <x v="3"/>
    <s v="ToTax"/>
    <x v="51"/>
    <n v="30620.29"/>
    <b v="1"/>
    <n v="-30620.29"/>
    <x v="1"/>
    <s v="Liability"/>
    <s v="Rec-Pay"/>
    <x v="0"/>
    <x v="0"/>
    <x v="1"/>
    <x v="11"/>
    <x v="3"/>
    <x v="0"/>
    <x v="0"/>
    <x v="0"/>
  </r>
  <r>
    <x v="0"/>
    <x v="0"/>
    <s v="Ctrl"/>
    <x v="0"/>
    <x v="3"/>
    <s v="ToTax"/>
    <x v="49"/>
    <n v="657.03"/>
    <b v="1"/>
    <n v="-657.03"/>
    <x v="1"/>
    <s v="Liability"/>
    <s v="Rec-Pay"/>
    <x v="0"/>
    <x v="0"/>
    <x v="1"/>
    <x v="11"/>
    <x v="3"/>
    <x v="0"/>
    <x v="0"/>
    <x v="0"/>
  </r>
  <r>
    <x v="0"/>
    <x v="0"/>
    <s v="Ctrl"/>
    <x v="0"/>
    <x v="3"/>
    <s v="ToTax"/>
    <x v="50"/>
    <n v="5.0199999999999996"/>
    <b v="1"/>
    <n v="-5.0199999999999996"/>
    <x v="1"/>
    <s v="Liability"/>
    <s v="Rec-Pay"/>
    <x v="0"/>
    <x v="0"/>
    <x v="1"/>
    <x v="11"/>
    <x v="3"/>
    <x v="0"/>
    <x v="0"/>
    <x v="0"/>
  </r>
  <r>
    <x v="0"/>
    <x v="0"/>
    <s v="Ctrl"/>
    <x v="0"/>
    <x v="3"/>
    <s v="ToEmp"/>
    <x v="52"/>
    <n v="76031.259999999995"/>
    <b v="1"/>
    <n v="-76031.259999999995"/>
    <x v="1"/>
    <s v="Liability"/>
    <s v="Rec-Pay"/>
    <x v="0"/>
    <x v="0"/>
    <x v="1"/>
    <x v="12"/>
    <x v="3"/>
    <x v="0"/>
    <x v="0"/>
    <x v="0"/>
  </r>
  <r>
    <x v="0"/>
    <x v="0"/>
    <s v="Ctrl"/>
    <x v="0"/>
    <x v="2"/>
    <s v="ToTax"/>
    <x v="54"/>
    <n v="40000"/>
    <b v="1"/>
    <n v="-40000"/>
    <x v="1"/>
    <s v="Liability"/>
    <s v="Rec-Pay"/>
    <x v="0"/>
    <x v="0"/>
    <x v="1"/>
    <x v="11"/>
    <x v="2"/>
    <x v="0"/>
    <x v="0"/>
    <x v="0"/>
  </r>
  <r>
    <x v="0"/>
    <x v="0"/>
    <s v="Ctrl"/>
    <x v="0"/>
    <x v="2"/>
    <s v="ToTax"/>
    <x v="51"/>
    <n v="20527.259999999998"/>
    <b v="1"/>
    <n v="-20527.259999999998"/>
    <x v="1"/>
    <s v="Liability"/>
    <s v="Rec-Pay"/>
    <x v="0"/>
    <x v="0"/>
    <x v="1"/>
    <x v="11"/>
    <x v="2"/>
    <x v="0"/>
    <x v="0"/>
    <x v="0"/>
  </r>
  <r>
    <x v="0"/>
    <x v="0"/>
    <s v="Ctrl"/>
    <x v="0"/>
    <x v="2"/>
    <s v="ToTax"/>
    <x v="47"/>
    <n v="15935.56"/>
    <b v="1"/>
    <n v="-15935.56"/>
    <x v="1"/>
    <s v="Liability"/>
    <s v="Rec-Pay"/>
    <x v="0"/>
    <x v="0"/>
    <x v="1"/>
    <x v="11"/>
    <x v="2"/>
    <x v="0"/>
    <x v="0"/>
    <x v="0"/>
  </r>
  <r>
    <x v="0"/>
    <x v="0"/>
    <s v="Ctrl"/>
    <x v="0"/>
    <x v="2"/>
    <s v="ToTax"/>
    <x v="49"/>
    <n v="1309.8399999999999"/>
    <b v="1"/>
    <n v="-1309.8399999999999"/>
    <x v="1"/>
    <s v="Liability"/>
    <s v="Rec-Pay"/>
    <x v="0"/>
    <x v="0"/>
    <x v="1"/>
    <x v="11"/>
    <x v="2"/>
    <x v="0"/>
    <x v="0"/>
    <x v="0"/>
  </r>
  <r>
    <x v="0"/>
    <x v="0"/>
    <s v="Ctrl"/>
    <x v="0"/>
    <x v="2"/>
    <s v="ToEmp"/>
    <x v="52"/>
    <n v="18440"/>
    <b v="1"/>
    <n v="-18440"/>
    <x v="1"/>
    <s v="Liability"/>
    <s v="Rec-Pay"/>
    <x v="0"/>
    <x v="0"/>
    <x v="1"/>
    <x v="12"/>
    <x v="2"/>
    <x v="0"/>
    <x v="0"/>
    <x v="0"/>
  </r>
  <r>
    <x v="0"/>
    <x v="0"/>
    <s v="Ctrl"/>
    <x v="0"/>
    <x v="6"/>
    <s v="ToTax"/>
    <x v="47"/>
    <n v="12329.72"/>
    <b v="1"/>
    <n v="-12329.72"/>
    <x v="1"/>
    <s v="Liability"/>
    <s v="Rec-Pay"/>
    <x v="0"/>
    <x v="0"/>
    <x v="1"/>
    <x v="11"/>
    <x v="6"/>
    <x v="0"/>
    <x v="0"/>
    <x v="0"/>
  </r>
  <r>
    <x v="0"/>
    <x v="0"/>
    <s v="Ctrl"/>
    <x v="0"/>
    <x v="6"/>
    <s v="ToTax"/>
    <x v="49"/>
    <n v="856.77"/>
    <b v="1"/>
    <n v="-856.77"/>
    <x v="1"/>
    <s v="Liability"/>
    <s v="Rec-Pay"/>
    <x v="0"/>
    <x v="0"/>
    <x v="1"/>
    <x v="11"/>
    <x v="6"/>
    <x v="0"/>
    <x v="0"/>
    <x v="0"/>
  </r>
  <r>
    <x v="0"/>
    <x v="0"/>
    <s v="Ctrl"/>
    <x v="0"/>
    <x v="6"/>
    <s v="ToTax"/>
    <x v="50"/>
    <n v="72.72"/>
    <b v="1"/>
    <n v="-72.72"/>
    <x v="1"/>
    <s v="Liability"/>
    <s v="Rec-Pay"/>
    <x v="0"/>
    <x v="0"/>
    <x v="1"/>
    <x v="11"/>
    <x v="6"/>
    <x v="0"/>
    <x v="0"/>
    <x v="0"/>
  </r>
  <r>
    <x v="0"/>
    <x v="0"/>
    <s v="Ctrl"/>
    <x v="0"/>
    <x v="6"/>
    <s v="ToTax"/>
    <x v="51"/>
    <n v="17202.16"/>
    <b v="1"/>
    <n v="-17202.16"/>
    <x v="1"/>
    <s v="Liability"/>
    <s v="Rec-Pay"/>
    <x v="0"/>
    <x v="0"/>
    <x v="1"/>
    <x v="11"/>
    <x v="6"/>
    <x v="0"/>
    <x v="0"/>
    <x v="0"/>
  </r>
  <r>
    <x v="0"/>
    <x v="0"/>
    <s v="Ctrl"/>
    <x v="0"/>
    <x v="6"/>
    <s v="ToEmp"/>
    <x v="52"/>
    <n v="156507.97"/>
    <b v="1"/>
    <n v="-156507.97"/>
    <x v="1"/>
    <s v="Liability"/>
    <s v="Rec-Pay"/>
    <x v="0"/>
    <x v="0"/>
    <x v="1"/>
    <x v="12"/>
    <x v="6"/>
    <x v="0"/>
    <x v="0"/>
    <x v="0"/>
  </r>
  <r>
    <x v="0"/>
    <x v="0"/>
    <s v="Ctrl"/>
    <x v="0"/>
    <x v="6"/>
    <s v="MemShip"/>
    <x v="55"/>
    <n v="50507.19"/>
    <b v="1"/>
    <n v="-50507.19"/>
    <x v="1"/>
    <s v="Liability"/>
    <s v="Cash alike"/>
    <x v="0"/>
    <x v="0"/>
    <x v="0"/>
    <x v="14"/>
    <x v="6"/>
    <x v="0"/>
    <x v="0"/>
    <x v="0"/>
  </r>
  <r>
    <x v="0"/>
    <x v="0"/>
    <s v="Ctrl"/>
    <x v="0"/>
    <x v="7"/>
    <s v="ToTax"/>
    <x v="56"/>
    <n v="12351.18"/>
    <b v="1"/>
    <n v="-12351.18"/>
    <x v="1"/>
    <s v="Liability"/>
    <s v="Rec-Pay"/>
    <x v="0"/>
    <x v="0"/>
    <x v="1"/>
    <x v="11"/>
    <x v="7"/>
    <x v="0"/>
    <x v="0"/>
    <x v="0"/>
  </r>
  <r>
    <x v="0"/>
    <x v="0"/>
    <s v="Ctrl"/>
    <x v="0"/>
    <x v="7"/>
    <s v="ToEmp"/>
    <x v="52"/>
    <n v="112127.37"/>
    <b v="1"/>
    <n v="-112127.37"/>
    <x v="1"/>
    <s v="Liability"/>
    <s v="Rec-Pay"/>
    <x v="0"/>
    <x v="0"/>
    <x v="1"/>
    <x v="12"/>
    <x v="7"/>
    <x v="0"/>
    <x v="0"/>
    <x v="0"/>
  </r>
  <r>
    <x v="0"/>
    <x v="0"/>
    <s v="Ctrl"/>
    <x v="0"/>
    <x v="7"/>
    <s v="MemShip"/>
    <x v="57"/>
    <n v="389468.04000000004"/>
    <b v="1"/>
    <n v="-389468.04000000004"/>
    <x v="1"/>
    <s v="Liability"/>
    <s v="Cash alike"/>
    <x v="0"/>
    <x v="0"/>
    <x v="0"/>
    <x v="14"/>
    <x v="7"/>
    <x v="0"/>
    <x v="0"/>
    <x v="0"/>
  </r>
  <r>
    <x v="0"/>
    <x v="0"/>
    <s v="Ctrl"/>
    <x v="0"/>
    <x v="7"/>
    <s v="ToOther"/>
    <x v="58"/>
    <n v="5997.5"/>
    <b v="1"/>
    <n v="-5997.5"/>
    <x v="1"/>
    <s v="Liability"/>
    <s v="Rec-Pay"/>
    <x v="0"/>
    <x v="0"/>
    <x v="1"/>
    <x v="13"/>
    <x v="7"/>
    <x v="0"/>
    <x v="0"/>
    <x v="0"/>
  </r>
  <r>
    <x v="0"/>
    <x v="0"/>
    <s v="Ctrl"/>
    <x v="0"/>
    <x v="7"/>
    <s v="AP"/>
    <x v="59"/>
    <n v="25551.3"/>
    <b v="1"/>
    <n v="-25551.3"/>
    <x v="1"/>
    <s v="Liability"/>
    <s v="Rec-Pay"/>
    <x v="0"/>
    <x v="0"/>
    <x v="1"/>
    <x v="10"/>
    <x v="7"/>
    <x v="0"/>
    <x v="0"/>
    <x v="0"/>
  </r>
  <r>
    <x v="0"/>
    <x v="0"/>
    <s v="Ctrl"/>
    <x v="0"/>
    <x v="7"/>
    <s v="APIC"/>
    <x v="60"/>
    <n v="14402045"/>
    <b v="1"/>
    <n v="-14402045"/>
    <x v="1"/>
    <s v="Equity"/>
    <s v="Cap"/>
    <x v="0"/>
    <x v="0"/>
    <x v="6"/>
    <x v="15"/>
    <x v="7"/>
    <x v="0"/>
    <x v="0"/>
    <x v="0"/>
  </r>
  <r>
    <x v="0"/>
    <x v="0"/>
    <s v="Ctrl"/>
    <x v="0"/>
    <x v="0"/>
    <s v="Common"/>
    <x v="61"/>
    <n v="1000000"/>
    <b v="1"/>
    <n v="-1000000"/>
    <x v="1"/>
    <s v="Equity"/>
    <s v="Cap"/>
    <x v="0"/>
    <x v="0"/>
    <x v="6"/>
    <x v="16"/>
    <x v="0"/>
    <x v="0"/>
    <x v="0"/>
    <x v="0"/>
  </r>
  <r>
    <x v="0"/>
    <x v="0"/>
    <s v="Ctrl"/>
    <x v="0"/>
    <x v="6"/>
    <s v="Common"/>
    <x v="61"/>
    <n v="100000"/>
    <b v="1"/>
    <n v="-100000"/>
    <x v="1"/>
    <s v="Equity"/>
    <s v="Cap"/>
    <x v="0"/>
    <x v="0"/>
    <x v="6"/>
    <x v="16"/>
    <x v="6"/>
    <x v="0"/>
    <x v="0"/>
    <x v="0"/>
  </r>
  <r>
    <x v="0"/>
    <x v="0"/>
    <s v="Ctrl"/>
    <x v="0"/>
    <x v="3"/>
    <s v="Common"/>
    <x v="61"/>
    <n v="100000"/>
    <b v="1"/>
    <n v="-100000"/>
    <x v="1"/>
    <s v="Equity"/>
    <s v="Cap"/>
    <x v="0"/>
    <x v="0"/>
    <x v="6"/>
    <x v="16"/>
    <x v="3"/>
    <x v="0"/>
    <x v="0"/>
    <x v="0"/>
  </r>
  <r>
    <x v="0"/>
    <x v="0"/>
    <s v="Ctrl"/>
    <x v="0"/>
    <x v="12"/>
    <s v="Common"/>
    <x v="61"/>
    <n v="500000"/>
    <b v="1"/>
    <n v="-500000"/>
    <x v="1"/>
    <s v="Equity"/>
    <s v="Cap"/>
    <x v="0"/>
    <x v="0"/>
    <x v="6"/>
    <x v="16"/>
    <x v="12"/>
    <x v="0"/>
    <x v="0"/>
    <x v="0"/>
  </r>
  <r>
    <x v="0"/>
    <x v="0"/>
    <s v="Ctrl"/>
    <x v="0"/>
    <x v="2"/>
    <s v="Common"/>
    <x v="61"/>
    <n v="100000"/>
    <b v="1"/>
    <n v="-100000"/>
    <x v="1"/>
    <s v="Equity"/>
    <s v="Cap"/>
    <x v="0"/>
    <x v="0"/>
    <x v="6"/>
    <x v="16"/>
    <x v="2"/>
    <x v="0"/>
    <x v="0"/>
    <x v="0"/>
  </r>
  <r>
    <x v="0"/>
    <x v="0"/>
    <s v="Ctrl"/>
    <x v="0"/>
    <x v="4"/>
    <s v="Common"/>
    <x v="61"/>
    <n v="13236191"/>
    <b v="1"/>
    <n v="-13236191"/>
    <x v="1"/>
    <s v="Equity"/>
    <s v="Cap"/>
    <x v="0"/>
    <x v="0"/>
    <x v="6"/>
    <x v="16"/>
    <x v="4"/>
    <x v="0"/>
    <x v="0"/>
    <x v="0"/>
  </r>
  <r>
    <x v="0"/>
    <x v="0"/>
    <s v="Ctrl"/>
    <x v="0"/>
    <x v="7"/>
    <s v="Common"/>
    <x v="61"/>
    <n v="10000000"/>
    <b v="1"/>
    <n v="-10000000"/>
    <x v="1"/>
    <s v="Equity"/>
    <s v="Cap"/>
    <x v="0"/>
    <x v="0"/>
    <x v="6"/>
    <x v="16"/>
    <x v="7"/>
    <x v="0"/>
    <x v="0"/>
    <x v="0"/>
  </r>
  <r>
    <x v="0"/>
    <x v="0"/>
    <s v="Ctrl"/>
    <x v="0"/>
    <x v="4"/>
    <s v="RE"/>
    <x v="62"/>
    <n v="8234395.1700000102"/>
    <b v="1"/>
    <n v="-8234395.1700000102"/>
    <x v="1"/>
    <s v="Equity"/>
    <s v="Rsv"/>
    <x v="0"/>
    <x v="0"/>
    <x v="7"/>
    <x v="17"/>
    <x v="4"/>
    <x v="0"/>
    <x v="0"/>
    <x v="0"/>
  </r>
  <r>
    <x v="0"/>
    <x v="0"/>
    <s v="Ctrl"/>
    <x v="0"/>
    <x v="1"/>
    <s v="ToOther"/>
    <x v="63"/>
    <n v="18258.900000000001"/>
    <b v="1"/>
    <n v="-18258.900000000001"/>
    <x v="1"/>
    <s v="Liability"/>
    <s v="Rec-Pay"/>
    <x v="0"/>
    <x v="0"/>
    <x v="1"/>
    <x v="13"/>
    <x v="1"/>
    <x v="0"/>
    <x v="0"/>
    <x v="0"/>
  </r>
  <r>
    <x v="1"/>
    <x v="0"/>
    <s v="Ctrl"/>
    <x v="1"/>
    <x v="0"/>
    <s v="Curr"/>
    <x v="38"/>
    <n v="-10513383.689999999"/>
    <b v="1"/>
    <n v="-10513383.689999999"/>
    <x v="0"/>
    <s v="Assets"/>
    <s v="Invtr"/>
    <x v="0"/>
    <x v="0"/>
    <x v="3"/>
    <x v="7"/>
    <x v="0"/>
    <x v="0"/>
    <x v="0"/>
    <x v="0"/>
  </r>
  <r>
    <x v="1"/>
    <x v="0"/>
    <s v="Ctrl"/>
    <x v="1"/>
    <x v="0"/>
    <s v="Curr"/>
    <x v="38"/>
    <n v="3926374.9699999997"/>
    <b v="1"/>
    <n v="3926374.9699999997"/>
    <x v="0"/>
    <s v="Assets"/>
    <s v="Invtr"/>
    <x v="0"/>
    <x v="0"/>
    <x v="3"/>
    <x v="7"/>
    <x v="0"/>
    <x v="0"/>
    <x v="0"/>
    <x v="0"/>
  </r>
  <r>
    <x v="1"/>
    <x v="0"/>
    <s v="Ctrl"/>
    <x v="1"/>
    <x v="0"/>
    <s v="Curr"/>
    <x v="64"/>
    <n v="2000000"/>
    <b v="1"/>
    <n v="2000000"/>
    <x v="0"/>
    <s v="Assets"/>
    <s v="Invtr"/>
    <x v="0"/>
    <x v="0"/>
    <x v="3"/>
    <x v="7"/>
    <x v="0"/>
    <x v="0"/>
    <x v="0"/>
    <x v="0"/>
  </r>
  <r>
    <x v="1"/>
    <x v="0"/>
    <s v="Ctrl"/>
    <x v="1"/>
    <x v="0"/>
    <s v="Old"/>
    <x v="65"/>
    <n v="7473076.1599999992"/>
    <b v="1"/>
    <n v="7473076.1599999992"/>
    <x v="0"/>
    <s v="Assets"/>
    <s v="Invtr"/>
    <x v="0"/>
    <x v="0"/>
    <x v="3"/>
    <x v="18"/>
    <x v="0"/>
    <x v="0"/>
    <x v="0"/>
    <x v="0"/>
  </r>
  <r>
    <x v="1"/>
    <x v="0"/>
    <s v="Ctrl"/>
    <x v="1"/>
    <x v="0"/>
    <s v="RE"/>
    <x v="62"/>
    <n v="2886067.4399999995"/>
    <b v="1"/>
    <n v="-2886067.4399999995"/>
    <x v="1"/>
    <s v="Equity"/>
    <s v="Rsv"/>
    <x v="0"/>
    <x v="0"/>
    <x v="7"/>
    <x v="17"/>
    <x v="0"/>
    <x v="0"/>
    <x v="0"/>
    <x v="0"/>
  </r>
  <r>
    <x v="2"/>
    <x v="0"/>
    <s v="Ctrl"/>
    <x v="2"/>
    <x v="0"/>
    <s v="Old"/>
    <x v="66"/>
    <n v="-7473076.1599999992"/>
    <b v="1"/>
    <n v="-7473076.1599999992"/>
    <x v="0"/>
    <s v="Assets"/>
    <s v="Invtr"/>
    <x v="0"/>
    <x v="0"/>
    <x v="3"/>
    <x v="18"/>
    <x v="0"/>
    <x v="0"/>
    <x v="0"/>
    <x v="0"/>
  </r>
  <r>
    <x v="2"/>
    <x v="0"/>
    <s v="Ctrl"/>
    <x v="2"/>
    <x v="0"/>
    <s v="RE"/>
    <x v="62"/>
    <n v="-7473076.1599999992"/>
    <b v="1"/>
    <n v="7473076.1599999992"/>
    <x v="1"/>
    <s v="Equity"/>
    <s v="Rsv"/>
    <x v="0"/>
    <x v="0"/>
    <x v="7"/>
    <x v="17"/>
    <x v="0"/>
    <x v="0"/>
    <x v="0"/>
    <x v="0"/>
  </r>
  <r>
    <x v="3"/>
    <x v="1"/>
    <s v="GM"/>
    <x v="3"/>
    <x v="2"/>
    <s v="Bank"/>
    <x v="2"/>
    <n v="-481.6"/>
    <b v="1"/>
    <n v="-481.6"/>
    <x v="0"/>
    <s v="Assets"/>
    <s v="Cash alike"/>
    <x v="1"/>
    <x v="1"/>
    <x v="0"/>
    <x v="0"/>
    <x v="2"/>
    <x v="1"/>
    <x v="0"/>
    <x v="1"/>
  </r>
  <r>
    <x v="4"/>
    <x v="1"/>
    <s v="Online"/>
    <x v="4"/>
    <x v="2"/>
    <s v="Order"/>
    <x v="35"/>
    <n v="38891.199999999997"/>
    <b v="1"/>
    <n v="38891.199999999997"/>
    <x v="0"/>
    <s v="Assets"/>
    <s v="Prep-Sub"/>
    <x v="2"/>
    <x v="1"/>
    <x v="2"/>
    <x v="6"/>
    <x v="2"/>
    <x v="2"/>
    <x v="0"/>
    <x v="1"/>
  </r>
  <r>
    <x v="4"/>
    <x v="1"/>
    <s v="Online"/>
    <x v="4"/>
    <x v="2"/>
    <s v="Bank"/>
    <x v="2"/>
    <n v="-38891.199999999997"/>
    <b v="1"/>
    <n v="-38891.199999999997"/>
    <x v="0"/>
    <s v="Assets"/>
    <s v="Cash alike"/>
    <x v="2"/>
    <x v="1"/>
    <x v="0"/>
    <x v="0"/>
    <x v="2"/>
    <x v="2"/>
    <x v="0"/>
    <x v="1"/>
  </r>
  <r>
    <x v="5"/>
    <x v="1"/>
    <s v="Online"/>
    <x v="5"/>
    <x v="0"/>
    <s v="Curr"/>
    <x v="38"/>
    <n v="52967.199999999997"/>
    <b v="1"/>
    <n v="52967.199999999997"/>
    <x v="0"/>
    <s v="Assets"/>
    <s v="Invtr"/>
    <x v="2"/>
    <x v="1"/>
    <x v="3"/>
    <x v="7"/>
    <x v="0"/>
    <x v="2"/>
    <x v="0"/>
    <x v="1"/>
  </r>
  <r>
    <x v="5"/>
    <x v="1"/>
    <s v="Online"/>
    <x v="5"/>
    <x v="2"/>
    <s v="Order"/>
    <x v="35"/>
    <n v="-52967.199999999997"/>
    <b v="1"/>
    <n v="-52967.199999999997"/>
    <x v="0"/>
    <s v="Assets"/>
    <s v="Prep-Sub"/>
    <x v="2"/>
    <x v="1"/>
    <x v="2"/>
    <x v="6"/>
    <x v="2"/>
    <x v="2"/>
    <x v="0"/>
    <x v="1"/>
  </r>
  <r>
    <x v="6"/>
    <x v="1"/>
    <s v="GM"/>
    <x v="6"/>
    <x v="2"/>
    <s v="FrOther"/>
    <x v="22"/>
    <n v="1431.45"/>
    <b v="1"/>
    <n v="1431.45"/>
    <x v="0"/>
    <s v="Assets"/>
    <s v="Rec-Pay"/>
    <x v="1"/>
    <x v="1"/>
    <x v="1"/>
    <x v="3"/>
    <x v="2"/>
    <x v="1"/>
    <x v="0"/>
    <x v="1"/>
  </r>
  <r>
    <x v="6"/>
    <x v="1"/>
    <s v="GM"/>
    <x v="6"/>
    <x v="2"/>
    <s v="Bank"/>
    <x v="2"/>
    <n v="-4913.7299999999996"/>
    <b v="1"/>
    <n v="-4913.7299999999996"/>
    <x v="0"/>
    <s v="Assets"/>
    <s v="Cash alike"/>
    <x v="1"/>
    <x v="1"/>
    <x v="0"/>
    <x v="0"/>
    <x v="2"/>
    <x v="1"/>
    <x v="0"/>
    <x v="1"/>
  </r>
  <r>
    <x v="7"/>
    <x v="1"/>
    <s v="Ctrl"/>
    <x v="7"/>
    <x v="2"/>
    <s v="Bank"/>
    <x v="2"/>
    <n v="-1800"/>
    <b v="1"/>
    <n v="-1800"/>
    <x v="0"/>
    <s v="Assets"/>
    <s v="Cash alike"/>
    <x v="0"/>
    <x v="0"/>
    <x v="0"/>
    <x v="0"/>
    <x v="2"/>
    <x v="0"/>
    <x v="0"/>
    <x v="1"/>
  </r>
  <r>
    <x v="7"/>
    <x v="1"/>
    <s v="Ctrl"/>
    <x v="7"/>
    <x v="1"/>
    <s v="Bank"/>
    <x v="1"/>
    <n v="1800"/>
    <b v="1"/>
    <n v="1800"/>
    <x v="0"/>
    <s v="Assets"/>
    <s v="Cash alike"/>
    <x v="0"/>
    <x v="0"/>
    <x v="0"/>
    <x v="0"/>
    <x v="1"/>
    <x v="0"/>
    <x v="0"/>
    <x v="1"/>
  </r>
  <r>
    <x v="8"/>
    <x v="1"/>
    <s v="Online"/>
    <x v="4"/>
    <x v="2"/>
    <s v="Order"/>
    <x v="35"/>
    <n v="33000"/>
    <b v="1"/>
    <n v="33000"/>
    <x v="0"/>
    <s v="Assets"/>
    <s v="Prep-Sub"/>
    <x v="2"/>
    <x v="1"/>
    <x v="2"/>
    <x v="6"/>
    <x v="2"/>
    <x v="2"/>
    <x v="0"/>
    <x v="1"/>
  </r>
  <r>
    <x v="8"/>
    <x v="1"/>
    <s v="Online"/>
    <x v="4"/>
    <x v="2"/>
    <s v="Bank"/>
    <x v="2"/>
    <n v="-33000"/>
    <b v="1"/>
    <n v="-33000"/>
    <x v="0"/>
    <s v="Assets"/>
    <s v="Cash alike"/>
    <x v="2"/>
    <x v="1"/>
    <x v="0"/>
    <x v="0"/>
    <x v="2"/>
    <x v="2"/>
    <x v="0"/>
    <x v="1"/>
  </r>
  <r>
    <x v="9"/>
    <x v="1"/>
    <s v="GM"/>
    <x v="8"/>
    <x v="2"/>
    <s v="ToTax"/>
    <x v="54"/>
    <n v="-40000"/>
    <b v="1"/>
    <n v="40000"/>
    <x v="1"/>
    <s v="Liability"/>
    <s v="Rec-Pay"/>
    <x v="1"/>
    <x v="1"/>
    <x v="1"/>
    <x v="11"/>
    <x v="2"/>
    <x v="1"/>
    <x v="0"/>
    <x v="1"/>
  </r>
  <r>
    <x v="9"/>
    <x v="1"/>
    <s v="GM"/>
    <x v="8"/>
    <x v="2"/>
    <s v="Bank"/>
    <x v="2"/>
    <n v="-40000"/>
    <b v="1"/>
    <n v="-40000"/>
    <x v="0"/>
    <s v="Assets"/>
    <s v="Cash alike"/>
    <x v="1"/>
    <x v="1"/>
    <x v="0"/>
    <x v="0"/>
    <x v="2"/>
    <x v="1"/>
    <x v="0"/>
    <x v="1"/>
  </r>
  <r>
    <x v="10"/>
    <x v="1"/>
    <s v="GM"/>
    <x v="8"/>
    <x v="2"/>
    <s v="ToEmp"/>
    <x v="52"/>
    <n v="-18440"/>
    <b v="1"/>
    <n v="18440"/>
    <x v="1"/>
    <s v="Liability"/>
    <s v="Rec-Pay"/>
    <x v="1"/>
    <x v="1"/>
    <x v="1"/>
    <x v="12"/>
    <x v="2"/>
    <x v="1"/>
    <x v="0"/>
    <x v="1"/>
  </r>
  <r>
    <x v="10"/>
    <x v="1"/>
    <s v="GM"/>
    <x v="8"/>
    <x v="2"/>
    <s v="Bank"/>
    <x v="2"/>
    <n v="-16946.37"/>
    <b v="1"/>
    <n v="-16946.37"/>
    <x v="0"/>
    <s v="Assets"/>
    <s v="Cash alike"/>
    <x v="1"/>
    <x v="1"/>
    <x v="0"/>
    <x v="0"/>
    <x v="2"/>
    <x v="1"/>
    <x v="0"/>
    <x v="1"/>
  </r>
  <r>
    <x v="10"/>
    <x v="1"/>
    <s v="GM"/>
    <x v="8"/>
    <x v="2"/>
    <s v="FrOther"/>
    <x v="22"/>
    <n v="-1431.45"/>
    <b v="1"/>
    <n v="-1431.45"/>
    <x v="0"/>
    <s v="Assets"/>
    <s v="Rec-Pay"/>
    <x v="1"/>
    <x v="1"/>
    <x v="1"/>
    <x v="3"/>
    <x v="2"/>
    <x v="1"/>
    <x v="0"/>
    <x v="1"/>
  </r>
  <r>
    <x v="10"/>
    <x v="1"/>
    <s v="GM"/>
    <x v="8"/>
    <x v="2"/>
    <s v="ToTax"/>
    <x v="54"/>
    <n v="62.18"/>
    <b v="1"/>
    <n v="-62.18"/>
    <x v="1"/>
    <s v="Liability"/>
    <s v="Rec-Pay"/>
    <x v="1"/>
    <x v="1"/>
    <x v="1"/>
    <x v="11"/>
    <x v="2"/>
    <x v="1"/>
    <x v="0"/>
    <x v="1"/>
  </r>
  <r>
    <x v="11"/>
    <x v="1"/>
    <s v="GM"/>
    <x v="8"/>
    <x v="2"/>
    <s v="ToTax"/>
    <x v="54"/>
    <n v="-62.18"/>
    <b v="1"/>
    <n v="62.18"/>
    <x v="1"/>
    <s v="Liability"/>
    <s v="Rec-Pay"/>
    <x v="1"/>
    <x v="1"/>
    <x v="1"/>
    <x v="11"/>
    <x v="2"/>
    <x v="1"/>
    <x v="0"/>
    <x v="1"/>
  </r>
  <r>
    <x v="11"/>
    <x v="1"/>
    <s v="GM"/>
    <x v="8"/>
    <x v="2"/>
    <s v="Bank"/>
    <x v="2"/>
    <n v="-62.18"/>
    <b v="1"/>
    <n v="-62.18"/>
    <x v="0"/>
    <s v="Assets"/>
    <s v="Cash alike"/>
    <x v="1"/>
    <x v="1"/>
    <x v="0"/>
    <x v="0"/>
    <x v="2"/>
    <x v="1"/>
    <x v="0"/>
    <x v="1"/>
  </r>
  <r>
    <x v="12"/>
    <x v="1"/>
    <s v="Online"/>
    <x v="9"/>
    <x v="2"/>
    <s v="Bank"/>
    <x v="2"/>
    <n v="-655"/>
    <b v="1"/>
    <n v="-655"/>
    <x v="0"/>
    <s v="Assets"/>
    <s v="Cash alike"/>
    <x v="1"/>
    <x v="1"/>
    <x v="0"/>
    <x v="0"/>
    <x v="2"/>
    <x v="2"/>
    <x v="0"/>
    <x v="1"/>
  </r>
  <r>
    <x v="13"/>
    <x v="1"/>
    <s v="Ctrl"/>
    <x v="8"/>
    <x v="2"/>
    <s v="ToTax"/>
    <x v="47"/>
    <n v="-15935.52"/>
    <b v="1"/>
    <n v="15935.52"/>
    <x v="1"/>
    <s v="Liability"/>
    <s v="Rec-Pay"/>
    <x v="1"/>
    <x v="1"/>
    <x v="1"/>
    <x v="11"/>
    <x v="2"/>
    <x v="0"/>
    <x v="0"/>
    <x v="1"/>
  </r>
  <r>
    <x v="13"/>
    <x v="1"/>
    <s v="Ctrl"/>
    <x v="8"/>
    <x v="2"/>
    <s v="ToTax"/>
    <x v="49"/>
    <n v="-1309.8399999999999"/>
    <b v="1"/>
    <n v="1309.8399999999999"/>
    <x v="1"/>
    <s v="Liability"/>
    <s v="Rec-Pay"/>
    <x v="1"/>
    <x v="1"/>
    <x v="1"/>
    <x v="11"/>
    <x v="2"/>
    <x v="0"/>
    <x v="0"/>
    <x v="1"/>
  </r>
  <r>
    <x v="13"/>
    <x v="1"/>
    <s v="Ctrl"/>
    <x v="8"/>
    <x v="2"/>
    <s v="ToTax"/>
    <x v="51"/>
    <n v="-20527.259999999998"/>
    <b v="1"/>
    <n v="20527.259999999998"/>
    <x v="1"/>
    <s v="Liability"/>
    <s v="Rec-Pay"/>
    <x v="1"/>
    <x v="1"/>
    <x v="1"/>
    <x v="11"/>
    <x v="2"/>
    <x v="0"/>
    <x v="0"/>
    <x v="1"/>
  </r>
  <r>
    <x v="13"/>
    <x v="1"/>
    <s v="Ctrl"/>
    <x v="8"/>
    <x v="2"/>
    <s v="Bank"/>
    <x v="2"/>
    <n v="-37772.620000000003"/>
    <b v="1"/>
    <n v="-37772.620000000003"/>
    <x v="0"/>
    <s v="Assets"/>
    <s v="Cash alike"/>
    <x v="1"/>
    <x v="1"/>
    <x v="0"/>
    <x v="0"/>
    <x v="2"/>
    <x v="0"/>
    <x v="0"/>
    <x v="1"/>
  </r>
  <r>
    <x v="14"/>
    <x v="1"/>
    <s v="Online"/>
    <x v="4"/>
    <x v="2"/>
    <s v="Order"/>
    <x v="35"/>
    <n v="36301.5"/>
    <b v="1"/>
    <n v="36301.5"/>
    <x v="0"/>
    <s v="Assets"/>
    <s v="Prep-Sub"/>
    <x v="2"/>
    <x v="1"/>
    <x v="2"/>
    <x v="6"/>
    <x v="2"/>
    <x v="2"/>
    <x v="0"/>
    <x v="1"/>
  </r>
  <r>
    <x v="14"/>
    <x v="1"/>
    <s v="Online"/>
    <x v="4"/>
    <x v="2"/>
    <s v="Bank"/>
    <x v="2"/>
    <n v="-36301.5"/>
    <b v="1"/>
    <n v="-36301.5"/>
    <x v="0"/>
    <s v="Assets"/>
    <s v="Cash alike"/>
    <x v="2"/>
    <x v="1"/>
    <x v="0"/>
    <x v="0"/>
    <x v="2"/>
    <x v="2"/>
    <x v="0"/>
    <x v="1"/>
  </r>
  <r>
    <x v="15"/>
    <x v="1"/>
    <s v="Online"/>
    <x v="5"/>
    <x v="0"/>
    <s v="Curr"/>
    <x v="38"/>
    <n v="48363"/>
    <b v="1"/>
    <n v="48363"/>
    <x v="0"/>
    <s v="Assets"/>
    <s v="Invtr"/>
    <x v="2"/>
    <x v="1"/>
    <x v="3"/>
    <x v="7"/>
    <x v="0"/>
    <x v="2"/>
    <x v="0"/>
    <x v="1"/>
  </r>
  <r>
    <x v="15"/>
    <x v="1"/>
    <s v="Online"/>
    <x v="5"/>
    <x v="2"/>
    <s v="Order"/>
    <x v="35"/>
    <n v="-48363"/>
    <b v="1"/>
    <n v="-48363"/>
    <x v="0"/>
    <s v="Assets"/>
    <s v="Prep-Sub"/>
    <x v="2"/>
    <x v="1"/>
    <x v="2"/>
    <x v="6"/>
    <x v="2"/>
    <x v="2"/>
    <x v="0"/>
    <x v="1"/>
  </r>
  <r>
    <x v="16"/>
    <x v="1"/>
    <s v="Online"/>
    <x v="4"/>
    <x v="2"/>
    <s v="Order"/>
    <x v="35"/>
    <n v="82225"/>
    <b v="1"/>
    <n v="82225"/>
    <x v="0"/>
    <s v="Assets"/>
    <s v="Prep-Sub"/>
    <x v="2"/>
    <x v="1"/>
    <x v="2"/>
    <x v="6"/>
    <x v="2"/>
    <x v="2"/>
    <x v="0"/>
    <x v="1"/>
  </r>
  <r>
    <x v="16"/>
    <x v="1"/>
    <s v="Online"/>
    <x v="4"/>
    <x v="2"/>
    <s v="Bank"/>
    <x v="2"/>
    <n v="-82225"/>
    <b v="1"/>
    <n v="-82225"/>
    <x v="0"/>
    <s v="Assets"/>
    <s v="Cash alike"/>
    <x v="2"/>
    <x v="1"/>
    <x v="0"/>
    <x v="0"/>
    <x v="2"/>
    <x v="2"/>
    <x v="0"/>
    <x v="1"/>
  </r>
  <r>
    <x v="17"/>
    <x v="1"/>
    <s v="Online"/>
    <x v="5"/>
    <x v="0"/>
    <s v="Curr"/>
    <x v="38"/>
    <n v="82225"/>
    <b v="1"/>
    <n v="82225"/>
    <x v="0"/>
    <s v="Assets"/>
    <s v="Invtr"/>
    <x v="2"/>
    <x v="1"/>
    <x v="3"/>
    <x v="7"/>
    <x v="0"/>
    <x v="2"/>
    <x v="0"/>
    <x v="1"/>
  </r>
  <r>
    <x v="17"/>
    <x v="1"/>
    <s v="Online"/>
    <x v="5"/>
    <x v="2"/>
    <s v="Order"/>
    <x v="35"/>
    <n v="-82225"/>
    <b v="1"/>
    <n v="-82225"/>
    <x v="0"/>
    <s v="Assets"/>
    <s v="Prep-Sub"/>
    <x v="2"/>
    <x v="1"/>
    <x v="2"/>
    <x v="6"/>
    <x v="2"/>
    <x v="2"/>
    <x v="0"/>
    <x v="1"/>
  </r>
  <r>
    <x v="18"/>
    <x v="1"/>
    <s v="Online"/>
    <x v="10"/>
    <x v="2"/>
    <s v="Bank"/>
    <x v="2"/>
    <n v="2917.8"/>
    <b v="1"/>
    <n v="2917.8"/>
    <x v="0"/>
    <s v="Assets"/>
    <s v="Cash alike"/>
    <x v="3"/>
    <x v="1"/>
    <x v="0"/>
    <x v="0"/>
    <x v="2"/>
    <x v="2"/>
    <x v="0"/>
    <x v="1"/>
  </r>
  <r>
    <x v="19"/>
    <x v="1"/>
    <s v="Online"/>
    <x v="10"/>
    <x v="2"/>
    <s v="Bank"/>
    <x v="2"/>
    <n v="19873.7"/>
    <b v="1"/>
    <n v="19873.7"/>
    <x v="0"/>
    <s v="Assets"/>
    <s v="Cash alike"/>
    <x v="3"/>
    <x v="1"/>
    <x v="0"/>
    <x v="0"/>
    <x v="2"/>
    <x v="2"/>
    <x v="0"/>
    <x v="1"/>
  </r>
  <r>
    <x v="20"/>
    <x v="1"/>
    <s v="Online"/>
    <x v="4"/>
    <x v="2"/>
    <s v="Order"/>
    <x v="35"/>
    <n v="12408"/>
    <b v="1"/>
    <n v="12408"/>
    <x v="0"/>
    <s v="Assets"/>
    <s v="Prep-Sub"/>
    <x v="2"/>
    <x v="1"/>
    <x v="2"/>
    <x v="6"/>
    <x v="2"/>
    <x v="2"/>
    <x v="0"/>
    <x v="1"/>
  </r>
  <r>
    <x v="20"/>
    <x v="1"/>
    <s v="Online"/>
    <x v="4"/>
    <x v="2"/>
    <s v="Bank"/>
    <x v="2"/>
    <n v="-12408"/>
    <b v="1"/>
    <n v="-12408"/>
    <x v="0"/>
    <s v="Assets"/>
    <s v="Cash alike"/>
    <x v="2"/>
    <x v="1"/>
    <x v="0"/>
    <x v="0"/>
    <x v="2"/>
    <x v="2"/>
    <x v="0"/>
    <x v="1"/>
  </r>
  <r>
    <x v="21"/>
    <x v="1"/>
    <s v="Ctrl"/>
    <x v="7"/>
    <x v="2"/>
    <s v="Bank"/>
    <x v="2"/>
    <n v="421668.55"/>
    <b v="1"/>
    <n v="421668.55"/>
    <x v="0"/>
    <s v="Assets"/>
    <s v="Cash alike"/>
    <x v="0"/>
    <x v="0"/>
    <x v="0"/>
    <x v="0"/>
    <x v="2"/>
    <x v="0"/>
    <x v="0"/>
    <x v="1"/>
  </r>
  <r>
    <x v="21"/>
    <x v="1"/>
    <s v="Ctrl"/>
    <x v="7"/>
    <x v="0"/>
    <s v="Bank"/>
    <x v="0"/>
    <n v="-421668.55"/>
    <b v="1"/>
    <n v="-421668.55"/>
    <x v="0"/>
    <s v="Assets"/>
    <s v="Cash alike"/>
    <x v="0"/>
    <x v="0"/>
    <x v="0"/>
    <x v="0"/>
    <x v="0"/>
    <x v="0"/>
    <x v="0"/>
    <x v="1"/>
  </r>
  <r>
    <x v="22"/>
    <x v="1"/>
    <s v="Ctrl"/>
    <x v="7"/>
    <x v="2"/>
    <s v="Bank"/>
    <x v="2"/>
    <n v="-180000"/>
    <b v="1"/>
    <n v="-180000"/>
    <x v="0"/>
    <s v="Assets"/>
    <s v="Cash alike"/>
    <x v="0"/>
    <x v="0"/>
    <x v="0"/>
    <x v="0"/>
    <x v="2"/>
    <x v="0"/>
    <x v="0"/>
    <x v="1"/>
  </r>
  <r>
    <x v="22"/>
    <x v="1"/>
    <s v="Ctrl"/>
    <x v="7"/>
    <x v="1"/>
    <s v="Bank"/>
    <x v="1"/>
    <n v="180000"/>
    <b v="1"/>
    <n v="180000"/>
    <x v="0"/>
    <s v="Assets"/>
    <s v="Cash alike"/>
    <x v="0"/>
    <x v="0"/>
    <x v="0"/>
    <x v="0"/>
    <x v="1"/>
    <x v="0"/>
    <x v="0"/>
    <x v="1"/>
  </r>
  <r>
    <x v="23"/>
    <x v="1"/>
    <s v="Online"/>
    <x v="11"/>
    <x v="2"/>
    <s v="Bank"/>
    <x v="2"/>
    <n v="-9960"/>
    <b v="1"/>
    <n v="-9960"/>
    <x v="0"/>
    <s v="Assets"/>
    <s v="Cash alike"/>
    <x v="2"/>
    <x v="1"/>
    <x v="0"/>
    <x v="0"/>
    <x v="2"/>
    <x v="2"/>
    <x v="0"/>
    <x v="1"/>
  </r>
  <r>
    <x v="23"/>
    <x v="1"/>
    <s v="Online"/>
    <x v="11"/>
    <x v="0"/>
    <s v="Curr"/>
    <x v="38"/>
    <n v="9960"/>
    <b v="1"/>
    <n v="9960"/>
    <x v="0"/>
    <s v="Assets"/>
    <s v="Invtr"/>
    <x v="2"/>
    <x v="1"/>
    <x v="3"/>
    <x v="7"/>
    <x v="0"/>
    <x v="2"/>
    <x v="0"/>
    <x v="1"/>
  </r>
  <r>
    <x v="24"/>
    <x v="1"/>
    <s v="Online"/>
    <x v="9"/>
    <x v="2"/>
    <s v="Bank"/>
    <x v="2"/>
    <n v="-2153.5"/>
    <b v="1"/>
    <n v="-2153.5"/>
    <x v="0"/>
    <s v="Assets"/>
    <s v="Cash alike"/>
    <x v="1"/>
    <x v="1"/>
    <x v="0"/>
    <x v="0"/>
    <x v="2"/>
    <x v="2"/>
    <x v="0"/>
    <x v="1"/>
  </r>
  <r>
    <x v="25"/>
    <x v="1"/>
    <s v="Ctrl"/>
    <x v="7"/>
    <x v="2"/>
    <s v="Bank"/>
    <x v="2"/>
    <n v="-200000"/>
    <b v="1"/>
    <n v="-200000"/>
    <x v="0"/>
    <s v="Assets"/>
    <s v="Cash alike"/>
    <x v="0"/>
    <x v="0"/>
    <x v="0"/>
    <x v="0"/>
    <x v="2"/>
    <x v="0"/>
    <x v="0"/>
    <x v="1"/>
  </r>
  <r>
    <x v="25"/>
    <x v="1"/>
    <s v="Ctrl"/>
    <x v="7"/>
    <x v="1"/>
    <s v="Bank"/>
    <x v="1"/>
    <n v="200000"/>
    <b v="1"/>
    <n v="200000"/>
    <x v="0"/>
    <s v="Assets"/>
    <s v="Cash alike"/>
    <x v="0"/>
    <x v="0"/>
    <x v="0"/>
    <x v="0"/>
    <x v="1"/>
    <x v="0"/>
    <x v="0"/>
    <x v="1"/>
  </r>
  <r>
    <x v="26"/>
    <x v="1"/>
    <s v="Online"/>
    <x v="4"/>
    <x v="2"/>
    <s v="Order"/>
    <x v="35"/>
    <n v="37000"/>
    <b v="1"/>
    <n v="37000"/>
    <x v="0"/>
    <s v="Assets"/>
    <s v="Prep-Sub"/>
    <x v="2"/>
    <x v="1"/>
    <x v="2"/>
    <x v="6"/>
    <x v="2"/>
    <x v="2"/>
    <x v="0"/>
    <x v="1"/>
  </r>
  <r>
    <x v="26"/>
    <x v="1"/>
    <s v="Online"/>
    <x v="4"/>
    <x v="2"/>
    <s v="Bank"/>
    <x v="2"/>
    <n v="-37000"/>
    <b v="1"/>
    <n v="-37000"/>
    <x v="0"/>
    <s v="Assets"/>
    <s v="Cash alike"/>
    <x v="2"/>
    <x v="1"/>
    <x v="0"/>
    <x v="0"/>
    <x v="2"/>
    <x v="2"/>
    <x v="0"/>
    <x v="1"/>
  </r>
  <r>
    <x v="27"/>
    <x v="1"/>
    <s v="Online"/>
    <x v="12"/>
    <x v="2"/>
    <s v="ToTax"/>
    <x v="47"/>
    <n v="4400.6000000000004"/>
    <b v="1"/>
    <n v="-4400.6000000000004"/>
    <x v="1"/>
    <s v="Liability"/>
    <s v="Rec-Pay"/>
    <x v="2"/>
    <x v="1"/>
    <x v="1"/>
    <x v="11"/>
    <x v="2"/>
    <x v="2"/>
    <x v="0"/>
    <x v="1"/>
  </r>
  <r>
    <x v="28"/>
    <x v="1"/>
    <s v="Online"/>
    <x v="4"/>
    <x v="2"/>
    <s v="Order"/>
    <x v="35"/>
    <n v="53395"/>
    <b v="1"/>
    <n v="53395"/>
    <x v="0"/>
    <s v="Assets"/>
    <s v="Prep-Sub"/>
    <x v="2"/>
    <x v="1"/>
    <x v="2"/>
    <x v="6"/>
    <x v="2"/>
    <x v="2"/>
    <x v="0"/>
    <x v="1"/>
  </r>
  <r>
    <x v="28"/>
    <x v="1"/>
    <s v="Online"/>
    <x v="4"/>
    <x v="2"/>
    <s v="Bank"/>
    <x v="2"/>
    <n v="-53395"/>
    <b v="1"/>
    <n v="-53395"/>
    <x v="0"/>
    <s v="Assets"/>
    <s v="Cash alike"/>
    <x v="2"/>
    <x v="1"/>
    <x v="0"/>
    <x v="0"/>
    <x v="2"/>
    <x v="2"/>
    <x v="0"/>
    <x v="1"/>
  </r>
  <r>
    <x v="29"/>
    <x v="1"/>
    <s v="Online"/>
    <x v="5"/>
    <x v="0"/>
    <s v="Curr"/>
    <x v="38"/>
    <n v="77395"/>
    <b v="1"/>
    <n v="77395"/>
    <x v="0"/>
    <s v="Assets"/>
    <s v="Invtr"/>
    <x v="2"/>
    <x v="1"/>
    <x v="3"/>
    <x v="7"/>
    <x v="0"/>
    <x v="2"/>
    <x v="0"/>
    <x v="1"/>
  </r>
  <r>
    <x v="29"/>
    <x v="1"/>
    <s v="Online"/>
    <x v="5"/>
    <x v="2"/>
    <s v="Order"/>
    <x v="35"/>
    <n v="-77395"/>
    <b v="1"/>
    <n v="-77395"/>
    <x v="0"/>
    <s v="Assets"/>
    <s v="Prep-Sub"/>
    <x v="2"/>
    <x v="1"/>
    <x v="2"/>
    <x v="6"/>
    <x v="2"/>
    <x v="2"/>
    <x v="0"/>
    <x v="1"/>
  </r>
  <r>
    <x v="30"/>
    <x v="1"/>
    <s v="Online"/>
    <x v="4"/>
    <x v="2"/>
    <s v="Order"/>
    <x v="35"/>
    <n v="40993"/>
    <b v="1"/>
    <n v="40993"/>
    <x v="0"/>
    <s v="Assets"/>
    <s v="Prep-Sub"/>
    <x v="2"/>
    <x v="1"/>
    <x v="2"/>
    <x v="6"/>
    <x v="2"/>
    <x v="2"/>
    <x v="0"/>
    <x v="1"/>
  </r>
  <r>
    <x v="30"/>
    <x v="1"/>
    <s v="Online"/>
    <x v="4"/>
    <x v="2"/>
    <s v="Bank"/>
    <x v="2"/>
    <n v="-40993"/>
    <b v="1"/>
    <n v="-40993"/>
    <x v="0"/>
    <s v="Assets"/>
    <s v="Cash alike"/>
    <x v="2"/>
    <x v="1"/>
    <x v="0"/>
    <x v="0"/>
    <x v="2"/>
    <x v="2"/>
    <x v="0"/>
    <x v="1"/>
  </r>
  <r>
    <x v="31"/>
    <x v="1"/>
    <s v="Online"/>
    <x v="5"/>
    <x v="0"/>
    <s v="Curr"/>
    <x v="38"/>
    <n v="40993"/>
    <b v="1"/>
    <n v="40993"/>
    <x v="0"/>
    <s v="Assets"/>
    <s v="Invtr"/>
    <x v="2"/>
    <x v="1"/>
    <x v="3"/>
    <x v="7"/>
    <x v="0"/>
    <x v="2"/>
    <x v="0"/>
    <x v="1"/>
  </r>
  <r>
    <x v="31"/>
    <x v="1"/>
    <s v="Online"/>
    <x v="5"/>
    <x v="2"/>
    <s v="Order"/>
    <x v="35"/>
    <n v="-40993"/>
    <b v="1"/>
    <n v="-40993"/>
    <x v="0"/>
    <s v="Assets"/>
    <s v="Prep-Sub"/>
    <x v="2"/>
    <x v="1"/>
    <x v="2"/>
    <x v="6"/>
    <x v="2"/>
    <x v="2"/>
    <x v="0"/>
    <x v="1"/>
  </r>
  <r>
    <x v="32"/>
    <x v="1"/>
    <s v="GM"/>
    <x v="13"/>
    <x v="2"/>
    <s v="Bank"/>
    <x v="2"/>
    <n v="-107"/>
    <b v="1"/>
    <n v="-107"/>
    <x v="0"/>
    <s v="Assets"/>
    <s v="Cash alike"/>
    <x v="1"/>
    <x v="1"/>
    <x v="0"/>
    <x v="0"/>
    <x v="2"/>
    <x v="1"/>
    <x v="0"/>
    <x v="1"/>
  </r>
  <r>
    <x v="33"/>
    <x v="1"/>
    <s v="GM"/>
    <x v="14"/>
    <x v="2"/>
    <s v="ToEmp"/>
    <x v="52"/>
    <n v="8646.67"/>
    <b v="1"/>
    <n v="-8646.67"/>
    <x v="1"/>
    <s v="Liability"/>
    <s v="Rec-Pay"/>
    <x v="1"/>
    <x v="1"/>
    <x v="1"/>
    <x v="12"/>
    <x v="2"/>
    <x v="1"/>
    <x v="0"/>
    <x v="1"/>
  </r>
  <r>
    <x v="34"/>
    <x v="1"/>
    <s v="Online"/>
    <x v="14"/>
    <x v="2"/>
    <s v="ToEmp"/>
    <x v="52"/>
    <n v="8106.66"/>
    <b v="1"/>
    <n v="-8106.66"/>
    <x v="1"/>
    <s v="Liability"/>
    <s v="Rec-Pay"/>
    <x v="1"/>
    <x v="1"/>
    <x v="1"/>
    <x v="12"/>
    <x v="2"/>
    <x v="2"/>
    <x v="0"/>
    <x v="1"/>
  </r>
  <r>
    <x v="35"/>
    <x v="1"/>
    <s v="GM"/>
    <x v="15"/>
    <x v="2"/>
    <s v="ToEmp"/>
    <x v="67"/>
    <n v="13975"/>
    <b v="1"/>
    <n v="-13975"/>
    <x v="1"/>
    <s v="Liability"/>
    <s v="Rec-Pay"/>
    <x v="4"/>
    <x v="0"/>
    <x v="1"/>
    <x v="12"/>
    <x v="2"/>
    <x v="1"/>
    <x v="0"/>
    <x v="1"/>
  </r>
  <r>
    <x v="36"/>
    <x v="1"/>
    <s v="Online"/>
    <x v="16"/>
    <x v="3"/>
    <s v="Bank"/>
    <x v="3"/>
    <n v="-2970"/>
    <b v="1"/>
    <n v="-2970"/>
    <x v="0"/>
    <s v="Assets"/>
    <s v="Cash alike"/>
    <x v="1"/>
    <x v="1"/>
    <x v="0"/>
    <x v="0"/>
    <x v="3"/>
    <x v="2"/>
    <x v="0"/>
    <x v="1"/>
  </r>
  <r>
    <x v="37"/>
    <x v="1"/>
    <s v="Online"/>
    <x v="16"/>
    <x v="3"/>
    <s v="Bank"/>
    <x v="3"/>
    <n v="-1230"/>
    <b v="1"/>
    <n v="-1230"/>
    <x v="0"/>
    <s v="Assets"/>
    <s v="Cash alike"/>
    <x v="1"/>
    <x v="1"/>
    <x v="0"/>
    <x v="0"/>
    <x v="3"/>
    <x v="2"/>
    <x v="0"/>
    <x v="1"/>
  </r>
  <r>
    <x v="38"/>
    <x v="1"/>
    <s v="GM"/>
    <x v="17"/>
    <x v="3"/>
    <s v="Bank"/>
    <x v="3"/>
    <n v="-458"/>
    <b v="1"/>
    <n v="-458"/>
    <x v="0"/>
    <s v="Assets"/>
    <s v="Cash alike"/>
    <x v="1"/>
    <x v="1"/>
    <x v="0"/>
    <x v="0"/>
    <x v="3"/>
    <x v="1"/>
    <x v="0"/>
    <x v="1"/>
  </r>
  <r>
    <x v="39"/>
    <x v="1"/>
    <s v="GM"/>
    <x v="17"/>
    <x v="3"/>
    <s v="Bank"/>
    <x v="3"/>
    <n v="-355"/>
    <b v="1"/>
    <n v="-355"/>
    <x v="0"/>
    <s v="Assets"/>
    <s v="Cash alike"/>
    <x v="1"/>
    <x v="1"/>
    <x v="0"/>
    <x v="0"/>
    <x v="3"/>
    <x v="1"/>
    <x v="0"/>
    <x v="1"/>
  </r>
  <r>
    <x v="40"/>
    <x v="1"/>
    <s v="Online"/>
    <x v="16"/>
    <x v="3"/>
    <s v="Bank"/>
    <x v="3"/>
    <n v="-990"/>
    <b v="1"/>
    <n v="-990"/>
    <x v="0"/>
    <s v="Assets"/>
    <s v="Cash alike"/>
    <x v="1"/>
    <x v="1"/>
    <x v="0"/>
    <x v="0"/>
    <x v="3"/>
    <x v="2"/>
    <x v="0"/>
    <x v="1"/>
  </r>
  <r>
    <x v="40"/>
    <x v="1"/>
    <s v="Online"/>
    <x v="16"/>
    <x v="0"/>
    <s v="Curr"/>
    <x v="38"/>
    <n v="990"/>
    <b v="1"/>
    <n v="990"/>
    <x v="0"/>
    <s v="Assets"/>
    <s v="Invtr"/>
    <x v="1"/>
    <x v="1"/>
    <x v="3"/>
    <x v="7"/>
    <x v="0"/>
    <x v="2"/>
    <x v="0"/>
    <x v="1"/>
  </r>
  <r>
    <x v="41"/>
    <x v="1"/>
    <s v="GM"/>
    <x v="18"/>
    <x v="3"/>
    <s v="Bank"/>
    <x v="3"/>
    <n v="-600"/>
    <b v="1"/>
    <n v="-600"/>
    <x v="0"/>
    <s v="Assets"/>
    <s v="Cash alike"/>
    <x v="1"/>
    <x v="1"/>
    <x v="0"/>
    <x v="0"/>
    <x v="3"/>
    <x v="1"/>
    <x v="0"/>
    <x v="1"/>
  </r>
  <r>
    <x v="42"/>
    <x v="1"/>
    <s v="GM"/>
    <x v="6"/>
    <x v="3"/>
    <s v="Bank"/>
    <x v="3"/>
    <n v="-13121.63"/>
    <b v="1"/>
    <n v="-13121.63"/>
    <x v="0"/>
    <s v="Assets"/>
    <s v="Cash alike"/>
    <x v="1"/>
    <x v="1"/>
    <x v="0"/>
    <x v="0"/>
    <x v="3"/>
    <x v="1"/>
    <x v="0"/>
    <x v="1"/>
  </r>
  <r>
    <x v="42"/>
    <x v="1"/>
    <s v="GM"/>
    <x v="6"/>
    <x v="3"/>
    <s v="FrOther"/>
    <x v="22"/>
    <n v="3817.2"/>
    <b v="1"/>
    <n v="3817.2"/>
    <x v="0"/>
    <s v="Assets"/>
    <s v="Rec-Pay"/>
    <x v="1"/>
    <x v="1"/>
    <x v="1"/>
    <x v="3"/>
    <x v="3"/>
    <x v="1"/>
    <x v="0"/>
    <x v="1"/>
  </r>
  <r>
    <x v="43"/>
    <x v="1"/>
    <s v="GM"/>
    <x v="3"/>
    <x v="3"/>
    <s v="Bank"/>
    <x v="3"/>
    <n v="-200"/>
    <b v="1"/>
    <n v="-200"/>
    <x v="0"/>
    <s v="Assets"/>
    <s v="Cash alike"/>
    <x v="1"/>
    <x v="1"/>
    <x v="0"/>
    <x v="0"/>
    <x v="3"/>
    <x v="1"/>
    <x v="0"/>
    <x v="1"/>
  </r>
  <r>
    <x v="44"/>
    <x v="1"/>
    <s v="Online"/>
    <x v="11"/>
    <x v="3"/>
    <s v="Bank"/>
    <x v="3"/>
    <n v="-3536"/>
    <b v="1"/>
    <n v="-3536"/>
    <x v="0"/>
    <s v="Assets"/>
    <s v="Cash alike"/>
    <x v="2"/>
    <x v="1"/>
    <x v="0"/>
    <x v="0"/>
    <x v="3"/>
    <x v="2"/>
    <x v="0"/>
    <x v="1"/>
  </r>
  <r>
    <x v="44"/>
    <x v="1"/>
    <s v="Online"/>
    <x v="11"/>
    <x v="0"/>
    <s v="Curr"/>
    <x v="38"/>
    <n v="3536"/>
    <b v="1"/>
    <n v="3536"/>
    <x v="0"/>
    <s v="Assets"/>
    <s v="Invtr"/>
    <x v="2"/>
    <x v="1"/>
    <x v="3"/>
    <x v="7"/>
    <x v="0"/>
    <x v="2"/>
    <x v="0"/>
    <x v="1"/>
  </r>
  <r>
    <x v="45"/>
    <x v="1"/>
    <s v="Online"/>
    <x v="16"/>
    <x v="3"/>
    <s v="Bank"/>
    <x v="3"/>
    <n v="-80"/>
    <b v="1"/>
    <n v="-80"/>
    <x v="0"/>
    <s v="Assets"/>
    <s v="Cash alike"/>
    <x v="1"/>
    <x v="1"/>
    <x v="0"/>
    <x v="0"/>
    <x v="3"/>
    <x v="2"/>
    <x v="0"/>
    <x v="1"/>
  </r>
  <r>
    <x v="46"/>
    <x v="1"/>
    <s v="Online"/>
    <x v="8"/>
    <x v="3"/>
    <s v="ToEmp"/>
    <x v="52"/>
    <n v="-76031.259999999995"/>
    <b v="1"/>
    <n v="76031.259999999995"/>
    <x v="1"/>
    <s v="Liability"/>
    <s v="Rec-Pay"/>
    <x v="1"/>
    <x v="1"/>
    <x v="1"/>
    <x v="12"/>
    <x v="3"/>
    <x v="2"/>
    <x v="0"/>
    <x v="1"/>
  </r>
  <r>
    <x v="46"/>
    <x v="1"/>
    <s v="Online"/>
    <x v="8"/>
    <x v="3"/>
    <s v="ToTax"/>
    <x v="54"/>
    <n v="572.79"/>
    <b v="1"/>
    <n v="-572.79"/>
    <x v="1"/>
    <s v="Liability"/>
    <s v="Rec-Pay"/>
    <x v="1"/>
    <x v="1"/>
    <x v="1"/>
    <x v="11"/>
    <x v="3"/>
    <x v="2"/>
    <x v="0"/>
    <x v="1"/>
  </r>
  <r>
    <x v="46"/>
    <x v="1"/>
    <s v="Online"/>
    <x v="8"/>
    <x v="3"/>
    <s v="FrOther"/>
    <x v="22"/>
    <n v="-4294.3500000000004"/>
    <b v="1"/>
    <n v="-4294.3500000000004"/>
    <x v="0"/>
    <s v="Assets"/>
    <s v="Rec-Pay"/>
    <x v="1"/>
    <x v="1"/>
    <x v="1"/>
    <x v="3"/>
    <x v="3"/>
    <x v="2"/>
    <x v="0"/>
    <x v="1"/>
  </r>
  <r>
    <x v="46"/>
    <x v="1"/>
    <s v="Online"/>
    <x v="8"/>
    <x v="3"/>
    <s v="Bank"/>
    <x v="3"/>
    <n v="-71164.12"/>
    <b v="1"/>
    <n v="-71164.12"/>
    <x v="0"/>
    <s v="Assets"/>
    <s v="Cash alike"/>
    <x v="1"/>
    <x v="1"/>
    <x v="0"/>
    <x v="0"/>
    <x v="3"/>
    <x v="2"/>
    <x v="0"/>
    <x v="1"/>
  </r>
  <r>
    <x v="47"/>
    <x v="1"/>
    <s v="GM"/>
    <x v="8"/>
    <x v="3"/>
    <s v="Bank"/>
    <x v="3"/>
    <n v="-572.79"/>
    <b v="1"/>
    <n v="-572.79"/>
    <x v="0"/>
    <s v="Assets"/>
    <s v="Cash alike"/>
    <x v="1"/>
    <x v="1"/>
    <x v="0"/>
    <x v="0"/>
    <x v="3"/>
    <x v="1"/>
    <x v="0"/>
    <x v="1"/>
  </r>
  <r>
    <x v="47"/>
    <x v="1"/>
    <s v="GM"/>
    <x v="8"/>
    <x v="3"/>
    <s v="ToTax"/>
    <x v="54"/>
    <n v="-572.79"/>
    <b v="1"/>
    <n v="572.79"/>
    <x v="1"/>
    <s v="Liability"/>
    <s v="Rec-Pay"/>
    <x v="1"/>
    <x v="1"/>
    <x v="1"/>
    <x v="11"/>
    <x v="3"/>
    <x v="1"/>
    <x v="0"/>
    <x v="1"/>
  </r>
  <r>
    <x v="48"/>
    <x v="1"/>
    <s v="Ctrl"/>
    <x v="8"/>
    <x v="3"/>
    <s v="ToTax"/>
    <x v="47"/>
    <n v="-10950.5"/>
    <b v="1"/>
    <n v="10950.5"/>
    <x v="1"/>
    <s v="Liability"/>
    <s v="Rec-Pay"/>
    <x v="1"/>
    <x v="1"/>
    <x v="1"/>
    <x v="11"/>
    <x v="3"/>
    <x v="0"/>
    <x v="0"/>
    <x v="1"/>
  </r>
  <r>
    <x v="48"/>
    <x v="1"/>
    <s v="Ctrl"/>
    <x v="8"/>
    <x v="3"/>
    <s v="ToTax"/>
    <x v="51"/>
    <n v="-30620.3"/>
    <b v="1"/>
    <n v="30620.3"/>
    <x v="1"/>
    <s v="Liability"/>
    <s v="Rec-Pay"/>
    <x v="1"/>
    <x v="1"/>
    <x v="1"/>
    <x v="11"/>
    <x v="3"/>
    <x v="0"/>
    <x v="0"/>
    <x v="1"/>
  </r>
  <r>
    <x v="48"/>
    <x v="1"/>
    <s v="Ctrl"/>
    <x v="8"/>
    <x v="3"/>
    <s v="ToTax"/>
    <x v="49"/>
    <n v="-657.03"/>
    <b v="1"/>
    <n v="657.03"/>
    <x v="1"/>
    <s v="Liability"/>
    <s v="Rec-Pay"/>
    <x v="1"/>
    <x v="1"/>
    <x v="1"/>
    <x v="11"/>
    <x v="3"/>
    <x v="0"/>
    <x v="0"/>
    <x v="1"/>
  </r>
  <r>
    <x v="48"/>
    <x v="1"/>
    <s v="Ctrl"/>
    <x v="8"/>
    <x v="3"/>
    <s v="ToTax"/>
    <x v="50"/>
    <n v="-5.0199999999999996"/>
    <b v="1"/>
    <n v="5.0199999999999996"/>
    <x v="1"/>
    <s v="Liability"/>
    <s v="Rec-Pay"/>
    <x v="1"/>
    <x v="1"/>
    <x v="1"/>
    <x v="11"/>
    <x v="3"/>
    <x v="0"/>
    <x v="0"/>
    <x v="1"/>
  </r>
  <r>
    <x v="48"/>
    <x v="1"/>
    <s v="Ctrl"/>
    <x v="8"/>
    <x v="3"/>
    <s v="Bank"/>
    <x v="3"/>
    <n v="-42232.85"/>
    <b v="1"/>
    <n v="-42232.85"/>
    <x v="0"/>
    <s v="Assets"/>
    <s v="Cash alike"/>
    <x v="1"/>
    <x v="1"/>
    <x v="0"/>
    <x v="0"/>
    <x v="3"/>
    <x v="0"/>
    <x v="0"/>
    <x v="1"/>
  </r>
  <r>
    <x v="49"/>
    <x v="1"/>
    <s v="GM"/>
    <x v="19"/>
    <x v="3"/>
    <s v="Bank"/>
    <x v="3"/>
    <n v="-2057.67"/>
    <b v="1"/>
    <n v="-2057.67"/>
    <x v="0"/>
    <s v="Assets"/>
    <s v="Cash alike"/>
    <x v="1"/>
    <x v="1"/>
    <x v="0"/>
    <x v="0"/>
    <x v="3"/>
    <x v="1"/>
    <x v="0"/>
    <x v="1"/>
  </r>
  <r>
    <x v="50"/>
    <x v="1"/>
    <s v="GM"/>
    <x v="3"/>
    <x v="3"/>
    <s v="Bank"/>
    <x v="3"/>
    <n v="-317"/>
    <b v="1"/>
    <n v="-317"/>
    <x v="0"/>
    <s v="Assets"/>
    <s v="Cash alike"/>
    <x v="1"/>
    <x v="1"/>
    <x v="0"/>
    <x v="0"/>
    <x v="3"/>
    <x v="1"/>
    <x v="0"/>
    <x v="1"/>
  </r>
  <r>
    <x v="51"/>
    <x v="1"/>
    <s v="Online"/>
    <x v="11"/>
    <x v="3"/>
    <s v="Bank"/>
    <x v="3"/>
    <n v="-150"/>
    <b v="1"/>
    <n v="-150"/>
    <x v="0"/>
    <s v="Assets"/>
    <s v="Cash alike"/>
    <x v="2"/>
    <x v="1"/>
    <x v="0"/>
    <x v="0"/>
    <x v="3"/>
    <x v="2"/>
    <x v="0"/>
    <x v="1"/>
  </r>
  <r>
    <x v="51"/>
    <x v="1"/>
    <s v="Online"/>
    <x v="11"/>
    <x v="0"/>
    <s v="Curr"/>
    <x v="38"/>
    <n v="150"/>
    <b v="1"/>
    <n v="150"/>
    <x v="0"/>
    <s v="Assets"/>
    <s v="Invtr"/>
    <x v="2"/>
    <x v="1"/>
    <x v="3"/>
    <x v="7"/>
    <x v="0"/>
    <x v="2"/>
    <x v="0"/>
    <x v="1"/>
  </r>
  <r>
    <x v="52"/>
    <x v="1"/>
    <s v="Online"/>
    <x v="11"/>
    <x v="3"/>
    <s v="Bank"/>
    <x v="3"/>
    <n v="-2990"/>
    <b v="1"/>
    <n v="-2990"/>
    <x v="0"/>
    <s v="Assets"/>
    <s v="Cash alike"/>
    <x v="2"/>
    <x v="1"/>
    <x v="0"/>
    <x v="0"/>
    <x v="3"/>
    <x v="2"/>
    <x v="0"/>
    <x v="1"/>
  </r>
  <r>
    <x v="52"/>
    <x v="1"/>
    <s v="Online"/>
    <x v="11"/>
    <x v="0"/>
    <s v="Curr"/>
    <x v="38"/>
    <n v="2990"/>
    <b v="1"/>
    <n v="2990"/>
    <x v="0"/>
    <s v="Assets"/>
    <s v="Invtr"/>
    <x v="2"/>
    <x v="1"/>
    <x v="3"/>
    <x v="7"/>
    <x v="0"/>
    <x v="2"/>
    <x v="0"/>
    <x v="1"/>
  </r>
  <r>
    <x v="53"/>
    <x v="1"/>
    <s v="Online"/>
    <x v="11"/>
    <x v="3"/>
    <s v="Bank"/>
    <x v="3"/>
    <n v="-80"/>
    <b v="1"/>
    <n v="-80"/>
    <x v="0"/>
    <s v="Assets"/>
    <s v="Cash alike"/>
    <x v="2"/>
    <x v="1"/>
    <x v="0"/>
    <x v="0"/>
    <x v="3"/>
    <x v="2"/>
    <x v="0"/>
    <x v="1"/>
  </r>
  <r>
    <x v="53"/>
    <x v="1"/>
    <s v="Online"/>
    <x v="11"/>
    <x v="0"/>
    <s v="Curr"/>
    <x v="38"/>
    <n v="80"/>
    <b v="1"/>
    <n v="80"/>
    <x v="0"/>
    <s v="Assets"/>
    <s v="Invtr"/>
    <x v="2"/>
    <x v="1"/>
    <x v="3"/>
    <x v="7"/>
    <x v="0"/>
    <x v="2"/>
    <x v="0"/>
    <x v="1"/>
  </r>
  <r>
    <x v="54"/>
    <x v="1"/>
    <s v="Online"/>
    <x v="16"/>
    <x v="3"/>
    <s v="Bank"/>
    <x v="3"/>
    <n v="-125.38"/>
    <b v="1"/>
    <n v="-125.38"/>
    <x v="0"/>
    <s v="Assets"/>
    <s v="Cash alike"/>
    <x v="1"/>
    <x v="1"/>
    <x v="0"/>
    <x v="0"/>
    <x v="3"/>
    <x v="2"/>
    <x v="0"/>
    <x v="1"/>
  </r>
  <r>
    <x v="55"/>
    <x v="1"/>
    <s v="Online"/>
    <x v="16"/>
    <x v="3"/>
    <s v="Bank"/>
    <x v="3"/>
    <n v="-100.45"/>
    <b v="1"/>
    <n v="-100.45"/>
    <x v="0"/>
    <s v="Assets"/>
    <s v="Cash alike"/>
    <x v="1"/>
    <x v="1"/>
    <x v="0"/>
    <x v="0"/>
    <x v="3"/>
    <x v="2"/>
    <x v="0"/>
    <x v="1"/>
  </r>
  <r>
    <x v="56"/>
    <x v="1"/>
    <s v="Online"/>
    <x v="11"/>
    <x v="3"/>
    <s v="Bank"/>
    <x v="3"/>
    <n v="-880"/>
    <b v="1"/>
    <n v="-880"/>
    <x v="0"/>
    <s v="Assets"/>
    <s v="Cash alike"/>
    <x v="2"/>
    <x v="1"/>
    <x v="0"/>
    <x v="0"/>
    <x v="3"/>
    <x v="2"/>
    <x v="0"/>
    <x v="1"/>
  </r>
  <r>
    <x v="56"/>
    <x v="1"/>
    <s v="Online"/>
    <x v="11"/>
    <x v="0"/>
    <s v="Curr"/>
    <x v="38"/>
    <n v="880"/>
    <b v="1"/>
    <n v="880"/>
    <x v="0"/>
    <s v="Assets"/>
    <s v="Invtr"/>
    <x v="2"/>
    <x v="1"/>
    <x v="3"/>
    <x v="7"/>
    <x v="0"/>
    <x v="2"/>
    <x v="0"/>
    <x v="1"/>
  </r>
  <r>
    <x v="57"/>
    <x v="1"/>
    <s v="Brand"/>
    <x v="20"/>
    <x v="3"/>
    <s v="Bank"/>
    <x v="3"/>
    <n v="-199.18"/>
    <b v="1"/>
    <n v="-199.18"/>
    <x v="0"/>
    <s v="Assets"/>
    <s v="Cash alike"/>
    <x v="1"/>
    <x v="1"/>
    <x v="0"/>
    <x v="0"/>
    <x v="3"/>
    <x v="3"/>
    <x v="0"/>
    <x v="1"/>
  </r>
  <r>
    <x v="58"/>
    <x v="1"/>
    <s v="GM"/>
    <x v="8"/>
    <x v="3"/>
    <s v="Bank"/>
    <x v="3"/>
    <n v="-155989.63"/>
    <b v="1"/>
    <n v="-155989.63"/>
    <x v="0"/>
    <s v="Assets"/>
    <s v="Cash alike"/>
    <x v="1"/>
    <x v="1"/>
    <x v="0"/>
    <x v="0"/>
    <x v="3"/>
    <x v="1"/>
    <x v="0"/>
    <x v="1"/>
  </r>
  <r>
    <x v="58"/>
    <x v="1"/>
    <s v="GM"/>
    <x v="8"/>
    <x v="3"/>
    <s v="Order"/>
    <x v="34"/>
    <n v="155989.63"/>
    <b v="1"/>
    <n v="155989.63"/>
    <x v="0"/>
    <s v="Assets"/>
    <s v="Prep-Sub"/>
    <x v="1"/>
    <x v="1"/>
    <x v="2"/>
    <x v="6"/>
    <x v="3"/>
    <x v="1"/>
    <x v="0"/>
    <x v="1"/>
  </r>
  <r>
    <x v="59"/>
    <x v="1"/>
    <s v="Online"/>
    <x v="16"/>
    <x v="3"/>
    <s v="Bank"/>
    <x v="3"/>
    <n v="-2400"/>
    <b v="1"/>
    <n v="-2400"/>
    <x v="0"/>
    <s v="Assets"/>
    <s v="Cash alike"/>
    <x v="1"/>
    <x v="1"/>
    <x v="0"/>
    <x v="0"/>
    <x v="3"/>
    <x v="2"/>
    <x v="0"/>
    <x v="1"/>
  </r>
  <r>
    <x v="60"/>
    <x v="1"/>
    <s v="Ctrl"/>
    <x v="7"/>
    <x v="3"/>
    <s v="Bank"/>
    <x v="3"/>
    <n v="340000"/>
    <b v="1"/>
    <n v="340000"/>
    <x v="0"/>
    <s v="Assets"/>
    <s v="Cash alike"/>
    <x v="0"/>
    <x v="0"/>
    <x v="0"/>
    <x v="0"/>
    <x v="3"/>
    <x v="0"/>
    <x v="0"/>
    <x v="1"/>
  </r>
  <r>
    <x v="60"/>
    <x v="1"/>
    <s v="Ctrl"/>
    <x v="7"/>
    <x v="0"/>
    <s v="Bank"/>
    <x v="0"/>
    <n v="-340000"/>
    <b v="1"/>
    <n v="-340000"/>
    <x v="0"/>
    <s v="Assets"/>
    <s v="Cash alike"/>
    <x v="0"/>
    <x v="0"/>
    <x v="0"/>
    <x v="0"/>
    <x v="0"/>
    <x v="0"/>
    <x v="0"/>
    <x v="1"/>
  </r>
  <r>
    <x v="61"/>
    <x v="1"/>
    <s v="Ctrl"/>
    <x v="7"/>
    <x v="3"/>
    <s v="Bank"/>
    <x v="3"/>
    <n v="-1000000"/>
    <b v="1"/>
    <n v="-1000000"/>
    <x v="0"/>
    <s v="Assets"/>
    <s v="Cash alike"/>
    <x v="0"/>
    <x v="0"/>
    <x v="0"/>
    <x v="0"/>
    <x v="3"/>
    <x v="0"/>
    <x v="0"/>
    <x v="1"/>
  </r>
  <r>
    <x v="61"/>
    <x v="1"/>
    <s v="Ctrl"/>
    <x v="7"/>
    <x v="4"/>
    <s v="Bank"/>
    <x v="4"/>
    <n v="1000000"/>
    <b v="1"/>
    <n v="1000000"/>
    <x v="0"/>
    <s v="Assets"/>
    <s v="Cash alike"/>
    <x v="0"/>
    <x v="0"/>
    <x v="0"/>
    <x v="0"/>
    <x v="4"/>
    <x v="0"/>
    <x v="0"/>
    <x v="1"/>
  </r>
  <r>
    <x v="62"/>
    <x v="1"/>
    <s v="Ctrl"/>
    <x v="7"/>
    <x v="3"/>
    <s v="Bank"/>
    <x v="3"/>
    <n v="-50000"/>
    <b v="1"/>
    <n v="-50000"/>
    <x v="0"/>
    <s v="Assets"/>
    <s v="Cash alike"/>
    <x v="0"/>
    <x v="0"/>
    <x v="0"/>
    <x v="0"/>
    <x v="3"/>
    <x v="0"/>
    <x v="0"/>
    <x v="1"/>
  </r>
  <r>
    <x v="62"/>
    <x v="1"/>
    <s v="Ctrl"/>
    <x v="7"/>
    <x v="1"/>
    <s v="Bank"/>
    <x v="1"/>
    <n v="50000"/>
    <b v="1"/>
    <n v="50000"/>
    <x v="0"/>
    <s v="Assets"/>
    <s v="Cash alike"/>
    <x v="0"/>
    <x v="0"/>
    <x v="0"/>
    <x v="0"/>
    <x v="1"/>
    <x v="0"/>
    <x v="0"/>
    <x v="1"/>
  </r>
  <r>
    <x v="63"/>
    <x v="1"/>
    <s v="Online"/>
    <x v="16"/>
    <x v="3"/>
    <s v="Bank"/>
    <x v="3"/>
    <n v="-274.22000000000003"/>
    <b v="1"/>
    <n v="-274.22000000000003"/>
    <x v="0"/>
    <s v="Assets"/>
    <s v="Cash alike"/>
    <x v="1"/>
    <x v="1"/>
    <x v="0"/>
    <x v="0"/>
    <x v="3"/>
    <x v="2"/>
    <x v="0"/>
    <x v="1"/>
  </r>
  <r>
    <x v="64"/>
    <x v="1"/>
    <s v="GM"/>
    <x v="3"/>
    <x v="3"/>
    <s v="Bank"/>
    <x v="3"/>
    <n v="-77.64"/>
    <b v="1"/>
    <n v="-77.64"/>
    <x v="0"/>
    <s v="Assets"/>
    <s v="Cash alike"/>
    <x v="1"/>
    <x v="1"/>
    <x v="0"/>
    <x v="0"/>
    <x v="3"/>
    <x v="1"/>
    <x v="0"/>
    <x v="1"/>
  </r>
  <r>
    <x v="65"/>
    <x v="1"/>
    <s v="GM"/>
    <x v="21"/>
    <x v="3"/>
    <s v="Bank"/>
    <x v="3"/>
    <n v="106.2"/>
    <b v="1"/>
    <n v="106.2"/>
    <x v="0"/>
    <s v="Assets"/>
    <s v="Cash alike"/>
    <x v="0"/>
    <x v="0"/>
    <x v="0"/>
    <x v="0"/>
    <x v="3"/>
    <x v="1"/>
    <x v="0"/>
    <x v="1"/>
  </r>
  <r>
    <x v="66"/>
    <x v="1"/>
    <s v="GM"/>
    <x v="13"/>
    <x v="3"/>
    <s v="Bank"/>
    <x v="3"/>
    <n v="-52.4"/>
    <b v="1"/>
    <n v="-52.4"/>
    <x v="0"/>
    <s v="Assets"/>
    <s v="Cash alike"/>
    <x v="1"/>
    <x v="1"/>
    <x v="0"/>
    <x v="0"/>
    <x v="3"/>
    <x v="1"/>
    <x v="0"/>
    <x v="1"/>
  </r>
  <r>
    <x v="67"/>
    <x v="1"/>
    <s v="GM"/>
    <x v="14"/>
    <x v="3"/>
    <s v="ToEmp"/>
    <x v="52"/>
    <n v="37619"/>
    <b v="1"/>
    <n v="-37619"/>
    <x v="1"/>
    <s v="Liability"/>
    <s v="Rec-Pay"/>
    <x v="1"/>
    <x v="1"/>
    <x v="1"/>
    <x v="12"/>
    <x v="3"/>
    <x v="1"/>
    <x v="0"/>
    <x v="1"/>
  </r>
  <r>
    <x v="68"/>
    <x v="1"/>
    <s v="Online"/>
    <x v="14"/>
    <x v="3"/>
    <s v="ToEmp"/>
    <x v="52"/>
    <n v="33231.339999999997"/>
    <b v="1"/>
    <n v="-33231.339999999997"/>
    <x v="1"/>
    <s v="Liability"/>
    <s v="Rec-Pay"/>
    <x v="1"/>
    <x v="1"/>
    <x v="1"/>
    <x v="12"/>
    <x v="3"/>
    <x v="2"/>
    <x v="0"/>
    <x v="1"/>
  </r>
  <r>
    <x v="69"/>
    <x v="1"/>
    <s v="GM"/>
    <x v="15"/>
    <x v="3"/>
    <s v="ToEmp"/>
    <x v="67"/>
    <n v="53731"/>
    <b v="1"/>
    <n v="-53731"/>
    <x v="1"/>
    <s v="Liability"/>
    <s v="Rec-Pay"/>
    <x v="4"/>
    <x v="0"/>
    <x v="1"/>
    <x v="12"/>
    <x v="3"/>
    <x v="1"/>
    <x v="0"/>
    <x v="1"/>
  </r>
  <r>
    <x v="70"/>
    <x v="1"/>
    <s v="Ctrl"/>
    <x v="1"/>
    <x v="3"/>
    <s v="ToTax"/>
    <x v="51"/>
    <n v="0.01"/>
    <b v="1"/>
    <n v="-0.01"/>
    <x v="1"/>
    <s v="Liability"/>
    <s v="Rec-Pay"/>
    <x v="0"/>
    <x v="0"/>
    <x v="1"/>
    <x v="11"/>
    <x v="3"/>
    <x v="0"/>
    <x v="0"/>
    <x v="1"/>
  </r>
  <r>
    <x v="70"/>
    <x v="1"/>
    <s v="Ctrl"/>
    <x v="1"/>
    <x v="2"/>
    <s v="ToTax"/>
    <x v="47"/>
    <n v="-0.04"/>
    <b v="1"/>
    <n v="0.04"/>
    <x v="1"/>
    <s v="Liability"/>
    <s v="Rec-Pay"/>
    <x v="0"/>
    <x v="0"/>
    <x v="1"/>
    <x v="11"/>
    <x v="2"/>
    <x v="0"/>
    <x v="0"/>
    <x v="1"/>
  </r>
  <r>
    <x v="71"/>
    <x v="1"/>
    <s v="Ctrl"/>
    <x v="7"/>
    <x v="1"/>
    <s v="Bank"/>
    <x v="1"/>
    <n v="93400"/>
    <b v="1"/>
    <n v="93400"/>
    <x v="0"/>
    <s v="Assets"/>
    <s v="Cash alike"/>
    <x v="0"/>
    <x v="0"/>
    <x v="0"/>
    <x v="0"/>
    <x v="1"/>
    <x v="0"/>
    <x v="0"/>
    <x v="1"/>
  </r>
  <r>
    <x v="71"/>
    <x v="1"/>
    <s v="Ctrl"/>
    <x v="7"/>
    <x v="9"/>
    <s v="Bank"/>
    <x v="12"/>
    <n v="-93400"/>
    <b v="1"/>
    <n v="-93400"/>
    <x v="0"/>
    <s v="Assets"/>
    <s v="Cash alike"/>
    <x v="0"/>
    <x v="0"/>
    <x v="0"/>
    <x v="0"/>
    <x v="9"/>
    <x v="0"/>
    <x v="0"/>
    <x v="1"/>
  </r>
  <r>
    <x v="72"/>
    <x v="1"/>
    <s v="GM"/>
    <x v="22"/>
    <x v="1"/>
    <s v="Bank"/>
    <x v="1"/>
    <n v="-1200000"/>
    <b v="1"/>
    <n v="-1200000"/>
    <x v="0"/>
    <s v="Assets"/>
    <s v="Cash alike"/>
    <x v="0"/>
    <x v="0"/>
    <x v="0"/>
    <x v="0"/>
    <x v="1"/>
    <x v="1"/>
    <x v="0"/>
    <x v="1"/>
  </r>
  <r>
    <x v="72"/>
    <x v="1"/>
    <s v="GM"/>
    <x v="22"/>
    <x v="4"/>
    <s v="RE"/>
    <x v="62"/>
    <n v="-1200000"/>
    <b v="1"/>
    <n v="1200000"/>
    <x v="1"/>
    <s v="Equity"/>
    <s v="Rsv"/>
    <x v="0"/>
    <x v="0"/>
    <x v="7"/>
    <x v="17"/>
    <x v="4"/>
    <x v="1"/>
    <x v="0"/>
    <x v="1"/>
  </r>
  <r>
    <x v="73"/>
    <x v="1"/>
    <s v="Online"/>
    <x v="23"/>
    <x v="1"/>
    <s v="Bank"/>
    <x v="1"/>
    <n v="99.149999999999991"/>
    <b v="1"/>
    <n v="99.149999999999991"/>
    <x v="0"/>
    <s v="Assets"/>
    <s v="Cash alike"/>
    <x v="3"/>
    <x v="1"/>
    <x v="0"/>
    <x v="0"/>
    <x v="1"/>
    <x v="2"/>
    <x v="0"/>
    <x v="1"/>
  </r>
  <r>
    <x v="74"/>
    <x v="1"/>
    <s v="Online"/>
    <x v="10"/>
    <x v="1"/>
    <s v="Bank"/>
    <x v="1"/>
    <n v="23384.05"/>
    <b v="1"/>
    <n v="23384.05"/>
    <x v="0"/>
    <s v="Assets"/>
    <s v="Cash alike"/>
    <x v="3"/>
    <x v="1"/>
    <x v="0"/>
    <x v="0"/>
    <x v="1"/>
    <x v="2"/>
    <x v="0"/>
    <x v="1"/>
  </r>
  <r>
    <x v="75"/>
    <x v="1"/>
    <s v="Brand"/>
    <x v="24"/>
    <x v="1"/>
    <s v="Bank"/>
    <x v="1"/>
    <n v="100000"/>
    <b v="1"/>
    <n v="100000"/>
    <x v="0"/>
    <s v="Assets"/>
    <s v="Cash alike"/>
    <x v="4"/>
    <x v="0"/>
    <x v="0"/>
    <x v="0"/>
    <x v="1"/>
    <x v="3"/>
    <x v="0"/>
    <x v="1"/>
  </r>
  <r>
    <x v="76"/>
    <x v="1"/>
    <s v="Ctrl"/>
    <x v="25"/>
    <x v="1"/>
    <s v="Bank"/>
    <x v="1"/>
    <n v="-5578.9"/>
    <b v="1"/>
    <n v="-5578.9"/>
    <x v="0"/>
    <s v="Assets"/>
    <s v="Cash alike"/>
    <x v="0"/>
    <x v="0"/>
    <x v="0"/>
    <x v="0"/>
    <x v="1"/>
    <x v="0"/>
    <x v="0"/>
    <x v="1"/>
  </r>
  <r>
    <x v="76"/>
    <x v="1"/>
    <s v="Ctrl"/>
    <x v="25"/>
    <x v="1"/>
    <s v="ToOther"/>
    <x v="63"/>
    <n v="-5578.9"/>
    <b v="1"/>
    <n v="5578.9"/>
    <x v="1"/>
    <s v="Liability"/>
    <s v="Rec-Pay"/>
    <x v="0"/>
    <x v="0"/>
    <x v="1"/>
    <x v="13"/>
    <x v="1"/>
    <x v="0"/>
    <x v="0"/>
    <x v="1"/>
  </r>
  <r>
    <x v="77"/>
    <x v="1"/>
    <s v="Online"/>
    <x v="23"/>
    <x v="1"/>
    <s v="Bank"/>
    <x v="1"/>
    <n v="65"/>
    <b v="1"/>
    <n v="65"/>
    <x v="0"/>
    <s v="Assets"/>
    <s v="Cash alike"/>
    <x v="3"/>
    <x v="1"/>
    <x v="0"/>
    <x v="0"/>
    <x v="1"/>
    <x v="2"/>
    <x v="0"/>
    <x v="1"/>
  </r>
  <r>
    <x v="78"/>
    <x v="1"/>
    <s v="Ctrl"/>
    <x v="26"/>
    <x v="1"/>
    <s v="Bank"/>
    <x v="1"/>
    <n v="-3000"/>
    <b v="1"/>
    <n v="-3000"/>
    <x v="0"/>
    <s v="Assets"/>
    <s v="Cash alike"/>
    <x v="1"/>
    <x v="1"/>
    <x v="0"/>
    <x v="0"/>
    <x v="1"/>
    <x v="0"/>
    <x v="0"/>
    <x v="1"/>
  </r>
  <r>
    <x v="79"/>
    <x v="1"/>
    <s v="Online"/>
    <x v="23"/>
    <x v="1"/>
    <s v="Bank"/>
    <x v="1"/>
    <n v="68"/>
    <b v="1"/>
    <n v="68"/>
    <x v="0"/>
    <s v="Assets"/>
    <s v="Cash alike"/>
    <x v="3"/>
    <x v="1"/>
    <x v="0"/>
    <x v="0"/>
    <x v="1"/>
    <x v="2"/>
    <x v="0"/>
    <x v="1"/>
  </r>
  <r>
    <x v="80"/>
    <x v="1"/>
    <s v="MY"/>
    <x v="12"/>
    <x v="7"/>
    <s v="ToTax"/>
    <x v="47"/>
    <n v="6600"/>
    <b v="1"/>
    <n v="-6600"/>
    <x v="1"/>
    <s v="Liability"/>
    <s v="Rec-Pay"/>
    <x v="2"/>
    <x v="1"/>
    <x v="1"/>
    <x v="11"/>
    <x v="7"/>
    <x v="4"/>
    <x v="0"/>
    <x v="1"/>
  </r>
  <r>
    <x v="81"/>
    <x v="1"/>
    <s v="Ctrl"/>
    <x v="7"/>
    <x v="1"/>
    <s v="Bank"/>
    <x v="1"/>
    <n v="500000"/>
    <b v="1"/>
    <n v="500000"/>
    <x v="0"/>
    <s v="Assets"/>
    <s v="Cash alike"/>
    <x v="0"/>
    <x v="0"/>
    <x v="0"/>
    <x v="0"/>
    <x v="1"/>
    <x v="0"/>
    <x v="0"/>
    <x v="1"/>
  </r>
  <r>
    <x v="81"/>
    <x v="1"/>
    <s v="Ctrl"/>
    <x v="7"/>
    <x v="4"/>
    <s v="Bank"/>
    <x v="4"/>
    <n v="-500000"/>
    <b v="1"/>
    <n v="-500000"/>
    <x v="0"/>
    <s v="Assets"/>
    <s v="Cash alike"/>
    <x v="0"/>
    <x v="0"/>
    <x v="0"/>
    <x v="0"/>
    <x v="4"/>
    <x v="0"/>
    <x v="0"/>
    <x v="1"/>
  </r>
  <r>
    <x v="82"/>
    <x v="1"/>
    <s v="Online"/>
    <x v="27"/>
    <x v="1"/>
    <s v="Bank"/>
    <x v="1"/>
    <n v="40.5"/>
    <b v="1"/>
    <n v="40.5"/>
    <x v="0"/>
    <s v="Assets"/>
    <s v="Cash alike"/>
    <x v="2"/>
    <x v="1"/>
    <x v="0"/>
    <x v="0"/>
    <x v="1"/>
    <x v="2"/>
    <x v="0"/>
    <x v="1"/>
  </r>
  <r>
    <x v="83"/>
    <x v="1"/>
    <s v="Ctrl"/>
    <x v="26"/>
    <x v="1"/>
    <s v="Bank"/>
    <x v="1"/>
    <n v="-8000"/>
    <b v="1"/>
    <n v="-8000"/>
    <x v="0"/>
    <s v="Assets"/>
    <s v="Cash alike"/>
    <x v="1"/>
    <x v="1"/>
    <x v="0"/>
    <x v="0"/>
    <x v="1"/>
    <x v="0"/>
    <x v="0"/>
    <x v="1"/>
  </r>
  <r>
    <x v="84"/>
    <x v="1"/>
    <s v="Ctrl"/>
    <x v="7"/>
    <x v="1"/>
    <s v="Bank"/>
    <x v="1"/>
    <n v="84100"/>
    <b v="1"/>
    <n v="84100"/>
    <x v="0"/>
    <s v="Assets"/>
    <s v="Cash alike"/>
    <x v="0"/>
    <x v="0"/>
    <x v="0"/>
    <x v="0"/>
    <x v="1"/>
    <x v="0"/>
    <x v="0"/>
    <x v="1"/>
  </r>
  <r>
    <x v="84"/>
    <x v="1"/>
    <s v="Ctrl"/>
    <x v="7"/>
    <x v="9"/>
    <s v="Bank"/>
    <x v="12"/>
    <n v="-84100"/>
    <b v="1"/>
    <n v="-84100"/>
    <x v="0"/>
    <s v="Assets"/>
    <s v="Cash alike"/>
    <x v="0"/>
    <x v="0"/>
    <x v="0"/>
    <x v="0"/>
    <x v="9"/>
    <x v="0"/>
    <x v="0"/>
    <x v="1"/>
  </r>
  <r>
    <x v="85"/>
    <x v="1"/>
    <s v="Online"/>
    <x v="23"/>
    <x v="1"/>
    <s v="Bank"/>
    <x v="1"/>
    <n v="60"/>
    <b v="1"/>
    <n v="60"/>
    <x v="0"/>
    <s v="Assets"/>
    <s v="Cash alike"/>
    <x v="3"/>
    <x v="1"/>
    <x v="0"/>
    <x v="0"/>
    <x v="1"/>
    <x v="2"/>
    <x v="0"/>
    <x v="1"/>
  </r>
  <r>
    <x v="86"/>
    <x v="1"/>
    <s v="Ctrl"/>
    <x v="28"/>
    <x v="1"/>
    <s v="Bank"/>
    <x v="1"/>
    <n v="25204.7"/>
    <b v="1"/>
    <n v="25204.7"/>
    <x v="0"/>
    <s v="Assets"/>
    <s v="Cash alike"/>
    <x v="0"/>
    <x v="0"/>
    <x v="0"/>
    <x v="0"/>
    <x v="1"/>
    <x v="0"/>
    <x v="0"/>
    <x v="1"/>
  </r>
  <r>
    <x v="86"/>
    <x v="1"/>
    <s v="Ctrl"/>
    <x v="28"/>
    <x v="1"/>
    <s v="AR"/>
    <x v="33"/>
    <n v="-25204.7"/>
    <b v="1"/>
    <n v="-25204.7"/>
    <x v="0"/>
    <s v="Assets"/>
    <s v="Rec-Pay"/>
    <x v="0"/>
    <x v="0"/>
    <x v="1"/>
    <x v="2"/>
    <x v="1"/>
    <x v="0"/>
    <x v="0"/>
    <x v="1"/>
  </r>
  <r>
    <x v="87"/>
    <x v="1"/>
    <s v="GM"/>
    <x v="6"/>
    <x v="12"/>
    <s v="Bank"/>
    <x v="19"/>
    <n v="-11465.37"/>
    <b v="1"/>
    <n v="-11465.37"/>
    <x v="0"/>
    <s v="Assets"/>
    <s v="Cash alike"/>
    <x v="1"/>
    <x v="1"/>
    <x v="0"/>
    <x v="0"/>
    <x v="12"/>
    <x v="1"/>
    <x v="0"/>
    <x v="1"/>
  </r>
  <r>
    <x v="87"/>
    <x v="1"/>
    <s v="GM"/>
    <x v="6"/>
    <x v="12"/>
    <s v="FrOther"/>
    <x v="22"/>
    <n v="3340.05"/>
    <b v="1"/>
    <n v="3340.05"/>
    <x v="0"/>
    <s v="Assets"/>
    <s v="Rec-Pay"/>
    <x v="1"/>
    <x v="1"/>
    <x v="1"/>
    <x v="3"/>
    <x v="12"/>
    <x v="1"/>
    <x v="0"/>
    <x v="1"/>
  </r>
  <r>
    <x v="88"/>
    <x v="1"/>
    <s v="GM"/>
    <x v="29"/>
    <x v="3"/>
    <s v="Order"/>
    <x v="34"/>
    <n v="-12999.135833333299"/>
    <b v="1"/>
    <n v="-12999.135833333299"/>
    <x v="0"/>
    <s v="Assets"/>
    <s v="Prep-Sub"/>
    <x v="1"/>
    <x v="1"/>
    <x v="2"/>
    <x v="6"/>
    <x v="3"/>
    <x v="1"/>
    <x v="0"/>
    <x v="1"/>
  </r>
  <r>
    <x v="89"/>
    <x v="1"/>
    <s v="GM"/>
    <x v="8"/>
    <x v="12"/>
    <s v="Bank"/>
    <x v="19"/>
    <n v="-29659.53"/>
    <b v="1"/>
    <n v="-29659.53"/>
    <x v="0"/>
    <s v="Assets"/>
    <s v="Cash alike"/>
    <x v="1"/>
    <x v="1"/>
    <x v="0"/>
    <x v="0"/>
    <x v="12"/>
    <x v="1"/>
    <x v="0"/>
    <x v="1"/>
  </r>
  <r>
    <x v="89"/>
    <x v="1"/>
    <s v="GM"/>
    <x v="8"/>
    <x v="12"/>
    <s v="FrOther"/>
    <x v="22"/>
    <n v="-3340.05"/>
    <b v="1"/>
    <n v="-3340.05"/>
    <x v="0"/>
    <s v="Assets"/>
    <s v="Rec-Pay"/>
    <x v="1"/>
    <x v="1"/>
    <x v="1"/>
    <x v="3"/>
    <x v="12"/>
    <x v="1"/>
    <x v="0"/>
    <x v="1"/>
  </r>
  <r>
    <x v="89"/>
    <x v="1"/>
    <s v="GM"/>
    <x v="8"/>
    <x v="12"/>
    <s v="ToTax"/>
    <x v="54"/>
    <n v="542.28"/>
    <b v="1"/>
    <n v="-542.28"/>
    <x v="1"/>
    <s v="Liability"/>
    <s v="Rec-Pay"/>
    <x v="1"/>
    <x v="1"/>
    <x v="1"/>
    <x v="11"/>
    <x v="12"/>
    <x v="1"/>
    <x v="0"/>
    <x v="1"/>
  </r>
  <r>
    <x v="89"/>
    <x v="1"/>
    <s v="GM"/>
    <x v="8"/>
    <x v="12"/>
    <s v="ToEmp"/>
    <x v="52"/>
    <n v="-33541.86"/>
    <b v="1"/>
    <n v="33541.86"/>
    <x v="1"/>
    <s v="Liability"/>
    <s v="Rec-Pay"/>
    <x v="1"/>
    <x v="1"/>
    <x v="1"/>
    <x v="12"/>
    <x v="12"/>
    <x v="1"/>
    <x v="0"/>
    <x v="1"/>
  </r>
  <r>
    <x v="90"/>
    <x v="1"/>
    <s v="GM"/>
    <x v="8"/>
    <x v="12"/>
    <s v="ToTax"/>
    <x v="54"/>
    <n v="-542.28"/>
    <b v="1"/>
    <n v="542.28"/>
    <x v="1"/>
    <s v="Liability"/>
    <s v="Rec-Pay"/>
    <x v="1"/>
    <x v="1"/>
    <x v="1"/>
    <x v="11"/>
    <x v="12"/>
    <x v="1"/>
    <x v="0"/>
    <x v="1"/>
  </r>
  <r>
    <x v="90"/>
    <x v="1"/>
    <s v="GM"/>
    <x v="8"/>
    <x v="12"/>
    <s v="Bank"/>
    <x v="19"/>
    <n v="-542.28"/>
    <b v="1"/>
    <n v="-542.28"/>
    <x v="0"/>
    <s v="Assets"/>
    <s v="Cash alike"/>
    <x v="1"/>
    <x v="1"/>
    <x v="0"/>
    <x v="0"/>
    <x v="12"/>
    <x v="1"/>
    <x v="0"/>
    <x v="1"/>
  </r>
  <r>
    <x v="91"/>
    <x v="1"/>
    <s v="Ctrl"/>
    <x v="8"/>
    <x v="12"/>
    <s v="Bank"/>
    <x v="19"/>
    <n v="-15725.69"/>
    <b v="1"/>
    <n v="-15725.69"/>
    <x v="0"/>
    <s v="Assets"/>
    <s v="Cash alike"/>
    <x v="1"/>
    <x v="1"/>
    <x v="0"/>
    <x v="0"/>
    <x v="12"/>
    <x v="0"/>
    <x v="0"/>
    <x v="1"/>
  </r>
  <r>
    <x v="91"/>
    <x v="1"/>
    <s v="Ctrl"/>
    <x v="8"/>
    <x v="12"/>
    <s v="ToTax"/>
    <x v="47"/>
    <n v="-4117.58"/>
    <b v="1"/>
    <n v="4117.58"/>
    <x v="1"/>
    <s v="Liability"/>
    <s v="Rec-Pay"/>
    <x v="1"/>
    <x v="1"/>
    <x v="1"/>
    <x v="11"/>
    <x v="12"/>
    <x v="0"/>
    <x v="0"/>
    <x v="1"/>
  </r>
  <r>
    <x v="91"/>
    <x v="1"/>
    <s v="Ctrl"/>
    <x v="8"/>
    <x v="12"/>
    <s v="ToTax"/>
    <x v="49"/>
    <n v="-205.87"/>
    <b v="1"/>
    <n v="205.87"/>
    <x v="1"/>
    <s v="Liability"/>
    <s v="Rec-Pay"/>
    <x v="1"/>
    <x v="1"/>
    <x v="1"/>
    <x v="11"/>
    <x v="12"/>
    <x v="0"/>
    <x v="0"/>
    <x v="1"/>
  </r>
  <r>
    <x v="91"/>
    <x v="1"/>
    <s v="Ctrl"/>
    <x v="8"/>
    <x v="12"/>
    <s v="ToTax"/>
    <x v="50"/>
    <n v="-2.96"/>
    <b v="1"/>
    <n v="2.96"/>
    <x v="1"/>
    <s v="Liability"/>
    <s v="Rec-Pay"/>
    <x v="1"/>
    <x v="1"/>
    <x v="1"/>
    <x v="11"/>
    <x v="12"/>
    <x v="0"/>
    <x v="0"/>
    <x v="1"/>
  </r>
  <r>
    <x v="91"/>
    <x v="1"/>
    <s v="Ctrl"/>
    <x v="8"/>
    <x v="12"/>
    <s v="ToTax"/>
    <x v="51"/>
    <n v="-11399.28"/>
    <b v="1"/>
    <n v="11399.28"/>
    <x v="1"/>
    <s v="Liability"/>
    <s v="Rec-Pay"/>
    <x v="1"/>
    <x v="1"/>
    <x v="1"/>
    <x v="11"/>
    <x v="12"/>
    <x v="0"/>
    <x v="0"/>
    <x v="1"/>
  </r>
  <r>
    <x v="92"/>
    <x v="1"/>
    <s v="Zhuse"/>
    <x v="23"/>
    <x v="12"/>
    <s v="Bank"/>
    <x v="19"/>
    <n v="495.53"/>
    <b v="1"/>
    <n v="495.53"/>
    <x v="0"/>
    <s v="Assets"/>
    <s v="Cash alike"/>
    <x v="3"/>
    <x v="1"/>
    <x v="0"/>
    <x v="0"/>
    <x v="12"/>
    <x v="5"/>
    <x v="0"/>
    <x v="1"/>
  </r>
  <r>
    <x v="93"/>
    <x v="1"/>
    <s v="Online"/>
    <x v="12"/>
    <x v="3"/>
    <s v="ToTax"/>
    <x v="47"/>
    <n v="3367.39"/>
    <b v="1"/>
    <n v="-3367.39"/>
    <x v="1"/>
    <s v="Liability"/>
    <s v="Rec-Pay"/>
    <x v="2"/>
    <x v="1"/>
    <x v="1"/>
    <x v="11"/>
    <x v="3"/>
    <x v="2"/>
    <x v="0"/>
    <x v="1"/>
  </r>
  <r>
    <x v="94"/>
    <x v="1"/>
    <s v="GM"/>
    <x v="21"/>
    <x v="12"/>
    <s v="Bank"/>
    <x v="19"/>
    <n v="93.81"/>
    <b v="1"/>
    <n v="93.81"/>
    <x v="0"/>
    <s v="Assets"/>
    <s v="Cash alike"/>
    <x v="0"/>
    <x v="0"/>
    <x v="0"/>
    <x v="0"/>
    <x v="12"/>
    <x v="1"/>
    <x v="0"/>
    <x v="1"/>
  </r>
  <r>
    <x v="95"/>
    <x v="1"/>
    <s v="Zhuse"/>
    <x v="12"/>
    <x v="12"/>
    <s v="ToTax"/>
    <x v="47"/>
    <n v="0.93"/>
    <b v="1"/>
    <n v="-0.93"/>
    <x v="1"/>
    <s v="Liability"/>
    <s v="Rec-Pay"/>
    <x v="2"/>
    <x v="1"/>
    <x v="1"/>
    <x v="11"/>
    <x v="12"/>
    <x v="5"/>
    <x v="0"/>
    <x v="1"/>
  </r>
  <r>
    <x v="96"/>
    <x v="1"/>
    <s v="GM"/>
    <x v="18"/>
    <x v="12"/>
    <s v="Bank"/>
    <x v="19"/>
    <n v="-164.54"/>
    <b v="1"/>
    <n v="-164.54"/>
    <x v="0"/>
    <s v="Assets"/>
    <s v="Cash alike"/>
    <x v="1"/>
    <x v="1"/>
    <x v="0"/>
    <x v="0"/>
    <x v="12"/>
    <x v="1"/>
    <x v="0"/>
    <x v="1"/>
  </r>
  <r>
    <x v="97"/>
    <x v="1"/>
    <s v="GM"/>
    <x v="30"/>
    <x v="12"/>
    <s v="Bank"/>
    <x v="19"/>
    <n v="-2953.64"/>
    <b v="1"/>
    <n v="-2953.64"/>
    <x v="0"/>
    <s v="Assets"/>
    <s v="Cash alike"/>
    <x v="1"/>
    <x v="1"/>
    <x v="0"/>
    <x v="0"/>
    <x v="12"/>
    <x v="1"/>
    <x v="0"/>
    <x v="1"/>
  </r>
  <r>
    <x v="98"/>
    <x v="1"/>
    <s v="GM"/>
    <x v="30"/>
    <x v="12"/>
    <s v="Bank"/>
    <x v="19"/>
    <n v="-462.08"/>
    <b v="1"/>
    <n v="-462.08"/>
    <x v="0"/>
    <s v="Assets"/>
    <s v="Cash alike"/>
    <x v="1"/>
    <x v="1"/>
    <x v="0"/>
    <x v="0"/>
    <x v="12"/>
    <x v="1"/>
    <x v="0"/>
    <x v="1"/>
  </r>
  <r>
    <x v="99"/>
    <x v="1"/>
    <s v="GM"/>
    <x v="18"/>
    <x v="12"/>
    <s v="Bank"/>
    <x v="19"/>
    <n v="-479"/>
    <b v="1"/>
    <n v="-479"/>
    <x v="0"/>
    <s v="Assets"/>
    <s v="Cash alike"/>
    <x v="1"/>
    <x v="1"/>
    <x v="0"/>
    <x v="0"/>
    <x v="12"/>
    <x v="1"/>
    <x v="0"/>
    <x v="1"/>
  </r>
  <r>
    <x v="100"/>
    <x v="1"/>
    <s v="Zhuse"/>
    <x v="31"/>
    <x v="12"/>
    <s v="Bank"/>
    <x v="19"/>
    <n v="-4500"/>
    <b v="1"/>
    <n v="-4500"/>
    <x v="0"/>
    <s v="Assets"/>
    <s v="Cash alike"/>
    <x v="2"/>
    <x v="1"/>
    <x v="0"/>
    <x v="0"/>
    <x v="12"/>
    <x v="5"/>
    <x v="0"/>
    <x v="1"/>
  </r>
  <r>
    <x v="101"/>
    <x v="1"/>
    <s v="GM"/>
    <x v="18"/>
    <x v="12"/>
    <s v="Bank"/>
    <x v="19"/>
    <n v="-2478"/>
    <b v="1"/>
    <n v="-2478"/>
    <x v="0"/>
    <s v="Assets"/>
    <s v="Cash alike"/>
    <x v="1"/>
    <x v="1"/>
    <x v="0"/>
    <x v="0"/>
    <x v="12"/>
    <x v="1"/>
    <x v="0"/>
    <x v="1"/>
  </r>
  <r>
    <x v="102"/>
    <x v="1"/>
    <s v="Zhuse"/>
    <x v="32"/>
    <x v="12"/>
    <s v="Bank"/>
    <x v="19"/>
    <n v="-3860"/>
    <b v="1"/>
    <n v="-3860"/>
    <x v="0"/>
    <s v="Assets"/>
    <s v="Cash alike"/>
    <x v="1"/>
    <x v="1"/>
    <x v="0"/>
    <x v="0"/>
    <x v="12"/>
    <x v="5"/>
    <x v="0"/>
    <x v="1"/>
  </r>
  <r>
    <x v="103"/>
    <x v="1"/>
    <s v="Zhuse"/>
    <x v="31"/>
    <x v="12"/>
    <s v="Bank"/>
    <x v="19"/>
    <n v="26300.7"/>
    <b v="1"/>
    <n v="26300.7"/>
    <x v="0"/>
    <s v="Assets"/>
    <s v="Cash alike"/>
    <x v="2"/>
    <x v="1"/>
    <x v="0"/>
    <x v="0"/>
    <x v="12"/>
    <x v="5"/>
    <x v="0"/>
    <x v="1"/>
  </r>
  <r>
    <x v="104"/>
    <x v="1"/>
    <s v="GM"/>
    <x v="13"/>
    <x v="12"/>
    <s v="Bank"/>
    <x v="19"/>
    <n v="-21"/>
    <b v="1"/>
    <n v="-21"/>
    <x v="0"/>
    <s v="Assets"/>
    <s v="Cash alike"/>
    <x v="1"/>
    <x v="1"/>
    <x v="0"/>
    <x v="0"/>
    <x v="12"/>
    <x v="1"/>
    <x v="0"/>
    <x v="1"/>
  </r>
  <r>
    <x v="105"/>
    <x v="1"/>
    <s v="GM"/>
    <x v="15"/>
    <x v="12"/>
    <s v="Bank"/>
    <x v="19"/>
    <n v="-15000"/>
    <b v="1"/>
    <n v="-15000"/>
    <x v="0"/>
    <s v="Assets"/>
    <s v="Cash alike"/>
    <x v="4"/>
    <x v="0"/>
    <x v="0"/>
    <x v="0"/>
    <x v="12"/>
    <x v="1"/>
    <x v="0"/>
    <x v="1"/>
  </r>
  <r>
    <x v="106"/>
    <x v="1"/>
    <s v="MY"/>
    <x v="12"/>
    <x v="7"/>
    <s v="ToTax"/>
    <x v="47"/>
    <n v="900"/>
    <b v="1"/>
    <n v="-900"/>
    <x v="1"/>
    <s v="Liability"/>
    <s v="Rec-Pay"/>
    <x v="2"/>
    <x v="1"/>
    <x v="1"/>
    <x v="11"/>
    <x v="7"/>
    <x v="4"/>
    <x v="0"/>
    <x v="1"/>
  </r>
  <r>
    <x v="107"/>
    <x v="1"/>
    <s v="Ctrl"/>
    <x v="7"/>
    <x v="12"/>
    <s v="Bank"/>
    <x v="19"/>
    <n v="-85000"/>
    <b v="1"/>
    <n v="-85000"/>
    <x v="0"/>
    <s v="Assets"/>
    <s v="Cash alike"/>
    <x v="0"/>
    <x v="0"/>
    <x v="0"/>
    <x v="0"/>
    <x v="12"/>
    <x v="0"/>
    <x v="0"/>
    <x v="1"/>
  </r>
  <r>
    <x v="107"/>
    <x v="1"/>
    <s v="Ctrl"/>
    <x v="7"/>
    <x v="8"/>
    <s v="Bank"/>
    <x v="11"/>
    <n v="85000"/>
    <b v="1"/>
    <n v="85000"/>
    <x v="0"/>
    <s v="Assets"/>
    <s v="Cash alike"/>
    <x v="0"/>
    <x v="0"/>
    <x v="0"/>
    <x v="0"/>
    <x v="8"/>
    <x v="0"/>
    <x v="0"/>
    <x v="1"/>
  </r>
  <r>
    <x v="108"/>
    <x v="1"/>
    <s v="Zhuse"/>
    <x v="14"/>
    <x v="12"/>
    <s v="ToEmp"/>
    <x v="52"/>
    <n v="36551.61"/>
    <b v="1"/>
    <n v="-36551.61"/>
    <x v="1"/>
    <s v="Liability"/>
    <s v="Rec-Pay"/>
    <x v="1"/>
    <x v="1"/>
    <x v="1"/>
    <x v="12"/>
    <x v="12"/>
    <x v="5"/>
    <x v="0"/>
    <x v="1"/>
  </r>
  <r>
    <x v="109"/>
    <x v="1"/>
    <s v="Zhuse"/>
    <x v="12"/>
    <x v="12"/>
    <s v="ToTax"/>
    <x v="47"/>
    <n v="265.31"/>
    <b v="1"/>
    <n v="-265.31"/>
    <x v="1"/>
    <s v="Liability"/>
    <s v="Rec-Pay"/>
    <x v="2"/>
    <x v="1"/>
    <x v="1"/>
    <x v="11"/>
    <x v="12"/>
    <x v="5"/>
    <x v="0"/>
    <x v="1"/>
  </r>
  <r>
    <x v="110"/>
    <x v="1"/>
    <s v="Zhuse"/>
    <x v="23"/>
    <x v="12"/>
    <s v="Bank"/>
    <x v="20"/>
    <n v="200"/>
    <b v="1"/>
    <n v="200"/>
    <x v="0"/>
    <s v="Assets"/>
    <s v="Cash alike"/>
    <x v="3"/>
    <x v="1"/>
    <x v="0"/>
    <x v="0"/>
    <x v="12"/>
    <x v="5"/>
    <x v="0"/>
    <x v="1"/>
  </r>
  <r>
    <x v="111"/>
    <x v="1"/>
    <s v="Shuijie"/>
    <x v="33"/>
    <x v="6"/>
    <s v="Bank"/>
    <x v="8"/>
    <n v="12892.74"/>
    <b v="1"/>
    <n v="12892.74"/>
    <x v="0"/>
    <s v="Assets"/>
    <s v="Cash alike"/>
    <x v="3"/>
    <x v="1"/>
    <x v="0"/>
    <x v="0"/>
    <x v="6"/>
    <x v="6"/>
    <x v="0"/>
    <x v="1"/>
  </r>
  <r>
    <x v="111"/>
    <x v="1"/>
    <s v="Shuijie"/>
    <x v="33"/>
    <x v="6"/>
    <s v="AR"/>
    <x v="21"/>
    <n v="-12892.74"/>
    <b v="1"/>
    <n v="-12892.74"/>
    <x v="0"/>
    <s v="Assets"/>
    <s v="Rec-Pay"/>
    <x v="3"/>
    <x v="1"/>
    <x v="1"/>
    <x v="2"/>
    <x v="6"/>
    <x v="6"/>
    <x v="0"/>
    <x v="1"/>
  </r>
  <r>
    <x v="112"/>
    <x v="1"/>
    <s v="Shuijie"/>
    <x v="34"/>
    <x v="6"/>
    <s v="Bank"/>
    <x v="8"/>
    <n v="373.69000000000051"/>
    <b v="1"/>
    <n v="373.69000000000051"/>
    <x v="0"/>
    <s v="Assets"/>
    <s v="Cash alike"/>
    <x v="3"/>
    <x v="1"/>
    <x v="0"/>
    <x v="0"/>
    <x v="6"/>
    <x v="6"/>
    <x v="0"/>
    <x v="1"/>
  </r>
  <r>
    <x v="113"/>
    <x v="1"/>
    <s v="Shuijie"/>
    <x v="8"/>
    <x v="6"/>
    <s v="Bank"/>
    <x v="8"/>
    <n v="-256"/>
    <b v="1"/>
    <n v="-256"/>
    <x v="0"/>
    <s v="Assets"/>
    <s v="Cash alike"/>
    <x v="2"/>
    <x v="1"/>
    <x v="0"/>
    <x v="0"/>
    <x v="6"/>
    <x v="6"/>
    <x v="0"/>
    <x v="1"/>
  </r>
  <r>
    <x v="113"/>
    <x v="1"/>
    <s v="Shuijie"/>
    <x v="8"/>
    <x v="6"/>
    <s v="Order"/>
    <x v="35"/>
    <n v="256"/>
    <b v="1"/>
    <n v="256"/>
    <x v="0"/>
    <s v="Assets"/>
    <s v="Prep-Sub"/>
    <x v="2"/>
    <x v="1"/>
    <x v="2"/>
    <x v="6"/>
    <x v="6"/>
    <x v="6"/>
    <x v="0"/>
    <x v="1"/>
  </r>
  <r>
    <x v="114"/>
    <x v="1"/>
    <s v="Shuijie"/>
    <x v="35"/>
    <x v="6"/>
    <s v="Bank"/>
    <x v="8"/>
    <n v="-3839"/>
    <b v="1"/>
    <n v="-3839"/>
    <x v="0"/>
    <s v="Assets"/>
    <s v="Cash alike"/>
    <x v="2"/>
    <x v="1"/>
    <x v="0"/>
    <x v="0"/>
    <x v="6"/>
    <x v="6"/>
    <x v="0"/>
    <x v="1"/>
  </r>
  <r>
    <x v="115"/>
    <x v="1"/>
    <s v="Shuijie"/>
    <x v="8"/>
    <x v="6"/>
    <s v="Bank"/>
    <x v="8"/>
    <n v="-6990"/>
    <b v="1"/>
    <n v="-6990"/>
    <x v="0"/>
    <s v="Assets"/>
    <s v="Cash alike"/>
    <x v="2"/>
    <x v="1"/>
    <x v="0"/>
    <x v="0"/>
    <x v="6"/>
    <x v="6"/>
    <x v="0"/>
    <x v="1"/>
  </r>
  <r>
    <x v="115"/>
    <x v="1"/>
    <s v="Shuijie"/>
    <x v="8"/>
    <x v="6"/>
    <s v="Order"/>
    <x v="35"/>
    <n v="6990"/>
    <b v="1"/>
    <n v="6990"/>
    <x v="0"/>
    <s v="Assets"/>
    <s v="Prep-Sub"/>
    <x v="2"/>
    <x v="1"/>
    <x v="2"/>
    <x v="6"/>
    <x v="6"/>
    <x v="6"/>
    <x v="0"/>
    <x v="1"/>
  </r>
  <r>
    <x v="116"/>
    <x v="1"/>
    <s v="Shuijie"/>
    <x v="8"/>
    <x v="6"/>
    <s v="Bank"/>
    <x v="8"/>
    <n v="-3000"/>
    <b v="1"/>
    <n v="-3000"/>
    <x v="0"/>
    <s v="Assets"/>
    <s v="Cash alike"/>
    <x v="2"/>
    <x v="1"/>
    <x v="0"/>
    <x v="0"/>
    <x v="6"/>
    <x v="6"/>
    <x v="0"/>
    <x v="1"/>
  </r>
  <r>
    <x v="116"/>
    <x v="1"/>
    <s v="Shuijie"/>
    <x v="8"/>
    <x v="6"/>
    <s v="Order"/>
    <x v="35"/>
    <n v="3000"/>
    <b v="1"/>
    <n v="3000"/>
    <x v="0"/>
    <s v="Assets"/>
    <s v="Prep-Sub"/>
    <x v="2"/>
    <x v="1"/>
    <x v="2"/>
    <x v="6"/>
    <x v="6"/>
    <x v="6"/>
    <x v="0"/>
    <x v="1"/>
  </r>
  <r>
    <x v="117"/>
    <x v="1"/>
    <s v="Shuijie"/>
    <x v="35"/>
    <x v="6"/>
    <s v="Bank"/>
    <x v="8"/>
    <n v="-2820"/>
    <b v="1"/>
    <n v="-2820"/>
    <x v="0"/>
    <s v="Assets"/>
    <s v="Cash alike"/>
    <x v="2"/>
    <x v="1"/>
    <x v="0"/>
    <x v="0"/>
    <x v="6"/>
    <x v="6"/>
    <x v="0"/>
    <x v="1"/>
  </r>
  <r>
    <x v="118"/>
    <x v="1"/>
    <s v="Shuijie"/>
    <x v="36"/>
    <x v="6"/>
    <s v="Bank"/>
    <x v="8"/>
    <n v="-2250"/>
    <b v="1"/>
    <n v="-2250"/>
    <x v="0"/>
    <s v="Assets"/>
    <s v="Cash alike"/>
    <x v="2"/>
    <x v="1"/>
    <x v="0"/>
    <x v="0"/>
    <x v="6"/>
    <x v="6"/>
    <x v="0"/>
    <x v="1"/>
  </r>
  <r>
    <x v="119"/>
    <x v="1"/>
    <s v="GM"/>
    <x v="6"/>
    <x v="6"/>
    <s v="Bank"/>
    <x v="8"/>
    <n v="-36070.720000000001"/>
    <b v="1"/>
    <n v="-36070.720000000001"/>
    <x v="0"/>
    <s v="Assets"/>
    <s v="Cash alike"/>
    <x v="1"/>
    <x v="1"/>
    <x v="0"/>
    <x v="0"/>
    <x v="6"/>
    <x v="1"/>
    <x v="0"/>
    <x v="1"/>
  </r>
  <r>
    <x v="119"/>
    <x v="1"/>
    <s v="GM"/>
    <x v="6"/>
    <x v="6"/>
    <s v="FrOther"/>
    <x v="22"/>
    <n v="10497.3"/>
    <b v="1"/>
    <n v="10497.3"/>
    <x v="0"/>
    <s v="Assets"/>
    <s v="Rec-Pay"/>
    <x v="1"/>
    <x v="1"/>
    <x v="1"/>
    <x v="3"/>
    <x v="6"/>
    <x v="1"/>
    <x v="0"/>
    <x v="1"/>
  </r>
  <r>
    <x v="120"/>
    <x v="1"/>
    <s v="Shuijie"/>
    <x v="36"/>
    <x v="6"/>
    <s v="Bank"/>
    <x v="8"/>
    <n v="-1300"/>
    <b v="1"/>
    <n v="-1300"/>
    <x v="0"/>
    <s v="Assets"/>
    <s v="Cash alike"/>
    <x v="2"/>
    <x v="1"/>
    <x v="0"/>
    <x v="0"/>
    <x v="6"/>
    <x v="6"/>
    <x v="0"/>
    <x v="1"/>
  </r>
  <r>
    <x v="121"/>
    <x v="1"/>
    <s v="Shuijie"/>
    <x v="8"/>
    <x v="6"/>
    <s v="Bank"/>
    <x v="8"/>
    <n v="-2015"/>
    <b v="1"/>
    <n v="-2015"/>
    <x v="0"/>
    <s v="Assets"/>
    <s v="Cash alike"/>
    <x v="1"/>
    <x v="1"/>
    <x v="0"/>
    <x v="0"/>
    <x v="6"/>
    <x v="6"/>
    <x v="0"/>
    <x v="1"/>
  </r>
  <r>
    <x v="121"/>
    <x v="1"/>
    <s v="Shuijie"/>
    <x v="8"/>
    <x v="6"/>
    <s v="Order"/>
    <x v="35"/>
    <n v="2015"/>
    <b v="1"/>
    <n v="2015"/>
    <x v="0"/>
    <s v="Assets"/>
    <s v="Prep-Sub"/>
    <x v="1"/>
    <x v="1"/>
    <x v="2"/>
    <x v="6"/>
    <x v="6"/>
    <x v="6"/>
    <x v="0"/>
    <x v="1"/>
  </r>
  <r>
    <x v="122"/>
    <x v="1"/>
    <s v="Shuijie"/>
    <x v="35"/>
    <x v="6"/>
    <s v="Bank"/>
    <x v="8"/>
    <n v="-22050"/>
    <b v="1"/>
    <n v="-22050"/>
    <x v="0"/>
    <s v="Assets"/>
    <s v="Cash alike"/>
    <x v="2"/>
    <x v="1"/>
    <x v="0"/>
    <x v="0"/>
    <x v="6"/>
    <x v="6"/>
    <x v="0"/>
    <x v="1"/>
  </r>
  <r>
    <x v="123"/>
    <x v="1"/>
    <s v="Shuijie"/>
    <x v="8"/>
    <x v="6"/>
    <s v="Order"/>
    <x v="35"/>
    <n v="564"/>
    <b v="1"/>
    <n v="564"/>
    <x v="0"/>
    <s v="Assets"/>
    <s v="Prep-Sub"/>
    <x v="2"/>
    <x v="1"/>
    <x v="2"/>
    <x v="6"/>
    <x v="6"/>
    <x v="6"/>
    <x v="0"/>
    <x v="1"/>
  </r>
  <r>
    <x v="123"/>
    <x v="1"/>
    <s v="Shuijie"/>
    <x v="8"/>
    <x v="6"/>
    <s v="Bank"/>
    <x v="8"/>
    <n v="-564"/>
    <b v="1"/>
    <n v="-564"/>
    <x v="0"/>
    <s v="Assets"/>
    <s v="Cash alike"/>
    <x v="2"/>
    <x v="1"/>
    <x v="0"/>
    <x v="0"/>
    <x v="6"/>
    <x v="6"/>
    <x v="0"/>
    <x v="1"/>
  </r>
  <r>
    <x v="124"/>
    <x v="1"/>
    <s v="Shuijie"/>
    <x v="8"/>
    <x v="6"/>
    <s v="Order"/>
    <x v="35"/>
    <n v="3360"/>
    <b v="1"/>
    <n v="3360"/>
    <x v="0"/>
    <s v="Assets"/>
    <s v="Prep-Sub"/>
    <x v="2"/>
    <x v="1"/>
    <x v="2"/>
    <x v="6"/>
    <x v="6"/>
    <x v="6"/>
    <x v="0"/>
    <x v="1"/>
  </r>
  <r>
    <x v="124"/>
    <x v="1"/>
    <s v="Shuijie"/>
    <x v="8"/>
    <x v="6"/>
    <s v="Bank"/>
    <x v="8"/>
    <n v="-3360"/>
    <b v="1"/>
    <n v="-3360"/>
    <x v="0"/>
    <s v="Assets"/>
    <s v="Cash alike"/>
    <x v="2"/>
    <x v="1"/>
    <x v="0"/>
    <x v="0"/>
    <x v="6"/>
    <x v="6"/>
    <x v="0"/>
    <x v="1"/>
  </r>
  <r>
    <x v="125"/>
    <x v="1"/>
    <s v="Shuijie"/>
    <x v="8"/>
    <x v="6"/>
    <s v="Order"/>
    <x v="35"/>
    <n v="5252"/>
    <b v="1"/>
    <n v="5252"/>
    <x v="0"/>
    <s v="Assets"/>
    <s v="Prep-Sub"/>
    <x v="2"/>
    <x v="1"/>
    <x v="2"/>
    <x v="6"/>
    <x v="6"/>
    <x v="6"/>
    <x v="0"/>
    <x v="1"/>
  </r>
  <r>
    <x v="125"/>
    <x v="1"/>
    <s v="Shuijie"/>
    <x v="8"/>
    <x v="6"/>
    <s v="Bank"/>
    <x v="8"/>
    <n v="-5252"/>
    <b v="1"/>
    <n v="-5252"/>
    <x v="0"/>
    <s v="Assets"/>
    <s v="Cash alike"/>
    <x v="2"/>
    <x v="1"/>
    <x v="0"/>
    <x v="0"/>
    <x v="6"/>
    <x v="6"/>
    <x v="0"/>
    <x v="1"/>
  </r>
  <r>
    <x v="126"/>
    <x v="1"/>
    <s v="Shuijie"/>
    <x v="35"/>
    <x v="6"/>
    <s v="Bank"/>
    <x v="8"/>
    <n v="-30085.119999999999"/>
    <b v="1"/>
    <n v="-30085.119999999999"/>
    <x v="0"/>
    <s v="Assets"/>
    <s v="Cash alike"/>
    <x v="2"/>
    <x v="1"/>
    <x v="0"/>
    <x v="0"/>
    <x v="6"/>
    <x v="6"/>
    <x v="0"/>
    <x v="1"/>
  </r>
  <r>
    <x v="127"/>
    <x v="1"/>
    <s v="Shuijie"/>
    <x v="8"/>
    <x v="6"/>
    <s v="Order"/>
    <x v="35"/>
    <n v="3218"/>
    <b v="1"/>
    <n v="3218"/>
    <x v="0"/>
    <s v="Assets"/>
    <s v="Prep-Sub"/>
    <x v="2"/>
    <x v="1"/>
    <x v="2"/>
    <x v="6"/>
    <x v="6"/>
    <x v="6"/>
    <x v="0"/>
    <x v="1"/>
  </r>
  <r>
    <x v="127"/>
    <x v="1"/>
    <s v="Shuijie"/>
    <x v="8"/>
    <x v="6"/>
    <s v="Bank"/>
    <x v="8"/>
    <n v="-3218"/>
    <b v="1"/>
    <n v="-3218"/>
    <x v="0"/>
    <s v="Assets"/>
    <s v="Cash alike"/>
    <x v="2"/>
    <x v="1"/>
    <x v="0"/>
    <x v="0"/>
    <x v="6"/>
    <x v="6"/>
    <x v="0"/>
    <x v="1"/>
  </r>
  <r>
    <x v="128"/>
    <x v="1"/>
    <s v="Shuijie"/>
    <x v="8"/>
    <x v="6"/>
    <s v="Order"/>
    <x v="35"/>
    <n v="3750"/>
    <b v="1"/>
    <n v="3750"/>
    <x v="0"/>
    <s v="Assets"/>
    <s v="Prep-Sub"/>
    <x v="2"/>
    <x v="1"/>
    <x v="2"/>
    <x v="6"/>
    <x v="6"/>
    <x v="6"/>
    <x v="0"/>
    <x v="1"/>
  </r>
  <r>
    <x v="128"/>
    <x v="1"/>
    <s v="Shuijie"/>
    <x v="8"/>
    <x v="6"/>
    <s v="Bank"/>
    <x v="8"/>
    <n v="-3750"/>
    <b v="1"/>
    <n v="-3750"/>
    <x v="0"/>
    <s v="Assets"/>
    <s v="Cash alike"/>
    <x v="2"/>
    <x v="1"/>
    <x v="0"/>
    <x v="0"/>
    <x v="6"/>
    <x v="6"/>
    <x v="0"/>
    <x v="1"/>
  </r>
  <r>
    <x v="129"/>
    <x v="1"/>
    <s v="Shuijie"/>
    <x v="8"/>
    <x v="6"/>
    <s v="Order"/>
    <x v="35"/>
    <n v="1990"/>
    <b v="1"/>
    <n v="1990"/>
    <x v="0"/>
    <s v="Assets"/>
    <s v="Prep-Sub"/>
    <x v="2"/>
    <x v="1"/>
    <x v="2"/>
    <x v="6"/>
    <x v="6"/>
    <x v="6"/>
    <x v="0"/>
    <x v="1"/>
  </r>
  <r>
    <x v="129"/>
    <x v="1"/>
    <s v="Shuijie"/>
    <x v="8"/>
    <x v="6"/>
    <s v="Bank"/>
    <x v="8"/>
    <n v="-1990"/>
    <b v="1"/>
    <n v="-1990"/>
    <x v="0"/>
    <s v="Assets"/>
    <s v="Cash alike"/>
    <x v="2"/>
    <x v="1"/>
    <x v="0"/>
    <x v="0"/>
    <x v="6"/>
    <x v="6"/>
    <x v="0"/>
    <x v="1"/>
  </r>
  <r>
    <x v="130"/>
    <x v="1"/>
    <s v="Shuijie"/>
    <x v="8"/>
    <x v="6"/>
    <s v="Order"/>
    <x v="35"/>
    <n v="2540"/>
    <b v="1"/>
    <n v="2540"/>
    <x v="0"/>
    <s v="Assets"/>
    <s v="Prep-Sub"/>
    <x v="2"/>
    <x v="1"/>
    <x v="2"/>
    <x v="6"/>
    <x v="6"/>
    <x v="6"/>
    <x v="0"/>
    <x v="1"/>
  </r>
  <r>
    <x v="130"/>
    <x v="1"/>
    <s v="Shuijie"/>
    <x v="8"/>
    <x v="6"/>
    <s v="Bank"/>
    <x v="8"/>
    <n v="-2540"/>
    <b v="1"/>
    <n v="-2540"/>
    <x v="0"/>
    <s v="Assets"/>
    <s v="Cash alike"/>
    <x v="2"/>
    <x v="1"/>
    <x v="0"/>
    <x v="0"/>
    <x v="6"/>
    <x v="6"/>
    <x v="0"/>
    <x v="1"/>
  </r>
  <r>
    <x v="131"/>
    <x v="1"/>
    <s v="GM"/>
    <x v="8"/>
    <x v="6"/>
    <s v="Bank"/>
    <x v="8"/>
    <n v="-143950.89000000001"/>
    <b v="1"/>
    <n v="-143950.89000000001"/>
    <x v="0"/>
    <s v="Assets"/>
    <s v="Cash alike"/>
    <x v="1"/>
    <x v="1"/>
    <x v="0"/>
    <x v="0"/>
    <x v="6"/>
    <x v="1"/>
    <x v="0"/>
    <x v="1"/>
  </r>
  <r>
    <x v="131"/>
    <x v="1"/>
    <s v="GM"/>
    <x v="8"/>
    <x v="6"/>
    <s v="FrOther"/>
    <x v="22"/>
    <n v="-11451.6"/>
    <b v="1"/>
    <n v="-11451.6"/>
    <x v="0"/>
    <s v="Assets"/>
    <s v="Rec-Pay"/>
    <x v="1"/>
    <x v="1"/>
    <x v="1"/>
    <x v="3"/>
    <x v="6"/>
    <x v="1"/>
    <x v="0"/>
    <x v="1"/>
  </r>
  <r>
    <x v="131"/>
    <x v="1"/>
    <s v="GM"/>
    <x v="8"/>
    <x v="6"/>
    <s v="ToTax"/>
    <x v="54"/>
    <n v="1105.48"/>
    <b v="1"/>
    <n v="-1105.48"/>
    <x v="1"/>
    <s v="Liability"/>
    <s v="Rec-Pay"/>
    <x v="1"/>
    <x v="1"/>
    <x v="1"/>
    <x v="11"/>
    <x v="6"/>
    <x v="1"/>
    <x v="0"/>
    <x v="1"/>
  </r>
  <r>
    <x v="131"/>
    <x v="1"/>
    <s v="GM"/>
    <x v="8"/>
    <x v="6"/>
    <s v="ToEmp"/>
    <x v="52"/>
    <n v="-156507.97"/>
    <b v="1"/>
    <n v="156507.97"/>
    <x v="1"/>
    <s v="Liability"/>
    <s v="Rec-Pay"/>
    <x v="1"/>
    <x v="1"/>
    <x v="1"/>
    <x v="12"/>
    <x v="6"/>
    <x v="1"/>
    <x v="0"/>
    <x v="1"/>
  </r>
  <r>
    <x v="132"/>
    <x v="1"/>
    <s v="GM"/>
    <x v="8"/>
    <x v="6"/>
    <s v="ToTax"/>
    <x v="54"/>
    <n v="-1105.48"/>
    <b v="1"/>
    <n v="1105.48"/>
    <x v="1"/>
    <s v="Liability"/>
    <s v="Rec-Pay"/>
    <x v="1"/>
    <x v="1"/>
    <x v="1"/>
    <x v="11"/>
    <x v="6"/>
    <x v="1"/>
    <x v="0"/>
    <x v="1"/>
  </r>
  <r>
    <x v="132"/>
    <x v="1"/>
    <s v="GM"/>
    <x v="8"/>
    <x v="6"/>
    <s v="Bank"/>
    <x v="8"/>
    <n v="-1105.48"/>
    <b v="1"/>
    <n v="-1105.48"/>
    <x v="0"/>
    <s v="Assets"/>
    <s v="Cash alike"/>
    <x v="1"/>
    <x v="1"/>
    <x v="0"/>
    <x v="0"/>
    <x v="6"/>
    <x v="1"/>
    <x v="0"/>
    <x v="1"/>
  </r>
  <r>
    <x v="133"/>
    <x v="1"/>
    <s v="Shuijie"/>
    <x v="8"/>
    <x v="6"/>
    <s v="Bank"/>
    <x v="8"/>
    <n v="-1922.72"/>
    <b v="1"/>
    <n v="-1922.72"/>
    <x v="0"/>
    <s v="Assets"/>
    <s v="Cash alike"/>
    <x v="1"/>
    <x v="1"/>
    <x v="0"/>
    <x v="0"/>
    <x v="6"/>
    <x v="6"/>
    <x v="0"/>
    <x v="1"/>
  </r>
  <r>
    <x v="133"/>
    <x v="1"/>
    <s v="Shuijie"/>
    <x v="8"/>
    <x v="6"/>
    <s v="OnEmp"/>
    <x v="24"/>
    <n v="1922.72"/>
    <b v="1"/>
    <n v="1922.72"/>
    <x v="0"/>
    <s v="Assets"/>
    <s v="Prep-Sub"/>
    <x v="1"/>
    <x v="1"/>
    <x v="2"/>
    <x v="5"/>
    <x v="6"/>
    <x v="6"/>
    <x v="0"/>
    <x v="1"/>
  </r>
  <r>
    <x v="134"/>
    <x v="1"/>
    <s v="Shuijie"/>
    <x v="37"/>
    <x v="6"/>
    <s v="Bank"/>
    <x v="8"/>
    <n v="-2959"/>
    <b v="1"/>
    <n v="-2959"/>
    <x v="0"/>
    <s v="Assets"/>
    <s v="Cash alike"/>
    <x v="1"/>
    <x v="1"/>
    <x v="0"/>
    <x v="0"/>
    <x v="6"/>
    <x v="6"/>
    <x v="0"/>
    <x v="1"/>
  </r>
  <r>
    <x v="135"/>
    <x v="1"/>
    <s v="Shuijie"/>
    <x v="35"/>
    <x v="6"/>
    <s v="Bank"/>
    <x v="8"/>
    <n v="-14186"/>
    <b v="1"/>
    <n v="-14186"/>
    <x v="0"/>
    <s v="Assets"/>
    <s v="Cash alike"/>
    <x v="2"/>
    <x v="1"/>
    <x v="0"/>
    <x v="0"/>
    <x v="6"/>
    <x v="6"/>
    <x v="0"/>
    <x v="1"/>
  </r>
  <r>
    <x v="136"/>
    <x v="1"/>
    <s v="Shuijie"/>
    <x v="8"/>
    <x v="6"/>
    <s v="Bank"/>
    <x v="8"/>
    <n v="-570"/>
    <b v="1"/>
    <n v="-570"/>
    <x v="0"/>
    <s v="Assets"/>
    <s v="Cash alike"/>
    <x v="2"/>
    <x v="1"/>
    <x v="0"/>
    <x v="0"/>
    <x v="6"/>
    <x v="6"/>
    <x v="0"/>
    <x v="1"/>
  </r>
  <r>
    <x v="136"/>
    <x v="1"/>
    <s v="Shuijie"/>
    <x v="8"/>
    <x v="6"/>
    <s v="Order"/>
    <x v="35"/>
    <n v="570"/>
    <b v="1"/>
    <n v="570"/>
    <x v="0"/>
    <s v="Assets"/>
    <s v="Prep-Sub"/>
    <x v="2"/>
    <x v="1"/>
    <x v="2"/>
    <x v="6"/>
    <x v="6"/>
    <x v="6"/>
    <x v="0"/>
    <x v="1"/>
  </r>
  <r>
    <x v="137"/>
    <x v="1"/>
    <s v="Ctrl"/>
    <x v="8"/>
    <x v="6"/>
    <s v="Bank"/>
    <x v="8"/>
    <n v="-30461.37"/>
    <b v="1"/>
    <n v="-30461.37"/>
    <x v="0"/>
    <s v="Assets"/>
    <s v="Cash alike"/>
    <x v="1"/>
    <x v="1"/>
    <x v="0"/>
    <x v="0"/>
    <x v="6"/>
    <x v="0"/>
    <x v="0"/>
    <x v="1"/>
  </r>
  <r>
    <x v="137"/>
    <x v="1"/>
    <s v="Ctrl"/>
    <x v="8"/>
    <x v="6"/>
    <s v="ToTax"/>
    <x v="47"/>
    <n v="-12329.72"/>
    <b v="1"/>
    <n v="12329.72"/>
    <x v="1"/>
    <s v="Liability"/>
    <s v="Rec-Pay"/>
    <x v="1"/>
    <x v="1"/>
    <x v="1"/>
    <x v="11"/>
    <x v="6"/>
    <x v="0"/>
    <x v="0"/>
    <x v="1"/>
  </r>
  <r>
    <x v="137"/>
    <x v="1"/>
    <s v="Ctrl"/>
    <x v="8"/>
    <x v="6"/>
    <s v="ToTax"/>
    <x v="49"/>
    <n v="-856.77"/>
    <b v="1"/>
    <n v="856.77"/>
    <x v="1"/>
    <s v="Liability"/>
    <s v="Rec-Pay"/>
    <x v="1"/>
    <x v="1"/>
    <x v="1"/>
    <x v="11"/>
    <x v="6"/>
    <x v="0"/>
    <x v="0"/>
    <x v="1"/>
  </r>
  <r>
    <x v="137"/>
    <x v="1"/>
    <s v="Ctrl"/>
    <x v="8"/>
    <x v="6"/>
    <s v="ToTax"/>
    <x v="50"/>
    <n v="-72.72"/>
    <b v="1"/>
    <n v="72.72"/>
    <x v="1"/>
    <s v="Liability"/>
    <s v="Rec-Pay"/>
    <x v="1"/>
    <x v="1"/>
    <x v="1"/>
    <x v="11"/>
    <x v="6"/>
    <x v="0"/>
    <x v="0"/>
    <x v="1"/>
  </r>
  <r>
    <x v="137"/>
    <x v="1"/>
    <s v="Ctrl"/>
    <x v="8"/>
    <x v="6"/>
    <s v="ToTax"/>
    <x v="51"/>
    <n v="-17202.16"/>
    <b v="1"/>
    <n v="17202.16"/>
    <x v="1"/>
    <s v="Liability"/>
    <s v="Rec-Pay"/>
    <x v="1"/>
    <x v="1"/>
    <x v="1"/>
    <x v="11"/>
    <x v="6"/>
    <x v="0"/>
    <x v="0"/>
    <x v="1"/>
  </r>
  <r>
    <x v="138"/>
    <x v="1"/>
    <s v="Shuijie"/>
    <x v="11"/>
    <x v="6"/>
    <s v="Bank"/>
    <x v="8"/>
    <n v="-1690"/>
    <b v="1"/>
    <n v="-1690"/>
    <x v="0"/>
    <s v="Assets"/>
    <s v="Cash alike"/>
    <x v="2"/>
    <x v="1"/>
    <x v="0"/>
    <x v="0"/>
    <x v="6"/>
    <x v="6"/>
    <x v="0"/>
    <x v="1"/>
  </r>
  <r>
    <x v="138"/>
    <x v="1"/>
    <s v="Shuijie"/>
    <x v="11"/>
    <x v="6"/>
    <s v="Curr"/>
    <x v="37"/>
    <n v="1690"/>
    <b v="1"/>
    <n v="1690"/>
    <x v="0"/>
    <s v="Assets"/>
    <s v="Invtr"/>
    <x v="2"/>
    <x v="1"/>
    <x v="3"/>
    <x v="7"/>
    <x v="6"/>
    <x v="6"/>
    <x v="0"/>
    <x v="1"/>
  </r>
  <r>
    <x v="139"/>
    <x v="1"/>
    <s v="Shuijie"/>
    <x v="8"/>
    <x v="6"/>
    <s v="Order"/>
    <x v="35"/>
    <n v="4828"/>
    <b v="1"/>
    <n v="4828"/>
    <x v="0"/>
    <s v="Assets"/>
    <s v="Prep-Sub"/>
    <x v="2"/>
    <x v="1"/>
    <x v="2"/>
    <x v="6"/>
    <x v="6"/>
    <x v="6"/>
    <x v="0"/>
    <x v="1"/>
  </r>
  <r>
    <x v="139"/>
    <x v="1"/>
    <s v="Shuijie"/>
    <x v="8"/>
    <x v="6"/>
    <s v="Bank"/>
    <x v="8"/>
    <n v="-4828"/>
    <b v="1"/>
    <n v="-4828"/>
    <x v="0"/>
    <s v="Assets"/>
    <s v="Cash alike"/>
    <x v="2"/>
    <x v="1"/>
    <x v="0"/>
    <x v="0"/>
    <x v="6"/>
    <x v="6"/>
    <x v="0"/>
    <x v="1"/>
  </r>
  <r>
    <x v="140"/>
    <x v="1"/>
    <s v="Ctrl"/>
    <x v="38"/>
    <x v="6"/>
    <s v="Bank"/>
    <x v="8"/>
    <n v="-1170"/>
    <b v="1"/>
    <n v="-1170"/>
    <x v="0"/>
    <s v="Assets"/>
    <s v="Cash alike"/>
    <x v="1"/>
    <x v="1"/>
    <x v="0"/>
    <x v="0"/>
    <x v="6"/>
    <x v="0"/>
    <x v="0"/>
    <x v="1"/>
  </r>
  <r>
    <x v="141"/>
    <x v="1"/>
    <s v="Shuijie"/>
    <x v="35"/>
    <x v="6"/>
    <s v="OnEmp"/>
    <x v="24"/>
    <n v="-26542.62"/>
    <b v="1"/>
    <n v="-26542.62"/>
    <x v="0"/>
    <s v="Assets"/>
    <s v="Prep-Sub"/>
    <x v="2"/>
    <x v="1"/>
    <x v="2"/>
    <x v="5"/>
    <x v="6"/>
    <x v="6"/>
    <x v="0"/>
    <x v="1"/>
  </r>
  <r>
    <x v="142"/>
    <x v="1"/>
    <s v="Shuijie"/>
    <x v="36"/>
    <x v="6"/>
    <s v="OnEmp"/>
    <x v="24"/>
    <n v="-10264.579999999998"/>
    <b v="1"/>
    <n v="-10264.579999999998"/>
    <x v="0"/>
    <s v="Assets"/>
    <s v="Prep-Sub"/>
    <x v="2"/>
    <x v="1"/>
    <x v="2"/>
    <x v="5"/>
    <x v="6"/>
    <x v="6"/>
    <x v="0"/>
    <x v="1"/>
  </r>
  <r>
    <x v="143"/>
    <x v="1"/>
    <s v="Shuijie"/>
    <x v="8"/>
    <x v="6"/>
    <s v="Bank"/>
    <x v="8"/>
    <n v="-6807.2"/>
    <b v="1"/>
    <n v="-6807.2"/>
    <x v="0"/>
    <s v="Assets"/>
    <s v="Cash alike"/>
    <x v="1"/>
    <x v="1"/>
    <x v="0"/>
    <x v="0"/>
    <x v="6"/>
    <x v="6"/>
    <x v="0"/>
    <x v="1"/>
  </r>
  <r>
    <x v="143"/>
    <x v="1"/>
    <s v="Shuijie"/>
    <x v="8"/>
    <x v="6"/>
    <s v="OnEmp"/>
    <x v="24"/>
    <n v="6807.2"/>
    <b v="1"/>
    <n v="6807.2"/>
    <x v="0"/>
    <s v="Assets"/>
    <s v="Prep-Sub"/>
    <x v="1"/>
    <x v="1"/>
    <x v="2"/>
    <x v="5"/>
    <x v="6"/>
    <x v="6"/>
    <x v="0"/>
    <x v="1"/>
  </r>
  <r>
    <x v="144"/>
    <x v="1"/>
    <s v="Shuijie"/>
    <x v="8"/>
    <x v="6"/>
    <s v="Bank"/>
    <x v="8"/>
    <n v="-30000"/>
    <b v="1"/>
    <n v="-30000"/>
    <x v="0"/>
    <s v="Assets"/>
    <s v="Cash alike"/>
    <x v="1"/>
    <x v="1"/>
    <x v="0"/>
    <x v="0"/>
    <x v="6"/>
    <x v="6"/>
    <x v="0"/>
    <x v="1"/>
  </r>
  <r>
    <x v="144"/>
    <x v="1"/>
    <s v="Shuijie"/>
    <x v="8"/>
    <x v="6"/>
    <s v="OnEmp"/>
    <x v="24"/>
    <n v="30000"/>
    <b v="1"/>
    <n v="30000"/>
    <x v="0"/>
    <s v="Assets"/>
    <s v="Prep-Sub"/>
    <x v="1"/>
    <x v="1"/>
    <x v="2"/>
    <x v="5"/>
    <x v="6"/>
    <x v="6"/>
    <x v="0"/>
    <x v="1"/>
  </r>
  <r>
    <x v="145"/>
    <x v="1"/>
    <s v="Shuijie"/>
    <x v="39"/>
    <x v="6"/>
    <s v="Bank"/>
    <x v="8"/>
    <n v="1304"/>
    <b v="1"/>
    <n v="1304"/>
    <x v="0"/>
    <s v="Assets"/>
    <s v="Cash alike"/>
    <x v="0"/>
    <x v="0"/>
    <x v="0"/>
    <x v="0"/>
    <x v="6"/>
    <x v="6"/>
    <x v="0"/>
    <x v="1"/>
  </r>
  <r>
    <x v="145"/>
    <x v="1"/>
    <s v="Shuijie"/>
    <x v="39"/>
    <x v="6"/>
    <s v="Phys.C"/>
    <x v="9"/>
    <n v="-1304"/>
    <b v="1"/>
    <n v="-1304"/>
    <x v="0"/>
    <s v="Assets"/>
    <s v="Cash alike"/>
    <x v="0"/>
    <x v="0"/>
    <x v="0"/>
    <x v="1"/>
    <x v="6"/>
    <x v="6"/>
    <x v="0"/>
    <x v="1"/>
  </r>
  <r>
    <x v="146"/>
    <x v="1"/>
    <s v="GM"/>
    <x v="21"/>
    <x v="6"/>
    <s v="Bank"/>
    <x v="8"/>
    <n v="200.64"/>
    <b v="1"/>
    <n v="200.64"/>
    <x v="0"/>
    <s v="Assets"/>
    <s v="Cash alike"/>
    <x v="0"/>
    <x v="0"/>
    <x v="0"/>
    <x v="0"/>
    <x v="6"/>
    <x v="1"/>
    <x v="0"/>
    <x v="1"/>
  </r>
  <r>
    <x v="147"/>
    <x v="1"/>
    <s v="Shuijie"/>
    <x v="12"/>
    <x v="6"/>
    <s v="ToTax"/>
    <x v="47"/>
    <n v="1.99"/>
    <b v="1"/>
    <n v="-1.99"/>
    <x v="1"/>
    <s v="Liability"/>
    <s v="Rec-Pay"/>
    <x v="2"/>
    <x v="1"/>
    <x v="1"/>
    <x v="11"/>
    <x v="6"/>
    <x v="6"/>
    <x v="0"/>
    <x v="1"/>
  </r>
  <r>
    <x v="148"/>
    <x v="1"/>
    <s v="Shuijie"/>
    <x v="8"/>
    <x v="6"/>
    <s v="Order"/>
    <x v="35"/>
    <n v="3210"/>
    <b v="1"/>
    <n v="3210"/>
    <x v="0"/>
    <s v="Assets"/>
    <s v="Prep-Sub"/>
    <x v="2"/>
    <x v="1"/>
    <x v="2"/>
    <x v="6"/>
    <x v="6"/>
    <x v="6"/>
    <x v="0"/>
    <x v="1"/>
  </r>
  <r>
    <x v="148"/>
    <x v="1"/>
    <s v="Shuijie"/>
    <x v="8"/>
    <x v="6"/>
    <s v="Bank"/>
    <x v="8"/>
    <n v="-3210"/>
    <b v="1"/>
    <n v="-3210"/>
    <x v="0"/>
    <s v="Assets"/>
    <s v="Cash alike"/>
    <x v="2"/>
    <x v="1"/>
    <x v="0"/>
    <x v="0"/>
    <x v="6"/>
    <x v="6"/>
    <x v="0"/>
    <x v="1"/>
  </r>
  <r>
    <x v="149"/>
    <x v="1"/>
    <s v="Shuijie"/>
    <x v="8"/>
    <x v="6"/>
    <s v="Order"/>
    <x v="35"/>
    <n v="346"/>
    <b v="1"/>
    <n v="346"/>
    <x v="0"/>
    <s v="Assets"/>
    <s v="Prep-Sub"/>
    <x v="2"/>
    <x v="1"/>
    <x v="2"/>
    <x v="6"/>
    <x v="6"/>
    <x v="6"/>
    <x v="0"/>
    <x v="1"/>
  </r>
  <r>
    <x v="149"/>
    <x v="1"/>
    <s v="Shuijie"/>
    <x v="8"/>
    <x v="6"/>
    <s v="Bank"/>
    <x v="8"/>
    <n v="-346"/>
    <b v="1"/>
    <n v="-346"/>
    <x v="0"/>
    <s v="Assets"/>
    <s v="Cash alike"/>
    <x v="2"/>
    <x v="1"/>
    <x v="0"/>
    <x v="0"/>
    <x v="6"/>
    <x v="6"/>
    <x v="0"/>
    <x v="1"/>
  </r>
  <r>
    <x v="150"/>
    <x v="1"/>
    <s v="Shuijie"/>
    <x v="35"/>
    <x v="6"/>
    <s v="Bank"/>
    <x v="8"/>
    <n v="-427.29"/>
    <b v="1"/>
    <n v="-427.29"/>
    <x v="0"/>
    <s v="Assets"/>
    <s v="Cash alike"/>
    <x v="2"/>
    <x v="1"/>
    <x v="0"/>
    <x v="0"/>
    <x v="6"/>
    <x v="6"/>
    <x v="0"/>
    <x v="1"/>
  </r>
  <r>
    <x v="151"/>
    <x v="1"/>
    <s v="Shuijie"/>
    <x v="32"/>
    <x v="6"/>
    <s v="Bank"/>
    <x v="8"/>
    <n v="-300"/>
    <b v="1"/>
    <n v="-300"/>
    <x v="0"/>
    <s v="Assets"/>
    <s v="Cash alike"/>
    <x v="1"/>
    <x v="1"/>
    <x v="0"/>
    <x v="0"/>
    <x v="6"/>
    <x v="6"/>
    <x v="0"/>
    <x v="1"/>
  </r>
  <r>
    <x v="152"/>
    <x v="1"/>
    <s v="Shuijie"/>
    <x v="8"/>
    <x v="6"/>
    <s v="Bank"/>
    <x v="8"/>
    <n v="-2259.63"/>
    <b v="1"/>
    <n v="-2259.63"/>
    <x v="0"/>
    <s v="Assets"/>
    <s v="Cash alike"/>
    <x v="1"/>
    <x v="1"/>
    <x v="0"/>
    <x v="0"/>
    <x v="6"/>
    <x v="6"/>
    <x v="0"/>
    <x v="1"/>
  </r>
  <r>
    <x v="152"/>
    <x v="1"/>
    <s v="Shuijie"/>
    <x v="8"/>
    <x v="6"/>
    <s v="OnEmp"/>
    <x v="24"/>
    <n v="2259.63"/>
    <b v="1"/>
    <n v="2259.63"/>
    <x v="0"/>
    <s v="Assets"/>
    <s v="Prep-Sub"/>
    <x v="1"/>
    <x v="1"/>
    <x v="2"/>
    <x v="5"/>
    <x v="6"/>
    <x v="6"/>
    <x v="0"/>
    <x v="1"/>
  </r>
  <r>
    <x v="153"/>
    <x v="1"/>
    <s v="Shuijie"/>
    <x v="36"/>
    <x v="6"/>
    <s v="Bank"/>
    <x v="8"/>
    <n v="-244.32"/>
    <b v="1"/>
    <n v="-244.32"/>
    <x v="0"/>
    <s v="Assets"/>
    <s v="Cash alike"/>
    <x v="2"/>
    <x v="1"/>
    <x v="0"/>
    <x v="0"/>
    <x v="6"/>
    <x v="6"/>
    <x v="0"/>
    <x v="1"/>
  </r>
  <r>
    <x v="154"/>
    <x v="1"/>
    <s v="Shuijie"/>
    <x v="32"/>
    <x v="6"/>
    <s v="Bank"/>
    <x v="8"/>
    <n v="-9400"/>
    <b v="1"/>
    <n v="-9400"/>
    <x v="0"/>
    <s v="Assets"/>
    <s v="Cash alike"/>
    <x v="1"/>
    <x v="1"/>
    <x v="0"/>
    <x v="0"/>
    <x v="6"/>
    <x v="6"/>
    <x v="0"/>
    <x v="1"/>
  </r>
  <r>
    <x v="155"/>
    <x v="1"/>
    <s v="Shuijie"/>
    <x v="19"/>
    <x v="6"/>
    <s v="Bank"/>
    <x v="8"/>
    <n v="-3948"/>
    <b v="1"/>
    <n v="-3948"/>
    <x v="0"/>
    <s v="Assets"/>
    <s v="Cash alike"/>
    <x v="1"/>
    <x v="1"/>
    <x v="0"/>
    <x v="0"/>
    <x v="6"/>
    <x v="6"/>
    <x v="0"/>
    <x v="1"/>
  </r>
  <r>
    <x v="156"/>
    <x v="1"/>
    <s v="GM"/>
    <x v="13"/>
    <x v="6"/>
    <s v="Bank"/>
    <x v="8"/>
    <n v="-97.5"/>
    <b v="1"/>
    <n v="-97.5"/>
    <x v="0"/>
    <s v="Assets"/>
    <s v="Cash alike"/>
    <x v="1"/>
    <x v="1"/>
    <x v="0"/>
    <x v="0"/>
    <x v="6"/>
    <x v="1"/>
    <x v="0"/>
    <x v="1"/>
  </r>
  <r>
    <x v="157"/>
    <x v="1"/>
    <s v="Shuijie"/>
    <x v="40"/>
    <x v="6"/>
    <s v="Bank"/>
    <x v="8"/>
    <n v="1885.8"/>
    <b v="1"/>
    <n v="1885.8"/>
    <x v="0"/>
    <s v="Assets"/>
    <s v="Cash alike"/>
    <x v="3"/>
    <x v="1"/>
    <x v="0"/>
    <x v="0"/>
    <x v="6"/>
    <x v="6"/>
    <x v="0"/>
    <x v="1"/>
  </r>
  <r>
    <x v="158"/>
    <x v="1"/>
    <s v="Shuijie"/>
    <x v="40"/>
    <x v="6"/>
    <s v="Bank"/>
    <x v="8"/>
    <n v="448491.34"/>
    <b v="1"/>
    <n v="448491.34"/>
    <x v="0"/>
    <s v="Assets"/>
    <s v="Cash alike"/>
    <x v="3"/>
    <x v="1"/>
    <x v="0"/>
    <x v="0"/>
    <x v="6"/>
    <x v="6"/>
    <x v="0"/>
    <x v="1"/>
  </r>
  <r>
    <x v="159"/>
    <x v="1"/>
    <s v="Shuijie"/>
    <x v="34"/>
    <x v="6"/>
    <s v="Bank"/>
    <x v="8"/>
    <n v="3084.15"/>
    <b v="1"/>
    <n v="3084.15"/>
    <x v="0"/>
    <s v="Assets"/>
    <s v="Cash alike"/>
    <x v="3"/>
    <x v="1"/>
    <x v="0"/>
    <x v="0"/>
    <x v="6"/>
    <x v="6"/>
    <x v="0"/>
    <x v="1"/>
  </r>
  <r>
    <x v="160"/>
    <x v="1"/>
    <s v="Shuijie"/>
    <x v="35"/>
    <x v="6"/>
    <s v="Order"/>
    <x v="35"/>
    <n v="-31666"/>
    <b v="1"/>
    <n v="-31666"/>
    <x v="0"/>
    <s v="Assets"/>
    <s v="Prep-Sub"/>
    <x v="2"/>
    <x v="1"/>
    <x v="2"/>
    <x v="6"/>
    <x v="6"/>
    <x v="6"/>
    <x v="0"/>
    <x v="1"/>
  </r>
  <r>
    <x v="161"/>
    <x v="1"/>
    <s v="Shuijie"/>
    <x v="5"/>
    <x v="6"/>
    <s v="Curr"/>
    <x v="37"/>
    <n v="375"/>
    <b v="1"/>
    <n v="375"/>
    <x v="0"/>
    <s v="Assets"/>
    <s v="Invtr"/>
    <x v="2"/>
    <x v="1"/>
    <x v="3"/>
    <x v="7"/>
    <x v="6"/>
    <x v="6"/>
    <x v="0"/>
    <x v="1"/>
  </r>
  <r>
    <x v="161"/>
    <x v="1"/>
    <s v="Shuijie"/>
    <x v="5"/>
    <x v="6"/>
    <s v="Order"/>
    <x v="35"/>
    <n v="-375"/>
    <b v="1"/>
    <n v="-375"/>
    <x v="0"/>
    <s v="Assets"/>
    <s v="Prep-Sub"/>
    <x v="2"/>
    <x v="1"/>
    <x v="2"/>
    <x v="6"/>
    <x v="6"/>
    <x v="6"/>
    <x v="0"/>
    <x v="1"/>
  </r>
  <r>
    <x v="162"/>
    <x v="1"/>
    <s v="Shuijie"/>
    <x v="5"/>
    <x v="6"/>
    <s v="Curr"/>
    <x v="37"/>
    <n v="1873.57"/>
    <b v="1"/>
    <n v="1873.57"/>
    <x v="0"/>
    <s v="Assets"/>
    <s v="Invtr"/>
    <x v="2"/>
    <x v="1"/>
    <x v="3"/>
    <x v="7"/>
    <x v="6"/>
    <x v="6"/>
    <x v="0"/>
    <x v="1"/>
  </r>
  <r>
    <x v="162"/>
    <x v="1"/>
    <s v="Shuijie"/>
    <x v="5"/>
    <x v="6"/>
    <s v="OnEmp"/>
    <x v="24"/>
    <n v="-1873.57"/>
    <b v="1"/>
    <n v="-1873.57"/>
    <x v="0"/>
    <s v="Assets"/>
    <s v="Prep-Sub"/>
    <x v="2"/>
    <x v="1"/>
    <x v="2"/>
    <x v="5"/>
    <x v="6"/>
    <x v="6"/>
    <x v="0"/>
    <x v="1"/>
  </r>
  <r>
    <x v="163"/>
    <x v="1"/>
    <s v="Shuijie"/>
    <x v="41"/>
    <x v="6"/>
    <s v="OnEmp"/>
    <x v="24"/>
    <n v="-49.15"/>
    <b v="1"/>
    <n v="-49.15"/>
    <x v="0"/>
    <s v="Assets"/>
    <s v="Prep-Sub"/>
    <x v="2"/>
    <x v="1"/>
    <x v="2"/>
    <x v="5"/>
    <x v="6"/>
    <x v="6"/>
    <x v="0"/>
    <x v="1"/>
  </r>
  <r>
    <x v="164"/>
    <x v="1"/>
    <s v="Shuijie"/>
    <x v="5"/>
    <x v="6"/>
    <s v="Curr"/>
    <x v="37"/>
    <n v="2039.33"/>
    <b v="1"/>
    <n v="2039.33"/>
    <x v="0"/>
    <s v="Assets"/>
    <s v="Invtr"/>
    <x v="2"/>
    <x v="1"/>
    <x v="3"/>
    <x v="7"/>
    <x v="6"/>
    <x v="6"/>
    <x v="0"/>
    <x v="1"/>
  </r>
  <r>
    <x v="164"/>
    <x v="1"/>
    <s v="Shuijie"/>
    <x v="5"/>
    <x v="6"/>
    <s v="OnEmp"/>
    <x v="24"/>
    <n v="-2039.33"/>
    <b v="1"/>
    <n v="-2039.33"/>
    <x v="0"/>
    <s v="Assets"/>
    <s v="Prep-Sub"/>
    <x v="2"/>
    <x v="1"/>
    <x v="2"/>
    <x v="5"/>
    <x v="6"/>
    <x v="6"/>
    <x v="0"/>
    <x v="1"/>
  </r>
  <r>
    <x v="165"/>
    <x v="1"/>
    <s v="Shuijie"/>
    <x v="41"/>
    <x v="6"/>
    <s v="OnEmp"/>
    <x v="24"/>
    <n v="-220.3"/>
    <b v="1"/>
    <n v="-220.3"/>
    <x v="0"/>
    <s v="Assets"/>
    <s v="Prep-Sub"/>
    <x v="2"/>
    <x v="1"/>
    <x v="2"/>
    <x v="5"/>
    <x v="6"/>
    <x v="6"/>
    <x v="0"/>
    <x v="1"/>
  </r>
  <r>
    <x v="166"/>
    <x v="1"/>
    <s v="Shuijie"/>
    <x v="42"/>
    <x v="6"/>
    <s v="Order"/>
    <x v="35"/>
    <n v="-2015"/>
    <b v="1"/>
    <n v="-2015"/>
    <x v="0"/>
    <s v="Assets"/>
    <s v="Prep-Sub"/>
    <x v="1"/>
    <x v="1"/>
    <x v="2"/>
    <x v="6"/>
    <x v="6"/>
    <x v="6"/>
    <x v="0"/>
    <x v="1"/>
  </r>
  <r>
    <x v="167"/>
    <x v="1"/>
    <s v="Shuijie"/>
    <x v="40"/>
    <x v="6"/>
    <s v="Phys.C"/>
    <x v="9"/>
    <n v="3650"/>
    <b v="1"/>
    <n v="3650"/>
    <x v="0"/>
    <s v="Assets"/>
    <s v="Cash alike"/>
    <x v="3"/>
    <x v="1"/>
    <x v="0"/>
    <x v="1"/>
    <x v="6"/>
    <x v="6"/>
    <x v="0"/>
    <x v="1"/>
  </r>
  <r>
    <x v="167"/>
    <x v="1"/>
    <s v="Shuijie"/>
    <x v="40"/>
    <x v="6"/>
    <s v="AR"/>
    <x v="21"/>
    <n v="18780.21"/>
    <b v="1"/>
    <n v="18780.21"/>
    <x v="0"/>
    <s v="Assets"/>
    <s v="Rec-Pay"/>
    <x v="3"/>
    <x v="1"/>
    <x v="1"/>
    <x v="2"/>
    <x v="6"/>
    <x v="6"/>
    <x v="0"/>
    <x v="1"/>
  </r>
  <r>
    <x v="168"/>
    <x v="1"/>
    <s v="Shuijie"/>
    <x v="12"/>
    <x v="6"/>
    <s v="ToTax"/>
    <x v="47"/>
    <n v="4692.87"/>
    <b v="1"/>
    <n v="-4692.87"/>
    <x v="1"/>
    <s v="Liability"/>
    <s v="Rec-Pay"/>
    <x v="2"/>
    <x v="1"/>
    <x v="1"/>
    <x v="11"/>
    <x v="6"/>
    <x v="6"/>
    <x v="0"/>
    <x v="1"/>
  </r>
  <r>
    <x v="169"/>
    <x v="1"/>
    <s v="Shuijie"/>
    <x v="43"/>
    <x v="6"/>
    <s v="AR"/>
    <x v="21"/>
    <n v="-1791.71"/>
    <b v="1"/>
    <n v="-1791.71"/>
    <x v="0"/>
    <s v="Assets"/>
    <s v="Rec-Pay"/>
    <x v="2"/>
    <x v="1"/>
    <x v="1"/>
    <x v="2"/>
    <x v="6"/>
    <x v="6"/>
    <x v="0"/>
    <x v="1"/>
  </r>
  <r>
    <x v="170"/>
    <x v="1"/>
    <s v="Shuijie"/>
    <x v="40"/>
    <x v="6"/>
    <s v="AR"/>
    <x v="21"/>
    <n v="1791.71"/>
    <b v="1"/>
    <n v="1791.71"/>
    <x v="0"/>
    <s v="Assets"/>
    <s v="Rec-Pay"/>
    <x v="3"/>
    <x v="1"/>
    <x v="1"/>
    <x v="2"/>
    <x v="6"/>
    <x v="6"/>
    <x v="0"/>
    <x v="1"/>
  </r>
  <r>
    <x v="171"/>
    <x v="1"/>
    <s v="Shuijie"/>
    <x v="44"/>
    <x v="6"/>
    <s v="Curr"/>
    <x v="37"/>
    <n v="-2048.5"/>
    <b v="1"/>
    <n v="-2048.5"/>
    <x v="0"/>
    <s v="Assets"/>
    <s v="Invtr"/>
    <x v="2"/>
    <x v="1"/>
    <x v="3"/>
    <x v="7"/>
    <x v="6"/>
    <x v="6"/>
    <x v="0"/>
    <x v="1"/>
  </r>
  <r>
    <x v="172"/>
    <x v="1"/>
    <s v="GM"/>
    <x v="14"/>
    <x v="6"/>
    <s v="ToEmp"/>
    <x v="52"/>
    <n v="10923.39"/>
    <b v="1"/>
    <n v="-10923.39"/>
    <x v="1"/>
    <s v="Liability"/>
    <s v="Rec-Pay"/>
    <x v="1"/>
    <x v="1"/>
    <x v="1"/>
    <x v="12"/>
    <x v="6"/>
    <x v="1"/>
    <x v="0"/>
    <x v="1"/>
  </r>
  <r>
    <x v="173"/>
    <x v="1"/>
    <s v="Shuijie"/>
    <x v="14"/>
    <x v="6"/>
    <s v="ToEmp"/>
    <x v="52"/>
    <n v="135867.84"/>
    <b v="1"/>
    <n v="-135867.84"/>
    <x v="1"/>
    <s v="Liability"/>
    <s v="Rec-Pay"/>
    <x v="1"/>
    <x v="1"/>
    <x v="1"/>
    <x v="12"/>
    <x v="6"/>
    <x v="6"/>
    <x v="0"/>
    <x v="1"/>
  </r>
  <r>
    <x v="174"/>
    <x v="1"/>
    <s v="Ctrl"/>
    <x v="45"/>
    <x v="6"/>
    <s v="ToTax"/>
    <x v="49"/>
    <n v="281.69"/>
    <b v="1"/>
    <n v="-281.69"/>
    <x v="1"/>
    <s v="Liability"/>
    <s v="Rec-Pay"/>
    <x v="1"/>
    <x v="1"/>
    <x v="1"/>
    <x v="11"/>
    <x v="6"/>
    <x v="0"/>
    <x v="0"/>
    <x v="1"/>
  </r>
  <r>
    <x v="174"/>
    <x v="1"/>
    <s v="Ctrl"/>
    <x v="45"/>
    <x v="6"/>
    <s v="ToTax"/>
    <x v="50"/>
    <n v="22.66"/>
    <b v="1"/>
    <n v="-22.66"/>
    <x v="1"/>
    <s v="Liability"/>
    <s v="Rec-Pay"/>
    <x v="1"/>
    <x v="1"/>
    <x v="1"/>
    <x v="11"/>
    <x v="6"/>
    <x v="0"/>
    <x v="0"/>
    <x v="1"/>
  </r>
  <r>
    <x v="174"/>
    <x v="1"/>
    <s v="Ctrl"/>
    <x v="45"/>
    <x v="6"/>
    <s v="ToTax"/>
    <x v="51"/>
    <n v="1388.48"/>
    <b v="1"/>
    <n v="-1388.48"/>
    <x v="1"/>
    <s v="Liability"/>
    <s v="Rec-Pay"/>
    <x v="1"/>
    <x v="1"/>
    <x v="1"/>
    <x v="11"/>
    <x v="6"/>
    <x v="0"/>
    <x v="0"/>
    <x v="1"/>
  </r>
  <r>
    <x v="175"/>
    <x v="1"/>
    <s v="GM"/>
    <x v="15"/>
    <x v="6"/>
    <s v="ToEmp"/>
    <x v="67"/>
    <n v="88450.01"/>
    <b v="1"/>
    <n v="-88450.01"/>
    <x v="1"/>
    <s v="Liability"/>
    <s v="Rec-Pay"/>
    <x v="4"/>
    <x v="0"/>
    <x v="1"/>
    <x v="12"/>
    <x v="6"/>
    <x v="1"/>
    <x v="0"/>
    <x v="1"/>
  </r>
  <r>
    <x v="176"/>
    <x v="1"/>
    <s v="Shuijie"/>
    <x v="33"/>
    <x v="4"/>
    <s v="AR"/>
    <x v="21"/>
    <n v="-18526.13"/>
    <b v="1"/>
    <n v="-18526.13"/>
    <x v="0"/>
    <s v="Assets"/>
    <s v="Rec-Pay"/>
    <x v="3"/>
    <x v="1"/>
    <x v="1"/>
    <x v="2"/>
    <x v="4"/>
    <x v="6"/>
    <x v="0"/>
    <x v="1"/>
  </r>
  <r>
    <x v="176"/>
    <x v="1"/>
    <s v="Shuijie"/>
    <x v="33"/>
    <x v="4"/>
    <s v="Bank"/>
    <x v="4"/>
    <n v="18526.13"/>
    <b v="1"/>
    <n v="18526.13"/>
    <x v="0"/>
    <s v="Assets"/>
    <s v="Cash alike"/>
    <x v="3"/>
    <x v="1"/>
    <x v="0"/>
    <x v="0"/>
    <x v="4"/>
    <x v="6"/>
    <x v="0"/>
    <x v="1"/>
  </r>
  <r>
    <x v="177"/>
    <x v="1"/>
    <s v="Shuijie"/>
    <x v="10"/>
    <x v="4"/>
    <s v="Bank"/>
    <x v="4"/>
    <n v="92634.28"/>
    <b v="1"/>
    <n v="92634.28"/>
    <x v="0"/>
    <s v="Assets"/>
    <s v="Cash alike"/>
    <x v="3"/>
    <x v="1"/>
    <x v="0"/>
    <x v="0"/>
    <x v="4"/>
    <x v="6"/>
    <x v="0"/>
    <x v="1"/>
  </r>
  <r>
    <x v="178"/>
    <x v="1"/>
    <s v="Shuijie"/>
    <x v="8"/>
    <x v="4"/>
    <s v="Order"/>
    <x v="34"/>
    <n v="10000"/>
    <b v="1"/>
    <n v="10000"/>
    <x v="0"/>
    <s v="Assets"/>
    <s v="Prep-Sub"/>
    <x v="1"/>
    <x v="1"/>
    <x v="2"/>
    <x v="6"/>
    <x v="4"/>
    <x v="6"/>
    <x v="0"/>
    <x v="1"/>
  </r>
  <r>
    <x v="178"/>
    <x v="1"/>
    <s v="Shuijie"/>
    <x v="8"/>
    <x v="4"/>
    <s v="Bank"/>
    <x v="4"/>
    <n v="-10000"/>
    <b v="1"/>
    <n v="-10000"/>
    <x v="0"/>
    <s v="Assets"/>
    <s v="Cash alike"/>
    <x v="1"/>
    <x v="1"/>
    <x v="0"/>
    <x v="0"/>
    <x v="4"/>
    <x v="6"/>
    <x v="0"/>
    <x v="1"/>
  </r>
  <r>
    <x v="179"/>
    <x v="1"/>
    <s v="Shuijie"/>
    <x v="32"/>
    <x v="4"/>
    <s v="Bank"/>
    <x v="4"/>
    <n v="-1500"/>
    <b v="1"/>
    <n v="-1500"/>
    <x v="0"/>
    <s v="Assets"/>
    <s v="Cash alike"/>
    <x v="1"/>
    <x v="1"/>
    <x v="0"/>
    <x v="0"/>
    <x v="4"/>
    <x v="6"/>
    <x v="0"/>
    <x v="1"/>
  </r>
  <r>
    <x v="180"/>
    <x v="1"/>
    <s v="Shuijie"/>
    <x v="8"/>
    <x v="4"/>
    <s v="Bank"/>
    <x v="4"/>
    <n v="-6458.4"/>
    <b v="1"/>
    <n v="-6458.4"/>
    <x v="0"/>
    <s v="Assets"/>
    <s v="Cash alike"/>
    <x v="2"/>
    <x v="1"/>
    <x v="0"/>
    <x v="0"/>
    <x v="4"/>
    <x v="6"/>
    <x v="0"/>
    <x v="1"/>
  </r>
  <r>
    <x v="180"/>
    <x v="1"/>
    <s v="Shuijie"/>
    <x v="8"/>
    <x v="4"/>
    <s v="AP"/>
    <x v="46"/>
    <n v="-6458.4"/>
    <b v="1"/>
    <n v="6458.4"/>
    <x v="1"/>
    <s v="Liability"/>
    <s v="Rec-Pay"/>
    <x v="2"/>
    <x v="1"/>
    <x v="1"/>
    <x v="10"/>
    <x v="4"/>
    <x v="6"/>
    <x v="0"/>
    <x v="1"/>
  </r>
  <r>
    <x v="181"/>
    <x v="1"/>
    <s v="GM"/>
    <x v="6"/>
    <x v="4"/>
    <s v="Bank"/>
    <x v="4"/>
    <n v="-8189.55"/>
    <b v="1"/>
    <n v="-8189.55"/>
    <x v="0"/>
    <s v="Assets"/>
    <s v="Cash alike"/>
    <x v="1"/>
    <x v="1"/>
    <x v="0"/>
    <x v="0"/>
    <x v="4"/>
    <x v="1"/>
    <x v="0"/>
    <x v="1"/>
  </r>
  <r>
    <x v="181"/>
    <x v="1"/>
    <s v="GM"/>
    <x v="6"/>
    <x v="4"/>
    <s v="FrOther"/>
    <x v="22"/>
    <n v="2385.75"/>
    <b v="1"/>
    <n v="2385.75"/>
    <x v="0"/>
    <s v="Assets"/>
    <s v="Rec-Pay"/>
    <x v="1"/>
    <x v="1"/>
    <x v="1"/>
    <x v="3"/>
    <x v="4"/>
    <x v="1"/>
    <x v="0"/>
    <x v="1"/>
  </r>
  <r>
    <x v="182"/>
    <x v="1"/>
    <s v="Shuijie"/>
    <x v="8"/>
    <x v="4"/>
    <s v="Order"/>
    <x v="34"/>
    <n v="450"/>
    <b v="1"/>
    <n v="450"/>
    <x v="0"/>
    <s v="Assets"/>
    <s v="Prep-Sub"/>
    <x v="1"/>
    <x v="1"/>
    <x v="2"/>
    <x v="6"/>
    <x v="4"/>
    <x v="6"/>
    <x v="0"/>
    <x v="1"/>
  </r>
  <r>
    <x v="182"/>
    <x v="1"/>
    <s v="Shuijie"/>
    <x v="8"/>
    <x v="4"/>
    <s v="Bank"/>
    <x v="4"/>
    <n v="-450"/>
    <b v="1"/>
    <n v="-450"/>
    <x v="0"/>
    <s v="Assets"/>
    <s v="Cash alike"/>
    <x v="1"/>
    <x v="1"/>
    <x v="0"/>
    <x v="0"/>
    <x v="4"/>
    <x v="6"/>
    <x v="0"/>
    <x v="1"/>
  </r>
  <r>
    <x v="183"/>
    <x v="1"/>
    <s v="Shuijie"/>
    <x v="8"/>
    <x v="4"/>
    <s v="Order"/>
    <x v="34"/>
    <n v="10000"/>
    <b v="1"/>
    <n v="10000"/>
    <x v="0"/>
    <s v="Assets"/>
    <s v="Prep-Sub"/>
    <x v="1"/>
    <x v="1"/>
    <x v="2"/>
    <x v="6"/>
    <x v="4"/>
    <x v="6"/>
    <x v="0"/>
    <x v="1"/>
  </r>
  <r>
    <x v="183"/>
    <x v="1"/>
    <s v="Shuijie"/>
    <x v="8"/>
    <x v="4"/>
    <s v="Bank"/>
    <x v="4"/>
    <n v="-10000"/>
    <b v="1"/>
    <n v="-10000"/>
    <x v="0"/>
    <s v="Assets"/>
    <s v="Cash alike"/>
    <x v="1"/>
    <x v="1"/>
    <x v="0"/>
    <x v="0"/>
    <x v="4"/>
    <x v="6"/>
    <x v="0"/>
    <x v="1"/>
  </r>
  <r>
    <x v="184"/>
    <x v="1"/>
    <s v="GM"/>
    <x v="8"/>
    <x v="4"/>
    <s v="Bank"/>
    <x v="4"/>
    <n v="-34695.089999999997"/>
    <b v="1"/>
    <n v="-34695.089999999997"/>
    <x v="0"/>
    <s v="Assets"/>
    <s v="Cash alike"/>
    <x v="1"/>
    <x v="1"/>
    <x v="0"/>
    <x v="0"/>
    <x v="4"/>
    <x v="1"/>
    <x v="0"/>
    <x v="1"/>
  </r>
  <r>
    <x v="184"/>
    <x v="1"/>
    <s v="GM"/>
    <x v="8"/>
    <x v="4"/>
    <s v="ToEmp"/>
    <x v="52"/>
    <n v="-37380.69"/>
    <b v="1"/>
    <n v="37380.69"/>
    <x v="1"/>
    <s v="Liability"/>
    <s v="Rec-Pay"/>
    <x v="1"/>
    <x v="1"/>
    <x v="1"/>
    <x v="12"/>
    <x v="4"/>
    <x v="1"/>
    <x v="0"/>
    <x v="1"/>
  </r>
  <r>
    <x v="184"/>
    <x v="1"/>
    <s v="GM"/>
    <x v="8"/>
    <x v="4"/>
    <s v="FrOther"/>
    <x v="22"/>
    <n v="-2385.75"/>
    <b v="1"/>
    <n v="-2385.75"/>
    <x v="0"/>
    <s v="Assets"/>
    <s v="Rec-Pay"/>
    <x v="1"/>
    <x v="1"/>
    <x v="1"/>
    <x v="3"/>
    <x v="4"/>
    <x v="1"/>
    <x v="0"/>
    <x v="1"/>
  </r>
  <r>
    <x v="184"/>
    <x v="1"/>
    <s v="GM"/>
    <x v="8"/>
    <x v="4"/>
    <s v="ToTax"/>
    <x v="54"/>
    <n v="299.85000000000002"/>
    <b v="1"/>
    <n v="-299.85000000000002"/>
    <x v="1"/>
    <s v="Liability"/>
    <s v="Rec-Pay"/>
    <x v="1"/>
    <x v="1"/>
    <x v="1"/>
    <x v="11"/>
    <x v="4"/>
    <x v="1"/>
    <x v="0"/>
    <x v="1"/>
  </r>
  <r>
    <x v="185"/>
    <x v="1"/>
    <s v="GM"/>
    <x v="8"/>
    <x v="4"/>
    <s v="ToTax"/>
    <x v="54"/>
    <n v="-299.85000000000002"/>
    <b v="1"/>
    <n v="299.85000000000002"/>
    <x v="1"/>
    <s v="Liability"/>
    <s v="Rec-Pay"/>
    <x v="1"/>
    <x v="1"/>
    <x v="1"/>
    <x v="11"/>
    <x v="4"/>
    <x v="1"/>
    <x v="0"/>
    <x v="1"/>
  </r>
  <r>
    <x v="185"/>
    <x v="1"/>
    <s v="GM"/>
    <x v="8"/>
    <x v="4"/>
    <s v="Bank"/>
    <x v="4"/>
    <n v="-299.85000000000002"/>
    <b v="1"/>
    <n v="-299.85000000000002"/>
    <x v="0"/>
    <s v="Assets"/>
    <s v="Cash alike"/>
    <x v="1"/>
    <x v="1"/>
    <x v="0"/>
    <x v="0"/>
    <x v="4"/>
    <x v="1"/>
    <x v="0"/>
    <x v="1"/>
  </r>
  <r>
    <x v="186"/>
    <x v="1"/>
    <s v="Ctrl"/>
    <x v="8"/>
    <x v="4"/>
    <s v="ToTax"/>
    <x v="47"/>
    <n v="-11047.53"/>
    <b v="1"/>
    <n v="11047.53"/>
    <x v="1"/>
    <s v="Liability"/>
    <s v="Rec-Pay"/>
    <x v="1"/>
    <x v="1"/>
    <x v="1"/>
    <x v="11"/>
    <x v="4"/>
    <x v="0"/>
    <x v="0"/>
    <x v="1"/>
  </r>
  <r>
    <x v="186"/>
    <x v="1"/>
    <s v="Ctrl"/>
    <x v="8"/>
    <x v="4"/>
    <s v="ToTax"/>
    <x v="48"/>
    <n v="-78.09"/>
    <b v="1"/>
    <n v="78.09"/>
    <x v="1"/>
    <s v="Liability"/>
    <s v="Rec-Pay"/>
    <x v="1"/>
    <x v="1"/>
    <x v="1"/>
    <x v="11"/>
    <x v="4"/>
    <x v="0"/>
    <x v="0"/>
    <x v="1"/>
  </r>
  <r>
    <x v="186"/>
    <x v="1"/>
    <s v="Ctrl"/>
    <x v="8"/>
    <x v="4"/>
    <s v="ToTax"/>
    <x v="49"/>
    <n v="-667.52"/>
    <b v="1"/>
    <n v="667.52"/>
    <x v="1"/>
    <s v="Liability"/>
    <s v="Rec-Pay"/>
    <x v="1"/>
    <x v="1"/>
    <x v="1"/>
    <x v="11"/>
    <x v="4"/>
    <x v="0"/>
    <x v="0"/>
    <x v="1"/>
  </r>
  <r>
    <x v="186"/>
    <x v="1"/>
    <s v="Ctrl"/>
    <x v="8"/>
    <x v="4"/>
    <s v="ToTax"/>
    <x v="50"/>
    <n v="-980.15"/>
    <b v="1"/>
    <n v="980.15"/>
    <x v="1"/>
    <s v="Liability"/>
    <s v="Rec-Pay"/>
    <x v="1"/>
    <x v="1"/>
    <x v="1"/>
    <x v="11"/>
    <x v="4"/>
    <x v="0"/>
    <x v="0"/>
    <x v="1"/>
  </r>
  <r>
    <x v="186"/>
    <x v="1"/>
    <s v="Ctrl"/>
    <x v="8"/>
    <x v="4"/>
    <s v="ToTax"/>
    <x v="51"/>
    <n v="-17957.240000000002"/>
    <b v="1"/>
    <n v="17957.240000000002"/>
    <x v="1"/>
    <s v="Liability"/>
    <s v="Rec-Pay"/>
    <x v="1"/>
    <x v="1"/>
    <x v="1"/>
    <x v="11"/>
    <x v="4"/>
    <x v="0"/>
    <x v="0"/>
    <x v="1"/>
  </r>
  <r>
    <x v="186"/>
    <x v="1"/>
    <s v="Ctrl"/>
    <x v="8"/>
    <x v="4"/>
    <s v="Bank"/>
    <x v="4"/>
    <n v="-30730.53"/>
    <b v="1"/>
    <n v="-30730.53"/>
    <x v="0"/>
    <s v="Assets"/>
    <s v="Cash alike"/>
    <x v="1"/>
    <x v="1"/>
    <x v="0"/>
    <x v="0"/>
    <x v="4"/>
    <x v="0"/>
    <x v="0"/>
    <x v="1"/>
  </r>
  <r>
    <x v="187"/>
    <x v="1"/>
    <s v="Shuijie"/>
    <x v="32"/>
    <x v="4"/>
    <s v="Bank"/>
    <x v="4"/>
    <n v="-13366"/>
    <b v="1"/>
    <n v="-13366"/>
    <x v="0"/>
    <s v="Assets"/>
    <s v="Cash alike"/>
    <x v="1"/>
    <x v="1"/>
    <x v="0"/>
    <x v="0"/>
    <x v="4"/>
    <x v="6"/>
    <x v="0"/>
    <x v="1"/>
  </r>
  <r>
    <x v="188"/>
    <x v="1"/>
    <s v="Shuijie"/>
    <x v="19"/>
    <x v="4"/>
    <s v="Order"/>
    <x v="34"/>
    <n v="-10066.98"/>
    <b v="1"/>
    <n v="-10066.98"/>
    <x v="0"/>
    <s v="Assets"/>
    <s v="Prep-Sub"/>
    <x v="1"/>
    <x v="1"/>
    <x v="2"/>
    <x v="6"/>
    <x v="4"/>
    <x v="6"/>
    <x v="0"/>
    <x v="1"/>
  </r>
  <r>
    <x v="189"/>
    <x v="1"/>
    <s v="Ctrl"/>
    <x v="1"/>
    <x v="4"/>
    <s v="AR"/>
    <x v="21"/>
    <n v="-115.67"/>
    <b v="1"/>
    <n v="-115.67"/>
    <x v="0"/>
    <s v="Assets"/>
    <s v="Rec-Pay"/>
    <x v="0"/>
    <x v="0"/>
    <x v="1"/>
    <x v="2"/>
    <x v="4"/>
    <x v="0"/>
    <x v="0"/>
    <x v="1"/>
  </r>
  <r>
    <x v="190"/>
    <x v="1"/>
    <s v="Shuijie"/>
    <x v="9"/>
    <x v="4"/>
    <s v="Bank"/>
    <x v="4"/>
    <n v="-1949.49"/>
    <b v="1"/>
    <n v="-1949.49"/>
    <x v="0"/>
    <s v="Assets"/>
    <s v="Cash alike"/>
    <x v="1"/>
    <x v="1"/>
    <x v="0"/>
    <x v="0"/>
    <x v="4"/>
    <x v="6"/>
    <x v="0"/>
    <x v="1"/>
  </r>
  <r>
    <x v="191"/>
    <x v="1"/>
    <s v="Shuijie"/>
    <x v="28"/>
    <x v="4"/>
    <s v="Bank"/>
    <x v="4"/>
    <n v="-349599.5"/>
    <b v="1"/>
    <n v="-349599.5"/>
    <x v="0"/>
    <s v="Assets"/>
    <s v="Cash alike"/>
    <x v="2"/>
    <x v="1"/>
    <x v="0"/>
    <x v="0"/>
    <x v="4"/>
    <x v="6"/>
    <x v="0"/>
    <x v="1"/>
  </r>
  <r>
    <x v="191"/>
    <x v="1"/>
    <s v="Shuijie"/>
    <x v="28"/>
    <x v="0"/>
    <s v="Bank"/>
    <x v="0"/>
    <n v="349599.5"/>
    <b v="1"/>
    <n v="349599.5"/>
    <x v="0"/>
    <s v="Assets"/>
    <s v="Cash alike"/>
    <x v="2"/>
    <x v="1"/>
    <x v="0"/>
    <x v="0"/>
    <x v="0"/>
    <x v="6"/>
    <x v="0"/>
    <x v="1"/>
  </r>
  <r>
    <x v="192"/>
    <x v="1"/>
    <s v="Shuijie"/>
    <x v="46"/>
    <x v="4"/>
    <s v="Bank"/>
    <x v="4"/>
    <n v="-7268.8"/>
    <b v="1"/>
    <n v="-7268.8"/>
    <x v="0"/>
    <s v="Assets"/>
    <s v="Cash alike"/>
    <x v="2"/>
    <x v="1"/>
    <x v="0"/>
    <x v="0"/>
    <x v="4"/>
    <x v="6"/>
    <x v="0"/>
    <x v="1"/>
  </r>
  <r>
    <x v="193"/>
    <x v="1"/>
    <s v="Shuijie"/>
    <x v="8"/>
    <x v="4"/>
    <s v="Order"/>
    <x v="34"/>
    <n v="3000"/>
    <b v="1"/>
    <n v="3000"/>
    <x v="0"/>
    <s v="Assets"/>
    <s v="Prep-Sub"/>
    <x v="1"/>
    <x v="1"/>
    <x v="2"/>
    <x v="6"/>
    <x v="4"/>
    <x v="6"/>
    <x v="0"/>
    <x v="1"/>
  </r>
  <r>
    <x v="193"/>
    <x v="1"/>
    <s v="Shuijie"/>
    <x v="8"/>
    <x v="4"/>
    <s v="Bank"/>
    <x v="4"/>
    <n v="-3000"/>
    <b v="1"/>
    <n v="-3000"/>
    <x v="0"/>
    <s v="Assets"/>
    <s v="Cash alike"/>
    <x v="1"/>
    <x v="1"/>
    <x v="0"/>
    <x v="0"/>
    <x v="4"/>
    <x v="6"/>
    <x v="0"/>
    <x v="1"/>
  </r>
  <r>
    <x v="194"/>
    <x v="1"/>
    <s v="Shuijie"/>
    <x v="39"/>
    <x v="4"/>
    <s v="Bank"/>
    <x v="4"/>
    <n v="25540.15"/>
    <b v="1"/>
    <n v="25540.15"/>
    <x v="0"/>
    <s v="Assets"/>
    <s v="Cash alike"/>
    <x v="0"/>
    <x v="0"/>
    <x v="0"/>
    <x v="0"/>
    <x v="4"/>
    <x v="6"/>
    <x v="0"/>
    <x v="1"/>
  </r>
  <r>
    <x v="194"/>
    <x v="1"/>
    <s v="Shuijie"/>
    <x v="39"/>
    <x v="4"/>
    <s v="Phys.C"/>
    <x v="5"/>
    <n v="-25540.15"/>
    <b v="1"/>
    <n v="-25540.15"/>
    <x v="0"/>
    <s v="Assets"/>
    <s v="Cash alike"/>
    <x v="0"/>
    <x v="0"/>
    <x v="0"/>
    <x v="1"/>
    <x v="4"/>
    <x v="6"/>
    <x v="0"/>
    <x v="1"/>
  </r>
  <r>
    <x v="195"/>
    <x v="1"/>
    <s v="Shuijie"/>
    <x v="8"/>
    <x v="4"/>
    <s v="Order"/>
    <x v="34"/>
    <n v="10000"/>
    <b v="1"/>
    <n v="10000"/>
    <x v="0"/>
    <s v="Assets"/>
    <s v="Prep-Sub"/>
    <x v="1"/>
    <x v="1"/>
    <x v="2"/>
    <x v="6"/>
    <x v="4"/>
    <x v="6"/>
    <x v="0"/>
    <x v="1"/>
  </r>
  <r>
    <x v="195"/>
    <x v="1"/>
    <s v="Shuijie"/>
    <x v="8"/>
    <x v="4"/>
    <s v="Bank"/>
    <x v="4"/>
    <n v="-10000"/>
    <b v="1"/>
    <n v="-10000"/>
    <x v="0"/>
    <s v="Assets"/>
    <s v="Cash alike"/>
    <x v="1"/>
    <x v="1"/>
    <x v="0"/>
    <x v="0"/>
    <x v="4"/>
    <x v="6"/>
    <x v="0"/>
    <x v="1"/>
  </r>
  <r>
    <x v="196"/>
    <x v="1"/>
    <s v="GM"/>
    <x v="13"/>
    <x v="4"/>
    <s v="Bank"/>
    <x v="4"/>
    <n v="-15.6"/>
    <b v="1"/>
    <n v="-15.6"/>
    <x v="0"/>
    <s v="Assets"/>
    <s v="Cash alike"/>
    <x v="1"/>
    <x v="1"/>
    <x v="0"/>
    <x v="0"/>
    <x v="4"/>
    <x v="1"/>
    <x v="0"/>
    <x v="1"/>
  </r>
  <r>
    <x v="197"/>
    <x v="1"/>
    <s v="Shuijie"/>
    <x v="10"/>
    <x v="4"/>
    <s v="Bank"/>
    <x v="4"/>
    <n v="470007.52"/>
    <b v="1"/>
    <n v="470007.52"/>
    <x v="0"/>
    <s v="Assets"/>
    <s v="Cash alike"/>
    <x v="3"/>
    <x v="1"/>
    <x v="0"/>
    <x v="0"/>
    <x v="4"/>
    <x v="6"/>
    <x v="0"/>
    <x v="1"/>
  </r>
  <r>
    <x v="198"/>
    <x v="1"/>
    <s v="GM"/>
    <x v="29"/>
    <x v="4"/>
    <s v="Order"/>
    <x v="34"/>
    <n v="-45370.49"/>
    <b v="1"/>
    <n v="-45370.49"/>
    <x v="0"/>
    <s v="Assets"/>
    <s v="Prep-Sub"/>
    <x v="1"/>
    <x v="1"/>
    <x v="2"/>
    <x v="6"/>
    <x v="4"/>
    <x v="1"/>
    <x v="0"/>
    <x v="1"/>
  </r>
  <r>
    <x v="199"/>
    <x v="1"/>
    <s v="Shuijie"/>
    <x v="32"/>
    <x v="4"/>
    <s v="Order"/>
    <x v="34"/>
    <n v="-3000"/>
    <b v="1"/>
    <n v="-3000"/>
    <x v="0"/>
    <s v="Assets"/>
    <s v="Prep-Sub"/>
    <x v="1"/>
    <x v="1"/>
    <x v="2"/>
    <x v="6"/>
    <x v="4"/>
    <x v="6"/>
    <x v="0"/>
    <x v="1"/>
  </r>
  <r>
    <x v="200"/>
    <x v="1"/>
    <s v="Shuijie"/>
    <x v="44"/>
    <x v="4"/>
    <s v="AP"/>
    <x v="46"/>
    <n v="14188.2"/>
    <b v="1"/>
    <n v="-14188.2"/>
    <x v="1"/>
    <s v="Liability"/>
    <s v="Rec-Pay"/>
    <x v="2"/>
    <x v="1"/>
    <x v="1"/>
    <x v="10"/>
    <x v="4"/>
    <x v="6"/>
    <x v="0"/>
    <x v="1"/>
  </r>
  <r>
    <x v="201"/>
    <x v="1"/>
    <s v="Shuijie"/>
    <x v="44"/>
    <x v="4"/>
    <s v="AP"/>
    <x v="46"/>
    <n v="306"/>
    <b v="1"/>
    <n v="-306"/>
    <x v="1"/>
    <s v="Liability"/>
    <s v="Rec-Pay"/>
    <x v="2"/>
    <x v="1"/>
    <x v="1"/>
    <x v="10"/>
    <x v="4"/>
    <x v="6"/>
    <x v="0"/>
    <x v="1"/>
  </r>
  <r>
    <x v="202"/>
    <x v="1"/>
    <s v="Shuijie"/>
    <x v="33"/>
    <x v="5"/>
    <s v="AR"/>
    <x v="21"/>
    <n v="-3984.8"/>
    <b v="1"/>
    <n v="-3984.8"/>
    <x v="0"/>
    <s v="Assets"/>
    <s v="Rec-Pay"/>
    <x v="3"/>
    <x v="1"/>
    <x v="1"/>
    <x v="2"/>
    <x v="5"/>
    <x v="6"/>
    <x v="0"/>
    <x v="1"/>
  </r>
  <r>
    <x v="202"/>
    <x v="1"/>
    <s v="Shuijie"/>
    <x v="33"/>
    <x v="5"/>
    <s v="Bank"/>
    <x v="6"/>
    <n v="3984.8"/>
    <b v="1"/>
    <n v="3984.8"/>
    <x v="0"/>
    <s v="Assets"/>
    <s v="Cash alike"/>
    <x v="3"/>
    <x v="1"/>
    <x v="0"/>
    <x v="0"/>
    <x v="5"/>
    <x v="6"/>
    <x v="0"/>
    <x v="1"/>
  </r>
  <r>
    <x v="203"/>
    <x v="1"/>
    <s v="Shuijie"/>
    <x v="10"/>
    <x v="4"/>
    <s v="AR"/>
    <x v="21"/>
    <n v="1888.88"/>
    <b v="1"/>
    <n v="1888.88"/>
    <x v="0"/>
    <s v="Assets"/>
    <s v="Rec-Pay"/>
    <x v="3"/>
    <x v="1"/>
    <x v="1"/>
    <x v="2"/>
    <x v="4"/>
    <x v="6"/>
    <x v="0"/>
    <x v="1"/>
  </r>
  <r>
    <x v="204"/>
    <x v="1"/>
    <s v="Shuijie"/>
    <x v="43"/>
    <x v="4"/>
    <s v="AR"/>
    <x v="21"/>
    <n v="-1888.88"/>
    <b v="1"/>
    <n v="-1888.88"/>
    <x v="0"/>
    <s v="Assets"/>
    <s v="Rec-Pay"/>
    <x v="2"/>
    <x v="1"/>
    <x v="1"/>
    <x v="2"/>
    <x v="4"/>
    <x v="6"/>
    <x v="0"/>
    <x v="1"/>
  </r>
  <r>
    <x v="205"/>
    <x v="1"/>
    <s v="Shuijie"/>
    <x v="12"/>
    <x v="4"/>
    <s v="ToTax"/>
    <x v="47"/>
    <n v="27625.07"/>
    <b v="1"/>
    <n v="-27625.07"/>
    <x v="1"/>
    <s v="Liability"/>
    <s v="Rec-Pay"/>
    <x v="2"/>
    <x v="1"/>
    <x v="1"/>
    <x v="11"/>
    <x v="4"/>
    <x v="6"/>
    <x v="0"/>
    <x v="1"/>
  </r>
  <r>
    <x v="206"/>
    <x v="1"/>
    <s v="Ctrl"/>
    <x v="45"/>
    <x v="4"/>
    <s v="ToTax"/>
    <x v="48"/>
    <n v="83.3"/>
    <b v="1"/>
    <n v="-83.3"/>
    <x v="1"/>
    <s v="Liability"/>
    <s v="Rec-Pay"/>
    <x v="1"/>
    <x v="1"/>
    <x v="1"/>
    <x v="11"/>
    <x v="4"/>
    <x v="0"/>
    <x v="0"/>
    <x v="1"/>
  </r>
  <r>
    <x v="206"/>
    <x v="1"/>
    <s v="Ctrl"/>
    <x v="45"/>
    <x v="4"/>
    <s v="ToTax"/>
    <x v="50"/>
    <n v="132.21"/>
    <b v="1"/>
    <n v="-132.21"/>
    <x v="1"/>
    <s v="Liability"/>
    <s v="Rec-Pay"/>
    <x v="1"/>
    <x v="1"/>
    <x v="1"/>
    <x v="11"/>
    <x v="4"/>
    <x v="0"/>
    <x v="0"/>
    <x v="1"/>
  </r>
  <r>
    <x v="206"/>
    <x v="1"/>
    <s v="Ctrl"/>
    <x v="45"/>
    <x v="4"/>
    <s v="ToTax"/>
    <x v="49"/>
    <n v="1662.48"/>
    <b v="1"/>
    <n v="-1662.48"/>
    <x v="1"/>
    <s v="Liability"/>
    <s v="Rec-Pay"/>
    <x v="1"/>
    <x v="1"/>
    <x v="1"/>
    <x v="11"/>
    <x v="4"/>
    <x v="0"/>
    <x v="0"/>
    <x v="1"/>
  </r>
  <r>
    <x v="206"/>
    <x v="1"/>
    <s v="Ctrl"/>
    <x v="45"/>
    <x v="4"/>
    <s v="ToTax"/>
    <x v="51"/>
    <n v="4322.99"/>
    <b v="1"/>
    <n v="-4322.99"/>
    <x v="1"/>
    <s v="Liability"/>
    <s v="Rec-Pay"/>
    <x v="1"/>
    <x v="1"/>
    <x v="1"/>
    <x v="11"/>
    <x v="4"/>
    <x v="0"/>
    <x v="0"/>
    <x v="1"/>
  </r>
  <r>
    <x v="207"/>
    <x v="1"/>
    <s v="Shuijie"/>
    <x v="14"/>
    <x v="4"/>
    <s v="ToEmp"/>
    <x v="52"/>
    <n v="36283.379999999997"/>
    <b v="1"/>
    <n v="-36283.379999999997"/>
    <x v="1"/>
    <s v="Liability"/>
    <s v="Rec-Pay"/>
    <x v="1"/>
    <x v="1"/>
    <x v="1"/>
    <x v="12"/>
    <x v="4"/>
    <x v="6"/>
    <x v="0"/>
    <x v="1"/>
  </r>
  <r>
    <x v="208"/>
    <x v="1"/>
    <s v="GM"/>
    <x v="15"/>
    <x v="4"/>
    <s v="ToEmp"/>
    <x v="67"/>
    <n v="11200"/>
    <b v="1"/>
    <n v="-11200"/>
    <x v="1"/>
    <s v="Liability"/>
    <s v="Rec-Pay"/>
    <x v="4"/>
    <x v="0"/>
    <x v="1"/>
    <x v="12"/>
    <x v="4"/>
    <x v="1"/>
    <x v="0"/>
    <x v="1"/>
  </r>
  <r>
    <x v="209"/>
    <x v="1"/>
    <s v="Shuijie"/>
    <x v="10"/>
    <x v="4"/>
    <s v="Phys.C"/>
    <x v="5"/>
    <n v="16770.2"/>
    <b v="1"/>
    <n v="16770.2"/>
    <x v="0"/>
    <s v="Assets"/>
    <s v="Cash alike"/>
    <x v="3"/>
    <x v="1"/>
    <x v="0"/>
    <x v="1"/>
    <x v="4"/>
    <x v="6"/>
    <x v="0"/>
    <x v="1"/>
  </r>
  <r>
    <x v="210"/>
    <x v="1"/>
    <s v="Shuijie"/>
    <x v="10"/>
    <x v="4"/>
    <s v="AR"/>
    <x v="21"/>
    <n v="42268.46"/>
    <b v="1"/>
    <n v="42268.46"/>
    <x v="0"/>
    <s v="Assets"/>
    <s v="Rec-Pay"/>
    <x v="3"/>
    <x v="1"/>
    <x v="1"/>
    <x v="2"/>
    <x v="4"/>
    <x v="6"/>
    <x v="0"/>
    <x v="1"/>
  </r>
  <r>
    <x v="211"/>
    <x v="1"/>
    <s v="Shuijie"/>
    <x v="46"/>
    <x v="5"/>
    <s v="Bank"/>
    <x v="6"/>
    <n v="-300"/>
    <b v="1"/>
    <n v="-300"/>
    <x v="0"/>
    <s v="Assets"/>
    <s v="Cash alike"/>
    <x v="2"/>
    <x v="1"/>
    <x v="0"/>
    <x v="0"/>
    <x v="5"/>
    <x v="6"/>
    <x v="0"/>
    <x v="1"/>
  </r>
  <r>
    <x v="212"/>
    <x v="1"/>
    <s v="Shuijie"/>
    <x v="42"/>
    <x v="5"/>
    <s v="Bank"/>
    <x v="6"/>
    <n v="-983"/>
    <b v="1"/>
    <n v="-983"/>
    <x v="0"/>
    <s v="Assets"/>
    <s v="Cash alike"/>
    <x v="1"/>
    <x v="1"/>
    <x v="0"/>
    <x v="0"/>
    <x v="5"/>
    <x v="6"/>
    <x v="0"/>
    <x v="1"/>
  </r>
  <r>
    <x v="213"/>
    <x v="1"/>
    <s v="Shuijie"/>
    <x v="41"/>
    <x v="5"/>
    <s v="Bank"/>
    <x v="6"/>
    <n v="-409.35"/>
    <b v="1"/>
    <n v="-409.35"/>
    <x v="0"/>
    <s v="Assets"/>
    <s v="Cash alike"/>
    <x v="2"/>
    <x v="1"/>
    <x v="0"/>
    <x v="0"/>
    <x v="5"/>
    <x v="6"/>
    <x v="0"/>
    <x v="1"/>
  </r>
  <r>
    <x v="214"/>
    <x v="1"/>
    <s v="GM"/>
    <x v="6"/>
    <x v="5"/>
    <s v="Bank"/>
    <x v="6"/>
    <n v="-5060.82"/>
    <b v="1"/>
    <n v="-5060.82"/>
    <x v="0"/>
    <s v="Assets"/>
    <s v="Cash alike"/>
    <x v="1"/>
    <x v="1"/>
    <x v="0"/>
    <x v="0"/>
    <x v="5"/>
    <x v="1"/>
    <x v="0"/>
    <x v="1"/>
  </r>
  <r>
    <x v="214"/>
    <x v="1"/>
    <s v="GM"/>
    <x v="6"/>
    <x v="5"/>
    <s v="FrOther"/>
    <x v="22"/>
    <n v="1474.3"/>
    <b v="1"/>
    <n v="1474.3"/>
    <x v="0"/>
    <s v="Assets"/>
    <s v="Rec-Pay"/>
    <x v="1"/>
    <x v="1"/>
    <x v="1"/>
    <x v="3"/>
    <x v="5"/>
    <x v="1"/>
    <x v="0"/>
    <x v="1"/>
  </r>
  <r>
    <x v="215"/>
    <x v="1"/>
    <s v="Shuijie"/>
    <x v="46"/>
    <x v="5"/>
    <s v="Bank"/>
    <x v="6"/>
    <n v="-300"/>
    <b v="1"/>
    <n v="-300"/>
    <x v="0"/>
    <s v="Assets"/>
    <s v="Cash alike"/>
    <x v="2"/>
    <x v="1"/>
    <x v="0"/>
    <x v="0"/>
    <x v="5"/>
    <x v="6"/>
    <x v="0"/>
    <x v="1"/>
  </r>
  <r>
    <x v="216"/>
    <x v="1"/>
    <s v="GM"/>
    <x v="8"/>
    <x v="5"/>
    <s v="Bank"/>
    <x v="6"/>
    <n v="-32200.32"/>
    <b v="1"/>
    <n v="-32200.32"/>
    <x v="0"/>
    <s v="Assets"/>
    <s v="Cash alike"/>
    <x v="1"/>
    <x v="1"/>
    <x v="0"/>
    <x v="0"/>
    <x v="5"/>
    <x v="1"/>
    <x v="0"/>
    <x v="1"/>
  </r>
  <r>
    <x v="216"/>
    <x v="1"/>
    <s v="GM"/>
    <x v="8"/>
    <x v="5"/>
    <s v="ToTax"/>
    <x v="54"/>
    <n v="1282"/>
    <b v="1"/>
    <n v="-1282"/>
    <x v="1"/>
    <s v="Liability"/>
    <s v="Rec-Pay"/>
    <x v="1"/>
    <x v="1"/>
    <x v="1"/>
    <x v="11"/>
    <x v="5"/>
    <x v="1"/>
    <x v="0"/>
    <x v="1"/>
  </r>
  <r>
    <x v="216"/>
    <x v="1"/>
    <s v="GM"/>
    <x v="8"/>
    <x v="5"/>
    <s v="ToEmp"/>
    <x v="52"/>
    <n v="-34956.620000000003"/>
    <b v="1"/>
    <n v="34956.620000000003"/>
    <x v="1"/>
    <s v="Liability"/>
    <s v="Rec-Pay"/>
    <x v="1"/>
    <x v="1"/>
    <x v="1"/>
    <x v="12"/>
    <x v="5"/>
    <x v="1"/>
    <x v="0"/>
    <x v="1"/>
  </r>
  <r>
    <x v="216"/>
    <x v="1"/>
    <s v="GM"/>
    <x v="8"/>
    <x v="5"/>
    <s v="FrOther"/>
    <x v="22"/>
    <n v="-1474.3"/>
    <b v="1"/>
    <n v="-1474.3"/>
    <x v="0"/>
    <s v="Assets"/>
    <s v="Rec-Pay"/>
    <x v="1"/>
    <x v="1"/>
    <x v="1"/>
    <x v="3"/>
    <x v="5"/>
    <x v="1"/>
    <x v="0"/>
    <x v="1"/>
  </r>
  <r>
    <x v="217"/>
    <x v="1"/>
    <s v="GM"/>
    <x v="8"/>
    <x v="5"/>
    <s v="ToTax"/>
    <x v="54"/>
    <n v="-1282"/>
    <b v="1"/>
    <n v="1282"/>
    <x v="1"/>
    <s v="Liability"/>
    <s v="Rec-Pay"/>
    <x v="1"/>
    <x v="1"/>
    <x v="1"/>
    <x v="11"/>
    <x v="5"/>
    <x v="1"/>
    <x v="0"/>
    <x v="1"/>
  </r>
  <r>
    <x v="217"/>
    <x v="1"/>
    <s v="GM"/>
    <x v="8"/>
    <x v="5"/>
    <s v="Bank"/>
    <x v="6"/>
    <n v="-1282"/>
    <b v="1"/>
    <n v="-1282"/>
    <x v="0"/>
    <s v="Assets"/>
    <s v="Cash alike"/>
    <x v="1"/>
    <x v="1"/>
    <x v="0"/>
    <x v="0"/>
    <x v="5"/>
    <x v="1"/>
    <x v="0"/>
    <x v="1"/>
  </r>
  <r>
    <x v="218"/>
    <x v="1"/>
    <s v="Ctrl"/>
    <x v="8"/>
    <x v="5"/>
    <s v="ToTax"/>
    <x v="47"/>
    <n v="-5178.93"/>
    <b v="1"/>
    <n v="5178.93"/>
    <x v="1"/>
    <s v="Liability"/>
    <s v="Rec-Pay"/>
    <x v="1"/>
    <x v="1"/>
    <x v="1"/>
    <x v="11"/>
    <x v="5"/>
    <x v="0"/>
    <x v="0"/>
    <x v="1"/>
  </r>
  <r>
    <x v="218"/>
    <x v="1"/>
    <s v="Ctrl"/>
    <x v="8"/>
    <x v="5"/>
    <s v="ToTax"/>
    <x v="49"/>
    <n v="-310.73"/>
    <b v="1"/>
    <n v="310.73"/>
    <x v="1"/>
    <s v="Liability"/>
    <s v="Rec-Pay"/>
    <x v="1"/>
    <x v="1"/>
    <x v="1"/>
    <x v="11"/>
    <x v="5"/>
    <x v="0"/>
    <x v="0"/>
    <x v="1"/>
  </r>
  <r>
    <x v="218"/>
    <x v="1"/>
    <s v="Ctrl"/>
    <x v="8"/>
    <x v="5"/>
    <s v="Bank"/>
    <x v="6"/>
    <n v="-5489.66"/>
    <b v="1"/>
    <n v="-5489.66"/>
    <x v="0"/>
    <s v="Assets"/>
    <s v="Cash alike"/>
    <x v="1"/>
    <x v="1"/>
    <x v="0"/>
    <x v="0"/>
    <x v="5"/>
    <x v="0"/>
    <x v="0"/>
    <x v="1"/>
  </r>
  <r>
    <x v="219"/>
    <x v="1"/>
    <s v="Shuijie"/>
    <x v="39"/>
    <x v="5"/>
    <s v="Bank"/>
    <x v="6"/>
    <n v="2000"/>
    <b v="1"/>
    <n v="2000"/>
    <x v="0"/>
    <s v="Assets"/>
    <s v="Cash alike"/>
    <x v="0"/>
    <x v="0"/>
    <x v="0"/>
    <x v="0"/>
    <x v="5"/>
    <x v="6"/>
    <x v="0"/>
    <x v="1"/>
  </r>
  <r>
    <x v="219"/>
    <x v="1"/>
    <s v="Shuijie"/>
    <x v="39"/>
    <x v="5"/>
    <s v="Phys.C"/>
    <x v="7"/>
    <n v="-2000"/>
    <b v="1"/>
    <n v="-2000"/>
    <x v="0"/>
    <s v="Assets"/>
    <s v="Cash alike"/>
    <x v="0"/>
    <x v="0"/>
    <x v="0"/>
    <x v="1"/>
    <x v="5"/>
    <x v="6"/>
    <x v="0"/>
    <x v="1"/>
  </r>
  <r>
    <x v="220"/>
    <x v="1"/>
    <s v="Shuijie"/>
    <x v="46"/>
    <x v="5"/>
    <s v="Bank"/>
    <x v="6"/>
    <n v="-300"/>
    <b v="1"/>
    <n v="-300"/>
    <x v="0"/>
    <s v="Assets"/>
    <s v="Cash alike"/>
    <x v="2"/>
    <x v="1"/>
    <x v="0"/>
    <x v="0"/>
    <x v="5"/>
    <x v="6"/>
    <x v="0"/>
    <x v="1"/>
  </r>
  <r>
    <x v="221"/>
    <x v="1"/>
    <s v="GM"/>
    <x v="13"/>
    <x v="5"/>
    <s v="Bank"/>
    <x v="6"/>
    <n v="-7"/>
    <b v="1"/>
    <n v="-7"/>
    <x v="0"/>
    <s v="Assets"/>
    <s v="Cash alike"/>
    <x v="1"/>
    <x v="1"/>
    <x v="0"/>
    <x v="0"/>
    <x v="5"/>
    <x v="1"/>
    <x v="0"/>
    <x v="1"/>
  </r>
  <r>
    <x v="222"/>
    <x v="1"/>
    <s v="Shuijie"/>
    <x v="33"/>
    <x v="5"/>
    <s v="Bank"/>
    <x v="6"/>
    <n v="65524.07"/>
    <b v="1"/>
    <n v="65524.07"/>
    <x v="0"/>
    <s v="Assets"/>
    <s v="Cash alike"/>
    <x v="3"/>
    <x v="1"/>
    <x v="0"/>
    <x v="0"/>
    <x v="5"/>
    <x v="6"/>
    <x v="0"/>
    <x v="1"/>
  </r>
  <r>
    <x v="222"/>
    <x v="1"/>
    <s v="Shuijie"/>
    <x v="33"/>
    <x v="5"/>
    <s v="AR"/>
    <x v="21"/>
    <n v="-65524.07"/>
    <b v="1"/>
    <n v="-65524.07"/>
    <x v="0"/>
    <s v="Assets"/>
    <s v="Rec-Pay"/>
    <x v="3"/>
    <x v="1"/>
    <x v="1"/>
    <x v="2"/>
    <x v="5"/>
    <x v="6"/>
    <x v="0"/>
    <x v="1"/>
  </r>
  <r>
    <x v="223"/>
    <x v="1"/>
    <s v="Brand"/>
    <x v="47"/>
    <x v="5"/>
    <s v="Property"/>
    <x v="43"/>
    <n v="-54022.96"/>
    <b v="1"/>
    <n v="-54022.96"/>
    <x v="0"/>
    <s v="Assets"/>
    <s v="PP&amp;E"/>
    <x v="1"/>
    <x v="1"/>
    <x v="4"/>
    <x v="8"/>
    <x v="5"/>
    <x v="3"/>
    <x v="0"/>
    <x v="1"/>
  </r>
  <r>
    <x v="224"/>
    <x v="1"/>
    <s v="Shuijie"/>
    <x v="40"/>
    <x v="5"/>
    <s v="Phys.C"/>
    <x v="7"/>
    <n v="1000"/>
    <b v="1"/>
    <n v="1000"/>
    <x v="0"/>
    <s v="Assets"/>
    <s v="Cash alike"/>
    <x v="3"/>
    <x v="1"/>
    <x v="0"/>
    <x v="1"/>
    <x v="5"/>
    <x v="6"/>
    <x v="0"/>
    <x v="1"/>
  </r>
  <r>
    <x v="224"/>
    <x v="1"/>
    <s v="Shuijie"/>
    <x v="40"/>
    <x v="5"/>
    <s v="AR"/>
    <x v="21"/>
    <n v="67558.31"/>
    <b v="1"/>
    <n v="67558.31"/>
    <x v="0"/>
    <s v="Assets"/>
    <s v="Rec-Pay"/>
    <x v="3"/>
    <x v="1"/>
    <x v="1"/>
    <x v="2"/>
    <x v="5"/>
    <x v="6"/>
    <x v="0"/>
    <x v="1"/>
  </r>
  <r>
    <x v="225"/>
    <x v="1"/>
    <s v="Shuijie"/>
    <x v="12"/>
    <x v="5"/>
    <s v="ToTax"/>
    <x v="47"/>
    <n v="681.35"/>
    <b v="1"/>
    <n v="-681.35"/>
    <x v="1"/>
    <s v="Liability"/>
    <s v="Rec-Pay"/>
    <x v="2"/>
    <x v="1"/>
    <x v="1"/>
    <x v="11"/>
    <x v="5"/>
    <x v="6"/>
    <x v="0"/>
    <x v="1"/>
  </r>
  <r>
    <x v="226"/>
    <x v="1"/>
    <s v="Shuijie"/>
    <x v="43"/>
    <x v="5"/>
    <s v="AR"/>
    <x v="21"/>
    <n v="-257.69"/>
    <b v="1"/>
    <n v="-257.69"/>
    <x v="0"/>
    <s v="Assets"/>
    <s v="Rec-Pay"/>
    <x v="2"/>
    <x v="1"/>
    <x v="1"/>
    <x v="2"/>
    <x v="5"/>
    <x v="6"/>
    <x v="0"/>
    <x v="1"/>
  </r>
  <r>
    <x v="227"/>
    <x v="1"/>
    <s v="Shuijie"/>
    <x v="40"/>
    <x v="5"/>
    <s v="AR"/>
    <x v="21"/>
    <n v="257.69"/>
    <b v="1"/>
    <n v="257.69"/>
    <x v="0"/>
    <s v="Assets"/>
    <s v="Rec-Pay"/>
    <x v="3"/>
    <x v="1"/>
    <x v="1"/>
    <x v="2"/>
    <x v="5"/>
    <x v="6"/>
    <x v="0"/>
    <x v="1"/>
  </r>
  <r>
    <x v="228"/>
    <x v="1"/>
    <s v="Ctrl"/>
    <x v="45"/>
    <x v="5"/>
    <s v="ToTax"/>
    <x v="49"/>
    <n v="40.869999999999997"/>
    <b v="1"/>
    <n v="-40.869999999999997"/>
    <x v="1"/>
    <s v="Liability"/>
    <s v="Rec-Pay"/>
    <x v="1"/>
    <x v="1"/>
    <x v="1"/>
    <x v="11"/>
    <x v="5"/>
    <x v="0"/>
    <x v="0"/>
    <x v="1"/>
  </r>
  <r>
    <x v="229"/>
    <x v="1"/>
    <s v="GM"/>
    <x v="14"/>
    <x v="5"/>
    <s v="ToEmp"/>
    <x v="52"/>
    <n v="35490.239999999998"/>
    <b v="1"/>
    <n v="-35490.239999999998"/>
    <x v="1"/>
    <s v="Liability"/>
    <s v="Rec-Pay"/>
    <x v="1"/>
    <x v="1"/>
    <x v="1"/>
    <x v="12"/>
    <x v="5"/>
    <x v="1"/>
    <x v="0"/>
    <x v="1"/>
  </r>
  <r>
    <x v="230"/>
    <x v="1"/>
    <s v="GM"/>
    <x v="15"/>
    <x v="5"/>
    <s v="ToEmp"/>
    <x v="67"/>
    <n v="50916.66"/>
    <b v="1"/>
    <n v="-50916.66"/>
    <x v="1"/>
    <s v="Liability"/>
    <s v="Rec-Pay"/>
    <x v="4"/>
    <x v="0"/>
    <x v="1"/>
    <x v="12"/>
    <x v="5"/>
    <x v="1"/>
    <x v="0"/>
    <x v="1"/>
  </r>
  <r>
    <x v="231"/>
    <x v="1"/>
    <s v="Online"/>
    <x v="16"/>
    <x v="0"/>
    <s v="Bank"/>
    <x v="0"/>
    <n v="-1060"/>
    <b v="1"/>
    <n v="-1060"/>
    <x v="0"/>
    <s v="Assets"/>
    <s v="Cash alike"/>
    <x v="1"/>
    <x v="1"/>
    <x v="0"/>
    <x v="0"/>
    <x v="0"/>
    <x v="2"/>
    <x v="0"/>
    <x v="1"/>
  </r>
  <r>
    <x v="232"/>
    <x v="1"/>
    <s v="Online"/>
    <x v="16"/>
    <x v="0"/>
    <s v="Bank"/>
    <x v="0"/>
    <n v="-342"/>
    <b v="1"/>
    <n v="-342"/>
    <x v="0"/>
    <s v="Assets"/>
    <s v="Cash alike"/>
    <x v="1"/>
    <x v="1"/>
    <x v="0"/>
    <x v="0"/>
    <x v="0"/>
    <x v="2"/>
    <x v="0"/>
    <x v="1"/>
  </r>
  <r>
    <x v="233"/>
    <x v="1"/>
    <s v="Online"/>
    <x v="11"/>
    <x v="0"/>
    <s v="Bank"/>
    <x v="0"/>
    <n v="-2079"/>
    <b v="1"/>
    <n v="-2079"/>
    <x v="0"/>
    <s v="Assets"/>
    <s v="Cash alike"/>
    <x v="2"/>
    <x v="1"/>
    <x v="0"/>
    <x v="0"/>
    <x v="0"/>
    <x v="2"/>
    <x v="0"/>
    <x v="1"/>
  </r>
  <r>
    <x v="233"/>
    <x v="1"/>
    <s v="Online"/>
    <x v="11"/>
    <x v="0"/>
    <s v="Curr"/>
    <x v="38"/>
    <n v="2079"/>
    <b v="1"/>
    <n v="2079"/>
    <x v="0"/>
    <s v="Assets"/>
    <s v="Invtr"/>
    <x v="2"/>
    <x v="1"/>
    <x v="3"/>
    <x v="7"/>
    <x v="0"/>
    <x v="2"/>
    <x v="0"/>
    <x v="1"/>
  </r>
  <r>
    <x v="234"/>
    <x v="1"/>
    <s v="Online"/>
    <x v="8"/>
    <x v="0"/>
    <s v="Order"/>
    <x v="34"/>
    <n v="2700"/>
    <b v="1"/>
    <n v="2700"/>
    <x v="0"/>
    <s v="Assets"/>
    <s v="Prep-Sub"/>
    <x v="1"/>
    <x v="1"/>
    <x v="2"/>
    <x v="6"/>
    <x v="0"/>
    <x v="2"/>
    <x v="0"/>
    <x v="1"/>
  </r>
  <r>
    <x v="234"/>
    <x v="1"/>
    <s v="Online"/>
    <x v="8"/>
    <x v="0"/>
    <s v="Bank"/>
    <x v="0"/>
    <n v="-2700"/>
    <b v="1"/>
    <n v="-2700"/>
    <x v="0"/>
    <s v="Assets"/>
    <s v="Cash alike"/>
    <x v="1"/>
    <x v="1"/>
    <x v="0"/>
    <x v="0"/>
    <x v="0"/>
    <x v="2"/>
    <x v="0"/>
    <x v="1"/>
  </r>
  <r>
    <x v="235"/>
    <x v="1"/>
    <s v="Online"/>
    <x v="11"/>
    <x v="0"/>
    <s v="Bank"/>
    <x v="0"/>
    <n v="-6546"/>
    <b v="1"/>
    <n v="-6546"/>
    <x v="0"/>
    <s v="Assets"/>
    <s v="Cash alike"/>
    <x v="2"/>
    <x v="1"/>
    <x v="0"/>
    <x v="0"/>
    <x v="0"/>
    <x v="2"/>
    <x v="0"/>
    <x v="1"/>
  </r>
  <r>
    <x v="235"/>
    <x v="1"/>
    <s v="Online"/>
    <x v="11"/>
    <x v="0"/>
    <s v="Curr"/>
    <x v="38"/>
    <n v="6546"/>
    <b v="1"/>
    <n v="6546"/>
    <x v="0"/>
    <s v="Assets"/>
    <s v="Invtr"/>
    <x v="2"/>
    <x v="1"/>
    <x v="3"/>
    <x v="7"/>
    <x v="0"/>
    <x v="2"/>
    <x v="0"/>
    <x v="1"/>
  </r>
  <r>
    <x v="236"/>
    <x v="1"/>
    <s v="Online"/>
    <x v="16"/>
    <x v="0"/>
    <s v="Bank"/>
    <x v="0"/>
    <n v="-160"/>
    <b v="1"/>
    <n v="-160"/>
    <x v="0"/>
    <s v="Assets"/>
    <s v="Cash alike"/>
    <x v="1"/>
    <x v="1"/>
    <x v="0"/>
    <x v="0"/>
    <x v="0"/>
    <x v="2"/>
    <x v="0"/>
    <x v="1"/>
  </r>
  <r>
    <x v="237"/>
    <x v="1"/>
    <s v="Online"/>
    <x v="33"/>
    <x v="0"/>
    <s v="Bank"/>
    <x v="0"/>
    <n v="289043.94"/>
    <b v="1"/>
    <n v="289043.94"/>
    <x v="0"/>
    <s v="Assets"/>
    <s v="Cash alike"/>
    <x v="3"/>
    <x v="1"/>
    <x v="0"/>
    <x v="0"/>
    <x v="0"/>
    <x v="2"/>
    <x v="0"/>
    <x v="1"/>
  </r>
  <r>
    <x v="237"/>
    <x v="1"/>
    <s v="Online"/>
    <x v="33"/>
    <x v="0"/>
    <s v="AR"/>
    <x v="21"/>
    <n v="-289043.94"/>
    <b v="1"/>
    <n v="-289043.94"/>
    <x v="0"/>
    <s v="Assets"/>
    <s v="Rec-Pay"/>
    <x v="3"/>
    <x v="1"/>
    <x v="1"/>
    <x v="2"/>
    <x v="0"/>
    <x v="2"/>
    <x v="0"/>
    <x v="1"/>
  </r>
  <r>
    <x v="238"/>
    <x v="1"/>
    <s v="Online"/>
    <x v="9"/>
    <x v="0"/>
    <s v="Bank"/>
    <x v="0"/>
    <n v="-36.4"/>
    <b v="1"/>
    <n v="-36.4"/>
    <x v="0"/>
    <s v="Assets"/>
    <s v="Cash alike"/>
    <x v="1"/>
    <x v="1"/>
    <x v="0"/>
    <x v="0"/>
    <x v="0"/>
    <x v="2"/>
    <x v="0"/>
    <x v="1"/>
  </r>
  <r>
    <x v="239"/>
    <x v="1"/>
    <s v="GM"/>
    <x v="14"/>
    <x v="0"/>
    <s v="Bank"/>
    <x v="0"/>
    <n v="-15000"/>
    <b v="1"/>
    <n v="-15000"/>
    <x v="0"/>
    <s v="Assets"/>
    <s v="Cash alike"/>
    <x v="1"/>
    <x v="1"/>
    <x v="0"/>
    <x v="0"/>
    <x v="0"/>
    <x v="1"/>
    <x v="0"/>
    <x v="1"/>
  </r>
  <r>
    <x v="240"/>
    <x v="1"/>
    <s v="GM"/>
    <x v="3"/>
    <x v="0"/>
    <s v="Bank"/>
    <x v="0"/>
    <n v="-370"/>
    <b v="1"/>
    <n v="-370"/>
    <x v="0"/>
    <s v="Assets"/>
    <s v="Cash alike"/>
    <x v="1"/>
    <x v="1"/>
    <x v="0"/>
    <x v="0"/>
    <x v="0"/>
    <x v="1"/>
    <x v="0"/>
    <x v="1"/>
  </r>
  <r>
    <x v="241"/>
    <x v="1"/>
    <s v="Online"/>
    <x v="11"/>
    <x v="0"/>
    <s v="Curr"/>
    <x v="38"/>
    <n v="17226"/>
    <b v="1"/>
    <n v="17226"/>
    <x v="0"/>
    <s v="Assets"/>
    <s v="Invtr"/>
    <x v="2"/>
    <x v="1"/>
    <x v="3"/>
    <x v="7"/>
    <x v="0"/>
    <x v="2"/>
    <x v="0"/>
    <x v="1"/>
  </r>
  <r>
    <x v="241"/>
    <x v="1"/>
    <s v="Online"/>
    <x v="11"/>
    <x v="0"/>
    <s v="Bank"/>
    <x v="0"/>
    <n v="-17226"/>
    <b v="1"/>
    <n v="-17226"/>
    <x v="0"/>
    <s v="Assets"/>
    <s v="Cash alike"/>
    <x v="2"/>
    <x v="1"/>
    <x v="0"/>
    <x v="0"/>
    <x v="0"/>
    <x v="2"/>
    <x v="0"/>
    <x v="1"/>
  </r>
  <r>
    <x v="242"/>
    <x v="1"/>
    <s v="Online"/>
    <x v="11"/>
    <x v="0"/>
    <s v="Curr"/>
    <x v="38"/>
    <n v="4387"/>
    <b v="1"/>
    <n v="4387"/>
    <x v="0"/>
    <s v="Assets"/>
    <s v="Invtr"/>
    <x v="2"/>
    <x v="1"/>
    <x v="3"/>
    <x v="7"/>
    <x v="0"/>
    <x v="2"/>
    <x v="0"/>
    <x v="1"/>
  </r>
  <r>
    <x v="242"/>
    <x v="1"/>
    <s v="Online"/>
    <x v="11"/>
    <x v="0"/>
    <s v="Bank"/>
    <x v="0"/>
    <n v="-4387"/>
    <b v="1"/>
    <n v="-4387"/>
    <x v="0"/>
    <s v="Assets"/>
    <s v="Cash alike"/>
    <x v="2"/>
    <x v="1"/>
    <x v="0"/>
    <x v="0"/>
    <x v="0"/>
    <x v="2"/>
    <x v="0"/>
    <x v="1"/>
  </r>
  <r>
    <x v="243"/>
    <x v="1"/>
    <s v="Online"/>
    <x v="11"/>
    <x v="0"/>
    <s v="Bank"/>
    <x v="0"/>
    <n v="-17220"/>
    <b v="1"/>
    <n v="-17220"/>
    <x v="0"/>
    <s v="Assets"/>
    <s v="Cash alike"/>
    <x v="2"/>
    <x v="1"/>
    <x v="0"/>
    <x v="0"/>
    <x v="0"/>
    <x v="2"/>
    <x v="0"/>
    <x v="1"/>
  </r>
  <r>
    <x v="243"/>
    <x v="1"/>
    <s v="Online"/>
    <x v="11"/>
    <x v="0"/>
    <s v="Curr"/>
    <x v="38"/>
    <n v="17220"/>
    <b v="1"/>
    <n v="17220"/>
    <x v="0"/>
    <s v="Assets"/>
    <s v="Invtr"/>
    <x v="2"/>
    <x v="1"/>
    <x v="3"/>
    <x v="7"/>
    <x v="0"/>
    <x v="2"/>
    <x v="0"/>
    <x v="1"/>
  </r>
  <r>
    <x v="244"/>
    <x v="1"/>
    <s v="GM"/>
    <x v="14"/>
    <x v="0"/>
    <s v="Bank"/>
    <x v="0"/>
    <n v="-10000"/>
    <b v="1"/>
    <n v="-10000"/>
    <x v="0"/>
    <s v="Assets"/>
    <s v="Cash alike"/>
    <x v="1"/>
    <x v="1"/>
    <x v="0"/>
    <x v="0"/>
    <x v="0"/>
    <x v="1"/>
    <x v="0"/>
    <x v="1"/>
  </r>
  <r>
    <x v="245"/>
    <x v="1"/>
    <s v="Online"/>
    <x v="11"/>
    <x v="0"/>
    <s v="Bank"/>
    <x v="0"/>
    <n v="-35459.949999999997"/>
    <b v="1"/>
    <n v="-35459.949999999997"/>
    <x v="0"/>
    <s v="Assets"/>
    <s v="Cash alike"/>
    <x v="2"/>
    <x v="1"/>
    <x v="0"/>
    <x v="0"/>
    <x v="0"/>
    <x v="2"/>
    <x v="0"/>
    <x v="1"/>
  </r>
  <r>
    <x v="245"/>
    <x v="1"/>
    <s v="Online"/>
    <x v="11"/>
    <x v="0"/>
    <s v="Curr"/>
    <x v="38"/>
    <n v="35459.949999999997"/>
    <b v="1"/>
    <n v="35459.949999999997"/>
    <x v="0"/>
    <s v="Assets"/>
    <s v="Invtr"/>
    <x v="2"/>
    <x v="1"/>
    <x v="3"/>
    <x v="7"/>
    <x v="0"/>
    <x v="2"/>
    <x v="0"/>
    <x v="1"/>
  </r>
  <r>
    <x v="246"/>
    <x v="1"/>
    <s v="Online"/>
    <x v="11"/>
    <x v="0"/>
    <s v="Bank"/>
    <x v="0"/>
    <n v="-77908.5"/>
    <b v="1"/>
    <n v="-77908.5"/>
    <x v="0"/>
    <s v="Assets"/>
    <s v="Cash alike"/>
    <x v="2"/>
    <x v="1"/>
    <x v="0"/>
    <x v="0"/>
    <x v="0"/>
    <x v="2"/>
    <x v="0"/>
    <x v="1"/>
  </r>
  <r>
    <x v="246"/>
    <x v="1"/>
    <s v="Online"/>
    <x v="11"/>
    <x v="0"/>
    <s v="Curr"/>
    <x v="38"/>
    <n v="77908.5"/>
    <b v="1"/>
    <n v="77908.5"/>
    <x v="0"/>
    <s v="Assets"/>
    <s v="Invtr"/>
    <x v="2"/>
    <x v="1"/>
    <x v="3"/>
    <x v="7"/>
    <x v="0"/>
    <x v="2"/>
    <x v="0"/>
    <x v="1"/>
  </r>
  <r>
    <x v="247"/>
    <x v="1"/>
    <s v="GM"/>
    <x v="6"/>
    <x v="0"/>
    <s v="Bank"/>
    <x v="0"/>
    <n v="-83998.38"/>
    <b v="1"/>
    <n v="-83998.38"/>
    <x v="0"/>
    <s v="Assets"/>
    <s v="Cash alike"/>
    <x v="1"/>
    <x v="1"/>
    <x v="0"/>
    <x v="0"/>
    <x v="0"/>
    <x v="1"/>
    <x v="0"/>
    <x v="1"/>
  </r>
  <r>
    <x v="247"/>
    <x v="1"/>
    <s v="GM"/>
    <x v="6"/>
    <x v="0"/>
    <s v="FrOther"/>
    <x v="22"/>
    <n v="24591.75"/>
    <b v="1"/>
    <n v="24591.75"/>
    <x v="0"/>
    <s v="Assets"/>
    <s v="Rec-Pay"/>
    <x v="1"/>
    <x v="1"/>
    <x v="1"/>
    <x v="3"/>
    <x v="0"/>
    <x v="1"/>
    <x v="0"/>
    <x v="1"/>
  </r>
  <r>
    <x v="248"/>
    <x v="1"/>
    <s v="Brand"/>
    <x v="20"/>
    <x v="0"/>
    <s v="Bank"/>
    <x v="0"/>
    <n v="-829.9"/>
    <b v="1"/>
    <n v="-829.9"/>
    <x v="0"/>
    <s v="Assets"/>
    <s v="Cash alike"/>
    <x v="1"/>
    <x v="1"/>
    <x v="0"/>
    <x v="0"/>
    <x v="0"/>
    <x v="3"/>
    <x v="0"/>
    <x v="1"/>
  </r>
  <r>
    <x v="249"/>
    <x v="1"/>
    <s v="GM"/>
    <x v="14"/>
    <x v="0"/>
    <s v="Bank"/>
    <x v="0"/>
    <n v="-5000"/>
    <b v="1"/>
    <n v="-5000"/>
    <x v="0"/>
    <s v="Assets"/>
    <s v="Cash alike"/>
    <x v="1"/>
    <x v="1"/>
    <x v="0"/>
    <x v="0"/>
    <x v="0"/>
    <x v="1"/>
    <x v="0"/>
    <x v="1"/>
  </r>
  <r>
    <x v="250"/>
    <x v="1"/>
    <s v="Online"/>
    <x v="33"/>
    <x v="0"/>
    <s v="Bank"/>
    <x v="0"/>
    <n v="720101.65"/>
    <b v="1"/>
    <n v="720101.65"/>
    <x v="0"/>
    <s v="Assets"/>
    <s v="Cash alike"/>
    <x v="3"/>
    <x v="1"/>
    <x v="0"/>
    <x v="0"/>
    <x v="0"/>
    <x v="2"/>
    <x v="0"/>
    <x v="1"/>
  </r>
  <r>
    <x v="250"/>
    <x v="1"/>
    <s v="Online"/>
    <x v="33"/>
    <x v="0"/>
    <s v="AR"/>
    <x v="21"/>
    <n v="-720101.65"/>
    <b v="1"/>
    <n v="-720101.65"/>
    <x v="0"/>
    <s v="Assets"/>
    <s v="Rec-Pay"/>
    <x v="3"/>
    <x v="1"/>
    <x v="1"/>
    <x v="2"/>
    <x v="0"/>
    <x v="2"/>
    <x v="0"/>
    <x v="1"/>
  </r>
  <r>
    <x v="251"/>
    <x v="1"/>
    <s v="GM"/>
    <x v="18"/>
    <x v="0"/>
    <s v="Bank"/>
    <x v="0"/>
    <n v="-1881.9"/>
    <b v="1"/>
    <n v="-1881.9"/>
    <x v="0"/>
    <s v="Assets"/>
    <s v="Cash alike"/>
    <x v="1"/>
    <x v="1"/>
    <x v="0"/>
    <x v="0"/>
    <x v="0"/>
    <x v="1"/>
    <x v="0"/>
    <x v="1"/>
  </r>
  <r>
    <x v="252"/>
    <x v="1"/>
    <s v="GM"/>
    <x v="18"/>
    <x v="0"/>
    <s v="Bank"/>
    <x v="0"/>
    <n v="-10283"/>
    <b v="1"/>
    <n v="-10283"/>
    <x v="0"/>
    <s v="Assets"/>
    <s v="Cash alike"/>
    <x v="1"/>
    <x v="1"/>
    <x v="0"/>
    <x v="0"/>
    <x v="0"/>
    <x v="1"/>
    <x v="0"/>
    <x v="1"/>
  </r>
  <r>
    <x v="253"/>
    <x v="1"/>
    <s v="Online"/>
    <x v="11"/>
    <x v="0"/>
    <s v="Bank"/>
    <x v="0"/>
    <n v="-1925"/>
    <b v="1"/>
    <n v="-1925"/>
    <x v="0"/>
    <s v="Assets"/>
    <s v="Cash alike"/>
    <x v="2"/>
    <x v="1"/>
    <x v="0"/>
    <x v="0"/>
    <x v="0"/>
    <x v="2"/>
    <x v="0"/>
    <x v="1"/>
  </r>
  <r>
    <x v="253"/>
    <x v="1"/>
    <s v="Online"/>
    <x v="11"/>
    <x v="0"/>
    <s v="Curr"/>
    <x v="38"/>
    <n v="1925"/>
    <b v="1"/>
    <n v="1925"/>
    <x v="0"/>
    <s v="Assets"/>
    <s v="Invtr"/>
    <x v="2"/>
    <x v="1"/>
    <x v="3"/>
    <x v="7"/>
    <x v="0"/>
    <x v="2"/>
    <x v="0"/>
    <x v="1"/>
  </r>
  <r>
    <x v="254"/>
    <x v="1"/>
    <s v="Online"/>
    <x v="9"/>
    <x v="0"/>
    <s v="Bank"/>
    <x v="0"/>
    <n v="-2771.95"/>
    <b v="1"/>
    <n v="-2771.95"/>
    <x v="0"/>
    <s v="Assets"/>
    <s v="Cash alike"/>
    <x v="1"/>
    <x v="1"/>
    <x v="0"/>
    <x v="0"/>
    <x v="0"/>
    <x v="2"/>
    <x v="0"/>
    <x v="1"/>
  </r>
  <r>
    <x v="255"/>
    <x v="1"/>
    <s v="Online"/>
    <x v="9"/>
    <x v="0"/>
    <s v="Bank"/>
    <x v="0"/>
    <n v="-62132"/>
    <b v="1"/>
    <n v="-62132"/>
    <x v="0"/>
    <s v="Assets"/>
    <s v="Cash alike"/>
    <x v="1"/>
    <x v="1"/>
    <x v="0"/>
    <x v="0"/>
    <x v="0"/>
    <x v="2"/>
    <x v="0"/>
    <x v="1"/>
  </r>
  <r>
    <x v="256"/>
    <x v="1"/>
    <s v="Online"/>
    <x v="9"/>
    <x v="0"/>
    <s v="Bank"/>
    <x v="0"/>
    <n v="-14284"/>
    <b v="1"/>
    <n v="-14284"/>
    <x v="0"/>
    <s v="Assets"/>
    <s v="Cash alike"/>
    <x v="1"/>
    <x v="1"/>
    <x v="0"/>
    <x v="0"/>
    <x v="0"/>
    <x v="2"/>
    <x v="0"/>
    <x v="1"/>
  </r>
  <r>
    <x v="257"/>
    <x v="1"/>
    <s v="Online"/>
    <x v="48"/>
    <x v="0"/>
    <s v="Bank"/>
    <x v="0"/>
    <n v="-277"/>
    <b v="1"/>
    <n v="-277"/>
    <x v="0"/>
    <s v="Assets"/>
    <s v="Cash alike"/>
    <x v="1"/>
    <x v="1"/>
    <x v="0"/>
    <x v="0"/>
    <x v="0"/>
    <x v="2"/>
    <x v="0"/>
    <x v="1"/>
  </r>
  <r>
    <x v="258"/>
    <x v="1"/>
    <s v="Online"/>
    <x v="48"/>
    <x v="0"/>
    <s v="Bank"/>
    <x v="0"/>
    <n v="-606.97"/>
    <b v="1"/>
    <n v="-606.97"/>
    <x v="0"/>
    <s v="Assets"/>
    <s v="Cash alike"/>
    <x v="1"/>
    <x v="1"/>
    <x v="0"/>
    <x v="0"/>
    <x v="0"/>
    <x v="2"/>
    <x v="0"/>
    <x v="1"/>
  </r>
  <r>
    <x v="259"/>
    <x v="1"/>
    <s v="Brand"/>
    <x v="20"/>
    <x v="0"/>
    <s v="Bank"/>
    <x v="0"/>
    <n v="-40.700000000000003"/>
    <b v="1"/>
    <n v="-40.700000000000003"/>
    <x v="0"/>
    <s v="Assets"/>
    <s v="Cash alike"/>
    <x v="1"/>
    <x v="1"/>
    <x v="0"/>
    <x v="0"/>
    <x v="0"/>
    <x v="3"/>
    <x v="0"/>
    <x v="1"/>
  </r>
  <r>
    <x v="260"/>
    <x v="1"/>
    <s v="Online"/>
    <x v="43"/>
    <x v="0"/>
    <s v="AR"/>
    <x v="21"/>
    <n v="-140991.12"/>
    <b v="1"/>
    <n v="-140991.12"/>
    <x v="0"/>
    <s v="Assets"/>
    <s v="Rec-Pay"/>
    <x v="2"/>
    <x v="1"/>
    <x v="1"/>
    <x v="2"/>
    <x v="0"/>
    <x v="2"/>
    <x v="0"/>
    <x v="1"/>
  </r>
  <r>
    <x v="261"/>
    <x v="1"/>
    <s v="Online"/>
    <x v="10"/>
    <x v="0"/>
    <s v="AR"/>
    <x v="21"/>
    <n v="140991.12"/>
    <b v="1"/>
    <n v="140991.12"/>
    <x v="0"/>
    <s v="Assets"/>
    <s v="Rec-Pay"/>
    <x v="3"/>
    <x v="1"/>
    <x v="1"/>
    <x v="2"/>
    <x v="0"/>
    <x v="2"/>
    <x v="0"/>
    <x v="1"/>
  </r>
  <r>
    <x v="262"/>
    <x v="1"/>
    <s v="Online"/>
    <x v="11"/>
    <x v="0"/>
    <s v="Curr"/>
    <x v="38"/>
    <n v="1625"/>
    <b v="1"/>
    <n v="1625"/>
    <x v="0"/>
    <s v="Assets"/>
    <s v="Invtr"/>
    <x v="2"/>
    <x v="1"/>
    <x v="3"/>
    <x v="7"/>
    <x v="0"/>
    <x v="2"/>
    <x v="0"/>
    <x v="1"/>
  </r>
  <r>
    <x v="262"/>
    <x v="1"/>
    <s v="Online"/>
    <x v="11"/>
    <x v="0"/>
    <s v="Bank"/>
    <x v="0"/>
    <n v="-1625"/>
    <b v="1"/>
    <n v="-1625"/>
    <x v="0"/>
    <s v="Assets"/>
    <s v="Cash alike"/>
    <x v="2"/>
    <x v="1"/>
    <x v="0"/>
    <x v="0"/>
    <x v="0"/>
    <x v="2"/>
    <x v="0"/>
    <x v="1"/>
  </r>
  <r>
    <x v="263"/>
    <x v="1"/>
    <s v="Online"/>
    <x v="11"/>
    <x v="0"/>
    <s v="Curr"/>
    <x v="38"/>
    <n v="12875"/>
    <b v="1"/>
    <n v="12875"/>
    <x v="0"/>
    <s v="Assets"/>
    <s v="Invtr"/>
    <x v="2"/>
    <x v="1"/>
    <x v="3"/>
    <x v="7"/>
    <x v="0"/>
    <x v="2"/>
    <x v="0"/>
    <x v="1"/>
  </r>
  <r>
    <x v="263"/>
    <x v="1"/>
    <s v="Online"/>
    <x v="11"/>
    <x v="0"/>
    <s v="Bank"/>
    <x v="0"/>
    <n v="-12875"/>
    <b v="1"/>
    <n v="-12875"/>
    <x v="0"/>
    <s v="Assets"/>
    <s v="Cash alike"/>
    <x v="2"/>
    <x v="1"/>
    <x v="0"/>
    <x v="0"/>
    <x v="0"/>
    <x v="2"/>
    <x v="0"/>
    <x v="1"/>
  </r>
  <r>
    <x v="264"/>
    <x v="1"/>
    <s v="GM"/>
    <x v="8"/>
    <x v="0"/>
    <s v="Bank"/>
    <x v="0"/>
    <n v="-421835.41"/>
    <b v="1"/>
    <n v="-421835.41"/>
    <x v="0"/>
    <s v="Assets"/>
    <s v="Cash alike"/>
    <x v="1"/>
    <x v="1"/>
    <x v="0"/>
    <x v="0"/>
    <x v="0"/>
    <x v="1"/>
    <x v="0"/>
    <x v="1"/>
  </r>
  <r>
    <x v="264"/>
    <x v="1"/>
    <s v="GM"/>
    <x v="8"/>
    <x v="0"/>
    <s v="ToEmp"/>
    <x v="52"/>
    <n v="-454010.9"/>
    <b v="1"/>
    <n v="454010.9"/>
    <x v="1"/>
    <s v="Liability"/>
    <s v="Rec-Pay"/>
    <x v="1"/>
    <x v="1"/>
    <x v="1"/>
    <x v="12"/>
    <x v="0"/>
    <x v="1"/>
    <x v="0"/>
    <x v="1"/>
  </r>
  <r>
    <x v="264"/>
    <x v="1"/>
    <s v="GM"/>
    <x v="8"/>
    <x v="0"/>
    <s v="FrOther"/>
    <x v="22"/>
    <n v="-24114.6"/>
    <b v="1"/>
    <n v="-24114.6"/>
    <x v="0"/>
    <s v="Assets"/>
    <s v="Rec-Pay"/>
    <x v="1"/>
    <x v="1"/>
    <x v="1"/>
    <x v="3"/>
    <x v="0"/>
    <x v="1"/>
    <x v="0"/>
    <x v="1"/>
  </r>
  <r>
    <x v="264"/>
    <x v="1"/>
    <s v="GM"/>
    <x v="8"/>
    <x v="0"/>
    <s v="ToTax"/>
    <x v="54"/>
    <n v="8060.89"/>
    <b v="1"/>
    <n v="-8060.89"/>
    <x v="1"/>
    <s v="Liability"/>
    <s v="Rec-Pay"/>
    <x v="1"/>
    <x v="1"/>
    <x v="1"/>
    <x v="11"/>
    <x v="0"/>
    <x v="1"/>
    <x v="0"/>
    <x v="1"/>
  </r>
  <r>
    <x v="265"/>
    <x v="1"/>
    <s v="GM"/>
    <x v="8"/>
    <x v="0"/>
    <s v="ToTax"/>
    <x v="54"/>
    <n v="-8060.89"/>
    <b v="1"/>
    <n v="8060.89"/>
    <x v="1"/>
    <s v="Liability"/>
    <s v="Rec-Pay"/>
    <x v="1"/>
    <x v="1"/>
    <x v="1"/>
    <x v="11"/>
    <x v="0"/>
    <x v="1"/>
    <x v="0"/>
    <x v="1"/>
  </r>
  <r>
    <x v="265"/>
    <x v="1"/>
    <s v="GM"/>
    <x v="8"/>
    <x v="0"/>
    <s v="Bank"/>
    <x v="0"/>
    <n v="-8060.89"/>
    <b v="1"/>
    <n v="-8060.89"/>
    <x v="0"/>
    <s v="Assets"/>
    <s v="Cash alike"/>
    <x v="1"/>
    <x v="1"/>
    <x v="0"/>
    <x v="0"/>
    <x v="0"/>
    <x v="1"/>
    <x v="0"/>
    <x v="1"/>
  </r>
  <r>
    <x v="266"/>
    <x v="1"/>
    <s v="GM"/>
    <x v="33"/>
    <x v="0"/>
    <s v="Bank"/>
    <x v="0"/>
    <n v="477.15"/>
    <b v="1"/>
    <n v="477.15"/>
    <x v="0"/>
    <s v="Assets"/>
    <s v="Cash alike"/>
    <x v="1"/>
    <x v="1"/>
    <x v="0"/>
    <x v="0"/>
    <x v="0"/>
    <x v="1"/>
    <x v="0"/>
    <x v="1"/>
  </r>
  <r>
    <x v="266"/>
    <x v="1"/>
    <s v="GM"/>
    <x v="33"/>
    <x v="0"/>
    <s v="FrOther"/>
    <x v="22"/>
    <n v="-477.15"/>
    <b v="1"/>
    <n v="-477.15"/>
    <x v="0"/>
    <s v="Assets"/>
    <s v="Rec-Pay"/>
    <x v="1"/>
    <x v="1"/>
    <x v="1"/>
    <x v="3"/>
    <x v="0"/>
    <x v="1"/>
    <x v="0"/>
    <x v="1"/>
  </r>
  <r>
    <x v="267"/>
    <x v="1"/>
    <s v="GM"/>
    <x v="14"/>
    <x v="0"/>
    <s v="Bank"/>
    <x v="0"/>
    <n v="-11932"/>
    <b v="1"/>
    <n v="-11932"/>
    <x v="0"/>
    <s v="Assets"/>
    <s v="Cash alike"/>
    <x v="1"/>
    <x v="1"/>
    <x v="0"/>
    <x v="0"/>
    <x v="0"/>
    <x v="1"/>
    <x v="0"/>
    <x v="1"/>
  </r>
  <r>
    <x v="268"/>
    <x v="1"/>
    <s v="Online"/>
    <x v="33"/>
    <x v="0"/>
    <s v="Bank"/>
    <x v="0"/>
    <n v="609035.81000000006"/>
    <b v="1"/>
    <n v="609035.81000000006"/>
    <x v="0"/>
    <s v="Assets"/>
    <s v="Cash alike"/>
    <x v="3"/>
    <x v="1"/>
    <x v="0"/>
    <x v="0"/>
    <x v="0"/>
    <x v="2"/>
    <x v="0"/>
    <x v="1"/>
  </r>
  <r>
    <x v="268"/>
    <x v="1"/>
    <s v="Online"/>
    <x v="33"/>
    <x v="0"/>
    <s v="AR"/>
    <x v="21"/>
    <n v="-609035.81000000006"/>
    <b v="1"/>
    <n v="-609035.81000000006"/>
    <x v="0"/>
    <s v="Assets"/>
    <s v="Rec-Pay"/>
    <x v="3"/>
    <x v="1"/>
    <x v="1"/>
    <x v="2"/>
    <x v="0"/>
    <x v="2"/>
    <x v="0"/>
    <x v="1"/>
  </r>
  <r>
    <x v="269"/>
    <x v="1"/>
    <s v="GM"/>
    <x v="8"/>
    <x v="0"/>
    <s v="Bank"/>
    <x v="0"/>
    <n v="-2514.09"/>
    <b v="1"/>
    <n v="-2514.09"/>
    <x v="0"/>
    <s v="Assets"/>
    <s v="Cash alike"/>
    <x v="1"/>
    <x v="1"/>
    <x v="0"/>
    <x v="0"/>
    <x v="0"/>
    <x v="1"/>
    <x v="0"/>
    <x v="1"/>
  </r>
  <r>
    <x v="269"/>
    <x v="1"/>
    <s v="GM"/>
    <x v="8"/>
    <x v="0"/>
    <s v="Order"/>
    <x v="34"/>
    <n v="2514.09"/>
    <b v="1"/>
    <n v="2514.09"/>
    <x v="0"/>
    <s v="Assets"/>
    <s v="Prep-Sub"/>
    <x v="1"/>
    <x v="1"/>
    <x v="2"/>
    <x v="6"/>
    <x v="0"/>
    <x v="1"/>
    <x v="0"/>
    <x v="1"/>
  </r>
  <r>
    <x v="270"/>
    <x v="1"/>
    <s v="GM"/>
    <x v="14"/>
    <x v="0"/>
    <s v="Bank"/>
    <x v="0"/>
    <n v="-10500.58"/>
    <b v="1"/>
    <n v="-10500.58"/>
    <x v="0"/>
    <s v="Assets"/>
    <s v="Cash alike"/>
    <x v="1"/>
    <x v="1"/>
    <x v="0"/>
    <x v="0"/>
    <x v="0"/>
    <x v="1"/>
    <x v="0"/>
    <x v="1"/>
  </r>
  <r>
    <x v="271"/>
    <x v="1"/>
    <s v="Online"/>
    <x v="11"/>
    <x v="0"/>
    <s v="Bank"/>
    <x v="0"/>
    <n v="-5940"/>
    <b v="1"/>
    <n v="-5940"/>
    <x v="0"/>
    <s v="Assets"/>
    <s v="Cash alike"/>
    <x v="2"/>
    <x v="1"/>
    <x v="0"/>
    <x v="0"/>
    <x v="0"/>
    <x v="2"/>
    <x v="0"/>
    <x v="1"/>
  </r>
  <r>
    <x v="271"/>
    <x v="1"/>
    <s v="Online"/>
    <x v="11"/>
    <x v="0"/>
    <s v="Curr"/>
    <x v="38"/>
    <n v="5940"/>
    <b v="1"/>
    <n v="5940"/>
    <x v="0"/>
    <s v="Assets"/>
    <s v="Invtr"/>
    <x v="2"/>
    <x v="1"/>
    <x v="3"/>
    <x v="7"/>
    <x v="0"/>
    <x v="2"/>
    <x v="0"/>
    <x v="1"/>
  </r>
  <r>
    <x v="272"/>
    <x v="1"/>
    <s v="Ctrl"/>
    <x v="8"/>
    <x v="0"/>
    <s v="ToTax"/>
    <x v="47"/>
    <n v="-379473.01"/>
    <b v="1"/>
    <n v="379473.01"/>
    <x v="1"/>
    <s v="Liability"/>
    <s v="Rec-Pay"/>
    <x v="1"/>
    <x v="1"/>
    <x v="1"/>
    <x v="11"/>
    <x v="0"/>
    <x v="0"/>
    <x v="0"/>
    <x v="1"/>
  </r>
  <r>
    <x v="272"/>
    <x v="1"/>
    <s v="Ctrl"/>
    <x v="8"/>
    <x v="0"/>
    <s v="ToTax"/>
    <x v="49"/>
    <n v="-22987.3"/>
    <b v="1"/>
    <n v="22987.3"/>
    <x v="1"/>
    <s v="Liability"/>
    <s v="Rec-Pay"/>
    <x v="1"/>
    <x v="1"/>
    <x v="1"/>
    <x v="11"/>
    <x v="0"/>
    <x v="0"/>
    <x v="0"/>
    <x v="1"/>
  </r>
  <r>
    <x v="272"/>
    <x v="1"/>
    <s v="Ctrl"/>
    <x v="8"/>
    <x v="0"/>
    <s v="ToTax"/>
    <x v="50"/>
    <n v="-583.9"/>
    <b v="1"/>
    <n v="583.9"/>
    <x v="1"/>
    <s v="Liability"/>
    <s v="Rec-Pay"/>
    <x v="1"/>
    <x v="1"/>
    <x v="1"/>
    <x v="11"/>
    <x v="0"/>
    <x v="0"/>
    <x v="0"/>
    <x v="1"/>
  </r>
  <r>
    <x v="272"/>
    <x v="1"/>
    <s v="Ctrl"/>
    <x v="8"/>
    <x v="0"/>
    <s v="ToTax"/>
    <x v="48"/>
    <n v="-1049.06"/>
    <b v="1"/>
    <n v="1049.06"/>
    <x v="1"/>
    <s v="Liability"/>
    <s v="Rec-Pay"/>
    <x v="1"/>
    <x v="1"/>
    <x v="1"/>
    <x v="11"/>
    <x v="0"/>
    <x v="0"/>
    <x v="0"/>
    <x v="1"/>
  </r>
  <r>
    <x v="272"/>
    <x v="1"/>
    <s v="Ctrl"/>
    <x v="8"/>
    <x v="0"/>
    <s v="ToTax"/>
    <x v="51"/>
    <n v="-37203.69"/>
    <b v="1"/>
    <n v="37203.69"/>
    <x v="1"/>
    <s v="Liability"/>
    <s v="Rec-Pay"/>
    <x v="1"/>
    <x v="1"/>
    <x v="1"/>
    <x v="11"/>
    <x v="0"/>
    <x v="0"/>
    <x v="0"/>
    <x v="1"/>
  </r>
  <r>
    <x v="272"/>
    <x v="1"/>
    <s v="Ctrl"/>
    <x v="8"/>
    <x v="0"/>
    <s v="Bank"/>
    <x v="0"/>
    <n v="-441296.96"/>
    <b v="1"/>
    <n v="-441296.96"/>
    <x v="0"/>
    <s v="Assets"/>
    <s v="Cash alike"/>
    <x v="1"/>
    <x v="1"/>
    <x v="0"/>
    <x v="0"/>
    <x v="0"/>
    <x v="0"/>
    <x v="0"/>
    <x v="1"/>
  </r>
  <r>
    <x v="273"/>
    <x v="1"/>
    <s v="Online"/>
    <x v="11"/>
    <x v="0"/>
    <s v="Curr"/>
    <x v="38"/>
    <n v="50640"/>
    <b v="1"/>
    <n v="50640"/>
    <x v="0"/>
    <s v="Assets"/>
    <s v="Invtr"/>
    <x v="2"/>
    <x v="1"/>
    <x v="3"/>
    <x v="7"/>
    <x v="0"/>
    <x v="2"/>
    <x v="0"/>
    <x v="1"/>
  </r>
  <r>
    <x v="273"/>
    <x v="1"/>
    <s v="Online"/>
    <x v="11"/>
    <x v="0"/>
    <s v="Bank"/>
    <x v="0"/>
    <n v="-50640"/>
    <b v="1"/>
    <n v="-50640"/>
    <x v="0"/>
    <s v="Assets"/>
    <s v="Cash alike"/>
    <x v="2"/>
    <x v="1"/>
    <x v="0"/>
    <x v="0"/>
    <x v="0"/>
    <x v="2"/>
    <x v="0"/>
    <x v="1"/>
  </r>
  <r>
    <x v="274"/>
    <x v="1"/>
    <s v="GM"/>
    <x v="14"/>
    <x v="0"/>
    <s v="Bank"/>
    <x v="0"/>
    <n v="-10000"/>
    <b v="1"/>
    <n v="-10000"/>
    <x v="0"/>
    <s v="Assets"/>
    <s v="Cash alike"/>
    <x v="1"/>
    <x v="1"/>
    <x v="0"/>
    <x v="0"/>
    <x v="0"/>
    <x v="1"/>
    <x v="0"/>
    <x v="1"/>
  </r>
  <r>
    <x v="275"/>
    <x v="1"/>
    <s v="Online"/>
    <x v="11"/>
    <x v="0"/>
    <s v="Bank"/>
    <x v="0"/>
    <n v="-9576"/>
    <b v="1"/>
    <n v="-9576"/>
    <x v="0"/>
    <s v="Assets"/>
    <s v="Cash alike"/>
    <x v="2"/>
    <x v="1"/>
    <x v="0"/>
    <x v="0"/>
    <x v="0"/>
    <x v="2"/>
    <x v="0"/>
    <x v="1"/>
  </r>
  <r>
    <x v="275"/>
    <x v="1"/>
    <s v="Online"/>
    <x v="11"/>
    <x v="0"/>
    <s v="Curr"/>
    <x v="38"/>
    <n v="9576"/>
    <b v="1"/>
    <n v="9576"/>
    <x v="0"/>
    <s v="Assets"/>
    <s v="Invtr"/>
    <x v="2"/>
    <x v="1"/>
    <x v="3"/>
    <x v="7"/>
    <x v="0"/>
    <x v="2"/>
    <x v="0"/>
    <x v="1"/>
  </r>
  <r>
    <x v="276"/>
    <x v="1"/>
    <s v="Online"/>
    <x v="11"/>
    <x v="0"/>
    <s v="Bank"/>
    <x v="0"/>
    <n v="-3465"/>
    <b v="1"/>
    <n v="-3465"/>
    <x v="0"/>
    <s v="Assets"/>
    <s v="Cash alike"/>
    <x v="2"/>
    <x v="1"/>
    <x v="0"/>
    <x v="0"/>
    <x v="0"/>
    <x v="2"/>
    <x v="0"/>
    <x v="1"/>
  </r>
  <r>
    <x v="276"/>
    <x v="1"/>
    <s v="Online"/>
    <x v="11"/>
    <x v="0"/>
    <s v="Curr"/>
    <x v="38"/>
    <n v="3465"/>
    <b v="1"/>
    <n v="3465"/>
    <x v="0"/>
    <s v="Assets"/>
    <s v="Invtr"/>
    <x v="2"/>
    <x v="1"/>
    <x v="3"/>
    <x v="7"/>
    <x v="0"/>
    <x v="2"/>
    <x v="0"/>
    <x v="1"/>
  </r>
  <r>
    <x v="277"/>
    <x v="1"/>
    <s v="Online"/>
    <x v="11"/>
    <x v="0"/>
    <s v="Curr"/>
    <x v="38"/>
    <n v="11886"/>
    <b v="1"/>
    <n v="11886"/>
    <x v="0"/>
    <s v="Assets"/>
    <s v="Invtr"/>
    <x v="2"/>
    <x v="1"/>
    <x v="3"/>
    <x v="7"/>
    <x v="0"/>
    <x v="2"/>
    <x v="0"/>
    <x v="1"/>
  </r>
  <r>
    <x v="277"/>
    <x v="1"/>
    <s v="Online"/>
    <x v="11"/>
    <x v="0"/>
    <s v="Bank"/>
    <x v="0"/>
    <n v="-11886"/>
    <b v="1"/>
    <n v="-11886"/>
    <x v="0"/>
    <s v="Assets"/>
    <s v="Cash alike"/>
    <x v="2"/>
    <x v="1"/>
    <x v="0"/>
    <x v="0"/>
    <x v="0"/>
    <x v="2"/>
    <x v="0"/>
    <x v="1"/>
  </r>
  <r>
    <x v="278"/>
    <x v="1"/>
    <s v="Online"/>
    <x v="16"/>
    <x v="0"/>
    <s v="Bank"/>
    <x v="0"/>
    <n v="-180"/>
    <b v="1"/>
    <n v="-180"/>
    <x v="0"/>
    <s v="Assets"/>
    <s v="Cash alike"/>
    <x v="1"/>
    <x v="1"/>
    <x v="0"/>
    <x v="0"/>
    <x v="0"/>
    <x v="2"/>
    <x v="0"/>
    <x v="1"/>
  </r>
  <r>
    <x v="279"/>
    <x v="1"/>
    <s v="Online"/>
    <x v="16"/>
    <x v="0"/>
    <s v="Bank"/>
    <x v="0"/>
    <n v="-240"/>
    <b v="1"/>
    <n v="-240"/>
    <x v="0"/>
    <s v="Assets"/>
    <s v="Cash alike"/>
    <x v="1"/>
    <x v="1"/>
    <x v="0"/>
    <x v="0"/>
    <x v="0"/>
    <x v="2"/>
    <x v="0"/>
    <x v="1"/>
  </r>
  <r>
    <x v="280"/>
    <x v="1"/>
    <s v="Online"/>
    <x v="11"/>
    <x v="0"/>
    <s v="Bank"/>
    <x v="0"/>
    <n v="-5000"/>
    <b v="1"/>
    <n v="-5000"/>
    <x v="0"/>
    <s v="Assets"/>
    <s v="Cash alike"/>
    <x v="2"/>
    <x v="1"/>
    <x v="0"/>
    <x v="0"/>
    <x v="0"/>
    <x v="2"/>
    <x v="0"/>
    <x v="1"/>
  </r>
  <r>
    <x v="280"/>
    <x v="1"/>
    <s v="Online"/>
    <x v="11"/>
    <x v="0"/>
    <s v="Curr"/>
    <x v="38"/>
    <n v="5000"/>
    <b v="1"/>
    <n v="5000"/>
    <x v="0"/>
    <s v="Assets"/>
    <s v="Invtr"/>
    <x v="2"/>
    <x v="1"/>
    <x v="3"/>
    <x v="7"/>
    <x v="0"/>
    <x v="2"/>
    <x v="0"/>
    <x v="1"/>
  </r>
  <r>
    <x v="281"/>
    <x v="1"/>
    <s v="Online"/>
    <x v="11"/>
    <x v="0"/>
    <s v="Curr"/>
    <x v="38"/>
    <n v="5071.5"/>
    <b v="1"/>
    <n v="5071.5"/>
    <x v="0"/>
    <s v="Assets"/>
    <s v="Invtr"/>
    <x v="2"/>
    <x v="1"/>
    <x v="3"/>
    <x v="7"/>
    <x v="0"/>
    <x v="2"/>
    <x v="0"/>
    <x v="1"/>
  </r>
  <r>
    <x v="281"/>
    <x v="1"/>
    <s v="Online"/>
    <x v="11"/>
    <x v="0"/>
    <s v="Bank"/>
    <x v="0"/>
    <n v="-5071.5"/>
    <b v="1"/>
    <n v="-5071.5"/>
    <x v="0"/>
    <s v="Assets"/>
    <s v="Cash alike"/>
    <x v="2"/>
    <x v="1"/>
    <x v="0"/>
    <x v="0"/>
    <x v="0"/>
    <x v="2"/>
    <x v="0"/>
    <x v="1"/>
  </r>
  <r>
    <x v="282"/>
    <x v="1"/>
    <s v="Online"/>
    <x v="11"/>
    <x v="0"/>
    <s v="Curr"/>
    <x v="38"/>
    <n v="8050"/>
    <b v="1"/>
    <n v="8050"/>
    <x v="0"/>
    <s v="Assets"/>
    <s v="Invtr"/>
    <x v="2"/>
    <x v="1"/>
    <x v="3"/>
    <x v="7"/>
    <x v="0"/>
    <x v="2"/>
    <x v="0"/>
    <x v="1"/>
  </r>
  <r>
    <x v="282"/>
    <x v="1"/>
    <s v="Online"/>
    <x v="11"/>
    <x v="0"/>
    <s v="Bank"/>
    <x v="0"/>
    <n v="-8050"/>
    <b v="1"/>
    <n v="-8050"/>
    <x v="0"/>
    <s v="Assets"/>
    <s v="Cash alike"/>
    <x v="2"/>
    <x v="1"/>
    <x v="0"/>
    <x v="0"/>
    <x v="0"/>
    <x v="2"/>
    <x v="0"/>
    <x v="1"/>
  </r>
  <r>
    <x v="283"/>
    <x v="1"/>
    <s v="GM"/>
    <x v="17"/>
    <x v="0"/>
    <s v="Bank"/>
    <x v="0"/>
    <n v="-1885.8"/>
    <b v="1"/>
    <n v="-1885.8"/>
    <x v="0"/>
    <s v="Assets"/>
    <s v="Cash alike"/>
    <x v="1"/>
    <x v="1"/>
    <x v="0"/>
    <x v="0"/>
    <x v="0"/>
    <x v="1"/>
    <x v="0"/>
    <x v="1"/>
  </r>
  <r>
    <x v="284"/>
    <x v="1"/>
    <s v="Online"/>
    <x v="11"/>
    <x v="0"/>
    <s v="Bank"/>
    <x v="0"/>
    <n v="-373634.5"/>
    <b v="1"/>
    <n v="-373634.5"/>
    <x v="0"/>
    <s v="Assets"/>
    <s v="Cash alike"/>
    <x v="2"/>
    <x v="1"/>
    <x v="0"/>
    <x v="0"/>
    <x v="0"/>
    <x v="2"/>
    <x v="0"/>
    <x v="1"/>
  </r>
  <r>
    <x v="284"/>
    <x v="1"/>
    <s v="Online"/>
    <x v="11"/>
    <x v="0"/>
    <s v="Curr"/>
    <x v="38"/>
    <n v="373634.5"/>
    <b v="1"/>
    <n v="373634.5"/>
    <x v="0"/>
    <s v="Assets"/>
    <s v="Invtr"/>
    <x v="2"/>
    <x v="1"/>
    <x v="3"/>
    <x v="7"/>
    <x v="0"/>
    <x v="2"/>
    <x v="0"/>
    <x v="1"/>
  </r>
  <r>
    <x v="285"/>
    <x v="1"/>
    <s v="Online"/>
    <x v="16"/>
    <x v="0"/>
    <s v="Bank"/>
    <x v="0"/>
    <n v="-259"/>
    <b v="1"/>
    <n v="-259"/>
    <x v="0"/>
    <s v="Assets"/>
    <s v="Cash alike"/>
    <x v="1"/>
    <x v="1"/>
    <x v="0"/>
    <x v="0"/>
    <x v="0"/>
    <x v="2"/>
    <x v="0"/>
    <x v="1"/>
  </r>
  <r>
    <x v="286"/>
    <x v="1"/>
    <s v="Ctrl"/>
    <x v="25"/>
    <x v="1"/>
    <s v="ToOther"/>
    <x v="63"/>
    <n v="-12680"/>
    <b v="1"/>
    <n v="12680"/>
    <x v="1"/>
    <s v="Liability"/>
    <s v="Rec-Pay"/>
    <x v="0"/>
    <x v="0"/>
    <x v="1"/>
    <x v="13"/>
    <x v="1"/>
    <x v="0"/>
    <x v="0"/>
    <x v="1"/>
  </r>
  <r>
    <x v="286"/>
    <x v="1"/>
    <s v="Ctrl"/>
    <x v="25"/>
    <x v="0"/>
    <s v="Bank"/>
    <x v="0"/>
    <n v="-12680"/>
    <b v="1"/>
    <n v="-12680"/>
    <x v="0"/>
    <s v="Assets"/>
    <s v="Cash alike"/>
    <x v="0"/>
    <x v="0"/>
    <x v="0"/>
    <x v="0"/>
    <x v="0"/>
    <x v="0"/>
    <x v="0"/>
    <x v="1"/>
  </r>
  <r>
    <x v="287"/>
    <x v="1"/>
    <s v="GM"/>
    <x v="17"/>
    <x v="0"/>
    <s v="Bank"/>
    <x v="0"/>
    <n v="-88.17"/>
    <b v="1"/>
    <n v="-88.17"/>
    <x v="0"/>
    <s v="Assets"/>
    <s v="Cash alike"/>
    <x v="1"/>
    <x v="1"/>
    <x v="0"/>
    <x v="0"/>
    <x v="0"/>
    <x v="1"/>
    <x v="0"/>
    <x v="1"/>
  </r>
  <r>
    <x v="288"/>
    <x v="1"/>
    <s v="Online"/>
    <x v="27"/>
    <x v="0"/>
    <s v="Curr"/>
    <x v="38"/>
    <n v="-16875"/>
    <b v="1"/>
    <n v="-16875"/>
    <x v="0"/>
    <s v="Assets"/>
    <s v="Invtr"/>
    <x v="2"/>
    <x v="1"/>
    <x v="3"/>
    <x v="7"/>
    <x v="0"/>
    <x v="2"/>
    <x v="0"/>
    <x v="1"/>
  </r>
  <r>
    <x v="288"/>
    <x v="1"/>
    <s v="Online"/>
    <x v="27"/>
    <x v="0"/>
    <s v="Bank"/>
    <x v="0"/>
    <n v="16875"/>
    <b v="1"/>
    <n v="16875"/>
    <x v="0"/>
    <s v="Assets"/>
    <s v="Cash alike"/>
    <x v="2"/>
    <x v="1"/>
    <x v="0"/>
    <x v="0"/>
    <x v="0"/>
    <x v="2"/>
    <x v="0"/>
    <x v="1"/>
  </r>
  <r>
    <x v="289"/>
    <x v="1"/>
    <s v="Online"/>
    <x v="11"/>
    <x v="0"/>
    <s v="Curr"/>
    <x v="38"/>
    <n v="3000"/>
    <b v="1"/>
    <n v="3000"/>
    <x v="0"/>
    <s v="Assets"/>
    <s v="Invtr"/>
    <x v="2"/>
    <x v="1"/>
    <x v="3"/>
    <x v="7"/>
    <x v="0"/>
    <x v="2"/>
    <x v="0"/>
    <x v="1"/>
  </r>
  <r>
    <x v="289"/>
    <x v="1"/>
    <s v="Online"/>
    <x v="11"/>
    <x v="0"/>
    <s v="Bank"/>
    <x v="0"/>
    <n v="-3000"/>
    <b v="1"/>
    <n v="-3000"/>
    <x v="0"/>
    <s v="Assets"/>
    <s v="Cash alike"/>
    <x v="2"/>
    <x v="1"/>
    <x v="0"/>
    <x v="0"/>
    <x v="0"/>
    <x v="2"/>
    <x v="0"/>
    <x v="1"/>
  </r>
  <r>
    <x v="290"/>
    <x v="1"/>
    <s v="Online"/>
    <x v="11"/>
    <x v="0"/>
    <s v="Curr"/>
    <x v="38"/>
    <n v="8064"/>
    <b v="1"/>
    <n v="8064"/>
    <x v="0"/>
    <s v="Assets"/>
    <s v="Invtr"/>
    <x v="2"/>
    <x v="1"/>
    <x v="3"/>
    <x v="7"/>
    <x v="0"/>
    <x v="2"/>
    <x v="0"/>
    <x v="1"/>
  </r>
  <r>
    <x v="290"/>
    <x v="1"/>
    <s v="Online"/>
    <x v="11"/>
    <x v="0"/>
    <s v="Bank"/>
    <x v="0"/>
    <n v="-8064"/>
    <b v="1"/>
    <n v="-8064"/>
    <x v="0"/>
    <s v="Assets"/>
    <s v="Cash alike"/>
    <x v="2"/>
    <x v="1"/>
    <x v="0"/>
    <x v="0"/>
    <x v="0"/>
    <x v="2"/>
    <x v="0"/>
    <x v="1"/>
  </r>
  <r>
    <x v="291"/>
    <x v="1"/>
    <s v="Online"/>
    <x v="11"/>
    <x v="0"/>
    <s v="Curr"/>
    <x v="38"/>
    <n v="20604"/>
    <b v="1"/>
    <n v="20604"/>
    <x v="0"/>
    <s v="Assets"/>
    <s v="Invtr"/>
    <x v="2"/>
    <x v="1"/>
    <x v="3"/>
    <x v="7"/>
    <x v="0"/>
    <x v="2"/>
    <x v="0"/>
    <x v="1"/>
  </r>
  <r>
    <x v="291"/>
    <x v="1"/>
    <s v="Online"/>
    <x v="11"/>
    <x v="0"/>
    <s v="Bank"/>
    <x v="0"/>
    <n v="-20604"/>
    <b v="1"/>
    <n v="-20604"/>
    <x v="0"/>
    <s v="Assets"/>
    <s v="Cash alike"/>
    <x v="2"/>
    <x v="1"/>
    <x v="0"/>
    <x v="0"/>
    <x v="0"/>
    <x v="2"/>
    <x v="0"/>
    <x v="1"/>
  </r>
  <r>
    <x v="292"/>
    <x v="1"/>
    <s v="Online"/>
    <x v="27"/>
    <x v="0"/>
    <s v="Curr"/>
    <x v="38"/>
    <n v="-660"/>
    <b v="1"/>
    <n v="-660"/>
    <x v="0"/>
    <s v="Assets"/>
    <s v="Invtr"/>
    <x v="2"/>
    <x v="1"/>
    <x v="3"/>
    <x v="7"/>
    <x v="0"/>
    <x v="2"/>
    <x v="0"/>
    <x v="1"/>
  </r>
  <r>
    <x v="292"/>
    <x v="1"/>
    <s v="Online"/>
    <x v="27"/>
    <x v="0"/>
    <s v="Bank"/>
    <x v="0"/>
    <n v="660"/>
    <b v="1"/>
    <n v="660"/>
    <x v="0"/>
    <s v="Assets"/>
    <s v="Cash alike"/>
    <x v="2"/>
    <x v="1"/>
    <x v="0"/>
    <x v="0"/>
    <x v="0"/>
    <x v="2"/>
    <x v="0"/>
    <x v="1"/>
  </r>
  <r>
    <x v="293"/>
    <x v="1"/>
    <s v="GM"/>
    <x v="13"/>
    <x v="0"/>
    <s v="Bank"/>
    <x v="0"/>
    <n v="-558.29999999999995"/>
    <b v="1"/>
    <n v="-558.29999999999995"/>
    <x v="0"/>
    <s v="Assets"/>
    <s v="Cash alike"/>
    <x v="1"/>
    <x v="1"/>
    <x v="0"/>
    <x v="0"/>
    <x v="0"/>
    <x v="1"/>
    <x v="0"/>
    <x v="1"/>
  </r>
  <r>
    <x v="294"/>
    <x v="1"/>
    <s v="GM"/>
    <x v="49"/>
    <x v="0"/>
    <s v="Bank"/>
    <x v="0"/>
    <n v="-2300"/>
    <b v="1"/>
    <n v="-2300"/>
    <x v="0"/>
    <s v="Assets"/>
    <s v="Cash alike"/>
    <x v="1"/>
    <x v="1"/>
    <x v="0"/>
    <x v="0"/>
    <x v="0"/>
    <x v="1"/>
    <x v="0"/>
    <x v="1"/>
  </r>
  <r>
    <x v="295"/>
    <x v="1"/>
    <s v="Online"/>
    <x v="11"/>
    <x v="0"/>
    <s v="Bank"/>
    <x v="0"/>
    <n v="-774"/>
    <b v="1"/>
    <n v="-774"/>
    <x v="0"/>
    <s v="Assets"/>
    <s v="Cash alike"/>
    <x v="2"/>
    <x v="1"/>
    <x v="0"/>
    <x v="0"/>
    <x v="0"/>
    <x v="2"/>
    <x v="0"/>
    <x v="1"/>
  </r>
  <r>
    <x v="295"/>
    <x v="1"/>
    <s v="Online"/>
    <x v="11"/>
    <x v="0"/>
    <s v="Curr"/>
    <x v="38"/>
    <n v="774"/>
    <b v="1"/>
    <n v="774"/>
    <x v="0"/>
    <s v="Assets"/>
    <s v="Invtr"/>
    <x v="2"/>
    <x v="1"/>
    <x v="3"/>
    <x v="7"/>
    <x v="0"/>
    <x v="2"/>
    <x v="0"/>
    <x v="1"/>
  </r>
  <r>
    <x v="296"/>
    <x v="1"/>
    <s v="Online"/>
    <x v="11"/>
    <x v="0"/>
    <s v="Bank"/>
    <x v="0"/>
    <n v="-57331.1"/>
    <b v="1"/>
    <n v="-57331.1"/>
    <x v="0"/>
    <s v="Assets"/>
    <s v="Cash alike"/>
    <x v="2"/>
    <x v="1"/>
    <x v="0"/>
    <x v="0"/>
    <x v="0"/>
    <x v="2"/>
    <x v="0"/>
    <x v="1"/>
  </r>
  <r>
    <x v="296"/>
    <x v="1"/>
    <s v="Online"/>
    <x v="11"/>
    <x v="0"/>
    <s v="Curr"/>
    <x v="38"/>
    <n v="57331.1"/>
    <b v="1"/>
    <n v="57331.1"/>
    <x v="0"/>
    <s v="Assets"/>
    <s v="Invtr"/>
    <x v="2"/>
    <x v="1"/>
    <x v="3"/>
    <x v="7"/>
    <x v="0"/>
    <x v="2"/>
    <x v="0"/>
    <x v="1"/>
  </r>
  <r>
    <x v="297"/>
    <x v="1"/>
    <s v="Ctrl"/>
    <x v="38"/>
    <x v="0"/>
    <s v="Bank"/>
    <x v="0"/>
    <n v="-1170"/>
    <b v="1"/>
    <n v="-1170"/>
    <x v="0"/>
    <s v="Assets"/>
    <s v="Cash alike"/>
    <x v="1"/>
    <x v="1"/>
    <x v="0"/>
    <x v="0"/>
    <x v="0"/>
    <x v="0"/>
    <x v="0"/>
    <x v="1"/>
  </r>
  <r>
    <x v="298"/>
    <x v="1"/>
    <s v="Online"/>
    <x v="11"/>
    <x v="0"/>
    <s v="Curr"/>
    <x v="38"/>
    <n v="6415"/>
    <b v="1"/>
    <n v="6415"/>
    <x v="0"/>
    <s v="Assets"/>
    <s v="Invtr"/>
    <x v="2"/>
    <x v="1"/>
    <x v="3"/>
    <x v="7"/>
    <x v="0"/>
    <x v="2"/>
    <x v="0"/>
    <x v="1"/>
  </r>
  <r>
    <x v="298"/>
    <x v="1"/>
    <s v="Online"/>
    <x v="11"/>
    <x v="0"/>
    <s v="Bank"/>
    <x v="0"/>
    <n v="-6415"/>
    <b v="1"/>
    <n v="-6415"/>
    <x v="0"/>
    <s v="Assets"/>
    <s v="Cash alike"/>
    <x v="2"/>
    <x v="1"/>
    <x v="0"/>
    <x v="0"/>
    <x v="0"/>
    <x v="2"/>
    <x v="0"/>
    <x v="1"/>
  </r>
  <r>
    <x v="299"/>
    <x v="1"/>
    <s v="Online"/>
    <x v="31"/>
    <x v="0"/>
    <s v="Order"/>
    <x v="35"/>
    <n v="44252"/>
    <b v="1"/>
    <n v="44252"/>
    <x v="0"/>
    <s v="Assets"/>
    <s v="Prep-Sub"/>
    <x v="2"/>
    <x v="1"/>
    <x v="2"/>
    <x v="6"/>
    <x v="0"/>
    <x v="2"/>
    <x v="0"/>
    <x v="1"/>
  </r>
  <r>
    <x v="299"/>
    <x v="1"/>
    <s v="Online"/>
    <x v="31"/>
    <x v="0"/>
    <s v="Bank"/>
    <x v="0"/>
    <n v="-44252"/>
    <b v="1"/>
    <n v="-44252"/>
    <x v="0"/>
    <s v="Assets"/>
    <s v="Cash alike"/>
    <x v="2"/>
    <x v="1"/>
    <x v="0"/>
    <x v="0"/>
    <x v="0"/>
    <x v="2"/>
    <x v="0"/>
    <x v="1"/>
  </r>
  <r>
    <x v="300"/>
    <x v="1"/>
    <s v="Online"/>
    <x v="11"/>
    <x v="0"/>
    <s v="Curr"/>
    <x v="38"/>
    <n v="4977.7"/>
    <b v="1"/>
    <n v="4977.7"/>
    <x v="0"/>
    <s v="Assets"/>
    <s v="Invtr"/>
    <x v="2"/>
    <x v="1"/>
    <x v="3"/>
    <x v="7"/>
    <x v="0"/>
    <x v="2"/>
    <x v="0"/>
    <x v="1"/>
  </r>
  <r>
    <x v="300"/>
    <x v="1"/>
    <s v="Online"/>
    <x v="11"/>
    <x v="0"/>
    <s v="Bank"/>
    <x v="0"/>
    <n v="-4977.7"/>
    <b v="1"/>
    <n v="-4977.7"/>
    <x v="0"/>
    <s v="Assets"/>
    <s v="Cash alike"/>
    <x v="2"/>
    <x v="1"/>
    <x v="0"/>
    <x v="0"/>
    <x v="0"/>
    <x v="2"/>
    <x v="0"/>
    <x v="1"/>
  </r>
  <r>
    <x v="301"/>
    <x v="1"/>
    <s v="Online"/>
    <x v="11"/>
    <x v="0"/>
    <s v="Curr"/>
    <x v="38"/>
    <n v="19338"/>
    <b v="1"/>
    <n v="19338"/>
    <x v="0"/>
    <s v="Assets"/>
    <s v="Invtr"/>
    <x v="2"/>
    <x v="1"/>
    <x v="3"/>
    <x v="7"/>
    <x v="0"/>
    <x v="2"/>
    <x v="0"/>
    <x v="1"/>
  </r>
  <r>
    <x v="301"/>
    <x v="1"/>
    <s v="Online"/>
    <x v="11"/>
    <x v="0"/>
    <s v="Bank"/>
    <x v="0"/>
    <n v="-19338"/>
    <b v="1"/>
    <n v="-19338"/>
    <x v="0"/>
    <s v="Assets"/>
    <s v="Cash alike"/>
    <x v="2"/>
    <x v="1"/>
    <x v="0"/>
    <x v="0"/>
    <x v="0"/>
    <x v="2"/>
    <x v="0"/>
    <x v="1"/>
  </r>
  <r>
    <x v="302"/>
    <x v="1"/>
    <s v="Online"/>
    <x v="11"/>
    <x v="0"/>
    <s v="Curr"/>
    <x v="38"/>
    <n v="28184"/>
    <b v="1"/>
    <n v="28184"/>
    <x v="0"/>
    <s v="Assets"/>
    <s v="Invtr"/>
    <x v="2"/>
    <x v="1"/>
    <x v="3"/>
    <x v="7"/>
    <x v="0"/>
    <x v="2"/>
    <x v="0"/>
    <x v="1"/>
  </r>
  <r>
    <x v="302"/>
    <x v="1"/>
    <s v="Online"/>
    <x v="11"/>
    <x v="0"/>
    <s v="Bank"/>
    <x v="0"/>
    <n v="-28184"/>
    <b v="1"/>
    <n v="-28184"/>
    <x v="0"/>
    <s v="Assets"/>
    <s v="Cash alike"/>
    <x v="2"/>
    <x v="1"/>
    <x v="0"/>
    <x v="0"/>
    <x v="0"/>
    <x v="2"/>
    <x v="0"/>
    <x v="1"/>
  </r>
  <r>
    <x v="303"/>
    <x v="1"/>
    <s v="GM"/>
    <x v="19"/>
    <x v="0"/>
    <s v="Order"/>
    <x v="34"/>
    <n v="-2514.09"/>
    <b v="1"/>
    <n v="-2514.09"/>
    <x v="0"/>
    <s v="Assets"/>
    <s v="Prep-Sub"/>
    <x v="1"/>
    <x v="1"/>
    <x v="2"/>
    <x v="6"/>
    <x v="0"/>
    <x v="1"/>
    <x v="0"/>
    <x v="1"/>
  </r>
  <r>
    <x v="304"/>
    <x v="1"/>
    <s v="GM"/>
    <x v="18"/>
    <x v="0"/>
    <s v="Order"/>
    <x v="34"/>
    <n v="-2700"/>
    <b v="1"/>
    <n v="-2700"/>
    <x v="0"/>
    <s v="Assets"/>
    <s v="Prep-Sub"/>
    <x v="1"/>
    <x v="1"/>
    <x v="2"/>
    <x v="6"/>
    <x v="0"/>
    <x v="1"/>
    <x v="0"/>
    <x v="1"/>
  </r>
  <r>
    <x v="305"/>
    <x v="1"/>
    <s v="GM"/>
    <x v="30"/>
    <x v="0"/>
    <s v="Bank"/>
    <x v="0"/>
    <n v="-1425.94"/>
    <b v="1"/>
    <n v="-1425.94"/>
    <x v="0"/>
    <s v="Assets"/>
    <s v="Cash alike"/>
    <x v="1"/>
    <x v="1"/>
    <x v="0"/>
    <x v="0"/>
    <x v="0"/>
    <x v="1"/>
    <x v="0"/>
    <x v="1"/>
  </r>
  <r>
    <x v="306"/>
    <x v="1"/>
    <s v="GM"/>
    <x v="18"/>
    <x v="0"/>
    <s v="Bank"/>
    <x v="0"/>
    <n v="-1432.66"/>
    <b v="1"/>
    <n v="-1432.66"/>
    <x v="0"/>
    <s v="Assets"/>
    <s v="Cash alike"/>
    <x v="1"/>
    <x v="1"/>
    <x v="0"/>
    <x v="0"/>
    <x v="0"/>
    <x v="1"/>
    <x v="0"/>
    <x v="1"/>
  </r>
  <r>
    <x v="307"/>
    <x v="1"/>
    <s v="GM"/>
    <x v="30"/>
    <x v="0"/>
    <s v="Bank"/>
    <x v="0"/>
    <n v="-666.24"/>
    <b v="1"/>
    <n v="-666.24"/>
    <x v="0"/>
    <s v="Assets"/>
    <s v="Cash alike"/>
    <x v="1"/>
    <x v="1"/>
    <x v="0"/>
    <x v="0"/>
    <x v="0"/>
    <x v="1"/>
    <x v="0"/>
    <x v="1"/>
  </r>
  <r>
    <x v="308"/>
    <x v="1"/>
    <s v="GM"/>
    <x v="3"/>
    <x v="0"/>
    <s v="Bank"/>
    <x v="0"/>
    <n v="-374.04"/>
    <b v="1"/>
    <n v="-374.04"/>
    <x v="0"/>
    <s v="Assets"/>
    <s v="Cash alike"/>
    <x v="1"/>
    <x v="1"/>
    <x v="0"/>
    <x v="0"/>
    <x v="0"/>
    <x v="1"/>
    <x v="0"/>
    <x v="1"/>
  </r>
  <r>
    <x v="309"/>
    <x v="1"/>
    <s v="Brand"/>
    <x v="20"/>
    <x v="0"/>
    <s v="Bank"/>
    <x v="0"/>
    <n v="-905"/>
    <b v="1"/>
    <n v="-905"/>
    <x v="0"/>
    <s v="Assets"/>
    <s v="Cash alike"/>
    <x v="1"/>
    <x v="1"/>
    <x v="0"/>
    <x v="0"/>
    <x v="0"/>
    <x v="3"/>
    <x v="0"/>
    <x v="1"/>
  </r>
  <r>
    <x v="310"/>
    <x v="1"/>
    <s v="Brand"/>
    <x v="50"/>
    <x v="0"/>
    <s v="Bank"/>
    <x v="0"/>
    <n v="-7200"/>
    <b v="1"/>
    <n v="-7200"/>
    <x v="0"/>
    <s v="Assets"/>
    <s v="Cash alike"/>
    <x v="1"/>
    <x v="1"/>
    <x v="0"/>
    <x v="0"/>
    <x v="0"/>
    <x v="3"/>
    <x v="0"/>
    <x v="1"/>
  </r>
  <r>
    <x v="311"/>
    <x v="1"/>
    <s v="Online"/>
    <x v="11"/>
    <x v="0"/>
    <s v="Curr"/>
    <x v="38"/>
    <n v="8377.5"/>
    <b v="1"/>
    <n v="8377.5"/>
    <x v="0"/>
    <s v="Assets"/>
    <s v="Invtr"/>
    <x v="2"/>
    <x v="1"/>
    <x v="3"/>
    <x v="7"/>
    <x v="0"/>
    <x v="2"/>
    <x v="0"/>
    <x v="1"/>
  </r>
  <r>
    <x v="311"/>
    <x v="1"/>
    <s v="Online"/>
    <x v="11"/>
    <x v="0"/>
    <s v="Bank"/>
    <x v="0"/>
    <n v="-8377.5"/>
    <b v="1"/>
    <n v="-8377.5"/>
    <x v="0"/>
    <s v="Assets"/>
    <s v="Cash alike"/>
    <x v="2"/>
    <x v="1"/>
    <x v="0"/>
    <x v="0"/>
    <x v="0"/>
    <x v="2"/>
    <x v="0"/>
    <x v="1"/>
  </r>
  <r>
    <x v="312"/>
    <x v="1"/>
    <s v="GM"/>
    <x v="17"/>
    <x v="0"/>
    <s v="Bank"/>
    <x v="0"/>
    <n v="-2900"/>
    <b v="1"/>
    <n v="-2900"/>
    <x v="0"/>
    <s v="Assets"/>
    <s v="Cash alike"/>
    <x v="1"/>
    <x v="1"/>
    <x v="0"/>
    <x v="0"/>
    <x v="0"/>
    <x v="1"/>
    <x v="0"/>
    <x v="1"/>
  </r>
  <r>
    <x v="313"/>
    <x v="1"/>
    <s v="Online"/>
    <x v="11"/>
    <x v="0"/>
    <s v="Bank"/>
    <x v="0"/>
    <n v="-4036.5"/>
    <b v="1"/>
    <n v="-4036.5"/>
    <x v="0"/>
    <s v="Assets"/>
    <s v="Cash alike"/>
    <x v="2"/>
    <x v="1"/>
    <x v="0"/>
    <x v="0"/>
    <x v="0"/>
    <x v="2"/>
    <x v="0"/>
    <x v="1"/>
  </r>
  <r>
    <x v="313"/>
    <x v="1"/>
    <s v="Online"/>
    <x v="11"/>
    <x v="0"/>
    <s v="Curr"/>
    <x v="38"/>
    <n v="4036.5"/>
    <b v="1"/>
    <n v="4036.5"/>
    <x v="0"/>
    <s v="Assets"/>
    <s v="Invtr"/>
    <x v="2"/>
    <x v="1"/>
    <x v="3"/>
    <x v="7"/>
    <x v="0"/>
    <x v="2"/>
    <x v="0"/>
    <x v="1"/>
  </r>
  <r>
    <x v="314"/>
    <x v="1"/>
    <s v="Online"/>
    <x v="33"/>
    <x v="0"/>
    <s v="Bank"/>
    <x v="0"/>
    <n v="874802.28"/>
    <b v="1"/>
    <n v="874802.28"/>
    <x v="0"/>
    <s v="Assets"/>
    <s v="Cash alike"/>
    <x v="3"/>
    <x v="1"/>
    <x v="0"/>
    <x v="0"/>
    <x v="0"/>
    <x v="2"/>
    <x v="0"/>
    <x v="1"/>
  </r>
  <r>
    <x v="314"/>
    <x v="1"/>
    <s v="Online"/>
    <x v="33"/>
    <x v="0"/>
    <s v="AR"/>
    <x v="21"/>
    <n v="-874802.28"/>
    <b v="1"/>
    <n v="-874802.28"/>
    <x v="0"/>
    <s v="Assets"/>
    <s v="Rec-Pay"/>
    <x v="3"/>
    <x v="1"/>
    <x v="1"/>
    <x v="2"/>
    <x v="0"/>
    <x v="2"/>
    <x v="0"/>
    <x v="1"/>
  </r>
  <r>
    <x v="315"/>
    <x v="1"/>
    <s v="Online"/>
    <x v="11"/>
    <x v="0"/>
    <s v="Bank"/>
    <x v="0"/>
    <n v="-2154"/>
    <b v="1"/>
    <n v="-2154"/>
    <x v="0"/>
    <s v="Assets"/>
    <s v="Cash alike"/>
    <x v="2"/>
    <x v="1"/>
    <x v="0"/>
    <x v="0"/>
    <x v="0"/>
    <x v="2"/>
    <x v="0"/>
    <x v="1"/>
  </r>
  <r>
    <x v="315"/>
    <x v="1"/>
    <s v="Online"/>
    <x v="11"/>
    <x v="0"/>
    <s v="Curr"/>
    <x v="38"/>
    <n v="2154"/>
    <b v="1"/>
    <n v="2154"/>
    <x v="0"/>
    <s v="Assets"/>
    <s v="Invtr"/>
    <x v="2"/>
    <x v="1"/>
    <x v="3"/>
    <x v="7"/>
    <x v="0"/>
    <x v="2"/>
    <x v="0"/>
    <x v="1"/>
  </r>
  <r>
    <x v="316"/>
    <x v="1"/>
    <s v="Online"/>
    <x v="36"/>
    <x v="0"/>
    <s v="Bank"/>
    <x v="0"/>
    <n v="-662"/>
    <b v="1"/>
    <n v="-662"/>
    <x v="0"/>
    <s v="Assets"/>
    <s v="Cash alike"/>
    <x v="2"/>
    <x v="1"/>
    <x v="0"/>
    <x v="0"/>
    <x v="0"/>
    <x v="2"/>
    <x v="0"/>
    <x v="1"/>
  </r>
  <r>
    <x v="317"/>
    <x v="1"/>
    <s v="Online"/>
    <x v="11"/>
    <x v="0"/>
    <s v="Bank"/>
    <x v="0"/>
    <n v="-8700"/>
    <b v="1"/>
    <n v="-8700"/>
    <x v="0"/>
    <s v="Assets"/>
    <s v="Cash alike"/>
    <x v="2"/>
    <x v="1"/>
    <x v="0"/>
    <x v="0"/>
    <x v="0"/>
    <x v="2"/>
    <x v="0"/>
    <x v="1"/>
  </r>
  <r>
    <x v="317"/>
    <x v="1"/>
    <s v="Online"/>
    <x v="11"/>
    <x v="0"/>
    <s v="Curr"/>
    <x v="38"/>
    <n v="8700"/>
    <b v="1"/>
    <n v="8700"/>
    <x v="0"/>
    <s v="Assets"/>
    <s v="Invtr"/>
    <x v="2"/>
    <x v="1"/>
    <x v="3"/>
    <x v="7"/>
    <x v="0"/>
    <x v="2"/>
    <x v="0"/>
    <x v="1"/>
  </r>
  <r>
    <x v="318"/>
    <x v="1"/>
    <s v="GM"/>
    <x v="17"/>
    <x v="0"/>
    <s v="Bank"/>
    <x v="0"/>
    <n v="-400"/>
    <b v="1"/>
    <n v="-400"/>
    <x v="0"/>
    <s v="Assets"/>
    <s v="Cash alike"/>
    <x v="1"/>
    <x v="1"/>
    <x v="0"/>
    <x v="0"/>
    <x v="0"/>
    <x v="1"/>
    <x v="0"/>
    <x v="1"/>
  </r>
  <r>
    <x v="319"/>
    <x v="1"/>
    <s v="Online"/>
    <x v="11"/>
    <x v="0"/>
    <s v="Curr"/>
    <x v="38"/>
    <n v="25800"/>
    <b v="1"/>
    <n v="25800"/>
    <x v="0"/>
    <s v="Assets"/>
    <s v="Invtr"/>
    <x v="2"/>
    <x v="1"/>
    <x v="3"/>
    <x v="7"/>
    <x v="0"/>
    <x v="2"/>
    <x v="0"/>
    <x v="1"/>
  </r>
  <r>
    <x v="319"/>
    <x v="1"/>
    <s v="Online"/>
    <x v="11"/>
    <x v="0"/>
    <s v="Bank"/>
    <x v="0"/>
    <n v="-25800"/>
    <b v="1"/>
    <n v="-25800"/>
    <x v="0"/>
    <s v="Assets"/>
    <s v="Cash alike"/>
    <x v="2"/>
    <x v="1"/>
    <x v="0"/>
    <x v="0"/>
    <x v="0"/>
    <x v="2"/>
    <x v="0"/>
    <x v="1"/>
  </r>
  <r>
    <x v="320"/>
    <x v="1"/>
    <s v="GM"/>
    <x v="51"/>
    <x v="0"/>
    <s v="Bank"/>
    <x v="0"/>
    <n v="-2182.6999999999998"/>
    <b v="1"/>
    <n v="-2182.6999999999998"/>
    <x v="0"/>
    <s v="Assets"/>
    <s v="Cash alike"/>
    <x v="1"/>
    <x v="1"/>
    <x v="0"/>
    <x v="0"/>
    <x v="0"/>
    <x v="1"/>
    <x v="0"/>
    <x v="1"/>
  </r>
  <r>
    <x v="321"/>
    <x v="1"/>
    <s v="Online"/>
    <x v="11"/>
    <x v="0"/>
    <s v="Curr"/>
    <x v="38"/>
    <n v="1000"/>
    <b v="1"/>
    <n v="1000"/>
    <x v="0"/>
    <s v="Assets"/>
    <s v="Invtr"/>
    <x v="2"/>
    <x v="1"/>
    <x v="3"/>
    <x v="7"/>
    <x v="0"/>
    <x v="2"/>
    <x v="0"/>
    <x v="1"/>
  </r>
  <r>
    <x v="321"/>
    <x v="1"/>
    <s v="Online"/>
    <x v="11"/>
    <x v="0"/>
    <s v="Bank"/>
    <x v="0"/>
    <n v="-1000"/>
    <b v="1"/>
    <n v="-1000"/>
    <x v="0"/>
    <s v="Assets"/>
    <s v="Cash alike"/>
    <x v="2"/>
    <x v="1"/>
    <x v="0"/>
    <x v="0"/>
    <x v="0"/>
    <x v="2"/>
    <x v="0"/>
    <x v="1"/>
  </r>
  <r>
    <x v="322"/>
    <x v="1"/>
    <s v="Online"/>
    <x v="16"/>
    <x v="0"/>
    <s v="Bank"/>
    <x v="0"/>
    <n v="-163"/>
    <b v="1"/>
    <n v="-163"/>
    <x v="0"/>
    <s v="Assets"/>
    <s v="Cash alike"/>
    <x v="1"/>
    <x v="1"/>
    <x v="0"/>
    <x v="0"/>
    <x v="0"/>
    <x v="2"/>
    <x v="0"/>
    <x v="1"/>
  </r>
  <r>
    <x v="323"/>
    <x v="1"/>
    <s v="Online"/>
    <x v="31"/>
    <x v="0"/>
    <s v="Order"/>
    <x v="35"/>
    <n v="-44252"/>
    <b v="1"/>
    <n v="-44252"/>
    <x v="0"/>
    <s v="Assets"/>
    <s v="Prep-Sub"/>
    <x v="2"/>
    <x v="1"/>
    <x v="2"/>
    <x v="6"/>
    <x v="0"/>
    <x v="2"/>
    <x v="0"/>
    <x v="1"/>
  </r>
  <r>
    <x v="323"/>
    <x v="1"/>
    <s v="Online"/>
    <x v="31"/>
    <x v="0"/>
    <s v="Curr"/>
    <x v="38"/>
    <n v="44252"/>
    <b v="1"/>
    <n v="44252"/>
    <x v="0"/>
    <s v="Assets"/>
    <s v="Invtr"/>
    <x v="2"/>
    <x v="1"/>
    <x v="3"/>
    <x v="7"/>
    <x v="0"/>
    <x v="2"/>
    <x v="0"/>
    <x v="1"/>
  </r>
  <r>
    <x v="324"/>
    <x v="1"/>
    <s v="Online"/>
    <x v="11"/>
    <x v="0"/>
    <s v="Curr"/>
    <x v="38"/>
    <n v="10878"/>
    <b v="1"/>
    <n v="10878"/>
    <x v="0"/>
    <s v="Assets"/>
    <s v="Invtr"/>
    <x v="2"/>
    <x v="1"/>
    <x v="3"/>
    <x v="7"/>
    <x v="0"/>
    <x v="2"/>
    <x v="0"/>
    <x v="1"/>
  </r>
  <r>
    <x v="324"/>
    <x v="1"/>
    <s v="Online"/>
    <x v="11"/>
    <x v="0"/>
    <s v="Bank"/>
    <x v="0"/>
    <n v="-10878"/>
    <b v="1"/>
    <n v="-10878"/>
    <x v="0"/>
    <s v="Assets"/>
    <s v="Cash alike"/>
    <x v="2"/>
    <x v="1"/>
    <x v="0"/>
    <x v="0"/>
    <x v="0"/>
    <x v="2"/>
    <x v="0"/>
    <x v="1"/>
  </r>
  <r>
    <x v="325"/>
    <x v="1"/>
    <s v="Online"/>
    <x v="11"/>
    <x v="0"/>
    <s v="Curr"/>
    <x v="38"/>
    <n v="4500"/>
    <b v="1"/>
    <n v="4500"/>
    <x v="0"/>
    <s v="Assets"/>
    <s v="Invtr"/>
    <x v="2"/>
    <x v="1"/>
    <x v="3"/>
    <x v="7"/>
    <x v="0"/>
    <x v="2"/>
    <x v="0"/>
    <x v="1"/>
  </r>
  <r>
    <x v="325"/>
    <x v="1"/>
    <s v="Online"/>
    <x v="11"/>
    <x v="0"/>
    <s v="Bank"/>
    <x v="0"/>
    <n v="-4500"/>
    <b v="1"/>
    <n v="-4500"/>
    <x v="0"/>
    <s v="Assets"/>
    <s v="Cash alike"/>
    <x v="2"/>
    <x v="1"/>
    <x v="0"/>
    <x v="0"/>
    <x v="0"/>
    <x v="2"/>
    <x v="0"/>
    <x v="1"/>
  </r>
  <r>
    <x v="326"/>
    <x v="1"/>
    <s v="GM"/>
    <x v="33"/>
    <x v="0"/>
    <s v="Bank"/>
    <x v="0"/>
    <n v="477.15"/>
    <b v="1"/>
    <n v="477.15"/>
    <x v="0"/>
    <s v="Assets"/>
    <s v="Cash alike"/>
    <x v="1"/>
    <x v="1"/>
    <x v="0"/>
    <x v="0"/>
    <x v="0"/>
    <x v="1"/>
    <x v="0"/>
    <x v="1"/>
  </r>
  <r>
    <x v="326"/>
    <x v="1"/>
    <s v="GM"/>
    <x v="33"/>
    <x v="0"/>
    <s v="FrOther"/>
    <x v="22"/>
    <n v="-477.15"/>
    <b v="1"/>
    <n v="-477.15"/>
    <x v="0"/>
    <s v="Assets"/>
    <s v="Rec-Pay"/>
    <x v="1"/>
    <x v="1"/>
    <x v="1"/>
    <x v="3"/>
    <x v="0"/>
    <x v="1"/>
    <x v="0"/>
    <x v="1"/>
  </r>
  <r>
    <x v="327"/>
    <x v="1"/>
    <s v="Online"/>
    <x v="11"/>
    <x v="0"/>
    <s v="Curr"/>
    <x v="38"/>
    <n v="6728"/>
    <b v="1"/>
    <n v="6728"/>
    <x v="0"/>
    <s v="Assets"/>
    <s v="Invtr"/>
    <x v="2"/>
    <x v="1"/>
    <x v="3"/>
    <x v="7"/>
    <x v="0"/>
    <x v="2"/>
    <x v="0"/>
    <x v="1"/>
  </r>
  <r>
    <x v="327"/>
    <x v="1"/>
    <s v="Online"/>
    <x v="11"/>
    <x v="0"/>
    <s v="Bank"/>
    <x v="0"/>
    <n v="-6728"/>
    <b v="1"/>
    <n v="-6728"/>
    <x v="0"/>
    <s v="Assets"/>
    <s v="Cash alike"/>
    <x v="2"/>
    <x v="1"/>
    <x v="0"/>
    <x v="0"/>
    <x v="0"/>
    <x v="2"/>
    <x v="0"/>
    <x v="1"/>
  </r>
  <r>
    <x v="328"/>
    <x v="1"/>
    <s v="Online"/>
    <x v="31"/>
    <x v="0"/>
    <s v="Curr"/>
    <x v="38"/>
    <n v="2550"/>
    <b v="1"/>
    <n v="2550"/>
    <x v="0"/>
    <s v="Assets"/>
    <s v="Invtr"/>
    <x v="2"/>
    <x v="1"/>
    <x v="3"/>
    <x v="7"/>
    <x v="0"/>
    <x v="2"/>
    <x v="0"/>
    <x v="1"/>
  </r>
  <r>
    <x v="328"/>
    <x v="1"/>
    <s v="Online"/>
    <x v="31"/>
    <x v="0"/>
    <s v="Bank"/>
    <x v="0"/>
    <n v="-2550"/>
    <b v="1"/>
    <n v="-2550"/>
    <x v="0"/>
    <s v="Assets"/>
    <s v="Cash alike"/>
    <x v="2"/>
    <x v="1"/>
    <x v="0"/>
    <x v="0"/>
    <x v="0"/>
    <x v="2"/>
    <x v="0"/>
    <x v="1"/>
  </r>
  <r>
    <x v="329"/>
    <x v="1"/>
    <s v="Online"/>
    <x v="11"/>
    <x v="0"/>
    <s v="Curr"/>
    <x v="38"/>
    <n v="24762.5"/>
    <b v="1"/>
    <n v="24762.5"/>
    <x v="0"/>
    <s v="Assets"/>
    <s v="Invtr"/>
    <x v="2"/>
    <x v="1"/>
    <x v="3"/>
    <x v="7"/>
    <x v="0"/>
    <x v="2"/>
    <x v="0"/>
    <x v="1"/>
  </r>
  <r>
    <x v="329"/>
    <x v="1"/>
    <s v="Online"/>
    <x v="11"/>
    <x v="0"/>
    <s v="Bank"/>
    <x v="0"/>
    <n v="-24762.5"/>
    <b v="1"/>
    <n v="-24762.5"/>
    <x v="0"/>
    <s v="Assets"/>
    <s v="Cash alike"/>
    <x v="2"/>
    <x v="1"/>
    <x v="0"/>
    <x v="0"/>
    <x v="0"/>
    <x v="2"/>
    <x v="0"/>
    <x v="1"/>
  </r>
  <r>
    <x v="330"/>
    <x v="1"/>
    <s v="Online"/>
    <x v="11"/>
    <x v="0"/>
    <s v="Curr"/>
    <x v="38"/>
    <n v="2000"/>
    <b v="1"/>
    <n v="2000"/>
    <x v="0"/>
    <s v="Assets"/>
    <s v="Invtr"/>
    <x v="2"/>
    <x v="1"/>
    <x v="3"/>
    <x v="7"/>
    <x v="0"/>
    <x v="2"/>
    <x v="0"/>
    <x v="1"/>
  </r>
  <r>
    <x v="330"/>
    <x v="1"/>
    <s v="Online"/>
    <x v="11"/>
    <x v="0"/>
    <s v="Bank"/>
    <x v="0"/>
    <n v="-2000"/>
    <b v="1"/>
    <n v="-2000"/>
    <x v="0"/>
    <s v="Assets"/>
    <s v="Cash alike"/>
    <x v="2"/>
    <x v="1"/>
    <x v="0"/>
    <x v="0"/>
    <x v="0"/>
    <x v="2"/>
    <x v="0"/>
    <x v="1"/>
  </r>
  <r>
    <x v="331"/>
    <x v="1"/>
    <s v="Online"/>
    <x v="31"/>
    <x v="0"/>
    <s v="Curr"/>
    <x v="38"/>
    <n v="29022"/>
    <b v="1"/>
    <n v="29022"/>
    <x v="0"/>
    <s v="Assets"/>
    <s v="Invtr"/>
    <x v="2"/>
    <x v="1"/>
    <x v="3"/>
    <x v="7"/>
    <x v="0"/>
    <x v="2"/>
    <x v="0"/>
    <x v="1"/>
  </r>
  <r>
    <x v="331"/>
    <x v="1"/>
    <s v="Online"/>
    <x v="31"/>
    <x v="0"/>
    <s v="Bank"/>
    <x v="0"/>
    <n v="-29022"/>
    <b v="1"/>
    <n v="-29022"/>
    <x v="0"/>
    <s v="Assets"/>
    <s v="Cash alike"/>
    <x v="2"/>
    <x v="1"/>
    <x v="0"/>
    <x v="0"/>
    <x v="0"/>
    <x v="2"/>
    <x v="0"/>
    <x v="1"/>
  </r>
  <r>
    <x v="332"/>
    <x v="1"/>
    <s v="Online"/>
    <x v="11"/>
    <x v="0"/>
    <s v="Curr"/>
    <x v="38"/>
    <n v="238743.9"/>
    <b v="1"/>
    <n v="238743.9"/>
    <x v="0"/>
    <s v="Assets"/>
    <s v="Invtr"/>
    <x v="2"/>
    <x v="1"/>
    <x v="3"/>
    <x v="7"/>
    <x v="0"/>
    <x v="2"/>
    <x v="0"/>
    <x v="1"/>
  </r>
  <r>
    <x v="332"/>
    <x v="1"/>
    <s v="Online"/>
    <x v="11"/>
    <x v="0"/>
    <s v="Bank"/>
    <x v="0"/>
    <n v="-238743.9"/>
    <b v="1"/>
    <n v="-238743.9"/>
    <x v="0"/>
    <s v="Assets"/>
    <s v="Cash alike"/>
    <x v="2"/>
    <x v="1"/>
    <x v="0"/>
    <x v="0"/>
    <x v="0"/>
    <x v="2"/>
    <x v="0"/>
    <x v="1"/>
  </r>
  <r>
    <x v="333"/>
    <x v="1"/>
    <s v="GM"/>
    <x v="18"/>
    <x v="0"/>
    <s v="Bank"/>
    <x v="0"/>
    <n v="-317.3"/>
    <b v="1"/>
    <n v="-317.3"/>
    <x v="0"/>
    <s v="Assets"/>
    <s v="Cash alike"/>
    <x v="1"/>
    <x v="1"/>
    <x v="0"/>
    <x v="0"/>
    <x v="0"/>
    <x v="1"/>
    <x v="0"/>
    <x v="1"/>
  </r>
  <r>
    <x v="334"/>
    <x v="1"/>
    <s v="Online"/>
    <x v="27"/>
    <x v="0"/>
    <s v="Bank"/>
    <x v="0"/>
    <n v="76101"/>
    <b v="1"/>
    <n v="76101"/>
    <x v="0"/>
    <s v="Assets"/>
    <s v="Cash alike"/>
    <x v="2"/>
    <x v="1"/>
    <x v="0"/>
    <x v="0"/>
    <x v="0"/>
    <x v="2"/>
    <x v="0"/>
    <x v="1"/>
  </r>
  <r>
    <x v="334"/>
    <x v="1"/>
    <s v="Online"/>
    <x v="27"/>
    <x v="0"/>
    <s v="Curr"/>
    <x v="38"/>
    <n v="-76101"/>
    <b v="1"/>
    <n v="-76101"/>
    <x v="0"/>
    <s v="Assets"/>
    <s v="Invtr"/>
    <x v="2"/>
    <x v="1"/>
    <x v="3"/>
    <x v="7"/>
    <x v="0"/>
    <x v="2"/>
    <x v="0"/>
    <x v="1"/>
  </r>
  <r>
    <x v="335"/>
    <x v="1"/>
    <s v="Online"/>
    <x v="27"/>
    <x v="0"/>
    <s v="Bank"/>
    <x v="0"/>
    <n v="292991.09999999998"/>
    <b v="1"/>
    <n v="292991.09999999998"/>
    <x v="0"/>
    <s v="Assets"/>
    <s v="Cash alike"/>
    <x v="2"/>
    <x v="1"/>
    <x v="0"/>
    <x v="0"/>
    <x v="0"/>
    <x v="2"/>
    <x v="0"/>
    <x v="1"/>
  </r>
  <r>
    <x v="335"/>
    <x v="1"/>
    <s v="Online"/>
    <x v="27"/>
    <x v="0"/>
    <s v="Curr"/>
    <x v="38"/>
    <n v="-292991.09999999998"/>
    <b v="1"/>
    <n v="-292991.09999999998"/>
    <x v="0"/>
    <s v="Assets"/>
    <s v="Invtr"/>
    <x v="2"/>
    <x v="1"/>
    <x v="3"/>
    <x v="7"/>
    <x v="0"/>
    <x v="2"/>
    <x v="0"/>
    <x v="1"/>
  </r>
  <r>
    <x v="336"/>
    <x v="1"/>
    <s v="Brand"/>
    <x v="20"/>
    <x v="0"/>
    <s v="Bank"/>
    <x v="0"/>
    <n v="-4078"/>
    <b v="1"/>
    <n v="-4078"/>
    <x v="0"/>
    <s v="Assets"/>
    <s v="Cash alike"/>
    <x v="1"/>
    <x v="1"/>
    <x v="0"/>
    <x v="0"/>
    <x v="0"/>
    <x v="3"/>
    <x v="0"/>
    <x v="1"/>
  </r>
  <r>
    <x v="337"/>
    <x v="1"/>
    <s v="GM"/>
    <x v="30"/>
    <x v="0"/>
    <s v="Bank"/>
    <x v="0"/>
    <n v="-2301.1999999999998"/>
    <b v="1"/>
    <n v="-2301.1999999999998"/>
    <x v="0"/>
    <s v="Assets"/>
    <s v="Cash alike"/>
    <x v="1"/>
    <x v="1"/>
    <x v="0"/>
    <x v="0"/>
    <x v="0"/>
    <x v="1"/>
    <x v="0"/>
    <x v="1"/>
  </r>
  <r>
    <x v="338"/>
    <x v="1"/>
    <s v="GM"/>
    <x v="14"/>
    <x v="0"/>
    <s v="Bank"/>
    <x v="0"/>
    <n v="-29800"/>
    <b v="1"/>
    <n v="-29800"/>
    <x v="0"/>
    <s v="Assets"/>
    <s v="Cash alike"/>
    <x v="1"/>
    <x v="1"/>
    <x v="0"/>
    <x v="0"/>
    <x v="0"/>
    <x v="1"/>
    <x v="0"/>
    <x v="1"/>
  </r>
  <r>
    <x v="339"/>
    <x v="1"/>
    <s v="Online"/>
    <x v="31"/>
    <x v="0"/>
    <s v="Bank"/>
    <x v="0"/>
    <n v="-26300.7"/>
    <b v="1"/>
    <n v="-26300.7"/>
    <x v="0"/>
    <s v="Assets"/>
    <s v="Cash alike"/>
    <x v="2"/>
    <x v="1"/>
    <x v="0"/>
    <x v="0"/>
    <x v="0"/>
    <x v="2"/>
    <x v="0"/>
    <x v="1"/>
  </r>
  <r>
    <x v="339"/>
    <x v="1"/>
    <s v="Online"/>
    <x v="31"/>
    <x v="0"/>
    <s v="Curr"/>
    <x v="38"/>
    <n v="26300.7"/>
    <b v="1"/>
    <n v="26300.7"/>
    <x v="0"/>
    <s v="Assets"/>
    <s v="Invtr"/>
    <x v="2"/>
    <x v="1"/>
    <x v="3"/>
    <x v="7"/>
    <x v="0"/>
    <x v="2"/>
    <x v="0"/>
    <x v="1"/>
  </r>
  <r>
    <x v="340"/>
    <x v="1"/>
    <s v="GM"/>
    <x v="18"/>
    <x v="0"/>
    <s v="Bank"/>
    <x v="0"/>
    <n v="-897.4"/>
    <b v="1"/>
    <n v="-897.4"/>
    <x v="0"/>
    <s v="Assets"/>
    <s v="Cash alike"/>
    <x v="1"/>
    <x v="1"/>
    <x v="0"/>
    <x v="0"/>
    <x v="0"/>
    <x v="1"/>
    <x v="0"/>
    <x v="1"/>
  </r>
  <r>
    <x v="341"/>
    <x v="1"/>
    <s v="Online"/>
    <x v="31"/>
    <x v="0"/>
    <s v="Curr"/>
    <x v="38"/>
    <n v="47022"/>
    <b v="1"/>
    <n v="47022"/>
    <x v="0"/>
    <s v="Assets"/>
    <s v="Invtr"/>
    <x v="2"/>
    <x v="1"/>
    <x v="3"/>
    <x v="7"/>
    <x v="0"/>
    <x v="2"/>
    <x v="0"/>
    <x v="1"/>
  </r>
  <r>
    <x v="341"/>
    <x v="1"/>
    <s v="Online"/>
    <x v="31"/>
    <x v="0"/>
    <s v="Bank"/>
    <x v="0"/>
    <n v="-47022"/>
    <b v="1"/>
    <n v="-47022"/>
    <x v="0"/>
    <s v="Assets"/>
    <s v="Cash alike"/>
    <x v="2"/>
    <x v="1"/>
    <x v="0"/>
    <x v="0"/>
    <x v="0"/>
    <x v="2"/>
    <x v="0"/>
    <x v="1"/>
  </r>
  <r>
    <x v="342"/>
    <x v="1"/>
    <s v="Online"/>
    <x v="31"/>
    <x v="0"/>
    <s v="Curr"/>
    <x v="38"/>
    <n v="26652"/>
    <b v="1"/>
    <n v="26652"/>
    <x v="0"/>
    <s v="Assets"/>
    <s v="Invtr"/>
    <x v="2"/>
    <x v="1"/>
    <x v="3"/>
    <x v="7"/>
    <x v="0"/>
    <x v="2"/>
    <x v="0"/>
    <x v="1"/>
  </r>
  <r>
    <x v="342"/>
    <x v="1"/>
    <s v="Online"/>
    <x v="31"/>
    <x v="0"/>
    <s v="Bank"/>
    <x v="0"/>
    <n v="-26652"/>
    <b v="1"/>
    <n v="-26652"/>
    <x v="0"/>
    <s v="Assets"/>
    <s v="Cash alike"/>
    <x v="2"/>
    <x v="1"/>
    <x v="0"/>
    <x v="0"/>
    <x v="0"/>
    <x v="2"/>
    <x v="0"/>
    <x v="1"/>
  </r>
  <r>
    <x v="343"/>
    <x v="1"/>
    <s v="Online"/>
    <x v="11"/>
    <x v="0"/>
    <s v="Curr"/>
    <x v="38"/>
    <n v="69198"/>
    <b v="1"/>
    <n v="69198"/>
    <x v="0"/>
    <s v="Assets"/>
    <s v="Invtr"/>
    <x v="2"/>
    <x v="1"/>
    <x v="3"/>
    <x v="7"/>
    <x v="0"/>
    <x v="2"/>
    <x v="0"/>
    <x v="1"/>
  </r>
  <r>
    <x v="343"/>
    <x v="1"/>
    <s v="Online"/>
    <x v="11"/>
    <x v="0"/>
    <s v="Bank"/>
    <x v="0"/>
    <n v="-69198"/>
    <b v="1"/>
    <n v="-69198"/>
    <x v="0"/>
    <s v="Assets"/>
    <s v="Cash alike"/>
    <x v="2"/>
    <x v="1"/>
    <x v="0"/>
    <x v="0"/>
    <x v="0"/>
    <x v="2"/>
    <x v="0"/>
    <x v="1"/>
  </r>
  <r>
    <x v="344"/>
    <x v="1"/>
    <s v="Online"/>
    <x v="11"/>
    <x v="0"/>
    <s v="Curr"/>
    <x v="38"/>
    <n v="522"/>
    <b v="1"/>
    <n v="522"/>
    <x v="0"/>
    <s v="Assets"/>
    <s v="Invtr"/>
    <x v="2"/>
    <x v="1"/>
    <x v="3"/>
    <x v="7"/>
    <x v="0"/>
    <x v="2"/>
    <x v="0"/>
    <x v="1"/>
  </r>
  <r>
    <x v="344"/>
    <x v="1"/>
    <s v="Online"/>
    <x v="11"/>
    <x v="0"/>
    <s v="Bank"/>
    <x v="0"/>
    <n v="-522"/>
    <b v="1"/>
    <n v="-522"/>
    <x v="0"/>
    <s v="Assets"/>
    <s v="Cash alike"/>
    <x v="2"/>
    <x v="1"/>
    <x v="0"/>
    <x v="0"/>
    <x v="0"/>
    <x v="2"/>
    <x v="0"/>
    <x v="1"/>
  </r>
  <r>
    <x v="345"/>
    <x v="1"/>
    <s v="Online"/>
    <x v="11"/>
    <x v="0"/>
    <s v="Curr"/>
    <x v="38"/>
    <n v="8292"/>
    <b v="1"/>
    <n v="8292"/>
    <x v="0"/>
    <s v="Assets"/>
    <s v="Invtr"/>
    <x v="2"/>
    <x v="1"/>
    <x v="3"/>
    <x v="7"/>
    <x v="0"/>
    <x v="2"/>
    <x v="0"/>
    <x v="1"/>
  </r>
  <r>
    <x v="345"/>
    <x v="1"/>
    <s v="Online"/>
    <x v="11"/>
    <x v="0"/>
    <s v="Bank"/>
    <x v="0"/>
    <n v="-8292"/>
    <b v="1"/>
    <n v="-8292"/>
    <x v="0"/>
    <s v="Assets"/>
    <s v="Cash alike"/>
    <x v="2"/>
    <x v="1"/>
    <x v="0"/>
    <x v="0"/>
    <x v="0"/>
    <x v="2"/>
    <x v="0"/>
    <x v="1"/>
  </r>
  <r>
    <x v="346"/>
    <x v="1"/>
    <s v="Online"/>
    <x v="52"/>
    <x v="0"/>
    <s v="Bank"/>
    <x v="0"/>
    <n v="1600"/>
    <b v="1"/>
    <n v="1600"/>
    <x v="0"/>
    <s v="Assets"/>
    <s v="Cash alike"/>
    <x v="1"/>
    <x v="1"/>
    <x v="0"/>
    <x v="0"/>
    <x v="0"/>
    <x v="2"/>
    <x v="0"/>
    <x v="1"/>
  </r>
  <r>
    <x v="347"/>
    <x v="1"/>
    <s v="Online"/>
    <x v="7"/>
    <x v="0"/>
    <s v="Bank"/>
    <x v="0"/>
    <n v="7704"/>
    <b v="1"/>
    <n v="7704"/>
    <x v="0"/>
    <s v="Assets"/>
    <s v="Cash alike"/>
    <x v="0"/>
    <x v="0"/>
    <x v="0"/>
    <x v="0"/>
    <x v="0"/>
    <x v="2"/>
    <x v="0"/>
    <x v="1"/>
  </r>
  <r>
    <x v="347"/>
    <x v="1"/>
    <s v="Online"/>
    <x v="7"/>
    <x v="7"/>
    <s v="Bank"/>
    <x v="10"/>
    <n v="-7704"/>
    <b v="1"/>
    <n v="-7704"/>
    <x v="0"/>
    <s v="Assets"/>
    <s v="Cash alike"/>
    <x v="0"/>
    <x v="0"/>
    <x v="0"/>
    <x v="0"/>
    <x v="7"/>
    <x v="2"/>
    <x v="0"/>
    <x v="1"/>
  </r>
  <r>
    <x v="348"/>
    <x v="1"/>
    <s v="GM"/>
    <x v="3"/>
    <x v="0"/>
    <s v="Bank"/>
    <x v="0"/>
    <n v="-49.32"/>
    <b v="1"/>
    <n v="-49.32"/>
    <x v="0"/>
    <s v="Assets"/>
    <s v="Cash alike"/>
    <x v="1"/>
    <x v="1"/>
    <x v="0"/>
    <x v="0"/>
    <x v="0"/>
    <x v="1"/>
    <x v="0"/>
    <x v="1"/>
  </r>
  <r>
    <x v="349"/>
    <x v="1"/>
    <s v="Ctrl"/>
    <x v="45"/>
    <x v="0"/>
    <s v="ToTax"/>
    <x v="48"/>
    <n v="915.28"/>
    <b v="1"/>
    <n v="-915.28"/>
    <x v="1"/>
    <s v="Liability"/>
    <s v="Rec-Pay"/>
    <x v="1"/>
    <x v="1"/>
    <x v="1"/>
    <x v="11"/>
    <x v="0"/>
    <x v="0"/>
    <x v="0"/>
    <x v="1"/>
  </r>
  <r>
    <x v="349"/>
    <x v="1"/>
    <s v="Ctrl"/>
    <x v="45"/>
    <x v="0"/>
    <s v="ToTax"/>
    <x v="49"/>
    <n v="17370.7"/>
    <b v="1"/>
    <n v="-17370.7"/>
    <x v="1"/>
    <s v="Liability"/>
    <s v="Rec-Pay"/>
    <x v="1"/>
    <x v="1"/>
    <x v="1"/>
    <x v="11"/>
    <x v="0"/>
    <x v="0"/>
    <x v="0"/>
    <x v="1"/>
  </r>
  <r>
    <x v="349"/>
    <x v="1"/>
    <s v="Ctrl"/>
    <x v="45"/>
    <x v="0"/>
    <s v="ToTax"/>
    <x v="50"/>
    <n v="343.28"/>
    <b v="1"/>
    <n v="-343.28"/>
    <x v="1"/>
    <s v="Liability"/>
    <s v="Rec-Pay"/>
    <x v="1"/>
    <x v="1"/>
    <x v="1"/>
    <x v="11"/>
    <x v="0"/>
    <x v="0"/>
    <x v="0"/>
    <x v="1"/>
  </r>
  <r>
    <x v="350"/>
    <x v="1"/>
    <s v="Online"/>
    <x v="53"/>
    <x v="0"/>
    <s v="Curr"/>
    <x v="38"/>
    <n v="70845.600000000006"/>
    <b v="1"/>
    <n v="70845.600000000006"/>
    <x v="0"/>
    <s v="Assets"/>
    <s v="Invtr"/>
    <x v="2"/>
    <x v="1"/>
    <x v="3"/>
    <x v="7"/>
    <x v="0"/>
    <x v="2"/>
    <x v="0"/>
    <x v="1"/>
  </r>
  <r>
    <x v="350"/>
    <x v="1"/>
    <s v="Online"/>
    <x v="53"/>
    <x v="0"/>
    <s v="ToEmp"/>
    <x v="52"/>
    <n v="70845.600000000006"/>
    <b v="1"/>
    <n v="-70845.600000000006"/>
    <x v="1"/>
    <s v="Liability"/>
    <s v="Rec-Pay"/>
    <x v="2"/>
    <x v="1"/>
    <x v="1"/>
    <x v="12"/>
    <x v="0"/>
    <x v="2"/>
    <x v="0"/>
    <x v="1"/>
  </r>
  <r>
    <x v="351"/>
    <x v="1"/>
    <s v="GM"/>
    <x v="14"/>
    <x v="0"/>
    <s v="ToEmp"/>
    <x v="52"/>
    <n v="230125.26"/>
    <b v="1"/>
    <n v="-230125.26"/>
    <x v="1"/>
    <s v="Liability"/>
    <s v="Rec-Pay"/>
    <x v="1"/>
    <x v="1"/>
    <x v="1"/>
    <x v="12"/>
    <x v="0"/>
    <x v="1"/>
    <x v="0"/>
    <x v="1"/>
  </r>
  <r>
    <x v="352"/>
    <x v="1"/>
    <s v="Online"/>
    <x v="14"/>
    <x v="0"/>
    <s v="ToEmp"/>
    <x v="52"/>
    <n v="120767.17"/>
    <b v="1"/>
    <n v="-120767.17"/>
    <x v="1"/>
    <s v="Liability"/>
    <s v="Rec-Pay"/>
    <x v="1"/>
    <x v="1"/>
    <x v="1"/>
    <x v="12"/>
    <x v="0"/>
    <x v="2"/>
    <x v="0"/>
    <x v="1"/>
  </r>
  <r>
    <x v="353"/>
    <x v="1"/>
    <s v="Online"/>
    <x v="10"/>
    <x v="0"/>
    <s v="AR"/>
    <x v="21"/>
    <n v="3312043.65"/>
    <b v="1"/>
    <n v="3312043.65"/>
    <x v="0"/>
    <s v="Assets"/>
    <s v="Rec-Pay"/>
    <x v="3"/>
    <x v="1"/>
    <x v="1"/>
    <x v="2"/>
    <x v="0"/>
    <x v="2"/>
    <x v="0"/>
    <x v="1"/>
  </r>
  <r>
    <x v="354"/>
    <x v="1"/>
    <s v="Online"/>
    <x v="12"/>
    <x v="0"/>
    <s v="ToTax"/>
    <x v="47"/>
    <n v="422122.49"/>
    <b v="1"/>
    <n v="-422122.49"/>
    <x v="1"/>
    <s v="Liability"/>
    <s v="Rec-Pay"/>
    <x v="2"/>
    <x v="1"/>
    <x v="1"/>
    <x v="11"/>
    <x v="0"/>
    <x v="2"/>
    <x v="0"/>
    <x v="1"/>
  </r>
  <r>
    <x v="355"/>
    <x v="1"/>
    <s v="Online"/>
    <x v="12"/>
    <x v="0"/>
    <s v="ToTax"/>
    <x v="47"/>
    <n v="-133525.85"/>
    <b v="1"/>
    <n v="133525.85"/>
    <x v="1"/>
    <s v="Liability"/>
    <s v="Rec-Pay"/>
    <x v="2"/>
    <x v="1"/>
    <x v="1"/>
    <x v="11"/>
    <x v="0"/>
    <x v="2"/>
    <x v="0"/>
    <x v="1"/>
  </r>
  <r>
    <x v="356"/>
    <x v="1"/>
    <s v="GM"/>
    <x v="29"/>
    <x v="0"/>
    <s v="Order"/>
    <x v="34"/>
    <n v="-28258.42"/>
    <b v="1"/>
    <n v="-28258.42"/>
    <x v="0"/>
    <s v="Assets"/>
    <s v="Prep-Sub"/>
    <x v="1"/>
    <x v="1"/>
    <x v="2"/>
    <x v="6"/>
    <x v="0"/>
    <x v="1"/>
    <x v="0"/>
    <x v="1"/>
  </r>
  <r>
    <x v="357"/>
    <x v="1"/>
    <s v="Online"/>
    <x v="44"/>
    <x v="0"/>
    <s v="Curr"/>
    <x v="38"/>
    <n v="-2458868.139"/>
    <b v="1"/>
    <n v="-2458868.139"/>
    <x v="0"/>
    <s v="Assets"/>
    <s v="Invtr"/>
    <x v="2"/>
    <x v="1"/>
    <x v="3"/>
    <x v="7"/>
    <x v="0"/>
    <x v="2"/>
    <x v="0"/>
    <x v="1"/>
  </r>
  <r>
    <x v="358"/>
    <x v="1"/>
    <s v="Shuijie"/>
    <x v="44"/>
    <x v="0"/>
    <s v="Curr"/>
    <x v="38"/>
    <n v="-422004.33799999993"/>
    <b v="1"/>
    <n v="-422004.33799999993"/>
    <x v="0"/>
    <s v="Assets"/>
    <s v="Invtr"/>
    <x v="2"/>
    <x v="1"/>
    <x v="3"/>
    <x v="7"/>
    <x v="0"/>
    <x v="6"/>
    <x v="0"/>
    <x v="1"/>
  </r>
  <r>
    <x v="359"/>
    <x v="1"/>
    <s v="MY"/>
    <x v="44"/>
    <x v="0"/>
    <s v="Curr"/>
    <x v="38"/>
    <n v="-34952.084999999999"/>
    <b v="1"/>
    <n v="-34952.084999999999"/>
    <x v="0"/>
    <s v="Assets"/>
    <s v="Invtr"/>
    <x v="2"/>
    <x v="1"/>
    <x v="3"/>
    <x v="7"/>
    <x v="0"/>
    <x v="4"/>
    <x v="0"/>
    <x v="1"/>
  </r>
  <r>
    <x v="360"/>
    <x v="1"/>
    <s v="Online"/>
    <x v="12"/>
    <x v="0"/>
    <s v="ToTax"/>
    <x v="47"/>
    <n v="-650"/>
    <b v="1"/>
    <n v="650"/>
    <x v="1"/>
    <s v="Liability"/>
    <s v="Rec-Pay"/>
    <x v="2"/>
    <x v="1"/>
    <x v="1"/>
    <x v="11"/>
    <x v="0"/>
    <x v="2"/>
    <x v="0"/>
    <x v="1"/>
  </r>
  <r>
    <x v="361"/>
    <x v="1"/>
    <s v="MY"/>
    <x v="33"/>
    <x v="7"/>
    <s v="Phys.C"/>
    <x v="18"/>
    <n v="770"/>
    <b v="1"/>
    <n v="770"/>
    <x v="0"/>
    <s v="Assets"/>
    <s v="Cash alike"/>
    <x v="3"/>
    <x v="1"/>
    <x v="0"/>
    <x v="1"/>
    <x v="7"/>
    <x v="4"/>
    <x v="0"/>
    <x v="1"/>
  </r>
  <r>
    <x v="361"/>
    <x v="1"/>
    <s v="MY"/>
    <x v="33"/>
    <x v="7"/>
    <s v="AR"/>
    <x v="68"/>
    <n v="-770"/>
    <b v="1"/>
    <n v="-770"/>
    <x v="0"/>
    <s v="Assets"/>
    <s v="Rec-Pay"/>
    <x v="3"/>
    <x v="1"/>
    <x v="1"/>
    <x v="2"/>
    <x v="7"/>
    <x v="4"/>
    <x v="0"/>
    <x v="1"/>
  </r>
  <r>
    <x v="362"/>
    <x v="1"/>
    <s v="MY"/>
    <x v="33"/>
    <x v="7"/>
    <s v="Phys.C"/>
    <x v="18"/>
    <n v="1212"/>
    <b v="1"/>
    <n v="1212"/>
    <x v="0"/>
    <s v="Assets"/>
    <s v="Cash alike"/>
    <x v="3"/>
    <x v="1"/>
    <x v="0"/>
    <x v="1"/>
    <x v="7"/>
    <x v="4"/>
    <x v="0"/>
    <x v="1"/>
  </r>
  <r>
    <x v="362"/>
    <x v="1"/>
    <s v="MY"/>
    <x v="33"/>
    <x v="7"/>
    <s v="AR"/>
    <x v="25"/>
    <n v="-1212"/>
    <b v="1"/>
    <n v="-1212"/>
    <x v="0"/>
    <s v="Assets"/>
    <s v="Rec-Pay"/>
    <x v="3"/>
    <x v="1"/>
    <x v="1"/>
    <x v="2"/>
    <x v="7"/>
    <x v="4"/>
    <x v="0"/>
    <x v="1"/>
  </r>
  <r>
    <x v="363"/>
    <x v="1"/>
    <s v="MY"/>
    <x v="33"/>
    <x v="7"/>
    <s v="Phys.C"/>
    <x v="18"/>
    <n v="80"/>
    <b v="1"/>
    <n v="80"/>
    <x v="0"/>
    <s v="Assets"/>
    <s v="Cash alike"/>
    <x v="3"/>
    <x v="1"/>
    <x v="0"/>
    <x v="1"/>
    <x v="7"/>
    <x v="4"/>
    <x v="0"/>
    <x v="1"/>
  </r>
  <r>
    <x v="363"/>
    <x v="1"/>
    <s v="MY"/>
    <x v="33"/>
    <x v="7"/>
    <s v="AR"/>
    <x v="25"/>
    <n v="-80"/>
    <b v="1"/>
    <n v="-80"/>
    <x v="0"/>
    <s v="Assets"/>
    <s v="Rec-Pay"/>
    <x v="3"/>
    <x v="1"/>
    <x v="1"/>
    <x v="2"/>
    <x v="7"/>
    <x v="4"/>
    <x v="0"/>
    <x v="1"/>
  </r>
  <r>
    <x v="364"/>
    <x v="1"/>
    <s v="MY"/>
    <x v="33"/>
    <x v="7"/>
    <s v="Phys.C"/>
    <x v="18"/>
    <n v="298"/>
    <b v="1"/>
    <n v="298"/>
    <x v="0"/>
    <s v="Assets"/>
    <s v="Cash alike"/>
    <x v="3"/>
    <x v="1"/>
    <x v="0"/>
    <x v="1"/>
    <x v="7"/>
    <x v="4"/>
    <x v="0"/>
    <x v="1"/>
  </r>
  <r>
    <x v="364"/>
    <x v="1"/>
    <s v="MY"/>
    <x v="33"/>
    <x v="7"/>
    <s v="AR"/>
    <x v="26"/>
    <n v="-298"/>
    <b v="1"/>
    <n v="-298"/>
    <x v="0"/>
    <s v="Assets"/>
    <s v="Rec-Pay"/>
    <x v="3"/>
    <x v="1"/>
    <x v="1"/>
    <x v="2"/>
    <x v="7"/>
    <x v="4"/>
    <x v="0"/>
    <x v="1"/>
  </r>
  <r>
    <x v="365"/>
    <x v="1"/>
    <s v="MY"/>
    <x v="18"/>
    <x v="7"/>
    <s v="Phys.C"/>
    <x v="18"/>
    <n v="-600"/>
    <b v="1"/>
    <n v="-600"/>
    <x v="0"/>
    <s v="Assets"/>
    <s v="Cash alike"/>
    <x v="1"/>
    <x v="1"/>
    <x v="0"/>
    <x v="1"/>
    <x v="7"/>
    <x v="4"/>
    <x v="0"/>
    <x v="1"/>
  </r>
  <r>
    <x v="366"/>
    <x v="1"/>
    <s v="MY"/>
    <x v="33"/>
    <x v="7"/>
    <s v="Bank"/>
    <x v="10"/>
    <n v="3438.72"/>
    <b v="1"/>
    <n v="3438.72"/>
    <x v="0"/>
    <s v="Assets"/>
    <s v="Cash alike"/>
    <x v="3"/>
    <x v="1"/>
    <x v="0"/>
    <x v="0"/>
    <x v="7"/>
    <x v="4"/>
    <x v="0"/>
    <x v="1"/>
  </r>
  <r>
    <x v="366"/>
    <x v="1"/>
    <s v="MY"/>
    <x v="33"/>
    <x v="7"/>
    <s v="AR"/>
    <x v="68"/>
    <n v="-3438.72"/>
    <b v="1"/>
    <n v="-3438.72"/>
    <x v="0"/>
    <s v="Assets"/>
    <s v="Rec-Pay"/>
    <x v="3"/>
    <x v="1"/>
    <x v="1"/>
    <x v="2"/>
    <x v="7"/>
    <x v="4"/>
    <x v="0"/>
    <x v="1"/>
  </r>
  <r>
    <x v="367"/>
    <x v="1"/>
    <s v="MY"/>
    <x v="35"/>
    <x v="7"/>
    <s v="Bank"/>
    <x v="10"/>
    <n v="-118"/>
    <b v="1"/>
    <n v="-118"/>
    <x v="0"/>
    <s v="Assets"/>
    <s v="Cash alike"/>
    <x v="2"/>
    <x v="1"/>
    <x v="0"/>
    <x v="0"/>
    <x v="7"/>
    <x v="4"/>
    <x v="0"/>
    <x v="1"/>
  </r>
  <r>
    <x v="368"/>
    <x v="1"/>
    <s v="GM"/>
    <x v="13"/>
    <x v="7"/>
    <s v="Bank"/>
    <x v="10"/>
    <n v="-100.5"/>
    <b v="1"/>
    <n v="-100.5"/>
    <x v="0"/>
    <s v="Assets"/>
    <s v="Cash alike"/>
    <x v="1"/>
    <x v="1"/>
    <x v="0"/>
    <x v="0"/>
    <x v="7"/>
    <x v="1"/>
    <x v="0"/>
    <x v="1"/>
  </r>
  <r>
    <x v="369"/>
    <x v="1"/>
    <s v="MY"/>
    <x v="37"/>
    <x v="7"/>
    <s v="Bank"/>
    <x v="10"/>
    <n v="-180"/>
    <b v="1"/>
    <n v="-180"/>
    <x v="0"/>
    <s v="Assets"/>
    <s v="Cash alike"/>
    <x v="1"/>
    <x v="1"/>
    <x v="0"/>
    <x v="0"/>
    <x v="7"/>
    <x v="4"/>
    <x v="0"/>
    <x v="1"/>
  </r>
  <r>
    <x v="370"/>
    <x v="1"/>
    <s v="MY"/>
    <x v="35"/>
    <x v="7"/>
    <s v="Bank"/>
    <x v="10"/>
    <n v="-1826"/>
    <b v="1"/>
    <n v="-1826"/>
    <x v="0"/>
    <s v="Assets"/>
    <s v="Cash alike"/>
    <x v="2"/>
    <x v="1"/>
    <x v="0"/>
    <x v="0"/>
    <x v="7"/>
    <x v="4"/>
    <x v="0"/>
    <x v="1"/>
  </r>
  <r>
    <x v="371"/>
    <x v="1"/>
    <s v="MY"/>
    <x v="54"/>
    <x v="7"/>
    <s v="Bank"/>
    <x v="10"/>
    <n v="-2000"/>
    <b v="1"/>
    <n v="-2000"/>
    <x v="0"/>
    <s v="Assets"/>
    <s v="Cash alike"/>
    <x v="2"/>
    <x v="1"/>
    <x v="0"/>
    <x v="0"/>
    <x v="7"/>
    <x v="4"/>
    <x v="0"/>
    <x v="1"/>
  </r>
  <r>
    <x v="372"/>
    <x v="1"/>
    <s v="MY"/>
    <x v="42"/>
    <x v="7"/>
    <s v="Bank"/>
    <x v="10"/>
    <n v="-1600"/>
    <b v="1"/>
    <n v="-1600"/>
    <x v="0"/>
    <s v="Assets"/>
    <s v="Cash alike"/>
    <x v="1"/>
    <x v="1"/>
    <x v="0"/>
    <x v="0"/>
    <x v="7"/>
    <x v="4"/>
    <x v="0"/>
    <x v="1"/>
  </r>
  <r>
    <x v="373"/>
    <x v="1"/>
    <s v="MY"/>
    <x v="33"/>
    <x v="7"/>
    <s v="Bank"/>
    <x v="10"/>
    <n v="4211.33"/>
    <b v="1"/>
    <n v="4211.33"/>
    <x v="0"/>
    <s v="Assets"/>
    <s v="Cash alike"/>
    <x v="3"/>
    <x v="1"/>
    <x v="0"/>
    <x v="0"/>
    <x v="7"/>
    <x v="4"/>
    <x v="0"/>
    <x v="1"/>
  </r>
  <r>
    <x v="373"/>
    <x v="1"/>
    <s v="MY"/>
    <x v="33"/>
    <x v="7"/>
    <s v="AR"/>
    <x v="68"/>
    <n v="-4211.33"/>
    <b v="1"/>
    <n v="-4211.33"/>
    <x v="0"/>
    <s v="Assets"/>
    <s v="Rec-Pay"/>
    <x v="3"/>
    <x v="1"/>
    <x v="1"/>
    <x v="2"/>
    <x v="7"/>
    <x v="4"/>
    <x v="0"/>
    <x v="1"/>
  </r>
  <r>
    <x v="374"/>
    <x v="1"/>
    <s v="MY"/>
    <x v="33"/>
    <x v="7"/>
    <s v="Bank"/>
    <x v="10"/>
    <n v="3394.82"/>
    <b v="1"/>
    <n v="3394.82"/>
    <x v="0"/>
    <s v="Assets"/>
    <s v="Cash alike"/>
    <x v="3"/>
    <x v="1"/>
    <x v="0"/>
    <x v="0"/>
    <x v="7"/>
    <x v="4"/>
    <x v="0"/>
    <x v="1"/>
  </r>
  <r>
    <x v="374"/>
    <x v="1"/>
    <s v="MY"/>
    <x v="33"/>
    <x v="7"/>
    <s v="AR"/>
    <x v="27"/>
    <n v="-3394.82"/>
    <b v="1"/>
    <n v="-3394.82"/>
    <x v="0"/>
    <s v="Assets"/>
    <s v="Rec-Pay"/>
    <x v="3"/>
    <x v="1"/>
    <x v="1"/>
    <x v="2"/>
    <x v="7"/>
    <x v="4"/>
    <x v="0"/>
    <x v="1"/>
  </r>
  <r>
    <x v="375"/>
    <x v="1"/>
    <s v="MY"/>
    <x v="33"/>
    <x v="7"/>
    <s v="Bank"/>
    <x v="10"/>
    <n v="9243"/>
    <b v="1"/>
    <n v="9243"/>
    <x v="0"/>
    <s v="Assets"/>
    <s v="Cash alike"/>
    <x v="3"/>
    <x v="1"/>
    <x v="0"/>
    <x v="0"/>
    <x v="7"/>
    <x v="4"/>
    <x v="0"/>
    <x v="1"/>
  </r>
  <r>
    <x v="375"/>
    <x v="1"/>
    <s v="MY"/>
    <x v="33"/>
    <x v="7"/>
    <s v="AR"/>
    <x v="28"/>
    <n v="-9243"/>
    <b v="1"/>
    <n v="-9243"/>
    <x v="0"/>
    <s v="Assets"/>
    <s v="Rec-Pay"/>
    <x v="3"/>
    <x v="1"/>
    <x v="1"/>
    <x v="2"/>
    <x v="7"/>
    <x v="4"/>
    <x v="0"/>
    <x v="1"/>
  </r>
  <r>
    <x v="376"/>
    <x v="1"/>
    <s v="MY"/>
    <x v="8"/>
    <x v="7"/>
    <s v="ToTax"/>
    <x v="54"/>
    <n v="-545.98"/>
    <b v="1"/>
    <n v="545.98"/>
    <x v="1"/>
    <s v="Liability"/>
    <s v="Rec-Pay"/>
    <x v="1"/>
    <x v="1"/>
    <x v="1"/>
    <x v="11"/>
    <x v="7"/>
    <x v="4"/>
    <x v="0"/>
    <x v="1"/>
  </r>
  <r>
    <x v="376"/>
    <x v="1"/>
    <s v="MY"/>
    <x v="8"/>
    <x v="7"/>
    <s v="Bank"/>
    <x v="10"/>
    <n v="-545.98"/>
    <b v="1"/>
    <n v="-545.98"/>
    <x v="0"/>
    <s v="Assets"/>
    <s v="Cash alike"/>
    <x v="1"/>
    <x v="1"/>
    <x v="0"/>
    <x v="0"/>
    <x v="7"/>
    <x v="4"/>
    <x v="0"/>
    <x v="1"/>
  </r>
  <r>
    <x v="377"/>
    <x v="1"/>
    <s v="MY"/>
    <x v="27"/>
    <x v="7"/>
    <s v="Bank"/>
    <x v="10"/>
    <n v="1320"/>
    <b v="1"/>
    <n v="1320"/>
    <x v="0"/>
    <s v="Assets"/>
    <s v="Cash alike"/>
    <x v="2"/>
    <x v="1"/>
    <x v="0"/>
    <x v="0"/>
    <x v="7"/>
    <x v="4"/>
    <x v="0"/>
    <x v="1"/>
  </r>
  <r>
    <x v="378"/>
    <x v="1"/>
    <s v="GM"/>
    <x v="6"/>
    <x v="7"/>
    <s v="Bank"/>
    <x v="10"/>
    <n v="-16287.4"/>
    <b v="1"/>
    <n v="-16287.4"/>
    <x v="0"/>
    <s v="Assets"/>
    <s v="Cash alike"/>
    <x v="1"/>
    <x v="1"/>
    <x v="0"/>
    <x v="0"/>
    <x v="7"/>
    <x v="1"/>
    <x v="0"/>
    <x v="1"/>
  </r>
  <r>
    <x v="379"/>
    <x v="1"/>
    <s v="MY"/>
    <x v="8"/>
    <x v="7"/>
    <s v="Bank"/>
    <x v="10"/>
    <n v="-56630.96"/>
    <b v="1"/>
    <n v="-56630.96"/>
    <x v="0"/>
    <s v="Assets"/>
    <s v="Cash alike"/>
    <x v="1"/>
    <x v="1"/>
    <x v="0"/>
    <x v="0"/>
    <x v="7"/>
    <x v="4"/>
    <x v="0"/>
    <x v="1"/>
  </r>
  <r>
    <x v="379"/>
    <x v="1"/>
    <s v="MY"/>
    <x v="8"/>
    <x v="7"/>
    <s v="ToEmp"/>
    <x v="52"/>
    <n v="-56630.96"/>
    <b v="1"/>
    <n v="56630.96"/>
    <x v="1"/>
    <s v="Liability"/>
    <s v="Rec-Pay"/>
    <x v="1"/>
    <x v="1"/>
    <x v="1"/>
    <x v="12"/>
    <x v="7"/>
    <x v="4"/>
    <x v="0"/>
    <x v="1"/>
  </r>
  <r>
    <x v="380"/>
    <x v="1"/>
    <s v="MY"/>
    <x v="55"/>
    <x v="7"/>
    <s v="Bank"/>
    <x v="10"/>
    <n v="-1767.4"/>
    <b v="1"/>
    <n v="-1767.4"/>
    <x v="0"/>
    <s v="Assets"/>
    <s v="Cash alike"/>
    <x v="2"/>
    <x v="1"/>
    <x v="0"/>
    <x v="0"/>
    <x v="7"/>
    <x v="4"/>
    <x v="0"/>
    <x v="1"/>
  </r>
  <r>
    <x v="380"/>
    <x v="1"/>
    <s v="MY"/>
    <x v="55"/>
    <x v="7"/>
    <s v="Bank"/>
    <x v="10"/>
    <n v="-858.8"/>
    <b v="1"/>
    <n v="-858.8"/>
    <x v="0"/>
    <s v="Assets"/>
    <s v="Cash alike"/>
    <x v="2"/>
    <x v="1"/>
    <x v="0"/>
    <x v="0"/>
    <x v="7"/>
    <x v="4"/>
    <x v="0"/>
    <x v="1"/>
  </r>
  <r>
    <x v="381"/>
    <x v="1"/>
    <s v="MY"/>
    <x v="33"/>
    <x v="7"/>
    <s v="Bank"/>
    <x v="10"/>
    <n v="443.77"/>
    <b v="1"/>
    <n v="443.77"/>
    <x v="0"/>
    <s v="Assets"/>
    <s v="Cash alike"/>
    <x v="3"/>
    <x v="1"/>
    <x v="0"/>
    <x v="0"/>
    <x v="7"/>
    <x v="4"/>
    <x v="0"/>
    <x v="1"/>
  </r>
  <r>
    <x v="381"/>
    <x v="1"/>
    <s v="MY"/>
    <x v="33"/>
    <x v="7"/>
    <s v="AR"/>
    <x v="25"/>
    <n v="-443.77"/>
    <b v="1"/>
    <n v="-443.77"/>
    <x v="0"/>
    <s v="Assets"/>
    <s v="Rec-Pay"/>
    <x v="3"/>
    <x v="1"/>
    <x v="1"/>
    <x v="2"/>
    <x v="7"/>
    <x v="4"/>
    <x v="0"/>
    <x v="1"/>
  </r>
  <r>
    <x v="382"/>
    <x v="1"/>
    <s v="MY"/>
    <x v="33"/>
    <x v="7"/>
    <s v="Bank"/>
    <x v="10"/>
    <n v="10000"/>
    <b v="1"/>
    <n v="10000"/>
    <x v="0"/>
    <s v="Assets"/>
    <s v="Cash alike"/>
    <x v="3"/>
    <x v="1"/>
    <x v="0"/>
    <x v="0"/>
    <x v="7"/>
    <x v="4"/>
    <x v="0"/>
    <x v="1"/>
  </r>
  <r>
    <x v="382"/>
    <x v="1"/>
    <s v="MY"/>
    <x v="33"/>
    <x v="7"/>
    <s v="AR"/>
    <x v="69"/>
    <n v="-10000"/>
    <b v="1"/>
    <n v="-10000"/>
    <x v="0"/>
    <s v="Assets"/>
    <s v="Rec-Pay"/>
    <x v="3"/>
    <x v="1"/>
    <x v="1"/>
    <x v="2"/>
    <x v="7"/>
    <x v="4"/>
    <x v="0"/>
    <x v="1"/>
  </r>
  <r>
    <x v="383"/>
    <x v="1"/>
    <s v="MY"/>
    <x v="36"/>
    <x v="7"/>
    <s v="Bank"/>
    <x v="10"/>
    <n v="-3745"/>
    <b v="1"/>
    <n v="-3745"/>
    <x v="0"/>
    <s v="Assets"/>
    <s v="Cash alike"/>
    <x v="2"/>
    <x v="1"/>
    <x v="0"/>
    <x v="0"/>
    <x v="7"/>
    <x v="4"/>
    <x v="0"/>
    <x v="1"/>
  </r>
  <r>
    <x v="384"/>
    <x v="1"/>
    <s v="MY"/>
    <x v="19"/>
    <x v="7"/>
    <s v="Bank"/>
    <x v="10"/>
    <n v="-19562.7"/>
    <b v="1"/>
    <n v="-19562.7"/>
    <x v="0"/>
    <s v="Assets"/>
    <s v="Cash alike"/>
    <x v="1"/>
    <x v="1"/>
    <x v="0"/>
    <x v="0"/>
    <x v="7"/>
    <x v="4"/>
    <x v="0"/>
    <x v="1"/>
  </r>
  <r>
    <x v="385"/>
    <x v="1"/>
    <s v="MY"/>
    <x v="8"/>
    <x v="7"/>
    <s v="Bank"/>
    <x v="10"/>
    <n v="-4381.96"/>
    <b v="1"/>
    <n v="-4381.96"/>
    <x v="0"/>
    <s v="Assets"/>
    <s v="Cash alike"/>
    <x v="1"/>
    <x v="1"/>
    <x v="0"/>
    <x v="0"/>
    <x v="7"/>
    <x v="4"/>
    <x v="0"/>
    <x v="1"/>
  </r>
  <r>
    <x v="385"/>
    <x v="1"/>
    <s v="MY"/>
    <x v="8"/>
    <x v="7"/>
    <s v="ToTax"/>
    <x v="47"/>
    <n v="-4381.96"/>
    <b v="1"/>
    <n v="4381.96"/>
    <x v="1"/>
    <s v="Liability"/>
    <s v="Rec-Pay"/>
    <x v="1"/>
    <x v="1"/>
    <x v="1"/>
    <x v="11"/>
    <x v="7"/>
    <x v="4"/>
    <x v="0"/>
    <x v="1"/>
  </r>
  <r>
    <x v="386"/>
    <x v="1"/>
    <s v="MY"/>
    <x v="33"/>
    <x v="7"/>
    <s v="AR"/>
    <x v="25"/>
    <n v="-2480.5300000000002"/>
    <b v="1"/>
    <n v="-2480.5300000000002"/>
    <x v="0"/>
    <s v="Assets"/>
    <s v="Rec-Pay"/>
    <x v="3"/>
    <x v="1"/>
    <x v="1"/>
    <x v="2"/>
    <x v="7"/>
    <x v="4"/>
    <x v="0"/>
    <x v="1"/>
  </r>
  <r>
    <x v="386"/>
    <x v="1"/>
    <s v="MY"/>
    <x v="33"/>
    <x v="7"/>
    <s v="Bank"/>
    <x v="10"/>
    <n v="2480.5300000000002"/>
    <b v="1"/>
    <n v="2480.5300000000002"/>
    <x v="0"/>
    <s v="Assets"/>
    <s v="Cash alike"/>
    <x v="3"/>
    <x v="1"/>
    <x v="0"/>
    <x v="0"/>
    <x v="7"/>
    <x v="4"/>
    <x v="0"/>
    <x v="1"/>
  </r>
  <r>
    <x v="387"/>
    <x v="1"/>
    <s v="MY"/>
    <x v="33"/>
    <x v="7"/>
    <s v="AR"/>
    <x v="69"/>
    <n v="-37947"/>
    <b v="1"/>
    <n v="-37947"/>
    <x v="0"/>
    <s v="Assets"/>
    <s v="Rec-Pay"/>
    <x v="3"/>
    <x v="1"/>
    <x v="1"/>
    <x v="2"/>
    <x v="7"/>
    <x v="4"/>
    <x v="0"/>
    <x v="1"/>
  </r>
  <r>
    <x v="387"/>
    <x v="1"/>
    <s v="MY"/>
    <x v="33"/>
    <x v="7"/>
    <s v="Bank"/>
    <x v="10"/>
    <n v="37947"/>
    <b v="1"/>
    <n v="37947"/>
    <x v="0"/>
    <s v="Assets"/>
    <s v="Cash alike"/>
    <x v="3"/>
    <x v="1"/>
    <x v="0"/>
    <x v="0"/>
    <x v="7"/>
    <x v="4"/>
    <x v="0"/>
    <x v="1"/>
  </r>
  <r>
    <x v="388"/>
    <x v="1"/>
    <s v="MY"/>
    <x v="56"/>
    <x v="7"/>
    <s v="Bank"/>
    <x v="10"/>
    <n v="-1800"/>
    <b v="1"/>
    <n v="-1800"/>
    <x v="0"/>
    <s v="Assets"/>
    <s v="Cash alike"/>
    <x v="2"/>
    <x v="1"/>
    <x v="0"/>
    <x v="0"/>
    <x v="7"/>
    <x v="4"/>
    <x v="0"/>
    <x v="1"/>
  </r>
  <r>
    <x v="389"/>
    <x v="1"/>
    <s v="MY"/>
    <x v="54"/>
    <x v="7"/>
    <s v="Bank"/>
    <x v="10"/>
    <n v="-1500"/>
    <b v="1"/>
    <n v="-1500"/>
    <x v="0"/>
    <s v="Assets"/>
    <s v="Cash alike"/>
    <x v="2"/>
    <x v="1"/>
    <x v="0"/>
    <x v="0"/>
    <x v="7"/>
    <x v="4"/>
    <x v="0"/>
    <x v="1"/>
  </r>
  <r>
    <x v="390"/>
    <x v="1"/>
    <s v="MY"/>
    <x v="37"/>
    <x v="7"/>
    <s v="Bank"/>
    <x v="10"/>
    <n v="-540"/>
    <b v="1"/>
    <n v="-540"/>
    <x v="0"/>
    <s v="Assets"/>
    <s v="Cash alike"/>
    <x v="1"/>
    <x v="1"/>
    <x v="0"/>
    <x v="0"/>
    <x v="7"/>
    <x v="4"/>
    <x v="0"/>
    <x v="1"/>
  </r>
  <r>
    <x v="391"/>
    <x v="1"/>
    <s v="MY"/>
    <x v="57"/>
    <x v="7"/>
    <s v="Bank"/>
    <x v="10"/>
    <n v="-1540"/>
    <b v="1"/>
    <n v="-1540"/>
    <x v="0"/>
    <s v="Assets"/>
    <s v="Cash alike"/>
    <x v="1"/>
    <x v="1"/>
    <x v="0"/>
    <x v="0"/>
    <x v="7"/>
    <x v="4"/>
    <x v="0"/>
    <x v="1"/>
  </r>
  <r>
    <x v="392"/>
    <x v="1"/>
    <s v="Brand"/>
    <x v="58"/>
    <x v="7"/>
    <s v="Bank"/>
    <x v="10"/>
    <n v="-36200"/>
    <b v="1"/>
    <n v="-36200"/>
    <x v="0"/>
    <s v="Assets"/>
    <s v="Cash alike"/>
    <x v="4"/>
    <x v="0"/>
    <x v="0"/>
    <x v="0"/>
    <x v="7"/>
    <x v="3"/>
    <x v="0"/>
    <x v="1"/>
  </r>
  <r>
    <x v="393"/>
    <x v="1"/>
    <s v="MY"/>
    <x v="35"/>
    <x v="7"/>
    <s v="Bank"/>
    <x v="10"/>
    <n v="-540"/>
    <b v="1"/>
    <n v="-540"/>
    <x v="0"/>
    <s v="Assets"/>
    <s v="Cash alike"/>
    <x v="2"/>
    <x v="1"/>
    <x v="0"/>
    <x v="0"/>
    <x v="7"/>
    <x v="4"/>
    <x v="0"/>
    <x v="1"/>
  </r>
  <r>
    <x v="394"/>
    <x v="1"/>
    <s v="MY"/>
    <x v="33"/>
    <x v="7"/>
    <s v="Bank"/>
    <x v="10"/>
    <n v="551.76"/>
    <b v="1"/>
    <n v="551.76"/>
    <x v="0"/>
    <s v="Assets"/>
    <s v="Cash alike"/>
    <x v="3"/>
    <x v="1"/>
    <x v="0"/>
    <x v="0"/>
    <x v="7"/>
    <x v="4"/>
    <x v="0"/>
    <x v="1"/>
  </r>
  <r>
    <x v="394"/>
    <x v="1"/>
    <s v="MY"/>
    <x v="33"/>
    <x v="7"/>
    <s v="AR"/>
    <x v="68"/>
    <n v="-551.76"/>
    <b v="1"/>
    <n v="-551.76"/>
    <x v="0"/>
    <s v="Assets"/>
    <s v="Rec-Pay"/>
    <x v="3"/>
    <x v="1"/>
    <x v="1"/>
    <x v="2"/>
    <x v="7"/>
    <x v="4"/>
    <x v="0"/>
    <x v="1"/>
  </r>
  <r>
    <x v="395"/>
    <x v="1"/>
    <s v="MY"/>
    <x v="35"/>
    <x v="7"/>
    <s v="Bank"/>
    <x v="10"/>
    <n v="-1470"/>
    <b v="1"/>
    <n v="-1470"/>
    <x v="0"/>
    <s v="Assets"/>
    <s v="Cash alike"/>
    <x v="2"/>
    <x v="1"/>
    <x v="0"/>
    <x v="0"/>
    <x v="7"/>
    <x v="4"/>
    <x v="0"/>
    <x v="1"/>
  </r>
  <r>
    <x v="396"/>
    <x v="1"/>
    <s v="MY"/>
    <x v="7"/>
    <x v="7"/>
    <s v="Bank"/>
    <x v="10"/>
    <n v="-40000"/>
    <b v="1"/>
    <n v="-40000"/>
    <x v="0"/>
    <s v="Assets"/>
    <s v="Cash alike"/>
    <x v="0"/>
    <x v="0"/>
    <x v="0"/>
    <x v="0"/>
    <x v="7"/>
    <x v="4"/>
    <x v="0"/>
    <x v="1"/>
  </r>
  <r>
    <x v="396"/>
    <x v="1"/>
    <s v="MY"/>
    <x v="7"/>
    <x v="11"/>
    <s v="Bank"/>
    <x v="15"/>
    <n v="40000"/>
    <b v="1"/>
    <n v="40000"/>
    <x v="0"/>
    <s v="Assets"/>
    <s v="Cash alike"/>
    <x v="0"/>
    <x v="0"/>
    <x v="0"/>
    <x v="0"/>
    <x v="11"/>
    <x v="4"/>
    <x v="0"/>
    <x v="1"/>
  </r>
  <r>
    <x v="397"/>
    <x v="1"/>
    <s v="MY"/>
    <x v="33"/>
    <x v="8"/>
    <s v="Bank"/>
    <x v="11"/>
    <n v="167617.9"/>
    <b v="1"/>
    <n v="167617.9"/>
    <x v="0"/>
    <s v="Assets"/>
    <s v="Cash alike"/>
    <x v="3"/>
    <x v="1"/>
    <x v="0"/>
    <x v="0"/>
    <x v="8"/>
    <x v="4"/>
    <x v="0"/>
    <x v="1"/>
  </r>
  <r>
    <x v="397"/>
    <x v="1"/>
    <s v="MY"/>
    <x v="33"/>
    <x v="7"/>
    <s v="AR"/>
    <x v="29"/>
    <n v="-167617.9"/>
    <b v="1"/>
    <n v="-167617.9"/>
    <x v="0"/>
    <s v="Assets"/>
    <s v="Rec-Pay"/>
    <x v="3"/>
    <x v="1"/>
    <x v="1"/>
    <x v="2"/>
    <x v="7"/>
    <x v="4"/>
    <x v="0"/>
    <x v="1"/>
  </r>
  <r>
    <x v="398"/>
    <x v="1"/>
    <s v="MY"/>
    <x v="33"/>
    <x v="8"/>
    <s v="Bank"/>
    <x v="11"/>
    <n v="2814"/>
    <b v="1"/>
    <n v="2814"/>
    <x v="0"/>
    <s v="Assets"/>
    <s v="Cash alike"/>
    <x v="3"/>
    <x v="1"/>
    <x v="0"/>
    <x v="0"/>
    <x v="8"/>
    <x v="4"/>
    <x v="0"/>
    <x v="1"/>
  </r>
  <r>
    <x v="398"/>
    <x v="1"/>
    <s v="MY"/>
    <x v="33"/>
    <x v="7"/>
    <s v="AR"/>
    <x v="26"/>
    <n v="-2814"/>
    <b v="1"/>
    <n v="-2814"/>
    <x v="0"/>
    <s v="Assets"/>
    <s v="Rec-Pay"/>
    <x v="3"/>
    <x v="1"/>
    <x v="1"/>
    <x v="2"/>
    <x v="7"/>
    <x v="4"/>
    <x v="0"/>
    <x v="1"/>
  </r>
  <r>
    <x v="399"/>
    <x v="1"/>
    <s v="MY"/>
    <x v="33"/>
    <x v="8"/>
    <s v="Bank"/>
    <x v="11"/>
    <n v="14820"/>
    <b v="1"/>
    <n v="14820"/>
    <x v="0"/>
    <s v="Assets"/>
    <s v="Cash alike"/>
    <x v="3"/>
    <x v="1"/>
    <x v="0"/>
    <x v="0"/>
    <x v="8"/>
    <x v="4"/>
    <x v="0"/>
    <x v="1"/>
  </r>
  <r>
    <x v="399"/>
    <x v="1"/>
    <s v="MY"/>
    <x v="33"/>
    <x v="7"/>
    <s v="AR"/>
    <x v="69"/>
    <n v="-14820"/>
    <b v="1"/>
    <n v="-14820"/>
    <x v="0"/>
    <s v="Assets"/>
    <s v="Rec-Pay"/>
    <x v="3"/>
    <x v="1"/>
    <x v="1"/>
    <x v="2"/>
    <x v="7"/>
    <x v="4"/>
    <x v="0"/>
    <x v="1"/>
  </r>
  <r>
    <x v="400"/>
    <x v="1"/>
    <s v="MY"/>
    <x v="35"/>
    <x v="8"/>
    <s v="Bank"/>
    <x v="11"/>
    <n v="-2708"/>
    <b v="1"/>
    <n v="-2708"/>
    <x v="0"/>
    <s v="Assets"/>
    <s v="Cash alike"/>
    <x v="2"/>
    <x v="1"/>
    <x v="0"/>
    <x v="0"/>
    <x v="8"/>
    <x v="4"/>
    <x v="0"/>
    <x v="1"/>
  </r>
  <r>
    <x v="401"/>
    <x v="1"/>
    <s v="MY"/>
    <x v="48"/>
    <x v="8"/>
    <s v="Bank"/>
    <x v="11"/>
    <n v="-611.62"/>
    <b v="1"/>
    <n v="-611.62"/>
    <x v="0"/>
    <s v="Assets"/>
    <s v="Cash alike"/>
    <x v="1"/>
    <x v="1"/>
    <x v="0"/>
    <x v="0"/>
    <x v="8"/>
    <x v="4"/>
    <x v="0"/>
    <x v="1"/>
  </r>
  <r>
    <x v="402"/>
    <x v="1"/>
    <s v="GM"/>
    <x v="6"/>
    <x v="8"/>
    <s v="Bank"/>
    <x v="11"/>
    <n v="-18017.009999999998"/>
    <b v="1"/>
    <n v="-18017.009999999998"/>
    <x v="0"/>
    <s v="Assets"/>
    <s v="Cash alike"/>
    <x v="1"/>
    <x v="1"/>
    <x v="0"/>
    <x v="0"/>
    <x v="8"/>
    <x v="1"/>
    <x v="0"/>
    <x v="1"/>
  </r>
  <r>
    <x v="403"/>
    <x v="1"/>
    <s v="MY"/>
    <x v="8"/>
    <x v="8"/>
    <s v="Bank"/>
    <x v="11"/>
    <n v="-47923.6"/>
    <b v="1"/>
    <n v="-47923.6"/>
    <x v="0"/>
    <s v="Assets"/>
    <s v="Cash alike"/>
    <x v="1"/>
    <x v="1"/>
    <x v="0"/>
    <x v="0"/>
    <x v="8"/>
    <x v="4"/>
    <x v="0"/>
    <x v="1"/>
  </r>
  <r>
    <x v="403"/>
    <x v="1"/>
    <s v="MY"/>
    <x v="8"/>
    <x v="7"/>
    <s v="ToEmp"/>
    <x v="52"/>
    <n v="-47923.6"/>
    <b v="1"/>
    <n v="47923.6"/>
    <x v="1"/>
    <s v="Liability"/>
    <s v="Rec-Pay"/>
    <x v="1"/>
    <x v="1"/>
    <x v="1"/>
    <x v="12"/>
    <x v="7"/>
    <x v="4"/>
    <x v="0"/>
    <x v="1"/>
  </r>
  <r>
    <x v="404"/>
    <x v="1"/>
    <s v="MY"/>
    <x v="59"/>
    <x v="8"/>
    <s v="Bank"/>
    <x v="11"/>
    <n v="-980"/>
    <b v="1"/>
    <n v="-980"/>
    <x v="0"/>
    <s v="Assets"/>
    <s v="Cash alike"/>
    <x v="3"/>
    <x v="1"/>
    <x v="0"/>
    <x v="0"/>
    <x v="8"/>
    <x v="4"/>
    <x v="0"/>
    <x v="1"/>
  </r>
  <r>
    <x v="404"/>
    <x v="1"/>
    <s v="MY"/>
    <x v="59"/>
    <x v="7"/>
    <s v="MemShip"/>
    <x v="57"/>
    <n v="-980"/>
    <b v="1"/>
    <n v="980"/>
    <x v="1"/>
    <s v="Liability"/>
    <s v="Cash alike"/>
    <x v="3"/>
    <x v="1"/>
    <x v="0"/>
    <x v="14"/>
    <x v="7"/>
    <x v="4"/>
    <x v="0"/>
    <x v="1"/>
  </r>
  <r>
    <x v="405"/>
    <x v="1"/>
    <s v="MY"/>
    <x v="7"/>
    <x v="11"/>
    <s v="Bank"/>
    <x v="15"/>
    <n v="30000"/>
    <b v="1"/>
    <n v="30000"/>
    <x v="0"/>
    <s v="Assets"/>
    <s v="Cash alike"/>
    <x v="0"/>
    <x v="0"/>
    <x v="0"/>
    <x v="0"/>
    <x v="11"/>
    <x v="4"/>
    <x v="0"/>
    <x v="1"/>
  </r>
  <r>
    <x v="405"/>
    <x v="1"/>
    <s v="MY"/>
    <x v="7"/>
    <x v="8"/>
    <s v="Bank"/>
    <x v="11"/>
    <n v="-30000"/>
    <b v="1"/>
    <n v="-30000"/>
    <x v="0"/>
    <s v="Assets"/>
    <s v="Cash alike"/>
    <x v="0"/>
    <x v="0"/>
    <x v="0"/>
    <x v="0"/>
    <x v="8"/>
    <x v="4"/>
    <x v="0"/>
    <x v="1"/>
  </r>
  <r>
    <x v="406"/>
    <x v="1"/>
    <s v="MY"/>
    <x v="36"/>
    <x v="8"/>
    <s v="Bank"/>
    <x v="11"/>
    <n v="-360"/>
    <b v="1"/>
    <n v="-360"/>
    <x v="0"/>
    <s v="Assets"/>
    <s v="Cash alike"/>
    <x v="2"/>
    <x v="1"/>
    <x v="0"/>
    <x v="0"/>
    <x v="8"/>
    <x v="4"/>
    <x v="0"/>
    <x v="1"/>
  </r>
  <r>
    <x v="407"/>
    <x v="1"/>
    <s v="MY"/>
    <x v="59"/>
    <x v="8"/>
    <s v="Bank"/>
    <x v="11"/>
    <n v="-2744"/>
    <b v="1"/>
    <n v="-2744"/>
    <x v="0"/>
    <s v="Assets"/>
    <s v="Cash alike"/>
    <x v="3"/>
    <x v="1"/>
    <x v="0"/>
    <x v="0"/>
    <x v="8"/>
    <x v="4"/>
    <x v="0"/>
    <x v="1"/>
  </r>
  <r>
    <x v="407"/>
    <x v="1"/>
    <s v="MY"/>
    <x v="59"/>
    <x v="7"/>
    <s v="MemShip"/>
    <x v="57"/>
    <n v="-2744"/>
    <b v="1"/>
    <n v="2744"/>
    <x v="1"/>
    <s v="Liability"/>
    <s v="Cash alike"/>
    <x v="3"/>
    <x v="1"/>
    <x v="0"/>
    <x v="14"/>
    <x v="7"/>
    <x v="4"/>
    <x v="0"/>
    <x v="1"/>
  </r>
  <r>
    <x v="408"/>
    <x v="1"/>
    <s v="MY"/>
    <x v="9"/>
    <x v="8"/>
    <s v="Bank"/>
    <x v="11"/>
    <n v="-9331.5"/>
    <b v="1"/>
    <n v="-9331.5"/>
    <x v="0"/>
    <s v="Assets"/>
    <s v="Cash alike"/>
    <x v="1"/>
    <x v="1"/>
    <x v="0"/>
    <x v="0"/>
    <x v="8"/>
    <x v="4"/>
    <x v="0"/>
    <x v="1"/>
  </r>
  <r>
    <x v="409"/>
    <x v="1"/>
    <s v="MY"/>
    <x v="48"/>
    <x v="8"/>
    <s v="Bank"/>
    <x v="11"/>
    <n v="-940"/>
    <b v="1"/>
    <n v="-940"/>
    <x v="0"/>
    <s v="Assets"/>
    <s v="Cash alike"/>
    <x v="1"/>
    <x v="1"/>
    <x v="0"/>
    <x v="0"/>
    <x v="8"/>
    <x v="4"/>
    <x v="0"/>
    <x v="1"/>
  </r>
  <r>
    <x v="410"/>
    <x v="1"/>
    <s v="MY"/>
    <x v="36"/>
    <x v="8"/>
    <s v="Bank"/>
    <x v="11"/>
    <n v="-384.3"/>
    <b v="1"/>
    <n v="-384.3"/>
    <x v="0"/>
    <s v="Assets"/>
    <s v="Cash alike"/>
    <x v="2"/>
    <x v="1"/>
    <x v="0"/>
    <x v="0"/>
    <x v="8"/>
    <x v="4"/>
    <x v="0"/>
    <x v="1"/>
  </r>
  <r>
    <x v="411"/>
    <x v="1"/>
    <s v="MY"/>
    <x v="33"/>
    <x v="9"/>
    <s v="Bank"/>
    <x v="12"/>
    <n v="43003.48"/>
    <b v="1"/>
    <n v="43003.48"/>
    <x v="0"/>
    <s v="Assets"/>
    <s v="Cash alike"/>
    <x v="3"/>
    <x v="1"/>
    <x v="0"/>
    <x v="0"/>
    <x v="9"/>
    <x v="4"/>
    <x v="0"/>
    <x v="1"/>
  </r>
  <r>
    <x v="411"/>
    <x v="1"/>
    <s v="MY"/>
    <x v="33"/>
    <x v="7"/>
    <s v="AR"/>
    <x v="25"/>
    <n v="-43003.48"/>
    <b v="1"/>
    <n v="-43003.48"/>
    <x v="0"/>
    <s v="Assets"/>
    <s v="Rec-Pay"/>
    <x v="3"/>
    <x v="1"/>
    <x v="1"/>
    <x v="2"/>
    <x v="7"/>
    <x v="4"/>
    <x v="0"/>
    <x v="1"/>
  </r>
  <r>
    <x v="412"/>
    <x v="1"/>
    <s v="MY"/>
    <x v="23"/>
    <x v="9"/>
    <s v="Bank"/>
    <x v="12"/>
    <n v="376.19"/>
    <b v="1"/>
    <n v="376.19"/>
    <x v="0"/>
    <s v="Assets"/>
    <s v="Cash alike"/>
    <x v="3"/>
    <x v="1"/>
    <x v="0"/>
    <x v="0"/>
    <x v="9"/>
    <x v="4"/>
    <x v="0"/>
    <x v="1"/>
  </r>
  <r>
    <x v="413"/>
    <x v="1"/>
    <s v="MY"/>
    <x v="35"/>
    <x v="11"/>
    <s v="Bank"/>
    <x v="15"/>
    <n v="-43824.95"/>
    <b v="1"/>
    <n v="-43824.95"/>
    <x v="0"/>
    <s v="Assets"/>
    <s v="Cash alike"/>
    <x v="2"/>
    <x v="1"/>
    <x v="0"/>
    <x v="0"/>
    <x v="11"/>
    <x v="4"/>
    <x v="0"/>
    <x v="1"/>
  </r>
  <r>
    <x v="414"/>
    <x v="1"/>
    <s v="MY"/>
    <x v="27"/>
    <x v="11"/>
    <s v="Bank"/>
    <x v="15"/>
    <n v="121.78"/>
    <b v="1"/>
    <n v="121.78"/>
    <x v="0"/>
    <s v="Assets"/>
    <s v="Cash alike"/>
    <x v="2"/>
    <x v="1"/>
    <x v="0"/>
    <x v="0"/>
    <x v="11"/>
    <x v="4"/>
    <x v="0"/>
    <x v="1"/>
  </r>
  <r>
    <x v="415"/>
    <x v="1"/>
    <s v="MY"/>
    <x v="36"/>
    <x v="11"/>
    <s v="Bank"/>
    <x v="15"/>
    <n v="-10151.14"/>
    <b v="1"/>
    <n v="-10151.14"/>
    <x v="0"/>
    <s v="Assets"/>
    <s v="Cash alike"/>
    <x v="2"/>
    <x v="1"/>
    <x v="0"/>
    <x v="0"/>
    <x v="11"/>
    <x v="4"/>
    <x v="0"/>
    <x v="1"/>
  </r>
  <r>
    <x v="416"/>
    <x v="1"/>
    <s v="MY"/>
    <x v="35"/>
    <x v="11"/>
    <s v="Bank"/>
    <x v="15"/>
    <n v="-4820.54"/>
    <b v="1"/>
    <n v="-4820.54"/>
    <x v="0"/>
    <s v="Assets"/>
    <s v="Cash alike"/>
    <x v="2"/>
    <x v="1"/>
    <x v="0"/>
    <x v="0"/>
    <x v="11"/>
    <x v="4"/>
    <x v="0"/>
    <x v="1"/>
  </r>
  <r>
    <x v="417"/>
    <x v="1"/>
    <s v="MY"/>
    <x v="36"/>
    <x v="11"/>
    <s v="Bank"/>
    <x v="15"/>
    <n v="-3989.13"/>
    <b v="1"/>
    <n v="-3989.13"/>
    <x v="0"/>
    <s v="Assets"/>
    <s v="Cash alike"/>
    <x v="2"/>
    <x v="1"/>
    <x v="0"/>
    <x v="0"/>
    <x v="11"/>
    <x v="4"/>
    <x v="0"/>
    <x v="1"/>
  </r>
  <r>
    <x v="418"/>
    <x v="1"/>
    <s v="GM"/>
    <x v="19"/>
    <x v="11"/>
    <s v="Bank"/>
    <x v="15"/>
    <n v="-11000"/>
    <b v="1"/>
    <n v="-11000"/>
    <x v="0"/>
    <s v="Assets"/>
    <s v="Cash alike"/>
    <x v="1"/>
    <x v="1"/>
    <x v="0"/>
    <x v="0"/>
    <x v="11"/>
    <x v="1"/>
    <x v="0"/>
    <x v="1"/>
  </r>
  <r>
    <x v="419"/>
    <x v="1"/>
    <s v="MY"/>
    <x v="35"/>
    <x v="11"/>
    <s v="Bank"/>
    <x v="15"/>
    <n v="-885.77"/>
    <b v="1"/>
    <n v="-885.77"/>
    <x v="0"/>
    <s v="Assets"/>
    <s v="Cash alike"/>
    <x v="2"/>
    <x v="1"/>
    <x v="0"/>
    <x v="0"/>
    <x v="11"/>
    <x v="4"/>
    <x v="0"/>
    <x v="1"/>
  </r>
  <r>
    <x v="420"/>
    <x v="1"/>
    <s v="MY"/>
    <x v="35"/>
    <x v="11"/>
    <s v="Bank"/>
    <x v="15"/>
    <n v="-480"/>
    <b v="1"/>
    <n v="-480"/>
    <x v="0"/>
    <s v="Assets"/>
    <s v="Cash alike"/>
    <x v="2"/>
    <x v="1"/>
    <x v="0"/>
    <x v="0"/>
    <x v="11"/>
    <x v="4"/>
    <x v="0"/>
    <x v="1"/>
  </r>
  <r>
    <x v="421"/>
    <x v="1"/>
    <s v="GM"/>
    <x v="30"/>
    <x v="11"/>
    <s v="Bank"/>
    <x v="15"/>
    <n v="-1163.4000000000001"/>
    <b v="1"/>
    <n v="-1163.4000000000001"/>
    <x v="0"/>
    <s v="Assets"/>
    <s v="Cash alike"/>
    <x v="1"/>
    <x v="1"/>
    <x v="0"/>
    <x v="0"/>
    <x v="11"/>
    <x v="1"/>
    <x v="0"/>
    <x v="1"/>
  </r>
  <r>
    <x v="422"/>
    <x v="1"/>
    <s v="Brand"/>
    <x v="49"/>
    <x v="11"/>
    <s v="Bank"/>
    <x v="15"/>
    <n v="-7874.41"/>
    <b v="1"/>
    <n v="-7874.41"/>
    <x v="0"/>
    <s v="Assets"/>
    <s v="Cash alike"/>
    <x v="1"/>
    <x v="1"/>
    <x v="0"/>
    <x v="0"/>
    <x v="11"/>
    <x v="3"/>
    <x v="0"/>
    <x v="1"/>
  </r>
  <r>
    <x v="423"/>
    <x v="1"/>
    <s v="MY"/>
    <x v="35"/>
    <x v="11"/>
    <s v="Bank"/>
    <x v="15"/>
    <n v="-2851.8"/>
    <b v="1"/>
    <n v="-2851.8"/>
    <x v="0"/>
    <s v="Assets"/>
    <s v="Cash alike"/>
    <x v="2"/>
    <x v="1"/>
    <x v="0"/>
    <x v="0"/>
    <x v="11"/>
    <x v="4"/>
    <x v="0"/>
    <x v="1"/>
  </r>
  <r>
    <x v="424"/>
    <x v="1"/>
    <s v="MY"/>
    <x v="46"/>
    <x v="11"/>
    <s v="Bank"/>
    <x v="15"/>
    <n v="-300"/>
    <b v="1"/>
    <n v="-300"/>
    <x v="0"/>
    <s v="Assets"/>
    <s v="Cash alike"/>
    <x v="2"/>
    <x v="1"/>
    <x v="0"/>
    <x v="0"/>
    <x v="11"/>
    <x v="4"/>
    <x v="0"/>
    <x v="1"/>
  </r>
  <r>
    <x v="425"/>
    <x v="1"/>
    <s v="MY"/>
    <x v="27"/>
    <x v="11"/>
    <s v="Bank"/>
    <x v="15"/>
    <n v="53"/>
    <b v="1"/>
    <n v="53"/>
    <x v="0"/>
    <s v="Assets"/>
    <s v="Cash alike"/>
    <x v="2"/>
    <x v="1"/>
    <x v="0"/>
    <x v="0"/>
    <x v="11"/>
    <x v="4"/>
    <x v="0"/>
    <x v="1"/>
  </r>
  <r>
    <x v="426"/>
    <x v="1"/>
    <s v="GM"/>
    <x v="30"/>
    <x v="11"/>
    <s v="Bank"/>
    <x v="15"/>
    <n v="-283.74"/>
    <b v="1"/>
    <n v="-283.74"/>
    <x v="0"/>
    <s v="Assets"/>
    <s v="Cash alike"/>
    <x v="1"/>
    <x v="1"/>
    <x v="0"/>
    <x v="0"/>
    <x v="11"/>
    <x v="1"/>
    <x v="0"/>
    <x v="1"/>
  </r>
  <r>
    <x v="427"/>
    <x v="1"/>
    <s v="MY"/>
    <x v="27"/>
    <x v="11"/>
    <s v="Bank"/>
    <x v="15"/>
    <n v="46.8"/>
    <b v="1"/>
    <n v="46.8"/>
    <x v="0"/>
    <s v="Assets"/>
    <s v="Cash alike"/>
    <x v="2"/>
    <x v="1"/>
    <x v="0"/>
    <x v="0"/>
    <x v="11"/>
    <x v="4"/>
    <x v="0"/>
    <x v="1"/>
  </r>
  <r>
    <x v="428"/>
    <x v="1"/>
    <s v="MY"/>
    <x v="36"/>
    <x v="11"/>
    <s v="Bank"/>
    <x v="15"/>
    <n v="-75.900000000000006"/>
    <b v="1"/>
    <n v="-75.900000000000006"/>
    <x v="0"/>
    <s v="Assets"/>
    <s v="Cash alike"/>
    <x v="1"/>
    <x v="1"/>
    <x v="0"/>
    <x v="0"/>
    <x v="11"/>
    <x v="4"/>
    <x v="0"/>
    <x v="1"/>
  </r>
  <r>
    <x v="429"/>
    <x v="1"/>
    <s v="MY"/>
    <x v="59"/>
    <x v="10"/>
    <s v="Bank"/>
    <x v="13"/>
    <n v="-1413"/>
    <b v="1"/>
    <n v="-1413"/>
    <x v="0"/>
    <s v="Assets"/>
    <s v="Cash alike"/>
    <x v="3"/>
    <x v="1"/>
    <x v="0"/>
    <x v="0"/>
    <x v="10"/>
    <x v="4"/>
    <x v="0"/>
    <x v="1"/>
  </r>
  <r>
    <x v="429"/>
    <x v="1"/>
    <s v="MY"/>
    <x v="59"/>
    <x v="7"/>
    <s v="AR"/>
    <x v="68"/>
    <n v="1413"/>
    <b v="1"/>
    <n v="1413"/>
    <x v="0"/>
    <s v="Assets"/>
    <s v="Rec-Pay"/>
    <x v="3"/>
    <x v="1"/>
    <x v="1"/>
    <x v="2"/>
    <x v="7"/>
    <x v="4"/>
    <x v="0"/>
    <x v="1"/>
  </r>
  <r>
    <x v="430"/>
    <x v="1"/>
    <s v="MY"/>
    <x v="23"/>
    <x v="10"/>
    <s v="Bank"/>
    <x v="13"/>
    <n v="500"/>
    <b v="1"/>
    <n v="500"/>
    <x v="0"/>
    <s v="Assets"/>
    <s v="Cash alike"/>
    <x v="3"/>
    <x v="1"/>
    <x v="0"/>
    <x v="0"/>
    <x v="10"/>
    <x v="4"/>
    <x v="0"/>
    <x v="1"/>
  </r>
  <r>
    <x v="431"/>
    <x v="1"/>
    <s v="MY"/>
    <x v="35"/>
    <x v="10"/>
    <s v="Bank"/>
    <x v="13"/>
    <n v="-96"/>
    <b v="1"/>
    <n v="-96"/>
    <x v="0"/>
    <s v="Assets"/>
    <s v="Cash alike"/>
    <x v="2"/>
    <x v="1"/>
    <x v="0"/>
    <x v="0"/>
    <x v="10"/>
    <x v="4"/>
    <x v="0"/>
    <x v="1"/>
  </r>
  <r>
    <x v="432"/>
    <x v="1"/>
    <s v="MY"/>
    <x v="19"/>
    <x v="10"/>
    <s v="Bank"/>
    <x v="13"/>
    <n v="-200"/>
    <b v="1"/>
    <n v="-200"/>
    <x v="0"/>
    <s v="Assets"/>
    <s v="Cash alike"/>
    <x v="1"/>
    <x v="1"/>
    <x v="0"/>
    <x v="0"/>
    <x v="10"/>
    <x v="4"/>
    <x v="0"/>
    <x v="1"/>
  </r>
  <r>
    <x v="433"/>
    <x v="1"/>
    <s v="MY"/>
    <x v="33"/>
    <x v="10"/>
    <s v="Bank"/>
    <x v="13"/>
    <n v="1105"/>
    <b v="1"/>
    <n v="1105"/>
    <x v="0"/>
    <s v="Assets"/>
    <s v="Cash alike"/>
    <x v="3"/>
    <x v="1"/>
    <x v="0"/>
    <x v="0"/>
    <x v="10"/>
    <x v="4"/>
    <x v="0"/>
    <x v="1"/>
  </r>
  <r>
    <x v="433"/>
    <x v="1"/>
    <s v="MY"/>
    <x v="33"/>
    <x v="7"/>
    <s v="AR"/>
    <x v="31"/>
    <n v="-1105"/>
    <b v="1"/>
    <n v="-1105"/>
    <x v="0"/>
    <s v="Assets"/>
    <s v="Rec-Pay"/>
    <x v="3"/>
    <x v="1"/>
    <x v="1"/>
    <x v="2"/>
    <x v="7"/>
    <x v="4"/>
    <x v="0"/>
    <x v="1"/>
  </r>
  <r>
    <x v="434"/>
    <x v="1"/>
    <s v="MY"/>
    <x v="33"/>
    <x v="10"/>
    <s v="Bank"/>
    <x v="13"/>
    <n v="4000"/>
    <b v="1"/>
    <n v="4000"/>
    <x v="0"/>
    <s v="Assets"/>
    <s v="Cash alike"/>
    <x v="3"/>
    <x v="1"/>
    <x v="0"/>
    <x v="0"/>
    <x v="10"/>
    <x v="4"/>
    <x v="0"/>
    <x v="1"/>
  </r>
  <r>
    <x v="434"/>
    <x v="1"/>
    <s v="MY"/>
    <x v="33"/>
    <x v="7"/>
    <s v="AR"/>
    <x v="68"/>
    <n v="-4000"/>
    <b v="1"/>
    <n v="-4000"/>
    <x v="0"/>
    <s v="Assets"/>
    <s v="Rec-Pay"/>
    <x v="3"/>
    <x v="1"/>
    <x v="1"/>
    <x v="2"/>
    <x v="7"/>
    <x v="4"/>
    <x v="0"/>
    <x v="1"/>
  </r>
  <r>
    <x v="435"/>
    <x v="1"/>
    <s v="MY"/>
    <x v="33"/>
    <x v="10"/>
    <s v="Bank"/>
    <x v="13"/>
    <n v="2465"/>
    <b v="1"/>
    <n v="2465"/>
    <x v="0"/>
    <s v="Assets"/>
    <s v="Cash alike"/>
    <x v="3"/>
    <x v="1"/>
    <x v="0"/>
    <x v="0"/>
    <x v="10"/>
    <x v="4"/>
    <x v="0"/>
    <x v="1"/>
  </r>
  <r>
    <x v="435"/>
    <x v="1"/>
    <s v="MY"/>
    <x v="33"/>
    <x v="7"/>
    <s v="AR"/>
    <x v="31"/>
    <n v="-2465"/>
    <b v="1"/>
    <n v="-2465"/>
    <x v="0"/>
    <s v="Assets"/>
    <s v="Rec-Pay"/>
    <x v="3"/>
    <x v="1"/>
    <x v="1"/>
    <x v="2"/>
    <x v="7"/>
    <x v="4"/>
    <x v="0"/>
    <x v="1"/>
  </r>
  <r>
    <x v="436"/>
    <x v="1"/>
    <s v="MY"/>
    <x v="59"/>
    <x v="10"/>
    <s v="Bank"/>
    <x v="13"/>
    <n v="-14820"/>
    <b v="1"/>
    <n v="-14820"/>
    <x v="0"/>
    <s v="Assets"/>
    <s v="Cash alike"/>
    <x v="3"/>
    <x v="1"/>
    <x v="0"/>
    <x v="0"/>
    <x v="10"/>
    <x v="4"/>
    <x v="0"/>
    <x v="1"/>
  </r>
  <r>
    <x v="436"/>
    <x v="1"/>
    <s v="MY"/>
    <x v="59"/>
    <x v="7"/>
    <s v="AR"/>
    <x v="69"/>
    <n v="14820"/>
    <b v="1"/>
    <n v="14820"/>
    <x v="0"/>
    <s v="Assets"/>
    <s v="Rec-Pay"/>
    <x v="3"/>
    <x v="1"/>
    <x v="1"/>
    <x v="2"/>
    <x v="7"/>
    <x v="4"/>
    <x v="0"/>
    <x v="1"/>
  </r>
  <r>
    <x v="437"/>
    <x v="1"/>
    <s v="MY"/>
    <x v="59"/>
    <x v="10"/>
    <s v="Bank"/>
    <x v="13"/>
    <n v="-500"/>
    <b v="1"/>
    <n v="-500"/>
    <x v="0"/>
    <s v="Assets"/>
    <s v="Cash alike"/>
    <x v="3"/>
    <x v="1"/>
    <x v="0"/>
    <x v="0"/>
    <x v="10"/>
    <x v="4"/>
    <x v="0"/>
    <x v="1"/>
  </r>
  <r>
    <x v="437"/>
    <x v="1"/>
    <s v="MY"/>
    <x v="59"/>
    <x v="7"/>
    <s v="AR"/>
    <x v="70"/>
    <n v="500"/>
    <b v="1"/>
    <n v="500"/>
    <x v="0"/>
    <s v="Assets"/>
    <s v="Rec-Pay"/>
    <x v="3"/>
    <x v="1"/>
    <x v="1"/>
    <x v="2"/>
    <x v="7"/>
    <x v="4"/>
    <x v="0"/>
    <x v="1"/>
  </r>
  <r>
    <x v="438"/>
    <x v="1"/>
    <s v="MY"/>
    <x v="59"/>
    <x v="10"/>
    <s v="Bank"/>
    <x v="13"/>
    <n v="-200"/>
    <b v="1"/>
    <n v="-200"/>
    <x v="0"/>
    <s v="Assets"/>
    <s v="Cash alike"/>
    <x v="3"/>
    <x v="1"/>
    <x v="0"/>
    <x v="0"/>
    <x v="10"/>
    <x v="4"/>
    <x v="0"/>
    <x v="1"/>
  </r>
  <r>
    <x v="438"/>
    <x v="1"/>
    <s v="MY"/>
    <x v="59"/>
    <x v="7"/>
    <s v="AR"/>
    <x v="70"/>
    <n v="200"/>
    <b v="1"/>
    <n v="200"/>
    <x v="0"/>
    <s v="Assets"/>
    <s v="Rec-Pay"/>
    <x v="3"/>
    <x v="1"/>
    <x v="1"/>
    <x v="2"/>
    <x v="7"/>
    <x v="4"/>
    <x v="0"/>
    <x v="1"/>
  </r>
  <r>
    <x v="439"/>
    <x v="1"/>
    <s v="GM"/>
    <x v="8"/>
    <x v="10"/>
    <s v="Bank"/>
    <x v="13"/>
    <n v="-7162"/>
    <b v="1"/>
    <n v="-7162"/>
    <x v="0"/>
    <s v="Assets"/>
    <s v="Cash alike"/>
    <x v="1"/>
    <x v="1"/>
    <x v="0"/>
    <x v="0"/>
    <x v="10"/>
    <x v="1"/>
    <x v="0"/>
    <x v="1"/>
  </r>
  <r>
    <x v="439"/>
    <x v="1"/>
    <s v="GM"/>
    <x v="8"/>
    <x v="7"/>
    <s v="ToEmp"/>
    <x v="52"/>
    <n v="-7162"/>
    <b v="1"/>
    <n v="7162"/>
    <x v="1"/>
    <s v="Liability"/>
    <s v="Rec-Pay"/>
    <x v="1"/>
    <x v="1"/>
    <x v="1"/>
    <x v="12"/>
    <x v="7"/>
    <x v="1"/>
    <x v="0"/>
    <x v="1"/>
  </r>
  <r>
    <x v="440"/>
    <x v="1"/>
    <s v="MY"/>
    <x v="33"/>
    <x v="10"/>
    <s v="Bank"/>
    <x v="13"/>
    <n v="758"/>
    <b v="1"/>
    <n v="758"/>
    <x v="0"/>
    <s v="Assets"/>
    <s v="Cash alike"/>
    <x v="3"/>
    <x v="1"/>
    <x v="0"/>
    <x v="0"/>
    <x v="10"/>
    <x v="4"/>
    <x v="0"/>
    <x v="1"/>
  </r>
  <r>
    <x v="440"/>
    <x v="1"/>
    <s v="MY"/>
    <x v="33"/>
    <x v="7"/>
    <s v="AR"/>
    <x v="29"/>
    <n v="-758"/>
    <b v="1"/>
    <n v="-758"/>
    <x v="0"/>
    <s v="Assets"/>
    <s v="Rec-Pay"/>
    <x v="3"/>
    <x v="1"/>
    <x v="1"/>
    <x v="2"/>
    <x v="7"/>
    <x v="4"/>
    <x v="0"/>
    <x v="1"/>
  </r>
  <r>
    <x v="441"/>
    <x v="1"/>
    <s v="MY"/>
    <x v="36"/>
    <x v="10"/>
    <s v="Bank"/>
    <x v="13"/>
    <n v="-44.1"/>
    <b v="1"/>
    <n v="-44.1"/>
    <x v="0"/>
    <s v="Assets"/>
    <s v="Cash alike"/>
    <x v="2"/>
    <x v="1"/>
    <x v="0"/>
    <x v="0"/>
    <x v="10"/>
    <x v="4"/>
    <x v="0"/>
    <x v="1"/>
  </r>
  <r>
    <x v="442"/>
    <x v="1"/>
    <s v="MY"/>
    <x v="36"/>
    <x v="10"/>
    <s v="Bank"/>
    <x v="13"/>
    <n v="-340"/>
    <b v="1"/>
    <n v="-340"/>
    <x v="0"/>
    <s v="Assets"/>
    <s v="Cash alike"/>
    <x v="2"/>
    <x v="1"/>
    <x v="0"/>
    <x v="0"/>
    <x v="10"/>
    <x v="4"/>
    <x v="0"/>
    <x v="1"/>
  </r>
  <r>
    <x v="443"/>
    <x v="1"/>
    <s v="MY"/>
    <x v="33"/>
    <x v="10"/>
    <s v="Bank"/>
    <x v="13"/>
    <n v="5000"/>
    <b v="1"/>
    <n v="5000"/>
    <x v="0"/>
    <s v="Assets"/>
    <s v="Cash alike"/>
    <x v="3"/>
    <x v="1"/>
    <x v="0"/>
    <x v="0"/>
    <x v="10"/>
    <x v="4"/>
    <x v="0"/>
    <x v="1"/>
  </r>
  <r>
    <x v="443"/>
    <x v="1"/>
    <s v="MY"/>
    <x v="33"/>
    <x v="7"/>
    <s v="AR"/>
    <x v="70"/>
    <n v="-5000"/>
    <b v="1"/>
    <n v="-5000"/>
    <x v="0"/>
    <s v="Assets"/>
    <s v="Rec-Pay"/>
    <x v="3"/>
    <x v="1"/>
    <x v="1"/>
    <x v="2"/>
    <x v="7"/>
    <x v="4"/>
    <x v="0"/>
    <x v="1"/>
  </r>
  <r>
    <x v="444"/>
    <x v="1"/>
    <s v="MY"/>
    <x v="33"/>
    <x v="10"/>
    <s v="Bank"/>
    <x v="13"/>
    <n v="1000"/>
    <b v="1"/>
    <n v="1000"/>
    <x v="0"/>
    <s v="Assets"/>
    <s v="Cash alike"/>
    <x v="3"/>
    <x v="1"/>
    <x v="0"/>
    <x v="0"/>
    <x v="10"/>
    <x v="4"/>
    <x v="0"/>
    <x v="1"/>
  </r>
  <r>
    <x v="444"/>
    <x v="1"/>
    <s v="MY"/>
    <x v="33"/>
    <x v="7"/>
    <s v="AR"/>
    <x v="70"/>
    <n v="-1000"/>
    <b v="1"/>
    <n v="-1000"/>
    <x v="0"/>
    <s v="Assets"/>
    <s v="Rec-Pay"/>
    <x v="3"/>
    <x v="1"/>
    <x v="1"/>
    <x v="2"/>
    <x v="7"/>
    <x v="4"/>
    <x v="0"/>
    <x v="1"/>
  </r>
  <r>
    <x v="445"/>
    <x v="1"/>
    <s v="MY"/>
    <x v="59"/>
    <x v="10"/>
    <s v="Bank"/>
    <x v="13"/>
    <n v="-5000"/>
    <b v="1"/>
    <n v="-5000"/>
    <x v="0"/>
    <s v="Assets"/>
    <s v="Cash alike"/>
    <x v="3"/>
    <x v="1"/>
    <x v="0"/>
    <x v="0"/>
    <x v="10"/>
    <x v="4"/>
    <x v="0"/>
    <x v="1"/>
  </r>
  <r>
    <x v="445"/>
    <x v="1"/>
    <s v="MY"/>
    <x v="59"/>
    <x v="7"/>
    <s v="AR"/>
    <x v="70"/>
    <n v="5000"/>
    <b v="1"/>
    <n v="5000"/>
    <x v="0"/>
    <s v="Assets"/>
    <s v="Rec-Pay"/>
    <x v="3"/>
    <x v="1"/>
    <x v="1"/>
    <x v="2"/>
    <x v="7"/>
    <x v="4"/>
    <x v="0"/>
    <x v="1"/>
  </r>
  <r>
    <x v="446"/>
    <x v="1"/>
    <s v="MY"/>
    <x v="33"/>
    <x v="10"/>
    <s v="Bank"/>
    <x v="13"/>
    <n v="1000"/>
    <b v="1"/>
    <n v="1000"/>
    <x v="0"/>
    <s v="Assets"/>
    <s v="Cash alike"/>
    <x v="3"/>
    <x v="1"/>
    <x v="0"/>
    <x v="0"/>
    <x v="10"/>
    <x v="4"/>
    <x v="0"/>
    <x v="1"/>
  </r>
  <r>
    <x v="446"/>
    <x v="1"/>
    <s v="MY"/>
    <x v="33"/>
    <x v="7"/>
    <s v="AR"/>
    <x v="70"/>
    <n v="-1000"/>
    <b v="1"/>
    <n v="-1000"/>
    <x v="0"/>
    <s v="Assets"/>
    <s v="Rec-Pay"/>
    <x v="3"/>
    <x v="1"/>
    <x v="1"/>
    <x v="2"/>
    <x v="7"/>
    <x v="4"/>
    <x v="0"/>
    <x v="1"/>
  </r>
  <r>
    <x v="447"/>
    <x v="1"/>
    <s v="MY"/>
    <x v="33"/>
    <x v="10"/>
    <s v="Bank"/>
    <x v="13"/>
    <n v="484"/>
    <b v="1"/>
    <n v="484"/>
    <x v="0"/>
    <s v="Assets"/>
    <s v="Cash alike"/>
    <x v="3"/>
    <x v="1"/>
    <x v="0"/>
    <x v="0"/>
    <x v="10"/>
    <x v="4"/>
    <x v="0"/>
    <x v="1"/>
  </r>
  <r>
    <x v="447"/>
    <x v="1"/>
    <s v="MY"/>
    <x v="33"/>
    <x v="7"/>
    <s v="AR"/>
    <x v="68"/>
    <n v="-484"/>
    <b v="1"/>
    <n v="-484"/>
    <x v="0"/>
    <s v="Assets"/>
    <s v="Rec-Pay"/>
    <x v="3"/>
    <x v="1"/>
    <x v="1"/>
    <x v="2"/>
    <x v="7"/>
    <x v="4"/>
    <x v="0"/>
    <x v="1"/>
  </r>
  <r>
    <x v="448"/>
    <x v="1"/>
    <s v="MY"/>
    <x v="33"/>
    <x v="10"/>
    <s v="Bank"/>
    <x v="13"/>
    <n v="3600"/>
    <b v="1"/>
    <n v="3600"/>
    <x v="0"/>
    <s v="Assets"/>
    <s v="Cash alike"/>
    <x v="3"/>
    <x v="1"/>
    <x v="0"/>
    <x v="0"/>
    <x v="10"/>
    <x v="4"/>
    <x v="0"/>
    <x v="1"/>
  </r>
  <r>
    <x v="448"/>
    <x v="1"/>
    <s v="MY"/>
    <x v="33"/>
    <x v="7"/>
    <s v="AR"/>
    <x v="26"/>
    <n v="-3600"/>
    <b v="1"/>
    <n v="-3600"/>
    <x v="0"/>
    <s v="Assets"/>
    <s v="Rec-Pay"/>
    <x v="3"/>
    <x v="1"/>
    <x v="1"/>
    <x v="2"/>
    <x v="7"/>
    <x v="4"/>
    <x v="0"/>
    <x v="1"/>
  </r>
  <r>
    <x v="449"/>
    <x v="1"/>
    <s v="MY"/>
    <x v="35"/>
    <x v="10"/>
    <s v="Bank"/>
    <x v="13"/>
    <n v="-159"/>
    <b v="1"/>
    <n v="-159"/>
    <x v="0"/>
    <s v="Assets"/>
    <s v="Cash alike"/>
    <x v="2"/>
    <x v="1"/>
    <x v="0"/>
    <x v="0"/>
    <x v="10"/>
    <x v="4"/>
    <x v="0"/>
    <x v="1"/>
  </r>
  <r>
    <x v="450"/>
    <x v="1"/>
    <s v="MY"/>
    <x v="18"/>
    <x v="10"/>
    <s v="Bank"/>
    <x v="13"/>
    <n v="-2027"/>
    <b v="1"/>
    <n v="-2027"/>
    <x v="0"/>
    <s v="Assets"/>
    <s v="Cash alike"/>
    <x v="1"/>
    <x v="1"/>
    <x v="0"/>
    <x v="0"/>
    <x v="10"/>
    <x v="4"/>
    <x v="0"/>
    <x v="1"/>
  </r>
  <r>
    <x v="451"/>
    <x v="1"/>
    <s v="MY"/>
    <x v="59"/>
    <x v="10"/>
    <s v="Bank"/>
    <x v="13"/>
    <n v="-900"/>
    <b v="1"/>
    <n v="-900"/>
    <x v="0"/>
    <s v="Assets"/>
    <s v="Cash alike"/>
    <x v="3"/>
    <x v="1"/>
    <x v="0"/>
    <x v="0"/>
    <x v="10"/>
    <x v="4"/>
    <x v="0"/>
    <x v="1"/>
  </r>
  <r>
    <x v="451"/>
    <x v="1"/>
    <s v="MY"/>
    <x v="59"/>
    <x v="7"/>
    <s v="AR"/>
    <x v="68"/>
    <n v="900"/>
    <b v="1"/>
    <n v="900"/>
    <x v="0"/>
    <s v="Assets"/>
    <s v="Rec-Pay"/>
    <x v="3"/>
    <x v="1"/>
    <x v="1"/>
    <x v="2"/>
    <x v="7"/>
    <x v="4"/>
    <x v="0"/>
    <x v="1"/>
  </r>
  <r>
    <x v="452"/>
    <x v="1"/>
    <s v="MY"/>
    <x v="46"/>
    <x v="10"/>
    <s v="Bank"/>
    <x v="13"/>
    <n v="-164"/>
    <b v="1"/>
    <n v="-164"/>
    <x v="0"/>
    <s v="Assets"/>
    <s v="Cash alike"/>
    <x v="2"/>
    <x v="1"/>
    <x v="0"/>
    <x v="0"/>
    <x v="10"/>
    <x v="4"/>
    <x v="0"/>
    <x v="1"/>
  </r>
  <r>
    <x v="453"/>
    <x v="1"/>
    <s v="MY"/>
    <x v="59"/>
    <x v="10"/>
    <s v="Bank"/>
    <x v="13"/>
    <n v="-278"/>
    <b v="1"/>
    <n v="-278"/>
    <x v="0"/>
    <s v="Assets"/>
    <s v="Cash alike"/>
    <x v="3"/>
    <x v="1"/>
    <x v="0"/>
    <x v="0"/>
    <x v="10"/>
    <x v="4"/>
    <x v="0"/>
    <x v="1"/>
  </r>
  <r>
    <x v="453"/>
    <x v="1"/>
    <s v="MY"/>
    <x v="59"/>
    <x v="7"/>
    <s v="AR"/>
    <x v="29"/>
    <n v="278"/>
    <b v="1"/>
    <n v="278"/>
    <x v="0"/>
    <s v="Assets"/>
    <s v="Rec-Pay"/>
    <x v="3"/>
    <x v="1"/>
    <x v="1"/>
    <x v="2"/>
    <x v="7"/>
    <x v="4"/>
    <x v="0"/>
    <x v="1"/>
  </r>
  <r>
    <x v="454"/>
    <x v="1"/>
    <s v="GM"/>
    <x v="17"/>
    <x v="10"/>
    <s v="Bank"/>
    <x v="13"/>
    <n v="-400"/>
    <b v="1"/>
    <n v="-400"/>
    <x v="0"/>
    <s v="Assets"/>
    <s v="Cash alike"/>
    <x v="1"/>
    <x v="1"/>
    <x v="0"/>
    <x v="0"/>
    <x v="10"/>
    <x v="1"/>
    <x v="0"/>
    <x v="1"/>
  </r>
  <r>
    <x v="455"/>
    <x v="1"/>
    <s v="MY"/>
    <x v="33"/>
    <x v="10"/>
    <s v="Bank"/>
    <x v="13"/>
    <n v="5000"/>
    <b v="1"/>
    <n v="5000"/>
    <x v="0"/>
    <s v="Assets"/>
    <s v="Cash alike"/>
    <x v="3"/>
    <x v="1"/>
    <x v="0"/>
    <x v="0"/>
    <x v="10"/>
    <x v="4"/>
    <x v="0"/>
    <x v="1"/>
  </r>
  <r>
    <x v="455"/>
    <x v="1"/>
    <s v="MY"/>
    <x v="33"/>
    <x v="7"/>
    <s v="AR"/>
    <x v="70"/>
    <n v="-5000"/>
    <b v="1"/>
    <n v="-5000"/>
    <x v="0"/>
    <s v="Assets"/>
    <s v="Rec-Pay"/>
    <x v="3"/>
    <x v="1"/>
    <x v="1"/>
    <x v="2"/>
    <x v="7"/>
    <x v="4"/>
    <x v="0"/>
    <x v="1"/>
  </r>
  <r>
    <x v="456"/>
    <x v="1"/>
    <s v="MY"/>
    <x v="35"/>
    <x v="10"/>
    <s v="Bank"/>
    <x v="13"/>
    <n v="-7110"/>
    <b v="1"/>
    <n v="-7110"/>
    <x v="0"/>
    <s v="Assets"/>
    <s v="Cash alike"/>
    <x v="2"/>
    <x v="1"/>
    <x v="0"/>
    <x v="0"/>
    <x v="10"/>
    <x v="4"/>
    <x v="0"/>
    <x v="1"/>
  </r>
  <r>
    <x v="457"/>
    <x v="1"/>
    <s v="MY"/>
    <x v="3"/>
    <x v="10"/>
    <s v="Bank"/>
    <x v="13"/>
    <n v="-453.9"/>
    <b v="1"/>
    <n v="-453.9"/>
    <x v="0"/>
    <s v="Assets"/>
    <s v="Cash alike"/>
    <x v="1"/>
    <x v="1"/>
    <x v="0"/>
    <x v="0"/>
    <x v="10"/>
    <x v="4"/>
    <x v="0"/>
    <x v="1"/>
  </r>
  <r>
    <x v="458"/>
    <x v="1"/>
    <s v="GM"/>
    <x v="17"/>
    <x v="10"/>
    <s v="Bank"/>
    <x v="13"/>
    <n v="400"/>
    <b v="1"/>
    <n v="400"/>
    <x v="0"/>
    <s v="Assets"/>
    <s v="Cash alike"/>
    <x v="1"/>
    <x v="1"/>
    <x v="0"/>
    <x v="0"/>
    <x v="10"/>
    <x v="1"/>
    <x v="0"/>
    <x v="1"/>
  </r>
  <r>
    <x v="459"/>
    <x v="1"/>
    <s v="MY"/>
    <x v="23"/>
    <x v="10"/>
    <s v="Bank"/>
    <x v="13"/>
    <n v="5"/>
    <b v="1"/>
    <n v="5"/>
    <x v="0"/>
    <s v="Assets"/>
    <s v="Cash alike"/>
    <x v="3"/>
    <x v="1"/>
    <x v="0"/>
    <x v="0"/>
    <x v="10"/>
    <x v="4"/>
    <x v="0"/>
    <x v="1"/>
  </r>
  <r>
    <x v="460"/>
    <x v="1"/>
    <s v="MY"/>
    <x v="3"/>
    <x v="10"/>
    <s v="Bank"/>
    <x v="13"/>
    <n v="-145.5"/>
    <b v="1"/>
    <n v="-145.5"/>
    <x v="0"/>
    <s v="Assets"/>
    <s v="Cash alike"/>
    <x v="1"/>
    <x v="1"/>
    <x v="0"/>
    <x v="0"/>
    <x v="10"/>
    <x v="4"/>
    <x v="0"/>
    <x v="1"/>
  </r>
  <r>
    <x v="461"/>
    <x v="1"/>
    <s v="MY"/>
    <x v="36"/>
    <x v="10"/>
    <s v="Bank"/>
    <x v="13"/>
    <n v="-90"/>
    <b v="1"/>
    <n v="-90"/>
    <x v="0"/>
    <s v="Assets"/>
    <s v="Cash alike"/>
    <x v="2"/>
    <x v="1"/>
    <x v="0"/>
    <x v="0"/>
    <x v="10"/>
    <x v="4"/>
    <x v="0"/>
    <x v="1"/>
  </r>
  <r>
    <x v="462"/>
    <x v="1"/>
    <s v="MY"/>
    <x v="33"/>
    <x v="10"/>
    <s v="Bank"/>
    <x v="13"/>
    <n v="3720"/>
    <b v="1"/>
    <n v="3720"/>
    <x v="0"/>
    <s v="Assets"/>
    <s v="Cash alike"/>
    <x v="3"/>
    <x v="1"/>
    <x v="0"/>
    <x v="0"/>
    <x v="10"/>
    <x v="4"/>
    <x v="0"/>
    <x v="1"/>
  </r>
  <r>
    <x v="462"/>
    <x v="1"/>
    <s v="MY"/>
    <x v="33"/>
    <x v="7"/>
    <s v="AR"/>
    <x v="29"/>
    <n v="-3720"/>
    <b v="1"/>
    <n v="-3720"/>
    <x v="0"/>
    <s v="Assets"/>
    <s v="Rec-Pay"/>
    <x v="3"/>
    <x v="1"/>
    <x v="1"/>
    <x v="2"/>
    <x v="7"/>
    <x v="4"/>
    <x v="0"/>
    <x v="1"/>
  </r>
  <r>
    <x v="463"/>
    <x v="1"/>
    <s v="MY"/>
    <x v="60"/>
    <x v="10"/>
    <s v="Bank"/>
    <x v="13"/>
    <n v="-2000"/>
    <b v="1"/>
    <n v="-2000"/>
    <x v="0"/>
    <s v="Assets"/>
    <s v="Cash alike"/>
    <x v="2"/>
    <x v="1"/>
    <x v="0"/>
    <x v="0"/>
    <x v="10"/>
    <x v="4"/>
    <x v="0"/>
    <x v="1"/>
  </r>
  <r>
    <x v="464"/>
    <x v="1"/>
    <s v="MY"/>
    <x v="36"/>
    <x v="10"/>
    <s v="Bank"/>
    <x v="13"/>
    <n v="-120"/>
    <b v="1"/>
    <n v="-120"/>
    <x v="0"/>
    <s v="Assets"/>
    <s v="Cash alike"/>
    <x v="2"/>
    <x v="1"/>
    <x v="0"/>
    <x v="0"/>
    <x v="10"/>
    <x v="4"/>
    <x v="0"/>
    <x v="1"/>
  </r>
  <r>
    <x v="465"/>
    <x v="1"/>
    <s v="MY"/>
    <x v="7"/>
    <x v="10"/>
    <s v="Bank"/>
    <x v="13"/>
    <n v="-100000"/>
    <b v="1"/>
    <n v="-100000"/>
    <x v="0"/>
    <s v="Assets"/>
    <s v="Cash alike"/>
    <x v="0"/>
    <x v="0"/>
    <x v="0"/>
    <x v="0"/>
    <x v="10"/>
    <x v="4"/>
    <x v="0"/>
    <x v="1"/>
  </r>
  <r>
    <x v="465"/>
    <x v="1"/>
    <s v="MY"/>
    <x v="7"/>
    <x v="9"/>
    <s v="Bank"/>
    <x v="12"/>
    <n v="100000"/>
    <b v="1"/>
    <n v="100000"/>
    <x v="0"/>
    <s v="Assets"/>
    <s v="Cash alike"/>
    <x v="0"/>
    <x v="0"/>
    <x v="0"/>
    <x v="0"/>
    <x v="9"/>
    <x v="4"/>
    <x v="0"/>
    <x v="1"/>
  </r>
  <r>
    <x v="466"/>
    <x v="1"/>
    <s v="MY"/>
    <x v="13"/>
    <x v="10"/>
    <s v="Bank"/>
    <x v="13"/>
    <n v="-100"/>
    <b v="1"/>
    <n v="-100"/>
    <x v="0"/>
    <s v="Assets"/>
    <s v="Cash alike"/>
    <x v="1"/>
    <x v="1"/>
    <x v="0"/>
    <x v="0"/>
    <x v="10"/>
    <x v="4"/>
    <x v="0"/>
    <x v="1"/>
  </r>
  <r>
    <x v="467"/>
    <x v="1"/>
    <s v="MY"/>
    <x v="33"/>
    <x v="10"/>
    <s v="Bank"/>
    <x v="13"/>
    <n v="162.4"/>
    <b v="1"/>
    <n v="162.4"/>
    <x v="0"/>
    <s v="Assets"/>
    <s v="Cash alike"/>
    <x v="3"/>
    <x v="1"/>
    <x v="0"/>
    <x v="0"/>
    <x v="10"/>
    <x v="4"/>
    <x v="0"/>
    <x v="1"/>
  </r>
  <r>
    <x v="467"/>
    <x v="1"/>
    <s v="MY"/>
    <x v="33"/>
    <x v="7"/>
    <s v="AR"/>
    <x v="31"/>
    <n v="-162.4"/>
    <b v="1"/>
    <n v="-162.4"/>
    <x v="0"/>
    <s v="Assets"/>
    <s v="Rec-Pay"/>
    <x v="3"/>
    <x v="1"/>
    <x v="1"/>
    <x v="2"/>
    <x v="7"/>
    <x v="4"/>
    <x v="0"/>
    <x v="1"/>
  </r>
  <r>
    <x v="468"/>
    <x v="1"/>
    <s v="MY"/>
    <x v="33"/>
    <x v="10"/>
    <s v="Bank"/>
    <x v="13"/>
    <n v="1000"/>
    <b v="1"/>
    <n v="1000"/>
    <x v="0"/>
    <s v="Assets"/>
    <s v="Cash alike"/>
    <x v="3"/>
    <x v="1"/>
    <x v="0"/>
    <x v="0"/>
    <x v="10"/>
    <x v="4"/>
    <x v="0"/>
    <x v="1"/>
  </r>
  <r>
    <x v="468"/>
    <x v="1"/>
    <s v="MY"/>
    <x v="33"/>
    <x v="7"/>
    <s v="AR"/>
    <x v="70"/>
    <n v="-1000"/>
    <b v="1"/>
    <n v="-1000"/>
    <x v="0"/>
    <s v="Assets"/>
    <s v="Rec-Pay"/>
    <x v="3"/>
    <x v="1"/>
    <x v="1"/>
    <x v="2"/>
    <x v="7"/>
    <x v="4"/>
    <x v="0"/>
    <x v="1"/>
  </r>
  <r>
    <x v="469"/>
    <x v="1"/>
    <s v="MY"/>
    <x v="33"/>
    <x v="10"/>
    <s v="Bank"/>
    <x v="13"/>
    <n v="409"/>
    <b v="1"/>
    <n v="409"/>
    <x v="0"/>
    <s v="Assets"/>
    <s v="Cash alike"/>
    <x v="3"/>
    <x v="1"/>
    <x v="0"/>
    <x v="0"/>
    <x v="10"/>
    <x v="4"/>
    <x v="0"/>
    <x v="1"/>
  </r>
  <r>
    <x v="469"/>
    <x v="1"/>
    <s v="MY"/>
    <x v="33"/>
    <x v="7"/>
    <s v="AR"/>
    <x v="29"/>
    <n v="-409"/>
    <b v="1"/>
    <n v="-409"/>
    <x v="0"/>
    <s v="Assets"/>
    <s v="Rec-Pay"/>
    <x v="3"/>
    <x v="1"/>
    <x v="1"/>
    <x v="2"/>
    <x v="7"/>
    <x v="4"/>
    <x v="0"/>
    <x v="1"/>
  </r>
  <r>
    <x v="470"/>
    <x v="1"/>
    <s v="MY"/>
    <x v="59"/>
    <x v="10"/>
    <s v="Bank"/>
    <x v="14"/>
    <n v="-1500"/>
    <b v="1"/>
    <n v="-1500"/>
    <x v="0"/>
    <s v="Assets"/>
    <s v="Cash alike"/>
    <x v="3"/>
    <x v="1"/>
    <x v="0"/>
    <x v="0"/>
    <x v="10"/>
    <x v="4"/>
    <x v="0"/>
    <x v="1"/>
  </r>
  <r>
    <x v="470"/>
    <x v="1"/>
    <s v="MY"/>
    <x v="59"/>
    <x v="7"/>
    <s v="AR"/>
    <x v="70"/>
    <n v="1500"/>
    <b v="1"/>
    <n v="1500"/>
    <x v="0"/>
    <s v="Assets"/>
    <s v="Rec-Pay"/>
    <x v="3"/>
    <x v="1"/>
    <x v="1"/>
    <x v="2"/>
    <x v="7"/>
    <x v="4"/>
    <x v="0"/>
    <x v="1"/>
  </r>
  <r>
    <x v="471"/>
    <x v="1"/>
    <s v="MY"/>
    <x v="59"/>
    <x v="10"/>
    <s v="Bank"/>
    <x v="14"/>
    <n v="-400"/>
    <b v="1"/>
    <n v="-400"/>
    <x v="0"/>
    <s v="Assets"/>
    <s v="Cash alike"/>
    <x v="3"/>
    <x v="1"/>
    <x v="0"/>
    <x v="0"/>
    <x v="10"/>
    <x v="4"/>
    <x v="0"/>
    <x v="1"/>
  </r>
  <r>
    <x v="471"/>
    <x v="1"/>
    <s v="MY"/>
    <x v="59"/>
    <x v="7"/>
    <s v="AR"/>
    <x v="70"/>
    <n v="400"/>
    <b v="1"/>
    <n v="400"/>
    <x v="0"/>
    <s v="Assets"/>
    <s v="Rec-Pay"/>
    <x v="3"/>
    <x v="1"/>
    <x v="1"/>
    <x v="2"/>
    <x v="7"/>
    <x v="4"/>
    <x v="0"/>
    <x v="1"/>
  </r>
  <r>
    <x v="472"/>
    <x v="1"/>
    <s v="MY"/>
    <x v="61"/>
    <x v="10"/>
    <s v="Bank"/>
    <x v="14"/>
    <n v="-275"/>
    <b v="1"/>
    <n v="-275"/>
    <x v="0"/>
    <s v="Assets"/>
    <s v="Cash alike"/>
    <x v="0"/>
    <x v="0"/>
    <x v="0"/>
    <x v="0"/>
    <x v="10"/>
    <x v="4"/>
    <x v="0"/>
    <x v="1"/>
  </r>
  <r>
    <x v="473"/>
    <x v="1"/>
    <s v="MY"/>
    <x v="59"/>
    <x v="10"/>
    <s v="Bank"/>
    <x v="14"/>
    <n v="-129.04"/>
    <b v="1"/>
    <n v="-129.04"/>
    <x v="0"/>
    <s v="Assets"/>
    <s v="Cash alike"/>
    <x v="3"/>
    <x v="1"/>
    <x v="0"/>
    <x v="0"/>
    <x v="10"/>
    <x v="4"/>
    <x v="0"/>
    <x v="1"/>
  </r>
  <r>
    <x v="473"/>
    <x v="1"/>
    <s v="MY"/>
    <x v="59"/>
    <x v="7"/>
    <s v="AR"/>
    <x v="68"/>
    <n v="129.04"/>
    <b v="1"/>
    <n v="129.04"/>
    <x v="0"/>
    <s v="Assets"/>
    <s v="Rec-Pay"/>
    <x v="3"/>
    <x v="1"/>
    <x v="1"/>
    <x v="2"/>
    <x v="7"/>
    <x v="4"/>
    <x v="0"/>
    <x v="1"/>
  </r>
  <r>
    <x v="474"/>
    <x v="1"/>
    <s v="MY"/>
    <x v="33"/>
    <x v="7"/>
    <s v="AR"/>
    <x v="70"/>
    <n v="-200"/>
    <b v="1"/>
    <n v="-200"/>
    <x v="0"/>
    <s v="Assets"/>
    <s v="Rec-Pay"/>
    <x v="3"/>
    <x v="1"/>
    <x v="1"/>
    <x v="2"/>
    <x v="7"/>
    <x v="4"/>
    <x v="0"/>
    <x v="1"/>
  </r>
  <r>
    <x v="474"/>
    <x v="1"/>
    <s v="MY"/>
    <x v="33"/>
    <x v="10"/>
    <s v="Bank"/>
    <x v="14"/>
    <n v="200"/>
    <b v="1"/>
    <n v="200"/>
    <x v="0"/>
    <s v="Assets"/>
    <s v="Cash alike"/>
    <x v="3"/>
    <x v="1"/>
    <x v="0"/>
    <x v="0"/>
    <x v="10"/>
    <x v="4"/>
    <x v="0"/>
    <x v="1"/>
  </r>
  <r>
    <x v="475"/>
    <x v="1"/>
    <s v="MY"/>
    <x v="33"/>
    <x v="7"/>
    <s v="MemShip"/>
    <x v="57"/>
    <n v="980"/>
    <b v="1"/>
    <n v="-980"/>
    <x v="1"/>
    <s v="Liability"/>
    <s v="Cash alike"/>
    <x v="3"/>
    <x v="1"/>
    <x v="0"/>
    <x v="14"/>
    <x v="7"/>
    <x v="4"/>
    <x v="0"/>
    <x v="1"/>
  </r>
  <r>
    <x v="475"/>
    <x v="1"/>
    <s v="MY"/>
    <x v="33"/>
    <x v="10"/>
    <s v="Bank"/>
    <x v="14"/>
    <n v="980"/>
    <b v="1"/>
    <n v="980"/>
    <x v="0"/>
    <s v="Assets"/>
    <s v="Cash alike"/>
    <x v="3"/>
    <x v="1"/>
    <x v="0"/>
    <x v="0"/>
    <x v="10"/>
    <x v="4"/>
    <x v="0"/>
    <x v="1"/>
  </r>
  <r>
    <x v="476"/>
    <x v="1"/>
    <s v="MY"/>
    <x v="33"/>
    <x v="7"/>
    <s v="Bank"/>
    <x v="10"/>
    <n v="22937"/>
    <b v="1"/>
    <n v="22937"/>
    <x v="0"/>
    <s v="Assets"/>
    <s v="Cash alike"/>
    <x v="3"/>
    <x v="1"/>
    <x v="0"/>
    <x v="0"/>
    <x v="7"/>
    <x v="4"/>
    <x v="0"/>
    <x v="1"/>
  </r>
  <r>
    <x v="476"/>
    <x v="1"/>
    <s v="MY"/>
    <x v="33"/>
    <x v="7"/>
    <s v="AR"/>
    <x v="30"/>
    <n v="-22937"/>
    <b v="1"/>
    <n v="-22937"/>
    <x v="0"/>
    <s v="Assets"/>
    <s v="Rec-Pay"/>
    <x v="3"/>
    <x v="1"/>
    <x v="1"/>
    <x v="2"/>
    <x v="7"/>
    <x v="4"/>
    <x v="0"/>
    <x v="1"/>
  </r>
  <r>
    <x v="477"/>
    <x v="1"/>
    <s v="Online"/>
    <x v="10"/>
    <x v="7"/>
    <s v="Bank"/>
    <x v="10"/>
    <n v="13458.45"/>
    <b v="1"/>
    <n v="13458.45"/>
    <x v="0"/>
    <s v="Assets"/>
    <s v="Cash alike"/>
    <x v="3"/>
    <x v="1"/>
    <x v="0"/>
    <x v="0"/>
    <x v="7"/>
    <x v="2"/>
    <x v="0"/>
    <x v="1"/>
  </r>
  <r>
    <x v="478"/>
    <x v="1"/>
    <s v="MY"/>
    <x v="23"/>
    <x v="9"/>
    <s v="Bank"/>
    <x v="12"/>
    <n v="14.9"/>
    <b v="1"/>
    <n v="14.9"/>
    <x v="0"/>
    <s v="Assets"/>
    <s v="Cash alike"/>
    <x v="3"/>
    <x v="1"/>
    <x v="0"/>
    <x v="0"/>
    <x v="9"/>
    <x v="4"/>
    <x v="0"/>
    <x v="1"/>
  </r>
  <r>
    <x v="479"/>
    <x v="1"/>
    <s v="GM"/>
    <x v="6"/>
    <x v="8"/>
    <s v="Bank"/>
    <x v="11"/>
    <n v="-274.27999999999997"/>
    <b v="1"/>
    <n v="-274.27999999999997"/>
    <x v="0"/>
    <s v="Assets"/>
    <s v="Cash alike"/>
    <x v="1"/>
    <x v="1"/>
    <x v="0"/>
    <x v="0"/>
    <x v="8"/>
    <x v="1"/>
    <x v="0"/>
    <x v="1"/>
  </r>
  <r>
    <x v="480"/>
    <x v="1"/>
    <s v="MY"/>
    <x v="28"/>
    <x v="9"/>
    <s v="Bank"/>
    <x v="12"/>
    <n v="-25204.7"/>
    <b v="1"/>
    <n v="-25204.7"/>
    <x v="0"/>
    <s v="Assets"/>
    <s v="Cash alike"/>
    <x v="0"/>
    <x v="0"/>
    <x v="0"/>
    <x v="0"/>
    <x v="9"/>
    <x v="4"/>
    <x v="0"/>
    <x v="1"/>
  </r>
  <r>
    <x v="480"/>
    <x v="1"/>
    <s v="MY"/>
    <x v="28"/>
    <x v="7"/>
    <s v="AP"/>
    <x v="59"/>
    <n v="-25204.7"/>
    <b v="1"/>
    <n v="25204.7"/>
    <x v="1"/>
    <s v="Liability"/>
    <s v="Rec-Pay"/>
    <x v="0"/>
    <x v="0"/>
    <x v="1"/>
    <x v="10"/>
    <x v="7"/>
    <x v="4"/>
    <x v="0"/>
    <x v="1"/>
  </r>
  <r>
    <x v="481"/>
    <x v="1"/>
    <s v="MY"/>
    <x v="10"/>
    <x v="7"/>
    <s v="AR"/>
    <x v="25"/>
    <n v="49931.55"/>
    <b v="1"/>
    <n v="49931.55"/>
    <x v="0"/>
    <s v="Assets"/>
    <s v="Rec-Pay"/>
    <x v="3"/>
    <x v="1"/>
    <x v="1"/>
    <x v="2"/>
    <x v="7"/>
    <x v="4"/>
    <x v="0"/>
    <x v="1"/>
  </r>
  <r>
    <x v="482"/>
    <x v="1"/>
    <s v="MY"/>
    <x v="56"/>
    <x v="7"/>
    <s v="AR"/>
    <x v="28"/>
    <n v="9205.5"/>
    <b v="1"/>
    <n v="9205.5"/>
    <x v="0"/>
    <s v="Assets"/>
    <s v="Rec-Pay"/>
    <x v="3"/>
    <x v="1"/>
    <x v="1"/>
    <x v="2"/>
    <x v="7"/>
    <x v="4"/>
    <x v="0"/>
    <x v="1"/>
  </r>
  <r>
    <x v="482"/>
    <x v="1"/>
    <s v="MY"/>
    <x v="56"/>
    <x v="7"/>
    <s v="AR"/>
    <x v="27"/>
    <n v="20245.97"/>
    <b v="1"/>
    <n v="20245.97"/>
    <x v="0"/>
    <s v="Assets"/>
    <s v="Rec-Pay"/>
    <x v="3"/>
    <x v="1"/>
    <x v="1"/>
    <x v="2"/>
    <x v="7"/>
    <x v="4"/>
    <x v="0"/>
    <x v="1"/>
  </r>
  <r>
    <x v="482"/>
    <x v="1"/>
    <s v="MY"/>
    <x v="56"/>
    <x v="7"/>
    <s v="AR"/>
    <x v="68"/>
    <n v="11013.77"/>
    <b v="1"/>
    <n v="11013.77"/>
    <x v="0"/>
    <s v="Assets"/>
    <s v="Rec-Pay"/>
    <x v="3"/>
    <x v="1"/>
    <x v="1"/>
    <x v="2"/>
    <x v="7"/>
    <x v="4"/>
    <x v="0"/>
    <x v="1"/>
  </r>
  <r>
    <x v="483"/>
    <x v="1"/>
    <s v="MY"/>
    <x v="40"/>
    <x v="7"/>
    <s v="AR"/>
    <x v="26"/>
    <n v="8300"/>
    <b v="1"/>
    <n v="8300"/>
    <x v="0"/>
    <s v="Assets"/>
    <s v="Rec-Pay"/>
    <x v="3"/>
    <x v="1"/>
    <x v="1"/>
    <x v="2"/>
    <x v="7"/>
    <x v="4"/>
    <x v="0"/>
    <x v="1"/>
  </r>
  <r>
    <x v="483"/>
    <x v="1"/>
    <s v="MY"/>
    <x v="40"/>
    <x v="7"/>
    <s v="AR"/>
    <x v="27"/>
    <n v="32476.36"/>
    <b v="1"/>
    <n v="32476.36"/>
    <x v="0"/>
    <s v="Assets"/>
    <s v="Rec-Pay"/>
    <x v="3"/>
    <x v="1"/>
    <x v="1"/>
    <x v="2"/>
    <x v="7"/>
    <x v="4"/>
    <x v="0"/>
    <x v="1"/>
  </r>
  <r>
    <x v="483"/>
    <x v="1"/>
    <s v="MY"/>
    <x v="40"/>
    <x v="7"/>
    <s v="MemShip"/>
    <x v="57"/>
    <n v="-5055"/>
    <b v="1"/>
    <n v="5055"/>
    <x v="1"/>
    <s v="Liability"/>
    <s v="Cash alike"/>
    <x v="3"/>
    <x v="1"/>
    <x v="0"/>
    <x v="14"/>
    <x v="7"/>
    <x v="4"/>
    <x v="0"/>
    <x v="1"/>
  </r>
  <r>
    <x v="484"/>
    <x v="1"/>
    <s v="MY"/>
    <x v="62"/>
    <x v="7"/>
    <s v="AR"/>
    <x v="71"/>
    <n v="34014.42"/>
    <b v="1"/>
    <n v="34014.42"/>
    <x v="0"/>
    <s v="Assets"/>
    <s v="Rec-Pay"/>
    <x v="3"/>
    <x v="1"/>
    <x v="1"/>
    <x v="2"/>
    <x v="7"/>
    <x v="4"/>
    <x v="0"/>
    <x v="1"/>
  </r>
  <r>
    <x v="485"/>
    <x v="1"/>
    <s v="Ctrl"/>
    <x v="1"/>
    <x v="7"/>
    <s v="AR"/>
    <x v="30"/>
    <n v="-0.1"/>
    <b v="1"/>
    <n v="-0.1"/>
    <x v="0"/>
    <s v="Assets"/>
    <s v="Rec-Pay"/>
    <x v="0"/>
    <x v="0"/>
    <x v="1"/>
    <x v="2"/>
    <x v="7"/>
    <x v="0"/>
    <x v="0"/>
    <x v="1"/>
  </r>
  <r>
    <x v="486"/>
    <x v="1"/>
    <s v="MY"/>
    <x v="62"/>
    <x v="7"/>
    <s v="AR"/>
    <x v="30"/>
    <n v="4014.4"/>
    <b v="1"/>
    <n v="4014.4"/>
    <x v="0"/>
    <s v="Assets"/>
    <s v="Rec-Pay"/>
    <x v="3"/>
    <x v="1"/>
    <x v="1"/>
    <x v="2"/>
    <x v="7"/>
    <x v="4"/>
    <x v="0"/>
    <x v="1"/>
  </r>
  <r>
    <x v="487"/>
    <x v="1"/>
    <s v="MY"/>
    <x v="56"/>
    <x v="7"/>
    <s v="AR"/>
    <x v="69"/>
    <n v="25984.6"/>
    <b v="1"/>
    <n v="25984.6"/>
    <x v="0"/>
    <s v="Assets"/>
    <s v="Rec-Pay"/>
    <x v="3"/>
    <x v="1"/>
    <x v="1"/>
    <x v="2"/>
    <x v="7"/>
    <x v="4"/>
    <x v="0"/>
    <x v="1"/>
  </r>
  <r>
    <x v="488"/>
    <x v="1"/>
    <s v="MY"/>
    <x v="40"/>
    <x v="7"/>
    <s v="AR"/>
    <x v="69"/>
    <n v="31249"/>
    <b v="1"/>
    <n v="31249"/>
    <x v="0"/>
    <s v="Assets"/>
    <s v="Rec-Pay"/>
    <x v="3"/>
    <x v="1"/>
    <x v="1"/>
    <x v="2"/>
    <x v="7"/>
    <x v="4"/>
    <x v="0"/>
    <x v="1"/>
  </r>
  <r>
    <x v="489"/>
    <x v="1"/>
    <s v="MY"/>
    <x v="62"/>
    <x v="7"/>
    <s v="AR"/>
    <x v="69"/>
    <n v="5533.4"/>
    <b v="1"/>
    <n v="5533.4"/>
    <x v="0"/>
    <s v="Assets"/>
    <s v="Rec-Pay"/>
    <x v="3"/>
    <x v="1"/>
    <x v="1"/>
    <x v="2"/>
    <x v="7"/>
    <x v="4"/>
    <x v="0"/>
    <x v="1"/>
  </r>
  <r>
    <x v="490"/>
    <x v="1"/>
    <s v="MY"/>
    <x v="62"/>
    <x v="7"/>
    <s v="AR"/>
    <x v="29"/>
    <n v="14532.1"/>
    <b v="1"/>
    <n v="14532.1"/>
    <x v="0"/>
    <s v="Assets"/>
    <s v="Rec-Pay"/>
    <x v="3"/>
    <x v="1"/>
    <x v="1"/>
    <x v="2"/>
    <x v="7"/>
    <x v="4"/>
    <x v="0"/>
    <x v="1"/>
  </r>
  <r>
    <x v="491"/>
    <x v="1"/>
    <s v="GM"/>
    <x v="14"/>
    <x v="7"/>
    <s v="ToEmp"/>
    <x v="52"/>
    <n v="26142"/>
    <b v="1"/>
    <n v="-26142"/>
    <x v="1"/>
    <s v="Liability"/>
    <s v="Rec-Pay"/>
    <x v="1"/>
    <x v="1"/>
    <x v="1"/>
    <x v="12"/>
    <x v="7"/>
    <x v="1"/>
    <x v="0"/>
    <x v="1"/>
  </r>
  <r>
    <x v="492"/>
    <x v="1"/>
    <s v="MY"/>
    <x v="14"/>
    <x v="7"/>
    <s v="ToEmp"/>
    <x v="52"/>
    <n v="92274.28"/>
    <b v="1"/>
    <n v="-92274.28"/>
    <x v="1"/>
    <s v="Liability"/>
    <s v="Rec-Pay"/>
    <x v="1"/>
    <x v="1"/>
    <x v="1"/>
    <x v="12"/>
    <x v="7"/>
    <x v="4"/>
    <x v="0"/>
    <x v="1"/>
  </r>
  <r>
    <x v="493"/>
    <x v="1"/>
    <s v="GM"/>
    <x v="15"/>
    <x v="7"/>
    <s v="ToEmp"/>
    <x v="67"/>
    <n v="99375"/>
    <b v="1"/>
    <n v="-99375"/>
    <x v="1"/>
    <s v="Liability"/>
    <s v="Rec-Pay"/>
    <x v="4"/>
    <x v="0"/>
    <x v="1"/>
    <x v="12"/>
    <x v="7"/>
    <x v="1"/>
    <x v="0"/>
    <x v="1"/>
  </r>
  <r>
    <x v="494"/>
    <x v="1"/>
    <s v="MY"/>
    <x v="59"/>
    <x v="10"/>
    <s v="Bank"/>
    <x v="14"/>
    <n v="-20"/>
    <b v="1"/>
    <n v="-20"/>
    <x v="0"/>
    <s v="Assets"/>
    <s v="Cash alike"/>
    <x v="3"/>
    <x v="1"/>
    <x v="0"/>
    <x v="0"/>
    <x v="10"/>
    <x v="4"/>
    <x v="0"/>
    <x v="1"/>
  </r>
  <r>
    <x v="494"/>
    <x v="1"/>
    <s v="MY"/>
    <x v="59"/>
    <x v="7"/>
    <s v="AR"/>
    <x v="31"/>
    <n v="20"/>
    <b v="1"/>
    <n v="20"/>
    <x v="0"/>
    <s v="Assets"/>
    <s v="Rec-Pay"/>
    <x v="3"/>
    <x v="1"/>
    <x v="1"/>
    <x v="2"/>
    <x v="7"/>
    <x v="4"/>
    <x v="0"/>
    <x v="1"/>
  </r>
  <r>
    <x v="495"/>
    <x v="1"/>
    <s v="MY"/>
    <x v="28"/>
    <x v="7"/>
    <s v="AP"/>
    <x v="59"/>
    <n v="-2975"/>
    <b v="1"/>
    <n v="2975"/>
    <x v="1"/>
    <s v="Liability"/>
    <s v="Rec-Pay"/>
    <x v="0"/>
    <x v="0"/>
    <x v="1"/>
    <x v="10"/>
    <x v="7"/>
    <x v="4"/>
    <x v="0"/>
    <x v="1"/>
  </r>
  <r>
    <x v="495"/>
    <x v="1"/>
    <s v="MY"/>
    <x v="28"/>
    <x v="1"/>
    <s v="AR"/>
    <x v="33"/>
    <n v="-2975"/>
    <b v="1"/>
    <n v="-2975"/>
    <x v="0"/>
    <s v="Assets"/>
    <s v="Rec-Pay"/>
    <x v="0"/>
    <x v="0"/>
    <x v="1"/>
    <x v="2"/>
    <x v="1"/>
    <x v="4"/>
    <x v="0"/>
    <x v="1"/>
  </r>
  <r>
    <x v="496"/>
    <x v="1"/>
    <s v="Brand"/>
    <x v="47"/>
    <x v="7"/>
    <s v="Property"/>
    <x v="41"/>
    <n v="-102296.66725490197"/>
    <b v="1"/>
    <n v="-102296.66725490197"/>
    <x v="0"/>
    <s v="Assets"/>
    <s v="PP&amp;E"/>
    <x v="1"/>
    <x v="1"/>
    <x v="4"/>
    <x v="8"/>
    <x v="7"/>
    <x v="3"/>
    <x v="0"/>
    <x v="1"/>
  </r>
  <r>
    <x v="497"/>
    <x v="1"/>
    <s v="GM"/>
    <x v="15"/>
    <x v="0"/>
    <s v="ToEmp"/>
    <x v="67"/>
    <n v="449869.55000000005"/>
    <b v="1"/>
    <n v="-449869.55000000005"/>
    <x v="1"/>
    <s v="Liability"/>
    <s v="Rec-Pay"/>
    <x v="4"/>
    <x v="0"/>
    <x v="1"/>
    <x v="12"/>
    <x v="0"/>
    <x v="1"/>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debug_pvt_inc" cacheId="443"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L3:T10" firstHeaderRow="1" firstDataRow="2" firstDataCol="1" rowPageCount="1" colPageCount="1"/>
  <pivotFields count="21">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499"/>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m="1" x="498"/>
        <item x="177"/>
        <item x="80"/>
        <item x="106"/>
        <item x="34"/>
        <item x="68"/>
        <item x="173"/>
        <item x="352"/>
        <item x="492"/>
        <item x="358"/>
        <item x="359"/>
        <item x="488"/>
        <item x="489"/>
        <item t="default"/>
      </items>
    </pivotField>
    <pivotField numFmtId="176" showAll="0">
      <items count="17">
        <item x="0"/>
        <item m="1" x="2"/>
        <item m="1" x="15"/>
        <item m="1" x="3"/>
        <item m="1" x="4"/>
        <item m="1" x="5"/>
        <item m="1" x="6"/>
        <item m="1" x="7"/>
        <item m="1" x="8"/>
        <item m="1" x="9"/>
        <item m="1" x="10"/>
        <item m="1" x="11"/>
        <item m="1" x="12"/>
        <item m="1" x="13"/>
        <item m="1" x="14"/>
        <item x="1"/>
        <item t="default"/>
      </items>
    </pivotField>
    <pivotField showAll="0"/>
    <pivotField axis="axisRow" showAll="0" sortType="ascending">
      <items count="99">
        <item sd="0" x="5"/>
        <item sd="0" x="2"/>
        <item sd="0" m="1" x="95"/>
        <item sd="0" m="1" x="63"/>
        <item x="8"/>
        <item sd="0" m="1" x="85"/>
        <item sd="0" x="0"/>
        <item sd="0" x="4"/>
        <item sd="0" x="1"/>
        <item sd="0" x="7"/>
        <item sd="0" x="11"/>
        <item sd="0" m="1" x="97"/>
        <item sd="0" m="1" x="79"/>
        <item sd="0" m="1" x="66"/>
        <item sd="0" m="1" x="96"/>
        <item sd="0" m="1" x="93"/>
        <item sd="0" m="1" x="94"/>
        <item sd="0" m="1" x="92"/>
        <item sd="0" x="6"/>
        <item sd="0" m="1" x="86"/>
        <item sd="0" x="14"/>
        <item sd="0" m="1" x="80"/>
        <item sd="0" m="1" x="91"/>
        <item sd="0" x="16"/>
        <item sd="0" x="21"/>
        <item sd="0" x="22"/>
        <item sd="0" x="25"/>
        <item sd="0" x="26"/>
        <item sd="0" m="1" x="84"/>
        <item sd="0" m="1" x="69"/>
        <item sd="0" x="33"/>
        <item sd="0" x="39"/>
        <item sd="0" x="45"/>
        <item sd="0" m="1" x="90"/>
        <item sd="0" m="1" x="83"/>
        <item sd="0" m="1" x="87"/>
        <item sd="0" x="48"/>
        <item sd="0" x="31"/>
        <item sd="0" m="1" x="88"/>
        <item sd="0" x="29"/>
        <item sd="0" m="1" x="89"/>
        <item sd="0" x="28"/>
        <item x="53"/>
        <item sd="0" x="27"/>
        <item sd="0" x="52"/>
        <item sd="0" x="59"/>
        <item sd="0" x="47"/>
        <item sd="0" m="1" x="82"/>
        <item sd="0" m="1" x="81"/>
        <item sd="0" x="24"/>
        <item sd="0" x="58"/>
        <item sd="0" x="15"/>
        <item sd="0" x="34"/>
        <item sd="0" x="40"/>
        <item sd="0" m="1" x="78"/>
        <item sd="0" x="10"/>
        <item sd="0" x="23"/>
        <item sd="0" x="46"/>
        <item sd="0" m="1" x="77"/>
        <item sd="0" x="56"/>
        <item sd="0" x="35"/>
        <item sd="0" m="1" x="75"/>
        <item sd="0" x="55"/>
        <item sd="0" x="36"/>
        <item sd="0" x="9"/>
        <item sd="0" x="54"/>
        <item sd="0" x="38"/>
        <item sd="0" m="1" x="76"/>
        <item sd="0" m="1" x="73"/>
        <item sd="0" x="49"/>
        <item sd="0" x="57"/>
        <item sd="0" x="3"/>
        <item sd="0" x="51"/>
        <item sd="0" x="61"/>
        <item sd="0" x="20"/>
        <item sd="0" x="30"/>
        <item m="1" x="65"/>
        <item sd="0" m="1" x="74"/>
        <item sd="0" m="1" x="71"/>
        <item sd="0" x="32"/>
        <item sd="0" m="1" x="70"/>
        <item sd="0" x="41"/>
        <item sd="0" m="1" x="72"/>
        <item sd="0" x="13"/>
        <item sd="0" x="43"/>
        <item sd="0" x="42"/>
        <item sd="0" m="1" x="68"/>
        <item sd="0" x="37"/>
        <item sd="0" x="18"/>
        <item sd="0" x="50"/>
        <item sd="0" x="17"/>
        <item sd="0" x="19"/>
        <item sd="0" x="60"/>
        <item sd="0" m="1" x="67"/>
        <item sd="0" x="62"/>
        <item sd="0" m="1" x="64"/>
        <item sd="0" x="12"/>
        <item sd="0" x="44"/>
        <item t="default" sd="0"/>
      </items>
      <autoSortScope>
        <pivotArea dataOnly="0" outline="0" fieldPosition="0">
          <references count="1">
            <reference field="4294967294" count="1" selected="0">
              <x v="0"/>
            </reference>
          </references>
        </pivotArea>
      </autoSortScope>
    </pivotField>
    <pivotField showAll="0"/>
    <pivotField showAll="0"/>
    <pivotField showAll="0"/>
    <pivotField numFmtId="40" showAll="0"/>
    <pivotField showAll="0"/>
    <pivotField dataField="1" numFmtId="38" showAll="0"/>
    <pivotField showAll="0"/>
    <pivotField showAll="0"/>
    <pivotField showAll="0"/>
    <pivotField axis="axisRow" showAll="0">
      <items count="7">
        <item sd="0" x="3"/>
        <item sd="0" x="2"/>
        <item x="4"/>
        <item x="0"/>
        <item m="1" x="5"/>
        <item sd="0" x="1"/>
        <item t="default"/>
      </items>
    </pivotField>
    <pivotField axis="axisRow" showAll="0">
      <items count="4">
        <item x="1"/>
        <item sd="0" x="0"/>
        <item m="1" x="2"/>
        <item t="default"/>
      </items>
    </pivotField>
    <pivotField showAll="0"/>
    <pivotField showAll="0"/>
    <pivotField showAll="0">
      <items count="16">
        <item x="1"/>
        <item m="1" x="14"/>
        <item x="6"/>
        <item x="12"/>
        <item x="2"/>
        <item x="4"/>
        <item x="10"/>
        <item x="3"/>
        <item x="0"/>
        <item x="5"/>
        <item x="7"/>
        <item x="8"/>
        <item x="9"/>
        <item x="11"/>
        <item m="1" x="13"/>
        <item t="default"/>
      </items>
    </pivotField>
    <pivotField axis="axisCol" showAll="0">
      <items count="10">
        <item m="1" x="8"/>
        <item x="2"/>
        <item x="6"/>
        <item m="1" x="7"/>
        <item x="4"/>
        <item x="5"/>
        <item x="1"/>
        <item x="3"/>
        <item x="0"/>
        <item t="default"/>
      </items>
    </pivotField>
    <pivotField showAll="0"/>
    <pivotField axis="axisPage" multipleItemSelectionAllowed="1" showAll="0">
      <items count="4">
        <item x="1"/>
        <item h="1" m="1" x="2"/>
        <item x="0"/>
        <item t="default"/>
      </items>
    </pivotField>
  </pivotFields>
  <rowFields count="4">
    <field x="14"/>
    <field x="13"/>
    <field x="3"/>
    <field x="0"/>
  </rowFields>
  <rowItems count="6">
    <i>
      <x/>
    </i>
    <i r="1">
      <x/>
    </i>
    <i r="1">
      <x v="1"/>
    </i>
    <i r="1">
      <x v="5"/>
    </i>
    <i>
      <x v="1"/>
    </i>
    <i t="grand">
      <x/>
    </i>
  </rowItems>
  <colFields count="1">
    <field x="18"/>
  </colFields>
  <colItems count="8">
    <i>
      <x v="1"/>
    </i>
    <i>
      <x v="2"/>
    </i>
    <i>
      <x v="4"/>
    </i>
    <i>
      <x v="5"/>
    </i>
    <i>
      <x v="6"/>
    </i>
    <i>
      <x v="7"/>
    </i>
    <i>
      <x v="8"/>
    </i>
    <i t="grand">
      <x/>
    </i>
  </colItems>
  <pageFields count="1">
    <pageField fld="20" hier="-1"/>
  </pageFields>
  <dataFields count="1">
    <dataField name="Sum of NetBal" fld="9" baseField="0" baseItem="0" numFmtId="40"/>
  </dataFields>
  <formats count="17">
    <format dxfId="984">
      <pivotArea collapsedLevelsAreSubtotals="1" fieldPosition="0">
        <references count="4">
          <reference field="3" count="1">
            <x v="10"/>
          </reference>
          <reference field="13" count="1" selected="0">
            <x v="1"/>
          </reference>
          <reference field="14" count="1" selected="0">
            <x v="0"/>
          </reference>
          <reference field="18" count="1" selected="0">
            <x v="1"/>
          </reference>
        </references>
      </pivotArea>
    </format>
    <format dxfId="983">
      <pivotArea outline="0" collapsedLevelsAreSubtotals="1" fieldPosition="0"/>
    </format>
    <format dxfId="982">
      <pivotArea collapsedLevelsAreSubtotals="1" fieldPosition="0">
        <references count="4">
          <reference field="3" count="1">
            <x v="56"/>
          </reference>
          <reference field="13" count="1" selected="0">
            <x v="0"/>
          </reference>
          <reference field="14" count="1" selected="0">
            <x v="0"/>
          </reference>
          <reference field="18" count="1" selected="0">
            <x v="5"/>
          </reference>
        </references>
      </pivotArea>
    </format>
    <format dxfId="981">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980">
      <pivotArea collapsedLevelsAreSubtotals="1" fieldPosition="0">
        <references count="4">
          <reference field="3" count="1">
            <x v="23"/>
          </reference>
          <reference field="13" count="1" selected="0">
            <x v="5"/>
          </reference>
          <reference field="14" count="1" selected="0">
            <x v="0"/>
          </reference>
          <reference field="18" count="1" selected="0">
            <x v="7"/>
          </reference>
        </references>
      </pivotArea>
    </format>
    <format dxfId="979">
      <pivotArea collapsedLevelsAreSubtotals="1" fieldPosition="0">
        <references count="5">
          <reference field="0" count="1">
            <x v="217"/>
          </reference>
          <reference field="3" count="1" selected="0">
            <x v="46"/>
          </reference>
          <reference field="13" count="1" selected="0">
            <x v="5"/>
          </reference>
          <reference field="14" count="1" selected="0">
            <x v="0"/>
          </reference>
          <reference field="18" count="1" selected="0">
            <x v="7"/>
          </reference>
        </references>
      </pivotArea>
    </format>
    <format dxfId="978">
      <pivotArea collapsedLevelsAreSubtotals="1" fieldPosition="0">
        <references count="5">
          <reference field="0" count="1">
            <x v="217"/>
          </reference>
          <reference field="3" count="1" selected="0">
            <x v="46"/>
          </reference>
          <reference field="13" count="1" selected="0">
            <x v="5"/>
          </reference>
          <reference field="14" count="1" selected="0">
            <x v="0"/>
          </reference>
          <reference field="18" count="1" selected="0">
            <x v="7"/>
          </reference>
        </references>
      </pivotArea>
    </format>
    <format dxfId="977">
      <pivotArea dataOnly="0" labelOnly="1" fieldPosition="0">
        <references count="3">
          <reference field="3" count="1">
            <x v="3"/>
          </reference>
          <reference field="13" count="1" selected="0">
            <x v="5"/>
          </reference>
          <reference field="14" count="1" selected="0">
            <x v="0"/>
          </reference>
        </references>
      </pivotArea>
    </format>
    <format dxfId="976">
      <pivotArea collapsedLevelsAreSubtotals="1" fieldPosition="0">
        <references count="5">
          <reference field="0" count="1">
            <x v="316"/>
          </reference>
          <reference field="3" count="1" selected="0">
            <x v="37"/>
          </reference>
          <reference field="13" count="1" selected="0">
            <x v="1"/>
          </reference>
          <reference field="14" count="1" selected="0">
            <x v="0"/>
          </reference>
          <reference field="18" count="1" selected="0">
            <x v="1"/>
          </reference>
        </references>
      </pivotArea>
    </format>
    <format dxfId="975">
      <pivotArea collapsedLevelsAreSubtotals="1" fieldPosition="0">
        <references count="4">
          <reference field="3" count="1">
            <x v="63"/>
          </reference>
          <reference field="13" count="1" selected="0">
            <x v="1"/>
          </reference>
          <reference field="14" count="1" selected="0">
            <x v="0"/>
          </reference>
          <reference field="18" count="1" selected="0">
            <x v="4"/>
          </reference>
        </references>
      </pivotArea>
    </format>
    <format dxfId="974">
      <pivotArea collapsedLevelsAreSubtotals="1" fieldPosition="0">
        <references count="4">
          <reference field="3" count="1">
            <x v="76"/>
          </reference>
          <reference field="13" count="1" selected="0">
            <x v="1"/>
          </reference>
          <reference field="14" count="1" selected="0">
            <x v="0"/>
          </reference>
          <reference field="18" count="1" selected="0">
            <x v="4"/>
          </reference>
        </references>
      </pivotArea>
    </format>
    <format dxfId="945">
      <pivotArea collapsedLevelsAreSubtotals="1" fieldPosition="0">
        <references count="4">
          <reference field="3" count="1">
            <x v="56"/>
          </reference>
          <reference field="13" count="1" selected="0">
            <x v="0"/>
          </reference>
          <reference field="14" count="1" selected="0">
            <x v="0"/>
          </reference>
          <reference field="18" count="1" selected="0">
            <x v="5"/>
          </reference>
        </references>
      </pivotArea>
    </format>
    <format dxfId="944">
      <pivotArea collapsedLevelsAreSubtotals="1" fieldPosition="0">
        <references count="4">
          <reference field="3" count="1">
            <x v="23"/>
          </reference>
          <reference field="13" count="1" selected="0">
            <x v="5"/>
          </reference>
          <reference field="14" count="1" selected="0">
            <x v="0"/>
          </reference>
          <reference field="18" count="1" selected="0">
            <x v="7"/>
          </reference>
        </references>
      </pivotArea>
    </format>
    <format dxfId="943">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942">
      <pivotArea collapsedLevelsAreSubtotals="1" fieldPosition="0">
        <references count="4">
          <reference field="3" count="1">
            <x v="55"/>
          </reference>
          <reference field="13" count="1" selected="0">
            <x v="0"/>
          </reference>
          <reference field="14" count="1" selected="0">
            <x v="0"/>
          </reference>
          <reference field="18" count="1" selected="0">
            <x v="4"/>
          </reference>
        </references>
      </pivotArea>
    </format>
    <format dxfId="941">
      <pivotArea collapsedLevelsAreSubtotals="1" fieldPosition="0">
        <references count="4">
          <reference field="3" count="1">
            <x v="55"/>
          </reference>
          <reference field="13" count="1" selected="0">
            <x v="0"/>
          </reference>
          <reference field="14" count="1" selected="0">
            <x v="0"/>
          </reference>
          <reference field="18" count="1" selected="0">
            <x v="4"/>
          </reference>
        </references>
      </pivotArea>
    </format>
    <format dxfId="940">
      <pivotArea collapsedLevelsAreSubtotals="1" fieldPosition="0">
        <references count="4">
          <reference field="3" count="1">
            <x v="63"/>
          </reference>
          <reference field="13" count="1" selected="0">
            <x v="1"/>
          </reference>
          <reference field="14" count="1" selected="0">
            <x v="0"/>
          </reference>
          <reference field="18" count="1" selected="0">
            <x v="4"/>
          </reference>
        </references>
      </pivotArea>
    </format>
  </format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C20B45-711D-46C3-859E-54BD320BCD18}" name="debug_pvt_item" cacheId="443" applyNumberFormats="0" applyBorderFormats="0" applyFontFormats="0" applyPatternFormats="0" applyAlignmentFormats="0" applyWidthHeightFormats="1" dataCaption="Values" grandTotalCaption="End" updatedVersion="8" minRefreshableVersion="3" rowGrandTotals="0" itemPrintTitles="1" mergeItem="1" createdVersion="8" indent="0" outline="1" outlineData="1" multipleFieldFilters="0">
  <location ref="F1:I33" firstHeaderRow="1" firstDataRow="2" firstDataCol="1"/>
  <pivotFields count="21">
    <pivotField axis="axisRow"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499"/>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m="1" x="498"/>
        <item x="177"/>
        <item x="80"/>
        <item x="106"/>
        <item x="34"/>
        <item x="68"/>
        <item x="173"/>
        <item x="352"/>
        <item x="492"/>
        <item x="358"/>
        <item x="359"/>
        <item x="488"/>
        <item x="489"/>
        <item t="default"/>
      </items>
    </pivotField>
    <pivotField numFmtId="176" showAll="0"/>
    <pivotField showAll="0"/>
    <pivotField axis="axisRow" showAll="0">
      <items count="99">
        <item sd="0" m="1" x="96"/>
        <item sd="0" x="5"/>
        <item sd="0" x="2"/>
        <item sd="0" m="1" x="95"/>
        <item sd="0" m="1" x="63"/>
        <item sd="0" m="1" x="85"/>
        <item sd="0" m="1" x="93"/>
        <item sd="0" x="8"/>
        <item sd="0" x="4"/>
        <item sd="0" x="0"/>
        <item sd="0" x="1"/>
        <item sd="0" x="7"/>
        <item sd="0" x="11"/>
        <item sd="0" m="1" x="79"/>
        <item sd="0" m="1" x="97"/>
        <item sd="0" m="1" x="66"/>
        <item sd="0" m="1" x="94"/>
        <item sd="0" m="1" x="92"/>
        <item sd="0" x="6"/>
        <item sd="0" m="1" x="86"/>
        <item sd="0" x="14"/>
        <item sd="0" m="1" x="80"/>
        <item sd="0" m="1" x="91"/>
        <item sd="0" x="16"/>
        <item sd="0" x="21"/>
        <item sd="0" x="22"/>
        <item sd="0" x="25"/>
        <item sd="0" x="26"/>
        <item sd="0" m="1" x="84"/>
        <item sd="0" m="1" x="69"/>
        <item sd="0" x="28"/>
        <item sd="0" x="33"/>
        <item sd="0" x="39"/>
        <item sd="0" x="44"/>
        <item sd="0" x="45"/>
        <item sd="0" m="1" x="90"/>
        <item sd="0" m="1" x="83"/>
        <item sd="0" m="1" x="87"/>
        <item sd="0" x="31"/>
        <item sd="0" m="1" x="88"/>
        <item sd="0" x="29"/>
        <item sd="0" m="1" x="89"/>
        <item sd="0" x="27"/>
        <item sd="0" x="52"/>
        <item sd="0" x="59"/>
        <item sd="0" x="47"/>
        <item sd="0" m="1" x="82"/>
        <item sd="0" m="1" x="81"/>
        <item sd="0" x="24"/>
        <item sd="0" x="58"/>
        <item x="15"/>
        <item x="34"/>
        <item x="40"/>
        <item m="1" x="78"/>
        <item sd="0" x="53"/>
        <item x="10"/>
        <item x="23"/>
        <item x="46"/>
        <item m="1" x="77"/>
        <item x="56"/>
        <item x="35"/>
        <item m="1" x="75"/>
        <item x="55"/>
        <item sd="0" x="36"/>
        <item sd="0" x="9"/>
        <item x="54"/>
        <item sd="0" x="38"/>
        <item m="1" x="76"/>
        <item m="1" x="73"/>
        <item sd="0" x="49"/>
        <item sd="0" x="51"/>
        <item x="57"/>
        <item sd="0" x="3"/>
        <item x="61"/>
        <item sd="0" x="20"/>
        <item sd="0" x="30"/>
        <item m="1" x="65"/>
        <item m="1" x="74"/>
        <item m="1" x="71"/>
        <item x="32"/>
        <item m="1" x="70"/>
        <item x="41"/>
        <item m="1" x="72"/>
        <item sd="0" x="13"/>
        <item x="43"/>
        <item x="42"/>
        <item m="1" x="68"/>
        <item x="37"/>
        <item sd="0" x="18"/>
        <item sd="0" x="50"/>
        <item sd="0" x="17"/>
        <item x="19"/>
        <item x="60"/>
        <item m="1" x="67"/>
        <item x="62"/>
        <item m="1" x="64"/>
        <item x="12"/>
        <item x="48"/>
        <item t="default" sd="0"/>
      </items>
    </pivotField>
    <pivotField showAll="0"/>
    <pivotField showAll="0"/>
    <pivotField axis="axisRow" showAll="0">
      <items count="108">
        <item sd="0" m="1" x="100"/>
        <item sd="0" m="1" x="105"/>
        <item sd="0" x="62"/>
        <item sd="0" m="1" x="103"/>
        <item sd="0" x="9"/>
        <item sd="0" x="5"/>
        <item sd="0" x="7"/>
        <item sd="0" x="18"/>
        <item sd="0" m="1" x="87"/>
        <item sd="0" x="66"/>
        <item sd="0" m="1" x="104"/>
        <item sd="0" x="17"/>
        <item sd="0" x="0"/>
        <item sd="0" x="19"/>
        <item sd="0" x="4"/>
        <item sd="0" x="6"/>
        <item sd="0" x="3"/>
        <item sd="0" x="12"/>
        <item sd="0" x="8"/>
        <item sd="0" x="1"/>
        <item sd="0" x="20"/>
        <item sd="0" x="2"/>
        <item sd="0" m="1" x="106"/>
        <item sd="0" m="1" x="99"/>
        <item sd="0" m="1" x="98"/>
        <item sd="0" x="10"/>
        <item sd="0" x="15"/>
        <item sd="0" x="11"/>
        <item sd="0" x="16"/>
        <item sd="0" m="1" x="97"/>
        <item sd="0" m="1" x="96"/>
        <item sd="0" m="1" x="101"/>
        <item sd="0" m="1" x="83"/>
        <item sd="0" m="1" x="74"/>
        <item sd="0" x="65"/>
        <item sd="0" m="1" x="102"/>
        <item sd="0" m="1" x="80"/>
        <item sd="0" x="44"/>
        <item sd="0" m="1" x="84"/>
        <item sd="0" x="36"/>
        <item sd="0" x="45"/>
        <item sd="0" x="58"/>
        <item sd="0" x="23"/>
        <item sd="0" x="32"/>
        <item sd="0" m="1" x="90"/>
        <item sd="0" x="60"/>
        <item sd="0" m="1" x="75"/>
        <item sd="0" m="1" x="94"/>
        <item sd="0" x="37"/>
        <item sd="0" x="47"/>
        <item sd="0" m="1" x="82"/>
        <item sd="0" m="1" x="92"/>
        <item sd="0" x="53"/>
        <item sd="0" x="52"/>
        <item sd="0" m="1" x="72"/>
        <item sd="0" x="21"/>
        <item sd="0" x="54"/>
        <item sd="0" x="51"/>
        <item sd="0" m="1" x="77"/>
        <item sd="0" m="1" x="95"/>
        <item sd="0" x="39"/>
        <item sd="0" m="1" x="88"/>
        <item sd="0" x="40"/>
        <item sd="0" x="41"/>
        <item sd="0" x="38"/>
        <item sd="0" x="64"/>
        <item sd="0" m="1" x="76"/>
        <item sd="0" x="24"/>
        <item sd="0" x="42"/>
        <item sd="0" m="1" x="89"/>
        <item sd="0" x="43"/>
        <item sd="0" x="61"/>
        <item sd="0" m="1" x="86"/>
        <item sd="0" x="56"/>
        <item sd="0" m="1" x="85"/>
        <item sd="0" x="46"/>
        <item sd="0" m="1" x="81"/>
        <item sd="0" m="1" x="93"/>
        <item sd="0" x="49"/>
        <item sd="0" x="35"/>
        <item sd="0" x="22"/>
        <item sd="0" x="34"/>
        <item sd="0" m="1" x="91"/>
        <item sd="0" m="1" x="73"/>
        <item sd="0" x="50"/>
        <item sd="0" x="67"/>
        <item sd="0" x="63"/>
        <item sd="0" m="1" x="78"/>
        <item sd="0" m="1" x="79"/>
        <item sd="0" x="48"/>
        <item sd="0" x="13"/>
        <item sd="0" x="14"/>
        <item sd="0" x="33"/>
        <item sd="0" x="55"/>
        <item sd="0" x="57"/>
        <item sd="0" x="25"/>
        <item sd="0" x="26"/>
        <item sd="0" x="27"/>
        <item sd="0" x="28"/>
        <item sd="0" x="29"/>
        <item sd="0" x="30"/>
        <item sd="0" x="31"/>
        <item sd="0" x="59"/>
        <item sd="0" x="68"/>
        <item sd="0" x="69"/>
        <item sd="0" x="70"/>
        <item sd="0" x="71"/>
        <item t="default" sd="0"/>
      </items>
    </pivotField>
    <pivotField dataField="1" numFmtId="40" showAll="0"/>
    <pivotField showAll="0"/>
    <pivotField numFmtId="38" showAll="0"/>
    <pivotField showAll="0"/>
    <pivotField showAll="0"/>
    <pivotField showAll="0"/>
    <pivotField showAll="0"/>
    <pivotField showAll="0"/>
    <pivotField showAll="0">
      <items count="14">
        <item m="1" x="12"/>
        <item m="1" x="11"/>
        <item x="0"/>
        <item m="1" x="9"/>
        <item x="1"/>
        <item x="2"/>
        <item x="3"/>
        <item x="4"/>
        <item x="5"/>
        <item m="1" x="10"/>
        <item x="7"/>
        <item x="6"/>
        <item m="1" x="8"/>
        <item t="default"/>
      </items>
    </pivotField>
    <pivotField axis="axisRow" showAll="0">
      <items count="25">
        <item sd="0" x="1"/>
        <item sd="0" x="0"/>
        <item sd="0" x="2"/>
        <item x="3"/>
        <item sd="0" x="6"/>
        <item sd="0" x="4"/>
        <item x="7"/>
        <item sd="0" m="1" x="20"/>
        <item sd="0" x="14"/>
        <item sd="0" x="10"/>
        <item sd="0" x="13"/>
        <item sd="0" x="18"/>
        <item sd="0" x="12"/>
        <item x="11"/>
        <item sd="0" x="5"/>
        <item m="1" x="23"/>
        <item m="1" x="22"/>
        <item m="1" x="21"/>
        <item sd="0" x="8"/>
        <item sd="0" x="9"/>
        <item sd="0" x="16"/>
        <item sd="0" x="17"/>
        <item sd="0" x="15"/>
        <item sd="0" m="1" x="19"/>
        <item t="default"/>
      </items>
    </pivotField>
    <pivotField axis="axisRow" showAll="0" sortType="descending">
      <items count="16">
        <item m="1" x="13"/>
        <item x="11"/>
        <item x="9"/>
        <item x="8"/>
        <item x="7"/>
        <item sd="0" x="5"/>
        <item sd="0" x="0"/>
        <item x="3"/>
        <item x="10"/>
        <item sd="0" x="4"/>
        <item x="2"/>
        <item x="12"/>
        <item x="6"/>
        <item m="1" x="14"/>
        <item x="1"/>
        <item t="default"/>
      </items>
    </pivotField>
    <pivotField showAll="0"/>
    <pivotField showAll="0"/>
    <pivotField axis="axisCol" showAll="0">
      <items count="4">
        <item x="0"/>
        <item x="1"/>
        <item m="1" x="2"/>
        <item t="default"/>
      </items>
    </pivotField>
  </pivotFields>
  <rowFields count="5">
    <field x="16"/>
    <field x="6"/>
    <field x="3"/>
    <field x="17"/>
    <field x="0"/>
  </rowFields>
  <rowItems count="31">
    <i>
      <x/>
    </i>
    <i>
      <x v="1"/>
    </i>
    <i>
      <x v="2"/>
    </i>
    <i>
      <x v="3"/>
    </i>
    <i r="1">
      <x v="80"/>
    </i>
    <i>
      <x v="4"/>
    </i>
    <i>
      <x v="5"/>
    </i>
    <i>
      <x v="6"/>
    </i>
    <i r="1">
      <x v="39"/>
    </i>
    <i r="1">
      <x v="48"/>
    </i>
    <i r="1">
      <x v="64"/>
    </i>
    <i r="1">
      <x v="65"/>
    </i>
    <i>
      <x v="8"/>
    </i>
    <i>
      <x v="9"/>
    </i>
    <i>
      <x v="10"/>
    </i>
    <i>
      <x v="11"/>
    </i>
    <i>
      <x v="12"/>
    </i>
    <i>
      <x v="13"/>
    </i>
    <i r="1">
      <x v="49"/>
    </i>
    <i r="1">
      <x v="56"/>
    </i>
    <i r="1">
      <x v="57"/>
    </i>
    <i r="1">
      <x v="73"/>
    </i>
    <i r="1">
      <x v="78"/>
    </i>
    <i r="1">
      <x v="84"/>
    </i>
    <i r="1">
      <x v="89"/>
    </i>
    <i>
      <x v="14"/>
    </i>
    <i>
      <x v="18"/>
    </i>
    <i>
      <x v="19"/>
    </i>
    <i>
      <x v="20"/>
    </i>
    <i>
      <x v="21"/>
    </i>
    <i>
      <x v="22"/>
    </i>
  </rowItems>
  <colFields count="1">
    <field x="20"/>
  </colFields>
  <colItems count="3">
    <i>
      <x/>
    </i>
    <i>
      <x v="1"/>
    </i>
    <i t="grand">
      <x/>
    </i>
  </colItems>
  <dataFields count="1">
    <dataField name="Sum of Bal" fld="7" baseField="0" baseItem="0" numFmtId="40"/>
  </dataFields>
  <formats count="1">
    <format dxfId="985">
      <pivotArea collapsedLevelsAreSubtotals="1" fieldPosition="0">
        <references count="4">
          <reference field="3" count="1">
            <x v="33"/>
          </reference>
          <reference field="6" count="1" selected="0">
            <x v="64"/>
          </reference>
          <reference field="16" count="1" selected="0">
            <x v="6"/>
          </reference>
          <reference field="20"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443"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17" firstHeaderRow="1" firstDataRow="3" firstDataCol="1" rowPageCount="1" colPageCount="1"/>
  <pivotFields count="21">
    <pivotField showAll="0"/>
    <pivotField numFmtId="176" showAll="0"/>
    <pivotField showAll="0"/>
    <pivotField showAll="0"/>
    <pivotField showAll="0">
      <items count="15">
        <item x="1"/>
        <item x="0"/>
        <item x="5"/>
        <item x="6"/>
        <item x="12"/>
        <item x="2"/>
        <item x="9"/>
        <item x="10"/>
        <item x="4"/>
        <item x="7"/>
        <item x="3"/>
        <item x="8"/>
        <item x="11"/>
        <item m="1" x="13"/>
        <item t="default"/>
      </items>
    </pivotField>
    <pivotField showAll="0"/>
    <pivotField axis="axisRow" showAll="0" measureFilter="1">
      <items count="108">
        <item m="1" x="100"/>
        <item m="1" x="105"/>
        <item x="62"/>
        <item m="1" x="103"/>
        <item x="9"/>
        <item x="5"/>
        <item x="7"/>
        <item x="18"/>
        <item m="1" x="87"/>
        <item x="65"/>
        <item x="66"/>
        <item m="1" x="104"/>
        <item x="17"/>
        <item x="0"/>
        <item x="19"/>
        <item x="4"/>
        <item x="6"/>
        <item x="3"/>
        <item x="12"/>
        <item x="8"/>
        <item x="1"/>
        <item x="20"/>
        <item x="2"/>
        <item m="1" x="106"/>
        <item m="1" x="99"/>
        <item m="1" x="98"/>
        <item x="10"/>
        <item x="15"/>
        <item x="11"/>
        <item x="16"/>
        <item m="1" x="97"/>
        <item m="1" x="96"/>
        <item m="1" x="101"/>
        <item m="1" x="74"/>
        <item m="1" x="102"/>
        <item m="1" x="80"/>
        <item x="22"/>
        <item x="44"/>
        <item m="1" x="84"/>
        <item x="36"/>
        <item x="45"/>
        <item x="58"/>
        <item x="23"/>
        <item x="32"/>
        <item m="1" x="90"/>
        <item x="60"/>
        <item m="1" x="75"/>
        <item m="1" x="94"/>
        <item x="37"/>
        <item x="47"/>
        <item m="1" x="82"/>
        <item m="1" x="92"/>
        <item x="53"/>
        <item x="52"/>
        <item m="1" x="72"/>
        <item x="21"/>
        <item m="1" x="77"/>
        <item m="1" x="95"/>
        <item x="39"/>
        <item m="1" x="88"/>
        <item x="40"/>
        <item x="41"/>
        <item x="38"/>
        <item x="64"/>
        <item m="1" x="76"/>
        <item x="24"/>
        <item x="42"/>
        <item m="1" x="89"/>
        <item x="43"/>
        <item x="61"/>
        <item m="1" x="86"/>
        <item x="56"/>
        <item m="1" x="85"/>
        <item x="46"/>
        <item m="1" x="81"/>
        <item m="1" x="93"/>
        <item x="35"/>
        <item x="34"/>
        <item m="1" x="91"/>
        <item m="1" x="73"/>
        <item m="1" x="83"/>
        <item x="54"/>
        <item x="51"/>
        <item x="49"/>
        <item x="50"/>
        <item x="67"/>
        <item x="63"/>
        <item m="1" x="78"/>
        <item m="1" x="79"/>
        <item x="48"/>
        <item x="13"/>
        <item x="14"/>
        <item x="33"/>
        <item x="55"/>
        <item x="57"/>
        <item x="25"/>
        <item x="26"/>
        <item x="27"/>
        <item x="28"/>
        <item x="29"/>
        <item x="30"/>
        <item x="31"/>
        <item x="59"/>
        <item x="68"/>
        <item x="69"/>
        <item x="70"/>
        <item x="71"/>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2"/>
        <item m="1" x="11"/>
        <item x="0"/>
        <item m="1" x="9"/>
        <item sd="0" x="1"/>
        <item sd="0" x="2"/>
        <item sd="0" x="3"/>
        <item sd="0" x="4"/>
        <item sd="0" x="5"/>
        <item m="1" x="10"/>
        <item sd="0" x="7"/>
        <item sd="0" x="6"/>
        <item m="1" x="8"/>
        <item t="default"/>
      </items>
    </pivotField>
    <pivotField axis="axisRow" showAll="0">
      <items count="25">
        <item sd="0" x="15"/>
        <item sd="0" x="16"/>
        <item sd="0" x="17"/>
        <item sd="0" x="10"/>
        <item sd="0" x="12"/>
        <item sd="0" x="11"/>
        <item sd="0" x="13"/>
        <item sd="0" m="1" x="23"/>
        <item sd="0" x="2"/>
        <item sd="0" m="1" x="22"/>
        <item sd="0" x="7"/>
        <item x="8"/>
        <item sd="0" x="9"/>
        <item sd="0" x="0"/>
        <item sd="0" x="1"/>
        <item m="1" x="20"/>
        <item m="1" x="19"/>
        <item sd="0" x="5"/>
        <item sd="0" x="4"/>
        <item sd="0" x="14"/>
        <item sd="0" x="3"/>
        <item sd="0" m="1" x="21"/>
        <item sd="0" x="18"/>
        <item x="6"/>
        <item t="default" sd="0"/>
      </items>
    </pivotField>
    <pivotField showAll="0"/>
    <pivotField showAll="0"/>
    <pivotField axis="axisPage" showAll="0">
      <items count="4">
        <item m="1" x="2"/>
        <item x="0"/>
        <item m="1" x="1"/>
        <item t="default"/>
      </items>
    </pivotField>
    <pivotField showAll="0"/>
  </pivotFields>
  <rowFields count="3">
    <field x="15"/>
    <field x="16"/>
    <field x="6"/>
  </rowFields>
  <rowItems count="12">
    <i>
      <x v="2"/>
    </i>
    <i r="1">
      <x v="13"/>
    </i>
    <i r="1">
      <x v="14"/>
    </i>
    <i r="1">
      <x v="19"/>
    </i>
    <i>
      <x v="4"/>
    </i>
    <i>
      <x v="5"/>
    </i>
    <i>
      <x v="6"/>
    </i>
    <i>
      <x v="7"/>
    </i>
    <i>
      <x v="8"/>
    </i>
    <i>
      <x v="10"/>
    </i>
    <i>
      <x v="1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s="1"/>
        <i x="1" s="1"/>
        <i x="2" s="1"/>
        <i x="3" s="1"/>
        <i x="4" s="1"/>
        <i x="5" s="1"/>
        <i x="7" s="1"/>
        <i x="6" s="1"/>
        <i x="12" s="1" nd="1"/>
        <i x="11" s="1" nd="1"/>
        <i x="9" s="1" nd="1"/>
        <i x="10" s="1" nd="1"/>
        <i x="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TrxDate" xr10:uid="{03B0B42C-527C-428E-BD22-4B59B924D638}" sourceName="TrxDate">
  <pivotTables>
    <pivotTable tabId="4" name="debug_pvt_inc"/>
  </pivotTables>
  <data>
    <tabular pivotCacheId="739966343" showMissing="0" crossFilter="showItemsWithNoData">
      <items count="16">
        <i x="0" s="1"/>
        <i x="1" s="1"/>
        <i x="2" s="1" nd="1"/>
        <i x="15" s="1" nd="1"/>
        <i x="3" s="1" nd="1"/>
        <i x="4" s="1" nd="1"/>
        <i x="5" s="1" nd="1"/>
        <i x="6" s="1" nd="1"/>
        <i x="7" s="1" nd="1"/>
        <i x="8" s="1" nd="1"/>
        <i x="9" s="1" nd="1"/>
        <i x="10" s="1" nd="1"/>
        <i x="11" s="1" nd="1"/>
        <i x="12" s="1" nd="1"/>
        <i x="13" s="1" nd="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Vehicle1" xr10:uid="{ACEF466A-2D0B-445A-8781-FDCD8391394A}" sourceName="Vehicle">
  <pivotTables>
    <pivotTable tabId="5" name="PivotTable2"/>
  </pivotTables>
  <data>
    <tabular pivotCacheId="739966343" showMissing="0" crossFilter="showItemsWithNoData">
      <items count="14">
        <i x="1" s="1"/>
        <i x="0" s="1"/>
        <i x="5" s="1"/>
        <i x="6" s="1"/>
        <i x="12" s="1"/>
        <i x="2" s="1"/>
        <i x="9" s="1"/>
        <i x="10" s="1"/>
        <i x="4" s="1"/>
        <i x="7" s="1"/>
        <i x="3" s="1"/>
        <i x="8" s="1"/>
        <i x="11" s="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NameVehicle" xr10:uid="{E90439A0-2789-4012-BF38-669D5F69F4D6}" sourceName="NameVehicle">
  <pivotTables>
    <pivotTable tabId="4" name="debug_pvt_inc"/>
    <pivotTable tabId="4" name="debug_pvt_item"/>
  </pivotTables>
  <data>
    <tabular pivotCacheId="739966343" showMissing="0" crossFilter="showItemsWithNoData">
      <items count="15">
        <i x="1" s="1"/>
        <i x="6" s="1"/>
        <i x="12" s="1"/>
        <i x="2" s="1"/>
        <i x="4" s="1"/>
        <i x="10" s="1"/>
        <i x="3" s="1"/>
        <i x="0" s="1"/>
        <i x="5" s="1"/>
        <i x="7" s="1"/>
        <i x="8" s="1"/>
        <i x="9" s="1"/>
        <i x="11" s="1"/>
        <i x="14" s="1" nd="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IncType" xr10:uid="{DF82322B-7678-41B4-8ABB-7EF752E39033}" sourceName="IncType">
  <pivotTables>
    <pivotTable tabId="4" name="debug_pvt_inc"/>
  </pivotTables>
  <data>
    <tabular pivotCacheId="739966343" showMissing="0" crossFilter="showItemsWithNoData">
      <items count="3">
        <i x="0" s="1"/>
        <i x="1" s="1"/>
        <i x="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TrxDate" xr10:uid="{3E787AD4-D75C-47BE-B656-DC29D1170C7D}" cache="切片器_TrxDate" caption="TrxDate" rowHeight="209550"/>
  <slicer name="NameVehicle 1" xr10:uid="{DB713D74-FB9A-46EE-BE40-D5DBE10A8EBB}" cache="切片器_NameVehicle" caption="NameVehicle" rowHeight="209550"/>
  <slicer name="NameVehicle" xr10:uid="{40A647C9-B039-46EB-BB8B-AB447C7D26C4}" cache="切片器_NameVehicle" caption="NameVehicle" columnCount="3" rowHeight="241300"/>
  <slicer name="IncType" xr10:uid="{B99B4FE4-442F-43EF-B66D-D9C5F6430498}" cache="切片器_IncType" caption="IncType" columnCount="2"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 1" xr10:uid="{D56FC6EA-CD0F-4A4F-9075-377BF0FEBA7F}" cache="切片器_Vehicle1" caption="Vehicle"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826C62-4584-4E24-9160-0FB9E1AF4820}" name="表8" displayName="表8" ref="A1:C31" totalsRowShown="0" headerRowDxfId="973">
  <autoFilter ref="A1:C31" xr:uid="{2F826C62-4584-4E24-9160-0FB9E1AF4820}"/>
  <sortState xmlns:xlrd2="http://schemas.microsoft.com/office/spreadsheetml/2017/richdata2" ref="A2:C31">
    <sortCondition ref="C1:C31"/>
  </sortState>
  <tableColumns count="3">
    <tableColumn id="1" xr3:uid="{38ACFBA0-DDA4-44B2-96D7-AA39BCCADF39}" name="Action" dataDxfId="972"/>
    <tableColumn id="2" xr3:uid="{B6F9B8D2-2354-4F72-8950-772E847F37EC}" name="说明"/>
    <tableColumn id="3" xr3:uid="{0377E75F-C006-4FD0-9E36-5847D81A8776}" name="是否影响损益" dataDxfId="971"/>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533FC8-310C-41C0-928F-D08C3A20A45E}" name="表9" displayName="表9" ref="E1:F54" totalsRowShown="0" headerRowDxfId="970">
  <autoFilter ref="E1:F54" xr:uid="{0F533FC8-310C-41C0-928F-D08C3A20A45E}"/>
  <tableColumns count="2">
    <tableColumn id="1" xr3:uid="{1DC03F63-0FCF-48DA-A5C2-950FF350C495}" name="Item" dataDxfId="969"/>
    <tableColumn id="2" xr3:uid="{86DA197E-F7DD-45DA-96CC-3D8402B07483}" name="说明"/>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500" totalsRowShown="0" headerRowDxfId="968">
  <autoFilter ref="A1:G500" xr:uid="{07209837-6C83-4BBC-9E05-466D8E45337D}">
    <filterColumn colId="6">
      <filters>
        <filter val="白茶包装盒"/>
        <filter val="包装费"/>
        <filter val="包装费等"/>
        <filter val="包装贴纸"/>
      </filters>
    </filterColumn>
  </autoFilter>
  <tableColumns count="7">
    <tableColumn id="1" xr3:uid="{F105BBBA-07BE-48EE-817A-250E3814BDFC}" name="Id"/>
    <tableColumn id="2" xr3:uid="{90198A57-84E0-4FF2-A6FA-AA81A96E49BD}" name="Date" dataDxfId="967"/>
    <tableColumn id="3" xr3:uid="{231C793D-9C6F-4B89-BC6D-1DCF5630A11C}" name="Division"/>
    <tableColumn id="4" xr3:uid="{1B3E9F40-C03A-4F2E-9F41-F9C4897D65AE}" name="Action"/>
    <tableColumn id="5" xr3:uid="{AC6C4E64-35C5-42B2-9EEB-564E7390898A}" name="IncNode"/>
    <tableColumn id="7" xr3:uid="{AD9616C7-DF9F-44F2-8FF5-D1402BFED68D}" name="Tag"/>
    <tableColumn id="6" xr3:uid="{8226D3E3-BBA5-4E7C-9525-8B6205AB704A}"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888" totalsRowShown="0" headerRowDxfId="966">
  <autoFilter ref="A1:U888" xr:uid="{783E67F7-A626-4EB3-9931-2B8E4332E50D}">
    <filterColumn colId="0">
      <filters>
        <filter val="T083"/>
      </filters>
    </filterColumn>
  </autoFilter>
  <tableColumns count="21">
    <tableColumn id="1" xr3:uid="{71B2C84B-D5B0-48D0-AF75-7AA4E674435E}" name="TrxId"/>
    <tableColumn id="2" xr3:uid="{7F3BB002-49F0-4622-91C3-EDE1BB39E037}" name="TrxDate" dataDxfId="965">
      <calculatedColumnFormula>_xlfn.XLOOKUP(Jnl[[#This Row],[TrxId]], Trx[Id], Trx[Date],,0)</calculatedColumnFormula>
    </tableColumn>
    <tableColumn id="3" xr3:uid="{5019CCD8-C251-41B8-8C65-1CECE1FEB799}" name="Division" dataDxfId="964">
      <calculatedColumnFormula>_xlfn.XLOOKUP(Jnl[[#This Row],[TrxId]], Trx[Id], Trx[Division],,0)</calculatedColumnFormula>
    </tableColumn>
    <tableColumn id="4" xr3:uid="{E7CB1B45-6F0A-4E0A-A77F-E495B0819870}" name="Action" dataDxfId="963">
      <calculatedColumnFormula>_xlfn.XLOOKUP(Jnl[[#This Row],[TrxId]], Trx[Id], Trx[Action],,0)</calculatedColumnFormula>
    </tableColumn>
    <tableColumn id="15" xr3:uid="{0610E7A0-7523-45EB-923A-5338328D8C72}" name="Vehicle" dataDxfId="962"/>
    <tableColumn id="5" xr3:uid="{88A5FA68-A048-4D06-AB82-9CA2F2E65F13}" name="Acct"/>
    <tableColumn id="6" xr3:uid="{8AFDC351-60CD-4DB0-A113-1B63BA458362}" name="Item" dataDxfId="961"/>
    <tableColumn id="7" xr3:uid="{FB5E3CB7-3053-4DE8-9454-AD102CDEA2EE}" name="Bal" dataDxfId="960"/>
    <tableColumn id="9" xr3:uid="{474871EF-24BE-4230-A2C9-7BD22A94BE52}" name="IsValid" dataDxfId="959">
      <calculatedColumnFormula>AND(Jnl[[#This Row],[TrxId]]&lt;&gt;"",Jnl[[#This Row],[Acct]]&lt;&gt;"",Jnl[[#This Row],[Item]]&lt;&gt;"",ISNUMBER(Jnl[[#This Row],[Bal]]))</calculatedColumnFormula>
    </tableColumn>
    <tableColumn id="8" xr3:uid="{44F3569E-1FE6-44B2-B6E4-DAE85FBDB137}" name="NetBal" dataDxfId="958">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957">
      <calculatedColumnFormula>_xlfn.XLOOKUP(Jnl[[#This Row],[BSLv2]], dict[Key], dict[Name],,0)</calculatedColumnFormula>
    </tableColumn>
    <tableColumn id="16" xr3:uid="{C6BD57E2-40E3-4AC5-8465-4FC651B85CA5}" name="NameAcct" dataDxfId="956">
      <calculatedColumnFormula>_xlfn.XLOOKUP(Jnl[[#This Row],[Acct]], dict[Key], dict[Name],,0)</calculatedColumnFormula>
    </tableColumn>
    <tableColumn id="18" xr3:uid="{C4A7C1EE-FFA2-4B8A-966B-288D5A8071DA}" name="NameVehicle" dataDxfId="955">
      <calculatedColumnFormula>_xlfn.XLOOKUP(Jnl[[#This Row],[Vehicle]],config_vehicle[Id], config_vehicle[Name],,0)</calculatedColumnFormula>
    </tableColumn>
    <tableColumn id="21" xr3:uid="{5EA007C2-5421-4ABA-96D0-01D17C402A1D}" name="NameDiv" dataDxfId="954">
      <calculatedColumnFormula>_xlfn.XLOOKUP(Jnl[[#This Row],[Division]],config_div[Id], config_div[Name],,0)</calculatedColumnFormula>
    </tableColumn>
    <tableColumn id="19" xr3:uid="{B4F5BED1-EA69-464B-9920-B674E68208DD}" name="ScopeBS" dataDxfId="953">
      <calculatedColumnFormula>IF(Jnl[[#This Row],[TrxDate]]&lt;=stmt_BS_date_end, "In", "Out")</calculatedColumnFormula>
    </tableColumn>
    <tableColumn id="20" xr3:uid="{C499837F-35AF-463A-A79C-B7B343D3C203}" name="ScopeDebug" dataDxfId="952">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1" totalsRowShown="0" headerRowDxfId="951">
  <autoFilter ref="E1:H21"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950">
      <calculatedColumnFormula>IF(config_BS[[#This Row],[Lv1]]="Assets", "A","LC")</calculatedColumnFormula>
    </tableColumn>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949">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8" totalsRowShown="0" headerRowDxfId="948">
  <autoFilter ref="M1:N8"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947">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9" totalsRowShown="0" headerRowDxfId="946">
  <autoFilter ref="A1:C29"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29T02:57:36.48" personId="{D5AF6952-DFB4-4EB9-91BF-DCBDFE03949B}" id="{F2BAAA19-B511-4EEC-AB6A-62ADEB9CE566}">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9" dT="2026-01-29T02:38:42.71" personId="{D5AF6952-DFB4-4EB9-91BF-DCBDFE03949B}" id="{89049742-F5D2-410B-B198-12AF77C32560}">
    <text>Reserve 准备金</text>
  </threadedComment>
  <threadedComment ref="E20" dT="2026-01-29T02:18:08.23" personId="{D5AF6952-DFB4-4EB9-91BF-DCBDFE03949B}" id="{8D1C1E60-2EA0-4CC8-8F9F-A8A7E37ADBA1}">
    <text xml:space="preserve">Additional Paid-In Capital </text>
  </threadedComment>
  <threadedComment ref="E20" dT="2026-01-31T03:01:08.25" personId="{5762D9ED-58C9-4E54-8B3E-500022F66094}" id="{9E8D9125-D17F-41F2-BC54-4C5F82000D86}" parentId="{8D1C1E60-2EA0-4CC8-8F9F-A8A7E37ADBA1}">
    <text>差不多是 资本公积</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1-29T02:57:36.48" personId="{D5AF6952-DFB4-4EB9-91BF-DCBDFE03949B}" id="{1162A067-267B-4F1D-B71F-7C12A30DE0F0}">
    <text>载体</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7" Type="http://schemas.microsoft.com/office/2017/10/relationships/threadedComment" Target="../threadedComments/threadedComment3.xml"/><Relationship Id="rId2" Type="http://schemas.openxmlformats.org/officeDocument/2006/relationships/table" Target="../tables/table5.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50B70-B8A6-485D-B65C-31DE07A6D302}">
  <sheetPr>
    <tabColor theme="4" tint="0.39997558519241921"/>
  </sheetPr>
  <dimension ref="A1:L53"/>
  <sheetViews>
    <sheetView topLeftCell="B1" workbookViewId="0">
      <pane ySplit="1" topLeftCell="A11" activePane="bottomLeft" state="frozen"/>
      <selection pane="bottomLeft" activeCell="I28" sqref="I28"/>
    </sheetView>
  </sheetViews>
  <sheetFormatPr defaultRowHeight="13.8"/>
  <cols>
    <col min="1" max="1" width="11.5546875" style="5" customWidth="1"/>
    <col min="2" max="2" width="39" customWidth="1"/>
    <col min="3" max="3" width="15" customWidth="1"/>
    <col min="5" max="5" width="16.33203125" customWidth="1"/>
    <col min="6" max="6" width="24.5546875" customWidth="1"/>
    <col min="8" max="8" width="14.88671875" customWidth="1"/>
    <col min="9" max="9" width="75.33203125" customWidth="1"/>
    <col min="12" max="12" width="14.88671875" customWidth="1"/>
  </cols>
  <sheetData>
    <row r="1" spans="1:12">
      <c r="A1" s="5" t="s">
        <v>313</v>
      </c>
      <c r="B1" s="5" t="s">
        <v>871</v>
      </c>
      <c r="C1" t="s">
        <v>872</v>
      </c>
      <c r="E1" s="68" t="s">
        <v>314</v>
      </c>
      <c r="F1" s="68" t="s">
        <v>871</v>
      </c>
      <c r="H1" s="69" t="s">
        <v>933</v>
      </c>
      <c r="I1" s="69" t="s">
        <v>932</v>
      </c>
    </row>
    <row r="2" spans="1:12">
      <c r="A2" s="5" t="s">
        <v>288</v>
      </c>
      <c r="B2" t="s">
        <v>308</v>
      </c>
      <c r="C2" t="s">
        <v>874</v>
      </c>
      <c r="E2" t="s">
        <v>52</v>
      </c>
      <c r="F2" t="s">
        <v>55</v>
      </c>
      <c r="H2" s="5" t="s">
        <v>928</v>
      </c>
      <c r="I2" t="s">
        <v>929</v>
      </c>
      <c r="L2" s="76" t="s">
        <v>162</v>
      </c>
    </row>
    <row r="3" spans="1:12">
      <c r="A3" s="5" t="s">
        <v>287</v>
      </c>
      <c r="B3" t="s">
        <v>310</v>
      </c>
      <c r="C3" t="s">
        <v>874</v>
      </c>
      <c r="E3" t="s">
        <v>91</v>
      </c>
      <c r="F3" t="s">
        <v>94</v>
      </c>
      <c r="H3" s="5" t="s">
        <v>930</v>
      </c>
      <c r="I3" t="s">
        <v>935</v>
      </c>
      <c r="L3" s="76" t="s">
        <v>161</v>
      </c>
    </row>
    <row r="4" spans="1:12">
      <c r="A4" s="5" t="s">
        <v>245</v>
      </c>
      <c r="B4" t="s">
        <v>316</v>
      </c>
      <c r="C4" t="s">
        <v>874</v>
      </c>
      <c r="E4" t="s">
        <v>92</v>
      </c>
      <c r="F4" t="s">
        <v>71</v>
      </c>
      <c r="H4" s="5" t="s">
        <v>931</v>
      </c>
      <c r="I4" t="s">
        <v>936</v>
      </c>
      <c r="L4" s="76" t="s">
        <v>186</v>
      </c>
    </row>
    <row r="5" spans="1:12">
      <c r="A5" s="5" t="s">
        <v>289</v>
      </c>
      <c r="B5" t="s">
        <v>898</v>
      </c>
      <c r="C5" t="s">
        <v>874</v>
      </c>
      <c r="E5" t="s">
        <v>93</v>
      </c>
      <c r="F5" t="s">
        <v>67</v>
      </c>
      <c r="H5" s="5" t="s">
        <v>151</v>
      </c>
      <c r="I5" t="s">
        <v>938</v>
      </c>
      <c r="L5" s="76" t="s">
        <v>202</v>
      </c>
    </row>
    <row r="6" spans="1:12">
      <c r="A6" s="5" t="s">
        <v>244</v>
      </c>
      <c r="B6" t="s">
        <v>311</v>
      </c>
      <c r="C6" t="s">
        <v>874</v>
      </c>
      <c r="E6" t="s">
        <v>96</v>
      </c>
      <c r="F6" t="s">
        <v>59</v>
      </c>
      <c r="H6" s="86" t="s">
        <v>473</v>
      </c>
      <c r="I6" t="s">
        <v>939</v>
      </c>
      <c r="L6" s="76" t="s">
        <v>196</v>
      </c>
    </row>
    <row r="7" spans="1:12">
      <c r="A7" s="67" t="s">
        <v>859</v>
      </c>
      <c r="B7" t="s">
        <v>878</v>
      </c>
      <c r="C7" t="s">
        <v>874</v>
      </c>
      <c r="E7" t="s">
        <v>659</v>
      </c>
      <c r="F7" t="s">
        <v>327</v>
      </c>
      <c r="H7" s="86"/>
      <c r="I7" t="s">
        <v>940</v>
      </c>
      <c r="L7" s="76" t="s">
        <v>163</v>
      </c>
    </row>
    <row r="8" spans="1:12">
      <c r="A8" s="67" t="s">
        <v>860</v>
      </c>
      <c r="B8" t="s">
        <v>879</v>
      </c>
      <c r="C8" t="s">
        <v>874</v>
      </c>
      <c r="E8" t="s">
        <v>97</v>
      </c>
      <c r="F8" t="s">
        <v>57</v>
      </c>
      <c r="H8" s="86"/>
      <c r="I8" t="s">
        <v>941</v>
      </c>
      <c r="L8" s="76" t="s">
        <v>199</v>
      </c>
    </row>
    <row r="9" spans="1:12">
      <c r="A9" s="67" t="s">
        <v>885</v>
      </c>
      <c r="B9" t="s">
        <v>886</v>
      </c>
      <c r="C9" t="s">
        <v>874</v>
      </c>
      <c r="E9" t="s">
        <v>694</v>
      </c>
      <c r="F9" t="s">
        <v>328</v>
      </c>
      <c r="H9" s="86"/>
      <c r="I9" s="36" t="s">
        <v>942</v>
      </c>
      <c r="L9" s="76" t="s">
        <v>187</v>
      </c>
    </row>
    <row r="10" spans="1:12">
      <c r="A10" s="67" t="s">
        <v>862</v>
      </c>
      <c r="B10" t="s">
        <v>881</v>
      </c>
      <c r="C10" t="s">
        <v>874</v>
      </c>
      <c r="E10" t="s">
        <v>100</v>
      </c>
      <c r="F10" t="s">
        <v>61</v>
      </c>
      <c r="H10" s="5" t="s">
        <v>586</v>
      </c>
      <c r="I10" t="s">
        <v>946</v>
      </c>
      <c r="L10" s="76" t="s">
        <v>170</v>
      </c>
    </row>
    <row r="11" spans="1:12">
      <c r="A11" s="67" t="s">
        <v>864</v>
      </c>
      <c r="B11" t="s">
        <v>897</v>
      </c>
      <c r="C11" t="s">
        <v>874</v>
      </c>
      <c r="E11" t="s">
        <v>606</v>
      </c>
      <c r="F11" t="s">
        <v>326</v>
      </c>
      <c r="H11" s="5" t="s">
        <v>943</v>
      </c>
      <c r="I11" s="36" t="s">
        <v>944</v>
      </c>
      <c r="L11" s="76" t="s">
        <v>169</v>
      </c>
    </row>
    <row r="12" spans="1:12">
      <c r="A12" s="66" t="s">
        <v>865</v>
      </c>
      <c r="B12" t="s">
        <v>896</v>
      </c>
      <c r="C12" t="s">
        <v>874</v>
      </c>
      <c r="E12" t="s">
        <v>102</v>
      </c>
      <c r="F12" t="s">
        <v>63</v>
      </c>
      <c r="H12" s="86" t="s">
        <v>915</v>
      </c>
      <c r="I12" t="s">
        <v>987</v>
      </c>
      <c r="L12" s="76" t="s">
        <v>168</v>
      </c>
    </row>
    <row r="13" spans="1:12">
      <c r="A13" s="66" t="s">
        <v>887</v>
      </c>
      <c r="B13" s="72" t="s">
        <v>976</v>
      </c>
      <c r="E13" t="s">
        <v>103</v>
      </c>
      <c r="F13" t="s">
        <v>65</v>
      </c>
      <c r="H13" s="86"/>
      <c r="I13" s="42" t="s">
        <v>1017</v>
      </c>
      <c r="L13" s="76" t="s">
        <v>165</v>
      </c>
    </row>
    <row r="14" spans="1:12">
      <c r="A14" s="35" t="s">
        <v>243</v>
      </c>
      <c r="B14" t="s">
        <v>895</v>
      </c>
      <c r="C14" t="s">
        <v>873</v>
      </c>
      <c r="E14" t="s">
        <v>104</v>
      </c>
      <c r="F14" t="s">
        <v>73</v>
      </c>
      <c r="H14" s="86"/>
      <c r="I14" t="s">
        <v>1021</v>
      </c>
      <c r="L14" s="76" t="s">
        <v>172</v>
      </c>
    </row>
    <row r="15" spans="1:12">
      <c r="A15" s="33" t="s">
        <v>854</v>
      </c>
      <c r="B15" t="s">
        <v>870</v>
      </c>
      <c r="C15" t="s">
        <v>873</v>
      </c>
      <c r="E15" t="s">
        <v>909</v>
      </c>
      <c r="F15" t="s">
        <v>911</v>
      </c>
      <c r="H15" s="86"/>
      <c r="I15" t="s">
        <v>1144</v>
      </c>
      <c r="L15" s="76" t="s">
        <v>173</v>
      </c>
    </row>
    <row r="16" spans="1:12">
      <c r="A16" s="33" t="s">
        <v>246</v>
      </c>
      <c r="B16" t="s">
        <v>869</v>
      </c>
      <c r="C16" t="s">
        <v>873</v>
      </c>
      <c r="E16" t="s">
        <v>910</v>
      </c>
      <c r="F16" t="s">
        <v>912</v>
      </c>
      <c r="H16" s="86"/>
      <c r="I16" s="96" t="s">
        <v>1358</v>
      </c>
    </row>
    <row r="17" spans="1:9">
      <c r="A17" s="33" t="s">
        <v>855</v>
      </c>
      <c r="B17" t="s">
        <v>875</v>
      </c>
      <c r="C17" t="s">
        <v>873</v>
      </c>
      <c r="E17" t="s">
        <v>105</v>
      </c>
      <c r="F17" t="s">
        <v>78</v>
      </c>
      <c r="H17" s="97" t="s">
        <v>152</v>
      </c>
      <c r="I17" t="s">
        <v>1347</v>
      </c>
    </row>
    <row r="18" spans="1:9">
      <c r="A18" s="33" t="s">
        <v>856</v>
      </c>
      <c r="B18" t="s">
        <v>876</v>
      </c>
      <c r="C18" t="s">
        <v>873</v>
      </c>
      <c r="E18" t="s">
        <v>906</v>
      </c>
      <c r="F18" t="s">
        <v>329</v>
      </c>
      <c r="H18" s="97"/>
      <c r="I18" t="s">
        <v>1349</v>
      </c>
    </row>
    <row r="19" spans="1:9">
      <c r="A19" s="33" t="s">
        <v>857</v>
      </c>
      <c r="B19" t="s">
        <v>877</v>
      </c>
      <c r="C19" t="s">
        <v>873</v>
      </c>
      <c r="E19" t="s">
        <v>907</v>
      </c>
      <c r="F19" t="s">
        <v>331</v>
      </c>
      <c r="H19" s="97"/>
      <c r="I19" t="s">
        <v>1351</v>
      </c>
    </row>
    <row r="20" spans="1:9">
      <c r="A20" s="66" t="s">
        <v>858</v>
      </c>
      <c r="B20" t="s">
        <v>868</v>
      </c>
      <c r="C20" t="s">
        <v>873</v>
      </c>
      <c r="E20" t="s">
        <v>138</v>
      </c>
      <c r="F20" t="s">
        <v>330</v>
      </c>
      <c r="H20" s="97"/>
      <c r="I20" t="s">
        <v>1352</v>
      </c>
    </row>
    <row r="21" spans="1:9">
      <c r="A21" s="66" t="s">
        <v>861</v>
      </c>
      <c r="B21" t="s">
        <v>880</v>
      </c>
      <c r="C21" t="s">
        <v>873</v>
      </c>
      <c r="E21" t="s">
        <v>110</v>
      </c>
      <c r="F21" t="s">
        <v>69</v>
      </c>
      <c r="H21" s="97"/>
      <c r="I21" t="s">
        <v>1353</v>
      </c>
    </row>
    <row r="22" spans="1:9">
      <c r="A22" s="66" t="s">
        <v>863</v>
      </c>
      <c r="B22" t="s">
        <v>882</v>
      </c>
      <c r="C22" t="s">
        <v>873</v>
      </c>
      <c r="E22" t="s">
        <v>111</v>
      </c>
      <c r="F22" t="s">
        <v>908</v>
      </c>
      <c r="H22" s="97"/>
      <c r="I22" t="s">
        <v>1354</v>
      </c>
    </row>
    <row r="23" spans="1:9">
      <c r="A23" s="66" t="s">
        <v>866</v>
      </c>
      <c r="C23" t="s">
        <v>873</v>
      </c>
      <c r="E23" t="s">
        <v>141</v>
      </c>
      <c r="F23" t="s">
        <v>913</v>
      </c>
      <c r="H23" s="97"/>
      <c r="I23" t="s">
        <v>1356</v>
      </c>
    </row>
    <row r="24" spans="1:9">
      <c r="A24" s="66" t="s">
        <v>883</v>
      </c>
      <c r="B24" t="s">
        <v>884</v>
      </c>
      <c r="C24" t="s">
        <v>873</v>
      </c>
      <c r="E24" t="s">
        <v>140</v>
      </c>
      <c r="H24" s="97"/>
      <c r="I24" t="s">
        <v>1360</v>
      </c>
    </row>
    <row r="25" spans="1:9">
      <c r="A25" s="66" t="s">
        <v>867</v>
      </c>
      <c r="B25" t="s">
        <v>888</v>
      </c>
      <c r="C25" t="s">
        <v>873</v>
      </c>
      <c r="E25" t="s">
        <v>142</v>
      </c>
      <c r="F25" t="s">
        <v>925</v>
      </c>
      <c r="H25" s="5" t="s">
        <v>491</v>
      </c>
      <c r="I25" t="s">
        <v>1362</v>
      </c>
    </row>
    <row r="26" spans="1:9">
      <c r="A26" s="66" t="s">
        <v>890</v>
      </c>
      <c r="B26" t="s">
        <v>889</v>
      </c>
      <c r="C26" t="s">
        <v>873</v>
      </c>
      <c r="E26" t="s">
        <v>193</v>
      </c>
      <c r="F26" t="s">
        <v>914</v>
      </c>
    </row>
    <row r="27" spans="1:9">
      <c r="A27" s="66" t="s">
        <v>300</v>
      </c>
      <c r="B27" t="s">
        <v>892</v>
      </c>
      <c r="C27" t="s">
        <v>873</v>
      </c>
      <c r="E27" t="s">
        <v>143</v>
      </c>
      <c r="F27" t="s">
        <v>924</v>
      </c>
    </row>
    <row r="28" spans="1:9">
      <c r="A28" s="66" t="s">
        <v>893</v>
      </c>
      <c r="B28" t="s">
        <v>894</v>
      </c>
      <c r="C28" t="s">
        <v>873</v>
      </c>
      <c r="E28" t="s">
        <v>145</v>
      </c>
    </row>
    <row r="29" spans="1:9">
      <c r="A29" s="33" t="s">
        <v>251</v>
      </c>
      <c r="B29" t="s">
        <v>307</v>
      </c>
      <c r="E29" t="s">
        <v>146</v>
      </c>
    </row>
    <row r="30" spans="1:9">
      <c r="A30" s="33" t="s">
        <v>253</v>
      </c>
      <c r="E30" t="s">
        <v>847</v>
      </c>
      <c r="F30" t="s">
        <v>916</v>
      </c>
    </row>
    <row r="31" spans="1:9">
      <c r="A31" s="33" t="s">
        <v>254</v>
      </c>
      <c r="E31" t="s">
        <v>848</v>
      </c>
      <c r="F31" t="s">
        <v>917</v>
      </c>
      <c r="H31" t="s">
        <v>998</v>
      </c>
      <c r="I31" s="87" t="s">
        <v>999</v>
      </c>
    </row>
    <row r="32" spans="1:9">
      <c r="E32" t="s">
        <v>153</v>
      </c>
      <c r="F32" t="s">
        <v>918</v>
      </c>
      <c r="I32" s="88"/>
    </row>
    <row r="33" spans="5:6">
      <c r="E33" t="s">
        <v>203</v>
      </c>
    </row>
    <row r="34" spans="5:6">
      <c r="E34" t="s">
        <v>204</v>
      </c>
    </row>
    <row r="35" spans="5:6">
      <c r="E35" t="s">
        <v>188</v>
      </c>
    </row>
    <row r="36" spans="5:6">
      <c r="E36" t="s">
        <v>205</v>
      </c>
    </row>
    <row r="37" spans="5:6">
      <c r="E37" t="s">
        <v>189</v>
      </c>
    </row>
    <row r="38" spans="5:6">
      <c r="E38" t="s">
        <v>899</v>
      </c>
    </row>
    <row r="39" spans="5:6">
      <c r="E39" t="s">
        <v>900</v>
      </c>
    </row>
    <row r="40" spans="5:6">
      <c r="E40" t="s">
        <v>901</v>
      </c>
      <c r="F40" t="s">
        <v>919</v>
      </c>
    </row>
    <row r="41" spans="5:6">
      <c r="E41" t="s">
        <v>286</v>
      </c>
    </row>
    <row r="42" spans="5:6">
      <c r="E42" t="s">
        <v>902</v>
      </c>
    </row>
    <row r="43" spans="5:6">
      <c r="E43" t="s">
        <v>304</v>
      </c>
    </row>
    <row r="44" spans="5:6">
      <c r="E44" t="s">
        <v>903</v>
      </c>
    </row>
    <row r="45" spans="5:6">
      <c r="E45" t="s">
        <v>302</v>
      </c>
    </row>
    <row r="46" spans="5:6">
      <c r="E46" t="s">
        <v>285</v>
      </c>
    </row>
    <row r="47" spans="5:6">
      <c r="E47" t="s">
        <v>197</v>
      </c>
      <c r="F47" t="s">
        <v>923</v>
      </c>
    </row>
    <row r="48" spans="5:6">
      <c r="E48" t="s">
        <v>303</v>
      </c>
    </row>
    <row r="49" spans="5:6">
      <c r="E49" t="s">
        <v>920</v>
      </c>
      <c r="F49" t="s">
        <v>921</v>
      </c>
    </row>
    <row r="50" spans="5:6">
      <c r="E50" t="s">
        <v>926</v>
      </c>
      <c r="F50" t="s">
        <v>927</v>
      </c>
    </row>
    <row r="51" spans="5:6">
      <c r="E51" t="s">
        <v>200</v>
      </c>
      <c r="F51" t="s">
        <v>922</v>
      </c>
    </row>
    <row r="52" spans="5:6">
      <c r="E52" t="s">
        <v>904</v>
      </c>
    </row>
    <row r="53" spans="5:6">
      <c r="E53" t="s">
        <v>905</v>
      </c>
    </row>
  </sheetData>
  <mergeCells count="4">
    <mergeCell ref="H6:H9"/>
    <mergeCell ref="I31:I32"/>
    <mergeCell ref="H12:H16"/>
    <mergeCell ref="H17:H24"/>
  </mergeCells>
  <phoneticPr fontId="5" type="noConversion"/>
  <pageMargins left="0.7" right="0.7" top="0.75" bottom="0.75" header="0.3" footer="0.3"/>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AE500"/>
  <sheetViews>
    <sheetView zoomScaleNormal="100" workbookViewId="0">
      <pane ySplit="1" topLeftCell="A259" activePane="bottomLeft" state="frozen"/>
      <selection pane="bottomLeft" activeCell="E511" sqref="E511"/>
    </sheetView>
  </sheetViews>
  <sheetFormatPr defaultRowHeight="13.8"/>
  <cols>
    <col min="1" max="1" width="9.5546875" customWidth="1"/>
    <col min="2" max="2" width="11.33203125" style="41" customWidth="1"/>
    <col min="3" max="3" width="11.6640625" customWidth="1"/>
    <col min="4" max="4" width="13.44140625" customWidth="1"/>
    <col min="5" max="5" width="14.33203125" customWidth="1"/>
    <col min="6" max="6" width="16.109375" customWidth="1"/>
    <col min="7" max="7" width="39" customWidth="1"/>
  </cols>
  <sheetData>
    <row r="1" spans="1:8">
      <c r="A1" s="5" t="s">
        <v>28</v>
      </c>
      <c r="B1" s="40" t="s">
        <v>38</v>
      </c>
      <c r="C1" s="5" t="s">
        <v>937</v>
      </c>
      <c r="D1" s="5" t="s">
        <v>40</v>
      </c>
      <c r="E1" s="5" t="s">
        <v>934</v>
      </c>
      <c r="F1" s="5" t="s">
        <v>216</v>
      </c>
      <c r="G1" s="5" t="s">
        <v>32</v>
      </c>
    </row>
    <row r="2" spans="1:8" hidden="1">
      <c r="A2" t="s">
        <v>240</v>
      </c>
      <c r="B2" s="41">
        <v>46022</v>
      </c>
      <c r="C2" t="s">
        <v>37</v>
      </c>
      <c r="D2" t="s">
        <v>251</v>
      </c>
      <c r="E2" t="s">
        <v>25</v>
      </c>
      <c r="F2" s="2"/>
      <c r="G2" s="2" t="s">
        <v>252</v>
      </c>
    </row>
    <row r="3" spans="1:8" hidden="1">
      <c r="A3" t="s">
        <v>241</v>
      </c>
      <c r="B3" s="41">
        <v>46022</v>
      </c>
      <c r="C3" t="s">
        <v>37</v>
      </c>
      <c r="D3" t="s">
        <v>253</v>
      </c>
      <c r="E3" t="s">
        <v>25</v>
      </c>
      <c r="F3" s="2" t="s">
        <v>215</v>
      </c>
      <c r="G3" s="2" t="s">
        <v>217</v>
      </c>
    </row>
    <row r="4" spans="1:8" hidden="1">
      <c r="A4" t="s">
        <v>242</v>
      </c>
      <c r="B4" s="41">
        <v>46022</v>
      </c>
      <c r="C4" t="s">
        <v>37</v>
      </c>
      <c r="D4" t="s">
        <v>254</v>
      </c>
      <c r="E4" t="s">
        <v>25</v>
      </c>
      <c r="F4" s="2" t="s">
        <v>215</v>
      </c>
      <c r="G4" s="2" t="s">
        <v>255</v>
      </c>
    </row>
    <row r="5" spans="1:8" hidden="1">
      <c r="A5" t="s">
        <v>256</v>
      </c>
      <c r="B5" s="41">
        <v>46053</v>
      </c>
      <c r="C5" t="s">
        <v>35</v>
      </c>
      <c r="D5" t="s">
        <v>1316</v>
      </c>
      <c r="E5" t="s">
        <v>24</v>
      </c>
      <c r="F5" s="2"/>
      <c r="G5" s="2" t="s">
        <v>315</v>
      </c>
    </row>
    <row r="6" spans="1:8" hidden="1">
      <c r="A6" t="s">
        <v>257</v>
      </c>
      <c r="B6" s="41">
        <v>46053</v>
      </c>
      <c r="C6" t="s">
        <v>299</v>
      </c>
      <c r="D6" t="s">
        <v>288</v>
      </c>
      <c r="E6" t="s">
        <v>23</v>
      </c>
      <c r="F6" s="2"/>
      <c r="G6" s="2" t="s">
        <v>433</v>
      </c>
    </row>
    <row r="7" spans="1:8" s="19" customFormat="1" hidden="1">
      <c r="A7" s="34" t="s">
        <v>258</v>
      </c>
      <c r="B7" s="41">
        <v>46053</v>
      </c>
      <c r="C7" s="34" t="s">
        <v>299</v>
      </c>
      <c r="D7" s="34" t="s">
        <v>287</v>
      </c>
      <c r="E7" s="34" t="s">
        <v>23</v>
      </c>
      <c r="F7" s="34"/>
      <c r="G7" s="34"/>
    </row>
    <row r="8" spans="1:8" hidden="1">
      <c r="A8" t="s">
        <v>259</v>
      </c>
      <c r="B8" s="41">
        <v>46053</v>
      </c>
      <c r="C8" t="s">
        <v>35</v>
      </c>
      <c r="D8" t="s">
        <v>309</v>
      </c>
      <c r="E8" t="s">
        <v>24</v>
      </c>
      <c r="F8" s="2"/>
      <c r="G8" s="2" t="s">
        <v>436</v>
      </c>
    </row>
    <row r="9" spans="1:8" hidden="1">
      <c r="A9" t="s">
        <v>260</v>
      </c>
      <c r="B9" s="41">
        <v>46053</v>
      </c>
      <c r="C9" t="s">
        <v>37</v>
      </c>
      <c r="D9" t="s">
        <v>245</v>
      </c>
      <c r="E9" t="s">
        <v>25</v>
      </c>
      <c r="F9" s="2"/>
      <c r="G9" s="2" t="s">
        <v>250</v>
      </c>
    </row>
    <row r="10" spans="1:8" hidden="1">
      <c r="A10" t="s">
        <v>261</v>
      </c>
      <c r="B10" s="41">
        <v>46053</v>
      </c>
      <c r="C10" t="s">
        <v>299</v>
      </c>
      <c r="D10" t="s">
        <v>288</v>
      </c>
      <c r="E10" t="s">
        <v>23</v>
      </c>
      <c r="F10" s="2"/>
      <c r="G10" s="2" t="s">
        <v>433</v>
      </c>
    </row>
    <row r="11" spans="1:8" hidden="1">
      <c r="A11" t="s">
        <v>262</v>
      </c>
      <c r="B11" s="41">
        <v>46053</v>
      </c>
      <c r="C11" t="s">
        <v>35</v>
      </c>
      <c r="D11" t="s">
        <v>289</v>
      </c>
      <c r="E11" t="s">
        <v>24</v>
      </c>
      <c r="F11" s="2"/>
      <c r="G11" s="2" t="s">
        <v>347</v>
      </c>
    </row>
    <row r="12" spans="1:8" hidden="1">
      <c r="A12" t="s">
        <v>263</v>
      </c>
      <c r="B12" s="41">
        <v>46053</v>
      </c>
      <c r="C12" t="s">
        <v>35</v>
      </c>
      <c r="D12" t="s">
        <v>289</v>
      </c>
      <c r="E12" t="s">
        <v>24</v>
      </c>
      <c r="F12" s="2"/>
      <c r="G12" s="2" t="s">
        <v>434</v>
      </c>
    </row>
    <row r="13" spans="1:8" hidden="1">
      <c r="A13" t="s">
        <v>264</v>
      </c>
      <c r="B13" s="41">
        <v>46053</v>
      </c>
      <c r="C13" t="s">
        <v>35</v>
      </c>
      <c r="D13" t="s">
        <v>289</v>
      </c>
      <c r="E13" t="s">
        <v>24</v>
      </c>
      <c r="F13" s="2"/>
      <c r="G13" s="2" t="s">
        <v>347</v>
      </c>
    </row>
    <row r="14" spans="1:8" hidden="1">
      <c r="A14" t="s">
        <v>265</v>
      </c>
      <c r="B14" s="41">
        <v>46053</v>
      </c>
      <c r="C14" t="s">
        <v>299</v>
      </c>
      <c r="D14" t="s">
        <v>1313</v>
      </c>
      <c r="E14" t="s">
        <v>24</v>
      </c>
      <c r="F14" s="2"/>
      <c r="G14" s="2" t="s">
        <v>318</v>
      </c>
    </row>
    <row r="15" spans="1:8" hidden="1">
      <c r="A15" t="s">
        <v>266</v>
      </c>
      <c r="B15" s="41">
        <v>46053</v>
      </c>
      <c r="C15" t="s">
        <v>37</v>
      </c>
      <c r="D15" t="s">
        <v>289</v>
      </c>
      <c r="E15" t="s">
        <v>24</v>
      </c>
      <c r="F15" s="2"/>
      <c r="G15" s="2" t="s">
        <v>541</v>
      </c>
      <c r="H15" s="36"/>
    </row>
    <row r="16" spans="1:8" hidden="1">
      <c r="A16" t="s">
        <v>267</v>
      </c>
      <c r="B16" s="41">
        <v>46053</v>
      </c>
      <c r="C16" t="s">
        <v>299</v>
      </c>
      <c r="D16" t="s">
        <v>288</v>
      </c>
      <c r="E16" t="s">
        <v>23</v>
      </c>
      <c r="F16" s="2"/>
      <c r="G16" s="2"/>
    </row>
    <row r="17" spans="1:7" hidden="1">
      <c r="A17" t="s">
        <v>268</v>
      </c>
      <c r="B17" s="41">
        <v>46053</v>
      </c>
      <c r="C17" t="s">
        <v>299</v>
      </c>
      <c r="D17" t="s">
        <v>287</v>
      </c>
      <c r="E17" t="s">
        <v>23</v>
      </c>
      <c r="F17" s="2"/>
      <c r="G17" s="2"/>
    </row>
    <row r="18" spans="1:7" hidden="1">
      <c r="A18" t="s">
        <v>269</v>
      </c>
      <c r="B18" s="41">
        <v>46053</v>
      </c>
      <c r="C18" t="s">
        <v>299</v>
      </c>
      <c r="D18" t="s">
        <v>288</v>
      </c>
      <c r="E18" t="s">
        <v>23</v>
      </c>
      <c r="F18" s="2"/>
      <c r="G18" s="2"/>
    </row>
    <row r="19" spans="1:7" hidden="1">
      <c r="A19" t="s">
        <v>270</v>
      </c>
      <c r="B19" s="41">
        <v>46053</v>
      </c>
      <c r="C19" t="s">
        <v>299</v>
      </c>
      <c r="D19" t="s">
        <v>287</v>
      </c>
      <c r="E19" t="s">
        <v>23</v>
      </c>
      <c r="F19" s="2"/>
      <c r="G19" s="2"/>
    </row>
    <row r="20" spans="1:7" hidden="1">
      <c r="A20" t="s">
        <v>271</v>
      </c>
      <c r="B20" s="41">
        <v>46053</v>
      </c>
      <c r="C20" t="s">
        <v>299</v>
      </c>
      <c r="D20" t="s">
        <v>153</v>
      </c>
      <c r="E20" t="s">
        <v>22</v>
      </c>
      <c r="F20" s="2"/>
      <c r="G20" s="2" t="s">
        <v>247</v>
      </c>
    </row>
    <row r="21" spans="1:7" hidden="1">
      <c r="A21" t="s">
        <v>272</v>
      </c>
      <c r="B21" s="41">
        <v>46053</v>
      </c>
      <c r="C21" t="s">
        <v>299</v>
      </c>
      <c r="D21" t="s">
        <v>153</v>
      </c>
      <c r="E21" t="s">
        <v>22</v>
      </c>
      <c r="F21" s="2"/>
      <c r="G21" s="2" t="s">
        <v>248</v>
      </c>
    </row>
    <row r="22" spans="1:7" hidden="1">
      <c r="A22" t="s">
        <v>273</v>
      </c>
      <c r="B22" s="41">
        <v>46053</v>
      </c>
      <c r="C22" t="s">
        <v>299</v>
      </c>
      <c r="D22" t="s">
        <v>288</v>
      </c>
      <c r="E22" t="s">
        <v>23</v>
      </c>
      <c r="F22" s="2"/>
      <c r="G22" s="2"/>
    </row>
    <row r="23" spans="1:7" hidden="1">
      <c r="A23" t="s">
        <v>274</v>
      </c>
      <c r="B23" s="41">
        <v>46053</v>
      </c>
      <c r="C23" t="s">
        <v>37</v>
      </c>
      <c r="D23" t="s">
        <v>245</v>
      </c>
      <c r="E23" t="s">
        <v>25</v>
      </c>
      <c r="F23" s="2"/>
      <c r="G23" s="2" t="s">
        <v>249</v>
      </c>
    </row>
    <row r="24" spans="1:7" hidden="1">
      <c r="A24" t="s">
        <v>275</v>
      </c>
      <c r="B24" s="41">
        <v>46053</v>
      </c>
      <c r="C24" t="s">
        <v>37</v>
      </c>
      <c r="D24" t="s">
        <v>245</v>
      </c>
      <c r="E24" t="s">
        <v>25</v>
      </c>
      <c r="F24" s="2"/>
      <c r="G24" s="2" t="s">
        <v>250</v>
      </c>
    </row>
    <row r="25" spans="1:7" hidden="1">
      <c r="A25" t="s">
        <v>276</v>
      </c>
      <c r="B25" s="41">
        <v>46053</v>
      </c>
      <c r="C25" t="s">
        <v>299</v>
      </c>
      <c r="D25" t="s">
        <v>244</v>
      </c>
      <c r="E25" t="s">
        <v>23</v>
      </c>
      <c r="F25" s="2"/>
      <c r="G25" s="2" t="s">
        <v>808</v>
      </c>
    </row>
    <row r="26" spans="1:7" hidden="1">
      <c r="A26" t="s">
        <v>277</v>
      </c>
      <c r="B26" s="41">
        <v>46053</v>
      </c>
      <c r="C26" t="s">
        <v>299</v>
      </c>
      <c r="D26" t="s">
        <v>1313</v>
      </c>
      <c r="E26" t="s">
        <v>24</v>
      </c>
      <c r="F26" s="2"/>
      <c r="G26" s="2" t="s">
        <v>318</v>
      </c>
    </row>
    <row r="27" spans="1:7" hidden="1">
      <c r="A27" t="s">
        <v>278</v>
      </c>
      <c r="B27" s="41">
        <v>46053</v>
      </c>
      <c r="C27" t="s">
        <v>37</v>
      </c>
      <c r="D27" t="s">
        <v>245</v>
      </c>
      <c r="E27" t="s">
        <v>25</v>
      </c>
      <c r="F27" s="2"/>
      <c r="G27" s="2" t="s">
        <v>250</v>
      </c>
    </row>
    <row r="28" spans="1:7" hidden="1">
      <c r="A28" t="s">
        <v>279</v>
      </c>
      <c r="B28" s="41">
        <v>46053</v>
      </c>
      <c r="C28" t="s">
        <v>299</v>
      </c>
      <c r="D28" t="s">
        <v>288</v>
      </c>
      <c r="E28" t="s">
        <v>23</v>
      </c>
      <c r="F28" s="2"/>
      <c r="G28" s="2"/>
    </row>
    <row r="29" spans="1:7" hidden="1">
      <c r="A29" t="s">
        <v>280</v>
      </c>
      <c r="B29" s="41">
        <v>46053</v>
      </c>
      <c r="C29" t="s">
        <v>299</v>
      </c>
      <c r="D29" t="s">
        <v>312</v>
      </c>
      <c r="E29" t="s">
        <v>23</v>
      </c>
      <c r="F29" s="2"/>
      <c r="G29" s="2" t="s">
        <v>312</v>
      </c>
    </row>
    <row r="30" spans="1:7" hidden="1">
      <c r="A30" t="s">
        <v>281</v>
      </c>
      <c r="B30" s="41">
        <v>46053</v>
      </c>
      <c r="C30" t="s">
        <v>299</v>
      </c>
      <c r="D30" t="s">
        <v>288</v>
      </c>
      <c r="E30" t="s">
        <v>23</v>
      </c>
      <c r="F30" s="2"/>
      <c r="G30" s="2"/>
    </row>
    <row r="31" spans="1:7" hidden="1">
      <c r="A31" t="s">
        <v>282</v>
      </c>
      <c r="B31" s="41">
        <v>46053</v>
      </c>
      <c r="C31" t="s">
        <v>299</v>
      </c>
      <c r="D31" t="s">
        <v>287</v>
      </c>
      <c r="E31" t="s">
        <v>23</v>
      </c>
      <c r="F31" s="2"/>
      <c r="G31" s="2"/>
    </row>
    <row r="32" spans="1:7" hidden="1">
      <c r="A32" t="s">
        <v>283</v>
      </c>
      <c r="B32" s="41">
        <v>46053</v>
      </c>
      <c r="C32" t="s">
        <v>299</v>
      </c>
      <c r="D32" t="s">
        <v>288</v>
      </c>
      <c r="E32" t="s">
        <v>23</v>
      </c>
      <c r="F32" s="2"/>
      <c r="G32" s="2"/>
    </row>
    <row r="33" spans="1:7" hidden="1">
      <c r="A33" t="s">
        <v>284</v>
      </c>
      <c r="B33" s="41">
        <v>46053</v>
      </c>
      <c r="C33" t="s">
        <v>299</v>
      </c>
      <c r="D33" t="s">
        <v>287</v>
      </c>
      <c r="E33" t="s">
        <v>23</v>
      </c>
      <c r="F33" s="2"/>
      <c r="G33" s="2"/>
    </row>
    <row r="34" spans="1:7" hidden="1">
      <c r="A34" t="s">
        <v>319</v>
      </c>
      <c r="B34" s="41">
        <v>46053</v>
      </c>
      <c r="C34" t="s">
        <v>35</v>
      </c>
      <c r="D34" t="s">
        <v>1325</v>
      </c>
      <c r="E34" t="s">
        <v>24</v>
      </c>
      <c r="G34" s="2" t="s">
        <v>320</v>
      </c>
    </row>
    <row r="35" spans="1:7" hidden="1">
      <c r="A35" t="s">
        <v>321</v>
      </c>
      <c r="B35" s="41">
        <v>46053</v>
      </c>
      <c r="C35" t="s">
        <v>35</v>
      </c>
      <c r="D35" t="s">
        <v>364</v>
      </c>
      <c r="E35" t="s">
        <v>24</v>
      </c>
      <c r="G35" s="2" t="s">
        <v>431</v>
      </c>
    </row>
    <row r="36" spans="1:7" hidden="1">
      <c r="A36" t="s">
        <v>322</v>
      </c>
      <c r="B36" s="41">
        <v>46053</v>
      </c>
      <c r="C36" t="s">
        <v>35</v>
      </c>
      <c r="D36" t="s">
        <v>1303</v>
      </c>
      <c r="E36" t="s">
        <v>158</v>
      </c>
      <c r="G36" s="2" t="s">
        <v>435</v>
      </c>
    </row>
    <row r="37" spans="1:7" hidden="1">
      <c r="A37" t="s">
        <v>324</v>
      </c>
      <c r="B37" s="41">
        <v>46053</v>
      </c>
      <c r="C37" t="s">
        <v>299</v>
      </c>
      <c r="D37" s="19" t="s">
        <v>365</v>
      </c>
      <c r="E37" t="s">
        <v>24</v>
      </c>
      <c r="G37" s="2" t="s">
        <v>325</v>
      </c>
    </row>
    <row r="38" spans="1:7" hidden="1">
      <c r="A38" t="s">
        <v>332</v>
      </c>
      <c r="B38" s="41">
        <v>46053</v>
      </c>
      <c r="C38" t="s">
        <v>299</v>
      </c>
      <c r="D38" s="19" t="s">
        <v>365</v>
      </c>
      <c r="E38" t="s">
        <v>24</v>
      </c>
      <c r="G38" s="2" t="s">
        <v>325</v>
      </c>
    </row>
    <row r="39" spans="1:7" hidden="1">
      <c r="A39" t="s">
        <v>335</v>
      </c>
      <c r="B39" s="41">
        <v>46053</v>
      </c>
      <c r="C39" t="s">
        <v>35</v>
      </c>
      <c r="D39" t="s">
        <v>1331</v>
      </c>
      <c r="E39" t="s">
        <v>24</v>
      </c>
      <c r="G39" s="2" t="s">
        <v>333</v>
      </c>
    </row>
    <row r="40" spans="1:7" hidden="1">
      <c r="A40" t="s">
        <v>337</v>
      </c>
      <c r="B40" s="41">
        <v>46053</v>
      </c>
      <c r="C40" t="s">
        <v>35</v>
      </c>
      <c r="D40" t="s">
        <v>1331</v>
      </c>
      <c r="E40" t="s">
        <v>24</v>
      </c>
      <c r="G40" s="2" t="s">
        <v>333</v>
      </c>
    </row>
    <row r="41" spans="1:7" hidden="1">
      <c r="A41" t="s">
        <v>338</v>
      </c>
      <c r="B41" s="41">
        <v>46053</v>
      </c>
      <c r="C41" t="s">
        <v>299</v>
      </c>
      <c r="D41" s="19" t="s">
        <v>365</v>
      </c>
      <c r="E41" t="s">
        <v>24</v>
      </c>
      <c r="G41" s="2" t="s">
        <v>325</v>
      </c>
    </row>
    <row r="42" spans="1:7" hidden="1">
      <c r="A42" t="s">
        <v>339</v>
      </c>
      <c r="B42" s="41">
        <v>46053</v>
      </c>
      <c r="C42" t="s">
        <v>35</v>
      </c>
      <c r="D42" s="42" t="s">
        <v>1328</v>
      </c>
      <c r="E42" t="s">
        <v>24</v>
      </c>
      <c r="G42" s="2" t="s">
        <v>340</v>
      </c>
    </row>
    <row r="43" spans="1:7" hidden="1">
      <c r="A43" t="s">
        <v>341</v>
      </c>
      <c r="B43" s="41">
        <v>46053</v>
      </c>
      <c r="C43" t="s">
        <v>35</v>
      </c>
      <c r="D43" s="42" t="s">
        <v>309</v>
      </c>
      <c r="E43" t="s">
        <v>24</v>
      </c>
      <c r="G43" s="2" t="s">
        <v>436</v>
      </c>
    </row>
    <row r="44" spans="1:7" hidden="1">
      <c r="A44" t="s">
        <v>342</v>
      </c>
      <c r="B44" s="41">
        <v>46053</v>
      </c>
      <c r="C44" t="s">
        <v>35</v>
      </c>
      <c r="D44" t="s">
        <v>1316</v>
      </c>
      <c r="E44" t="s">
        <v>24</v>
      </c>
      <c r="G44" s="2" t="s">
        <v>315</v>
      </c>
    </row>
    <row r="45" spans="1:7" hidden="1">
      <c r="A45" t="s">
        <v>343</v>
      </c>
      <c r="B45" s="41">
        <v>46053</v>
      </c>
      <c r="C45" t="s">
        <v>299</v>
      </c>
      <c r="D45" s="42" t="s">
        <v>244</v>
      </c>
      <c r="E45" t="s">
        <v>23</v>
      </c>
      <c r="G45" s="2" t="s">
        <v>344</v>
      </c>
    </row>
    <row r="46" spans="1:7" hidden="1">
      <c r="A46" t="s">
        <v>345</v>
      </c>
      <c r="B46" s="41">
        <v>46053</v>
      </c>
      <c r="C46" t="s">
        <v>299</v>
      </c>
      <c r="D46" s="19" t="s">
        <v>365</v>
      </c>
      <c r="E46" t="s">
        <v>24</v>
      </c>
      <c r="G46" s="2" t="s">
        <v>325</v>
      </c>
    </row>
    <row r="47" spans="1:7" hidden="1">
      <c r="A47" t="s">
        <v>346</v>
      </c>
      <c r="B47" s="41">
        <v>46053</v>
      </c>
      <c r="C47" t="s">
        <v>299</v>
      </c>
      <c r="D47" s="42" t="s">
        <v>289</v>
      </c>
      <c r="E47" t="s">
        <v>24</v>
      </c>
      <c r="G47" s="2" t="s">
        <v>152</v>
      </c>
    </row>
    <row r="48" spans="1:7" hidden="1">
      <c r="A48" t="s">
        <v>350</v>
      </c>
      <c r="B48" s="41">
        <v>46053</v>
      </c>
      <c r="C48" t="s">
        <v>35</v>
      </c>
      <c r="D48" s="42" t="s">
        <v>289</v>
      </c>
      <c r="E48" t="s">
        <v>24</v>
      </c>
      <c r="G48" s="2" t="s">
        <v>347</v>
      </c>
    </row>
    <row r="49" spans="1:7" hidden="1">
      <c r="A49" t="s">
        <v>351</v>
      </c>
      <c r="B49" s="41">
        <v>46053</v>
      </c>
      <c r="C49" t="s">
        <v>37</v>
      </c>
      <c r="D49" s="42" t="s">
        <v>289</v>
      </c>
      <c r="E49" t="s">
        <v>24</v>
      </c>
      <c r="G49" s="2" t="s">
        <v>542</v>
      </c>
    </row>
    <row r="50" spans="1:7" hidden="1">
      <c r="A50" t="s">
        <v>355</v>
      </c>
      <c r="B50" s="41">
        <v>46053</v>
      </c>
      <c r="C50" t="s">
        <v>35</v>
      </c>
      <c r="D50" s="42" t="s">
        <v>1332</v>
      </c>
      <c r="E50" t="s">
        <v>24</v>
      </c>
      <c r="G50" s="2" t="s">
        <v>356</v>
      </c>
    </row>
    <row r="51" spans="1:7" hidden="1">
      <c r="A51" t="s">
        <v>357</v>
      </c>
      <c r="B51" s="41">
        <v>46053</v>
      </c>
      <c r="C51" t="s">
        <v>35</v>
      </c>
      <c r="D51" t="s">
        <v>1316</v>
      </c>
      <c r="E51" t="s">
        <v>24</v>
      </c>
      <c r="G51" s="2" t="s">
        <v>315</v>
      </c>
    </row>
    <row r="52" spans="1:7" hidden="1">
      <c r="A52" t="s">
        <v>359</v>
      </c>
      <c r="B52" s="41">
        <v>46053</v>
      </c>
      <c r="C52" t="s">
        <v>299</v>
      </c>
      <c r="D52" s="42" t="s">
        <v>244</v>
      </c>
      <c r="E52" t="s">
        <v>23</v>
      </c>
      <c r="G52" s="2" t="s">
        <v>344</v>
      </c>
    </row>
    <row r="53" spans="1:7" hidden="1">
      <c r="A53" t="s">
        <v>362</v>
      </c>
      <c r="B53" s="41">
        <v>46053</v>
      </c>
      <c r="C53" t="s">
        <v>299</v>
      </c>
      <c r="D53" s="42" t="s">
        <v>244</v>
      </c>
      <c r="E53" t="s">
        <v>23</v>
      </c>
      <c r="G53" s="2" t="s">
        <v>344</v>
      </c>
    </row>
    <row r="54" spans="1:7" hidden="1">
      <c r="A54" t="s">
        <v>363</v>
      </c>
      <c r="B54" s="41">
        <v>46053</v>
      </c>
      <c r="C54" t="s">
        <v>299</v>
      </c>
      <c r="D54" s="42" t="s">
        <v>244</v>
      </c>
      <c r="E54" t="s">
        <v>23</v>
      </c>
      <c r="G54" s="2" t="s">
        <v>344</v>
      </c>
    </row>
    <row r="55" spans="1:7" hidden="1">
      <c r="A55" t="s">
        <v>366</v>
      </c>
      <c r="B55" s="41">
        <v>46053</v>
      </c>
      <c r="C55" t="s">
        <v>299</v>
      </c>
      <c r="D55" s="19" t="s">
        <v>365</v>
      </c>
      <c r="E55" t="s">
        <v>24</v>
      </c>
      <c r="G55" s="2" t="s">
        <v>325</v>
      </c>
    </row>
    <row r="56" spans="1:7" hidden="1">
      <c r="A56" t="s">
        <v>367</v>
      </c>
      <c r="B56" s="41">
        <v>46053</v>
      </c>
      <c r="C56" t="s">
        <v>299</v>
      </c>
      <c r="D56" s="19" t="s">
        <v>365</v>
      </c>
      <c r="E56" t="s">
        <v>24</v>
      </c>
      <c r="G56" s="2" t="s">
        <v>325</v>
      </c>
    </row>
    <row r="57" spans="1:7" hidden="1">
      <c r="A57" t="s">
        <v>368</v>
      </c>
      <c r="B57" s="41">
        <v>46053</v>
      </c>
      <c r="C57" t="s">
        <v>299</v>
      </c>
      <c r="D57" s="42" t="s">
        <v>244</v>
      </c>
      <c r="E57" t="s">
        <v>23</v>
      </c>
      <c r="G57" s="2" t="s">
        <v>344</v>
      </c>
    </row>
    <row r="58" spans="1:7" hidden="1">
      <c r="A58" t="s">
        <v>369</v>
      </c>
      <c r="B58" s="41">
        <v>46053</v>
      </c>
      <c r="C58" t="s">
        <v>33</v>
      </c>
      <c r="D58" s="42" t="s">
        <v>1321</v>
      </c>
      <c r="E58" t="s">
        <v>24</v>
      </c>
      <c r="G58" s="2" t="s">
        <v>370</v>
      </c>
    </row>
    <row r="59" spans="1:7" hidden="1">
      <c r="A59" t="s">
        <v>371</v>
      </c>
      <c r="B59" s="41">
        <v>46053</v>
      </c>
      <c r="C59" t="s">
        <v>35</v>
      </c>
      <c r="D59" s="42" t="s">
        <v>432</v>
      </c>
      <c r="E59" t="s">
        <v>24</v>
      </c>
      <c r="G59" s="2" t="s">
        <v>372</v>
      </c>
    </row>
    <row r="60" spans="1:7" hidden="1">
      <c r="A60" t="s">
        <v>373</v>
      </c>
      <c r="B60" s="41">
        <v>46053</v>
      </c>
      <c r="C60" t="s">
        <v>299</v>
      </c>
      <c r="D60" s="19" t="s">
        <v>365</v>
      </c>
      <c r="E60" t="s">
        <v>24</v>
      </c>
      <c r="G60" s="2" t="s">
        <v>325</v>
      </c>
    </row>
    <row r="61" spans="1:7" hidden="1">
      <c r="A61" t="s">
        <v>374</v>
      </c>
      <c r="B61" s="41">
        <v>46053</v>
      </c>
      <c r="C61" t="s">
        <v>37</v>
      </c>
      <c r="D61" t="s">
        <v>375</v>
      </c>
      <c r="E61" t="s">
        <v>25</v>
      </c>
      <c r="G61" s="2" t="s">
        <v>376</v>
      </c>
    </row>
    <row r="62" spans="1:7" hidden="1">
      <c r="A62" t="s">
        <v>377</v>
      </c>
      <c r="B62" s="41">
        <v>46053</v>
      </c>
      <c r="C62" t="s">
        <v>37</v>
      </c>
      <c r="D62" t="s">
        <v>375</v>
      </c>
      <c r="E62" t="s">
        <v>25</v>
      </c>
      <c r="G62" s="2" t="s">
        <v>378</v>
      </c>
    </row>
    <row r="63" spans="1:7" hidden="1">
      <c r="A63" t="s">
        <v>379</v>
      </c>
      <c r="B63" s="41">
        <v>46053</v>
      </c>
      <c r="C63" t="s">
        <v>37</v>
      </c>
      <c r="D63" t="s">
        <v>375</v>
      </c>
      <c r="E63" t="s">
        <v>25</v>
      </c>
      <c r="G63" s="2" t="s">
        <v>380</v>
      </c>
    </row>
    <row r="64" spans="1:7" hidden="1">
      <c r="A64" t="s">
        <v>381</v>
      </c>
      <c r="B64" s="41">
        <v>46053</v>
      </c>
      <c r="C64" t="s">
        <v>299</v>
      </c>
      <c r="D64" s="19" t="s">
        <v>365</v>
      </c>
      <c r="E64" t="s">
        <v>24</v>
      </c>
      <c r="G64" s="2" t="s">
        <v>382</v>
      </c>
    </row>
    <row r="65" spans="1:7" hidden="1">
      <c r="A65" t="s">
        <v>383</v>
      </c>
      <c r="B65" s="41">
        <v>46053</v>
      </c>
      <c r="C65" t="s">
        <v>35</v>
      </c>
      <c r="D65" t="s">
        <v>1316</v>
      </c>
      <c r="E65" t="s">
        <v>24</v>
      </c>
      <c r="G65" s="2" t="s">
        <v>315</v>
      </c>
    </row>
    <row r="66" spans="1:7" hidden="1">
      <c r="A66" t="s">
        <v>384</v>
      </c>
      <c r="B66" s="41">
        <v>46053</v>
      </c>
      <c r="C66" t="s">
        <v>35</v>
      </c>
      <c r="D66" t="s">
        <v>386</v>
      </c>
      <c r="E66" t="s">
        <v>25</v>
      </c>
      <c r="G66" s="2" t="s">
        <v>385</v>
      </c>
    </row>
    <row r="67" spans="1:7" hidden="1">
      <c r="A67" t="s">
        <v>387</v>
      </c>
      <c r="B67" s="41">
        <v>46053</v>
      </c>
      <c r="C67" t="s">
        <v>35</v>
      </c>
      <c r="D67" t="s">
        <v>1325</v>
      </c>
      <c r="E67" t="s">
        <v>24</v>
      </c>
      <c r="G67" s="2" t="s">
        <v>320</v>
      </c>
    </row>
    <row r="68" spans="1:7" hidden="1">
      <c r="A68" t="s">
        <v>1346</v>
      </c>
      <c r="B68" s="41">
        <v>46053</v>
      </c>
      <c r="C68" t="s">
        <v>299</v>
      </c>
      <c r="D68" t="s">
        <v>364</v>
      </c>
      <c r="E68" t="s">
        <v>24</v>
      </c>
      <c r="G68" s="2" t="s">
        <v>431</v>
      </c>
    </row>
    <row r="69" spans="1:7" hidden="1">
      <c r="A69" t="s">
        <v>388</v>
      </c>
      <c r="B69" s="41">
        <v>46053</v>
      </c>
      <c r="C69" t="s">
        <v>35</v>
      </c>
      <c r="D69" t="s">
        <v>364</v>
      </c>
      <c r="E69" t="s">
        <v>24</v>
      </c>
      <c r="G69" s="2" t="s">
        <v>431</v>
      </c>
    </row>
    <row r="70" spans="1:7" hidden="1">
      <c r="A70" t="s">
        <v>389</v>
      </c>
      <c r="B70" s="41">
        <v>46053</v>
      </c>
      <c r="C70" t="s">
        <v>35</v>
      </c>
      <c r="D70" s="42" t="s">
        <v>1303</v>
      </c>
      <c r="E70" t="s">
        <v>158</v>
      </c>
      <c r="G70" s="2" t="s">
        <v>390</v>
      </c>
    </row>
    <row r="71" spans="1:7" hidden="1">
      <c r="A71" t="s">
        <v>391</v>
      </c>
      <c r="B71" s="41">
        <v>46053</v>
      </c>
      <c r="C71" t="s">
        <v>37</v>
      </c>
      <c r="D71" t="s">
        <v>392</v>
      </c>
      <c r="E71" t="s">
        <v>25</v>
      </c>
      <c r="G71" s="2" t="s">
        <v>393</v>
      </c>
    </row>
    <row r="72" spans="1:7" hidden="1">
      <c r="A72" t="s">
        <v>394</v>
      </c>
      <c r="B72" s="41">
        <v>46053</v>
      </c>
      <c r="C72" t="s">
        <v>37</v>
      </c>
      <c r="D72" t="s">
        <v>375</v>
      </c>
      <c r="E72" t="s">
        <v>25</v>
      </c>
      <c r="G72" s="2" t="s">
        <v>399</v>
      </c>
    </row>
    <row r="73" spans="1:7" hidden="1">
      <c r="A73" t="s">
        <v>1296</v>
      </c>
      <c r="B73" s="41">
        <v>46053</v>
      </c>
      <c r="C73" t="s">
        <v>30</v>
      </c>
      <c r="D73" t="s">
        <v>312</v>
      </c>
      <c r="E73" t="s">
        <v>23</v>
      </c>
      <c r="G73" s="2" t="s">
        <v>312</v>
      </c>
    </row>
    <row r="74" spans="1:7" s="36" customFormat="1" hidden="1">
      <c r="A74" s="19" t="s">
        <v>1295</v>
      </c>
      <c r="B74" s="56">
        <v>46053</v>
      </c>
      <c r="C74" s="19" t="s">
        <v>35</v>
      </c>
      <c r="D74" s="19" t="s">
        <v>401</v>
      </c>
      <c r="E74" s="19" t="s">
        <v>25</v>
      </c>
      <c r="F74" s="19"/>
      <c r="G74" s="2" t="s">
        <v>402</v>
      </c>
    </row>
    <row r="75" spans="1:7" hidden="1">
      <c r="A75" t="s">
        <v>403</v>
      </c>
      <c r="B75" s="41">
        <v>46053</v>
      </c>
      <c r="C75" t="s">
        <v>299</v>
      </c>
      <c r="D75" t="s">
        <v>1306</v>
      </c>
      <c r="E75" t="s">
        <v>22</v>
      </c>
      <c r="G75" s="2" t="s">
        <v>404</v>
      </c>
    </row>
    <row r="76" spans="1:7" hidden="1">
      <c r="A76" t="s">
        <v>405</v>
      </c>
      <c r="B76" s="41">
        <v>46053</v>
      </c>
      <c r="C76" t="s">
        <v>299</v>
      </c>
      <c r="D76" t="s">
        <v>153</v>
      </c>
      <c r="E76" t="s">
        <v>22</v>
      </c>
      <c r="G76" s="2" t="s">
        <v>406</v>
      </c>
    </row>
    <row r="77" spans="1:7" s="98" customFormat="1" hidden="1">
      <c r="A77" s="98" t="s">
        <v>407</v>
      </c>
      <c r="B77" s="99">
        <v>46053</v>
      </c>
      <c r="C77" s="98" t="s">
        <v>33</v>
      </c>
      <c r="D77" s="98" t="s">
        <v>1301</v>
      </c>
      <c r="E77" s="98" t="s">
        <v>158</v>
      </c>
      <c r="G77" s="100" t="s">
        <v>408</v>
      </c>
    </row>
    <row r="78" spans="1:7" hidden="1">
      <c r="A78" t="s">
        <v>410</v>
      </c>
      <c r="B78" s="41">
        <v>46053</v>
      </c>
      <c r="C78" t="s">
        <v>37</v>
      </c>
      <c r="D78" t="s">
        <v>411</v>
      </c>
      <c r="E78" t="s">
        <v>25</v>
      </c>
      <c r="G78" s="2" t="s">
        <v>409</v>
      </c>
    </row>
    <row r="79" spans="1:7" hidden="1">
      <c r="A79" t="s">
        <v>412</v>
      </c>
      <c r="B79" s="41">
        <v>46053</v>
      </c>
      <c r="C79" t="s">
        <v>299</v>
      </c>
      <c r="D79" t="s">
        <v>1306</v>
      </c>
      <c r="E79" t="s">
        <v>22</v>
      </c>
      <c r="G79" s="2" t="s">
        <v>413</v>
      </c>
    </row>
    <row r="80" spans="1:7" hidden="1">
      <c r="A80" t="s">
        <v>414</v>
      </c>
      <c r="B80" s="41">
        <v>46053</v>
      </c>
      <c r="C80" t="s">
        <v>37</v>
      </c>
      <c r="D80" t="s">
        <v>415</v>
      </c>
      <c r="E80" t="s">
        <v>24</v>
      </c>
      <c r="G80" s="2" t="s">
        <v>416</v>
      </c>
    </row>
    <row r="81" spans="1:7" hidden="1">
      <c r="A81" t="s">
        <v>417</v>
      </c>
      <c r="B81" s="41">
        <v>46053</v>
      </c>
      <c r="C81" t="s">
        <v>299</v>
      </c>
      <c r="D81" t="s">
        <v>1306</v>
      </c>
      <c r="E81" t="s">
        <v>22</v>
      </c>
      <c r="G81" s="2" t="s">
        <v>413</v>
      </c>
    </row>
    <row r="82" spans="1:7" hidden="1">
      <c r="A82" t="s">
        <v>418</v>
      </c>
      <c r="B82" s="41">
        <v>46053</v>
      </c>
      <c r="C82" t="s">
        <v>37</v>
      </c>
      <c r="D82" t="s">
        <v>375</v>
      </c>
      <c r="E82" t="s">
        <v>25</v>
      </c>
      <c r="G82" s="2" t="s">
        <v>419</v>
      </c>
    </row>
    <row r="83" spans="1:7" hidden="1">
      <c r="A83" t="s">
        <v>420</v>
      </c>
      <c r="B83" s="41">
        <v>46053</v>
      </c>
      <c r="C83" t="s">
        <v>299</v>
      </c>
      <c r="D83" s="66" t="s">
        <v>887</v>
      </c>
      <c r="E83" t="s">
        <v>23</v>
      </c>
      <c r="G83" s="2" t="s">
        <v>421</v>
      </c>
    </row>
    <row r="84" spans="1:7" hidden="1">
      <c r="A84" t="s">
        <v>422</v>
      </c>
      <c r="B84" s="41">
        <v>46053</v>
      </c>
      <c r="C84" t="s">
        <v>37</v>
      </c>
      <c r="D84" t="s">
        <v>415</v>
      </c>
      <c r="E84" t="s">
        <v>24</v>
      </c>
      <c r="G84" s="2" t="s">
        <v>423</v>
      </c>
    </row>
    <row r="85" spans="1:7" hidden="1">
      <c r="A85" t="s">
        <v>424</v>
      </c>
      <c r="B85" s="41">
        <v>46053</v>
      </c>
      <c r="C85" t="s">
        <v>37</v>
      </c>
      <c r="D85" t="s">
        <v>375</v>
      </c>
      <c r="E85" t="s">
        <v>25</v>
      </c>
      <c r="G85" s="2" t="s">
        <v>399</v>
      </c>
    </row>
    <row r="86" spans="1:7" hidden="1">
      <c r="A86" t="s">
        <v>1297</v>
      </c>
      <c r="B86" s="41">
        <v>46053</v>
      </c>
      <c r="C86" t="s">
        <v>30</v>
      </c>
      <c r="D86" t="s">
        <v>312</v>
      </c>
      <c r="E86" t="s">
        <v>23</v>
      </c>
      <c r="G86" s="2" t="s">
        <v>312</v>
      </c>
    </row>
    <row r="87" spans="1:7" hidden="1">
      <c r="A87" t="s">
        <v>425</v>
      </c>
      <c r="B87" s="41">
        <v>46053</v>
      </c>
      <c r="C87" t="s">
        <v>299</v>
      </c>
      <c r="D87" t="s">
        <v>1306</v>
      </c>
      <c r="E87" t="s">
        <v>22</v>
      </c>
      <c r="G87" s="2" t="s">
        <v>413</v>
      </c>
    </row>
    <row r="88" spans="1:7" s="19" customFormat="1" hidden="1">
      <c r="A88" s="19" t="s">
        <v>426</v>
      </c>
      <c r="B88" s="56">
        <v>46053</v>
      </c>
      <c r="C88" s="19" t="s">
        <v>37</v>
      </c>
      <c r="D88" s="19" t="s">
        <v>473</v>
      </c>
      <c r="E88" s="19" t="s">
        <v>25</v>
      </c>
      <c r="G88" s="2" t="s">
        <v>427</v>
      </c>
    </row>
    <row r="89" spans="1:7" hidden="1">
      <c r="A89" t="s">
        <v>428</v>
      </c>
      <c r="B89" s="41">
        <v>46053</v>
      </c>
      <c r="C89" t="s">
        <v>35</v>
      </c>
      <c r="D89" t="s">
        <v>309</v>
      </c>
      <c r="E89" t="s">
        <v>24</v>
      </c>
      <c r="G89" s="2" t="s">
        <v>436</v>
      </c>
    </row>
    <row r="90" spans="1:7" hidden="1">
      <c r="A90" t="s">
        <v>430</v>
      </c>
      <c r="B90" s="41">
        <v>46053</v>
      </c>
      <c r="C90" t="s">
        <v>35</v>
      </c>
      <c r="D90" t="s">
        <v>449</v>
      </c>
      <c r="E90" t="s">
        <v>24</v>
      </c>
      <c r="G90" s="2" t="s">
        <v>452</v>
      </c>
    </row>
    <row r="91" spans="1:7" hidden="1">
      <c r="A91" t="s">
        <v>451</v>
      </c>
      <c r="B91" s="41">
        <v>46053</v>
      </c>
      <c r="C91" t="s">
        <v>35</v>
      </c>
      <c r="D91" t="s">
        <v>432</v>
      </c>
      <c r="E91" t="s">
        <v>24</v>
      </c>
      <c r="G91" s="2" t="s">
        <v>434</v>
      </c>
    </row>
    <row r="92" spans="1:7" hidden="1">
      <c r="A92" t="s">
        <v>454</v>
      </c>
      <c r="B92" s="41">
        <v>46053</v>
      </c>
      <c r="C92" t="s">
        <v>35</v>
      </c>
      <c r="D92" t="s">
        <v>432</v>
      </c>
      <c r="E92" t="s">
        <v>24</v>
      </c>
      <c r="G92" s="2" t="s">
        <v>347</v>
      </c>
    </row>
    <row r="93" spans="1:7" hidden="1">
      <c r="A93" t="s">
        <v>455</v>
      </c>
      <c r="B93" s="41">
        <v>46053</v>
      </c>
      <c r="C93" t="s">
        <v>37</v>
      </c>
      <c r="D93" t="s">
        <v>432</v>
      </c>
      <c r="E93" t="s">
        <v>24</v>
      </c>
      <c r="G93" s="2" t="s">
        <v>456</v>
      </c>
    </row>
    <row r="94" spans="1:7" hidden="1">
      <c r="A94" t="s">
        <v>457</v>
      </c>
      <c r="B94" s="41">
        <v>46053</v>
      </c>
      <c r="C94" t="s">
        <v>489</v>
      </c>
      <c r="D94" t="s">
        <v>1306</v>
      </c>
      <c r="E94" t="s">
        <v>22</v>
      </c>
      <c r="G94" s="2" t="s">
        <v>458</v>
      </c>
    </row>
    <row r="95" spans="1:7" hidden="1">
      <c r="A95" t="s">
        <v>459</v>
      </c>
      <c r="B95" s="41">
        <v>46053</v>
      </c>
      <c r="C95" t="s">
        <v>299</v>
      </c>
      <c r="D95" t="s">
        <v>312</v>
      </c>
      <c r="E95" t="s">
        <v>23</v>
      </c>
      <c r="G95" s="2" t="s">
        <v>460</v>
      </c>
    </row>
    <row r="96" spans="1:7" hidden="1">
      <c r="A96" t="s">
        <v>461</v>
      </c>
      <c r="B96" s="41">
        <v>46053</v>
      </c>
      <c r="C96" t="s">
        <v>35</v>
      </c>
      <c r="D96" t="s">
        <v>386</v>
      </c>
      <c r="E96" t="s">
        <v>25</v>
      </c>
      <c r="G96" s="2" t="s">
        <v>385</v>
      </c>
    </row>
    <row r="97" spans="1:7" hidden="1">
      <c r="A97" t="s">
        <v>462</v>
      </c>
      <c r="B97" s="41">
        <v>46053</v>
      </c>
      <c r="C97" t="s">
        <v>489</v>
      </c>
      <c r="D97" t="s">
        <v>312</v>
      </c>
      <c r="E97" t="s">
        <v>23</v>
      </c>
      <c r="G97" s="2" t="s">
        <v>463</v>
      </c>
    </row>
    <row r="98" spans="1:7" hidden="1">
      <c r="A98" t="s">
        <v>464</v>
      </c>
      <c r="B98" s="41">
        <v>46053</v>
      </c>
      <c r="C98" t="s">
        <v>35</v>
      </c>
      <c r="D98" s="42" t="s">
        <v>1328</v>
      </c>
      <c r="E98" t="s">
        <v>24</v>
      </c>
      <c r="G98" s="2" t="s">
        <v>465</v>
      </c>
    </row>
    <row r="99" spans="1:7" hidden="1">
      <c r="A99" t="s">
        <v>466</v>
      </c>
      <c r="B99" s="41">
        <v>46053</v>
      </c>
      <c r="C99" t="s">
        <v>35</v>
      </c>
      <c r="D99" t="s">
        <v>1320</v>
      </c>
      <c r="E99" t="s">
        <v>24</v>
      </c>
      <c r="G99" s="2" t="s">
        <v>467</v>
      </c>
    </row>
    <row r="100" spans="1:7" hidden="1">
      <c r="A100" t="s">
        <v>468</v>
      </c>
      <c r="B100" s="41">
        <v>46053</v>
      </c>
      <c r="C100" t="s">
        <v>35</v>
      </c>
      <c r="D100" t="s">
        <v>1320</v>
      </c>
      <c r="E100" t="s">
        <v>24</v>
      </c>
      <c r="G100" s="2" t="s">
        <v>469</v>
      </c>
    </row>
    <row r="101" spans="1:7" hidden="1">
      <c r="A101" t="s">
        <v>470</v>
      </c>
      <c r="B101" s="41">
        <v>46053</v>
      </c>
      <c r="C101" t="s">
        <v>35</v>
      </c>
      <c r="D101" s="42" t="s">
        <v>1328</v>
      </c>
      <c r="E101" t="s">
        <v>24</v>
      </c>
      <c r="G101" s="2" t="s">
        <v>465</v>
      </c>
    </row>
    <row r="102" spans="1:7" hidden="1">
      <c r="A102" t="s">
        <v>471</v>
      </c>
      <c r="B102" s="41">
        <v>46053</v>
      </c>
      <c r="C102" t="s">
        <v>489</v>
      </c>
      <c r="D102" t="s">
        <v>810</v>
      </c>
      <c r="E102" t="s">
        <v>23</v>
      </c>
      <c r="G102" s="2" t="s">
        <v>472</v>
      </c>
    </row>
    <row r="103" spans="1:7" hidden="1">
      <c r="A103" t="s">
        <v>474</v>
      </c>
      <c r="B103" s="41">
        <v>46053</v>
      </c>
      <c r="C103" t="s">
        <v>35</v>
      </c>
      <c r="D103" s="42" t="s">
        <v>1328</v>
      </c>
      <c r="E103" t="s">
        <v>24</v>
      </c>
      <c r="G103" s="2" t="s">
        <v>465</v>
      </c>
    </row>
    <row r="104" spans="1:7" hidden="1">
      <c r="A104" t="s">
        <v>475</v>
      </c>
      <c r="B104" s="41">
        <v>46053</v>
      </c>
      <c r="C104" t="s">
        <v>489</v>
      </c>
      <c r="D104" t="s">
        <v>1322</v>
      </c>
      <c r="E104" t="s">
        <v>24</v>
      </c>
      <c r="G104" s="2" t="s">
        <v>476</v>
      </c>
    </row>
    <row r="105" spans="1:7" s="98" customFormat="1" hidden="1">
      <c r="A105" s="98" t="s">
        <v>477</v>
      </c>
      <c r="B105" s="99">
        <v>46053</v>
      </c>
      <c r="C105" s="98" t="s">
        <v>489</v>
      </c>
      <c r="D105" s="98" t="s">
        <v>810</v>
      </c>
      <c r="E105" s="98" t="s">
        <v>23</v>
      </c>
      <c r="G105" s="100" t="s">
        <v>478</v>
      </c>
    </row>
    <row r="106" spans="1:7" hidden="1">
      <c r="A106" t="s">
        <v>479</v>
      </c>
      <c r="B106" s="41">
        <v>46053</v>
      </c>
      <c r="C106" t="s">
        <v>35</v>
      </c>
      <c r="D106" t="s">
        <v>1325</v>
      </c>
      <c r="E106" t="s">
        <v>24</v>
      </c>
      <c r="G106" s="2" t="s">
        <v>320</v>
      </c>
    </row>
    <row r="107" spans="1:7" hidden="1">
      <c r="A107" t="s">
        <v>480</v>
      </c>
      <c r="B107" s="41">
        <v>46053</v>
      </c>
      <c r="C107" t="s">
        <v>35</v>
      </c>
      <c r="D107" t="s">
        <v>1303</v>
      </c>
      <c r="E107" t="s">
        <v>158</v>
      </c>
      <c r="G107" s="2" t="s">
        <v>481</v>
      </c>
    </row>
    <row r="108" spans="1:7" hidden="1">
      <c r="A108" t="s">
        <v>482</v>
      </c>
      <c r="B108" s="41">
        <v>46053</v>
      </c>
      <c r="C108" t="s">
        <v>37</v>
      </c>
      <c r="D108" t="s">
        <v>375</v>
      </c>
      <c r="E108" t="s">
        <v>25</v>
      </c>
      <c r="G108" s="2" t="s">
        <v>483</v>
      </c>
    </row>
    <row r="109" spans="1:7" hidden="1">
      <c r="A109" t="s">
        <v>1348</v>
      </c>
      <c r="B109" s="41">
        <v>46053</v>
      </c>
      <c r="C109" t="s">
        <v>299</v>
      </c>
      <c r="D109" t="s">
        <v>364</v>
      </c>
      <c r="E109" t="s">
        <v>24</v>
      </c>
      <c r="G109" s="2" t="s">
        <v>431</v>
      </c>
    </row>
    <row r="110" spans="1:7" hidden="1">
      <c r="A110" t="s">
        <v>484</v>
      </c>
      <c r="B110" s="41">
        <v>46053</v>
      </c>
      <c r="C110" t="s">
        <v>489</v>
      </c>
      <c r="D110" t="s">
        <v>364</v>
      </c>
      <c r="E110" t="s">
        <v>24</v>
      </c>
      <c r="G110" s="2" t="s">
        <v>431</v>
      </c>
    </row>
    <row r="111" spans="1:7" hidden="1">
      <c r="A111" t="s">
        <v>485</v>
      </c>
      <c r="B111" s="41">
        <v>46053</v>
      </c>
      <c r="C111" t="s">
        <v>489</v>
      </c>
      <c r="D111" t="s">
        <v>312</v>
      </c>
      <c r="E111" t="s">
        <v>23</v>
      </c>
      <c r="G111" s="2" t="s">
        <v>312</v>
      </c>
    </row>
    <row r="112" spans="1:7" hidden="1">
      <c r="A112" t="s">
        <v>488</v>
      </c>
      <c r="B112" s="41">
        <v>46053</v>
      </c>
      <c r="C112" t="s">
        <v>489</v>
      </c>
      <c r="D112" t="s">
        <v>1306</v>
      </c>
      <c r="E112" t="s">
        <v>22</v>
      </c>
      <c r="G112" s="2" t="s">
        <v>492</v>
      </c>
    </row>
    <row r="113" spans="1:7" hidden="1">
      <c r="A113" t="s">
        <v>493</v>
      </c>
      <c r="B113" s="41">
        <v>46053</v>
      </c>
      <c r="C113" t="s">
        <v>29</v>
      </c>
      <c r="D113" t="s">
        <v>494</v>
      </c>
      <c r="E113" t="s">
        <v>22</v>
      </c>
      <c r="G113" s="2" t="s">
        <v>496</v>
      </c>
    </row>
    <row r="114" spans="1:7" hidden="1">
      <c r="A114" t="s">
        <v>495</v>
      </c>
      <c r="B114" s="41">
        <v>46053</v>
      </c>
      <c r="C114" t="s">
        <v>29</v>
      </c>
      <c r="D114" t="s">
        <v>848</v>
      </c>
      <c r="E114" t="s">
        <v>22</v>
      </c>
      <c r="G114" s="2" t="s">
        <v>155</v>
      </c>
    </row>
    <row r="115" spans="1:7" hidden="1">
      <c r="A115" t="s">
        <v>497</v>
      </c>
      <c r="B115" s="41">
        <v>46053</v>
      </c>
      <c r="C115" t="s">
        <v>29</v>
      </c>
      <c r="D115" t="s">
        <v>432</v>
      </c>
      <c r="E115" t="s">
        <v>23</v>
      </c>
      <c r="G115" s="2" t="s">
        <v>509</v>
      </c>
    </row>
    <row r="116" spans="1:7" hidden="1">
      <c r="A116" t="s">
        <v>499</v>
      </c>
      <c r="B116" s="41">
        <v>46053</v>
      </c>
      <c r="C116" t="s">
        <v>29</v>
      </c>
      <c r="D116" t="s">
        <v>1309</v>
      </c>
      <c r="E116" t="s">
        <v>23</v>
      </c>
      <c r="G116" s="2" t="s">
        <v>501</v>
      </c>
    </row>
    <row r="117" spans="1:7" hidden="1">
      <c r="A117" t="s">
        <v>502</v>
      </c>
      <c r="B117" s="41">
        <v>46053</v>
      </c>
      <c r="C117" t="s">
        <v>29</v>
      </c>
      <c r="D117" t="s">
        <v>432</v>
      </c>
      <c r="E117" t="s">
        <v>23</v>
      </c>
      <c r="G117" s="2" t="s">
        <v>503</v>
      </c>
    </row>
    <row r="118" spans="1:7" hidden="1">
      <c r="A118" t="s">
        <v>504</v>
      </c>
      <c r="B118" s="41">
        <v>46053</v>
      </c>
      <c r="C118" t="s">
        <v>29</v>
      </c>
      <c r="D118" t="s">
        <v>432</v>
      </c>
      <c r="E118" t="s">
        <v>23</v>
      </c>
      <c r="G118" s="2" t="s">
        <v>505</v>
      </c>
    </row>
    <row r="119" spans="1:7" hidden="1">
      <c r="A119" t="s">
        <v>506</v>
      </c>
      <c r="B119" s="41">
        <v>46053</v>
      </c>
      <c r="C119" t="s">
        <v>29</v>
      </c>
      <c r="D119" t="s">
        <v>1309</v>
      </c>
      <c r="E119" t="s">
        <v>23</v>
      </c>
      <c r="G119" s="2" t="s">
        <v>507</v>
      </c>
    </row>
    <row r="120" spans="1:7" hidden="1">
      <c r="A120" t="s">
        <v>510</v>
      </c>
      <c r="B120" s="41">
        <v>46053</v>
      </c>
      <c r="C120" t="s">
        <v>29</v>
      </c>
      <c r="D120" t="s">
        <v>1311</v>
      </c>
      <c r="E120" t="s">
        <v>23</v>
      </c>
      <c r="G120" s="2" t="s">
        <v>531</v>
      </c>
    </row>
    <row r="121" spans="1:7" hidden="1">
      <c r="A121" t="s">
        <v>511</v>
      </c>
      <c r="B121" s="41">
        <v>46053</v>
      </c>
      <c r="C121" t="s">
        <v>35</v>
      </c>
      <c r="D121" t="s">
        <v>309</v>
      </c>
      <c r="E121" t="s">
        <v>24</v>
      </c>
      <c r="G121" s="2" t="s">
        <v>436</v>
      </c>
    </row>
    <row r="122" spans="1:7" hidden="1">
      <c r="A122" t="s">
        <v>512</v>
      </c>
      <c r="B122" s="41">
        <v>46053</v>
      </c>
      <c r="C122" t="s">
        <v>29</v>
      </c>
      <c r="D122" t="s">
        <v>1311</v>
      </c>
      <c r="E122" t="s">
        <v>23</v>
      </c>
      <c r="G122" s="2" t="s">
        <v>531</v>
      </c>
    </row>
    <row r="123" spans="1:7" hidden="1">
      <c r="A123" t="s">
        <v>513</v>
      </c>
      <c r="B123" s="41">
        <v>46053</v>
      </c>
      <c r="C123" t="s">
        <v>29</v>
      </c>
      <c r="D123" t="s">
        <v>432</v>
      </c>
      <c r="E123" t="s">
        <v>24</v>
      </c>
      <c r="G123" s="2" t="s">
        <v>514</v>
      </c>
    </row>
    <row r="124" spans="1:7" hidden="1">
      <c r="A124" t="s">
        <v>515</v>
      </c>
      <c r="B124" s="41">
        <v>46053</v>
      </c>
      <c r="C124" t="s">
        <v>29</v>
      </c>
      <c r="D124" t="s">
        <v>1309</v>
      </c>
      <c r="E124" t="s">
        <v>23</v>
      </c>
      <c r="G124" s="2" t="s">
        <v>505</v>
      </c>
    </row>
    <row r="125" spans="1:7" hidden="1">
      <c r="A125" t="s">
        <v>516</v>
      </c>
      <c r="B125" s="41">
        <v>46053</v>
      </c>
      <c r="C125" t="s">
        <v>29</v>
      </c>
      <c r="D125" s="19" t="s">
        <v>432</v>
      </c>
      <c r="E125" t="s">
        <v>23</v>
      </c>
      <c r="G125" s="2" t="s">
        <v>517</v>
      </c>
    </row>
    <row r="126" spans="1:7" hidden="1">
      <c r="A126" t="s">
        <v>518</v>
      </c>
      <c r="B126" s="41">
        <v>46053</v>
      </c>
      <c r="C126" t="s">
        <v>29</v>
      </c>
      <c r="D126" s="19" t="s">
        <v>432</v>
      </c>
      <c r="E126" t="s">
        <v>23</v>
      </c>
      <c r="G126" s="2" t="s">
        <v>503</v>
      </c>
    </row>
    <row r="127" spans="1:7" hidden="1">
      <c r="A127" t="s">
        <v>519</v>
      </c>
      <c r="B127" s="41">
        <v>46053</v>
      </c>
      <c r="C127" t="s">
        <v>29</v>
      </c>
      <c r="D127" s="19" t="s">
        <v>432</v>
      </c>
      <c r="E127" t="s">
        <v>23</v>
      </c>
      <c r="G127" s="2" t="s">
        <v>520</v>
      </c>
    </row>
    <row r="128" spans="1:7" hidden="1">
      <c r="A128" t="s">
        <v>521</v>
      </c>
      <c r="B128" s="41">
        <v>46053</v>
      </c>
      <c r="C128" t="s">
        <v>29</v>
      </c>
      <c r="D128" t="s">
        <v>1309</v>
      </c>
      <c r="E128" t="s">
        <v>23</v>
      </c>
      <c r="G128" s="2" t="s">
        <v>522</v>
      </c>
    </row>
    <row r="129" spans="1:7" hidden="1">
      <c r="A129" t="s">
        <v>523</v>
      </c>
      <c r="B129" s="41">
        <v>46053</v>
      </c>
      <c r="C129" t="s">
        <v>29</v>
      </c>
      <c r="D129" t="s">
        <v>432</v>
      </c>
      <c r="E129" t="s">
        <v>23</v>
      </c>
      <c r="G129" s="2" t="s">
        <v>524</v>
      </c>
    </row>
    <row r="130" spans="1:7" hidden="1">
      <c r="A130" t="s">
        <v>525</v>
      </c>
      <c r="B130" s="41">
        <v>46053</v>
      </c>
      <c r="C130" t="s">
        <v>29</v>
      </c>
      <c r="D130" t="s">
        <v>432</v>
      </c>
      <c r="E130" t="s">
        <v>23</v>
      </c>
      <c r="G130" s="2" t="s">
        <v>526</v>
      </c>
    </row>
    <row r="131" spans="1:7" hidden="1">
      <c r="A131" t="s">
        <v>527</v>
      </c>
      <c r="B131" s="41">
        <v>46053</v>
      </c>
      <c r="C131" t="s">
        <v>29</v>
      </c>
      <c r="D131" t="s">
        <v>432</v>
      </c>
      <c r="E131" t="s">
        <v>23</v>
      </c>
      <c r="G131" s="2" t="s">
        <v>505</v>
      </c>
    </row>
    <row r="132" spans="1:7" hidden="1">
      <c r="A132" t="s">
        <v>528</v>
      </c>
      <c r="B132" s="41">
        <v>46053</v>
      </c>
      <c r="C132" t="s">
        <v>29</v>
      </c>
      <c r="D132" t="s">
        <v>432</v>
      </c>
      <c r="E132" t="s">
        <v>23</v>
      </c>
      <c r="G132" s="2" t="s">
        <v>526</v>
      </c>
    </row>
    <row r="133" spans="1:7" hidden="1">
      <c r="A133" t="s">
        <v>529</v>
      </c>
      <c r="B133" s="41">
        <v>46053</v>
      </c>
      <c r="C133" t="s">
        <v>35</v>
      </c>
      <c r="D133" t="s">
        <v>432</v>
      </c>
      <c r="E133" t="s">
        <v>24</v>
      </c>
      <c r="G133" s="2" t="s">
        <v>434</v>
      </c>
    </row>
    <row r="134" spans="1:7" hidden="1">
      <c r="A134" t="s">
        <v>530</v>
      </c>
      <c r="B134" s="41">
        <v>46053</v>
      </c>
      <c r="C134" t="s">
        <v>35</v>
      </c>
      <c r="D134" t="s">
        <v>432</v>
      </c>
      <c r="E134" t="s">
        <v>24</v>
      </c>
      <c r="G134" s="2" t="s">
        <v>347</v>
      </c>
    </row>
    <row r="135" spans="1:7" hidden="1">
      <c r="A135" t="s">
        <v>532</v>
      </c>
      <c r="B135" s="41">
        <v>46053</v>
      </c>
      <c r="C135" t="s">
        <v>29</v>
      </c>
      <c r="D135" t="s">
        <v>432</v>
      </c>
      <c r="E135" t="s">
        <v>24</v>
      </c>
      <c r="G135" s="2" t="s">
        <v>533</v>
      </c>
    </row>
    <row r="136" spans="1:7" hidden="1">
      <c r="A136" t="s">
        <v>535</v>
      </c>
      <c r="B136" s="41">
        <v>46053</v>
      </c>
      <c r="C136" t="s">
        <v>29</v>
      </c>
      <c r="D136" t="s">
        <v>1327</v>
      </c>
      <c r="E136" t="s">
        <v>24</v>
      </c>
      <c r="G136" s="2" t="s">
        <v>536</v>
      </c>
    </row>
    <row r="137" spans="1:7" hidden="1">
      <c r="A137" t="s">
        <v>537</v>
      </c>
      <c r="B137" s="41">
        <v>46053</v>
      </c>
      <c r="C137" t="s">
        <v>29</v>
      </c>
      <c r="D137" t="s">
        <v>1309</v>
      </c>
      <c r="E137" t="s">
        <v>23</v>
      </c>
      <c r="G137" s="2" t="s">
        <v>524</v>
      </c>
    </row>
    <row r="138" spans="1:7" hidden="1">
      <c r="A138" t="s">
        <v>538</v>
      </c>
      <c r="B138" s="41">
        <v>46053</v>
      </c>
      <c r="C138" t="s">
        <v>29</v>
      </c>
      <c r="D138" t="s">
        <v>432</v>
      </c>
      <c r="E138" t="s">
        <v>23</v>
      </c>
      <c r="G138" s="2" t="s">
        <v>539</v>
      </c>
    </row>
    <row r="139" spans="1:7" hidden="1">
      <c r="A139" t="s">
        <v>540</v>
      </c>
      <c r="B139" s="41">
        <v>46053</v>
      </c>
      <c r="C139" t="s">
        <v>37</v>
      </c>
      <c r="D139" t="s">
        <v>432</v>
      </c>
      <c r="E139" t="s">
        <v>24</v>
      </c>
      <c r="G139" s="2" t="s">
        <v>456</v>
      </c>
    </row>
    <row r="140" spans="1:7" hidden="1">
      <c r="A140" t="s">
        <v>543</v>
      </c>
      <c r="B140" s="41">
        <v>46053</v>
      </c>
      <c r="C140" t="s">
        <v>29</v>
      </c>
      <c r="D140" t="s">
        <v>500</v>
      </c>
      <c r="E140" t="s">
        <v>23</v>
      </c>
      <c r="G140" s="2" t="s">
        <v>155</v>
      </c>
    </row>
    <row r="141" spans="1:7" hidden="1">
      <c r="A141" t="s">
        <v>544</v>
      </c>
      <c r="B141" s="41">
        <v>46053</v>
      </c>
      <c r="C141" t="s">
        <v>29</v>
      </c>
      <c r="D141" t="s">
        <v>432</v>
      </c>
      <c r="E141" t="s">
        <v>23</v>
      </c>
      <c r="G141" s="2" t="s">
        <v>526</v>
      </c>
    </row>
    <row r="142" spans="1:7" hidden="1">
      <c r="A142" t="s">
        <v>545</v>
      </c>
      <c r="B142" s="41">
        <v>46053</v>
      </c>
      <c r="C142" t="s">
        <v>37</v>
      </c>
      <c r="D142" t="s">
        <v>1314</v>
      </c>
      <c r="E142" t="s">
        <v>24</v>
      </c>
      <c r="G142" s="2" t="s">
        <v>546</v>
      </c>
    </row>
    <row r="143" spans="1:7" hidden="1">
      <c r="A143" t="s">
        <v>547</v>
      </c>
      <c r="B143" s="41">
        <v>46053</v>
      </c>
      <c r="C143" t="s">
        <v>29</v>
      </c>
      <c r="D143" t="s">
        <v>1309</v>
      </c>
      <c r="E143" t="s">
        <v>23</v>
      </c>
      <c r="G143" s="2" t="s">
        <v>509</v>
      </c>
    </row>
    <row r="144" spans="1:7" hidden="1">
      <c r="A144" t="s">
        <v>548</v>
      </c>
      <c r="B144" s="41">
        <v>46053</v>
      </c>
      <c r="C144" t="s">
        <v>29</v>
      </c>
      <c r="D144" t="s">
        <v>1311</v>
      </c>
      <c r="E144" t="s">
        <v>23</v>
      </c>
      <c r="G144" s="2" t="s">
        <v>156</v>
      </c>
    </row>
    <row r="145" spans="1:7" hidden="1">
      <c r="A145" t="s">
        <v>549</v>
      </c>
      <c r="B145" s="41">
        <v>46053</v>
      </c>
      <c r="C145" t="s">
        <v>29</v>
      </c>
      <c r="D145" t="s">
        <v>432</v>
      </c>
      <c r="E145" t="s">
        <v>24</v>
      </c>
      <c r="G145" s="2" t="s">
        <v>551</v>
      </c>
    </row>
    <row r="146" spans="1:7" hidden="1">
      <c r="A146" t="s">
        <v>550</v>
      </c>
      <c r="B146" s="41">
        <v>46053</v>
      </c>
      <c r="C146" t="s">
        <v>29</v>
      </c>
      <c r="D146" t="s">
        <v>432</v>
      </c>
      <c r="E146" t="s">
        <v>24</v>
      </c>
      <c r="G146" s="2" t="s">
        <v>551</v>
      </c>
    </row>
    <row r="147" spans="1:7" hidden="1">
      <c r="A147" t="s">
        <v>552</v>
      </c>
      <c r="B147" s="41">
        <v>46053</v>
      </c>
      <c r="C147" t="s">
        <v>29</v>
      </c>
      <c r="D147" t="s">
        <v>553</v>
      </c>
      <c r="E147" t="s">
        <v>25</v>
      </c>
      <c r="G147" s="2" t="s">
        <v>554</v>
      </c>
    </row>
    <row r="148" spans="1:7" hidden="1">
      <c r="A148" t="s">
        <v>555</v>
      </c>
      <c r="B148" s="41">
        <v>46053</v>
      </c>
      <c r="C148" t="s">
        <v>35</v>
      </c>
      <c r="D148" t="s">
        <v>386</v>
      </c>
      <c r="E148" t="s">
        <v>25</v>
      </c>
      <c r="G148" s="2" t="s">
        <v>556</v>
      </c>
    </row>
    <row r="149" spans="1:7" hidden="1">
      <c r="A149" t="s">
        <v>557</v>
      </c>
      <c r="B149" s="41">
        <v>46053</v>
      </c>
      <c r="C149" t="s">
        <v>29</v>
      </c>
      <c r="D149" t="s">
        <v>312</v>
      </c>
      <c r="E149" t="s">
        <v>23</v>
      </c>
      <c r="G149" s="2" t="s">
        <v>556</v>
      </c>
    </row>
    <row r="150" spans="1:7" hidden="1">
      <c r="A150" t="s">
        <v>558</v>
      </c>
      <c r="B150" s="41">
        <v>46053</v>
      </c>
      <c r="C150" t="s">
        <v>29</v>
      </c>
      <c r="D150" t="s">
        <v>432</v>
      </c>
      <c r="E150" t="s">
        <v>23</v>
      </c>
      <c r="G150" s="2" t="s">
        <v>526</v>
      </c>
    </row>
    <row r="151" spans="1:7" hidden="1">
      <c r="A151" t="s">
        <v>559</v>
      </c>
      <c r="B151" s="41">
        <v>46053</v>
      </c>
      <c r="C151" t="s">
        <v>29</v>
      </c>
      <c r="D151" t="s">
        <v>432</v>
      </c>
      <c r="E151" t="s">
        <v>23</v>
      </c>
      <c r="G151" s="2" t="s">
        <v>560</v>
      </c>
    </row>
    <row r="152" spans="1:7" hidden="1">
      <c r="A152" t="s">
        <v>561</v>
      </c>
      <c r="B152" s="41">
        <v>46053</v>
      </c>
      <c r="C152" t="s">
        <v>29</v>
      </c>
      <c r="D152" t="s">
        <v>1309</v>
      </c>
      <c r="E152" t="s">
        <v>23</v>
      </c>
      <c r="G152" s="2" t="s">
        <v>509</v>
      </c>
    </row>
    <row r="153" spans="1:7" hidden="1">
      <c r="A153" t="s">
        <v>562</v>
      </c>
      <c r="B153" s="41">
        <v>46053</v>
      </c>
      <c r="C153" t="s">
        <v>29</v>
      </c>
      <c r="D153" t="s">
        <v>1322</v>
      </c>
      <c r="E153" t="s">
        <v>24</v>
      </c>
      <c r="G153" s="2" t="s">
        <v>476</v>
      </c>
    </row>
    <row r="154" spans="1:7" hidden="1">
      <c r="A154" t="s">
        <v>563</v>
      </c>
      <c r="B154" s="41">
        <v>46053</v>
      </c>
      <c r="C154" t="s">
        <v>29</v>
      </c>
      <c r="D154" t="s">
        <v>432</v>
      </c>
      <c r="E154" t="s">
        <v>24</v>
      </c>
      <c r="G154" s="2" t="s">
        <v>551</v>
      </c>
    </row>
    <row r="155" spans="1:7" hidden="1">
      <c r="A155" t="s">
        <v>564</v>
      </c>
      <c r="B155" s="41">
        <v>46053</v>
      </c>
      <c r="C155" t="s">
        <v>29</v>
      </c>
      <c r="D155" t="s">
        <v>1311</v>
      </c>
      <c r="E155" t="s">
        <v>23</v>
      </c>
      <c r="G155" s="2" t="s">
        <v>565</v>
      </c>
    </row>
    <row r="156" spans="1:7" hidden="1">
      <c r="A156" t="s">
        <v>566</v>
      </c>
      <c r="B156" s="41">
        <v>46053</v>
      </c>
      <c r="C156" t="s">
        <v>29</v>
      </c>
      <c r="D156" t="s">
        <v>1322</v>
      </c>
      <c r="E156" t="s">
        <v>24</v>
      </c>
      <c r="G156" s="2" t="s">
        <v>476</v>
      </c>
    </row>
    <row r="157" spans="1:7" hidden="1">
      <c r="A157" t="s">
        <v>567</v>
      </c>
      <c r="B157" s="41">
        <v>46053</v>
      </c>
      <c r="C157" t="s">
        <v>29</v>
      </c>
      <c r="D157" t="s">
        <v>1332</v>
      </c>
      <c r="E157" t="s">
        <v>24</v>
      </c>
      <c r="G157" s="2" t="s">
        <v>568</v>
      </c>
    </row>
    <row r="158" spans="1:7" hidden="1">
      <c r="A158" t="s">
        <v>569</v>
      </c>
      <c r="B158" s="41">
        <v>46053</v>
      </c>
      <c r="C158" t="s">
        <v>35</v>
      </c>
      <c r="D158" t="s">
        <v>1325</v>
      </c>
      <c r="E158" t="s">
        <v>24</v>
      </c>
      <c r="G158" s="2" t="s">
        <v>320</v>
      </c>
    </row>
    <row r="159" spans="1:7" s="19" customFormat="1" hidden="1">
      <c r="A159" t="s">
        <v>570</v>
      </c>
      <c r="B159" s="41">
        <v>46053</v>
      </c>
      <c r="C159" t="s">
        <v>29</v>
      </c>
      <c r="D159" t="s">
        <v>1304</v>
      </c>
      <c r="E159" t="s">
        <v>22</v>
      </c>
      <c r="F159"/>
      <c r="G159" s="2" t="s">
        <v>571</v>
      </c>
    </row>
    <row r="160" spans="1:7" hidden="1">
      <c r="A160" t="s">
        <v>572</v>
      </c>
      <c r="B160" s="41">
        <v>46053</v>
      </c>
      <c r="C160" t="s">
        <v>29</v>
      </c>
      <c r="D160" t="s">
        <v>1304</v>
      </c>
      <c r="E160" t="s">
        <v>22</v>
      </c>
      <c r="G160" s="2" t="s">
        <v>496</v>
      </c>
    </row>
    <row r="161" spans="1:30" hidden="1">
      <c r="A161" t="s">
        <v>573</v>
      </c>
      <c r="B161" s="41">
        <v>46053</v>
      </c>
      <c r="C161" t="s">
        <v>29</v>
      </c>
      <c r="D161" t="s">
        <v>848</v>
      </c>
      <c r="E161" t="s">
        <v>22</v>
      </c>
      <c r="G161" s="2" t="s">
        <v>155</v>
      </c>
    </row>
    <row r="162" spans="1:30" hidden="1">
      <c r="A162" t="s">
        <v>574</v>
      </c>
      <c r="B162" s="41">
        <v>46053</v>
      </c>
      <c r="C162" t="s">
        <v>29</v>
      </c>
      <c r="D162" t="s">
        <v>1309</v>
      </c>
      <c r="E162" t="s">
        <v>23</v>
      </c>
      <c r="G162" s="2" t="s">
        <v>509</v>
      </c>
    </row>
    <row r="163" spans="1:30" hidden="1">
      <c r="A163" t="s">
        <v>575</v>
      </c>
      <c r="B163" s="41">
        <v>46053</v>
      </c>
      <c r="C163" t="s">
        <v>29</v>
      </c>
      <c r="D163" t="s">
        <v>577</v>
      </c>
      <c r="E163" t="s">
        <v>23</v>
      </c>
      <c r="G163" s="2" t="s">
        <v>155</v>
      </c>
    </row>
    <row r="164" spans="1:30" hidden="1">
      <c r="A164" t="s">
        <v>576</v>
      </c>
      <c r="B164" s="41">
        <v>46053</v>
      </c>
      <c r="C164" t="s">
        <v>29</v>
      </c>
      <c r="D164" t="s">
        <v>577</v>
      </c>
      <c r="E164" t="s">
        <v>23</v>
      </c>
      <c r="G164" s="2" t="s">
        <v>155</v>
      </c>
    </row>
    <row r="165" spans="1:30" hidden="1">
      <c r="A165" t="s">
        <v>578</v>
      </c>
      <c r="B165" s="41">
        <v>46053</v>
      </c>
      <c r="C165" t="s">
        <v>29</v>
      </c>
      <c r="D165" t="s">
        <v>1323</v>
      </c>
      <c r="E165" t="s">
        <v>23</v>
      </c>
      <c r="G165" s="2" t="s">
        <v>533</v>
      </c>
    </row>
    <row r="166" spans="1:30" hidden="1">
      <c r="A166" t="s">
        <v>579</v>
      </c>
      <c r="B166" s="41">
        <v>46053</v>
      </c>
      <c r="C166" t="s">
        <v>29</v>
      </c>
      <c r="D166" t="s">
        <v>577</v>
      </c>
      <c r="E166" t="s">
        <v>23</v>
      </c>
      <c r="G166" s="2" t="s">
        <v>155</v>
      </c>
    </row>
    <row r="167" spans="1:30" hidden="1">
      <c r="A167" t="s">
        <v>580</v>
      </c>
      <c r="B167" s="41">
        <v>46053</v>
      </c>
      <c r="C167" t="s">
        <v>29</v>
      </c>
      <c r="D167" t="s">
        <v>1323</v>
      </c>
      <c r="E167" t="s">
        <v>23</v>
      </c>
      <c r="G167" s="2" t="s">
        <v>533</v>
      </c>
    </row>
    <row r="168" spans="1:30" hidden="1">
      <c r="A168" t="s">
        <v>581</v>
      </c>
      <c r="B168" s="41">
        <v>46053</v>
      </c>
      <c r="C168" t="s">
        <v>29</v>
      </c>
      <c r="D168" t="s">
        <v>1326</v>
      </c>
      <c r="E168" t="s">
        <v>24</v>
      </c>
      <c r="G168" s="2" t="s">
        <v>514</v>
      </c>
    </row>
    <row r="169" spans="1:30" hidden="1">
      <c r="A169" t="s">
        <v>582</v>
      </c>
      <c r="B169" s="41">
        <v>46053</v>
      </c>
      <c r="C169" t="s">
        <v>29</v>
      </c>
      <c r="D169" t="s">
        <v>1304</v>
      </c>
      <c r="E169" t="s">
        <v>22</v>
      </c>
      <c r="G169" s="2" t="s">
        <v>583</v>
      </c>
    </row>
    <row r="170" spans="1:30" hidden="1">
      <c r="A170" t="s">
        <v>584</v>
      </c>
      <c r="B170" s="41">
        <v>46053</v>
      </c>
      <c r="C170" t="s">
        <v>29</v>
      </c>
      <c r="D170" t="s">
        <v>312</v>
      </c>
      <c r="E170" t="s">
        <v>23</v>
      </c>
      <c r="G170" s="2" t="s">
        <v>312</v>
      </c>
    </row>
    <row r="171" spans="1:30" hidden="1">
      <c r="A171" t="s">
        <v>585</v>
      </c>
      <c r="B171" s="41">
        <v>46053</v>
      </c>
      <c r="C171" t="s">
        <v>29</v>
      </c>
      <c r="D171" t="s">
        <v>1324</v>
      </c>
      <c r="E171" t="s">
        <v>23</v>
      </c>
      <c r="G171" s="2" t="s">
        <v>586</v>
      </c>
    </row>
    <row r="172" spans="1:30" hidden="1">
      <c r="A172" t="s">
        <v>587</v>
      </c>
      <c r="B172" s="41">
        <v>46053</v>
      </c>
      <c r="C172" t="s">
        <v>29</v>
      </c>
      <c r="D172" t="s">
        <v>1304</v>
      </c>
      <c r="E172" t="s">
        <v>22</v>
      </c>
      <c r="G172" s="2" t="s">
        <v>586</v>
      </c>
      <c r="I172" s="41"/>
      <c r="N172" s="2"/>
      <c r="P172" s="41"/>
      <c r="U172" s="2"/>
      <c r="W172" s="41"/>
      <c r="AB172" s="2"/>
      <c r="AD172" s="41"/>
    </row>
    <row r="173" spans="1:30" hidden="1">
      <c r="A173" t="s">
        <v>588</v>
      </c>
      <c r="B173" s="41">
        <v>46053</v>
      </c>
      <c r="C173" t="s">
        <v>29</v>
      </c>
      <c r="D173" t="s">
        <v>590</v>
      </c>
      <c r="E173" t="s">
        <v>23</v>
      </c>
      <c r="G173" s="2" t="s">
        <v>155</v>
      </c>
      <c r="I173" s="41"/>
      <c r="N173" s="2"/>
      <c r="P173" s="41"/>
      <c r="U173" s="2"/>
      <c r="W173" s="41"/>
      <c r="AB173" s="2"/>
      <c r="AD173" s="41"/>
    </row>
    <row r="174" spans="1:30" hidden="1">
      <c r="A174" t="s">
        <v>589</v>
      </c>
      <c r="B174" s="41">
        <v>46053</v>
      </c>
      <c r="C174" t="s">
        <v>35</v>
      </c>
      <c r="D174" t="s">
        <v>364</v>
      </c>
      <c r="E174" t="s">
        <v>24</v>
      </c>
      <c r="G174" s="2" t="s">
        <v>431</v>
      </c>
      <c r="I174" s="41"/>
      <c r="N174" s="2"/>
      <c r="P174" s="41"/>
      <c r="U174" s="2"/>
      <c r="W174" s="41"/>
      <c r="AB174" s="2"/>
      <c r="AD174" s="41"/>
    </row>
    <row r="175" spans="1:30" hidden="1">
      <c r="A175" t="s">
        <v>591</v>
      </c>
      <c r="B175" s="41">
        <v>46053</v>
      </c>
      <c r="C175" t="s">
        <v>37</v>
      </c>
      <c r="D175" t="s">
        <v>883</v>
      </c>
      <c r="E175" t="s">
        <v>24</v>
      </c>
      <c r="G175" s="2" t="s">
        <v>151</v>
      </c>
      <c r="I175" s="41"/>
      <c r="N175" s="2"/>
      <c r="P175" s="41"/>
      <c r="U175" s="2"/>
      <c r="W175" s="41"/>
      <c r="AB175" s="2"/>
      <c r="AD175" s="41"/>
    </row>
    <row r="176" spans="1:30" hidden="1">
      <c r="A176" t="s">
        <v>592</v>
      </c>
      <c r="B176" s="41">
        <v>46053</v>
      </c>
      <c r="C176" t="s">
        <v>35</v>
      </c>
      <c r="D176" t="s">
        <v>1303</v>
      </c>
      <c r="E176" t="s">
        <v>158</v>
      </c>
      <c r="G176" s="2" t="s">
        <v>435</v>
      </c>
      <c r="I176" s="41"/>
      <c r="N176" s="2"/>
      <c r="P176" s="41"/>
      <c r="U176" s="2"/>
      <c r="W176" s="41"/>
      <c r="AB176" s="2"/>
      <c r="AD176" s="41"/>
    </row>
    <row r="177" spans="1:31" hidden="1">
      <c r="A177" t="s">
        <v>593</v>
      </c>
      <c r="B177" s="41">
        <v>46053</v>
      </c>
      <c r="C177" t="s">
        <v>29</v>
      </c>
      <c r="D177" t="s">
        <v>494</v>
      </c>
      <c r="E177" t="s">
        <v>22</v>
      </c>
      <c r="G177" s="2" t="s">
        <v>607</v>
      </c>
      <c r="I177" s="41"/>
      <c r="N177" s="2"/>
      <c r="P177" s="41"/>
      <c r="U177" s="2"/>
      <c r="W177" s="41"/>
      <c r="AB177" s="2"/>
      <c r="AD177" s="41"/>
    </row>
    <row r="178" spans="1:31" hidden="1">
      <c r="A178" t="s">
        <v>1294</v>
      </c>
      <c r="B178" s="41">
        <v>46053</v>
      </c>
      <c r="C178" t="s">
        <v>29</v>
      </c>
      <c r="D178" t="s">
        <v>153</v>
      </c>
      <c r="E178" t="s">
        <v>22</v>
      </c>
      <c r="G178" s="2" t="s">
        <v>607</v>
      </c>
      <c r="I178" s="41"/>
      <c r="N178" s="2"/>
      <c r="P178" s="41"/>
      <c r="U178" s="2"/>
      <c r="W178" s="41"/>
      <c r="AB178" s="2"/>
      <c r="AD178" s="41"/>
    </row>
    <row r="179" spans="1:31" hidden="1">
      <c r="A179" t="s">
        <v>608</v>
      </c>
      <c r="B179" s="41">
        <v>46053</v>
      </c>
      <c r="C179" t="s">
        <v>29</v>
      </c>
      <c r="D179" t="s">
        <v>432</v>
      </c>
      <c r="E179" t="s">
        <v>24</v>
      </c>
      <c r="G179" s="2" t="s">
        <v>609</v>
      </c>
      <c r="I179" s="41"/>
      <c r="N179" s="2"/>
      <c r="P179" s="41"/>
      <c r="U179" s="2"/>
      <c r="W179" s="41"/>
      <c r="AB179" s="2"/>
      <c r="AD179" s="41"/>
    </row>
    <row r="180" spans="1:31" hidden="1">
      <c r="A180" t="s">
        <v>610</v>
      </c>
      <c r="B180" s="41">
        <v>46053</v>
      </c>
      <c r="C180" t="s">
        <v>29</v>
      </c>
      <c r="D180" t="s">
        <v>1322</v>
      </c>
      <c r="E180" t="s">
        <v>24</v>
      </c>
      <c r="G180" s="2" t="s">
        <v>611</v>
      </c>
      <c r="I180" s="41"/>
      <c r="N180" s="2"/>
      <c r="P180" s="41"/>
      <c r="U180" s="2"/>
      <c r="W180" s="41"/>
      <c r="AB180" s="2"/>
      <c r="AD180" s="41"/>
    </row>
    <row r="181" spans="1:31" hidden="1">
      <c r="A181" t="s">
        <v>612</v>
      </c>
      <c r="B181" s="41">
        <v>46053</v>
      </c>
      <c r="C181" t="s">
        <v>29</v>
      </c>
      <c r="D181" t="s">
        <v>432</v>
      </c>
      <c r="E181" t="s">
        <v>23</v>
      </c>
      <c r="G181" s="2" t="s">
        <v>148</v>
      </c>
      <c r="I181" s="41"/>
      <c r="N181" s="2"/>
      <c r="P181" s="41"/>
      <c r="U181" s="2"/>
      <c r="W181" s="41"/>
      <c r="AB181" s="2"/>
      <c r="AD181" s="41"/>
    </row>
    <row r="182" spans="1:31" hidden="1">
      <c r="A182" t="s">
        <v>613</v>
      </c>
      <c r="B182" s="41">
        <v>46053</v>
      </c>
      <c r="C182" t="s">
        <v>35</v>
      </c>
      <c r="D182" t="s">
        <v>309</v>
      </c>
      <c r="E182" t="s">
        <v>24</v>
      </c>
      <c r="G182" s="2" t="s">
        <v>436</v>
      </c>
      <c r="I182" s="41"/>
      <c r="N182" s="2"/>
      <c r="P182" s="41"/>
      <c r="U182" s="2"/>
      <c r="W182" s="41"/>
      <c r="AB182" s="2"/>
      <c r="AD182" s="41"/>
    </row>
    <row r="183" spans="1:31" hidden="1">
      <c r="A183" t="s">
        <v>616</v>
      </c>
      <c r="B183" s="41">
        <v>46053</v>
      </c>
      <c r="C183" t="s">
        <v>29</v>
      </c>
      <c r="D183" t="s">
        <v>432</v>
      </c>
      <c r="E183" t="s">
        <v>24</v>
      </c>
      <c r="G183" s="2" t="s">
        <v>614</v>
      </c>
      <c r="I183" s="41"/>
      <c r="N183" s="2"/>
      <c r="P183" s="41"/>
      <c r="U183" s="2"/>
      <c r="W183" s="41"/>
      <c r="AB183" s="2"/>
      <c r="AD183" s="41"/>
    </row>
    <row r="184" spans="1:31" hidden="1">
      <c r="A184" t="s">
        <v>617</v>
      </c>
      <c r="B184" s="41">
        <v>46053</v>
      </c>
      <c r="C184" t="s">
        <v>29</v>
      </c>
      <c r="D184" t="s">
        <v>432</v>
      </c>
      <c r="E184" t="s">
        <v>24</v>
      </c>
      <c r="G184" s="2" t="s">
        <v>618</v>
      </c>
      <c r="I184" s="41"/>
      <c r="N184" s="2"/>
      <c r="P184" s="41"/>
      <c r="U184" s="2"/>
      <c r="W184" s="41"/>
      <c r="AB184" s="2"/>
      <c r="AD184" s="41"/>
    </row>
    <row r="185" spans="1:31" hidden="1">
      <c r="A185" t="s">
        <v>619</v>
      </c>
      <c r="B185" s="41">
        <v>46053</v>
      </c>
      <c r="C185" t="s">
        <v>35</v>
      </c>
      <c r="D185" t="s">
        <v>432</v>
      </c>
      <c r="E185" t="s">
        <v>24</v>
      </c>
      <c r="G185" s="2" t="s">
        <v>152</v>
      </c>
      <c r="I185" s="41"/>
      <c r="N185" s="2"/>
      <c r="P185" s="41"/>
      <c r="U185" s="2"/>
      <c r="W185" s="41"/>
      <c r="AB185" s="2"/>
      <c r="AD185" s="41"/>
    </row>
    <row r="186" spans="1:31" hidden="1">
      <c r="A186" t="s">
        <v>620</v>
      </c>
      <c r="B186" s="41">
        <v>46053</v>
      </c>
      <c r="C186" t="s">
        <v>35</v>
      </c>
      <c r="D186" t="s">
        <v>432</v>
      </c>
      <c r="E186" t="s">
        <v>24</v>
      </c>
      <c r="G186" s="2" t="s">
        <v>347</v>
      </c>
      <c r="I186" s="41"/>
      <c r="N186" s="2"/>
      <c r="P186" s="41"/>
      <c r="U186" s="2"/>
      <c r="W186" s="41"/>
      <c r="AB186" s="2"/>
      <c r="AD186" s="41"/>
    </row>
    <row r="187" spans="1:31" hidden="1">
      <c r="A187" t="s">
        <v>621</v>
      </c>
      <c r="B187" s="41">
        <v>46053</v>
      </c>
      <c r="C187" t="s">
        <v>37</v>
      </c>
      <c r="D187" t="s">
        <v>432</v>
      </c>
      <c r="E187" t="s">
        <v>24</v>
      </c>
      <c r="G187" s="2" t="s">
        <v>456</v>
      </c>
      <c r="I187" s="41"/>
      <c r="N187" s="2"/>
      <c r="P187" s="41"/>
      <c r="U187" s="2"/>
      <c r="W187" s="41"/>
      <c r="AB187" s="2"/>
      <c r="AD187" s="41"/>
    </row>
    <row r="188" spans="1:31" hidden="1">
      <c r="A188" t="s">
        <v>623</v>
      </c>
      <c r="B188" s="41">
        <v>46053</v>
      </c>
      <c r="C188" t="s">
        <v>29</v>
      </c>
      <c r="D188" t="s">
        <v>1322</v>
      </c>
      <c r="E188" t="s">
        <v>24</v>
      </c>
      <c r="G188" s="2" t="s">
        <v>624</v>
      </c>
      <c r="I188" s="41"/>
      <c r="N188" s="2"/>
      <c r="P188" s="41"/>
      <c r="U188" s="2"/>
      <c r="W188" s="41"/>
      <c r="AB188" s="2"/>
      <c r="AD188" s="41"/>
    </row>
    <row r="189" spans="1:31" hidden="1">
      <c r="A189" t="s">
        <v>625</v>
      </c>
      <c r="B189" s="41">
        <v>46053</v>
      </c>
      <c r="C189" t="s">
        <v>29</v>
      </c>
      <c r="D189" t="s">
        <v>1332</v>
      </c>
      <c r="E189" t="s">
        <v>24</v>
      </c>
      <c r="G189" s="2" t="s">
        <v>618</v>
      </c>
      <c r="I189" s="41"/>
      <c r="N189" s="2"/>
      <c r="P189" s="41"/>
      <c r="U189" s="2"/>
      <c r="W189" s="41"/>
      <c r="AB189" s="2"/>
      <c r="AD189" s="41"/>
    </row>
    <row r="190" spans="1:31" s="98" customFormat="1" hidden="1">
      <c r="A190" s="98" t="s">
        <v>626</v>
      </c>
      <c r="B190" s="99">
        <v>46053</v>
      </c>
      <c r="C190" s="98" t="s">
        <v>37</v>
      </c>
      <c r="D190" s="98" t="s">
        <v>392</v>
      </c>
      <c r="E190" s="98" t="s">
        <v>25</v>
      </c>
      <c r="G190" s="100" t="s">
        <v>656</v>
      </c>
      <c r="I190" s="99"/>
      <c r="N190" s="100"/>
      <c r="P190" s="99"/>
      <c r="U190" s="100"/>
      <c r="W190" s="99"/>
      <c r="AB190" s="100"/>
      <c r="AD190" s="99"/>
    </row>
    <row r="191" spans="1:31" hidden="1">
      <c r="A191" t="s">
        <v>627</v>
      </c>
      <c r="B191" s="41">
        <v>46053</v>
      </c>
      <c r="C191" t="s">
        <v>29</v>
      </c>
      <c r="D191" t="s">
        <v>1313</v>
      </c>
      <c r="E191" t="s">
        <v>24</v>
      </c>
      <c r="G191" s="2" t="s">
        <v>628</v>
      </c>
      <c r="I191" s="41"/>
      <c r="N191" s="2"/>
      <c r="P191" s="41"/>
      <c r="U191" s="2"/>
      <c r="W191" s="41"/>
      <c r="AB191" s="2"/>
      <c r="AD191" s="41"/>
    </row>
    <row r="192" spans="1:31" s="19" customFormat="1" hidden="1">
      <c r="A192" t="s">
        <v>629</v>
      </c>
      <c r="B192" s="41">
        <v>46053</v>
      </c>
      <c r="C192" t="s">
        <v>29</v>
      </c>
      <c r="D192" t="s">
        <v>473</v>
      </c>
      <c r="E192" t="s">
        <v>23</v>
      </c>
      <c r="F192"/>
      <c r="G192" s="2" t="s">
        <v>630</v>
      </c>
      <c r="H192"/>
      <c r="I192" s="41"/>
      <c r="J192"/>
      <c r="K192"/>
      <c r="L192"/>
      <c r="M192"/>
      <c r="N192" s="2"/>
      <c r="O192"/>
      <c r="P192" s="41"/>
      <c r="Q192"/>
      <c r="R192"/>
      <c r="S192"/>
      <c r="T192"/>
      <c r="U192" s="2"/>
      <c r="V192"/>
      <c r="W192" s="41"/>
      <c r="X192"/>
      <c r="Y192"/>
      <c r="Z192"/>
      <c r="AA192"/>
      <c r="AB192" s="2"/>
      <c r="AC192"/>
      <c r="AD192" s="41"/>
      <c r="AE192"/>
    </row>
    <row r="193" spans="1:30" hidden="1">
      <c r="A193" t="s">
        <v>632</v>
      </c>
      <c r="B193" s="41">
        <v>46053</v>
      </c>
      <c r="C193" t="s">
        <v>29</v>
      </c>
      <c r="D193" t="s">
        <v>1307</v>
      </c>
      <c r="E193" t="s">
        <v>23</v>
      </c>
      <c r="G193" s="2" t="s">
        <v>662</v>
      </c>
      <c r="I193" s="41"/>
      <c r="N193" s="2"/>
      <c r="P193" s="41"/>
      <c r="U193" s="2"/>
      <c r="W193" s="41"/>
      <c r="AB193" s="2"/>
      <c r="AD193" s="41"/>
    </row>
    <row r="194" spans="1:30" hidden="1">
      <c r="A194" t="s">
        <v>634</v>
      </c>
      <c r="B194" s="41">
        <v>46053</v>
      </c>
      <c r="C194" t="s">
        <v>29</v>
      </c>
      <c r="D194" t="s">
        <v>432</v>
      </c>
      <c r="E194" t="s">
        <v>24</v>
      </c>
      <c r="G194" s="2" t="s">
        <v>611</v>
      </c>
      <c r="I194" s="41"/>
      <c r="N194" s="2"/>
      <c r="P194" s="41"/>
      <c r="U194" s="2"/>
      <c r="W194" s="41"/>
      <c r="AB194" s="2"/>
      <c r="AD194" s="41"/>
    </row>
    <row r="195" spans="1:30" hidden="1">
      <c r="A195" t="s">
        <v>635</v>
      </c>
      <c r="B195" s="41">
        <v>46053</v>
      </c>
      <c r="C195" t="s">
        <v>29</v>
      </c>
      <c r="D195" t="s">
        <v>553</v>
      </c>
      <c r="E195" t="s">
        <v>25</v>
      </c>
      <c r="G195" s="2"/>
      <c r="I195" s="41"/>
      <c r="N195" s="2"/>
      <c r="P195" s="41"/>
      <c r="U195" s="2"/>
      <c r="W195" s="41"/>
      <c r="AB195" s="2"/>
      <c r="AD195" s="41"/>
    </row>
    <row r="196" spans="1:30" hidden="1">
      <c r="A196" t="s">
        <v>636</v>
      </c>
      <c r="B196" s="41">
        <v>46053</v>
      </c>
      <c r="C196" t="s">
        <v>29</v>
      </c>
      <c r="D196" t="s">
        <v>432</v>
      </c>
      <c r="E196" t="s">
        <v>24</v>
      </c>
      <c r="G196" s="2" t="s">
        <v>609</v>
      </c>
      <c r="I196" s="41"/>
      <c r="N196" s="2"/>
      <c r="P196" s="41"/>
      <c r="U196" s="2"/>
      <c r="W196" s="41"/>
      <c r="AB196" s="2"/>
      <c r="AD196" s="41"/>
    </row>
    <row r="197" spans="1:30" hidden="1">
      <c r="A197" t="s">
        <v>637</v>
      </c>
      <c r="B197" s="41">
        <v>46053</v>
      </c>
      <c r="C197" t="s">
        <v>35</v>
      </c>
      <c r="D197" t="s">
        <v>1325</v>
      </c>
      <c r="E197" t="s">
        <v>24</v>
      </c>
      <c r="G197" s="2" t="s">
        <v>320</v>
      </c>
      <c r="I197" s="41"/>
      <c r="N197" s="2"/>
      <c r="P197" s="41"/>
      <c r="U197" s="2"/>
      <c r="W197" s="41"/>
      <c r="AB197" s="2"/>
      <c r="AD197" s="41"/>
    </row>
    <row r="198" spans="1:30" hidden="1">
      <c r="A198" t="s">
        <v>638</v>
      </c>
      <c r="B198" s="41">
        <v>46053</v>
      </c>
      <c r="C198" t="s">
        <v>29</v>
      </c>
      <c r="D198" t="s">
        <v>153</v>
      </c>
      <c r="E198" t="s">
        <v>22</v>
      </c>
      <c r="G198" s="2" t="s">
        <v>639</v>
      </c>
      <c r="I198" s="41"/>
      <c r="N198" s="2"/>
      <c r="P198" s="41"/>
      <c r="U198" s="2"/>
      <c r="W198" s="41"/>
      <c r="AB198" s="2"/>
      <c r="AD198" s="41"/>
    </row>
    <row r="199" spans="1:30" hidden="1">
      <c r="A199" t="s">
        <v>640</v>
      </c>
      <c r="B199" s="41">
        <v>46053</v>
      </c>
      <c r="C199" t="s">
        <v>35</v>
      </c>
      <c r="D199" t="s">
        <v>1329</v>
      </c>
      <c r="E199" t="s">
        <v>24</v>
      </c>
      <c r="G199" s="2" t="s">
        <v>449</v>
      </c>
      <c r="I199" s="41"/>
      <c r="N199" s="2"/>
      <c r="P199" s="41"/>
      <c r="U199" s="2"/>
      <c r="W199" s="41"/>
      <c r="AB199" s="2"/>
      <c r="AD199" s="41"/>
    </row>
    <row r="200" spans="1:30" hidden="1">
      <c r="A200" t="s">
        <v>641</v>
      </c>
      <c r="B200" s="41">
        <v>46053</v>
      </c>
      <c r="C200" t="s">
        <v>29</v>
      </c>
      <c r="D200" t="s">
        <v>1322</v>
      </c>
      <c r="E200" t="s">
        <v>24</v>
      </c>
      <c r="G200" s="2" t="s">
        <v>611</v>
      </c>
      <c r="I200" s="41"/>
      <c r="N200" s="2"/>
      <c r="P200" s="41"/>
      <c r="U200" s="2"/>
      <c r="W200" s="41"/>
      <c r="AB200" s="2"/>
      <c r="AD200" s="41"/>
    </row>
    <row r="201" spans="1:30" hidden="1">
      <c r="A201" t="s">
        <v>642</v>
      </c>
      <c r="B201" s="41">
        <v>46053</v>
      </c>
      <c r="C201" t="s">
        <v>29</v>
      </c>
      <c r="D201" t="s">
        <v>590</v>
      </c>
      <c r="E201" t="s">
        <v>23</v>
      </c>
      <c r="G201" s="2" t="s">
        <v>148</v>
      </c>
      <c r="I201" s="41"/>
      <c r="N201" s="2"/>
      <c r="P201" s="41"/>
      <c r="U201" s="2"/>
      <c r="W201" s="41"/>
      <c r="AB201" s="2"/>
      <c r="AD201" s="41"/>
    </row>
    <row r="202" spans="1:30" hidden="1">
      <c r="A202" t="s">
        <v>643</v>
      </c>
      <c r="B202" s="41">
        <v>46053</v>
      </c>
      <c r="C202" t="s">
        <v>29</v>
      </c>
      <c r="D202" t="s">
        <v>590</v>
      </c>
      <c r="E202" t="s">
        <v>23</v>
      </c>
      <c r="G202" s="2" t="s">
        <v>644</v>
      </c>
      <c r="I202" s="41"/>
      <c r="N202" s="2"/>
      <c r="P202" s="41"/>
      <c r="U202" s="2"/>
      <c r="W202" s="41"/>
      <c r="AB202" s="2"/>
      <c r="AD202" s="41"/>
    </row>
    <row r="203" spans="1:30" hidden="1">
      <c r="A203" t="s">
        <v>645</v>
      </c>
      <c r="B203" s="41">
        <v>46053</v>
      </c>
      <c r="C203" t="s">
        <v>29</v>
      </c>
      <c r="D203" t="s">
        <v>494</v>
      </c>
      <c r="E203" t="s">
        <v>22</v>
      </c>
      <c r="G203" s="2" t="s">
        <v>607</v>
      </c>
      <c r="I203" s="41"/>
      <c r="N203" s="2"/>
      <c r="P203" s="41"/>
      <c r="U203" s="2"/>
      <c r="W203" s="41"/>
      <c r="AB203" s="2"/>
      <c r="AD203" s="41"/>
    </row>
    <row r="204" spans="1:30" hidden="1">
      <c r="A204" t="s">
        <v>646</v>
      </c>
      <c r="B204" s="41">
        <v>46053</v>
      </c>
      <c r="C204" t="s">
        <v>29</v>
      </c>
      <c r="D204" t="s">
        <v>153</v>
      </c>
      <c r="E204" t="s">
        <v>22</v>
      </c>
      <c r="G204" s="2" t="s">
        <v>586</v>
      </c>
      <c r="I204" s="41"/>
      <c r="N204" s="2"/>
      <c r="P204" s="41"/>
      <c r="U204" s="2"/>
      <c r="W204" s="41"/>
      <c r="AB204" s="2"/>
      <c r="AD204" s="41"/>
    </row>
    <row r="205" spans="1:30" hidden="1">
      <c r="A205" t="s">
        <v>647</v>
      </c>
      <c r="B205" s="41">
        <v>46053</v>
      </c>
      <c r="C205" t="s">
        <v>29</v>
      </c>
      <c r="D205" t="s">
        <v>1324</v>
      </c>
      <c r="E205" t="s">
        <v>23</v>
      </c>
      <c r="G205" s="2" t="s">
        <v>586</v>
      </c>
      <c r="I205" s="41"/>
      <c r="N205" s="2"/>
      <c r="P205" s="41"/>
      <c r="U205" s="2"/>
      <c r="W205" s="41"/>
      <c r="AB205" s="2"/>
      <c r="AD205" s="41"/>
    </row>
    <row r="206" spans="1:30" hidden="1">
      <c r="A206" t="s">
        <v>649</v>
      </c>
      <c r="B206" s="41">
        <v>46053</v>
      </c>
      <c r="C206" t="s">
        <v>29</v>
      </c>
      <c r="D206" t="s">
        <v>312</v>
      </c>
      <c r="E206" t="s">
        <v>23</v>
      </c>
      <c r="G206" s="2" t="s">
        <v>312</v>
      </c>
      <c r="I206" s="41"/>
      <c r="N206" s="2"/>
      <c r="P206" s="41"/>
      <c r="U206" s="2"/>
      <c r="W206" s="41"/>
      <c r="AB206" s="2"/>
      <c r="AD206" s="41"/>
    </row>
    <row r="207" spans="1:30" hidden="1">
      <c r="A207" t="s">
        <v>650</v>
      </c>
      <c r="B207" s="41">
        <v>46053</v>
      </c>
      <c r="C207" t="s">
        <v>37</v>
      </c>
      <c r="D207" t="s">
        <v>883</v>
      </c>
      <c r="E207" t="s">
        <v>24</v>
      </c>
      <c r="G207" s="2" t="s">
        <v>151</v>
      </c>
      <c r="I207" s="41"/>
      <c r="N207" s="2"/>
      <c r="P207" s="41"/>
      <c r="U207" s="2"/>
      <c r="W207" s="41"/>
      <c r="AB207" s="2"/>
      <c r="AD207" s="41"/>
    </row>
    <row r="208" spans="1:30" hidden="1">
      <c r="A208" t="s">
        <v>1350</v>
      </c>
      <c r="B208" s="41">
        <v>46053</v>
      </c>
      <c r="C208" t="s">
        <v>29</v>
      </c>
      <c r="D208" t="s">
        <v>364</v>
      </c>
      <c r="E208" t="s">
        <v>24</v>
      </c>
      <c r="G208" s="2" t="s">
        <v>431</v>
      </c>
      <c r="I208" s="41"/>
      <c r="N208" s="2"/>
      <c r="P208" s="41"/>
      <c r="U208" s="2"/>
      <c r="W208" s="41"/>
      <c r="AB208" s="2"/>
      <c r="AD208" s="41"/>
    </row>
    <row r="209" spans="1:30" hidden="1">
      <c r="A209" t="s">
        <v>651</v>
      </c>
      <c r="B209" s="41">
        <v>46053</v>
      </c>
      <c r="C209" t="s">
        <v>29</v>
      </c>
      <c r="D209" t="s">
        <v>364</v>
      </c>
      <c r="E209" t="s">
        <v>24</v>
      </c>
      <c r="G209" s="2" t="s">
        <v>431</v>
      </c>
      <c r="I209" s="41"/>
      <c r="N209" s="2"/>
      <c r="P209" s="41"/>
      <c r="U209" s="2"/>
      <c r="W209" s="41"/>
      <c r="AB209" s="2"/>
      <c r="AD209" s="41"/>
    </row>
    <row r="210" spans="1:30" hidden="1">
      <c r="A210" t="s">
        <v>652</v>
      </c>
      <c r="B210" s="41">
        <v>46053</v>
      </c>
      <c r="C210" t="s">
        <v>35</v>
      </c>
      <c r="D210" t="s">
        <v>1303</v>
      </c>
      <c r="E210" t="s">
        <v>158</v>
      </c>
      <c r="G210" s="2"/>
      <c r="I210" s="41"/>
      <c r="N210" s="2"/>
      <c r="P210" s="41"/>
      <c r="U210" s="2"/>
      <c r="W210" s="41"/>
      <c r="AB210" s="2"/>
      <c r="AD210" s="41"/>
    </row>
    <row r="211" spans="1:30" hidden="1">
      <c r="A211" t="s">
        <v>653</v>
      </c>
      <c r="B211" s="41">
        <v>46053</v>
      </c>
      <c r="C211" t="s">
        <v>29</v>
      </c>
      <c r="D211" t="s">
        <v>153</v>
      </c>
      <c r="E211" t="s">
        <v>22</v>
      </c>
      <c r="G211" s="2" t="s">
        <v>583</v>
      </c>
      <c r="I211" s="41"/>
      <c r="N211" s="2"/>
      <c r="P211" s="41"/>
      <c r="U211" s="2"/>
      <c r="W211" s="41"/>
      <c r="AB211" s="2"/>
      <c r="AD211" s="41"/>
    </row>
    <row r="212" spans="1:30" hidden="1">
      <c r="A212" t="s">
        <v>654</v>
      </c>
      <c r="B212" s="41">
        <v>46053</v>
      </c>
      <c r="C212" t="s">
        <v>29</v>
      </c>
      <c r="D212" t="s">
        <v>153</v>
      </c>
      <c r="E212" t="s">
        <v>22</v>
      </c>
      <c r="G212" s="2" t="s">
        <v>655</v>
      </c>
      <c r="I212" s="41"/>
      <c r="N212" s="2"/>
      <c r="P212" s="41"/>
      <c r="U212" s="2"/>
      <c r="W212" s="41"/>
      <c r="AB212" s="2"/>
      <c r="AD212" s="41"/>
    </row>
    <row r="213" spans="1:30" hidden="1">
      <c r="A213" t="s">
        <v>660</v>
      </c>
      <c r="B213" s="41">
        <v>46053</v>
      </c>
      <c r="C213" t="s">
        <v>29</v>
      </c>
      <c r="D213" t="s">
        <v>1307</v>
      </c>
      <c r="E213" t="s">
        <v>23</v>
      </c>
      <c r="G213" s="2" t="s">
        <v>661</v>
      </c>
      <c r="I213" s="41"/>
      <c r="N213" s="2"/>
      <c r="P213" s="41"/>
      <c r="U213" s="2"/>
      <c r="W213" s="41"/>
      <c r="AB213" s="2"/>
      <c r="AD213" s="41"/>
    </row>
    <row r="214" spans="1:30" hidden="1">
      <c r="A214" t="s">
        <v>663</v>
      </c>
      <c r="B214" s="41">
        <v>46053</v>
      </c>
      <c r="C214" t="s">
        <v>29</v>
      </c>
      <c r="D214" t="s">
        <v>1326</v>
      </c>
      <c r="E214" t="s">
        <v>24</v>
      </c>
      <c r="G214" s="2" t="s">
        <v>664</v>
      </c>
      <c r="I214" s="41"/>
      <c r="N214" s="2"/>
      <c r="P214" s="41"/>
      <c r="U214" s="2"/>
      <c r="W214" s="41"/>
      <c r="AB214" s="2"/>
      <c r="AD214" s="41"/>
    </row>
    <row r="215" spans="1:30" hidden="1">
      <c r="A215" t="s">
        <v>665</v>
      </c>
      <c r="B215" s="41">
        <v>46053</v>
      </c>
      <c r="C215" t="s">
        <v>29</v>
      </c>
      <c r="D215" t="s">
        <v>1323</v>
      </c>
      <c r="E215" t="s">
        <v>23</v>
      </c>
      <c r="G215" s="2" t="s">
        <v>533</v>
      </c>
      <c r="I215" s="41"/>
      <c r="N215" s="2"/>
      <c r="P215" s="41"/>
      <c r="U215" s="2"/>
      <c r="W215" s="41"/>
      <c r="AB215" s="2"/>
      <c r="AD215" s="41"/>
    </row>
    <row r="216" spans="1:30" hidden="1">
      <c r="A216" t="s">
        <v>666</v>
      </c>
      <c r="B216" s="41">
        <v>46053</v>
      </c>
      <c r="C216" t="s">
        <v>35</v>
      </c>
      <c r="D216" t="s">
        <v>309</v>
      </c>
      <c r="E216" t="s">
        <v>24</v>
      </c>
      <c r="G216" s="2" t="s">
        <v>436</v>
      </c>
      <c r="I216" s="41"/>
      <c r="N216" s="2"/>
      <c r="P216" s="41"/>
      <c r="U216" s="2"/>
      <c r="W216" s="41"/>
      <c r="AB216" s="2"/>
      <c r="AD216" s="41"/>
    </row>
    <row r="217" spans="1:30" hidden="1">
      <c r="A217" t="s">
        <v>667</v>
      </c>
      <c r="B217" s="41">
        <v>46053</v>
      </c>
      <c r="C217" t="s">
        <v>29</v>
      </c>
      <c r="D217" t="s">
        <v>1307</v>
      </c>
      <c r="E217" t="s">
        <v>23</v>
      </c>
      <c r="G217" s="2" t="s">
        <v>661</v>
      </c>
      <c r="I217" s="41"/>
      <c r="N217" s="2"/>
      <c r="P217" s="41"/>
      <c r="U217" s="2"/>
      <c r="W217" s="41"/>
      <c r="AB217" s="2"/>
      <c r="AD217" s="41"/>
    </row>
    <row r="218" spans="1:30" hidden="1">
      <c r="A218" t="s">
        <v>668</v>
      </c>
      <c r="B218" s="41">
        <v>46053</v>
      </c>
      <c r="C218" t="s">
        <v>35</v>
      </c>
      <c r="D218" t="s">
        <v>432</v>
      </c>
      <c r="E218" t="s">
        <v>24</v>
      </c>
      <c r="G218" s="2" t="s">
        <v>152</v>
      </c>
      <c r="I218" s="41"/>
      <c r="N218" s="2"/>
      <c r="P218" s="41"/>
      <c r="U218" s="2"/>
      <c r="W218" s="41"/>
      <c r="AB218" s="2"/>
      <c r="AD218" s="41"/>
    </row>
    <row r="219" spans="1:30" hidden="1">
      <c r="A219" t="s">
        <v>669</v>
      </c>
      <c r="B219" s="41">
        <v>46053</v>
      </c>
      <c r="C219" t="s">
        <v>35</v>
      </c>
      <c r="D219" t="s">
        <v>432</v>
      </c>
      <c r="E219" t="s">
        <v>24</v>
      </c>
      <c r="G219" s="2" t="s">
        <v>347</v>
      </c>
      <c r="I219" s="41"/>
      <c r="N219" s="2"/>
      <c r="P219" s="41"/>
      <c r="U219" s="2"/>
      <c r="W219" s="41"/>
      <c r="AB219" s="2"/>
      <c r="AD219" s="41"/>
    </row>
    <row r="220" spans="1:30" hidden="1">
      <c r="A220" t="s">
        <v>670</v>
      </c>
      <c r="B220" s="41">
        <v>46053</v>
      </c>
      <c r="C220" t="s">
        <v>37</v>
      </c>
      <c r="D220" t="s">
        <v>432</v>
      </c>
      <c r="E220" t="s">
        <v>24</v>
      </c>
      <c r="G220" s="2" t="s">
        <v>456</v>
      </c>
      <c r="I220" s="41"/>
      <c r="N220" s="2"/>
      <c r="P220" s="41"/>
      <c r="U220" s="2"/>
      <c r="W220" s="41"/>
      <c r="AB220" s="2"/>
      <c r="AD220" s="41"/>
    </row>
    <row r="221" spans="1:30" hidden="1">
      <c r="A221" t="s">
        <v>672</v>
      </c>
      <c r="B221" s="41">
        <v>46053</v>
      </c>
      <c r="C221" t="s">
        <v>29</v>
      </c>
      <c r="D221" t="s">
        <v>553</v>
      </c>
      <c r="E221" t="s">
        <v>25</v>
      </c>
      <c r="G221" s="2"/>
      <c r="I221" s="41"/>
      <c r="N221" s="2"/>
      <c r="P221" s="41"/>
      <c r="U221" s="2"/>
      <c r="W221" s="41"/>
      <c r="AB221" s="2"/>
      <c r="AD221" s="41"/>
    </row>
    <row r="222" spans="1:30" hidden="1">
      <c r="A222" t="s">
        <v>673</v>
      </c>
      <c r="B222" s="41">
        <v>46053</v>
      </c>
      <c r="C222" t="s">
        <v>29</v>
      </c>
      <c r="D222" t="s">
        <v>1307</v>
      </c>
      <c r="E222" t="s">
        <v>23</v>
      </c>
      <c r="G222" s="2" t="s">
        <v>661</v>
      </c>
      <c r="I222" s="41"/>
      <c r="N222" s="2"/>
      <c r="P222" s="41"/>
      <c r="U222" s="2"/>
      <c r="W222" s="41"/>
      <c r="AB222" s="2"/>
      <c r="AD222" s="41"/>
    </row>
    <row r="223" spans="1:30" hidden="1">
      <c r="A223" t="s">
        <v>674</v>
      </c>
      <c r="B223" s="41">
        <v>46053</v>
      </c>
      <c r="C223" t="s">
        <v>35</v>
      </c>
      <c r="D223" t="s">
        <v>1325</v>
      </c>
      <c r="E223" t="s">
        <v>24</v>
      </c>
      <c r="G223" s="2" t="s">
        <v>320</v>
      </c>
      <c r="I223" s="41"/>
      <c r="N223" s="2"/>
      <c r="P223" s="41"/>
      <c r="U223" s="2"/>
      <c r="W223" s="41"/>
      <c r="AB223" s="2"/>
      <c r="AD223" s="41"/>
    </row>
    <row r="224" spans="1:30" hidden="1">
      <c r="A224" t="s">
        <v>675</v>
      </c>
      <c r="B224" s="41">
        <v>46053</v>
      </c>
      <c r="C224" t="s">
        <v>29</v>
      </c>
      <c r="D224" t="s">
        <v>494</v>
      </c>
      <c r="E224" t="s">
        <v>22</v>
      </c>
      <c r="G224" s="2"/>
      <c r="I224" s="41"/>
      <c r="N224" s="2"/>
      <c r="P224" s="41"/>
      <c r="U224" s="2"/>
      <c r="W224" s="41"/>
      <c r="AB224" s="2"/>
      <c r="AD224" s="41"/>
    </row>
    <row r="225" spans="1:31" hidden="1">
      <c r="A225" t="s">
        <v>679</v>
      </c>
      <c r="B225" s="41">
        <v>46053</v>
      </c>
      <c r="C225" t="s">
        <v>33</v>
      </c>
      <c r="D225" t="s">
        <v>1300</v>
      </c>
      <c r="E225" t="s">
        <v>24</v>
      </c>
      <c r="G225" s="2" t="s">
        <v>680</v>
      </c>
      <c r="I225" s="41"/>
      <c r="N225" s="2"/>
      <c r="P225" s="41"/>
      <c r="U225" s="2"/>
      <c r="W225" s="41"/>
      <c r="AB225" s="2"/>
      <c r="AD225" s="41"/>
    </row>
    <row r="226" spans="1:31" hidden="1">
      <c r="A226" t="s">
        <v>681</v>
      </c>
      <c r="B226" s="41">
        <v>46053</v>
      </c>
      <c r="C226" t="s">
        <v>29</v>
      </c>
      <c r="D226" t="s">
        <v>1304</v>
      </c>
      <c r="E226" t="s">
        <v>22</v>
      </c>
      <c r="G226" s="2"/>
      <c r="I226" s="41"/>
      <c r="N226" s="2"/>
      <c r="P226" s="41"/>
      <c r="U226" s="2"/>
      <c r="W226" s="41"/>
      <c r="AB226" s="2"/>
      <c r="AD226" s="41"/>
    </row>
    <row r="227" spans="1:31" hidden="1">
      <c r="A227" t="s">
        <v>682</v>
      </c>
      <c r="B227" s="41">
        <v>46053</v>
      </c>
      <c r="C227" t="s">
        <v>29</v>
      </c>
      <c r="D227" t="s">
        <v>312</v>
      </c>
      <c r="E227" t="s">
        <v>23</v>
      </c>
      <c r="G227" s="2" t="s">
        <v>312</v>
      </c>
      <c r="I227" s="41"/>
      <c r="N227" s="2"/>
      <c r="P227" s="41"/>
      <c r="U227" s="2"/>
      <c r="W227" s="41"/>
      <c r="AB227" s="2"/>
      <c r="AD227" s="41"/>
    </row>
    <row r="228" spans="1:31" hidden="1">
      <c r="A228" t="s">
        <v>683</v>
      </c>
      <c r="B228" s="41">
        <v>46053</v>
      </c>
      <c r="C228" t="s">
        <v>29</v>
      </c>
      <c r="D228" t="s">
        <v>1324</v>
      </c>
      <c r="E228" t="s">
        <v>23</v>
      </c>
      <c r="G228" s="2" t="s">
        <v>586</v>
      </c>
      <c r="I228" s="41"/>
      <c r="N228" s="2"/>
      <c r="P228" s="41"/>
      <c r="U228" s="2"/>
      <c r="W228" s="41"/>
      <c r="AB228" s="2"/>
      <c r="AD228" s="41"/>
    </row>
    <row r="229" spans="1:31" hidden="1">
      <c r="A229" t="s">
        <v>684</v>
      </c>
      <c r="B229" s="41">
        <v>46053</v>
      </c>
      <c r="C229" t="s">
        <v>29</v>
      </c>
      <c r="D229" t="s">
        <v>1304</v>
      </c>
      <c r="E229" t="s">
        <v>22</v>
      </c>
      <c r="G229" s="2" t="s">
        <v>586</v>
      </c>
      <c r="I229" s="41"/>
      <c r="N229" s="2"/>
      <c r="P229" s="41"/>
      <c r="U229" s="2"/>
      <c r="W229" s="41"/>
      <c r="AB229" s="2"/>
      <c r="AD229" s="41"/>
    </row>
    <row r="230" spans="1:31" hidden="1">
      <c r="A230" t="s">
        <v>686</v>
      </c>
      <c r="B230" s="41">
        <v>46053</v>
      </c>
      <c r="C230" t="s">
        <v>37</v>
      </c>
      <c r="D230" t="s">
        <v>883</v>
      </c>
      <c r="E230" t="s">
        <v>24</v>
      </c>
      <c r="G230" s="2" t="s">
        <v>687</v>
      </c>
      <c r="I230" s="41"/>
      <c r="N230" s="2"/>
      <c r="P230" s="41"/>
      <c r="U230" s="2"/>
      <c r="W230" s="41"/>
      <c r="AB230" s="2"/>
      <c r="AD230" s="41"/>
    </row>
    <row r="231" spans="1:31" hidden="1">
      <c r="A231" t="s">
        <v>688</v>
      </c>
      <c r="B231" s="41">
        <v>46053</v>
      </c>
      <c r="C231" t="s">
        <v>35</v>
      </c>
      <c r="D231" s="79" t="s">
        <v>364</v>
      </c>
      <c r="E231" t="s">
        <v>24</v>
      </c>
      <c r="G231" s="2" t="s">
        <v>431</v>
      </c>
      <c r="I231" s="41"/>
      <c r="N231" s="2"/>
      <c r="P231" s="41"/>
      <c r="U231" s="2"/>
      <c r="W231" s="41"/>
      <c r="AB231" s="2"/>
      <c r="AD231" s="41"/>
    </row>
    <row r="232" spans="1:31" hidden="1">
      <c r="A232" t="s">
        <v>689</v>
      </c>
      <c r="B232" s="41">
        <v>46053</v>
      </c>
      <c r="C232" t="s">
        <v>35</v>
      </c>
      <c r="D232" s="79" t="s">
        <v>1303</v>
      </c>
      <c r="E232" t="s">
        <v>158</v>
      </c>
      <c r="G232" s="2" t="s">
        <v>690</v>
      </c>
      <c r="I232" s="41"/>
      <c r="N232" s="2"/>
      <c r="P232" s="41"/>
      <c r="U232" s="2"/>
      <c r="W232" s="41"/>
      <c r="AB232" s="2"/>
      <c r="AD232" s="41"/>
    </row>
    <row r="233" spans="1:31" hidden="1">
      <c r="A233" t="s">
        <v>697</v>
      </c>
      <c r="B233" s="41">
        <v>46053</v>
      </c>
      <c r="C233" t="s">
        <v>299</v>
      </c>
      <c r="D233" t="s">
        <v>365</v>
      </c>
      <c r="E233" t="s">
        <v>24</v>
      </c>
      <c r="G233" s="2" t="s">
        <v>325</v>
      </c>
      <c r="I233" s="41"/>
      <c r="N233" s="2"/>
      <c r="P233" s="41"/>
      <c r="U233" s="2"/>
      <c r="W233" s="41"/>
      <c r="AB233" s="2"/>
      <c r="AD233" s="41"/>
    </row>
    <row r="234" spans="1:31" hidden="1">
      <c r="A234" t="s">
        <v>698</v>
      </c>
      <c r="B234" s="41">
        <v>46053</v>
      </c>
      <c r="C234" t="s">
        <v>299</v>
      </c>
      <c r="D234" t="s">
        <v>365</v>
      </c>
      <c r="E234" t="s">
        <v>24</v>
      </c>
      <c r="G234" s="2" t="s">
        <v>325</v>
      </c>
      <c r="I234" s="41"/>
      <c r="N234" s="2"/>
      <c r="P234" s="41"/>
      <c r="U234" s="2"/>
      <c r="W234" s="41"/>
      <c r="AB234" s="2"/>
      <c r="AD234" s="41"/>
    </row>
    <row r="235" spans="1:31" s="53" customFormat="1" hidden="1">
      <c r="A235" t="s">
        <v>699</v>
      </c>
      <c r="B235" s="41">
        <v>46053</v>
      </c>
      <c r="C235" t="s">
        <v>299</v>
      </c>
      <c r="D235" t="s">
        <v>500</v>
      </c>
      <c r="E235" t="s">
        <v>23</v>
      </c>
      <c r="F235"/>
      <c r="G235" s="2" t="s">
        <v>808</v>
      </c>
      <c r="H235"/>
      <c r="I235" s="41"/>
      <c r="J235"/>
      <c r="K235"/>
      <c r="L235"/>
      <c r="M235"/>
      <c r="N235" s="2"/>
      <c r="O235"/>
      <c r="P235" s="41"/>
      <c r="Q235"/>
      <c r="R235"/>
      <c r="S235"/>
      <c r="T235"/>
      <c r="U235" s="2"/>
      <c r="V235"/>
      <c r="W235" s="41"/>
      <c r="X235"/>
      <c r="Y235"/>
      <c r="Z235"/>
      <c r="AA235"/>
      <c r="AB235" s="2"/>
      <c r="AC235"/>
      <c r="AD235" s="41"/>
      <c r="AE235"/>
    </row>
    <row r="236" spans="1:31" hidden="1">
      <c r="A236" t="s">
        <v>700</v>
      </c>
      <c r="B236" s="41">
        <v>46053</v>
      </c>
      <c r="C236" t="s">
        <v>299</v>
      </c>
      <c r="D236" t="s">
        <v>432</v>
      </c>
      <c r="E236" t="s">
        <v>24</v>
      </c>
      <c r="G236" s="2" t="s">
        <v>701</v>
      </c>
      <c r="I236" s="41"/>
      <c r="N236" s="2"/>
      <c r="P236" s="41"/>
      <c r="U236" s="2"/>
      <c r="W236" s="41"/>
      <c r="AB236" s="2"/>
      <c r="AD236" s="41"/>
    </row>
    <row r="237" spans="1:31" s="63" customFormat="1" hidden="1">
      <c r="A237" t="s">
        <v>702</v>
      </c>
      <c r="B237" s="41">
        <v>46053</v>
      </c>
      <c r="C237" t="s">
        <v>299</v>
      </c>
      <c r="D237" t="s">
        <v>500</v>
      </c>
      <c r="E237" t="s">
        <v>23</v>
      </c>
      <c r="F237"/>
      <c r="G237" s="2" t="s">
        <v>808</v>
      </c>
      <c r="H237"/>
      <c r="I237" s="41"/>
      <c r="J237"/>
      <c r="K237"/>
      <c r="L237"/>
      <c r="M237"/>
      <c r="N237" s="2"/>
      <c r="O237"/>
      <c r="P237" s="41"/>
      <c r="Q237"/>
      <c r="R237"/>
      <c r="S237"/>
      <c r="T237"/>
      <c r="U237" s="2"/>
      <c r="V237"/>
      <c r="W237" s="41"/>
      <c r="X237"/>
      <c r="Y237"/>
      <c r="Z237"/>
      <c r="AA237"/>
      <c r="AB237" s="2"/>
      <c r="AC237"/>
      <c r="AD237" s="41"/>
      <c r="AE237"/>
    </row>
    <row r="238" spans="1:31" s="64" customFormat="1" hidden="1">
      <c r="A238" t="s">
        <v>703</v>
      </c>
      <c r="B238" s="41">
        <v>46053</v>
      </c>
      <c r="C238" t="s">
        <v>299</v>
      </c>
      <c r="D238" t="s">
        <v>365</v>
      </c>
      <c r="E238" t="s">
        <v>24</v>
      </c>
      <c r="F238"/>
      <c r="G238" s="2" t="s">
        <v>325</v>
      </c>
      <c r="H238"/>
      <c r="I238" s="41"/>
      <c r="J238"/>
      <c r="K238"/>
      <c r="L238"/>
      <c r="M238"/>
      <c r="N238" s="2"/>
      <c r="O238"/>
      <c r="P238" s="41"/>
      <c r="Q238"/>
      <c r="R238"/>
      <c r="S238"/>
      <c r="T238"/>
      <c r="U238" s="2"/>
      <c r="V238"/>
      <c r="W238" s="41"/>
      <c r="X238"/>
      <c r="Y238"/>
      <c r="Z238"/>
      <c r="AA238"/>
      <c r="AB238" s="2"/>
      <c r="AC238"/>
      <c r="AD238" s="41"/>
      <c r="AE238"/>
    </row>
    <row r="239" spans="1:31" hidden="1">
      <c r="A239" t="s">
        <v>704</v>
      </c>
      <c r="B239" s="41">
        <v>46053</v>
      </c>
      <c r="C239" t="s">
        <v>299</v>
      </c>
      <c r="D239" t="s">
        <v>494</v>
      </c>
      <c r="E239" t="s">
        <v>22</v>
      </c>
      <c r="G239" s="2" t="s">
        <v>705</v>
      </c>
      <c r="I239" s="41"/>
      <c r="N239" s="2"/>
      <c r="P239" s="41"/>
      <c r="U239" s="2"/>
      <c r="W239" s="41"/>
      <c r="AB239" s="2"/>
      <c r="AD239" s="41"/>
    </row>
    <row r="240" spans="1:31" hidden="1">
      <c r="A240" t="s">
        <v>706</v>
      </c>
      <c r="B240" s="41">
        <v>46053</v>
      </c>
      <c r="C240" t="s">
        <v>299</v>
      </c>
      <c r="D240" t="s">
        <v>1313</v>
      </c>
      <c r="E240" t="s">
        <v>24</v>
      </c>
      <c r="G240" s="2" t="s">
        <v>318</v>
      </c>
      <c r="I240" s="41"/>
      <c r="N240" s="2"/>
      <c r="P240" s="41"/>
      <c r="U240" s="2"/>
      <c r="W240" s="41"/>
      <c r="AB240" s="2"/>
      <c r="AD240" s="41"/>
    </row>
    <row r="241" spans="1:31" hidden="1">
      <c r="A241" t="s">
        <v>707</v>
      </c>
      <c r="B241" s="41">
        <v>46053</v>
      </c>
      <c r="C241" t="s">
        <v>35</v>
      </c>
      <c r="D241" t="s">
        <v>364</v>
      </c>
      <c r="E241" t="s">
        <v>24</v>
      </c>
      <c r="G241" s="2" t="s">
        <v>708</v>
      </c>
      <c r="I241" s="41"/>
      <c r="N241" s="2"/>
      <c r="P241" s="41"/>
      <c r="U241" s="2"/>
      <c r="W241" s="41"/>
      <c r="AB241" s="2"/>
      <c r="AD241" s="41"/>
    </row>
    <row r="242" spans="1:31" hidden="1">
      <c r="A242" t="s">
        <v>709</v>
      </c>
      <c r="B242" s="41">
        <v>46053</v>
      </c>
      <c r="C242" t="s">
        <v>35</v>
      </c>
      <c r="D242" t="s">
        <v>1316</v>
      </c>
      <c r="E242" t="s">
        <v>24</v>
      </c>
      <c r="G242" s="2" t="s">
        <v>710</v>
      </c>
      <c r="I242" s="41"/>
      <c r="N242" s="2"/>
      <c r="P242" s="41"/>
      <c r="U242" s="2"/>
      <c r="W242" s="41"/>
      <c r="AB242" s="2"/>
      <c r="AD242" s="41"/>
    </row>
    <row r="243" spans="1:31" s="64" customFormat="1" hidden="1">
      <c r="A243" t="s">
        <v>711</v>
      </c>
      <c r="B243" s="41">
        <v>46053</v>
      </c>
      <c r="C243" t="s">
        <v>299</v>
      </c>
      <c r="D243" t="s">
        <v>500</v>
      </c>
      <c r="E243" t="s">
        <v>23</v>
      </c>
      <c r="F243"/>
      <c r="G243" s="2" t="s">
        <v>808</v>
      </c>
      <c r="H243"/>
      <c r="I243" s="41"/>
      <c r="J243"/>
      <c r="K243"/>
      <c r="L243"/>
      <c r="M243"/>
      <c r="N243" s="2"/>
      <c r="O243"/>
      <c r="P243" s="41"/>
      <c r="Q243"/>
      <c r="R243"/>
      <c r="S243"/>
      <c r="T243"/>
      <c r="U243" s="2"/>
      <c r="V243"/>
      <c r="W243" s="41"/>
      <c r="X243"/>
      <c r="Y243"/>
      <c r="Z243"/>
      <c r="AA243"/>
      <c r="AB243" s="2"/>
      <c r="AC243"/>
      <c r="AD243" s="41"/>
      <c r="AE243"/>
    </row>
    <row r="244" spans="1:31" hidden="1">
      <c r="A244" t="s">
        <v>712</v>
      </c>
      <c r="B244" s="41">
        <v>46053</v>
      </c>
      <c r="C244" t="s">
        <v>299</v>
      </c>
      <c r="D244" t="s">
        <v>500</v>
      </c>
      <c r="E244" t="s">
        <v>23</v>
      </c>
      <c r="G244" s="2" t="s">
        <v>808</v>
      </c>
      <c r="I244" s="41"/>
      <c r="N244" s="2"/>
      <c r="P244" s="41"/>
      <c r="U244" s="2"/>
      <c r="W244" s="41"/>
      <c r="AB244" s="2"/>
      <c r="AD244" s="41"/>
    </row>
    <row r="245" spans="1:31" s="64" customFormat="1" hidden="1">
      <c r="A245" t="s">
        <v>713</v>
      </c>
      <c r="B245" s="41">
        <v>46053</v>
      </c>
      <c r="C245" t="s">
        <v>299</v>
      </c>
      <c r="D245" t="s">
        <v>500</v>
      </c>
      <c r="E245" t="s">
        <v>23</v>
      </c>
      <c r="F245"/>
      <c r="G245" s="2" t="s">
        <v>808</v>
      </c>
      <c r="H245"/>
      <c r="I245" s="41"/>
      <c r="J245"/>
      <c r="K245"/>
      <c r="L245"/>
      <c r="M245"/>
      <c r="N245" s="2"/>
      <c r="O245"/>
      <c r="P245" s="41"/>
      <c r="Q245"/>
      <c r="R245"/>
      <c r="S245"/>
      <c r="T245"/>
      <c r="U245" s="2"/>
      <c r="V245"/>
      <c r="W245" s="41"/>
      <c r="X245"/>
      <c r="Y245"/>
      <c r="Z245"/>
      <c r="AA245"/>
      <c r="AB245" s="2"/>
      <c r="AC245"/>
      <c r="AD245" s="41"/>
      <c r="AE245"/>
    </row>
    <row r="246" spans="1:31" hidden="1">
      <c r="A246" t="s">
        <v>714</v>
      </c>
      <c r="B246" s="41">
        <v>46053</v>
      </c>
      <c r="C246" t="s">
        <v>35</v>
      </c>
      <c r="D246" t="s">
        <v>364</v>
      </c>
      <c r="E246" t="s">
        <v>24</v>
      </c>
      <c r="G246" s="2" t="s">
        <v>708</v>
      </c>
      <c r="I246" s="41"/>
      <c r="N246" s="2"/>
      <c r="P246" s="41"/>
      <c r="U246" s="2"/>
      <c r="W246" s="41"/>
      <c r="AB246" s="2"/>
      <c r="AD246" s="41"/>
    </row>
    <row r="247" spans="1:31" s="64" customFormat="1" hidden="1">
      <c r="A247" t="s">
        <v>715</v>
      </c>
      <c r="B247" s="41">
        <v>46053</v>
      </c>
      <c r="C247" t="s">
        <v>299</v>
      </c>
      <c r="D247" t="s">
        <v>500</v>
      </c>
      <c r="E247" t="s">
        <v>23</v>
      </c>
      <c r="F247"/>
      <c r="G247" s="2" t="s">
        <v>796</v>
      </c>
      <c r="H247"/>
      <c r="I247" s="41"/>
      <c r="J247"/>
      <c r="K247"/>
      <c r="L247"/>
      <c r="M247"/>
      <c r="N247" s="2"/>
      <c r="O247"/>
      <c r="P247" s="41"/>
      <c r="Q247"/>
      <c r="R247"/>
      <c r="S247"/>
      <c r="T247"/>
      <c r="U247" s="2"/>
      <c r="V247"/>
      <c r="W247" s="41"/>
      <c r="X247"/>
      <c r="Y247"/>
      <c r="Z247"/>
      <c r="AA247"/>
      <c r="AB247" s="2"/>
      <c r="AC247"/>
      <c r="AD247" s="41"/>
      <c r="AE247"/>
    </row>
    <row r="248" spans="1:31" s="64" customFormat="1" hidden="1">
      <c r="A248" t="s">
        <v>716</v>
      </c>
      <c r="B248" s="41">
        <v>46053</v>
      </c>
      <c r="C248" t="s">
        <v>299</v>
      </c>
      <c r="D248" t="s">
        <v>500</v>
      </c>
      <c r="E248" t="s">
        <v>23</v>
      </c>
      <c r="F248"/>
      <c r="G248" s="2" t="s">
        <v>808</v>
      </c>
      <c r="H248"/>
      <c r="I248" s="41"/>
      <c r="J248"/>
      <c r="K248"/>
      <c r="L248"/>
      <c r="M248"/>
      <c r="N248" s="2"/>
      <c r="O248"/>
      <c r="P248" s="41"/>
      <c r="Q248"/>
      <c r="R248"/>
      <c r="S248"/>
      <c r="T248"/>
      <c r="U248" s="2"/>
      <c r="V248"/>
      <c r="W248" s="41"/>
      <c r="X248"/>
      <c r="Y248"/>
      <c r="Z248"/>
      <c r="AA248"/>
      <c r="AB248" s="2"/>
      <c r="AC248"/>
      <c r="AD248" s="41"/>
      <c r="AE248"/>
    </row>
    <row r="249" spans="1:31" hidden="1">
      <c r="A249" t="s">
        <v>717</v>
      </c>
      <c r="B249" s="41">
        <v>46053</v>
      </c>
      <c r="C249" t="s">
        <v>35</v>
      </c>
      <c r="D249" t="s">
        <v>309</v>
      </c>
      <c r="E249" t="s">
        <v>24</v>
      </c>
      <c r="G249" s="2" t="s">
        <v>436</v>
      </c>
      <c r="I249" s="41"/>
      <c r="N249" s="2"/>
      <c r="P249" s="41"/>
      <c r="U249" s="2"/>
      <c r="W249" s="41"/>
      <c r="AB249" s="2"/>
      <c r="AD249" s="41"/>
    </row>
    <row r="250" spans="1:31" hidden="1">
      <c r="A250" t="s">
        <v>718</v>
      </c>
      <c r="B250" s="41">
        <v>46053</v>
      </c>
      <c r="C250" t="s">
        <v>33</v>
      </c>
      <c r="D250" s="42" t="s">
        <v>1321</v>
      </c>
      <c r="E250" t="s">
        <v>24</v>
      </c>
      <c r="G250" s="2" t="s">
        <v>370</v>
      </c>
      <c r="I250" s="41"/>
      <c r="N250" s="2"/>
      <c r="P250" s="41"/>
      <c r="U250" s="2"/>
      <c r="W250" s="41"/>
      <c r="AB250" s="2"/>
      <c r="AD250" s="41"/>
    </row>
    <row r="251" spans="1:31" hidden="1">
      <c r="A251" t="s">
        <v>719</v>
      </c>
      <c r="B251" s="41">
        <v>46053</v>
      </c>
      <c r="C251" t="s">
        <v>35</v>
      </c>
      <c r="D251" t="s">
        <v>364</v>
      </c>
      <c r="E251" t="s">
        <v>24</v>
      </c>
      <c r="G251" s="2" t="s">
        <v>708</v>
      </c>
      <c r="I251" s="41"/>
      <c r="N251" s="2"/>
      <c r="P251" s="41"/>
      <c r="U251" s="2"/>
      <c r="W251" s="41"/>
      <c r="AB251" s="2"/>
      <c r="AD251" s="41"/>
    </row>
    <row r="252" spans="1:31" hidden="1">
      <c r="A252" t="s">
        <v>720</v>
      </c>
      <c r="B252" s="41">
        <v>46053</v>
      </c>
      <c r="C252" t="s">
        <v>299</v>
      </c>
      <c r="D252" t="s">
        <v>494</v>
      </c>
      <c r="E252" t="s">
        <v>22</v>
      </c>
      <c r="G252" s="2" t="s">
        <v>705</v>
      </c>
      <c r="I252" s="41"/>
      <c r="N252" s="2"/>
      <c r="P252" s="41"/>
      <c r="U252" s="2"/>
      <c r="W252" s="41"/>
      <c r="AB252" s="2"/>
      <c r="AD252" s="41"/>
    </row>
    <row r="253" spans="1:31" hidden="1">
      <c r="A253" t="s">
        <v>721</v>
      </c>
      <c r="B253" s="41">
        <v>46053</v>
      </c>
      <c r="C253" t="s">
        <v>35</v>
      </c>
      <c r="D253" s="42" t="s">
        <v>1328</v>
      </c>
      <c r="E253" t="s">
        <v>24</v>
      </c>
      <c r="G253" s="2" t="s">
        <v>340</v>
      </c>
      <c r="I253" s="41"/>
      <c r="N253" s="2"/>
      <c r="P253" s="41"/>
      <c r="U253" s="2"/>
      <c r="W253" s="41"/>
      <c r="AB253" s="2"/>
      <c r="AD253" s="41"/>
    </row>
    <row r="254" spans="1:31" hidden="1">
      <c r="A254" t="s">
        <v>722</v>
      </c>
      <c r="B254" s="41">
        <v>46053</v>
      </c>
      <c r="C254" t="s">
        <v>35</v>
      </c>
      <c r="D254" s="42" t="s">
        <v>1328</v>
      </c>
      <c r="E254" t="s">
        <v>24</v>
      </c>
      <c r="G254" s="2" t="s">
        <v>340</v>
      </c>
      <c r="I254" s="41"/>
      <c r="N254" s="2"/>
      <c r="P254" s="41"/>
      <c r="U254" s="2"/>
      <c r="W254" s="41"/>
      <c r="AB254" s="2"/>
      <c r="AD254" s="41"/>
    </row>
    <row r="255" spans="1:31" s="64" customFormat="1" hidden="1">
      <c r="A255" t="s">
        <v>723</v>
      </c>
      <c r="B255" s="41">
        <v>46053</v>
      </c>
      <c r="C255" t="s">
        <v>299</v>
      </c>
      <c r="D255" t="s">
        <v>500</v>
      </c>
      <c r="E255" t="s">
        <v>23</v>
      </c>
      <c r="F255"/>
      <c r="G255" s="2" t="s">
        <v>808</v>
      </c>
      <c r="H255"/>
      <c r="I255" s="41"/>
      <c r="J255"/>
      <c r="K255"/>
      <c r="L255"/>
      <c r="M255"/>
      <c r="N255" s="2"/>
      <c r="O255"/>
      <c r="P255" s="41"/>
      <c r="Q255"/>
      <c r="R255"/>
      <c r="S255"/>
      <c r="T255"/>
      <c r="U255" s="2"/>
      <c r="V255"/>
      <c r="W255" s="41"/>
      <c r="X255"/>
      <c r="Y255"/>
      <c r="Z255"/>
      <c r="AA255"/>
      <c r="AB255" s="2"/>
      <c r="AC255"/>
      <c r="AD255" s="41"/>
      <c r="AE255"/>
    </row>
    <row r="256" spans="1:31" hidden="1">
      <c r="A256" t="s">
        <v>724</v>
      </c>
      <c r="B256" s="41">
        <v>46053</v>
      </c>
      <c r="C256" t="s">
        <v>299</v>
      </c>
      <c r="D256" t="s">
        <v>1313</v>
      </c>
      <c r="E256" t="s">
        <v>24</v>
      </c>
      <c r="G256" s="2" t="s">
        <v>318</v>
      </c>
      <c r="I256" s="41"/>
      <c r="N256" s="2"/>
      <c r="P256" s="41"/>
      <c r="U256" s="2"/>
      <c r="W256" s="41"/>
      <c r="AB256" s="2"/>
      <c r="AD256" s="41"/>
    </row>
    <row r="257" spans="1:30" hidden="1">
      <c r="A257" t="s">
        <v>725</v>
      </c>
      <c r="B257" s="41">
        <v>46053</v>
      </c>
      <c r="C257" t="s">
        <v>299</v>
      </c>
      <c r="D257" t="s">
        <v>1313</v>
      </c>
      <c r="E257" t="s">
        <v>24</v>
      </c>
      <c r="G257" s="2" t="s">
        <v>318</v>
      </c>
      <c r="I257" s="41"/>
      <c r="N257" s="2"/>
      <c r="P257" s="41"/>
      <c r="U257" s="2"/>
      <c r="W257" s="41"/>
      <c r="AB257" s="2"/>
      <c r="AD257" s="41"/>
    </row>
    <row r="258" spans="1:30" hidden="1">
      <c r="A258" t="s">
        <v>726</v>
      </c>
      <c r="B258" s="41">
        <v>46053</v>
      </c>
      <c r="C258" t="s">
        <v>299</v>
      </c>
      <c r="D258" s="96" t="s">
        <v>1313</v>
      </c>
      <c r="E258" t="s">
        <v>24</v>
      </c>
      <c r="G258" s="2" t="s">
        <v>318</v>
      </c>
      <c r="I258" s="41"/>
      <c r="N258" s="2"/>
      <c r="P258" s="41"/>
      <c r="U258" s="2"/>
      <c r="W258" s="41"/>
      <c r="AB258" s="2"/>
      <c r="AD258" s="41"/>
    </row>
    <row r="259" spans="1:30">
      <c r="A259" t="s">
        <v>727</v>
      </c>
      <c r="B259" s="41">
        <v>46053</v>
      </c>
      <c r="C259" t="s">
        <v>299</v>
      </c>
      <c r="D259" s="104" t="s">
        <v>1368</v>
      </c>
      <c r="E259" t="s">
        <v>24</v>
      </c>
      <c r="G259" s="2" t="s">
        <v>728</v>
      </c>
      <c r="I259" s="41"/>
      <c r="N259" s="2"/>
      <c r="P259" s="41"/>
      <c r="U259" s="2"/>
      <c r="W259" s="41"/>
      <c r="AB259" s="2"/>
      <c r="AD259" s="41"/>
    </row>
    <row r="260" spans="1:30">
      <c r="A260" t="s">
        <v>729</v>
      </c>
      <c r="B260" s="41">
        <v>46053</v>
      </c>
      <c r="C260" t="s">
        <v>299</v>
      </c>
      <c r="D260" s="104" t="s">
        <v>1368</v>
      </c>
      <c r="E260" t="s">
        <v>24</v>
      </c>
      <c r="G260" s="2" t="s">
        <v>731</v>
      </c>
      <c r="I260" s="41"/>
      <c r="N260" s="2"/>
      <c r="P260" s="41"/>
      <c r="U260" s="2"/>
      <c r="W260" s="41"/>
      <c r="AB260" s="2"/>
      <c r="AD260" s="41"/>
    </row>
    <row r="261" spans="1:30" hidden="1">
      <c r="A261" t="s">
        <v>730</v>
      </c>
      <c r="B261" s="41">
        <v>46053</v>
      </c>
      <c r="C261" t="s">
        <v>33</v>
      </c>
      <c r="D261" s="104" t="s">
        <v>1321</v>
      </c>
      <c r="E261" t="s">
        <v>24</v>
      </c>
      <c r="G261" s="2" t="s">
        <v>370</v>
      </c>
      <c r="I261" s="41"/>
      <c r="N261" s="2"/>
      <c r="P261" s="41"/>
      <c r="U261" s="2"/>
      <c r="W261" s="41"/>
      <c r="AB261" s="2"/>
      <c r="AD261" s="41"/>
    </row>
    <row r="262" spans="1:30" hidden="1">
      <c r="A262" t="s">
        <v>732</v>
      </c>
      <c r="B262" s="41">
        <v>46053</v>
      </c>
      <c r="C262" t="s">
        <v>299</v>
      </c>
      <c r="D262" s="104" t="s">
        <v>1324</v>
      </c>
      <c r="E262" t="s">
        <v>23</v>
      </c>
      <c r="G262" s="2" t="s">
        <v>586</v>
      </c>
      <c r="I262" s="41"/>
      <c r="N262" s="2"/>
      <c r="P262" s="41"/>
      <c r="U262" s="2"/>
      <c r="W262" s="41"/>
      <c r="AB262" s="2"/>
      <c r="AD262" s="41"/>
    </row>
    <row r="263" spans="1:30" hidden="1">
      <c r="A263" t="s">
        <v>945</v>
      </c>
      <c r="B263" s="41">
        <v>46053</v>
      </c>
      <c r="C263" t="s">
        <v>299</v>
      </c>
      <c r="D263" t="s">
        <v>153</v>
      </c>
      <c r="E263" t="s">
        <v>22</v>
      </c>
      <c r="G263" s="2" t="s">
        <v>586</v>
      </c>
      <c r="I263" s="41"/>
      <c r="N263" s="2"/>
      <c r="P263" s="41"/>
      <c r="U263" s="2"/>
      <c r="W263" s="41"/>
      <c r="AB263" s="2"/>
      <c r="AD263" s="41"/>
    </row>
    <row r="264" spans="1:30" hidden="1">
      <c r="A264" t="s">
        <v>733</v>
      </c>
      <c r="B264" s="41">
        <v>46053</v>
      </c>
      <c r="C264" t="s">
        <v>299</v>
      </c>
      <c r="D264" t="s">
        <v>500</v>
      </c>
      <c r="E264" t="s">
        <v>23</v>
      </c>
      <c r="G264" s="2" t="s">
        <v>808</v>
      </c>
      <c r="I264" s="41"/>
      <c r="N264" s="2"/>
      <c r="P264" s="41"/>
      <c r="U264" s="2"/>
      <c r="W264" s="41"/>
      <c r="AB264" s="2"/>
      <c r="AD264" s="41"/>
    </row>
    <row r="265" spans="1:30" hidden="1">
      <c r="A265" t="s">
        <v>734</v>
      </c>
      <c r="B265" s="41">
        <v>46053</v>
      </c>
      <c r="C265" t="s">
        <v>299</v>
      </c>
      <c r="D265" t="s">
        <v>432</v>
      </c>
      <c r="E265" t="s">
        <v>23</v>
      </c>
      <c r="G265" s="2" t="s">
        <v>139</v>
      </c>
      <c r="I265" s="41"/>
      <c r="N265" s="2"/>
      <c r="P265" s="41"/>
      <c r="U265" s="2"/>
      <c r="W265" s="41"/>
      <c r="AB265" s="2"/>
      <c r="AD265" s="41"/>
    </row>
    <row r="266" spans="1:30" hidden="1">
      <c r="A266" t="s">
        <v>735</v>
      </c>
      <c r="B266" s="41">
        <v>46053</v>
      </c>
      <c r="C266" t="s">
        <v>299</v>
      </c>
      <c r="D266" t="s">
        <v>500</v>
      </c>
      <c r="E266" t="s">
        <v>23</v>
      </c>
      <c r="G266" s="2" t="s">
        <v>808</v>
      </c>
      <c r="I266" s="41"/>
      <c r="N266" s="2"/>
      <c r="P266" s="41"/>
      <c r="U266" s="2"/>
      <c r="W266" s="41"/>
      <c r="AB266" s="2"/>
      <c r="AD266" s="41"/>
    </row>
    <row r="267" spans="1:30" hidden="1">
      <c r="A267" t="s">
        <v>736</v>
      </c>
      <c r="B267" s="41">
        <v>46053</v>
      </c>
      <c r="C267" t="s">
        <v>35</v>
      </c>
      <c r="D267" t="s">
        <v>432</v>
      </c>
      <c r="E267" t="s">
        <v>24</v>
      </c>
      <c r="G267" s="2" t="s">
        <v>152</v>
      </c>
      <c r="I267" s="41"/>
      <c r="N267" s="2"/>
      <c r="P267" s="41"/>
      <c r="U267" s="2"/>
      <c r="W267" s="41"/>
      <c r="AB267" s="2"/>
      <c r="AD267" s="41"/>
    </row>
    <row r="268" spans="1:30" hidden="1">
      <c r="A268" t="s">
        <v>737</v>
      </c>
      <c r="B268" s="41">
        <v>46053</v>
      </c>
      <c r="C268" t="s">
        <v>35</v>
      </c>
      <c r="D268" t="s">
        <v>432</v>
      </c>
      <c r="E268" t="s">
        <v>24</v>
      </c>
      <c r="G268" s="2" t="s">
        <v>347</v>
      </c>
      <c r="I268" s="41"/>
      <c r="N268" s="2"/>
      <c r="P268" s="41"/>
      <c r="U268" s="2"/>
      <c r="W268" s="41"/>
      <c r="AB268" s="2"/>
      <c r="AD268" s="41"/>
    </row>
    <row r="269" spans="1:30" hidden="1">
      <c r="A269" t="s">
        <v>738</v>
      </c>
      <c r="B269" s="41">
        <v>46053</v>
      </c>
      <c r="C269" t="s">
        <v>35</v>
      </c>
      <c r="D269" t="s">
        <v>494</v>
      </c>
      <c r="E269" t="s">
        <v>24</v>
      </c>
      <c r="G269" s="2" t="s">
        <v>349</v>
      </c>
      <c r="I269" s="41"/>
      <c r="N269" s="2"/>
      <c r="P269" s="41"/>
      <c r="U269" s="2"/>
      <c r="W269" s="41"/>
      <c r="AB269" s="2"/>
      <c r="AD269" s="41"/>
    </row>
    <row r="270" spans="1:30" hidden="1">
      <c r="A270" t="s">
        <v>739</v>
      </c>
      <c r="B270" s="41">
        <v>46053</v>
      </c>
      <c r="C270" t="s">
        <v>35</v>
      </c>
      <c r="D270" t="s">
        <v>364</v>
      </c>
      <c r="E270" t="s">
        <v>24</v>
      </c>
      <c r="G270" s="2" t="s">
        <v>708</v>
      </c>
      <c r="I270" s="41"/>
      <c r="N270" s="2"/>
      <c r="P270" s="41"/>
      <c r="U270" s="2"/>
      <c r="W270" s="41"/>
      <c r="AB270" s="2"/>
      <c r="AD270" s="41"/>
    </row>
    <row r="271" spans="1:30" hidden="1">
      <c r="A271" t="s">
        <v>740</v>
      </c>
      <c r="B271" s="41">
        <v>46053</v>
      </c>
      <c r="C271" t="s">
        <v>299</v>
      </c>
      <c r="D271" t="s">
        <v>494</v>
      </c>
      <c r="E271" t="s">
        <v>22</v>
      </c>
      <c r="G271" s="2" t="s">
        <v>705</v>
      </c>
      <c r="I271" s="41"/>
      <c r="N271" s="2"/>
      <c r="P271" s="41"/>
      <c r="U271" s="2"/>
      <c r="W271" s="41"/>
      <c r="AB271" s="2"/>
      <c r="AD271" s="41"/>
    </row>
    <row r="272" spans="1:30" hidden="1">
      <c r="A272" t="s">
        <v>741</v>
      </c>
      <c r="B272" s="41">
        <v>46053</v>
      </c>
      <c r="C272" t="s">
        <v>35</v>
      </c>
      <c r="D272" t="s">
        <v>432</v>
      </c>
      <c r="E272" t="s">
        <v>24</v>
      </c>
      <c r="G272" s="2" t="s">
        <v>356</v>
      </c>
      <c r="I272" s="41"/>
      <c r="N272" s="2"/>
      <c r="P272" s="41"/>
      <c r="U272" s="2"/>
      <c r="W272" s="41"/>
      <c r="AB272" s="2"/>
      <c r="AD272" s="41"/>
    </row>
    <row r="273" spans="1:31" hidden="1">
      <c r="A273" t="s">
        <v>742</v>
      </c>
      <c r="B273" s="41">
        <v>46053</v>
      </c>
      <c r="C273" t="s">
        <v>35</v>
      </c>
      <c r="D273" t="s">
        <v>364</v>
      </c>
      <c r="E273" t="s">
        <v>24</v>
      </c>
      <c r="G273" s="2" t="s">
        <v>708</v>
      </c>
      <c r="I273" s="41"/>
      <c r="N273" s="2"/>
      <c r="P273" s="41"/>
      <c r="U273" s="2"/>
      <c r="W273" s="41"/>
      <c r="AB273" s="2"/>
      <c r="AD273" s="41"/>
    </row>
    <row r="274" spans="1:31" s="63" customFormat="1" hidden="1">
      <c r="A274" t="s">
        <v>743</v>
      </c>
      <c r="B274" s="41">
        <v>46053</v>
      </c>
      <c r="C274" t="s">
        <v>299</v>
      </c>
      <c r="D274" t="s">
        <v>500</v>
      </c>
      <c r="E274" t="s">
        <v>23</v>
      </c>
      <c r="F274"/>
      <c r="G274" s="2" t="s">
        <v>808</v>
      </c>
      <c r="H274"/>
      <c r="I274" s="41"/>
      <c r="J274"/>
      <c r="K274"/>
      <c r="L274"/>
      <c r="M274"/>
      <c r="N274" s="2"/>
      <c r="O274"/>
      <c r="P274" s="41"/>
      <c r="Q274"/>
      <c r="R274"/>
      <c r="S274"/>
      <c r="T274"/>
      <c r="U274" s="2"/>
      <c r="V274"/>
      <c r="W274" s="41"/>
      <c r="X274"/>
      <c r="Y274"/>
      <c r="Z274"/>
      <c r="AA274"/>
      <c r="AB274" s="2"/>
      <c r="AC274"/>
      <c r="AD274" s="41"/>
      <c r="AE274"/>
    </row>
    <row r="275" spans="1:31" hidden="1">
      <c r="A275" t="s">
        <v>744</v>
      </c>
      <c r="B275" s="41">
        <v>46053</v>
      </c>
      <c r="C275" t="s">
        <v>37</v>
      </c>
      <c r="D275" t="s">
        <v>432</v>
      </c>
      <c r="E275" t="s">
        <v>24</v>
      </c>
      <c r="G275" s="2" t="s">
        <v>456</v>
      </c>
      <c r="I275" s="41"/>
      <c r="N275" s="2"/>
      <c r="P275" s="41"/>
      <c r="U275" s="2"/>
      <c r="W275" s="41"/>
      <c r="AB275" s="2"/>
      <c r="AD275" s="41"/>
    </row>
    <row r="276" spans="1:31" hidden="1">
      <c r="A276" t="s">
        <v>745</v>
      </c>
      <c r="B276" s="41">
        <v>46053</v>
      </c>
      <c r="C276" t="s">
        <v>299</v>
      </c>
      <c r="D276" t="s">
        <v>500</v>
      </c>
      <c r="E276" t="s">
        <v>23</v>
      </c>
      <c r="G276" s="2" t="s">
        <v>808</v>
      </c>
      <c r="I276" s="41"/>
      <c r="N276" s="2"/>
      <c r="P276" s="41"/>
      <c r="U276" s="2"/>
      <c r="W276" s="41"/>
      <c r="AB276" s="2"/>
      <c r="AD276" s="41"/>
    </row>
    <row r="277" spans="1:31" hidden="1">
      <c r="A277" t="s">
        <v>746</v>
      </c>
      <c r="B277" s="41">
        <v>46053</v>
      </c>
      <c r="C277" t="s">
        <v>35</v>
      </c>
      <c r="D277" t="s">
        <v>364</v>
      </c>
      <c r="E277" t="s">
        <v>24</v>
      </c>
      <c r="G277" s="2" t="s">
        <v>708</v>
      </c>
      <c r="I277" s="41"/>
      <c r="N277" s="2"/>
      <c r="P277" s="41"/>
      <c r="U277" s="2"/>
      <c r="W277" s="41"/>
      <c r="AB277" s="2"/>
      <c r="AD277" s="41"/>
    </row>
    <row r="278" spans="1:31" s="63" customFormat="1" hidden="1">
      <c r="A278" t="s">
        <v>747</v>
      </c>
      <c r="B278" s="41">
        <v>46053</v>
      </c>
      <c r="C278" t="s">
        <v>299</v>
      </c>
      <c r="D278" t="s">
        <v>500</v>
      </c>
      <c r="E278" t="s">
        <v>23</v>
      </c>
      <c r="F278"/>
      <c r="G278" s="2" t="s">
        <v>808</v>
      </c>
      <c r="H278"/>
      <c r="I278" s="41"/>
      <c r="J278"/>
      <c r="K278"/>
      <c r="L278"/>
      <c r="M278"/>
      <c r="N278" s="2"/>
      <c r="O278"/>
      <c r="P278" s="41"/>
      <c r="Q278"/>
      <c r="R278"/>
      <c r="S278"/>
      <c r="T278"/>
      <c r="U278" s="2"/>
      <c r="V278"/>
      <c r="W278" s="41"/>
      <c r="X278"/>
      <c r="Y278"/>
      <c r="Z278"/>
      <c r="AA278"/>
      <c r="AB278" s="2"/>
      <c r="AC278"/>
      <c r="AD278" s="41"/>
      <c r="AE278"/>
    </row>
    <row r="279" spans="1:31" s="63" customFormat="1" hidden="1">
      <c r="A279" t="s">
        <v>748</v>
      </c>
      <c r="B279" s="41">
        <v>46053</v>
      </c>
      <c r="C279" t="s">
        <v>299</v>
      </c>
      <c r="D279" t="s">
        <v>500</v>
      </c>
      <c r="E279" t="s">
        <v>23</v>
      </c>
      <c r="F279"/>
      <c r="G279" s="2" t="s">
        <v>808</v>
      </c>
      <c r="H279"/>
      <c r="I279" s="41"/>
      <c r="J279"/>
      <c r="K279"/>
      <c r="L279"/>
      <c r="M279"/>
      <c r="N279" s="2"/>
      <c r="O279"/>
      <c r="P279" s="41"/>
      <c r="Q279"/>
      <c r="R279"/>
      <c r="S279"/>
      <c r="T279"/>
      <c r="U279" s="2"/>
      <c r="V279"/>
      <c r="W279" s="41"/>
      <c r="X279"/>
      <c r="Y279"/>
      <c r="Z279"/>
      <c r="AA279"/>
      <c r="AB279" s="2"/>
      <c r="AC279"/>
      <c r="AD279" s="41"/>
      <c r="AE279"/>
    </row>
    <row r="280" spans="1:31" hidden="1">
      <c r="A280" t="s">
        <v>749</v>
      </c>
      <c r="B280" s="41">
        <v>46053</v>
      </c>
      <c r="C280" t="s">
        <v>299</v>
      </c>
      <c r="D280" t="s">
        <v>500</v>
      </c>
      <c r="E280" t="s">
        <v>23</v>
      </c>
      <c r="G280" s="2" t="s">
        <v>796</v>
      </c>
      <c r="I280" s="41"/>
      <c r="N280" s="2"/>
      <c r="P280" s="41"/>
      <c r="U280" s="2"/>
      <c r="W280" s="41"/>
      <c r="AB280" s="2"/>
      <c r="AD280" s="41"/>
    </row>
    <row r="281" spans="1:31" hidden="1">
      <c r="A281" t="s">
        <v>750</v>
      </c>
      <c r="B281" s="41">
        <v>46053</v>
      </c>
      <c r="C281" t="s">
        <v>299</v>
      </c>
      <c r="D281" t="s">
        <v>365</v>
      </c>
      <c r="E281" t="s">
        <v>24</v>
      </c>
      <c r="G281" s="2" t="s">
        <v>325</v>
      </c>
      <c r="I281" s="41"/>
      <c r="N281" s="2"/>
      <c r="P281" s="41"/>
      <c r="U281" s="2"/>
      <c r="W281" s="41"/>
      <c r="AB281" s="2"/>
      <c r="AD281" s="41"/>
    </row>
    <row r="282" spans="1:31" s="63" customFormat="1" hidden="1">
      <c r="A282" t="s">
        <v>751</v>
      </c>
      <c r="B282" s="41">
        <v>46053</v>
      </c>
      <c r="C282" t="s">
        <v>299</v>
      </c>
      <c r="D282" t="s">
        <v>365</v>
      </c>
      <c r="E282" t="s">
        <v>24</v>
      </c>
      <c r="F282"/>
      <c r="G282" s="2" t="s">
        <v>325</v>
      </c>
      <c r="H282"/>
      <c r="I282" s="41"/>
      <c r="J282"/>
      <c r="K282"/>
      <c r="L282"/>
      <c r="M282"/>
      <c r="N282" s="2"/>
      <c r="O282"/>
      <c r="P282" s="41"/>
      <c r="Q282"/>
      <c r="R282"/>
      <c r="S282"/>
      <c r="T282"/>
      <c r="U282" s="2"/>
      <c r="V282"/>
      <c r="W282" s="41"/>
      <c r="X282"/>
      <c r="Y282"/>
      <c r="Z282"/>
      <c r="AA282"/>
      <c r="AB282" s="2"/>
      <c r="AC282"/>
      <c r="AD282" s="41"/>
      <c r="AE282"/>
    </row>
    <row r="283" spans="1:31" hidden="1">
      <c r="A283" t="s">
        <v>752</v>
      </c>
      <c r="B283" s="41">
        <v>46053</v>
      </c>
      <c r="C283" t="s">
        <v>299</v>
      </c>
      <c r="D283" t="s">
        <v>500</v>
      </c>
      <c r="E283" t="s">
        <v>23</v>
      </c>
      <c r="G283" s="2" t="s">
        <v>796</v>
      </c>
      <c r="I283" s="41"/>
      <c r="N283" s="2"/>
      <c r="P283" s="41"/>
      <c r="U283" s="2"/>
      <c r="W283" s="41"/>
      <c r="AB283" s="2"/>
      <c r="AD283" s="41"/>
    </row>
    <row r="284" spans="1:31" hidden="1">
      <c r="A284" t="s">
        <v>753</v>
      </c>
      <c r="B284" s="41">
        <v>46053</v>
      </c>
      <c r="C284" t="s">
        <v>299</v>
      </c>
      <c r="D284" t="s">
        <v>500</v>
      </c>
      <c r="E284" t="s">
        <v>23</v>
      </c>
      <c r="G284" s="2" t="s">
        <v>808</v>
      </c>
      <c r="I284" s="41"/>
      <c r="N284" s="2"/>
      <c r="P284" s="41"/>
      <c r="U284" s="2"/>
      <c r="W284" s="41"/>
      <c r="AB284" s="2"/>
      <c r="AD284" s="41"/>
    </row>
    <row r="285" spans="1:31" hidden="1">
      <c r="A285" t="s">
        <v>754</v>
      </c>
      <c r="B285" s="41">
        <v>46053</v>
      </c>
      <c r="C285" t="s">
        <v>299</v>
      </c>
      <c r="D285" t="s">
        <v>500</v>
      </c>
      <c r="E285" t="s">
        <v>23</v>
      </c>
      <c r="G285" s="2" t="s">
        <v>808</v>
      </c>
      <c r="I285" s="41"/>
      <c r="N285" s="2"/>
      <c r="P285" s="41"/>
      <c r="U285" s="2"/>
      <c r="W285" s="41"/>
      <c r="AB285" s="2"/>
      <c r="AD285" s="41"/>
    </row>
    <row r="286" spans="1:31" hidden="1">
      <c r="A286" t="s">
        <v>755</v>
      </c>
      <c r="B286" s="41">
        <v>46053</v>
      </c>
      <c r="C286" t="s">
        <v>35</v>
      </c>
      <c r="D286" t="s">
        <v>1331</v>
      </c>
      <c r="E286" t="s">
        <v>24</v>
      </c>
      <c r="G286" s="2" t="s">
        <v>333</v>
      </c>
      <c r="I286" s="41"/>
      <c r="N286" s="2"/>
      <c r="P286" s="41"/>
      <c r="U286" s="2"/>
      <c r="W286" s="41"/>
      <c r="AB286" s="2"/>
      <c r="AD286" s="41"/>
    </row>
    <row r="287" spans="1:31" hidden="1">
      <c r="A287" t="s">
        <v>756</v>
      </c>
      <c r="B287" s="41">
        <v>46053</v>
      </c>
      <c r="C287" t="s">
        <v>299</v>
      </c>
      <c r="D287" t="s">
        <v>500</v>
      </c>
      <c r="E287" t="s">
        <v>23</v>
      </c>
      <c r="G287" s="2" t="s">
        <v>808</v>
      </c>
      <c r="I287" s="41"/>
      <c r="N287" s="2"/>
      <c r="P287" s="41"/>
      <c r="U287" s="2"/>
      <c r="W287" s="41"/>
      <c r="AB287" s="2"/>
      <c r="AD287" s="41"/>
    </row>
    <row r="288" spans="1:31" s="63" customFormat="1" hidden="1">
      <c r="A288" t="s">
        <v>757</v>
      </c>
      <c r="B288" s="41">
        <v>46053</v>
      </c>
      <c r="C288" t="s">
        <v>299</v>
      </c>
      <c r="D288" t="s">
        <v>365</v>
      </c>
      <c r="E288" t="s">
        <v>24</v>
      </c>
      <c r="F288"/>
      <c r="G288" s="2" t="s">
        <v>325</v>
      </c>
      <c r="H288"/>
      <c r="I288" s="41"/>
      <c r="J288"/>
      <c r="K288"/>
      <c r="L288"/>
      <c r="M288"/>
      <c r="N288" s="2"/>
      <c r="O288"/>
      <c r="P288" s="41"/>
      <c r="Q288"/>
      <c r="R288"/>
      <c r="S288"/>
      <c r="T288"/>
      <c r="U288" s="2"/>
      <c r="V288"/>
      <c r="W288" s="41"/>
      <c r="X288"/>
      <c r="Y288"/>
      <c r="Z288"/>
      <c r="AA288"/>
      <c r="AB288" s="2"/>
      <c r="AC288"/>
      <c r="AD288" s="41"/>
      <c r="AE288"/>
    </row>
    <row r="289" spans="1:31" hidden="1">
      <c r="A289" t="s">
        <v>758</v>
      </c>
      <c r="B289" s="41">
        <v>46053</v>
      </c>
      <c r="C289" t="s">
        <v>37</v>
      </c>
      <c r="D289" t="s">
        <v>411</v>
      </c>
      <c r="E289" t="s">
        <v>25</v>
      </c>
      <c r="G289" s="2" t="s">
        <v>409</v>
      </c>
      <c r="I289" s="41"/>
      <c r="N289" s="2"/>
      <c r="P289" s="41"/>
      <c r="U289" s="2"/>
      <c r="W289" s="41"/>
      <c r="AB289" s="2"/>
      <c r="AD289" s="41"/>
    </row>
    <row r="290" spans="1:31" hidden="1">
      <c r="A290" t="s">
        <v>759</v>
      </c>
      <c r="B290" s="41">
        <v>46053</v>
      </c>
      <c r="C290" t="s">
        <v>35</v>
      </c>
      <c r="D290" t="s">
        <v>1331</v>
      </c>
      <c r="E290" t="s">
        <v>24</v>
      </c>
      <c r="G290" s="2" t="s">
        <v>333</v>
      </c>
      <c r="I290" s="41"/>
      <c r="N290" s="2"/>
      <c r="P290" s="41"/>
      <c r="U290" s="2"/>
      <c r="W290" s="41"/>
      <c r="AB290" s="2"/>
      <c r="AD290" s="41"/>
    </row>
    <row r="291" spans="1:31" hidden="1">
      <c r="A291" t="s">
        <v>760</v>
      </c>
      <c r="B291" s="41">
        <v>46053</v>
      </c>
      <c r="C291" t="s">
        <v>299</v>
      </c>
      <c r="D291" s="66" t="s">
        <v>887</v>
      </c>
      <c r="E291" t="s">
        <v>23</v>
      </c>
      <c r="G291" s="2" t="s">
        <v>809</v>
      </c>
      <c r="I291" s="41"/>
      <c r="N291" s="2"/>
      <c r="P291" s="41"/>
      <c r="U291" s="2"/>
      <c r="W291" s="41"/>
      <c r="AB291" s="2"/>
      <c r="AD291" s="41"/>
    </row>
    <row r="292" spans="1:31" hidden="1">
      <c r="A292" t="s">
        <v>761</v>
      </c>
      <c r="B292" s="41">
        <v>46053</v>
      </c>
      <c r="C292" t="s">
        <v>299</v>
      </c>
      <c r="D292" t="s">
        <v>500</v>
      </c>
      <c r="E292" t="s">
        <v>23</v>
      </c>
      <c r="G292" s="2" t="s">
        <v>796</v>
      </c>
      <c r="I292" s="41"/>
      <c r="N292" s="2"/>
      <c r="P292" s="41"/>
      <c r="U292" s="2"/>
      <c r="W292" s="41"/>
      <c r="AB292" s="2"/>
      <c r="AD292" s="41"/>
    </row>
    <row r="293" spans="1:31" s="63" customFormat="1" hidden="1">
      <c r="A293" t="s">
        <v>762</v>
      </c>
      <c r="B293" s="41">
        <v>46053</v>
      </c>
      <c r="C293" t="s">
        <v>299</v>
      </c>
      <c r="D293" t="s">
        <v>500</v>
      </c>
      <c r="E293" t="s">
        <v>23</v>
      </c>
      <c r="F293"/>
      <c r="G293" s="2" t="s">
        <v>796</v>
      </c>
      <c r="H293"/>
      <c r="I293" s="41"/>
      <c r="J293"/>
      <c r="K293"/>
      <c r="L293"/>
      <c r="M293"/>
      <c r="N293" s="2"/>
      <c r="O293"/>
      <c r="P293" s="41"/>
      <c r="Q293"/>
      <c r="R293"/>
      <c r="S293"/>
      <c r="T293"/>
      <c r="U293" s="2"/>
      <c r="V293"/>
      <c r="W293" s="41"/>
      <c r="X293"/>
      <c r="Y293"/>
      <c r="Z293"/>
      <c r="AA293"/>
      <c r="AB293" s="2"/>
      <c r="AC293"/>
      <c r="AD293" s="41"/>
      <c r="AE293"/>
    </row>
    <row r="294" spans="1:31" hidden="1">
      <c r="A294" t="s">
        <v>763</v>
      </c>
      <c r="B294" s="41">
        <v>46053</v>
      </c>
      <c r="C294" t="s">
        <v>299</v>
      </c>
      <c r="D294" t="s">
        <v>500</v>
      </c>
      <c r="E294" t="s">
        <v>23</v>
      </c>
      <c r="G294" s="2" t="s">
        <v>808</v>
      </c>
      <c r="I294" s="41"/>
      <c r="N294" s="2"/>
      <c r="P294" s="41"/>
      <c r="U294" s="2"/>
      <c r="W294" s="41"/>
      <c r="AB294" s="2"/>
      <c r="AD294" s="41"/>
    </row>
    <row r="295" spans="1:31" s="63" customFormat="1" hidden="1">
      <c r="A295" t="s">
        <v>764</v>
      </c>
      <c r="B295" s="41">
        <v>46053</v>
      </c>
      <c r="C295" t="s">
        <v>299</v>
      </c>
      <c r="D295" s="80" t="s">
        <v>887</v>
      </c>
      <c r="E295" t="s">
        <v>23</v>
      </c>
      <c r="F295"/>
      <c r="G295" s="2" t="s">
        <v>809</v>
      </c>
      <c r="H295"/>
      <c r="I295" s="41"/>
      <c r="J295"/>
      <c r="K295"/>
      <c r="L295"/>
      <c r="M295"/>
      <c r="N295" s="2"/>
      <c r="O295"/>
      <c r="P295" s="41"/>
      <c r="Q295"/>
      <c r="R295"/>
      <c r="S295"/>
      <c r="T295"/>
      <c r="U295" s="2"/>
      <c r="V295"/>
      <c r="W295" s="41"/>
      <c r="X295"/>
      <c r="Y295"/>
      <c r="Z295"/>
      <c r="AA295"/>
      <c r="AB295" s="2"/>
      <c r="AC295"/>
      <c r="AD295" s="41"/>
      <c r="AE295"/>
    </row>
    <row r="296" spans="1:31" hidden="1">
      <c r="A296" t="s">
        <v>765</v>
      </c>
      <c r="B296" s="41">
        <v>46053</v>
      </c>
      <c r="C296" t="s">
        <v>35</v>
      </c>
      <c r="D296" t="s">
        <v>1325</v>
      </c>
      <c r="E296" t="s">
        <v>24</v>
      </c>
      <c r="G296" s="2" t="s">
        <v>320</v>
      </c>
      <c r="I296" s="41"/>
      <c r="N296" s="2"/>
      <c r="P296" s="41"/>
      <c r="U296" s="2"/>
      <c r="W296" s="41"/>
      <c r="AB296" s="2"/>
      <c r="AD296" s="41"/>
    </row>
    <row r="297" spans="1:31" hidden="1">
      <c r="A297" t="s">
        <v>766</v>
      </c>
      <c r="B297" s="41">
        <v>46053</v>
      </c>
      <c r="C297" t="s">
        <v>35</v>
      </c>
      <c r="D297" t="s">
        <v>1317</v>
      </c>
      <c r="E297" t="s">
        <v>24</v>
      </c>
      <c r="G297" s="2" t="s">
        <v>767</v>
      </c>
      <c r="I297" s="41"/>
      <c r="N297" s="2"/>
      <c r="P297" s="41"/>
      <c r="U297" s="2"/>
      <c r="W297" s="41"/>
      <c r="AB297" s="2"/>
      <c r="AD297" s="41"/>
    </row>
    <row r="298" spans="1:31" hidden="1">
      <c r="A298" t="s">
        <v>768</v>
      </c>
      <c r="B298" s="41">
        <v>46053</v>
      </c>
      <c r="C298" t="s">
        <v>299</v>
      </c>
      <c r="D298" t="s">
        <v>500</v>
      </c>
      <c r="E298" t="s">
        <v>23</v>
      </c>
      <c r="G298" s="2" t="s">
        <v>344</v>
      </c>
      <c r="I298" s="41"/>
      <c r="N298" s="2"/>
      <c r="P298" s="41"/>
      <c r="U298" s="2"/>
      <c r="W298" s="41"/>
      <c r="AB298" s="2"/>
      <c r="AD298" s="41"/>
    </row>
    <row r="299" spans="1:31" s="98" customFormat="1" hidden="1">
      <c r="A299" s="98" t="s">
        <v>769</v>
      </c>
      <c r="B299" s="99">
        <v>46053</v>
      </c>
      <c r="C299" s="98" t="s">
        <v>299</v>
      </c>
      <c r="D299" s="98" t="s">
        <v>244</v>
      </c>
      <c r="E299" s="98" t="s">
        <v>23</v>
      </c>
      <c r="G299" s="100" t="s">
        <v>139</v>
      </c>
      <c r="I299" s="99"/>
      <c r="N299" s="100"/>
      <c r="P299" s="99"/>
      <c r="U299" s="100"/>
      <c r="W299" s="99"/>
      <c r="AB299" s="100"/>
      <c r="AD299" s="99"/>
    </row>
    <row r="300" spans="1:31" hidden="1">
      <c r="A300" t="s">
        <v>770</v>
      </c>
      <c r="B300" s="41">
        <v>46053</v>
      </c>
      <c r="C300" t="s">
        <v>37</v>
      </c>
      <c r="D300" t="s">
        <v>1314</v>
      </c>
      <c r="E300" t="s">
        <v>24</v>
      </c>
      <c r="G300" s="2" t="s">
        <v>546</v>
      </c>
      <c r="I300" s="41"/>
      <c r="N300" s="2"/>
      <c r="P300" s="41"/>
      <c r="U300" s="2"/>
      <c r="W300" s="41"/>
      <c r="AB300" s="2"/>
      <c r="AD300" s="41"/>
    </row>
    <row r="301" spans="1:31" hidden="1">
      <c r="A301" t="s">
        <v>771</v>
      </c>
      <c r="B301" s="41">
        <v>46053</v>
      </c>
      <c r="C301" t="s">
        <v>299</v>
      </c>
      <c r="D301" t="s">
        <v>500</v>
      </c>
      <c r="E301" t="s">
        <v>23</v>
      </c>
      <c r="G301" s="2" t="s">
        <v>808</v>
      </c>
      <c r="I301" s="41"/>
      <c r="N301" s="2"/>
      <c r="P301" s="41"/>
      <c r="U301" s="2"/>
      <c r="W301" s="41"/>
      <c r="AB301" s="2"/>
      <c r="AD301" s="41"/>
    </row>
    <row r="302" spans="1:31" hidden="1">
      <c r="A302" t="s">
        <v>772</v>
      </c>
      <c r="B302" s="41">
        <v>46053</v>
      </c>
      <c r="C302" t="s">
        <v>299</v>
      </c>
      <c r="D302" t="s">
        <v>810</v>
      </c>
      <c r="E302" t="s">
        <v>23</v>
      </c>
      <c r="G302" s="2" t="s">
        <v>773</v>
      </c>
      <c r="I302" s="41"/>
      <c r="N302" s="2"/>
      <c r="P302" s="41"/>
      <c r="U302" s="2"/>
      <c r="W302" s="41"/>
      <c r="AB302" s="2"/>
      <c r="AD302" s="41"/>
    </row>
    <row r="303" spans="1:31" s="63" customFormat="1" hidden="1">
      <c r="A303" t="s">
        <v>774</v>
      </c>
      <c r="B303" s="41">
        <v>46053</v>
      </c>
      <c r="C303" t="s">
        <v>299</v>
      </c>
      <c r="D303" t="s">
        <v>500</v>
      </c>
      <c r="E303" t="s">
        <v>23</v>
      </c>
      <c r="F303"/>
      <c r="G303" s="2" t="s">
        <v>344</v>
      </c>
      <c r="H303"/>
      <c r="I303" s="41"/>
      <c r="J303"/>
      <c r="K303"/>
      <c r="L303"/>
      <c r="M303"/>
      <c r="N303" s="2"/>
      <c r="O303"/>
      <c r="P303" s="41"/>
      <c r="Q303"/>
      <c r="R303"/>
      <c r="S303"/>
      <c r="T303"/>
      <c r="U303" s="2"/>
      <c r="V303"/>
      <c r="W303" s="41"/>
      <c r="X303"/>
      <c r="Y303"/>
      <c r="Z303"/>
      <c r="AA303"/>
      <c r="AB303" s="2"/>
      <c r="AC303"/>
      <c r="AD303" s="41"/>
      <c r="AE303"/>
    </row>
    <row r="304" spans="1:31" hidden="1">
      <c r="A304" t="s">
        <v>775</v>
      </c>
      <c r="B304" s="41">
        <v>46053</v>
      </c>
      <c r="C304" t="s">
        <v>299</v>
      </c>
      <c r="D304" t="s">
        <v>500</v>
      </c>
      <c r="E304" t="s">
        <v>23</v>
      </c>
      <c r="G304" s="2" t="s">
        <v>796</v>
      </c>
      <c r="I304" s="41"/>
      <c r="N304" s="2"/>
      <c r="P304" s="41"/>
      <c r="U304" s="2"/>
      <c r="W304" s="41"/>
      <c r="AB304" s="2"/>
      <c r="AD304" s="41"/>
    </row>
    <row r="305" spans="1:30" hidden="1">
      <c r="A305" t="s">
        <v>776</v>
      </c>
      <c r="B305" s="41">
        <v>46053</v>
      </c>
      <c r="C305" t="s">
        <v>299</v>
      </c>
      <c r="D305" t="s">
        <v>500</v>
      </c>
      <c r="E305" t="s">
        <v>23</v>
      </c>
      <c r="G305" s="2" t="s">
        <v>808</v>
      </c>
      <c r="I305" s="41"/>
      <c r="N305" s="2"/>
      <c r="P305" s="41"/>
      <c r="U305" s="2"/>
      <c r="W305" s="41"/>
      <c r="AB305" s="2"/>
      <c r="AD305" s="41"/>
    </row>
    <row r="306" spans="1:30" hidden="1">
      <c r="A306" t="s">
        <v>777</v>
      </c>
      <c r="B306" s="41">
        <v>46053</v>
      </c>
      <c r="C306" t="s">
        <v>35</v>
      </c>
      <c r="D306" t="s">
        <v>1332</v>
      </c>
      <c r="E306" t="s">
        <v>24</v>
      </c>
      <c r="G306" s="2" t="s">
        <v>356</v>
      </c>
      <c r="I306" s="41"/>
      <c r="N306" s="2"/>
      <c r="P306" s="41"/>
      <c r="U306" s="2"/>
      <c r="W306" s="41"/>
      <c r="AB306" s="2"/>
      <c r="AD306" s="41"/>
    </row>
    <row r="307" spans="1:30" hidden="1">
      <c r="A307" t="s">
        <v>778</v>
      </c>
      <c r="B307" s="41">
        <v>46053</v>
      </c>
      <c r="C307" t="s">
        <v>35</v>
      </c>
      <c r="D307" t="s">
        <v>340</v>
      </c>
      <c r="E307" t="s">
        <v>24</v>
      </c>
      <c r="G307" s="2" t="s">
        <v>1376</v>
      </c>
      <c r="I307" s="41"/>
      <c r="N307" s="2"/>
      <c r="P307" s="41"/>
      <c r="U307" s="2"/>
      <c r="W307" s="41"/>
      <c r="AB307" s="2"/>
      <c r="AD307" s="41"/>
    </row>
    <row r="308" spans="1:30" hidden="1">
      <c r="A308" t="s">
        <v>779</v>
      </c>
      <c r="B308" s="41">
        <v>46053</v>
      </c>
      <c r="C308" t="s">
        <v>35</v>
      </c>
      <c r="D308" t="s">
        <v>1320</v>
      </c>
      <c r="E308" t="s">
        <v>24</v>
      </c>
      <c r="G308" s="2" t="s">
        <v>469</v>
      </c>
      <c r="I308" s="41"/>
      <c r="N308" s="2"/>
      <c r="P308" s="41"/>
      <c r="U308" s="2"/>
      <c r="W308" s="41"/>
      <c r="AB308" s="2"/>
      <c r="AD308" s="41"/>
    </row>
    <row r="309" spans="1:30" hidden="1">
      <c r="A309" t="s">
        <v>780</v>
      </c>
      <c r="B309" s="41">
        <v>46053</v>
      </c>
      <c r="C309" t="s">
        <v>35</v>
      </c>
      <c r="D309" s="42" t="s">
        <v>1328</v>
      </c>
      <c r="E309" t="s">
        <v>24</v>
      </c>
      <c r="G309" s="2" t="s">
        <v>465</v>
      </c>
      <c r="I309" s="41"/>
      <c r="N309" s="2"/>
      <c r="P309" s="41"/>
      <c r="U309" s="2"/>
      <c r="W309" s="41"/>
      <c r="AB309" s="2"/>
      <c r="AD309" s="41"/>
    </row>
    <row r="310" spans="1:30" hidden="1">
      <c r="A310" t="s">
        <v>781</v>
      </c>
      <c r="B310" s="41">
        <v>46053</v>
      </c>
      <c r="C310" t="s">
        <v>35</v>
      </c>
      <c r="D310" t="s">
        <v>1320</v>
      </c>
      <c r="E310" t="s">
        <v>24</v>
      </c>
      <c r="G310" s="2" t="s">
        <v>469</v>
      </c>
      <c r="I310" s="41"/>
      <c r="N310" s="2"/>
      <c r="P310" s="41"/>
      <c r="U310" s="2"/>
      <c r="W310" s="41"/>
      <c r="AB310" s="2"/>
      <c r="AD310" s="41"/>
    </row>
    <row r="311" spans="1:30" hidden="1">
      <c r="A311" t="s">
        <v>782</v>
      </c>
      <c r="B311" s="41">
        <v>46053</v>
      </c>
      <c r="C311" t="s">
        <v>35</v>
      </c>
      <c r="D311" t="s">
        <v>1316</v>
      </c>
      <c r="E311" t="s">
        <v>24</v>
      </c>
      <c r="G311" s="2" t="s">
        <v>783</v>
      </c>
      <c r="I311" s="41"/>
      <c r="N311" s="2"/>
      <c r="P311" s="41"/>
      <c r="U311" s="2"/>
      <c r="W311" s="41"/>
      <c r="AB311" s="2"/>
      <c r="AD311" s="41"/>
    </row>
    <row r="312" spans="1:30" hidden="1">
      <c r="A312" t="s">
        <v>784</v>
      </c>
      <c r="B312" s="41">
        <v>46053</v>
      </c>
      <c r="C312" t="s">
        <v>33</v>
      </c>
      <c r="D312" s="42" t="s">
        <v>1321</v>
      </c>
      <c r="E312" t="s">
        <v>24</v>
      </c>
      <c r="G312" s="2" t="s">
        <v>370</v>
      </c>
      <c r="I312" s="41"/>
      <c r="N312" s="2"/>
      <c r="P312" s="41"/>
      <c r="U312" s="2"/>
      <c r="W312" s="41"/>
      <c r="AB312" s="2"/>
      <c r="AD312" s="41"/>
    </row>
    <row r="313" spans="1:30" hidden="1">
      <c r="A313" t="s">
        <v>785</v>
      </c>
      <c r="B313" s="41">
        <v>46053</v>
      </c>
      <c r="C313" t="s">
        <v>33</v>
      </c>
      <c r="D313" t="s">
        <v>1330</v>
      </c>
      <c r="E313" t="s">
        <v>24</v>
      </c>
      <c r="G313" s="2" t="s">
        <v>786</v>
      </c>
      <c r="I313" s="41"/>
      <c r="N313" s="2"/>
      <c r="P313" s="41"/>
      <c r="U313" s="2"/>
      <c r="W313" s="41"/>
      <c r="AB313" s="2"/>
      <c r="AD313" s="41"/>
    </row>
    <row r="314" spans="1:30" hidden="1">
      <c r="A314" t="s">
        <v>787</v>
      </c>
      <c r="B314" s="41">
        <v>46053</v>
      </c>
      <c r="C314" t="s">
        <v>299</v>
      </c>
      <c r="D314" t="s">
        <v>500</v>
      </c>
      <c r="E314" t="s">
        <v>23</v>
      </c>
      <c r="G314" s="2" t="s">
        <v>808</v>
      </c>
      <c r="I314" s="41"/>
      <c r="N314" s="2"/>
      <c r="P314" s="41"/>
      <c r="U314" s="2"/>
      <c r="W314" s="41"/>
      <c r="AB314" s="2"/>
      <c r="AD314" s="41"/>
    </row>
    <row r="315" spans="1:30" hidden="1">
      <c r="A315" t="s">
        <v>788</v>
      </c>
      <c r="B315" s="41">
        <v>46053</v>
      </c>
      <c r="C315" t="s">
        <v>35</v>
      </c>
      <c r="D315" t="s">
        <v>1331</v>
      </c>
      <c r="E315" t="s">
        <v>24</v>
      </c>
      <c r="G315" s="2" t="s">
        <v>333</v>
      </c>
      <c r="I315" s="41"/>
      <c r="N315" s="2"/>
      <c r="P315" s="41"/>
      <c r="U315" s="2"/>
      <c r="W315" s="41"/>
      <c r="AB315" s="2"/>
      <c r="AD315" s="41"/>
    </row>
    <row r="316" spans="1:30" hidden="1">
      <c r="A316" t="s">
        <v>789</v>
      </c>
      <c r="B316" s="41">
        <v>46053</v>
      </c>
      <c r="C316" t="s">
        <v>299</v>
      </c>
      <c r="D316" t="s">
        <v>500</v>
      </c>
      <c r="E316" t="s">
        <v>23</v>
      </c>
      <c r="G316" s="2" t="s">
        <v>808</v>
      </c>
      <c r="I316" s="41"/>
      <c r="N316" s="2"/>
      <c r="P316" s="41"/>
      <c r="U316" s="2"/>
      <c r="W316" s="41"/>
      <c r="AB316" s="2"/>
      <c r="AD316" s="41"/>
    </row>
    <row r="317" spans="1:30" hidden="1">
      <c r="A317" t="s">
        <v>790</v>
      </c>
      <c r="B317" s="41">
        <v>46053</v>
      </c>
      <c r="C317" t="s">
        <v>299</v>
      </c>
      <c r="D317" t="s">
        <v>494</v>
      </c>
      <c r="E317" t="s">
        <v>22</v>
      </c>
      <c r="G317" s="2" t="s">
        <v>705</v>
      </c>
      <c r="I317" s="41"/>
      <c r="N317" s="2"/>
      <c r="P317" s="41"/>
      <c r="U317" s="2"/>
      <c r="W317" s="41"/>
      <c r="AB317" s="2"/>
      <c r="AD317" s="41"/>
    </row>
    <row r="318" spans="1:30" hidden="1">
      <c r="A318" t="s">
        <v>791</v>
      </c>
      <c r="B318" s="41">
        <v>46053</v>
      </c>
      <c r="C318" t="s">
        <v>299</v>
      </c>
      <c r="D318" t="s">
        <v>500</v>
      </c>
      <c r="E318" t="s">
        <v>23</v>
      </c>
      <c r="G318" s="2" t="s">
        <v>139</v>
      </c>
      <c r="I318" s="41"/>
      <c r="N318" s="2"/>
      <c r="P318" s="41"/>
      <c r="U318" s="2"/>
      <c r="W318" s="41"/>
      <c r="AB318" s="2"/>
      <c r="AD318" s="41"/>
    </row>
    <row r="319" spans="1:30" hidden="1">
      <c r="A319" t="s">
        <v>792</v>
      </c>
      <c r="B319" s="41">
        <v>46053</v>
      </c>
      <c r="C319" t="s">
        <v>299</v>
      </c>
      <c r="D319" t="s">
        <v>1311</v>
      </c>
      <c r="E319" t="s">
        <v>23</v>
      </c>
      <c r="G319" s="2" t="s">
        <v>793</v>
      </c>
      <c r="I319" s="41"/>
      <c r="N319" s="2"/>
      <c r="P319" s="41"/>
      <c r="U319" s="2"/>
      <c r="W319" s="41"/>
      <c r="AB319" s="2"/>
      <c r="AD319" s="41"/>
    </row>
    <row r="320" spans="1:30" hidden="1">
      <c r="A320" t="s">
        <v>794</v>
      </c>
      <c r="B320" s="41">
        <v>46053</v>
      </c>
      <c r="C320" t="s">
        <v>299</v>
      </c>
      <c r="D320" t="s">
        <v>500</v>
      </c>
      <c r="E320" t="s">
        <v>23</v>
      </c>
      <c r="G320" s="2" t="s">
        <v>139</v>
      </c>
      <c r="I320" s="41"/>
      <c r="N320" s="2"/>
      <c r="P320" s="41"/>
      <c r="U320" s="2"/>
      <c r="W320" s="41"/>
      <c r="AB320" s="2"/>
      <c r="AD320" s="41"/>
    </row>
    <row r="321" spans="1:31" hidden="1">
      <c r="A321" t="s">
        <v>795</v>
      </c>
      <c r="B321" s="41">
        <v>46053</v>
      </c>
      <c r="C321" t="s">
        <v>35</v>
      </c>
      <c r="D321" t="s">
        <v>1331</v>
      </c>
      <c r="E321" t="s">
        <v>24</v>
      </c>
      <c r="G321" s="2" t="s">
        <v>333</v>
      </c>
      <c r="I321" s="41"/>
      <c r="N321" s="2"/>
      <c r="P321" s="41"/>
      <c r="U321" s="2"/>
      <c r="W321" s="41"/>
      <c r="AB321" s="2"/>
      <c r="AD321" s="41"/>
    </row>
    <row r="322" spans="1:31" hidden="1">
      <c r="A322" t="s">
        <v>797</v>
      </c>
      <c r="B322" s="41">
        <v>46053</v>
      </c>
      <c r="C322" t="s">
        <v>299</v>
      </c>
      <c r="D322" t="s">
        <v>500</v>
      </c>
      <c r="E322" t="s">
        <v>23</v>
      </c>
      <c r="G322" s="2" t="s">
        <v>808</v>
      </c>
      <c r="I322" s="41"/>
      <c r="N322" s="2"/>
      <c r="P322" s="41"/>
      <c r="U322" s="2"/>
      <c r="W322" s="41"/>
      <c r="AB322" s="2"/>
      <c r="AD322" s="41"/>
    </row>
    <row r="323" spans="1:31" hidden="1">
      <c r="A323" t="s">
        <v>798</v>
      </c>
      <c r="B323" s="41">
        <v>46053</v>
      </c>
      <c r="C323" t="s">
        <v>35</v>
      </c>
      <c r="D323" t="s">
        <v>1319</v>
      </c>
      <c r="E323" t="s">
        <v>24</v>
      </c>
      <c r="G323" s="2" t="s">
        <v>799</v>
      </c>
      <c r="I323" s="41"/>
      <c r="N323" s="2"/>
      <c r="P323" s="41"/>
      <c r="U323" s="2"/>
      <c r="W323" s="41"/>
      <c r="AB323" s="2"/>
      <c r="AD323" s="41"/>
    </row>
    <row r="324" spans="1:31" hidden="1">
      <c r="A324" t="s">
        <v>800</v>
      </c>
      <c r="B324" s="41">
        <v>46053</v>
      </c>
      <c r="C324" t="s">
        <v>299</v>
      </c>
      <c r="D324" t="s">
        <v>500</v>
      </c>
      <c r="E324" t="s">
        <v>23</v>
      </c>
      <c r="G324" s="2" t="s">
        <v>796</v>
      </c>
      <c r="I324" s="41"/>
      <c r="N324" s="2"/>
      <c r="P324" s="41"/>
      <c r="U324" s="2"/>
      <c r="W324" s="41"/>
      <c r="AB324" s="2"/>
      <c r="AD324" s="41"/>
    </row>
    <row r="325" spans="1:31" s="63" customFormat="1" hidden="1">
      <c r="A325" t="s">
        <v>801</v>
      </c>
      <c r="B325" s="41">
        <v>46053</v>
      </c>
      <c r="C325" t="s">
        <v>299</v>
      </c>
      <c r="D325" t="s">
        <v>365</v>
      </c>
      <c r="E325" t="s">
        <v>24</v>
      </c>
      <c r="F325"/>
      <c r="G325" s="2" t="s">
        <v>325</v>
      </c>
      <c r="H325"/>
      <c r="I325" s="41"/>
      <c r="J325"/>
      <c r="K325"/>
      <c r="L325"/>
      <c r="M325"/>
      <c r="N325" s="2"/>
      <c r="O325"/>
      <c r="P325" s="41"/>
      <c r="Q325"/>
      <c r="R325"/>
      <c r="S325"/>
      <c r="T325"/>
      <c r="U325" s="2"/>
      <c r="V325"/>
      <c r="W325" s="41"/>
      <c r="X325"/>
      <c r="Y325"/>
      <c r="Z325"/>
      <c r="AA325"/>
      <c r="AB325" s="2"/>
      <c r="AC325"/>
      <c r="AD325" s="41"/>
      <c r="AE325"/>
    </row>
    <row r="326" spans="1:31" s="98" customFormat="1" hidden="1">
      <c r="A326" s="98" t="s">
        <v>802</v>
      </c>
      <c r="B326" s="99">
        <v>46053</v>
      </c>
      <c r="C326" s="98" t="s">
        <v>299</v>
      </c>
      <c r="D326" s="98" t="s">
        <v>867</v>
      </c>
      <c r="E326" s="98" t="s">
        <v>23</v>
      </c>
      <c r="G326" s="100" t="s">
        <v>773</v>
      </c>
    </row>
    <row r="327" spans="1:31" hidden="1">
      <c r="A327" t="s">
        <v>803</v>
      </c>
      <c r="B327" s="41">
        <v>46053</v>
      </c>
      <c r="C327" t="s">
        <v>299</v>
      </c>
      <c r="D327" t="s">
        <v>500</v>
      </c>
      <c r="E327" t="s">
        <v>23</v>
      </c>
      <c r="G327" s="2" t="s">
        <v>808</v>
      </c>
    </row>
    <row r="328" spans="1:31" hidden="1">
      <c r="A328" t="s">
        <v>804</v>
      </c>
      <c r="B328" s="41">
        <v>46053</v>
      </c>
      <c r="C328" t="s">
        <v>299</v>
      </c>
      <c r="D328" t="s">
        <v>500</v>
      </c>
      <c r="E328" t="s">
        <v>23</v>
      </c>
      <c r="G328" s="2" t="s">
        <v>808</v>
      </c>
    </row>
    <row r="329" spans="1:31" hidden="1">
      <c r="A329" t="s">
        <v>805</v>
      </c>
      <c r="B329" s="41">
        <v>46053</v>
      </c>
      <c r="C329" t="s">
        <v>35</v>
      </c>
      <c r="D329" t="s">
        <v>494</v>
      </c>
      <c r="E329" t="s">
        <v>24</v>
      </c>
      <c r="G329" s="2" t="s">
        <v>349</v>
      </c>
    </row>
    <row r="330" spans="1:31" hidden="1">
      <c r="A330" t="s">
        <v>811</v>
      </c>
      <c r="B330" s="41">
        <v>46053</v>
      </c>
      <c r="C330" t="s">
        <v>299</v>
      </c>
      <c r="D330" t="s">
        <v>500</v>
      </c>
      <c r="E330" t="s">
        <v>23</v>
      </c>
      <c r="G330" s="2" t="s">
        <v>796</v>
      </c>
    </row>
    <row r="331" spans="1:31" hidden="1">
      <c r="A331" t="s">
        <v>807</v>
      </c>
      <c r="B331" s="41">
        <v>46053</v>
      </c>
      <c r="C331" t="s">
        <v>299</v>
      </c>
      <c r="D331" t="s">
        <v>810</v>
      </c>
      <c r="E331" t="s">
        <v>23</v>
      </c>
      <c r="G331" t="s">
        <v>812</v>
      </c>
    </row>
    <row r="332" spans="1:31" hidden="1">
      <c r="A332" t="s">
        <v>813</v>
      </c>
      <c r="B332" s="41">
        <v>46053</v>
      </c>
      <c r="C332" t="s">
        <v>299</v>
      </c>
      <c r="D332" t="s">
        <v>500</v>
      </c>
      <c r="E332" t="s">
        <v>23</v>
      </c>
      <c r="G332" t="s">
        <v>808</v>
      </c>
    </row>
    <row r="333" spans="1:31" hidden="1">
      <c r="A333" t="s">
        <v>814</v>
      </c>
      <c r="B333" s="41">
        <v>46053</v>
      </c>
      <c r="C333" t="s">
        <v>299</v>
      </c>
      <c r="D333" t="s">
        <v>500</v>
      </c>
      <c r="E333" t="s">
        <v>23</v>
      </c>
      <c r="G333" s="2" t="s">
        <v>796</v>
      </c>
    </row>
    <row r="334" spans="1:31" hidden="1">
      <c r="A334" t="s">
        <v>815</v>
      </c>
      <c r="B334" s="41">
        <v>46053</v>
      </c>
      <c r="C334" t="s">
        <v>299</v>
      </c>
      <c r="D334" t="s">
        <v>810</v>
      </c>
      <c r="E334" t="s">
        <v>23</v>
      </c>
      <c r="G334" t="s">
        <v>773</v>
      </c>
    </row>
    <row r="335" spans="1:31" hidden="1">
      <c r="A335" t="s">
        <v>816</v>
      </c>
      <c r="B335" s="41">
        <v>46053</v>
      </c>
      <c r="C335" t="s">
        <v>299</v>
      </c>
      <c r="D335" t="s">
        <v>500</v>
      </c>
      <c r="E335" t="s">
        <v>23</v>
      </c>
      <c r="G335" t="s">
        <v>808</v>
      </c>
    </row>
    <row r="336" spans="1:31" hidden="1">
      <c r="A336" t="s">
        <v>817</v>
      </c>
      <c r="B336" s="41">
        <v>46053</v>
      </c>
      <c r="C336" t="s">
        <v>35</v>
      </c>
      <c r="D336" s="42" t="s">
        <v>1328</v>
      </c>
      <c r="E336" t="s">
        <v>24</v>
      </c>
      <c r="G336" s="2" t="s">
        <v>340</v>
      </c>
    </row>
    <row r="337" spans="1:7" hidden="1">
      <c r="A337" t="s">
        <v>818</v>
      </c>
      <c r="B337" s="41">
        <v>46053</v>
      </c>
      <c r="C337" t="s">
        <v>299</v>
      </c>
      <c r="D337" s="80" t="s">
        <v>887</v>
      </c>
      <c r="E337" t="s">
        <v>23</v>
      </c>
      <c r="G337" s="2" t="s">
        <v>809</v>
      </c>
    </row>
    <row r="338" spans="1:7" hidden="1">
      <c r="A338" t="s">
        <v>819</v>
      </c>
      <c r="B338" s="41">
        <v>46053</v>
      </c>
      <c r="C338" t="s">
        <v>299</v>
      </c>
      <c r="D338" s="80" t="s">
        <v>887</v>
      </c>
      <c r="E338" t="s">
        <v>23</v>
      </c>
      <c r="G338" s="2" t="s">
        <v>809</v>
      </c>
    </row>
    <row r="339" spans="1:7" hidden="1">
      <c r="A339" t="s">
        <v>820</v>
      </c>
      <c r="B339" s="41">
        <v>46053</v>
      </c>
      <c r="C339" t="s">
        <v>33</v>
      </c>
      <c r="D339" t="s">
        <v>1321</v>
      </c>
      <c r="E339" t="s">
        <v>24</v>
      </c>
      <c r="G339" s="2" t="s">
        <v>370</v>
      </c>
    </row>
    <row r="340" spans="1:7" hidden="1">
      <c r="A340" t="s">
        <v>821</v>
      </c>
      <c r="B340" s="41">
        <v>46053</v>
      </c>
      <c r="C340" t="s">
        <v>35</v>
      </c>
      <c r="D340" t="s">
        <v>1320</v>
      </c>
      <c r="E340" t="s">
        <v>24</v>
      </c>
      <c r="G340" s="2" t="s">
        <v>822</v>
      </c>
    </row>
    <row r="341" spans="1:7" hidden="1">
      <c r="A341" t="s">
        <v>823</v>
      </c>
      <c r="B341" s="41">
        <v>46053</v>
      </c>
      <c r="C341" t="s">
        <v>35</v>
      </c>
      <c r="D341" t="s">
        <v>364</v>
      </c>
      <c r="E341" t="s">
        <v>24</v>
      </c>
      <c r="G341" s="2" t="s">
        <v>708</v>
      </c>
    </row>
    <row r="342" spans="1:7" hidden="1">
      <c r="A342" t="s">
        <v>824</v>
      </c>
      <c r="B342" s="41">
        <v>46053</v>
      </c>
      <c r="C342" t="s">
        <v>299</v>
      </c>
      <c r="D342" t="s">
        <v>810</v>
      </c>
      <c r="E342" t="s">
        <v>23</v>
      </c>
      <c r="G342" s="2" t="s">
        <v>825</v>
      </c>
    </row>
    <row r="343" spans="1:7" hidden="1">
      <c r="A343" t="s">
        <v>826</v>
      </c>
      <c r="B343" s="41">
        <v>46053</v>
      </c>
      <c r="C343" t="s">
        <v>35</v>
      </c>
      <c r="D343" s="42" t="s">
        <v>1328</v>
      </c>
      <c r="E343" t="s">
        <v>24</v>
      </c>
      <c r="G343" s="2" t="s">
        <v>340</v>
      </c>
    </row>
    <row r="344" spans="1:7" hidden="1">
      <c r="A344" t="s">
        <v>827</v>
      </c>
      <c r="B344" s="41">
        <v>46053</v>
      </c>
      <c r="C344" t="s">
        <v>299</v>
      </c>
      <c r="D344" t="s">
        <v>810</v>
      </c>
      <c r="E344" t="s">
        <v>23</v>
      </c>
      <c r="G344" s="2" t="s">
        <v>773</v>
      </c>
    </row>
    <row r="345" spans="1:7" hidden="1">
      <c r="A345" t="s">
        <v>828</v>
      </c>
      <c r="B345" s="41">
        <v>46053</v>
      </c>
      <c r="C345" t="s">
        <v>299</v>
      </c>
      <c r="D345" t="s">
        <v>810</v>
      </c>
      <c r="E345" t="s">
        <v>23</v>
      </c>
      <c r="G345" s="2" t="s">
        <v>773</v>
      </c>
    </row>
    <row r="346" spans="1:7" hidden="1">
      <c r="A346" t="s">
        <v>829</v>
      </c>
      <c r="B346" s="41">
        <v>46053</v>
      </c>
      <c r="C346" t="s">
        <v>299</v>
      </c>
      <c r="D346" t="s">
        <v>500</v>
      </c>
      <c r="E346" t="s">
        <v>23</v>
      </c>
      <c r="G346" s="2" t="s">
        <v>808</v>
      </c>
    </row>
    <row r="347" spans="1:7" hidden="1">
      <c r="A347" t="s">
        <v>830</v>
      </c>
      <c r="B347" s="41">
        <v>46053</v>
      </c>
      <c r="C347" t="s">
        <v>299</v>
      </c>
      <c r="D347" t="s">
        <v>500</v>
      </c>
      <c r="E347" t="s">
        <v>23</v>
      </c>
      <c r="G347" s="2" t="s">
        <v>808</v>
      </c>
    </row>
    <row r="348" spans="1:7" hidden="1">
      <c r="A348" t="s">
        <v>831</v>
      </c>
      <c r="B348" s="41">
        <v>46053</v>
      </c>
      <c r="C348" t="s">
        <v>299</v>
      </c>
      <c r="D348" t="s">
        <v>500</v>
      </c>
      <c r="E348" t="s">
        <v>23</v>
      </c>
      <c r="G348" s="2" t="s">
        <v>796</v>
      </c>
    </row>
    <row r="349" spans="1:7" hidden="1">
      <c r="A349" t="s">
        <v>832</v>
      </c>
      <c r="B349" s="41">
        <v>46053</v>
      </c>
      <c r="C349" t="s">
        <v>299</v>
      </c>
      <c r="D349" s="66" t="s">
        <v>890</v>
      </c>
      <c r="E349" t="s">
        <v>24</v>
      </c>
      <c r="G349" s="2" t="s">
        <v>833</v>
      </c>
    </row>
    <row r="350" spans="1:7" hidden="1">
      <c r="A350" t="s">
        <v>834</v>
      </c>
      <c r="B350" s="41">
        <v>46053</v>
      </c>
      <c r="C350" t="s">
        <v>299</v>
      </c>
      <c r="D350" t="s">
        <v>375</v>
      </c>
      <c r="E350" t="s">
        <v>25</v>
      </c>
      <c r="G350" s="2" t="s">
        <v>835</v>
      </c>
    </row>
    <row r="351" spans="1:7" hidden="1">
      <c r="A351" t="s">
        <v>836</v>
      </c>
      <c r="B351" s="41">
        <v>46053</v>
      </c>
      <c r="C351" t="s">
        <v>35</v>
      </c>
      <c r="D351" t="s">
        <v>1373</v>
      </c>
      <c r="E351" t="s">
        <v>24</v>
      </c>
      <c r="G351" s="2" t="s">
        <v>853</v>
      </c>
    </row>
    <row r="352" spans="1:7" hidden="1">
      <c r="A352" t="s">
        <v>837</v>
      </c>
      <c r="B352" s="41">
        <v>46053</v>
      </c>
      <c r="C352" t="s">
        <v>37</v>
      </c>
      <c r="D352" t="s">
        <v>883</v>
      </c>
      <c r="E352" t="s">
        <v>24</v>
      </c>
      <c r="G352" s="2" t="s">
        <v>151</v>
      </c>
    </row>
    <row r="353" spans="1:7" hidden="1">
      <c r="A353" t="s">
        <v>838</v>
      </c>
      <c r="B353" s="41">
        <v>46053</v>
      </c>
      <c r="C353" t="s">
        <v>299</v>
      </c>
      <c r="D353" t="s">
        <v>1305</v>
      </c>
      <c r="E353" t="s">
        <v>23</v>
      </c>
      <c r="G353" s="2" t="s">
        <v>1361</v>
      </c>
    </row>
    <row r="354" spans="1:7" hidden="1">
      <c r="A354" t="s">
        <v>839</v>
      </c>
      <c r="B354" s="41">
        <v>46053</v>
      </c>
      <c r="C354" t="s">
        <v>35</v>
      </c>
      <c r="D354" t="s">
        <v>364</v>
      </c>
      <c r="E354" t="s">
        <v>24</v>
      </c>
      <c r="G354" s="2" t="s">
        <v>431</v>
      </c>
    </row>
    <row r="355" spans="1:7" hidden="1">
      <c r="A355" t="s">
        <v>840</v>
      </c>
      <c r="B355" s="41">
        <v>46053</v>
      </c>
      <c r="C355" t="s">
        <v>299</v>
      </c>
      <c r="D355" t="s">
        <v>153</v>
      </c>
      <c r="E355" t="s">
        <v>22</v>
      </c>
      <c r="G355" s="2" t="s">
        <v>705</v>
      </c>
    </row>
    <row r="356" spans="1:7" hidden="1">
      <c r="A356" t="s">
        <v>841</v>
      </c>
      <c r="B356" s="41">
        <v>46053</v>
      </c>
      <c r="C356" t="s">
        <v>299</v>
      </c>
      <c r="D356" t="s">
        <v>312</v>
      </c>
      <c r="E356" t="s">
        <v>23</v>
      </c>
      <c r="G356" s="2" t="s">
        <v>843</v>
      </c>
    </row>
    <row r="357" spans="1:7" hidden="1">
      <c r="A357" t="s">
        <v>842</v>
      </c>
      <c r="B357" s="41">
        <v>46053</v>
      </c>
      <c r="C357" t="s">
        <v>299</v>
      </c>
      <c r="D357" t="s">
        <v>312</v>
      </c>
      <c r="E357" t="s">
        <v>23</v>
      </c>
      <c r="G357" s="2" t="s">
        <v>844</v>
      </c>
    </row>
    <row r="358" spans="1:7" hidden="1">
      <c r="A358" t="s">
        <v>845</v>
      </c>
      <c r="B358" s="41">
        <v>46053</v>
      </c>
      <c r="C358" t="s">
        <v>35</v>
      </c>
      <c r="D358" t="s">
        <v>1329</v>
      </c>
      <c r="E358" t="s">
        <v>24</v>
      </c>
      <c r="G358" s="2" t="s">
        <v>891</v>
      </c>
    </row>
    <row r="359" spans="1:7" s="53" customFormat="1" hidden="1">
      <c r="A359" s="53" t="s">
        <v>846</v>
      </c>
      <c r="B359" s="70">
        <v>46053</v>
      </c>
      <c r="C359" s="53" t="s">
        <v>299</v>
      </c>
      <c r="D359" s="53" t="s">
        <v>590</v>
      </c>
      <c r="E359" s="53" t="s">
        <v>23</v>
      </c>
      <c r="G359" s="71" t="s">
        <v>1367</v>
      </c>
    </row>
    <row r="360" spans="1:7" s="53" customFormat="1" hidden="1">
      <c r="A360" s="53" t="s">
        <v>1365</v>
      </c>
      <c r="B360" s="70">
        <v>46053</v>
      </c>
      <c r="C360" s="53" t="s">
        <v>29</v>
      </c>
      <c r="D360" s="53" t="s">
        <v>590</v>
      </c>
      <c r="E360" s="53" t="s">
        <v>23</v>
      </c>
      <c r="G360" s="71" t="s">
        <v>1367</v>
      </c>
    </row>
    <row r="361" spans="1:7" s="53" customFormat="1" hidden="1">
      <c r="A361" s="53" t="s">
        <v>1366</v>
      </c>
      <c r="B361" s="70">
        <v>46053</v>
      </c>
      <c r="C361" s="53" t="s">
        <v>30</v>
      </c>
      <c r="D361" s="53" t="s">
        <v>590</v>
      </c>
      <c r="E361" s="53" t="s">
        <v>23</v>
      </c>
      <c r="G361" s="71" t="s">
        <v>1367</v>
      </c>
    </row>
    <row r="362" spans="1:7" hidden="1">
      <c r="A362" t="s">
        <v>849</v>
      </c>
      <c r="B362" s="41">
        <v>46053</v>
      </c>
      <c r="C362" t="s">
        <v>299</v>
      </c>
      <c r="D362" t="s">
        <v>312</v>
      </c>
      <c r="E362" t="s">
        <v>23</v>
      </c>
      <c r="G362" s="2" t="s">
        <v>850</v>
      </c>
    </row>
    <row r="363" spans="1:7" hidden="1">
      <c r="A363" t="s">
        <v>947</v>
      </c>
      <c r="B363" s="41">
        <v>46053</v>
      </c>
      <c r="C363" t="s">
        <v>30</v>
      </c>
      <c r="D363" t="s">
        <v>494</v>
      </c>
      <c r="E363" t="s">
        <v>22</v>
      </c>
      <c r="G363" t="s">
        <v>948</v>
      </c>
    </row>
    <row r="364" spans="1:7" hidden="1">
      <c r="A364" t="s">
        <v>950</v>
      </c>
      <c r="B364" s="41">
        <v>46053</v>
      </c>
      <c r="C364" t="s">
        <v>30</v>
      </c>
      <c r="D364" t="s">
        <v>494</v>
      </c>
      <c r="E364" t="s">
        <v>22</v>
      </c>
      <c r="G364" t="s">
        <v>957</v>
      </c>
    </row>
    <row r="365" spans="1:7" hidden="1">
      <c r="A365" t="s">
        <v>952</v>
      </c>
      <c r="B365" s="41">
        <v>46053</v>
      </c>
      <c r="C365" t="s">
        <v>30</v>
      </c>
      <c r="D365" t="s">
        <v>494</v>
      </c>
      <c r="E365" t="s">
        <v>22</v>
      </c>
      <c r="G365" t="s">
        <v>957</v>
      </c>
    </row>
    <row r="366" spans="1:7" hidden="1">
      <c r="A366" t="s">
        <v>953</v>
      </c>
      <c r="B366" s="41">
        <v>46053</v>
      </c>
      <c r="C366" t="s">
        <v>30</v>
      </c>
      <c r="D366" t="s">
        <v>494</v>
      </c>
      <c r="E366" t="s">
        <v>22</v>
      </c>
      <c r="G366" t="s">
        <v>554</v>
      </c>
    </row>
    <row r="367" spans="1:7" hidden="1">
      <c r="A367" t="s">
        <v>955</v>
      </c>
      <c r="B367" s="41">
        <v>46053</v>
      </c>
      <c r="C367" t="s">
        <v>30</v>
      </c>
      <c r="D367" t="s">
        <v>340</v>
      </c>
      <c r="E367" t="s">
        <v>24</v>
      </c>
      <c r="G367" s="2" t="s">
        <v>958</v>
      </c>
    </row>
    <row r="368" spans="1:7" hidden="1">
      <c r="A368" t="s">
        <v>956</v>
      </c>
      <c r="B368" s="41">
        <v>46053</v>
      </c>
      <c r="C368" t="s">
        <v>30</v>
      </c>
      <c r="D368" t="s">
        <v>494</v>
      </c>
      <c r="E368" t="s">
        <v>22</v>
      </c>
      <c r="G368" t="s">
        <v>949</v>
      </c>
    </row>
    <row r="369" spans="1:7" hidden="1">
      <c r="A369" t="s">
        <v>959</v>
      </c>
      <c r="B369" s="41">
        <v>46053</v>
      </c>
      <c r="C369" t="s">
        <v>30</v>
      </c>
      <c r="D369" t="s">
        <v>1309</v>
      </c>
      <c r="E369" t="s">
        <v>23</v>
      </c>
      <c r="G369" s="2" t="s">
        <v>509</v>
      </c>
    </row>
    <row r="370" spans="1:7" hidden="1">
      <c r="A370" t="s">
        <v>960</v>
      </c>
      <c r="B370" s="41">
        <v>46053</v>
      </c>
      <c r="C370" t="s">
        <v>35</v>
      </c>
      <c r="D370" t="s">
        <v>1325</v>
      </c>
      <c r="E370" t="s">
        <v>24</v>
      </c>
      <c r="G370" s="2" t="s">
        <v>320</v>
      </c>
    </row>
    <row r="371" spans="1:7" hidden="1">
      <c r="A371" t="s">
        <v>961</v>
      </c>
      <c r="B371" s="41">
        <v>46053</v>
      </c>
      <c r="C371" t="s">
        <v>30</v>
      </c>
      <c r="D371" t="s">
        <v>1327</v>
      </c>
      <c r="E371" t="s">
        <v>24</v>
      </c>
      <c r="G371" s="2" t="s">
        <v>962</v>
      </c>
    </row>
    <row r="372" spans="1:7" hidden="1">
      <c r="A372" t="s">
        <v>963</v>
      </c>
      <c r="B372" s="41">
        <v>46053</v>
      </c>
      <c r="C372" t="s">
        <v>30</v>
      </c>
      <c r="D372" t="s">
        <v>1309</v>
      </c>
      <c r="E372" t="s">
        <v>23</v>
      </c>
      <c r="G372" s="2" t="s">
        <v>509</v>
      </c>
    </row>
    <row r="373" spans="1:7" hidden="1">
      <c r="A373" t="s">
        <v>964</v>
      </c>
      <c r="B373" s="41">
        <v>46053</v>
      </c>
      <c r="C373" t="s">
        <v>30</v>
      </c>
      <c r="D373" t="s">
        <v>1312</v>
      </c>
      <c r="E373" t="s">
        <v>23</v>
      </c>
      <c r="G373" s="2" t="s">
        <v>965</v>
      </c>
    </row>
    <row r="374" spans="1:7" hidden="1">
      <c r="A374" t="s">
        <v>966</v>
      </c>
      <c r="B374" s="41">
        <v>46053</v>
      </c>
      <c r="C374" t="s">
        <v>30</v>
      </c>
      <c r="D374" t="s">
        <v>1326</v>
      </c>
      <c r="E374" t="s">
        <v>24</v>
      </c>
      <c r="G374" s="2" t="s">
        <v>967</v>
      </c>
    </row>
    <row r="375" spans="1:7" hidden="1">
      <c r="A375" t="s">
        <v>968</v>
      </c>
      <c r="B375" s="41">
        <v>46053</v>
      </c>
      <c r="C375" t="s">
        <v>30</v>
      </c>
      <c r="D375" t="s">
        <v>494</v>
      </c>
      <c r="E375" t="s">
        <v>22</v>
      </c>
      <c r="G375" t="s">
        <v>949</v>
      </c>
    </row>
    <row r="376" spans="1:7" hidden="1">
      <c r="A376" t="s">
        <v>969</v>
      </c>
      <c r="B376" s="41">
        <v>46053</v>
      </c>
      <c r="C376" t="s">
        <v>30</v>
      </c>
      <c r="D376" t="s">
        <v>494</v>
      </c>
      <c r="E376" t="s">
        <v>22</v>
      </c>
      <c r="G376" t="s">
        <v>970</v>
      </c>
    </row>
    <row r="377" spans="1:7" hidden="1">
      <c r="A377" t="s">
        <v>971</v>
      </c>
      <c r="B377" s="41">
        <v>46053</v>
      </c>
      <c r="C377" t="s">
        <v>30</v>
      </c>
      <c r="D377" t="s">
        <v>494</v>
      </c>
      <c r="E377" t="s">
        <v>22</v>
      </c>
      <c r="G377" t="s">
        <v>972</v>
      </c>
    </row>
    <row r="378" spans="1:7" hidden="1">
      <c r="A378" t="s">
        <v>973</v>
      </c>
      <c r="B378" s="41">
        <v>46053</v>
      </c>
      <c r="C378" t="s">
        <v>30</v>
      </c>
      <c r="D378" t="s">
        <v>432</v>
      </c>
      <c r="E378" t="s">
        <v>24</v>
      </c>
      <c r="G378" t="s">
        <v>347</v>
      </c>
    </row>
    <row r="379" spans="1:7" hidden="1">
      <c r="A379" t="s">
        <v>974</v>
      </c>
      <c r="B379" s="41">
        <v>46053</v>
      </c>
      <c r="C379" t="s">
        <v>30</v>
      </c>
      <c r="D379" t="s">
        <v>975</v>
      </c>
      <c r="E379" t="s">
        <v>23</v>
      </c>
      <c r="G379" s="2" t="s">
        <v>809</v>
      </c>
    </row>
    <row r="380" spans="1:7" hidden="1">
      <c r="A380" t="s">
        <v>977</v>
      </c>
      <c r="B380" s="41">
        <v>46053</v>
      </c>
      <c r="C380" t="s">
        <v>35</v>
      </c>
      <c r="D380" t="s">
        <v>309</v>
      </c>
      <c r="E380" t="s">
        <v>24</v>
      </c>
    </row>
    <row r="381" spans="1:7" hidden="1">
      <c r="A381" t="s">
        <v>978</v>
      </c>
      <c r="B381" s="41">
        <v>46053</v>
      </c>
      <c r="C381" t="s">
        <v>30</v>
      </c>
      <c r="D381" t="s">
        <v>432</v>
      </c>
      <c r="E381" t="s">
        <v>24</v>
      </c>
      <c r="G381" t="s">
        <v>152</v>
      </c>
    </row>
    <row r="382" spans="1:7" hidden="1">
      <c r="A382" t="s">
        <v>979</v>
      </c>
      <c r="B382" s="41">
        <v>46053</v>
      </c>
      <c r="C382" t="s">
        <v>30</v>
      </c>
      <c r="D382" t="s">
        <v>1310</v>
      </c>
      <c r="E382" t="s">
        <v>23</v>
      </c>
      <c r="G382" s="2" t="s">
        <v>980</v>
      </c>
    </row>
    <row r="383" spans="1:7" hidden="1">
      <c r="A383" t="s">
        <v>981</v>
      </c>
      <c r="B383" s="41">
        <v>46053</v>
      </c>
      <c r="C383" t="s">
        <v>30</v>
      </c>
      <c r="D383" t="s">
        <v>494</v>
      </c>
      <c r="E383" t="s">
        <v>22</v>
      </c>
      <c r="G383" t="s">
        <v>951</v>
      </c>
    </row>
    <row r="384" spans="1:7" hidden="1">
      <c r="A384" t="s">
        <v>982</v>
      </c>
      <c r="B384" s="41">
        <v>46053</v>
      </c>
      <c r="C384" t="s">
        <v>30</v>
      </c>
      <c r="D384" t="s">
        <v>494</v>
      </c>
      <c r="E384" t="s">
        <v>22</v>
      </c>
      <c r="G384" t="s">
        <v>983</v>
      </c>
    </row>
    <row r="385" spans="1:7" hidden="1">
      <c r="A385" t="s">
        <v>985</v>
      </c>
      <c r="B385" s="41">
        <v>46053</v>
      </c>
      <c r="C385" t="s">
        <v>30</v>
      </c>
      <c r="D385" t="s">
        <v>1311</v>
      </c>
      <c r="E385" t="s">
        <v>23</v>
      </c>
      <c r="G385" s="2" t="s">
        <v>986</v>
      </c>
    </row>
    <row r="386" spans="1:7" hidden="1">
      <c r="A386" t="s">
        <v>988</v>
      </c>
      <c r="B386" s="41">
        <v>46053</v>
      </c>
      <c r="C386" t="s">
        <v>30</v>
      </c>
      <c r="D386" t="s">
        <v>1332</v>
      </c>
      <c r="E386" t="s">
        <v>24</v>
      </c>
      <c r="G386" s="2" t="s">
        <v>609</v>
      </c>
    </row>
    <row r="387" spans="1:7" hidden="1">
      <c r="A387" t="s">
        <v>989</v>
      </c>
      <c r="B387" s="41">
        <v>46053</v>
      </c>
      <c r="C387" t="s">
        <v>30</v>
      </c>
      <c r="D387" t="s">
        <v>432</v>
      </c>
      <c r="E387" t="s">
        <v>24</v>
      </c>
      <c r="G387" t="s">
        <v>312</v>
      </c>
    </row>
    <row r="388" spans="1:7" hidden="1">
      <c r="A388" t="s">
        <v>990</v>
      </c>
      <c r="B388" s="41">
        <v>46053</v>
      </c>
      <c r="C388" t="s">
        <v>30</v>
      </c>
      <c r="D388" t="s">
        <v>494</v>
      </c>
      <c r="E388" t="s">
        <v>22</v>
      </c>
      <c r="G388" t="s">
        <v>951</v>
      </c>
    </row>
    <row r="389" spans="1:7" hidden="1">
      <c r="A389" t="s">
        <v>991</v>
      </c>
      <c r="B389" s="41">
        <v>46053</v>
      </c>
      <c r="C389" t="s">
        <v>30</v>
      </c>
      <c r="D389" t="s">
        <v>494</v>
      </c>
      <c r="E389" t="s">
        <v>22</v>
      </c>
      <c r="G389" t="s">
        <v>992</v>
      </c>
    </row>
    <row r="390" spans="1:7" s="98" customFormat="1" hidden="1">
      <c r="A390" s="98" t="s">
        <v>993</v>
      </c>
      <c r="B390" s="99">
        <v>46053</v>
      </c>
      <c r="C390" s="98" t="s">
        <v>30</v>
      </c>
      <c r="D390" s="98" t="s">
        <v>1363</v>
      </c>
      <c r="E390" s="98" t="s">
        <v>23</v>
      </c>
      <c r="G390" s="100" t="s">
        <v>1364</v>
      </c>
    </row>
    <row r="391" spans="1:7" hidden="1">
      <c r="A391" t="s">
        <v>994</v>
      </c>
      <c r="B391" s="41">
        <v>46053</v>
      </c>
      <c r="C391" t="s">
        <v>30</v>
      </c>
      <c r="D391" t="s">
        <v>1312</v>
      </c>
      <c r="E391" t="s">
        <v>23</v>
      </c>
      <c r="G391" s="2" t="s">
        <v>965</v>
      </c>
    </row>
    <row r="392" spans="1:7" hidden="1">
      <c r="A392" t="s">
        <v>995</v>
      </c>
      <c r="B392" s="41">
        <v>46053</v>
      </c>
      <c r="C392" t="s">
        <v>30</v>
      </c>
      <c r="D392" t="s">
        <v>1327</v>
      </c>
      <c r="E392" t="s">
        <v>24</v>
      </c>
      <c r="G392" s="2" t="s">
        <v>962</v>
      </c>
    </row>
    <row r="393" spans="1:7" hidden="1">
      <c r="A393" t="s">
        <v>996</v>
      </c>
      <c r="B393" s="41">
        <v>46053</v>
      </c>
      <c r="C393" t="s">
        <v>30</v>
      </c>
      <c r="D393" t="s">
        <v>1318</v>
      </c>
      <c r="E393" t="s">
        <v>24</v>
      </c>
      <c r="G393" s="2" t="s">
        <v>997</v>
      </c>
    </row>
    <row r="394" spans="1:7" s="98" customFormat="1" hidden="1">
      <c r="A394" s="98" t="s">
        <v>1000</v>
      </c>
      <c r="B394" s="99">
        <v>46053</v>
      </c>
      <c r="C394" s="98" t="s">
        <v>33</v>
      </c>
      <c r="D394" s="98" t="s">
        <v>1302</v>
      </c>
      <c r="E394" s="98" t="s">
        <v>158</v>
      </c>
      <c r="G394" s="98" t="s">
        <v>1001</v>
      </c>
    </row>
    <row r="395" spans="1:7" hidden="1">
      <c r="A395" t="s">
        <v>1002</v>
      </c>
      <c r="B395" s="41">
        <v>46053</v>
      </c>
      <c r="C395" t="s">
        <v>30</v>
      </c>
      <c r="D395" t="s">
        <v>1309</v>
      </c>
      <c r="E395" t="s">
        <v>23</v>
      </c>
      <c r="G395" s="2" t="s">
        <v>509</v>
      </c>
    </row>
    <row r="396" spans="1:7" hidden="1">
      <c r="A396" t="s">
        <v>1003</v>
      </c>
      <c r="B396" s="41">
        <v>46053</v>
      </c>
      <c r="C396" t="s">
        <v>30</v>
      </c>
      <c r="D396" t="s">
        <v>494</v>
      </c>
      <c r="E396" t="s">
        <v>22</v>
      </c>
      <c r="G396" t="s">
        <v>1004</v>
      </c>
    </row>
    <row r="397" spans="1:7" hidden="1">
      <c r="A397" t="s">
        <v>1005</v>
      </c>
      <c r="B397" s="41">
        <v>46053</v>
      </c>
      <c r="C397" t="s">
        <v>30</v>
      </c>
      <c r="D397" t="s">
        <v>1309</v>
      </c>
      <c r="E397" t="s">
        <v>23</v>
      </c>
      <c r="G397" s="2" t="s">
        <v>509</v>
      </c>
    </row>
    <row r="398" spans="1:7" hidden="1">
      <c r="A398" t="s">
        <v>1006</v>
      </c>
      <c r="B398" s="41">
        <v>46053</v>
      </c>
      <c r="C398" t="s">
        <v>30</v>
      </c>
      <c r="D398" t="s">
        <v>375</v>
      </c>
      <c r="E398" t="s">
        <v>25</v>
      </c>
      <c r="G398" s="2" t="s">
        <v>1007</v>
      </c>
    </row>
    <row r="399" spans="1:7" hidden="1">
      <c r="A399" t="s">
        <v>1008</v>
      </c>
      <c r="B399" s="41">
        <v>46053</v>
      </c>
      <c r="C399" t="s">
        <v>30</v>
      </c>
      <c r="D399" t="s">
        <v>494</v>
      </c>
      <c r="E399" t="s">
        <v>22</v>
      </c>
      <c r="G399" t="s">
        <v>1009</v>
      </c>
    </row>
    <row r="400" spans="1:7" hidden="1">
      <c r="A400" t="s">
        <v>1010</v>
      </c>
      <c r="B400" s="41">
        <v>46053</v>
      </c>
      <c r="C400" t="s">
        <v>30</v>
      </c>
      <c r="D400" t="s">
        <v>494</v>
      </c>
      <c r="E400" t="s">
        <v>22</v>
      </c>
      <c r="G400" t="s">
        <v>954</v>
      </c>
    </row>
    <row r="401" spans="1:7" ht="12.6" hidden="1" customHeight="1">
      <c r="A401" t="s">
        <v>1011</v>
      </c>
      <c r="B401" s="41">
        <v>46053</v>
      </c>
      <c r="C401" t="s">
        <v>30</v>
      </c>
      <c r="D401" t="s">
        <v>494</v>
      </c>
      <c r="E401" t="s">
        <v>22</v>
      </c>
      <c r="G401" t="s">
        <v>1147</v>
      </c>
    </row>
    <row r="402" spans="1:7" hidden="1">
      <c r="A402" t="s">
        <v>1012</v>
      </c>
      <c r="B402" s="41">
        <v>46053</v>
      </c>
      <c r="C402" t="s">
        <v>30</v>
      </c>
      <c r="D402" t="s">
        <v>1309</v>
      </c>
      <c r="E402" t="s">
        <v>23</v>
      </c>
      <c r="G402" s="2" t="s">
        <v>1013</v>
      </c>
    </row>
    <row r="403" spans="1:7">
      <c r="A403" t="s">
        <v>1014</v>
      </c>
      <c r="B403" s="41">
        <v>46053</v>
      </c>
      <c r="C403" t="s">
        <v>30</v>
      </c>
      <c r="D403" t="s">
        <v>1368</v>
      </c>
      <c r="E403" t="s">
        <v>24</v>
      </c>
      <c r="G403" s="2" t="s">
        <v>1015</v>
      </c>
    </row>
    <row r="404" spans="1:7" hidden="1">
      <c r="A404" t="s">
        <v>1016</v>
      </c>
      <c r="B404" s="41">
        <v>46053</v>
      </c>
      <c r="C404" t="s">
        <v>35</v>
      </c>
      <c r="D404" t="s">
        <v>309</v>
      </c>
      <c r="E404" t="s">
        <v>24</v>
      </c>
    </row>
    <row r="405" spans="1:7" hidden="1">
      <c r="A405" t="s">
        <v>1018</v>
      </c>
      <c r="B405" s="41">
        <v>46053</v>
      </c>
      <c r="C405" t="s">
        <v>30</v>
      </c>
      <c r="D405" t="s">
        <v>432</v>
      </c>
      <c r="E405" t="s">
        <v>24</v>
      </c>
      <c r="G405" t="s">
        <v>152</v>
      </c>
    </row>
    <row r="406" spans="1:7" hidden="1">
      <c r="A406" t="s">
        <v>1019</v>
      </c>
      <c r="B406" s="41">
        <v>46053</v>
      </c>
      <c r="C406" t="s">
        <v>30</v>
      </c>
      <c r="D406" s="73" t="s">
        <v>885</v>
      </c>
      <c r="E406" t="s">
        <v>22</v>
      </c>
      <c r="G406" t="s">
        <v>886</v>
      </c>
    </row>
    <row r="407" spans="1:7" hidden="1">
      <c r="A407" t="s">
        <v>1022</v>
      </c>
      <c r="B407" s="41">
        <v>46053</v>
      </c>
      <c r="C407" t="s">
        <v>30</v>
      </c>
      <c r="D407" t="s">
        <v>375</v>
      </c>
      <c r="E407" t="s">
        <v>25</v>
      </c>
      <c r="G407" s="2" t="s">
        <v>1023</v>
      </c>
    </row>
    <row r="408" spans="1:7" hidden="1">
      <c r="A408" t="s">
        <v>1024</v>
      </c>
      <c r="B408" s="41">
        <v>46053</v>
      </c>
      <c r="C408" t="s">
        <v>30</v>
      </c>
      <c r="D408" t="s">
        <v>1311</v>
      </c>
      <c r="E408" t="s">
        <v>23</v>
      </c>
      <c r="G408" s="2" t="s">
        <v>1025</v>
      </c>
    </row>
    <row r="409" spans="1:7" hidden="1">
      <c r="A409" t="s">
        <v>1026</v>
      </c>
      <c r="B409" s="41">
        <v>46053</v>
      </c>
      <c r="C409" t="s">
        <v>30</v>
      </c>
      <c r="D409" s="73" t="s">
        <v>885</v>
      </c>
      <c r="E409" t="s">
        <v>22</v>
      </c>
      <c r="G409" t="s">
        <v>886</v>
      </c>
    </row>
    <row r="410" spans="1:7" hidden="1">
      <c r="A410" t="s">
        <v>1027</v>
      </c>
      <c r="B410" s="41">
        <v>46053</v>
      </c>
      <c r="C410" t="s">
        <v>30</v>
      </c>
      <c r="D410" t="s">
        <v>1313</v>
      </c>
      <c r="E410" t="s">
        <v>24</v>
      </c>
      <c r="G410" s="2" t="s">
        <v>1028</v>
      </c>
    </row>
    <row r="411" spans="1:7">
      <c r="A411" t="s">
        <v>1029</v>
      </c>
      <c r="B411" s="41">
        <v>46053</v>
      </c>
      <c r="C411" t="s">
        <v>30</v>
      </c>
      <c r="D411" t="s">
        <v>1368</v>
      </c>
      <c r="E411" t="s">
        <v>24</v>
      </c>
      <c r="G411" s="2" t="s">
        <v>1030</v>
      </c>
    </row>
    <row r="412" spans="1:7" hidden="1">
      <c r="A412" s="98" t="s">
        <v>1031</v>
      </c>
      <c r="B412" s="99">
        <v>46053</v>
      </c>
      <c r="C412" s="98" t="s">
        <v>30</v>
      </c>
      <c r="D412" s="98" t="s">
        <v>1311</v>
      </c>
      <c r="E412" s="98" t="s">
        <v>23</v>
      </c>
      <c r="F412" s="98"/>
      <c r="G412" s="100" t="s">
        <v>1032</v>
      </c>
    </row>
    <row r="413" spans="1:7" hidden="1">
      <c r="A413" t="s">
        <v>1033</v>
      </c>
      <c r="B413" s="41">
        <v>46053</v>
      </c>
      <c r="C413" t="s">
        <v>30</v>
      </c>
      <c r="D413" t="s">
        <v>494</v>
      </c>
      <c r="E413" t="s">
        <v>22</v>
      </c>
      <c r="G413" t="s">
        <v>951</v>
      </c>
    </row>
    <row r="414" spans="1:7" hidden="1">
      <c r="A414" t="s">
        <v>1034</v>
      </c>
      <c r="B414" s="41">
        <v>46053</v>
      </c>
      <c r="C414" t="s">
        <v>30</v>
      </c>
      <c r="D414" t="s">
        <v>1306</v>
      </c>
      <c r="E414" t="s">
        <v>22</v>
      </c>
      <c r="G414" s="2" t="s">
        <v>1035</v>
      </c>
    </row>
    <row r="415" spans="1:7" hidden="1">
      <c r="A415" t="s">
        <v>1036</v>
      </c>
      <c r="B415" s="41">
        <v>46053</v>
      </c>
      <c r="C415" t="s">
        <v>30</v>
      </c>
      <c r="D415" t="s">
        <v>509</v>
      </c>
      <c r="E415" t="s">
        <v>23</v>
      </c>
      <c r="G415" s="2" t="s">
        <v>1039</v>
      </c>
    </row>
    <row r="416" spans="1:7" hidden="1">
      <c r="A416" t="s">
        <v>1037</v>
      </c>
      <c r="B416" s="41">
        <v>46053</v>
      </c>
      <c r="C416" t="s">
        <v>30</v>
      </c>
      <c r="D416" t="s">
        <v>975</v>
      </c>
      <c r="E416" t="s">
        <v>23</v>
      </c>
      <c r="G416" s="2" t="s">
        <v>809</v>
      </c>
    </row>
    <row r="417" spans="1:7" hidden="1">
      <c r="A417" t="s">
        <v>1038</v>
      </c>
      <c r="B417" s="41">
        <v>46053</v>
      </c>
      <c r="C417" t="s">
        <v>30</v>
      </c>
      <c r="D417" t="s">
        <v>1311</v>
      </c>
      <c r="E417" t="s">
        <v>23</v>
      </c>
      <c r="G417" s="2" t="s">
        <v>1040</v>
      </c>
    </row>
    <row r="418" spans="1:7" hidden="1">
      <c r="A418" t="s">
        <v>1041</v>
      </c>
      <c r="B418" s="41">
        <v>46053</v>
      </c>
      <c r="C418" t="s">
        <v>30</v>
      </c>
      <c r="D418" t="s">
        <v>509</v>
      </c>
      <c r="E418" t="s">
        <v>23</v>
      </c>
      <c r="G418" s="2" t="s">
        <v>1042</v>
      </c>
    </row>
    <row r="419" spans="1:7" hidden="1">
      <c r="A419" t="s">
        <v>1043</v>
      </c>
      <c r="B419" s="41">
        <v>46053</v>
      </c>
      <c r="C419" t="s">
        <v>30</v>
      </c>
      <c r="D419" t="s">
        <v>1311</v>
      </c>
      <c r="E419" t="s">
        <v>23</v>
      </c>
      <c r="G419" s="2" t="s">
        <v>1044</v>
      </c>
    </row>
    <row r="420" spans="1:7" hidden="1">
      <c r="A420" t="s">
        <v>1045</v>
      </c>
      <c r="B420" s="41">
        <v>46053</v>
      </c>
      <c r="C420" t="s">
        <v>35</v>
      </c>
      <c r="D420" t="s">
        <v>1332</v>
      </c>
      <c r="E420" t="s">
        <v>24</v>
      </c>
      <c r="G420" s="2" t="s">
        <v>618</v>
      </c>
    </row>
    <row r="421" spans="1:7" hidden="1">
      <c r="A421" t="s">
        <v>1046</v>
      </c>
      <c r="B421" s="41">
        <v>46053</v>
      </c>
      <c r="C421" t="s">
        <v>30</v>
      </c>
      <c r="D421" t="s">
        <v>509</v>
      </c>
      <c r="E421" t="s">
        <v>23</v>
      </c>
      <c r="G421" s="2" t="s">
        <v>1042</v>
      </c>
    </row>
    <row r="422" spans="1:7" hidden="1">
      <c r="A422" t="s">
        <v>1047</v>
      </c>
      <c r="B422" s="41">
        <v>46053</v>
      </c>
      <c r="C422" t="s">
        <v>30</v>
      </c>
      <c r="D422" t="s">
        <v>1309</v>
      </c>
      <c r="E422" t="s">
        <v>23</v>
      </c>
      <c r="G422" s="2" t="s">
        <v>509</v>
      </c>
    </row>
    <row r="423" spans="1:7" hidden="1">
      <c r="A423" t="s">
        <v>1048</v>
      </c>
      <c r="B423" s="41">
        <v>46053</v>
      </c>
      <c r="C423" t="s">
        <v>35</v>
      </c>
      <c r="D423" t="s">
        <v>1320</v>
      </c>
      <c r="E423" t="s">
        <v>24</v>
      </c>
      <c r="G423" s="2" t="s">
        <v>1049</v>
      </c>
    </row>
    <row r="424" spans="1:7" hidden="1">
      <c r="A424" t="s">
        <v>1050</v>
      </c>
      <c r="B424" s="41">
        <v>46053</v>
      </c>
      <c r="C424" t="s">
        <v>33</v>
      </c>
      <c r="D424" t="s">
        <v>1317</v>
      </c>
      <c r="E424" t="s">
        <v>24</v>
      </c>
      <c r="G424" s="2" t="s">
        <v>1051</v>
      </c>
    </row>
    <row r="425" spans="1:7" hidden="1">
      <c r="A425" t="s">
        <v>1052</v>
      </c>
      <c r="B425" s="41">
        <v>46053</v>
      </c>
      <c r="C425" t="s">
        <v>30</v>
      </c>
      <c r="D425" t="s">
        <v>1309</v>
      </c>
      <c r="E425" t="s">
        <v>23</v>
      </c>
      <c r="G425" s="2" t="s">
        <v>1053</v>
      </c>
    </row>
    <row r="426" spans="1:7" hidden="1">
      <c r="A426" t="s">
        <v>1054</v>
      </c>
      <c r="B426" s="41">
        <v>46053</v>
      </c>
      <c r="C426" t="s">
        <v>30</v>
      </c>
      <c r="D426" t="s">
        <v>1307</v>
      </c>
      <c r="E426" t="s">
        <v>23</v>
      </c>
      <c r="G426" s="2" t="s">
        <v>1055</v>
      </c>
    </row>
    <row r="427" spans="1:7" hidden="1">
      <c r="A427" t="s">
        <v>1056</v>
      </c>
      <c r="B427" s="41">
        <v>46053</v>
      </c>
      <c r="C427" t="s">
        <v>30</v>
      </c>
      <c r="D427" t="s">
        <v>975</v>
      </c>
      <c r="E427" t="s">
        <v>23</v>
      </c>
      <c r="G427" s="2" t="s">
        <v>809</v>
      </c>
    </row>
    <row r="428" spans="1:7" hidden="1">
      <c r="A428" t="s">
        <v>1057</v>
      </c>
      <c r="B428" s="41">
        <v>46053</v>
      </c>
      <c r="C428" t="s">
        <v>35</v>
      </c>
      <c r="D428" t="s">
        <v>1320</v>
      </c>
      <c r="E428" t="s">
        <v>24</v>
      </c>
      <c r="G428" s="2" t="s">
        <v>1049</v>
      </c>
    </row>
    <row r="429" spans="1:7" hidden="1">
      <c r="A429" t="s">
        <v>1058</v>
      </c>
      <c r="B429" s="41">
        <v>46053</v>
      </c>
      <c r="C429" t="s">
        <v>30</v>
      </c>
      <c r="D429" t="s">
        <v>975</v>
      </c>
      <c r="E429" t="s">
        <v>23</v>
      </c>
      <c r="G429" s="2" t="s">
        <v>809</v>
      </c>
    </row>
    <row r="430" spans="1:7" hidden="1">
      <c r="A430" t="s">
        <v>1059</v>
      </c>
      <c r="B430" s="41">
        <v>46053</v>
      </c>
      <c r="C430" t="s">
        <v>30</v>
      </c>
      <c r="D430" t="s">
        <v>1374</v>
      </c>
      <c r="E430" t="s">
        <v>24</v>
      </c>
      <c r="G430" s="2" t="s">
        <v>1060</v>
      </c>
    </row>
    <row r="431" spans="1:7" hidden="1">
      <c r="A431" t="s">
        <v>1061</v>
      </c>
      <c r="B431" s="41">
        <v>46053</v>
      </c>
      <c r="C431" t="s">
        <v>30</v>
      </c>
      <c r="D431" s="73" t="s">
        <v>885</v>
      </c>
      <c r="E431" t="s">
        <v>22</v>
      </c>
      <c r="G431" t="s">
        <v>949</v>
      </c>
    </row>
    <row r="432" spans="1:7" hidden="1">
      <c r="A432" t="s">
        <v>1062</v>
      </c>
      <c r="B432" s="41">
        <v>46053</v>
      </c>
      <c r="C432" t="s">
        <v>30</v>
      </c>
      <c r="D432" t="s">
        <v>1306</v>
      </c>
      <c r="E432" t="s">
        <v>22</v>
      </c>
      <c r="G432" s="2" t="s">
        <v>1063</v>
      </c>
    </row>
    <row r="433" spans="1:7" hidden="1">
      <c r="A433" t="s">
        <v>1064</v>
      </c>
      <c r="B433" s="41">
        <v>46053</v>
      </c>
      <c r="C433" t="s">
        <v>30</v>
      </c>
      <c r="D433" t="s">
        <v>1309</v>
      </c>
      <c r="E433" t="s">
        <v>23</v>
      </c>
      <c r="G433" s="2" t="s">
        <v>509</v>
      </c>
    </row>
    <row r="434" spans="1:7" hidden="1">
      <c r="A434" t="s">
        <v>1065</v>
      </c>
      <c r="B434" s="41">
        <v>46053</v>
      </c>
      <c r="C434" t="s">
        <v>30</v>
      </c>
      <c r="D434" t="s">
        <v>1332</v>
      </c>
      <c r="E434" t="s">
        <v>24</v>
      </c>
      <c r="G434" s="2" t="s">
        <v>1066</v>
      </c>
    </row>
    <row r="435" spans="1:7" hidden="1">
      <c r="A435" t="s">
        <v>1067</v>
      </c>
      <c r="B435" s="41">
        <v>46053</v>
      </c>
      <c r="C435" t="s">
        <v>30</v>
      </c>
      <c r="D435" t="s">
        <v>494</v>
      </c>
      <c r="E435" t="s">
        <v>22</v>
      </c>
      <c r="G435" t="s">
        <v>1013</v>
      </c>
    </row>
    <row r="436" spans="1:7" hidden="1">
      <c r="A436" t="s">
        <v>1069</v>
      </c>
      <c r="B436" s="41">
        <v>46053</v>
      </c>
      <c r="C436" t="s">
        <v>30</v>
      </c>
      <c r="D436" t="s">
        <v>494</v>
      </c>
      <c r="E436" t="s">
        <v>22</v>
      </c>
      <c r="G436" t="s">
        <v>949</v>
      </c>
    </row>
    <row r="437" spans="1:7" hidden="1">
      <c r="A437" t="s">
        <v>1070</v>
      </c>
      <c r="B437" s="41">
        <v>46053</v>
      </c>
      <c r="C437" t="s">
        <v>30</v>
      </c>
      <c r="D437" t="s">
        <v>494</v>
      </c>
      <c r="E437" t="s">
        <v>22</v>
      </c>
      <c r="G437" t="s">
        <v>1013</v>
      </c>
    </row>
    <row r="438" spans="1:7" hidden="1">
      <c r="A438" t="s">
        <v>1071</v>
      </c>
      <c r="B438" s="41">
        <v>46053</v>
      </c>
      <c r="C438" t="s">
        <v>30</v>
      </c>
      <c r="D438" t="s">
        <v>885</v>
      </c>
      <c r="E438" t="s">
        <v>22</v>
      </c>
      <c r="G438" t="s">
        <v>1074</v>
      </c>
    </row>
    <row r="439" spans="1:7" hidden="1">
      <c r="A439" t="s">
        <v>1072</v>
      </c>
      <c r="B439" s="41">
        <v>46053</v>
      </c>
      <c r="C439" t="s">
        <v>30</v>
      </c>
      <c r="D439" s="73" t="s">
        <v>885</v>
      </c>
      <c r="E439" t="s">
        <v>22</v>
      </c>
      <c r="G439" t="s">
        <v>1073</v>
      </c>
    </row>
    <row r="440" spans="1:7" hidden="1">
      <c r="A440" t="s">
        <v>1075</v>
      </c>
      <c r="B440" s="41">
        <v>46053</v>
      </c>
      <c r="C440" t="s">
        <v>30</v>
      </c>
      <c r="D440" s="73" t="s">
        <v>885</v>
      </c>
      <c r="E440" t="s">
        <v>22</v>
      </c>
      <c r="G440" t="s">
        <v>1073</v>
      </c>
    </row>
    <row r="441" spans="1:7" hidden="1">
      <c r="A441" t="s">
        <v>1076</v>
      </c>
      <c r="B441" s="41">
        <v>46053</v>
      </c>
      <c r="C441" t="s">
        <v>35</v>
      </c>
      <c r="D441" t="s">
        <v>432</v>
      </c>
      <c r="E441" t="s">
        <v>24</v>
      </c>
      <c r="G441" t="s">
        <v>152</v>
      </c>
    </row>
    <row r="442" spans="1:7" hidden="1">
      <c r="A442" t="s">
        <v>1077</v>
      </c>
      <c r="B442" s="41">
        <v>46053</v>
      </c>
      <c r="C442" t="s">
        <v>30</v>
      </c>
      <c r="D442" t="s">
        <v>494</v>
      </c>
      <c r="E442" t="s">
        <v>22</v>
      </c>
      <c r="G442" t="s">
        <v>1053</v>
      </c>
    </row>
    <row r="443" spans="1:7" hidden="1">
      <c r="A443" t="s">
        <v>1078</v>
      </c>
      <c r="B443" s="41">
        <v>46053</v>
      </c>
      <c r="C443" t="s">
        <v>30</v>
      </c>
      <c r="D443" t="s">
        <v>1311</v>
      </c>
      <c r="E443" t="s">
        <v>23</v>
      </c>
      <c r="G443" s="2" t="s">
        <v>155</v>
      </c>
    </row>
    <row r="444" spans="1:7" hidden="1">
      <c r="A444" t="s">
        <v>1079</v>
      </c>
      <c r="B444" s="41">
        <v>46053</v>
      </c>
      <c r="C444" t="s">
        <v>30</v>
      </c>
      <c r="D444" t="s">
        <v>1311</v>
      </c>
      <c r="E444" t="s">
        <v>23</v>
      </c>
      <c r="G444" s="2" t="s">
        <v>1080</v>
      </c>
    </row>
    <row r="445" spans="1:7" hidden="1">
      <c r="A445" t="s">
        <v>1081</v>
      </c>
      <c r="B445" s="41">
        <v>46053</v>
      </c>
      <c r="C445" t="s">
        <v>30</v>
      </c>
      <c r="D445" t="s">
        <v>494</v>
      </c>
      <c r="E445" t="s">
        <v>22</v>
      </c>
      <c r="G445" t="s">
        <v>1073</v>
      </c>
    </row>
    <row r="446" spans="1:7" hidden="1">
      <c r="A446" t="s">
        <v>1082</v>
      </c>
      <c r="B446" s="41">
        <v>46053</v>
      </c>
      <c r="C446" t="s">
        <v>30</v>
      </c>
      <c r="D446" t="s">
        <v>494</v>
      </c>
      <c r="E446" t="s">
        <v>22</v>
      </c>
      <c r="G446" t="s">
        <v>1073</v>
      </c>
    </row>
    <row r="447" spans="1:7" hidden="1">
      <c r="A447" t="s">
        <v>1083</v>
      </c>
      <c r="B447" s="41">
        <v>46053</v>
      </c>
      <c r="C447" t="s">
        <v>30</v>
      </c>
      <c r="D447" s="73" t="s">
        <v>885</v>
      </c>
      <c r="E447" t="s">
        <v>22</v>
      </c>
      <c r="G447" t="s">
        <v>1073</v>
      </c>
    </row>
    <row r="448" spans="1:7" hidden="1">
      <c r="A448" t="s">
        <v>1084</v>
      </c>
      <c r="B448" s="41">
        <v>46053</v>
      </c>
      <c r="C448" t="s">
        <v>30</v>
      </c>
      <c r="D448" t="s">
        <v>494</v>
      </c>
      <c r="E448" t="s">
        <v>22</v>
      </c>
      <c r="G448" t="s">
        <v>1073</v>
      </c>
    </row>
    <row r="449" spans="1:7" hidden="1">
      <c r="A449" t="s">
        <v>1085</v>
      </c>
      <c r="B449" s="41">
        <v>46053</v>
      </c>
      <c r="C449" t="s">
        <v>30</v>
      </c>
      <c r="D449" t="s">
        <v>494</v>
      </c>
      <c r="E449" t="s">
        <v>22</v>
      </c>
      <c r="G449" t="s">
        <v>949</v>
      </c>
    </row>
    <row r="450" spans="1:7" hidden="1">
      <c r="A450" t="s">
        <v>1086</v>
      </c>
      <c r="B450" s="41">
        <v>46053</v>
      </c>
      <c r="C450" t="s">
        <v>30</v>
      </c>
      <c r="D450" t="s">
        <v>494</v>
      </c>
      <c r="E450" t="s">
        <v>22</v>
      </c>
      <c r="G450" t="s">
        <v>954</v>
      </c>
    </row>
    <row r="451" spans="1:7" hidden="1">
      <c r="A451" t="s">
        <v>1087</v>
      </c>
      <c r="B451" s="41">
        <v>46053</v>
      </c>
      <c r="C451" t="s">
        <v>30</v>
      </c>
      <c r="D451" t="s">
        <v>1309</v>
      </c>
      <c r="E451" t="s">
        <v>23</v>
      </c>
      <c r="G451" s="2" t="s">
        <v>509</v>
      </c>
    </row>
    <row r="452" spans="1:7" s="98" customFormat="1" hidden="1">
      <c r="A452" s="98" t="s">
        <v>1088</v>
      </c>
      <c r="B452" s="99">
        <v>46053</v>
      </c>
      <c r="C452" s="98" t="s">
        <v>30</v>
      </c>
      <c r="D452" s="98" t="s">
        <v>340</v>
      </c>
      <c r="E452" s="98" t="s">
        <v>24</v>
      </c>
      <c r="G452" s="100" t="s">
        <v>1089</v>
      </c>
    </row>
    <row r="453" spans="1:7" hidden="1">
      <c r="A453" t="s">
        <v>1090</v>
      </c>
      <c r="B453" s="41">
        <v>46053</v>
      </c>
      <c r="C453" t="s">
        <v>30</v>
      </c>
      <c r="D453" s="73" t="s">
        <v>885</v>
      </c>
      <c r="E453" t="s">
        <v>22</v>
      </c>
      <c r="G453" t="s">
        <v>949</v>
      </c>
    </row>
    <row r="454" spans="1:7" hidden="1">
      <c r="A454" t="s">
        <v>1091</v>
      </c>
      <c r="B454" s="41">
        <v>46053</v>
      </c>
      <c r="C454" t="s">
        <v>30</v>
      </c>
      <c r="D454" t="s">
        <v>1307</v>
      </c>
      <c r="E454" t="s">
        <v>23</v>
      </c>
      <c r="G454" s="2" t="s">
        <v>1055</v>
      </c>
    </row>
    <row r="455" spans="1:7" hidden="1">
      <c r="A455" t="s">
        <v>1092</v>
      </c>
      <c r="B455" s="41">
        <v>46053</v>
      </c>
      <c r="C455" t="s">
        <v>30</v>
      </c>
      <c r="D455" s="73" t="s">
        <v>885</v>
      </c>
      <c r="E455" t="s">
        <v>22</v>
      </c>
      <c r="G455" t="s">
        <v>1009</v>
      </c>
    </row>
    <row r="456" spans="1:7" hidden="1">
      <c r="A456" t="s">
        <v>1093</v>
      </c>
      <c r="B456" s="41">
        <v>46053</v>
      </c>
      <c r="C456" t="s">
        <v>35</v>
      </c>
      <c r="D456" t="s">
        <v>1331</v>
      </c>
      <c r="E456" t="s">
        <v>24</v>
      </c>
      <c r="G456" s="2" t="s">
        <v>1094</v>
      </c>
    </row>
    <row r="457" spans="1:7" hidden="1">
      <c r="A457" t="s">
        <v>1095</v>
      </c>
      <c r="B457" s="41">
        <v>46053</v>
      </c>
      <c r="C457" t="s">
        <v>30</v>
      </c>
      <c r="D457" t="s">
        <v>494</v>
      </c>
      <c r="E457" t="s">
        <v>22</v>
      </c>
      <c r="G457" t="s">
        <v>1073</v>
      </c>
    </row>
    <row r="458" spans="1:7" hidden="1">
      <c r="A458" t="s">
        <v>1096</v>
      </c>
      <c r="B458" s="41">
        <v>46053</v>
      </c>
      <c r="C458" t="s">
        <v>30</v>
      </c>
      <c r="D458" t="s">
        <v>1309</v>
      </c>
      <c r="E458" t="s">
        <v>23</v>
      </c>
      <c r="G458" s="2" t="s">
        <v>1097</v>
      </c>
    </row>
    <row r="459" spans="1:7" hidden="1">
      <c r="A459" t="s">
        <v>1098</v>
      </c>
      <c r="B459" s="41">
        <v>46053</v>
      </c>
      <c r="C459" t="s">
        <v>30</v>
      </c>
      <c r="D459" t="s">
        <v>1316</v>
      </c>
      <c r="E459" t="s">
        <v>24</v>
      </c>
      <c r="G459" s="2" t="s">
        <v>1099</v>
      </c>
    </row>
    <row r="460" spans="1:7" hidden="1">
      <c r="A460" t="s">
        <v>1100</v>
      </c>
      <c r="B460" s="41">
        <v>46053</v>
      </c>
      <c r="C460" t="s">
        <v>35</v>
      </c>
      <c r="D460" t="s">
        <v>1331</v>
      </c>
      <c r="E460" t="s">
        <v>24</v>
      </c>
      <c r="G460" s="2" t="s">
        <v>1094</v>
      </c>
    </row>
    <row r="461" spans="1:7" hidden="1">
      <c r="A461" t="s">
        <v>1101</v>
      </c>
      <c r="B461" s="41">
        <v>46053</v>
      </c>
      <c r="C461" t="s">
        <v>30</v>
      </c>
      <c r="D461" t="s">
        <v>1306</v>
      </c>
      <c r="E461" t="s">
        <v>22</v>
      </c>
      <c r="G461" s="2" t="s">
        <v>1102</v>
      </c>
    </row>
    <row r="462" spans="1:7" hidden="1">
      <c r="A462" t="s">
        <v>1103</v>
      </c>
      <c r="B462" s="41">
        <v>46053</v>
      </c>
      <c r="C462" t="s">
        <v>30</v>
      </c>
      <c r="D462" t="s">
        <v>1316</v>
      </c>
      <c r="E462" t="s">
        <v>24</v>
      </c>
      <c r="G462" s="2" t="s">
        <v>315</v>
      </c>
    </row>
    <row r="463" spans="1:7" hidden="1">
      <c r="A463" t="s">
        <v>1104</v>
      </c>
      <c r="B463" s="41">
        <v>46053</v>
      </c>
      <c r="C463" t="s">
        <v>30</v>
      </c>
      <c r="D463" t="s">
        <v>1311</v>
      </c>
      <c r="E463" t="s">
        <v>23</v>
      </c>
      <c r="G463" s="2" t="s">
        <v>986</v>
      </c>
    </row>
    <row r="464" spans="1:7" hidden="1">
      <c r="A464" t="s">
        <v>1105</v>
      </c>
      <c r="B464" s="41">
        <v>46053</v>
      </c>
      <c r="C464" t="s">
        <v>30</v>
      </c>
      <c r="D464" t="s">
        <v>494</v>
      </c>
      <c r="E464" t="s">
        <v>22</v>
      </c>
      <c r="G464" t="s">
        <v>1009</v>
      </c>
    </row>
    <row r="465" spans="1:7" hidden="1">
      <c r="A465" t="s">
        <v>1106</v>
      </c>
      <c r="B465" s="41">
        <v>46053</v>
      </c>
      <c r="C465" t="s">
        <v>30</v>
      </c>
      <c r="D465" t="s">
        <v>1333</v>
      </c>
      <c r="E465" t="s">
        <v>23</v>
      </c>
      <c r="G465" s="2" t="s">
        <v>1107</v>
      </c>
    </row>
    <row r="466" spans="1:7" hidden="1">
      <c r="A466" t="s">
        <v>1108</v>
      </c>
      <c r="B466" s="41">
        <v>46053</v>
      </c>
      <c r="C466" t="s">
        <v>30</v>
      </c>
      <c r="D466" t="s">
        <v>1311</v>
      </c>
      <c r="E466" t="s">
        <v>23</v>
      </c>
      <c r="G466" s="2" t="s">
        <v>1109</v>
      </c>
    </row>
    <row r="467" spans="1:7" hidden="1">
      <c r="A467" t="s">
        <v>1110</v>
      </c>
      <c r="B467" s="41">
        <v>46053</v>
      </c>
      <c r="C467" t="s">
        <v>30</v>
      </c>
      <c r="D467" t="s">
        <v>375</v>
      </c>
      <c r="E467" t="s">
        <v>25</v>
      </c>
      <c r="G467" s="2" t="s">
        <v>1111</v>
      </c>
    </row>
    <row r="468" spans="1:7" hidden="1">
      <c r="A468" t="s">
        <v>1112</v>
      </c>
      <c r="B468" s="41">
        <v>46053</v>
      </c>
      <c r="C468" t="s">
        <v>30</v>
      </c>
      <c r="D468" t="s">
        <v>1375</v>
      </c>
      <c r="E468" t="s">
        <v>24</v>
      </c>
      <c r="G468" s="2" t="s">
        <v>1113</v>
      </c>
    </row>
    <row r="469" spans="1:7" hidden="1">
      <c r="A469" t="s">
        <v>1114</v>
      </c>
      <c r="B469" s="41">
        <v>46053</v>
      </c>
      <c r="C469" t="s">
        <v>30</v>
      </c>
      <c r="D469" t="s">
        <v>494</v>
      </c>
      <c r="E469" t="s">
        <v>22</v>
      </c>
      <c r="G469" t="s">
        <v>1115</v>
      </c>
    </row>
    <row r="470" spans="1:7" hidden="1">
      <c r="A470" t="s">
        <v>1116</v>
      </c>
      <c r="B470" s="41">
        <v>46053</v>
      </c>
      <c r="C470" t="s">
        <v>30</v>
      </c>
      <c r="D470" t="s">
        <v>494</v>
      </c>
      <c r="E470" t="s">
        <v>22</v>
      </c>
      <c r="G470" t="s">
        <v>1073</v>
      </c>
    </row>
    <row r="471" spans="1:7" hidden="1">
      <c r="A471" t="s">
        <v>1117</v>
      </c>
      <c r="B471" s="41">
        <v>46053</v>
      </c>
      <c r="C471" t="s">
        <v>30</v>
      </c>
      <c r="D471" t="s">
        <v>494</v>
      </c>
      <c r="E471" t="s">
        <v>22</v>
      </c>
      <c r="G471" t="s">
        <v>1097</v>
      </c>
    </row>
    <row r="472" spans="1:7" hidden="1">
      <c r="A472" t="s">
        <v>1118</v>
      </c>
      <c r="B472" s="41">
        <v>46053</v>
      </c>
      <c r="C472" t="s">
        <v>30</v>
      </c>
      <c r="D472" s="73" t="s">
        <v>885</v>
      </c>
      <c r="E472" t="s">
        <v>22</v>
      </c>
      <c r="G472" t="s">
        <v>1073</v>
      </c>
    </row>
    <row r="473" spans="1:7" hidden="1">
      <c r="A473" t="s">
        <v>1119</v>
      </c>
      <c r="B473" s="41">
        <v>46053</v>
      </c>
      <c r="C473" t="s">
        <v>30</v>
      </c>
      <c r="D473" s="73" t="s">
        <v>885</v>
      </c>
      <c r="E473" t="s">
        <v>22</v>
      </c>
      <c r="G473" t="s">
        <v>1073</v>
      </c>
    </row>
    <row r="474" spans="1:7" hidden="1">
      <c r="A474" t="s">
        <v>1120</v>
      </c>
      <c r="B474" s="41">
        <v>46053</v>
      </c>
      <c r="C474" t="s">
        <v>30</v>
      </c>
      <c r="D474" t="s">
        <v>1315</v>
      </c>
      <c r="E474" t="s">
        <v>25</v>
      </c>
      <c r="G474" s="2" t="s">
        <v>1121</v>
      </c>
    </row>
    <row r="475" spans="1:7" hidden="1">
      <c r="A475" t="s">
        <v>1122</v>
      </c>
      <c r="B475" s="41">
        <v>46053</v>
      </c>
      <c r="C475" t="s">
        <v>30</v>
      </c>
      <c r="D475" s="73" t="s">
        <v>885</v>
      </c>
      <c r="E475" t="s">
        <v>22</v>
      </c>
      <c r="G475" t="s">
        <v>1123</v>
      </c>
    </row>
    <row r="476" spans="1:7" hidden="1">
      <c r="A476" t="s">
        <v>1124</v>
      </c>
      <c r="B476" s="41">
        <v>46053</v>
      </c>
      <c r="C476" t="s">
        <v>30</v>
      </c>
      <c r="D476" t="s">
        <v>494</v>
      </c>
      <c r="E476" t="s">
        <v>22</v>
      </c>
      <c r="G476" t="s">
        <v>1073</v>
      </c>
    </row>
    <row r="477" spans="1:7" hidden="1">
      <c r="A477" t="s">
        <v>1125</v>
      </c>
      <c r="B477" s="41">
        <v>46053</v>
      </c>
      <c r="C477" t="s">
        <v>30</v>
      </c>
      <c r="D477" t="s">
        <v>494</v>
      </c>
      <c r="E477" t="s">
        <v>22</v>
      </c>
      <c r="G477" t="s">
        <v>926</v>
      </c>
    </row>
    <row r="478" spans="1:7" hidden="1">
      <c r="A478" t="s">
        <v>1126</v>
      </c>
      <c r="B478" s="41">
        <v>46053</v>
      </c>
      <c r="C478" t="s">
        <v>30</v>
      </c>
      <c r="D478" t="s">
        <v>494</v>
      </c>
      <c r="E478" t="s">
        <v>22</v>
      </c>
      <c r="G478" t="s">
        <v>1135</v>
      </c>
    </row>
    <row r="479" spans="1:7" hidden="1">
      <c r="A479" t="s">
        <v>1127</v>
      </c>
      <c r="B479" s="41">
        <v>46053</v>
      </c>
      <c r="C479" t="s">
        <v>299</v>
      </c>
      <c r="D479" t="s">
        <v>153</v>
      </c>
      <c r="E479" t="s">
        <v>22</v>
      </c>
      <c r="G479" s="2" t="s">
        <v>1128</v>
      </c>
    </row>
    <row r="480" spans="1:7" hidden="1">
      <c r="A480" t="s">
        <v>1129</v>
      </c>
      <c r="B480" s="41">
        <v>46053</v>
      </c>
      <c r="C480" t="s">
        <v>30</v>
      </c>
      <c r="D480" t="s">
        <v>1306</v>
      </c>
      <c r="E480" t="s">
        <v>22</v>
      </c>
      <c r="G480" s="2" t="s">
        <v>1035</v>
      </c>
    </row>
    <row r="481" spans="1:7" hidden="1">
      <c r="A481" t="s">
        <v>1130</v>
      </c>
      <c r="B481" s="41">
        <v>46053</v>
      </c>
      <c r="C481" t="s">
        <v>35</v>
      </c>
      <c r="D481" t="s">
        <v>309</v>
      </c>
      <c r="E481" t="s">
        <v>24</v>
      </c>
    </row>
    <row r="482" spans="1:7" hidden="1">
      <c r="A482" t="s">
        <v>1131</v>
      </c>
      <c r="B482" s="41">
        <v>46053</v>
      </c>
      <c r="C482" t="s">
        <v>30</v>
      </c>
      <c r="D482" t="s">
        <v>473</v>
      </c>
      <c r="E482" t="s">
        <v>25</v>
      </c>
      <c r="G482" t="s">
        <v>1132</v>
      </c>
    </row>
    <row r="483" spans="1:7" hidden="1">
      <c r="A483" t="s">
        <v>1134</v>
      </c>
      <c r="B483" s="41">
        <v>46053</v>
      </c>
      <c r="C483" t="s">
        <v>30</v>
      </c>
      <c r="D483" t="s">
        <v>153</v>
      </c>
      <c r="E483" t="s">
        <v>22</v>
      </c>
      <c r="G483" s="2" t="s">
        <v>951</v>
      </c>
    </row>
    <row r="484" spans="1:7" hidden="1">
      <c r="A484" t="s">
        <v>1136</v>
      </c>
      <c r="B484" s="41">
        <v>46053</v>
      </c>
      <c r="C484" t="s">
        <v>30</v>
      </c>
      <c r="D484" t="s">
        <v>1308</v>
      </c>
      <c r="E484" t="s">
        <v>22</v>
      </c>
      <c r="G484" s="2" t="s">
        <v>949</v>
      </c>
    </row>
    <row r="485" spans="1:7" hidden="1">
      <c r="A485" t="s">
        <v>1137</v>
      </c>
      <c r="B485" s="41">
        <v>46053</v>
      </c>
      <c r="C485" t="s">
        <v>30</v>
      </c>
      <c r="D485" t="s">
        <v>1304</v>
      </c>
      <c r="E485" t="s">
        <v>22</v>
      </c>
      <c r="G485" s="2" t="s">
        <v>954</v>
      </c>
    </row>
    <row r="486" spans="1:7" hidden="1">
      <c r="A486" t="s">
        <v>1139</v>
      </c>
      <c r="B486" s="41">
        <v>46053</v>
      </c>
      <c r="C486" t="s">
        <v>30</v>
      </c>
      <c r="D486" t="s">
        <v>1338</v>
      </c>
      <c r="E486" t="s">
        <v>22</v>
      </c>
      <c r="G486" s="2" t="s">
        <v>1140</v>
      </c>
    </row>
    <row r="487" spans="1:7" hidden="1">
      <c r="A487" t="s">
        <v>1141</v>
      </c>
      <c r="B487" s="41">
        <v>46053</v>
      </c>
      <c r="C487" t="s">
        <v>37</v>
      </c>
      <c r="D487" t="s">
        <v>392</v>
      </c>
      <c r="E487" t="s">
        <v>25</v>
      </c>
      <c r="G487" t="s">
        <v>1142</v>
      </c>
    </row>
    <row r="488" spans="1:7" hidden="1">
      <c r="A488" t="s">
        <v>1145</v>
      </c>
      <c r="B488" s="41">
        <v>46053</v>
      </c>
      <c r="C488" t="s">
        <v>30</v>
      </c>
      <c r="D488" t="s">
        <v>1338</v>
      </c>
      <c r="E488" t="s">
        <v>22</v>
      </c>
      <c r="G488" s="2" t="s">
        <v>1135</v>
      </c>
    </row>
    <row r="489" spans="1:7" hidden="1">
      <c r="A489" t="s">
        <v>1146</v>
      </c>
      <c r="B489" s="41">
        <v>46053</v>
      </c>
      <c r="C489" t="s">
        <v>30</v>
      </c>
      <c r="D489" t="s">
        <v>1308</v>
      </c>
      <c r="E489" t="s">
        <v>22</v>
      </c>
      <c r="G489" s="2" t="s">
        <v>984</v>
      </c>
    </row>
    <row r="490" spans="1:7" hidden="1">
      <c r="A490" t="s">
        <v>1370</v>
      </c>
      <c r="B490" s="41">
        <v>46053</v>
      </c>
      <c r="C490" t="s">
        <v>30</v>
      </c>
      <c r="D490" t="s">
        <v>1372</v>
      </c>
      <c r="E490" t="s">
        <v>22</v>
      </c>
      <c r="G490" s="2" t="s">
        <v>984</v>
      </c>
    </row>
    <row r="491" spans="1:7" hidden="1">
      <c r="A491" t="s">
        <v>1371</v>
      </c>
      <c r="B491" s="41">
        <v>46053</v>
      </c>
      <c r="C491" t="s">
        <v>30</v>
      </c>
      <c r="D491" t="s">
        <v>1338</v>
      </c>
      <c r="E491" t="s">
        <v>22</v>
      </c>
      <c r="G491" s="2" t="s">
        <v>984</v>
      </c>
    </row>
    <row r="492" spans="1:7" hidden="1">
      <c r="A492" t="s">
        <v>1148</v>
      </c>
      <c r="B492" s="41">
        <v>46053</v>
      </c>
      <c r="C492" t="s">
        <v>30</v>
      </c>
      <c r="D492" t="s">
        <v>1338</v>
      </c>
      <c r="E492" t="s">
        <v>22</v>
      </c>
      <c r="G492" s="2" t="s">
        <v>1009</v>
      </c>
    </row>
    <row r="493" spans="1:7" hidden="1">
      <c r="A493" t="s">
        <v>1355</v>
      </c>
      <c r="B493" s="41">
        <v>46053</v>
      </c>
      <c r="C493" t="s">
        <v>299</v>
      </c>
      <c r="D493" t="s">
        <v>364</v>
      </c>
      <c r="E493" t="s">
        <v>24</v>
      </c>
      <c r="G493" s="2" t="s">
        <v>431</v>
      </c>
    </row>
    <row r="494" spans="1:7" hidden="1">
      <c r="A494" t="s">
        <v>1149</v>
      </c>
      <c r="B494" s="41">
        <v>46053</v>
      </c>
      <c r="C494" t="s">
        <v>35</v>
      </c>
      <c r="D494" t="s">
        <v>364</v>
      </c>
      <c r="E494" t="s">
        <v>24</v>
      </c>
      <c r="G494" s="2" t="s">
        <v>431</v>
      </c>
    </row>
    <row r="495" spans="1:7" hidden="1">
      <c r="A495" t="s">
        <v>1359</v>
      </c>
      <c r="B495" s="41">
        <v>46053</v>
      </c>
      <c r="C495" t="s">
        <v>30</v>
      </c>
      <c r="D495" t="s">
        <v>364</v>
      </c>
      <c r="E495" t="s">
        <v>24</v>
      </c>
      <c r="G495" s="2" t="s">
        <v>431</v>
      </c>
    </row>
    <row r="496" spans="1:7" s="98" customFormat="1" hidden="1">
      <c r="A496" s="98" t="s">
        <v>1150</v>
      </c>
      <c r="B496" s="99">
        <v>46053</v>
      </c>
      <c r="C496" s="98" t="s">
        <v>35</v>
      </c>
      <c r="D496" s="98" t="s">
        <v>1303</v>
      </c>
      <c r="E496" s="98" t="s">
        <v>158</v>
      </c>
      <c r="G496" s="98" t="s">
        <v>390</v>
      </c>
    </row>
    <row r="497" spans="1:7" hidden="1">
      <c r="A497" t="s">
        <v>1151</v>
      </c>
      <c r="B497" s="41">
        <v>46053</v>
      </c>
      <c r="C497" t="s">
        <v>30</v>
      </c>
      <c r="D497" t="s">
        <v>885</v>
      </c>
      <c r="E497" t="s">
        <v>22</v>
      </c>
      <c r="G497" t="s">
        <v>1068</v>
      </c>
    </row>
    <row r="498" spans="1:7" hidden="1">
      <c r="A498" t="s">
        <v>1152</v>
      </c>
      <c r="B498" s="41">
        <v>46053</v>
      </c>
      <c r="C498" t="s">
        <v>30</v>
      </c>
      <c r="D498" t="s">
        <v>473</v>
      </c>
      <c r="E498" t="s">
        <v>25</v>
      </c>
      <c r="G498" t="s">
        <v>1132</v>
      </c>
    </row>
    <row r="499" spans="1:7" hidden="1">
      <c r="A499" t="s">
        <v>1153</v>
      </c>
      <c r="B499" s="41">
        <v>46053</v>
      </c>
      <c r="C499" t="s">
        <v>33</v>
      </c>
      <c r="D499" t="s">
        <v>893</v>
      </c>
      <c r="E499" t="s">
        <v>24</v>
      </c>
      <c r="G499" t="s">
        <v>1154</v>
      </c>
    </row>
    <row r="500" spans="1:7" s="98" customFormat="1" hidden="1">
      <c r="A500" s="98" t="s">
        <v>1155</v>
      </c>
      <c r="B500" s="99">
        <v>46053</v>
      </c>
      <c r="C500" s="98" t="s">
        <v>35</v>
      </c>
      <c r="D500" s="98" t="s">
        <v>1303</v>
      </c>
      <c r="E500" s="98" t="s">
        <v>158</v>
      </c>
      <c r="G500" s="98" t="s">
        <v>390</v>
      </c>
    </row>
  </sheetData>
  <phoneticPr fontId="5" type="noConversion"/>
  <dataValidations count="2">
    <dataValidation type="list" allowBlank="1" showInputMessage="1" showErrorMessage="1" sqref="C2:C500" xr:uid="{2A9839A0-BEAC-420B-BAC2-7B57A3D95195}">
      <formula1>INDIRECT("config_div[Id]")</formula1>
    </dataValidation>
    <dataValidation type="list" allowBlank="1" showInputMessage="1" showErrorMessage="1" sqref="F443 E2:E500" xr:uid="{50238286-9FDA-4270-A137-4DEDC07F7916}">
      <formula1>INDIRECT("config_IS[Node]")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888"/>
  <sheetViews>
    <sheetView zoomScale="110" zoomScaleNormal="110" workbookViewId="0">
      <pane ySplit="1" topLeftCell="A261" activePane="bottomLeft" state="frozen"/>
      <selection pane="bottomLeft" activeCell="H892" sqref="H892"/>
    </sheetView>
  </sheetViews>
  <sheetFormatPr defaultRowHeight="13.8"/>
  <cols>
    <col min="1" max="1" width="6.88671875" customWidth="1"/>
    <col min="2" max="2" width="9.6640625" customWidth="1"/>
    <col min="3" max="3" width="7.33203125" customWidth="1"/>
    <col min="4" max="4" width="9.6640625" customWidth="1"/>
    <col min="5" max="5" width="10.109375" customWidth="1"/>
    <col min="6" max="6" width="8.33203125" customWidth="1"/>
    <col min="7" max="7" width="12" customWidth="1"/>
    <col min="8" max="8" width="15.33203125" customWidth="1"/>
    <col min="9" max="9" width="9.5546875" customWidth="1"/>
    <col min="10" max="10" width="13.109375" customWidth="1"/>
    <col min="11" max="11" width="5.33203125" customWidth="1"/>
    <col min="12" max="12" width="7.44140625" customWidth="1"/>
    <col min="13" max="13" width="10" customWidth="1"/>
    <col min="14" max="15" width="8.109375" customWidth="1"/>
    <col min="16" max="16" width="14.33203125" customWidth="1"/>
    <col min="17" max="17" width="15.88671875" bestFit="1" customWidth="1"/>
    <col min="18" max="18" width="10.44140625" customWidth="1"/>
    <col min="19" max="19" width="9.33203125" customWidth="1"/>
    <col min="20" max="20" width="5.33203125" customWidth="1"/>
    <col min="21" max="21" width="6.88671875" customWidth="1"/>
  </cols>
  <sheetData>
    <row r="1" spans="1:21">
      <c r="A1" s="5" t="s">
        <v>42</v>
      </c>
      <c r="B1" s="5" t="s">
        <v>43</v>
      </c>
      <c r="C1" s="5" t="s">
        <v>39</v>
      </c>
      <c r="D1" s="5" t="s">
        <v>40</v>
      </c>
      <c r="E1" s="5" t="s">
        <v>124</v>
      </c>
      <c r="F1" s="5" t="s">
        <v>8</v>
      </c>
      <c r="G1" s="5" t="s">
        <v>44</v>
      </c>
      <c r="H1" s="5" t="s">
        <v>45</v>
      </c>
      <c r="I1" s="5" t="s">
        <v>47</v>
      </c>
      <c r="J1" s="5" t="s">
        <v>46</v>
      </c>
      <c r="K1" s="5" t="s">
        <v>48</v>
      </c>
      <c r="L1" s="5" t="s">
        <v>49</v>
      </c>
      <c r="M1" s="5" t="s">
        <v>50</v>
      </c>
      <c r="N1" s="5" t="s">
        <v>41</v>
      </c>
      <c r="O1" s="5" t="s">
        <v>51</v>
      </c>
      <c r="P1" s="5" t="s">
        <v>185</v>
      </c>
      <c r="Q1" s="5" t="s">
        <v>184</v>
      </c>
      <c r="R1" s="5" t="s">
        <v>190</v>
      </c>
      <c r="S1" s="5" t="s">
        <v>296</v>
      </c>
      <c r="T1" s="5" t="s">
        <v>317</v>
      </c>
      <c r="U1" s="5" t="s">
        <v>292</v>
      </c>
    </row>
    <row r="2" spans="1:21" hidden="1">
      <c r="A2" s="10" t="s">
        <v>240</v>
      </c>
      <c r="B2" s="6">
        <f>_xlfn.XLOOKUP(Jnl[[#This Row],[TrxId]], Trx[Id], Trx[Date],,0)</f>
        <v>46022</v>
      </c>
      <c r="C2" s="6" t="str">
        <f>_xlfn.XLOOKUP(Jnl[[#This Row],[TrxId]], Trx[Id], Trx[Division],,0)</f>
        <v>Ctrl</v>
      </c>
      <c r="D2" s="6" t="str">
        <f>_xlfn.XLOOKUP(Jnl[[#This Row],[TrxId]], Trx[Id], Trx[Action],,0)</f>
        <v>结转</v>
      </c>
      <c r="E2" s="27" t="s">
        <v>82</v>
      </c>
      <c r="F2" s="10" t="s">
        <v>12</v>
      </c>
      <c r="G2" s="10" t="s">
        <v>52</v>
      </c>
      <c r="H2" s="20">
        <v>1982899.24</v>
      </c>
      <c r="I2" s="4" t="b">
        <f>AND(Jnl[[#This Row],[TrxId]]&lt;&gt;"",Jnl[[#This Row],[Acct]]&lt;&gt;"",Jnl[[#This Row],[Item]]&lt;&gt;"",ISNUMBER(Jnl[[#This Row],[Bal]]))</f>
        <v>1</v>
      </c>
      <c r="J2" s="9">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t="str">
        <f>IF(Jnl[[#This Row],[TrxDate]]&lt;=stmt_BS_date_end, "In", "Out")</f>
        <v>In</v>
      </c>
      <c r="U2" t="str">
        <f>IF(Jnl[[#This Row],[TrxDate]]&lt;debug_date_start, "prior", IF(Jnl[[#This Row],[TrxDate]]&gt;debug_date_end, "post", "curr"))</f>
        <v>prior</v>
      </c>
    </row>
    <row r="3" spans="1:21" s="53" customFormat="1" hidden="1">
      <c r="A3" s="47" t="s">
        <v>240</v>
      </c>
      <c r="B3" s="48">
        <f>_xlfn.XLOOKUP(Jnl[[#This Row],[TrxId]], Trx[Id], Trx[Date],,0)</f>
        <v>46022</v>
      </c>
      <c r="C3" s="48" t="str">
        <f>_xlfn.XLOOKUP(Jnl[[#This Row],[TrxId]], Trx[Id], Trx[Division],,0)</f>
        <v>Ctrl</v>
      </c>
      <c r="D3" s="48" t="str">
        <f>_xlfn.XLOOKUP(Jnl[[#This Row],[TrxId]], Trx[Id], Trx[Action],,0)</f>
        <v>结转</v>
      </c>
      <c r="E3" s="49" t="s">
        <v>95</v>
      </c>
      <c r="F3" s="47" t="s">
        <v>12</v>
      </c>
      <c r="G3" s="47" t="s">
        <v>91</v>
      </c>
      <c r="H3" s="50">
        <v>1238274.1000000001</v>
      </c>
      <c r="I3" s="51" t="b">
        <f>AND(Jnl[[#This Row],[TrxId]]&lt;&gt;"",Jnl[[#This Row],[Acct]]&lt;&gt;"",Jnl[[#This Row],[Item]]&lt;&gt;"",ISNUMBER(Jnl[[#This Row],[Bal]]))</f>
        <v>1</v>
      </c>
      <c r="J3" s="52">
        <f>IF(Jnl[[#This Row],[BSLv0]]="A",1,-1)*Jnl[[#This Row],[Bal]]</f>
        <v>1238274.1000000001</v>
      </c>
      <c r="K3" s="53" t="str">
        <f>_xlfn.XLOOKUP(Jnl[[#This Row],[Acct]], config_BS[Acct], config_BS[Lv0],,0)</f>
        <v>A</v>
      </c>
      <c r="L3" s="53" t="str">
        <f>_xlfn.XLOOKUP(Jnl[[#This Row],[Acct]], config_BS[Acct], config_BS[Lv1],,0)</f>
        <v>Assets</v>
      </c>
      <c r="M3" s="53" t="str">
        <f>_xlfn.XLOOKUP(Jnl[[#This Row],[Acct]], config_BS[Acct], config_BS[Lv2],,0)</f>
        <v>Cash alike</v>
      </c>
      <c r="N3" s="53" t="str">
        <f>_xlfn.XLOOKUP(Jnl[[#This Row],[TrxId]], Trx[Id], Trx[IncNode], ,0)</f>
        <v>Other</v>
      </c>
      <c r="O3" s="53" t="str">
        <f>_xlfn.XLOOKUP(Jnl[[#This Row],[IncNode]], config_IS[Node], config_IS[Type],,0)</f>
        <v>Non-Op</v>
      </c>
      <c r="P3" s="53" t="str">
        <f>_xlfn.XLOOKUP(Jnl[[#This Row],[BSLv2]], dict[Key], dict[Name],,0)</f>
        <v>0.现金及类似</v>
      </c>
      <c r="Q3" s="53" t="str">
        <f>_xlfn.XLOOKUP(Jnl[[#This Row],[Acct]], dict[Key], dict[Name],,0)</f>
        <v>银行</v>
      </c>
      <c r="R3" s="53" t="str">
        <f>_xlfn.XLOOKUP(Jnl[[#This Row],[Vehicle]],config_vehicle[Id], config_vehicle[Name],,0)</f>
        <v>创业园-琦</v>
      </c>
      <c r="S3" s="53" t="str">
        <f>_xlfn.XLOOKUP(Jnl[[#This Row],[Division]],config_div[Id], config_div[Name],,0)</f>
        <v>内控合规</v>
      </c>
      <c r="T3" s="53" t="str">
        <f>IF(Jnl[[#This Row],[TrxDate]]&lt;=stmt_BS_date_end, "In", "Out")</f>
        <v>In</v>
      </c>
      <c r="U3" s="53" t="str">
        <f>IF(Jnl[[#This Row],[TrxDate]]&lt;debug_date_start, "prior", IF(Jnl[[#This Row],[TrxDate]]&gt;debug_date_end, "post", "curr"))</f>
        <v>prior</v>
      </c>
    </row>
    <row r="4" spans="1:21" hidden="1">
      <c r="A4" s="10" t="s">
        <v>240</v>
      </c>
      <c r="B4" s="6">
        <f>_xlfn.XLOOKUP(Jnl[[#This Row],[TrxId]], Trx[Id], Trx[Date],,0)</f>
        <v>46022</v>
      </c>
      <c r="C4" s="6" t="str">
        <f>_xlfn.XLOOKUP(Jnl[[#This Row],[TrxId]], Trx[Id], Trx[Division],,0)</f>
        <v>Ctrl</v>
      </c>
      <c r="D4" s="6" t="str">
        <f>_xlfn.XLOOKUP(Jnl[[#This Row],[TrxId]], Trx[Id], Trx[Action],,0)</f>
        <v>结转</v>
      </c>
      <c r="E4" s="27" t="s">
        <v>87</v>
      </c>
      <c r="F4" s="10" t="s">
        <v>12</v>
      </c>
      <c r="G4" s="10" t="s">
        <v>92</v>
      </c>
      <c r="H4" s="20">
        <v>1597158.42</v>
      </c>
      <c r="I4" s="4" t="b">
        <f>AND(Jnl[[#This Row],[TrxId]]&lt;&gt;"",Jnl[[#This Row],[Acct]]&lt;&gt;"",Jnl[[#This Row],[Item]]&lt;&gt;"",ISNUMBER(Jnl[[#This Row],[Bal]]))</f>
        <v>1</v>
      </c>
      <c r="J4" s="9">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t="str">
        <f>IF(Jnl[[#This Row],[TrxDate]]&lt;=stmt_BS_date_end, "In", "Out")</f>
        <v>In</v>
      </c>
      <c r="U4" t="str">
        <f>IF(Jnl[[#This Row],[TrxDate]]&lt;debug_date_start, "prior", IF(Jnl[[#This Row],[TrxDate]]&gt;debug_date_end, "post", "curr"))</f>
        <v>prior</v>
      </c>
    </row>
    <row r="5" spans="1:21" hidden="1">
      <c r="A5" s="10" t="s">
        <v>240</v>
      </c>
      <c r="B5" s="6">
        <f>_xlfn.XLOOKUP(Jnl[[#This Row],[TrxId]], Trx[Id], Trx[Date],,0)</f>
        <v>46022</v>
      </c>
      <c r="C5" s="6" t="str">
        <f>_xlfn.XLOOKUP(Jnl[[#This Row],[TrxId]], Trx[Id], Trx[Division],,0)</f>
        <v>Ctrl</v>
      </c>
      <c r="D5" s="6" t="str">
        <f>_xlfn.XLOOKUP(Jnl[[#This Row],[TrxId]], Trx[Id], Trx[Action],,0)</f>
        <v>结转</v>
      </c>
      <c r="E5" s="27" t="s">
        <v>86</v>
      </c>
      <c r="F5" s="10" t="s">
        <v>12</v>
      </c>
      <c r="G5" s="10" t="s">
        <v>93</v>
      </c>
      <c r="H5" s="20">
        <v>2759122.91</v>
      </c>
      <c r="I5" s="4" t="b">
        <f>AND(Jnl[[#This Row],[TrxId]]&lt;&gt;"",Jnl[[#This Row],[Acct]]&lt;&gt;"",Jnl[[#This Row],[Item]]&lt;&gt;"",ISNUMBER(Jnl[[#This Row],[Bal]]))</f>
        <v>1</v>
      </c>
      <c r="J5" s="9">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t="str">
        <f>IF(Jnl[[#This Row],[TrxDate]]&lt;=stmt_BS_date_end, "In", "Out")</f>
        <v>In</v>
      </c>
      <c r="U5" t="str">
        <f>IF(Jnl[[#This Row],[TrxDate]]&lt;debug_date_start, "prior", IF(Jnl[[#This Row],[TrxDate]]&gt;debug_date_end, "post", "curr"))</f>
        <v>prior</v>
      </c>
    </row>
    <row r="6" spans="1:21" hidden="1">
      <c r="A6" s="10" t="s">
        <v>240</v>
      </c>
      <c r="B6" s="6">
        <f>_xlfn.XLOOKUP(Jnl[[#This Row],[TrxId]], Trx[Id], Trx[Date],,0)</f>
        <v>46022</v>
      </c>
      <c r="C6" s="6" t="str">
        <f>_xlfn.XLOOKUP(Jnl[[#This Row],[TrxId]], Trx[Id], Trx[Division],,0)</f>
        <v>Ctrl</v>
      </c>
      <c r="D6" s="6" t="str">
        <f>_xlfn.XLOOKUP(Jnl[[#This Row],[TrxId]], Trx[Id], Trx[Action],,0)</f>
        <v>结转</v>
      </c>
      <c r="E6" s="27" t="s">
        <v>83</v>
      </c>
      <c r="F6" s="10" t="s">
        <v>12</v>
      </c>
      <c r="G6" s="10" t="s">
        <v>96</v>
      </c>
      <c r="H6" s="20">
        <v>838646.21</v>
      </c>
      <c r="I6" s="4" t="b">
        <f>AND(Jnl[[#This Row],[TrxId]]&lt;&gt;"",Jnl[[#This Row],[Acct]]&lt;&gt;"",Jnl[[#This Row],[Item]]&lt;&gt;"",ISNUMBER(Jnl[[#This Row],[Bal]]))</f>
        <v>1</v>
      </c>
      <c r="J6" s="9">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t="str">
        <f>IF(Jnl[[#This Row],[TrxDate]]&lt;=stmt_BS_date_end, "In", "Out")</f>
        <v>In</v>
      </c>
      <c r="U6" t="str">
        <f>IF(Jnl[[#This Row],[TrxDate]]&lt;debug_date_start, "prior", IF(Jnl[[#This Row],[TrxDate]]&gt;debug_date_end, "post", "curr"))</f>
        <v>prior</v>
      </c>
    </row>
    <row r="7" spans="1:21" hidden="1">
      <c r="A7" s="10" t="s">
        <v>240</v>
      </c>
      <c r="B7" s="6">
        <f>_xlfn.XLOOKUP(Jnl[[#This Row],[TrxId]], Trx[Id], Trx[Date],,0)</f>
        <v>46022</v>
      </c>
      <c r="C7" s="6" t="str">
        <f>_xlfn.XLOOKUP(Jnl[[#This Row],[TrxId]], Trx[Id], Trx[Division],,0)</f>
        <v>Ctrl</v>
      </c>
      <c r="D7" s="6" t="str">
        <f>_xlfn.XLOOKUP(Jnl[[#This Row],[TrxId]], Trx[Id], Trx[Action],,0)</f>
        <v>结转</v>
      </c>
      <c r="E7" s="27" t="s">
        <v>83</v>
      </c>
      <c r="F7" s="10" t="s">
        <v>14</v>
      </c>
      <c r="G7" s="10" t="s">
        <v>99</v>
      </c>
      <c r="H7" s="20">
        <v>25540.15</v>
      </c>
      <c r="I7" s="4" t="b">
        <f>AND(Jnl[[#This Row],[TrxId]]&lt;&gt;"",Jnl[[#This Row],[Acct]]&lt;&gt;"",Jnl[[#This Row],[Item]]&lt;&gt;"",ISNUMBER(Jnl[[#This Row],[Bal]]))</f>
        <v>1</v>
      </c>
      <c r="J7" s="9">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t="str">
        <f>IF(Jnl[[#This Row],[TrxDate]]&lt;=stmt_BS_date_end, "In", "Out")</f>
        <v>In</v>
      </c>
      <c r="U7" t="str">
        <f>IF(Jnl[[#This Row],[TrxDate]]&lt;debug_date_start, "prior", IF(Jnl[[#This Row],[TrxDate]]&gt;debug_date_end, "post", "curr"))</f>
        <v>prior</v>
      </c>
    </row>
    <row r="8" spans="1:21" hidden="1">
      <c r="A8" s="10" t="s">
        <v>240</v>
      </c>
      <c r="B8" s="6">
        <f>_xlfn.XLOOKUP(Jnl[[#This Row],[TrxId]], Trx[Id], Trx[Date],,0)</f>
        <v>46022</v>
      </c>
      <c r="C8" s="6" t="str">
        <f>_xlfn.XLOOKUP(Jnl[[#This Row],[TrxId]], Trx[Id], Trx[Division],,0)</f>
        <v>Ctrl</v>
      </c>
      <c r="D8" s="6" t="str">
        <f>_xlfn.XLOOKUP(Jnl[[#This Row],[TrxId]], Trx[Id], Trx[Action],,0)</f>
        <v>结转</v>
      </c>
      <c r="E8" s="27" t="s">
        <v>108</v>
      </c>
      <c r="F8" s="10" t="s">
        <v>12</v>
      </c>
      <c r="G8" s="10" t="s">
        <v>97</v>
      </c>
      <c r="H8" s="20">
        <v>125030.24</v>
      </c>
      <c r="I8" s="4" t="b">
        <f>AND(Jnl[[#This Row],[TrxId]]&lt;&gt;"",Jnl[[#This Row],[Acct]]&lt;&gt;"",Jnl[[#This Row],[Item]]&lt;&gt;"",ISNUMBER(Jnl[[#This Row],[Bal]]))</f>
        <v>1</v>
      </c>
      <c r="J8" s="9">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t="str">
        <f>IF(Jnl[[#This Row],[TrxDate]]&lt;=stmt_BS_date_end, "In", "Out")</f>
        <v>In</v>
      </c>
      <c r="U8" t="str">
        <f>IF(Jnl[[#This Row],[TrxDate]]&lt;debug_date_start, "prior", IF(Jnl[[#This Row],[TrxDate]]&gt;debug_date_end, "post", "curr"))</f>
        <v>prior</v>
      </c>
    </row>
    <row r="9" spans="1:21" hidden="1">
      <c r="A9" s="10" t="s">
        <v>240</v>
      </c>
      <c r="B9" s="6">
        <f>_xlfn.XLOOKUP(Jnl[[#This Row],[TrxId]], Trx[Id], Trx[Date],,0)</f>
        <v>46022</v>
      </c>
      <c r="C9" s="6" t="str">
        <f>_xlfn.XLOOKUP(Jnl[[#This Row],[TrxId]], Trx[Id], Trx[Division],,0)</f>
        <v>Ctrl</v>
      </c>
      <c r="D9" s="6" t="str">
        <f>_xlfn.XLOOKUP(Jnl[[#This Row],[TrxId]], Trx[Id], Trx[Action],,0)</f>
        <v>结转</v>
      </c>
      <c r="E9" s="27" t="s">
        <v>108</v>
      </c>
      <c r="F9" s="10" t="s">
        <v>14</v>
      </c>
      <c r="G9" s="10" t="s">
        <v>98</v>
      </c>
      <c r="H9" s="20">
        <v>2000</v>
      </c>
      <c r="I9" s="4" t="b">
        <f>AND(Jnl[[#This Row],[TrxId]]&lt;&gt;"",Jnl[[#This Row],[Acct]]&lt;&gt;"",Jnl[[#This Row],[Item]]&lt;&gt;"",ISNUMBER(Jnl[[#This Row],[Bal]]))</f>
        <v>1</v>
      </c>
      <c r="J9" s="9">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远家花园高新分公司</v>
      </c>
      <c r="S9" t="str">
        <f>_xlfn.XLOOKUP(Jnl[[#This Row],[Division]],config_div[Id], config_div[Name],,0)</f>
        <v>内控合规</v>
      </c>
      <c r="T9" t="str">
        <f>IF(Jnl[[#This Row],[TrxDate]]&lt;=stmt_BS_date_end, "In", "Out")</f>
        <v>In</v>
      </c>
      <c r="U9" t="str">
        <f>IF(Jnl[[#This Row],[TrxDate]]&lt;debug_date_start, "prior", IF(Jnl[[#This Row],[TrxDate]]&gt;debug_date_end, "post", "curr"))</f>
        <v>prior</v>
      </c>
    </row>
    <row r="10" spans="1:21" hidden="1">
      <c r="A10" s="10" t="s">
        <v>240</v>
      </c>
      <c r="B10" s="6">
        <f>_xlfn.XLOOKUP(Jnl[[#This Row],[TrxId]], Trx[Id], Trx[Date],,0)</f>
        <v>46022</v>
      </c>
      <c r="C10" s="6" t="str">
        <f>_xlfn.XLOOKUP(Jnl[[#This Row],[TrxId]], Trx[Id], Trx[Division],,0)</f>
        <v>Ctrl</v>
      </c>
      <c r="D10" s="6" t="str">
        <f>_xlfn.XLOOKUP(Jnl[[#This Row],[TrxId]], Trx[Id], Trx[Action],,0)</f>
        <v>结转</v>
      </c>
      <c r="E10" s="27" t="s">
        <v>84</v>
      </c>
      <c r="F10" s="10" t="s">
        <v>12</v>
      </c>
      <c r="G10" s="10" t="s">
        <v>100</v>
      </c>
      <c r="H10" s="20">
        <v>1012107.86</v>
      </c>
      <c r="I10" s="4" t="b">
        <f>AND(Jnl[[#This Row],[TrxId]]&lt;&gt;"",Jnl[[#This Row],[Acct]]&lt;&gt;"",Jnl[[#This Row],[Item]]&lt;&gt;"",ISNUMBER(Jnl[[#This Row],[Bal]]))</f>
        <v>1</v>
      </c>
      <c r="J10" s="9">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t="str">
        <f>IF(Jnl[[#This Row],[TrxDate]]&lt;=stmt_BS_date_end, "In", "Out")</f>
        <v>In</v>
      </c>
      <c r="U10" t="str">
        <f>IF(Jnl[[#This Row],[TrxDate]]&lt;debug_date_start, "prior", IF(Jnl[[#This Row],[TrxDate]]&gt;debug_date_end, "post", "curr"))</f>
        <v>prior</v>
      </c>
    </row>
    <row r="11" spans="1:21" hidden="1">
      <c r="A11" s="10" t="s">
        <v>240</v>
      </c>
      <c r="B11" s="6">
        <f>_xlfn.XLOOKUP(Jnl[[#This Row],[TrxId]], Trx[Id], Trx[Date],,0)</f>
        <v>46022</v>
      </c>
      <c r="C11" s="6" t="str">
        <f>_xlfn.XLOOKUP(Jnl[[#This Row],[TrxId]], Trx[Id], Trx[Division],,0)</f>
        <v>Ctrl</v>
      </c>
      <c r="D11" s="6" t="str">
        <f>_xlfn.XLOOKUP(Jnl[[#This Row],[TrxId]], Trx[Id], Trx[Action],,0)</f>
        <v>结转</v>
      </c>
      <c r="E11" s="27" t="s">
        <v>84</v>
      </c>
      <c r="F11" s="10" t="s">
        <v>14</v>
      </c>
      <c r="G11" s="10" t="s">
        <v>101</v>
      </c>
      <c r="H11" s="20">
        <v>1304</v>
      </c>
      <c r="I11" s="4" t="b">
        <f>AND(Jnl[[#This Row],[TrxId]]&lt;&gt;"",Jnl[[#This Row],[Acct]]&lt;&gt;"",Jnl[[#This Row],[Item]]&lt;&gt;"",ISNUMBER(Jnl[[#This Row],[Bal]]))</f>
        <v>1</v>
      </c>
      <c r="J11" s="9">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米小易</v>
      </c>
      <c r="S11" t="str">
        <f>_xlfn.XLOOKUP(Jnl[[#This Row],[Division]],config_div[Id], config_div[Name],,0)</f>
        <v>内控合规</v>
      </c>
      <c r="T11" t="str">
        <f>IF(Jnl[[#This Row],[TrxDate]]&lt;=stmt_BS_date_end, "In", "Out")</f>
        <v>In</v>
      </c>
      <c r="U11" t="str">
        <f>IF(Jnl[[#This Row],[TrxDate]]&lt;debug_date_start, "prior", IF(Jnl[[#This Row],[TrxDate]]&gt;debug_date_end, "post", "curr"))</f>
        <v>prior</v>
      </c>
    </row>
    <row r="12" spans="1:21" hidden="1">
      <c r="A12" s="10" t="s">
        <v>240</v>
      </c>
      <c r="B12" s="6">
        <f>_xlfn.XLOOKUP(Jnl[[#This Row],[TrxId]], Trx[Id], Trx[Date],,0)</f>
        <v>46022</v>
      </c>
      <c r="C12" s="6" t="str">
        <f>_xlfn.XLOOKUP(Jnl[[#This Row],[TrxId]], Trx[Id], Trx[Division],,0)</f>
        <v>Ctrl</v>
      </c>
      <c r="D12" s="6" t="str">
        <f>_xlfn.XLOOKUP(Jnl[[#This Row],[TrxId]], Trx[Id], Trx[Action],,0)</f>
        <v>结转</v>
      </c>
      <c r="E12" s="27" t="s">
        <v>85</v>
      </c>
      <c r="F12" s="10" t="s">
        <v>12</v>
      </c>
      <c r="G12" s="10" t="s">
        <v>102</v>
      </c>
      <c r="H12" s="20">
        <v>174191.78</v>
      </c>
      <c r="I12" s="4" t="b">
        <f>AND(Jnl[[#This Row],[TrxId]]&lt;&gt;"",Jnl[[#This Row],[Acct]]&lt;&gt;"",Jnl[[#This Row],[Item]]&lt;&gt;"",ISNUMBER(Jnl[[#This Row],[Bal]]))</f>
        <v>1</v>
      </c>
      <c r="J12" s="9">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t="str">
        <f>IF(Jnl[[#This Row],[TrxDate]]&lt;=stmt_BS_date_end, "In", "Out")</f>
        <v>In</v>
      </c>
      <c r="U12" t="str">
        <f>IF(Jnl[[#This Row],[TrxDate]]&lt;debug_date_start, "prior", IF(Jnl[[#This Row],[TrxDate]]&gt;debug_date_end, "post", "curr"))</f>
        <v>prior</v>
      </c>
    </row>
    <row r="13" spans="1:21" hidden="1">
      <c r="A13" s="10" t="s">
        <v>240</v>
      </c>
      <c r="B13" s="6">
        <f>_xlfn.XLOOKUP(Jnl[[#This Row],[TrxId]], Trx[Id], Trx[Date],,0)</f>
        <v>46022</v>
      </c>
      <c r="C13" s="6" t="str">
        <f>_xlfn.XLOOKUP(Jnl[[#This Row],[TrxId]], Trx[Id], Trx[Division],,0)</f>
        <v>Ctrl</v>
      </c>
      <c r="D13" s="6" t="str">
        <f>_xlfn.XLOOKUP(Jnl[[#This Row],[TrxId]], Trx[Id], Trx[Action],,0)</f>
        <v>结转</v>
      </c>
      <c r="E13" s="27" t="s">
        <v>109</v>
      </c>
      <c r="F13" s="10" t="s">
        <v>12</v>
      </c>
      <c r="G13" s="10" t="s">
        <v>103</v>
      </c>
      <c r="H13" s="20">
        <v>21355.13</v>
      </c>
      <c r="I13" s="4" t="b">
        <f>AND(Jnl[[#This Row],[TrxId]]&lt;&gt;"",Jnl[[#This Row],[Acct]]&lt;&gt;"",Jnl[[#This Row],[Item]]&lt;&gt;"",ISNUMBER(Jnl[[#This Row],[Bal]]))</f>
        <v>1</v>
      </c>
      <c r="J13" s="9">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t="str">
        <f>IF(Jnl[[#This Row],[TrxDate]]&lt;=stmt_BS_date_end, "In", "Out")</f>
        <v>In</v>
      </c>
      <c r="U13" t="str">
        <f>IF(Jnl[[#This Row],[TrxDate]]&lt;debug_date_start, "prior", IF(Jnl[[#This Row],[TrxDate]]&gt;debug_date_end, "post", "curr"))</f>
        <v>prior</v>
      </c>
    </row>
    <row r="14" spans="1:21" hidden="1">
      <c r="A14" s="10" t="s">
        <v>240</v>
      </c>
      <c r="B14" s="6">
        <f>_xlfn.XLOOKUP(Jnl[[#This Row],[TrxId]], Trx[Id], Trx[Date],,0)</f>
        <v>46022</v>
      </c>
      <c r="C14" s="6" t="str">
        <f>_xlfn.XLOOKUP(Jnl[[#This Row],[TrxId]], Trx[Id], Trx[Division],,0)</f>
        <v>Ctrl</v>
      </c>
      <c r="D14" s="6" t="str">
        <f>_xlfn.XLOOKUP(Jnl[[#This Row],[TrxId]], Trx[Id], Trx[Action],,0)</f>
        <v>结转</v>
      </c>
      <c r="E14" s="27" t="s">
        <v>88</v>
      </c>
      <c r="F14" s="10" t="s">
        <v>12</v>
      </c>
      <c r="G14" s="10" t="s">
        <v>104</v>
      </c>
      <c r="H14" s="20">
        <v>143995.32</v>
      </c>
      <c r="I14" s="4" t="b">
        <f>AND(Jnl[[#This Row],[TrxId]]&lt;&gt;"",Jnl[[#This Row],[Acct]]&lt;&gt;"",Jnl[[#This Row],[Item]]&lt;&gt;"",ISNUMBER(Jnl[[#This Row],[Bal]]))</f>
        <v>1</v>
      </c>
      <c r="J14" s="9">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t="str">
        <f>IF(Jnl[[#This Row],[TrxDate]]&lt;=stmt_BS_date_end, "In", "Out")</f>
        <v>In</v>
      </c>
      <c r="U14" t="str">
        <f>IF(Jnl[[#This Row],[TrxDate]]&lt;debug_date_start, "prior", IF(Jnl[[#This Row],[TrxDate]]&gt;debug_date_end, "post", "curr"))</f>
        <v>prior</v>
      </c>
    </row>
    <row r="15" spans="1:21" hidden="1">
      <c r="A15" s="10" t="s">
        <v>240</v>
      </c>
      <c r="B15" s="6">
        <f>_xlfn.XLOOKUP(Jnl[[#This Row],[TrxId]], Trx[Id], Trx[Date],,0)</f>
        <v>46022</v>
      </c>
      <c r="C15" s="6" t="str">
        <f>_xlfn.XLOOKUP(Jnl[[#This Row],[TrxId]], Trx[Id], Trx[Division],,0)</f>
        <v>Ctrl</v>
      </c>
      <c r="D15" s="6" t="str">
        <f>_xlfn.XLOOKUP(Jnl[[#This Row],[TrxId]], Trx[Id], Trx[Action],,0)</f>
        <v>结转</v>
      </c>
      <c r="E15" s="27" t="s">
        <v>89</v>
      </c>
      <c r="F15" s="10" t="s">
        <v>12</v>
      </c>
      <c r="G15" s="10" t="s">
        <v>909</v>
      </c>
      <c r="H15" s="20">
        <v>435221.41</v>
      </c>
      <c r="I15" s="4" t="b">
        <f>AND(Jnl[[#This Row],[TrxId]]&lt;&gt;"",Jnl[[#This Row],[Acct]]&lt;&gt;"",Jnl[[#This Row],[Item]]&lt;&gt;"",ISNUMBER(Jnl[[#This Row],[Bal]]))</f>
        <v>1</v>
      </c>
      <c r="J15" s="9">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小月号</v>
      </c>
      <c r="S15" t="str">
        <f>_xlfn.XLOOKUP(Jnl[[#This Row],[Division]],config_div[Id], config_div[Name],,0)</f>
        <v>内控合规</v>
      </c>
      <c r="T15" t="str">
        <f>IF(Jnl[[#This Row],[TrxDate]]&lt;=stmt_BS_date_end, "In", "Out")</f>
        <v>In</v>
      </c>
      <c r="U15" t="str">
        <f>IF(Jnl[[#This Row],[TrxDate]]&lt;debug_date_start, "prior", IF(Jnl[[#This Row],[TrxDate]]&gt;debug_date_end, "post", "curr"))</f>
        <v>prior</v>
      </c>
    </row>
    <row r="16" spans="1:21" hidden="1">
      <c r="A16" s="10" t="s">
        <v>240</v>
      </c>
      <c r="B16" s="6">
        <f>_xlfn.XLOOKUP(Jnl[[#This Row],[TrxId]], Trx[Id], Trx[Date],,0)</f>
        <v>46022</v>
      </c>
      <c r="C16" s="6" t="str">
        <f>_xlfn.XLOOKUP(Jnl[[#This Row],[TrxId]], Trx[Id], Trx[Division],,0)</f>
        <v>Ctrl</v>
      </c>
      <c r="D16" s="6" t="str">
        <f>_xlfn.XLOOKUP(Jnl[[#This Row],[TrxId]], Trx[Id], Trx[Action],,0)</f>
        <v>结转</v>
      </c>
      <c r="E16" s="27" t="s">
        <v>89</v>
      </c>
      <c r="F16" s="10" t="s">
        <v>12</v>
      </c>
      <c r="G16" s="10" t="s">
        <v>910</v>
      </c>
      <c r="H16" s="20">
        <v>12977.6</v>
      </c>
      <c r="I16" s="4" t="b">
        <f>AND(Jnl[[#This Row],[TrxId]]&lt;&gt;"",Jnl[[#This Row],[Acct]]&lt;&gt;"",Jnl[[#This Row],[Item]]&lt;&gt;"",ISNUMBER(Jnl[[#This Row],[Bal]]))</f>
        <v>1</v>
      </c>
      <c r="J16" s="9">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t="str">
        <f>IF(Jnl[[#This Row],[TrxDate]]&lt;=stmt_BS_date_end, "In", "Out")</f>
        <v>In</v>
      </c>
      <c r="U16" t="str">
        <f>IF(Jnl[[#This Row],[TrxDate]]&lt;debug_date_start, "prior", IF(Jnl[[#This Row],[TrxDate]]&gt;debug_date_end, "post", "curr"))</f>
        <v>prior</v>
      </c>
    </row>
    <row r="17" spans="1:21" hidden="1">
      <c r="A17" s="10" t="s">
        <v>240</v>
      </c>
      <c r="B17" s="6">
        <f>_xlfn.XLOOKUP(Jnl[[#This Row],[TrxId]], Trx[Id], Trx[Date],,0)</f>
        <v>46022</v>
      </c>
      <c r="C17" s="6" t="str">
        <f>_xlfn.XLOOKUP(Jnl[[#This Row],[TrxId]], Trx[Id], Trx[Division],,0)</f>
        <v>Ctrl</v>
      </c>
      <c r="D17" s="6" t="str">
        <f>_xlfn.XLOOKUP(Jnl[[#This Row],[TrxId]], Trx[Id], Trx[Action],,0)</f>
        <v>结转</v>
      </c>
      <c r="E17" s="27" t="s">
        <v>90</v>
      </c>
      <c r="F17" s="10" t="s">
        <v>12</v>
      </c>
      <c r="G17" s="10" t="s">
        <v>105</v>
      </c>
      <c r="H17" s="20">
        <v>30900.25</v>
      </c>
      <c r="I17" s="4" t="b">
        <f>AND(Jnl[[#This Row],[TrxId]]&lt;&gt;"",Jnl[[#This Row],[Acct]]&lt;&gt;"",Jnl[[#This Row],[Item]]&lt;&gt;"",ISNUMBER(Jnl[[#This Row],[Bal]]))</f>
        <v>1</v>
      </c>
      <c r="J17" s="9">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t="str">
        <f>IF(Jnl[[#This Row],[TrxDate]]&lt;=stmt_BS_date_end, "In", "Out")</f>
        <v>In</v>
      </c>
      <c r="U17" t="str">
        <f>IF(Jnl[[#This Row],[TrxDate]]&lt;debug_date_start, "prior", IF(Jnl[[#This Row],[TrxDate]]&gt;debug_date_end, "post", "curr"))</f>
        <v>prior</v>
      </c>
    </row>
    <row r="18" spans="1:21" hidden="1">
      <c r="A18" s="10" t="s">
        <v>240</v>
      </c>
      <c r="B18" s="6">
        <f>_xlfn.XLOOKUP(Jnl[[#This Row],[TrxId]], Trx[Id], Trx[Date],,0)</f>
        <v>46022</v>
      </c>
      <c r="C18" s="6" t="str">
        <f>_xlfn.XLOOKUP(Jnl[[#This Row],[TrxId]], Trx[Id], Trx[Division],,0)</f>
        <v>Ctrl</v>
      </c>
      <c r="D18" s="6" t="str">
        <f>_xlfn.XLOOKUP(Jnl[[#This Row],[TrxId]], Trx[Id], Trx[Action],,0)</f>
        <v>结转</v>
      </c>
      <c r="E18" s="27" t="s">
        <v>85</v>
      </c>
      <c r="F18" s="10" t="s">
        <v>12</v>
      </c>
      <c r="G18" s="10" t="s">
        <v>106</v>
      </c>
      <c r="H18" s="20">
        <v>6917.42</v>
      </c>
      <c r="I18" s="4" t="b">
        <f>AND(Jnl[[#This Row],[TrxId]]&lt;&gt;"",Jnl[[#This Row],[Acct]]&lt;&gt;"",Jnl[[#This Row],[Item]]&lt;&gt;"",ISNUMBER(Jnl[[#This Row],[Bal]]))</f>
        <v>1</v>
      </c>
      <c r="J18" s="9">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t="str">
        <f>IF(Jnl[[#This Row],[TrxDate]]&lt;=stmt_BS_date_end, "In", "Out")</f>
        <v>In</v>
      </c>
      <c r="U18" t="str">
        <f>IF(Jnl[[#This Row],[TrxDate]]&lt;debug_date_start, "prior", IF(Jnl[[#This Row],[TrxDate]]&gt;debug_date_end, "post", "curr"))</f>
        <v>prior</v>
      </c>
    </row>
    <row r="19" spans="1:21" hidden="1">
      <c r="A19" s="10" t="s">
        <v>240</v>
      </c>
      <c r="B19" s="6">
        <f>_xlfn.XLOOKUP(Jnl[[#This Row],[TrxId]], Trx[Id], Trx[Date],,0)</f>
        <v>46022</v>
      </c>
      <c r="C19" s="6" t="str">
        <f>_xlfn.XLOOKUP(Jnl[[#This Row],[TrxId]], Trx[Id], Trx[Division],,0)</f>
        <v>Ctrl</v>
      </c>
      <c r="D19" s="6" t="str">
        <f>_xlfn.XLOOKUP(Jnl[[#This Row],[TrxId]], Trx[Id], Trx[Action],,0)</f>
        <v>结转</v>
      </c>
      <c r="E19" s="27" t="s">
        <v>109</v>
      </c>
      <c r="F19" s="10" t="s">
        <v>12</v>
      </c>
      <c r="G19" s="10" t="s">
        <v>107</v>
      </c>
      <c r="H19" s="20">
        <v>709.51</v>
      </c>
      <c r="I19" s="4" t="b">
        <f>AND(Jnl[[#This Row],[TrxId]]&lt;&gt;"",Jnl[[#This Row],[Acct]]&lt;&gt;"",Jnl[[#This Row],[Item]]&lt;&gt;"",ISNUMBER(Jnl[[#This Row],[Bal]]))</f>
        <v>1</v>
      </c>
      <c r="J19" s="9">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t="str">
        <f>IF(Jnl[[#This Row],[TrxDate]]&lt;=stmt_BS_date_end, "In", "Out")</f>
        <v>In</v>
      </c>
      <c r="U19" t="str">
        <f>IF(Jnl[[#This Row],[TrxDate]]&lt;debug_date_start, "prior", IF(Jnl[[#This Row],[TrxDate]]&gt;debug_date_end, "post", "curr"))</f>
        <v>prior</v>
      </c>
    </row>
    <row r="20" spans="1:21" hidden="1">
      <c r="A20" s="10" t="s">
        <v>240</v>
      </c>
      <c r="B20" s="6">
        <f>_xlfn.XLOOKUP(Jnl[[#This Row],[TrxId]], Trx[Id], Trx[Date],,0)</f>
        <v>46022</v>
      </c>
      <c r="C20" s="6" t="str">
        <f>_xlfn.XLOOKUP(Jnl[[#This Row],[TrxId]], Trx[Id], Trx[Division],,0)</f>
        <v>Ctrl</v>
      </c>
      <c r="D20" s="6" t="str">
        <f>_xlfn.XLOOKUP(Jnl[[#This Row],[TrxId]], Trx[Id], Trx[Action],,0)</f>
        <v>结转</v>
      </c>
      <c r="E20" s="27" t="s">
        <v>109</v>
      </c>
      <c r="F20" s="10" t="s">
        <v>14</v>
      </c>
      <c r="G20" s="10" t="s">
        <v>138</v>
      </c>
      <c r="H20" s="20">
        <v>20812</v>
      </c>
      <c r="I20" s="4" t="b">
        <f>AND(Jnl[[#This Row],[TrxId]]&lt;&gt;"",Jnl[[#This Row],[Acct]]&lt;&gt;"",Jnl[[#This Row],[Item]]&lt;&gt;"",ISNUMBER(Jnl[[#This Row],[Bal]]))</f>
        <v>1</v>
      </c>
      <c r="J20" s="9">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t="str">
        <f>IF(Jnl[[#This Row],[TrxDate]]&lt;=stmt_BS_date_end, "In", "Out")</f>
        <v>In</v>
      </c>
      <c r="U20" t="str">
        <f>IF(Jnl[[#This Row],[TrxDate]]&lt;debug_date_start, "prior", IF(Jnl[[#This Row],[TrxDate]]&gt;debug_date_end, "post", "curr"))</f>
        <v>prior</v>
      </c>
    </row>
    <row r="21" spans="1:21" hidden="1">
      <c r="A21" s="10" t="s">
        <v>240</v>
      </c>
      <c r="B21" s="6">
        <f>_xlfn.XLOOKUP(Jnl[[#This Row],[TrxId]], Trx[Id], Trx[Date],,0)</f>
        <v>46022</v>
      </c>
      <c r="C21" s="6" t="str">
        <f>_xlfn.XLOOKUP(Jnl[[#This Row],[TrxId]], Trx[Id], Trx[Division],,0)</f>
        <v>Ctrl</v>
      </c>
      <c r="D21" s="6" t="str">
        <f>_xlfn.XLOOKUP(Jnl[[#This Row],[TrxId]], Trx[Id], Trx[Action],,0)</f>
        <v>结转</v>
      </c>
      <c r="E21" s="27" t="s">
        <v>113</v>
      </c>
      <c r="F21" s="10" t="s">
        <v>12</v>
      </c>
      <c r="G21" s="10" t="s">
        <v>110</v>
      </c>
      <c r="H21" s="20">
        <v>630993.46</v>
      </c>
      <c r="I21" s="4" t="b">
        <f>AND(Jnl[[#This Row],[TrxId]]&lt;&gt;"",Jnl[[#This Row],[Acct]]&lt;&gt;"",Jnl[[#This Row],[Item]]&lt;&gt;"",ISNUMBER(Jnl[[#This Row],[Bal]]))</f>
        <v>1</v>
      </c>
      <c r="J21" s="9">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t="str">
        <f>IF(Jnl[[#This Row],[TrxDate]]&lt;=stmt_BS_date_end, "In", "Out")</f>
        <v>In</v>
      </c>
      <c r="U21" t="str">
        <f>IF(Jnl[[#This Row],[TrxDate]]&lt;debug_date_start, "prior", IF(Jnl[[#This Row],[TrxDate]]&gt;debug_date_end, "post", "curr"))</f>
        <v>prior</v>
      </c>
    </row>
    <row r="22" spans="1:21" hidden="1">
      <c r="A22" s="10" t="s">
        <v>240</v>
      </c>
      <c r="B22" s="6">
        <f>_xlfn.XLOOKUP(Jnl[[#This Row],[TrxId]], Trx[Id], Trx[Date],,0)</f>
        <v>46022</v>
      </c>
      <c r="C22" s="6" t="str">
        <f>_xlfn.XLOOKUP(Jnl[[#This Row],[TrxId]], Trx[Id], Trx[Division],,0)</f>
        <v>Ctrl</v>
      </c>
      <c r="D22" s="6" t="str">
        <f>_xlfn.XLOOKUP(Jnl[[#This Row],[TrxId]], Trx[Id], Trx[Action],,0)</f>
        <v>结转</v>
      </c>
      <c r="E22" s="27" t="s">
        <v>113</v>
      </c>
      <c r="F22" s="10" t="s">
        <v>12</v>
      </c>
      <c r="G22" s="10" t="s">
        <v>111</v>
      </c>
      <c r="H22" s="20">
        <v>20124.45</v>
      </c>
      <c r="I22" s="4" t="b">
        <f>AND(Jnl[[#This Row],[TrxId]]&lt;&gt;"",Jnl[[#This Row],[Acct]]&lt;&gt;"",Jnl[[#This Row],[Item]]&lt;&gt;"",ISNUMBER(Jnl[[#This Row],[Bal]]))</f>
        <v>1</v>
      </c>
      <c r="J22" s="9">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t="str">
        <f>IF(Jnl[[#This Row],[TrxDate]]&lt;=stmt_BS_date_end, "In", "Out")</f>
        <v>In</v>
      </c>
      <c r="U22" t="str">
        <f>IF(Jnl[[#This Row],[TrxDate]]&lt;debug_date_start, "prior", IF(Jnl[[#This Row],[TrxDate]]&gt;debug_date_end, "post", "curr"))</f>
        <v>prior</v>
      </c>
    </row>
    <row r="23" spans="1:21" hidden="1">
      <c r="A23" s="10" t="s">
        <v>240</v>
      </c>
      <c r="B23" s="6">
        <f>_xlfn.XLOOKUP(Jnl[[#This Row],[TrxId]], Trx[Id], Trx[Date],,0)</f>
        <v>46022</v>
      </c>
      <c r="C23" s="6" t="str">
        <f>_xlfn.XLOOKUP(Jnl[[#This Row],[TrxId]], Trx[Id], Trx[Division],,0)</f>
        <v>Ctrl</v>
      </c>
      <c r="D23" s="6" t="str">
        <f>_xlfn.XLOOKUP(Jnl[[#This Row],[TrxId]], Trx[Id], Trx[Action],,0)</f>
        <v>结转</v>
      </c>
      <c r="E23" s="27" t="s">
        <v>83</v>
      </c>
      <c r="F23" s="10" t="s">
        <v>115</v>
      </c>
      <c r="G23" s="10" t="s">
        <v>141</v>
      </c>
      <c r="H23" s="20">
        <v>18526.13</v>
      </c>
      <c r="I23" s="4" t="b">
        <f>AND(Jnl[[#This Row],[TrxId]]&lt;&gt;"",Jnl[[#This Row],[Acct]]&lt;&gt;"",Jnl[[#This Row],[Item]]&lt;&gt;"",ISNUMBER(Jnl[[#This Row],[Bal]]))</f>
        <v>1</v>
      </c>
      <c r="J23" s="9">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t="str">
        <f>IF(Jnl[[#This Row],[TrxDate]]&lt;=stmt_BS_date_end, "In", "Out")</f>
        <v>In</v>
      </c>
      <c r="U23" t="str">
        <f>IF(Jnl[[#This Row],[TrxDate]]&lt;debug_date_start, "prior", IF(Jnl[[#This Row],[TrxDate]]&gt;debug_date_end, "post", "curr"))</f>
        <v>prior</v>
      </c>
    </row>
    <row r="24" spans="1:21" hidden="1">
      <c r="A24" s="10" t="s">
        <v>240</v>
      </c>
      <c r="B24" s="6">
        <f>_xlfn.XLOOKUP(Jnl[[#This Row],[TrxId]], Trx[Id], Trx[Date],,0)</f>
        <v>46022</v>
      </c>
      <c r="C24" s="6" t="str">
        <f>_xlfn.XLOOKUP(Jnl[[#This Row],[TrxId]], Trx[Id], Trx[Division],,0)</f>
        <v>Ctrl</v>
      </c>
      <c r="D24" s="6" t="str">
        <f>_xlfn.XLOOKUP(Jnl[[#This Row],[TrxId]], Trx[Id], Trx[Action],,0)</f>
        <v>结转</v>
      </c>
      <c r="E24" s="27" t="s">
        <v>83</v>
      </c>
      <c r="F24" s="10" t="s">
        <v>201</v>
      </c>
      <c r="G24" s="10" t="s">
        <v>140</v>
      </c>
      <c r="H24" s="20">
        <v>2385.75</v>
      </c>
      <c r="I24" s="4" t="b">
        <f>AND(Jnl[[#This Row],[TrxId]]&lt;&gt;"",Jnl[[#This Row],[Acct]]&lt;&gt;"",Jnl[[#This Row],[Item]]&lt;&gt;"",ISNUMBER(Jnl[[#This Row],[Bal]]))</f>
        <v>1</v>
      </c>
      <c r="J24" s="9">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t="str">
        <f>IF(Jnl[[#This Row],[TrxDate]]&lt;=stmt_BS_date_end, "In", "Out")</f>
        <v>In</v>
      </c>
      <c r="U24" t="str">
        <f>IF(Jnl[[#This Row],[TrxDate]]&lt;debug_date_start, "prior", IF(Jnl[[#This Row],[TrxDate]]&gt;debug_date_end, "post", "curr"))</f>
        <v>prior</v>
      </c>
    </row>
    <row r="25" spans="1:21" hidden="1">
      <c r="A25" s="10" t="s">
        <v>240</v>
      </c>
      <c r="B25" s="6">
        <f>_xlfn.XLOOKUP(Jnl[[#This Row],[TrxId]], Trx[Id], Trx[Date],,0)</f>
        <v>46022</v>
      </c>
      <c r="C25" s="6" t="str">
        <f>_xlfn.XLOOKUP(Jnl[[#This Row],[TrxId]], Trx[Id], Trx[Division],,0)</f>
        <v>Ctrl</v>
      </c>
      <c r="D25" s="6" t="str">
        <f>_xlfn.XLOOKUP(Jnl[[#This Row],[TrxId]], Trx[Id], Trx[Action],,0)</f>
        <v>结转</v>
      </c>
      <c r="E25" s="27" t="s">
        <v>83</v>
      </c>
      <c r="F25" s="10" t="s">
        <v>195</v>
      </c>
      <c r="G25" s="10" t="s">
        <v>142</v>
      </c>
      <c r="H25" s="20">
        <v>100000</v>
      </c>
      <c r="I25" s="4" t="b">
        <f>AND(Jnl[[#This Row],[TrxId]]&lt;&gt;"",Jnl[[#This Row],[Acct]]&lt;&gt;"",Jnl[[#This Row],[Item]]&lt;&gt;"",ISNUMBER(Jnl[[#This Row],[Bal]]))</f>
        <v>1</v>
      </c>
      <c r="J25" s="9">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t="str">
        <f>IF(Jnl[[#This Row],[TrxDate]]&lt;=stmt_BS_date_end, "In", "Out")</f>
        <v>In</v>
      </c>
      <c r="U25" t="str">
        <f>IF(Jnl[[#This Row],[TrxDate]]&lt;debug_date_start, "prior", IF(Jnl[[#This Row],[TrxDate]]&gt;debug_date_end, "post", "curr"))</f>
        <v>prior</v>
      </c>
    </row>
    <row r="26" spans="1:21" hidden="1">
      <c r="A26" s="10" t="s">
        <v>240</v>
      </c>
      <c r="B26" s="6">
        <f>_xlfn.XLOOKUP(Jnl[[#This Row],[TrxId]], Trx[Id], Trx[Date],,0)</f>
        <v>46022</v>
      </c>
      <c r="C26" s="6" t="str">
        <f>_xlfn.XLOOKUP(Jnl[[#This Row],[TrxId]], Trx[Id], Trx[Division],,0)</f>
        <v>Ctrl</v>
      </c>
      <c r="D26" s="6" t="str">
        <f>_xlfn.XLOOKUP(Jnl[[#This Row],[TrxId]], Trx[Id], Trx[Action],,0)</f>
        <v>结转</v>
      </c>
      <c r="E26" s="27" t="s">
        <v>82</v>
      </c>
      <c r="F26" s="10" t="s">
        <v>115</v>
      </c>
      <c r="G26" s="10" t="s">
        <v>141</v>
      </c>
      <c r="H26" s="20">
        <v>289043.94</v>
      </c>
      <c r="I26" s="4" t="b">
        <f>AND(Jnl[[#This Row],[TrxId]]&lt;&gt;"",Jnl[[#This Row],[Acct]]&lt;&gt;"",Jnl[[#This Row],[Item]]&lt;&gt;"",ISNUMBER(Jnl[[#This Row],[Bal]]))</f>
        <v>1</v>
      </c>
      <c r="J26" s="9">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t="str">
        <f>IF(Jnl[[#This Row],[TrxDate]]&lt;=stmt_BS_date_end, "In", "Out")</f>
        <v>In</v>
      </c>
      <c r="U26" t="str">
        <f>IF(Jnl[[#This Row],[TrxDate]]&lt;debug_date_start, "prior", IF(Jnl[[#This Row],[TrxDate]]&gt;debug_date_end, "post", "curr"))</f>
        <v>prior</v>
      </c>
    </row>
    <row r="27" spans="1:21" hidden="1">
      <c r="A27" s="10" t="s">
        <v>240</v>
      </c>
      <c r="B27" s="6">
        <f>_xlfn.XLOOKUP(Jnl[[#This Row],[TrxId]], Trx[Id], Trx[Date],,0)</f>
        <v>46022</v>
      </c>
      <c r="C27" s="6" t="str">
        <f>_xlfn.XLOOKUP(Jnl[[#This Row],[TrxId]], Trx[Id], Trx[Division],,0)</f>
        <v>Ctrl</v>
      </c>
      <c r="D27" s="6" t="str">
        <f>_xlfn.XLOOKUP(Jnl[[#This Row],[TrxId]], Trx[Id], Trx[Action],,0)</f>
        <v>结转</v>
      </c>
      <c r="E27" s="27" t="s">
        <v>82</v>
      </c>
      <c r="F27" s="10" t="s">
        <v>201</v>
      </c>
      <c r="G27" s="10" t="s">
        <v>140</v>
      </c>
      <c r="H27" s="20">
        <v>24591.75</v>
      </c>
      <c r="I27" s="4" t="b">
        <f>AND(Jnl[[#This Row],[TrxId]]&lt;&gt;"",Jnl[[#This Row],[Acct]]&lt;&gt;"",Jnl[[#This Row],[Item]]&lt;&gt;"",ISNUMBER(Jnl[[#This Row],[Bal]]))</f>
        <v>1</v>
      </c>
      <c r="J27" s="9">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t="str">
        <f>IF(Jnl[[#This Row],[TrxDate]]&lt;=stmt_BS_date_end, "In", "Out")</f>
        <v>In</v>
      </c>
      <c r="U27" t="str">
        <f>IF(Jnl[[#This Row],[TrxDate]]&lt;debug_date_start, "prior", IF(Jnl[[#This Row],[TrxDate]]&gt;debug_date_end, "post", "curr"))</f>
        <v>prior</v>
      </c>
    </row>
    <row r="28" spans="1:21" hidden="1">
      <c r="A28" s="10" t="s">
        <v>240</v>
      </c>
      <c r="B28" s="6">
        <f>_xlfn.XLOOKUP(Jnl[[#This Row],[TrxId]], Trx[Id], Trx[Date],,0)</f>
        <v>46022</v>
      </c>
      <c r="C28" s="6" t="str">
        <f>_xlfn.XLOOKUP(Jnl[[#This Row],[TrxId]], Trx[Id], Trx[Division],,0)</f>
        <v>Ctrl</v>
      </c>
      <c r="D28" s="6" t="str">
        <f>_xlfn.XLOOKUP(Jnl[[#This Row],[TrxId]], Trx[Id], Trx[Action],,0)</f>
        <v>结转</v>
      </c>
      <c r="E28" s="27" t="s">
        <v>82</v>
      </c>
      <c r="F28" s="10" t="s">
        <v>195</v>
      </c>
      <c r="G28" s="10" t="s">
        <v>142</v>
      </c>
      <c r="H28" s="20">
        <v>66888.95</v>
      </c>
      <c r="I28" s="4" t="b">
        <f>AND(Jnl[[#This Row],[TrxId]]&lt;&gt;"",Jnl[[#This Row],[Acct]]&lt;&gt;"",Jnl[[#This Row],[Item]]&lt;&gt;"",ISNUMBER(Jnl[[#This Row],[Bal]]))</f>
        <v>1</v>
      </c>
      <c r="J28" s="9">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t="str">
        <f>IF(Jnl[[#This Row],[TrxDate]]&lt;=stmt_BS_date_end, "In", "Out")</f>
        <v>In</v>
      </c>
      <c r="U28" t="str">
        <f>IF(Jnl[[#This Row],[TrxDate]]&lt;debug_date_start, "prior", IF(Jnl[[#This Row],[TrxDate]]&gt;debug_date_end, "post", "curr"))</f>
        <v>prior</v>
      </c>
    </row>
    <row r="29" spans="1:21" hidden="1">
      <c r="A29" s="10" t="s">
        <v>240</v>
      </c>
      <c r="B29" s="6">
        <f>_xlfn.XLOOKUP(Jnl[[#This Row],[TrxId]], Trx[Id], Trx[Date],,0)</f>
        <v>46022</v>
      </c>
      <c r="C29" s="6" t="str">
        <f>_xlfn.XLOOKUP(Jnl[[#This Row],[TrxId]], Trx[Id], Trx[Division],,0)</f>
        <v>Ctrl</v>
      </c>
      <c r="D29" s="6" t="str">
        <f>_xlfn.XLOOKUP(Jnl[[#This Row],[TrxId]], Trx[Id], Trx[Action],,0)</f>
        <v>结转</v>
      </c>
      <c r="E29" s="27" t="s">
        <v>108</v>
      </c>
      <c r="F29" s="10" t="s">
        <v>115</v>
      </c>
      <c r="G29" s="10" t="s">
        <v>141</v>
      </c>
      <c r="H29" s="20">
        <v>4640.3</v>
      </c>
      <c r="I29" s="4" t="b">
        <f>AND(Jnl[[#This Row],[TrxId]]&lt;&gt;"",Jnl[[#This Row],[Acct]]&lt;&gt;"",Jnl[[#This Row],[Item]]&lt;&gt;"",ISNUMBER(Jnl[[#This Row],[Bal]]))</f>
        <v>1</v>
      </c>
      <c r="J29" s="9">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t="str">
        <f>IF(Jnl[[#This Row],[TrxDate]]&lt;=stmt_BS_date_end, "In", "Out")</f>
        <v>In</v>
      </c>
      <c r="U29" t="str">
        <f>IF(Jnl[[#This Row],[TrxDate]]&lt;debug_date_start, "prior", IF(Jnl[[#This Row],[TrxDate]]&gt;debug_date_end, "post", "curr"))</f>
        <v>prior</v>
      </c>
    </row>
    <row r="30" spans="1:21" hidden="1">
      <c r="A30" s="10" t="s">
        <v>240</v>
      </c>
      <c r="B30" s="6">
        <f>_xlfn.XLOOKUP(Jnl[[#This Row],[TrxId]], Trx[Id], Trx[Date],,0)</f>
        <v>46022</v>
      </c>
      <c r="C30" s="6" t="str">
        <f>_xlfn.XLOOKUP(Jnl[[#This Row],[TrxId]], Trx[Id], Trx[Division],,0)</f>
        <v>Ctrl</v>
      </c>
      <c r="D30" s="6" t="str">
        <f>_xlfn.XLOOKUP(Jnl[[#This Row],[TrxId]], Trx[Id], Trx[Action],,0)</f>
        <v>结转</v>
      </c>
      <c r="E30" s="27" t="s">
        <v>108</v>
      </c>
      <c r="F30" s="10" t="s">
        <v>201</v>
      </c>
      <c r="G30" s="10" t="s">
        <v>140</v>
      </c>
      <c r="H30" s="20">
        <v>1474.3</v>
      </c>
      <c r="I30" s="4" t="b">
        <f>AND(Jnl[[#This Row],[TrxId]]&lt;&gt;"",Jnl[[#This Row],[Acct]]&lt;&gt;"",Jnl[[#This Row],[Item]]&lt;&gt;"",ISNUMBER(Jnl[[#This Row],[Bal]]))</f>
        <v>1</v>
      </c>
      <c r="J30" s="9">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t="str">
        <f>IF(Jnl[[#This Row],[TrxDate]]&lt;=stmt_BS_date_end, "In", "Out")</f>
        <v>In</v>
      </c>
      <c r="U30" t="str">
        <f>IF(Jnl[[#This Row],[TrxDate]]&lt;debug_date_start, "prior", IF(Jnl[[#This Row],[TrxDate]]&gt;debug_date_end, "post", "curr"))</f>
        <v>prior</v>
      </c>
    </row>
    <row r="31" spans="1:21" hidden="1">
      <c r="A31" s="10" t="s">
        <v>240</v>
      </c>
      <c r="B31" s="6">
        <f>_xlfn.XLOOKUP(Jnl[[#This Row],[TrxId]], Trx[Id], Trx[Date],,0)</f>
        <v>46022</v>
      </c>
      <c r="C31" s="6" t="str">
        <f>_xlfn.XLOOKUP(Jnl[[#This Row],[TrxId]], Trx[Id], Trx[Division],,0)</f>
        <v>Ctrl</v>
      </c>
      <c r="D31" s="6" t="str">
        <f>_xlfn.XLOOKUP(Jnl[[#This Row],[TrxId]], Trx[Id], Trx[Action],,0)</f>
        <v>结转</v>
      </c>
      <c r="E31" s="27" t="s">
        <v>113</v>
      </c>
      <c r="F31" s="10" t="s">
        <v>201</v>
      </c>
      <c r="G31" s="10" t="s">
        <v>140</v>
      </c>
      <c r="H31" s="20">
        <v>3340.05</v>
      </c>
      <c r="I31" s="4" t="b">
        <f>AND(Jnl[[#This Row],[TrxId]]&lt;&gt;"",Jnl[[#This Row],[Acct]]&lt;&gt;"",Jnl[[#This Row],[Item]]&lt;&gt;"",ISNUMBER(Jnl[[#This Row],[Bal]]))</f>
        <v>1</v>
      </c>
      <c r="J31" s="9">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t="str">
        <f>IF(Jnl[[#This Row],[TrxDate]]&lt;=stmt_BS_date_end, "In", "Out")</f>
        <v>In</v>
      </c>
      <c r="U31" t="str">
        <f>IF(Jnl[[#This Row],[TrxDate]]&lt;debug_date_start, "prior", IF(Jnl[[#This Row],[TrxDate]]&gt;debug_date_end, "post", "curr"))</f>
        <v>prior</v>
      </c>
    </row>
    <row r="32" spans="1:21" hidden="1">
      <c r="A32" s="10" t="s">
        <v>240</v>
      </c>
      <c r="B32" s="6">
        <f>_xlfn.XLOOKUP(Jnl[[#This Row],[TrxId]], Trx[Id], Trx[Date],,0)</f>
        <v>46022</v>
      </c>
      <c r="C32" s="6" t="str">
        <f>_xlfn.XLOOKUP(Jnl[[#This Row],[TrxId]], Trx[Id], Trx[Division],,0)</f>
        <v>Ctrl</v>
      </c>
      <c r="D32" s="6" t="str">
        <f>_xlfn.XLOOKUP(Jnl[[#This Row],[TrxId]], Trx[Id], Trx[Action],,0)</f>
        <v>结转</v>
      </c>
      <c r="E32" s="27" t="s">
        <v>86</v>
      </c>
      <c r="F32" s="10" t="s">
        <v>201</v>
      </c>
      <c r="G32" s="10" t="s">
        <v>140</v>
      </c>
      <c r="H32" s="20">
        <v>14294.35</v>
      </c>
      <c r="I32" s="4" t="b">
        <f>AND(Jnl[[#This Row],[TrxId]]&lt;&gt;"",Jnl[[#This Row],[Acct]]&lt;&gt;"",Jnl[[#This Row],[Item]]&lt;&gt;"",ISNUMBER(Jnl[[#This Row],[Bal]]))</f>
        <v>1</v>
      </c>
      <c r="J32" s="9">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t="str">
        <f>IF(Jnl[[#This Row],[TrxDate]]&lt;=stmt_BS_date_end, "In", "Out")</f>
        <v>In</v>
      </c>
      <c r="U32" t="str">
        <f>IF(Jnl[[#This Row],[TrxDate]]&lt;debug_date_start, "prior", IF(Jnl[[#This Row],[TrxDate]]&gt;debug_date_end, "post", "curr"))</f>
        <v>prior</v>
      </c>
    </row>
    <row r="33" spans="1:21" hidden="1">
      <c r="A33" s="10" t="s">
        <v>240</v>
      </c>
      <c r="B33" s="6">
        <f>_xlfn.XLOOKUP(Jnl[[#This Row],[TrxId]], Trx[Id], Trx[Date],,0)</f>
        <v>46022</v>
      </c>
      <c r="C33" s="6" t="str">
        <f>_xlfn.XLOOKUP(Jnl[[#This Row],[TrxId]], Trx[Id], Trx[Division],,0)</f>
        <v>Ctrl</v>
      </c>
      <c r="D33" s="6" t="str">
        <f>_xlfn.XLOOKUP(Jnl[[#This Row],[TrxId]], Trx[Id], Trx[Action],,0)</f>
        <v>结转</v>
      </c>
      <c r="E33" s="27" t="s">
        <v>87</v>
      </c>
      <c r="F33" s="10" t="s">
        <v>201</v>
      </c>
      <c r="G33" s="10" t="s">
        <v>140</v>
      </c>
      <c r="H33" s="20">
        <v>1431.45</v>
      </c>
      <c r="I33" s="4" t="b">
        <f>AND(Jnl[[#This Row],[TrxId]]&lt;&gt;"",Jnl[[#This Row],[Acct]]&lt;&gt;"",Jnl[[#This Row],[Item]]&lt;&gt;"",ISNUMBER(Jnl[[#This Row],[Bal]]))</f>
        <v>1</v>
      </c>
      <c r="J33" s="9">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t="str">
        <f>IF(Jnl[[#This Row],[TrxDate]]&lt;=stmt_BS_date_end, "In", "Out")</f>
        <v>In</v>
      </c>
      <c r="U33" t="str">
        <f>IF(Jnl[[#This Row],[TrxDate]]&lt;debug_date_start, "prior", IF(Jnl[[#This Row],[TrxDate]]&gt;debug_date_end, "post", "curr"))</f>
        <v>prior</v>
      </c>
    </row>
    <row r="34" spans="1:21" hidden="1">
      <c r="A34" s="10" t="s">
        <v>240</v>
      </c>
      <c r="B34" s="6">
        <f>_xlfn.XLOOKUP(Jnl[[#This Row],[TrxId]], Trx[Id], Trx[Date],,0)</f>
        <v>46022</v>
      </c>
      <c r="C34" s="6" t="str">
        <f>_xlfn.XLOOKUP(Jnl[[#This Row],[TrxId]], Trx[Id], Trx[Division],,0)</f>
        <v>Ctrl</v>
      </c>
      <c r="D34" s="6" t="str">
        <f>_xlfn.XLOOKUP(Jnl[[#This Row],[TrxId]], Trx[Id], Trx[Action],,0)</f>
        <v>结转</v>
      </c>
      <c r="E34" s="27" t="s">
        <v>84</v>
      </c>
      <c r="F34" s="10" t="s">
        <v>201</v>
      </c>
      <c r="G34" s="10" t="s">
        <v>140</v>
      </c>
      <c r="H34" s="20">
        <v>11451.6</v>
      </c>
      <c r="I34" s="4" t="b">
        <f>AND(Jnl[[#This Row],[TrxId]]&lt;&gt;"",Jnl[[#This Row],[Acct]]&lt;&gt;"",Jnl[[#This Row],[Item]]&lt;&gt;"",ISNUMBER(Jnl[[#This Row],[Bal]]))</f>
        <v>1</v>
      </c>
      <c r="J34" s="9">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t="str">
        <f>IF(Jnl[[#This Row],[TrxDate]]&lt;=stmt_BS_date_end, "In", "Out")</f>
        <v>In</v>
      </c>
      <c r="U34" t="str">
        <f>IF(Jnl[[#This Row],[TrxDate]]&lt;debug_date_start, "prior", IF(Jnl[[#This Row],[TrxDate]]&gt;debug_date_end, "post", "curr"))</f>
        <v>prior</v>
      </c>
    </row>
    <row r="35" spans="1:21" hidden="1">
      <c r="A35" s="10" t="s">
        <v>240</v>
      </c>
      <c r="B35" s="6">
        <f>_xlfn.XLOOKUP(Jnl[[#This Row],[TrxId]], Trx[Id], Trx[Date],,0)</f>
        <v>46022</v>
      </c>
      <c r="C35" s="6" t="str">
        <f>_xlfn.XLOOKUP(Jnl[[#This Row],[TrxId]], Trx[Id], Trx[Division],,0)</f>
        <v>Ctrl</v>
      </c>
      <c r="D35" s="6" t="str">
        <f>_xlfn.XLOOKUP(Jnl[[#This Row],[TrxId]], Trx[Id], Trx[Action],,0)</f>
        <v>结转</v>
      </c>
      <c r="E35" s="27" t="s">
        <v>84</v>
      </c>
      <c r="F35" s="10" t="s">
        <v>195</v>
      </c>
      <c r="G35" s="10" t="s">
        <v>142</v>
      </c>
      <c r="H35" s="20">
        <v>4000</v>
      </c>
      <c r="I35" s="4" t="b">
        <f>AND(Jnl[[#This Row],[TrxId]]&lt;&gt;"",Jnl[[#This Row],[Acct]]&lt;&gt;"",Jnl[[#This Row],[Item]]&lt;&gt;"",ISNUMBER(Jnl[[#This Row],[Bal]]))</f>
        <v>1</v>
      </c>
      <c r="J35" s="9">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t="str">
        <f>IF(Jnl[[#This Row],[TrxDate]]&lt;=stmt_BS_date_end, "In", "Out")</f>
        <v>In</v>
      </c>
      <c r="U35" t="str">
        <f>IF(Jnl[[#This Row],[TrxDate]]&lt;debug_date_start, "prior", IF(Jnl[[#This Row],[TrxDate]]&gt;debug_date_end, "post", "curr"))</f>
        <v>prior</v>
      </c>
    </row>
    <row r="36" spans="1:21" hidden="1">
      <c r="A36" s="10" t="s">
        <v>240</v>
      </c>
      <c r="B36" s="6">
        <f>_xlfn.XLOOKUP(Jnl[[#This Row],[TrxId]], Trx[Id], Trx[Date],,0)</f>
        <v>46022</v>
      </c>
      <c r="C36" s="6" t="str">
        <f>_xlfn.XLOOKUP(Jnl[[#This Row],[TrxId]], Trx[Id], Trx[Division],,0)</f>
        <v>Ctrl</v>
      </c>
      <c r="D36" s="6" t="str">
        <f>_xlfn.XLOOKUP(Jnl[[#This Row],[TrxId]], Trx[Id], Trx[Action],,0)</f>
        <v>结转</v>
      </c>
      <c r="E36" s="27" t="s">
        <v>84</v>
      </c>
      <c r="F36" s="10" t="s">
        <v>115</v>
      </c>
      <c r="G36" s="10" t="s">
        <v>141</v>
      </c>
      <c r="H36" s="20">
        <v>12892.74</v>
      </c>
      <c r="I36" s="4" t="b">
        <f>AND(Jnl[[#This Row],[TrxId]]&lt;&gt;"",Jnl[[#This Row],[Acct]]&lt;&gt;"",Jnl[[#This Row],[Item]]&lt;&gt;"",ISNUMBER(Jnl[[#This Row],[Bal]]))</f>
        <v>1</v>
      </c>
      <c r="J36" s="9">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t="str">
        <f>IF(Jnl[[#This Row],[TrxDate]]&lt;=stmt_BS_date_end, "In", "Out")</f>
        <v>In</v>
      </c>
      <c r="U36" t="str">
        <f>IF(Jnl[[#This Row],[TrxDate]]&lt;debug_date_start, "prior", IF(Jnl[[#This Row],[TrxDate]]&gt;debug_date_end, "post", "curr"))</f>
        <v>prior</v>
      </c>
    </row>
    <row r="37" spans="1:21" hidden="1">
      <c r="A37" s="10" t="s">
        <v>240</v>
      </c>
      <c r="B37" s="6">
        <f>_xlfn.XLOOKUP(Jnl[[#This Row],[TrxId]], Trx[Id], Trx[Date],,0)</f>
        <v>46022</v>
      </c>
      <c r="C37" s="6" t="str">
        <f>_xlfn.XLOOKUP(Jnl[[#This Row],[TrxId]], Trx[Id], Trx[Division],,0)</f>
        <v>Ctrl</v>
      </c>
      <c r="D37" s="6" t="str">
        <f>_xlfn.XLOOKUP(Jnl[[#This Row],[TrxId]], Trx[Id], Trx[Action],,0)</f>
        <v>结转</v>
      </c>
      <c r="E37" s="27" t="s">
        <v>84</v>
      </c>
      <c r="F37" s="10" t="s">
        <v>192</v>
      </c>
      <c r="G37" s="10" t="s">
        <v>193</v>
      </c>
      <c r="H37" s="20">
        <v>30000</v>
      </c>
      <c r="I37" s="4" t="b">
        <f>AND(Jnl[[#This Row],[TrxId]]&lt;&gt;"",Jnl[[#This Row],[Acct]]&lt;&gt;"",Jnl[[#This Row],[Item]]&lt;&gt;"",ISNUMBER(Jnl[[#This Row],[Bal]]))</f>
        <v>1</v>
      </c>
      <c r="J37" s="9">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t="str">
        <f>IF(Jnl[[#This Row],[TrxDate]]&lt;=stmt_BS_date_end, "In", "Out")</f>
        <v>In</v>
      </c>
      <c r="U37" t="str">
        <f>IF(Jnl[[#This Row],[TrxDate]]&lt;debug_date_start, "prior", IF(Jnl[[#This Row],[TrxDate]]&gt;debug_date_end, "post", "curr"))</f>
        <v>prior</v>
      </c>
    </row>
    <row r="38" spans="1:21" hidden="1">
      <c r="A38" s="10" t="s">
        <v>240</v>
      </c>
      <c r="B38" s="6">
        <f>_xlfn.XLOOKUP(Jnl[[#This Row],[TrxId]], Trx[Id], Trx[Date],,0)</f>
        <v>46022</v>
      </c>
      <c r="C38" s="6" t="str">
        <f>_xlfn.XLOOKUP(Jnl[[#This Row],[TrxId]], Trx[Id], Trx[Division],,0)</f>
        <v>Ctrl</v>
      </c>
      <c r="D38" s="6" t="str">
        <f>_xlfn.XLOOKUP(Jnl[[#This Row],[TrxId]], Trx[Id], Trx[Action],,0)</f>
        <v>结转</v>
      </c>
      <c r="E38" s="27" t="s">
        <v>85</v>
      </c>
      <c r="F38" s="10" t="s">
        <v>115</v>
      </c>
      <c r="G38" s="10" t="s">
        <v>951</v>
      </c>
      <c r="H38" s="20">
        <v>1524.65</v>
      </c>
      <c r="I38" s="11" t="b">
        <f>AND(Jnl[[#This Row],[TrxId]]&lt;&gt;"",Jnl[[#This Row],[Acct]]&lt;&gt;"",Jnl[[#This Row],[Item]]&lt;&gt;"",ISNUMBER(Jnl[[#This Row],[Bal]]))</f>
        <v>1</v>
      </c>
      <c r="J38" s="9">
        <f>IF(Jnl[[#This Row],[BSLv0]]="A",1,-1)*Jnl[[#This Row],[Bal]]</f>
        <v>1524.65</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t="str">
        <f>IF(Jnl[[#This Row],[TrxDate]]&lt;=stmt_BS_date_end, "In", "Out")</f>
        <v>In</v>
      </c>
      <c r="U38" t="str">
        <f>IF(Jnl[[#This Row],[TrxDate]]&lt;debug_date_start, "prior", IF(Jnl[[#This Row],[TrxDate]]&gt;debug_date_end, "post", "curr"))</f>
        <v>prior</v>
      </c>
    </row>
    <row r="39" spans="1:21" hidden="1">
      <c r="A39" s="10" t="s">
        <v>240</v>
      </c>
      <c r="B39" s="6">
        <f>_xlfn.XLOOKUP(Jnl[[#This Row],[TrxId]], Trx[Id], Trx[Date],,0)</f>
        <v>46022</v>
      </c>
      <c r="C39" s="6" t="str">
        <f>_xlfn.XLOOKUP(Jnl[[#This Row],[TrxId]], Trx[Id], Trx[Division],,0)</f>
        <v>Ctrl</v>
      </c>
      <c r="D39" s="6" t="str">
        <f>_xlfn.XLOOKUP(Jnl[[#This Row],[TrxId]], Trx[Id], Trx[Action],,0)</f>
        <v>结转</v>
      </c>
      <c r="E39" s="27" t="s">
        <v>85</v>
      </c>
      <c r="F39" s="10" t="s">
        <v>115</v>
      </c>
      <c r="G39" s="10" t="s">
        <v>954</v>
      </c>
      <c r="H39" s="20">
        <v>38471.800000000003</v>
      </c>
      <c r="I39" s="11" t="b">
        <f>AND(Jnl[[#This Row],[TrxId]]&lt;&gt;"",Jnl[[#This Row],[Acct]]&lt;&gt;"",Jnl[[#This Row],[Item]]&lt;&gt;"",ISNUMBER(Jnl[[#This Row],[Bal]]))</f>
        <v>1</v>
      </c>
      <c r="J39" s="9">
        <f>IF(Jnl[[#This Row],[BSLv0]]="A",1,-1)*Jnl[[#This Row],[Bal]]</f>
        <v>38471.800000000003</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t="str">
        <f>IF(Jnl[[#This Row],[TrxDate]]&lt;=stmt_BS_date_end, "In", "Out")</f>
        <v>In</v>
      </c>
      <c r="U39" t="str">
        <f>IF(Jnl[[#This Row],[TrxDate]]&lt;debug_date_start, "prior", IF(Jnl[[#This Row],[TrxDate]]&gt;debug_date_end, "post", "curr"))</f>
        <v>prior</v>
      </c>
    </row>
    <row r="40" spans="1:21" hidden="1">
      <c r="A40" s="10" t="s">
        <v>240</v>
      </c>
      <c r="B40" s="6">
        <f>_xlfn.XLOOKUP(Jnl[[#This Row],[TrxId]], Trx[Id], Trx[Date],,0)</f>
        <v>46022</v>
      </c>
      <c r="C40" s="6" t="str">
        <f>_xlfn.XLOOKUP(Jnl[[#This Row],[TrxId]], Trx[Id], Trx[Division],,0)</f>
        <v>Ctrl</v>
      </c>
      <c r="D40" s="6" t="str">
        <f>_xlfn.XLOOKUP(Jnl[[#This Row],[TrxId]], Trx[Id], Trx[Action],,0)</f>
        <v>结转</v>
      </c>
      <c r="E40" s="27" t="s">
        <v>85</v>
      </c>
      <c r="F40" s="10" t="s">
        <v>115</v>
      </c>
      <c r="G40" s="10" t="s">
        <v>1138</v>
      </c>
      <c r="H40" s="20">
        <v>3394.82</v>
      </c>
      <c r="I40" s="11" t="b">
        <f>AND(Jnl[[#This Row],[TrxId]]&lt;&gt;"",Jnl[[#This Row],[Acct]]&lt;&gt;"",Jnl[[#This Row],[Item]]&lt;&gt;"",ISNUMBER(Jnl[[#This Row],[Bal]]))</f>
        <v>1</v>
      </c>
      <c r="J40" s="9">
        <f>IF(Jnl[[#This Row],[BSLv0]]="A",1,-1)*Jnl[[#This Row],[Bal]]</f>
        <v>3394.82</v>
      </c>
      <c r="K40" t="str">
        <f>_xlfn.XLOOKUP(Jnl[[#This Row],[Acct]], config_BS[Acct], config_BS[Lv0],,0)</f>
        <v>A</v>
      </c>
      <c r="L40" t="str">
        <f>_xlfn.XLOOKUP(Jnl[[#This Row],[Acct]], config_BS[Acct], config_BS[Lv1],,0)</f>
        <v>Assets</v>
      </c>
      <c r="M40" t="str">
        <f>_xlfn.XLOOKUP(Jnl[[#This Row],[Acct]], config_BS[Acct], config_BS[Lv2],,0)</f>
        <v>Rec-Pay</v>
      </c>
      <c r="N40" t="str">
        <f>_xlfn.XLOOKUP(Jnl[[#This Row],[TrxId]], Trx[Id], Trx[IncNode], ,0)</f>
        <v>Other</v>
      </c>
      <c r="O40" t="str">
        <f>_xlfn.XLOOKUP(Jnl[[#This Row],[IncNode]], config_IS[Node], config_IS[Type],,0)</f>
        <v>Non-Op</v>
      </c>
      <c r="P40" t="str">
        <f>_xlfn.XLOOKUP(Jnl[[#This Row],[BSLv2]], dict[Key], dict[Name],,0)</f>
        <v>1.应收-应付</v>
      </c>
      <c r="Q40" t="str">
        <f>_xlfn.XLOOKUP(Jnl[[#This Row],[Acct]], dict[Key], dict[Name],,0)</f>
        <v>应收-一般</v>
      </c>
      <c r="R40" t="str">
        <f>_xlfn.XLOOKUP(Jnl[[#This Row],[Vehicle]],config_vehicle[Id], config_vehicle[Name],,0)</f>
        <v>远家文化</v>
      </c>
      <c r="S40" t="str">
        <f>_xlfn.XLOOKUP(Jnl[[#This Row],[Division]],config_div[Id], config_div[Name],,0)</f>
        <v>内控合规</v>
      </c>
      <c r="T40" t="str">
        <f>IF(Jnl[[#This Row],[TrxDate]]&lt;=stmt_BS_date_end, "In", "Out")</f>
        <v>In</v>
      </c>
      <c r="U40" t="str">
        <f>IF(Jnl[[#This Row],[TrxDate]]&lt;debug_date_start, "prior", IF(Jnl[[#This Row],[TrxDate]]&gt;debug_date_end, "post", "curr"))</f>
        <v>prior</v>
      </c>
    </row>
    <row r="41" spans="1:21" hidden="1">
      <c r="A41" s="10" t="s">
        <v>240</v>
      </c>
      <c r="B41" s="6">
        <f>_xlfn.XLOOKUP(Jnl[[#This Row],[TrxId]], Trx[Id], Trx[Date],,0)</f>
        <v>46022</v>
      </c>
      <c r="C41" s="6" t="str">
        <f>_xlfn.XLOOKUP(Jnl[[#This Row],[TrxId]], Trx[Id], Trx[Division],,0)</f>
        <v>Ctrl</v>
      </c>
      <c r="D41" s="6" t="str">
        <f>_xlfn.XLOOKUP(Jnl[[#This Row],[TrxId]], Trx[Id], Trx[Action],,0)</f>
        <v>结转</v>
      </c>
      <c r="E41" s="27" t="s">
        <v>85</v>
      </c>
      <c r="F41" s="10" t="s">
        <v>115</v>
      </c>
      <c r="G41" s="10" t="s">
        <v>972</v>
      </c>
      <c r="H41" s="20">
        <v>9243</v>
      </c>
      <c r="I41" s="11" t="b">
        <f>AND(Jnl[[#This Row],[TrxId]]&lt;&gt;"",Jnl[[#This Row],[Acct]]&lt;&gt;"",Jnl[[#This Row],[Item]]&lt;&gt;"",ISNUMBER(Jnl[[#This Row],[Bal]]))</f>
        <v>1</v>
      </c>
      <c r="J41" s="9">
        <f>IF(Jnl[[#This Row],[BSLv0]]="A",1,-1)*Jnl[[#This Row],[Bal]]</f>
        <v>9243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远家文化</v>
      </c>
      <c r="S41" t="str">
        <f>_xlfn.XLOOKUP(Jnl[[#This Row],[Division]],config_div[Id], config_div[Name],,0)</f>
        <v>内控合规</v>
      </c>
      <c r="T41" t="str">
        <f>IF(Jnl[[#This Row],[TrxDate]]&lt;=stmt_BS_date_end, "In", "Out")</f>
        <v>In</v>
      </c>
      <c r="U41" t="str">
        <f>IF(Jnl[[#This Row],[TrxDate]]&lt;debug_date_start, "prior", IF(Jnl[[#This Row],[TrxDate]]&gt;debug_date_end, "post", "curr"))</f>
        <v>prior</v>
      </c>
    </row>
    <row r="42" spans="1:21" hidden="1">
      <c r="A42" s="10" t="s">
        <v>240</v>
      </c>
      <c r="B42" s="6">
        <f>_xlfn.XLOOKUP(Jnl[[#This Row],[TrxId]], Trx[Id], Trx[Date],,0)</f>
        <v>46022</v>
      </c>
      <c r="C42" s="6" t="str">
        <f>_xlfn.XLOOKUP(Jnl[[#This Row],[TrxId]], Trx[Id], Trx[Division],,0)</f>
        <v>Ctrl</v>
      </c>
      <c r="D42" s="6" t="str">
        <f>_xlfn.XLOOKUP(Jnl[[#This Row],[TrxId]], Trx[Id], Trx[Action],,0)</f>
        <v>结转</v>
      </c>
      <c r="E42" s="27" t="s">
        <v>85</v>
      </c>
      <c r="F42" s="10" t="s">
        <v>115</v>
      </c>
      <c r="G42" s="10" t="s">
        <v>1009</v>
      </c>
      <c r="H42" s="20">
        <v>163630.56</v>
      </c>
      <c r="I42" s="11" t="b">
        <f>AND(Jnl[[#This Row],[TrxId]]&lt;&gt;"",Jnl[[#This Row],[Acct]]&lt;&gt;"",Jnl[[#This Row],[Item]]&lt;&gt;"",ISNUMBER(Jnl[[#This Row],[Bal]]))</f>
        <v>1</v>
      </c>
      <c r="J42" s="9">
        <f>IF(Jnl[[#This Row],[BSLv0]]="A",1,-1)*Jnl[[#This Row],[Bal]]</f>
        <v>163630.56</v>
      </c>
      <c r="K42" t="str">
        <f>_xlfn.XLOOKUP(Jnl[[#This Row],[Acct]], config_BS[Acct], config_BS[Lv0],,0)</f>
        <v>A</v>
      </c>
      <c r="L42" t="str">
        <f>_xlfn.XLOOKUP(Jnl[[#This Row],[Acct]], config_BS[Acct], config_BS[Lv1],,0)</f>
        <v>Assets</v>
      </c>
      <c r="M42" t="str">
        <f>_xlfn.XLOOKUP(Jnl[[#This Row],[Acct]], config_BS[Acct], config_BS[Lv2],,0)</f>
        <v>Rec-Pay</v>
      </c>
      <c r="N42" t="str">
        <f>_xlfn.XLOOKUP(Jnl[[#This Row],[TrxId]], Trx[Id], Trx[IncNode], ,0)</f>
        <v>Other</v>
      </c>
      <c r="O42" t="str">
        <f>_xlfn.XLOOKUP(Jnl[[#This Row],[IncNode]], config_IS[Node], config_IS[Type],,0)</f>
        <v>Non-Op</v>
      </c>
      <c r="P42" t="str">
        <f>_xlfn.XLOOKUP(Jnl[[#This Row],[BSLv2]], dict[Key], dict[Name],,0)</f>
        <v>1.应收-应付</v>
      </c>
      <c r="Q42" t="str">
        <f>_xlfn.XLOOKUP(Jnl[[#This Row],[Acct]], dict[Key], dict[Name],,0)</f>
        <v>应收-一般</v>
      </c>
      <c r="R42" t="str">
        <f>_xlfn.XLOOKUP(Jnl[[#This Row],[Vehicle]],config_vehicle[Id], config_vehicle[Name],,0)</f>
        <v>远家文化</v>
      </c>
      <c r="S42" t="str">
        <f>_xlfn.XLOOKUP(Jnl[[#This Row],[Division]],config_div[Id], config_div[Name],,0)</f>
        <v>内控合规</v>
      </c>
      <c r="T42" t="str">
        <f>IF(Jnl[[#This Row],[TrxDate]]&lt;=stmt_BS_date_end, "In", "Out")</f>
        <v>In</v>
      </c>
      <c r="U42" t="str">
        <f>IF(Jnl[[#This Row],[TrxDate]]&lt;debug_date_start, "prior", IF(Jnl[[#This Row],[TrxDate]]&gt;debug_date_end, "post", "curr"))</f>
        <v>prior</v>
      </c>
    </row>
    <row r="43" spans="1:21" hidden="1">
      <c r="A43" s="10" t="s">
        <v>240</v>
      </c>
      <c r="B43" s="6">
        <f>_xlfn.XLOOKUP(Jnl[[#This Row],[TrxId]], Trx[Id], Trx[Date],,0)</f>
        <v>46022</v>
      </c>
      <c r="C43" s="6" t="str">
        <f>_xlfn.XLOOKUP(Jnl[[#This Row],[TrxId]], Trx[Id], Trx[Division],,0)</f>
        <v>Ctrl</v>
      </c>
      <c r="D43" s="6" t="str">
        <f>_xlfn.XLOOKUP(Jnl[[#This Row],[TrxId]], Trx[Id], Trx[Action],,0)</f>
        <v>结转</v>
      </c>
      <c r="E43" s="27" t="s">
        <v>85</v>
      </c>
      <c r="F43" s="10" t="s">
        <v>115</v>
      </c>
      <c r="G43" s="10" t="s">
        <v>1135</v>
      </c>
      <c r="H43" s="20">
        <v>22937.1</v>
      </c>
      <c r="I43" s="11" t="b">
        <f>AND(Jnl[[#This Row],[TrxId]]&lt;&gt;"",Jnl[[#This Row],[Acct]]&lt;&gt;"",Jnl[[#This Row],[Item]]&lt;&gt;"",ISNUMBER(Jnl[[#This Row],[Bal]]))</f>
        <v>1</v>
      </c>
      <c r="J43" s="9">
        <f>IF(Jnl[[#This Row],[BSLv0]]="A",1,-1)*Jnl[[#This Row],[Bal]]</f>
        <v>22937.1</v>
      </c>
      <c r="K43" t="str">
        <f>_xlfn.XLOOKUP(Jnl[[#This Row],[Acct]], config_BS[Acct], config_BS[Lv0],,0)</f>
        <v>A</v>
      </c>
      <c r="L43" t="str">
        <f>_xlfn.XLOOKUP(Jnl[[#This Row],[Acct]], config_BS[Acct], config_BS[Lv1],,0)</f>
        <v>Assets</v>
      </c>
      <c r="M43" t="str">
        <f>_xlfn.XLOOKUP(Jnl[[#This Row],[Acct]], config_BS[Acct], config_BS[Lv2],,0)</f>
        <v>Rec-Pay</v>
      </c>
      <c r="N43" t="str">
        <f>_xlfn.XLOOKUP(Jnl[[#This Row],[TrxId]], Trx[Id], Trx[IncNode], ,0)</f>
        <v>Other</v>
      </c>
      <c r="O43" t="str">
        <f>_xlfn.XLOOKUP(Jnl[[#This Row],[IncNode]], config_IS[Node], config_IS[Type],,0)</f>
        <v>Non-Op</v>
      </c>
      <c r="P43" t="str">
        <f>_xlfn.XLOOKUP(Jnl[[#This Row],[BSLv2]], dict[Key], dict[Name],,0)</f>
        <v>1.应收-应付</v>
      </c>
      <c r="Q43" t="str">
        <f>_xlfn.XLOOKUP(Jnl[[#This Row],[Acct]], dict[Key], dict[Name],,0)</f>
        <v>应收-一般</v>
      </c>
      <c r="R43" t="str">
        <f>_xlfn.XLOOKUP(Jnl[[#This Row],[Vehicle]],config_vehicle[Id], config_vehicle[Name],,0)</f>
        <v>远家文化</v>
      </c>
      <c r="S43" t="str">
        <f>_xlfn.XLOOKUP(Jnl[[#This Row],[Division]],config_div[Id], config_div[Name],,0)</f>
        <v>内控合规</v>
      </c>
      <c r="T43" t="str">
        <f>IF(Jnl[[#This Row],[TrxDate]]&lt;=stmt_BS_date_end, "In", "Out")</f>
        <v>In</v>
      </c>
      <c r="U43" t="str">
        <f>IF(Jnl[[#This Row],[TrxDate]]&lt;debug_date_start, "prior", IF(Jnl[[#This Row],[TrxDate]]&gt;debug_date_end, "post", "curr"))</f>
        <v>prior</v>
      </c>
    </row>
    <row r="44" spans="1:21" hidden="1">
      <c r="A44" s="10" t="s">
        <v>240</v>
      </c>
      <c r="B44" s="6">
        <f>_xlfn.XLOOKUP(Jnl[[#This Row],[TrxId]], Trx[Id], Trx[Date],,0)</f>
        <v>46022</v>
      </c>
      <c r="C44" s="6" t="str">
        <f>_xlfn.XLOOKUP(Jnl[[#This Row],[TrxId]], Trx[Id], Trx[Division],,0)</f>
        <v>Ctrl</v>
      </c>
      <c r="D44" s="6" t="str">
        <f>_xlfn.XLOOKUP(Jnl[[#This Row],[TrxId]], Trx[Id], Trx[Action],,0)</f>
        <v>结转</v>
      </c>
      <c r="E44" s="27" t="s">
        <v>85</v>
      </c>
      <c r="F44" s="10" t="s">
        <v>115</v>
      </c>
      <c r="G44" s="10" t="s">
        <v>1068</v>
      </c>
      <c r="H44" s="20">
        <v>811.3</v>
      </c>
      <c r="I44" s="11" t="b">
        <f>AND(Jnl[[#This Row],[TrxId]]&lt;&gt;"",Jnl[[#This Row],[Acct]]&lt;&gt;"",Jnl[[#This Row],[Item]]&lt;&gt;"",ISNUMBER(Jnl[[#This Row],[Bal]]))</f>
        <v>1</v>
      </c>
      <c r="J44" s="9">
        <f>IF(Jnl[[#This Row],[BSLv0]]="A",1,-1)*Jnl[[#This Row],[Bal]]</f>
        <v>811.3</v>
      </c>
      <c r="K44" t="str">
        <f>_xlfn.XLOOKUP(Jnl[[#This Row],[Acct]], config_BS[Acct], config_BS[Lv0],,0)</f>
        <v>A</v>
      </c>
      <c r="L44" t="str">
        <f>_xlfn.XLOOKUP(Jnl[[#This Row],[Acct]], config_BS[Acct], config_BS[Lv1],,0)</f>
        <v>Assets</v>
      </c>
      <c r="M44" t="str">
        <f>_xlfn.XLOOKUP(Jnl[[#This Row],[Acct]], config_BS[Acct], config_BS[Lv2],,0)</f>
        <v>Rec-Pay</v>
      </c>
      <c r="N44" t="str">
        <f>_xlfn.XLOOKUP(Jnl[[#This Row],[TrxId]], Trx[Id], Trx[IncNode], ,0)</f>
        <v>Other</v>
      </c>
      <c r="O44" t="str">
        <f>_xlfn.XLOOKUP(Jnl[[#This Row],[IncNode]], config_IS[Node], config_IS[Type],,0)</f>
        <v>Non-Op</v>
      </c>
      <c r="P44" t="str">
        <f>_xlfn.XLOOKUP(Jnl[[#This Row],[BSLv2]], dict[Key], dict[Name],,0)</f>
        <v>1.应收-应付</v>
      </c>
      <c r="Q44" t="str">
        <f>_xlfn.XLOOKUP(Jnl[[#This Row],[Acct]], dict[Key], dict[Name],,0)</f>
        <v>应收-一般</v>
      </c>
      <c r="R44" t="str">
        <f>_xlfn.XLOOKUP(Jnl[[#This Row],[Vehicle]],config_vehicle[Id], config_vehicle[Name],,0)</f>
        <v>远家文化</v>
      </c>
      <c r="S44" t="str">
        <f>_xlfn.XLOOKUP(Jnl[[#This Row],[Division]],config_div[Id], config_div[Name],,0)</f>
        <v>内控合规</v>
      </c>
      <c r="T44" t="str">
        <f>IF(Jnl[[#This Row],[TrxDate]]&lt;=stmt_BS_date_end, "In", "Out")</f>
        <v>In</v>
      </c>
      <c r="U44" t="str">
        <f>IF(Jnl[[#This Row],[TrxDate]]&lt;debug_date_start, "prior", IF(Jnl[[#This Row],[TrxDate]]&gt;debug_date_end, "post", "curr"))</f>
        <v>prior</v>
      </c>
    </row>
    <row r="45" spans="1:21" hidden="1">
      <c r="A45" s="10" t="s">
        <v>671</v>
      </c>
      <c r="B45" s="6">
        <f>_xlfn.XLOOKUP(Jnl[[#This Row],[TrxId]], Trx[Id], Trx[Date],,0)</f>
        <v>46022</v>
      </c>
      <c r="C45" s="6" t="str">
        <f>_xlfn.XLOOKUP(Jnl[[#This Row],[TrxId]], Trx[Id], Trx[Division],,0)</f>
        <v>Ctrl</v>
      </c>
      <c r="D45" s="6" t="str">
        <f>_xlfn.XLOOKUP(Jnl[[#This Row],[TrxId]], Trx[Id], Trx[Action],,0)</f>
        <v>结转</v>
      </c>
      <c r="E45" s="27" t="s">
        <v>85</v>
      </c>
      <c r="F45" s="10" t="s">
        <v>115</v>
      </c>
      <c r="G45" s="10" t="s">
        <v>143</v>
      </c>
      <c r="H45" s="20">
        <v>150000</v>
      </c>
      <c r="I45" s="11" t="b">
        <f>AND(Jnl[[#This Row],[TrxId]]&lt;&gt;"",Jnl[[#This Row],[Acct]]&lt;&gt;"",Jnl[[#This Row],[Item]]&lt;&gt;"",ISNUMBER(Jnl[[#This Row],[Bal]]))</f>
        <v>1</v>
      </c>
      <c r="J45" s="9">
        <f>IF(Jnl[[#This Row],[BSLv0]]="A",1,-1)*Jnl[[#This Row],[Bal]]</f>
        <v>150000</v>
      </c>
      <c r="K45" t="str">
        <f>_xlfn.XLOOKUP(Jnl[[#This Row],[Acct]], config_BS[Acct], config_BS[Lv0],,0)</f>
        <v>A</v>
      </c>
      <c r="L45" t="str">
        <f>_xlfn.XLOOKUP(Jnl[[#This Row],[Acct]], config_BS[Acct], config_BS[Lv1],,0)</f>
        <v>Assets</v>
      </c>
      <c r="M45" t="str">
        <f>_xlfn.XLOOKUP(Jnl[[#This Row],[Acct]], config_BS[Acct], config_BS[Lv2],,0)</f>
        <v>Rec-Pay</v>
      </c>
      <c r="N45" t="str">
        <f>_xlfn.XLOOKUP(Jnl[[#This Row],[TrxId]], Trx[Id], Trx[IncNode], ,0)</f>
        <v>Other</v>
      </c>
      <c r="O45" t="str">
        <f>_xlfn.XLOOKUP(Jnl[[#This Row],[IncNode]], config_IS[Node], config_IS[Type],,0)</f>
        <v>Non-Op</v>
      </c>
      <c r="P45" t="str">
        <f>_xlfn.XLOOKUP(Jnl[[#This Row],[BSLv2]], dict[Key], dict[Name],,0)</f>
        <v>1.应收-应付</v>
      </c>
      <c r="Q45" t="str">
        <f>_xlfn.XLOOKUP(Jnl[[#This Row],[Acct]], dict[Key], dict[Name],,0)</f>
        <v>应收-一般</v>
      </c>
      <c r="R45" t="str">
        <f>_xlfn.XLOOKUP(Jnl[[#This Row],[Vehicle]],config_vehicle[Id], config_vehicle[Name],,0)</f>
        <v>远家文化</v>
      </c>
      <c r="S45" t="str">
        <f>_xlfn.XLOOKUP(Jnl[[#This Row],[Division]],config_div[Id], config_div[Name],,0)</f>
        <v>内控合规</v>
      </c>
      <c r="T45" t="str">
        <f>IF(Jnl[[#This Row],[TrxDate]]&lt;=stmt_BS_date_end, "In", "Out")</f>
        <v>In</v>
      </c>
      <c r="U45" t="str">
        <f>IF(Jnl[[#This Row],[TrxDate]]&lt;debug_date_start, "prior", IF(Jnl[[#This Row],[TrxDate]]&gt;debug_date_end, "post", "curr"))</f>
        <v>prior</v>
      </c>
    </row>
    <row r="46" spans="1:21" hidden="1">
      <c r="A46" s="10" t="s">
        <v>240</v>
      </c>
      <c r="B46" s="6">
        <f>_xlfn.XLOOKUP(Jnl[[#This Row],[TrxId]], Trx[Id], Trx[Date],,0)</f>
        <v>46022</v>
      </c>
      <c r="C46" s="6" t="str">
        <f>_xlfn.XLOOKUP(Jnl[[#This Row],[TrxId]], Trx[Id], Trx[Division],,0)</f>
        <v>Ctrl</v>
      </c>
      <c r="D46" s="6" t="str">
        <f>_xlfn.XLOOKUP(Jnl[[#This Row],[TrxId]], Trx[Id], Trx[Action],,0)</f>
        <v>结转</v>
      </c>
      <c r="E46" s="27" t="s">
        <v>85</v>
      </c>
      <c r="F46" s="10" t="s">
        <v>195</v>
      </c>
      <c r="G46" s="10" t="s">
        <v>142</v>
      </c>
      <c r="H46" s="20">
        <v>38389.65</v>
      </c>
      <c r="I46" s="11" t="b">
        <f>AND(Jnl[[#This Row],[TrxId]]&lt;&gt;"",Jnl[[#This Row],[Acct]]&lt;&gt;"",Jnl[[#This Row],[Item]]&lt;&gt;"",ISNUMBER(Jnl[[#This Row],[Bal]]))</f>
        <v>1</v>
      </c>
      <c r="J46" s="9">
        <f>IF(Jnl[[#This Row],[BSLv0]]="A",1,-1)*Jnl[[#This Row],[Bal]]</f>
        <v>38389.65</v>
      </c>
      <c r="K46" t="str">
        <f>_xlfn.XLOOKUP(Jnl[[#This Row],[Acct]], config_BS[Acct], config_BS[Lv0],,0)</f>
        <v>A</v>
      </c>
      <c r="L46" t="str">
        <f>_xlfn.XLOOKUP(Jnl[[#This Row],[Acct]], config_BS[Acct], config_BS[Lv1],,0)</f>
        <v>Assets</v>
      </c>
      <c r="M46" t="str">
        <f>_xlfn.XLOOKUP(Jnl[[#This Row],[Acct]], config_BS[Acct], config_BS[Lv2],,0)</f>
        <v>Prep-Sub</v>
      </c>
      <c r="N46" t="str">
        <f>_xlfn.XLOOKUP(Jnl[[#This Row],[TrxId]], Trx[Id], Trx[IncNode], ,0)</f>
        <v>Other</v>
      </c>
      <c r="O46" t="str">
        <f>_xlfn.XLOOKUP(Jnl[[#This Row],[IncNode]], config_IS[Node], config_IS[Type],,0)</f>
        <v>Non-Op</v>
      </c>
      <c r="P46" t="str">
        <f>_xlfn.XLOOKUP(Jnl[[#This Row],[BSLv2]], dict[Key], dict[Name],,0)</f>
        <v>2.预付-订阅</v>
      </c>
      <c r="Q46" t="str">
        <f>_xlfn.XLOOKUP(Jnl[[#This Row],[Acct]], dict[Key], dict[Name],,0)</f>
        <v>押金</v>
      </c>
      <c r="R46" t="str">
        <f>_xlfn.XLOOKUP(Jnl[[#This Row],[Vehicle]],config_vehicle[Id], config_vehicle[Name],,0)</f>
        <v>远家文化</v>
      </c>
      <c r="S46" t="str">
        <f>_xlfn.XLOOKUP(Jnl[[#This Row],[Division]],config_div[Id], config_div[Name],,0)</f>
        <v>内控合规</v>
      </c>
      <c r="T46" t="str">
        <f>IF(Jnl[[#This Row],[TrxDate]]&lt;=stmt_BS_date_end, "In", "Out")</f>
        <v>In</v>
      </c>
      <c r="U46" t="str">
        <f>IF(Jnl[[#This Row],[TrxDate]]&lt;debug_date_start, "prior", IF(Jnl[[#This Row],[TrxDate]]&gt;debug_date_end, "post", "curr"))</f>
        <v>prior</v>
      </c>
    </row>
    <row r="47" spans="1:21" hidden="1">
      <c r="A47" s="10" t="s">
        <v>240</v>
      </c>
      <c r="B47" s="6">
        <f>_xlfn.XLOOKUP(Jnl[[#This Row],[TrxId]], Trx[Id], Trx[Date],,0)</f>
        <v>46022</v>
      </c>
      <c r="C47" s="6" t="str">
        <f>_xlfn.XLOOKUP(Jnl[[#This Row],[TrxId]], Trx[Id], Trx[Division],,0)</f>
        <v>Ctrl</v>
      </c>
      <c r="D47" s="6" t="str">
        <f>_xlfn.XLOOKUP(Jnl[[#This Row],[TrxId]], Trx[Id], Trx[Action],,0)</f>
        <v>结转</v>
      </c>
      <c r="E47" s="27" t="s">
        <v>95</v>
      </c>
      <c r="F47" s="10" t="s">
        <v>115</v>
      </c>
      <c r="G47" s="10" t="s">
        <v>915</v>
      </c>
      <c r="H47" s="20">
        <v>25551.3</v>
      </c>
      <c r="I47" s="11" t="b">
        <f>AND(Jnl[[#This Row],[TrxId]]&lt;&gt;"",Jnl[[#This Row],[Acct]]&lt;&gt;"",Jnl[[#This Row],[Item]]&lt;&gt;"",ISNUMBER(Jnl[[#This Row],[Bal]]))</f>
        <v>1</v>
      </c>
      <c r="J47" s="9">
        <f>IF(Jnl[[#This Row],[BSLv0]]="A",1,-1)*Jnl[[#This Row],[Bal]]</f>
        <v>25551.3</v>
      </c>
      <c r="K47" t="str">
        <f>_xlfn.XLOOKUP(Jnl[[#This Row],[Acct]], config_BS[Acct], config_BS[Lv0],,0)</f>
        <v>A</v>
      </c>
      <c r="L47" t="str">
        <f>_xlfn.XLOOKUP(Jnl[[#This Row],[Acct]], config_BS[Acct], config_BS[Lv1],,0)</f>
        <v>Assets</v>
      </c>
      <c r="M47" t="str">
        <f>_xlfn.XLOOKUP(Jnl[[#This Row],[Acct]], config_BS[Acct], config_BS[Lv2],,0)</f>
        <v>Rec-Pay</v>
      </c>
      <c r="N47" t="str">
        <f>_xlfn.XLOOKUP(Jnl[[#This Row],[TrxId]], Trx[Id], Trx[IncNode], ,0)</f>
        <v>Other</v>
      </c>
      <c r="O47" t="str">
        <f>_xlfn.XLOOKUP(Jnl[[#This Row],[IncNode]], config_IS[Node], config_IS[Type],,0)</f>
        <v>Non-Op</v>
      </c>
      <c r="P47" t="str">
        <f>_xlfn.XLOOKUP(Jnl[[#This Row],[BSLv2]], dict[Key], dict[Name],,0)</f>
        <v>1.应收-应付</v>
      </c>
      <c r="Q47" t="str">
        <f>_xlfn.XLOOKUP(Jnl[[#This Row],[Acct]], dict[Key], dict[Name],,0)</f>
        <v>应收-一般</v>
      </c>
      <c r="R47" t="str">
        <f>_xlfn.XLOOKUP(Jnl[[#This Row],[Vehicle]],config_vehicle[Id], config_vehicle[Name],,0)</f>
        <v>创业园-琦</v>
      </c>
      <c r="S47" t="str">
        <f>_xlfn.XLOOKUP(Jnl[[#This Row],[Division]],config_div[Id], config_div[Name],,0)</f>
        <v>内控合规</v>
      </c>
      <c r="T47" t="str">
        <f>IF(Jnl[[#This Row],[TrxDate]]&lt;=stmt_BS_date_end, "In", "Out")</f>
        <v>In</v>
      </c>
      <c r="U47" t="str">
        <f>IF(Jnl[[#This Row],[TrxDate]]&lt;debug_date_start, "prior", IF(Jnl[[#This Row],[TrxDate]]&gt;debug_date_end, "post", "curr"))</f>
        <v>prior</v>
      </c>
    </row>
    <row r="48" spans="1:21" hidden="1">
      <c r="A48" s="10" t="s">
        <v>240</v>
      </c>
      <c r="B48" s="6">
        <f>_xlfn.XLOOKUP(Jnl[[#This Row],[TrxId]], Trx[Id], Trx[Date],,0)</f>
        <v>46022</v>
      </c>
      <c r="C48" s="6" t="str">
        <f>_xlfn.XLOOKUP(Jnl[[#This Row],[TrxId]], Trx[Id], Trx[Division],,0)</f>
        <v>Ctrl</v>
      </c>
      <c r="D48" s="6" t="str">
        <f>_xlfn.XLOOKUP(Jnl[[#This Row],[TrxId]], Trx[Id], Trx[Action],,0)</f>
        <v>结转</v>
      </c>
      <c r="E48" s="27" t="s">
        <v>83</v>
      </c>
      <c r="F48" s="10" t="s">
        <v>117</v>
      </c>
      <c r="G48" s="10" t="s">
        <v>144</v>
      </c>
      <c r="H48" s="20">
        <v>130521.15</v>
      </c>
      <c r="I48" s="11" t="b">
        <f>AND(Jnl[[#This Row],[TrxId]]&lt;&gt;"",Jnl[[#This Row],[Acct]]&lt;&gt;"",Jnl[[#This Row],[Item]]&lt;&gt;"",ISNUMBER(Jnl[[#This Row],[Bal]]))</f>
        <v>1</v>
      </c>
      <c r="J48" s="9">
        <f>IF(Jnl[[#This Row],[BSLv0]]="A",1,-1)*Jnl[[#This Row],[Bal]]</f>
        <v>130521.15</v>
      </c>
      <c r="K48" t="str">
        <f>_xlfn.XLOOKUP(Jnl[[#This Row],[Acct]], config_BS[Acct], config_BS[Lv0],,0)</f>
        <v>A</v>
      </c>
      <c r="L48" t="str">
        <f>_xlfn.XLOOKUP(Jnl[[#This Row],[Acct]], config_BS[Acct], config_BS[Lv1],,0)</f>
        <v>Assets</v>
      </c>
      <c r="M48" t="str">
        <f>_xlfn.XLOOKUP(Jnl[[#This Row],[Acct]], config_BS[Acct], config_BS[Lv2],,0)</f>
        <v>Prep-Sub</v>
      </c>
      <c r="N48" t="str">
        <f>_xlfn.XLOOKUP(Jnl[[#This Row],[TrxId]], Trx[Id], Trx[IncNode], ,0)</f>
        <v>Other</v>
      </c>
      <c r="O48" t="str">
        <f>_xlfn.XLOOKUP(Jnl[[#This Row],[IncNode]], config_IS[Node], config_IS[Type],,0)</f>
        <v>Non-Op</v>
      </c>
      <c r="P48" t="str">
        <f>_xlfn.XLOOKUP(Jnl[[#This Row],[BSLv2]], dict[Key], dict[Name],,0)</f>
        <v>2.预付-订阅</v>
      </c>
      <c r="Q48" t="str">
        <f>_xlfn.XLOOKUP(Jnl[[#This Row],[Acct]], dict[Key], dict[Name],,0)</f>
        <v>预付订单</v>
      </c>
      <c r="R48" t="str">
        <f>_xlfn.XLOOKUP(Jnl[[#This Row],[Vehicle]],config_vehicle[Id], config_vehicle[Name],,0)</f>
        <v>喜家文化</v>
      </c>
      <c r="S48" t="str">
        <f>_xlfn.XLOOKUP(Jnl[[#This Row],[Division]],config_div[Id], config_div[Name],,0)</f>
        <v>内控合规</v>
      </c>
      <c r="T48" t="str">
        <f>IF(Jnl[[#This Row],[TrxDate]]&lt;=stmt_BS_date_end, "In", "Out")</f>
        <v>In</v>
      </c>
      <c r="U48" t="str">
        <f>IF(Jnl[[#This Row],[TrxDate]]&lt;debug_date_start, "prior", IF(Jnl[[#This Row],[TrxDate]]&gt;debug_date_end, "post", "curr"))</f>
        <v>prior</v>
      </c>
    </row>
    <row r="49" spans="1:21" hidden="1">
      <c r="A49" s="10" t="s">
        <v>240</v>
      </c>
      <c r="B49" s="6">
        <f>_xlfn.XLOOKUP(Jnl[[#This Row],[TrxId]], Trx[Id], Trx[Date],,0)</f>
        <v>46022</v>
      </c>
      <c r="C49" s="6" t="str">
        <f>_xlfn.XLOOKUP(Jnl[[#This Row],[TrxId]], Trx[Id], Trx[Division],,0)</f>
        <v>Ctrl</v>
      </c>
      <c r="D49" s="6" t="str">
        <f>_xlfn.XLOOKUP(Jnl[[#This Row],[TrxId]], Trx[Id], Trx[Action],,0)</f>
        <v>结转</v>
      </c>
      <c r="E49" s="27" t="s">
        <v>82</v>
      </c>
      <c r="F49" s="10" t="s">
        <v>117</v>
      </c>
      <c r="G49" s="10" t="s">
        <v>145</v>
      </c>
      <c r="H49" s="20">
        <v>87645.27</v>
      </c>
      <c r="I49" s="11" t="b">
        <f>AND(Jnl[[#This Row],[TrxId]]&lt;&gt;"",Jnl[[#This Row],[Acct]]&lt;&gt;"",Jnl[[#This Row],[Item]]&lt;&gt;"",ISNUMBER(Jnl[[#This Row],[Bal]]))</f>
        <v>1</v>
      </c>
      <c r="J49" s="9">
        <f>IF(Jnl[[#This Row],[BSLv0]]="A",1,-1)*Jnl[[#This Row],[Bal]]</f>
        <v>87645.27</v>
      </c>
      <c r="K49" t="str">
        <f>_xlfn.XLOOKUP(Jnl[[#This Row],[Acct]], config_BS[Acct], config_BS[Lv0],,0)</f>
        <v>A</v>
      </c>
      <c r="L49" t="str">
        <f>_xlfn.XLOOKUP(Jnl[[#This Row],[Acct]], config_BS[Acct], config_BS[Lv1],,0)</f>
        <v>Assets</v>
      </c>
      <c r="M49" t="str">
        <f>_xlfn.XLOOKUP(Jnl[[#This Row],[Acct]], config_BS[Acct], config_BS[Lv2],,0)</f>
        <v>Prep-Sub</v>
      </c>
      <c r="N49" t="str">
        <f>_xlfn.XLOOKUP(Jnl[[#This Row],[TrxId]], Trx[Id], Trx[IncNode], ,0)</f>
        <v>Other</v>
      </c>
      <c r="O49" t="str">
        <f>_xlfn.XLOOKUP(Jnl[[#This Row],[IncNode]], config_IS[Node], config_IS[Type],,0)</f>
        <v>Non-Op</v>
      </c>
      <c r="P49" t="str">
        <f>_xlfn.XLOOKUP(Jnl[[#This Row],[BSLv2]], dict[Key], dict[Name],,0)</f>
        <v>2.预付-订阅</v>
      </c>
      <c r="Q49" t="str">
        <f>_xlfn.XLOOKUP(Jnl[[#This Row],[Acct]], dict[Key], dict[Name],,0)</f>
        <v>预付订单</v>
      </c>
      <c r="R49" t="str">
        <f>_xlfn.XLOOKUP(Jnl[[#This Row],[Vehicle]],config_vehicle[Id], config_vehicle[Name],,0)</f>
        <v>远家花园</v>
      </c>
      <c r="S49" t="str">
        <f>_xlfn.XLOOKUP(Jnl[[#This Row],[Division]],config_div[Id], config_div[Name],,0)</f>
        <v>内控合规</v>
      </c>
      <c r="T49" t="str">
        <f>IF(Jnl[[#This Row],[TrxDate]]&lt;=stmt_BS_date_end, "In", "Out")</f>
        <v>In</v>
      </c>
      <c r="U49" t="str">
        <f>IF(Jnl[[#This Row],[TrxDate]]&lt;debug_date_start, "prior", IF(Jnl[[#This Row],[TrxDate]]&gt;debug_date_end, "post", "curr"))</f>
        <v>prior</v>
      </c>
    </row>
    <row r="50" spans="1:21" hidden="1">
      <c r="A50" s="10" t="s">
        <v>240</v>
      </c>
      <c r="B50" s="6">
        <f>_xlfn.XLOOKUP(Jnl[[#This Row],[TrxId]], Trx[Id], Trx[Date],,0)</f>
        <v>46022</v>
      </c>
      <c r="C50" s="6" t="str">
        <f>_xlfn.XLOOKUP(Jnl[[#This Row],[TrxId]], Trx[Id], Trx[Division],,0)</f>
        <v>Ctrl</v>
      </c>
      <c r="D50" s="6" t="str">
        <f>_xlfn.XLOOKUP(Jnl[[#This Row],[TrxId]], Trx[Id], Trx[Action],,0)</f>
        <v>结转</v>
      </c>
      <c r="E50" s="27" t="s">
        <v>87</v>
      </c>
      <c r="F50" s="10" t="s">
        <v>117</v>
      </c>
      <c r="G50" s="10" t="s">
        <v>146</v>
      </c>
      <c r="H50" s="20">
        <v>99417.5</v>
      </c>
      <c r="I50" s="11" t="b">
        <f>AND(Jnl[[#This Row],[TrxId]]&lt;&gt;"",Jnl[[#This Row],[Acct]]&lt;&gt;"",Jnl[[#This Row],[Item]]&lt;&gt;"",ISNUMBER(Jnl[[#This Row],[Bal]]))</f>
        <v>1</v>
      </c>
      <c r="J50" s="9">
        <f>IF(Jnl[[#This Row],[BSLv0]]="A",1,-1)*Jnl[[#This Row],[Bal]]</f>
        <v>99417.5</v>
      </c>
      <c r="K50" t="str">
        <f>_xlfn.XLOOKUP(Jnl[[#This Row],[Acct]], config_BS[Acct], config_BS[Lv0],,0)</f>
        <v>A</v>
      </c>
      <c r="L50" t="str">
        <f>_xlfn.XLOOKUP(Jnl[[#This Row],[Acct]], config_BS[Acct], config_BS[Lv1],,0)</f>
        <v>Assets</v>
      </c>
      <c r="M50" t="str">
        <f>_xlfn.XLOOKUP(Jnl[[#This Row],[Acct]], config_BS[Acct], config_BS[Lv2],,0)</f>
        <v>Prep-Sub</v>
      </c>
      <c r="N50" t="str">
        <f>_xlfn.XLOOKUP(Jnl[[#This Row],[TrxId]], Trx[Id], Trx[IncNode], ,0)</f>
        <v>Other</v>
      </c>
      <c r="O50" t="str">
        <f>_xlfn.XLOOKUP(Jnl[[#This Row],[IncNode]], config_IS[Node], config_IS[Type],,0)</f>
        <v>Non-Op</v>
      </c>
      <c r="P50" t="str">
        <f>_xlfn.XLOOKUP(Jnl[[#This Row],[BSLv2]], dict[Key], dict[Name],,0)</f>
        <v>2.预付-订阅</v>
      </c>
      <c r="Q50" t="str">
        <f>_xlfn.XLOOKUP(Jnl[[#This Row],[Acct]], dict[Key], dict[Name],,0)</f>
        <v>预付订单</v>
      </c>
      <c r="R50" t="str">
        <f>_xlfn.XLOOKUP(Jnl[[#This Row],[Vehicle]],config_vehicle[Id], config_vehicle[Name],,0)</f>
        <v>桑木</v>
      </c>
      <c r="S50" t="str">
        <f>_xlfn.XLOOKUP(Jnl[[#This Row],[Division]],config_div[Id], config_div[Name],,0)</f>
        <v>内控合规</v>
      </c>
      <c r="T50" t="str">
        <f>IF(Jnl[[#This Row],[TrxDate]]&lt;=stmt_BS_date_end, "In", "Out")</f>
        <v>In</v>
      </c>
      <c r="U50" t="str">
        <f>IF(Jnl[[#This Row],[TrxDate]]&lt;debug_date_start, "prior", IF(Jnl[[#This Row],[TrxDate]]&gt;debug_date_end, "post", "curr"))</f>
        <v>prior</v>
      </c>
    </row>
    <row r="51" spans="1:21" hidden="1">
      <c r="A51" s="10" t="s">
        <v>240</v>
      </c>
      <c r="B51" s="6">
        <f>_xlfn.XLOOKUP(Jnl[[#This Row],[TrxId]], Trx[Id], Trx[Date],,0)</f>
        <v>46022</v>
      </c>
      <c r="C51" s="6" t="str">
        <f>_xlfn.XLOOKUP(Jnl[[#This Row],[TrxId]], Trx[Id], Trx[Division],,0)</f>
        <v>Ctrl</v>
      </c>
      <c r="D51" s="6" t="str">
        <f>_xlfn.XLOOKUP(Jnl[[#This Row],[TrxId]], Trx[Id], Trx[Action],,0)</f>
        <v>结转</v>
      </c>
      <c r="E51" s="27" t="s">
        <v>84</v>
      </c>
      <c r="F51" s="10" t="s">
        <v>117</v>
      </c>
      <c r="G51" s="10" t="s">
        <v>145</v>
      </c>
      <c r="H51" s="20">
        <v>1225</v>
      </c>
      <c r="I51" s="11" t="b">
        <f>AND(Jnl[[#This Row],[TrxId]]&lt;&gt;"",Jnl[[#This Row],[Acct]]&lt;&gt;"",Jnl[[#This Row],[Item]]&lt;&gt;"",ISNUMBER(Jnl[[#This Row],[Bal]]))</f>
        <v>1</v>
      </c>
      <c r="J51" s="9">
        <f>IF(Jnl[[#This Row],[BSLv0]]="A",1,-1)*Jnl[[#This Row],[Bal]]</f>
        <v>1225</v>
      </c>
      <c r="K51" t="str">
        <f>_xlfn.XLOOKUP(Jnl[[#This Row],[Acct]], config_BS[Acct], config_BS[Lv0],,0)</f>
        <v>A</v>
      </c>
      <c r="L51" t="str">
        <f>_xlfn.XLOOKUP(Jnl[[#This Row],[Acct]], config_BS[Acct], config_BS[Lv1],,0)</f>
        <v>Assets</v>
      </c>
      <c r="M51" t="str">
        <f>_xlfn.XLOOKUP(Jnl[[#This Row],[Acct]], config_BS[Acct], config_BS[Lv2],,0)</f>
        <v>Prep-Sub</v>
      </c>
      <c r="N51" t="str">
        <f>_xlfn.XLOOKUP(Jnl[[#This Row],[TrxId]], Trx[Id], Trx[IncNode], ,0)</f>
        <v>Other</v>
      </c>
      <c r="O51" t="str">
        <f>_xlfn.XLOOKUP(Jnl[[#This Row],[IncNode]], config_IS[Node], config_IS[Type],,0)</f>
        <v>Non-Op</v>
      </c>
      <c r="P51" t="str">
        <f>_xlfn.XLOOKUP(Jnl[[#This Row],[BSLv2]], dict[Key], dict[Name],,0)</f>
        <v>2.预付-订阅</v>
      </c>
      <c r="Q51" t="str">
        <f>_xlfn.XLOOKUP(Jnl[[#This Row],[Acct]], dict[Key], dict[Name],,0)</f>
        <v>预付订单</v>
      </c>
      <c r="R51" t="str">
        <f>_xlfn.XLOOKUP(Jnl[[#This Row],[Vehicle]],config_vehicle[Id], config_vehicle[Name],,0)</f>
        <v>米小易</v>
      </c>
      <c r="S51" t="str">
        <f>_xlfn.XLOOKUP(Jnl[[#This Row],[Division]],config_div[Id], config_div[Name],,0)</f>
        <v>内控合规</v>
      </c>
      <c r="T51" t="str">
        <f>IF(Jnl[[#This Row],[TrxDate]]&lt;=stmt_BS_date_end, "In", "Out")</f>
        <v>In</v>
      </c>
      <c r="U51" t="str">
        <f>IF(Jnl[[#This Row],[TrxDate]]&lt;debug_date_start, "prior", IF(Jnl[[#This Row],[TrxDate]]&gt;debug_date_end, "post", "curr"))</f>
        <v>prior</v>
      </c>
    </row>
    <row r="52" spans="1:21" hidden="1">
      <c r="A52" s="10" t="s">
        <v>240</v>
      </c>
      <c r="B52" s="6">
        <f>_xlfn.XLOOKUP(Jnl[[#This Row],[TrxId]], Trx[Id], Trx[Date],,0)</f>
        <v>46022</v>
      </c>
      <c r="C52" s="6" t="str">
        <f>_xlfn.XLOOKUP(Jnl[[#This Row],[TrxId]], Trx[Id], Trx[Division],,0)</f>
        <v>Ctrl</v>
      </c>
      <c r="D52" s="6" t="str">
        <f>_xlfn.XLOOKUP(Jnl[[#This Row],[TrxId]], Trx[Id], Trx[Action],,0)</f>
        <v>结转</v>
      </c>
      <c r="E52" s="27" t="s">
        <v>85</v>
      </c>
      <c r="F52" s="10" t="s">
        <v>118</v>
      </c>
      <c r="G52" s="10" t="s">
        <v>156</v>
      </c>
      <c r="H52" s="20">
        <v>192761.82</v>
      </c>
      <c r="I52" s="11" t="b">
        <f>AND(Jnl[[#This Row],[TrxId]]&lt;&gt;"",Jnl[[#This Row],[Acct]]&lt;&gt;"",Jnl[[#This Row],[Item]]&lt;&gt;"",ISNUMBER(Jnl[[#This Row],[Bal]]))</f>
        <v>1</v>
      </c>
      <c r="J52" s="9">
        <f>IF(Jnl[[#This Row],[BSLv0]]="A",1,-1)*Jnl[[#This Row],[Bal]]</f>
        <v>192761.82</v>
      </c>
      <c r="K52" t="str">
        <f>_xlfn.XLOOKUP(Jnl[[#This Row],[Acct]], config_BS[Acct], config_BS[Lv0],,0)</f>
        <v>A</v>
      </c>
      <c r="L52" t="str">
        <f>_xlfn.XLOOKUP(Jnl[[#This Row],[Acct]], config_BS[Acct], config_BS[Lv1],,0)</f>
        <v>Assets</v>
      </c>
      <c r="M52" t="str">
        <f>_xlfn.XLOOKUP(Jnl[[#This Row],[Acct]], config_BS[Acct], config_BS[Lv2],,0)</f>
        <v>Invtr</v>
      </c>
      <c r="N52" t="str">
        <f>_xlfn.XLOOKUP(Jnl[[#This Row],[TrxId]], Trx[Id], Trx[IncNode], ,0)</f>
        <v>Other</v>
      </c>
      <c r="O52" t="str">
        <f>_xlfn.XLOOKUP(Jnl[[#This Row],[IncNode]], config_IS[Node], config_IS[Type],,0)</f>
        <v>Non-Op</v>
      </c>
      <c r="P52" t="str">
        <f>_xlfn.XLOOKUP(Jnl[[#This Row],[BSLv2]], dict[Key], dict[Name],,0)</f>
        <v>3.库存占款</v>
      </c>
      <c r="Q52" t="str">
        <f>_xlfn.XLOOKUP(Jnl[[#This Row],[Acct]], dict[Key], dict[Name],,0)</f>
        <v>当期存货</v>
      </c>
      <c r="R52" t="str">
        <f>_xlfn.XLOOKUP(Jnl[[#This Row],[Vehicle]],config_vehicle[Id], config_vehicle[Name],,0)</f>
        <v>远家文化</v>
      </c>
      <c r="S52" t="str">
        <f>_xlfn.XLOOKUP(Jnl[[#This Row],[Division]],config_div[Id], config_div[Name],,0)</f>
        <v>内控合规</v>
      </c>
      <c r="T52" t="str">
        <f>IF(Jnl[[#This Row],[TrxDate]]&lt;=stmt_BS_date_end, "In", "Out")</f>
        <v>In</v>
      </c>
      <c r="U52" t="str">
        <f>IF(Jnl[[#This Row],[TrxDate]]&lt;debug_date_start, "prior", IF(Jnl[[#This Row],[TrxDate]]&gt;debug_date_end, "post", "curr"))</f>
        <v>prior</v>
      </c>
    </row>
    <row r="53" spans="1:21" hidden="1">
      <c r="A53" s="10" t="s">
        <v>240</v>
      </c>
      <c r="B53" s="6">
        <f>_xlfn.XLOOKUP(Jnl[[#This Row],[TrxId]], Trx[Id], Trx[Date],,0)</f>
        <v>46022</v>
      </c>
      <c r="C53" s="6" t="str">
        <f>_xlfn.XLOOKUP(Jnl[[#This Row],[TrxId]], Trx[Id], Trx[Division],,0)</f>
        <v>Ctrl</v>
      </c>
      <c r="D53" s="6" t="str">
        <f>_xlfn.XLOOKUP(Jnl[[#This Row],[TrxId]], Trx[Id], Trx[Action],,0)</f>
        <v>结转</v>
      </c>
      <c r="E53" s="27" t="s">
        <v>84</v>
      </c>
      <c r="F53" s="10" t="s">
        <v>118</v>
      </c>
      <c r="G53" s="10" t="s">
        <v>155</v>
      </c>
      <c r="H53" s="20">
        <v>242182.81</v>
      </c>
      <c r="I53" s="11" t="b">
        <f>AND(Jnl[[#This Row],[TrxId]]&lt;&gt;"",Jnl[[#This Row],[Acct]]&lt;&gt;"",Jnl[[#This Row],[Item]]&lt;&gt;"",ISNUMBER(Jnl[[#This Row],[Bal]]))</f>
        <v>1</v>
      </c>
      <c r="J53" s="9">
        <f>IF(Jnl[[#This Row],[BSLv0]]="A",1,-1)*Jnl[[#This Row],[Bal]]</f>
        <v>242182.81</v>
      </c>
      <c r="K53" t="str">
        <f>_xlfn.XLOOKUP(Jnl[[#This Row],[Acct]], config_BS[Acct], config_BS[Lv0],,0)</f>
        <v>A</v>
      </c>
      <c r="L53" t="str">
        <f>_xlfn.XLOOKUP(Jnl[[#This Row],[Acct]], config_BS[Acct], config_BS[Lv1],,0)</f>
        <v>Assets</v>
      </c>
      <c r="M53" t="str">
        <f>_xlfn.XLOOKUP(Jnl[[#This Row],[Acct]], config_BS[Acct], config_BS[Lv2],,0)</f>
        <v>Invtr</v>
      </c>
      <c r="N53" t="str">
        <f>_xlfn.XLOOKUP(Jnl[[#This Row],[TrxId]], Trx[Id], Trx[IncNode], ,0)</f>
        <v>Other</v>
      </c>
      <c r="O53" t="str">
        <f>_xlfn.XLOOKUP(Jnl[[#This Row],[IncNode]], config_IS[Node], config_IS[Type],,0)</f>
        <v>Non-Op</v>
      </c>
      <c r="P53" t="str">
        <f>_xlfn.XLOOKUP(Jnl[[#This Row],[BSLv2]], dict[Key], dict[Name],,0)</f>
        <v>3.库存占款</v>
      </c>
      <c r="Q53" t="str">
        <f>_xlfn.XLOOKUP(Jnl[[#This Row],[Acct]], dict[Key], dict[Name],,0)</f>
        <v>当期存货</v>
      </c>
      <c r="R53" t="str">
        <f>_xlfn.XLOOKUP(Jnl[[#This Row],[Vehicle]],config_vehicle[Id], config_vehicle[Name],,0)</f>
        <v>米小易</v>
      </c>
      <c r="S53" t="str">
        <f>_xlfn.XLOOKUP(Jnl[[#This Row],[Division]],config_div[Id], config_div[Name],,0)</f>
        <v>内控合规</v>
      </c>
      <c r="T53" t="str">
        <f>IF(Jnl[[#This Row],[TrxDate]]&lt;=stmt_BS_date_end, "In", "Out")</f>
        <v>In</v>
      </c>
      <c r="U53" t="str">
        <f>IF(Jnl[[#This Row],[TrxDate]]&lt;debug_date_start, "prior", IF(Jnl[[#This Row],[TrxDate]]&gt;debug_date_end, "post", "curr"))</f>
        <v>prior</v>
      </c>
    </row>
    <row r="54" spans="1:21" hidden="1">
      <c r="A54" s="10" t="s">
        <v>240</v>
      </c>
      <c r="B54" s="6">
        <f>_xlfn.XLOOKUP(Jnl[[#This Row],[TrxId]], Trx[Id], Trx[Date],,0)</f>
        <v>46022</v>
      </c>
      <c r="C54" s="6" t="str">
        <f>_xlfn.XLOOKUP(Jnl[[#This Row],[TrxId]], Trx[Id], Trx[Division],,0)</f>
        <v>Ctrl</v>
      </c>
      <c r="D54" s="6" t="str">
        <f>_xlfn.XLOOKUP(Jnl[[#This Row],[TrxId]], Trx[Id], Trx[Action],,0)</f>
        <v>结转</v>
      </c>
      <c r="E54" s="27" t="s">
        <v>82</v>
      </c>
      <c r="F54" s="10" t="s">
        <v>118</v>
      </c>
      <c r="G54" s="10" t="s">
        <v>154</v>
      </c>
      <c r="H54" s="20">
        <v>10513383.689999999</v>
      </c>
      <c r="I54" s="11" t="b">
        <f>AND(Jnl[[#This Row],[TrxId]]&lt;&gt;"",Jnl[[#This Row],[Acct]]&lt;&gt;"",Jnl[[#This Row],[Item]]&lt;&gt;"",ISNUMBER(Jnl[[#This Row],[Bal]]))</f>
        <v>1</v>
      </c>
      <c r="J54" s="9">
        <f>IF(Jnl[[#This Row],[BSLv0]]="A",1,-1)*Jnl[[#This Row],[Bal]]</f>
        <v>10513383.689999999</v>
      </c>
      <c r="K54" t="str">
        <f>_xlfn.XLOOKUP(Jnl[[#This Row],[Acct]], config_BS[Acct], config_BS[Lv0],,0)</f>
        <v>A</v>
      </c>
      <c r="L54" t="str">
        <f>_xlfn.XLOOKUP(Jnl[[#This Row],[Acct]], config_BS[Acct], config_BS[Lv1],,0)</f>
        <v>Assets</v>
      </c>
      <c r="M54" t="str">
        <f>_xlfn.XLOOKUP(Jnl[[#This Row],[Acct]], config_BS[Acct], config_BS[Lv2],,0)</f>
        <v>Invtr</v>
      </c>
      <c r="N54" t="str">
        <f>_xlfn.XLOOKUP(Jnl[[#This Row],[TrxId]], Trx[Id], Trx[IncNode], ,0)</f>
        <v>Other</v>
      </c>
      <c r="O54" t="str">
        <f>_xlfn.XLOOKUP(Jnl[[#This Row],[IncNode]], config_IS[Node], config_IS[Type],,0)</f>
        <v>Non-Op</v>
      </c>
      <c r="P54" t="str">
        <f>_xlfn.XLOOKUP(Jnl[[#This Row],[BSLv2]], dict[Key], dict[Name],,0)</f>
        <v>3.库存占款</v>
      </c>
      <c r="Q54" t="str">
        <f>_xlfn.XLOOKUP(Jnl[[#This Row],[Acct]], dict[Key], dict[Name],,0)</f>
        <v>当期存货</v>
      </c>
      <c r="R54" t="str">
        <f>_xlfn.XLOOKUP(Jnl[[#This Row],[Vehicle]],config_vehicle[Id], config_vehicle[Name],,0)</f>
        <v>远家花园</v>
      </c>
      <c r="S54" t="str">
        <f>_xlfn.XLOOKUP(Jnl[[#This Row],[Division]],config_div[Id], config_div[Name],,0)</f>
        <v>内控合规</v>
      </c>
      <c r="T54" t="str">
        <f>IF(Jnl[[#This Row],[TrxDate]]&lt;=stmt_BS_date_end, "In", "Out")</f>
        <v>In</v>
      </c>
      <c r="U54" t="str">
        <f>IF(Jnl[[#This Row],[TrxDate]]&lt;debug_date_start, "prior", IF(Jnl[[#This Row],[TrxDate]]&gt;debug_date_end, "post", "curr"))</f>
        <v>prior</v>
      </c>
    </row>
    <row r="55" spans="1:21" hidden="1">
      <c r="A55" s="10" t="s">
        <v>240</v>
      </c>
      <c r="B55" s="6">
        <f>_xlfn.XLOOKUP(Jnl[[#This Row],[TrxId]], Trx[Id], Trx[Date],,0)</f>
        <v>46022</v>
      </c>
      <c r="C55" s="6" t="str">
        <f>_xlfn.XLOOKUP(Jnl[[#This Row],[TrxId]], Trx[Id], Trx[Division],,0)</f>
        <v>Ctrl</v>
      </c>
      <c r="D55" s="6" t="str">
        <f>_xlfn.XLOOKUP(Jnl[[#This Row],[TrxId]], Trx[Id], Trx[Action],,0)</f>
        <v>结转</v>
      </c>
      <c r="E55" s="27" t="s">
        <v>85</v>
      </c>
      <c r="F55" s="10" t="s">
        <v>123</v>
      </c>
      <c r="G55" s="10" t="s">
        <v>203</v>
      </c>
      <c r="H55" s="20">
        <v>2949723.27</v>
      </c>
      <c r="I55" s="11" t="b">
        <f>AND(Jnl[[#This Row],[TrxId]]&lt;&gt;"",Jnl[[#This Row],[Acct]]&lt;&gt;"",Jnl[[#This Row],[Item]]&lt;&gt;"",ISNUMBER(Jnl[[#This Row],[Bal]]))</f>
        <v>1</v>
      </c>
      <c r="J55" s="9">
        <f>IF(Jnl[[#This Row],[BSLv0]]="A",1,-1)*Jnl[[#This Row],[Bal]]</f>
        <v>2949723.27</v>
      </c>
      <c r="K55" t="str">
        <f>_xlfn.XLOOKUP(Jnl[[#This Row],[Acct]], config_BS[Acct], config_BS[Lv0],,0)</f>
        <v>A</v>
      </c>
      <c r="L55" t="str">
        <f>_xlfn.XLOOKUP(Jnl[[#This Row],[Acct]], config_BS[Acct], config_BS[Lv1],,0)</f>
        <v>Assets</v>
      </c>
      <c r="M55" t="str">
        <f>_xlfn.XLOOKUP(Jnl[[#This Row],[Acct]], config_BS[Acct], config_BS[Lv2],,0)</f>
        <v>PP&amp;E</v>
      </c>
      <c r="N55" t="str">
        <f>_xlfn.XLOOKUP(Jnl[[#This Row],[TrxId]], Trx[Id], Trx[IncNode], ,0)</f>
        <v>Other</v>
      </c>
      <c r="O55" t="str">
        <f>_xlfn.XLOOKUP(Jnl[[#This Row],[IncNode]], config_IS[Node], config_IS[Type],,0)</f>
        <v>Non-Op</v>
      </c>
      <c r="P55" t="str">
        <f>_xlfn.XLOOKUP(Jnl[[#This Row],[BSLv2]], dict[Key], dict[Name],,0)</f>
        <v>5.硬件设施</v>
      </c>
      <c r="Q55" t="str">
        <f>_xlfn.XLOOKUP(Jnl[[#This Row],[Acct]], dict[Key], dict[Name],,0)</f>
        <v>房地产</v>
      </c>
      <c r="R55" t="str">
        <f>_xlfn.XLOOKUP(Jnl[[#This Row],[Vehicle]],config_vehicle[Id], config_vehicle[Name],,0)</f>
        <v>远家文化</v>
      </c>
      <c r="S55" t="str">
        <f>_xlfn.XLOOKUP(Jnl[[#This Row],[Division]],config_div[Id], config_div[Name],,0)</f>
        <v>内控合规</v>
      </c>
      <c r="T55" t="str">
        <f>IF(Jnl[[#This Row],[TrxDate]]&lt;=stmt_BS_date_end, "In", "Out")</f>
        <v>In</v>
      </c>
      <c r="U55" t="str">
        <f>IF(Jnl[[#This Row],[TrxDate]]&lt;debug_date_start, "prior", IF(Jnl[[#This Row],[TrxDate]]&gt;debug_date_end, "post", "curr"))</f>
        <v>prior</v>
      </c>
    </row>
    <row r="56" spans="1:21" hidden="1">
      <c r="A56" s="10" t="s">
        <v>240</v>
      </c>
      <c r="B56" s="6">
        <f>_xlfn.XLOOKUP(Jnl[[#This Row],[TrxId]], Trx[Id], Trx[Date],,0)</f>
        <v>46022</v>
      </c>
      <c r="C56" s="6" t="str">
        <f>_xlfn.XLOOKUP(Jnl[[#This Row],[TrxId]], Trx[Id], Trx[Division],,0)</f>
        <v>Ctrl</v>
      </c>
      <c r="D56" s="6" t="str">
        <f>_xlfn.XLOOKUP(Jnl[[#This Row],[TrxId]], Trx[Id], Trx[Action],,0)</f>
        <v>结转</v>
      </c>
      <c r="E56" s="27" t="s">
        <v>85</v>
      </c>
      <c r="F56" s="10" t="s">
        <v>123</v>
      </c>
      <c r="G56" s="10" t="s">
        <v>204</v>
      </c>
      <c r="H56" s="20">
        <v>21129338.43</v>
      </c>
      <c r="I56" s="11" t="b">
        <f>AND(Jnl[[#This Row],[TrxId]]&lt;&gt;"",Jnl[[#This Row],[Acct]]&lt;&gt;"",Jnl[[#This Row],[Item]]&lt;&gt;"",ISNUMBER(Jnl[[#This Row],[Bal]]))</f>
        <v>1</v>
      </c>
      <c r="J56" s="9">
        <f>IF(Jnl[[#This Row],[BSLv0]]="A",1,-1)*Jnl[[#This Row],[Bal]]</f>
        <v>21129338.43</v>
      </c>
      <c r="K56" t="str">
        <f>_xlfn.XLOOKUP(Jnl[[#This Row],[Acct]], config_BS[Acct], config_BS[Lv0],,0)</f>
        <v>A</v>
      </c>
      <c r="L56" t="str">
        <f>_xlfn.XLOOKUP(Jnl[[#This Row],[Acct]], config_BS[Acct], config_BS[Lv1],,0)</f>
        <v>Assets</v>
      </c>
      <c r="M56" t="str">
        <f>_xlfn.XLOOKUP(Jnl[[#This Row],[Acct]], config_BS[Acct], config_BS[Lv2],,0)</f>
        <v>PP&amp;E</v>
      </c>
      <c r="N56" t="str">
        <f>_xlfn.XLOOKUP(Jnl[[#This Row],[TrxId]], Trx[Id], Trx[IncNode], ,0)</f>
        <v>Other</v>
      </c>
      <c r="O56" t="str">
        <f>_xlfn.XLOOKUP(Jnl[[#This Row],[IncNode]], config_IS[Node], config_IS[Type],,0)</f>
        <v>Non-Op</v>
      </c>
      <c r="P56" t="str">
        <f>_xlfn.XLOOKUP(Jnl[[#This Row],[BSLv2]], dict[Key], dict[Name],,0)</f>
        <v>5.硬件设施</v>
      </c>
      <c r="Q56" t="str">
        <f>_xlfn.XLOOKUP(Jnl[[#This Row],[Acct]], dict[Key], dict[Name],,0)</f>
        <v>房地产</v>
      </c>
      <c r="R56" t="str">
        <f>_xlfn.XLOOKUP(Jnl[[#This Row],[Vehicle]],config_vehicle[Id], config_vehicle[Name],,0)</f>
        <v>远家文化</v>
      </c>
      <c r="S56" t="str">
        <f>_xlfn.XLOOKUP(Jnl[[#This Row],[Division]],config_div[Id], config_div[Name],,0)</f>
        <v>内控合规</v>
      </c>
      <c r="T56" t="str">
        <f>IF(Jnl[[#This Row],[TrxDate]]&lt;=stmt_BS_date_end, "In", "Out")</f>
        <v>In</v>
      </c>
      <c r="U56" t="str">
        <f>IF(Jnl[[#This Row],[TrxDate]]&lt;debug_date_start, "prior", IF(Jnl[[#This Row],[TrxDate]]&gt;debug_date_end, "post", "curr"))</f>
        <v>prior</v>
      </c>
    </row>
    <row r="57" spans="1:21" hidden="1">
      <c r="A57" s="10" t="s">
        <v>240</v>
      </c>
      <c r="B57" s="6">
        <f>_xlfn.XLOOKUP(Jnl[[#This Row],[TrxId]], Trx[Id], Trx[Date],,0)</f>
        <v>46022</v>
      </c>
      <c r="C57" s="6" t="str">
        <f>_xlfn.XLOOKUP(Jnl[[#This Row],[TrxId]], Trx[Id], Trx[Division],,0)</f>
        <v>Ctrl</v>
      </c>
      <c r="D57" s="6" t="str">
        <f>_xlfn.XLOOKUP(Jnl[[#This Row],[TrxId]], Trx[Id], Trx[Action],,0)</f>
        <v>结转</v>
      </c>
      <c r="E57" s="27" t="s">
        <v>85</v>
      </c>
      <c r="F57" s="10" t="s">
        <v>123</v>
      </c>
      <c r="G57" s="10" t="s">
        <v>188</v>
      </c>
      <c r="H57" s="20">
        <v>-5217130.03</v>
      </c>
      <c r="I57" s="11" t="b">
        <f>AND(Jnl[[#This Row],[TrxId]]&lt;&gt;"",Jnl[[#This Row],[Acct]]&lt;&gt;"",Jnl[[#This Row],[Item]]&lt;&gt;"",ISNUMBER(Jnl[[#This Row],[Bal]]))</f>
        <v>1</v>
      </c>
      <c r="J57" s="9">
        <f>IF(Jnl[[#This Row],[BSLv0]]="A",1,-1)*Jnl[[#This Row],[Bal]]</f>
        <v>-5217130.03</v>
      </c>
      <c r="K57" t="str">
        <f>_xlfn.XLOOKUP(Jnl[[#This Row],[Acct]], config_BS[Acct], config_BS[Lv0],,0)</f>
        <v>A</v>
      </c>
      <c r="L57" t="str">
        <f>_xlfn.XLOOKUP(Jnl[[#This Row],[Acct]], config_BS[Acct], config_BS[Lv1],,0)</f>
        <v>Assets</v>
      </c>
      <c r="M57" t="str">
        <f>_xlfn.XLOOKUP(Jnl[[#This Row],[Acct]], config_BS[Acct], config_BS[Lv2],,0)</f>
        <v>PP&amp;E</v>
      </c>
      <c r="N57" t="str">
        <f>_xlfn.XLOOKUP(Jnl[[#This Row],[TrxId]], Trx[Id], Trx[IncNode], ,0)</f>
        <v>Other</v>
      </c>
      <c r="O57" t="str">
        <f>_xlfn.XLOOKUP(Jnl[[#This Row],[IncNode]], config_IS[Node], config_IS[Type],,0)</f>
        <v>Non-Op</v>
      </c>
      <c r="P57" t="str">
        <f>_xlfn.XLOOKUP(Jnl[[#This Row],[BSLv2]], dict[Key], dict[Name],,0)</f>
        <v>5.硬件设施</v>
      </c>
      <c r="Q57" t="str">
        <f>_xlfn.XLOOKUP(Jnl[[#This Row],[Acct]], dict[Key], dict[Name],,0)</f>
        <v>房地产</v>
      </c>
      <c r="R57" t="str">
        <f>_xlfn.XLOOKUP(Jnl[[#This Row],[Vehicle]],config_vehicle[Id], config_vehicle[Name],,0)</f>
        <v>远家文化</v>
      </c>
      <c r="S57" t="str">
        <f>_xlfn.XLOOKUP(Jnl[[#This Row],[Division]],config_div[Id], config_div[Name],,0)</f>
        <v>内控合规</v>
      </c>
      <c r="T57" t="str">
        <f>IF(Jnl[[#This Row],[TrxDate]]&lt;=stmt_BS_date_end, "In", "Out")</f>
        <v>In</v>
      </c>
      <c r="U57" t="str">
        <f>IF(Jnl[[#This Row],[TrxDate]]&lt;debug_date_start, "prior", IF(Jnl[[#This Row],[TrxDate]]&gt;debug_date_end, "post", "curr"))</f>
        <v>prior</v>
      </c>
    </row>
    <row r="58" spans="1:21" hidden="1">
      <c r="A58" s="10" t="s">
        <v>240</v>
      </c>
      <c r="B58" s="6">
        <f>_xlfn.XLOOKUP(Jnl[[#This Row],[TrxId]], Trx[Id], Trx[Date],,0)</f>
        <v>46022</v>
      </c>
      <c r="C58" s="6" t="str">
        <f>_xlfn.XLOOKUP(Jnl[[#This Row],[TrxId]], Trx[Id], Trx[Division],,0)</f>
        <v>Ctrl</v>
      </c>
      <c r="D58" s="6" t="str">
        <f>_xlfn.XLOOKUP(Jnl[[#This Row],[TrxId]], Trx[Id], Trx[Action],,0)</f>
        <v>结转</v>
      </c>
      <c r="E58" s="27" t="s">
        <v>108</v>
      </c>
      <c r="F58" s="10" t="s">
        <v>123</v>
      </c>
      <c r="G58" s="10" t="s">
        <v>205</v>
      </c>
      <c r="H58" s="20">
        <v>6467900</v>
      </c>
      <c r="I58" s="11" t="b">
        <f>AND(Jnl[[#This Row],[TrxId]]&lt;&gt;"",Jnl[[#This Row],[Acct]]&lt;&gt;"",Jnl[[#This Row],[Item]]&lt;&gt;"",ISNUMBER(Jnl[[#This Row],[Bal]]))</f>
        <v>1</v>
      </c>
      <c r="J58" s="9">
        <f>IF(Jnl[[#This Row],[BSLv0]]="A",1,-1)*Jnl[[#This Row],[Bal]]</f>
        <v>6467900</v>
      </c>
      <c r="K58" t="str">
        <f>_xlfn.XLOOKUP(Jnl[[#This Row],[Acct]], config_BS[Acct], config_BS[Lv0],,0)</f>
        <v>A</v>
      </c>
      <c r="L58" t="str">
        <f>_xlfn.XLOOKUP(Jnl[[#This Row],[Acct]], config_BS[Acct], config_BS[Lv1],,0)</f>
        <v>Assets</v>
      </c>
      <c r="M58" t="str">
        <f>_xlfn.XLOOKUP(Jnl[[#This Row],[Acct]], config_BS[Acct], config_BS[Lv2],,0)</f>
        <v>PP&amp;E</v>
      </c>
      <c r="N58" t="str">
        <f>_xlfn.XLOOKUP(Jnl[[#This Row],[TrxId]], Trx[Id], Trx[IncNode], ,0)</f>
        <v>Other</v>
      </c>
      <c r="O58" t="str">
        <f>_xlfn.XLOOKUP(Jnl[[#This Row],[IncNode]], config_IS[Node], config_IS[Type],,0)</f>
        <v>Non-Op</v>
      </c>
      <c r="P58" t="str">
        <f>_xlfn.XLOOKUP(Jnl[[#This Row],[BSLv2]], dict[Key], dict[Name],,0)</f>
        <v>5.硬件设施</v>
      </c>
      <c r="Q58" t="str">
        <f>_xlfn.XLOOKUP(Jnl[[#This Row],[Acct]], dict[Key], dict[Name],,0)</f>
        <v>房地产</v>
      </c>
      <c r="R58" t="str">
        <f>_xlfn.XLOOKUP(Jnl[[#This Row],[Vehicle]],config_vehicle[Id], config_vehicle[Name],,0)</f>
        <v>远家花园高新分公司</v>
      </c>
      <c r="S58" t="str">
        <f>_xlfn.XLOOKUP(Jnl[[#This Row],[Division]],config_div[Id], config_div[Name],,0)</f>
        <v>内控合规</v>
      </c>
      <c r="T58" t="str">
        <f>IF(Jnl[[#This Row],[TrxDate]]&lt;=stmt_BS_date_end, "In", "Out")</f>
        <v>In</v>
      </c>
      <c r="U58" t="str">
        <f>IF(Jnl[[#This Row],[TrxDate]]&lt;debug_date_start, "prior", IF(Jnl[[#This Row],[TrxDate]]&gt;debug_date_end, "post", "curr"))</f>
        <v>prior</v>
      </c>
    </row>
    <row r="59" spans="1:21" hidden="1">
      <c r="A59" s="10" t="s">
        <v>240</v>
      </c>
      <c r="B59" s="6">
        <f>_xlfn.XLOOKUP(Jnl[[#This Row],[TrxId]], Trx[Id], Trx[Date],,0)</f>
        <v>46022</v>
      </c>
      <c r="C59" s="6" t="str">
        <f>_xlfn.XLOOKUP(Jnl[[#This Row],[TrxId]], Trx[Id], Trx[Division],,0)</f>
        <v>Ctrl</v>
      </c>
      <c r="D59" s="6" t="str">
        <f>_xlfn.XLOOKUP(Jnl[[#This Row],[TrxId]], Trx[Id], Trx[Action],,0)</f>
        <v>结转</v>
      </c>
      <c r="E59" s="27" t="s">
        <v>108</v>
      </c>
      <c r="F59" s="10" t="s">
        <v>123</v>
      </c>
      <c r="G59" s="10" t="s">
        <v>189</v>
      </c>
      <c r="H59" s="20">
        <v>-1065602.3999999999</v>
      </c>
      <c r="I59" s="11" t="b">
        <f>AND(Jnl[[#This Row],[TrxId]]&lt;&gt;"",Jnl[[#This Row],[Acct]]&lt;&gt;"",Jnl[[#This Row],[Item]]&lt;&gt;"",ISNUMBER(Jnl[[#This Row],[Bal]]))</f>
        <v>1</v>
      </c>
      <c r="J59" s="9">
        <f>IF(Jnl[[#This Row],[BSLv0]]="A",1,-1)*Jnl[[#This Row],[Bal]]</f>
        <v>-1065602.3999999999</v>
      </c>
      <c r="K59" t="str">
        <f>_xlfn.XLOOKUP(Jnl[[#This Row],[Acct]], config_BS[Acct], config_BS[Lv0],,0)</f>
        <v>A</v>
      </c>
      <c r="L59" t="str">
        <f>_xlfn.XLOOKUP(Jnl[[#This Row],[Acct]], config_BS[Acct], config_BS[Lv1],,0)</f>
        <v>Assets</v>
      </c>
      <c r="M59" t="str">
        <f>_xlfn.XLOOKUP(Jnl[[#This Row],[Acct]], config_BS[Acct], config_BS[Lv2],,0)</f>
        <v>PP&amp;E</v>
      </c>
      <c r="N59" t="str">
        <f>_xlfn.XLOOKUP(Jnl[[#This Row],[TrxId]], Trx[Id], Trx[IncNode], ,0)</f>
        <v>Other</v>
      </c>
      <c r="O59" t="str">
        <f>_xlfn.XLOOKUP(Jnl[[#This Row],[IncNode]], config_IS[Node], config_IS[Type],,0)</f>
        <v>Non-Op</v>
      </c>
      <c r="P59" t="str">
        <f>_xlfn.XLOOKUP(Jnl[[#This Row],[BSLv2]], dict[Key], dict[Name],,0)</f>
        <v>5.硬件设施</v>
      </c>
      <c r="Q59" t="str">
        <f>_xlfn.XLOOKUP(Jnl[[#This Row],[Acct]], dict[Key], dict[Name],,0)</f>
        <v>房地产</v>
      </c>
      <c r="R59" t="str">
        <f>_xlfn.XLOOKUP(Jnl[[#This Row],[Vehicle]],config_vehicle[Id], config_vehicle[Name],,0)</f>
        <v>远家花园高新分公司</v>
      </c>
      <c r="S59" t="str">
        <f>_xlfn.XLOOKUP(Jnl[[#This Row],[Division]],config_div[Id], config_div[Name],,0)</f>
        <v>内控合规</v>
      </c>
      <c r="T59" t="str">
        <f>IF(Jnl[[#This Row],[TrxDate]]&lt;=stmt_BS_date_end, "In", "Out")</f>
        <v>In</v>
      </c>
      <c r="U59" t="str">
        <f>IF(Jnl[[#This Row],[TrxDate]]&lt;debug_date_start, "prior", IF(Jnl[[#This Row],[TrxDate]]&gt;debug_date_end, "post", "curr"))</f>
        <v>prior</v>
      </c>
    </row>
    <row r="60" spans="1:21" hidden="1">
      <c r="A60" s="10" t="s">
        <v>240</v>
      </c>
      <c r="B60" s="6">
        <f>_xlfn.XLOOKUP(Jnl[[#This Row],[TrxId]], Trx[Id], Trx[Date],,0)</f>
        <v>46022</v>
      </c>
      <c r="C60" s="6" t="str">
        <f>_xlfn.XLOOKUP(Jnl[[#This Row],[TrxId]], Trx[Id], Trx[Division],,0)</f>
        <v>Ctrl</v>
      </c>
      <c r="D60" s="6" t="str">
        <f>_xlfn.XLOOKUP(Jnl[[#This Row],[TrxId]], Trx[Id], Trx[Action],,0)</f>
        <v>结转</v>
      </c>
      <c r="E60" s="27" t="s">
        <v>83</v>
      </c>
      <c r="F60" s="10" t="s">
        <v>167</v>
      </c>
      <c r="G60" s="10" t="s">
        <v>147</v>
      </c>
      <c r="H60" s="20">
        <v>2000000</v>
      </c>
      <c r="I60" s="11" t="b">
        <f>AND(Jnl[[#This Row],[TrxId]]&lt;&gt;"",Jnl[[#This Row],[Acct]]&lt;&gt;"",Jnl[[#This Row],[Item]]&lt;&gt;"",ISNUMBER(Jnl[[#This Row],[Bal]]))</f>
        <v>1</v>
      </c>
      <c r="J60" s="9">
        <f>IF(Jnl[[#This Row],[BSLv0]]="A",1,-1)*Jnl[[#This Row],[Bal]]</f>
        <v>2000000</v>
      </c>
      <c r="K60" t="str">
        <f>_xlfn.XLOOKUP(Jnl[[#This Row],[Acct]], config_BS[Acct], config_BS[Lv0],,0)</f>
        <v>A</v>
      </c>
      <c r="L60" t="str">
        <f>_xlfn.XLOOKUP(Jnl[[#This Row],[Acct]], config_BS[Acct], config_BS[Lv1],,0)</f>
        <v>Assets</v>
      </c>
      <c r="M60" t="str">
        <f>_xlfn.XLOOKUP(Jnl[[#This Row],[Acct]], config_BS[Acct], config_BS[Lv2],,0)</f>
        <v>Invest-LTD</v>
      </c>
      <c r="N60" t="str">
        <f>_xlfn.XLOOKUP(Jnl[[#This Row],[TrxId]], Trx[Id], Trx[IncNode], ,0)</f>
        <v>Other</v>
      </c>
      <c r="O60" t="str">
        <f>_xlfn.XLOOKUP(Jnl[[#This Row],[IncNode]], config_IS[Node], config_IS[Type],,0)</f>
        <v>Non-Op</v>
      </c>
      <c r="P60" t="str">
        <f>_xlfn.XLOOKUP(Jnl[[#This Row],[BSLv2]], dict[Key], dict[Name],,0)</f>
        <v>6.投资与长期负债</v>
      </c>
      <c r="Q60" t="str">
        <f>_xlfn.XLOOKUP(Jnl[[#This Row],[Acct]], dict[Key], dict[Name],,0)</f>
        <v>权益性投资</v>
      </c>
      <c r="R60" t="str">
        <f>_xlfn.XLOOKUP(Jnl[[#This Row],[Vehicle]],config_vehicle[Id], config_vehicle[Name],,0)</f>
        <v>喜家文化</v>
      </c>
      <c r="S60" t="str">
        <f>_xlfn.XLOOKUP(Jnl[[#This Row],[Division]],config_div[Id], config_div[Name],,0)</f>
        <v>内控合规</v>
      </c>
      <c r="T60" t="str">
        <f>IF(Jnl[[#This Row],[TrxDate]]&lt;=stmt_BS_date_end, "In", "Out")</f>
        <v>In</v>
      </c>
      <c r="U60" t="str">
        <f>IF(Jnl[[#This Row],[TrxDate]]&lt;debug_date_start, "prior", IF(Jnl[[#This Row],[TrxDate]]&gt;debug_date_end, "post", "curr"))</f>
        <v>prior</v>
      </c>
    </row>
    <row r="61" spans="1:21" hidden="1">
      <c r="A61" s="10" t="s">
        <v>240</v>
      </c>
      <c r="B61" s="6">
        <f>_xlfn.XLOOKUP(Jnl[[#This Row],[TrxId]], Trx[Id], Trx[Date],,0)</f>
        <v>46022</v>
      </c>
      <c r="C61" s="6" t="str">
        <f>_xlfn.XLOOKUP(Jnl[[#This Row],[TrxId]], Trx[Id], Trx[Division],,0)</f>
        <v>Ctrl</v>
      </c>
      <c r="D61" s="6" t="str">
        <f>_xlfn.XLOOKUP(Jnl[[#This Row],[TrxId]], Trx[Id], Trx[Action],,0)</f>
        <v>结转</v>
      </c>
      <c r="E61" s="27" t="s">
        <v>83</v>
      </c>
      <c r="F61" s="10" t="s">
        <v>167</v>
      </c>
      <c r="G61" s="10" t="s">
        <v>148</v>
      </c>
      <c r="H61" s="20">
        <v>100000</v>
      </c>
      <c r="I61" s="11" t="b">
        <f>AND(Jnl[[#This Row],[TrxId]]&lt;&gt;"",Jnl[[#This Row],[Acct]]&lt;&gt;"",Jnl[[#This Row],[Item]]&lt;&gt;"",ISNUMBER(Jnl[[#This Row],[Bal]]))</f>
        <v>1</v>
      </c>
      <c r="J61" s="9">
        <f>IF(Jnl[[#This Row],[BSLv0]]="A",1,-1)*Jnl[[#This Row],[Bal]]</f>
        <v>100000</v>
      </c>
      <c r="K61" t="str">
        <f>_xlfn.XLOOKUP(Jnl[[#This Row],[Acct]], config_BS[Acct], config_BS[Lv0],,0)</f>
        <v>A</v>
      </c>
      <c r="L61" t="str">
        <f>_xlfn.XLOOKUP(Jnl[[#This Row],[Acct]], config_BS[Acct], config_BS[Lv1],,0)</f>
        <v>Assets</v>
      </c>
      <c r="M61" t="str">
        <f>_xlfn.XLOOKUP(Jnl[[#This Row],[Acct]], config_BS[Acct], config_BS[Lv2],,0)</f>
        <v>Invest-LTD</v>
      </c>
      <c r="N61" t="str">
        <f>_xlfn.XLOOKUP(Jnl[[#This Row],[TrxId]], Trx[Id], Trx[IncNode], ,0)</f>
        <v>Other</v>
      </c>
      <c r="O61" t="str">
        <f>_xlfn.XLOOKUP(Jnl[[#This Row],[IncNode]], config_IS[Node], config_IS[Type],,0)</f>
        <v>Non-Op</v>
      </c>
      <c r="P61" t="str">
        <f>_xlfn.XLOOKUP(Jnl[[#This Row],[BSLv2]], dict[Key], dict[Name],,0)</f>
        <v>6.投资与长期负债</v>
      </c>
      <c r="Q61" t="str">
        <f>_xlfn.XLOOKUP(Jnl[[#This Row],[Acct]], dict[Key], dict[Name],,0)</f>
        <v>权益性投资</v>
      </c>
      <c r="R61" t="str">
        <f>_xlfn.XLOOKUP(Jnl[[#This Row],[Vehicle]],config_vehicle[Id], config_vehicle[Name],,0)</f>
        <v>喜家文化</v>
      </c>
      <c r="S61" t="str">
        <f>_xlfn.XLOOKUP(Jnl[[#This Row],[Division]],config_div[Id], config_div[Name],,0)</f>
        <v>内控合规</v>
      </c>
      <c r="T61" t="str">
        <f>IF(Jnl[[#This Row],[TrxDate]]&lt;=stmt_BS_date_end, "In", "Out")</f>
        <v>In</v>
      </c>
      <c r="U61" t="str">
        <f>IF(Jnl[[#This Row],[TrxDate]]&lt;debug_date_start, "prior", IF(Jnl[[#This Row],[TrxDate]]&gt;debug_date_end, "post", "curr"))</f>
        <v>prior</v>
      </c>
    </row>
    <row r="62" spans="1:21" hidden="1">
      <c r="A62" s="10" t="s">
        <v>240</v>
      </c>
      <c r="B62" s="6">
        <f>_xlfn.XLOOKUP(Jnl[[#This Row],[TrxId]], Trx[Id], Trx[Date],,0)</f>
        <v>46022</v>
      </c>
      <c r="C62" s="6" t="str">
        <f>_xlfn.XLOOKUP(Jnl[[#This Row],[TrxId]], Trx[Id], Trx[Division],,0)</f>
        <v>Ctrl</v>
      </c>
      <c r="D62" s="6" t="str">
        <f>_xlfn.XLOOKUP(Jnl[[#This Row],[TrxId]], Trx[Id], Trx[Action],,0)</f>
        <v>结转</v>
      </c>
      <c r="E62" s="27" t="s">
        <v>83</v>
      </c>
      <c r="F62" s="10" t="s">
        <v>116</v>
      </c>
      <c r="G62" s="10" t="s">
        <v>139</v>
      </c>
      <c r="H62" s="20">
        <v>6891.7999999999993</v>
      </c>
      <c r="I62" s="11" t="b">
        <f>AND(Jnl[[#This Row],[TrxId]]&lt;&gt;"",Jnl[[#This Row],[Acct]]&lt;&gt;"",Jnl[[#This Row],[Item]]&lt;&gt;"",ISNUMBER(Jnl[[#This Row],[Bal]]))</f>
        <v>1</v>
      </c>
      <c r="J62" s="9">
        <f>IF(Jnl[[#This Row],[BSLv0]]="A",1,-1)*Jnl[[#This Row],[Bal]]</f>
        <v>-6891.7999999999993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应付-一般</v>
      </c>
      <c r="R62" t="str">
        <f>_xlfn.XLOOKUP(Jnl[[#This Row],[Vehicle]],config_vehicle[Id], config_vehicle[Name],,0)</f>
        <v>喜家文化</v>
      </c>
      <c r="S62" t="str">
        <f>_xlfn.XLOOKUP(Jnl[[#This Row],[Division]],config_div[Id], config_div[Name],,0)</f>
        <v>内控合规</v>
      </c>
      <c r="T62" t="str">
        <f>IF(Jnl[[#This Row],[TrxDate]]&lt;=stmt_BS_date_end, "In", "Out")</f>
        <v>In</v>
      </c>
      <c r="U62" t="str">
        <f>IF(Jnl[[#This Row],[TrxDate]]&lt;debug_date_start, "prior", IF(Jnl[[#This Row],[TrxDate]]&gt;debug_date_end, "post", "curr"))</f>
        <v>prior</v>
      </c>
    </row>
    <row r="63" spans="1:21" hidden="1">
      <c r="A63" s="10" t="s">
        <v>240</v>
      </c>
      <c r="B63" s="6">
        <f>_xlfn.XLOOKUP(Jnl[[#This Row],[TrxId]], Trx[Id], Trx[Date],,0)</f>
        <v>46022</v>
      </c>
      <c r="C63" s="6" t="str">
        <f>_xlfn.XLOOKUP(Jnl[[#This Row],[TrxId]], Trx[Id], Trx[Division],,0)</f>
        <v>Ctrl</v>
      </c>
      <c r="D63" s="6" t="str">
        <f>_xlfn.XLOOKUP(Jnl[[#This Row],[TrxId]], Trx[Id], Trx[Action],,0)</f>
        <v>结转</v>
      </c>
      <c r="E63" s="27" t="s">
        <v>83</v>
      </c>
      <c r="F63" s="10" t="s">
        <v>129</v>
      </c>
      <c r="G63" s="10" t="s">
        <v>312</v>
      </c>
      <c r="H63" s="20">
        <v>11047.53</v>
      </c>
      <c r="I63" s="11" t="b">
        <f>AND(Jnl[[#This Row],[TrxId]]&lt;&gt;"",Jnl[[#This Row],[Acct]]&lt;&gt;"",Jnl[[#This Row],[Item]]&lt;&gt;"",ISNUMBER(Jnl[[#This Row],[Bal]]))</f>
        <v>1</v>
      </c>
      <c r="J63" s="9">
        <f>IF(Jnl[[#This Row],[BSLv0]]="A",1,-1)*Jnl[[#This Row],[Bal]]</f>
        <v>-11047.53</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应付-税款</v>
      </c>
      <c r="R63" t="str">
        <f>_xlfn.XLOOKUP(Jnl[[#This Row],[Vehicle]],config_vehicle[Id], config_vehicle[Name],,0)</f>
        <v>喜家文化</v>
      </c>
      <c r="S63" t="str">
        <f>_xlfn.XLOOKUP(Jnl[[#This Row],[Division]],config_div[Id], config_div[Name],,0)</f>
        <v>内控合规</v>
      </c>
      <c r="T63" t="str">
        <f>IF(Jnl[[#This Row],[TrxDate]]&lt;=stmt_BS_date_end, "In", "Out")</f>
        <v>In</v>
      </c>
      <c r="U63" t="str">
        <f>IF(Jnl[[#This Row],[TrxDate]]&lt;debug_date_start, "prior", IF(Jnl[[#This Row],[TrxDate]]&gt;debug_date_end, "post", "curr"))</f>
        <v>prior</v>
      </c>
    </row>
    <row r="64" spans="1:21" hidden="1">
      <c r="A64" s="10" t="s">
        <v>240</v>
      </c>
      <c r="B64" s="6">
        <f>_xlfn.XLOOKUP(Jnl[[#This Row],[TrxId]], Trx[Id], Trx[Date],,0)</f>
        <v>46022</v>
      </c>
      <c r="C64" s="6" t="str">
        <f>_xlfn.XLOOKUP(Jnl[[#This Row],[TrxId]], Trx[Id], Trx[Division],,0)</f>
        <v>Ctrl</v>
      </c>
      <c r="D64" s="6" t="str">
        <f>_xlfn.XLOOKUP(Jnl[[#This Row],[TrxId]], Trx[Id], Trx[Action],,0)</f>
        <v>结转</v>
      </c>
      <c r="E64" s="27" t="s">
        <v>83</v>
      </c>
      <c r="F64" s="10" t="s">
        <v>129</v>
      </c>
      <c r="G64" s="10" t="s">
        <v>622</v>
      </c>
      <c r="H64" s="20">
        <v>78.09</v>
      </c>
      <c r="I64" s="11" t="b">
        <f>AND(Jnl[[#This Row],[TrxId]]&lt;&gt;"",Jnl[[#This Row],[Acct]]&lt;&gt;"",Jnl[[#This Row],[Item]]&lt;&gt;"",ISNUMBER(Jnl[[#This Row],[Bal]]))</f>
        <v>1</v>
      </c>
      <c r="J64" s="9">
        <f>IF(Jnl[[#This Row],[BSLv0]]="A",1,-1)*Jnl[[#This Row],[Bal]]</f>
        <v>-78.09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喜家文化</v>
      </c>
      <c r="S64" t="str">
        <f>_xlfn.XLOOKUP(Jnl[[#This Row],[Division]],config_div[Id], config_div[Name],,0)</f>
        <v>内控合规</v>
      </c>
      <c r="T64" t="str">
        <f>IF(Jnl[[#This Row],[TrxDate]]&lt;=stmt_BS_date_end, "In", "Out")</f>
        <v>In</v>
      </c>
      <c r="U64" t="str">
        <f>IF(Jnl[[#This Row],[TrxDate]]&lt;debug_date_start, "prior", IF(Jnl[[#This Row],[TrxDate]]&gt;debug_date_end, "post", "curr"))</f>
        <v>prior</v>
      </c>
    </row>
    <row r="65" spans="1:21" hidden="1">
      <c r="A65" s="10" t="s">
        <v>240</v>
      </c>
      <c r="B65" s="6">
        <f>_xlfn.XLOOKUP(Jnl[[#This Row],[TrxId]], Trx[Id], Trx[Date],,0)</f>
        <v>46022</v>
      </c>
      <c r="C65" s="6" t="str">
        <f>_xlfn.XLOOKUP(Jnl[[#This Row],[TrxId]], Trx[Id], Trx[Division],,0)</f>
        <v>Ctrl</v>
      </c>
      <c r="D65" s="6" t="str">
        <f>_xlfn.XLOOKUP(Jnl[[#This Row],[TrxId]], Trx[Id], Trx[Action],,0)</f>
        <v>结转</v>
      </c>
      <c r="E65" s="27" t="s">
        <v>83</v>
      </c>
      <c r="F65" s="10" t="s">
        <v>129</v>
      </c>
      <c r="G65" s="10" t="s">
        <v>353</v>
      </c>
      <c r="H65" s="20">
        <v>667.52</v>
      </c>
      <c r="I65" s="11" t="b">
        <f>AND(Jnl[[#This Row],[TrxId]]&lt;&gt;"",Jnl[[#This Row],[Acct]]&lt;&gt;"",Jnl[[#This Row],[Item]]&lt;&gt;"",ISNUMBER(Jnl[[#This Row],[Bal]]))</f>
        <v>1</v>
      </c>
      <c r="J65" s="9">
        <f>IF(Jnl[[#This Row],[BSLv0]]="A",1,-1)*Jnl[[#This Row],[Bal]]</f>
        <v>-667.52</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应付-税款</v>
      </c>
      <c r="R65" t="str">
        <f>_xlfn.XLOOKUP(Jnl[[#This Row],[Vehicle]],config_vehicle[Id], config_vehicle[Name],,0)</f>
        <v>喜家文化</v>
      </c>
      <c r="S65" t="str">
        <f>_xlfn.XLOOKUP(Jnl[[#This Row],[Division]],config_div[Id], config_div[Name],,0)</f>
        <v>内控合规</v>
      </c>
      <c r="T65" t="str">
        <f>IF(Jnl[[#This Row],[TrxDate]]&lt;=stmt_BS_date_end, "In", "Out")</f>
        <v>In</v>
      </c>
      <c r="U65" t="str">
        <f>IF(Jnl[[#This Row],[TrxDate]]&lt;debug_date_start, "prior", IF(Jnl[[#This Row],[TrxDate]]&gt;debug_date_end, "post", "curr"))</f>
        <v>prior</v>
      </c>
    </row>
    <row r="66" spans="1:21" hidden="1">
      <c r="A66" s="10" t="s">
        <v>240</v>
      </c>
      <c r="B66" s="6">
        <f>_xlfn.XLOOKUP(Jnl[[#This Row],[TrxId]], Trx[Id], Trx[Date],,0)</f>
        <v>46022</v>
      </c>
      <c r="C66" s="6" t="str">
        <f>_xlfn.XLOOKUP(Jnl[[#This Row],[TrxId]], Trx[Id], Trx[Division],,0)</f>
        <v>Ctrl</v>
      </c>
      <c r="D66" s="6" t="str">
        <f>_xlfn.XLOOKUP(Jnl[[#This Row],[TrxId]], Trx[Id], Trx[Action],,0)</f>
        <v>结转</v>
      </c>
      <c r="E66" s="27" t="s">
        <v>83</v>
      </c>
      <c r="F66" s="10" t="s">
        <v>129</v>
      </c>
      <c r="G66" s="10" t="s">
        <v>354</v>
      </c>
      <c r="H66" s="20">
        <v>980.15</v>
      </c>
      <c r="I66" s="11" t="b">
        <f>AND(Jnl[[#This Row],[TrxId]]&lt;&gt;"",Jnl[[#This Row],[Acct]]&lt;&gt;"",Jnl[[#This Row],[Item]]&lt;&gt;"",ISNUMBER(Jnl[[#This Row],[Bal]]))</f>
        <v>1</v>
      </c>
      <c r="J66" s="9">
        <f>IF(Jnl[[#This Row],[BSLv0]]="A",1,-1)*Jnl[[#This Row],[Bal]]</f>
        <v>-980.15</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喜家文化</v>
      </c>
      <c r="S66" t="str">
        <f>_xlfn.XLOOKUP(Jnl[[#This Row],[Division]],config_div[Id], config_div[Name],,0)</f>
        <v>内控合规</v>
      </c>
      <c r="T66" t="str">
        <f>IF(Jnl[[#This Row],[TrxDate]]&lt;=stmt_BS_date_end, "In", "Out")</f>
        <v>In</v>
      </c>
      <c r="U66" t="str">
        <f>IF(Jnl[[#This Row],[TrxDate]]&lt;debug_date_start, "prior", IF(Jnl[[#This Row],[TrxDate]]&gt;debug_date_end, "post", "curr"))</f>
        <v>prior</v>
      </c>
    </row>
    <row r="67" spans="1:21" hidden="1">
      <c r="A67" s="10" t="s">
        <v>240</v>
      </c>
      <c r="B67" s="6">
        <f>_xlfn.XLOOKUP(Jnl[[#This Row],[TrxId]], Trx[Id], Trx[Date],,0)</f>
        <v>46022</v>
      </c>
      <c r="C67" s="6" t="str">
        <f>_xlfn.XLOOKUP(Jnl[[#This Row],[TrxId]], Trx[Id], Trx[Division],,0)</f>
        <v>Ctrl</v>
      </c>
      <c r="D67" s="6" t="str">
        <f>_xlfn.XLOOKUP(Jnl[[#This Row],[TrxId]], Trx[Id], Trx[Action],,0)</f>
        <v>结转</v>
      </c>
      <c r="E67" s="27" t="s">
        <v>83</v>
      </c>
      <c r="F67" s="10" t="s">
        <v>129</v>
      </c>
      <c r="G67" s="10" t="s">
        <v>352</v>
      </c>
      <c r="H67" s="20">
        <v>17957.240000000002</v>
      </c>
      <c r="I67" s="11" t="b">
        <f>AND(Jnl[[#This Row],[TrxId]]&lt;&gt;"",Jnl[[#This Row],[Acct]]&lt;&gt;"",Jnl[[#This Row],[Item]]&lt;&gt;"",ISNUMBER(Jnl[[#This Row],[Bal]]))</f>
        <v>1</v>
      </c>
      <c r="J67" s="9">
        <f>IF(Jnl[[#This Row],[BSLv0]]="A",1,-1)*Jnl[[#This Row],[Bal]]</f>
        <v>-17957.240000000002</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应付-税款</v>
      </c>
      <c r="R67" t="str">
        <f>_xlfn.XLOOKUP(Jnl[[#This Row],[Vehicle]],config_vehicle[Id], config_vehicle[Name],,0)</f>
        <v>喜家文化</v>
      </c>
      <c r="S67" t="str">
        <f>_xlfn.XLOOKUP(Jnl[[#This Row],[Division]],config_div[Id], config_div[Name],,0)</f>
        <v>内控合规</v>
      </c>
      <c r="T67" t="str">
        <f>IF(Jnl[[#This Row],[TrxDate]]&lt;=stmt_BS_date_end, "In", "Out")</f>
        <v>In</v>
      </c>
      <c r="U67" t="str">
        <f>IF(Jnl[[#This Row],[TrxDate]]&lt;debug_date_start, "prior", IF(Jnl[[#This Row],[TrxDate]]&gt;debug_date_end, "post", "curr"))</f>
        <v>prior</v>
      </c>
    </row>
    <row r="68" spans="1:21" hidden="1">
      <c r="A68" s="10" t="s">
        <v>240</v>
      </c>
      <c r="B68" s="6">
        <f>_xlfn.XLOOKUP(Jnl[[#This Row],[TrxId]], Trx[Id], Trx[Date],,0)</f>
        <v>46022</v>
      </c>
      <c r="C68" s="6" t="str">
        <f>_xlfn.XLOOKUP(Jnl[[#This Row],[TrxId]], Trx[Id], Trx[Division],,0)</f>
        <v>Ctrl</v>
      </c>
      <c r="D68" s="6" t="str">
        <f>_xlfn.XLOOKUP(Jnl[[#This Row],[TrxId]], Trx[Id], Trx[Action],,0)</f>
        <v>结转</v>
      </c>
      <c r="E68" s="27" t="s">
        <v>83</v>
      </c>
      <c r="F68" s="10" t="s">
        <v>191</v>
      </c>
      <c r="G68" s="10" t="s">
        <v>152</v>
      </c>
      <c r="H68" s="20">
        <v>37380.69</v>
      </c>
      <c r="I68" s="11" t="b">
        <f>AND(Jnl[[#This Row],[TrxId]]&lt;&gt;"",Jnl[[#This Row],[Acct]]&lt;&gt;"",Jnl[[#This Row],[Item]]&lt;&gt;"",ISNUMBER(Jnl[[#This Row],[Bal]]))</f>
        <v>1</v>
      </c>
      <c r="J68" s="9">
        <f>IF(Jnl[[#This Row],[BSLv0]]="A",1,-1)*Jnl[[#This Row],[Bal]]</f>
        <v>-37380.69</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应付-薪资</v>
      </c>
      <c r="R68" t="str">
        <f>_xlfn.XLOOKUP(Jnl[[#This Row],[Vehicle]],config_vehicle[Id], config_vehicle[Name],,0)</f>
        <v>喜家文化</v>
      </c>
      <c r="S68" t="str">
        <f>_xlfn.XLOOKUP(Jnl[[#This Row],[Division]],config_div[Id], config_div[Name],,0)</f>
        <v>内控合规</v>
      </c>
      <c r="T68" t="str">
        <f>IF(Jnl[[#This Row],[TrxDate]]&lt;=stmt_BS_date_end, "In", "Out")</f>
        <v>In</v>
      </c>
      <c r="U68" t="str">
        <f>IF(Jnl[[#This Row],[TrxDate]]&lt;debug_date_start, "prior", IF(Jnl[[#This Row],[TrxDate]]&gt;debug_date_end, "post", "curr"))</f>
        <v>prior</v>
      </c>
    </row>
    <row r="69" spans="1:21" hidden="1">
      <c r="A69" s="10" t="s">
        <v>240</v>
      </c>
      <c r="B69" s="6">
        <f>_xlfn.XLOOKUP(Jnl[[#This Row],[TrxId]], Trx[Id], Trx[Date],,0)</f>
        <v>46022</v>
      </c>
      <c r="C69" s="6" t="str">
        <f>_xlfn.XLOOKUP(Jnl[[#This Row],[TrxId]], Trx[Id], Trx[Division],,0)</f>
        <v>Ctrl</v>
      </c>
      <c r="D69" s="6" t="str">
        <f>_xlfn.XLOOKUP(Jnl[[#This Row],[TrxId]], Trx[Id], Trx[Action],,0)</f>
        <v>结转</v>
      </c>
      <c r="E69" s="27" t="s">
        <v>82</v>
      </c>
      <c r="F69" s="10" t="s">
        <v>129</v>
      </c>
      <c r="G69" s="10" t="s">
        <v>312</v>
      </c>
      <c r="H69" s="20">
        <v>379473.01</v>
      </c>
      <c r="I69" s="11" t="b">
        <f>AND(Jnl[[#This Row],[TrxId]]&lt;&gt;"",Jnl[[#This Row],[Acct]]&lt;&gt;"",Jnl[[#This Row],[Item]]&lt;&gt;"",ISNUMBER(Jnl[[#This Row],[Bal]]))</f>
        <v>1</v>
      </c>
      <c r="J69" s="9">
        <f>IF(Jnl[[#This Row],[BSLv0]]="A",1,-1)*Jnl[[#This Row],[Bal]]</f>
        <v>-379473.01</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应付-税款</v>
      </c>
      <c r="R69" t="str">
        <f>_xlfn.XLOOKUP(Jnl[[#This Row],[Vehicle]],config_vehicle[Id], config_vehicle[Name],,0)</f>
        <v>远家花园</v>
      </c>
      <c r="S69" t="str">
        <f>_xlfn.XLOOKUP(Jnl[[#This Row],[Division]],config_div[Id], config_div[Name],,0)</f>
        <v>内控合规</v>
      </c>
      <c r="T69" t="str">
        <f>IF(Jnl[[#This Row],[TrxDate]]&lt;=stmt_BS_date_end, "In", "Out")</f>
        <v>In</v>
      </c>
      <c r="U69" t="str">
        <f>IF(Jnl[[#This Row],[TrxDate]]&lt;debug_date_start, "prior", IF(Jnl[[#This Row],[TrxDate]]&gt;debug_date_end, "post", "curr"))</f>
        <v>prior</v>
      </c>
    </row>
    <row r="70" spans="1:21" hidden="1">
      <c r="A70" s="10" t="s">
        <v>240</v>
      </c>
      <c r="B70" s="6">
        <f>_xlfn.XLOOKUP(Jnl[[#This Row],[TrxId]], Trx[Id], Trx[Date],,0)</f>
        <v>46022</v>
      </c>
      <c r="C70" s="6" t="str">
        <f>_xlfn.XLOOKUP(Jnl[[#This Row],[TrxId]], Trx[Id], Trx[Division],,0)</f>
        <v>Ctrl</v>
      </c>
      <c r="D70" s="6" t="str">
        <f>_xlfn.XLOOKUP(Jnl[[#This Row],[TrxId]], Trx[Id], Trx[Action],,0)</f>
        <v>结转</v>
      </c>
      <c r="E70" s="27" t="s">
        <v>82</v>
      </c>
      <c r="F70" s="10" t="s">
        <v>129</v>
      </c>
      <c r="G70" s="10" t="s">
        <v>353</v>
      </c>
      <c r="H70" s="20">
        <v>22987.3</v>
      </c>
      <c r="I70" s="11" t="b">
        <f>AND(Jnl[[#This Row],[TrxId]]&lt;&gt;"",Jnl[[#This Row],[Acct]]&lt;&gt;"",Jnl[[#This Row],[Item]]&lt;&gt;"",ISNUMBER(Jnl[[#This Row],[Bal]]))</f>
        <v>1</v>
      </c>
      <c r="J70" s="9">
        <f>IF(Jnl[[#This Row],[BSLv0]]="A",1,-1)*Jnl[[#This Row],[Bal]]</f>
        <v>-22987.3</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远家花园</v>
      </c>
      <c r="S70" t="str">
        <f>_xlfn.XLOOKUP(Jnl[[#This Row],[Division]],config_div[Id], config_div[Name],,0)</f>
        <v>内控合规</v>
      </c>
      <c r="T70" t="str">
        <f>IF(Jnl[[#This Row],[TrxDate]]&lt;=stmt_BS_date_end, "In", "Out")</f>
        <v>In</v>
      </c>
      <c r="U70" t="str">
        <f>IF(Jnl[[#This Row],[TrxDate]]&lt;debug_date_start, "prior", IF(Jnl[[#This Row],[TrxDate]]&gt;debug_date_end, "post", "curr"))</f>
        <v>prior</v>
      </c>
    </row>
    <row r="71" spans="1:21" hidden="1">
      <c r="A71" s="10" t="s">
        <v>240</v>
      </c>
      <c r="B71" s="6">
        <f>_xlfn.XLOOKUP(Jnl[[#This Row],[TrxId]], Trx[Id], Trx[Date],,0)</f>
        <v>46022</v>
      </c>
      <c r="C71" s="6" t="str">
        <f>_xlfn.XLOOKUP(Jnl[[#This Row],[TrxId]], Trx[Id], Trx[Division],,0)</f>
        <v>Ctrl</v>
      </c>
      <c r="D71" s="6" t="str">
        <f>_xlfn.XLOOKUP(Jnl[[#This Row],[TrxId]], Trx[Id], Trx[Action],,0)</f>
        <v>结转</v>
      </c>
      <c r="E71" s="27" t="s">
        <v>82</v>
      </c>
      <c r="F71" s="10" t="s">
        <v>129</v>
      </c>
      <c r="G71" s="10" t="s">
        <v>354</v>
      </c>
      <c r="H71" s="20">
        <v>583.9</v>
      </c>
      <c r="I71" s="11" t="b">
        <f>AND(Jnl[[#This Row],[TrxId]]&lt;&gt;"",Jnl[[#This Row],[Acct]]&lt;&gt;"",Jnl[[#This Row],[Item]]&lt;&gt;"",ISNUMBER(Jnl[[#This Row],[Bal]]))</f>
        <v>1</v>
      </c>
      <c r="J71" s="9">
        <f>IF(Jnl[[#This Row],[BSLv0]]="A",1,-1)*Jnl[[#This Row],[Bal]]</f>
        <v>-583.9</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应付-税款</v>
      </c>
      <c r="R71" t="str">
        <f>_xlfn.XLOOKUP(Jnl[[#This Row],[Vehicle]],config_vehicle[Id], config_vehicle[Name],,0)</f>
        <v>远家花园</v>
      </c>
      <c r="S71" t="str">
        <f>_xlfn.XLOOKUP(Jnl[[#This Row],[Division]],config_div[Id], config_div[Name],,0)</f>
        <v>内控合规</v>
      </c>
      <c r="T71" t="str">
        <f>IF(Jnl[[#This Row],[TrxDate]]&lt;=stmt_BS_date_end, "In", "Out")</f>
        <v>In</v>
      </c>
      <c r="U71" t="str">
        <f>IF(Jnl[[#This Row],[TrxDate]]&lt;debug_date_start, "prior", IF(Jnl[[#This Row],[TrxDate]]&gt;debug_date_end, "post", "curr"))</f>
        <v>prior</v>
      </c>
    </row>
    <row r="72" spans="1:21" hidden="1">
      <c r="A72" s="10" t="s">
        <v>240</v>
      </c>
      <c r="B72" s="6">
        <f>_xlfn.XLOOKUP(Jnl[[#This Row],[TrxId]], Trx[Id], Trx[Date],,0)</f>
        <v>46022</v>
      </c>
      <c r="C72" s="6" t="str">
        <f>_xlfn.XLOOKUP(Jnl[[#This Row],[TrxId]], Trx[Id], Trx[Division],,0)</f>
        <v>Ctrl</v>
      </c>
      <c r="D72" s="6" t="str">
        <f>_xlfn.XLOOKUP(Jnl[[#This Row],[TrxId]], Trx[Id], Trx[Action],,0)</f>
        <v>结转</v>
      </c>
      <c r="E72" s="27" t="s">
        <v>82</v>
      </c>
      <c r="F72" s="10" t="s">
        <v>129</v>
      </c>
      <c r="G72" s="10" t="s">
        <v>622</v>
      </c>
      <c r="H72" s="20">
        <v>1049.06</v>
      </c>
      <c r="I72" s="11" t="b">
        <f>AND(Jnl[[#This Row],[TrxId]]&lt;&gt;"",Jnl[[#This Row],[Acct]]&lt;&gt;"",Jnl[[#This Row],[Item]]&lt;&gt;"",ISNUMBER(Jnl[[#This Row],[Bal]]))</f>
        <v>1</v>
      </c>
      <c r="J72" s="9">
        <f>IF(Jnl[[#This Row],[BSLv0]]="A",1,-1)*Jnl[[#This Row],[Bal]]</f>
        <v>-1049.06</v>
      </c>
      <c r="K72" t="str">
        <f>_xlfn.XLOOKUP(Jnl[[#This Row],[Acct]], config_BS[Acct], config_BS[Lv0],,0)</f>
        <v>LC</v>
      </c>
      <c r="L72" t="str">
        <f>_xlfn.XLOOKUP(Jnl[[#This Row],[Acct]], config_BS[Acct], config_BS[Lv1],,0)</f>
        <v>Liability</v>
      </c>
      <c r="M72" t="str">
        <f>_xlfn.XLOOKUP(Jnl[[#This Row],[Acct]], config_BS[Acct], config_BS[Lv2],,0)</f>
        <v>Rec-Pay</v>
      </c>
      <c r="N72" t="str">
        <f>_xlfn.XLOOKUP(Jnl[[#This Row],[TrxId]], Trx[Id], Trx[IncNode], ,0)</f>
        <v>Other</v>
      </c>
      <c r="O72" t="str">
        <f>_xlfn.XLOOKUP(Jnl[[#This Row],[IncNode]], config_IS[Node], config_IS[Type],,0)</f>
        <v>Non-Op</v>
      </c>
      <c r="P72" t="str">
        <f>_xlfn.XLOOKUP(Jnl[[#This Row],[BSLv2]], dict[Key], dict[Name],,0)</f>
        <v>1.应收-应付</v>
      </c>
      <c r="Q72" t="str">
        <f>_xlfn.XLOOKUP(Jnl[[#This Row],[Acct]], dict[Key], dict[Name],,0)</f>
        <v>应付-税款</v>
      </c>
      <c r="R72" t="str">
        <f>_xlfn.XLOOKUP(Jnl[[#This Row],[Vehicle]],config_vehicle[Id], config_vehicle[Name],,0)</f>
        <v>远家花园</v>
      </c>
      <c r="S72" t="str">
        <f>_xlfn.XLOOKUP(Jnl[[#This Row],[Division]],config_div[Id], config_div[Name],,0)</f>
        <v>内控合规</v>
      </c>
      <c r="T72" t="str">
        <f>IF(Jnl[[#This Row],[TrxDate]]&lt;=stmt_BS_date_end, "In", "Out")</f>
        <v>In</v>
      </c>
      <c r="U72" t="str">
        <f>IF(Jnl[[#This Row],[TrxDate]]&lt;debug_date_start, "prior", IF(Jnl[[#This Row],[TrxDate]]&gt;debug_date_end, "post", "curr"))</f>
        <v>prior</v>
      </c>
    </row>
    <row r="73" spans="1:21" hidden="1">
      <c r="A73" s="10" t="s">
        <v>240</v>
      </c>
      <c r="B73" s="6">
        <f>_xlfn.XLOOKUP(Jnl[[#This Row],[TrxId]], Trx[Id], Trx[Date],,0)</f>
        <v>46022</v>
      </c>
      <c r="C73" s="6" t="str">
        <f>_xlfn.XLOOKUP(Jnl[[#This Row],[TrxId]], Trx[Id], Trx[Division],,0)</f>
        <v>Ctrl</v>
      </c>
      <c r="D73" s="6" t="str">
        <f>_xlfn.XLOOKUP(Jnl[[#This Row],[TrxId]], Trx[Id], Trx[Action],,0)</f>
        <v>结转</v>
      </c>
      <c r="E73" s="27" t="s">
        <v>82</v>
      </c>
      <c r="F73" s="10" t="s">
        <v>129</v>
      </c>
      <c r="G73" s="10" t="s">
        <v>352</v>
      </c>
      <c r="H73" s="20">
        <v>37203.69</v>
      </c>
      <c r="I73" s="11" t="b">
        <f>AND(Jnl[[#This Row],[TrxId]]&lt;&gt;"",Jnl[[#This Row],[Acct]]&lt;&gt;"",Jnl[[#This Row],[Item]]&lt;&gt;"",ISNUMBER(Jnl[[#This Row],[Bal]]))</f>
        <v>1</v>
      </c>
      <c r="J73" s="9">
        <f>IF(Jnl[[#This Row],[BSLv0]]="A",1,-1)*Jnl[[#This Row],[Bal]]</f>
        <v>-37203.69</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远家花园</v>
      </c>
      <c r="S73" t="str">
        <f>_xlfn.XLOOKUP(Jnl[[#This Row],[Division]],config_div[Id], config_div[Name],,0)</f>
        <v>内控合规</v>
      </c>
      <c r="T73" t="str">
        <f>IF(Jnl[[#This Row],[TrxDate]]&lt;=stmt_BS_date_end, "In", "Out")</f>
        <v>In</v>
      </c>
      <c r="U73" t="str">
        <f>IF(Jnl[[#This Row],[TrxDate]]&lt;debug_date_start, "prior", IF(Jnl[[#This Row],[TrxDate]]&gt;debug_date_end, "post", "curr"))</f>
        <v>prior</v>
      </c>
    </row>
    <row r="74" spans="1:21" hidden="1">
      <c r="A74" s="10" t="s">
        <v>240</v>
      </c>
      <c r="B74" s="6">
        <f>_xlfn.XLOOKUP(Jnl[[#This Row],[TrxId]], Trx[Id], Trx[Date],,0)</f>
        <v>46022</v>
      </c>
      <c r="C74" s="6" t="str">
        <f>_xlfn.XLOOKUP(Jnl[[#This Row],[TrxId]], Trx[Id], Trx[Division],,0)</f>
        <v>Ctrl</v>
      </c>
      <c r="D74" s="6" t="str">
        <f>_xlfn.XLOOKUP(Jnl[[#This Row],[TrxId]], Trx[Id], Trx[Action],,0)</f>
        <v>结转</v>
      </c>
      <c r="E74" s="27" t="s">
        <v>82</v>
      </c>
      <c r="F74" s="10" t="s">
        <v>191</v>
      </c>
      <c r="G74" s="10" t="s">
        <v>152</v>
      </c>
      <c r="H74" s="20">
        <v>454010.9</v>
      </c>
      <c r="I74" s="11" t="b">
        <f>AND(Jnl[[#This Row],[TrxId]]&lt;&gt;"",Jnl[[#This Row],[Acct]]&lt;&gt;"",Jnl[[#This Row],[Item]]&lt;&gt;"",ISNUMBER(Jnl[[#This Row],[Bal]]))</f>
        <v>1</v>
      </c>
      <c r="J74" s="9">
        <f>IF(Jnl[[#This Row],[BSLv0]]="A",1,-1)*Jnl[[#This Row],[Bal]]</f>
        <v>-454010.9</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远家花园</v>
      </c>
      <c r="S74" t="str">
        <f>_xlfn.XLOOKUP(Jnl[[#This Row],[Division]],config_div[Id], config_div[Name],,0)</f>
        <v>内控合规</v>
      </c>
      <c r="T74" t="str">
        <f>IF(Jnl[[#This Row],[TrxDate]]&lt;=stmt_BS_date_end, "In", "Out")</f>
        <v>In</v>
      </c>
      <c r="U74" t="str">
        <f>IF(Jnl[[#This Row],[TrxDate]]&lt;debug_date_start, "prior", IF(Jnl[[#This Row],[TrxDate]]&gt;debug_date_end, "post", "curr"))</f>
        <v>prior</v>
      </c>
    </row>
    <row r="75" spans="1:21" hidden="1">
      <c r="A75" s="10" t="s">
        <v>240</v>
      </c>
      <c r="B75" s="6">
        <f>_xlfn.XLOOKUP(Jnl[[#This Row],[TrxId]], Trx[Id], Trx[Date],,0)</f>
        <v>46022</v>
      </c>
      <c r="C75" s="6" t="str">
        <f>_xlfn.XLOOKUP(Jnl[[#This Row],[TrxId]], Trx[Id], Trx[Division],,0)</f>
        <v>Ctrl</v>
      </c>
      <c r="D75" s="6" t="str">
        <f>_xlfn.XLOOKUP(Jnl[[#This Row],[TrxId]], Trx[Id], Trx[Action],,0)</f>
        <v>结转</v>
      </c>
      <c r="E75" s="27" t="s">
        <v>108</v>
      </c>
      <c r="F75" s="10" t="s">
        <v>129</v>
      </c>
      <c r="G75" s="10" t="s">
        <v>312</v>
      </c>
      <c r="H75" s="20">
        <v>5178.93</v>
      </c>
      <c r="I75" s="11" t="b">
        <f>AND(Jnl[[#This Row],[TrxId]]&lt;&gt;"",Jnl[[#This Row],[Acct]]&lt;&gt;"",Jnl[[#This Row],[Item]]&lt;&gt;"",ISNUMBER(Jnl[[#This Row],[Bal]]))</f>
        <v>1</v>
      </c>
      <c r="J75" s="9">
        <f>IF(Jnl[[#This Row],[BSLv0]]="A",1,-1)*Jnl[[#This Row],[Bal]]</f>
        <v>-5178.93</v>
      </c>
      <c r="K75" t="str">
        <f>_xlfn.XLOOKUP(Jnl[[#This Row],[Acct]], config_BS[Acct], config_BS[Lv0],,0)</f>
        <v>LC</v>
      </c>
      <c r="L75" t="str">
        <f>_xlfn.XLOOKUP(Jnl[[#This Row],[Acct]], config_BS[Acct], config_BS[Lv1],,0)</f>
        <v>Liability</v>
      </c>
      <c r="M75" t="str">
        <f>_xlfn.XLOOKUP(Jnl[[#This Row],[Acct]], config_BS[Acct], config_BS[Lv2],,0)</f>
        <v>Rec-Pay</v>
      </c>
      <c r="N75" t="str">
        <f>_xlfn.XLOOKUP(Jnl[[#This Row],[TrxId]], Trx[Id], Trx[IncNode], ,0)</f>
        <v>Other</v>
      </c>
      <c r="O75" t="str">
        <f>_xlfn.XLOOKUP(Jnl[[#This Row],[IncNode]], config_IS[Node], config_IS[Type],,0)</f>
        <v>Non-Op</v>
      </c>
      <c r="P75" t="str">
        <f>_xlfn.XLOOKUP(Jnl[[#This Row],[BSLv2]], dict[Key], dict[Name],,0)</f>
        <v>1.应收-应付</v>
      </c>
      <c r="Q75" t="str">
        <f>_xlfn.XLOOKUP(Jnl[[#This Row],[Acct]], dict[Key], dict[Name],,0)</f>
        <v>应付-税款</v>
      </c>
      <c r="R75" t="str">
        <f>_xlfn.XLOOKUP(Jnl[[#This Row],[Vehicle]],config_vehicle[Id], config_vehicle[Name],,0)</f>
        <v>远家花园高新分公司</v>
      </c>
      <c r="S75" t="str">
        <f>_xlfn.XLOOKUP(Jnl[[#This Row],[Division]],config_div[Id], config_div[Name],,0)</f>
        <v>内控合规</v>
      </c>
      <c r="T75" t="str">
        <f>IF(Jnl[[#This Row],[TrxDate]]&lt;=stmt_BS_date_end, "In", "Out")</f>
        <v>In</v>
      </c>
      <c r="U75" t="str">
        <f>IF(Jnl[[#This Row],[TrxDate]]&lt;debug_date_start, "prior", IF(Jnl[[#This Row],[TrxDate]]&gt;debug_date_end, "post", "curr"))</f>
        <v>prior</v>
      </c>
    </row>
    <row r="76" spans="1:21" hidden="1">
      <c r="A76" s="10" t="s">
        <v>240</v>
      </c>
      <c r="B76" s="6">
        <f>_xlfn.XLOOKUP(Jnl[[#This Row],[TrxId]], Trx[Id], Trx[Date],,0)</f>
        <v>46022</v>
      </c>
      <c r="C76" s="6" t="str">
        <f>_xlfn.XLOOKUP(Jnl[[#This Row],[TrxId]], Trx[Id], Trx[Division],,0)</f>
        <v>Ctrl</v>
      </c>
      <c r="D76" s="6" t="str">
        <f>_xlfn.XLOOKUP(Jnl[[#This Row],[TrxId]], Trx[Id], Trx[Action],,0)</f>
        <v>结转</v>
      </c>
      <c r="E76" s="27" t="s">
        <v>108</v>
      </c>
      <c r="F76" s="10" t="s">
        <v>129</v>
      </c>
      <c r="G76" s="10" t="s">
        <v>353</v>
      </c>
      <c r="H76" s="20">
        <v>310.73</v>
      </c>
      <c r="I76" s="11" t="b">
        <f>AND(Jnl[[#This Row],[TrxId]]&lt;&gt;"",Jnl[[#This Row],[Acct]]&lt;&gt;"",Jnl[[#This Row],[Item]]&lt;&gt;"",ISNUMBER(Jnl[[#This Row],[Bal]]))</f>
        <v>1</v>
      </c>
      <c r="J76" s="9">
        <f>IF(Jnl[[#This Row],[BSLv0]]="A",1,-1)*Jnl[[#This Row],[Bal]]</f>
        <v>-310.73</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应付-税款</v>
      </c>
      <c r="R76" t="str">
        <f>_xlfn.XLOOKUP(Jnl[[#This Row],[Vehicle]],config_vehicle[Id], config_vehicle[Name],,0)</f>
        <v>远家花园高新分公司</v>
      </c>
      <c r="S76" t="str">
        <f>_xlfn.XLOOKUP(Jnl[[#This Row],[Division]],config_div[Id], config_div[Name],,0)</f>
        <v>内控合规</v>
      </c>
      <c r="T76" t="str">
        <f>IF(Jnl[[#This Row],[TrxDate]]&lt;=stmt_BS_date_end, "In", "Out")</f>
        <v>In</v>
      </c>
      <c r="U76" t="str">
        <f>IF(Jnl[[#This Row],[TrxDate]]&lt;debug_date_start, "prior", IF(Jnl[[#This Row],[TrxDate]]&gt;debug_date_end, "post", "curr"))</f>
        <v>prior</v>
      </c>
    </row>
    <row r="77" spans="1:21" hidden="1">
      <c r="A77" s="10" t="s">
        <v>671</v>
      </c>
      <c r="B77" s="6">
        <f>_xlfn.XLOOKUP(Jnl[[#This Row],[TrxId]], Trx[Id], Trx[Date],,0)</f>
        <v>46022</v>
      </c>
      <c r="C77" s="6" t="str">
        <f>_xlfn.XLOOKUP(Jnl[[#This Row],[TrxId]], Trx[Id], Trx[Division],,0)</f>
        <v>Ctrl</v>
      </c>
      <c r="D77" s="6" t="str">
        <f>_xlfn.XLOOKUP(Jnl[[#This Row],[TrxId]], Trx[Id], Trx[Action],,0)</f>
        <v>结转</v>
      </c>
      <c r="E77" s="27" t="s">
        <v>108</v>
      </c>
      <c r="F77" s="10" t="s">
        <v>191</v>
      </c>
      <c r="G77" s="10" t="s">
        <v>152</v>
      </c>
      <c r="H77" s="20">
        <v>34956.620000000003</v>
      </c>
      <c r="I77" s="11" t="b">
        <f>AND(Jnl[[#This Row],[TrxId]]&lt;&gt;"",Jnl[[#This Row],[Acct]]&lt;&gt;"",Jnl[[#This Row],[Item]]&lt;&gt;"",ISNUMBER(Jnl[[#This Row],[Bal]]))</f>
        <v>1</v>
      </c>
      <c r="J77" s="9">
        <f>IF(Jnl[[#This Row],[BSLv0]]="A",1,-1)*Jnl[[#This Row],[Bal]]</f>
        <v>-34956.620000000003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应付-薪资</v>
      </c>
      <c r="R77" t="str">
        <f>_xlfn.XLOOKUP(Jnl[[#This Row],[Vehicle]],config_vehicle[Id], config_vehicle[Name],,0)</f>
        <v>远家花园高新分公司</v>
      </c>
      <c r="S77" t="str">
        <f>_xlfn.XLOOKUP(Jnl[[#This Row],[Division]],config_div[Id], config_div[Name],,0)</f>
        <v>内控合规</v>
      </c>
      <c r="T77" t="str">
        <f>IF(Jnl[[#This Row],[TrxDate]]&lt;=stmt_BS_date_end, "In", "Out")</f>
        <v>In</v>
      </c>
      <c r="U77" t="str">
        <f>IF(Jnl[[#This Row],[TrxDate]]&lt;debug_date_start, "prior", IF(Jnl[[#This Row],[TrxDate]]&gt;debug_date_end, "post", "curr"))</f>
        <v>prior</v>
      </c>
    </row>
    <row r="78" spans="1:21" hidden="1">
      <c r="A78" s="10" t="s">
        <v>240</v>
      </c>
      <c r="B78" s="6">
        <f>_xlfn.XLOOKUP(Jnl[[#This Row],[TrxId]], Trx[Id], Trx[Date],,0)</f>
        <v>46022</v>
      </c>
      <c r="C78" s="6" t="str">
        <f>_xlfn.XLOOKUP(Jnl[[#This Row],[TrxId]], Trx[Id], Trx[Division],,0)</f>
        <v>Ctrl</v>
      </c>
      <c r="D78" s="6" t="str">
        <f>_xlfn.XLOOKUP(Jnl[[#This Row],[TrxId]], Trx[Id], Trx[Action],,0)</f>
        <v>结转</v>
      </c>
      <c r="E78" s="27" t="s">
        <v>108</v>
      </c>
      <c r="F78" s="10" t="s">
        <v>133</v>
      </c>
      <c r="G78" s="10" t="s">
        <v>197</v>
      </c>
      <c r="H78" s="20">
        <v>2200</v>
      </c>
      <c r="I78" s="11" t="b">
        <f>AND(Jnl[[#This Row],[TrxId]]&lt;&gt;"",Jnl[[#This Row],[Acct]]&lt;&gt;"",Jnl[[#This Row],[Item]]&lt;&gt;"",ISNUMBER(Jnl[[#This Row],[Bal]]))</f>
        <v>1</v>
      </c>
      <c r="J78" s="9">
        <f>IF(Jnl[[#This Row],[BSLv0]]="A",1,-1)*Jnl[[#This Row],[Bal]]</f>
        <v>-2200</v>
      </c>
      <c r="K78" t="str">
        <f>_xlfn.XLOOKUP(Jnl[[#This Row],[Acct]], config_BS[Acct], config_BS[Lv0],,0)</f>
        <v>LC</v>
      </c>
      <c r="L78" t="str">
        <f>_xlfn.XLOOKUP(Jnl[[#This Row],[Acct]], config_BS[Acct], config_BS[Lv1],,0)</f>
        <v>Liability</v>
      </c>
      <c r="M78" t="str">
        <f>_xlfn.XLOOKUP(Jnl[[#This Row],[Acct]], config_BS[Acct], config_BS[Lv2],,0)</f>
        <v>Rec-Pay</v>
      </c>
      <c r="N78" t="str">
        <f>_xlfn.XLOOKUP(Jnl[[#This Row],[TrxId]], Trx[Id], Trx[IncNode], ,0)</f>
        <v>Other</v>
      </c>
      <c r="O78" t="str">
        <f>_xlfn.XLOOKUP(Jnl[[#This Row],[IncNode]], config_IS[Node], config_IS[Type],,0)</f>
        <v>Non-Op</v>
      </c>
      <c r="P78" t="str">
        <f>_xlfn.XLOOKUP(Jnl[[#This Row],[BSLv2]], dict[Key], dict[Name],,0)</f>
        <v>1.应收-应付</v>
      </c>
      <c r="Q78" t="str">
        <f>_xlfn.XLOOKUP(Jnl[[#This Row],[Acct]], dict[Key], dict[Name],,0)</f>
        <v>应付-其他</v>
      </c>
      <c r="R78" t="str">
        <f>_xlfn.XLOOKUP(Jnl[[#This Row],[Vehicle]],config_vehicle[Id], config_vehicle[Name],,0)</f>
        <v>远家花园高新分公司</v>
      </c>
      <c r="S78" t="str">
        <f>_xlfn.XLOOKUP(Jnl[[#This Row],[Division]],config_div[Id], config_div[Name],,0)</f>
        <v>内控合规</v>
      </c>
      <c r="T78" t="str">
        <f>IF(Jnl[[#This Row],[TrxDate]]&lt;=stmt_BS_date_end, "In", "Out")</f>
        <v>In</v>
      </c>
      <c r="U78" t="str">
        <f>IF(Jnl[[#This Row],[TrxDate]]&lt;debug_date_start, "prior", IF(Jnl[[#This Row],[TrxDate]]&gt;debug_date_end, "post", "curr"))</f>
        <v>prior</v>
      </c>
    </row>
    <row r="79" spans="1:21" hidden="1">
      <c r="A79" s="10" t="s">
        <v>240</v>
      </c>
      <c r="B79" s="6">
        <f>_xlfn.XLOOKUP(Jnl[[#This Row],[TrxId]], Trx[Id], Trx[Date],,0)</f>
        <v>46022</v>
      </c>
      <c r="C79" s="6" t="str">
        <f>_xlfn.XLOOKUP(Jnl[[#This Row],[TrxId]], Trx[Id], Trx[Division],,0)</f>
        <v>Ctrl</v>
      </c>
      <c r="D79" s="6" t="str">
        <f>_xlfn.XLOOKUP(Jnl[[#This Row],[TrxId]], Trx[Id], Trx[Action],,0)</f>
        <v>结转</v>
      </c>
      <c r="E79" s="27" t="s">
        <v>113</v>
      </c>
      <c r="F79" s="10" t="s">
        <v>129</v>
      </c>
      <c r="G79" s="10" t="s">
        <v>312</v>
      </c>
      <c r="H79" s="20">
        <v>4117.58</v>
      </c>
      <c r="I79" s="11" t="b">
        <f>AND(Jnl[[#This Row],[TrxId]]&lt;&gt;"",Jnl[[#This Row],[Acct]]&lt;&gt;"",Jnl[[#This Row],[Item]]&lt;&gt;"",ISNUMBER(Jnl[[#This Row],[Bal]]))</f>
        <v>1</v>
      </c>
      <c r="J79" s="9">
        <f>IF(Jnl[[#This Row],[BSLv0]]="A",1,-1)*Jnl[[#This Row],[Bal]]</f>
        <v>-4117.58</v>
      </c>
      <c r="K79" t="str">
        <f>_xlfn.XLOOKUP(Jnl[[#This Row],[Acct]], config_BS[Acct], config_BS[Lv0],,0)</f>
        <v>LC</v>
      </c>
      <c r="L79" t="str">
        <f>_xlfn.XLOOKUP(Jnl[[#This Row],[Acct]], config_BS[Acct], config_BS[Lv1],,0)</f>
        <v>Liability</v>
      </c>
      <c r="M79" t="str">
        <f>_xlfn.XLOOKUP(Jnl[[#This Row],[Acct]], config_BS[Acct], config_BS[Lv2],,0)</f>
        <v>Rec-Pay</v>
      </c>
      <c r="N79" t="str">
        <f>_xlfn.XLOOKUP(Jnl[[#This Row],[TrxId]], Trx[Id], Trx[IncNode], ,0)</f>
        <v>Other</v>
      </c>
      <c r="O79" t="str">
        <f>_xlfn.XLOOKUP(Jnl[[#This Row],[IncNode]], config_IS[Node], config_IS[Type],,0)</f>
        <v>Non-Op</v>
      </c>
      <c r="P79" t="str">
        <f>_xlfn.XLOOKUP(Jnl[[#This Row],[BSLv2]], dict[Key], dict[Name],,0)</f>
        <v>1.应收-应付</v>
      </c>
      <c r="Q79" t="str">
        <f>_xlfn.XLOOKUP(Jnl[[#This Row],[Acct]], dict[Key], dict[Name],,0)</f>
        <v>应付-税款</v>
      </c>
      <c r="R79" t="str">
        <f>_xlfn.XLOOKUP(Jnl[[#This Row],[Vehicle]],config_vehicle[Id], config_vehicle[Name],,0)</f>
        <v>染匠文化</v>
      </c>
      <c r="S79" t="str">
        <f>_xlfn.XLOOKUP(Jnl[[#This Row],[Division]],config_div[Id], config_div[Name],,0)</f>
        <v>内控合规</v>
      </c>
      <c r="T79" t="str">
        <f>IF(Jnl[[#This Row],[TrxDate]]&lt;=stmt_BS_date_end, "In", "Out")</f>
        <v>In</v>
      </c>
      <c r="U79" t="str">
        <f>IF(Jnl[[#This Row],[TrxDate]]&lt;debug_date_start, "prior", IF(Jnl[[#This Row],[TrxDate]]&gt;debug_date_end, "post", "curr"))</f>
        <v>prior</v>
      </c>
    </row>
    <row r="80" spans="1:21" hidden="1">
      <c r="A80" s="10" t="s">
        <v>240</v>
      </c>
      <c r="B80" s="6">
        <f>_xlfn.XLOOKUP(Jnl[[#This Row],[TrxId]], Trx[Id], Trx[Date],,0)</f>
        <v>46022</v>
      </c>
      <c r="C80" s="6" t="str">
        <f>_xlfn.XLOOKUP(Jnl[[#This Row],[TrxId]], Trx[Id], Trx[Division],,0)</f>
        <v>Ctrl</v>
      </c>
      <c r="D80" s="6" t="str">
        <f>_xlfn.XLOOKUP(Jnl[[#This Row],[TrxId]], Trx[Id], Trx[Action],,0)</f>
        <v>结转</v>
      </c>
      <c r="E80" s="27" t="s">
        <v>113</v>
      </c>
      <c r="F80" s="10" t="s">
        <v>129</v>
      </c>
      <c r="G80" s="10" t="s">
        <v>353</v>
      </c>
      <c r="H80" s="20">
        <v>205.87</v>
      </c>
      <c r="I80" s="11" t="b">
        <f>AND(Jnl[[#This Row],[TrxId]]&lt;&gt;"",Jnl[[#This Row],[Acct]]&lt;&gt;"",Jnl[[#This Row],[Item]]&lt;&gt;"",ISNUMBER(Jnl[[#This Row],[Bal]]))</f>
        <v>1</v>
      </c>
      <c r="J80" s="9">
        <f>IF(Jnl[[#This Row],[BSLv0]]="A",1,-1)*Jnl[[#This Row],[Bal]]</f>
        <v>-205.87</v>
      </c>
      <c r="K80" t="str">
        <f>_xlfn.XLOOKUP(Jnl[[#This Row],[Acct]], config_BS[Acct], config_BS[Lv0],,0)</f>
        <v>LC</v>
      </c>
      <c r="L80" t="str">
        <f>_xlfn.XLOOKUP(Jnl[[#This Row],[Acct]], config_BS[Acct], config_BS[Lv1],,0)</f>
        <v>Liability</v>
      </c>
      <c r="M80" t="str">
        <f>_xlfn.XLOOKUP(Jnl[[#This Row],[Acct]], config_BS[Acct], config_BS[Lv2],,0)</f>
        <v>Rec-Pay</v>
      </c>
      <c r="N80" t="str">
        <f>_xlfn.XLOOKUP(Jnl[[#This Row],[TrxId]], Trx[Id], Trx[IncNode], ,0)</f>
        <v>Other</v>
      </c>
      <c r="O80" t="str">
        <f>_xlfn.XLOOKUP(Jnl[[#This Row],[IncNode]], config_IS[Node], config_IS[Type],,0)</f>
        <v>Non-Op</v>
      </c>
      <c r="P80" t="str">
        <f>_xlfn.XLOOKUP(Jnl[[#This Row],[BSLv2]], dict[Key], dict[Name],,0)</f>
        <v>1.应收-应付</v>
      </c>
      <c r="Q80" t="str">
        <f>_xlfn.XLOOKUP(Jnl[[#This Row],[Acct]], dict[Key], dict[Name],,0)</f>
        <v>应付-税款</v>
      </c>
      <c r="R80" t="str">
        <f>_xlfn.XLOOKUP(Jnl[[#This Row],[Vehicle]],config_vehicle[Id], config_vehicle[Name],,0)</f>
        <v>染匠文化</v>
      </c>
      <c r="S80" t="str">
        <f>_xlfn.XLOOKUP(Jnl[[#This Row],[Division]],config_div[Id], config_div[Name],,0)</f>
        <v>内控合规</v>
      </c>
      <c r="T80" t="str">
        <f>IF(Jnl[[#This Row],[TrxDate]]&lt;=stmt_BS_date_end, "In", "Out")</f>
        <v>In</v>
      </c>
      <c r="U80" t="str">
        <f>IF(Jnl[[#This Row],[TrxDate]]&lt;debug_date_start, "prior", IF(Jnl[[#This Row],[TrxDate]]&gt;debug_date_end, "post", "curr"))</f>
        <v>prior</v>
      </c>
    </row>
    <row r="81" spans="1:21" hidden="1">
      <c r="A81" s="10" t="s">
        <v>240</v>
      </c>
      <c r="B81" s="6">
        <f>_xlfn.XLOOKUP(Jnl[[#This Row],[TrxId]], Trx[Id], Trx[Date],,0)</f>
        <v>46022</v>
      </c>
      <c r="C81" s="6" t="str">
        <f>_xlfn.XLOOKUP(Jnl[[#This Row],[TrxId]], Trx[Id], Trx[Division],,0)</f>
        <v>Ctrl</v>
      </c>
      <c r="D81" s="6" t="str">
        <f>_xlfn.XLOOKUP(Jnl[[#This Row],[TrxId]], Trx[Id], Trx[Action],,0)</f>
        <v>结转</v>
      </c>
      <c r="E81" s="27" t="s">
        <v>113</v>
      </c>
      <c r="F81" s="10" t="s">
        <v>129</v>
      </c>
      <c r="G81" s="10" t="s">
        <v>354</v>
      </c>
      <c r="H81" s="20">
        <v>2.96</v>
      </c>
      <c r="I81" s="11" t="b">
        <f>AND(Jnl[[#This Row],[TrxId]]&lt;&gt;"",Jnl[[#This Row],[Acct]]&lt;&gt;"",Jnl[[#This Row],[Item]]&lt;&gt;"",ISNUMBER(Jnl[[#This Row],[Bal]]))</f>
        <v>1</v>
      </c>
      <c r="J81" s="9">
        <f>IF(Jnl[[#This Row],[BSLv0]]="A",1,-1)*Jnl[[#This Row],[Bal]]</f>
        <v>-2.96</v>
      </c>
      <c r="K81" t="str">
        <f>_xlfn.XLOOKUP(Jnl[[#This Row],[Acct]], config_BS[Acct], config_BS[Lv0],,0)</f>
        <v>LC</v>
      </c>
      <c r="L81" t="str">
        <f>_xlfn.XLOOKUP(Jnl[[#This Row],[Acct]], config_BS[Acct], config_BS[Lv1],,0)</f>
        <v>Liability</v>
      </c>
      <c r="M81" t="str">
        <f>_xlfn.XLOOKUP(Jnl[[#This Row],[Acct]], config_BS[Acct], config_BS[Lv2],,0)</f>
        <v>Rec-Pay</v>
      </c>
      <c r="N81" t="str">
        <f>_xlfn.XLOOKUP(Jnl[[#This Row],[TrxId]], Trx[Id], Trx[IncNode], ,0)</f>
        <v>Other</v>
      </c>
      <c r="O81" t="str">
        <f>_xlfn.XLOOKUP(Jnl[[#This Row],[IncNode]], config_IS[Node], config_IS[Type],,0)</f>
        <v>Non-Op</v>
      </c>
      <c r="P81" t="str">
        <f>_xlfn.XLOOKUP(Jnl[[#This Row],[BSLv2]], dict[Key], dict[Name],,0)</f>
        <v>1.应收-应付</v>
      </c>
      <c r="Q81" t="str">
        <f>_xlfn.XLOOKUP(Jnl[[#This Row],[Acct]], dict[Key], dict[Name],,0)</f>
        <v>应付-税款</v>
      </c>
      <c r="R81" t="str">
        <f>_xlfn.XLOOKUP(Jnl[[#This Row],[Vehicle]],config_vehicle[Id], config_vehicle[Name],,0)</f>
        <v>染匠文化</v>
      </c>
      <c r="S81" t="str">
        <f>_xlfn.XLOOKUP(Jnl[[#This Row],[Division]],config_div[Id], config_div[Name],,0)</f>
        <v>内控合规</v>
      </c>
      <c r="T81" t="str">
        <f>IF(Jnl[[#This Row],[TrxDate]]&lt;=stmt_BS_date_end, "In", "Out")</f>
        <v>In</v>
      </c>
      <c r="U81" t="str">
        <f>IF(Jnl[[#This Row],[TrxDate]]&lt;debug_date_start, "prior", IF(Jnl[[#This Row],[TrxDate]]&gt;debug_date_end, "post", "curr"))</f>
        <v>prior</v>
      </c>
    </row>
    <row r="82" spans="1:21" hidden="1">
      <c r="A82" s="10" t="s">
        <v>240</v>
      </c>
      <c r="B82" s="6">
        <f>_xlfn.XLOOKUP(Jnl[[#This Row],[TrxId]], Trx[Id], Trx[Date],,0)</f>
        <v>46022</v>
      </c>
      <c r="C82" s="6" t="str">
        <f>_xlfn.XLOOKUP(Jnl[[#This Row],[TrxId]], Trx[Id], Trx[Division],,0)</f>
        <v>Ctrl</v>
      </c>
      <c r="D82" s="6" t="str">
        <f>_xlfn.XLOOKUP(Jnl[[#This Row],[TrxId]], Trx[Id], Trx[Action],,0)</f>
        <v>结转</v>
      </c>
      <c r="E82" s="27" t="s">
        <v>113</v>
      </c>
      <c r="F82" s="10" t="s">
        <v>129</v>
      </c>
      <c r="G82" s="10" t="s">
        <v>352</v>
      </c>
      <c r="H82" s="20">
        <v>11399.28</v>
      </c>
      <c r="I82" s="11" t="b">
        <f>AND(Jnl[[#This Row],[TrxId]]&lt;&gt;"",Jnl[[#This Row],[Acct]]&lt;&gt;"",Jnl[[#This Row],[Item]]&lt;&gt;"",ISNUMBER(Jnl[[#This Row],[Bal]]))</f>
        <v>1</v>
      </c>
      <c r="J82" s="9">
        <f>IF(Jnl[[#This Row],[BSLv0]]="A",1,-1)*Jnl[[#This Row],[Bal]]</f>
        <v>-11399.28</v>
      </c>
      <c r="K82" t="str">
        <f>_xlfn.XLOOKUP(Jnl[[#This Row],[Acct]], config_BS[Acct], config_BS[Lv0],,0)</f>
        <v>LC</v>
      </c>
      <c r="L82" t="str">
        <f>_xlfn.XLOOKUP(Jnl[[#This Row],[Acct]], config_BS[Acct], config_BS[Lv1],,0)</f>
        <v>Liability</v>
      </c>
      <c r="M82" t="str">
        <f>_xlfn.XLOOKUP(Jnl[[#This Row],[Acct]], config_BS[Acct], config_BS[Lv2],,0)</f>
        <v>Rec-Pay</v>
      </c>
      <c r="N82" t="str">
        <f>_xlfn.XLOOKUP(Jnl[[#This Row],[TrxId]], Trx[Id], Trx[IncNode], ,0)</f>
        <v>Other</v>
      </c>
      <c r="O82" t="str">
        <f>_xlfn.XLOOKUP(Jnl[[#This Row],[IncNode]], config_IS[Node], config_IS[Type],,0)</f>
        <v>Non-Op</v>
      </c>
      <c r="P82" t="str">
        <f>_xlfn.XLOOKUP(Jnl[[#This Row],[BSLv2]], dict[Key], dict[Name],,0)</f>
        <v>1.应收-应付</v>
      </c>
      <c r="Q82" t="str">
        <f>_xlfn.XLOOKUP(Jnl[[#This Row],[Acct]], dict[Key], dict[Name],,0)</f>
        <v>应付-税款</v>
      </c>
      <c r="R82" t="str">
        <f>_xlfn.XLOOKUP(Jnl[[#This Row],[Vehicle]],config_vehicle[Id], config_vehicle[Name],,0)</f>
        <v>染匠文化</v>
      </c>
      <c r="S82" t="str">
        <f>_xlfn.XLOOKUP(Jnl[[#This Row],[Division]],config_div[Id], config_div[Name],,0)</f>
        <v>内控合规</v>
      </c>
      <c r="T82" t="str">
        <f>IF(Jnl[[#This Row],[TrxDate]]&lt;=stmt_BS_date_end, "In", "Out")</f>
        <v>In</v>
      </c>
      <c r="U82" t="str">
        <f>IF(Jnl[[#This Row],[TrxDate]]&lt;debug_date_start, "prior", IF(Jnl[[#This Row],[TrxDate]]&gt;debug_date_end, "post", "curr"))</f>
        <v>prior</v>
      </c>
    </row>
    <row r="83" spans="1:21" hidden="1">
      <c r="A83" s="10" t="s">
        <v>240</v>
      </c>
      <c r="B83" s="6">
        <f>_xlfn.XLOOKUP(Jnl[[#This Row],[TrxId]], Trx[Id], Trx[Date],,0)</f>
        <v>46022</v>
      </c>
      <c r="C83" s="6" t="str">
        <f>_xlfn.XLOOKUP(Jnl[[#This Row],[TrxId]], Trx[Id], Trx[Division],,0)</f>
        <v>Ctrl</v>
      </c>
      <c r="D83" s="6" t="str">
        <f>_xlfn.XLOOKUP(Jnl[[#This Row],[TrxId]], Trx[Id], Trx[Action],,0)</f>
        <v>结转</v>
      </c>
      <c r="E83" s="27" t="s">
        <v>113</v>
      </c>
      <c r="F83" s="10" t="s">
        <v>191</v>
      </c>
      <c r="G83" s="10" t="s">
        <v>152</v>
      </c>
      <c r="H83" s="20">
        <v>33541.86</v>
      </c>
      <c r="I83" s="11" t="b">
        <f>AND(Jnl[[#This Row],[TrxId]]&lt;&gt;"",Jnl[[#This Row],[Acct]]&lt;&gt;"",Jnl[[#This Row],[Item]]&lt;&gt;"",ISNUMBER(Jnl[[#This Row],[Bal]]))</f>
        <v>1</v>
      </c>
      <c r="J83" s="9">
        <f>IF(Jnl[[#This Row],[BSLv0]]="A",1,-1)*Jnl[[#This Row],[Bal]]</f>
        <v>-33541.86</v>
      </c>
      <c r="K83" t="str">
        <f>_xlfn.XLOOKUP(Jnl[[#This Row],[Acct]], config_BS[Acct], config_BS[Lv0],,0)</f>
        <v>LC</v>
      </c>
      <c r="L83" t="str">
        <f>_xlfn.XLOOKUP(Jnl[[#This Row],[Acct]], config_BS[Acct], config_BS[Lv1],,0)</f>
        <v>Liability</v>
      </c>
      <c r="M83" t="str">
        <f>_xlfn.XLOOKUP(Jnl[[#This Row],[Acct]], config_BS[Acct], config_BS[Lv2],,0)</f>
        <v>Rec-Pay</v>
      </c>
      <c r="N83" t="str">
        <f>_xlfn.XLOOKUP(Jnl[[#This Row],[TrxId]], Trx[Id], Trx[IncNode], ,0)</f>
        <v>Other</v>
      </c>
      <c r="O83" t="str">
        <f>_xlfn.XLOOKUP(Jnl[[#This Row],[IncNode]], config_IS[Node], config_IS[Type],,0)</f>
        <v>Non-Op</v>
      </c>
      <c r="P83" t="str">
        <f>_xlfn.XLOOKUP(Jnl[[#This Row],[BSLv2]], dict[Key], dict[Name],,0)</f>
        <v>1.应收-应付</v>
      </c>
      <c r="Q83" t="str">
        <f>_xlfn.XLOOKUP(Jnl[[#This Row],[Acct]], dict[Key], dict[Name],,0)</f>
        <v>应付-薪资</v>
      </c>
      <c r="R83" t="str">
        <f>_xlfn.XLOOKUP(Jnl[[#This Row],[Vehicle]],config_vehicle[Id], config_vehicle[Name],,0)</f>
        <v>染匠文化</v>
      </c>
      <c r="S83" t="str">
        <f>_xlfn.XLOOKUP(Jnl[[#This Row],[Division]],config_div[Id], config_div[Name],,0)</f>
        <v>内控合规</v>
      </c>
      <c r="T83" t="str">
        <f>IF(Jnl[[#This Row],[TrxDate]]&lt;=stmt_BS_date_end, "In", "Out")</f>
        <v>In</v>
      </c>
      <c r="U83" t="str">
        <f>IF(Jnl[[#This Row],[TrxDate]]&lt;debug_date_start, "prior", IF(Jnl[[#This Row],[TrxDate]]&gt;debug_date_end, "post", "curr"))</f>
        <v>prior</v>
      </c>
    </row>
    <row r="84" spans="1:21" hidden="1">
      <c r="A84" s="10" t="s">
        <v>240</v>
      </c>
      <c r="B84" s="6">
        <f>_xlfn.XLOOKUP(Jnl[[#This Row],[TrxId]], Trx[Id], Trx[Date],,0)</f>
        <v>46022</v>
      </c>
      <c r="C84" s="6" t="str">
        <f>_xlfn.XLOOKUP(Jnl[[#This Row],[TrxId]], Trx[Id], Trx[Division],,0)</f>
        <v>Ctrl</v>
      </c>
      <c r="D84" s="6" t="str">
        <f>_xlfn.XLOOKUP(Jnl[[#This Row],[TrxId]], Trx[Id], Trx[Action],,0)</f>
        <v>结转</v>
      </c>
      <c r="E84" s="27" t="s">
        <v>86</v>
      </c>
      <c r="F84" s="10" t="s">
        <v>129</v>
      </c>
      <c r="G84" s="10" t="s">
        <v>312</v>
      </c>
      <c r="H84" s="20">
        <v>10950.5</v>
      </c>
      <c r="I84" s="11" t="b">
        <f>AND(Jnl[[#This Row],[TrxId]]&lt;&gt;"",Jnl[[#This Row],[Acct]]&lt;&gt;"",Jnl[[#This Row],[Item]]&lt;&gt;"",ISNUMBER(Jnl[[#This Row],[Bal]]))</f>
        <v>1</v>
      </c>
      <c r="J84" s="9">
        <f>IF(Jnl[[#This Row],[BSLv0]]="A",1,-1)*Jnl[[#This Row],[Bal]]</f>
        <v>-10950.5</v>
      </c>
      <c r="K84" t="str">
        <f>_xlfn.XLOOKUP(Jnl[[#This Row],[Acct]], config_BS[Acct], config_BS[Lv0],,0)</f>
        <v>LC</v>
      </c>
      <c r="L84" t="str">
        <f>_xlfn.XLOOKUP(Jnl[[#This Row],[Acct]], config_BS[Acct], config_BS[Lv1],,0)</f>
        <v>Liability</v>
      </c>
      <c r="M84" t="str">
        <f>_xlfn.XLOOKUP(Jnl[[#This Row],[Acct]], config_BS[Acct], config_BS[Lv2],,0)</f>
        <v>Rec-Pay</v>
      </c>
      <c r="N84" t="str">
        <f>_xlfn.XLOOKUP(Jnl[[#This Row],[TrxId]], Trx[Id], Trx[IncNode], ,0)</f>
        <v>Other</v>
      </c>
      <c r="O84" t="str">
        <f>_xlfn.XLOOKUP(Jnl[[#This Row],[IncNode]], config_IS[Node], config_IS[Type],,0)</f>
        <v>Non-Op</v>
      </c>
      <c r="P84" t="str">
        <f>_xlfn.XLOOKUP(Jnl[[#This Row],[BSLv2]], dict[Key], dict[Name],,0)</f>
        <v>1.应收-应付</v>
      </c>
      <c r="Q84" t="str">
        <f>_xlfn.XLOOKUP(Jnl[[#This Row],[Acct]], dict[Key], dict[Name],,0)</f>
        <v>应付-税款</v>
      </c>
      <c r="R84" t="str">
        <f>_xlfn.XLOOKUP(Jnl[[#This Row],[Vehicle]],config_vehicle[Id], config_vehicle[Name],,0)</f>
        <v>榆乐</v>
      </c>
      <c r="S84" t="str">
        <f>_xlfn.XLOOKUP(Jnl[[#This Row],[Division]],config_div[Id], config_div[Name],,0)</f>
        <v>内控合规</v>
      </c>
      <c r="T84" t="str">
        <f>IF(Jnl[[#This Row],[TrxDate]]&lt;=stmt_BS_date_end, "In", "Out")</f>
        <v>In</v>
      </c>
      <c r="U84" t="str">
        <f>IF(Jnl[[#This Row],[TrxDate]]&lt;debug_date_start, "prior", IF(Jnl[[#This Row],[TrxDate]]&gt;debug_date_end, "post", "curr"))</f>
        <v>prior</v>
      </c>
    </row>
    <row r="85" spans="1:21" hidden="1">
      <c r="A85" s="10" t="s">
        <v>240</v>
      </c>
      <c r="B85" s="6">
        <f>_xlfn.XLOOKUP(Jnl[[#This Row],[TrxId]], Trx[Id], Trx[Date],,0)</f>
        <v>46022</v>
      </c>
      <c r="C85" s="6" t="str">
        <f>_xlfn.XLOOKUP(Jnl[[#This Row],[TrxId]], Trx[Id], Trx[Division],,0)</f>
        <v>Ctrl</v>
      </c>
      <c r="D85" s="6" t="str">
        <f>_xlfn.XLOOKUP(Jnl[[#This Row],[TrxId]], Trx[Id], Trx[Action],,0)</f>
        <v>结转</v>
      </c>
      <c r="E85" s="27" t="s">
        <v>86</v>
      </c>
      <c r="F85" s="10" t="s">
        <v>129</v>
      </c>
      <c r="G85" s="10" t="s">
        <v>352</v>
      </c>
      <c r="H85" s="20">
        <v>30620.29</v>
      </c>
      <c r="I85" s="11" t="b">
        <f>AND(Jnl[[#This Row],[TrxId]]&lt;&gt;"",Jnl[[#This Row],[Acct]]&lt;&gt;"",Jnl[[#This Row],[Item]]&lt;&gt;"",ISNUMBER(Jnl[[#This Row],[Bal]]))</f>
        <v>1</v>
      </c>
      <c r="J85" s="9">
        <f>IF(Jnl[[#This Row],[BSLv0]]="A",1,-1)*Jnl[[#This Row],[Bal]]</f>
        <v>-30620.29</v>
      </c>
      <c r="K85" t="str">
        <f>_xlfn.XLOOKUP(Jnl[[#This Row],[Acct]], config_BS[Acct], config_BS[Lv0],,0)</f>
        <v>LC</v>
      </c>
      <c r="L85" t="str">
        <f>_xlfn.XLOOKUP(Jnl[[#This Row],[Acct]], config_BS[Acct], config_BS[Lv1],,0)</f>
        <v>Liability</v>
      </c>
      <c r="M85" t="str">
        <f>_xlfn.XLOOKUP(Jnl[[#This Row],[Acct]], config_BS[Acct], config_BS[Lv2],,0)</f>
        <v>Rec-Pay</v>
      </c>
      <c r="N85" t="str">
        <f>_xlfn.XLOOKUP(Jnl[[#This Row],[TrxId]], Trx[Id], Trx[IncNode], ,0)</f>
        <v>Other</v>
      </c>
      <c r="O85" t="str">
        <f>_xlfn.XLOOKUP(Jnl[[#This Row],[IncNode]], config_IS[Node], config_IS[Type],,0)</f>
        <v>Non-Op</v>
      </c>
      <c r="P85" t="str">
        <f>_xlfn.XLOOKUP(Jnl[[#This Row],[BSLv2]], dict[Key], dict[Name],,0)</f>
        <v>1.应收-应付</v>
      </c>
      <c r="Q85" t="str">
        <f>_xlfn.XLOOKUP(Jnl[[#This Row],[Acct]], dict[Key], dict[Name],,0)</f>
        <v>应付-税款</v>
      </c>
      <c r="R85" t="str">
        <f>_xlfn.XLOOKUP(Jnl[[#This Row],[Vehicle]],config_vehicle[Id], config_vehicle[Name],,0)</f>
        <v>榆乐</v>
      </c>
      <c r="S85" t="str">
        <f>_xlfn.XLOOKUP(Jnl[[#This Row],[Division]],config_div[Id], config_div[Name],,0)</f>
        <v>内控合规</v>
      </c>
      <c r="T85" t="str">
        <f>IF(Jnl[[#This Row],[TrxDate]]&lt;=stmt_BS_date_end, "In", "Out")</f>
        <v>In</v>
      </c>
      <c r="U85" t="str">
        <f>IF(Jnl[[#This Row],[TrxDate]]&lt;debug_date_start, "prior", IF(Jnl[[#This Row],[TrxDate]]&gt;debug_date_end, "post", "curr"))</f>
        <v>prior</v>
      </c>
    </row>
    <row r="86" spans="1:21" hidden="1">
      <c r="A86" s="10" t="s">
        <v>240</v>
      </c>
      <c r="B86" s="6">
        <f>_xlfn.XLOOKUP(Jnl[[#This Row],[TrxId]], Trx[Id], Trx[Date],,0)</f>
        <v>46022</v>
      </c>
      <c r="C86" s="6" t="str">
        <f>_xlfn.XLOOKUP(Jnl[[#This Row],[TrxId]], Trx[Id], Trx[Division],,0)</f>
        <v>Ctrl</v>
      </c>
      <c r="D86" s="6" t="str">
        <f>_xlfn.XLOOKUP(Jnl[[#This Row],[TrxId]], Trx[Id], Trx[Action],,0)</f>
        <v>结转</v>
      </c>
      <c r="E86" s="27" t="s">
        <v>86</v>
      </c>
      <c r="F86" s="10" t="s">
        <v>129</v>
      </c>
      <c r="G86" s="10" t="s">
        <v>353</v>
      </c>
      <c r="H86" s="20">
        <v>657.03</v>
      </c>
      <c r="I86" s="11" t="b">
        <f>AND(Jnl[[#This Row],[TrxId]]&lt;&gt;"",Jnl[[#This Row],[Acct]]&lt;&gt;"",Jnl[[#This Row],[Item]]&lt;&gt;"",ISNUMBER(Jnl[[#This Row],[Bal]]))</f>
        <v>1</v>
      </c>
      <c r="J86" s="9">
        <f>IF(Jnl[[#This Row],[BSLv0]]="A",1,-1)*Jnl[[#This Row],[Bal]]</f>
        <v>-657.03</v>
      </c>
      <c r="K86" t="str">
        <f>_xlfn.XLOOKUP(Jnl[[#This Row],[Acct]], config_BS[Acct], config_BS[Lv0],,0)</f>
        <v>LC</v>
      </c>
      <c r="L86" t="str">
        <f>_xlfn.XLOOKUP(Jnl[[#This Row],[Acct]], config_BS[Acct], config_BS[Lv1],,0)</f>
        <v>Liability</v>
      </c>
      <c r="M86" t="str">
        <f>_xlfn.XLOOKUP(Jnl[[#This Row],[Acct]], config_BS[Acct], config_BS[Lv2],,0)</f>
        <v>Rec-Pay</v>
      </c>
      <c r="N86" t="str">
        <f>_xlfn.XLOOKUP(Jnl[[#This Row],[TrxId]], Trx[Id], Trx[IncNode], ,0)</f>
        <v>Other</v>
      </c>
      <c r="O86" t="str">
        <f>_xlfn.XLOOKUP(Jnl[[#This Row],[IncNode]], config_IS[Node], config_IS[Type],,0)</f>
        <v>Non-Op</v>
      </c>
      <c r="P86" t="str">
        <f>_xlfn.XLOOKUP(Jnl[[#This Row],[BSLv2]], dict[Key], dict[Name],,0)</f>
        <v>1.应收-应付</v>
      </c>
      <c r="Q86" t="str">
        <f>_xlfn.XLOOKUP(Jnl[[#This Row],[Acct]], dict[Key], dict[Name],,0)</f>
        <v>应付-税款</v>
      </c>
      <c r="R86" t="str">
        <f>_xlfn.XLOOKUP(Jnl[[#This Row],[Vehicle]],config_vehicle[Id], config_vehicle[Name],,0)</f>
        <v>榆乐</v>
      </c>
      <c r="S86" t="str">
        <f>_xlfn.XLOOKUP(Jnl[[#This Row],[Division]],config_div[Id], config_div[Name],,0)</f>
        <v>内控合规</v>
      </c>
      <c r="T86" t="str">
        <f>IF(Jnl[[#This Row],[TrxDate]]&lt;=stmt_BS_date_end, "In", "Out")</f>
        <v>In</v>
      </c>
      <c r="U86" t="str">
        <f>IF(Jnl[[#This Row],[TrxDate]]&lt;debug_date_start, "prior", IF(Jnl[[#This Row],[TrxDate]]&gt;debug_date_end, "post", "curr"))</f>
        <v>prior</v>
      </c>
    </row>
    <row r="87" spans="1:21" hidden="1">
      <c r="A87" s="10" t="s">
        <v>240</v>
      </c>
      <c r="B87" s="6">
        <f>_xlfn.XLOOKUP(Jnl[[#This Row],[TrxId]], Trx[Id], Trx[Date],,0)</f>
        <v>46022</v>
      </c>
      <c r="C87" s="6" t="str">
        <f>_xlfn.XLOOKUP(Jnl[[#This Row],[TrxId]], Trx[Id], Trx[Division],,0)</f>
        <v>Ctrl</v>
      </c>
      <c r="D87" s="6" t="str">
        <f>_xlfn.XLOOKUP(Jnl[[#This Row],[TrxId]], Trx[Id], Trx[Action],,0)</f>
        <v>结转</v>
      </c>
      <c r="E87" s="27" t="s">
        <v>86</v>
      </c>
      <c r="F87" s="10" t="s">
        <v>129</v>
      </c>
      <c r="G87" s="10" t="s">
        <v>354</v>
      </c>
      <c r="H87" s="20">
        <v>5.0199999999999996</v>
      </c>
      <c r="I87" s="11" t="b">
        <f>AND(Jnl[[#This Row],[TrxId]]&lt;&gt;"",Jnl[[#This Row],[Acct]]&lt;&gt;"",Jnl[[#This Row],[Item]]&lt;&gt;"",ISNUMBER(Jnl[[#This Row],[Bal]]))</f>
        <v>1</v>
      </c>
      <c r="J87" s="9">
        <f>IF(Jnl[[#This Row],[BSLv0]]="A",1,-1)*Jnl[[#This Row],[Bal]]</f>
        <v>-5.0199999999999996</v>
      </c>
      <c r="K87" t="str">
        <f>_xlfn.XLOOKUP(Jnl[[#This Row],[Acct]], config_BS[Acct], config_BS[Lv0],,0)</f>
        <v>LC</v>
      </c>
      <c r="L87" t="str">
        <f>_xlfn.XLOOKUP(Jnl[[#This Row],[Acct]], config_BS[Acct], config_BS[Lv1],,0)</f>
        <v>Liability</v>
      </c>
      <c r="M87" t="str">
        <f>_xlfn.XLOOKUP(Jnl[[#This Row],[Acct]], config_BS[Acct], config_BS[Lv2],,0)</f>
        <v>Rec-Pay</v>
      </c>
      <c r="N87" t="str">
        <f>_xlfn.XLOOKUP(Jnl[[#This Row],[TrxId]], Trx[Id], Trx[IncNode], ,0)</f>
        <v>Other</v>
      </c>
      <c r="O87" t="str">
        <f>_xlfn.XLOOKUP(Jnl[[#This Row],[IncNode]], config_IS[Node], config_IS[Type],,0)</f>
        <v>Non-Op</v>
      </c>
      <c r="P87" t="str">
        <f>_xlfn.XLOOKUP(Jnl[[#This Row],[BSLv2]], dict[Key], dict[Name],,0)</f>
        <v>1.应收-应付</v>
      </c>
      <c r="Q87" t="str">
        <f>_xlfn.XLOOKUP(Jnl[[#This Row],[Acct]], dict[Key], dict[Name],,0)</f>
        <v>应付-税款</v>
      </c>
      <c r="R87" t="str">
        <f>_xlfn.XLOOKUP(Jnl[[#This Row],[Vehicle]],config_vehicle[Id], config_vehicle[Name],,0)</f>
        <v>榆乐</v>
      </c>
      <c r="S87" t="str">
        <f>_xlfn.XLOOKUP(Jnl[[#This Row],[Division]],config_div[Id], config_div[Name],,0)</f>
        <v>内控合规</v>
      </c>
      <c r="T87" t="str">
        <f>IF(Jnl[[#This Row],[TrxDate]]&lt;=stmt_BS_date_end, "In", "Out")</f>
        <v>In</v>
      </c>
      <c r="U87" t="str">
        <f>IF(Jnl[[#This Row],[TrxDate]]&lt;debug_date_start, "prior", IF(Jnl[[#This Row],[TrxDate]]&gt;debug_date_end, "post", "curr"))</f>
        <v>prior</v>
      </c>
    </row>
    <row r="88" spans="1:21" hidden="1">
      <c r="A88" s="10" t="s">
        <v>240</v>
      </c>
      <c r="B88" s="6">
        <f>_xlfn.XLOOKUP(Jnl[[#This Row],[TrxId]], Trx[Id], Trx[Date],,0)</f>
        <v>46022</v>
      </c>
      <c r="C88" s="6" t="str">
        <f>_xlfn.XLOOKUP(Jnl[[#This Row],[TrxId]], Trx[Id], Trx[Division],,0)</f>
        <v>Ctrl</v>
      </c>
      <c r="D88" s="6" t="str">
        <f>_xlfn.XLOOKUP(Jnl[[#This Row],[TrxId]], Trx[Id], Trx[Action],,0)</f>
        <v>结转</v>
      </c>
      <c r="E88" s="27" t="s">
        <v>86</v>
      </c>
      <c r="F88" s="10" t="s">
        <v>191</v>
      </c>
      <c r="G88" s="10" t="s">
        <v>152</v>
      </c>
      <c r="H88" s="20">
        <v>76031.259999999995</v>
      </c>
      <c r="I88" s="11" t="b">
        <f>AND(Jnl[[#This Row],[TrxId]]&lt;&gt;"",Jnl[[#This Row],[Acct]]&lt;&gt;"",Jnl[[#This Row],[Item]]&lt;&gt;"",ISNUMBER(Jnl[[#This Row],[Bal]]))</f>
        <v>1</v>
      </c>
      <c r="J88" s="9">
        <f>IF(Jnl[[#This Row],[BSLv0]]="A",1,-1)*Jnl[[#This Row],[Bal]]</f>
        <v>-76031.259999999995</v>
      </c>
      <c r="K88" t="str">
        <f>_xlfn.XLOOKUP(Jnl[[#This Row],[Acct]], config_BS[Acct], config_BS[Lv0],,0)</f>
        <v>LC</v>
      </c>
      <c r="L88" t="str">
        <f>_xlfn.XLOOKUP(Jnl[[#This Row],[Acct]], config_BS[Acct], config_BS[Lv1],,0)</f>
        <v>Liability</v>
      </c>
      <c r="M88" t="str">
        <f>_xlfn.XLOOKUP(Jnl[[#This Row],[Acct]], config_BS[Acct], config_BS[Lv2],,0)</f>
        <v>Rec-Pay</v>
      </c>
      <c r="N88" t="str">
        <f>_xlfn.XLOOKUP(Jnl[[#This Row],[TrxId]], Trx[Id], Trx[IncNode], ,0)</f>
        <v>Other</v>
      </c>
      <c r="O88" t="str">
        <f>_xlfn.XLOOKUP(Jnl[[#This Row],[IncNode]], config_IS[Node], config_IS[Type],,0)</f>
        <v>Non-Op</v>
      </c>
      <c r="P88" t="str">
        <f>_xlfn.XLOOKUP(Jnl[[#This Row],[BSLv2]], dict[Key], dict[Name],,0)</f>
        <v>1.应收-应付</v>
      </c>
      <c r="Q88" t="str">
        <f>_xlfn.XLOOKUP(Jnl[[#This Row],[Acct]], dict[Key], dict[Name],,0)</f>
        <v>应付-薪资</v>
      </c>
      <c r="R88" t="str">
        <f>_xlfn.XLOOKUP(Jnl[[#This Row],[Vehicle]],config_vehicle[Id], config_vehicle[Name],,0)</f>
        <v>榆乐</v>
      </c>
      <c r="S88" t="str">
        <f>_xlfn.XLOOKUP(Jnl[[#This Row],[Division]],config_div[Id], config_div[Name],,0)</f>
        <v>内控合规</v>
      </c>
      <c r="T88" t="str">
        <f>IF(Jnl[[#This Row],[TrxDate]]&lt;=stmt_BS_date_end, "In", "Out")</f>
        <v>In</v>
      </c>
      <c r="U88" t="str">
        <f>IF(Jnl[[#This Row],[TrxDate]]&lt;debug_date_start, "prior", IF(Jnl[[#This Row],[TrxDate]]&gt;debug_date_end, "post", "curr"))</f>
        <v>prior</v>
      </c>
    </row>
    <row r="89" spans="1:21" hidden="1">
      <c r="A89" s="10" t="s">
        <v>240</v>
      </c>
      <c r="B89" s="6">
        <f>_xlfn.XLOOKUP(Jnl[[#This Row],[TrxId]], Trx[Id], Trx[Date],,0)</f>
        <v>46022</v>
      </c>
      <c r="C89" s="6" t="str">
        <f>_xlfn.XLOOKUP(Jnl[[#This Row],[TrxId]], Trx[Id], Trx[Division],,0)</f>
        <v>Ctrl</v>
      </c>
      <c r="D89" s="6" t="str">
        <f>_xlfn.XLOOKUP(Jnl[[#This Row],[TrxId]], Trx[Id], Trx[Action],,0)</f>
        <v>结转</v>
      </c>
      <c r="E89" s="27" t="s">
        <v>87</v>
      </c>
      <c r="F89" s="10" t="s">
        <v>129</v>
      </c>
      <c r="G89" s="10" t="s">
        <v>303</v>
      </c>
      <c r="H89" s="20">
        <v>40000</v>
      </c>
      <c r="I89" s="11" t="b">
        <f>AND(Jnl[[#This Row],[TrxId]]&lt;&gt;"",Jnl[[#This Row],[Acct]]&lt;&gt;"",Jnl[[#This Row],[Item]]&lt;&gt;"",ISNUMBER(Jnl[[#This Row],[Bal]]))</f>
        <v>1</v>
      </c>
      <c r="J89" s="9">
        <f>IF(Jnl[[#This Row],[BSLv0]]="A",1,-1)*Jnl[[#This Row],[Bal]]</f>
        <v>-40000</v>
      </c>
      <c r="K89" t="str">
        <f>_xlfn.XLOOKUP(Jnl[[#This Row],[Acct]], config_BS[Acct], config_BS[Lv0],,0)</f>
        <v>LC</v>
      </c>
      <c r="L89" t="str">
        <f>_xlfn.XLOOKUP(Jnl[[#This Row],[Acct]], config_BS[Acct], config_BS[Lv1],,0)</f>
        <v>Liability</v>
      </c>
      <c r="M89" t="str">
        <f>_xlfn.XLOOKUP(Jnl[[#This Row],[Acct]], config_BS[Acct], config_BS[Lv2],,0)</f>
        <v>Rec-Pay</v>
      </c>
      <c r="N89" t="str">
        <f>_xlfn.XLOOKUP(Jnl[[#This Row],[TrxId]], Trx[Id], Trx[IncNode], ,0)</f>
        <v>Other</v>
      </c>
      <c r="O89" t="str">
        <f>_xlfn.XLOOKUP(Jnl[[#This Row],[IncNode]], config_IS[Node], config_IS[Type],,0)</f>
        <v>Non-Op</v>
      </c>
      <c r="P89" t="str">
        <f>_xlfn.XLOOKUP(Jnl[[#This Row],[BSLv2]], dict[Key], dict[Name],,0)</f>
        <v>1.应收-应付</v>
      </c>
      <c r="Q89" t="str">
        <f>_xlfn.XLOOKUP(Jnl[[#This Row],[Acct]], dict[Key], dict[Name],,0)</f>
        <v>应付-税款</v>
      </c>
      <c r="R89" t="str">
        <f>_xlfn.XLOOKUP(Jnl[[#This Row],[Vehicle]],config_vehicle[Id], config_vehicle[Name],,0)</f>
        <v>桑木</v>
      </c>
      <c r="S89" t="str">
        <f>_xlfn.XLOOKUP(Jnl[[#This Row],[Division]],config_div[Id], config_div[Name],,0)</f>
        <v>内控合规</v>
      </c>
      <c r="T89" t="str">
        <f>IF(Jnl[[#This Row],[TrxDate]]&lt;=stmt_BS_date_end, "In", "Out")</f>
        <v>In</v>
      </c>
      <c r="U89" t="str">
        <f>IF(Jnl[[#This Row],[TrxDate]]&lt;debug_date_start, "prior", IF(Jnl[[#This Row],[TrxDate]]&gt;debug_date_end, "post", "curr"))</f>
        <v>prior</v>
      </c>
    </row>
    <row r="90" spans="1:21" hidden="1">
      <c r="A90" s="10" t="s">
        <v>240</v>
      </c>
      <c r="B90" s="6">
        <f>_xlfn.XLOOKUP(Jnl[[#This Row],[TrxId]], Trx[Id], Trx[Date],,0)</f>
        <v>46022</v>
      </c>
      <c r="C90" s="6" t="str">
        <f>_xlfn.XLOOKUP(Jnl[[#This Row],[TrxId]], Trx[Id], Trx[Division],,0)</f>
        <v>Ctrl</v>
      </c>
      <c r="D90" s="6" t="str">
        <f>_xlfn.XLOOKUP(Jnl[[#This Row],[TrxId]], Trx[Id], Trx[Action],,0)</f>
        <v>结转</v>
      </c>
      <c r="E90" s="27" t="s">
        <v>87</v>
      </c>
      <c r="F90" s="10" t="s">
        <v>129</v>
      </c>
      <c r="G90" s="10" t="s">
        <v>302</v>
      </c>
      <c r="H90" s="20">
        <v>20527.259999999998</v>
      </c>
      <c r="I90" s="11" t="b">
        <f>AND(Jnl[[#This Row],[TrxId]]&lt;&gt;"",Jnl[[#This Row],[Acct]]&lt;&gt;"",Jnl[[#This Row],[Item]]&lt;&gt;"",ISNUMBER(Jnl[[#This Row],[Bal]]))</f>
        <v>1</v>
      </c>
      <c r="J90" s="9">
        <f>IF(Jnl[[#This Row],[BSLv0]]="A",1,-1)*Jnl[[#This Row],[Bal]]</f>
        <v>-20527.259999999998</v>
      </c>
      <c r="K90" t="str">
        <f>_xlfn.XLOOKUP(Jnl[[#This Row],[Acct]], config_BS[Acct], config_BS[Lv0],,0)</f>
        <v>LC</v>
      </c>
      <c r="L90" t="str">
        <f>_xlfn.XLOOKUP(Jnl[[#This Row],[Acct]], config_BS[Acct], config_BS[Lv1],,0)</f>
        <v>Liability</v>
      </c>
      <c r="M90" t="str">
        <f>_xlfn.XLOOKUP(Jnl[[#This Row],[Acct]], config_BS[Acct], config_BS[Lv2],,0)</f>
        <v>Rec-Pay</v>
      </c>
      <c r="N90" t="str">
        <f>_xlfn.XLOOKUP(Jnl[[#This Row],[TrxId]], Trx[Id], Trx[IncNode], ,0)</f>
        <v>Other</v>
      </c>
      <c r="O90" t="str">
        <f>_xlfn.XLOOKUP(Jnl[[#This Row],[IncNode]], config_IS[Node], config_IS[Type],,0)</f>
        <v>Non-Op</v>
      </c>
      <c r="P90" t="str">
        <f>_xlfn.XLOOKUP(Jnl[[#This Row],[BSLv2]], dict[Key], dict[Name],,0)</f>
        <v>1.应收-应付</v>
      </c>
      <c r="Q90" t="str">
        <f>_xlfn.XLOOKUP(Jnl[[#This Row],[Acct]], dict[Key], dict[Name],,0)</f>
        <v>应付-税款</v>
      </c>
      <c r="R90" t="str">
        <f>_xlfn.XLOOKUP(Jnl[[#This Row],[Vehicle]],config_vehicle[Id], config_vehicle[Name],,0)</f>
        <v>桑木</v>
      </c>
      <c r="S90" t="str">
        <f>_xlfn.XLOOKUP(Jnl[[#This Row],[Division]],config_div[Id], config_div[Name],,0)</f>
        <v>内控合规</v>
      </c>
      <c r="T90" t="str">
        <f>IF(Jnl[[#This Row],[TrxDate]]&lt;=stmt_BS_date_end, "In", "Out")</f>
        <v>In</v>
      </c>
      <c r="U90" t="str">
        <f>IF(Jnl[[#This Row],[TrxDate]]&lt;debug_date_start, "prior", IF(Jnl[[#This Row],[TrxDate]]&gt;debug_date_end, "post", "curr"))</f>
        <v>prior</v>
      </c>
    </row>
    <row r="91" spans="1:21" hidden="1">
      <c r="A91" s="10" t="s">
        <v>240</v>
      </c>
      <c r="B91" s="6">
        <f>_xlfn.XLOOKUP(Jnl[[#This Row],[TrxId]], Trx[Id], Trx[Date],,0)</f>
        <v>46022</v>
      </c>
      <c r="C91" s="6" t="str">
        <f>_xlfn.XLOOKUP(Jnl[[#This Row],[TrxId]], Trx[Id], Trx[Division],,0)</f>
        <v>Ctrl</v>
      </c>
      <c r="D91" s="6" t="str">
        <f>_xlfn.XLOOKUP(Jnl[[#This Row],[TrxId]], Trx[Id], Trx[Action],,0)</f>
        <v>结转</v>
      </c>
      <c r="E91" s="27" t="s">
        <v>87</v>
      </c>
      <c r="F91" s="10" t="s">
        <v>129</v>
      </c>
      <c r="G91" s="10" t="s">
        <v>286</v>
      </c>
      <c r="H91" s="20">
        <v>15935.56</v>
      </c>
      <c r="I91" s="11" t="b">
        <f>AND(Jnl[[#This Row],[TrxId]]&lt;&gt;"",Jnl[[#This Row],[Acct]]&lt;&gt;"",Jnl[[#This Row],[Item]]&lt;&gt;"",ISNUMBER(Jnl[[#This Row],[Bal]]))</f>
        <v>1</v>
      </c>
      <c r="J91" s="9">
        <f>IF(Jnl[[#This Row],[BSLv0]]="A",1,-1)*Jnl[[#This Row],[Bal]]</f>
        <v>-15935.56</v>
      </c>
      <c r="K91" t="str">
        <f>_xlfn.XLOOKUP(Jnl[[#This Row],[Acct]], config_BS[Acct], config_BS[Lv0],,0)</f>
        <v>LC</v>
      </c>
      <c r="L91" t="str">
        <f>_xlfn.XLOOKUP(Jnl[[#This Row],[Acct]], config_BS[Acct], config_BS[Lv1],,0)</f>
        <v>Liability</v>
      </c>
      <c r="M91" t="str">
        <f>_xlfn.XLOOKUP(Jnl[[#This Row],[Acct]], config_BS[Acct], config_BS[Lv2],,0)</f>
        <v>Rec-Pay</v>
      </c>
      <c r="N91" t="str">
        <f>_xlfn.XLOOKUP(Jnl[[#This Row],[TrxId]], Trx[Id], Trx[IncNode], ,0)</f>
        <v>Other</v>
      </c>
      <c r="O91" t="str">
        <f>_xlfn.XLOOKUP(Jnl[[#This Row],[IncNode]], config_IS[Node], config_IS[Type],,0)</f>
        <v>Non-Op</v>
      </c>
      <c r="P91" t="str">
        <f>_xlfn.XLOOKUP(Jnl[[#This Row],[BSLv2]], dict[Key], dict[Name],,0)</f>
        <v>1.应收-应付</v>
      </c>
      <c r="Q91" t="str">
        <f>_xlfn.XLOOKUP(Jnl[[#This Row],[Acct]], dict[Key], dict[Name],,0)</f>
        <v>应付-税款</v>
      </c>
      <c r="R91" t="str">
        <f>_xlfn.XLOOKUP(Jnl[[#This Row],[Vehicle]],config_vehicle[Id], config_vehicle[Name],,0)</f>
        <v>桑木</v>
      </c>
      <c r="S91" t="str">
        <f>_xlfn.XLOOKUP(Jnl[[#This Row],[Division]],config_div[Id], config_div[Name],,0)</f>
        <v>内控合规</v>
      </c>
      <c r="T91" t="str">
        <f>IF(Jnl[[#This Row],[TrxDate]]&lt;=stmt_BS_date_end, "In", "Out")</f>
        <v>In</v>
      </c>
      <c r="U91" t="str">
        <f>IF(Jnl[[#This Row],[TrxDate]]&lt;debug_date_start, "prior", IF(Jnl[[#This Row],[TrxDate]]&gt;debug_date_end, "post", "curr"))</f>
        <v>prior</v>
      </c>
    </row>
    <row r="92" spans="1:21" hidden="1">
      <c r="A92" s="10" t="s">
        <v>240</v>
      </c>
      <c r="B92" s="6">
        <f>_xlfn.XLOOKUP(Jnl[[#This Row],[TrxId]], Trx[Id], Trx[Date],,0)</f>
        <v>46022</v>
      </c>
      <c r="C92" s="6" t="str">
        <f>_xlfn.XLOOKUP(Jnl[[#This Row],[TrxId]], Trx[Id], Trx[Division],,0)</f>
        <v>Ctrl</v>
      </c>
      <c r="D92" s="6" t="str">
        <f>_xlfn.XLOOKUP(Jnl[[#This Row],[TrxId]], Trx[Id], Trx[Action],,0)</f>
        <v>结转</v>
      </c>
      <c r="E92" s="27" t="s">
        <v>87</v>
      </c>
      <c r="F92" s="10" t="s">
        <v>129</v>
      </c>
      <c r="G92" s="10" t="s">
        <v>304</v>
      </c>
      <c r="H92" s="20">
        <v>1309.8399999999999</v>
      </c>
      <c r="I92" s="11" t="b">
        <f>AND(Jnl[[#This Row],[TrxId]]&lt;&gt;"",Jnl[[#This Row],[Acct]]&lt;&gt;"",Jnl[[#This Row],[Item]]&lt;&gt;"",ISNUMBER(Jnl[[#This Row],[Bal]]))</f>
        <v>1</v>
      </c>
      <c r="J92" s="9">
        <f>IF(Jnl[[#This Row],[BSLv0]]="A",1,-1)*Jnl[[#This Row],[Bal]]</f>
        <v>-1309.8399999999999</v>
      </c>
      <c r="K92" t="str">
        <f>_xlfn.XLOOKUP(Jnl[[#This Row],[Acct]], config_BS[Acct], config_BS[Lv0],,0)</f>
        <v>LC</v>
      </c>
      <c r="L92" t="str">
        <f>_xlfn.XLOOKUP(Jnl[[#This Row],[Acct]], config_BS[Acct], config_BS[Lv1],,0)</f>
        <v>Liability</v>
      </c>
      <c r="M92" t="str">
        <f>_xlfn.XLOOKUP(Jnl[[#This Row],[Acct]], config_BS[Acct], config_BS[Lv2],,0)</f>
        <v>Rec-Pay</v>
      </c>
      <c r="N92" t="str">
        <f>_xlfn.XLOOKUP(Jnl[[#This Row],[TrxId]], Trx[Id], Trx[IncNode], ,0)</f>
        <v>Other</v>
      </c>
      <c r="O92" t="str">
        <f>_xlfn.XLOOKUP(Jnl[[#This Row],[IncNode]], config_IS[Node], config_IS[Type],,0)</f>
        <v>Non-Op</v>
      </c>
      <c r="P92" t="str">
        <f>_xlfn.XLOOKUP(Jnl[[#This Row],[BSLv2]], dict[Key], dict[Name],,0)</f>
        <v>1.应收-应付</v>
      </c>
      <c r="Q92" t="str">
        <f>_xlfn.XLOOKUP(Jnl[[#This Row],[Acct]], dict[Key], dict[Name],,0)</f>
        <v>应付-税款</v>
      </c>
      <c r="R92" t="str">
        <f>_xlfn.XLOOKUP(Jnl[[#This Row],[Vehicle]],config_vehicle[Id], config_vehicle[Name],,0)</f>
        <v>桑木</v>
      </c>
      <c r="S92" t="str">
        <f>_xlfn.XLOOKUP(Jnl[[#This Row],[Division]],config_div[Id], config_div[Name],,0)</f>
        <v>内控合规</v>
      </c>
      <c r="T92" t="str">
        <f>IF(Jnl[[#This Row],[TrxDate]]&lt;=stmt_BS_date_end, "In", "Out")</f>
        <v>In</v>
      </c>
      <c r="U92" t="str">
        <f>IF(Jnl[[#This Row],[TrxDate]]&lt;debug_date_start, "prior", IF(Jnl[[#This Row],[TrxDate]]&gt;debug_date_end, "post", "curr"))</f>
        <v>prior</v>
      </c>
    </row>
    <row r="93" spans="1:21" hidden="1">
      <c r="A93" s="10" t="s">
        <v>240</v>
      </c>
      <c r="B93" s="6">
        <f>_xlfn.XLOOKUP(Jnl[[#This Row],[TrxId]], Trx[Id], Trx[Date],,0)</f>
        <v>46022</v>
      </c>
      <c r="C93" s="6" t="str">
        <f>_xlfn.XLOOKUP(Jnl[[#This Row],[TrxId]], Trx[Id], Trx[Division],,0)</f>
        <v>Ctrl</v>
      </c>
      <c r="D93" s="6" t="str">
        <f>_xlfn.XLOOKUP(Jnl[[#This Row],[TrxId]], Trx[Id], Trx[Action],,0)</f>
        <v>结转</v>
      </c>
      <c r="E93" s="27" t="s">
        <v>87</v>
      </c>
      <c r="F93" s="10" t="s">
        <v>191</v>
      </c>
      <c r="G93" s="10" t="s">
        <v>152</v>
      </c>
      <c r="H93" s="20">
        <v>18440</v>
      </c>
      <c r="I93" s="11" t="b">
        <f>AND(Jnl[[#This Row],[TrxId]]&lt;&gt;"",Jnl[[#This Row],[Acct]]&lt;&gt;"",Jnl[[#This Row],[Item]]&lt;&gt;"",ISNUMBER(Jnl[[#This Row],[Bal]]))</f>
        <v>1</v>
      </c>
      <c r="J93" s="9">
        <f>IF(Jnl[[#This Row],[BSLv0]]="A",1,-1)*Jnl[[#This Row],[Bal]]</f>
        <v>-18440</v>
      </c>
      <c r="K93" t="str">
        <f>_xlfn.XLOOKUP(Jnl[[#This Row],[Acct]], config_BS[Acct], config_BS[Lv0],,0)</f>
        <v>LC</v>
      </c>
      <c r="L93" t="str">
        <f>_xlfn.XLOOKUP(Jnl[[#This Row],[Acct]], config_BS[Acct], config_BS[Lv1],,0)</f>
        <v>Liability</v>
      </c>
      <c r="M93" t="str">
        <f>_xlfn.XLOOKUP(Jnl[[#This Row],[Acct]], config_BS[Acct], config_BS[Lv2],,0)</f>
        <v>Rec-Pay</v>
      </c>
      <c r="N93" t="str">
        <f>_xlfn.XLOOKUP(Jnl[[#This Row],[TrxId]], Trx[Id], Trx[IncNode], ,0)</f>
        <v>Other</v>
      </c>
      <c r="O93" t="str">
        <f>_xlfn.XLOOKUP(Jnl[[#This Row],[IncNode]], config_IS[Node], config_IS[Type],,0)</f>
        <v>Non-Op</v>
      </c>
      <c r="P93" t="str">
        <f>_xlfn.XLOOKUP(Jnl[[#This Row],[BSLv2]], dict[Key], dict[Name],,0)</f>
        <v>1.应收-应付</v>
      </c>
      <c r="Q93" t="str">
        <f>_xlfn.XLOOKUP(Jnl[[#This Row],[Acct]], dict[Key], dict[Name],,0)</f>
        <v>应付-薪资</v>
      </c>
      <c r="R93" t="str">
        <f>_xlfn.XLOOKUP(Jnl[[#This Row],[Vehicle]],config_vehicle[Id], config_vehicle[Name],,0)</f>
        <v>桑木</v>
      </c>
      <c r="S93" t="str">
        <f>_xlfn.XLOOKUP(Jnl[[#This Row],[Division]],config_div[Id], config_div[Name],,0)</f>
        <v>内控合规</v>
      </c>
      <c r="T93" t="str">
        <f>IF(Jnl[[#This Row],[TrxDate]]&lt;=stmt_BS_date_end, "In", "Out")</f>
        <v>In</v>
      </c>
      <c r="U93" t="str">
        <f>IF(Jnl[[#This Row],[TrxDate]]&lt;debug_date_start, "prior", IF(Jnl[[#This Row],[TrxDate]]&gt;debug_date_end, "post", "curr"))</f>
        <v>prior</v>
      </c>
    </row>
    <row r="94" spans="1:21" hidden="1">
      <c r="A94" s="10" t="s">
        <v>240</v>
      </c>
      <c r="B94" s="6">
        <f>_xlfn.XLOOKUP(Jnl[[#This Row],[TrxId]], Trx[Id], Trx[Date],,0)</f>
        <v>46022</v>
      </c>
      <c r="C94" s="6" t="str">
        <f>_xlfn.XLOOKUP(Jnl[[#This Row],[TrxId]], Trx[Id], Trx[Division],,0)</f>
        <v>Ctrl</v>
      </c>
      <c r="D94" s="6" t="str">
        <f>_xlfn.XLOOKUP(Jnl[[#This Row],[TrxId]], Trx[Id], Trx[Action],,0)</f>
        <v>结转</v>
      </c>
      <c r="E94" s="27" t="s">
        <v>84</v>
      </c>
      <c r="F94" s="10" t="s">
        <v>129</v>
      </c>
      <c r="G94" s="10" t="s">
        <v>312</v>
      </c>
      <c r="H94" s="20">
        <v>12329.72</v>
      </c>
      <c r="I94" s="11" t="b">
        <f>AND(Jnl[[#This Row],[TrxId]]&lt;&gt;"",Jnl[[#This Row],[Acct]]&lt;&gt;"",Jnl[[#This Row],[Item]]&lt;&gt;"",ISNUMBER(Jnl[[#This Row],[Bal]]))</f>
        <v>1</v>
      </c>
      <c r="J94" s="9">
        <f>IF(Jnl[[#This Row],[BSLv0]]="A",1,-1)*Jnl[[#This Row],[Bal]]</f>
        <v>-12329.72</v>
      </c>
      <c r="K94" t="str">
        <f>_xlfn.XLOOKUP(Jnl[[#This Row],[Acct]], config_BS[Acct], config_BS[Lv0],,0)</f>
        <v>LC</v>
      </c>
      <c r="L94" t="str">
        <f>_xlfn.XLOOKUP(Jnl[[#This Row],[Acct]], config_BS[Acct], config_BS[Lv1],,0)</f>
        <v>Liability</v>
      </c>
      <c r="M94" t="str">
        <f>_xlfn.XLOOKUP(Jnl[[#This Row],[Acct]], config_BS[Acct], config_BS[Lv2],,0)</f>
        <v>Rec-Pay</v>
      </c>
      <c r="N94" t="str">
        <f>_xlfn.XLOOKUP(Jnl[[#This Row],[TrxId]], Trx[Id], Trx[IncNode], ,0)</f>
        <v>Other</v>
      </c>
      <c r="O94" t="str">
        <f>_xlfn.XLOOKUP(Jnl[[#This Row],[IncNode]], config_IS[Node], config_IS[Type],,0)</f>
        <v>Non-Op</v>
      </c>
      <c r="P94" t="str">
        <f>_xlfn.XLOOKUP(Jnl[[#This Row],[BSLv2]], dict[Key], dict[Name],,0)</f>
        <v>1.应收-应付</v>
      </c>
      <c r="Q94" t="str">
        <f>_xlfn.XLOOKUP(Jnl[[#This Row],[Acct]], dict[Key], dict[Name],,0)</f>
        <v>应付-税款</v>
      </c>
      <c r="R94" t="str">
        <f>_xlfn.XLOOKUP(Jnl[[#This Row],[Vehicle]],config_vehicle[Id], config_vehicle[Name],,0)</f>
        <v>米小易</v>
      </c>
      <c r="S94" t="str">
        <f>_xlfn.XLOOKUP(Jnl[[#This Row],[Division]],config_div[Id], config_div[Name],,0)</f>
        <v>内控合规</v>
      </c>
      <c r="T94" t="str">
        <f>IF(Jnl[[#This Row],[TrxDate]]&lt;=stmt_BS_date_end, "In", "Out")</f>
        <v>In</v>
      </c>
      <c r="U94" t="str">
        <f>IF(Jnl[[#This Row],[TrxDate]]&lt;debug_date_start, "prior", IF(Jnl[[#This Row],[TrxDate]]&gt;debug_date_end, "post", "curr"))</f>
        <v>prior</v>
      </c>
    </row>
    <row r="95" spans="1:21" hidden="1">
      <c r="A95" s="10" t="s">
        <v>240</v>
      </c>
      <c r="B95" s="6">
        <f>_xlfn.XLOOKUP(Jnl[[#This Row],[TrxId]], Trx[Id], Trx[Date],,0)</f>
        <v>46022</v>
      </c>
      <c r="C95" s="6" t="str">
        <f>_xlfn.XLOOKUP(Jnl[[#This Row],[TrxId]], Trx[Id], Trx[Division],,0)</f>
        <v>Ctrl</v>
      </c>
      <c r="D95" s="6" t="str">
        <f>_xlfn.XLOOKUP(Jnl[[#This Row],[TrxId]], Trx[Id], Trx[Action],,0)</f>
        <v>结转</v>
      </c>
      <c r="E95" s="27" t="s">
        <v>84</v>
      </c>
      <c r="F95" s="10" t="s">
        <v>129</v>
      </c>
      <c r="G95" s="10" t="s">
        <v>353</v>
      </c>
      <c r="H95" s="20">
        <v>856.77</v>
      </c>
      <c r="I95" s="11" t="b">
        <f>AND(Jnl[[#This Row],[TrxId]]&lt;&gt;"",Jnl[[#This Row],[Acct]]&lt;&gt;"",Jnl[[#This Row],[Item]]&lt;&gt;"",ISNUMBER(Jnl[[#This Row],[Bal]]))</f>
        <v>1</v>
      </c>
      <c r="J95" s="9">
        <f>IF(Jnl[[#This Row],[BSLv0]]="A",1,-1)*Jnl[[#This Row],[Bal]]</f>
        <v>-856.77</v>
      </c>
      <c r="K95" t="str">
        <f>_xlfn.XLOOKUP(Jnl[[#This Row],[Acct]], config_BS[Acct], config_BS[Lv0],,0)</f>
        <v>LC</v>
      </c>
      <c r="L95" t="str">
        <f>_xlfn.XLOOKUP(Jnl[[#This Row],[Acct]], config_BS[Acct], config_BS[Lv1],,0)</f>
        <v>Liability</v>
      </c>
      <c r="M95" t="str">
        <f>_xlfn.XLOOKUP(Jnl[[#This Row],[Acct]], config_BS[Acct], config_BS[Lv2],,0)</f>
        <v>Rec-Pay</v>
      </c>
      <c r="N95" t="str">
        <f>_xlfn.XLOOKUP(Jnl[[#This Row],[TrxId]], Trx[Id], Trx[IncNode], ,0)</f>
        <v>Other</v>
      </c>
      <c r="O95" t="str">
        <f>_xlfn.XLOOKUP(Jnl[[#This Row],[IncNode]], config_IS[Node], config_IS[Type],,0)</f>
        <v>Non-Op</v>
      </c>
      <c r="P95" t="str">
        <f>_xlfn.XLOOKUP(Jnl[[#This Row],[BSLv2]], dict[Key], dict[Name],,0)</f>
        <v>1.应收-应付</v>
      </c>
      <c r="Q95" t="str">
        <f>_xlfn.XLOOKUP(Jnl[[#This Row],[Acct]], dict[Key], dict[Name],,0)</f>
        <v>应付-税款</v>
      </c>
      <c r="R95" t="str">
        <f>_xlfn.XLOOKUP(Jnl[[#This Row],[Vehicle]],config_vehicle[Id], config_vehicle[Name],,0)</f>
        <v>米小易</v>
      </c>
      <c r="S95" t="str">
        <f>_xlfn.XLOOKUP(Jnl[[#This Row],[Division]],config_div[Id], config_div[Name],,0)</f>
        <v>内控合规</v>
      </c>
      <c r="T95" t="str">
        <f>IF(Jnl[[#This Row],[TrxDate]]&lt;=stmt_BS_date_end, "In", "Out")</f>
        <v>In</v>
      </c>
      <c r="U95" t="str">
        <f>IF(Jnl[[#This Row],[TrxDate]]&lt;debug_date_start, "prior", IF(Jnl[[#This Row],[TrxDate]]&gt;debug_date_end, "post", "curr"))</f>
        <v>prior</v>
      </c>
    </row>
    <row r="96" spans="1:21" hidden="1">
      <c r="A96" s="10" t="s">
        <v>240</v>
      </c>
      <c r="B96" s="6">
        <f>_xlfn.XLOOKUP(Jnl[[#This Row],[TrxId]], Trx[Id], Trx[Date],,0)</f>
        <v>46022</v>
      </c>
      <c r="C96" s="6" t="str">
        <f>_xlfn.XLOOKUP(Jnl[[#This Row],[TrxId]], Trx[Id], Trx[Division],,0)</f>
        <v>Ctrl</v>
      </c>
      <c r="D96" s="6" t="str">
        <f>_xlfn.XLOOKUP(Jnl[[#This Row],[TrxId]], Trx[Id], Trx[Action],,0)</f>
        <v>结转</v>
      </c>
      <c r="E96" s="27" t="s">
        <v>84</v>
      </c>
      <c r="F96" s="10" t="s">
        <v>129</v>
      </c>
      <c r="G96" s="10" t="s">
        <v>354</v>
      </c>
      <c r="H96" s="20">
        <v>72.72</v>
      </c>
      <c r="I96" s="11" t="b">
        <f>AND(Jnl[[#This Row],[TrxId]]&lt;&gt;"",Jnl[[#This Row],[Acct]]&lt;&gt;"",Jnl[[#This Row],[Item]]&lt;&gt;"",ISNUMBER(Jnl[[#This Row],[Bal]]))</f>
        <v>1</v>
      </c>
      <c r="J96" s="9">
        <f>IF(Jnl[[#This Row],[BSLv0]]="A",1,-1)*Jnl[[#This Row],[Bal]]</f>
        <v>-72.72</v>
      </c>
      <c r="K96" t="str">
        <f>_xlfn.XLOOKUP(Jnl[[#This Row],[Acct]], config_BS[Acct], config_BS[Lv0],,0)</f>
        <v>LC</v>
      </c>
      <c r="L96" t="str">
        <f>_xlfn.XLOOKUP(Jnl[[#This Row],[Acct]], config_BS[Acct], config_BS[Lv1],,0)</f>
        <v>Liability</v>
      </c>
      <c r="M96" t="str">
        <f>_xlfn.XLOOKUP(Jnl[[#This Row],[Acct]], config_BS[Acct], config_BS[Lv2],,0)</f>
        <v>Rec-Pay</v>
      </c>
      <c r="N96" t="str">
        <f>_xlfn.XLOOKUP(Jnl[[#This Row],[TrxId]], Trx[Id], Trx[IncNode], ,0)</f>
        <v>Other</v>
      </c>
      <c r="O96" t="str">
        <f>_xlfn.XLOOKUP(Jnl[[#This Row],[IncNode]], config_IS[Node], config_IS[Type],,0)</f>
        <v>Non-Op</v>
      </c>
      <c r="P96" t="str">
        <f>_xlfn.XLOOKUP(Jnl[[#This Row],[BSLv2]], dict[Key], dict[Name],,0)</f>
        <v>1.应收-应付</v>
      </c>
      <c r="Q96" t="str">
        <f>_xlfn.XLOOKUP(Jnl[[#This Row],[Acct]], dict[Key], dict[Name],,0)</f>
        <v>应付-税款</v>
      </c>
      <c r="R96" t="str">
        <f>_xlfn.XLOOKUP(Jnl[[#This Row],[Vehicle]],config_vehicle[Id], config_vehicle[Name],,0)</f>
        <v>米小易</v>
      </c>
      <c r="S96" t="str">
        <f>_xlfn.XLOOKUP(Jnl[[#This Row],[Division]],config_div[Id], config_div[Name],,0)</f>
        <v>内控合规</v>
      </c>
      <c r="T96" t="str">
        <f>IF(Jnl[[#This Row],[TrxDate]]&lt;=stmt_BS_date_end, "In", "Out")</f>
        <v>In</v>
      </c>
      <c r="U96" t="str">
        <f>IF(Jnl[[#This Row],[TrxDate]]&lt;debug_date_start, "prior", IF(Jnl[[#This Row],[TrxDate]]&gt;debug_date_end, "post", "curr"))</f>
        <v>prior</v>
      </c>
    </row>
    <row r="97" spans="1:21" hidden="1">
      <c r="A97" s="10" t="s">
        <v>240</v>
      </c>
      <c r="B97" s="6">
        <f>_xlfn.XLOOKUP(Jnl[[#This Row],[TrxId]], Trx[Id], Trx[Date],,0)</f>
        <v>46022</v>
      </c>
      <c r="C97" s="6" t="str">
        <f>_xlfn.XLOOKUP(Jnl[[#This Row],[TrxId]], Trx[Id], Trx[Division],,0)</f>
        <v>Ctrl</v>
      </c>
      <c r="D97" s="6" t="str">
        <f>_xlfn.XLOOKUP(Jnl[[#This Row],[TrxId]], Trx[Id], Trx[Action],,0)</f>
        <v>结转</v>
      </c>
      <c r="E97" s="27" t="s">
        <v>84</v>
      </c>
      <c r="F97" s="10" t="s">
        <v>129</v>
      </c>
      <c r="G97" s="10" t="s">
        <v>352</v>
      </c>
      <c r="H97" s="20">
        <v>17202.16</v>
      </c>
      <c r="I97" s="11" t="b">
        <f>AND(Jnl[[#This Row],[TrxId]]&lt;&gt;"",Jnl[[#This Row],[Acct]]&lt;&gt;"",Jnl[[#This Row],[Item]]&lt;&gt;"",ISNUMBER(Jnl[[#This Row],[Bal]]))</f>
        <v>1</v>
      </c>
      <c r="J97" s="9">
        <f>IF(Jnl[[#This Row],[BSLv0]]="A",1,-1)*Jnl[[#This Row],[Bal]]</f>
        <v>-17202.16</v>
      </c>
      <c r="K97" t="str">
        <f>_xlfn.XLOOKUP(Jnl[[#This Row],[Acct]], config_BS[Acct], config_BS[Lv0],,0)</f>
        <v>LC</v>
      </c>
      <c r="L97" t="str">
        <f>_xlfn.XLOOKUP(Jnl[[#This Row],[Acct]], config_BS[Acct], config_BS[Lv1],,0)</f>
        <v>Liability</v>
      </c>
      <c r="M97" t="str">
        <f>_xlfn.XLOOKUP(Jnl[[#This Row],[Acct]], config_BS[Acct], config_BS[Lv2],,0)</f>
        <v>Rec-Pay</v>
      </c>
      <c r="N97" t="str">
        <f>_xlfn.XLOOKUP(Jnl[[#This Row],[TrxId]], Trx[Id], Trx[IncNode], ,0)</f>
        <v>Other</v>
      </c>
      <c r="O97" t="str">
        <f>_xlfn.XLOOKUP(Jnl[[#This Row],[IncNode]], config_IS[Node], config_IS[Type],,0)</f>
        <v>Non-Op</v>
      </c>
      <c r="P97" t="str">
        <f>_xlfn.XLOOKUP(Jnl[[#This Row],[BSLv2]], dict[Key], dict[Name],,0)</f>
        <v>1.应收-应付</v>
      </c>
      <c r="Q97" t="str">
        <f>_xlfn.XLOOKUP(Jnl[[#This Row],[Acct]], dict[Key], dict[Name],,0)</f>
        <v>应付-税款</v>
      </c>
      <c r="R97" t="str">
        <f>_xlfn.XLOOKUP(Jnl[[#This Row],[Vehicle]],config_vehicle[Id], config_vehicle[Name],,0)</f>
        <v>米小易</v>
      </c>
      <c r="S97" t="str">
        <f>_xlfn.XLOOKUP(Jnl[[#This Row],[Division]],config_div[Id], config_div[Name],,0)</f>
        <v>内控合规</v>
      </c>
      <c r="T97" t="str">
        <f>IF(Jnl[[#This Row],[TrxDate]]&lt;=stmt_BS_date_end, "In", "Out")</f>
        <v>In</v>
      </c>
      <c r="U97" t="str">
        <f>IF(Jnl[[#This Row],[TrxDate]]&lt;debug_date_start, "prior", IF(Jnl[[#This Row],[TrxDate]]&gt;debug_date_end, "post", "curr"))</f>
        <v>prior</v>
      </c>
    </row>
    <row r="98" spans="1:21" hidden="1">
      <c r="A98" s="10" t="s">
        <v>240</v>
      </c>
      <c r="B98" s="6">
        <f>_xlfn.XLOOKUP(Jnl[[#This Row],[TrxId]], Trx[Id], Trx[Date],,0)</f>
        <v>46022</v>
      </c>
      <c r="C98" s="6" t="str">
        <f>_xlfn.XLOOKUP(Jnl[[#This Row],[TrxId]], Trx[Id], Trx[Division],,0)</f>
        <v>Ctrl</v>
      </c>
      <c r="D98" s="6" t="str">
        <f>_xlfn.XLOOKUP(Jnl[[#This Row],[TrxId]], Trx[Id], Trx[Action],,0)</f>
        <v>结转</v>
      </c>
      <c r="E98" s="27" t="s">
        <v>84</v>
      </c>
      <c r="F98" s="10" t="s">
        <v>191</v>
      </c>
      <c r="G98" s="10" t="s">
        <v>152</v>
      </c>
      <c r="H98" s="20">
        <v>156507.97</v>
      </c>
      <c r="I98" s="11" t="b">
        <f>AND(Jnl[[#This Row],[TrxId]]&lt;&gt;"",Jnl[[#This Row],[Acct]]&lt;&gt;"",Jnl[[#This Row],[Item]]&lt;&gt;"",ISNUMBER(Jnl[[#This Row],[Bal]]))</f>
        <v>1</v>
      </c>
      <c r="J98" s="9">
        <f>IF(Jnl[[#This Row],[BSLv0]]="A",1,-1)*Jnl[[#This Row],[Bal]]</f>
        <v>-156507.97</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Other</v>
      </c>
      <c r="O98" t="str">
        <f>_xlfn.XLOOKUP(Jnl[[#This Row],[IncNode]], config_IS[Node], config_IS[Type],,0)</f>
        <v>Non-Op</v>
      </c>
      <c r="P98" t="str">
        <f>_xlfn.XLOOKUP(Jnl[[#This Row],[BSLv2]], dict[Key], dict[Name],,0)</f>
        <v>1.应收-应付</v>
      </c>
      <c r="Q98" t="str">
        <f>_xlfn.XLOOKUP(Jnl[[#This Row],[Acct]], dict[Key], dict[Name],,0)</f>
        <v>应付-薪资</v>
      </c>
      <c r="R98" t="str">
        <f>_xlfn.XLOOKUP(Jnl[[#This Row],[Vehicle]],config_vehicle[Id], config_vehicle[Name],,0)</f>
        <v>米小易</v>
      </c>
      <c r="S98" t="str">
        <f>_xlfn.XLOOKUP(Jnl[[#This Row],[Division]],config_div[Id], config_div[Name],,0)</f>
        <v>内控合规</v>
      </c>
      <c r="T98" t="str">
        <f>IF(Jnl[[#This Row],[TrxDate]]&lt;=stmt_BS_date_end, "In", "Out")</f>
        <v>In</v>
      </c>
      <c r="U98" t="str">
        <f>IF(Jnl[[#This Row],[TrxDate]]&lt;debug_date_start, "prior", IF(Jnl[[#This Row],[TrxDate]]&gt;debug_date_end, "post", "curr"))</f>
        <v>prior</v>
      </c>
    </row>
    <row r="99" spans="1:21" hidden="1">
      <c r="A99" s="10" t="s">
        <v>240</v>
      </c>
      <c r="B99" s="6">
        <f>_xlfn.XLOOKUP(Jnl[[#This Row],[TrxId]], Trx[Id], Trx[Date],,0)</f>
        <v>46022</v>
      </c>
      <c r="C99" s="6" t="str">
        <f>_xlfn.XLOOKUP(Jnl[[#This Row],[TrxId]], Trx[Id], Trx[Division],,0)</f>
        <v>Ctrl</v>
      </c>
      <c r="D99" s="6" t="str">
        <f>_xlfn.XLOOKUP(Jnl[[#This Row],[TrxId]], Trx[Id], Trx[Action],,0)</f>
        <v>结转</v>
      </c>
      <c r="E99" s="27" t="s">
        <v>84</v>
      </c>
      <c r="F99" s="10" t="s">
        <v>198</v>
      </c>
      <c r="G99" s="10" t="s">
        <v>920</v>
      </c>
      <c r="H99" s="20">
        <v>50507.19</v>
      </c>
      <c r="I99" s="11" t="b">
        <f>AND(Jnl[[#This Row],[TrxId]]&lt;&gt;"",Jnl[[#This Row],[Acct]]&lt;&gt;"",Jnl[[#This Row],[Item]]&lt;&gt;"",ISNUMBER(Jnl[[#This Row],[Bal]]))</f>
        <v>1</v>
      </c>
      <c r="J99" s="9">
        <f>IF(Jnl[[#This Row],[BSLv0]]="A",1,-1)*Jnl[[#This Row],[Bal]]</f>
        <v>-50507.19</v>
      </c>
      <c r="K99" t="str">
        <f>_xlfn.XLOOKUP(Jnl[[#This Row],[Acct]], config_BS[Acct], config_BS[Lv0],,0)</f>
        <v>LC</v>
      </c>
      <c r="L99" t="str">
        <f>_xlfn.XLOOKUP(Jnl[[#This Row],[Acct]], config_BS[Acct], config_BS[Lv1],,0)</f>
        <v>Liability</v>
      </c>
      <c r="M99" t="str">
        <f>_xlfn.XLOOKUP(Jnl[[#This Row],[Acct]], config_BS[Acct], config_BS[Lv2],,0)</f>
        <v>Cash alike</v>
      </c>
      <c r="N99" t="str">
        <f>_xlfn.XLOOKUP(Jnl[[#This Row],[TrxId]], Trx[Id], Trx[IncNode], ,0)</f>
        <v>Other</v>
      </c>
      <c r="O99" t="str">
        <f>_xlfn.XLOOKUP(Jnl[[#This Row],[IncNode]], config_IS[Node], config_IS[Type],,0)</f>
        <v>Non-Op</v>
      </c>
      <c r="P99" t="str">
        <f>_xlfn.XLOOKUP(Jnl[[#This Row],[BSLv2]], dict[Key], dict[Name],,0)</f>
        <v>0.现金及类似</v>
      </c>
      <c r="Q99" t="str">
        <f>_xlfn.XLOOKUP(Jnl[[#This Row],[Acct]], dict[Key], dict[Name],,0)</f>
        <v>会员充值</v>
      </c>
      <c r="R99" t="str">
        <f>_xlfn.XLOOKUP(Jnl[[#This Row],[Vehicle]],config_vehicle[Id], config_vehicle[Name],,0)</f>
        <v>米小易</v>
      </c>
      <c r="S99" t="str">
        <f>_xlfn.XLOOKUP(Jnl[[#This Row],[Division]],config_div[Id], config_div[Name],,0)</f>
        <v>内控合规</v>
      </c>
      <c r="T99" t="str">
        <f>IF(Jnl[[#This Row],[TrxDate]]&lt;=stmt_BS_date_end, "In", "Out")</f>
        <v>In</v>
      </c>
      <c r="U99" t="str">
        <f>IF(Jnl[[#This Row],[TrxDate]]&lt;debug_date_start, "prior", IF(Jnl[[#This Row],[TrxDate]]&gt;debug_date_end, "post", "curr"))</f>
        <v>prior</v>
      </c>
    </row>
    <row r="100" spans="1:21" hidden="1">
      <c r="A100" s="10" t="s">
        <v>240</v>
      </c>
      <c r="B100" s="6">
        <f>_xlfn.XLOOKUP(Jnl[[#This Row],[TrxId]], Trx[Id], Trx[Date],,0)</f>
        <v>46022</v>
      </c>
      <c r="C100" s="6" t="str">
        <f>_xlfn.XLOOKUP(Jnl[[#This Row],[TrxId]], Trx[Id], Trx[Division],,0)</f>
        <v>Ctrl</v>
      </c>
      <c r="D100" s="6" t="str">
        <f>_xlfn.XLOOKUP(Jnl[[#This Row],[TrxId]], Trx[Id], Trx[Action],,0)</f>
        <v>结转</v>
      </c>
      <c r="E100" s="27" t="s">
        <v>85</v>
      </c>
      <c r="F100" s="10" t="s">
        <v>129</v>
      </c>
      <c r="G100" s="10" t="s">
        <v>151</v>
      </c>
      <c r="H100" s="20">
        <v>12351.18</v>
      </c>
      <c r="I100" s="11" t="b">
        <f>AND(Jnl[[#This Row],[TrxId]]&lt;&gt;"",Jnl[[#This Row],[Acct]]&lt;&gt;"",Jnl[[#This Row],[Item]]&lt;&gt;"",ISNUMBER(Jnl[[#This Row],[Bal]]))</f>
        <v>1</v>
      </c>
      <c r="J100" s="9">
        <f>IF(Jnl[[#This Row],[BSLv0]]="A",1,-1)*Jnl[[#This Row],[Bal]]</f>
        <v>-12351.18</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Other</v>
      </c>
      <c r="O100" t="str">
        <f>_xlfn.XLOOKUP(Jnl[[#This Row],[IncNode]], config_IS[Node], config_IS[Type],,0)</f>
        <v>Non-Op</v>
      </c>
      <c r="P100" t="str">
        <f>_xlfn.XLOOKUP(Jnl[[#This Row],[BSLv2]], dict[Key], dict[Name],,0)</f>
        <v>1.应收-应付</v>
      </c>
      <c r="Q100" t="str">
        <f>_xlfn.XLOOKUP(Jnl[[#This Row],[Acct]], dict[Key], dict[Name],,0)</f>
        <v>应付-税款</v>
      </c>
      <c r="R100" t="str">
        <f>_xlfn.XLOOKUP(Jnl[[#This Row],[Vehicle]],config_vehicle[Id], config_vehicle[Name],,0)</f>
        <v>远家文化</v>
      </c>
      <c r="S100" t="str">
        <f>_xlfn.XLOOKUP(Jnl[[#This Row],[Division]],config_div[Id], config_div[Name],,0)</f>
        <v>内控合规</v>
      </c>
      <c r="T100" t="str">
        <f>IF(Jnl[[#This Row],[TrxDate]]&lt;=stmt_BS_date_end, "In", "Out")</f>
        <v>In</v>
      </c>
      <c r="U100" t="str">
        <f>IF(Jnl[[#This Row],[TrxDate]]&lt;debug_date_start, "prior", IF(Jnl[[#This Row],[TrxDate]]&gt;debug_date_end, "post", "curr"))</f>
        <v>prior</v>
      </c>
    </row>
    <row r="101" spans="1:21" hidden="1">
      <c r="A101" s="10" t="s">
        <v>240</v>
      </c>
      <c r="B101" s="6">
        <f>_xlfn.XLOOKUP(Jnl[[#This Row],[TrxId]], Trx[Id], Trx[Date],,0)</f>
        <v>46022</v>
      </c>
      <c r="C101" s="6" t="str">
        <f>_xlfn.XLOOKUP(Jnl[[#This Row],[TrxId]], Trx[Id], Trx[Division],,0)</f>
        <v>Ctrl</v>
      </c>
      <c r="D101" s="6" t="str">
        <f>_xlfn.XLOOKUP(Jnl[[#This Row],[TrxId]], Trx[Id], Trx[Action],,0)</f>
        <v>结转</v>
      </c>
      <c r="E101" s="27" t="s">
        <v>85</v>
      </c>
      <c r="F101" s="10" t="s">
        <v>191</v>
      </c>
      <c r="G101" s="10" t="s">
        <v>152</v>
      </c>
      <c r="H101" s="20">
        <v>112127.37</v>
      </c>
      <c r="I101" s="11" t="b">
        <f>AND(Jnl[[#This Row],[TrxId]]&lt;&gt;"",Jnl[[#This Row],[Acct]]&lt;&gt;"",Jnl[[#This Row],[Item]]&lt;&gt;"",ISNUMBER(Jnl[[#This Row],[Bal]]))</f>
        <v>1</v>
      </c>
      <c r="J101" s="9">
        <f>IF(Jnl[[#This Row],[BSLv0]]="A",1,-1)*Jnl[[#This Row],[Bal]]</f>
        <v>-112127.37</v>
      </c>
      <c r="K101" t="str">
        <f>_xlfn.XLOOKUP(Jnl[[#This Row],[Acct]], config_BS[Acct], config_BS[Lv0],,0)</f>
        <v>LC</v>
      </c>
      <c r="L101" t="str">
        <f>_xlfn.XLOOKUP(Jnl[[#This Row],[Acct]], config_BS[Acct], config_BS[Lv1],,0)</f>
        <v>Liability</v>
      </c>
      <c r="M101" t="str">
        <f>_xlfn.XLOOKUP(Jnl[[#This Row],[Acct]], config_BS[Acct], config_BS[Lv2],,0)</f>
        <v>Rec-Pay</v>
      </c>
      <c r="N101" t="str">
        <f>_xlfn.XLOOKUP(Jnl[[#This Row],[TrxId]], Trx[Id], Trx[IncNode], ,0)</f>
        <v>Other</v>
      </c>
      <c r="O101" t="str">
        <f>_xlfn.XLOOKUP(Jnl[[#This Row],[IncNode]], config_IS[Node], config_IS[Type],,0)</f>
        <v>Non-Op</v>
      </c>
      <c r="P101" t="str">
        <f>_xlfn.XLOOKUP(Jnl[[#This Row],[BSLv2]], dict[Key], dict[Name],,0)</f>
        <v>1.应收-应付</v>
      </c>
      <c r="Q101" t="str">
        <f>_xlfn.XLOOKUP(Jnl[[#This Row],[Acct]], dict[Key], dict[Name],,0)</f>
        <v>应付-薪资</v>
      </c>
      <c r="R101" t="str">
        <f>_xlfn.XLOOKUP(Jnl[[#This Row],[Vehicle]],config_vehicle[Id], config_vehicle[Name],,0)</f>
        <v>远家文化</v>
      </c>
      <c r="S101" t="str">
        <f>_xlfn.XLOOKUP(Jnl[[#This Row],[Division]],config_div[Id], config_div[Name],,0)</f>
        <v>内控合规</v>
      </c>
      <c r="T101" t="str">
        <f>IF(Jnl[[#This Row],[TrxDate]]&lt;=stmt_BS_date_end, "In", "Out")</f>
        <v>In</v>
      </c>
      <c r="U101" t="str">
        <f>IF(Jnl[[#This Row],[TrxDate]]&lt;debug_date_start, "prior", IF(Jnl[[#This Row],[TrxDate]]&gt;debug_date_end, "post", "curr"))</f>
        <v>prior</v>
      </c>
    </row>
    <row r="102" spans="1:21" hidden="1">
      <c r="A102" s="10" t="s">
        <v>240</v>
      </c>
      <c r="B102" s="6">
        <f>_xlfn.XLOOKUP(Jnl[[#This Row],[TrxId]], Trx[Id], Trx[Date],,0)</f>
        <v>46022</v>
      </c>
      <c r="C102" s="6" t="str">
        <f>_xlfn.XLOOKUP(Jnl[[#This Row],[TrxId]], Trx[Id], Trx[Division],,0)</f>
        <v>Ctrl</v>
      </c>
      <c r="D102" s="6" t="str">
        <f>_xlfn.XLOOKUP(Jnl[[#This Row],[TrxId]], Trx[Id], Trx[Action],,0)</f>
        <v>结转</v>
      </c>
      <c r="E102" s="27" t="s">
        <v>85</v>
      </c>
      <c r="F102" s="10" t="s">
        <v>198</v>
      </c>
      <c r="G102" s="10" t="s">
        <v>926</v>
      </c>
      <c r="H102" s="20">
        <v>389468.04000000004</v>
      </c>
      <c r="I102" s="11" t="b">
        <f>AND(Jnl[[#This Row],[TrxId]]&lt;&gt;"",Jnl[[#This Row],[Acct]]&lt;&gt;"",Jnl[[#This Row],[Item]]&lt;&gt;"",ISNUMBER(Jnl[[#This Row],[Bal]]))</f>
        <v>1</v>
      </c>
      <c r="J102" s="9">
        <f>IF(Jnl[[#This Row],[BSLv0]]="A",1,-1)*Jnl[[#This Row],[Bal]]</f>
        <v>-389468.04000000004</v>
      </c>
      <c r="K102" t="str">
        <f>_xlfn.XLOOKUP(Jnl[[#This Row],[Acct]], config_BS[Acct], config_BS[Lv0],,0)</f>
        <v>LC</v>
      </c>
      <c r="L102" t="str">
        <f>_xlfn.XLOOKUP(Jnl[[#This Row],[Acct]], config_BS[Acct], config_BS[Lv1],,0)</f>
        <v>Liability</v>
      </c>
      <c r="M102" t="str">
        <f>_xlfn.XLOOKUP(Jnl[[#This Row],[Acct]], config_BS[Acct], config_BS[Lv2],,0)</f>
        <v>Cash alike</v>
      </c>
      <c r="N102" t="str">
        <f>_xlfn.XLOOKUP(Jnl[[#This Row],[TrxId]], Trx[Id], Trx[IncNode], ,0)</f>
        <v>Other</v>
      </c>
      <c r="O102" t="str">
        <f>_xlfn.XLOOKUP(Jnl[[#This Row],[IncNode]], config_IS[Node], config_IS[Type],,0)</f>
        <v>Non-Op</v>
      </c>
      <c r="P102" t="str">
        <f>_xlfn.XLOOKUP(Jnl[[#This Row],[BSLv2]], dict[Key], dict[Name],,0)</f>
        <v>0.现金及类似</v>
      </c>
      <c r="Q102" t="str">
        <f>_xlfn.XLOOKUP(Jnl[[#This Row],[Acct]], dict[Key], dict[Name],,0)</f>
        <v>会员充值</v>
      </c>
      <c r="R102" t="str">
        <f>_xlfn.XLOOKUP(Jnl[[#This Row],[Vehicle]],config_vehicle[Id], config_vehicle[Name],,0)</f>
        <v>远家文化</v>
      </c>
      <c r="S102" t="str">
        <f>_xlfn.XLOOKUP(Jnl[[#This Row],[Division]],config_div[Id], config_div[Name],,0)</f>
        <v>内控合规</v>
      </c>
      <c r="T102" t="str">
        <f>IF(Jnl[[#This Row],[TrxDate]]&lt;=stmt_BS_date_end, "In", "Out")</f>
        <v>In</v>
      </c>
      <c r="U102" t="str">
        <f>IF(Jnl[[#This Row],[TrxDate]]&lt;debug_date_start, "prior", IF(Jnl[[#This Row],[TrxDate]]&gt;debug_date_end, "post", "curr"))</f>
        <v>prior</v>
      </c>
    </row>
    <row r="103" spans="1:21" hidden="1">
      <c r="A103" s="10" t="s">
        <v>240</v>
      </c>
      <c r="B103" s="6">
        <f>_xlfn.XLOOKUP(Jnl[[#This Row],[TrxId]], Trx[Id], Trx[Date],,0)</f>
        <v>46022</v>
      </c>
      <c r="C103" s="6" t="str">
        <f>_xlfn.XLOOKUP(Jnl[[#This Row],[TrxId]], Trx[Id], Trx[Division],,0)</f>
        <v>Ctrl</v>
      </c>
      <c r="D103" s="6" t="str">
        <f>_xlfn.XLOOKUP(Jnl[[#This Row],[TrxId]], Trx[Id], Trx[Action],,0)</f>
        <v>结转</v>
      </c>
      <c r="E103" s="27" t="s">
        <v>85</v>
      </c>
      <c r="F103" s="10" t="s">
        <v>133</v>
      </c>
      <c r="G103" s="10" t="s">
        <v>200</v>
      </c>
      <c r="H103" s="20">
        <v>5997.5</v>
      </c>
      <c r="I103" s="11" t="b">
        <f>AND(Jnl[[#This Row],[TrxId]]&lt;&gt;"",Jnl[[#This Row],[Acct]]&lt;&gt;"",Jnl[[#This Row],[Item]]&lt;&gt;"",ISNUMBER(Jnl[[#This Row],[Bal]]))</f>
        <v>1</v>
      </c>
      <c r="J103" s="9">
        <f>IF(Jnl[[#This Row],[BSLv0]]="A",1,-1)*Jnl[[#This Row],[Bal]]</f>
        <v>-5997.5</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Other</v>
      </c>
      <c r="O103" t="str">
        <f>_xlfn.XLOOKUP(Jnl[[#This Row],[IncNode]], config_IS[Node], config_IS[Type],,0)</f>
        <v>Non-Op</v>
      </c>
      <c r="P103" t="str">
        <f>_xlfn.XLOOKUP(Jnl[[#This Row],[BSLv2]], dict[Key], dict[Name],,0)</f>
        <v>1.应收-应付</v>
      </c>
      <c r="Q103" t="str">
        <f>_xlfn.XLOOKUP(Jnl[[#This Row],[Acct]], dict[Key], dict[Name],,0)</f>
        <v>应付-其他</v>
      </c>
      <c r="R103" t="str">
        <f>_xlfn.XLOOKUP(Jnl[[#This Row],[Vehicle]],config_vehicle[Id], config_vehicle[Name],,0)</f>
        <v>远家文化</v>
      </c>
      <c r="S103" t="str">
        <f>_xlfn.XLOOKUP(Jnl[[#This Row],[Division]],config_div[Id], config_div[Name],,0)</f>
        <v>内控合规</v>
      </c>
      <c r="T103" t="str">
        <f>IF(Jnl[[#This Row],[TrxDate]]&lt;=stmt_BS_date_end, "In", "Out")</f>
        <v>In</v>
      </c>
      <c r="U103" t="str">
        <f>IF(Jnl[[#This Row],[TrxDate]]&lt;debug_date_start, "prior", IF(Jnl[[#This Row],[TrxDate]]&gt;debug_date_end, "post", "curr"))</f>
        <v>prior</v>
      </c>
    </row>
    <row r="104" spans="1:21" hidden="1">
      <c r="A104" s="10" t="s">
        <v>240</v>
      </c>
      <c r="B104" s="6">
        <f>_xlfn.XLOOKUP(Jnl[[#This Row],[TrxId]], Trx[Id], Trx[Date],,0)</f>
        <v>46022</v>
      </c>
      <c r="C104" s="6" t="str">
        <f>_xlfn.XLOOKUP(Jnl[[#This Row],[TrxId]], Trx[Id], Trx[Division],,0)</f>
        <v>Ctrl</v>
      </c>
      <c r="D104" s="6" t="str">
        <f>_xlfn.XLOOKUP(Jnl[[#This Row],[TrxId]], Trx[Id], Trx[Action],,0)</f>
        <v>结转</v>
      </c>
      <c r="E104" s="27" t="s">
        <v>85</v>
      </c>
      <c r="F104" s="10" t="s">
        <v>116</v>
      </c>
      <c r="G104" s="10" t="s">
        <v>1133</v>
      </c>
      <c r="H104" s="20">
        <v>25551.3</v>
      </c>
      <c r="I104" s="11" t="b">
        <f>AND(Jnl[[#This Row],[TrxId]]&lt;&gt;"",Jnl[[#This Row],[Acct]]&lt;&gt;"",Jnl[[#This Row],[Item]]&lt;&gt;"",ISNUMBER(Jnl[[#This Row],[Bal]]))</f>
        <v>1</v>
      </c>
      <c r="J104" s="9">
        <f>IF(Jnl[[#This Row],[BSLv0]]="A",1,-1)*Jnl[[#This Row],[Bal]]</f>
        <v>-25551.3</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Other</v>
      </c>
      <c r="O104" t="str">
        <f>_xlfn.XLOOKUP(Jnl[[#This Row],[IncNode]], config_IS[Node], config_IS[Type],,0)</f>
        <v>Non-Op</v>
      </c>
      <c r="P104" t="str">
        <f>_xlfn.XLOOKUP(Jnl[[#This Row],[BSLv2]], dict[Key], dict[Name],,0)</f>
        <v>1.应收-应付</v>
      </c>
      <c r="Q104" t="str">
        <f>_xlfn.XLOOKUP(Jnl[[#This Row],[Acct]], dict[Key], dict[Name],,0)</f>
        <v>应付-一般</v>
      </c>
      <c r="R104" t="str">
        <f>_xlfn.XLOOKUP(Jnl[[#This Row],[Vehicle]],config_vehicle[Id], config_vehicle[Name],,0)</f>
        <v>远家文化</v>
      </c>
      <c r="S104" t="str">
        <f>_xlfn.XLOOKUP(Jnl[[#This Row],[Division]],config_div[Id], config_div[Name],,0)</f>
        <v>内控合规</v>
      </c>
      <c r="T104" t="str">
        <f>IF(Jnl[[#This Row],[TrxDate]]&lt;=stmt_BS_date_end, "In", "Out")</f>
        <v>In</v>
      </c>
      <c r="U104" t="str">
        <f>IF(Jnl[[#This Row],[TrxDate]]&lt;debug_date_start, "prior", IF(Jnl[[#This Row],[TrxDate]]&gt;debug_date_end, "post", "curr"))</f>
        <v>prior</v>
      </c>
    </row>
    <row r="105" spans="1:21" hidden="1">
      <c r="A105" s="10" t="s">
        <v>240</v>
      </c>
      <c r="B105" s="6">
        <f>_xlfn.XLOOKUP(Jnl[[#This Row],[TrxId]], Trx[Id], Trx[Date],,0)</f>
        <v>46022</v>
      </c>
      <c r="C105" s="6" t="str">
        <f>_xlfn.XLOOKUP(Jnl[[#This Row],[TrxId]], Trx[Id], Trx[Division],,0)</f>
        <v>Ctrl</v>
      </c>
      <c r="D105" s="6" t="str">
        <f>_xlfn.XLOOKUP(Jnl[[#This Row],[TrxId]], Trx[Id], Trx[Action],,0)</f>
        <v>结转</v>
      </c>
      <c r="E105" s="27" t="s">
        <v>85</v>
      </c>
      <c r="F105" s="10" t="s">
        <v>157</v>
      </c>
      <c r="G105" s="10" t="s">
        <v>149</v>
      </c>
      <c r="H105" s="20">
        <v>14402045</v>
      </c>
      <c r="I105" s="11" t="b">
        <f>AND(Jnl[[#This Row],[TrxId]]&lt;&gt;"",Jnl[[#This Row],[Acct]]&lt;&gt;"",Jnl[[#This Row],[Item]]&lt;&gt;"",ISNUMBER(Jnl[[#This Row],[Bal]]))</f>
        <v>1</v>
      </c>
      <c r="J105" s="9">
        <f>IF(Jnl[[#This Row],[BSLv0]]="A",1,-1)*Jnl[[#This Row],[Bal]]</f>
        <v>-14402045</v>
      </c>
      <c r="K105" t="str">
        <f>_xlfn.XLOOKUP(Jnl[[#This Row],[Acct]], config_BS[Acct], config_BS[Lv0],,0)</f>
        <v>LC</v>
      </c>
      <c r="L105" t="str">
        <f>_xlfn.XLOOKUP(Jnl[[#This Row],[Acct]], config_BS[Acct], config_BS[Lv1],,0)</f>
        <v>Equity</v>
      </c>
      <c r="M105" t="str">
        <f>_xlfn.XLOOKUP(Jnl[[#This Row],[Acct]], config_BS[Acct], config_BS[Lv2],,0)</f>
        <v>Cap</v>
      </c>
      <c r="N105" t="str">
        <f>_xlfn.XLOOKUP(Jnl[[#This Row],[TrxId]], Trx[Id], Trx[IncNode], ,0)</f>
        <v>Other</v>
      </c>
      <c r="O105" t="str">
        <f>_xlfn.XLOOKUP(Jnl[[#This Row],[IncNode]], config_IS[Node], config_IS[Type],,0)</f>
        <v>Non-Op</v>
      </c>
      <c r="P105" t="str">
        <f>_xlfn.XLOOKUP(Jnl[[#This Row],[BSLv2]], dict[Key], dict[Name],,0)</f>
        <v>X.资本</v>
      </c>
      <c r="Q105" t="str">
        <f>_xlfn.XLOOKUP(Jnl[[#This Row],[Acct]], dict[Key], dict[Name],,0)</f>
        <v>额外投入</v>
      </c>
      <c r="R105" t="str">
        <f>_xlfn.XLOOKUP(Jnl[[#This Row],[Vehicle]],config_vehicle[Id], config_vehicle[Name],,0)</f>
        <v>远家文化</v>
      </c>
      <c r="S105" t="str">
        <f>_xlfn.XLOOKUP(Jnl[[#This Row],[Division]],config_div[Id], config_div[Name],,0)</f>
        <v>内控合规</v>
      </c>
      <c r="T105" t="str">
        <f>IF(Jnl[[#This Row],[TrxDate]]&lt;=stmt_BS_date_end, "In", "Out")</f>
        <v>In</v>
      </c>
      <c r="U105" t="str">
        <f>IF(Jnl[[#This Row],[TrxDate]]&lt;debug_date_start, "prior", IF(Jnl[[#This Row],[TrxDate]]&gt;debug_date_end, "post", "curr"))</f>
        <v>prior</v>
      </c>
    </row>
    <row r="106" spans="1:21" hidden="1">
      <c r="A106" s="10" t="s">
        <v>240</v>
      </c>
      <c r="B106" s="6">
        <f>_xlfn.XLOOKUP(Jnl[[#This Row],[TrxId]], Trx[Id], Trx[Date],,0)</f>
        <v>46022</v>
      </c>
      <c r="C106" s="6" t="str">
        <f>_xlfn.XLOOKUP(Jnl[[#This Row],[TrxId]], Trx[Id], Trx[Division],,0)</f>
        <v>Ctrl</v>
      </c>
      <c r="D106" s="6" t="str">
        <f>_xlfn.XLOOKUP(Jnl[[#This Row],[TrxId]], Trx[Id], Trx[Action],,0)</f>
        <v>结转</v>
      </c>
      <c r="E106" s="27" t="s">
        <v>82</v>
      </c>
      <c r="F106" s="10" t="s">
        <v>16</v>
      </c>
      <c r="G106" s="10" t="s">
        <v>150</v>
      </c>
      <c r="H106" s="20">
        <v>1000000</v>
      </c>
      <c r="I106" s="11" t="b">
        <f>AND(Jnl[[#This Row],[TrxId]]&lt;&gt;"",Jnl[[#This Row],[Acct]]&lt;&gt;"",Jnl[[#This Row],[Item]]&lt;&gt;"",ISNUMBER(Jnl[[#This Row],[Bal]]))</f>
        <v>1</v>
      </c>
      <c r="J106" s="9">
        <f>IF(Jnl[[#This Row],[BSLv0]]="A",1,-1)*Jnl[[#This Row],[Bal]]</f>
        <v>-1000000</v>
      </c>
      <c r="K106" t="str">
        <f>_xlfn.XLOOKUP(Jnl[[#This Row],[Acct]], config_BS[Acct], config_BS[Lv0],,0)</f>
        <v>LC</v>
      </c>
      <c r="L106" t="str">
        <f>_xlfn.XLOOKUP(Jnl[[#This Row],[Acct]], config_BS[Acct], config_BS[Lv1],,0)</f>
        <v>Equity</v>
      </c>
      <c r="M106" t="str">
        <f>_xlfn.XLOOKUP(Jnl[[#This Row],[Acct]], config_BS[Acct], config_BS[Lv2],,0)</f>
        <v>Cap</v>
      </c>
      <c r="N106" t="str">
        <f>_xlfn.XLOOKUP(Jnl[[#This Row],[TrxId]], Trx[Id], Trx[IncNode], ,0)</f>
        <v>Other</v>
      </c>
      <c r="O106" t="str">
        <f>_xlfn.XLOOKUP(Jnl[[#This Row],[IncNode]], config_IS[Node], config_IS[Type],,0)</f>
        <v>Non-Op</v>
      </c>
      <c r="P106" t="str">
        <f>_xlfn.XLOOKUP(Jnl[[#This Row],[BSLv2]], dict[Key], dict[Name],,0)</f>
        <v>X.资本</v>
      </c>
      <c r="Q106" t="str">
        <f>_xlfn.XLOOKUP(Jnl[[#This Row],[Acct]], dict[Key], dict[Name],,0)</f>
        <v>原始资本</v>
      </c>
      <c r="R106" t="str">
        <f>_xlfn.XLOOKUP(Jnl[[#This Row],[Vehicle]],config_vehicle[Id], config_vehicle[Name],,0)</f>
        <v>远家花园</v>
      </c>
      <c r="S106" t="str">
        <f>_xlfn.XLOOKUP(Jnl[[#This Row],[Division]],config_div[Id], config_div[Name],,0)</f>
        <v>内控合规</v>
      </c>
      <c r="T106" t="str">
        <f>IF(Jnl[[#This Row],[TrxDate]]&lt;=stmt_BS_date_end, "In", "Out")</f>
        <v>In</v>
      </c>
      <c r="U106" t="str">
        <f>IF(Jnl[[#This Row],[TrxDate]]&lt;debug_date_start, "prior", IF(Jnl[[#This Row],[TrxDate]]&gt;debug_date_end, "post", "curr"))</f>
        <v>prior</v>
      </c>
    </row>
    <row r="107" spans="1:21" hidden="1">
      <c r="A107" s="10" t="s">
        <v>240</v>
      </c>
      <c r="B107" s="6">
        <f>_xlfn.XLOOKUP(Jnl[[#This Row],[TrxId]], Trx[Id], Trx[Date],,0)</f>
        <v>46022</v>
      </c>
      <c r="C107" s="6" t="str">
        <f>_xlfn.XLOOKUP(Jnl[[#This Row],[TrxId]], Trx[Id], Trx[Division],,0)</f>
        <v>Ctrl</v>
      </c>
      <c r="D107" s="6" t="str">
        <f>_xlfn.XLOOKUP(Jnl[[#This Row],[TrxId]], Trx[Id], Trx[Action],,0)</f>
        <v>结转</v>
      </c>
      <c r="E107" s="27" t="s">
        <v>84</v>
      </c>
      <c r="F107" s="10" t="s">
        <v>16</v>
      </c>
      <c r="G107" s="10" t="s">
        <v>150</v>
      </c>
      <c r="H107" s="20">
        <v>100000</v>
      </c>
      <c r="I107" s="11" t="b">
        <f>AND(Jnl[[#This Row],[TrxId]]&lt;&gt;"",Jnl[[#This Row],[Acct]]&lt;&gt;"",Jnl[[#This Row],[Item]]&lt;&gt;"",ISNUMBER(Jnl[[#This Row],[Bal]]))</f>
        <v>1</v>
      </c>
      <c r="J107" s="9">
        <f>IF(Jnl[[#This Row],[BSLv0]]="A",1,-1)*Jnl[[#This Row],[Bal]]</f>
        <v>-100000</v>
      </c>
      <c r="K107" t="str">
        <f>_xlfn.XLOOKUP(Jnl[[#This Row],[Acct]], config_BS[Acct], config_BS[Lv0],,0)</f>
        <v>LC</v>
      </c>
      <c r="L107" t="str">
        <f>_xlfn.XLOOKUP(Jnl[[#This Row],[Acct]], config_BS[Acct], config_BS[Lv1],,0)</f>
        <v>Equity</v>
      </c>
      <c r="M107" t="str">
        <f>_xlfn.XLOOKUP(Jnl[[#This Row],[Acct]], config_BS[Acct], config_BS[Lv2],,0)</f>
        <v>Cap</v>
      </c>
      <c r="N107" t="str">
        <f>_xlfn.XLOOKUP(Jnl[[#This Row],[TrxId]], Trx[Id], Trx[IncNode], ,0)</f>
        <v>Other</v>
      </c>
      <c r="O107" t="str">
        <f>_xlfn.XLOOKUP(Jnl[[#This Row],[IncNode]], config_IS[Node], config_IS[Type],,0)</f>
        <v>Non-Op</v>
      </c>
      <c r="P107" t="str">
        <f>_xlfn.XLOOKUP(Jnl[[#This Row],[BSLv2]], dict[Key], dict[Name],,0)</f>
        <v>X.资本</v>
      </c>
      <c r="Q107" t="str">
        <f>_xlfn.XLOOKUP(Jnl[[#This Row],[Acct]], dict[Key], dict[Name],,0)</f>
        <v>原始资本</v>
      </c>
      <c r="R107" t="str">
        <f>_xlfn.XLOOKUP(Jnl[[#This Row],[Vehicle]],config_vehicle[Id], config_vehicle[Name],,0)</f>
        <v>米小易</v>
      </c>
      <c r="S107" t="str">
        <f>_xlfn.XLOOKUP(Jnl[[#This Row],[Division]],config_div[Id], config_div[Name],,0)</f>
        <v>内控合规</v>
      </c>
      <c r="T107" t="str">
        <f>IF(Jnl[[#This Row],[TrxDate]]&lt;=stmt_BS_date_end, "In", "Out")</f>
        <v>In</v>
      </c>
      <c r="U107" t="str">
        <f>IF(Jnl[[#This Row],[TrxDate]]&lt;debug_date_start, "prior", IF(Jnl[[#This Row],[TrxDate]]&gt;debug_date_end, "post", "curr"))</f>
        <v>prior</v>
      </c>
    </row>
    <row r="108" spans="1:21" hidden="1">
      <c r="A108" s="10" t="s">
        <v>240</v>
      </c>
      <c r="B108" s="6">
        <f>_xlfn.XLOOKUP(Jnl[[#This Row],[TrxId]], Trx[Id], Trx[Date],,0)</f>
        <v>46022</v>
      </c>
      <c r="C108" s="6" t="str">
        <f>_xlfn.XLOOKUP(Jnl[[#This Row],[TrxId]], Trx[Id], Trx[Division],,0)</f>
        <v>Ctrl</v>
      </c>
      <c r="D108" s="6" t="str">
        <f>_xlfn.XLOOKUP(Jnl[[#This Row],[TrxId]], Trx[Id], Trx[Action],,0)</f>
        <v>结转</v>
      </c>
      <c r="E108" s="27" t="s">
        <v>86</v>
      </c>
      <c r="F108" s="10" t="s">
        <v>16</v>
      </c>
      <c r="G108" s="10" t="s">
        <v>150</v>
      </c>
      <c r="H108" s="20">
        <v>100000</v>
      </c>
      <c r="I108" s="11" t="b">
        <f>AND(Jnl[[#This Row],[TrxId]]&lt;&gt;"",Jnl[[#This Row],[Acct]]&lt;&gt;"",Jnl[[#This Row],[Item]]&lt;&gt;"",ISNUMBER(Jnl[[#This Row],[Bal]]))</f>
        <v>1</v>
      </c>
      <c r="J108" s="9">
        <f>IF(Jnl[[#This Row],[BSLv0]]="A",1,-1)*Jnl[[#This Row],[Bal]]</f>
        <v>-100000</v>
      </c>
      <c r="K108" t="str">
        <f>_xlfn.XLOOKUP(Jnl[[#This Row],[Acct]], config_BS[Acct], config_BS[Lv0],,0)</f>
        <v>LC</v>
      </c>
      <c r="L108" t="str">
        <f>_xlfn.XLOOKUP(Jnl[[#This Row],[Acct]], config_BS[Acct], config_BS[Lv1],,0)</f>
        <v>Equity</v>
      </c>
      <c r="M108" t="str">
        <f>_xlfn.XLOOKUP(Jnl[[#This Row],[Acct]], config_BS[Acct], config_BS[Lv2],,0)</f>
        <v>Cap</v>
      </c>
      <c r="N108" t="str">
        <f>_xlfn.XLOOKUP(Jnl[[#This Row],[TrxId]], Trx[Id], Trx[IncNode], ,0)</f>
        <v>Other</v>
      </c>
      <c r="O108" t="str">
        <f>_xlfn.XLOOKUP(Jnl[[#This Row],[IncNode]], config_IS[Node], config_IS[Type],,0)</f>
        <v>Non-Op</v>
      </c>
      <c r="P108" t="str">
        <f>_xlfn.XLOOKUP(Jnl[[#This Row],[BSLv2]], dict[Key], dict[Name],,0)</f>
        <v>X.资本</v>
      </c>
      <c r="Q108" t="str">
        <f>_xlfn.XLOOKUP(Jnl[[#This Row],[Acct]], dict[Key], dict[Name],,0)</f>
        <v>原始资本</v>
      </c>
      <c r="R108" t="str">
        <f>_xlfn.XLOOKUP(Jnl[[#This Row],[Vehicle]],config_vehicle[Id], config_vehicle[Name],,0)</f>
        <v>榆乐</v>
      </c>
      <c r="S108" t="str">
        <f>_xlfn.XLOOKUP(Jnl[[#This Row],[Division]],config_div[Id], config_div[Name],,0)</f>
        <v>内控合规</v>
      </c>
      <c r="T108" t="str">
        <f>IF(Jnl[[#This Row],[TrxDate]]&lt;=stmt_BS_date_end, "In", "Out")</f>
        <v>In</v>
      </c>
      <c r="U108" t="str">
        <f>IF(Jnl[[#This Row],[TrxDate]]&lt;debug_date_start, "prior", IF(Jnl[[#This Row],[TrxDate]]&gt;debug_date_end, "post", "curr"))</f>
        <v>prior</v>
      </c>
    </row>
    <row r="109" spans="1:21" hidden="1">
      <c r="A109" s="10" t="s">
        <v>240</v>
      </c>
      <c r="B109" s="6">
        <f>_xlfn.XLOOKUP(Jnl[[#This Row],[TrxId]], Trx[Id], Trx[Date],,0)</f>
        <v>46022</v>
      </c>
      <c r="C109" s="6" t="str">
        <f>_xlfn.XLOOKUP(Jnl[[#This Row],[TrxId]], Trx[Id], Trx[Division],,0)</f>
        <v>Ctrl</v>
      </c>
      <c r="D109" s="6" t="str">
        <f>_xlfn.XLOOKUP(Jnl[[#This Row],[TrxId]], Trx[Id], Trx[Action],,0)</f>
        <v>结转</v>
      </c>
      <c r="E109" s="27" t="s">
        <v>113</v>
      </c>
      <c r="F109" s="10" t="s">
        <v>16</v>
      </c>
      <c r="G109" s="10" t="s">
        <v>150</v>
      </c>
      <c r="H109" s="20">
        <v>500000</v>
      </c>
      <c r="I109" s="11" t="b">
        <f>AND(Jnl[[#This Row],[TrxId]]&lt;&gt;"",Jnl[[#This Row],[Acct]]&lt;&gt;"",Jnl[[#This Row],[Item]]&lt;&gt;"",ISNUMBER(Jnl[[#This Row],[Bal]]))</f>
        <v>1</v>
      </c>
      <c r="J109" s="9">
        <f>IF(Jnl[[#This Row],[BSLv0]]="A",1,-1)*Jnl[[#This Row],[Bal]]</f>
        <v>-500000</v>
      </c>
      <c r="K109" t="str">
        <f>_xlfn.XLOOKUP(Jnl[[#This Row],[Acct]], config_BS[Acct], config_BS[Lv0],,0)</f>
        <v>LC</v>
      </c>
      <c r="L109" t="str">
        <f>_xlfn.XLOOKUP(Jnl[[#This Row],[Acct]], config_BS[Acct], config_BS[Lv1],,0)</f>
        <v>Equity</v>
      </c>
      <c r="M109" t="str">
        <f>_xlfn.XLOOKUP(Jnl[[#This Row],[Acct]], config_BS[Acct], config_BS[Lv2],,0)</f>
        <v>Cap</v>
      </c>
      <c r="N109" t="str">
        <f>_xlfn.XLOOKUP(Jnl[[#This Row],[TrxId]], Trx[Id], Trx[IncNode], ,0)</f>
        <v>Other</v>
      </c>
      <c r="O109" t="str">
        <f>_xlfn.XLOOKUP(Jnl[[#This Row],[IncNode]], config_IS[Node], config_IS[Type],,0)</f>
        <v>Non-Op</v>
      </c>
      <c r="P109" t="str">
        <f>_xlfn.XLOOKUP(Jnl[[#This Row],[BSLv2]], dict[Key], dict[Name],,0)</f>
        <v>X.资本</v>
      </c>
      <c r="Q109" t="str">
        <f>_xlfn.XLOOKUP(Jnl[[#This Row],[Acct]], dict[Key], dict[Name],,0)</f>
        <v>原始资本</v>
      </c>
      <c r="R109" t="str">
        <f>_xlfn.XLOOKUP(Jnl[[#This Row],[Vehicle]],config_vehicle[Id], config_vehicle[Name],,0)</f>
        <v>染匠文化</v>
      </c>
      <c r="S109" t="str">
        <f>_xlfn.XLOOKUP(Jnl[[#This Row],[Division]],config_div[Id], config_div[Name],,0)</f>
        <v>内控合规</v>
      </c>
      <c r="T109" t="str">
        <f>IF(Jnl[[#This Row],[TrxDate]]&lt;=stmt_BS_date_end, "In", "Out")</f>
        <v>In</v>
      </c>
      <c r="U109" t="str">
        <f>IF(Jnl[[#This Row],[TrxDate]]&lt;debug_date_start, "prior", IF(Jnl[[#This Row],[TrxDate]]&gt;debug_date_end, "post", "curr"))</f>
        <v>prior</v>
      </c>
    </row>
    <row r="110" spans="1:21" hidden="1">
      <c r="A110" s="10" t="s">
        <v>240</v>
      </c>
      <c r="B110" s="6">
        <f>_xlfn.XLOOKUP(Jnl[[#This Row],[TrxId]], Trx[Id], Trx[Date],,0)</f>
        <v>46022</v>
      </c>
      <c r="C110" s="6" t="str">
        <f>_xlfn.XLOOKUP(Jnl[[#This Row],[TrxId]], Trx[Id], Trx[Division],,0)</f>
        <v>Ctrl</v>
      </c>
      <c r="D110" s="6" t="str">
        <f>_xlfn.XLOOKUP(Jnl[[#This Row],[TrxId]], Trx[Id], Trx[Action],,0)</f>
        <v>结转</v>
      </c>
      <c r="E110" s="27" t="s">
        <v>87</v>
      </c>
      <c r="F110" s="10" t="s">
        <v>16</v>
      </c>
      <c r="G110" s="10" t="s">
        <v>150</v>
      </c>
      <c r="H110" s="20">
        <v>100000</v>
      </c>
      <c r="I110" s="11" t="b">
        <f>AND(Jnl[[#This Row],[TrxId]]&lt;&gt;"",Jnl[[#This Row],[Acct]]&lt;&gt;"",Jnl[[#This Row],[Item]]&lt;&gt;"",ISNUMBER(Jnl[[#This Row],[Bal]]))</f>
        <v>1</v>
      </c>
      <c r="J110" s="9">
        <f>IF(Jnl[[#This Row],[BSLv0]]="A",1,-1)*Jnl[[#This Row],[Bal]]</f>
        <v>-100000</v>
      </c>
      <c r="K110" t="str">
        <f>_xlfn.XLOOKUP(Jnl[[#This Row],[Acct]], config_BS[Acct], config_BS[Lv0],,0)</f>
        <v>LC</v>
      </c>
      <c r="L110" t="str">
        <f>_xlfn.XLOOKUP(Jnl[[#This Row],[Acct]], config_BS[Acct], config_BS[Lv1],,0)</f>
        <v>Equity</v>
      </c>
      <c r="M110" t="str">
        <f>_xlfn.XLOOKUP(Jnl[[#This Row],[Acct]], config_BS[Acct], config_BS[Lv2],,0)</f>
        <v>Cap</v>
      </c>
      <c r="N110" t="str">
        <f>_xlfn.XLOOKUP(Jnl[[#This Row],[TrxId]], Trx[Id], Trx[IncNode], ,0)</f>
        <v>Other</v>
      </c>
      <c r="O110" t="str">
        <f>_xlfn.XLOOKUP(Jnl[[#This Row],[IncNode]], config_IS[Node], config_IS[Type],,0)</f>
        <v>Non-Op</v>
      </c>
      <c r="P110" t="str">
        <f>_xlfn.XLOOKUP(Jnl[[#This Row],[BSLv2]], dict[Key], dict[Name],,0)</f>
        <v>X.资本</v>
      </c>
      <c r="Q110" t="str">
        <f>_xlfn.XLOOKUP(Jnl[[#This Row],[Acct]], dict[Key], dict[Name],,0)</f>
        <v>原始资本</v>
      </c>
      <c r="R110" t="str">
        <f>_xlfn.XLOOKUP(Jnl[[#This Row],[Vehicle]],config_vehicle[Id], config_vehicle[Name],,0)</f>
        <v>桑木</v>
      </c>
      <c r="S110" t="str">
        <f>_xlfn.XLOOKUP(Jnl[[#This Row],[Division]],config_div[Id], config_div[Name],,0)</f>
        <v>内控合规</v>
      </c>
      <c r="T110" t="str">
        <f>IF(Jnl[[#This Row],[TrxDate]]&lt;=stmt_BS_date_end, "In", "Out")</f>
        <v>In</v>
      </c>
      <c r="U110" t="str">
        <f>IF(Jnl[[#This Row],[TrxDate]]&lt;debug_date_start, "prior", IF(Jnl[[#This Row],[TrxDate]]&gt;debug_date_end, "post", "curr"))</f>
        <v>prior</v>
      </c>
    </row>
    <row r="111" spans="1:21" hidden="1">
      <c r="A111" s="10" t="s">
        <v>240</v>
      </c>
      <c r="B111" s="6">
        <f>_xlfn.XLOOKUP(Jnl[[#This Row],[TrxId]], Trx[Id], Trx[Date],,0)</f>
        <v>46022</v>
      </c>
      <c r="C111" s="6" t="str">
        <f>_xlfn.XLOOKUP(Jnl[[#This Row],[TrxId]], Trx[Id], Trx[Division],,0)</f>
        <v>Ctrl</v>
      </c>
      <c r="D111" s="6" t="str">
        <f>_xlfn.XLOOKUP(Jnl[[#This Row],[TrxId]], Trx[Id], Trx[Action],,0)</f>
        <v>结转</v>
      </c>
      <c r="E111" s="27" t="s">
        <v>83</v>
      </c>
      <c r="F111" s="10" t="s">
        <v>16</v>
      </c>
      <c r="G111" s="10" t="s">
        <v>150</v>
      </c>
      <c r="H111" s="20">
        <v>13236191</v>
      </c>
      <c r="I111" s="11" t="b">
        <f>AND(Jnl[[#This Row],[TrxId]]&lt;&gt;"",Jnl[[#This Row],[Acct]]&lt;&gt;"",Jnl[[#This Row],[Item]]&lt;&gt;"",ISNUMBER(Jnl[[#This Row],[Bal]]))</f>
        <v>1</v>
      </c>
      <c r="J111" s="9">
        <f>IF(Jnl[[#This Row],[BSLv0]]="A",1,-1)*Jnl[[#This Row],[Bal]]</f>
        <v>-13236191</v>
      </c>
      <c r="K111" t="str">
        <f>_xlfn.XLOOKUP(Jnl[[#This Row],[Acct]], config_BS[Acct], config_BS[Lv0],,0)</f>
        <v>LC</v>
      </c>
      <c r="L111" t="str">
        <f>_xlfn.XLOOKUP(Jnl[[#This Row],[Acct]], config_BS[Acct], config_BS[Lv1],,0)</f>
        <v>Equity</v>
      </c>
      <c r="M111" t="str">
        <f>_xlfn.XLOOKUP(Jnl[[#This Row],[Acct]], config_BS[Acct], config_BS[Lv2],,0)</f>
        <v>Cap</v>
      </c>
      <c r="N111" t="str">
        <f>_xlfn.XLOOKUP(Jnl[[#This Row],[TrxId]], Trx[Id], Trx[IncNode], ,0)</f>
        <v>Other</v>
      </c>
      <c r="O111" t="str">
        <f>_xlfn.XLOOKUP(Jnl[[#This Row],[IncNode]], config_IS[Node], config_IS[Type],,0)</f>
        <v>Non-Op</v>
      </c>
      <c r="P111" t="str">
        <f>_xlfn.XLOOKUP(Jnl[[#This Row],[BSLv2]], dict[Key], dict[Name],,0)</f>
        <v>X.资本</v>
      </c>
      <c r="Q111" t="str">
        <f>_xlfn.XLOOKUP(Jnl[[#This Row],[Acct]], dict[Key], dict[Name],,0)</f>
        <v>原始资本</v>
      </c>
      <c r="R111" t="str">
        <f>_xlfn.XLOOKUP(Jnl[[#This Row],[Vehicle]],config_vehicle[Id], config_vehicle[Name],,0)</f>
        <v>喜家文化</v>
      </c>
      <c r="S111" t="str">
        <f>_xlfn.XLOOKUP(Jnl[[#This Row],[Division]],config_div[Id], config_div[Name],,0)</f>
        <v>内控合规</v>
      </c>
      <c r="T111" t="str">
        <f>IF(Jnl[[#This Row],[TrxDate]]&lt;=stmt_BS_date_end, "In", "Out")</f>
        <v>In</v>
      </c>
      <c r="U111" t="str">
        <f>IF(Jnl[[#This Row],[TrxDate]]&lt;debug_date_start, "prior", IF(Jnl[[#This Row],[TrxDate]]&gt;debug_date_end, "post", "curr"))</f>
        <v>prior</v>
      </c>
    </row>
    <row r="112" spans="1:21" hidden="1">
      <c r="A112" s="10" t="s">
        <v>240</v>
      </c>
      <c r="B112" s="6">
        <f>_xlfn.XLOOKUP(Jnl[[#This Row],[TrxId]], Trx[Id], Trx[Date],,0)</f>
        <v>46022</v>
      </c>
      <c r="C112" s="6" t="str">
        <f>_xlfn.XLOOKUP(Jnl[[#This Row],[TrxId]], Trx[Id], Trx[Division],,0)</f>
        <v>Ctrl</v>
      </c>
      <c r="D112" s="6" t="str">
        <f>_xlfn.XLOOKUP(Jnl[[#This Row],[TrxId]], Trx[Id], Trx[Action],,0)</f>
        <v>结转</v>
      </c>
      <c r="E112" s="27" t="s">
        <v>85</v>
      </c>
      <c r="F112" s="10" t="s">
        <v>16</v>
      </c>
      <c r="G112" s="10" t="s">
        <v>150</v>
      </c>
      <c r="H112" s="20">
        <v>10000000</v>
      </c>
      <c r="I112" s="11" t="b">
        <f>AND(Jnl[[#This Row],[TrxId]]&lt;&gt;"",Jnl[[#This Row],[Acct]]&lt;&gt;"",Jnl[[#This Row],[Item]]&lt;&gt;"",ISNUMBER(Jnl[[#This Row],[Bal]]))</f>
        <v>1</v>
      </c>
      <c r="J112" s="9">
        <f>IF(Jnl[[#This Row],[BSLv0]]="A",1,-1)*Jnl[[#This Row],[Bal]]</f>
        <v>-10000000</v>
      </c>
      <c r="K112" t="str">
        <f>_xlfn.XLOOKUP(Jnl[[#This Row],[Acct]], config_BS[Acct], config_BS[Lv0],,0)</f>
        <v>LC</v>
      </c>
      <c r="L112" t="str">
        <f>_xlfn.XLOOKUP(Jnl[[#This Row],[Acct]], config_BS[Acct], config_BS[Lv1],,0)</f>
        <v>Equity</v>
      </c>
      <c r="M112" t="str">
        <f>_xlfn.XLOOKUP(Jnl[[#This Row],[Acct]], config_BS[Acct], config_BS[Lv2],,0)</f>
        <v>Cap</v>
      </c>
      <c r="N112" t="str">
        <f>_xlfn.XLOOKUP(Jnl[[#This Row],[TrxId]], Trx[Id], Trx[IncNode], ,0)</f>
        <v>Other</v>
      </c>
      <c r="O112" t="str">
        <f>_xlfn.XLOOKUP(Jnl[[#This Row],[IncNode]], config_IS[Node], config_IS[Type],,0)</f>
        <v>Non-Op</v>
      </c>
      <c r="P112" t="str">
        <f>_xlfn.XLOOKUP(Jnl[[#This Row],[BSLv2]], dict[Key], dict[Name],,0)</f>
        <v>X.资本</v>
      </c>
      <c r="Q112" t="str">
        <f>_xlfn.XLOOKUP(Jnl[[#This Row],[Acct]], dict[Key], dict[Name],,0)</f>
        <v>原始资本</v>
      </c>
      <c r="R112" t="str">
        <f>_xlfn.XLOOKUP(Jnl[[#This Row],[Vehicle]],config_vehicle[Id], config_vehicle[Name],,0)</f>
        <v>远家文化</v>
      </c>
      <c r="S112" t="str">
        <f>_xlfn.XLOOKUP(Jnl[[#This Row],[Division]],config_div[Id], config_div[Name],,0)</f>
        <v>内控合规</v>
      </c>
      <c r="T112" t="str">
        <f>IF(Jnl[[#This Row],[TrxDate]]&lt;=stmt_BS_date_end, "In", "Out")</f>
        <v>In</v>
      </c>
      <c r="U112" t="str">
        <f>IF(Jnl[[#This Row],[TrxDate]]&lt;debug_date_start, "prior", IF(Jnl[[#This Row],[TrxDate]]&gt;debug_date_end, "post", "curr"))</f>
        <v>prior</v>
      </c>
    </row>
    <row r="113" spans="1:21" hidden="1">
      <c r="A113" s="10" t="s">
        <v>240</v>
      </c>
      <c r="B113" s="6">
        <f>_xlfn.XLOOKUP(Jnl[[#This Row],[TrxId]], Trx[Id], Trx[Date],,0)</f>
        <v>46022</v>
      </c>
      <c r="C113" s="6" t="str">
        <f>_xlfn.XLOOKUP(Jnl[[#This Row],[TrxId]], Trx[Id], Trx[Division],,0)</f>
        <v>Ctrl</v>
      </c>
      <c r="D113" s="6" t="str">
        <f>_xlfn.XLOOKUP(Jnl[[#This Row],[TrxId]], Trx[Id], Trx[Action],,0)</f>
        <v>结转</v>
      </c>
      <c r="E113" s="27" t="s">
        <v>83</v>
      </c>
      <c r="F113" s="10" t="s">
        <v>18</v>
      </c>
      <c r="G113" s="10" t="s">
        <v>128</v>
      </c>
      <c r="H113" s="20">
        <f>8247075.17000001-12680</f>
        <v>8234395.1700000102</v>
      </c>
      <c r="I113" s="11" t="b">
        <f>AND(Jnl[[#This Row],[TrxId]]&lt;&gt;"",Jnl[[#This Row],[Acct]]&lt;&gt;"",Jnl[[#This Row],[Item]]&lt;&gt;"",ISNUMBER(Jnl[[#This Row],[Bal]]))</f>
        <v>1</v>
      </c>
      <c r="J113" s="9">
        <f>IF(Jnl[[#This Row],[BSLv0]]="A",1,-1)*Jnl[[#This Row],[Bal]]</f>
        <v>-8234395.1700000102</v>
      </c>
      <c r="K113" t="str">
        <f>_xlfn.XLOOKUP(Jnl[[#This Row],[Acct]], config_BS[Acct], config_BS[Lv0],,0)</f>
        <v>LC</v>
      </c>
      <c r="L113" t="str">
        <f>_xlfn.XLOOKUP(Jnl[[#This Row],[Acct]], config_BS[Acct], config_BS[Lv1],,0)</f>
        <v>Equity</v>
      </c>
      <c r="M113" t="str">
        <f>_xlfn.XLOOKUP(Jnl[[#This Row],[Acct]], config_BS[Acct], config_BS[Lv2],,0)</f>
        <v>Rsv</v>
      </c>
      <c r="N113" t="str">
        <f>_xlfn.XLOOKUP(Jnl[[#This Row],[TrxId]], Trx[Id], Trx[IncNode], ,0)</f>
        <v>Other</v>
      </c>
      <c r="O113" t="str">
        <f>_xlfn.XLOOKUP(Jnl[[#This Row],[IncNode]], config_IS[Node], config_IS[Type],,0)</f>
        <v>Non-Op</v>
      </c>
      <c r="P113" t="str">
        <f>_xlfn.XLOOKUP(Jnl[[#This Row],[BSLv2]], dict[Key], dict[Name],,0)</f>
        <v>9.蓄水池</v>
      </c>
      <c r="Q113" t="str">
        <f>_xlfn.XLOOKUP(Jnl[[#This Row],[Acct]], dict[Key], dict[Name],,0)</f>
        <v>可分配利润</v>
      </c>
      <c r="R113" t="str">
        <f>_xlfn.XLOOKUP(Jnl[[#This Row],[Vehicle]],config_vehicle[Id], config_vehicle[Name],,0)</f>
        <v>喜家文化</v>
      </c>
      <c r="S113" t="str">
        <f>_xlfn.XLOOKUP(Jnl[[#This Row],[Division]],config_div[Id], config_div[Name],,0)</f>
        <v>内控合规</v>
      </c>
      <c r="T113" t="str">
        <f>IF(Jnl[[#This Row],[TrxDate]]&lt;=stmt_BS_date_end, "In", "Out")</f>
        <v>In</v>
      </c>
      <c r="U113" t="str">
        <f>IF(Jnl[[#This Row],[TrxDate]]&lt;debug_date_start, "prior", IF(Jnl[[#This Row],[TrxDate]]&gt;debug_date_end, "post", "curr"))</f>
        <v>prior</v>
      </c>
    </row>
    <row r="114" spans="1:21" s="53" customFormat="1" hidden="1">
      <c r="A114" s="47" t="s">
        <v>240</v>
      </c>
      <c r="B114" s="48">
        <f>_xlfn.XLOOKUP(Jnl[[#This Row],[TrxId]], Trx[Id], Trx[Date],,0)</f>
        <v>46022</v>
      </c>
      <c r="C114" s="48" t="str">
        <f>_xlfn.XLOOKUP(Jnl[[#This Row],[TrxId]], Trx[Id], Trx[Division],,0)</f>
        <v>Ctrl</v>
      </c>
      <c r="D114" s="48" t="str">
        <f>_xlfn.XLOOKUP(Jnl[[#This Row],[TrxId]], Trx[Id], Trx[Action],,0)</f>
        <v>结转</v>
      </c>
      <c r="E114" s="49" t="s">
        <v>95</v>
      </c>
      <c r="F114" s="47" t="s">
        <v>134</v>
      </c>
      <c r="G114" s="47" t="s">
        <v>409</v>
      </c>
      <c r="H114" s="20">
        <f>5578.9+12680</f>
        <v>18258.900000000001</v>
      </c>
      <c r="I114" s="54" t="b">
        <f>AND(Jnl[[#This Row],[TrxId]]&lt;&gt;"",Jnl[[#This Row],[Acct]]&lt;&gt;"",Jnl[[#This Row],[Item]]&lt;&gt;"",ISNUMBER(Jnl[[#This Row],[Bal]]))</f>
        <v>1</v>
      </c>
      <c r="J114" s="52">
        <f>IF(Jnl[[#This Row],[BSLv0]]="A",1,-1)*Jnl[[#This Row],[Bal]]</f>
        <v>-18258.900000000001</v>
      </c>
      <c r="K114" s="53" t="str">
        <f>_xlfn.XLOOKUP(Jnl[[#This Row],[Acct]], config_BS[Acct], config_BS[Lv0],,0)</f>
        <v>LC</v>
      </c>
      <c r="L114" s="53" t="str">
        <f>_xlfn.XLOOKUP(Jnl[[#This Row],[Acct]], config_BS[Acct], config_BS[Lv1],,0)</f>
        <v>Liability</v>
      </c>
      <c r="M114" s="53" t="str">
        <f>_xlfn.XLOOKUP(Jnl[[#This Row],[Acct]], config_BS[Acct], config_BS[Lv2],,0)</f>
        <v>Rec-Pay</v>
      </c>
      <c r="N114" s="53" t="str">
        <f>_xlfn.XLOOKUP(Jnl[[#This Row],[TrxId]], Trx[Id], Trx[IncNode], ,0)</f>
        <v>Other</v>
      </c>
      <c r="O114" s="53" t="str">
        <f>_xlfn.XLOOKUP(Jnl[[#This Row],[IncNode]], config_IS[Node], config_IS[Type],,0)</f>
        <v>Non-Op</v>
      </c>
      <c r="P114" s="53" t="str">
        <f>_xlfn.XLOOKUP(Jnl[[#This Row],[BSLv2]], dict[Key], dict[Name],,0)</f>
        <v>1.应收-应付</v>
      </c>
      <c r="Q114" s="53" t="str">
        <f>_xlfn.XLOOKUP(Jnl[[#This Row],[Acct]], dict[Key], dict[Name],,0)</f>
        <v>应付-其他</v>
      </c>
      <c r="R114" s="53" t="str">
        <f>_xlfn.XLOOKUP(Jnl[[#This Row],[Vehicle]],config_vehicle[Id], config_vehicle[Name],,0)</f>
        <v>创业园-琦</v>
      </c>
      <c r="S114" s="53" t="str">
        <f>_xlfn.XLOOKUP(Jnl[[#This Row],[Division]],config_div[Id], config_div[Name],,0)</f>
        <v>内控合规</v>
      </c>
      <c r="T114" s="53" t="str">
        <f>IF(Jnl[[#This Row],[TrxDate]]&lt;=stmt_BS_date_end, "In", "Out")</f>
        <v>In</v>
      </c>
      <c r="U114" s="53" t="str">
        <f>IF(Jnl[[#This Row],[TrxDate]]&lt;debug_date_start, "prior", IF(Jnl[[#This Row],[TrxDate]]&gt;debug_date_end, "post", "curr"))</f>
        <v>prior</v>
      </c>
    </row>
    <row r="115" spans="1:21" hidden="1">
      <c r="A115" s="10" t="s">
        <v>241</v>
      </c>
      <c r="B115" s="6">
        <f>_xlfn.XLOOKUP(Jnl[[#This Row],[TrxId]], Trx[Id], Trx[Date],,0)</f>
        <v>46022</v>
      </c>
      <c r="C115" s="6" t="str">
        <f>_xlfn.XLOOKUP(Jnl[[#This Row],[TrxId]], Trx[Id], Trx[Division],,0)</f>
        <v>Ctrl</v>
      </c>
      <c r="D115" s="6" t="str">
        <f>_xlfn.XLOOKUP(Jnl[[#This Row],[TrxId]], Trx[Id], Trx[Action],,0)</f>
        <v>调整</v>
      </c>
      <c r="E115" s="27" t="s">
        <v>82</v>
      </c>
      <c r="F115" s="10" t="s">
        <v>118</v>
      </c>
      <c r="G115" s="10" t="s">
        <v>153</v>
      </c>
      <c r="H115" s="20">
        <v>-10513383.689999999</v>
      </c>
      <c r="I115" s="11" t="b">
        <f>AND(Jnl[[#This Row],[TrxId]]&lt;&gt;"",Jnl[[#This Row],[Acct]]&lt;&gt;"",Jnl[[#This Row],[Item]]&lt;&gt;"",ISNUMBER(Jnl[[#This Row],[Bal]]))</f>
        <v>1</v>
      </c>
      <c r="J115" s="9">
        <f>IF(Jnl[[#This Row],[BSLv0]]="A",1,-1)*Jnl[[#This Row],[Bal]]</f>
        <v>-10513383.689999999</v>
      </c>
      <c r="K115" t="str">
        <f>_xlfn.XLOOKUP(Jnl[[#This Row],[Acct]], config_BS[Acct], config_BS[Lv0],,0)</f>
        <v>A</v>
      </c>
      <c r="L115" t="str">
        <f>_xlfn.XLOOKUP(Jnl[[#This Row],[Acct]], config_BS[Acct], config_BS[Lv1],,0)</f>
        <v>Assets</v>
      </c>
      <c r="M115" t="str">
        <f>_xlfn.XLOOKUP(Jnl[[#This Row],[Acct]], config_BS[Acct], config_BS[Lv2],,0)</f>
        <v>Invtr</v>
      </c>
      <c r="N115" t="str">
        <f>_xlfn.XLOOKUP(Jnl[[#This Row],[TrxId]], Trx[Id], Trx[IncNode], ,0)</f>
        <v>Other</v>
      </c>
      <c r="O115" t="str">
        <f>_xlfn.XLOOKUP(Jnl[[#This Row],[IncNode]], config_IS[Node], config_IS[Type],,0)</f>
        <v>Non-Op</v>
      </c>
      <c r="P115" t="str">
        <f>_xlfn.XLOOKUP(Jnl[[#This Row],[BSLv2]], dict[Key], dict[Name],,0)</f>
        <v>3.库存占款</v>
      </c>
      <c r="Q115" t="str">
        <f>_xlfn.XLOOKUP(Jnl[[#This Row],[Acct]], dict[Key], dict[Name],,0)</f>
        <v>当期存货</v>
      </c>
      <c r="R115" t="str">
        <f>_xlfn.XLOOKUP(Jnl[[#This Row],[Vehicle]],config_vehicle[Id], config_vehicle[Name],,0)</f>
        <v>远家花园</v>
      </c>
      <c r="S115" t="str">
        <f>_xlfn.XLOOKUP(Jnl[[#This Row],[Division]],config_div[Id], config_div[Name],,0)</f>
        <v>内控合规</v>
      </c>
      <c r="T115" t="str">
        <f>IF(Jnl[[#This Row],[TrxDate]]&lt;=stmt_BS_date_end, "In", "Out")</f>
        <v>In</v>
      </c>
      <c r="U115" t="str">
        <f>IF(Jnl[[#This Row],[TrxDate]]&lt;debug_date_start, "prior", IF(Jnl[[#This Row],[TrxDate]]&gt;debug_date_end, "post", "curr"))</f>
        <v>prior</v>
      </c>
    </row>
    <row r="116" spans="1:21" hidden="1">
      <c r="A116" s="10" t="s">
        <v>241</v>
      </c>
      <c r="B116" s="6">
        <f>_xlfn.XLOOKUP(Jnl[[#This Row],[TrxId]], Trx[Id], Trx[Date],,0)</f>
        <v>46022</v>
      </c>
      <c r="C116" s="6" t="str">
        <f>_xlfn.XLOOKUP(Jnl[[#This Row],[TrxId]], Trx[Id], Trx[Division],,0)</f>
        <v>Ctrl</v>
      </c>
      <c r="D116" s="6" t="str">
        <f>_xlfn.XLOOKUP(Jnl[[#This Row],[TrxId]], Trx[Id], Trx[Action],,0)</f>
        <v>调整</v>
      </c>
      <c r="E116" s="27" t="s">
        <v>82</v>
      </c>
      <c r="F116" s="10" t="s">
        <v>118</v>
      </c>
      <c r="G116" s="10" t="s">
        <v>153</v>
      </c>
      <c r="H116" s="20">
        <v>3926374.9699999997</v>
      </c>
      <c r="I116" s="11" t="b">
        <f>AND(Jnl[[#This Row],[TrxId]]&lt;&gt;"",Jnl[[#This Row],[Acct]]&lt;&gt;"",Jnl[[#This Row],[Item]]&lt;&gt;"",ISNUMBER(Jnl[[#This Row],[Bal]]))</f>
        <v>1</v>
      </c>
      <c r="J116" s="9">
        <f>IF(Jnl[[#This Row],[BSLv0]]="A",1,-1)*Jnl[[#This Row],[Bal]]</f>
        <v>3926374.9699999997</v>
      </c>
      <c r="K116" t="str">
        <f>_xlfn.XLOOKUP(Jnl[[#This Row],[Acct]], config_BS[Acct], config_BS[Lv0],,0)</f>
        <v>A</v>
      </c>
      <c r="L116" t="str">
        <f>_xlfn.XLOOKUP(Jnl[[#This Row],[Acct]], config_BS[Acct], config_BS[Lv1],,0)</f>
        <v>Assets</v>
      </c>
      <c r="M116" t="str">
        <f>_xlfn.XLOOKUP(Jnl[[#This Row],[Acct]], config_BS[Acct], config_BS[Lv2],,0)</f>
        <v>Invtr</v>
      </c>
      <c r="N116" t="str">
        <f>_xlfn.XLOOKUP(Jnl[[#This Row],[TrxId]], Trx[Id], Trx[IncNode], ,0)</f>
        <v>Other</v>
      </c>
      <c r="O116" t="str">
        <f>_xlfn.XLOOKUP(Jnl[[#This Row],[IncNode]], config_IS[Node], config_IS[Type],,0)</f>
        <v>Non-Op</v>
      </c>
      <c r="P116" t="str">
        <f>_xlfn.XLOOKUP(Jnl[[#This Row],[BSLv2]], dict[Key], dict[Name],,0)</f>
        <v>3.库存占款</v>
      </c>
      <c r="Q116" t="str">
        <f>_xlfn.XLOOKUP(Jnl[[#This Row],[Acct]], dict[Key], dict[Name],,0)</f>
        <v>当期存货</v>
      </c>
      <c r="R116" t="str">
        <f>_xlfn.XLOOKUP(Jnl[[#This Row],[Vehicle]],config_vehicle[Id], config_vehicle[Name],,0)</f>
        <v>远家花园</v>
      </c>
      <c r="S116" t="str">
        <f>_xlfn.XLOOKUP(Jnl[[#This Row],[Division]],config_div[Id], config_div[Name],,0)</f>
        <v>内控合规</v>
      </c>
      <c r="T116" t="str">
        <f>IF(Jnl[[#This Row],[TrxDate]]&lt;=stmt_BS_date_end, "In", "Out")</f>
        <v>In</v>
      </c>
      <c r="U116" t="str">
        <f>IF(Jnl[[#This Row],[TrxDate]]&lt;debug_date_start, "prior", IF(Jnl[[#This Row],[TrxDate]]&gt;debug_date_end, "post", "curr"))</f>
        <v>prior</v>
      </c>
    </row>
    <row r="117" spans="1:21" hidden="1">
      <c r="A117" s="10" t="s">
        <v>241</v>
      </c>
      <c r="B117" s="6">
        <f>_xlfn.XLOOKUP(Jnl[[#This Row],[TrxId]], Trx[Id], Trx[Date],,0)</f>
        <v>46022</v>
      </c>
      <c r="C117" s="6" t="str">
        <f>_xlfn.XLOOKUP(Jnl[[#This Row],[TrxId]], Trx[Id], Trx[Division],,0)</f>
        <v>Ctrl</v>
      </c>
      <c r="D117" s="6" t="str">
        <f>_xlfn.XLOOKUP(Jnl[[#This Row],[TrxId]], Trx[Id], Trx[Action],,0)</f>
        <v>调整</v>
      </c>
      <c r="E117" s="27" t="s">
        <v>82</v>
      </c>
      <c r="F117" s="10" t="s">
        <v>118</v>
      </c>
      <c r="G117" s="10" t="s">
        <v>209</v>
      </c>
      <c r="H117" s="20">
        <v>2000000</v>
      </c>
      <c r="I117" s="11" t="b">
        <f>AND(Jnl[[#This Row],[TrxId]]&lt;&gt;"",Jnl[[#This Row],[Acct]]&lt;&gt;"",Jnl[[#This Row],[Item]]&lt;&gt;"",ISNUMBER(Jnl[[#This Row],[Bal]]))</f>
        <v>1</v>
      </c>
      <c r="J117" s="9">
        <f>IF(Jnl[[#This Row],[BSLv0]]="A",1,-1)*Jnl[[#This Row],[Bal]]</f>
        <v>2000000</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Other</v>
      </c>
      <c r="O117" t="str">
        <f>_xlfn.XLOOKUP(Jnl[[#This Row],[IncNode]], config_IS[Node], config_IS[Type],,0)</f>
        <v>Non-Op</v>
      </c>
      <c r="P117" t="str">
        <f>_xlfn.XLOOKUP(Jnl[[#This Row],[BSLv2]], dict[Key], dict[Name],,0)</f>
        <v>3.库存占款</v>
      </c>
      <c r="Q117" t="str">
        <f>_xlfn.XLOOKUP(Jnl[[#This Row],[Acct]], dict[Key], dict[Name],,0)</f>
        <v>当期存货</v>
      </c>
      <c r="R117" t="str">
        <f>_xlfn.XLOOKUP(Jnl[[#This Row],[Vehicle]],config_vehicle[Id], config_vehicle[Name],,0)</f>
        <v>远家花园</v>
      </c>
      <c r="S117" t="str">
        <f>_xlfn.XLOOKUP(Jnl[[#This Row],[Division]],config_div[Id], config_div[Name],,0)</f>
        <v>内控合规</v>
      </c>
      <c r="T117" t="str">
        <f>IF(Jnl[[#This Row],[TrxDate]]&lt;=stmt_BS_date_end, "In", "Out")</f>
        <v>In</v>
      </c>
      <c r="U117" t="str">
        <f>IF(Jnl[[#This Row],[TrxDate]]&lt;debug_date_start, "prior", IF(Jnl[[#This Row],[TrxDate]]&gt;debug_date_end, "post", "curr"))</f>
        <v>prior</v>
      </c>
    </row>
    <row r="118" spans="1:21" hidden="1">
      <c r="A118" s="10" t="s">
        <v>241</v>
      </c>
      <c r="B118" s="6">
        <f>_xlfn.XLOOKUP(Jnl[[#This Row],[TrxId]], Trx[Id], Trx[Date],,0)</f>
        <v>46022</v>
      </c>
      <c r="C118" s="6" t="str">
        <f>_xlfn.XLOOKUP(Jnl[[#This Row],[TrxId]], Trx[Id], Trx[Division],,0)</f>
        <v>Ctrl</v>
      </c>
      <c r="D118" s="6" t="str">
        <f>_xlfn.XLOOKUP(Jnl[[#This Row],[TrxId]], Trx[Id], Trx[Action],,0)</f>
        <v>调整</v>
      </c>
      <c r="E118" s="27" t="s">
        <v>82</v>
      </c>
      <c r="F118" s="10" t="s">
        <v>164</v>
      </c>
      <c r="G118" s="10" t="s">
        <v>211</v>
      </c>
      <c r="H118" s="20">
        <v>7473076.1599999992</v>
      </c>
      <c r="I118" s="11" t="b">
        <f>AND(Jnl[[#This Row],[TrxId]]&lt;&gt;"",Jnl[[#This Row],[Acct]]&lt;&gt;"",Jnl[[#This Row],[Item]]&lt;&gt;"",ISNUMBER(Jnl[[#This Row],[Bal]]))</f>
        <v>1</v>
      </c>
      <c r="J118" s="9">
        <f>IF(Jnl[[#This Row],[BSLv0]]="A",1,-1)*Jnl[[#This Row],[Bal]]</f>
        <v>7473076.1599999992</v>
      </c>
      <c r="K118" t="str">
        <f>_xlfn.XLOOKUP(Jnl[[#This Row],[Acct]], config_BS[Acct], config_BS[Lv0],,0)</f>
        <v>A</v>
      </c>
      <c r="L118" t="str">
        <f>_xlfn.XLOOKUP(Jnl[[#This Row],[Acct]], config_BS[Acct], config_BS[Lv1],,0)</f>
        <v>Assets</v>
      </c>
      <c r="M118" t="str">
        <f>_xlfn.XLOOKUP(Jnl[[#This Row],[Acct]], config_BS[Acct], config_BS[Lv2],,0)</f>
        <v>Invtr</v>
      </c>
      <c r="N118" t="str">
        <f>_xlfn.XLOOKUP(Jnl[[#This Row],[TrxId]], Trx[Id], Trx[IncNode], ,0)</f>
        <v>Other</v>
      </c>
      <c r="O118" t="str">
        <f>_xlfn.XLOOKUP(Jnl[[#This Row],[IncNode]], config_IS[Node], config_IS[Type],,0)</f>
        <v>Non-Op</v>
      </c>
      <c r="P118" t="str">
        <f>_xlfn.XLOOKUP(Jnl[[#This Row],[BSLv2]], dict[Key], dict[Name],,0)</f>
        <v>3.库存占款</v>
      </c>
      <c r="Q118" t="str">
        <f>_xlfn.XLOOKUP(Jnl[[#This Row],[Acct]], dict[Key], dict[Name],,0)</f>
        <v>往期存货</v>
      </c>
      <c r="R118" t="str">
        <f>_xlfn.XLOOKUP(Jnl[[#This Row],[Vehicle]],config_vehicle[Id], config_vehicle[Name],,0)</f>
        <v>远家花园</v>
      </c>
      <c r="S118" t="str">
        <f>_xlfn.XLOOKUP(Jnl[[#This Row],[Division]],config_div[Id], config_div[Name],,0)</f>
        <v>内控合规</v>
      </c>
      <c r="T118" t="str">
        <f>IF(Jnl[[#This Row],[TrxDate]]&lt;=stmt_BS_date_end, "In", "Out")</f>
        <v>In</v>
      </c>
      <c r="U118" t="str">
        <f>IF(Jnl[[#This Row],[TrxDate]]&lt;debug_date_start, "prior", IF(Jnl[[#This Row],[TrxDate]]&gt;debug_date_end, "post", "curr"))</f>
        <v>prior</v>
      </c>
    </row>
    <row r="119" spans="1:21" hidden="1">
      <c r="A119" s="10" t="s">
        <v>241</v>
      </c>
      <c r="B119" s="6">
        <f>_xlfn.XLOOKUP(Jnl[[#This Row],[TrxId]], Trx[Id], Trx[Date],,0)</f>
        <v>46022</v>
      </c>
      <c r="C119" s="6" t="str">
        <f>_xlfn.XLOOKUP(Jnl[[#This Row],[TrxId]], Trx[Id], Trx[Division],,0)</f>
        <v>Ctrl</v>
      </c>
      <c r="D119" s="6" t="str">
        <f>_xlfn.XLOOKUP(Jnl[[#This Row],[TrxId]], Trx[Id], Trx[Action],,0)</f>
        <v>调整</v>
      </c>
      <c r="E119" s="27" t="s">
        <v>82</v>
      </c>
      <c r="F119" s="10" t="s">
        <v>18</v>
      </c>
      <c r="G119" s="10" t="s">
        <v>210</v>
      </c>
      <c r="H119" s="20">
        <v>2886067.4399999995</v>
      </c>
      <c r="I119" s="11" t="b">
        <f>AND(Jnl[[#This Row],[TrxId]]&lt;&gt;"",Jnl[[#This Row],[Acct]]&lt;&gt;"",Jnl[[#This Row],[Item]]&lt;&gt;"",ISNUMBER(Jnl[[#This Row],[Bal]]))</f>
        <v>1</v>
      </c>
      <c r="J119" s="9">
        <f>IF(Jnl[[#This Row],[BSLv0]]="A",1,-1)*Jnl[[#This Row],[Bal]]</f>
        <v>-2886067.4399999995</v>
      </c>
      <c r="K119" t="str">
        <f>_xlfn.XLOOKUP(Jnl[[#This Row],[Acct]], config_BS[Acct], config_BS[Lv0],,0)</f>
        <v>LC</v>
      </c>
      <c r="L119" t="str">
        <f>_xlfn.XLOOKUP(Jnl[[#This Row],[Acct]], config_BS[Acct], config_BS[Lv1],,0)</f>
        <v>Equity</v>
      </c>
      <c r="M119" t="str">
        <f>_xlfn.XLOOKUP(Jnl[[#This Row],[Acct]], config_BS[Acct], config_BS[Lv2],,0)</f>
        <v>Rsv</v>
      </c>
      <c r="N119" t="str">
        <f>_xlfn.XLOOKUP(Jnl[[#This Row],[TrxId]], Trx[Id], Trx[IncNode], ,0)</f>
        <v>Other</v>
      </c>
      <c r="O119" t="str">
        <f>_xlfn.XLOOKUP(Jnl[[#This Row],[IncNode]], config_IS[Node], config_IS[Type],,0)</f>
        <v>Non-Op</v>
      </c>
      <c r="P119" t="str">
        <f>_xlfn.XLOOKUP(Jnl[[#This Row],[BSLv2]], dict[Key], dict[Name],,0)</f>
        <v>9.蓄水池</v>
      </c>
      <c r="Q119" t="str">
        <f>_xlfn.XLOOKUP(Jnl[[#This Row],[Acct]], dict[Key], dict[Name],,0)</f>
        <v>可分配利润</v>
      </c>
      <c r="R119" t="str">
        <f>_xlfn.XLOOKUP(Jnl[[#This Row],[Vehicle]],config_vehicle[Id], config_vehicle[Name],,0)</f>
        <v>远家花园</v>
      </c>
      <c r="S119" t="str">
        <f>_xlfn.XLOOKUP(Jnl[[#This Row],[Division]],config_div[Id], config_div[Name],,0)</f>
        <v>内控合规</v>
      </c>
      <c r="T119" t="str">
        <f>IF(Jnl[[#This Row],[TrxDate]]&lt;=stmt_BS_date_end, "In", "Out")</f>
        <v>In</v>
      </c>
      <c r="U119" t="str">
        <f>IF(Jnl[[#This Row],[TrxDate]]&lt;debug_date_start, "prior", IF(Jnl[[#This Row],[TrxDate]]&gt;debug_date_end, "post", "curr"))</f>
        <v>prior</v>
      </c>
    </row>
    <row r="120" spans="1:21" hidden="1">
      <c r="A120" s="10" t="s">
        <v>242</v>
      </c>
      <c r="B120" s="6">
        <f>_xlfn.XLOOKUP(Jnl[[#This Row],[TrxId]], Trx[Id], Trx[Date],,0)</f>
        <v>46022</v>
      </c>
      <c r="C120" s="6" t="str">
        <f>_xlfn.XLOOKUP(Jnl[[#This Row],[TrxId]], Trx[Id], Trx[Division],,0)</f>
        <v>Ctrl</v>
      </c>
      <c r="D120" s="6" t="str">
        <f>_xlfn.XLOOKUP(Jnl[[#This Row],[TrxId]], Trx[Id], Trx[Action],,0)</f>
        <v>冲销</v>
      </c>
      <c r="E120" s="27" t="s">
        <v>82</v>
      </c>
      <c r="F120" s="10" t="s">
        <v>164</v>
      </c>
      <c r="G120" s="10" t="s">
        <v>218</v>
      </c>
      <c r="H120" s="20">
        <v>-7473076.1599999992</v>
      </c>
      <c r="I120" s="11" t="b">
        <f>AND(Jnl[[#This Row],[TrxId]]&lt;&gt;"",Jnl[[#This Row],[Acct]]&lt;&gt;"",Jnl[[#This Row],[Item]]&lt;&gt;"",ISNUMBER(Jnl[[#This Row],[Bal]]))</f>
        <v>1</v>
      </c>
      <c r="J120" s="9">
        <f>IF(Jnl[[#This Row],[BSLv0]]="A",1,-1)*Jnl[[#This Row],[Bal]]</f>
        <v>-7473076.1599999992</v>
      </c>
      <c r="K120" t="str">
        <f>_xlfn.XLOOKUP(Jnl[[#This Row],[Acct]], config_BS[Acct], config_BS[Lv0],,0)</f>
        <v>A</v>
      </c>
      <c r="L120" t="str">
        <f>_xlfn.XLOOKUP(Jnl[[#This Row],[Acct]], config_BS[Acct], config_BS[Lv1],,0)</f>
        <v>Assets</v>
      </c>
      <c r="M120" t="str">
        <f>_xlfn.XLOOKUP(Jnl[[#This Row],[Acct]], config_BS[Acct], config_BS[Lv2],,0)</f>
        <v>Invtr</v>
      </c>
      <c r="N120" t="str">
        <f>_xlfn.XLOOKUP(Jnl[[#This Row],[TrxId]], Trx[Id], Trx[IncNode], ,0)</f>
        <v>Other</v>
      </c>
      <c r="O120" t="str">
        <f>_xlfn.XLOOKUP(Jnl[[#This Row],[IncNode]], config_IS[Node], config_IS[Type],,0)</f>
        <v>Non-Op</v>
      </c>
      <c r="P120" t="str">
        <f>_xlfn.XLOOKUP(Jnl[[#This Row],[BSLv2]], dict[Key], dict[Name],,0)</f>
        <v>3.库存占款</v>
      </c>
      <c r="Q120" t="str">
        <f>_xlfn.XLOOKUP(Jnl[[#This Row],[Acct]], dict[Key], dict[Name],,0)</f>
        <v>往期存货</v>
      </c>
      <c r="R120" t="str">
        <f>_xlfn.XLOOKUP(Jnl[[#This Row],[Vehicle]],config_vehicle[Id], config_vehicle[Name],,0)</f>
        <v>远家花园</v>
      </c>
      <c r="S120" t="str">
        <f>_xlfn.XLOOKUP(Jnl[[#This Row],[Division]],config_div[Id], config_div[Name],,0)</f>
        <v>内控合规</v>
      </c>
      <c r="T120" t="str">
        <f>IF(Jnl[[#This Row],[TrxDate]]&lt;=stmt_BS_date_end, "In", "Out")</f>
        <v>In</v>
      </c>
      <c r="U120" t="str">
        <f>IF(Jnl[[#This Row],[TrxDate]]&lt;debug_date_start, "prior", IF(Jnl[[#This Row],[TrxDate]]&gt;debug_date_end, "post", "curr"))</f>
        <v>prior</v>
      </c>
    </row>
    <row r="121" spans="1:21" hidden="1">
      <c r="A121" s="10" t="s">
        <v>242</v>
      </c>
      <c r="B121" s="6">
        <f>_xlfn.XLOOKUP(Jnl[[#This Row],[TrxId]], Trx[Id], Trx[Date],,0)</f>
        <v>46022</v>
      </c>
      <c r="C121" s="6" t="str">
        <f>_xlfn.XLOOKUP(Jnl[[#This Row],[TrxId]], Trx[Id], Trx[Division],,0)</f>
        <v>Ctrl</v>
      </c>
      <c r="D121" s="6" t="str">
        <f>_xlfn.XLOOKUP(Jnl[[#This Row],[TrxId]], Trx[Id], Trx[Action],,0)</f>
        <v>冲销</v>
      </c>
      <c r="E121" s="27" t="s">
        <v>82</v>
      </c>
      <c r="F121" s="10" t="s">
        <v>18</v>
      </c>
      <c r="G121" s="10" t="s">
        <v>210</v>
      </c>
      <c r="H121" s="20">
        <v>-7473076.1599999992</v>
      </c>
      <c r="I121" s="11" t="b">
        <f>AND(Jnl[[#This Row],[TrxId]]&lt;&gt;"",Jnl[[#This Row],[Acct]]&lt;&gt;"",Jnl[[#This Row],[Item]]&lt;&gt;"",ISNUMBER(Jnl[[#This Row],[Bal]]))</f>
        <v>1</v>
      </c>
      <c r="J121" s="9">
        <f>IF(Jnl[[#This Row],[BSLv0]]="A",1,-1)*Jnl[[#This Row],[Bal]]</f>
        <v>7473076.1599999992</v>
      </c>
      <c r="K121" t="str">
        <f>_xlfn.XLOOKUP(Jnl[[#This Row],[Acct]], config_BS[Acct], config_BS[Lv0],,0)</f>
        <v>LC</v>
      </c>
      <c r="L121" t="str">
        <f>_xlfn.XLOOKUP(Jnl[[#This Row],[Acct]], config_BS[Acct], config_BS[Lv1],,0)</f>
        <v>Equity</v>
      </c>
      <c r="M121" t="str">
        <f>_xlfn.XLOOKUP(Jnl[[#This Row],[Acct]], config_BS[Acct], config_BS[Lv2],,0)</f>
        <v>Rsv</v>
      </c>
      <c r="N121" t="str">
        <f>_xlfn.XLOOKUP(Jnl[[#This Row],[TrxId]], Trx[Id], Trx[IncNode], ,0)</f>
        <v>Other</v>
      </c>
      <c r="O121" t="str">
        <f>_xlfn.XLOOKUP(Jnl[[#This Row],[IncNode]], config_IS[Node], config_IS[Type],,0)</f>
        <v>Non-Op</v>
      </c>
      <c r="P121" t="str">
        <f>_xlfn.XLOOKUP(Jnl[[#This Row],[BSLv2]], dict[Key], dict[Name],,0)</f>
        <v>9.蓄水池</v>
      </c>
      <c r="Q121" t="str">
        <f>_xlfn.XLOOKUP(Jnl[[#This Row],[Acct]], dict[Key], dict[Name],,0)</f>
        <v>可分配利润</v>
      </c>
      <c r="R121" t="str">
        <f>_xlfn.XLOOKUP(Jnl[[#This Row],[Vehicle]],config_vehicle[Id], config_vehicle[Name],,0)</f>
        <v>远家花园</v>
      </c>
      <c r="S121" t="str">
        <f>_xlfn.XLOOKUP(Jnl[[#This Row],[Division]],config_div[Id], config_div[Name],,0)</f>
        <v>内控合规</v>
      </c>
      <c r="T121" t="str">
        <f>IF(Jnl[[#This Row],[TrxDate]]&lt;=stmt_BS_date_end, "In", "Out")</f>
        <v>In</v>
      </c>
      <c r="U121" t="str">
        <f>IF(Jnl[[#This Row],[TrxDate]]&lt;debug_date_start, "prior", IF(Jnl[[#This Row],[TrxDate]]&gt;debug_date_end, "post", "curr"))</f>
        <v>prior</v>
      </c>
    </row>
    <row r="122" spans="1:21" hidden="1">
      <c r="A122" s="10" t="s">
        <v>256</v>
      </c>
      <c r="B122" s="6">
        <f>_xlfn.XLOOKUP(Jnl[[#This Row],[TrxId]], Trx[Id], Trx[Date],,0)</f>
        <v>46053</v>
      </c>
      <c r="C122" s="6" t="str">
        <f>_xlfn.XLOOKUP(Jnl[[#This Row],[TrxId]], Trx[Id], Trx[Division],,0)</f>
        <v>GM</v>
      </c>
      <c r="D122" s="6" t="str">
        <f>_xlfn.XLOOKUP(Jnl[[#This Row],[TrxId]], Trx[Id], Trx[Action],,0)</f>
        <v>交通</v>
      </c>
      <c r="E122" s="27" t="s">
        <v>87</v>
      </c>
      <c r="F122" s="10" t="s">
        <v>12</v>
      </c>
      <c r="G122" s="10" t="s">
        <v>92</v>
      </c>
      <c r="H122" s="20">
        <v>-481.6</v>
      </c>
      <c r="I122" s="11" t="b">
        <f>AND(Jnl[[#This Row],[TrxId]]&lt;&gt;"",Jnl[[#This Row],[Acct]]&lt;&gt;"",Jnl[[#This Row],[Item]]&lt;&gt;"",ISNUMBER(Jnl[[#This Row],[Bal]]))</f>
        <v>1</v>
      </c>
      <c r="J122" s="9">
        <f>IF(Jnl[[#This Row],[BSLv0]]="A",1,-1)*Jnl[[#This Row],[Bal]]</f>
        <v>-481.6</v>
      </c>
      <c r="K122" t="str">
        <f>_xlfn.XLOOKUP(Jnl[[#This Row],[Acct]], config_BS[Acct], config_BS[Lv0],,0)</f>
        <v>A</v>
      </c>
      <c r="L122" t="str">
        <f>_xlfn.XLOOKUP(Jnl[[#This Row],[Acct]], config_BS[Acct], config_BS[Lv1],,0)</f>
        <v>Assets</v>
      </c>
      <c r="M122" t="str">
        <f>_xlfn.XLOOKUP(Jnl[[#This Row],[Acct]], config_BS[Acct], config_BS[Lv2],,0)</f>
        <v>Cash alike</v>
      </c>
      <c r="N122" t="str">
        <f>_xlfn.XLOOKUP(Jnl[[#This Row],[TrxId]], Trx[Id], Trx[IncNode], ,0)</f>
        <v>Expense</v>
      </c>
      <c r="O122" t="str">
        <f>_xlfn.XLOOKUP(Jnl[[#This Row],[IncNode]], config_IS[Node], config_IS[Type],,0)</f>
        <v>Op</v>
      </c>
      <c r="P122" t="str">
        <f>_xlfn.XLOOKUP(Jnl[[#This Row],[BSLv2]], dict[Key], dict[Name],,0)</f>
        <v>0.现金及类似</v>
      </c>
      <c r="Q122" t="str">
        <f>_xlfn.XLOOKUP(Jnl[[#This Row],[Acct]], dict[Key], dict[Name],,0)</f>
        <v>银行</v>
      </c>
      <c r="R122" t="str">
        <f>_xlfn.XLOOKUP(Jnl[[#This Row],[Vehicle]],config_vehicle[Id], config_vehicle[Name],,0)</f>
        <v>桑木</v>
      </c>
      <c r="S122" t="str">
        <f>_xlfn.XLOOKUP(Jnl[[#This Row],[Division]],config_div[Id], config_div[Name],,0)</f>
        <v>综合管理</v>
      </c>
      <c r="T122" t="str">
        <f>IF(Jnl[[#This Row],[TrxDate]]&lt;=stmt_BS_date_end, "In", "Out")</f>
        <v>In</v>
      </c>
      <c r="U122" t="str">
        <f>IF(Jnl[[#This Row],[TrxDate]]&lt;debug_date_start, "prior", IF(Jnl[[#This Row],[TrxDate]]&gt;debug_date_end, "post", "curr"))</f>
        <v>curr</v>
      </c>
    </row>
    <row r="123" spans="1:21" hidden="1">
      <c r="A123" s="10" t="s">
        <v>257</v>
      </c>
      <c r="B123" s="6">
        <f>_xlfn.XLOOKUP(Jnl[[#This Row],[TrxId]], Trx[Id], Trx[Date],,0)</f>
        <v>46053</v>
      </c>
      <c r="C123" s="6" t="str">
        <f>_xlfn.XLOOKUP(Jnl[[#This Row],[TrxId]], Trx[Id], Trx[Division],,0)</f>
        <v>Online</v>
      </c>
      <c r="D123" s="6" t="str">
        <f>_xlfn.XLOOKUP(Jnl[[#This Row],[TrxId]], Trx[Id], Trx[Action],,0)</f>
        <v>订购</v>
      </c>
      <c r="E123" s="27" t="s">
        <v>87</v>
      </c>
      <c r="F123" s="10" t="s">
        <v>117</v>
      </c>
      <c r="G123" s="10" t="s">
        <v>146</v>
      </c>
      <c r="H123" s="20">
        <v>38891.199999999997</v>
      </c>
      <c r="I123" s="11" t="b">
        <f>AND(Jnl[[#This Row],[TrxId]]&lt;&gt;"",Jnl[[#This Row],[Acct]]&lt;&gt;"",Jnl[[#This Row],[Item]]&lt;&gt;"",ISNUMBER(Jnl[[#This Row],[Bal]]))</f>
        <v>1</v>
      </c>
      <c r="J123" s="9">
        <f>IF(Jnl[[#This Row],[BSLv0]]="A",1,-1)*Jnl[[#This Row],[Bal]]</f>
        <v>38891.199999999997</v>
      </c>
      <c r="K123" t="str">
        <f>_xlfn.XLOOKUP(Jnl[[#This Row],[Acct]], config_BS[Acct], config_BS[Lv0],,0)</f>
        <v>A</v>
      </c>
      <c r="L123" t="str">
        <f>_xlfn.XLOOKUP(Jnl[[#This Row],[Acct]], config_BS[Acct], config_BS[Lv1],,0)</f>
        <v>Assets</v>
      </c>
      <c r="M123" t="str">
        <f>_xlfn.XLOOKUP(Jnl[[#This Row],[Acct]], config_BS[Acct], config_BS[Lv2],,0)</f>
        <v>Prep-Sub</v>
      </c>
      <c r="N123" t="str">
        <f>_xlfn.XLOOKUP(Jnl[[#This Row],[TrxId]], Trx[Id], Trx[IncNode], ,0)</f>
        <v>Cost</v>
      </c>
      <c r="O123" t="str">
        <f>_xlfn.XLOOKUP(Jnl[[#This Row],[IncNode]], config_IS[Node], config_IS[Type],,0)</f>
        <v>Op</v>
      </c>
      <c r="P123" t="str">
        <f>_xlfn.XLOOKUP(Jnl[[#This Row],[BSLv2]], dict[Key], dict[Name],,0)</f>
        <v>2.预付-订阅</v>
      </c>
      <c r="Q123" t="str">
        <f>_xlfn.XLOOKUP(Jnl[[#This Row],[Acct]], dict[Key], dict[Name],,0)</f>
        <v>预付订单</v>
      </c>
      <c r="R123" t="str">
        <f>_xlfn.XLOOKUP(Jnl[[#This Row],[Vehicle]],config_vehicle[Id], config_vehicle[Name],,0)</f>
        <v>桑木</v>
      </c>
      <c r="S123" t="str">
        <f>_xlfn.XLOOKUP(Jnl[[#This Row],[Division]],config_div[Id], config_div[Name],,0)</f>
        <v>网店</v>
      </c>
      <c r="T123" t="str">
        <f>IF(Jnl[[#This Row],[TrxDate]]&lt;=stmt_BS_date_end, "In", "Out")</f>
        <v>In</v>
      </c>
      <c r="U123" t="str">
        <f>IF(Jnl[[#This Row],[TrxDate]]&lt;debug_date_start, "prior", IF(Jnl[[#This Row],[TrxDate]]&gt;debug_date_end, "post", "curr"))</f>
        <v>curr</v>
      </c>
    </row>
    <row r="124" spans="1:21" hidden="1">
      <c r="A124" s="10" t="s">
        <v>257</v>
      </c>
      <c r="B124" s="6">
        <f>_xlfn.XLOOKUP(Jnl[[#This Row],[TrxId]], Trx[Id], Trx[Date],,0)</f>
        <v>46053</v>
      </c>
      <c r="C124" s="6" t="str">
        <f>_xlfn.XLOOKUP(Jnl[[#This Row],[TrxId]], Trx[Id], Trx[Division],,0)</f>
        <v>Online</v>
      </c>
      <c r="D124" s="6" t="str">
        <f>_xlfn.XLOOKUP(Jnl[[#This Row],[TrxId]], Trx[Id], Trx[Action],,0)</f>
        <v>订购</v>
      </c>
      <c r="E124" s="27" t="s">
        <v>87</v>
      </c>
      <c r="F124" s="10" t="s">
        <v>12</v>
      </c>
      <c r="G124" s="10" t="s">
        <v>92</v>
      </c>
      <c r="H124" s="20">
        <v>-38891.199999999997</v>
      </c>
      <c r="I124" s="11" t="b">
        <f>AND(Jnl[[#This Row],[TrxId]]&lt;&gt;"",Jnl[[#This Row],[Acct]]&lt;&gt;"",Jnl[[#This Row],[Item]]&lt;&gt;"",ISNUMBER(Jnl[[#This Row],[Bal]]))</f>
        <v>1</v>
      </c>
      <c r="J124" s="9">
        <f>IF(Jnl[[#This Row],[BSLv0]]="A",1,-1)*Jnl[[#This Row],[Bal]]</f>
        <v>-38891.199999999997</v>
      </c>
      <c r="K124" t="str">
        <f>_xlfn.XLOOKUP(Jnl[[#This Row],[Acct]], config_BS[Acct], config_BS[Lv0],,0)</f>
        <v>A</v>
      </c>
      <c r="L124" t="str">
        <f>_xlfn.XLOOKUP(Jnl[[#This Row],[Acct]], config_BS[Acct], config_BS[Lv1],,0)</f>
        <v>Assets</v>
      </c>
      <c r="M124" t="str">
        <f>_xlfn.XLOOKUP(Jnl[[#This Row],[Acct]], config_BS[Acct], config_BS[Lv2],,0)</f>
        <v>Cash alike</v>
      </c>
      <c r="N124" t="str">
        <f>_xlfn.XLOOKUP(Jnl[[#This Row],[TrxId]], Trx[Id], Trx[IncNode], ,0)</f>
        <v>Cost</v>
      </c>
      <c r="O124" t="str">
        <f>_xlfn.XLOOKUP(Jnl[[#This Row],[IncNode]], config_IS[Node], config_IS[Type],,0)</f>
        <v>Op</v>
      </c>
      <c r="P124" t="str">
        <f>_xlfn.XLOOKUP(Jnl[[#This Row],[BSLv2]], dict[Key], dict[Name],,0)</f>
        <v>0.现金及类似</v>
      </c>
      <c r="Q124" t="str">
        <f>_xlfn.XLOOKUP(Jnl[[#This Row],[Acct]], dict[Key], dict[Name],,0)</f>
        <v>银行</v>
      </c>
      <c r="R124" t="str">
        <f>_xlfn.XLOOKUP(Jnl[[#This Row],[Vehicle]],config_vehicle[Id], config_vehicle[Name],,0)</f>
        <v>桑木</v>
      </c>
      <c r="S124" t="str">
        <f>_xlfn.XLOOKUP(Jnl[[#This Row],[Division]],config_div[Id], config_div[Name],,0)</f>
        <v>网店</v>
      </c>
      <c r="T124" t="str">
        <f>IF(Jnl[[#This Row],[TrxDate]]&lt;=stmt_BS_date_end, "In", "Out")</f>
        <v>In</v>
      </c>
      <c r="U124" t="str">
        <f>IF(Jnl[[#This Row],[TrxDate]]&lt;debug_date_start, "prior", IF(Jnl[[#This Row],[TrxDate]]&gt;debug_date_end, "post", "curr"))</f>
        <v>curr</v>
      </c>
    </row>
    <row r="125" spans="1:21" hidden="1">
      <c r="A125" s="10" t="s">
        <v>258</v>
      </c>
      <c r="B125" s="6">
        <f>_xlfn.XLOOKUP(Jnl[[#This Row],[TrxId]], Trx[Id], Trx[Date],,0)</f>
        <v>46053</v>
      </c>
      <c r="C125" s="6" t="str">
        <f>_xlfn.XLOOKUP(Jnl[[#This Row],[TrxId]], Trx[Id], Trx[Division],,0)</f>
        <v>Online</v>
      </c>
      <c r="D125" s="6" t="str">
        <f>_xlfn.XLOOKUP(Jnl[[#This Row],[TrxId]], Trx[Id], Trx[Action],,0)</f>
        <v>入库</v>
      </c>
      <c r="E125" s="27" t="s">
        <v>82</v>
      </c>
      <c r="F125" s="10" t="s">
        <v>118</v>
      </c>
      <c r="G125" s="10" t="s">
        <v>153</v>
      </c>
      <c r="H125" s="20">
        <v>52967.199999999997</v>
      </c>
      <c r="I125" s="11" t="b">
        <f>AND(Jnl[[#This Row],[TrxId]]&lt;&gt;"",Jnl[[#This Row],[Acct]]&lt;&gt;"",Jnl[[#This Row],[Item]]&lt;&gt;"",ISNUMBER(Jnl[[#This Row],[Bal]]))</f>
        <v>1</v>
      </c>
      <c r="J125" s="9">
        <f>IF(Jnl[[#This Row],[BSLv0]]="A",1,-1)*Jnl[[#This Row],[Bal]]</f>
        <v>52967.199999999997</v>
      </c>
      <c r="K125" t="str">
        <f>_xlfn.XLOOKUP(Jnl[[#This Row],[Acct]], config_BS[Acct], config_BS[Lv0],,0)</f>
        <v>A</v>
      </c>
      <c r="L125" t="str">
        <f>_xlfn.XLOOKUP(Jnl[[#This Row],[Acct]], config_BS[Acct], config_BS[Lv1],,0)</f>
        <v>Assets</v>
      </c>
      <c r="M125" t="str">
        <f>_xlfn.XLOOKUP(Jnl[[#This Row],[Acct]], config_BS[Acct], config_BS[Lv2],,0)</f>
        <v>Invtr</v>
      </c>
      <c r="N125" t="str">
        <f>_xlfn.XLOOKUP(Jnl[[#This Row],[TrxId]], Trx[Id], Trx[IncNode], ,0)</f>
        <v>Cost</v>
      </c>
      <c r="O125" t="str">
        <f>_xlfn.XLOOKUP(Jnl[[#This Row],[IncNode]], config_IS[Node], config_IS[Type],,0)</f>
        <v>Op</v>
      </c>
      <c r="P125" t="str">
        <f>_xlfn.XLOOKUP(Jnl[[#This Row],[BSLv2]], dict[Key], dict[Name],,0)</f>
        <v>3.库存占款</v>
      </c>
      <c r="Q125" t="str">
        <f>_xlfn.XLOOKUP(Jnl[[#This Row],[Acct]], dict[Key], dict[Name],,0)</f>
        <v>当期存货</v>
      </c>
      <c r="R125" t="str">
        <f>_xlfn.XLOOKUP(Jnl[[#This Row],[Vehicle]],config_vehicle[Id], config_vehicle[Name],,0)</f>
        <v>远家花园</v>
      </c>
      <c r="S125" t="str">
        <f>_xlfn.XLOOKUP(Jnl[[#This Row],[Division]],config_div[Id], config_div[Name],,0)</f>
        <v>网店</v>
      </c>
      <c r="T125" t="str">
        <f>IF(Jnl[[#This Row],[TrxDate]]&lt;=stmt_BS_date_end, "In", "Out")</f>
        <v>In</v>
      </c>
      <c r="U125" t="str">
        <f>IF(Jnl[[#This Row],[TrxDate]]&lt;debug_date_start, "prior", IF(Jnl[[#This Row],[TrxDate]]&gt;debug_date_end, "post", "curr"))</f>
        <v>curr</v>
      </c>
    </row>
    <row r="126" spans="1:21" hidden="1">
      <c r="A126" s="10" t="s">
        <v>258</v>
      </c>
      <c r="B126" s="6">
        <f>_xlfn.XLOOKUP(Jnl[[#This Row],[TrxId]], Trx[Id], Trx[Date],,0)</f>
        <v>46053</v>
      </c>
      <c r="C126" s="6" t="str">
        <f>_xlfn.XLOOKUP(Jnl[[#This Row],[TrxId]], Trx[Id], Trx[Division],,0)</f>
        <v>Online</v>
      </c>
      <c r="D126" s="6" t="str">
        <f>_xlfn.XLOOKUP(Jnl[[#This Row],[TrxId]], Trx[Id], Trx[Action],,0)</f>
        <v>入库</v>
      </c>
      <c r="E126" s="27" t="s">
        <v>87</v>
      </c>
      <c r="F126" s="10" t="s">
        <v>117</v>
      </c>
      <c r="G126" s="10" t="s">
        <v>146</v>
      </c>
      <c r="H126" s="20">
        <v>-52967.199999999997</v>
      </c>
      <c r="I126" s="11" t="b">
        <f>AND(Jnl[[#This Row],[TrxId]]&lt;&gt;"",Jnl[[#This Row],[Acct]]&lt;&gt;"",Jnl[[#This Row],[Item]]&lt;&gt;"",ISNUMBER(Jnl[[#This Row],[Bal]]))</f>
        <v>1</v>
      </c>
      <c r="J126" s="9">
        <f>IF(Jnl[[#This Row],[BSLv0]]="A",1,-1)*Jnl[[#This Row],[Bal]]</f>
        <v>-52967.199999999997</v>
      </c>
      <c r="K126" t="str">
        <f>_xlfn.XLOOKUP(Jnl[[#This Row],[Acct]], config_BS[Acct], config_BS[Lv0],,0)</f>
        <v>A</v>
      </c>
      <c r="L126" t="str">
        <f>_xlfn.XLOOKUP(Jnl[[#This Row],[Acct]], config_BS[Acct], config_BS[Lv1],,0)</f>
        <v>Assets</v>
      </c>
      <c r="M126" t="str">
        <f>_xlfn.XLOOKUP(Jnl[[#This Row],[Acct]], config_BS[Acct], config_BS[Lv2],,0)</f>
        <v>Prep-Sub</v>
      </c>
      <c r="N126" t="str">
        <f>_xlfn.XLOOKUP(Jnl[[#This Row],[TrxId]], Trx[Id], Trx[IncNode], ,0)</f>
        <v>Cost</v>
      </c>
      <c r="O126" t="str">
        <f>_xlfn.XLOOKUP(Jnl[[#This Row],[IncNode]], config_IS[Node], config_IS[Type],,0)</f>
        <v>Op</v>
      </c>
      <c r="P126" t="str">
        <f>_xlfn.XLOOKUP(Jnl[[#This Row],[BSLv2]], dict[Key], dict[Name],,0)</f>
        <v>2.预付-订阅</v>
      </c>
      <c r="Q126" t="str">
        <f>_xlfn.XLOOKUP(Jnl[[#This Row],[Acct]], dict[Key], dict[Name],,0)</f>
        <v>预付订单</v>
      </c>
      <c r="R126" t="str">
        <f>_xlfn.XLOOKUP(Jnl[[#This Row],[Vehicle]],config_vehicle[Id], config_vehicle[Name],,0)</f>
        <v>桑木</v>
      </c>
      <c r="S126" t="str">
        <f>_xlfn.XLOOKUP(Jnl[[#This Row],[Division]],config_div[Id], config_div[Name],,0)</f>
        <v>网店</v>
      </c>
      <c r="T126" t="str">
        <f>IF(Jnl[[#This Row],[TrxDate]]&lt;=stmt_BS_date_end, "In", "Out")</f>
        <v>In</v>
      </c>
      <c r="U126" t="str">
        <f>IF(Jnl[[#This Row],[TrxDate]]&lt;debug_date_start, "prior", IF(Jnl[[#This Row],[TrxDate]]&gt;debug_date_end, "post", "curr"))</f>
        <v>curr</v>
      </c>
    </row>
    <row r="127" spans="1:21" hidden="1">
      <c r="A127" s="10" t="s">
        <v>259</v>
      </c>
      <c r="B127" s="6">
        <f>_xlfn.XLOOKUP(Jnl[[#This Row],[TrxId]], Trx[Id], Trx[Date],,0)</f>
        <v>46053</v>
      </c>
      <c r="C127" s="6" t="str">
        <f>_xlfn.XLOOKUP(Jnl[[#This Row],[TrxId]], Trx[Id], Trx[Division],,0)</f>
        <v>GM</v>
      </c>
      <c r="D127" s="6" t="str">
        <f>_xlfn.XLOOKUP(Jnl[[#This Row],[TrxId]], Trx[Id], Trx[Action],,0)</f>
        <v>薪酬-社保</v>
      </c>
      <c r="E127" s="27" t="s">
        <v>87</v>
      </c>
      <c r="F127" s="10" t="s">
        <v>201</v>
      </c>
      <c r="G127" s="10" t="s">
        <v>140</v>
      </c>
      <c r="H127" s="20">
        <v>1431.45</v>
      </c>
      <c r="I127" s="11" t="b">
        <f>AND(Jnl[[#This Row],[TrxId]]&lt;&gt;"",Jnl[[#This Row],[Acct]]&lt;&gt;"",Jnl[[#This Row],[Item]]&lt;&gt;"",ISNUMBER(Jnl[[#This Row],[Bal]]))</f>
        <v>1</v>
      </c>
      <c r="J127" s="9">
        <f>IF(Jnl[[#This Row],[BSLv0]]="A",1,-1)*Jnl[[#This Row],[Bal]]</f>
        <v>1431.45</v>
      </c>
      <c r="K127" t="str">
        <f>_xlfn.XLOOKUP(Jnl[[#This Row],[Acct]], config_BS[Acct], config_BS[Lv0],,0)</f>
        <v>A</v>
      </c>
      <c r="L127" t="str">
        <f>_xlfn.XLOOKUP(Jnl[[#This Row],[Acct]], config_BS[Acct], config_BS[Lv1],,0)</f>
        <v>Assets</v>
      </c>
      <c r="M127" t="str">
        <f>_xlfn.XLOOKUP(Jnl[[#This Row],[Acct]], config_BS[Acct], config_BS[Lv2],,0)</f>
        <v>Rec-Pay</v>
      </c>
      <c r="N127" t="str">
        <f>_xlfn.XLOOKUP(Jnl[[#This Row],[TrxId]], Trx[Id], Trx[IncNode], ,0)</f>
        <v>Expense</v>
      </c>
      <c r="O127" t="str">
        <f>_xlfn.XLOOKUP(Jnl[[#This Row],[IncNode]], config_IS[Node], config_IS[Type],,0)</f>
        <v>Op</v>
      </c>
      <c r="P127" t="str">
        <f>_xlfn.XLOOKUP(Jnl[[#This Row],[BSLv2]], dict[Key], dict[Name],,0)</f>
        <v>1.应收-应付</v>
      </c>
      <c r="Q127" t="str">
        <f>_xlfn.XLOOKUP(Jnl[[#This Row],[Acct]], dict[Key], dict[Name],,0)</f>
        <v>应收-其他</v>
      </c>
      <c r="R127" t="str">
        <f>_xlfn.XLOOKUP(Jnl[[#This Row],[Vehicle]],config_vehicle[Id], config_vehicle[Name],,0)</f>
        <v>桑木</v>
      </c>
      <c r="S127" t="str">
        <f>_xlfn.XLOOKUP(Jnl[[#This Row],[Division]],config_div[Id], config_div[Name],,0)</f>
        <v>综合管理</v>
      </c>
      <c r="T127" t="str">
        <f>IF(Jnl[[#This Row],[TrxDate]]&lt;=stmt_BS_date_end, "In", "Out")</f>
        <v>In</v>
      </c>
      <c r="U127" t="str">
        <f>IF(Jnl[[#This Row],[TrxDate]]&lt;debug_date_start, "prior", IF(Jnl[[#This Row],[TrxDate]]&gt;debug_date_end, "post", "curr"))</f>
        <v>curr</v>
      </c>
    </row>
    <row r="128" spans="1:21" hidden="1">
      <c r="A128" s="10" t="s">
        <v>259</v>
      </c>
      <c r="B128" s="6">
        <f>_xlfn.XLOOKUP(Jnl[[#This Row],[TrxId]], Trx[Id], Trx[Date],,0)</f>
        <v>46053</v>
      </c>
      <c r="C128" s="6" t="str">
        <f>_xlfn.XLOOKUP(Jnl[[#This Row],[TrxId]], Trx[Id], Trx[Division],,0)</f>
        <v>GM</v>
      </c>
      <c r="D128" s="6" t="str">
        <f>_xlfn.XLOOKUP(Jnl[[#This Row],[TrxId]], Trx[Id], Trx[Action],,0)</f>
        <v>薪酬-社保</v>
      </c>
      <c r="E128" s="27" t="s">
        <v>87</v>
      </c>
      <c r="F128" s="10" t="s">
        <v>12</v>
      </c>
      <c r="G128" s="10" t="s">
        <v>92</v>
      </c>
      <c r="H128" s="20">
        <v>-4913.7299999999996</v>
      </c>
      <c r="I128" s="11" t="b">
        <f>AND(Jnl[[#This Row],[TrxId]]&lt;&gt;"",Jnl[[#This Row],[Acct]]&lt;&gt;"",Jnl[[#This Row],[Item]]&lt;&gt;"",ISNUMBER(Jnl[[#This Row],[Bal]]))</f>
        <v>1</v>
      </c>
      <c r="J128" s="9">
        <f>IF(Jnl[[#This Row],[BSLv0]]="A",1,-1)*Jnl[[#This Row],[Bal]]</f>
        <v>-4913.7299999999996</v>
      </c>
      <c r="K128" t="str">
        <f>_xlfn.XLOOKUP(Jnl[[#This Row],[Acct]], config_BS[Acct], config_BS[Lv0],,0)</f>
        <v>A</v>
      </c>
      <c r="L128" t="str">
        <f>_xlfn.XLOOKUP(Jnl[[#This Row],[Acct]], config_BS[Acct], config_BS[Lv1],,0)</f>
        <v>Assets</v>
      </c>
      <c r="M128" t="str">
        <f>_xlfn.XLOOKUP(Jnl[[#This Row],[Acct]], config_BS[Acct], config_BS[Lv2],,0)</f>
        <v>Cash alike</v>
      </c>
      <c r="N128" t="str">
        <f>_xlfn.XLOOKUP(Jnl[[#This Row],[TrxId]], Trx[Id], Trx[IncNode], ,0)</f>
        <v>Expense</v>
      </c>
      <c r="O128" t="str">
        <f>_xlfn.XLOOKUP(Jnl[[#This Row],[IncNode]], config_IS[Node], config_IS[Type],,0)</f>
        <v>Op</v>
      </c>
      <c r="P128" t="str">
        <f>_xlfn.XLOOKUP(Jnl[[#This Row],[BSLv2]], dict[Key], dict[Name],,0)</f>
        <v>0.现金及类似</v>
      </c>
      <c r="Q128" t="str">
        <f>_xlfn.XLOOKUP(Jnl[[#This Row],[Acct]], dict[Key], dict[Name],,0)</f>
        <v>银行</v>
      </c>
      <c r="R128" t="str">
        <f>_xlfn.XLOOKUP(Jnl[[#This Row],[Vehicle]],config_vehicle[Id], config_vehicle[Name],,0)</f>
        <v>桑木</v>
      </c>
      <c r="S128" t="str">
        <f>_xlfn.XLOOKUP(Jnl[[#This Row],[Division]],config_div[Id], config_div[Name],,0)</f>
        <v>综合管理</v>
      </c>
      <c r="T128" t="str">
        <f>IF(Jnl[[#This Row],[TrxDate]]&lt;=stmt_BS_date_end, "In", "Out")</f>
        <v>In</v>
      </c>
      <c r="U128" t="str">
        <f>IF(Jnl[[#This Row],[TrxDate]]&lt;debug_date_start, "prior", IF(Jnl[[#This Row],[TrxDate]]&gt;debug_date_end, "post", "curr"))</f>
        <v>curr</v>
      </c>
    </row>
    <row r="129" spans="1:21" hidden="1">
      <c r="A129" s="10" t="s">
        <v>260</v>
      </c>
      <c r="B129" s="6">
        <f>_xlfn.XLOOKUP(Jnl[[#This Row],[TrxId]], Trx[Id], Trx[Date],,0)</f>
        <v>46053</v>
      </c>
      <c r="C129" s="6" t="str">
        <f>_xlfn.XLOOKUP(Jnl[[#This Row],[TrxId]], Trx[Id], Trx[Division],,0)</f>
        <v>Ctrl</v>
      </c>
      <c r="D129" s="6" t="str">
        <f>_xlfn.XLOOKUP(Jnl[[#This Row],[TrxId]], Trx[Id], Trx[Action],,0)</f>
        <v>过账</v>
      </c>
      <c r="E129" s="27" t="s">
        <v>87</v>
      </c>
      <c r="F129" s="10" t="s">
        <v>12</v>
      </c>
      <c r="G129" s="10" t="s">
        <v>92</v>
      </c>
      <c r="H129" s="20">
        <v>-1800</v>
      </c>
      <c r="I129" s="11" t="b">
        <f>AND(Jnl[[#This Row],[TrxId]]&lt;&gt;"",Jnl[[#This Row],[Acct]]&lt;&gt;"",Jnl[[#This Row],[Item]]&lt;&gt;"",ISNUMBER(Jnl[[#This Row],[Bal]]))</f>
        <v>1</v>
      </c>
      <c r="J129" s="9">
        <f>IF(Jnl[[#This Row],[BSLv0]]="A",1,-1)*Jnl[[#This Row],[Bal]]</f>
        <v>-1800</v>
      </c>
      <c r="K129" t="str">
        <f>_xlfn.XLOOKUP(Jnl[[#This Row],[Acct]], config_BS[Acct], config_BS[Lv0],,0)</f>
        <v>A</v>
      </c>
      <c r="L129" t="str">
        <f>_xlfn.XLOOKUP(Jnl[[#This Row],[Acct]], config_BS[Acct], config_BS[Lv1],,0)</f>
        <v>Assets</v>
      </c>
      <c r="M129" t="str">
        <f>_xlfn.XLOOKUP(Jnl[[#This Row],[Acct]], config_BS[Acct], config_BS[Lv2],,0)</f>
        <v>Cash alike</v>
      </c>
      <c r="N129" t="str">
        <f>_xlfn.XLOOKUP(Jnl[[#This Row],[TrxId]], Trx[Id], Trx[IncNode], ,0)</f>
        <v>Other</v>
      </c>
      <c r="O129" t="str">
        <f>_xlfn.XLOOKUP(Jnl[[#This Row],[IncNode]], config_IS[Node], config_IS[Type],,0)</f>
        <v>Non-Op</v>
      </c>
      <c r="P129" t="str">
        <f>_xlfn.XLOOKUP(Jnl[[#This Row],[BSLv2]], dict[Key], dict[Name],,0)</f>
        <v>0.现金及类似</v>
      </c>
      <c r="Q129" t="str">
        <f>_xlfn.XLOOKUP(Jnl[[#This Row],[Acct]], dict[Key], dict[Name],,0)</f>
        <v>银行</v>
      </c>
      <c r="R129" t="str">
        <f>_xlfn.XLOOKUP(Jnl[[#This Row],[Vehicle]],config_vehicle[Id], config_vehicle[Name],,0)</f>
        <v>桑木</v>
      </c>
      <c r="S129" t="str">
        <f>_xlfn.XLOOKUP(Jnl[[#This Row],[Division]],config_div[Id], config_div[Name],,0)</f>
        <v>内控合规</v>
      </c>
      <c r="T129" t="str">
        <f>IF(Jnl[[#This Row],[TrxDate]]&lt;=stmt_BS_date_end, "In", "Out")</f>
        <v>In</v>
      </c>
      <c r="U129" t="str">
        <f>IF(Jnl[[#This Row],[TrxDate]]&lt;debug_date_start, "prior", IF(Jnl[[#This Row],[TrxDate]]&gt;debug_date_end, "post", "curr"))</f>
        <v>curr</v>
      </c>
    </row>
    <row r="130" spans="1:21" hidden="1">
      <c r="A130" s="10" t="s">
        <v>260</v>
      </c>
      <c r="B130" s="6">
        <f>_xlfn.XLOOKUP(Jnl[[#This Row],[TrxId]], Trx[Id], Trx[Date],,0)</f>
        <v>46053</v>
      </c>
      <c r="C130" s="6" t="str">
        <f>_xlfn.XLOOKUP(Jnl[[#This Row],[TrxId]], Trx[Id], Trx[Division],,0)</f>
        <v>Ctrl</v>
      </c>
      <c r="D130" s="6" t="str">
        <f>_xlfn.XLOOKUP(Jnl[[#This Row],[TrxId]], Trx[Id], Trx[Action],,0)</f>
        <v>过账</v>
      </c>
      <c r="E130" s="27" t="s">
        <v>95</v>
      </c>
      <c r="F130" s="10" t="s">
        <v>12</v>
      </c>
      <c r="G130" s="10" t="s">
        <v>91</v>
      </c>
      <c r="H130" s="20">
        <v>1800</v>
      </c>
      <c r="I130" s="11" t="b">
        <f>AND(Jnl[[#This Row],[TrxId]]&lt;&gt;"",Jnl[[#This Row],[Acct]]&lt;&gt;"",Jnl[[#This Row],[Item]]&lt;&gt;"",ISNUMBER(Jnl[[#This Row],[Bal]]))</f>
        <v>1</v>
      </c>
      <c r="J130" s="9">
        <f>IF(Jnl[[#This Row],[BSLv0]]="A",1,-1)*Jnl[[#This Row],[Bal]]</f>
        <v>1800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Other</v>
      </c>
      <c r="O130" t="str">
        <f>_xlfn.XLOOKUP(Jnl[[#This Row],[IncNode]], config_IS[Node], config_IS[Type],,0)</f>
        <v>Non-Op</v>
      </c>
      <c r="P130" t="str">
        <f>_xlfn.XLOOKUP(Jnl[[#This Row],[BSLv2]], dict[Key], dict[Name],,0)</f>
        <v>0.现金及类似</v>
      </c>
      <c r="Q130" t="str">
        <f>_xlfn.XLOOKUP(Jnl[[#This Row],[Acct]], dict[Key], dict[Name],,0)</f>
        <v>银行</v>
      </c>
      <c r="R130" t="str">
        <f>_xlfn.XLOOKUP(Jnl[[#This Row],[Vehicle]],config_vehicle[Id], config_vehicle[Name],,0)</f>
        <v>创业园-琦</v>
      </c>
      <c r="S130" t="str">
        <f>_xlfn.XLOOKUP(Jnl[[#This Row],[Division]],config_div[Id], config_div[Name],,0)</f>
        <v>内控合规</v>
      </c>
      <c r="T130" t="str">
        <f>IF(Jnl[[#This Row],[TrxDate]]&lt;=stmt_BS_date_end, "In", "Out")</f>
        <v>In</v>
      </c>
      <c r="U130" t="str">
        <f>IF(Jnl[[#This Row],[TrxDate]]&lt;debug_date_start, "prior", IF(Jnl[[#This Row],[TrxDate]]&gt;debug_date_end, "post", "curr"))</f>
        <v>curr</v>
      </c>
    </row>
    <row r="131" spans="1:21" hidden="1">
      <c r="A131" s="10" t="s">
        <v>261</v>
      </c>
      <c r="B131" s="6">
        <f>_xlfn.XLOOKUP(Jnl[[#This Row],[TrxId]], Trx[Id], Trx[Date],,0)</f>
        <v>46053</v>
      </c>
      <c r="C131" s="6" t="str">
        <f>_xlfn.XLOOKUP(Jnl[[#This Row],[TrxId]], Trx[Id], Trx[Division],,0)</f>
        <v>Online</v>
      </c>
      <c r="D131" s="6" t="str">
        <f>_xlfn.XLOOKUP(Jnl[[#This Row],[TrxId]], Trx[Id], Trx[Action],,0)</f>
        <v>订购</v>
      </c>
      <c r="E131" s="27" t="s">
        <v>87</v>
      </c>
      <c r="F131" s="10" t="s">
        <v>117</v>
      </c>
      <c r="G131" s="10" t="s">
        <v>146</v>
      </c>
      <c r="H131" s="20">
        <v>33000</v>
      </c>
      <c r="I131" s="11" t="b">
        <f>AND(Jnl[[#This Row],[TrxId]]&lt;&gt;"",Jnl[[#This Row],[Acct]]&lt;&gt;"",Jnl[[#This Row],[Item]]&lt;&gt;"",ISNUMBER(Jnl[[#This Row],[Bal]]))</f>
        <v>1</v>
      </c>
      <c r="J131" s="9">
        <f>IF(Jnl[[#This Row],[BSLv0]]="A",1,-1)*Jnl[[#This Row],[Bal]]</f>
        <v>33000</v>
      </c>
      <c r="K131" t="str">
        <f>_xlfn.XLOOKUP(Jnl[[#This Row],[Acct]], config_BS[Acct], config_BS[Lv0],,0)</f>
        <v>A</v>
      </c>
      <c r="L131" t="str">
        <f>_xlfn.XLOOKUP(Jnl[[#This Row],[Acct]], config_BS[Acct], config_BS[Lv1],,0)</f>
        <v>Assets</v>
      </c>
      <c r="M131" t="str">
        <f>_xlfn.XLOOKUP(Jnl[[#This Row],[Acct]], config_BS[Acct], config_BS[Lv2],,0)</f>
        <v>Prep-Sub</v>
      </c>
      <c r="N131" t="str">
        <f>_xlfn.XLOOKUP(Jnl[[#This Row],[TrxId]], Trx[Id], Trx[IncNode], ,0)</f>
        <v>Cost</v>
      </c>
      <c r="O131" t="str">
        <f>_xlfn.XLOOKUP(Jnl[[#This Row],[IncNode]], config_IS[Node], config_IS[Type],,0)</f>
        <v>Op</v>
      </c>
      <c r="P131" t="str">
        <f>_xlfn.XLOOKUP(Jnl[[#This Row],[BSLv2]], dict[Key], dict[Name],,0)</f>
        <v>2.预付-订阅</v>
      </c>
      <c r="Q131" t="str">
        <f>_xlfn.XLOOKUP(Jnl[[#This Row],[Acct]], dict[Key], dict[Name],,0)</f>
        <v>预付订单</v>
      </c>
      <c r="R131" t="str">
        <f>_xlfn.XLOOKUP(Jnl[[#This Row],[Vehicle]],config_vehicle[Id], config_vehicle[Name],,0)</f>
        <v>桑木</v>
      </c>
      <c r="S131" t="str">
        <f>_xlfn.XLOOKUP(Jnl[[#This Row],[Division]],config_div[Id], config_div[Name],,0)</f>
        <v>网店</v>
      </c>
      <c r="T131" t="str">
        <f>IF(Jnl[[#This Row],[TrxDate]]&lt;=stmt_BS_date_end, "In", "Out")</f>
        <v>In</v>
      </c>
      <c r="U131" t="str">
        <f>IF(Jnl[[#This Row],[TrxDate]]&lt;debug_date_start, "prior", IF(Jnl[[#This Row],[TrxDate]]&gt;debug_date_end, "post", "curr"))</f>
        <v>curr</v>
      </c>
    </row>
    <row r="132" spans="1:21" hidden="1">
      <c r="A132" s="10" t="s">
        <v>261</v>
      </c>
      <c r="B132" s="6">
        <f>_xlfn.XLOOKUP(Jnl[[#This Row],[TrxId]], Trx[Id], Trx[Date],,0)</f>
        <v>46053</v>
      </c>
      <c r="C132" s="6" t="str">
        <f>_xlfn.XLOOKUP(Jnl[[#This Row],[TrxId]], Trx[Id], Trx[Division],,0)</f>
        <v>Online</v>
      </c>
      <c r="D132" s="6" t="str">
        <f>_xlfn.XLOOKUP(Jnl[[#This Row],[TrxId]], Trx[Id], Trx[Action],,0)</f>
        <v>订购</v>
      </c>
      <c r="E132" s="27" t="s">
        <v>87</v>
      </c>
      <c r="F132" s="10" t="s">
        <v>12</v>
      </c>
      <c r="G132" s="10" t="s">
        <v>92</v>
      </c>
      <c r="H132" s="20">
        <v>-33000</v>
      </c>
      <c r="I132" s="11" t="b">
        <f>AND(Jnl[[#This Row],[TrxId]]&lt;&gt;"",Jnl[[#This Row],[Acct]]&lt;&gt;"",Jnl[[#This Row],[Item]]&lt;&gt;"",ISNUMBER(Jnl[[#This Row],[Bal]]))</f>
        <v>1</v>
      </c>
      <c r="J132" s="9">
        <f>IF(Jnl[[#This Row],[BSLv0]]="A",1,-1)*Jnl[[#This Row],[Bal]]</f>
        <v>-33000</v>
      </c>
      <c r="K132" t="str">
        <f>_xlfn.XLOOKUP(Jnl[[#This Row],[Acct]], config_BS[Acct], config_BS[Lv0],,0)</f>
        <v>A</v>
      </c>
      <c r="L132" t="str">
        <f>_xlfn.XLOOKUP(Jnl[[#This Row],[Acct]], config_BS[Acct], config_BS[Lv1],,0)</f>
        <v>Assets</v>
      </c>
      <c r="M132" t="str">
        <f>_xlfn.XLOOKUP(Jnl[[#This Row],[Acct]], config_BS[Acct], config_BS[Lv2],,0)</f>
        <v>Cash alike</v>
      </c>
      <c r="N132" t="str">
        <f>_xlfn.XLOOKUP(Jnl[[#This Row],[TrxId]], Trx[Id], Trx[IncNode], ,0)</f>
        <v>Cost</v>
      </c>
      <c r="O132" t="str">
        <f>_xlfn.XLOOKUP(Jnl[[#This Row],[IncNode]], config_IS[Node], config_IS[Type],,0)</f>
        <v>Op</v>
      </c>
      <c r="P132" t="str">
        <f>_xlfn.XLOOKUP(Jnl[[#This Row],[BSLv2]], dict[Key], dict[Name],,0)</f>
        <v>0.现金及类似</v>
      </c>
      <c r="Q132" t="str">
        <f>_xlfn.XLOOKUP(Jnl[[#This Row],[Acct]], dict[Key], dict[Name],,0)</f>
        <v>银行</v>
      </c>
      <c r="R132" t="str">
        <f>_xlfn.XLOOKUP(Jnl[[#This Row],[Vehicle]],config_vehicle[Id], config_vehicle[Name],,0)</f>
        <v>桑木</v>
      </c>
      <c r="S132" t="str">
        <f>_xlfn.XLOOKUP(Jnl[[#This Row],[Division]],config_div[Id], config_div[Name],,0)</f>
        <v>网店</v>
      </c>
      <c r="T132" t="str">
        <f>IF(Jnl[[#This Row],[TrxDate]]&lt;=stmt_BS_date_end, "In", "Out")</f>
        <v>In</v>
      </c>
      <c r="U132" t="str">
        <f>IF(Jnl[[#This Row],[TrxDate]]&lt;debug_date_start, "prior", IF(Jnl[[#This Row],[TrxDate]]&gt;debug_date_end, "post", "curr"))</f>
        <v>curr</v>
      </c>
    </row>
    <row r="133" spans="1:21" hidden="1">
      <c r="A133" s="10" t="s">
        <v>262</v>
      </c>
      <c r="B133" s="6">
        <f>_xlfn.XLOOKUP(Jnl[[#This Row],[TrxId]], Trx[Id], Trx[Date],,0)</f>
        <v>46053</v>
      </c>
      <c r="C133" s="6" t="str">
        <f>_xlfn.XLOOKUP(Jnl[[#This Row],[TrxId]], Trx[Id], Trx[Division],,0)</f>
        <v>GM</v>
      </c>
      <c r="D133" s="6" t="str">
        <f>_xlfn.XLOOKUP(Jnl[[#This Row],[TrxId]], Trx[Id], Trx[Action],,0)</f>
        <v>支付</v>
      </c>
      <c r="E133" s="27" t="s">
        <v>87</v>
      </c>
      <c r="F133" s="10" t="s">
        <v>129</v>
      </c>
      <c r="G133" s="10" t="s">
        <v>303</v>
      </c>
      <c r="H133" s="20">
        <v>-40000</v>
      </c>
      <c r="I133" s="11" t="b">
        <f>AND(Jnl[[#This Row],[TrxId]]&lt;&gt;"",Jnl[[#This Row],[Acct]]&lt;&gt;"",Jnl[[#This Row],[Item]]&lt;&gt;"",ISNUMBER(Jnl[[#This Row],[Bal]]))</f>
        <v>1</v>
      </c>
      <c r="J133" s="9">
        <f>IF(Jnl[[#This Row],[BSLv0]]="A",1,-1)*Jnl[[#This Row],[Bal]]</f>
        <v>40000</v>
      </c>
      <c r="K133" t="str">
        <f>_xlfn.XLOOKUP(Jnl[[#This Row],[Acct]], config_BS[Acct], config_BS[Lv0],,0)</f>
        <v>LC</v>
      </c>
      <c r="L133" t="str">
        <f>_xlfn.XLOOKUP(Jnl[[#This Row],[Acct]], config_BS[Acct], config_BS[Lv1],,0)</f>
        <v>Liability</v>
      </c>
      <c r="M133" t="str">
        <f>_xlfn.XLOOKUP(Jnl[[#This Row],[Acct]], config_BS[Acct], config_BS[Lv2],,0)</f>
        <v>Rec-Pay</v>
      </c>
      <c r="N133" t="str">
        <f>_xlfn.XLOOKUP(Jnl[[#This Row],[TrxId]], Trx[Id], Trx[IncNode], ,0)</f>
        <v>Expense</v>
      </c>
      <c r="O133" t="str">
        <f>_xlfn.XLOOKUP(Jnl[[#This Row],[IncNode]], config_IS[Node], config_IS[Type],,0)</f>
        <v>Op</v>
      </c>
      <c r="P133" t="str">
        <f>_xlfn.XLOOKUP(Jnl[[#This Row],[BSLv2]], dict[Key], dict[Name],,0)</f>
        <v>1.应收-应付</v>
      </c>
      <c r="Q133" t="str">
        <f>_xlfn.XLOOKUP(Jnl[[#This Row],[Acct]], dict[Key], dict[Name],,0)</f>
        <v>应付-税款</v>
      </c>
      <c r="R133" t="str">
        <f>_xlfn.XLOOKUP(Jnl[[#This Row],[Vehicle]],config_vehicle[Id], config_vehicle[Name],,0)</f>
        <v>桑木</v>
      </c>
      <c r="S133" t="str">
        <f>_xlfn.XLOOKUP(Jnl[[#This Row],[Division]],config_div[Id], config_div[Name],,0)</f>
        <v>综合管理</v>
      </c>
      <c r="T133" t="str">
        <f>IF(Jnl[[#This Row],[TrxDate]]&lt;=stmt_BS_date_end, "In", "Out")</f>
        <v>In</v>
      </c>
      <c r="U133" t="str">
        <f>IF(Jnl[[#This Row],[TrxDate]]&lt;debug_date_start, "prior", IF(Jnl[[#This Row],[TrxDate]]&gt;debug_date_end, "post", "curr"))</f>
        <v>curr</v>
      </c>
    </row>
    <row r="134" spans="1:21" hidden="1">
      <c r="A134" s="10" t="s">
        <v>262</v>
      </c>
      <c r="B134" s="6">
        <f>_xlfn.XLOOKUP(Jnl[[#This Row],[TrxId]], Trx[Id], Trx[Date],,0)</f>
        <v>46053</v>
      </c>
      <c r="C134" s="6" t="str">
        <f>_xlfn.XLOOKUP(Jnl[[#This Row],[TrxId]], Trx[Id], Trx[Division],,0)</f>
        <v>GM</v>
      </c>
      <c r="D134" s="6" t="str">
        <f>_xlfn.XLOOKUP(Jnl[[#This Row],[TrxId]], Trx[Id], Trx[Action],,0)</f>
        <v>支付</v>
      </c>
      <c r="E134" s="27" t="s">
        <v>87</v>
      </c>
      <c r="F134" s="10" t="s">
        <v>12</v>
      </c>
      <c r="G134" s="10" t="s">
        <v>92</v>
      </c>
      <c r="H134" s="20">
        <v>-40000</v>
      </c>
      <c r="I134" s="11" t="b">
        <f>AND(Jnl[[#This Row],[TrxId]]&lt;&gt;"",Jnl[[#This Row],[Acct]]&lt;&gt;"",Jnl[[#This Row],[Item]]&lt;&gt;"",ISNUMBER(Jnl[[#This Row],[Bal]]))</f>
        <v>1</v>
      </c>
      <c r="J134" s="9">
        <f>IF(Jnl[[#This Row],[BSLv0]]="A",1,-1)*Jnl[[#This Row],[Bal]]</f>
        <v>-40000</v>
      </c>
      <c r="K134" t="str">
        <f>_xlfn.XLOOKUP(Jnl[[#This Row],[Acct]], config_BS[Acct], config_BS[Lv0],,0)</f>
        <v>A</v>
      </c>
      <c r="L134" t="str">
        <f>_xlfn.XLOOKUP(Jnl[[#This Row],[Acct]], config_BS[Acct], config_BS[Lv1],,0)</f>
        <v>Assets</v>
      </c>
      <c r="M134" t="str">
        <f>_xlfn.XLOOKUP(Jnl[[#This Row],[Acct]], config_BS[Acct], config_BS[Lv2],,0)</f>
        <v>Cash alike</v>
      </c>
      <c r="N134" t="str">
        <f>_xlfn.XLOOKUP(Jnl[[#This Row],[TrxId]], Trx[Id], Trx[IncNode], ,0)</f>
        <v>Expense</v>
      </c>
      <c r="O134" t="str">
        <f>_xlfn.XLOOKUP(Jnl[[#This Row],[IncNode]], config_IS[Node], config_IS[Type],,0)</f>
        <v>Op</v>
      </c>
      <c r="P134" t="str">
        <f>_xlfn.XLOOKUP(Jnl[[#This Row],[BSLv2]], dict[Key], dict[Name],,0)</f>
        <v>0.现金及类似</v>
      </c>
      <c r="Q134" t="str">
        <f>_xlfn.XLOOKUP(Jnl[[#This Row],[Acct]], dict[Key], dict[Name],,0)</f>
        <v>银行</v>
      </c>
      <c r="R134" t="str">
        <f>_xlfn.XLOOKUP(Jnl[[#This Row],[Vehicle]],config_vehicle[Id], config_vehicle[Name],,0)</f>
        <v>桑木</v>
      </c>
      <c r="S134" t="str">
        <f>_xlfn.XLOOKUP(Jnl[[#This Row],[Division]],config_div[Id], config_div[Name],,0)</f>
        <v>综合管理</v>
      </c>
      <c r="T134" t="str">
        <f>IF(Jnl[[#This Row],[TrxDate]]&lt;=stmt_BS_date_end, "In", "Out")</f>
        <v>In</v>
      </c>
      <c r="U134" t="str">
        <f>IF(Jnl[[#This Row],[TrxDate]]&lt;debug_date_start, "prior", IF(Jnl[[#This Row],[TrxDate]]&gt;debug_date_end, "post", "curr"))</f>
        <v>curr</v>
      </c>
    </row>
    <row r="135" spans="1:21" hidden="1">
      <c r="A135" s="10" t="s">
        <v>263</v>
      </c>
      <c r="B135" s="6">
        <f>_xlfn.XLOOKUP(Jnl[[#This Row],[TrxId]], Trx[Id], Trx[Date],,0)</f>
        <v>46053</v>
      </c>
      <c r="C135" s="6" t="str">
        <f>_xlfn.XLOOKUP(Jnl[[#This Row],[TrxId]], Trx[Id], Trx[Division],,0)</f>
        <v>GM</v>
      </c>
      <c r="D135" s="6" t="str">
        <f>_xlfn.XLOOKUP(Jnl[[#This Row],[TrxId]], Trx[Id], Trx[Action],,0)</f>
        <v>支付</v>
      </c>
      <c r="E135" s="27" t="s">
        <v>87</v>
      </c>
      <c r="F135" s="10" t="s">
        <v>191</v>
      </c>
      <c r="G135" s="10" t="s">
        <v>285</v>
      </c>
      <c r="H135" s="20">
        <v>-18440</v>
      </c>
      <c r="I135" s="11" t="b">
        <f>AND(Jnl[[#This Row],[TrxId]]&lt;&gt;"",Jnl[[#This Row],[Acct]]&lt;&gt;"",Jnl[[#This Row],[Item]]&lt;&gt;"",ISNUMBER(Jnl[[#This Row],[Bal]]))</f>
        <v>1</v>
      </c>
      <c r="J135" s="9">
        <f>IF(Jnl[[#This Row],[BSLv0]]="A",1,-1)*Jnl[[#This Row],[Bal]]</f>
        <v>18440</v>
      </c>
      <c r="K135" t="str">
        <f>_xlfn.XLOOKUP(Jnl[[#This Row],[Acct]], config_BS[Acct], config_BS[Lv0],,0)</f>
        <v>LC</v>
      </c>
      <c r="L135" t="str">
        <f>_xlfn.XLOOKUP(Jnl[[#This Row],[Acct]], config_BS[Acct], config_BS[Lv1],,0)</f>
        <v>Liability</v>
      </c>
      <c r="M135" t="str">
        <f>_xlfn.XLOOKUP(Jnl[[#This Row],[Acct]], config_BS[Acct], config_BS[Lv2],,0)</f>
        <v>Rec-Pay</v>
      </c>
      <c r="N135" t="str">
        <f>_xlfn.XLOOKUP(Jnl[[#This Row],[TrxId]], Trx[Id], Trx[IncNode], ,0)</f>
        <v>Expense</v>
      </c>
      <c r="O135" t="str">
        <f>_xlfn.XLOOKUP(Jnl[[#This Row],[IncNode]], config_IS[Node], config_IS[Type],,0)</f>
        <v>Op</v>
      </c>
      <c r="P135" t="str">
        <f>_xlfn.XLOOKUP(Jnl[[#This Row],[BSLv2]], dict[Key], dict[Name],,0)</f>
        <v>1.应收-应付</v>
      </c>
      <c r="Q135" t="str">
        <f>_xlfn.XLOOKUP(Jnl[[#This Row],[Acct]], dict[Key], dict[Name],,0)</f>
        <v>应付-薪资</v>
      </c>
      <c r="R135" t="str">
        <f>_xlfn.XLOOKUP(Jnl[[#This Row],[Vehicle]],config_vehicle[Id], config_vehicle[Name],,0)</f>
        <v>桑木</v>
      </c>
      <c r="S135" t="str">
        <f>_xlfn.XLOOKUP(Jnl[[#This Row],[Division]],config_div[Id], config_div[Name],,0)</f>
        <v>综合管理</v>
      </c>
      <c r="T135" t="str">
        <f>IF(Jnl[[#This Row],[TrxDate]]&lt;=stmt_BS_date_end, "In", "Out")</f>
        <v>In</v>
      </c>
      <c r="U135" t="str">
        <f>IF(Jnl[[#This Row],[TrxDate]]&lt;debug_date_start, "prior", IF(Jnl[[#This Row],[TrxDate]]&gt;debug_date_end, "post", "curr"))</f>
        <v>curr</v>
      </c>
    </row>
    <row r="136" spans="1:21" hidden="1">
      <c r="A136" s="10" t="s">
        <v>263</v>
      </c>
      <c r="B136" s="6">
        <f>_xlfn.XLOOKUP(Jnl[[#This Row],[TrxId]], Trx[Id], Trx[Date],,0)</f>
        <v>46053</v>
      </c>
      <c r="C136" s="6" t="str">
        <f>_xlfn.XLOOKUP(Jnl[[#This Row],[TrxId]], Trx[Id], Trx[Division],,0)</f>
        <v>GM</v>
      </c>
      <c r="D136" s="6" t="str">
        <f>_xlfn.XLOOKUP(Jnl[[#This Row],[TrxId]], Trx[Id], Trx[Action],,0)</f>
        <v>支付</v>
      </c>
      <c r="E136" s="27" t="s">
        <v>87</v>
      </c>
      <c r="F136" s="10" t="s">
        <v>12</v>
      </c>
      <c r="G136" s="10" t="s">
        <v>92</v>
      </c>
      <c r="H136" s="20">
        <v>-16946.37</v>
      </c>
      <c r="I136" s="11" t="b">
        <f>AND(Jnl[[#This Row],[TrxId]]&lt;&gt;"",Jnl[[#This Row],[Acct]]&lt;&gt;"",Jnl[[#This Row],[Item]]&lt;&gt;"",ISNUMBER(Jnl[[#This Row],[Bal]]))</f>
        <v>1</v>
      </c>
      <c r="J136" s="9">
        <f>IF(Jnl[[#This Row],[BSLv0]]="A",1,-1)*Jnl[[#This Row],[Bal]]</f>
        <v>-16946.37</v>
      </c>
      <c r="K136" t="str">
        <f>_xlfn.XLOOKUP(Jnl[[#This Row],[Acct]], config_BS[Acct], config_BS[Lv0],,0)</f>
        <v>A</v>
      </c>
      <c r="L136" t="str">
        <f>_xlfn.XLOOKUP(Jnl[[#This Row],[Acct]], config_BS[Acct], config_BS[Lv1],,0)</f>
        <v>Assets</v>
      </c>
      <c r="M136" t="str">
        <f>_xlfn.XLOOKUP(Jnl[[#This Row],[Acct]], config_BS[Acct], config_BS[Lv2],,0)</f>
        <v>Cash alike</v>
      </c>
      <c r="N136" t="str">
        <f>_xlfn.XLOOKUP(Jnl[[#This Row],[TrxId]], Trx[Id], Trx[IncNode], ,0)</f>
        <v>Expense</v>
      </c>
      <c r="O136" t="str">
        <f>_xlfn.XLOOKUP(Jnl[[#This Row],[IncNode]], config_IS[Node], config_IS[Type],,0)</f>
        <v>Op</v>
      </c>
      <c r="P136" t="str">
        <f>_xlfn.XLOOKUP(Jnl[[#This Row],[BSLv2]], dict[Key], dict[Name],,0)</f>
        <v>0.现金及类似</v>
      </c>
      <c r="Q136" t="str">
        <f>_xlfn.XLOOKUP(Jnl[[#This Row],[Acct]], dict[Key], dict[Name],,0)</f>
        <v>银行</v>
      </c>
      <c r="R136" t="str">
        <f>_xlfn.XLOOKUP(Jnl[[#This Row],[Vehicle]],config_vehicle[Id], config_vehicle[Name],,0)</f>
        <v>桑木</v>
      </c>
      <c r="S136" t="str">
        <f>_xlfn.XLOOKUP(Jnl[[#This Row],[Division]],config_div[Id], config_div[Name],,0)</f>
        <v>综合管理</v>
      </c>
      <c r="T136" t="str">
        <f>IF(Jnl[[#This Row],[TrxDate]]&lt;=stmt_BS_date_end, "In", "Out")</f>
        <v>In</v>
      </c>
      <c r="U136" t="str">
        <f>IF(Jnl[[#This Row],[TrxDate]]&lt;debug_date_start, "prior", IF(Jnl[[#This Row],[TrxDate]]&gt;debug_date_end, "post", "curr"))</f>
        <v>curr</v>
      </c>
    </row>
    <row r="137" spans="1:21" hidden="1">
      <c r="A137" s="10" t="s">
        <v>263</v>
      </c>
      <c r="B137" s="6">
        <f>_xlfn.XLOOKUP(Jnl[[#This Row],[TrxId]], Trx[Id], Trx[Date],,0)</f>
        <v>46053</v>
      </c>
      <c r="C137" s="6" t="str">
        <f>_xlfn.XLOOKUP(Jnl[[#This Row],[TrxId]], Trx[Id], Trx[Division],,0)</f>
        <v>GM</v>
      </c>
      <c r="D137" s="6" t="str">
        <f>_xlfn.XLOOKUP(Jnl[[#This Row],[TrxId]], Trx[Id], Trx[Action],,0)</f>
        <v>支付</v>
      </c>
      <c r="E137" s="27" t="s">
        <v>87</v>
      </c>
      <c r="F137" s="10" t="s">
        <v>201</v>
      </c>
      <c r="G137" s="10" t="s">
        <v>140</v>
      </c>
      <c r="H137" s="20">
        <v>-1431.45</v>
      </c>
      <c r="I137" s="11" t="b">
        <f>AND(Jnl[[#This Row],[TrxId]]&lt;&gt;"",Jnl[[#This Row],[Acct]]&lt;&gt;"",Jnl[[#This Row],[Item]]&lt;&gt;"",ISNUMBER(Jnl[[#This Row],[Bal]]))</f>
        <v>1</v>
      </c>
      <c r="J137" s="9">
        <f>IF(Jnl[[#This Row],[BSLv0]]="A",1,-1)*Jnl[[#This Row],[Bal]]</f>
        <v>-1431.45</v>
      </c>
      <c r="K137" t="str">
        <f>_xlfn.XLOOKUP(Jnl[[#This Row],[Acct]], config_BS[Acct], config_BS[Lv0],,0)</f>
        <v>A</v>
      </c>
      <c r="L137" t="str">
        <f>_xlfn.XLOOKUP(Jnl[[#This Row],[Acct]], config_BS[Acct], config_BS[Lv1],,0)</f>
        <v>Assets</v>
      </c>
      <c r="M137" t="str">
        <f>_xlfn.XLOOKUP(Jnl[[#This Row],[Acct]], config_BS[Acct], config_BS[Lv2],,0)</f>
        <v>Rec-Pay</v>
      </c>
      <c r="N137" t="str">
        <f>_xlfn.XLOOKUP(Jnl[[#This Row],[TrxId]], Trx[Id], Trx[IncNode], ,0)</f>
        <v>Expense</v>
      </c>
      <c r="O137" t="str">
        <f>_xlfn.XLOOKUP(Jnl[[#This Row],[IncNode]], config_IS[Node], config_IS[Type],,0)</f>
        <v>Op</v>
      </c>
      <c r="P137" t="str">
        <f>_xlfn.XLOOKUP(Jnl[[#This Row],[BSLv2]], dict[Key], dict[Name],,0)</f>
        <v>1.应收-应付</v>
      </c>
      <c r="Q137" t="str">
        <f>_xlfn.XLOOKUP(Jnl[[#This Row],[Acct]], dict[Key], dict[Name],,0)</f>
        <v>应收-其他</v>
      </c>
      <c r="R137" t="str">
        <f>_xlfn.XLOOKUP(Jnl[[#This Row],[Vehicle]],config_vehicle[Id], config_vehicle[Name],,0)</f>
        <v>桑木</v>
      </c>
      <c r="S137" t="str">
        <f>_xlfn.XLOOKUP(Jnl[[#This Row],[Division]],config_div[Id], config_div[Name],,0)</f>
        <v>综合管理</v>
      </c>
      <c r="T137" t="str">
        <f>IF(Jnl[[#This Row],[TrxDate]]&lt;=stmt_BS_date_end, "In", "Out")</f>
        <v>In</v>
      </c>
      <c r="U137" t="str">
        <f>IF(Jnl[[#This Row],[TrxDate]]&lt;debug_date_start, "prior", IF(Jnl[[#This Row],[TrxDate]]&gt;debug_date_end, "post", "curr"))</f>
        <v>curr</v>
      </c>
    </row>
    <row r="138" spans="1:21" hidden="1">
      <c r="A138" s="10" t="s">
        <v>263</v>
      </c>
      <c r="B138" s="6">
        <f>_xlfn.XLOOKUP(Jnl[[#This Row],[TrxId]], Trx[Id], Trx[Date],,0)</f>
        <v>46053</v>
      </c>
      <c r="C138" s="6" t="str">
        <f>_xlfn.XLOOKUP(Jnl[[#This Row],[TrxId]], Trx[Id], Trx[Division],,0)</f>
        <v>GM</v>
      </c>
      <c r="D138" s="6" t="str">
        <f>_xlfn.XLOOKUP(Jnl[[#This Row],[TrxId]], Trx[Id], Trx[Action],,0)</f>
        <v>支付</v>
      </c>
      <c r="E138" s="27" t="s">
        <v>87</v>
      </c>
      <c r="F138" s="10" t="s">
        <v>129</v>
      </c>
      <c r="G138" s="10" t="s">
        <v>303</v>
      </c>
      <c r="H138" s="20">
        <v>62.18</v>
      </c>
      <c r="I138" s="11" t="b">
        <f>AND(Jnl[[#This Row],[TrxId]]&lt;&gt;"",Jnl[[#This Row],[Acct]]&lt;&gt;"",Jnl[[#This Row],[Item]]&lt;&gt;"",ISNUMBER(Jnl[[#This Row],[Bal]]))</f>
        <v>1</v>
      </c>
      <c r="J138" s="9">
        <f>IF(Jnl[[#This Row],[BSLv0]]="A",1,-1)*Jnl[[#This Row],[Bal]]</f>
        <v>-62.18</v>
      </c>
      <c r="K138" t="str">
        <f>_xlfn.XLOOKUP(Jnl[[#This Row],[Acct]], config_BS[Acct], config_BS[Lv0],,0)</f>
        <v>LC</v>
      </c>
      <c r="L138" t="str">
        <f>_xlfn.XLOOKUP(Jnl[[#This Row],[Acct]], config_BS[Acct], config_BS[Lv1],,0)</f>
        <v>Liability</v>
      </c>
      <c r="M138" t="str">
        <f>_xlfn.XLOOKUP(Jnl[[#This Row],[Acct]], config_BS[Acct], config_BS[Lv2],,0)</f>
        <v>Rec-Pay</v>
      </c>
      <c r="N138" t="str">
        <f>_xlfn.XLOOKUP(Jnl[[#This Row],[TrxId]], Trx[Id], Trx[IncNode], ,0)</f>
        <v>Expense</v>
      </c>
      <c r="O138" t="str">
        <f>_xlfn.XLOOKUP(Jnl[[#This Row],[IncNode]], config_IS[Node], config_IS[Type],,0)</f>
        <v>Op</v>
      </c>
      <c r="P138" t="str">
        <f>_xlfn.XLOOKUP(Jnl[[#This Row],[BSLv2]], dict[Key], dict[Name],,0)</f>
        <v>1.应收-应付</v>
      </c>
      <c r="Q138" t="str">
        <f>_xlfn.XLOOKUP(Jnl[[#This Row],[Acct]], dict[Key], dict[Name],,0)</f>
        <v>应付-税款</v>
      </c>
      <c r="R138" t="str">
        <f>_xlfn.XLOOKUP(Jnl[[#This Row],[Vehicle]],config_vehicle[Id], config_vehicle[Name],,0)</f>
        <v>桑木</v>
      </c>
      <c r="S138" t="str">
        <f>_xlfn.XLOOKUP(Jnl[[#This Row],[Division]],config_div[Id], config_div[Name],,0)</f>
        <v>综合管理</v>
      </c>
      <c r="T138" t="str">
        <f>IF(Jnl[[#This Row],[TrxDate]]&lt;=stmt_BS_date_end, "In", "Out")</f>
        <v>In</v>
      </c>
      <c r="U138" t="str">
        <f>IF(Jnl[[#This Row],[TrxDate]]&lt;debug_date_start, "prior", IF(Jnl[[#This Row],[TrxDate]]&gt;debug_date_end, "post", "curr"))</f>
        <v>curr</v>
      </c>
    </row>
    <row r="139" spans="1:21" hidden="1">
      <c r="A139" s="10" t="s">
        <v>264</v>
      </c>
      <c r="B139" s="6">
        <f>_xlfn.XLOOKUP(Jnl[[#This Row],[TrxId]], Trx[Id], Trx[Date],,0)</f>
        <v>46053</v>
      </c>
      <c r="C139" s="6" t="str">
        <f>_xlfn.XLOOKUP(Jnl[[#This Row],[TrxId]], Trx[Id], Trx[Division],,0)</f>
        <v>GM</v>
      </c>
      <c r="D139" s="6" t="str">
        <f>_xlfn.XLOOKUP(Jnl[[#This Row],[TrxId]], Trx[Id], Trx[Action],,0)</f>
        <v>支付</v>
      </c>
      <c r="E139" s="27" t="s">
        <v>87</v>
      </c>
      <c r="F139" s="10" t="s">
        <v>129</v>
      </c>
      <c r="G139" s="10" t="s">
        <v>303</v>
      </c>
      <c r="H139" s="20">
        <v>-62.18</v>
      </c>
      <c r="I139" s="11" t="b">
        <f>AND(Jnl[[#This Row],[TrxId]]&lt;&gt;"",Jnl[[#This Row],[Acct]]&lt;&gt;"",Jnl[[#This Row],[Item]]&lt;&gt;"",ISNUMBER(Jnl[[#This Row],[Bal]]))</f>
        <v>1</v>
      </c>
      <c r="J139" s="9">
        <f>IF(Jnl[[#This Row],[BSLv0]]="A",1,-1)*Jnl[[#This Row],[Bal]]</f>
        <v>62.18</v>
      </c>
      <c r="K139" t="str">
        <f>_xlfn.XLOOKUP(Jnl[[#This Row],[Acct]], config_BS[Acct], config_BS[Lv0],,0)</f>
        <v>LC</v>
      </c>
      <c r="L139" t="str">
        <f>_xlfn.XLOOKUP(Jnl[[#This Row],[Acct]], config_BS[Acct], config_BS[Lv1],,0)</f>
        <v>Liability</v>
      </c>
      <c r="M139" t="str">
        <f>_xlfn.XLOOKUP(Jnl[[#This Row],[Acct]], config_BS[Acct], config_BS[Lv2],,0)</f>
        <v>Rec-Pay</v>
      </c>
      <c r="N139" t="str">
        <f>_xlfn.XLOOKUP(Jnl[[#This Row],[TrxId]], Trx[Id], Trx[IncNode], ,0)</f>
        <v>Expense</v>
      </c>
      <c r="O139" t="str">
        <f>_xlfn.XLOOKUP(Jnl[[#This Row],[IncNode]], config_IS[Node], config_IS[Type],,0)</f>
        <v>Op</v>
      </c>
      <c r="P139" t="str">
        <f>_xlfn.XLOOKUP(Jnl[[#This Row],[BSLv2]], dict[Key], dict[Name],,0)</f>
        <v>1.应收-应付</v>
      </c>
      <c r="Q139" t="str">
        <f>_xlfn.XLOOKUP(Jnl[[#This Row],[Acct]], dict[Key], dict[Name],,0)</f>
        <v>应付-税款</v>
      </c>
      <c r="R139" t="str">
        <f>_xlfn.XLOOKUP(Jnl[[#This Row],[Vehicle]],config_vehicle[Id], config_vehicle[Name],,0)</f>
        <v>桑木</v>
      </c>
      <c r="S139" t="str">
        <f>_xlfn.XLOOKUP(Jnl[[#This Row],[Division]],config_div[Id], config_div[Name],,0)</f>
        <v>综合管理</v>
      </c>
      <c r="T139" t="str">
        <f>IF(Jnl[[#This Row],[TrxDate]]&lt;=stmt_BS_date_end, "In", "Out")</f>
        <v>In</v>
      </c>
      <c r="U139" t="str">
        <f>IF(Jnl[[#This Row],[TrxDate]]&lt;debug_date_start, "prior", IF(Jnl[[#This Row],[TrxDate]]&gt;debug_date_end, "post", "curr"))</f>
        <v>curr</v>
      </c>
    </row>
    <row r="140" spans="1:21" hidden="1">
      <c r="A140" s="10" t="s">
        <v>264</v>
      </c>
      <c r="B140" s="6">
        <f>_xlfn.XLOOKUP(Jnl[[#This Row],[TrxId]], Trx[Id], Trx[Date],,0)</f>
        <v>46053</v>
      </c>
      <c r="C140" s="6" t="str">
        <f>_xlfn.XLOOKUP(Jnl[[#This Row],[TrxId]], Trx[Id], Trx[Division],,0)</f>
        <v>GM</v>
      </c>
      <c r="D140" s="6" t="str">
        <f>_xlfn.XLOOKUP(Jnl[[#This Row],[TrxId]], Trx[Id], Trx[Action],,0)</f>
        <v>支付</v>
      </c>
      <c r="E140" s="27" t="s">
        <v>87</v>
      </c>
      <c r="F140" s="10" t="s">
        <v>12</v>
      </c>
      <c r="G140" s="10" t="s">
        <v>92</v>
      </c>
      <c r="H140" s="20">
        <v>-62.18</v>
      </c>
      <c r="I140" s="11" t="b">
        <f>AND(Jnl[[#This Row],[TrxId]]&lt;&gt;"",Jnl[[#This Row],[Acct]]&lt;&gt;"",Jnl[[#This Row],[Item]]&lt;&gt;"",ISNUMBER(Jnl[[#This Row],[Bal]]))</f>
        <v>1</v>
      </c>
      <c r="J140" s="9">
        <f>IF(Jnl[[#This Row],[BSLv0]]="A",1,-1)*Jnl[[#This Row],[Bal]]</f>
        <v>-62.18</v>
      </c>
      <c r="K140" t="str">
        <f>_xlfn.XLOOKUP(Jnl[[#This Row],[Acct]], config_BS[Acct], config_BS[Lv0],,0)</f>
        <v>A</v>
      </c>
      <c r="L140" t="str">
        <f>_xlfn.XLOOKUP(Jnl[[#This Row],[Acct]], config_BS[Acct], config_BS[Lv1],,0)</f>
        <v>Assets</v>
      </c>
      <c r="M140" t="str">
        <f>_xlfn.XLOOKUP(Jnl[[#This Row],[Acct]], config_BS[Acct], config_BS[Lv2],,0)</f>
        <v>Cash alike</v>
      </c>
      <c r="N140" t="str">
        <f>_xlfn.XLOOKUP(Jnl[[#This Row],[TrxId]], Trx[Id], Trx[IncNode], ,0)</f>
        <v>Expense</v>
      </c>
      <c r="O140" t="str">
        <f>_xlfn.XLOOKUP(Jnl[[#This Row],[IncNode]], config_IS[Node], config_IS[Type],,0)</f>
        <v>Op</v>
      </c>
      <c r="P140" t="str">
        <f>_xlfn.XLOOKUP(Jnl[[#This Row],[BSLv2]], dict[Key], dict[Name],,0)</f>
        <v>0.现金及类似</v>
      </c>
      <c r="Q140" t="str">
        <f>_xlfn.XLOOKUP(Jnl[[#This Row],[Acct]], dict[Key], dict[Name],,0)</f>
        <v>银行</v>
      </c>
      <c r="R140" t="str">
        <f>_xlfn.XLOOKUP(Jnl[[#This Row],[Vehicle]],config_vehicle[Id], config_vehicle[Name],,0)</f>
        <v>桑木</v>
      </c>
      <c r="S140" t="str">
        <f>_xlfn.XLOOKUP(Jnl[[#This Row],[Division]],config_div[Id], config_div[Name],,0)</f>
        <v>综合管理</v>
      </c>
      <c r="T140" t="str">
        <f>IF(Jnl[[#This Row],[TrxDate]]&lt;=stmt_BS_date_end, "In", "Out")</f>
        <v>In</v>
      </c>
      <c r="U140" t="str">
        <f>IF(Jnl[[#This Row],[TrxDate]]&lt;debug_date_start, "prior", IF(Jnl[[#This Row],[TrxDate]]&gt;debug_date_end, "post", "curr"))</f>
        <v>curr</v>
      </c>
    </row>
    <row r="141" spans="1:21" hidden="1">
      <c r="A141" s="10" t="s">
        <v>265</v>
      </c>
      <c r="B141" s="6">
        <f>_xlfn.XLOOKUP(Jnl[[#This Row],[TrxId]], Trx[Id], Trx[Date],,0)</f>
        <v>46053</v>
      </c>
      <c r="C141" s="6" t="str">
        <f>_xlfn.XLOOKUP(Jnl[[#This Row],[TrxId]], Trx[Id], Trx[Division],,0)</f>
        <v>Online</v>
      </c>
      <c r="D141" s="6" t="str">
        <f>_xlfn.XLOOKUP(Jnl[[#This Row],[TrxId]], Trx[Id], Trx[Action],,0)</f>
        <v>物流</v>
      </c>
      <c r="E141" s="27" t="s">
        <v>87</v>
      </c>
      <c r="F141" s="10" t="s">
        <v>12</v>
      </c>
      <c r="G141" s="10" t="s">
        <v>92</v>
      </c>
      <c r="H141" s="20">
        <v>-655</v>
      </c>
      <c r="I141" s="11" t="b">
        <f>AND(Jnl[[#This Row],[TrxId]]&lt;&gt;"",Jnl[[#This Row],[Acct]]&lt;&gt;"",Jnl[[#This Row],[Item]]&lt;&gt;"",ISNUMBER(Jnl[[#This Row],[Bal]]))</f>
        <v>1</v>
      </c>
      <c r="J141" s="9">
        <f>IF(Jnl[[#This Row],[BSLv0]]="A",1,-1)*Jnl[[#This Row],[Bal]]</f>
        <v>-655</v>
      </c>
      <c r="K141" t="str">
        <f>_xlfn.XLOOKUP(Jnl[[#This Row],[Acct]], config_BS[Acct], config_BS[Lv0],,0)</f>
        <v>A</v>
      </c>
      <c r="L141" t="str">
        <f>_xlfn.XLOOKUP(Jnl[[#This Row],[Acct]], config_BS[Acct], config_BS[Lv1],,0)</f>
        <v>Assets</v>
      </c>
      <c r="M141" t="str">
        <f>_xlfn.XLOOKUP(Jnl[[#This Row],[Acct]], config_BS[Acct], config_BS[Lv2],,0)</f>
        <v>Cash alike</v>
      </c>
      <c r="N141" t="str">
        <f>_xlfn.XLOOKUP(Jnl[[#This Row],[TrxId]], Trx[Id], Trx[IncNode], ,0)</f>
        <v>Expense</v>
      </c>
      <c r="O141" t="str">
        <f>_xlfn.XLOOKUP(Jnl[[#This Row],[IncNode]], config_IS[Node], config_IS[Type],,0)</f>
        <v>Op</v>
      </c>
      <c r="P141" t="str">
        <f>_xlfn.XLOOKUP(Jnl[[#This Row],[BSLv2]], dict[Key], dict[Name],,0)</f>
        <v>0.现金及类似</v>
      </c>
      <c r="Q141" t="str">
        <f>_xlfn.XLOOKUP(Jnl[[#This Row],[Acct]], dict[Key], dict[Name],,0)</f>
        <v>银行</v>
      </c>
      <c r="R141" t="str">
        <f>_xlfn.XLOOKUP(Jnl[[#This Row],[Vehicle]],config_vehicle[Id], config_vehicle[Name],,0)</f>
        <v>桑木</v>
      </c>
      <c r="S141" t="str">
        <f>_xlfn.XLOOKUP(Jnl[[#This Row],[Division]],config_div[Id], config_div[Name],,0)</f>
        <v>网店</v>
      </c>
      <c r="T141" t="str">
        <f>IF(Jnl[[#This Row],[TrxDate]]&lt;=stmt_BS_date_end, "In", "Out")</f>
        <v>In</v>
      </c>
      <c r="U141" t="str">
        <f>IF(Jnl[[#This Row],[TrxDate]]&lt;debug_date_start, "prior", IF(Jnl[[#This Row],[TrxDate]]&gt;debug_date_end, "post", "curr"))</f>
        <v>curr</v>
      </c>
    </row>
    <row r="142" spans="1:21" hidden="1">
      <c r="A142" s="10" t="s">
        <v>266</v>
      </c>
      <c r="B142" s="6">
        <f>_xlfn.XLOOKUP(Jnl[[#This Row],[TrxId]], Trx[Id], Trx[Date],,0)</f>
        <v>46053</v>
      </c>
      <c r="C142" s="6" t="str">
        <f>_xlfn.XLOOKUP(Jnl[[#This Row],[TrxId]], Trx[Id], Trx[Division],,0)</f>
        <v>Ctrl</v>
      </c>
      <c r="D142" s="6" t="str">
        <f>_xlfn.XLOOKUP(Jnl[[#This Row],[TrxId]], Trx[Id], Trx[Action],,0)</f>
        <v>支付</v>
      </c>
      <c r="E142" s="27" t="s">
        <v>87</v>
      </c>
      <c r="F142" s="10" t="s">
        <v>129</v>
      </c>
      <c r="G142" s="10" t="s">
        <v>286</v>
      </c>
      <c r="H142" s="20">
        <v>-15935.52</v>
      </c>
      <c r="I142" s="11" t="b">
        <f>AND(Jnl[[#This Row],[TrxId]]&lt;&gt;"",Jnl[[#This Row],[Acct]]&lt;&gt;"",Jnl[[#This Row],[Item]]&lt;&gt;"",ISNUMBER(Jnl[[#This Row],[Bal]]))</f>
        <v>1</v>
      </c>
      <c r="J142" s="9">
        <f>IF(Jnl[[#This Row],[BSLv0]]="A",1,-1)*Jnl[[#This Row],[Bal]]</f>
        <v>15935.52</v>
      </c>
      <c r="K142" t="str">
        <f>_xlfn.XLOOKUP(Jnl[[#This Row],[Acct]], config_BS[Acct], config_BS[Lv0],,0)</f>
        <v>LC</v>
      </c>
      <c r="L142" t="str">
        <f>_xlfn.XLOOKUP(Jnl[[#This Row],[Acct]], config_BS[Acct], config_BS[Lv1],,0)</f>
        <v>Liability</v>
      </c>
      <c r="M142" t="str">
        <f>_xlfn.XLOOKUP(Jnl[[#This Row],[Acct]], config_BS[Acct], config_BS[Lv2],,0)</f>
        <v>Rec-Pay</v>
      </c>
      <c r="N142" t="str">
        <f>_xlfn.XLOOKUP(Jnl[[#This Row],[TrxId]], Trx[Id], Trx[IncNode], ,0)</f>
        <v>Expense</v>
      </c>
      <c r="O142" t="str">
        <f>_xlfn.XLOOKUP(Jnl[[#This Row],[IncNode]], config_IS[Node], config_IS[Type],,0)</f>
        <v>Op</v>
      </c>
      <c r="P142" t="str">
        <f>_xlfn.XLOOKUP(Jnl[[#This Row],[BSLv2]], dict[Key], dict[Name],,0)</f>
        <v>1.应收-应付</v>
      </c>
      <c r="Q142" t="str">
        <f>_xlfn.XLOOKUP(Jnl[[#This Row],[Acct]], dict[Key], dict[Name],,0)</f>
        <v>应付-税款</v>
      </c>
      <c r="R142" t="str">
        <f>_xlfn.XLOOKUP(Jnl[[#This Row],[Vehicle]],config_vehicle[Id], config_vehicle[Name],,0)</f>
        <v>桑木</v>
      </c>
      <c r="S142" t="str">
        <f>_xlfn.XLOOKUP(Jnl[[#This Row],[Division]],config_div[Id], config_div[Name],,0)</f>
        <v>内控合规</v>
      </c>
      <c r="T142" t="str">
        <f>IF(Jnl[[#This Row],[TrxDate]]&lt;=stmt_BS_date_end, "In", "Out")</f>
        <v>In</v>
      </c>
      <c r="U142" t="str">
        <f>IF(Jnl[[#This Row],[TrxDate]]&lt;debug_date_start, "prior", IF(Jnl[[#This Row],[TrxDate]]&gt;debug_date_end, "post", "curr"))</f>
        <v>curr</v>
      </c>
    </row>
    <row r="143" spans="1:21" hidden="1">
      <c r="A143" s="10" t="s">
        <v>266</v>
      </c>
      <c r="B143" s="6">
        <f>_xlfn.XLOOKUP(Jnl[[#This Row],[TrxId]], Trx[Id], Trx[Date],,0)</f>
        <v>46053</v>
      </c>
      <c r="C143" s="6" t="str">
        <f>_xlfn.XLOOKUP(Jnl[[#This Row],[TrxId]], Trx[Id], Trx[Division],,0)</f>
        <v>Ctrl</v>
      </c>
      <c r="D143" s="6" t="str">
        <f>_xlfn.XLOOKUP(Jnl[[#This Row],[TrxId]], Trx[Id], Trx[Action],,0)</f>
        <v>支付</v>
      </c>
      <c r="E143" s="27" t="s">
        <v>87</v>
      </c>
      <c r="F143" s="10" t="s">
        <v>129</v>
      </c>
      <c r="G143" s="10" t="s">
        <v>304</v>
      </c>
      <c r="H143" s="20">
        <v>-1309.8399999999999</v>
      </c>
      <c r="I143" s="11" t="b">
        <f>AND(Jnl[[#This Row],[TrxId]]&lt;&gt;"",Jnl[[#This Row],[Acct]]&lt;&gt;"",Jnl[[#This Row],[Item]]&lt;&gt;"",ISNUMBER(Jnl[[#This Row],[Bal]]))</f>
        <v>1</v>
      </c>
      <c r="J143" s="9">
        <f>IF(Jnl[[#This Row],[BSLv0]]="A",1,-1)*Jnl[[#This Row],[Bal]]</f>
        <v>1309.8399999999999</v>
      </c>
      <c r="K143" t="str">
        <f>_xlfn.XLOOKUP(Jnl[[#This Row],[Acct]], config_BS[Acct], config_BS[Lv0],,0)</f>
        <v>LC</v>
      </c>
      <c r="L143" t="str">
        <f>_xlfn.XLOOKUP(Jnl[[#This Row],[Acct]], config_BS[Acct], config_BS[Lv1],,0)</f>
        <v>Liability</v>
      </c>
      <c r="M143" t="str">
        <f>_xlfn.XLOOKUP(Jnl[[#This Row],[Acct]], config_BS[Acct], config_BS[Lv2],,0)</f>
        <v>Rec-Pay</v>
      </c>
      <c r="N143" t="str">
        <f>_xlfn.XLOOKUP(Jnl[[#This Row],[TrxId]], Trx[Id], Trx[IncNode], ,0)</f>
        <v>Expense</v>
      </c>
      <c r="O143" t="str">
        <f>_xlfn.XLOOKUP(Jnl[[#This Row],[IncNode]], config_IS[Node], config_IS[Type],,0)</f>
        <v>Op</v>
      </c>
      <c r="P143" t="str">
        <f>_xlfn.XLOOKUP(Jnl[[#This Row],[BSLv2]], dict[Key], dict[Name],,0)</f>
        <v>1.应收-应付</v>
      </c>
      <c r="Q143" t="str">
        <f>_xlfn.XLOOKUP(Jnl[[#This Row],[Acct]], dict[Key], dict[Name],,0)</f>
        <v>应付-税款</v>
      </c>
      <c r="R143" t="str">
        <f>_xlfn.XLOOKUP(Jnl[[#This Row],[Vehicle]],config_vehicle[Id], config_vehicle[Name],,0)</f>
        <v>桑木</v>
      </c>
      <c r="S143" t="str">
        <f>_xlfn.XLOOKUP(Jnl[[#This Row],[Division]],config_div[Id], config_div[Name],,0)</f>
        <v>内控合规</v>
      </c>
      <c r="T143" t="str">
        <f>IF(Jnl[[#This Row],[TrxDate]]&lt;=stmt_BS_date_end, "In", "Out")</f>
        <v>In</v>
      </c>
      <c r="U143" t="str">
        <f>IF(Jnl[[#This Row],[TrxDate]]&lt;debug_date_start, "prior", IF(Jnl[[#This Row],[TrxDate]]&gt;debug_date_end, "post", "curr"))</f>
        <v>curr</v>
      </c>
    </row>
    <row r="144" spans="1:21" hidden="1">
      <c r="A144" s="10" t="s">
        <v>266</v>
      </c>
      <c r="B144" s="6">
        <f>_xlfn.XLOOKUP(Jnl[[#This Row],[TrxId]], Trx[Id], Trx[Date],,0)</f>
        <v>46053</v>
      </c>
      <c r="C144" s="6" t="str">
        <f>_xlfn.XLOOKUP(Jnl[[#This Row],[TrxId]], Trx[Id], Trx[Division],,0)</f>
        <v>Ctrl</v>
      </c>
      <c r="D144" s="6" t="str">
        <f>_xlfn.XLOOKUP(Jnl[[#This Row],[TrxId]], Trx[Id], Trx[Action],,0)</f>
        <v>支付</v>
      </c>
      <c r="E144" s="27" t="s">
        <v>87</v>
      </c>
      <c r="F144" s="10" t="s">
        <v>129</v>
      </c>
      <c r="G144" s="10" t="s">
        <v>302</v>
      </c>
      <c r="H144" s="20">
        <v>-20527.259999999998</v>
      </c>
      <c r="I144" s="11" t="b">
        <f>AND(Jnl[[#This Row],[TrxId]]&lt;&gt;"",Jnl[[#This Row],[Acct]]&lt;&gt;"",Jnl[[#This Row],[Item]]&lt;&gt;"",ISNUMBER(Jnl[[#This Row],[Bal]]))</f>
        <v>1</v>
      </c>
      <c r="J144" s="9">
        <f>IF(Jnl[[#This Row],[BSLv0]]="A",1,-1)*Jnl[[#This Row],[Bal]]</f>
        <v>20527.259999999998</v>
      </c>
      <c r="K144" t="str">
        <f>_xlfn.XLOOKUP(Jnl[[#This Row],[Acct]], config_BS[Acct], config_BS[Lv0],,0)</f>
        <v>LC</v>
      </c>
      <c r="L144" t="str">
        <f>_xlfn.XLOOKUP(Jnl[[#This Row],[Acct]], config_BS[Acct], config_BS[Lv1],,0)</f>
        <v>Liability</v>
      </c>
      <c r="M144" t="str">
        <f>_xlfn.XLOOKUP(Jnl[[#This Row],[Acct]], config_BS[Acct], config_BS[Lv2],,0)</f>
        <v>Rec-Pay</v>
      </c>
      <c r="N144" t="str">
        <f>_xlfn.XLOOKUP(Jnl[[#This Row],[TrxId]], Trx[Id], Trx[IncNode], ,0)</f>
        <v>Expense</v>
      </c>
      <c r="O144" t="str">
        <f>_xlfn.XLOOKUP(Jnl[[#This Row],[IncNode]], config_IS[Node], config_IS[Type],,0)</f>
        <v>Op</v>
      </c>
      <c r="P144" t="str">
        <f>_xlfn.XLOOKUP(Jnl[[#This Row],[BSLv2]], dict[Key], dict[Name],,0)</f>
        <v>1.应收-应付</v>
      </c>
      <c r="Q144" t="str">
        <f>_xlfn.XLOOKUP(Jnl[[#This Row],[Acct]], dict[Key], dict[Name],,0)</f>
        <v>应付-税款</v>
      </c>
      <c r="R144" t="str">
        <f>_xlfn.XLOOKUP(Jnl[[#This Row],[Vehicle]],config_vehicle[Id], config_vehicle[Name],,0)</f>
        <v>桑木</v>
      </c>
      <c r="S144" t="str">
        <f>_xlfn.XLOOKUP(Jnl[[#This Row],[Division]],config_div[Id], config_div[Name],,0)</f>
        <v>内控合规</v>
      </c>
      <c r="T144" t="str">
        <f>IF(Jnl[[#This Row],[TrxDate]]&lt;=stmt_BS_date_end, "In", "Out")</f>
        <v>In</v>
      </c>
      <c r="U144" t="str">
        <f>IF(Jnl[[#This Row],[TrxDate]]&lt;debug_date_start, "prior", IF(Jnl[[#This Row],[TrxDate]]&gt;debug_date_end, "post", "curr"))</f>
        <v>curr</v>
      </c>
    </row>
    <row r="145" spans="1:21" hidden="1">
      <c r="A145" s="10" t="s">
        <v>266</v>
      </c>
      <c r="B145" s="6">
        <f>_xlfn.XLOOKUP(Jnl[[#This Row],[TrxId]], Trx[Id], Trx[Date],,0)</f>
        <v>46053</v>
      </c>
      <c r="C145" s="6" t="str">
        <f>_xlfn.XLOOKUP(Jnl[[#This Row],[TrxId]], Trx[Id], Trx[Division],,0)</f>
        <v>Ctrl</v>
      </c>
      <c r="D145" s="6" t="str">
        <f>_xlfn.XLOOKUP(Jnl[[#This Row],[TrxId]], Trx[Id], Trx[Action],,0)</f>
        <v>支付</v>
      </c>
      <c r="E145" s="27" t="s">
        <v>87</v>
      </c>
      <c r="F145" s="10" t="s">
        <v>12</v>
      </c>
      <c r="G145" s="10" t="s">
        <v>92</v>
      </c>
      <c r="H145" s="20">
        <v>-37772.620000000003</v>
      </c>
      <c r="I145" s="11" t="b">
        <f>AND(Jnl[[#This Row],[TrxId]]&lt;&gt;"",Jnl[[#This Row],[Acct]]&lt;&gt;"",Jnl[[#This Row],[Item]]&lt;&gt;"",ISNUMBER(Jnl[[#This Row],[Bal]]))</f>
        <v>1</v>
      </c>
      <c r="J145" s="9">
        <f>IF(Jnl[[#This Row],[BSLv0]]="A",1,-1)*Jnl[[#This Row],[Bal]]</f>
        <v>-37772.620000000003</v>
      </c>
      <c r="K145" t="str">
        <f>_xlfn.XLOOKUP(Jnl[[#This Row],[Acct]], config_BS[Acct], config_BS[Lv0],,0)</f>
        <v>A</v>
      </c>
      <c r="L145" t="str">
        <f>_xlfn.XLOOKUP(Jnl[[#This Row],[Acct]], config_BS[Acct], config_BS[Lv1],,0)</f>
        <v>Assets</v>
      </c>
      <c r="M145" t="str">
        <f>_xlfn.XLOOKUP(Jnl[[#This Row],[Acct]], config_BS[Acct], config_BS[Lv2],,0)</f>
        <v>Cash alike</v>
      </c>
      <c r="N145" t="str">
        <f>_xlfn.XLOOKUP(Jnl[[#This Row],[TrxId]], Trx[Id], Trx[IncNode], ,0)</f>
        <v>Expense</v>
      </c>
      <c r="O145" t="str">
        <f>_xlfn.XLOOKUP(Jnl[[#This Row],[IncNode]], config_IS[Node], config_IS[Type],,0)</f>
        <v>Op</v>
      </c>
      <c r="P145" t="str">
        <f>_xlfn.XLOOKUP(Jnl[[#This Row],[BSLv2]], dict[Key], dict[Name],,0)</f>
        <v>0.现金及类似</v>
      </c>
      <c r="Q145" t="str">
        <f>_xlfn.XLOOKUP(Jnl[[#This Row],[Acct]], dict[Key], dict[Name],,0)</f>
        <v>银行</v>
      </c>
      <c r="R145" t="str">
        <f>_xlfn.XLOOKUP(Jnl[[#This Row],[Vehicle]],config_vehicle[Id], config_vehicle[Name],,0)</f>
        <v>桑木</v>
      </c>
      <c r="S145" t="str">
        <f>_xlfn.XLOOKUP(Jnl[[#This Row],[Division]],config_div[Id], config_div[Name],,0)</f>
        <v>内控合规</v>
      </c>
      <c r="T145" t="str">
        <f>IF(Jnl[[#This Row],[TrxDate]]&lt;=stmt_BS_date_end, "In", "Out")</f>
        <v>In</v>
      </c>
      <c r="U145" t="str">
        <f>IF(Jnl[[#This Row],[TrxDate]]&lt;debug_date_start, "prior", IF(Jnl[[#This Row],[TrxDate]]&gt;debug_date_end, "post", "curr"))</f>
        <v>curr</v>
      </c>
    </row>
    <row r="146" spans="1:21" hidden="1">
      <c r="A146" s="10" t="s">
        <v>267</v>
      </c>
      <c r="B146" s="6">
        <f>_xlfn.XLOOKUP(Jnl[[#This Row],[TrxId]], Trx[Id], Trx[Date],,0)</f>
        <v>46053</v>
      </c>
      <c r="C146" s="6" t="str">
        <f>_xlfn.XLOOKUP(Jnl[[#This Row],[TrxId]], Trx[Id], Trx[Division],,0)</f>
        <v>Online</v>
      </c>
      <c r="D146" s="6" t="str">
        <f>_xlfn.XLOOKUP(Jnl[[#This Row],[TrxId]], Trx[Id], Trx[Action],,0)</f>
        <v>订购</v>
      </c>
      <c r="E146" s="27" t="s">
        <v>87</v>
      </c>
      <c r="F146" s="10" t="s">
        <v>117</v>
      </c>
      <c r="G146" s="10" t="s">
        <v>146</v>
      </c>
      <c r="H146" s="20">
        <v>36301.5</v>
      </c>
      <c r="I146" s="11" t="b">
        <f>AND(Jnl[[#This Row],[TrxId]]&lt;&gt;"",Jnl[[#This Row],[Acct]]&lt;&gt;"",Jnl[[#This Row],[Item]]&lt;&gt;"",ISNUMBER(Jnl[[#This Row],[Bal]]))</f>
        <v>1</v>
      </c>
      <c r="J146" s="9">
        <f>IF(Jnl[[#This Row],[BSLv0]]="A",1,-1)*Jnl[[#This Row],[Bal]]</f>
        <v>36301.5</v>
      </c>
      <c r="K146" t="str">
        <f>_xlfn.XLOOKUP(Jnl[[#This Row],[Acct]], config_BS[Acct], config_BS[Lv0],,0)</f>
        <v>A</v>
      </c>
      <c r="L146" t="str">
        <f>_xlfn.XLOOKUP(Jnl[[#This Row],[Acct]], config_BS[Acct], config_BS[Lv1],,0)</f>
        <v>Assets</v>
      </c>
      <c r="M146" t="str">
        <f>_xlfn.XLOOKUP(Jnl[[#This Row],[Acct]], config_BS[Acct], config_BS[Lv2],,0)</f>
        <v>Prep-Sub</v>
      </c>
      <c r="N146" t="str">
        <f>_xlfn.XLOOKUP(Jnl[[#This Row],[TrxId]], Trx[Id], Trx[IncNode], ,0)</f>
        <v>Cost</v>
      </c>
      <c r="O146" t="str">
        <f>_xlfn.XLOOKUP(Jnl[[#This Row],[IncNode]], config_IS[Node], config_IS[Type],,0)</f>
        <v>Op</v>
      </c>
      <c r="P146" t="str">
        <f>_xlfn.XLOOKUP(Jnl[[#This Row],[BSLv2]], dict[Key], dict[Name],,0)</f>
        <v>2.预付-订阅</v>
      </c>
      <c r="Q146" t="str">
        <f>_xlfn.XLOOKUP(Jnl[[#This Row],[Acct]], dict[Key], dict[Name],,0)</f>
        <v>预付订单</v>
      </c>
      <c r="R146" t="str">
        <f>_xlfn.XLOOKUP(Jnl[[#This Row],[Vehicle]],config_vehicle[Id], config_vehicle[Name],,0)</f>
        <v>桑木</v>
      </c>
      <c r="S146" t="str">
        <f>_xlfn.XLOOKUP(Jnl[[#This Row],[Division]],config_div[Id], config_div[Name],,0)</f>
        <v>网店</v>
      </c>
      <c r="T146" t="str">
        <f>IF(Jnl[[#This Row],[TrxDate]]&lt;=stmt_BS_date_end, "In", "Out")</f>
        <v>In</v>
      </c>
      <c r="U146" t="str">
        <f>IF(Jnl[[#This Row],[TrxDate]]&lt;debug_date_start, "prior", IF(Jnl[[#This Row],[TrxDate]]&gt;debug_date_end, "post", "curr"))</f>
        <v>curr</v>
      </c>
    </row>
    <row r="147" spans="1:21" hidden="1">
      <c r="A147" s="10" t="s">
        <v>267</v>
      </c>
      <c r="B147" s="6">
        <f>_xlfn.XLOOKUP(Jnl[[#This Row],[TrxId]], Trx[Id], Trx[Date],,0)</f>
        <v>46053</v>
      </c>
      <c r="C147" s="6" t="str">
        <f>_xlfn.XLOOKUP(Jnl[[#This Row],[TrxId]], Trx[Id], Trx[Division],,0)</f>
        <v>Online</v>
      </c>
      <c r="D147" s="6" t="str">
        <f>_xlfn.XLOOKUP(Jnl[[#This Row],[TrxId]], Trx[Id], Trx[Action],,0)</f>
        <v>订购</v>
      </c>
      <c r="E147" s="27" t="s">
        <v>87</v>
      </c>
      <c r="F147" s="10" t="s">
        <v>12</v>
      </c>
      <c r="G147" s="10" t="s">
        <v>92</v>
      </c>
      <c r="H147" s="20">
        <v>-36301.5</v>
      </c>
      <c r="I147" s="11" t="b">
        <f>AND(Jnl[[#This Row],[TrxId]]&lt;&gt;"",Jnl[[#This Row],[Acct]]&lt;&gt;"",Jnl[[#This Row],[Item]]&lt;&gt;"",ISNUMBER(Jnl[[#This Row],[Bal]]))</f>
        <v>1</v>
      </c>
      <c r="J147" s="9">
        <f>IF(Jnl[[#This Row],[BSLv0]]="A",1,-1)*Jnl[[#This Row],[Bal]]</f>
        <v>-36301.5</v>
      </c>
      <c r="K147" t="str">
        <f>_xlfn.XLOOKUP(Jnl[[#This Row],[Acct]], config_BS[Acct], config_BS[Lv0],,0)</f>
        <v>A</v>
      </c>
      <c r="L147" t="str">
        <f>_xlfn.XLOOKUP(Jnl[[#This Row],[Acct]], config_BS[Acct], config_BS[Lv1],,0)</f>
        <v>Assets</v>
      </c>
      <c r="M147" t="str">
        <f>_xlfn.XLOOKUP(Jnl[[#This Row],[Acct]], config_BS[Acct], config_BS[Lv2],,0)</f>
        <v>Cash alike</v>
      </c>
      <c r="N147" t="str">
        <f>_xlfn.XLOOKUP(Jnl[[#This Row],[TrxId]], Trx[Id], Trx[IncNode], ,0)</f>
        <v>Cost</v>
      </c>
      <c r="O147" t="str">
        <f>_xlfn.XLOOKUP(Jnl[[#This Row],[IncNode]], config_IS[Node], config_IS[Type],,0)</f>
        <v>Op</v>
      </c>
      <c r="P147" t="str">
        <f>_xlfn.XLOOKUP(Jnl[[#This Row],[BSLv2]], dict[Key], dict[Name],,0)</f>
        <v>0.现金及类似</v>
      </c>
      <c r="Q147" t="str">
        <f>_xlfn.XLOOKUP(Jnl[[#This Row],[Acct]], dict[Key], dict[Name],,0)</f>
        <v>银行</v>
      </c>
      <c r="R147" t="str">
        <f>_xlfn.XLOOKUP(Jnl[[#This Row],[Vehicle]],config_vehicle[Id], config_vehicle[Name],,0)</f>
        <v>桑木</v>
      </c>
      <c r="S147" t="str">
        <f>_xlfn.XLOOKUP(Jnl[[#This Row],[Division]],config_div[Id], config_div[Name],,0)</f>
        <v>网店</v>
      </c>
      <c r="T147" t="str">
        <f>IF(Jnl[[#This Row],[TrxDate]]&lt;=stmt_BS_date_end, "In", "Out")</f>
        <v>In</v>
      </c>
      <c r="U147" t="str">
        <f>IF(Jnl[[#This Row],[TrxDate]]&lt;debug_date_start, "prior", IF(Jnl[[#This Row],[TrxDate]]&gt;debug_date_end, "post", "curr"))</f>
        <v>curr</v>
      </c>
    </row>
    <row r="148" spans="1:21" hidden="1">
      <c r="A148" s="10" t="s">
        <v>268</v>
      </c>
      <c r="B148" s="6">
        <f>_xlfn.XLOOKUP(Jnl[[#This Row],[TrxId]], Trx[Id], Trx[Date],,0)</f>
        <v>46053</v>
      </c>
      <c r="C148" s="6" t="str">
        <f>_xlfn.XLOOKUP(Jnl[[#This Row],[TrxId]], Trx[Id], Trx[Division],,0)</f>
        <v>Online</v>
      </c>
      <c r="D148" s="6" t="str">
        <f>_xlfn.XLOOKUP(Jnl[[#This Row],[TrxId]], Trx[Id], Trx[Action],,0)</f>
        <v>入库</v>
      </c>
      <c r="E148" s="27" t="s">
        <v>82</v>
      </c>
      <c r="F148" s="10" t="s">
        <v>118</v>
      </c>
      <c r="G148" s="10" t="s">
        <v>153</v>
      </c>
      <c r="H148" s="20">
        <v>48363</v>
      </c>
      <c r="I148" s="11" t="b">
        <f>AND(Jnl[[#This Row],[TrxId]]&lt;&gt;"",Jnl[[#This Row],[Acct]]&lt;&gt;"",Jnl[[#This Row],[Item]]&lt;&gt;"",ISNUMBER(Jnl[[#This Row],[Bal]]))</f>
        <v>1</v>
      </c>
      <c r="J148" s="9">
        <f>IF(Jnl[[#This Row],[BSLv0]]="A",1,-1)*Jnl[[#This Row],[Bal]]</f>
        <v>48363</v>
      </c>
      <c r="K148" t="str">
        <f>_xlfn.XLOOKUP(Jnl[[#This Row],[Acct]], config_BS[Acct], config_BS[Lv0],,0)</f>
        <v>A</v>
      </c>
      <c r="L148" t="str">
        <f>_xlfn.XLOOKUP(Jnl[[#This Row],[Acct]], config_BS[Acct], config_BS[Lv1],,0)</f>
        <v>Assets</v>
      </c>
      <c r="M148" t="str">
        <f>_xlfn.XLOOKUP(Jnl[[#This Row],[Acct]], config_BS[Acct], config_BS[Lv2],,0)</f>
        <v>Invtr</v>
      </c>
      <c r="N148" t="str">
        <f>_xlfn.XLOOKUP(Jnl[[#This Row],[TrxId]], Trx[Id], Trx[IncNode], ,0)</f>
        <v>Cost</v>
      </c>
      <c r="O148" t="str">
        <f>_xlfn.XLOOKUP(Jnl[[#This Row],[IncNode]], config_IS[Node], config_IS[Type],,0)</f>
        <v>Op</v>
      </c>
      <c r="P148" t="str">
        <f>_xlfn.XLOOKUP(Jnl[[#This Row],[BSLv2]], dict[Key], dict[Name],,0)</f>
        <v>3.库存占款</v>
      </c>
      <c r="Q148" t="str">
        <f>_xlfn.XLOOKUP(Jnl[[#This Row],[Acct]], dict[Key], dict[Name],,0)</f>
        <v>当期存货</v>
      </c>
      <c r="R148" t="str">
        <f>_xlfn.XLOOKUP(Jnl[[#This Row],[Vehicle]],config_vehicle[Id], config_vehicle[Name],,0)</f>
        <v>远家花园</v>
      </c>
      <c r="S148" t="str">
        <f>_xlfn.XLOOKUP(Jnl[[#This Row],[Division]],config_div[Id], config_div[Name],,0)</f>
        <v>网店</v>
      </c>
      <c r="T148" t="str">
        <f>IF(Jnl[[#This Row],[TrxDate]]&lt;=stmt_BS_date_end, "In", "Out")</f>
        <v>In</v>
      </c>
      <c r="U148" t="str">
        <f>IF(Jnl[[#This Row],[TrxDate]]&lt;debug_date_start, "prior", IF(Jnl[[#This Row],[TrxDate]]&gt;debug_date_end, "post", "curr"))</f>
        <v>curr</v>
      </c>
    </row>
    <row r="149" spans="1:21" hidden="1">
      <c r="A149" s="10" t="s">
        <v>268</v>
      </c>
      <c r="B149" s="6">
        <f>_xlfn.XLOOKUP(Jnl[[#This Row],[TrxId]], Trx[Id], Trx[Date],,0)</f>
        <v>46053</v>
      </c>
      <c r="C149" s="6" t="str">
        <f>_xlfn.XLOOKUP(Jnl[[#This Row],[TrxId]], Trx[Id], Trx[Division],,0)</f>
        <v>Online</v>
      </c>
      <c r="D149" s="6" t="str">
        <f>_xlfn.XLOOKUP(Jnl[[#This Row],[TrxId]], Trx[Id], Trx[Action],,0)</f>
        <v>入库</v>
      </c>
      <c r="E149" s="27" t="s">
        <v>87</v>
      </c>
      <c r="F149" s="10" t="s">
        <v>117</v>
      </c>
      <c r="G149" s="10" t="s">
        <v>146</v>
      </c>
      <c r="H149" s="20">
        <v>-48363</v>
      </c>
      <c r="I149" s="11" t="b">
        <f>AND(Jnl[[#This Row],[TrxId]]&lt;&gt;"",Jnl[[#This Row],[Acct]]&lt;&gt;"",Jnl[[#This Row],[Item]]&lt;&gt;"",ISNUMBER(Jnl[[#This Row],[Bal]]))</f>
        <v>1</v>
      </c>
      <c r="J149" s="9">
        <f>IF(Jnl[[#This Row],[BSLv0]]="A",1,-1)*Jnl[[#This Row],[Bal]]</f>
        <v>-48363</v>
      </c>
      <c r="K149" t="str">
        <f>_xlfn.XLOOKUP(Jnl[[#This Row],[Acct]], config_BS[Acct], config_BS[Lv0],,0)</f>
        <v>A</v>
      </c>
      <c r="L149" t="str">
        <f>_xlfn.XLOOKUP(Jnl[[#This Row],[Acct]], config_BS[Acct], config_BS[Lv1],,0)</f>
        <v>Assets</v>
      </c>
      <c r="M149" t="str">
        <f>_xlfn.XLOOKUP(Jnl[[#This Row],[Acct]], config_BS[Acct], config_BS[Lv2],,0)</f>
        <v>Prep-Sub</v>
      </c>
      <c r="N149" t="str">
        <f>_xlfn.XLOOKUP(Jnl[[#This Row],[TrxId]], Trx[Id], Trx[IncNode], ,0)</f>
        <v>Cost</v>
      </c>
      <c r="O149" t="str">
        <f>_xlfn.XLOOKUP(Jnl[[#This Row],[IncNode]], config_IS[Node], config_IS[Type],,0)</f>
        <v>Op</v>
      </c>
      <c r="P149" t="str">
        <f>_xlfn.XLOOKUP(Jnl[[#This Row],[BSLv2]], dict[Key], dict[Name],,0)</f>
        <v>2.预付-订阅</v>
      </c>
      <c r="Q149" t="str">
        <f>_xlfn.XLOOKUP(Jnl[[#This Row],[Acct]], dict[Key], dict[Name],,0)</f>
        <v>预付订单</v>
      </c>
      <c r="R149" t="str">
        <f>_xlfn.XLOOKUP(Jnl[[#This Row],[Vehicle]],config_vehicle[Id], config_vehicle[Name],,0)</f>
        <v>桑木</v>
      </c>
      <c r="S149" t="str">
        <f>_xlfn.XLOOKUP(Jnl[[#This Row],[Division]],config_div[Id], config_div[Name],,0)</f>
        <v>网店</v>
      </c>
      <c r="T149" t="str">
        <f>IF(Jnl[[#This Row],[TrxDate]]&lt;=stmt_BS_date_end, "In", "Out")</f>
        <v>In</v>
      </c>
      <c r="U149" t="str">
        <f>IF(Jnl[[#This Row],[TrxDate]]&lt;debug_date_start, "prior", IF(Jnl[[#This Row],[TrxDate]]&gt;debug_date_end, "post", "curr"))</f>
        <v>curr</v>
      </c>
    </row>
    <row r="150" spans="1:21" hidden="1">
      <c r="A150" s="10" t="s">
        <v>269</v>
      </c>
      <c r="B150" s="6">
        <f>_xlfn.XLOOKUP(Jnl[[#This Row],[TrxId]], Trx[Id], Trx[Date],,0)</f>
        <v>46053</v>
      </c>
      <c r="C150" s="6" t="str">
        <f>_xlfn.XLOOKUP(Jnl[[#This Row],[TrxId]], Trx[Id], Trx[Division],,0)</f>
        <v>Online</v>
      </c>
      <c r="D150" s="6" t="str">
        <f>_xlfn.XLOOKUP(Jnl[[#This Row],[TrxId]], Trx[Id], Trx[Action],,0)</f>
        <v>订购</v>
      </c>
      <c r="E150" s="27" t="s">
        <v>87</v>
      </c>
      <c r="F150" s="10" t="s">
        <v>117</v>
      </c>
      <c r="G150" s="10" t="s">
        <v>146</v>
      </c>
      <c r="H150" s="20">
        <v>82225</v>
      </c>
      <c r="I150" s="11" t="b">
        <f>AND(Jnl[[#This Row],[TrxId]]&lt;&gt;"",Jnl[[#This Row],[Acct]]&lt;&gt;"",Jnl[[#This Row],[Item]]&lt;&gt;"",ISNUMBER(Jnl[[#This Row],[Bal]]))</f>
        <v>1</v>
      </c>
      <c r="J150" s="9">
        <f>IF(Jnl[[#This Row],[BSLv0]]="A",1,-1)*Jnl[[#This Row],[Bal]]</f>
        <v>82225</v>
      </c>
      <c r="K150" t="str">
        <f>_xlfn.XLOOKUP(Jnl[[#This Row],[Acct]], config_BS[Acct], config_BS[Lv0],,0)</f>
        <v>A</v>
      </c>
      <c r="L150" t="str">
        <f>_xlfn.XLOOKUP(Jnl[[#This Row],[Acct]], config_BS[Acct], config_BS[Lv1],,0)</f>
        <v>Assets</v>
      </c>
      <c r="M150" t="str">
        <f>_xlfn.XLOOKUP(Jnl[[#This Row],[Acct]], config_BS[Acct], config_BS[Lv2],,0)</f>
        <v>Prep-Sub</v>
      </c>
      <c r="N150" t="str">
        <f>_xlfn.XLOOKUP(Jnl[[#This Row],[TrxId]], Trx[Id], Trx[IncNode], ,0)</f>
        <v>Cost</v>
      </c>
      <c r="O150" t="str">
        <f>_xlfn.XLOOKUP(Jnl[[#This Row],[IncNode]], config_IS[Node], config_IS[Type],,0)</f>
        <v>Op</v>
      </c>
      <c r="P150" t="str">
        <f>_xlfn.XLOOKUP(Jnl[[#This Row],[BSLv2]], dict[Key], dict[Name],,0)</f>
        <v>2.预付-订阅</v>
      </c>
      <c r="Q150" t="str">
        <f>_xlfn.XLOOKUP(Jnl[[#This Row],[Acct]], dict[Key], dict[Name],,0)</f>
        <v>预付订单</v>
      </c>
      <c r="R150" t="str">
        <f>_xlfn.XLOOKUP(Jnl[[#This Row],[Vehicle]],config_vehicle[Id], config_vehicle[Name],,0)</f>
        <v>桑木</v>
      </c>
      <c r="S150" t="str">
        <f>_xlfn.XLOOKUP(Jnl[[#This Row],[Division]],config_div[Id], config_div[Name],,0)</f>
        <v>网店</v>
      </c>
      <c r="T150" t="str">
        <f>IF(Jnl[[#This Row],[TrxDate]]&lt;=stmt_BS_date_end, "In", "Out")</f>
        <v>In</v>
      </c>
      <c r="U150" t="str">
        <f>IF(Jnl[[#This Row],[TrxDate]]&lt;debug_date_start, "prior", IF(Jnl[[#This Row],[TrxDate]]&gt;debug_date_end, "post", "curr"))</f>
        <v>curr</v>
      </c>
    </row>
    <row r="151" spans="1:21" hidden="1">
      <c r="A151" s="10" t="s">
        <v>269</v>
      </c>
      <c r="B151" s="6">
        <f>_xlfn.XLOOKUP(Jnl[[#This Row],[TrxId]], Trx[Id], Trx[Date],,0)</f>
        <v>46053</v>
      </c>
      <c r="C151" s="6" t="str">
        <f>_xlfn.XLOOKUP(Jnl[[#This Row],[TrxId]], Trx[Id], Trx[Division],,0)</f>
        <v>Online</v>
      </c>
      <c r="D151" s="6" t="str">
        <f>_xlfn.XLOOKUP(Jnl[[#This Row],[TrxId]], Trx[Id], Trx[Action],,0)</f>
        <v>订购</v>
      </c>
      <c r="E151" s="27" t="s">
        <v>87</v>
      </c>
      <c r="F151" s="10" t="s">
        <v>12</v>
      </c>
      <c r="G151" s="10" t="s">
        <v>92</v>
      </c>
      <c r="H151" s="20">
        <v>-82225</v>
      </c>
      <c r="I151" s="11" t="b">
        <f>AND(Jnl[[#This Row],[TrxId]]&lt;&gt;"",Jnl[[#This Row],[Acct]]&lt;&gt;"",Jnl[[#This Row],[Item]]&lt;&gt;"",ISNUMBER(Jnl[[#This Row],[Bal]]))</f>
        <v>1</v>
      </c>
      <c r="J151" s="9">
        <f>IF(Jnl[[#This Row],[BSLv0]]="A",1,-1)*Jnl[[#This Row],[Bal]]</f>
        <v>-82225</v>
      </c>
      <c r="K151" t="str">
        <f>_xlfn.XLOOKUP(Jnl[[#This Row],[Acct]], config_BS[Acct], config_BS[Lv0],,0)</f>
        <v>A</v>
      </c>
      <c r="L151" t="str">
        <f>_xlfn.XLOOKUP(Jnl[[#This Row],[Acct]], config_BS[Acct], config_BS[Lv1],,0)</f>
        <v>Assets</v>
      </c>
      <c r="M151" t="str">
        <f>_xlfn.XLOOKUP(Jnl[[#This Row],[Acct]], config_BS[Acct], config_BS[Lv2],,0)</f>
        <v>Cash alike</v>
      </c>
      <c r="N151" t="str">
        <f>_xlfn.XLOOKUP(Jnl[[#This Row],[TrxId]], Trx[Id], Trx[IncNode], ,0)</f>
        <v>Cost</v>
      </c>
      <c r="O151" t="str">
        <f>_xlfn.XLOOKUP(Jnl[[#This Row],[IncNode]], config_IS[Node], config_IS[Type],,0)</f>
        <v>Op</v>
      </c>
      <c r="P151" t="str">
        <f>_xlfn.XLOOKUP(Jnl[[#This Row],[BSLv2]], dict[Key], dict[Name],,0)</f>
        <v>0.现金及类似</v>
      </c>
      <c r="Q151" t="str">
        <f>_xlfn.XLOOKUP(Jnl[[#This Row],[Acct]], dict[Key], dict[Name],,0)</f>
        <v>银行</v>
      </c>
      <c r="R151" t="str">
        <f>_xlfn.XLOOKUP(Jnl[[#This Row],[Vehicle]],config_vehicle[Id], config_vehicle[Name],,0)</f>
        <v>桑木</v>
      </c>
      <c r="S151" t="str">
        <f>_xlfn.XLOOKUP(Jnl[[#This Row],[Division]],config_div[Id], config_div[Name],,0)</f>
        <v>网店</v>
      </c>
      <c r="T151" t="str">
        <f>IF(Jnl[[#This Row],[TrxDate]]&lt;=stmt_BS_date_end, "In", "Out")</f>
        <v>In</v>
      </c>
      <c r="U151" t="str">
        <f>IF(Jnl[[#This Row],[TrxDate]]&lt;debug_date_start, "prior", IF(Jnl[[#This Row],[TrxDate]]&gt;debug_date_end, "post", "curr"))</f>
        <v>curr</v>
      </c>
    </row>
    <row r="152" spans="1:21" hidden="1">
      <c r="A152" s="10" t="s">
        <v>270</v>
      </c>
      <c r="B152" s="6">
        <f>_xlfn.XLOOKUP(Jnl[[#This Row],[TrxId]], Trx[Id], Trx[Date],,0)</f>
        <v>46053</v>
      </c>
      <c r="C152" s="6" t="str">
        <f>_xlfn.XLOOKUP(Jnl[[#This Row],[TrxId]], Trx[Id], Trx[Division],,0)</f>
        <v>Online</v>
      </c>
      <c r="D152" s="6" t="str">
        <f>_xlfn.XLOOKUP(Jnl[[#This Row],[TrxId]], Trx[Id], Trx[Action],,0)</f>
        <v>入库</v>
      </c>
      <c r="E152" s="27" t="s">
        <v>82</v>
      </c>
      <c r="F152" s="10" t="s">
        <v>118</v>
      </c>
      <c r="G152" s="10" t="s">
        <v>153</v>
      </c>
      <c r="H152" s="20">
        <v>82225</v>
      </c>
      <c r="I152" s="11" t="b">
        <f>AND(Jnl[[#This Row],[TrxId]]&lt;&gt;"",Jnl[[#This Row],[Acct]]&lt;&gt;"",Jnl[[#This Row],[Item]]&lt;&gt;"",ISNUMBER(Jnl[[#This Row],[Bal]]))</f>
        <v>1</v>
      </c>
      <c r="J152" s="9">
        <f>IF(Jnl[[#This Row],[BSLv0]]="A",1,-1)*Jnl[[#This Row],[Bal]]</f>
        <v>82225</v>
      </c>
      <c r="K152" t="str">
        <f>_xlfn.XLOOKUP(Jnl[[#This Row],[Acct]], config_BS[Acct], config_BS[Lv0],,0)</f>
        <v>A</v>
      </c>
      <c r="L152" t="str">
        <f>_xlfn.XLOOKUP(Jnl[[#This Row],[Acct]], config_BS[Acct], config_BS[Lv1],,0)</f>
        <v>Assets</v>
      </c>
      <c r="M152" t="str">
        <f>_xlfn.XLOOKUP(Jnl[[#This Row],[Acct]], config_BS[Acct], config_BS[Lv2],,0)</f>
        <v>Invtr</v>
      </c>
      <c r="N152" t="str">
        <f>_xlfn.XLOOKUP(Jnl[[#This Row],[TrxId]], Trx[Id], Trx[IncNode], ,0)</f>
        <v>Cost</v>
      </c>
      <c r="O152" t="str">
        <f>_xlfn.XLOOKUP(Jnl[[#This Row],[IncNode]], config_IS[Node], config_IS[Type],,0)</f>
        <v>Op</v>
      </c>
      <c r="P152" t="str">
        <f>_xlfn.XLOOKUP(Jnl[[#This Row],[BSLv2]], dict[Key], dict[Name],,0)</f>
        <v>3.库存占款</v>
      </c>
      <c r="Q152" t="str">
        <f>_xlfn.XLOOKUP(Jnl[[#This Row],[Acct]], dict[Key], dict[Name],,0)</f>
        <v>当期存货</v>
      </c>
      <c r="R152" t="str">
        <f>_xlfn.XLOOKUP(Jnl[[#This Row],[Vehicle]],config_vehicle[Id], config_vehicle[Name],,0)</f>
        <v>远家花园</v>
      </c>
      <c r="S152" t="str">
        <f>_xlfn.XLOOKUP(Jnl[[#This Row],[Division]],config_div[Id], config_div[Name],,0)</f>
        <v>网店</v>
      </c>
      <c r="T152" t="str">
        <f>IF(Jnl[[#This Row],[TrxDate]]&lt;=stmt_BS_date_end, "In", "Out")</f>
        <v>In</v>
      </c>
      <c r="U152" t="str">
        <f>IF(Jnl[[#This Row],[TrxDate]]&lt;debug_date_start, "prior", IF(Jnl[[#This Row],[TrxDate]]&gt;debug_date_end, "post", "curr"))</f>
        <v>curr</v>
      </c>
    </row>
    <row r="153" spans="1:21" hidden="1">
      <c r="A153" s="10" t="s">
        <v>270</v>
      </c>
      <c r="B153" s="6">
        <f>_xlfn.XLOOKUP(Jnl[[#This Row],[TrxId]], Trx[Id], Trx[Date],,0)</f>
        <v>46053</v>
      </c>
      <c r="C153" s="6" t="str">
        <f>_xlfn.XLOOKUP(Jnl[[#This Row],[TrxId]], Trx[Id], Trx[Division],,0)</f>
        <v>Online</v>
      </c>
      <c r="D153" s="6" t="str">
        <f>_xlfn.XLOOKUP(Jnl[[#This Row],[TrxId]], Trx[Id], Trx[Action],,0)</f>
        <v>入库</v>
      </c>
      <c r="E153" s="27" t="s">
        <v>87</v>
      </c>
      <c r="F153" s="10" t="s">
        <v>117</v>
      </c>
      <c r="G153" s="10" t="s">
        <v>146</v>
      </c>
      <c r="H153" s="20">
        <v>-82225</v>
      </c>
      <c r="I153" s="11" t="b">
        <f>AND(Jnl[[#This Row],[TrxId]]&lt;&gt;"",Jnl[[#This Row],[Acct]]&lt;&gt;"",Jnl[[#This Row],[Item]]&lt;&gt;"",ISNUMBER(Jnl[[#This Row],[Bal]]))</f>
        <v>1</v>
      </c>
      <c r="J153" s="9">
        <f>IF(Jnl[[#This Row],[BSLv0]]="A",1,-1)*Jnl[[#This Row],[Bal]]</f>
        <v>-82225</v>
      </c>
      <c r="K153" t="str">
        <f>_xlfn.XLOOKUP(Jnl[[#This Row],[Acct]], config_BS[Acct], config_BS[Lv0],,0)</f>
        <v>A</v>
      </c>
      <c r="L153" t="str">
        <f>_xlfn.XLOOKUP(Jnl[[#This Row],[Acct]], config_BS[Acct], config_BS[Lv1],,0)</f>
        <v>Assets</v>
      </c>
      <c r="M153" t="str">
        <f>_xlfn.XLOOKUP(Jnl[[#This Row],[Acct]], config_BS[Acct], config_BS[Lv2],,0)</f>
        <v>Prep-Sub</v>
      </c>
      <c r="N153" t="str">
        <f>_xlfn.XLOOKUP(Jnl[[#This Row],[TrxId]], Trx[Id], Trx[IncNode], ,0)</f>
        <v>Cost</v>
      </c>
      <c r="O153" t="str">
        <f>_xlfn.XLOOKUP(Jnl[[#This Row],[IncNode]], config_IS[Node], config_IS[Type],,0)</f>
        <v>Op</v>
      </c>
      <c r="P153" t="str">
        <f>_xlfn.XLOOKUP(Jnl[[#This Row],[BSLv2]], dict[Key], dict[Name],,0)</f>
        <v>2.预付-订阅</v>
      </c>
      <c r="Q153" t="str">
        <f>_xlfn.XLOOKUP(Jnl[[#This Row],[Acct]], dict[Key], dict[Name],,0)</f>
        <v>预付订单</v>
      </c>
      <c r="R153" t="str">
        <f>_xlfn.XLOOKUP(Jnl[[#This Row],[Vehicle]],config_vehicle[Id], config_vehicle[Name],,0)</f>
        <v>桑木</v>
      </c>
      <c r="S153" t="str">
        <f>_xlfn.XLOOKUP(Jnl[[#This Row],[Division]],config_div[Id], config_div[Name],,0)</f>
        <v>网店</v>
      </c>
      <c r="T153" t="str">
        <f>IF(Jnl[[#This Row],[TrxDate]]&lt;=stmt_BS_date_end, "In", "Out")</f>
        <v>In</v>
      </c>
      <c r="U153" t="str">
        <f>IF(Jnl[[#This Row],[TrxDate]]&lt;debug_date_start, "prior", IF(Jnl[[#This Row],[TrxDate]]&gt;debug_date_end, "post", "curr"))</f>
        <v>curr</v>
      </c>
    </row>
    <row r="154" spans="1:21" hidden="1">
      <c r="A154" s="10" t="s">
        <v>271</v>
      </c>
      <c r="B154" s="6">
        <f>_xlfn.XLOOKUP(Jnl[[#This Row],[TrxId]], Trx[Id], Trx[Date],,0)</f>
        <v>46053</v>
      </c>
      <c r="C154" s="6" t="str">
        <f>_xlfn.XLOOKUP(Jnl[[#This Row],[TrxId]], Trx[Id], Trx[Division],,0)</f>
        <v>Online</v>
      </c>
      <c r="D154" s="6" t="str">
        <f>_xlfn.XLOOKUP(Jnl[[#This Row],[TrxId]], Trx[Id], Trx[Action],,0)</f>
        <v>服饰</v>
      </c>
      <c r="E154" s="27" t="s">
        <v>87</v>
      </c>
      <c r="F154" s="10" t="s">
        <v>12</v>
      </c>
      <c r="G154" s="10" t="s">
        <v>92</v>
      </c>
      <c r="H154" s="20">
        <v>2917.8</v>
      </c>
      <c r="I154" s="11" t="b">
        <f>AND(Jnl[[#This Row],[TrxId]]&lt;&gt;"",Jnl[[#This Row],[Acct]]&lt;&gt;"",Jnl[[#This Row],[Item]]&lt;&gt;"",ISNUMBER(Jnl[[#This Row],[Bal]]))</f>
        <v>1</v>
      </c>
      <c r="J154" s="9">
        <f>IF(Jnl[[#This Row],[BSLv0]]="A",1,-1)*Jnl[[#This Row],[Bal]]</f>
        <v>2917.8</v>
      </c>
      <c r="K154" t="str">
        <f>_xlfn.XLOOKUP(Jnl[[#This Row],[Acct]], config_BS[Acct], config_BS[Lv0],,0)</f>
        <v>A</v>
      </c>
      <c r="L154" t="str">
        <f>_xlfn.XLOOKUP(Jnl[[#This Row],[Acct]], config_BS[Acct], config_BS[Lv1],,0)</f>
        <v>Assets</v>
      </c>
      <c r="M154" t="str">
        <f>_xlfn.XLOOKUP(Jnl[[#This Row],[Acct]], config_BS[Acct], config_BS[Lv2],,0)</f>
        <v>Cash alike</v>
      </c>
      <c r="N154" t="str">
        <f>_xlfn.XLOOKUP(Jnl[[#This Row],[TrxId]], Trx[Id], Trx[IncNode], ,0)</f>
        <v>Revenue</v>
      </c>
      <c r="O154" t="str">
        <f>_xlfn.XLOOKUP(Jnl[[#This Row],[IncNode]], config_IS[Node], config_IS[Type],,0)</f>
        <v>Op</v>
      </c>
      <c r="P154" t="str">
        <f>_xlfn.XLOOKUP(Jnl[[#This Row],[BSLv2]], dict[Key], dict[Name],,0)</f>
        <v>0.现金及类似</v>
      </c>
      <c r="Q154" t="str">
        <f>_xlfn.XLOOKUP(Jnl[[#This Row],[Acct]], dict[Key], dict[Name],,0)</f>
        <v>银行</v>
      </c>
      <c r="R154" t="str">
        <f>_xlfn.XLOOKUP(Jnl[[#This Row],[Vehicle]],config_vehicle[Id], config_vehicle[Name],,0)</f>
        <v>桑木</v>
      </c>
      <c r="S154" t="str">
        <f>_xlfn.XLOOKUP(Jnl[[#This Row],[Division]],config_div[Id], config_div[Name],,0)</f>
        <v>网店</v>
      </c>
      <c r="T154" t="str">
        <f>IF(Jnl[[#This Row],[TrxDate]]&lt;=stmt_BS_date_end, "In", "Out")</f>
        <v>In</v>
      </c>
      <c r="U154" t="str">
        <f>IF(Jnl[[#This Row],[TrxDate]]&lt;debug_date_start, "prior", IF(Jnl[[#This Row],[TrxDate]]&gt;debug_date_end, "post", "curr"))</f>
        <v>curr</v>
      </c>
    </row>
    <row r="155" spans="1:21" hidden="1">
      <c r="A155" s="10" t="s">
        <v>272</v>
      </c>
      <c r="B155" s="6">
        <f>_xlfn.XLOOKUP(Jnl[[#This Row],[TrxId]], Trx[Id], Trx[Date],,0)</f>
        <v>46053</v>
      </c>
      <c r="C155" s="6" t="str">
        <f>_xlfn.XLOOKUP(Jnl[[#This Row],[TrxId]], Trx[Id], Trx[Division],,0)</f>
        <v>Online</v>
      </c>
      <c r="D155" s="6" t="str">
        <f>_xlfn.XLOOKUP(Jnl[[#This Row],[TrxId]], Trx[Id], Trx[Action],,0)</f>
        <v>服饰</v>
      </c>
      <c r="E155" s="27" t="s">
        <v>87</v>
      </c>
      <c r="F155" s="10" t="s">
        <v>12</v>
      </c>
      <c r="G155" s="10" t="s">
        <v>92</v>
      </c>
      <c r="H155" s="20">
        <v>19873.7</v>
      </c>
      <c r="I155" s="11" t="b">
        <f>AND(Jnl[[#This Row],[TrxId]]&lt;&gt;"",Jnl[[#This Row],[Acct]]&lt;&gt;"",Jnl[[#This Row],[Item]]&lt;&gt;"",ISNUMBER(Jnl[[#This Row],[Bal]]))</f>
        <v>1</v>
      </c>
      <c r="J155" s="9">
        <f>IF(Jnl[[#This Row],[BSLv0]]="A",1,-1)*Jnl[[#This Row],[Bal]]</f>
        <v>19873.7</v>
      </c>
      <c r="K155" t="str">
        <f>_xlfn.XLOOKUP(Jnl[[#This Row],[Acct]], config_BS[Acct], config_BS[Lv0],,0)</f>
        <v>A</v>
      </c>
      <c r="L155" t="str">
        <f>_xlfn.XLOOKUP(Jnl[[#This Row],[Acct]], config_BS[Acct], config_BS[Lv1],,0)</f>
        <v>Assets</v>
      </c>
      <c r="M155" t="str">
        <f>_xlfn.XLOOKUP(Jnl[[#This Row],[Acct]], config_BS[Acct], config_BS[Lv2],,0)</f>
        <v>Cash alike</v>
      </c>
      <c r="N155" t="str">
        <f>_xlfn.XLOOKUP(Jnl[[#This Row],[TrxId]], Trx[Id], Trx[IncNode], ,0)</f>
        <v>Revenue</v>
      </c>
      <c r="O155" t="str">
        <f>_xlfn.XLOOKUP(Jnl[[#This Row],[IncNode]], config_IS[Node], config_IS[Type],,0)</f>
        <v>Op</v>
      </c>
      <c r="P155" t="str">
        <f>_xlfn.XLOOKUP(Jnl[[#This Row],[BSLv2]], dict[Key], dict[Name],,0)</f>
        <v>0.现金及类似</v>
      </c>
      <c r="Q155" t="str">
        <f>_xlfn.XLOOKUP(Jnl[[#This Row],[Acct]], dict[Key], dict[Name],,0)</f>
        <v>银行</v>
      </c>
      <c r="R155" t="str">
        <f>_xlfn.XLOOKUP(Jnl[[#This Row],[Vehicle]],config_vehicle[Id], config_vehicle[Name],,0)</f>
        <v>桑木</v>
      </c>
      <c r="S155" t="str">
        <f>_xlfn.XLOOKUP(Jnl[[#This Row],[Division]],config_div[Id], config_div[Name],,0)</f>
        <v>网店</v>
      </c>
      <c r="T155" t="str">
        <f>IF(Jnl[[#This Row],[TrxDate]]&lt;=stmt_BS_date_end, "In", "Out")</f>
        <v>In</v>
      </c>
      <c r="U155" t="str">
        <f>IF(Jnl[[#This Row],[TrxDate]]&lt;debug_date_start, "prior", IF(Jnl[[#This Row],[TrxDate]]&gt;debug_date_end, "post", "curr"))</f>
        <v>curr</v>
      </c>
    </row>
    <row r="156" spans="1:21" hidden="1">
      <c r="A156" s="10" t="s">
        <v>273</v>
      </c>
      <c r="B156" s="6">
        <f>_xlfn.XLOOKUP(Jnl[[#This Row],[TrxId]], Trx[Id], Trx[Date],,0)</f>
        <v>46053</v>
      </c>
      <c r="C156" s="6" t="str">
        <f>_xlfn.XLOOKUP(Jnl[[#This Row],[TrxId]], Trx[Id], Trx[Division],,0)</f>
        <v>Online</v>
      </c>
      <c r="D156" s="6" t="str">
        <f>_xlfn.XLOOKUP(Jnl[[#This Row],[TrxId]], Trx[Id], Trx[Action],,0)</f>
        <v>订购</v>
      </c>
      <c r="E156" s="27" t="s">
        <v>87</v>
      </c>
      <c r="F156" s="10" t="s">
        <v>117</v>
      </c>
      <c r="G156" s="10" t="s">
        <v>146</v>
      </c>
      <c r="H156" s="20">
        <v>12408</v>
      </c>
      <c r="I156" s="11" t="b">
        <f>AND(Jnl[[#This Row],[TrxId]]&lt;&gt;"",Jnl[[#This Row],[Acct]]&lt;&gt;"",Jnl[[#This Row],[Item]]&lt;&gt;"",ISNUMBER(Jnl[[#This Row],[Bal]]))</f>
        <v>1</v>
      </c>
      <c r="J156" s="9">
        <f>IF(Jnl[[#This Row],[BSLv0]]="A",1,-1)*Jnl[[#This Row],[Bal]]</f>
        <v>12408</v>
      </c>
      <c r="K156" t="str">
        <f>_xlfn.XLOOKUP(Jnl[[#This Row],[Acct]], config_BS[Acct], config_BS[Lv0],,0)</f>
        <v>A</v>
      </c>
      <c r="L156" t="str">
        <f>_xlfn.XLOOKUP(Jnl[[#This Row],[Acct]], config_BS[Acct], config_BS[Lv1],,0)</f>
        <v>Assets</v>
      </c>
      <c r="M156" t="str">
        <f>_xlfn.XLOOKUP(Jnl[[#This Row],[Acct]], config_BS[Acct], config_BS[Lv2],,0)</f>
        <v>Prep-Sub</v>
      </c>
      <c r="N156" t="str">
        <f>_xlfn.XLOOKUP(Jnl[[#This Row],[TrxId]], Trx[Id], Trx[IncNode], ,0)</f>
        <v>Cost</v>
      </c>
      <c r="O156" t="str">
        <f>_xlfn.XLOOKUP(Jnl[[#This Row],[IncNode]], config_IS[Node], config_IS[Type],,0)</f>
        <v>Op</v>
      </c>
      <c r="P156" t="str">
        <f>_xlfn.XLOOKUP(Jnl[[#This Row],[BSLv2]], dict[Key], dict[Name],,0)</f>
        <v>2.预付-订阅</v>
      </c>
      <c r="Q156" t="str">
        <f>_xlfn.XLOOKUP(Jnl[[#This Row],[Acct]], dict[Key], dict[Name],,0)</f>
        <v>预付订单</v>
      </c>
      <c r="R156" t="str">
        <f>_xlfn.XLOOKUP(Jnl[[#This Row],[Vehicle]],config_vehicle[Id], config_vehicle[Name],,0)</f>
        <v>桑木</v>
      </c>
      <c r="S156" t="str">
        <f>_xlfn.XLOOKUP(Jnl[[#This Row],[Division]],config_div[Id], config_div[Name],,0)</f>
        <v>网店</v>
      </c>
      <c r="T156" t="str">
        <f>IF(Jnl[[#This Row],[TrxDate]]&lt;=stmt_BS_date_end, "In", "Out")</f>
        <v>In</v>
      </c>
      <c r="U156" t="str">
        <f>IF(Jnl[[#This Row],[TrxDate]]&lt;debug_date_start, "prior", IF(Jnl[[#This Row],[TrxDate]]&gt;debug_date_end, "post", "curr"))</f>
        <v>curr</v>
      </c>
    </row>
    <row r="157" spans="1:21" hidden="1">
      <c r="A157" s="10" t="s">
        <v>273</v>
      </c>
      <c r="B157" s="6">
        <f>_xlfn.XLOOKUP(Jnl[[#This Row],[TrxId]], Trx[Id], Trx[Date],,0)</f>
        <v>46053</v>
      </c>
      <c r="C157" s="6" t="str">
        <f>_xlfn.XLOOKUP(Jnl[[#This Row],[TrxId]], Trx[Id], Trx[Division],,0)</f>
        <v>Online</v>
      </c>
      <c r="D157" s="6" t="str">
        <f>_xlfn.XLOOKUP(Jnl[[#This Row],[TrxId]], Trx[Id], Trx[Action],,0)</f>
        <v>订购</v>
      </c>
      <c r="E157" s="27" t="s">
        <v>87</v>
      </c>
      <c r="F157" s="10" t="s">
        <v>12</v>
      </c>
      <c r="G157" s="10" t="s">
        <v>92</v>
      </c>
      <c r="H157" s="20">
        <v>-12408</v>
      </c>
      <c r="I157" s="11" t="b">
        <f>AND(Jnl[[#This Row],[TrxId]]&lt;&gt;"",Jnl[[#This Row],[Acct]]&lt;&gt;"",Jnl[[#This Row],[Item]]&lt;&gt;"",ISNUMBER(Jnl[[#This Row],[Bal]]))</f>
        <v>1</v>
      </c>
      <c r="J157" s="9">
        <f>IF(Jnl[[#This Row],[BSLv0]]="A",1,-1)*Jnl[[#This Row],[Bal]]</f>
        <v>-12408</v>
      </c>
      <c r="K157" t="str">
        <f>_xlfn.XLOOKUP(Jnl[[#This Row],[Acct]], config_BS[Acct], config_BS[Lv0],,0)</f>
        <v>A</v>
      </c>
      <c r="L157" t="str">
        <f>_xlfn.XLOOKUP(Jnl[[#This Row],[Acct]], config_BS[Acct], config_BS[Lv1],,0)</f>
        <v>Assets</v>
      </c>
      <c r="M157" t="str">
        <f>_xlfn.XLOOKUP(Jnl[[#This Row],[Acct]], config_BS[Acct], config_BS[Lv2],,0)</f>
        <v>Cash alike</v>
      </c>
      <c r="N157" t="str">
        <f>_xlfn.XLOOKUP(Jnl[[#This Row],[TrxId]], Trx[Id], Trx[IncNode], ,0)</f>
        <v>Cost</v>
      </c>
      <c r="O157" t="str">
        <f>_xlfn.XLOOKUP(Jnl[[#This Row],[IncNode]], config_IS[Node], config_IS[Type],,0)</f>
        <v>Op</v>
      </c>
      <c r="P157" t="str">
        <f>_xlfn.XLOOKUP(Jnl[[#This Row],[BSLv2]], dict[Key], dict[Name],,0)</f>
        <v>0.现金及类似</v>
      </c>
      <c r="Q157" t="str">
        <f>_xlfn.XLOOKUP(Jnl[[#This Row],[Acct]], dict[Key], dict[Name],,0)</f>
        <v>银行</v>
      </c>
      <c r="R157" t="str">
        <f>_xlfn.XLOOKUP(Jnl[[#This Row],[Vehicle]],config_vehicle[Id], config_vehicle[Name],,0)</f>
        <v>桑木</v>
      </c>
      <c r="S157" t="str">
        <f>_xlfn.XLOOKUP(Jnl[[#This Row],[Division]],config_div[Id], config_div[Name],,0)</f>
        <v>网店</v>
      </c>
      <c r="T157" t="str">
        <f>IF(Jnl[[#This Row],[TrxDate]]&lt;=stmt_BS_date_end, "In", "Out")</f>
        <v>In</v>
      </c>
      <c r="U157" t="str">
        <f>IF(Jnl[[#This Row],[TrxDate]]&lt;debug_date_start, "prior", IF(Jnl[[#This Row],[TrxDate]]&gt;debug_date_end, "post", "curr"))</f>
        <v>curr</v>
      </c>
    </row>
    <row r="158" spans="1:21" hidden="1">
      <c r="A158" s="10" t="s">
        <v>274</v>
      </c>
      <c r="B158" s="6">
        <f>_xlfn.XLOOKUP(Jnl[[#This Row],[TrxId]], Trx[Id], Trx[Date],,0)</f>
        <v>46053</v>
      </c>
      <c r="C158" s="6" t="str">
        <f>_xlfn.XLOOKUP(Jnl[[#This Row],[TrxId]], Trx[Id], Trx[Division],,0)</f>
        <v>Ctrl</v>
      </c>
      <c r="D158" s="6" t="str">
        <f>_xlfn.XLOOKUP(Jnl[[#This Row],[TrxId]], Trx[Id], Trx[Action],,0)</f>
        <v>过账</v>
      </c>
      <c r="E158" s="27" t="s">
        <v>87</v>
      </c>
      <c r="F158" s="10" t="s">
        <v>12</v>
      </c>
      <c r="G158" s="10" t="s">
        <v>92</v>
      </c>
      <c r="H158" s="20">
        <v>421668.55</v>
      </c>
      <c r="I158" s="11" t="b">
        <f>AND(Jnl[[#This Row],[TrxId]]&lt;&gt;"",Jnl[[#This Row],[Acct]]&lt;&gt;"",Jnl[[#This Row],[Item]]&lt;&gt;"",ISNUMBER(Jnl[[#This Row],[Bal]]))</f>
        <v>1</v>
      </c>
      <c r="J158" s="9">
        <f>IF(Jnl[[#This Row],[BSLv0]]="A",1,-1)*Jnl[[#This Row],[Bal]]</f>
        <v>421668.55</v>
      </c>
      <c r="K158" t="str">
        <f>_xlfn.XLOOKUP(Jnl[[#This Row],[Acct]], config_BS[Acct], config_BS[Lv0],,0)</f>
        <v>A</v>
      </c>
      <c r="L158" t="str">
        <f>_xlfn.XLOOKUP(Jnl[[#This Row],[Acct]], config_BS[Acct], config_BS[Lv1],,0)</f>
        <v>Assets</v>
      </c>
      <c r="M158" t="str">
        <f>_xlfn.XLOOKUP(Jnl[[#This Row],[Acct]], config_BS[Acct], config_BS[Lv2],,0)</f>
        <v>Cash alike</v>
      </c>
      <c r="N158" t="str">
        <f>_xlfn.XLOOKUP(Jnl[[#This Row],[TrxId]], Trx[Id], Trx[IncNode], ,0)</f>
        <v>Other</v>
      </c>
      <c r="O158" t="str">
        <f>_xlfn.XLOOKUP(Jnl[[#This Row],[IncNode]], config_IS[Node], config_IS[Type],,0)</f>
        <v>Non-Op</v>
      </c>
      <c r="P158" t="str">
        <f>_xlfn.XLOOKUP(Jnl[[#This Row],[BSLv2]], dict[Key], dict[Name],,0)</f>
        <v>0.现金及类似</v>
      </c>
      <c r="Q158" t="str">
        <f>_xlfn.XLOOKUP(Jnl[[#This Row],[Acct]], dict[Key], dict[Name],,0)</f>
        <v>银行</v>
      </c>
      <c r="R158" t="str">
        <f>_xlfn.XLOOKUP(Jnl[[#This Row],[Vehicle]],config_vehicle[Id], config_vehicle[Name],,0)</f>
        <v>桑木</v>
      </c>
      <c r="S158" t="str">
        <f>_xlfn.XLOOKUP(Jnl[[#This Row],[Division]],config_div[Id], config_div[Name],,0)</f>
        <v>内控合规</v>
      </c>
      <c r="T158" t="str">
        <f>IF(Jnl[[#This Row],[TrxDate]]&lt;=stmt_BS_date_end, "In", "Out")</f>
        <v>In</v>
      </c>
      <c r="U158" t="str">
        <f>IF(Jnl[[#This Row],[TrxDate]]&lt;debug_date_start, "prior", IF(Jnl[[#This Row],[TrxDate]]&gt;debug_date_end, "post", "curr"))</f>
        <v>curr</v>
      </c>
    </row>
    <row r="159" spans="1:21" hidden="1">
      <c r="A159" s="10" t="s">
        <v>274</v>
      </c>
      <c r="B159" s="6">
        <f>_xlfn.XLOOKUP(Jnl[[#This Row],[TrxId]], Trx[Id], Trx[Date],,0)</f>
        <v>46053</v>
      </c>
      <c r="C159" s="6" t="str">
        <f>_xlfn.XLOOKUP(Jnl[[#This Row],[TrxId]], Trx[Id], Trx[Division],,0)</f>
        <v>Ctrl</v>
      </c>
      <c r="D159" s="6" t="str">
        <f>_xlfn.XLOOKUP(Jnl[[#This Row],[TrxId]], Trx[Id], Trx[Action],,0)</f>
        <v>过账</v>
      </c>
      <c r="E159" s="27" t="s">
        <v>82</v>
      </c>
      <c r="F159" s="10" t="s">
        <v>12</v>
      </c>
      <c r="G159" s="10" t="s">
        <v>52</v>
      </c>
      <c r="H159" s="20">
        <f>-H158</f>
        <v>-421668.55</v>
      </c>
      <c r="I159" s="11" t="b">
        <f>AND(Jnl[[#This Row],[TrxId]]&lt;&gt;"",Jnl[[#This Row],[Acct]]&lt;&gt;"",Jnl[[#This Row],[Item]]&lt;&gt;"",ISNUMBER(Jnl[[#This Row],[Bal]]))</f>
        <v>1</v>
      </c>
      <c r="J159" s="9">
        <f>IF(Jnl[[#This Row],[BSLv0]]="A",1,-1)*Jnl[[#This Row],[Bal]]</f>
        <v>-421668.55</v>
      </c>
      <c r="K159" t="str">
        <f>_xlfn.XLOOKUP(Jnl[[#This Row],[Acct]], config_BS[Acct], config_BS[Lv0],,0)</f>
        <v>A</v>
      </c>
      <c r="L159" t="str">
        <f>_xlfn.XLOOKUP(Jnl[[#This Row],[Acct]], config_BS[Acct], config_BS[Lv1],,0)</f>
        <v>Assets</v>
      </c>
      <c r="M159" t="str">
        <f>_xlfn.XLOOKUP(Jnl[[#This Row],[Acct]], config_BS[Acct], config_BS[Lv2],,0)</f>
        <v>Cash alike</v>
      </c>
      <c r="N159" t="str">
        <f>_xlfn.XLOOKUP(Jnl[[#This Row],[TrxId]], Trx[Id], Trx[IncNode], ,0)</f>
        <v>Other</v>
      </c>
      <c r="O159" t="str">
        <f>_xlfn.XLOOKUP(Jnl[[#This Row],[IncNode]], config_IS[Node], config_IS[Type],,0)</f>
        <v>Non-Op</v>
      </c>
      <c r="P159" t="str">
        <f>_xlfn.XLOOKUP(Jnl[[#This Row],[BSLv2]], dict[Key], dict[Name],,0)</f>
        <v>0.现金及类似</v>
      </c>
      <c r="Q159" t="str">
        <f>_xlfn.XLOOKUP(Jnl[[#This Row],[Acct]], dict[Key], dict[Name],,0)</f>
        <v>银行</v>
      </c>
      <c r="R159" t="str">
        <f>_xlfn.XLOOKUP(Jnl[[#This Row],[Vehicle]],config_vehicle[Id], config_vehicle[Name],,0)</f>
        <v>远家花园</v>
      </c>
      <c r="S159" t="str">
        <f>_xlfn.XLOOKUP(Jnl[[#This Row],[Division]],config_div[Id], config_div[Name],,0)</f>
        <v>内控合规</v>
      </c>
      <c r="T159" t="str">
        <f>IF(Jnl[[#This Row],[TrxDate]]&lt;=stmt_BS_date_end, "In", "Out")</f>
        <v>In</v>
      </c>
      <c r="U159" t="str">
        <f>IF(Jnl[[#This Row],[TrxDate]]&lt;debug_date_start, "prior", IF(Jnl[[#This Row],[TrxDate]]&gt;debug_date_end, "post", "curr"))</f>
        <v>curr</v>
      </c>
    </row>
    <row r="160" spans="1:21" hidden="1">
      <c r="A160" s="10" t="s">
        <v>275</v>
      </c>
      <c r="B160" s="6">
        <f>_xlfn.XLOOKUP(Jnl[[#This Row],[TrxId]], Trx[Id], Trx[Date],,0)</f>
        <v>46053</v>
      </c>
      <c r="C160" s="6" t="str">
        <f>_xlfn.XLOOKUP(Jnl[[#This Row],[TrxId]], Trx[Id], Trx[Division],,0)</f>
        <v>Ctrl</v>
      </c>
      <c r="D160" s="6" t="str">
        <f>_xlfn.XLOOKUP(Jnl[[#This Row],[TrxId]], Trx[Id], Trx[Action],,0)</f>
        <v>过账</v>
      </c>
      <c r="E160" s="27" t="s">
        <v>87</v>
      </c>
      <c r="F160" s="10" t="s">
        <v>12</v>
      </c>
      <c r="G160" s="10" t="s">
        <v>92</v>
      </c>
      <c r="H160" s="20">
        <v>-180000</v>
      </c>
      <c r="I160" s="11" t="b">
        <f>AND(Jnl[[#This Row],[TrxId]]&lt;&gt;"",Jnl[[#This Row],[Acct]]&lt;&gt;"",Jnl[[#This Row],[Item]]&lt;&gt;"",ISNUMBER(Jnl[[#This Row],[Bal]]))</f>
        <v>1</v>
      </c>
      <c r="J160" s="9">
        <f>IF(Jnl[[#This Row],[BSLv0]]="A",1,-1)*Jnl[[#This Row],[Bal]]</f>
        <v>-180000</v>
      </c>
      <c r="K160" t="str">
        <f>_xlfn.XLOOKUP(Jnl[[#This Row],[Acct]], config_BS[Acct], config_BS[Lv0],,0)</f>
        <v>A</v>
      </c>
      <c r="L160" t="str">
        <f>_xlfn.XLOOKUP(Jnl[[#This Row],[Acct]], config_BS[Acct], config_BS[Lv1],,0)</f>
        <v>Assets</v>
      </c>
      <c r="M160" t="str">
        <f>_xlfn.XLOOKUP(Jnl[[#This Row],[Acct]], config_BS[Acct], config_BS[Lv2],,0)</f>
        <v>Cash alike</v>
      </c>
      <c r="N160" t="str">
        <f>_xlfn.XLOOKUP(Jnl[[#This Row],[TrxId]], Trx[Id], Trx[IncNode], ,0)</f>
        <v>Other</v>
      </c>
      <c r="O160" t="str">
        <f>_xlfn.XLOOKUP(Jnl[[#This Row],[IncNode]], config_IS[Node], config_IS[Type],,0)</f>
        <v>Non-Op</v>
      </c>
      <c r="P160" t="str">
        <f>_xlfn.XLOOKUP(Jnl[[#This Row],[BSLv2]], dict[Key], dict[Name],,0)</f>
        <v>0.现金及类似</v>
      </c>
      <c r="Q160" t="str">
        <f>_xlfn.XLOOKUP(Jnl[[#This Row],[Acct]], dict[Key], dict[Name],,0)</f>
        <v>银行</v>
      </c>
      <c r="R160" t="str">
        <f>_xlfn.XLOOKUP(Jnl[[#This Row],[Vehicle]],config_vehicle[Id], config_vehicle[Name],,0)</f>
        <v>桑木</v>
      </c>
      <c r="S160" t="str">
        <f>_xlfn.XLOOKUP(Jnl[[#This Row],[Division]],config_div[Id], config_div[Name],,0)</f>
        <v>内控合规</v>
      </c>
      <c r="T160" t="str">
        <f>IF(Jnl[[#This Row],[TrxDate]]&lt;=stmt_BS_date_end, "In", "Out")</f>
        <v>In</v>
      </c>
      <c r="U160" t="str">
        <f>IF(Jnl[[#This Row],[TrxDate]]&lt;debug_date_start, "prior", IF(Jnl[[#This Row],[TrxDate]]&gt;debug_date_end, "post", "curr"))</f>
        <v>curr</v>
      </c>
    </row>
    <row r="161" spans="1:21" hidden="1">
      <c r="A161" s="10" t="s">
        <v>275</v>
      </c>
      <c r="B161" s="6">
        <f>_xlfn.XLOOKUP(Jnl[[#This Row],[TrxId]], Trx[Id], Trx[Date],,0)</f>
        <v>46053</v>
      </c>
      <c r="C161" s="6" t="str">
        <f>_xlfn.XLOOKUP(Jnl[[#This Row],[TrxId]], Trx[Id], Trx[Division],,0)</f>
        <v>Ctrl</v>
      </c>
      <c r="D161" s="6" t="str">
        <f>_xlfn.XLOOKUP(Jnl[[#This Row],[TrxId]], Trx[Id], Trx[Action],,0)</f>
        <v>过账</v>
      </c>
      <c r="E161" s="27" t="s">
        <v>95</v>
      </c>
      <c r="F161" s="10" t="s">
        <v>12</v>
      </c>
      <c r="G161" s="10" t="s">
        <v>91</v>
      </c>
      <c r="H161" s="20">
        <v>180000</v>
      </c>
      <c r="I161" s="11" t="b">
        <f>AND(Jnl[[#This Row],[TrxId]]&lt;&gt;"",Jnl[[#This Row],[Acct]]&lt;&gt;"",Jnl[[#This Row],[Item]]&lt;&gt;"",ISNUMBER(Jnl[[#This Row],[Bal]]))</f>
        <v>1</v>
      </c>
      <c r="J161" s="9">
        <f>IF(Jnl[[#This Row],[BSLv0]]="A",1,-1)*Jnl[[#This Row],[Bal]]</f>
        <v>180000</v>
      </c>
      <c r="K161" t="str">
        <f>_xlfn.XLOOKUP(Jnl[[#This Row],[Acct]], config_BS[Acct], config_BS[Lv0],,0)</f>
        <v>A</v>
      </c>
      <c r="L161" t="str">
        <f>_xlfn.XLOOKUP(Jnl[[#This Row],[Acct]], config_BS[Acct], config_BS[Lv1],,0)</f>
        <v>Assets</v>
      </c>
      <c r="M161" t="str">
        <f>_xlfn.XLOOKUP(Jnl[[#This Row],[Acct]], config_BS[Acct], config_BS[Lv2],,0)</f>
        <v>Cash alike</v>
      </c>
      <c r="N161" t="str">
        <f>_xlfn.XLOOKUP(Jnl[[#This Row],[TrxId]], Trx[Id], Trx[IncNode], ,0)</f>
        <v>Other</v>
      </c>
      <c r="O161" t="str">
        <f>_xlfn.XLOOKUP(Jnl[[#This Row],[IncNode]], config_IS[Node], config_IS[Type],,0)</f>
        <v>Non-Op</v>
      </c>
      <c r="P161" t="str">
        <f>_xlfn.XLOOKUP(Jnl[[#This Row],[BSLv2]], dict[Key], dict[Name],,0)</f>
        <v>0.现金及类似</v>
      </c>
      <c r="Q161" t="str">
        <f>_xlfn.XLOOKUP(Jnl[[#This Row],[Acct]], dict[Key], dict[Name],,0)</f>
        <v>银行</v>
      </c>
      <c r="R161" t="str">
        <f>_xlfn.XLOOKUP(Jnl[[#This Row],[Vehicle]],config_vehicle[Id], config_vehicle[Name],,0)</f>
        <v>创业园-琦</v>
      </c>
      <c r="S161" t="str">
        <f>_xlfn.XLOOKUP(Jnl[[#This Row],[Division]],config_div[Id], config_div[Name],,0)</f>
        <v>内控合规</v>
      </c>
      <c r="T161" t="str">
        <f>IF(Jnl[[#This Row],[TrxDate]]&lt;=stmt_BS_date_end, "In", "Out")</f>
        <v>In</v>
      </c>
      <c r="U161" t="str">
        <f>IF(Jnl[[#This Row],[TrxDate]]&lt;debug_date_start, "prior", IF(Jnl[[#This Row],[TrxDate]]&gt;debug_date_end, "post", "curr"))</f>
        <v>curr</v>
      </c>
    </row>
    <row r="162" spans="1:21" hidden="1">
      <c r="A162" s="10" t="s">
        <v>276</v>
      </c>
      <c r="B162" s="6">
        <f>_xlfn.XLOOKUP(Jnl[[#This Row],[TrxId]], Trx[Id], Trx[Date],,0)</f>
        <v>46053</v>
      </c>
      <c r="C162" s="6" t="str">
        <f>_xlfn.XLOOKUP(Jnl[[#This Row],[TrxId]], Trx[Id], Trx[Division],,0)</f>
        <v>Online</v>
      </c>
      <c r="D162" s="6" t="str">
        <f>_xlfn.XLOOKUP(Jnl[[#This Row],[TrxId]], Trx[Id], Trx[Action],,0)</f>
        <v>采购</v>
      </c>
      <c r="E162" s="27" t="s">
        <v>87</v>
      </c>
      <c r="F162" s="10" t="s">
        <v>12</v>
      </c>
      <c r="G162" s="10" t="s">
        <v>92</v>
      </c>
      <c r="H162" s="20">
        <v>-9960</v>
      </c>
      <c r="I162" s="11" t="b">
        <f>AND(Jnl[[#This Row],[TrxId]]&lt;&gt;"",Jnl[[#This Row],[Acct]]&lt;&gt;"",Jnl[[#This Row],[Item]]&lt;&gt;"",ISNUMBER(Jnl[[#This Row],[Bal]]))</f>
        <v>1</v>
      </c>
      <c r="J162" s="9">
        <f>IF(Jnl[[#This Row],[BSLv0]]="A",1,-1)*Jnl[[#This Row],[Bal]]</f>
        <v>-9960</v>
      </c>
      <c r="K162" t="str">
        <f>_xlfn.XLOOKUP(Jnl[[#This Row],[Acct]], config_BS[Acct], config_BS[Lv0],,0)</f>
        <v>A</v>
      </c>
      <c r="L162" t="str">
        <f>_xlfn.XLOOKUP(Jnl[[#This Row],[Acct]], config_BS[Acct], config_BS[Lv1],,0)</f>
        <v>Assets</v>
      </c>
      <c r="M162" t="str">
        <f>_xlfn.XLOOKUP(Jnl[[#This Row],[Acct]], config_BS[Acct], config_BS[Lv2],,0)</f>
        <v>Cash alike</v>
      </c>
      <c r="N162" t="str">
        <f>_xlfn.XLOOKUP(Jnl[[#This Row],[TrxId]], Trx[Id], Trx[IncNode], ,0)</f>
        <v>Cost</v>
      </c>
      <c r="O162" t="str">
        <f>_xlfn.XLOOKUP(Jnl[[#This Row],[IncNode]], config_IS[Node], config_IS[Type],,0)</f>
        <v>Op</v>
      </c>
      <c r="P162" t="str">
        <f>_xlfn.XLOOKUP(Jnl[[#This Row],[BSLv2]], dict[Key], dict[Name],,0)</f>
        <v>0.现金及类似</v>
      </c>
      <c r="Q162" t="str">
        <f>_xlfn.XLOOKUP(Jnl[[#This Row],[Acct]], dict[Key], dict[Name],,0)</f>
        <v>银行</v>
      </c>
      <c r="R162" t="str">
        <f>_xlfn.XLOOKUP(Jnl[[#This Row],[Vehicle]],config_vehicle[Id], config_vehicle[Name],,0)</f>
        <v>桑木</v>
      </c>
      <c r="S162" t="str">
        <f>_xlfn.XLOOKUP(Jnl[[#This Row],[Division]],config_div[Id], config_div[Name],,0)</f>
        <v>网店</v>
      </c>
      <c r="T162" t="str">
        <f>IF(Jnl[[#This Row],[TrxDate]]&lt;=stmt_BS_date_end, "In", "Out")</f>
        <v>In</v>
      </c>
      <c r="U162" t="str">
        <f>IF(Jnl[[#This Row],[TrxDate]]&lt;debug_date_start, "prior", IF(Jnl[[#This Row],[TrxDate]]&gt;debug_date_end, "post", "curr"))</f>
        <v>curr</v>
      </c>
    </row>
    <row r="163" spans="1:21" hidden="1">
      <c r="A163" s="10" t="s">
        <v>276</v>
      </c>
      <c r="B163" s="6">
        <f>_xlfn.XLOOKUP(Jnl[[#This Row],[TrxId]], Trx[Id], Trx[Date],,0)</f>
        <v>46053</v>
      </c>
      <c r="C163" s="6" t="str">
        <f>_xlfn.XLOOKUP(Jnl[[#This Row],[TrxId]], Trx[Id], Trx[Division],,0)</f>
        <v>Online</v>
      </c>
      <c r="D163" s="6" t="str">
        <f>_xlfn.XLOOKUP(Jnl[[#This Row],[TrxId]], Trx[Id], Trx[Action],,0)</f>
        <v>采购</v>
      </c>
      <c r="E163" s="27" t="s">
        <v>82</v>
      </c>
      <c r="F163" s="10" t="s">
        <v>118</v>
      </c>
      <c r="G163" s="10" t="s">
        <v>153</v>
      </c>
      <c r="H163" s="20">
        <v>9960</v>
      </c>
      <c r="I163" s="11" t="b">
        <f>AND(Jnl[[#This Row],[TrxId]]&lt;&gt;"",Jnl[[#This Row],[Acct]]&lt;&gt;"",Jnl[[#This Row],[Item]]&lt;&gt;"",ISNUMBER(Jnl[[#This Row],[Bal]]))</f>
        <v>1</v>
      </c>
      <c r="J163" s="9">
        <f>IF(Jnl[[#This Row],[BSLv0]]="A",1,-1)*Jnl[[#This Row],[Bal]]</f>
        <v>9960</v>
      </c>
      <c r="K163" t="str">
        <f>_xlfn.XLOOKUP(Jnl[[#This Row],[Acct]], config_BS[Acct], config_BS[Lv0],,0)</f>
        <v>A</v>
      </c>
      <c r="L163" t="str">
        <f>_xlfn.XLOOKUP(Jnl[[#This Row],[Acct]], config_BS[Acct], config_BS[Lv1],,0)</f>
        <v>Assets</v>
      </c>
      <c r="M163" t="str">
        <f>_xlfn.XLOOKUP(Jnl[[#This Row],[Acct]], config_BS[Acct], config_BS[Lv2],,0)</f>
        <v>Invtr</v>
      </c>
      <c r="N163" t="str">
        <f>_xlfn.XLOOKUP(Jnl[[#This Row],[TrxId]], Trx[Id], Trx[IncNode], ,0)</f>
        <v>Cost</v>
      </c>
      <c r="O163" t="str">
        <f>_xlfn.XLOOKUP(Jnl[[#This Row],[IncNode]], config_IS[Node], config_IS[Type],,0)</f>
        <v>Op</v>
      </c>
      <c r="P163" t="str">
        <f>_xlfn.XLOOKUP(Jnl[[#This Row],[BSLv2]], dict[Key], dict[Name],,0)</f>
        <v>3.库存占款</v>
      </c>
      <c r="Q163" t="str">
        <f>_xlfn.XLOOKUP(Jnl[[#This Row],[Acct]], dict[Key], dict[Name],,0)</f>
        <v>当期存货</v>
      </c>
      <c r="R163" t="str">
        <f>_xlfn.XLOOKUP(Jnl[[#This Row],[Vehicle]],config_vehicle[Id], config_vehicle[Name],,0)</f>
        <v>远家花园</v>
      </c>
      <c r="S163" t="str">
        <f>_xlfn.XLOOKUP(Jnl[[#This Row],[Division]],config_div[Id], config_div[Name],,0)</f>
        <v>网店</v>
      </c>
      <c r="T163" t="str">
        <f>IF(Jnl[[#This Row],[TrxDate]]&lt;=stmt_BS_date_end, "In", "Out")</f>
        <v>In</v>
      </c>
      <c r="U163" t="str">
        <f>IF(Jnl[[#This Row],[TrxDate]]&lt;debug_date_start, "prior", IF(Jnl[[#This Row],[TrxDate]]&gt;debug_date_end, "post", "curr"))</f>
        <v>curr</v>
      </c>
    </row>
    <row r="164" spans="1:21" hidden="1">
      <c r="A164" s="10" t="s">
        <v>277</v>
      </c>
      <c r="B164" s="6">
        <f>_xlfn.XLOOKUP(Jnl[[#This Row],[TrxId]], Trx[Id], Trx[Date],,0)</f>
        <v>46053</v>
      </c>
      <c r="C164" s="6" t="str">
        <f>_xlfn.XLOOKUP(Jnl[[#This Row],[TrxId]], Trx[Id], Trx[Division],,0)</f>
        <v>Online</v>
      </c>
      <c r="D164" s="6" t="str">
        <f>_xlfn.XLOOKUP(Jnl[[#This Row],[TrxId]], Trx[Id], Trx[Action],,0)</f>
        <v>物流</v>
      </c>
      <c r="E164" s="27" t="s">
        <v>87</v>
      </c>
      <c r="F164" s="10" t="s">
        <v>12</v>
      </c>
      <c r="G164" s="10" t="s">
        <v>92</v>
      </c>
      <c r="H164" s="20">
        <v>-2153.5</v>
      </c>
      <c r="I164" s="11" t="b">
        <f>AND(Jnl[[#This Row],[TrxId]]&lt;&gt;"",Jnl[[#This Row],[Acct]]&lt;&gt;"",Jnl[[#This Row],[Item]]&lt;&gt;"",ISNUMBER(Jnl[[#This Row],[Bal]]))</f>
        <v>1</v>
      </c>
      <c r="J164" s="9">
        <f>IF(Jnl[[#This Row],[BSLv0]]="A",1,-1)*Jnl[[#This Row],[Bal]]</f>
        <v>-2153.5</v>
      </c>
      <c r="K164" t="str">
        <f>_xlfn.XLOOKUP(Jnl[[#This Row],[Acct]], config_BS[Acct], config_BS[Lv0],,0)</f>
        <v>A</v>
      </c>
      <c r="L164" t="str">
        <f>_xlfn.XLOOKUP(Jnl[[#This Row],[Acct]], config_BS[Acct], config_BS[Lv1],,0)</f>
        <v>Assets</v>
      </c>
      <c r="M164" t="str">
        <f>_xlfn.XLOOKUP(Jnl[[#This Row],[Acct]], config_BS[Acct], config_BS[Lv2],,0)</f>
        <v>Cash alike</v>
      </c>
      <c r="N164" t="str">
        <f>_xlfn.XLOOKUP(Jnl[[#This Row],[TrxId]], Trx[Id], Trx[IncNode], ,0)</f>
        <v>Expense</v>
      </c>
      <c r="O164" t="str">
        <f>_xlfn.XLOOKUP(Jnl[[#This Row],[IncNode]], config_IS[Node], config_IS[Type],,0)</f>
        <v>Op</v>
      </c>
      <c r="P164" t="str">
        <f>_xlfn.XLOOKUP(Jnl[[#This Row],[BSLv2]], dict[Key], dict[Name],,0)</f>
        <v>0.现金及类似</v>
      </c>
      <c r="Q164" t="str">
        <f>_xlfn.XLOOKUP(Jnl[[#This Row],[Acct]], dict[Key], dict[Name],,0)</f>
        <v>银行</v>
      </c>
      <c r="R164" t="str">
        <f>_xlfn.XLOOKUP(Jnl[[#This Row],[Vehicle]],config_vehicle[Id], config_vehicle[Name],,0)</f>
        <v>桑木</v>
      </c>
      <c r="S164" t="str">
        <f>_xlfn.XLOOKUP(Jnl[[#This Row],[Division]],config_div[Id], config_div[Name],,0)</f>
        <v>网店</v>
      </c>
      <c r="T164" t="str">
        <f>IF(Jnl[[#This Row],[TrxDate]]&lt;=stmt_BS_date_end, "In", "Out")</f>
        <v>In</v>
      </c>
      <c r="U164" t="str">
        <f>IF(Jnl[[#This Row],[TrxDate]]&lt;debug_date_start, "prior", IF(Jnl[[#This Row],[TrxDate]]&gt;debug_date_end, "post", "curr"))</f>
        <v>curr</v>
      </c>
    </row>
    <row r="165" spans="1:21" hidden="1">
      <c r="A165" s="10" t="s">
        <v>278</v>
      </c>
      <c r="B165" s="6">
        <f>_xlfn.XLOOKUP(Jnl[[#This Row],[TrxId]], Trx[Id], Trx[Date],,0)</f>
        <v>46053</v>
      </c>
      <c r="C165" s="6" t="str">
        <f>_xlfn.XLOOKUP(Jnl[[#This Row],[TrxId]], Trx[Id], Trx[Division],,0)</f>
        <v>Ctrl</v>
      </c>
      <c r="D165" s="6" t="str">
        <f>_xlfn.XLOOKUP(Jnl[[#This Row],[TrxId]], Trx[Id], Trx[Action],,0)</f>
        <v>过账</v>
      </c>
      <c r="E165" s="27" t="s">
        <v>87</v>
      </c>
      <c r="F165" s="10" t="s">
        <v>12</v>
      </c>
      <c r="G165" s="10" t="s">
        <v>92</v>
      </c>
      <c r="H165" s="20">
        <v>-200000</v>
      </c>
      <c r="I165" s="11" t="b">
        <f>AND(Jnl[[#This Row],[TrxId]]&lt;&gt;"",Jnl[[#This Row],[Acct]]&lt;&gt;"",Jnl[[#This Row],[Item]]&lt;&gt;"",ISNUMBER(Jnl[[#This Row],[Bal]]))</f>
        <v>1</v>
      </c>
      <c r="J165" s="9">
        <f>IF(Jnl[[#This Row],[BSLv0]]="A",1,-1)*Jnl[[#This Row],[Bal]]</f>
        <v>-200000</v>
      </c>
      <c r="K165" t="str">
        <f>_xlfn.XLOOKUP(Jnl[[#This Row],[Acct]], config_BS[Acct], config_BS[Lv0],,0)</f>
        <v>A</v>
      </c>
      <c r="L165" t="str">
        <f>_xlfn.XLOOKUP(Jnl[[#This Row],[Acct]], config_BS[Acct], config_BS[Lv1],,0)</f>
        <v>Assets</v>
      </c>
      <c r="M165" t="str">
        <f>_xlfn.XLOOKUP(Jnl[[#This Row],[Acct]], config_BS[Acct], config_BS[Lv2],,0)</f>
        <v>Cash alike</v>
      </c>
      <c r="N165" t="str">
        <f>_xlfn.XLOOKUP(Jnl[[#This Row],[TrxId]], Trx[Id], Trx[IncNode], ,0)</f>
        <v>Other</v>
      </c>
      <c r="O165" t="str">
        <f>_xlfn.XLOOKUP(Jnl[[#This Row],[IncNode]], config_IS[Node], config_IS[Type],,0)</f>
        <v>Non-Op</v>
      </c>
      <c r="P165" t="str">
        <f>_xlfn.XLOOKUP(Jnl[[#This Row],[BSLv2]], dict[Key], dict[Name],,0)</f>
        <v>0.现金及类似</v>
      </c>
      <c r="Q165" t="str">
        <f>_xlfn.XLOOKUP(Jnl[[#This Row],[Acct]], dict[Key], dict[Name],,0)</f>
        <v>银行</v>
      </c>
      <c r="R165" t="str">
        <f>_xlfn.XLOOKUP(Jnl[[#This Row],[Vehicle]],config_vehicle[Id], config_vehicle[Name],,0)</f>
        <v>桑木</v>
      </c>
      <c r="S165" t="str">
        <f>_xlfn.XLOOKUP(Jnl[[#This Row],[Division]],config_div[Id], config_div[Name],,0)</f>
        <v>内控合规</v>
      </c>
      <c r="T165" t="str">
        <f>IF(Jnl[[#This Row],[TrxDate]]&lt;=stmt_BS_date_end, "In", "Out")</f>
        <v>In</v>
      </c>
      <c r="U165" t="str">
        <f>IF(Jnl[[#This Row],[TrxDate]]&lt;debug_date_start, "prior", IF(Jnl[[#This Row],[TrxDate]]&gt;debug_date_end, "post", "curr"))</f>
        <v>curr</v>
      </c>
    </row>
    <row r="166" spans="1:21" hidden="1">
      <c r="A166" s="10" t="s">
        <v>278</v>
      </c>
      <c r="B166" s="6">
        <f>_xlfn.XLOOKUP(Jnl[[#This Row],[TrxId]], Trx[Id], Trx[Date],,0)</f>
        <v>46053</v>
      </c>
      <c r="C166" s="6" t="str">
        <f>_xlfn.XLOOKUP(Jnl[[#This Row],[TrxId]], Trx[Id], Trx[Division],,0)</f>
        <v>Ctrl</v>
      </c>
      <c r="D166" s="6" t="str">
        <f>_xlfn.XLOOKUP(Jnl[[#This Row],[TrxId]], Trx[Id], Trx[Action],,0)</f>
        <v>过账</v>
      </c>
      <c r="E166" s="27" t="s">
        <v>95</v>
      </c>
      <c r="F166" s="10" t="s">
        <v>12</v>
      </c>
      <c r="G166" s="10" t="s">
        <v>91</v>
      </c>
      <c r="H166" s="20">
        <v>200000</v>
      </c>
      <c r="I166" s="11" t="b">
        <f>AND(Jnl[[#This Row],[TrxId]]&lt;&gt;"",Jnl[[#This Row],[Acct]]&lt;&gt;"",Jnl[[#This Row],[Item]]&lt;&gt;"",ISNUMBER(Jnl[[#This Row],[Bal]]))</f>
        <v>1</v>
      </c>
      <c r="J166" s="9">
        <f>IF(Jnl[[#This Row],[BSLv0]]="A",1,-1)*Jnl[[#This Row],[Bal]]</f>
        <v>200000</v>
      </c>
      <c r="K166" t="str">
        <f>_xlfn.XLOOKUP(Jnl[[#This Row],[Acct]], config_BS[Acct], config_BS[Lv0],,0)</f>
        <v>A</v>
      </c>
      <c r="L166" t="str">
        <f>_xlfn.XLOOKUP(Jnl[[#This Row],[Acct]], config_BS[Acct], config_BS[Lv1],,0)</f>
        <v>Assets</v>
      </c>
      <c r="M166" t="str">
        <f>_xlfn.XLOOKUP(Jnl[[#This Row],[Acct]], config_BS[Acct], config_BS[Lv2],,0)</f>
        <v>Cash alike</v>
      </c>
      <c r="N166" t="str">
        <f>_xlfn.XLOOKUP(Jnl[[#This Row],[TrxId]], Trx[Id], Trx[IncNode], ,0)</f>
        <v>Other</v>
      </c>
      <c r="O166" t="str">
        <f>_xlfn.XLOOKUP(Jnl[[#This Row],[IncNode]], config_IS[Node], config_IS[Type],,0)</f>
        <v>Non-Op</v>
      </c>
      <c r="P166" t="str">
        <f>_xlfn.XLOOKUP(Jnl[[#This Row],[BSLv2]], dict[Key], dict[Name],,0)</f>
        <v>0.现金及类似</v>
      </c>
      <c r="Q166" t="str">
        <f>_xlfn.XLOOKUP(Jnl[[#This Row],[Acct]], dict[Key], dict[Name],,0)</f>
        <v>银行</v>
      </c>
      <c r="R166" t="str">
        <f>_xlfn.XLOOKUP(Jnl[[#This Row],[Vehicle]],config_vehicle[Id], config_vehicle[Name],,0)</f>
        <v>创业园-琦</v>
      </c>
      <c r="S166" t="str">
        <f>_xlfn.XLOOKUP(Jnl[[#This Row],[Division]],config_div[Id], config_div[Name],,0)</f>
        <v>内控合规</v>
      </c>
      <c r="T166" t="str">
        <f>IF(Jnl[[#This Row],[TrxDate]]&lt;=stmt_BS_date_end, "In", "Out")</f>
        <v>In</v>
      </c>
      <c r="U166" t="str">
        <f>IF(Jnl[[#This Row],[TrxDate]]&lt;debug_date_start, "prior", IF(Jnl[[#This Row],[TrxDate]]&gt;debug_date_end, "post", "curr"))</f>
        <v>curr</v>
      </c>
    </row>
    <row r="167" spans="1:21" hidden="1">
      <c r="A167" s="10" t="s">
        <v>279</v>
      </c>
      <c r="B167" s="6">
        <f>_xlfn.XLOOKUP(Jnl[[#This Row],[TrxId]], Trx[Id], Trx[Date],,0)</f>
        <v>46053</v>
      </c>
      <c r="C167" s="6" t="str">
        <f>_xlfn.XLOOKUP(Jnl[[#This Row],[TrxId]], Trx[Id], Trx[Division],,0)</f>
        <v>Online</v>
      </c>
      <c r="D167" s="6" t="str">
        <f>_xlfn.XLOOKUP(Jnl[[#This Row],[TrxId]], Trx[Id], Trx[Action],,0)</f>
        <v>订购</v>
      </c>
      <c r="E167" s="27" t="s">
        <v>87</v>
      </c>
      <c r="F167" s="10" t="s">
        <v>117</v>
      </c>
      <c r="G167" s="10" t="s">
        <v>146</v>
      </c>
      <c r="H167" s="20">
        <v>37000</v>
      </c>
      <c r="I167" s="11" t="b">
        <f>AND(Jnl[[#This Row],[TrxId]]&lt;&gt;"",Jnl[[#This Row],[Acct]]&lt;&gt;"",Jnl[[#This Row],[Item]]&lt;&gt;"",ISNUMBER(Jnl[[#This Row],[Bal]]))</f>
        <v>1</v>
      </c>
      <c r="J167" s="9">
        <f>IF(Jnl[[#This Row],[BSLv0]]="A",1,-1)*Jnl[[#This Row],[Bal]]</f>
        <v>37000</v>
      </c>
      <c r="K167" t="str">
        <f>_xlfn.XLOOKUP(Jnl[[#This Row],[Acct]], config_BS[Acct], config_BS[Lv0],,0)</f>
        <v>A</v>
      </c>
      <c r="L167" t="str">
        <f>_xlfn.XLOOKUP(Jnl[[#This Row],[Acct]], config_BS[Acct], config_BS[Lv1],,0)</f>
        <v>Assets</v>
      </c>
      <c r="M167" t="str">
        <f>_xlfn.XLOOKUP(Jnl[[#This Row],[Acct]], config_BS[Acct], config_BS[Lv2],,0)</f>
        <v>Prep-Sub</v>
      </c>
      <c r="N167" t="str">
        <f>_xlfn.XLOOKUP(Jnl[[#This Row],[TrxId]], Trx[Id], Trx[IncNode], ,0)</f>
        <v>Cost</v>
      </c>
      <c r="O167" t="str">
        <f>_xlfn.XLOOKUP(Jnl[[#This Row],[IncNode]], config_IS[Node], config_IS[Type],,0)</f>
        <v>Op</v>
      </c>
      <c r="P167" t="str">
        <f>_xlfn.XLOOKUP(Jnl[[#This Row],[BSLv2]], dict[Key], dict[Name],,0)</f>
        <v>2.预付-订阅</v>
      </c>
      <c r="Q167" t="str">
        <f>_xlfn.XLOOKUP(Jnl[[#This Row],[Acct]], dict[Key], dict[Name],,0)</f>
        <v>预付订单</v>
      </c>
      <c r="R167" t="str">
        <f>_xlfn.XLOOKUP(Jnl[[#This Row],[Vehicle]],config_vehicle[Id], config_vehicle[Name],,0)</f>
        <v>桑木</v>
      </c>
      <c r="S167" t="str">
        <f>_xlfn.XLOOKUP(Jnl[[#This Row],[Division]],config_div[Id], config_div[Name],,0)</f>
        <v>网店</v>
      </c>
      <c r="T167" t="str">
        <f>IF(Jnl[[#This Row],[TrxDate]]&lt;=stmt_BS_date_end, "In", "Out")</f>
        <v>In</v>
      </c>
      <c r="U167" t="str">
        <f>IF(Jnl[[#This Row],[TrxDate]]&lt;debug_date_start, "prior", IF(Jnl[[#This Row],[TrxDate]]&gt;debug_date_end, "post", "curr"))</f>
        <v>curr</v>
      </c>
    </row>
    <row r="168" spans="1:21" hidden="1">
      <c r="A168" s="10" t="s">
        <v>279</v>
      </c>
      <c r="B168" s="6">
        <f>_xlfn.XLOOKUP(Jnl[[#This Row],[TrxId]], Trx[Id], Trx[Date],,0)</f>
        <v>46053</v>
      </c>
      <c r="C168" s="6" t="str">
        <f>_xlfn.XLOOKUP(Jnl[[#This Row],[TrxId]], Trx[Id], Trx[Division],,0)</f>
        <v>Online</v>
      </c>
      <c r="D168" s="6" t="str">
        <f>_xlfn.XLOOKUP(Jnl[[#This Row],[TrxId]], Trx[Id], Trx[Action],,0)</f>
        <v>订购</v>
      </c>
      <c r="E168" s="27" t="s">
        <v>87</v>
      </c>
      <c r="F168" s="10" t="s">
        <v>12</v>
      </c>
      <c r="G168" s="10" t="s">
        <v>92</v>
      </c>
      <c r="H168" s="20">
        <v>-37000</v>
      </c>
      <c r="I168" s="11" t="b">
        <f>AND(Jnl[[#This Row],[TrxId]]&lt;&gt;"",Jnl[[#This Row],[Acct]]&lt;&gt;"",Jnl[[#This Row],[Item]]&lt;&gt;"",ISNUMBER(Jnl[[#This Row],[Bal]]))</f>
        <v>1</v>
      </c>
      <c r="J168" s="9">
        <f>IF(Jnl[[#This Row],[BSLv0]]="A",1,-1)*Jnl[[#This Row],[Bal]]</f>
        <v>-37000</v>
      </c>
      <c r="K168" t="str">
        <f>_xlfn.XLOOKUP(Jnl[[#This Row],[Acct]], config_BS[Acct], config_BS[Lv0],,0)</f>
        <v>A</v>
      </c>
      <c r="L168" t="str">
        <f>_xlfn.XLOOKUP(Jnl[[#This Row],[Acct]], config_BS[Acct], config_BS[Lv1],,0)</f>
        <v>Assets</v>
      </c>
      <c r="M168" t="str">
        <f>_xlfn.XLOOKUP(Jnl[[#This Row],[Acct]], config_BS[Acct], config_BS[Lv2],,0)</f>
        <v>Cash alike</v>
      </c>
      <c r="N168" t="str">
        <f>_xlfn.XLOOKUP(Jnl[[#This Row],[TrxId]], Trx[Id], Trx[IncNode], ,0)</f>
        <v>Cost</v>
      </c>
      <c r="O168" t="str">
        <f>_xlfn.XLOOKUP(Jnl[[#This Row],[IncNode]], config_IS[Node], config_IS[Type],,0)</f>
        <v>Op</v>
      </c>
      <c r="P168" t="str">
        <f>_xlfn.XLOOKUP(Jnl[[#This Row],[BSLv2]], dict[Key], dict[Name],,0)</f>
        <v>0.现金及类似</v>
      </c>
      <c r="Q168" t="str">
        <f>_xlfn.XLOOKUP(Jnl[[#This Row],[Acct]], dict[Key], dict[Name],,0)</f>
        <v>银行</v>
      </c>
      <c r="R168" t="str">
        <f>_xlfn.XLOOKUP(Jnl[[#This Row],[Vehicle]],config_vehicle[Id], config_vehicle[Name],,0)</f>
        <v>桑木</v>
      </c>
      <c r="S168" t="str">
        <f>_xlfn.XLOOKUP(Jnl[[#This Row],[Division]],config_div[Id], config_div[Name],,0)</f>
        <v>网店</v>
      </c>
      <c r="T168" t="str">
        <f>IF(Jnl[[#This Row],[TrxDate]]&lt;=stmt_BS_date_end, "In", "Out")</f>
        <v>In</v>
      </c>
      <c r="U168" t="str">
        <f>IF(Jnl[[#This Row],[TrxDate]]&lt;debug_date_start, "prior", IF(Jnl[[#This Row],[TrxDate]]&gt;debug_date_end, "post", "curr"))</f>
        <v>curr</v>
      </c>
    </row>
    <row r="169" spans="1:21" hidden="1">
      <c r="A169" s="10" t="s">
        <v>280</v>
      </c>
      <c r="B169" s="6">
        <f>_xlfn.XLOOKUP(Jnl[[#This Row],[TrxId]], Trx[Id], Trx[Date],,0)</f>
        <v>46053</v>
      </c>
      <c r="C169" s="6" t="str">
        <f>_xlfn.XLOOKUP(Jnl[[#This Row],[TrxId]], Trx[Id], Trx[Division],,0)</f>
        <v>Online</v>
      </c>
      <c r="D169" s="6" t="str">
        <f>_xlfn.XLOOKUP(Jnl[[#This Row],[TrxId]], Trx[Id], Trx[Action],,0)</f>
        <v>增值税</v>
      </c>
      <c r="E169" s="27" t="s">
        <v>87</v>
      </c>
      <c r="F169" s="10" t="s">
        <v>129</v>
      </c>
      <c r="G169" s="10" t="s">
        <v>286</v>
      </c>
      <c r="H169" s="20">
        <v>4400.6000000000004</v>
      </c>
      <c r="I169" s="11" t="b">
        <f>AND(Jnl[[#This Row],[TrxId]]&lt;&gt;"",Jnl[[#This Row],[Acct]]&lt;&gt;"",Jnl[[#This Row],[Item]]&lt;&gt;"",ISNUMBER(Jnl[[#This Row],[Bal]]))</f>
        <v>1</v>
      </c>
      <c r="J169" s="9">
        <f>IF(Jnl[[#This Row],[BSLv0]]="A",1,-1)*Jnl[[#This Row],[Bal]]</f>
        <v>-4400.6000000000004</v>
      </c>
      <c r="K169" t="str">
        <f>_xlfn.XLOOKUP(Jnl[[#This Row],[Acct]], config_BS[Acct], config_BS[Lv0],,0)</f>
        <v>LC</v>
      </c>
      <c r="L169" t="str">
        <f>_xlfn.XLOOKUP(Jnl[[#This Row],[Acct]], config_BS[Acct], config_BS[Lv1],,0)</f>
        <v>Liability</v>
      </c>
      <c r="M169" t="str">
        <f>_xlfn.XLOOKUP(Jnl[[#This Row],[Acct]], config_BS[Acct], config_BS[Lv2],,0)</f>
        <v>Rec-Pay</v>
      </c>
      <c r="N169" t="str">
        <f>_xlfn.XLOOKUP(Jnl[[#This Row],[TrxId]], Trx[Id], Trx[IncNode], ,0)</f>
        <v>Cost</v>
      </c>
      <c r="O169" t="str">
        <f>_xlfn.XLOOKUP(Jnl[[#This Row],[IncNode]], config_IS[Node], config_IS[Type],,0)</f>
        <v>Op</v>
      </c>
      <c r="P169" t="str">
        <f>_xlfn.XLOOKUP(Jnl[[#This Row],[BSLv2]], dict[Key], dict[Name],,0)</f>
        <v>1.应收-应付</v>
      </c>
      <c r="Q169" t="str">
        <f>_xlfn.XLOOKUP(Jnl[[#This Row],[Acct]], dict[Key], dict[Name],,0)</f>
        <v>应付-税款</v>
      </c>
      <c r="R169" t="str">
        <f>_xlfn.XLOOKUP(Jnl[[#This Row],[Vehicle]],config_vehicle[Id], config_vehicle[Name],,0)</f>
        <v>桑木</v>
      </c>
      <c r="S169" t="str">
        <f>_xlfn.XLOOKUP(Jnl[[#This Row],[Division]],config_div[Id], config_div[Name],,0)</f>
        <v>网店</v>
      </c>
      <c r="T169" t="str">
        <f>IF(Jnl[[#This Row],[TrxDate]]&lt;=stmt_BS_date_end, "In", "Out")</f>
        <v>In</v>
      </c>
      <c r="U169" t="str">
        <f>IF(Jnl[[#This Row],[TrxDate]]&lt;debug_date_start, "prior", IF(Jnl[[#This Row],[TrxDate]]&gt;debug_date_end, "post", "curr"))</f>
        <v>curr</v>
      </c>
    </row>
    <row r="170" spans="1:21" hidden="1">
      <c r="A170" s="10" t="s">
        <v>281</v>
      </c>
      <c r="B170" s="6">
        <f>_xlfn.XLOOKUP(Jnl[[#This Row],[TrxId]], Trx[Id], Trx[Date],,0)</f>
        <v>46053</v>
      </c>
      <c r="C170" s="6" t="str">
        <f>_xlfn.XLOOKUP(Jnl[[#This Row],[TrxId]], Trx[Id], Trx[Division],,0)</f>
        <v>Online</v>
      </c>
      <c r="D170" s="6" t="str">
        <f>_xlfn.XLOOKUP(Jnl[[#This Row],[TrxId]], Trx[Id], Trx[Action],,0)</f>
        <v>订购</v>
      </c>
      <c r="E170" s="27" t="s">
        <v>87</v>
      </c>
      <c r="F170" s="10" t="s">
        <v>117</v>
      </c>
      <c r="G170" s="10" t="s">
        <v>146</v>
      </c>
      <c r="H170" s="20">
        <v>53395</v>
      </c>
      <c r="I170" s="11" t="b">
        <f>AND(Jnl[[#This Row],[TrxId]]&lt;&gt;"",Jnl[[#This Row],[Acct]]&lt;&gt;"",Jnl[[#This Row],[Item]]&lt;&gt;"",ISNUMBER(Jnl[[#This Row],[Bal]]))</f>
        <v>1</v>
      </c>
      <c r="J170" s="9">
        <f>IF(Jnl[[#This Row],[BSLv0]]="A",1,-1)*Jnl[[#This Row],[Bal]]</f>
        <v>53395</v>
      </c>
      <c r="K170" t="str">
        <f>_xlfn.XLOOKUP(Jnl[[#This Row],[Acct]], config_BS[Acct], config_BS[Lv0],,0)</f>
        <v>A</v>
      </c>
      <c r="L170" t="str">
        <f>_xlfn.XLOOKUP(Jnl[[#This Row],[Acct]], config_BS[Acct], config_BS[Lv1],,0)</f>
        <v>Assets</v>
      </c>
      <c r="M170" t="str">
        <f>_xlfn.XLOOKUP(Jnl[[#This Row],[Acct]], config_BS[Acct], config_BS[Lv2],,0)</f>
        <v>Prep-Sub</v>
      </c>
      <c r="N170" t="str">
        <f>_xlfn.XLOOKUP(Jnl[[#This Row],[TrxId]], Trx[Id], Trx[IncNode], ,0)</f>
        <v>Cost</v>
      </c>
      <c r="O170" t="str">
        <f>_xlfn.XLOOKUP(Jnl[[#This Row],[IncNode]], config_IS[Node], config_IS[Type],,0)</f>
        <v>Op</v>
      </c>
      <c r="P170" t="str">
        <f>_xlfn.XLOOKUP(Jnl[[#This Row],[BSLv2]], dict[Key], dict[Name],,0)</f>
        <v>2.预付-订阅</v>
      </c>
      <c r="Q170" t="str">
        <f>_xlfn.XLOOKUP(Jnl[[#This Row],[Acct]], dict[Key], dict[Name],,0)</f>
        <v>预付订单</v>
      </c>
      <c r="R170" t="str">
        <f>_xlfn.XLOOKUP(Jnl[[#This Row],[Vehicle]],config_vehicle[Id], config_vehicle[Name],,0)</f>
        <v>桑木</v>
      </c>
      <c r="S170" t="str">
        <f>_xlfn.XLOOKUP(Jnl[[#This Row],[Division]],config_div[Id], config_div[Name],,0)</f>
        <v>网店</v>
      </c>
      <c r="T170" t="str">
        <f>IF(Jnl[[#This Row],[TrxDate]]&lt;=stmt_BS_date_end, "In", "Out")</f>
        <v>In</v>
      </c>
      <c r="U170" t="str">
        <f>IF(Jnl[[#This Row],[TrxDate]]&lt;debug_date_start, "prior", IF(Jnl[[#This Row],[TrxDate]]&gt;debug_date_end, "post", "curr"))</f>
        <v>curr</v>
      </c>
    </row>
    <row r="171" spans="1:21" hidden="1">
      <c r="A171" s="10" t="s">
        <v>281</v>
      </c>
      <c r="B171" s="6">
        <f>_xlfn.XLOOKUP(Jnl[[#This Row],[TrxId]], Trx[Id], Trx[Date],,0)</f>
        <v>46053</v>
      </c>
      <c r="C171" s="6" t="str">
        <f>_xlfn.XLOOKUP(Jnl[[#This Row],[TrxId]], Trx[Id], Trx[Division],,0)</f>
        <v>Online</v>
      </c>
      <c r="D171" s="6" t="str">
        <f>_xlfn.XLOOKUP(Jnl[[#This Row],[TrxId]], Trx[Id], Trx[Action],,0)</f>
        <v>订购</v>
      </c>
      <c r="E171" s="27" t="s">
        <v>87</v>
      </c>
      <c r="F171" s="10" t="s">
        <v>12</v>
      </c>
      <c r="G171" s="10" t="s">
        <v>92</v>
      </c>
      <c r="H171" s="20">
        <v>-53395</v>
      </c>
      <c r="I171" s="11" t="b">
        <f>AND(Jnl[[#This Row],[TrxId]]&lt;&gt;"",Jnl[[#This Row],[Acct]]&lt;&gt;"",Jnl[[#This Row],[Item]]&lt;&gt;"",ISNUMBER(Jnl[[#This Row],[Bal]]))</f>
        <v>1</v>
      </c>
      <c r="J171" s="9">
        <f>IF(Jnl[[#This Row],[BSLv0]]="A",1,-1)*Jnl[[#This Row],[Bal]]</f>
        <v>-53395</v>
      </c>
      <c r="K171" t="str">
        <f>_xlfn.XLOOKUP(Jnl[[#This Row],[Acct]], config_BS[Acct], config_BS[Lv0],,0)</f>
        <v>A</v>
      </c>
      <c r="L171" t="str">
        <f>_xlfn.XLOOKUP(Jnl[[#This Row],[Acct]], config_BS[Acct], config_BS[Lv1],,0)</f>
        <v>Assets</v>
      </c>
      <c r="M171" t="str">
        <f>_xlfn.XLOOKUP(Jnl[[#This Row],[Acct]], config_BS[Acct], config_BS[Lv2],,0)</f>
        <v>Cash alike</v>
      </c>
      <c r="N171" t="str">
        <f>_xlfn.XLOOKUP(Jnl[[#This Row],[TrxId]], Trx[Id], Trx[IncNode], ,0)</f>
        <v>Cost</v>
      </c>
      <c r="O171" t="str">
        <f>_xlfn.XLOOKUP(Jnl[[#This Row],[IncNode]], config_IS[Node], config_IS[Type],,0)</f>
        <v>Op</v>
      </c>
      <c r="P171" t="str">
        <f>_xlfn.XLOOKUP(Jnl[[#This Row],[BSLv2]], dict[Key], dict[Name],,0)</f>
        <v>0.现金及类似</v>
      </c>
      <c r="Q171" t="str">
        <f>_xlfn.XLOOKUP(Jnl[[#This Row],[Acct]], dict[Key], dict[Name],,0)</f>
        <v>银行</v>
      </c>
      <c r="R171" t="str">
        <f>_xlfn.XLOOKUP(Jnl[[#This Row],[Vehicle]],config_vehicle[Id], config_vehicle[Name],,0)</f>
        <v>桑木</v>
      </c>
      <c r="S171" t="str">
        <f>_xlfn.XLOOKUP(Jnl[[#This Row],[Division]],config_div[Id], config_div[Name],,0)</f>
        <v>网店</v>
      </c>
      <c r="T171" t="str">
        <f>IF(Jnl[[#This Row],[TrxDate]]&lt;=stmt_BS_date_end, "In", "Out")</f>
        <v>In</v>
      </c>
      <c r="U171" t="str">
        <f>IF(Jnl[[#This Row],[TrxDate]]&lt;debug_date_start, "prior", IF(Jnl[[#This Row],[TrxDate]]&gt;debug_date_end, "post", "curr"))</f>
        <v>curr</v>
      </c>
    </row>
    <row r="172" spans="1:21" hidden="1">
      <c r="A172" s="10" t="s">
        <v>282</v>
      </c>
      <c r="B172" s="6">
        <f>_xlfn.XLOOKUP(Jnl[[#This Row],[TrxId]], Trx[Id], Trx[Date],,0)</f>
        <v>46053</v>
      </c>
      <c r="C172" s="6" t="str">
        <f>_xlfn.XLOOKUP(Jnl[[#This Row],[TrxId]], Trx[Id], Trx[Division],,0)</f>
        <v>Online</v>
      </c>
      <c r="D172" s="6" t="str">
        <f>_xlfn.XLOOKUP(Jnl[[#This Row],[TrxId]], Trx[Id], Trx[Action],,0)</f>
        <v>入库</v>
      </c>
      <c r="E172" s="27" t="s">
        <v>82</v>
      </c>
      <c r="F172" s="10" t="s">
        <v>118</v>
      </c>
      <c r="G172" s="10" t="s">
        <v>153</v>
      </c>
      <c r="H172" s="20">
        <v>77395</v>
      </c>
      <c r="I172" s="11" t="b">
        <f>AND(Jnl[[#This Row],[TrxId]]&lt;&gt;"",Jnl[[#This Row],[Acct]]&lt;&gt;"",Jnl[[#This Row],[Item]]&lt;&gt;"",ISNUMBER(Jnl[[#This Row],[Bal]]))</f>
        <v>1</v>
      </c>
      <c r="J172" s="9">
        <f>IF(Jnl[[#This Row],[BSLv0]]="A",1,-1)*Jnl[[#This Row],[Bal]]</f>
        <v>77395</v>
      </c>
      <c r="K172" t="str">
        <f>_xlfn.XLOOKUP(Jnl[[#This Row],[Acct]], config_BS[Acct], config_BS[Lv0],,0)</f>
        <v>A</v>
      </c>
      <c r="L172" t="str">
        <f>_xlfn.XLOOKUP(Jnl[[#This Row],[Acct]], config_BS[Acct], config_BS[Lv1],,0)</f>
        <v>Assets</v>
      </c>
      <c r="M172" t="str">
        <f>_xlfn.XLOOKUP(Jnl[[#This Row],[Acct]], config_BS[Acct], config_BS[Lv2],,0)</f>
        <v>Invtr</v>
      </c>
      <c r="N172" t="str">
        <f>_xlfn.XLOOKUP(Jnl[[#This Row],[TrxId]], Trx[Id], Trx[IncNode], ,0)</f>
        <v>Cost</v>
      </c>
      <c r="O172" t="str">
        <f>_xlfn.XLOOKUP(Jnl[[#This Row],[IncNode]], config_IS[Node], config_IS[Type],,0)</f>
        <v>Op</v>
      </c>
      <c r="P172" t="str">
        <f>_xlfn.XLOOKUP(Jnl[[#This Row],[BSLv2]], dict[Key], dict[Name],,0)</f>
        <v>3.库存占款</v>
      </c>
      <c r="Q172" t="str">
        <f>_xlfn.XLOOKUP(Jnl[[#This Row],[Acct]], dict[Key], dict[Name],,0)</f>
        <v>当期存货</v>
      </c>
      <c r="R172" t="str">
        <f>_xlfn.XLOOKUP(Jnl[[#This Row],[Vehicle]],config_vehicle[Id], config_vehicle[Name],,0)</f>
        <v>远家花园</v>
      </c>
      <c r="S172" t="str">
        <f>_xlfn.XLOOKUP(Jnl[[#This Row],[Division]],config_div[Id], config_div[Name],,0)</f>
        <v>网店</v>
      </c>
      <c r="T172" t="str">
        <f>IF(Jnl[[#This Row],[TrxDate]]&lt;=stmt_BS_date_end, "In", "Out")</f>
        <v>In</v>
      </c>
      <c r="U172" t="str">
        <f>IF(Jnl[[#This Row],[TrxDate]]&lt;debug_date_start, "prior", IF(Jnl[[#This Row],[TrxDate]]&gt;debug_date_end, "post", "curr"))</f>
        <v>curr</v>
      </c>
    </row>
    <row r="173" spans="1:21" hidden="1">
      <c r="A173" s="10" t="s">
        <v>282</v>
      </c>
      <c r="B173" s="6">
        <f>_xlfn.XLOOKUP(Jnl[[#This Row],[TrxId]], Trx[Id], Trx[Date],,0)</f>
        <v>46053</v>
      </c>
      <c r="C173" s="6" t="str">
        <f>_xlfn.XLOOKUP(Jnl[[#This Row],[TrxId]], Trx[Id], Trx[Division],,0)</f>
        <v>Online</v>
      </c>
      <c r="D173" s="6" t="str">
        <f>_xlfn.XLOOKUP(Jnl[[#This Row],[TrxId]], Trx[Id], Trx[Action],,0)</f>
        <v>入库</v>
      </c>
      <c r="E173" s="27" t="s">
        <v>87</v>
      </c>
      <c r="F173" s="10" t="s">
        <v>117</v>
      </c>
      <c r="G173" s="10" t="s">
        <v>146</v>
      </c>
      <c r="H173" s="20">
        <v>-77395</v>
      </c>
      <c r="I173" s="11" t="b">
        <f>AND(Jnl[[#This Row],[TrxId]]&lt;&gt;"",Jnl[[#This Row],[Acct]]&lt;&gt;"",Jnl[[#This Row],[Item]]&lt;&gt;"",ISNUMBER(Jnl[[#This Row],[Bal]]))</f>
        <v>1</v>
      </c>
      <c r="J173" s="9">
        <f>IF(Jnl[[#This Row],[BSLv0]]="A",1,-1)*Jnl[[#This Row],[Bal]]</f>
        <v>-77395</v>
      </c>
      <c r="K173" t="str">
        <f>_xlfn.XLOOKUP(Jnl[[#This Row],[Acct]], config_BS[Acct], config_BS[Lv0],,0)</f>
        <v>A</v>
      </c>
      <c r="L173" t="str">
        <f>_xlfn.XLOOKUP(Jnl[[#This Row],[Acct]], config_BS[Acct], config_BS[Lv1],,0)</f>
        <v>Assets</v>
      </c>
      <c r="M173" t="str">
        <f>_xlfn.XLOOKUP(Jnl[[#This Row],[Acct]], config_BS[Acct], config_BS[Lv2],,0)</f>
        <v>Prep-Sub</v>
      </c>
      <c r="N173" t="str">
        <f>_xlfn.XLOOKUP(Jnl[[#This Row],[TrxId]], Trx[Id], Trx[IncNode], ,0)</f>
        <v>Cost</v>
      </c>
      <c r="O173" t="str">
        <f>_xlfn.XLOOKUP(Jnl[[#This Row],[IncNode]], config_IS[Node], config_IS[Type],,0)</f>
        <v>Op</v>
      </c>
      <c r="P173" t="str">
        <f>_xlfn.XLOOKUP(Jnl[[#This Row],[BSLv2]], dict[Key], dict[Name],,0)</f>
        <v>2.预付-订阅</v>
      </c>
      <c r="Q173" t="str">
        <f>_xlfn.XLOOKUP(Jnl[[#This Row],[Acct]], dict[Key], dict[Name],,0)</f>
        <v>预付订单</v>
      </c>
      <c r="R173" t="str">
        <f>_xlfn.XLOOKUP(Jnl[[#This Row],[Vehicle]],config_vehicle[Id], config_vehicle[Name],,0)</f>
        <v>桑木</v>
      </c>
      <c r="S173" t="str">
        <f>_xlfn.XLOOKUP(Jnl[[#This Row],[Division]],config_div[Id], config_div[Name],,0)</f>
        <v>网店</v>
      </c>
      <c r="T173" t="str">
        <f>IF(Jnl[[#This Row],[TrxDate]]&lt;=stmt_BS_date_end, "In", "Out")</f>
        <v>In</v>
      </c>
      <c r="U173" t="str">
        <f>IF(Jnl[[#This Row],[TrxDate]]&lt;debug_date_start, "prior", IF(Jnl[[#This Row],[TrxDate]]&gt;debug_date_end, "post", "curr"))</f>
        <v>curr</v>
      </c>
    </row>
    <row r="174" spans="1:21" hidden="1">
      <c r="A174" s="10" t="s">
        <v>283</v>
      </c>
      <c r="B174" s="6">
        <f>_xlfn.XLOOKUP(Jnl[[#This Row],[TrxId]], Trx[Id], Trx[Date],,0)</f>
        <v>46053</v>
      </c>
      <c r="C174" s="6" t="str">
        <f>_xlfn.XLOOKUP(Jnl[[#This Row],[TrxId]], Trx[Id], Trx[Division],,0)</f>
        <v>Online</v>
      </c>
      <c r="D174" s="6" t="str">
        <f>_xlfn.XLOOKUP(Jnl[[#This Row],[TrxId]], Trx[Id], Trx[Action],,0)</f>
        <v>订购</v>
      </c>
      <c r="E174" s="27" t="s">
        <v>87</v>
      </c>
      <c r="F174" s="10" t="s">
        <v>117</v>
      </c>
      <c r="G174" s="10" t="s">
        <v>146</v>
      </c>
      <c r="H174" s="20">
        <v>40993</v>
      </c>
      <c r="I174" s="11" t="b">
        <f>AND(Jnl[[#This Row],[TrxId]]&lt;&gt;"",Jnl[[#This Row],[Acct]]&lt;&gt;"",Jnl[[#This Row],[Item]]&lt;&gt;"",ISNUMBER(Jnl[[#This Row],[Bal]]))</f>
        <v>1</v>
      </c>
      <c r="J174" s="9">
        <f>IF(Jnl[[#This Row],[BSLv0]]="A",1,-1)*Jnl[[#This Row],[Bal]]</f>
        <v>40993</v>
      </c>
      <c r="K174" t="str">
        <f>_xlfn.XLOOKUP(Jnl[[#This Row],[Acct]], config_BS[Acct], config_BS[Lv0],,0)</f>
        <v>A</v>
      </c>
      <c r="L174" t="str">
        <f>_xlfn.XLOOKUP(Jnl[[#This Row],[Acct]], config_BS[Acct], config_BS[Lv1],,0)</f>
        <v>Assets</v>
      </c>
      <c r="M174" t="str">
        <f>_xlfn.XLOOKUP(Jnl[[#This Row],[Acct]], config_BS[Acct], config_BS[Lv2],,0)</f>
        <v>Prep-Sub</v>
      </c>
      <c r="N174" t="str">
        <f>_xlfn.XLOOKUP(Jnl[[#This Row],[TrxId]], Trx[Id], Trx[IncNode], ,0)</f>
        <v>Cost</v>
      </c>
      <c r="O174" t="str">
        <f>_xlfn.XLOOKUP(Jnl[[#This Row],[IncNode]], config_IS[Node], config_IS[Type],,0)</f>
        <v>Op</v>
      </c>
      <c r="P174" t="str">
        <f>_xlfn.XLOOKUP(Jnl[[#This Row],[BSLv2]], dict[Key], dict[Name],,0)</f>
        <v>2.预付-订阅</v>
      </c>
      <c r="Q174" t="str">
        <f>_xlfn.XLOOKUP(Jnl[[#This Row],[Acct]], dict[Key], dict[Name],,0)</f>
        <v>预付订单</v>
      </c>
      <c r="R174" t="str">
        <f>_xlfn.XLOOKUP(Jnl[[#This Row],[Vehicle]],config_vehicle[Id], config_vehicle[Name],,0)</f>
        <v>桑木</v>
      </c>
      <c r="S174" t="str">
        <f>_xlfn.XLOOKUP(Jnl[[#This Row],[Division]],config_div[Id], config_div[Name],,0)</f>
        <v>网店</v>
      </c>
      <c r="T174" t="str">
        <f>IF(Jnl[[#This Row],[TrxDate]]&lt;=stmt_BS_date_end, "In", "Out")</f>
        <v>In</v>
      </c>
      <c r="U174" t="str">
        <f>IF(Jnl[[#This Row],[TrxDate]]&lt;debug_date_start, "prior", IF(Jnl[[#This Row],[TrxDate]]&gt;debug_date_end, "post", "curr"))</f>
        <v>curr</v>
      </c>
    </row>
    <row r="175" spans="1:21" hidden="1">
      <c r="A175" s="10" t="s">
        <v>283</v>
      </c>
      <c r="B175" s="6">
        <f>_xlfn.XLOOKUP(Jnl[[#This Row],[TrxId]], Trx[Id], Trx[Date],,0)</f>
        <v>46053</v>
      </c>
      <c r="C175" s="6" t="str">
        <f>_xlfn.XLOOKUP(Jnl[[#This Row],[TrxId]], Trx[Id], Trx[Division],,0)</f>
        <v>Online</v>
      </c>
      <c r="D175" s="6" t="str">
        <f>_xlfn.XLOOKUP(Jnl[[#This Row],[TrxId]], Trx[Id], Trx[Action],,0)</f>
        <v>订购</v>
      </c>
      <c r="E175" s="27" t="s">
        <v>87</v>
      </c>
      <c r="F175" s="10" t="s">
        <v>12</v>
      </c>
      <c r="G175" s="10" t="s">
        <v>92</v>
      </c>
      <c r="H175" s="20">
        <v>-40993</v>
      </c>
      <c r="I175" s="11" t="b">
        <f>AND(Jnl[[#This Row],[TrxId]]&lt;&gt;"",Jnl[[#This Row],[Acct]]&lt;&gt;"",Jnl[[#This Row],[Item]]&lt;&gt;"",ISNUMBER(Jnl[[#This Row],[Bal]]))</f>
        <v>1</v>
      </c>
      <c r="J175" s="9">
        <f>IF(Jnl[[#This Row],[BSLv0]]="A",1,-1)*Jnl[[#This Row],[Bal]]</f>
        <v>-40993</v>
      </c>
      <c r="K175" t="str">
        <f>_xlfn.XLOOKUP(Jnl[[#This Row],[Acct]], config_BS[Acct], config_BS[Lv0],,0)</f>
        <v>A</v>
      </c>
      <c r="L175" t="str">
        <f>_xlfn.XLOOKUP(Jnl[[#This Row],[Acct]], config_BS[Acct], config_BS[Lv1],,0)</f>
        <v>Assets</v>
      </c>
      <c r="M175" t="str">
        <f>_xlfn.XLOOKUP(Jnl[[#This Row],[Acct]], config_BS[Acct], config_BS[Lv2],,0)</f>
        <v>Cash alike</v>
      </c>
      <c r="N175" t="str">
        <f>_xlfn.XLOOKUP(Jnl[[#This Row],[TrxId]], Trx[Id], Trx[IncNode], ,0)</f>
        <v>Cost</v>
      </c>
      <c r="O175" t="str">
        <f>_xlfn.XLOOKUP(Jnl[[#This Row],[IncNode]], config_IS[Node], config_IS[Type],,0)</f>
        <v>Op</v>
      </c>
      <c r="P175" t="str">
        <f>_xlfn.XLOOKUP(Jnl[[#This Row],[BSLv2]], dict[Key], dict[Name],,0)</f>
        <v>0.现金及类似</v>
      </c>
      <c r="Q175" t="str">
        <f>_xlfn.XLOOKUP(Jnl[[#This Row],[Acct]], dict[Key], dict[Name],,0)</f>
        <v>银行</v>
      </c>
      <c r="R175" t="str">
        <f>_xlfn.XLOOKUP(Jnl[[#This Row],[Vehicle]],config_vehicle[Id], config_vehicle[Name],,0)</f>
        <v>桑木</v>
      </c>
      <c r="S175" t="str">
        <f>_xlfn.XLOOKUP(Jnl[[#This Row],[Division]],config_div[Id], config_div[Name],,0)</f>
        <v>网店</v>
      </c>
      <c r="T175" t="str">
        <f>IF(Jnl[[#This Row],[TrxDate]]&lt;=stmt_BS_date_end, "In", "Out")</f>
        <v>In</v>
      </c>
      <c r="U175" t="str">
        <f>IF(Jnl[[#This Row],[TrxDate]]&lt;debug_date_start, "prior", IF(Jnl[[#This Row],[TrxDate]]&gt;debug_date_end, "post", "curr"))</f>
        <v>curr</v>
      </c>
    </row>
    <row r="176" spans="1:21" hidden="1">
      <c r="A176" s="10" t="s">
        <v>284</v>
      </c>
      <c r="B176" s="6">
        <f>_xlfn.XLOOKUP(Jnl[[#This Row],[TrxId]], Trx[Id], Trx[Date],,0)</f>
        <v>46053</v>
      </c>
      <c r="C176" s="6" t="str">
        <f>_xlfn.XLOOKUP(Jnl[[#This Row],[TrxId]], Trx[Id], Trx[Division],,0)</f>
        <v>Online</v>
      </c>
      <c r="D176" s="6" t="str">
        <f>_xlfn.XLOOKUP(Jnl[[#This Row],[TrxId]], Trx[Id], Trx[Action],,0)</f>
        <v>入库</v>
      </c>
      <c r="E176" s="27" t="s">
        <v>82</v>
      </c>
      <c r="F176" s="10" t="s">
        <v>118</v>
      </c>
      <c r="G176" s="10" t="s">
        <v>153</v>
      </c>
      <c r="H176" s="20">
        <v>40993</v>
      </c>
      <c r="I176" s="11" t="b">
        <f>AND(Jnl[[#This Row],[TrxId]]&lt;&gt;"",Jnl[[#This Row],[Acct]]&lt;&gt;"",Jnl[[#This Row],[Item]]&lt;&gt;"",ISNUMBER(Jnl[[#This Row],[Bal]]))</f>
        <v>1</v>
      </c>
      <c r="J176" s="9">
        <f>IF(Jnl[[#This Row],[BSLv0]]="A",1,-1)*Jnl[[#This Row],[Bal]]</f>
        <v>40993</v>
      </c>
      <c r="K176" t="str">
        <f>_xlfn.XLOOKUP(Jnl[[#This Row],[Acct]], config_BS[Acct], config_BS[Lv0],,0)</f>
        <v>A</v>
      </c>
      <c r="L176" t="str">
        <f>_xlfn.XLOOKUP(Jnl[[#This Row],[Acct]], config_BS[Acct], config_BS[Lv1],,0)</f>
        <v>Assets</v>
      </c>
      <c r="M176" t="str">
        <f>_xlfn.XLOOKUP(Jnl[[#This Row],[Acct]], config_BS[Acct], config_BS[Lv2],,0)</f>
        <v>Invtr</v>
      </c>
      <c r="N176" t="str">
        <f>_xlfn.XLOOKUP(Jnl[[#This Row],[TrxId]], Trx[Id], Trx[IncNode], ,0)</f>
        <v>Cost</v>
      </c>
      <c r="O176" t="str">
        <f>_xlfn.XLOOKUP(Jnl[[#This Row],[IncNode]], config_IS[Node], config_IS[Type],,0)</f>
        <v>Op</v>
      </c>
      <c r="P176" t="str">
        <f>_xlfn.XLOOKUP(Jnl[[#This Row],[BSLv2]], dict[Key], dict[Name],,0)</f>
        <v>3.库存占款</v>
      </c>
      <c r="Q176" t="str">
        <f>_xlfn.XLOOKUP(Jnl[[#This Row],[Acct]], dict[Key], dict[Name],,0)</f>
        <v>当期存货</v>
      </c>
      <c r="R176" t="str">
        <f>_xlfn.XLOOKUP(Jnl[[#This Row],[Vehicle]],config_vehicle[Id], config_vehicle[Name],,0)</f>
        <v>远家花园</v>
      </c>
      <c r="S176" t="str">
        <f>_xlfn.XLOOKUP(Jnl[[#This Row],[Division]],config_div[Id], config_div[Name],,0)</f>
        <v>网店</v>
      </c>
      <c r="T176" t="str">
        <f>IF(Jnl[[#This Row],[TrxDate]]&lt;=stmt_BS_date_end, "In", "Out")</f>
        <v>In</v>
      </c>
      <c r="U176" t="str">
        <f>IF(Jnl[[#This Row],[TrxDate]]&lt;debug_date_start, "prior", IF(Jnl[[#This Row],[TrxDate]]&gt;debug_date_end, "post", "curr"))</f>
        <v>curr</v>
      </c>
    </row>
    <row r="177" spans="1:21" hidden="1">
      <c r="A177" s="10" t="s">
        <v>284</v>
      </c>
      <c r="B177" s="6">
        <f>_xlfn.XLOOKUP(Jnl[[#This Row],[TrxId]], Trx[Id], Trx[Date],,0)</f>
        <v>46053</v>
      </c>
      <c r="C177" s="6" t="str">
        <f>_xlfn.XLOOKUP(Jnl[[#This Row],[TrxId]], Trx[Id], Trx[Division],,0)</f>
        <v>Online</v>
      </c>
      <c r="D177" s="6" t="str">
        <f>_xlfn.XLOOKUP(Jnl[[#This Row],[TrxId]], Trx[Id], Trx[Action],,0)</f>
        <v>入库</v>
      </c>
      <c r="E177" s="27" t="s">
        <v>87</v>
      </c>
      <c r="F177" s="10" t="s">
        <v>117</v>
      </c>
      <c r="G177" s="10" t="s">
        <v>146</v>
      </c>
      <c r="H177" s="20">
        <v>-40993</v>
      </c>
      <c r="I177" s="11" t="b">
        <f>AND(Jnl[[#This Row],[TrxId]]&lt;&gt;"",Jnl[[#This Row],[Acct]]&lt;&gt;"",Jnl[[#This Row],[Item]]&lt;&gt;"",ISNUMBER(Jnl[[#This Row],[Bal]]))</f>
        <v>1</v>
      </c>
      <c r="J177" s="9">
        <f>IF(Jnl[[#This Row],[BSLv0]]="A",1,-1)*Jnl[[#This Row],[Bal]]</f>
        <v>-40993</v>
      </c>
      <c r="K177" t="str">
        <f>_xlfn.XLOOKUP(Jnl[[#This Row],[Acct]], config_BS[Acct], config_BS[Lv0],,0)</f>
        <v>A</v>
      </c>
      <c r="L177" t="str">
        <f>_xlfn.XLOOKUP(Jnl[[#This Row],[Acct]], config_BS[Acct], config_BS[Lv1],,0)</f>
        <v>Assets</v>
      </c>
      <c r="M177" t="str">
        <f>_xlfn.XLOOKUP(Jnl[[#This Row],[Acct]], config_BS[Acct], config_BS[Lv2],,0)</f>
        <v>Prep-Sub</v>
      </c>
      <c r="N177" t="str">
        <f>_xlfn.XLOOKUP(Jnl[[#This Row],[TrxId]], Trx[Id], Trx[IncNode], ,0)</f>
        <v>Cost</v>
      </c>
      <c r="O177" t="str">
        <f>_xlfn.XLOOKUP(Jnl[[#This Row],[IncNode]], config_IS[Node], config_IS[Type],,0)</f>
        <v>Op</v>
      </c>
      <c r="P177" t="str">
        <f>_xlfn.XLOOKUP(Jnl[[#This Row],[BSLv2]], dict[Key], dict[Name],,0)</f>
        <v>2.预付-订阅</v>
      </c>
      <c r="Q177" t="str">
        <f>_xlfn.XLOOKUP(Jnl[[#This Row],[Acct]], dict[Key], dict[Name],,0)</f>
        <v>预付订单</v>
      </c>
      <c r="R177" t="str">
        <f>_xlfn.XLOOKUP(Jnl[[#This Row],[Vehicle]],config_vehicle[Id], config_vehicle[Name],,0)</f>
        <v>桑木</v>
      </c>
      <c r="S177" t="str">
        <f>_xlfn.XLOOKUP(Jnl[[#This Row],[Division]],config_div[Id], config_div[Name],,0)</f>
        <v>网店</v>
      </c>
      <c r="T177" t="str">
        <f>IF(Jnl[[#This Row],[TrxDate]]&lt;=stmt_BS_date_end, "In", "Out")</f>
        <v>In</v>
      </c>
      <c r="U177" t="str">
        <f>IF(Jnl[[#This Row],[TrxDate]]&lt;debug_date_start, "prior", IF(Jnl[[#This Row],[TrxDate]]&gt;debug_date_end, "post", "curr"))</f>
        <v>curr</v>
      </c>
    </row>
    <row r="178" spans="1:21" hidden="1">
      <c r="A178" s="10" t="s">
        <v>319</v>
      </c>
      <c r="B178" s="6">
        <f>_xlfn.XLOOKUP(Jnl[[#This Row],[TrxId]], Trx[Id], Trx[Date],,0)</f>
        <v>46053</v>
      </c>
      <c r="C178" s="6" t="str">
        <f>_xlfn.XLOOKUP(Jnl[[#This Row],[TrxId]], Trx[Id], Trx[Division],,0)</f>
        <v>GM</v>
      </c>
      <c r="D178" s="6" t="str">
        <f>_xlfn.XLOOKUP(Jnl[[#This Row],[TrxId]], Trx[Id], Trx[Action],,0)</f>
        <v>银行费</v>
      </c>
      <c r="E178" s="27" t="s">
        <v>87</v>
      </c>
      <c r="F178" s="10" t="s">
        <v>12</v>
      </c>
      <c r="G178" s="10" t="s">
        <v>92</v>
      </c>
      <c r="H178" s="37">
        <v>-107</v>
      </c>
      <c r="I178" s="11" t="b">
        <f>AND(Jnl[[#This Row],[TrxId]]&lt;&gt;"",Jnl[[#This Row],[Acct]]&lt;&gt;"",Jnl[[#This Row],[Item]]&lt;&gt;"",ISNUMBER(Jnl[[#This Row],[Bal]]))</f>
        <v>1</v>
      </c>
      <c r="J178" s="9">
        <f>IF(Jnl[[#This Row],[BSLv0]]="A",1,-1)*Jnl[[#This Row],[Bal]]</f>
        <v>-107</v>
      </c>
      <c r="K178" t="str">
        <f>_xlfn.XLOOKUP(Jnl[[#This Row],[Acct]], config_BS[Acct], config_BS[Lv0],,0)</f>
        <v>A</v>
      </c>
      <c r="L178" t="str">
        <f>_xlfn.XLOOKUP(Jnl[[#This Row],[Acct]], config_BS[Acct], config_BS[Lv1],,0)</f>
        <v>Assets</v>
      </c>
      <c r="M178" t="str">
        <f>_xlfn.XLOOKUP(Jnl[[#This Row],[Acct]], config_BS[Acct], config_BS[Lv2],,0)</f>
        <v>Cash alike</v>
      </c>
      <c r="N178" t="str">
        <f>_xlfn.XLOOKUP(Jnl[[#This Row],[TrxId]], Trx[Id], Trx[IncNode], ,0)</f>
        <v>Expense</v>
      </c>
      <c r="O178" t="str">
        <f>_xlfn.XLOOKUP(Jnl[[#This Row],[IncNode]], config_IS[Node], config_IS[Type],,0)</f>
        <v>Op</v>
      </c>
      <c r="P178" t="str">
        <f>_xlfn.XLOOKUP(Jnl[[#This Row],[BSLv2]], dict[Key], dict[Name],,0)</f>
        <v>0.现金及类似</v>
      </c>
      <c r="Q178" t="str">
        <f>_xlfn.XLOOKUP(Jnl[[#This Row],[Acct]], dict[Key], dict[Name],,0)</f>
        <v>银行</v>
      </c>
      <c r="R178" t="str">
        <f>_xlfn.XLOOKUP(Jnl[[#This Row],[Vehicle]],config_vehicle[Id], config_vehicle[Name],,0)</f>
        <v>桑木</v>
      </c>
      <c r="S178" t="str">
        <f>_xlfn.XLOOKUP(Jnl[[#This Row],[Division]],config_div[Id], config_div[Name],,0)</f>
        <v>综合管理</v>
      </c>
      <c r="T178" t="str">
        <f>IF(Jnl[[#This Row],[TrxDate]]&lt;=stmt_BS_date_end, "In", "Out")</f>
        <v>In</v>
      </c>
      <c r="U178" t="str">
        <f>IF(Jnl[[#This Row],[TrxDate]]&lt;debug_date_start, "prior", IF(Jnl[[#This Row],[TrxDate]]&gt;debug_date_end, "post", "curr"))</f>
        <v>curr</v>
      </c>
    </row>
    <row r="179" spans="1:21" hidden="1">
      <c r="A179" s="10" t="s">
        <v>321</v>
      </c>
      <c r="B179" s="6">
        <f>_xlfn.XLOOKUP(Jnl[[#This Row],[TrxId]], Trx[Id], Trx[Date],,0)</f>
        <v>46053</v>
      </c>
      <c r="C179" s="6" t="str">
        <f>_xlfn.XLOOKUP(Jnl[[#This Row],[TrxId]], Trx[Id], Trx[Division],,0)</f>
        <v>GM</v>
      </c>
      <c r="D179" s="6" t="str">
        <f>_xlfn.XLOOKUP(Jnl[[#This Row],[TrxId]], Trx[Id], Trx[Action],,0)</f>
        <v>薪酬-工资</v>
      </c>
      <c r="E179" s="27" t="s">
        <v>87</v>
      </c>
      <c r="F179" s="10" t="s">
        <v>191</v>
      </c>
      <c r="G179" s="10" t="s">
        <v>152</v>
      </c>
      <c r="H179" s="37">
        <v>8646.67</v>
      </c>
      <c r="I179" s="11" t="b">
        <f>AND(Jnl[[#This Row],[TrxId]]&lt;&gt;"",Jnl[[#This Row],[Acct]]&lt;&gt;"",Jnl[[#This Row],[Item]]&lt;&gt;"",ISNUMBER(Jnl[[#This Row],[Bal]]))</f>
        <v>1</v>
      </c>
      <c r="J179" s="9">
        <f>IF(Jnl[[#This Row],[BSLv0]]="A",1,-1)*Jnl[[#This Row],[Bal]]</f>
        <v>-8646.67</v>
      </c>
      <c r="K179" t="str">
        <f>_xlfn.XLOOKUP(Jnl[[#This Row],[Acct]], config_BS[Acct], config_BS[Lv0],,0)</f>
        <v>LC</v>
      </c>
      <c r="L179" t="str">
        <f>_xlfn.XLOOKUP(Jnl[[#This Row],[Acct]], config_BS[Acct], config_BS[Lv1],,0)</f>
        <v>Liability</v>
      </c>
      <c r="M179" t="str">
        <f>_xlfn.XLOOKUP(Jnl[[#This Row],[Acct]], config_BS[Acct], config_BS[Lv2],,0)</f>
        <v>Rec-Pay</v>
      </c>
      <c r="N179" t="str">
        <f>_xlfn.XLOOKUP(Jnl[[#This Row],[TrxId]], Trx[Id], Trx[IncNode], ,0)</f>
        <v>Expense</v>
      </c>
      <c r="O179" t="str">
        <f>_xlfn.XLOOKUP(Jnl[[#This Row],[IncNode]], config_IS[Node], config_IS[Type],,0)</f>
        <v>Op</v>
      </c>
      <c r="P179" t="str">
        <f>_xlfn.XLOOKUP(Jnl[[#This Row],[BSLv2]], dict[Key], dict[Name],,0)</f>
        <v>1.应收-应付</v>
      </c>
      <c r="Q179" t="str">
        <f>_xlfn.XLOOKUP(Jnl[[#This Row],[Acct]], dict[Key], dict[Name],,0)</f>
        <v>应付-薪资</v>
      </c>
      <c r="R179" t="str">
        <f>_xlfn.XLOOKUP(Jnl[[#This Row],[Vehicle]],config_vehicle[Id], config_vehicle[Name],,0)</f>
        <v>桑木</v>
      </c>
      <c r="S179" t="str">
        <f>_xlfn.XLOOKUP(Jnl[[#This Row],[Division]],config_div[Id], config_div[Name],,0)</f>
        <v>综合管理</v>
      </c>
      <c r="T179" t="str">
        <f>IF(Jnl[[#This Row],[TrxDate]]&lt;=stmt_BS_date_end, "In", "Out")</f>
        <v>In</v>
      </c>
      <c r="U179" t="str">
        <f>IF(Jnl[[#This Row],[TrxDate]]&lt;debug_date_start, "prior", IF(Jnl[[#This Row],[TrxDate]]&gt;debug_date_end, "post", "curr"))</f>
        <v>curr</v>
      </c>
    </row>
    <row r="180" spans="1:21" hidden="1">
      <c r="A180" t="s">
        <v>1346</v>
      </c>
      <c r="B180" s="6">
        <f>_xlfn.XLOOKUP(Jnl[[#This Row],[TrxId]], Trx[Id], Trx[Date],,0)</f>
        <v>46053</v>
      </c>
      <c r="C180" s="6" t="str">
        <f>_xlfn.XLOOKUP(Jnl[[#This Row],[TrxId]], Trx[Id], Trx[Division],,0)</f>
        <v>Online</v>
      </c>
      <c r="D180" s="6" t="str">
        <f>_xlfn.XLOOKUP(Jnl[[#This Row],[TrxId]], Trx[Id], Trx[Action],,0)</f>
        <v>薪酬-工资</v>
      </c>
      <c r="E180" s="27" t="s">
        <v>87</v>
      </c>
      <c r="F180" s="10" t="s">
        <v>191</v>
      </c>
      <c r="G180" s="10" t="s">
        <v>152</v>
      </c>
      <c r="H180" s="93">
        <v>8106.66</v>
      </c>
      <c r="I180" s="11" t="b">
        <f>AND(Jnl[[#This Row],[TrxId]]&lt;&gt;"",Jnl[[#This Row],[Acct]]&lt;&gt;"",Jnl[[#This Row],[Item]]&lt;&gt;"",ISNUMBER(Jnl[[#This Row],[Bal]]))</f>
        <v>1</v>
      </c>
      <c r="J180" s="94">
        <f>IF(Jnl[[#This Row],[BSLv0]]="A",1,-1)*Jnl[[#This Row],[Bal]]</f>
        <v>-8106.66</v>
      </c>
      <c r="K180" t="str">
        <f>_xlfn.XLOOKUP(Jnl[[#This Row],[Acct]], config_BS[Acct], config_BS[Lv0],,0)</f>
        <v>LC</v>
      </c>
      <c r="L180" t="str">
        <f>_xlfn.XLOOKUP(Jnl[[#This Row],[Acct]], config_BS[Acct], config_BS[Lv1],,0)</f>
        <v>Liability</v>
      </c>
      <c r="M180" t="str">
        <f>_xlfn.XLOOKUP(Jnl[[#This Row],[Acct]], config_BS[Acct], config_BS[Lv2],,0)</f>
        <v>Rec-Pay</v>
      </c>
      <c r="N180" t="str">
        <f>_xlfn.XLOOKUP(Jnl[[#This Row],[TrxId]], Trx[Id], Trx[IncNode], ,0)</f>
        <v>Expense</v>
      </c>
      <c r="O180" t="str">
        <f>_xlfn.XLOOKUP(Jnl[[#This Row],[IncNode]], config_IS[Node], config_IS[Type],,0)</f>
        <v>Op</v>
      </c>
      <c r="P180" s="95" t="str">
        <f>_xlfn.XLOOKUP(Jnl[[#This Row],[BSLv2]], dict[Key], dict[Name],,0)</f>
        <v>1.应收-应付</v>
      </c>
      <c r="Q180" s="95" t="str">
        <f>_xlfn.XLOOKUP(Jnl[[#This Row],[Acct]], dict[Key], dict[Name],,0)</f>
        <v>应付-薪资</v>
      </c>
      <c r="R180" s="95" t="str">
        <f>_xlfn.XLOOKUP(Jnl[[#This Row],[Vehicle]],config_vehicle[Id], config_vehicle[Name],,0)</f>
        <v>桑木</v>
      </c>
      <c r="S180" s="95" t="str">
        <f>_xlfn.XLOOKUP(Jnl[[#This Row],[Division]],config_div[Id], config_div[Name],,0)</f>
        <v>网店</v>
      </c>
      <c r="T180" s="95" t="str">
        <f>IF(Jnl[[#This Row],[TrxDate]]&lt;=stmt_BS_date_end, "In", "Out")</f>
        <v>In</v>
      </c>
      <c r="U180" s="95" t="str">
        <f>IF(Jnl[[#This Row],[TrxDate]]&lt;debug_date_start, "prior", IF(Jnl[[#This Row],[TrxDate]]&gt;debug_date_end, "post", "curr"))</f>
        <v>curr</v>
      </c>
    </row>
    <row r="181" spans="1:21" hidden="1">
      <c r="A181" s="10" t="s">
        <v>322</v>
      </c>
      <c r="B181" s="6">
        <f>_xlfn.XLOOKUP(Jnl[[#This Row],[TrxId]], Trx[Id], Trx[Date],,0)</f>
        <v>46053</v>
      </c>
      <c r="C181" s="6" t="str">
        <f>_xlfn.XLOOKUP(Jnl[[#This Row],[TrxId]], Trx[Id], Trx[Division],,0)</f>
        <v>GM</v>
      </c>
      <c r="D181" s="6" t="str">
        <f>_xlfn.XLOOKUP(Jnl[[#This Row],[TrxId]], Trx[Id], Trx[Action],,0)</f>
        <v>年终奖</v>
      </c>
      <c r="E181" s="27" t="s">
        <v>87</v>
      </c>
      <c r="F181" s="10" t="s">
        <v>191</v>
      </c>
      <c r="G181" s="10" t="s">
        <v>323</v>
      </c>
      <c r="H181" s="37">
        <v>13975</v>
      </c>
      <c r="I181" s="11" t="b">
        <f>AND(Jnl[[#This Row],[TrxId]]&lt;&gt;"",Jnl[[#This Row],[Acct]]&lt;&gt;"",Jnl[[#This Row],[Item]]&lt;&gt;"",ISNUMBER(Jnl[[#This Row],[Bal]]))</f>
        <v>1</v>
      </c>
      <c r="J181" s="9">
        <f>IF(Jnl[[#This Row],[BSLv0]]="A",1,-1)*Jnl[[#This Row],[Bal]]</f>
        <v>-13975</v>
      </c>
      <c r="K181" t="str">
        <f>_xlfn.XLOOKUP(Jnl[[#This Row],[Acct]], config_BS[Acct], config_BS[Lv0],,0)</f>
        <v>LC</v>
      </c>
      <c r="L181" t="str">
        <f>_xlfn.XLOOKUP(Jnl[[#This Row],[Acct]], config_BS[Acct], config_BS[Lv1],,0)</f>
        <v>Liability</v>
      </c>
      <c r="M181" t="str">
        <f>_xlfn.XLOOKUP(Jnl[[#This Row],[Acct]], config_BS[Acct], config_BS[Lv2],,0)</f>
        <v>Rec-Pay</v>
      </c>
      <c r="N181" t="str">
        <f>_xlfn.XLOOKUP(Jnl[[#This Row],[TrxId]], Trx[Id], Trx[IncNode], ,0)</f>
        <v>Discretion</v>
      </c>
      <c r="O181" t="str">
        <f>_xlfn.XLOOKUP(Jnl[[#This Row],[IncNode]], config_IS[Node], config_IS[Type],,0)</f>
        <v>Non-Op</v>
      </c>
      <c r="P181" t="str">
        <f>_xlfn.XLOOKUP(Jnl[[#This Row],[BSLv2]], dict[Key], dict[Name],,0)</f>
        <v>1.应收-应付</v>
      </c>
      <c r="Q181" t="str">
        <f>_xlfn.XLOOKUP(Jnl[[#This Row],[Acct]], dict[Key], dict[Name],,0)</f>
        <v>应付-薪资</v>
      </c>
      <c r="R181" t="str">
        <f>_xlfn.XLOOKUP(Jnl[[#This Row],[Vehicle]],config_vehicle[Id], config_vehicle[Name],,0)</f>
        <v>桑木</v>
      </c>
      <c r="S181" t="str">
        <f>_xlfn.XLOOKUP(Jnl[[#This Row],[Division]],config_div[Id], config_div[Name],,0)</f>
        <v>综合管理</v>
      </c>
      <c r="T181" t="str">
        <f>IF(Jnl[[#This Row],[TrxDate]]&lt;=stmt_BS_date_end, "In", "Out")</f>
        <v>In</v>
      </c>
      <c r="U181" t="str">
        <f>IF(Jnl[[#This Row],[TrxDate]]&lt;debug_date_start, "prior", IF(Jnl[[#This Row],[TrxDate]]&gt;debug_date_end, "post", "curr"))</f>
        <v>curr</v>
      </c>
    </row>
    <row r="182" spans="1:21" hidden="1">
      <c r="A182" s="10" t="s">
        <v>324</v>
      </c>
      <c r="B182" s="6">
        <f>_xlfn.XLOOKUP(Jnl[[#This Row],[TrxId]], Trx[Id], Trx[Date],,0)</f>
        <v>46053</v>
      </c>
      <c r="C182" s="6" t="str">
        <f>_xlfn.XLOOKUP(Jnl[[#This Row],[TrxId]], Trx[Id], Trx[Division],,0)</f>
        <v>Online</v>
      </c>
      <c r="D182" s="6" t="str">
        <f>_xlfn.XLOOKUP(Jnl[[#This Row],[TrxId]], Trx[Id], Trx[Action],,0)</f>
        <v>设计</v>
      </c>
      <c r="E182" s="27" t="s">
        <v>86</v>
      </c>
      <c r="F182" s="10" t="s">
        <v>12</v>
      </c>
      <c r="G182" s="10" t="s">
        <v>395</v>
      </c>
      <c r="H182" s="37">
        <v>-2970</v>
      </c>
      <c r="I182" s="11" t="b">
        <f>AND(Jnl[[#This Row],[TrxId]]&lt;&gt;"",Jnl[[#This Row],[Acct]]&lt;&gt;"",Jnl[[#This Row],[Item]]&lt;&gt;"",ISNUMBER(Jnl[[#This Row],[Bal]]))</f>
        <v>1</v>
      </c>
      <c r="J182" s="9">
        <f>IF(Jnl[[#This Row],[BSLv0]]="A",1,-1)*Jnl[[#This Row],[Bal]]</f>
        <v>-2970</v>
      </c>
      <c r="K182" t="str">
        <f>_xlfn.XLOOKUP(Jnl[[#This Row],[Acct]], config_BS[Acct], config_BS[Lv0],,0)</f>
        <v>A</v>
      </c>
      <c r="L182" t="str">
        <f>_xlfn.XLOOKUP(Jnl[[#This Row],[Acct]], config_BS[Acct], config_BS[Lv1],,0)</f>
        <v>Assets</v>
      </c>
      <c r="M182" t="str">
        <f>_xlfn.XLOOKUP(Jnl[[#This Row],[Acct]], config_BS[Acct], config_BS[Lv2],,0)</f>
        <v>Cash alike</v>
      </c>
      <c r="N182" t="str">
        <f>_xlfn.XLOOKUP(Jnl[[#This Row],[TrxId]], Trx[Id], Trx[IncNode], ,0)</f>
        <v>Expense</v>
      </c>
      <c r="O182" t="str">
        <f>_xlfn.XLOOKUP(Jnl[[#This Row],[IncNode]], config_IS[Node], config_IS[Type],,0)</f>
        <v>Op</v>
      </c>
      <c r="P182" t="str">
        <f>_xlfn.XLOOKUP(Jnl[[#This Row],[BSLv2]], dict[Key], dict[Name],,0)</f>
        <v>0.现金及类似</v>
      </c>
      <c r="Q182" t="str">
        <f>_xlfn.XLOOKUP(Jnl[[#This Row],[Acct]], dict[Key], dict[Name],,0)</f>
        <v>银行</v>
      </c>
      <c r="R182" t="str">
        <f>_xlfn.XLOOKUP(Jnl[[#This Row],[Vehicle]],config_vehicle[Id], config_vehicle[Name],,0)</f>
        <v>榆乐</v>
      </c>
      <c r="S182" t="str">
        <f>_xlfn.XLOOKUP(Jnl[[#This Row],[Division]],config_div[Id], config_div[Name],,0)</f>
        <v>网店</v>
      </c>
      <c r="T182" t="str">
        <f>IF(Jnl[[#This Row],[TrxDate]]&lt;=stmt_BS_date_end, "In", "Out")</f>
        <v>In</v>
      </c>
      <c r="U182" t="str">
        <f>IF(Jnl[[#This Row],[TrxDate]]&lt;debug_date_start, "prior", IF(Jnl[[#This Row],[TrxDate]]&gt;debug_date_end, "post", "curr"))</f>
        <v>curr</v>
      </c>
    </row>
    <row r="183" spans="1:21" hidden="1">
      <c r="A183" s="39" t="s">
        <v>332</v>
      </c>
      <c r="B183" s="6">
        <f>_xlfn.XLOOKUP(Jnl[[#This Row],[TrxId]], Trx[Id], Trx[Date],,0)</f>
        <v>46053</v>
      </c>
      <c r="C183" s="6" t="str">
        <f>_xlfn.XLOOKUP(Jnl[[#This Row],[TrxId]], Trx[Id], Trx[Division],,0)</f>
        <v>Online</v>
      </c>
      <c r="D183" s="6" t="str">
        <f>_xlfn.XLOOKUP(Jnl[[#This Row],[TrxId]], Trx[Id], Trx[Action],,0)</f>
        <v>设计</v>
      </c>
      <c r="E183" s="27" t="s">
        <v>86</v>
      </c>
      <c r="F183" s="10" t="s">
        <v>12</v>
      </c>
      <c r="G183" s="10" t="s">
        <v>395</v>
      </c>
      <c r="H183" s="37">
        <v>-1230</v>
      </c>
      <c r="I183" s="11" t="b">
        <f>AND(Jnl[[#This Row],[TrxId]]&lt;&gt;"",Jnl[[#This Row],[Acct]]&lt;&gt;"",Jnl[[#This Row],[Item]]&lt;&gt;"",ISNUMBER(Jnl[[#This Row],[Bal]]))</f>
        <v>1</v>
      </c>
      <c r="J183" s="9">
        <f>IF(Jnl[[#This Row],[BSLv0]]="A",1,-1)*Jnl[[#This Row],[Bal]]</f>
        <v>-1230</v>
      </c>
      <c r="K183" t="str">
        <f>_xlfn.XLOOKUP(Jnl[[#This Row],[Acct]], config_BS[Acct], config_BS[Lv0],,0)</f>
        <v>A</v>
      </c>
      <c r="L183" t="str">
        <f>_xlfn.XLOOKUP(Jnl[[#This Row],[Acct]], config_BS[Acct], config_BS[Lv1],,0)</f>
        <v>Assets</v>
      </c>
      <c r="M183" t="str">
        <f>_xlfn.XLOOKUP(Jnl[[#This Row],[Acct]], config_BS[Acct], config_BS[Lv2],,0)</f>
        <v>Cash alike</v>
      </c>
      <c r="N183" t="str">
        <f>_xlfn.XLOOKUP(Jnl[[#This Row],[TrxId]], Trx[Id], Trx[IncNode], ,0)</f>
        <v>Expense</v>
      </c>
      <c r="O183" t="str">
        <f>_xlfn.XLOOKUP(Jnl[[#This Row],[IncNode]], config_IS[Node], config_IS[Type],,0)</f>
        <v>Op</v>
      </c>
      <c r="P183" t="str">
        <f>_xlfn.XLOOKUP(Jnl[[#This Row],[BSLv2]], dict[Key], dict[Name],,0)</f>
        <v>0.现金及类似</v>
      </c>
      <c r="Q183" t="str">
        <f>_xlfn.XLOOKUP(Jnl[[#This Row],[Acct]], dict[Key], dict[Name],,0)</f>
        <v>银行</v>
      </c>
      <c r="R183" t="str">
        <f>_xlfn.XLOOKUP(Jnl[[#This Row],[Vehicle]],config_vehicle[Id], config_vehicle[Name],,0)</f>
        <v>榆乐</v>
      </c>
      <c r="S183" t="str">
        <f>_xlfn.XLOOKUP(Jnl[[#This Row],[Division]],config_div[Id], config_div[Name],,0)</f>
        <v>网店</v>
      </c>
      <c r="T183" t="str">
        <f>IF(Jnl[[#This Row],[TrxDate]]&lt;=stmt_BS_date_end, "In", "Out")</f>
        <v>In</v>
      </c>
      <c r="U183" t="str">
        <f>IF(Jnl[[#This Row],[TrxDate]]&lt;debug_date_start, "prior", IF(Jnl[[#This Row],[TrxDate]]&gt;debug_date_end, "post", "curr"))</f>
        <v>curr</v>
      </c>
    </row>
    <row r="184" spans="1:21" hidden="1">
      <c r="A184" s="39" t="s">
        <v>334</v>
      </c>
      <c r="B184" s="6">
        <f>_xlfn.XLOOKUP(Jnl[[#This Row],[TrxId]], Trx[Id], Trx[Date],,0)</f>
        <v>46053</v>
      </c>
      <c r="C184" s="6" t="str">
        <f>_xlfn.XLOOKUP(Jnl[[#This Row],[TrxId]], Trx[Id], Trx[Division],,0)</f>
        <v>GM</v>
      </c>
      <c r="D184" s="6" t="str">
        <f>_xlfn.XLOOKUP(Jnl[[#This Row],[TrxId]], Trx[Id], Trx[Action],,0)</f>
        <v>招待</v>
      </c>
      <c r="E184" s="27" t="s">
        <v>86</v>
      </c>
      <c r="F184" s="10" t="s">
        <v>12</v>
      </c>
      <c r="G184" s="10" t="s">
        <v>395</v>
      </c>
      <c r="H184" s="37">
        <v>-458</v>
      </c>
      <c r="I184" s="11" t="b">
        <f>AND(Jnl[[#This Row],[TrxId]]&lt;&gt;"",Jnl[[#This Row],[Acct]]&lt;&gt;"",Jnl[[#This Row],[Item]]&lt;&gt;"",ISNUMBER(Jnl[[#This Row],[Bal]]))</f>
        <v>1</v>
      </c>
      <c r="J184" s="9">
        <f>IF(Jnl[[#This Row],[BSLv0]]="A",1,-1)*Jnl[[#This Row],[Bal]]</f>
        <v>-458</v>
      </c>
      <c r="K184" t="str">
        <f>_xlfn.XLOOKUP(Jnl[[#This Row],[Acct]], config_BS[Acct], config_BS[Lv0],,0)</f>
        <v>A</v>
      </c>
      <c r="L184" t="str">
        <f>_xlfn.XLOOKUP(Jnl[[#This Row],[Acct]], config_BS[Acct], config_BS[Lv1],,0)</f>
        <v>Assets</v>
      </c>
      <c r="M184" t="str">
        <f>_xlfn.XLOOKUP(Jnl[[#This Row],[Acct]], config_BS[Acct], config_BS[Lv2],,0)</f>
        <v>Cash alike</v>
      </c>
      <c r="N184" t="str">
        <f>_xlfn.XLOOKUP(Jnl[[#This Row],[TrxId]], Trx[Id], Trx[IncNode], ,0)</f>
        <v>Expense</v>
      </c>
      <c r="O184" t="str">
        <f>_xlfn.XLOOKUP(Jnl[[#This Row],[IncNode]], config_IS[Node], config_IS[Type],,0)</f>
        <v>Op</v>
      </c>
      <c r="P184" t="str">
        <f>_xlfn.XLOOKUP(Jnl[[#This Row],[BSLv2]], dict[Key], dict[Name],,0)</f>
        <v>0.现金及类似</v>
      </c>
      <c r="Q184" t="str">
        <f>_xlfn.XLOOKUP(Jnl[[#This Row],[Acct]], dict[Key], dict[Name],,0)</f>
        <v>银行</v>
      </c>
      <c r="R184" t="str">
        <f>_xlfn.XLOOKUP(Jnl[[#This Row],[Vehicle]],config_vehicle[Id], config_vehicle[Name],,0)</f>
        <v>榆乐</v>
      </c>
      <c r="S184" t="str">
        <f>_xlfn.XLOOKUP(Jnl[[#This Row],[Division]],config_div[Id], config_div[Name],,0)</f>
        <v>综合管理</v>
      </c>
      <c r="T184" t="str">
        <f>IF(Jnl[[#This Row],[TrxDate]]&lt;=stmt_BS_date_end, "In", "Out")</f>
        <v>In</v>
      </c>
      <c r="U184" t="str">
        <f>IF(Jnl[[#This Row],[TrxDate]]&lt;debug_date_start, "prior", IF(Jnl[[#This Row],[TrxDate]]&gt;debug_date_end, "post", "curr"))</f>
        <v>curr</v>
      </c>
    </row>
    <row r="185" spans="1:21" hidden="1">
      <c r="A185" s="39" t="s">
        <v>336</v>
      </c>
      <c r="B185" s="6">
        <f>_xlfn.XLOOKUP(Jnl[[#This Row],[TrxId]], Trx[Id], Trx[Date],,0)</f>
        <v>46053</v>
      </c>
      <c r="C185" s="6" t="str">
        <f>_xlfn.XLOOKUP(Jnl[[#This Row],[TrxId]], Trx[Id], Trx[Division],,0)</f>
        <v>GM</v>
      </c>
      <c r="D185" s="6" t="str">
        <f>_xlfn.XLOOKUP(Jnl[[#This Row],[TrxId]], Trx[Id], Trx[Action],,0)</f>
        <v>招待</v>
      </c>
      <c r="E185" s="27" t="s">
        <v>86</v>
      </c>
      <c r="F185" s="10" t="s">
        <v>12</v>
      </c>
      <c r="G185" s="10" t="s">
        <v>395</v>
      </c>
      <c r="H185" s="37">
        <v>-355</v>
      </c>
      <c r="I185" s="11" t="b">
        <f>AND(Jnl[[#This Row],[TrxId]]&lt;&gt;"",Jnl[[#This Row],[Acct]]&lt;&gt;"",Jnl[[#This Row],[Item]]&lt;&gt;"",ISNUMBER(Jnl[[#This Row],[Bal]]))</f>
        <v>1</v>
      </c>
      <c r="J185" s="9">
        <f>IF(Jnl[[#This Row],[BSLv0]]="A",1,-1)*Jnl[[#This Row],[Bal]]</f>
        <v>-355</v>
      </c>
      <c r="K185" t="str">
        <f>_xlfn.XLOOKUP(Jnl[[#This Row],[Acct]], config_BS[Acct], config_BS[Lv0],,0)</f>
        <v>A</v>
      </c>
      <c r="L185" t="str">
        <f>_xlfn.XLOOKUP(Jnl[[#This Row],[Acct]], config_BS[Acct], config_BS[Lv1],,0)</f>
        <v>Assets</v>
      </c>
      <c r="M185" t="str">
        <f>_xlfn.XLOOKUP(Jnl[[#This Row],[Acct]], config_BS[Acct], config_BS[Lv2],,0)</f>
        <v>Cash alike</v>
      </c>
      <c r="N185" t="str">
        <f>_xlfn.XLOOKUP(Jnl[[#This Row],[TrxId]], Trx[Id], Trx[IncNode], ,0)</f>
        <v>Expense</v>
      </c>
      <c r="O185" t="str">
        <f>_xlfn.XLOOKUP(Jnl[[#This Row],[IncNode]], config_IS[Node], config_IS[Type],,0)</f>
        <v>Op</v>
      </c>
      <c r="P185" t="str">
        <f>_xlfn.XLOOKUP(Jnl[[#This Row],[BSLv2]], dict[Key], dict[Name],,0)</f>
        <v>0.现金及类似</v>
      </c>
      <c r="Q185" t="str">
        <f>_xlfn.XLOOKUP(Jnl[[#This Row],[Acct]], dict[Key], dict[Name],,0)</f>
        <v>银行</v>
      </c>
      <c r="R185" t="str">
        <f>_xlfn.XLOOKUP(Jnl[[#This Row],[Vehicle]],config_vehicle[Id], config_vehicle[Name],,0)</f>
        <v>榆乐</v>
      </c>
      <c r="S185" t="str">
        <f>_xlfn.XLOOKUP(Jnl[[#This Row],[Division]],config_div[Id], config_div[Name],,0)</f>
        <v>综合管理</v>
      </c>
      <c r="T185" t="str">
        <f>IF(Jnl[[#This Row],[TrxDate]]&lt;=stmt_BS_date_end, "In", "Out")</f>
        <v>In</v>
      </c>
      <c r="U185" t="str">
        <f>IF(Jnl[[#This Row],[TrxDate]]&lt;debug_date_start, "prior", IF(Jnl[[#This Row],[TrxDate]]&gt;debug_date_end, "post", "curr"))</f>
        <v>curr</v>
      </c>
    </row>
    <row r="186" spans="1:21" hidden="1">
      <c r="A186" s="39" t="s">
        <v>338</v>
      </c>
      <c r="B186" s="6">
        <f>_xlfn.XLOOKUP(Jnl[[#This Row],[TrxId]], Trx[Id], Trx[Date],,0)</f>
        <v>46053</v>
      </c>
      <c r="C186" s="6" t="str">
        <f>_xlfn.XLOOKUP(Jnl[[#This Row],[TrxId]], Trx[Id], Trx[Division],,0)</f>
        <v>Online</v>
      </c>
      <c r="D186" s="6" t="str">
        <f>_xlfn.XLOOKUP(Jnl[[#This Row],[TrxId]], Trx[Id], Trx[Action],,0)</f>
        <v>设计</v>
      </c>
      <c r="E186" s="27" t="s">
        <v>86</v>
      </c>
      <c r="F186" s="10" t="s">
        <v>12</v>
      </c>
      <c r="G186" s="10" t="s">
        <v>395</v>
      </c>
      <c r="H186" s="37">
        <v>-990</v>
      </c>
      <c r="I186" s="11" t="b">
        <f>AND(Jnl[[#This Row],[TrxId]]&lt;&gt;"",Jnl[[#This Row],[Acct]]&lt;&gt;"",Jnl[[#This Row],[Item]]&lt;&gt;"",ISNUMBER(Jnl[[#This Row],[Bal]]))</f>
        <v>1</v>
      </c>
      <c r="J186" s="9">
        <f>IF(Jnl[[#This Row],[BSLv0]]="A",1,-1)*Jnl[[#This Row],[Bal]]</f>
        <v>-990</v>
      </c>
      <c r="K186" t="str">
        <f>_xlfn.XLOOKUP(Jnl[[#This Row],[Acct]], config_BS[Acct], config_BS[Lv0],,0)</f>
        <v>A</v>
      </c>
      <c r="L186" t="str">
        <f>_xlfn.XLOOKUP(Jnl[[#This Row],[Acct]], config_BS[Acct], config_BS[Lv1],,0)</f>
        <v>Assets</v>
      </c>
      <c r="M186" t="str">
        <f>_xlfn.XLOOKUP(Jnl[[#This Row],[Acct]], config_BS[Acct], config_BS[Lv2],,0)</f>
        <v>Cash alike</v>
      </c>
      <c r="N186" t="str">
        <f>_xlfn.XLOOKUP(Jnl[[#This Row],[TrxId]], Trx[Id], Trx[IncNode], ,0)</f>
        <v>Expense</v>
      </c>
      <c r="O186" t="str">
        <f>_xlfn.XLOOKUP(Jnl[[#This Row],[IncNode]], config_IS[Node], config_IS[Type],,0)</f>
        <v>Op</v>
      </c>
      <c r="P186" t="str">
        <f>_xlfn.XLOOKUP(Jnl[[#This Row],[BSLv2]], dict[Key], dict[Name],,0)</f>
        <v>0.现金及类似</v>
      </c>
      <c r="Q186" t="str">
        <f>_xlfn.XLOOKUP(Jnl[[#This Row],[Acct]], dict[Key], dict[Name],,0)</f>
        <v>银行</v>
      </c>
      <c r="R186" t="str">
        <f>_xlfn.XLOOKUP(Jnl[[#This Row],[Vehicle]],config_vehicle[Id], config_vehicle[Name],,0)</f>
        <v>榆乐</v>
      </c>
      <c r="S186" t="str">
        <f>_xlfn.XLOOKUP(Jnl[[#This Row],[Division]],config_div[Id], config_div[Name],,0)</f>
        <v>网店</v>
      </c>
      <c r="T186" t="str">
        <f>IF(Jnl[[#This Row],[TrxDate]]&lt;=stmt_BS_date_end, "In", "Out")</f>
        <v>In</v>
      </c>
      <c r="U186" t="str">
        <f>IF(Jnl[[#This Row],[TrxDate]]&lt;debug_date_start, "prior", IF(Jnl[[#This Row],[TrxDate]]&gt;debug_date_end, "post", "curr"))</f>
        <v>curr</v>
      </c>
    </row>
    <row r="187" spans="1:21" hidden="1">
      <c r="A187" s="39" t="s">
        <v>338</v>
      </c>
      <c r="B187" s="6">
        <f>_xlfn.XLOOKUP(Jnl[[#This Row],[TrxId]], Trx[Id], Trx[Date],,0)</f>
        <v>46053</v>
      </c>
      <c r="C187" s="6" t="str">
        <f>_xlfn.XLOOKUP(Jnl[[#This Row],[TrxId]], Trx[Id], Trx[Division],,0)</f>
        <v>Online</v>
      </c>
      <c r="D187" s="6" t="str">
        <f>_xlfn.XLOOKUP(Jnl[[#This Row],[TrxId]], Trx[Id], Trx[Action],,0)</f>
        <v>设计</v>
      </c>
      <c r="E187" s="27" t="s">
        <v>82</v>
      </c>
      <c r="F187" s="10" t="s">
        <v>118</v>
      </c>
      <c r="G187" s="10" t="s">
        <v>154</v>
      </c>
      <c r="H187" s="37">
        <v>990</v>
      </c>
      <c r="I187" s="11" t="b">
        <f>AND(Jnl[[#This Row],[TrxId]]&lt;&gt;"",Jnl[[#This Row],[Acct]]&lt;&gt;"",Jnl[[#This Row],[Item]]&lt;&gt;"",ISNUMBER(Jnl[[#This Row],[Bal]]))</f>
        <v>1</v>
      </c>
      <c r="J187" s="9">
        <f>IF(Jnl[[#This Row],[BSLv0]]="A",1,-1)*Jnl[[#This Row],[Bal]]</f>
        <v>990</v>
      </c>
      <c r="K187" t="str">
        <f>_xlfn.XLOOKUP(Jnl[[#This Row],[Acct]], config_BS[Acct], config_BS[Lv0],,0)</f>
        <v>A</v>
      </c>
      <c r="L187" t="str">
        <f>_xlfn.XLOOKUP(Jnl[[#This Row],[Acct]], config_BS[Acct], config_BS[Lv1],,0)</f>
        <v>Assets</v>
      </c>
      <c r="M187" t="str">
        <f>_xlfn.XLOOKUP(Jnl[[#This Row],[Acct]], config_BS[Acct], config_BS[Lv2],,0)</f>
        <v>Invtr</v>
      </c>
      <c r="N187" t="str">
        <f>_xlfn.XLOOKUP(Jnl[[#This Row],[TrxId]], Trx[Id], Trx[IncNode], ,0)</f>
        <v>Expense</v>
      </c>
      <c r="O187" t="str">
        <f>_xlfn.XLOOKUP(Jnl[[#This Row],[IncNode]], config_IS[Node], config_IS[Type],,0)</f>
        <v>Op</v>
      </c>
      <c r="P187" t="str">
        <f>_xlfn.XLOOKUP(Jnl[[#This Row],[BSLv2]], dict[Key], dict[Name],,0)</f>
        <v>3.库存占款</v>
      </c>
      <c r="Q187" t="str">
        <f>_xlfn.XLOOKUP(Jnl[[#This Row],[Acct]], dict[Key], dict[Name],,0)</f>
        <v>当期存货</v>
      </c>
      <c r="R187" t="str">
        <f>_xlfn.XLOOKUP(Jnl[[#This Row],[Vehicle]],config_vehicle[Id], config_vehicle[Name],,0)</f>
        <v>远家花园</v>
      </c>
      <c r="S187" t="str">
        <f>_xlfn.XLOOKUP(Jnl[[#This Row],[Division]],config_div[Id], config_div[Name],,0)</f>
        <v>网店</v>
      </c>
      <c r="T187" t="str">
        <f>IF(Jnl[[#This Row],[TrxDate]]&lt;=stmt_BS_date_end, "In", "Out")</f>
        <v>In</v>
      </c>
      <c r="U187" t="str">
        <f>IF(Jnl[[#This Row],[TrxDate]]&lt;debug_date_start, "prior", IF(Jnl[[#This Row],[TrxDate]]&gt;debug_date_end, "post", "curr"))</f>
        <v>curr</v>
      </c>
    </row>
    <row r="188" spans="1:21" hidden="1">
      <c r="A188" s="39" t="s">
        <v>339</v>
      </c>
      <c r="B188" s="6">
        <f>_xlfn.XLOOKUP(Jnl[[#This Row],[TrxId]], Trx[Id], Trx[Date],,0)</f>
        <v>46053</v>
      </c>
      <c r="C188" s="6" t="str">
        <f>_xlfn.XLOOKUP(Jnl[[#This Row],[TrxId]], Trx[Id], Trx[Division],,0)</f>
        <v>GM</v>
      </c>
      <c r="D188" s="6" t="str">
        <f>_xlfn.XLOOKUP(Jnl[[#This Row],[TrxId]], Trx[Id], Trx[Action],,0)</f>
        <v>福利</v>
      </c>
      <c r="E188" s="27" t="s">
        <v>86</v>
      </c>
      <c r="F188" s="10" t="s">
        <v>12</v>
      </c>
      <c r="G188" s="10" t="s">
        <v>395</v>
      </c>
      <c r="H188" s="37">
        <v>-600</v>
      </c>
      <c r="I188" s="11" t="b">
        <f>AND(Jnl[[#This Row],[TrxId]]&lt;&gt;"",Jnl[[#This Row],[Acct]]&lt;&gt;"",Jnl[[#This Row],[Item]]&lt;&gt;"",ISNUMBER(Jnl[[#This Row],[Bal]]))</f>
        <v>1</v>
      </c>
      <c r="J188" s="9">
        <f>IF(Jnl[[#This Row],[BSLv0]]="A",1,-1)*Jnl[[#This Row],[Bal]]</f>
        <v>-600</v>
      </c>
      <c r="K188" t="str">
        <f>_xlfn.XLOOKUP(Jnl[[#This Row],[Acct]], config_BS[Acct], config_BS[Lv0],,0)</f>
        <v>A</v>
      </c>
      <c r="L188" t="str">
        <f>_xlfn.XLOOKUP(Jnl[[#This Row],[Acct]], config_BS[Acct], config_BS[Lv1],,0)</f>
        <v>Assets</v>
      </c>
      <c r="M188" t="str">
        <f>_xlfn.XLOOKUP(Jnl[[#This Row],[Acct]], config_BS[Acct], config_BS[Lv2],,0)</f>
        <v>Cash alike</v>
      </c>
      <c r="N188" t="str">
        <f>_xlfn.XLOOKUP(Jnl[[#This Row],[TrxId]], Trx[Id], Trx[IncNode], ,0)</f>
        <v>Expense</v>
      </c>
      <c r="O188" t="str">
        <f>_xlfn.XLOOKUP(Jnl[[#This Row],[IncNode]], config_IS[Node], config_IS[Type],,0)</f>
        <v>Op</v>
      </c>
      <c r="P188" t="str">
        <f>_xlfn.XLOOKUP(Jnl[[#This Row],[BSLv2]], dict[Key], dict[Name],,0)</f>
        <v>0.现金及类似</v>
      </c>
      <c r="Q188" t="str">
        <f>_xlfn.XLOOKUP(Jnl[[#This Row],[Acct]], dict[Key], dict[Name],,0)</f>
        <v>银行</v>
      </c>
      <c r="R188" t="str">
        <f>_xlfn.XLOOKUP(Jnl[[#This Row],[Vehicle]],config_vehicle[Id], config_vehicle[Name],,0)</f>
        <v>榆乐</v>
      </c>
      <c r="S188" t="str">
        <f>_xlfn.XLOOKUP(Jnl[[#This Row],[Division]],config_div[Id], config_div[Name],,0)</f>
        <v>综合管理</v>
      </c>
      <c r="T188" t="str">
        <f>IF(Jnl[[#This Row],[TrxDate]]&lt;=stmt_BS_date_end, "In", "Out")</f>
        <v>In</v>
      </c>
      <c r="U188" t="str">
        <f>IF(Jnl[[#This Row],[TrxDate]]&lt;debug_date_start, "prior", IF(Jnl[[#This Row],[TrxDate]]&gt;debug_date_end, "post", "curr"))</f>
        <v>curr</v>
      </c>
    </row>
    <row r="189" spans="1:21" hidden="1">
      <c r="A189" s="39" t="s">
        <v>341</v>
      </c>
      <c r="B189" s="6">
        <f>_xlfn.XLOOKUP(Jnl[[#This Row],[TrxId]], Trx[Id], Trx[Date],,0)</f>
        <v>46053</v>
      </c>
      <c r="C189" s="6" t="str">
        <f>_xlfn.XLOOKUP(Jnl[[#This Row],[TrxId]], Trx[Id], Trx[Division],,0)</f>
        <v>GM</v>
      </c>
      <c r="D189" s="6" t="str">
        <f>_xlfn.XLOOKUP(Jnl[[#This Row],[TrxId]], Trx[Id], Trx[Action],,0)</f>
        <v>薪酬-社保</v>
      </c>
      <c r="E189" s="27" t="s">
        <v>86</v>
      </c>
      <c r="F189" s="10" t="s">
        <v>12</v>
      </c>
      <c r="G189" s="10" t="s">
        <v>395</v>
      </c>
      <c r="H189" s="37">
        <v>-13121.63</v>
      </c>
      <c r="I189" s="11" t="b">
        <f>AND(Jnl[[#This Row],[TrxId]]&lt;&gt;"",Jnl[[#This Row],[Acct]]&lt;&gt;"",Jnl[[#This Row],[Item]]&lt;&gt;"",ISNUMBER(Jnl[[#This Row],[Bal]]))</f>
        <v>1</v>
      </c>
      <c r="J189" s="9">
        <f>IF(Jnl[[#This Row],[BSLv0]]="A",1,-1)*Jnl[[#This Row],[Bal]]</f>
        <v>-13121.63</v>
      </c>
      <c r="K189" t="str">
        <f>_xlfn.XLOOKUP(Jnl[[#This Row],[Acct]], config_BS[Acct], config_BS[Lv0],,0)</f>
        <v>A</v>
      </c>
      <c r="L189" t="str">
        <f>_xlfn.XLOOKUP(Jnl[[#This Row],[Acct]], config_BS[Acct], config_BS[Lv1],,0)</f>
        <v>Assets</v>
      </c>
      <c r="M189" t="str">
        <f>_xlfn.XLOOKUP(Jnl[[#This Row],[Acct]], config_BS[Acct], config_BS[Lv2],,0)</f>
        <v>Cash alike</v>
      </c>
      <c r="N189" t="str">
        <f>_xlfn.XLOOKUP(Jnl[[#This Row],[TrxId]], Trx[Id], Trx[IncNode], ,0)</f>
        <v>Expense</v>
      </c>
      <c r="O189" t="str">
        <f>_xlfn.XLOOKUP(Jnl[[#This Row],[IncNode]], config_IS[Node], config_IS[Type],,0)</f>
        <v>Op</v>
      </c>
      <c r="P189" t="str">
        <f>_xlfn.XLOOKUP(Jnl[[#This Row],[BSLv2]], dict[Key], dict[Name],,0)</f>
        <v>0.现金及类似</v>
      </c>
      <c r="Q189" t="str">
        <f>_xlfn.XLOOKUP(Jnl[[#This Row],[Acct]], dict[Key], dict[Name],,0)</f>
        <v>银行</v>
      </c>
      <c r="R189" t="str">
        <f>_xlfn.XLOOKUP(Jnl[[#This Row],[Vehicle]],config_vehicle[Id], config_vehicle[Name],,0)</f>
        <v>榆乐</v>
      </c>
      <c r="S189" t="str">
        <f>_xlfn.XLOOKUP(Jnl[[#This Row],[Division]],config_div[Id], config_div[Name],,0)</f>
        <v>综合管理</v>
      </c>
      <c r="T189" t="str">
        <f>IF(Jnl[[#This Row],[TrxDate]]&lt;=stmt_BS_date_end, "In", "Out")</f>
        <v>In</v>
      </c>
      <c r="U189" t="str">
        <f>IF(Jnl[[#This Row],[TrxDate]]&lt;debug_date_start, "prior", IF(Jnl[[#This Row],[TrxDate]]&gt;debug_date_end, "post", "curr"))</f>
        <v>curr</v>
      </c>
    </row>
    <row r="190" spans="1:21" hidden="1">
      <c r="A190" s="39" t="s">
        <v>341</v>
      </c>
      <c r="B190" s="6">
        <f>_xlfn.XLOOKUP(Jnl[[#This Row],[TrxId]], Trx[Id], Trx[Date],,0)</f>
        <v>46053</v>
      </c>
      <c r="C190" s="6" t="str">
        <f>_xlfn.XLOOKUP(Jnl[[#This Row],[TrxId]], Trx[Id], Trx[Division],,0)</f>
        <v>GM</v>
      </c>
      <c r="D190" s="6" t="str">
        <f>_xlfn.XLOOKUP(Jnl[[#This Row],[TrxId]], Trx[Id], Trx[Action],,0)</f>
        <v>薪酬-社保</v>
      </c>
      <c r="E190" s="27" t="s">
        <v>86</v>
      </c>
      <c r="F190" s="10" t="s">
        <v>201</v>
      </c>
      <c r="G190" s="10" t="s">
        <v>349</v>
      </c>
      <c r="H190" s="37">
        <v>3817.2</v>
      </c>
      <c r="I190" s="11" t="b">
        <f>AND(Jnl[[#This Row],[TrxId]]&lt;&gt;"",Jnl[[#This Row],[Acct]]&lt;&gt;"",Jnl[[#This Row],[Item]]&lt;&gt;"",ISNUMBER(Jnl[[#This Row],[Bal]]))</f>
        <v>1</v>
      </c>
      <c r="J190" s="9">
        <f>IF(Jnl[[#This Row],[BSLv0]]="A",1,-1)*Jnl[[#This Row],[Bal]]</f>
        <v>3817.2</v>
      </c>
      <c r="K190" t="str">
        <f>_xlfn.XLOOKUP(Jnl[[#This Row],[Acct]], config_BS[Acct], config_BS[Lv0],,0)</f>
        <v>A</v>
      </c>
      <c r="L190" t="str">
        <f>_xlfn.XLOOKUP(Jnl[[#This Row],[Acct]], config_BS[Acct], config_BS[Lv1],,0)</f>
        <v>Assets</v>
      </c>
      <c r="M190" t="str">
        <f>_xlfn.XLOOKUP(Jnl[[#This Row],[Acct]], config_BS[Acct], config_BS[Lv2],,0)</f>
        <v>Rec-Pay</v>
      </c>
      <c r="N190" t="str">
        <f>_xlfn.XLOOKUP(Jnl[[#This Row],[TrxId]], Trx[Id], Trx[IncNode], ,0)</f>
        <v>Expense</v>
      </c>
      <c r="O190" t="str">
        <f>_xlfn.XLOOKUP(Jnl[[#This Row],[IncNode]], config_IS[Node], config_IS[Type],,0)</f>
        <v>Op</v>
      </c>
      <c r="P190" t="str">
        <f>_xlfn.XLOOKUP(Jnl[[#This Row],[BSLv2]], dict[Key], dict[Name],,0)</f>
        <v>1.应收-应付</v>
      </c>
      <c r="Q190" t="str">
        <f>_xlfn.XLOOKUP(Jnl[[#This Row],[Acct]], dict[Key], dict[Name],,0)</f>
        <v>应收-其他</v>
      </c>
      <c r="R190" t="str">
        <f>_xlfn.XLOOKUP(Jnl[[#This Row],[Vehicle]],config_vehicle[Id], config_vehicle[Name],,0)</f>
        <v>榆乐</v>
      </c>
      <c r="S190" t="str">
        <f>_xlfn.XLOOKUP(Jnl[[#This Row],[Division]],config_div[Id], config_div[Name],,0)</f>
        <v>综合管理</v>
      </c>
      <c r="T190" t="str">
        <f>IF(Jnl[[#This Row],[TrxDate]]&lt;=stmt_BS_date_end, "In", "Out")</f>
        <v>In</v>
      </c>
      <c r="U190" t="str">
        <f>IF(Jnl[[#This Row],[TrxDate]]&lt;debug_date_start, "prior", IF(Jnl[[#This Row],[TrxDate]]&gt;debug_date_end, "post", "curr"))</f>
        <v>curr</v>
      </c>
    </row>
    <row r="191" spans="1:21" hidden="1">
      <c r="A191" s="39" t="s">
        <v>342</v>
      </c>
      <c r="B191" s="6">
        <f>_xlfn.XLOOKUP(Jnl[[#This Row],[TrxId]], Trx[Id], Trx[Date],,0)</f>
        <v>46053</v>
      </c>
      <c r="C191" s="6" t="str">
        <f>_xlfn.XLOOKUP(Jnl[[#This Row],[TrxId]], Trx[Id], Trx[Division],,0)</f>
        <v>GM</v>
      </c>
      <c r="D191" s="6" t="str">
        <f>_xlfn.XLOOKUP(Jnl[[#This Row],[TrxId]], Trx[Id], Trx[Action],,0)</f>
        <v>交通</v>
      </c>
      <c r="E191" s="27" t="s">
        <v>86</v>
      </c>
      <c r="F191" s="10" t="s">
        <v>12</v>
      </c>
      <c r="G191" s="10" t="s">
        <v>395</v>
      </c>
      <c r="H191" s="37">
        <v>-200</v>
      </c>
      <c r="I191" s="11" t="b">
        <f>AND(Jnl[[#This Row],[TrxId]]&lt;&gt;"",Jnl[[#This Row],[Acct]]&lt;&gt;"",Jnl[[#This Row],[Item]]&lt;&gt;"",ISNUMBER(Jnl[[#This Row],[Bal]]))</f>
        <v>1</v>
      </c>
      <c r="J191" s="9">
        <f>IF(Jnl[[#This Row],[BSLv0]]="A",1,-1)*Jnl[[#This Row],[Bal]]</f>
        <v>-200</v>
      </c>
      <c r="K191" t="str">
        <f>_xlfn.XLOOKUP(Jnl[[#This Row],[Acct]], config_BS[Acct], config_BS[Lv0],,0)</f>
        <v>A</v>
      </c>
      <c r="L191" t="str">
        <f>_xlfn.XLOOKUP(Jnl[[#This Row],[Acct]], config_BS[Acct], config_BS[Lv1],,0)</f>
        <v>Assets</v>
      </c>
      <c r="M191" t="str">
        <f>_xlfn.XLOOKUP(Jnl[[#This Row],[Acct]], config_BS[Acct], config_BS[Lv2],,0)</f>
        <v>Cash alike</v>
      </c>
      <c r="N191" t="str">
        <f>_xlfn.XLOOKUP(Jnl[[#This Row],[TrxId]], Trx[Id], Trx[IncNode], ,0)</f>
        <v>Expense</v>
      </c>
      <c r="O191" t="str">
        <f>_xlfn.XLOOKUP(Jnl[[#This Row],[IncNode]], config_IS[Node], config_IS[Type],,0)</f>
        <v>Op</v>
      </c>
      <c r="P191" t="str">
        <f>_xlfn.XLOOKUP(Jnl[[#This Row],[BSLv2]], dict[Key], dict[Name],,0)</f>
        <v>0.现金及类似</v>
      </c>
      <c r="Q191" t="str">
        <f>_xlfn.XLOOKUP(Jnl[[#This Row],[Acct]], dict[Key], dict[Name],,0)</f>
        <v>银行</v>
      </c>
      <c r="R191" t="str">
        <f>_xlfn.XLOOKUP(Jnl[[#This Row],[Vehicle]],config_vehicle[Id], config_vehicle[Name],,0)</f>
        <v>榆乐</v>
      </c>
      <c r="S191" t="str">
        <f>_xlfn.XLOOKUP(Jnl[[#This Row],[Division]],config_div[Id], config_div[Name],,0)</f>
        <v>综合管理</v>
      </c>
      <c r="T191" t="str">
        <f>IF(Jnl[[#This Row],[TrxDate]]&lt;=stmt_BS_date_end, "In", "Out")</f>
        <v>In</v>
      </c>
      <c r="U191" t="str">
        <f>IF(Jnl[[#This Row],[TrxDate]]&lt;debug_date_start, "prior", IF(Jnl[[#This Row],[TrxDate]]&gt;debug_date_end, "post", "curr"))</f>
        <v>curr</v>
      </c>
    </row>
    <row r="192" spans="1:21" hidden="1">
      <c r="A192" s="39" t="s">
        <v>343</v>
      </c>
      <c r="B192" s="6">
        <f>_xlfn.XLOOKUP(Jnl[[#This Row],[TrxId]], Trx[Id], Trx[Date],,0)</f>
        <v>46053</v>
      </c>
      <c r="C192" s="6" t="str">
        <f>_xlfn.XLOOKUP(Jnl[[#This Row],[TrxId]], Trx[Id], Trx[Division],,0)</f>
        <v>Online</v>
      </c>
      <c r="D192" s="6" t="str">
        <f>_xlfn.XLOOKUP(Jnl[[#This Row],[TrxId]], Trx[Id], Trx[Action],,0)</f>
        <v>采购</v>
      </c>
      <c r="E192" s="27" t="s">
        <v>86</v>
      </c>
      <c r="F192" s="10" t="s">
        <v>12</v>
      </c>
      <c r="G192" s="10" t="s">
        <v>395</v>
      </c>
      <c r="H192" s="37">
        <v>-3536</v>
      </c>
      <c r="I192" s="11" t="b">
        <f>AND(Jnl[[#This Row],[TrxId]]&lt;&gt;"",Jnl[[#This Row],[Acct]]&lt;&gt;"",Jnl[[#This Row],[Item]]&lt;&gt;"",ISNUMBER(Jnl[[#This Row],[Bal]]))</f>
        <v>1</v>
      </c>
      <c r="J192" s="9">
        <f>IF(Jnl[[#This Row],[BSLv0]]="A",1,-1)*Jnl[[#This Row],[Bal]]</f>
        <v>-3536</v>
      </c>
      <c r="K192" t="str">
        <f>_xlfn.XLOOKUP(Jnl[[#This Row],[Acct]], config_BS[Acct], config_BS[Lv0],,0)</f>
        <v>A</v>
      </c>
      <c r="L192" t="str">
        <f>_xlfn.XLOOKUP(Jnl[[#This Row],[Acct]], config_BS[Acct], config_BS[Lv1],,0)</f>
        <v>Assets</v>
      </c>
      <c r="M192" t="str">
        <f>_xlfn.XLOOKUP(Jnl[[#This Row],[Acct]], config_BS[Acct], config_BS[Lv2],,0)</f>
        <v>Cash alike</v>
      </c>
      <c r="N192" t="str">
        <f>_xlfn.XLOOKUP(Jnl[[#This Row],[TrxId]], Trx[Id], Trx[IncNode], ,0)</f>
        <v>Cost</v>
      </c>
      <c r="O192" t="str">
        <f>_xlfn.XLOOKUP(Jnl[[#This Row],[IncNode]], config_IS[Node], config_IS[Type],,0)</f>
        <v>Op</v>
      </c>
      <c r="P192" t="str">
        <f>_xlfn.XLOOKUP(Jnl[[#This Row],[BSLv2]], dict[Key], dict[Name],,0)</f>
        <v>0.现金及类似</v>
      </c>
      <c r="Q192" t="str">
        <f>_xlfn.XLOOKUP(Jnl[[#This Row],[Acct]], dict[Key], dict[Name],,0)</f>
        <v>银行</v>
      </c>
      <c r="R192" t="str">
        <f>_xlfn.XLOOKUP(Jnl[[#This Row],[Vehicle]],config_vehicle[Id], config_vehicle[Name],,0)</f>
        <v>榆乐</v>
      </c>
      <c r="S192" t="str">
        <f>_xlfn.XLOOKUP(Jnl[[#This Row],[Division]],config_div[Id], config_div[Name],,0)</f>
        <v>网店</v>
      </c>
      <c r="T192" t="str">
        <f>IF(Jnl[[#This Row],[TrxDate]]&lt;=stmt_BS_date_end, "In", "Out")</f>
        <v>In</v>
      </c>
      <c r="U192" t="str">
        <f>IF(Jnl[[#This Row],[TrxDate]]&lt;debug_date_start, "prior", IF(Jnl[[#This Row],[TrxDate]]&gt;debug_date_end, "post", "curr"))</f>
        <v>curr</v>
      </c>
    </row>
    <row r="193" spans="1:21" hidden="1">
      <c r="A193" s="39" t="s">
        <v>343</v>
      </c>
      <c r="B193" s="6">
        <f>_xlfn.XLOOKUP(Jnl[[#This Row],[TrxId]], Trx[Id], Trx[Date],,0)</f>
        <v>46053</v>
      </c>
      <c r="C193" s="6" t="str">
        <f>_xlfn.XLOOKUP(Jnl[[#This Row],[TrxId]], Trx[Id], Trx[Division],,0)</f>
        <v>Online</v>
      </c>
      <c r="D193" s="6" t="str">
        <f>_xlfn.XLOOKUP(Jnl[[#This Row],[TrxId]], Trx[Id], Trx[Action],,0)</f>
        <v>采购</v>
      </c>
      <c r="E193" s="27" t="s">
        <v>82</v>
      </c>
      <c r="F193" s="10" t="s">
        <v>118</v>
      </c>
      <c r="G193" s="10" t="s">
        <v>154</v>
      </c>
      <c r="H193" s="37">
        <v>3536</v>
      </c>
      <c r="I193" s="11" t="b">
        <f>AND(Jnl[[#This Row],[TrxId]]&lt;&gt;"",Jnl[[#This Row],[Acct]]&lt;&gt;"",Jnl[[#This Row],[Item]]&lt;&gt;"",ISNUMBER(Jnl[[#This Row],[Bal]]))</f>
        <v>1</v>
      </c>
      <c r="J193" s="9">
        <f>IF(Jnl[[#This Row],[BSLv0]]="A",1,-1)*Jnl[[#This Row],[Bal]]</f>
        <v>3536</v>
      </c>
      <c r="K193" t="str">
        <f>_xlfn.XLOOKUP(Jnl[[#This Row],[Acct]], config_BS[Acct], config_BS[Lv0],,0)</f>
        <v>A</v>
      </c>
      <c r="L193" t="str">
        <f>_xlfn.XLOOKUP(Jnl[[#This Row],[Acct]], config_BS[Acct], config_BS[Lv1],,0)</f>
        <v>Assets</v>
      </c>
      <c r="M193" t="str">
        <f>_xlfn.XLOOKUP(Jnl[[#This Row],[Acct]], config_BS[Acct], config_BS[Lv2],,0)</f>
        <v>Invtr</v>
      </c>
      <c r="N193" t="str">
        <f>_xlfn.XLOOKUP(Jnl[[#This Row],[TrxId]], Trx[Id], Trx[IncNode], ,0)</f>
        <v>Cost</v>
      </c>
      <c r="O193" t="str">
        <f>_xlfn.XLOOKUP(Jnl[[#This Row],[IncNode]], config_IS[Node], config_IS[Type],,0)</f>
        <v>Op</v>
      </c>
      <c r="P193" t="str">
        <f>_xlfn.XLOOKUP(Jnl[[#This Row],[BSLv2]], dict[Key], dict[Name],,0)</f>
        <v>3.库存占款</v>
      </c>
      <c r="Q193" t="str">
        <f>_xlfn.XLOOKUP(Jnl[[#This Row],[Acct]], dict[Key], dict[Name],,0)</f>
        <v>当期存货</v>
      </c>
      <c r="R193" t="str">
        <f>_xlfn.XLOOKUP(Jnl[[#This Row],[Vehicle]],config_vehicle[Id], config_vehicle[Name],,0)</f>
        <v>远家花园</v>
      </c>
      <c r="S193" t="str">
        <f>_xlfn.XLOOKUP(Jnl[[#This Row],[Division]],config_div[Id], config_div[Name],,0)</f>
        <v>网店</v>
      </c>
      <c r="T193" t="str">
        <f>IF(Jnl[[#This Row],[TrxDate]]&lt;=stmt_BS_date_end, "In", "Out")</f>
        <v>In</v>
      </c>
      <c r="U193" t="str">
        <f>IF(Jnl[[#This Row],[TrxDate]]&lt;debug_date_start, "prior", IF(Jnl[[#This Row],[TrxDate]]&gt;debug_date_end, "post", "curr"))</f>
        <v>curr</v>
      </c>
    </row>
    <row r="194" spans="1:21" hidden="1">
      <c r="A194" s="39" t="s">
        <v>345</v>
      </c>
      <c r="B194" s="6">
        <f>_xlfn.XLOOKUP(Jnl[[#This Row],[TrxId]], Trx[Id], Trx[Date],,0)</f>
        <v>46053</v>
      </c>
      <c r="C194" s="6" t="str">
        <f>_xlfn.XLOOKUP(Jnl[[#This Row],[TrxId]], Trx[Id], Trx[Division],,0)</f>
        <v>Online</v>
      </c>
      <c r="D194" s="6" t="str">
        <f>_xlfn.XLOOKUP(Jnl[[#This Row],[TrxId]], Trx[Id], Trx[Action],,0)</f>
        <v>设计</v>
      </c>
      <c r="E194" s="27" t="s">
        <v>86</v>
      </c>
      <c r="F194" s="10" t="s">
        <v>12</v>
      </c>
      <c r="G194" s="10" t="s">
        <v>395</v>
      </c>
      <c r="H194" s="37">
        <v>-80</v>
      </c>
      <c r="I194" s="11" t="b">
        <f>AND(Jnl[[#This Row],[TrxId]]&lt;&gt;"",Jnl[[#This Row],[Acct]]&lt;&gt;"",Jnl[[#This Row],[Item]]&lt;&gt;"",ISNUMBER(Jnl[[#This Row],[Bal]]))</f>
        <v>1</v>
      </c>
      <c r="J194" s="9">
        <f>IF(Jnl[[#This Row],[BSLv0]]="A",1,-1)*Jnl[[#This Row],[Bal]]</f>
        <v>-80</v>
      </c>
      <c r="K194" t="str">
        <f>_xlfn.XLOOKUP(Jnl[[#This Row],[Acct]], config_BS[Acct], config_BS[Lv0],,0)</f>
        <v>A</v>
      </c>
      <c r="L194" t="str">
        <f>_xlfn.XLOOKUP(Jnl[[#This Row],[Acct]], config_BS[Acct], config_BS[Lv1],,0)</f>
        <v>Assets</v>
      </c>
      <c r="M194" t="str">
        <f>_xlfn.XLOOKUP(Jnl[[#This Row],[Acct]], config_BS[Acct], config_BS[Lv2],,0)</f>
        <v>Cash alike</v>
      </c>
      <c r="N194" t="str">
        <f>_xlfn.XLOOKUP(Jnl[[#This Row],[TrxId]], Trx[Id], Trx[IncNode], ,0)</f>
        <v>Expense</v>
      </c>
      <c r="O194" t="str">
        <f>_xlfn.XLOOKUP(Jnl[[#This Row],[IncNode]], config_IS[Node], config_IS[Type],,0)</f>
        <v>Op</v>
      </c>
      <c r="P194" t="str">
        <f>_xlfn.XLOOKUP(Jnl[[#This Row],[BSLv2]], dict[Key], dict[Name],,0)</f>
        <v>0.现金及类似</v>
      </c>
      <c r="Q194" t="str">
        <f>_xlfn.XLOOKUP(Jnl[[#This Row],[Acct]], dict[Key], dict[Name],,0)</f>
        <v>银行</v>
      </c>
      <c r="R194" t="str">
        <f>_xlfn.XLOOKUP(Jnl[[#This Row],[Vehicle]],config_vehicle[Id], config_vehicle[Name],,0)</f>
        <v>榆乐</v>
      </c>
      <c r="S194" t="str">
        <f>_xlfn.XLOOKUP(Jnl[[#This Row],[Division]],config_div[Id], config_div[Name],,0)</f>
        <v>网店</v>
      </c>
      <c r="T194" t="str">
        <f>IF(Jnl[[#This Row],[TrxDate]]&lt;=stmt_BS_date_end, "In", "Out")</f>
        <v>In</v>
      </c>
      <c r="U194" t="str">
        <f>IF(Jnl[[#This Row],[TrxDate]]&lt;debug_date_start, "prior", IF(Jnl[[#This Row],[TrxDate]]&gt;debug_date_end, "post", "curr"))</f>
        <v>curr</v>
      </c>
    </row>
    <row r="195" spans="1:21" hidden="1">
      <c r="A195" s="39" t="s">
        <v>346</v>
      </c>
      <c r="B195" s="6">
        <f>_xlfn.XLOOKUP(Jnl[[#This Row],[TrxId]], Trx[Id], Trx[Date],,0)</f>
        <v>46053</v>
      </c>
      <c r="C195" s="6" t="str">
        <f>_xlfn.XLOOKUP(Jnl[[#This Row],[TrxId]], Trx[Id], Trx[Division],,0)</f>
        <v>Online</v>
      </c>
      <c r="D195" s="6" t="str">
        <f>_xlfn.XLOOKUP(Jnl[[#This Row],[TrxId]], Trx[Id], Trx[Action],,0)</f>
        <v>支付</v>
      </c>
      <c r="E195" s="27" t="s">
        <v>86</v>
      </c>
      <c r="F195" s="10" t="s">
        <v>191</v>
      </c>
      <c r="G195" s="10" t="s">
        <v>152</v>
      </c>
      <c r="H195" s="37">
        <v>-76031.259999999995</v>
      </c>
      <c r="I195" s="11" t="b">
        <f>AND(Jnl[[#This Row],[TrxId]]&lt;&gt;"",Jnl[[#This Row],[Acct]]&lt;&gt;"",Jnl[[#This Row],[Item]]&lt;&gt;"",ISNUMBER(Jnl[[#This Row],[Bal]]))</f>
        <v>1</v>
      </c>
      <c r="J195" s="9">
        <f>IF(Jnl[[#This Row],[BSLv0]]="A",1,-1)*Jnl[[#This Row],[Bal]]</f>
        <v>76031.259999999995</v>
      </c>
      <c r="K195" t="str">
        <f>_xlfn.XLOOKUP(Jnl[[#This Row],[Acct]], config_BS[Acct], config_BS[Lv0],,0)</f>
        <v>LC</v>
      </c>
      <c r="L195" t="str">
        <f>_xlfn.XLOOKUP(Jnl[[#This Row],[Acct]], config_BS[Acct], config_BS[Lv1],,0)</f>
        <v>Liability</v>
      </c>
      <c r="M195" t="str">
        <f>_xlfn.XLOOKUP(Jnl[[#This Row],[Acct]], config_BS[Acct], config_BS[Lv2],,0)</f>
        <v>Rec-Pay</v>
      </c>
      <c r="N195" t="str">
        <f>_xlfn.XLOOKUP(Jnl[[#This Row],[TrxId]], Trx[Id], Trx[IncNode], ,0)</f>
        <v>Expense</v>
      </c>
      <c r="O195" t="str">
        <f>_xlfn.XLOOKUP(Jnl[[#This Row],[IncNode]], config_IS[Node], config_IS[Type],,0)</f>
        <v>Op</v>
      </c>
      <c r="P195" t="str">
        <f>_xlfn.XLOOKUP(Jnl[[#This Row],[BSLv2]], dict[Key], dict[Name],,0)</f>
        <v>1.应收-应付</v>
      </c>
      <c r="Q195" t="str">
        <f>_xlfn.XLOOKUP(Jnl[[#This Row],[Acct]], dict[Key], dict[Name],,0)</f>
        <v>应付-薪资</v>
      </c>
      <c r="R195" t="str">
        <f>_xlfn.XLOOKUP(Jnl[[#This Row],[Vehicle]],config_vehicle[Id], config_vehicle[Name],,0)</f>
        <v>榆乐</v>
      </c>
      <c r="S195" t="str">
        <f>_xlfn.XLOOKUP(Jnl[[#This Row],[Division]],config_div[Id], config_div[Name],,0)</f>
        <v>网店</v>
      </c>
      <c r="T195" t="str">
        <f>IF(Jnl[[#This Row],[TrxDate]]&lt;=stmt_BS_date_end, "In", "Out")</f>
        <v>In</v>
      </c>
      <c r="U195" t="str">
        <f>IF(Jnl[[#This Row],[TrxDate]]&lt;debug_date_start, "prior", IF(Jnl[[#This Row],[TrxDate]]&gt;debug_date_end, "post", "curr"))</f>
        <v>curr</v>
      </c>
    </row>
    <row r="196" spans="1:21" hidden="1">
      <c r="A196" s="39" t="s">
        <v>346</v>
      </c>
      <c r="B196" s="6">
        <f>_xlfn.XLOOKUP(Jnl[[#This Row],[TrxId]], Trx[Id], Trx[Date],,0)</f>
        <v>46053</v>
      </c>
      <c r="C196" s="6" t="str">
        <f>_xlfn.XLOOKUP(Jnl[[#This Row],[TrxId]], Trx[Id], Trx[Division],,0)</f>
        <v>Online</v>
      </c>
      <c r="D196" s="6" t="str">
        <f>_xlfn.XLOOKUP(Jnl[[#This Row],[TrxId]], Trx[Id], Trx[Action],,0)</f>
        <v>支付</v>
      </c>
      <c r="E196" s="27" t="s">
        <v>86</v>
      </c>
      <c r="F196" s="10" t="s">
        <v>129</v>
      </c>
      <c r="G196" s="10" t="s">
        <v>348</v>
      </c>
      <c r="H196" s="37">
        <v>572.79</v>
      </c>
      <c r="I196" s="11" t="b">
        <f>AND(Jnl[[#This Row],[TrxId]]&lt;&gt;"",Jnl[[#This Row],[Acct]]&lt;&gt;"",Jnl[[#This Row],[Item]]&lt;&gt;"",ISNUMBER(Jnl[[#This Row],[Bal]]))</f>
        <v>1</v>
      </c>
      <c r="J196" s="9">
        <f>IF(Jnl[[#This Row],[BSLv0]]="A",1,-1)*Jnl[[#This Row],[Bal]]</f>
        <v>-572.79</v>
      </c>
      <c r="K196" t="str">
        <f>_xlfn.XLOOKUP(Jnl[[#This Row],[Acct]], config_BS[Acct], config_BS[Lv0],,0)</f>
        <v>LC</v>
      </c>
      <c r="L196" t="str">
        <f>_xlfn.XLOOKUP(Jnl[[#This Row],[Acct]], config_BS[Acct], config_BS[Lv1],,0)</f>
        <v>Liability</v>
      </c>
      <c r="M196" t="str">
        <f>_xlfn.XLOOKUP(Jnl[[#This Row],[Acct]], config_BS[Acct], config_BS[Lv2],,0)</f>
        <v>Rec-Pay</v>
      </c>
      <c r="N196" t="str">
        <f>_xlfn.XLOOKUP(Jnl[[#This Row],[TrxId]], Trx[Id], Trx[IncNode], ,0)</f>
        <v>Expense</v>
      </c>
      <c r="O196" t="str">
        <f>_xlfn.XLOOKUP(Jnl[[#This Row],[IncNode]], config_IS[Node], config_IS[Type],,0)</f>
        <v>Op</v>
      </c>
      <c r="P196" t="str">
        <f>_xlfn.XLOOKUP(Jnl[[#This Row],[BSLv2]], dict[Key], dict[Name],,0)</f>
        <v>1.应收-应付</v>
      </c>
      <c r="Q196" t="str">
        <f>_xlfn.XLOOKUP(Jnl[[#This Row],[Acct]], dict[Key], dict[Name],,0)</f>
        <v>应付-税款</v>
      </c>
      <c r="R196" t="str">
        <f>_xlfn.XLOOKUP(Jnl[[#This Row],[Vehicle]],config_vehicle[Id], config_vehicle[Name],,0)</f>
        <v>榆乐</v>
      </c>
      <c r="S196" t="str">
        <f>_xlfn.XLOOKUP(Jnl[[#This Row],[Division]],config_div[Id], config_div[Name],,0)</f>
        <v>网店</v>
      </c>
      <c r="T196" t="str">
        <f>IF(Jnl[[#This Row],[TrxDate]]&lt;=stmt_BS_date_end, "In", "Out")</f>
        <v>In</v>
      </c>
      <c r="U196" t="str">
        <f>IF(Jnl[[#This Row],[TrxDate]]&lt;debug_date_start, "prior", IF(Jnl[[#This Row],[TrxDate]]&gt;debug_date_end, "post", "curr"))</f>
        <v>curr</v>
      </c>
    </row>
    <row r="197" spans="1:21" hidden="1">
      <c r="A197" s="39" t="s">
        <v>346</v>
      </c>
      <c r="B197" s="6">
        <f>_xlfn.XLOOKUP(Jnl[[#This Row],[TrxId]], Trx[Id], Trx[Date],,0)</f>
        <v>46053</v>
      </c>
      <c r="C197" s="6" t="str">
        <f>_xlfn.XLOOKUP(Jnl[[#This Row],[TrxId]], Trx[Id], Trx[Division],,0)</f>
        <v>Online</v>
      </c>
      <c r="D197" s="6" t="str">
        <f>_xlfn.XLOOKUP(Jnl[[#This Row],[TrxId]], Trx[Id], Trx[Action],,0)</f>
        <v>支付</v>
      </c>
      <c r="E197" s="27" t="s">
        <v>86</v>
      </c>
      <c r="F197" s="10" t="s">
        <v>201</v>
      </c>
      <c r="G197" s="10" t="s">
        <v>349</v>
      </c>
      <c r="H197" s="37">
        <v>-4294.3500000000004</v>
      </c>
      <c r="I197" s="11" t="b">
        <f>AND(Jnl[[#This Row],[TrxId]]&lt;&gt;"",Jnl[[#This Row],[Acct]]&lt;&gt;"",Jnl[[#This Row],[Item]]&lt;&gt;"",ISNUMBER(Jnl[[#This Row],[Bal]]))</f>
        <v>1</v>
      </c>
      <c r="J197" s="9">
        <f>IF(Jnl[[#This Row],[BSLv0]]="A",1,-1)*Jnl[[#This Row],[Bal]]</f>
        <v>-4294.3500000000004</v>
      </c>
      <c r="K197" t="str">
        <f>_xlfn.XLOOKUP(Jnl[[#This Row],[Acct]], config_BS[Acct], config_BS[Lv0],,0)</f>
        <v>A</v>
      </c>
      <c r="L197" t="str">
        <f>_xlfn.XLOOKUP(Jnl[[#This Row],[Acct]], config_BS[Acct], config_BS[Lv1],,0)</f>
        <v>Assets</v>
      </c>
      <c r="M197" t="str">
        <f>_xlfn.XLOOKUP(Jnl[[#This Row],[Acct]], config_BS[Acct], config_BS[Lv2],,0)</f>
        <v>Rec-Pay</v>
      </c>
      <c r="N197" t="str">
        <f>_xlfn.XLOOKUP(Jnl[[#This Row],[TrxId]], Trx[Id], Trx[IncNode], ,0)</f>
        <v>Expense</v>
      </c>
      <c r="O197" t="str">
        <f>_xlfn.XLOOKUP(Jnl[[#This Row],[IncNode]], config_IS[Node], config_IS[Type],,0)</f>
        <v>Op</v>
      </c>
      <c r="P197" t="str">
        <f>_xlfn.XLOOKUP(Jnl[[#This Row],[BSLv2]], dict[Key], dict[Name],,0)</f>
        <v>1.应收-应付</v>
      </c>
      <c r="Q197" t="str">
        <f>_xlfn.XLOOKUP(Jnl[[#This Row],[Acct]], dict[Key], dict[Name],,0)</f>
        <v>应收-其他</v>
      </c>
      <c r="R197" t="str">
        <f>_xlfn.XLOOKUP(Jnl[[#This Row],[Vehicle]],config_vehicle[Id], config_vehicle[Name],,0)</f>
        <v>榆乐</v>
      </c>
      <c r="S197" t="str">
        <f>_xlfn.XLOOKUP(Jnl[[#This Row],[Division]],config_div[Id], config_div[Name],,0)</f>
        <v>网店</v>
      </c>
      <c r="T197" t="str">
        <f>IF(Jnl[[#This Row],[TrxDate]]&lt;=stmt_BS_date_end, "In", "Out")</f>
        <v>In</v>
      </c>
      <c r="U197" t="str">
        <f>IF(Jnl[[#This Row],[TrxDate]]&lt;debug_date_start, "prior", IF(Jnl[[#This Row],[TrxDate]]&gt;debug_date_end, "post", "curr"))</f>
        <v>curr</v>
      </c>
    </row>
    <row r="198" spans="1:21" hidden="1">
      <c r="A198" s="39" t="s">
        <v>346</v>
      </c>
      <c r="B198" s="6">
        <f>_xlfn.XLOOKUP(Jnl[[#This Row],[TrxId]], Trx[Id], Trx[Date],,0)</f>
        <v>46053</v>
      </c>
      <c r="C198" s="6" t="str">
        <f>_xlfn.XLOOKUP(Jnl[[#This Row],[TrxId]], Trx[Id], Trx[Division],,0)</f>
        <v>Online</v>
      </c>
      <c r="D198" s="6" t="str">
        <f>_xlfn.XLOOKUP(Jnl[[#This Row],[TrxId]], Trx[Id], Trx[Action],,0)</f>
        <v>支付</v>
      </c>
      <c r="E198" s="27" t="s">
        <v>86</v>
      </c>
      <c r="F198" s="10" t="s">
        <v>12</v>
      </c>
      <c r="G198" s="10" t="s">
        <v>395</v>
      </c>
      <c r="H198" s="37">
        <v>-71164.12</v>
      </c>
      <c r="I198" s="11" t="b">
        <f>AND(Jnl[[#This Row],[TrxId]]&lt;&gt;"",Jnl[[#This Row],[Acct]]&lt;&gt;"",Jnl[[#This Row],[Item]]&lt;&gt;"",ISNUMBER(Jnl[[#This Row],[Bal]]))</f>
        <v>1</v>
      </c>
      <c r="J198" s="9">
        <f>IF(Jnl[[#This Row],[BSLv0]]="A",1,-1)*Jnl[[#This Row],[Bal]]</f>
        <v>-71164.12</v>
      </c>
      <c r="K198" t="str">
        <f>_xlfn.XLOOKUP(Jnl[[#This Row],[Acct]], config_BS[Acct], config_BS[Lv0],,0)</f>
        <v>A</v>
      </c>
      <c r="L198" t="str">
        <f>_xlfn.XLOOKUP(Jnl[[#This Row],[Acct]], config_BS[Acct], config_BS[Lv1],,0)</f>
        <v>Assets</v>
      </c>
      <c r="M198" t="str">
        <f>_xlfn.XLOOKUP(Jnl[[#This Row],[Acct]], config_BS[Acct], config_BS[Lv2],,0)</f>
        <v>Cash alike</v>
      </c>
      <c r="N198" t="str">
        <f>_xlfn.XLOOKUP(Jnl[[#This Row],[TrxId]], Trx[Id], Trx[IncNode], ,0)</f>
        <v>Expense</v>
      </c>
      <c r="O198" t="str">
        <f>_xlfn.XLOOKUP(Jnl[[#This Row],[IncNode]], config_IS[Node], config_IS[Type],,0)</f>
        <v>Op</v>
      </c>
      <c r="P198" t="str">
        <f>_xlfn.XLOOKUP(Jnl[[#This Row],[BSLv2]], dict[Key], dict[Name],,0)</f>
        <v>0.现金及类似</v>
      </c>
      <c r="Q198" t="str">
        <f>_xlfn.XLOOKUP(Jnl[[#This Row],[Acct]], dict[Key], dict[Name],,0)</f>
        <v>银行</v>
      </c>
      <c r="R198" t="str">
        <f>_xlfn.XLOOKUP(Jnl[[#This Row],[Vehicle]],config_vehicle[Id], config_vehicle[Name],,0)</f>
        <v>榆乐</v>
      </c>
      <c r="S198" t="str">
        <f>_xlfn.XLOOKUP(Jnl[[#This Row],[Division]],config_div[Id], config_div[Name],,0)</f>
        <v>网店</v>
      </c>
      <c r="T198" t="str">
        <f>IF(Jnl[[#This Row],[TrxDate]]&lt;=stmt_BS_date_end, "In", "Out")</f>
        <v>In</v>
      </c>
      <c r="U198" t="str">
        <f>IF(Jnl[[#This Row],[TrxDate]]&lt;debug_date_start, "prior", IF(Jnl[[#This Row],[TrxDate]]&gt;debug_date_end, "post", "curr"))</f>
        <v>curr</v>
      </c>
    </row>
    <row r="199" spans="1:21" hidden="1">
      <c r="A199" s="39" t="s">
        <v>350</v>
      </c>
      <c r="B199" s="6">
        <f>_xlfn.XLOOKUP(Jnl[[#This Row],[TrxId]], Trx[Id], Trx[Date],,0)</f>
        <v>46053</v>
      </c>
      <c r="C199" s="6" t="str">
        <f>_xlfn.XLOOKUP(Jnl[[#This Row],[TrxId]], Trx[Id], Trx[Division],,0)</f>
        <v>GM</v>
      </c>
      <c r="D199" s="6" t="str">
        <f>_xlfn.XLOOKUP(Jnl[[#This Row],[TrxId]], Trx[Id], Trx[Action],,0)</f>
        <v>支付</v>
      </c>
      <c r="E199" s="27" t="s">
        <v>86</v>
      </c>
      <c r="F199" s="10" t="s">
        <v>12</v>
      </c>
      <c r="G199" s="10" t="s">
        <v>395</v>
      </c>
      <c r="H199" s="37">
        <v>-572.79</v>
      </c>
      <c r="I199" s="11" t="b">
        <f>AND(Jnl[[#This Row],[TrxId]]&lt;&gt;"",Jnl[[#This Row],[Acct]]&lt;&gt;"",Jnl[[#This Row],[Item]]&lt;&gt;"",ISNUMBER(Jnl[[#This Row],[Bal]]))</f>
        <v>1</v>
      </c>
      <c r="J199" s="9">
        <f>IF(Jnl[[#This Row],[BSLv0]]="A",1,-1)*Jnl[[#This Row],[Bal]]</f>
        <v>-572.79</v>
      </c>
      <c r="K199" t="str">
        <f>_xlfn.XLOOKUP(Jnl[[#This Row],[Acct]], config_BS[Acct], config_BS[Lv0],,0)</f>
        <v>A</v>
      </c>
      <c r="L199" t="str">
        <f>_xlfn.XLOOKUP(Jnl[[#This Row],[Acct]], config_BS[Acct], config_BS[Lv1],,0)</f>
        <v>Assets</v>
      </c>
      <c r="M199" t="str">
        <f>_xlfn.XLOOKUP(Jnl[[#This Row],[Acct]], config_BS[Acct], config_BS[Lv2],,0)</f>
        <v>Cash alike</v>
      </c>
      <c r="N199" t="str">
        <f>_xlfn.XLOOKUP(Jnl[[#This Row],[TrxId]], Trx[Id], Trx[IncNode], ,0)</f>
        <v>Expense</v>
      </c>
      <c r="O199" t="str">
        <f>_xlfn.XLOOKUP(Jnl[[#This Row],[IncNode]], config_IS[Node], config_IS[Type],,0)</f>
        <v>Op</v>
      </c>
      <c r="P199" t="str">
        <f>_xlfn.XLOOKUP(Jnl[[#This Row],[BSLv2]], dict[Key], dict[Name],,0)</f>
        <v>0.现金及类似</v>
      </c>
      <c r="Q199" t="str">
        <f>_xlfn.XLOOKUP(Jnl[[#This Row],[Acct]], dict[Key], dict[Name],,0)</f>
        <v>银行</v>
      </c>
      <c r="R199" t="str">
        <f>_xlfn.XLOOKUP(Jnl[[#This Row],[Vehicle]],config_vehicle[Id], config_vehicle[Name],,0)</f>
        <v>榆乐</v>
      </c>
      <c r="S199" t="str">
        <f>_xlfn.XLOOKUP(Jnl[[#This Row],[Division]],config_div[Id], config_div[Name],,0)</f>
        <v>综合管理</v>
      </c>
      <c r="T199" t="str">
        <f>IF(Jnl[[#This Row],[TrxDate]]&lt;=stmt_BS_date_end, "In", "Out")</f>
        <v>In</v>
      </c>
      <c r="U199" t="str">
        <f>IF(Jnl[[#This Row],[TrxDate]]&lt;debug_date_start, "prior", IF(Jnl[[#This Row],[TrxDate]]&gt;debug_date_end, "post", "curr"))</f>
        <v>curr</v>
      </c>
    </row>
    <row r="200" spans="1:21" hidden="1">
      <c r="A200" s="39" t="s">
        <v>350</v>
      </c>
      <c r="B200" s="6">
        <f>_xlfn.XLOOKUP(Jnl[[#This Row],[TrxId]], Trx[Id], Trx[Date],,0)</f>
        <v>46053</v>
      </c>
      <c r="C200" s="6" t="str">
        <f>_xlfn.XLOOKUP(Jnl[[#This Row],[TrxId]], Trx[Id], Trx[Division],,0)</f>
        <v>GM</v>
      </c>
      <c r="D200" s="6" t="str">
        <f>_xlfn.XLOOKUP(Jnl[[#This Row],[TrxId]], Trx[Id], Trx[Action],,0)</f>
        <v>支付</v>
      </c>
      <c r="E200" s="27" t="s">
        <v>86</v>
      </c>
      <c r="F200" s="10" t="s">
        <v>129</v>
      </c>
      <c r="G200" s="10" t="s">
        <v>348</v>
      </c>
      <c r="H200" s="37">
        <v>-572.79</v>
      </c>
      <c r="I200" s="11" t="b">
        <f>AND(Jnl[[#This Row],[TrxId]]&lt;&gt;"",Jnl[[#This Row],[Acct]]&lt;&gt;"",Jnl[[#This Row],[Item]]&lt;&gt;"",ISNUMBER(Jnl[[#This Row],[Bal]]))</f>
        <v>1</v>
      </c>
      <c r="J200" s="9">
        <f>IF(Jnl[[#This Row],[BSLv0]]="A",1,-1)*Jnl[[#This Row],[Bal]]</f>
        <v>572.79</v>
      </c>
      <c r="K200" t="str">
        <f>_xlfn.XLOOKUP(Jnl[[#This Row],[Acct]], config_BS[Acct], config_BS[Lv0],,0)</f>
        <v>LC</v>
      </c>
      <c r="L200" t="str">
        <f>_xlfn.XLOOKUP(Jnl[[#This Row],[Acct]], config_BS[Acct], config_BS[Lv1],,0)</f>
        <v>Liability</v>
      </c>
      <c r="M200" t="str">
        <f>_xlfn.XLOOKUP(Jnl[[#This Row],[Acct]], config_BS[Acct], config_BS[Lv2],,0)</f>
        <v>Rec-Pay</v>
      </c>
      <c r="N200" t="str">
        <f>_xlfn.XLOOKUP(Jnl[[#This Row],[TrxId]], Trx[Id], Trx[IncNode], ,0)</f>
        <v>Expense</v>
      </c>
      <c r="O200" t="str">
        <f>_xlfn.XLOOKUP(Jnl[[#This Row],[IncNode]], config_IS[Node], config_IS[Type],,0)</f>
        <v>Op</v>
      </c>
      <c r="P200" t="str">
        <f>_xlfn.XLOOKUP(Jnl[[#This Row],[BSLv2]], dict[Key], dict[Name],,0)</f>
        <v>1.应收-应付</v>
      </c>
      <c r="Q200" t="str">
        <f>_xlfn.XLOOKUP(Jnl[[#This Row],[Acct]], dict[Key], dict[Name],,0)</f>
        <v>应付-税款</v>
      </c>
      <c r="R200" t="str">
        <f>_xlfn.XLOOKUP(Jnl[[#This Row],[Vehicle]],config_vehicle[Id], config_vehicle[Name],,0)</f>
        <v>榆乐</v>
      </c>
      <c r="S200" t="str">
        <f>_xlfn.XLOOKUP(Jnl[[#This Row],[Division]],config_div[Id], config_div[Name],,0)</f>
        <v>综合管理</v>
      </c>
      <c r="T200" t="str">
        <f>IF(Jnl[[#This Row],[TrxDate]]&lt;=stmt_BS_date_end, "In", "Out")</f>
        <v>In</v>
      </c>
      <c r="U200" t="str">
        <f>IF(Jnl[[#This Row],[TrxDate]]&lt;debug_date_start, "prior", IF(Jnl[[#This Row],[TrxDate]]&gt;debug_date_end, "post", "curr"))</f>
        <v>curr</v>
      </c>
    </row>
    <row r="201" spans="1:21" hidden="1">
      <c r="A201" s="39" t="s">
        <v>351</v>
      </c>
      <c r="B201" s="6">
        <f>_xlfn.XLOOKUP(Jnl[[#This Row],[TrxId]], Trx[Id], Trx[Date],,0)</f>
        <v>46053</v>
      </c>
      <c r="C201" s="6" t="str">
        <f>_xlfn.XLOOKUP(Jnl[[#This Row],[TrxId]], Trx[Id], Trx[Division],,0)</f>
        <v>Ctrl</v>
      </c>
      <c r="D201" s="6" t="str">
        <f>_xlfn.XLOOKUP(Jnl[[#This Row],[TrxId]], Trx[Id], Trx[Action],,0)</f>
        <v>支付</v>
      </c>
      <c r="E201" s="27" t="s">
        <v>86</v>
      </c>
      <c r="F201" s="10" t="s">
        <v>129</v>
      </c>
      <c r="G201" s="10" t="s">
        <v>312</v>
      </c>
      <c r="H201" s="37">
        <v>-10950.5</v>
      </c>
      <c r="I201" s="11" t="b">
        <f>AND(Jnl[[#This Row],[TrxId]]&lt;&gt;"",Jnl[[#This Row],[Acct]]&lt;&gt;"",Jnl[[#This Row],[Item]]&lt;&gt;"",ISNUMBER(Jnl[[#This Row],[Bal]]))</f>
        <v>1</v>
      </c>
      <c r="J201" s="9">
        <f>IF(Jnl[[#This Row],[BSLv0]]="A",1,-1)*Jnl[[#This Row],[Bal]]</f>
        <v>10950.5</v>
      </c>
      <c r="K201" t="str">
        <f>_xlfn.XLOOKUP(Jnl[[#This Row],[Acct]], config_BS[Acct], config_BS[Lv0],,0)</f>
        <v>LC</v>
      </c>
      <c r="L201" t="str">
        <f>_xlfn.XLOOKUP(Jnl[[#This Row],[Acct]], config_BS[Acct], config_BS[Lv1],,0)</f>
        <v>Liability</v>
      </c>
      <c r="M201" t="str">
        <f>_xlfn.XLOOKUP(Jnl[[#This Row],[Acct]], config_BS[Acct], config_BS[Lv2],,0)</f>
        <v>Rec-Pay</v>
      </c>
      <c r="N201" t="str">
        <f>_xlfn.XLOOKUP(Jnl[[#This Row],[TrxId]], Trx[Id], Trx[IncNode], ,0)</f>
        <v>Expense</v>
      </c>
      <c r="O201" t="str">
        <f>_xlfn.XLOOKUP(Jnl[[#This Row],[IncNode]], config_IS[Node], config_IS[Type],,0)</f>
        <v>Op</v>
      </c>
      <c r="P201" t="str">
        <f>_xlfn.XLOOKUP(Jnl[[#This Row],[BSLv2]], dict[Key], dict[Name],,0)</f>
        <v>1.应收-应付</v>
      </c>
      <c r="Q201" t="str">
        <f>_xlfn.XLOOKUP(Jnl[[#This Row],[Acct]], dict[Key], dict[Name],,0)</f>
        <v>应付-税款</v>
      </c>
      <c r="R201" t="str">
        <f>_xlfn.XLOOKUP(Jnl[[#This Row],[Vehicle]],config_vehicle[Id], config_vehicle[Name],,0)</f>
        <v>榆乐</v>
      </c>
      <c r="S201" t="str">
        <f>_xlfn.XLOOKUP(Jnl[[#This Row],[Division]],config_div[Id], config_div[Name],,0)</f>
        <v>内控合规</v>
      </c>
      <c r="T201" t="str">
        <f>IF(Jnl[[#This Row],[TrxDate]]&lt;=stmt_BS_date_end, "In", "Out")</f>
        <v>In</v>
      </c>
      <c r="U201" t="str">
        <f>IF(Jnl[[#This Row],[TrxDate]]&lt;debug_date_start, "prior", IF(Jnl[[#This Row],[TrxDate]]&gt;debug_date_end, "post", "curr"))</f>
        <v>curr</v>
      </c>
    </row>
    <row r="202" spans="1:21" hidden="1">
      <c r="A202" s="39" t="s">
        <v>351</v>
      </c>
      <c r="B202" s="6">
        <f>_xlfn.XLOOKUP(Jnl[[#This Row],[TrxId]], Trx[Id], Trx[Date],,0)</f>
        <v>46053</v>
      </c>
      <c r="C202" s="6" t="str">
        <f>_xlfn.XLOOKUP(Jnl[[#This Row],[TrxId]], Trx[Id], Trx[Division],,0)</f>
        <v>Ctrl</v>
      </c>
      <c r="D202" s="6" t="str">
        <f>_xlfn.XLOOKUP(Jnl[[#This Row],[TrxId]], Trx[Id], Trx[Action],,0)</f>
        <v>支付</v>
      </c>
      <c r="E202" s="27" t="s">
        <v>86</v>
      </c>
      <c r="F202" s="10" t="s">
        <v>129</v>
      </c>
      <c r="G202" s="10" t="s">
        <v>352</v>
      </c>
      <c r="H202" s="37">
        <v>-30620.3</v>
      </c>
      <c r="I202" s="11" t="b">
        <f>AND(Jnl[[#This Row],[TrxId]]&lt;&gt;"",Jnl[[#This Row],[Acct]]&lt;&gt;"",Jnl[[#This Row],[Item]]&lt;&gt;"",ISNUMBER(Jnl[[#This Row],[Bal]]))</f>
        <v>1</v>
      </c>
      <c r="J202" s="9">
        <f>IF(Jnl[[#This Row],[BSLv0]]="A",1,-1)*Jnl[[#This Row],[Bal]]</f>
        <v>30620.3</v>
      </c>
      <c r="K202" t="str">
        <f>_xlfn.XLOOKUP(Jnl[[#This Row],[Acct]], config_BS[Acct], config_BS[Lv0],,0)</f>
        <v>LC</v>
      </c>
      <c r="L202" t="str">
        <f>_xlfn.XLOOKUP(Jnl[[#This Row],[Acct]], config_BS[Acct], config_BS[Lv1],,0)</f>
        <v>Liability</v>
      </c>
      <c r="M202" t="str">
        <f>_xlfn.XLOOKUP(Jnl[[#This Row],[Acct]], config_BS[Acct], config_BS[Lv2],,0)</f>
        <v>Rec-Pay</v>
      </c>
      <c r="N202" t="str">
        <f>_xlfn.XLOOKUP(Jnl[[#This Row],[TrxId]], Trx[Id], Trx[IncNode], ,0)</f>
        <v>Expense</v>
      </c>
      <c r="O202" t="str">
        <f>_xlfn.XLOOKUP(Jnl[[#This Row],[IncNode]], config_IS[Node], config_IS[Type],,0)</f>
        <v>Op</v>
      </c>
      <c r="P202" t="str">
        <f>_xlfn.XLOOKUP(Jnl[[#This Row],[BSLv2]], dict[Key], dict[Name],,0)</f>
        <v>1.应收-应付</v>
      </c>
      <c r="Q202" t="str">
        <f>_xlfn.XLOOKUP(Jnl[[#This Row],[Acct]], dict[Key], dict[Name],,0)</f>
        <v>应付-税款</v>
      </c>
      <c r="R202" t="str">
        <f>_xlfn.XLOOKUP(Jnl[[#This Row],[Vehicle]],config_vehicle[Id], config_vehicle[Name],,0)</f>
        <v>榆乐</v>
      </c>
      <c r="S202" t="str">
        <f>_xlfn.XLOOKUP(Jnl[[#This Row],[Division]],config_div[Id], config_div[Name],,0)</f>
        <v>内控合规</v>
      </c>
      <c r="T202" t="str">
        <f>IF(Jnl[[#This Row],[TrxDate]]&lt;=stmt_BS_date_end, "In", "Out")</f>
        <v>In</v>
      </c>
      <c r="U202" t="str">
        <f>IF(Jnl[[#This Row],[TrxDate]]&lt;debug_date_start, "prior", IF(Jnl[[#This Row],[TrxDate]]&gt;debug_date_end, "post", "curr"))</f>
        <v>curr</v>
      </c>
    </row>
    <row r="203" spans="1:21" hidden="1">
      <c r="A203" s="39" t="s">
        <v>351</v>
      </c>
      <c r="B203" s="6">
        <f>_xlfn.XLOOKUP(Jnl[[#This Row],[TrxId]], Trx[Id], Trx[Date],,0)</f>
        <v>46053</v>
      </c>
      <c r="C203" s="6" t="str">
        <f>_xlfn.XLOOKUP(Jnl[[#This Row],[TrxId]], Trx[Id], Trx[Division],,0)</f>
        <v>Ctrl</v>
      </c>
      <c r="D203" s="6" t="str">
        <f>_xlfn.XLOOKUP(Jnl[[#This Row],[TrxId]], Trx[Id], Trx[Action],,0)</f>
        <v>支付</v>
      </c>
      <c r="E203" s="27" t="s">
        <v>86</v>
      </c>
      <c r="F203" s="10" t="s">
        <v>129</v>
      </c>
      <c r="G203" s="10" t="s">
        <v>353</v>
      </c>
      <c r="H203" s="37">
        <v>-657.03</v>
      </c>
      <c r="I203" s="11" t="b">
        <f>AND(Jnl[[#This Row],[TrxId]]&lt;&gt;"",Jnl[[#This Row],[Acct]]&lt;&gt;"",Jnl[[#This Row],[Item]]&lt;&gt;"",ISNUMBER(Jnl[[#This Row],[Bal]]))</f>
        <v>1</v>
      </c>
      <c r="J203" s="9">
        <f>IF(Jnl[[#This Row],[BSLv0]]="A",1,-1)*Jnl[[#This Row],[Bal]]</f>
        <v>657.03</v>
      </c>
      <c r="K203" t="str">
        <f>_xlfn.XLOOKUP(Jnl[[#This Row],[Acct]], config_BS[Acct], config_BS[Lv0],,0)</f>
        <v>LC</v>
      </c>
      <c r="L203" t="str">
        <f>_xlfn.XLOOKUP(Jnl[[#This Row],[Acct]], config_BS[Acct], config_BS[Lv1],,0)</f>
        <v>Liability</v>
      </c>
      <c r="M203" t="str">
        <f>_xlfn.XLOOKUP(Jnl[[#This Row],[Acct]], config_BS[Acct], config_BS[Lv2],,0)</f>
        <v>Rec-Pay</v>
      </c>
      <c r="N203" t="str">
        <f>_xlfn.XLOOKUP(Jnl[[#This Row],[TrxId]], Trx[Id], Trx[IncNode], ,0)</f>
        <v>Expense</v>
      </c>
      <c r="O203" t="str">
        <f>_xlfn.XLOOKUP(Jnl[[#This Row],[IncNode]], config_IS[Node], config_IS[Type],,0)</f>
        <v>Op</v>
      </c>
      <c r="P203" t="str">
        <f>_xlfn.XLOOKUP(Jnl[[#This Row],[BSLv2]], dict[Key], dict[Name],,0)</f>
        <v>1.应收-应付</v>
      </c>
      <c r="Q203" t="str">
        <f>_xlfn.XLOOKUP(Jnl[[#This Row],[Acct]], dict[Key], dict[Name],,0)</f>
        <v>应付-税款</v>
      </c>
      <c r="R203" t="str">
        <f>_xlfn.XLOOKUP(Jnl[[#This Row],[Vehicle]],config_vehicle[Id], config_vehicle[Name],,0)</f>
        <v>榆乐</v>
      </c>
      <c r="S203" t="str">
        <f>_xlfn.XLOOKUP(Jnl[[#This Row],[Division]],config_div[Id], config_div[Name],,0)</f>
        <v>内控合规</v>
      </c>
      <c r="T203" t="str">
        <f>IF(Jnl[[#This Row],[TrxDate]]&lt;=stmt_BS_date_end, "In", "Out")</f>
        <v>In</v>
      </c>
      <c r="U203" t="str">
        <f>IF(Jnl[[#This Row],[TrxDate]]&lt;debug_date_start, "prior", IF(Jnl[[#This Row],[TrxDate]]&gt;debug_date_end, "post", "curr"))</f>
        <v>curr</v>
      </c>
    </row>
    <row r="204" spans="1:21" hidden="1">
      <c r="A204" s="39" t="s">
        <v>351</v>
      </c>
      <c r="B204" s="6">
        <f>_xlfn.XLOOKUP(Jnl[[#This Row],[TrxId]], Trx[Id], Trx[Date],,0)</f>
        <v>46053</v>
      </c>
      <c r="C204" s="6" t="str">
        <f>_xlfn.XLOOKUP(Jnl[[#This Row],[TrxId]], Trx[Id], Trx[Division],,0)</f>
        <v>Ctrl</v>
      </c>
      <c r="D204" s="6" t="str">
        <f>_xlfn.XLOOKUP(Jnl[[#This Row],[TrxId]], Trx[Id], Trx[Action],,0)</f>
        <v>支付</v>
      </c>
      <c r="E204" s="27" t="s">
        <v>86</v>
      </c>
      <c r="F204" s="10" t="s">
        <v>129</v>
      </c>
      <c r="G204" s="10" t="s">
        <v>354</v>
      </c>
      <c r="H204" s="37">
        <v>-5.0199999999999996</v>
      </c>
      <c r="I204" s="11" t="b">
        <f>AND(Jnl[[#This Row],[TrxId]]&lt;&gt;"",Jnl[[#This Row],[Acct]]&lt;&gt;"",Jnl[[#This Row],[Item]]&lt;&gt;"",ISNUMBER(Jnl[[#This Row],[Bal]]))</f>
        <v>1</v>
      </c>
      <c r="J204" s="9">
        <f>IF(Jnl[[#This Row],[BSLv0]]="A",1,-1)*Jnl[[#This Row],[Bal]]</f>
        <v>5.0199999999999996</v>
      </c>
      <c r="K204" t="str">
        <f>_xlfn.XLOOKUP(Jnl[[#This Row],[Acct]], config_BS[Acct], config_BS[Lv0],,0)</f>
        <v>LC</v>
      </c>
      <c r="L204" t="str">
        <f>_xlfn.XLOOKUP(Jnl[[#This Row],[Acct]], config_BS[Acct], config_BS[Lv1],,0)</f>
        <v>Liability</v>
      </c>
      <c r="M204" t="str">
        <f>_xlfn.XLOOKUP(Jnl[[#This Row],[Acct]], config_BS[Acct], config_BS[Lv2],,0)</f>
        <v>Rec-Pay</v>
      </c>
      <c r="N204" t="str">
        <f>_xlfn.XLOOKUP(Jnl[[#This Row],[TrxId]], Trx[Id], Trx[IncNode], ,0)</f>
        <v>Expense</v>
      </c>
      <c r="O204" t="str">
        <f>_xlfn.XLOOKUP(Jnl[[#This Row],[IncNode]], config_IS[Node], config_IS[Type],,0)</f>
        <v>Op</v>
      </c>
      <c r="P204" t="str">
        <f>_xlfn.XLOOKUP(Jnl[[#This Row],[BSLv2]], dict[Key], dict[Name],,0)</f>
        <v>1.应收-应付</v>
      </c>
      <c r="Q204" t="str">
        <f>_xlfn.XLOOKUP(Jnl[[#This Row],[Acct]], dict[Key], dict[Name],,0)</f>
        <v>应付-税款</v>
      </c>
      <c r="R204" t="str">
        <f>_xlfn.XLOOKUP(Jnl[[#This Row],[Vehicle]],config_vehicle[Id], config_vehicle[Name],,0)</f>
        <v>榆乐</v>
      </c>
      <c r="S204" t="str">
        <f>_xlfn.XLOOKUP(Jnl[[#This Row],[Division]],config_div[Id], config_div[Name],,0)</f>
        <v>内控合规</v>
      </c>
      <c r="T204" t="str">
        <f>IF(Jnl[[#This Row],[TrxDate]]&lt;=stmt_BS_date_end, "In", "Out")</f>
        <v>In</v>
      </c>
      <c r="U204" t="str">
        <f>IF(Jnl[[#This Row],[TrxDate]]&lt;debug_date_start, "prior", IF(Jnl[[#This Row],[TrxDate]]&gt;debug_date_end, "post", "curr"))</f>
        <v>curr</v>
      </c>
    </row>
    <row r="205" spans="1:21" hidden="1">
      <c r="A205" s="39" t="s">
        <v>351</v>
      </c>
      <c r="B205" s="6">
        <f>_xlfn.XLOOKUP(Jnl[[#This Row],[TrxId]], Trx[Id], Trx[Date],,0)</f>
        <v>46053</v>
      </c>
      <c r="C205" s="6" t="str">
        <f>_xlfn.XLOOKUP(Jnl[[#This Row],[TrxId]], Trx[Id], Trx[Division],,0)</f>
        <v>Ctrl</v>
      </c>
      <c r="D205" s="6" t="str">
        <f>_xlfn.XLOOKUP(Jnl[[#This Row],[TrxId]], Trx[Id], Trx[Action],,0)</f>
        <v>支付</v>
      </c>
      <c r="E205" s="27" t="s">
        <v>86</v>
      </c>
      <c r="F205" s="10" t="s">
        <v>12</v>
      </c>
      <c r="G205" s="10" t="s">
        <v>395</v>
      </c>
      <c r="H205" s="37">
        <v>-42232.85</v>
      </c>
      <c r="I205" s="11" t="b">
        <f>AND(Jnl[[#This Row],[TrxId]]&lt;&gt;"",Jnl[[#This Row],[Acct]]&lt;&gt;"",Jnl[[#This Row],[Item]]&lt;&gt;"",ISNUMBER(Jnl[[#This Row],[Bal]]))</f>
        <v>1</v>
      </c>
      <c r="J205" s="9">
        <f>IF(Jnl[[#This Row],[BSLv0]]="A",1,-1)*Jnl[[#This Row],[Bal]]</f>
        <v>-42232.85</v>
      </c>
      <c r="K205" t="str">
        <f>_xlfn.XLOOKUP(Jnl[[#This Row],[Acct]], config_BS[Acct], config_BS[Lv0],,0)</f>
        <v>A</v>
      </c>
      <c r="L205" t="str">
        <f>_xlfn.XLOOKUP(Jnl[[#This Row],[Acct]], config_BS[Acct], config_BS[Lv1],,0)</f>
        <v>Assets</v>
      </c>
      <c r="M205" t="str">
        <f>_xlfn.XLOOKUP(Jnl[[#This Row],[Acct]], config_BS[Acct], config_BS[Lv2],,0)</f>
        <v>Cash alike</v>
      </c>
      <c r="N205" t="str">
        <f>_xlfn.XLOOKUP(Jnl[[#This Row],[TrxId]], Trx[Id], Trx[IncNode], ,0)</f>
        <v>Expense</v>
      </c>
      <c r="O205" t="str">
        <f>_xlfn.XLOOKUP(Jnl[[#This Row],[IncNode]], config_IS[Node], config_IS[Type],,0)</f>
        <v>Op</v>
      </c>
      <c r="P205" t="str">
        <f>_xlfn.XLOOKUP(Jnl[[#This Row],[BSLv2]], dict[Key], dict[Name],,0)</f>
        <v>0.现金及类似</v>
      </c>
      <c r="Q205" t="str">
        <f>_xlfn.XLOOKUP(Jnl[[#This Row],[Acct]], dict[Key], dict[Name],,0)</f>
        <v>银行</v>
      </c>
      <c r="R205" t="str">
        <f>_xlfn.XLOOKUP(Jnl[[#This Row],[Vehicle]],config_vehicle[Id], config_vehicle[Name],,0)</f>
        <v>榆乐</v>
      </c>
      <c r="S205" t="str">
        <f>_xlfn.XLOOKUP(Jnl[[#This Row],[Division]],config_div[Id], config_div[Name],,0)</f>
        <v>内控合规</v>
      </c>
      <c r="T205" t="str">
        <f>IF(Jnl[[#This Row],[TrxDate]]&lt;=stmt_BS_date_end, "In", "Out")</f>
        <v>In</v>
      </c>
      <c r="U205" t="str">
        <f>IF(Jnl[[#This Row],[TrxDate]]&lt;debug_date_start, "prior", IF(Jnl[[#This Row],[TrxDate]]&gt;debug_date_end, "post", "curr"))</f>
        <v>curr</v>
      </c>
    </row>
    <row r="206" spans="1:21" hidden="1">
      <c r="A206" s="39" t="s">
        <v>358</v>
      </c>
      <c r="B206" s="6">
        <f>_xlfn.XLOOKUP(Jnl[[#This Row],[TrxId]], Trx[Id], Trx[Date],,0)</f>
        <v>46053</v>
      </c>
      <c r="C206" s="6" t="str">
        <f>_xlfn.XLOOKUP(Jnl[[#This Row],[TrxId]], Trx[Id], Trx[Division],,0)</f>
        <v>GM</v>
      </c>
      <c r="D206" s="6" t="str">
        <f>_xlfn.XLOOKUP(Jnl[[#This Row],[TrxId]], Trx[Id], Trx[Action],,0)</f>
        <v>公共设施</v>
      </c>
      <c r="E206" s="27" t="s">
        <v>86</v>
      </c>
      <c r="F206" s="10" t="s">
        <v>12</v>
      </c>
      <c r="G206" s="10" t="s">
        <v>395</v>
      </c>
      <c r="H206" s="37">
        <v>-2057.67</v>
      </c>
      <c r="I206" s="11" t="b">
        <f>AND(Jnl[[#This Row],[TrxId]]&lt;&gt;"",Jnl[[#This Row],[Acct]]&lt;&gt;"",Jnl[[#This Row],[Item]]&lt;&gt;"",ISNUMBER(Jnl[[#This Row],[Bal]]))</f>
        <v>1</v>
      </c>
      <c r="J206" s="9">
        <f>IF(Jnl[[#This Row],[BSLv0]]="A",1,-1)*Jnl[[#This Row],[Bal]]</f>
        <v>-2057.67</v>
      </c>
      <c r="K206" t="str">
        <f>_xlfn.XLOOKUP(Jnl[[#This Row],[Acct]], config_BS[Acct], config_BS[Lv0],,0)</f>
        <v>A</v>
      </c>
      <c r="L206" t="str">
        <f>_xlfn.XLOOKUP(Jnl[[#This Row],[Acct]], config_BS[Acct], config_BS[Lv1],,0)</f>
        <v>Assets</v>
      </c>
      <c r="M206" t="str">
        <f>_xlfn.XLOOKUP(Jnl[[#This Row],[Acct]], config_BS[Acct], config_BS[Lv2],,0)</f>
        <v>Cash alike</v>
      </c>
      <c r="N206" t="str">
        <f>_xlfn.XLOOKUP(Jnl[[#This Row],[TrxId]], Trx[Id], Trx[IncNode], ,0)</f>
        <v>Expense</v>
      </c>
      <c r="O206" t="str">
        <f>_xlfn.XLOOKUP(Jnl[[#This Row],[IncNode]], config_IS[Node], config_IS[Type],,0)</f>
        <v>Op</v>
      </c>
      <c r="P206" t="str">
        <f>_xlfn.XLOOKUP(Jnl[[#This Row],[BSLv2]], dict[Key], dict[Name],,0)</f>
        <v>0.现金及类似</v>
      </c>
      <c r="Q206" t="str">
        <f>_xlfn.XLOOKUP(Jnl[[#This Row],[Acct]], dict[Key], dict[Name],,0)</f>
        <v>银行</v>
      </c>
      <c r="R206" t="str">
        <f>_xlfn.XLOOKUP(Jnl[[#This Row],[Vehicle]],config_vehicle[Id], config_vehicle[Name],,0)</f>
        <v>榆乐</v>
      </c>
      <c r="S206" t="str">
        <f>_xlfn.XLOOKUP(Jnl[[#This Row],[Division]],config_div[Id], config_div[Name],,0)</f>
        <v>综合管理</v>
      </c>
      <c r="T206" t="str">
        <f>IF(Jnl[[#This Row],[TrxDate]]&lt;=stmt_BS_date_end, "In", "Out")</f>
        <v>In</v>
      </c>
      <c r="U206" t="str">
        <f>IF(Jnl[[#This Row],[TrxDate]]&lt;debug_date_start, "prior", IF(Jnl[[#This Row],[TrxDate]]&gt;debug_date_end, "post", "curr"))</f>
        <v>curr</v>
      </c>
    </row>
    <row r="207" spans="1:21" hidden="1">
      <c r="A207" s="39" t="s">
        <v>360</v>
      </c>
      <c r="B207" s="6">
        <f>_xlfn.XLOOKUP(Jnl[[#This Row],[TrxId]], Trx[Id], Trx[Date],,0)</f>
        <v>46053</v>
      </c>
      <c r="C207" s="6" t="str">
        <f>_xlfn.XLOOKUP(Jnl[[#This Row],[TrxId]], Trx[Id], Trx[Division],,0)</f>
        <v>GM</v>
      </c>
      <c r="D207" s="6" t="str">
        <f>_xlfn.XLOOKUP(Jnl[[#This Row],[TrxId]], Trx[Id], Trx[Action],,0)</f>
        <v>交通</v>
      </c>
      <c r="E207" s="27" t="s">
        <v>86</v>
      </c>
      <c r="F207" s="10" t="s">
        <v>12</v>
      </c>
      <c r="G207" s="10" t="s">
        <v>395</v>
      </c>
      <c r="H207" s="37">
        <v>-317</v>
      </c>
      <c r="I207" s="11" t="b">
        <f>AND(Jnl[[#This Row],[TrxId]]&lt;&gt;"",Jnl[[#This Row],[Acct]]&lt;&gt;"",Jnl[[#This Row],[Item]]&lt;&gt;"",ISNUMBER(Jnl[[#This Row],[Bal]]))</f>
        <v>1</v>
      </c>
      <c r="J207" s="9">
        <f>IF(Jnl[[#This Row],[BSLv0]]="A",1,-1)*Jnl[[#This Row],[Bal]]</f>
        <v>-317</v>
      </c>
      <c r="K207" t="str">
        <f>_xlfn.XLOOKUP(Jnl[[#This Row],[Acct]], config_BS[Acct], config_BS[Lv0],,0)</f>
        <v>A</v>
      </c>
      <c r="L207" t="str">
        <f>_xlfn.XLOOKUP(Jnl[[#This Row],[Acct]], config_BS[Acct], config_BS[Lv1],,0)</f>
        <v>Assets</v>
      </c>
      <c r="M207" t="str">
        <f>_xlfn.XLOOKUP(Jnl[[#This Row],[Acct]], config_BS[Acct], config_BS[Lv2],,0)</f>
        <v>Cash alike</v>
      </c>
      <c r="N207" t="str">
        <f>_xlfn.XLOOKUP(Jnl[[#This Row],[TrxId]], Trx[Id], Trx[IncNode], ,0)</f>
        <v>Expense</v>
      </c>
      <c r="O207" t="str">
        <f>_xlfn.XLOOKUP(Jnl[[#This Row],[IncNode]], config_IS[Node], config_IS[Type],,0)</f>
        <v>Op</v>
      </c>
      <c r="P207" t="str">
        <f>_xlfn.XLOOKUP(Jnl[[#This Row],[BSLv2]], dict[Key], dict[Name],,0)</f>
        <v>0.现金及类似</v>
      </c>
      <c r="Q207" t="str">
        <f>_xlfn.XLOOKUP(Jnl[[#This Row],[Acct]], dict[Key], dict[Name],,0)</f>
        <v>银行</v>
      </c>
      <c r="R207" t="str">
        <f>_xlfn.XLOOKUP(Jnl[[#This Row],[Vehicle]],config_vehicle[Id], config_vehicle[Name],,0)</f>
        <v>榆乐</v>
      </c>
      <c r="S207" t="str">
        <f>_xlfn.XLOOKUP(Jnl[[#This Row],[Division]],config_div[Id], config_div[Name],,0)</f>
        <v>综合管理</v>
      </c>
      <c r="T207" t="str">
        <f>IF(Jnl[[#This Row],[TrxDate]]&lt;=stmt_BS_date_end, "In", "Out")</f>
        <v>In</v>
      </c>
      <c r="U207" t="str">
        <f>IF(Jnl[[#This Row],[TrxDate]]&lt;debug_date_start, "prior", IF(Jnl[[#This Row],[TrxDate]]&gt;debug_date_end, "post", "curr"))</f>
        <v>curr</v>
      </c>
    </row>
    <row r="208" spans="1:21" hidden="1">
      <c r="A208" s="39" t="s">
        <v>361</v>
      </c>
      <c r="B208" s="6">
        <f>_xlfn.XLOOKUP(Jnl[[#This Row],[TrxId]], Trx[Id], Trx[Date],,0)</f>
        <v>46053</v>
      </c>
      <c r="C208" s="6" t="str">
        <f>_xlfn.XLOOKUP(Jnl[[#This Row],[TrxId]], Trx[Id], Trx[Division],,0)</f>
        <v>Online</v>
      </c>
      <c r="D208" s="6" t="str">
        <f>_xlfn.XLOOKUP(Jnl[[#This Row],[TrxId]], Trx[Id], Trx[Action],,0)</f>
        <v>采购</v>
      </c>
      <c r="E208" s="27" t="s">
        <v>86</v>
      </c>
      <c r="F208" s="10" t="s">
        <v>12</v>
      </c>
      <c r="G208" s="10" t="s">
        <v>395</v>
      </c>
      <c r="H208" s="37">
        <v>-150</v>
      </c>
      <c r="I208" s="11" t="b">
        <f>AND(Jnl[[#This Row],[TrxId]]&lt;&gt;"",Jnl[[#This Row],[Acct]]&lt;&gt;"",Jnl[[#This Row],[Item]]&lt;&gt;"",ISNUMBER(Jnl[[#This Row],[Bal]]))</f>
        <v>1</v>
      </c>
      <c r="J208" s="9">
        <f>IF(Jnl[[#This Row],[BSLv0]]="A",1,-1)*Jnl[[#This Row],[Bal]]</f>
        <v>-150</v>
      </c>
      <c r="K208" t="str">
        <f>_xlfn.XLOOKUP(Jnl[[#This Row],[Acct]], config_BS[Acct], config_BS[Lv0],,0)</f>
        <v>A</v>
      </c>
      <c r="L208" t="str">
        <f>_xlfn.XLOOKUP(Jnl[[#This Row],[Acct]], config_BS[Acct], config_BS[Lv1],,0)</f>
        <v>Assets</v>
      </c>
      <c r="M208" t="str">
        <f>_xlfn.XLOOKUP(Jnl[[#This Row],[Acct]], config_BS[Acct], config_BS[Lv2],,0)</f>
        <v>Cash alike</v>
      </c>
      <c r="N208" t="str">
        <f>_xlfn.XLOOKUP(Jnl[[#This Row],[TrxId]], Trx[Id], Trx[IncNode], ,0)</f>
        <v>Cost</v>
      </c>
      <c r="O208" t="str">
        <f>_xlfn.XLOOKUP(Jnl[[#This Row],[IncNode]], config_IS[Node], config_IS[Type],,0)</f>
        <v>Op</v>
      </c>
      <c r="P208" t="str">
        <f>_xlfn.XLOOKUP(Jnl[[#This Row],[BSLv2]], dict[Key], dict[Name],,0)</f>
        <v>0.现金及类似</v>
      </c>
      <c r="Q208" t="str">
        <f>_xlfn.XLOOKUP(Jnl[[#This Row],[Acct]], dict[Key], dict[Name],,0)</f>
        <v>银行</v>
      </c>
      <c r="R208" t="str">
        <f>_xlfn.XLOOKUP(Jnl[[#This Row],[Vehicle]],config_vehicle[Id], config_vehicle[Name],,0)</f>
        <v>榆乐</v>
      </c>
      <c r="S208" t="str">
        <f>_xlfn.XLOOKUP(Jnl[[#This Row],[Division]],config_div[Id], config_div[Name],,0)</f>
        <v>网店</v>
      </c>
      <c r="T208" t="str">
        <f>IF(Jnl[[#This Row],[TrxDate]]&lt;=stmt_BS_date_end, "In", "Out")</f>
        <v>In</v>
      </c>
      <c r="U208" t="str">
        <f>IF(Jnl[[#This Row],[TrxDate]]&lt;debug_date_start, "prior", IF(Jnl[[#This Row],[TrxDate]]&gt;debug_date_end, "post", "curr"))</f>
        <v>curr</v>
      </c>
    </row>
    <row r="209" spans="1:21" hidden="1">
      <c r="A209" s="39" t="s">
        <v>361</v>
      </c>
      <c r="B209" s="6">
        <f>_xlfn.XLOOKUP(Jnl[[#This Row],[TrxId]], Trx[Id], Trx[Date],,0)</f>
        <v>46053</v>
      </c>
      <c r="C209" s="6" t="str">
        <f>_xlfn.XLOOKUP(Jnl[[#This Row],[TrxId]], Trx[Id], Trx[Division],,0)</f>
        <v>Online</v>
      </c>
      <c r="D209" s="6" t="str">
        <f>_xlfn.XLOOKUP(Jnl[[#This Row],[TrxId]], Trx[Id], Trx[Action],,0)</f>
        <v>采购</v>
      </c>
      <c r="E209" s="27" t="s">
        <v>82</v>
      </c>
      <c r="F209" s="10" t="s">
        <v>118</v>
      </c>
      <c r="G209" s="10" t="s">
        <v>154</v>
      </c>
      <c r="H209" s="37">
        <v>150</v>
      </c>
      <c r="I209" s="11" t="b">
        <f>AND(Jnl[[#This Row],[TrxId]]&lt;&gt;"",Jnl[[#This Row],[Acct]]&lt;&gt;"",Jnl[[#This Row],[Item]]&lt;&gt;"",ISNUMBER(Jnl[[#This Row],[Bal]]))</f>
        <v>1</v>
      </c>
      <c r="J209" s="9">
        <f>IF(Jnl[[#This Row],[BSLv0]]="A",1,-1)*Jnl[[#This Row],[Bal]]</f>
        <v>150</v>
      </c>
      <c r="K209" t="str">
        <f>_xlfn.XLOOKUP(Jnl[[#This Row],[Acct]], config_BS[Acct], config_BS[Lv0],,0)</f>
        <v>A</v>
      </c>
      <c r="L209" t="str">
        <f>_xlfn.XLOOKUP(Jnl[[#This Row],[Acct]], config_BS[Acct], config_BS[Lv1],,0)</f>
        <v>Assets</v>
      </c>
      <c r="M209" t="str">
        <f>_xlfn.XLOOKUP(Jnl[[#This Row],[Acct]], config_BS[Acct], config_BS[Lv2],,0)</f>
        <v>Invtr</v>
      </c>
      <c r="N209" t="str">
        <f>_xlfn.XLOOKUP(Jnl[[#This Row],[TrxId]], Trx[Id], Trx[IncNode], ,0)</f>
        <v>Cost</v>
      </c>
      <c r="O209" t="str">
        <f>_xlfn.XLOOKUP(Jnl[[#This Row],[IncNode]], config_IS[Node], config_IS[Type],,0)</f>
        <v>Op</v>
      </c>
      <c r="P209" t="str">
        <f>_xlfn.XLOOKUP(Jnl[[#This Row],[BSLv2]], dict[Key], dict[Name],,0)</f>
        <v>3.库存占款</v>
      </c>
      <c r="Q209" t="str">
        <f>_xlfn.XLOOKUP(Jnl[[#This Row],[Acct]], dict[Key], dict[Name],,0)</f>
        <v>当期存货</v>
      </c>
      <c r="R209" t="str">
        <f>_xlfn.XLOOKUP(Jnl[[#This Row],[Vehicle]],config_vehicle[Id], config_vehicle[Name],,0)</f>
        <v>远家花园</v>
      </c>
      <c r="S209" t="str">
        <f>_xlfn.XLOOKUP(Jnl[[#This Row],[Division]],config_div[Id], config_div[Name],,0)</f>
        <v>网店</v>
      </c>
      <c r="T209" t="str">
        <f>IF(Jnl[[#This Row],[TrxDate]]&lt;=stmt_BS_date_end, "In", "Out")</f>
        <v>In</v>
      </c>
      <c r="U209" t="str">
        <f>IF(Jnl[[#This Row],[TrxDate]]&lt;debug_date_start, "prior", IF(Jnl[[#This Row],[TrxDate]]&gt;debug_date_end, "post", "curr"))</f>
        <v>curr</v>
      </c>
    </row>
    <row r="210" spans="1:21" hidden="1">
      <c r="A210" s="39" t="s">
        <v>362</v>
      </c>
      <c r="B210" s="6">
        <f>_xlfn.XLOOKUP(Jnl[[#This Row],[TrxId]], Trx[Id], Trx[Date],,0)</f>
        <v>46053</v>
      </c>
      <c r="C210" s="6" t="str">
        <f>_xlfn.XLOOKUP(Jnl[[#This Row],[TrxId]], Trx[Id], Trx[Division],,0)</f>
        <v>Online</v>
      </c>
      <c r="D210" s="6" t="str">
        <f>_xlfn.XLOOKUP(Jnl[[#This Row],[TrxId]], Trx[Id], Trx[Action],,0)</f>
        <v>采购</v>
      </c>
      <c r="E210" s="27" t="s">
        <v>86</v>
      </c>
      <c r="F210" s="10" t="s">
        <v>12</v>
      </c>
      <c r="G210" s="10" t="s">
        <v>395</v>
      </c>
      <c r="H210" s="37">
        <v>-2990</v>
      </c>
      <c r="I210" s="11" t="b">
        <f>AND(Jnl[[#This Row],[TrxId]]&lt;&gt;"",Jnl[[#This Row],[Acct]]&lt;&gt;"",Jnl[[#This Row],[Item]]&lt;&gt;"",ISNUMBER(Jnl[[#This Row],[Bal]]))</f>
        <v>1</v>
      </c>
      <c r="J210" s="9">
        <f>IF(Jnl[[#This Row],[BSLv0]]="A",1,-1)*Jnl[[#This Row],[Bal]]</f>
        <v>-2990</v>
      </c>
      <c r="K210" t="str">
        <f>_xlfn.XLOOKUP(Jnl[[#This Row],[Acct]], config_BS[Acct], config_BS[Lv0],,0)</f>
        <v>A</v>
      </c>
      <c r="L210" t="str">
        <f>_xlfn.XLOOKUP(Jnl[[#This Row],[Acct]], config_BS[Acct], config_BS[Lv1],,0)</f>
        <v>Assets</v>
      </c>
      <c r="M210" t="str">
        <f>_xlfn.XLOOKUP(Jnl[[#This Row],[Acct]], config_BS[Acct], config_BS[Lv2],,0)</f>
        <v>Cash alike</v>
      </c>
      <c r="N210" t="str">
        <f>_xlfn.XLOOKUP(Jnl[[#This Row],[TrxId]], Trx[Id], Trx[IncNode], ,0)</f>
        <v>Cost</v>
      </c>
      <c r="O210" t="str">
        <f>_xlfn.XLOOKUP(Jnl[[#This Row],[IncNode]], config_IS[Node], config_IS[Type],,0)</f>
        <v>Op</v>
      </c>
      <c r="P210" t="str">
        <f>_xlfn.XLOOKUP(Jnl[[#This Row],[BSLv2]], dict[Key], dict[Name],,0)</f>
        <v>0.现金及类似</v>
      </c>
      <c r="Q210" t="str">
        <f>_xlfn.XLOOKUP(Jnl[[#This Row],[Acct]], dict[Key], dict[Name],,0)</f>
        <v>银行</v>
      </c>
      <c r="R210" t="str">
        <f>_xlfn.XLOOKUP(Jnl[[#This Row],[Vehicle]],config_vehicle[Id], config_vehicle[Name],,0)</f>
        <v>榆乐</v>
      </c>
      <c r="S210" t="str">
        <f>_xlfn.XLOOKUP(Jnl[[#This Row],[Division]],config_div[Id], config_div[Name],,0)</f>
        <v>网店</v>
      </c>
      <c r="T210" t="str">
        <f>IF(Jnl[[#This Row],[TrxDate]]&lt;=stmt_BS_date_end, "In", "Out")</f>
        <v>In</v>
      </c>
      <c r="U210" t="str">
        <f>IF(Jnl[[#This Row],[TrxDate]]&lt;debug_date_start, "prior", IF(Jnl[[#This Row],[TrxDate]]&gt;debug_date_end, "post", "curr"))</f>
        <v>curr</v>
      </c>
    </row>
    <row r="211" spans="1:21" hidden="1">
      <c r="A211" s="39" t="s">
        <v>362</v>
      </c>
      <c r="B211" s="6">
        <f>_xlfn.XLOOKUP(Jnl[[#This Row],[TrxId]], Trx[Id], Trx[Date],,0)</f>
        <v>46053</v>
      </c>
      <c r="C211" s="6" t="str">
        <f>_xlfn.XLOOKUP(Jnl[[#This Row],[TrxId]], Trx[Id], Trx[Division],,0)</f>
        <v>Online</v>
      </c>
      <c r="D211" s="6" t="str">
        <f>_xlfn.XLOOKUP(Jnl[[#This Row],[TrxId]], Trx[Id], Trx[Action],,0)</f>
        <v>采购</v>
      </c>
      <c r="E211" s="27" t="s">
        <v>82</v>
      </c>
      <c r="F211" s="10" t="s">
        <v>118</v>
      </c>
      <c r="G211" s="10" t="s">
        <v>154</v>
      </c>
      <c r="H211" s="37">
        <v>2990</v>
      </c>
      <c r="I211" s="11" t="b">
        <f>AND(Jnl[[#This Row],[TrxId]]&lt;&gt;"",Jnl[[#This Row],[Acct]]&lt;&gt;"",Jnl[[#This Row],[Item]]&lt;&gt;"",ISNUMBER(Jnl[[#This Row],[Bal]]))</f>
        <v>1</v>
      </c>
      <c r="J211" s="9">
        <f>IF(Jnl[[#This Row],[BSLv0]]="A",1,-1)*Jnl[[#This Row],[Bal]]</f>
        <v>2990</v>
      </c>
      <c r="K211" t="str">
        <f>_xlfn.XLOOKUP(Jnl[[#This Row],[Acct]], config_BS[Acct], config_BS[Lv0],,0)</f>
        <v>A</v>
      </c>
      <c r="L211" t="str">
        <f>_xlfn.XLOOKUP(Jnl[[#This Row],[Acct]], config_BS[Acct], config_BS[Lv1],,0)</f>
        <v>Assets</v>
      </c>
      <c r="M211" t="str">
        <f>_xlfn.XLOOKUP(Jnl[[#This Row],[Acct]], config_BS[Acct], config_BS[Lv2],,0)</f>
        <v>Invtr</v>
      </c>
      <c r="N211" t="str">
        <f>_xlfn.XLOOKUP(Jnl[[#This Row],[TrxId]], Trx[Id], Trx[IncNode], ,0)</f>
        <v>Cost</v>
      </c>
      <c r="O211" t="str">
        <f>_xlfn.XLOOKUP(Jnl[[#This Row],[IncNode]], config_IS[Node], config_IS[Type],,0)</f>
        <v>Op</v>
      </c>
      <c r="P211" t="str">
        <f>_xlfn.XLOOKUP(Jnl[[#This Row],[BSLv2]], dict[Key], dict[Name],,0)</f>
        <v>3.库存占款</v>
      </c>
      <c r="Q211" t="str">
        <f>_xlfn.XLOOKUP(Jnl[[#This Row],[Acct]], dict[Key], dict[Name],,0)</f>
        <v>当期存货</v>
      </c>
      <c r="R211" t="str">
        <f>_xlfn.XLOOKUP(Jnl[[#This Row],[Vehicle]],config_vehicle[Id], config_vehicle[Name],,0)</f>
        <v>远家花园</v>
      </c>
      <c r="S211" t="str">
        <f>_xlfn.XLOOKUP(Jnl[[#This Row],[Division]],config_div[Id], config_div[Name],,0)</f>
        <v>网店</v>
      </c>
      <c r="T211" t="str">
        <f>IF(Jnl[[#This Row],[TrxDate]]&lt;=stmt_BS_date_end, "In", "Out")</f>
        <v>In</v>
      </c>
      <c r="U211" t="str">
        <f>IF(Jnl[[#This Row],[TrxDate]]&lt;debug_date_start, "prior", IF(Jnl[[#This Row],[TrxDate]]&gt;debug_date_end, "post", "curr"))</f>
        <v>curr</v>
      </c>
    </row>
    <row r="212" spans="1:21" hidden="1">
      <c r="A212" s="39" t="s">
        <v>363</v>
      </c>
      <c r="B212" s="6">
        <f>_xlfn.XLOOKUP(Jnl[[#This Row],[TrxId]], Trx[Id], Trx[Date],,0)</f>
        <v>46053</v>
      </c>
      <c r="C212" s="6" t="str">
        <f>_xlfn.XLOOKUP(Jnl[[#This Row],[TrxId]], Trx[Id], Trx[Division],,0)</f>
        <v>Online</v>
      </c>
      <c r="D212" s="6" t="str">
        <f>_xlfn.XLOOKUP(Jnl[[#This Row],[TrxId]], Trx[Id], Trx[Action],,0)</f>
        <v>采购</v>
      </c>
      <c r="E212" s="27" t="s">
        <v>86</v>
      </c>
      <c r="F212" s="10" t="s">
        <v>12</v>
      </c>
      <c r="G212" s="10" t="s">
        <v>395</v>
      </c>
      <c r="H212" s="37">
        <v>-80</v>
      </c>
      <c r="I212" s="11" t="b">
        <f>AND(Jnl[[#This Row],[TrxId]]&lt;&gt;"",Jnl[[#This Row],[Acct]]&lt;&gt;"",Jnl[[#This Row],[Item]]&lt;&gt;"",ISNUMBER(Jnl[[#This Row],[Bal]]))</f>
        <v>1</v>
      </c>
      <c r="J212" s="9">
        <f>IF(Jnl[[#This Row],[BSLv0]]="A",1,-1)*Jnl[[#This Row],[Bal]]</f>
        <v>-80</v>
      </c>
      <c r="K212" t="str">
        <f>_xlfn.XLOOKUP(Jnl[[#This Row],[Acct]], config_BS[Acct], config_BS[Lv0],,0)</f>
        <v>A</v>
      </c>
      <c r="L212" t="str">
        <f>_xlfn.XLOOKUP(Jnl[[#This Row],[Acct]], config_BS[Acct], config_BS[Lv1],,0)</f>
        <v>Assets</v>
      </c>
      <c r="M212" t="str">
        <f>_xlfn.XLOOKUP(Jnl[[#This Row],[Acct]], config_BS[Acct], config_BS[Lv2],,0)</f>
        <v>Cash alike</v>
      </c>
      <c r="N212" t="str">
        <f>_xlfn.XLOOKUP(Jnl[[#This Row],[TrxId]], Trx[Id], Trx[IncNode], ,0)</f>
        <v>Cost</v>
      </c>
      <c r="O212" t="str">
        <f>_xlfn.XLOOKUP(Jnl[[#This Row],[IncNode]], config_IS[Node], config_IS[Type],,0)</f>
        <v>Op</v>
      </c>
      <c r="P212" t="str">
        <f>_xlfn.XLOOKUP(Jnl[[#This Row],[BSLv2]], dict[Key], dict[Name],,0)</f>
        <v>0.现金及类似</v>
      </c>
      <c r="Q212" t="str">
        <f>_xlfn.XLOOKUP(Jnl[[#This Row],[Acct]], dict[Key], dict[Name],,0)</f>
        <v>银行</v>
      </c>
      <c r="R212" t="str">
        <f>_xlfn.XLOOKUP(Jnl[[#This Row],[Vehicle]],config_vehicle[Id], config_vehicle[Name],,0)</f>
        <v>榆乐</v>
      </c>
      <c r="S212" t="str">
        <f>_xlfn.XLOOKUP(Jnl[[#This Row],[Division]],config_div[Id], config_div[Name],,0)</f>
        <v>网店</v>
      </c>
      <c r="T212" t="str">
        <f>IF(Jnl[[#This Row],[TrxDate]]&lt;=stmt_BS_date_end, "In", "Out")</f>
        <v>In</v>
      </c>
      <c r="U212" t="str">
        <f>IF(Jnl[[#This Row],[TrxDate]]&lt;debug_date_start, "prior", IF(Jnl[[#This Row],[TrxDate]]&gt;debug_date_end, "post", "curr"))</f>
        <v>curr</v>
      </c>
    </row>
    <row r="213" spans="1:21" hidden="1">
      <c r="A213" s="39" t="s">
        <v>363</v>
      </c>
      <c r="B213" s="6">
        <f>_xlfn.XLOOKUP(Jnl[[#This Row],[TrxId]], Trx[Id], Trx[Date],,0)</f>
        <v>46053</v>
      </c>
      <c r="C213" s="6" t="str">
        <f>_xlfn.XLOOKUP(Jnl[[#This Row],[TrxId]], Trx[Id], Trx[Division],,0)</f>
        <v>Online</v>
      </c>
      <c r="D213" s="6" t="str">
        <f>_xlfn.XLOOKUP(Jnl[[#This Row],[TrxId]], Trx[Id], Trx[Action],,0)</f>
        <v>采购</v>
      </c>
      <c r="E213" s="27" t="s">
        <v>82</v>
      </c>
      <c r="F213" s="10" t="s">
        <v>118</v>
      </c>
      <c r="G213" s="10" t="s">
        <v>154</v>
      </c>
      <c r="H213" s="37">
        <v>80</v>
      </c>
      <c r="I213" s="11" t="b">
        <f>AND(Jnl[[#This Row],[TrxId]]&lt;&gt;"",Jnl[[#This Row],[Acct]]&lt;&gt;"",Jnl[[#This Row],[Item]]&lt;&gt;"",ISNUMBER(Jnl[[#This Row],[Bal]]))</f>
        <v>1</v>
      </c>
      <c r="J213" s="9">
        <f>IF(Jnl[[#This Row],[BSLv0]]="A",1,-1)*Jnl[[#This Row],[Bal]]</f>
        <v>80</v>
      </c>
      <c r="K213" t="str">
        <f>_xlfn.XLOOKUP(Jnl[[#This Row],[Acct]], config_BS[Acct], config_BS[Lv0],,0)</f>
        <v>A</v>
      </c>
      <c r="L213" t="str">
        <f>_xlfn.XLOOKUP(Jnl[[#This Row],[Acct]], config_BS[Acct], config_BS[Lv1],,0)</f>
        <v>Assets</v>
      </c>
      <c r="M213" t="str">
        <f>_xlfn.XLOOKUP(Jnl[[#This Row],[Acct]], config_BS[Acct], config_BS[Lv2],,0)</f>
        <v>Invtr</v>
      </c>
      <c r="N213" t="str">
        <f>_xlfn.XLOOKUP(Jnl[[#This Row],[TrxId]], Trx[Id], Trx[IncNode], ,0)</f>
        <v>Cost</v>
      </c>
      <c r="O213" t="str">
        <f>_xlfn.XLOOKUP(Jnl[[#This Row],[IncNode]], config_IS[Node], config_IS[Type],,0)</f>
        <v>Op</v>
      </c>
      <c r="P213" t="str">
        <f>_xlfn.XLOOKUP(Jnl[[#This Row],[BSLv2]], dict[Key], dict[Name],,0)</f>
        <v>3.库存占款</v>
      </c>
      <c r="Q213" t="str">
        <f>_xlfn.XLOOKUP(Jnl[[#This Row],[Acct]], dict[Key], dict[Name],,0)</f>
        <v>当期存货</v>
      </c>
      <c r="R213" t="str">
        <f>_xlfn.XLOOKUP(Jnl[[#This Row],[Vehicle]],config_vehicle[Id], config_vehicle[Name],,0)</f>
        <v>远家花园</v>
      </c>
      <c r="S213" t="str">
        <f>_xlfn.XLOOKUP(Jnl[[#This Row],[Division]],config_div[Id], config_div[Name],,0)</f>
        <v>网店</v>
      </c>
      <c r="T213" t="str">
        <f>IF(Jnl[[#This Row],[TrxDate]]&lt;=stmt_BS_date_end, "In", "Out")</f>
        <v>In</v>
      </c>
      <c r="U213" t="str">
        <f>IF(Jnl[[#This Row],[TrxDate]]&lt;debug_date_start, "prior", IF(Jnl[[#This Row],[TrxDate]]&gt;debug_date_end, "post", "curr"))</f>
        <v>curr</v>
      </c>
    </row>
    <row r="214" spans="1:21" hidden="1">
      <c r="A214" s="39" t="s">
        <v>366</v>
      </c>
      <c r="B214" s="6">
        <f>_xlfn.XLOOKUP(Jnl[[#This Row],[TrxId]], Trx[Id], Trx[Date],,0)</f>
        <v>46053</v>
      </c>
      <c r="C214" s="6" t="str">
        <f>_xlfn.XLOOKUP(Jnl[[#This Row],[TrxId]], Trx[Id], Trx[Division],,0)</f>
        <v>Online</v>
      </c>
      <c r="D214" s="6" t="str">
        <f>_xlfn.XLOOKUP(Jnl[[#This Row],[TrxId]], Trx[Id], Trx[Action],,0)</f>
        <v>设计</v>
      </c>
      <c r="E214" s="27" t="s">
        <v>86</v>
      </c>
      <c r="F214" s="10" t="s">
        <v>12</v>
      </c>
      <c r="G214" s="10" t="s">
        <v>395</v>
      </c>
      <c r="H214" s="37">
        <v>-125.38</v>
      </c>
      <c r="I214" s="11" t="b">
        <f>AND(Jnl[[#This Row],[TrxId]]&lt;&gt;"",Jnl[[#This Row],[Acct]]&lt;&gt;"",Jnl[[#This Row],[Item]]&lt;&gt;"",ISNUMBER(Jnl[[#This Row],[Bal]]))</f>
        <v>1</v>
      </c>
      <c r="J214" s="9">
        <f>IF(Jnl[[#This Row],[BSLv0]]="A",1,-1)*Jnl[[#This Row],[Bal]]</f>
        <v>-125.38</v>
      </c>
      <c r="K214" t="str">
        <f>_xlfn.XLOOKUP(Jnl[[#This Row],[Acct]], config_BS[Acct], config_BS[Lv0],,0)</f>
        <v>A</v>
      </c>
      <c r="L214" t="str">
        <f>_xlfn.XLOOKUP(Jnl[[#This Row],[Acct]], config_BS[Acct], config_BS[Lv1],,0)</f>
        <v>Assets</v>
      </c>
      <c r="M214" t="str">
        <f>_xlfn.XLOOKUP(Jnl[[#This Row],[Acct]], config_BS[Acct], config_BS[Lv2],,0)</f>
        <v>Cash alike</v>
      </c>
      <c r="N214" t="str">
        <f>_xlfn.XLOOKUP(Jnl[[#This Row],[TrxId]], Trx[Id], Trx[IncNode], ,0)</f>
        <v>Expense</v>
      </c>
      <c r="O214" t="str">
        <f>_xlfn.XLOOKUP(Jnl[[#This Row],[IncNode]], config_IS[Node], config_IS[Type],,0)</f>
        <v>Op</v>
      </c>
      <c r="P214" t="str">
        <f>_xlfn.XLOOKUP(Jnl[[#This Row],[BSLv2]], dict[Key], dict[Name],,0)</f>
        <v>0.现金及类似</v>
      </c>
      <c r="Q214" t="str">
        <f>_xlfn.XLOOKUP(Jnl[[#This Row],[Acct]], dict[Key], dict[Name],,0)</f>
        <v>银行</v>
      </c>
      <c r="R214" t="str">
        <f>_xlfn.XLOOKUP(Jnl[[#This Row],[Vehicle]],config_vehicle[Id], config_vehicle[Name],,0)</f>
        <v>榆乐</v>
      </c>
      <c r="S214" t="str">
        <f>_xlfn.XLOOKUP(Jnl[[#This Row],[Division]],config_div[Id], config_div[Name],,0)</f>
        <v>网店</v>
      </c>
      <c r="T214" t="str">
        <f>IF(Jnl[[#This Row],[TrxDate]]&lt;=stmt_BS_date_end, "In", "Out")</f>
        <v>In</v>
      </c>
      <c r="U214" t="str">
        <f>IF(Jnl[[#This Row],[TrxDate]]&lt;debug_date_start, "prior", IF(Jnl[[#This Row],[TrxDate]]&gt;debug_date_end, "post", "curr"))</f>
        <v>curr</v>
      </c>
    </row>
    <row r="215" spans="1:21" hidden="1">
      <c r="A215" s="39" t="s">
        <v>367</v>
      </c>
      <c r="B215" s="6">
        <f>_xlfn.XLOOKUP(Jnl[[#This Row],[TrxId]], Trx[Id], Trx[Date],,0)</f>
        <v>46053</v>
      </c>
      <c r="C215" s="6" t="str">
        <f>_xlfn.XLOOKUP(Jnl[[#This Row],[TrxId]], Trx[Id], Trx[Division],,0)</f>
        <v>Online</v>
      </c>
      <c r="D215" s="6" t="str">
        <f>_xlfn.XLOOKUP(Jnl[[#This Row],[TrxId]], Trx[Id], Trx[Action],,0)</f>
        <v>设计</v>
      </c>
      <c r="E215" s="27" t="s">
        <v>86</v>
      </c>
      <c r="F215" s="10" t="s">
        <v>12</v>
      </c>
      <c r="G215" s="10" t="s">
        <v>395</v>
      </c>
      <c r="H215" s="37">
        <v>-100.45</v>
      </c>
      <c r="I215" s="11" t="b">
        <f>AND(Jnl[[#This Row],[TrxId]]&lt;&gt;"",Jnl[[#This Row],[Acct]]&lt;&gt;"",Jnl[[#This Row],[Item]]&lt;&gt;"",ISNUMBER(Jnl[[#This Row],[Bal]]))</f>
        <v>1</v>
      </c>
      <c r="J215" s="9">
        <f>IF(Jnl[[#This Row],[BSLv0]]="A",1,-1)*Jnl[[#This Row],[Bal]]</f>
        <v>-100.45</v>
      </c>
      <c r="K215" t="str">
        <f>_xlfn.XLOOKUP(Jnl[[#This Row],[Acct]], config_BS[Acct], config_BS[Lv0],,0)</f>
        <v>A</v>
      </c>
      <c r="L215" t="str">
        <f>_xlfn.XLOOKUP(Jnl[[#This Row],[Acct]], config_BS[Acct], config_BS[Lv1],,0)</f>
        <v>Assets</v>
      </c>
      <c r="M215" t="str">
        <f>_xlfn.XLOOKUP(Jnl[[#This Row],[Acct]], config_BS[Acct], config_BS[Lv2],,0)</f>
        <v>Cash alike</v>
      </c>
      <c r="N215" t="str">
        <f>_xlfn.XLOOKUP(Jnl[[#This Row],[TrxId]], Trx[Id], Trx[IncNode], ,0)</f>
        <v>Expense</v>
      </c>
      <c r="O215" t="str">
        <f>_xlfn.XLOOKUP(Jnl[[#This Row],[IncNode]], config_IS[Node], config_IS[Type],,0)</f>
        <v>Op</v>
      </c>
      <c r="P215" t="str">
        <f>_xlfn.XLOOKUP(Jnl[[#This Row],[BSLv2]], dict[Key], dict[Name],,0)</f>
        <v>0.现金及类似</v>
      </c>
      <c r="Q215" t="str">
        <f>_xlfn.XLOOKUP(Jnl[[#This Row],[Acct]], dict[Key], dict[Name],,0)</f>
        <v>银行</v>
      </c>
      <c r="R215" t="str">
        <f>_xlfn.XLOOKUP(Jnl[[#This Row],[Vehicle]],config_vehicle[Id], config_vehicle[Name],,0)</f>
        <v>榆乐</v>
      </c>
      <c r="S215" t="str">
        <f>_xlfn.XLOOKUP(Jnl[[#This Row],[Division]],config_div[Id], config_div[Name],,0)</f>
        <v>网店</v>
      </c>
      <c r="T215" t="str">
        <f>IF(Jnl[[#This Row],[TrxDate]]&lt;=stmt_BS_date_end, "In", "Out")</f>
        <v>In</v>
      </c>
      <c r="U215" t="str">
        <f>IF(Jnl[[#This Row],[TrxDate]]&lt;debug_date_start, "prior", IF(Jnl[[#This Row],[TrxDate]]&gt;debug_date_end, "post", "curr"))</f>
        <v>curr</v>
      </c>
    </row>
    <row r="216" spans="1:21" hidden="1">
      <c r="A216" s="39" t="s">
        <v>368</v>
      </c>
      <c r="B216" s="6">
        <f>_xlfn.XLOOKUP(Jnl[[#This Row],[TrxId]], Trx[Id], Trx[Date],,0)</f>
        <v>46053</v>
      </c>
      <c r="C216" s="6" t="str">
        <f>_xlfn.XLOOKUP(Jnl[[#This Row],[TrxId]], Trx[Id], Trx[Division],,0)</f>
        <v>Online</v>
      </c>
      <c r="D216" s="6" t="str">
        <f>_xlfn.XLOOKUP(Jnl[[#This Row],[TrxId]], Trx[Id], Trx[Action],,0)</f>
        <v>采购</v>
      </c>
      <c r="E216" s="27" t="s">
        <v>86</v>
      </c>
      <c r="F216" s="10" t="s">
        <v>12</v>
      </c>
      <c r="G216" s="10" t="s">
        <v>395</v>
      </c>
      <c r="H216" s="37">
        <v>-880</v>
      </c>
      <c r="I216" s="11" t="b">
        <f>AND(Jnl[[#This Row],[TrxId]]&lt;&gt;"",Jnl[[#This Row],[Acct]]&lt;&gt;"",Jnl[[#This Row],[Item]]&lt;&gt;"",ISNUMBER(Jnl[[#This Row],[Bal]]))</f>
        <v>1</v>
      </c>
      <c r="J216" s="9">
        <f>IF(Jnl[[#This Row],[BSLv0]]="A",1,-1)*Jnl[[#This Row],[Bal]]</f>
        <v>-880</v>
      </c>
      <c r="K216" t="str">
        <f>_xlfn.XLOOKUP(Jnl[[#This Row],[Acct]], config_BS[Acct], config_BS[Lv0],,0)</f>
        <v>A</v>
      </c>
      <c r="L216" t="str">
        <f>_xlfn.XLOOKUP(Jnl[[#This Row],[Acct]], config_BS[Acct], config_BS[Lv1],,0)</f>
        <v>Assets</v>
      </c>
      <c r="M216" t="str">
        <f>_xlfn.XLOOKUP(Jnl[[#This Row],[Acct]], config_BS[Acct], config_BS[Lv2],,0)</f>
        <v>Cash alike</v>
      </c>
      <c r="N216" t="str">
        <f>_xlfn.XLOOKUP(Jnl[[#This Row],[TrxId]], Trx[Id], Trx[IncNode], ,0)</f>
        <v>Cost</v>
      </c>
      <c r="O216" t="str">
        <f>_xlfn.XLOOKUP(Jnl[[#This Row],[IncNode]], config_IS[Node], config_IS[Type],,0)</f>
        <v>Op</v>
      </c>
      <c r="P216" t="str">
        <f>_xlfn.XLOOKUP(Jnl[[#This Row],[BSLv2]], dict[Key], dict[Name],,0)</f>
        <v>0.现金及类似</v>
      </c>
      <c r="Q216" t="str">
        <f>_xlfn.XLOOKUP(Jnl[[#This Row],[Acct]], dict[Key], dict[Name],,0)</f>
        <v>银行</v>
      </c>
      <c r="R216" t="str">
        <f>_xlfn.XLOOKUP(Jnl[[#This Row],[Vehicle]],config_vehicle[Id], config_vehicle[Name],,0)</f>
        <v>榆乐</v>
      </c>
      <c r="S216" t="str">
        <f>_xlfn.XLOOKUP(Jnl[[#This Row],[Division]],config_div[Id], config_div[Name],,0)</f>
        <v>网店</v>
      </c>
      <c r="T216" t="str">
        <f>IF(Jnl[[#This Row],[TrxDate]]&lt;=stmt_BS_date_end, "In", "Out")</f>
        <v>In</v>
      </c>
      <c r="U216" t="str">
        <f>IF(Jnl[[#This Row],[TrxDate]]&lt;debug_date_start, "prior", IF(Jnl[[#This Row],[TrxDate]]&gt;debug_date_end, "post", "curr"))</f>
        <v>curr</v>
      </c>
    </row>
    <row r="217" spans="1:21" hidden="1">
      <c r="A217" s="39" t="s">
        <v>368</v>
      </c>
      <c r="B217" s="6">
        <f>_xlfn.XLOOKUP(Jnl[[#This Row],[TrxId]], Trx[Id], Trx[Date],,0)</f>
        <v>46053</v>
      </c>
      <c r="C217" s="6" t="str">
        <f>_xlfn.XLOOKUP(Jnl[[#This Row],[TrxId]], Trx[Id], Trx[Division],,0)</f>
        <v>Online</v>
      </c>
      <c r="D217" s="6" t="str">
        <f>_xlfn.XLOOKUP(Jnl[[#This Row],[TrxId]], Trx[Id], Trx[Action],,0)</f>
        <v>采购</v>
      </c>
      <c r="E217" s="27" t="s">
        <v>82</v>
      </c>
      <c r="F217" s="10" t="s">
        <v>118</v>
      </c>
      <c r="G217" s="10" t="s">
        <v>154</v>
      </c>
      <c r="H217" s="37">
        <v>880</v>
      </c>
      <c r="I217" s="11" t="b">
        <f>AND(Jnl[[#This Row],[TrxId]]&lt;&gt;"",Jnl[[#This Row],[Acct]]&lt;&gt;"",Jnl[[#This Row],[Item]]&lt;&gt;"",ISNUMBER(Jnl[[#This Row],[Bal]]))</f>
        <v>1</v>
      </c>
      <c r="J217" s="9">
        <f>IF(Jnl[[#This Row],[BSLv0]]="A",1,-1)*Jnl[[#This Row],[Bal]]</f>
        <v>880</v>
      </c>
      <c r="K217" t="str">
        <f>_xlfn.XLOOKUP(Jnl[[#This Row],[Acct]], config_BS[Acct], config_BS[Lv0],,0)</f>
        <v>A</v>
      </c>
      <c r="L217" t="str">
        <f>_xlfn.XLOOKUP(Jnl[[#This Row],[Acct]], config_BS[Acct], config_BS[Lv1],,0)</f>
        <v>Assets</v>
      </c>
      <c r="M217" t="str">
        <f>_xlfn.XLOOKUP(Jnl[[#This Row],[Acct]], config_BS[Acct], config_BS[Lv2],,0)</f>
        <v>Invtr</v>
      </c>
      <c r="N217" t="str">
        <f>_xlfn.XLOOKUP(Jnl[[#This Row],[TrxId]], Trx[Id], Trx[IncNode], ,0)</f>
        <v>Cost</v>
      </c>
      <c r="O217" t="str">
        <f>_xlfn.XLOOKUP(Jnl[[#This Row],[IncNode]], config_IS[Node], config_IS[Type],,0)</f>
        <v>Op</v>
      </c>
      <c r="P217" t="str">
        <f>_xlfn.XLOOKUP(Jnl[[#This Row],[BSLv2]], dict[Key], dict[Name],,0)</f>
        <v>3.库存占款</v>
      </c>
      <c r="Q217" t="str">
        <f>_xlfn.XLOOKUP(Jnl[[#This Row],[Acct]], dict[Key], dict[Name],,0)</f>
        <v>当期存货</v>
      </c>
      <c r="R217" t="str">
        <f>_xlfn.XLOOKUP(Jnl[[#This Row],[Vehicle]],config_vehicle[Id], config_vehicle[Name],,0)</f>
        <v>远家花园</v>
      </c>
      <c r="S217" t="str">
        <f>_xlfn.XLOOKUP(Jnl[[#This Row],[Division]],config_div[Id], config_div[Name],,0)</f>
        <v>网店</v>
      </c>
      <c r="T217" t="str">
        <f>IF(Jnl[[#This Row],[TrxDate]]&lt;=stmt_BS_date_end, "In", "Out")</f>
        <v>In</v>
      </c>
      <c r="U217" t="str">
        <f>IF(Jnl[[#This Row],[TrxDate]]&lt;debug_date_start, "prior", IF(Jnl[[#This Row],[TrxDate]]&gt;debug_date_end, "post", "curr"))</f>
        <v>curr</v>
      </c>
    </row>
    <row r="218" spans="1:21" hidden="1">
      <c r="A218" s="39" t="s">
        <v>369</v>
      </c>
      <c r="B218" s="6">
        <f>_xlfn.XLOOKUP(Jnl[[#This Row],[TrxId]], Trx[Id], Trx[Date],,0)</f>
        <v>46053</v>
      </c>
      <c r="C218" s="6" t="str">
        <f>_xlfn.XLOOKUP(Jnl[[#This Row],[TrxId]], Trx[Id], Trx[Division],,0)</f>
        <v>Brand</v>
      </c>
      <c r="D218" s="6" t="str">
        <f>_xlfn.XLOOKUP(Jnl[[#This Row],[TrxId]], Trx[Id], Trx[Action],,0)</f>
        <v>拍摄</v>
      </c>
      <c r="E218" s="27" t="s">
        <v>86</v>
      </c>
      <c r="F218" s="10" t="s">
        <v>12</v>
      </c>
      <c r="G218" s="10" t="s">
        <v>395</v>
      </c>
      <c r="H218" s="37">
        <v>-199.18</v>
      </c>
      <c r="I218" s="11" t="b">
        <f>AND(Jnl[[#This Row],[TrxId]]&lt;&gt;"",Jnl[[#This Row],[Acct]]&lt;&gt;"",Jnl[[#This Row],[Item]]&lt;&gt;"",ISNUMBER(Jnl[[#This Row],[Bal]]))</f>
        <v>1</v>
      </c>
      <c r="J218" s="9">
        <f>IF(Jnl[[#This Row],[BSLv0]]="A",1,-1)*Jnl[[#This Row],[Bal]]</f>
        <v>-199.18</v>
      </c>
      <c r="K218" t="str">
        <f>_xlfn.XLOOKUP(Jnl[[#This Row],[Acct]], config_BS[Acct], config_BS[Lv0],,0)</f>
        <v>A</v>
      </c>
      <c r="L218" t="str">
        <f>_xlfn.XLOOKUP(Jnl[[#This Row],[Acct]], config_BS[Acct], config_BS[Lv1],,0)</f>
        <v>Assets</v>
      </c>
      <c r="M218" t="str">
        <f>_xlfn.XLOOKUP(Jnl[[#This Row],[Acct]], config_BS[Acct], config_BS[Lv2],,0)</f>
        <v>Cash alike</v>
      </c>
      <c r="N218" t="str">
        <f>_xlfn.XLOOKUP(Jnl[[#This Row],[TrxId]], Trx[Id], Trx[IncNode], ,0)</f>
        <v>Expense</v>
      </c>
      <c r="O218" t="str">
        <f>_xlfn.XLOOKUP(Jnl[[#This Row],[IncNode]], config_IS[Node], config_IS[Type],,0)</f>
        <v>Op</v>
      </c>
      <c r="P218" t="str">
        <f>_xlfn.XLOOKUP(Jnl[[#This Row],[BSLv2]], dict[Key], dict[Name],,0)</f>
        <v>0.现金及类似</v>
      </c>
      <c r="Q218" t="str">
        <f>_xlfn.XLOOKUP(Jnl[[#This Row],[Acct]], dict[Key], dict[Name],,0)</f>
        <v>银行</v>
      </c>
      <c r="R218" t="str">
        <f>_xlfn.XLOOKUP(Jnl[[#This Row],[Vehicle]],config_vehicle[Id], config_vehicle[Name],,0)</f>
        <v>榆乐</v>
      </c>
      <c r="S218" t="str">
        <f>_xlfn.XLOOKUP(Jnl[[#This Row],[Division]],config_div[Id], config_div[Name],,0)</f>
        <v>品牌</v>
      </c>
      <c r="T218" t="str">
        <f>IF(Jnl[[#This Row],[TrxDate]]&lt;=stmt_BS_date_end, "In", "Out")</f>
        <v>In</v>
      </c>
      <c r="U218" t="str">
        <f>IF(Jnl[[#This Row],[TrxDate]]&lt;debug_date_start, "prior", IF(Jnl[[#This Row],[TrxDate]]&gt;debug_date_end, "post", "curr"))</f>
        <v>curr</v>
      </c>
    </row>
    <row r="219" spans="1:21" hidden="1">
      <c r="A219" s="39" t="s">
        <v>371</v>
      </c>
      <c r="B219" s="6">
        <f>_xlfn.XLOOKUP(Jnl[[#This Row],[TrxId]], Trx[Id], Trx[Date],,0)</f>
        <v>46053</v>
      </c>
      <c r="C219" s="6" t="str">
        <f>_xlfn.XLOOKUP(Jnl[[#This Row],[TrxId]], Trx[Id], Trx[Division],,0)</f>
        <v>GM</v>
      </c>
      <c r="D219" s="6" t="str">
        <f>_xlfn.XLOOKUP(Jnl[[#This Row],[TrxId]], Trx[Id], Trx[Action],,0)</f>
        <v>支付</v>
      </c>
      <c r="E219" s="27" t="s">
        <v>86</v>
      </c>
      <c r="F219" s="10" t="s">
        <v>12</v>
      </c>
      <c r="G219" s="10" t="s">
        <v>395</v>
      </c>
      <c r="H219" s="37">
        <v>-155989.63</v>
      </c>
      <c r="I219" s="11" t="b">
        <f>AND(Jnl[[#This Row],[TrxId]]&lt;&gt;"",Jnl[[#This Row],[Acct]]&lt;&gt;"",Jnl[[#This Row],[Item]]&lt;&gt;"",ISNUMBER(Jnl[[#This Row],[Bal]]))</f>
        <v>1</v>
      </c>
      <c r="J219" s="9">
        <f>IF(Jnl[[#This Row],[BSLv0]]="A",1,-1)*Jnl[[#This Row],[Bal]]</f>
        <v>-155989.63</v>
      </c>
      <c r="K219" t="str">
        <f>_xlfn.XLOOKUP(Jnl[[#This Row],[Acct]], config_BS[Acct], config_BS[Lv0],,0)</f>
        <v>A</v>
      </c>
      <c r="L219" t="str">
        <f>_xlfn.XLOOKUP(Jnl[[#This Row],[Acct]], config_BS[Acct], config_BS[Lv1],,0)</f>
        <v>Assets</v>
      </c>
      <c r="M219" t="str">
        <f>_xlfn.XLOOKUP(Jnl[[#This Row],[Acct]], config_BS[Acct], config_BS[Lv2],,0)</f>
        <v>Cash alike</v>
      </c>
      <c r="N219" t="str">
        <f>_xlfn.XLOOKUP(Jnl[[#This Row],[TrxId]], Trx[Id], Trx[IncNode], ,0)</f>
        <v>Expense</v>
      </c>
      <c r="O219" t="str">
        <f>_xlfn.XLOOKUP(Jnl[[#This Row],[IncNode]], config_IS[Node], config_IS[Type],,0)</f>
        <v>Op</v>
      </c>
      <c r="P219" t="str">
        <f>_xlfn.XLOOKUP(Jnl[[#This Row],[BSLv2]], dict[Key], dict[Name],,0)</f>
        <v>0.现金及类似</v>
      </c>
      <c r="Q219" t="str">
        <f>_xlfn.XLOOKUP(Jnl[[#This Row],[Acct]], dict[Key], dict[Name],,0)</f>
        <v>银行</v>
      </c>
      <c r="R219" t="str">
        <f>_xlfn.XLOOKUP(Jnl[[#This Row],[Vehicle]],config_vehicle[Id], config_vehicle[Name],,0)</f>
        <v>榆乐</v>
      </c>
      <c r="S219" t="str">
        <f>_xlfn.XLOOKUP(Jnl[[#This Row],[Division]],config_div[Id], config_div[Name],,0)</f>
        <v>综合管理</v>
      </c>
      <c r="T219" t="str">
        <f>IF(Jnl[[#This Row],[TrxDate]]&lt;=stmt_BS_date_end, "In", "Out")</f>
        <v>In</v>
      </c>
      <c r="U219" t="str">
        <f>IF(Jnl[[#This Row],[TrxDate]]&lt;debug_date_start, "prior", IF(Jnl[[#This Row],[TrxDate]]&gt;debug_date_end, "post", "curr"))</f>
        <v>curr</v>
      </c>
    </row>
    <row r="220" spans="1:21" hidden="1">
      <c r="A220" s="39" t="s">
        <v>371</v>
      </c>
      <c r="B220" s="6">
        <f>_xlfn.XLOOKUP(Jnl[[#This Row],[TrxId]], Trx[Id], Trx[Date],,0)</f>
        <v>46053</v>
      </c>
      <c r="C220" s="6" t="str">
        <f>_xlfn.XLOOKUP(Jnl[[#This Row],[TrxId]], Trx[Id], Trx[Division],,0)</f>
        <v>GM</v>
      </c>
      <c r="D220" s="6" t="str">
        <f>_xlfn.XLOOKUP(Jnl[[#This Row],[TrxId]], Trx[Id], Trx[Action],,0)</f>
        <v>支付</v>
      </c>
      <c r="E220" s="27" t="s">
        <v>86</v>
      </c>
      <c r="F220" s="10" t="s">
        <v>117</v>
      </c>
      <c r="G220" s="10" t="s">
        <v>145</v>
      </c>
      <c r="H220" s="37">
        <v>155989.63</v>
      </c>
      <c r="I220" s="11" t="b">
        <f>AND(Jnl[[#This Row],[TrxId]]&lt;&gt;"",Jnl[[#This Row],[Acct]]&lt;&gt;"",Jnl[[#This Row],[Item]]&lt;&gt;"",ISNUMBER(Jnl[[#This Row],[Bal]]))</f>
        <v>1</v>
      </c>
      <c r="J220" s="9">
        <f>IF(Jnl[[#This Row],[BSLv0]]="A",1,-1)*Jnl[[#This Row],[Bal]]</f>
        <v>155989.63</v>
      </c>
      <c r="K220" t="str">
        <f>_xlfn.XLOOKUP(Jnl[[#This Row],[Acct]], config_BS[Acct], config_BS[Lv0],,0)</f>
        <v>A</v>
      </c>
      <c r="L220" t="str">
        <f>_xlfn.XLOOKUP(Jnl[[#This Row],[Acct]], config_BS[Acct], config_BS[Lv1],,0)</f>
        <v>Assets</v>
      </c>
      <c r="M220" t="str">
        <f>_xlfn.XLOOKUP(Jnl[[#This Row],[Acct]], config_BS[Acct], config_BS[Lv2],,0)</f>
        <v>Prep-Sub</v>
      </c>
      <c r="N220" t="str">
        <f>_xlfn.XLOOKUP(Jnl[[#This Row],[TrxId]], Trx[Id], Trx[IncNode], ,0)</f>
        <v>Expense</v>
      </c>
      <c r="O220" t="str">
        <f>_xlfn.XLOOKUP(Jnl[[#This Row],[IncNode]], config_IS[Node], config_IS[Type],,0)</f>
        <v>Op</v>
      </c>
      <c r="P220" t="str">
        <f>_xlfn.XLOOKUP(Jnl[[#This Row],[BSLv2]], dict[Key], dict[Name],,0)</f>
        <v>2.预付-订阅</v>
      </c>
      <c r="Q220" t="str">
        <f>_xlfn.XLOOKUP(Jnl[[#This Row],[Acct]], dict[Key], dict[Name],,0)</f>
        <v>预付订单</v>
      </c>
      <c r="R220" t="str">
        <f>_xlfn.XLOOKUP(Jnl[[#This Row],[Vehicle]],config_vehicle[Id], config_vehicle[Name],,0)</f>
        <v>榆乐</v>
      </c>
      <c r="S220" t="str">
        <f>_xlfn.XLOOKUP(Jnl[[#This Row],[Division]],config_div[Id], config_div[Name],,0)</f>
        <v>综合管理</v>
      </c>
      <c r="T220" t="str">
        <f>IF(Jnl[[#This Row],[TrxDate]]&lt;=stmt_BS_date_end, "In", "Out")</f>
        <v>In</v>
      </c>
      <c r="U220" t="str">
        <f>IF(Jnl[[#This Row],[TrxDate]]&lt;debug_date_start, "prior", IF(Jnl[[#This Row],[TrxDate]]&gt;debug_date_end, "post", "curr"))</f>
        <v>curr</v>
      </c>
    </row>
    <row r="221" spans="1:21" hidden="1">
      <c r="A221" s="39" t="s">
        <v>373</v>
      </c>
      <c r="B221" s="6">
        <f>_xlfn.XLOOKUP(Jnl[[#This Row],[TrxId]], Trx[Id], Trx[Date],,0)</f>
        <v>46053</v>
      </c>
      <c r="C221" s="6" t="str">
        <f>_xlfn.XLOOKUP(Jnl[[#This Row],[TrxId]], Trx[Id], Trx[Division],,0)</f>
        <v>Online</v>
      </c>
      <c r="D221" s="6" t="str">
        <f>_xlfn.XLOOKUP(Jnl[[#This Row],[TrxId]], Trx[Id], Trx[Action],,0)</f>
        <v>设计</v>
      </c>
      <c r="E221" s="27" t="s">
        <v>86</v>
      </c>
      <c r="F221" s="10" t="s">
        <v>12</v>
      </c>
      <c r="G221" s="10" t="s">
        <v>395</v>
      </c>
      <c r="H221" s="37">
        <v>-2400</v>
      </c>
      <c r="I221" s="11" t="b">
        <f>AND(Jnl[[#This Row],[TrxId]]&lt;&gt;"",Jnl[[#This Row],[Acct]]&lt;&gt;"",Jnl[[#This Row],[Item]]&lt;&gt;"",ISNUMBER(Jnl[[#This Row],[Bal]]))</f>
        <v>1</v>
      </c>
      <c r="J221" s="9">
        <f>IF(Jnl[[#This Row],[BSLv0]]="A",1,-1)*Jnl[[#This Row],[Bal]]</f>
        <v>-2400</v>
      </c>
      <c r="K221" t="str">
        <f>_xlfn.XLOOKUP(Jnl[[#This Row],[Acct]], config_BS[Acct], config_BS[Lv0],,0)</f>
        <v>A</v>
      </c>
      <c r="L221" t="str">
        <f>_xlfn.XLOOKUP(Jnl[[#This Row],[Acct]], config_BS[Acct], config_BS[Lv1],,0)</f>
        <v>Assets</v>
      </c>
      <c r="M221" t="str">
        <f>_xlfn.XLOOKUP(Jnl[[#This Row],[Acct]], config_BS[Acct], config_BS[Lv2],,0)</f>
        <v>Cash alike</v>
      </c>
      <c r="N221" t="str">
        <f>_xlfn.XLOOKUP(Jnl[[#This Row],[TrxId]], Trx[Id], Trx[IncNode], ,0)</f>
        <v>Expense</v>
      </c>
      <c r="O221" t="str">
        <f>_xlfn.XLOOKUP(Jnl[[#This Row],[IncNode]], config_IS[Node], config_IS[Type],,0)</f>
        <v>Op</v>
      </c>
      <c r="P221" t="str">
        <f>_xlfn.XLOOKUP(Jnl[[#This Row],[BSLv2]], dict[Key], dict[Name],,0)</f>
        <v>0.现金及类似</v>
      </c>
      <c r="Q221" t="str">
        <f>_xlfn.XLOOKUP(Jnl[[#This Row],[Acct]], dict[Key], dict[Name],,0)</f>
        <v>银行</v>
      </c>
      <c r="R221" t="str">
        <f>_xlfn.XLOOKUP(Jnl[[#This Row],[Vehicle]],config_vehicle[Id], config_vehicle[Name],,0)</f>
        <v>榆乐</v>
      </c>
      <c r="S221" t="str">
        <f>_xlfn.XLOOKUP(Jnl[[#This Row],[Division]],config_div[Id], config_div[Name],,0)</f>
        <v>网店</v>
      </c>
      <c r="T221" t="str">
        <f>IF(Jnl[[#This Row],[TrxDate]]&lt;=stmt_BS_date_end, "In", "Out")</f>
        <v>In</v>
      </c>
      <c r="U221" t="str">
        <f>IF(Jnl[[#This Row],[TrxDate]]&lt;debug_date_start, "prior", IF(Jnl[[#This Row],[TrxDate]]&gt;debug_date_end, "post", "curr"))</f>
        <v>curr</v>
      </c>
    </row>
    <row r="222" spans="1:21" hidden="1">
      <c r="A222" s="39" t="s">
        <v>374</v>
      </c>
      <c r="B222" s="6">
        <f>_xlfn.XLOOKUP(Jnl[[#This Row],[TrxId]], Trx[Id], Trx[Date],,0)</f>
        <v>46053</v>
      </c>
      <c r="C222" s="6" t="str">
        <f>_xlfn.XLOOKUP(Jnl[[#This Row],[TrxId]], Trx[Id], Trx[Division],,0)</f>
        <v>Ctrl</v>
      </c>
      <c r="D222" s="6" t="str">
        <f>_xlfn.XLOOKUP(Jnl[[#This Row],[TrxId]], Trx[Id], Trx[Action],,0)</f>
        <v>过账</v>
      </c>
      <c r="E222" s="27" t="s">
        <v>86</v>
      </c>
      <c r="F222" s="10" t="s">
        <v>12</v>
      </c>
      <c r="G222" s="10" t="s">
        <v>395</v>
      </c>
      <c r="H222" s="37">
        <v>340000</v>
      </c>
      <c r="I222" s="11" t="b">
        <f>AND(Jnl[[#This Row],[TrxId]]&lt;&gt;"",Jnl[[#This Row],[Acct]]&lt;&gt;"",Jnl[[#This Row],[Item]]&lt;&gt;"",ISNUMBER(Jnl[[#This Row],[Bal]]))</f>
        <v>1</v>
      </c>
      <c r="J222" s="9">
        <f>IF(Jnl[[#This Row],[BSLv0]]="A",1,-1)*Jnl[[#This Row],[Bal]]</f>
        <v>340000</v>
      </c>
      <c r="K222" t="str">
        <f>_xlfn.XLOOKUP(Jnl[[#This Row],[Acct]], config_BS[Acct], config_BS[Lv0],,0)</f>
        <v>A</v>
      </c>
      <c r="L222" t="str">
        <f>_xlfn.XLOOKUP(Jnl[[#This Row],[Acct]], config_BS[Acct], config_BS[Lv1],,0)</f>
        <v>Assets</v>
      </c>
      <c r="M222" t="str">
        <f>_xlfn.XLOOKUP(Jnl[[#This Row],[Acct]], config_BS[Acct], config_BS[Lv2],,0)</f>
        <v>Cash alike</v>
      </c>
      <c r="N222" t="str">
        <f>_xlfn.XLOOKUP(Jnl[[#This Row],[TrxId]], Trx[Id], Trx[IncNode], ,0)</f>
        <v>Other</v>
      </c>
      <c r="O222" t="str">
        <f>_xlfn.XLOOKUP(Jnl[[#This Row],[IncNode]], config_IS[Node], config_IS[Type],,0)</f>
        <v>Non-Op</v>
      </c>
      <c r="P222" t="str">
        <f>_xlfn.XLOOKUP(Jnl[[#This Row],[BSLv2]], dict[Key], dict[Name],,0)</f>
        <v>0.现金及类似</v>
      </c>
      <c r="Q222" t="str">
        <f>_xlfn.XLOOKUP(Jnl[[#This Row],[Acct]], dict[Key], dict[Name],,0)</f>
        <v>银行</v>
      </c>
      <c r="R222" t="str">
        <f>_xlfn.XLOOKUP(Jnl[[#This Row],[Vehicle]],config_vehicle[Id], config_vehicle[Name],,0)</f>
        <v>榆乐</v>
      </c>
      <c r="S222" t="str">
        <f>_xlfn.XLOOKUP(Jnl[[#This Row],[Division]],config_div[Id], config_div[Name],,0)</f>
        <v>内控合规</v>
      </c>
      <c r="T222" t="str">
        <f>IF(Jnl[[#This Row],[TrxDate]]&lt;=stmt_BS_date_end, "In", "Out")</f>
        <v>In</v>
      </c>
      <c r="U222" t="str">
        <f>IF(Jnl[[#This Row],[TrxDate]]&lt;debug_date_start, "prior", IF(Jnl[[#This Row],[TrxDate]]&gt;debug_date_end, "post", "curr"))</f>
        <v>curr</v>
      </c>
    </row>
    <row r="223" spans="1:21" hidden="1">
      <c r="A223" s="39" t="s">
        <v>374</v>
      </c>
      <c r="B223" s="6">
        <f>_xlfn.XLOOKUP(Jnl[[#This Row],[TrxId]], Trx[Id], Trx[Date],,0)</f>
        <v>46053</v>
      </c>
      <c r="C223" s="6" t="str">
        <f>_xlfn.XLOOKUP(Jnl[[#This Row],[TrxId]], Trx[Id], Trx[Division],,0)</f>
        <v>Ctrl</v>
      </c>
      <c r="D223" s="6" t="str">
        <f>_xlfn.XLOOKUP(Jnl[[#This Row],[TrxId]], Trx[Id], Trx[Action],,0)</f>
        <v>过账</v>
      </c>
      <c r="E223" s="27" t="s">
        <v>82</v>
      </c>
      <c r="F223" s="10" t="s">
        <v>12</v>
      </c>
      <c r="G223" s="10" t="s">
        <v>396</v>
      </c>
      <c r="H223" s="37">
        <f>-H222</f>
        <v>-340000</v>
      </c>
      <c r="I223" s="11" t="b">
        <f>AND(Jnl[[#This Row],[TrxId]]&lt;&gt;"",Jnl[[#This Row],[Acct]]&lt;&gt;"",Jnl[[#This Row],[Item]]&lt;&gt;"",ISNUMBER(Jnl[[#This Row],[Bal]]))</f>
        <v>1</v>
      </c>
      <c r="J223" s="9">
        <f>IF(Jnl[[#This Row],[BSLv0]]="A",1,-1)*Jnl[[#This Row],[Bal]]</f>
        <v>-340000</v>
      </c>
      <c r="K223" t="str">
        <f>_xlfn.XLOOKUP(Jnl[[#This Row],[Acct]], config_BS[Acct], config_BS[Lv0],,0)</f>
        <v>A</v>
      </c>
      <c r="L223" t="str">
        <f>_xlfn.XLOOKUP(Jnl[[#This Row],[Acct]], config_BS[Acct], config_BS[Lv1],,0)</f>
        <v>Assets</v>
      </c>
      <c r="M223" t="str">
        <f>_xlfn.XLOOKUP(Jnl[[#This Row],[Acct]], config_BS[Acct], config_BS[Lv2],,0)</f>
        <v>Cash alike</v>
      </c>
      <c r="N223" t="str">
        <f>_xlfn.XLOOKUP(Jnl[[#This Row],[TrxId]], Trx[Id], Trx[IncNode], ,0)</f>
        <v>Other</v>
      </c>
      <c r="O223" t="str">
        <f>_xlfn.XLOOKUP(Jnl[[#This Row],[IncNode]], config_IS[Node], config_IS[Type],,0)</f>
        <v>Non-Op</v>
      </c>
      <c r="P223" t="str">
        <f>_xlfn.XLOOKUP(Jnl[[#This Row],[BSLv2]], dict[Key], dict[Name],,0)</f>
        <v>0.现金及类似</v>
      </c>
      <c r="Q223" t="str">
        <f>_xlfn.XLOOKUP(Jnl[[#This Row],[Acct]], dict[Key], dict[Name],,0)</f>
        <v>银行</v>
      </c>
      <c r="R223" t="str">
        <f>_xlfn.XLOOKUP(Jnl[[#This Row],[Vehicle]],config_vehicle[Id], config_vehicle[Name],,0)</f>
        <v>远家花园</v>
      </c>
      <c r="S223" t="str">
        <f>_xlfn.XLOOKUP(Jnl[[#This Row],[Division]],config_div[Id], config_div[Name],,0)</f>
        <v>内控合规</v>
      </c>
      <c r="T223" t="str">
        <f>IF(Jnl[[#This Row],[TrxDate]]&lt;=stmt_BS_date_end, "In", "Out")</f>
        <v>In</v>
      </c>
      <c r="U223" t="str">
        <f>IF(Jnl[[#This Row],[TrxDate]]&lt;debug_date_start, "prior", IF(Jnl[[#This Row],[TrxDate]]&gt;debug_date_end, "post", "curr"))</f>
        <v>curr</v>
      </c>
    </row>
    <row r="224" spans="1:21" hidden="1">
      <c r="A224" s="39" t="s">
        <v>377</v>
      </c>
      <c r="B224" s="6">
        <f>_xlfn.XLOOKUP(Jnl[[#This Row],[TrxId]], Trx[Id], Trx[Date],,0)</f>
        <v>46053</v>
      </c>
      <c r="C224" s="6" t="str">
        <f>_xlfn.XLOOKUP(Jnl[[#This Row],[TrxId]], Trx[Id], Trx[Division],,0)</f>
        <v>Ctrl</v>
      </c>
      <c r="D224" s="6" t="str">
        <f>_xlfn.XLOOKUP(Jnl[[#This Row],[TrxId]], Trx[Id], Trx[Action],,0)</f>
        <v>过账</v>
      </c>
      <c r="E224" s="27" t="s">
        <v>86</v>
      </c>
      <c r="F224" s="10" t="s">
        <v>12</v>
      </c>
      <c r="G224" s="10" t="s">
        <v>395</v>
      </c>
      <c r="H224" s="37">
        <v>-1000000</v>
      </c>
      <c r="I224" s="11" t="b">
        <f>AND(Jnl[[#This Row],[TrxId]]&lt;&gt;"",Jnl[[#This Row],[Acct]]&lt;&gt;"",Jnl[[#This Row],[Item]]&lt;&gt;"",ISNUMBER(Jnl[[#This Row],[Bal]]))</f>
        <v>1</v>
      </c>
      <c r="J224" s="9">
        <f>IF(Jnl[[#This Row],[BSLv0]]="A",1,-1)*Jnl[[#This Row],[Bal]]</f>
        <v>-1000000</v>
      </c>
      <c r="K224" t="str">
        <f>_xlfn.XLOOKUP(Jnl[[#This Row],[Acct]], config_BS[Acct], config_BS[Lv0],,0)</f>
        <v>A</v>
      </c>
      <c r="L224" t="str">
        <f>_xlfn.XLOOKUP(Jnl[[#This Row],[Acct]], config_BS[Acct], config_BS[Lv1],,0)</f>
        <v>Assets</v>
      </c>
      <c r="M224" t="str">
        <f>_xlfn.XLOOKUP(Jnl[[#This Row],[Acct]], config_BS[Acct], config_BS[Lv2],,0)</f>
        <v>Cash alike</v>
      </c>
      <c r="N224" t="str">
        <f>_xlfn.XLOOKUP(Jnl[[#This Row],[TrxId]], Trx[Id], Trx[IncNode], ,0)</f>
        <v>Other</v>
      </c>
      <c r="O224" t="str">
        <f>_xlfn.XLOOKUP(Jnl[[#This Row],[IncNode]], config_IS[Node], config_IS[Type],,0)</f>
        <v>Non-Op</v>
      </c>
      <c r="P224" t="str">
        <f>_xlfn.XLOOKUP(Jnl[[#This Row],[BSLv2]], dict[Key], dict[Name],,0)</f>
        <v>0.现金及类似</v>
      </c>
      <c r="Q224" t="str">
        <f>_xlfn.XLOOKUP(Jnl[[#This Row],[Acct]], dict[Key], dict[Name],,0)</f>
        <v>银行</v>
      </c>
      <c r="R224" t="str">
        <f>_xlfn.XLOOKUP(Jnl[[#This Row],[Vehicle]],config_vehicle[Id], config_vehicle[Name],,0)</f>
        <v>榆乐</v>
      </c>
      <c r="S224" t="str">
        <f>_xlfn.XLOOKUP(Jnl[[#This Row],[Division]],config_div[Id], config_div[Name],,0)</f>
        <v>内控合规</v>
      </c>
      <c r="T224" t="str">
        <f>IF(Jnl[[#This Row],[TrxDate]]&lt;=stmt_BS_date_end, "In", "Out")</f>
        <v>In</v>
      </c>
      <c r="U224" t="str">
        <f>IF(Jnl[[#This Row],[TrxDate]]&lt;debug_date_start, "prior", IF(Jnl[[#This Row],[TrxDate]]&gt;debug_date_end, "post", "curr"))</f>
        <v>curr</v>
      </c>
    </row>
    <row r="225" spans="1:21" hidden="1">
      <c r="A225" s="39" t="s">
        <v>377</v>
      </c>
      <c r="B225" s="6">
        <f>_xlfn.XLOOKUP(Jnl[[#This Row],[TrxId]], Trx[Id], Trx[Date],,0)</f>
        <v>46053</v>
      </c>
      <c r="C225" s="6" t="str">
        <f>_xlfn.XLOOKUP(Jnl[[#This Row],[TrxId]], Trx[Id], Trx[Division],,0)</f>
        <v>Ctrl</v>
      </c>
      <c r="D225" s="6" t="str">
        <f>_xlfn.XLOOKUP(Jnl[[#This Row],[TrxId]], Trx[Id], Trx[Action],,0)</f>
        <v>过账</v>
      </c>
      <c r="E225" s="27" t="s">
        <v>83</v>
      </c>
      <c r="F225" s="10" t="s">
        <v>12</v>
      </c>
      <c r="G225" s="10" t="s">
        <v>397</v>
      </c>
      <c r="H225" s="37">
        <v>1000000</v>
      </c>
      <c r="I225" s="11" t="b">
        <f>AND(Jnl[[#This Row],[TrxId]]&lt;&gt;"",Jnl[[#This Row],[Acct]]&lt;&gt;"",Jnl[[#This Row],[Item]]&lt;&gt;"",ISNUMBER(Jnl[[#This Row],[Bal]]))</f>
        <v>1</v>
      </c>
      <c r="J225" s="9">
        <f>IF(Jnl[[#This Row],[BSLv0]]="A",1,-1)*Jnl[[#This Row],[Bal]]</f>
        <v>1000000</v>
      </c>
      <c r="K225" t="str">
        <f>_xlfn.XLOOKUP(Jnl[[#This Row],[Acct]], config_BS[Acct], config_BS[Lv0],,0)</f>
        <v>A</v>
      </c>
      <c r="L225" t="str">
        <f>_xlfn.XLOOKUP(Jnl[[#This Row],[Acct]], config_BS[Acct], config_BS[Lv1],,0)</f>
        <v>Assets</v>
      </c>
      <c r="M225" t="str">
        <f>_xlfn.XLOOKUP(Jnl[[#This Row],[Acct]], config_BS[Acct], config_BS[Lv2],,0)</f>
        <v>Cash alike</v>
      </c>
      <c r="N225" t="str">
        <f>_xlfn.XLOOKUP(Jnl[[#This Row],[TrxId]], Trx[Id], Trx[IncNode], ,0)</f>
        <v>Other</v>
      </c>
      <c r="O225" t="str">
        <f>_xlfn.XLOOKUP(Jnl[[#This Row],[IncNode]], config_IS[Node], config_IS[Type],,0)</f>
        <v>Non-Op</v>
      </c>
      <c r="P225" t="str">
        <f>_xlfn.XLOOKUP(Jnl[[#This Row],[BSLv2]], dict[Key], dict[Name],,0)</f>
        <v>0.现金及类似</v>
      </c>
      <c r="Q225" t="str">
        <f>_xlfn.XLOOKUP(Jnl[[#This Row],[Acct]], dict[Key], dict[Name],,0)</f>
        <v>银行</v>
      </c>
      <c r="R225" t="str">
        <f>_xlfn.XLOOKUP(Jnl[[#This Row],[Vehicle]],config_vehicle[Id], config_vehicle[Name],,0)</f>
        <v>喜家文化</v>
      </c>
      <c r="S225" t="str">
        <f>_xlfn.XLOOKUP(Jnl[[#This Row],[Division]],config_div[Id], config_div[Name],,0)</f>
        <v>内控合规</v>
      </c>
      <c r="T225" t="str">
        <f>IF(Jnl[[#This Row],[TrxDate]]&lt;=stmt_BS_date_end, "In", "Out")</f>
        <v>In</v>
      </c>
      <c r="U225" t="str">
        <f>IF(Jnl[[#This Row],[TrxDate]]&lt;debug_date_start, "prior", IF(Jnl[[#This Row],[TrxDate]]&gt;debug_date_end, "post", "curr"))</f>
        <v>curr</v>
      </c>
    </row>
    <row r="226" spans="1:21" hidden="1">
      <c r="A226" s="39" t="s">
        <v>379</v>
      </c>
      <c r="B226" s="6">
        <f>_xlfn.XLOOKUP(Jnl[[#This Row],[TrxId]], Trx[Id], Trx[Date],,0)</f>
        <v>46053</v>
      </c>
      <c r="C226" s="6" t="str">
        <f>_xlfn.XLOOKUP(Jnl[[#This Row],[TrxId]], Trx[Id], Trx[Division],,0)</f>
        <v>Ctrl</v>
      </c>
      <c r="D226" s="6" t="str">
        <f>_xlfn.XLOOKUP(Jnl[[#This Row],[TrxId]], Trx[Id], Trx[Action],,0)</f>
        <v>过账</v>
      </c>
      <c r="E226" s="27" t="s">
        <v>86</v>
      </c>
      <c r="F226" s="10" t="s">
        <v>12</v>
      </c>
      <c r="G226" s="10" t="s">
        <v>395</v>
      </c>
      <c r="H226" s="37">
        <v>-50000</v>
      </c>
      <c r="I226" s="11" t="b">
        <f>AND(Jnl[[#This Row],[TrxId]]&lt;&gt;"",Jnl[[#This Row],[Acct]]&lt;&gt;"",Jnl[[#This Row],[Item]]&lt;&gt;"",ISNUMBER(Jnl[[#This Row],[Bal]]))</f>
        <v>1</v>
      </c>
      <c r="J226" s="9">
        <f>IF(Jnl[[#This Row],[BSLv0]]="A",1,-1)*Jnl[[#This Row],[Bal]]</f>
        <v>-50000</v>
      </c>
      <c r="K226" t="str">
        <f>_xlfn.XLOOKUP(Jnl[[#This Row],[Acct]], config_BS[Acct], config_BS[Lv0],,0)</f>
        <v>A</v>
      </c>
      <c r="L226" t="str">
        <f>_xlfn.XLOOKUP(Jnl[[#This Row],[Acct]], config_BS[Acct], config_BS[Lv1],,0)</f>
        <v>Assets</v>
      </c>
      <c r="M226" t="str">
        <f>_xlfn.XLOOKUP(Jnl[[#This Row],[Acct]], config_BS[Acct], config_BS[Lv2],,0)</f>
        <v>Cash alike</v>
      </c>
      <c r="N226" t="str">
        <f>_xlfn.XLOOKUP(Jnl[[#This Row],[TrxId]], Trx[Id], Trx[IncNode], ,0)</f>
        <v>Other</v>
      </c>
      <c r="O226" t="str">
        <f>_xlfn.XLOOKUP(Jnl[[#This Row],[IncNode]], config_IS[Node], config_IS[Type],,0)</f>
        <v>Non-Op</v>
      </c>
      <c r="P226" t="str">
        <f>_xlfn.XLOOKUP(Jnl[[#This Row],[BSLv2]], dict[Key], dict[Name],,0)</f>
        <v>0.现金及类似</v>
      </c>
      <c r="Q226" t="str">
        <f>_xlfn.XLOOKUP(Jnl[[#This Row],[Acct]], dict[Key], dict[Name],,0)</f>
        <v>银行</v>
      </c>
      <c r="R226" t="str">
        <f>_xlfn.XLOOKUP(Jnl[[#This Row],[Vehicle]],config_vehicle[Id], config_vehicle[Name],,0)</f>
        <v>榆乐</v>
      </c>
      <c r="S226" t="str">
        <f>_xlfn.XLOOKUP(Jnl[[#This Row],[Division]],config_div[Id], config_div[Name],,0)</f>
        <v>内控合规</v>
      </c>
      <c r="T226" t="str">
        <f>IF(Jnl[[#This Row],[TrxDate]]&lt;=stmt_BS_date_end, "In", "Out")</f>
        <v>In</v>
      </c>
      <c r="U226" t="str">
        <f>IF(Jnl[[#This Row],[TrxDate]]&lt;debug_date_start, "prior", IF(Jnl[[#This Row],[TrxDate]]&gt;debug_date_end, "post", "curr"))</f>
        <v>curr</v>
      </c>
    </row>
    <row r="227" spans="1:21" hidden="1">
      <c r="A227" s="39" t="s">
        <v>379</v>
      </c>
      <c r="B227" s="6">
        <f>_xlfn.XLOOKUP(Jnl[[#This Row],[TrxId]], Trx[Id], Trx[Date],,0)</f>
        <v>46053</v>
      </c>
      <c r="C227" s="6" t="str">
        <f>_xlfn.XLOOKUP(Jnl[[#This Row],[TrxId]], Trx[Id], Trx[Division],,0)</f>
        <v>Ctrl</v>
      </c>
      <c r="D227" s="6" t="str">
        <f>_xlfn.XLOOKUP(Jnl[[#This Row],[TrxId]], Trx[Id], Trx[Action],,0)</f>
        <v>过账</v>
      </c>
      <c r="E227" s="27" t="s">
        <v>95</v>
      </c>
      <c r="F227" s="10" t="s">
        <v>12</v>
      </c>
      <c r="G227" s="10" t="s">
        <v>398</v>
      </c>
      <c r="H227" s="37">
        <v>50000</v>
      </c>
      <c r="I227" s="11" t="b">
        <f>AND(Jnl[[#This Row],[TrxId]]&lt;&gt;"",Jnl[[#This Row],[Acct]]&lt;&gt;"",Jnl[[#This Row],[Item]]&lt;&gt;"",ISNUMBER(Jnl[[#This Row],[Bal]]))</f>
        <v>1</v>
      </c>
      <c r="J227" s="9">
        <f>IF(Jnl[[#This Row],[BSLv0]]="A",1,-1)*Jnl[[#This Row],[Bal]]</f>
        <v>50000</v>
      </c>
      <c r="K227" t="str">
        <f>_xlfn.XLOOKUP(Jnl[[#This Row],[Acct]], config_BS[Acct], config_BS[Lv0],,0)</f>
        <v>A</v>
      </c>
      <c r="L227" t="str">
        <f>_xlfn.XLOOKUP(Jnl[[#This Row],[Acct]], config_BS[Acct], config_BS[Lv1],,0)</f>
        <v>Assets</v>
      </c>
      <c r="M227" t="str">
        <f>_xlfn.XLOOKUP(Jnl[[#This Row],[Acct]], config_BS[Acct], config_BS[Lv2],,0)</f>
        <v>Cash alike</v>
      </c>
      <c r="N227" t="str">
        <f>_xlfn.XLOOKUP(Jnl[[#This Row],[TrxId]], Trx[Id], Trx[IncNode], ,0)</f>
        <v>Other</v>
      </c>
      <c r="O227" t="str">
        <f>_xlfn.XLOOKUP(Jnl[[#This Row],[IncNode]], config_IS[Node], config_IS[Type],,0)</f>
        <v>Non-Op</v>
      </c>
      <c r="P227" t="str">
        <f>_xlfn.XLOOKUP(Jnl[[#This Row],[BSLv2]], dict[Key], dict[Name],,0)</f>
        <v>0.现金及类似</v>
      </c>
      <c r="Q227" t="str">
        <f>_xlfn.XLOOKUP(Jnl[[#This Row],[Acct]], dict[Key], dict[Name],,0)</f>
        <v>银行</v>
      </c>
      <c r="R227" t="str">
        <f>_xlfn.XLOOKUP(Jnl[[#This Row],[Vehicle]],config_vehicle[Id], config_vehicle[Name],,0)</f>
        <v>创业园-琦</v>
      </c>
      <c r="S227" t="str">
        <f>_xlfn.XLOOKUP(Jnl[[#This Row],[Division]],config_div[Id], config_div[Name],,0)</f>
        <v>内控合规</v>
      </c>
      <c r="T227" t="str">
        <f>IF(Jnl[[#This Row],[TrxDate]]&lt;=stmt_BS_date_end, "In", "Out")</f>
        <v>In</v>
      </c>
      <c r="U227" t="str">
        <f>IF(Jnl[[#This Row],[TrxDate]]&lt;debug_date_start, "prior", IF(Jnl[[#This Row],[TrxDate]]&gt;debug_date_end, "post", "curr"))</f>
        <v>curr</v>
      </c>
    </row>
    <row r="228" spans="1:21" hidden="1">
      <c r="A228" s="39" t="s">
        <v>381</v>
      </c>
      <c r="B228" s="6">
        <f>_xlfn.XLOOKUP(Jnl[[#This Row],[TrxId]], Trx[Id], Trx[Date],,0)</f>
        <v>46053</v>
      </c>
      <c r="C228" s="6" t="str">
        <f>_xlfn.XLOOKUP(Jnl[[#This Row],[TrxId]], Trx[Id], Trx[Division],,0)</f>
        <v>Online</v>
      </c>
      <c r="D228" s="6" t="str">
        <f>_xlfn.XLOOKUP(Jnl[[#This Row],[TrxId]], Trx[Id], Trx[Action],,0)</f>
        <v>设计</v>
      </c>
      <c r="E228" s="27" t="s">
        <v>86</v>
      </c>
      <c r="F228" s="10" t="s">
        <v>12</v>
      </c>
      <c r="G228" s="10" t="s">
        <v>395</v>
      </c>
      <c r="H228" s="37">
        <v>-274.22000000000003</v>
      </c>
      <c r="I228" s="11" t="b">
        <f>AND(Jnl[[#This Row],[TrxId]]&lt;&gt;"",Jnl[[#This Row],[Acct]]&lt;&gt;"",Jnl[[#This Row],[Item]]&lt;&gt;"",ISNUMBER(Jnl[[#This Row],[Bal]]))</f>
        <v>1</v>
      </c>
      <c r="J228" s="9">
        <f>IF(Jnl[[#This Row],[BSLv0]]="A",1,-1)*Jnl[[#This Row],[Bal]]</f>
        <v>-274.22000000000003</v>
      </c>
      <c r="K228" t="str">
        <f>_xlfn.XLOOKUP(Jnl[[#This Row],[Acct]], config_BS[Acct], config_BS[Lv0],,0)</f>
        <v>A</v>
      </c>
      <c r="L228" t="str">
        <f>_xlfn.XLOOKUP(Jnl[[#This Row],[Acct]], config_BS[Acct], config_BS[Lv1],,0)</f>
        <v>Assets</v>
      </c>
      <c r="M228" t="str">
        <f>_xlfn.XLOOKUP(Jnl[[#This Row],[Acct]], config_BS[Acct], config_BS[Lv2],,0)</f>
        <v>Cash alike</v>
      </c>
      <c r="N228" t="str">
        <f>_xlfn.XLOOKUP(Jnl[[#This Row],[TrxId]], Trx[Id], Trx[IncNode], ,0)</f>
        <v>Expense</v>
      </c>
      <c r="O228" t="str">
        <f>_xlfn.XLOOKUP(Jnl[[#This Row],[IncNode]], config_IS[Node], config_IS[Type],,0)</f>
        <v>Op</v>
      </c>
      <c r="P228" t="str">
        <f>_xlfn.XLOOKUP(Jnl[[#This Row],[BSLv2]], dict[Key], dict[Name],,0)</f>
        <v>0.现金及类似</v>
      </c>
      <c r="Q228" t="str">
        <f>_xlfn.XLOOKUP(Jnl[[#This Row],[Acct]], dict[Key], dict[Name],,0)</f>
        <v>银行</v>
      </c>
      <c r="R228" t="str">
        <f>_xlfn.XLOOKUP(Jnl[[#This Row],[Vehicle]],config_vehicle[Id], config_vehicle[Name],,0)</f>
        <v>榆乐</v>
      </c>
      <c r="S228" t="str">
        <f>_xlfn.XLOOKUP(Jnl[[#This Row],[Division]],config_div[Id], config_div[Name],,0)</f>
        <v>网店</v>
      </c>
      <c r="T228" t="str">
        <f>IF(Jnl[[#This Row],[TrxDate]]&lt;=stmt_BS_date_end, "In", "Out")</f>
        <v>In</v>
      </c>
      <c r="U228" t="str">
        <f>IF(Jnl[[#This Row],[TrxDate]]&lt;debug_date_start, "prior", IF(Jnl[[#This Row],[TrxDate]]&gt;debug_date_end, "post", "curr"))</f>
        <v>curr</v>
      </c>
    </row>
    <row r="229" spans="1:21" hidden="1">
      <c r="A229" s="39" t="s">
        <v>383</v>
      </c>
      <c r="B229" s="6">
        <f>_xlfn.XLOOKUP(Jnl[[#This Row],[TrxId]], Trx[Id], Trx[Date],,0)</f>
        <v>46053</v>
      </c>
      <c r="C229" s="6" t="str">
        <f>_xlfn.XLOOKUP(Jnl[[#This Row],[TrxId]], Trx[Id], Trx[Division],,0)</f>
        <v>GM</v>
      </c>
      <c r="D229" s="6" t="str">
        <f>_xlfn.XLOOKUP(Jnl[[#This Row],[TrxId]], Trx[Id], Trx[Action],,0)</f>
        <v>交通</v>
      </c>
      <c r="E229" s="27" t="s">
        <v>86</v>
      </c>
      <c r="F229" s="10" t="s">
        <v>12</v>
      </c>
      <c r="G229" s="10" t="s">
        <v>395</v>
      </c>
      <c r="H229" s="37">
        <v>-77.64</v>
      </c>
      <c r="I229" s="11" t="b">
        <f>AND(Jnl[[#This Row],[TrxId]]&lt;&gt;"",Jnl[[#This Row],[Acct]]&lt;&gt;"",Jnl[[#This Row],[Item]]&lt;&gt;"",ISNUMBER(Jnl[[#This Row],[Bal]]))</f>
        <v>1</v>
      </c>
      <c r="J229" s="9">
        <f>IF(Jnl[[#This Row],[BSLv0]]="A",1,-1)*Jnl[[#This Row],[Bal]]</f>
        <v>-77.64</v>
      </c>
      <c r="K229" t="str">
        <f>_xlfn.XLOOKUP(Jnl[[#This Row],[Acct]], config_BS[Acct], config_BS[Lv0],,0)</f>
        <v>A</v>
      </c>
      <c r="L229" t="str">
        <f>_xlfn.XLOOKUP(Jnl[[#This Row],[Acct]], config_BS[Acct], config_BS[Lv1],,0)</f>
        <v>Assets</v>
      </c>
      <c r="M229" t="str">
        <f>_xlfn.XLOOKUP(Jnl[[#This Row],[Acct]], config_BS[Acct], config_BS[Lv2],,0)</f>
        <v>Cash alike</v>
      </c>
      <c r="N229" t="str">
        <f>_xlfn.XLOOKUP(Jnl[[#This Row],[TrxId]], Trx[Id], Trx[IncNode], ,0)</f>
        <v>Expense</v>
      </c>
      <c r="O229" t="str">
        <f>_xlfn.XLOOKUP(Jnl[[#This Row],[IncNode]], config_IS[Node], config_IS[Type],,0)</f>
        <v>Op</v>
      </c>
      <c r="P229" t="str">
        <f>_xlfn.XLOOKUP(Jnl[[#This Row],[BSLv2]], dict[Key], dict[Name],,0)</f>
        <v>0.现金及类似</v>
      </c>
      <c r="Q229" t="str">
        <f>_xlfn.XLOOKUP(Jnl[[#This Row],[Acct]], dict[Key], dict[Name],,0)</f>
        <v>银行</v>
      </c>
      <c r="R229" t="str">
        <f>_xlfn.XLOOKUP(Jnl[[#This Row],[Vehicle]],config_vehicle[Id], config_vehicle[Name],,0)</f>
        <v>榆乐</v>
      </c>
      <c r="S229" t="str">
        <f>_xlfn.XLOOKUP(Jnl[[#This Row],[Division]],config_div[Id], config_div[Name],,0)</f>
        <v>综合管理</v>
      </c>
      <c r="T229" t="str">
        <f>IF(Jnl[[#This Row],[TrxDate]]&lt;=stmt_BS_date_end, "In", "Out")</f>
        <v>In</v>
      </c>
      <c r="U229" t="str">
        <f>IF(Jnl[[#This Row],[TrxDate]]&lt;debug_date_start, "prior", IF(Jnl[[#This Row],[TrxDate]]&gt;debug_date_end, "post", "curr"))</f>
        <v>curr</v>
      </c>
    </row>
    <row r="230" spans="1:21" hidden="1">
      <c r="A230" s="39" t="s">
        <v>384</v>
      </c>
      <c r="B230" s="6">
        <f>_xlfn.XLOOKUP(Jnl[[#This Row],[TrxId]], Trx[Id], Trx[Date],,0)</f>
        <v>46053</v>
      </c>
      <c r="C230" s="6" t="str">
        <f>_xlfn.XLOOKUP(Jnl[[#This Row],[TrxId]], Trx[Id], Trx[Division],,0)</f>
        <v>GM</v>
      </c>
      <c r="D230" s="6" t="str">
        <f>_xlfn.XLOOKUP(Jnl[[#This Row],[TrxId]], Trx[Id], Trx[Action],,0)</f>
        <v>补贴</v>
      </c>
      <c r="E230" s="27" t="s">
        <v>86</v>
      </c>
      <c r="F230" s="10" t="s">
        <v>12</v>
      </c>
      <c r="G230" s="10" t="s">
        <v>395</v>
      </c>
      <c r="H230" s="37">
        <v>106.2</v>
      </c>
      <c r="I230" s="11" t="b">
        <f>AND(Jnl[[#This Row],[TrxId]]&lt;&gt;"",Jnl[[#This Row],[Acct]]&lt;&gt;"",Jnl[[#This Row],[Item]]&lt;&gt;"",ISNUMBER(Jnl[[#This Row],[Bal]]))</f>
        <v>1</v>
      </c>
      <c r="J230" s="9">
        <f>IF(Jnl[[#This Row],[BSLv0]]="A",1,-1)*Jnl[[#This Row],[Bal]]</f>
        <v>106.2</v>
      </c>
      <c r="K230" t="str">
        <f>_xlfn.XLOOKUP(Jnl[[#This Row],[Acct]], config_BS[Acct], config_BS[Lv0],,0)</f>
        <v>A</v>
      </c>
      <c r="L230" t="str">
        <f>_xlfn.XLOOKUP(Jnl[[#This Row],[Acct]], config_BS[Acct], config_BS[Lv1],,0)</f>
        <v>Assets</v>
      </c>
      <c r="M230" t="str">
        <f>_xlfn.XLOOKUP(Jnl[[#This Row],[Acct]], config_BS[Acct], config_BS[Lv2],,0)</f>
        <v>Cash alike</v>
      </c>
      <c r="N230" t="str">
        <f>_xlfn.XLOOKUP(Jnl[[#This Row],[TrxId]], Trx[Id], Trx[IncNode], ,0)</f>
        <v>Other</v>
      </c>
      <c r="O230" t="str">
        <f>_xlfn.XLOOKUP(Jnl[[#This Row],[IncNode]], config_IS[Node], config_IS[Type],,0)</f>
        <v>Non-Op</v>
      </c>
      <c r="P230" t="str">
        <f>_xlfn.XLOOKUP(Jnl[[#This Row],[BSLv2]], dict[Key], dict[Name],,0)</f>
        <v>0.现金及类似</v>
      </c>
      <c r="Q230" t="str">
        <f>_xlfn.XLOOKUP(Jnl[[#This Row],[Acct]], dict[Key], dict[Name],,0)</f>
        <v>银行</v>
      </c>
      <c r="R230" t="str">
        <f>_xlfn.XLOOKUP(Jnl[[#This Row],[Vehicle]],config_vehicle[Id], config_vehicle[Name],,0)</f>
        <v>榆乐</v>
      </c>
      <c r="S230" t="str">
        <f>_xlfn.XLOOKUP(Jnl[[#This Row],[Division]],config_div[Id], config_div[Name],,0)</f>
        <v>综合管理</v>
      </c>
      <c r="T230" t="str">
        <f>IF(Jnl[[#This Row],[TrxDate]]&lt;=stmt_BS_date_end, "In", "Out")</f>
        <v>In</v>
      </c>
      <c r="U230" t="str">
        <f>IF(Jnl[[#This Row],[TrxDate]]&lt;debug_date_start, "prior", IF(Jnl[[#This Row],[TrxDate]]&gt;debug_date_end, "post", "curr"))</f>
        <v>curr</v>
      </c>
    </row>
    <row r="231" spans="1:21" hidden="1">
      <c r="A231" s="39" t="s">
        <v>387</v>
      </c>
      <c r="B231" s="6">
        <f>_xlfn.XLOOKUP(Jnl[[#This Row],[TrxId]], Trx[Id], Trx[Date],,0)</f>
        <v>46053</v>
      </c>
      <c r="C231" s="6" t="str">
        <f>_xlfn.XLOOKUP(Jnl[[#This Row],[TrxId]], Trx[Id], Trx[Division],,0)</f>
        <v>GM</v>
      </c>
      <c r="D231" s="6" t="str">
        <f>_xlfn.XLOOKUP(Jnl[[#This Row],[TrxId]], Trx[Id], Trx[Action],,0)</f>
        <v>银行费</v>
      </c>
      <c r="E231" s="27" t="s">
        <v>86</v>
      </c>
      <c r="F231" s="10" t="s">
        <v>12</v>
      </c>
      <c r="G231" s="10" t="s">
        <v>395</v>
      </c>
      <c r="H231" s="37">
        <v>-52.4</v>
      </c>
      <c r="I231" s="11" t="b">
        <f>AND(Jnl[[#This Row],[TrxId]]&lt;&gt;"",Jnl[[#This Row],[Acct]]&lt;&gt;"",Jnl[[#This Row],[Item]]&lt;&gt;"",ISNUMBER(Jnl[[#This Row],[Bal]]))</f>
        <v>1</v>
      </c>
      <c r="J231" s="9">
        <f>IF(Jnl[[#This Row],[BSLv0]]="A",1,-1)*Jnl[[#This Row],[Bal]]</f>
        <v>-52.4</v>
      </c>
      <c r="K231" t="str">
        <f>_xlfn.XLOOKUP(Jnl[[#This Row],[Acct]], config_BS[Acct], config_BS[Lv0],,0)</f>
        <v>A</v>
      </c>
      <c r="L231" t="str">
        <f>_xlfn.XLOOKUP(Jnl[[#This Row],[Acct]], config_BS[Acct], config_BS[Lv1],,0)</f>
        <v>Assets</v>
      </c>
      <c r="M231" t="str">
        <f>_xlfn.XLOOKUP(Jnl[[#This Row],[Acct]], config_BS[Acct], config_BS[Lv2],,0)</f>
        <v>Cash alike</v>
      </c>
      <c r="N231" t="str">
        <f>_xlfn.XLOOKUP(Jnl[[#This Row],[TrxId]], Trx[Id], Trx[IncNode], ,0)</f>
        <v>Expense</v>
      </c>
      <c r="O231" t="str">
        <f>_xlfn.XLOOKUP(Jnl[[#This Row],[IncNode]], config_IS[Node], config_IS[Type],,0)</f>
        <v>Op</v>
      </c>
      <c r="P231" t="str">
        <f>_xlfn.XLOOKUP(Jnl[[#This Row],[BSLv2]], dict[Key], dict[Name],,0)</f>
        <v>0.现金及类似</v>
      </c>
      <c r="Q231" t="str">
        <f>_xlfn.XLOOKUP(Jnl[[#This Row],[Acct]], dict[Key], dict[Name],,0)</f>
        <v>银行</v>
      </c>
      <c r="R231" t="str">
        <f>_xlfn.XLOOKUP(Jnl[[#This Row],[Vehicle]],config_vehicle[Id], config_vehicle[Name],,0)</f>
        <v>榆乐</v>
      </c>
      <c r="S231" t="str">
        <f>_xlfn.XLOOKUP(Jnl[[#This Row],[Division]],config_div[Id], config_div[Name],,0)</f>
        <v>综合管理</v>
      </c>
      <c r="T231" t="str">
        <f>IF(Jnl[[#This Row],[TrxDate]]&lt;=stmt_BS_date_end, "In", "Out")</f>
        <v>In</v>
      </c>
      <c r="U231" t="str">
        <f>IF(Jnl[[#This Row],[TrxDate]]&lt;debug_date_start, "prior", IF(Jnl[[#This Row],[TrxDate]]&gt;debug_date_end, "post", "curr"))</f>
        <v>curr</v>
      </c>
    </row>
    <row r="232" spans="1:21" hidden="1">
      <c r="A232" s="39" t="s">
        <v>388</v>
      </c>
      <c r="B232" s="6">
        <f>_xlfn.XLOOKUP(Jnl[[#This Row],[TrxId]], Trx[Id], Trx[Date],,0)</f>
        <v>46053</v>
      </c>
      <c r="C232" s="6" t="str">
        <f>_xlfn.XLOOKUP(Jnl[[#This Row],[TrxId]], Trx[Id], Trx[Division],,0)</f>
        <v>GM</v>
      </c>
      <c r="D232" s="6" t="str">
        <f>_xlfn.XLOOKUP(Jnl[[#This Row],[TrxId]], Trx[Id], Trx[Action],,0)</f>
        <v>薪酬-工资</v>
      </c>
      <c r="E232" s="27" t="s">
        <v>86</v>
      </c>
      <c r="F232" s="10" t="s">
        <v>191</v>
      </c>
      <c r="G232" s="10" t="s">
        <v>152</v>
      </c>
      <c r="H232" s="37">
        <v>37619</v>
      </c>
      <c r="I232" s="11" t="b">
        <f>AND(Jnl[[#This Row],[TrxId]]&lt;&gt;"",Jnl[[#This Row],[Acct]]&lt;&gt;"",Jnl[[#This Row],[Item]]&lt;&gt;"",ISNUMBER(Jnl[[#This Row],[Bal]]))</f>
        <v>1</v>
      </c>
      <c r="J232" s="9">
        <f>IF(Jnl[[#This Row],[BSLv0]]="A",1,-1)*Jnl[[#This Row],[Bal]]</f>
        <v>-37619</v>
      </c>
      <c r="K232" t="str">
        <f>_xlfn.XLOOKUP(Jnl[[#This Row],[Acct]], config_BS[Acct], config_BS[Lv0],,0)</f>
        <v>LC</v>
      </c>
      <c r="L232" t="str">
        <f>_xlfn.XLOOKUP(Jnl[[#This Row],[Acct]], config_BS[Acct], config_BS[Lv1],,0)</f>
        <v>Liability</v>
      </c>
      <c r="M232" t="str">
        <f>_xlfn.XLOOKUP(Jnl[[#This Row],[Acct]], config_BS[Acct], config_BS[Lv2],,0)</f>
        <v>Rec-Pay</v>
      </c>
      <c r="N232" t="str">
        <f>_xlfn.XLOOKUP(Jnl[[#This Row],[TrxId]], Trx[Id], Trx[IncNode], ,0)</f>
        <v>Expense</v>
      </c>
      <c r="O232" t="str">
        <f>_xlfn.XLOOKUP(Jnl[[#This Row],[IncNode]], config_IS[Node], config_IS[Type],,0)</f>
        <v>Op</v>
      </c>
      <c r="P232" t="str">
        <f>_xlfn.XLOOKUP(Jnl[[#This Row],[BSLv2]], dict[Key], dict[Name],,0)</f>
        <v>1.应收-应付</v>
      </c>
      <c r="Q232" t="str">
        <f>_xlfn.XLOOKUP(Jnl[[#This Row],[Acct]], dict[Key], dict[Name],,0)</f>
        <v>应付-薪资</v>
      </c>
      <c r="R232" t="str">
        <f>_xlfn.XLOOKUP(Jnl[[#This Row],[Vehicle]],config_vehicle[Id], config_vehicle[Name],,0)</f>
        <v>榆乐</v>
      </c>
      <c r="S232" t="str">
        <f>_xlfn.XLOOKUP(Jnl[[#This Row],[Division]],config_div[Id], config_div[Name],,0)</f>
        <v>综合管理</v>
      </c>
      <c r="T232" t="str">
        <f>IF(Jnl[[#This Row],[TrxDate]]&lt;=stmt_BS_date_end, "In", "Out")</f>
        <v>In</v>
      </c>
      <c r="U232" t="str">
        <f>IF(Jnl[[#This Row],[TrxDate]]&lt;debug_date_start, "prior", IF(Jnl[[#This Row],[TrxDate]]&gt;debug_date_end, "post", "curr"))</f>
        <v>curr</v>
      </c>
    </row>
    <row r="233" spans="1:21" hidden="1">
      <c r="A233" t="s">
        <v>1348</v>
      </c>
      <c r="B233" s="6">
        <f>_xlfn.XLOOKUP(Jnl[[#This Row],[TrxId]], Trx[Id], Trx[Date],,0)</f>
        <v>46053</v>
      </c>
      <c r="C233" s="6" t="str">
        <f>_xlfn.XLOOKUP(Jnl[[#This Row],[TrxId]], Trx[Id], Trx[Division],,0)</f>
        <v>Online</v>
      </c>
      <c r="D233" s="6" t="str">
        <f>_xlfn.XLOOKUP(Jnl[[#This Row],[TrxId]], Trx[Id], Trx[Action],,0)</f>
        <v>薪酬-工资</v>
      </c>
      <c r="E233" s="27" t="s">
        <v>86</v>
      </c>
      <c r="F233" s="10" t="s">
        <v>191</v>
      </c>
      <c r="G233" s="10" t="s">
        <v>152</v>
      </c>
      <c r="H233" s="93">
        <v>33231.339999999997</v>
      </c>
      <c r="I233" s="11" t="b">
        <f>AND(Jnl[[#This Row],[TrxId]]&lt;&gt;"",Jnl[[#This Row],[Acct]]&lt;&gt;"",Jnl[[#This Row],[Item]]&lt;&gt;"",ISNUMBER(Jnl[[#This Row],[Bal]]))</f>
        <v>1</v>
      </c>
      <c r="J233" s="94">
        <f>IF(Jnl[[#This Row],[BSLv0]]="A",1,-1)*Jnl[[#This Row],[Bal]]</f>
        <v>-33231.339999999997</v>
      </c>
      <c r="K233" t="str">
        <f>_xlfn.XLOOKUP(Jnl[[#This Row],[Acct]], config_BS[Acct], config_BS[Lv0],,0)</f>
        <v>LC</v>
      </c>
      <c r="L233" t="str">
        <f>_xlfn.XLOOKUP(Jnl[[#This Row],[Acct]], config_BS[Acct], config_BS[Lv1],,0)</f>
        <v>Liability</v>
      </c>
      <c r="M233" t="str">
        <f>_xlfn.XLOOKUP(Jnl[[#This Row],[Acct]], config_BS[Acct], config_BS[Lv2],,0)</f>
        <v>Rec-Pay</v>
      </c>
      <c r="N233" t="str">
        <f>_xlfn.XLOOKUP(Jnl[[#This Row],[TrxId]], Trx[Id], Trx[IncNode], ,0)</f>
        <v>Expense</v>
      </c>
      <c r="O233" t="str">
        <f>_xlfn.XLOOKUP(Jnl[[#This Row],[IncNode]], config_IS[Node], config_IS[Type],,0)</f>
        <v>Op</v>
      </c>
      <c r="P233" s="95" t="str">
        <f>_xlfn.XLOOKUP(Jnl[[#This Row],[BSLv2]], dict[Key], dict[Name],,0)</f>
        <v>1.应收-应付</v>
      </c>
      <c r="Q233" s="95" t="str">
        <f>_xlfn.XLOOKUP(Jnl[[#This Row],[Acct]], dict[Key], dict[Name],,0)</f>
        <v>应付-薪资</v>
      </c>
      <c r="R233" s="95" t="str">
        <f>_xlfn.XLOOKUP(Jnl[[#This Row],[Vehicle]],config_vehicle[Id], config_vehicle[Name],,0)</f>
        <v>榆乐</v>
      </c>
      <c r="S233" s="95" t="str">
        <f>_xlfn.XLOOKUP(Jnl[[#This Row],[Division]],config_div[Id], config_div[Name],,0)</f>
        <v>网店</v>
      </c>
      <c r="T233" s="95" t="str">
        <f>IF(Jnl[[#This Row],[TrxDate]]&lt;=stmt_BS_date_end, "In", "Out")</f>
        <v>In</v>
      </c>
      <c r="U233" s="95" t="str">
        <f>IF(Jnl[[#This Row],[TrxDate]]&lt;debug_date_start, "prior", IF(Jnl[[#This Row],[TrxDate]]&gt;debug_date_end, "post", "curr"))</f>
        <v>curr</v>
      </c>
    </row>
    <row r="234" spans="1:21" hidden="1">
      <c r="A234" s="39" t="s">
        <v>389</v>
      </c>
      <c r="B234" s="6">
        <f>_xlfn.XLOOKUP(Jnl[[#This Row],[TrxId]], Trx[Id], Trx[Date],,0)</f>
        <v>46053</v>
      </c>
      <c r="C234" s="6" t="str">
        <f>_xlfn.XLOOKUP(Jnl[[#This Row],[TrxId]], Trx[Id], Trx[Division],,0)</f>
        <v>GM</v>
      </c>
      <c r="D234" s="6" t="str">
        <f>_xlfn.XLOOKUP(Jnl[[#This Row],[TrxId]], Trx[Id], Trx[Action],,0)</f>
        <v>年终奖</v>
      </c>
      <c r="E234" s="27" t="s">
        <v>86</v>
      </c>
      <c r="F234" s="10" t="s">
        <v>191</v>
      </c>
      <c r="G234" s="10" t="s">
        <v>323</v>
      </c>
      <c r="H234" s="37">
        <v>53731</v>
      </c>
      <c r="I234" s="11" t="b">
        <f>AND(Jnl[[#This Row],[TrxId]]&lt;&gt;"",Jnl[[#This Row],[Acct]]&lt;&gt;"",Jnl[[#This Row],[Item]]&lt;&gt;"",ISNUMBER(Jnl[[#This Row],[Bal]]))</f>
        <v>1</v>
      </c>
      <c r="J234" s="9">
        <f>IF(Jnl[[#This Row],[BSLv0]]="A",1,-1)*Jnl[[#This Row],[Bal]]</f>
        <v>-53731</v>
      </c>
      <c r="K234" t="str">
        <f>_xlfn.XLOOKUP(Jnl[[#This Row],[Acct]], config_BS[Acct], config_BS[Lv0],,0)</f>
        <v>LC</v>
      </c>
      <c r="L234" t="str">
        <f>_xlfn.XLOOKUP(Jnl[[#This Row],[Acct]], config_BS[Acct], config_BS[Lv1],,0)</f>
        <v>Liability</v>
      </c>
      <c r="M234" t="str">
        <f>_xlfn.XLOOKUP(Jnl[[#This Row],[Acct]], config_BS[Acct], config_BS[Lv2],,0)</f>
        <v>Rec-Pay</v>
      </c>
      <c r="N234" t="str">
        <f>_xlfn.XLOOKUP(Jnl[[#This Row],[TrxId]], Trx[Id], Trx[IncNode], ,0)</f>
        <v>Discretion</v>
      </c>
      <c r="O234" t="str">
        <f>_xlfn.XLOOKUP(Jnl[[#This Row],[IncNode]], config_IS[Node], config_IS[Type],,0)</f>
        <v>Non-Op</v>
      </c>
      <c r="P234" t="str">
        <f>_xlfn.XLOOKUP(Jnl[[#This Row],[BSLv2]], dict[Key], dict[Name],,0)</f>
        <v>1.应收-应付</v>
      </c>
      <c r="Q234" t="str">
        <f>_xlfn.XLOOKUP(Jnl[[#This Row],[Acct]], dict[Key], dict[Name],,0)</f>
        <v>应付-薪资</v>
      </c>
      <c r="R234" t="str">
        <f>_xlfn.XLOOKUP(Jnl[[#This Row],[Vehicle]],config_vehicle[Id], config_vehicle[Name],,0)</f>
        <v>榆乐</v>
      </c>
      <c r="S234" t="str">
        <f>_xlfn.XLOOKUP(Jnl[[#This Row],[Division]],config_div[Id], config_div[Name],,0)</f>
        <v>综合管理</v>
      </c>
      <c r="T234" t="str">
        <f>IF(Jnl[[#This Row],[TrxDate]]&lt;=stmt_BS_date_end, "In", "Out")</f>
        <v>In</v>
      </c>
      <c r="U234" t="str">
        <f>IF(Jnl[[#This Row],[TrxDate]]&lt;debug_date_start, "prior", IF(Jnl[[#This Row],[TrxDate]]&gt;debug_date_end, "post", "curr"))</f>
        <v>curr</v>
      </c>
    </row>
    <row r="235" spans="1:21" hidden="1">
      <c r="A235" s="39" t="s">
        <v>391</v>
      </c>
      <c r="B235" s="6">
        <f>_xlfn.XLOOKUP(Jnl[[#This Row],[TrxId]], Trx[Id], Trx[Date],,0)</f>
        <v>46053</v>
      </c>
      <c r="C235" s="6" t="str">
        <f>_xlfn.XLOOKUP(Jnl[[#This Row],[TrxId]], Trx[Id], Trx[Division],,0)</f>
        <v>Ctrl</v>
      </c>
      <c r="D235" s="6" t="str">
        <f>_xlfn.XLOOKUP(Jnl[[#This Row],[TrxId]], Trx[Id], Trx[Action],,0)</f>
        <v>调整</v>
      </c>
      <c r="E235" s="27" t="s">
        <v>86</v>
      </c>
      <c r="F235" s="10" t="s">
        <v>129</v>
      </c>
      <c r="G235" s="10" t="s">
        <v>352</v>
      </c>
      <c r="H235" s="37">
        <v>0.01</v>
      </c>
      <c r="I235" s="11" t="b">
        <f>AND(Jnl[[#This Row],[TrxId]]&lt;&gt;"",Jnl[[#This Row],[Acct]]&lt;&gt;"",Jnl[[#This Row],[Item]]&lt;&gt;"",ISNUMBER(Jnl[[#This Row],[Bal]]))</f>
        <v>1</v>
      </c>
      <c r="J235" s="9">
        <f>IF(Jnl[[#This Row],[BSLv0]]="A",1,-1)*Jnl[[#This Row],[Bal]]</f>
        <v>-0.01</v>
      </c>
      <c r="K235" t="str">
        <f>_xlfn.XLOOKUP(Jnl[[#This Row],[Acct]], config_BS[Acct], config_BS[Lv0],,0)</f>
        <v>LC</v>
      </c>
      <c r="L235" t="str">
        <f>_xlfn.XLOOKUP(Jnl[[#This Row],[Acct]], config_BS[Acct], config_BS[Lv1],,0)</f>
        <v>Liability</v>
      </c>
      <c r="M235" t="str">
        <f>_xlfn.XLOOKUP(Jnl[[#This Row],[Acct]], config_BS[Acct], config_BS[Lv2],,0)</f>
        <v>Rec-Pay</v>
      </c>
      <c r="N235" t="str">
        <f>_xlfn.XLOOKUP(Jnl[[#This Row],[TrxId]], Trx[Id], Trx[IncNode], ,0)</f>
        <v>Other</v>
      </c>
      <c r="O235" t="str">
        <f>_xlfn.XLOOKUP(Jnl[[#This Row],[IncNode]], config_IS[Node], config_IS[Type],,0)</f>
        <v>Non-Op</v>
      </c>
      <c r="P235" t="str">
        <f>_xlfn.XLOOKUP(Jnl[[#This Row],[BSLv2]], dict[Key], dict[Name],,0)</f>
        <v>1.应收-应付</v>
      </c>
      <c r="Q235" t="str">
        <f>_xlfn.XLOOKUP(Jnl[[#This Row],[Acct]], dict[Key], dict[Name],,0)</f>
        <v>应付-税款</v>
      </c>
      <c r="R235" t="str">
        <f>_xlfn.XLOOKUP(Jnl[[#This Row],[Vehicle]],config_vehicle[Id], config_vehicle[Name],,0)</f>
        <v>榆乐</v>
      </c>
      <c r="S235" t="str">
        <f>_xlfn.XLOOKUP(Jnl[[#This Row],[Division]],config_div[Id], config_div[Name],,0)</f>
        <v>内控合规</v>
      </c>
      <c r="T235" t="str">
        <f>IF(Jnl[[#This Row],[TrxDate]]&lt;=stmt_BS_date_end, "In", "Out")</f>
        <v>In</v>
      </c>
      <c r="U235" t="str">
        <f>IF(Jnl[[#This Row],[TrxDate]]&lt;debug_date_start, "prior", IF(Jnl[[#This Row],[TrxDate]]&gt;debug_date_end, "post", "curr"))</f>
        <v>curr</v>
      </c>
    </row>
    <row r="236" spans="1:21" hidden="1">
      <c r="A236" s="39" t="s">
        <v>391</v>
      </c>
      <c r="B236" s="6">
        <f>_xlfn.XLOOKUP(Jnl[[#This Row],[TrxId]], Trx[Id], Trx[Date],,0)</f>
        <v>46053</v>
      </c>
      <c r="C236" s="6" t="str">
        <f>_xlfn.XLOOKUP(Jnl[[#This Row],[TrxId]], Trx[Id], Trx[Division],,0)</f>
        <v>Ctrl</v>
      </c>
      <c r="D236" s="6" t="str">
        <f>_xlfn.XLOOKUP(Jnl[[#This Row],[TrxId]], Trx[Id], Trx[Action],,0)</f>
        <v>调整</v>
      </c>
      <c r="E236" s="27" t="s">
        <v>87</v>
      </c>
      <c r="F236" s="10" t="s">
        <v>129</v>
      </c>
      <c r="G236" s="10" t="s">
        <v>312</v>
      </c>
      <c r="H236" s="37">
        <v>-0.04</v>
      </c>
      <c r="I236" s="11" t="b">
        <f>AND(Jnl[[#This Row],[TrxId]]&lt;&gt;"",Jnl[[#This Row],[Acct]]&lt;&gt;"",Jnl[[#This Row],[Item]]&lt;&gt;"",ISNUMBER(Jnl[[#This Row],[Bal]]))</f>
        <v>1</v>
      </c>
      <c r="J236" s="9">
        <f>IF(Jnl[[#This Row],[BSLv0]]="A",1,-1)*Jnl[[#This Row],[Bal]]</f>
        <v>0.04</v>
      </c>
      <c r="K236" t="str">
        <f>_xlfn.XLOOKUP(Jnl[[#This Row],[Acct]], config_BS[Acct], config_BS[Lv0],,0)</f>
        <v>LC</v>
      </c>
      <c r="L236" t="str">
        <f>_xlfn.XLOOKUP(Jnl[[#This Row],[Acct]], config_BS[Acct], config_BS[Lv1],,0)</f>
        <v>Liability</v>
      </c>
      <c r="M236" t="str">
        <f>_xlfn.XLOOKUP(Jnl[[#This Row],[Acct]], config_BS[Acct], config_BS[Lv2],,0)</f>
        <v>Rec-Pay</v>
      </c>
      <c r="N236" t="str">
        <f>_xlfn.XLOOKUP(Jnl[[#This Row],[TrxId]], Trx[Id], Trx[IncNode], ,0)</f>
        <v>Other</v>
      </c>
      <c r="O236" t="str">
        <f>_xlfn.XLOOKUP(Jnl[[#This Row],[IncNode]], config_IS[Node], config_IS[Type],,0)</f>
        <v>Non-Op</v>
      </c>
      <c r="P236" t="str">
        <f>_xlfn.XLOOKUP(Jnl[[#This Row],[BSLv2]], dict[Key], dict[Name],,0)</f>
        <v>1.应收-应付</v>
      </c>
      <c r="Q236" t="str">
        <f>_xlfn.XLOOKUP(Jnl[[#This Row],[Acct]], dict[Key], dict[Name],,0)</f>
        <v>应付-税款</v>
      </c>
      <c r="R236" t="str">
        <f>_xlfn.XLOOKUP(Jnl[[#This Row],[Vehicle]],config_vehicle[Id], config_vehicle[Name],,0)</f>
        <v>桑木</v>
      </c>
      <c r="S236" t="str">
        <f>_xlfn.XLOOKUP(Jnl[[#This Row],[Division]],config_div[Id], config_div[Name],,0)</f>
        <v>内控合规</v>
      </c>
      <c r="T236" t="str">
        <f>IF(Jnl[[#This Row],[TrxDate]]&lt;=stmt_BS_date_end, "In", "Out")</f>
        <v>In</v>
      </c>
      <c r="U236" t="str">
        <f>IF(Jnl[[#This Row],[TrxDate]]&lt;debug_date_start, "prior", IF(Jnl[[#This Row],[TrxDate]]&gt;debug_date_end, "post", "curr"))</f>
        <v>curr</v>
      </c>
    </row>
    <row r="237" spans="1:21" hidden="1">
      <c r="A237" s="39" t="s">
        <v>394</v>
      </c>
      <c r="B237" s="6">
        <f>_xlfn.XLOOKUP(Jnl[[#This Row],[TrxId]], Trx[Id], Trx[Date],,0)</f>
        <v>46053</v>
      </c>
      <c r="C237" s="6" t="str">
        <f>_xlfn.XLOOKUP(Jnl[[#This Row],[TrxId]], Trx[Id], Trx[Division],,0)</f>
        <v>Ctrl</v>
      </c>
      <c r="D237" s="6" t="str">
        <f>_xlfn.XLOOKUP(Jnl[[#This Row],[TrxId]], Trx[Id], Trx[Action],,0)</f>
        <v>过账</v>
      </c>
      <c r="E237" s="27" t="s">
        <v>95</v>
      </c>
      <c r="F237" s="10" t="s">
        <v>12</v>
      </c>
      <c r="G237" s="10" t="s">
        <v>398</v>
      </c>
      <c r="H237" s="37">
        <v>93400</v>
      </c>
      <c r="I237" s="11" t="b">
        <f>AND(Jnl[[#This Row],[TrxId]]&lt;&gt;"",Jnl[[#This Row],[Acct]]&lt;&gt;"",Jnl[[#This Row],[Item]]&lt;&gt;"",ISNUMBER(Jnl[[#This Row],[Bal]]))</f>
        <v>1</v>
      </c>
      <c r="J237" s="9">
        <f>IF(Jnl[[#This Row],[BSLv0]]="A",1,-1)*Jnl[[#This Row],[Bal]]</f>
        <v>93400</v>
      </c>
      <c r="K237" t="str">
        <f>_xlfn.XLOOKUP(Jnl[[#This Row],[Acct]], config_BS[Acct], config_BS[Lv0],,0)</f>
        <v>A</v>
      </c>
      <c r="L237" t="str">
        <f>_xlfn.XLOOKUP(Jnl[[#This Row],[Acct]], config_BS[Acct], config_BS[Lv1],,0)</f>
        <v>Assets</v>
      </c>
      <c r="M237" t="str">
        <f>_xlfn.XLOOKUP(Jnl[[#This Row],[Acct]], config_BS[Acct], config_BS[Lv2],,0)</f>
        <v>Cash alike</v>
      </c>
      <c r="N237" t="str">
        <f>_xlfn.XLOOKUP(Jnl[[#This Row],[TrxId]], Trx[Id], Trx[IncNode], ,0)</f>
        <v>Other</v>
      </c>
      <c r="O237" t="str">
        <f>_xlfn.XLOOKUP(Jnl[[#This Row],[IncNode]], config_IS[Node], config_IS[Type],,0)</f>
        <v>Non-Op</v>
      </c>
      <c r="P237" t="str">
        <f>_xlfn.XLOOKUP(Jnl[[#This Row],[BSLv2]], dict[Key], dict[Name],,0)</f>
        <v>0.现金及类似</v>
      </c>
      <c r="Q237" t="str">
        <f>_xlfn.XLOOKUP(Jnl[[#This Row],[Acct]], dict[Key], dict[Name],,0)</f>
        <v>银行</v>
      </c>
      <c r="R237" t="str">
        <f>_xlfn.XLOOKUP(Jnl[[#This Row],[Vehicle]],config_vehicle[Id], config_vehicle[Name],,0)</f>
        <v>创业园-琦</v>
      </c>
      <c r="S237" t="str">
        <f>_xlfn.XLOOKUP(Jnl[[#This Row],[Division]],config_div[Id], config_div[Name],,0)</f>
        <v>内控合规</v>
      </c>
      <c r="T237" t="str">
        <f>IF(Jnl[[#This Row],[TrxDate]]&lt;=stmt_BS_date_end, "In", "Out")</f>
        <v>In</v>
      </c>
      <c r="U237" t="str">
        <f>IF(Jnl[[#This Row],[TrxDate]]&lt;debug_date_start, "prior", IF(Jnl[[#This Row],[TrxDate]]&gt;debug_date_end, "post", "curr"))</f>
        <v>curr</v>
      </c>
    </row>
    <row r="238" spans="1:21" hidden="1">
      <c r="A238" s="39" t="s">
        <v>394</v>
      </c>
      <c r="B238" s="6">
        <f>_xlfn.XLOOKUP(Jnl[[#This Row],[TrxId]], Trx[Id], Trx[Date],,0)</f>
        <v>46053</v>
      </c>
      <c r="C238" s="6" t="str">
        <f>_xlfn.XLOOKUP(Jnl[[#This Row],[TrxId]], Trx[Id], Trx[Division],,0)</f>
        <v>Ctrl</v>
      </c>
      <c r="D238" s="6" t="str">
        <f>_xlfn.XLOOKUP(Jnl[[#This Row],[TrxId]], Trx[Id], Trx[Action],,0)</f>
        <v>过账</v>
      </c>
      <c r="E238" s="27" t="s">
        <v>88</v>
      </c>
      <c r="F238" s="10" t="s">
        <v>12</v>
      </c>
      <c r="G238" s="10" t="s">
        <v>486</v>
      </c>
      <c r="H238" s="37">
        <v>-93400</v>
      </c>
      <c r="I238" s="11" t="b">
        <f>AND(Jnl[[#This Row],[TrxId]]&lt;&gt;"",Jnl[[#This Row],[Acct]]&lt;&gt;"",Jnl[[#This Row],[Item]]&lt;&gt;"",ISNUMBER(Jnl[[#This Row],[Bal]]))</f>
        <v>1</v>
      </c>
      <c r="J238" s="9">
        <f>IF(Jnl[[#This Row],[BSLv0]]="A",1,-1)*Jnl[[#This Row],[Bal]]</f>
        <v>-93400</v>
      </c>
      <c r="K238" t="str">
        <f>_xlfn.XLOOKUP(Jnl[[#This Row],[Acct]], config_BS[Acct], config_BS[Lv0],,0)</f>
        <v>A</v>
      </c>
      <c r="L238" t="str">
        <f>_xlfn.XLOOKUP(Jnl[[#This Row],[Acct]], config_BS[Acct], config_BS[Lv1],,0)</f>
        <v>Assets</v>
      </c>
      <c r="M238" t="str">
        <f>_xlfn.XLOOKUP(Jnl[[#This Row],[Acct]], config_BS[Acct], config_BS[Lv2],,0)</f>
        <v>Cash alike</v>
      </c>
      <c r="N238" t="str">
        <f>_xlfn.XLOOKUP(Jnl[[#This Row],[TrxId]], Trx[Id], Trx[IncNode], ,0)</f>
        <v>Other</v>
      </c>
      <c r="O238" t="str">
        <f>_xlfn.XLOOKUP(Jnl[[#This Row],[IncNode]], config_IS[Node], config_IS[Type],,0)</f>
        <v>Non-Op</v>
      </c>
      <c r="P238" t="str">
        <f>_xlfn.XLOOKUP(Jnl[[#This Row],[BSLv2]], dict[Key], dict[Name],,0)</f>
        <v>0.现金及类似</v>
      </c>
      <c r="Q238" t="str">
        <f>_xlfn.XLOOKUP(Jnl[[#This Row],[Acct]], dict[Key], dict[Name],,0)</f>
        <v>银行</v>
      </c>
      <c r="R238" t="str">
        <f>_xlfn.XLOOKUP(Jnl[[#This Row],[Vehicle]],config_vehicle[Id], config_vehicle[Name],,0)</f>
        <v>张小喜</v>
      </c>
      <c r="S238" t="str">
        <f>_xlfn.XLOOKUP(Jnl[[#This Row],[Division]],config_div[Id], config_div[Name],,0)</f>
        <v>内控合规</v>
      </c>
      <c r="T238" t="str">
        <f>IF(Jnl[[#This Row],[TrxDate]]&lt;=stmt_BS_date_end, "In", "Out")</f>
        <v>In</v>
      </c>
      <c r="U238" t="str">
        <f>IF(Jnl[[#This Row],[TrxDate]]&lt;debug_date_start, "prior", IF(Jnl[[#This Row],[TrxDate]]&gt;debug_date_end, "post", "curr"))</f>
        <v>curr</v>
      </c>
    </row>
    <row r="239" spans="1:21" hidden="1">
      <c r="A239" s="39" t="s">
        <v>400</v>
      </c>
      <c r="B239" s="6">
        <f>_xlfn.XLOOKUP(Jnl[[#This Row],[TrxId]], Trx[Id], Trx[Date],,0)</f>
        <v>46053</v>
      </c>
      <c r="C239" s="6" t="str">
        <f>_xlfn.XLOOKUP(Jnl[[#This Row],[TrxId]], Trx[Id], Trx[Division],,0)</f>
        <v>GM</v>
      </c>
      <c r="D239" s="6" t="str">
        <f>_xlfn.XLOOKUP(Jnl[[#This Row],[TrxId]], Trx[Id], Trx[Action],,0)</f>
        <v>分红</v>
      </c>
      <c r="E239" s="27" t="s">
        <v>95</v>
      </c>
      <c r="F239" s="10" t="s">
        <v>12</v>
      </c>
      <c r="G239" s="10" t="s">
        <v>398</v>
      </c>
      <c r="H239" s="37">
        <v>-1200000</v>
      </c>
      <c r="I239" s="11" t="b">
        <f>AND(Jnl[[#This Row],[TrxId]]&lt;&gt;"",Jnl[[#This Row],[Acct]]&lt;&gt;"",Jnl[[#This Row],[Item]]&lt;&gt;"",ISNUMBER(Jnl[[#This Row],[Bal]]))</f>
        <v>1</v>
      </c>
      <c r="J239" s="9">
        <f>IF(Jnl[[#This Row],[BSLv0]]="A",1,-1)*Jnl[[#This Row],[Bal]]</f>
        <v>-1200000</v>
      </c>
      <c r="K239" t="str">
        <f>_xlfn.XLOOKUP(Jnl[[#This Row],[Acct]], config_BS[Acct], config_BS[Lv0],,0)</f>
        <v>A</v>
      </c>
      <c r="L239" t="str">
        <f>_xlfn.XLOOKUP(Jnl[[#This Row],[Acct]], config_BS[Acct], config_BS[Lv1],,0)</f>
        <v>Assets</v>
      </c>
      <c r="M239" t="str">
        <f>_xlfn.XLOOKUP(Jnl[[#This Row],[Acct]], config_BS[Acct], config_BS[Lv2],,0)</f>
        <v>Cash alike</v>
      </c>
      <c r="N239" t="str">
        <f>_xlfn.XLOOKUP(Jnl[[#This Row],[TrxId]], Trx[Id], Trx[IncNode], ,0)</f>
        <v>Other</v>
      </c>
      <c r="O239" t="str">
        <f>_xlfn.XLOOKUP(Jnl[[#This Row],[IncNode]], config_IS[Node], config_IS[Type],,0)</f>
        <v>Non-Op</v>
      </c>
      <c r="P239" t="str">
        <f>_xlfn.XLOOKUP(Jnl[[#This Row],[BSLv2]], dict[Key], dict[Name],,0)</f>
        <v>0.现金及类似</v>
      </c>
      <c r="Q239" t="str">
        <f>_xlfn.XLOOKUP(Jnl[[#This Row],[Acct]], dict[Key], dict[Name],,0)</f>
        <v>银行</v>
      </c>
      <c r="R239" t="str">
        <f>_xlfn.XLOOKUP(Jnl[[#This Row],[Vehicle]],config_vehicle[Id], config_vehicle[Name],,0)</f>
        <v>创业园-琦</v>
      </c>
      <c r="S239" t="str">
        <f>_xlfn.XLOOKUP(Jnl[[#This Row],[Division]],config_div[Id], config_div[Name],,0)</f>
        <v>综合管理</v>
      </c>
      <c r="T239" t="str">
        <f>IF(Jnl[[#This Row],[TrxDate]]&lt;=stmt_BS_date_end, "In", "Out")</f>
        <v>In</v>
      </c>
      <c r="U239" t="str">
        <f>IF(Jnl[[#This Row],[TrxDate]]&lt;debug_date_start, "prior", IF(Jnl[[#This Row],[TrxDate]]&gt;debug_date_end, "post", "curr"))</f>
        <v>curr</v>
      </c>
    </row>
    <row r="240" spans="1:21" hidden="1">
      <c r="A240" s="39" t="s">
        <v>400</v>
      </c>
      <c r="B240" s="6">
        <f>_xlfn.XLOOKUP(Jnl[[#This Row],[TrxId]], Trx[Id], Trx[Date],,0)</f>
        <v>46053</v>
      </c>
      <c r="C240" s="6" t="str">
        <f>_xlfn.XLOOKUP(Jnl[[#This Row],[TrxId]], Trx[Id], Trx[Division],,0)</f>
        <v>GM</v>
      </c>
      <c r="D240" s="6" t="str">
        <f>_xlfn.XLOOKUP(Jnl[[#This Row],[TrxId]], Trx[Id], Trx[Action],,0)</f>
        <v>分红</v>
      </c>
      <c r="E240" s="27" t="s">
        <v>83</v>
      </c>
      <c r="F240" s="10" t="s">
        <v>18</v>
      </c>
      <c r="G240" s="10" t="s">
        <v>128</v>
      </c>
      <c r="H240" s="37">
        <v>-1200000</v>
      </c>
      <c r="I240" s="11" t="b">
        <f>AND(Jnl[[#This Row],[TrxId]]&lt;&gt;"",Jnl[[#This Row],[Acct]]&lt;&gt;"",Jnl[[#This Row],[Item]]&lt;&gt;"",ISNUMBER(Jnl[[#This Row],[Bal]]))</f>
        <v>1</v>
      </c>
      <c r="J240" s="9">
        <f>IF(Jnl[[#This Row],[BSLv0]]="A",1,-1)*Jnl[[#This Row],[Bal]]</f>
        <v>1200000</v>
      </c>
      <c r="K240" t="str">
        <f>_xlfn.XLOOKUP(Jnl[[#This Row],[Acct]], config_BS[Acct], config_BS[Lv0],,0)</f>
        <v>LC</v>
      </c>
      <c r="L240" t="str">
        <f>_xlfn.XLOOKUP(Jnl[[#This Row],[Acct]], config_BS[Acct], config_BS[Lv1],,0)</f>
        <v>Equity</v>
      </c>
      <c r="M240" t="str">
        <f>_xlfn.XLOOKUP(Jnl[[#This Row],[Acct]], config_BS[Acct], config_BS[Lv2],,0)</f>
        <v>Rsv</v>
      </c>
      <c r="N240" t="str">
        <f>_xlfn.XLOOKUP(Jnl[[#This Row],[TrxId]], Trx[Id], Trx[IncNode], ,0)</f>
        <v>Other</v>
      </c>
      <c r="O240" t="str">
        <f>_xlfn.XLOOKUP(Jnl[[#This Row],[IncNode]], config_IS[Node], config_IS[Type],,0)</f>
        <v>Non-Op</v>
      </c>
      <c r="P240" t="str">
        <f>_xlfn.XLOOKUP(Jnl[[#This Row],[BSLv2]], dict[Key], dict[Name],,0)</f>
        <v>9.蓄水池</v>
      </c>
      <c r="Q240" t="str">
        <f>_xlfn.XLOOKUP(Jnl[[#This Row],[Acct]], dict[Key], dict[Name],,0)</f>
        <v>可分配利润</v>
      </c>
      <c r="R240" t="str">
        <f>_xlfn.XLOOKUP(Jnl[[#This Row],[Vehicle]],config_vehicle[Id], config_vehicle[Name],,0)</f>
        <v>喜家文化</v>
      </c>
      <c r="S240" t="str">
        <f>_xlfn.XLOOKUP(Jnl[[#This Row],[Division]],config_div[Id], config_div[Name],,0)</f>
        <v>综合管理</v>
      </c>
      <c r="T240" t="str">
        <f>IF(Jnl[[#This Row],[TrxDate]]&lt;=stmt_BS_date_end, "In", "Out")</f>
        <v>In</v>
      </c>
      <c r="U240" t="str">
        <f>IF(Jnl[[#This Row],[TrxDate]]&lt;debug_date_start, "prior", IF(Jnl[[#This Row],[TrxDate]]&gt;debug_date_end, "post", "curr"))</f>
        <v>curr</v>
      </c>
    </row>
    <row r="241" spans="1:21" hidden="1">
      <c r="A241" s="39" t="s">
        <v>403</v>
      </c>
      <c r="B241" s="6">
        <f>_xlfn.XLOOKUP(Jnl[[#This Row],[TrxId]], Trx[Id], Trx[Date],,0)</f>
        <v>46053</v>
      </c>
      <c r="C241" s="6" t="str">
        <f>_xlfn.XLOOKUP(Jnl[[#This Row],[TrxId]], Trx[Id], Trx[Division],,0)</f>
        <v>Online</v>
      </c>
      <c r="D241" s="6" t="str">
        <f>_xlfn.XLOOKUP(Jnl[[#This Row],[TrxId]], Trx[Id], Trx[Action],,0)</f>
        <v>其他销售</v>
      </c>
      <c r="E241" s="27" t="s">
        <v>95</v>
      </c>
      <c r="F241" s="10" t="s">
        <v>12</v>
      </c>
      <c r="G241" s="10" t="s">
        <v>398</v>
      </c>
      <c r="H241" s="37">
        <f>21.05+78.1</f>
        <v>99.149999999999991</v>
      </c>
      <c r="I241" s="11" t="b">
        <f>AND(Jnl[[#This Row],[TrxId]]&lt;&gt;"",Jnl[[#This Row],[Acct]]&lt;&gt;"",Jnl[[#This Row],[Item]]&lt;&gt;"",ISNUMBER(Jnl[[#This Row],[Bal]]))</f>
        <v>1</v>
      </c>
      <c r="J241" s="9">
        <f>IF(Jnl[[#This Row],[BSLv0]]="A",1,-1)*Jnl[[#This Row],[Bal]]</f>
        <v>99.149999999999991</v>
      </c>
      <c r="K241" t="str">
        <f>_xlfn.XLOOKUP(Jnl[[#This Row],[Acct]], config_BS[Acct], config_BS[Lv0],,0)</f>
        <v>A</v>
      </c>
      <c r="L241" t="str">
        <f>_xlfn.XLOOKUP(Jnl[[#This Row],[Acct]], config_BS[Acct], config_BS[Lv1],,0)</f>
        <v>Assets</v>
      </c>
      <c r="M241" t="str">
        <f>_xlfn.XLOOKUP(Jnl[[#This Row],[Acct]], config_BS[Acct], config_BS[Lv2],,0)</f>
        <v>Cash alike</v>
      </c>
      <c r="N241" t="str">
        <f>_xlfn.XLOOKUP(Jnl[[#This Row],[TrxId]], Trx[Id], Trx[IncNode], ,0)</f>
        <v>Revenue</v>
      </c>
      <c r="O241" t="str">
        <f>_xlfn.XLOOKUP(Jnl[[#This Row],[IncNode]], config_IS[Node], config_IS[Type],,0)</f>
        <v>Op</v>
      </c>
      <c r="P241" t="str">
        <f>_xlfn.XLOOKUP(Jnl[[#This Row],[BSLv2]], dict[Key], dict[Name],,0)</f>
        <v>0.现金及类似</v>
      </c>
      <c r="Q241" t="str">
        <f>_xlfn.XLOOKUP(Jnl[[#This Row],[Acct]], dict[Key], dict[Name],,0)</f>
        <v>银行</v>
      </c>
      <c r="R241" t="str">
        <f>_xlfn.XLOOKUP(Jnl[[#This Row],[Vehicle]],config_vehicle[Id], config_vehicle[Name],,0)</f>
        <v>创业园-琦</v>
      </c>
      <c r="S241" t="str">
        <f>_xlfn.XLOOKUP(Jnl[[#This Row],[Division]],config_div[Id], config_div[Name],,0)</f>
        <v>网店</v>
      </c>
      <c r="T241" t="str">
        <f>IF(Jnl[[#This Row],[TrxDate]]&lt;=stmt_BS_date_end, "In", "Out")</f>
        <v>In</v>
      </c>
      <c r="U241" t="str">
        <f>IF(Jnl[[#This Row],[TrxDate]]&lt;debug_date_start, "prior", IF(Jnl[[#This Row],[TrxDate]]&gt;debug_date_end, "post", "curr"))</f>
        <v>curr</v>
      </c>
    </row>
    <row r="242" spans="1:21" hidden="1">
      <c r="A242" s="39" t="s">
        <v>405</v>
      </c>
      <c r="B242" s="6">
        <f>_xlfn.XLOOKUP(Jnl[[#This Row],[TrxId]], Trx[Id], Trx[Date],,0)</f>
        <v>46053</v>
      </c>
      <c r="C242" s="6" t="str">
        <f>_xlfn.XLOOKUP(Jnl[[#This Row],[TrxId]], Trx[Id], Trx[Division],,0)</f>
        <v>Online</v>
      </c>
      <c r="D242" s="6" t="str">
        <f>_xlfn.XLOOKUP(Jnl[[#This Row],[TrxId]], Trx[Id], Trx[Action],,0)</f>
        <v>服饰</v>
      </c>
      <c r="E242" s="27" t="s">
        <v>95</v>
      </c>
      <c r="F242" s="10" t="s">
        <v>12</v>
      </c>
      <c r="G242" s="10" t="s">
        <v>398</v>
      </c>
      <c r="H242" s="37">
        <v>23384.05</v>
      </c>
      <c r="I242" s="11" t="b">
        <f>AND(Jnl[[#This Row],[TrxId]]&lt;&gt;"",Jnl[[#This Row],[Acct]]&lt;&gt;"",Jnl[[#This Row],[Item]]&lt;&gt;"",ISNUMBER(Jnl[[#This Row],[Bal]]))</f>
        <v>1</v>
      </c>
      <c r="J242" s="9">
        <f>IF(Jnl[[#This Row],[BSLv0]]="A",1,-1)*Jnl[[#This Row],[Bal]]</f>
        <v>23384.05</v>
      </c>
      <c r="K242" t="str">
        <f>_xlfn.XLOOKUP(Jnl[[#This Row],[Acct]], config_BS[Acct], config_BS[Lv0],,0)</f>
        <v>A</v>
      </c>
      <c r="L242" t="str">
        <f>_xlfn.XLOOKUP(Jnl[[#This Row],[Acct]], config_BS[Acct], config_BS[Lv1],,0)</f>
        <v>Assets</v>
      </c>
      <c r="M242" t="str">
        <f>_xlfn.XLOOKUP(Jnl[[#This Row],[Acct]], config_BS[Acct], config_BS[Lv2],,0)</f>
        <v>Cash alike</v>
      </c>
      <c r="N242" t="str">
        <f>_xlfn.XLOOKUP(Jnl[[#This Row],[TrxId]], Trx[Id], Trx[IncNode], ,0)</f>
        <v>Revenue</v>
      </c>
      <c r="O242" t="str">
        <f>_xlfn.XLOOKUP(Jnl[[#This Row],[IncNode]], config_IS[Node], config_IS[Type],,0)</f>
        <v>Op</v>
      </c>
      <c r="P242" t="str">
        <f>_xlfn.XLOOKUP(Jnl[[#This Row],[BSLv2]], dict[Key], dict[Name],,0)</f>
        <v>0.现金及类似</v>
      </c>
      <c r="Q242" t="str">
        <f>_xlfn.XLOOKUP(Jnl[[#This Row],[Acct]], dict[Key], dict[Name],,0)</f>
        <v>银行</v>
      </c>
      <c r="R242" t="str">
        <f>_xlfn.XLOOKUP(Jnl[[#This Row],[Vehicle]],config_vehicle[Id], config_vehicle[Name],,0)</f>
        <v>创业园-琦</v>
      </c>
      <c r="S242" t="str">
        <f>_xlfn.XLOOKUP(Jnl[[#This Row],[Division]],config_div[Id], config_div[Name],,0)</f>
        <v>网店</v>
      </c>
      <c r="T242" t="str">
        <f>IF(Jnl[[#This Row],[TrxDate]]&lt;=stmt_BS_date_end, "In", "Out")</f>
        <v>In</v>
      </c>
      <c r="U242" t="str">
        <f>IF(Jnl[[#This Row],[TrxDate]]&lt;debug_date_start, "prior", IF(Jnl[[#This Row],[TrxDate]]&gt;debug_date_end, "post", "curr"))</f>
        <v>curr</v>
      </c>
    </row>
    <row r="243" spans="1:21" hidden="1">
      <c r="A243" s="39" t="s">
        <v>407</v>
      </c>
      <c r="B243" s="6">
        <f>_xlfn.XLOOKUP(Jnl[[#This Row],[TrxId]], Trx[Id], Trx[Date],,0)</f>
        <v>46053</v>
      </c>
      <c r="C243" s="6" t="str">
        <f>_xlfn.XLOOKUP(Jnl[[#This Row],[TrxId]], Trx[Id], Trx[Division],,0)</f>
        <v>Brand</v>
      </c>
      <c r="D243" s="6" t="str">
        <f>_xlfn.XLOOKUP(Jnl[[#This Row],[TrxId]], Trx[Id], Trx[Action],,0)</f>
        <v>书写营</v>
      </c>
      <c r="E243" s="27" t="s">
        <v>95</v>
      </c>
      <c r="F243" s="10" t="s">
        <v>12</v>
      </c>
      <c r="G243" s="10" t="s">
        <v>398</v>
      </c>
      <c r="H243" s="37">
        <v>100000</v>
      </c>
      <c r="I243" s="11" t="b">
        <f>AND(Jnl[[#This Row],[TrxId]]&lt;&gt;"",Jnl[[#This Row],[Acct]]&lt;&gt;"",Jnl[[#This Row],[Item]]&lt;&gt;"",ISNUMBER(Jnl[[#This Row],[Bal]]))</f>
        <v>1</v>
      </c>
      <c r="J243" s="9">
        <f>IF(Jnl[[#This Row],[BSLv0]]="A",1,-1)*Jnl[[#This Row],[Bal]]</f>
        <v>100000</v>
      </c>
      <c r="K243" t="str">
        <f>_xlfn.XLOOKUP(Jnl[[#This Row],[Acct]], config_BS[Acct], config_BS[Lv0],,0)</f>
        <v>A</v>
      </c>
      <c r="L243" t="str">
        <f>_xlfn.XLOOKUP(Jnl[[#This Row],[Acct]], config_BS[Acct], config_BS[Lv1],,0)</f>
        <v>Assets</v>
      </c>
      <c r="M243" t="str">
        <f>_xlfn.XLOOKUP(Jnl[[#This Row],[Acct]], config_BS[Acct], config_BS[Lv2],,0)</f>
        <v>Cash alike</v>
      </c>
      <c r="N243" t="str">
        <f>_xlfn.XLOOKUP(Jnl[[#This Row],[TrxId]], Trx[Id], Trx[IncNode], ,0)</f>
        <v>Discretion</v>
      </c>
      <c r="O243" t="str">
        <f>_xlfn.XLOOKUP(Jnl[[#This Row],[IncNode]], config_IS[Node], config_IS[Type],,0)</f>
        <v>Non-Op</v>
      </c>
      <c r="P243" t="str">
        <f>_xlfn.XLOOKUP(Jnl[[#This Row],[BSLv2]], dict[Key], dict[Name],,0)</f>
        <v>0.现金及类似</v>
      </c>
      <c r="Q243" t="str">
        <f>_xlfn.XLOOKUP(Jnl[[#This Row],[Acct]], dict[Key], dict[Name],,0)</f>
        <v>银行</v>
      </c>
      <c r="R243" t="str">
        <f>_xlfn.XLOOKUP(Jnl[[#This Row],[Vehicle]],config_vehicle[Id], config_vehicle[Name],,0)</f>
        <v>创业园-琦</v>
      </c>
      <c r="S243" t="str">
        <f>_xlfn.XLOOKUP(Jnl[[#This Row],[Division]],config_div[Id], config_div[Name],,0)</f>
        <v>品牌</v>
      </c>
      <c r="T243" t="str">
        <f>IF(Jnl[[#This Row],[TrxDate]]&lt;=stmt_BS_date_end, "In", "Out")</f>
        <v>In</v>
      </c>
      <c r="U243" t="str">
        <f>IF(Jnl[[#This Row],[TrxDate]]&lt;debug_date_start, "prior", IF(Jnl[[#This Row],[TrxDate]]&gt;debug_date_end, "post", "curr"))</f>
        <v>curr</v>
      </c>
    </row>
    <row r="244" spans="1:21" hidden="1">
      <c r="A244" s="39" t="s">
        <v>410</v>
      </c>
      <c r="B244" s="6">
        <f>_xlfn.XLOOKUP(Jnl[[#This Row],[TrxId]], Trx[Id], Trx[Date],,0)</f>
        <v>46053</v>
      </c>
      <c r="C244" s="6" t="str">
        <f>_xlfn.XLOOKUP(Jnl[[#This Row],[TrxId]], Trx[Id], Trx[Division],,0)</f>
        <v>Ctrl</v>
      </c>
      <c r="D244" s="6" t="str">
        <f>_xlfn.XLOOKUP(Jnl[[#This Row],[TrxId]], Trx[Id], Trx[Action],,0)</f>
        <v>代付款</v>
      </c>
      <c r="E244" s="27" t="s">
        <v>95</v>
      </c>
      <c r="F244" s="10" t="s">
        <v>12</v>
      </c>
      <c r="G244" s="10" t="s">
        <v>398</v>
      </c>
      <c r="H244" s="37">
        <v>-5578.9</v>
      </c>
      <c r="I244" s="11" t="b">
        <f>AND(Jnl[[#This Row],[TrxId]]&lt;&gt;"",Jnl[[#This Row],[Acct]]&lt;&gt;"",Jnl[[#This Row],[Item]]&lt;&gt;"",ISNUMBER(Jnl[[#This Row],[Bal]]))</f>
        <v>1</v>
      </c>
      <c r="J244" s="9">
        <f>IF(Jnl[[#This Row],[BSLv0]]="A",1,-1)*Jnl[[#This Row],[Bal]]</f>
        <v>-5578.9</v>
      </c>
      <c r="K244" t="str">
        <f>_xlfn.XLOOKUP(Jnl[[#This Row],[Acct]], config_BS[Acct], config_BS[Lv0],,0)</f>
        <v>A</v>
      </c>
      <c r="L244" t="str">
        <f>_xlfn.XLOOKUP(Jnl[[#This Row],[Acct]], config_BS[Acct], config_BS[Lv1],,0)</f>
        <v>Assets</v>
      </c>
      <c r="M244" t="str">
        <f>_xlfn.XLOOKUP(Jnl[[#This Row],[Acct]], config_BS[Acct], config_BS[Lv2],,0)</f>
        <v>Cash alike</v>
      </c>
      <c r="N244" t="str">
        <f>_xlfn.XLOOKUP(Jnl[[#This Row],[TrxId]], Trx[Id], Trx[IncNode], ,0)</f>
        <v>Other</v>
      </c>
      <c r="O244" t="str">
        <f>_xlfn.XLOOKUP(Jnl[[#This Row],[IncNode]], config_IS[Node], config_IS[Type],,0)</f>
        <v>Non-Op</v>
      </c>
      <c r="P244" t="str">
        <f>_xlfn.XLOOKUP(Jnl[[#This Row],[BSLv2]], dict[Key], dict[Name],,0)</f>
        <v>0.现金及类似</v>
      </c>
      <c r="Q244" t="str">
        <f>_xlfn.XLOOKUP(Jnl[[#This Row],[Acct]], dict[Key], dict[Name],,0)</f>
        <v>银行</v>
      </c>
      <c r="R244" t="str">
        <f>_xlfn.XLOOKUP(Jnl[[#This Row],[Vehicle]],config_vehicle[Id], config_vehicle[Name],,0)</f>
        <v>创业园-琦</v>
      </c>
      <c r="S244" t="str">
        <f>_xlfn.XLOOKUP(Jnl[[#This Row],[Division]],config_div[Id], config_div[Name],,0)</f>
        <v>内控合规</v>
      </c>
      <c r="T244" t="str">
        <f>IF(Jnl[[#This Row],[TrxDate]]&lt;=stmt_BS_date_end, "In", "Out")</f>
        <v>In</v>
      </c>
      <c r="U244" t="str">
        <f>IF(Jnl[[#This Row],[TrxDate]]&lt;debug_date_start, "prior", IF(Jnl[[#This Row],[TrxDate]]&gt;debug_date_end, "post", "curr"))</f>
        <v>curr</v>
      </c>
    </row>
    <row r="245" spans="1:21" hidden="1">
      <c r="A245" s="39" t="s">
        <v>410</v>
      </c>
      <c r="B245" s="6">
        <f>_xlfn.XLOOKUP(Jnl[[#This Row],[TrxId]], Trx[Id], Trx[Date],,0)</f>
        <v>46053</v>
      </c>
      <c r="C245" s="6" t="str">
        <f>_xlfn.XLOOKUP(Jnl[[#This Row],[TrxId]], Trx[Id], Trx[Division],,0)</f>
        <v>Ctrl</v>
      </c>
      <c r="D245" s="6" t="str">
        <f>_xlfn.XLOOKUP(Jnl[[#This Row],[TrxId]], Trx[Id], Trx[Action],,0)</f>
        <v>代付款</v>
      </c>
      <c r="E245" s="27" t="s">
        <v>95</v>
      </c>
      <c r="F245" s="10" t="s">
        <v>134</v>
      </c>
      <c r="G245" s="10" t="s">
        <v>409</v>
      </c>
      <c r="H245" s="37">
        <v>-5578.9</v>
      </c>
      <c r="I245" s="11" t="b">
        <f>AND(Jnl[[#This Row],[TrxId]]&lt;&gt;"",Jnl[[#This Row],[Acct]]&lt;&gt;"",Jnl[[#This Row],[Item]]&lt;&gt;"",ISNUMBER(Jnl[[#This Row],[Bal]]))</f>
        <v>1</v>
      </c>
      <c r="J245" s="9">
        <f>IF(Jnl[[#This Row],[BSLv0]]="A",1,-1)*Jnl[[#This Row],[Bal]]</f>
        <v>5578.9</v>
      </c>
      <c r="K245" t="str">
        <f>_xlfn.XLOOKUP(Jnl[[#This Row],[Acct]], config_BS[Acct], config_BS[Lv0],,0)</f>
        <v>LC</v>
      </c>
      <c r="L245" t="str">
        <f>_xlfn.XLOOKUP(Jnl[[#This Row],[Acct]], config_BS[Acct], config_BS[Lv1],,0)</f>
        <v>Liability</v>
      </c>
      <c r="M245" t="str">
        <f>_xlfn.XLOOKUP(Jnl[[#This Row],[Acct]], config_BS[Acct], config_BS[Lv2],,0)</f>
        <v>Rec-Pay</v>
      </c>
      <c r="N245" t="str">
        <f>_xlfn.XLOOKUP(Jnl[[#This Row],[TrxId]], Trx[Id], Trx[IncNode], ,0)</f>
        <v>Other</v>
      </c>
      <c r="O245" t="str">
        <f>_xlfn.XLOOKUP(Jnl[[#This Row],[IncNode]], config_IS[Node], config_IS[Type],,0)</f>
        <v>Non-Op</v>
      </c>
      <c r="P245" t="str">
        <f>_xlfn.XLOOKUP(Jnl[[#This Row],[BSLv2]], dict[Key], dict[Name],,0)</f>
        <v>1.应收-应付</v>
      </c>
      <c r="Q245" t="str">
        <f>_xlfn.XLOOKUP(Jnl[[#This Row],[Acct]], dict[Key], dict[Name],,0)</f>
        <v>应付-其他</v>
      </c>
      <c r="R245" t="str">
        <f>_xlfn.XLOOKUP(Jnl[[#This Row],[Vehicle]],config_vehicle[Id], config_vehicle[Name],,0)</f>
        <v>创业园-琦</v>
      </c>
      <c r="S245" t="str">
        <f>_xlfn.XLOOKUP(Jnl[[#This Row],[Division]],config_div[Id], config_div[Name],,0)</f>
        <v>内控合规</v>
      </c>
      <c r="T245" t="str">
        <f>IF(Jnl[[#This Row],[TrxDate]]&lt;=stmt_BS_date_end, "In", "Out")</f>
        <v>In</v>
      </c>
      <c r="U245" t="str">
        <f>IF(Jnl[[#This Row],[TrxDate]]&lt;debug_date_start, "prior", IF(Jnl[[#This Row],[TrxDate]]&gt;debug_date_end, "post", "curr"))</f>
        <v>curr</v>
      </c>
    </row>
    <row r="246" spans="1:21" hidden="1">
      <c r="A246" s="39" t="s">
        <v>412</v>
      </c>
      <c r="B246" s="6">
        <f>_xlfn.XLOOKUP(Jnl[[#This Row],[TrxId]], Trx[Id], Trx[Date],,0)</f>
        <v>46053</v>
      </c>
      <c r="C246" s="6" t="str">
        <f>_xlfn.XLOOKUP(Jnl[[#This Row],[TrxId]], Trx[Id], Trx[Division],,0)</f>
        <v>Online</v>
      </c>
      <c r="D246" s="6" t="str">
        <f>_xlfn.XLOOKUP(Jnl[[#This Row],[TrxId]], Trx[Id], Trx[Action],,0)</f>
        <v>其他销售</v>
      </c>
      <c r="E246" s="27" t="s">
        <v>95</v>
      </c>
      <c r="F246" s="10" t="s">
        <v>12</v>
      </c>
      <c r="G246" s="10" t="s">
        <v>398</v>
      </c>
      <c r="H246" s="37">
        <v>65</v>
      </c>
      <c r="I246" s="11" t="b">
        <f>AND(Jnl[[#This Row],[TrxId]]&lt;&gt;"",Jnl[[#This Row],[Acct]]&lt;&gt;"",Jnl[[#This Row],[Item]]&lt;&gt;"",ISNUMBER(Jnl[[#This Row],[Bal]]))</f>
        <v>1</v>
      </c>
      <c r="J246" s="9">
        <f>IF(Jnl[[#This Row],[BSLv0]]="A",1,-1)*Jnl[[#This Row],[Bal]]</f>
        <v>65</v>
      </c>
      <c r="K246" t="str">
        <f>_xlfn.XLOOKUP(Jnl[[#This Row],[Acct]], config_BS[Acct], config_BS[Lv0],,0)</f>
        <v>A</v>
      </c>
      <c r="L246" t="str">
        <f>_xlfn.XLOOKUP(Jnl[[#This Row],[Acct]], config_BS[Acct], config_BS[Lv1],,0)</f>
        <v>Assets</v>
      </c>
      <c r="M246" t="str">
        <f>_xlfn.XLOOKUP(Jnl[[#This Row],[Acct]], config_BS[Acct], config_BS[Lv2],,0)</f>
        <v>Cash alike</v>
      </c>
      <c r="N246" t="str">
        <f>_xlfn.XLOOKUP(Jnl[[#This Row],[TrxId]], Trx[Id], Trx[IncNode], ,0)</f>
        <v>Revenue</v>
      </c>
      <c r="O246" t="str">
        <f>_xlfn.XLOOKUP(Jnl[[#This Row],[IncNode]], config_IS[Node], config_IS[Type],,0)</f>
        <v>Op</v>
      </c>
      <c r="P246" t="str">
        <f>_xlfn.XLOOKUP(Jnl[[#This Row],[BSLv2]], dict[Key], dict[Name],,0)</f>
        <v>0.现金及类似</v>
      </c>
      <c r="Q246" t="str">
        <f>_xlfn.XLOOKUP(Jnl[[#This Row],[Acct]], dict[Key], dict[Name],,0)</f>
        <v>银行</v>
      </c>
      <c r="R246" t="str">
        <f>_xlfn.XLOOKUP(Jnl[[#This Row],[Vehicle]],config_vehicle[Id], config_vehicle[Name],,0)</f>
        <v>创业园-琦</v>
      </c>
      <c r="S246" t="str">
        <f>_xlfn.XLOOKUP(Jnl[[#This Row],[Division]],config_div[Id], config_div[Name],,0)</f>
        <v>网店</v>
      </c>
      <c r="T246" t="str">
        <f>IF(Jnl[[#This Row],[TrxDate]]&lt;=stmt_BS_date_end, "In", "Out")</f>
        <v>In</v>
      </c>
      <c r="U246" t="str">
        <f>IF(Jnl[[#This Row],[TrxDate]]&lt;debug_date_start, "prior", IF(Jnl[[#This Row],[TrxDate]]&gt;debug_date_end, "post", "curr"))</f>
        <v>curr</v>
      </c>
    </row>
    <row r="247" spans="1:21" hidden="1">
      <c r="A247" s="39" t="s">
        <v>414</v>
      </c>
      <c r="B247" s="6">
        <f>_xlfn.XLOOKUP(Jnl[[#This Row],[TrxId]], Trx[Id], Trx[Date],,0)</f>
        <v>46053</v>
      </c>
      <c r="C247" s="6" t="str">
        <f>_xlfn.XLOOKUP(Jnl[[#This Row],[TrxId]], Trx[Id], Trx[Division],,0)</f>
        <v>Ctrl</v>
      </c>
      <c r="D247" s="6" t="str">
        <f>_xlfn.XLOOKUP(Jnl[[#This Row],[TrxId]], Trx[Id], Trx[Action],,0)</f>
        <v>找票</v>
      </c>
      <c r="E247" s="27" t="s">
        <v>95</v>
      </c>
      <c r="F247" s="10" t="s">
        <v>12</v>
      </c>
      <c r="G247" s="10" t="s">
        <v>398</v>
      </c>
      <c r="H247" s="37">
        <v>-3000</v>
      </c>
      <c r="I247" s="11" t="b">
        <f>AND(Jnl[[#This Row],[TrxId]]&lt;&gt;"",Jnl[[#This Row],[Acct]]&lt;&gt;"",Jnl[[#This Row],[Item]]&lt;&gt;"",ISNUMBER(Jnl[[#This Row],[Bal]]))</f>
        <v>1</v>
      </c>
      <c r="J247" s="9">
        <f>IF(Jnl[[#This Row],[BSLv0]]="A",1,-1)*Jnl[[#This Row],[Bal]]</f>
        <v>-3000</v>
      </c>
      <c r="K247" t="str">
        <f>_xlfn.XLOOKUP(Jnl[[#This Row],[Acct]], config_BS[Acct], config_BS[Lv0],,0)</f>
        <v>A</v>
      </c>
      <c r="L247" t="str">
        <f>_xlfn.XLOOKUP(Jnl[[#This Row],[Acct]], config_BS[Acct], config_BS[Lv1],,0)</f>
        <v>Assets</v>
      </c>
      <c r="M247" t="str">
        <f>_xlfn.XLOOKUP(Jnl[[#This Row],[Acct]], config_BS[Acct], config_BS[Lv2],,0)</f>
        <v>Cash alike</v>
      </c>
      <c r="N247" t="str">
        <f>_xlfn.XLOOKUP(Jnl[[#This Row],[TrxId]], Trx[Id], Trx[IncNode], ,0)</f>
        <v>Expense</v>
      </c>
      <c r="O247" t="str">
        <f>_xlfn.XLOOKUP(Jnl[[#This Row],[IncNode]], config_IS[Node], config_IS[Type],,0)</f>
        <v>Op</v>
      </c>
      <c r="P247" t="str">
        <f>_xlfn.XLOOKUP(Jnl[[#This Row],[BSLv2]], dict[Key], dict[Name],,0)</f>
        <v>0.现金及类似</v>
      </c>
      <c r="Q247" t="str">
        <f>_xlfn.XLOOKUP(Jnl[[#This Row],[Acct]], dict[Key], dict[Name],,0)</f>
        <v>银行</v>
      </c>
      <c r="R247" t="str">
        <f>_xlfn.XLOOKUP(Jnl[[#This Row],[Vehicle]],config_vehicle[Id], config_vehicle[Name],,0)</f>
        <v>创业园-琦</v>
      </c>
      <c r="S247" t="str">
        <f>_xlfn.XLOOKUP(Jnl[[#This Row],[Division]],config_div[Id], config_div[Name],,0)</f>
        <v>内控合规</v>
      </c>
      <c r="T247" t="str">
        <f>IF(Jnl[[#This Row],[TrxDate]]&lt;=stmt_BS_date_end, "In", "Out")</f>
        <v>In</v>
      </c>
      <c r="U247" t="str">
        <f>IF(Jnl[[#This Row],[TrxDate]]&lt;debug_date_start, "prior", IF(Jnl[[#This Row],[TrxDate]]&gt;debug_date_end, "post", "curr"))</f>
        <v>curr</v>
      </c>
    </row>
    <row r="248" spans="1:21" hidden="1">
      <c r="A248" s="39" t="s">
        <v>417</v>
      </c>
      <c r="B248" s="6">
        <f>_xlfn.XLOOKUP(Jnl[[#This Row],[TrxId]], Trx[Id], Trx[Date],,0)</f>
        <v>46053</v>
      </c>
      <c r="C248" s="6" t="str">
        <f>_xlfn.XLOOKUP(Jnl[[#This Row],[TrxId]], Trx[Id], Trx[Division],,0)</f>
        <v>Online</v>
      </c>
      <c r="D248" s="6" t="str">
        <f>_xlfn.XLOOKUP(Jnl[[#This Row],[TrxId]], Trx[Id], Trx[Action],,0)</f>
        <v>其他销售</v>
      </c>
      <c r="E248" s="27" t="s">
        <v>95</v>
      </c>
      <c r="F248" s="10" t="s">
        <v>12</v>
      </c>
      <c r="G248" s="10" t="s">
        <v>398</v>
      </c>
      <c r="H248" s="37">
        <v>68</v>
      </c>
      <c r="I248" s="11" t="b">
        <f>AND(Jnl[[#This Row],[TrxId]]&lt;&gt;"",Jnl[[#This Row],[Acct]]&lt;&gt;"",Jnl[[#This Row],[Item]]&lt;&gt;"",ISNUMBER(Jnl[[#This Row],[Bal]]))</f>
        <v>1</v>
      </c>
      <c r="J248" s="9">
        <f>IF(Jnl[[#This Row],[BSLv0]]="A",1,-1)*Jnl[[#This Row],[Bal]]</f>
        <v>68</v>
      </c>
      <c r="K248" t="str">
        <f>_xlfn.XLOOKUP(Jnl[[#This Row],[Acct]], config_BS[Acct], config_BS[Lv0],,0)</f>
        <v>A</v>
      </c>
      <c r="L248" t="str">
        <f>_xlfn.XLOOKUP(Jnl[[#This Row],[Acct]], config_BS[Acct], config_BS[Lv1],,0)</f>
        <v>Assets</v>
      </c>
      <c r="M248" t="str">
        <f>_xlfn.XLOOKUP(Jnl[[#This Row],[Acct]], config_BS[Acct], config_BS[Lv2],,0)</f>
        <v>Cash alike</v>
      </c>
      <c r="N248" t="str">
        <f>_xlfn.XLOOKUP(Jnl[[#This Row],[TrxId]], Trx[Id], Trx[IncNode], ,0)</f>
        <v>Revenue</v>
      </c>
      <c r="O248" t="str">
        <f>_xlfn.XLOOKUP(Jnl[[#This Row],[IncNode]], config_IS[Node], config_IS[Type],,0)</f>
        <v>Op</v>
      </c>
      <c r="P248" t="str">
        <f>_xlfn.XLOOKUP(Jnl[[#This Row],[BSLv2]], dict[Key], dict[Name],,0)</f>
        <v>0.现金及类似</v>
      </c>
      <c r="Q248" t="str">
        <f>_xlfn.XLOOKUP(Jnl[[#This Row],[Acct]], dict[Key], dict[Name],,0)</f>
        <v>银行</v>
      </c>
      <c r="R248" t="str">
        <f>_xlfn.XLOOKUP(Jnl[[#This Row],[Vehicle]],config_vehicle[Id], config_vehicle[Name],,0)</f>
        <v>创业园-琦</v>
      </c>
      <c r="S248" t="str">
        <f>_xlfn.XLOOKUP(Jnl[[#This Row],[Division]],config_div[Id], config_div[Name],,0)</f>
        <v>网店</v>
      </c>
      <c r="T248" t="str">
        <f>IF(Jnl[[#This Row],[TrxDate]]&lt;=stmt_BS_date_end, "In", "Out")</f>
        <v>In</v>
      </c>
      <c r="U248" t="str">
        <f>IF(Jnl[[#This Row],[TrxDate]]&lt;debug_date_start, "prior", IF(Jnl[[#This Row],[TrxDate]]&gt;debug_date_end, "post", "curr"))</f>
        <v>curr</v>
      </c>
    </row>
    <row r="249" spans="1:21" hidden="1">
      <c r="A249" s="39" t="s">
        <v>1296</v>
      </c>
      <c r="B249" s="6">
        <f>_xlfn.XLOOKUP(Jnl[[#This Row],[TrxId]], Trx[Id], Trx[Date],,0)</f>
        <v>46053</v>
      </c>
      <c r="C249" s="6" t="str">
        <f>_xlfn.XLOOKUP(Jnl[[#This Row],[TrxId]], Trx[Id], Trx[Division],,0)</f>
        <v>MY</v>
      </c>
      <c r="D249" s="6" t="str">
        <f>_xlfn.XLOOKUP(Jnl[[#This Row],[TrxId]], Trx[Id], Trx[Action],,0)</f>
        <v>增值税</v>
      </c>
      <c r="E249" s="27" t="s">
        <v>85</v>
      </c>
      <c r="F249" s="10" t="s">
        <v>130</v>
      </c>
      <c r="G249" s="10" t="s">
        <v>312</v>
      </c>
      <c r="H249" s="37">
        <v>6600</v>
      </c>
      <c r="I249" s="11" t="b">
        <f>AND(Jnl[[#This Row],[TrxId]]&lt;&gt;"",Jnl[[#This Row],[Acct]]&lt;&gt;"",Jnl[[#This Row],[Item]]&lt;&gt;"",ISNUMBER(Jnl[[#This Row],[Bal]]))</f>
        <v>1</v>
      </c>
      <c r="J249" s="9">
        <f>IF(Jnl[[#This Row],[BSLv0]]="A",1,-1)*Jnl[[#This Row],[Bal]]</f>
        <v>-6600</v>
      </c>
      <c r="K249" t="str">
        <f>_xlfn.XLOOKUP(Jnl[[#This Row],[Acct]], config_BS[Acct], config_BS[Lv0],,0)</f>
        <v>LC</v>
      </c>
      <c r="L249" t="str">
        <f>_xlfn.XLOOKUP(Jnl[[#This Row],[Acct]], config_BS[Acct], config_BS[Lv1],,0)</f>
        <v>Liability</v>
      </c>
      <c r="M249" t="str">
        <f>_xlfn.XLOOKUP(Jnl[[#This Row],[Acct]], config_BS[Acct], config_BS[Lv2],,0)</f>
        <v>Rec-Pay</v>
      </c>
      <c r="N249" t="str">
        <f>_xlfn.XLOOKUP(Jnl[[#This Row],[TrxId]], Trx[Id], Trx[IncNode], ,0)</f>
        <v>Cost</v>
      </c>
      <c r="O249" t="str">
        <f>_xlfn.XLOOKUP(Jnl[[#This Row],[IncNode]], config_IS[Node], config_IS[Type],,0)</f>
        <v>Op</v>
      </c>
      <c r="P249" t="str">
        <f>_xlfn.XLOOKUP(Jnl[[#This Row],[BSLv2]], dict[Key], dict[Name],,0)</f>
        <v>1.应收-应付</v>
      </c>
      <c r="Q249" t="str">
        <f>_xlfn.XLOOKUP(Jnl[[#This Row],[Acct]], dict[Key], dict[Name],,0)</f>
        <v>应付-税款</v>
      </c>
      <c r="R249" t="str">
        <f>_xlfn.XLOOKUP(Jnl[[#This Row],[Vehicle]],config_vehicle[Id], config_vehicle[Name],,0)</f>
        <v>远家文化</v>
      </c>
      <c r="S249" t="str">
        <f>_xlfn.XLOOKUP(Jnl[[#This Row],[Division]],config_div[Id], config_div[Name],,0)</f>
        <v>明月村</v>
      </c>
      <c r="T249" t="str">
        <f>IF(Jnl[[#This Row],[TrxDate]]&lt;=stmt_BS_date_end, "In", "Out")</f>
        <v>In</v>
      </c>
      <c r="U249" t="str">
        <f>IF(Jnl[[#This Row],[TrxDate]]&lt;debug_date_start, "prior", IF(Jnl[[#This Row],[TrxDate]]&gt;debug_date_end, "post", "curr"))</f>
        <v>curr</v>
      </c>
    </row>
    <row r="250" spans="1:21" hidden="1">
      <c r="A250" s="39" t="s">
        <v>418</v>
      </c>
      <c r="B250" s="6">
        <f>_xlfn.XLOOKUP(Jnl[[#This Row],[TrxId]], Trx[Id], Trx[Date],,0)</f>
        <v>46053</v>
      </c>
      <c r="C250" s="6" t="str">
        <f>_xlfn.XLOOKUP(Jnl[[#This Row],[TrxId]], Trx[Id], Trx[Division],,0)</f>
        <v>Ctrl</v>
      </c>
      <c r="D250" s="6" t="str">
        <f>_xlfn.XLOOKUP(Jnl[[#This Row],[TrxId]], Trx[Id], Trx[Action],,0)</f>
        <v>过账</v>
      </c>
      <c r="E250" s="27" t="s">
        <v>95</v>
      </c>
      <c r="F250" s="10" t="s">
        <v>12</v>
      </c>
      <c r="G250" s="10" t="s">
        <v>398</v>
      </c>
      <c r="H250" s="37">
        <v>500000</v>
      </c>
      <c r="I250" s="11" t="b">
        <f>AND(Jnl[[#This Row],[TrxId]]&lt;&gt;"",Jnl[[#This Row],[Acct]]&lt;&gt;"",Jnl[[#This Row],[Item]]&lt;&gt;"",ISNUMBER(Jnl[[#This Row],[Bal]]))</f>
        <v>1</v>
      </c>
      <c r="J250" s="9">
        <f>IF(Jnl[[#This Row],[BSLv0]]="A",1,-1)*Jnl[[#This Row],[Bal]]</f>
        <v>500000</v>
      </c>
      <c r="K250" t="str">
        <f>_xlfn.XLOOKUP(Jnl[[#This Row],[Acct]], config_BS[Acct], config_BS[Lv0],,0)</f>
        <v>A</v>
      </c>
      <c r="L250" t="str">
        <f>_xlfn.XLOOKUP(Jnl[[#This Row],[Acct]], config_BS[Acct], config_BS[Lv1],,0)</f>
        <v>Assets</v>
      </c>
      <c r="M250" t="str">
        <f>_xlfn.XLOOKUP(Jnl[[#This Row],[Acct]], config_BS[Acct], config_BS[Lv2],,0)</f>
        <v>Cash alike</v>
      </c>
      <c r="N250" t="str">
        <f>_xlfn.XLOOKUP(Jnl[[#This Row],[TrxId]], Trx[Id], Trx[IncNode], ,0)</f>
        <v>Other</v>
      </c>
      <c r="O250" t="str">
        <f>_xlfn.XLOOKUP(Jnl[[#This Row],[IncNode]], config_IS[Node], config_IS[Type],,0)</f>
        <v>Non-Op</v>
      </c>
      <c r="P250" t="str">
        <f>_xlfn.XLOOKUP(Jnl[[#This Row],[BSLv2]], dict[Key], dict[Name],,0)</f>
        <v>0.现金及类似</v>
      </c>
      <c r="Q250" t="str">
        <f>_xlfn.XLOOKUP(Jnl[[#This Row],[Acct]], dict[Key], dict[Name],,0)</f>
        <v>银行</v>
      </c>
      <c r="R250" t="str">
        <f>_xlfn.XLOOKUP(Jnl[[#This Row],[Vehicle]],config_vehicle[Id], config_vehicle[Name],,0)</f>
        <v>创业园-琦</v>
      </c>
      <c r="S250" t="str">
        <f>_xlfn.XLOOKUP(Jnl[[#This Row],[Division]],config_div[Id], config_div[Name],,0)</f>
        <v>内控合规</v>
      </c>
      <c r="T250" t="str">
        <f>IF(Jnl[[#This Row],[TrxDate]]&lt;=stmt_BS_date_end, "In", "Out")</f>
        <v>In</v>
      </c>
      <c r="U250" t="str">
        <f>IF(Jnl[[#This Row],[TrxDate]]&lt;debug_date_start, "prior", IF(Jnl[[#This Row],[TrxDate]]&gt;debug_date_end, "post", "curr"))</f>
        <v>curr</v>
      </c>
    </row>
    <row r="251" spans="1:21" hidden="1">
      <c r="A251" s="39" t="s">
        <v>418</v>
      </c>
      <c r="B251" s="6">
        <f>_xlfn.XLOOKUP(Jnl[[#This Row],[TrxId]], Trx[Id], Trx[Date],,0)</f>
        <v>46053</v>
      </c>
      <c r="C251" s="6" t="str">
        <f>_xlfn.XLOOKUP(Jnl[[#This Row],[TrxId]], Trx[Id], Trx[Division],,0)</f>
        <v>Ctrl</v>
      </c>
      <c r="D251" s="6" t="str">
        <f>_xlfn.XLOOKUP(Jnl[[#This Row],[TrxId]], Trx[Id], Trx[Action],,0)</f>
        <v>过账</v>
      </c>
      <c r="E251" s="27" t="s">
        <v>83</v>
      </c>
      <c r="F251" s="10" t="s">
        <v>12</v>
      </c>
      <c r="G251" s="10" t="s">
        <v>397</v>
      </c>
      <c r="H251" s="37">
        <v>-500000</v>
      </c>
      <c r="I251" s="11" t="b">
        <f>AND(Jnl[[#This Row],[TrxId]]&lt;&gt;"",Jnl[[#This Row],[Acct]]&lt;&gt;"",Jnl[[#This Row],[Item]]&lt;&gt;"",ISNUMBER(Jnl[[#This Row],[Bal]]))</f>
        <v>1</v>
      </c>
      <c r="J251" s="9">
        <f>IF(Jnl[[#This Row],[BSLv0]]="A",1,-1)*Jnl[[#This Row],[Bal]]</f>
        <v>-500000</v>
      </c>
      <c r="K251" t="str">
        <f>_xlfn.XLOOKUP(Jnl[[#This Row],[Acct]], config_BS[Acct], config_BS[Lv0],,0)</f>
        <v>A</v>
      </c>
      <c r="L251" t="str">
        <f>_xlfn.XLOOKUP(Jnl[[#This Row],[Acct]], config_BS[Acct], config_BS[Lv1],,0)</f>
        <v>Assets</v>
      </c>
      <c r="M251" t="str">
        <f>_xlfn.XLOOKUP(Jnl[[#This Row],[Acct]], config_BS[Acct], config_BS[Lv2],,0)</f>
        <v>Cash alike</v>
      </c>
      <c r="N251" t="str">
        <f>_xlfn.XLOOKUP(Jnl[[#This Row],[TrxId]], Trx[Id], Trx[IncNode], ,0)</f>
        <v>Other</v>
      </c>
      <c r="O251" t="str">
        <f>_xlfn.XLOOKUP(Jnl[[#This Row],[IncNode]], config_IS[Node], config_IS[Type],,0)</f>
        <v>Non-Op</v>
      </c>
      <c r="P251" t="str">
        <f>_xlfn.XLOOKUP(Jnl[[#This Row],[BSLv2]], dict[Key], dict[Name],,0)</f>
        <v>0.现金及类似</v>
      </c>
      <c r="Q251" t="str">
        <f>_xlfn.XLOOKUP(Jnl[[#This Row],[Acct]], dict[Key], dict[Name],,0)</f>
        <v>银行</v>
      </c>
      <c r="R251" t="str">
        <f>_xlfn.XLOOKUP(Jnl[[#This Row],[Vehicle]],config_vehicle[Id], config_vehicle[Name],,0)</f>
        <v>喜家文化</v>
      </c>
      <c r="S251" t="str">
        <f>_xlfn.XLOOKUP(Jnl[[#This Row],[Division]],config_div[Id], config_div[Name],,0)</f>
        <v>内控合规</v>
      </c>
      <c r="T251" t="str">
        <f>IF(Jnl[[#This Row],[TrxDate]]&lt;=stmt_BS_date_end, "In", "Out")</f>
        <v>In</v>
      </c>
      <c r="U251" t="str">
        <f>IF(Jnl[[#This Row],[TrxDate]]&lt;debug_date_start, "prior", IF(Jnl[[#This Row],[TrxDate]]&gt;debug_date_end, "post", "curr"))</f>
        <v>curr</v>
      </c>
    </row>
    <row r="252" spans="1:21" hidden="1">
      <c r="A252" s="39" t="s">
        <v>420</v>
      </c>
      <c r="B252" s="6">
        <f>_xlfn.XLOOKUP(Jnl[[#This Row],[TrxId]], Trx[Id], Trx[Date],,0)</f>
        <v>46053</v>
      </c>
      <c r="C252" s="6" t="str">
        <f>_xlfn.XLOOKUP(Jnl[[#This Row],[TrxId]], Trx[Id], Trx[Division],,0)</f>
        <v>Online</v>
      </c>
      <c r="D252" s="6" t="str">
        <f>_xlfn.XLOOKUP(Jnl[[#This Row],[TrxId]], Trx[Id], Trx[Action],,0)</f>
        <v>退款-供应商</v>
      </c>
      <c r="E252" s="27" t="s">
        <v>95</v>
      </c>
      <c r="F252" s="10" t="s">
        <v>12</v>
      </c>
      <c r="G252" s="10" t="s">
        <v>398</v>
      </c>
      <c r="H252" s="37">
        <v>40.5</v>
      </c>
      <c r="I252" s="11" t="b">
        <f>AND(Jnl[[#This Row],[TrxId]]&lt;&gt;"",Jnl[[#This Row],[Acct]]&lt;&gt;"",Jnl[[#This Row],[Item]]&lt;&gt;"",ISNUMBER(Jnl[[#This Row],[Bal]]))</f>
        <v>1</v>
      </c>
      <c r="J252" s="9">
        <f>IF(Jnl[[#This Row],[BSLv0]]="A",1,-1)*Jnl[[#This Row],[Bal]]</f>
        <v>40.5</v>
      </c>
      <c r="K252" t="str">
        <f>_xlfn.XLOOKUP(Jnl[[#This Row],[Acct]], config_BS[Acct], config_BS[Lv0],,0)</f>
        <v>A</v>
      </c>
      <c r="L252" t="str">
        <f>_xlfn.XLOOKUP(Jnl[[#This Row],[Acct]], config_BS[Acct], config_BS[Lv1],,0)</f>
        <v>Assets</v>
      </c>
      <c r="M252" t="str">
        <f>_xlfn.XLOOKUP(Jnl[[#This Row],[Acct]], config_BS[Acct], config_BS[Lv2],,0)</f>
        <v>Cash alike</v>
      </c>
      <c r="N252" t="str">
        <f>_xlfn.XLOOKUP(Jnl[[#This Row],[TrxId]], Trx[Id], Trx[IncNode], ,0)</f>
        <v>Cost</v>
      </c>
      <c r="O252" t="str">
        <f>_xlfn.XLOOKUP(Jnl[[#This Row],[IncNode]], config_IS[Node], config_IS[Type],,0)</f>
        <v>Op</v>
      </c>
      <c r="P252" t="str">
        <f>_xlfn.XLOOKUP(Jnl[[#This Row],[BSLv2]], dict[Key], dict[Name],,0)</f>
        <v>0.现金及类似</v>
      </c>
      <c r="Q252" t="str">
        <f>_xlfn.XLOOKUP(Jnl[[#This Row],[Acct]], dict[Key], dict[Name],,0)</f>
        <v>银行</v>
      </c>
      <c r="R252" t="str">
        <f>_xlfn.XLOOKUP(Jnl[[#This Row],[Vehicle]],config_vehicle[Id], config_vehicle[Name],,0)</f>
        <v>创业园-琦</v>
      </c>
      <c r="S252" t="str">
        <f>_xlfn.XLOOKUP(Jnl[[#This Row],[Division]],config_div[Id], config_div[Name],,0)</f>
        <v>网店</v>
      </c>
      <c r="T252" t="str">
        <f>IF(Jnl[[#This Row],[TrxDate]]&lt;=stmt_BS_date_end, "In", "Out")</f>
        <v>In</v>
      </c>
      <c r="U252" t="str">
        <f>IF(Jnl[[#This Row],[TrxDate]]&lt;debug_date_start, "prior", IF(Jnl[[#This Row],[TrxDate]]&gt;debug_date_end, "post", "curr"))</f>
        <v>curr</v>
      </c>
    </row>
    <row r="253" spans="1:21" hidden="1">
      <c r="A253" s="39" t="s">
        <v>422</v>
      </c>
      <c r="B253" s="6">
        <f>_xlfn.XLOOKUP(Jnl[[#This Row],[TrxId]], Trx[Id], Trx[Date],,0)</f>
        <v>46053</v>
      </c>
      <c r="C253" s="6" t="str">
        <f>_xlfn.XLOOKUP(Jnl[[#This Row],[TrxId]], Trx[Id], Trx[Division],,0)</f>
        <v>Ctrl</v>
      </c>
      <c r="D253" s="6" t="str">
        <f>_xlfn.XLOOKUP(Jnl[[#This Row],[TrxId]], Trx[Id], Trx[Action],,0)</f>
        <v>找票</v>
      </c>
      <c r="E253" s="27" t="s">
        <v>95</v>
      </c>
      <c r="F253" s="10" t="s">
        <v>12</v>
      </c>
      <c r="G253" s="10" t="s">
        <v>398</v>
      </c>
      <c r="H253" s="37">
        <v>-8000</v>
      </c>
      <c r="I253" s="11" t="b">
        <f>AND(Jnl[[#This Row],[TrxId]]&lt;&gt;"",Jnl[[#This Row],[Acct]]&lt;&gt;"",Jnl[[#This Row],[Item]]&lt;&gt;"",ISNUMBER(Jnl[[#This Row],[Bal]]))</f>
        <v>1</v>
      </c>
      <c r="J253" s="9">
        <f>IF(Jnl[[#This Row],[BSLv0]]="A",1,-1)*Jnl[[#This Row],[Bal]]</f>
        <v>-8000</v>
      </c>
      <c r="K253" t="str">
        <f>_xlfn.XLOOKUP(Jnl[[#This Row],[Acct]], config_BS[Acct], config_BS[Lv0],,0)</f>
        <v>A</v>
      </c>
      <c r="L253" t="str">
        <f>_xlfn.XLOOKUP(Jnl[[#This Row],[Acct]], config_BS[Acct], config_BS[Lv1],,0)</f>
        <v>Assets</v>
      </c>
      <c r="M253" t="str">
        <f>_xlfn.XLOOKUP(Jnl[[#This Row],[Acct]], config_BS[Acct], config_BS[Lv2],,0)</f>
        <v>Cash alike</v>
      </c>
      <c r="N253" t="str">
        <f>_xlfn.XLOOKUP(Jnl[[#This Row],[TrxId]], Trx[Id], Trx[IncNode], ,0)</f>
        <v>Expense</v>
      </c>
      <c r="O253" t="str">
        <f>_xlfn.XLOOKUP(Jnl[[#This Row],[IncNode]], config_IS[Node], config_IS[Type],,0)</f>
        <v>Op</v>
      </c>
      <c r="P253" t="str">
        <f>_xlfn.XLOOKUP(Jnl[[#This Row],[BSLv2]], dict[Key], dict[Name],,0)</f>
        <v>0.现金及类似</v>
      </c>
      <c r="Q253" t="str">
        <f>_xlfn.XLOOKUP(Jnl[[#This Row],[Acct]], dict[Key], dict[Name],,0)</f>
        <v>银行</v>
      </c>
      <c r="R253" t="str">
        <f>_xlfn.XLOOKUP(Jnl[[#This Row],[Vehicle]],config_vehicle[Id], config_vehicle[Name],,0)</f>
        <v>创业园-琦</v>
      </c>
      <c r="S253" t="str">
        <f>_xlfn.XLOOKUP(Jnl[[#This Row],[Division]],config_div[Id], config_div[Name],,0)</f>
        <v>内控合规</v>
      </c>
      <c r="T253" t="str">
        <f>IF(Jnl[[#This Row],[TrxDate]]&lt;=stmt_BS_date_end, "In", "Out")</f>
        <v>In</v>
      </c>
      <c r="U253" t="str">
        <f>IF(Jnl[[#This Row],[TrxDate]]&lt;debug_date_start, "prior", IF(Jnl[[#This Row],[TrxDate]]&gt;debug_date_end, "post", "curr"))</f>
        <v>curr</v>
      </c>
    </row>
    <row r="254" spans="1:21" hidden="1">
      <c r="A254" s="39" t="s">
        <v>424</v>
      </c>
      <c r="B254" s="6">
        <f>_xlfn.XLOOKUP(Jnl[[#This Row],[TrxId]], Trx[Id], Trx[Date],,0)</f>
        <v>46053</v>
      </c>
      <c r="C254" s="6" t="str">
        <f>_xlfn.XLOOKUP(Jnl[[#This Row],[TrxId]], Trx[Id], Trx[Division],,0)</f>
        <v>Ctrl</v>
      </c>
      <c r="D254" s="6" t="str">
        <f>_xlfn.XLOOKUP(Jnl[[#This Row],[TrxId]], Trx[Id], Trx[Action],,0)</f>
        <v>过账</v>
      </c>
      <c r="E254" s="27" t="s">
        <v>95</v>
      </c>
      <c r="F254" s="10" t="s">
        <v>12</v>
      </c>
      <c r="G254" s="10" t="s">
        <v>398</v>
      </c>
      <c r="H254" s="37">
        <v>84100</v>
      </c>
      <c r="I254" s="11" t="b">
        <f>AND(Jnl[[#This Row],[TrxId]]&lt;&gt;"",Jnl[[#This Row],[Acct]]&lt;&gt;"",Jnl[[#This Row],[Item]]&lt;&gt;"",ISNUMBER(Jnl[[#This Row],[Bal]]))</f>
        <v>1</v>
      </c>
      <c r="J254" s="9">
        <f>IF(Jnl[[#This Row],[BSLv0]]="A",1,-1)*Jnl[[#This Row],[Bal]]</f>
        <v>84100</v>
      </c>
      <c r="K254" t="str">
        <f>_xlfn.XLOOKUP(Jnl[[#This Row],[Acct]], config_BS[Acct], config_BS[Lv0],,0)</f>
        <v>A</v>
      </c>
      <c r="L254" t="str">
        <f>_xlfn.XLOOKUP(Jnl[[#This Row],[Acct]], config_BS[Acct], config_BS[Lv1],,0)</f>
        <v>Assets</v>
      </c>
      <c r="M254" t="str">
        <f>_xlfn.XLOOKUP(Jnl[[#This Row],[Acct]], config_BS[Acct], config_BS[Lv2],,0)</f>
        <v>Cash alike</v>
      </c>
      <c r="N254" t="str">
        <f>_xlfn.XLOOKUP(Jnl[[#This Row],[TrxId]], Trx[Id], Trx[IncNode], ,0)</f>
        <v>Other</v>
      </c>
      <c r="O254" t="str">
        <f>_xlfn.XLOOKUP(Jnl[[#This Row],[IncNode]], config_IS[Node], config_IS[Type],,0)</f>
        <v>Non-Op</v>
      </c>
      <c r="P254" t="str">
        <f>_xlfn.XLOOKUP(Jnl[[#This Row],[BSLv2]], dict[Key], dict[Name],,0)</f>
        <v>0.现金及类似</v>
      </c>
      <c r="Q254" t="str">
        <f>_xlfn.XLOOKUP(Jnl[[#This Row],[Acct]], dict[Key], dict[Name],,0)</f>
        <v>银行</v>
      </c>
      <c r="R254" t="str">
        <f>_xlfn.XLOOKUP(Jnl[[#This Row],[Vehicle]],config_vehicle[Id], config_vehicle[Name],,0)</f>
        <v>创业园-琦</v>
      </c>
      <c r="S254" t="str">
        <f>_xlfn.XLOOKUP(Jnl[[#This Row],[Division]],config_div[Id], config_div[Name],,0)</f>
        <v>内控合规</v>
      </c>
      <c r="T254" t="str">
        <f>IF(Jnl[[#This Row],[TrxDate]]&lt;=stmt_BS_date_end, "In", "Out")</f>
        <v>In</v>
      </c>
      <c r="U254" t="str">
        <f>IF(Jnl[[#This Row],[TrxDate]]&lt;debug_date_start, "prior", IF(Jnl[[#This Row],[TrxDate]]&gt;debug_date_end, "post", "curr"))</f>
        <v>curr</v>
      </c>
    </row>
    <row r="255" spans="1:21" hidden="1">
      <c r="A255" s="39" t="s">
        <v>424</v>
      </c>
      <c r="B255" s="6">
        <f>_xlfn.XLOOKUP(Jnl[[#This Row],[TrxId]], Trx[Id], Trx[Date],,0)</f>
        <v>46053</v>
      </c>
      <c r="C255" s="6" t="str">
        <f>_xlfn.XLOOKUP(Jnl[[#This Row],[TrxId]], Trx[Id], Trx[Division],,0)</f>
        <v>Ctrl</v>
      </c>
      <c r="D255" s="6" t="str">
        <f>_xlfn.XLOOKUP(Jnl[[#This Row],[TrxId]], Trx[Id], Trx[Action],,0)</f>
        <v>过账</v>
      </c>
      <c r="E255" s="27" t="s">
        <v>88</v>
      </c>
      <c r="F255" s="10" t="s">
        <v>12</v>
      </c>
      <c r="G255" s="10" t="s">
        <v>104</v>
      </c>
      <c r="H255" s="37">
        <v>-84100</v>
      </c>
      <c r="I255" s="11" t="b">
        <f>AND(Jnl[[#This Row],[TrxId]]&lt;&gt;"",Jnl[[#This Row],[Acct]]&lt;&gt;"",Jnl[[#This Row],[Item]]&lt;&gt;"",ISNUMBER(Jnl[[#This Row],[Bal]]))</f>
        <v>1</v>
      </c>
      <c r="J255" s="9">
        <f>IF(Jnl[[#This Row],[BSLv0]]="A",1,-1)*Jnl[[#This Row],[Bal]]</f>
        <v>-84100</v>
      </c>
      <c r="K255" t="str">
        <f>_xlfn.XLOOKUP(Jnl[[#This Row],[Acct]], config_BS[Acct], config_BS[Lv0],,0)</f>
        <v>A</v>
      </c>
      <c r="L255" t="str">
        <f>_xlfn.XLOOKUP(Jnl[[#This Row],[Acct]], config_BS[Acct], config_BS[Lv1],,0)</f>
        <v>Assets</v>
      </c>
      <c r="M255" t="str">
        <f>_xlfn.XLOOKUP(Jnl[[#This Row],[Acct]], config_BS[Acct], config_BS[Lv2],,0)</f>
        <v>Cash alike</v>
      </c>
      <c r="N255" t="str">
        <f>_xlfn.XLOOKUP(Jnl[[#This Row],[TrxId]], Trx[Id], Trx[IncNode], ,0)</f>
        <v>Other</v>
      </c>
      <c r="O255" t="str">
        <f>_xlfn.XLOOKUP(Jnl[[#This Row],[IncNode]], config_IS[Node], config_IS[Type],,0)</f>
        <v>Non-Op</v>
      </c>
      <c r="P255" t="str">
        <f>_xlfn.XLOOKUP(Jnl[[#This Row],[BSLv2]], dict[Key], dict[Name],,0)</f>
        <v>0.现金及类似</v>
      </c>
      <c r="Q255" t="str">
        <f>_xlfn.XLOOKUP(Jnl[[#This Row],[Acct]], dict[Key], dict[Name],,0)</f>
        <v>银行</v>
      </c>
      <c r="R255" t="str">
        <f>_xlfn.XLOOKUP(Jnl[[#This Row],[Vehicle]],config_vehicle[Id], config_vehicle[Name],,0)</f>
        <v>张小喜</v>
      </c>
      <c r="S255" t="str">
        <f>_xlfn.XLOOKUP(Jnl[[#This Row],[Division]],config_div[Id], config_div[Name],,0)</f>
        <v>内控合规</v>
      </c>
      <c r="T255" t="str">
        <f>IF(Jnl[[#This Row],[TrxDate]]&lt;=stmt_BS_date_end, "In", "Out")</f>
        <v>In</v>
      </c>
      <c r="U255" t="str">
        <f>IF(Jnl[[#This Row],[TrxDate]]&lt;debug_date_start, "prior", IF(Jnl[[#This Row],[TrxDate]]&gt;debug_date_end, "post", "curr"))</f>
        <v>curr</v>
      </c>
    </row>
    <row r="256" spans="1:21" hidden="1">
      <c r="A256" s="39" t="s">
        <v>425</v>
      </c>
      <c r="B256" s="6">
        <f>_xlfn.XLOOKUP(Jnl[[#This Row],[TrxId]], Trx[Id], Trx[Date],,0)</f>
        <v>46053</v>
      </c>
      <c r="C256" s="6" t="str">
        <f>_xlfn.XLOOKUP(Jnl[[#This Row],[TrxId]], Trx[Id], Trx[Division],,0)</f>
        <v>Online</v>
      </c>
      <c r="D256" s="6" t="str">
        <f>_xlfn.XLOOKUP(Jnl[[#This Row],[TrxId]], Trx[Id], Trx[Action],,0)</f>
        <v>其他销售</v>
      </c>
      <c r="E256" s="27" t="s">
        <v>95</v>
      </c>
      <c r="F256" s="10" t="s">
        <v>12</v>
      </c>
      <c r="G256" s="10" t="s">
        <v>398</v>
      </c>
      <c r="H256" s="37">
        <v>60</v>
      </c>
      <c r="I256" s="11" t="b">
        <f>AND(Jnl[[#This Row],[TrxId]]&lt;&gt;"",Jnl[[#This Row],[Acct]]&lt;&gt;"",Jnl[[#This Row],[Item]]&lt;&gt;"",ISNUMBER(Jnl[[#This Row],[Bal]]))</f>
        <v>1</v>
      </c>
      <c r="J256" s="9">
        <f>IF(Jnl[[#This Row],[BSLv0]]="A",1,-1)*Jnl[[#This Row],[Bal]]</f>
        <v>60</v>
      </c>
      <c r="K256" t="str">
        <f>_xlfn.XLOOKUP(Jnl[[#This Row],[Acct]], config_BS[Acct], config_BS[Lv0],,0)</f>
        <v>A</v>
      </c>
      <c r="L256" t="str">
        <f>_xlfn.XLOOKUP(Jnl[[#This Row],[Acct]], config_BS[Acct], config_BS[Lv1],,0)</f>
        <v>Assets</v>
      </c>
      <c r="M256" t="str">
        <f>_xlfn.XLOOKUP(Jnl[[#This Row],[Acct]], config_BS[Acct], config_BS[Lv2],,0)</f>
        <v>Cash alike</v>
      </c>
      <c r="N256" t="str">
        <f>_xlfn.XLOOKUP(Jnl[[#This Row],[TrxId]], Trx[Id], Trx[IncNode], ,0)</f>
        <v>Revenue</v>
      </c>
      <c r="O256" t="str">
        <f>_xlfn.XLOOKUP(Jnl[[#This Row],[IncNode]], config_IS[Node], config_IS[Type],,0)</f>
        <v>Op</v>
      </c>
      <c r="P256" t="str">
        <f>_xlfn.XLOOKUP(Jnl[[#This Row],[BSLv2]], dict[Key], dict[Name],,0)</f>
        <v>0.现金及类似</v>
      </c>
      <c r="Q256" t="str">
        <f>_xlfn.XLOOKUP(Jnl[[#This Row],[Acct]], dict[Key], dict[Name],,0)</f>
        <v>银行</v>
      </c>
      <c r="R256" t="str">
        <f>_xlfn.XLOOKUP(Jnl[[#This Row],[Vehicle]],config_vehicle[Id], config_vehicle[Name],,0)</f>
        <v>创业园-琦</v>
      </c>
      <c r="S256" t="str">
        <f>_xlfn.XLOOKUP(Jnl[[#This Row],[Division]],config_div[Id], config_div[Name],,0)</f>
        <v>网店</v>
      </c>
      <c r="T256" t="str">
        <f>IF(Jnl[[#This Row],[TrxDate]]&lt;=stmt_BS_date_end, "In", "Out")</f>
        <v>In</v>
      </c>
      <c r="U256" t="str">
        <f>IF(Jnl[[#This Row],[TrxDate]]&lt;debug_date_start, "prior", IF(Jnl[[#This Row],[TrxDate]]&gt;debug_date_end, "post", "curr"))</f>
        <v>curr</v>
      </c>
    </row>
    <row r="257" spans="1:21" hidden="1">
      <c r="A257" s="39" t="s">
        <v>426</v>
      </c>
      <c r="B257" s="6">
        <f>_xlfn.XLOOKUP(Jnl[[#This Row],[TrxId]], Trx[Id], Trx[Date],,0)</f>
        <v>46053</v>
      </c>
      <c r="C257" s="6" t="str">
        <f>_xlfn.XLOOKUP(Jnl[[#This Row],[TrxId]], Trx[Id], Trx[Division],,0)</f>
        <v>Ctrl</v>
      </c>
      <c r="D257" s="6" t="str">
        <f>_xlfn.XLOOKUP(Jnl[[#This Row],[TrxId]], Trx[Id], Trx[Action],,0)</f>
        <v>内部结算</v>
      </c>
      <c r="E257" s="27" t="s">
        <v>95</v>
      </c>
      <c r="F257" s="10" t="s">
        <v>12</v>
      </c>
      <c r="G257" s="10" t="s">
        <v>398</v>
      </c>
      <c r="H257" s="37">
        <v>25204.7</v>
      </c>
      <c r="I257" s="11" t="b">
        <f>AND(Jnl[[#This Row],[TrxId]]&lt;&gt;"",Jnl[[#This Row],[Acct]]&lt;&gt;"",Jnl[[#This Row],[Item]]&lt;&gt;"",ISNUMBER(Jnl[[#This Row],[Bal]]))</f>
        <v>1</v>
      </c>
      <c r="J257" s="9">
        <f>IF(Jnl[[#This Row],[BSLv0]]="A",1,-1)*Jnl[[#This Row],[Bal]]</f>
        <v>25204.7</v>
      </c>
      <c r="K257" t="str">
        <f>_xlfn.XLOOKUP(Jnl[[#This Row],[Acct]], config_BS[Acct], config_BS[Lv0],,0)</f>
        <v>A</v>
      </c>
      <c r="L257" t="str">
        <f>_xlfn.XLOOKUP(Jnl[[#This Row],[Acct]], config_BS[Acct], config_BS[Lv1],,0)</f>
        <v>Assets</v>
      </c>
      <c r="M257" t="str">
        <f>_xlfn.XLOOKUP(Jnl[[#This Row],[Acct]], config_BS[Acct], config_BS[Lv2],,0)</f>
        <v>Cash alike</v>
      </c>
      <c r="N257" t="str">
        <f>_xlfn.XLOOKUP(Jnl[[#This Row],[TrxId]], Trx[Id], Trx[IncNode], ,0)</f>
        <v>Other</v>
      </c>
      <c r="O257" t="str">
        <f>_xlfn.XLOOKUP(Jnl[[#This Row],[IncNode]], config_IS[Node], config_IS[Type],,0)</f>
        <v>Non-Op</v>
      </c>
      <c r="P257" t="str">
        <f>_xlfn.XLOOKUP(Jnl[[#This Row],[BSLv2]], dict[Key], dict[Name],,0)</f>
        <v>0.现金及类似</v>
      </c>
      <c r="Q257" t="str">
        <f>_xlfn.XLOOKUP(Jnl[[#This Row],[Acct]], dict[Key], dict[Name],,0)</f>
        <v>银行</v>
      </c>
      <c r="R257" t="str">
        <f>_xlfn.XLOOKUP(Jnl[[#This Row],[Vehicle]],config_vehicle[Id], config_vehicle[Name],,0)</f>
        <v>创业园-琦</v>
      </c>
      <c r="S257" t="str">
        <f>_xlfn.XLOOKUP(Jnl[[#This Row],[Division]],config_div[Id], config_div[Name],,0)</f>
        <v>内控合规</v>
      </c>
      <c r="T257" t="str">
        <f>IF(Jnl[[#This Row],[TrxDate]]&lt;=stmt_BS_date_end, "In", "Out")</f>
        <v>In</v>
      </c>
      <c r="U257" t="str">
        <f>IF(Jnl[[#This Row],[TrxDate]]&lt;debug_date_start, "prior", IF(Jnl[[#This Row],[TrxDate]]&gt;debug_date_end, "post", "curr"))</f>
        <v>curr</v>
      </c>
    </row>
    <row r="258" spans="1:21" hidden="1">
      <c r="A258" s="39" t="s">
        <v>426</v>
      </c>
      <c r="B258" s="6">
        <f>_xlfn.XLOOKUP(Jnl[[#This Row],[TrxId]], Trx[Id], Trx[Date],,0)</f>
        <v>46053</v>
      </c>
      <c r="C258" s="6" t="str">
        <f>_xlfn.XLOOKUP(Jnl[[#This Row],[TrxId]], Trx[Id], Trx[Division],,0)</f>
        <v>Ctrl</v>
      </c>
      <c r="D258" s="6" t="str">
        <f>_xlfn.XLOOKUP(Jnl[[#This Row],[TrxId]], Trx[Id], Trx[Action],,0)</f>
        <v>内部结算</v>
      </c>
      <c r="E258" s="27" t="s">
        <v>95</v>
      </c>
      <c r="F258" s="10" t="s">
        <v>115</v>
      </c>
      <c r="G258" s="10" t="s">
        <v>915</v>
      </c>
      <c r="H258" s="37">
        <v>-25204.7</v>
      </c>
      <c r="I258" s="11" t="b">
        <f>AND(Jnl[[#This Row],[TrxId]]&lt;&gt;"",Jnl[[#This Row],[Acct]]&lt;&gt;"",Jnl[[#This Row],[Item]]&lt;&gt;"",ISNUMBER(Jnl[[#This Row],[Bal]]))</f>
        <v>1</v>
      </c>
      <c r="J258" s="9">
        <f>IF(Jnl[[#This Row],[BSLv0]]="A",1,-1)*Jnl[[#This Row],[Bal]]</f>
        <v>-25204.7</v>
      </c>
      <c r="K258" t="str">
        <f>_xlfn.XLOOKUP(Jnl[[#This Row],[Acct]], config_BS[Acct], config_BS[Lv0],,0)</f>
        <v>A</v>
      </c>
      <c r="L258" t="str">
        <f>_xlfn.XLOOKUP(Jnl[[#This Row],[Acct]], config_BS[Acct], config_BS[Lv1],,0)</f>
        <v>Assets</v>
      </c>
      <c r="M258" t="str">
        <f>_xlfn.XLOOKUP(Jnl[[#This Row],[Acct]], config_BS[Acct], config_BS[Lv2],,0)</f>
        <v>Rec-Pay</v>
      </c>
      <c r="N258" t="str">
        <f>_xlfn.XLOOKUP(Jnl[[#This Row],[TrxId]], Trx[Id], Trx[IncNode], ,0)</f>
        <v>Other</v>
      </c>
      <c r="O258" t="str">
        <f>_xlfn.XLOOKUP(Jnl[[#This Row],[IncNode]], config_IS[Node], config_IS[Type],,0)</f>
        <v>Non-Op</v>
      </c>
      <c r="P258" t="str">
        <f>_xlfn.XLOOKUP(Jnl[[#This Row],[BSLv2]], dict[Key], dict[Name],,0)</f>
        <v>1.应收-应付</v>
      </c>
      <c r="Q258" t="str">
        <f>_xlfn.XLOOKUP(Jnl[[#This Row],[Acct]], dict[Key], dict[Name],,0)</f>
        <v>应收-一般</v>
      </c>
      <c r="R258" t="str">
        <f>_xlfn.XLOOKUP(Jnl[[#This Row],[Vehicle]],config_vehicle[Id], config_vehicle[Name],,0)</f>
        <v>创业园-琦</v>
      </c>
      <c r="S258" t="str">
        <f>_xlfn.XLOOKUP(Jnl[[#This Row],[Division]],config_div[Id], config_div[Name],,0)</f>
        <v>内控合规</v>
      </c>
      <c r="T258" t="str">
        <f>IF(Jnl[[#This Row],[TrxDate]]&lt;=stmt_BS_date_end, "In", "Out")</f>
        <v>In</v>
      </c>
      <c r="U258" t="str">
        <f>IF(Jnl[[#This Row],[TrxDate]]&lt;debug_date_start, "prior", IF(Jnl[[#This Row],[TrxDate]]&gt;debug_date_end, "post", "curr"))</f>
        <v>curr</v>
      </c>
    </row>
    <row r="259" spans="1:21" hidden="1">
      <c r="A259" s="39" t="s">
        <v>429</v>
      </c>
      <c r="B259" s="6">
        <f>_xlfn.XLOOKUP(Jnl[[#This Row],[TrxId]], Trx[Id], Trx[Date],,0)</f>
        <v>46053</v>
      </c>
      <c r="C259" s="6" t="str">
        <f>_xlfn.XLOOKUP(Jnl[[#This Row],[TrxId]], Trx[Id], Trx[Division],,0)</f>
        <v>GM</v>
      </c>
      <c r="D259" s="6" t="str">
        <f>_xlfn.XLOOKUP(Jnl[[#This Row],[TrxId]], Trx[Id], Trx[Action],,0)</f>
        <v>薪酬-社保</v>
      </c>
      <c r="E259" s="27" t="s">
        <v>113</v>
      </c>
      <c r="F259" s="10" t="s">
        <v>12</v>
      </c>
      <c r="G259" s="10" t="s">
        <v>487</v>
      </c>
      <c r="H259" s="37">
        <v>-11465.37</v>
      </c>
      <c r="I259" s="11" t="b">
        <f>AND(Jnl[[#This Row],[TrxId]]&lt;&gt;"",Jnl[[#This Row],[Acct]]&lt;&gt;"",Jnl[[#This Row],[Item]]&lt;&gt;"",ISNUMBER(Jnl[[#This Row],[Bal]]))</f>
        <v>1</v>
      </c>
      <c r="J259" s="9">
        <f>IF(Jnl[[#This Row],[BSLv0]]="A",1,-1)*Jnl[[#This Row],[Bal]]</f>
        <v>-11465.37</v>
      </c>
      <c r="K259" t="str">
        <f>_xlfn.XLOOKUP(Jnl[[#This Row],[Acct]], config_BS[Acct], config_BS[Lv0],,0)</f>
        <v>A</v>
      </c>
      <c r="L259" t="str">
        <f>_xlfn.XLOOKUP(Jnl[[#This Row],[Acct]], config_BS[Acct], config_BS[Lv1],,0)</f>
        <v>Assets</v>
      </c>
      <c r="M259" t="str">
        <f>_xlfn.XLOOKUP(Jnl[[#This Row],[Acct]], config_BS[Acct], config_BS[Lv2],,0)</f>
        <v>Cash alike</v>
      </c>
      <c r="N259" t="str">
        <f>_xlfn.XLOOKUP(Jnl[[#This Row],[TrxId]], Trx[Id], Trx[IncNode], ,0)</f>
        <v>Expense</v>
      </c>
      <c r="O259" t="str">
        <f>_xlfn.XLOOKUP(Jnl[[#This Row],[IncNode]], config_IS[Node], config_IS[Type],,0)</f>
        <v>Op</v>
      </c>
      <c r="P259" t="str">
        <f>_xlfn.XLOOKUP(Jnl[[#This Row],[BSLv2]], dict[Key], dict[Name],,0)</f>
        <v>0.现金及类似</v>
      </c>
      <c r="Q259" t="str">
        <f>_xlfn.XLOOKUP(Jnl[[#This Row],[Acct]], dict[Key], dict[Name],,0)</f>
        <v>银行</v>
      </c>
      <c r="R259" t="str">
        <f>_xlfn.XLOOKUP(Jnl[[#This Row],[Vehicle]],config_vehicle[Id], config_vehicle[Name],,0)</f>
        <v>染匠文化</v>
      </c>
      <c r="S259" t="str">
        <f>_xlfn.XLOOKUP(Jnl[[#This Row],[Division]],config_div[Id], config_div[Name],,0)</f>
        <v>综合管理</v>
      </c>
      <c r="T259" t="str">
        <f>IF(Jnl[[#This Row],[TrxDate]]&lt;=stmt_BS_date_end, "In", "Out")</f>
        <v>In</v>
      </c>
      <c r="U259" t="str">
        <f>IF(Jnl[[#This Row],[TrxDate]]&lt;debug_date_start, "prior", IF(Jnl[[#This Row],[TrxDate]]&gt;debug_date_end, "post", "curr"))</f>
        <v>curr</v>
      </c>
    </row>
    <row r="260" spans="1:21" hidden="1">
      <c r="A260" s="39" t="s">
        <v>429</v>
      </c>
      <c r="B260" s="6">
        <f>_xlfn.XLOOKUP(Jnl[[#This Row],[TrxId]], Trx[Id], Trx[Date],,0)</f>
        <v>46053</v>
      </c>
      <c r="C260" s="6" t="str">
        <f>_xlfn.XLOOKUP(Jnl[[#This Row],[TrxId]], Trx[Id], Trx[Division],,0)</f>
        <v>GM</v>
      </c>
      <c r="D260" s="6" t="str">
        <f>_xlfn.XLOOKUP(Jnl[[#This Row],[TrxId]], Trx[Id], Trx[Action],,0)</f>
        <v>薪酬-社保</v>
      </c>
      <c r="E260" s="27" t="s">
        <v>113</v>
      </c>
      <c r="F260" s="10" t="s">
        <v>201</v>
      </c>
      <c r="G260" s="10" t="s">
        <v>349</v>
      </c>
      <c r="H260" s="37">
        <v>3340.05</v>
      </c>
      <c r="I260" s="11" t="b">
        <f>AND(Jnl[[#This Row],[TrxId]]&lt;&gt;"",Jnl[[#This Row],[Acct]]&lt;&gt;"",Jnl[[#This Row],[Item]]&lt;&gt;"",ISNUMBER(Jnl[[#This Row],[Bal]]))</f>
        <v>1</v>
      </c>
      <c r="J260" s="9">
        <f>IF(Jnl[[#This Row],[BSLv0]]="A",1,-1)*Jnl[[#This Row],[Bal]]</f>
        <v>3340.05</v>
      </c>
      <c r="K260" t="str">
        <f>_xlfn.XLOOKUP(Jnl[[#This Row],[Acct]], config_BS[Acct], config_BS[Lv0],,0)</f>
        <v>A</v>
      </c>
      <c r="L260" t="str">
        <f>_xlfn.XLOOKUP(Jnl[[#This Row],[Acct]], config_BS[Acct], config_BS[Lv1],,0)</f>
        <v>Assets</v>
      </c>
      <c r="M260" t="str">
        <f>_xlfn.XLOOKUP(Jnl[[#This Row],[Acct]], config_BS[Acct], config_BS[Lv2],,0)</f>
        <v>Rec-Pay</v>
      </c>
      <c r="N260" t="str">
        <f>_xlfn.XLOOKUP(Jnl[[#This Row],[TrxId]], Trx[Id], Trx[IncNode], ,0)</f>
        <v>Expense</v>
      </c>
      <c r="O260" t="str">
        <f>_xlfn.XLOOKUP(Jnl[[#This Row],[IncNode]], config_IS[Node], config_IS[Type],,0)</f>
        <v>Op</v>
      </c>
      <c r="P260" t="str">
        <f>_xlfn.XLOOKUP(Jnl[[#This Row],[BSLv2]], dict[Key], dict[Name],,0)</f>
        <v>1.应收-应付</v>
      </c>
      <c r="Q260" t="str">
        <f>_xlfn.XLOOKUP(Jnl[[#This Row],[Acct]], dict[Key], dict[Name],,0)</f>
        <v>应收-其他</v>
      </c>
      <c r="R260" t="str">
        <f>_xlfn.XLOOKUP(Jnl[[#This Row],[Vehicle]],config_vehicle[Id], config_vehicle[Name],,0)</f>
        <v>染匠文化</v>
      </c>
      <c r="S260" t="str">
        <f>_xlfn.XLOOKUP(Jnl[[#This Row],[Division]],config_div[Id], config_div[Name],,0)</f>
        <v>综合管理</v>
      </c>
      <c r="T260" t="str">
        <f>IF(Jnl[[#This Row],[TrxDate]]&lt;=stmt_BS_date_end, "In", "Out")</f>
        <v>In</v>
      </c>
      <c r="U260" t="str">
        <f>IF(Jnl[[#This Row],[TrxDate]]&lt;debug_date_start, "prior", IF(Jnl[[#This Row],[TrxDate]]&gt;debug_date_end, "post", "curr"))</f>
        <v>curr</v>
      </c>
    </row>
    <row r="261" spans="1:21">
      <c r="A261" s="39" t="s">
        <v>430</v>
      </c>
      <c r="B261" s="6">
        <f>_xlfn.XLOOKUP(Jnl[[#This Row],[TrxId]], Trx[Id], Trx[Date],,0)</f>
        <v>46053</v>
      </c>
      <c r="C261" s="6" t="str">
        <f>_xlfn.XLOOKUP(Jnl[[#This Row],[TrxId]], Trx[Id], Trx[Division],,0)</f>
        <v>GM</v>
      </c>
      <c r="D261" s="6" t="str">
        <f>_xlfn.XLOOKUP(Jnl[[#This Row],[TrxId]], Trx[Id], Trx[Action],,0)</f>
        <v>房租</v>
      </c>
      <c r="E261" s="27" t="s">
        <v>86</v>
      </c>
      <c r="F261" s="10" t="s">
        <v>117</v>
      </c>
      <c r="G261" s="10" t="s">
        <v>144</v>
      </c>
      <c r="H261" s="37">
        <v>-12999.135833333299</v>
      </c>
      <c r="I261" s="11" t="b">
        <f>AND(Jnl[[#This Row],[TrxId]]&lt;&gt;"",Jnl[[#This Row],[Acct]]&lt;&gt;"",Jnl[[#This Row],[Item]]&lt;&gt;"",ISNUMBER(Jnl[[#This Row],[Bal]]))</f>
        <v>1</v>
      </c>
      <c r="J261" s="9">
        <f>IF(Jnl[[#This Row],[BSLv0]]="A",1,-1)*Jnl[[#This Row],[Bal]]</f>
        <v>-12999.135833333299</v>
      </c>
      <c r="K261" t="str">
        <f>_xlfn.XLOOKUP(Jnl[[#This Row],[Acct]], config_BS[Acct], config_BS[Lv0],,0)</f>
        <v>A</v>
      </c>
      <c r="L261" t="str">
        <f>_xlfn.XLOOKUP(Jnl[[#This Row],[Acct]], config_BS[Acct], config_BS[Lv1],,0)</f>
        <v>Assets</v>
      </c>
      <c r="M261" t="str">
        <f>_xlfn.XLOOKUP(Jnl[[#This Row],[Acct]], config_BS[Acct], config_BS[Lv2],,0)</f>
        <v>Prep-Sub</v>
      </c>
      <c r="N261" t="str">
        <f>_xlfn.XLOOKUP(Jnl[[#This Row],[TrxId]], Trx[Id], Trx[IncNode], ,0)</f>
        <v>Expense</v>
      </c>
      <c r="O261" t="str">
        <f>_xlfn.XLOOKUP(Jnl[[#This Row],[IncNode]], config_IS[Node], config_IS[Type],,0)</f>
        <v>Op</v>
      </c>
      <c r="P261" t="str">
        <f>_xlfn.XLOOKUP(Jnl[[#This Row],[BSLv2]], dict[Key], dict[Name],,0)</f>
        <v>2.预付-订阅</v>
      </c>
      <c r="Q261" t="str">
        <f>_xlfn.XLOOKUP(Jnl[[#This Row],[Acct]], dict[Key], dict[Name],,0)</f>
        <v>预付订单</v>
      </c>
      <c r="R261" t="str">
        <f>_xlfn.XLOOKUP(Jnl[[#This Row],[Vehicle]],config_vehicle[Id], config_vehicle[Name],,0)</f>
        <v>榆乐</v>
      </c>
      <c r="S261" t="str">
        <f>_xlfn.XLOOKUP(Jnl[[#This Row],[Division]],config_div[Id], config_div[Name],,0)</f>
        <v>综合管理</v>
      </c>
      <c r="T261" t="str">
        <f>IF(Jnl[[#This Row],[TrxDate]]&lt;=stmt_BS_date_end, "In", "Out")</f>
        <v>In</v>
      </c>
      <c r="U261" t="str">
        <f>IF(Jnl[[#This Row],[TrxDate]]&lt;debug_date_start, "prior", IF(Jnl[[#This Row],[TrxDate]]&gt;debug_date_end, "post", "curr"))</f>
        <v>curr</v>
      </c>
    </row>
    <row r="262" spans="1:21" hidden="1">
      <c r="A262" s="39" t="s">
        <v>451</v>
      </c>
      <c r="B262" s="6">
        <f>_xlfn.XLOOKUP(Jnl[[#This Row],[TrxId]], Trx[Id], Trx[Date],,0)</f>
        <v>46053</v>
      </c>
      <c r="C262" s="6" t="str">
        <f>_xlfn.XLOOKUP(Jnl[[#This Row],[TrxId]], Trx[Id], Trx[Division],,0)</f>
        <v>GM</v>
      </c>
      <c r="D262" s="6" t="str">
        <f>_xlfn.XLOOKUP(Jnl[[#This Row],[TrxId]], Trx[Id], Trx[Action],,0)</f>
        <v>支付</v>
      </c>
      <c r="E262" s="27" t="s">
        <v>113</v>
      </c>
      <c r="F262" s="10" t="s">
        <v>12</v>
      </c>
      <c r="G262" s="10" t="s">
        <v>487</v>
      </c>
      <c r="H262" s="37">
        <v>-29659.53</v>
      </c>
      <c r="I262" s="11" t="b">
        <f>AND(Jnl[[#This Row],[TrxId]]&lt;&gt;"",Jnl[[#This Row],[Acct]]&lt;&gt;"",Jnl[[#This Row],[Item]]&lt;&gt;"",ISNUMBER(Jnl[[#This Row],[Bal]]))</f>
        <v>1</v>
      </c>
      <c r="J262" s="9">
        <f>IF(Jnl[[#This Row],[BSLv0]]="A",1,-1)*Jnl[[#This Row],[Bal]]</f>
        <v>-29659.53</v>
      </c>
      <c r="K262" t="str">
        <f>_xlfn.XLOOKUP(Jnl[[#This Row],[Acct]], config_BS[Acct], config_BS[Lv0],,0)</f>
        <v>A</v>
      </c>
      <c r="L262" t="str">
        <f>_xlfn.XLOOKUP(Jnl[[#This Row],[Acct]], config_BS[Acct], config_BS[Lv1],,0)</f>
        <v>Assets</v>
      </c>
      <c r="M262" t="str">
        <f>_xlfn.XLOOKUP(Jnl[[#This Row],[Acct]], config_BS[Acct], config_BS[Lv2],,0)</f>
        <v>Cash alike</v>
      </c>
      <c r="N262" t="str">
        <f>_xlfn.XLOOKUP(Jnl[[#This Row],[TrxId]], Trx[Id], Trx[IncNode], ,0)</f>
        <v>Expense</v>
      </c>
      <c r="O262" t="str">
        <f>_xlfn.XLOOKUP(Jnl[[#This Row],[IncNode]], config_IS[Node], config_IS[Type],,0)</f>
        <v>Op</v>
      </c>
      <c r="P262" t="str">
        <f>_xlfn.XLOOKUP(Jnl[[#This Row],[BSLv2]], dict[Key], dict[Name],,0)</f>
        <v>0.现金及类似</v>
      </c>
      <c r="Q262" t="str">
        <f>_xlfn.XLOOKUP(Jnl[[#This Row],[Acct]], dict[Key], dict[Name],,0)</f>
        <v>银行</v>
      </c>
      <c r="R262" t="str">
        <f>_xlfn.XLOOKUP(Jnl[[#This Row],[Vehicle]],config_vehicle[Id], config_vehicle[Name],,0)</f>
        <v>染匠文化</v>
      </c>
      <c r="S262" t="str">
        <f>_xlfn.XLOOKUP(Jnl[[#This Row],[Division]],config_div[Id], config_div[Name],,0)</f>
        <v>综合管理</v>
      </c>
      <c r="T262" t="str">
        <f>IF(Jnl[[#This Row],[TrxDate]]&lt;=stmt_BS_date_end, "In", "Out")</f>
        <v>In</v>
      </c>
      <c r="U262" t="str">
        <f>IF(Jnl[[#This Row],[TrxDate]]&lt;debug_date_start, "prior", IF(Jnl[[#This Row],[TrxDate]]&gt;debug_date_end, "post", "curr"))</f>
        <v>curr</v>
      </c>
    </row>
    <row r="263" spans="1:21" hidden="1">
      <c r="A263" s="39" t="s">
        <v>451</v>
      </c>
      <c r="B263" s="6">
        <f>_xlfn.XLOOKUP(Jnl[[#This Row],[TrxId]], Trx[Id], Trx[Date],,0)</f>
        <v>46053</v>
      </c>
      <c r="C263" s="6" t="str">
        <f>_xlfn.XLOOKUP(Jnl[[#This Row],[TrxId]], Trx[Id], Trx[Division],,0)</f>
        <v>GM</v>
      </c>
      <c r="D263" s="6" t="str">
        <f>_xlfn.XLOOKUP(Jnl[[#This Row],[TrxId]], Trx[Id], Trx[Action],,0)</f>
        <v>支付</v>
      </c>
      <c r="E263" s="27" t="s">
        <v>113</v>
      </c>
      <c r="F263" s="10" t="s">
        <v>201</v>
      </c>
      <c r="G263" s="10" t="s">
        <v>349</v>
      </c>
      <c r="H263" s="37">
        <v>-3340.05</v>
      </c>
      <c r="I263" s="11" t="b">
        <f>AND(Jnl[[#This Row],[TrxId]]&lt;&gt;"",Jnl[[#This Row],[Acct]]&lt;&gt;"",Jnl[[#This Row],[Item]]&lt;&gt;"",ISNUMBER(Jnl[[#This Row],[Bal]]))</f>
        <v>1</v>
      </c>
      <c r="J263" s="9">
        <f>IF(Jnl[[#This Row],[BSLv0]]="A",1,-1)*Jnl[[#This Row],[Bal]]</f>
        <v>-3340.05</v>
      </c>
      <c r="K263" t="str">
        <f>_xlfn.XLOOKUP(Jnl[[#This Row],[Acct]], config_BS[Acct], config_BS[Lv0],,0)</f>
        <v>A</v>
      </c>
      <c r="L263" t="str">
        <f>_xlfn.XLOOKUP(Jnl[[#This Row],[Acct]], config_BS[Acct], config_BS[Lv1],,0)</f>
        <v>Assets</v>
      </c>
      <c r="M263" t="str">
        <f>_xlfn.XLOOKUP(Jnl[[#This Row],[Acct]], config_BS[Acct], config_BS[Lv2],,0)</f>
        <v>Rec-Pay</v>
      </c>
      <c r="N263" t="str">
        <f>_xlfn.XLOOKUP(Jnl[[#This Row],[TrxId]], Trx[Id], Trx[IncNode], ,0)</f>
        <v>Expense</v>
      </c>
      <c r="O263" t="str">
        <f>_xlfn.XLOOKUP(Jnl[[#This Row],[IncNode]], config_IS[Node], config_IS[Type],,0)</f>
        <v>Op</v>
      </c>
      <c r="P263" t="str">
        <f>_xlfn.XLOOKUP(Jnl[[#This Row],[BSLv2]], dict[Key], dict[Name],,0)</f>
        <v>1.应收-应付</v>
      </c>
      <c r="Q263" t="str">
        <f>_xlfn.XLOOKUP(Jnl[[#This Row],[Acct]], dict[Key], dict[Name],,0)</f>
        <v>应收-其他</v>
      </c>
      <c r="R263" t="str">
        <f>_xlfn.XLOOKUP(Jnl[[#This Row],[Vehicle]],config_vehicle[Id], config_vehicle[Name],,0)</f>
        <v>染匠文化</v>
      </c>
      <c r="S263" t="str">
        <f>_xlfn.XLOOKUP(Jnl[[#This Row],[Division]],config_div[Id], config_div[Name],,0)</f>
        <v>综合管理</v>
      </c>
      <c r="T263" t="str">
        <f>IF(Jnl[[#This Row],[TrxDate]]&lt;=stmt_BS_date_end, "In", "Out")</f>
        <v>In</v>
      </c>
      <c r="U263" t="str">
        <f>IF(Jnl[[#This Row],[TrxDate]]&lt;debug_date_start, "prior", IF(Jnl[[#This Row],[TrxDate]]&gt;debug_date_end, "post", "curr"))</f>
        <v>curr</v>
      </c>
    </row>
    <row r="264" spans="1:21" hidden="1">
      <c r="A264" s="39" t="s">
        <v>451</v>
      </c>
      <c r="B264" s="6">
        <f>_xlfn.XLOOKUP(Jnl[[#This Row],[TrxId]], Trx[Id], Trx[Date],,0)</f>
        <v>46053</v>
      </c>
      <c r="C264" s="6" t="str">
        <f>_xlfn.XLOOKUP(Jnl[[#This Row],[TrxId]], Trx[Id], Trx[Division],,0)</f>
        <v>GM</v>
      </c>
      <c r="D264" s="6" t="str">
        <f>_xlfn.XLOOKUP(Jnl[[#This Row],[TrxId]], Trx[Id], Trx[Action],,0)</f>
        <v>支付</v>
      </c>
      <c r="E264" s="27" t="s">
        <v>113</v>
      </c>
      <c r="F264" s="10" t="s">
        <v>130</v>
      </c>
      <c r="G264" s="10" t="s">
        <v>348</v>
      </c>
      <c r="H264" s="37">
        <v>542.28</v>
      </c>
      <c r="I264" s="11" t="b">
        <f>AND(Jnl[[#This Row],[TrxId]]&lt;&gt;"",Jnl[[#This Row],[Acct]]&lt;&gt;"",Jnl[[#This Row],[Item]]&lt;&gt;"",ISNUMBER(Jnl[[#This Row],[Bal]]))</f>
        <v>1</v>
      </c>
      <c r="J264" s="9">
        <f>IF(Jnl[[#This Row],[BSLv0]]="A",1,-1)*Jnl[[#This Row],[Bal]]</f>
        <v>-542.28</v>
      </c>
      <c r="K264" t="str">
        <f>_xlfn.XLOOKUP(Jnl[[#This Row],[Acct]], config_BS[Acct], config_BS[Lv0],,0)</f>
        <v>LC</v>
      </c>
      <c r="L264" t="str">
        <f>_xlfn.XLOOKUP(Jnl[[#This Row],[Acct]], config_BS[Acct], config_BS[Lv1],,0)</f>
        <v>Liability</v>
      </c>
      <c r="M264" t="str">
        <f>_xlfn.XLOOKUP(Jnl[[#This Row],[Acct]], config_BS[Acct], config_BS[Lv2],,0)</f>
        <v>Rec-Pay</v>
      </c>
      <c r="N264" t="str">
        <f>_xlfn.XLOOKUP(Jnl[[#This Row],[TrxId]], Trx[Id], Trx[IncNode], ,0)</f>
        <v>Expense</v>
      </c>
      <c r="O264" t="str">
        <f>_xlfn.XLOOKUP(Jnl[[#This Row],[IncNode]], config_IS[Node], config_IS[Type],,0)</f>
        <v>Op</v>
      </c>
      <c r="P264" t="str">
        <f>_xlfn.XLOOKUP(Jnl[[#This Row],[BSLv2]], dict[Key], dict[Name],,0)</f>
        <v>1.应收-应付</v>
      </c>
      <c r="Q264" t="str">
        <f>_xlfn.XLOOKUP(Jnl[[#This Row],[Acct]], dict[Key], dict[Name],,0)</f>
        <v>应付-税款</v>
      </c>
      <c r="R264" t="str">
        <f>_xlfn.XLOOKUP(Jnl[[#This Row],[Vehicle]],config_vehicle[Id], config_vehicle[Name],,0)</f>
        <v>染匠文化</v>
      </c>
      <c r="S264" t="str">
        <f>_xlfn.XLOOKUP(Jnl[[#This Row],[Division]],config_div[Id], config_div[Name],,0)</f>
        <v>综合管理</v>
      </c>
      <c r="T264" t="str">
        <f>IF(Jnl[[#This Row],[TrxDate]]&lt;=stmt_BS_date_end, "In", "Out")</f>
        <v>In</v>
      </c>
      <c r="U264" t="str">
        <f>IF(Jnl[[#This Row],[TrxDate]]&lt;debug_date_start, "prior", IF(Jnl[[#This Row],[TrxDate]]&gt;debug_date_end, "post", "curr"))</f>
        <v>curr</v>
      </c>
    </row>
    <row r="265" spans="1:21" hidden="1">
      <c r="A265" s="39" t="s">
        <v>451</v>
      </c>
      <c r="B265" s="6">
        <f>_xlfn.XLOOKUP(Jnl[[#This Row],[TrxId]], Trx[Id], Trx[Date],,0)</f>
        <v>46053</v>
      </c>
      <c r="C265" s="6" t="str">
        <f>_xlfn.XLOOKUP(Jnl[[#This Row],[TrxId]], Trx[Id], Trx[Division],,0)</f>
        <v>GM</v>
      </c>
      <c r="D265" s="6" t="str">
        <f>_xlfn.XLOOKUP(Jnl[[#This Row],[TrxId]], Trx[Id], Trx[Action],,0)</f>
        <v>支付</v>
      </c>
      <c r="E265" s="27" t="s">
        <v>113</v>
      </c>
      <c r="F265" s="10" t="s">
        <v>191</v>
      </c>
      <c r="G265" s="10" t="s">
        <v>152</v>
      </c>
      <c r="H265" s="37">
        <v>-33541.86</v>
      </c>
      <c r="I265" s="11" t="b">
        <f>AND(Jnl[[#This Row],[TrxId]]&lt;&gt;"",Jnl[[#This Row],[Acct]]&lt;&gt;"",Jnl[[#This Row],[Item]]&lt;&gt;"",ISNUMBER(Jnl[[#This Row],[Bal]]))</f>
        <v>1</v>
      </c>
      <c r="J265" s="9">
        <f>IF(Jnl[[#This Row],[BSLv0]]="A",1,-1)*Jnl[[#This Row],[Bal]]</f>
        <v>33541.86</v>
      </c>
      <c r="K265" t="str">
        <f>_xlfn.XLOOKUP(Jnl[[#This Row],[Acct]], config_BS[Acct], config_BS[Lv0],,0)</f>
        <v>LC</v>
      </c>
      <c r="L265" t="str">
        <f>_xlfn.XLOOKUP(Jnl[[#This Row],[Acct]], config_BS[Acct], config_BS[Lv1],,0)</f>
        <v>Liability</v>
      </c>
      <c r="M265" t="str">
        <f>_xlfn.XLOOKUP(Jnl[[#This Row],[Acct]], config_BS[Acct], config_BS[Lv2],,0)</f>
        <v>Rec-Pay</v>
      </c>
      <c r="N265" t="str">
        <f>_xlfn.XLOOKUP(Jnl[[#This Row],[TrxId]], Trx[Id], Trx[IncNode], ,0)</f>
        <v>Expense</v>
      </c>
      <c r="O265" t="str">
        <f>_xlfn.XLOOKUP(Jnl[[#This Row],[IncNode]], config_IS[Node], config_IS[Type],,0)</f>
        <v>Op</v>
      </c>
      <c r="P265" t="str">
        <f>_xlfn.XLOOKUP(Jnl[[#This Row],[BSLv2]], dict[Key], dict[Name],,0)</f>
        <v>1.应收-应付</v>
      </c>
      <c r="Q265" t="str">
        <f>_xlfn.XLOOKUP(Jnl[[#This Row],[Acct]], dict[Key], dict[Name],,0)</f>
        <v>应付-薪资</v>
      </c>
      <c r="R265" t="str">
        <f>_xlfn.XLOOKUP(Jnl[[#This Row],[Vehicle]],config_vehicle[Id], config_vehicle[Name],,0)</f>
        <v>染匠文化</v>
      </c>
      <c r="S265" t="str">
        <f>_xlfn.XLOOKUP(Jnl[[#This Row],[Division]],config_div[Id], config_div[Name],,0)</f>
        <v>综合管理</v>
      </c>
      <c r="T265" t="str">
        <f>IF(Jnl[[#This Row],[TrxDate]]&lt;=stmt_BS_date_end, "In", "Out")</f>
        <v>In</v>
      </c>
      <c r="U265" t="str">
        <f>IF(Jnl[[#This Row],[TrxDate]]&lt;debug_date_start, "prior", IF(Jnl[[#This Row],[TrxDate]]&gt;debug_date_end, "post", "curr"))</f>
        <v>curr</v>
      </c>
    </row>
    <row r="266" spans="1:21" hidden="1">
      <c r="A266" s="39" t="s">
        <v>454</v>
      </c>
      <c r="B266" s="6">
        <f>_xlfn.XLOOKUP(Jnl[[#This Row],[TrxId]], Trx[Id], Trx[Date],,0)</f>
        <v>46053</v>
      </c>
      <c r="C266" s="6" t="str">
        <f>_xlfn.XLOOKUP(Jnl[[#This Row],[TrxId]], Trx[Id], Trx[Division],,0)</f>
        <v>GM</v>
      </c>
      <c r="D266" s="6" t="str">
        <f>_xlfn.XLOOKUP(Jnl[[#This Row],[TrxId]], Trx[Id], Trx[Action],,0)</f>
        <v>支付</v>
      </c>
      <c r="E266" s="27" t="s">
        <v>113</v>
      </c>
      <c r="F266" s="10" t="s">
        <v>130</v>
      </c>
      <c r="G266" s="10" t="s">
        <v>348</v>
      </c>
      <c r="H266" s="37">
        <v>-542.28</v>
      </c>
      <c r="I266" s="11" t="b">
        <f>AND(Jnl[[#This Row],[TrxId]]&lt;&gt;"",Jnl[[#This Row],[Acct]]&lt;&gt;"",Jnl[[#This Row],[Item]]&lt;&gt;"",ISNUMBER(Jnl[[#This Row],[Bal]]))</f>
        <v>1</v>
      </c>
      <c r="J266" s="9">
        <f>IF(Jnl[[#This Row],[BSLv0]]="A",1,-1)*Jnl[[#This Row],[Bal]]</f>
        <v>542.28</v>
      </c>
      <c r="K266" t="str">
        <f>_xlfn.XLOOKUP(Jnl[[#This Row],[Acct]], config_BS[Acct], config_BS[Lv0],,0)</f>
        <v>LC</v>
      </c>
      <c r="L266" t="str">
        <f>_xlfn.XLOOKUP(Jnl[[#This Row],[Acct]], config_BS[Acct], config_BS[Lv1],,0)</f>
        <v>Liability</v>
      </c>
      <c r="M266" t="str">
        <f>_xlfn.XLOOKUP(Jnl[[#This Row],[Acct]], config_BS[Acct], config_BS[Lv2],,0)</f>
        <v>Rec-Pay</v>
      </c>
      <c r="N266" t="str">
        <f>_xlfn.XLOOKUP(Jnl[[#This Row],[TrxId]], Trx[Id], Trx[IncNode], ,0)</f>
        <v>Expense</v>
      </c>
      <c r="O266" t="str">
        <f>_xlfn.XLOOKUP(Jnl[[#This Row],[IncNode]], config_IS[Node], config_IS[Type],,0)</f>
        <v>Op</v>
      </c>
      <c r="P266" t="str">
        <f>_xlfn.XLOOKUP(Jnl[[#This Row],[BSLv2]], dict[Key], dict[Name],,0)</f>
        <v>1.应收-应付</v>
      </c>
      <c r="Q266" t="str">
        <f>_xlfn.XLOOKUP(Jnl[[#This Row],[Acct]], dict[Key], dict[Name],,0)</f>
        <v>应付-税款</v>
      </c>
      <c r="R266" t="str">
        <f>_xlfn.XLOOKUP(Jnl[[#This Row],[Vehicle]],config_vehicle[Id], config_vehicle[Name],,0)</f>
        <v>染匠文化</v>
      </c>
      <c r="S266" t="str">
        <f>_xlfn.XLOOKUP(Jnl[[#This Row],[Division]],config_div[Id], config_div[Name],,0)</f>
        <v>综合管理</v>
      </c>
      <c r="T266" t="str">
        <f>IF(Jnl[[#This Row],[TrxDate]]&lt;=stmt_BS_date_end, "In", "Out")</f>
        <v>In</v>
      </c>
      <c r="U266" t="str">
        <f>IF(Jnl[[#This Row],[TrxDate]]&lt;debug_date_start, "prior", IF(Jnl[[#This Row],[TrxDate]]&gt;debug_date_end, "post", "curr"))</f>
        <v>curr</v>
      </c>
    </row>
    <row r="267" spans="1:21" hidden="1">
      <c r="A267" s="39" t="s">
        <v>454</v>
      </c>
      <c r="B267" s="6">
        <f>_xlfn.XLOOKUP(Jnl[[#This Row],[TrxId]], Trx[Id], Trx[Date],,0)</f>
        <v>46053</v>
      </c>
      <c r="C267" s="6" t="str">
        <f>_xlfn.XLOOKUP(Jnl[[#This Row],[TrxId]], Trx[Id], Trx[Division],,0)</f>
        <v>GM</v>
      </c>
      <c r="D267" s="6" t="str">
        <f>_xlfn.XLOOKUP(Jnl[[#This Row],[TrxId]], Trx[Id], Trx[Action],,0)</f>
        <v>支付</v>
      </c>
      <c r="E267" s="27" t="s">
        <v>113</v>
      </c>
      <c r="F267" s="10" t="s">
        <v>12</v>
      </c>
      <c r="G267" s="10" t="s">
        <v>487</v>
      </c>
      <c r="H267" s="37">
        <v>-542.28</v>
      </c>
      <c r="I267" s="11" t="b">
        <f>AND(Jnl[[#This Row],[TrxId]]&lt;&gt;"",Jnl[[#This Row],[Acct]]&lt;&gt;"",Jnl[[#This Row],[Item]]&lt;&gt;"",ISNUMBER(Jnl[[#This Row],[Bal]]))</f>
        <v>1</v>
      </c>
      <c r="J267" s="9">
        <f>IF(Jnl[[#This Row],[BSLv0]]="A",1,-1)*Jnl[[#This Row],[Bal]]</f>
        <v>-542.28</v>
      </c>
      <c r="K267" t="str">
        <f>_xlfn.XLOOKUP(Jnl[[#This Row],[Acct]], config_BS[Acct], config_BS[Lv0],,0)</f>
        <v>A</v>
      </c>
      <c r="L267" t="str">
        <f>_xlfn.XLOOKUP(Jnl[[#This Row],[Acct]], config_BS[Acct], config_BS[Lv1],,0)</f>
        <v>Assets</v>
      </c>
      <c r="M267" t="str">
        <f>_xlfn.XLOOKUP(Jnl[[#This Row],[Acct]], config_BS[Acct], config_BS[Lv2],,0)</f>
        <v>Cash alike</v>
      </c>
      <c r="N267" t="str">
        <f>_xlfn.XLOOKUP(Jnl[[#This Row],[TrxId]], Trx[Id], Trx[IncNode], ,0)</f>
        <v>Expense</v>
      </c>
      <c r="O267" t="str">
        <f>_xlfn.XLOOKUP(Jnl[[#This Row],[IncNode]], config_IS[Node], config_IS[Type],,0)</f>
        <v>Op</v>
      </c>
      <c r="P267" t="str">
        <f>_xlfn.XLOOKUP(Jnl[[#This Row],[BSLv2]], dict[Key], dict[Name],,0)</f>
        <v>0.现金及类似</v>
      </c>
      <c r="Q267" t="str">
        <f>_xlfn.XLOOKUP(Jnl[[#This Row],[Acct]], dict[Key], dict[Name],,0)</f>
        <v>银行</v>
      </c>
      <c r="R267" t="str">
        <f>_xlfn.XLOOKUP(Jnl[[#This Row],[Vehicle]],config_vehicle[Id], config_vehicle[Name],,0)</f>
        <v>染匠文化</v>
      </c>
      <c r="S267" t="str">
        <f>_xlfn.XLOOKUP(Jnl[[#This Row],[Division]],config_div[Id], config_div[Name],,0)</f>
        <v>综合管理</v>
      </c>
      <c r="T267" t="str">
        <f>IF(Jnl[[#This Row],[TrxDate]]&lt;=stmt_BS_date_end, "In", "Out")</f>
        <v>In</v>
      </c>
      <c r="U267" t="str">
        <f>IF(Jnl[[#This Row],[TrxDate]]&lt;debug_date_start, "prior", IF(Jnl[[#This Row],[TrxDate]]&gt;debug_date_end, "post", "curr"))</f>
        <v>curr</v>
      </c>
    </row>
    <row r="268" spans="1:21" hidden="1">
      <c r="A268" s="39" t="s">
        <v>455</v>
      </c>
      <c r="B268" s="6">
        <f>_xlfn.XLOOKUP(Jnl[[#This Row],[TrxId]], Trx[Id], Trx[Date],,0)</f>
        <v>46053</v>
      </c>
      <c r="C268" s="6" t="str">
        <f>_xlfn.XLOOKUP(Jnl[[#This Row],[TrxId]], Trx[Id], Trx[Division],,0)</f>
        <v>Ctrl</v>
      </c>
      <c r="D268" s="6" t="str">
        <f>_xlfn.XLOOKUP(Jnl[[#This Row],[TrxId]], Trx[Id], Trx[Action],,0)</f>
        <v>支付</v>
      </c>
      <c r="E268" s="27" t="s">
        <v>113</v>
      </c>
      <c r="F268" s="10" t="s">
        <v>12</v>
      </c>
      <c r="G268" s="10" t="s">
        <v>487</v>
      </c>
      <c r="H268" s="37">
        <v>-15725.69</v>
      </c>
      <c r="I268" s="11" t="b">
        <f>AND(Jnl[[#This Row],[TrxId]]&lt;&gt;"",Jnl[[#This Row],[Acct]]&lt;&gt;"",Jnl[[#This Row],[Item]]&lt;&gt;"",ISNUMBER(Jnl[[#This Row],[Bal]]))</f>
        <v>1</v>
      </c>
      <c r="J268" s="9">
        <f>IF(Jnl[[#This Row],[BSLv0]]="A",1,-1)*Jnl[[#This Row],[Bal]]</f>
        <v>-15725.69</v>
      </c>
      <c r="K268" t="str">
        <f>_xlfn.XLOOKUP(Jnl[[#This Row],[Acct]], config_BS[Acct], config_BS[Lv0],,0)</f>
        <v>A</v>
      </c>
      <c r="L268" t="str">
        <f>_xlfn.XLOOKUP(Jnl[[#This Row],[Acct]], config_BS[Acct], config_BS[Lv1],,0)</f>
        <v>Assets</v>
      </c>
      <c r="M268" t="str">
        <f>_xlfn.XLOOKUP(Jnl[[#This Row],[Acct]], config_BS[Acct], config_BS[Lv2],,0)</f>
        <v>Cash alike</v>
      </c>
      <c r="N268" t="str">
        <f>_xlfn.XLOOKUP(Jnl[[#This Row],[TrxId]], Trx[Id], Trx[IncNode], ,0)</f>
        <v>Expense</v>
      </c>
      <c r="O268" t="str">
        <f>_xlfn.XLOOKUP(Jnl[[#This Row],[IncNode]], config_IS[Node], config_IS[Type],,0)</f>
        <v>Op</v>
      </c>
      <c r="P268" t="str">
        <f>_xlfn.XLOOKUP(Jnl[[#This Row],[BSLv2]], dict[Key], dict[Name],,0)</f>
        <v>0.现金及类似</v>
      </c>
      <c r="Q268" t="str">
        <f>_xlfn.XLOOKUP(Jnl[[#This Row],[Acct]], dict[Key], dict[Name],,0)</f>
        <v>银行</v>
      </c>
      <c r="R268" t="str">
        <f>_xlfn.XLOOKUP(Jnl[[#This Row],[Vehicle]],config_vehicle[Id], config_vehicle[Name],,0)</f>
        <v>染匠文化</v>
      </c>
      <c r="S268" t="str">
        <f>_xlfn.XLOOKUP(Jnl[[#This Row],[Division]],config_div[Id], config_div[Name],,0)</f>
        <v>内控合规</v>
      </c>
      <c r="T268" t="str">
        <f>IF(Jnl[[#This Row],[TrxDate]]&lt;=stmt_BS_date_end, "In", "Out")</f>
        <v>In</v>
      </c>
      <c r="U268" t="str">
        <f>IF(Jnl[[#This Row],[TrxDate]]&lt;debug_date_start, "prior", IF(Jnl[[#This Row],[TrxDate]]&gt;debug_date_end, "post", "curr"))</f>
        <v>curr</v>
      </c>
    </row>
    <row r="269" spans="1:21" hidden="1">
      <c r="A269" s="39" t="s">
        <v>455</v>
      </c>
      <c r="B269" s="6">
        <f>_xlfn.XLOOKUP(Jnl[[#This Row],[TrxId]], Trx[Id], Trx[Date],,0)</f>
        <v>46053</v>
      </c>
      <c r="C269" s="6" t="str">
        <f>_xlfn.XLOOKUP(Jnl[[#This Row],[TrxId]], Trx[Id], Trx[Division],,0)</f>
        <v>Ctrl</v>
      </c>
      <c r="D269" s="6" t="str">
        <f>_xlfn.XLOOKUP(Jnl[[#This Row],[TrxId]], Trx[Id], Trx[Action],,0)</f>
        <v>支付</v>
      </c>
      <c r="E269" s="27" t="s">
        <v>113</v>
      </c>
      <c r="F269" s="10" t="s">
        <v>130</v>
      </c>
      <c r="G269" s="10" t="s">
        <v>312</v>
      </c>
      <c r="H269" s="37">
        <v>-4117.58</v>
      </c>
      <c r="I269" s="11" t="b">
        <f>AND(Jnl[[#This Row],[TrxId]]&lt;&gt;"",Jnl[[#This Row],[Acct]]&lt;&gt;"",Jnl[[#This Row],[Item]]&lt;&gt;"",ISNUMBER(Jnl[[#This Row],[Bal]]))</f>
        <v>1</v>
      </c>
      <c r="J269" s="9">
        <f>IF(Jnl[[#This Row],[BSLv0]]="A",1,-1)*Jnl[[#This Row],[Bal]]</f>
        <v>4117.58</v>
      </c>
      <c r="K269" t="str">
        <f>_xlfn.XLOOKUP(Jnl[[#This Row],[Acct]], config_BS[Acct], config_BS[Lv0],,0)</f>
        <v>LC</v>
      </c>
      <c r="L269" t="str">
        <f>_xlfn.XLOOKUP(Jnl[[#This Row],[Acct]], config_BS[Acct], config_BS[Lv1],,0)</f>
        <v>Liability</v>
      </c>
      <c r="M269" t="str">
        <f>_xlfn.XLOOKUP(Jnl[[#This Row],[Acct]], config_BS[Acct], config_BS[Lv2],,0)</f>
        <v>Rec-Pay</v>
      </c>
      <c r="N269" t="str">
        <f>_xlfn.XLOOKUP(Jnl[[#This Row],[TrxId]], Trx[Id], Trx[IncNode], ,0)</f>
        <v>Expense</v>
      </c>
      <c r="O269" t="str">
        <f>_xlfn.XLOOKUP(Jnl[[#This Row],[IncNode]], config_IS[Node], config_IS[Type],,0)</f>
        <v>Op</v>
      </c>
      <c r="P269" t="str">
        <f>_xlfn.XLOOKUP(Jnl[[#This Row],[BSLv2]], dict[Key], dict[Name],,0)</f>
        <v>1.应收-应付</v>
      </c>
      <c r="Q269" t="str">
        <f>_xlfn.XLOOKUP(Jnl[[#This Row],[Acct]], dict[Key], dict[Name],,0)</f>
        <v>应付-税款</v>
      </c>
      <c r="R269" t="str">
        <f>_xlfn.XLOOKUP(Jnl[[#This Row],[Vehicle]],config_vehicle[Id], config_vehicle[Name],,0)</f>
        <v>染匠文化</v>
      </c>
      <c r="S269" t="str">
        <f>_xlfn.XLOOKUP(Jnl[[#This Row],[Division]],config_div[Id], config_div[Name],,0)</f>
        <v>内控合规</v>
      </c>
      <c r="T269" t="str">
        <f>IF(Jnl[[#This Row],[TrxDate]]&lt;=stmt_BS_date_end, "In", "Out")</f>
        <v>In</v>
      </c>
      <c r="U269" t="str">
        <f>IF(Jnl[[#This Row],[TrxDate]]&lt;debug_date_start, "prior", IF(Jnl[[#This Row],[TrxDate]]&gt;debug_date_end, "post", "curr"))</f>
        <v>curr</v>
      </c>
    </row>
    <row r="270" spans="1:21" hidden="1">
      <c r="A270" s="39" t="s">
        <v>455</v>
      </c>
      <c r="B270" s="6">
        <f>_xlfn.XLOOKUP(Jnl[[#This Row],[TrxId]], Trx[Id], Trx[Date],,0)</f>
        <v>46053</v>
      </c>
      <c r="C270" s="6" t="str">
        <f>_xlfn.XLOOKUP(Jnl[[#This Row],[TrxId]], Trx[Id], Trx[Division],,0)</f>
        <v>Ctrl</v>
      </c>
      <c r="D270" s="6" t="str">
        <f>_xlfn.XLOOKUP(Jnl[[#This Row],[TrxId]], Trx[Id], Trx[Action],,0)</f>
        <v>支付</v>
      </c>
      <c r="E270" s="27" t="s">
        <v>113</v>
      </c>
      <c r="F270" s="10" t="s">
        <v>130</v>
      </c>
      <c r="G270" s="10" t="s">
        <v>353</v>
      </c>
      <c r="H270" s="37">
        <v>-205.87</v>
      </c>
      <c r="I270" s="11" t="b">
        <f>AND(Jnl[[#This Row],[TrxId]]&lt;&gt;"",Jnl[[#This Row],[Acct]]&lt;&gt;"",Jnl[[#This Row],[Item]]&lt;&gt;"",ISNUMBER(Jnl[[#This Row],[Bal]]))</f>
        <v>1</v>
      </c>
      <c r="J270" s="9">
        <f>IF(Jnl[[#This Row],[BSLv0]]="A",1,-1)*Jnl[[#This Row],[Bal]]</f>
        <v>205.87</v>
      </c>
      <c r="K270" t="str">
        <f>_xlfn.XLOOKUP(Jnl[[#This Row],[Acct]], config_BS[Acct], config_BS[Lv0],,0)</f>
        <v>LC</v>
      </c>
      <c r="L270" t="str">
        <f>_xlfn.XLOOKUP(Jnl[[#This Row],[Acct]], config_BS[Acct], config_BS[Lv1],,0)</f>
        <v>Liability</v>
      </c>
      <c r="M270" t="str">
        <f>_xlfn.XLOOKUP(Jnl[[#This Row],[Acct]], config_BS[Acct], config_BS[Lv2],,0)</f>
        <v>Rec-Pay</v>
      </c>
      <c r="N270" t="str">
        <f>_xlfn.XLOOKUP(Jnl[[#This Row],[TrxId]], Trx[Id], Trx[IncNode], ,0)</f>
        <v>Expense</v>
      </c>
      <c r="O270" t="str">
        <f>_xlfn.XLOOKUP(Jnl[[#This Row],[IncNode]], config_IS[Node], config_IS[Type],,0)</f>
        <v>Op</v>
      </c>
      <c r="P270" t="str">
        <f>_xlfn.XLOOKUP(Jnl[[#This Row],[BSLv2]], dict[Key], dict[Name],,0)</f>
        <v>1.应收-应付</v>
      </c>
      <c r="Q270" t="str">
        <f>_xlfn.XLOOKUP(Jnl[[#This Row],[Acct]], dict[Key], dict[Name],,0)</f>
        <v>应付-税款</v>
      </c>
      <c r="R270" t="str">
        <f>_xlfn.XLOOKUP(Jnl[[#This Row],[Vehicle]],config_vehicle[Id], config_vehicle[Name],,0)</f>
        <v>染匠文化</v>
      </c>
      <c r="S270" t="str">
        <f>_xlfn.XLOOKUP(Jnl[[#This Row],[Division]],config_div[Id], config_div[Name],,0)</f>
        <v>内控合规</v>
      </c>
      <c r="T270" t="str">
        <f>IF(Jnl[[#This Row],[TrxDate]]&lt;=stmt_BS_date_end, "In", "Out")</f>
        <v>In</v>
      </c>
      <c r="U270" t="str">
        <f>IF(Jnl[[#This Row],[TrxDate]]&lt;debug_date_start, "prior", IF(Jnl[[#This Row],[TrxDate]]&gt;debug_date_end, "post", "curr"))</f>
        <v>curr</v>
      </c>
    </row>
    <row r="271" spans="1:21" hidden="1">
      <c r="A271" s="39" t="s">
        <v>455</v>
      </c>
      <c r="B271" s="6">
        <f>_xlfn.XLOOKUP(Jnl[[#This Row],[TrxId]], Trx[Id], Trx[Date],,0)</f>
        <v>46053</v>
      </c>
      <c r="C271" s="6" t="str">
        <f>_xlfn.XLOOKUP(Jnl[[#This Row],[TrxId]], Trx[Id], Trx[Division],,0)</f>
        <v>Ctrl</v>
      </c>
      <c r="D271" s="6" t="str">
        <f>_xlfn.XLOOKUP(Jnl[[#This Row],[TrxId]], Trx[Id], Trx[Action],,0)</f>
        <v>支付</v>
      </c>
      <c r="E271" s="27" t="s">
        <v>113</v>
      </c>
      <c r="F271" s="10" t="s">
        <v>130</v>
      </c>
      <c r="G271" s="10" t="s">
        <v>354</v>
      </c>
      <c r="H271" s="37">
        <v>-2.96</v>
      </c>
      <c r="I271" s="11" t="b">
        <f>AND(Jnl[[#This Row],[TrxId]]&lt;&gt;"",Jnl[[#This Row],[Acct]]&lt;&gt;"",Jnl[[#This Row],[Item]]&lt;&gt;"",ISNUMBER(Jnl[[#This Row],[Bal]]))</f>
        <v>1</v>
      </c>
      <c r="J271" s="9">
        <f>IF(Jnl[[#This Row],[BSLv0]]="A",1,-1)*Jnl[[#This Row],[Bal]]</f>
        <v>2.96</v>
      </c>
      <c r="K271" t="str">
        <f>_xlfn.XLOOKUP(Jnl[[#This Row],[Acct]], config_BS[Acct], config_BS[Lv0],,0)</f>
        <v>LC</v>
      </c>
      <c r="L271" t="str">
        <f>_xlfn.XLOOKUP(Jnl[[#This Row],[Acct]], config_BS[Acct], config_BS[Lv1],,0)</f>
        <v>Liability</v>
      </c>
      <c r="M271" t="str">
        <f>_xlfn.XLOOKUP(Jnl[[#This Row],[Acct]], config_BS[Acct], config_BS[Lv2],,0)</f>
        <v>Rec-Pay</v>
      </c>
      <c r="N271" t="str">
        <f>_xlfn.XLOOKUP(Jnl[[#This Row],[TrxId]], Trx[Id], Trx[IncNode], ,0)</f>
        <v>Expense</v>
      </c>
      <c r="O271" t="str">
        <f>_xlfn.XLOOKUP(Jnl[[#This Row],[IncNode]], config_IS[Node], config_IS[Type],,0)</f>
        <v>Op</v>
      </c>
      <c r="P271" t="str">
        <f>_xlfn.XLOOKUP(Jnl[[#This Row],[BSLv2]], dict[Key], dict[Name],,0)</f>
        <v>1.应收-应付</v>
      </c>
      <c r="Q271" t="str">
        <f>_xlfn.XLOOKUP(Jnl[[#This Row],[Acct]], dict[Key], dict[Name],,0)</f>
        <v>应付-税款</v>
      </c>
      <c r="R271" t="str">
        <f>_xlfn.XLOOKUP(Jnl[[#This Row],[Vehicle]],config_vehicle[Id], config_vehicle[Name],,0)</f>
        <v>染匠文化</v>
      </c>
      <c r="S271" t="str">
        <f>_xlfn.XLOOKUP(Jnl[[#This Row],[Division]],config_div[Id], config_div[Name],,0)</f>
        <v>内控合规</v>
      </c>
      <c r="T271" t="str">
        <f>IF(Jnl[[#This Row],[TrxDate]]&lt;=stmt_BS_date_end, "In", "Out")</f>
        <v>In</v>
      </c>
      <c r="U271" t="str">
        <f>IF(Jnl[[#This Row],[TrxDate]]&lt;debug_date_start, "prior", IF(Jnl[[#This Row],[TrxDate]]&gt;debug_date_end, "post", "curr"))</f>
        <v>curr</v>
      </c>
    </row>
    <row r="272" spans="1:21" hidden="1">
      <c r="A272" s="39" t="s">
        <v>455</v>
      </c>
      <c r="B272" s="6">
        <f>_xlfn.XLOOKUP(Jnl[[#This Row],[TrxId]], Trx[Id], Trx[Date],,0)</f>
        <v>46053</v>
      </c>
      <c r="C272" s="6" t="str">
        <f>_xlfn.XLOOKUP(Jnl[[#This Row],[TrxId]], Trx[Id], Trx[Division],,0)</f>
        <v>Ctrl</v>
      </c>
      <c r="D272" s="6" t="str">
        <f>_xlfn.XLOOKUP(Jnl[[#This Row],[TrxId]], Trx[Id], Trx[Action],,0)</f>
        <v>支付</v>
      </c>
      <c r="E272" s="27" t="s">
        <v>113</v>
      </c>
      <c r="F272" s="10" t="s">
        <v>130</v>
      </c>
      <c r="G272" s="10" t="s">
        <v>352</v>
      </c>
      <c r="H272" s="37">
        <v>-11399.28</v>
      </c>
      <c r="I272" s="11" t="b">
        <f>AND(Jnl[[#This Row],[TrxId]]&lt;&gt;"",Jnl[[#This Row],[Acct]]&lt;&gt;"",Jnl[[#This Row],[Item]]&lt;&gt;"",ISNUMBER(Jnl[[#This Row],[Bal]]))</f>
        <v>1</v>
      </c>
      <c r="J272" s="9">
        <f>IF(Jnl[[#This Row],[BSLv0]]="A",1,-1)*Jnl[[#This Row],[Bal]]</f>
        <v>11399.28</v>
      </c>
      <c r="K272" t="str">
        <f>_xlfn.XLOOKUP(Jnl[[#This Row],[Acct]], config_BS[Acct], config_BS[Lv0],,0)</f>
        <v>LC</v>
      </c>
      <c r="L272" t="str">
        <f>_xlfn.XLOOKUP(Jnl[[#This Row],[Acct]], config_BS[Acct], config_BS[Lv1],,0)</f>
        <v>Liability</v>
      </c>
      <c r="M272" t="str">
        <f>_xlfn.XLOOKUP(Jnl[[#This Row],[Acct]], config_BS[Acct], config_BS[Lv2],,0)</f>
        <v>Rec-Pay</v>
      </c>
      <c r="N272" t="str">
        <f>_xlfn.XLOOKUP(Jnl[[#This Row],[TrxId]], Trx[Id], Trx[IncNode], ,0)</f>
        <v>Expense</v>
      </c>
      <c r="O272" t="str">
        <f>_xlfn.XLOOKUP(Jnl[[#This Row],[IncNode]], config_IS[Node], config_IS[Type],,0)</f>
        <v>Op</v>
      </c>
      <c r="P272" t="str">
        <f>_xlfn.XLOOKUP(Jnl[[#This Row],[BSLv2]], dict[Key], dict[Name],,0)</f>
        <v>1.应收-应付</v>
      </c>
      <c r="Q272" t="str">
        <f>_xlfn.XLOOKUP(Jnl[[#This Row],[Acct]], dict[Key], dict[Name],,0)</f>
        <v>应付-税款</v>
      </c>
      <c r="R272" t="str">
        <f>_xlfn.XLOOKUP(Jnl[[#This Row],[Vehicle]],config_vehicle[Id], config_vehicle[Name],,0)</f>
        <v>染匠文化</v>
      </c>
      <c r="S272" t="str">
        <f>_xlfn.XLOOKUP(Jnl[[#This Row],[Division]],config_div[Id], config_div[Name],,0)</f>
        <v>内控合规</v>
      </c>
      <c r="T272" t="str">
        <f>IF(Jnl[[#This Row],[TrxDate]]&lt;=stmt_BS_date_end, "In", "Out")</f>
        <v>In</v>
      </c>
      <c r="U272" t="str">
        <f>IF(Jnl[[#This Row],[TrxDate]]&lt;debug_date_start, "prior", IF(Jnl[[#This Row],[TrxDate]]&gt;debug_date_end, "post", "curr"))</f>
        <v>curr</v>
      </c>
    </row>
    <row r="273" spans="1:21" hidden="1">
      <c r="A273" s="39" t="s">
        <v>457</v>
      </c>
      <c r="B273" s="6">
        <f>_xlfn.XLOOKUP(Jnl[[#This Row],[TrxId]], Trx[Id], Trx[Date],,0)</f>
        <v>46053</v>
      </c>
      <c r="C273" s="6" t="str">
        <f>_xlfn.XLOOKUP(Jnl[[#This Row],[TrxId]], Trx[Id], Trx[Division],,0)</f>
        <v>Zhuse</v>
      </c>
      <c r="D273" s="6" t="str">
        <f>_xlfn.XLOOKUP(Jnl[[#This Row],[TrxId]], Trx[Id], Trx[Action],,0)</f>
        <v>其他销售</v>
      </c>
      <c r="E273" s="27" t="s">
        <v>113</v>
      </c>
      <c r="F273" s="10" t="s">
        <v>12</v>
      </c>
      <c r="G273" s="10" t="s">
        <v>487</v>
      </c>
      <c r="H273" s="37">
        <v>495.53</v>
      </c>
      <c r="I273" s="11" t="b">
        <f>AND(Jnl[[#This Row],[TrxId]]&lt;&gt;"",Jnl[[#This Row],[Acct]]&lt;&gt;"",Jnl[[#This Row],[Item]]&lt;&gt;"",ISNUMBER(Jnl[[#This Row],[Bal]]))</f>
        <v>1</v>
      </c>
      <c r="J273" s="9">
        <f>IF(Jnl[[#This Row],[BSLv0]]="A",1,-1)*Jnl[[#This Row],[Bal]]</f>
        <v>495.53</v>
      </c>
      <c r="K273" t="str">
        <f>_xlfn.XLOOKUP(Jnl[[#This Row],[Acct]], config_BS[Acct], config_BS[Lv0],,0)</f>
        <v>A</v>
      </c>
      <c r="L273" t="str">
        <f>_xlfn.XLOOKUP(Jnl[[#This Row],[Acct]], config_BS[Acct], config_BS[Lv1],,0)</f>
        <v>Assets</v>
      </c>
      <c r="M273" t="str">
        <f>_xlfn.XLOOKUP(Jnl[[#This Row],[Acct]], config_BS[Acct], config_BS[Lv2],,0)</f>
        <v>Cash alike</v>
      </c>
      <c r="N273" t="str">
        <f>_xlfn.XLOOKUP(Jnl[[#This Row],[TrxId]], Trx[Id], Trx[IncNode], ,0)</f>
        <v>Revenue</v>
      </c>
      <c r="O273" t="str">
        <f>_xlfn.XLOOKUP(Jnl[[#This Row],[IncNode]], config_IS[Node], config_IS[Type],,0)</f>
        <v>Op</v>
      </c>
      <c r="P273" t="str">
        <f>_xlfn.XLOOKUP(Jnl[[#This Row],[BSLv2]], dict[Key], dict[Name],,0)</f>
        <v>0.现金及类似</v>
      </c>
      <c r="Q273" t="str">
        <f>_xlfn.XLOOKUP(Jnl[[#This Row],[Acct]], dict[Key], dict[Name],,0)</f>
        <v>银行</v>
      </c>
      <c r="R273" t="str">
        <f>_xlfn.XLOOKUP(Jnl[[#This Row],[Vehicle]],config_vehicle[Id], config_vehicle[Name],,0)</f>
        <v>染匠文化</v>
      </c>
      <c r="S273" t="str">
        <f>_xlfn.XLOOKUP(Jnl[[#This Row],[Division]],config_div[Id], config_div[Name],,0)</f>
        <v>驻色</v>
      </c>
      <c r="T273" t="str">
        <f>IF(Jnl[[#This Row],[TrxDate]]&lt;=stmt_BS_date_end, "In", "Out")</f>
        <v>In</v>
      </c>
      <c r="U273" t="str">
        <f>IF(Jnl[[#This Row],[TrxDate]]&lt;debug_date_start, "prior", IF(Jnl[[#This Row],[TrxDate]]&gt;debug_date_end, "post", "curr"))</f>
        <v>curr</v>
      </c>
    </row>
    <row r="274" spans="1:21" hidden="1">
      <c r="A274" s="39" t="s">
        <v>459</v>
      </c>
      <c r="B274" s="6">
        <f>_xlfn.XLOOKUP(Jnl[[#This Row],[TrxId]], Trx[Id], Trx[Date],,0)</f>
        <v>46053</v>
      </c>
      <c r="C274" s="6" t="str">
        <f>_xlfn.XLOOKUP(Jnl[[#This Row],[TrxId]], Trx[Id], Trx[Division],,0)</f>
        <v>Online</v>
      </c>
      <c r="D274" s="6" t="str">
        <f>_xlfn.XLOOKUP(Jnl[[#This Row],[TrxId]], Trx[Id], Trx[Action],,0)</f>
        <v>增值税</v>
      </c>
      <c r="E274" s="27" t="s">
        <v>86</v>
      </c>
      <c r="F274" s="10" t="s">
        <v>130</v>
      </c>
      <c r="G274" s="10" t="s">
        <v>312</v>
      </c>
      <c r="H274" s="37">
        <v>3367.39</v>
      </c>
      <c r="I274" s="11" t="b">
        <f>AND(Jnl[[#This Row],[TrxId]]&lt;&gt;"",Jnl[[#This Row],[Acct]]&lt;&gt;"",Jnl[[#This Row],[Item]]&lt;&gt;"",ISNUMBER(Jnl[[#This Row],[Bal]]))</f>
        <v>1</v>
      </c>
      <c r="J274" s="9">
        <f>IF(Jnl[[#This Row],[BSLv0]]="A",1,-1)*Jnl[[#This Row],[Bal]]</f>
        <v>-3367.39</v>
      </c>
      <c r="K274" t="str">
        <f>_xlfn.XLOOKUP(Jnl[[#This Row],[Acct]], config_BS[Acct], config_BS[Lv0],,0)</f>
        <v>LC</v>
      </c>
      <c r="L274" t="str">
        <f>_xlfn.XLOOKUP(Jnl[[#This Row],[Acct]], config_BS[Acct], config_BS[Lv1],,0)</f>
        <v>Liability</v>
      </c>
      <c r="M274" t="str">
        <f>_xlfn.XLOOKUP(Jnl[[#This Row],[Acct]], config_BS[Acct], config_BS[Lv2],,0)</f>
        <v>Rec-Pay</v>
      </c>
      <c r="N274" t="str">
        <f>_xlfn.XLOOKUP(Jnl[[#This Row],[TrxId]], Trx[Id], Trx[IncNode], ,0)</f>
        <v>Cost</v>
      </c>
      <c r="O274" t="str">
        <f>_xlfn.XLOOKUP(Jnl[[#This Row],[IncNode]], config_IS[Node], config_IS[Type],,0)</f>
        <v>Op</v>
      </c>
      <c r="P274" t="str">
        <f>_xlfn.XLOOKUP(Jnl[[#This Row],[BSLv2]], dict[Key], dict[Name],,0)</f>
        <v>1.应收-应付</v>
      </c>
      <c r="Q274" t="str">
        <f>_xlfn.XLOOKUP(Jnl[[#This Row],[Acct]], dict[Key], dict[Name],,0)</f>
        <v>应付-税款</v>
      </c>
      <c r="R274" t="str">
        <f>_xlfn.XLOOKUP(Jnl[[#This Row],[Vehicle]],config_vehicle[Id], config_vehicle[Name],,0)</f>
        <v>榆乐</v>
      </c>
      <c r="S274" t="str">
        <f>_xlfn.XLOOKUP(Jnl[[#This Row],[Division]],config_div[Id], config_div[Name],,0)</f>
        <v>网店</v>
      </c>
      <c r="T274" t="str">
        <f>IF(Jnl[[#This Row],[TrxDate]]&lt;=stmt_BS_date_end, "In", "Out")</f>
        <v>In</v>
      </c>
      <c r="U274" t="str">
        <f>IF(Jnl[[#This Row],[TrxDate]]&lt;debug_date_start, "prior", IF(Jnl[[#This Row],[TrxDate]]&gt;debug_date_end, "post", "curr"))</f>
        <v>curr</v>
      </c>
    </row>
    <row r="275" spans="1:21" hidden="1">
      <c r="A275" s="39" t="s">
        <v>461</v>
      </c>
      <c r="B275" s="6">
        <f>_xlfn.XLOOKUP(Jnl[[#This Row],[TrxId]], Trx[Id], Trx[Date],,0)</f>
        <v>46053</v>
      </c>
      <c r="C275" s="6" t="str">
        <f>_xlfn.XLOOKUP(Jnl[[#This Row],[TrxId]], Trx[Id], Trx[Division],,0)</f>
        <v>GM</v>
      </c>
      <c r="D275" s="6" t="str">
        <f>_xlfn.XLOOKUP(Jnl[[#This Row],[TrxId]], Trx[Id], Trx[Action],,0)</f>
        <v>补贴</v>
      </c>
      <c r="E275" s="27" t="s">
        <v>113</v>
      </c>
      <c r="F275" s="10" t="s">
        <v>12</v>
      </c>
      <c r="G275" s="10" t="s">
        <v>487</v>
      </c>
      <c r="H275" s="37">
        <v>93.81</v>
      </c>
      <c r="I275" s="11" t="b">
        <f>AND(Jnl[[#This Row],[TrxId]]&lt;&gt;"",Jnl[[#This Row],[Acct]]&lt;&gt;"",Jnl[[#This Row],[Item]]&lt;&gt;"",ISNUMBER(Jnl[[#This Row],[Bal]]))</f>
        <v>1</v>
      </c>
      <c r="J275" s="9">
        <f>IF(Jnl[[#This Row],[BSLv0]]="A",1,-1)*Jnl[[#This Row],[Bal]]</f>
        <v>93.81</v>
      </c>
      <c r="K275" t="str">
        <f>_xlfn.XLOOKUP(Jnl[[#This Row],[Acct]], config_BS[Acct], config_BS[Lv0],,0)</f>
        <v>A</v>
      </c>
      <c r="L275" t="str">
        <f>_xlfn.XLOOKUP(Jnl[[#This Row],[Acct]], config_BS[Acct], config_BS[Lv1],,0)</f>
        <v>Assets</v>
      </c>
      <c r="M275" t="str">
        <f>_xlfn.XLOOKUP(Jnl[[#This Row],[Acct]], config_BS[Acct], config_BS[Lv2],,0)</f>
        <v>Cash alike</v>
      </c>
      <c r="N275" t="str">
        <f>_xlfn.XLOOKUP(Jnl[[#This Row],[TrxId]], Trx[Id], Trx[IncNode], ,0)</f>
        <v>Other</v>
      </c>
      <c r="O275" t="str">
        <f>_xlfn.XLOOKUP(Jnl[[#This Row],[IncNode]], config_IS[Node], config_IS[Type],,0)</f>
        <v>Non-Op</v>
      </c>
      <c r="P275" t="str">
        <f>_xlfn.XLOOKUP(Jnl[[#This Row],[BSLv2]], dict[Key], dict[Name],,0)</f>
        <v>0.现金及类似</v>
      </c>
      <c r="Q275" t="str">
        <f>_xlfn.XLOOKUP(Jnl[[#This Row],[Acct]], dict[Key], dict[Name],,0)</f>
        <v>银行</v>
      </c>
      <c r="R275" t="str">
        <f>_xlfn.XLOOKUP(Jnl[[#This Row],[Vehicle]],config_vehicle[Id], config_vehicle[Name],,0)</f>
        <v>染匠文化</v>
      </c>
      <c r="S275" t="str">
        <f>_xlfn.XLOOKUP(Jnl[[#This Row],[Division]],config_div[Id], config_div[Name],,0)</f>
        <v>综合管理</v>
      </c>
      <c r="T275" t="str">
        <f>IF(Jnl[[#This Row],[TrxDate]]&lt;=stmt_BS_date_end, "In", "Out")</f>
        <v>In</v>
      </c>
      <c r="U275" t="str">
        <f>IF(Jnl[[#This Row],[TrxDate]]&lt;debug_date_start, "prior", IF(Jnl[[#This Row],[TrxDate]]&gt;debug_date_end, "post", "curr"))</f>
        <v>curr</v>
      </c>
    </row>
    <row r="276" spans="1:21" hidden="1">
      <c r="A276" s="39" t="s">
        <v>462</v>
      </c>
      <c r="B276" s="6">
        <f>_xlfn.XLOOKUP(Jnl[[#This Row],[TrxId]], Trx[Id], Trx[Date],,0)</f>
        <v>46053</v>
      </c>
      <c r="C276" s="6" t="str">
        <f>_xlfn.XLOOKUP(Jnl[[#This Row],[TrxId]], Trx[Id], Trx[Division],,0)</f>
        <v>Zhuse</v>
      </c>
      <c r="D276" s="6" t="str">
        <f>_xlfn.XLOOKUP(Jnl[[#This Row],[TrxId]], Trx[Id], Trx[Action],,0)</f>
        <v>增值税</v>
      </c>
      <c r="E276" s="27" t="s">
        <v>113</v>
      </c>
      <c r="F276" s="10" t="s">
        <v>130</v>
      </c>
      <c r="G276" s="10" t="s">
        <v>312</v>
      </c>
      <c r="H276" s="37">
        <v>0.93</v>
      </c>
      <c r="I276" s="11" t="b">
        <f>AND(Jnl[[#This Row],[TrxId]]&lt;&gt;"",Jnl[[#This Row],[Acct]]&lt;&gt;"",Jnl[[#This Row],[Item]]&lt;&gt;"",ISNUMBER(Jnl[[#This Row],[Bal]]))</f>
        <v>1</v>
      </c>
      <c r="J276" s="9">
        <f>IF(Jnl[[#This Row],[BSLv0]]="A",1,-1)*Jnl[[#This Row],[Bal]]</f>
        <v>-0.93</v>
      </c>
      <c r="K276" t="str">
        <f>_xlfn.XLOOKUP(Jnl[[#This Row],[Acct]], config_BS[Acct], config_BS[Lv0],,0)</f>
        <v>LC</v>
      </c>
      <c r="L276" t="str">
        <f>_xlfn.XLOOKUP(Jnl[[#This Row],[Acct]], config_BS[Acct], config_BS[Lv1],,0)</f>
        <v>Liability</v>
      </c>
      <c r="M276" t="str">
        <f>_xlfn.XLOOKUP(Jnl[[#This Row],[Acct]], config_BS[Acct], config_BS[Lv2],,0)</f>
        <v>Rec-Pay</v>
      </c>
      <c r="N276" t="str">
        <f>_xlfn.XLOOKUP(Jnl[[#This Row],[TrxId]], Trx[Id], Trx[IncNode], ,0)</f>
        <v>Cost</v>
      </c>
      <c r="O276" t="str">
        <f>_xlfn.XLOOKUP(Jnl[[#This Row],[IncNode]], config_IS[Node], config_IS[Type],,0)</f>
        <v>Op</v>
      </c>
      <c r="P276" t="str">
        <f>_xlfn.XLOOKUP(Jnl[[#This Row],[BSLv2]], dict[Key], dict[Name],,0)</f>
        <v>1.应收-应付</v>
      </c>
      <c r="Q276" t="str">
        <f>_xlfn.XLOOKUP(Jnl[[#This Row],[Acct]], dict[Key], dict[Name],,0)</f>
        <v>应付-税款</v>
      </c>
      <c r="R276" t="str">
        <f>_xlfn.XLOOKUP(Jnl[[#This Row],[Vehicle]],config_vehicle[Id], config_vehicle[Name],,0)</f>
        <v>染匠文化</v>
      </c>
      <c r="S276" t="str">
        <f>_xlfn.XLOOKUP(Jnl[[#This Row],[Division]],config_div[Id], config_div[Name],,0)</f>
        <v>驻色</v>
      </c>
      <c r="T276" t="str">
        <f>IF(Jnl[[#This Row],[TrxDate]]&lt;=stmt_BS_date_end, "In", "Out")</f>
        <v>In</v>
      </c>
      <c r="U276" t="str">
        <f>IF(Jnl[[#This Row],[TrxDate]]&lt;debug_date_start, "prior", IF(Jnl[[#This Row],[TrxDate]]&gt;debug_date_end, "post", "curr"))</f>
        <v>curr</v>
      </c>
    </row>
    <row r="277" spans="1:21" hidden="1">
      <c r="A277" s="39" t="s">
        <v>464</v>
      </c>
      <c r="B277" s="6">
        <f>_xlfn.XLOOKUP(Jnl[[#This Row],[TrxId]], Trx[Id], Trx[Date],,0)</f>
        <v>46053</v>
      </c>
      <c r="C277" s="6" t="str">
        <f>_xlfn.XLOOKUP(Jnl[[#This Row],[TrxId]], Trx[Id], Trx[Division],,0)</f>
        <v>GM</v>
      </c>
      <c r="D277" s="6" t="str">
        <f>_xlfn.XLOOKUP(Jnl[[#This Row],[TrxId]], Trx[Id], Trx[Action],,0)</f>
        <v>福利</v>
      </c>
      <c r="E277" s="27" t="s">
        <v>113</v>
      </c>
      <c r="F277" s="10" t="s">
        <v>12</v>
      </c>
      <c r="G277" s="10" t="s">
        <v>487</v>
      </c>
      <c r="H277" s="37">
        <v>-164.54</v>
      </c>
      <c r="I277" s="11" t="b">
        <f>AND(Jnl[[#This Row],[TrxId]]&lt;&gt;"",Jnl[[#This Row],[Acct]]&lt;&gt;"",Jnl[[#This Row],[Item]]&lt;&gt;"",ISNUMBER(Jnl[[#This Row],[Bal]]))</f>
        <v>1</v>
      </c>
      <c r="J277" s="9">
        <f>IF(Jnl[[#This Row],[BSLv0]]="A",1,-1)*Jnl[[#This Row],[Bal]]</f>
        <v>-164.54</v>
      </c>
      <c r="K277" t="str">
        <f>_xlfn.XLOOKUP(Jnl[[#This Row],[Acct]], config_BS[Acct], config_BS[Lv0],,0)</f>
        <v>A</v>
      </c>
      <c r="L277" t="str">
        <f>_xlfn.XLOOKUP(Jnl[[#This Row],[Acct]], config_BS[Acct], config_BS[Lv1],,0)</f>
        <v>Assets</v>
      </c>
      <c r="M277" t="str">
        <f>_xlfn.XLOOKUP(Jnl[[#This Row],[Acct]], config_BS[Acct], config_BS[Lv2],,0)</f>
        <v>Cash alike</v>
      </c>
      <c r="N277" t="str">
        <f>_xlfn.XLOOKUP(Jnl[[#This Row],[TrxId]], Trx[Id], Trx[IncNode], ,0)</f>
        <v>Expense</v>
      </c>
      <c r="O277" t="str">
        <f>_xlfn.XLOOKUP(Jnl[[#This Row],[IncNode]], config_IS[Node], config_IS[Type],,0)</f>
        <v>Op</v>
      </c>
      <c r="P277" t="str">
        <f>_xlfn.XLOOKUP(Jnl[[#This Row],[BSLv2]], dict[Key], dict[Name],,0)</f>
        <v>0.现金及类似</v>
      </c>
      <c r="Q277" t="str">
        <f>_xlfn.XLOOKUP(Jnl[[#This Row],[Acct]], dict[Key], dict[Name],,0)</f>
        <v>银行</v>
      </c>
      <c r="R277" t="str">
        <f>_xlfn.XLOOKUP(Jnl[[#This Row],[Vehicle]],config_vehicle[Id], config_vehicle[Name],,0)</f>
        <v>染匠文化</v>
      </c>
      <c r="S277" t="str">
        <f>_xlfn.XLOOKUP(Jnl[[#This Row],[Division]],config_div[Id], config_div[Name],,0)</f>
        <v>综合管理</v>
      </c>
      <c r="T277" t="str">
        <f>IF(Jnl[[#This Row],[TrxDate]]&lt;=stmt_BS_date_end, "In", "Out")</f>
        <v>In</v>
      </c>
      <c r="U277" t="str">
        <f>IF(Jnl[[#This Row],[TrxDate]]&lt;debug_date_start, "prior", IF(Jnl[[#This Row],[TrxDate]]&gt;debug_date_end, "post", "curr"))</f>
        <v>curr</v>
      </c>
    </row>
    <row r="278" spans="1:21" hidden="1">
      <c r="A278" s="39" t="s">
        <v>466</v>
      </c>
      <c r="B278" s="6">
        <f>_xlfn.XLOOKUP(Jnl[[#This Row],[TrxId]], Trx[Id], Trx[Date],,0)</f>
        <v>46053</v>
      </c>
      <c r="C278" s="6" t="str">
        <f>_xlfn.XLOOKUP(Jnl[[#This Row],[TrxId]], Trx[Id], Trx[Division],,0)</f>
        <v>GM</v>
      </c>
      <c r="D278" s="6" t="str">
        <f>_xlfn.XLOOKUP(Jnl[[#This Row],[TrxId]], Trx[Id], Trx[Action],,0)</f>
        <v>办公</v>
      </c>
      <c r="E278" s="27" t="s">
        <v>113</v>
      </c>
      <c r="F278" s="10" t="s">
        <v>12</v>
      </c>
      <c r="G278" s="10" t="s">
        <v>487</v>
      </c>
      <c r="H278" s="37">
        <v>-2953.64</v>
      </c>
      <c r="I278" s="11" t="b">
        <f>AND(Jnl[[#This Row],[TrxId]]&lt;&gt;"",Jnl[[#This Row],[Acct]]&lt;&gt;"",Jnl[[#This Row],[Item]]&lt;&gt;"",ISNUMBER(Jnl[[#This Row],[Bal]]))</f>
        <v>1</v>
      </c>
      <c r="J278" s="9">
        <f>IF(Jnl[[#This Row],[BSLv0]]="A",1,-1)*Jnl[[#This Row],[Bal]]</f>
        <v>-2953.64</v>
      </c>
      <c r="K278" t="str">
        <f>_xlfn.XLOOKUP(Jnl[[#This Row],[Acct]], config_BS[Acct], config_BS[Lv0],,0)</f>
        <v>A</v>
      </c>
      <c r="L278" t="str">
        <f>_xlfn.XLOOKUP(Jnl[[#This Row],[Acct]], config_BS[Acct], config_BS[Lv1],,0)</f>
        <v>Assets</v>
      </c>
      <c r="M278" t="str">
        <f>_xlfn.XLOOKUP(Jnl[[#This Row],[Acct]], config_BS[Acct], config_BS[Lv2],,0)</f>
        <v>Cash alike</v>
      </c>
      <c r="N278" t="str">
        <f>_xlfn.XLOOKUP(Jnl[[#This Row],[TrxId]], Trx[Id], Trx[IncNode], ,0)</f>
        <v>Expense</v>
      </c>
      <c r="O278" t="str">
        <f>_xlfn.XLOOKUP(Jnl[[#This Row],[IncNode]], config_IS[Node], config_IS[Type],,0)</f>
        <v>Op</v>
      </c>
      <c r="P278" t="str">
        <f>_xlfn.XLOOKUP(Jnl[[#This Row],[BSLv2]], dict[Key], dict[Name],,0)</f>
        <v>0.现金及类似</v>
      </c>
      <c r="Q278" t="str">
        <f>_xlfn.XLOOKUP(Jnl[[#This Row],[Acct]], dict[Key], dict[Name],,0)</f>
        <v>银行</v>
      </c>
      <c r="R278" t="str">
        <f>_xlfn.XLOOKUP(Jnl[[#This Row],[Vehicle]],config_vehicle[Id], config_vehicle[Name],,0)</f>
        <v>染匠文化</v>
      </c>
      <c r="S278" t="str">
        <f>_xlfn.XLOOKUP(Jnl[[#This Row],[Division]],config_div[Id], config_div[Name],,0)</f>
        <v>综合管理</v>
      </c>
      <c r="T278" t="str">
        <f>IF(Jnl[[#This Row],[TrxDate]]&lt;=stmt_BS_date_end, "In", "Out")</f>
        <v>In</v>
      </c>
      <c r="U278" t="str">
        <f>IF(Jnl[[#This Row],[TrxDate]]&lt;debug_date_start, "prior", IF(Jnl[[#This Row],[TrxDate]]&gt;debug_date_end, "post", "curr"))</f>
        <v>curr</v>
      </c>
    </row>
    <row r="279" spans="1:21" hidden="1">
      <c r="A279" s="39" t="s">
        <v>468</v>
      </c>
      <c r="B279" s="6">
        <f>_xlfn.XLOOKUP(Jnl[[#This Row],[TrxId]], Trx[Id], Trx[Date],,0)</f>
        <v>46053</v>
      </c>
      <c r="C279" s="6" t="str">
        <f>_xlfn.XLOOKUP(Jnl[[#This Row],[TrxId]], Trx[Id], Trx[Division],,0)</f>
        <v>GM</v>
      </c>
      <c r="D279" s="6" t="str">
        <f>_xlfn.XLOOKUP(Jnl[[#This Row],[TrxId]], Trx[Id], Trx[Action],,0)</f>
        <v>办公</v>
      </c>
      <c r="E279" s="27" t="s">
        <v>113</v>
      </c>
      <c r="F279" s="10" t="s">
        <v>12</v>
      </c>
      <c r="G279" s="10" t="s">
        <v>487</v>
      </c>
      <c r="H279" s="37">
        <v>-462.08</v>
      </c>
      <c r="I279" s="11" t="b">
        <f>AND(Jnl[[#This Row],[TrxId]]&lt;&gt;"",Jnl[[#This Row],[Acct]]&lt;&gt;"",Jnl[[#This Row],[Item]]&lt;&gt;"",ISNUMBER(Jnl[[#This Row],[Bal]]))</f>
        <v>1</v>
      </c>
      <c r="J279" s="9">
        <f>IF(Jnl[[#This Row],[BSLv0]]="A",1,-1)*Jnl[[#This Row],[Bal]]</f>
        <v>-462.08</v>
      </c>
      <c r="K279" t="str">
        <f>_xlfn.XLOOKUP(Jnl[[#This Row],[Acct]], config_BS[Acct], config_BS[Lv0],,0)</f>
        <v>A</v>
      </c>
      <c r="L279" t="str">
        <f>_xlfn.XLOOKUP(Jnl[[#This Row],[Acct]], config_BS[Acct], config_BS[Lv1],,0)</f>
        <v>Assets</v>
      </c>
      <c r="M279" t="str">
        <f>_xlfn.XLOOKUP(Jnl[[#This Row],[Acct]], config_BS[Acct], config_BS[Lv2],,0)</f>
        <v>Cash alike</v>
      </c>
      <c r="N279" t="str">
        <f>_xlfn.XLOOKUP(Jnl[[#This Row],[TrxId]], Trx[Id], Trx[IncNode], ,0)</f>
        <v>Expense</v>
      </c>
      <c r="O279" t="str">
        <f>_xlfn.XLOOKUP(Jnl[[#This Row],[IncNode]], config_IS[Node], config_IS[Type],,0)</f>
        <v>Op</v>
      </c>
      <c r="P279" t="str">
        <f>_xlfn.XLOOKUP(Jnl[[#This Row],[BSLv2]], dict[Key], dict[Name],,0)</f>
        <v>0.现金及类似</v>
      </c>
      <c r="Q279" t="str">
        <f>_xlfn.XLOOKUP(Jnl[[#This Row],[Acct]], dict[Key], dict[Name],,0)</f>
        <v>银行</v>
      </c>
      <c r="R279" t="str">
        <f>_xlfn.XLOOKUP(Jnl[[#This Row],[Vehicle]],config_vehicle[Id], config_vehicle[Name],,0)</f>
        <v>染匠文化</v>
      </c>
      <c r="S279" t="str">
        <f>_xlfn.XLOOKUP(Jnl[[#This Row],[Division]],config_div[Id], config_div[Name],,0)</f>
        <v>综合管理</v>
      </c>
      <c r="T279" t="str">
        <f>IF(Jnl[[#This Row],[TrxDate]]&lt;=stmt_BS_date_end, "In", "Out")</f>
        <v>In</v>
      </c>
      <c r="U279" t="str">
        <f>IF(Jnl[[#This Row],[TrxDate]]&lt;debug_date_start, "prior", IF(Jnl[[#This Row],[TrxDate]]&gt;debug_date_end, "post", "curr"))</f>
        <v>curr</v>
      </c>
    </row>
    <row r="280" spans="1:21" hidden="1">
      <c r="A280" s="39" t="s">
        <v>470</v>
      </c>
      <c r="B280" s="6">
        <f>_xlfn.XLOOKUP(Jnl[[#This Row],[TrxId]], Trx[Id], Trx[Date],,0)</f>
        <v>46053</v>
      </c>
      <c r="C280" s="6" t="str">
        <f>_xlfn.XLOOKUP(Jnl[[#This Row],[TrxId]], Trx[Id], Trx[Division],,0)</f>
        <v>GM</v>
      </c>
      <c r="D280" s="6" t="str">
        <f>_xlfn.XLOOKUP(Jnl[[#This Row],[TrxId]], Trx[Id], Trx[Action],,0)</f>
        <v>福利</v>
      </c>
      <c r="E280" s="27" t="s">
        <v>113</v>
      </c>
      <c r="F280" s="10" t="s">
        <v>12</v>
      </c>
      <c r="G280" s="10" t="s">
        <v>487</v>
      </c>
      <c r="H280" s="37">
        <v>-479</v>
      </c>
      <c r="I280" s="11" t="b">
        <f>AND(Jnl[[#This Row],[TrxId]]&lt;&gt;"",Jnl[[#This Row],[Acct]]&lt;&gt;"",Jnl[[#This Row],[Item]]&lt;&gt;"",ISNUMBER(Jnl[[#This Row],[Bal]]))</f>
        <v>1</v>
      </c>
      <c r="J280" s="9">
        <f>IF(Jnl[[#This Row],[BSLv0]]="A",1,-1)*Jnl[[#This Row],[Bal]]</f>
        <v>-479</v>
      </c>
      <c r="K280" t="str">
        <f>_xlfn.XLOOKUP(Jnl[[#This Row],[Acct]], config_BS[Acct], config_BS[Lv0],,0)</f>
        <v>A</v>
      </c>
      <c r="L280" t="str">
        <f>_xlfn.XLOOKUP(Jnl[[#This Row],[Acct]], config_BS[Acct], config_BS[Lv1],,0)</f>
        <v>Assets</v>
      </c>
      <c r="M280" t="str">
        <f>_xlfn.XLOOKUP(Jnl[[#This Row],[Acct]], config_BS[Acct], config_BS[Lv2],,0)</f>
        <v>Cash alike</v>
      </c>
      <c r="N280" t="str">
        <f>_xlfn.XLOOKUP(Jnl[[#This Row],[TrxId]], Trx[Id], Trx[IncNode], ,0)</f>
        <v>Expense</v>
      </c>
      <c r="O280" t="str">
        <f>_xlfn.XLOOKUP(Jnl[[#This Row],[IncNode]], config_IS[Node], config_IS[Type],,0)</f>
        <v>Op</v>
      </c>
      <c r="P280" t="str">
        <f>_xlfn.XLOOKUP(Jnl[[#This Row],[BSLv2]], dict[Key], dict[Name],,0)</f>
        <v>0.现金及类似</v>
      </c>
      <c r="Q280" t="str">
        <f>_xlfn.XLOOKUP(Jnl[[#This Row],[Acct]], dict[Key], dict[Name],,0)</f>
        <v>银行</v>
      </c>
      <c r="R280" t="str">
        <f>_xlfn.XLOOKUP(Jnl[[#This Row],[Vehicle]],config_vehicle[Id], config_vehicle[Name],,0)</f>
        <v>染匠文化</v>
      </c>
      <c r="S280" t="str">
        <f>_xlfn.XLOOKUP(Jnl[[#This Row],[Division]],config_div[Id], config_div[Name],,0)</f>
        <v>综合管理</v>
      </c>
      <c r="T280" t="str">
        <f>IF(Jnl[[#This Row],[TrxDate]]&lt;=stmt_BS_date_end, "In", "Out")</f>
        <v>In</v>
      </c>
      <c r="U280" t="str">
        <f>IF(Jnl[[#This Row],[TrxDate]]&lt;debug_date_start, "prior", IF(Jnl[[#This Row],[TrxDate]]&gt;debug_date_end, "post", "curr"))</f>
        <v>curr</v>
      </c>
    </row>
    <row r="281" spans="1:21" hidden="1">
      <c r="A281" s="39" t="s">
        <v>471</v>
      </c>
      <c r="B281" s="6">
        <f>_xlfn.XLOOKUP(Jnl[[#This Row],[TrxId]], Trx[Id], Trx[Date],,0)</f>
        <v>46053</v>
      </c>
      <c r="C281" s="6" t="str">
        <f>_xlfn.XLOOKUP(Jnl[[#This Row],[TrxId]], Trx[Id], Trx[Division],,0)</f>
        <v>Zhuse</v>
      </c>
      <c r="D281" s="6" t="str">
        <f>_xlfn.XLOOKUP(Jnl[[#This Row],[TrxId]], Trx[Id], Trx[Action],,0)</f>
        <v>加工</v>
      </c>
      <c r="E281" s="27" t="s">
        <v>113</v>
      </c>
      <c r="F281" s="10" t="s">
        <v>12</v>
      </c>
      <c r="G281" s="10" t="s">
        <v>487</v>
      </c>
      <c r="H281" s="37">
        <v>-4500</v>
      </c>
      <c r="I281" s="11" t="b">
        <f>AND(Jnl[[#This Row],[TrxId]]&lt;&gt;"",Jnl[[#This Row],[Acct]]&lt;&gt;"",Jnl[[#This Row],[Item]]&lt;&gt;"",ISNUMBER(Jnl[[#This Row],[Bal]]))</f>
        <v>1</v>
      </c>
      <c r="J281" s="9">
        <f>IF(Jnl[[#This Row],[BSLv0]]="A",1,-1)*Jnl[[#This Row],[Bal]]</f>
        <v>-4500</v>
      </c>
      <c r="K281" t="str">
        <f>_xlfn.XLOOKUP(Jnl[[#This Row],[Acct]], config_BS[Acct], config_BS[Lv0],,0)</f>
        <v>A</v>
      </c>
      <c r="L281" t="str">
        <f>_xlfn.XLOOKUP(Jnl[[#This Row],[Acct]], config_BS[Acct], config_BS[Lv1],,0)</f>
        <v>Assets</v>
      </c>
      <c r="M281" t="str">
        <f>_xlfn.XLOOKUP(Jnl[[#This Row],[Acct]], config_BS[Acct], config_BS[Lv2],,0)</f>
        <v>Cash alike</v>
      </c>
      <c r="N281" t="str">
        <f>_xlfn.XLOOKUP(Jnl[[#This Row],[TrxId]], Trx[Id], Trx[IncNode], ,0)</f>
        <v>Cost</v>
      </c>
      <c r="O281" t="str">
        <f>_xlfn.XLOOKUP(Jnl[[#This Row],[IncNode]], config_IS[Node], config_IS[Type],,0)</f>
        <v>Op</v>
      </c>
      <c r="P281" t="str">
        <f>_xlfn.XLOOKUP(Jnl[[#This Row],[BSLv2]], dict[Key], dict[Name],,0)</f>
        <v>0.现金及类似</v>
      </c>
      <c r="Q281" t="str">
        <f>_xlfn.XLOOKUP(Jnl[[#This Row],[Acct]], dict[Key], dict[Name],,0)</f>
        <v>银行</v>
      </c>
      <c r="R281" t="str">
        <f>_xlfn.XLOOKUP(Jnl[[#This Row],[Vehicle]],config_vehicle[Id], config_vehicle[Name],,0)</f>
        <v>染匠文化</v>
      </c>
      <c r="S281" t="str">
        <f>_xlfn.XLOOKUP(Jnl[[#This Row],[Division]],config_div[Id], config_div[Name],,0)</f>
        <v>驻色</v>
      </c>
      <c r="T281" t="str">
        <f>IF(Jnl[[#This Row],[TrxDate]]&lt;=stmt_BS_date_end, "In", "Out")</f>
        <v>In</v>
      </c>
      <c r="U281" t="str">
        <f>IF(Jnl[[#This Row],[TrxDate]]&lt;debug_date_start, "prior", IF(Jnl[[#This Row],[TrxDate]]&gt;debug_date_end, "post", "curr"))</f>
        <v>curr</v>
      </c>
    </row>
    <row r="282" spans="1:21" hidden="1">
      <c r="A282" s="39" t="s">
        <v>474</v>
      </c>
      <c r="B282" s="6">
        <f>_xlfn.XLOOKUP(Jnl[[#This Row],[TrxId]], Trx[Id], Trx[Date],,0)</f>
        <v>46053</v>
      </c>
      <c r="C282" s="6" t="str">
        <f>_xlfn.XLOOKUP(Jnl[[#This Row],[TrxId]], Trx[Id], Trx[Division],,0)</f>
        <v>GM</v>
      </c>
      <c r="D282" s="6" t="str">
        <f>_xlfn.XLOOKUP(Jnl[[#This Row],[TrxId]], Trx[Id], Trx[Action],,0)</f>
        <v>福利</v>
      </c>
      <c r="E282" s="27" t="s">
        <v>113</v>
      </c>
      <c r="F282" s="10" t="s">
        <v>12</v>
      </c>
      <c r="G282" s="10" t="s">
        <v>487</v>
      </c>
      <c r="H282" s="37">
        <v>-2478</v>
      </c>
      <c r="I282" s="11" t="b">
        <f>AND(Jnl[[#This Row],[TrxId]]&lt;&gt;"",Jnl[[#This Row],[Acct]]&lt;&gt;"",Jnl[[#This Row],[Item]]&lt;&gt;"",ISNUMBER(Jnl[[#This Row],[Bal]]))</f>
        <v>1</v>
      </c>
      <c r="J282" s="9">
        <f>IF(Jnl[[#This Row],[BSLv0]]="A",1,-1)*Jnl[[#This Row],[Bal]]</f>
        <v>-2478</v>
      </c>
      <c r="K282" t="str">
        <f>_xlfn.XLOOKUP(Jnl[[#This Row],[Acct]], config_BS[Acct], config_BS[Lv0],,0)</f>
        <v>A</v>
      </c>
      <c r="L282" t="str">
        <f>_xlfn.XLOOKUP(Jnl[[#This Row],[Acct]], config_BS[Acct], config_BS[Lv1],,0)</f>
        <v>Assets</v>
      </c>
      <c r="M282" t="str">
        <f>_xlfn.XLOOKUP(Jnl[[#This Row],[Acct]], config_BS[Acct], config_BS[Lv2],,0)</f>
        <v>Cash alike</v>
      </c>
      <c r="N282" t="str">
        <f>_xlfn.XLOOKUP(Jnl[[#This Row],[TrxId]], Trx[Id], Trx[IncNode], ,0)</f>
        <v>Expense</v>
      </c>
      <c r="O282" t="str">
        <f>_xlfn.XLOOKUP(Jnl[[#This Row],[IncNode]], config_IS[Node], config_IS[Type],,0)</f>
        <v>Op</v>
      </c>
      <c r="P282" t="str">
        <f>_xlfn.XLOOKUP(Jnl[[#This Row],[BSLv2]], dict[Key], dict[Name],,0)</f>
        <v>0.现金及类似</v>
      </c>
      <c r="Q282" t="str">
        <f>_xlfn.XLOOKUP(Jnl[[#This Row],[Acct]], dict[Key], dict[Name],,0)</f>
        <v>银行</v>
      </c>
      <c r="R282" t="str">
        <f>_xlfn.XLOOKUP(Jnl[[#This Row],[Vehicle]],config_vehicle[Id], config_vehicle[Name],,0)</f>
        <v>染匠文化</v>
      </c>
      <c r="S282" t="str">
        <f>_xlfn.XLOOKUP(Jnl[[#This Row],[Division]],config_div[Id], config_div[Name],,0)</f>
        <v>综合管理</v>
      </c>
      <c r="T282" t="str">
        <f>IF(Jnl[[#This Row],[TrxDate]]&lt;=stmt_BS_date_end, "In", "Out")</f>
        <v>In</v>
      </c>
      <c r="U282" t="str">
        <f>IF(Jnl[[#This Row],[TrxDate]]&lt;debug_date_start, "prior", IF(Jnl[[#This Row],[TrxDate]]&gt;debug_date_end, "post", "curr"))</f>
        <v>curr</v>
      </c>
    </row>
    <row r="283" spans="1:21" hidden="1">
      <c r="A283" s="39" t="s">
        <v>475</v>
      </c>
      <c r="B283" s="6">
        <f>_xlfn.XLOOKUP(Jnl[[#This Row],[TrxId]], Trx[Id], Trx[Date],,0)</f>
        <v>46053</v>
      </c>
      <c r="C283" s="6" t="str">
        <f>_xlfn.XLOOKUP(Jnl[[#This Row],[TrxId]], Trx[Id], Trx[Division],,0)</f>
        <v>Zhuse</v>
      </c>
      <c r="D283" s="6" t="str">
        <f>_xlfn.XLOOKUP(Jnl[[#This Row],[TrxId]], Trx[Id], Trx[Action],,0)</f>
        <v>维护</v>
      </c>
      <c r="E283" s="27" t="s">
        <v>113</v>
      </c>
      <c r="F283" s="10" t="s">
        <v>12</v>
      </c>
      <c r="G283" s="10" t="s">
        <v>487</v>
      </c>
      <c r="H283" s="37">
        <v>-3860</v>
      </c>
      <c r="I283" s="11" t="b">
        <f>AND(Jnl[[#This Row],[TrxId]]&lt;&gt;"",Jnl[[#This Row],[Acct]]&lt;&gt;"",Jnl[[#This Row],[Item]]&lt;&gt;"",ISNUMBER(Jnl[[#This Row],[Bal]]))</f>
        <v>1</v>
      </c>
      <c r="J283" s="9">
        <f>IF(Jnl[[#This Row],[BSLv0]]="A",1,-1)*Jnl[[#This Row],[Bal]]</f>
        <v>-3860</v>
      </c>
      <c r="K283" t="str">
        <f>_xlfn.XLOOKUP(Jnl[[#This Row],[Acct]], config_BS[Acct], config_BS[Lv0],,0)</f>
        <v>A</v>
      </c>
      <c r="L283" t="str">
        <f>_xlfn.XLOOKUP(Jnl[[#This Row],[Acct]], config_BS[Acct], config_BS[Lv1],,0)</f>
        <v>Assets</v>
      </c>
      <c r="M283" t="str">
        <f>_xlfn.XLOOKUP(Jnl[[#This Row],[Acct]], config_BS[Acct], config_BS[Lv2],,0)</f>
        <v>Cash alike</v>
      </c>
      <c r="N283" t="str">
        <f>_xlfn.XLOOKUP(Jnl[[#This Row],[TrxId]], Trx[Id], Trx[IncNode], ,0)</f>
        <v>Expense</v>
      </c>
      <c r="O283" t="str">
        <f>_xlfn.XLOOKUP(Jnl[[#This Row],[IncNode]], config_IS[Node], config_IS[Type],,0)</f>
        <v>Op</v>
      </c>
      <c r="P283" t="str">
        <f>_xlfn.XLOOKUP(Jnl[[#This Row],[BSLv2]], dict[Key], dict[Name],,0)</f>
        <v>0.现金及类似</v>
      </c>
      <c r="Q283" t="str">
        <f>_xlfn.XLOOKUP(Jnl[[#This Row],[Acct]], dict[Key], dict[Name],,0)</f>
        <v>银行</v>
      </c>
      <c r="R283" t="str">
        <f>_xlfn.XLOOKUP(Jnl[[#This Row],[Vehicle]],config_vehicle[Id], config_vehicle[Name],,0)</f>
        <v>染匠文化</v>
      </c>
      <c r="S283" t="str">
        <f>_xlfn.XLOOKUP(Jnl[[#This Row],[Division]],config_div[Id], config_div[Name],,0)</f>
        <v>驻色</v>
      </c>
      <c r="T283" t="str">
        <f>IF(Jnl[[#This Row],[TrxDate]]&lt;=stmt_BS_date_end, "In", "Out")</f>
        <v>In</v>
      </c>
      <c r="U283" t="str">
        <f>IF(Jnl[[#This Row],[TrxDate]]&lt;debug_date_start, "prior", IF(Jnl[[#This Row],[TrxDate]]&gt;debug_date_end, "post", "curr"))</f>
        <v>curr</v>
      </c>
    </row>
    <row r="284" spans="1:21" hidden="1">
      <c r="A284" s="39" t="s">
        <v>477</v>
      </c>
      <c r="B284" s="6">
        <f>_xlfn.XLOOKUP(Jnl[[#This Row],[TrxId]], Trx[Id], Trx[Date],,0)</f>
        <v>46053</v>
      </c>
      <c r="C284" s="6" t="str">
        <f>_xlfn.XLOOKUP(Jnl[[#This Row],[TrxId]], Trx[Id], Trx[Division],,0)</f>
        <v>Zhuse</v>
      </c>
      <c r="D284" s="6" t="str">
        <f>_xlfn.XLOOKUP(Jnl[[#This Row],[TrxId]], Trx[Id], Trx[Action],,0)</f>
        <v>加工</v>
      </c>
      <c r="E284" s="27" t="s">
        <v>113</v>
      </c>
      <c r="F284" s="10" t="s">
        <v>12</v>
      </c>
      <c r="G284" s="10" t="s">
        <v>487</v>
      </c>
      <c r="H284" s="37">
        <v>26300.7</v>
      </c>
      <c r="I284" s="11" t="b">
        <f>AND(Jnl[[#This Row],[TrxId]]&lt;&gt;"",Jnl[[#This Row],[Acct]]&lt;&gt;"",Jnl[[#This Row],[Item]]&lt;&gt;"",ISNUMBER(Jnl[[#This Row],[Bal]]))</f>
        <v>1</v>
      </c>
      <c r="J284" s="9">
        <f>IF(Jnl[[#This Row],[BSLv0]]="A",1,-1)*Jnl[[#This Row],[Bal]]</f>
        <v>26300.7</v>
      </c>
      <c r="K284" t="str">
        <f>_xlfn.XLOOKUP(Jnl[[#This Row],[Acct]], config_BS[Acct], config_BS[Lv0],,0)</f>
        <v>A</v>
      </c>
      <c r="L284" t="str">
        <f>_xlfn.XLOOKUP(Jnl[[#This Row],[Acct]], config_BS[Acct], config_BS[Lv1],,0)</f>
        <v>Assets</v>
      </c>
      <c r="M284" t="str">
        <f>_xlfn.XLOOKUP(Jnl[[#This Row],[Acct]], config_BS[Acct], config_BS[Lv2],,0)</f>
        <v>Cash alike</v>
      </c>
      <c r="N284" t="str">
        <f>_xlfn.XLOOKUP(Jnl[[#This Row],[TrxId]], Trx[Id], Trx[IncNode], ,0)</f>
        <v>Cost</v>
      </c>
      <c r="O284" t="str">
        <f>_xlfn.XLOOKUP(Jnl[[#This Row],[IncNode]], config_IS[Node], config_IS[Type],,0)</f>
        <v>Op</v>
      </c>
      <c r="P284" t="str">
        <f>_xlfn.XLOOKUP(Jnl[[#This Row],[BSLv2]], dict[Key], dict[Name],,0)</f>
        <v>0.现金及类似</v>
      </c>
      <c r="Q284" t="str">
        <f>_xlfn.XLOOKUP(Jnl[[#This Row],[Acct]], dict[Key], dict[Name],,0)</f>
        <v>银行</v>
      </c>
      <c r="R284" t="str">
        <f>_xlfn.XLOOKUP(Jnl[[#This Row],[Vehicle]],config_vehicle[Id], config_vehicle[Name],,0)</f>
        <v>染匠文化</v>
      </c>
      <c r="S284" t="str">
        <f>_xlfn.XLOOKUP(Jnl[[#This Row],[Division]],config_div[Id], config_div[Name],,0)</f>
        <v>驻色</v>
      </c>
      <c r="T284" t="str">
        <f>IF(Jnl[[#This Row],[TrxDate]]&lt;=stmt_BS_date_end, "In", "Out")</f>
        <v>In</v>
      </c>
      <c r="U284" t="str">
        <f>IF(Jnl[[#This Row],[TrxDate]]&lt;debug_date_start, "prior", IF(Jnl[[#This Row],[TrxDate]]&gt;debug_date_end, "post", "curr"))</f>
        <v>curr</v>
      </c>
    </row>
    <row r="285" spans="1:21" hidden="1">
      <c r="A285" s="39" t="s">
        <v>479</v>
      </c>
      <c r="B285" s="6">
        <f>_xlfn.XLOOKUP(Jnl[[#This Row],[TrxId]], Trx[Id], Trx[Date],,0)</f>
        <v>46053</v>
      </c>
      <c r="C285" s="6" t="str">
        <f>_xlfn.XLOOKUP(Jnl[[#This Row],[TrxId]], Trx[Id], Trx[Division],,0)</f>
        <v>GM</v>
      </c>
      <c r="D285" s="6" t="str">
        <f>_xlfn.XLOOKUP(Jnl[[#This Row],[TrxId]], Trx[Id], Trx[Action],,0)</f>
        <v>银行费</v>
      </c>
      <c r="E285" s="27" t="s">
        <v>113</v>
      </c>
      <c r="F285" s="10" t="s">
        <v>12</v>
      </c>
      <c r="G285" s="10" t="s">
        <v>487</v>
      </c>
      <c r="H285" s="37">
        <v>-21</v>
      </c>
      <c r="I285" s="11" t="b">
        <f>AND(Jnl[[#This Row],[TrxId]]&lt;&gt;"",Jnl[[#This Row],[Acct]]&lt;&gt;"",Jnl[[#This Row],[Item]]&lt;&gt;"",ISNUMBER(Jnl[[#This Row],[Bal]]))</f>
        <v>1</v>
      </c>
      <c r="J285" s="9">
        <f>IF(Jnl[[#This Row],[BSLv0]]="A",1,-1)*Jnl[[#This Row],[Bal]]</f>
        <v>-21</v>
      </c>
      <c r="K285" t="str">
        <f>_xlfn.XLOOKUP(Jnl[[#This Row],[Acct]], config_BS[Acct], config_BS[Lv0],,0)</f>
        <v>A</v>
      </c>
      <c r="L285" t="str">
        <f>_xlfn.XLOOKUP(Jnl[[#This Row],[Acct]], config_BS[Acct], config_BS[Lv1],,0)</f>
        <v>Assets</v>
      </c>
      <c r="M285" t="str">
        <f>_xlfn.XLOOKUP(Jnl[[#This Row],[Acct]], config_BS[Acct], config_BS[Lv2],,0)</f>
        <v>Cash alike</v>
      </c>
      <c r="N285" t="str">
        <f>_xlfn.XLOOKUP(Jnl[[#This Row],[TrxId]], Trx[Id], Trx[IncNode], ,0)</f>
        <v>Expense</v>
      </c>
      <c r="O285" t="str">
        <f>_xlfn.XLOOKUP(Jnl[[#This Row],[IncNode]], config_IS[Node], config_IS[Type],,0)</f>
        <v>Op</v>
      </c>
      <c r="P285" t="str">
        <f>_xlfn.XLOOKUP(Jnl[[#This Row],[BSLv2]], dict[Key], dict[Name],,0)</f>
        <v>0.现金及类似</v>
      </c>
      <c r="Q285" t="str">
        <f>_xlfn.XLOOKUP(Jnl[[#This Row],[Acct]], dict[Key], dict[Name],,0)</f>
        <v>银行</v>
      </c>
      <c r="R285" t="str">
        <f>_xlfn.XLOOKUP(Jnl[[#This Row],[Vehicle]],config_vehicle[Id], config_vehicle[Name],,0)</f>
        <v>染匠文化</v>
      </c>
      <c r="S285" t="str">
        <f>_xlfn.XLOOKUP(Jnl[[#This Row],[Division]],config_div[Id], config_div[Name],,0)</f>
        <v>综合管理</v>
      </c>
      <c r="T285" t="str">
        <f>IF(Jnl[[#This Row],[TrxDate]]&lt;=stmt_BS_date_end, "In", "Out")</f>
        <v>In</v>
      </c>
      <c r="U285" t="str">
        <f>IF(Jnl[[#This Row],[TrxDate]]&lt;debug_date_start, "prior", IF(Jnl[[#This Row],[TrxDate]]&gt;debug_date_end, "post", "curr"))</f>
        <v>curr</v>
      </c>
    </row>
    <row r="286" spans="1:21" hidden="1">
      <c r="A286" s="39" t="s">
        <v>480</v>
      </c>
      <c r="B286" s="6">
        <f>_xlfn.XLOOKUP(Jnl[[#This Row],[TrxId]], Trx[Id], Trx[Date],,0)</f>
        <v>46053</v>
      </c>
      <c r="C286" s="6" t="str">
        <f>_xlfn.XLOOKUP(Jnl[[#This Row],[TrxId]], Trx[Id], Trx[Division],,0)</f>
        <v>GM</v>
      </c>
      <c r="D286" s="6" t="str">
        <f>_xlfn.XLOOKUP(Jnl[[#This Row],[TrxId]], Trx[Id], Trx[Action],,0)</f>
        <v>年终奖</v>
      </c>
      <c r="E286" s="27" t="s">
        <v>113</v>
      </c>
      <c r="F286" s="10" t="s">
        <v>12</v>
      </c>
      <c r="G286" s="10" t="s">
        <v>487</v>
      </c>
      <c r="H286" s="37">
        <v>-15000</v>
      </c>
      <c r="I286" s="11" t="b">
        <f>AND(Jnl[[#This Row],[TrxId]]&lt;&gt;"",Jnl[[#This Row],[Acct]]&lt;&gt;"",Jnl[[#This Row],[Item]]&lt;&gt;"",ISNUMBER(Jnl[[#This Row],[Bal]]))</f>
        <v>1</v>
      </c>
      <c r="J286" s="9">
        <f>IF(Jnl[[#This Row],[BSLv0]]="A",1,-1)*Jnl[[#This Row],[Bal]]</f>
        <v>-15000</v>
      </c>
      <c r="K286" t="str">
        <f>_xlfn.XLOOKUP(Jnl[[#This Row],[Acct]], config_BS[Acct], config_BS[Lv0],,0)</f>
        <v>A</v>
      </c>
      <c r="L286" t="str">
        <f>_xlfn.XLOOKUP(Jnl[[#This Row],[Acct]], config_BS[Acct], config_BS[Lv1],,0)</f>
        <v>Assets</v>
      </c>
      <c r="M286" t="str">
        <f>_xlfn.XLOOKUP(Jnl[[#This Row],[Acct]], config_BS[Acct], config_BS[Lv2],,0)</f>
        <v>Cash alike</v>
      </c>
      <c r="N286" t="str">
        <f>_xlfn.XLOOKUP(Jnl[[#This Row],[TrxId]], Trx[Id], Trx[IncNode], ,0)</f>
        <v>Discretion</v>
      </c>
      <c r="O286" t="str">
        <f>_xlfn.XLOOKUP(Jnl[[#This Row],[IncNode]], config_IS[Node], config_IS[Type],,0)</f>
        <v>Non-Op</v>
      </c>
      <c r="P286" t="str">
        <f>_xlfn.XLOOKUP(Jnl[[#This Row],[BSLv2]], dict[Key], dict[Name],,0)</f>
        <v>0.现金及类似</v>
      </c>
      <c r="Q286" t="str">
        <f>_xlfn.XLOOKUP(Jnl[[#This Row],[Acct]], dict[Key], dict[Name],,0)</f>
        <v>银行</v>
      </c>
      <c r="R286" t="str">
        <f>_xlfn.XLOOKUP(Jnl[[#This Row],[Vehicle]],config_vehicle[Id], config_vehicle[Name],,0)</f>
        <v>染匠文化</v>
      </c>
      <c r="S286" t="str">
        <f>_xlfn.XLOOKUP(Jnl[[#This Row],[Division]],config_div[Id], config_div[Name],,0)</f>
        <v>综合管理</v>
      </c>
      <c r="T286" t="str">
        <f>IF(Jnl[[#This Row],[TrxDate]]&lt;=stmt_BS_date_end, "In", "Out")</f>
        <v>In</v>
      </c>
      <c r="U286" t="str">
        <f>IF(Jnl[[#This Row],[TrxDate]]&lt;debug_date_start, "prior", IF(Jnl[[#This Row],[TrxDate]]&gt;debug_date_end, "post", "curr"))</f>
        <v>curr</v>
      </c>
    </row>
    <row r="287" spans="1:21" hidden="1">
      <c r="A287" s="39" t="s">
        <v>1297</v>
      </c>
      <c r="B287" s="6">
        <f>_xlfn.XLOOKUP(Jnl[[#This Row],[TrxId]], Trx[Id], Trx[Date],,0)</f>
        <v>46053</v>
      </c>
      <c r="C287" s="6" t="str">
        <f>_xlfn.XLOOKUP(Jnl[[#This Row],[TrxId]], Trx[Id], Trx[Division],,0)</f>
        <v>MY</v>
      </c>
      <c r="D287" s="6" t="str">
        <f>_xlfn.XLOOKUP(Jnl[[#This Row],[TrxId]], Trx[Id], Trx[Action],,0)</f>
        <v>增值税</v>
      </c>
      <c r="E287" s="27" t="s">
        <v>85</v>
      </c>
      <c r="F287" s="10" t="s">
        <v>130</v>
      </c>
      <c r="G287" s="10" t="s">
        <v>312</v>
      </c>
      <c r="H287" s="37">
        <v>900</v>
      </c>
      <c r="I287" s="11" t="b">
        <f>AND(Jnl[[#This Row],[TrxId]]&lt;&gt;"",Jnl[[#This Row],[Acct]]&lt;&gt;"",Jnl[[#This Row],[Item]]&lt;&gt;"",ISNUMBER(Jnl[[#This Row],[Bal]]))</f>
        <v>1</v>
      </c>
      <c r="J287" s="9">
        <f>IF(Jnl[[#This Row],[BSLv0]]="A",1,-1)*Jnl[[#This Row],[Bal]]</f>
        <v>-900</v>
      </c>
      <c r="K287" t="str">
        <f>_xlfn.XLOOKUP(Jnl[[#This Row],[Acct]], config_BS[Acct], config_BS[Lv0],,0)</f>
        <v>LC</v>
      </c>
      <c r="L287" t="str">
        <f>_xlfn.XLOOKUP(Jnl[[#This Row],[Acct]], config_BS[Acct], config_BS[Lv1],,0)</f>
        <v>Liability</v>
      </c>
      <c r="M287" t="str">
        <f>_xlfn.XLOOKUP(Jnl[[#This Row],[Acct]], config_BS[Acct], config_BS[Lv2],,0)</f>
        <v>Rec-Pay</v>
      </c>
      <c r="N287" t="str">
        <f>_xlfn.XLOOKUP(Jnl[[#This Row],[TrxId]], Trx[Id], Trx[IncNode], ,0)</f>
        <v>Cost</v>
      </c>
      <c r="O287" t="str">
        <f>_xlfn.XLOOKUP(Jnl[[#This Row],[IncNode]], config_IS[Node], config_IS[Type],,0)</f>
        <v>Op</v>
      </c>
      <c r="P287" t="str">
        <f>_xlfn.XLOOKUP(Jnl[[#This Row],[BSLv2]], dict[Key], dict[Name],,0)</f>
        <v>1.应收-应付</v>
      </c>
      <c r="Q287" t="str">
        <f>_xlfn.XLOOKUP(Jnl[[#This Row],[Acct]], dict[Key], dict[Name],,0)</f>
        <v>应付-税款</v>
      </c>
      <c r="R287" t="str">
        <f>_xlfn.XLOOKUP(Jnl[[#This Row],[Vehicle]],config_vehicle[Id], config_vehicle[Name],,0)</f>
        <v>远家文化</v>
      </c>
      <c r="S287" t="str">
        <f>_xlfn.XLOOKUP(Jnl[[#This Row],[Division]],config_div[Id], config_div[Name],,0)</f>
        <v>明月村</v>
      </c>
      <c r="T287" t="str">
        <f>IF(Jnl[[#This Row],[TrxDate]]&lt;=stmt_BS_date_end, "In", "Out")</f>
        <v>In</v>
      </c>
      <c r="U287" t="str">
        <f>IF(Jnl[[#This Row],[TrxDate]]&lt;debug_date_start, "prior", IF(Jnl[[#This Row],[TrxDate]]&gt;debug_date_end, "post", "curr"))</f>
        <v>curr</v>
      </c>
    </row>
    <row r="288" spans="1:21" hidden="1">
      <c r="A288" s="39" t="s">
        <v>482</v>
      </c>
      <c r="B288" s="6">
        <f>_xlfn.XLOOKUP(Jnl[[#This Row],[TrxId]], Trx[Id], Trx[Date],,0)</f>
        <v>46053</v>
      </c>
      <c r="C288" s="6" t="str">
        <f>_xlfn.XLOOKUP(Jnl[[#This Row],[TrxId]], Trx[Id], Trx[Division],,0)</f>
        <v>Ctrl</v>
      </c>
      <c r="D288" s="6" t="str">
        <f>_xlfn.XLOOKUP(Jnl[[#This Row],[TrxId]], Trx[Id], Trx[Action],,0)</f>
        <v>过账</v>
      </c>
      <c r="E288" s="27" t="s">
        <v>113</v>
      </c>
      <c r="F288" s="10" t="s">
        <v>12</v>
      </c>
      <c r="G288" s="10" t="s">
        <v>487</v>
      </c>
      <c r="H288" s="37">
        <v>-85000</v>
      </c>
      <c r="I288" s="11" t="b">
        <f>AND(Jnl[[#This Row],[TrxId]]&lt;&gt;"",Jnl[[#This Row],[Acct]]&lt;&gt;"",Jnl[[#This Row],[Item]]&lt;&gt;"",ISNUMBER(Jnl[[#This Row],[Bal]]))</f>
        <v>1</v>
      </c>
      <c r="J288" s="9">
        <f>IF(Jnl[[#This Row],[BSLv0]]="A",1,-1)*Jnl[[#This Row],[Bal]]</f>
        <v>-85000</v>
      </c>
      <c r="K288" t="str">
        <f>_xlfn.XLOOKUP(Jnl[[#This Row],[Acct]], config_BS[Acct], config_BS[Lv0],,0)</f>
        <v>A</v>
      </c>
      <c r="L288" t="str">
        <f>_xlfn.XLOOKUP(Jnl[[#This Row],[Acct]], config_BS[Acct], config_BS[Lv1],,0)</f>
        <v>Assets</v>
      </c>
      <c r="M288" t="str">
        <f>_xlfn.XLOOKUP(Jnl[[#This Row],[Acct]], config_BS[Acct], config_BS[Lv2],,0)</f>
        <v>Cash alike</v>
      </c>
      <c r="N288" t="str">
        <f>_xlfn.XLOOKUP(Jnl[[#This Row],[TrxId]], Trx[Id], Trx[IncNode], ,0)</f>
        <v>Other</v>
      </c>
      <c r="O288" t="str">
        <f>_xlfn.XLOOKUP(Jnl[[#This Row],[IncNode]], config_IS[Node], config_IS[Type],,0)</f>
        <v>Non-Op</v>
      </c>
      <c r="P288" t="str">
        <f>_xlfn.XLOOKUP(Jnl[[#This Row],[BSLv2]], dict[Key], dict[Name],,0)</f>
        <v>0.现金及类似</v>
      </c>
      <c r="Q288" t="str">
        <f>_xlfn.XLOOKUP(Jnl[[#This Row],[Acct]], dict[Key], dict[Name],,0)</f>
        <v>银行</v>
      </c>
      <c r="R288" t="str">
        <f>_xlfn.XLOOKUP(Jnl[[#This Row],[Vehicle]],config_vehicle[Id], config_vehicle[Name],,0)</f>
        <v>染匠文化</v>
      </c>
      <c r="S288" t="str">
        <f>_xlfn.XLOOKUP(Jnl[[#This Row],[Division]],config_div[Id], config_div[Name],,0)</f>
        <v>内控合规</v>
      </c>
      <c r="T288" t="str">
        <f>IF(Jnl[[#This Row],[TrxDate]]&lt;=stmt_BS_date_end, "In", "Out")</f>
        <v>In</v>
      </c>
      <c r="U288" t="str">
        <f>IF(Jnl[[#This Row],[TrxDate]]&lt;debug_date_start, "prior", IF(Jnl[[#This Row],[TrxDate]]&gt;debug_date_end, "post", "curr"))</f>
        <v>curr</v>
      </c>
    </row>
    <row r="289" spans="1:21" hidden="1">
      <c r="A289" s="39" t="s">
        <v>482</v>
      </c>
      <c r="B289" s="6">
        <f>_xlfn.XLOOKUP(Jnl[[#This Row],[TrxId]], Trx[Id], Trx[Date],,0)</f>
        <v>46053</v>
      </c>
      <c r="C289" s="6" t="str">
        <f>_xlfn.XLOOKUP(Jnl[[#This Row],[TrxId]], Trx[Id], Trx[Division],,0)</f>
        <v>Ctrl</v>
      </c>
      <c r="D289" s="6" t="str">
        <f>_xlfn.XLOOKUP(Jnl[[#This Row],[TrxId]], Trx[Id], Trx[Action],,0)</f>
        <v>过账</v>
      </c>
      <c r="E289" s="27" t="s">
        <v>109</v>
      </c>
      <c r="F289" s="10" t="s">
        <v>12</v>
      </c>
      <c r="G289" s="10" t="s">
        <v>103</v>
      </c>
      <c r="H289" s="37">
        <f>-H288</f>
        <v>85000</v>
      </c>
      <c r="I289" s="11" t="b">
        <f>AND(Jnl[[#This Row],[TrxId]]&lt;&gt;"",Jnl[[#This Row],[Acct]]&lt;&gt;"",Jnl[[#This Row],[Item]]&lt;&gt;"",ISNUMBER(Jnl[[#This Row],[Bal]]))</f>
        <v>1</v>
      </c>
      <c r="J289" s="9">
        <f>IF(Jnl[[#This Row],[BSLv0]]="A",1,-1)*Jnl[[#This Row],[Bal]]</f>
        <v>85000</v>
      </c>
      <c r="K289" t="str">
        <f>_xlfn.XLOOKUP(Jnl[[#This Row],[Acct]], config_BS[Acct], config_BS[Lv0],,0)</f>
        <v>A</v>
      </c>
      <c r="L289" t="str">
        <f>_xlfn.XLOOKUP(Jnl[[#This Row],[Acct]], config_BS[Acct], config_BS[Lv1],,0)</f>
        <v>Assets</v>
      </c>
      <c r="M289" t="str">
        <f>_xlfn.XLOOKUP(Jnl[[#This Row],[Acct]], config_BS[Acct], config_BS[Lv2],,0)</f>
        <v>Cash alike</v>
      </c>
      <c r="N289" t="str">
        <f>_xlfn.XLOOKUP(Jnl[[#This Row],[TrxId]], Trx[Id], Trx[IncNode], ,0)</f>
        <v>Other</v>
      </c>
      <c r="O289" t="str">
        <f>_xlfn.XLOOKUP(Jnl[[#This Row],[IncNode]], config_IS[Node], config_IS[Type],,0)</f>
        <v>Non-Op</v>
      </c>
      <c r="P289" t="str">
        <f>_xlfn.XLOOKUP(Jnl[[#This Row],[BSLv2]], dict[Key], dict[Name],,0)</f>
        <v>0.现金及类似</v>
      </c>
      <c r="Q289" t="str">
        <f>_xlfn.XLOOKUP(Jnl[[#This Row],[Acct]], dict[Key], dict[Name],,0)</f>
        <v>银行</v>
      </c>
      <c r="R289" t="str">
        <f>_xlfn.XLOOKUP(Jnl[[#This Row],[Vehicle]],config_vehicle[Id], config_vehicle[Name],,0)</f>
        <v>远家文化蒲江分公司</v>
      </c>
      <c r="S289" t="str">
        <f>_xlfn.XLOOKUP(Jnl[[#This Row],[Division]],config_div[Id], config_div[Name],,0)</f>
        <v>内控合规</v>
      </c>
      <c r="T289" t="str">
        <f>IF(Jnl[[#This Row],[TrxDate]]&lt;=stmt_BS_date_end, "In", "Out")</f>
        <v>In</v>
      </c>
      <c r="U289" t="str">
        <f>IF(Jnl[[#This Row],[TrxDate]]&lt;debug_date_start, "prior", IF(Jnl[[#This Row],[TrxDate]]&gt;debug_date_end, "post", "curr"))</f>
        <v>curr</v>
      </c>
    </row>
    <row r="290" spans="1:21" hidden="1">
      <c r="A290" s="39" t="s">
        <v>484</v>
      </c>
      <c r="B290" s="6">
        <f>_xlfn.XLOOKUP(Jnl[[#This Row],[TrxId]], Trx[Id], Trx[Date],,0)</f>
        <v>46053</v>
      </c>
      <c r="C290" s="6" t="str">
        <f>_xlfn.XLOOKUP(Jnl[[#This Row],[TrxId]], Trx[Id], Trx[Division],,0)</f>
        <v>Zhuse</v>
      </c>
      <c r="D290" s="6" t="str">
        <f>_xlfn.XLOOKUP(Jnl[[#This Row],[TrxId]], Trx[Id], Trx[Action],,0)</f>
        <v>薪酬-工资</v>
      </c>
      <c r="E290" s="27" t="s">
        <v>113</v>
      </c>
      <c r="F290" s="10" t="s">
        <v>191</v>
      </c>
      <c r="G290" s="10" t="s">
        <v>152</v>
      </c>
      <c r="H290" s="37">
        <v>36551.61</v>
      </c>
      <c r="I290" s="11" t="b">
        <f>AND(Jnl[[#This Row],[TrxId]]&lt;&gt;"",Jnl[[#This Row],[Acct]]&lt;&gt;"",Jnl[[#This Row],[Item]]&lt;&gt;"",ISNUMBER(Jnl[[#This Row],[Bal]]))</f>
        <v>1</v>
      </c>
      <c r="J290" s="9">
        <f>IF(Jnl[[#This Row],[BSLv0]]="A",1,-1)*Jnl[[#This Row],[Bal]]</f>
        <v>-36551.61</v>
      </c>
      <c r="K290" t="str">
        <f>_xlfn.XLOOKUP(Jnl[[#This Row],[Acct]], config_BS[Acct], config_BS[Lv0],,0)</f>
        <v>LC</v>
      </c>
      <c r="L290" t="str">
        <f>_xlfn.XLOOKUP(Jnl[[#This Row],[Acct]], config_BS[Acct], config_BS[Lv1],,0)</f>
        <v>Liability</v>
      </c>
      <c r="M290" t="str">
        <f>_xlfn.XLOOKUP(Jnl[[#This Row],[Acct]], config_BS[Acct], config_BS[Lv2],,0)</f>
        <v>Rec-Pay</v>
      </c>
      <c r="N290" t="str">
        <f>_xlfn.XLOOKUP(Jnl[[#This Row],[TrxId]], Trx[Id], Trx[IncNode], ,0)</f>
        <v>Expense</v>
      </c>
      <c r="O290" t="str">
        <f>_xlfn.XLOOKUP(Jnl[[#This Row],[IncNode]], config_IS[Node], config_IS[Type],,0)</f>
        <v>Op</v>
      </c>
      <c r="P290" t="str">
        <f>_xlfn.XLOOKUP(Jnl[[#This Row],[BSLv2]], dict[Key], dict[Name],,0)</f>
        <v>1.应收-应付</v>
      </c>
      <c r="Q290" t="str">
        <f>_xlfn.XLOOKUP(Jnl[[#This Row],[Acct]], dict[Key], dict[Name],,0)</f>
        <v>应付-薪资</v>
      </c>
      <c r="R290" t="str">
        <f>_xlfn.XLOOKUP(Jnl[[#This Row],[Vehicle]],config_vehicle[Id], config_vehicle[Name],,0)</f>
        <v>染匠文化</v>
      </c>
      <c r="S290" t="str">
        <f>_xlfn.XLOOKUP(Jnl[[#This Row],[Division]],config_div[Id], config_div[Name],,0)</f>
        <v>驻色</v>
      </c>
      <c r="T290" t="str">
        <f>IF(Jnl[[#This Row],[TrxDate]]&lt;=stmt_BS_date_end, "In", "Out")</f>
        <v>In</v>
      </c>
      <c r="U290" t="str">
        <f>IF(Jnl[[#This Row],[TrxDate]]&lt;debug_date_start, "prior", IF(Jnl[[#This Row],[TrxDate]]&gt;debug_date_end, "post", "curr"))</f>
        <v>curr</v>
      </c>
    </row>
    <row r="291" spans="1:21" hidden="1">
      <c r="A291" s="39" t="s">
        <v>485</v>
      </c>
      <c r="B291" s="6">
        <f>_xlfn.XLOOKUP(Jnl[[#This Row],[TrxId]], Trx[Id], Trx[Date],,0)</f>
        <v>46053</v>
      </c>
      <c r="C291" s="6" t="str">
        <f>_xlfn.XLOOKUP(Jnl[[#This Row],[TrxId]], Trx[Id], Trx[Division],,0)</f>
        <v>Zhuse</v>
      </c>
      <c r="D291" s="6" t="str">
        <f>_xlfn.XLOOKUP(Jnl[[#This Row],[TrxId]], Trx[Id], Trx[Action],,0)</f>
        <v>增值税</v>
      </c>
      <c r="E291" s="27" t="s">
        <v>113</v>
      </c>
      <c r="F291" s="10" t="s">
        <v>130</v>
      </c>
      <c r="G291" s="10" t="s">
        <v>312</v>
      </c>
      <c r="H291" s="37">
        <v>265.31</v>
      </c>
      <c r="I291" s="11" t="b">
        <f>AND(Jnl[[#This Row],[TrxId]]&lt;&gt;"",Jnl[[#This Row],[Acct]]&lt;&gt;"",Jnl[[#This Row],[Item]]&lt;&gt;"",ISNUMBER(Jnl[[#This Row],[Bal]]))</f>
        <v>1</v>
      </c>
      <c r="J291" s="9">
        <f>IF(Jnl[[#This Row],[BSLv0]]="A",1,-1)*Jnl[[#This Row],[Bal]]</f>
        <v>-265.31</v>
      </c>
      <c r="K291" t="str">
        <f>_xlfn.XLOOKUP(Jnl[[#This Row],[Acct]], config_BS[Acct], config_BS[Lv0],,0)</f>
        <v>LC</v>
      </c>
      <c r="L291" t="str">
        <f>_xlfn.XLOOKUP(Jnl[[#This Row],[Acct]], config_BS[Acct], config_BS[Lv1],,0)</f>
        <v>Liability</v>
      </c>
      <c r="M291" t="str">
        <f>_xlfn.XLOOKUP(Jnl[[#This Row],[Acct]], config_BS[Acct], config_BS[Lv2],,0)</f>
        <v>Rec-Pay</v>
      </c>
      <c r="N291" t="str">
        <f>_xlfn.XLOOKUP(Jnl[[#This Row],[TrxId]], Trx[Id], Trx[IncNode], ,0)</f>
        <v>Cost</v>
      </c>
      <c r="O291" t="str">
        <f>_xlfn.XLOOKUP(Jnl[[#This Row],[IncNode]], config_IS[Node], config_IS[Type],,0)</f>
        <v>Op</v>
      </c>
      <c r="P291" t="str">
        <f>_xlfn.XLOOKUP(Jnl[[#This Row],[BSLv2]], dict[Key], dict[Name],,0)</f>
        <v>1.应收-应付</v>
      </c>
      <c r="Q291" t="str">
        <f>_xlfn.XLOOKUP(Jnl[[#This Row],[Acct]], dict[Key], dict[Name],,0)</f>
        <v>应付-税款</v>
      </c>
      <c r="R291" t="str">
        <f>_xlfn.XLOOKUP(Jnl[[#This Row],[Vehicle]],config_vehicle[Id], config_vehicle[Name],,0)</f>
        <v>染匠文化</v>
      </c>
      <c r="S291" t="str">
        <f>_xlfn.XLOOKUP(Jnl[[#This Row],[Division]],config_div[Id], config_div[Name],,0)</f>
        <v>驻色</v>
      </c>
      <c r="T291" t="str">
        <f>IF(Jnl[[#This Row],[TrxDate]]&lt;=stmt_BS_date_end, "In", "Out")</f>
        <v>In</v>
      </c>
      <c r="U291" t="str">
        <f>IF(Jnl[[#This Row],[TrxDate]]&lt;debug_date_start, "prior", IF(Jnl[[#This Row],[TrxDate]]&gt;debug_date_end, "post", "curr"))</f>
        <v>curr</v>
      </c>
    </row>
    <row r="292" spans="1:21" hidden="1">
      <c r="A292" s="39" t="s">
        <v>488</v>
      </c>
      <c r="B292" s="6">
        <f>_xlfn.XLOOKUP(Jnl[[#This Row],[TrxId]], Trx[Id], Trx[Date],,0)</f>
        <v>46053</v>
      </c>
      <c r="C292" s="6" t="str">
        <f>_xlfn.XLOOKUP(Jnl[[#This Row],[TrxId]], Trx[Id], Trx[Division],,0)</f>
        <v>Zhuse</v>
      </c>
      <c r="D292" s="6" t="str">
        <f>_xlfn.XLOOKUP(Jnl[[#This Row],[TrxId]], Trx[Id], Trx[Action],,0)</f>
        <v>其他销售</v>
      </c>
      <c r="E292" s="27" t="s">
        <v>113</v>
      </c>
      <c r="F292" s="10" t="s">
        <v>596</v>
      </c>
      <c r="G292" s="10" t="s">
        <v>597</v>
      </c>
      <c r="H292" s="37">
        <v>200</v>
      </c>
      <c r="I292" s="11" t="b">
        <f>AND(Jnl[[#This Row],[TrxId]]&lt;&gt;"",Jnl[[#This Row],[Acct]]&lt;&gt;"",Jnl[[#This Row],[Item]]&lt;&gt;"",ISNUMBER(Jnl[[#This Row],[Bal]]))</f>
        <v>1</v>
      </c>
      <c r="J292" s="9">
        <f>IF(Jnl[[#This Row],[BSLv0]]="A",1,-1)*Jnl[[#This Row],[Bal]]</f>
        <v>200</v>
      </c>
      <c r="K292" t="str">
        <f>_xlfn.XLOOKUP(Jnl[[#This Row],[Acct]], config_BS[Acct], config_BS[Lv0],,0)</f>
        <v>A</v>
      </c>
      <c r="L292" t="str">
        <f>_xlfn.XLOOKUP(Jnl[[#This Row],[Acct]], config_BS[Acct], config_BS[Lv1],,0)</f>
        <v>Assets</v>
      </c>
      <c r="M292" t="str">
        <f>_xlfn.XLOOKUP(Jnl[[#This Row],[Acct]], config_BS[Acct], config_BS[Lv2],,0)</f>
        <v>Cash alike</v>
      </c>
      <c r="N292" t="str">
        <f>_xlfn.XLOOKUP(Jnl[[#This Row],[TrxId]], Trx[Id], Trx[IncNode], ,0)</f>
        <v>Revenue</v>
      </c>
      <c r="O292" t="str">
        <f>_xlfn.XLOOKUP(Jnl[[#This Row],[IncNode]], config_IS[Node], config_IS[Type],,0)</f>
        <v>Op</v>
      </c>
      <c r="P292" t="str">
        <f>_xlfn.XLOOKUP(Jnl[[#This Row],[BSLv2]], dict[Key], dict[Name],,0)</f>
        <v>0.现金及类似</v>
      </c>
      <c r="Q292" t="str">
        <f>_xlfn.XLOOKUP(Jnl[[#This Row],[Acct]], dict[Key], dict[Name],,0)</f>
        <v>银行</v>
      </c>
      <c r="R292" t="str">
        <f>_xlfn.XLOOKUP(Jnl[[#This Row],[Vehicle]],config_vehicle[Id], config_vehicle[Name],,0)</f>
        <v>染匠文化</v>
      </c>
      <c r="S292" t="str">
        <f>_xlfn.XLOOKUP(Jnl[[#This Row],[Division]],config_div[Id], config_div[Name],,0)</f>
        <v>驻色</v>
      </c>
      <c r="T292" t="str">
        <f>IF(Jnl[[#This Row],[TrxDate]]&lt;=stmt_BS_date_end, "In", "Out")</f>
        <v>In</v>
      </c>
      <c r="U292" t="str">
        <f>IF(Jnl[[#This Row],[TrxDate]]&lt;debug_date_start, "prior", IF(Jnl[[#This Row],[TrxDate]]&gt;debug_date_end, "post", "curr"))</f>
        <v>curr</v>
      </c>
    </row>
    <row r="293" spans="1:21" hidden="1">
      <c r="A293" s="39" t="s">
        <v>493</v>
      </c>
      <c r="B293" s="6">
        <f>_xlfn.XLOOKUP(Jnl[[#This Row],[TrxId]], Trx[Id], Trx[Date],,0)</f>
        <v>46053</v>
      </c>
      <c r="C293" s="6" t="str">
        <f>_xlfn.XLOOKUP(Jnl[[#This Row],[TrxId]], Trx[Id], Trx[Division],,0)</f>
        <v>Shuijie</v>
      </c>
      <c r="D293" s="6" t="str">
        <f>_xlfn.XLOOKUP(Jnl[[#This Row],[TrxId]], Trx[Id], Trx[Action],,0)</f>
        <v>收款</v>
      </c>
      <c r="E293" s="27" t="s">
        <v>84</v>
      </c>
      <c r="F293" s="10" t="s">
        <v>596</v>
      </c>
      <c r="G293" s="10" t="s">
        <v>598</v>
      </c>
      <c r="H293" s="37">
        <v>12892.74</v>
      </c>
      <c r="I293" s="11" t="b">
        <f>AND(Jnl[[#This Row],[TrxId]]&lt;&gt;"",Jnl[[#This Row],[Acct]]&lt;&gt;"",Jnl[[#This Row],[Item]]&lt;&gt;"",ISNUMBER(Jnl[[#This Row],[Bal]]))</f>
        <v>1</v>
      </c>
      <c r="J293" s="9">
        <f>IF(Jnl[[#This Row],[BSLv0]]="A",1,-1)*Jnl[[#This Row],[Bal]]</f>
        <v>12892.74</v>
      </c>
      <c r="K293" t="str">
        <f>_xlfn.XLOOKUP(Jnl[[#This Row],[Acct]], config_BS[Acct], config_BS[Lv0],,0)</f>
        <v>A</v>
      </c>
      <c r="L293" t="str">
        <f>_xlfn.XLOOKUP(Jnl[[#This Row],[Acct]], config_BS[Acct], config_BS[Lv1],,0)</f>
        <v>Assets</v>
      </c>
      <c r="M293" t="str">
        <f>_xlfn.XLOOKUP(Jnl[[#This Row],[Acct]], config_BS[Acct], config_BS[Lv2],,0)</f>
        <v>Cash alike</v>
      </c>
      <c r="N293" t="str">
        <f>_xlfn.XLOOKUP(Jnl[[#This Row],[TrxId]], Trx[Id], Trx[IncNode], ,0)</f>
        <v>Revenue</v>
      </c>
      <c r="O293" t="str">
        <f>_xlfn.XLOOKUP(Jnl[[#This Row],[IncNode]], config_IS[Node], config_IS[Type],,0)</f>
        <v>Op</v>
      </c>
      <c r="P293" t="str">
        <f>_xlfn.XLOOKUP(Jnl[[#This Row],[BSLv2]], dict[Key], dict[Name],,0)</f>
        <v>0.现金及类似</v>
      </c>
      <c r="Q293" t="str">
        <f>_xlfn.XLOOKUP(Jnl[[#This Row],[Acct]], dict[Key], dict[Name],,0)</f>
        <v>银行</v>
      </c>
      <c r="R293" t="str">
        <f>_xlfn.XLOOKUP(Jnl[[#This Row],[Vehicle]],config_vehicle[Id], config_vehicle[Name],,0)</f>
        <v>米小易</v>
      </c>
      <c r="S293" t="str">
        <f>_xlfn.XLOOKUP(Jnl[[#This Row],[Division]],config_div[Id], config_div[Name],,0)</f>
        <v>水街店</v>
      </c>
      <c r="T293" t="str">
        <f>IF(Jnl[[#This Row],[TrxDate]]&lt;=stmt_BS_date_end, "In", "Out")</f>
        <v>In</v>
      </c>
      <c r="U293" t="str">
        <f>IF(Jnl[[#This Row],[TrxDate]]&lt;debug_date_start, "prior", IF(Jnl[[#This Row],[TrxDate]]&gt;debug_date_end, "post", "curr"))</f>
        <v>curr</v>
      </c>
    </row>
    <row r="294" spans="1:21" hidden="1">
      <c r="A294" s="39" t="s">
        <v>493</v>
      </c>
      <c r="B294" s="6">
        <f>_xlfn.XLOOKUP(Jnl[[#This Row],[TrxId]], Trx[Id], Trx[Date],,0)</f>
        <v>46053</v>
      </c>
      <c r="C294" s="6" t="str">
        <f>_xlfn.XLOOKUP(Jnl[[#This Row],[TrxId]], Trx[Id], Trx[Division],,0)</f>
        <v>Shuijie</v>
      </c>
      <c r="D294" s="6" t="str">
        <f>_xlfn.XLOOKUP(Jnl[[#This Row],[TrxId]], Trx[Id], Trx[Action],,0)</f>
        <v>收款</v>
      </c>
      <c r="E294" s="27" t="s">
        <v>84</v>
      </c>
      <c r="F294" s="10" t="s">
        <v>599</v>
      </c>
      <c r="G294" s="10" t="s">
        <v>600</v>
      </c>
      <c r="H294" s="37">
        <v>-12892.74</v>
      </c>
      <c r="I294" s="11" t="b">
        <f>AND(Jnl[[#This Row],[TrxId]]&lt;&gt;"",Jnl[[#This Row],[Acct]]&lt;&gt;"",Jnl[[#This Row],[Item]]&lt;&gt;"",ISNUMBER(Jnl[[#This Row],[Bal]]))</f>
        <v>1</v>
      </c>
      <c r="J294" s="9">
        <f>IF(Jnl[[#This Row],[BSLv0]]="A",1,-1)*Jnl[[#This Row],[Bal]]</f>
        <v>-12892.74</v>
      </c>
      <c r="K294" t="str">
        <f>_xlfn.XLOOKUP(Jnl[[#This Row],[Acct]], config_BS[Acct], config_BS[Lv0],,0)</f>
        <v>A</v>
      </c>
      <c r="L294" t="str">
        <f>_xlfn.XLOOKUP(Jnl[[#This Row],[Acct]], config_BS[Acct], config_BS[Lv1],,0)</f>
        <v>Assets</v>
      </c>
      <c r="M294" t="str">
        <f>_xlfn.XLOOKUP(Jnl[[#This Row],[Acct]], config_BS[Acct], config_BS[Lv2],,0)</f>
        <v>Rec-Pay</v>
      </c>
      <c r="N294" t="str">
        <f>_xlfn.XLOOKUP(Jnl[[#This Row],[TrxId]], Trx[Id], Trx[IncNode], ,0)</f>
        <v>Revenue</v>
      </c>
      <c r="O294" t="str">
        <f>_xlfn.XLOOKUP(Jnl[[#This Row],[IncNode]], config_IS[Node], config_IS[Type],,0)</f>
        <v>Op</v>
      </c>
      <c r="P294" t="str">
        <f>_xlfn.XLOOKUP(Jnl[[#This Row],[BSLv2]], dict[Key], dict[Name],,0)</f>
        <v>1.应收-应付</v>
      </c>
      <c r="Q294" t="str">
        <f>_xlfn.XLOOKUP(Jnl[[#This Row],[Acct]], dict[Key], dict[Name],,0)</f>
        <v>应收-一般</v>
      </c>
      <c r="R294" t="str">
        <f>_xlfn.XLOOKUP(Jnl[[#This Row],[Vehicle]],config_vehicle[Id], config_vehicle[Name],,0)</f>
        <v>米小易</v>
      </c>
      <c r="S294" t="str">
        <f>_xlfn.XLOOKUP(Jnl[[#This Row],[Division]],config_div[Id], config_div[Name],,0)</f>
        <v>水街店</v>
      </c>
      <c r="T294" t="str">
        <f>IF(Jnl[[#This Row],[TrxDate]]&lt;=stmt_BS_date_end, "In", "Out")</f>
        <v>In</v>
      </c>
      <c r="U294" t="str">
        <f>IF(Jnl[[#This Row],[TrxDate]]&lt;debug_date_start, "prior", IF(Jnl[[#This Row],[TrxDate]]&gt;debug_date_end, "post", "curr"))</f>
        <v>curr</v>
      </c>
    </row>
    <row r="295" spans="1:21" hidden="1">
      <c r="A295" s="39" t="s">
        <v>495</v>
      </c>
      <c r="B295" s="6">
        <f>_xlfn.XLOOKUP(Jnl[[#This Row],[TrxId]], Trx[Id], Trx[Date],,0)</f>
        <v>46053</v>
      </c>
      <c r="C295" s="6" t="str">
        <f>_xlfn.XLOOKUP(Jnl[[#This Row],[TrxId]], Trx[Id], Trx[Division],,0)</f>
        <v>Shuijie</v>
      </c>
      <c r="D295" s="6" t="str">
        <f>_xlfn.XLOOKUP(Jnl[[#This Row],[TrxId]], Trx[Id], Trx[Action],,0)</f>
        <v>图书</v>
      </c>
      <c r="E295" s="27" t="s">
        <v>84</v>
      </c>
      <c r="F295" s="10" t="s">
        <v>596</v>
      </c>
      <c r="G295" s="10" t="s">
        <v>598</v>
      </c>
      <c r="H295" s="37">
        <f>12795.08+471.35-H293</f>
        <v>373.69000000000051</v>
      </c>
      <c r="I295" s="11" t="b">
        <f>AND(Jnl[[#This Row],[TrxId]]&lt;&gt;"",Jnl[[#This Row],[Acct]]&lt;&gt;"",Jnl[[#This Row],[Item]]&lt;&gt;"",ISNUMBER(Jnl[[#This Row],[Bal]]))</f>
        <v>1</v>
      </c>
      <c r="J295" s="9">
        <f>IF(Jnl[[#This Row],[BSLv0]]="A",1,-1)*Jnl[[#This Row],[Bal]]</f>
        <v>373.69000000000051</v>
      </c>
      <c r="K295" t="str">
        <f>_xlfn.XLOOKUP(Jnl[[#This Row],[Acct]], config_BS[Acct], config_BS[Lv0],,0)</f>
        <v>A</v>
      </c>
      <c r="L295" t="str">
        <f>_xlfn.XLOOKUP(Jnl[[#This Row],[Acct]], config_BS[Acct], config_BS[Lv1],,0)</f>
        <v>Assets</v>
      </c>
      <c r="M295" t="str">
        <f>_xlfn.XLOOKUP(Jnl[[#This Row],[Acct]], config_BS[Acct], config_BS[Lv2],,0)</f>
        <v>Cash alike</v>
      </c>
      <c r="N295" t="str">
        <f>_xlfn.XLOOKUP(Jnl[[#This Row],[TrxId]], Trx[Id], Trx[IncNode], ,0)</f>
        <v>Revenue</v>
      </c>
      <c r="O295" t="str">
        <f>_xlfn.XLOOKUP(Jnl[[#This Row],[IncNode]], config_IS[Node], config_IS[Type],,0)</f>
        <v>Op</v>
      </c>
      <c r="P295" t="str">
        <f>_xlfn.XLOOKUP(Jnl[[#This Row],[BSLv2]], dict[Key], dict[Name],,0)</f>
        <v>0.现金及类似</v>
      </c>
      <c r="Q295" t="str">
        <f>_xlfn.XLOOKUP(Jnl[[#This Row],[Acct]], dict[Key], dict[Name],,0)</f>
        <v>银行</v>
      </c>
      <c r="R295" t="str">
        <f>_xlfn.XLOOKUP(Jnl[[#This Row],[Vehicle]],config_vehicle[Id], config_vehicle[Name],,0)</f>
        <v>米小易</v>
      </c>
      <c r="S295" t="str">
        <f>_xlfn.XLOOKUP(Jnl[[#This Row],[Division]],config_div[Id], config_div[Name],,0)</f>
        <v>水街店</v>
      </c>
      <c r="T295" t="str">
        <f>IF(Jnl[[#This Row],[TrxDate]]&lt;=stmt_BS_date_end, "In", "Out")</f>
        <v>In</v>
      </c>
      <c r="U295" t="str">
        <f>IF(Jnl[[#This Row],[TrxDate]]&lt;debug_date_start, "prior", IF(Jnl[[#This Row],[TrxDate]]&gt;debug_date_end, "post", "curr"))</f>
        <v>curr</v>
      </c>
    </row>
    <row r="296" spans="1:21" hidden="1">
      <c r="A296" s="39" t="s">
        <v>497</v>
      </c>
      <c r="B296" s="6">
        <f>_xlfn.XLOOKUP(Jnl[[#This Row],[TrxId]], Trx[Id], Trx[Date],,0)</f>
        <v>46053</v>
      </c>
      <c r="C296" s="6" t="str">
        <f>_xlfn.XLOOKUP(Jnl[[#This Row],[TrxId]], Trx[Id], Trx[Division],,0)</f>
        <v>Shuijie</v>
      </c>
      <c r="D296" s="6" t="str">
        <f>_xlfn.XLOOKUP(Jnl[[#This Row],[TrxId]], Trx[Id], Trx[Action],,0)</f>
        <v>支付</v>
      </c>
      <c r="E296" s="27" t="s">
        <v>84</v>
      </c>
      <c r="F296" s="10" t="s">
        <v>596</v>
      </c>
      <c r="G296" s="10" t="s">
        <v>598</v>
      </c>
      <c r="H296" s="37">
        <v>-256</v>
      </c>
      <c r="I296" s="11" t="b">
        <f>AND(Jnl[[#This Row],[TrxId]]&lt;&gt;"",Jnl[[#This Row],[Acct]]&lt;&gt;"",Jnl[[#This Row],[Item]]&lt;&gt;"",ISNUMBER(Jnl[[#This Row],[Bal]]))</f>
        <v>1</v>
      </c>
      <c r="J296" s="9">
        <f>IF(Jnl[[#This Row],[BSLv0]]="A",1,-1)*Jnl[[#This Row],[Bal]]</f>
        <v>-256</v>
      </c>
      <c r="K296" t="str">
        <f>_xlfn.XLOOKUP(Jnl[[#This Row],[Acct]], config_BS[Acct], config_BS[Lv0],,0)</f>
        <v>A</v>
      </c>
      <c r="L296" t="str">
        <f>_xlfn.XLOOKUP(Jnl[[#This Row],[Acct]], config_BS[Acct], config_BS[Lv1],,0)</f>
        <v>Assets</v>
      </c>
      <c r="M296" t="str">
        <f>_xlfn.XLOOKUP(Jnl[[#This Row],[Acct]], config_BS[Acct], config_BS[Lv2],,0)</f>
        <v>Cash alike</v>
      </c>
      <c r="N296" t="str">
        <f>_xlfn.XLOOKUP(Jnl[[#This Row],[TrxId]], Trx[Id], Trx[IncNode], ,0)</f>
        <v>Cost</v>
      </c>
      <c r="O296" t="str">
        <f>_xlfn.XLOOKUP(Jnl[[#This Row],[IncNode]], config_IS[Node], config_IS[Type],,0)</f>
        <v>Op</v>
      </c>
      <c r="P296" t="str">
        <f>_xlfn.XLOOKUP(Jnl[[#This Row],[BSLv2]], dict[Key], dict[Name],,0)</f>
        <v>0.现金及类似</v>
      </c>
      <c r="Q296" t="str">
        <f>_xlfn.XLOOKUP(Jnl[[#This Row],[Acct]], dict[Key], dict[Name],,0)</f>
        <v>银行</v>
      </c>
      <c r="R296" t="str">
        <f>_xlfn.XLOOKUP(Jnl[[#This Row],[Vehicle]],config_vehicle[Id], config_vehicle[Name],,0)</f>
        <v>米小易</v>
      </c>
      <c r="S296" t="str">
        <f>_xlfn.XLOOKUP(Jnl[[#This Row],[Division]],config_div[Id], config_div[Name],,0)</f>
        <v>水街店</v>
      </c>
      <c r="T296" t="str">
        <f>IF(Jnl[[#This Row],[TrxDate]]&lt;=stmt_BS_date_end, "In", "Out")</f>
        <v>In</v>
      </c>
      <c r="U296" t="str">
        <f>IF(Jnl[[#This Row],[TrxDate]]&lt;debug_date_start, "prior", IF(Jnl[[#This Row],[TrxDate]]&gt;debug_date_end, "post", "curr"))</f>
        <v>curr</v>
      </c>
    </row>
    <row r="297" spans="1:21" hidden="1">
      <c r="A297" s="39" t="s">
        <v>497</v>
      </c>
      <c r="B297" s="6">
        <f>_xlfn.XLOOKUP(Jnl[[#This Row],[TrxId]], Trx[Id], Trx[Date],,0)</f>
        <v>46053</v>
      </c>
      <c r="C297" s="6" t="str">
        <f>_xlfn.XLOOKUP(Jnl[[#This Row],[TrxId]], Trx[Id], Trx[Division],,0)</f>
        <v>Shuijie</v>
      </c>
      <c r="D297" s="6" t="str">
        <f>_xlfn.XLOOKUP(Jnl[[#This Row],[TrxId]], Trx[Id], Trx[Action],,0)</f>
        <v>支付</v>
      </c>
      <c r="E297" s="27" t="s">
        <v>84</v>
      </c>
      <c r="F297" s="10" t="s">
        <v>498</v>
      </c>
      <c r="G297" s="10" t="s">
        <v>433</v>
      </c>
      <c r="H297" s="37">
        <v>256</v>
      </c>
      <c r="I297" s="11" t="b">
        <f>AND(Jnl[[#This Row],[TrxId]]&lt;&gt;"",Jnl[[#This Row],[Acct]]&lt;&gt;"",Jnl[[#This Row],[Item]]&lt;&gt;"",ISNUMBER(Jnl[[#This Row],[Bal]]))</f>
        <v>1</v>
      </c>
      <c r="J297" s="9">
        <f>IF(Jnl[[#This Row],[BSLv0]]="A",1,-1)*Jnl[[#This Row],[Bal]]</f>
        <v>256</v>
      </c>
      <c r="K297" t="str">
        <f>_xlfn.XLOOKUP(Jnl[[#This Row],[Acct]], config_BS[Acct], config_BS[Lv0],,0)</f>
        <v>A</v>
      </c>
      <c r="L297" t="str">
        <f>_xlfn.XLOOKUP(Jnl[[#This Row],[Acct]], config_BS[Acct], config_BS[Lv1],,0)</f>
        <v>Assets</v>
      </c>
      <c r="M297" t="str">
        <f>_xlfn.XLOOKUP(Jnl[[#This Row],[Acct]], config_BS[Acct], config_BS[Lv2],,0)</f>
        <v>Prep-Sub</v>
      </c>
      <c r="N297" t="str">
        <f>_xlfn.XLOOKUP(Jnl[[#This Row],[TrxId]], Trx[Id], Trx[IncNode], ,0)</f>
        <v>Cost</v>
      </c>
      <c r="O297" t="str">
        <f>_xlfn.XLOOKUP(Jnl[[#This Row],[IncNode]], config_IS[Node], config_IS[Type],,0)</f>
        <v>Op</v>
      </c>
      <c r="P297" t="str">
        <f>_xlfn.XLOOKUP(Jnl[[#This Row],[BSLv2]], dict[Key], dict[Name],,0)</f>
        <v>2.预付-订阅</v>
      </c>
      <c r="Q297" t="str">
        <f>_xlfn.XLOOKUP(Jnl[[#This Row],[Acct]], dict[Key], dict[Name],,0)</f>
        <v>预付订单</v>
      </c>
      <c r="R297" t="str">
        <f>_xlfn.XLOOKUP(Jnl[[#This Row],[Vehicle]],config_vehicle[Id], config_vehicle[Name],,0)</f>
        <v>米小易</v>
      </c>
      <c r="S297" t="str">
        <f>_xlfn.XLOOKUP(Jnl[[#This Row],[Division]],config_div[Id], config_div[Name],,0)</f>
        <v>水街店</v>
      </c>
      <c r="T297" t="str">
        <f>IF(Jnl[[#This Row],[TrxDate]]&lt;=stmt_BS_date_end, "In", "Out")</f>
        <v>In</v>
      </c>
      <c r="U297" t="str">
        <f>IF(Jnl[[#This Row],[TrxDate]]&lt;debug_date_start, "prior", IF(Jnl[[#This Row],[TrxDate]]&gt;debug_date_end, "post", "curr"))</f>
        <v>curr</v>
      </c>
    </row>
    <row r="298" spans="1:21" hidden="1">
      <c r="A298" s="39" t="s">
        <v>499</v>
      </c>
      <c r="B298" s="6">
        <f>_xlfn.XLOOKUP(Jnl[[#This Row],[TrxId]], Trx[Id], Trx[Date],,0)</f>
        <v>46053</v>
      </c>
      <c r="C298" s="6" t="str">
        <f>_xlfn.XLOOKUP(Jnl[[#This Row],[TrxId]], Trx[Id], Trx[Division],,0)</f>
        <v>Shuijie</v>
      </c>
      <c r="D298" s="6" t="str">
        <f>_xlfn.XLOOKUP(Jnl[[#This Row],[TrxId]], Trx[Id], Trx[Action],,0)</f>
        <v>食材</v>
      </c>
      <c r="E298" s="27" t="s">
        <v>84</v>
      </c>
      <c r="F298" s="10" t="s">
        <v>596</v>
      </c>
      <c r="G298" s="10" t="s">
        <v>598</v>
      </c>
      <c r="H298" s="37">
        <v>-3839</v>
      </c>
      <c r="I298" s="11" t="b">
        <f>AND(Jnl[[#This Row],[TrxId]]&lt;&gt;"",Jnl[[#This Row],[Acct]]&lt;&gt;"",Jnl[[#This Row],[Item]]&lt;&gt;"",ISNUMBER(Jnl[[#This Row],[Bal]]))</f>
        <v>1</v>
      </c>
      <c r="J298" s="9">
        <f>IF(Jnl[[#This Row],[BSLv0]]="A",1,-1)*Jnl[[#This Row],[Bal]]</f>
        <v>-3839</v>
      </c>
      <c r="K298" t="str">
        <f>_xlfn.XLOOKUP(Jnl[[#This Row],[Acct]], config_BS[Acct], config_BS[Lv0],,0)</f>
        <v>A</v>
      </c>
      <c r="L298" t="str">
        <f>_xlfn.XLOOKUP(Jnl[[#This Row],[Acct]], config_BS[Acct], config_BS[Lv1],,0)</f>
        <v>Assets</v>
      </c>
      <c r="M298" t="str">
        <f>_xlfn.XLOOKUP(Jnl[[#This Row],[Acct]], config_BS[Acct], config_BS[Lv2],,0)</f>
        <v>Cash alike</v>
      </c>
      <c r="N298" t="str">
        <f>_xlfn.XLOOKUP(Jnl[[#This Row],[TrxId]], Trx[Id], Trx[IncNode], ,0)</f>
        <v>Cost</v>
      </c>
      <c r="O298" t="str">
        <f>_xlfn.XLOOKUP(Jnl[[#This Row],[IncNode]], config_IS[Node], config_IS[Type],,0)</f>
        <v>Op</v>
      </c>
      <c r="P298" t="str">
        <f>_xlfn.XLOOKUP(Jnl[[#This Row],[BSLv2]], dict[Key], dict[Name],,0)</f>
        <v>0.现金及类似</v>
      </c>
      <c r="Q298" t="str">
        <f>_xlfn.XLOOKUP(Jnl[[#This Row],[Acct]], dict[Key], dict[Name],,0)</f>
        <v>银行</v>
      </c>
      <c r="R298" t="str">
        <f>_xlfn.XLOOKUP(Jnl[[#This Row],[Vehicle]],config_vehicle[Id], config_vehicle[Name],,0)</f>
        <v>米小易</v>
      </c>
      <c r="S298" t="str">
        <f>_xlfn.XLOOKUP(Jnl[[#This Row],[Division]],config_div[Id], config_div[Name],,0)</f>
        <v>水街店</v>
      </c>
      <c r="T298" t="str">
        <f>IF(Jnl[[#This Row],[TrxDate]]&lt;=stmt_BS_date_end, "In", "Out")</f>
        <v>In</v>
      </c>
      <c r="U298" t="str">
        <f>IF(Jnl[[#This Row],[TrxDate]]&lt;debug_date_start, "prior", IF(Jnl[[#This Row],[TrxDate]]&gt;debug_date_end, "post", "curr"))</f>
        <v>curr</v>
      </c>
    </row>
    <row r="299" spans="1:21" hidden="1">
      <c r="A299" s="39" t="s">
        <v>502</v>
      </c>
      <c r="B299" s="6">
        <f>_xlfn.XLOOKUP(Jnl[[#This Row],[TrxId]], Trx[Id], Trx[Date],,0)</f>
        <v>46053</v>
      </c>
      <c r="C299" s="6" t="str">
        <f>_xlfn.XLOOKUP(Jnl[[#This Row],[TrxId]], Trx[Id], Trx[Division],,0)</f>
        <v>Shuijie</v>
      </c>
      <c r="D299" s="6" t="str">
        <f>_xlfn.XLOOKUP(Jnl[[#This Row],[TrxId]], Trx[Id], Trx[Action],,0)</f>
        <v>支付</v>
      </c>
      <c r="E299" s="27" t="s">
        <v>84</v>
      </c>
      <c r="F299" s="10" t="s">
        <v>596</v>
      </c>
      <c r="G299" s="10" t="s">
        <v>598</v>
      </c>
      <c r="H299" s="37">
        <v>-6990</v>
      </c>
      <c r="I299" s="11" t="b">
        <f>AND(Jnl[[#This Row],[TrxId]]&lt;&gt;"",Jnl[[#This Row],[Acct]]&lt;&gt;"",Jnl[[#This Row],[Item]]&lt;&gt;"",ISNUMBER(Jnl[[#This Row],[Bal]]))</f>
        <v>1</v>
      </c>
      <c r="J299" s="9">
        <f>IF(Jnl[[#This Row],[BSLv0]]="A",1,-1)*Jnl[[#This Row],[Bal]]</f>
        <v>-6990</v>
      </c>
      <c r="K299" t="str">
        <f>_xlfn.XLOOKUP(Jnl[[#This Row],[Acct]], config_BS[Acct], config_BS[Lv0],,0)</f>
        <v>A</v>
      </c>
      <c r="L299" t="str">
        <f>_xlfn.XLOOKUP(Jnl[[#This Row],[Acct]], config_BS[Acct], config_BS[Lv1],,0)</f>
        <v>Assets</v>
      </c>
      <c r="M299" t="str">
        <f>_xlfn.XLOOKUP(Jnl[[#This Row],[Acct]], config_BS[Acct], config_BS[Lv2],,0)</f>
        <v>Cash alike</v>
      </c>
      <c r="N299" t="str">
        <f>_xlfn.XLOOKUP(Jnl[[#This Row],[TrxId]], Trx[Id], Trx[IncNode], ,0)</f>
        <v>Cost</v>
      </c>
      <c r="O299" t="str">
        <f>_xlfn.XLOOKUP(Jnl[[#This Row],[IncNode]], config_IS[Node], config_IS[Type],,0)</f>
        <v>Op</v>
      </c>
      <c r="P299" t="str">
        <f>_xlfn.XLOOKUP(Jnl[[#This Row],[BSLv2]], dict[Key], dict[Name],,0)</f>
        <v>0.现金及类似</v>
      </c>
      <c r="Q299" t="str">
        <f>_xlfn.XLOOKUP(Jnl[[#This Row],[Acct]], dict[Key], dict[Name],,0)</f>
        <v>银行</v>
      </c>
      <c r="R299" t="str">
        <f>_xlfn.XLOOKUP(Jnl[[#This Row],[Vehicle]],config_vehicle[Id], config_vehicle[Name],,0)</f>
        <v>米小易</v>
      </c>
      <c r="S299" t="str">
        <f>_xlfn.XLOOKUP(Jnl[[#This Row],[Division]],config_div[Id], config_div[Name],,0)</f>
        <v>水街店</v>
      </c>
      <c r="T299" t="str">
        <f>IF(Jnl[[#This Row],[TrxDate]]&lt;=stmt_BS_date_end, "In", "Out")</f>
        <v>In</v>
      </c>
      <c r="U299" t="str">
        <f>IF(Jnl[[#This Row],[TrxDate]]&lt;debug_date_start, "prior", IF(Jnl[[#This Row],[TrxDate]]&gt;debug_date_end, "post", "curr"))</f>
        <v>curr</v>
      </c>
    </row>
    <row r="300" spans="1:21" hidden="1">
      <c r="A300" s="39" t="s">
        <v>502</v>
      </c>
      <c r="B300" s="6">
        <f>_xlfn.XLOOKUP(Jnl[[#This Row],[TrxId]], Trx[Id], Trx[Date],,0)</f>
        <v>46053</v>
      </c>
      <c r="C300" s="6" t="str">
        <f>_xlfn.XLOOKUP(Jnl[[#This Row],[TrxId]], Trx[Id], Trx[Division],,0)</f>
        <v>Shuijie</v>
      </c>
      <c r="D300" s="6" t="str">
        <f>_xlfn.XLOOKUP(Jnl[[#This Row],[TrxId]], Trx[Id], Trx[Action],,0)</f>
        <v>支付</v>
      </c>
      <c r="E300" s="27" t="s">
        <v>84</v>
      </c>
      <c r="F300" s="10" t="s">
        <v>498</v>
      </c>
      <c r="G300" s="10" t="s">
        <v>433</v>
      </c>
      <c r="H300" s="37">
        <v>6990</v>
      </c>
      <c r="I300" s="11" t="b">
        <f>AND(Jnl[[#This Row],[TrxId]]&lt;&gt;"",Jnl[[#This Row],[Acct]]&lt;&gt;"",Jnl[[#This Row],[Item]]&lt;&gt;"",ISNUMBER(Jnl[[#This Row],[Bal]]))</f>
        <v>1</v>
      </c>
      <c r="J300" s="9">
        <f>IF(Jnl[[#This Row],[BSLv0]]="A",1,-1)*Jnl[[#This Row],[Bal]]</f>
        <v>6990</v>
      </c>
      <c r="K300" t="str">
        <f>_xlfn.XLOOKUP(Jnl[[#This Row],[Acct]], config_BS[Acct], config_BS[Lv0],,0)</f>
        <v>A</v>
      </c>
      <c r="L300" t="str">
        <f>_xlfn.XLOOKUP(Jnl[[#This Row],[Acct]], config_BS[Acct], config_BS[Lv1],,0)</f>
        <v>Assets</v>
      </c>
      <c r="M300" t="str">
        <f>_xlfn.XLOOKUP(Jnl[[#This Row],[Acct]], config_BS[Acct], config_BS[Lv2],,0)</f>
        <v>Prep-Sub</v>
      </c>
      <c r="N300" t="str">
        <f>_xlfn.XLOOKUP(Jnl[[#This Row],[TrxId]], Trx[Id], Trx[IncNode], ,0)</f>
        <v>Cost</v>
      </c>
      <c r="O300" t="str">
        <f>_xlfn.XLOOKUP(Jnl[[#This Row],[IncNode]], config_IS[Node], config_IS[Type],,0)</f>
        <v>Op</v>
      </c>
      <c r="P300" t="str">
        <f>_xlfn.XLOOKUP(Jnl[[#This Row],[BSLv2]], dict[Key], dict[Name],,0)</f>
        <v>2.预付-订阅</v>
      </c>
      <c r="Q300" t="str">
        <f>_xlfn.XLOOKUP(Jnl[[#This Row],[Acct]], dict[Key], dict[Name],,0)</f>
        <v>预付订单</v>
      </c>
      <c r="R300" t="str">
        <f>_xlfn.XLOOKUP(Jnl[[#This Row],[Vehicle]],config_vehicle[Id], config_vehicle[Name],,0)</f>
        <v>米小易</v>
      </c>
      <c r="S300" t="str">
        <f>_xlfn.XLOOKUP(Jnl[[#This Row],[Division]],config_div[Id], config_div[Name],,0)</f>
        <v>水街店</v>
      </c>
      <c r="T300" t="str">
        <f>IF(Jnl[[#This Row],[TrxDate]]&lt;=stmt_BS_date_end, "In", "Out")</f>
        <v>In</v>
      </c>
      <c r="U300" t="str">
        <f>IF(Jnl[[#This Row],[TrxDate]]&lt;debug_date_start, "prior", IF(Jnl[[#This Row],[TrxDate]]&gt;debug_date_end, "post", "curr"))</f>
        <v>curr</v>
      </c>
    </row>
    <row r="301" spans="1:21" hidden="1">
      <c r="A301" s="39" t="s">
        <v>504</v>
      </c>
      <c r="B301" s="6">
        <f>_xlfn.XLOOKUP(Jnl[[#This Row],[TrxId]], Trx[Id], Trx[Date],,0)</f>
        <v>46053</v>
      </c>
      <c r="C301" s="6" t="str">
        <f>_xlfn.XLOOKUP(Jnl[[#This Row],[TrxId]], Trx[Id], Trx[Division],,0)</f>
        <v>Shuijie</v>
      </c>
      <c r="D301" s="6" t="str">
        <f>_xlfn.XLOOKUP(Jnl[[#This Row],[TrxId]], Trx[Id], Trx[Action],,0)</f>
        <v>支付</v>
      </c>
      <c r="E301" s="27" t="s">
        <v>84</v>
      </c>
      <c r="F301" s="10" t="s">
        <v>596</v>
      </c>
      <c r="G301" s="10" t="s">
        <v>598</v>
      </c>
      <c r="H301" s="37">
        <v>-3000</v>
      </c>
      <c r="I301" s="11" t="b">
        <f>AND(Jnl[[#This Row],[TrxId]]&lt;&gt;"",Jnl[[#This Row],[Acct]]&lt;&gt;"",Jnl[[#This Row],[Item]]&lt;&gt;"",ISNUMBER(Jnl[[#This Row],[Bal]]))</f>
        <v>1</v>
      </c>
      <c r="J301" s="9">
        <f>IF(Jnl[[#This Row],[BSLv0]]="A",1,-1)*Jnl[[#This Row],[Bal]]</f>
        <v>-3000</v>
      </c>
      <c r="K301" t="str">
        <f>_xlfn.XLOOKUP(Jnl[[#This Row],[Acct]], config_BS[Acct], config_BS[Lv0],,0)</f>
        <v>A</v>
      </c>
      <c r="L301" t="str">
        <f>_xlfn.XLOOKUP(Jnl[[#This Row],[Acct]], config_BS[Acct], config_BS[Lv1],,0)</f>
        <v>Assets</v>
      </c>
      <c r="M301" t="str">
        <f>_xlfn.XLOOKUP(Jnl[[#This Row],[Acct]], config_BS[Acct], config_BS[Lv2],,0)</f>
        <v>Cash alike</v>
      </c>
      <c r="N301" t="str">
        <f>_xlfn.XLOOKUP(Jnl[[#This Row],[TrxId]], Trx[Id], Trx[IncNode], ,0)</f>
        <v>Cost</v>
      </c>
      <c r="O301" t="str">
        <f>_xlfn.XLOOKUP(Jnl[[#This Row],[IncNode]], config_IS[Node], config_IS[Type],,0)</f>
        <v>Op</v>
      </c>
      <c r="P301" t="str">
        <f>_xlfn.XLOOKUP(Jnl[[#This Row],[BSLv2]], dict[Key], dict[Name],,0)</f>
        <v>0.现金及类似</v>
      </c>
      <c r="Q301" t="str">
        <f>_xlfn.XLOOKUP(Jnl[[#This Row],[Acct]], dict[Key], dict[Name],,0)</f>
        <v>银行</v>
      </c>
      <c r="R301" t="str">
        <f>_xlfn.XLOOKUP(Jnl[[#This Row],[Vehicle]],config_vehicle[Id], config_vehicle[Name],,0)</f>
        <v>米小易</v>
      </c>
      <c r="S301" t="str">
        <f>_xlfn.XLOOKUP(Jnl[[#This Row],[Division]],config_div[Id], config_div[Name],,0)</f>
        <v>水街店</v>
      </c>
      <c r="T301" t="str">
        <f>IF(Jnl[[#This Row],[TrxDate]]&lt;=stmt_BS_date_end, "In", "Out")</f>
        <v>In</v>
      </c>
      <c r="U301" t="str">
        <f>IF(Jnl[[#This Row],[TrxDate]]&lt;debug_date_start, "prior", IF(Jnl[[#This Row],[TrxDate]]&gt;debug_date_end, "post", "curr"))</f>
        <v>curr</v>
      </c>
    </row>
    <row r="302" spans="1:21" hidden="1">
      <c r="A302" s="39" t="s">
        <v>504</v>
      </c>
      <c r="B302" s="6">
        <f>_xlfn.XLOOKUP(Jnl[[#This Row],[TrxId]], Trx[Id], Trx[Date],,0)</f>
        <v>46053</v>
      </c>
      <c r="C302" s="6" t="str">
        <f>_xlfn.XLOOKUP(Jnl[[#This Row],[TrxId]], Trx[Id], Trx[Division],,0)</f>
        <v>Shuijie</v>
      </c>
      <c r="D302" s="6" t="str">
        <f>_xlfn.XLOOKUP(Jnl[[#This Row],[TrxId]], Trx[Id], Trx[Action],,0)</f>
        <v>支付</v>
      </c>
      <c r="E302" s="27" t="s">
        <v>508</v>
      </c>
      <c r="F302" s="10" t="s">
        <v>498</v>
      </c>
      <c r="G302" s="10" t="s">
        <v>433</v>
      </c>
      <c r="H302" s="37">
        <v>3000</v>
      </c>
      <c r="I302" s="11" t="b">
        <f>AND(Jnl[[#This Row],[TrxId]]&lt;&gt;"",Jnl[[#This Row],[Acct]]&lt;&gt;"",Jnl[[#This Row],[Item]]&lt;&gt;"",ISNUMBER(Jnl[[#This Row],[Bal]]))</f>
        <v>1</v>
      </c>
      <c r="J302" s="9">
        <f>IF(Jnl[[#This Row],[BSLv0]]="A",1,-1)*Jnl[[#This Row],[Bal]]</f>
        <v>3000</v>
      </c>
      <c r="K302" t="str">
        <f>_xlfn.XLOOKUP(Jnl[[#This Row],[Acct]], config_BS[Acct], config_BS[Lv0],,0)</f>
        <v>A</v>
      </c>
      <c r="L302" t="str">
        <f>_xlfn.XLOOKUP(Jnl[[#This Row],[Acct]], config_BS[Acct], config_BS[Lv1],,0)</f>
        <v>Assets</v>
      </c>
      <c r="M302" t="str">
        <f>_xlfn.XLOOKUP(Jnl[[#This Row],[Acct]], config_BS[Acct], config_BS[Lv2],,0)</f>
        <v>Prep-Sub</v>
      </c>
      <c r="N302" t="str">
        <f>_xlfn.XLOOKUP(Jnl[[#This Row],[TrxId]], Trx[Id], Trx[IncNode], ,0)</f>
        <v>Cost</v>
      </c>
      <c r="O302" t="str">
        <f>_xlfn.XLOOKUP(Jnl[[#This Row],[IncNode]], config_IS[Node], config_IS[Type],,0)</f>
        <v>Op</v>
      </c>
      <c r="P302" t="str">
        <f>_xlfn.XLOOKUP(Jnl[[#This Row],[BSLv2]], dict[Key], dict[Name],,0)</f>
        <v>2.预付-订阅</v>
      </c>
      <c r="Q302" t="str">
        <f>_xlfn.XLOOKUP(Jnl[[#This Row],[Acct]], dict[Key], dict[Name],,0)</f>
        <v>预付订单</v>
      </c>
      <c r="R302" t="str">
        <f>_xlfn.XLOOKUP(Jnl[[#This Row],[Vehicle]],config_vehicle[Id], config_vehicle[Name],,0)</f>
        <v>米小易</v>
      </c>
      <c r="S302" t="str">
        <f>_xlfn.XLOOKUP(Jnl[[#This Row],[Division]],config_div[Id], config_div[Name],,0)</f>
        <v>水街店</v>
      </c>
      <c r="T302" t="str">
        <f>IF(Jnl[[#This Row],[TrxDate]]&lt;=stmt_BS_date_end, "In", "Out")</f>
        <v>In</v>
      </c>
      <c r="U302" t="str">
        <f>IF(Jnl[[#This Row],[TrxDate]]&lt;debug_date_start, "prior", IF(Jnl[[#This Row],[TrxDate]]&gt;debug_date_end, "post", "curr"))</f>
        <v>curr</v>
      </c>
    </row>
    <row r="303" spans="1:21" hidden="1">
      <c r="A303" s="39" t="s">
        <v>506</v>
      </c>
      <c r="B303" s="6">
        <f>_xlfn.XLOOKUP(Jnl[[#This Row],[TrxId]], Trx[Id], Trx[Date],,0)</f>
        <v>46053</v>
      </c>
      <c r="C303" s="6" t="str">
        <f>_xlfn.XLOOKUP(Jnl[[#This Row],[TrxId]], Trx[Id], Trx[Division],,0)</f>
        <v>Shuijie</v>
      </c>
      <c r="D303" s="6" t="str">
        <f>_xlfn.XLOOKUP(Jnl[[#This Row],[TrxId]], Trx[Id], Trx[Action],,0)</f>
        <v>食材</v>
      </c>
      <c r="E303" s="27" t="s">
        <v>84</v>
      </c>
      <c r="F303" s="10" t="s">
        <v>596</v>
      </c>
      <c r="G303" s="10" t="s">
        <v>598</v>
      </c>
      <c r="H303" s="37">
        <v>-2820</v>
      </c>
      <c r="I303" s="11" t="b">
        <f>AND(Jnl[[#This Row],[TrxId]]&lt;&gt;"",Jnl[[#This Row],[Acct]]&lt;&gt;"",Jnl[[#This Row],[Item]]&lt;&gt;"",ISNUMBER(Jnl[[#This Row],[Bal]]))</f>
        <v>1</v>
      </c>
      <c r="J303" s="9">
        <f>IF(Jnl[[#This Row],[BSLv0]]="A",1,-1)*Jnl[[#This Row],[Bal]]</f>
        <v>-2820</v>
      </c>
      <c r="K303" t="str">
        <f>_xlfn.XLOOKUP(Jnl[[#This Row],[Acct]], config_BS[Acct], config_BS[Lv0],,0)</f>
        <v>A</v>
      </c>
      <c r="L303" t="str">
        <f>_xlfn.XLOOKUP(Jnl[[#This Row],[Acct]], config_BS[Acct], config_BS[Lv1],,0)</f>
        <v>Assets</v>
      </c>
      <c r="M303" t="str">
        <f>_xlfn.XLOOKUP(Jnl[[#This Row],[Acct]], config_BS[Acct], config_BS[Lv2],,0)</f>
        <v>Cash alike</v>
      </c>
      <c r="N303" t="str">
        <f>_xlfn.XLOOKUP(Jnl[[#This Row],[TrxId]], Trx[Id], Trx[IncNode], ,0)</f>
        <v>Cost</v>
      </c>
      <c r="O303" t="str">
        <f>_xlfn.XLOOKUP(Jnl[[#This Row],[IncNode]], config_IS[Node], config_IS[Type],,0)</f>
        <v>Op</v>
      </c>
      <c r="P303" t="str">
        <f>_xlfn.XLOOKUP(Jnl[[#This Row],[BSLv2]], dict[Key], dict[Name],,0)</f>
        <v>0.现金及类似</v>
      </c>
      <c r="Q303" t="str">
        <f>_xlfn.XLOOKUP(Jnl[[#This Row],[Acct]], dict[Key], dict[Name],,0)</f>
        <v>银行</v>
      </c>
      <c r="R303" t="str">
        <f>_xlfn.XLOOKUP(Jnl[[#This Row],[Vehicle]],config_vehicle[Id], config_vehicle[Name],,0)</f>
        <v>米小易</v>
      </c>
      <c r="S303" t="str">
        <f>_xlfn.XLOOKUP(Jnl[[#This Row],[Division]],config_div[Id], config_div[Name],,0)</f>
        <v>水街店</v>
      </c>
      <c r="T303" t="str">
        <f>IF(Jnl[[#This Row],[TrxDate]]&lt;=stmt_BS_date_end, "In", "Out")</f>
        <v>In</v>
      </c>
      <c r="U303" t="str">
        <f>IF(Jnl[[#This Row],[TrxDate]]&lt;debug_date_start, "prior", IF(Jnl[[#This Row],[TrxDate]]&gt;debug_date_end, "post", "curr"))</f>
        <v>curr</v>
      </c>
    </row>
    <row r="304" spans="1:21" hidden="1">
      <c r="A304" s="39" t="s">
        <v>510</v>
      </c>
      <c r="B304" s="6">
        <f>_xlfn.XLOOKUP(Jnl[[#This Row],[TrxId]], Trx[Id], Trx[Date],,0)</f>
        <v>46053</v>
      </c>
      <c r="C304" s="6" t="str">
        <f>_xlfn.XLOOKUP(Jnl[[#This Row],[TrxId]], Trx[Id], Trx[Division],,0)</f>
        <v>Shuijie</v>
      </c>
      <c r="D304" s="6" t="str">
        <f>_xlfn.XLOOKUP(Jnl[[#This Row],[TrxId]], Trx[Id], Trx[Action],,0)</f>
        <v>其他材料</v>
      </c>
      <c r="E304" s="27" t="s">
        <v>84</v>
      </c>
      <c r="F304" s="10" t="s">
        <v>596</v>
      </c>
      <c r="G304" s="10" t="s">
        <v>598</v>
      </c>
      <c r="H304" s="37">
        <v>-2250</v>
      </c>
      <c r="I304" s="11" t="b">
        <f>AND(Jnl[[#This Row],[TrxId]]&lt;&gt;"",Jnl[[#This Row],[Acct]]&lt;&gt;"",Jnl[[#This Row],[Item]]&lt;&gt;"",ISNUMBER(Jnl[[#This Row],[Bal]]))</f>
        <v>1</v>
      </c>
      <c r="J304" s="9">
        <f>IF(Jnl[[#This Row],[BSLv0]]="A",1,-1)*Jnl[[#This Row],[Bal]]</f>
        <v>-2250</v>
      </c>
      <c r="K304" t="str">
        <f>_xlfn.XLOOKUP(Jnl[[#This Row],[Acct]], config_BS[Acct], config_BS[Lv0],,0)</f>
        <v>A</v>
      </c>
      <c r="L304" t="str">
        <f>_xlfn.XLOOKUP(Jnl[[#This Row],[Acct]], config_BS[Acct], config_BS[Lv1],,0)</f>
        <v>Assets</v>
      </c>
      <c r="M304" t="str">
        <f>_xlfn.XLOOKUP(Jnl[[#This Row],[Acct]], config_BS[Acct], config_BS[Lv2],,0)</f>
        <v>Cash alike</v>
      </c>
      <c r="N304" t="str">
        <f>_xlfn.XLOOKUP(Jnl[[#This Row],[TrxId]], Trx[Id], Trx[IncNode], ,0)</f>
        <v>Cost</v>
      </c>
      <c r="O304" t="str">
        <f>_xlfn.XLOOKUP(Jnl[[#This Row],[IncNode]], config_IS[Node], config_IS[Type],,0)</f>
        <v>Op</v>
      </c>
      <c r="P304" t="str">
        <f>_xlfn.XLOOKUP(Jnl[[#This Row],[BSLv2]], dict[Key], dict[Name],,0)</f>
        <v>0.现金及类似</v>
      </c>
      <c r="Q304" t="str">
        <f>_xlfn.XLOOKUP(Jnl[[#This Row],[Acct]], dict[Key], dict[Name],,0)</f>
        <v>银行</v>
      </c>
      <c r="R304" t="str">
        <f>_xlfn.XLOOKUP(Jnl[[#This Row],[Vehicle]],config_vehicle[Id], config_vehicle[Name],,0)</f>
        <v>米小易</v>
      </c>
      <c r="S304" t="str">
        <f>_xlfn.XLOOKUP(Jnl[[#This Row],[Division]],config_div[Id], config_div[Name],,0)</f>
        <v>水街店</v>
      </c>
      <c r="T304" t="str">
        <f>IF(Jnl[[#This Row],[TrxDate]]&lt;=stmt_BS_date_end, "In", "Out")</f>
        <v>In</v>
      </c>
      <c r="U304" t="str">
        <f>IF(Jnl[[#This Row],[TrxDate]]&lt;debug_date_start, "prior", IF(Jnl[[#This Row],[TrxDate]]&gt;debug_date_end, "post", "curr"))</f>
        <v>curr</v>
      </c>
    </row>
    <row r="305" spans="1:21" hidden="1">
      <c r="A305" s="39" t="s">
        <v>511</v>
      </c>
      <c r="B305" s="6">
        <f>_xlfn.XLOOKUP(Jnl[[#This Row],[TrxId]], Trx[Id], Trx[Date],,0)</f>
        <v>46053</v>
      </c>
      <c r="C305" s="6" t="str">
        <f>_xlfn.XLOOKUP(Jnl[[#This Row],[TrxId]], Trx[Id], Trx[Division],,0)</f>
        <v>GM</v>
      </c>
      <c r="D305" s="6" t="str">
        <f>_xlfn.XLOOKUP(Jnl[[#This Row],[TrxId]], Trx[Id], Trx[Action],,0)</f>
        <v>薪酬-社保</v>
      </c>
      <c r="E305" s="27" t="s">
        <v>84</v>
      </c>
      <c r="F305" s="10" t="s">
        <v>596</v>
      </c>
      <c r="G305" s="10" t="s">
        <v>598</v>
      </c>
      <c r="H305" s="37">
        <v>-36070.720000000001</v>
      </c>
      <c r="I305" s="11" t="b">
        <f>AND(Jnl[[#This Row],[TrxId]]&lt;&gt;"",Jnl[[#This Row],[Acct]]&lt;&gt;"",Jnl[[#This Row],[Item]]&lt;&gt;"",ISNUMBER(Jnl[[#This Row],[Bal]]))</f>
        <v>1</v>
      </c>
      <c r="J305" s="9">
        <f>IF(Jnl[[#This Row],[BSLv0]]="A",1,-1)*Jnl[[#This Row],[Bal]]</f>
        <v>-36070.720000000001</v>
      </c>
      <c r="K305" t="str">
        <f>_xlfn.XLOOKUP(Jnl[[#This Row],[Acct]], config_BS[Acct], config_BS[Lv0],,0)</f>
        <v>A</v>
      </c>
      <c r="L305" t="str">
        <f>_xlfn.XLOOKUP(Jnl[[#This Row],[Acct]], config_BS[Acct], config_BS[Lv1],,0)</f>
        <v>Assets</v>
      </c>
      <c r="M305" t="str">
        <f>_xlfn.XLOOKUP(Jnl[[#This Row],[Acct]], config_BS[Acct], config_BS[Lv2],,0)</f>
        <v>Cash alike</v>
      </c>
      <c r="N305" t="str">
        <f>_xlfn.XLOOKUP(Jnl[[#This Row],[TrxId]], Trx[Id], Trx[IncNode], ,0)</f>
        <v>Expense</v>
      </c>
      <c r="O305" t="str">
        <f>_xlfn.XLOOKUP(Jnl[[#This Row],[IncNode]], config_IS[Node], config_IS[Type],,0)</f>
        <v>Op</v>
      </c>
      <c r="P305" t="str">
        <f>_xlfn.XLOOKUP(Jnl[[#This Row],[BSLv2]], dict[Key], dict[Name],,0)</f>
        <v>0.现金及类似</v>
      </c>
      <c r="Q305" t="str">
        <f>_xlfn.XLOOKUP(Jnl[[#This Row],[Acct]], dict[Key], dict[Name],,0)</f>
        <v>银行</v>
      </c>
      <c r="R305" t="str">
        <f>_xlfn.XLOOKUP(Jnl[[#This Row],[Vehicle]],config_vehicle[Id], config_vehicle[Name],,0)</f>
        <v>米小易</v>
      </c>
      <c r="S305" t="str">
        <f>_xlfn.XLOOKUP(Jnl[[#This Row],[Division]],config_div[Id], config_div[Name],,0)</f>
        <v>综合管理</v>
      </c>
      <c r="T305" t="str">
        <f>IF(Jnl[[#This Row],[TrxDate]]&lt;=stmt_BS_date_end, "In", "Out")</f>
        <v>In</v>
      </c>
      <c r="U305" t="str">
        <f>IF(Jnl[[#This Row],[TrxDate]]&lt;debug_date_start, "prior", IF(Jnl[[#This Row],[TrxDate]]&gt;debug_date_end, "post", "curr"))</f>
        <v>curr</v>
      </c>
    </row>
    <row r="306" spans="1:21" hidden="1">
      <c r="A306" s="39" t="s">
        <v>511</v>
      </c>
      <c r="B306" s="6">
        <f>_xlfn.XLOOKUP(Jnl[[#This Row],[TrxId]], Trx[Id], Trx[Date],,0)</f>
        <v>46053</v>
      </c>
      <c r="C306" s="6" t="str">
        <f>_xlfn.XLOOKUP(Jnl[[#This Row],[TrxId]], Trx[Id], Trx[Division],,0)</f>
        <v>GM</v>
      </c>
      <c r="D306" s="6" t="str">
        <f>_xlfn.XLOOKUP(Jnl[[#This Row],[TrxId]], Trx[Id], Trx[Action],,0)</f>
        <v>薪酬-社保</v>
      </c>
      <c r="E306" s="27" t="s">
        <v>84</v>
      </c>
      <c r="F306" s="10" t="s">
        <v>601</v>
      </c>
      <c r="G306" s="10" t="s">
        <v>349</v>
      </c>
      <c r="H306" s="37">
        <v>10497.3</v>
      </c>
      <c r="I306" s="11" t="b">
        <f>AND(Jnl[[#This Row],[TrxId]]&lt;&gt;"",Jnl[[#This Row],[Acct]]&lt;&gt;"",Jnl[[#This Row],[Item]]&lt;&gt;"",ISNUMBER(Jnl[[#This Row],[Bal]]))</f>
        <v>1</v>
      </c>
      <c r="J306" s="9">
        <f>IF(Jnl[[#This Row],[BSLv0]]="A",1,-1)*Jnl[[#This Row],[Bal]]</f>
        <v>10497.3</v>
      </c>
      <c r="K306" t="str">
        <f>_xlfn.XLOOKUP(Jnl[[#This Row],[Acct]], config_BS[Acct], config_BS[Lv0],,0)</f>
        <v>A</v>
      </c>
      <c r="L306" t="str">
        <f>_xlfn.XLOOKUP(Jnl[[#This Row],[Acct]], config_BS[Acct], config_BS[Lv1],,0)</f>
        <v>Assets</v>
      </c>
      <c r="M306" t="str">
        <f>_xlfn.XLOOKUP(Jnl[[#This Row],[Acct]], config_BS[Acct], config_BS[Lv2],,0)</f>
        <v>Rec-Pay</v>
      </c>
      <c r="N306" t="str">
        <f>_xlfn.XLOOKUP(Jnl[[#This Row],[TrxId]], Trx[Id], Trx[IncNode], ,0)</f>
        <v>Expense</v>
      </c>
      <c r="O306" t="str">
        <f>_xlfn.XLOOKUP(Jnl[[#This Row],[IncNode]], config_IS[Node], config_IS[Type],,0)</f>
        <v>Op</v>
      </c>
      <c r="P306" t="str">
        <f>_xlfn.XLOOKUP(Jnl[[#This Row],[BSLv2]], dict[Key], dict[Name],,0)</f>
        <v>1.应收-应付</v>
      </c>
      <c r="Q306" t="str">
        <f>_xlfn.XLOOKUP(Jnl[[#This Row],[Acct]], dict[Key], dict[Name],,0)</f>
        <v>应收-其他</v>
      </c>
      <c r="R306" t="str">
        <f>_xlfn.XLOOKUP(Jnl[[#This Row],[Vehicle]],config_vehicle[Id], config_vehicle[Name],,0)</f>
        <v>米小易</v>
      </c>
      <c r="S306" t="str">
        <f>_xlfn.XLOOKUP(Jnl[[#This Row],[Division]],config_div[Id], config_div[Name],,0)</f>
        <v>综合管理</v>
      </c>
      <c r="T306" t="str">
        <f>IF(Jnl[[#This Row],[TrxDate]]&lt;=stmt_BS_date_end, "In", "Out")</f>
        <v>In</v>
      </c>
      <c r="U306" t="str">
        <f>IF(Jnl[[#This Row],[TrxDate]]&lt;debug_date_start, "prior", IF(Jnl[[#This Row],[TrxDate]]&gt;debug_date_end, "post", "curr"))</f>
        <v>curr</v>
      </c>
    </row>
    <row r="307" spans="1:21" hidden="1">
      <c r="A307" s="39" t="s">
        <v>512</v>
      </c>
      <c r="B307" s="6">
        <f>_xlfn.XLOOKUP(Jnl[[#This Row],[TrxId]], Trx[Id], Trx[Date],,0)</f>
        <v>46053</v>
      </c>
      <c r="C307" s="6" t="str">
        <f>_xlfn.XLOOKUP(Jnl[[#This Row],[TrxId]], Trx[Id], Trx[Division],,0)</f>
        <v>Shuijie</v>
      </c>
      <c r="D307" s="6" t="str">
        <f>_xlfn.XLOOKUP(Jnl[[#This Row],[TrxId]], Trx[Id], Trx[Action],,0)</f>
        <v>其他材料</v>
      </c>
      <c r="E307" s="27" t="s">
        <v>84</v>
      </c>
      <c r="F307" s="10" t="s">
        <v>596</v>
      </c>
      <c r="G307" s="10" t="s">
        <v>598</v>
      </c>
      <c r="H307" s="37">
        <v>-1300</v>
      </c>
      <c r="I307" s="11" t="b">
        <f>AND(Jnl[[#This Row],[TrxId]]&lt;&gt;"",Jnl[[#This Row],[Acct]]&lt;&gt;"",Jnl[[#This Row],[Item]]&lt;&gt;"",ISNUMBER(Jnl[[#This Row],[Bal]]))</f>
        <v>1</v>
      </c>
      <c r="J307" s="9">
        <f>IF(Jnl[[#This Row],[BSLv0]]="A",1,-1)*Jnl[[#This Row],[Bal]]</f>
        <v>-1300</v>
      </c>
      <c r="K307" t="str">
        <f>_xlfn.XLOOKUP(Jnl[[#This Row],[Acct]], config_BS[Acct], config_BS[Lv0],,0)</f>
        <v>A</v>
      </c>
      <c r="L307" t="str">
        <f>_xlfn.XLOOKUP(Jnl[[#This Row],[Acct]], config_BS[Acct], config_BS[Lv1],,0)</f>
        <v>Assets</v>
      </c>
      <c r="M307" t="str">
        <f>_xlfn.XLOOKUP(Jnl[[#This Row],[Acct]], config_BS[Acct], config_BS[Lv2],,0)</f>
        <v>Cash alike</v>
      </c>
      <c r="N307" t="str">
        <f>_xlfn.XLOOKUP(Jnl[[#This Row],[TrxId]], Trx[Id], Trx[IncNode], ,0)</f>
        <v>Cost</v>
      </c>
      <c r="O307" t="str">
        <f>_xlfn.XLOOKUP(Jnl[[#This Row],[IncNode]], config_IS[Node], config_IS[Type],,0)</f>
        <v>Op</v>
      </c>
      <c r="P307" t="str">
        <f>_xlfn.XLOOKUP(Jnl[[#This Row],[BSLv2]], dict[Key], dict[Name],,0)</f>
        <v>0.现金及类似</v>
      </c>
      <c r="Q307" t="str">
        <f>_xlfn.XLOOKUP(Jnl[[#This Row],[Acct]], dict[Key], dict[Name],,0)</f>
        <v>银行</v>
      </c>
      <c r="R307" t="str">
        <f>_xlfn.XLOOKUP(Jnl[[#This Row],[Vehicle]],config_vehicle[Id], config_vehicle[Name],,0)</f>
        <v>米小易</v>
      </c>
      <c r="S307" t="str">
        <f>_xlfn.XLOOKUP(Jnl[[#This Row],[Division]],config_div[Id], config_div[Name],,0)</f>
        <v>水街店</v>
      </c>
      <c r="T307" t="str">
        <f>IF(Jnl[[#This Row],[TrxDate]]&lt;=stmt_BS_date_end, "In", "Out")</f>
        <v>In</v>
      </c>
      <c r="U307" t="str">
        <f>IF(Jnl[[#This Row],[TrxDate]]&lt;debug_date_start, "prior", IF(Jnl[[#This Row],[TrxDate]]&gt;debug_date_end, "post", "curr"))</f>
        <v>curr</v>
      </c>
    </row>
    <row r="308" spans="1:21" hidden="1">
      <c r="A308" s="39" t="s">
        <v>513</v>
      </c>
      <c r="B308" s="6">
        <f>_xlfn.XLOOKUP(Jnl[[#This Row],[TrxId]], Trx[Id], Trx[Date],,0)</f>
        <v>46053</v>
      </c>
      <c r="C308" s="6" t="str">
        <f>_xlfn.XLOOKUP(Jnl[[#This Row],[TrxId]], Trx[Id], Trx[Division],,0)</f>
        <v>Shuijie</v>
      </c>
      <c r="D308" s="6" t="str">
        <f>_xlfn.XLOOKUP(Jnl[[#This Row],[TrxId]], Trx[Id], Trx[Action],,0)</f>
        <v>支付</v>
      </c>
      <c r="E308" s="27" t="s">
        <v>84</v>
      </c>
      <c r="F308" s="10" t="s">
        <v>596</v>
      </c>
      <c r="G308" s="10" t="s">
        <v>598</v>
      </c>
      <c r="H308" s="37">
        <v>-2015</v>
      </c>
      <c r="I308" s="11" t="b">
        <f>AND(Jnl[[#This Row],[TrxId]]&lt;&gt;"",Jnl[[#This Row],[Acct]]&lt;&gt;"",Jnl[[#This Row],[Item]]&lt;&gt;"",ISNUMBER(Jnl[[#This Row],[Bal]]))</f>
        <v>1</v>
      </c>
      <c r="J308" s="9">
        <f>IF(Jnl[[#This Row],[BSLv0]]="A",1,-1)*Jnl[[#This Row],[Bal]]</f>
        <v>-2015</v>
      </c>
      <c r="K308" t="str">
        <f>_xlfn.XLOOKUP(Jnl[[#This Row],[Acct]], config_BS[Acct], config_BS[Lv0],,0)</f>
        <v>A</v>
      </c>
      <c r="L308" t="str">
        <f>_xlfn.XLOOKUP(Jnl[[#This Row],[Acct]], config_BS[Acct], config_BS[Lv1],,0)</f>
        <v>Assets</v>
      </c>
      <c r="M308" t="str">
        <f>_xlfn.XLOOKUP(Jnl[[#This Row],[Acct]], config_BS[Acct], config_BS[Lv2],,0)</f>
        <v>Cash alike</v>
      </c>
      <c r="N308" t="str">
        <f>_xlfn.XLOOKUP(Jnl[[#This Row],[TrxId]], Trx[Id], Trx[IncNode], ,0)</f>
        <v>Expense</v>
      </c>
      <c r="O308" t="str">
        <f>_xlfn.XLOOKUP(Jnl[[#This Row],[IncNode]], config_IS[Node], config_IS[Type],,0)</f>
        <v>Op</v>
      </c>
      <c r="P308" t="str">
        <f>_xlfn.XLOOKUP(Jnl[[#This Row],[BSLv2]], dict[Key], dict[Name],,0)</f>
        <v>0.现金及类似</v>
      </c>
      <c r="Q308" t="str">
        <f>_xlfn.XLOOKUP(Jnl[[#This Row],[Acct]], dict[Key], dict[Name],,0)</f>
        <v>银行</v>
      </c>
      <c r="R308" t="str">
        <f>_xlfn.XLOOKUP(Jnl[[#This Row],[Vehicle]],config_vehicle[Id], config_vehicle[Name],,0)</f>
        <v>米小易</v>
      </c>
      <c r="S308" t="str">
        <f>_xlfn.XLOOKUP(Jnl[[#This Row],[Division]],config_div[Id], config_div[Name],,0)</f>
        <v>水街店</v>
      </c>
      <c r="T308" t="str">
        <f>IF(Jnl[[#This Row],[TrxDate]]&lt;=stmt_BS_date_end, "In", "Out")</f>
        <v>In</v>
      </c>
      <c r="U308" t="str">
        <f>IF(Jnl[[#This Row],[TrxDate]]&lt;debug_date_start, "prior", IF(Jnl[[#This Row],[TrxDate]]&gt;debug_date_end, "post", "curr"))</f>
        <v>curr</v>
      </c>
    </row>
    <row r="309" spans="1:21" hidden="1">
      <c r="A309" s="39" t="s">
        <v>513</v>
      </c>
      <c r="B309" s="6">
        <f>_xlfn.XLOOKUP(Jnl[[#This Row],[TrxId]], Trx[Id], Trx[Date],,0)</f>
        <v>46053</v>
      </c>
      <c r="C309" s="6" t="str">
        <f>_xlfn.XLOOKUP(Jnl[[#This Row],[TrxId]], Trx[Id], Trx[Division],,0)</f>
        <v>Shuijie</v>
      </c>
      <c r="D309" s="6" t="str">
        <f>_xlfn.XLOOKUP(Jnl[[#This Row],[TrxId]], Trx[Id], Trx[Action],,0)</f>
        <v>支付</v>
      </c>
      <c r="E309" s="27" t="s">
        <v>84</v>
      </c>
      <c r="F309" s="10" t="s">
        <v>498</v>
      </c>
      <c r="G309" s="10" t="s">
        <v>433</v>
      </c>
      <c r="H309" s="37">
        <v>2015</v>
      </c>
      <c r="I309" s="11" t="b">
        <f>AND(Jnl[[#This Row],[TrxId]]&lt;&gt;"",Jnl[[#This Row],[Acct]]&lt;&gt;"",Jnl[[#This Row],[Item]]&lt;&gt;"",ISNUMBER(Jnl[[#This Row],[Bal]]))</f>
        <v>1</v>
      </c>
      <c r="J309" s="9">
        <f>IF(Jnl[[#This Row],[BSLv0]]="A",1,-1)*Jnl[[#This Row],[Bal]]</f>
        <v>2015</v>
      </c>
      <c r="K309" t="str">
        <f>_xlfn.XLOOKUP(Jnl[[#This Row],[Acct]], config_BS[Acct], config_BS[Lv0],,0)</f>
        <v>A</v>
      </c>
      <c r="L309" t="str">
        <f>_xlfn.XLOOKUP(Jnl[[#This Row],[Acct]], config_BS[Acct], config_BS[Lv1],,0)</f>
        <v>Assets</v>
      </c>
      <c r="M309" t="str">
        <f>_xlfn.XLOOKUP(Jnl[[#This Row],[Acct]], config_BS[Acct], config_BS[Lv2],,0)</f>
        <v>Prep-Sub</v>
      </c>
      <c r="N309" t="str">
        <f>_xlfn.XLOOKUP(Jnl[[#This Row],[TrxId]], Trx[Id], Trx[IncNode], ,0)</f>
        <v>Expense</v>
      </c>
      <c r="O309" t="str">
        <f>_xlfn.XLOOKUP(Jnl[[#This Row],[IncNode]], config_IS[Node], config_IS[Type],,0)</f>
        <v>Op</v>
      </c>
      <c r="P309" t="str">
        <f>_xlfn.XLOOKUP(Jnl[[#This Row],[BSLv2]], dict[Key], dict[Name],,0)</f>
        <v>2.预付-订阅</v>
      </c>
      <c r="Q309" t="str">
        <f>_xlfn.XLOOKUP(Jnl[[#This Row],[Acct]], dict[Key], dict[Name],,0)</f>
        <v>预付订单</v>
      </c>
      <c r="R309" t="str">
        <f>_xlfn.XLOOKUP(Jnl[[#This Row],[Vehicle]],config_vehicle[Id], config_vehicle[Name],,0)</f>
        <v>米小易</v>
      </c>
      <c r="S309" t="str">
        <f>_xlfn.XLOOKUP(Jnl[[#This Row],[Division]],config_div[Id], config_div[Name],,0)</f>
        <v>水街店</v>
      </c>
      <c r="T309" t="str">
        <f>IF(Jnl[[#This Row],[TrxDate]]&lt;=stmt_BS_date_end, "In", "Out")</f>
        <v>In</v>
      </c>
      <c r="U309" t="str">
        <f>IF(Jnl[[#This Row],[TrxDate]]&lt;debug_date_start, "prior", IF(Jnl[[#This Row],[TrxDate]]&gt;debug_date_end, "post", "curr"))</f>
        <v>curr</v>
      </c>
    </row>
    <row r="310" spans="1:21" hidden="1">
      <c r="A310" s="39" t="s">
        <v>515</v>
      </c>
      <c r="B310" s="6">
        <f>_xlfn.XLOOKUP(Jnl[[#This Row],[TrxId]], Trx[Id], Trx[Date],,0)</f>
        <v>46053</v>
      </c>
      <c r="C310" s="6" t="str">
        <f>_xlfn.XLOOKUP(Jnl[[#This Row],[TrxId]], Trx[Id], Trx[Division],,0)</f>
        <v>Shuijie</v>
      </c>
      <c r="D310" s="6" t="str">
        <f>_xlfn.XLOOKUP(Jnl[[#This Row],[TrxId]], Trx[Id], Trx[Action],,0)</f>
        <v>食材</v>
      </c>
      <c r="E310" s="27" t="s">
        <v>84</v>
      </c>
      <c r="F310" s="10" t="s">
        <v>596</v>
      </c>
      <c r="G310" s="10" t="s">
        <v>598</v>
      </c>
      <c r="H310" s="37">
        <v>-22050</v>
      </c>
      <c r="I310" s="11" t="b">
        <f>AND(Jnl[[#This Row],[TrxId]]&lt;&gt;"",Jnl[[#This Row],[Acct]]&lt;&gt;"",Jnl[[#This Row],[Item]]&lt;&gt;"",ISNUMBER(Jnl[[#This Row],[Bal]]))</f>
        <v>1</v>
      </c>
      <c r="J310" s="9">
        <f>IF(Jnl[[#This Row],[BSLv0]]="A",1,-1)*Jnl[[#This Row],[Bal]]</f>
        <v>-22050</v>
      </c>
      <c r="K310" t="str">
        <f>_xlfn.XLOOKUP(Jnl[[#This Row],[Acct]], config_BS[Acct], config_BS[Lv0],,0)</f>
        <v>A</v>
      </c>
      <c r="L310" t="str">
        <f>_xlfn.XLOOKUP(Jnl[[#This Row],[Acct]], config_BS[Acct], config_BS[Lv1],,0)</f>
        <v>Assets</v>
      </c>
      <c r="M310" t="str">
        <f>_xlfn.XLOOKUP(Jnl[[#This Row],[Acct]], config_BS[Acct], config_BS[Lv2],,0)</f>
        <v>Cash alike</v>
      </c>
      <c r="N310" t="str">
        <f>_xlfn.XLOOKUP(Jnl[[#This Row],[TrxId]], Trx[Id], Trx[IncNode], ,0)</f>
        <v>Cost</v>
      </c>
      <c r="O310" t="str">
        <f>_xlfn.XLOOKUP(Jnl[[#This Row],[IncNode]], config_IS[Node], config_IS[Type],,0)</f>
        <v>Op</v>
      </c>
      <c r="P310" t="str">
        <f>_xlfn.XLOOKUP(Jnl[[#This Row],[BSLv2]], dict[Key], dict[Name],,0)</f>
        <v>0.现金及类似</v>
      </c>
      <c r="Q310" t="str">
        <f>_xlfn.XLOOKUP(Jnl[[#This Row],[Acct]], dict[Key], dict[Name],,0)</f>
        <v>银行</v>
      </c>
      <c r="R310" t="str">
        <f>_xlfn.XLOOKUP(Jnl[[#This Row],[Vehicle]],config_vehicle[Id], config_vehicle[Name],,0)</f>
        <v>米小易</v>
      </c>
      <c r="S310" t="str">
        <f>_xlfn.XLOOKUP(Jnl[[#This Row],[Division]],config_div[Id], config_div[Name],,0)</f>
        <v>水街店</v>
      </c>
      <c r="T310" t="str">
        <f>IF(Jnl[[#This Row],[TrxDate]]&lt;=stmt_BS_date_end, "In", "Out")</f>
        <v>In</v>
      </c>
      <c r="U310" t="str">
        <f>IF(Jnl[[#This Row],[TrxDate]]&lt;debug_date_start, "prior", IF(Jnl[[#This Row],[TrxDate]]&gt;debug_date_end, "post", "curr"))</f>
        <v>curr</v>
      </c>
    </row>
    <row r="311" spans="1:21" hidden="1">
      <c r="A311" s="39" t="s">
        <v>516</v>
      </c>
      <c r="B311" s="6">
        <f>_xlfn.XLOOKUP(Jnl[[#This Row],[TrxId]], Trx[Id], Trx[Date],,0)</f>
        <v>46053</v>
      </c>
      <c r="C311" s="6" t="str">
        <f>_xlfn.XLOOKUP(Jnl[[#This Row],[TrxId]], Trx[Id], Trx[Division],,0)</f>
        <v>Shuijie</v>
      </c>
      <c r="D311" s="6" t="str">
        <f>_xlfn.XLOOKUP(Jnl[[#This Row],[TrxId]], Trx[Id], Trx[Action],,0)</f>
        <v>支付</v>
      </c>
      <c r="E311" s="27" t="s">
        <v>84</v>
      </c>
      <c r="F311" s="10" t="s">
        <v>498</v>
      </c>
      <c r="G311" s="10" t="s">
        <v>433</v>
      </c>
      <c r="H311" s="37">
        <v>564</v>
      </c>
      <c r="I311" s="11" t="b">
        <f>AND(Jnl[[#This Row],[TrxId]]&lt;&gt;"",Jnl[[#This Row],[Acct]]&lt;&gt;"",Jnl[[#This Row],[Item]]&lt;&gt;"",ISNUMBER(Jnl[[#This Row],[Bal]]))</f>
        <v>1</v>
      </c>
      <c r="J311" s="9">
        <f>IF(Jnl[[#This Row],[BSLv0]]="A",1,-1)*Jnl[[#This Row],[Bal]]</f>
        <v>564</v>
      </c>
      <c r="K311" t="str">
        <f>_xlfn.XLOOKUP(Jnl[[#This Row],[Acct]], config_BS[Acct], config_BS[Lv0],,0)</f>
        <v>A</v>
      </c>
      <c r="L311" t="str">
        <f>_xlfn.XLOOKUP(Jnl[[#This Row],[Acct]], config_BS[Acct], config_BS[Lv1],,0)</f>
        <v>Assets</v>
      </c>
      <c r="M311" t="str">
        <f>_xlfn.XLOOKUP(Jnl[[#This Row],[Acct]], config_BS[Acct], config_BS[Lv2],,0)</f>
        <v>Prep-Sub</v>
      </c>
      <c r="N311" t="str">
        <f>_xlfn.XLOOKUP(Jnl[[#This Row],[TrxId]], Trx[Id], Trx[IncNode], ,0)</f>
        <v>Cost</v>
      </c>
      <c r="O311" t="str">
        <f>_xlfn.XLOOKUP(Jnl[[#This Row],[IncNode]], config_IS[Node], config_IS[Type],,0)</f>
        <v>Op</v>
      </c>
      <c r="P311" t="str">
        <f>_xlfn.XLOOKUP(Jnl[[#This Row],[BSLv2]], dict[Key], dict[Name],,0)</f>
        <v>2.预付-订阅</v>
      </c>
      <c r="Q311" t="str">
        <f>_xlfn.XLOOKUP(Jnl[[#This Row],[Acct]], dict[Key], dict[Name],,0)</f>
        <v>预付订单</v>
      </c>
      <c r="R311" t="str">
        <f>_xlfn.XLOOKUP(Jnl[[#This Row],[Vehicle]],config_vehicle[Id], config_vehicle[Name],,0)</f>
        <v>米小易</v>
      </c>
      <c r="S311" t="str">
        <f>_xlfn.XLOOKUP(Jnl[[#This Row],[Division]],config_div[Id], config_div[Name],,0)</f>
        <v>水街店</v>
      </c>
      <c r="T311" t="str">
        <f>IF(Jnl[[#This Row],[TrxDate]]&lt;=stmt_BS_date_end, "In", "Out")</f>
        <v>In</v>
      </c>
      <c r="U311" t="str">
        <f>IF(Jnl[[#This Row],[TrxDate]]&lt;debug_date_start, "prior", IF(Jnl[[#This Row],[TrxDate]]&gt;debug_date_end, "post", "curr"))</f>
        <v>curr</v>
      </c>
    </row>
    <row r="312" spans="1:21" hidden="1">
      <c r="A312" s="39" t="s">
        <v>516</v>
      </c>
      <c r="B312" s="6">
        <f>_xlfn.XLOOKUP(Jnl[[#This Row],[TrxId]], Trx[Id], Trx[Date],,0)</f>
        <v>46053</v>
      </c>
      <c r="C312" s="6" t="str">
        <f>_xlfn.XLOOKUP(Jnl[[#This Row],[TrxId]], Trx[Id], Trx[Division],,0)</f>
        <v>Shuijie</v>
      </c>
      <c r="D312" s="6" t="str">
        <f>_xlfn.XLOOKUP(Jnl[[#This Row],[TrxId]], Trx[Id], Trx[Action],,0)</f>
        <v>支付</v>
      </c>
      <c r="E312" s="27" t="s">
        <v>84</v>
      </c>
      <c r="F312" s="10" t="s">
        <v>596</v>
      </c>
      <c r="G312" s="10" t="s">
        <v>598</v>
      </c>
      <c r="H312" s="37">
        <v>-564</v>
      </c>
      <c r="I312" s="11" t="b">
        <f>AND(Jnl[[#This Row],[TrxId]]&lt;&gt;"",Jnl[[#This Row],[Acct]]&lt;&gt;"",Jnl[[#This Row],[Item]]&lt;&gt;"",ISNUMBER(Jnl[[#This Row],[Bal]]))</f>
        <v>1</v>
      </c>
      <c r="J312" s="9">
        <f>IF(Jnl[[#This Row],[BSLv0]]="A",1,-1)*Jnl[[#This Row],[Bal]]</f>
        <v>-564</v>
      </c>
      <c r="K312" t="str">
        <f>_xlfn.XLOOKUP(Jnl[[#This Row],[Acct]], config_BS[Acct], config_BS[Lv0],,0)</f>
        <v>A</v>
      </c>
      <c r="L312" t="str">
        <f>_xlfn.XLOOKUP(Jnl[[#This Row],[Acct]], config_BS[Acct], config_BS[Lv1],,0)</f>
        <v>Assets</v>
      </c>
      <c r="M312" t="str">
        <f>_xlfn.XLOOKUP(Jnl[[#This Row],[Acct]], config_BS[Acct], config_BS[Lv2],,0)</f>
        <v>Cash alike</v>
      </c>
      <c r="N312" t="str">
        <f>_xlfn.XLOOKUP(Jnl[[#This Row],[TrxId]], Trx[Id], Trx[IncNode], ,0)</f>
        <v>Cost</v>
      </c>
      <c r="O312" t="str">
        <f>_xlfn.XLOOKUP(Jnl[[#This Row],[IncNode]], config_IS[Node], config_IS[Type],,0)</f>
        <v>Op</v>
      </c>
      <c r="P312" t="str">
        <f>_xlfn.XLOOKUP(Jnl[[#This Row],[BSLv2]], dict[Key], dict[Name],,0)</f>
        <v>0.现金及类似</v>
      </c>
      <c r="Q312" t="str">
        <f>_xlfn.XLOOKUP(Jnl[[#This Row],[Acct]], dict[Key], dict[Name],,0)</f>
        <v>银行</v>
      </c>
      <c r="R312" t="str">
        <f>_xlfn.XLOOKUP(Jnl[[#This Row],[Vehicle]],config_vehicle[Id], config_vehicle[Name],,0)</f>
        <v>米小易</v>
      </c>
      <c r="S312" t="str">
        <f>_xlfn.XLOOKUP(Jnl[[#This Row],[Division]],config_div[Id], config_div[Name],,0)</f>
        <v>水街店</v>
      </c>
      <c r="T312" t="str">
        <f>IF(Jnl[[#This Row],[TrxDate]]&lt;=stmt_BS_date_end, "In", "Out")</f>
        <v>In</v>
      </c>
      <c r="U312" t="str">
        <f>IF(Jnl[[#This Row],[TrxDate]]&lt;debug_date_start, "prior", IF(Jnl[[#This Row],[TrxDate]]&gt;debug_date_end, "post", "curr"))</f>
        <v>curr</v>
      </c>
    </row>
    <row r="313" spans="1:21" hidden="1">
      <c r="A313" s="39" t="s">
        <v>518</v>
      </c>
      <c r="B313" s="6">
        <f>_xlfn.XLOOKUP(Jnl[[#This Row],[TrxId]], Trx[Id], Trx[Date],,0)</f>
        <v>46053</v>
      </c>
      <c r="C313" s="6" t="str">
        <f>_xlfn.XLOOKUP(Jnl[[#This Row],[TrxId]], Trx[Id], Trx[Division],,0)</f>
        <v>Shuijie</v>
      </c>
      <c r="D313" s="6" t="str">
        <f>_xlfn.XLOOKUP(Jnl[[#This Row],[TrxId]], Trx[Id], Trx[Action],,0)</f>
        <v>支付</v>
      </c>
      <c r="E313" s="27" t="s">
        <v>84</v>
      </c>
      <c r="F313" s="10" t="s">
        <v>498</v>
      </c>
      <c r="G313" s="10" t="s">
        <v>433</v>
      </c>
      <c r="H313" s="37">
        <v>3360</v>
      </c>
      <c r="I313" s="11" t="b">
        <f>AND(Jnl[[#This Row],[TrxId]]&lt;&gt;"",Jnl[[#This Row],[Acct]]&lt;&gt;"",Jnl[[#This Row],[Item]]&lt;&gt;"",ISNUMBER(Jnl[[#This Row],[Bal]]))</f>
        <v>1</v>
      </c>
      <c r="J313" s="9">
        <f>IF(Jnl[[#This Row],[BSLv0]]="A",1,-1)*Jnl[[#This Row],[Bal]]</f>
        <v>3360</v>
      </c>
      <c r="K313" t="str">
        <f>_xlfn.XLOOKUP(Jnl[[#This Row],[Acct]], config_BS[Acct], config_BS[Lv0],,0)</f>
        <v>A</v>
      </c>
      <c r="L313" t="str">
        <f>_xlfn.XLOOKUP(Jnl[[#This Row],[Acct]], config_BS[Acct], config_BS[Lv1],,0)</f>
        <v>Assets</v>
      </c>
      <c r="M313" t="str">
        <f>_xlfn.XLOOKUP(Jnl[[#This Row],[Acct]], config_BS[Acct], config_BS[Lv2],,0)</f>
        <v>Prep-Sub</v>
      </c>
      <c r="N313" t="str">
        <f>_xlfn.XLOOKUP(Jnl[[#This Row],[TrxId]], Trx[Id], Trx[IncNode], ,0)</f>
        <v>Cost</v>
      </c>
      <c r="O313" t="str">
        <f>_xlfn.XLOOKUP(Jnl[[#This Row],[IncNode]], config_IS[Node], config_IS[Type],,0)</f>
        <v>Op</v>
      </c>
      <c r="P313" t="str">
        <f>_xlfn.XLOOKUP(Jnl[[#This Row],[BSLv2]], dict[Key], dict[Name],,0)</f>
        <v>2.预付-订阅</v>
      </c>
      <c r="Q313" t="str">
        <f>_xlfn.XLOOKUP(Jnl[[#This Row],[Acct]], dict[Key], dict[Name],,0)</f>
        <v>预付订单</v>
      </c>
      <c r="R313" t="str">
        <f>_xlfn.XLOOKUP(Jnl[[#This Row],[Vehicle]],config_vehicle[Id], config_vehicle[Name],,0)</f>
        <v>米小易</v>
      </c>
      <c r="S313" t="str">
        <f>_xlfn.XLOOKUP(Jnl[[#This Row],[Division]],config_div[Id], config_div[Name],,0)</f>
        <v>水街店</v>
      </c>
      <c r="T313" t="str">
        <f>IF(Jnl[[#This Row],[TrxDate]]&lt;=stmt_BS_date_end, "In", "Out")</f>
        <v>In</v>
      </c>
      <c r="U313" t="str">
        <f>IF(Jnl[[#This Row],[TrxDate]]&lt;debug_date_start, "prior", IF(Jnl[[#This Row],[TrxDate]]&gt;debug_date_end, "post", "curr"))</f>
        <v>curr</v>
      </c>
    </row>
    <row r="314" spans="1:21" hidden="1">
      <c r="A314" s="39" t="s">
        <v>518</v>
      </c>
      <c r="B314" s="6">
        <f>_xlfn.XLOOKUP(Jnl[[#This Row],[TrxId]], Trx[Id], Trx[Date],,0)</f>
        <v>46053</v>
      </c>
      <c r="C314" s="6" t="str">
        <f>_xlfn.XLOOKUP(Jnl[[#This Row],[TrxId]], Trx[Id], Trx[Division],,0)</f>
        <v>Shuijie</v>
      </c>
      <c r="D314" s="6" t="str">
        <f>_xlfn.XLOOKUP(Jnl[[#This Row],[TrxId]], Trx[Id], Trx[Action],,0)</f>
        <v>支付</v>
      </c>
      <c r="E314" s="27" t="s">
        <v>84</v>
      </c>
      <c r="F314" s="10" t="s">
        <v>596</v>
      </c>
      <c r="G314" s="10" t="s">
        <v>598</v>
      </c>
      <c r="H314" s="37">
        <v>-3360</v>
      </c>
      <c r="I314" s="11" t="b">
        <f>AND(Jnl[[#This Row],[TrxId]]&lt;&gt;"",Jnl[[#This Row],[Acct]]&lt;&gt;"",Jnl[[#This Row],[Item]]&lt;&gt;"",ISNUMBER(Jnl[[#This Row],[Bal]]))</f>
        <v>1</v>
      </c>
      <c r="J314" s="9">
        <f>IF(Jnl[[#This Row],[BSLv0]]="A",1,-1)*Jnl[[#This Row],[Bal]]</f>
        <v>-3360</v>
      </c>
      <c r="K314" t="str">
        <f>_xlfn.XLOOKUP(Jnl[[#This Row],[Acct]], config_BS[Acct], config_BS[Lv0],,0)</f>
        <v>A</v>
      </c>
      <c r="L314" t="str">
        <f>_xlfn.XLOOKUP(Jnl[[#This Row],[Acct]], config_BS[Acct], config_BS[Lv1],,0)</f>
        <v>Assets</v>
      </c>
      <c r="M314" t="str">
        <f>_xlfn.XLOOKUP(Jnl[[#This Row],[Acct]], config_BS[Acct], config_BS[Lv2],,0)</f>
        <v>Cash alike</v>
      </c>
      <c r="N314" t="str">
        <f>_xlfn.XLOOKUP(Jnl[[#This Row],[TrxId]], Trx[Id], Trx[IncNode], ,0)</f>
        <v>Cost</v>
      </c>
      <c r="O314" t="str">
        <f>_xlfn.XLOOKUP(Jnl[[#This Row],[IncNode]], config_IS[Node], config_IS[Type],,0)</f>
        <v>Op</v>
      </c>
      <c r="P314" t="str">
        <f>_xlfn.XLOOKUP(Jnl[[#This Row],[BSLv2]], dict[Key], dict[Name],,0)</f>
        <v>0.现金及类似</v>
      </c>
      <c r="Q314" t="str">
        <f>_xlfn.XLOOKUP(Jnl[[#This Row],[Acct]], dict[Key], dict[Name],,0)</f>
        <v>银行</v>
      </c>
      <c r="R314" t="str">
        <f>_xlfn.XLOOKUP(Jnl[[#This Row],[Vehicle]],config_vehicle[Id], config_vehicle[Name],,0)</f>
        <v>米小易</v>
      </c>
      <c r="S314" t="str">
        <f>_xlfn.XLOOKUP(Jnl[[#This Row],[Division]],config_div[Id], config_div[Name],,0)</f>
        <v>水街店</v>
      </c>
      <c r="T314" t="str">
        <f>IF(Jnl[[#This Row],[TrxDate]]&lt;=stmt_BS_date_end, "In", "Out")</f>
        <v>In</v>
      </c>
      <c r="U314" t="str">
        <f>IF(Jnl[[#This Row],[TrxDate]]&lt;debug_date_start, "prior", IF(Jnl[[#This Row],[TrxDate]]&gt;debug_date_end, "post", "curr"))</f>
        <v>curr</v>
      </c>
    </row>
    <row r="315" spans="1:21" hidden="1">
      <c r="A315" s="39" t="s">
        <v>519</v>
      </c>
      <c r="B315" s="6">
        <f>_xlfn.XLOOKUP(Jnl[[#This Row],[TrxId]], Trx[Id], Trx[Date],,0)</f>
        <v>46053</v>
      </c>
      <c r="C315" s="6" t="str">
        <f>_xlfn.XLOOKUP(Jnl[[#This Row],[TrxId]], Trx[Id], Trx[Division],,0)</f>
        <v>Shuijie</v>
      </c>
      <c r="D315" s="6" t="str">
        <f>_xlfn.XLOOKUP(Jnl[[#This Row],[TrxId]], Trx[Id], Trx[Action],,0)</f>
        <v>支付</v>
      </c>
      <c r="E315" s="27" t="s">
        <v>84</v>
      </c>
      <c r="F315" s="10" t="s">
        <v>498</v>
      </c>
      <c r="G315" s="10" t="s">
        <v>433</v>
      </c>
      <c r="H315" s="37">
        <v>5252</v>
      </c>
      <c r="I315" s="11" t="b">
        <f>AND(Jnl[[#This Row],[TrxId]]&lt;&gt;"",Jnl[[#This Row],[Acct]]&lt;&gt;"",Jnl[[#This Row],[Item]]&lt;&gt;"",ISNUMBER(Jnl[[#This Row],[Bal]]))</f>
        <v>1</v>
      </c>
      <c r="J315" s="9">
        <f>IF(Jnl[[#This Row],[BSLv0]]="A",1,-1)*Jnl[[#This Row],[Bal]]</f>
        <v>5252</v>
      </c>
      <c r="K315" t="str">
        <f>_xlfn.XLOOKUP(Jnl[[#This Row],[Acct]], config_BS[Acct], config_BS[Lv0],,0)</f>
        <v>A</v>
      </c>
      <c r="L315" t="str">
        <f>_xlfn.XLOOKUP(Jnl[[#This Row],[Acct]], config_BS[Acct], config_BS[Lv1],,0)</f>
        <v>Assets</v>
      </c>
      <c r="M315" t="str">
        <f>_xlfn.XLOOKUP(Jnl[[#This Row],[Acct]], config_BS[Acct], config_BS[Lv2],,0)</f>
        <v>Prep-Sub</v>
      </c>
      <c r="N315" t="str">
        <f>_xlfn.XLOOKUP(Jnl[[#This Row],[TrxId]], Trx[Id], Trx[IncNode], ,0)</f>
        <v>Cost</v>
      </c>
      <c r="O315" t="str">
        <f>_xlfn.XLOOKUP(Jnl[[#This Row],[IncNode]], config_IS[Node], config_IS[Type],,0)</f>
        <v>Op</v>
      </c>
      <c r="P315" t="str">
        <f>_xlfn.XLOOKUP(Jnl[[#This Row],[BSLv2]], dict[Key], dict[Name],,0)</f>
        <v>2.预付-订阅</v>
      </c>
      <c r="Q315" t="str">
        <f>_xlfn.XLOOKUP(Jnl[[#This Row],[Acct]], dict[Key], dict[Name],,0)</f>
        <v>预付订单</v>
      </c>
      <c r="R315" t="str">
        <f>_xlfn.XLOOKUP(Jnl[[#This Row],[Vehicle]],config_vehicle[Id], config_vehicle[Name],,0)</f>
        <v>米小易</v>
      </c>
      <c r="S315" t="str">
        <f>_xlfn.XLOOKUP(Jnl[[#This Row],[Division]],config_div[Id], config_div[Name],,0)</f>
        <v>水街店</v>
      </c>
      <c r="T315" t="str">
        <f>IF(Jnl[[#This Row],[TrxDate]]&lt;=stmt_BS_date_end, "In", "Out")</f>
        <v>In</v>
      </c>
      <c r="U315" t="str">
        <f>IF(Jnl[[#This Row],[TrxDate]]&lt;debug_date_start, "prior", IF(Jnl[[#This Row],[TrxDate]]&gt;debug_date_end, "post", "curr"))</f>
        <v>curr</v>
      </c>
    </row>
    <row r="316" spans="1:21" hidden="1">
      <c r="A316" s="39" t="s">
        <v>519</v>
      </c>
      <c r="B316" s="6">
        <f>_xlfn.XLOOKUP(Jnl[[#This Row],[TrxId]], Trx[Id], Trx[Date],,0)</f>
        <v>46053</v>
      </c>
      <c r="C316" s="6" t="str">
        <f>_xlfn.XLOOKUP(Jnl[[#This Row],[TrxId]], Trx[Id], Trx[Division],,0)</f>
        <v>Shuijie</v>
      </c>
      <c r="D316" s="6" t="str">
        <f>_xlfn.XLOOKUP(Jnl[[#This Row],[TrxId]], Trx[Id], Trx[Action],,0)</f>
        <v>支付</v>
      </c>
      <c r="E316" s="27" t="s">
        <v>84</v>
      </c>
      <c r="F316" s="10" t="s">
        <v>596</v>
      </c>
      <c r="G316" s="10" t="s">
        <v>598</v>
      </c>
      <c r="H316" s="37">
        <v>-5252</v>
      </c>
      <c r="I316" s="11" t="b">
        <f>AND(Jnl[[#This Row],[TrxId]]&lt;&gt;"",Jnl[[#This Row],[Acct]]&lt;&gt;"",Jnl[[#This Row],[Item]]&lt;&gt;"",ISNUMBER(Jnl[[#This Row],[Bal]]))</f>
        <v>1</v>
      </c>
      <c r="J316" s="9">
        <f>IF(Jnl[[#This Row],[BSLv0]]="A",1,-1)*Jnl[[#This Row],[Bal]]</f>
        <v>-5252</v>
      </c>
      <c r="K316" t="str">
        <f>_xlfn.XLOOKUP(Jnl[[#This Row],[Acct]], config_BS[Acct], config_BS[Lv0],,0)</f>
        <v>A</v>
      </c>
      <c r="L316" t="str">
        <f>_xlfn.XLOOKUP(Jnl[[#This Row],[Acct]], config_BS[Acct], config_BS[Lv1],,0)</f>
        <v>Assets</v>
      </c>
      <c r="M316" t="str">
        <f>_xlfn.XLOOKUP(Jnl[[#This Row],[Acct]], config_BS[Acct], config_BS[Lv2],,0)</f>
        <v>Cash alike</v>
      </c>
      <c r="N316" t="str">
        <f>_xlfn.XLOOKUP(Jnl[[#This Row],[TrxId]], Trx[Id], Trx[IncNode], ,0)</f>
        <v>Cost</v>
      </c>
      <c r="O316" t="str">
        <f>_xlfn.XLOOKUP(Jnl[[#This Row],[IncNode]], config_IS[Node], config_IS[Type],,0)</f>
        <v>Op</v>
      </c>
      <c r="P316" t="str">
        <f>_xlfn.XLOOKUP(Jnl[[#This Row],[BSLv2]], dict[Key], dict[Name],,0)</f>
        <v>0.现金及类似</v>
      </c>
      <c r="Q316" t="str">
        <f>_xlfn.XLOOKUP(Jnl[[#This Row],[Acct]], dict[Key], dict[Name],,0)</f>
        <v>银行</v>
      </c>
      <c r="R316" t="str">
        <f>_xlfn.XLOOKUP(Jnl[[#This Row],[Vehicle]],config_vehicle[Id], config_vehicle[Name],,0)</f>
        <v>米小易</v>
      </c>
      <c r="S316" t="str">
        <f>_xlfn.XLOOKUP(Jnl[[#This Row],[Division]],config_div[Id], config_div[Name],,0)</f>
        <v>水街店</v>
      </c>
      <c r="T316" t="str">
        <f>IF(Jnl[[#This Row],[TrxDate]]&lt;=stmt_BS_date_end, "In", "Out")</f>
        <v>In</v>
      </c>
      <c r="U316" t="str">
        <f>IF(Jnl[[#This Row],[TrxDate]]&lt;debug_date_start, "prior", IF(Jnl[[#This Row],[TrxDate]]&gt;debug_date_end, "post", "curr"))</f>
        <v>curr</v>
      </c>
    </row>
    <row r="317" spans="1:21" hidden="1">
      <c r="A317" s="39" t="s">
        <v>521</v>
      </c>
      <c r="B317" s="6">
        <f>_xlfn.XLOOKUP(Jnl[[#This Row],[TrxId]], Trx[Id], Trx[Date],,0)</f>
        <v>46053</v>
      </c>
      <c r="C317" s="6" t="str">
        <f>_xlfn.XLOOKUP(Jnl[[#This Row],[TrxId]], Trx[Id], Trx[Division],,0)</f>
        <v>Shuijie</v>
      </c>
      <c r="D317" s="6" t="str">
        <f>_xlfn.XLOOKUP(Jnl[[#This Row],[TrxId]], Trx[Id], Trx[Action],,0)</f>
        <v>食材</v>
      </c>
      <c r="E317" s="27" t="s">
        <v>84</v>
      </c>
      <c r="F317" s="10" t="s">
        <v>596</v>
      </c>
      <c r="G317" s="10" t="s">
        <v>598</v>
      </c>
      <c r="H317" s="37">
        <v>-30085.119999999999</v>
      </c>
      <c r="I317" s="11" t="b">
        <f>AND(Jnl[[#This Row],[TrxId]]&lt;&gt;"",Jnl[[#This Row],[Acct]]&lt;&gt;"",Jnl[[#This Row],[Item]]&lt;&gt;"",ISNUMBER(Jnl[[#This Row],[Bal]]))</f>
        <v>1</v>
      </c>
      <c r="J317" s="9">
        <f>IF(Jnl[[#This Row],[BSLv0]]="A",1,-1)*Jnl[[#This Row],[Bal]]</f>
        <v>-30085.119999999999</v>
      </c>
      <c r="K317" t="str">
        <f>_xlfn.XLOOKUP(Jnl[[#This Row],[Acct]], config_BS[Acct], config_BS[Lv0],,0)</f>
        <v>A</v>
      </c>
      <c r="L317" t="str">
        <f>_xlfn.XLOOKUP(Jnl[[#This Row],[Acct]], config_BS[Acct], config_BS[Lv1],,0)</f>
        <v>Assets</v>
      </c>
      <c r="M317" t="str">
        <f>_xlfn.XLOOKUP(Jnl[[#This Row],[Acct]], config_BS[Acct], config_BS[Lv2],,0)</f>
        <v>Cash alike</v>
      </c>
      <c r="N317" t="str">
        <f>_xlfn.XLOOKUP(Jnl[[#This Row],[TrxId]], Trx[Id], Trx[IncNode], ,0)</f>
        <v>Cost</v>
      </c>
      <c r="O317" t="str">
        <f>_xlfn.XLOOKUP(Jnl[[#This Row],[IncNode]], config_IS[Node], config_IS[Type],,0)</f>
        <v>Op</v>
      </c>
      <c r="P317" t="str">
        <f>_xlfn.XLOOKUP(Jnl[[#This Row],[BSLv2]], dict[Key], dict[Name],,0)</f>
        <v>0.现金及类似</v>
      </c>
      <c r="Q317" t="str">
        <f>_xlfn.XLOOKUP(Jnl[[#This Row],[Acct]], dict[Key], dict[Name],,0)</f>
        <v>银行</v>
      </c>
      <c r="R317" t="str">
        <f>_xlfn.XLOOKUP(Jnl[[#This Row],[Vehicle]],config_vehicle[Id], config_vehicle[Name],,0)</f>
        <v>米小易</v>
      </c>
      <c r="S317" t="str">
        <f>_xlfn.XLOOKUP(Jnl[[#This Row],[Division]],config_div[Id], config_div[Name],,0)</f>
        <v>水街店</v>
      </c>
      <c r="T317" t="str">
        <f>IF(Jnl[[#This Row],[TrxDate]]&lt;=stmt_BS_date_end, "In", "Out")</f>
        <v>In</v>
      </c>
      <c r="U317" t="str">
        <f>IF(Jnl[[#This Row],[TrxDate]]&lt;debug_date_start, "prior", IF(Jnl[[#This Row],[TrxDate]]&gt;debug_date_end, "post", "curr"))</f>
        <v>curr</v>
      </c>
    </row>
    <row r="318" spans="1:21" hidden="1">
      <c r="A318" s="39" t="s">
        <v>523</v>
      </c>
      <c r="B318" s="6">
        <f>_xlfn.XLOOKUP(Jnl[[#This Row],[TrxId]], Trx[Id], Trx[Date],,0)</f>
        <v>46053</v>
      </c>
      <c r="C318" s="6" t="str">
        <f>_xlfn.XLOOKUP(Jnl[[#This Row],[TrxId]], Trx[Id], Trx[Division],,0)</f>
        <v>Shuijie</v>
      </c>
      <c r="D318" s="6" t="str">
        <f>_xlfn.XLOOKUP(Jnl[[#This Row],[TrxId]], Trx[Id], Trx[Action],,0)</f>
        <v>支付</v>
      </c>
      <c r="E318" s="27" t="s">
        <v>84</v>
      </c>
      <c r="F318" s="10" t="s">
        <v>498</v>
      </c>
      <c r="G318" s="10" t="s">
        <v>433</v>
      </c>
      <c r="H318" s="37">
        <v>3218</v>
      </c>
      <c r="I318" s="11" t="b">
        <f>AND(Jnl[[#This Row],[TrxId]]&lt;&gt;"",Jnl[[#This Row],[Acct]]&lt;&gt;"",Jnl[[#This Row],[Item]]&lt;&gt;"",ISNUMBER(Jnl[[#This Row],[Bal]]))</f>
        <v>1</v>
      </c>
      <c r="J318" s="9">
        <f>IF(Jnl[[#This Row],[BSLv0]]="A",1,-1)*Jnl[[#This Row],[Bal]]</f>
        <v>3218</v>
      </c>
      <c r="K318" t="str">
        <f>_xlfn.XLOOKUP(Jnl[[#This Row],[Acct]], config_BS[Acct], config_BS[Lv0],,0)</f>
        <v>A</v>
      </c>
      <c r="L318" t="str">
        <f>_xlfn.XLOOKUP(Jnl[[#This Row],[Acct]], config_BS[Acct], config_BS[Lv1],,0)</f>
        <v>Assets</v>
      </c>
      <c r="M318" t="str">
        <f>_xlfn.XLOOKUP(Jnl[[#This Row],[Acct]], config_BS[Acct], config_BS[Lv2],,0)</f>
        <v>Prep-Sub</v>
      </c>
      <c r="N318" t="str">
        <f>_xlfn.XLOOKUP(Jnl[[#This Row],[TrxId]], Trx[Id], Trx[IncNode], ,0)</f>
        <v>Cost</v>
      </c>
      <c r="O318" t="str">
        <f>_xlfn.XLOOKUP(Jnl[[#This Row],[IncNode]], config_IS[Node], config_IS[Type],,0)</f>
        <v>Op</v>
      </c>
      <c r="P318" t="str">
        <f>_xlfn.XLOOKUP(Jnl[[#This Row],[BSLv2]], dict[Key], dict[Name],,0)</f>
        <v>2.预付-订阅</v>
      </c>
      <c r="Q318" t="str">
        <f>_xlfn.XLOOKUP(Jnl[[#This Row],[Acct]], dict[Key], dict[Name],,0)</f>
        <v>预付订单</v>
      </c>
      <c r="R318" t="str">
        <f>_xlfn.XLOOKUP(Jnl[[#This Row],[Vehicle]],config_vehicle[Id], config_vehicle[Name],,0)</f>
        <v>米小易</v>
      </c>
      <c r="S318" t="str">
        <f>_xlfn.XLOOKUP(Jnl[[#This Row],[Division]],config_div[Id], config_div[Name],,0)</f>
        <v>水街店</v>
      </c>
      <c r="T318" t="str">
        <f>IF(Jnl[[#This Row],[TrxDate]]&lt;=stmt_BS_date_end, "In", "Out")</f>
        <v>In</v>
      </c>
      <c r="U318" t="str">
        <f>IF(Jnl[[#This Row],[TrxDate]]&lt;debug_date_start, "prior", IF(Jnl[[#This Row],[TrxDate]]&gt;debug_date_end, "post", "curr"))</f>
        <v>curr</v>
      </c>
    </row>
    <row r="319" spans="1:21" hidden="1">
      <c r="A319" s="39" t="s">
        <v>523</v>
      </c>
      <c r="B319" s="6">
        <f>_xlfn.XLOOKUP(Jnl[[#This Row],[TrxId]], Trx[Id], Trx[Date],,0)</f>
        <v>46053</v>
      </c>
      <c r="C319" s="6" t="str">
        <f>_xlfn.XLOOKUP(Jnl[[#This Row],[TrxId]], Trx[Id], Trx[Division],,0)</f>
        <v>Shuijie</v>
      </c>
      <c r="D319" s="6" t="str">
        <f>_xlfn.XLOOKUP(Jnl[[#This Row],[TrxId]], Trx[Id], Trx[Action],,0)</f>
        <v>支付</v>
      </c>
      <c r="E319" s="27" t="s">
        <v>84</v>
      </c>
      <c r="F319" s="10" t="s">
        <v>596</v>
      </c>
      <c r="G319" s="10" t="s">
        <v>598</v>
      </c>
      <c r="H319" s="37">
        <v>-3218</v>
      </c>
      <c r="I319" s="11" t="b">
        <f>AND(Jnl[[#This Row],[TrxId]]&lt;&gt;"",Jnl[[#This Row],[Acct]]&lt;&gt;"",Jnl[[#This Row],[Item]]&lt;&gt;"",ISNUMBER(Jnl[[#This Row],[Bal]]))</f>
        <v>1</v>
      </c>
      <c r="J319" s="9">
        <f>IF(Jnl[[#This Row],[BSLv0]]="A",1,-1)*Jnl[[#This Row],[Bal]]</f>
        <v>-3218</v>
      </c>
      <c r="K319" t="str">
        <f>_xlfn.XLOOKUP(Jnl[[#This Row],[Acct]], config_BS[Acct], config_BS[Lv0],,0)</f>
        <v>A</v>
      </c>
      <c r="L319" t="str">
        <f>_xlfn.XLOOKUP(Jnl[[#This Row],[Acct]], config_BS[Acct], config_BS[Lv1],,0)</f>
        <v>Assets</v>
      </c>
      <c r="M319" t="str">
        <f>_xlfn.XLOOKUP(Jnl[[#This Row],[Acct]], config_BS[Acct], config_BS[Lv2],,0)</f>
        <v>Cash alike</v>
      </c>
      <c r="N319" t="str">
        <f>_xlfn.XLOOKUP(Jnl[[#This Row],[TrxId]], Trx[Id], Trx[IncNode], ,0)</f>
        <v>Cost</v>
      </c>
      <c r="O319" t="str">
        <f>_xlfn.XLOOKUP(Jnl[[#This Row],[IncNode]], config_IS[Node], config_IS[Type],,0)</f>
        <v>Op</v>
      </c>
      <c r="P319" t="str">
        <f>_xlfn.XLOOKUP(Jnl[[#This Row],[BSLv2]], dict[Key], dict[Name],,0)</f>
        <v>0.现金及类似</v>
      </c>
      <c r="Q319" t="str">
        <f>_xlfn.XLOOKUP(Jnl[[#This Row],[Acct]], dict[Key], dict[Name],,0)</f>
        <v>银行</v>
      </c>
      <c r="R319" t="str">
        <f>_xlfn.XLOOKUP(Jnl[[#This Row],[Vehicle]],config_vehicle[Id], config_vehicle[Name],,0)</f>
        <v>米小易</v>
      </c>
      <c r="S319" t="str">
        <f>_xlfn.XLOOKUP(Jnl[[#This Row],[Division]],config_div[Id], config_div[Name],,0)</f>
        <v>水街店</v>
      </c>
      <c r="T319" t="str">
        <f>IF(Jnl[[#This Row],[TrxDate]]&lt;=stmt_BS_date_end, "In", "Out")</f>
        <v>In</v>
      </c>
      <c r="U319" t="str">
        <f>IF(Jnl[[#This Row],[TrxDate]]&lt;debug_date_start, "prior", IF(Jnl[[#This Row],[TrxDate]]&gt;debug_date_end, "post", "curr"))</f>
        <v>curr</v>
      </c>
    </row>
    <row r="320" spans="1:21" hidden="1">
      <c r="A320" s="39" t="s">
        <v>525</v>
      </c>
      <c r="B320" s="6">
        <f>_xlfn.XLOOKUP(Jnl[[#This Row],[TrxId]], Trx[Id], Trx[Date],,0)</f>
        <v>46053</v>
      </c>
      <c r="C320" s="6" t="str">
        <f>_xlfn.XLOOKUP(Jnl[[#This Row],[TrxId]], Trx[Id], Trx[Division],,0)</f>
        <v>Shuijie</v>
      </c>
      <c r="D320" s="6" t="str">
        <f>_xlfn.XLOOKUP(Jnl[[#This Row],[TrxId]], Trx[Id], Trx[Action],,0)</f>
        <v>支付</v>
      </c>
      <c r="E320" s="27" t="s">
        <v>84</v>
      </c>
      <c r="F320" s="10" t="s">
        <v>498</v>
      </c>
      <c r="G320" s="10" t="s">
        <v>433</v>
      </c>
      <c r="H320" s="37">
        <v>3750</v>
      </c>
      <c r="I320" s="11" t="b">
        <f>AND(Jnl[[#This Row],[TrxId]]&lt;&gt;"",Jnl[[#This Row],[Acct]]&lt;&gt;"",Jnl[[#This Row],[Item]]&lt;&gt;"",ISNUMBER(Jnl[[#This Row],[Bal]]))</f>
        <v>1</v>
      </c>
      <c r="J320" s="9">
        <f>IF(Jnl[[#This Row],[BSLv0]]="A",1,-1)*Jnl[[#This Row],[Bal]]</f>
        <v>3750</v>
      </c>
      <c r="K320" t="str">
        <f>_xlfn.XLOOKUP(Jnl[[#This Row],[Acct]], config_BS[Acct], config_BS[Lv0],,0)</f>
        <v>A</v>
      </c>
      <c r="L320" t="str">
        <f>_xlfn.XLOOKUP(Jnl[[#This Row],[Acct]], config_BS[Acct], config_BS[Lv1],,0)</f>
        <v>Assets</v>
      </c>
      <c r="M320" t="str">
        <f>_xlfn.XLOOKUP(Jnl[[#This Row],[Acct]], config_BS[Acct], config_BS[Lv2],,0)</f>
        <v>Prep-Sub</v>
      </c>
      <c r="N320" t="str">
        <f>_xlfn.XLOOKUP(Jnl[[#This Row],[TrxId]], Trx[Id], Trx[IncNode], ,0)</f>
        <v>Cost</v>
      </c>
      <c r="O320" t="str">
        <f>_xlfn.XLOOKUP(Jnl[[#This Row],[IncNode]], config_IS[Node], config_IS[Type],,0)</f>
        <v>Op</v>
      </c>
      <c r="P320" t="str">
        <f>_xlfn.XLOOKUP(Jnl[[#This Row],[BSLv2]], dict[Key], dict[Name],,0)</f>
        <v>2.预付-订阅</v>
      </c>
      <c r="Q320" t="str">
        <f>_xlfn.XLOOKUP(Jnl[[#This Row],[Acct]], dict[Key], dict[Name],,0)</f>
        <v>预付订单</v>
      </c>
      <c r="R320" t="str">
        <f>_xlfn.XLOOKUP(Jnl[[#This Row],[Vehicle]],config_vehicle[Id], config_vehicle[Name],,0)</f>
        <v>米小易</v>
      </c>
      <c r="S320" t="str">
        <f>_xlfn.XLOOKUP(Jnl[[#This Row],[Division]],config_div[Id], config_div[Name],,0)</f>
        <v>水街店</v>
      </c>
      <c r="T320" t="str">
        <f>IF(Jnl[[#This Row],[TrxDate]]&lt;=stmt_BS_date_end, "In", "Out")</f>
        <v>In</v>
      </c>
      <c r="U320" t="str">
        <f>IF(Jnl[[#This Row],[TrxDate]]&lt;debug_date_start, "prior", IF(Jnl[[#This Row],[TrxDate]]&gt;debug_date_end, "post", "curr"))</f>
        <v>curr</v>
      </c>
    </row>
    <row r="321" spans="1:21" hidden="1">
      <c r="A321" s="39" t="s">
        <v>525</v>
      </c>
      <c r="B321" s="6">
        <f>_xlfn.XLOOKUP(Jnl[[#This Row],[TrxId]], Trx[Id], Trx[Date],,0)</f>
        <v>46053</v>
      </c>
      <c r="C321" s="6" t="str">
        <f>_xlfn.XLOOKUP(Jnl[[#This Row],[TrxId]], Trx[Id], Trx[Division],,0)</f>
        <v>Shuijie</v>
      </c>
      <c r="D321" s="6" t="str">
        <f>_xlfn.XLOOKUP(Jnl[[#This Row],[TrxId]], Trx[Id], Trx[Action],,0)</f>
        <v>支付</v>
      </c>
      <c r="E321" s="27" t="s">
        <v>84</v>
      </c>
      <c r="F321" s="10" t="s">
        <v>596</v>
      </c>
      <c r="G321" s="10" t="s">
        <v>598</v>
      </c>
      <c r="H321" s="37">
        <v>-3750</v>
      </c>
      <c r="I321" s="11" t="b">
        <f>AND(Jnl[[#This Row],[TrxId]]&lt;&gt;"",Jnl[[#This Row],[Acct]]&lt;&gt;"",Jnl[[#This Row],[Item]]&lt;&gt;"",ISNUMBER(Jnl[[#This Row],[Bal]]))</f>
        <v>1</v>
      </c>
      <c r="J321" s="9">
        <f>IF(Jnl[[#This Row],[BSLv0]]="A",1,-1)*Jnl[[#This Row],[Bal]]</f>
        <v>-3750</v>
      </c>
      <c r="K321" t="str">
        <f>_xlfn.XLOOKUP(Jnl[[#This Row],[Acct]], config_BS[Acct], config_BS[Lv0],,0)</f>
        <v>A</v>
      </c>
      <c r="L321" t="str">
        <f>_xlfn.XLOOKUP(Jnl[[#This Row],[Acct]], config_BS[Acct], config_BS[Lv1],,0)</f>
        <v>Assets</v>
      </c>
      <c r="M321" t="str">
        <f>_xlfn.XLOOKUP(Jnl[[#This Row],[Acct]], config_BS[Acct], config_BS[Lv2],,0)</f>
        <v>Cash alike</v>
      </c>
      <c r="N321" t="str">
        <f>_xlfn.XLOOKUP(Jnl[[#This Row],[TrxId]], Trx[Id], Trx[IncNode], ,0)</f>
        <v>Cost</v>
      </c>
      <c r="O321" t="str">
        <f>_xlfn.XLOOKUP(Jnl[[#This Row],[IncNode]], config_IS[Node], config_IS[Type],,0)</f>
        <v>Op</v>
      </c>
      <c r="P321" t="str">
        <f>_xlfn.XLOOKUP(Jnl[[#This Row],[BSLv2]], dict[Key], dict[Name],,0)</f>
        <v>0.现金及类似</v>
      </c>
      <c r="Q321" t="str">
        <f>_xlfn.XLOOKUP(Jnl[[#This Row],[Acct]], dict[Key], dict[Name],,0)</f>
        <v>银行</v>
      </c>
      <c r="R321" t="str">
        <f>_xlfn.XLOOKUP(Jnl[[#This Row],[Vehicle]],config_vehicle[Id], config_vehicle[Name],,0)</f>
        <v>米小易</v>
      </c>
      <c r="S321" t="str">
        <f>_xlfn.XLOOKUP(Jnl[[#This Row],[Division]],config_div[Id], config_div[Name],,0)</f>
        <v>水街店</v>
      </c>
      <c r="T321" t="str">
        <f>IF(Jnl[[#This Row],[TrxDate]]&lt;=stmt_BS_date_end, "In", "Out")</f>
        <v>In</v>
      </c>
      <c r="U321" t="str">
        <f>IF(Jnl[[#This Row],[TrxDate]]&lt;debug_date_start, "prior", IF(Jnl[[#This Row],[TrxDate]]&gt;debug_date_end, "post", "curr"))</f>
        <v>curr</v>
      </c>
    </row>
    <row r="322" spans="1:21" hidden="1">
      <c r="A322" s="39" t="s">
        <v>527</v>
      </c>
      <c r="B322" s="6">
        <f>_xlfn.XLOOKUP(Jnl[[#This Row],[TrxId]], Trx[Id], Trx[Date],,0)</f>
        <v>46053</v>
      </c>
      <c r="C322" s="6" t="str">
        <f>_xlfn.XLOOKUP(Jnl[[#This Row],[TrxId]], Trx[Id], Trx[Division],,0)</f>
        <v>Shuijie</v>
      </c>
      <c r="D322" s="6" t="str">
        <f>_xlfn.XLOOKUP(Jnl[[#This Row],[TrxId]], Trx[Id], Trx[Action],,0)</f>
        <v>支付</v>
      </c>
      <c r="E322" s="27" t="s">
        <v>84</v>
      </c>
      <c r="F322" s="10" t="s">
        <v>498</v>
      </c>
      <c r="G322" s="10" t="s">
        <v>433</v>
      </c>
      <c r="H322" s="37">
        <v>1990</v>
      </c>
      <c r="I322" s="11" t="b">
        <f>AND(Jnl[[#This Row],[TrxId]]&lt;&gt;"",Jnl[[#This Row],[Acct]]&lt;&gt;"",Jnl[[#This Row],[Item]]&lt;&gt;"",ISNUMBER(Jnl[[#This Row],[Bal]]))</f>
        <v>1</v>
      </c>
      <c r="J322" s="9">
        <f>IF(Jnl[[#This Row],[BSLv0]]="A",1,-1)*Jnl[[#This Row],[Bal]]</f>
        <v>1990</v>
      </c>
      <c r="K322" t="str">
        <f>_xlfn.XLOOKUP(Jnl[[#This Row],[Acct]], config_BS[Acct], config_BS[Lv0],,0)</f>
        <v>A</v>
      </c>
      <c r="L322" t="str">
        <f>_xlfn.XLOOKUP(Jnl[[#This Row],[Acct]], config_BS[Acct], config_BS[Lv1],,0)</f>
        <v>Assets</v>
      </c>
      <c r="M322" t="str">
        <f>_xlfn.XLOOKUP(Jnl[[#This Row],[Acct]], config_BS[Acct], config_BS[Lv2],,0)</f>
        <v>Prep-Sub</v>
      </c>
      <c r="N322" t="str">
        <f>_xlfn.XLOOKUP(Jnl[[#This Row],[TrxId]], Trx[Id], Trx[IncNode], ,0)</f>
        <v>Cost</v>
      </c>
      <c r="O322" t="str">
        <f>_xlfn.XLOOKUP(Jnl[[#This Row],[IncNode]], config_IS[Node], config_IS[Type],,0)</f>
        <v>Op</v>
      </c>
      <c r="P322" t="str">
        <f>_xlfn.XLOOKUP(Jnl[[#This Row],[BSLv2]], dict[Key], dict[Name],,0)</f>
        <v>2.预付-订阅</v>
      </c>
      <c r="Q322" t="str">
        <f>_xlfn.XLOOKUP(Jnl[[#This Row],[Acct]], dict[Key], dict[Name],,0)</f>
        <v>预付订单</v>
      </c>
      <c r="R322" t="str">
        <f>_xlfn.XLOOKUP(Jnl[[#This Row],[Vehicle]],config_vehicle[Id], config_vehicle[Name],,0)</f>
        <v>米小易</v>
      </c>
      <c r="S322" t="str">
        <f>_xlfn.XLOOKUP(Jnl[[#This Row],[Division]],config_div[Id], config_div[Name],,0)</f>
        <v>水街店</v>
      </c>
      <c r="T322" t="str">
        <f>IF(Jnl[[#This Row],[TrxDate]]&lt;=stmt_BS_date_end, "In", "Out")</f>
        <v>In</v>
      </c>
      <c r="U322" t="str">
        <f>IF(Jnl[[#This Row],[TrxDate]]&lt;debug_date_start, "prior", IF(Jnl[[#This Row],[TrxDate]]&gt;debug_date_end, "post", "curr"))</f>
        <v>curr</v>
      </c>
    </row>
    <row r="323" spans="1:21" hidden="1">
      <c r="A323" s="39" t="s">
        <v>527</v>
      </c>
      <c r="B323" s="6">
        <f>_xlfn.XLOOKUP(Jnl[[#This Row],[TrxId]], Trx[Id], Trx[Date],,0)</f>
        <v>46053</v>
      </c>
      <c r="C323" s="6" t="str">
        <f>_xlfn.XLOOKUP(Jnl[[#This Row],[TrxId]], Trx[Id], Trx[Division],,0)</f>
        <v>Shuijie</v>
      </c>
      <c r="D323" s="6" t="str">
        <f>_xlfn.XLOOKUP(Jnl[[#This Row],[TrxId]], Trx[Id], Trx[Action],,0)</f>
        <v>支付</v>
      </c>
      <c r="E323" s="27" t="s">
        <v>84</v>
      </c>
      <c r="F323" s="10" t="s">
        <v>596</v>
      </c>
      <c r="G323" s="10" t="s">
        <v>598</v>
      </c>
      <c r="H323" s="37">
        <v>-1990</v>
      </c>
      <c r="I323" s="11" t="b">
        <f>AND(Jnl[[#This Row],[TrxId]]&lt;&gt;"",Jnl[[#This Row],[Acct]]&lt;&gt;"",Jnl[[#This Row],[Item]]&lt;&gt;"",ISNUMBER(Jnl[[#This Row],[Bal]]))</f>
        <v>1</v>
      </c>
      <c r="J323" s="9">
        <f>IF(Jnl[[#This Row],[BSLv0]]="A",1,-1)*Jnl[[#This Row],[Bal]]</f>
        <v>-1990</v>
      </c>
      <c r="K323" t="str">
        <f>_xlfn.XLOOKUP(Jnl[[#This Row],[Acct]], config_BS[Acct], config_BS[Lv0],,0)</f>
        <v>A</v>
      </c>
      <c r="L323" t="str">
        <f>_xlfn.XLOOKUP(Jnl[[#This Row],[Acct]], config_BS[Acct], config_BS[Lv1],,0)</f>
        <v>Assets</v>
      </c>
      <c r="M323" t="str">
        <f>_xlfn.XLOOKUP(Jnl[[#This Row],[Acct]], config_BS[Acct], config_BS[Lv2],,0)</f>
        <v>Cash alike</v>
      </c>
      <c r="N323" t="str">
        <f>_xlfn.XLOOKUP(Jnl[[#This Row],[TrxId]], Trx[Id], Trx[IncNode], ,0)</f>
        <v>Cost</v>
      </c>
      <c r="O323" t="str">
        <f>_xlfn.XLOOKUP(Jnl[[#This Row],[IncNode]], config_IS[Node], config_IS[Type],,0)</f>
        <v>Op</v>
      </c>
      <c r="P323" t="str">
        <f>_xlfn.XLOOKUP(Jnl[[#This Row],[BSLv2]], dict[Key], dict[Name],,0)</f>
        <v>0.现金及类似</v>
      </c>
      <c r="Q323" t="str">
        <f>_xlfn.XLOOKUP(Jnl[[#This Row],[Acct]], dict[Key], dict[Name],,0)</f>
        <v>银行</v>
      </c>
      <c r="R323" t="str">
        <f>_xlfn.XLOOKUP(Jnl[[#This Row],[Vehicle]],config_vehicle[Id], config_vehicle[Name],,0)</f>
        <v>米小易</v>
      </c>
      <c r="S323" t="str">
        <f>_xlfn.XLOOKUP(Jnl[[#This Row],[Division]],config_div[Id], config_div[Name],,0)</f>
        <v>水街店</v>
      </c>
      <c r="T323" t="str">
        <f>IF(Jnl[[#This Row],[TrxDate]]&lt;=stmt_BS_date_end, "In", "Out")</f>
        <v>In</v>
      </c>
      <c r="U323" t="str">
        <f>IF(Jnl[[#This Row],[TrxDate]]&lt;debug_date_start, "prior", IF(Jnl[[#This Row],[TrxDate]]&gt;debug_date_end, "post", "curr"))</f>
        <v>curr</v>
      </c>
    </row>
    <row r="324" spans="1:21" hidden="1">
      <c r="A324" s="39" t="s">
        <v>528</v>
      </c>
      <c r="B324" s="6">
        <f>_xlfn.XLOOKUP(Jnl[[#This Row],[TrxId]], Trx[Id], Trx[Date],,0)</f>
        <v>46053</v>
      </c>
      <c r="C324" s="6" t="str">
        <f>_xlfn.XLOOKUP(Jnl[[#This Row],[TrxId]], Trx[Id], Trx[Division],,0)</f>
        <v>Shuijie</v>
      </c>
      <c r="D324" s="6" t="str">
        <f>_xlfn.XLOOKUP(Jnl[[#This Row],[TrxId]], Trx[Id], Trx[Action],,0)</f>
        <v>支付</v>
      </c>
      <c r="E324" s="27" t="s">
        <v>84</v>
      </c>
      <c r="F324" s="10" t="s">
        <v>498</v>
      </c>
      <c r="G324" s="10" t="s">
        <v>433</v>
      </c>
      <c r="H324" s="37">
        <v>2540</v>
      </c>
      <c r="I324" s="11" t="b">
        <f>AND(Jnl[[#This Row],[TrxId]]&lt;&gt;"",Jnl[[#This Row],[Acct]]&lt;&gt;"",Jnl[[#This Row],[Item]]&lt;&gt;"",ISNUMBER(Jnl[[#This Row],[Bal]]))</f>
        <v>1</v>
      </c>
      <c r="J324" s="9">
        <f>IF(Jnl[[#This Row],[BSLv0]]="A",1,-1)*Jnl[[#This Row],[Bal]]</f>
        <v>2540</v>
      </c>
      <c r="K324" t="str">
        <f>_xlfn.XLOOKUP(Jnl[[#This Row],[Acct]], config_BS[Acct], config_BS[Lv0],,0)</f>
        <v>A</v>
      </c>
      <c r="L324" t="str">
        <f>_xlfn.XLOOKUP(Jnl[[#This Row],[Acct]], config_BS[Acct], config_BS[Lv1],,0)</f>
        <v>Assets</v>
      </c>
      <c r="M324" t="str">
        <f>_xlfn.XLOOKUP(Jnl[[#This Row],[Acct]], config_BS[Acct], config_BS[Lv2],,0)</f>
        <v>Prep-Sub</v>
      </c>
      <c r="N324" t="str">
        <f>_xlfn.XLOOKUP(Jnl[[#This Row],[TrxId]], Trx[Id], Trx[IncNode], ,0)</f>
        <v>Cost</v>
      </c>
      <c r="O324" t="str">
        <f>_xlfn.XLOOKUP(Jnl[[#This Row],[IncNode]], config_IS[Node], config_IS[Type],,0)</f>
        <v>Op</v>
      </c>
      <c r="P324" t="str">
        <f>_xlfn.XLOOKUP(Jnl[[#This Row],[BSLv2]], dict[Key], dict[Name],,0)</f>
        <v>2.预付-订阅</v>
      </c>
      <c r="Q324" t="str">
        <f>_xlfn.XLOOKUP(Jnl[[#This Row],[Acct]], dict[Key], dict[Name],,0)</f>
        <v>预付订单</v>
      </c>
      <c r="R324" t="str">
        <f>_xlfn.XLOOKUP(Jnl[[#This Row],[Vehicle]],config_vehicle[Id], config_vehicle[Name],,0)</f>
        <v>米小易</v>
      </c>
      <c r="S324" t="str">
        <f>_xlfn.XLOOKUP(Jnl[[#This Row],[Division]],config_div[Id], config_div[Name],,0)</f>
        <v>水街店</v>
      </c>
      <c r="T324" t="str">
        <f>IF(Jnl[[#This Row],[TrxDate]]&lt;=stmt_BS_date_end, "In", "Out")</f>
        <v>In</v>
      </c>
      <c r="U324" t="str">
        <f>IF(Jnl[[#This Row],[TrxDate]]&lt;debug_date_start, "prior", IF(Jnl[[#This Row],[TrxDate]]&gt;debug_date_end, "post", "curr"))</f>
        <v>curr</v>
      </c>
    </row>
    <row r="325" spans="1:21" hidden="1">
      <c r="A325" s="39" t="s">
        <v>528</v>
      </c>
      <c r="B325" s="6">
        <f>_xlfn.XLOOKUP(Jnl[[#This Row],[TrxId]], Trx[Id], Trx[Date],,0)</f>
        <v>46053</v>
      </c>
      <c r="C325" s="6" t="str">
        <f>_xlfn.XLOOKUP(Jnl[[#This Row],[TrxId]], Trx[Id], Trx[Division],,0)</f>
        <v>Shuijie</v>
      </c>
      <c r="D325" s="6" t="str">
        <f>_xlfn.XLOOKUP(Jnl[[#This Row],[TrxId]], Trx[Id], Trx[Action],,0)</f>
        <v>支付</v>
      </c>
      <c r="E325" s="27" t="s">
        <v>84</v>
      </c>
      <c r="F325" s="10" t="s">
        <v>596</v>
      </c>
      <c r="G325" s="10" t="s">
        <v>598</v>
      </c>
      <c r="H325" s="37">
        <v>-2540</v>
      </c>
      <c r="I325" s="11" t="b">
        <f>AND(Jnl[[#This Row],[TrxId]]&lt;&gt;"",Jnl[[#This Row],[Acct]]&lt;&gt;"",Jnl[[#This Row],[Item]]&lt;&gt;"",ISNUMBER(Jnl[[#This Row],[Bal]]))</f>
        <v>1</v>
      </c>
      <c r="J325" s="9">
        <f>IF(Jnl[[#This Row],[BSLv0]]="A",1,-1)*Jnl[[#This Row],[Bal]]</f>
        <v>-2540</v>
      </c>
      <c r="K325" t="str">
        <f>_xlfn.XLOOKUP(Jnl[[#This Row],[Acct]], config_BS[Acct], config_BS[Lv0],,0)</f>
        <v>A</v>
      </c>
      <c r="L325" t="str">
        <f>_xlfn.XLOOKUP(Jnl[[#This Row],[Acct]], config_BS[Acct], config_BS[Lv1],,0)</f>
        <v>Assets</v>
      </c>
      <c r="M325" t="str">
        <f>_xlfn.XLOOKUP(Jnl[[#This Row],[Acct]], config_BS[Acct], config_BS[Lv2],,0)</f>
        <v>Cash alike</v>
      </c>
      <c r="N325" t="str">
        <f>_xlfn.XLOOKUP(Jnl[[#This Row],[TrxId]], Trx[Id], Trx[IncNode], ,0)</f>
        <v>Cost</v>
      </c>
      <c r="O325" t="str">
        <f>_xlfn.XLOOKUP(Jnl[[#This Row],[IncNode]], config_IS[Node], config_IS[Type],,0)</f>
        <v>Op</v>
      </c>
      <c r="P325" t="str">
        <f>_xlfn.XLOOKUP(Jnl[[#This Row],[BSLv2]], dict[Key], dict[Name],,0)</f>
        <v>0.现金及类似</v>
      </c>
      <c r="Q325" t="str">
        <f>_xlfn.XLOOKUP(Jnl[[#This Row],[Acct]], dict[Key], dict[Name],,0)</f>
        <v>银行</v>
      </c>
      <c r="R325" t="str">
        <f>_xlfn.XLOOKUP(Jnl[[#This Row],[Vehicle]],config_vehicle[Id], config_vehicle[Name],,0)</f>
        <v>米小易</v>
      </c>
      <c r="S325" t="str">
        <f>_xlfn.XLOOKUP(Jnl[[#This Row],[Division]],config_div[Id], config_div[Name],,0)</f>
        <v>水街店</v>
      </c>
      <c r="T325" t="str">
        <f>IF(Jnl[[#This Row],[TrxDate]]&lt;=stmt_BS_date_end, "In", "Out")</f>
        <v>In</v>
      </c>
      <c r="U325" t="str">
        <f>IF(Jnl[[#This Row],[TrxDate]]&lt;debug_date_start, "prior", IF(Jnl[[#This Row],[TrxDate]]&gt;debug_date_end, "post", "curr"))</f>
        <v>curr</v>
      </c>
    </row>
    <row r="326" spans="1:21" hidden="1">
      <c r="A326" s="39" t="s">
        <v>529</v>
      </c>
      <c r="B326" s="6">
        <f>_xlfn.XLOOKUP(Jnl[[#This Row],[TrxId]], Trx[Id], Trx[Date],,0)</f>
        <v>46053</v>
      </c>
      <c r="C326" s="6" t="str">
        <f>_xlfn.XLOOKUP(Jnl[[#This Row],[TrxId]], Trx[Id], Trx[Division],,0)</f>
        <v>GM</v>
      </c>
      <c r="D326" s="6" t="str">
        <f>_xlfn.XLOOKUP(Jnl[[#This Row],[TrxId]], Trx[Id], Trx[Action],,0)</f>
        <v>支付</v>
      </c>
      <c r="E326" s="27" t="s">
        <v>84</v>
      </c>
      <c r="F326" s="10" t="s">
        <v>596</v>
      </c>
      <c r="G326" s="10" t="s">
        <v>598</v>
      </c>
      <c r="H326" s="37">
        <v>-143950.89000000001</v>
      </c>
      <c r="I326" s="11" t="b">
        <f>AND(Jnl[[#This Row],[TrxId]]&lt;&gt;"",Jnl[[#This Row],[Acct]]&lt;&gt;"",Jnl[[#This Row],[Item]]&lt;&gt;"",ISNUMBER(Jnl[[#This Row],[Bal]]))</f>
        <v>1</v>
      </c>
      <c r="J326" s="9">
        <f>IF(Jnl[[#This Row],[BSLv0]]="A",1,-1)*Jnl[[#This Row],[Bal]]</f>
        <v>-143950.89000000001</v>
      </c>
      <c r="K326" t="str">
        <f>_xlfn.XLOOKUP(Jnl[[#This Row],[Acct]], config_BS[Acct], config_BS[Lv0],,0)</f>
        <v>A</v>
      </c>
      <c r="L326" t="str">
        <f>_xlfn.XLOOKUP(Jnl[[#This Row],[Acct]], config_BS[Acct], config_BS[Lv1],,0)</f>
        <v>Assets</v>
      </c>
      <c r="M326" t="str">
        <f>_xlfn.XLOOKUP(Jnl[[#This Row],[Acct]], config_BS[Acct], config_BS[Lv2],,0)</f>
        <v>Cash alike</v>
      </c>
      <c r="N326" t="str">
        <f>_xlfn.XLOOKUP(Jnl[[#This Row],[TrxId]], Trx[Id], Trx[IncNode], ,0)</f>
        <v>Expense</v>
      </c>
      <c r="O326" t="str">
        <f>_xlfn.XLOOKUP(Jnl[[#This Row],[IncNode]], config_IS[Node], config_IS[Type],,0)</f>
        <v>Op</v>
      </c>
      <c r="P326" t="str">
        <f>_xlfn.XLOOKUP(Jnl[[#This Row],[BSLv2]], dict[Key], dict[Name],,0)</f>
        <v>0.现金及类似</v>
      </c>
      <c r="Q326" t="str">
        <f>_xlfn.XLOOKUP(Jnl[[#This Row],[Acct]], dict[Key], dict[Name],,0)</f>
        <v>银行</v>
      </c>
      <c r="R326" t="str">
        <f>_xlfn.XLOOKUP(Jnl[[#This Row],[Vehicle]],config_vehicle[Id], config_vehicle[Name],,0)</f>
        <v>米小易</v>
      </c>
      <c r="S326" t="str">
        <f>_xlfn.XLOOKUP(Jnl[[#This Row],[Division]],config_div[Id], config_div[Name],,0)</f>
        <v>综合管理</v>
      </c>
      <c r="T326" t="str">
        <f>IF(Jnl[[#This Row],[TrxDate]]&lt;=stmt_BS_date_end, "In", "Out")</f>
        <v>In</v>
      </c>
      <c r="U326" t="str">
        <f>IF(Jnl[[#This Row],[TrxDate]]&lt;debug_date_start, "prior", IF(Jnl[[#This Row],[TrxDate]]&gt;debug_date_end, "post", "curr"))</f>
        <v>curr</v>
      </c>
    </row>
    <row r="327" spans="1:21" hidden="1">
      <c r="A327" s="39" t="s">
        <v>529</v>
      </c>
      <c r="B327" s="6">
        <f>_xlfn.XLOOKUP(Jnl[[#This Row],[TrxId]], Trx[Id], Trx[Date],,0)</f>
        <v>46053</v>
      </c>
      <c r="C327" s="6" t="str">
        <f>_xlfn.XLOOKUP(Jnl[[#This Row],[TrxId]], Trx[Id], Trx[Division],,0)</f>
        <v>GM</v>
      </c>
      <c r="D327" s="6" t="str">
        <f>_xlfn.XLOOKUP(Jnl[[#This Row],[TrxId]], Trx[Id], Trx[Action],,0)</f>
        <v>支付</v>
      </c>
      <c r="E327" s="27" t="s">
        <v>84</v>
      </c>
      <c r="F327" s="10" t="s">
        <v>601</v>
      </c>
      <c r="G327" s="10" t="s">
        <v>349</v>
      </c>
      <c r="H327" s="37">
        <v>-11451.6</v>
      </c>
      <c r="I327" s="11" t="b">
        <f>AND(Jnl[[#This Row],[TrxId]]&lt;&gt;"",Jnl[[#This Row],[Acct]]&lt;&gt;"",Jnl[[#This Row],[Item]]&lt;&gt;"",ISNUMBER(Jnl[[#This Row],[Bal]]))</f>
        <v>1</v>
      </c>
      <c r="J327" s="9">
        <f>IF(Jnl[[#This Row],[BSLv0]]="A",1,-1)*Jnl[[#This Row],[Bal]]</f>
        <v>-11451.6</v>
      </c>
      <c r="K327" t="str">
        <f>_xlfn.XLOOKUP(Jnl[[#This Row],[Acct]], config_BS[Acct], config_BS[Lv0],,0)</f>
        <v>A</v>
      </c>
      <c r="L327" t="str">
        <f>_xlfn.XLOOKUP(Jnl[[#This Row],[Acct]], config_BS[Acct], config_BS[Lv1],,0)</f>
        <v>Assets</v>
      </c>
      <c r="M327" t="str">
        <f>_xlfn.XLOOKUP(Jnl[[#This Row],[Acct]], config_BS[Acct], config_BS[Lv2],,0)</f>
        <v>Rec-Pay</v>
      </c>
      <c r="N327" t="str">
        <f>_xlfn.XLOOKUP(Jnl[[#This Row],[TrxId]], Trx[Id], Trx[IncNode], ,0)</f>
        <v>Expense</v>
      </c>
      <c r="O327" t="str">
        <f>_xlfn.XLOOKUP(Jnl[[#This Row],[IncNode]], config_IS[Node], config_IS[Type],,0)</f>
        <v>Op</v>
      </c>
      <c r="P327" t="str">
        <f>_xlfn.XLOOKUP(Jnl[[#This Row],[BSLv2]], dict[Key], dict[Name],,0)</f>
        <v>1.应收-应付</v>
      </c>
      <c r="Q327" t="str">
        <f>_xlfn.XLOOKUP(Jnl[[#This Row],[Acct]], dict[Key], dict[Name],,0)</f>
        <v>应收-其他</v>
      </c>
      <c r="R327" t="str">
        <f>_xlfn.XLOOKUP(Jnl[[#This Row],[Vehicle]],config_vehicle[Id], config_vehicle[Name],,0)</f>
        <v>米小易</v>
      </c>
      <c r="S327" t="str">
        <f>_xlfn.XLOOKUP(Jnl[[#This Row],[Division]],config_div[Id], config_div[Name],,0)</f>
        <v>综合管理</v>
      </c>
      <c r="T327" t="str">
        <f>IF(Jnl[[#This Row],[TrxDate]]&lt;=stmt_BS_date_end, "In", "Out")</f>
        <v>In</v>
      </c>
      <c r="U327" t="str">
        <f>IF(Jnl[[#This Row],[TrxDate]]&lt;debug_date_start, "prior", IF(Jnl[[#This Row],[TrxDate]]&gt;debug_date_end, "post", "curr"))</f>
        <v>curr</v>
      </c>
    </row>
    <row r="328" spans="1:21" hidden="1">
      <c r="A328" s="39" t="s">
        <v>529</v>
      </c>
      <c r="B328" s="6">
        <f>_xlfn.XLOOKUP(Jnl[[#This Row],[TrxId]], Trx[Id], Trx[Date],,0)</f>
        <v>46053</v>
      </c>
      <c r="C328" s="6" t="str">
        <f>_xlfn.XLOOKUP(Jnl[[#This Row],[TrxId]], Trx[Id], Trx[Division],,0)</f>
        <v>GM</v>
      </c>
      <c r="D328" s="6" t="str">
        <f>_xlfn.XLOOKUP(Jnl[[#This Row],[TrxId]], Trx[Id], Trx[Action],,0)</f>
        <v>支付</v>
      </c>
      <c r="E328" s="27" t="s">
        <v>84</v>
      </c>
      <c r="F328" s="10" t="s">
        <v>130</v>
      </c>
      <c r="G328" s="10" t="s">
        <v>348</v>
      </c>
      <c r="H328" s="37">
        <v>1105.48</v>
      </c>
      <c r="I328" s="11" t="b">
        <f>AND(Jnl[[#This Row],[TrxId]]&lt;&gt;"",Jnl[[#This Row],[Acct]]&lt;&gt;"",Jnl[[#This Row],[Item]]&lt;&gt;"",ISNUMBER(Jnl[[#This Row],[Bal]]))</f>
        <v>1</v>
      </c>
      <c r="J328" s="9">
        <f>IF(Jnl[[#This Row],[BSLv0]]="A",1,-1)*Jnl[[#This Row],[Bal]]</f>
        <v>-1105.48</v>
      </c>
      <c r="K328" t="str">
        <f>_xlfn.XLOOKUP(Jnl[[#This Row],[Acct]], config_BS[Acct], config_BS[Lv0],,0)</f>
        <v>LC</v>
      </c>
      <c r="L328" t="str">
        <f>_xlfn.XLOOKUP(Jnl[[#This Row],[Acct]], config_BS[Acct], config_BS[Lv1],,0)</f>
        <v>Liability</v>
      </c>
      <c r="M328" t="str">
        <f>_xlfn.XLOOKUP(Jnl[[#This Row],[Acct]], config_BS[Acct], config_BS[Lv2],,0)</f>
        <v>Rec-Pay</v>
      </c>
      <c r="N328" t="str">
        <f>_xlfn.XLOOKUP(Jnl[[#This Row],[TrxId]], Trx[Id], Trx[IncNode], ,0)</f>
        <v>Expense</v>
      </c>
      <c r="O328" t="str">
        <f>_xlfn.XLOOKUP(Jnl[[#This Row],[IncNode]], config_IS[Node], config_IS[Type],,0)</f>
        <v>Op</v>
      </c>
      <c r="P328" t="str">
        <f>_xlfn.XLOOKUP(Jnl[[#This Row],[BSLv2]], dict[Key], dict[Name],,0)</f>
        <v>1.应收-应付</v>
      </c>
      <c r="Q328" t="str">
        <f>_xlfn.XLOOKUP(Jnl[[#This Row],[Acct]], dict[Key], dict[Name],,0)</f>
        <v>应付-税款</v>
      </c>
      <c r="R328" t="str">
        <f>_xlfn.XLOOKUP(Jnl[[#This Row],[Vehicle]],config_vehicle[Id], config_vehicle[Name],,0)</f>
        <v>米小易</v>
      </c>
      <c r="S328" t="str">
        <f>_xlfn.XLOOKUP(Jnl[[#This Row],[Division]],config_div[Id], config_div[Name],,0)</f>
        <v>综合管理</v>
      </c>
      <c r="T328" t="str">
        <f>IF(Jnl[[#This Row],[TrxDate]]&lt;=stmt_BS_date_end, "In", "Out")</f>
        <v>In</v>
      </c>
      <c r="U328" t="str">
        <f>IF(Jnl[[#This Row],[TrxDate]]&lt;debug_date_start, "prior", IF(Jnl[[#This Row],[TrxDate]]&gt;debug_date_end, "post", "curr"))</f>
        <v>curr</v>
      </c>
    </row>
    <row r="329" spans="1:21" hidden="1">
      <c r="A329" s="39" t="s">
        <v>529</v>
      </c>
      <c r="B329" s="6">
        <f>_xlfn.XLOOKUP(Jnl[[#This Row],[TrxId]], Trx[Id], Trx[Date],,0)</f>
        <v>46053</v>
      </c>
      <c r="C329" s="6" t="str">
        <f>_xlfn.XLOOKUP(Jnl[[#This Row],[TrxId]], Trx[Id], Trx[Division],,0)</f>
        <v>GM</v>
      </c>
      <c r="D329" s="6" t="str">
        <f>_xlfn.XLOOKUP(Jnl[[#This Row],[TrxId]], Trx[Id], Trx[Action],,0)</f>
        <v>支付</v>
      </c>
      <c r="E329" s="27" t="s">
        <v>84</v>
      </c>
      <c r="F329" s="10" t="s">
        <v>602</v>
      </c>
      <c r="G329" s="10" t="s">
        <v>152</v>
      </c>
      <c r="H329" s="37">
        <v>-156507.97</v>
      </c>
      <c r="I329" s="11" t="b">
        <f>AND(Jnl[[#This Row],[TrxId]]&lt;&gt;"",Jnl[[#This Row],[Acct]]&lt;&gt;"",Jnl[[#This Row],[Item]]&lt;&gt;"",ISNUMBER(Jnl[[#This Row],[Bal]]))</f>
        <v>1</v>
      </c>
      <c r="J329" s="9">
        <f>IF(Jnl[[#This Row],[BSLv0]]="A",1,-1)*Jnl[[#This Row],[Bal]]</f>
        <v>156507.97</v>
      </c>
      <c r="K329" t="str">
        <f>_xlfn.XLOOKUP(Jnl[[#This Row],[Acct]], config_BS[Acct], config_BS[Lv0],,0)</f>
        <v>LC</v>
      </c>
      <c r="L329" t="str">
        <f>_xlfn.XLOOKUP(Jnl[[#This Row],[Acct]], config_BS[Acct], config_BS[Lv1],,0)</f>
        <v>Liability</v>
      </c>
      <c r="M329" t="str">
        <f>_xlfn.XLOOKUP(Jnl[[#This Row],[Acct]], config_BS[Acct], config_BS[Lv2],,0)</f>
        <v>Rec-Pay</v>
      </c>
      <c r="N329" t="str">
        <f>_xlfn.XLOOKUP(Jnl[[#This Row],[TrxId]], Trx[Id], Trx[IncNode], ,0)</f>
        <v>Expense</v>
      </c>
      <c r="O329" t="str">
        <f>_xlfn.XLOOKUP(Jnl[[#This Row],[IncNode]], config_IS[Node], config_IS[Type],,0)</f>
        <v>Op</v>
      </c>
      <c r="P329" t="str">
        <f>_xlfn.XLOOKUP(Jnl[[#This Row],[BSLv2]], dict[Key], dict[Name],,0)</f>
        <v>1.应收-应付</v>
      </c>
      <c r="Q329" t="str">
        <f>_xlfn.XLOOKUP(Jnl[[#This Row],[Acct]], dict[Key], dict[Name],,0)</f>
        <v>应付-薪资</v>
      </c>
      <c r="R329" t="str">
        <f>_xlfn.XLOOKUP(Jnl[[#This Row],[Vehicle]],config_vehicle[Id], config_vehicle[Name],,0)</f>
        <v>米小易</v>
      </c>
      <c r="S329" t="str">
        <f>_xlfn.XLOOKUP(Jnl[[#This Row],[Division]],config_div[Id], config_div[Name],,0)</f>
        <v>综合管理</v>
      </c>
      <c r="T329" t="str">
        <f>IF(Jnl[[#This Row],[TrxDate]]&lt;=stmt_BS_date_end, "In", "Out")</f>
        <v>In</v>
      </c>
      <c r="U329" t="str">
        <f>IF(Jnl[[#This Row],[TrxDate]]&lt;debug_date_start, "prior", IF(Jnl[[#This Row],[TrxDate]]&gt;debug_date_end, "post", "curr"))</f>
        <v>curr</v>
      </c>
    </row>
    <row r="330" spans="1:21" hidden="1">
      <c r="A330" s="39" t="s">
        <v>594</v>
      </c>
      <c r="B330" s="6">
        <f>_xlfn.XLOOKUP(Jnl[[#This Row],[TrxId]], Trx[Id], Trx[Date],,0)</f>
        <v>46053</v>
      </c>
      <c r="C330" s="6" t="str">
        <f>_xlfn.XLOOKUP(Jnl[[#This Row],[TrxId]], Trx[Id], Trx[Division],,0)</f>
        <v>GM</v>
      </c>
      <c r="D330" s="6" t="str">
        <f>_xlfn.XLOOKUP(Jnl[[#This Row],[TrxId]], Trx[Id], Trx[Action],,0)</f>
        <v>支付</v>
      </c>
      <c r="E330" s="27" t="s">
        <v>84</v>
      </c>
      <c r="F330" s="10" t="s">
        <v>130</v>
      </c>
      <c r="G330" s="10" t="s">
        <v>348</v>
      </c>
      <c r="H330" s="37">
        <v>-1105.48</v>
      </c>
      <c r="I330" s="11" t="b">
        <f>AND(Jnl[[#This Row],[TrxId]]&lt;&gt;"",Jnl[[#This Row],[Acct]]&lt;&gt;"",Jnl[[#This Row],[Item]]&lt;&gt;"",ISNUMBER(Jnl[[#This Row],[Bal]]))</f>
        <v>1</v>
      </c>
      <c r="J330" s="9">
        <f>IF(Jnl[[#This Row],[BSLv0]]="A",1,-1)*Jnl[[#This Row],[Bal]]</f>
        <v>1105.48</v>
      </c>
      <c r="K330" t="str">
        <f>_xlfn.XLOOKUP(Jnl[[#This Row],[Acct]], config_BS[Acct], config_BS[Lv0],,0)</f>
        <v>LC</v>
      </c>
      <c r="L330" t="str">
        <f>_xlfn.XLOOKUP(Jnl[[#This Row],[Acct]], config_BS[Acct], config_BS[Lv1],,0)</f>
        <v>Liability</v>
      </c>
      <c r="M330" t="str">
        <f>_xlfn.XLOOKUP(Jnl[[#This Row],[Acct]], config_BS[Acct], config_BS[Lv2],,0)</f>
        <v>Rec-Pay</v>
      </c>
      <c r="N330" t="str">
        <f>_xlfn.XLOOKUP(Jnl[[#This Row],[TrxId]], Trx[Id], Trx[IncNode], ,0)</f>
        <v>Expense</v>
      </c>
      <c r="O330" t="str">
        <f>_xlfn.XLOOKUP(Jnl[[#This Row],[IncNode]], config_IS[Node], config_IS[Type],,0)</f>
        <v>Op</v>
      </c>
      <c r="P330" t="str">
        <f>_xlfn.XLOOKUP(Jnl[[#This Row],[BSLv2]], dict[Key], dict[Name],,0)</f>
        <v>1.应收-应付</v>
      </c>
      <c r="Q330" t="str">
        <f>_xlfn.XLOOKUP(Jnl[[#This Row],[Acct]], dict[Key], dict[Name],,0)</f>
        <v>应付-税款</v>
      </c>
      <c r="R330" t="str">
        <f>_xlfn.XLOOKUP(Jnl[[#This Row],[Vehicle]],config_vehicle[Id], config_vehicle[Name],,0)</f>
        <v>米小易</v>
      </c>
      <c r="S330" t="str">
        <f>_xlfn.XLOOKUP(Jnl[[#This Row],[Division]],config_div[Id], config_div[Name],,0)</f>
        <v>综合管理</v>
      </c>
      <c r="T330" t="str">
        <f>IF(Jnl[[#This Row],[TrxDate]]&lt;=stmt_BS_date_end, "In", "Out")</f>
        <v>In</v>
      </c>
      <c r="U330" t="str">
        <f>IF(Jnl[[#This Row],[TrxDate]]&lt;debug_date_start, "prior", IF(Jnl[[#This Row],[TrxDate]]&gt;debug_date_end, "post", "curr"))</f>
        <v>curr</v>
      </c>
    </row>
    <row r="331" spans="1:21" hidden="1">
      <c r="A331" s="39" t="s">
        <v>530</v>
      </c>
      <c r="B331" s="6">
        <f>_xlfn.XLOOKUP(Jnl[[#This Row],[TrxId]], Trx[Id], Trx[Date],,0)</f>
        <v>46053</v>
      </c>
      <c r="C331" s="6" t="str">
        <f>_xlfn.XLOOKUP(Jnl[[#This Row],[TrxId]], Trx[Id], Trx[Division],,0)</f>
        <v>GM</v>
      </c>
      <c r="D331" s="6" t="str">
        <f>_xlfn.XLOOKUP(Jnl[[#This Row],[TrxId]], Trx[Id], Trx[Action],,0)</f>
        <v>支付</v>
      </c>
      <c r="E331" s="27" t="s">
        <v>84</v>
      </c>
      <c r="F331" s="10" t="s">
        <v>596</v>
      </c>
      <c r="G331" s="10" t="s">
        <v>598</v>
      </c>
      <c r="H331" s="37">
        <v>-1105.48</v>
      </c>
      <c r="I331" s="11" t="b">
        <f>AND(Jnl[[#This Row],[TrxId]]&lt;&gt;"",Jnl[[#This Row],[Acct]]&lt;&gt;"",Jnl[[#This Row],[Item]]&lt;&gt;"",ISNUMBER(Jnl[[#This Row],[Bal]]))</f>
        <v>1</v>
      </c>
      <c r="J331" s="9">
        <f>IF(Jnl[[#This Row],[BSLv0]]="A",1,-1)*Jnl[[#This Row],[Bal]]</f>
        <v>-1105.48</v>
      </c>
      <c r="K331" t="str">
        <f>_xlfn.XLOOKUP(Jnl[[#This Row],[Acct]], config_BS[Acct], config_BS[Lv0],,0)</f>
        <v>A</v>
      </c>
      <c r="L331" t="str">
        <f>_xlfn.XLOOKUP(Jnl[[#This Row],[Acct]], config_BS[Acct], config_BS[Lv1],,0)</f>
        <v>Assets</v>
      </c>
      <c r="M331" t="str">
        <f>_xlfn.XLOOKUP(Jnl[[#This Row],[Acct]], config_BS[Acct], config_BS[Lv2],,0)</f>
        <v>Cash alike</v>
      </c>
      <c r="N331" t="str">
        <f>_xlfn.XLOOKUP(Jnl[[#This Row],[TrxId]], Trx[Id], Trx[IncNode], ,0)</f>
        <v>Expense</v>
      </c>
      <c r="O331" t="str">
        <f>_xlfn.XLOOKUP(Jnl[[#This Row],[IncNode]], config_IS[Node], config_IS[Type],,0)</f>
        <v>Op</v>
      </c>
      <c r="P331" t="str">
        <f>_xlfn.XLOOKUP(Jnl[[#This Row],[BSLv2]], dict[Key], dict[Name],,0)</f>
        <v>0.现金及类似</v>
      </c>
      <c r="Q331" t="str">
        <f>_xlfn.XLOOKUP(Jnl[[#This Row],[Acct]], dict[Key], dict[Name],,0)</f>
        <v>银行</v>
      </c>
      <c r="R331" t="str">
        <f>_xlfn.XLOOKUP(Jnl[[#This Row],[Vehicle]],config_vehicle[Id], config_vehicle[Name],,0)</f>
        <v>米小易</v>
      </c>
      <c r="S331" t="str">
        <f>_xlfn.XLOOKUP(Jnl[[#This Row],[Division]],config_div[Id], config_div[Name],,0)</f>
        <v>综合管理</v>
      </c>
      <c r="T331" t="str">
        <f>IF(Jnl[[#This Row],[TrxDate]]&lt;=stmt_BS_date_end, "In", "Out")</f>
        <v>In</v>
      </c>
      <c r="U331" t="str">
        <f>IF(Jnl[[#This Row],[TrxDate]]&lt;debug_date_start, "prior", IF(Jnl[[#This Row],[TrxDate]]&gt;debug_date_end, "post", "curr"))</f>
        <v>curr</v>
      </c>
    </row>
    <row r="332" spans="1:21" hidden="1">
      <c r="A332" s="39" t="s">
        <v>532</v>
      </c>
      <c r="B332" s="6">
        <f>_xlfn.XLOOKUP(Jnl[[#This Row],[TrxId]], Trx[Id], Trx[Date],,0)</f>
        <v>46053</v>
      </c>
      <c r="C332" s="6" t="str">
        <f>_xlfn.XLOOKUP(Jnl[[#This Row],[TrxId]], Trx[Id], Trx[Division],,0)</f>
        <v>Shuijie</v>
      </c>
      <c r="D332" s="6" t="str">
        <f>_xlfn.XLOOKUP(Jnl[[#This Row],[TrxId]], Trx[Id], Trx[Action],,0)</f>
        <v>支付</v>
      </c>
      <c r="E332" s="27" t="s">
        <v>84</v>
      </c>
      <c r="F332" s="10" t="s">
        <v>596</v>
      </c>
      <c r="G332" s="10" t="s">
        <v>598</v>
      </c>
      <c r="H332" s="37">
        <v>-1922.72</v>
      </c>
      <c r="I332" s="11" t="b">
        <f>AND(Jnl[[#This Row],[TrxId]]&lt;&gt;"",Jnl[[#This Row],[Acct]]&lt;&gt;"",Jnl[[#This Row],[Item]]&lt;&gt;"",ISNUMBER(Jnl[[#This Row],[Bal]]))</f>
        <v>1</v>
      </c>
      <c r="J332" s="9">
        <f>IF(Jnl[[#This Row],[BSLv0]]="A",1,-1)*Jnl[[#This Row],[Bal]]</f>
        <v>-1922.72</v>
      </c>
      <c r="K332" t="str">
        <f>_xlfn.XLOOKUP(Jnl[[#This Row],[Acct]], config_BS[Acct], config_BS[Lv0],,0)</f>
        <v>A</v>
      </c>
      <c r="L332" t="str">
        <f>_xlfn.XLOOKUP(Jnl[[#This Row],[Acct]], config_BS[Acct], config_BS[Lv1],,0)</f>
        <v>Assets</v>
      </c>
      <c r="M332" t="str">
        <f>_xlfn.XLOOKUP(Jnl[[#This Row],[Acct]], config_BS[Acct], config_BS[Lv2],,0)</f>
        <v>Cash alike</v>
      </c>
      <c r="N332" t="str">
        <f>_xlfn.XLOOKUP(Jnl[[#This Row],[TrxId]], Trx[Id], Trx[IncNode], ,0)</f>
        <v>Expense</v>
      </c>
      <c r="O332" t="str">
        <f>_xlfn.XLOOKUP(Jnl[[#This Row],[IncNode]], config_IS[Node], config_IS[Type],,0)</f>
        <v>Op</v>
      </c>
      <c r="P332" t="str">
        <f>_xlfn.XLOOKUP(Jnl[[#This Row],[BSLv2]], dict[Key], dict[Name],,0)</f>
        <v>0.现金及类似</v>
      </c>
      <c r="Q332" t="str">
        <f>_xlfn.XLOOKUP(Jnl[[#This Row],[Acct]], dict[Key], dict[Name],,0)</f>
        <v>银行</v>
      </c>
      <c r="R332" t="str">
        <f>_xlfn.XLOOKUP(Jnl[[#This Row],[Vehicle]],config_vehicle[Id], config_vehicle[Name],,0)</f>
        <v>米小易</v>
      </c>
      <c r="S332" t="str">
        <f>_xlfn.XLOOKUP(Jnl[[#This Row],[Division]],config_div[Id], config_div[Name],,0)</f>
        <v>水街店</v>
      </c>
      <c r="T332" t="str">
        <f>IF(Jnl[[#This Row],[TrxDate]]&lt;=stmt_BS_date_end, "In", "Out")</f>
        <v>In</v>
      </c>
      <c r="U332" t="str">
        <f>IF(Jnl[[#This Row],[TrxDate]]&lt;debug_date_start, "prior", IF(Jnl[[#This Row],[TrxDate]]&gt;debug_date_end, "post", "curr"))</f>
        <v>curr</v>
      </c>
    </row>
    <row r="333" spans="1:21" hidden="1">
      <c r="A333" s="39" t="s">
        <v>532</v>
      </c>
      <c r="B333" s="6">
        <f>_xlfn.XLOOKUP(Jnl[[#This Row],[TrxId]], Trx[Id], Trx[Date],,0)</f>
        <v>46053</v>
      </c>
      <c r="C333" s="6" t="str">
        <f>_xlfn.XLOOKUP(Jnl[[#This Row],[TrxId]], Trx[Id], Trx[Division],,0)</f>
        <v>Shuijie</v>
      </c>
      <c r="D333" s="6" t="str">
        <f>_xlfn.XLOOKUP(Jnl[[#This Row],[TrxId]], Trx[Id], Trx[Action],,0)</f>
        <v>支付</v>
      </c>
      <c r="E333" s="27" t="s">
        <v>84</v>
      </c>
      <c r="F333" s="10" t="s">
        <v>603</v>
      </c>
      <c r="G333" s="10" t="s">
        <v>534</v>
      </c>
      <c r="H333" s="37">
        <v>1922.72</v>
      </c>
      <c r="I333" s="11" t="b">
        <f>AND(Jnl[[#This Row],[TrxId]]&lt;&gt;"",Jnl[[#This Row],[Acct]]&lt;&gt;"",Jnl[[#This Row],[Item]]&lt;&gt;"",ISNUMBER(Jnl[[#This Row],[Bal]]))</f>
        <v>1</v>
      </c>
      <c r="J333" s="9">
        <f>IF(Jnl[[#This Row],[BSLv0]]="A",1,-1)*Jnl[[#This Row],[Bal]]</f>
        <v>1922.72</v>
      </c>
      <c r="K333" t="str">
        <f>_xlfn.XLOOKUP(Jnl[[#This Row],[Acct]], config_BS[Acct], config_BS[Lv0],,0)</f>
        <v>A</v>
      </c>
      <c r="L333" t="str">
        <f>_xlfn.XLOOKUP(Jnl[[#This Row],[Acct]], config_BS[Acct], config_BS[Lv1],,0)</f>
        <v>Assets</v>
      </c>
      <c r="M333" t="str">
        <f>_xlfn.XLOOKUP(Jnl[[#This Row],[Acct]], config_BS[Acct], config_BS[Lv2],,0)</f>
        <v>Prep-Sub</v>
      </c>
      <c r="N333" t="str">
        <f>_xlfn.XLOOKUP(Jnl[[#This Row],[TrxId]], Trx[Id], Trx[IncNode], ,0)</f>
        <v>Expense</v>
      </c>
      <c r="O333" t="str">
        <f>_xlfn.XLOOKUP(Jnl[[#This Row],[IncNode]], config_IS[Node], config_IS[Type],,0)</f>
        <v>Op</v>
      </c>
      <c r="P333" t="str">
        <f>_xlfn.XLOOKUP(Jnl[[#This Row],[BSLv2]], dict[Key], dict[Name],,0)</f>
        <v>2.预付-订阅</v>
      </c>
      <c r="Q333" t="str">
        <f>_xlfn.XLOOKUP(Jnl[[#This Row],[Acct]], dict[Key], dict[Name],,0)</f>
        <v>员工预支</v>
      </c>
      <c r="R333" t="str">
        <f>_xlfn.XLOOKUP(Jnl[[#This Row],[Vehicle]],config_vehicle[Id], config_vehicle[Name],,0)</f>
        <v>米小易</v>
      </c>
      <c r="S333" t="str">
        <f>_xlfn.XLOOKUP(Jnl[[#This Row],[Division]],config_div[Id], config_div[Name],,0)</f>
        <v>水街店</v>
      </c>
      <c r="T333" t="str">
        <f>IF(Jnl[[#This Row],[TrxDate]]&lt;=stmt_BS_date_end, "In", "Out")</f>
        <v>In</v>
      </c>
      <c r="U333" t="str">
        <f>IF(Jnl[[#This Row],[TrxDate]]&lt;debug_date_start, "prior", IF(Jnl[[#This Row],[TrxDate]]&gt;debug_date_end, "post", "curr"))</f>
        <v>curr</v>
      </c>
    </row>
    <row r="334" spans="1:21" hidden="1">
      <c r="A334" s="39" t="s">
        <v>535</v>
      </c>
      <c r="B334" s="6">
        <f>_xlfn.XLOOKUP(Jnl[[#This Row],[TrxId]], Trx[Id], Trx[Date],,0)</f>
        <v>46053</v>
      </c>
      <c r="C334" s="6" t="str">
        <f>_xlfn.XLOOKUP(Jnl[[#This Row],[TrxId]], Trx[Id], Trx[Division],,0)</f>
        <v>Shuijie</v>
      </c>
      <c r="D334" s="6" t="str">
        <f>_xlfn.XLOOKUP(Jnl[[#This Row],[TrxId]], Trx[Id], Trx[Action],,0)</f>
        <v>临时人力</v>
      </c>
      <c r="E334" s="27" t="s">
        <v>84</v>
      </c>
      <c r="F334" s="10" t="s">
        <v>596</v>
      </c>
      <c r="G334" s="10" t="s">
        <v>598</v>
      </c>
      <c r="H334" s="37">
        <v>-2959</v>
      </c>
      <c r="I334" s="11" t="b">
        <f>AND(Jnl[[#This Row],[TrxId]]&lt;&gt;"",Jnl[[#This Row],[Acct]]&lt;&gt;"",Jnl[[#This Row],[Item]]&lt;&gt;"",ISNUMBER(Jnl[[#This Row],[Bal]]))</f>
        <v>1</v>
      </c>
      <c r="J334" s="9">
        <f>IF(Jnl[[#This Row],[BSLv0]]="A",1,-1)*Jnl[[#This Row],[Bal]]</f>
        <v>-2959</v>
      </c>
      <c r="K334" t="str">
        <f>_xlfn.XLOOKUP(Jnl[[#This Row],[Acct]], config_BS[Acct], config_BS[Lv0],,0)</f>
        <v>A</v>
      </c>
      <c r="L334" t="str">
        <f>_xlfn.XLOOKUP(Jnl[[#This Row],[Acct]], config_BS[Acct], config_BS[Lv1],,0)</f>
        <v>Assets</v>
      </c>
      <c r="M334" t="str">
        <f>_xlfn.XLOOKUP(Jnl[[#This Row],[Acct]], config_BS[Acct], config_BS[Lv2],,0)</f>
        <v>Cash alike</v>
      </c>
      <c r="N334" t="str">
        <f>_xlfn.XLOOKUP(Jnl[[#This Row],[TrxId]], Trx[Id], Trx[IncNode], ,0)</f>
        <v>Expense</v>
      </c>
      <c r="O334" t="str">
        <f>_xlfn.XLOOKUP(Jnl[[#This Row],[IncNode]], config_IS[Node], config_IS[Type],,0)</f>
        <v>Op</v>
      </c>
      <c r="P334" t="str">
        <f>_xlfn.XLOOKUP(Jnl[[#This Row],[BSLv2]], dict[Key], dict[Name],,0)</f>
        <v>0.现金及类似</v>
      </c>
      <c r="Q334" t="str">
        <f>_xlfn.XLOOKUP(Jnl[[#This Row],[Acct]], dict[Key], dict[Name],,0)</f>
        <v>银行</v>
      </c>
      <c r="R334" t="str">
        <f>_xlfn.XLOOKUP(Jnl[[#This Row],[Vehicle]],config_vehicle[Id], config_vehicle[Name],,0)</f>
        <v>米小易</v>
      </c>
      <c r="S334" t="str">
        <f>_xlfn.XLOOKUP(Jnl[[#This Row],[Division]],config_div[Id], config_div[Name],,0)</f>
        <v>水街店</v>
      </c>
      <c r="T334" t="str">
        <f>IF(Jnl[[#This Row],[TrxDate]]&lt;=stmt_BS_date_end, "In", "Out")</f>
        <v>In</v>
      </c>
      <c r="U334" t="str">
        <f>IF(Jnl[[#This Row],[TrxDate]]&lt;debug_date_start, "prior", IF(Jnl[[#This Row],[TrxDate]]&gt;debug_date_end, "post", "curr"))</f>
        <v>curr</v>
      </c>
    </row>
    <row r="335" spans="1:21" hidden="1">
      <c r="A335" s="39" t="s">
        <v>537</v>
      </c>
      <c r="B335" s="6">
        <f>_xlfn.XLOOKUP(Jnl[[#This Row],[TrxId]], Trx[Id], Trx[Date],,0)</f>
        <v>46053</v>
      </c>
      <c r="C335" s="6" t="str">
        <f>_xlfn.XLOOKUP(Jnl[[#This Row],[TrxId]], Trx[Id], Trx[Division],,0)</f>
        <v>Shuijie</v>
      </c>
      <c r="D335" s="6" t="str">
        <f>_xlfn.XLOOKUP(Jnl[[#This Row],[TrxId]], Trx[Id], Trx[Action],,0)</f>
        <v>食材</v>
      </c>
      <c r="E335" s="27" t="s">
        <v>84</v>
      </c>
      <c r="F335" s="10" t="s">
        <v>596</v>
      </c>
      <c r="G335" s="10" t="s">
        <v>598</v>
      </c>
      <c r="H335" s="37">
        <v>-14186</v>
      </c>
      <c r="I335" s="11" t="b">
        <f>AND(Jnl[[#This Row],[TrxId]]&lt;&gt;"",Jnl[[#This Row],[Acct]]&lt;&gt;"",Jnl[[#This Row],[Item]]&lt;&gt;"",ISNUMBER(Jnl[[#This Row],[Bal]]))</f>
        <v>1</v>
      </c>
      <c r="J335" s="9">
        <f>IF(Jnl[[#This Row],[BSLv0]]="A",1,-1)*Jnl[[#This Row],[Bal]]</f>
        <v>-14186</v>
      </c>
      <c r="K335" t="str">
        <f>_xlfn.XLOOKUP(Jnl[[#This Row],[Acct]], config_BS[Acct], config_BS[Lv0],,0)</f>
        <v>A</v>
      </c>
      <c r="L335" t="str">
        <f>_xlfn.XLOOKUP(Jnl[[#This Row],[Acct]], config_BS[Acct], config_BS[Lv1],,0)</f>
        <v>Assets</v>
      </c>
      <c r="M335" t="str">
        <f>_xlfn.XLOOKUP(Jnl[[#This Row],[Acct]], config_BS[Acct], config_BS[Lv2],,0)</f>
        <v>Cash alike</v>
      </c>
      <c r="N335" t="str">
        <f>_xlfn.XLOOKUP(Jnl[[#This Row],[TrxId]], Trx[Id], Trx[IncNode], ,0)</f>
        <v>Cost</v>
      </c>
      <c r="O335" t="str">
        <f>_xlfn.XLOOKUP(Jnl[[#This Row],[IncNode]], config_IS[Node], config_IS[Type],,0)</f>
        <v>Op</v>
      </c>
      <c r="P335" t="str">
        <f>_xlfn.XLOOKUP(Jnl[[#This Row],[BSLv2]], dict[Key], dict[Name],,0)</f>
        <v>0.现金及类似</v>
      </c>
      <c r="Q335" t="str">
        <f>_xlfn.XLOOKUP(Jnl[[#This Row],[Acct]], dict[Key], dict[Name],,0)</f>
        <v>银行</v>
      </c>
      <c r="R335" t="str">
        <f>_xlfn.XLOOKUP(Jnl[[#This Row],[Vehicle]],config_vehicle[Id], config_vehicle[Name],,0)</f>
        <v>米小易</v>
      </c>
      <c r="S335" t="str">
        <f>_xlfn.XLOOKUP(Jnl[[#This Row],[Division]],config_div[Id], config_div[Name],,0)</f>
        <v>水街店</v>
      </c>
      <c r="T335" t="str">
        <f>IF(Jnl[[#This Row],[TrxDate]]&lt;=stmt_BS_date_end, "In", "Out")</f>
        <v>In</v>
      </c>
      <c r="U335" t="str">
        <f>IF(Jnl[[#This Row],[TrxDate]]&lt;debug_date_start, "prior", IF(Jnl[[#This Row],[TrxDate]]&gt;debug_date_end, "post", "curr"))</f>
        <v>curr</v>
      </c>
    </row>
    <row r="336" spans="1:21" hidden="1">
      <c r="A336" s="39" t="s">
        <v>538</v>
      </c>
      <c r="B336" s="6">
        <f>_xlfn.XLOOKUP(Jnl[[#This Row],[TrxId]], Trx[Id], Trx[Date],,0)</f>
        <v>46053</v>
      </c>
      <c r="C336" s="6" t="str">
        <f>_xlfn.XLOOKUP(Jnl[[#This Row],[TrxId]], Trx[Id], Trx[Division],,0)</f>
        <v>Shuijie</v>
      </c>
      <c r="D336" s="6" t="str">
        <f>_xlfn.XLOOKUP(Jnl[[#This Row],[TrxId]], Trx[Id], Trx[Action],,0)</f>
        <v>支付</v>
      </c>
      <c r="E336" s="27" t="s">
        <v>84</v>
      </c>
      <c r="F336" s="10" t="s">
        <v>596</v>
      </c>
      <c r="G336" s="10" t="s">
        <v>598</v>
      </c>
      <c r="H336" s="37">
        <v>-570</v>
      </c>
      <c r="I336" s="11" t="b">
        <f>AND(Jnl[[#This Row],[TrxId]]&lt;&gt;"",Jnl[[#This Row],[Acct]]&lt;&gt;"",Jnl[[#This Row],[Item]]&lt;&gt;"",ISNUMBER(Jnl[[#This Row],[Bal]]))</f>
        <v>1</v>
      </c>
      <c r="J336" s="9">
        <f>IF(Jnl[[#This Row],[BSLv0]]="A",1,-1)*Jnl[[#This Row],[Bal]]</f>
        <v>-570</v>
      </c>
      <c r="K336" t="str">
        <f>_xlfn.XLOOKUP(Jnl[[#This Row],[Acct]], config_BS[Acct], config_BS[Lv0],,0)</f>
        <v>A</v>
      </c>
      <c r="L336" t="str">
        <f>_xlfn.XLOOKUP(Jnl[[#This Row],[Acct]], config_BS[Acct], config_BS[Lv1],,0)</f>
        <v>Assets</v>
      </c>
      <c r="M336" t="str">
        <f>_xlfn.XLOOKUP(Jnl[[#This Row],[Acct]], config_BS[Acct], config_BS[Lv2],,0)</f>
        <v>Cash alike</v>
      </c>
      <c r="N336" t="str">
        <f>_xlfn.XLOOKUP(Jnl[[#This Row],[TrxId]], Trx[Id], Trx[IncNode], ,0)</f>
        <v>Cost</v>
      </c>
      <c r="O336" t="str">
        <f>_xlfn.XLOOKUP(Jnl[[#This Row],[IncNode]], config_IS[Node], config_IS[Type],,0)</f>
        <v>Op</v>
      </c>
      <c r="P336" t="str">
        <f>_xlfn.XLOOKUP(Jnl[[#This Row],[BSLv2]], dict[Key], dict[Name],,0)</f>
        <v>0.现金及类似</v>
      </c>
      <c r="Q336" t="str">
        <f>_xlfn.XLOOKUP(Jnl[[#This Row],[Acct]], dict[Key], dict[Name],,0)</f>
        <v>银行</v>
      </c>
      <c r="R336" t="str">
        <f>_xlfn.XLOOKUP(Jnl[[#This Row],[Vehicle]],config_vehicle[Id], config_vehicle[Name],,0)</f>
        <v>米小易</v>
      </c>
      <c r="S336" t="str">
        <f>_xlfn.XLOOKUP(Jnl[[#This Row],[Division]],config_div[Id], config_div[Name],,0)</f>
        <v>水街店</v>
      </c>
      <c r="T336" t="str">
        <f>IF(Jnl[[#This Row],[TrxDate]]&lt;=stmt_BS_date_end, "In", "Out")</f>
        <v>In</v>
      </c>
      <c r="U336" t="str">
        <f>IF(Jnl[[#This Row],[TrxDate]]&lt;debug_date_start, "prior", IF(Jnl[[#This Row],[TrxDate]]&gt;debug_date_end, "post", "curr"))</f>
        <v>curr</v>
      </c>
    </row>
    <row r="337" spans="1:21" hidden="1">
      <c r="A337" s="39" t="s">
        <v>538</v>
      </c>
      <c r="B337" s="6">
        <f>_xlfn.XLOOKUP(Jnl[[#This Row],[TrxId]], Trx[Id], Trx[Date],,0)</f>
        <v>46053</v>
      </c>
      <c r="C337" s="6" t="str">
        <f>_xlfn.XLOOKUP(Jnl[[#This Row],[TrxId]], Trx[Id], Trx[Division],,0)</f>
        <v>Shuijie</v>
      </c>
      <c r="D337" s="6" t="str">
        <f>_xlfn.XLOOKUP(Jnl[[#This Row],[TrxId]], Trx[Id], Trx[Action],,0)</f>
        <v>支付</v>
      </c>
      <c r="E337" s="27" t="s">
        <v>84</v>
      </c>
      <c r="F337" s="10" t="s">
        <v>498</v>
      </c>
      <c r="G337" s="10" t="s">
        <v>433</v>
      </c>
      <c r="H337" s="37">
        <v>570</v>
      </c>
      <c r="I337" s="11" t="b">
        <f>AND(Jnl[[#This Row],[TrxId]]&lt;&gt;"",Jnl[[#This Row],[Acct]]&lt;&gt;"",Jnl[[#This Row],[Item]]&lt;&gt;"",ISNUMBER(Jnl[[#This Row],[Bal]]))</f>
        <v>1</v>
      </c>
      <c r="J337" s="9">
        <f>IF(Jnl[[#This Row],[BSLv0]]="A",1,-1)*Jnl[[#This Row],[Bal]]</f>
        <v>570</v>
      </c>
      <c r="K337" t="str">
        <f>_xlfn.XLOOKUP(Jnl[[#This Row],[Acct]], config_BS[Acct], config_BS[Lv0],,0)</f>
        <v>A</v>
      </c>
      <c r="L337" t="str">
        <f>_xlfn.XLOOKUP(Jnl[[#This Row],[Acct]], config_BS[Acct], config_BS[Lv1],,0)</f>
        <v>Assets</v>
      </c>
      <c r="M337" t="str">
        <f>_xlfn.XLOOKUP(Jnl[[#This Row],[Acct]], config_BS[Acct], config_BS[Lv2],,0)</f>
        <v>Prep-Sub</v>
      </c>
      <c r="N337" t="str">
        <f>_xlfn.XLOOKUP(Jnl[[#This Row],[TrxId]], Trx[Id], Trx[IncNode], ,0)</f>
        <v>Cost</v>
      </c>
      <c r="O337" t="str">
        <f>_xlfn.XLOOKUP(Jnl[[#This Row],[IncNode]], config_IS[Node], config_IS[Type],,0)</f>
        <v>Op</v>
      </c>
      <c r="P337" t="str">
        <f>_xlfn.XLOOKUP(Jnl[[#This Row],[BSLv2]], dict[Key], dict[Name],,0)</f>
        <v>2.预付-订阅</v>
      </c>
      <c r="Q337" t="str">
        <f>_xlfn.XLOOKUP(Jnl[[#This Row],[Acct]], dict[Key], dict[Name],,0)</f>
        <v>预付订单</v>
      </c>
      <c r="R337" t="str">
        <f>_xlfn.XLOOKUP(Jnl[[#This Row],[Vehicle]],config_vehicle[Id], config_vehicle[Name],,0)</f>
        <v>米小易</v>
      </c>
      <c r="S337" t="str">
        <f>_xlfn.XLOOKUP(Jnl[[#This Row],[Division]],config_div[Id], config_div[Name],,0)</f>
        <v>水街店</v>
      </c>
      <c r="T337" t="str">
        <f>IF(Jnl[[#This Row],[TrxDate]]&lt;=stmt_BS_date_end, "In", "Out")</f>
        <v>In</v>
      </c>
      <c r="U337" t="str">
        <f>IF(Jnl[[#This Row],[TrxDate]]&lt;debug_date_start, "prior", IF(Jnl[[#This Row],[TrxDate]]&gt;debug_date_end, "post", "curr"))</f>
        <v>curr</v>
      </c>
    </row>
    <row r="338" spans="1:21" hidden="1">
      <c r="A338" s="39" t="s">
        <v>540</v>
      </c>
      <c r="B338" s="6">
        <f>_xlfn.XLOOKUP(Jnl[[#This Row],[TrxId]], Trx[Id], Trx[Date],,0)</f>
        <v>46053</v>
      </c>
      <c r="C338" s="6" t="str">
        <f>_xlfn.XLOOKUP(Jnl[[#This Row],[TrxId]], Trx[Id], Trx[Division],,0)</f>
        <v>Ctrl</v>
      </c>
      <c r="D338" s="6" t="str">
        <f>_xlfn.XLOOKUP(Jnl[[#This Row],[TrxId]], Trx[Id], Trx[Action],,0)</f>
        <v>支付</v>
      </c>
      <c r="E338" s="27" t="s">
        <v>84</v>
      </c>
      <c r="F338" s="10" t="s">
        <v>596</v>
      </c>
      <c r="G338" s="10" t="s">
        <v>598</v>
      </c>
      <c r="H338" s="37">
        <v>-30461.37</v>
      </c>
      <c r="I338" s="11" t="b">
        <f>AND(Jnl[[#This Row],[TrxId]]&lt;&gt;"",Jnl[[#This Row],[Acct]]&lt;&gt;"",Jnl[[#This Row],[Item]]&lt;&gt;"",ISNUMBER(Jnl[[#This Row],[Bal]]))</f>
        <v>1</v>
      </c>
      <c r="J338" s="9">
        <f>IF(Jnl[[#This Row],[BSLv0]]="A",1,-1)*Jnl[[#This Row],[Bal]]</f>
        <v>-30461.37</v>
      </c>
      <c r="K338" t="str">
        <f>_xlfn.XLOOKUP(Jnl[[#This Row],[Acct]], config_BS[Acct], config_BS[Lv0],,0)</f>
        <v>A</v>
      </c>
      <c r="L338" t="str">
        <f>_xlfn.XLOOKUP(Jnl[[#This Row],[Acct]], config_BS[Acct], config_BS[Lv1],,0)</f>
        <v>Assets</v>
      </c>
      <c r="M338" t="str">
        <f>_xlfn.XLOOKUP(Jnl[[#This Row],[Acct]], config_BS[Acct], config_BS[Lv2],,0)</f>
        <v>Cash alike</v>
      </c>
      <c r="N338" t="str">
        <f>_xlfn.XLOOKUP(Jnl[[#This Row],[TrxId]], Trx[Id], Trx[IncNode], ,0)</f>
        <v>Expense</v>
      </c>
      <c r="O338" t="str">
        <f>_xlfn.XLOOKUP(Jnl[[#This Row],[IncNode]], config_IS[Node], config_IS[Type],,0)</f>
        <v>Op</v>
      </c>
      <c r="P338" t="str">
        <f>_xlfn.XLOOKUP(Jnl[[#This Row],[BSLv2]], dict[Key], dict[Name],,0)</f>
        <v>0.现金及类似</v>
      </c>
      <c r="Q338" t="str">
        <f>_xlfn.XLOOKUP(Jnl[[#This Row],[Acct]], dict[Key], dict[Name],,0)</f>
        <v>银行</v>
      </c>
      <c r="R338" t="str">
        <f>_xlfn.XLOOKUP(Jnl[[#This Row],[Vehicle]],config_vehicle[Id], config_vehicle[Name],,0)</f>
        <v>米小易</v>
      </c>
      <c r="S338" t="str">
        <f>_xlfn.XLOOKUP(Jnl[[#This Row],[Division]],config_div[Id], config_div[Name],,0)</f>
        <v>内控合规</v>
      </c>
      <c r="T338" t="str">
        <f>IF(Jnl[[#This Row],[TrxDate]]&lt;=stmt_BS_date_end, "In", "Out")</f>
        <v>In</v>
      </c>
      <c r="U338" t="str">
        <f>IF(Jnl[[#This Row],[TrxDate]]&lt;debug_date_start, "prior", IF(Jnl[[#This Row],[TrxDate]]&gt;debug_date_end, "post", "curr"))</f>
        <v>curr</v>
      </c>
    </row>
    <row r="339" spans="1:21" hidden="1">
      <c r="A339" s="39" t="s">
        <v>540</v>
      </c>
      <c r="B339" s="6">
        <f>_xlfn.XLOOKUP(Jnl[[#This Row],[TrxId]], Trx[Id], Trx[Date],,0)</f>
        <v>46053</v>
      </c>
      <c r="C339" s="6" t="str">
        <f>_xlfn.XLOOKUP(Jnl[[#This Row],[TrxId]], Trx[Id], Trx[Division],,0)</f>
        <v>Ctrl</v>
      </c>
      <c r="D339" s="6" t="str">
        <f>_xlfn.XLOOKUP(Jnl[[#This Row],[TrxId]], Trx[Id], Trx[Action],,0)</f>
        <v>支付</v>
      </c>
      <c r="E339" s="27" t="s">
        <v>84</v>
      </c>
      <c r="F339" s="10" t="s">
        <v>130</v>
      </c>
      <c r="G339" s="10" t="s">
        <v>312</v>
      </c>
      <c r="H339" s="37">
        <v>-12329.72</v>
      </c>
      <c r="I339" s="11" t="b">
        <f>AND(Jnl[[#This Row],[TrxId]]&lt;&gt;"",Jnl[[#This Row],[Acct]]&lt;&gt;"",Jnl[[#This Row],[Item]]&lt;&gt;"",ISNUMBER(Jnl[[#This Row],[Bal]]))</f>
        <v>1</v>
      </c>
      <c r="J339" s="9">
        <f>IF(Jnl[[#This Row],[BSLv0]]="A",1,-1)*Jnl[[#This Row],[Bal]]</f>
        <v>12329.72</v>
      </c>
      <c r="K339" t="str">
        <f>_xlfn.XLOOKUP(Jnl[[#This Row],[Acct]], config_BS[Acct], config_BS[Lv0],,0)</f>
        <v>LC</v>
      </c>
      <c r="L339" t="str">
        <f>_xlfn.XLOOKUP(Jnl[[#This Row],[Acct]], config_BS[Acct], config_BS[Lv1],,0)</f>
        <v>Liability</v>
      </c>
      <c r="M339" t="str">
        <f>_xlfn.XLOOKUP(Jnl[[#This Row],[Acct]], config_BS[Acct], config_BS[Lv2],,0)</f>
        <v>Rec-Pay</v>
      </c>
      <c r="N339" t="str">
        <f>_xlfn.XLOOKUP(Jnl[[#This Row],[TrxId]], Trx[Id], Trx[IncNode], ,0)</f>
        <v>Expense</v>
      </c>
      <c r="O339" t="str">
        <f>_xlfn.XLOOKUP(Jnl[[#This Row],[IncNode]], config_IS[Node], config_IS[Type],,0)</f>
        <v>Op</v>
      </c>
      <c r="P339" t="str">
        <f>_xlfn.XLOOKUP(Jnl[[#This Row],[BSLv2]], dict[Key], dict[Name],,0)</f>
        <v>1.应收-应付</v>
      </c>
      <c r="Q339" t="str">
        <f>_xlfn.XLOOKUP(Jnl[[#This Row],[Acct]], dict[Key], dict[Name],,0)</f>
        <v>应付-税款</v>
      </c>
      <c r="R339" t="str">
        <f>_xlfn.XLOOKUP(Jnl[[#This Row],[Vehicle]],config_vehicle[Id], config_vehicle[Name],,0)</f>
        <v>米小易</v>
      </c>
      <c r="S339" t="str">
        <f>_xlfn.XLOOKUP(Jnl[[#This Row],[Division]],config_div[Id], config_div[Name],,0)</f>
        <v>内控合规</v>
      </c>
      <c r="T339" t="str">
        <f>IF(Jnl[[#This Row],[TrxDate]]&lt;=stmt_BS_date_end, "In", "Out")</f>
        <v>In</v>
      </c>
      <c r="U339" t="str">
        <f>IF(Jnl[[#This Row],[TrxDate]]&lt;debug_date_start, "prior", IF(Jnl[[#This Row],[TrxDate]]&gt;debug_date_end, "post", "curr"))</f>
        <v>curr</v>
      </c>
    </row>
    <row r="340" spans="1:21" hidden="1">
      <c r="A340" s="39" t="s">
        <v>540</v>
      </c>
      <c r="B340" s="6">
        <f>_xlfn.XLOOKUP(Jnl[[#This Row],[TrxId]], Trx[Id], Trx[Date],,0)</f>
        <v>46053</v>
      </c>
      <c r="C340" s="6" t="str">
        <f>_xlfn.XLOOKUP(Jnl[[#This Row],[TrxId]], Trx[Id], Trx[Division],,0)</f>
        <v>Ctrl</v>
      </c>
      <c r="D340" s="6" t="str">
        <f>_xlfn.XLOOKUP(Jnl[[#This Row],[TrxId]], Trx[Id], Trx[Action],,0)</f>
        <v>支付</v>
      </c>
      <c r="E340" s="27" t="s">
        <v>84</v>
      </c>
      <c r="F340" s="10" t="s">
        <v>130</v>
      </c>
      <c r="G340" s="10" t="s">
        <v>353</v>
      </c>
      <c r="H340" s="37">
        <v>-856.77</v>
      </c>
      <c r="I340" s="11" t="b">
        <f>AND(Jnl[[#This Row],[TrxId]]&lt;&gt;"",Jnl[[#This Row],[Acct]]&lt;&gt;"",Jnl[[#This Row],[Item]]&lt;&gt;"",ISNUMBER(Jnl[[#This Row],[Bal]]))</f>
        <v>1</v>
      </c>
      <c r="J340" s="9">
        <f>IF(Jnl[[#This Row],[BSLv0]]="A",1,-1)*Jnl[[#This Row],[Bal]]</f>
        <v>856.77</v>
      </c>
      <c r="K340" t="str">
        <f>_xlfn.XLOOKUP(Jnl[[#This Row],[Acct]], config_BS[Acct], config_BS[Lv0],,0)</f>
        <v>LC</v>
      </c>
      <c r="L340" t="str">
        <f>_xlfn.XLOOKUP(Jnl[[#This Row],[Acct]], config_BS[Acct], config_BS[Lv1],,0)</f>
        <v>Liability</v>
      </c>
      <c r="M340" t="str">
        <f>_xlfn.XLOOKUP(Jnl[[#This Row],[Acct]], config_BS[Acct], config_BS[Lv2],,0)</f>
        <v>Rec-Pay</v>
      </c>
      <c r="N340" t="str">
        <f>_xlfn.XLOOKUP(Jnl[[#This Row],[TrxId]], Trx[Id], Trx[IncNode], ,0)</f>
        <v>Expense</v>
      </c>
      <c r="O340" t="str">
        <f>_xlfn.XLOOKUP(Jnl[[#This Row],[IncNode]], config_IS[Node], config_IS[Type],,0)</f>
        <v>Op</v>
      </c>
      <c r="P340" t="str">
        <f>_xlfn.XLOOKUP(Jnl[[#This Row],[BSLv2]], dict[Key], dict[Name],,0)</f>
        <v>1.应收-应付</v>
      </c>
      <c r="Q340" t="str">
        <f>_xlfn.XLOOKUP(Jnl[[#This Row],[Acct]], dict[Key], dict[Name],,0)</f>
        <v>应付-税款</v>
      </c>
      <c r="R340" t="str">
        <f>_xlfn.XLOOKUP(Jnl[[#This Row],[Vehicle]],config_vehicle[Id], config_vehicle[Name],,0)</f>
        <v>米小易</v>
      </c>
      <c r="S340" t="str">
        <f>_xlfn.XLOOKUP(Jnl[[#This Row],[Division]],config_div[Id], config_div[Name],,0)</f>
        <v>内控合规</v>
      </c>
      <c r="T340" t="str">
        <f>IF(Jnl[[#This Row],[TrxDate]]&lt;=stmt_BS_date_end, "In", "Out")</f>
        <v>In</v>
      </c>
      <c r="U340" t="str">
        <f>IF(Jnl[[#This Row],[TrxDate]]&lt;debug_date_start, "prior", IF(Jnl[[#This Row],[TrxDate]]&gt;debug_date_end, "post", "curr"))</f>
        <v>curr</v>
      </c>
    </row>
    <row r="341" spans="1:21" hidden="1">
      <c r="A341" s="39" t="s">
        <v>540</v>
      </c>
      <c r="B341" s="6">
        <f>_xlfn.XLOOKUP(Jnl[[#This Row],[TrxId]], Trx[Id], Trx[Date],,0)</f>
        <v>46053</v>
      </c>
      <c r="C341" s="6" t="str">
        <f>_xlfn.XLOOKUP(Jnl[[#This Row],[TrxId]], Trx[Id], Trx[Division],,0)</f>
        <v>Ctrl</v>
      </c>
      <c r="D341" s="6" t="str">
        <f>_xlfn.XLOOKUP(Jnl[[#This Row],[TrxId]], Trx[Id], Trx[Action],,0)</f>
        <v>支付</v>
      </c>
      <c r="E341" s="27" t="s">
        <v>84</v>
      </c>
      <c r="F341" s="10" t="s">
        <v>130</v>
      </c>
      <c r="G341" s="10" t="s">
        <v>354</v>
      </c>
      <c r="H341" s="37">
        <v>-72.72</v>
      </c>
      <c r="I341" s="11" t="b">
        <f>AND(Jnl[[#This Row],[TrxId]]&lt;&gt;"",Jnl[[#This Row],[Acct]]&lt;&gt;"",Jnl[[#This Row],[Item]]&lt;&gt;"",ISNUMBER(Jnl[[#This Row],[Bal]]))</f>
        <v>1</v>
      </c>
      <c r="J341" s="9">
        <f>IF(Jnl[[#This Row],[BSLv0]]="A",1,-1)*Jnl[[#This Row],[Bal]]</f>
        <v>72.72</v>
      </c>
      <c r="K341" t="str">
        <f>_xlfn.XLOOKUP(Jnl[[#This Row],[Acct]], config_BS[Acct], config_BS[Lv0],,0)</f>
        <v>LC</v>
      </c>
      <c r="L341" t="str">
        <f>_xlfn.XLOOKUP(Jnl[[#This Row],[Acct]], config_BS[Acct], config_BS[Lv1],,0)</f>
        <v>Liability</v>
      </c>
      <c r="M341" t="str">
        <f>_xlfn.XLOOKUP(Jnl[[#This Row],[Acct]], config_BS[Acct], config_BS[Lv2],,0)</f>
        <v>Rec-Pay</v>
      </c>
      <c r="N341" t="str">
        <f>_xlfn.XLOOKUP(Jnl[[#This Row],[TrxId]], Trx[Id], Trx[IncNode], ,0)</f>
        <v>Expense</v>
      </c>
      <c r="O341" t="str">
        <f>_xlfn.XLOOKUP(Jnl[[#This Row],[IncNode]], config_IS[Node], config_IS[Type],,0)</f>
        <v>Op</v>
      </c>
      <c r="P341" t="str">
        <f>_xlfn.XLOOKUP(Jnl[[#This Row],[BSLv2]], dict[Key], dict[Name],,0)</f>
        <v>1.应收-应付</v>
      </c>
      <c r="Q341" t="str">
        <f>_xlfn.XLOOKUP(Jnl[[#This Row],[Acct]], dict[Key], dict[Name],,0)</f>
        <v>应付-税款</v>
      </c>
      <c r="R341" t="str">
        <f>_xlfn.XLOOKUP(Jnl[[#This Row],[Vehicle]],config_vehicle[Id], config_vehicle[Name],,0)</f>
        <v>米小易</v>
      </c>
      <c r="S341" t="str">
        <f>_xlfn.XLOOKUP(Jnl[[#This Row],[Division]],config_div[Id], config_div[Name],,0)</f>
        <v>内控合规</v>
      </c>
      <c r="T341" t="str">
        <f>IF(Jnl[[#This Row],[TrxDate]]&lt;=stmt_BS_date_end, "In", "Out")</f>
        <v>In</v>
      </c>
      <c r="U341" t="str">
        <f>IF(Jnl[[#This Row],[TrxDate]]&lt;debug_date_start, "prior", IF(Jnl[[#This Row],[TrxDate]]&gt;debug_date_end, "post", "curr"))</f>
        <v>curr</v>
      </c>
    </row>
    <row r="342" spans="1:21" hidden="1">
      <c r="A342" s="39" t="s">
        <v>540</v>
      </c>
      <c r="B342" s="6">
        <f>_xlfn.XLOOKUP(Jnl[[#This Row],[TrxId]], Trx[Id], Trx[Date],,0)</f>
        <v>46053</v>
      </c>
      <c r="C342" s="6" t="str">
        <f>_xlfn.XLOOKUP(Jnl[[#This Row],[TrxId]], Trx[Id], Trx[Division],,0)</f>
        <v>Ctrl</v>
      </c>
      <c r="D342" s="6" t="str">
        <f>_xlfn.XLOOKUP(Jnl[[#This Row],[TrxId]], Trx[Id], Trx[Action],,0)</f>
        <v>支付</v>
      </c>
      <c r="E342" s="27" t="s">
        <v>84</v>
      </c>
      <c r="F342" s="10" t="s">
        <v>130</v>
      </c>
      <c r="G342" s="10" t="s">
        <v>352</v>
      </c>
      <c r="H342" s="37">
        <v>-17202.16</v>
      </c>
      <c r="I342" s="11" t="b">
        <f>AND(Jnl[[#This Row],[TrxId]]&lt;&gt;"",Jnl[[#This Row],[Acct]]&lt;&gt;"",Jnl[[#This Row],[Item]]&lt;&gt;"",ISNUMBER(Jnl[[#This Row],[Bal]]))</f>
        <v>1</v>
      </c>
      <c r="J342" s="9">
        <f>IF(Jnl[[#This Row],[BSLv0]]="A",1,-1)*Jnl[[#This Row],[Bal]]</f>
        <v>17202.16</v>
      </c>
      <c r="K342" t="str">
        <f>_xlfn.XLOOKUP(Jnl[[#This Row],[Acct]], config_BS[Acct], config_BS[Lv0],,0)</f>
        <v>LC</v>
      </c>
      <c r="L342" t="str">
        <f>_xlfn.XLOOKUP(Jnl[[#This Row],[Acct]], config_BS[Acct], config_BS[Lv1],,0)</f>
        <v>Liability</v>
      </c>
      <c r="M342" t="str">
        <f>_xlfn.XLOOKUP(Jnl[[#This Row],[Acct]], config_BS[Acct], config_BS[Lv2],,0)</f>
        <v>Rec-Pay</v>
      </c>
      <c r="N342" t="str">
        <f>_xlfn.XLOOKUP(Jnl[[#This Row],[TrxId]], Trx[Id], Trx[IncNode], ,0)</f>
        <v>Expense</v>
      </c>
      <c r="O342" t="str">
        <f>_xlfn.XLOOKUP(Jnl[[#This Row],[IncNode]], config_IS[Node], config_IS[Type],,0)</f>
        <v>Op</v>
      </c>
      <c r="P342" t="str">
        <f>_xlfn.XLOOKUP(Jnl[[#This Row],[BSLv2]], dict[Key], dict[Name],,0)</f>
        <v>1.应收-应付</v>
      </c>
      <c r="Q342" t="str">
        <f>_xlfn.XLOOKUP(Jnl[[#This Row],[Acct]], dict[Key], dict[Name],,0)</f>
        <v>应付-税款</v>
      </c>
      <c r="R342" t="str">
        <f>_xlfn.XLOOKUP(Jnl[[#This Row],[Vehicle]],config_vehicle[Id], config_vehicle[Name],,0)</f>
        <v>米小易</v>
      </c>
      <c r="S342" t="str">
        <f>_xlfn.XLOOKUP(Jnl[[#This Row],[Division]],config_div[Id], config_div[Name],,0)</f>
        <v>内控合规</v>
      </c>
      <c r="T342" t="str">
        <f>IF(Jnl[[#This Row],[TrxDate]]&lt;=stmt_BS_date_end, "In", "Out")</f>
        <v>In</v>
      </c>
      <c r="U342" t="str">
        <f>IF(Jnl[[#This Row],[TrxDate]]&lt;debug_date_start, "prior", IF(Jnl[[#This Row],[TrxDate]]&gt;debug_date_end, "post", "curr"))</f>
        <v>curr</v>
      </c>
    </row>
    <row r="343" spans="1:21" hidden="1">
      <c r="A343" s="39" t="s">
        <v>543</v>
      </c>
      <c r="B343" s="6">
        <f>_xlfn.XLOOKUP(Jnl[[#This Row],[TrxId]], Trx[Id], Trx[Date],,0)</f>
        <v>46053</v>
      </c>
      <c r="C343" s="6" t="str">
        <f>_xlfn.XLOOKUP(Jnl[[#This Row],[TrxId]], Trx[Id], Trx[Division],,0)</f>
        <v>Shuijie</v>
      </c>
      <c r="D343" s="6" t="str">
        <f>_xlfn.XLOOKUP(Jnl[[#This Row],[TrxId]], Trx[Id], Trx[Action],,0)</f>
        <v>采购</v>
      </c>
      <c r="E343" s="27" t="s">
        <v>84</v>
      </c>
      <c r="F343" s="10" t="s">
        <v>596</v>
      </c>
      <c r="G343" s="10" t="s">
        <v>598</v>
      </c>
      <c r="H343" s="37">
        <v>-1690</v>
      </c>
      <c r="I343" s="11" t="b">
        <f>AND(Jnl[[#This Row],[TrxId]]&lt;&gt;"",Jnl[[#This Row],[Acct]]&lt;&gt;"",Jnl[[#This Row],[Item]]&lt;&gt;"",ISNUMBER(Jnl[[#This Row],[Bal]]))</f>
        <v>1</v>
      </c>
      <c r="J343" s="9">
        <f>IF(Jnl[[#This Row],[BSLv0]]="A",1,-1)*Jnl[[#This Row],[Bal]]</f>
        <v>-1690</v>
      </c>
      <c r="K343" t="str">
        <f>_xlfn.XLOOKUP(Jnl[[#This Row],[Acct]], config_BS[Acct], config_BS[Lv0],,0)</f>
        <v>A</v>
      </c>
      <c r="L343" t="str">
        <f>_xlfn.XLOOKUP(Jnl[[#This Row],[Acct]], config_BS[Acct], config_BS[Lv1],,0)</f>
        <v>Assets</v>
      </c>
      <c r="M343" t="str">
        <f>_xlfn.XLOOKUP(Jnl[[#This Row],[Acct]], config_BS[Acct], config_BS[Lv2],,0)</f>
        <v>Cash alike</v>
      </c>
      <c r="N343" t="str">
        <f>_xlfn.XLOOKUP(Jnl[[#This Row],[TrxId]], Trx[Id], Trx[IncNode], ,0)</f>
        <v>Cost</v>
      </c>
      <c r="O343" t="str">
        <f>_xlfn.XLOOKUP(Jnl[[#This Row],[IncNode]], config_IS[Node], config_IS[Type],,0)</f>
        <v>Op</v>
      </c>
      <c r="P343" t="str">
        <f>_xlfn.XLOOKUP(Jnl[[#This Row],[BSLv2]], dict[Key], dict[Name],,0)</f>
        <v>0.现金及类似</v>
      </c>
      <c r="Q343" t="str">
        <f>_xlfn.XLOOKUP(Jnl[[#This Row],[Acct]], dict[Key], dict[Name],,0)</f>
        <v>银行</v>
      </c>
      <c r="R343" t="str">
        <f>_xlfn.XLOOKUP(Jnl[[#This Row],[Vehicle]],config_vehicle[Id], config_vehicle[Name],,0)</f>
        <v>米小易</v>
      </c>
      <c r="S343" t="str">
        <f>_xlfn.XLOOKUP(Jnl[[#This Row],[Division]],config_div[Id], config_div[Name],,0)</f>
        <v>水街店</v>
      </c>
      <c r="T343" t="str">
        <f>IF(Jnl[[#This Row],[TrxDate]]&lt;=stmt_BS_date_end, "In", "Out")</f>
        <v>In</v>
      </c>
      <c r="U343" t="str">
        <f>IF(Jnl[[#This Row],[TrxDate]]&lt;debug_date_start, "prior", IF(Jnl[[#This Row],[TrxDate]]&gt;debug_date_end, "post", "curr"))</f>
        <v>curr</v>
      </c>
    </row>
    <row r="344" spans="1:21" hidden="1">
      <c r="A344" s="39" t="s">
        <v>543</v>
      </c>
      <c r="B344" s="6">
        <f>_xlfn.XLOOKUP(Jnl[[#This Row],[TrxId]], Trx[Id], Trx[Date],,0)</f>
        <v>46053</v>
      </c>
      <c r="C344" s="6" t="str">
        <f>_xlfn.XLOOKUP(Jnl[[#This Row],[TrxId]], Trx[Id], Trx[Division],,0)</f>
        <v>Shuijie</v>
      </c>
      <c r="D344" s="6" t="str">
        <f>_xlfn.XLOOKUP(Jnl[[#This Row],[TrxId]], Trx[Id], Trx[Action],,0)</f>
        <v>采购</v>
      </c>
      <c r="E344" s="27" t="s">
        <v>84</v>
      </c>
      <c r="F344" s="10" t="s">
        <v>604</v>
      </c>
      <c r="G344" s="10" t="s">
        <v>155</v>
      </c>
      <c r="H344" s="37">
        <v>1690</v>
      </c>
      <c r="I344" s="11" t="b">
        <f>AND(Jnl[[#This Row],[TrxId]]&lt;&gt;"",Jnl[[#This Row],[Acct]]&lt;&gt;"",Jnl[[#This Row],[Item]]&lt;&gt;"",ISNUMBER(Jnl[[#This Row],[Bal]]))</f>
        <v>1</v>
      </c>
      <c r="J344" s="9">
        <f>IF(Jnl[[#This Row],[BSLv0]]="A",1,-1)*Jnl[[#This Row],[Bal]]</f>
        <v>1690</v>
      </c>
      <c r="K344" t="str">
        <f>_xlfn.XLOOKUP(Jnl[[#This Row],[Acct]], config_BS[Acct], config_BS[Lv0],,0)</f>
        <v>A</v>
      </c>
      <c r="L344" t="str">
        <f>_xlfn.XLOOKUP(Jnl[[#This Row],[Acct]], config_BS[Acct], config_BS[Lv1],,0)</f>
        <v>Assets</v>
      </c>
      <c r="M344" t="str">
        <f>_xlfn.XLOOKUP(Jnl[[#This Row],[Acct]], config_BS[Acct], config_BS[Lv2],,0)</f>
        <v>Invtr</v>
      </c>
      <c r="N344" t="str">
        <f>_xlfn.XLOOKUP(Jnl[[#This Row],[TrxId]], Trx[Id], Trx[IncNode], ,0)</f>
        <v>Cost</v>
      </c>
      <c r="O344" t="str">
        <f>_xlfn.XLOOKUP(Jnl[[#This Row],[IncNode]], config_IS[Node], config_IS[Type],,0)</f>
        <v>Op</v>
      </c>
      <c r="P344" t="str">
        <f>_xlfn.XLOOKUP(Jnl[[#This Row],[BSLv2]], dict[Key], dict[Name],,0)</f>
        <v>3.库存占款</v>
      </c>
      <c r="Q344" t="str">
        <f>_xlfn.XLOOKUP(Jnl[[#This Row],[Acct]], dict[Key], dict[Name],,0)</f>
        <v>当期存货</v>
      </c>
      <c r="R344" t="str">
        <f>_xlfn.XLOOKUP(Jnl[[#This Row],[Vehicle]],config_vehicle[Id], config_vehicle[Name],,0)</f>
        <v>米小易</v>
      </c>
      <c r="S344" t="str">
        <f>_xlfn.XLOOKUP(Jnl[[#This Row],[Division]],config_div[Id], config_div[Name],,0)</f>
        <v>水街店</v>
      </c>
      <c r="T344" t="str">
        <f>IF(Jnl[[#This Row],[TrxDate]]&lt;=stmt_BS_date_end, "In", "Out")</f>
        <v>In</v>
      </c>
      <c r="U344" t="str">
        <f>IF(Jnl[[#This Row],[TrxDate]]&lt;debug_date_start, "prior", IF(Jnl[[#This Row],[TrxDate]]&gt;debug_date_end, "post", "curr"))</f>
        <v>curr</v>
      </c>
    </row>
    <row r="345" spans="1:21" hidden="1">
      <c r="A345" s="39" t="s">
        <v>544</v>
      </c>
      <c r="B345" s="6">
        <f>_xlfn.XLOOKUP(Jnl[[#This Row],[TrxId]], Trx[Id], Trx[Date],,0)</f>
        <v>46053</v>
      </c>
      <c r="C345" s="6" t="str">
        <f>_xlfn.XLOOKUP(Jnl[[#This Row],[TrxId]], Trx[Id], Trx[Division],,0)</f>
        <v>Shuijie</v>
      </c>
      <c r="D345" s="6" t="str">
        <f>_xlfn.XLOOKUP(Jnl[[#This Row],[TrxId]], Trx[Id], Trx[Action],,0)</f>
        <v>支付</v>
      </c>
      <c r="E345" s="27" t="s">
        <v>84</v>
      </c>
      <c r="F345" s="10" t="s">
        <v>498</v>
      </c>
      <c r="G345" s="10" t="s">
        <v>433</v>
      </c>
      <c r="H345" s="37">
        <v>4828</v>
      </c>
      <c r="I345" s="11" t="b">
        <f>AND(Jnl[[#This Row],[TrxId]]&lt;&gt;"",Jnl[[#This Row],[Acct]]&lt;&gt;"",Jnl[[#This Row],[Item]]&lt;&gt;"",ISNUMBER(Jnl[[#This Row],[Bal]]))</f>
        <v>1</v>
      </c>
      <c r="J345" s="9">
        <f>IF(Jnl[[#This Row],[BSLv0]]="A",1,-1)*Jnl[[#This Row],[Bal]]</f>
        <v>4828</v>
      </c>
      <c r="K345" t="str">
        <f>_xlfn.XLOOKUP(Jnl[[#This Row],[Acct]], config_BS[Acct], config_BS[Lv0],,0)</f>
        <v>A</v>
      </c>
      <c r="L345" t="str">
        <f>_xlfn.XLOOKUP(Jnl[[#This Row],[Acct]], config_BS[Acct], config_BS[Lv1],,0)</f>
        <v>Assets</v>
      </c>
      <c r="M345" t="str">
        <f>_xlfn.XLOOKUP(Jnl[[#This Row],[Acct]], config_BS[Acct], config_BS[Lv2],,0)</f>
        <v>Prep-Sub</v>
      </c>
      <c r="N345" t="str">
        <f>_xlfn.XLOOKUP(Jnl[[#This Row],[TrxId]], Trx[Id], Trx[IncNode], ,0)</f>
        <v>Cost</v>
      </c>
      <c r="O345" t="str">
        <f>_xlfn.XLOOKUP(Jnl[[#This Row],[IncNode]], config_IS[Node], config_IS[Type],,0)</f>
        <v>Op</v>
      </c>
      <c r="P345" t="str">
        <f>_xlfn.XLOOKUP(Jnl[[#This Row],[BSLv2]], dict[Key], dict[Name],,0)</f>
        <v>2.预付-订阅</v>
      </c>
      <c r="Q345" t="str">
        <f>_xlfn.XLOOKUP(Jnl[[#This Row],[Acct]], dict[Key], dict[Name],,0)</f>
        <v>预付订单</v>
      </c>
      <c r="R345" t="str">
        <f>_xlfn.XLOOKUP(Jnl[[#This Row],[Vehicle]],config_vehicle[Id], config_vehicle[Name],,0)</f>
        <v>米小易</v>
      </c>
      <c r="S345" t="str">
        <f>_xlfn.XLOOKUP(Jnl[[#This Row],[Division]],config_div[Id], config_div[Name],,0)</f>
        <v>水街店</v>
      </c>
      <c r="T345" t="str">
        <f>IF(Jnl[[#This Row],[TrxDate]]&lt;=stmt_BS_date_end, "In", "Out")</f>
        <v>In</v>
      </c>
      <c r="U345" t="str">
        <f>IF(Jnl[[#This Row],[TrxDate]]&lt;debug_date_start, "prior", IF(Jnl[[#This Row],[TrxDate]]&gt;debug_date_end, "post", "curr"))</f>
        <v>curr</v>
      </c>
    </row>
    <row r="346" spans="1:21" hidden="1">
      <c r="A346" s="39" t="s">
        <v>544</v>
      </c>
      <c r="B346" s="6">
        <f>_xlfn.XLOOKUP(Jnl[[#This Row],[TrxId]], Trx[Id], Trx[Date],,0)</f>
        <v>46053</v>
      </c>
      <c r="C346" s="6" t="str">
        <f>_xlfn.XLOOKUP(Jnl[[#This Row],[TrxId]], Trx[Id], Trx[Division],,0)</f>
        <v>Shuijie</v>
      </c>
      <c r="D346" s="6" t="str">
        <f>_xlfn.XLOOKUP(Jnl[[#This Row],[TrxId]], Trx[Id], Trx[Action],,0)</f>
        <v>支付</v>
      </c>
      <c r="E346" s="27" t="s">
        <v>84</v>
      </c>
      <c r="F346" s="10" t="s">
        <v>596</v>
      </c>
      <c r="G346" s="10" t="s">
        <v>598</v>
      </c>
      <c r="H346" s="37">
        <v>-4828</v>
      </c>
      <c r="I346" s="11" t="b">
        <f>AND(Jnl[[#This Row],[TrxId]]&lt;&gt;"",Jnl[[#This Row],[Acct]]&lt;&gt;"",Jnl[[#This Row],[Item]]&lt;&gt;"",ISNUMBER(Jnl[[#This Row],[Bal]]))</f>
        <v>1</v>
      </c>
      <c r="J346" s="9">
        <f>IF(Jnl[[#This Row],[BSLv0]]="A",1,-1)*Jnl[[#This Row],[Bal]]</f>
        <v>-4828</v>
      </c>
      <c r="K346" t="str">
        <f>_xlfn.XLOOKUP(Jnl[[#This Row],[Acct]], config_BS[Acct], config_BS[Lv0],,0)</f>
        <v>A</v>
      </c>
      <c r="L346" t="str">
        <f>_xlfn.XLOOKUP(Jnl[[#This Row],[Acct]], config_BS[Acct], config_BS[Lv1],,0)</f>
        <v>Assets</v>
      </c>
      <c r="M346" t="str">
        <f>_xlfn.XLOOKUP(Jnl[[#This Row],[Acct]], config_BS[Acct], config_BS[Lv2],,0)</f>
        <v>Cash alike</v>
      </c>
      <c r="N346" t="str">
        <f>_xlfn.XLOOKUP(Jnl[[#This Row],[TrxId]], Trx[Id], Trx[IncNode], ,0)</f>
        <v>Cost</v>
      </c>
      <c r="O346" t="str">
        <f>_xlfn.XLOOKUP(Jnl[[#This Row],[IncNode]], config_IS[Node], config_IS[Type],,0)</f>
        <v>Op</v>
      </c>
      <c r="P346" t="str">
        <f>_xlfn.XLOOKUP(Jnl[[#This Row],[BSLv2]], dict[Key], dict[Name],,0)</f>
        <v>0.现金及类似</v>
      </c>
      <c r="Q346" t="str">
        <f>_xlfn.XLOOKUP(Jnl[[#This Row],[Acct]], dict[Key], dict[Name],,0)</f>
        <v>银行</v>
      </c>
      <c r="R346" t="str">
        <f>_xlfn.XLOOKUP(Jnl[[#This Row],[Vehicle]],config_vehicle[Id], config_vehicle[Name],,0)</f>
        <v>米小易</v>
      </c>
      <c r="S346" t="str">
        <f>_xlfn.XLOOKUP(Jnl[[#This Row],[Division]],config_div[Id], config_div[Name],,0)</f>
        <v>水街店</v>
      </c>
      <c r="T346" t="str">
        <f>IF(Jnl[[#This Row],[TrxDate]]&lt;=stmt_BS_date_end, "In", "Out")</f>
        <v>In</v>
      </c>
      <c r="U346" t="str">
        <f>IF(Jnl[[#This Row],[TrxDate]]&lt;debug_date_start, "prior", IF(Jnl[[#This Row],[TrxDate]]&gt;debug_date_end, "post", "curr"))</f>
        <v>curr</v>
      </c>
    </row>
    <row r="347" spans="1:21" hidden="1">
      <c r="A347" s="39" t="s">
        <v>545</v>
      </c>
      <c r="B347" s="6">
        <f>_xlfn.XLOOKUP(Jnl[[#This Row],[TrxId]], Trx[Id], Trx[Date],,0)</f>
        <v>46053</v>
      </c>
      <c r="C347" s="6" t="str">
        <f>_xlfn.XLOOKUP(Jnl[[#This Row],[TrxId]], Trx[Id], Trx[Division],,0)</f>
        <v>Ctrl</v>
      </c>
      <c r="D347" s="6" t="str">
        <f>_xlfn.XLOOKUP(Jnl[[#This Row],[TrxId]], Trx[Id], Trx[Action],,0)</f>
        <v>代理</v>
      </c>
      <c r="E347" s="27" t="s">
        <v>84</v>
      </c>
      <c r="F347" s="10" t="s">
        <v>596</v>
      </c>
      <c r="G347" s="10" t="s">
        <v>598</v>
      </c>
      <c r="H347" s="37">
        <v>-1170</v>
      </c>
      <c r="I347" s="11" t="b">
        <f>AND(Jnl[[#This Row],[TrxId]]&lt;&gt;"",Jnl[[#This Row],[Acct]]&lt;&gt;"",Jnl[[#This Row],[Item]]&lt;&gt;"",ISNUMBER(Jnl[[#This Row],[Bal]]))</f>
        <v>1</v>
      </c>
      <c r="J347" s="9">
        <f>IF(Jnl[[#This Row],[BSLv0]]="A",1,-1)*Jnl[[#This Row],[Bal]]</f>
        <v>-1170</v>
      </c>
      <c r="K347" t="str">
        <f>_xlfn.XLOOKUP(Jnl[[#This Row],[Acct]], config_BS[Acct], config_BS[Lv0],,0)</f>
        <v>A</v>
      </c>
      <c r="L347" t="str">
        <f>_xlfn.XLOOKUP(Jnl[[#This Row],[Acct]], config_BS[Acct], config_BS[Lv1],,0)</f>
        <v>Assets</v>
      </c>
      <c r="M347" t="str">
        <f>_xlfn.XLOOKUP(Jnl[[#This Row],[Acct]], config_BS[Acct], config_BS[Lv2],,0)</f>
        <v>Cash alike</v>
      </c>
      <c r="N347" t="str">
        <f>_xlfn.XLOOKUP(Jnl[[#This Row],[TrxId]], Trx[Id], Trx[IncNode], ,0)</f>
        <v>Expense</v>
      </c>
      <c r="O347" t="str">
        <f>_xlfn.XLOOKUP(Jnl[[#This Row],[IncNode]], config_IS[Node], config_IS[Type],,0)</f>
        <v>Op</v>
      </c>
      <c r="P347" t="str">
        <f>_xlfn.XLOOKUP(Jnl[[#This Row],[BSLv2]], dict[Key], dict[Name],,0)</f>
        <v>0.现金及类似</v>
      </c>
      <c r="Q347" t="str">
        <f>_xlfn.XLOOKUP(Jnl[[#This Row],[Acct]], dict[Key], dict[Name],,0)</f>
        <v>银行</v>
      </c>
      <c r="R347" t="str">
        <f>_xlfn.XLOOKUP(Jnl[[#This Row],[Vehicle]],config_vehicle[Id], config_vehicle[Name],,0)</f>
        <v>米小易</v>
      </c>
      <c r="S347" t="str">
        <f>_xlfn.XLOOKUP(Jnl[[#This Row],[Division]],config_div[Id], config_div[Name],,0)</f>
        <v>内控合规</v>
      </c>
      <c r="T347" t="str">
        <f>IF(Jnl[[#This Row],[TrxDate]]&lt;=stmt_BS_date_end, "In", "Out")</f>
        <v>In</v>
      </c>
      <c r="U347" t="str">
        <f>IF(Jnl[[#This Row],[TrxDate]]&lt;debug_date_start, "prior", IF(Jnl[[#This Row],[TrxDate]]&gt;debug_date_end, "post", "curr"))</f>
        <v>curr</v>
      </c>
    </row>
    <row r="348" spans="1:21" hidden="1">
      <c r="A348" s="39" t="s">
        <v>547</v>
      </c>
      <c r="B348" s="6">
        <f>_xlfn.XLOOKUP(Jnl[[#This Row],[TrxId]], Trx[Id], Trx[Date],,0)</f>
        <v>46053</v>
      </c>
      <c r="C348" s="6" t="str">
        <f>_xlfn.XLOOKUP(Jnl[[#This Row],[TrxId]], Trx[Id], Trx[Division],,0)</f>
        <v>Shuijie</v>
      </c>
      <c r="D348" s="6" t="str">
        <f>_xlfn.XLOOKUP(Jnl[[#This Row],[TrxId]], Trx[Id], Trx[Action],,0)</f>
        <v>食材</v>
      </c>
      <c r="E348" s="27" t="s">
        <v>84</v>
      </c>
      <c r="F348" s="10" t="s">
        <v>603</v>
      </c>
      <c r="G348" s="10" t="s">
        <v>534</v>
      </c>
      <c r="H348" s="37">
        <v>-26542.62</v>
      </c>
      <c r="I348" s="11" t="b">
        <f>AND(Jnl[[#This Row],[TrxId]]&lt;&gt;"",Jnl[[#This Row],[Acct]]&lt;&gt;"",Jnl[[#This Row],[Item]]&lt;&gt;"",ISNUMBER(Jnl[[#This Row],[Bal]]))</f>
        <v>1</v>
      </c>
      <c r="J348" s="9">
        <f>IF(Jnl[[#This Row],[BSLv0]]="A",1,-1)*Jnl[[#This Row],[Bal]]</f>
        <v>-26542.62</v>
      </c>
      <c r="K348" t="str">
        <f>_xlfn.XLOOKUP(Jnl[[#This Row],[Acct]], config_BS[Acct], config_BS[Lv0],,0)</f>
        <v>A</v>
      </c>
      <c r="L348" t="str">
        <f>_xlfn.XLOOKUP(Jnl[[#This Row],[Acct]], config_BS[Acct], config_BS[Lv1],,0)</f>
        <v>Assets</v>
      </c>
      <c r="M348" t="str">
        <f>_xlfn.XLOOKUP(Jnl[[#This Row],[Acct]], config_BS[Acct], config_BS[Lv2],,0)</f>
        <v>Prep-Sub</v>
      </c>
      <c r="N348" t="str">
        <f>_xlfn.XLOOKUP(Jnl[[#This Row],[TrxId]], Trx[Id], Trx[IncNode], ,0)</f>
        <v>Cost</v>
      </c>
      <c r="O348" t="str">
        <f>_xlfn.XLOOKUP(Jnl[[#This Row],[IncNode]], config_IS[Node], config_IS[Type],,0)</f>
        <v>Op</v>
      </c>
      <c r="P348" t="str">
        <f>_xlfn.XLOOKUP(Jnl[[#This Row],[BSLv2]], dict[Key], dict[Name],,0)</f>
        <v>2.预付-订阅</v>
      </c>
      <c r="Q348" t="str">
        <f>_xlfn.XLOOKUP(Jnl[[#This Row],[Acct]], dict[Key], dict[Name],,0)</f>
        <v>员工预支</v>
      </c>
      <c r="R348" t="str">
        <f>_xlfn.XLOOKUP(Jnl[[#This Row],[Vehicle]],config_vehicle[Id], config_vehicle[Name],,0)</f>
        <v>米小易</v>
      </c>
      <c r="S348" t="str">
        <f>_xlfn.XLOOKUP(Jnl[[#This Row],[Division]],config_div[Id], config_div[Name],,0)</f>
        <v>水街店</v>
      </c>
      <c r="T348" t="str">
        <f>IF(Jnl[[#This Row],[TrxDate]]&lt;=stmt_BS_date_end, "In", "Out")</f>
        <v>In</v>
      </c>
      <c r="U348" t="str">
        <f>IF(Jnl[[#This Row],[TrxDate]]&lt;debug_date_start, "prior", IF(Jnl[[#This Row],[TrxDate]]&gt;debug_date_end, "post", "curr"))</f>
        <v>curr</v>
      </c>
    </row>
    <row r="349" spans="1:21" hidden="1">
      <c r="A349" s="39" t="s">
        <v>548</v>
      </c>
      <c r="B349" s="6">
        <f>_xlfn.XLOOKUP(Jnl[[#This Row],[TrxId]], Trx[Id], Trx[Date],,0)</f>
        <v>46053</v>
      </c>
      <c r="C349" s="6" t="str">
        <f>_xlfn.XLOOKUP(Jnl[[#This Row],[TrxId]], Trx[Id], Trx[Division],,0)</f>
        <v>Shuijie</v>
      </c>
      <c r="D349" s="6" t="str">
        <f>_xlfn.XLOOKUP(Jnl[[#This Row],[TrxId]], Trx[Id], Trx[Action],,0)</f>
        <v>其他材料</v>
      </c>
      <c r="E349" s="27" t="s">
        <v>84</v>
      </c>
      <c r="F349" s="10" t="s">
        <v>603</v>
      </c>
      <c r="G349" s="10" t="s">
        <v>534</v>
      </c>
      <c r="H349" s="37">
        <f>-36807.2-H348</f>
        <v>-10264.579999999998</v>
      </c>
      <c r="I349" s="11" t="b">
        <f>AND(Jnl[[#This Row],[TrxId]]&lt;&gt;"",Jnl[[#This Row],[Acct]]&lt;&gt;"",Jnl[[#This Row],[Item]]&lt;&gt;"",ISNUMBER(Jnl[[#This Row],[Bal]]))</f>
        <v>1</v>
      </c>
      <c r="J349" s="9">
        <f>IF(Jnl[[#This Row],[BSLv0]]="A",1,-1)*Jnl[[#This Row],[Bal]]</f>
        <v>-10264.579999999998</v>
      </c>
      <c r="K349" t="str">
        <f>_xlfn.XLOOKUP(Jnl[[#This Row],[Acct]], config_BS[Acct], config_BS[Lv0],,0)</f>
        <v>A</v>
      </c>
      <c r="L349" t="str">
        <f>_xlfn.XLOOKUP(Jnl[[#This Row],[Acct]], config_BS[Acct], config_BS[Lv1],,0)</f>
        <v>Assets</v>
      </c>
      <c r="M349" t="str">
        <f>_xlfn.XLOOKUP(Jnl[[#This Row],[Acct]], config_BS[Acct], config_BS[Lv2],,0)</f>
        <v>Prep-Sub</v>
      </c>
      <c r="N349" t="str">
        <f>_xlfn.XLOOKUP(Jnl[[#This Row],[TrxId]], Trx[Id], Trx[IncNode], ,0)</f>
        <v>Cost</v>
      </c>
      <c r="O349" t="str">
        <f>_xlfn.XLOOKUP(Jnl[[#This Row],[IncNode]], config_IS[Node], config_IS[Type],,0)</f>
        <v>Op</v>
      </c>
      <c r="P349" t="str">
        <f>_xlfn.XLOOKUP(Jnl[[#This Row],[BSLv2]], dict[Key], dict[Name],,0)</f>
        <v>2.预付-订阅</v>
      </c>
      <c r="Q349" t="str">
        <f>_xlfn.XLOOKUP(Jnl[[#This Row],[Acct]], dict[Key], dict[Name],,0)</f>
        <v>员工预支</v>
      </c>
      <c r="R349" t="str">
        <f>_xlfn.XLOOKUP(Jnl[[#This Row],[Vehicle]],config_vehicle[Id], config_vehicle[Name],,0)</f>
        <v>米小易</v>
      </c>
      <c r="S349" t="str">
        <f>_xlfn.XLOOKUP(Jnl[[#This Row],[Division]],config_div[Id], config_div[Name],,0)</f>
        <v>水街店</v>
      </c>
      <c r="T349" t="str">
        <f>IF(Jnl[[#This Row],[TrxDate]]&lt;=stmt_BS_date_end, "In", "Out")</f>
        <v>In</v>
      </c>
      <c r="U349" t="str">
        <f>IF(Jnl[[#This Row],[TrxDate]]&lt;debug_date_start, "prior", IF(Jnl[[#This Row],[TrxDate]]&gt;debug_date_end, "post", "curr"))</f>
        <v>curr</v>
      </c>
    </row>
    <row r="350" spans="1:21" hidden="1">
      <c r="A350" s="39" t="s">
        <v>549</v>
      </c>
      <c r="B350" s="6">
        <f>_xlfn.XLOOKUP(Jnl[[#This Row],[TrxId]], Trx[Id], Trx[Date],,0)</f>
        <v>46053</v>
      </c>
      <c r="C350" s="6" t="str">
        <f>_xlfn.XLOOKUP(Jnl[[#This Row],[TrxId]], Trx[Id], Trx[Division],,0)</f>
        <v>Shuijie</v>
      </c>
      <c r="D350" s="6" t="str">
        <f>_xlfn.XLOOKUP(Jnl[[#This Row],[TrxId]], Trx[Id], Trx[Action],,0)</f>
        <v>支付</v>
      </c>
      <c r="E350" s="27" t="s">
        <v>84</v>
      </c>
      <c r="F350" s="10" t="s">
        <v>596</v>
      </c>
      <c r="G350" s="10" t="s">
        <v>598</v>
      </c>
      <c r="H350" s="37">
        <v>-6807.2</v>
      </c>
      <c r="I350" s="11" t="b">
        <f>AND(Jnl[[#This Row],[TrxId]]&lt;&gt;"",Jnl[[#This Row],[Acct]]&lt;&gt;"",Jnl[[#This Row],[Item]]&lt;&gt;"",ISNUMBER(Jnl[[#This Row],[Bal]]))</f>
        <v>1</v>
      </c>
      <c r="J350" s="9">
        <f>IF(Jnl[[#This Row],[BSLv0]]="A",1,-1)*Jnl[[#This Row],[Bal]]</f>
        <v>-6807.2</v>
      </c>
      <c r="K350" t="str">
        <f>_xlfn.XLOOKUP(Jnl[[#This Row],[Acct]], config_BS[Acct], config_BS[Lv0],,0)</f>
        <v>A</v>
      </c>
      <c r="L350" t="str">
        <f>_xlfn.XLOOKUP(Jnl[[#This Row],[Acct]], config_BS[Acct], config_BS[Lv1],,0)</f>
        <v>Assets</v>
      </c>
      <c r="M350" t="str">
        <f>_xlfn.XLOOKUP(Jnl[[#This Row],[Acct]], config_BS[Acct], config_BS[Lv2],,0)</f>
        <v>Cash alike</v>
      </c>
      <c r="N350" t="str">
        <f>_xlfn.XLOOKUP(Jnl[[#This Row],[TrxId]], Trx[Id], Trx[IncNode], ,0)</f>
        <v>Expense</v>
      </c>
      <c r="O350" t="str">
        <f>_xlfn.XLOOKUP(Jnl[[#This Row],[IncNode]], config_IS[Node], config_IS[Type],,0)</f>
        <v>Op</v>
      </c>
      <c r="P350" t="str">
        <f>_xlfn.XLOOKUP(Jnl[[#This Row],[BSLv2]], dict[Key], dict[Name],,0)</f>
        <v>0.现金及类似</v>
      </c>
      <c r="Q350" t="str">
        <f>_xlfn.XLOOKUP(Jnl[[#This Row],[Acct]], dict[Key], dict[Name],,0)</f>
        <v>银行</v>
      </c>
      <c r="R350" t="str">
        <f>_xlfn.XLOOKUP(Jnl[[#This Row],[Vehicle]],config_vehicle[Id], config_vehicle[Name],,0)</f>
        <v>米小易</v>
      </c>
      <c r="S350" t="str">
        <f>_xlfn.XLOOKUP(Jnl[[#This Row],[Division]],config_div[Id], config_div[Name],,0)</f>
        <v>水街店</v>
      </c>
      <c r="T350" t="str">
        <f>IF(Jnl[[#This Row],[TrxDate]]&lt;=stmt_BS_date_end, "In", "Out")</f>
        <v>In</v>
      </c>
      <c r="U350" t="str">
        <f>IF(Jnl[[#This Row],[TrxDate]]&lt;debug_date_start, "prior", IF(Jnl[[#This Row],[TrxDate]]&gt;debug_date_end, "post", "curr"))</f>
        <v>curr</v>
      </c>
    </row>
    <row r="351" spans="1:21" hidden="1">
      <c r="A351" s="39" t="s">
        <v>549</v>
      </c>
      <c r="B351" s="6">
        <f>_xlfn.XLOOKUP(Jnl[[#This Row],[TrxId]], Trx[Id], Trx[Date],,0)</f>
        <v>46053</v>
      </c>
      <c r="C351" s="6" t="str">
        <f>_xlfn.XLOOKUP(Jnl[[#This Row],[TrxId]], Trx[Id], Trx[Division],,0)</f>
        <v>Shuijie</v>
      </c>
      <c r="D351" s="6" t="str">
        <f>_xlfn.XLOOKUP(Jnl[[#This Row],[TrxId]], Trx[Id], Trx[Action],,0)</f>
        <v>支付</v>
      </c>
      <c r="E351" s="27" t="s">
        <v>84</v>
      </c>
      <c r="F351" s="10" t="s">
        <v>603</v>
      </c>
      <c r="G351" s="10" t="s">
        <v>534</v>
      </c>
      <c r="H351" s="37">
        <v>6807.2</v>
      </c>
      <c r="I351" s="11" t="b">
        <f>AND(Jnl[[#This Row],[TrxId]]&lt;&gt;"",Jnl[[#This Row],[Acct]]&lt;&gt;"",Jnl[[#This Row],[Item]]&lt;&gt;"",ISNUMBER(Jnl[[#This Row],[Bal]]))</f>
        <v>1</v>
      </c>
      <c r="J351" s="9">
        <f>IF(Jnl[[#This Row],[BSLv0]]="A",1,-1)*Jnl[[#This Row],[Bal]]</f>
        <v>6807.2</v>
      </c>
      <c r="K351" t="str">
        <f>_xlfn.XLOOKUP(Jnl[[#This Row],[Acct]], config_BS[Acct], config_BS[Lv0],,0)</f>
        <v>A</v>
      </c>
      <c r="L351" t="str">
        <f>_xlfn.XLOOKUP(Jnl[[#This Row],[Acct]], config_BS[Acct], config_BS[Lv1],,0)</f>
        <v>Assets</v>
      </c>
      <c r="M351" t="str">
        <f>_xlfn.XLOOKUP(Jnl[[#This Row],[Acct]], config_BS[Acct], config_BS[Lv2],,0)</f>
        <v>Prep-Sub</v>
      </c>
      <c r="N351" t="str">
        <f>_xlfn.XLOOKUP(Jnl[[#This Row],[TrxId]], Trx[Id], Trx[IncNode], ,0)</f>
        <v>Expense</v>
      </c>
      <c r="O351" t="str">
        <f>_xlfn.XLOOKUP(Jnl[[#This Row],[IncNode]], config_IS[Node], config_IS[Type],,0)</f>
        <v>Op</v>
      </c>
      <c r="P351" t="str">
        <f>_xlfn.XLOOKUP(Jnl[[#This Row],[BSLv2]], dict[Key], dict[Name],,0)</f>
        <v>2.预付-订阅</v>
      </c>
      <c r="Q351" t="str">
        <f>_xlfn.XLOOKUP(Jnl[[#This Row],[Acct]], dict[Key], dict[Name],,0)</f>
        <v>员工预支</v>
      </c>
      <c r="R351" t="str">
        <f>_xlfn.XLOOKUP(Jnl[[#This Row],[Vehicle]],config_vehicle[Id], config_vehicle[Name],,0)</f>
        <v>米小易</v>
      </c>
      <c r="S351" t="str">
        <f>_xlfn.XLOOKUP(Jnl[[#This Row],[Division]],config_div[Id], config_div[Name],,0)</f>
        <v>水街店</v>
      </c>
      <c r="T351" t="str">
        <f>IF(Jnl[[#This Row],[TrxDate]]&lt;=stmt_BS_date_end, "In", "Out")</f>
        <v>In</v>
      </c>
      <c r="U351" t="str">
        <f>IF(Jnl[[#This Row],[TrxDate]]&lt;debug_date_start, "prior", IF(Jnl[[#This Row],[TrxDate]]&gt;debug_date_end, "post", "curr"))</f>
        <v>curr</v>
      </c>
    </row>
    <row r="352" spans="1:21" hidden="1">
      <c r="A352" s="39" t="s">
        <v>550</v>
      </c>
      <c r="B352" s="6">
        <f>_xlfn.XLOOKUP(Jnl[[#This Row],[TrxId]], Trx[Id], Trx[Date],,0)</f>
        <v>46053</v>
      </c>
      <c r="C352" s="6" t="str">
        <f>_xlfn.XLOOKUP(Jnl[[#This Row],[TrxId]], Trx[Id], Trx[Division],,0)</f>
        <v>Shuijie</v>
      </c>
      <c r="D352" s="6" t="str">
        <f>_xlfn.XLOOKUP(Jnl[[#This Row],[TrxId]], Trx[Id], Trx[Action],,0)</f>
        <v>支付</v>
      </c>
      <c r="E352" s="27" t="s">
        <v>84</v>
      </c>
      <c r="F352" s="10" t="s">
        <v>596</v>
      </c>
      <c r="G352" s="10" t="s">
        <v>598</v>
      </c>
      <c r="H352" s="37">
        <v>-30000</v>
      </c>
      <c r="I352" s="11" t="b">
        <f>AND(Jnl[[#This Row],[TrxId]]&lt;&gt;"",Jnl[[#This Row],[Acct]]&lt;&gt;"",Jnl[[#This Row],[Item]]&lt;&gt;"",ISNUMBER(Jnl[[#This Row],[Bal]]))</f>
        <v>1</v>
      </c>
      <c r="J352" s="9">
        <f>IF(Jnl[[#This Row],[BSLv0]]="A",1,-1)*Jnl[[#This Row],[Bal]]</f>
        <v>-30000</v>
      </c>
      <c r="K352" t="str">
        <f>_xlfn.XLOOKUP(Jnl[[#This Row],[Acct]], config_BS[Acct], config_BS[Lv0],,0)</f>
        <v>A</v>
      </c>
      <c r="L352" t="str">
        <f>_xlfn.XLOOKUP(Jnl[[#This Row],[Acct]], config_BS[Acct], config_BS[Lv1],,0)</f>
        <v>Assets</v>
      </c>
      <c r="M352" t="str">
        <f>_xlfn.XLOOKUP(Jnl[[#This Row],[Acct]], config_BS[Acct], config_BS[Lv2],,0)</f>
        <v>Cash alike</v>
      </c>
      <c r="N352" t="str">
        <f>_xlfn.XLOOKUP(Jnl[[#This Row],[TrxId]], Trx[Id], Trx[IncNode], ,0)</f>
        <v>Expense</v>
      </c>
      <c r="O352" t="str">
        <f>_xlfn.XLOOKUP(Jnl[[#This Row],[IncNode]], config_IS[Node], config_IS[Type],,0)</f>
        <v>Op</v>
      </c>
      <c r="P352" t="str">
        <f>_xlfn.XLOOKUP(Jnl[[#This Row],[BSLv2]], dict[Key], dict[Name],,0)</f>
        <v>0.现金及类似</v>
      </c>
      <c r="Q352" t="str">
        <f>_xlfn.XLOOKUP(Jnl[[#This Row],[Acct]], dict[Key], dict[Name],,0)</f>
        <v>银行</v>
      </c>
      <c r="R352" t="str">
        <f>_xlfn.XLOOKUP(Jnl[[#This Row],[Vehicle]],config_vehicle[Id], config_vehicle[Name],,0)</f>
        <v>米小易</v>
      </c>
      <c r="S352" t="str">
        <f>_xlfn.XLOOKUP(Jnl[[#This Row],[Division]],config_div[Id], config_div[Name],,0)</f>
        <v>水街店</v>
      </c>
      <c r="T352" t="str">
        <f>IF(Jnl[[#This Row],[TrxDate]]&lt;=stmt_BS_date_end, "In", "Out")</f>
        <v>In</v>
      </c>
      <c r="U352" t="str">
        <f>IF(Jnl[[#This Row],[TrxDate]]&lt;debug_date_start, "prior", IF(Jnl[[#This Row],[TrxDate]]&gt;debug_date_end, "post", "curr"))</f>
        <v>curr</v>
      </c>
    </row>
    <row r="353" spans="1:21" hidden="1">
      <c r="A353" s="39" t="s">
        <v>550</v>
      </c>
      <c r="B353" s="6">
        <f>_xlfn.XLOOKUP(Jnl[[#This Row],[TrxId]], Trx[Id], Trx[Date],,0)</f>
        <v>46053</v>
      </c>
      <c r="C353" s="6" t="str">
        <f>_xlfn.XLOOKUP(Jnl[[#This Row],[TrxId]], Trx[Id], Trx[Division],,0)</f>
        <v>Shuijie</v>
      </c>
      <c r="D353" s="6" t="str">
        <f>_xlfn.XLOOKUP(Jnl[[#This Row],[TrxId]], Trx[Id], Trx[Action],,0)</f>
        <v>支付</v>
      </c>
      <c r="E353" s="27" t="s">
        <v>84</v>
      </c>
      <c r="F353" s="10" t="s">
        <v>603</v>
      </c>
      <c r="G353" s="10" t="s">
        <v>534</v>
      </c>
      <c r="H353" s="37">
        <v>30000</v>
      </c>
      <c r="I353" s="11" t="b">
        <f>AND(Jnl[[#This Row],[TrxId]]&lt;&gt;"",Jnl[[#This Row],[Acct]]&lt;&gt;"",Jnl[[#This Row],[Item]]&lt;&gt;"",ISNUMBER(Jnl[[#This Row],[Bal]]))</f>
        <v>1</v>
      </c>
      <c r="J353" s="9">
        <f>IF(Jnl[[#This Row],[BSLv0]]="A",1,-1)*Jnl[[#This Row],[Bal]]</f>
        <v>30000</v>
      </c>
      <c r="K353" t="str">
        <f>_xlfn.XLOOKUP(Jnl[[#This Row],[Acct]], config_BS[Acct], config_BS[Lv0],,0)</f>
        <v>A</v>
      </c>
      <c r="L353" t="str">
        <f>_xlfn.XLOOKUP(Jnl[[#This Row],[Acct]], config_BS[Acct], config_BS[Lv1],,0)</f>
        <v>Assets</v>
      </c>
      <c r="M353" t="str">
        <f>_xlfn.XLOOKUP(Jnl[[#This Row],[Acct]], config_BS[Acct], config_BS[Lv2],,0)</f>
        <v>Prep-Sub</v>
      </c>
      <c r="N353" t="str">
        <f>_xlfn.XLOOKUP(Jnl[[#This Row],[TrxId]], Trx[Id], Trx[IncNode], ,0)</f>
        <v>Expense</v>
      </c>
      <c r="O353" t="str">
        <f>_xlfn.XLOOKUP(Jnl[[#This Row],[IncNode]], config_IS[Node], config_IS[Type],,0)</f>
        <v>Op</v>
      </c>
      <c r="P353" t="str">
        <f>_xlfn.XLOOKUP(Jnl[[#This Row],[BSLv2]], dict[Key], dict[Name],,0)</f>
        <v>2.预付-订阅</v>
      </c>
      <c r="Q353" t="str">
        <f>_xlfn.XLOOKUP(Jnl[[#This Row],[Acct]], dict[Key], dict[Name],,0)</f>
        <v>员工预支</v>
      </c>
      <c r="R353" t="str">
        <f>_xlfn.XLOOKUP(Jnl[[#This Row],[Vehicle]],config_vehicle[Id], config_vehicle[Name],,0)</f>
        <v>米小易</v>
      </c>
      <c r="S353" t="str">
        <f>_xlfn.XLOOKUP(Jnl[[#This Row],[Division]],config_div[Id], config_div[Name],,0)</f>
        <v>水街店</v>
      </c>
      <c r="T353" t="str">
        <f>IF(Jnl[[#This Row],[TrxDate]]&lt;=stmt_BS_date_end, "In", "Out")</f>
        <v>In</v>
      </c>
      <c r="U353" t="str">
        <f>IF(Jnl[[#This Row],[TrxDate]]&lt;debug_date_start, "prior", IF(Jnl[[#This Row],[TrxDate]]&gt;debug_date_end, "post", "curr"))</f>
        <v>curr</v>
      </c>
    </row>
    <row r="354" spans="1:21" hidden="1">
      <c r="A354" s="39" t="s">
        <v>552</v>
      </c>
      <c r="B354" s="6">
        <f>_xlfn.XLOOKUP(Jnl[[#This Row],[TrxId]], Trx[Id], Trx[Date],,0)</f>
        <v>46053</v>
      </c>
      <c r="C354" s="6" t="str">
        <f>_xlfn.XLOOKUP(Jnl[[#This Row],[TrxId]], Trx[Id], Trx[Division],,0)</f>
        <v>Shuijie</v>
      </c>
      <c r="D354" s="6" t="str">
        <f>_xlfn.XLOOKUP(Jnl[[#This Row],[TrxId]], Trx[Id], Trx[Action],,0)</f>
        <v>存现</v>
      </c>
      <c r="E354" s="27" t="s">
        <v>84</v>
      </c>
      <c r="F354" s="10" t="s">
        <v>596</v>
      </c>
      <c r="G354" s="10" t="s">
        <v>598</v>
      </c>
      <c r="H354" s="37">
        <v>1304</v>
      </c>
      <c r="I354" s="11" t="b">
        <f>AND(Jnl[[#This Row],[TrxId]]&lt;&gt;"",Jnl[[#This Row],[Acct]]&lt;&gt;"",Jnl[[#This Row],[Item]]&lt;&gt;"",ISNUMBER(Jnl[[#This Row],[Bal]]))</f>
        <v>1</v>
      </c>
      <c r="J354" s="9">
        <f>IF(Jnl[[#This Row],[BSLv0]]="A",1,-1)*Jnl[[#This Row],[Bal]]</f>
        <v>1304</v>
      </c>
      <c r="K354" t="str">
        <f>_xlfn.XLOOKUP(Jnl[[#This Row],[Acct]], config_BS[Acct], config_BS[Lv0],,0)</f>
        <v>A</v>
      </c>
      <c r="L354" t="str">
        <f>_xlfn.XLOOKUP(Jnl[[#This Row],[Acct]], config_BS[Acct], config_BS[Lv1],,0)</f>
        <v>Assets</v>
      </c>
      <c r="M354" t="str">
        <f>_xlfn.XLOOKUP(Jnl[[#This Row],[Acct]], config_BS[Acct], config_BS[Lv2],,0)</f>
        <v>Cash alike</v>
      </c>
      <c r="N354" t="str">
        <f>_xlfn.XLOOKUP(Jnl[[#This Row],[TrxId]], Trx[Id], Trx[IncNode], ,0)</f>
        <v>Other</v>
      </c>
      <c r="O354" t="str">
        <f>_xlfn.XLOOKUP(Jnl[[#This Row],[IncNode]], config_IS[Node], config_IS[Type],,0)</f>
        <v>Non-Op</v>
      </c>
      <c r="P354" t="str">
        <f>_xlfn.XLOOKUP(Jnl[[#This Row],[BSLv2]], dict[Key], dict[Name],,0)</f>
        <v>0.现金及类似</v>
      </c>
      <c r="Q354" t="str">
        <f>_xlfn.XLOOKUP(Jnl[[#This Row],[Acct]], dict[Key], dict[Name],,0)</f>
        <v>银行</v>
      </c>
      <c r="R354" t="str">
        <f>_xlfn.XLOOKUP(Jnl[[#This Row],[Vehicle]],config_vehicle[Id], config_vehicle[Name],,0)</f>
        <v>米小易</v>
      </c>
      <c r="S354" t="str">
        <f>_xlfn.XLOOKUP(Jnl[[#This Row],[Division]],config_div[Id], config_div[Name],,0)</f>
        <v>水街店</v>
      </c>
      <c r="T354" t="str">
        <f>IF(Jnl[[#This Row],[TrxDate]]&lt;=stmt_BS_date_end, "In", "Out")</f>
        <v>In</v>
      </c>
      <c r="U354" t="str">
        <f>IF(Jnl[[#This Row],[TrxDate]]&lt;debug_date_start, "prior", IF(Jnl[[#This Row],[TrxDate]]&gt;debug_date_end, "post", "curr"))</f>
        <v>curr</v>
      </c>
    </row>
    <row r="355" spans="1:21" hidden="1">
      <c r="A355" s="39" t="s">
        <v>552</v>
      </c>
      <c r="B355" s="6">
        <f>_xlfn.XLOOKUP(Jnl[[#This Row],[TrxId]], Trx[Id], Trx[Date],,0)</f>
        <v>46053</v>
      </c>
      <c r="C355" s="6" t="str">
        <f>_xlfn.XLOOKUP(Jnl[[#This Row],[TrxId]], Trx[Id], Trx[Division],,0)</f>
        <v>Shuijie</v>
      </c>
      <c r="D355" s="6" t="str">
        <f>_xlfn.XLOOKUP(Jnl[[#This Row],[TrxId]], Trx[Id], Trx[Action],,0)</f>
        <v>存现</v>
      </c>
      <c r="E355" s="27" t="s">
        <v>84</v>
      </c>
      <c r="F355" s="10" t="s">
        <v>605</v>
      </c>
      <c r="G355" s="10" t="s">
        <v>606</v>
      </c>
      <c r="H355" s="37">
        <v>-1304</v>
      </c>
      <c r="I355" s="11" t="b">
        <f>AND(Jnl[[#This Row],[TrxId]]&lt;&gt;"",Jnl[[#This Row],[Acct]]&lt;&gt;"",Jnl[[#This Row],[Item]]&lt;&gt;"",ISNUMBER(Jnl[[#This Row],[Bal]]))</f>
        <v>1</v>
      </c>
      <c r="J355" s="9">
        <f>IF(Jnl[[#This Row],[BSLv0]]="A",1,-1)*Jnl[[#This Row],[Bal]]</f>
        <v>-1304</v>
      </c>
      <c r="K355" t="str">
        <f>_xlfn.XLOOKUP(Jnl[[#This Row],[Acct]], config_BS[Acct], config_BS[Lv0],,0)</f>
        <v>A</v>
      </c>
      <c r="L355" t="str">
        <f>_xlfn.XLOOKUP(Jnl[[#This Row],[Acct]], config_BS[Acct], config_BS[Lv1],,0)</f>
        <v>Assets</v>
      </c>
      <c r="M355" t="str">
        <f>_xlfn.XLOOKUP(Jnl[[#This Row],[Acct]], config_BS[Acct], config_BS[Lv2],,0)</f>
        <v>Cash alike</v>
      </c>
      <c r="N355" t="str">
        <f>_xlfn.XLOOKUP(Jnl[[#This Row],[TrxId]], Trx[Id], Trx[IncNode], ,0)</f>
        <v>Other</v>
      </c>
      <c r="O355" t="str">
        <f>_xlfn.XLOOKUP(Jnl[[#This Row],[IncNode]], config_IS[Node], config_IS[Type],,0)</f>
        <v>Non-Op</v>
      </c>
      <c r="P355" t="str">
        <f>_xlfn.XLOOKUP(Jnl[[#This Row],[BSLv2]], dict[Key], dict[Name],,0)</f>
        <v>0.现金及类似</v>
      </c>
      <c r="Q355" t="str">
        <f>_xlfn.XLOOKUP(Jnl[[#This Row],[Acct]], dict[Key], dict[Name],,0)</f>
        <v>物理现金</v>
      </c>
      <c r="R355" t="str">
        <f>_xlfn.XLOOKUP(Jnl[[#This Row],[Vehicle]],config_vehicle[Id], config_vehicle[Name],,0)</f>
        <v>米小易</v>
      </c>
      <c r="S355" t="str">
        <f>_xlfn.XLOOKUP(Jnl[[#This Row],[Division]],config_div[Id], config_div[Name],,0)</f>
        <v>水街店</v>
      </c>
      <c r="T355" t="str">
        <f>IF(Jnl[[#This Row],[TrxDate]]&lt;=stmt_BS_date_end, "In", "Out")</f>
        <v>In</v>
      </c>
      <c r="U355" t="str">
        <f>IF(Jnl[[#This Row],[TrxDate]]&lt;debug_date_start, "prior", IF(Jnl[[#This Row],[TrxDate]]&gt;debug_date_end, "post", "curr"))</f>
        <v>curr</v>
      </c>
    </row>
    <row r="356" spans="1:21" hidden="1">
      <c r="A356" s="39" t="s">
        <v>555</v>
      </c>
      <c r="B356" s="6">
        <f>_xlfn.XLOOKUP(Jnl[[#This Row],[TrxId]], Trx[Id], Trx[Date],,0)</f>
        <v>46053</v>
      </c>
      <c r="C356" s="6" t="str">
        <f>_xlfn.XLOOKUP(Jnl[[#This Row],[TrxId]], Trx[Id], Trx[Division],,0)</f>
        <v>GM</v>
      </c>
      <c r="D356" s="6" t="str">
        <f>_xlfn.XLOOKUP(Jnl[[#This Row],[TrxId]], Trx[Id], Trx[Action],,0)</f>
        <v>补贴</v>
      </c>
      <c r="E356" s="27" t="s">
        <v>84</v>
      </c>
      <c r="F356" s="10" t="s">
        <v>596</v>
      </c>
      <c r="G356" s="10" t="s">
        <v>598</v>
      </c>
      <c r="H356" s="37">
        <v>200.64</v>
      </c>
      <c r="I356" s="11" t="b">
        <f>AND(Jnl[[#This Row],[TrxId]]&lt;&gt;"",Jnl[[#This Row],[Acct]]&lt;&gt;"",Jnl[[#This Row],[Item]]&lt;&gt;"",ISNUMBER(Jnl[[#This Row],[Bal]]))</f>
        <v>1</v>
      </c>
      <c r="J356" s="9">
        <f>IF(Jnl[[#This Row],[BSLv0]]="A",1,-1)*Jnl[[#This Row],[Bal]]</f>
        <v>200.64</v>
      </c>
      <c r="K356" t="str">
        <f>_xlfn.XLOOKUP(Jnl[[#This Row],[Acct]], config_BS[Acct], config_BS[Lv0],,0)</f>
        <v>A</v>
      </c>
      <c r="L356" t="str">
        <f>_xlfn.XLOOKUP(Jnl[[#This Row],[Acct]], config_BS[Acct], config_BS[Lv1],,0)</f>
        <v>Assets</v>
      </c>
      <c r="M356" t="str">
        <f>_xlfn.XLOOKUP(Jnl[[#This Row],[Acct]], config_BS[Acct], config_BS[Lv2],,0)</f>
        <v>Cash alike</v>
      </c>
      <c r="N356" t="str">
        <f>_xlfn.XLOOKUP(Jnl[[#This Row],[TrxId]], Trx[Id], Trx[IncNode], ,0)</f>
        <v>Other</v>
      </c>
      <c r="O356" t="str">
        <f>_xlfn.XLOOKUP(Jnl[[#This Row],[IncNode]], config_IS[Node], config_IS[Type],,0)</f>
        <v>Non-Op</v>
      </c>
      <c r="P356" t="str">
        <f>_xlfn.XLOOKUP(Jnl[[#This Row],[BSLv2]], dict[Key], dict[Name],,0)</f>
        <v>0.现金及类似</v>
      </c>
      <c r="Q356" t="str">
        <f>_xlfn.XLOOKUP(Jnl[[#This Row],[Acct]], dict[Key], dict[Name],,0)</f>
        <v>银行</v>
      </c>
      <c r="R356" t="str">
        <f>_xlfn.XLOOKUP(Jnl[[#This Row],[Vehicle]],config_vehicle[Id], config_vehicle[Name],,0)</f>
        <v>米小易</v>
      </c>
      <c r="S356" t="str">
        <f>_xlfn.XLOOKUP(Jnl[[#This Row],[Division]],config_div[Id], config_div[Name],,0)</f>
        <v>综合管理</v>
      </c>
      <c r="T356" t="str">
        <f>IF(Jnl[[#This Row],[TrxDate]]&lt;=stmt_BS_date_end, "In", "Out")</f>
        <v>In</v>
      </c>
      <c r="U356" t="str">
        <f>IF(Jnl[[#This Row],[TrxDate]]&lt;debug_date_start, "prior", IF(Jnl[[#This Row],[TrxDate]]&gt;debug_date_end, "post", "curr"))</f>
        <v>curr</v>
      </c>
    </row>
    <row r="357" spans="1:21" hidden="1">
      <c r="A357" s="39" t="s">
        <v>557</v>
      </c>
      <c r="B357" s="6">
        <f>_xlfn.XLOOKUP(Jnl[[#This Row],[TrxId]], Trx[Id], Trx[Date],,0)</f>
        <v>46053</v>
      </c>
      <c r="C357" s="6" t="str">
        <f>_xlfn.XLOOKUP(Jnl[[#This Row],[TrxId]], Trx[Id], Trx[Division],,0)</f>
        <v>Shuijie</v>
      </c>
      <c r="D357" s="6" t="str">
        <f>_xlfn.XLOOKUP(Jnl[[#This Row],[TrxId]], Trx[Id], Trx[Action],,0)</f>
        <v>增值税</v>
      </c>
      <c r="E357" s="27" t="s">
        <v>84</v>
      </c>
      <c r="F357" s="10" t="s">
        <v>130</v>
      </c>
      <c r="G357" s="10" t="s">
        <v>312</v>
      </c>
      <c r="H357" s="37">
        <v>1.99</v>
      </c>
      <c r="I357" s="11" t="b">
        <f>AND(Jnl[[#This Row],[TrxId]]&lt;&gt;"",Jnl[[#This Row],[Acct]]&lt;&gt;"",Jnl[[#This Row],[Item]]&lt;&gt;"",ISNUMBER(Jnl[[#This Row],[Bal]]))</f>
        <v>1</v>
      </c>
      <c r="J357" s="9">
        <f>IF(Jnl[[#This Row],[BSLv0]]="A",1,-1)*Jnl[[#This Row],[Bal]]</f>
        <v>-1.99</v>
      </c>
      <c r="K357" t="str">
        <f>_xlfn.XLOOKUP(Jnl[[#This Row],[Acct]], config_BS[Acct], config_BS[Lv0],,0)</f>
        <v>LC</v>
      </c>
      <c r="L357" t="str">
        <f>_xlfn.XLOOKUP(Jnl[[#This Row],[Acct]], config_BS[Acct], config_BS[Lv1],,0)</f>
        <v>Liability</v>
      </c>
      <c r="M357" t="str">
        <f>_xlfn.XLOOKUP(Jnl[[#This Row],[Acct]], config_BS[Acct], config_BS[Lv2],,0)</f>
        <v>Rec-Pay</v>
      </c>
      <c r="N357" t="str">
        <f>_xlfn.XLOOKUP(Jnl[[#This Row],[TrxId]], Trx[Id], Trx[IncNode], ,0)</f>
        <v>Cost</v>
      </c>
      <c r="O357" t="str">
        <f>_xlfn.XLOOKUP(Jnl[[#This Row],[IncNode]], config_IS[Node], config_IS[Type],,0)</f>
        <v>Op</v>
      </c>
      <c r="P357" t="str">
        <f>_xlfn.XLOOKUP(Jnl[[#This Row],[BSLv2]], dict[Key], dict[Name],,0)</f>
        <v>1.应收-应付</v>
      </c>
      <c r="Q357" t="str">
        <f>_xlfn.XLOOKUP(Jnl[[#This Row],[Acct]], dict[Key], dict[Name],,0)</f>
        <v>应付-税款</v>
      </c>
      <c r="R357" t="str">
        <f>_xlfn.XLOOKUP(Jnl[[#This Row],[Vehicle]],config_vehicle[Id], config_vehicle[Name],,0)</f>
        <v>米小易</v>
      </c>
      <c r="S357" t="str">
        <f>_xlfn.XLOOKUP(Jnl[[#This Row],[Division]],config_div[Id], config_div[Name],,0)</f>
        <v>水街店</v>
      </c>
      <c r="T357" t="str">
        <f>IF(Jnl[[#This Row],[TrxDate]]&lt;=stmt_BS_date_end, "In", "Out")</f>
        <v>In</v>
      </c>
      <c r="U357" t="str">
        <f>IF(Jnl[[#This Row],[TrxDate]]&lt;debug_date_start, "prior", IF(Jnl[[#This Row],[TrxDate]]&gt;debug_date_end, "post", "curr"))</f>
        <v>curr</v>
      </c>
    </row>
    <row r="358" spans="1:21" hidden="1">
      <c r="A358" s="39" t="s">
        <v>558</v>
      </c>
      <c r="B358" s="6">
        <f>_xlfn.XLOOKUP(Jnl[[#This Row],[TrxId]], Trx[Id], Trx[Date],,0)</f>
        <v>46053</v>
      </c>
      <c r="C358" s="6" t="str">
        <f>_xlfn.XLOOKUP(Jnl[[#This Row],[TrxId]], Trx[Id], Trx[Division],,0)</f>
        <v>Shuijie</v>
      </c>
      <c r="D358" s="6" t="str">
        <f>_xlfn.XLOOKUP(Jnl[[#This Row],[TrxId]], Trx[Id], Trx[Action],,0)</f>
        <v>支付</v>
      </c>
      <c r="E358" s="27" t="s">
        <v>84</v>
      </c>
      <c r="F358" s="10" t="s">
        <v>498</v>
      </c>
      <c r="G358" s="10" t="s">
        <v>433</v>
      </c>
      <c r="H358" s="37">
        <v>3210</v>
      </c>
      <c r="I358" s="11" t="b">
        <f>AND(Jnl[[#This Row],[TrxId]]&lt;&gt;"",Jnl[[#This Row],[Acct]]&lt;&gt;"",Jnl[[#This Row],[Item]]&lt;&gt;"",ISNUMBER(Jnl[[#This Row],[Bal]]))</f>
        <v>1</v>
      </c>
      <c r="J358" s="9">
        <f>IF(Jnl[[#This Row],[BSLv0]]="A",1,-1)*Jnl[[#This Row],[Bal]]</f>
        <v>3210</v>
      </c>
      <c r="K358" t="str">
        <f>_xlfn.XLOOKUP(Jnl[[#This Row],[Acct]], config_BS[Acct], config_BS[Lv0],,0)</f>
        <v>A</v>
      </c>
      <c r="L358" t="str">
        <f>_xlfn.XLOOKUP(Jnl[[#This Row],[Acct]], config_BS[Acct], config_BS[Lv1],,0)</f>
        <v>Assets</v>
      </c>
      <c r="M358" t="str">
        <f>_xlfn.XLOOKUP(Jnl[[#This Row],[Acct]], config_BS[Acct], config_BS[Lv2],,0)</f>
        <v>Prep-Sub</v>
      </c>
      <c r="N358" t="str">
        <f>_xlfn.XLOOKUP(Jnl[[#This Row],[TrxId]], Trx[Id], Trx[IncNode], ,0)</f>
        <v>Cost</v>
      </c>
      <c r="O358" t="str">
        <f>_xlfn.XLOOKUP(Jnl[[#This Row],[IncNode]], config_IS[Node], config_IS[Type],,0)</f>
        <v>Op</v>
      </c>
      <c r="P358" t="str">
        <f>_xlfn.XLOOKUP(Jnl[[#This Row],[BSLv2]], dict[Key], dict[Name],,0)</f>
        <v>2.预付-订阅</v>
      </c>
      <c r="Q358" t="str">
        <f>_xlfn.XLOOKUP(Jnl[[#This Row],[Acct]], dict[Key], dict[Name],,0)</f>
        <v>预付订单</v>
      </c>
      <c r="R358" t="str">
        <f>_xlfn.XLOOKUP(Jnl[[#This Row],[Vehicle]],config_vehicle[Id], config_vehicle[Name],,0)</f>
        <v>米小易</v>
      </c>
      <c r="S358" t="str">
        <f>_xlfn.XLOOKUP(Jnl[[#This Row],[Division]],config_div[Id], config_div[Name],,0)</f>
        <v>水街店</v>
      </c>
      <c r="T358" t="str">
        <f>IF(Jnl[[#This Row],[TrxDate]]&lt;=stmt_BS_date_end, "In", "Out")</f>
        <v>In</v>
      </c>
      <c r="U358" t="str">
        <f>IF(Jnl[[#This Row],[TrxDate]]&lt;debug_date_start, "prior", IF(Jnl[[#This Row],[TrxDate]]&gt;debug_date_end, "post", "curr"))</f>
        <v>curr</v>
      </c>
    </row>
    <row r="359" spans="1:21" hidden="1">
      <c r="A359" s="39" t="s">
        <v>558</v>
      </c>
      <c r="B359" s="6">
        <f>_xlfn.XLOOKUP(Jnl[[#This Row],[TrxId]], Trx[Id], Trx[Date],,0)</f>
        <v>46053</v>
      </c>
      <c r="C359" s="6" t="str">
        <f>_xlfn.XLOOKUP(Jnl[[#This Row],[TrxId]], Trx[Id], Trx[Division],,0)</f>
        <v>Shuijie</v>
      </c>
      <c r="D359" s="6" t="str">
        <f>_xlfn.XLOOKUP(Jnl[[#This Row],[TrxId]], Trx[Id], Trx[Action],,0)</f>
        <v>支付</v>
      </c>
      <c r="E359" s="27" t="s">
        <v>84</v>
      </c>
      <c r="F359" s="10" t="s">
        <v>596</v>
      </c>
      <c r="G359" s="10" t="s">
        <v>598</v>
      </c>
      <c r="H359" s="37">
        <v>-3210</v>
      </c>
      <c r="I359" s="11" t="b">
        <f>AND(Jnl[[#This Row],[TrxId]]&lt;&gt;"",Jnl[[#This Row],[Acct]]&lt;&gt;"",Jnl[[#This Row],[Item]]&lt;&gt;"",ISNUMBER(Jnl[[#This Row],[Bal]]))</f>
        <v>1</v>
      </c>
      <c r="J359" s="9">
        <f>IF(Jnl[[#This Row],[BSLv0]]="A",1,-1)*Jnl[[#This Row],[Bal]]</f>
        <v>-3210</v>
      </c>
      <c r="K359" t="str">
        <f>_xlfn.XLOOKUP(Jnl[[#This Row],[Acct]], config_BS[Acct], config_BS[Lv0],,0)</f>
        <v>A</v>
      </c>
      <c r="L359" t="str">
        <f>_xlfn.XLOOKUP(Jnl[[#This Row],[Acct]], config_BS[Acct], config_BS[Lv1],,0)</f>
        <v>Assets</v>
      </c>
      <c r="M359" t="str">
        <f>_xlfn.XLOOKUP(Jnl[[#This Row],[Acct]], config_BS[Acct], config_BS[Lv2],,0)</f>
        <v>Cash alike</v>
      </c>
      <c r="N359" t="str">
        <f>_xlfn.XLOOKUP(Jnl[[#This Row],[TrxId]], Trx[Id], Trx[IncNode], ,0)</f>
        <v>Cost</v>
      </c>
      <c r="O359" t="str">
        <f>_xlfn.XLOOKUP(Jnl[[#This Row],[IncNode]], config_IS[Node], config_IS[Type],,0)</f>
        <v>Op</v>
      </c>
      <c r="P359" t="str">
        <f>_xlfn.XLOOKUP(Jnl[[#This Row],[BSLv2]], dict[Key], dict[Name],,0)</f>
        <v>0.现金及类似</v>
      </c>
      <c r="Q359" t="str">
        <f>_xlfn.XLOOKUP(Jnl[[#This Row],[Acct]], dict[Key], dict[Name],,0)</f>
        <v>银行</v>
      </c>
      <c r="R359" t="str">
        <f>_xlfn.XLOOKUP(Jnl[[#This Row],[Vehicle]],config_vehicle[Id], config_vehicle[Name],,0)</f>
        <v>米小易</v>
      </c>
      <c r="S359" t="str">
        <f>_xlfn.XLOOKUP(Jnl[[#This Row],[Division]],config_div[Id], config_div[Name],,0)</f>
        <v>水街店</v>
      </c>
      <c r="T359" t="str">
        <f>IF(Jnl[[#This Row],[TrxDate]]&lt;=stmt_BS_date_end, "In", "Out")</f>
        <v>In</v>
      </c>
      <c r="U359" t="str">
        <f>IF(Jnl[[#This Row],[TrxDate]]&lt;debug_date_start, "prior", IF(Jnl[[#This Row],[TrxDate]]&gt;debug_date_end, "post", "curr"))</f>
        <v>curr</v>
      </c>
    </row>
    <row r="360" spans="1:21" hidden="1">
      <c r="A360" s="39" t="s">
        <v>559</v>
      </c>
      <c r="B360" s="6">
        <f>_xlfn.XLOOKUP(Jnl[[#This Row],[TrxId]], Trx[Id], Trx[Date],,0)</f>
        <v>46053</v>
      </c>
      <c r="C360" s="6" t="str">
        <f>_xlfn.XLOOKUP(Jnl[[#This Row],[TrxId]], Trx[Id], Trx[Division],,0)</f>
        <v>Shuijie</v>
      </c>
      <c r="D360" s="6" t="str">
        <f>_xlfn.XLOOKUP(Jnl[[#This Row],[TrxId]], Trx[Id], Trx[Action],,0)</f>
        <v>支付</v>
      </c>
      <c r="E360" s="27" t="s">
        <v>84</v>
      </c>
      <c r="F360" s="10" t="s">
        <v>498</v>
      </c>
      <c r="G360" s="10" t="s">
        <v>433</v>
      </c>
      <c r="H360" s="37">
        <v>346</v>
      </c>
      <c r="I360" s="11" t="b">
        <f>AND(Jnl[[#This Row],[TrxId]]&lt;&gt;"",Jnl[[#This Row],[Acct]]&lt;&gt;"",Jnl[[#This Row],[Item]]&lt;&gt;"",ISNUMBER(Jnl[[#This Row],[Bal]]))</f>
        <v>1</v>
      </c>
      <c r="J360" s="9">
        <f>IF(Jnl[[#This Row],[BSLv0]]="A",1,-1)*Jnl[[#This Row],[Bal]]</f>
        <v>346</v>
      </c>
      <c r="K360" t="str">
        <f>_xlfn.XLOOKUP(Jnl[[#This Row],[Acct]], config_BS[Acct], config_BS[Lv0],,0)</f>
        <v>A</v>
      </c>
      <c r="L360" t="str">
        <f>_xlfn.XLOOKUP(Jnl[[#This Row],[Acct]], config_BS[Acct], config_BS[Lv1],,0)</f>
        <v>Assets</v>
      </c>
      <c r="M360" t="str">
        <f>_xlfn.XLOOKUP(Jnl[[#This Row],[Acct]], config_BS[Acct], config_BS[Lv2],,0)</f>
        <v>Prep-Sub</v>
      </c>
      <c r="N360" t="str">
        <f>_xlfn.XLOOKUP(Jnl[[#This Row],[TrxId]], Trx[Id], Trx[IncNode], ,0)</f>
        <v>Cost</v>
      </c>
      <c r="O360" t="str">
        <f>_xlfn.XLOOKUP(Jnl[[#This Row],[IncNode]], config_IS[Node], config_IS[Type],,0)</f>
        <v>Op</v>
      </c>
      <c r="P360" t="str">
        <f>_xlfn.XLOOKUP(Jnl[[#This Row],[BSLv2]], dict[Key], dict[Name],,0)</f>
        <v>2.预付-订阅</v>
      </c>
      <c r="Q360" t="str">
        <f>_xlfn.XLOOKUP(Jnl[[#This Row],[Acct]], dict[Key], dict[Name],,0)</f>
        <v>预付订单</v>
      </c>
      <c r="R360" t="str">
        <f>_xlfn.XLOOKUP(Jnl[[#This Row],[Vehicle]],config_vehicle[Id], config_vehicle[Name],,0)</f>
        <v>米小易</v>
      </c>
      <c r="S360" t="str">
        <f>_xlfn.XLOOKUP(Jnl[[#This Row],[Division]],config_div[Id], config_div[Name],,0)</f>
        <v>水街店</v>
      </c>
      <c r="T360" t="str">
        <f>IF(Jnl[[#This Row],[TrxDate]]&lt;=stmt_BS_date_end, "In", "Out")</f>
        <v>In</v>
      </c>
      <c r="U360" t="str">
        <f>IF(Jnl[[#This Row],[TrxDate]]&lt;debug_date_start, "prior", IF(Jnl[[#This Row],[TrxDate]]&gt;debug_date_end, "post", "curr"))</f>
        <v>curr</v>
      </c>
    </row>
    <row r="361" spans="1:21" hidden="1">
      <c r="A361" s="39" t="s">
        <v>559</v>
      </c>
      <c r="B361" s="6">
        <f>_xlfn.XLOOKUP(Jnl[[#This Row],[TrxId]], Trx[Id], Trx[Date],,0)</f>
        <v>46053</v>
      </c>
      <c r="C361" s="6" t="str">
        <f>_xlfn.XLOOKUP(Jnl[[#This Row],[TrxId]], Trx[Id], Trx[Division],,0)</f>
        <v>Shuijie</v>
      </c>
      <c r="D361" s="6" t="str">
        <f>_xlfn.XLOOKUP(Jnl[[#This Row],[TrxId]], Trx[Id], Trx[Action],,0)</f>
        <v>支付</v>
      </c>
      <c r="E361" s="27" t="s">
        <v>84</v>
      </c>
      <c r="F361" s="10" t="s">
        <v>596</v>
      </c>
      <c r="G361" s="10" t="s">
        <v>598</v>
      </c>
      <c r="H361" s="37">
        <v>-346</v>
      </c>
      <c r="I361" s="11" t="b">
        <f>AND(Jnl[[#This Row],[TrxId]]&lt;&gt;"",Jnl[[#This Row],[Acct]]&lt;&gt;"",Jnl[[#This Row],[Item]]&lt;&gt;"",ISNUMBER(Jnl[[#This Row],[Bal]]))</f>
        <v>1</v>
      </c>
      <c r="J361" s="9">
        <f>IF(Jnl[[#This Row],[BSLv0]]="A",1,-1)*Jnl[[#This Row],[Bal]]</f>
        <v>-346</v>
      </c>
      <c r="K361" t="str">
        <f>_xlfn.XLOOKUP(Jnl[[#This Row],[Acct]], config_BS[Acct], config_BS[Lv0],,0)</f>
        <v>A</v>
      </c>
      <c r="L361" t="str">
        <f>_xlfn.XLOOKUP(Jnl[[#This Row],[Acct]], config_BS[Acct], config_BS[Lv1],,0)</f>
        <v>Assets</v>
      </c>
      <c r="M361" t="str">
        <f>_xlfn.XLOOKUP(Jnl[[#This Row],[Acct]], config_BS[Acct], config_BS[Lv2],,0)</f>
        <v>Cash alike</v>
      </c>
      <c r="N361" t="str">
        <f>_xlfn.XLOOKUP(Jnl[[#This Row],[TrxId]], Trx[Id], Trx[IncNode], ,0)</f>
        <v>Cost</v>
      </c>
      <c r="O361" t="str">
        <f>_xlfn.XLOOKUP(Jnl[[#This Row],[IncNode]], config_IS[Node], config_IS[Type],,0)</f>
        <v>Op</v>
      </c>
      <c r="P361" t="str">
        <f>_xlfn.XLOOKUP(Jnl[[#This Row],[BSLv2]], dict[Key], dict[Name],,0)</f>
        <v>0.现金及类似</v>
      </c>
      <c r="Q361" t="str">
        <f>_xlfn.XLOOKUP(Jnl[[#This Row],[Acct]], dict[Key], dict[Name],,0)</f>
        <v>银行</v>
      </c>
      <c r="R361" t="str">
        <f>_xlfn.XLOOKUP(Jnl[[#This Row],[Vehicle]],config_vehicle[Id], config_vehicle[Name],,0)</f>
        <v>米小易</v>
      </c>
      <c r="S361" t="str">
        <f>_xlfn.XLOOKUP(Jnl[[#This Row],[Division]],config_div[Id], config_div[Name],,0)</f>
        <v>水街店</v>
      </c>
      <c r="T361" t="str">
        <f>IF(Jnl[[#This Row],[TrxDate]]&lt;=stmt_BS_date_end, "In", "Out")</f>
        <v>In</v>
      </c>
      <c r="U361" t="str">
        <f>IF(Jnl[[#This Row],[TrxDate]]&lt;debug_date_start, "prior", IF(Jnl[[#This Row],[TrxDate]]&gt;debug_date_end, "post", "curr"))</f>
        <v>curr</v>
      </c>
    </row>
    <row r="362" spans="1:21" hidden="1">
      <c r="A362" s="39" t="s">
        <v>561</v>
      </c>
      <c r="B362" s="6">
        <f>_xlfn.XLOOKUP(Jnl[[#This Row],[TrxId]], Trx[Id], Trx[Date],,0)</f>
        <v>46053</v>
      </c>
      <c r="C362" s="6" t="str">
        <f>_xlfn.XLOOKUP(Jnl[[#This Row],[TrxId]], Trx[Id], Trx[Division],,0)</f>
        <v>Shuijie</v>
      </c>
      <c r="D362" s="6" t="str">
        <f>_xlfn.XLOOKUP(Jnl[[#This Row],[TrxId]], Trx[Id], Trx[Action],,0)</f>
        <v>食材</v>
      </c>
      <c r="E362" s="27" t="s">
        <v>84</v>
      </c>
      <c r="F362" s="10" t="s">
        <v>596</v>
      </c>
      <c r="G362" s="10" t="s">
        <v>598</v>
      </c>
      <c r="H362" s="37">
        <v>-427.29</v>
      </c>
      <c r="I362" s="11" t="b">
        <f>AND(Jnl[[#This Row],[TrxId]]&lt;&gt;"",Jnl[[#This Row],[Acct]]&lt;&gt;"",Jnl[[#This Row],[Item]]&lt;&gt;"",ISNUMBER(Jnl[[#This Row],[Bal]]))</f>
        <v>1</v>
      </c>
      <c r="J362" s="9">
        <f>IF(Jnl[[#This Row],[BSLv0]]="A",1,-1)*Jnl[[#This Row],[Bal]]</f>
        <v>-427.29</v>
      </c>
      <c r="K362" t="str">
        <f>_xlfn.XLOOKUP(Jnl[[#This Row],[Acct]], config_BS[Acct], config_BS[Lv0],,0)</f>
        <v>A</v>
      </c>
      <c r="L362" t="str">
        <f>_xlfn.XLOOKUP(Jnl[[#This Row],[Acct]], config_BS[Acct], config_BS[Lv1],,0)</f>
        <v>Assets</v>
      </c>
      <c r="M362" t="str">
        <f>_xlfn.XLOOKUP(Jnl[[#This Row],[Acct]], config_BS[Acct], config_BS[Lv2],,0)</f>
        <v>Cash alike</v>
      </c>
      <c r="N362" t="str">
        <f>_xlfn.XLOOKUP(Jnl[[#This Row],[TrxId]], Trx[Id], Trx[IncNode], ,0)</f>
        <v>Cost</v>
      </c>
      <c r="O362" t="str">
        <f>_xlfn.XLOOKUP(Jnl[[#This Row],[IncNode]], config_IS[Node], config_IS[Type],,0)</f>
        <v>Op</v>
      </c>
      <c r="P362" t="str">
        <f>_xlfn.XLOOKUP(Jnl[[#This Row],[BSLv2]], dict[Key], dict[Name],,0)</f>
        <v>0.现金及类似</v>
      </c>
      <c r="Q362" t="str">
        <f>_xlfn.XLOOKUP(Jnl[[#This Row],[Acct]], dict[Key], dict[Name],,0)</f>
        <v>银行</v>
      </c>
      <c r="R362" t="str">
        <f>_xlfn.XLOOKUP(Jnl[[#This Row],[Vehicle]],config_vehicle[Id], config_vehicle[Name],,0)</f>
        <v>米小易</v>
      </c>
      <c r="S362" t="str">
        <f>_xlfn.XLOOKUP(Jnl[[#This Row],[Division]],config_div[Id], config_div[Name],,0)</f>
        <v>水街店</v>
      </c>
      <c r="T362" t="str">
        <f>IF(Jnl[[#This Row],[TrxDate]]&lt;=stmt_BS_date_end, "In", "Out")</f>
        <v>In</v>
      </c>
      <c r="U362" t="str">
        <f>IF(Jnl[[#This Row],[TrxDate]]&lt;debug_date_start, "prior", IF(Jnl[[#This Row],[TrxDate]]&gt;debug_date_end, "post", "curr"))</f>
        <v>curr</v>
      </c>
    </row>
    <row r="363" spans="1:21" hidden="1">
      <c r="A363" s="39" t="s">
        <v>562</v>
      </c>
      <c r="B363" s="6">
        <f>_xlfn.XLOOKUP(Jnl[[#This Row],[TrxId]], Trx[Id], Trx[Date],,0)</f>
        <v>46053</v>
      </c>
      <c r="C363" s="6" t="str">
        <f>_xlfn.XLOOKUP(Jnl[[#This Row],[TrxId]], Trx[Id], Trx[Division],,0)</f>
        <v>Shuijie</v>
      </c>
      <c r="D363" s="6" t="str">
        <f>_xlfn.XLOOKUP(Jnl[[#This Row],[TrxId]], Trx[Id], Trx[Action],,0)</f>
        <v>维护</v>
      </c>
      <c r="E363" s="27" t="s">
        <v>84</v>
      </c>
      <c r="F363" s="10" t="s">
        <v>596</v>
      </c>
      <c r="G363" s="10" t="s">
        <v>598</v>
      </c>
      <c r="H363" s="37">
        <v>-300</v>
      </c>
      <c r="I363" s="11" t="b">
        <f>AND(Jnl[[#This Row],[TrxId]]&lt;&gt;"",Jnl[[#This Row],[Acct]]&lt;&gt;"",Jnl[[#This Row],[Item]]&lt;&gt;"",ISNUMBER(Jnl[[#This Row],[Bal]]))</f>
        <v>1</v>
      </c>
      <c r="J363" s="9">
        <f>IF(Jnl[[#This Row],[BSLv0]]="A",1,-1)*Jnl[[#This Row],[Bal]]</f>
        <v>-300</v>
      </c>
      <c r="K363" t="str">
        <f>_xlfn.XLOOKUP(Jnl[[#This Row],[Acct]], config_BS[Acct], config_BS[Lv0],,0)</f>
        <v>A</v>
      </c>
      <c r="L363" t="str">
        <f>_xlfn.XLOOKUP(Jnl[[#This Row],[Acct]], config_BS[Acct], config_BS[Lv1],,0)</f>
        <v>Assets</v>
      </c>
      <c r="M363" t="str">
        <f>_xlfn.XLOOKUP(Jnl[[#This Row],[Acct]], config_BS[Acct], config_BS[Lv2],,0)</f>
        <v>Cash alike</v>
      </c>
      <c r="N363" t="str">
        <f>_xlfn.XLOOKUP(Jnl[[#This Row],[TrxId]], Trx[Id], Trx[IncNode], ,0)</f>
        <v>Expense</v>
      </c>
      <c r="O363" t="str">
        <f>_xlfn.XLOOKUP(Jnl[[#This Row],[IncNode]], config_IS[Node], config_IS[Type],,0)</f>
        <v>Op</v>
      </c>
      <c r="P363" t="str">
        <f>_xlfn.XLOOKUP(Jnl[[#This Row],[BSLv2]], dict[Key], dict[Name],,0)</f>
        <v>0.现金及类似</v>
      </c>
      <c r="Q363" t="str">
        <f>_xlfn.XLOOKUP(Jnl[[#This Row],[Acct]], dict[Key], dict[Name],,0)</f>
        <v>银行</v>
      </c>
      <c r="R363" t="str">
        <f>_xlfn.XLOOKUP(Jnl[[#This Row],[Vehicle]],config_vehicle[Id], config_vehicle[Name],,0)</f>
        <v>米小易</v>
      </c>
      <c r="S363" t="str">
        <f>_xlfn.XLOOKUP(Jnl[[#This Row],[Division]],config_div[Id], config_div[Name],,0)</f>
        <v>水街店</v>
      </c>
      <c r="T363" t="str">
        <f>IF(Jnl[[#This Row],[TrxDate]]&lt;=stmt_BS_date_end, "In", "Out")</f>
        <v>In</v>
      </c>
      <c r="U363" t="str">
        <f>IF(Jnl[[#This Row],[TrxDate]]&lt;debug_date_start, "prior", IF(Jnl[[#This Row],[TrxDate]]&gt;debug_date_end, "post", "curr"))</f>
        <v>curr</v>
      </c>
    </row>
    <row r="364" spans="1:21" hidden="1">
      <c r="A364" s="39" t="s">
        <v>563</v>
      </c>
      <c r="B364" s="6">
        <f>_xlfn.XLOOKUP(Jnl[[#This Row],[TrxId]], Trx[Id], Trx[Date],,0)</f>
        <v>46053</v>
      </c>
      <c r="C364" s="6" t="str">
        <f>_xlfn.XLOOKUP(Jnl[[#This Row],[TrxId]], Trx[Id], Trx[Division],,0)</f>
        <v>Shuijie</v>
      </c>
      <c r="D364" s="6" t="str">
        <f>_xlfn.XLOOKUP(Jnl[[#This Row],[TrxId]], Trx[Id], Trx[Action],,0)</f>
        <v>支付</v>
      </c>
      <c r="E364" s="27" t="s">
        <v>84</v>
      </c>
      <c r="F364" s="10" t="s">
        <v>596</v>
      </c>
      <c r="G364" s="10" t="s">
        <v>598</v>
      </c>
      <c r="H364" s="37">
        <v>-2259.63</v>
      </c>
      <c r="I364" s="11" t="b">
        <f>AND(Jnl[[#This Row],[TrxId]]&lt;&gt;"",Jnl[[#This Row],[Acct]]&lt;&gt;"",Jnl[[#This Row],[Item]]&lt;&gt;"",ISNUMBER(Jnl[[#This Row],[Bal]]))</f>
        <v>1</v>
      </c>
      <c r="J364" s="9">
        <f>IF(Jnl[[#This Row],[BSLv0]]="A",1,-1)*Jnl[[#This Row],[Bal]]</f>
        <v>-2259.63</v>
      </c>
      <c r="K364" t="str">
        <f>_xlfn.XLOOKUP(Jnl[[#This Row],[Acct]], config_BS[Acct], config_BS[Lv0],,0)</f>
        <v>A</v>
      </c>
      <c r="L364" t="str">
        <f>_xlfn.XLOOKUP(Jnl[[#This Row],[Acct]], config_BS[Acct], config_BS[Lv1],,0)</f>
        <v>Assets</v>
      </c>
      <c r="M364" t="str">
        <f>_xlfn.XLOOKUP(Jnl[[#This Row],[Acct]], config_BS[Acct], config_BS[Lv2],,0)</f>
        <v>Cash alike</v>
      </c>
      <c r="N364" t="str">
        <f>_xlfn.XLOOKUP(Jnl[[#This Row],[TrxId]], Trx[Id], Trx[IncNode], ,0)</f>
        <v>Expense</v>
      </c>
      <c r="O364" t="str">
        <f>_xlfn.XLOOKUP(Jnl[[#This Row],[IncNode]], config_IS[Node], config_IS[Type],,0)</f>
        <v>Op</v>
      </c>
      <c r="P364" t="str">
        <f>_xlfn.XLOOKUP(Jnl[[#This Row],[BSLv2]], dict[Key], dict[Name],,0)</f>
        <v>0.现金及类似</v>
      </c>
      <c r="Q364" t="str">
        <f>_xlfn.XLOOKUP(Jnl[[#This Row],[Acct]], dict[Key], dict[Name],,0)</f>
        <v>银行</v>
      </c>
      <c r="R364" t="str">
        <f>_xlfn.XLOOKUP(Jnl[[#This Row],[Vehicle]],config_vehicle[Id], config_vehicle[Name],,0)</f>
        <v>米小易</v>
      </c>
      <c r="S364" t="str">
        <f>_xlfn.XLOOKUP(Jnl[[#This Row],[Division]],config_div[Id], config_div[Name],,0)</f>
        <v>水街店</v>
      </c>
      <c r="T364" t="str">
        <f>IF(Jnl[[#This Row],[TrxDate]]&lt;=stmt_BS_date_end, "In", "Out")</f>
        <v>In</v>
      </c>
      <c r="U364" t="str">
        <f>IF(Jnl[[#This Row],[TrxDate]]&lt;debug_date_start, "prior", IF(Jnl[[#This Row],[TrxDate]]&gt;debug_date_end, "post", "curr"))</f>
        <v>curr</v>
      </c>
    </row>
    <row r="365" spans="1:21" hidden="1">
      <c r="A365" s="39" t="s">
        <v>563</v>
      </c>
      <c r="B365" s="6">
        <f>_xlfn.XLOOKUP(Jnl[[#This Row],[TrxId]], Trx[Id], Trx[Date],,0)</f>
        <v>46053</v>
      </c>
      <c r="C365" s="6" t="str">
        <f>_xlfn.XLOOKUP(Jnl[[#This Row],[TrxId]], Trx[Id], Trx[Division],,0)</f>
        <v>Shuijie</v>
      </c>
      <c r="D365" s="6" t="str">
        <f>_xlfn.XLOOKUP(Jnl[[#This Row],[TrxId]], Trx[Id], Trx[Action],,0)</f>
        <v>支付</v>
      </c>
      <c r="E365" s="27" t="s">
        <v>84</v>
      </c>
      <c r="F365" s="10" t="s">
        <v>603</v>
      </c>
      <c r="G365" s="10" t="s">
        <v>534</v>
      </c>
      <c r="H365" s="37">
        <v>2259.63</v>
      </c>
      <c r="I365" s="11" t="b">
        <f>AND(Jnl[[#This Row],[TrxId]]&lt;&gt;"",Jnl[[#This Row],[Acct]]&lt;&gt;"",Jnl[[#This Row],[Item]]&lt;&gt;"",ISNUMBER(Jnl[[#This Row],[Bal]]))</f>
        <v>1</v>
      </c>
      <c r="J365" s="9">
        <f>IF(Jnl[[#This Row],[BSLv0]]="A",1,-1)*Jnl[[#This Row],[Bal]]</f>
        <v>2259.63</v>
      </c>
      <c r="K365" t="str">
        <f>_xlfn.XLOOKUP(Jnl[[#This Row],[Acct]], config_BS[Acct], config_BS[Lv0],,0)</f>
        <v>A</v>
      </c>
      <c r="L365" t="str">
        <f>_xlfn.XLOOKUP(Jnl[[#This Row],[Acct]], config_BS[Acct], config_BS[Lv1],,0)</f>
        <v>Assets</v>
      </c>
      <c r="M365" t="str">
        <f>_xlfn.XLOOKUP(Jnl[[#This Row],[Acct]], config_BS[Acct], config_BS[Lv2],,0)</f>
        <v>Prep-Sub</v>
      </c>
      <c r="N365" t="str">
        <f>_xlfn.XLOOKUP(Jnl[[#This Row],[TrxId]], Trx[Id], Trx[IncNode], ,0)</f>
        <v>Expense</v>
      </c>
      <c r="O365" t="str">
        <f>_xlfn.XLOOKUP(Jnl[[#This Row],[IncNode]], config_IS[Node], config_IS[Type],,0)</f>
        <v>Op</v>
      </c>
      <c r="P365" t="str">
        <f>_xlfn.XLOOKUP(Jnl[[#This Row],[BSLv2]], dict[Key], dict[Name],,0)</f>
        <v>2.预付-订阅</v>
      </c>
      <c r="Q365" t="str">
        <f>_xlfn.XLOOKUP(Jnl[[#This Row],[Acct]], dict[Key], dict[Name],,0)</f>
        <v>员工预支</v>
      </c>
      <c r="R365" t="str">
        <f>_xlfn.XLOOKUP(Jnl[[#This Row],[Vehicle]],config_vehicle[Id], config_vehicle[Name],,0)</f>
        <v>米小易</v>
      </c>
      <c r="S365" t="str">
        <f>_xlfn.XLOOKUP(Jnl[[#This Row],[Division]],config_div[Id], config_div[Name],,0)</f>
        <v>水街店</v>
      </c>
      <c r="T365" t="str">
        <f>IF(Jnl[[#This Row],[TrxDate]]&lt;=stmt_BS_date_end, "In", "Out")</f>
        <v>In</v>
      </c>
      <c r="U365" t="str">
        <f>IF(Jnl[[#This Row],[TrxDate]]&lt;debug_date_start, "prior", IF(Jnl[[#This Row],[TrxDate]]&gt;debug_date_end, "post", "curr"))</f>
        <v>curr</v>
      </c>
    </row>
    <row r="366" spans="1:21" hidden="1">
      <c r="A366" s="39" t="s">
        <v>564</v>
      </c>
      <c r="B366" s="6">
        <f>_xlfn.XLOOKUP(Jnl[[#This Row],[TrxId]], Trx[Id], Trx[Date],,0)</f>
        <v>46053</v>
      </c>
      <c r="C366" s="6" t="str">
        <f>_xlfn.XLOOKUP(Jnl[[#This Row],[TrxId]], Trx[Id], Trx[Division],,0)</f>
        <v>Shuijie</v>
      </c>
      <c r="D366" s="6" t="str">
        <f>_xlfn.XLOOKUP(Jnl[[#This Row],[TrxId]], Trx[Id], Trx[Action],,0)</f>
        <v>其他材料</v>
      </c>
      <c r="E366" s="27" t="s">
        <v>84</v>
      </c>
      <c r="F366" s="10" t="s">
        <v>596</v>
      </c>
      <c r="G366" s="10" t="s">
        <v>598</v>
      </c>
      <c r="H366" s="37">
        <v>-244.32</v>
      </c>
      <c r="I366" s="11" t="b">
        <f>AND(Jnl[[#This Row],[TrxId]]&lt;&gt;"",Jnl[[#This Row],[Acct]]&lt;&gt;"",Jnl[[#This Row],[Item]]&lt;&gt;"",ISNUMBER(Jnl[[#This Row],[Bal]]))</f>
        <v>1</v>
      </c>
      <c r="J366" s="9">
        <f>IF(Jnl[[#This Row],[BSLv0]]="A",1,-1)*Jnl[[#This Row],[Bal]]</f>
        <v>-244.32</v>
      </c>
      <c r="K366" t="str">
        <f>_xlfn.XLOOKUP(Jnl[[#This Row],[Acct]], config_BS[Acct], config_BS[Lv0],,0)</f>
        <v>A</v>
      </c>
      <c r="L366" t="str">
        <f>_xlfn.XLOOKUP(Jnl[[#This Row],[Acct]], config_BS[Acct], config_BS[Lv1],,0)</f>
        <v>Assets</v>
      </c>
      <c r="M366" t="str">
        <f>_xlfn.XLOOKUP(Jnl[[#This Row],[Acct]], config_BS[Acct], config_BS[Lv2],,0)</f>
        <v>Cash alike</v>
      </c>
      <c r="N366" t="str">
        <f>_xlfn.XLOOKUP(Jnl[[#This Row],[TrxId]], Trx[Id], Trx[IncNode], ,0)</f>
        <v>Cost</v>
      </c>
      <c r="O366" t="str">
        <f>_xlfn.XLOOKUP(Jnl[[#This Row],[IncNode]], config_IS[Node], config_IS[Type],,0)</f>
        <v>Op</v>
      </c>
      <c r="P366" t="str">
        <f>_xlfn.XLOOKUP(Jnl[[#This Row],[BSLv2]], dict[Key], dict[Name],,0)</f>
        <v>0.现金及类似</v>
      </c>
      <c r="Q366" t="str">
        <f>_xlfn.XLOOKUP(Jnl[[#This Row],[Acct]], dict[Key], dict[Name],,0)</f>
        <v>银行</v>
      </c>
      <c r="R366" t="str">
        <f>_xlfn.XLOOKUP(Jnl[[#This Row],[Vehicle]],config_vehicle[Id], config_vehicle[Name],,0)</f>
        <v>米小易</v>
      </c>
      <c r="S366" t="str">
        <f>_xlfn.XLOOKUP(Jnl[[#This Row],[Division]],config_div[Id], config_div[Name],,0)</f>
        <v>水街店</v>
      </c>
      <c r="T366" t="str">
        <f>IF(Jnl[[#This Row],[TrxDate]]&lt;=stmt_BS_date_end, "In", "Out")</f>
        <v>In</v>
      </c>
      <c r="U366" t="str">
        <f>IF(Jnl[[#This Row],[TrxDate]]&lt;debug_date_start, "prior", IF(Jnl[[#This Row],[TrxDate]]&gt;debug_date_end, "post", "curr"))</f>
        <v>curr</v>
      </c>
    </row>
    <row r="367" spans="1:21" hidden="1">
      <c r="A367" s="39" t="s">
        <v>566</v>
      </c>
      <c r="B367" s="6">
        <f>_xlfn.XLOOKUP(Jnl[[#This Row],[TrxId]], Trx[Id], Trx[Date],,0)</f>
        <v>46053</v>
      </c>
      <c r="C367" s="6" t="str">
        <f>_xlfn.XLOOKUP(Jnl[[#This Row],[TrxId]], Trx[Id], Trx[Division],,0)</f>
        <v>Shuijie</v>
      </c>
      <c r="D367" s="6" t="str">
        <f>_xlfn.XLOOKUP(Jnl[[#This Row],[TrxId]], Trx[Id], Trx[Action],,0)</f>
        <v>维护</v>
      </c>
      <c r="E367" s="27" t="s">
        <v>84</v>
      </c>
      <c r="F367" s="10" t="s">
        <v>596</v>
      </c>
      <c r="G367" s="10" t="s">
        <v>598</v>
      </c>
      <c r="H367" s="37">
        <v>-9400</v>
      </c>
      <c r="I367" s="11" t="b">
        <f>AND(Jnl[[#This Row],[TrxId]]&lt;&gt;"",Jnl[[#This Row],[Acct]]&lt;&gt;"",Jnl[[#This Row],[Item]]&lt;&gt;"",ISNUMBER(Jnl[[#This Row],[Bal]]))</f>
        <v>1</v>
      </c>
      <c r="J367" s="9">
        <f>IF(Jnl[[#This Row],[BSLv0]]="A",1,-1)*Jnl[[#This Row],[Bal]]</f>
        <v>-9400</v>
      </c>
      <c r="K367" t="str">
        <f>_xlfn.XLOOKUP(Jnl[[#This Row],[Acct]], config_BS[Acct], config_BS[Lv0],,0)</f>
        <v>A</v>
      </c>
      <c r="L367" t="str">
        <f>_xlfn.XLOOKUP(Jnl[[#This Row],[Acct]], config_BS[Acct], config_BS[Lv1],,0)</f>
        <v>Assets</v>
      </c>
      <c r="M367" t="str">
        <f>_xlfn.XLOOKUP(Jnl[[#This Row],[Acct]], config_BS[Acct], config_BS[Lv2],,0)</f>
        <v>Cash alike</v>
      </c>
      <c r="N367" t="str">
        <f>_xlfn.XLOOKUP(Jnl[[#This Row],[TrxId]], Trx[Id], Trx[IncNode], ,0)</f>
        <v>Expense</v>
      </c>
      <c r="O367" t="str">
        <f>_xlfn.XLOOKUP(Jnl[[#This Row],[IncNode]], config_IS[Node], config_IS[Type],,0)</f>
        <v>Op</v>
      </c>
      <c r="P367" t="str">
        <f>_xlfn.XLOOKUP(Jnl[[#This Row],[BSLv2]], dict[Key], dict[Name],,0)</f>
        <v>0.现金及类似</v>
      </c>
      <c r="Q367" t="str">
        <f>_xlfn.XLOOKUP(Jnl[[#This Row],[Acct]], dict[Key], dict[Name],,0)</f>
        <v>银行</v>
      </c>
      <c r="R367" t="str">
        <f>_xlfn.XLOOKUP(Jnl[[#This Row],[Vehicle]],config_vehicle[Id], config_vehicle[Name],,0)</f>
        <v>米小易</v>
      </c>
      <c r="S367" t="str">
        <f>_xlfn.XLOOKUP(Jnl[[#This Row],[Division]],config_div[Id], config_div[Name],,0)</f>
        <v>水街店</v>
      </c>
      <c r="T367" t="str">
        <f>IF(Jnl[[#This Row],[TrxDate]]&lt;=stmt_BS_date_end, "In", "Out")</f>
        <v>In</v>
      </c>
      <c r="U367" t="str">
        <f>IF(Jnl[[#This Row],[TrxDate]]&lt;debug_date_start, "prior", IF(Jnl[[#This Row],[TrxDate]]&gt;debug_date_end, "post", "curr"))</f>
        <v>curr</v>
      </c>
    </row>
    <row r="368" spans="1:21" hidden="1">
      <c r="A368" s="39" t="s">
        <v>567</v>
      </c>
      <c r="B368" s="6">
        <f>_xlfn.XLOOKUP(Jnl[[#This Row],[TrxId]], Trx[Id], Trx[Date],,0)</f>
        <v>46053</v>
      </c>
      <c r="C368" s="6" t="str">
        <f>_xlfn.XLOOKUP(Jnl[[#This Row],[TrxId]], Trx[Id], Trx[Division],,0)</f>
        <v>Shuijie</v>
      </c>
      <c r="D368" s="6" t="str">
        <f>_xlfn.XLOOKUP(Jnl[[#This Row],[TrxId]], Trx[Id], Trx[Action],,0)</f>
        <v>公共设施</v>
      </c>
      <c r="E368" s="27" t="s">
        <v>84</v>
      </c>
      <c r="F368" s="10" t="s">
        <v>596</v>
      </c>
      <c r="G368" s="10" t="s">
        <v>598</v>
      </c>
      <c r="H368" s="37">
        <v>-3948</v>
      </c>
      <c r="I368" s="11" t="b">
        <f>AND(Jnl[[#This Row],[TrxId]]&lt;&gt;"",Jnl[[#This Row],[Acct]]&lt;&gt;"",Jnl[[#This Row],[Item]]&lt;&gt;"",ISNUMBER(Jnl[[#This Row],[Bal]]))</f>
        <v>1</v>
      </c>
      <c r="J368" s="9">
        <f>IF(Jnl[[#This Row],[BSLv0]]="A",1,-1)*Jnl[[#This Row],[Bal]]</f>
        <v>-3948</v>
      </c>
      <c r="K368" t="str">
        <f>_xlfn.XLOOKUP(Jnl[[#This Row],[Acct]], config_BS[Acct], config_BS[Lv0],,0)</f>
        <v>A</v>
      </c>
      <c r="L368" t="str">
        <f>_xlfn.XLOOKUP(Jnl[[#This Row],[Acct]], config_BS[Acct], config_BS[Lv1],,0)</f>
        <v>Assets</v>
      </c>
      <c r="M368" t="str">
        <f>_xlfn.XLOOKUP(Jnl[[#This Row],[Acct]], config_BS[Acct], config_BS[Lv2],,0)</f>
        <v>Cash alike</v>
      </c>
      <c r="N368" t="str">
        <f>_xlfn.XLOOKUP(Jnl[[#This Row],[TrxId]], Trx[Id], Trx[IncNode], ,0)</f>
        <v>Expense</v>
      </c>
      <c r="O368" t="str">
        <f>_xlfn.XLOOKUP(Jnl[[#This Row],[IncNode]], config_IS[Node], config_IS[Type],,0)</f>
        <v>Op</v>
      </c>
      <c r="P368" t="str">
        <f>_xlfn.XLOOKUP(Jnl[[#This Row],[BSLv2]], dict[Key], dict[Name],,0)</f>
        <v>0.现金及类似</v>
      </c>
      <c r="Q368" t="str">
        <f>_xlfn.XLOOKUP(Jnl[[#This Row],[Acct]], dict[Key], dict[Name],,0)</f>
        <v>银行</v>
      </c>
      <c r="R368" t="str">
        <f>_xlfn.XLOOKUP(Jnl[[#This Row],[Vehicle]],config_vehicle[Id], config_vehicle[Name],,0)</f>
        <v>米小易</v>
      </c>
      <c r="S368" t="str">
        <f>_xlfn.XLOOKUP(Jnl[[#This Row],[Division]],config_div[Id], config_div[Name],,0)</f>
        <v>水街店</v>
      </c>
      <c r="T368" t="str">
        <f>IF(Jnl[[#This Row],[TrxDate]]&lt;=stmt_BS_date_end, "In", "Out")</f>
        <v>In</v>
      </c>
      <c r="U368" t="str">
        <f>IF(Jnl[[#This Row],[TrxDate]]&lt;debug_date_start, "prior", IF(Jnl[[#This Row],[TrxDate]]&gt;debug_date_end, "post", "curr"))</f>
        <v>curr</v>
      </c>
    </row>
    <row r="369" spans="1:21" hidden="1">
      <c r="A369" s="39" t="s">
        <v>569</v>
      </c>
      <c r="B369" s="6">
        <f>_xlfn.XLOOKUP(Jnl[[#This Row],[TrxId]], Trx[Id], Trx[Date],,0)</f>
        <v>46053</v>
      </c>
      <c r="C369" s="6" t="str">
        <f>_xlfn.XLOOKUP(Jnl[[#This Row],[TrxId]], Trx[Id], Trx[Division],,0)</f>
        <v>GM</v>
      </c>
      <c r="D369" s="6" t="str">
        <f>_xlfn.XLOOKUP(Jnl[[#This Row],[TrxId]], Trx[Id], Trx[Action],,0)</f>
        <v>银行费</v>
      </c>
      <c r="E369" s="27" t="s">
        <v>84</v>
      </c>
      <c r="F369" s="10" t="s">
        <v>596</v>
      </c>
      <c r="G369" s="10" t="s">
        <v>598</v>
      </c>
      <c r="H369" s="37">
        <v>-97.5</v>
      </c>
      <c r="I369" s="11" t="b">
        <f>AND(Jnl[[#This Row],[TrxId]]&lt;&gt;"",Jnl[[#This Row],[Acct]]&lt;&gt;"",Jnl[[#This Row],[Item]]&lt;&gt;"",ISNUMBER(Jnl[[#This Row],[Bal]]))</f>
        <v>1</v>
      </c>
      <c r="J369" s="9">
        <f>IF(Jnl[[#This Row],[BSLv0]]="A",1,-1)*Jnl[[#This Row],[Bal]]</f>
        <v>-97.5</v>
      </c>
      <c r="K369" t="str">
        <f>_xlfn.XLOOKUP(Jnl[[#This Row],[Acct]], config_BS[Acct], config_BS[Lv0],,0)</f>
        <v>A</v>
      </c>
      <c r="L369" t="str">
        <f>_xlfn.XLOOKUP(Jnl[[#This Row],[Acct]], config_BS[Acct], config_BS[Lv1],,0)</f>
        <v>Assets</v>
      </c>
      <c r="M369" t="str">
        <f>_xlfn.XLOOKUP(Jnl[[#This Row],[Acct]], config_BS[Acct], config_BS[Lv2],,0)</f>
        <v>Cash alike</v>
      </c>
      <c r="N369" t="str">
        <f>_xlfn.XLOOKUP(Jnl[[#This Row],[TrxId]], Trx[Id], Trx[IncNode], ,0)</f>
        <v>Expense</v>
      </c>
      <c r="O369" t="str">
        <f>_xlfn.XLOOKUP(Jnl[[#This Row],[IncNode]], config_IS[Node], config_IS[Type],,0)</f>
        <v>Op</v>
      </c>
      <c r="P369" t="str">
        <f>_xlfn.XLOOKUP(Jnl[[#This Row],[BSLv2]], dict[Key], dict[Name],,0)</f>
        <v>0.现金及类似</v>
      </c>
      <c r="Q369" t="str">
        <f>_xlfn.XLOOKUP(Jnl[[#This Row],[Acct]], dict[Key], dict[Name],,0)</f>
        <v>银行</v>
      </c>
      <c r="R369" t="str">
        <f>_xlfn.XLOOKUP(Jnl[[#This Row],[Vehicle]],config_vehicle[Id], config_vehicle[Name],,0)</f>
        <v>米小易</v>
      </c>
      <c r="S369" t="str">
        <f>_xlfn.XLOOKUP(Jnl[[#This Row],[Division]],config_div[Id], config_div[Name],,0)</f>
        <v>综合管理</v>
      </c>
      <c r="T369" t="str">
        <f>IF(Jnl[[#This Row],[TrxDate]]&lt;=stmt_BS_date_end, "In", "Out")</f>
        <v>In</v>
      </c>
      <c r="U369" t="str">
        <f>IF(Jnl[[#This Row],[TrxDate]]&lt;debug_date_start, "prior", IF(Jnl[[#This Row],[TrxDate]]&gt;debug_date_end, "post", "curr"))</f>
        <v>curr</v>
      </c>
    </row>
    <row r="370" spans="1:21" hidden="1">
      <c r="A370" s="39" t="s">
        <v>570</v>
      </c>
      <c r="B370" s="6">
        <f>_xlfn.XLOOKUP(Jnl[[#This Row],[TrxId]], Trx[Id], Trx[Date],,0)</f>
        <v>46053</v>
      </c>
      <c r="C370" s="6" t="str">
        <f>_xlfn.XLOOKUP(Jnl[[#This Row],[TrxId]], Trx[Id], Trx[Division],,0)</f>
        <v>Shuijie</v>
      </c>
      <c r="D370" s="6" t="str">
        <f>_xlfn.XLOOKUP(Jnl[[#This Row],[TrxId]], Trx[Id], Trx[Action],,0)</f>
        <v>餐饮</v>
      </c>
      <c r="E370" s="27" t="s">
        <v>84</v>
      </c>
      <c r="F370" s="10" t="s">
        <v>596</v>
      </c>
      <c r="G370" s="10" t="s">
        <v>598</v>
      </c>
      <c r="H370" s="37">
        <v>1885.8</v>
      </c>
      <c r="I370" s="11" t="b">
        <f>AND(Jnl[[#This Row],[TrxId]]&lt;&gt;"",Jnl[[#This Row],[Acct]]&lt;&gt;"",Jnl[[#This Row],[Item]]&lt;&gt;"",ISNUMBER(Jnl[[#This Row],[Bal]]))</f>
        <v>1</v>
      </c>
      <c r="J370" s="9">
        <f>IF(Jnl[[#This Row],[BSLv0]]="A",1,-1)*Jnl[[#This Row],[Bal]]</f>
        <v>1885.8</v>
      </c>
      <c r="K370" t="str">
        <f>_xlfn.XLOOKUP(Jnl[[#This Row],[Acct]], config_BS[Acct], config_BS[Lv0],,0)</f>
        <v>A</v>
      </c>
      <c r="L370" t="str">
        <f>_xlfn.XLOOKUP(Jnl[[#This Row],[Acct]], config_BS[Acct], config_BS[Lv1],,0)</f>
        <v>Assets</v>
      </c>
      <c r="M370" t="str">
        <f>_xlfn.XLOOKUP(Jnl[[#This Row],[Acct]], config_BS[Acct], config_BS[Lv2],,0)</f>
        <v>Cash alike</v>
      </c>
      <c r="N370" t="str">
        <f>_xlfn.XLOOKUP(Jnl[[#This Row],[TrxId]], Trx[Id], Trx[IncNode], ,0)</f>
        <v>Revenue</v>
      </c>
      <c r="O370" t="str">
        <f>_xlfn.XLOOKUP(Jnl[[#This Row],[IncNode]], config_IS[Node], config_IS[Type],,0)</f>
        <v>Op</v>
      </c>
      <c r="P370" t="str">
        <f>_xlfn.XLOOKUP(Jnl[[#This Row],[BSLv2]], dict[Key], dict[Name],,0)</f>
        <v>0.现金及类似</v>
      </c>
      <c r="Q370" t="str">
        <f>_xlfn.XLOOKUP(Jnl[[#This Row],[Acct]], dict[Key], dict[Name],,0)</f>
        <v>银行</v>
      </c>
      <c r="R370" t="str">
        <f>_xlfn.XLOOKUP(Jnl[[#This Row],[Vehicle]],config_vehicle[Id], config_vehicle[Name],,0)</f>
        <v>米小易</v>
      </c>
      <c r="S370" t="str">
        <f>_xlfn.XLOOKUP(Jnl[[#This Row],[Division]],config_div[Id], config_div[Name],,0)</f>
        <v>水街店</v>
      </c>
      <c r="T370" t="str">
        <f>IF(Jnl[[#This Row],[TrxDate]]&lt;=stmt_BS_date_end, "In", "Out")</f>
        <v>In</v>
      </c>
      <c r="U370" t="str">
        <f>IF(Jnl[[#This Row],[TrxDate]]&lt;debug_date_start, "prior", IF(Jnl[[#This Row],[TrxDate]]&gt;debug_date_end, "post", "curr"))</f>
        <v>curr</v>
      </c>
    </row>
    <row r="371" spans="1:21" hidden="1">
      <c r="A371" s="39" t="s">
        <v>572</v>
      </c>
      <c r="B371" s="6">
        <f>_xlfn.XLOOKUP(Jnl[[#This Row],[TrxId]], Trx[Id], Trx[Date],,0)</f>
        <v>46053</v>
      </c>
      <c r="C371" s="6" t="str">
        <f>_xlfn.XLOOKUP(Jnl[[#This Row],[TrxId]], Trx[Id], Trx[Division],,0)</f>
        <v>Shuijie</v>
      </c>
      <c r="D371" s="6" t="str">
        <f>_xlfn.XLOOKUP(Jnl[[#This Row],[TrxId]], Trx[Id], Trx[Action],,0)</f>
        <v>餐饮</v>
      </c>
      <c r="E371" s="27" t="s">
        <v>84</v>
      </c>
      <c r="F371" s="10" t="s">
        <v>596</v>
      </c>
      <c r="G371" s="10" t="s">
        <v>598</v>
      </c>
      <c r="H371" s="37">
        <v>448491.34</v>
      </c>
      <c r="I371" s="11" t="b">
        <f>AND(Jnl[[#This Row],[TrxId]]&lt;&gt;"",Jnl[[#This Row],[Acct]]&lt;&gt;"",Jnl[[#This Row],[Item]]&lt;&gt;"",ISNUMBER(Jnl[[#This Row],[Bal]]))</f>
        <v>1</v>
      </c>
      <c r="J371" s="9">
        <f>IF(Jnl[[#This Row],[BSLv0]]="A",1,-1)*Jnl[[#This Row],[Bal]]</f>
        <v>448491.34</v>
      </c>
      <c r="K371" t="str">
        <f>_xlfn.XLOOKUP(Jnl[[#This Row],[Acct]], config_BS[Acct], config_BS[Lv0],,0)</f>
        <v>A</v>
      </c>
      <c r="L371" t="str">
        <f>_xlfn.XLOOKUP(Jnl[[#This Row],[Acct]], config_BS[Acct], config_BS[Lv1],,0)</f>
        <v>Assets</v>
      </c>
      <c r="M371" t="str">
        <f>_xlfn.XLOOKUP(Jnl[[#This Row],[Acct]], config_BS[Acct], config_BS[Lv2],,0)</f>
        <v>Cash alike</v>
      </c>
      <c r="N371" t="str">
        <f>_xlfn.XLOOKUP(Jnl[[#This Row],[TrxId]], Trx[Id], Trx[IncNode], ,0)</f>
        <v>Revenue</v>
      </c>
      <c r="O371" t="str">
        <f>_xlfn.XLOOKUP(Jnl[[#This Row],[IncNode]], config_IS[Node], config_IS[Type],,0)</f>
        <v>Op</v>
      </c>
      <c r="P371" t="str">
        <f>_xlfn.XLOOKUP(Jnl[[#This Row],[BSLv2]], dict[Key], dict[Name],,0)</f>
        <v>0.现金及类似</v>
      </c>
      <c r="Q371" t="str">
        <f>_xlfn.XLOOKUP(Jnl[[#This Row],[Acct]], dict[Key], dict[Name],,0)</f>
        <v>银行</v>
      </c>
      <c r="R371" t="str">
        <f>_xlfn.XLOOKUP(Jnl[[#This Row],[Vehicle]],config_vehicle[Id], config_vehicle[Name],,0)</f>
        <v>米小易</v>
      </c>
      <c r="S371" t="str">
        <f>_xlfn.XLOOKUP(Jnl[[#This Row],[Division]],config_div[Id], config_div[Name],,0)</f>
        <v>水街店</v>
      </c>
      <c r="T371" t="str">
        <f>IF(Jnl[[#This Row],[TrxDate]]&lt;=stmt_BS_date_end, "In", "Out")</f>
        <v>In</v>
      </c>
      <c r="U371" t="str">
        <f>IF(Jnl[[#This Row],[TrxDate]]&lt;debug_date_start, "prior", IF(Jnl[[#This Row],[TrxDate]]&gt;debug_date_end, "post", "curr"))</f>
        <v>curr</v>
      </c>
    </row>
    <row r="372" spans="1:21" hidden="1">
      <c r="A372" s="39" t="s">
        <v>573</v>
      </c>
      <c r="B372" s="6">
        <f>_xlfn.XLOOKUP(Jnl[[#This Row],[TrxId]], Trx[Id], Trx[Date],,0)</f>
        <v>46053</v>
      </c>
      <c r="C372" s="6" t="str">
        <f>_xlfn.XLOOKUP(Jnl[[#This Row],[TrxId]], Trx[Id], Trx[Division],,0)</f>
        <v>Shuijie</v>
      </c>
      <c r="D372" s="6" t="str">
        <f>_xlfn.XLOOKUP(Jnl[[#This Row],[TrxId]], Trx[Id], Trx[Action],,0)</f>
        <v>图书</v>
      </c>
      <c r="E372" s="27" t="s">
        <v>84</v>
      </c>
      <c r="F372" s="10" t="s">
        <v>596</v>
      </c>
      <c r="G372" s="10" t="s">
        <v>598</v>
      </c>
      <c r="H372" s="37">
        <v>3084.15</v>
      </c>
      <c r="I372" s="11" t="b">
        <f>AND(Jnl[[#This Row],[TrxId]]&lt;&gt;"",Jnl[[#This Row],[Acct]]&lt;&gt;"",Jnl[[#This Row],[Item]]&lt;&gt;"",ISNUMBER(Jnl[[#This Row],[Bal]]))</f>
        <v>1</v>
      </c>
      <c r="J372" s="9">
        <f>IF(Jnl[[#This Row],[BSLv0]]="A",1,-1)*Jnl[[#This Row],[Bal]]</f>
        <v>3084.15</v>
      </c>
      <c r="K372" t="str">
        <f>_xlfn.XLOOKUP(Jnl[[#This Row],[Acct]], config_BS[Acct], config_BS[Lv0],,0)</f>
        <v>A</v>
      </c>
      <c r="L372" t="str">
        <f>_xlfn.XLOOKUP(Jnl[[#This Row],[Acct]], config_BS[Acct], config_BS[Lv1],,0)</f>
        <v>Assets</v>
      </c>
      <c r="M372" t="str">
        <f>_xlfn.XLOOKUP(Jnl[[#This Row],[Acct]], config_BS[Acct], config_BS[Lv2],,0)</f>
        <v>Cash alike</v>
      </c>
      <c r="N372" t="str">
        <f>_xlfn.XLOOKUP(Jnl[[#This Row],[TrxId]], Trx[Id], Trx[IncNode], ,0)</f>
        <v>Revenue</v>
      </c>
      <c r="O372" t="str">
        <f>_xlfn.XLOOKUP(Jnl[[#This Row],[IncNode]], config_IS[Node], config_IS[Type],,0)</f>
        <v>Op</v>
      </c>
      <c r="P372" t="str">
        <f>_xlfn.XLOOKUP(Jnl[[#This Row],[BSLv2]], dict[Key], dict[Name],,0)</f>
        <v>0.现金及类似</v>
      </c>
      <c r="Q372" t="str">
        <f>_xlfn.XLOOKUP(Jnl[[#This Row],[Acct]], dict[Key], dict[Name],,0)</f>
        <v>银行</v>
      </c>
      <c r="R372" t="str">
        <f>_xlfn.XLOOKUP(Jnl[[#This Row],[Vehicle]],config_vehicle[Id], config_vehicle[Name],,0)</f>
        <v>米小易</v>
      </c>
      <c r="S372" t="str">
        <f>_xlfn.XLOOKUP(Jnl[[#This Row],[Division]],config_div[Id], config_div[Name],,0)</f>
        <v>水街店</v>
      </c>
      <c r="T372" t="str">
        <f>IF(Jnl[[#This Row],[TrxDate]]&lt;=stmt_BS_date_end, "In", "Out")</f>
        <v>In</v>
      </c>
      <c r="U372" t="str">
        <f>IF(Jnl[[#This Row],[TrxDate]]&lt;debug_date_start, "prior", IF(Jnl[[#This Row],[TrxDate]]&gt;debug_date_end, "post", "curr"))</f>
        <v>curr</v>
      </c>
    </row>
    <row r="373" spans="1:21" hidden="1">
      <c r="A373" s="39" t="s">
        <v>574</v>
      </c>
      <c r="B373" s="6">
        <f>_xlfn.XLOOKUP(Jnl[[#This Row],[TrxId]], Trx[Id], Trx[Date],,0)</f>
        <v>46053</v>
      </c>
      <c r="C373" s="6" t="str">
        <f>_xlfn.XLOOKUP(Jnl[[#This Row],[TrxId]], Trx[Id], Trx[Division],,0)</f>
        <v>Shuijie</v>
      </c>
      <c r="D373" s="6" t="str">
        <f>_xlfn.XLOOKUP(Jnl[[#This Row],[TrxId]], Trx[Id], Trx[Action],,0)</f>
        <v>食材</v>
      </c>
      <c r="E373" s="27" t="s">
        <v>84</v>
      </c>
      <c r="F373" s="10" t="s">
        <v>498</v>
      </c>
      <c r="G373" s="10" t="s">
        <v>433</v>
      </c>
      <c r="H373" s="37">
        <v>-31666</v>
      </c>
      <c r="I373" s="11" t="b">
        <f>AND(Jnl[[#This Row],[TrxId]]&lt;&gt;"",Jnl[[#This Row],[Acct]]&lt;&gt;"",Jnl[[#This Row],[Item]]&lt;&gt;"",ISNUMBER(Jnl[[#This Row],[Bal]]))</f>
        <v>1</v>
      </c>
      <c r="J373" s="9">
        <f>IF(Jnl[[#This Row],[BSLv0]]="A",1,-1)*Jnl[[#This Row],[Bal]]</f>
        <v>-31666</v>
      </c>
      <c r="K373" t="str">
        <f>_xlfn.XLOOKUP(Jnl[[#This Row],[Acct]], config_BS[Acct], config_BS[Lv0],,0)</f>
        <v>A</v>
      </c>
      <c r="L373" t="str">
        <f>_xlfn.XLOOKUP(Jnl[[#This Row],[Acct]], config_BS[Acct], config_BS[Lv1],,0)</f>
        <v>Assets</v>
      </c>
      <c r="M373" t="str">
        <f>_xlfn.XLOOKUP(Jnl[[#This Row],[Acct]], config_BS[Acct], config_BS[Lv2],,0)</f>
        <v>Prep-Sub</v>
      </c>
      <c r="N373" t="str">
        <f>_xlfn.XLOOKUP(Jnl[[#This Row],[TrxId]], Trx[Id], Trx[IncNode], ,0)</f>
        <v>Cost</v>
      </c>
      <c r="O373" t="str">
        <f>_xlfn.XLOOKUP(Jnl[[#This Row],[IncNode]], config_IS[Node], config_IS[Type],,0)</f>
        <v>Op</v>
      </c>
      <c r="P373" t="str">
        <f>_xlfn.XLOOKUP(Jnl[[#This Row],[BSLv2]], dict[Key], dict[Name],,0)</f>
        <v>2.预付-订阅</v>
      </c>
      <c r="Q373" t="str">
        <f>_xlfn.XLOOKUP(Jnl[[#This Row],[Acct]], dict[Key], dict[Name],,0)</f>
        <v>预付订单</v>
      </c>
      <c r="R373" t="str">
        <f>_xlfn.XLOOKUP(Jnl[[#This Row],[Vehicle]],config_vehicle[Id], config_vehicle[Name],,0)</f>
        <v>米小易</v>
      </c>
      <c r="S373" t="str">
        <f>_xlfn.XLOOKUP(Jnl[[#This Row],[Division]],config_div[Id], config_div[Name],,0)</f>
        <v>水街店</v>
      </c>
      <c r="T373" t="str">
        <f>IF(Jnl[[#This Row],[TrxDate]]&lt;=stmt_BS_date_end, "In", "Out")</f>
        <v>In</v>
      </c>
      <c r="U373" t="str">
        <f>IF(Jnl[[#This Row],[TrxDate]]&lt;debug_date_start, "prior", IF(Jnl[[#This Row],[TrxDate]]&gt;debug_date_end, "post", "curr"))</f>
        <v>curr</v>
      </c>
    </row>
    <row r="374" spans="1:21" hidden="1">
      <c r="A374" s="39" t="s">
        <v>575</v>
      </c>
      <c r="B374" s="6">
        <f>_xlfn.XLOOKUP(Jnl[[#This Row],[TrxId]], Trx[Id], Trx[Date],,0)</f>
        <v>46053</v>
      </c>
      <c r="C374" s="6" t="str">
        <f>_xlfn.XLOOKUP(Jnl[[#This Row],[TrxId]], Trx[Id], Trx[Division],,0)</f>
        <v>Shuijie</v>
      </c>
      <c r="D374" s="6" t="str">
        <f>_xlfn.XLOOKUP(Jnl[[#This Row],[TrxId]], Trx[Id], Trx[Action],,0)</f>
        <v>入库</v>
      </c>
      <c r="E374" s="27" t="s">
        <v>84</v>
      </c>
      <c r="F374" s="10" t="s">
        <v>604</v>
      </c>
      <c r="G374" s="10" t="s">
        <v>155</v>
      </c>
      <c r="H374" s="37">
        <v>375</v>
      </c>
      <c r="I374" s="11" t="b">
        <f>AND(Jnl[[#This Row],[TrxId]]&lt;&gt;"",Jnl[[#This Row],[Acct]]&lt;&gt;"",Jnl[[#This Row],[Item]]&lt;&gt;"",ISNUMBER(Jnl[[#This Row],[Bal]]))</f>
        <v>1</v>
      </c>
      <c r="J374" s="9">
        <f>IF(Jnl[[#This Row],[BSLv0]]="A",1,-1)*Jnl[[#This Row],[Bal]]</f>
        <v>375</v>
      </c>
      <c r="K374" t="str">
        <f>_xlfn.XLOOKUP(Jnl[[#This Row],[Acct]], config_BS[Acct], config_BS[Lv0],,0)</f>
        <v>A</v>
      </c>
      <c r="L374" t="str">
        <f>_xlfn.XLOOKUP(Jnl[[#This Row],[Acct]], config_BS[Acct], config_BS[Lv1],,0)</f>
        <v>Assets</v>
      </c>
      <c r="M374" t="str">
        <f>_xlfn.XLOOKUP(Jnl[[#This Row],[Acct]], config_BS[Acct], config_BS[Lv2],,0)</f>
        <v>Invtr</v>
      </c>
      <c r="N374" t="str">
        <f>_xlfn.XLOOKUP(Jnl[[#This Row],[TrxId]], Trx[Id], Trx[IncNode], ,0)</f>
        <v>Cost</v>
      </c>
      <c r="O374" t="str">
        <f>_xlfn.XLOOKUP(Jnl[[#This Row],[IncNode]], config_IS[Node], config_IS[Type],,0)</f>
        <v>Op</v>
      </c>
      <c r="P374" t="str">
        <f>_xlfn.XLOOKUP(Jnl[[#This Row],[BSLv2]], dict[Key], dict[Name],,0)</f>
        <v>3.库存占款</v>
      </c>
      <c r="Q374" t="str">
        <f>_xlfn.XLOOKUP(Jnl[[#This Row],[Acct]], dict[Key], dict[Name],,0)</f>
        <v>当期存货</v>
      </c>
      <c r="R374" t="str">
        <f>_xlfn.XLOOKUP(Jnl[[#This Row],[Vehicle]],config_vehicle[Id], config_vehicle[Name],,0)</f>
        <v>米小易</v>
      </c>
      <c r="S374" t="str">
        <f>_xlfn.XLOOKUP(Jnl[[#This Row],[Division]],config_div[Id], config_div[Name],,0)</f>
        <v>水街店</v>
      </c>
      <c r="T374" t="str">
        <f>IF(Jnl[[#This Row],[TrxDate]]&lt;=stmt_BS_date_end, "In", "Out")</f>
        <v>In</v>
      </c>
      <c r="U374" t="str">
        <f>IF(Jnl[[#This Row],[TrxDate]]&lt;debug_date_start, "prior", IF(Jnl[[#This Row],[TrxDate]]&gt;debug_date_end, "post", "curr"))</f>
        <v>curr</v>
      </c>
    </row>
    <row r="375" spans="1:21" hidden="1">
      <c r="A375" s="39" t="s">
        <v>575</v>
      </c>
      <c r="B375" s="6">
        <f>_xlfn.XLOOKUP(Jnl[[#This Row],[TrxId]], Trx[Id], Trx[Date],,0)</f>
        <v>46053</v>
      </c>
      <c r="C375" s="6" t="str">
        <f>_xlfn.XLOOKUP(Jnl[[#This Row],[TrxId]], Trx[Id], Trx[Division],,0)</f>
        <v>Shuijie</v>
      </c>
      <c r="D375" s="6" t="str">
        <f>_xlfn.XLOOKUP(Jnl[[#This Row],[TrxId]], Trx[Id], Trx[Action],,0)</f>
        <v>入库</v>
      </c>
      <c r="E375" s="27" t="s">
        <v>84</v>
      </c>
      <c r="F375" s="10" t="s">
        <v>498</v>
      </c>
      <c r="G375" s="10" t="s">
        <v>433</v>
      </c>
      <c r="H375" s="37">
        <v>-375</v>
      </c>
      <c r="I375" s="11" t="b">
        <f>AND(Jnl[[#This Row],[TrxId]]&lt;&gt;"",Jnl[[#This Row],[Acct]]&lt;&gt;"",Jnl[[#This Row],[Item]]&lt;&gt;"",ISNUMBER(Jnl[[#This Row],[Bal]]))</f>
        <v>1</v>
      </c>
      <c r="J375" s="9">
        <f>IF(Jnl[[#This Row],[BSLv0]]="A",1,-1)*Jnl[[#This Row],[Bal]]</f>
        <v>-375</v>
      </c>
      <c r="K375" t="str">
        <f>_xlfn.XLOOKUP(Jnl[[#This Row],[Acct]], config_BS[Acct], config_BS[Lv0],,0)</f>
        <v>A</v>
      </c>
      <c r="L375" t="str">
        <f>_xlfn.XLOOKUP(Jnl[[#This Row],[Acct]], config_BS[Acct], config_BS[Lv1],,0)</f>
        <v>Assets</v>
      </c>
      <c r="M375" t="str">
        <f>_xlfn.XLOOKUP(Jnl[[#This Row],[Acct]], config_BS[Acct], config_BS[Lv2],,0)</f>
        <v>Prep-Sub</v>
      </c>
      <c r="N375" t="str">
        <f>_xlfn.XLOOKUP(Jnl[[#This Row],[TrxId]], Trx[Id], Trx[IncNode], ,0)</f>
        <v>Cost</v>
      </c>
      <c r="O375" t="str">
        <f>_xlfn.XLOOKUP(Jnl[[#This Row],[IncNode]], config_IS[Node], config_IS[Type],,0)</f>
        <v>Op</v>
      </c>
      <c r="P375" t="str">
        <f>_xlfn.XLOOKUP(Jnl[[#This Row],[BSLv2]], dict[Key], dict[Name],,0)</f>
        <v>2.预付-订阅</v>
      </c>
      <c r="Q375" t="str">
        <f>_xlfn.XLOOKUP(Jnl[[#This Row],[Acct]], dict[Key], dict[Name],,0)</f>
        <v>预付订单</v>
      </c>
      <c r="R375" t="str">
        <f>_xlfn.XLOOKUP(Jnl[[#This Row],[Vehicle]],config_vehicle[Id], config_vehicle[Name],,0)</f>
        <v>米小易</v>
      </c>
      <c r="S375" t="str">
        <f>_xlfn.XLOOKUP(Jnl[[#This Row],[Division]],config_div[Id], config_div[Name],,0)</f>
        <v>水街店</v>
      </c>
      <c r="T375" t="str">
        <f>IF(Jnl[[#This Row],[TrxDate]]&lt;=stmt_BS_date_end, "In", "Out")</f>
        <v>In</v>
      </c>
      <c r="U375" t="str">
        <f>IF(Jnl[[#This Row],[TrxDate]]&lt;debug_date_start, "prior", IF(Jnl[[#This Row],[TrxDate]]&gt;debug_date_end, "post", "curr"))</f>
        <v>curr</v>
      </c>
    </row>
    <row r="376" spans="1:21" hidden="1">
      <c r="A376" s="39" t="s">
        <v>576</v>
      </c>
      <c r="B376" s="6">
        <f>_xlfn.XLOOKUP(Jnl[[#This Row],[TrxId]], Trx[Id], Trx[Date],,0)</f>
        <v>46053</v>
      </c>
      <c r="C376" s="6" t="str">
        <f>_xlfn.XLOOKUP(Jnl[[#This Row],[TrxId]], Trx[Id], Trx[Division],,0)</f>
        <v>Shuijie</v>
      </c>
      <c r="D376" s="6" t="str">
        <f>_xlfn.XLOOKUP(Jnl[[#This Row],[TrxId]], Trx[Id], Trx[Action],,0)</f>
        <v>入库</v>
      </c>
      <c r="E376" s="27" t="s">
        <v>84</v>
      </c>
      <c r="F376" s="10" t="s">
        <v>604</v>
      </c>
      <c r="G376" s="10" t="s">
        <v>155</v>
      </c>
      <c r="H376" s="37">
        <v>1873.57</v>
      </c>
      <c r="I376" s="11" t="b">
        <f>AND(Jnl[[#This Row],[TrxId]]&lt;&gt;"",Jnl[[#This Row],[Acct]]&lt;&gt;"",Jnl[[#This Row],[Item]]&lt;&gt;"",ISNUMBER(Jnl[[#This Row],[Bal]]))</f>
        <v>1</v>
      </c>
      <c r="J376" s="9">
        <f>IF(Jnl[[#This Row],[BSLv0]]="A",1,-1)*Jnl[[#This Row],[Bal]]</f>
        <v>1873.57</v>
      </c>
      <c r="K376" t="str">
        <f>_xlfn.XLOOKUP(Jnl[[#This Row],[Acct]], config_BS[Acct], config_BS[Lv0],,0)</f>
        <v>A</v>
      </c>
      <c r="L376" t="str">
        <f>_xlfn.XLOOKUP(Jnl[[#This Row],[Acct]], config_BS[Acct], config_BS[Lv1],,0)</f>
        <v>Assets</v>
      </c>
      <c r="M376" t="str">
        <f>_xlfn.XLOOKUP(Jnl[[#This Row],[Acct]], config_BS[Acct], config_BS[Lv2],,0)</f>
        <v>Invtr</v>
      </c>
      <c r="N376" t="str">
        <f>_xlfn.XLOOKUP(Jnl[[#This Row],[TrxId]], Trx[Id], Trx[IncNode], ,0)</f>
        <v>Cost</v>
      </c>
      <c r="O376" t="str">
        <f>_xlfn.XLOOKUP(Jnl[[#This Row],[IncNode]], config_IS[Node], config_IS[Type],,0)</f>
        <v>Op</v>
      </c>
      <c r="P376" t="str">
        <f>_xlfn.XLOOKUP(Jnl[[#This Row],[BSLv2]], dict[Key], dict[Name],,0)</f>
        <v>3.库存占款</v>
      </c>
      <c r="Q376" t="str">
        <f>_xlfn.XLOOKUP(Jnl[[#This Row],[Acct]], dict[Key], dict[Name],,0)</f>
        <v>当期存货</v>
      </c>
      <c r="R376" t="str">
        <f>_xlfn.XLOOKUP(Jnl[[#This Row],[Vehicle]],config_vehicle[Id], config_vehicle[Name],,0)</f>
        <v>米小易</v>
      </c>
      <c r="S376" t="str">
        <f>_xlfn.XLOOKUP(Jnl[[#This Row],[Division]],config_div[Id], config_div[Name],,0)</f>
        <v>水街店</v>
      </c>
      <c r="T376" t="str">
        <f>IF(Jnl[[#This Row],[TrxDate]]&lt;=stmt_BS_date_end, "In", "Out")</f>
        <v>In</v>
      </c>
      <c r="U376" t="str">
        <f>IF(Jnl[[#This Row],[TrxDate]]&lt;debug_date_start, "prior", IF(Jnl[[#This Row],[TrxDate]]&gt;debug_date_end, "post", "curr"))</f>
        <v>curr</v>
      </c>
    </row>
    <row r="377" spans="1:21" hidden="1">
      <c r="A377" s="39" t="s">
        <v>576</v>
      </c>
      <c r="B377" s="6">
        <f>_xlfn.XLOOKUP(Jnl[[#This Row],[TrxId]], Trx[Id], Trx[Date],,0)</f>
        <v>46053</v>
      </c>
      <c r="C377" s="6" t="str">
        <f>_xlfn.XLOOKUP(Jnl[[#This Row],[TrxId]], Trx[Id], Trx[Division],,0)</f>
        <v>Shuijie</v>
      </c>
      <c r="D377" s="6" t="str">
        <f>_xlfn.XLOOKUP(Jnl[[#This Row],[TrxId]], Trx[Id], Trx[Action],,0)</f>
        <v>入库</v>
      </c>
      <c r="E377" s="27" t="s">
        <v>84</v>
      </c>
      <c r="F377" s="10" t="s">
        <v>603</v>
      </c>
      <c r="G377" s="10" t="s">
        <v>534</v>
      </c>
      <c r="H377" s="37">
        <v>-1873.57</v>
      </c>
      <c r="I377" s="11" t="b">
        <f>AND(Jnl[[#This Row],[TrxId]]&lt;&gt;"",Jnl[[#This Row],[Acct]]&lt;&gt;"",Jnl[[#This Row],[Item]]&lt;&gt;"",ISNUMBER(Jnl[[#This Row],[Bal]]))</f>
        <v>1</v>
      </c>
      <c r="J377" s="9">
        <f>IF(Jnl[[#This Row],[BSLv0]]="A",1,-1)*Jnl[[#This Row],[Bal]]</f>
        <v>-1873.57</v>
      </c>
      <c r="K377" t="str">
        <f>_xlfn.XLOOKUP(Jnl[[#This Row],[Acct]], config_BS[Acct], config_BS[Lv0],,0)</f>
        <v>A</v>
      </c>
      <c r="L377" t="str">
        <f>_xlfn.XLOOKUP(Jnl[[#This Row],[Acct]], config_BS[Acct], config_BS[Lv1],,0)</f>
        <v>Assets</v>
      </c>
      <c r="M377" t="str">
        <f>_xlfn.XLOOKUP(Jnl[[#This Row],[Acct]], config_BS[Acct], config_BS[Lv2],,0)</f>
        <v>Prep-Sub</v>
      </c>
      <c r="N377" t="str">
        <f>_xlfn.XLOOKUP(Jnl[[#This Row],[TrxId]], Trx[Id], Trx[IncNode], ,0)</f>
        <v>Cost</v>
      </c>
      <c r="O377" t="str">
        <f>_xlfn.XLOOKUP(Jnl[[#This Row],[IncNode]], config_IS[Node], config_IS[Type],,0)</f>
        <v>Op</v>
      </c>
      <c r="P377" t="str">
        <f>_xlfn.XLOOKUP(Jnl[[#This Row],[BSLv2]], dict[Key], dict[Name],,0)</f>
        <v>2.预付-订阅</v>
      </c>
      <c r="Q377" t="str">
        <f>_xlfn.XLOOKUP(Jnl[[#This Row],[Acct]], dict[Key], dict[Name],,0)</f>
        <v>员工预支</v>
      </c>
      <c r="R377" t="str">
        <f>_xlfn.XLOOKUP(Jnl[[#This Row],[Vehicle]],config_vehicle[Id], config_vehicle[Name],,0)</f>
        <v>米小易</v>
      </c>
      <c r="S377" t="str">
        <f>_xlfn.XLOOKUP(Jnl[[#This Row],[Division]],config_div[Id], config_div[Name],,0)</f>
        <v>水街店</v>
      </c>
      <c r="T377" t="str">
        <f>IF(Jnl[[#This Row],[TrxDate]]&lt;=stmt_BS_date_end, "In", "Out")</f>
        <v>In</v>
      </c>
      <c r="U377" t="str">
        <f>IF(Jnl[[#This Row],[TrxDate]]&lt;debug_date_start, "prior", IF(Jnl[[#This Row],[TrxDate]]&gt;debug_date_end, "post", "curr"))</f>
        <v>curr</v>
      </c>
    </row>
    <row r="378" spans="1:21" hidden="1">
      <c r="A378" s="39" t="s">
        <v>578</v>
      </c>
      <c r="B378" s="6">
        <f>_xlfn.XLOOKUP(Jnl[[#This Row],[TrxId]], Trx[Id], Trx[Date],,0)</f>
        <v>46053</v>
      </c>
      <c r="C378" s="6" t="str">
        <f>_xlfn.XLOOKUP(Jnl[[#This Row],[TrxId]], Trx[Id], Trx[Division],,0)</f>
        <v>Shuijie</v>
      </c>
      <c r="D378" s="6" t="str">
        <f>_xlfn.XLOOKUP(Jnl[[#This Row],[TrxId]], Trx[Id], Trx[Action],,0)</f>
        <v>物料</v>
      </c>
      <c r="E378" s="27" t="s">
        <v>84</v>
      </c>
      <c r="F378" s="10" t="s">
        <v>603</v>
      </c>
      <c r="G378" s="10" t="s">
        <v>534</v>
      </c>
      <c r="H378" s="37">
        <v>-49.15</v>
      </c>
      <c r="I378" s="11" t="b">
        <f>AND(Jnl[[#This Row],[TrxId]]&lt;&gt;"",Jnl[[#This Row],[Acct]]&lt;&gt;"",Jnl[[#This Row],[Item]]&lt;&gt;"",ISNUMBER(Jnl[[#This Row],[Bal]]))</f>
        <v>1</v>
      </c>
      <c r="J378" s="9">
        <f>IF(Jnl[[#This Row],[BSLv0]]="A",1,-1)*Jnl[[#This Row],[Bal]]</f>
        <v>-49.15</v>
      </c>
      <c r="K378" t="str">
        <f>_xlfn.XLOOKUP(Jnl[[#This Row],[Acct]], config_BS[Acct], config_BS[Lv0],,0)</f>
        <v>A</v>
      </c>
      <c r="L378" t="str">
        <f>_xlfn.XLOOKUP(Jnl[[#This Row],[Acct]], config_BS[Acct], config_BS[Lv1],,0)</f>
        <v>Assets</v>
      </c>
      <c r="M378" t="str">
        <f>_xlfn.XLOOKUP(Jnl[[#This Row],[Acct]], config_BS[Acct], config_BS[Lv2],,0)</f>
        <v>Prep-Sub</v>
      </c>
      <c r="N378" t="str">
        <f>_xlfn.XLOOKUP(Jnl[[#This Row],[TrxId]], Trx[Id], Trx[IncNode], ,0)</f>
        <v>Cost</v>
      </c>
      <c r="O378" t="str">
        <f>_xlfn.XLOOKUP(Jnl[[#This Row],[IncNode]], config_IS[Node], config_IS[Type],,0)</f>
        <v>Op</v>
      </c>
      <c r="P378" t="str">
        <f>_xlfn.XLOOKUP(Jnl[[#This Row],[BSLv2]], dict[Key], dict[Name],,0)</f>
        <v>2.预付-订阅</v>
      </c>
      <c r="Q378" t="str">
        <f>_xlfn.XLOOKUP(Jnl[[#This Row],[Acct]], dict[Key], dict[Name],,0)</f>
        <v>员工预支</v>
      </c>
      <c r="R378" t="str">
        <f>_xlfn.XLOOKUP(Jnl[[#This Row],[Vehicle]],config_vehicle[Id], config_vehicle[Name],,0)</f>
        <v>米小易</v>
      </c>
      <c r="S378" t="str">
        <f>_xlfn.XLOOKUP(Jnl[[#This Row],[Division]],config_div[Id], config_div[Name],,0)</f>
        <v>水街店</v>
      </c>
      <c r="T378" t="str">
        <f>IF(Jnl[[#This Row],[TrxDate]]&lt;=stmt_BS_date_end, "In", "Out")</f>
        <v>In</v>
      </c>
      <c r="U378" t="str">
        <f>IF(Jnl[[#This Row],[TrxDate]]&lt;debug_date_start, "prior", IF(Jnl[[#This Row],[TrxDate]]&gt;debug_date_end, "post", "curr"))</f>
        <v>curr</v>
      </c>
    </row>
    <row r="379" spans="1:21" hidden="1">
      <c r="A379" s="39" t="s">
        <v>579</v>
      </c>
      <c r="B379" s="6">
        <f>_xlfn.XLOOKUP(Jnl[[#This Row],[TrxId]], Trx[Id], Trx[Date],,0)</f>
        <v>46053</v>
      </c>
      <c r="C379" s="6" t="str">
        <f>_xlfn.XLOOKUP(Jnl[[#This Row],[TrxId]], Trx[Id], Trx[Division],,0)</f>
        <v>Shuijie</v>
      </c>
      <c r="D379" s="6" t="str">
        <f>_xlfn.XLOOKUP(Jnl[[#This Row],[TrxId]], Trx[Id], Trx[Action],,0)</f>
        <v>入库</v>
      </c>
      <c r="E379" s="27" t="s">
        <v>84</v>
      </c>
      <c r="F379" s="10" t="s">
        <v>604</v>
      </c>
      <c r="G379" s="10" t="s">
        <v>155</v>
      </c>
      <c r="H379" s="37">
        <v>2039.33</v>
      </c>
      <c r="I379" s="11" t="b">
        <f>AND(Jnl[[#This Row],[TrxId]]&lt;&gt;"",Jnl[[#This Row],[Acct]]&lt;&gt;"",Jnl[[#This Row],[Item]]&lt;&gt;"",ISNUMBER(Jnl[[#This Row],[Bal]]))</f>
        <v>1</v>
      </c>
      <c r="J379" s="9">
        <f>IF(Jnl[[#This Row],[BSLv0]]="A",1,-1)*Jnl[[#This Row],[Bal]]</f>
        <v>2039.33</v>
      </c>
      <c r="K379" t="str">
        <f>_xlfn.XLOOKUP(Jnl[[#This Row],[Acct]], config_BS[Acct], config_BS[Lv0],,0)</f>
        <v>A</v>
      </c>
      <c r="L379" t="str">
        <f>_xlfn.XLOOKUP(Jnl[[#This Row],[Acct]], config_BS[Acct], config_BS[Lv1],,0)</f>
        <v>Assets</v>
      </c>
      <c r="M379" t="str">
        <f>_xlfn.XLOOKUP(Jnl[[#This Row],[Acct]], config_BS[Acct], config_BS[Lv2],,0)</f>
        <v>Invtr</v>
      </c>
      <c r="N379" t="str">
        <f>_xlfn.XLOOKUP(Jnl[[#This Row],[TrxId]], Trx[Id], Trx[IncNode], ,0)</f>
        <v>Cost</v>
      </c>
      <c r="O379" t="str">
        <f>_xlfn.XLOOKUP(Jnl[[#This Row],[IncNode]], config_IS[Node], config_IS[Type],,0)</f>
        <v>Op</v>
      </c>
      <c r="P379" t="str">
        <f>_xlfn.XLOOKUP(Jnl[[#This Row],[BSLv2]], dict[Key], dict[Name],,0)</f>
        <v>3.库存占款</v>
      </c>
      <c r="Q379" t="str">
        <f>_xlfn.XLOOKUP(Jnl[[#This Row],[Acct]], dict[Key], dict[Name],,0)</f>
        <v>当期存货</v>
      </c>
      <c r="R379" t="str">
        <f>_xlfn.XLOOKUP(Jnl[[#This Row],[Vehicle]],config_vehicle[Id], config_vehicle[Name],,0)</f>
        <v>米小易</v>
      </c>
      <c r="S379" t="str">
        <f>_xlfn.XLOOKUP(Jnl[[#This Row],[Division]],config_div[Id], config_div[Name],,0)</f>
        <v>水街店</v>
      </c>
      <c r="T379" t="str">
        <f>IF(Jnl[[#This Row],[TrxDate]]&lt;=stmt_BS_date_end, "In", "Out")</f>
        <v>In</v>
      </c>
      <c r="U379" t="str">
        <f>IF(Jnl[[#This Row],[TrxDate]]&lt;debug_date_start, "prior", IF(Jnl[[#This Row],[TrxDate]]&gt;debug_date_end, "post", "curr"))</f>
        <v>curr</v>
      </c>
    </row>
    <row r="380" spans="1:21" hidden="1">
      <c r="A380" s="39" t="s">
        <v>579</v>
      </c>
      <c r="B380" s="6">
        <f>_xlfn.XLOOKUP(Jnl[[#This Row],[TrxId]], Trx[Id], Trx[Date],,0)</f>
        <v>46053</v>
      </c>
      <c r="C380" s="6" t="str">
        <f>_xlfn.XLOOKUP(Jnl[[#This Row],[TrxId]], Trx[Id], Trx[Division],,0)</f>
        <v>Shuijie</v>
      </c>
      <c r="D380" s="6" t="str">
        <f>_xlfn.XLOOKUP(Jnl[[#This Row],[TrxId]], Trx[Id], Trx[Action],,0)</f>
        <v>入库</v>
      </c>
      <c r="E380" s="27" t="s">
        <v>84</v>
      </c>
      <c r="F380" s="10" t="s">
        <v>603</v>
      </c>
      <c r="G380" s="10" t="s">
        <v>534</v>
      </c>
      <c r="H380" s="37">
        <f>-H379</f>
        <v>-2039.33</v>
      </c>
      <c r="I380" s="11" t="b">
        <f>AND(Jnl[[#This Row],[TrxId]]&lt;&gt;"",Jnl[[#This Row],[Acct]]&lt;&gt;"",Jnl[[#This Row],[Item]]&lt;&gt;"",ISNUMBER(Jnl[[#This Row],[Bal]]))</f>
        <v>1</v>
      </c>
      <c r="J380" s="9">
        <f>IF(Jnl[[#This Row],[BSLv0]]="A",1,-1)*Jnl[[#This Row],[Bal]]</f>
        <v>-2039.33</v>
      </c>
      <c r="K380" t="str">
        <f>_xlfn.XLOOKUP(Jnl[[#This Row],[Acct]], config_BS[Acct], config_BS[Lv0],,0)</f>
        <v>A</v>
      </c>
      <c r="L380" t="str">
        <f>_xlfn.XLOOKUP(Jnl[[#This Row],[Acct]], config_BS[Acct], config_BS[Lv1],,0)</f>
        <v>Assets</v>
      </c>
      <c r="M380" t="str">
        <f>_xlfn.XLOOKUP(Jnl[[#This Row],[Acct]], config_BS[Acct], config_BS[Lv2],,0)</f>
        <v>Prep-Sub</v>
      </c>
      <c r="N380" t="str">
        <f>_xlfn.XLOOKUP(Jnl[[#This Row],[TrxId]], Trx[Id], Trx[IncNode], ,0)</f>
        <v>Cost</v>
      </c>
      <c r="O380" t="str">
        <f>_xlfn.XLOOKUP(Jnl[[#This Row],[IncNode]], config_IS[Node], config_IS[Type],,0)</f>
        <v>Op</v>
      </c>
      <c r="P380" t="str">
        <f>_xlfn.XLOOKUP(Jnl[[#This Row],[BSLv2]], dict[Key], dict[Name],,0)</f>
        <v>2.预付-订阅</v>
      </c>
      <c r="Q380" t="str">
        <f>_xlfn.XLOOKUP(Jnl[[#This Row],[Acct]], dict[Key], dict[Name],,0)</f>
        <v>员工预支</v>
      </c>
      <c r="R380" t="str">
        <f>_xlfn.XLOOKUP(Jnl[[#This Row],[Vehicle]],config_vehicle[Id], config_vehicle[Name],,0)</f>
        <v>米小易</v>
      </c>
      <c r="S380" t="str">
        <f>_xlfn.XLOOKUP(Jnl[[#This Row],[Division]],config_div[Id], config_div[Name],,0)</f>
        <v>水街店</v>
      </c>
      <c r="T380" t="str">
        <f>IF(Jnl[[#This Row],[TrxDate]]&lt;=stmt_BS_date_end, "In", "Out")</f>
        <v>In</v>
      </c>
      <c r="U380" t="str">
        <f>IF(Jnl[[#This Row],[TrxDate]]&lt;debug_date_start, "prior", IF(Jnl[[#This Row],[TrxDate]]&gt;debug_date_end, "post", "curr"))</f>
        <v>curr</v>
      </c>
    </row>
    <row r="381" spans="1:21" hidden="1">
      <c r="A381" s="39" t="s">
        <v>580</v>
      </c>
      <c r="B381" s="6">
        <f>_xlfn.XLOOKUP(Jnl[[#This Row],[TrxId]], Trx[Id], Trx[Date],,0)</f>
        <v>46053</v>
      </c>
      <c r="C381" s="6" t="str">
        <f>_xlfn.XLOOKUP(Jnl[[#This Row],[TrxId]], Trx[Id], Trx[Division],,0)</f>
        <v>Shuijie</v>
      </c>
      <c r="D381" s="6" t="str">
        <f>_xlfn.XLOOKUP(Jnl[[#This Row],[TrxId]], Trx[Id], Trx[Action],,0)</f>
        <v>物料</v>
      </c>
      <c r="E381" s="27" t="s">
        <v>84</v>
      </c>
      <c r="F381" s="10" t="s">
        <v>603</v>
      </c>
      <c r="G381" s="10" t="s">
        <v>534</v>
      </c>
      <c r="H381" s="37">
        <v>-220.3</v>
      </c>
      <c r="I381" s="11" t="b">
        <f>AND(Jnl[[#This Row],[TrxId]]&lt;&gt;"",Jnl[[#This Row],[Acct]]&lt;&gt;"",Jnl[[#This Row],[Item]]&lt;&gt;"",ISNUMBER(Jnl[[#This Row],[Bal]]))</f>
        <v>1</v>
      </c>
      <c r="J381" s="9">
        <f>IF(Jnl[[#This Row],[BSLv0]]="A",1,-1)*Jnl[[#This Row],[Bal]]</f>
        <v>-220.3</v>
      </c>
      <c r="K381" t="str">
        <f>_xlfn.XLOOKUP(Jnl[[#This Row],[Acct]], config_BS[Acct], config_BS[Lv0],,0)</f>
        <v>A</v>
      </c>
      <c r="L381" t="str">
        <f>_xlfn.XLOOKUP(Jnl[[#This Row],[Acct]], config_BS[Acct], config_BS[Lv1],,0)</f>
        <v>Assets</v>
      </c>
      <c r="M381" t="str">
        <f>_xlfn.XLOOKUP(Jnl[[#This Row],[Acct]], config_BS[Acct], config_BS[Lv2],,0)</f>
        <v>Prep-Sub</v>
      </c>
      <c r="N381" t="str">
        <f>_xlfn.XLOOKUP(Jnl[[#This Row],[TrxId]], Trx[Id], Trx[IncNode], ,0)</f>
        <v>Cost</v>
      </c>
      <c r="O381" t="str">
        <f>_xlfn.XLOOKUP(Jnl[[#This Row],[IncNode]], config_IS[Node], config_IS[Type],,0)</f>
        <v>Op</v>
      </c>
      <c r="P381" t="str">
        <f>_xlfn.XLOOKUP(Jnl[[#This Row],[BSLv2]], dict[Key], dict[Name],,0)</f>
        <v>2.预付-订阅</v>
      </c>
      <c r="Q381" t="str">
        <f>_xlfn.XLOOKUP(Jnl[[#This Row],[Acct]], dict[Key], dict[Name],,0)</f>
        <v>员工预支</v>
      </c>
      <c r="R381" t="str">
        <f>_xlfn.XLOOKUP(Jnl[[#This Row],[Vehicle]],config_vehicle[Id], config_vehicle[Name],,0)</f>
        <v>米小易</v>
      </c>
      <c r="S381" t="str">
        <f>_xlfn.XLOOKUP(Jnl[[#This Row],[Division]],config_div[Id], config_div[Name],,0)</f>
        <v>水街店</v>
      </c>
      <c r="T381" t="str">
        <f>IF(Jnl[[#This Row],[TrxDate]]&lt;=stmt_BS_date_end, "In", "Out")</f>
        <v>In</v>
      </c>
      <c r="U381" t="str">
        <f>IF(Jnl[[#This Row],[TrxDate]]&lt;debug_date_start, "prior", IF(Jnl[[#This Row],[TrxDate]]&gt;debug_date_end, "post", "curr"))</f>
        <v>curr</v>
      </c>
    </row>
    <row r="382" spans="1:21" hidden="1">
      <c r="A382" s="39" t="s">
        <v>581</v>
      </c>
      <c r="B382" s="6">
        <f>_xlfn.XLOOKUP(Jnl[[#This Row],[TrxId]], Trx[Id], Trx[Date],,0)</f>
        <v>46053</v>
      </c>
      <c r="C382" s="6" t="str">
        <f>_xlfn.XLOOKUP(Jnl[[#This Row],[TrxId]], Trx[Id], Trx[Division],,0)</f>
        <v>Shuijie</v>
      </c>
      <c r="D382" s="6" t="str">
        <f>_xlfn.XLOOKUP(Jnl[[#This Row],[TrxId]], Trx[Id], Trx[Action],,0)</f>
        <v>杂项</v>
      </c>
      <c r="E382" s="27" t="s">
        <v>84</v>
      </c>
      <c r="F382" s="10" t="s">
        <v>498</v>
      </c>
      <c r="G382" s="10" t="s">
        <v>433</v>
      </c>
      <c r="H382" s="37">
        <v>-2015</v>
      </c>
      <c r="I382" s="11" t="b">
        <f>AND(Jnl[[#This Row],[TrxId]]&lt;&gt;"",Jnl[[#This Row],[Acct]]&lt;&gt;"",Jnl[[#This Row],[Item]]&lt;&gt;"",ISNUMBER(Jnl[[#This Row],[Bal]]))</f>
        <v>1</v>
      </c>
      <c r="J382" s="9">
        <f>IF(Jnl[[#This Row],[BSLv0]]="A",1,-1)*Jnl[[#This Row],[Bal]]</f>
        <v>-2015</v>
      </c>
      <c r="K382" t="str">
        <f>_xlfn.XLOOKUP(Jnl[[#This Row],[Acct]], config_BS[Acct], config_BS[Lv0],,0)</f>
        <v>A</v>
      </c>
      <c r="L382" t="str">
        <f>_xlfn.XLOOKUP(Jnl[[#This Row],[Acct]], config_BS[Acct], config_BS[Lv1],,0)</f>
        <v>Assets</v>
      </c>
      <c r="M382" t="str">
        <f>_xlfn.XLOOKUP(Jnl[[#This Row],[Acct]], config_BS[Acct], config_BS[Lv2],,0)</f>
        <v>Prep-Sub</v>
      </c>
      <c r="N382" t="str">
        <f>_xlfn.XLOOKUP(Jnl[[#This Row],[TrxId]], Trx[Id], Trx[IncNode], ,0)</f>
        <v>Expense</v>
      </c>
      <c r="O382" t="str">
        <f>_xlfn.XLOOKUP(Jnl[[#This Row],[IncNode]], config_IS[Node], config_IS[Type],,0)</f>
        <v>Op</v>
      </c>
      <c r="P382" t="str">
        <f>_xlfn.XLOOKUP(Jnl[[#This Row],[BSLv2]], dict[Key], dict[Name],,0)</f>
        <v>2.预付-订阅</v>
      </c>
      <c r="Q382" t="str">
        <f>_xlfn.XLOOKUP(Jnl[[#This Row],[Acct]], dict[Key], dict[Name],,0)</f>
        <v>预付订单</v>
      </c>
      <c r="R382" t="str">
        <f>_xlfn.XLOOKUP(Jnl[[#This Row],[Vehicle]],config_vehicle[Id], config_vehicle[Name],,0)</f>
        <v>米小易</v>
      </c>
      <c r="S382" t="str">
        <f>_xlfn.XLOOKUP(Jnl[[#This Row],[Division]],config_div[Id], config_div[Name],,0)</f>
        <v>水街店</v>
      </c>
      <c r="T382" t="str">
        <f>IF(Jnl[[#This Row],[TrxDate]]&lt;=stmt_BS_date_end, "In", "Out")</f>
        <v>In</v>
      </c>
      <c r="U382" t="str">
        <f>IF(Jnl[[#This Row],[TrxDate]]&lt;debug_date_start, "prior", IF(Jnl[[#This Row],[TrxDate]]&gt;debug_date_end, "post", "curr"))</f>
        <v>curr</v>
      </c>
    </row>
    <row r="383" spans="1:21" hidden="1">
      <c r="A383" s="39" t="s">
        <v>582</v>
      </c>
      <c r="B383" s="6">
        <f>_xlfn.XLOOKUP(Jnl[[#This Row],[TrxId]], Trx[Id], Trx[Date],,0)</f>
        <v>46053</v>
      </c>
      <c r="C383" s="6" t="str">
        <f>_xlfn.XLOOKUP(Jnl[[#This Row],[TrxId]], Trx[Id], Trx[Division],,0)</f>
        <v>Shuijie</v>
      </c>
      <c r="D383" s="6" t="str">
        <f>_xlfn.XLOOKUP(Jnl[[#This Row],[TrxId]], Trx[Id], Trx[Action],,0)</f>
        <v>餐饮</v>
      </c>
      <c r="E383" s="27" t="s">
        <v>84</v>
      </c>
      <c r="F383" s="10" t="s">
        <v>605</v>
      </c>
      <c r="G383" s="10" t="s">
        <v>606</v>
      </c>
      <c r="H383" s="37">
        <v>3650</v>
      </c>
      <c r="I383" s="11" t="b">
        <f>AND(Jnl[[#This Row],[TrxId]]&lt;&gt;"",Jnl[[#This Row],[Acct]]&lt;&gt;"",Jnl[[#This Row],[Item]]&lt;&gt;"",ISNUMBER(Jnl[[#This Row],[Bal]]))</f>
        <v>1</v>
      </c>
      <c r="J383" s="9">
        <f>IF(Jnl[[#This Row],[BSLv0]]="A",1,-1)*Jnl[[#This Row],[Bal]]</f>
        <v>3650</v>
      </c>
      <c r="K383" t="str">
        <f>_xlfn.XLOOKUP(Jnl[[#This Row],[Acct]], config_BS[Acct], config_BS[Lv0],,0)</f>
        <v>A</v>
      </c>
      <c r="L383" t="str">
        <f>_xlfn.XLOOKUP(Jnl[[#This Row],[Acct]], config_BS[Acct], config_BS[Lv1],,0)</f>
        <v>Assets</v>
      </c>
      <c r="M383" t="str">
        <f>_xlfn.XLOOKUP(Jnl[[#This Row],[Acct]], config_BS[Acct], config_BS[Lv2],,0)</f>
        <v>Cash alike</v>
      </c>
      <c r="N383" t="str">
        <f>_xlfn.XLOOKUP(Jnl[[#This Row],[TrxId]], Trx[Id], Trx[IncNode], ,0)</f>
        <v>Revenue</v>
      </c>
      <c r="O383" t="str">
        <f>_xlfn.XLOOKUP(Jnl[[#This Row],[IncNode]], config_IS[Node], config_IS[Type],,0)</f>
        <v>Op</v>
      </c>
      <c r="P383" t="str">
        <f>_xlfn.XLOOKUP(Jnl[[#This Row],[BSLv2]], dict[Key], dict[Name],,0)</f>
        <v>0.现金及类似</v>
      </c>
      <c r="Q383" t="str">
        <f>_xlfn.XLOOKUP(Jnl[[#This Row],[Acct]], dict[Key], dict[Name],,0)</f>
        <v>物理现金</v>
      </c>
      <c r="R383" t="str">
        <f>_xlfn.XLOOKUP(Jnl[[#This Row],[Vehicle]],config_vehicle[Id], config_vehicle[Name],,0)</f>
        <v>米小易</v>
      </c>
      <c r="S383" t="str">
        <f>_xlfn.XLOOKUP(Jnl[[#This Row],[Division]],config_div[Id], config_div[Name],,0)</f>
        <v>水街店</v>
      </c>
      <c r="T383" t="str">
        <f>IF(Jnl[[#This Row],[TrxDate]]&lt;=stmt_BS_date_end, "In", "Out")</f>
        <v>In</v>
      </c>
      <c r="U383" t="str">
        <f>IF(Jnl[[#This Row],[TrxDate]]&lt;debug_date_start, "prior", IF(Jnl[[#This Row],[TrxDate]]&gt;debug_date_end, "post", "curr"))</f>
        <v>curr</v>
      </c>
    </row>
    <row r="384" spans="1:21" hidden="1">
      <c r="A384" s="39" t="s">
        <v>582</v>
      </c>
      <c r="B384" s="6">
        <f>_xlfn.XLOOKUP(Jnl[[#This Row],[TrxId]], Trx[Id], Trx[Date],,0)</f>
        <v>46053</v>
      </c>
      <c r="C384" s="6" t="str">
        <f>_xlfn.XLOOKUP(Jnl[[#This Row],[TrxId]], Trx[Id], Trx[Division],,0)</f>
        <v>Shuijie</v>
      </c>
      <c r="D384" s="6" t="str">
        <f>_xlfn.XLOOKUP(Jnl[[#This Row],[TrxId]], Trx[Id], Trx[Action],,0)</f>
        <v>餐饮</v>
      </c>
      <c r="E384" s="27" t="s">
        <v>84</v>
      </c>
      <c r="F384" s="10" t="s">
        <v>599</v>
      </c>
      <c r="G384" s="10" t="s">
        <v>600</v>
      </c>
      <c r="H384" s="37">
        <v>18780.21</v>
      </c>
      <c r="I384" s="11" t="b">
        <f>AND(Jnl[[#This Row],[TrxId]]&lt;&gt;"",Jnl[[#This Row],[Acct]]&lt;&gt;"",Jnl[[#This Row],[Item]]&lt;&gt;"",ISNUMBER(Jnl[[#This Row],[Bal]]))</f>
        <v>1</v>
      </c>
      <c r="J384" s="9">
        <f>IF(Jnl[[#This Row],[BSLv0]]="A",1,-1)*Jnl[[#This Row],[Bal]]</f>
        <v>18780.21</v>
      </c>
      <c r="K384" t="str">
        <f>_xlfn.XLOOKUP(Jnl[[#This Row],[Acct]], config_BS[Acct], config_BS[Lv0],,0)</f>
        <v>A</v>
      </c>
      <c r="L384" t="str">
        <f>_xlfn.XLOOKUP(Jnl[[#This Row],[Acct]], config_BS[Acct], config_BS[Lv1],,0)</f>
        <v>Assets</v>
      </c>
      <c r="M384" t="str">
        <f>_xlfn.XLOOKUP(Jnl[[#This Row],[Acct]], config_BS[Acct], config_BS[Lv2],,0)</f>
        <v>Rec-Pay</v>
      </c>
      <c r="N384" t="str">
        <f>_xlfn.XLOOKUP(Jnl[[#This Row],[TrxId]], Trx[Id], Trx[IncNode], ,0)</f>
        <v>Revenue</v>
      </c>
      <c r="O384" t="str">
        <f>_xlfn.XLOOKUP(Jnl[[#This Row],[IncNode]], config_IS[Node], config_IS[Type],,0)</f>
        <v>Op</v>
      </c>
      <c r="P384" t="str">
        <f>_xlfn.XLOOKUP(Jnl[[#This Row],[BSLv2]], dict[Key], dict[Name],,0)</f>
        <v>1.应收-应付</v>
      </c>
      <c r="Q384" t="str">
        <f>_xlfn.XLOOKUP(Jnl[[#This Row],[Acct]], dict[Key], dict[Name],,0)</f>
        <v>应收-一般</v>
      </c>
      <c r="R384" t="str">
        <f>_xlfn.XLOOKUP(Jnl[[#This Row],[Vehicle]],config_vehicle[Id], config_vehicle[Name],,0)</f>
        <v>米小易</v>
      </c>
      <c r="S384" t="str">
        <f>_xlfn.XLOOKUP(Jnl[[#This Row],[Division]],config_div[Id], config_div[Name],,0)</f>
        <v>水街店</v>
      </c>
      <c r="T384" t="str">
        <f>IF(Jnl[[#This Row],[TrxDate]]&lt;=stmt_BS_date_end, "In", "Out")</f>
        <v>In</v>
      </c>
      <c r="U384" t="str">
        <f>IF(Jnl[[#This Row],[TrxDate]]&lt;debug_date_start, "prior", IF(Jnl[[#This Row],[TrxDate]]&gt;debug_date_end, "post", "curr"))</f>
        <v>curr</v>
      </c>
    </row>
    <row r="385" spans="1:21" hidden="1">
      <c r="A385" s="39" t="s">
        <v>584</v>
      </c>
      <c r="B385" s="6">
        <f>_xlfn.XLOOKUP(Jnl[[#This Row],[TrxId]], Trx[Id], Trx[Date],,0)</f>
        <v>46053</v>
      </c>
      <c r="C385" s="6" t="str">
        <f>_xlfn.XLOOKUP(Jnl[[#This Row],[TrxId]], Trx[Id], Trx[Division],,0)</f>
        <v>Shuijie</v>
      </c>
      <c r="D385" s="6" t="str">
        <f>_xlfn.XLOOKUP(Jnl[[#This Row],[TrxId]], Trx[Id], Trx[Action],,0)</f>
        <v>增值税</v>
      </c>
      <c r="E385" s="27" t="s">
        <v>84</v>
      </c>
      <c r="F385" s="10" t="s">
        <v>130</v>
      </c>
      <c r="G385" s="10" t="s">
        <v>312</v>
      </c>
      <c r="H385" s="37">
        <v>4692.87</v>
      </c>
      <c r="I385" s="11" t="b">
        <f>AND(Jnl[[#This Row],[TrxId]]&lt;&gt;"",Jnl[[#This Row],[Acct]]&lt;&gt;"",Jnl[[#This Row],[Item]]&lt;&gt;"",ISNUMBER(Jnl[[#This Row],[Bal]]))</f>
        <v>1</v>
      </c>
      <c r="J385" s="9">
        <f>IF(Jnl[[#This Row],[BSLv0]]="A",1,-1)*Jnl[[#This Row],[Bal]]</f>
        <v>-4692.87</v>
      </c>
      <c r="K385" t="str">
        <f>_xlfn.XLOOKUP(Jnl[[#This Row],[Acct]], config_BS[Acct], config_BS[Lv0],,0)</f>
        <v>LC</v>
      </c>
      <c r="L385" t="str">
        <f>_xlfn.XLOOKUP(Jnl[[#This Row],[Acct]], config_BS[Acct], config_BS[Lv1],,0)</f>
        <v>Liability</v>
      </c>
      <c r="M385" t="str">
        <f>_xlfn.XLOOKUP(Jnl[[#This Row],[Acct]], config_BS[Acct], config_BS[Lv2],,0)</f>
        <v>Rec-Pay</v>
      </c>
      <c r="N385" t="str">
        <f>_xlfn.XLOOKUP(Jnl[[#This Row],[TrxId]], Trx[Id], Trx[IncNode], ,0)</f>
        <v>Cost</v>
      </c>
      <c r="O385" t="str">
        <f>_xlfn.XLOOKUP(Jnl[[#This Row],[IncNode]], config_IS[Node], config_IS[Type],,0)</f>
        <v>Op</v>
      </c>
      <c r="P385" t="str">
        <f>_xlfn.XLOOKUP(Jnl[[#This Row],[BSLv2]], dict[Key], dict[Name],,0)</f>
        <v>1.应收-应付</v>
      </c>
      <c r="Q385" t="str">
        <f>_xlfn.XLOOKUP(Jnl[[#This Row],[Acct]], dict[Key], dict[Name],,0)</f>
        <v>应付-税款</v>
      </c>
      <c r="R385" t="str">
        <f>_xlfn.XLOOKUP(Jnl[[#This Row],[Vehicle]],config_vehicle[Id], config_vehicle[Name],,0)</f>
        <v>米小易</v>
      </c>
      <c r="S385" t="str">
        <f>_xlfn.XLOOKUP(Jnl[[#This Row],[Division]],config_div[Id], config_div[Name],,0)</f>
        <v>水街店</v>
      </c>
      <c r="T385" t="str">
        <f>IF(Jnl[[#This Row],[TrxDate]]&lt;=stmt_BS_date_end, "In", "Out")</f>
        <v>In</v>
      </c>
      <c r="U385" t="str">
        <f>IF(Jnl[[#This Row],[TrxDate]]&lt;debug_date_start, "prior", IF(Jnl[[#This Row],[TrxDate]]&gt;debug_date_end, "post", "curr"))</f>
        <v>curr</v>
      </c>
    </row>
    <row r="386" spans="1:21" hidden="1">
      <c r="A386" s="39" t="s">
        <v>585</v>
      </c>
      <c r="B386" s="6">
        <f>_xlfn.XLOOKUP(Jnl[[#This Row],[TrxId]], Trx[Id], Trx[Date],,0)</f>
        <v>46053</v>
      </c>
      <c r="C386" s="6" t="str">
        <f>_xlfn.XLOOKUP(Jnl[[#This Row],[TrxId]], Trx[Id], Trx[Division],,0)</f>
        <v>Shuijie</v>
      </c>
      <c r="D386" s="6" t="str">
        <f>_xlfn.XLOOKUP(Jnl[[#This Row],[TrxId]], Trx[Id], Trx[Action],,0)</f>
        <v>平台费</v>
      </c>
      <c r="E386" s="27" t="s">
        <v>84</v>
      </c>
      <c r="F386" s="10" t="s">
        <v>115</v>
      </c>
      <c r="G386" s="10" t="s">
        <v>600</v>
      </c>
      <c r="H386" s="37">
        <f>-1777.9-13.81</f>
        <v>-1791.71</v>
      </c>
      <c r="I386" s="11" t="b">
        <f>AND(Jnl[[#This Row],[TrxId]]&lt;&gt;"",Jnl[[#This Row],[Acct]]&lt;&gt;"",Jnl[[#This Row],[Item]]&lt;&gt;"",ISNUMBER(Jnl[[#This Row],[Bal]]))</f>
        <v>1</v>
      </c>
      <c r="J386" s="9">
        <f>IF(Jnl[[#This Row],[BSLv0]]="A",1,-1)*Jnl[[#This Row],[Bal]]</f>
        <v>-1791.71</v>
      </c>
      <c r="K386" t="str">
        <f>_xlfn.XLOOKUP(Jnl[[#This Row],[Acct]], config_BS[Acct], config_BS[Lv0],,0)</f>
        <v>A</v>
      </c>
      <c r="L386" t="str">
        <f>_xlfn.XLOOKUP(Jnl[[#This Row],[Acct]], config_BS[Acct], config_BS[Lv1],,0)</f>
        <v>Assets</v>
      </c>
      <c r="M386" t="str">
        <f>_xlfn.XLOOKUP(Jnl[[#This Row],[Acct]], config_BS[Acct], config_BS[Lv2],,0)</f>
        <v>Rec-Pay</v>
      </c>
      <c r="N386" t="str">
        <f>_xlfn.XLOOKUP(Jnl[[#This Row],[TrxId]], Trx[Id], Trx[IncNode], ,0)</f>
        <v>Cost</v>
      </c>
      <c r="O386" t="str">
        <f>_xlfn.XLOOKUP(Jnl[[#This Row],[IncNode]], config_IS[Node], config_IS[Type],,0)</f>
        <v>Op</v>
      </c>
      <c r="P386" t="str">
        <f>_xlfn.XLOOKUP(Jnl[[#This Row],[BSLv2]], dict[Key], dict[Name],,0)</f>
        <v>1.应收-应付</v>
      </c>
      <c r="Q386" t="str">
        <f>_xlfn.XLOOKUP(Jnl[[#This Row],[Acct]], dict[Key], dict[Name],,0)</f>
        <v>应收-一般</v>
      </c>
      <c r="R386" t="str">
        <f>_xlfn.XLOOKUP(Jnl[[#This Row],[Vehicle]],config_vehicle[Id], config_vehicle[Name],,0)</f>
        <v>米小易</v>
      </c>
      <c r="S386" t="str">
        <f>_xlfn.XLOOKUP(Jnl[[#This Row],[Division]],config_div[Id], config_div[Name],,0)</f>
        <v>水街店</v>
      </c>
      <c r="T386" t="str">
        <f>IF(Jnl[[#This Row],[TrxDate]]&lt;=stmt_BS_date_end, "In", "Out")</f>
        <v>In</v>
      </c>
      <c r="U386" t="str">
        <f>IF(Jnl[[#This Row],[TrxDate]]&lt;debug_date_start, "prior", IF(Jnl[[#This Row],[TrxDate]]&gt;debug_date_end, "post", "curr"))</f>
        <v>curr</v>
      </c>
    </row>
    <row r="387" spans="1:21" hidden="1">
      <c r="A387" s="39" t="s">
        <v>587</v>
      </c>
      <c r="B387" s="6">
        <f>_xlfn.XLOOKUP(Jnl[[#This Row],[TrxId]], Trx[Id], Trx[Date],,0)</f>
        <v>46053</v>
      </c>
      <c r="C387" s="6" t="str">
        <f>_xlfn.XLOOKUP(Jnl[[#This Row],[TrxId]], Trx[Id], Trx[Division],,0)</f>
        <v>Shuijie</v>
      </c>
      <c r="D387" s="6" t="str">
        <f>_xlfn.XLOOKUP(Jnl[[#This Row],[TrxId]], Trx[Id], Trx[Action],,0)</f>
        <v>餐饮</v>
      </c>
      <c r="E387" s="27" t="s">
        <v>84</v>
      </c>
      <c r="F387" s="10" t="s">
        <v>115</v>
      </c>
      <c r="G387" s="10" t="s">
        <v>600</v>
      </c>
      <c r="H387" s="37">
        <f>1777.9+13.81</f>
        <v>1791.71</v>
      </c>
      <c r="I387" s="11" t="b">
        <f>AND(Jnl[[#This Row],[TrxId]]&lt;&gt;"",Jnl[[#This Row],[Acct]]&lt;&gt;"",Jnl[[#This Row],[Item]]&lt;&gt;"",ISNUMBER(Jnl[[#This Row],[Bal]]))</f>
        <v>1</v>
      </c>
      <c r="J387" s="9">
        <f>IF(Jnl[[#This Row],[BSLv0]]="A",1,-1)*Jnl[[#This Row],[Bal]]</f>
        <v>1791.71</v>
      </c>
      <c r="K387" t="str">
        <f>_xlfn.XLOOKUP(Jnl[[#This Row],[Acct]], config_BS[Acct], config_BS[Lv0],,0)</f>
        <v>A</v>
      </c>
      <c r="L387" t="str">
        <f>_xlfn.XLOOKUP(Jnl[[#This Row],[Acct]], config_BS[Acct], config_BS[Lv1],,0)</f>
        <v>Assets</v>
      </c>
      <c r="M387" t="str">
        <f>_xlfn.XLOOKUP(Jnl[[#This Row],[Acct]], config_BS[Acct], config_BS[Lv2],,0)</f>
        <v>Rec-Pay</v>
      </c>
      <c r="N387" t="str">
        <f>_xlfn.XLOOKUP(Jnl[[#This Row],[TrxId]], Trx[Id], Trx[IncNode], ,0)</f>
        <v>Revenue</v>
      </c>
      <c r="O387" t="str">
        <f>_xlfn.XLOOKUP(Jnl[[#This Row],[IncNode]], config_IS[Node], config_IS[Type],,0)</f>
        <v>Op</v>
      </c>
      <c r="P387" t="str">
        <f>_xlfn.XLOOKUP(Jnl[[#This Row],[BSLv2]], dict[Key], dict[Name],,0)</f>
        <v>1.应收-应付</v>
      </c>
      <c r="Q387" t="str">
        <f>_xlfn.XLOOKUP(Jnl[[#This Row],[Acct]], dict[Key], dict[Name],,0)</f>
        <v>应收-一般</v>
      </c>
      <c r="R387" t="str">
        <f>_xlfn.XLOOKUP(Jnl[[#This Row],[Vehicle]],config_vehicle[Id], config_vehicle[Name],,0)</f>
        <v>米小易</v>
      </c>
      <c r="S387" t="str">
        <f>_xlfn.XLOOKUP(Jnl[[#This Row],[Division]],config_div[Id], config_div[Name],,0)</f>
        <v>水街店</v>
      </c>
      <c r="T387" t="str">
        <f>IF(Jnl[[#This Row],[TrxDate]]&lt;=stmt_BS_date_end, "In", "Out")</f>
        <v>In</v>
      </c>
      <c r="U387" t="str">
        <f>IF(Jnl[[#This Row],[TrxDate]]&lt;debug_date_start, "prior", IF(Jnl[[#This Row],[TrxDate]]&gt;debug_date_end, "post", "curr"))</f>
        <v>curr</v>
      </c>
    </row>
    <row r="388" spans="1:21" hidden="1">
      <c r="A388" s="39" t="s">
        <v>588</v>
      </c>
      <c r="B388" s="6">
        <f>_xlfn.XLOOKUP(Jnl[[#This Row],[TrxId]], Trx[Id], Trx[Date],,0)</f>
        <v>46053</v>
      </c>
      <c r="C388" s="6" t="str">
        <f>_xlfn.XLOOKUP(Jnl[[#This Row],[TrxId]], Trx[Id], Trx[Division],,0)</f>
        <v>Shuijie</v>
      </c>
      <c r="D388" s="6" t="str">
        <f>_xlfn.XLOOKUP(Jnl[[#This Row],[TrxId]], Trx[Id], Trx[Action],,0)</f>
        <v>成本结转</v>
      </c>
      <c r="E388" s="27" t="s">
        <v>84</v>
      </c>
      <c r="F388" s="10" t="s">
        <v>604</v>
      </c>
      <c r="G388" s="10" t="s">
        <v>155</v>
      </c>
      <c r="H388" s="37">
        <v>-2048.5</v>
      </c>
      <c r="I388" s="11" t="b">
        <f>AND(Jnl[[#This Row],[TrxId]]&lt;&gt;"",Jnl[[#This Row],[Acct]]&lt;&gt;"",Jnl[[#This Row],[Item]]&lt;&gt;"",ISNUMBER(Jnl[[#This Row],[Bal]]))</f>
        <v>1</v>
      </c>
      <c r="J388" s="9">
        <f>IF(Jnl[[#This Row],[BSLv0]]="A",1,-1)*Jnl[[#This Row],[Bal]]</f>
        <v>-2048.5</v>
      </c>
      <c r="K388" t="str">
        <f>_xlfn.XLOOKUP(Jnl[[#This Row],[Acct]], config_BS[Acct], config_BS[Lv0],,0)</f>
        <v>A</v>
      </c>
      <c r="L388" t="str">
        <f>_xlfn.XLOOKUP(Jnl[[#This Row],[Acct]], config_BS[Acct], config_BS[Lv1],,0)</f>
        <v>Assets</v>
      </c>
      <c r="M388" t="str">
        <f>_xlfn.XLOOKUP(Jnl[[#This Row],[Acct]], config_BS[Acct], config_BS[Lv2],,0)</f>
        <v>Invtr</v>
      </c>
      <c r="N388" t="str">
        <f>_xlfn.XLOOKUP(Jnl[[#This Row],[TrxId]], Trx[Id], Trx[IncNode], ,0)</f>
        <v>Cost</v>
      </c>
      <c r="O388" t="str">
        <f>_xlfn.XLOOKUP(Jnl[[#This Row],[IncNode]], config_IS[Node], config_IS[Type],,0)</f>
        <v>Op</v>
      </c>
      <c r="P388" t="str">
        <f>_xlfn.XLOOKUP(Jnl[[#This Row],[BSLv2]], dict[Key], dict[Name],,0)</f>
        <v>3.库存占款</v>
      </c>
      <c r="Q388" t="str">
        <f>_xlfn.XLOOKUP(Jnl[[#This Row],[Acct]], dict[Key], dict[Name],,0)</f>
        <v>当期存货</v>
      </c>
      <c r="R388" t="str">
        <f>_xlfn.XLOOKUP(Jnl[[#This Row],[Vehicle]],config_vehicle[Id], config_vehicle[Name],,0)</f>
        <v>米小易</v>
      </c>
      <c r="S388" t="str">
        <f>_xlfn.XLOOKUP(Jnl[[#This Row],[Division]],config_div[Id], config_div[Name],,0)</f>
        <v>水街店</v>
      </c>
      <c r="T388" t="str">
        <f>IF(Jnl[[#This Row],[TrxDate]]&lt;=stmt_BS_date_end, "In", "Out")</f>
        <v>In</v>
      </c>
      <c r="U388" t="str">
        <f>IF(Jnl[[#This Row],[TrxDate]]&lt;debug_date_start, "prior", IF(Jnl[[#This Row],[TrxDate]]&gt;debug_date_end, "post", "curr"))</f>
        <v>curr</v>
      </c>
    </row>
    <row r="389" spans="1:21" hidden="1">
      <c r="A389" s="39" t="s">
        <v>589</v>
      </c>
      <c r="B389" s="6">
        <f>_xlfn.XLOOKUP(Jnl[[#This Row],[TrxId]], Trx[Id], Trx[Date],,0)</f>
        <v>46053</v>
      </c>
      <c r="C389" s="6" t="str">
        <f>_xlfn.XLOOKUP(Jnl[[#This Row],[TrxId]], Trx[Id], Trx[Division],,0)</f>
        <v>GM</v>
      </c>
      <c r="D389" s="6" t="str">
        <f>_xlfn.XLOOKUP(Jnl[[#This Row],[TrxId]], Trx[Id], Trx[Action],,0)</f>
        <v>薪酬-工资</v>
      </c>
      <c r="E389" s="27" t="s">
        <v>84</v>
      </c>
      <c r="F389" s="10" t="s">
        <v>602</v>
      </c>
      <c r="G389" s="10" t="s">
        <v>152</v>
      </c>
      <c r="H389" s="37">
        <v>10923.39</v>
      </c>
      <c r="I389" s="11" t="b">
        <f>AND(Jnl[[#This Row],[TrxId]]&lt;&gt;"",Jnl[[#This Row],[Acct]]&lt;&gt;"",Jnl[[#This Row],[Item]]&lt;&gt;"",ISNUMBER(Jnl[[#This Row],[Bal]]))</f>
        <v>1</v>
      </c>
      <c r="J389" s="9">
        <f>IF(Jnl[[#This Row],[BSLv0]]="A",1,-1)*Jnl[[#This Row],[Bal]]</f>
        <v>-10923.39</v>
      </c>
      <c r="K389" t="str">
        <f>_xlfn.XLOOKUP(Jnl[[#This Row],[Acct]], config_BS[Acct], config_BS[Lv0],,0)</f>
        <v>LC</v>
      </c>
      <c r="L389" t="str">
        <f>_xlfn.XLOOKUP(Jnl[[#This Row],[Acct]], config_BS[Acct], config_BS[Lv1],,0)</f>
        <v>Liability</v>
      </c>
      <c r="M389" t="str">
        <f>_xlfn.XLOOKUP(Jnl[[#This Row],[Acct]], config_BS[Acct], config_BS[Lv2],,0)</f>
        <v>Rec-Pay</v>
      </c>
      <c r="N389" t="str">
        <f>_xlfn.XLOOKUP(Jnl[[#This Row],[TrxId]], Trx[Id], Trx[IncNode], ,0)</f>
        <v>Expense</v>
      </c>
      <c r="O389" t="str">
        <f>_xlfn.XLOOKUP(Jnl[[#This Row],[IncNode]], config_IS[Node], config_IS[Type],,0)</f>
        <v>Op</v>
      </c>
      <c r="P389" t="str">
        <f>_xlfn.XLOOKUP(Jnl[[#This Row],[BSLv2]], dict[Key], dict[Name],,0)</f>
        <v>1.应收-应付</v>
      </c>
      <c r="Q389" t="str">
        <f>_xlfn.XLOOKUP(Jnl[[#This Row],[Acct]], dict[Key], dict[Name],,0)</f>
        <v>应付-薪资</v>
      </c>
      <c r="R389" t="str">
        <f>_xlfn.XLOOKUP(Jnl[[#This Row],[Vehicle]],config_vehicle[Id], config_vehicle[Name],,0)</f>
        <v>米小易</v>
      </c>
      <c r="S389" t="str">
        <f>_xlfn.XLOOKUP(Jnl[[#This Row],[Division]],config_div[Id], config_div[Name],,0)</f>
        <v>综合管理</v>
      </c>
      <c r="T389" t="str">
        <f>IF(Jnl[[#This Row],[TrxDate]]&lt;=stmt_BS_date_end, "In", "Out")</f>
        <v>In</v>
      </c>
      <c r="U389" t="str">
        <f>IF(Jnl[[#This Row],[TrxDate]]&lt;debug_date_start, "prior", IF(Jnl[[#This Row],[TrxDate]]&gt;debug_date_end, "post", "curr"))</f>
        <v>curr</v>
      </c>
    </row>
    <row r="390" spans="1:21" hidden="1">
      <c r="A390" t="s">
        <v>1350</v>
      </c>
      <c r="B390" s="6">
        <f>_xlfn.XLOOKUP(Jnl[[#This Row],[TrxId]], Trx[Id], Trx[Date],,0)</f>
        <v>46053</v>
      </c>
      <c r="C390" s="6" t="str">
        <f>_xlfn.XLOOKUP(Jnl[[#This Row],[TrxId]], Trx[Id], Trx[Division],,0)</f>
        <v>Shuijie</v>
      </c>
      <c r="D390" s="6" t="str">
        <f>_xlfn.XLOOKUP(Jnl[[#This Row],[TrxId]], Trx[Id], Trx[Action],,0)</f>
        <v>薪酬-工资</v>
      </c>
      <c r="E390" s="27" t="s">
        <v>84</v>
      </c>
      <c r="F390" s="10" t="s">
        <v>602</v>
      </c>
      <c r="G390" s="10" t="s">
        <v>152</v>
      </c>
      <c r="H390" s="93">
        <v>135867.84</v>
      </c>
      <c r="I390" s="11" t="b">
        <f>AND(Jnl[[#This Row],[TrxId]]&lt;&gt;"",Jnl[[#This Row],[Acct]]&lt;&gt;"",Jnl[[#This Row],[Item]]&lt;&gt;"",ISNUMBER(Jnl[[#This Row],[Bal]]))</f>
        <v>1</v>
      </c>
      <c r="J390" s="94">
        <f>IF(Jnl[[#This Row],[BSLv0]]="A",1,-1)*Jnl[[#This Row],[Bal]]</f>
        <v>-135867.84</v>
      </c>
      <c r="K390" t="str">
        <f>_xlfn.XLOOKUP(Jnl[[#This Row],[Acct]], config_BS[Acct], config_BS[Lv0],,0)</f>
        <v>LC</v>
      </c>
      <c r="L390" t="str">
        <f>_xlfn.XLOOKUP(Jnl[[#This Row],[Acct]], config_BS[Acct], config_BS[Lv1],,0)</f>
        <v>Liability</v>
      </c>
      <c r="M390" t="str">
        <f>_xlfn.XLOOKUP(Jnl[[#This Row],[Acct]], config_BS[Acct], config_BS[Lv2],,0)</f>
        <v>Rec-Pay</v>
      </c>
      <c r="N390" t="str">
        <f>_xlfn.XLOOKUP(Jnl[[#This Row],[TrxId]], Trx[Id], Trx[IncNode], ,0)</f>
        <v>Expense</v>
      </c>
      <c r="O390" t="str">
        <f>_xlfn.XLOOKUP(Jnl[[#This Row],[IncNode]], config_IS[Node], config_IS[Type],,0)</f>
        <v>Op</v>
      </c>
      <c r="P390" s="95" t="str">
        <f>_xlfn.XLOOKUP(Jnl[[#This Row],[BSLv2]], dict[Key], dict[Name],,0)</f>
        <v>1.应收-应付</v>
      </c>
      <c r="Q390" s="95" t="str">
        <f>_xlfn.XLOOKUP(Jnl[[#This Row],[Acct]], dict[Key], dict[Name],,0)</f>
        <v>应付-薪资</v>
      </c>
      <c r="R390" s="95" t="str">
        <f>_xlfn.XLOOKUP(Jnl[[#This Row],[Vehicle]],config_vehicle[Id], config_vehicle[Name],,0)</f>
        <v>米小易</v>
      </c>
      <c r="S390" s="95" t="str">
        <f>_xlfn.XLOOKUP(Jnl[[#This Row],[Division]],config_div[Id], config_div[Name],,0)</f>
        <v>水街店</v>
      </c>
      <c r="T390" s="95" t="str">
        <f>IF(Jnl[[#This Row],[TrxDate]]&lt;=stmt_BS_date_end, "In", "Out")</f>
        <v>In</v>
      </c>
      <c r="U390" s="95" t="str">
        <f>IF(Jnl[[#This Row],[TrxDate]]&lt;debug_date_start, "prior", IF(Jnl[[#This Row],[TrxDate]]&gt;debug_date_end, "post", "curr"))</f>
        <v>curr</v>
      </c>
    </row>
    <row r="391" spans="1:21" hidden="1">
      <c r="A391" s="39" t="s">
        <v>591</v>
      </c>
      <c r="B391" s="6">
        <f>_xlfn.XLOOKUP(Jnl[[#This Row],[TrxId]], Trx[Id], Trx[Date],,0)</f>
        <v>46053</v>
      </c>
      <c r="C391" s="6" t="str">
        <f>_xlfn.XLOOKUP(Jnl[[#This Row],[TrxId]], Trx[Id], Trx[Division],,0)</f>
        <v>Ctrl</v>
      </c>
      <c r="D391" s="6" t="str">
        <f>_xlfn.XLOOKUP(Jnl[[#This Row],[TrxId]], Trx[Id], Trx[Action],,0)</f>
        <v>计提税金</v>
      </c>
      <c r="E391" s="27" t="s">
        <v>84</v>
      </c>
      <c r="F391" s="10" t="s">
        <v>130</v>
      </c>
      <c r="G391" s="10" t="s">
        <v>353</v>
      </c>
      <c r="H391" s="37">
        <v>281.69</v>
      </c>
      <c r="I391" s="11" t="b">
        <f>AND(Jnl[[#This Row],[TrxId]]&lt;&gt;"",Jnl[[#This Row],[Acct]]&lt;&gt;"",Jnl[[#This Row],[Item]]&lt;&gt;"",ISNUMBER(Jnl[[#This Row],[Bal]]))</f>
        <v>1</v>
      </c>
      <c r="J391" s="9">
        <f>IF(Jnl[[#This Row],[BSLv0]]="A",1,-1)*Jnl[[#This Row],[Bal]]</f>
        <v>-281.69</v>
      </c>
      <c r="K391" t="str">
        <f>_xlfn.XLOOKUP(Jnl[[#This Row],[Acct]], config_BS[Acct], config_BS[Lv0],,0)</f>
        <v>LC</v>
      </c>
      <c r="L391" t="str">
        <f>_xlfn.XLOOKUP(Jnl[[#This Row],[Acct]], config_BS[Acct], config_BS[Lv1],,0)</f>
        <v>Liability</v>
      </c>
      <c r="M391" t="str">
        <f>_xlfn.XLOOKUP(Jnl[[#This Row],[Acct]], config_BS[Acct], config_BS[Lv2],,0)</f>
        <v>Rec-Pay</v>
      </c>
      <c r="N391" t="str">
        <f>_xlfn.XLOOKUP(Jnl[[#This Row],[TrxId]], Trx[Id], Trx[IncNode], ,0)</f>
        <v>Expense</v>
      </c>
      <c r="O391" t="str">
        <f>_xlfn.XLOOKUP(Jnl[[#This Row],[IncNode]], config_IS[Node], config_IS[Type],,0)</f>
        <v>Op</v>
      </c>
      <c r="P391" t="str">
        <f>_xlfn.XLOOKUP(Jnl[[#This Row],[BSLv2]], dict[Key], dict[Name],,0)</f>
        <v>1.应收-应付</v>
      </c>
      <c r="Q391" t="str">
        <f>_xlfn.XLOOKUP(Jnl[[#This Row],[Acct]], dict[Key], dict[Name],,0)</f>
        <v>应付-税款</v>
      </c>
      <c r="R391" t="str">
        <f>_xlfn.XLOOKUP(Jnl[[#This Row],[Vehicle]],config_vehicle[Id], config_vehicle[Name],,0)</f>
        <v>米小易</v>
      </c>
      <c r="S391" t="str">
        <f>_xlfn.XLOOKUP(Jnl[[#This Row],[Division]],config_div[Id], config_div[Name],,0)</f>
        <v>内控合规</v>
      </c>
      <c r="T391" t="str">
        <f>IF(Jnl[[#This Row],[TrxDate]]&lt;=stmt_BS_date_end, "In", "Out")</f>
        <v>In</v>
      </c>
      <c r="U391" t="str">
        <f>IF(Jnl[[#This Row],[TrxDate]]&lt;debug_date_start, "prior", IF(Jnl[[#This Row],[TrxDate]]&gt;debug_date_end, "post", "curr"))</f>
        <v>curr</v>
      </c>
    </row>
    <row r="392" spans="1:21" hidden="1">
      <c r="A392" s="39" t="s">
        <v>591</v>
      </c>
      <c r="B392" s="6">
        <f>_xlfn.XLOOKUP(Jnl[[#This Row],[TrxId]], Trx[Id], Trx[Date],,0)</f>
        <v>46053</v>
      </c>
      <c r="C392" s="6" t="str">
        <f>_xlfn.XLOOKUP(Jnl[[#This Row],[TrxId]], Trx[Id], Trx[Division],,0)</f>
        <v>Ctrl</v>
      </c>
      <c r="D392" s="6" t="str">
        <f>_xlfn.XLOOKUP(Jnl[[#This Row],[TrxId]], Trx[Id], Trx[Action],,0)</f>
        <v>计提税金</v>
      </c>
      <c r="E392" s="27" t="s">
        <v>84</v>
      </c>
      <c r="F392" s="10" t="s">
        <v>130</v>
      </c>
      <c r="G392" s="10" t="s">
        <v>354</v>
      </c>
      <c r="H392" s="37">
        <v>22.66</v>
      </c>
      <c r="I392" s="11" t="b">
        <f>AND(Jnl[[#This Row],[TrxId]]&lt;&gt;"",Jnl[[#This Row],[Acct]]&lt;&gt;"",Jnl[[#This Row],[Item]]&lt;&gt;"",ISNUMBER(Jnl[[#This Row],[Bal]]))</f>
        <v>1</v>
      </c>
      <c r="J392" s="9">
        <f>IF(Jnl[[#This Row],[BSLv0]]="A",1,-1)*Jnl[[#This Row],[Bal]]</f>
        <v>-22.66</v>
      </c>
      <c r="K392" t="str">
        <f>_xlfn.XLOOKUP(Jnl[[#This Row],[Acct]], config_BS[Acct], config_BS[Lv0],,0)</f>
        <v>LC</v>
      </c>
      <c r="L392" t="str">
        <f>_xlfn.XLOOKUP(Jnl[[#This Row],[Acct]], config_BS[Acct], config_BS[Lv1],,0)</f>
        <v>Liability</v>
      </c>
      <c r="M392" t="str">
        <f>_xlfn.XLOOKUP(Jnl[[#This Row],[Acct]], config_BS[Acct], config_BS[Lv2],,0)</f>
        <v>Rec-Pay</v>
      </c>
      <c r="N392" t="str">
        <f>_xlfn.XLOOKUP(Jnl[[#This Row],[TrxId]], Trx[Id], Trx[IncNode], ,0)</f>
        <v>Expense</v>
      </c>
      <c r="O392" t="str">
        <f>_xlfn.XLOOKUP(Jnl[[#This Row],[IncNode]], config_IS[Node], config_IS[Type],,0)</f>
        <v>Op</v>
      </c>
      <c r="P392" t="str">
        <f>_xlfn.XLOOKUP(Jnl[[#This Row],[BSLv2]], dict[Key], dict[Name],,0)</f>
        <v>1.应收-应付</v>
      </c>
      <c r="Q392" t="str">
        <f>_xlfn.XLOOKUP(Jnl[[#This Row],[Acct]], dict[Key], dict[Name],,0)</f>
        <v>应付-税款</v>
      </c>
      <c r="R392" t="str">
        <f>_xlfn.XLOOKUP(Jnl[[#This Row],[Vehicle]],config_vehicle[Id], config_vehicle[Name],,0)</f>
        <v>米小易</v>
      </c>
      <c r="S392" t="str">
        <f>_xlfn.XLOOKUP(Jnl[[#This Row],[Division]],config_div[Id], config_div[Name],,0)</f>
        <v>内控合规</v>
      </c>
      <c r="T392" t="str">
        <f>IF(Jnl[[#This Row],[TrxDate]]&lt;=stmt_BS_date_end, "In", "Out")</f>
        <v>In</v>
      </c>
      <c r="U392" t="str">
        <f>IF(Jnl[[#This Row],[TrxDate]]&lt;debug_date_start, "prior", IF(Jnl[[#This Row],[TrxDate]]&gt;debug_date_end, "post", "curr"))</f>
        <v>curr</v>
      </c>
    </row>
    <row r="393" spans="1:21" hidden="1">
      <c r="A393" s="39" t="s">
        <v>591</v>
      </c>
      <c r="B393" s="6">
        <f>_xlfn.XLOOKUP(Jnl[[#This Row],[TrxId]], Trx[Id], Trx[Date],,0)</f>
        <v>46053</v>
      </c>
      <c r="C393" s="6" t="str">
        <f>_xlfn.XLOOKUP(Jnl[[#This Row],[TrxId]], Trx[Id], Trx[Division],,0)</f>
        <v>Ctrl</v>
      </c>
      <c r="D393" s="6" t="str">
        <f>_xlfn.XLOOKUP(Jnl[[#This Row],[TrxId]], Trx[Id], Trx[Action],,0)</f>
        <v>计提税金</v>
      </c>
      <c r="E393" s="27" t="s">
        <v>84</v>
      </c>
      <c r="F393" s="10" t="s">
        <v>130</v>
      </c>
      <c r="G393" s="10" t="s">
        <v>352</v>
      </c>
      <c r="H393" s="37">
        <v>1388.48</v>
      </c>
      <c r="I393" s="11" t="b">
        <f>AND(Jnl[[#This Row],[TrxId]]&lt;&gt;"",Jnl[[#This Row],[Acct]]&lt;&gt;"",Jnl[[#This Row],[Item]]&lt;&gt;"",ISNUMBER(Jnl[[#This Row],[Bal]]))</f>
        <v>1</v>
      </c>
      <c r="J393" s="9">
        <f>IF(Jnl[[#This Row],[BSLv0]]="A",1,-1)*Jnl[[#This Row],[Bal]]</f>
        <v>-1388.48</v>
      </c>
      <c r="K393" t="str">
        <f>_xlfn.XLOOKUP(Jnl[[#This Row],[Acct]], config_BS[Acct], config_BS[Lv0],,0)</f>
        <v>LC</v>
      </c>
      <c r="L393" t="str">
        <f>_xlfn.XLOOKUP(Jnl[[#This Row],[Acct]], config_BS[Acct], config_BS[Lv1],,0)</f>
        <v>Liability</v>
      </c>
      <c r="M393" t="str">
        <f>_xlfn.XLOOKUP(Jnl[[#This Row],[Acct]], config_BS[Acct], config_BS[Lv2],,0)</f>
        <v>Rec-Pay</v>
      </c>
      <c r="N393" t="str">
        <f>_xlfn.XLOOKUP(Jnl[[#This Row],[TrxId]], Trx[Id], Trx[IncNode], ,0)</f>
        <v>Expense</v>
      </c>
      <c r="O393" t="str">
        <f>_xlfn.XLOOKUP(Jnl[[#This Row],[IncNode]], config_IS[Node], config_IS[Type],,0)</f>
        <v>Op</v>
      </c>
      <c r="P393" t="str">
        <f>_xlfn.XLOOKUP(Jnl[[#This Row],[BSLv2]], dict[Key], dict[Name],,0)</f>
        <v>1.应收-应付</v>
      </c>
      <c r="Q393" t="str">
        <f>_xlfn.XLOOKUP(Jnl[[#This Row],[Acct]], dict[Key], dict[Name],,0)</f>
        <v>应付-税款</v>
      </c>
      <c r="R393" t="str">
        <f>_xlfn.XLOOKUP(Jnl[[#This Row],[Vehicle]],config_vehicle[Id], config_vehicle[Name],,0)</f>
        <v>米小易</v>
      </c>
      <c r="S393" t="str">
        <f>_xlfn.XLOOKUP(Jnl[[#This Row],[Division]],config_div[Id], config_div[Name],,0)</f>
        <v>内控合规</v>
      </c>
      <c r="T393" t="str">
        <f>IF(Jnl[[#This Row],[TrxDate]]&lt;=stmt_BS_date_end, "In", "Out")</f>
        <v>In</v>
      </c>
      <c r="U393" t="str">
        <f>IF(Jnl[[#This Row],[TrxDate]]&lt;debug_date_start, "prior", IF(Jnl[[#This Row],[TrxDate]]&gt;debug_date_end, "post", "curr"))</f>
        <v>curr</v>
      </c>
    </row>
    <row r="394" spans="1:21" hidden="1">
      <c r="A394" s="39" t="s">
        <v>592</v>
      </c>
      <c r="B394" s="6">
        <f>_xlfn.XLOOKUP(Jnl[[#This Row],[TrxId]], Trx[Id], Trx[Date],,0)</f>
        <v>46053</v>
      </c>
      <c r="C394" s="6" t="str">
        <f>_xlfn.XLOOKUP(Jnl[[#This Row],[TrxId]], Trx[Id], Trx[Division],,0)</f>
        <v>GM</v>
      </c>
      <c r="D394" s="6" t="str">
        <f>_xlfn.XLOOKUP(Jnl[[#This Row],[TrxId]], Trx[Id], Trx[Action],,0)</f>
        <v>年终奖</v>
      </c>
      <c r="E394" s="27" t="s">
        <v>84</v>
      </c>
      <c r="F394" s="10" t="s">
        <v>602</v>
      </c>
      <c r="G394" s="10" t="s">
        <v>323</v>
      </c>
      <c r="H394" s="37">
        <v>88450.01</v>
      </c>
      <c r="I394" s="11" t="b">
        <f>AND(Jnl[[#This Row],[TrxId]]&lt;&gt;"",Jnl[[#This Row],[Acct]]&lt;&gt;"",Jnl[[#This Row],[Item]]&lt;&gt;"",ISNUMBER(Jnl[[#This Row],[Bal]]))</f>
        <v>1</v>
      </c>
      <c r="J394" s="9">
        <f>IF(Jnl[[#This Row],[BSLv0]]="A",1,-1)*Jnl[[#This Row],[Bal]]</f>
        <v>-88450.01</v>
      </c>
      <c r="K394" t="str">
        <f>_xlfn.XLOOKUP(Jnl[[#This Row],[Acct]], config_BS[Acct], config_BS[Lv0],,0)</f>
        <v>LC</v>
      </c>
      <c r="L394" t="str">
        <f>_xlfn.XLOOKUP(Jnl[[#This Row],[Acct]], config_BS[Acct], config_BS[Lv1],,0)</f>
        <v>Liability</v>
      </c>
      <c r="M394" t="str">
        <f>_xlfn.XLOOKUP(Jnl[[#This Row],[Acct]], config_BS[Acct], config_BS[Lv2],,0)</f>
        <v>Rec-Pay</v>
      </c>
      <c r="N394" t="str">
        <f>_xlfn.XLOOKUP(Jnl[[#This Row],[TrxId]], Trx[Id], Trx[IncNode], ,0)</f>
        <v>Discretion</v>
      </c>
      <c r="O394" t="str">
        <f>_xlfn.XLOOKUP(Jnl[[#This Row],[IncNode]], config_IS[Node], config_IS[Type],,0)</f>
        <v>Non-Op</v>
      </c>
      <c r="P394" t="str">
        <f>_xlfn.XLOOKUP(Jnl[[#This Row],[BSLv2]], dict[Key], dict[Name],,0)</f>
        <v>1.应收-应付</v>
      </c>
      <c r="Q394" t="str">
        <f>_xlfn.XLOOKUP(Jnl[[#This Row],[Acct]], dict[Key], dict[Name],,0)</f>
        <v>应付-薪资</v>
      </c>
      <c r="R394" t="str">
        <f>_xlfn.XLOOKUP(Jnl[[#This Row],[Vehicle]],config_vehicle[Id], config_vehicle[Name],,0)</f>
        <v>米小易</v>
      </c>
      <c r="S394" t="str">
        <f>_xlfn.XLOOKUP(Jnl[[#This Row],[Division]],config_div[Id], config_div[Name],,0)</f>
        <v>综合管理</v>
      </c>
      <c r="T394" t="str">
        <f>IF(Jnl[[#This Row],[TrxDate]]&lt;=stmt_BS_date_end, "In", "Out")</f>
        <v>In</v>
      </c>
      <c r="U394" t="str">
        <f>IF(Jnl[[#This Row],[TrxDate]]&lt;debug_date_start, "prior", IF(Jnl[[#This Row],[TrxDate]]&gt;debug_date_end, "post", "curr"))</f>
        <v>curr</v>
      </c>
    </row>
    <row r="395" spans="1:21" hidden="1">
      <c r="A395" s="39" t="s">
        <v>593</v>
      </c>
      <c r="B395" s="6">
        <f>_xlfn.XLOOKUP(Jnl[[#This Row],[TrxId]], Trx[Id], Trx[Date],,0)</f>
        <v>46053</v>
      </c>
      <c r="C395" s="6" t="str">
        <f>_xlfn.XLOOKUP(Jnl[[#This Row],[TrxId]], Trx[Id], Trx[Division],,0)</f>
        <v>Shuijie</v>
      </c>
      <c r="D395" s="6" t="str">
        <f>_xlfn.XLOOKUP(Jnl[[#This Row],[TrxId]], Trx[Id], Trx[Action],,0)</f>
        <v>收款</v>
      </c>
      <c r="E395" s="27" t="s">
        <v>83</v>
      </c>
      <c r="F395" s="10" t="s">
        <v>599</v>
      </c>
      <c r="G395" s="10" t="s">
        <v>600</v>
      </c>
      <c r="H395" s="37">
        <v>-18526.13</v>
      </c>
      <c r="I395" s="11" t="b">
        <f>AND(Jnl[[#This Row],[TrxId]]&lt;&gt;"",Jnl[[#This Row],[Acct]]&lt;&gt;"",Jnl[[#This Row],[Item]]&lt;&gt;"",ISNUMBER(Jnl[[#This Row],[Bal]]))</f>
        <v>1</v>
      </c>
      <c r="J395" s="9">
        <f>IF(Jnl[[#This Row],[BSLv0]]="A",1,-1)*Jnl[[#This Row],[Bal]]</f>
        <v>-18526.13</v>
      </c>
      <c r="K395" t="str">
        <f>_xlfn.XLOOKUP(Jnl[[#This Row],[Acct]], config_BS[Acct], config_BS[Lv0],,0)</f>
        <v>A</v>
      </c>
      <c r="L395" t="str">
        <f>_xlfn.XLOOKUP(Jnl[[#This Row],[Acct]], config_BS[Acct], config_BS[Lv1],,0)</f>
        <v>Assets</v>
      </c>
      <c r="M395" t="str">
        <f>_xlfn.XLOOKUP(Jnl[[#This Row],[Acct]], config_BS[Acct], config_BS[Lv2],,0)</f>
        <v>Rec-Pay</v>
      </c>
      <c r="N395" t="str">
        <f>_xlfn.XLOOKUP(Jnl[[#This Row],[TrxId]], Trx[Id], Trx[IncNode], ,0)</f>
        <v>Revenue</v>
      </c>
      <c r="O395" t="str">
        <f>_xlfn.XLOOKUP(Jnl[[#This Row],[IncNode]], config_IS[Node], config_IS[Type],,0)</f>
        <v>Op</v>
      </c>
      <c r="P395" t="str">
        <f>_xlfn.XLOOKUP(Jnl[[#This Row],[BSLv2]], dict[Key], dict[Name],,0)</f>
        <v>1.应收-应付</v>
      </c>
      <c r="Q395" t="str">
        <f>_xlfn.XLOOKUP(Jnl[[#This Row],[Acct]], dict[Key], dict[Name],,0)</f>
        <v>应收-一般</v>
      </c>
      <c r="R395" t="str">
        <f>_xlfn.XLOOKUP(Jnl[[#This Row],[Vehicle]],config_vehicle[Id], config_vehicle[Name],,0)</f>
        <v>喜家文化</v>
      </c>
      <c r="S395" t="str">
        <f>_xlfn.XLOOKUP(Jnl[[#This Row],[Division]],config_div[Id], config_div[Name],,0)</f>
        <v>水街店</v>
      </c>
      <c r="T395" t="str">
        <f>IF(Jnl[[#This Row],[TrxDate]]&lt;=stmt_BS_date_end, "In", "Out")</f>
        <v>In</v>
      </c>
      <c r="U395" t="str">
        <f>IF(Jnl[[#This Row],[TrxDate]]&lt;debug_date_start, "prior", IF(Jnl[[#This Row],[TrxDate]]&gt;debug_date_end, "post", "curr"))</f>
        <v>curr</v>
      </c>
    </row>
    <row r="396" spans="1:21" hidden="1">
      <c r="A396" s="39" t="s">
        <v>593</v>
      </c>
      <c r="B396" s="6">
        <f>_xlfn.XLOOKUP(Jnl[[#This Row],[TrxId]], Trx[Id], Trx[Date],,0)</f>
        <v>46053</v>
      </c>
      <c r="C396" s="6" t="str">
        <f>_xlfn.XLOOKUP(Jnl[[#This Row],[TrxId]], Trx[Id], Trx[Division],,0)</f>
        <v>Shuijie</v>
      </c>
      <c r="D396" s="6" t="str">
        <f>_xlfn.XLOOKUP(Jnl[[#This Row],[TrxId]], Trx[Id], Trx[Action],,0)</f>
        <v>收款</v>
      </c>
      <c r="E396" s="27" t="s">
        <v>83</v>
      </c>
      <c r="F396" s="10" t="s">
        <v>596</v>
      </c>
      <c r="G396" s="10" t="s">
        <v>397</v>
      </c>
      <c r="H396" s="37">
        <v>18526.13</v>
      </c>
      <c r="I396" s="11" t="b">
        <f>AND(Jnl[[#This Row],[TrxId]]&lt;&gt;"",Jnl[[#This Row],[Acct]]&lt;&gt;"",Jnl[[#This Row],[Item]]&lt;&gt;"",ISNUMBER(Jnl[[#This Row],[Bal]]))</f>
        <v>1</v>
      </c>
      <c r="J396" s="9">
        <f>IF(Jnl[[#This Row],[BSLv0]]="A",1,-1)*Jnl[[#This Row],[Bal]]</f>
        <v>18526.13</v>
      </c>
      <c r="K396" t="str">
        <f>_xlfn.XLOOKUP(Jnl[[#This Row],[Acct]], config_BS[Acct], config_BS[Lv0],,0)</f>
        <v>A</v>
      </c>
      <c r="L396" t="str">
        <f>_xlfn.XLOOKUP(Jnl[[#This Row],[Acct]], config_BS[Acct], config_BS[Lv1],,0)</f>
        <v>Assets</v>
      </c>
      <c r="M396" t="str">
        <f>_xlfn.XLOOKUP(Jnl[[#This Row],[Acct]], config_BS[Acct], config_BS[Lv2],,0)</f>
        <v>Cash alike</v>
      </c>
      <c r="N396" t="str">
        <f>_xlfn.XLOOKUP(Jnl[[#This Row],[TrxId]], Trx[Id], Trx[IncNode], ,0)</f>
        <v>Revenue</v>
      </c>
      <c r="O396" t="str">
        <f>_xlfn.XLOOKUP(Jnl[[#This Row],[IncNode]], config_IS[Node], config_IS[Type],,0)</f>
        <v>Op</v>
      </c>
      <c r="P396" t="str">
        <f>_xlfn.XLOOKUP(Jnl[[#This Row],[BSLv2]], dict[Key], dict[Name],,0)</f>
        <v>0.现金及类似</v>
      </c>
      <c r="Q396" t="str">
        <f>_xlfn.XLOOKUP(Jnl[[#This Row],[Acct]], dict[Key], dict[Name],,0)</f>
        <v>银行</v>
      </c>
      <c r="R396" t="str">
        <f>_xlfn.XLOOKUP(Jnl[[#This Row],[Vehicle]],config_vehicle[Id], config_vehicle[Name],,0)</f>
        <v>喜家文化</v>
      </c>
      <c r="S396" t="str">
        <f>_xlfn.XLOOKUP(Jnl[[#This Row],[Division]],config_div[Id], config_div[Name],,0)</f>
        <v>水街店</v>
      </c>
      <c r="T396" t="str">
        <f>IF(Jnl[[#This Row],[TrxDate]]&lt;=stmt_BS_date_end, "In", "Out")</f>
        <v>In</v>
      </c>
      <c r="U396" t="str">
        <f>IF(Jnl[[#This Row],[TrxDate]]&lt;debug_date_start, "prior", IF(Jnl[[#This Row],[TrxDate]]&gt;debug_date_end, "post", "curr"))</f>
        <v>curr</v>
      </c>
    </row>
    <row r="397" spans="1:21" hidden="1">
      <c r="A397" s="39" t="s">
        <v>1294</v>
      </c>
      <c r="B397" s="6">
        <f>_xlfn.XLOOKUP(Jnl[[#This Row],[TrxId]], Trx[Id], Trx[Date],,0)</f>
        <v>46053</v>
      </c>
      <c r="C397" s="6" t="str">
        <f>_xlfn.XLOOKUP(Jnl[[#This Row],[TrxId]], Trx[Id], Trx[Division],,0)</f>
        <v>Shuijie</v>
      </c>
      <c r="D397" s="6" t="str">
        <f>_xlfn.XLOOKUP(Jnl[[#This Row],[TrxId]], Trx[Id], Trx[Action],,0)</f>
        <v>服饰</v>
      </c>
      <c r="E397" s="27" t="s">
        <v>83</v>
      </c>
      <c r="F397" s="10" t="s">
        <v>596</v>
      </c>
      <c r="G397" s="10" t="s">
        <v>397</v>
      </c>
      <c r="H397" s="37">
        <f>111160.41-H396</f>
        <v>92634.28</v>
      </c>
      <c r="I397" s="11" t="b">
        <f>AND(Jnl[[#This Row],[TrxId]]&lt;&gt;"",Jnl[[#This Row],[Acct]]&lt;&gt;"",Jnl[[#This Row],[Item]]&lt;&gt;"",ISNUMBER(Jnl[[#This Row],[Bal]]))</f>
        <v>1</v>
      </c>
      <c r="J397" s="9">
        <f>IF(Jnl[[#This Row],[BSLv0]]="A",1,-1)*Jnl[[#This Row],[Bal]]</f>
        <v>92634.28</v>
      </c>
      <c r="K397" t="str">
        <f>_xlfn.XLOOKUP(Jnl[[#This Row],[Acct]], config_BS[Acct], config_BS[Lv0],,0)</f>
        <v>A</v>
      </c>
      <c r="L397" t="str">
        <f>_xlfn.XLOOKUP(Jnl[[#This Row],[Acct]], config_BS[Acct], config_BS[Lv1],,0)</f>
        <v>Assets</v>
      </c>
      <c r="M397" t="str">
        <f>_xlfn.XLOOKUP(Jnl[[#This Row],[Acct]], config_BS[Acct], config_BS[Lv2],,0)</f>
        <v>Cash alike</v>
      </c>
      <c r="N397" t="str">
        <f>_xlfn.XLOOKUP(Jnl[[#This Row],[TrxId]], Trx[Id], Trx[IncNode], ,0)</f>
        <v>Revenue</v>
      </c>
      <c r="O397" t="str">
        <f>_xlfn.XLOOKUP(Jnl[[#This Row],[IncNode]], config_IS[Node], config_IS[Type],,0)</f>
        <v>Op</v>
      </c>
      <c r="P397" t="str">
        <f>_xlfn.XLOOKUP(Jnl[[#This Row],[BSLv2]], dict[Key], dict[Name],,0)</f>
        <v>0.现金及类似</v>
      </c>
      <c r="Q397" t="str">
        <f>_xlfn.XLOOKUP(Jnl[[#This Row],[Acct]], dict[Key], dict[Name],,0)</f>
        <v>银行</v>
      </c>
      <c r="R397" t="str">
        <f>_xlfn.XLOOKUP(Jnl[[#This Row],[Vehicle]],config_vehicle[Id], config_vehicle[Name],,0)</f>
        <v>喜家文化</v>
      </c>
      <c r="S397" t="str">
        <f>_xlfn.XLOOKUP(Jnl[[#This Row],[Division]],config_div[Id], config_div[Name],,0)</f>
        <v>水街店</v>
      </c>
      <c r="T397" t="str">
        <f>IF(Jnl[[#This Row],[TrxDate]]&lt;=stmt_BS_date_end, "In", "Out")</f>
        <v>In</v>
      </c>
      <c r="U397" t="str">
        <f>IF(Jnl[[#This Row],[TrxDate]]&lt;debug_date_start, "prior", IF(Jnl[[#This Row],[TrxDate]]&gt;debug_date_end, "post", "curr"))</f>
        <v>curr</v>
      </c>
    </row>
    <row r="398" spans="1:21" hidden="1">
      <c r="A398" s="39" t="s">
        <v>608</v>
      </c>
      <c r="B398" s="6">
        <f>_xlfn.XLOOKUP(Jnl[[#This Row],[TrxId]], Trx[Id], Trx[Date],,0)</f>
        <v>46053</v>
      </c>
      <c r="C398" s="6" t="str">
        <f>_xlfn.XLOOKUP(Jnl[[#This Row],[TrxId]], Trx[Id], Trx[Division],,0)</f>
        <v>Shuijie</v>
      </c>
      <c r="D398" s="6" t="str">
        <f>_xlfn.XLOOKUP(Jnl[[#This Row],[TrxId]], Trx[Id], Trx[Action],,0)</f>
        <v>支付</v>
      </c>
      <c r="E398" s="27" t="s">
        <v>83</v>
      </c>
      <c r="F398" s="10" t="s">
        <v>498</v>
      </c>
      <c r="G398" s="10" t="s">
        <v>144</v>
      </c>
      <c r="H398" s="37">
        <v>10000</v>
      </c>
      <c r="I398" s="11" t="b">
        <f>AND(Jnl[[#This Row],[TrxId]]&lt;&gt;"",Jnl[[#This Row],[Acct]]&lt;&gt;"",Jnl[[#This Row],[Item]]&lt;&gt;"",ISNUMBER(Jnl[[#This Row],[Bal]]))</f>
        <v>1</v>
      </c>
      <c r="J398" s="9">
        <f>IF(Jnl[[#This Row],[BSLv0]]="A",1,-1)*Jnl[[#This Row],[Bal]]</f>
        <v>10000</v>
      </c>
      <c r="K398" t="str">
        <f>_xlfn.XLOOKUP(Jnl[[#This Row],[Acct]], config_BS[Acct], config_BS[Lv0],,0)</f>
        <v>A</v>
      </c>
      <c r="L398" t="str">
        <f>_xlfn.XLOOKUP(Jnl[[#This Row],[Acct]], config_BS[Acct], config_BS[Lv1],,0)</f>
        <v>Assets</v>
      </c>
      <c r="M398" t="str">
        <f>_xlfn.XLOOKUP(Jnl[[#This Row],[Acct]], config_BS[Acct], config_BS[Lv2],,0)</f>
        <v>Prep-Sub</v>
      </c>
      <c r="N398" t="str">
        <f>_xlfn.XLOOKUP(Jnl[[#This Row],[TrxId]], Trx[Id], Trx[IncNode], ,0)</f>
        <v>Expense</v>
      </c>
      <c r="O398" t="str">
        <f>_xlfn.XLOOKUP(Jnl[[#This Row],[IncNode]], config_IS[Node], config_IS[Type],,0)</f>
        <v>Op</v>
      </c>
      <c r="P398" t="str">
        <f>_xlfn.XLOOKUP(Jnl[[#This Row],[BSLv2]], dict[Key], dict[Name],,0)</f>
        <v>2.预付-订阅</v>
      </c>
      <c r="Q398" t="str">
        <f>_xlfn.XLOOKUP(Jnl[[#This Row],[Acct]], dict[Key], dict[Name],,0)</f>
        <v>预付订单</v>
      </c>
      <c r="R398" t="str">
        <f>_xlfn.XLOOKUP(Jnl[[#This Row],[Vehicle]],config_vehicle[Id], config_vehicle[Name],,0)</f>
        <v>喜家文化</v>
      </c>
      <c r="S398" t="str">
        <f>_xlfn.XLOOKUP(Jnl[[#This Row],[Division]],config_div[Id], config_div[Name],,0)</f>
        <v>水街店</v>
      </c>
      <c r="T398" t="str">
        <f>IF(Jnl[[#This Row],[TrxDate]]&lt;=stmt_BS_date_end, "In", "Out")</f>
        <v>In</v>
      </c>
      <c r="U398" t="str">
        <f>IF(Jnl[[#This Row],[TrxDate]]&lt;debug_date_start, "prior", IF(Jnl[[#This Row],[TrxDate]]&gt;debug_date_end, "post", "curr"))</f>
        <v>curr</v>
      </c>
    </row>
    <row r="399" spans="1:21" hidden="1">
      <c r="A399" s="39" t="s">
        <v>608</v>
      </c>
      <c r="B399" s="6">
        <f>_xlfn.XLOOKUP(Jnl[[#This Row],[TrxId]], Trx[Id], Trx[Date],,0)</f>
        <v>46053</v>
      </c>
      <c r="C399" s="6" t="str">
        <f>_xlfn.XLOOKUP(Jnl[[#This Row],[TrxId]], Trx[Id], Trx[Division],,0)</f>
        <v>Shuijie</v>
      </c>
      <c r="D399" s="6" t="str">
        <f>_xlfn.XLOOKUP(Jnl[[#This Row],[TrxId]], Trx[Id], Trx[Action],,0)</f>
        <v>支付</v>
      </c>
      <c r="E399" s="27" t="s">
        <v>83</v>
      </c>
      <c r="F399" s="10" t="s">
        <v>596</v>
      </c>
      <c r="G399" s="10" t="s">
        <v>397</v>
      </c>
      <c r="H399" s="37">
        <v>-10000</v>
      </c>
      <c r="I399" s="11" t="b">
        <f>AND(Jnl[[#This Row],[TrxId]]&lt;&gt;"",Jnl[[#This Row],[Acct]]&lt;&gt;"",Jnl[[#This Row],[Item]]&lt;&gt;"",ISNUMBER(Jnl[[#This Row],[Bal]]))</f>
        <v>1</v>
      </c>
      <c r="J399" s="9">
        <f>IF(Jnl[[#This Row],[BSLv0]]="A",1,-1)*Jnl[[#This Row],[Bal]]</f>
        <v>-10000</v>
      </c>
      <c r="K399" t="str">
        <f>_xlfn.XLOOKUP(Jnl[[#This Row],[Acct]], config_BS[Acct], config_BS[Lv0],,0)</f>
        <v>A</v>
      </c>
      <c r="L399" t="str">
        <f>_xlfn.XLOOKUP(Jnl[[#This Row],[Acct]], config_BS[Acct], config_BS[Lv1],,0)</f>
        <v>Assets</v>
      </c>
      <c r="M399" t="str">
        <f>_xlfn.XLOOKUP(Jnl[[#This Row],[Acct]], config_BS[Acct], config_BS[Lv2],,0)</f>
        <v>Cash alike</v>
      </c>
      <c r="N399" t="str">
        <f>_xlfn.XLOOKUP(Jnl[[#This Row],[TrxId]], Trx[Id], Trx[IncNode], ,0)</f>
        <v>Expense</v>
      </c>
      <c r="O399" t="str">
        <f>_xlfn.XLOOKUP(Jnl[[#This Row],[IncNode]], config_IS[Node], config_IS[Type],,0)</f>
        <v>Op</v>
      </c>
      <c r="P399" t="str">
        <f>_xlfn.XLOOKUP(Jnl[[#This Row],[BSLv2]], dict[Key], dict[Name],,0)</f>
        <v>0.现金及类似</v>
      </c>
      <c r="Q399" t="str">
        <f>_xlfn.XLOOKUP(Jnl[[#This Row],[Acct]], dict[Key], dict[Name],,0)</f>
        <v>银行</v>
      </c>
      <c r="R399" t="str">
        <f>_xlfn.XLOOKUP(Jnl[[#This Row],[Vehicle]],config_vehicle[Id], config_vehicle[Name],,0)</f>
        <v>喜家文化</v>
      </c>
      <c r="S399" t="str">
        <f>_xlfn.XLOOKUP(Jnl[[#This Row],[Division]],config_div[Id], config_div[Name],,0)</f>
        <v>水街店</v>
      </c>
      <c r="T399" t="str">
        <f>IF(Jnl[[#This Row],[TrxDate]]&lt;=stmt_BS_date_end, "In", "Out")</f>
        <v>In</v>
      </c>
      <c r="U399" t="str">
        <f>IF(Jnl[[#This Row],[TrxDate]]&lt;debug_date_start, "prior", IF(Jnl[[#This Row],[TrxDate]]&gt;debug_date_end, "post", "curr"))</f>
        <v>curr</v>
      </c>
    </row>
    <row r="400" spans="1:21" hidden="1">
      <c r="A400" s="39" t="s">
        <v>610</v>
      </c>
      <c r="B400" s="6">
        <f>_xlfn.XLOOKUP(Jnl[[#This Row],[TrxId]], Trx[Id], Trx[Date],,0)</f>
        <v>46053</v>
      </c>
      <c r="C400" s="6" t="str">
        <f>_xlfn.XLOOKUP(Jnl[[#This Row],[TrxId]], Trx[Id], Trx[Division],,0)</f>
        <v>Shuijie</v>
      </c>
      <c r="D400" s="6" t="str">
        <f>_xlfn.XLOOKUP(Jnl[[#This Row],[TrxId]], Trx[Id], Trx[Action],,0)</f>
        <v>维护</v>
      </c>
      <c r="E400" s="27" t="s">
        <v>83</v>
      </c>
      <c r="F400" s="10" t="s">
        <v>596</v>
      </c>
      <c r="G400" s="10" t="s">
        <v>397</v>
      </c>
      <c r="H400" s="37">
        <v>-1500</v>
      </c>
      <c r="I400" s="11" t="b">
        <f>AND(Jnl[[#This Row],[TrxId]]&lt;&gt;"",Jnl[[#This Row],[Acct]]&lt;&gt;"",Jnl[[#This Row],[Item]]&lt;&gt;"",ISNUMBER(Jnl[[#This Row],[Bal]]))</f>
        <v>1</v>
      </c>
      <c r="J400" s="9">
        <f>IF(Jnl[[#This Row],[BSLv0]]="A",1,-1)*Jnl[[#This Row],[Bal]]</f>
        <v>-1500</v>
      </c>
      <c r="K400" t="str">
        <f>_xlfn.XLOOKUP(Jnl[[#This Row],[Acct]], config_BS[Acct], config_BS[Lv0],,0)</f>
        <v>A</v>
      </c>
      <c r="L400" t="str">
        <f>_xlfn.XLOOKUP(Jnl[[#This Row],[Acct]], config_BS[Acct], config_BS[Lv1],,0)</f>
        <v>Assets</v>
      </c>
      <c r="M400" t="str">
        <f>_xlfn.XLOOKUP(Jnl[[#This Row],[Acct]], config_BS[Acct], config_BS[Lv2],,0)</f>
        <v>Cash alike</v>
      </c>
      <c r="N400" t="str">
        <f>_xlfn.XLOOKUP(Jnl[[#This Row],[TrxId]], Trx[Id], Trx[IncNode], ,0)</f>
        <v>Expense</v>
      </c>
      <c r="O400" t="str">
        <f>_xlfn.XLOOKUP(Jnl[[#This Row],[IncNode]], config_IS[Node], config_IS[Type],,0)</f>
        <v>Op</v>
      </c>
      <c r="P400" t="str">
        <f>_xlfn.XLOOKUP(Jnl[[#This Row],[BSLv2]], dict[Key], dict[Name],,0)</f>
        <v>0.现金及类似</v>
      </c>
      <c r="Q400" t="str">
        <f>_xlfn.XLOOKUP(Jnl[[#This Row],[Acct]], dict[Key], dict[Name],,0)</f>
        <v>银行</v>
      </c>
      <c r="R400" t="str">
        <f>_xlfn.XLOOKUP(Jnl[[#This Row],[Vehicle]],config_vehicle[Id], config_vehicle[Name],,0)</f>
        <v>喜家文化</v>
      </c>
      <c r="S400" t="str">
        <f>_xlfn.XLOOKUP(Jnl[[#This Row],[Division]],config_div[Id], config_div[Name],,0)</f>
        <v>水街店</v>
      </c>
      <c r="T400" t="str">
        <f>IF(Jnl[[#This Row],[TrxDate]]&lt;=stmt_BS_date_end, "In", "Out")</f>
        <v>In</v>
      </c>
      <c r="U400" t="str">
        <f>IF(Jnl[[#This Row],[TrxDate]]&lt;debug_date_start, "prior", IF(Jnl[[#This Row],[TrxDate]]&gt;debug_date_end, "post", "curr"))</f>
        <v>curr</v>
      </c>
    </row>
    <row r="401" spans="1:21" hidden="1">
      <c r="A401" s="39" t="s">
        <v>612</v>
      </c>
      <c r="B401" s="6">
        <f>_xlfn.XLOOKUP(Jnl[[#This Row],[TrxId]], Trx[Id], Trx[Date],,0)</f>
        <v>46053</v>
      </c>
      <c r="C401" s="6" t="str">
        <f>_xlfn.XLOOKUP(Jnl[[#This Row],[TrxId]], Trx[Id], Trx[Division],,0)</f>
        <v>Shuijie</v>
      </c>
      <c r="D401" s="6" t="str">
        <f>_xlfn.XLOOKUP(Jnl[[#This Row],[TrxId]], Trx[Id], Trx[Action],,0)</f>
        <v>支付</v>
      </c>
      <c r="E401" s="27" t="s">
        <v>83</v>
      </c>
      <c r="F401" s="10" t="s">
        <v>596</v>
      </c>
      <c r="G401" s="10" t="s">
        <v>397</v>
      </c>
      <c r="H401" s="37">
        <v>-6458.4</v>
      </c>
      <c r="I401" s="11" t="b">
        <f>AND(Jnl[[#This Row],[TrxId]]&lt;&gt;"",Jnl[[#This Row],[Acct]]&lt;&gt;"",Jnl[[#This Row],[Item]]&lt;&gt;"",ISNUMBER(Jnl[[#This Row],[Bal]]))</f>
        <v>1</v>
      </c>
      <c r="J401" s="9">
        <f>IF(Jnl[[#This Row],[BSLv0]]="A",1,-1)*Jnl[[#This Row],[Bal]]</f>
        <v>-6458.4</v>
      </c>
      <c r="K401" t="str">
        <f>_xlfn.XLOOKUP(Jnl[[#This Row],[Acct]], config_BS[Acct], config_BS[Lv0],,0)</f>
        <v>A</v>
      </c>
      <c r="L401" t="str">
        <f>_xlfn.XLOOKUP(Jnl[[#This Row],[Acct]], config_BS[Acct], config_BS[Lv1],,0)</f>
        <v>Assets</v>
      </c>
      <c r="M401" t="str">
        <f>_xlfn.XLOOKUP(Jnl[[#This Row],[Acct]], config_BS[Acct], config_BS[Lv2],,0)</f>
        <v>Cash alike</v>
      </c>
      <c r="N401" t="str">
        <f>_xlfn.XLOOKUP(Jnl[[#This Row],[TrxId]], Trx[Id], Trx[IncNode], ,0)</f>
        <v>Cost</v>
      </c>
      <c r="O401" t="str">
        <f>_xlfn.XLOOKUP(Jnl[[#This Row],[IncNode]], config_IS[Node], config_IS[Type],,0)</f>
        <v>Op</v>
      </c>
      <c r="P401" t="str">
        <f>_xlfn.XLOOKUP(Jnl[[#This Row],[BSLv2]], dict[Key], dict[Name],,0)</f>
        <v>0.现金及类似</v>
      </c>
      <c r="Q401" t="str">
        <f>_xlfn.XLOOKUP(Jnl[[#This Row],[Acct]], dict[Key], dict[Name],,0)</f>
        <v>银行</v>
      </c>
      <c r="R401" t="str">
        <f>_xlfn.XLOOKUP(Jnl[[#This Row],[Vehicle]],config_vehicle[Id], config_vehicle[Name],,0)</f>
        <v>喜家文化</v>
      </c>
      <c r="S401" t="str">
        <f>_xlfn.XLOOKUP(Jnl[[#This Row],[Division]],config_div[Id], config_div[Name],,0)</f>
        <v>水街店</v>
      </c>
      <c r="T401" t="str">
        <f>IF(Jnl[[#This Row],[TrxDate]]&lt;=stmt_BS_date_end, "In", "Out")</f>
        <v>In</v>
      </c>
      <c r="U401" t="str">
        <f>IF(Jnl[[#This Row],[TrxDate]]&lt;debug_date_start, "prior", IF(Jnl[[#This Row],[TrxDate]]&gt;debug_date_end, "post", "curr"))</f>
        <v>curr</v>
      </c>
    </row>
    <row r="402" spans="1:21" hidden="1">
      <c r="A402" s="39" t="s">
        <v>612</v>
      </c>
      <c r="B402" s="6">
        <f>_xlfn.XLOOKUP(Jnl[[#This Row],[TrxId]], Trx[Id], Trx[Date],,0)</f>
        <v>46053</v>
      </c>
      <c r="C402" s="6" t="str">
        <f>_xlfn.XLOOKUP(Jnl[[#This Row],[TrxId]], Trx[Id], Trx[Division],,0)</f>
        <v>Shuijie</v>
      </c>
      <c r="D402" s="6" t="str">
        <f>_xlfn.XLOOKUP(Jnl[[#This Row],[TrxId]], Trx[Id], Trx[Action],,0)</f>
        <v>支付</v>
      </c>
      <c r="E402" s="27" t="s">
        <v>83</v>
      </c>
      <c r="F402" s="10" t="s">
        <v>658</v>
      </c>
      <c r="G402" s="10" t="s">
        <v>139</v>
      </c>
      <c r="H402" s="37">
        <v>-6458.4</v>
      </c>
      <c r="I402" s="11" t="b">
        <f>AND(Jnl[[#This Row],[TrxId]]&lt;&gt;"",Jnl[[#This Row],[Acct]]&lt;&gt;"",Jnl[[#This Row],[Item]]&lt;&gt;"",ISNUMBER(Jnl[[#This Row],[Bal]]))</f>
        <v>1</v>
      </c>
      <c r="J402" s="9">
        <f>IF(Jnl[[#This Row],[BSLv0]]="A",1,-1)*Jnl[[#This Row],[Bal]]</f>
        <v>6458.4</v>
      </c>
      <c r="K402" t="str">
        <f>_xlfn.XLOOKUP(Jnl[[#This Row],[Acct]], config_BS[Acct], config_BS[Lv0],,0)</f>
        <v>LC</v>
      </c>
      <c r="L402" t="str">
        <f>_xlfn.XLOOKUP(Jnl[[#This Row],[Acct]], config_BS[Acct], config_BS[Lv1],,0)</f>
        <v>Liability</v>
      </c>
      <c r="M402" t="str">
        <f>_xlfn.XLOOKUP(Jnl[[#This Row],[Acct]], config_BS[Acct], config_BS[Lv2],,0)</f>
        <v>Rec-Pay</v>
      </c>
      <c r="N402" t="str">
        <f>_xlfn.XLOOKUP(Jnl[[#This Row],[TrxId]], Trx[Id], Trx[IncNode], ,0)</f>
        <v>Cost</v>
      </c>
      <c r="O402" t="str">
        <f>_xlfn.XLOOKUP(Jnl[[#This Row],[IncNode]], config_IS[Node], config_IS[Type],,0)</f>
        <v>Op</v>
      </c>
      <c r="P402" t="str">
        <f>_xlfn.XLOOKUP(Jnl[[#This Row],[BSLv2]], dict[Key], dict[Name],,0)</f>
        <v>1.应收-应付</v>
      </c>
      <c r="Q402" t="str">
        <f>_xlfn.XLOOKUP(Jnl[[#This Row],[Acct]], dict[Key], dict[Name],,0)</f>
        <v>应付-一般</v>
      </c>
      <c r="R402" t="str">
        <f>_xlfn.XLOOKUP(Jnl[[#This Row],[Vehicle]],config_vehicle[Id], config_vehicle[Name],,0)</f>
        <v>喜家文化</v>
      </c>
      <c r="S402" t="str">
        <f>_xlfn.XLOOKUP(Jnl[[#This Row],[Division]],config_div[Id], config_div[Name],,0)</f>
        <v>水街店</v>
      </c>
      <c r="T402" t="str">
        <f>IF(Jnl[[#This Row],[TrxDate]]&lt;=stmt_BS_date_end, "In", "Out")</f>
        <v>In</v>
      </c>
      <c r="U402" t="str">
        <f>IF(Jnl[[#This Row],[TrxDate]]&lt;debug_date_start, "prior", IF(Jnl[[#This Row],[TrxDate]]&gt;debug_date_end, "post", "curr"))</f>
        <v>curr</v>
      </c>
    </row>
    <row r="403" spans="1:21" hidden="1">
      <c r="A403" s="39" t="s">
        <v>613</v>
      </c>
      <c r="B403" s="6">
        <f>_xlfn.XLOOKUP(Jnl[[#This Row],[TrxId]], Trx[Id], Trx[Date],,0)</f>
        <v>46053</v>
      </c>
      <c r="C403" s="6" t="str">
        <f>_xlfn.XLOOKUP(Jnl[[#This Row],[TrxId]], Trx[Id], Trx[Division],,0)</f>
        <v>GM</v>
      </c>
      <c r="D403" s="6" t="str">
        <f>_xlfn.XLOOKUP(Jnl[[#This Row],[TrxId]], Trx[Id], Trx[Action],,0)</f>
        <v>薪酬-社保</v>
      </c>
      <c r="E403" s="27" t="s">
        <v>83</v>
      </c>
      <c r="F403" s="10" t="s">
        <v>596</v>
      </c>
      <c r="G403" s="10" t="s">
        <v>397</v>
      </c>
      <c r="H403" s="37">
        <v>-8189.55</v>
      </c>
      <c r="I403" s="11" t="b">
        <f>AND(Jnl[[#This Row],[TrxId]]&lt;&gt;"",Jnl[[#This Row],[Acct]]&lt;&gt;"",Jnl[[#This Row],[Item]]&lt;&gt;"",ISNUMBER(Jnl[[#This Row],[Bal]]))</f>
        <v>1</v>
      </c>
      <c r="J403" s="9">
        <f>IF(Jnl[[#This Row],[BSLv0]]="A",1,-1)*Jnl[[#This Row],[Bal]]</f>
        <v>-8189.55</v>
      </c>
      <c r="K403" t="str">
        <f>_xlfn.XLOOKUP(Jnl[[#This Row],[Acct]], config_BS[Acct], config_BS[Lv0],,0)</f>
        <v>A</v>
      </c>
      <c r="L403" t="str">
        <f>_xlfn.XLOOKUP(Jnl[[#This Row],[Acct]], config_BS[Acct], config_BS[Lv1],,0)</f>
        <v>Assets</v>
      </c>
      <c r="M403" t="str">
        <f>_xlfn.XLOOKUP(Jnl[[#This Row],[Acct]], config_BS[Acct], config_BS[Lv2],,0)</f>
        <v>Cash alike</v>
      </c>
      <c r="N403" t="str">
        <f>_xlfn.XLOOKUP(Jnl[[#This Row],[TrxId]], Trx[Id], Trx[IncNode], ,0)</f>
        <v>Expense</v>
      </c>
      <c r="O403" t="str">
        <f>_xlfn.XLOOKUP(Jnl[[#This Row],[IncNode]], config_IS[Node], config_IS[Type],,0)</f>
        <v>Op</v>
      </c>
      <c r="P403" t="str">
        <f>_xlfn.XLOOKUP(Jnl[[#This Row],[BSLv2]], dict[Key], dict[Name],,0)</f>
        <v>0.现金及类似</v>
      </c>
      <c r="Q403" t="str">
        <f>_xlfn.XLOOKUP(Jnl[[#This Row],[Acct]], dict[Key], dict[Name],,0)</f>
        <v>银行</v>
      </c>
      <c r="R403" t="str">
        <f>_xlfn.XLOOKUP(Jnl[[#This Row],[Vehicle]],config_vehicle[Id], config_vehicle[Name],,0)</f>
        <v>喜家文化</v>
      </c>
      <c r="S403" t="str">
        <f>_xlfn.XLOOKUP(Jnl[[#This Row],[Division]],config_div[Id], config_div[Name],,0)</f>
        <v>综合管理</v>
      </c>
      <c r="T403" t="str">
        <f>IF(Jnl[[#This Row],[TrxDate]]&lt;=stmt_BS_date_end, "In", "Out")</f>
        <v>In</v>
      </c>
      <c r="U403" t="str">
        <f>IF(Jnl[[#This Row],[TrxDate]]&lt;debug_date_start, "prior", IF(Jnl[[#This Row],[TrxDate]]&gt;debug_date_end, "post", "curr"))</f>
        <v>curr</v>
      </c>
    </row>
    <row r="404" spans="1:21" hidden="1">
      <c r="A404" s="39" t="s">
        <v>613</v>
      </c>
      <c r="B404" s="6">
        <f>_xlfn.XLOOKUP(Jnl[[#This Row],[TrxId]], Trx[Id], Trx[Date],,0)</f>
        <v>46053</v>
      </c>
      <c r="C404" s="6" t="str">
        <f>_xlfn.XLOOKUP(Jnl[[#This Row],[TrxId]], Trx[Id], Trx[Division],,0)</f>
        <v>GM</v>
      </c>
      <c r="D404" s="6" t="str">
        <f>_xlfn.XLOOKUP(Jnl[[#This Row],[TrxId]], Trx[Id], Trx[Action],,0)</f>
        <v>薪酬-社保</v>
      </c>
      <c r="E404" s="27" t="s">
        <v>83</v>
      </c>
      <c r="F404" s="10" t="s">
        <v>601</v>
      </c>
      <c r="G404" s="10" t="s">
        <v>349</v>
      </c>
      <c r="H404" s="37">
        <v>2385.75</v>
      </c>
      <c r="I404" s="11" t="b">
        <f>AND(Jnl[[#This Row],[TrxId]]&lt;&gt;"",Jnl[[#This Row],[Acct]]&lt;&gt;"",Jnl[[#This Row],[Item]]&lt;&gt;"",ISNUMBER(Jnl[[#This Row],[Bal]]))</f>
        <v>1</v>
      </c>
      <c r="J404" s="9">
        <f>IF(Jnl[[#This Row],[BSLv0]]="A",1,-1)*Jnl[[#This Row],[Bal]]</f>
        <v>2385.75</v>
      </c>
      <c r="K404" t="str">
        <f>_xlfn.XLOOKUP(Jnl[[#This Row],[Acct]], config_BS[Acct], config_BS[Lv0],,0)</f>
        <v>A</v>
      </c>
      <c r="L404" t="str">
        <f>_xlfn.XLOOKUP(Jnl[[#This Row],[Acct]], config_BS[Acct], config_BS[Lv1],,0)</f>
        <v>Assets</v>
      </c>
      <c r="M404" t="str">
        <f>_xlfn.XLOOKUP(Jnl[[#This Row],[Acct]], config_BS[Acct], config_BS[Lv2],,0)</f>
        <v>Rec-Pay</v>
      </c>
      <c r="N404" t="str">
        <f>_xlfn.XLOOKUP(Jnl[[#This Row],[TrxId]], Trx[Id], Trx[IncNode], ,0)</f>
        <v>Expense</v>
      </c>
      <c r="O404" t="str">
        <f>_xlfn.XLOOKUP(Jnl[[#This Row],[IncNode]], config_IS[Node], config_IS[Type],,0)</f>
        <v>Op</v>
      </c>
      <c r="P404" t="str">
        <f>_xlfn.XLOOKUP(Jnl[[#This Row],[BSLv2]], dict[Key], dict[Name],,0)</f>
        <v>1.应收-应付</v>
      </c>
      <c r="Q404" t="str">
        <f>_xlfn.XLOOKUP(Jnl[[#This Row],[Acct]], dict[Key], dict[Name],,0)</f>
        <v>应收-其他</v>
      </c>
      <c r="R404" t="str">
        <f>_xlfn.XLOOKUP(Jnl[[#This Row],[Vehicle]],config_vehicle[Id], config_vehicle[Name],,0)</f>
        <v>喜家文化</v>
      </c>
      <c r="S404" t="str">
        <f>_xlfn.XLOOKUP(Jnl[[#This Row],[Division]],config_div[Id], config_div[Name],,0)</f>
        <v>综合管理</v>
      </c>
      <c r="T404" t="str">
        <f>IF(Jnl[[#This Row],[TrxDate]]&lt;=stmt_BS_date_end, "In", "Out")</f>
        <v>In</v>
      </c>
      <c r="U404" t="str">
        <f>IF(Jnl[[#This Row],[TrxDate]]&lt;debug_date_start, "prior", IF(Jnl[[#This Row],[TrxDate]]&gt;debug_date_end, "post", "curr"))</f>
        <v>curr</v>
      </c>
    </row>
    <row r="405" spans="1:21" hidden="1">
      <c r="A405" s="39" t="s">
        <v>615</v>
      </c>
      <c r="B405" s="6">
        <f>_xlfn.XLOOKUP(Jnl[[#This Row],[TrxId]], Trx[Id], Trx[Date],,0)</f>
        <v>46053</v>
      </c>
      <c r="C405" s="6" t="str">
        <f>_xlfn.XLOOKUP(Jnl[[#This Row],[TrxId]], Trx[Id], Trx[Division],,0)</f>
        <v>Shuijie</v>
      </c>
      <c r="D405" s="6" t="str">
        <f>_xlfn.XLOOKUP(Jnl[[#This Row],[TrxId]], Trx[Id], Trx[Action],,0)</f>
        <v>支付</v>
      </c>
      <c r="E405" s="27" t="s">
        <v>83</v>
      </c>
      <c r="F405" s="10" t="s">
        <v>498</v>
      </c>
      <c r="G405" s="10" t="s">
        <v>144</v>
      </c>
      <c r="H405" s="37">
        <v>450</v>
      </c>
      <c r="I405" s="11" t="b">
        <f>AND(Jnl[[#This Row],[TrxId]]&lt;&gt;"",Jnl[[#This Row],[Acct]]&lt;&gt;"",Jnl[[#This Row],[Item]]&lt;&gt;"",ISNUMBER(Jnl[[#This Row],[Bal]]))</f>
        <v>1</v>
      </c>
      <c r="J405" s="9">
        <f>IF(Jnl[[#This Row],[BSLv0]]="A",1,-1)*Jnl[[#This Row],[Bal]]</f>
        <v>450</v>
      </c>
      <c r="K405" t="str">
        <f>_xlfn.XLOOKUP(Jnl[[#This Row],[Acct]], config_BS[Acct], config_BS[Lv0],,0)</f>
        <v>A</v>
      </c>
      <c r="L405" t="str">
        <f>_xlfn.XLOOKUP(Jnl[[#This Row],[Acct]], config_BS[Acct], config_BS[Lv1],,0)</f>
        <v>Assets</v>
      </c>
      <c r="M405" t="str">
        <f>_xlfn.XLOOKUP(Jnl[[#This Row],[Acct]], config_BS[Acct], config_BS[Lv2],,0)</f>
        <v>Prep-Sub</v>
      </c>
      <c r="N405" t="str">
        <f>_xlfn.XLOOKUP(Jnl[[#This Row],[TrxId]], Trx[Id], Trx[IncNode], ,0)</f>
        <v>Expense</v>
      </c>
      <c r="O405" t="str">
        <f>_xlfn.XLOOKUP(Jnl[[#This Row],[IncNode]], config_IS[Node], config_IS[Type],,0)</f>
        <v>Op</v>
      </c>
      <c r="P405" t="str">
        <f>_xlfn.XLOOKUP(Jnl[[#This Row],[BSLv2]], dict[Key], dict[Name],,0)</f>
        <v>2.预付-订阅</v>
      </c>
      <c r="Q405" t="str">
        <f>_xlfn.XLOOKUP(Jnl[[#This Row],[Acct]], dict[Key], dict[Name],,0)</f>
        <v>预付订单</v>
      </c>
      <c r="R405" t="str">
        <f>_xlfn.XLOOKUP(Jnl[[#This Row],[Vehicle]],config_vehicle[Id], config_vehicle[Name],,0)</f>
        <v>喜家文化</v>
      </c>
      <c r="S405" t="str">
        <f>_xlfn.XLOOKUP(Jnl[[#This Row],[Division]],config_div[Id], config_div[Name],,0)</f>
        <v>水街店</v>
      </c>
      <c r="T405" t="str">
        <f>IF(Jnl[[#This Row],[TrxDate]]&lt;=stmt_BS_date_end, "In", "Out")</f>
        <v>In</v>
      </c>
      <c r="U405" t="str">
        <f>IF(Jnl[[#This Row],[TrxDate]]&lt;debug_date_start, "prior", IF(Jnl[[#This Row],[TrxDate]]&gt;debug_date_end, "post", "curr"))</f>
        <v>curr</v>
      </c>
    </row>
    <row r="406" spans="1:21" hidden="1">
      <c r="A406" s="39" t="s">
        <v>615</v>
      </c>
      <c r="B406" s="6">
        <f>_xlfn.XLOOKUP(Jnl[[#This Row],[TrxId]], Trx[Id], Trx[Date],,0)</f>
        <v>46053</v>
      </c>
      <c r="C406" s="6" t="str">
        <f>_xlfn.XLOOKUP(Jnl[[#This Row],[TrxId]], Trx[Id], Trx[Division],,0)</f>
        <v>Shuijie</v>
      </c>
      <c r="D406" s="6" t="str">
        <f>_xlfn.XLOOKUP(Jnl[[#This Row],[TrxId]], Trx[Id], Trx[Action],,0)</f>
        <v>支付</v>
      </c>
      <c r="E406" s="27" t="s">
        <v>83</v>
      </c>
      <c r="F406" s="10" t="s">
        <v>596</v>
      </c>
      <c r="G406" s="10" t="s">
        <v>397</v>
      </c>
      <c r="H406" s="37">
        <v>-450</v>
      </c>
      <c r="I406" s="11" t="b">
        <f>AND(Jnl[[#This Row],[TrxId]]&lt;&gt;"",Jnl[[#This Row],[Acct]]&lt;&gt;"",Jnl[[#This Row],[Item]]&lt;&gt;"",ISNUMBER(Jnl[[#This Row],[Bal]]))</f>
        <v>1</v>
      </c>
      <c r="J406" s="9">
        <f>IF(Jnl[[#This Row],[BSLv0]]="A",1,-1)*Jnl[[#This Row],[Bal]]</f>
        <v>-450</v>
      </c>
      <c r="K406" t="str">
        <f>_xlfn.XLOOKUP(Jnl[[#This Row],[Acct]], config_BS[Acct], config_BS[Lv0],,0)</f>
        <v>A</v>
      </c>
      <c r="L406" t="str">
        <f>_xlfn.XLOOKUP(Jnl[[#This Row],[Acct]], config_BS[Acct], config_BS[Lv1],,0)</f>
        <v>Assets</v>
      </c>
      <c r="M406" t="str">
        <f>_xlfn.XLOOKUP(Jnl[[#This Row],[Acct]], config_BS[Acct], config_BS[Lv2],,0)</f>
        <v>Cash alike</v>
      </c>
      <c r="N406" t="str">
        <f>_xlfn.XLOOKUP(Jnl[[#This Row],[TrxId]], Trx[Id], Trx[IncNode], ,0)</f>
        <v>Expense</v>
      </c>
      <c r="O406" t="str">
        <f>_xlfn.XLOOKUP(Jnl[[#This Row],[IncNode]], config_IS[Node], config_IS[Type],,0)</f>
        <v>Op</v>
      </c>
      <c r="P406" t="str">
        <f>_xlfn.XLOOKUP(Jnl[[#This Row],[BSLv2]], dict[Key], dict[Name],,0)</f>
        <v>0.现金及类似</v>
      </c>
      <c r="Q406" t="str">
        <f>_xlfn.XLOOKUP(Jnl[[#This Row],[Acct]], dict[Key], dict[Name],,0)</f>
        <v>银行</v>
      </c>
      <c r="R406" t="str">
        <f>_xlfn.XLOOKUP(Jnl[[#This Row],[Vehicle]],config_vehicle[Id], config_vehicle[Name],,0)</f>
        <v>喜家文化</v>
      </c>
      <c r="S406" t="str">
        <f>_xlfn.XLOOKUP(Jnl[[#This Row],[Division]],config_div[Id], config_div[Name],,0)</f>
        <v>水街店</v>
      </c>
      <c r="T406" t="str">
        <f>IF(Jnl[[#This Row],[TrxDate]]&lt;=stmt_BS_date_end, "In", "Out")</f>
        <v>In</v>
      </c>
      <c r="U406" t="str">
        <f>IF(Jnl[[#This Row],[TrxDate]]&lt;debug_date_start, "prior", IF(Jnl[[#This Row],[TrxDate]]&gt;debug_date_end, "post", "curr"))</f>
        <v>curr</v>
      </c>
    </row>
    <row r="407" spans="1:21" hidden="1">
      <c r="A407" s="39" t="s">
        <v>617</v>
      </c>
      <c r="B407" s="6">
        <f>_xlfn.XLOOKUP(Jnl[[#This Row],[TrxId]], Trx[Id], Trx[Date],,0)</f>
        <v>46053</v>
      </c>
      <c r="C407" s="6" t="str">
        <f>_xlfn.XLOOKUP(Jnl[[#This Row],[TrxId]], Trx[Id], Trx[Division],,0)</f>
        <v>Shuijie</v>
      </c>
      <c r="D407" s="6" t="str">
        <f>_xlfn.XLOOKUP(Jnl[[#This Row],[TrxId]], Trx[Id], Trx[Action],,0)</f>
        <v>支付</v>
      </c>
      <c r="E407" s="27" t="s">
        <v>83</v>
      </c>
      <c r="F407" s="10" t="s">
        <v>498</v>
      </c>
      <c r="G407" s="10" t="s">
        <v>144</v>
      </c>
      <c r="H407" s="37">
        <v>10000</v>
      </c>
      <c r="I407" s="11" t="b">
        <f>AND(Jnl[[#This Row],[TrxId]]&lt;&gt;"",Jnl[[#This Row],[Acct]]&lt;&gt;"",Jnl[[#This Row],[Item]]&lt;&gt;"",ISNUMBER(Jnl[[#This Row],[Bal]]))</f>
        <v>1</v>
      </c>
      <c r="J407" s="9">
        <f>IF(Jnl[[#This Row],[BSLv0]]="A",1,-1)*Jnl[[#This Row],[Bal]]</f>
        <v>10000</v>
      </c>
      <c r="K407" t="str">
        <f>_xlfn.XLOOKUP(Jnl[[#This Row],[Acct]], config_BS[Acct], config_BS[Lv0],,0)</f>
        <v>A</v>
      </c>
      <c r="L407" t="str">
        <f>_xlfn.XLOOKUP(Jnl[[#This Row],[Acct]], config_BS[Acct], config_BS[Lv1],,0)</f>
        <v>Assets</v>
      </c>
      <c r="M407" t="str">
        <f>_xlfn.XLOOKUP(Jnl[[#This Row],[Acct]], config_BS[Acct], config_BS[Lv2],,0)</f>
        <v>Prep-Sub</v>
      </c>
      <c r="N407" t="str">
        <f>_xlfn.XLOOKUP(Jnl[[#This Row],[TrxId]], Trx[Id], Trx[IncNode], ,0)</f>
        <v>Expense</v>
      </c>
      <c r="O407" t="str">
        <f>_xlfn.XLOOKUP(Jnl[[#This Row],[IncNode]], config_IS[Node], config_IS[Type],,0)</f>
        <v>Op</v>
      </c>
      <c r="P407" t="str">
        <f>_xlfn.XLOOKUP(Jnl[[#This Row],[BSLv2]], dict[Key], dict[Name],,0)</f>
        <v>2.预付-订阅</v>
      </c>
      <c r="Q407" t="str">
        <f>_xlfn.XLOOKUP(Jnl[[#This Row],[Acct]], dict[Key], dict[Name],,0)</f>
        <v>预付订单</v>
      </c>
      <c r="R407" t="str">
        <f>_xlfn.XLOOKUP(Jnl[[#This Row],[Vehicle]],config_vehicle[Id], config_vehicle[Name],,0)</f>
        <v>喜家文化</v>
      </c>
      <c r="S407" t="str">
        <f>_xlfn.XLOOKUP(Jnl[[#This Row],[Division]],config_div[Id], config_div[Name],,0)</f>
        <v>水街店</v>
      </c>
      <c r="T407" t="str">
        <f>IF(Jnl[[#This Row],[TrxDate]]&lt;=stmt_BS_date_end, "In", "Out")</f>
        <v>In</v>
      </c>
      <c r="U407" t="str">
        <f>IF(Jnl[[#This Row],[TrxDate]]&lt;debug_date_start, "prior", IF(Jnl[[#This Row],[TrxDate]]&gt;debug_date_end, "post", "curr"))</f>
        <v>curr</v>
      </c>
    </row>
    <row r="408" spans="1:21" hidden="1">
      <c r="A408" s="39" t="s">
        <v>617</v>
      </c>
      <c r="B408" s="6">
        <f>_xlfn.XLOOKUP(Jnl[[#This Row],[TrxId]], Trx[Id], Trx[Date],,0)</f>
        <v>46053</v>
      </c>
      <c r="C408" s="6" t="str">
        <f>_xlfn.XLOOKUP(Jnl[[#This Row],[TrxId]], Trx[Id], Trx[Division],,0)</f>
        <v>Shuijie</v>
      </c>
      <c r="D408" s="6" t="str">
        <f>_xlfn.XLOOKUP(Jnl[[#This Row],[TrxId]], Trx[Id], Trx[Action],,0)</f>
        <v>支付</v>
      </c>
      <c r="E408" s="27" t="s">
        <v>83</v>
      </c>
      <c r="F408" s="10" t="s">
        <v>596</v>
      </c>
      <c r="G408" s="10" t="s">
        <v>397</v>
      </c>
      <c r="H408" s="37">
        <v>-10000</v>
      </c>
      <c r="I408" s="11" t="b">
        <f>AND(Jnl[[#This Row],[TrxId]]&lt;&gt;"",Jnl[[#This Row],[Acct]]&lt;&gt;"",Jnl[[#This Row],[Item]]&lt;&gt;"",ISNUMBER(Jnl[[#This Row],[Bal]]))</f>
        <v>1</v>
      </c>
      <c r="J408" s="9">
        <f>IF(Jnl[[#This Row],[BSLv0]]="A",1,-1)*Jnl[[#This Row],[Bal]]</f>
        <v>-10000</v>
      </c>
      <c r="K408" t="str">
        <f>_xlfn.XLOOKUP(Jnl[[#This Row],[Acct]], config_BS[Acct], config_BS[Lv0],,0)</f>
        <v>A</v>
      </c>
      <c r="L408" t="str">
        <f>_xlfn.XLOOKUP(Jnl[[#This Row],[Acct]], config_BS[Acct], config_BS[Lv1],,0)</f>
        <v>Assets</v>
      </c>
      <c r="M408" t="str">
        <f>_xlfn.XLOOKUP(Jnl[[#This Row],[Acct]], config_BS[Acct], config_BS[Lv2],,0)</f>
        <v>Cash alike</v>
      </c>
      <c r="N408" t="str">
        <f>_xlfn.XLOOKUP(Jnl[[#This Row],[TrxId]], Trx[Id], Trx[IncNode], ,0)</f>
        <v>Expense</v>
      </c>
      <c r="O408" t="str">
        <f>_xlfn.XLOOKUP(Jnl[[#This Row],[IncNode]], config_IS[Node], config_IS[Type],,0)</f>
        <v>Op</v>
      </c>
      <c r="P408" t="str">
        <f>_xlfn.XLOOKUP(Jnl[[#This Row],[BSLv2]], dict[Key], dict[Name],,0)</f>
        <v>0.现金及类似</v>
      </c>
      <c r="Q408" t="str">
        <f>_xlfn.XLOOKUP(Jnl[[#This Row],[Acct]], dict[Key], dict[Name],,0)</f>
        <v>银行</v>
      </c>
      <c r="R408" t="str">
        <f>_xlfn.XLOOKUP(Jnl[[#This Row],[Vehicle]],config_vehicle[Id], config_vehicle[Name],,0)</f>
        <v>喜家文化</v>
      </c>
      <c r="S408" t="str">
        <f>_xlfn.XLOOKUP(Jnl[[#This Row],[Division]],config_div[Id], config_div[Name],,0)</f>
        <v>水街店</v>
      </c>
      <c r="T408" t="str">
        <f>IF(Jnl[[#This Row],[TrxDate]]&lt;=stmt_BS_date_end, "In", "Out")</f>
        <v>In</v>
      </c>
      <c r="U408" t="str">
        <f>IF(Jnl[[#This Row],[TrxDate]]&lt;debug_date_start, "prior", IF(Jnl[[#This Row],[TrxDate]]&gt;debug_date_end, "post", "curr"))</f>
        <v>curr</v>
      </c>
    </row>
    <row r="409" spans="1:21" hidden="1">
      <c r="A409" s="39" t="s">
        <v>619</v>
      </c>
      <c r="B409" s="6">
        <f>_xlfn.XLOOKUP(Jnl[[#This Row],[TrxId]], Trx[Id], Trx[Date],,0)</f>
        <v>46053</v>
      </c>
      <c r="C409" s="6" t="str">
        <f>_xlfn.XLOOKUP(Jnl[[#This Row],[TrxId]], Trx[Id], Trx[Division],,0)</f>
        <v>GM</v>
      </c>
      <c r="D409" s="6" t="str">
        <f>_xlfn.XLOOKUP(Jnl[[#This Row],[TrxId]], Trx[Id], Trx[Action],,0)</f>
        <v>支付</v>
      </c>
      <c r="E409" s="27" t="s">
        <v>83</v>
      </c>
      <c r="F409" s="10" t="s">
        <v>596</v>
      </c>
      <c r="G409" s="10" t="s">
        <v>397</v>
      </c>
      <c r="H409" s="37">
        <v>-34695.089999999997</v>
      </c>
      <c r="I409" s="11" t="b">
        <f>AND(Jnl[[#This Row],[TrxId]]&lt;&gt;"",Jnl[[#This Row],[Acct]]&lt;&gt;"",Jnl[[#This Row],[Item]]&lt;&gt;"",ISNUMBER(Jnl[[#This Row],[Bal]]))</f>
        <v>1</v>
      </c>
      <c r="J409" s="9">
        <f>IF(Jnl[[#This Row],[BSLv0]]="A",1,-1)*Jnl[[#This Row],[Bal]]</f>
        <v>-34695.089999999997</v>
      </c>
      <c r="K409" t="str">
        <f>_xlfn.XLOOKUP(Jnl[[#This Row],[Acct]], config_BS[Acct], config_BS[Lv0],,0)</f>
        <v>A</v>
      </c>
      <c r="L409" t="str">
        <f>_xlfn.XLOOKUP(Jnl[[#This Row],[Acct]], config_BS[Acct], config_BS[Lv1],,0)</f>
        <v>Assets</v>
      </c>
      <c r="M409" t="str">
        <f>_xlfn.XLOOKUP(Jnl[[#This Row],[Acct]], config_BS[Acct], config_BS[Lv2],,0)</f>
        <v>Cash alike</v>
      </c>
      <c r="N409" t="str">
        <f>_xlfn.XLOOKUP(Jnl[[#This Row],[TrxId]], Trx[Id], Trx[IncNode], ,0)</f>
        <v>Expense</v>
      </c>
      <c r="O409" t="str">
        <f>_xlfn.XLOOKUP(Jnl[[#This Row],[IncNode]], config_IS[Node], config_IS[Type],,0)</f>
        <v>Op</v>
      </c>
      <c r="P409" t="str">
        <f>_xlfn.XLOOKUP(Jnl[[#This Row],[BSLv2]], dict[Key], dict[Name],,0)</f>
        <v>0.现金及类似</v>
      </c>
      <c r="Q409" t="str">
        <f>_xlfn.XLOOKUP(Jnl[[#This Row],[Acct]], dict[Key], dict[Name],,0)</f>
        <v>银行</v>
      </c>
      <c r="R409" t="str">
        <f>_xlfn.XLOOKUP(Jnl[[#This Row],[Vehicle]],config_vehicle[Id], config_vehicle[Name],,0)</f>
        <v>喜家文化</v>
      </c>
      <c r="S409" t="str">
        <f>_xlfn.XLOOKUP(Jnl[[#This Row],[Division]],config_div[Id], config_div[Name],,0)</f>
        <v>综合管理</v>
      </c>
      <c r="T409" t="str">
        <f>IF(Jnl[[#This Row],[TrxDate]]&lt;=stmt_BS_date_end, "In", "Out")</f>
        <v>In</v>
      </c>
      <c r="U409" t="str">
        <f>IF(Jnl[[#This Row],[TrxDate]]&lt;debug_date_start, "prior", IF(Jnl[[#This Row],[TrxDate]]&gt;debug_date_end, "post", "curr"))</f>
        <v>curr</v>
      </c>
    </row>
    <row r="410" spans="1:21" hidden="1">
      <c r="A410" s="39" t="s">
        <v>619</v>
      </c>
      <c r="B410" s="6">
        <f>_xlfn.XLOOKUP(Jnl[[#This Row],[TrxId]], Trx[Id], Trx[Date],,0)</f>
        <v>46053</v>
      </c>
      <c r="C410" s="6" t="str">
        <f>_xlfn.XLOOKUP(Jnl[[#This Row],[TrxId]], Trx[Id], Trx[Division],,0)</f>
        <v>GM</v>
      </c>
      <c r="D410" s="6" t="str">
        <f>_xlfn.XLOOKUP(Jnl[[#This Row],[TrxId]], Trx[Id], Trx[Action],,0)</f>
        <v>支付</v>
      </c>
      <c r="E410" s="27" t="s">
        <v>83</v>
      </c>
      <c r="F410" s="10" t="s">
        <v>602</v>
      </c>
      <c r="G410" s="10" t="s">
        <v>152</v>
      </c>
      <c r="H410" s="37">
        <v>-37380.69</v>
      </c>
      <c r="I410" s="11" t="b">
        <f>AND(Jnl[[#This Row],[TrxId]]&lt;&gt;"",Jnl[[#This Row],[Acct]]&lt;&gt;"",Jnl[[#This Row],[Item]]&lt;&gt;"",ISNUMBER(Jnl[[#This Row],[Bal]]))</f>
        <v>1</v>
      </c>
      <c r="J410" s="9">
        <f>IF(Jnl[[#This Row],[BSLv0]]="A",1,-1)*Jnl[[#This Row],[Bal]]</f>
        <v>37380.69</v>
      </c>
      <c r="K410" t="str">
        <f>_xlfn.XLOOKUP(Jnl[[#This Row],[Acct]], config_BS[Acct], config_BS[Lv0],,0)</f>
        <v>LC</v>
      </c>
      <c r="L410" t="str">
        <f>_xlfn.XLOOKUP(Jnl[[#This Row],[Acct]], config_BS[Acct], config_BS[Lv1],,0)</f>
        <v>Liability</v>
      </c>
      <c r="M410" t="str">
        <f>_xlfn.XLOOKUP(Jnl[[#This Row],[Acct]], config_BS[Acct], config_BS[Lv2],,0)</f>
        <v>Rec-Pay</v>
      </c>
      <c r="N410" t="str">
        <f>_xlfn.XLOOKUP(Jnl[[#This Row],[TrxId]], Trx[Id], Trx[IncNode], ,0)</f>
        <v>Expense</v>
      </c>
      <c r="O410" t="str">
        <f>_xlfn.XLOOKUP(Jnl[[#This Row],[IncNode]], config_IS[Node], config_IS[Type],,0)</f>
        <v>Op</v>
      </c>
      <c r="P410" t="str">
        <f>_xlfn.XLOOKUP(Jnl[[#This Row],[BSLv2]], dict[Key], dict[Name],,0)</f>
        <v>1.应收-应付</v>
      </c>
      <c r="Q410" t="str">
        <f>_xlfn.XLOOKUP(Jnl[[#This Row],[Acct]], dict[Key], dict[Name],,0)</f>
        <v>应付-薪资</v>
      </c>
      <c r="R410" t="str">
        <f>_xlfn.XLOOKUP(Jnl[[#This Row],[Vehicle]],config_vehicle[Id], config_vehicle[Name],,0)</f>
        <v>喜家文化</v>
      </c>
      <c r="S410" t="str">
        <f>_xlfn.XLOOKUP(Jnl[[#This Row],[Division]],config_div[Id], config_div[Name],,0)</f>
        <v>综合管理</v>
      </c>
      <c r="T410" t="str">
        <f>IF(Jnl[[#This Row],[TrxDate]]&lt;=stmt_BS_date_end, "In", "Out")</f>
        <v>In</v>
      </c>
      <c r="U410" t="str">
        <f>IF(Jnl[[#This Row],[TrxDate]]&lt;debug_date_start, "prior", IF(Jnl[[#This Row],[TrxDate]]&gt;debug_date_end, "post", "curr"))</f>
        <v>curr</v>
      </c>
    </row>
    <row r="411" spans="1:21" hidden="1">
      <c r="A411" s="39" t="s">
        <v>619</v>
      </c>
      <c r="B411" s="6">
        <f>_xlfn.XLOOKUP(Jnl[[#This Row],[TrxId]], Trx[Id], Trx[Date],,0)</f>
        <v>46053</v>
      </c>
      <c r="C411" s="6" t="str">
        <f>_xlfn.XLOOKUP(Jnl[[#This Row],[TrxId]], Trx[Id], Trx[Division],,0)</f>
        <v>GM</v>
      </c>
      <c r="D411" s="6" t="str">
        <f>_xlfn.XLOOKUP(Jnl[[#This Row],[TrxId]], Trx[Id], Trx[Action],,0)</f>
        <v>支付</v>
      </c>
      <c r="E411" s="27" t="s">
        <v>83</v>
      </c>
      <c r="F411" s="10" t="s">
        <v>601</v>
      </c>
      <c r="G411" s="10" t="s">
        <v>349</v>
      </c>
      <c r="H411" s="37">
        <v>-2385.75</v>
      </c>
      <c r="I411" s="11" t="b">
        <f>AND(Jnl[[#This Row],[TrxId]]&lt;&gt;"",Jnl[[#This Row],[Acct]]&lt;&gt;"",Jnl[[#This Row],[Item]]&lt;&gt;"",ISNUMBER(Jnl[[#This Row],[Bal]]))</f>
        <v>1</v>
      </c>
      <c r="J411" s="9">
        <f>IF(Jnl[[#This Row],[BSLv0]]="A",1,-1)*Jnl[[#This Row],[Bal]]</f>
        <v>-2385.75</v>
      </c>
      <c r="K411" t="str">
        <f>_xlfn.XLOOKUP(Jnl[[#This Row],[Acct]], config_BS[Acct], config_BS[Lv0],,0)</f>
        <v>A</v>
      </c>
      <c r="L411" t="str">
        <f>_xlfn.XLOOKUP(Jnl[[#This Row],[Acct]], config_BS[Acct], config_BS[Lv1],,0)</f>
        <v>Assets</v>
      </c>
      <c r="M411" t="str">
        <f>_xlfn.XLOOKUP(Jnl[[#This Row],[Acct]], config_BS[Acct], config_BS[Lv2],,0)</f>
        <v>Rec-Pay</v>
      </c>
      <c r="N411" t="str">
        <f>_xlfn.XLOOKUP(Jnl[[#This Row],[TrxId]], Trx[Id], Trx[IncNode], ,0)</f>
        <v>Expense</v>
      </c>
      <c r="O411" t="str">
        <f>_xlfn.XLOOKUP(Jnl[[#This Row],[IncNode]], config_IS[Node], config_IS[Type],,0)</f>
        <v>Op</v>
      </c>
      <c r="P411" t="str">
        <f>_xlfn.XLOOKUP(Jnl[[#This Row],[BSLv2]], dict[Key], dict[Name],,0)</f>
        <v>1.应收-应付</v>
      </c>
      <c r="Q411" t="str">
        <f>_xlfn.XLOOKUP(Jnl[[#This Row],[Acct]], dict[Key], dict[Name],,0)</f>
        <v>应收-其他</v>
      </c>
      <c r="R411" t="str">
        <f>_xlfn.XLOOKUP(Jnl[[#This Row],[Vehicle]],config_vehicle[Id], config_vehicle[Name],,0)</f>
        <v>喜家文化</v>
      </c>
      <c r="S411" t="str">
        <f>_xlfn.XLOOKUP(Jnl[[#This Row],[Division]],config_div[Id], config_div[Name],,0)</f>
        <v>综合管理</v>
      </c>
      <c r="T411" t="str">
        <f>IF(Jnl[[#This Row],[TrxDate]]&lt;=stmt_BS_date_end, "In", "Out")</f>
        <v>In</v>
      </c>
      <c r="U411" t="str">
        <f>IF(Jnl[[#This Row],[TrxDate]]&lt;debug_date_start, "prior", IF(Jnl[[#This Row],[TrxDate]]&gt;debug_date_end, "post", "curr"))</f>
        <v>curr</v>
      </c>
    </row>
    <row r="412" spans="1:21" hidden="1">
      <c r="A412" s="39" t="s">
        <v>619</v>
      </c>
      <c r="B412" s="6">
        <f>_xlfn.XLOOKUP(Jnl[[#This Row],[TrxId]], Trx[Id], Trx[Date],,0)</f>
        <v>46053</v>
      </c>
      <c r="C412" s="6" t="str">
        <f>_xlfn.XLOOKUP(Jnl[[#This Row],[TrxId]], Trx[Id], Trx[Division],,0)</f>
        <v>GM</v>
      </c>
      <c r="D412" s="6" t="str">
        <f>_xlfn.XLOOKUP(Jnl[[#This Row],[TrxId]], Trx[Id], Trx[Action],,0)</f>
        <v>支付</v>
      </c>
      <c r="E412" s="27" t="s">
        <v>83</v>
      </c>
      <c r="F412" s="10" t="s">
        <v>130</v>
      </c>
      <c r="G412" s="10" t="s">
        <v>348</v>
      </c>
      <c r="H412" s="37">
        <v>299.85000000000002</v>
      </c>
      <c r="I412" s="11" t="b">
        <f>AND(Jnl[[#This Row],[TrxId]]&lt;&gt;"",Jnl[[#This Row],[Acct]]&lt;&gt;"",Jnl[[#This Row],[Item]]&lt;&gt;"",ISNUMBER(Jnl[[#This Row],[Bal]]))</f>
        <v>1</v>
      </c>
      <c r="J412" s="9">
        <f>IF(Jnl[[#This Row],[BSLv0]]="A",1,-1)*Jnl[[#This Row],[Bal]]</f>
        <v>-299.85000000000002</v>
      </c>
      <c r="K412" t="str">
        <f>_xlfn.XLOOKUP(Jnl[[#This Row],[Acct]], config_BS[Acct], config_BS[Lv0],,0)</f>
        <v>LC</v>
      </c>
      <c r="L412" t="str">
        <f>_xlfn.XLOOKUP(Jnl[[#This Row],[Acct]], config_BS[Acct], config_BS[Lv1],,0)</f>
        <v>Liability</v>
      </c>
      <c r="M412" t="str">
        <f>_xlfn.XLOOKUP(Jnl[[#This Row],[Acct]], config_BS[Acct], config_BS[Lv2],,0)</f>
        <v>Rec-Pay</v>
      </c>
      <c r="N412" t="str">
        <f>_xlfn.XLOOKUP(Jnl[[#This Row],[TrxId]], Trx[Id], Trx[IncNode], ,0)</f>
        <v>Expense</v>
      </c>
      <c r="O412" t="str">
        <f>_xlfn.XLOOKUP(Jnl[[#This Row],[IncNode]], config_IS[Node], config_IS[Type],,0)</f>
        <v>Op</v>
      </c>
      <c r="P412" t="str">
        <f>_xlfn.XLOOKUP(Jnl[[#This Row],[BSLv2]], dict[Key], dict[Name],,0)</f>
        <v>1.应收-应付</v>
      </c>
      <c r="Q412" t="str">
        <f>_xlfn.XLOOKUP(Jnl[[#This Row],[Acct]], dict[Key], dict[Name],,0)</f>
        <v>应付-税款</v>
      </c>
      <c r="R412" t="str">
        <f>_xlfn.XLOOKUP(Jnl[[#This Row],[Vehicle]],config_vehicle[Id], config_vehicle[Name],,0)</f>
        <v>喜家文化</v>
      </c>
      <c r="S412" t="str">
        <f>_xlfn.XLOOKUP(Jnl[[#This Row],[Division]],config_div[Id], config_div[Name],,0)</f>
        <v>综合管理</v>
      </c>
      <c r="T412" t="str">
        <f>IF(Jnl[[#This Row],[TrxDate]]&lt;=stmt_BS_date_end, "In", "Out")</f>
        <v>In</v>
      </c>
      <c r="U412" t="str">
        <f>IF(Jnl[[#This Row],[TrxDate]]&lt;debug_date_start, "prior", IF(Jnl[[#This Row],[TrxDate]]&gt;debug_date_end, "post", "curr"))</f>
        <v>curr</v>
      </c>
    </row>
    <row r="413" spans="1:21" hidden="1">
      <c r="A413" s="39" t="s">
        <v>620</v>
      </c>
      <c r="B413" s="6">
        <f>_xlfn.XLOOKUP(Jnl[[#This Row],[TrxId]], Trx[Id], Trx[Date],,0)</f>
        <v>46053</v>
      </c>
      <c r="C413" s="6" t="str">
        <f>_xlfn.XLOOKUP(Jnl[[#This Row],[TrxId]], Trx[Id], Trx[Division],,0)</f>
        <v>GM</v>
      </c>
      <c r="D413" s="6" t="str">
        <f>_xlfn.XLOOKUP(Jnl[[#This Row],[TrxId]], Trx[Id], Trx[Action],,0)</f>
        <v>支付</v>
      </c>
      <c r="E413" s="27" t="s">
        <v>83</v>
      </c>
      <c r="F413" s="10" t="s">
        <v>130</v>
      </c>
      <c r="G413" s="10" t="s">
        <v>348</v>
      </c>
      <c r="H413" s="37">
        <v>-299.85000000000002</v>
      </c>
      <c r="I413" s="11" t="b">
        <f>AND(Jnl[[#This Row],[TrxId]]&lt;&gt;"",Jnl[[#This Row],[Acct]]&lt;&gt;"",Jnl[[#This Row],[Item]]&lt;&gt;"",ISNUMBER(Jnl[[#This Row],[Bal]]))</f>
        <v>1</v>
      </c>
      <c r="J413" s="9">
        <f>IF(Jnl[[#This Row],[BSLv0]]="A",1,-1)*Jnl[[#This Row],[Bal]]</f>
        <v>299.85000000000002</v>
      </c>
      <c r="K413" t="str">
        <f>_xlfn.XLOOKUP(Jnl[[#This Row],[Acct]], config_BS[Acct], config_BS[Lv0],,0)</f>
        <v>LC</v>
      </c>
      <c r="L413" t="str">
        <f>_xlfn.XLOOKUP(Jnl[[#This Row],[Acct]], config_BS[Acct], config_BS[Lv1],,0)</f>
        <v>Liability</v>
      </c>
      <c r="M413" t="str">
        <f>_xlfn.XLOOKUP(Jnl[[#This Row],[Acct]], config_BS[Acct], config_BS[Lv2],,0)</f>
        <v>Rec-Pay</v>
      </c>
      <c r="N413" t="str">
        <f>_xlfn.XLOOKUP(Jnl[[#This Row],[TrxId]], Trx[Id], Trx[IncNode], ,0)</f>
        <v>Expense</v>
      </c>
      <c r="O413" t="str">
        <f>_xlfn.XLOOKUP(Jnl[[#This Row],[IncNode]], config_IS[Node], config_IS[Type],,0)</f>
        <v>Op</v>
      </c>
      <c r="P413" t="str">
        <f>_xlfn.XLOOKUP(Jnl[[#This Row],[BSLv2]], dict[Key], dict[Name],,0)</f>
        <v>1.应收-应付</v>
      </c>
      <c r="Q413" t="str">
        <f>_xlfn.XLOOKUP(Jnl[[#This Row],[Acct]], dict[Key], dict[Name],,0)</f>
        <v>应付-税款</v>
      </c>
      <c r="R413" t="str">
        <f>_xlfn.XLOOKUP(Jnl[[#This Row],[Vehicle]],config_vehicle[Id], config_vehicle[Name],,0)</f>
        <v>喜家文化</v>
      </c>
      <c r="S413" t="str">
        <f>_xlfn.XLOOKUP(Jnl[[#This Row],[Division]],config_div[Id], config_div[Name],,0)</f>
        <v>综合管理</v>
      </c>
      <c r="T413" t="str">
        <f>IF(Jnl[[#This Row],[TrxDate]]&lt;=stmt_BS_date_end, "In", "Out")</f>
        <v>In</v>
      </c>
      <c r="U413" t="str">
        <f>IF(Jnl[[#This Row],[TrxDate]]&lt;debug_date_start, "prior", IF(Jnl[[#This Row],[TrxDate]]&gt;debug_date_end, "post", "curr"))</f>
        <v>curr</v>
      </c>
    </row>
    <row r="414" spans="1:21" hidden="1">
      <c r="A414" s="39" t="s">
        <v>620</v>
      </c>
      <c r="B414" s="6">
        <f>_xlfn.XLOOKUP(Jnl[[#This Row],[TrxId]], Trx[Id], Trx[Date],,0)</f>
        <v>46053</v>
      </c>
      <c r="C414" s="6" t="str">
        <f>_xlfn.XLOOKUP(Jnl[[#This Row],[TrxId]], Trx[Id], Trx[Division],,0)</f>
        <v>GM</v>
      </c>
      <c r="D414" s="6" t="str">
        <f>_xlfn.XLOOKUP(Jnl[[#This Row],[TrxId]], Trx[Id], Trx[Action],,0)</f>
        <v>支付</v>
      </c>
      <c r="E414" s="27" t="s">
        <v>83</v>
      </c>
      <c r="F414" s="10" t="s">
        <v>596</v>
      </c>
      <c r="G414" s="10" t="s">
        <v>397</v>
      </c>
      <c r="H414" s="37">
        <v>-299.85000000000002</v>
      </c>
      <c r="I414" s="11" t="b">
        <f>AND(Jnl[[#This Row],[TrxId]]&lt;&gt;"",Jnl[[#This Row],[Acct]]&lt;&gt;"",Jnl[[#This Row],[Item]]&lt;&gt;"",ISNUMBER(Jnl[[#This Row],[Bal]]))</f>
        <v>1</v>
      </c>
      <c r="J414" s="9">
        <f>IF(Jnl[[#This Row],[BSLv0]]="A",1,-1)*Jnl[[#This Row],[Bal]]</f>
        <v>-299.85000000000002</v>
      </c>
      <c r="K414" t="str">
        <f>_xlfn.XLOOKUP(Jnl[[#This Row],[Acct]], config_BS[Acct], config_BS[Lv0],,0)</f>
        <v>A</v>
      </c>
      <c r="L414" t="str">
        <f>_xlfn.XLOOKUP(Jnl[[#This Row],[Acct]], config_BS[Acct], config_BS[Lv1],,0)</f>
        <v>Assets</v>
      </c>
      <c r="M414" t="str">
        <f>_xlfn.XLOOKUP(Jnl[[#This Row],[Acct]], config_BS[Acct], config_BS[Lv2],,0)</f>
        <v>Cash alike</v>
      </c>
      <c r="N414" t="str">
        <f>_xlfn.XLOOKUP(Jnl[[#This Row],[TrxId]], Trx[Id], Trx[IncNode], ,0)</f>
        <v>Expense</v>
      </c>
      <c r="O414" t="str">
        <f>_xlfn.XLOOKUP(Jnl[[#This Row],[IncNode]], config_IS[Node], config_IS[Type],,0)</f>
        <v>Op</v>
      </c>
      <c r="P414" t="str">
        <f>_xlfn.XLOOKUP(Jnl[[#This Row],[BSLv2]], dict[Key], dict[Name],,0)</f>
        <v>0.现金及类似</v>
      </c>
      <c r="Q414" t="str">
        <f>_xlfn.XLOOKUP(Jnl[[#This Row],[Acct]], dict[Key], dict[Name],,0)</f>
        <v>银行</v>
      </c>
      <c r="R414" t="str">
        <f>_xlfn.XLOOKUP(Jnl[[#This Row],[Vehicle]],config_vehicle[Id], config_vehicle[Name],,0)</f>
        <v>喜家文化</v>
      </c>
      <c r="S414" t="str">
        <f>_xlfn.XLOOKUP(Jnl[[#This Row],[Division]],config_div[Id], config_div[Name],,0)</f>
        <v>综合管理</v>
      </c>
      <c r="T414" t="str">
        <f>IF(Jnl[[#This Row],[TrxDate]]&lt;=stmt_BS_date_end, "In", "Out")</f>
        <v>In</v>
      </c>
      <c r="U414" t="str">
        <f>IF(Jnl[[#This Row],[TrxDate]]&lt;debug_date_start, "prior", IF(Jnl[[#This Row],[TrxDate]]&gt;debug_date_end, "post", "curr"))</f>
        <v>curr</v>
      </c>
    </row>
    <row r="415" spans="1:21" hidden="1">
      <c r="A415" s="39" t="s">
        <v>621</v>
      </c>
      <c r="B415" s="6">
        <f>_xlfn.XLOOKUP(Jnl[[#This Row],[TrxId]], Trx[Id], Trx[Date],,0)</f>
        <v>46053</v>
      </c>
      <c r="C415" s="6" t="str">
        <f>_xlfn.XLOOKUP(Jnl[[#This Row],[TrxId]], Trx[Id], Trx[Division],,0)</f>
        <v>Ctrl</v>
      </c>
      <c r="D415" s="6" t="str">
        <f>_xlfn.XLOOKUP(Jnl[[#This Row],[TrxId]], Trx[Id], Trx[Action],,0)</f>
        <v>支付</v>
      </c>
      <c r="E415" s="27" t="s">
        <v>83</v>
      </c>
      <c r="F415" s="10" t="s">
        <v>130</v>
      </c>
      <c r="G415" s="10" t="s">
        <v>312</v>
      </c>
      <c r="H415" s="37">
        <v>-11047.53</v>
      </c>
      <c r="I415" s="11" t="b">
        <f>AND(Jnl[[#This Row],[TrxId]]&lt;&gt;"",Jnl[[#This Row],[Acct]]&lt;&gt;"",Jnl[[#This Row],[Item]]&lt;&gt;"",ISNUMBER(Jnl[[#This Row],[Bal]]))</f>
        <v>1</v>
      </c>
      <c r="J415" s="9">
        <f>IF(Jnl[[#This Row],[BSLv0]]="A",1,-1)*Jnl[[#This Row],[Bal]]</f>
        <v>11047.53</v>
      </c>
      <c r="K415" t="str">
        <f>_xlfn.XLOOKUP(Jnl[[#This Row],[Acct]], config_BS[Acct], config_BS[Lv0],,0)</f>
        <v>LC</v>
      </c>
      <c r="L415" t="str">
        <f>_xlfn.XLOOKUP(Jnl[[#This Row],[Acct]], config_BS[Acct], config_BS[Lv1],,0)</f>
        <v>Liability</v>
      </c>
      <c r="M415" t="str">
        <f>_xlfn.XLOOKUP(Jnl[[#This Row],[Acct]], config_BS[Acct], config_BS[Lv2],,0)</f>
        <v>Rec-Pay</v>
      </c>
      <c r="N415" t="str">
        <f>_xlfn.XLOOKUP(Jnl[[#This Row],[TrxId]], Trx[Id], Trx[IncNode], ,0)</f>
        <v>Expense</v>
      </c>
      <c r="O415" t="str">
        <f>_xlfn.XLOOKUP(Jnl[[#This Row],[IncNode]], config_IS[Node], config_IS[Type],,0)</f>
        <v>Op</v>
      </c>
      <c r="P415" t="str">
        <f>_xlfn.XLOOKUP(Jnl[[#This Row],[BSLv2]], dict[Key], dict[Name],,0)</f>
        <v>1.应收-应付</v>
      </c>
      <c r="Q415" t="str">
        <f>_xlfn.XLOOKUP(Jnl[[#This Row],[Acct]], dict[Key], dict[Name],,0)</f>
        <v>应付-税款</v>
      </c>
      <c r="R415" t="str">
        <f>_xlfn.XLOOKUP(Jnl[[#This Row],[Vehicle]],config_vehicle[Id], config_vehicle[Name],,0)</f>
        <v>喜家文化</v>
      </c>
      <c r="S415" t="str">
        <f>_xlfn.XLOOKUP(Jnl[[#This Row],[Division]],config_div[Id], config_div[Name],,0)</f>
        <v>内控合规</v>
      </c>
      <c r="T415" t="str">
        <f>IF(Jnl[[#This Row],[TrxDate]]&lt;=stmt_BS_date_end, "In", "Out")</f>
        <v>In</v>
      </c>
      <c r="U415" t="str">
        <f>IF(Jnl[[#This Row],[TrxDate]]&lt;debug_date_start, "prior", IF(Jnl[[#This Row],[TrxDate]]&gt;debug_date_end, "post", "curr"))</f>
        <v>curr</v>
      </c>
    </row>
    <row r="416" spans="1:21" hidden="1">
      <c r="A416" s="39" t="s">
        <v>621</v>
      </c>
      <c r="B416" s="6">
        <f>_xlfn.XLOOKUP(Jnl[[#This Row],[TrxId]], Trx[Id], Trx[Date],,0)</f>
        <v>46053</v>
      </c>
      <c r="C416" s="6" t="str">
        <f>_xlfn.XLOOKUP(Jnl[[#This Row],[TrxId]], Trx[Id], Trx[Division],,0)</f>
        <v>Ctrl</v>
      </c>
      <c r="D416" s="6" t="str">
        <f>_xlfn.XLOOKUP(Jnl[[#This Row],[TrxId]], Trx[Id], Trx[Action],,0)</f>
        <v>支付</v>
      </c>
      <c r="E416" s="27" t="s">
        <v>83</v>
      </c>
      <c r="F416" s="10" t="s">
        <v>130</v>
      </c>
      <c r="G416" s="10" t="s">
        <v>622</v>
      </c>
      <c r="H416" s="37">
        <v>-78.09</v>
      </c>
      <c r="I416" s="11" t="b">
        <f>AND(Jnl[[#This Row],[TrxId]]&lt;&gt;"",Jnl[[#This Row],[Acct]]&lt;&gt;"",Jnl[[#This Row],[Item]]&lt;&gt;"",ISNUMBER(Jnl[[#This Row],[Bal]]))</f>
        <v>1</v>
      </c>
      <c r="J416" s="9">
        <f>IF(Jnl[[#This Row],[BSLv0]]="A",1,-1)*Jnl[[#This Row],[Bal]]</f>
        <v>78.09</v>
      </c>
      <c r="K416" t="str">
        <f>_xlfn.XLOOKUP(Jnl[[#This Row],[Acct]], config_BS[Acct], config_BS[Lv0],,0)</f>
        <v>LC</v>
      </c>
      <c r="L416" t="str">
        <f>_xlfn.XLOOKUP(Jnl[[#This Row],[Acct]], config_BS[Acct], config_BS[Lv1],,0)</f>
        <v>Liability</v>
      </c>
      <c r="M416" t="str">
        <f>_xlfn.XLOOKUP(Jnl[[#This Row],[Acct]], config_BS[Acct], config_BS[Lv2],,0)</f>
        <v>Rec-Pay</v>
      </c>
      <c r="N416" t="str">
        <f>_xlfn.XLOOKUP(Jnl[[#This Row],[TrxId]], Trx[Id], Trx[IncNode], ,0)</f>
        <v>Expense</v>
      </c>
      <c r="O416" t="str">
        <f>_xlfn.XLOOKUP(Jnl[[#This Row],[IncNode]], config_IS[Node], config_IS[Type],,0)</f>
        <v>Op</v>
      </c>
      <c r="P416" t="str">
        <f>_xlfn.XLOOKUP(Jnl[[#This Row],[BSLv2]], dict[Key], dict[Name],,0)</f>
        <v>1.应收-应付</v>
      </c>
      <c r="Q416" t="str">
        <f>_xlfn.XLOOKUP(Jnl[[#This Row],[Acct]], dict[Key], dict[Name],,0)</f>
        <v>应付-税款</v>
      </c>
      <c r="R416" t="str">
        <f>_xlfn.XLOOKUP(Jnl[[#This Row],[Vehicle]],config_vehicle[Id], config_vehicle[Name],,0)</f>
        <v>喜家文化</v>
      </c>
      <c r="S416" t="str">
        <f>_xlfn.XLOOKUP(Jnl[[#This Row],[Division]],config_div[Id], config_div[Name],,0)</f>
        <v>内控合规</v>
      </c>
      <c r="T416" t="str">
        <f>IF(Jnl[[#This Row],[TrxDate]]&lt;=stmt_BS_date_end, "In", "Out")</f>
        <v>In</v>
      </c>
      <c r="U416" t="str">
        <f>IF(Jnl[[#This Row],[TrxDate]]&lt;debug_date_start, "prior", IF(Jnl[[#This Row],[TrxDate]]&gt;debug_date_end, "post", "curr"))</f>
        <v>curr</v>
      </c>
    </row>
    <row r="417" spans="1:21" hidden="1">
      <c r="A417" s="39" t="s">
        <v>621</v>
      </c>
      <c r="B417" s="6">
        <f>_xlfn.XLOOKUP(Jnl[[#This Row],[TrxId]], Trx[Id], Trx[Date],,0)</f>
        <v>46053</v>
      </c>
      <c r="C417" s="6" t="str">
        <f>_xlfn.XLOOKUP(Jnl[[#This Row],[TrxId]], Trx[Id], Trx[Division],,0)</f>
        <v>Ctrl</v>
      </c>
      <c r="D417" s="6" t="str">
        <f>_xlfn.XLOOKUP(Jnl[[#This Row],[TrxId]], Trx[Id], Trx[Action],,0)</f>
        <v>支付</v>
      </c>
      <c r="E417" s="27" t="s">
        <v>83</v>
      </c>
      <c r="F417" s="10" t="s">
        <v>130</v>
      </c>
      <c r="G417" s="10" t="s">
        <v>353</v>
      </c>
      <c r="H417" s="37">
        <v>-667.52</v>
      </c>
      <c r="I417" s="11" t="b">
        <f>AND(Jnl[[#This Row],[TrxId]]&lt;&gt;"",Jnl[[#This Row],[Acct]]&lt;&gt;"",Jnl[[#This Row],[Item]]&lt;&gt;"",ISNUMBER(Jnl[[#This Row],[Bal]]))</f>
        <v>1</v>
      </c>
      <c r="J417" s="9">
        <f>IF(Jnl[[#This Row],[BSLv0]]="A",1,-1)*Jnl[[#This Row],[Bal]]</f>
        <v>667.52</v>
      </c>
      <c r="K417" t="str">
        <f>_xlfn.XLOOKUP(Jnl[[#This Row],[Acct]], config_BS[Acct], config_BS[Lv0],,0)</f>
        <v>LC</v>
      </c>
      <c r="L417" t="str">
        <f>_xlfn.XLOOKUP(Jnl[[#This Row],[Acct]], config_BS[Acct], config_BS[Lv1],,0)</f>
        <v>Liability</v>
      </c>
      <c r="M417" t="str">
        <f>_xlfn.XLOOKUP(Jnl[[#This Row],[Acct]], config_BS[Acct], config_BS[Lv2],,0)</f>
        <v>Rec-Pay</v>
      </c>
      <c r="N417" t="str">
        <f>_xlfn.XLOOKUP(Jnl[[#This Row],[TrxId]], Trx[Id], Trx[IncNode], ,0)</f>
        <v>Expense</v>
      </c>
      <c r="O417" t="str">
        <f>_xlfn.XLOOKUP(Jnl[[#This Row],[IncNode]], config_IS[Node], config_IS[Type],,0)</f>
        <v>Op</v>
      </c>
      <c r="P417" t="str">
        <f>_xlfn.XLOOKUP(Jnl[[#This Row],[BSLv2]], dict[Key], dict[Name],,0)</f>
        <v>1.应收-应付</v>
      </c>
      <c r="Q417" t="str">
        <f>_xlfn.XLOOKUP(Jnl[[#This Row],[Acct]], dict[Key], dict[Name],,0)</f>
        <v>应付-税款</v>
      </c>
      <c r="R417" t="str">
        <f>_xlfn.XLOOKUP(Jnl[[#This Row],[Vehicle]],config_vehicle[Id], config_vehicle[Name],,0)</f>
        <v>喜家文化</v>
      </c>
      <c r="S417" t="str">
        <f>_xlfn.XLOOKUP(Jnl[[#This Row],[Division]],config_div[Id], config_div[Name],,0)</f>
        <v>内控合规</v>
      </c>
      <c r="T417" t="str">
        <f>IF(Jnl[[#This Row],[TrxDate]]&lt;=stmt_BS_date_end, "In", "Out")</f>
        <v>In</v>
      </c>
      <c r="U417" t="str">
        <f>IF(Jnl[[#This Row],[TrxDate]]&lt;debug_date_start, "prior", IF(Jnl[[#This Row],[TrxDate]]&gt;debug_date_end, "post", "curr"))</f>
        <v>curr</v>
      </c>
    </row>
    <row r="418" spans="1:21" hidden="1">
      <c r="A418" s="39" t="s">
        <v>621</v>
      </c>
      <c r="B418" s="6">
        <f>_xlfn.XLOOKUP(Jnl[[#This Row],[TrxId]], Trx[Id], Trx[Date],,0)</f>
        <v>46053</v>
      </c>
      <c r="C418" s="6" t="str">
        <f>_xlfn.XLOOKUP(Jnl[[#This Row],[TrxId]], Trx[Id], Trx[Division],,0)</f>
        <v>Ctrl</v>
      </c>
      <c r="D418" s="6" t="str">
        <f>_xlfn.XLOOKUP(Jnl[[#This Row],[TrxId]], Trx[Id], Trx[Action],,0)</f>
        <v>支付</v>
      </c>
      <c r="E418" s="27" t="s">
        <v>83</v>
      </c>
      <c r="F418" s="10" t="s">
        <v>130</v>
      </c>
      <c r="G418" s="10" t="s">
        <v>354</v>
      </c>
      <c r="H418" s="37">
        <v>-980.15</v>
      </c>
      <c r="I418" s="11" t="b">
        <f>AND(Jnl[[#This Row],[TrxId]]&lt;&gt;"",Jnl[[#This Row],[Acct]]&lt;&gt;"",Jnl[[#This Row],[Item]]&lt;&gt;"",ISNUMBER(Jnl[[#This Row],[Bal]]))</f>
        <v>1</v>
      </c>
      <c r="J418" s="9">
        <f>IF(Jnl[[#This Row],[BSLv0]]="A",1,-1)*Jnl[[#This Row],[Bal]]</f>
        <v>980.15</v>
      </c>
      <c r="K418" t="str">
        <f>_xlfn.XLOOKUP(Jnl[[#This Row],[Acct]], config_BS[Acct], config_BS[Lv0],,0)</f>
        <v>LC</v>
      </c>
      <c r="L418" t="str">
        <f>_xlfn.XLOOKUP(Jnl[[#This Row],[Acct]], config_BS[Acct], config_BS[Lv1],,0)</f>
        <v>Liability</v>
      </c>
      <c r="M418" t="str">
        <f>_xlfn.XLOOKUP(Jnl[[#This Row],[Acct]], config_BS[Acct], config_BS[Lv2],,0)</f>
        <v>Rec-Pay</v>
      </c>
      <c r="N418" t="str">
        <f>_xlfn.XLOOKUP(Jnl[[#This Row],[TrxId]], Trx[Id], Trx[IncNode], ,0)</f>
        <v>Expense</v>
      </c>
      <c r="O418" t="str">
        <f>_xlfn.XLOOKUP(Jnl[[#This Row],[IncNode]], config_IS[Node], config_IS[Type],,0)</f>
        <v>Op</v>
      </c>
      <c r="P418" t="str">
        <f>_xlfn.XLOOKUP(Jnl[[#This Row],[BSLv2]], dict[Key], dict[Name],,0)</f>
        <v>1.应收-应付</v>
      </c>
      <c r="Q418" t="str">
        <f>_xlfn.XLOOKUP(Jnl[[#This Row],[Acct]], dict[Key], dict[Name],,0)</f>
        <v>应付-税款</v>
      </c>
      <c r="R418" t="str">
        <f>_xlfn.XLOOKUP(Jnl[[#This Row],[Vehicle]],config_vehicle[Id], config_vehicle[Name],,0)</f>
        <v>喜家文化</v>
      </c>
      <c r="S418" t="str">
        <f>_xlfn.XLOOKUP(Jnl[[#This Row],[Division]],config_div[Id], config_div[Name],,0)</f>
        <v>内控合规</v>
      </c>
      <c r="T418" t="str">
        <f>IF(Jnl[[#This Row],[TrxDate]]&lt;=stmt_BS_date_end, "In", "Out")</f>
        <v>In</v>
      </c>
      <c r="U418" t="str">
        <f>IF(Jnl[[#This Row],[TrxDate]]&lt;debug_date_start, "prior", IF(Jnl[[#This Row],[TrxDate]]&gt;debug_date_end, "post", "curr"))</f>
        <v>curr</v>
      </c>
    </row>
    <row r="419" spans="1:21" hidden="1">
      <c r="A419" s="39" t="s">
        <v>621</v>
      </c>
      <c r="B419" s="6">
        <f>_xlfn.XLOOKUP(Jnl[[#This Row],[TrxId]], Trx[Id], Trx[Date],,0)</f>
        <v>46053</v>
      </c>
      <c r="C419" s="6" t="str">
        <f>_xlfn.XLOOKUP(Jnl[[#This Row],[TrxId]], Trx[Id], Trx[Division],,0)</f>
        <v>Ctrl</v>
      </c>
      <c r="D419" s="6" t="str">
        <f>_xlfn.XLOOKUP(Jnl[[#This Row],[TrxId]], Trx[Id], Trx[Action],,0)</f>
        <v>支付</v>
      </c>
      <c r="E419" s="27" t="s">
        <v>83</v>
      </c>
      <c r="F419" s="10" t="s">
        <v>130</v>
      </c>
      <c r="G419" s="10" t="s">
        <v>352</v>
      </c>
      <c r="H419" s="37">
        <v>-17957.240000000002</v>
      </c>
      <c r="I419" s="11" t="b">
        <f>AND(Jnl[[#This Row],[TrxId]]&lt;&gt;"",Jnl[[#This Row],[Acct]]&lt;&gt;"",Jnl[[#This Row],[Item]]&lt;&gt;"",ISNUMBER(Jnl[[#This Row],[Bal]]))</f>
        <v>1</v>
      </c>
      <c r="J419" s="9">
        <f>IF(Jnl[[#This Row],[BSLv0]]="A",1,-1)*Jnl[[#This Row],[Bal]]</f>
        <v>17957.240000000002</v>
      </c>
      <c r="K419" t="str">
        <f>_xlfn.XLOOKUP(Jnl[[#This Row],[Acct]], config_BS[Acct], config_BS[Lv0],,0)</f>
        <v>LC</v>
      </c>
      <c r="L419" t="str">
        <f>_xlfn.XLOOKUP(Jnl[[#This Row],[Acct]], config_BS[Acct], config_BS[Lv1],,0)</f>
        <v>Liability</v>
      </c>
      <c r="M419" t="str">
        <f>_xlfn.XLOOKUP(Jnl[[#This Row],[Acct]], config_BS[Acct], config_BS[Lv2],,0)</f>
        <v>Rec-Pay</v>
      </c>
      <c r="N419" t="str">
        <f>_xlfn.XLOOKUP(Jnl[[#This Row],[TrxId]], Trx[Id], Trx[IncNode], ,0)</f>
        <v>Expense</v>
      </c>
      <c r="O419" t="str">
        <f>_xlfn.XLOOKUP(Jnl[[#This Row],[IncNode]], config_IS[Node], config_IS[Type],,0)</f>
        <v>Op</v>
      </c>
      <c r="P419" t="str">
        <f>_xlfn.XLOOKUP(Jnl[[#This Row],[BSLv2]], dict[Key], dict[Name],,0)</f>
        <v>1.应收-应付</v>
      </c>
      <c r="Q419" t="str">
        <f>_xlfn.XLOOKUP(Jnl[[#This Row],[Acct]], dict[Key], dict[Name],,0)</f>
        <v>应付-税款</v>
      </c>
      <c r="R419" t="str">
        <f>_xlfn.XLOOKUP(Jnl[[#This Row],[Vehicle]],config_vehicle[Id], config_vehicle[Name],,0)</f>
        <v>喜家文化</v>
      </c>
      <c r="S419" t="str">
        <f>_xlfn.XLOOKUP(Jnl[[#This Row],[Division]],config_div[Id], config_div[Name],,0)</f>
        <v>内控合规</v>
      </c>
      <c r="T419" t="str">
        <f>IF(Jnl[[#This Row],[TrxDate]]&lt;=stmt_BS_date_end, "In", "Out")</f>
        <v>In</v>
      </c>
      <c r="U419" t="str">
        <f>IF(Jnl[[#This Row],[TrxDate]]&lt;debug_date_start, "prior", IF(Jnl[[#This Row],[TrxDate]]&gt;debug_date_end, "post", "curr"))</f>
        <v>curr</v>
      </c>
    </row>
    <row r="420" spans="1:21" hidden="1">
      <c r="A420" s="39" t="s">
        <v>621</v>
      </c>
      <c r="B420" s="6">
        <f>_xlfn.XLOOKUP(Jnl[[#This Row],[TrxId]], Trx[Id], Trx[Date],,0)</f>
        <v>46053</v>
      </c>
      <c r="C420" s="6" t="str">
        <f>_xlfn.XLOOKUP(Jnl[[#This Row],[TrxId]], Trx[Id], Trx[Division],,0)</f>
        <v>Ctrl</v>
      </c>
      <c r="D420" s="6" t="str">
        <f>_xlfn.XLOOKUP(Jnl[[#This Row],[TrxId]], Trx[Id], Trx[Action],,0)</f>
        <v>支付</v>
      </c>
      <c r="E420" s="27" t="s">
        <v>83</v>
      </c>
      <c r="F420" s="10" t="s">
        <v>596</v>
      </c>
      <c r="G420" s="10" t="s">
        <v>397</v>
      </c>
      <c r="H420" s="37">
        <v>-30730.53</v>
      </c>
      <c r="I420" s="11" t="b">
        <f>AND(Jnl[[#This Row],[TrxId]]&lt;&gt;"",Jnl[[#This Row],[Acct]]&lt;&gt;"",Jnl[[#This Row],[Item]]&lt;&gt;"",ISNUMBER(Jnl[[#This Row],[Bal]]))</f>
        <v>1</v>
      </c>
      <c r="J420" s="9">
        <f>IF(Jnl[[#This Row],[BSLv0]]="A",1,-1)*Jnl[[#This Row],[Bal]]</f>
        <v>-30730.53</v>
      </c>
      <c r="K420" t="str">
        <f>_xlfn.XLOOKUP(Jnl[[#This Row],[Acct]], config_BS[Acct], config_BS[Lv0],,0)</f>
        <v>A</v>
      </c>
      <c r="L420" t="str">
        <f>_xlfn.XLOOKUP(Jnl[[#This Row],[Acct]], config_BS[Acct], config_BS[Lv1],,0)</f>
        <v>Assets</v>
      </c>
      <c r="M420" t="str">
        <f>_xlfn.XLOOKUP(Jnl[[#This Row],[Acct]], config_BS[Acct], config_BS[Lv2],,0)</f>
        <v>Cash alike</v>
      </c>
      <c r="N420" t="str">
        <f>_xlfn.XLOOKUP(Jnl[[#This Row],[TrxId]], Trx[Id], Trx[IncNode], ,0)</f>
        <v>Expense</v>
      </c>
      <c r="O420" t="str">
        <f>_xlfn.XLOOKUP(Jnl[[#This Row],[IncNode]], config_IS[Node], config_IS[Type],,0)</f>
        <v>Op</v>
      </c>
      <c r="P420" t="str">
        <f>_xlfn.XLOOKUP(Jnl[[#This Row],[BSLv2]], dict[Key], dict[Name],,0)</f>
        <v>0.现金及类似</v>
      </c>
      <c r="Q420" t="str">
        <f>_xlfn.XLOOKUP(Jnl[[#This Row],[Acct]], dict[Key], dict[Name],,0)</f>
        <v>银行</v>
      </c>
      <c r="R420" t="str">
        <f>_xlfn.XLOOKUP(Jnl[[#This Row],[Vehicle]],config_vehicle[Id], config_vehicle[Name],,0)</f>
        <v>喜家文化</v>
      </c>
      <c r="S420" t="str">
        <f>_xlfn.XLOOKUP(Jnl[[#This Row],[Division]],config_div[Id], config_div[Name],,0)</f>
        <v>内控合规</v>
      </c>
      <c r="T420" t="str">
        <f>IF(Jnl[[#This Row],[TrxDate]]&lt;=stmt_BS_date_end, "In", "Out")</f>
        <v>In</v>
      </c>
      <c r="U420" t="str">
        <f>IF(Jnl[[#This Row],[TrxDate]]&lt;debug_date_start, "prior", IF(Jnl[[#This Row],[TrxDate]]&gt;debug_date_end, "post", "curr"))</f>
        <v>curr</v>
      </c>
    </row>
    <row r="421" spans="1:21" hidden="1">
      <c r="A421" s="39" t="s">
        <v>623</v>
      </c>
      <c r="B421" s="6">
        <f>_xlfn.XLOOKUP(Jnl[[#This Row],[TrxId]], Trx[Id], Trx[Date],,0)</f>
        <v>46053</v>
      </c>
      <c r="C421" s="6" t="str">
        <f>_xlfn.XLOOKUP(Jnl[[#This Row],[TrxId]], Trx[Id], Trx[Division],,0)</f>
        <v>Shuijie</v>
      </c>
      <c r="D421" s="6" t="str">
        <f>_xlfn.XLOOKUP(Jnl[[#This Row],[TrxId]], Trx[Id], Trx[Action],,0)</f>
        <v>维护</v>
      </c>
      <c r="E421" s="27" t="s">
        <v>83</v>
      </c>
      <c r="F421" s="10" t="s">
        <v>596</v>
      </c>
      <c r="G421" s="10" t="s">
        <v>397</v>
      </c>
      <c r="H421" s="37">
        <v>-13366</v>
      </c>
      <c r="I421" s="11" t="b">
        <f>AND(Jnl[[#This Row],[TrxId]]&lt;&gt;"",Jnl[[#This Row],[Acct]]&lt;&gt;"",Jnl[[#This Row],[Item]]&lt;&gt;"",ISNUMBER(Jnl[[#This Row],[Bal]]))</f>
        <v>1</v>
      </c>
      <c r="J421" s="9">
        <f>IF(Jnl[[#This Row],[BSLv0]]="A",1,-1)*Jnl[[#This Row],[Bal]]</f>
        <v>-13366</v>
      </c>
      <c r="K421" t="str">
        <f>_xlfn.XLOOKUP(Jnl[[#This Row],[Acct]], config_BS[Acct], config_BS[Lv0],,0)</f>
        <v>A</v>
      </c>
      <c r="L421" t="str">
        <f>_xlfn.XLOOKUP(Jnl[[#This Row],[Acct]], config_BS[Acct], config_BS[Lv1],,0)</f>
        <v>Assets</v>
      </c>
      <c r="M421" t="str">
        <f>_xlfn.XLOOKUP(Jnl[[#This Row],[Acct]], config_BS[Acct], config_BS[Lv2],,0)</f>
        <v>Cash alike</v>
      </c>
      <c r="N421" t="str">
        <f>_xlfn.XLOOKUP(Jnl[[#This Row],[TrxId]], Trx[Id], Trx[IncNode], ,0)</f>
        <v>Expense</v>
      </c>
      <c r="O421" t="str">
        <f>_xlfn.XLOOKUP(Jnl[[#This Row],[IncNode]], config_IS[Node], config_IS[Type],,0)</f>
        <v>Op</v>
      </c>
      <c r="P421" t="str">
        <f>_xlfn.XLOOKUP(Jnl[[#This Row],[BSLv2]], dict[Key], dict[Name],,0)</f>
        <v>0.现金及类似</v>
      </c>
      <c r="Q421" t="str">
        <f>_xlfn.XLOOKUP(Jnl[[#This Row],[Acct]], dict[Key], dict[Name],,0)</f>
        <v>银行</v>
      </c>
      <c r="R421" t="str">
        <f>_xlfn.XLOOKUP(Jnl[[#This Row],[Vehicle]],config_vehicle[Id], config_vehicle[Name],,0)</f>
        <v>喜家文化</v>
      </c>
      <c r="S421" t="str">
        <f>_xlfn.XLOOKUP(Jnl[[#This Row],[Division]],config_div[Id], config_div[Name],,0)</f>
        <v>水街店</v>
      </c>
      <c r="T421" t="str">
        <f>IF(Jnl[[#This Row],[TrxDate]]&lt;=stmt_BS_date_end, "In", "Out")</f>
        <v>In</v>
      </c>
      <c r="U421" t="str">
        <f>IF(Jnl[[#This Row],[TrxDate]]&lt;debug_date_start, "prior", IF(Jnl[[#This Row],[TrxDate]]&gt;debug_date_end, "post", "curr"))</f>
        <v>curr</v>
      </c>
    </row>
    <row r="422" spans="1:21" hidden="1">
      <c r="A422" s="39" t="s">
        <v>625</v>
      </c>
      <c r="B422" s="6">
        <f>_xlfn.XLOOKUP(Jnl[[#This Row],[TrxId]], Trx[Id], Trx[Date],,0)</f>
        <v>46053</v>
      </c>
      <c r="C422" s="6" t="str">
        <f>_xlfn.XLOOKUP(Jnl[[#This Row],[TrxId]], Trx[Id], Trx[Division],,0)</f>
        <v>Shuijie</v>
      </c>
      <c r="D422" s="6" t="str">
        <f>_xlfn.XLOOKUP(Jnl[[#This Row],[TrxId]], Trx[Id], Trx[Action],,0)</f>
        <v>公共设施</v>
      </c>
      <c r="E422" s="27" t="s">
        <v>83</v>
      </c>
      <c r="F422" s="10" t="s">
        <v>498</v>
      </c>
      <c r="G422" s="10" t="s">
        <v>144</v>
      </c>
      <c r="H422" s="37">
        <v>-10066.98</v>
      </c>
      <c r="I422" s="11" t="b">
        <f>AND(Jnl[[#This Row],[TrxId]]&lt;&gt;"",Jnl[[#This Row],[Acct]]&lt;&gt;"",Jnl[[#This Row],[Item]]&lt;&gt;"",ISNUMBER(Jnl[[#This Row],[Bal]]))</f>
        <v>1</v>
      </c>
      <c r="J422" s="9">
        <f>IF(Jnl[[#This Row],[BSLv0]]="A",1,-1)*Jnl[[#This Row],[Bal]]</f>
        <v>-10066.98</v>
      </c>
      <c r="K422" t="str">
        <f>_xlfn.XLOOKUP(Jnl[[#This Row],[Acct]], config_BS[Acct], config_BS[Lv0],,0)</f>
        <v>A</v>
      </c>
      <c r="L422" t="str">
        <f>_xlfn.XLOOKUP(Jnl[[#This Row],[Acct]], config_BS[Acct], config_BS[Lv1],,0)</f>
        <v>Assets</v>
      </c>
      <c r="M422" t="str">
        <f>_xlfn.XLOOKUP(Jnl[[#This Row],[Acct]], config_BS[Acct], config_BS[Lv2],,0)</f>
        <v>Prep-Sub</v>
      </c>
      <c r="N422" t="str">
        <f>_xlfn.XLOOKUP(Jnl[[#This Row],[TrxId]], Trx[Id], Trx[IncNode], ,0)</f>
        <v>Expense</v>
      </c>
      <c r="O422" t="str">
        <f>_xlfn.XLOOKUP(Jnl[[#This Row],[IncNode]], config_IS[Node], config_IS[Type],,0)</f>
        <v>Op</v>
      </c>
      <c r="P422" t="str">
        <f>_xlfn.XLOOKUP(Jnl[[#This Row],[BSLv2]], dict[Key], dict[Name],,0)</f>
        <v>2.预付-订阅</v>
      </c>
      <c r="Q422" t="str">
        <f>_xlfn.XLOOKUP(Jnl[[#This Row],[Acct]], dict[Key], dict[Name],,0)</f>
        <v>预付订单</v>
      </c>
      <c r="R422" t="str">
        <f>_xlfn.XLOOKUP(Jnl[[#This Row],[Vehicle]],config_vehicle[Id], config_vehicle[Name],,0)</f>
        <v>喜家文化</v>
      </c>
      <c r="S422" t="str">
        <f>_xlfn.XLOOKUP(Jnl[[#This Row],[Division]],config_div[Id], config_div[Name],,0)</f>
        <v>水街店</v>
      </c>
      <c r="T422" t="str">
        <f>IF(Jnl[[#This Row],[TrxDate]]&lt;=stmt_BS_date_end, "In", "Out")</f>
        <v>In</v>
      </c>
      <c r="U422" t="str">
        <f>IF(Jnl[[#This Row],[TrxDate]]&lt;debug_date_start, "prior", IF(Jnl[[#This Row],[TrxDate]]&gt;debug_date_end, "post", "curr"))</f>
        <v>curr</v>
      </c>
    </row>
    <row r="423" spans="1:21" hidden="1">
      <c r="A423" s="39" t="s">
        <v>626</v>
      </c>
      <c r="B423" s="6">
        <f>_xlfn.XLOOKUP(Jnl[[#This Row],[TrxId]], Trx[Id], Trx[Date],,0)</f>
        <v>46053</v>
      </c>
      <c r="C423" s="6" t="str">
        <f>_xlfn.XLOOKUP(Jnl[[#This Row],[TrxId]], Trx[Id], Trx[Division],,0)</f>
        <v>Ctrl</v>
      </c>
      <c r="D423" s="6" t="str">
        <f>_xlfn.XLOOKUP(Jnl[[#This Row],[TrxId]], Trx[Id], Trx[Action],,0)</f>
        <v>调整</v>
      </c>
      <c r="E423" s="27" t="s">
        <v>83</v>
      </c>
      <c r="F423" s="10" t="s">
        <v>599</v>
      </c>
      <c r="G423" s="10" t="s">
        <v>600</v>
      </c>
      <c r="H423" s="37">
        <v>-115.67</v>
      </c>
      <c r="I423" s="11" t="b">
        <f>AND(Jnl[[#This Row],[TrxId]]&lt;&gt;"",Jnl[[#This Row],[Acct]]&lt;&gt;"",Jnl[[#This Row],[Item]]&lt;&gt;"",ISNUMBER(Jnl[[#This Row],[Bal]]))</f>
        <v>1</v>
      </c>
      <c r="J423" s="9">
        <f>IF(Jnl[[#This Row],[BSLv0]]="A",1,-1)*Jnl[[#This Row],[Bal]]</f>
        <v>-115.67</v>
      </c>
      <c r="K423" t="str">
        <f>_xlfn.XLOOKUP(Jnl[[#This Row],[Acct]], config_BS[Acct], config_BS[Lv0],,0)</f>
        <v>A</v>
      </c>
      <c r="L423" t="str">
        <f>_xlfn.XLOOKUP(Jnl[[#This Row],[Acct]], config_BS[Acct], config_BS[Lv1],,0)</f>
        <v>Assets</v>
      </c>
      <c r="M423" t="str">
        <f>_xlfn.XLOOKUP(Jnl[[#This Row],[Acct]], config_BS[Acct], config_BS[Lv2],,0)</f>
        <v>Rec-Pay</v>
      </c>
      <c r="N423" t="str">
        <f>_xlfn.XLOOKUP(Jnl[[#This Row],[TrxId]], Trx[Id], Trx[IncNode], ,0)</f>
        <v>Other</v>
      </c>
      <c r="O423" t="str">
        <f>_xlfn.XLOOKUP(Jnl[[#This Row],[IncNode]], config_IS[Node], config_IS[Type],,0)</f>
        <v>Non-Op</v>
      </c>
      <c r="P423" t="str">
        <f>_xlfn.XLOOKUP(Jnl[[#This Row],[BSLv2]], dict[Key], dict[Name],,0)</f>
        <v>1.应收-应付</v>
      </c>
      <c r="Q423" t="str">
        <f>_xlfn.XLOOKUP(Jnl[[#This Row],[Acct]], dict[Key], dict[Name],,0)</f>
        <v>应收-一般</v>
      </c>
      <c r="R423" t="str">
        <f>_xlfn.XLOOKUP(Jnl[[#This Row],[Vehicle]],config_vehicle[Id], config_vehicle[Name],,0)</f>
        <v>喜家文化</v>
      </c>
      <c r="S423" t="str">
        <f>_xlfn.XLOOKUP(Jnl[[#This Row],[Division]],config_div[Id], config_div[Name],,0)</f>
        <v>内控合规</v>
      </c>
      <c r="T423" t="str">
        <f>IF(Jnl[[#This Row],[TrxDate]]&lt;=stmt_BS_date_end, "In", "Out")</f>
        <v>In</v>
      </c>
      <c r="U423" t="str">
        <f>IF(Jnl[[#This Row],[TrxDate]]&lt;debug_date_start, "prior", IF(Jnl[[#This Row],[TrxDate]]&gt;debug_date_end, "post", "curr"))</f>
        <v>curr</v>
      </c>
    </row>
    <row r="424" spans="1:21" hidden="1">
      <c r="A424" s="39" t="s">
        <v>627</v>
      </c>
      <c r="B424" s="6">
        <f>_xlfn.XLOOKUP(Jnl[[#This Row],[TrxId]], Trx[Id], Trx[Date],,0)</f>
        <v>46053</v>
      </c>
      <c r="C424" s="6" t="str">
        <f>_xlfn.XLOOKUP(Jnl[[#This Row],[TrxId]], Trx[Id], Trx[Division],,0)</f>
        <v>Shuijie</v>
      </c>
      <c r="D424" s="6" t="str">
        <f>_xlfn.XLOOKUP(Jnl[[#This Row],[TrxId]], Trx[Id], Trx[Action],,0)</f>
        <v>物流</v>
      </c>
      <c r="E424" s="27" t="s">
        <v>83</v>
      </c>
      <c r="F424" s="10" t="s">
        <v>596</v>
      </c>
      <c r="G424" s="10" t="s">
        <v>397</v>
      </c>
      <c r="H424" s="37">
        <v>-1949.49</v>
      </c>
      <c r="I424" s="11" t="b">
        <f>AND(Jnl[[#This Row],[TrxId]]&lt;&gt;"",Jnl[[#This Row],[Acct]]&lt;&gt;"",Jnl[[#This Row],[Item]]&lt;&gt;"",ISNUMBER(Jnl[[#This Row],[Bal]]))</f>
        <v>1</v>
      </c>
      <c r="J424" s="9">
        <f>IF(Jnl[[#This Row],[BSLv0]]="A",1,-1)*Jnl[[#This Row],[Bal]]</f>
        <v>-1949.49</v>
      </c>
      <c r="K424" t="str">
        <f>_xlfn.XLOOKUP(Jnl[[#This Row],[Acct]], config_BS[Acct], config_BS[Lv0],,0)</f>
        <v>A</v>
      </c>
      <c r="L424" t="str">
        <f>_xlfn.XLOOKUP(Jnl[[#This Row],[Acct]], config_BS[Acct], config_BS[Lv1],,0)</f>
        <v>Assets</v>
      </c>
      <c r="M424" t="str">
        <f>_xlfn.XLOOKUP(Jnl[[#This Row],[Acct]], config_BS[Acct], config_BS[Lv2],,0)</f>
        <v>Cash alike</v>
      </c>
      <c r="N424" t="str">
        <f>_xlfn.XLOOKUP(Jnl[[#This Row],[TrxId]], Trx[Id], Trx[IncNode], ,0)</f>
        <v>Expense</v>
      </c>
      <c r="O424" t="str">
        <f>_xlfn.XLOOKUP(Jnl[[#This Row],[IncNode]], config_IS[Node], config_IS[Type],,0)</f>
        <v>Op</v>
      </c>
      <c r="P424" t="str">
        <f>_xlfn.XLOOKUP(Jnl[[#This Row],[BSLv2]], dict[Key], dict[Name],,0)</f>
        <v>0.现金及类似</v>
      </c>
      <c r="Q424" t="str">
        <f>_xlfn.XLOOKUP(Jnl[[#This Row],[Acct]], dict[Key], dict[Name],,0)</f>
        <v>银行</v>
      </c>
      <c r="R424" t="str">
        <f>_xlfn.XLOOKUP(Jnl[[#This Row],[Vehicle]],config_vehicle[Id], config_vehicle[Name],,0)</f>
        <v>喜家文化</v>
      </c>
      <c r="S424" t="str">
        <f>_xlfn.XLOOKUP(Jnl[[#This Row],[Division]],config_div[Id], config_div[Name],,0)</f>
        <v>水街店</v>
      </c>
      <c r="T424" t="str">
        <f>IF(Jnl[[#This Row],[TrxDate]]&lt;=stmt_BS_date_end, "In", "Out")</f>
        <v>In</v>
      </c>
      <c r="U424" t="str">
        <f>IF(Jnl[[#This Row],[TrxDate]]&lt;debug_date_start, "prior", IF(Jnl[[#This Row],[TrxDate]]&gt;debug_date_end, "post", "curr"))</f>
        <v>curr</v>
      </c>
    </row>
    <row r="425" spans="1:21" ht="16.2" hidden="1" customHeight="1">
      <c r="A425" s="39" t="s">
        <v>631</v>
      </c>
      <c r="B425" s="6">
        <f>_xlfn.XLOOKUP(Jnl[[#This Row],[TrxId]], Trx[Id], Trx[Date],,0)</f>
        <v>46053</v>
      </c>
      <c r="C425" s="6" t="str">
        <f>_xlfn.XLOOKUP(Jnl[[#This Row],[TrxId]], Trx[Id], Trx[Division],,0)</f>
        <v>Shuijie</v>
      </c>
      <c r="D425" s="6" t="str">
        <f>_xlfn.XLOOKUP(Jnl[[#This Row],[TrxId]], Trx[Id], Trx[Action],,0)</f>
        <v>内部结算</v>
      </c>
      <c r="E425" s="27" t="s">
        <v>83</v>
      </c>
      <c r="F425" s="10" t="s">
        <v>596</v>
      </c>
      <c r="G425" s="10" t="s">
        <v>397</v>
      </c>
      <c r="H425" s="37">
        <v>-349599.5</v>
      </c>
      <c r="I425" s="11" t="b">
        <f>AND(Jnl[[#This Row],[TrxId]]&lt;&gt;"",Jnl[[#This Row],[Acct]]&lt;&gt;"",Jnl[[#This Row],[Item]]&lt;&gt;"",ISNUMBER(Jnl[[#This Row],[Bal]]))</f>
        <v>1</v>
      </c>
      <c r="J425" s="9">
        <f>IF(Jnl[[#This Row],[BSLv0]]="A",1,-1)*Jnl[[#This Row],[Bal]]</f>
        <v>-349599.5</v>
      </c>
      <c r="K425" t="str">
        <f>_xlfn.XLOOKUP(Jnl[[#This Row],[Acct]], config_BS[Acct], config_BS[Lv0],,0)</f>
        <v>A</v>
      </c>
      <c r="L425" t="str">
        <f>_xlfn.XLOOKUP(Jnl[[#This Row],[Acct]], config_BS[Acct], config_BS[Lv1],,0)</f>
        <v>Assets</v>
      </c>
      <c r="M425" t="str">
        <f>_xlfn.XLOOKUP(Jnl[[#This Row],[Acct]], config_BS[Acct], config_BS[Lv2],,0)</f>
        <v>Cash alike</v>
      </c>
      <c r="N425" t="str">
        <f>_xlfn.XLOOKUP(Jnl[[#This Row],[TrxId]], Trx[Id], Trx[IncNode], ,0)</f>
        <v>Cost</v>
      </c>
      <c r="O425" t="str">
        <f>_xlfn.XLOOKUP(Jnl[[#This Row],[IncNode]], config_IS[Node], config_IS[Type],,0)</f>
        <v>Op</v>
      </c>
      <c r="P425" t="str">
        <f>_xlfn.XLOOKUP(Jnl[[#This Row],[BSLv2]], dict[Key], dict[Name],,0)</f>
        <v>0.现金及类似</v>
      </c>
      <c r="Q425" t="str">
        <f>_xlfn.XLOOKUP(Jnl[[#This Row],[Acct]], dict[Key], dict[Name],,0)</f>
        <v>银行</v>
      </c>
      <c r="R425" t="str">
        <f>_xlfn.XLOOKUP(Jnl[[#This Row],[Vehicle]],config_vehicle[Id], config_vehicle[Name],,0)</f>
        <v>喜家文化</v>
      </c>
      <c r="S425" t="str">
        <f>_xlfn.XLOOKUP(Jnl[[#This Row],[Division]],config_div[Id], config_div[Name],,0)</f>
        <v>水街店</v>
      </c>
      <c r="T425" t="str">
        <f>IF(Jnl[[#This Row],[TrxDate]]&lt;=stmt_BS_date_end, "In", "Out")</f>
        <v>In</v>
      </c>
      <c r="U425" t="str">
        <f>IF(Jnl[[#This Row],[TrxDate]]&lt;debug_date_start, "prior", IF(Jnl[[#This Row],[TrxDate]]&gt;debug_date_end, "post", "curr"))</f>
        <v>curr</v>
      </c>
    </row>
    <row r="426" spans="1:21" hidden="1">
      <c r="A426" s="39" t="s">
        <v>631</v>
      </c>
      <c r="B426" s="6">
        <f>_xlfn.XLOOKUP(Jnl[[#This Row],[TrxId]], Trx[Id], Trx[Date],,0)</f>
        <v>46053</v>
      </c>
      <c r="C426" s="6" t="str">
        <f>_xlfn.XLOOKUP(Jnl[[#This Row],[TrxId]], Trx[Id], Trx[Division],,0)</f>
        <v>Shuijie</v>
      </c>
      <c r="D426" s="6" t="str">
        <f>_xlfn.XLOOKUP(Jnl[[#This Row],[TrxId]], Trx[Id], Trx[Action],,0)</f>
        <v>内部结算</v>
      </c>
      <c r="E426" s="27" t="s">
        <v>82</v>
      </c>
      <c r="F426" s="10" t="s">
        <v>596</v>
      </c>
      <c r="G426" s="10" t="s">
        <v>396</v>
      </c>
      <c r="H426" s="37">
        <v>349599.5</v>
      </c>
      <c r="I426" s="11" t="b">
        <f>AND(Jnl[[#This Row],[TrxId]]&lt;&gt;"",Jnl[[#This Row],[Acct]]&lt;&gt;"",Jnl[[#This Row],[Item]]&lt;&gt;"",ISNUMBER(Jnl[[#This Row],[Bal]]))</f>
        <v>1</v>
      </c>
      <c r="J426" s="9">
        <f>IF(Jnl[[#This Row],[BSLv0]]="A",1,-1)*Jnl[[#This Row],[Bal]]</f>
        <v>349599.5</v>
      </c>
      <c r="K426" t="str">
        <f>_xlfn.XLOOKUP(Jnl[[#This Row],[Acct]], config_BS[Acct], config_BS[Lv0],,0)</f>
        <v>A</v>
      </c>
      <c r="L426" t="str">
        <f>_xlfn.XLOOKUP(Jnl[[#This Row],[Acct]], config_BS[Acct], config_BS[Lv1],,0)</f>
        <v>Assets</v>
      </c>
      <c r="M426" t="str">
        <f>_xlfn.XLOOKUP(Jnl[[#This Row],[Acct]], config_BS[Acct], config_BS[Lv2],,0)</f>
        <v>Cash alike</v>
      </c>
      <c r="N426" t="str">
        <f>_xlfn.XLOOKUP(Jnl[[#This Row],[TrxId]], Trx[Id], Trx[IncNode], ,0)</f>
        <v>Cost</v>
      </c>
      <c r="O426" t="str">
        <f>_xlfn.XLOOKUP(Jnl[[#This Row],[IncNode]], config_IS[Node], config_IS[Type],,0)</f>
        <v>Op</v>
      </c>
      <c r="P426" t="str">
        <f>_xlfn.XLOOKUP(Jnl[[#This Row],[BSLv2]], dict[Key], dict[Name],,0)</f>
        <v>0.现金及类似</v>
      </c>
      <c r="Q426" t="str">
        <f>_xlfn.XLOOKUP(Jnl[[#This Row],[Acct]], dict[Key], dict[Name],,0)</f>
        <v>银行</v>
      </c>
      <c r="R426" t="str">
        <f>_xlfn.XLOOKUP(Jnl[[#This Row],[Vehicle]],config_vehicle[Id], config_vehicle[Name],,0)</f>
        <v>远家花园</v>
      </c>
      <c r="S426" t="str">
        <f>_xlfn.XLOOKUP(Jnl[[#This Row],[Division]],config_div[Id], config_div[Name],,0)</f>
        <v>水街店</v>
      </c>
      <c r="T426" t="str">
        <f>IF(Jnl[[#This Row],[TrxDate]]&lt;=stmt_BS_date_end, "In", "Out")</f>
        <v>In</v>
      </c>
      <c r="U426" t="str">
        <f>IF(Jnl[[#This Row],[TrxDate]]&lt;debug_date_start, "prior", IF(Jnl[[#This Row],[TrxDate]]&gt;debug_date_end, "post", "curr"))</f>
        <v>curr</v>
      </c>
    </row>
    <row r="427" spans="1:21" hidden="1">
      <c r="A427" s="39" t="s">
        <v>633</v>
      </c>
      <c r="B427" s="6">
        <f>_xlfn.XLOOKUP(Jnl[[#This Row],[TrxId]], Trx[Id], Trx[Date],,0)</f>
        <v>46053</v>
      </c>
      <c r="C427" s="6" t="str">
        <f>_xlfn.XLOOKUP(Jnl[[#This Row],[TrxId]], Trx[Id], Trx[Division],,0)</f>
        <v>Shuijie</v>
      </c>
      <c r="D427" s="6" t="str">
        <f>_xlfn.XLOOKUP(Jnl[[#This Row],[TrxId]], Trx[Id], Trx[Action],,0)</f>
        <v>课程</v>
      </c>
      <c r="E427" s="27" t="s">
        <v>83</v>
      </c>
      <c r="F427" s="10" t="s">
        <v>596</v>
      </c>
      <c r="G427" s="10" t="s">
        <v>397</v>
      </c>
      <c r="H427" s="37">
        <v>-7268.8</v>
      </c>
      <c r="I427" s="11" t="b">
        <f>AND(Jnl[[#This Row],[TrxId]]&lt;&gt;"",Jnl[[#This Row],[Acct]]&lt;&gt;"",Jnl[[#This Row],[Item]]&lt;&gt;"",ISNUMBER(Jnl[[#This Row],[Bal]]))</f>
        <v>1</v>
      </c>
      <c r="J427" s="9">
        <f>IF(Jnl[[#This Row],[BSLv0]]="A",1,-1)*Jnl[[#This Row],[Bal]]</f>
        <v>-7268.8</v>
      </c>
      <c r="K427" t="str">
        <f>_xlfn.XLOOKUP(Jnl[[#This Row],[Acct]], config_BS[Acct], config_BS[Lv0],,0)</f>
        <v>A</v>
      </c>
      <c r="L427" t="str">
        <f>_xlfn.XLOOKUP(Jnl[[#This Row],[Acct]], config_BS[Acct], config_BS[Lv1],,0)</f>
        <v>Assets</v>
      </c>
      <c r="M427" t="str">
        <f>_xlfn.XLOOKUP(Jnl[[#This Row],[Acct]], config_BS[Acct], config_BS[Lv2],,0)</f>
        <v>Cash alike</v>
      </c>
      <c r="N427" t="str">
        <f>_xlfn.XLOOKUP(Jnl[[#This Row],[TrxId]], Trx[Id], Trx[IncNode], ,0)</f>
        <v>Cost</v>
      </c>
      <c r="O427" t="str">
        <f>_xlfn.XLOOKUP(Jnl[[#This Row],[IncNode]], config_IS[Node], config_IS[Type],,0)</f>
        <v>Op</v>
      </c>
      <c r="P427" t="str">
        <f>_xlfn.XLOOKUP(Jnl[[#This Row],[BSLv2]], dict[Key], dict[Name],,0)</f>
        <v>0.现金及类似</v>
      </c>
      <c r="Q427" t="str">
        <f>_xlfn.XLOOKUP(Jnl[[#This Row],[Acct]], dict[Key], dict[Name],,0)</f>
        <v>银行</v>
      </c>
      <c r="R427" t="str">
        <f>_xlfn.XLOOKUP(Jnl[[#This Row],[Vehicle]],config_vehicle[Id], config_vehicle[Name],,0)</f>
        <v>喜家文化</v>
      </c>
      <c r="S427" t="str">
        <f>_xlfn.XLOOKUP(Jnl[[#This Row],[Division]],config_div[Id], config_div[Name],,0)</f>
        <v>水街店</v>
      </c>
      <c r="T427" t="str">
        <f>IF(Jnl[[#This Row],[TrxDate]]&lt;=stmt_BS_date_end, "In", "Out")</f>
        <v>In</v>
      </c>
      <c r="U427" t="str">
        <f>IF(Jnl[[#This Row],[TrxDate]]&lt;debug_date_start, "prior", IF(Jnl[[#This Row],[TrxDate]]&gt;debug_date_end, "post", "curr"))</f>
        <v>curr</v>
      </c>
    </row>
    <row r="428" spans="1:21" hidden="1">
      <c r="A428" s="39" t="s">
        <v>634</v>
      </c>
      <c r="B428" s="6">
        <f>_xlfn.XLOOKUP(Jnl[[#This Row],[TrxId]], Trx[Id], Trx[Date],,0)</f>
        <v>46053</v>
      </c>
      <c r="C428" s="6" t="str">
        <f>_xlfn.XLOOKUP(Jnl[[#This Row],[TrxId]], Trx[Id], Trx[Division],,0)</f>
        <v>Shuijie</v>
      </c>
      <c r="D428" s="6" t="str">
        <f>_xlfn.XLOOKUP(Jnl[[#This Row],[TrxId]], Trx[Id], Trx[Action],,0)</f>
        <v>支付</v>
      </c>
      <c r="E428" s="27" t="s">
        <v>83</v>
      </c>
      <c r="F428" s="10" t="s">
        <v>498</v>
      </c>
      <c r="G428" s="10" t="s">
        <v>144</v>
      </c>
      <c r="H428" s="37">
        <v>3000</v>
      </c>
      <c r="I428" s="11" t="b">
        <f>AND(Jnl[[#This Row],[TrxId]]&lt;&gt;"",Jnl[[#This Row],[Acct]]&lt;&gt;"",Jnl[[#This Row],[Item]]&lt;&gt;"",ISNUMBER(Jnl[[#This Row],[Bal]]))</f>
        <v>1</v>
      </c>
      <c r="J428" s="9">
        <f>IF(Jnl[[#This Row],[BSLv0]]="A",1,-1)*Jnl[[#This Row],[Bal]]</f>
        <v>3000</v>
      </c>
      <c r="K428" t="str">
        <f>_xlfn.XLOOKUP(Jnl[[#This Row],[Acct]], config_BS[Acct], config_BS[Lv0],,0)</f>
        <v>A</v>
      </c>
      <c r="L428" t="str">
        <f>_xlfn.XLOOKUP(Jnl[[#This Row],[Acct]], config_BS[Acct], config_BS[Lv1],,0)</f>
        <v>Assets</v>
      </c>
      <c r="M428" t="str">
        <f>_xlfn.XLOOKUP(Jnl[[#This Row],[Acct]], config_BS[Acct], config_BS[Lv2],,0)</f>
        <v>Prep-Sub</v>
      </c>
      <c r="N428" t="str">
        <f>_xlfn.XLOOKUP(Jnl[[#This Row],[TrxId]], Trx[Id], Trx[IncNode], ,0)</f>
        <v>Expense</v>
      </c>
      <c r="O428" t="str">
        <f>_xlfn.XLOOKUP(Jnl[[#This Row],[IncNode]], config_IS[Node], config_IS[Type],,0)</f>
        <v>Op</v>
      </c>
      <c r="P428" t="str">
        <f>_xlfn.XLOOKUP(Jnl[[#This Row],[BSLv2]], dict[Key], dict[Name],,0)</f>
        <v>2.预付-订阅</v>
      </c>
      <c r="Q428" t="str">
        <f>_xlfn.XLOOKUP(Jnl[[#This Row],[Acct]], dict[Key], dict[Name],,0)</f>
        <v>预付订单</v>
      </c>
      <c r="R428" t="str">
        <f>_xlfn.XLOOKUP(Jnl[[#This Row],[Vehicle]],config_vehicle[Id], config_vehicle[Name],,0)</f>
        <v>喜家文化</v>
      </c>
      <c r="S428" t="str">
        <f>_xlfn.XLOOKUP(Jnl[[#This Row],[Division]],config_div[Id], config_div[Name],,0)</f>
        <v>水街店</v>
      </c>
      <c r="T428" t="str">
        <f>IF(Jnl[[#This Row],[TrxDate]]&lt;=stmt_BS_date_end, "In", "Out")</f>
        <v>In</v>
      </c>
      <c r="U428" t="str">
        <f>IF(Jnl[[#This Row],[TrxDate]]&lt;debug_date_start, "prior", IF(Jnl[[#This Row],[TrxDate]]&gt;debug_date_end, "post", "curr"))</f>
        <v>curr</v>
      </c>
    </row>
    <row r="429" spans="1:21" hidden="1">
      <c r="A429" s="39" t="s">
        <v>634</v>
      </c>
      <c r="B429" s="6">
        <f>_xlfn.XLOOKUP(Jnl[[#This Row],[TrxId]], Trx[Id], Trx[Date],,0)</f>
        <v>46053</v>
      </c>
      <c r="C429" s="6" t="str">
        <f>_xlfn.XLOOKUP(Jnl[[#This Row],[TrxId]], Trx[Id], Trx[Division],,0)</f>
        <v>Shuijie</v>
      </c>
      <c r="D429" s="6" t="str">
        <f>_xlfn.XLOOKUP(Jnl[[#This Row],[TrxId]], Trx[Id], Trx[Action],,0)</f>
        <v>支付</v>
      </c>
      <c r="E429" s="27" t="s">
        <v>83</v>
      </c>
      <c r="F429" s="10" t="s">
        <v>596</v>
      </c>
      <c r="G429" s="10" t="s">
        <v>397</v>
      </c>
      <c r="H429" s="37">
        <v>-3000</v>
      </c>
      <c r="I429" s="11" t="b">
        <f>AND(Jnl[[#This Row],[TrxId]]&lt;&gt;"",Jnl[[#This Row],[Acct]]&lt;&gt;"",Jnl[[#This Row],[Item]]&lt;&gt;"",ISNUMBER(Jnl[[#This Row],[Bal]]))</f>
        <v>1</v>
      </c>
      <c r="J429" s="9">
        <f>IF(Jnl[[#This Row],[BSLv0]]="A",1,-1)*Jnl[[#This Row],[Bal]]</f>
        <v>-3000</v>
      </c>
      <c r="K429" t="str">
        <f>_xlfn.XLOOKUP(Jnl[[#This Row],[Acct]], config_BS[Acct], config_BS[Lv0],,0)</f>
        <v>A</v>
      </c>
      <c r="L429" t="str">
        <f>_xlfn.XLOOKUP(Jnl[[#This Row],[Acct]], config_BS[Acct], config_BS[Lv1],,0)</f>
        <v>Assets</v>
      </c>
      <c r="M429" t="str">
        <f>_xlfn.XLOOKUP(Jnl[[#This Row],[Acct]], config_BS[Acct], config_BS[Lv2],,0)</f>
        <v>Cash alike</v>
      </c>
      <c r="N429" t="str">
        <f>_xlfn.XLOOKUP(Jnl[[#This Row],[TrxId]], Trx[Id], Trx[IncNode], ,0)</f>
        <v>Expense</v>
      </c>
      <c r="O429" t="str">
        <f>_xlfn.XLOOKUP(Jnl[[#This Row],[IncNode]], config_IS[Node], config_IS[Type],,0)</f>
        <v>Op</v>
      </c>
      <c r="P429" t="str">
        <f>_xlfn.XLOOKUP(Jnl[[#This Row],[BSLv2]], dict[Key], dict[Name],,0)</f>
        <v>0.现金及类似</v>
      </c>
      <c r="Q429" t="str">
        <f>_xlfn.XLOOKUP(Jnl[[#This Row],[Acct]], dict[Key], dict[Name],,0)</f>
        <v>银行</v>
      </c>
      <c r="R429" t="str">
        <f>_xlfn.XLOOKUP(Jnl[[#This Row],[Vehicle]],config_vehicle[Id], config_vehicle[Name],,0)</f>
        <v>喜家文化</v>
      </c>
      <c r="S429" t="str">
        <f>_xlfn.XLOOKUP(Jnl[[#This Row],[Division]],config_div[Id], config_div[Name],,0)</f>
        <v>水街店</v>
      </c>
      <c r="T429" t="str">
        <f>IF(Jnl[[#This Row],[TrxDate]]&lt;=stmt_BS_date_end, "In", "Out")</f>
        <v>In</v>
      </c>
      <c r="U429" t="str">
        <f>IF(Jnl[[#This Row],[TrxDate]]&lt;debug_date_start, "prior", IF(Jnl[[#This Row],[TrxDate]]&gt;debug_date_end, "post", "curr"))</f>
        <v>curr</v>
      </c>
    </row>
    <row r="430" spans="1:21" hidden="1">
      <c r="A430" s="39" t="s">
        <v>635</v>
      </c>
      <c r="B430" s="6">
        <f>_xlfn.XLOOKUP(Jnl[[#This Row],[TrxId]], Trx[Id], Trx[Date],,0)</f>
        <v>46053</v>
      </c>
      <c r="C430" s="6" t="str">
        <f>_xlfn.XLOOKUP(Jnl[[#This Row],[TrxId]], Trx[Id], Trx[Division],,0)</f>
        <v>Shuijie</v>
      </c>
      <c r="D430" s="6" t="str">
        <f>_xlfn.XLOOKUP(Jnl[[#This Row],[TrxId]], Trx[Id], Trx[Action],,0)</f>
        <v>存现</v>
      </c>
      <c r="E430" s="27" t="s">
        <v>83</v>
      </c>
      <c r="F430" s="10" t="s">
        <v>596</v>
      </c>
      <c r="G430" s="10" t="s">
        <v>397</v>
      </c>
      <c r="H430" s="37">
        <v>25540.15</v>
      </c>
      <c r="I430" s="11" t="b">
        <f>AND(Jnl[[#This Row],[TrxId]]&lt;&gt;"",Jnl[[#This Row],[Acct]]&lt;&gt;"",Jnl[[#This Row],[Item]]&lt;&gt;"",ISNUMBER(Jnl[[#This Row],[Bal]]))</f>
        <v>1</v>
      </c>
      <c r="J430" s="9">
        <f>IF(Jnl[[#This Row],[BSLv0]]="A",1,-1)*Jnl[[#This Row],[Bal]]</f>
        <v>25540.15</v>
      </c>
      <c r="K430" t="str">
        <f>_xlfn.XLOOKUP(Jnl[[#This Row],[Acct]], config_BS[Acct], config_BS[Lv0],,0)</f>
        <v>A</v>
      </c>
      <c r="L430" t="str">
        <f>_xlfn.XLOOKUP(Jnl[[#This Row],[Acct]], config_BS[Acct], config_BS[Lv1],,0)</f>
        <v>Assets</v>
      </c>
      <c r="M430" t="str">
        <f>_xlfn.XLOOKUP(Jnl[[#This Row],[Acct]], config_BS[Acct], config_BS[Lv2],,0)</f>
        <v>Cash alike</v>
      </c>
      <c r="N430" t="str">
        <f>_xlfn.XLOOKUP(Jnl[[#This Row],[TrxId]], Trx[Id], Trx[IncNode], ,0)</f>
        <v>Other</v>
      </c>
      <c r="O430" t="str">
        <f>_xlfn.XLOOKUP(Jnl[[#This Row],[IncNode]], config_IS[Node], config_IS[Type],,0)</f>
        <v>Non-Op</v>
      </c>
      <c r="P430" t="str">
        <f>_xlfn.XLOOKUP(Jnl[[#This Row],[BSLv2]], dict[Key], dict[Name],,0)</f>
        <v>0.现金及类似</v>
      </c>
      <c r="Q430" t="str">
        <f>_xlfn.XLOOKUP(Jnl[[#This Row],[Acct]], dict[Key], dict[Name],,0)</f>
        <v>银行</v>
      </c>
      <c r="R430" t="str">
        <f>_xlfn.XLOOKUP(Jnl[[#This Row],[Vehicle]],config_vehicle[Id], config_vehicle[Name],,0)</f>
        <v>喜家文化</v>
      </c>
      <c r="S430" t="str">
        <f>_xlfn.XLOOKUP(Jnl[[#This Row],[Division]],config_div[Id], config_div[Name],,0)</f>
        <v>水街店</v>
      </c>
      <c r="T430" t="str">
        <f>IF(Jnl[[#This Row],[TrxDate]]&lt;=stmt_BS_date_end, "In", "Out")</f>
        <v>In</v>
      </c>
      <c r="U430" t="str">
        <f>IF(Jnl[[#This Row],[TrxDate]]&lt;debug_date_start, "prior", IF(Jnl[[#This Row],[TrxDate]]&gt;debug_date_end, "post", "curr"))</f>
        <v>curr</v>
      </c>
    </row>
    <row r="431" spans="1:21" hidden="1">
      <c r="A431" s="39" t="s">
        <v>635</v>
      </c>
      <c r="B431" s="6">
        <f>_xlfn.XLOOKUP(Jnl[[#This Row],[TrxId]], Trx[Id], Trx[Date],,0)</f>
        <v>46053</v>
      </c>
      <c r="C431" s="6" t="str">
        <f>_xlfn.XLOOKUP(Jnl[[#This Row],[TrxId]], Trx[Id], Trx[Division],,0)</f>
        <v>Shuijie</v>
      </c>
      <c r="D431" s="6" t="str">
        <f>_xlfn.XLOOKUP(Jnl[[#This Row],[TrxId]], Trx[Id], Trx[Action],,0)</f>
        <v>存现</v>
      </c>
      <c r="E431" s="27" t="s">
        <v>83</v>
      </c>
      <c r="F431" s="10" t="s">
        <v>605</v>
      </c>
      <c r="G431" s="10" t="s">
        <v>659</v>
      </c>
      <c r="H431" s="37">
        <v>-25540.15</v>
      </c>
      <c r="I431" s="11" t="b">
        <f>AND(Jnl[[#This Row],[TrxId]]&lt;&gt;"",Jnl[[#This Row],[Acct]]&lt;&gt;"",Jnl[[#This Row],[Item]]&lt;&gt;"",ISNUMBER(Jnl[[#This Row],[Bal]]))</f>
        <v>1</v>
      </c>
      <c r="J431" s="9">
        <f>IF(Jnl[[#This Row],[BSLv0]]="A",1,-1)*Jnl[[#This Row],[Bal]]</f>
        <v>-25540.15</v>
      </c>
      <c r="K431" t="str">
        <f>_xlfn.XLOOKUP(Jnl[[#This Row],[Acct]], config_BS[Acct], config_BS[Lv0],,0)</f>
        <v>A</v>
      </c>
      <c r="L431" t="str">
        <f>_xlfn.XLOOKUP(Jnl[[#This Row],[Acct]], config_BS[Acct], config_BS[Lv1],,0)</f>
        <v>Assets</v>
      </c>
      <c r="M431" t="str">
        <f>_xlfn.XLOOKUP(Jnl[[#This Row],[Acct]], config_BS[Acct], config_BS[Lv2],,0)</f>
        <v>Cash alike</v>
      </c>
      <c r="N431" t="str">
        <f>_xlfn.XLOOKUP(Jnl[[#This Row],[TrxId]], Trx[Id], Trx[IncNode], ,0)</f>
        <v>Other</v>
      </c>
      <c r="O431" t="str">
        <f>_xlfn.XLOOKUP(Jnl[[#This Row],[IncNode]], config_IS[Node], config_IS[Type],,0)</f>
        <v>Non-Op</v>
      </c>
      <c r="P431" t="str">
        <f>_xlfn.XLOOKUP(Jnl[[#This Row],[BSLv2]], dict[Key], dict[Name],,0)</f>
        <v>0.现金及类似</v>
      </c>
      <c r="Q431" t="str">
        <f>_xlfn.XLOOKUP(Jnl[[#This Row],[Acct]], dict[Key], dict[Name],,0)</f>
        <v>物理现金</v>
      </c>
      <c r="R431" t="str">
        <f>_xlfn.XLOOKUP(Jnl[[#This Row],[Vehicle]],config_vehicle[Id], config_vehicle[Name],,0)</f>
        <v>喜家文化</v>
      </c>
      <c r="S431" t="str">
        <f>_xlfn.XLOOKUP(Jnl[[#This Row],[Division]],config_div[Id], config_div[Name],,0)</f>
        <v>水街店</v>
      </c>
      <c r="T431" t="str">
        <f>IF(Jnl[[#This Row],[TrxDate]]&lt;=stmt_BS_date_end, "In", "Out")</f>
        <v>In</v>
      </c>
      <c r="U431" t="str">
        <f>IF(Jnl[[#This Row],[TrxDate]]&lt;debug_date_start, "prior", IF(Jnl[[#This Row],[TrxDate]]&gt;debug_date_end, "post", "curr"))</f>
        <v>curr</v>
      </c>
    </row>
    <row r="432" spans="1:21" hidden="1">
      <c r="A432" s="39" t="s">
        <v>636</v>
      </c>
      <c r="B432" s="6">
        <f>_xlfn.XLOOKUP(Jnl[[#This Row],[TrxId]], Trx[Id], Trx[Date],,0)</f>
        <v>46053</v>
      </c>
      <c r="C432" s="6" t="str">
        <f>_xlfn.XLOOKUP(Jnl[[#This Row],[TrxId]], Trx[Id], Trx[Division],,0)</f>
        <v>Shuijie</v>
      </c>
      <c r="D432" s="6" t="str">
        <f>_xlfn.XLOOKUP(Jnl[[#This Row],[TrxId]], Trx[Id], Trx[Action],,0)</f>
        <v>支付</v>
      </c>
      <c r="E432" s="27" t="s">
        <v>83</v>
      </c>
      <c r="F432" s="10" t="s">
        <v>498</v>
      </c>
      <c r="G432" s="10" t="s">
        <v>144</v>
      </c>
      <c r="H432" s="37">
        <v>10000</v>
      </c>
      <c r="I432" s="11" t="b">
        <f>AND(Jnl[[#This Row],[TrxId]]&lt;&gt;"",Jnl[[#This Row],[Acct]]&lt;&gt;"",Jnl[[#This Row],[Item]]&lt;&gt;"",ISNUMBER(Jnl[[#This Row],[Bal]]))</f>
        <v>1</v>
      </c>
      <c r="J432" s="9">
        <f>IF(Jnl[[#This Row],[BSLv0]]="A",1,-1)*Jnl[[#This Row],[Bal]]</f>
        <v>10000</v>
      </c>
      <c r="K432" t="str">
        <f>_xlfn.XLOOKUP(Jnl[[#This Row],[Acct]], config_BS[Acct], config_BS[Lv0],,0)</f>
        <v>A</v>
      </c>
      <c r="L432" t="str">
        <f>_xlfn.XLOOKUP(Jnl[[#This Row],[Acct]], config_BS[Acct], config_BS[Lv1],,0)</f>
        <v>Assets</v>
      </c>
      <c r="M432" t="str">
        <f>_xlfn.XLOOKUP(Jnl[[#This Row],[Acct]], config_BS[Acct], config_BS[Lv2],,0)</f>
        <v>Prep-Sub</v>
      </c>
      <c r="N432" t="str">
        <f>_xlfn.XLOOKUP(Jnl[[#This Row],[TrxId]], Trx[Id], Trx[IncNode], ,0)</f>
        <v>Expense</v>
      </c>
      <c r="O432" t="str">
        <f>_xlfn.XLOOKUP(Jnl[[#This Row],[IncNode]], config_IS[Node], config_IS[Type],,0)</f>
        <v>Op</v>
      </c>
      <c r="P432" t="str">
        <f>_xlfn.XLOOKUP(Jnl[[#This Row],[BSLv2]], dict[Key], dict[Name],,0)</f>
        <v>2.预付-订阅</v>
      </c>
      <c r="Q432" t="str">
        <f>_xlfn.XLOOKUP(Jnl[[#This Row],[Acct]], dict[Key], dict[Name],,0)</f>
        <v>预付订单</v>
      </c>
      <c r="R432" t="str">
        <f>_xlfn.XLOOKUP(Jnl[[#This Row],[Vehicle]],config_vehicle[Id], config_vehicle[Name],,0)</f>
        <v>喜家文化</v>
      </c>
      <c r="S432" t="str">
        <f>_xlfn.XLOOKUP(Jnl[[#This Row],[Division]],config_div[Id], config_div[Name],,0)</f>
        <v>水街店</v>
      </c>
      <c r="T432" t="str">
        <f>IF(Jnl[[#This Row],[TrxDate]]&lt;=stmt_BS_date_end, "In", "Out")</f>
        <v>In</v>
      </c>
      <c r="U432" t="str">
        <f>IF(Jnl[[#This Row],[TrxDate]]&lt;debug_date_start, "prior", IF(Jnl[[#This Row],[TrxDate]]&gt;debug_date_end, "post", "curr"))</f>
        <v>curr</v>
      </c>
    </row>
    <row r="433" spans="1:21" hidden="1">
      <c r="A433" s="39" t="s">
        <v>636</v>
      </c>
      <c r="B433" s="6">
        <f>_xlfn.XLOOKUP(Jnl[[#This Row],[TrxId]], Trx[Id], Trx[Date],,0)</f>
        <v>46053</v>
      </c>
      <c r="C433" s="6" t="str">
        <f>_xlfn.XLOOKUP(Jnl[[#This Row],[TrxId]], Trx[Id], Trx[Division],,0)</f>
        <v>Shuijie</v>
      </c>
      <c r="D433" s="6" t="str">
        <f>_xlfn.XLOOKUP(Jnl[[#This Row],[TrxId]], Trx[Id], Trx[Action],,0)</f>
        <v>支付</v>
      </c>
      <c r="E433" s="27" t="s">
        <v>83</v>
      </c>
      <c r="F433" s="10" t="s">
        <v>596</v>
      </c>
      <c r="G433" s="10" t="s">
        <v>397</v>
      </c>
      <c r="H433" s="37">
        <v>-10000</v>
      </c>
      <c r="I433" s="11" t="b">
        <f>AND(Jnl[[#This Row],[TrxId]]&lt;&gt;"",Jnl[[#This Row],[Acct]]&lt;&gt;"",Jnl[[#This Row],[Item]]&lt;&gt;"",ISNUMBER(Jnl[[#This Row],[Bal]]))</f>
        <v>1</v>
      </c>
      <c r="J433" s="9">
        <f>IF(Jnl[[#This Row],[BSLv0]]="A",1,-1)*Jnl[[#This Row],[Bal]]</f>
        <v>-10000</v>
      </c>
      <c r="K433" t="str">
        <f>_xlfn.XLOOKUP(Jnl[[#This Row],[Acct]], config_BS[Acct], config_BS[Lv0],,0)</f>
        <v>A</v>
      </c>
      <c r="L433" t="str">
        <f>_xlfn.XLOOKUP(Jnl[[#This Row],[Acct]], config_BS[Acct], config_BS[Lv1],,0)</f>
        <v>Assets</v>
      </c>
      <c r="M433" t="str">
        <f>_xlfn.XLOOKUP(Jnl[[#This Row],[Acct]], config_BS[Acct], config_BS[Lv2],,0)</f>
        <v>Cash alike</v>
      </c>
      <c r="N433" t="str">
        <f>_xlfn.XLOOKUP(Jnl[[#This Row],[TrxId]], Trx[Id], Trx[IncNode], ,0)</f>
        <v>Expense</v>
      </c>
      <c r="O433" t="str">
        <f>_xlfn.XLOOKUP(Jnl[[#This Row],[IncNode]], config_IS[Node], config_IS[Type],,0)</f>
        <v>Op</v>
      </c>
      <c r="P433" t="str">
        <f>_xlfn.XLOOKUP(Jnl[[#This Row],[BSLv2]], dict[Key], dict[Name],,0)</f>
        <v>0.现金及类似</v>
      </c>
      <c r="Q433" t="str">
        <f>_xlfn.XLOOKUP(Jnl[[#This Row],[Acct]], dict[Key], dict[Name],,0)</f>
        <v>银行</v>
      </c>
      <c r="R433" t="str">
        <f>_xlfn.XLOOKUP(Jnl[[#This Row],[Vehicle]],config_vehicle[Id], config_vehicle[Name],,0)</f>
        <v>喜家文化</v>
      </c>
      <c r="S433" t="str">
        <f>_xlfn.XLOOKUP(Jnl[[#This Row],[Division]],config_div[Id], config_div[Name],,0)</f>
        <v>水街店</v>
      </c>
      <c r="T433" t="str">
        <f>IF(Jnl[[#This Row],[TrxDate]]&lt;=stmt_BS_date_end, "In", "Out")</f>
        <v>In</v>
      </c>
      <c r="U433" t="str">
        <f>IF(Jnl[[#This Row],[TrxDate]]&lt;debug_date_start, "prior", IF(Jnl[[#This Row],[TrxDate]]&gt;debug_date_end, "post", "curr"))</f>
        <v>curr</v>
      </c>
    </row>
    <row r="434" spans="1:21" hidden="1">
      <c r="A434" s="39" t="s">
        <v>637</v>
      </c>
      <c r="B434" s="6">
        <f>_xlfn.XLOOKUP(Jnl[[#This Row],[TrxId]], Trx[Id], Trx[Date],,0)</f>
        <v>46053</v>
      </c>
      <c r="C434" s="6" t="str">
        <f>_xlfn.XLOOKUP(Jnl[[#This Row],[TrxId]], Trx[Id], Trx[Division],,0)</f>
        <v>GM</v>
      </c>
      <c r="D434" s="6" t="str">
        <f>_xlfn.XLOOKUP(Jnl[[#This Row],[TrxId]], Trx[Id], Trx[Action],,0)</f>
        <v>银行费</v>
      </c>
      <c r="E434" s="27" t="s">
        <v>83</v>
      </c>
      <c r="F434" s="10" t="s">
        <v>596</v>
      </c>
      <c r="G434" s="10" t="s">
        <v>397</v>
      </c>
      <c r="H434" s="37">
        <v>-15.6</v>
      </c>
      <c r="I434" s="11" t="b">
        <f>AND(Jnl[[#This Row],[TrxId]]&lt;&gt;"",Jnl[[#This Row],[Acct]]&lt;&gt;"",Jnl[[#This Row],[Item]]&lt;&gt;"",ISNUMBER(Jnl[[#This Row],[Bal]]))</f>
        <v>1</v>
      </c>
      <c r="J434" s="9">
        <f>IF(Jnl[[#This Row],[BSLv0]]="A",1,-1)*Jnl[[#This Row],[Bal]]</f>
        <v>-15.6</v>
      </c>
      <c r="K434" t="str">
        <f>_xlfn.XLOOKUP(Jnl[[#This Row],[Acct]], config_BS[Acct], config_BS[Lv0],,0)</f>
        <v>A</v>
      </c>
      <c r="L434" t="str">
        <f>_xlfn.XLOOKUP(Jnl[[#This Row],[Acct]], config_BS[Acct], config_BS[Lv1],,0)</f>
        <v>Assets</v>
      </c>
      <c r="M434" t="str">
        <f>_xlfn.XLOOKUP(Jnl[[#This Row],[Acct]], config_BS[Acct], config_BS[Lv2],,0)</f>
        <v>Cash alike</v>
      </c>
      <c r="N434" t="str">
        <f>_xlfn.XLOOKUP(Jnl[[#This Row],[TrxId]], Trx[Id], Trx[IncNode], ,0)</f>
        <v>Expense</v>
      </c>
      <c r="O434" t="str">
        <f>_xlfn.XLOOKUP(Jnl[[#This Row],[IncNode]], config_IS[Node], config_IS[Type],,0)</f>
        <v>Op</v>
      </c>
      <c r="P434" t="str">
        <f>_xlfn.XLOOKUP(Jnl[[#This Row],[BSLv2]], dict[Key], dict[Name],,0)</f>
        <v>0.现金及类似</v>
      </c>
      <c r="Q434" t="str">
        <f>_xlfn.XLOOKUP(Jnl[[#This Row],[Acct]], dict[Key], dict[Name],,0)</f>
        <v>银行</v>
      </c>
      <c r="R434" t="str">
        <f>_xlfn.XLOOKUP(Jnl[[#This Row],[Vehicle]],config_vehicle[Id], config_vehicle[Name],,0)</f>
        <v>喜家文化</v>
      </c>
      <c r="S434" t="str">
        <f>_xlfn.XLOOKUP(Jnl[[#This Row],[Division]],config_div[Id], config_div[Name],,0)</f>
        <v>综合管理</v>
      </c>
      <c r="T434" t="str">
        <f>IF(Jnl[[#This Row],[TrxDate]]&lt;=stmt_BS_date_end, "In", "Out")</f>
        <v>In</v>
      </c>
      <c r="U434" t="str">
        <f>IF(Jnl[[#This Row],[TrxDate]]&lt;debug_date_start, "prior", IF(Jnl[[#This Row],[TrxDate]]&gt;debug_date_end, "post", "curr"))</f>
        <v>curr</v>
      </c>
    </row>
    <row r="435" spans="1:21" hidden="1">
      <c r="A435" s="39" t="s">
        <v>638</v>
      </c>
      <c r="B435" s="6">
        <f>_xlfn.XLOOKUP(Jnl[[#This Row],[TrxId]], Trx[Id], Trx[Date],,0)</f>
        <v>46053</v>
      </c>
      <c r="C435" s="6" t="str">
        <f>_xlfn.XLOOKUP(Jnl[[#This Row],[TrxId]], Trx[Id], Trx[Division],,0)</f>
        <v>Shuijie</v>
      </c>
      <c r="D435" s="6" t="str">
        <f>_xlfn.XLOOKUP(Jnl[[#This Row],[TrxId]], Trx[Id], Trx[Action],,0)</f>
        <v>服饰</v>
      </c>
      <c r="E435" s="27" t="s">
        <v>83</v>
      </c>
      <c r="F435" s="10" t="s">
        <v>596</v>
      </c>
      <c r="G435" s="10" t="s">
        <v>397</v>
      </c>
      <c r="H435" s="37">
        <v>470007.52</v>
      </c>
      <c r="I435" s="11" t="b">
        <f>AND(Jnl[[#This Row],[TrxId]]&lt;&gt;"",Jnl[[#This Row],[Acct]]&lt;&gt;"",Jnl[[#This Row],[Item]]&lt;&gt;"",ISNUMBER(Jnl[[#This Row],[Bal]]))</f>
        <v>1</v>
      </c>
      <c r="J435" s="9">
        <f>IF(Jnl[[#This Row],[BSLv0]]="A",1,-1)*Jnl[[#This Row],[Bal]]</f>
        <v>470007.52</v>
      </c>
      <c r="K435" t="str">
        <f>_xlfn.XLOOKUP(Jnl[[#This Row],[Acct]], config_BS[Acct], config_BS[Lv0],,0)</f>
        <v>A</v>
      </c>
      <c r="L435" t="str">
        <f>_xlfn.XLOOKUP(Jnl[[#This Row],[Acct]], config_BS[Acct], config_BS[Lv1],,0)</f>
        <v>Assets</v>
      </c>
      <c r="M435" t="str">
        <f>_xlfn.XLOOKUP(Jnl[[#This Row],[Acct]], config_BS[Acct], config_BS[Lv2],,0)</f>
        <v>Cash alike</v>
      </c>
      <c r="N435" t="str">
        <f>_xlfn.XLOOKUP(Jnl[[#This Row],[TrxId]], Trx[Id], Trx[IncNode], ,0)</f>
        <v>Revenue</v>
      </c>
      <c r="O435" t="str">
        <f>_xlfn.XLOOKUP(Jnl[[#This Row],[IncNode]], config_IS[Node], config_IS[Type],,0)</f>
        <v>Op</v>
      </c>
      <c r="P435" t="str">
        <f>_xlfn.XLOOKUP(Jnl[[#This Row],[BSLv2]], dict[Key], dict[Name],,0)</f>
        <v>0.现金及类似</v>
      </c>
      <c r="Q435" t="str">
        <f>_xlfn.XLOOKUP(Jnl[[#This Row],[Acct]], dict[Key], dict[Name],,0)</f>
        <v>银行</v>
      </c>
      <c r="R435" t="str">
        <f>_xlfn.XLOOKUP(Jnl[[#This Row],[Vehicle]],config_vehicle[Id], config_vehicle[Name],,0)</f>
        <v>喜家文化</v>
      </c>
      <c r="S435" t="str">
        <f>_xlfn.XLOOKUP(Jnl[[#This Row],[Division]],config_div[Id], config_div[Name],,0)</f>
        <v>水街店</v>
      </c>
      <c r="T435" t="str">
        <f>IF(Jnl[[#This Row],[TrxDate]]&lt;=stmt_BS_date_end, "In", "Out")</f>
        <v>In</v>
      </c>
      <c r="U435" t="str">
        <f>IF(Jnl[[#This Row],[TrxDate]]&lt;debug_date_start, "prior", IF(Jnl[[#This Row],[TrxDate]]&gt;debug_date_end, "post", "curr"))</f>
        <v>curr</v>
      </c>
    </row>
    <row r="436" spans="1:21" hidden="1">
      <c r="A436" s="39" t="s">
        <v>640</v>
      </c>
      <c r="B436" s="6">
        <f>_xlfn.XLOOKUP(Jnl[[#This Row],[TrxId]], Trx[Id], Trx[Date],,0)</f>
        <v>46053</v>
      </c>
      <c r="C436" s="6" t="str">
        <f>_xlfn.XLOOKUP(Jnl[[#This Row],[TrxId]], Trx[Id], Trx[Division],,0)</f>
        <v>GM</v>
      </c>
      <c r="D436" s="6" t="str">
        <f>_xlfn.XLOOKUP(Jnl[[#This Row],[TrxId]], Trx[Id], Trx[Action],,0)</f>
        <v>房租</v>
      </c>
      <c r="E436" s="27" t="s">
        <v>83</v>
      </c>
      <c r="F436" s="10" t="s">
        <v>498</v>
      </c>
      <c r="G436" s="10" t="s">
        <v>144</v>
      </c>
      <c r="H436" s="37">
        <f>-45370.49</f>
        <v>-45370.49</v>
      </c>
      <c r="I436" s="11" t="b">
        <f>AND(Jnl[[#This Row],[TrxId]]&lt;&gt;"",Jnl[[#This Row],[Acct]]&lt;&gt;"",Jnl[[#This Row],[Item]]&lt;&gt;"",ISNUMBER(Jnl[[#This Row],[Bal]]))</f>
        <v>1</v>
      </c>
      <c r="J436" s="9">
        <f>IF(Jnl[[#This Row],[BSLv0]]="A",1,-1)*Jnl[[#This Row],[Bal]]</f>
        <v>-45370.49</v>
      </c>
      <c r="K436" t="str">
        <f>_xlfn.XLOOKUP(Jnl[[#This Row],[Acct]], config_BS[Acct], config_BS[Lv0],,0)</f>
        <v>A</v>
      </c>
      <c r="L436" t="str">
        <f>_xlfn.XLOOKUP(Jnl[[#This Row],[Acct]], config_BS[Acct], config_BS[Lv1],,0)</f>
        <v>Assets</v>
      </c>
      <c r="M436" t="str">
        <f>_xlfn.XLOOKUP(Jnl[[#This Row],[Acct]], config_BS[Acct], config_BS[Lv2],,0)</f>
        <v>Prep-Sub</v>
      </c>
      <c r="N436" t="str">
        <f>_xlfn.XLOOKUP(Jnl[[#This Row],[TrxId]], Trx[Id], Trx[IncNode], ,0)</f>
        <v>Expense</v>
      </c>
      <c r="O436" t="str">
        <f>_xlfn.XLOOKUP(Jnl[[#This Row],[IncNode]], config_IS[Node], config_IS[Type],,0)</f>
        <v>Op</v>
      </c>
      <c r="P436" t="str">
        <f>_xlfn.XLOOKUP(Jnl[[#This Row],[BSLv2]], dict[Key], dict[Name],,0)</f>
        <v>2.预付-订阅</v>
      </c>
      <c r="Q436" t="str">
        <f>_xlfn.XLOOKUP(Jnl[[#This Row],[Acct]], dict[Key], dict[Name],,0)</f>
        <v>预付订单</v>
      </c>
      <c r="R436" t="str">
        <f>_xlfn.XLOOKUP(Jnl[[#This Row],[Vehicle]],config_vehicle[Id], config_vehicle[Name],,0)</f>
        <v>喜家文化</v>
      </c>
      <c r="S436" t="str">
        <f>_xlfn.XLOOKUP(Jnl[[#This Row],[Division]],config_div[Id], config_div[Name],,0)</f>
        <v>综合管理</v>
      </c>
      <c r="T436" t="str">
        <f>IF(Jnl[[#This Row],[TrxDate]]&lt;=stmt_BS_date_end, "In", "Out")</f>
        <v>In</v>
      </c>
      <c r="U436" t="str">
        <f>IF(Jnl[[#This Row],[TrxDate]]&lt;debug_date_start, "prior", IF(Jnl[[#This Row],[TrxDate]]&gt;debug_date_end, "post", "curr"))</f>
        <v>curr</v>
      </c>
    </row>
    <row r="437" spans="1:21" hidden="1">
      <c r="A437" s="39" t="s">
        <v>641</v>
      </c>
      <c r="B437" s="6">
        <f>_xlfn.XLOOKUP(Jnl[[#This Row],[TrxId]], Trx[Id], Trx[Date],,0)</f>
        <v>46053</v>
      </c>
      <c r="C437" s="6" t="str">
        <f>_xlfn.XLOOKUP(Jnl[[#This Row],[TrxId]], Trx[Id], Trx[Division],,0)</f>
        <v>Shuijie</v>
      </c>
      <c r="D437" s="6" t="str">
        <f>_xlfn.XLOOKUP(Jnl[[#This Row],[TrxId]], Trx[Id], Trx[Action],,0)</f>
        <v>维护</v>
      </c>
      <c r="E437" s="27" t="s">
        <v>83</v>
      </c>
      <c r="F437" s="10" t="s">
        <v>498</v>
      </c>
      <c r="G437" s="10" t="s">
        <v>144</v>
      </c>
      <c r="H437" s="37">
        <v>-3000</v>
      </c>
      <c r="I437" s="11" t="b">
        <f>AND(Jnl[[#This Row],[TrxId]]&lt;&gt;"",Jnl[[#This Row],[Acct]]&lt;&gt;"",Jnl[[#This Row],[Item]]&lt;&gt;"",ISNUMBER(Jnl[[#This Row],[Bal]]))</f>
        <v>1</v>
      </c>
      <c r="J437" s="9">
        <f>IF(Jnl[[#This Row],[BSLv0]]="A",1,-1)*Jnl[[#This Row],[Bal]]</f>
        <v>-3000</v>
      </c>
      <c r="K437" t="str">
        <f>_xlfn.XLOOKUP(Jnl[[#This Row],[Acct]], config_BS[Acct], config_BS[Lv0],,0)</f>
        <v>A</v>
      </c>
      <c r="L437" t="str">
        <f>_xlfn.XLOOKUP(Jnl[[#This Row],[Acct]], config_BS[Acct], config_BS[Lv1],,0)</f>
        <v>Assets</v>
      </c>
      <c r="M437" t="str">
        <f>_xlfn.XLOOKUP(Jnl[[#This Row],[Acct]], config_BS[Acct], config_BS[Lv2],,0)</f>
        <v>Prep-Sub</v>
      </c>
      <c r="N437" t="str">
        <f>_xlfn.XLOOKUP(Jnl[[#This Row],[TrxId]], Trx[Id], Trx[IncNode], ,0)</f>
        <v>Expense</v>
      </c>
      <c r="O437" t="str">
        <f>_xlfn.XLOOKUP(Jnl[[#This Row],[IncNode]], config_IS[Node], config_IS[Type],,0)</f>
        <v>Op</v>
      </c>
      <c r="P437" t="str">
        <f>_xlfn.XLOOKUP(Jnl[[#This Row],[BSLv2]], dict[Key], dict[Name],,0)</f>
        <v>2.预付-订阅</v>
      </c>
      <c r="Q437" t="str">
        <f>_xlfn.XLOOKUP(Jnl[[#This Row],[Acct]], dict[Key], dict[Name],,0)</f>
        <v>预付订单</v>
      </c>
      <c r="R437" t="str">
        <f>_xlfn.XLOOKUP(Jnl[[#This Row],[Vehicle]],config_vehicle[Id], config_vehicle[Name],,0)</f>
        <v>喜家文化</v>
      </c>
      <c r="S437" t="str">
        <f>_xlfn.XLOOKUP(Jnl[[#This Row],[Division]],config_div[Id], config_div[Name],,0)</f>
        <v>水街店</v>
      </c>
      <c r="T437" t="str">
        <f>IF(Jnl[[#This Row],[TrxDate]]&lt;=stmt_BS_date_end, "In", "Out")</f>
        <v>In</v>
      </c>
      <c r="U437" t="str">
        <f>IF(Jnl[[#This Row],[TrxDate]]&lt;debug_date_start, "prior", IF(Jnl[[#This Row],[TrxDate]]&gt;debug_date_end, "post", "curr"))</f>
        <v>curr</v>
      </c>
    </row>
    <row r="438" spans="1:21" hidden="1">
      <c r="A438" s="39" t="s">
        <v>642</v>
      </c>
      <c r="B438" s="6">
        <f>_xlfn.XLOOKUP(Jnl[[#This Row],[TrxId]], Trx[Id], Trx[Date],,0)</f>
        <v>46053</v>
      </c>
      <c r="C438" s="6" t="str">
        <f>_xlfn.XLOOKUP(Jnl[[#This Row],[TrxId]], Trx[Id], Trx[Division],,0)</f>
        <v>Shuijie</v>
      </c>
      <c r="D438" s="6" t="str">
        <f>_xlfn.XLOOKUP(Jnl[[#This Row],[TrxId]], Trx[Id], Trx[Action],,0)</f>
        <v>成本结转</v>
      </c>
      <c r="E438" s="27" t="s">
        <v>83</v>
      </c>
      <c r="F438" s="10" t="s">
        <v>658</v>
      </c>
      <c r="G438" s="10" t="s">
        <v>139</v>
      </c>
      <c r="H438" s="37">
        <v>14188.2</v>
      </c>
      <c r="I438" s="11" t="b">
        <f>AND(Jnl[[#This Row],[TrxId]]&lt;&gt;"",Jnl[[#This Row],[Acct]]&lt;&gt;"",Jnl[[#This Row],[Item]]&lt;&gt;"",ISNUMBER(Jnl[[#This Row],[Bal]]))</f>
        <v>1</v>
      </c>
      <c r="J438" s="9">
        <f>IF(Jnl[[#This Row],[BSLv0]]="A",1,-1)*Jnl[[#This Row],[Bal]]</f>
        <v>-14188.2</v>
      </c>
      <c r="K438" t="str">
        <f>_xlfn.XLOOKUP(Jnl[[#This Row],[Acct]], config_BS[Acct], config_BS[Lv0],,0)</f>
        <v>LC</v>
      </c>
      <c r="L438" t="str">
        <f>_xlfn.XLOOKUP(Jnl[[#This Row],[Acct]], config_BS[Acct], config_BS[Lv1],,0)</f>
        <v>Liability</v>
      </c>
      <c r="M438" t="str">
        <f>_xlfn.XLOOKUP(Jnl[[#This Row],[Acct]], config_BS[Acct], config_BS[Lv2],,0)</f>
        <v>Rec-Pay</v>
      </c>
      <c r="N438" t="str">
        <f>_xlfn.XLOOKUP(Jnl[[#This Row],[TrxId]], Trx[Id], Trx[IncNode], ,0)</f>
        <v>Cost</v>
      </c>
      <c r="O438" t="str">
        <f>_xlfn.XLOOKUP(Jnl[[#This Row],[IncNode]], config_IS[Node], config_IS[Type],,0)</f>
        <v>Op</v>
      </c>
      <c r="P438" t="str">
        <f>_xlfn.XLOOKUP(Jnl[[#This Row],[BSLv2]], dict[Key], dict[Name],,0)</f>
        <v>1.应收-应付</v>
      </c>
      <c r="Q438" t="str">
        <f>_xlfn.XLOOKUP(Jnl[[#This Row],[Acct]], dict[Key], dict[Name],,0)</f>
        <v>应付-一般</v>
      </c>
      <c r="R438" t="str">
        <f>_xlfn.XLOOKUP(Jnl[[#This Row],[Vehicle]],config_vehicle[Id], config_vehicle[Name],,0)</f>
        <v>喜家文化</v>
      </c>
      <c r="S438" t="str">
        <f>_xlfn.XLOOKUP(Jnl[[#This Row],[Division]],config_div[Id], config_div[Name],,0)</f>
        <v>水街店</v>
      </c>
      <c r="T438" t="str">
        <f>IF(Jnl[[#This Row],[TrxDate]]&lt;=stmt_BS_date_end, "In", "Out")</f>
        <v>In</v>
      </c>
      <c r="U438" t="str">
        <f>IF(Jnl[[#This Row],[TrxDate]]&lt;debug_date_start, "prior", IF(Jnl[[#This Row],[TrxDate]]&gt;debug_date_end, "post", "curr"))</f>
        <v>curr</v>
      </c>
    </row>
    <row r="439" spans="1:21" hidden="1">
      <c r="A439" s="39" t="s">
        <v>643</v>
      </c>
      <c r="B439" s="6">
        <f>_xlfn.XLOOKUP(Jnl[[#This Row],[TrxId]], Trx[Id], Trx[Date],,0)</f>
        <v>46053</v>
      </c>
      <c r="C439" s="6" t="str">
        <f>_xlfn.XLOOKUP(Jnl[[#This Row],[TrxId]], Trx[Id], Trx[Division],,0)</f>
        <v>Shuijie</v>
      </c>
      <c r="D439" s="6" t="str">
        <f>_xlfn.XLOOKUP(Jnl[[#This Row],[TrxId]], Trx[Id], Trx[Action],,0)</f>
        <v>成本结转</v>
      </c>
      <c r="E439" s="27" t="s">
        <v>83</v>
      </c>
      <c r="F439" s="10" t="s">
        <v>658</v>
      </c>
      <c r="G439" s="10" t="s">
        <v>139</v>
      </c>
      <c r="H439" s="37">
        <v>306</v>
      </c>
      <c r="I439" s="11" t="b">
        <f>AND(Jnl[[#This Row],[TrxId]]&lt;&gt;"",Jnl[[#This Row],[Acct]]&lt;&gt;"",Jnl[[#This Row],[Item]]&lt;&gt;"",ISNUMBER(Jnl[[#This Row],[Bal]]))</f>
        <v>1</v>
      </c>
      <c r="J439" s="9">
        <f>IF(Jnl[[#This Row],[BSLv0]]="A",1,-1)*Jnl[[#This Row],[Bal]]</f>
        <v>-306</v>
      </c>
      <c r="K439" t="str">
        <f>_xlfn.XLOOKUP(Jnl[[#This Row],[Acct]], config_BS[Acct], config_BS[Lv0],,0)</f>
        <v>LC</v>
      </c>
      <c r="L439" t="str">
        <f>_xlfn.XLOOKUP(Jnl[[#This Row],[Acct]], config_BS[Acct], config_BS[Lv1],,0)</f>
        <v>Liability</v>
      </c>
      <c r="M439" t="str">
        <f>_xlfn.XLOOKUP(Jnl[[#This Row],[Acct]], config_BS[Acct], config_BS[Lv2],,0)</f>
        <v>Rec-Pay</v>
      </c>
      <c r="N439" t="str">
        <f>_xlfn.XLOOKUP(Jnl[[#This Row],[TrxId]], Trx[Id], Trx[IncNode], ,0)</f>
        <v>Cost</v>
      </c>
      <c r="O439" t="str">
        <f>_xlfn.XLOOKUP(Jnl[[#This Row],[IncNode]], config_IS[Node], config_IS[Type],,0)</f>
        <v>Op</v>
      </c>
      <c r="P439" t="str">
        <f>_xlfn.XLOOKUP(Jnl[[#This Row],[BSLv2]], dict[Key], dict[Name],,0)</f>
        <v>1.应收-应付</v>
      </c>
      <c r="Q439" t="str">
        <f>_xlfn.XLOOKUP(Jnl[[#This Row],[Acct]], dict[Key], dict[Name],,0)</f>
        <v>应付-一般</v>
      </c>
      <c r="R439" t="str">
        <f>_xlfn.XLOOKUP(Jnl[[#This Row],[Vehicle]],config_vehicle[Id], config_vehicle[Name],,0)</f>
        <v>喜家文化</v>
      </c>
      <c r="S439" t="str">
        <f>_xlfn.XLOOKUP(Jnl[[#This Row],[Division]],config_div[Id], config_div[Name],,0)</f>
        <v>水街店</v>
      </c>
      <c r="T439" t="str">
        <f>IF(Jnl[[#This Row],[TrxDate]]&lt;=stmt_BS_date_end, "In", "Out")</f>
        <v>In</v>
      </c>
      <c r="U439" t="str">
        <f>IF(Jnl[[#This Row],[TrxDate]]&lt;debug_date_start, "prior", IF(Jnl[[#This Row],[TrxDate]]&gt;debug_date_end, "post", "curr"))</f>
        <v>curr</v>
      </c>
    </row>
    <row r="440" spans="1:21" hidden="1">
      <c r="A440" s="39" t="s">
        <v>645</v>
      </c>
      <c r="B440" s="6">
        <f>_xlfn.XLOOKUP(Jnl[[#This Row],[TrxId]], Trx[Id], Trx[Date],,0)</f>
        <v>46053</v>
      </c>
      <c r="C440" s="6" t="str">
        <f>_xlfn.XLOOKUP(Jnl[[#This Row],[TrxId]], Trx[Id], Trx[Division],,0)</f>
        <v>Shuijie</v>
      </c>
      <c r="D440" s="6" t="str">
        <f>_xlfn.XLOOKUP(Jnl[[#This Row],[TrxId]], Trx[Id], Trx[Action],,0)</f>
        <v>收款</v>
      </c>
      <c r="E440" s="27" t="s">
        <v>108</v>
      </c>
      <c r="F440" s="10" t="s">
        <v>599</v>
      </c>
      <c r="G440" s="10" t="s">
        <v>600</v>
      </c>
      <c r="H440" s="37">
        <v>-3984.8</v>
      </c>
      <c r="I440" s="11" t="b">
        <f>AND(Jnl[[#This Row],[TrxId]]&lt;&gt;"",Jnl[[#This Row],[Acct]]&lt;&gt;"",Jnl[[#This Row],[Item]]&lt;&gt;"",ISNUMBER(Jnl[[#This Row],[Bal]]))</f>
        <v>1</v>
      </c>
      <c r="J440" s="9">
        <f>IF(Jnl[[#This Row],[BSLv0]]="A",1,-1)*Jnl[[#This Row],[Bal]]</f>
        <v>-3984.8</v>
      </c>
      <c r="K440" t="str">
        <f>_xlfn.XLOOKUP(Jnl[[#This Row],[Acct]], config_BS[Acct], config_BS[Lv0],,0)</f>
        <v>A</v>
      </c>
      <c r="L440" t="str">
        <f>_xlfn.XLOOKUP(Jnl[[#This Row],[Acct]], config_BS[Acct], config_BS[Lv1],,0)</f>
        <v>Assets</v>
      </c>
      <c r="M440" t="str">
        <f>_xlfn.XLOOKUP(Jnl[[#This Row],[Acct]], config_BS[Acct], config_BS[Lv2],,0)</f>
        <v>Rec-Pay</v>
      </c>
      <c r="N440" t="str">
        <f>_xlfn.XLOOKUP(Jnl[[#This Row],[TrxId]], Trx[Id], Trx[IncNode], ,0)</f>
        <v>Revenue</v>
      </c>
      <c r="O440" t="str">
        <f>_xlfn.XLOOKUP(Jnl[[#This Row],[IncNode]], config_IS[Node], config_IS[Type],,0)</f>
        <v>Op</v>
      </c>
      <c r="P440" t="str">
        <f>_xlfn.XLOOKUP(Jnl[[#This Row],[BSLv2]], dict[Key], dict[Name],,0)</f>
        <v>1.应收-应付</v>
      </c>
      <c r="Q440" t="str">
        <f>_xlfn.XLOOKUP(Jnl[[#This Row],[Acct]], dict[Key], dict[Name],,0)</f>
        <v>应收-一般</v>
      </c>
      <c r="R440" t="str">
        <f>_xlfn.XLOOKUP(Jnl[[#This Row],[Vehicle]],config_vehicle[Id], config_vehicle[Name],,0)</f>
        <v>远家花园高新分公司</v>
      </c>
      <c r="S440" t="str">
        <f>_xlfn.XLOOKUP(Jnl[[#This Row],[Division]],config_div[Id], config_div[Name],,0)</f>
        <v>水街店</v>
      </c>
      <c r="T440" t="str">
        <f>IF(Jnl[[#This Row],[TrxDate]]&lt;=stmt_BS_date_end, "In", "Out")</f>
        <v>In</v>
      </c>
      <c r="U440" t="str">
        <f>IF(Jnl[[#This Row],[TrxDate]]&lt;debug_date_start, "prior", IF(Jnl[[#This Row],[TrxDate]]&gt;debug_date_end, "post", "curr"))</f>
        <v>curr</v>
      </c>
    </row>
    <row r="441" spans="1:21" hidden="1">
      <c r="A441" s="39" t="s">
        <v>645</v>
      </c>
      <c r="B441" s="6">
        <f>_xlfn.XLOOKUP(Jnl[[#This Row],[TrxId]], Trx[Id], Trx[Date],,0)</f>
        <v>46053</v>
      </c>
      <c r="C441" s="6" t="str">
        <f>_xlfn.XLOOKUP(Jnl[[#This Row],[TrxId]], Trx[Id], Trx[Division],,0)</f>
        <v>Shuijie</v>
      </c>
      <c r="D441" s="6" t="str">
        <f>_xlfn.XLOOKUP(Jnl[[#This Row],[TrxId]], Trx[Id], Trx[Action],,0)</f>
        <v>收款</v>
      </c>
      <c r="E441" s="27" t="s">
        <v>108</v>
      </c>
      <c r="F441" s="10" t="s">
        <v>596</v>
      </c>
      <c r="G441" s="10" t="s">
        <v>693</v>
      </c>
      <c r="H441" s="37">
        <v>3984.8</v>
      </c>
      <c r="I441" s="11" t="b">
        <f>AND(Jnl[[#This Row],[TrxId]]&lt;&gt;"",Jnl[[#This Row],[Acct]]&lt;&gt;"",Jnl[[#This Row],[Item]]&lt;&gt;"",ISNUMBER(Jnl[[#This Row],[Bal]]))</f>
        <v>1</v>
      </c>
      <c r="J441" s="9">
        <f>IF(Jnl[[#This Row],[BSLv0]]="A",1,-1)*Jnl[[#This Row],[Bal]]</f>
        <v>3984.8</v>
      </c>
      <c r="K441" t="str">
        <f>_xlfn.XLOOKUP(Jnl[[#This Row],[Acct]], config_BS[Acct], config_BS[Lv0],,0)</f>
        <v>A</v>
      </c>
      <c r="L441" t="str">
        <f>_xlfn.XLOOKUP(Jnl[[#This Row],[Acct]], config_BS[Acct], config_BS[Lv1],,0)</f>
        <v>Assets</v>
      </c>
      <c r="M441" t="str">
        <f>_xlfn.XLOOKUP(Jnl[[#This Row],[Acct]], config_BS[Acct], config_BS[Lv2],,0)</f>
        <v>Cash alike</v>
      </c>
      <c r="N441" t="str">
        <f>_xlfn.XLOOKUP(Jnl[[#This Row],[TrxId]], Trx[Id], Trx[IncNode], ,0)</f>
        <v>Revenue</v>
      </c>
      <c r="O441" t="str">
        <f>_xlfn.XLOOKUP(Jnl[[#This Row],[IncNode]], config_IS[Node], config_IS[Type],,0)</f>
        <v>Op</v>
      </c>
      <c r="P441" t="str">
        <f>_xlfn.XLOOKUP(Jnl[[#This Row],[BSLv2]], dict[Key], dict[Name],,0)</f>
        <v>0.现金及类似</v>
      </c>
      <c r="Q441" t="str">
        <f>_xlfn.XLOOKUP(Jnl[[#This Row],[Acct]], dict[Key], dict[Name],,0)</f>
        <v>银行</v>
      </c>
      <c r="R441" t="str">
        <f>_xlfn.XLOOKUP(Jnl[[#This Row],[Vehicle]],config_vehicle[Id], config_vehicle[Name],,0)</f>
        <v>远家花园高新分公司</v>
      </c>
      <c r="S441" t="str">
        <f>_xlfn.XLOOKUP(Jnl[[#This Row],[Division]],config_div[Id], config_div[Name],,0)</f>
        <v>水街店</v>
      </c>
      <c r="T441" t="str">
        <f>IF(Jnl[[#This Row],[TrxDate]]&lt;=stmt_BS_date_end, "In", "Out")</f>
        <v>In</v>
      </c>
      <c r="U441" t="str">
        <f>IF(Jnl[[#This Row],[TrxDate]]&lt;debug_date_start, "prior", IF(Jnl[[#This Row],[TrxDate]]&gt;debug_date_end, "post", "curr"))</f>
        <v>curr</v>
      </c>
    </row>
    <row r="442" spans="1:21" hidden="1">
      <c r="A442" s="39" t="s">
        <v>646</v>
      </c>
      <c r="B442" s="6">
        <f>_xlfn.XLOOKUP(Jnl[[#This Row],[TrxId]], Trx[Id], Trx[Date],,0)</f>
        <v>46053</v>
      </c>
      <c r="C442" s="6" t="str">
        <f>_xlfn.XLOOKUP(Jnl[[#This Row],[TrxId]], Trx[Id], Trx[Division],,0)</f>
        <v>Shuijie</v>
      </c>
      <c r="D442" s="6" t="str">
        <f>_xlfn.XLOOKUP(Jnl[[#This Row],[TrxId]], Trx[Id], Trx[Action],,0)</f>
        <v>服饰</v>
      </c>
      <c r="E442" s="27" t="s">
        <v>691</v>
      </c>
      <c r="F442" s="10" t="s">
        <v>115</v>
      </c>
      <c r="G442" s="10" t="s">
        <v>600</v>
      </c>
      <c r="H442" s="37">
        <v>1888.88</v>
      </c>
      <c r="I442" s="11" t="b">
        <f>AND(Jnl[[#This Row],[TrxId]]&lt;&gt;"",Jnl[[#This Row],[Acct]]&lt;&gt;"",Jnl[[#This Row],[Item]]&lt;&gt;"",ISNUMBER(Jnl[[#This Row],[Bal]]))</f>
        <v>1</v>
      </c>
      <c r="J442" s="9">
        <f>IF(Jnl[[#This Row],[BSLv0]]="A",1,-1)*Jnl[[#This Row],[Bal]]</f>
        <v>1888.88</v>
      </c>
      <c r="K442" t="str">
        <f>_xlfn.XLOOKUP(Jnl[[#This Row],[Acct]], config_BS[Acct], config_BS[Lv0],,0)</f>
        <v>A</v>
      </c>
      <c r="L442" t="str">
        <f>_xlfn.XLOOKUP(Jnl[[#This Row],[Acct]], config_BS[Acct], config_BS[Lv1],,0)</f>
        <v>Assets</v>
      </c>
      <c r="M442" t="str">
        <f>_xlfn.XLOOKUP(Jnl[[#This Row],[Acct]], config_BS[Acct], config_BS[Lv2],,0)</f>
        <v>Rec-Pay</v>
      </c>
      <c r="N442" t="str">
        <f>_xlfn.XLOOKUP(Jnl[[#This Row],[TrxId]], Trx[Id], Trx[IncNode], ,0)</f>
        <v>Revenue</v>
      </c>
      <c r="O442" t="str">
        <f>_xlfn.XLOOKUP(Jnl[[#This Row],[IncNode]], config_IS[Node], config_IS[Type],,0)</f>
        <v>Op</v>
      </c>
      <c r="P442" t="str">
        <f>_xlfn.XLOOKUP(Jnl[[#This Row],[BSLv2]], dict[Key], dict[Name],,0)</f>
        <v>1.应收-应付</v>
      </c>
      <c r="Q442" t="str">
        <f>_xlfn.XLOOKUP(Jnl[[#This Row],[Acct]], dict[Key], dict[Name],,0)</f>
        <v>应收-一般</v>
      </c>
      <c r="R442" t="str">
        <f>_xlfn.XLOOKUP(Jnl[[#This Row],[Vehicle]],config_vehicle[Id], config_vehicle[Name],,0)</f>
        <v>喜家文化</v>
      </c>
      <c r="S442" t="str">
        <f>_xlfn.XLOOKUP(Jnl[[#This Row],[Division]],config_div[Id], config_div[Name],,0)</f>
        <v>水街店</v>
      </c>
      <c r="T442" t="str">
        <f>IF(Jnl[[#This Row],[TrxDate]]&lt;=stmt_BS_date_end, "In", "Out")</f>
        <v>In</v>
      </c>
      <c r="U442" t="str">
        <f>IF(Jnl[[#This Row],[TrxDate]]&lt;debug_date_start, "prior", IF(Jnl[[#This Row],[TrxDate]]&gt;debug_date_end, "post", "curr"))</f>
        <v>curr</v>
      </c>
    </row>
    <row r="443" spans="1:21" hidden="1">
      <c r="A443" s="39" t="s">
        <v>648</v>
      </c>
      <c r="B443" s="6">
        <f>_xlfn.XLOOKUP(Jnl[[#This Row],[TrxId]], Trx[Id], Trx[Date],,0)</f>
        <v>46053</v>
      </c>
      <c r="C443" s="6" t="str">
        <f>_xlfn.XLOOKUP(Jnl[[#This Row],[TrxId]], Trx[Id], Trx[Division],,0)</f>
        <v>Shuijie</v>
      </c>
      <c r="D443" s="6" t="str">
        <f>_xlfn.XLOOKUP(Jnl[[#This Row],[TrxId]], Trx[Id], Trx[Action],,0)</f>
        <v>平台费</v>
      </c>
      <c r="E443" s="27" t="s">
        <v>83</v>
      </c>
      <c r="F443" s="10" t="s">
        <v>115</v>
      </c>
      <c r="G443" s="10" t="s">
        <v>600</v>
      </c>
      <c r="H443" s="37">
        <v>-1888.88</v>
      </c>
      <c r="I443" s="11" t="b">
        <f>AND(Jnl[[#This Row],[TrxId]]&lt;&gt;"",Jnl[[#This Row],[Acct]]&lt;&gt;"",Jnl[[#This Row],[Item]]&lt;&gt;"",ISNUMBER(Jnl[[#This Row],[Bal]]))</f>
        <v>1</v>
      </c>
      <c r="J443" s="9">
        <f>IF(Jnl[[#This Row],[BSLv0]]="A",1,-1)*Jnl[[#This Row],[Bal]]</f>
        <v>-1888.88</v>
      </c>
      <c r="K443" t="str">
        <f>_xlfn.XLOOKUP(Jnl[[#This Row],[Acct]], config_BS[Acct], config_BS[Lv0],,0)</f>
        <v>A</v>
      </c>
      <c r="L443" t="str">
        <f>_xlfn.XLOOKUP(Jnl[[#This Row],[Acct]], config_BS[Acct], config_BS[Lv1],,0)</f>
        <v>Assets</v>
      </c>
      <c r="M443" t="str">
        <f>_xlfn.XLOOKUP(Jnl[[#This Row],[Acct]], config_BS[Acct], config_BS[Lv2],,0)</f>
        <v>Rec-Pay</v>
      </c>
      <c r="N443" t="str">
        <f>_xlfn.XLOOKUP(Jnl[[#This Row],[TrxId]], Trx[Id], Trx[IncNode], ,0)</f>
        <v>Cost</v>
      </c>
      <c r="O443" t="str">
        <f>_xlfn.XLOOKUP(Jnl[[#This Row],[IncNode]], config_IS[Node], config_IS[Type],,0)</f>
        <v>Op</v>
      </c>
      <c r="P443" t="str">
        <f>_xlfn.XLOOKUP(Jnl[[#This Row],[BSLv2]], dict[Key], dict[Name],,0)</f>
        <v>1.应收-应付</v>
      </c>
      <c r="Q443" t="str">
        <f>_xlfn.XLOOKUP(Jnl[[#This Row],[Acct]], dict[Key], dict[Name],,0)</f>
        <v>应收-一般</v>
      </c>
      <c r="R443" t="str">
        <f>_xlfn.XLOOKUP(Jnl[[#This Row],[Vehicle]],config_vehicle[Id], config_vehicle[Name],,0)</f>
        <v>喜家文化</v>
      </c>
      <c r="S443" t="str">
        <f>_xlfn.XLOOKUP(Jnl[[#This Row],[Division]],config_div[Id], config_div[Name],,0)</f>
        <v>水街店</v>
      </c>
      <c r="T443" t="str">
        <f>IF(Jnl[[#This Row],[TrxDate]]&lt;=stmt_BS_date_end, "In", "Out")</f>
        <v>In</v>
      </c>
      <c r="U443" t="str">
        <f>IF(Jnl[[#This Row],[TrxDate]]&lt;debug_date_start, "prior", IF(Jnl[[#This Row],[TrxDate]]&gt;debug_date_end, "post", "curr"))</f>
        <v>curr</v>
      </c>
    </row>
    <row r="444" spans="1:21" hidden="1">
      <c r="A444" s="39" t="s">
        <v>649</v>
      </c>
      <c r="B444" s="6">
        <f>_xlfn.XLOOKUP(Jnl[[#This Row],[TrxId]], Trx[Id], Trx[Date],,0)</f>
        <v>46053</v>
      </c>
      <c r="C444" s="6" t="str">
        <f>_xlfn.XLOOKUP(Jnl[[#This Row],[TrxId]], Trx[Id], Trx[Division],,0)</f>
        <v>Shuijie</v>
      </c>
      <c r="D444" s="6" t="str">
        <f>_xlfn.XLOOKUP(Jnl[[#This Row],[TrxId]], Trx[Id], Trx[Action],,0)</f>
        <v>增值税</v>
      </c>
      <c r="E444" s="27" t="s">
        <v>83</v>
      </c>
      <c r="F444" s="10" t="s">
        <v>130</v>
      </c>
      <c r="G444" s="10" t="s">
        <v>312</v>
      </c>
      <c r="H444" s="37">
        <v>27625.07</v>
      </c>
      <c r="I444" s="11" t="b">
        <f>AND(Jnl[[#This Row],[TrxId]]&lt;&gt;"",Jnl[[#This Row],[Acct]]&lt;&gt;"",Jnl[[#This Row],[Item]]&lt;&gt;"",ISNUMBER(Jnl[[#This Row],[Bal]]))</f>
        <v>1</v>
      </c>
      <c r="J444" s="9">
        <f>IF(Jnl[[#This Row],[BSLv0]]="A",1,-1)*Jnl[[#This Row],[Bal]]</f>
        <v>-27625.07</v>
      </c>
      <c r="K444" t="str">
        <f>_xlfn.XLOOKUP(Jnl[[#This Row],[Acct]], config_BS[Acct], config_BS[Lv0],,0)</f>
        <v>LC</v>
      </c>
      <c r="L444" t="str">
        <f>_xlfn.XLOOKUP(Jnl[[#This Row],[Acct]], config_BS[Acct], config_BS[Lv1],,0)</f>
        <v>Liability</v>
      </c>
      <c r="M444" t="str">
        <f>_xlfn.XLOOKUP(Jnl[[#This Row],[Acct]], config_BS[Acct], config_BS[Lv2],,0)</f>
        <v>Rec-Pay</v>
      </c>
      <c r="N444" t="str">
        <f>_xlfn.XLOOKUP(Jnl[[#This Row],[TrxId]], Trx[Id], Trx[IncNode], ,0)</f>
        <v>Cost</v>
      </c>
      <c r="O444" t="str">
        <f>_xlfn.XLOOKUP(Jnl[[#This Row],[IncNode]], config_IS[Node], config_IS[Type],,0)</f>
        <v>Op</v>
      </c>
      <c r="P444" t="str">
        <f>_xlfn.XLOOKUP(Jnl[[#This Row],[BSLv2]], dict[Key], dict[Name],,0)</f>
        <v>1.应收-应付</v>
      </c>
      <c r="Q444" t="str">
        <f>_xlfn.XLOOKUP(Jnl[[#This Row],[Acct]], dict[Key], dict[Name],,0)</f>
        <v>应付-税款</v>
      </c>
      <c r="R444" t="str">
        <f>_xlfn.XLOOKUP(Jnl[[#This Row],[Vehicle]],config_vehicle[Id], config_vehicle[Name],,0)</f>
        <v>喜家文化</v>
      </c>
      <c r="S444" t="str">
        <f>_xlfn.XLOOKUP(Jnl[[#This Row],[Division]],config_div[Id], config_div[Name],,0)</f>
        <v>水街店</v>
      </c>
      <c r="T444" t="str">
        <f>IF(Jnl[[#This Row],[TrxDate]]&lt;=stmt_BS_date_end, "In", "Out")</f>
        <v>In</v>
      </c>
      <c r="U444" t="str">
        <f>IF(Jnl[[#This Row],[TrxDate]]&lt;debug_date_start, "prior", IF(Jnl[[#This Row],[TrxDate]]&gt;debug_date_end, "post", "curr"))</f>
        <v>curr</v>
      </c>
    </row>
    <row r="445" spans="1:21" hidden="1">
      <c r="A445" s="39" t="s">
        <v>650</v>
      </c>
      <c r="B445" s="6">
        <f>_xlfn.XLOOKUP(Jnl[[#This Row],[TrxId]], Trx[Id], Trx[Date],,0)</f>
        <v>46053</v>
      </c>
      <c r="C445" s="6" t="str">
        <f>_xlfn.XLOOKUP(Jnl[[#This Row],[TrxId]], Trx[Id], Trx[Division],,0)</f>
        <v>Ctrl</v>
      </c>
      <c r="D445" s="6" t="str">
        <f>_xlfn.XLOOKUP(Jnl[[#This Row],[TrxId]], Trx[Id], Trx[Action],,0)</f>
        <v>计提税金</v>
      </c>
      <c r="E445" s="27" t="s">
        <v>83</v>
      </c>
      <c r="F445" s="10" t="s">
        <v>130</v>
      </c>
      <c r="G445" s="10" t="s">
        <v>622</v>
      </c>
      <c r="H445" s="37">
        <v>83.3</v>
      </c>
      <c r="I445" s="11" t="b">
        <f>AND(Jnl[[#This Row],[TrxId]]&lt;&gt;"",Jnl[[#This Row],[Acct]]&lt;&gt;"",Jnl[[#This Row],[Item]]&lt;&gt;"",ISNUMBER(Jnl[[#This Row],[Bal]]))</f>
        <v>1</v>
      </c>
      <c r="J445" s="9">
        <f>IF(Jnl[[#This Row],[BSLv0]]="A",1,-1)*Jnl[[#This Row],[Bal]]</f>
        <v>-83.3</v>
      </c>
      <c r="K445" t="str">
        <f>_xlfn.XLOOKUP(Jnl[[#This Row],[Acct]], config_BS[Acct], config_BS[Lv0],,0)</f>
        <v>LC</v>
      </c>
      <c r="L445" t="str">
        <f>_xlfn.XLOOKUP(Jnl[[#This Row],[Acct]], config_BS[Acct], config_BS[Lv1],,0)</f>
        <v>Liability</v>
      </c>
      <c r="M445" t="str">
        <f>_xlfn.XLOOKUP(Jnl[[#This Row],[Acct]], config_BS[Acct], config_BS[Lv2],,0)</f>
        <v>Rec-Pay</v>
      </c>
      <c r="N445" t="str">
        <f>_xlfn.XLOOKUP(Jnl[[#This Row],[TrxId]], Trx[Id], Trx[IncNode], ,0)</f>
        <v>Expense</v>
      </c>
      <c r="O445" t="str">
        <f>_xlfn.XLOOKUP(Jnl[[#This Row],[IncNode]], config_IS[Node], config_IS[Type],,0)</f>
        <v>Op</v>
      </c>
      <c r="P445" t="str">
        <f>_xlfn.XLOOKUP(Jnl[[#This Row],[BSLv2]], dict[Key], dict[Name],,0)</f>
        <v>1.应收-应付</v>
      </c>
      <c r="Q445" t="str">
        <f>_xlfn.XLOOKUP(Jnl[[#This Row],[Acct]], dict[Key], dict[Name],,0)</f>
        <v>应付-税款</v>
      </c>
      <c r="R445" t="str">
        <f>_xlfn.XLOOKUP(Jnl[[#This Row],[Vehicle]],config_vehicle[Id], config_vehicle[Name],,0)</f>
        <v>喜家文化</v>
      </c>
      <c r="S445" t="str">
        <f>_xlfn.XLOOKUP(Jnl[[#This Row],[Division]],config_div[Id], config_div[Name],,0)</f>
        <v>内控合规</v>
      </c>
      <c r="T445" t="str">
        <f>IF(Jnl[[#This Row],[TrxDate]]&lt;=stmt_BS_date_end, "In", "Out")</f>
        <v>In</v>
      </c>
      <c r="U445" t="str">
        <f>IF(Jnl[[#This Row],[TrxDate]]&lt;debug_date_start, "prior", IF(Jnl[[#This Row],[TrxDate]]&gt;debug_date_end, "post", "curr"))</f>
        <v>curr</v>
      </c>
    </row>
    <row r="446" spans="1:21" hidden="1">
      <c r="A446" s="39" t="s">
        <v>650</v>
      </c>
      <c r="B446" s="6">
        <f>_xlfn.XLOOKUP(Jnl[[#This Row],[TrxId]], Trx[Id], Trx[Date],,0)</f>
        <v>46053</v>
      </c>
      <c r="C446" s="6" t="str">
        <f>_xlfn.XLOOKUP(Jnl[[#This Row],[TrxId]], Trx[Id], Trx[Division],,0)</f>
        <v>Ctrl</v>
      </c>
      <c r="D446" s="6" t="str">
        <f>_xlfn.XLOOKUP(Jnl[[#This Row],[TrxId]], Trx[Id], Trx[Action],,0)</f>
        <v>计提税金</v>
      </c>
      <c r="E446" s="27" t="s">
        <v>83</v>
      </c>
      <c r="F446" s="10" t="s">
        <v>130</v>
      </c>
      <c r="G446" s="10" t="s">
        <v>354</v>
      </c>
      <c r="H446" s="37">
        <v>132.21</v>
      </c>
      <c r="I446" s="11" t="b">
        <f>AND(Jnl[[#This Row],[TrxId]]&lt;&gt;"",Jnl[[#This Row],[Acct]]&lt;&gt;"",Jnl[[#This Row],[Item]]&lt;&gt;"",ISNUMBER(Jnl[[#This Row],[Bal]]))</f>
        <v>1</v>
      </c>
      <c r="J446" s="9">
        <f>IF(Jnl[[#This Row],[BSLv0]]="A",1,-1)*Jnl[[#This Row],[Bal]]</f>
        <v>-132.21</v>
      </c>
      <c r="K446" t="str">
        <f>_xlfn.XLOOKUP(Jnl[[#This Row],[Acct]], config_BS[Acct], config_BS[Lv0],,0)</f>
        <v>LC</v>
      </c>
      <c r="L446" t="str">
        <f>_xlfn.XLOOKUP(Jnl[[#This Row],[Acct]], config_BS[Acct], config_BS[Lv1],,0)</f>
        <v>Liability</v>
      </c>
      <c r="M446" t="str">
        <f>_xlfn.XLOOKUP(Jnl[[#This Row],[Acct]], config_BS[Acct], config_BS[Lv2],,0)</f>
        <v>Rec-Pay</v>
      </c>
      <c r="N446" t="str">
        <f>_xlfn.XLOOKUP(Jnl[[#This Row],[TrxId]], Trx[Id], Trx[IncNode], ,0)</f>
        <v>Expense</v>
      </c>
      <c r="O446" t="str">
        <f>_xlfn.XLOOKUP(Jnl[[#This Row],[IncNode]], config_IS[Node], config_IS[Type],,0)</f>
        <v>Op</v>
      </c>
      <c r="P446" t="str">
        <f>_xlfn.XLOOKUP(Jnl[[#This Row],[BSLv2]], dict[Key], dict[Name],,0)</f>
        <v>1.应收-应付</v>
      </c>
      <c r="Q446" t="str">
        <f>_xlfn.XLOOKUP(Jnl[[#This Row],[Acct]], dict[Key], dict[Name],,0)</f>
        <v>应付-税款</v>
      </c>
      <c r="R446" t="str">
        <f>_xlfn.XLOOKUP(Jnl[[#This Row],[Vehicle]],config_vehicle[Id], config_vehicle[Name],,0)</f>
        <v>喜家文化</v>
      </c>
      <c r="S446" t="str">
        <f>_xlfn.XLOOKUP(Jnl[[#This Row],[Division]],config_div[Id], config_div[Name],,0)</f>
        <v>内控合规</v>
      </c>
      <c r="T446" t="str">
        <f>IF(Jnl[[#This Row],[TrxDate]]&lt;=stmt_BS_date_end, "In", "Out")</f>
        <v>In</v>
      </c>
      <c r="U446" t="str">
        <f>IF(Jnl[[#This Row],[TrxDate]]&lt;debug_date_start, "prior", IF(Jnl[[#This Row],[TrxDate]]&gt;debug_date_end, "post", "curr"))</f>
        <v>curr</v>
      </c>
    </row>
    <row r="447" spans="1:21" hidden="1">
      <c r="A447" s="39" t="s">
        <v>650</v>
      </c>
      <c r="B447" s="6">
        <f>_xlfn.XLOOKUP(Jnl[[#This Row],[TrxId]], Trx[Id], Trx[Date],,0)</f>
        <v>46053</v>
      </c>
      <c r="C447" s="6" t="str">
        <f>_xlfn.XLOOKUP(Jnl[[#This Row],[TrxId]], Trx[Id], Trx[Division],,0)</f>
        <v>Ctrl</v>
      </c>
      <c r="D447" s="6" t="str">
        <f>_xlfn.XLOOKUP(Jnl[[#This Row],[TrxId]], Trx[Id], Trx[Action],,0)</f>
        <v>计提税金</v>
      </c>
      <c r="E447" s="27" t="s">
        <v>83</v>
      </c>
      <c r="F447" s="10" t="s">
        <v>130</v>
      </c>
      <c r="G447" s="10" t="s">
        <v>353</v>
      </c>
      <c r="H447" s="37">
        <v>1662.48</v>
      </c>
      <c r="I447" s="11" t="b">
        <f>AND(Jnl[[#This Row],[TrxId]]&lt;&gt;"",Jnl[[#This Row],[Acct]]&lt;&gt;"",Jnl[[#This Row],[Item]]&lt;&gt;"",ISNUMBER(Jnl[[#This Row],[Bal]]))</f>
        <v>1</v>
      </c>
      <c r="J447" s="9">
        <f>IF(Jnl[[#This Row],[BSLv0]]="A",1,-1)*Jnl[[#This Row],[Bal]]</f>
        <v>-1662.48</v>
      </c>
      <c r="K447" t="str">
        <f>_xlfn.XLOOKUP(Jnl[[#This Row],[Acct]], config_BS[Acct], config_BS[Lv0],,0)</f>
        <v>LC</v>
      </c>
      <c r="L447" t="str">
        <f>_xlfn.XLOOKUP(Jnl[[#This Row],[Acct]], config_BS[Acct], config_BS[Lv1],,0)</f>
        <v>Liability</v>
      </c>
      <c r="M447" t="str">
        <f>_xlfn.XLOOKUP(Jnl[[#This Row],[Acct]], config_BS[Acct], config_BS[Lv2],,0)</f>
        <v>Rec-Pay</v>
      </c>
      <c r="N447" t="str">
        <f>_xlfn.XLOOKUP(Jnl[[#This Row],[TrxId]], Trx[Id], Trx[IncNode], ,0)</f>
        <v>Expense</v>
      </c>
      <c r="O447" t="str">
        <f>_xlfn.XLOOKUP(Jnl[[#This Row],[IncNode]], config_IS[Node], config_IS[Type],,0)</f>
        <v>Op</v>
      </c>
      <c r="P447" t="str">
        <f>_xlfn.XLOOKUP(Jnl[[#This Row],[BSLv2]], dict[Key], dict[Name],,0)</f>
        <v>1.应收-应付</v>
      </c>
      <c r="Q447" t="str">
        <f>_xlfn.XLOOKUP(Jnl[[#This Row],[Acct]], dict[Key], dict[Name],,0)</f>
        <v>应付-税款</v>
      </c>
      <c r="R447" t="str">
        <f>_xlfn.XLOOKUP(Jnl[[#This Row],[Vehicle]],config_vehicle[Id], config_vehicle[Name],,0)</f>
        <v>喜家文化</v>
      </c>
      <c r="S447" t="str">
        <f>_xlfn.XLOOKUP(Jnl[[#This Row],[Division]],config_div[Id], config_div[Name],,0)</f>
        <v>内控合规</v>
      </c>
      <c r="T447" t="str">
        <f>IF(Jnl[[#This Row],[TrxDate]]&lt;=stmt_BS_date_end, "In", "Out")</f>
        <v>In</v>
      </c>
      <c r="U447" t="str">
        <f>IF(Jnl[[#This Row],[TrxDate]]&lt;debug_date_start, "prior", IF(Jnl[[#This Row],[TrxDate]]&gt;debug_date_end, "post", "curr"))</f>
        <v>curr</v>
      </c>
    </row>
    <row r="448" spans="1:21" hidden="1">
      <c r="A448" s="39" t="s">
        <v>650</v>
      </c>
      <c r="B448" s="6">
        <f>_xlfn.XLOOKUP(Jnl[[#This Row],[TrxId]], Trx[Id], Trx[Date],,0)</f>
        <v>46053</v>
      </c>
      <c r="C448" s="6" t="str">
        <f>_xlfn.XLOOKUP(Jnl[[#This Row],[TrxId]], Trx[Id], Trx[Division],,0)</f>
        <v>Ctrl</v>
      </c>
      <c r="D448" s="6" t="str">
        <f>_xlfn.XLOOKUP(Jnl[[#This Row],[TrxId]], Trx[Id], Trx[Action],,0)</f>
        <v>计提税金</v>
      </c>
      <c r="E448" s="27" t="s">
        <v>83</v>
      </c>
      <c r="F448" s="10" t="s">
        <v>130</v>
      </c>
      <c r="G448" s="10" t="s">
        <v>352</v>
      </c>
      <c r="H448" s="37">
        <v>4322.99</v>
      </c>
      <c r="I448" s="11" t="b">
        <f>AND(Jnl[[#This Row],[TrxId]]&lt;&gt;"",Jnl[[#This Row],[Acct]]&lt;&gt;"",Jnl[[#This Row],[Item]]&lt;&gt;"",ISNUMBER(Jnl[[#This Row],[Bal]]))</f>
        <v>1</v>
      </c>
      <c r="J448" s="9">
        <f>IF(Jnl[[#This Row],[BSLv0]]="A",1,-1)*Jnl[[#This Row],[Bal]]</f>
        <v>-4322.99</v>
      </c>
      <c r="K448" t="str">
        <f>_xlfn.XLOOKUP(Jnl[[#This Row],[Acct]], config_BS[Acct], config_BS[Lv0],,0)</f>
        <v>LC</v>
      </c>
      <c r="L448" t="str">
        <f>_xlfn.XLOOKUP(Jnl[[#This Row],[Acct]], config_BS[Acct], config_BS[Lv1],,0)</f>
        <v>Liability</v>
      </c>
      <c r="M448" t="str">
        <f>_xlfn.XLOOKUP(Jnl[[#This Row],[Acct]], config_BS[Acct], config_BS[Lv2],,0)</f>
        <v>Rec-Pay</v>
      </c>
      <c r="N448" t="str">
        <f>_xlfn.XLOOKUP(Jnl[[#This Row],[TrxId]], Trx[Id], Trx[IncNode], ,0)</f>
        <v>Expense</v>
      </c>
      <c r="O448" t="str">
        <f>_xlfn.XLOOKUP(Jnl[[#This Row],[IncNode]], config_IS[Node], config_IS[Type],,0)</f>
        <v>Op</v>
      </c>
      <c r="P448" t="str">
        <f>_xlfn.XLOOKUP(Jnl[[#This Row],[BSLv2]], dict[Key], dict[Name],,0)</f>
        <v>1.应收-应付</v>
      </c>
      <c r="Q448" t="str">
        <f>_xlfn.XLOOKUP(Jnl[[#This Row],[Acct]], dict[Key], dict[Name],,0)</f>
        <v>应付-税款</v>
      </c>
      <c r="R448" t="str">
        <f>_xlfn.XLOOKUP(Jnl[[#This Row],[Vehicle]],config_vehicle[Id], config_vehicle[Name],,0)</f>
        <v>喜家文化</v>
      </c>
      <c r="S448" t="str">
        <f>_xlfn.XLOOKUP(Jnl[[#This Row],[Division]],config_div[Id], config_div[Name],,0)</f>
        <v>内控合规</v>
      </c>
      <c r="T448" t="str">
        <f>IF(Jnl[[#This Row],[TrxDate]]&lt;=stmt_BS_date_end, "In", "Out")</f>
        <v>In</v>
      </c>
      <c r="U448" t="str">
        <f>IF(Jnl[[#This Row],[TrxDate]]&lt;debug_date_start, "prior", IF(Jnl[[#This Row],[TrxDate]]&gt;debug_date_end, "post", "curr"))</f>
        <v>curr</v>
      </c>
    </row>
    <row r="449" spans="1:21" hidden="1">
      <c r="A449" s="39" t="s">
        <v>651</v>
      </c>
      <c r="B449" s="6">
        <f>_xlfn.XLOOKUP(Jnl[[#This Row],[TrxId]], Trx[Id], Trx[Date],,0)</f>
        <v>46053</v>
      </c>
      <c r="C449" s="6" t="str">
        <f>_xlfn.XLOOKUP(Jnl[[#This Row],[TrxId]], Trx[Id], Trx[Division],,0)</f>
        <v>Shuijie</v>
      </c>
      <c r="D449" s="6" t="str">
        <f>_xlfn.XLOOKUP(Jnl[[#This Row],[TrxId]], Trx[Id], Trx[Action],,0)</f>
        <v>薪酬-工资</v>
      </c>
      <c r="E449" s="27" t="s">
        <v>83</v>
      </c>
      <c r="F449" s="10" t="s">
        <v>602</v>
      </c>
      <c r="G449" s="10" t="s">
        <v>152</v>
      </c>
      <c r="H449" s="37">
        <v>36283.379999999997</v>
      </c>
      <c r="I449" s="11" t="b">
        <f>AND(Jnl[[#This Row],[TrxId]]&lt;&gt;"",Jnl[[#This Row],[Acct]]&lt;&gt;"",Jnl[[#This Row],[Item]]&lt;&gt;"",ISNUMBER(Jnl[[#This Row],[Bal]]))</f>
        <v>1</v>
      </c>
      <c r="J449" s="9">
        <f>IF(Jnl[[#This Row],[BSLv0]]="A",1,-1)*Jnl[[#This Row],[Bal]]</f>
        <v>-36283.379999999997</v>
      </c>
      <c r="K449" t="str">
        <f>_xlfn.XLOOKUP(Jnl[[#This Row],[Acct]], config_BS[Acct], config_BS[Lv0],,0)</f>
        <v>LC</v>
      </c>
      <c r="L449" t="str">
        <f>_xlfn.XLOOKUP(Jnl[[#This Row],[Acct]], config_BS[Acct], config_BS[Lv1],,0)</f>
        <v>Liability</v>
      </c>
      <c r="M449" t="str">
        <f>_xlfn.XLOOKUP(Jnl[[#This Row],[Acct]], config_BS[Acct], config_BS[Lv2],,0)</f>
        <v>Rec-Pay</v>
      </c>
      <c r="N449" t="str">
        <f>_xlfn.XLOOKUP(Jnl[[#This Row],[TrxId]], Trx[Id], Trx[IncNode], ,0)</f>
        <v>Expense</v>
      </c>
      <c r="O449" t="str">
        <f>_xlfn.XLOOKUP(Jnl[[#This Row],[IncNode]], config_IS[Node], config_IS[Type],,0)</f>
        <v>Op</v>
      </c>
      <c r="P449" t="str">
        <f>_xlfn.XLOOKUP(Jnl[[#This Row],[BSLv2]], dict[Key], dict[Name],,0)</f>
        <v>1.应收-应付</v>
      </c>
      <c r="Q449" t="str">
        <f>_xlfn.XLOOKUP(Jnl[[#This Row],[Acct]], dict[Key], dict[Name],,0)</f>
        <v>应付-薪资</v>
      </c>
      <c r="R449" t="str">
        <f>_xlfn.XLOOKUP(Jnl[[#This Row],[Vehicle]],config_vehicle[Id], config_vehicle[Name],,0)</f>
        <v>喜家文化</v>
      </c>
      <c r="S449" t="str">
        <f>_xlfn.XLOOKUP(Jnl[[#This Row],[Division]],config_div[Id], config_div[Name],,0)</f>
        <v>水街店</v>
      </c>
      <c r="T449" t="str">
        <f>IF(Jnl[[#This Row],[TrxDate]]&lt;=stmt_BS_date_end, "In", "Out")</f>
        <v>In</v>
      </c>
      <c r="U449" t="str">
        <f>IF(Jnl[[#This Row],[TrxDate]]&lt;debug_date_start, "prior", IF(Jnl[[#This Row],[TrxDate]]&gt;debug_date_end, "post", "curr"))</f>
        <v>curr</v>
      </c>
    </row>
    <row r="450" spans="1:21" hidden="1">
      <c r="A450" s="39" t="s">
        <v>652</v>
      </c>
      <c r="B450" s="6">
        <f>_xlfn.XLOOKUP(Jnl[[#This Row],[TrxId]], Trx[Id], Trx[Date],,0)</f>
        <v>46053</v>
      </c>
      <c r="C450" s="6" t="str">
        <f>_xlfn.XLOOKUP(Jnl[[#This Row],[TrxId]], Trx[Id], Trx[Division],,0)</f>
        <v>GM</v>
      </c>
      <c r="D450" s="6" t="str">
        <f>_xlfn.XLOOKUP(Jnl[[#This Row],[TrxId]], Trx[Id], Trx[Action],,0)</f>
        <v>年终奖</v>
      </c>
      <c r="E450" s="27" t="s">
        <v>83</v>
      </c>
      <c r="F450" s="10" t="s">
        <v>602</v>
      </c>
      <c r="G450" s="10" t="s">
        <v>323</v>
      </c>
      <c r="H450" s="37">
        <v>11200</v>
      </c>
      <c r="I450" s="11" t="b">
        <f>AND(Jnl[[#This Row],[TrxId]]&lt;&gt;"",Jnl[[#This Row],[Acct]]&lt;&gt;"",Jnl[[#This Row],[Item]]&lt;&gt;"",ISNUMBER(Jnl[[#This Row],[Bal]]))</f>
        <v>1</v>
      </c>
      <c r="J450" s="9">
        <f>IF(Jnl[[#This Row],[BSLv0]]="A",1,-1)*Jnl[[#This Row],[Bal]]</f>
        <v>-11200</v>
      </c>
      <c r="K450" t="str">
        <f>_xlfn.XLOOKUP(Jnl[[#This Row],[Acct]], config_BS[Acct], config_BS[Lv0],,0)</f>
        <v>LC</v>
      </c>
      <c r="L450" t="str">
        <f>_xlfn.XLOOKUP(Jnl[[#This Row],[Acct]], config_BS[Acct], config_BS[Lv1],,0)</f>
        <v>Liability</v>
      </c>
      <c r="M450" t="str">
        <f>_xlfn.XLOOKUP(Jnl[[#This Row],[Acct]], config_BS[Acct], config_BS[Lv2],,0)</f>
        <v>Rec-Pay</v>
      </c>
      <c r="N450" t="str">
        <f>_xlfn.XLOOKUP(Jnl[[#This Row],[TrxId]], Trx[Id], Trx[IncNode], ,0)</f>
        <v>Discretion</v>
      </c>
      <c r="O450" t="str">
        <f>_xlfn.XLOOKUP(Jnl[[#This Row],[IncNode]], config_IS[Node], config_IS[Type],,0)</f>
        <v>Non-Op</v>
      </c>
      <c r="P450" t="str">
        <f>_xlfn.XLOOKUP(Jnl[[#This Row],[BSLv2]], dict[Key], dict[Name],,0)</f>
        <v>1.应收-应付</v>
      </c>
      <c r="Q450" t="str">
        <f>_xlfn.XLOOKUP(Jnl[[#This Row],[Acct]], dict[Key], dict[Name],,0)</f>
        <v>应付-薪资</v>
      </c>
      <c r="R450" t="str">
        <f>_xlfn.XLOOKUP(Jnl[[#This Row],[Vehicle]],config_vehicle[Id], config_vehicle[Name],,0)</f>
        <v>喜家文化</v>
      </c>
      <c r="S450" t="str">
        <f>_xlfn.XLOOKUP(Jnl[[#This Row],[Division]],config_div[Id], config_div[Name],,0)</f>
        <v>综合管理</v>
      </c>
      <c r="T450" t="str">
        <f>IF(Jnl[[#This Row],[TrxDate]]&lt;=stmt_BS_date_end, "In", "Out")</f>
        <v>In</v>
      </c>
      <c r="U450" t="str">
        <f>IF(Jnl[[#This Row],[TrxDate]]&lt;debug_date_start, "prior", IF(Jnl[[#This Row],[TrxDate]]&gt;debug_date_end, "post", "curr"))</f>
        <v>curr</v>
      </c>
    </row>
    <row r="451" spans="1:21" hidden="1">
      <c r="A451" s="39" t="s">
        <v>653</v>
      </c>
      <c r="B451" s="6">
        <f>_xlfn.XLOOKUP(Jnl[[#This Row],[TrxId]], Trx[Id], Trx[Date],,0)</f>
        <v>46053</v>
      </c>
      <c r="C451" s="6" t="str">
        <f>_xlfn.XLOOKUP(Jnl[[#This Row],[TrxId]], Trx[Id], Trx[Division],,0)</f>
        <v>Shuijie</v>
      </c>
      <c r="D451" s="6" t="str">
        <f>_xlfn.XLOOKUP(Jnl[[#This Row],[TrxId]], Trx[Id], Trx[Action],,0)</f>
        <v>服饰</v>
      </c>
      <c r="E451" s="27" t="s">
        <v>83</v>
      </c>
      <c r="F451" s="10" t="s">
        <v>605</v>
      </c>
      <c r="G451" s="10" t="s">
        <v>659</v>
      </c>
      <c r="H451" s="37">
        <v>16770.2</v>
      </c>
      <c r="I451" s="11" t="b">
        <f>AND(Jnl[[#This Row],[TrxId]]&lt;&gt;"",Jnl[[#This Row],[Acct]]&lt;&gt;"",Jnl[[#This Row],[Item]]&lt;&gt;"",ISNUMBER(Jnl[[#This Row],[Bal]]))</f>
        <v>1</v>
      </c>
      <c r="J451" s="9">
        <f>IF(Jnl[[#This Row],[BSLv0]]="A",1,-1)*Jnl[[#This Row],[Bal]]</f>
        <v>16770.2</v>
      </c>
      <c r="K451" t="str">
        <f>_xlfn.XLOOKUP(Jnl[[#This Row],[Acct]], config_BS[Acct], config_BS[Lv0],,0)</f>
        <v>A</v>
      </c>
      <c r="L451" t="str">
        <f>_xlfn.XLOOKUP(Jnl[[#This Row],[Acct]], config_BS[Acct], config_BS[Lv1],,0)</f>
        <v>Assets</v>
      </c>
      <c r="M451" t="str">
        <f>_xlfn.XLOOKUP(Jnl[[#This Row],[Acct]], config_BS[Acct], config_BS[Lv2],,0)</f>
        <v>Cash alike</v>
      </c>
      <c r="N451" t="str">
        <f>_xlfn.XLOOKUP(Jnl[[#This Row],[TrxId]], Trx[Id], Trx[IncNode], ,0)</f>
        <v>Revenue</v>
      </c>
      <c r="O451" t="str">
        <f>_xlfn.XLOOKUP(Jnl[[#This Row],[IncNode]], config_IS[Node], config_IS[Type],,0)</f>
        <v>Op</v>
      </c>
      <c r="P451" t="str">
        <f>_xlfn.XLOOKUP(Jnl[[#This Row],[BSLv2]], dict[Key], dict[Name],,0)</f>
        <v>0.现金及类似</v>
      </c>
      <c r="Q451" t="str">
        <f>_xlfn.XLOOKUP(Jnl[[#This Row],[Acct]], dict[Key], dict[Name],,0)</f>
        <v>物理现金</v>
      </c>
      <c r="R451" t="str">
        <f>_xlfn.XLOOKUP(Jnl[[#This Row],[Vehicle]],config_vehicle[Id], config_vehicle[Name],,0)</f>
        <v>喜家文化</v>
      </c>
      <c r="S451" t="str">
        <f>_xlfn.XLOOKUP(Jnl[[#This Row],[Division]],config_div[Id], config_div[Name],,0)</f>
        <v>水街店</v>
      </c>
      <c r="T451" t="str">
        <f>IF(Jnl[[#This Row],[TrxDate]]&lt;=stmt_BS_date_end, "In", "Out")</f>
        <v>In</v>
      </c>
      <c r="U451" t="str">
        <f>IF(Jnl[[#This Row],[TrxDate]]&lt;debug_date_start, "prior", IF(Jnl[[#This Row],[TrxDate]]&gt;debug_date_end, "post", "curr"))</f>
        <v>curr</v>
      </c>
    </row>
    <row r="452" spans="1:21" hidden="1">
      <c r="A452" s="39" t="s">
        <v>654</v>
      </c>
      <c r="B452" s="6">
        <f>_xlfn.XLOOKUP(Jnl[[#This Row],[TrxId]], Trx[Id], Trx[Date],,0)</f>
        <v>46053</v>
      </c>
      <c r="C452" s="6" t="str">
        <f>_xlfn.XLOOKUP(Jnl[[#This Row],[TrxId]], Trx[Id], Trx[Division],,0)</f>
        <v>Shuijie</v>
      </c>
      <c r="D452" s="6" t="str">
        <f>_xlfn.XLOOKUP(Jnl[[#This Row],[TrxId]], Trx[Id], Trx[Action],,0)</f>
        <v>服饰</v>
      </c>
      <c r="E452" s="27" t="s">
        <v>83</v>
      </c>
      <c r="F452" s="10" t="s">
        <v>599</v>
      </c>
      <c r="G452" s="10" t="s">
        <v>600</v>
      </c>
      <c r="H452" s="37">
        <v>42268.46</v>
      </c>
      <c r="I452" s="11" t="b">
        <f>AND(Jnl[[#This Row],[TrxId]]&lt;&gt;"",Jnl[[#This Row],[Acct]]&lt;&gt;"",Jnl[[#This Row],[Item]]&lt;&gt;"",ISNUMBER(Jnl[[#This Row],[Bal]]))</f>
        <v>1</v>
      </c>
      <c r="J452" s="9">
        <f>IF(Jnl[[#This Row],[BSLv0]]="A",1,-1)*Jnl[[#This Row],[Bal]]</f>
        <v>42268.46</v>
      </c>
      <c r="K452" t="str">
        <f>_xlfn.XLOOKUP(Jnl[[#This Row],[Acct]], config_BS[Acct], config_BS[Lv0],,0)</f>
        <v>A</v>
      </c>
      <c r="L452" t="str">
        <f>_xlfn.XLOOKUP(Jnl[[#This Row],[Acct]], config_BS[Acct], config_BS[Lv1],,0)</f>
        <v>Assets</v>
      </c>
      <c r="M452" t="str">
        <f>_xlfn.XLOOKUP(Jnl[[#This Row],[Acct]], config_BS[Acct], config_BS[Lv2],,0)</f>
        <v>Rec-Pay</v>
      </c>
      <c r="N452" t="str">
        <f>_xlfn.XLOOKUP(Jnl[[#This Row],[TrxId]], Trx[Id], Trx[IncNode], ,0)</f>
        <v>Revenue</v>
      </c>
      <c r="O452" t="str">
        <f>_xlfn.XLOOKUP(Jnl[[#This Row],[IncNode]], config_IS[Node], config_IS[Type],,0)</f>
        <v>Op</v>
      </c>
      <c r="P452" t="str">
        <f>_xlfn.XLOOKUP(Jnl[[#This Row],[BSLv2]], dict[Key], dict[Name],,0)</f>
        <v>1.应收-应付</v>
      </c>
      <c r="Q452" t="str">
        <f>_xlfn.XLOOKUP(Jnl[[#This Row],[Acct]], dict[Key], dict[Name],,0)</f>
        <v>应收-一般</v>
      </c>
      <c r="R452" t="str">
        <f>_xlfn.XLOOKUP(Jnl[[#This Row],[Vehicle]],config_vehicle[Id], config_vehicle[Name],,0)</f>
        <v>喜家文化</v>
      </c>
      <c r="S452" t="str">
        <f>_xlfn.XLOOKUP(Jnl[[#This Row],[Division]],config_div[Id], config_div[Name],,0)</f>
        <v>水街店</v>
      </c>
      <c r="T452" t="str">
        <f>IF(Jnl[[#This Row],[TrxDate]]&lt;=stmt_BS_date_end, "In", "Out")</f>
        <v>In</v>
      </c>
      <c r="U452" t="str">
        <f>IF(Jnl[[#This Row],[TrxDate]]&lt;debug_date_start, "prior", IF(Jnl[[#This Row],[TrxDate]]&gt;debug_date_end, "post", "curr"))</f>
        <v>curr</v>
      </c>
    </row>
    <row r="453" spans="1:21" hidden="1">
      <c r="A453" s="39" t="s">
        <v>660</v>
      </c>
      <c r="B453" s="6">
        <f>_xlfn.XLOOKUP(Jnl[[#This Row],[TrxId]], Trx[Id], Trx[Date],,0)</f>
        <v>46053</v>
      </c>
      <c r="C453" s="6" t="str">
        <f>_xlfn.XLOOKUP(Jnl[[#This Row],[TrxId]], Trx[Id], Trx[Division],,0)</f>
        <v>Shuijie</v>
      </c>
      <c r="D453" s="6" t="str">
        <f>_xlfn.XLOOKUP(Jnl[[#This Row],[TrxId]], Trx[Id], Trx[Action],,0)</f>
        <v>课程</v>
      </c>
      <c r="E453" s="27" t="s">
        <v>108</v>
      </c>
      <c r="F453" s="10" t="s">
        <v>596</v>
      </c>
      <c r="G453" s="10" t="s">
        <v>693</v>
      </c>
      <c r="H453" s="37">
        <v>-300</v>
      </c>
      <c r="I453" s="11" t="b">
        <f>AND(Jnl[[#This Row],[TrxId]]&lt;&gt;"",Jnl[[#This Row],[Acct]]&lt;&gt;"",Jnl[[#This Row],[Item]]&lt;&gt;"",ISNUMBER(Jnl[[#This Row],[Bal]]))</f>
        <v>1</v>
      </c>
      <c r="J453" s="9">
        <f>IF(Jnl[[#This Row],[BSLv0]]="A",1,-1)*Jnl[[#This Row],[Bal]]</f>
        <v>-300</v>
      </c>
      <c r="K453" t="str">
        <f>_xlfn.XLOOKUP(Jnl[[#This Row],[Acct]], config_BS[Acct], config_BS[Lv0],,0)</f>
        <v>A</v>
      </c>
      <c r="L453" t="str">
        <f>_xlfn.XLOOKUP(Jnl[[#This Row],[Acct]], config_BS[Acct], config_BS[Lv1],,0)</f>
        <v>Assets</v>
      </c>
      <c r="M453" t="str">
        <f>_xlfn.XLOOKUP(Jnl[[#This Row],[Acct]], config_BS[Acct], config_BS[Lv2],,0)</f>
        <v>Cash alike</v>
      </c>
      <c r="N453" t="str">
        <f>_xlfn.XLOOKUP(Jnl[[#This Row],[TrxId]], Trx[Id], Trx[IncNode], ,0)</f>
        <v>Cost</v>
      </c>
      <c r="O453" t="str">
        <f>_xlfn.XLOOKUP(Jnl[[#This Row],[IncNode]], config_IS[Node], config_IS[Type],,0)</f>
        <v>Op</v>
      </c>
      <c r="P453" t="str">
        <f>_xlfn.XLOOKUP(Jnl[[#This Row],[BSLv2]], dict[Key], dict[Name],,0)</f>
        <v>0.现金及类似</v>
      </c>
      <c r="Q453" t="str">
        <f>_xlfn.XLOOKUP(Jnl[[#This Row],[Acct]], dict[Key], dict[Name],,0)</f>
        <v>银行</v>
      </c>
      <c r="R453" t="str">
        <f>_xlfn.XLOOKUP(Jnl[[#This Row],[Vehicle]],config_vehicle[Id], config_vehicle[Name],,0)</f>
        <v>远家花园高新分公司</v>
      </c>
      <c r="S453" t="str">
        <f>_xlfn.XLOOKUP(Jnl[[#This Row],[Division]],config_div[Id], config_div[Name],,0)</f>
        <v>水街店</v>
      </c>
      <c r="T453" t="str">
        <f>IF(Jnl[[#This Row],[TrxDate]]&lt;=stmt_BS_date_end, "In", "Out")</f>
        <v>In</v>
      </c>
      <c r="U453" t="str">
        <f>IF(Jnl[[#This Row],[TrxDate]]&lt;debug_date_start, "prior", IF(Jnl[[#This Row],[TrxDate]]&gt;debug_date_end, "post", "curr"))</f>
        <v>curr</v>
      </c>
    </row>
    <row r="454" spans="1:21" hidden="1">
      <c r="A454" s="39" t="s">
        <v>663</v>
      </c>
      <c r="B454" s="6">
        <f>_xlfn.XLOOKUP(Jnl[[#This Row],[TrxId]], Trx[Id], Trx[Date],,0)</f>
        <v>46053</v>
      </c>
      <c r="C454" s="6" t="str">
        <f>_xlfn.XLOOKUP(Jnl[[#This Row],[TrxId]], Trx[Id], Trx[Division],,0)</f>
        <v>Shuijie</v>
      </c>
      <c r="D454" s="6" t="str">
        <f>_xlfn.XLOOKUP(Jnl[[#This Row],[TrxId]], Trx[Id], Trx[Action],,0)</f>
        <v>杂项</v>
      </c>
      <c r="E454" s="27" t="s">
        <v>108</v>
      </c>
      <c r="F454" s="10" t="s">
        <v>596</v>
      </c>
      <c r="G454" s="10" t="s">
        <v>693</v>
      </c>
      <c r="H454" s="37">
        <v>-983</v>
      </c>
      <c r="I454" s="11" t="b">
        <f>AND(Jnl[[#This Row],[TrxId]]&lt;&gt;"",Jnl[[#This Row],[Acct]]&lt;&gt;"",Jnl[[#This Row],[Item]]&lt;&gt;"",ISNUMBER(Jnl[[#This Row],[Bal]]))</f>
        <v>1</v>
      </c>
      <c r="J454" s="9">
        <f>IF(Jnl[[#This Row],[BSLv0]]="A",1,-1)*Jnl[[#This Row],[Bal]]</f>
        <v>-983</v>
      </c>
      <c r="K454" t="str">
        <f>_xlfn.XLOOKUP(Jnl[[#This Row],[Acct]], config_BS[Acct], config_BS[Lv0],,0)</f>
        <v>A</v>
      </c>
      <c r="L454" t="str">
        <f>_xlfn.XLOOKUP(Jnl[[#This Row],[Acct]], config_BS[Acct], config_BS[Lv1],,0)</f>
        <v>Assets</v>
      </c>
      <c r="M454" t="str">
        <f>_xlfn.XLOOKUP(Jnl[[#This Row],[Acct]], config_BS[Acct], config_BS[Lv2],,0)</f>
        <v>Cash alike</v>
      </c>
      <c r="N454" t="str">
        <f>_xlfn.XLOOKUP(Jnl[[#This Row],[TrxId]], Trx[Id], Trx[IncNode], ,0)</f>
        <v>Expense</v>
      </c>
      <c r="O454" t="str">
        <f>_xlfn.XLOOKUP(Jnl[[#This Row],[IncNode]], config_IS[Node], config_IS[Type],,0)</f>
        <v>Op</v>
      </c>
      <c r="P454" t="str">
        <f>_xlfn.XLOOKUP(Jnl[[#This Row],[BSLv2]], dict[Key], dict[Name],,0)</f>
        <v>0.现金及类似</v>
      </c>
      <c r="Q454" t="str">
        <f>_xlfn.XLOOKUP(Jnl[[#This Row],[Acct]], dict[Key], dict[Name],,0)</f>
        <v>银行</v>
      </c>
      <c r="R454" t="str">
        <f>_xlfn.XLOOKUP(Jnl[[#This Row],[Vehicle]],config_vehicle[Id], config_vehicle[Name],,0)</f>
        <v>远家花园高新分公司</v>
      </c>
      <c r="S454" t="str">
        <f>_xlfn.XLOOKUP(Jnl[[#This Row],[Division]],config_div[Id], config_div[Name],,0)</f>
        <v>水街店</v>
      </c>
      <c r="T454" t="str">
        <f>IF(Jnl[[#This Row],[TrxDate]]&lt;=stmt_BS_date_end, "In", "Out")</f>
        <v>In</v>
      </c>
      <c r="U454" t="str">
        <f>IF(Jnl[[#This Row],[TrxDate]]&lt;debug_date_start, "prior", IF(Jnl[[#This Row],[TrxDate]]&gt;debug_date_end, "post", "curr"))</f>
        <v>curr</v>
      </c>
    </row>
    <row r="455" spans="1:21" hidden="1">
      <c r="A455" s="39" t="s">
        <v>665</v>
      </c>
      <c r="B455" s="6">
        <f>_xlfn.XLOOKUP(Jnl[[#This Row],[TrxId]], Trx[Id], Trx[Date],,0)</f>
        <v>46053</v>
      </c>
      <c r="C455" s="6" t="str">
        <f>_xlfn.XLOOKUP(Jnl[[#This Row],[TrxId]], Trx[Id], Trx[Division],,0)</f>
        <v>Shuijie</v>
      </c>
      <c r="D455" s="6" t="str">
        <f>_xlfn.XLOOKUP(Jnl[[#This Row],[TrxId]], Trx[Id], Trx[Action],,0)</f>
        <v>物料</v>
      </c>
      <c r="E455" s="27" t="s">
        <v>108</v>
      </c>
      <c r="F455" s="10" t="s">
        <v>596</v>
      </c>
      <c r="G455" s="10" t="s">
        <v>693</v>
      </c>
      <c r="H455" s="37">
        <v>-409.35</v>
      </c>
      <c r="I455" s="11" t="b">
        <f>AND(Jnl[[#This Row],[TrxId]]&lt;&gt;"",Jnl[[#This Row],[Acct]]&lt;&gt;"",Jnl[[#This Row],[Item]]&lt;&gt;"",ISNUMBER(Jnl[[#This Row],[Bal]]))</f>
        <v>1</v>
      </c>
      <c r="J455" s="9">
        <f>IF(Jnl[[#This Row],[BSLv0]]="A",1,-1)*Jnl[[#This Row],[Bal]]</f>
        <v>-409.35</v>
      </c>
      <c r="K455" t="str">
        <f>_xlfn.XLOOKUP(Jnl[[#This Row],[Acct]], config_BS[Acct], config_BS[Lv0],,0)</f>
        <v>A</v>
      </c>
      <c r="L455" t="str">
        <f>_xlfn.XLOOKUP(Jnl[[#This Row],[Acct]], config_BS[Acct], config_BS[Lv1],,0)</f>
        <v>Assets</v>
      </c>
      <c r="M455" t="str">
        <f>_xlfn.XLOOKUP(Jnl[[#This Row],[Acct]], config_BS[Acct], config_BS[Lv2],,0)</f>
        <v>Cash alike</v>
      </c>
      <c r="N455" t="str">
        <f>_xlfn.XLOOKUP(Jnl[[#This Row],[TrxId]], Trx[Id], Trx[IncNode], ,0)</f>
        <v>Cost</v>
      </c>
      <c r="O455" t="str">
        <f>_xlfn.XLOOKUP(Jnl[[#This Row],[IncNode]], config_IS[Node], config_IS[Type],,0)</f>
        <v>Op</v>
      </c>
      <c r="P455" t="str">
        <f>_xlfn.XLOOKUP(Jnl[[#This Row],[BSLv2]], dict[Key], dict[Name],,0)</f>
        <v>0.现金及类似</v>
      </c>
      <c r="Q455" t="str">
        <f>_xlfn.XLOOKUP(Jnl[[#This Row],[Acct]], dict[Key], dict[Name],,0)</f>
        <v>银行</v>
      </c>
      <c r="R455" t="str">
        <f>_xlfn.XLOOKUP(Jnl[[#This Row],[Vehicle]],config_vehicle[Id], config_vehicle[Name],,0)</f>
        <v>远家花园高新分公司</v>
      </c>
      <c r="S455" t="str">
        <f>_xlfn.XLOOKUP(Jnl[[#This Row],[Division]],config_div[Id], config_div[Name],,0)</f>
        <v>水街店</v>
      </c>
      <c r="T455" t="str">
        <f>IF(Jnl[[#This Row],[TrxDate]]&lt;=stmt_BS_date_end, "In", "Out")</f>
        <v>In</v>
      </c>
      <c r="U455" t="str">
        <f>IF(Jnl[[#This Row],[TrxDate]]&lt;debug_date_start, "prior", IF(Jnl[[#This Row],[TrxDate]]&gt;debug_date_end, "post", "curr"))</f>
        <v>curr</v>
      </c>
    </row>
    <row r="456" spans="1:21" hidden="1">
      <c r="A456" s="39" t="s">
        <v>666</v>
      </c>
      <c r="B456" s="6">
        <f>_xlfn.XLOOKUP(Jnl[[#This Row],[TrxId]], Trx[Id], Trx[Date],,0)</f>
        <v>46053</v>
      </c>
      <c r="C456" s="6" t="str">
        <f>_xlfn.XLOOKUP(Jnl[[#This Row],[TrxId]], Trx[Id], Trx[Division],,0)</f>
        <v>GM</v>
      </c>
      <c r="D456" s="6" t="str">
        <f>_xlfn.XLOOKUP(Jnl[[#This Row],[TrxId]], Trx[Id], Trx[Action],,0)</f>
        <v>薪酬-社保</v>
      </c>
      <c r="E456" s="27" t="s">
        <v>108</v>
      </c>
      <c r="F456" s="10" t="s">
        <v>596</v>
      </c>
      <c r="G456" s="10" t="s">
        <v>693</v>
      </c>
      <c r="H456" s="37">
        <v>-5060.82</v>
      </c>
      <c r="I456" s="11" t="b">
        <f>AND(Jnl[[#This Row],[TrxId]]&lt;&gt;"",Jnl[[#This Row],[Acct]]&lt;&gt;"",Jnl[[#This Row],[Item]]&lt;&gt;"",ISNUMBER(Jnl[[#This Row],[Bal]]))</f>
        <v>1</v>
      </c>
      <c r="J456" s="9">
        <f>IF(Jnl[[#This Row],[BSLv0]]="A",1,-1)*Jnl[[#This Row],[Bal]]</f>
        <v>-5060.82</v>
      </c>
      <c r="K456" t="str">
        <f>_xlfn.XLOOKUP(Jnl[[#This Row],[Acct]], config_BS[Acct], config_BS[Lv0],,0)</f>
        <v>A</v>
      </c>
      <c r="L456" t="str">
        <f>_xlfn.XLOOKUP(Jnl[[#This Row],[Acct]], config_BS[Acct], config_BS[Lv1],,0)</f>
        <v>Assets</v>
      </c>
      <c r="M456" t="str">
        <f>_xlfn.XLOOKUP(Jnl[[#This Row],[Acct]], config_BS[Acct], config_BS[Lv2],,0)</f>
        <v>Cash alike</v>
      </c>
      <c r="N456" t="str">
        <f>_xlfn.XLOOKUP(Jnl[[#This Row],[TrxId]], Trx[Id], Trx[IncNode], ,0)</f>
        <v>Expense</v>
      </c>
      <c r="O456" t="str">
        <f>_xlfn.XLOOKUP(Jnl[[#This Row],[IncNode]], config_IS[Node], config_IS[Type],,0)</f>
        <v>Op</v>
      </c>
      <c r="P456" t="str">
        <f>_xlfn.XLOOKUP(Jnl[[#This Row],[BSLv2]], dict[Key], dict[Name],,0)</f>
        <v>0.现金及类似</v>
      </c>
      <c r="Q456" t="str">
        <f>_xlfn.XLOOKUP(Jnl[[#This Row],[Acct]], dict[Key], dict[Name],,0)</f>
        <v>银行</v>
      </c>
      <c r="R456" t="str">
        <f>_xlfn.XLOOKUP(Jnl[[#This Row],[Vehicle]],config_vehicle[Id], config_vehicle[Name],,0)</f>
        <v>远家花园高新分公司</v>
      </c>
      <c r="S456" t="str">
        <f>_xlfn.XLOOKUP(Jnl[[#This Row],[Division]],config_div[Id], config_div[Name],,0)</f>
        <v>综合管理</v>
      </c>
      <c r="T456" t="str">
        <f>IF(Jnl[[#This Row],[TrxDate]]&lt;=stmt_BS_date_end, "In", "Out")</f>
        <v>In</v>
      </c>
      <c r="U456" t="str">
        <f>IF(Jnl[[#This Row],[TrxDate]]&lt;debug_date_start, "prior", IF(Jnl[[#This Row],[TrxDate]]&gt;debug_date_end, "post", "curr"))</f>
        <v>curr</v>
      </c>
    </row>
    <row r="457" spans="1:21" hidden="1">
      <c r="A457" s="39" t="s">
        <v>666</v>
      </c>
      <c r="B457" s="6">
        <f>_xlfn.XLOOKUP(Jnl[[#This Row],[TrxId]], Trx[Id], Trx[Date],,0)</f>
        <v>46053</v>
      </c>
      <c r="C457" s="6" t="str">
        <f>_xlfn.XLOOKUP(Jnl[[#This Row],[TrxId]], Trx[Id], Trx[Division],,0)</f>
        <v>GM</v>
      </c>
      <c r="D457" s="6" t="str">
        <f>_xlfn.XLOOKUP(Jnl[[#This Row],[TrxId]], Trx[Id], Trx[Action],,0)</f>
        <v>薪酬-社保</v>
      </c>
      <c r="E457" s="27" t="s">
        <v>108</v>
      </c>
      <c r="F457" s="10" t="s">
        <v>601</v>
      </c>
      <c r="G457" s="10" t="s">
        <v>349</v>
      </c>
      <c r="H457" s="37">
        <v>1474.3</v>
      </c>
      <c r="I457" s="11" t="b">
        <f>AND(Jnl[[#This Row],[TrxId]]&lt;&gt;"",Jnl[[#This Row],[Acct]]&lt;&gt;"",Jnl[[#This Row],[Item]]&lt;&gt;"",ISNUMBER(Jnl[[#This Row],[Bal]]))</f>
        <v>1</v>
      </c>
      <c r="J457" s="9">
        <f>IF(Jnl[[#This Row],[BSLv0]]="A",1,-1)*Jnl[[#This Row],[Bal]]</f>
        <v>1474.3</v>
      </c>
      <c r="K457" t="str">
        <f>_xlfn.XLOOKUP(Jnl[[#This Row],[Acct]], config_BS[Acct], config_BS[Lv0],,0)</f>
        <v>A</v>
      </c>
      <c r="L457" t="str">
        <f>_xlfn.XLOOKUP(Jnl[[#This Row],[Acct]], config_BS[Acct], config_BS[Lv1],,0)</f>
        <v>Assets</v>
      </c>
      <c r="M457" t="str">
        <f>_xlfn.XLOOKUP(Jnl[[#This Row],[Acct]], config_BS[Acct], config_BS[Lv2],,0)</f>
        <v>Rec-Pay</v>
      </c>
      <c r="N457" t="str">
        <f>_xlfn.XLOOKUP(Jnl[[#This Row],[TrxId]], Trx[Id], Trx[IncNode], ,0)</f>
        <v>Expense</v>
      </c>
      <c r="O457" t="str">
        <f>_xlfn.XLOOKUP(Jnl[[#This Row],[IncNode]], config_IS[Node], config_IS[Type],,0)</f>
        <v>Op</v>
      </c>
      <c r="P457" t="str">
        <f>_xlfn.XLOOKUP(Jnl[[#This Row],[BSLv2]], dict[Key], dict[Name],,0)</f>
        <v>1.应收-应付</v>
      </c>
      <c r="Q457" t="str">
        <f>_xlfn.XLOOKUP(Jnl[[#This Row],[Acct]], dict[Key], dict[Name],,0)</f>
        <v>应收-其他</v>
      </c>
      <c r="R457" t="str">
        <f>_xlfn.XLOOKUP(Jnl[[#This Row],[Vehicle]],config_vehicle[Id], config_vehicle[Name],,0)</f>
        <v>远家花园高新分公司</v>
      </c>
      <c r="S457" t="str">
        <f>_xlfn.XLOOKUP(Jnl[[#This Row],[Division]],config_div[Id], config_div[Name],,0)</f>
        <v>综合管理</v>
      </c>
      <c r="T457" t="str">
        <f>IF(Jnl[[#This Row],[TrxDate]]&lt;=stmt_BS_date_end, "In", "Out")</f>
        <v>In</v>
      </c>
      <c r="U457" t="str">
        <f>IF(Jnl[[#This Row],[TrxDate]]&lt;debug_date_start, "prior", IF(Jnl[[#This Row],[TrxDate]]&gt;debug_date_end, "post", "curr"))</f>
        <v>curr</v>
      </c>
    </row>
    <row r="458" spans="1:21" hidden="1">
      <c r="A458" s="39" t="s">
        <v>667</v>
      </c>
      <c r="B458" s="6">
        <f>_xlfn.XLOOKUP(Jnl[[#This Row],[TrxId]], Trx[Id], Trx[Date],,0)</f>
        <v>46053</v>
      </c>
      <c r="C458" s="6" t="str">
        <f>_xlfn.XLOOKUP(Jnl[[#This Row],[TrxId]], Trx[Id], Trx[Division],,0)</f>
        <v>Shuijie</v>
      </c>
      <c r="D458" s="6" t="str">
        <f>_xlfn.XLOOKUP(Jnl[[#This Row],[TrxId]], Trx[Id], Trx[Action],,0)</f>
        <v>课程</v>
      </c>
      <c r="E458" s="27" t="s">
        <v>108</v>
      </c>
      <c r="F458" s="10" t="s">
        <v>596</v>
      </c>
      <c r="G458" s="10" t="s">
        <v>693</v>
      </c>
      <c r="H458" s="37">
        <v>-300</v>
      </c>
      <c r="I458" s="11" t="b">
        <f>AND(Jnl[[#This Row],[TrxId]]&lt;&gt;"",Jnl[[#This Row],[Acct]]&lt;&gt;"",Jnl[[#This Row],[Item]]&lt;&gt;"",ISNUMBER(Jnl[[#This Row],[Bal]]))</f>
        <v>1</v>
      </c>
      <c r="J458" s="9">
        <f>IF(Jnl[[#This Row],[BSLv0]]="A",1,-1)*Jnl[[#This Row],[Bal]]</f>
        <v>-300</v>
      </c>
      <c r="K458" t="str">
        <f>_xlfn.XLOOKUP(Jnl[[#This Row],[Acct]], config_BS[Acct], config_BS[Lv0],,0)</f>
        <v>A</v>
      </c>
      <c r="L458" t="str">
        <f>_xlfn.XLOOKUP(Jnl[[#This Row],[Acct]], config_BS[Acct], config_BS[Lv1],,0)</f>
        <v>Assets</v>
      </c>
      <c r="M458" t="str">
        <f>_xlfn.XLOOKUP(Jnl[[#This Row],[Acct]], config_BS[Acct], config_BS[Lv2],,0)</f>
        <v>Cash alike</v>
      </c>
      <c r="N458" t="str">
        <f>_xlfn.XLOOKUP(Jnl[[#This Row],[TrxId]], Trx[Id], Trx[IncNode], ,0)</f>
        <v>Cost</v>
      </c>
      <c r="O458" t="str">
        <f>_xlfn.XLOOKUP(Jnl[[#This Row],[IncNode]], config_IS[Node], config_IS[Type],,0)</f>
        <v>Op</v>
      </c>
      <c r="P458" t="str">
        <f>_xlfn.XLOOKUP(Jnl[[#This Row],[BSLv2]], dict[Key], dict[Name],,0)</f>
        <v>0.现金及类似</v>
      </c>
      <c r="Q458" t="str">
        <f>_xlfn.XLOOKUP(Jnl[[#This Row],[Acct]], dict[Key], dict[Name],,0)</f>
        <v>银行</v>
      </c>
      <c r="R458" t="str">
        <f>_xlfn.XLOOKUP(Jnl[[#This Row],[Vehicle]],config_vehicle[Id], config_vehicle[Name],,0)</f>
        <v>远家花园高新分公司</v>
      </c>
      <c r="S458" t="str">
        <f>_xlfn.XLOOKUP(Jnl[[#This Row],[Division]],config_div[Id], config_div[Name],,0)</f>
        <v>水街店</v>
      </c>
      <c r="T458" t="str">
        <f>IF(Jnl[[#This Row],[TrxDate]]&lt;=stmt_BS_date_end, "In", "Out")</f>
        <v>In</v>
      </c>
      <c r="U458" t="str">
        <f>IF(Jnl[[#This Row],[TrxDate]]&lt;debug_date_start, "prior", IF(Jnl[[#This Row],[TrxDate]]&gt;debug_date_end, "post", "curr"))</f>
        <v>curr</v>
      </c>
    </row>
    <row r="459" spans="1:21" hidden="1">
      <c r="A459" s="39" t="s">
        <v>668</v>
      </c>
      <c r="B459" s="6">
        <f>_xlfn.XLOOKUP(Jnl[[#This Row],[TrxId]], Trx[Id], Trx[Date],,0)</f>
        <v>46053</v>
      </c>
      <c r="C459" s="6" t="str">
        <f>_xlfn.XLOOKUP(Jnl[[#This Row],[TrxId]], Trx[Id], Trx[Division],,0)</f>
        <v>GM</v>
      </c>
      <c r="D459" s="6" t="str">
        <f>_xlfn.XLOOKUP(Jnl[[#This Row],[TrxId]], Trx[Id], Trx[Action],,0)</f>
        <v>支付</v>
      </c>
      <c r="E459" s="27" t="s">
        <v>108</v>
      </c>
      <c r="F459" s="10" t="s">
        <v>596</v>
      </c>
      <c r="G459" s="10" t="s">
        <v>693</v>
      </c>
      <c r="H459" s="37">
        <v>-32200.32</v>
      </c>
      <c r="I459" s="11" t="b">
        <f>AND(Jnl[[#This Row],[TrxId]]&lt;&gt;"",Jnl[[#This Row],[Acct]]&lt;&gt;"",Jnl[[#This Row],[Item]]&lt;&gt;"",ISNUMBER(Jnl[[#This Row],[Bal]]))</f>
        <v>1</v>
      </c>
      <c r="J459" s="9">
        <f>IF(Jnl[[#This Row],[BSLv0]]="A",1,-1)*Jnl[[#This Row],[Bal]]</f>
        <v>-32200.32</v>
      </c>
      <c r="K459" t="str">
        <f>_xlfn.XLOOKUP(Jnl[[#This Row],[Acct]], config_BS[Acct], config_BS[Lv0],,0)</f>
        <v>A</v>
      </c>
      <c r="L459" t="str">
        <f>_xlfn.XLOOKUP(Jnl[[#This Row],[Acct]], config_BS[Acct], config_BS[Lv1],,0)</f>
        <v>Assets</v>
      </c>
      <c r="M459" t="str">
        <f>_xlfn.XLOOKUP(Jnl[[#This Row],[Acct]], config_BS[Acct], config_BS[Lv2],,0)</f>
        <v>Cash alike</v>
      </c>
      <c r="N459" t="str">
        <f>_xlfn.XLOOKUP(Jnl[[#This Row],[TrxId]], Trx[Id], Trx[IncNode], ,0)</f>
        <v>Expense</v>
      </c>
      <c r="O459" t="str">
        <f>_xlfn.XLOOKUP(Jnl[[#This Row],[IncNode]], config_IS[Node], config_IS[Type],,0)</f>
        <v>Op</v>
      </c>
      <c r="P459" t="str">
        <f>_xlfn.XLOOKUP(Jnl[[#This Row],[BSLv2]], dict[Key], dict[Name],,0)</f>
        <v>0.现金及类似</v>
      </c>
      <c r="Q459" t="str">
        <f>_xlfn.XLOOKUP(Jnl[[#This Row],[Acct]], dict[Key], dict[Name],,0)</f>
        <v>银行</v>
      </c>
      <c r="R459" t="str">
        <f>_xlfn.XLOOKUP(Jnl[[#This Row],[Vehicle]],config_vehicle[Id], config_vehicle[Name],,0)</f>
        <v>远家花园高新分公司</v>
      </c>
      <c r="S459" t="str">
        <f>_xlfn.XLOOKUP(Jnl[[#This Row],[Division]],config_div[Id], config_div[Name],,0)</f>
        <v>综合管理</v>
      </c>
      <c r="T459" t="str">
        <f>IF(Jnl[[#This Row],[TrxDate]]&lt;=stmt_BS_date_end, "In", "Out")</f>
        <v>In</v>
      </c>
      <c r="U459" t="str">
        <f>IF(Jnl[[#This Row],[TrxDate]]&lt;debug_date_start, "prior", IF(Jnl[[#This Row],[TrxDate]]&gt;debug_date_end, "post", "curr"))</f>
        <v>curr</v>
      </c>
    </row>
    <row r="460" spans="1:21" hidden="1">
      <c r="A460" s="39" t="s">
        <v>668</v>
      </c>
      <c r="B460" s="6">
        <f>_xlfn.XLOOKUP(Jnl[[#This Row],[TrxId]], Trx[Id], Trx[Date],,0)</f>
        <v>46053</v>
      </c>
      <c r="C460" s="6" t="str">
        <f>_xlfn.XLOOKUP(Jnl[[#This Row],[TrxId]], Trx[Id], Trx[Division],,0)</f>
        <v>GM</v>
      </c>
      <c r="D460" s="6" t="str">
        <f>_xlfn.XLOOKUP(Jnl[[#This Row],[TrxId]], Trx[Id], Trx[Action],,0)</f>
        <v>支付</v>
      </c>
      <c r="E460" s="27" t="s">
        <v>108</v>
      </c>
      <c r="F460" s="10" t="s">
        <v>130</v>
      </c>
      <c r="G460" s="10" t="s">
        <v>348</v>
      </c>
      <c r="H460" s="37">
        <v>1282</v>
      </c>
      <c r="I460" s="11" t="b">
        <f>AND(Jnl[[#This Row],[TrxId]]&lt;&gt;"",Jnl[[#This Row],[Acct]]&lt;&gt;"",Jnl[[#This Row],[Item]]&lt;&gt;"",ISNUMBER(Jnl[[#This Row],[Bal]]))</f>
        <v>1</v>
      </c>
      <c r="J460" s="9">
        <f>IF(Jnl[[#This Row],[BSLv0]]="A",1,-1)*Jnl[[#This Row],[Bal]]</f>
        <v>-1282</v>
      </c>
      <c r="K460" t="str">
        <f>_xlfn.XLOOKUP(Jnl[[#This Row],[Acct]], config_BS[Acct], config_BS[Lv0],,0)</f>
        <v>LC</v>
      </c>
      <c r="L460" t="str">
        <f>_xlfn.XLOOKUP(Jnl[[#This Row],[Acct]], config_BS[Acct], config_BS[Lv1],,0)</f>
        <v>Liability</v>
      </c>
      <c r="M460" t="str">
        <f>_xlfn.XLOOKUP(Jnl[[#This Row],[Acct]], config_BS[Acct], config_BS[Lv2],,0)</f>
        <v>Rec-Pay</v>
      </c>
      <c r="N460" t="str">
        <f>_xlfn.XLOOKUP(Jnl[[#This Row],[TrxId]], Trx[Id], Trx[IncNode], ,0)</f>
        <v>Expense</v>
      </c>
      <c r="O460" t="str">
        <f>_xlfn.XLOOKUP(Jnl[[#This Row],[IncNode]], config_IS[Node], config_IS[Type],,0)</f>
        <v>Op</v>
      </c>
      <c r="P460" t="str">
        <f>_xlfn.XLOOKUP(Jnl[[#This Row],[BSLv2]], dict[Key], dict[Name],,0)</f>
        <v>1.应收-应付</v>
      </c>
      <c r="Q460" t="str">
        <f>_xlfn.XLOOKUP(Jnl[[#This Row],[Acct]], dict[Key], dict[Name],,0)</f>
        <v>应付-税款</v>
      </c>
      <c r="R460" t="str">
        <f>_xlfn.XLOOKUP(Jnl[[#This Row],[Vehicle]],config_vehicle[Id], config_vehicle[Name],,0)</f>
        <v>远家花园高新分公司</v>
      </c>
      <c r="S460" t="str">
        <f>_xlfn.XLOOKUP(Jnl[[#This Row],[Division]],config_div[Id], config_div[Name],,0)</f>
        <v>综合管理</v>
      </c>
      <c r="T460" t="str">
        <f>IF(Jnl[[#This Row],[TrxDate]]&lt;=stmt_BS_date_end, "In", "Out")</f>
        <v>In</v>
      </c>
      <c r="U460" t="str">
        <f>IF(Jnl[[#This Row],[TrxDate]]&lt;debug_date_start, "prior", IF(Jnl[[#This Row],[TrxDate]]&gt;debug_date_end, "post", "curr"))</f>
        <v>curr</v>
      </c>
    </row>
    <row r="461" spans="1:21" hidden="1">
      <c r="A461" s="39" t="s">
        <v>668</v>
      </c>
      <c r="B461" s="6">
        <f>_xlfn.XLOOKUP(Jnl[[#This Row],[TrxId]], Trx[Id], Trx[Date],,0)</f>
        <v>46053</v>
      </c>
      <c r="C461" s="6" t="str">
        <f>_xlfn.XLOOKUP(Jnl[[#This Row],[TrxId]], Trx[Id], Trx[Division],,0)</f>
        <v>GM</v>
      </c>
      <c r="D461" s="6" t="str">
        <f>_xlfn.XLOOKUP(Jnl[[#This Row],[TrxId]], Trx[Id], Trx[Action],,0)</f>
        <v>支付</v>
      </c>
      <c r="E461" s="27" t="s">
        <v>108</v>
      </c>
      <c r="F461" s="10" t="s">
        <v>602</v>
      </c>
      <c r="G461" s="10" t="s">
        <v>152</v>
      </c>
      <c r="H461" s="37">
        <v>-34956.620000000003</v>
      </c>
      <c r="I461" s="11" t="b">
        <f>AND(Jnl[[#This Row],[TrxId]]&lt;&gt;"",Jnl[[#This Row],[Acct]]&lt;&gt;"",Jnl[[#This Row],[Item]]&lt;&gt;"",ISNUMBER(Jnl[[#This Row],[Bal]]))</f>
        <v>1</v>
      </c>
      <c r="J461" s="9">
        <f>IF(Jnl[[#This Row],[BSLv0]]="A",1,-1)*Jnl[[#This Row],[Bal]]</f>
        <v>34956.620000000003</v>
      </c>
      <c r="K461" t="str">
        <f>_xlfn.XLOOKUP(Jnl[[#This Row],[Acct]], config_BS[Acct], config_BS[Lv0],,0)</f>
        <v>LC</v>
      </c>
      <c r="L461" t="str">
        <f>_xlfn.XLOOKUP(Jnl[[#This Row],[Acct]], config_BS[Acct], config_BS[Lv1],,0)</f>
        <v>Liability</v>
      </c>
      <c r="M461" t="str">
        <f>_xlfn.XLOOKUP(Jnl[[#This Row],[Acct]], config_BS[Acct], config_BS[Lv2],,0)</f>
        <v>Rec-Pay</v>
      </c>
      <c r="N461" t="str">
        <f>_xlfn.XLOOKUP(Jnl[[#This Row],[TrxId]], Trx[Id], Trx[IncNode], ,0)</f>
        <v>Expense</v>
      </c>
      <c r="O461" t="str">
        <f>_xlfn.XLOOKUP(Jnl[[#This Row],[IncNode]], config_IS[Node], config_IS[Type],,0)</f>
        <v>Op</v>
      </c>
      <c r="P461" t="str">
        <f>_xlfn.XLOOKUP(Jnl[[#This Row],[BSLv2]], dict[Key], dict[Name],,0)</f>
        <v>1.应收-应付</v>
      </c>
      <c r="Q461" t="str">
        <f>_xlfn.XLOOKUP(Jnl[[#This Row],[Acct]], dict[Key], dict[Name],,0)</f>
        <v>应付-薪资</v>
      </c>
      <c r="R461" t="str">
        <f>_xlfn.XLOOKUP(Jnl[[#This Row],[Vehicle]],config_vehicle[Id], config_vehicle[Name],,0)</f>
        <v>远家花园高新分公司</v>
      </c>
      <c r="S461" t="str">
        <f>_xlfn.XLOOKUP(Jnl[[#This Row],[Division]],config_div[Id], config_div[Name],,0)</f>
        <v>综合管理</v>
      </c>
      <c r="T461" t="str">
        <f>IF(Jnl[[#This Row],[TrxDate]]&lt;=stmt_BS_date_end, "In", "Out")</f>
        <v>In</v>
      </c>
      <c r="U461" t="str">
        <f>IF(Jnl[[#This Row],[TrxDate]]&lt;debug_date_start, "prior", IF(Jnl[[#This Row],[TrxDate]]&gt;debug_date_end, "post", "curr"))</f>
        <v>curr</v>
      </c>
    </row>
    <row r="462" spans="1:21" hidden="1">
      <c r="A462" s="39" t="s">
        <v>668</v>
      </c>
      <c r="B462" s="6">
        <f>_xlfn.XLOOKUP(Jnl[[#This Row],[TrxId]], Trx[Id], Trx[Date],,0)</f>
        <v>46053</v>
      </c>
      <c r="C462" s="6" t="str">
        <f>_xlfn.XLOOKUP(Jnl[[#This Row],[TrxId]], Trx[Id], Trx[Division],,0)</f>
        <v>GM</v>
      </c>
      <c r="D462" s="6" t="str">
        <f>_xlfn.XLOOKUP(Jnl[[#This Row],[TrxId]], Trx[Id], Trx[Action],,0)</f>
        <v>支付</v>
      </c>
      <c r="E462" s="27" t="s">
        <v>108</v>
      </c>
      <c r="F462" s="10" t="s">
        <v>601</v>
      </c>
      <c r="G462" s="10" t="s">
        <v>349</v>
      </c>
      <c r="H462" s="37">
        <v>-1474.3</v>
      </c>
      <c r="I462" s="11" t="b">
        <f>AND(Jnl[[#This Row],[TrxId]]&lt;&gt;"",Jnl[[#This Row],[Acct]]&lt;&gt;"",Jnl[[#This Row],[Item]]&lt;&gt;"",ISNUMBER(Jnl[[#This Row],[Bal]]))</f>
        <v>1</v>
      </c>
      <c r="J462" s="9">
        <f>IF(Jnl[[#This Row],[BSLv0]]="A",1,-1)*Jnl[[#This Row],[Bal]]</f>
        <v>-1474.3</v>
      </c>
      <c r="K462" t="str">
        <f>_xlfn.XLOOKUP(Jnl[[#This Row],[Acct]], config_BS[Acct], config_BS[Lv0],,0)</f>
        <v>A</v>
      </c>
      <c r="L462" t="str">
        <f>_xlfn.XLOOKUP(Jnl[[#This Row],[Acct]], config_BS[Acct], config_BS[Lv1],,0)</f>
        <v>Assets</v>
      </c>
      <c r="M462" t="str">
        <f>_xlfn.XLOOKUP(Jnl[[#This Row],[Acct]], config_BS[Acct], config_BS[Lv2],,0)</f>
        <v>Rec-Pay</v>
      </c>
      <c r="N462" t="str">
        <f>_xlfn.XLOOKUP(Jnl[[#This Row],[TrxId]], Trx[Id], Trx[IncNode], ,0)</f>
        <v>Expense</v>
      </c>
      <c r="O462" t="str">
        <f>_xlfn.XLOOKUP(Jnl[[#This Row],[IncNode]], config_IS[Node], config_IS[Type],,0)</f>
        <v>Op</v>
      </c>
      <c r="P462" t="str">
        <f>_xlfn.XLOOKUP(Jnl[[#This Row],[BSLv2]], dict[Key], dict[Name],,0)</f>
        <v>1.应收-应付</v>
      </c>
      <c r="Q462" t="str">
        <f>_xlfn.XLOOKUP(Jnl[[#This Row],[Acct]], dict[Key], dict[Name],,0)</f>
        <v>应收-其他</v>
      </c>
      <c r="R462" t="str">
        <f>_xlfn.XLOOKUP(Jnl[[#This Row],[Vehicle]],config_vehicle[Id], config_vehicle[Name],,0)</f>
        <v>远家花园高新分公司</v>
      </c>
      <c r="S462" t="str">
        <f>_xlfn.XLOOKUP(Jnl[[#This Row],[Division]],config_div[Id], config_div[Name],,0)</f>
        <v>综合管理</v>
      </c>
      <c r="T462" t="str">
        <f>IF(Jnl[[#This Row],[TrxDate]]&lt;=stmt_BS_date_end, "In", "Out")</f>
        <v>In</v>
      </c>
      <c r="U462" t="str">
        <f>IF(Jnl[[#This Row],[TrxDate]]&lt;debug_date_start, "prior", IF(Jnl[[#This Row],[TrxDate]]&gt;debug_date_end, "post", "curr"))</f>
        <v>curr</v>
      </c>
    </row>
    <row r="463" spans="1:21" hidden="1">
      <c r="A463" s="39" t="s">
        <v>669</v>
      </c>
      <c r="B463" s="6">
        <f>_xlfn.XLOOKUP(Jnl[[#This Row],[TrxId]], Trx[Id], Trx[Date],,0)</f>
        <v>46053</v>
      </c>
      <c r="C463" s="6" t="str">
        <f>_xlfn.XLOOKUP(Jnl[[#This Row],[TrxId]], Trx[Id], Trx[Division],,0)</f>
        <v>GM</v>
      </c>
      <c r="D463" s="6" t="str">
        <f>_xlfn.XLOOKUP(Jnl[[#This Row],[TrxId]], Trx[Id], Trx[Action],,0)</f>
        <v>支付</v>
      </c>
      <c r="E463" s="27" t="s">
        <v>108</v>
      </c>
      <c r="F463" s="10" t="s">
        <v>130</v>
      </c>
      <c r="G463" s="10" t="s">
        <v>348</v>
      </c>
      <c r="H463" s="37">
        <v>-1282</v>
      </c>
      <c r="I463" s="11" t="b">
        <f>AND(Jnl[[#This Row],[TrxId]]&lt;&gt;"",Jnl[[#This Row],[Acct]]&lt;&gt;"",Jnl[[#This Row],[Item]]&lt;&gt;"",ISNUMBER(Jnl[[#This Row],[Bal]]))</f>
        <v>1</v>
      </c>
      <c r="J463" s="9">
        <f>IF(Jnl[[#This Row],[BSLv0]]="A",1,-1)*Jnl[[#This Row],[Bal]]</f>
        <v>1282</v>
      </c>
      <c r="K463" t="str">
        <f>_xlfn.XLOOKUP(Jnl[[#This Row],[Acct]], config_BS[Acct], config_BS[Lv0],,0)</f>
        <v>LC</v>
      </c>
      <c r="L463" t="str">
        <f>_xlfn.XLOOKUP(Jnl[[#This Row],[Acct]], config_BS[Acct], config_BS[Lv1],,0)</f>
        <v>Liability</v>
      </c>
      <c r="M463" t="str">
        <f>_xlfn.XLOOKUP(Jnl[[#This Row],[Acct]], config_BS[Acct], config_BS[Lv2],,0)</f>
        <v>Rec-Pay</v>
      </c>
      <c r="N463" t="str">
        <f>_xlfn.XLOOKUP(Jnl[[#This Row],[TrxId]], Trx[Id], Trx[IncNode], ,0)</f>
        <v>Expense</v>
      </c>
      <c r="O463" t="str">
        <f>_xlfn.XLOOKUP(Jnl[[#This Row],[IncNode]], config_IS[Node], config_IS[Type],,0)</f>
        <v>Op</v>
      </c>
      <c r="P463" t="str">
        <f>_xlfn.XLOOKUP(Jnl[[#This Row],[BSLv2]], dict[Key], dict[Name],,0)</f>
        <v>1.应收-应付</v>
      </c>
      <c r="Q463" t="str">
        <f>_xlfn.XLOOKUP(Jnl[[#This Row],[Acct]], dict[Key], dict[Name],,0)</f>
        <v>应付-税款</v>
      </c>
      <c r="R463" t="str">
        <f>_xlfn.XLOOKUP(Jnl[[#This Row],[Vehicle]],config_vehicle[Id], config_vehicle[Name],,0)</f>
        <v>远家花园高新分公司</v>
      </c>
      <c r="S463" t="str">
        <f>_xlfn.XLOOKUP(Jnl[[#This Row],[Division]],config_div[Id], config_div[Name],,0)</f>
        <v>综合管理</v>
      </c>
      <c r="T463" t="str">
        <f>IF(Jnl[[#This Row],[TrxDate]]&lt;=stmt_BS_date_end, "In", "Out")</f>
        <v>In</v>
      </c>
      <c r="U463" t="str">
        <f>IF(Jnl[[#This Row],[TrxDate]]&lt;debug_date_start, "prior", IF(Jnl[[#This Row],[TrxDate]]&gt;debug_date_end, "post", "curr"))</f>
        <v>curr</v>
      </c>
    </row>
    <row r="464" spans="1:21" hidden="1">
      <c r="A464" s="39" t="s">
        <v>669</v>
      </c>
      <c r="B464" s="6">
        <f>_xlfn.XLOOKUP(Jnl[[#This Row],[TrxId]], Trx[Id], Trx[Date],,0)</f>
        <v>46053</v>
      </c>
      <c r="C464" s="6" t="str">
        <f>_xlfn.XLOOKUP(Jnl[[#This Row],[TrxId]], Trx[Id], Trx[Division],,0)</f>
        <v>GM</v>
      </c>
      <c r="D464" s="6" t="str">
        <f>_xlfn.XLOOKUP(Jnl[[#This Row],[TrxId]], Trx[Id], Trx[Action],,0)</f>
        <v>支付</v>
      </c>
      <c r="E464" s="27" t="s">
        <v>108</v>
      </c>
      <c r="F464" s="10" t="s">
        <v>596</v>
      </c>
      <c r="G464" s="10" t="s">
        <v>693</v>
      </c>
      <c r="H464" s="37">
        <v>-1282</v>
      </c>
      <c r="I464" s="11" t="b">
        <f>AND(Jnl[[#This Row],[TrxId]]&lt;&gt;"",Jnl[[#This Row],[Acct]]&lt;&gt;"",Jnl[[#This Row],[Item]]&lt;&gt;"",ISNUMBER(Jnl[[#This Row],[Bal]]))</f>
        <v>1</v>
      </c>
      <c r="J464" s="9">
        <f>IF(Jnl[[#This Row],[BSLv0]]="A",1,-1)*Jnl[[#This Row],[Bal]]</f>
        <v>-1282</v>
      </c>
      <c r="K464" t="str">
        <f>_xlfn.XLOOKUP(Jnl[[#This Row],[Acct]], config_BS[Acct], config_BS[Lv0],,0)</f>
        <v>A</v>
      </c>
      <c r="L464" t="str">
        <f>_xlfn.XLOOKUP(Jnl[[#This Row],[Acct]], config_BS[Acct], config_BS[Lv1],,0)</f>
        <v>Assets</v>
      </c>
      <c r="M464" t="str">
        <f>_xlfn.XLOOKUP(Jnl[[#This Row],[Acct]], config_BS[Acct], config_BS[Lv2],,0)</f>
        <v>Cash alike</v>
      </c>
      <c r="N464" t="str">
        <f>_xlfn.XLOOKUP(Jnl[[#This Row],[TrxId]], Trx[Id], Trx[IncNode], ,0)</f>
        <v>Expense</v>
      </c>
      <c r="O464" t="str">
        <f>_xlfn.XLOOKUP(Jnl[[#This Row],[IncNode]], config_IS[Node], config_IS[Type],,0)</f>
        <v>Op</v>
      </c>
      <c r="P464" t="str">
        <f>_xlfn.XLOOKUP(Jnl[[#This Row],[BSLv2]], dict[Key], dict[Name],,0)</f>
        <v>0.现金及类似</v>
      </c>
      <c r="Q464" t="str">
        <f>_xlfn.XLOOKUP(Jnl[[#This Row],[Acct]], dict[Key], dict[Name],,0)</f>
        <v>银行</v>
      </c>
      <c r="R464" t="str">
        <f>_xlfn.XLOOKUP(Jnl[[#This Row],[Vehicle]],config_vehicle[Id], config_vehicle[Name],,0)</f>
        <v>远家花园高新分公司</v>
      </c>
      <c r="S464" t="str">
        <f>_xlfn.XLOOKUP(Jnl[[#This Row],[Division]],config_div[Id], config_div[Name],,0)</f>
        <v>综合管理</v>
      </c>
      <c r="T464" t="str">
        <f>IF(Jnl[[#This Row],[TrxDate]]&lt;=stmt_BS_date_end, "In", "Out")</f>
        <v>In</v>
      </c>
      <c r="U464" t="str">
        <f>IF(Jnl[[#This Row],[TrxDate]]&lt;debug_date_start, "prior", IF(Jnl[[#This Row],[TrxDate]]&gt;debug_date_end, "post", "curr"))</f>
        <v>curr</v>
      </c>
    </row>
    <row r="465" spans="1:21" hidden="1">
      <c r="A465" s="39" t="s">
        <v>670</v>
      </c>
      <c r="B465" s="6">
        <f>_xlfn.XLOOKUP(Jnl[[#This Row],[TrxId]], Trx[Id], Trx[Date],,0)</f>
        <v>46053</v>
      </c>
      <c r="C465" s="6" t="str">
        <f>_xlfn.XLOOKUP(Jnl[[#This Row],[TrxId]], Trx[Id], Trx[Division],,0)</f>
        <v>Ctrl</v>
      </c>
      <c r="D465" s="6" t="str">
        <f>_xlfn.XLOOKUP(Jnl[[#This Row],[TrxId]], Trx[Id], Trx[Action],,0)</f>
        <v>支付</v>
      </c>
      <c r="E465" s="27" t="s">
        <v>108</v>
      </c>
      <c r="F465" s="10" t="s">
        <v>130</v>
      </c>
      <c r="G465" s="10" t="s">
        <v>312</v>
      </c>
      <c r="H465" s="37">
        <v>-5178.93</v>
      </c>
      <c r="I465" s="11" t="b">
        <f>AND(Jnl[[#This Row],[TrxId]]&lt;&gt;"",Jnl[[#This Row],[Acct]]&lt;&gt;"",Jnl[[#This Row],[Item]]&lt;&gt;"",ISNUMBER(Jnl[[#This Row],[Bal]]))</f>
        <v>1</v>
      </c>
      <c r="J465" s="9">
        <f>IF(Jnl[[#This Row],[BSLv0]]="A",1,-1)*Jnl[[#This Row],[Bal]]</f>
        <v>5178.93</v>
      </c>
      <c r="K465" t="str">
        <f>_xlfn.XLOOKUP(Jnl[[#This Row],[Acct]], config_BS[Acct], config_BS[Lv0],,0)</f>
        <v>LC</v>
      </c>
      <c r="L465" t="str">
        <f>_xlfn.XLOOKUP(Jnl[[#This Row],[Acct]], config_BS[Acct], config_BS[Lv1],,0)</f>
        <v>Liability</v>
      </c>
      <c r="M465" t="str">
        <f>_xlfn.XLOOKUP(Jnl[[#This Row],[Acct]], config_BS[Acct], config_BS[Lv2],,0)</f>
        <v>Rec-Pay</v>
      </c>
      <c r="N465" t="str">
        <f>_xlfn.XLOOKUP(Jnl[[#This Row],[TrxId]], Trx[Id], Trx[IncNode], ,0)</f>
        <v>Expense</v>
      </c>
      <c r="O465" t="str">
        <f>_xlfn.XLOOKUP(Jnl[[#This Row],[IncNode]], config_IS[Node], config_IS[Type],,0)</f>
        <v>Op</v>
      </c>
      <c r="P465" t="str">
        <f>_xlfn.XLOOKUP(Jnl[[#This Row],[BSLv2]], dict[Key], dict[Name],,0)</f>
        <v>1.应收-应付</v>
      </c>
      <c r="Q465" t="str">
        <f>_xlfn.XLOOKUP(Jnl[[#This Row],[Acct]], dict[Key], dict[Name],,0)</f>
        <v>应付-税款</v>
      </c>
      <c r="R465" t="str">
        <f>_xlfn.XLOOKUP(Jnl[[#This Row],[Vehicle]],config_vehicle[Id], config_vehicle[Name],,0)</f>
        <v>远家花园高新分公司</v>
      </c>
      <c r="S465" t="str">
        <f>_xlfn.XLOOKUP(Jnl[[#This Row],[Division]],config_div[Id], config_div[Name],,0)</f>
        <v>内控合规</v>
      </c>
      <c r="T465" t="str">
        <f>IF(Jnl[[#This Row],[TrxDate]]&lt;=stmt_BS_date_end, "In", "Out")</f>
        <v>In</v>
      </c>
      <c r="U465" t="str">
        <f>IF(Jnl[[#This Row],[TrxDate]]&lt;debug_date_start, "prior", IF(Jnl[[#This Row],[TrxDate]]&gt;debug_date_end, "post", "curr"))</f>
        <v>curr</v>
      </c>
    </row>
    <row r="466" spans="1:21" hidden="1">
      <c r="A466" s="39" t="s">
        <v>670</v>
      </c>
      <c r="B466" s="6">
        <f>_xlfn.XLOOKUP(Jnl[[#This Row],[TrxId]], Trx[Id], Trx[Date],,0)</f>
        <v>46053</v>
      </c>
      <c r="C466" s="6" t="str">
        <f>_xlfn.XLOOKUP(Jnl[[#This Row],[TrxId]], Trx[Id], Trx[Division],,0)</f>
        <v>Ctrl</v>
      </c>
      <c r="D466" s="6" t="str">
        <f>_xlfn.XLOOKUP(Jnl[[#This Row],[TrxId]], Trx[Id], Trx[Action],,0)</f>
        <v>支付</v>
      </c>
      <c r="E466" s="27" t="s">
        <v>108</v>
      </c>
      <c r="F466" s="10" t="s">
        <v>130</v>
      </c>
      <c r="G466" s="10" t="s">
        <v>353</v>
      </c>
      <c r="H466" s="37">
        <v>-310.73</v>
      </c>
      <c r="I466" s="11" t="b">
        <f>AND(Jnl[[#This Row],[TrxId]]&lt;&gt;"",Jnl[[#This Row],[Acct]]&lt;&gt;"",Jnl[[#This Row],[Item]]&lt;&gt;"",ISNUMBER(Jnl[[#This Row],[Bal]]))</f>
        <v>1</v>
      </c>
      <c r="J466" s="9">
        <f>IF(Jnl[[#This Row],[BSLv0]]="A",1,-1)*Jnl[[#This Row],[Bal]]</f>
        <v>310.73</v>
      </c>
      <c r="K466" t="str">
        <f>_xlfn.XLOOKUP(Jnl[[#This Row],[Acct]], config_BS[Acct], config_BS[Lv0],,0)</f>
        <v>LC</v>
      </c>
      <c r="L466" t="str">
        <f>_xlfn.XLOOKUP(Jnl[[#This Row],[Acct]], config_BS[Acct], config_BS[Lv1],,0)</f>
        <v>Liability</v>
      </c>
      <c r="M466" t="str">
        <f>_xlfn.XLOOKUP(Jnl[[#This Row],[Acct]], config_BS[Acct], config_BS[Lv2],,0)</f>
        <v>Rec-Pay</v>
      </c>
      <c r="N466" t="str">
        <f>_xlfn.XLOOKUP(Jnl[[#This Row],[TrxId]], Trx[Id], Trx[IncNode], ,0)</f>
        <v>Expense</v>
      </c>
      <c r="O466" t="str">
        <f>_xlfn.XLOOKUP(Jnl[[#This Row],[IncNode]], config_IS[Node], config_IS[Type],,0)</f>
        <v>Op</v>
      </c>
      <c r="P466" t="str">
        <f>_xlfn.XLOOKUP(Jnl[[#This Row],[BSLv2]], dict[Key], dict[Name],,0)</f>
        <v>1.应收-应付</v>
      </c>
      <c r="Q466" t="str">
        <f>_xlfn.XLOOKUP(Jnl[[#This Row],[Acct]], dict[Key], dict[Name],,0)</f>
        <v>应付-税款</v>
      </c>
      <c r="R466" t="str">
        <f>_xlfn.XLOOKUP(Jnl[[#This Row],[Vehicle]],config_vehicle[Id], config_vehicle[Name],,0)</f>
        <v>远家花园高新分公司</v>
      </c>
      <c r="S466" t="str">
        <f>_xlfn.XLOOKUP(Jnl[[#This Row],[Division]],config_div[Id], config_div[Name],,0)</f>
        <v>内控合规</v>
      </c>
      <c r="T466" t="str">
        <f>IF(Jnl[[#This Row],[TrxDate]]&lt;=stmt_BS_date_end, "In", "Out")</f>
        <v>In</v>
      </c>
      <c r="U466" t="str">
        <f>IF(Jnl[[#This Row],[TrxDate]]&lt;debug_date_start, "prior", IF(Jnl[[#This Row],[TrxDate]]&gt;debug_date_end, "post", "curr"))</f>
        <v>curr</v>
      </c>
    </row>
    <row r="467" spans="1:21" hidden="1">
      <c r="A467" s="39" t="s">
        <v>670</v>
      </c>
      <c r="B467" s="6">
        <f>_xlfn.XLOOKUP(Jnl[[#This Row],[TrxId]], Trx[Id], Trx[Date],,0)</f>
        <v>46053</v>
      </c>
      <c r="C467" s="6" t="str">
        <f>_xlfn.XLOOKUP(Jnl[[#This Row],[TrxId]], Trx[Id], Trx[Division],,0)</f>
        <v>Ctrl</v>
      </c>
      <c r="D467" s="6" t="str">
        <f>_xlfn.XLOOKUP(Jnl[[#This Row],[TrxId]], Trx[Id], Trx[Action],,0)</f>
        <v>支付</v>
      </c>
      <c r="E467" s="27" t="s">
        <v>108</v>
      </c>
      <c r="F467" s="10" t="s">
        <v>596</v>
      </c>
      <c r="G467" s="10" t="s">
        <v>693</v>
      </c>
      <c r="H467" s="37">
        <v>-5489.66</v>
      </c>
      <c r="I467" s="11" t="b">
        <f>AND(Jnl[[#This Row],[TrxId]]&lt;&gt;"",Jnl[[#This Row],[Acct]]&lt;&gt;"",Jnl[[#This Row],[Item]]&lt;&gt;"",ISNUMBER(Jnl[[#This Row],[Bal]]))</f>
        <v>1</v>
      </c>
      <c r="J467" s="9">
        <f>IF(Jnl[[#This Row],[BSLv0]]="A",1,-1)*Jnl[[#This Row],[Bal]]</f>
        <v>-5489.66</v>
      </c>
      <c r="K467" t="str">
        <f>_xlfn.XLOOKUP(Jnl[[#This Row],[Acct]], config_BS[Acct], config_BS[Lv0],,0)</f>
        <v>A</v>
      </c>
      <c r="L467" t="str">
        <f>_xlfn.XLOOKUP(Jnl[[#This Row],[Acct]], config_BS[Acct], config_BS[Lv1],,0)</f>
        <v>Assets</v>
      </c>
      <c r="M467" t="str">
        <f>_xlfn.XLOOKUP(Jnl[[#This Row],[Acct]], config_BS[Acct], config_BS[Lv2],,0)</f>
        <v>Cash alike</v>
      </c>
      <c r="N467" t="str">
        <f>_xlfn.XLOOKUP(Jnl[[#This Row],[TrxId]], Trx[Id], Trx[IncNode], ,0)</f>
        <v>Expense</v>
      </c>
      <c r="O467" t="str">
        <f>_xlfn.XLOOKUP(Jnl[[#This Row],[IncNode]], config_IS[Node], config_IS[Type],,0)</f>
        <v>Op</v>
      </c>
      <c r="P467" t="str">
        <f>_xlfn.XLOOKUP(Jnl[[#This Row],[BSLv2]], dict[Key], dict[Name],,0)</f>
        <v>0.现金及类似</v>
      </c>
      <c r="Q467" t="str">
        <f>_xlfn.XLOOKUP(Jnl[[#This Row],[Acct]], dict[Key], dict[Name],,0)</f>
        <v>银行</v>
      </c>
      <c r="R467" t="str">
        <f>_xlfn.XLOOKUP(Jnl[[#This Row],[Vehicle]],config_vehicle[Id], config_vehicle[Name],,0)</f>
        <v>远家花园高新分公司</v>
      </c>
      <c r="S467" t="str">
        <f>_xlfn.XLOOKUP(Jnl[[#This Row],[Division]],config_div[Id], config_div[Name],,0)</f>
        <v>内控合规</v>
      </c>
      <c r="T467" t="str">
        <f>IF(Jnl[[#This Row],[TrxDate]]&lt;=stmt_BS_date_end, "In", "Out")</f>
        <v>In</v>
      </c>
      <c r="U467" t="str">
        <f>IF(Jnl[[#This Row],[TrxDate]]&lt;debug_date_start, "prior", IF(Jnl[[#This Row],[TrxDate]]&gt;debug_date_end, "post", "curr"))</f>
        <v>curr</v>
      </c>
    </row>
    <row r="468" spans="1:21" hidden="1">
      <c r="A468" s="39" t="s">
        <v>672</v>
      </c>
      <c r="B468" s="6">
        <f>_xlfn.XLOOKUP(Jnl[[#This Row],[TrxId]], Trx[Id], Trx[Date],,0)</f>
        <v>46053</v>
      </c>
      <c r="C468" s="6" t="str">
        <f>_xlfn.XLOOKUP(Jnl[[#This Row],[TrxId]], Trx[Id], Trx[Division],,0)</f>
        <v>Shuijie</v>
      </c>
      <c r="D468" s="6" t="str">
        <f>_xlfn.XLOOKUP(Jnl[[#This Row],[TrxId]], Trx[Id], Trx[Action],,0)</f>
        <v>存现</v>
      </c>
      <c r="E468" s="27" t="s">
        <v>108</v>
      </c>
      <c r="F468" s="10" t="s">
        <v>596</v>
      </c>
      <c r="G468" s="10" t="s">
        <v>693</v>
      </c>
      <c r="H468" s="37">
        <v>2000</v>
      </c>
      <c r="I468" s="11" t="b">
        <f>AND(Jnl[[#This Row],[TrxId]]&lt;&gt;"",Jnl[[#This Row],[Acct]]&lt;&gt;"",Jnl[[#This Row],[Item]]&lt;&gt;"",ISNUMBER(Jnl[[#This Row],[Bal]]))</f>
        <v>1</v>
      </c>
      <c r="J468" s="9">
        <f>IF(Jnl[[#This Row],[BSLv0]]="A",1,-1)*Jnl[[#This Row],[Bal]]</f>
        <v>2000</v>
      </c>
      <c r="K468" t="str">
        <f>_xlfn.XLOOKUP(Jnl[[#This Row],[Acct]], config_BS[Acct], config_BS[Lv0],,0)</f>
        <v>A</v>
      </c>
      <c r="L468" t="str">
        <f>_xlfn.XLOOKUP(Jnl[[#This Row],[Acct]], config_BS[Acct], config_BS[Lv1],,0)</f>
        <v>Assets</v>
      </c>
      <c r="M468" t="str">
        <f>_xlfn.XLOOKUP(Jnl[[#This Row],[Acct]], config_BS[Acct], config_BS[Lv2],,0)</f>
        <v>Cash alike</v>
      </c>
      <c r="N468" t="str">
        <f>_xlfn.XLOOKUP(Jnl[[#This Row],[TrxId]], Trx[Id], Trx[IncNode], ,0)</f>
        <v>Other</v>
      </c>
      <c r="O468" t="str">
        <f>_xlfn.XLOOKUP(Jnl[[#This Row],[IncNode]], config_IS[Node], config_IS[Type],,0)</f>
        <v>Non-Op</v>
      </c>
      <c r="P468" t="str">
        <f>_xlfn.XLOOKUP(Jnl[[#This Row],[BSLv2]], dict[Key], dict[Name],,0)</f>
        <v>0.现金及类似</v>
      </c>
      <c r="Q468" t="str">
        <f>_xlfn.XLOOKUP(Jnl[[#This Row],[Acct]], dict[Key], dict[Name],,0)</f>
        <v>银行</v>
      </c>
      <c r="R468" t="str">
        <f>_xlfn.XLOOKUP(Jnl[[#This Row],[Vehicle]],config_vehicle[Id], config_vehicle[Name],,0)</f>
        <v>远家花园高新分公司</v>
      </c>
      <c r="S468" t="str">
        <f>_xlfn.XLOOKUP(Jnl[[#This Row],[Division]],config_div[Id], config_div[Name],,0)</f>
        <v>水街店</v>
      </c>
      <c r="T468" t="str">
        <f>IF(Jnl[[#This Row],[TrxDate]]&lt;=stmt_BS_date_end, "In", "Out")</f>
        <v>In</v>
      </c>
      <c r="U468" t="str">
        <f>IF(Jnl[[#This Row],[TrxDate]]&lt;debug_date_start, "prior", IF(Jnl[[#This Row],[TrxDate]]&gt;debug_date_end, "post", "curr"))</f>
        <v>curr</v>
      </c>
    </row>
    <row r="469" spans="1:21" hidden="1">
      <c r="A469" s="39" t="s">
        <v>672</v>
      </c>
      <c r="B469" s="6">
        <f>_xlfn.XLOOKUP(Jnl[[#This Row],[TrxId]], Trx[Id], Trx[Date],,0)</f>
        <v>46053</v>
      </c>
      <c r="C469" s="6" t="str">
        <f>_xlfn.XLOOKUP(Jnl[[#This Row],[TrxId]], Trx[Id], Trx[Division],,0)</f>
        <v>Shuijie</v>
      </c>
      <c r="D469" s="6" t="str">
        <f>_xlfn.XLOOKUP(Jnl[[#This Row],[TrxId]], Trx[Id], Trx[Action],,0)</f>
        <v>存现</v>
      </c>
      <c r="E469" s="27" t="s">
        <v>108</v>
      </c>
      <c r="F469" s="10" t="s">
        <v>605</v>
      </c>
      <c r="G469" s="10" t="s">
        <v>694</v>
      </c>
      <c r="H469" s="37">
        <v>-2000</v>
      </c>
      <c r="I469" s="11" t="b">
        <f>AND(Jnl[[#This Row],[TrxId]]&lt;&gt;"",Jnl[[#This Row],[Acct]]&lt;&gt;"",Jnl[[#This Row],[Item]]&lt;&gt;"",ISNUMBER(Jnl[[#This Row],[Bal]]))</f>
        <v>1</v>
      </c>
      <c r="J469" s="9">
        <f>IF(Jnl[[#This Row],[BSLv0]]="A",1,-1)*Jnl[[#This Row],[Bal]]</f>
        <v>-2000</v>
      </c>
      <c r="K469" t="str">
        <f>_xlfn.XLOOKUP(Jnl[[#This Row],[Acct]], config_BS[Acct], config_BS[Lv0],,0)</f>
        <v>A</v>
      </c>
      <c r="L469" t="str">
        <f>_xlfn.XLOOKUP(Jnl[[#This Row],[Acct]], config_BS[Acct], config_BS[Lv1],,0)</f>
        <v>Assets</v>
      </c>
      <c r="M469" t="str">
        <f>_xlfn.XLOOKUP(Jnl[[#This Row],[Acct]], config_BS[Acct], config_BS[Lv2],,0)</f>
        <v>Cash alike</v>
      </c>
      <c r="N469" t="str">
        <f>_xlfn.XLOOKUP(Jnl[[#This Row],[TrxId]], Trx[Id], Trx[IncNode], ,0)</f>
        <v>Other</v>
      </c>
      <c r="O469" t="str">
        <f>_xlfn.XLOOKUP(Jnl[[#This Row],[IncNode]], config_IS[Node], config_IS[Type],,0)</f>
        <v>Non-Op</v>
      </c>
      <c r="P469" t="str">
        <f>_xlfn.XLOOKUP(Jnl[[#This Row],[BSLv2]], dict[Key], dict[Name],,0)</f>
        <v>0.现金及类似</v>
      </c>
      <c r="Q469" t="str">
        <f>_xlfn.XLOOKUP(Jnl[[#This Row],[Acct]], dict[Key], dict[Name],,0)</f>
        <v>物理现金</v>
      </c>
      <c r="R469" t="str">
        <f>_xlfn.XLOOKUP(Jnl[[#This Row],[Vehicle]],config_vehicle[Id], config_vehicle[Name],,0)</f>
        <v>远家花园高新分公司</v>
      </c>
      <c r="S469" t="str">
        <f>_xlfn.XLOOKUP(Jnl[[#This Row],[Division]],config_div[Id], config_div[Name],,0)</f>
        <v>水街店</v>
      </c>
      <c r="T469" t="str">
        <f>IF(Jnl[[#This Row],[TrxDate]]&lt;=stmt_BS_date_end, "In", "Out")</f>
        <v>In</v>
      </c>
      <c r="U469" t="str">
        <f>IF(Jnl[[#This Row],[TrxDate]]&lt;debug_date_start, "prior", IF(Jnl[[#This Row],[TrxDate]]&gt;debug_date_end, "post", "curr"))</f>
        <v>curr</v>
      </c>
    </row>
    <row r="470" spans="1:21" hidden="1">
      <c r="A470" s="39" t="s">
        <v>673</v>
      </c>
      <c r="B470" s="6">
        <f>_xlfn.XLOOKUP(Jnl[[#This Row],[TrxId]], Trx[Id], Trx[Date],,0)</f>
        <v>46053</v>
      </c>
      <c r="C470" s="6" t="str">
        <f>_xlfn.XLOOKUP(Jnl[[#This Row],[TrxId]], Trx[Id], Trx[Division],,0)</f>
        <v>Shuijie</v>
      </c>
      <c r="D470" s="6" t="str">
        <f>_xlfn.XLOOKUP(Jnl[[#This Row],[TrxId]], Trx[Id], Trx[Action],,0)</f>
        <v>课程</v>
      </c>
      <c r="E470" s="27" t="s">
        <v>108</v>
      </c>
      <c r="F470" s="10" t="s">
        <v>596</v>
      </c>
      <c r="G470" s="10" t="s">
        <v>693</v>
      </c>
      <c r="H470" s="37">
        <v>-300</v>
      </c>
      <c r="I470" s="11" t="b">
        <f>AND(Jnl[[#This Row],[TrxId]]&lt;&gt;"",Jnl[[#This Row],[Acct]]&lt;&gt;"",Jnl[[#This Row],[Item]]&lt;&gt;"",ISNUMBER(Jnl[[#This Row],[Bal]]))</f>
        <v>1</v>
      </c>
      <c r="J470" s="9">
        <f>IF(Jnl[[#This Row],[BSLv0]]="A",1,-1)*Jnl[[#This Row],[Bal]]</f>
        <v>-300</v>
      </c>
      <c r="K470" t="str">
        <f>_xlfn.XLOOKUP(Jnl[[#This Row],[Acct]], config_BS[Acct], config_BS[Lv0],,0)</f>
        <v>A</v>
      </c>
      <c r="L470" t="str">
        <f>_xlfn.XLOOKUP(Jnl[[#This Row],[Acct]], config_BS[Acct], config_BS[Lv1],,0)</f>
        <v>Assets</v>
      </c>
      <c r="M470" t="str">
        <f>_xlfn.XLOOKUP(Jnl[[#This Row],[Acct]], config_BS[Acct], config_BS[Lv2],,0)</f>
        <v>Cash alike</v>
      </c>
      <c r="N470" t="str">
        <f>_xlfn.XLOOKUP(Jnl[[#This Row],[TrxId]], Trx[Id], Trx[IncNode], ,0)</f>
        <v>Cost</v>
      </c>
      <c r="O470" t="str">
        <f>_xlfn.XLOOKUP(Jnl[[#This Row],[IncNode]], config_IS[Node], config_IS[Type],,0)</f>
        <v>Op</v>
      </c>
      <c r="P470" t="str">
        <f>_xlfn.XLOOKUP(Jnl[[#This Row],[BSLv2]], dict[Key], dict[Name],,0)</f>
        <v>0.现金及类似</v>
      </c>
      <c r="Q470" t="str">
        <f>_xlfn.XLOOKUP(Jnl[[#This Row],[Acct]], dict[Key], dict[Name],,0)</f>
        <v>银行</v>
      </c>
      <c r="R470" t="str">
        <f>_xlfn.XLOOKUP(Jnl[[#This Row],[Vehicle]],config_vehicle[Id], config_vehicle[Name],,0)</f>
        <v>远家花园高新分公司</v>
      </c>
      <c r="S470" t="str">
        <f>_xlfn.XLOOKUP(Jnl[[#This Row],[Division]],config_div[Id], config_div[Name],,0)</f>
        <v>水街店</v>
      </c>
      <c r="T470" t="str">
        <f>IF(Jnl[[#This Row],[TrxDate]]&lt;=stmt_BS_date_end, "In", "Out")</f>
        <v>In</v>
      </c>
      <c r="U470" t="str">
        <f>IF(Jnl[[#This Row],[TrxDate]]&lt;debug_date_start, "prior", IF(Jnl[[#This Row],[TrxDate]]&gt;debug_date_end, "post", "curr"))</f>
        <v>curr</v>
      </c>
    </row>
    <row r="471" spans="1:21" hidden="1">
      <c r="A471" s="39" t="s">
        <v>674</v>
      </c>
      <c r="B471" s="6">
        <f>_xlfn.XLOOKUP(Jnl[[#This Row],[TrxId]], Trx[Id], Trx[Date],,0)</f>
        <v>46053</v>
      </c>
      <c r="C471" s="6" t="str">
        <f>_xlfn.XLOOKUP(Jnl[[#This Row],[TrxId]], Trx[Id], Trx[Division],,0)</f>
        <v>GM</v>
      </c>
      <c r="D471" s="6" t="str">
        <f>_xlfn.XLOOKUP(Jnl[[#This Row],[TrxId]], Trx[Id], Trx[Action],,0)</f>
        <v>银行费</v>
      </c>
      <c r="E471" s="27" t="s">
        <v>108</v>
      </c>
      <c r="F471" s="10" t="s">
        <v>596</v>
      </c>
      <c r="G471" s="10" t="s">
        <v>693</v>
      </c>
      <c r="H471" s="37">
        <v>-7</v>
      </c>
      <c r="I471" s="11" t="b">
        <f>AND(Jnl[[#This Row],[TrxId]]&lt;&gt;"",Jnl[[#This Row],[Acct]]&lt;&gt;"",Jnl[[#This Row],[Item]]&lt;&gt;"",ISNUMBER(Jnl[[#This Row],[Bal]]))</f>
        <v>1</v>
      </c>
      <c r="J471" s="9">
        <f>IF(Jnl[[#This Row],[BSLv0]]="A",1,-1)*Jnl[[#This Row],[Bal]]</f>
        <v>-7</v>
      </c>
      <c r="K471" t="str">
        <f>_xlfn.XLOOKUP(Jnl[[#This Row],[Acct]], config_BS[Acct], config_BS[Lv0],,0)</f>
        <v>A</v>
      </c>
      <c r="L471" t="str">
        <f>_xlfn.XLOOKUP(Jnl[[#This Row],[Acct]], config_BS[Acct], config_BS[Lv1],,0)</f>
        <v>Assets</v>
      </c>
      <c r="M471" t="str">
        <f>_xlfn.XLOOKUP(Jnl[[#This Row],[Acct]], config_BS[Acct], config_BS[Lv2],,0)</f>
        <v>Cash alike</v>
      </c>
      <c r="N471" t="str">
        <f>_xlfn.XLOOKUP(Jnl[[#This Row],[TrxId]], Trx[Id], Trx[IncNode], ,0)</f>
        <v>Expense</v>
      </c>
      <c r="O471" t="str">
        <f>_xlfn.XLOOKUP(Jnl[[#This Row],[IncNode]], config_IS[Node], config_IS[Type],,0)</f>
        <v>Op</v>
      </c>
      <c r="P471" t="str">
        <f>_xlfn.XLOOKUP(Jnl[[#This Row],[BSLv2]], dict[Key], dict[Name],,0)</f>
        <v>0.现金及类似</v>
      </c>
      <c r="Q471" t="str">
        <f>_xlfn.XLOOKUP(Jnl[[#This Row],[Acct]], dict[Key], dict[Name],,0)</f>
        <v>银行</v>
      </c>
      <c r="R471" t="str">
        <f>_xlfn.XLOOKUP(Jnl[[#This Row],[Vehicle]],config_vehicle[Id], config_vehicle[Name],,0)</f>
        <v>远家花园高新分公司</v>
      </c>
      <c r="S471" t="str">
        <f>_xlfn.XLOOKUP(Jnl[[#This Row],[Division]],config_div[Id], config_div[Name],,0)</f>
        <v>综合管理</v>
      </c>
      <c r="T471" t="str">
        <f>IF(Jnl[[#This Row],[TrxDate]]&lt;=stmt_BS_date_end, "In", "Out")</f>
        <v>In</v>
      </c>
      <c r="U471" t="str">
        <f>IF(Jnl[[#This Row],[TrxDate]]&lt;debug_date_start, "prior", IF(Jnl[[#This Row],[TrxDate]]&gt;debug_date_end, "post", "curr"))</f>
        <v>curr</v>
      </c>
    </row>
    <row r="472" spans="1:21" hidden="1">
      <c r="A472" s="39" t="s">
        <v>675</v>
      </c>
      <c r="B472" s="6">
        <f>_xlfn.XLOOKUP(Jnl[[#This Row],[TrxId]], Trx[Id], Trx[Date],,0)</f>
        <v>46053</v>
      </c>
      <c r="C472" s="6" t="str">
        <f>_xlfn.XLOOKUP(Jnl[[#This Row],[TrxId]], Trx[Id], Trx[Division],,0)</f>
        <v>Shuijie</v>
      </c>
      <c r="D472" s="6" t="str">
        <f>_xlfn.XLOOKUP(Jnl[[#This Row],[TrxId]], Trx[Id], Trx[Action],,0)</f>
        <v>收款</v>
      </c>
      <c r="E472" s="27" t="s">
        <v>108</v>
      </c>
      <c r="F472" s="10" t="s">
        <v>596</v>
      </c>
      <c r="G472" s="10" t="s">
        <v>693</v>
      </c>
      <c r="H472" s="37">
        <v>65524.07</v>
      </c>
      <c r="I472" s="11" t="b">
        <f>AND(Jnl[[#This Row],[TrxId]]&lt;&gt;"",Jnl[[#This Row],[Acct]]&lt;&gt;"",Jnl[[#This Row],[Item]]&lt;&gt;"",ISNUMBER(Jnl[[#This Row],[Bal]]))</f>
        <v>1</v>
      </c>
      <c r="J472" s="9">
        <f>IF(Jnl[[#This Row],[BSLv0]]="A",1,-1)*Jnl[[#This Row],[Bal]]</f>
        <v>65524.07</v>
      </c>
      <c r="K472" t="str">
        <f>_xlfn.XLOOKUP(Jnl[[#This Row],[Acct]], config_BS[Acct], config_BS[Lv0],,0)</f>
        <v>A</v>
      </c>
      <c r="L472" t="str">
        <f>_xlfn.XLOOKUP(Jnl[[#This Row],[Acct]], config_BS[Acct], config_BS[Lv1],,0)</f>
        <v>Assets</v>
      </c>
      <c r="M472" t="str">
        <f>_xlfn.XLOOKUP(Jnl[[#This Row],[Acct]], config_BS[Acct], config_BS[Lv2],,0)</f>
        <v>Cash alike</v>
      </c>
      <c r="N472" t="str">
        <f>_xlfn.XLOOKUP(Jnl[[#This Row],[TrxId]], Trx[Id], Trx[IncNode], ,0)</f>
        <v>Revenue</v>
      </c>
      <c r="O472" t="str">
        <f>_xlfn.XLOOKUP(Jnl[[#This Row],[IncNode]], config_IS[Node], config_IS[Type],,0)</f>
        <v>Op</v>
      </c>
      <c r="P472" t="str">
        <f>_xlfn.XLOOKUP(Jnl[[#This Row],[BSLv2]], dict[Key], dict[Name],,0)</f>
        <v>0.现金及类似</v>
      </c>
      <c r="Q472" t="str">
        <f>_xlfn.XLOOKUP(Jnl[[#This Row],[Acct]], dict[Key], dict[Name],,0)</f>
        <v>银行</v>
      </c>
      <c r="R472" t="str">
        <f>_xlfn.XLOOKUP(Jnl[[#This Row],[Vehicle]],config_vehicle[Id], config_vehicle[Name],,0)</f>
        <v>远家花园高新分公司</v>
      </c>
      <c r="S472" t="str">
        <f>_xlfn.XLOOKUP(Jnl[[#This Row],[Division]],config_div[Id], config_div[Name],,0)</f>
        <v>水街店</v>
      </c>
      <c r="T472" t="str">
        <f>IF(Jnl[[#This Row],[TrxDate]]&lt;=stmt_BS_date_end, "In", "Out")</f>
        <v>In</v>
      </c>
      <c r="U472" t="str">
        <f>IF(Jnl[[#This Row],[TrxDate]]&lt;debug_date_start, "prior", IF(Jnl[[#This Row],[TrxDate]]&gt;debug_date_end, "post", "curr"))</f>
        <v>curr</v>
      </c>
    </row>
    <row r="473" spans="1:21" hidden="1">
      <c r="A473" s="39" t="s">
        <v>675</v>
      </c>
      <c r="B473" s="6">
        <f>_xlfn.XLOOKUP(Jnl[[#This Row],[TrxId]], Trx[Id], Trx[Date],,0)</f>
        <v>46053</v>
      </c>
      <c r="C473" s="6" t="str">
        <f>_xlfn.XLOOKUP(Jnl[[#This Row],[TrxId]], Trx[Id], Trx[Division],,0)</f>
        <v>Shuijie</v>
      </c>
      <c r="D473" s="6" t="str">
        <f>_xlfn.XLOOKUP(Jnl[[#This Row],[TrxId]], Trx[Id], Trx[Action],,0)</f>
        <v>收款</v>
      </c>
      <c r="E473" s="27" t="s">
        <v>108</v>
      </c>
      <c r="F473" s="10" t="s">
        <v>599</v>
      </c>
      <c r="G473" s="10" t="s">
        <v>600</v>
      </c>
      <c r="H473" s="37">
        <v>-65524.07</v>
      </c>
      <c r="I473" s="11" t="b">
        <f>AND(Jnl[[#This Row],[TrxId]]&lt;&gt;"",Jnl[[#This Row],[Acct]]&lt;&gt;"",Jnl[[#This Row],[Item]]&lt;&gt;"",ISNUMBER(Jnl[[#This Row],[Bal]]))</f>
        <v>1</v>
      </c>
      <c r="J473" s="9">
        <f>IF(Jnl[[#This Row],[BSLv0]]="A",1,-1)*Jnl[[#This Row],[Bal]]</f>
        <v>-65524.07</v>
      </c>
      <c r="K473" t="str">
        <f>_xlfn.XLOOKUP(Jnl[[#This Row],[Acct]], config_BS[Acct], config_BS[Lv0],,0)</f>
        <v>A</v>
      </c>
      <c r="L473" t="str">
        <f>_xlfn.XLOOKUP(Jnl[[#This Row],[Acct]], config_BS[Acct], config_BS[Lv1],,0)</f>
        <v>Assets</v>
      </c>
      <c r="M473" t="str">
        <f>_xlfn.XLOOKUP(Jnl[[#This Row],[Acct]], config_BS[Acct], config_BS[Lv2],,0)</f>
        <v>Rec-Pay</v>
      </c>
      <c r="N473" t="str">
        <f>_xlfn.XLOOKUP(Jnl[[#This Row],[TrxId]], Trx[Id], Trx[IncNode], ,0)</f>
        <v>Revenue</v>
      </c>
      <c r="O473" t="str">
        <f>_xlfn.XLOOKUP(Jnl[[#This Row],[IncNode]], config_IS[Node], config_IS[Type],,0)</f>
        <v>Op</v>
      </c>
      <c r="P473" t="str">
        <f>_xlfn.XLOOKUP(Jnl[[#This Row],[BSLv2]], dict[Key], dict[Name],,0)</f>
        <v>1.应收-应付</v>
      </c>
      <c r="Q473" t="str">
        <f>_xlfn.XLOOKUP(Jnl[[#This Row],[Acct]], dict[Key], dict[Name],,0)</f>
        <v>应收-一般</v>
      </c>
      <c r="R473" t="str">
        <f>_xlfn.XLOOKUP(Jnl[[#This Row],[Vehicle]],config_vehicle[Id], config_vehicle[Name],,0)</f>
        <v>远家花园高新分公司</v>
      </c>
      <c r="S473" t="str">
        <f>_xlfn.XLOOKUP(Jnl[[#This Row],[Division]],config_div[Id], config_div[Name],,0)</f>
        <v>水街店</v>
      </c>
      <c r="T473" t="str">
        <f>IF(Jnl[[#This Row],[TrxDate]]&lt;=stmt_BS_date_end, "In", "Out")</f>
        <v>In</v>
      </c>
      <c r="U473" t="str">
        <f>IF(Jnl[[#This Row],[TrxDate]]&lt;debug_date_start, "prior", IF(Jnl[[#This Row],[TrxDate]]&gt;debug_date_end, "post", "curr"))</f>
        <v>curr</v>
      </c>
    </row>
    <row r="474" spans="1:21" hidden="1">
      <c r="A474" s="39" t="s">
        <v>679</v>
      </c>
      <c r="B474" s="6">
        <f>_xlfn.XLOOKUP(Jnl[[#This Row],[TrxId]], Trx[Id], Trx[Date],,0)</f>
        <v>46053</v>
      </c>
      <c r="C474" s="6" t="str">
        <f>_xlfn.XLOOKUP(Jnl[[#This Row],[TrxId]], Trx[Id], Trx[Division],,0)</f>
        <v>Brand</v>
      </c>
      <c r="D474" s="6" t="str">
        <f>_xlfn.XLOOKUP(Jnl[[#This Row],[TrxId]], Trx[Id], Trx[Action],,0)</f>
        <v>折旧</v>
      </c>
      <c r="E474" s="27" t="s">
        <v>108</v>
      </c>
      <c r="F474" s="10" t="s">
        <v>695</v>
      </c>
      <c r="G474" s="10" t="s">
        <v>696</v>
      </c>
      <c r="H474" s="37">
        <v>-54022.96</v>
      </c>
      <c r="I474" s="11" t="b">
        <f>AND(Jnl[[#This Row],[TrxId]]&lt;&gt;"",Jnl[[#This Row],[Acct]]&lt;&gt;"",Jnl[[#This Row],[Item]]&lt;&gt;"",ISNUMBER(Jnl[[#This Row],[Bal]]))</f>
        <v>1</v>
      </c>
      <c r="J474" s="9">
        <f>IF(Jnl[[#This Row],[BSLv0]]="A",1,-1)*Jnl[[#This Row],[Bal]]</f>
        <v>-54022.96</v>
      </c>
      <c r="K474" t="str">
        <f>_xlfn.XLOOKUP(Jnl[[#This Row],[Acct]], config_BS[Acct], config_BS[Lv0],,0)</f>
        <v>A</v>
      </c>
      <c r="L474" t="str">
        <f>_xlfn.XLOOKUP(Jnl[[#This Row],[Acct]], config_BS[Acct], config_BS[Lv1],,0)</f>
        <v>Assets</v>
      </c>
      <c r="M474" t="str">
        <f>_xlfn.XLOOKUP(Jnl[[#This Row],[Acct]], config_BS[Acct], config_BS[Lv2],,0)</f>
        <v>PP&amp;E</v>
      </c>
      <c r="N474" t="str">
        <f>_xlfn.XLOOKUP(Jnl[[#This Row],[TrxId]], Trx[Id], Trx[IncNode], ,0)</f>
        <v>Expense</v>
      </c>
      <c r="O474" t="str">
        <f>_xlfn.XLOOKUP(Jnl[[#This Row],[IncNode]], config_IS[Node], config_IS[Type],,0)</f>
        <v>Op</v>
      </c>
      <c r="P474" t="str">
        <f>_xlfn.XLOOKUP(Jnl[[#This Row],[BSLv2]], dict[Key], dict[Name],,0)</f>
        <v>5.硬件设施</v>
      </c>
      <c r="Q474" t="str">
        <f>_xlfn.XLOOKUP(Jnl[[#This Row],[Acct]], dict[Key], dict[Name],,0)</f>
        <v>房地产</v>
      </c>
      <c r="R474" t="str">
        <f>_xlfn.XLOOKUP(Jnl[[#This Row],[Vehicle]],config_vehicle[Id], config_vehicle[Name],,0)</f>
        <v>远家花园高新分公司</v>
      </c>
      <c r="S474" t="str">
        <f>_xlfn.XLOOKUP(Jnl[[#This Row],[Division]],config_div[Id], config_div[Name],,0)</f>
        <v>品牌</v>
      </c>
      <c r="T474" t="str">
        <f>IF(Jnl[[#This Row],[TrxDate]]&lt;=stmt_BS_date_end, "In", "Out")</f>
        <v>In</v>
      </c>
      <c r="U474" t="str">
        <f>IF(Jnl[[#This Row],[TrxDate]]&lt;debug_date_start, "prior", IF(Jnl[[#This Row],[TrxDate]]&gt;debug_date_end, "post", "curr"))</f>
        <v>curr</v>
      </c>
    </row>
    <row r="475" spans="1:21" hidden="1">
      <c r="A475" s="39" t="s">
        <v>681</v>
      </c>
      <c r="B475" s="6">
        <f>_xlfn.XLOOKUP(Jnl[[#This Row],[TrxId]], Trx[Id], Trx[Date],,0)</f>
        <v>46053</v>
      </c>
      <c r="C475" s="6" t="str">
        <f>_xlfn.XLOOKUP(Jnl[[#This Row],[TrxId]], Trx[Id], Trx[Division],,0)</f>
        <v>Shuijie</v>
      </c>
      <c r="D475" s="6" t="str">
        <f>_xlfn.XLOOKUP(Jnl[[#This Row],[TrxId]], Trx[Id], Trx[Action],,0)</f>
        <v>餐饮</v>
      </c>
      <c r="E475" s="27" t="s">
        <v>108</v>
      </c>
      <c r="F475" s="10" t="s">
        <v>605</v>
      </c>
      <c r="G475" s="10" t="s">
        <v>694</v>
      </c>
      <c r="H475" s="37">
        <v>1000</v>
      </c>
      <c r="I475" s="11" t="b">
        <f>AND(Jnl[[#This Row],[TrxId]]&lt;&gt;"",Jnl[[#This Row],[Acct]]&lt;&gt;"",Jnl[[#This Row],[Item]]&lt;&gt;"",ISNUMBER(Jnl[[#This Row],[Bal]]))</f>
        <v>1</v>
      </c>
      <c r="J475" s="9">
        <f>IF(Jnl[[#This Row],[BSLv0]]="A",1,-1)*Jnl[[#This Row],[Bal]]</f>
        <v>1000</v>
      </c>
      <c r="K475" t="str">
        <f>_xlfn.XLOOKUP(Jnl[[#This Row],[Acct]], config_BS[Acct], config_BS[Lv0],,0)</f>
        <v>A</v>
      </c>
      <c r="L475" t="str">
        <f>_xlfn.XLOOKUP(Jnl[[#This Row],[Acct]], config_BS[Acct], config_BS[Lv1],,0)</f>
        <v>Assets</v>
      </c>
      <c r="M475" t="str">
        <f>_xlfn.XLOOKUP(Jnl[[#This Row],[Acct]], config_BS[Acct], config_BS[Lv2],,0)</f>
        <v>Cash alike</v>
      </c>
      <c r="N475" t="str">
        <f>_xlfn.XLOOKUP(Jnl[[#This Row],[TrxId]], Trx[Id], Trx[IncNode], ,0)</f>
        <v>Revenue</v>
      </c>
      <c r="O475" t="str">
        <f>_xlfn.XLOOKUP(Jnl[[#This Row],[IncNode]], config_IS[Node], config_IS[Type],,0)</f>
        <v>Op</v>
      </c>
      <c r="P475" t="str">
        <f>_xlfn.XLOOKUP(Jnl[[#This Row],[BSLv2]], dict[Key], dict[Name],,0)</f>
        <v>0.现金及类似</v>
      </c>
      <c r="Q475" t="str">
        <f>_xlfn.XLOOKUP(Jnl[[#This Row],[Acct]], dict[Key], dict[Name],,0)</f>
        <v>物理现金</v>
      </c>
      <c r="R475" t="str">
        <f>_xlfn.XLOOKUP(Jnl[[#This Row],[Vehicle]],config_vehicle[Id], config_vehicle[Name],,0)</f>
        <v>远家花园高新分公司</v>
      </c>
      <c r="S475" t="str">
        <f>_xlfn.XLOOKUP(Jnl[[#This Row],[Division]],config_div[Id], config_div[Name],,0)</f>
        <v>水街店</v>
      </c>
      <c r="T475" t="str">
        <f>IF(Jnl[[#This Row],[TrxDate]]&lt;=stmt_BS_date_end, "In", "Out")</f>
        <v>In</v>
      </c>
      <c r="U475" t="str">
        <f>IF(Jnl[[#This Row],[TrxDate]]&lt;debug_date_start, "prior", IF(Jnl[[#This Row],[TrxDate]]&gt;debug_date_end, "post", "curr"))</f>
        <v>curr</v>
      </c>
    </row>
    <row r="476" spans="1:21" hidden="1">
      <c r="A476" s="39" t="s">
        <v>681</v>
      </c>
      <c r="B476" s="6">
        <f>_xlfn.XLOOKUP(Jnl[[#This Row],[TrxId]], Trx[Id], Trx[Date],,0)</f>
        <v>46053</v>
      </c>
      <c r="C476" s="6" t="str">
        <f>_xlfn.XLOOKUP(Jnl[[#This Row],[TrxId]], Trx[Id], Trx[Division],,0)</f>
        <v>Shuijie</v>
      </c>
      <c r="D476" s="6" t="str">
        <f>_xlfn.XLOOKUP(Jnl[[#This Row],[TrxId]], Trx[Id], Trx[Action],,0)</f>
        <v>餐饮</v>
      </c>
      <c r="E476" s="27" t="s">
        <v>108</v>
      </c>
      <c r="F476" s="10" t="s">
        <v>599</v>
      </c>
      <c r="G476" s="10" t="s">
        <v>600</v>
      </c>
      <c r="H476" s="37">
        <f>67816-257.69</f>
        <v>67558.31</v>
      </c>
      <c r="I476" s="11" t="b">
        <f>AND(Jnl[[#This Row],[TrxId]]&lt;&gt;"",Jnl[[#This Row],[Acct]]&lt;&gt;"",Jnl[[#This Row],[Item]]&lt;&gt;"",ISNUMBER(Jnl[[#This Row],[Bal]]))</f>
        <v>1</v>
      </c>
      <c r="J476" s="9">
        <f>IF(Jnl[[#This Row],[BSLv0]]="A",1,-1)*Jnl[[#This Row],[Bal]]</f>
        <v>67558.31</v>
      </c>
      <c r="K476" t="str">
        <f>_xlfn.XLOOKUP(Jnl[[#This Row],[Acct]], config_BS[Acct], config_BS[Lv0],,0)</f>
        <v>A</v>
      </c>
      <c r="L476" t="str">
        <f>_xlfn.XLOOKUP(Jnl[[#This Row],[Acct]], config_BS[Acct], config_BS[Lv1],,0)</f>
        <v>Assets</v>
      </c>
      <c r="M476" t="str">
        <f>_xlfn.XLOOKUP(Jnl[[#This Row],[Acct]], config_BS[Acct], config_BS[Lv2],,0)</f>
        <v>Rec-Pay</v>
      </c>
      <c r="N476" t="str">
        <f>_xlfn.XLOOKUP(Jnl[[#This Row],[TrxId]], Trx[Id], Trx[IncNode], ,0)</f>
        <v>Revenue</v>
      </c>
      <c r="O476" t="str">
        <f>_xlfn.XLOOKUP(Jnl[[#This Row],[IncNode]], config_IS[Node], config_IS[Type],,0)</f>
        <v>Op</v>
      </c>
      <c r="P476" t="str">
        <f>_xlfn.XLOOKUP(Jnl[[#This Row],[BSLv2]], dict[Key], dict[Name],,0)</f>
        <v>1.应收-应付</v>
      </c>
      <c r="Q476" t="str">
        <f>_xlfn.XLOOKUP(Jnl[[#This Row],[Acct]], dict[Key], dict[Name],,0)</f>
        <v>应收-一般</v>
      </c>
      <c r="R476" t="str">
        <f>_xlfn.XLOOKUP(Jnl[[#This Row],[Vehicle]],config_vehicle[Id], config_vehicle[Name],,0)</f>
        <v>远家花园高新分公司</v>
      </c>
      <c r="S476" t="str">
        <f>_xlfn.XLOOKUP(Jnl[[#This Row],[Division]],config_div[Id], config_div[Name],,0)</f>
        <v>水街店</v>
      </c>
      <c r="T476" t="str">
        <f>IF(Jnl[[#This Row],[TrxDate]]&lt;=stmt_BS_date_end, "In", "Out")</f>
        <v>In</v>
      </c>
      <c r="U476" t="str">
        <f>IF(Jnl[[#This Row],[TrxDate]]&lt;debug_date_start, "prior", IF(Jnl[[#This Row],[TrxDate]]&gt;debug_date_end, "post", "curr"))</f>
        <v>curr</v>
      </c>
    </row>
    <row r="477" spans="1:21" hidden="1">
      <c r="A477" s="39" t="s">
        <v>682</v>
      </c>
      <c r="B477" s="6">
        <f>_xlfn.XLOOKUP(Jnl[[#This Row],[TrxId]], Trx[Id], Trx[Date],,0)</f>
        <v>46053</v>
      </c>
      <c r="C477" s="6" t="str">
        <f>_xlfn.XLOOKUP(Jnl[[#This Row],[TrxId]], Trx[Id], Trx[Division],,0)</f>
        <v>Shuijie</v>
      </c>
      <c r="D477" s="6" t="str">
        <f>_xlfn.XLOOKUP(Jnl[[#This Row],[TrxId]], Trx[Id], Trx[Action],,0)</f>
        <v>增值税</v>
      </c>
      <c r="E477" s="27" t="s">
        <v>108</v>
      </c>
      <c r="F477" s="10" t="s">
        <v>130</v>
      </c>
      <c r="G477" s="10" t="s">
        <v>312</v>
      </c>
      <c r="H477" s="37">
        <v>681.35</v>
      </c>
      <c r="I477" s="11" t="b">
        <f>AND(Jnl[[#This Row],[TrxId]]&lt;&gt;"",Jnl[[#This Row],[Acct]]&lt;&gt;"",Jnl[[#This Row],[Item]]&lt;&gt;"",ISNUMBER(Jnl[[#This Row],[Bal]]))</f>
        <v>1</v>
      </c>
      <c r="J477" s="9">
        <f>IF(Jnl[[#This Row],[BSLv0]]="A",1,-1)*Jnl[[#This Row],[Bal]]</f>
        <v>-681.35</v>
      </c>
      <c r="K477" t="str">
        <f>_xlfn.XLOOKUP(Jnl[[#This Row],[Acct]], config_BS[Acct], config_BS[Lv0],,0)</f>
        <v>LC</v>
      </c>
      <c r="L477" t="str">
        <f>_xlfn.XLOOKUP(Jnl[[#This Row],[Acct]], config_BS[Acct], config_BS[Lv1],,0)</f>
        <v>Liability</v>
      </c>
      <c r="M477" t="str">
        <f>_xlfn.XLOOKUP(Jnl[[#This Row],[Acct]], config_BS[Acct], config_BS[Lv2],,0)</f>
        <v>Rec-Pay</v>
      </c>
      <c r="N477" t="str">
        <f>_xlfn.XLOOKUP(Jnl[[#This Row],[TrxId]], Trx[Id], Trx[IncNode], ,0)</f>
        <v>Cost</v>
      </c>
      <c r="O477" t="str">
        <f>_xlfn.XLOOKUP(Jnl[[#This Row],[IncNode]], config_IS[Node], config_IS[Type],,0)</f>
        <v>Op</v>
      </c>
      <c r="P477" t="str">
        <f>_xlfn.XLOOKUP(Jnl[[#This Row],[BSLv2]], dict[Key], dict[Name],,0)</f>
        <v>1.应收-应付</v>
      </c>
      <c r="Q477" t="str">
        <f>_xlfn.XLOOKUP(Jnl[[#This Row],[Acct]], dict[Key], dict[Name],,0)</f>
        <v>应付-税款</v>
      </c>
      <c r="R477" t="str">
        <f>_xlfn.XLOOKUP(Jnl[[#This Row],[Vehicle]],config_vehicle[Id], config_vehicle[Name],,0)</f>
        <v>远家花园高新分公司</v>
      </c>
      <c r="S477" t="str">
        <f>_xlfn.XLOOKUP(Jnl[[#This Row],[Division]],config_div[Id], config_div[Name],,0)</f>
        <v>水街店</v>
      </c>
      <c r="T477" t="str">
        <f>IF(Jnl[[#This Row],[TrxDate]]&lt;=stmt_BS_date_end, "In", "Out")</f>
        <v>In</v>
      </c>
      <c r="U477" t="str">
        <f>IF(Jnl[[#This Row],[TrxDate]]&lt;debug_date_start, "prior", IF(Jnl[[#This Row],[TrxDate]]&gt;debug_date_end, "post", "curr"))</f>
        <v>curr</v>
      </c>
    </row>
    <row r="478" spans="1:21" hidden="1">
      <c r="A478" s="39" t="s">
        <v>683</v>
      </c>
      <c r="B478" s="6">
        <f>_xlfn.XLOOKUP(Jnl[[#This Row],[TrxId]], Trx[Id], Trx[Date],,0)</f>
        <v>46053</v>
      </c>
      <c r="C478" s="6" t="str">
        <f>_xlfn.XLOOKUP(Jnl[[#This Row],[TrxId]], Trx[Id], Trx[Division],,0)</f>
        <v>Shuijie</v>
      </c>
      <c r="D478" s="6" t="str">
        <f>_xlfn.XLOOKUP(Jnl[[#This Row],[TrxId]], Trx[Id], Trx[Action],,0)</f>
        <v>平台费</v>
      </c>
      <c r="E478" s="27" t="s">
        <v>108</v>
      </c>
      <c r="F478" s="10" t="s">
        <v>599</v>
      </c>
      <c r="G478" s="10" t="s">
        <v>600</v>
      </c>
      <c r="H478" s="37">
        <v>-257.69</v>
      </c>
      <c r="I478" s="11" t="b">
        <f>AND(Jnl[[#This Row],[TrxId]]&lt;&gt;"",Jnl[[#This Row],[Acct]]&lt;&gt;"",Jnl[[#This Row],[Item]]&lt;&gt;"",ISNUMBER(Jnl[[#This Row],[Bal]]))</f>
        <v>1</v>
      </c>
      <c r="J478" s="9">
        <f>IF(Jnl[[#This Row],[BSLv0]]="A",1,-1)*Jnl[[#This Row],[Bal]]</f>
        <v>-257.69</v>
      </c>
      <c r="K478" t="str">
        <f>_xlfn.XLOOKUP(Jnl[[#This Row],[Acct]], config_BS[Acct], config_BS[Lv0],,0)</f>
        <v>A</v>
      </c>
      <c r="L478" t="str">
        <f>_xlfn.XLOOKUP(Jnl[[#This Row],[Acct]], config_BS[Acct], config_BS[Lv1],,0)</f>
        <v>Assets</v>
      </c>
      <c r="M478" t="str">
        <f>_xlfn.XLOOKUP(Jnl[[#This Row],[Acct]], config_BS[Acct], config_BS[Lv2],,0)</f>
        <v>Rec-Pay</v>
      </c>
      <c r="N478" t="str">
        <f>_xlfn.XLOOKUP(Jnl[[#This Row],[TrxId]], Trx[Id], Trx[IncNode], ,0)</f>
        <v>Cost</v>
      </c>
      <c r="O478" t="str">
        <f>_xlfn.XLOOKUP(Jnl[[#This Row],[IncNode]], config_IS[Node], config_IS[Type],,0)</f>
        <v>Op</v>
      </c>
      <c r="P478" t="str">
        <f>_xlfn.XLOOKUP(Jnl[[#This Row],[BSLv2]], dict[Key], dict[Name],,0)</f>
        <v>1.应收-应付</v>
      </c>
      <c r="Q478" t="str">
        <f>_xlfn.XLOOKUP(Jnl[[#This Row],[Acct]], dict[Key], dict[Name],,0)</f>
        <v>应收-一般</v>
      </c>
      <c r="R478" t="str">
        <f>_xlfn.XLOOKUP(Jnl[[#This Row],[Vehicle]],config_vehicle[Id], config_vehicle[Name],,0)</f>
        <v>远家花园高新分公司</v>
      </c>
      <c r="S478" t="str">
        <f>_xlfn.XLOOKUP(Jnl[[#This Row],[Division]],config_div[Id], config_div[Name],,0)</f>
        <v>水街店</v>
      </c>
      <c r="T478" t="str">
        <f>IF(Jnl[[#This Row],[TrxDate]]&lt;=stmt_BS_date_end, "In", "Out")</f>
        <v>In</v>
      </c>
      <c r="U478" t="str">
        <f>IF(Jnl[[#This Row],[TrxDate]]&lt;debug_date_start, "prior", IF(Jnl[[#This Row],[TrxDate]]&gt;debug_date_end, "post", "curr"))</f>
        <v>curr</v>
      </c>
    </row>
    <row r="479" spans="1:21" hidden="1">
      <c r="A479" s="39" t="s">
        <v>684</v>
      </c>
      <c r="B479" s="6">
        <f>_xlfn.XLOOKUP(Jnl[[#This Row],[TrxId]], Trx[Id], Trx[Date],,0)</f>
        <v>46053</v>
      </c>
      <c r="C479" s="6" t="str">
        <f>_xlfn.XLOOKUP(Jnl[[#This Row],[TrxId]], Trx[Id], Trx[Division],,0)</f>
        <v>Shuijie</v>
      </c>
      <c r="D479" s="6" t="str">
        <f>_xlfn.XLOOKUP(Jnl[[#This Row],[TrxId]], Trx[Id], Trx[Action],,0)</f>
        <v>餐饮</v>
      </c>
      <c r="E479" s="27" t="s">
        <v>108</v>
      </c>
      <c r="F479" s="10" t="s">
        <v>599</v>
      </c>
      <c r="G479" s="10" t="s">
        <v>600</v>
      </c>
      <c r="H479" s="37">
        <v>257.69</v>
      </c>
      <c r="I479" s="11" t="b">
        <f>AND(Jnl[[#This Row],[TrxId]]&lt;&gt;"",Jnl[[#This Row],[Acct]]&lt;&gt;"",Jnl[[#This Row],[Item]]&lt;&gt;"",ISNUMBER(Jnl[[#This Row],[Bal]]))</f>
        <v>1</v>
      </c>
      <c r="J479" s="9">
        <f>IF(Jnl[[#This Row],[BSLv0]]="A",1,-1)*Jnl[[#This Row],[Bal]]</f>
        <v>257.69</v>
      </c>
      <c r="K479" t="str">
        <f>_xlfn.XLOOKUP(Jnl[[#This Row],[Acct]], config_BS[Acct], config_BS[Lv0],,0)</f>
        <v>A</v>
      </c>
      <c r="L479" t="str">
        <f>_xlfn.XLOOKUP(Jnl[[#This Row],[Acct]], config_BS[Acct], config_BS[Lv1],,0)</f>
        <v>Assets</v>
      </c>
      <c r="M479" t="str">
        <f>_xlfn.XLOOKUP(Jnl[[#This Row],[Acct]], config_BS[Acct], config_BS[Lv2],,0)</f>
        <v>Rec-Pay</v>
      </c>
      <c r="N479" t="str">
        <f>_xlfn.XLOOKUP(Jnl[[#This Row],[TrxId]], Trx[Id], Trx[IncNode], ,0)</f>
        <v>Revenue</v>
      </c>
      <c r="O479" t="str">
        <f>_xlfn.XLOOKUP(Jnl[[#This Row],[IncNode]], config_IS[Node], config_IS[Type],,0)</f>
        <v>Op</v>
      </c>
      <c r="P479" t="str">
        <f>_xlfn.XLOOKUP(Jnl[[#This Row],[BSLv2]], dict[Key], dict[Name],,0)</f>
        <v>1.应收-应付</v>
      </c>
      <c r="Q479" t="str">
        <f>_xlfn.XLOOKUP(Jnl[[#This Row],[Acct]], dict[Key], dict[Name],,0)</f>
        <v>应收-一般</v>
      </c>
      <c r="R479" t="str">
        <f>_xlfn.XLOOKUP(Jnl[[#This Row],[Vehicle]],config_vehicle[Id], config_vehicle[Name],,0)</f>
        <v>远家花园高新分公司</v>
      </c>
      <c r="S479" t="str">
        <f>_xlfn.XLOOKUP(Jnl[[#This Row],[Division]],config_div[Id], config_div[Name],,0)</f>
        <v>水街店</v>
      </c>
      <c r="T479" t="str">
        <f>IF(Jnl[[#This Row],[TrxDate]]&lt;=stmt_BS_date_end, "In", "Out")</f>
        <v>In</v>
      </c>
      <c r="U479" t="str">
        <f>IF(Jnl[[#This Row],[TrxDate]]&lt;debug_date_start, "prior", IF(Jnl[[#This Row],[TrxDate]]&gt;debug_date_end, "post", "curr"))</f>
        <v>curr</v>
      </c>
    </row>
    <row r="480" spans="1:21" hidden="1">
      <c r="A480" s="39" t="s">
        <v>686</v>
      </c>
      <c r="B480" s="6">
        <f>_xlfn.XLOOKUP(Jnl[[#This Row],[TrxId]], Trx[Id], Trx[Date],,0)</f>
        <v>46053</v>
      </c>
      <c r="C480" s="6" t="str">
        <f>_xlfn.XLOOKUP(Jnl[[#This Row],[TrxId]], Trx[Id], Trx[Division],,0)</f>
        <v>Ctrl</v>
      </c>
      <c r="D480" s="6" t="str">
        <f>_xlfn.XLOOKUP(Jnl[[#This Row],[TrxId]], Trx[Id], Trx[Action],,0)</f>
        <v>计提税金</v>
      </c>
      <c r="E480" s="27" t="s">
        <v>108</v>
      </c>
      <c r="F480" s="10" t="s">
        <v>130</v>
      </c>
      <c r="G480" s="10" t="s">
        <v>353</v>
      </c>
      <c r="H480" s="37">
        <v>40.869999999999997</v>
      </c>
      <c r="I480" s="11" t="b">
        <f>AND(Jnl[[#This Row],[TrxId]]&lt;&gt;"",Jnl[[#This Row],[Acct]]&lt;&gt;"",Jnl[[#This Row],[Item]]&lt;&gt;"",ISNUMBER(Jnl[[#This Row],[Bal]]))</f>
        <v>1</v>
      </c>
      <c r="J480" s="9">
        <f>IF(Jnl[[#This Row],[BSLv0]]="A",1,-1)*Jnl[[#This Row],[Bal]]</f>
        <v>-40.869999999999997</v>
      </c>
      <c r="K480" t="str">
        <f>_xlfn.XLOOKUP(Jnl[[#This Row],[Acct]], config_BS[Acct], config_BS[Lv0],,0)</f>
        <v>LC</v>
      </c>
      <c r="L480" t="str">
        <f>_xlfn.XLOOKUP(Jnl[[#This Row],[Acct]], config_BS[Acct], config_BS[Lv1],,0)</f>
        <v>Liability</v>
      </c>
      <c r="M480" t="str">
        <f>_xlfn.XLOOKUP(Jnl[[#This Row],[Acct]], config_BS[Acct], config_BS[Lv2],,0)</f>
        <v>Rec-Pay</v>
      </c>
      <c r="N480" t="str">
        <f>_xlfn.XLOOKUP(Jnl[[#This Row],[TrxId]], Trx[Id], Trx[IncNode], ,0)</f>
        <v>Expense</v>
      </c>
      <c r="O480" t="str">
        <f>_xlfn.XLOOKUP(Jnl[[#This Row],[IncNode]], config_IS[Node], config_IS[Type],,0)</f>
        <v>Op</v>
      </c>
      <c r="P480" t="str">
        <f>_xlfn.XLOOKUP(Jnl[[#This Row],[BSLv2]], dict[Key], dict[Name],,0)</f>
        <v>1.应收-应付</v>
      </c>
      <c r="Q480" t="str">
        <f>_xlfn.XLOOKUP(Jnl[[#This Row],[Acct]], dict[Key], dict[Name],,0)</f>
        <v>应付-税款</v>
      </c>
      <c r="R480" t="str">
        <f>_xlfn.XLOOKUP(Jnl[[#This Row],[Vehicle]],config_vehicle[Id], config_vehicle[Name],,0)</f>
        <v>远家花园高新分公司</v>
      </c>
      <c r="S480" t="str">
        <f>_xlfn.XLOOKUP(Jnl[[#This Row],[Division]],config_div[Id], config_div[Name],,0)</f>
        <v>内控合规</v>
      </c>
      <c r="T480" t="str">
        <f>IF(Jnl[[#This Row],[TrxDate]]&lt;=stmt_BS_date_end, "In", "Out")</f>
        <v>In</v>
      </c>
      <c r="U480" t="str">
        <f>IF(Jnl[[#This Row],[TrxDate]]&lt;debug_date_start, "prior", IF(Jnl[[#This Row],[TrxDate]]&gt;debug_date_end, "post", "curr"))</f>
        <v>curr</v>
      </c>
    </row>
    <row r="481" spans="1:21" hidden="1">
      <c r="A481" s="39" t="s">
        <v>688</v>
      </c>
      <c r="B481" s="6">
        <f>_xlfn.XLOOKUP(Jnl[[#This Row],[TrxId]], Trx[Id], Trx[Date],,0)</f>
        <v>46053</v>
      </c>
      <c r="C481" s="6" t="str">
        <f>_xlfn.XLOOKUP(Jnl[[#This Row],[TrxId]], Trx[Id], Trx[Division],,0)</f>
        <v>GM</v>
      </c>
      <c r="D481" s="6" t="str">
        <f>_xlfn.XLOOKUP(Jnl[[#This Row],[TrxId]], Trx[Id], Trx[Action],,0)</f>
        <v>薪酬-工资</v>
      </c>
      <c r="E481" s="27" t="s">
        <v>108</v>
      </c>
      <c r="F481" s="10" t="s">
        <v>602</v>
      </c>
      <c r="G481" s="10" t="s">
        <v>152</v>
      </c>
      <c r="H481" s="37">
        <v>35490.239999999998</v>
      </c>
      <c r="I481" s="11" t="b">
        <f>AND(Jnl[[#This Row],[TrxId]]&lt;&gt;"",Jnl[[#This Row],[Acct]]&lt;&gt;"",Jnl[[#This Row],[Item]]&lt;&gt;"",ISNUMBER(Jnl[[#This Row],[Bal]]))</f>
        <v>1</v>
      </c>
      <c r="J481" s="9">
        <f>IF(Jnl[[#This Row],[BSLv0]]="A",1,-1)*Jnl[[#This Row],[Bal]]</f>
        <v>-35490.239999999998</v>
      </c>
      <c r="K481" t="str">
        <f>_xlfn.XLOOKUP(Jnl[[#This Row],[Acct]], config_BS[Acct], config_BS[Lv0],,0)</f>
        <v>LC</v>
      </c>
      <c r="L481" t="str">
        <f>_xlfn.XLOOKUP(Jnl[[#This Row],[Acct]], config_BS[Acct], config_BS[Lv1],,0)</f>
        <v>Liability</v>
      </c>
      <c r="M481" t="str">
        <f>_xlfn.XLOOKUP(Jnl[[#This Row],[Acct]], config_BS[Acct], config_BS[Lv2],,0)</f>
        <v>Rec-Pay</v>
      </c>
      <c r="N481" t="str">
        <f>_xlfn.XLOOKUP(Jnl[[#This Row],[TrxId]], Trx[Id], Trx[IncNode], ,0)</f>
        <v>Expense</v>
      </c>
      <c r="O481" t="str">
        <f>_xlfn.XLOOKUP(Jnl[[#This Row],[IncNode]], config_IS[Node], config_IS[Type],,0)</f>
        <v>Op</v>
      </c>
      <c r="P481" t="str">
        <f>_xlfn.XLOOKUP(Jnl[[#This Row],[BSLv2]], dict[Key], dict[Name],,0)</f>
        <v>1.应收-应付</v>
      </c>
      <c r="Q481" t="str">
        <f>_xlfn.XLOOKUP(Jnl[[#This Row],[Acct]], dict[Key], dict[Name],,0)</f>
        <v>应付-薪资</v>
      </c>
      <c r="R481" t="str">
        <f>_xlfn.XLOOKUP(Jnl[[#This Row],[Vehicle]],config_vehicle[Id], config_vehicle[Name],,0)</f>
        <v>远家花园高新分公司</v>
      </c>
      <c r="S481" t="str">
        <f>_xlfn.XLOOKUP(Jnl[[#This Row],[Division]],config_div[Id], config_div[Name],,0)</f>
        <v>综合管理</v>
      </c>
      <c r="T481" t="str">
        <f>IF(Jnl[[#This Row],[TrxDate]]&lt;=stmt_BS_date_end, "In", "Out")</f>
        <v>In</v>
      </c>
      <c r="U481" t="str">
        <f>IF(Jnl[[#This Row],[TrxDate]]&lt;debug_date_start, "prior", IF(Jnl[[#This Row],[TrxDate]]&gt;debug_date_end, "post", "curr"))</f>
        <v>curr</v>
      </c>
    </row>
    <row r="482" spans="1:21" hidden="1">
      <c r="A482" s="39" t="s">
        <v>689</v>
      </c>
      <c r="B482" s="6">
        <f>_xlfn.XLOOKUP(Jnl[[#This Row],[TrxId]], Trx[Id], Trx[Date],,0)</f>
        <v>46053</v>
      </c>
      <c r="C482" s="6" t="str">
        <f>_xlfn.XLOOKUP(Jnl[[#This Row],[TrxId]], Trx[Id], Trx[Division],,0)</f>
        <v>GM</v>
      </c>
      <c r="D482" s="6" t="str">
        <f>_xlfn.XLOOKUP(Jnl[[#This Row],[TrxId]], Trx[Id], Trx[Action],,0)</f>
        <v>年终奖</v>
      </c>
      <c r="E482" s="27" t="s">
        <v>108</v>
      </c>
      <c r="F482" s="10" t="s">
        <v>602</v>
      </c>
      <c r="G482" s="10" t="s">
        <v>323</v>
      </c>
      <c r="H482" s="37">
        <f>140916.66-90000</f>
        <v>50916.66</v>
      </c>
      <c r="I482" s="11" t="b">
        <f>AND(Jnl[[#This Row],[TrxId]]&lt;&gt;"",Jnl[[#This Row],[Acct]]&lt;&gt;"",Jnl[[#This Row],[Item]]&lt;&gt;"",ISNUMBER(Jnl[[#This Row],[Bal]]))</f>
        <v>1</v>
      </c>
      <c r="J482" s="9">
        <f>IF(Jnl[[#This Row],[BSLv0]]="A",1,-1)*Jnl[[#This Row],[Bal]]</f>
        <v>-50916.66</v>
      </c>
      <c r="K482" t="str">
        <f>_xlfn.XLOOKUP(Jnl[[#This Row],[Acct]], config_BS[Acct], config_BS[Lv0],,0)</f>
        <v>LC</v>
      </c>
      <c r="L482" t="str">
        <f>_xlfn.XLOOKUP(Jnl[[#This Row],[Acct]], config_BS[Acct], config_BS[Lv1],,0)</f>
        <v>Liability</v>
      </c>
      <c r="M482" t="str">
        <f>_xlfn.XLOOKUP(Jnl[[#This Row],[Acct]], config_BS[Acct], config_BS[Lv2],,0)</f>
        <v>Rec-Pay</v>
      </c>
      <c r="N482" t="str">
        <f>_xlfn.XLOOKUP(Jnl[[#This Row],[TrxId]], Trx[Id], Trx[IncNode], ,0)</f>
        <v>Discretion</v>
      </c>
      <c r="O482" t="str">
        <f>_xlfn.XLOOKUP(Jnl[[#This Row],[IncNode]], config_IS[Node], config_IS[Type],,0)</f>
        <v>Non-Op</v>
      </c>
      <c r="P482" t="str">
        <f>_xlfn.XLOOKUP(Jnl[[#This Row],[BSLv2]], dict[Key], dict[Name],,0)</f>
        <v>1.应收-应付</v>
      </c>
      <c r="Q482" t="str">
        <f>_xlfn.XLOOKUP(Jnl[[#This Row],[Acct]], dict[Key], dict[Name],,0)</f>
        <v>应付-薪资</v>
      </c>
      <c r="R482" t="str">
        <f>_xlfn.XLOOKUP(Jnl[[#This Row],[Vehicle]],config_vehicle[Id], config_vehicle[Name],,0)</f>
        <v>远家花园高新分公司</v>
      </c>
      <c r="S482" t="str">
        <f>_xlfn.XLOOKUP(Jnl[[#This Row],[Division]],config_div[Id], config_div[Name],,0)</f>
        <v>综合管理</v>
      </c>
      <c r="T482" t="str">
        <f>IF(Jnl[[#This Row],[TrxDate]]&lt;=stmt_BS_date_end, "In", "Out")</f>
        <v>In</v>
      </c>
      <c r="U482" t="str">
        <f>IF(Jnl[[#This Row],[TrxDate]]&lt;debug_date_start, "prior", IF(Jnl[[#This Row],[TrxDate]]&gt;debug_date_end, "post", "curr"))</f>
        <v>curr</v>
      </c>
    </row>
    <row r="483" spans="1:21" hidden="1">
      <c r="A483" s="39" t="s">
        <v>697</v>
      </c>
      <c r="B483" s="6">
        <f>_xlfn.XLOOKUP(Jnl[[#This Row],[TrxId]], Trx[Id], Trx[Date],,0)</f>
        <v>46053</v>
      </c>
      <c r="C483" s="6" t="str">
        <f>_xlfn.XLOOKUP(Jnl[[#This Row],[TrxId]], Trx[Id], Trx[Division],,0)</f>
        <v>Online</v>
      </c>
      <c r="D483" s="6" t="str">
        <f>_xlfn.XLOOKUP(Jnl[[#This Row],[TrxId]], Trx[Id], Trx[Action],,0)</f>
        <v>设计</v>
      </c>
      <c r="E483" s="27" t="s">
        <v>82</v>
      </c>
      <c r="F483" s="10" t="s">
        <v>596</v>
      </c>
      <c r="G483" s="10" t="s">
        <v>396</v>
      </c>
      <c r="H483" s="37">
        <v>-1060</v>
      </c>
      <c r="I483" s="11" t="b">
        <f>AND(Jnl[[#This Row],[TrxId]]&lt;&gt;"",Jnl[[#This Row],[Acct]]&lt;&gt;"",Jnl[[#This Row],[Item]]&lt;&gt;"",ISNUMBER(Jnl[[#This Row],[Bal]]))</f>
        <v>1</v>
      </c>
      <c r="J483" s="9">
        <f>IF(Jnl[[#This Row],[BSLv0]]="A",1,-1)*Jnl[[#This Row],[Bal]]</f>
        <v>-1060</v>
      </c>
      <c r="K483" t="str">
        <f>_xlfn.XLOOKUP(Jnl[[#This Row],[Acct]], config_BS[Acct], config_BS[Lv0],,0)</f>
        <v>A</v>
      </c>
      <c r="L483" t="str">
        <f>_xlfn.XLOOKUP(Jnl[[#This Row],[Acct]], config_BS[Acct], config_BS[Lv1],,0)</f>
        <v>Assets</v>
      </c>
      <c r="M483" t="str">
        <f>_xlfn.XLOOKUP(Jnl[[#This Row],[Acct]], config_BS[Acct], config_BS[Lv2],,0)</f>
        <v>Cash alike</v>
      </c>
      <c r="N483" t="str">
        <f>_xlfn.XLOOKUP(Jnl[[#This Row],[TrxId]], Trx[Id], Trx[IncNode], ,0)</f>
        <v>Expense</v>
      </c>
      <c r="O483" t="str">
        <f>_xlfn.XLOOKUP(Jnl[[#This Row],[IncNode]], config_IS[Node], config_IS[Type],,0)</f>
        <v>Op</v>
      </c>
      <c r="P483" t="str">
        <f>_xlfn.XLOOKUP(Jnl[[#This Row],[BSLv2]], dict[Key], dict[Name],,0)</f>
        <v>0.现金及类似</v>
      </c>
      <c r="Q483" t="str">
        <f>_xlfn.XLOOKUP(Jnl[[#This Row],[Acct]], dict[Key], dict[Name],,0)</f>
        <v>银行</v>
      </c>
      <c r="R483" t="str">
        <f>_xlfn.XLOOKUP(Jnl[[#This Row],[Vehicle]],config_vehicle[Id], config_vehicle[Name],,0)</f>
        <v>远家花园</v>
      </c>
      <c r="S483" t="str">
        <f>_xlfn.XLOOKUP(Jnl[[#This Row],[Division]],config_div[Id], config_div[Name],,0)</f>
        <v>网店</v>
      </c>
      <c r="T483" t="str">
        <f>IF(Jnl[[#This Row],[TrxDate]]&lt;=stmt_BS_date_end, "In", "Out")</f>
        <v>In</v>
      </c>
      <c r="U483" t="str">
        <f>IF(Jnl[[#This Row],[TrxDate]]&lt;debug_date_start, "prior", IF(Jnl[[#This Row],[TrxDate]]&gt;debug_date_end, "post", "curr"))</f>
        <v>curr</v>
      </c>
    </row>
    <row r="484" spans="1:21" hidden="1">
      <c r="A484" s="39" t="s">
        <v>698</v>
      </c>
      <c r="B484" s="6">
        <f>_xlfn.XLOOKUP(Jnl[[#This Row],[TrxId]], Trx[Id], Trx[Date],,0)</f>
        <v>46053</v>
      </c>
      <c r="C484" s="6" t="str">
        <f>_xlfn.XLOOKUP(Jnl[[#This Row],[TrxId]], Trx[Id], Trx[Division],,0)</f>
        <v>Online</v>
      </c>
      <c r="D484" s="6" t="str">
        <f>_xlfn.XLOOKUP(Jnl[[#This Row],[TrxId]], Trx[Id], Trx[Action],,0)</f>
        <v>设计</v>
      </c>
      <c r="E484" s="27" t="s">
        <v>82</v>
      </c>
      <c r="F484" s="10" t="s">
        <v>596</v>
      </c>
      <c r="G484" s="10" t="s">
        <v>396</v>
      </c>
      <c r="H484" s="37">
        <v>-342</v>
      </c>
      <c r="I484" s="11" t="b">
        <f>AND(Jnl[[#This Row],[TrxId]]&lt;&gt;"",Jnl[[#This Row],[Acct]]&lt;&gt;"",Jnl[[#This Row],[Item]]&lt;&gt;"",ISNUMBER(Jnl[[#This Row],[Bal]]))</f>
        <v>1</v>
      </c>
      <c r="J484" s="9">
        <f>IF(Jnl[[#This Row],[BSLv0]]="A",1,-1)*Jnl[[#This Row],[Bal]]</f>
        <v>-342</v>
      </c>
      <c r="K484" t="str">
        <f>_xlfn.XLOOKUP(Jnl[[#This Row],[Acct]], config_BS[Acct], config_BS[Lv0],,0)</f>
        <v>A</v>
      </c>
      <c r="L484" t="str">
        <f>_xlfn.XLOOKUP(Jnl[[#This Row],[Acct]], config_BS[Acct], config_BS[Lv1],,0)</f>
        <v>Assets</v>
      </c>
      <c r="M484" t="str">
        <f>_xlfn.XLOOKUP(Jnl[[#This Row],[Acct]], config_BS[Acct], config_BS[Lv2],,0)</f>
        <v>Cash alike</v>
      </c>
      <c r="N484" t="str">
        <f>_xlfn.XLOOKUP(Jnl[[#This Row],[TrxId]], Trx[Id], Trx[IncNode], ,0)</f>
        <v>Expense</v>
      </c>
      <c r="O484" t="str">
        <f>_xlfn.XLOOKUP(Jnl[[#This Row],[IncNode]], config_IS[Node], config_IS[Type],,0)</f>
        <v>Op</v>
      </c>
      <c r="P484" t="str">
        <f>_xlfn.XLOOKUP(Jnl[[#This Row],[BSLv2]], dict[Key], dict[Name],,0)</f>
        <v>0.现金及类似</v>
      </c>
      <c r="Q484" t="str">
        <f>_xlfn.XLOOKUP(Jnl[[#This Row],[Acct]], dict[Key], dict[Name],,0)</f>
        <v>银行</v>
      </c>
      <c r="R484" t="str">
        <f>_xlfn.XLOOKUP(Jnl[[#This Row],[Vehicle]],config_vehicle[Id], config_vehicle[Name],,0)</f>
        <v>远家花园</v>
      </c>
      <c r="S484" t="str">
        <f>_xlfn.XLOOKUP(Jnl[[#This Row],[Division]],config_div[Id], config_div[Name],,0)</f>
        <v>网店</v>
      </c>
      <c r="T484" t="str">
        <f>IF(Jnl[[#This Row],[TrxDate]]&lt;=stmt_BS_date_end, "In", "Out")</f>
        <v>In</v>
      </c>
      <c r="U484" t="str">
        <f>IF(Jnl[[#This Row],[TrxDate]]&lt;debug_date_start, "prior", IF(Jnl[[#This Row],[TrxDate]]&gt;debug_date_end, "post", "curr"))</f>
        <v>curr</v>
      </c>
    </row>
    <row r="485" spans="1:21" hidden="1">
      <c r="A485" s="39" t="s">
        <v>699</v>
      </c>
      <c r="B485" s="6">
        <f>_xlfn.XLOOKUP(Jnl[[#This Row],[TrxId]], Trx[Id], Trx[Date],,0)</f>
        <v>46053</v>
      </c>
      <c r="C485" s="6" t="str">
        <f>_xlfn.XLOOKUP(Jnl[[#This Row],[TrxId]], Trx[Id], Trx[Division],,0)</f>
        <v>Online</v>
      </c>
      <c r="D485" s="6" t="str">
        <f>_xlfn.XLOOKUP(Jnl[[#This Row],[TrxId]], Trx[Id], Trx[Action],,0)</f>
        <v>采购</v>
      </c>
      <c r="E485" s="27" t="s">
        <v>82</v>
      </c>
      <c r="F485" s="10" t="s">
        <v>596</v>
      </c>
      <c r="G485" s="10" t="s">
        <v>396</v>
      </c>
      <c r="H485" s="37">
        <v>-2079</v>
      </c>
      <c r="I485" s="11" t="b">
        <f>AND(Jnl[[#This Row],[TrxId]]&lt;&gt;"",Jnl[[#This Row],[Acct]]&lt;&gt;"",Jnl[[#This Row],[Item]]&lt;&gt;"",ISNUMBER(Jnl[[#This Row],[Bal]]))</f>
        <v>1</v>
      </c>
      <c r="J485" s="9">
        <f>IF(Jnl[[#This Row],[BSLv0]]="A",1,-1)*Jnl[[#This Row],[Bal]]</f>
        <v>-2079</v>
      </c>
      <c r="K485" t="str">
        <f>_xlfn.XLOOKUP(Jnl[[#This Row],[Acct]], config_BS[Acct], config_BS[Lv0],,0)</f>
        <v>A</v>
      </c>
      <c r="L485" t="str">
        <f>_xlfn.XLOOKUP(Jnl[[#This Row],[Acct]], config_BS[Acct], config_BS[Lv1],,0)</f>
        <v>Assets</v>
      </c>
      <c r="M485" t="str">
        <f>_xlfn.XLOOKUP(Jnl[[#This Row],[Acct]], config_BS[Acct], config_BS[Lv2],,0)</f>
        <v>Cash alike</v>
      </c>
      <c r="N485" t="str">
        <f>_xlfn.XLOOKUP(Jnl[[#This Row],[TrxId]], Trx[Id], Trx[IncNode], ,0)</f>
        <v>Cost</v>
      </c>
      <c r="O485" t="str">
        <f>_xlfn.XLOOKUP(Jnl[[#This Row],[IncNode]], config_IS[Node], config_IS[Type],,0)</f>
        <v>Op</v>
      </c>
      <c r="P485" t="str">
        <f>_xlfn.XLOOKUP(Jnl[[#This Row],[BSLv2]], dict[Key], dict[Name],,0)</f>
        <v>0.现金及类似</v>
      </c>
      <c r="Q485" t="str">
        <f>_xlfn.XLOOKUP(Jnl[[#This Row],[Acct]], dict[Key], dict[Name],,0)</f>
        <v>银行</v>
      </c>
      <c r="R485" t="str">
        <f>_xlfn.XLOOKUP(Jnl[[#This Row],[Vehicle]],config_vehicle[Id], config_vehicle[Name],,0)</f>
        <v>远家花园</v>
      </c>
      <c r="S485" t="str">
        <f>_xlfn.XLOOKUP(Jnl[[#This Row],[Division]],config_div[Id], config_div[Name],,0)</f>
        <v>网店</v>
      </c>
      <c r="T485" t="str">
        <f>IF(Jnl[[#This Row],[TrxDate]]&lt;=stmt_BS_date_end, "In", "Out")</f>
        <v>In</v>
      </c>
      <c r="U485" t="str">
        <f>IF(Jnl[[#This Row],[TrxDate]]&lt;debug_date_start, "prior", IF(Jnl[[#This Row],[TrxDate]]&gt;debug_date_end, "post", "curr"))</f>
        <v>curr</v>
      </c>
    </row>
    <row r="486" spans="1:21" hidden="1">
      <c r="A486" s="39" t="s">
        <v>699</v>
      </c>
      <c r="B486" s="6">
        <f>_xlfn.XLOOKUP(Jnl[[#This Row],[TrxId]], Trx[Id], Trx[Date],,0)</f>
        <v>46053</v>
      </c>
      <c r="C486" s="6" t="str">
        <f>_xlfn.XLOOKUP(Jnl[[#This Row],[TrxId]], Trx[Id], Trx[Division],,0)</f>
        <v>Online</v>
      </c>
      <c r="D486" s="6" t="str">
        <f>_xlfn.XLOOKUP(Jnl[[#This Row],[TrxId]], Trx[Id], Trx[Action],,0)</f>
        <v>采购</v>
      </c>
      <c r="E486" s="27" t="s">
        <v>82</v>
      </c>
      <c r="F486" s="10" t="s">
        <v>604</v>
      </c>
      <c r="G486" s="10" t="s">
        <v>154</v>
      </c>
      <c r="H486" s="37">
        <v>2079</v>
      </c>
      <c r="I486" s="11" t="b">
        <f>AND(Jnl[[#This Row],[TrxId]]&lt;&gt;"",Jnl[[#This Row],[Acct]]&lt;&gt;"",Jnl[[#This Row],[Item]]&lt;&gt;"",ISNUMBER(Jnl[[#This Row],[Bal]]))</f>
        <v>1</v>
      </c>
      <c r="J486" s="9">
        <f>IF(Jnl[[#This Row],[BSLv0]]="A",1,-1)*Jnl[[#This Row],[Bal]]</f>
        <v>2079</v>
      </c>
      <c r="K486" t="str">
        <f>_xlfn.XLOOKUP(Jnl[[#This Row],[Acct]], config_BS[Acct], config_BS[Lv0],,0)</f>
        <v>A</v>
      </c>
      <c r="L486" t="str">
        <f>_xlfn.XLOOKUP(Jnl[[#This Row],[Acct]], config_BS[Acct], config_BS[Lv1],,0)</f>
        <v>Assets</v>
      </c>
      <c r="M486" t="str">
        <f>_xlfn.XLOOKUP(Jnl[[#This Row],[Acct]], config_BS[Acct], config_BS[Lv2],,0)</f>
        <v>Invtr</v>
      </c>
      <c r="N486" t="str">
        <f>_xlfn.XLOOKUP(Jnl[[#This Row],[TrxId]], Trx[Id], Trx[IncNode], ,0)</f>
        <v>Cost</v>
      </c>
      <c r="O486" t="str">
        <f>_xlfn.XLOOKUP(Jnl[[#This Row],[IncNode]], config_IS[Node], config_IS[Type],,0)</f>
        <v>Op</v>
      </c>
      <c r="P486" t="str">
        <f>_xlfn.XLOOKUP(Jnl[[#This Row],[BSLv2]], dict[Key], dict[Name],,0)</f>
        <v>3.库存占款</v>
      </c>
      <c r="Q486" t="str">
        <f>_xlfn.XLOOKUP(Jnl[[#This Row],[Acct]], dict[Key], dict[Name],,0)</f>
        <v>当期存货</v>
      </c>
      <c r="R486" t="str">
        <f>_xlfn.XLOOKUP(Jnl[[#This Row],[Vehicle]],config_vehicle[Id], config_vehicle[Name],,0)</f>
        <v>远家花园</v>
      </c>
      <c r="S486" t="str">
        <f>_xlfn.XLOOKUP(Jnl[[#This Row],[Division]],config_div[Id], config_div[Name],,0)</f>
        <v>网店</v>
      </c>
      <c r="T486" t="str">
        <f>IF(Jnl[[#This Row],[TrxDate]]&lt;=stmt_BS_date_end, "In", "Out")</f>
        <v>In</v>
      </c>
      <c r="U486" t="str">
        <f>IF(Jnl[[#This Row],[TrxDate]]&lt;debug_date_start, "prior", IF(Jnl[[#This Row],[TrxDate]]&gt;debug_date_end, "post", "curr"))</f>
        <v>curr</v>
      </c>
    </row>
    <row r="487" spans="1:21" hidden="1">
      <c r="A487" s="39" t="s">
        <v>700</v>
      </c>
      <c r="B487" s="6">
        <f>_xlfn.XLOOKUP(Jnl[[#This Row],[TrxId]], Trx[Id], Trx[Date],,0)</f>
        <v>46053</v>
      </c>
      <c r="C487" s="6" t="str">
        <f>_xlfn.XLOOKUP(Jnl[[#This Row],[TrxId]], Trx[Id], Trx[Division],,0)</f>
        <v>Online</v>
      </c>
      <c r="D487" s="6" t="str">
        <f>_xlfn.XLOOKUP(Jnl[[#This Row],[TrxId]], Trx[Id], Trx[Action],,0)</f>
        <v>支付</v>
      </c>
      <c r="E487" s="27" t="s">
        <v>82</v>
      </c>
      <c r="F487" s="10" t="s">
        <v>498</v>
      </c>
      <c r="G487" s="10" t="s">
        <v>144</v>
      </c>
      <c r="H487" s="37">
        <v>2700</v>
      </c>
      <c r="I487" s="11" t="b">
        <f>AND(Jnl[[#This Row],[TrxId]]&lt;&gt;"",Jnl[[#This Row],[Acct]]&lt;&gt;"",Jnl[[#This Row],[Item]]&lt;&gt;"",ISNUMBER(Jnl[[#This Row],[Bal]]))</f>
        <v>1</v>
      </c>
      <c r="J487" s="9">
        <f>IF(Jnl[[#This Row],[BSLv0]]="A",1,-1)*Jnl[[#This Row],[Bal]]</f>
        <v>2700</v>
      </c>
      <c r="K487" t="str">
        <f>_xlfn.XLOOKUP(Jnl[[#This Row],[Acct]], config_BS[Acct], config_BS[Lv0],,0)</f>
        <v>A</v>
      </c>
      <c r="L487" t="str">
        <f>_xlfn.XLOOKUP(Jnl[[#This Row],[Acct]], config_BS[Acct], config_BS[Lv1],,0)</f>
        <v>Assets</v>
      </c>
      <c r="M487" t="str">
        <f>_xlfn.XLOOKUP(Jnl[[#This Row],[Acct]], config_BS[Acct], config_BS[Lv2],,0)</f>
        <v>Prep-Sub</v>
      </c>
      <c r="N487" t="str">
        <f>_xlfn.XLOOKUP(Jnl[[#This Row],[TrxId]], Trx[Id], Trx[IncNode], ,0)</f>
        <v>Expense</v>
      </c>
      <c r="O487" t="str">
        <f>_xlfn.XLOOKUP(Jnl[[#This Row],[IncNode]], config_IS[Node], config_IS[Type],,0)</f>
        <v>Op</v>
      </c>
      <c r="P487" t="str">
        <f>_xlfn.XLOOKUP(Jnl[[#This Row],[BSLv2]], dict[Key], dict[Name],,0)</f>
        <v>2.预付-订阅</v>
      </c>
      <c r="Q487" t="str">
        <f>_xlfn.XLOOKUP(Jnl[[#This Row],[Acct]], dict[Key], dict[Name],,0)</f>
        <v>预付订单</v>
      </c>
      <c r="R487" t="str">
        <f>_xlfn.XLOOKUP(Jnl[[#This Row],[Vehicle]],config_vehicle[Id], config_vehicle[Name],,0)</f>
        <v>远家花园</v>
      </c>
      <c r="S487" t="str">
        <f>_xlfn.XLOOKUP(Jnl[[#This Row],[Division]],config_div[Id], config_div[Name],,0)</f>
        <v>网店</v>
      </c>
      <c r="T487" t="str">
        <f>IF(Jnl[[#This Row],[TrxDate]]&lt;=stmt_BS_date_end, "In", "Out")</f>
        <v>In</v>
      </c>
      <c r="U487" t="str">
        <f>IF(Jnl[[#This Row],[TrxDate]]&lt;debug_date_start, "prior", IF(Jnl[[#This Row],[TrxDate]]&gt;debug_date_end, "post", "curr"))</f>
        <v>curr</v>
      </c>
    </row>
    <row r="488" spans="1:21" hidden="1">
      <c r="A488" s="39" t="s">
        <v>700</v>
      </c>
      <c r="B488" s="6">
        <f>_xlfn.XLOOKUP(Jnl[[#This Row],[TrxId]], Trx[Id], Trx[Date],,0)</f>
        <v>46053</v>
      </c>
      <c r="C488" s="6" t="str">
        <f>_xlfn.XLOOKUP(Jnl[[#This Row],[TrxId]], Trx[Id], Trx[Division],,0)</f>
        <v>Online</v>
      </c>
      <c r="D488" s="6" t="str">
        <f>_xlfn.XLOOKUP(Jnl[[#This Row],[TrxId]], Trx[Id], Trx[Action],,0)</f>
        <v>支付</v>
      </c>
      <c r="E488" s="27" t="s">
        <v>82</v>
      </c>
      <c r="F488" s="10" t="s">
        <v>596</v>
      </c>
      <c r="G488" s="10" t="s">
        <v>396</v>
      </c>
      <c r="H488" s="37">
        <v>-2700</v>
      </c>
      <c r="I488" s="11" t="b">
        <f>AND(Jnl[[#This Row],[TrxId]]&lt;&gt;"",Jnl[[#This Row],[Acct]]&lt;&gt;"",Jnl[[#This Row],[Item]]&lt;&gt;"",ISNUMBER(Jnl[[#This Row],[Bal]]))</f>
        <v>1</v>
      </c>
      <c r="J488" s="9">
        <f>IF(Jnl[[#This Row],[BSLv0]]="A",1,-1)*Jnl[[#This Row],[Bal]]</f>
        <v>-2700</v>
      </c>
      <c r="K488" t="str">
        <f>_xlfn.XLOOKUP(Jnl[[#This Row],[Acct]], config_BS[Acct], config_BS[Lv0],,0)</f>
        <v>A</v>
      </c>
      <c r="L488" t="str">
        <f>_xlfn.XLOOKUP(Jnl[[#This Row],[Acct]], config_BS[Acct], config_BS[Lv1],,0)</f>
        <v>Assets</v>
      </c>
      <c r="M488" t="str">
        <f>_xlfn.XLOOKUP(Jnl[[#This Row],[Acct]], config_BS[Acct], config_BS[Lv2],,0)</f>
        <v>Cash alike</v>
      </c>
      <c r="N488" t="str">
        <f>_xlfn.XLOOKUP(Jnl[[#This Row],[TrxId]], Trx[Id], Trx[IncNode], ,0)</f>
        <v>Expense</v>
      </c>
      <c r="O488" t="str">
        <f>_xlfn.XLOOKUP(Jnl[[#This Row],[IncNode]], config_IS[Node], config_IS[Type],,0)</f>
        <v>Op</v>
      </c>
      <c r="P488" t="str">
        <f>_xlfn.XLOOKUP(Jnl[[#This Row],[BSLv2]], dict[Key], dict[Name],,0)</f>
        <v>0.现金及类似</v>
      </c>
      <c r="Q488" t="str">
        <f>_xlfn.XLOOKUP(Jnl[[#This Row],[Acct]], dict[Key], dict[Name],,0)</f>
        <v>银行</v>
      </c>
      <c r="R488" t="str">
        <f>_xlfn.XLOOKUP(Jnl[[#This Row],[Vehicle]],config_vehicle[Id], config_vehicle[Name],,0)</f>
        <v>远家花园</v>
      </c>
      <c r="S488" t="str">
        <f>_xlfn.XLOOKUP(Jnl[[#This Row],[Division]],config_div[Id], config_div[Name],,0)</f>
        <v>网店</v>
      </c>
      <c r="T488" t="str">
        <f>IF(Jnl[[#This Row],[TrxDate]]&lt;=stmt_BS_date_end, "In", "Out")</f>
        <v>In</v>
      </c>
      <c r="U488" t="str">
        <f>IF(Jnl[[#This Row],[TrxDate]]&lt;debug_date_start, "prior", IF(Jnl[[#This Row],[TrxDate]]&gt;debug_date_end, "post", "curr"))</f>
        <v>curr</v>
      </c>
    </row>
    <row r="489" spans="1:21" hidden="1">
      <c r="A489" s="39" t="s">
        <v>702</v>
      </c>
      <c r="B489" s="6">
        <f>_xlfn.XLOOKUP(Jnl[[#This Row],[TrxId]], Trx[Id], Trx[Date],,0)</f>
        <v>46053</v>
      </c>
      <c r="C489" s="6" t="str">
        <f>_xlfn.XLOOKUP(Jnl[[#This Row],[TrxId]], Trx[Id], Trx[Division],,0)</f>
        <v>Online</v>
      </c>
      <c r="D489" s="6" t="str">
        <f>_xlfn.XLOOKUP(Jnl[[#This Row],[TrxId]], Trx[Id], Trx[Action],,0)</f>
        <v>采购</v>
      </c>
      <c r="E489" s="27" t="s">
        <v>82</v>
      </c>
      <c r="F489" s="10" t="s">
        <v>596</v>
      </c>
      <c r="G489" s="10" t="s">
        <v>396</v>
      </c>
      <c r="H489" s="37">
        <v>-6546</v>
      </c>
      <c r="I489" s="11" t="b">
        <f>AND(Jnl[[#This Row],[TrxId]]&lt;&gt;"",Jnl[[#This Row],[Acct]]&lt;&gt;"",Jnl[[#This Row],[Item]]&lt;&gt;"",ISNUMBER(Jnl[[#This Row],[Bal]]))</f>
        <v>1</v>
      </c>
      <c r="J489" s="9">
        <f>IF(Jnl[[#This Row],[BSLv0]]="A",1,-1)*Jnl[[#This Row],[Bal]]</f>
        <v>-6546</v>
      </c>
      <c r="K489" t="str">
        <f>_xlfn.XLOOKUP(Jnl[[#This Row],[Acct]], config_BS[Acct], config_BS[Lv0],,0)</f>
        <v>A</v>
      </c>
      <c r="L489" t="str">
        <f>_xlfn.XLOOKUP(Jnl[[#This Row],[Acct]], config_BS[Acct], config_BS[Lv1],,0)</f>
        <v>Assets</v>
      </c>
      <c r="M489" t="str">
        <f>_xlfn.XLOOKUP(Jnl[[#This Row],[Acct]], config_BS[Acct], config_BS[Lv2],,0)</f>
        <v>Cash alike</v>
      </c>
      <c r="N489" t="str">
        <f>_xlfn.XLOOKUP(Jnl[[#This Row],[TrxId]], Trx[Id], Trx[IncNode], ,0)</f>
        <v>Cost</v>
      </c>
      <c r="O489" t="str">
        <f>_xlfn.XLOOKUP(Jnl[[#This Row],[IncNode]], config_IS[Node], config_IS[Type],,0)</f>
        <v>Op</v>
      </c>
      <c r="P489" t="str">
        <f>_xlfn.XLOOKUP(Jnl[[#This Row],[BSLv2]], dict[Key], dict[Name],,0)</f>
        <v>0.现金及类似</v>
      </c>
      <c r="Q489" t="str">
        <f>_xlfn.XLOOKUP(Jnl[[#This Row],[Acct]], dict[Key], dict[Name],,0)</f>
        <v>银行</v>
      </c>
      <c r="R489" t="str">
        <f>_xlfn.XLOOKUP(Jnl[[#This Row],[Vehicle]],config_vehicle[Id], config_vehicle[Name],,0)</f>
        <v>远家花园</v>
      </c>
      <c r="S489" t="str">
        <f>_xlfn.XLOOKUP(Jnl[[#This Row],[Division]],config_div[Id], config_div[Name],,0)</f>
        <v>网店</v>
      </c>
      <c r="T489" t="str">
        <f>IF(Jnl[[#This Row],[TrxDate]]&lt;=stmt_BS_date_end, "In", "Out")</f>
        <v>In</v>
      </c>
      <c r="U489" t="str">
        <f>IF(Jnl[[#This Row],[TrxDate]]&lt;debug_date_start, "prior", IF(Jnl[[#This Row],[TrxDate]]&gt;debug_date_end, "post", "curr"))</f>
        <v>curr</v>
      </c>
    </row>
    <row r="490" spans="1:21" hidden="1">
      <c r="A490" s="39" t="s">
        <v>702</v>
      </c>
      <c r="B490" s="6">
        <f>_xlfn.XLOOKUP(Jnl[[#This Row],[TrxId]], Trx[Id], Trx[Date],,0)</f>
        <v>46053</v>
      </c>
      <c r="C490" s="6" t="str">
        <f>_xlfn.XLOOKUP(Jnl[[#This Row],[TrxId]], Trx[Id], Trx[Division],,0)</f>
        <v>Online</v>
      </c>
      <c r="D490" s="6" t="str">
        <f>_xlfn.XLOOKUP(Jnl[[#This Row],[TrxId]], Trx[Id], Trx[Action],,0)</f>
        <v>采购</v>
      </c>
      <c r="E490" s="27" t="s">
        <v>82</v>
      </c>
      <c r="F490" s="10" t="s">
        <v>604</v>
      </c>
      <c r="G490" s="10" t="s">
        <v>154</v>
      </c>
      <c r="H490" s="37">
        <v>6546</v>
      </c>
      <c r="I490" s="11" t="b">
        <f>AND(Jnl[[#This Row],[TrxId]]&lt;&gt;"",Jnl[[#This Row],[Acct]]&lt;&gt;"",Jnl[[#This Row],[Item]]&lt;&gt;"",ISNUMBER(Jnl[[#This Row],[Bal]]))</f>
        <v>1</v>
      </c>
      <c r="J490" s="9">
        <f>IF(Jnl[[#This Row],[BSLv0]]="A",1,-1)*Jnl[[#This Row],[Bal]]</f>
        <v>6546</v>
      </c>
      <c r="K490" t="str">
        <f>_xlfn.XLOOKUP(Jnl[[#This Row],[Acct]], config_BS[Acct], config_BS[Lv0],,0)</f>
        <v>A</v>
      </c>
      <c r="L490" t="str">
        <f>_xlfn.XLOOKUP(Jnl[[#This Row],[Acct]], config_BS[Acct], config_BS[Lv1],,0)</f>
        <v>Assets</v>
      </c>
      <c r="M490" t="str">
        <f>_xlfn.XLOOKUP(Jnl[[#This Row],[Acct]], config_BS[Acct], config_BS[Lv2],,0)</f>
        <v>Invtr</v>
      </c>
      <c r="N490" t="str">
        <f>_xlfn.XLOOKUP(Jnl[[#This Row],[TrxId]], Trx[Id], Trx[IncNode], ,0)</f>
        <v>Cost</v>
      </c>
      <c r="O490" t="str">
        <f>_xlfn.XLOOKUP(Jnl[[#This Row],[IncNode]], config_IS[Node], config_IS[Type],,0)</f>
        <v>Op</v>
      </c>
      <c r="P490" t="str">
        <f>_xlfn.XLOOKUP(Jnl[[#This Row],[BSLv2]], dict[Key], dict[Name],,0)</f>
        <v>3.库存占款</v>
      </c>
      <c r="Q490" t="str">
        <f>_xlfn.XLOOKUP(Jnl[[#This Row],[Acct]], dict[Key], dict[Name],,0)</f>
        <v>当期存货</v>
      </c>
      <c r="R490" t="str">
        <f>_xlfn.XLOOKUP(Jnl[[#This Row],[Vehicle]],config_vehicle[Id], config_vehicle[Name],,0)</f>
        <v>远家花园</v>
      </c>
      <c r="S490" t="str">
        <f>_xlfn.XLOOKUP(Jnl[[#This Row],[Division]],config_div[Id], config_div[Name],,0)</f>
        <v>网店</v>
      </c>
      <c r="T490" t="str">
        <f>IF(Jnl[[#This Row],[TrxDate]]&lt;=stmt_BS_date_end, "In", "Out")</f>
        <v>In</v>
      </c>
      <c r="U490" t="str">
        <f>IF(Jnl[[#This Row],[TrxDate]]&lt;debug_date_start, "prior", IF(Jnl[[#This Row],[TrxDate]]&gt;debug_date_end, "post", "curr"))</f>
        <v>curr</v>
      </c>
    </row>
    <row r="491" spans="1:21" hidden="1">
      <c r="A491" s="39" t="s">
        <v>703</v>
      </c>
      <c r="B491" s="6">
        <f>_xlfn.XLOOKUP(Jnl[[#This Row],[TrxId]], Trx[Id], Trx[Date],,0)</f>
        <v>46053</v>
      </c>
      <c r="C491" s="6" t="str">
        <f>_xlfn.XLOOKUP(Jnl[[#This Row],[TrxId]], Trx[Id], Trx[Division],,0)</f>
        <v>Online</v>
      </c>
      <c r="D491" s="6" t="str">
        <f>_xlfn.XLOOKUP(Jnl[[#This Row],[TrxId]], Trx[Id], Trx[Action],,0)</f>
        <v>设计</v>
      </c>
      <c r="E491" s="27" t="s">
        <v>82</v>
      </c>
      <c r="F491" s="10" t="s">
        <v>596</v>
      </c>
      <c r="G491" s="10" t="s">
        <v>396</v>
      </c>
      <c r="H491" s="37">
        <v>-160</v>
      </c>
      <c r="I491" s="11" t="b">
        <f>AND(Jnl[[#This Row],[TrxId]]&lt;&gt;"",Jnl[[#This Row],[Acct]]&lt;&gt;"",Jnl[[#This Row],[Item]]&lt;&gt;"",ISNUMBER(Jnl[[#This Row],[Bal]]))</f>
        <v>1</v>
      </c>
      <c r="J491" s="9">
        <f>IF(Jnl[[#This Row],[BSLv0]]="A",1,-1)*Jnl[[#This Row],[Bal]]</f>
        <v>-160</v>
      </c>
      <c r="K491" t="str">
        <f>_xlfn.XLOOKUP(Jnl[[#This Row],[Acct]], config_BS[Acct], config_BS[Lv0],,0)</f>
        <v>A</v>
      </c>
      <c r="L491" t="str">
        <f>_xlfn.XLOOKUP(Jnl[[#This Row],[Acct]], config_BS[Acct], config_BS[Lv1],,0)</f>
        <v>Assets</v>
      </c>
      <c r="M491" t="str">
        <f>_xlfn.XLOOKUP(Jnl[[#This Row],[Acct]], config_BS[Acct], config_BS[Lv2],,0)</f>
        <v>Cash alike</v>
      </c>
      <c r="N491" t="str">
        <f>_xlfn.XLOOKUP(Jnl[[#This Row],[TrxId]], Trx[Id], Trx[IncNode], ,0)</f>
        <v>Expense</v>
      </c>
      <c r="O491" t="str">
        <f>_xlfn.XLOOKUP(Jnl[[#This Row],[IncNode]], config_IS[Node], config_IS[Type],,0)</f>
        <v>Op</v>
      </c>
      <c r="P491" t="str">
        <f>_xlfn.XLOOKUP(Jnl[[#This Row],[BSLv2]], dict[Key], dict[Name],,0)</f>
        <v>0.现金及类似</v>
      </c>
      <c r="Q491" t="str">
        <f>_xlfn.XLOOKUP(Jnl[[#This Row],[Acct]], dict[Key], dict[Name],,0)</f>
        <v>银行</v>
      </c>
      <c r="R491" t="str">
        <f>_xlfn.XLOOKUP(Jnl[[#This Row],[Vehicle]],config_vehicle[Id], config_vehicle[Name],,0)</f>
        <v>远家花园</v>
      </c>
      <c r="S491" t="str">
        <f>_xlfn.XLOOKUP(Jnl[[#This Row],[Division]],config_div[Id], config_div[Name],,0)</f>
        <v>网店</v>
      </c>
      <c r="T491" t="str">
        <f>IF(Jnl[[#This Row],[TrxDate]]&lt;=stmt_BS_date_end, "In", "Out")</f>
        <v>In</v>
      </c>
      <c r="U491" t="str">
        <f>IF(Jnl[[#This Row],[TrxDate]]&lt;debug_date_start, "prior", IF(Jnl[[#This Row],[TrxDate]]&gt;debug_date_end, "post", "curr"))</f>
        <v>curr</v>
      </c>
    </row>
    <row r="492" spans="1:21" hidden="1">
      <c r="A492" s="39" t="s">
        <v>704</v>
      </c>
      <c r="B492" s="6">
        <f>_xlfn.XLOOKUP(Jnl[[#This Row],[TrxId]], Trx[Id], Trx[Date],,0)</f>
        <v>46053</v>
      </c>
      <c r="C492" s="6" t="str">
        <f>_xlfn.XLOOKUP(Jnl[[#This Row],[TrxId]], Trx[Id], Trx[Division],,0)</f>
        <v>Online</v>
      </c>
      <c r="D492" s="6" t="str">
        <f>_xlfn.XLOOKUP(Jnl[[#This Row],[TrxId]], Trx[Id], Trx[Action],,0)</f>
        <v>收款</v>
      </c>
      <c r="E492" s="27" t="s">
        <v>82</v>
      </c>
      <c r="F492" s="10" t="s">
        <v>596</v>
      </c>
      <c r="G492" s="10" t="s">
        <v>396</v>
      </c>
      <c r="H492" s="37">
        <v>289043.94</v>
      </c>
      <c r="I492" s="11" t="b">
        <f>AND(Jnl[[#This Row],[TrxId]]&lt;&gt;"",Jnl[[#This Row],[Acct]]&lt;&gt;"",Jnl[[#This Row],[Item]]&lt;&gt;"",ISNUMBER(Jnl[[#This Row],[Bal]]))</f>
        <v>1</v>
      </c>
      <c r="J492" s="9">
        <f>IF(Jnl[[#This Row],[BSLv0]]="A",1,-1)*Jnl[[#This Row],[Bal]]</f>
        <v>289043.94</v>
      </c>
      <c r="K492" t="str">
        <f>_xlfn.XLOOKUP(Jnl[[#This Row],[Acct]], config_BS[Acct], config_BS[Lv0],,0)</f>
        <v>A</v>
      </c>
      <c r="L492" t="str">
        <f>_xlfn.XLOOKUP(Jnl[[#This Row],[Acct]], config_BS[Acct], config_BS[Lv1],,0)</f>
        <v>Assets</v>
      </c>
      <c r="M492" t="str">
        <f>_xlfn.XLOOKUP(Jnl[[#This Row],[Acct]], config_BS[Acct], config_BS[Lv2],,0)</f>
        <v>Cash alike</v>
      </c>
      <c r="N492" t="str">
        <f>_xlfn.XLOOKUP(Jnl[[#This Row],[TrxId]], Trx[Id], Trx[IncNode], ,0)</f>
        <v>Revenue</v>
      </c>
      <c r="O492" t="str">
        <f>_xlfn.XLOOKUP(Jnl[[#This Row],[IncNode]], config_IS[Node], config_IS[Type],,0)</f>
        <v>Op</v>
      </c>
      <c r="P492" t="str">
        <f>_xlfn.XLOOKUP(Jnl[[#This Row],[BSLv2]], dict[Key], dict[Name],,0)</f>
        <v>0.现金及类似</v>
      </c>
      <c r="Q492" t="str">
        <f>_xlfn.XLOOKUP(Jnl[[#This Row],[Acct]], dict[Key], dict[Name],,0)</f>
        <v>银行</v>
      </c>
      <c r="R492" t="str">
        <f>_xlfn.XLOOKUP(Jnl[[#This Row],[Vehicle]],config_vehicle[Id], config_vehicle[Name],,0)</f>
        <v>远家花园</v>
      </c>
      <c r="S492" t="str">
        <f>_xlfn.XLOOKUP(Jnl[[#This Row],[Division]],config_div[Id], config_div[Name],,0)</f>
        <v>网店</v>
      </c>
      <c r="T492" t="str">
        <f>IF(Jnl[[#This Row],[TrxDate]]&lt;=stmt_BS_date_end, "In", "Out")</f>
        <v>In</v>
      </c>
      <c r="U492" t="str">
        <f>IF(Jnl[[#This Row],[TrxDate]]&lt;debug_date_start, "prior", IF(Jnl[[#This Row],[TrxDate]]&gt;debug_date_end, "post", "curr"))</f>
        <v>curr</v>
      </c>
    </row>
    <row r="493" spans="1:21" hidden="1">
      <c r="A493" s="39" t="s">
        <v>704</v>
      </c>
      <c r="B493" s="6">
        <f>_xlfn.XLOOKUP(Jnl[[#This Row],[TrxId]], Trx[Id], Trx[Date],,0)</f>
        <v>46053</v>
      </c>
      <c r="C493" s="6" t="str">
        <f>_xlfn.XLOOKUP(Jnl[[#This Row],[TrxId]], Trx[Id], Trx[Division],,0)</f>
        <v>Online</v>
      </c>
      <c r="D493" s="6" t="str">
        <f>_xlfn.XLOOKUP(Jnl[[#This Row],[TrxId]], Trx[Id], Trx[Action],,0)</f>
        <v>收款</v>
      </c>
      <c r="E493" s="27" t="s">
        <v>82</v>
      </c>
      <c r="F493" s="10" t="s">
        <v>599</v>
      </c>
      <c r="G493" s="10" t="s">
        <v>600</v>
      </c>
      <c r="H493" s="37">
        <f>-H492</f>
        <v>-289043.94</v>
      </c>
      <c r="I493" s="11" t="b">
        <f>AND(Jnl[[#This Row],[TrxId]]&lt;&gt;"",Jnl[[#This Row],[Acct]]&lt;&gt;"",Jnl[[#This Row],[Item]]&lt;&gt;"",ISNUMBER(Jnl[[#This Row],[Bal]]))</f>
        <v>1</v>
      </c>
      <c r="J493" s="9">
        <f>IF(Jnl[[#This Row],[BSLv0]]="A",1,-1)*Jnl[[#This Row],[Bal]]</f>
        <v>-289043.94</v>
      </c>
      <c r="K493" t="str">
        <f>_xlfn.XLOOKUP(Jnl[[#This Row],[Acct]], config_BS[Acct], config_BS[Lv0],,0)</f>
        <v>A</v>
      </c>
      <c r="L493" t="str">
        <f>_xlfn.XLOOKUP(Jnl[[#This Row],[Acct]], config_BS[Acct], config_BS[Lv1],,0)</f>
        <v>Assets</v>
      </c>
      <c r="M493" t="str">
        <f>_xlfn.XLOOKUP(Jnl[[#This Row],[Acct]], config_BS[Acct], config_BS[Lv2],,0)</f>
        <v>Rec-Pay</v>
      </c>
      <c r="N493" t="str">
        <f>_xlfn.XLOOKUP(Jnl[[#This Row],[TrxId]], Trx[Id], Trx[IncNode], ,0)</f>
        <v>Revenue</v>
      </c>
      <c r="O493" t="str">
        <f>_xlfn.XLOOKUP(Jnl[[#This Row],[IncNode]], config_IS[Node], config_IS[Type],,0)</f>
        <v>Op</v>
      </c>
      <c r="P493" t="str">
        <f>_xlfn.XLOOKUP(Jnl[[#This Row],[BSLv2]], dict[Key], dict[Name],,0)</f>
        <v>1.应收-应付</v>
      </c>
      <c r="Q493" t="str">
        <f>_xlfn.XLOOKUP(Jnl[[#This Row],[Acct]], dict[Key], dict[Name],,0)</f>
        <v>应收-一般</v>
      </c>
      <c r="R493" t="str">
        <f>_xlfn.XLOOKUP(Jnl[[#This Row],[Vehicle]],config_vehicle[Id], config_vehicle[Name],,0)</f>
        <v>远家花园</v>
      </c>
      <c r="S493" t="str">
        <f>_xlfn.XLOOKUP(Jnl[[#This Row],[Division]],config_div[Id], config_div[Name],,0)</f>
        <v>网店</v>
      </c>
      <c r="T493" t="str">
        <f>IF(Jnl[[#This Row],[TrxDate]]&lt;=stmt_BS_date_end, "In", "Out")</f>
        <v>In</v>
      </c>
      <c r="U493" t="str">
        <f>IF(Jnl[[#This Row],[TrxDate]]&lt;debug_date_start, "prior", IF(Jnl[[#This Row],[TrxDate]]&gt;debug_date_end, "post", "curr"))</f>
        <v>curr</v>
      </c>
    </row>
    <row r="494" spans="1:21" hidden="1">
      <c r="A494" s="39" t="s">
        <v>706</v>
      </c>
      <c r="B494" s="6">
        <f>_xlfn.XLOOKUP(Jnl[[#This Row],[TrxId]], Trx[Id], Trx[Date],,0)</f>
        <v>46053</v>
      </c>
      <c r="C494" s="6" t="str">
        <f>_xlfn.XLOOKUP(Jnl[[#This Row],[TrxId]], Trx[Id], Trx[Division],,0)</f>
        <v>Online</v>
      </c>
      <c r="D494" s="6" t="str">
        <f>_xlfn.XLOOKUP(Jnl[[#This Row],[TrxId]], Trx[Id], Trx[Action],,0)</f>
        <v>物流</v>
      </c>
      <c r="E494" s="27" t="s">
        <v>82</v>
      </c>
      <c r="F494" s="10" t="s">
        <v>596</v>
      </c>
      <c r="G494" s="10" t="s">
        <v>396</v>
      </c>
      <c r="H494" s="37">
        <v>-36.4</v>
      </c>
      <c r="I494" s="11" t="b">
        <f>AND(Jnl[[#This Row],[TrxId]]&lt;&gt;"",Jnl[[#This Row],[Acct]]&lt;&gt;"",Jnl[[#This Row],[Item]]&lt;&gt;"",ISNUMBER(Jnl[[#This Row],[Bal]]))</f>
        <v>1</v>
      </c>
      <c r="J494" s="9">
        <f>IF(Jnl[[#This Row],[BSLv0]]="A",1,-1)*Jnl[[#This Row],[Bal]]</f>
        <v>-36.4</v>
      </c>
      <c r="K494" t="str">
        <f>_xlfn.XLOOKUP(Jnl[[#This Row],[Acct]], config_BS[Acct], config_BS[Lv0],,0)</f>
        <v>A</v>
      </c>
      <c r="L494" t="str">
        <f>_xlfn.XLOOKUP(Jnl[[#This Row],[Acct]], config_BS[Acct], config_BS[Lv1],,0)</f>
        <v>Assets</v>
      </c>
      <c r="M494" t="str">
        <f>_xlfn.XLOOKUP(Jnl[[#This Row],[Acct]], config_BS[Acct], config_BS[Lv2],,0)</f>
        <v>Cash alike</v>
      </c>
      <c r="N494" t="str">
        <f>_xlfn.XLOOKUP(Jnl[[#This Row],[TrxId]], Trx[Id], Trx[IncNode], ,0)</f>
        <v>Expense</v>
      </c>
      <c r="O494" t="str">
        <f>_xlfn.XLOOKUP(Jnl[[#This Row],[IncNode]], config_IS[Node], config_IS[Type],,0)</f>
        <v>Op</v>
      </c>
      <c r="P494" t="str">
        <f>_xlfn.XLOOKUP(Jnl[[#This Row],[BSLv2]], dict[Key], dict[Name],,0)</f>
        <v>0.现金及类似</v>
      </c>
      <c r="Q494" t="str">
        <f>_xlfn.XLOOKUP(Jnl[[#This Row],[Acct]], dict[Key], dict[Name],,0)</f>
        <v>银行</v>
      </c>
      <c r="R494" t="str">
        <f>_xlfn.XLOOKUP(Jnl[[#This Row],[Vehicle]],config_vehicle[Id], config_vehicle[Name],,0)</f>
        <v>远家花园</v>
      </c>
      <c r="S494" t="str">
        <f>_xlfn.XLOOKUP(Jnl[[#This Row],[Division]],config_div[Id], config_div[Name],,0)</f>
        <v>网店</v>
      </c>
      <c r="T494" t="str">
        <f>IF(Jnl[[#This Row],[TrxDate]]&lt;=stmt_BS_date_end, "In", "Out")</f>
        <v>In</v>
      </c>
      <c r="U494" t="str">
        <f>IF(Jnl[[#This Row],[TrxDate]]&lt;debug_date_start, "prior", IF(Jnl[[#This Row],[TrxDate]]&gt;debug_date_end, "post", "curr"))</f>
        <v>curr</v>
      </c>
    </row>
    <row r="495" spans="1:21" hidden="1">
      <c r="A495" s="39" t="s">
        <v>707</v>
      </c>
      <c r="B495" s="6">
        <f>_xlfn.XLOOKUP(Jnl[[#This Row],[TrxId]], Trx[Id], Trx[Date],,0)</f>
        <v>46053</v>
      </c>
      <c r="C495" s="6" t="str">
        <f>_xlfn.XLOOKUP(Jnl[[#This Row],[TrxId]], Trx[Id], Trx[Division],,0)</f>
        <v>GM</v>
      </c>
      <c r="D495" s="6" t="str">
        <f>_xlfn.XLOOKUP(Jnl[[#This Row],[TrxId]], Trx[Id], Trx[Action],,0)</f>
        <v>薪酬-工资</v>
      </c>
      <c r="E495" s="27" t="s">
        <v>82</v>
      </c>
      <c r="F495" s="10" t="s">
        <v>596</v>
      </c>
      <c r="G495" s="10" t="s">
        <v>396</v>
      </c>
      <c r="H495" s="37">
        <f>-15000</f>
        <v>-15000</v>
      </c>
      <c r="I495" s="11" t="b">
        <f>AND(Jnl[[#This Row],[TrxId]]&lt;&gt;"",Jnl[[#This Row],[Acct]]&lt;&gt;"",Jnl[[#This Row],[Item]]&lt;&gt;"",ISNUMBER(Jnl[[#This Row],[Bal]]))</f>
        <v>1</v>
      </c>
      <c r="J495" s="9">
        <f>IF(Jnl[[#This Row],[BSLv0]]="A",1,-1)*Jnl[[#This Row],[Bal]]</f>
        <v>-15000</v>
      </c>
      <c r="K495" t="str">
        <f>_xlfn.XLOOKUP(Jnl[[#This Row],[Acct]], config_BS[Acct], config_BS[Lv0],,0)</f>
        <v>A</v>
      </c>
      <c r="L495" t="str">
        <f>_xlfn.XLOOKUP(Jnl[[#This Row],[Acct]], config_BS[Acct], config_BS[Lv1],,0)</f>
        <v>Assets</v>
      </c>
      <c r="M495" t="str">
        <f>_xlfn.XLOOKUP(Jnl[[#This Row],[Acct]], config_BS[Acct], config_BS[Lv2],,0)</f>
        <v>Cash alike</v>
      </c>
      <c r="N495" t="str">
        <f>_xlfn.XLOOKUP(Jnl[[#This Row],[TrxId]], Trx[Id], Trx[IncNode], ,0)</f>
        <v>Expense</v>
      </c>
      <c r="O495" t="str">
        <f>_xlfn.XLOOKUP(Jnl[[#This Row],[IncNode]], config_IS[Node], config_IS[Type],,0)</f>
        <v>Op</v>
      </c>
      <c r="P495" t="str">
        <f>_xlfn.XLOOKUP(Jnl[[#This Row],[BSLv2]], dict[Key], dict[Name],,0)</f>
        <v>0.现金及类似</v>
      </c>
      <c r="Q495" t="str">
        <f>_xlfn.XLOOKUP(Jnl[[#This Row],[Acct]], dict[Key], dict[Name],,0)</f>
        <v>银行</v>
      </c>
      <c r="R495" t="str">
        <f>_xlfn.XLOOKUP(Jnl[[#This Row],[Vehicle]],config_vehicle[Id], config_vehicle[Name],,0)</f>
        <v>远家花园</v>
      </c>
      <c r="S495" t="str">
        <f>_xlfn.XLOOKUP(Jnl[[#This Row],[Division]],config_div[Id], config_div[Name],,0)</f>
        <v>综合管理</v>
      </c>
      <c r="T495" t="str">
        <f>IF(Jnl[[#This Row],[TrxDate]]&lt;=stmt_BS_date_end, "In", "Out")</f>
        <v>In</v>
      </c>
      <c r="U495" t="str">
        <f>IF(Jnl[[#This Row],[TrxDate]]&lt;debug_date_start, "prior", IF(Jnl[[#This Row],[TrxDate]]&gt;debug_date_end, "post", "curr"))</f>
        <v>curr</v>
      </c>
    </row>
    <row r="496" spans="1:21" hidden="1">
      <c r="A496" s="39" t="s">
        <v>709</v>
      </c>
      <c r="B496" s="6">
        <f>_xlfn.XLOOKUP(Jnl[[#This Row],[TrxId]], Trx[Id], Trx[Date],,0)</f>
        <v>46053</v>
      </c>
      <c r="C496" s="6" t="str">
        <f>_xlfn.XLOOKUP(Jnl[[#This Row],[TrxId]], Trx[Id], Trx[Division],,0)</f>
        <v>GM</v>
      </c>
      <c r="D496" s="6" t="str">
        <f>_xlfn.XLOOKUP(Jnl[[#This Row],[TrxId]], Trx[Id], Trx[Action],,0)</f>
        <v>交通</v>
      </c>
      <c r="E496" s="27" t="s">
        <v>82</v>
      </c>
      <c r="F496" s="10" t="s">
        <v>596</v>
      </c>
      <c r="G496" s="10" t="s">
        <v>396</v>
      </c>
      <c r="H496" s="37">
        <v>-370</v>
      </c>
      <c r="I496" s="11" t="b">
        <f>AND(Jnl[[#This Row],[TrxId]]&lt;&gt;"",Jnl[[#This Row],[Acct]]&lt;&gt;"",Jnl[[#This Row],[Item]]&lt;&gt;"",ISNUMBER(Jnl[[#This Row],[Bal]]))</f>
        <v>1</v>
      </c>
      <c r="J496" s="9">
        <f>IF(Jnl[[#This Row],[BSLv0]]="A",1,-1)*Jnl[[#This Row],[Bal]]</f>
        <v>-370</v>
      </c>
      <c r="K496" t="str">
        <f>_xlfn.XLOOKUP(Jnl[[#This Row],[Acct]], config_BS[Acct], config_BS[Lv0],,0)</f>
        <v>A</v>
      </c>
      <c r="L496" t="str">
        <f>_xlfn.XLOOKUP(Jnl[[#This Row],[Acct]], config_BS[Acct], config_BS[Lv1],,0)</f>
        <v>Assets</v>
      </c>
      <c r="M496" t="str">
        <f>_xlfn.XLOOKUP(Jnl[[#This Row],[Acct]], config_BS[Acct], config_BS[Lv2],,0)</f>
        <v>Cash alike</v>
      </c>
      <c r="N496" t="str">
        <f>_xlfn.XLOOKUP(Jnl[[#This Row],[TrxId]], Trx[Id], Trx[IncNode], ,0)</f>
        <v>Expense</v>
      </c>
      <c r="O496" t="str">
        <f>_xlfn.XLOOKUP(Jnl[[#This Row],[IncNode]], config_IS[Node], config_IS[Type],,0)</f>
        <v>Op</v>
      </c>
      <c r="P496" t="str">
        <f>_xlfn.XLOOKUP(Jnl[[#This Row],[BSLv2]], dict[Key], dict[Name],,0)</f>
        <v>0.现金及类似</v>
      </c>
      <c r="Q496" t="str">
        <f>_xlfn.XLOOKUP(Jnl[[#This Row],[Acct]], dict[Key], dict[Name],,0)</f>
        <v>银行</v>
      </c>
      <c r="R496" t="str">
        <f>_xlfn.XLOOKUP(Jnl[[#This Row],[Vehicle]],config_vehicle[Id], config_vehicle[Name],,0)</f>
        <v>远家花园</v>
      </c>
      <c r="S496" t="str">
        <f>_xlfn.XLOOKUP(Jnl[[#This Row],[Division]],config_div[Id], config_div[Name],,0)</f>
        <v>综合管理</v>
      </c>
      <c r="T496" t="str">
        <f>IF(Jnl[[#This Row],[TrxDate]]&lt;=stmt_BS_date_end, "In", "Out")</f>
        <v>In</v>
      </c>
      <c r="U496" t="str">
        <f>IF(Jnl[[#This Row],[TrxDate]]&lt;debug_date_start, "prior", IF(Jnl[[#This Row],[TrxDate]]&gt;debug_date_end, "post", "curr"))</f>
        <v>curr</v>
      </c>
    </row>
    <row r="497" spans="1:21" hidden="1">
      <c r="A497" s="39" t="s">
        <v>711</v>
      </c>
      <c r="B497" s="6">
        <f>_xlfn.XLOOKUP(Jnl[[#This Row],[TrxId]], Trx[Id], Trx[Date],,0)</f>
        <v>46053</v>
      </c>
      <c r="C497" s="6" t="str">
        <f>_xlfn.XLOOKUP(Jnl[[#This Row],[TrxId]], Trx[Id], Trx[Division],,0)</f>
        <v>Online</v>
      </c>
      <c r="D497" s="6" t="str">
        <f>_xlfn.XLOOKUP(Jnl[[#This Row],[TrxId]], Trx[Id], Trx[Action],,0)</f>
        <v>采购</v>
      </c>
      <c r="E497" s="27" t="s">
        <v>82</v>
      </c>
      <c r="F497" s="10" t="s">
        <v>604</v>
      </c>
      <c r="G497" s="10" t="s">
        <v>154</v>
      </c>
      <c r="H497" s="37">
        <f>-H498</f>
        <v>17226</v>
      </c>
      <c r="I497" s="11" t="b">
        <f>AND(Jnl[[#This Row],[TrxId]]&lt;&gt;"",Jnl[[#This Row],[Acct]]&lt;&gt;"",Jnl[[#This Row],[Item]]&lt;&gt;"",ISNUMBER(Jnl[[#This Row],[Bal]]))</f>
        <v>1</v>
      </c>
      <c r="J497" s="9">
        <f>IF(Jnl[[#This Row],[BSLv0]]="A",1,-1)*Jnl[[#This Row],[Bal]]</f>
        <v>17226</v>
      </c>
      <c r="K497" t="str">
        <f>_xlfn.XLOOKUP(Jnl[[#This Row],[Acct]], config_BS[Acct], config_BS[Lv0],,0)</f>
        <v>A</v>
      </c>
      <c r="L497" t="str">
        <f>_xlfn.XLOOKUP(Jnl[[#This Row],[Acct]], config_BS[Acct], config_BS[Lv1],,0)</f>
        <v>Assets</v>
      </c>
      <c r="M497" t="str">
        <f>_xlfn.XLOOKUP(Jnl[[#This Row],[Acct]], config_BS[Acct], config_BS[Lv2],,0)</f>
        <v>Invtr</v>
      </c>
      <c r="N497" t="str">
        <f>_xlfn.XLOOKUP(Jnl[[#This Row],[TrxId]], Trx[Id], Trx[IncNode], ,0)</f>
        <v>Cost</v>
      </c>
      <c r="O497" t="str">
        <f>_xlfn.XLOOKUP(Jnl[[#This Row],[IncNode]], config_IS[Node], config_IS[Type],,0)</f>
        <v>Op</v>
      </c>
      <c r="P497" t="str">
        <f>_xlfn.XLOOKUP(Jnl[[#This Row],[BSLv2]], dict[Key], dict[Name],,0)</f>
        <v>3.库存占款</v>
      </c>
      <c r="Q497" t="str">
        <f>_xlfn.XLOOKUP(Jnl[[#This Row],[Acct]], dict[Key], dict[Name],,0)</f>
        <v>当期存货</v>
      </c>
      <c r="R497" t="str">
        <f>_xlfn.XLOOKUP(Jnl[[#This Row],[Vehicle]],config_vehicle[Id], config_vehicle[Name],,0)</f>
        <v>远家花园</v>
      </c>
      <c r="S497" t="str">
        <f>_xlfn.XLOOKUP(Jnl[[#This Row],[Division]],config_div[Id], config_div[Name],,0)</f>
        <v>网店</v>
      </c>
      <c r="T497" t="str">
        <f>IF(Jnl[[#This Row],[TrxDate]]&lt;=stmt_BS_date_end, "In", "Out")</f>
        <v>In</v>
      </c>
      <c r="U497" t="str">
        <f>IF(Jnl[[#This Row],[TrxDate]]&lt;debug_date_start, "prior", IF(Jnl[[#This Row],[TrxDate]]&gt;debug_date_end, "post", "curr"))</f>
        <v>curr</v>
      </c>
    </row>
    <row r="498" spans="1:21" hidden="1">
      <c r="A498" s="39" t="s">
        <v>711</v>
      </c>
      <c r="B498" s="6">
        <f>_xlfn.XLOOKUP(Jnl[[#This Row],[TrxId]], Trx[Id], Trx[Date],,0)</f>
        <v>46053</v>
      </c>
      <c r="C498" s="6" t="str">
        <f>_xlfn.XLOOKUP(Jnl[[#This Row],[TrxId]], Trx[Id], Trx[Division],,0)</f>
        <v>Online</v>
      </c>
      <c r="D498" s="6" t="str">
        <f>_xlfn.XLOOKUP(Jnl[[#This Row],[TrxId]], Trx[Id], Trx[Action],,0)</f>
        <v>采购</v>
      </c>
      <c r="E498" s="27" t="s">
        <v>82</v>
      </c>
      <c r="F498" s="10" t="s">
        <v>596</v>
      </c>
      <c r="G498" s="10" t="s">
        <v>396</v>
      </c>
      <c r="H498" s="37">
        <v>-17226</v>
      </c>
      <c r="I498" s="11" t="b">
        <f>AND(Jnl[[#This Row],[TrxId]]&lt;&gt;"",Jnl[[#This Row],[Acct]]&lt;&gt;"",Jnl[[#This Row],[Item]]&lt;&gt;"",ISNUMBER(Jnl[[#This Row],[Bal]]))</f>
        <v>1</v>
      </c>
      <c r="J498" s="9">
        <f>IF(Jnl[[#This Row],[BSLv0]]="A",1,-1)*Jnl[[#This Row],[Bal]]</f>
        <v>-17226</v>
      </c>
      <c r="K498" t="str">
        <f>_xlfn.XLOOKUP(Jnl[[#This Row],[Acct]], config_BS[Acct], config_BS[Lv0],,0)</f>
        <v>A</v>
      </c>
      <c r="L498" t="str">
        <f>_xlfn.XLOOKUP(Jnl[[#This Row],[Acct]], config_BS[Acct], config_BS[Lv1],,0)</f>
        <v>Assets</v>
      </c>
      <c r="M498" t="str">
        <f>_xlfn.XLOOKUP(Jnl[[#This Row],[Acct]], config_BS[Acct], config_BS[Lv2],,0)</f>
        <v>Cash alike</v>
      </c>
      <c r="N498" t="str">
        <f>_xlfn.XLOOKUP(Jnl[[#This Row],[TrxId]], Trx[Id], Trx[IncNode], ,0)</f>
        <v>Cost</v>
      </c>
      <c r="O498" t="str">
        <f>_xlfn.XLOOKUP(Jnl[[#This Row],[IncNode]], config_IS[Node], config_IS[Type],,0)</f>
        <v>Op</v>
      </c>
      <c r="P498" t="str">
        <f>_xlfn.XLOOKUP(Jnl[[#This Row],[BSLv2]], dict[Key], dict[Name],,0)</f>
        <v>0.现金及类似</v>
      </c>
      <c r="Q498" t="str">
        <f>_xlfn.XLOOKUP(Jnl[[#This Row],[Acct]], dict[Key], dict[Name],,0)</f>
        <v>银行</v>
      </c>
      <c r="R498" t="str">
        <f>_xlfn.XLOOKUP(Jnl[[#This Row],[Vehicle]],config_vehicle[Id], config_vehicle[Name],,0)</f>
        <v>远家花园</v>
      </c>
      <c r="S498" t="str">
        <f>_xlfn.XLOOKUP(Jnl[[#This Row],[Division]],config_div[Id], config_div[Name],,0)</f>
        <v>网店</v>
      </c>
      <c r="T498" t="str">
        <f>IF(Jnl[[#This Row],[TrxDate]]&lt;=stmt_BS_date_end, "In", "Out")</f>
        <v>In</v>
      </c>
      <c r="U498" t="str">
        <f>IF(Jnl[[#This Row],[TrxDate]]&lt;debug_date_start, "prior", IF(Jnl[[#This Row],[TrxDate]]&gt;debug_date_end, "post", "curr"))</f>
        <v>curr</v>
      </c>
    </row>
    <row r="499" spans="1:21" hidden="1">
      <c r="A499" s="39" t="s">
        <v>712</v>
      </c>
      <c r="B499" s="6">
        <f>_xlfn.XLOOKUP(Jnl[[#This Row],[TrxId]], Trx[Id], Trx[Date],,0)</f>
        <v>46053</v>
      </c>
      <c r="C499" s="6" t="str">
        <f>_xlfn.XLOOKUP(Jnl[[#This Row],[TrxId]], Trx[Id], Trx[Division],,0)</f>
        <v>Online</v>
      </c>
      <c r="D499" s="6" t="str">
        <f>_xlfn.XLOOKUP(Jnl[[#This Row],[TrxId]], Trx[Id], Trx[Action],,0)</f>
        <v>采购</v>
      </c>
      <c r="E499" s="27" t="s">
        <v>82</v>
      </c>
      <c r="F499" s="10" t="s">
        <v>604</v>
      </c>
      <c r="G499" s="10" t="s">
        <v>154</v>
      </c>
      <c r="H499" s="37">
        <f>-H500</f>
        <v>4387</v>
      </c>
      <c r="I499" s="11" t="b">
        <f>AND(Jnl[[#This Row],[TrxId]]&lt;&gt;"",Jnl[[#This Row],[Acct]]&lt;&gt;"",Jnl[[#This Row],[Item]]&lt;&gt;"",ISNUMBER(Jnl[[#This Row],[Bal]]))</f>
        <v>1</v>
      </c>
      <c r="J499" s="9">
        <f>IF(Jnl[[#This Row],[BSLv0]]="A",1,-1)*Jnl[[#This Row],[Bal]]</f>
        <v>4387</v>
      </c>
      <c r="K499" t="str">
        <f>_xlfn.XLOOKUP(Jnl[[#This Row],[Acct]], config_BS[Acct], config_BS[Lv0],,0)</f>
        <v>A</v>
      </c>
      <c r="L499" t="str">
        <f>_xlfn.XLOOKUP(Jnl[[#This Row],[Acct]], config_BS[Acct], config_BS[Lv1],,0)</f>
        <v>Assets</v>
      </c>
      <c r="M499" t="str">
        <f>_xlfn.XLOOKUP(Jnl[[#This Row],[Acct]], config_BS[Acct], config_BS[Lv2],,0)</f>
        <v>Invtr</v>
      </c>
      <c r="N499" t="str">
        <f>_xlfn.XLOOKUP(Jnl[[#This Row],[TrxId]], Trx[Id], Trx[IncNode], ,0)</f>
        <v>Cost</v>
      </c>
      <c r="O499" t="str">
        <f>_xlfn.XLOOKUP(Jnl[[#This Row],[IncNode]], config_IS[Node], config_IS[Type],,0)</f>
        <v>Op</v>
      </c>
      <c r="P499" t="str">
        <f>_xlfn.XLOOKUP(Jnl[[#This Row],[BSLv2]], dict[Key], dict[Name],,0)</f>
        <v>3.库存占款</v>
      </c>
      <c r="Q499" t="str">
        <f>_xlfn.XLOOKUP(Jnl[[#This Row],[Acct]], dict[Key], dict[Name],,0)</f>
        <v>当期存货</v>
      </c>
      <c r="R499" t="str">
        <f>_xlfn.XLOOKUP(Jnl[[#This Row],[Vehicle]],config_vehicle[Id], config_vehicle[Name],,0)</f>
        <v>远家花园</v>
      </c>
      <c r="S499" t="str">
        <f>_xlfn.XLOOKUP(Jnl[[#This Row],[Division]],config_div[Id], config_div[Name],,0)</f>
        <v>网店</v>
      </c>
      <c r="T499" t="str">
        <f>IF(Jnl[[#This Row],[TrxDate]]&lt;=stmt_BS_date_end, "In", "Out")</f>
        <v>In</v>
      </c>
      <c r="U499" t="str">
        <f>IF(Jnl[[#This Row],[TrxDate]]&lt;debug_date_start, "prior", IF(Jnl[[#This Row],[TrxDate]]&gt;debug_date_end, "post", "curr"))</f>
        <v>curr</v>
      </c>
    </row>
    <row r="500" spans="1:21" hidden="1">
      <c r="A500" s="39" t="s">
        <v>712</v>
      </c>
      <c r="B500" s="6">
        <f>_xlfn.XLOOKUP(Jnl[[#This Row],[TrxId]], Trx[Id], Trx[Date],,0)</f>
        <v>46053</v>
      </c>
      <c r="C500" s="6" t="str">
        <f>_xlfn.XLOOKUP(Jnl[[#This Row],[TrxId]], Trx[Id], Trx[Division],,0)</f>
        <v>Online</v>
      </c>
      <c r="D500" s="6" t="str">
        <f>_xlfn.XLOOKUP(Jnl[[#This Row],[TrxId]], Trx[Id], Trx[Action],,0)</f>
        <v>采购</v>
      </c>
      <c r="E500" s="27" t="s">
        <v>82</v>
      </c>
      <c r="F500" s="10" t="s">
        <v>596</v>
      </c>
      <c r="G500" s="10" t="s">
        <v>396</v>
      </c>
      <c r="H500" s="37">
        <v>-4387</v>
      </c>
      <c r="I500" s="11" t="b">
        <f>AND(Jnl[[#This Row],[TrxId]]&lt;&gt;"",Jnl[[#This Row],[Acct]]&lt;&gt;"",Jnl[[#This Row],[Item]]&lt;&gt;"",ISNUMBER(Jnl[[#This Row],[Bal]]))</f>
        <v>1</v>
      </c>
      <c r="J500" s="9">
        <f>IF(Jnl[[#This Row],[BSLv0]]="A",1,-1)*Jnl[[#This Row],[Bal]]</f>
        <v>-4387</v>
      </c>
      <c r="K500" t="str">
        <f>_xlfn.XLOOKUP(Jnl[[#This Row],[Acct]], config_BS[Acct], config_BS[Lv0],,0)</f>
        <v>A</v>
      </c>
      <c r="L500" t="str">
        <f>_xlfn.XLOOKUP(Jnl[[#This Row],[Acct]], config_BS[Acct], config_BS[Lv1],,0)</f>
        <v>Assets</v>
      </c>
      <c r="M500" t="str">
        <f>_xlfn.XLOOKUP(Jnl[[#This Row],[Acct]], config_BS[Acct], config_BS[Lv2],,0)</f>
        <v>Cash alike</v>
      </c>
      <c r="N500" t="str">
        <f>_xlfn.XLOOKUP(Jnl[[#This Row],[TrxId]], Trx[Id], Trx[IncNode], ,0)</f>
        <v>Cost</v>
      </c>
      <c r="O500" t="str">
        <f>_xlfn.XLOOKUP(Jnl[[#This Row],[IncNode]], config_IS[Node], config_IS[Type],,0)</f>
        <v>Op</v>
      </c>
      <c r="P500" t="str">
        <f>_xlfn.XLOOKUP(Jnl[[#This Row],[BSLv2]], dict[Key], dict[Name],,0)</f>
        <v>0.现金及类似</v>
      </c>
      <c r="Q500" t="str">
        <f>_xlfn.XLOOKUP(Jnl[[#This Row],[Acct]], dict[Key], dict[Name],,0)</f>
        <v>银行</v>
      </c>
      <c r="R500" t="str">
        <f>_xlfn.XLOOKUP(Jnl[[#This Row],[Vehicle]],config_vehicle[Id], config_vehicle[Name],,0)</f>
        <v>远家花园</v>
      </c>
      <c r="S500" t="str">
        <f>_xlfn.XLOOKUP(Jnl[[#This Row],[Division]],config_div[Id], config_div[Name],,0)</f>
        <v>网店</v>
      </c>
      <c r="T500" t="str">
        <f>IF(Jnl[[#This Row],[TrxDate]]&lt;=stmt_BS_date_end, "In", "Out")</f>
        <v>In</v>
      </c>
      <c r="U500" t="str">
        <f>IF(Jnl[[#This Row],[TrxDate]]&lt;debug_date_start, "prior", IF(Jnl[[#This Row],[TrxDate]]&gt;debug_date_end, "post", "curr"))</f>
        <v>curr</v>
      </c>
    </row>
    <row r="501" spans="1:21" hidden="1">
      <c r="A501" s="39" t="s">
        <v>713</v>
      </c>
      <c r="B501" s="6">
        <f>_xlfn.XLOOKUP(Jnl[[#This Row],[TrxId]], Trx[Id], Trx[Date],,0)</f>
        <v>46053</v>
      </c>
      <c r="C501" s="6" t="str">
        <f>_xlfn.XLOOKUP(Jnl[[#This Row],[TrxId]], Trx[Id], Trx[Division],,0)</f>
        <v>Online</v>
      </c>
      <c r="D501" s="6" t="str">
        <f>_xlfn.XLOOKUP(Jnl[[#This Row],[TrxId]], Trx[Id], Trx[Action],,0)</f>
        <v>采购</v>
      </c>
      <c r="E501" s="27" t="s">
        <v>82</v>
      </c>
      <c r="F501" s="10" t="s">
        <v>596</v>
      </c>
      <c r="G501" s="10" t="s">
        <v>396</v>
      </c>
      <c r="H501" s="37">
        <v>-17220</v>
      </c>
      <c r="I501" s="11" t="b">
        <f>AND(Jnl[[#This Row],[TrxId]]&lt;&gt;"",Jnl[[#This Row],[Acct]]&lt;&gt;"",Jnl[[#This Row],[Item]]&lt;&gt;"",ISNUMBER(Jnl[[#This Row],[Bal]]))</f>
        <v>1</v>
      </c>
      <c r="J501" s="9">
        <f>IF(Jnl[[#This Row],[BSLv0]]="A",1,-1)*Jnl[[#This Row],[Bal]]</f>
        <v>-17220</v>
      </c>
      <c r="K501" t="str">
        <f>_xlfn.XLOOKUP(Jnl[[#This Row],[Acct]], config_BS[Acct], config_BS[Lv0],,0)</f>
        <v>A</v>
      </c>
      <c r="L501" t="str">
        <f>_xlfn.XLOOKUP(Jnl[[#This Row],[Acct]], config_BS[Acct], config_BS[Lv1],,0)</f>
        <v>Assets</v>
      </c>
      <c r="M501" t="str">
        <f>_xlfn.XLOOKUP(Jnl[[#This Row],[Acct]], config_BS[Acct], config_BS[Lv2],,0)</f>
        <v>Cash alike</v>
      </c>
      <c r="N501" t="str">
        <f>_xlfn.XLOOKUP(Jnl[[#This Row],[TrxId]], Trx[Id], Trx[IncNode], ,0)</f>
        <v>Cost</v>
      </c>
      <c r="O501" t="str">
        <f>_xlfn.XLOOKUP(Jnl[[#This Row],[IncNode]], config_IS[Node], config_IS[Type],,0)</f>
        <v>Op</v>
      </c>
      <c r="P501" t="str">
        <f>_xlfn.XLOOKUP(Jnl[[#This Row],[BSLv2]], dict[Key], dict[Name],,0)</f>
        <v>0.现金及类似</v>
      </c>
      <c r="Q501" t="str">
        <f>_xlfn.XLOOKUP(Jnl[[#This Row],[Acct]], dict[Key], dict[Name],,0)</f>
        <v>银行</v>
      </c>
      <c r="R501" t="str">
        <f>_xlfn.XLOOKUP(Jnl[[#This Row],[Vehicle]],config_vehicle[Id], config_vehicle[Name],,0)</f>
        <v>远家花园</v>
      </c>
      <c r="S501" t="str">
        <f>_xlfn.XLOOKUP(Jnl[[#This Row],[Division]],config_div[Id], config_div[Name],,0)</f>
        <v>网店</v>
      </c>
      <c r="T501" t="str">
        <f>IF(Jnl[[#This Row],[TrxDate]]&lt;=stmt_BS_date_end, "In", "Out")</f>
        <v>In</v>
      </c>
      <c r="U501" t="str">
        <f>IF(Jnl[[#This Row],[TrxDate]]&lt;debug_date_start, "prior", IF(Jnl[[#This Row],[TrxDate]]&gt;debug_date_end, "post", "curr"))</f>
        <v>curr</v>
      </c>
    </row>
    <row r="502" spans="1:21" hidden="1">
      <c r="A502" s="39" t="s">
        <v>713</v>
      </c>
      <c r="B502" s="6">
        <f>_xlfn.XLOOKUP(Jnl[[#This Row],[TrxId]], Trx[Id], Trx[Date],,0)</f>
        <v>46053</v>
      </c>
      <c r="C502" s="6" t="str">
        <f>_xlfn.XLOOKUP(Jnl[[#This Row],[TrxId]], Trx[Id], Trx[Division],,0)</f>
        <v>Online</v>
      </c>
      <c r="D502" s="6" t="str">
        <f>_xlfn.XLOOKUP(Jnl[[#This Row],[TrxId]], Trx[Id], Trx[Action],,0)</f>
        <v>采购</v>
      </c>
      <c r="E502" s="27" t="s">
        <v>82</v>
      </c>
      <c r="F502" s="10" t="s">
        <v>604</v>
      </c>
      <c r="G502" s="10" t="s">
        <v>154</v>
      </c>
      <c r="H502" s="37">
        <v>17220</v>
      </c>
      <c r="I502" s="11" t="b">
        <f>AND(Jnl[[#This Row],[TrxId]]&lt;&gt;"",Jnl[[#This Row],[Acct]]&lt;&gt;"",Jnl[[#This Row],[Item]]&lt;&gt;"",ISNUMBER(Jnl[[#This Row],[Bal]]))</f>
        <v>1</v>
      </c>
      <c r="J502" s="9">
        <f>IF(Jnl[[#This Row],[BSLv0]]="A",1,-1)*Jnl[[#This Row],[Bal]]</f>
        <v>17220</v>
      </c>
      <c r="K502" t="str">
        <f>_xlfn.XLOOKUP(Jnl[[#This Row],[Acct]], config_BS[Acct], config_BS[Lv0],,0)</f>
        <v>A</v>
      </c>
      <c r="L502" t="str">
        <f>_xlfn.XLOOKUP(Jnl[[#This Row],[Acct]], config_BS[Acct], config_BS[Lv1],,0)</f>
        <v>Assets</v>
      </c>
      <c r="M502" t="str">
        <f>_xlfn.XLOOKUP(Jnl[[#This Row],[Acct]], config_BS[Acct], config_BS[Lv2],,0)</f>
        <v>Invtr</v>
      </c>
      <c r="N502" t="str">
        <f>_xlfn.XLOOKUP(Jnl[[#This Row],[TrxId]], Trx[Id], Trx[IncNode], ,0)</f>
        <v>Cost</v>
      </c>
      <c r="O502" t="str">
        <f>_xlfn.XLOOKUP(Jnl[[#This Row],[IncNode]], config_IS[Node], config_IS[Type],,0)</f>
        <v>Op</v>
      </c>
      <c r="P502" t="str">
        <f>_xlfn.XLOOKUP(Jnl[[#This Row],[BSLv2]], dict[Key], dict[Name],,0)</f>
        <v>3.库存占款</v>
      </c>
      <c r="Q502" t="str">
        <f>_xlfn.XLOOKUP(Jnl[[#This Row],[Acct]], dict[Key], dict[Name],,0)</f>
        <v>当期存货</v>
      </c>
      <c r="R502" t="str">
        <f>_xlfn.XLOOKUP(Jnl[[#This Row],[Vehicle]],config_vehicle[Id], config_vehicle[Name],,0)</f>
        <v>远家花园</v>
      </c>
      <c r="S502" t="str">
        <f>_xlfn.XLOOKUP(Jnl[[#This Row],[Division]],config_div[Id], config_div[Name],,0)</f>
        <v>网店</v>
      </c>
      <c r="T502" t="str">
        <f>IF(Jnl[[#This Row],[TrxDate]]&lt;=stmt_BS_date_end, "In", "Out")</f>
        <v>In</v>
      </c>
      <c r="U502" t="str">
        <f>IF(Jnl[[#This Row],[TrxDate]]&lt;debug_date_start, "prior", IF(Jnl[[#This Row],[TrxDate]]&gt;debug_date_end, "post", "curr"))</f>
        <v>curr</v>
      </c>
    </row>
    <row r="503" spans="1:21" hidden="1">
      <c r="A503" s="39" t="s">
        <v>714</v>
      </c>
      <c r="B503" s="6">
        <f>_xlfn.XLOOKUP(Jnl[[#This Row],[TrxId]], Trx[Id], Trx[Date],,0)</f>
        <v>46053</v>
      </c>
      <c r="C503" s="6" t="str">
        <f>_xlfn.XLOOKUP(Jnl[[#This Row],[TrxId]], Trx[Id], Trx[Division],,0)</f>
        <v>GM</v>
      </c>
      <c r="D503" s="6" t="str">
        <f>_xlfn.XLOOKUP(Jnl[[#This Row],[TrxId]], Trx[Id], Trx[Action],,0)</f>
        <v>薪酬-工资</v>
      </c>
      <c r="E503" s="27" t="s">
        <v>82</v>
      </c>
      <c r="F503" s="10" t="s">
        <v>596</v>
      </c>
      <c r="G503" s="10" t="s">
        <v>396</v>
      </c>
      <c r="H503" s="37">
        <v>-10000</v>
      </c>
      <c r="I503" s="11" t="b">
        <f>AND(Jnl[[#This Row],[TrxId]]&lt;&gt;"",Jnl[[#This Row],[Acct]]&lt;&gt;"",Jnl[[#This Row],[Item]]&lt;&gt;"",ISNUMBER(Jnl[[#This Row],[Bal]]))</f>
        <v>1</v>
      </c>
      <c r="J503" s="9">
        <f>IF(Jnl[[#This Row],[BSLv0]]="A",1,-1)*Jnl[[#This Row],[Bal]]</f>
        <v>-10000</v>
      </c>
      <c r="K503" t="str">
        <f>_xlfn.XLOOKUP(Jnl[[#This Row],[Acct]], config_BS[Acct], config_BS[Lv0],,0)</f>
        <v>A</v>
      </c>
      <c r="L503" t="str">
        <f>_xlfn.XLOOKUP(Jnl[[#This Row],[Acct]], config_BS[Acct], config_BS[Lv1],,0)</f>
        <v>Assets</v>
      </c>
      <c r="M503" t="str">
        <f>_xlfn.XLOOKUP(Jnl[[#This Row],[Acct]], config_BS[Acct], config_BS[Lv2],,0)</f>
        <v>Cash alike</v>
      </c>
      <c r="N503" t="str">
        <f>_xlfn.XLOOKUP(Jnl[[#This Row],[TrxId]], Trx[Id], Trx[IncNode], ,0)</f>
        <v>Expense</v>
      </c>
      <c r="O503" t="str">
        <f>_xlfn.XLOOKUP(Jnl[[#This Row],[IncNode]], config_IS[Node], config_IS[Type],,0)</f>
        <v>Op</v>
      </c>
      <c r="P503" t="str">
        <f>_xlfn.XLOOKUP(Jnl[[#This Row],[BSLv2]], dict[Key], dict[Name],,0)</f>
        <v>0.现金及类似</v>
      </c>
      <c r="Q503" t="str">
        <f>_xlfn.XLOOKUP(Jnl[[#This Row],[Acct]], dict[Key], dict[Name],,0)</f>
        <v>银行</v>
      </c>
      <c r="R503" t="str">
        <f>_xlfn.XLOOKUP(Jnl[[#This Row],[Vehicle]],config_vehicle[Id], config_vehicle[Name],,0)</f>
        <v>远家花园</v>
      </c>
      <c r="S503" t="str">
        <f>_xlfn.XLOOKUP(Jnl[[#This Row],[Division]],config_div[Id], config_div[Name],,0)</f>
        <v>综合管理</v>
      </c>
      <c r="T503" t="str">
        <f>IF(Jnl[[#This Row],[TrxDate]]&lt;=stmt_BS_date_end, "In", "Out")</f>
        <v>In</v>
      </c>
      <c r="U503" t="str">
        <f>IF(Jnl[[#This Row],[TrxDate]]&lt;debug_date_start, "prior", IF(Jnl[[#This Row],[TrxDate]]&gt;debug_date_end, "post", "curr"))</f>
        <v>curr</v>
      </c>
    </row>
    <row r="504" spans="1:21" hidden="1">
      <c r="A504" s="39" t="s">
        <v>715</v>
      </c>
      <c r="B504" s="6">
        <f>_xlfn.XLOOKUP(Jnl[[#This Row],[TrxId]], Trx[Id], Trx[Date],,0)</f>
        <v>46053</v>
      </c>
      <c r="C504" s="6" t="str">
        <f>_xlfn.XLOOKUP(Jnl[[#This Row],[TrxId]], Trx[Id], Trx[Division],,0)</f>
        <v>Online</v>
      </c>
      <c r="D504" s="6" t="str">
        <f>_xlfn.XLOOKUP(Jnl[[#This Row],[TrxId]], Trx[Id], Trx[Action],,0)</f>
        <v>采购</v>
      </c>
      <c r="E504" s="27" t="s">
        <v>82</v>
      </c>
      <c r="F504" s="10" t="s">
        <v>596</v>
      </c>
      <c r="G504" s="10" t="s">
        <v>396</v>
      </c>
      <c r="H504" s="37">
        <v>-35459.949999999997</v>
      </c>
      <c r="I504" s="11" t="b">
        <f>AND(Jnl[[#This Row],[TrxId]]&lt;&gt;"",Jnl[[#This Row],[Acct]]&lt;&gt;"",Jnl[[#This Row],[Item]]&lt;&gt;"",ISNUMBER(Jnl[[#This Row],[Bal]]))</f>
        <v>1</v>
      </c>
      <c r="J504" s="9">
        <f>IF(Jnl[[#This Row],[BSLv0]]="A",1,-1)*Jnl[[#This Row],[Bal]]</f>
        <v>-35459.949999999997</v>
      </c>
      <c r="K504" t="str">
        <f>_xlfn.XLOOKUP(Jnl[[#This Row],[Acct]], config_BS[Acct], config_BS[Lv0],,0)</f>
        <v>A</v>
      </c>
      <c r="L504" t="str">
        <f>_xlfn.XLOOKUP(Jnl[[#This Row],[Acct]], config_BS[Acct], config_BS[Lv1],,0)</f>
        <v>Assets</v>
      </c>
      <c r="M504" t="str">
        <f>_xlfn.XLOOKUP(Jnl[[#This Row],[Acct]], config_BS[Acct], config_BS[Lv2],,0)</f>
        <v>Cash alike</v>
      </c>
      <c r="N504" t="str">
        <f>_xlfn.XLOOKUP(Jnl[[#This Row],[TrxId]], Trx[Id], Trx[IncNode], ,0)</f>
        <v>Cost</v>
      </c>
      <c r="O504" t="str">
        <f>_xlfn.XLOOKUP(Jnl[[#This Row],[IncNode]], config_IS[Node], config_IS[Type],,0)</f>
        <v>Op</v>
      </c>
      <c r="P504" t="str">
        <f>_xlfn.XLOOKUP(Jnl[[#This Row],[BSLv2]], dict[Key], dict[Name],,0)</f>
        <v>0.现金及类似</v>
      </c>
      <c r="Q504" t="str">
        <f>_xlfn.XLOOKUP(Jnl[[#This Row],[Acct]], dict[Key], dict[Name],,0)</f>
        <v>银行</v>
      </c>
      <c r="R504" t="str">
        <f>_xlfn.XLOOKUP(Jnl[[#This Row],[Vehicle]],config_vehicle[Id], config_vehicle[Name],,0)</f>
        <v>远家花园</v>
      </c>
      <c r="S504" t="str">
        <f>_xlfn.XLOOKUP(Jnl[[#This Row],[Division]],config_div[Id], config_div[Name],,0)</f>
        <v>网店</v>
      </c>
      <c r="T504" t="str">
        <f>IF(Jnl[[#This Row],[TrxDate]]&lt;=stmt_BS_date_end, "In", "Out")</f>
        <v>In</v>
      </c>
      <c r="U504" t="str">
        <f>IF(Jnl[[#This Row],[TrxDate]]&lt;debug_date_start, "prior", IF(Jnl[[#This Row],[TrxDate]]&gt;debug_date_end, "post", "curr"))</f>
        <v>curr</v>
      </c>
    </row>
    <row r="505" spans="1:21" hidden="1">
      <c r="A505" s="39" t="s">
        <v>715</v>
      </c>
      <c r="B505" s="6">
        <f>_xlfn.XLOOKUP(Jnl[[#This Row],[TrxId]], Trx[Id], Trx[Date],,0)</f>
        <v>46053</v>
      </c>
      <c r="C505" s="6" t="str">
        <f>_xlfn.XLOOKUP(Jnl[[#This Row],[TrxId]], Trx[Id], Trx[Division],,0)</f>
        <v>Online</v>
      </c>
      <c r="D505" s="6" t="str">
        <f>_xlfn.XLOOKUP(Jnl[[#This Row],[TrxId]], Trx[Id], Trx[Action],,0)</f>
        <v>采购</v>
      </c>
      <c r="E505" s="27" t="s">
        <v>82</v>
      </c>
      <c r="F505" s="10" t="s">
        <v>604</v>
      </c>
      <c r="G505" s="10" t="s">
        <v>154</v>
      </c>
      <c r="H505" s="37">
        <v>35459.949999999997</v>
      </c>
      <c r="I505" s="11" t="b">
        <f>AND(Jnl[[#This Row],[TrxId]]&lt;&gt;"",Jnl[[#This Row],[Acct]]&lt;&gt;"",Jnl[[#This Row],[Item]]&lt;&gt;"",ISNUMBER(Jnl[[#This Row],[Bal]]))</f>
        <v>1</v>
      </c>
      <c r="J505" s="9">
        <f>IF(Jnl[[#This Row],[BSLv0]]="A",1,-1)*Jnl[[#This Row],[Bal]]</f>
        <v>35459.949999999997</v>
      </c>
      <c r="K505" t="str">
        <f>_xlfn.XLOOKUP(Jnl[[#This Row],[Acct]], config_BS[Acct], config_BS[Lv0],,0)</f>
        <v>A</v>
      </c>
      <c r="L505" t="str">
        <f>_xlfn.XLOOKUP(Jnl[[#This Row],[Acct]], config_BS[Acct], config_BS[Lv1],,0)</f>
        <v>Assets</v>
      </c>
      <c r="M505" t="str">
        <f>_xlfn.XLOOKUP(Jnl[[#This Row],[Acct]], config_BS[Acct], config_BS[Lv2],,0)</f>
        <v>Invtr</v>
      </c>
      <c r="N505" t="str">
        <f>_xlfn.XLOOKUP(Jnl[[#This Row],[TrxId]], Trx[Id], Trx[IncNode], ,0)</f>
        <v>Cost</v>
      </c>
      <c r="O505" t="str">
        <f>_xlfn.XLOOKUP(Jnl[[#This Row],[IncNode]], config_IS[Node], config_IS[Type],,0)</f>
        <v>Op</v>
      </c>
      <c r="P505" t="str">
        <f>_xlfn.XLOOKUP(Jnl[[#This Row],[BSLv2]], dict[Key], dict[Name],,0)</f>
        <v>3.库存占款</v>
      </c>
      <c r="Q505" t="str">
        <f>_xlfn.XLOOKUP(Jnl[[#This Row],[Acct]], dict[Key], dict[Name],,0)</f>
        <v>当期存货</v>
      </c>
      <c r="R505" t="str">
        <f>_xlfn.XLOOKUP(Jnl[[#This Row],[Vehicle]],config_vehicle[Id], config_vehicle[Name],,0)</f>
        <v>远家花园</v>
      </c>
      <c r="S505" t="str">
        <f>_xlfn.XLOOKUP(Jnl[[#This Row],[Division]],config_div[Id], config_div[Name],,0)</f>
        <v>网店</v>
      </c>
      <c r="T505" t="str">
        <f>IF(Jnl[[#This Row],[TrxDate]]&lt;=stmt_BS_date_end, "In", "Out")</f>
        <v>In</v>
      </c>
      <c r="U505" t="str">
        <f>IF(Jnl[[#This Row],[TrxDate]]&lt;debug_date_start, "prior", IF(Jnl[[#This Row],[TrxDate]]&gt;debug_date_end, "post", "curr"))</f>
        <v>curr</v>
      </c>
    </row>
    <row r="506" spans="1:21" hidden="1">
      <c r="A506" s="39" t="s">
        <v>716</v>
      </c>
      <c r="B506" s="6">
        <f>_xlfn.XLOOKUP(Jnl[[#This Row],[TrxId]], Trx[Id], Trx[Date],,0)</f>
        <v>46053</v>
      </c>
      <c r="C506" s="6" t="str">
        <f>_xlfn.XLOOKUP(Jnl[[#This Row],[TrxId]], Trx[Id], Trx[Division],,0)</f>
        <v>Online</v>
      </c>
      <c r="D506" s="6" t="str">
        <f>_xlfn.XLOOKUP(Jnl[[#This Row],[TrxId]], Trx[Id], Trx[Action],,0)</f>
        <v>采购</v>
      </c>
      <c r="E506" s="27" t="s">
        <v>82</v>
      </c>
      <c r="F506" s="10" t="s">
        <v>596</v>
      </c>
      <c r="G506" s="10" t="s">
        <v>396</v>
      </c>
      <c r="H506" s="37">
        <v>-77908.5</v>
      </c>
      <c r="I506" s="11" t="b">
        <f>AND(Jnl[[#This Row],[TrxId]]&lt;&gt;"",Jnl[[#This Row],[Acct]]&lt;&gt;"",Jnl[[#This Row],[Item]]&lt;&gt;"",ISNUMBER(Jnl[[#This Row],[Bal]]))</f>
        <v>1</v>
      </c>
      <c r="J506" s="9">
        <f>IF(Jnl[[#This Row],[BSLv0]]="A",1,-1)*Jnl[[#This Row],[Bal]]</f>
        <v>-77908.5</v>
      </c>
      <c r="K506" t="str">
        <f>_xlfn.XLOOKUP(Jnl[[#This Row],[Acct]], config_BS[Acct], config_BS[Lv0],,0)</f>
        <v>A</v>
      </c>
      <c r="L506" t="str">
        <f>_xlfn.XLOOKUP(Jnl[[#This Row],[Acct]], config_BS[Acct], config_BS[Lv1],,0)</f>
        <v>Assets</v>
      </c>
      <c r="M506" t="str">
        <f>_xlfn.XLOOKUP(Jnl[[#This Row],[Acct]], config_BS[Acct], config_BS[Lv2],,0)</f>
        <v>Cash alike</v>
      </c>
      <c r="N506" t="str">
        <f>_xlfn.XLOOKUP(Jnl[[#This Row],[TrxId]], Trx[Id], Trx[IncNode], ,0)</f>
        <v>Cost</v>
      </c>
      <c r="O506" t="str">
        <f>_xlfn.XLOOKUP(Jnl[[#This Row],[IncNode]], config_IS[Node], config_IS[Type],,0)</f>
        <v>Op</v>
      </c>
      <c r="P506" t="str">
        <f>_xlfn.XLOOKUP(Jnl[[#This Row],[BSLv2]], dict[Key], dict[Name],,0)</f>
        <v>0.现金及类似</v>
      </c>
      <c r="Q506" t="str">
        <f>_xlfn.XLOOKUP(Jnl[[#This Row],[Acct]], dict[Key], dict[Name],,0)</f>
        <v>银行</v>
      </c>
      <c r="R506" t="str">
        <f>_xlfn.XLOOKUP(Jnl[[#This Row],[Vehicle]],config_vehicle[Id], config_vehicle[Name],,0)</f>
        <v>远家花园</v>
      </c>
      <c r="S506" t="str">
        <f>_xlfn.XLOOKUP(Jnl[[#This Row],[Division]],config_div[Id], config_div[Name],,0)</f>
        <v>网店</v>
      </c>
      <c r="T506" t="str">
        <f>IF(Jnl[[#This Row],[TrxDate]]&lt;=stmt_BS_date_end, "In", "Out")</f>
        <v>In</v>
      </c>
      <c r="U506" t="str">
        <f>IF(Jnl[[#This Row],[TrxDate]]&lt;debug_date_start, "prior", IF(Jnl[[#This Row],[TrxDate]]&gt;debug_date_end, "post", "curr"))</f>
        <v>curr</v>
      </c>
    </row>
    <row r="507" spans="1:21" hidden="1">
      <c r="A507" s="39" t="s">
        <v>716</v>
      </c>
      <c r="B507" s="6">
        <f>_xlfn.XLOOKUP(Jnl[[#This Row],[TrxId]], Trx[Id], Trx[Date],,0)</f>
        <v>46053</v>
      </c>
      <c r="C507" s="6" t="str">
        <f>_xlfn.XLOOKUP(Jnl[[#This Row],[TrxId]], Trx[Id], Trx[Division],,0)</f>
        <v>Online</v>
      </c>
      <c r="D507" s="6" t="str">
        <f>_xlfn.XLOOKUP(Jnl[[#This Row],[TrxId]], Trx[Id], Trx[Action],,0)</f>
        <v>采购</v>
      </c>
      <c r="E507" s="27" t="s">
        <v>82</v>
      </c>
      <c r="F507" s="10" t="s">
        <v>604</v>
      </c>
      <c r="G507" s="10" t="s">
        <v>154</v>
      </c>
      <c r="H507" s="37">
        <f>-H506</f>
        <v>77908.5</v>
      </c>
      <c r="I507" s="11" t="b">
        <f>AND(Jnl[[#This Row],[TrxId]]&lt;&gt;"",Jnl[[#This Row],[Acct]]&lt;&gt;"",Jnl[[#This Row],[Item]]&lt;&gt;"",ISNUMBER(Jnl[[#This Row],[Bal]]))</f>
        <v>1</v>
      </c>
      <c r="J507" s="9">
        <f>IF(Jnl[[#This Row],[BSLv0]]="A",1,-1)*Jnl[[#This Row],[Bal]]</f>
        <v>77908.5</v>
      </c>
      <c r="K507" t="str">
        <f>_xlfn.XLOOKUP(Jnl[[#This Row],[Acct]], config_BS[Acct], config_BS[Lv0],,0)</f>
        <v>A</v>
      </c>
      <c r="L507" t="str">
        <f>_xlfn.XLOOKUP(Jnl[[#This Row],[Acct]], config_BS[Acct], config_BS[Lv1],,0)</f>
        <v>Assets</v>
      </c>
      <c r="M507" t="str">
        <f>_xlfn.XLOOKUP(Jnl[[#This Row],[Acct]], config_BS[Acct], config_BS[Lv2],,0)</f>
        <v>Invtr</v>
      </c>
      <c r="N507" t="str">
        <f>_xlfn.XLOOKUP(Jnl[[#This Row],[TrxId]], Trx[Id], Trx[IncNode], ,0)</f>
        <v>Cost</v>
      </c>
      <c r="O507" t="str">
        <f>_xlfn.XLOOKUP(Jnl[[#This Row],[IncNode]], config_IS[Node], config_IS[Type],,0)</f>
        <v>Op</v>
      </c>
      <c r="P507" t="str">
        <f>_xlfn.XLOOKUP(Jnl[[#This Row],[BSLv2]], dict[Key], dict[Name],,0)</f>
        <v>3.库存占款</v>
      </c>
      <c r="Q507" t="str">
        <f>_xlfn.XLOOKUP(Jnl[[#This Row],[Acct]], dict[Key], dict[Name],,0)</f>
        <v>当期存货</v>
      </c>
      <c r="R507" t="str">
        <f>_xlfn.XLOOKUP(Jnl[[#This Row],[Vehicle]],config_vehicle[Id], config_vehicle[Name],,0)</f>
        <v>远家花园</v>
      </c>
      <c r="S507" t="str">
        <f>_xlfn.XLOOKUP(Jnl[[#This Row],[Division]],config_div[Id], config_div[Name],,0)</f>
        <v>网店</v>
      </c>
      <c r="T507" t="str">
        <f>IF(Jnl[[#This Row],[TrxDate]]&lt;=stmt_BS_date_end, "In", "Out")</f>
        <v>In</v>
      </c>
      <c r="U507" t="str">
        <f>IF(Jnl[[#This Row],[TrxDate]]&lt;debug_date_start, "prior", IF(Jnl[[#This Row],[TrxDate]]&gt;debug_date_end, "post", "curr"))</f>
        <v>curr</v>
      </c>
    </row>
    <row r="508" spans="1:21" hidden="1">
      <c r="A508" s="39" t="s">
        <v>717</v>
      </c>
      <c r="B508" s="6">
        <f>_xlfn.XLOOKUP(Jnl[[#This Row],[TrxId]], Trx[Id], Trx[Date],,0)</f>
        <v>46053</v>
      </c>
      <c r="C508" s="6" t="str">
        <f>_xlfn.XLOOKUP(Jnl[[#This Row],[TrxId]], Trx[Id], Trx[Division],,0)</f>
        <v>GM</v>
      </c>
      <c r="D508" s="6" t="str">
        <f>_xlfn.XLOOKUP(Jnl[[#This Row],[TrxId]], Trx[Id], Trx[Action],,0)</f>
        <v>薪酬-社保</v>
      </c>
      <c r="E508" s="27" t="s">
        <v>82</v>
      </c>
      <c r="F508" s="10" t="s">
        <v>596</v>
      </c>
      <c r="G508" s="10" t="s">
        <v>396</v>
      </c>
      <c r="H508" s="37">
        <v>-83998.38</v>
      </c>
      <c r="I508" s="11" t="b">
        <f>AND(Jnl[[#This Row],[TrxId]]&lt;&gt;"",Jnl[[#This Row],[Acct]]&lt;&gt;"",Jnl[[#This Row],[Item]]&lt;&gt;"",ISNUMBER(Jnl[[#This Row],[Bal]]))</f>
        <v>1</v>
      </c>
      <c r="J508" s="9">
        <f>IF(Jnl[[#This Row],[BSLv0]]="A",1,-1)*Jnl[[#This Row],[Bal]]</f>
        <v>-83998.38</v>
      </c>
      <c r="K508" t="str">
        <f>_xlfn.XLOOKUP(Jnl[[#This Row],[Acct]], config_BS[Acct], config_BS[Lv0],,0)</f>
        <v>A</v>
      </c>
      <c r="L508" t="str">
        <f>_xlfn.XLOOKUP(Jnl[[#This Row],[Acct]], config_BS[Acct], config_BS[Lv1],,0)</f>
        <v>Assets</v>
      </c>
      <c r="M508" t="str">
        <f>_xlfn.XLOOKUP(Jnl[[#This Row],[Acct]], config_BS[Acct], config_BS[Lv2],,0)</f>
        <v>Cash alike</v>
      </c>
      <c r="N508" t="str">
        <f>_xlfn.XLOOKUP(Jnl[[#This Row],[TrxId]], Trx[Id], Trx[IncNode], ,0)</f>
        <v>Expense</v>
      </c>
      <c r="O508" t="str">
        <f>_xlfn.XLOOKUP(Jnl[[#This Row],[IncNode]], config_IS[Node], config_IS[Type],,0)</f>
        <v>Op</v>
      </c>
      <c r="P508" t="str">
        <f>_xlfn.XLOOKUP(Jnl[[#This Row],[BSLv2]], dict[Key], dict[Name],,0)</f>
        <v>0.现金及类似</v>
      </c>
      <c r="Q508" t="str">
        <f>_xlfn.XLOOKUP(Jnl[[#This Row],[Acct]], dict[Key], dict[Name],,0)</f>
        <v>银行</v>
      </c>
      <c r="R508" t="str">
        <f>_xlfn.XLOOKUP(Jnl[[#This Row],[Vehicle]],config_vehicle[Id], config_vehicle[Name],,0)</f>
        <v>远家花园</v>
      </c>
      <c r="S508" t="str">
        <f>_xlfn.XLOOKUP(Jnl[[#This Row],[Division]],config_div[Id], config_div[Name],,0)</f>
        <v>综合管理</v>
      </c>
      <c r="T508" t="str">
        <f>IF(Jnl[[#This Row],[TrxDate]]&lt;=stmt_BS_date_end, "In", "Out")</f>
        <v>In</v>
      </c>
      <c r="U508" t="str">
        <f>IF(Jnl[[#This Row],[TrxDate]]&lt;debug_date_start, "prior", IF(Jnl[[#This Row],[TrxDate]]&gt;debug_date_end, "post", "curr"))</f>
        <v>curr</v>
      </c>
    </row>
    <row r="509" spans="1:21" hidden="1">
      <c r="A509" s="39" t="s">
        <v>717</v>
      </c>
      <c r="B509" s="6">
        <f>_xlfn.XLOOKUP(Jnl[[#This Row],[TrxId]], Trx[Id], Trx[Date],,0)</f>
        <v>46053</v>
      </c>
      <c r="C509" s="6" t="str">
        <f>_xlfn.XLOOKUP(Jnl[[#This Row],[TrxId]], Trx[Id], Trx[Division],,0)</f>
        <v>GM</v>
      </c>
      <c r="D509" s="6" t="str">
        <f>_xlfn.XLOOKUP(Jnl[[#This Row],[TrxId]], Trx[Id], Trx[Action],,0)</f>
        <v>薪酬-社保</v>
      </c>
      <c r="E509" s="27" t="s">
        <v>82</v>
      </c>
      <c r="F509" s="10" t="s">
        <v>601</v>
      </c>
      <c r="G509" s="10" t="s">
        <v>349</v>
      </c>
      <c r="H509" s="37">
        <v>24591.75</v>
      </c>
      <c r="I509" s="11" t="b">
        <f>AND(Jnl[[#This Row],[TrxId]]&lt;&gt;"",Jnl[[#This Row],[Acct]]&lt;&gt;"",Jnl[[#This Row],[Item]]&lt;&gt;"",ISNUMBER(Jnl[[#This Row],[Bal]]))</f>
        <v>1</v>
      </c>
      <c r="J509" s="9">
        <f>IF(Jnl[[#This Row],[BSLv0]]="A",1,-1)*Jnl[[#This Row],[Bal]]</f>
        <v>24591.75</v>
      </c>
      <c r="K509" t="str">
        <f>_xlfn.XLOOKUP(Jnl[[#This Row],[Acct]], config_BS[Acct], config_BS[Lv0],,0)</f>
        <v>A</v>
      </c>
      <c r="L509" t="str">
        <f>_xlfn.XLOOKUP(Jnl[[#This Row],[Acct]], config_BS[Acct], config_BS[Lv1],,0)</f>
        <v>Assets</v>
      </c>
      <c r="M509" t="str">
        <f>_xlfn.XLOOKUP(Jnl[[#This Row],[Acct]], config_BS[Acct], config_BS[Lv2],,0)</f>
        <v>Rec-Pay</v>
      </c>
      <c r="N509" t="str">
        <f>_xlfn.XLOOKUP(Jnl[[#This Row],[TrxId]], Trx[Id], Trx[IncNode], ,0)</f>
        <v>Expense</v>
      </c>
      <c r="O509" t="str">
        <f>_xlfn.XLOOKUP(Jnl[[#This Row],[IncNode]], config_IS[Node], config_IS[Type],,0)</f>
        <v>Op</v>
      </c>
      <c r="P509" t="str">
        <f>_xlfn.XLOOKUP(Jnl[[#This Row],[BSLv2]], dict[Key], dict[Name],,0)</f>
        <v>1.应收-应付</v>
      </c>
      <c r="Q509" t="str">
        <f>_xlfn.XLOOKUP(Jnl[[#This Row],[Acct]], dict[Key], dict[Name],,0)</f>
        <v>应收-其他</v>
      </c>
      <c r="R509" t="str">
        <f>_xlfn.XLOOKUP(Jnl[[#This Row],[Vehicle]],config_vehicle[Id], config_vehicle[Name],,0)</f>
        <v>远家花园</v>
      </c>
      <c r="S509" t="str">
        <f>_xlfn.XLOOKUP(Jnl[[#This Row],[Division]],config_div[Id], config_div[Name],,0)</f>
        <v>综合管理</v>
      </c>
      <c r="T509" t="str">
        <f>IF(Jnl[[#This Row],[TrxDate]]&lt;=stmt_BS_date_end, "In", "Out")</f>
        <v>In</v>
      </c>
      <c r="U509" t="str">
        <f>IF(Jnl[[#This Row],[TrxDate]]&lt;debug_date_start, "prior", IF(Jnl[[#This Row],[TrxDate]]&gt;debug_date_end, "post", "curr"))</f>
        <v>curr</v>
      </c>
    </row>
    <row r="510" spans="1:21" hidden="1">
      <c r="A510" s="39" t="s">
        <v>718</v>
      </c>
      <c r="B510" s="6">
        <f>_xlfn.XLOOKUP(Jnl[[#This Row],[TrxId]], Trx[Id], Trx[Date],,0)</f>
        <v>46053</v>
      </c>
      <c r="C510" s="6" t="str">
        <f>_xlfn.XLOOKUP(Jnl[[#This Row],[TrxId]], Trx[Id], Trx[Division],,0)</f>
        <v>Brand</v>
      </c>
      <c r="D510" s="6" t="str">
        <f>_xlfn.XLOOKUP(Jnl[[#This Row],[TrxId]], Trx[Id], Trx[Action],,0)</f>
        <v>拍摄</v>
      </c>
      <c r="E510" s="27" t="s">
        <v>82</v>
      </c>
      <c r="F510" s="10" t="s">
        <v>596</v>
      </c>
      <c r="G510" s="10" t="s">
        <v>396</v>
      </c>
      <c r="H510" s="37">
        <v>-829.9</v>
      </c>
      <c r="I510" s="11" t="b">
        <f>AND(Jnl[[#This Row],[TrxId]]&lt;&gt;"",Jnl[[#This Row],[Acct]]&lt;&gt;"",Jnl[[#This Row],[Item]]&lt;&gt;"",ISNUMBER(Jnl[[#This Row],[Bal]]))</f>
        <v>1</v>
      </c>
      <c r="J510" s="9">
        <f>IF(Jnl[[#This Row],[BSLv0]]="A",1,-1)*Jnl[[#This Row],[Bal]]</f>
        <v>-829.9</v>
      </c>
      <c r="K510" t="str">
        <f>_xlfn.XLOOKUP(Jnl[[#This Row],[Acct]], config_BS[Acct], config_BS[Lv0],,0)</f>
        <v>A</v>
      </c>
      <c r="L510" t="str">
        <f>_xlfn.XLOOKUP(Jnl[[#This Row],[Acct]], config_BS[Acct], config_BS[Lv1],,0)</f>
        <v>Assets</v>
      </c>
      <c r="M510" t="str">
        <f>_xlfn.XLOOKUP(Jnl[[#This Row],[Acct]], config_BS[Acct], config_BS[Lv2],,0)</f>
        <v>Cash alike</v>
      </c>
      <c r="N510" t="str">
        <f>_xlfn.XLOOKUP(Jnl[[#This Row],[TrxId]], Trx[Id], Trx[IncNode], ,0)</f>
        <v>Expense</v>
      </c>
      <c r="O510" t="str">
        <f>_xlfn.XLOOKUP(Jnl[[#This Row],[IncNode]], config_IS[Node], config_IS[Type],,0)</f>
        <v>Op</v>
      </c>
      <c r="P510" t="str">
        <f>_xlfn.XLOOKUP(Jnl[[#This Row],[BSLv2]], dict[Key], dict[Name],,0)</f>
        <v>0.现金及类似</v>
      </c>
      <c r="Q510" t="str">
        <f>_xlfn.XLOOKUP(Jnl[[#This Row],[Acct]], dict[Key], dict[Name],,0)</f>
        <v>银行</v>
      </c>
      <c r="R510" t="str">
        <f>_xlfn.XLOOKUP(Jnl[[#This Row],[Vehicle]],config_vehicle[Id], config_vehicle[Name],,0)</f>
        <v>远家花园</v>
      </c>
      <c r="S510" t="str">
        <f>_xlfn.XLOOKUP(Jnl[[#This Row],[Division]],config_div[Id], config_div[Name],,0)</f>
        <v>品牌</v>
      </c>
      <c r="T510" t="str">
        <f>IF(Jnl[[#This Row],[TrxDate]]&lt;=stmt_BS_date_end, "In", "Out")</f>
        <v>In</v>
      </c>
      <c r="U510" t="str">
        <f>IF(Jnl[[#This Row],[TrxDate]]&lt;debug_date_start, "prior", IF(Jnl[[#This Row],[TrxDate]]&gt;debug_date_end, "post", "curr"))</f>
        <v>curr</v>
      </c>
    </row>
    <row r="511" spans="1:21" hidden="1">
      <c r="A511" s="39" t="s">
        <v>719</v>
      </c>
      <c r="B511" s="6">
        <f>_xlfn.XLOOKUP(Jnl[[#This Row],[TrxId]], Trx[Id], Trx[Date],,0)</f>
        <v>46053</v>
      </c>
      <c r="C511" s="6" t="str">
        <f>_xlfn.XLOOKUP(Jnl[[#This Row],[TrxId]], Trx[Id], Trx[Division],,0)</f>
        <v>GM</v>
      </c>
      <c r="D511" s="6" t="str">
        <f>_xlfn.XLOOKUP(Jnl[[#This Row],[TrxId]], Trx[Id], Trx[Action],,0)</f>
        <v>薪酬-工资</v>
      </c>
      <c r="E511" s="27" t="s">
        <v>82</v>
      </c>
      <c r="F511" s="10" t="s">
        <v>596</v>
      </c>
      <c r="G511" s="10" t="s">
        <v>396</v>
      </c>
      <c r="H511" s="37">
        <v>-5000</v>
      </c>
      <c r="I511" s="11" t="b">
        <f>AND(Jnl[[#This Row],[TrxId]]&lt;&gt;"",Jnl[[#This Row],[Acct]]&lt;&gt;"",Jnl[[#This Row],[Item]]&lt;&gt;"",ISNUMBER(Jnl[[#This Row],[Bal]]))</f>
        <v>1</v>
      </c>
      <c r="J511" s="9">
        <f>IF(Jnl[[#This Row],[BSLv0]]="A",1,-1)*Jnl[[#This Row],[Bal]]</f>
        <v>-5000</v>
      </c>
      <c r="K511" t="str">
        <f>_xlfn.XLOOKUP(Jnl[[#This Row],[Acct]], config_BS[Acct], config_BS[Lv0],,0)</f>
        <v>A</v>
      </c>
      <c r="L511" t="str">
        <f>_xlfn.XLOOKUP(Jnl[[#This Row],[Acct]], config_BS[Acct], config_BS[Lv1],,0)</f>
        <v>Assets</v>
      </c>
      <c r="M511" t="str">
        <f>_xlfn.XLOOKUP(Jnl[[#This Row],[Acct]], config_BS[Acct], config_BS[Lv2],,0)</f>
        <v>Cash alike</v>
      </c>
      <c r="N511" t="str">
        <f>_xlfn.XLOOKUP(Jnl[[#This Row],[TrxId]], Trx[Id], Trx[IncNode], ,0)</f>
        <v>Expense</v>
      </c>
      <c r="O511" t="str">
        <f>_xlfn.XLOOKUP(Jnl[[#This Row],[IncNode]], config_IS[Node], config_IS[Type],,0)</f>
        <v>Op</v>
      </c>
      <c r="P511" t="str">
        <f>_xlfn.XLOOKUP(Jnl[[#This Row],[BSLv2]], dict[Key], dict[Name],,0)</f>
        <v>0.现金及类似</v>
      </c>
      <c r="Q511" t="str">
        <f>_xlfn.XLOOKUP(Jnl[[#This Row],[Acct]], dict[Key], dict[Name],,0)</f>
        <v>银行</v>
      </c>
      <c r="R511" t="str">
        <f>_xlfn.XLOOKUP(Jnl[[#This Row],[Vehicle]],config_vehicle[Id], config_vehicle[Name],,0)</f>
        <v>远家花园</v>
      </c>
      <c r="S511" t="str">
        <f>_xlfn.XLOOKUP(Jnl[[#This Row],[Division]],config_div[Id], config_div[Name],,0)</f>
        <v>综合管理</v>
      </c>
      <c r="T511" t="str">
        <f>IF(Jnl[[#This Row],[TrxDate]]&lt;=stmt_BS_date_end, "In", "Out")</f>
        <v>In</v>
      </c>
      <c r="U511" t="str">
        <f>IF(Jnl[[#This Row],[TrxDate]]&lt;debug_date_start, "prior", IF(Jnl[[#This Row],[TrxDate]]&gt;debug_date_end, "post", "curr"))</f>
        <v>curr</v>
      </c>
    </row>
    <row r="512" spans="1:21" hidden="1">
      <c r="A512" s="39" t="s">
        <v>720</v>
      </c>
      <c r="B512" s="6">
        <f>_xlfn.XLOOKUP(Jnl[[#This Row],[TrxId]], Trx[Id], Trx[Date],,0)</f>
        <v>46053</v>
      </c>
      <c r="C512" s="6" t="str">
        <f>_xlfn.XLOOKUP(Jnl[[#This Row],[TrxId]], Trx[Id], Trx[Division],,0)</f>
        <v>Online</v>
      </c>
      <c r="D512" s="6" t="str">
        <f>_xlfn.XLOOKUP(Jnl[[#This Row],[TrxId]], Trx[Id], Trx[Action],,0)</f>
        <v>收款</v>
      </c>
      <c r="E512" s="27" t="s">
        <v>82</v>
      </c>
      <c r="F512" s="10" t="s">
        <v>596</v>
      </c>
      <c r="G512" s="10" t="s">
        <v>396</v>
      </c>
      <c r="H512" s="37">
        <v>720101.65</v>
      </c>
      <c r="I512" s="11" t="b">
        <f>AND(Jnl[[#This Row],[TrxId]]&lt;&gt;"",Jnl[[#This Row],[Acct]]&lt;&gt;"",Jnl[[#This Row],[Item]]&lt;&gt;"",ISNUMBER(Jnl[[#This Row],[Bal]]))</f>
        <v>1</v>
      </c>
      <c r="J512" s="9">
        <f>IF(Jnl[[#This Row],[BSLv0]]="A",1,-1)*Jnl[[#This Row],[Bal]]</f>
        <v>720101.65</v>
      </c>
      <c r="K512" t="str">
        <f>_xlfn.XLOOKUP(Jnl[[#This Row],[Acct]], config_BS[Acct], config_BS[Lv0],,0)</f>
        <v>A</v>
      </c>
      <c r="L512" t="str">
        <f>_xlfn.XLOOKUP(Jnl[[#This Row],[Acct]], config_BS[Acct], config_BS[Lv1],,0)</f>
        <v>Assets</v>
      </c>
      <c r="M512" t="str">
        <f>_xlfn.XLOOKUP(Jnl[[#This Row],[Acct]], config_BS[Acct], config_BS[Lv2],,0)</f>
        <v>Cash alike</v>
      </c>
      <c r="N512" t="str">
        <f>_xlfn.XLOOKUP(Jnl[[#This Row],[TrxId]], Trx[Id], Trx[IncNode], ,0)</f>
        <v>Revenue</v>
      </c>
      <c r="O512" t="str">
        <f>_xlfn.XLOOKUP(Jnl[[#This Row],[IncNode]], config_IS[Node], config_IS[Type],,0)</f>
        <v>Op</v>
      </c>
      <c r="P512" t="str">
        <f>_xlfn.XLOOKUP(Jnl[[#This Row],[BSLv2]], dict[Key], dict[Name],,0)</f>
        <v>0.现金及类似</v>
      </c>
      <c r="Q512" t="str">
        <f>_xlfn.XLOOKUP(Jnl[[#This Row],[Acct]], dict[Key], dict[Name],,0)</f>
        <v>银行</v>
      </c>
      <c r="R512" t="str">
        <f>_xlfn.XLOOKUP(Jnl[[#This Row],[Vehicle]],config_vehicle[Id], config_vehicle[Name],,0)</f>
        <v>远家花园</v>
      </c>
      <c r="S512" t="str">
        <f>_xlfn.XLOOKUP(Jnl[[#This Row],[Division]],config_div[Id], config_div[Name],,0)</f>
        <v>网店</v>
      </c>
      <c r="T512" t="str">
        <f>IF(Jnl[[#This Row],[TrxDate]]&lt;=stmt_BS_date_end, "In", "Out")</f>
        <v>In</v>
      </c>
      <c r="U512" t="str">
        <f>IF(Jnl[[#This Row],[TrxDate]]&lt;debug_date_start, "prior", IF(Jnl[[#This Row],[TrxDate]]&gt;debug_date_end, "post", "curr"))</f>
        <v>curr</v>
      </c>
    </row>
    <row r="513" spans="1:21" hidden="1">
      <c r="A513" s="39" t="s">
        <v>720</v>
      </c>
      <c r="B513" s="6">
        <f>_xlfn.XLOOKUP(Jnl[[#This Row],[TrxId]], Trx[Id], Trx[Date],,0)</f>
        <v>46053</v>
      </c>
      <c r="C513" s="6" t="str">
        <f>_xlfn.XLOOKUP(Jnl[[#This Row],[TrxId]], Trx[Id], Trx[Division],,0)</f>
        <v>Online</v>
      </c>
      <c r="D513" s="6" t="str">
        <f>_xlfn.XLOOKUP(Jnl[[#This Row],[TrxId]], Trx[Id], Trx[Action],,0)</f>
        <v>收款</v>
      </c>
      <c r="E513" s="27" t="s">
        <v>82</v>
      </c>
      <c r="F513" s="10" t="s">
        <v>599</v>
      </c>
      <c r="G513" s="10" t="s">
        <v>600</v>
      </c>
      <c r="H513" s="37">
        <v>-720101.65</v>
      </c>
      <c r="I513" s="11" t="b">
        <f>AND(Jnl[[#This Row],[TrxId]]&lt;&gt;"",Jnl[[#This Row],[Acct]]&lt;&gt;"",Jnl[[#This Row],[Item]]&lt;&gt;"",ISNUMBER(Jnl[[#This Row],[Bal]]))</f>
        <v>1</v>
      </c>
      <c r="J513" s="9">
        <f>IF(Jnl[[#This Row],[BSLv0]]="A",1,-1)*Jnl[[#This Row],[Bal]]</f>
        <v>-720101.65</v>
      </c>
      <c r="K513" t="str">
        <f>_xlfn.XLOOKUP(Jnl[[#This Row],[Acct]], config_BS[Acct], config_BS[Lv0],,0)</f>
        <v>A</v>
      </c>
      <c r="L513" t="str">
        <f>_xlfn.XLOOKUP(Jnl[[#This Row],[Acct]], config_BS[Acct], config_BS[Lv1],,0)</f>
        <v>Assets</v>
      </c>
      <c r="M513" t="str">
        <f>_xlfn.XLOOKUP(Jnl[[#This Row],[Acct]], config_BS[Acct], config_BS[Lv2],,0)</f>
        <v>Rec-Pay</v>
      </c>
      <c r="N513" t="str">
        <f>_xlfn.XLOOKUP(Jnl[[#This Row],[TrxId]], Trx[Id], Trx[IncNode], ,0)</f>
        <v>Revenue</v>
      </c>
      <c r="O513" t="str">
        <f>_xlfn.XLOOKUP(Jnl[[#This Row],[IncNode]], config_IS[Node], config_IS[Type],,0)</f>
        <v>Op</v>
      </c>
      <c r="P513" t="str">
        <f>_xlfn.XLOOKUP(Jnl[[#This Row],[BSLv2]], dict[Key], dict[Name],,0)</f>
        <v>1.应收-应付</v>
      </c>
      <c r="Q513" t="str">
        <f>_xlfn.XLOOKUP(Jnl[[#This Row],[Acct]], dict[Key], dict[Name],,0)</f>
        <v>应收-一般</v>
      </c>
      <c r="R513" t="str">
        <f>_xlfn.XLOOKUP(Jnl[[#This Row],[Vehicle]],config_vehicle[Id], config_vehicle[Name],,0)</f>
        <v>远家花园</v>
      </c>
      <c r="S513" t="str">
        <f>_xlfn.XLOOKUP(Jnl[[#This Row],[Division]],config_div[Id], config_div[Name],,0)</f>
        <v>网店</v>
      </c>
      <c r="T513" t="str">
        <f>IF(Jnl[[#This Row],[TrxDate]]&lt;=stmt_BS_date_end, "In", "Out")</f>
        <v>In</v>
      </c>
      <c r="U513" t="str">
        <f>IF(Jnl[[#This Row],[TrxDate]]&lt;debug_date_start, "prior", IF(Jnl[[#This Row],[TrxDate]]&gt;debug_date_end, "post", "curr"))</f>
        <v>curr</v>
      </c>
    </row>
    <row r="514" spans="1:21" hidden="1">
      <c r="A514" s="39" t="s">
        <v>721</v>
      </c>
      <c r="B514" s="6">
        <f>_xlfn.XLOOKUP(Jnl[[#This Row],[TrxId]], Trx[Id], Trx[Date],,0)</f>
        <v>46053</v>
      </c>
      <c r="C514" s="6" t="str">
        <f>_xlfn.XLOOKUP(Jnl[[#This Row],[TrxId]], Trx[Id], Trx[Division],,0)</f>
        <v>GM</v>
      </c>
      <c r="D514" s="6" t="str">
        <f>_xlfn.XLOOKUP(Jnl[[#This Row],[TrxId]], Trx[Id], Trx[Action],,0)</f>
        <v>福利</v>
      </c>
      <c r="E514" s="27" t="s">
        <v>82</v>
      </c>
      <c r="F514" s="10" t="s">
        <v>596</v>
      </c>
      <c r="G514" s="10" t="s">
        <v>396</v>
      </c>
      <c r="H514" s="37">
        <v>-1881.9</v>
      </c>
      <c r="I514" s="11" t="b">
        <f>AND(Jnl[[#This Row],[TrxId]]&lt;&gt;"",Jnl[[#This Row],[Acct]]&lt;&gt;"",Jnl[[#This Row],[Item]]&lt;&gt;"",ISNUMBER(Jnl[[#This Row],[Bal]]))</f>
        <v>1</v>
      </c>
      <c r="J514" s="9">
        <f>IF(Jnl[[#This Row],[BSLv0]]="A",1,-1)*Jnl[[#This Row],[Bal]]</f>
        <v>-1881.9</v>
      </c>
      <c r="K514" t="str">
        <f>_xlfn.XLOOKUP(Jnl[[#This Row],[Acct]], config_BS[Acct], config_BS[Lv0],,0)</f>
        <v>A</v>
      </c>
      <c r="L514" t="str">
        <f>_xlfn.XLOOKUP(Jnl[[#This Row],[Acct]], config_BS[Acct], config_BS[Lv1],,0)</f>
        <v>Assets</v>
      </c>
      <c r="M514" t="str">
        <f>_xlfn.XLOOKUP(Jnl[[#This Row],[Acct]], config_BS[Acct], config_BS[Lv2],,0)</f>
        <v>Cash alike</v>
      </c>
      <c r="N514" t="str">
        <f>_xlfn.XLOOKUP(Jnl[[#This Row],[TrxId]], Trx[Id], Trx[IncNode], ,0)</f>
        <v>Expense</v>
      </c>
      <c r="O514" t="str">
        <f>_xlfn.XLOOKUP(Jnl[[#This Row],[IncNode]], config_IS[Node], config_IS[Type],,0)</f>
        <v>Op</v>
      </c>
      <c r="P514" t="str">
        <f>_xlfn.XLOOKUP(Jnl[[#This Row],[BSLv2]], dict[Key], dict[Name],,0)</f>
        <v>0.现金及类似</v>
      </c>
      <c r="Q514" t="str">
        <f>_xlfn.XLOOKUP(Jnl[[#This Row],[Acct]], dict[Key], dict[Name],,0)</f>
        <v>银行</v>
      </c>
      <c r="R514" t="str">
        <f>_xlfn.XLOOKUP(Jnl[[#This Row],[Vehicle]],config_vehicle[Id], config_vehicle[Name],,0)</f>
        <v>远家花园</v>
      </c>
      <c r="S514" t="str">
        <f>_xlfn.XLOOKUP(Jnl[[#This Row],[Division]],config_div[Id], config_div[Name],,0)</f>
        <v>综合管理</v>
      </c>
      <c r="T514" t="str">
        <f>IF(Jnl[[#This Row],[TrxDate]]&lt;=stmt_BS_date_end, "In", "Out")</f>
        <v>In</v>
      </c>
      <c r="U514" t="str">
        <f>IF(Jnl[[#This Row],[TrxDate]]&lt;debug_date_start, "prior", IF(Jnl[[#This Row],[TrxDate]]&gt;debug_date_end, "post", "curr"))</f>
        <v>curr</v>
      </c>
    </row>
    <row r="515" spans="1:21" hidden="1">
      <c r="A515" s="39" t="s">
        <v>722</v>
      </c>
      <c r="B515" s="6">
        <f>_xlfn.XLOOKUP(Jnl[[#This Row],[TrxId]], Trx[Id], Trx[Date],,0)</f>
        <v>46053</v>
      </c>
      <c r="C515" s="6" t="str">
        <f>_xlfn.XLOOKUP(Jnl[[#This Row],[TrxId]], Trx[Id], Trx[Division],,0)</f>
        <v>GM</v>
      </c>
      <c r="D515" s="6" t="str">
        <f>_xlfn.XLOOKUP(Jnl[[#This Row],[TrxId]], Trx[Id], Trx[Action],,0)</f>
        <v>福利</v>
      </c>
      <c r="E515" s="27" t="s">
        <v>82</v>
      </c>
      <c r="F515" s="10" t="s">
        <v>596</v>
      </c>
      <c r="G515" s="10" t="s">
        <v>396</v>
      </c>
      <c r="H515" s="37">
        <v>-10283</v>
      </c>
      <c r="I515" s="11" t="b">
        <f>AND(Jnl[[#This Row],[TrxId]]&lt;&gt;"",Jnl[[#This Row],[Acct]]&lt;&gt;"",Jnl[[#This Row],[Item]]&lt;&gt;"",ISNUMBER(Jnl[[#This Row],[Bal]]))</f>
        <v>1</v>
      </c>
      <c r="J515" s="9">
        <f>IF(Jnl[[#This Row],[BSLv0]]="A",1,-1)*Jnl[[#This Row],[Bal]]</f>
        <v>-10283</v>
      </c>
      <c r="K515" t="str">
        <f>_xlfn.XLOOKUP(Jnl[[#This Row],[Acct]], config_BS[Acct], config_BS[Lv0],,0)</f>
        <v>A</v>
      </c>
      <c r="L515" t="str">
        <f>_xlfn.XLOOKUP(Jnl[[#This Row],[Acct]], config_BS[Acct], config_BS[Lv1],,0)</f>
        <v>Assets</v>
      </c>
      <c r="M515" t="str">
        <f>_xlfn.XLOOKUP(Jnl[[#This Row],[Acct]], config_BS[Acct], config_BS[Lv2],,0)</f>
        <v>Cash alike</v>
      </c>
      <c r="N515" t="str">
        <f>_xlfn.XLOOKUP(Jnl[[#This Row],[TrxId]], Trx[Id], Trx[IncNode], ,0)</f>
        <v>Expense</v>
      </c>
      <c r="O515" t="str">
        <f>_xlfn.XLOOKUP(Jnl[[#This Row],[IncNode]], config_IS[Node], config_IS[Type],,0)</f>
        <v>Op</v>
      </c>
      <c r="P515" t="str">
        <f>_xlfn.XLOOKUP(Jnl[[#This Row],[BSLv2]], dict[Key], dict[Name],,0)</f>
        <v>0.现金及类似</v>
      </c>
      <c r="Q515" t="str">
        <f>_xlfn.XLOOKUP(Jnl[[#This Row],[Acct]], dict[Key], dict[Name],,0)</f>
        <v>银行</v>
      </c>
      <c r="R515" t="str">
        <f>_xlfn.XLOOKUP(Jnl[[#This Row],[Vehicle]],config_vehicle[Id], config_vehicle[Name],,0)</f>
        <v>远家花园</v>
      </c>
      <c r="S515" t="str">
        <f>_xlfn.XLOOKUP(Jnl[[#This Row],[Division]],config_div[Id], config_div[Name],,0)</f>
        <v>综合管理</v>
      </c>
      <c r="T515" t="str">
        <f>IF(Jnl[[#This Row],[TrxDate]]&lt;=stmt_BS_date_end, "In", "Out")</f>
        <v>In</v>
      </c>
      <c r="U515" t="str">
        <f>IF(Jnl[[#This Row],[TrxDate]]&lt;debug_date_start, "prior", IF(Jnl[[#This Row],[TrxDate]]&gt;debug_date_end, "post", "curr"))</f>
        <v>curr</v>
      </c>
    </row>
    <row r="516" spans="1:21" hidden="1">
      <c r="A516" s="39" t="s">
        <v>723</v>
      </c>
      <c r="B516" s="6">
        <f>_xlfn.XLOOKUP(Jnl[[#This Row],[TrxId]], Trx[Id], Trx[Date],,0)</f>
        <v>46053</v>
      </c>
      <c r="C516" s="6" t="str">
        <f>_xlfn.XLOOKUP(Jnl[[#This Row],[TrxId]], Trx[Id], Trx[Division],,0)</f>
        <v>Online</v>
      </c>
      <c r="D516" s="6" t="str">
        <f>_xlfn.XLOOKUP(Jnl[[#This Row],[TrxId]], Trx[Id], Trx[Action],,0)</f>
        <v>采购</v>
      </c>
      <c r="E516" s="27" t="s">
        <v>82</v>
      </c>
      <c r="F516" s="10" t="s">
        <v>596</v>
      </c>
      <c r="G516" s="10" t="s">
        <v>396</v>
      </c>
      <c r="H516" s="37">
        <v>-1925</v>
      </c>
      <c r="I516" s="11" t="b">
        <f>AND(Jnl[[#This Row],[TrxId]]&lt;&gt;"",Jnl[[#This Row],[Acct]]&lt;&gt;"",Jnl[[#This Row],[Item]]&lt;&gt;"",ISNUMBER(Jnl[[#This Row],[Bal]]))</f>
        <v>1</v>
      </c>
      <c r="J516" s="9">
        <f>IF(Jnl[[#This Row],[BSLv0]]="A",1,-1)*Jnl[[#This Row],[Bal]]</f>
        <v>-1925</v>
      </c>
      <c r="K516" t="str">
        <f>_xlfn.XLOOKUP(Jnl[[#This Row],[Acct]], config_BS[Acct], config_BS[Lv0],,0)</f>
        <v>A</v>
      </c>
      <c r="L516" t="str">
        <f>_xlfn.XLOOKUP(Jnl[[#This Row],[Acct]], config_BS[Acct], config_BS[Lv1],,0)</f>
        <v>Assets</v>
      </c>
      <c r="M516" t="str">
        <f>_xlfn.XLOOKUP(Jnl[[#This Row],[Acct]], config_BS[Acct], config_BS[Lv2],,0)</f>
        <v>Cash alike</v>
      </c>
      <c r="N516" t="str">
        <f>_xlfn.XLOOKUP(Jnl[[#This Row],[TrxId]], Trx[Id], Trx[IncNode], ,0)</f>
        <v>Cost</v>
      </c>
      <c r="O516" t="str">
        <f>_xlfn.XLOOKUP(Jnl[[#This Row],[IncNode]], config_IS[Node], config_IS[Type],,0)</f>
        <v>Op</v>
      </c>
      <c r="P516" t="str">
        <f>_xlfn.XLOOKUP(Jnl[[#This Row],[BSLv2]], dict[Key], dict[Name],,0)</f>
        <v>0.现金及类似</v>
      </c>
      <c r="Q516" t="str">
        <f>_xlfn.XLOOKUP(Jnl[[#This Row],[Acct]], dict[Key], dict[Name],,0)</f>
        <v>银行</v>
      </c>
      <c r="R516" t="str">
        <f>_xlfn.XLOOKUP(Jnl[[#This Row],[Vehicle]],config_vehicle[Id], config_vehicle[Name],,0)</f>
        <v>远家花园</v>
      </c>
      <c r="S516" t="str">
        <f>_xlfn.XLOOKUP(Jnl[[#This Row],[Division]],config_div[Id], config_div[Name],,0)</f>
        <v>网店</v>
      </c>
      <c r="T516" t="str">
        <f>IF(Jnl[[#This Row],[TrxDate]]&lt;=stmt_BS_date_end, "In", "Out")</f>
        <v>In</v>
      </c>
      <c r="U516" t="str">
        <f>IF(Jnl[[#This Row],[TrxDate]]&lt;debug_date_start, "prior", IF(Jnl[[#This Row],[TrxDate]]&gt;debug_date_end, "post", "curr"))</f>
        <v>curr</v>
      </c>
    </row>
    <row r="517" spans="1:21" hidden="1">
      <c r="A517" s="39" t="s">
        <v>723</v>
      </c>
      <c r="B517" s="6">
        <f>_xlfn.XLOOKUP(Jnl[[#This Row],[TrxId]], Trx[Id], Trx[Date],,0)</f>
        <v>46053</v>
      </c>
      <c r="C517" s="6" t="str">
        <f>_xlfn.XLOOKUP(Jnl[[#This Row],[TrxId]], Trx[Id], Trx[Division],,0)</f>
        <v>Online</v>
      </c>
      <c r="D517" s="6" t="str">
        <f>_xlfn.XLOOKUP(Jnl[[#This Row],[TrxId]], Trx[Id], Trx[Action],,0)</f>
        <v>采购</v>
      </c>
      <c r="E517" s="27" t="s">
        <v>82</v>
      </c>
      <c r="F517" s="10" t="s">
        <v>604</v>
      </c>
      <c r="G517" s="10" t="s">
        <v>154</v>
      </c>
      <c r="H517" s="37">
        <v>1925</v>
      </c>
      <c r="I517" s="11" t="b">
        <f>AND(Jnl[[#This Row],[TrxId]]&lt;&gt;"",Jnl[[#This Row],[Acct]]&lt;&gt;"",Jnl[[#This Row],[Item]]&lt;&gt;"",ISNUMBER(Jnl[[#This Row],[Bal]]))</f>
        <v>1</v>
      </c>
      <c r="J517" s="9">
        <f>IF(Jnl[[#This Row],[BSLv0]]="A",1,-1)*Jnl[[#This Row],[Bal]]</f>
        <v>1925</v>
      </c>
      <c r="K517" t="str">
        <f>_xlfn.XLOOKUP(Jnl[[#This Row],[Acct]], config_BS[Acct], config_BS[Lv0],,0)</f>
        <v>A</v>
      </c>
      <c r="L517" t="str">
        <f>_xlfn.XLOOKUP(Jnl[[#This Row],[Acct]], config_BS[Acct], config_BS[Lv1],,0)</f>
        <v>Assets</v>
      </c>
      <c r="M517" t="str">
        <f>_xlfn.XLOOKUP(Jnl[[#This Row],[Acct]], config_BS[Acct], config_BS[Lv2],,0)</f>
        <v>Invtr</v>
      </c>
      <c r="N517" t="str">
        <f>_xlfn.XLOOKUP(Jnl[[#This Row],[TrxId]], Trx[Id], Trx[IncNode], ,0)</f>
        <v>Cost</v>
      </c>
      <c r="O517" t="str">
        <f>_xlfn.XLOOKUP(Jnl[[#This Row],[IncNode]], config_IS[Node], config_IS[Type],,0)</f>
        <v>Op</v>
      </c>
      <c r="P517" t="str">
        <f>_xlfn.XLOOKUP(Jnl[[#This Row],[BSLv2]], dict[Key], dict[Name],,0)</f>
        <v>3.库存占款</v>
      </c>
      <c r="Q517" t="str">
        <f>_xlfn.XLOOKUP(Jnl[[#This Row],[Acct]], dict[Key], dict[Name],,0)</f>
        <v>当期存货</v>
      </c>
      <c r="R517" t="str">
        <f>_xlfn.XLOOKUP(Jnl[[#This Row],[Vehicle]],config_vehicle[Id], config_vehicle[Name],,0)</f>
        <v>远家花园</v>
      </c>
      <c r="S517" t="str">
        <f>_xlfn.XLOOKUP(Jnl[[#This Row],[Division]],config_div[Id], config_div[Name],,0)</f>
        <v>网店</v>
      </c>
      <c r="T517" t="str">
        <f>IF(Jnl[[#This Row],[TrxDate]]&lt;=stmt_BS_date_end, "In", "Out")</f>
        <v>In</v>
      </c>
      <c r="U517" t="str">
        <f>IF(Jnl[[#This Row],[TrxDate]]&lt;debug_date_start, "prior", IF(Jnl[[#This Row],[TrxDate]]&gt;debug_date_end, "post", "curr"))</f>
        <v>curr</v>
      </c>
    </row>
    <row r="518" spans="1:21" hidden="1">
      <c r="A518" s="39" t="s">
        <v>724</v>
      </c>
      <c r="B518" s="6">
        <f>_xlfn.XLOOKUP(Jnl[[#This Row],[TrxId]], Trx[Id], Trx[Date],,0)</f>
        <v>46053</v>
      </c>
      <c r="C518" s="6" t="str">
        <f>_xlfn.XLOOKUP(Jnl[[#This Row],[TrxId]], Trx[Id], Trx[Division],,0)</f>
        <v>Online</v>
      </c>
      <c r="D518" s="6" t="str">
        <f>_xlfn.XLOOKUP(Jnl[[#This Row],[TrxId]], Trx[Id], Trx[Action],,0)</f>
        <v>物流</v>
      </c>
      <c r="E518" s="27" t="s">
        <v>82</v>
      </c>
      <c r="F518" s="10" t="s">
        <v>596</v>
      </c>
      <c r="G518" s="10" t="s">
        <v>396</v>
      </c>
      <c r="H518" s="37">
        <v>-2771.95</v>
      </c>
      <c r="I518" s="11" t="b">
        <f>AND(Jnl[[#This Row],[TrxId]]&lt;&gt;"",Jnl[[#This Row],[Acct]]&lt;&gt;"",Jnl[[#This Row],[Item]]&lt;&gt;"",ISNUMBER(Jnl[[#This Row],[Bal]]))</f>
        <v>1</v>
      </c>
      <c r="J518" s="9">
        <f>IF(Jnl[[#This Row],[BSLv0]]="A",1,-1)*Jnl[[#This Row],[Bal]]</f>
        <v>-2771.95</v>
      </c>
      <c r="K518" t="str">
        <f>_xlfn.XLOOKUP(Jnl[[#This Row],[Acct]], config_BS[Acct], config_BS[Lv0],,0)</f>
        <v>A</v>
      </c>
      <c r="L518" t="str">
        <f>_xlfn.XLOOKUP(Jnl[[#This Row],[Acct]], config_BS[Acct], config_BS[Lv1],,0)</f>
        <v>Assets</v>
      </c>
      <c r="M518" t="str">
        <f>_xlfn.XLOOKUP(Jnl[[#This Row],[Acct]], config_BS[Acct], config_BS[Lv2],,0)</f>
        <v>Cash alike</v>
      </c>
      <c r="N518" t="str">
        <f>_xlfn.XLOOKUP(Jnl[[#This Row],[TrxId]], Trx[Id], Trx[IncNode], ,0)</f>
        <v>Expense</v>
      </c>
      <c r="O518" t="str">
        <f>_xlfn.XLOOKUP(Jnl[[#This Row],[IncNode]], config_IS[Node], config_IS[Type],,0)</f>
        <v>Op</v>
      </c>
      <c r="P518" t="str">
        <f>_xlfn.XLOOKUP(Jnl[[#This Row],[BSLv2]], dict[Key], dict[Name],,0)</f>
        <v>0.现金及类似</v>
      </c>
      <c r="Q518" t="str">
        <f>_xlfn.XLOOKUP(Jnl[[#This Row],[Acct]], dict[Key], dict[Name],,0)</f>
        <v>银行</v>
      </c>
      <c r="R518" t="str">
        <f>_xlfn.XLOOKUP(Jnl[[#This Row],[Vehicle]],config_vehicle[Id], config_vehicle[Name],,0)</f>
        <v>远家花园</v>
      </c>
      <c r="S518" t="str">
        <f>_xlfn.XLOOKUP(Jnl[[#This Row],[Division]],config_div[Id], config_div[Name],,0)</f>
        <v>网店</v>
      </c>
      <c r="T518" t="str">
        <f>IF(Jnl[[#This Row],[TrxDate]]&lt;=stmt_BS_date_end, "In", "Out")</f>
        <v>In</v>
      </c>
      <c r="U518" t="str">
        <f>IF(Jnl[[#This Row],[TrxDate]]&lt;debug_date_start, "prior", IF(Jnl[[#This Row],[TrxDate]]&gt;debug_date_end, "post", "curr"))</f>
        <v>curr</v>
      </c>
    </row>
    <row r="519" spans="1:21" hidden="1">
      <c r="A519" s="39" t="s">
        <v>725</v>
      </c>
      <c r="B519" s="6">
        <f>_xlfn.XLOOKUP(Jnl[[#This Row],[TrxId]], Trx[Id], Trx[Date],,0)</f>
        <v>46053</v>
      </c>
      <c r="C519" s="6" t="str">
        <f>_xlfn.XLOOKUP(Jnl[[#This Row],[TrxId]], Trx[Id], Trx[Division],,0)</f>
        <v>Online</v>
      </c>
      <c r="D519" s="6" t="str">
        <f>_xlfn.XLOOKUP(Jnl[[#This Row],[TrxId]], Trx[Id], Trx[Action],,0)</f>
        <v>物流</v>
      </c>
      <c r="E519" s="27" t="s">
        <v>82</v>
      </c>
      <c r="F519" s="10" t="s">
        <v>596</v>
      </c>
      <c r="G519" s="10" t="s">
        <v>396</v>
      </c>
      <c r="H519" s="37">
        <v>-62132</v>
      </c>
      <c r="I519" s="11" t="b">
        <f>AND(Jnl[[#This Row],[TrxId]]&lt;&gt;"",Jnl[[#This Row],[Acct]]&lt;&gt;"",Jnl[[#This Row],[Item]]&lt;&gt;"",ISNUMBER(Jnl[[#This Row],[Bal]]))</f>
        <v>1</v>
      </c>
      <c r="J519" s="9">
        <f>IF(Jnl[[#This Row],[BSLv0]]="A",1,-1)*Jnl[[#This Row],[Bal]]</f>
        <v>-62132</v>
      </c>
      <c r="K519" t="str">
        <f>_xlfn.XLOOKUP(Jnl[[#This Row],[Acct]], config_BS[Acct], config_BS[Lv0],,0)</f>
        <v>A</v>
      </c>
      <c r="L519" t="str">
        <f>_xlfn.XLOOKUP(Jnl[[#This Row],[Acct]], config_BS[Acct], config_BS[Lv1],,0)</f>
        <v>Assets</v>
      </c>
      <c r="M519" t="str">
        <f>_xlfn.XLOOKUP(Jnl[[#This Row],[Acct]], config_BS[Acct], config_BS[Lv2],,0)</f>
        <v>Cash alike</v>
      </c>
      <c r="N519" t="str">
        <f>_xlfn.XLOOKUP(Jnl[[#This Row],[TrxId]], Trx[Id], Trx[IncNode], ,0)</f>
        <v>Expense</v>
      </c>
      <c r="O519" t="str">
        <f>_xlfn.XLOOKUP(Jnl[[#This Row],[IncNode]], config_IS[Node], config_IS[Type],,0)</f>
        <v>Op</v>
      </c>
      <c r="P519" t="str">
        <f>_xlfn.XLOOKUP(Jnl[[#This Row],[BSLv2]], dict[Key], dict[Name],,0)</f>
        <v>0.现金及类似</v>
      </c>
      <c r="Q519" t="str">
        <f>_xlfn.XLOOKUP(Jnl[[#This Row],[Acct]], dict[Key], dict[Name],,0)</f>
        <v>银行</v>
      </c>
      <c r="R519" t="str">
        <f>_xlfn.XLOOKUP(Jnl[[#This Row],[Vehicle]],config_vehicle[Id], config_vehicle[Name],,0)</f>
        <v>远家花园</v>
      </c>
      <c r="S519" t="str">
        <f>_xlfn.XLOOKUP(Jnl[[#This Row],[Division]],config_div[Id], config_div[Name],,0)</f>
        <v>网店</v>
      </c>
      <c r="T519" t="str">
        <f>IF(Jnl[[#This Row],[TrxDate]]&lt;=stmt_BS_date_end, "In", "Out")</f>
        <v>In</v>
      </c>
      <c r="U519" t="str">
        <f>IF(Jnl[[#This Row],[TrxDate]]&lt;debug_date_start, "prior", IF(Jnl[[#This Row],[TrxDate]]&gt;debug_date_end, "post", "curr"))</f>
        <v>curr</v>
      </c>
    </row>
    <row r="520" spans="1:21" hidden="1">
      <c r="A520" s="39" t="s">
        <v>726</v>
      </c>
      <c r="B520" s="6">
        <f>_xlfn.XLOOKUP(Jnl[[#This Row],[TrxId]], Trx[Id], Trx[Date],,0)</f>
        <v>46053</v>
      </c>
      <c r="C520" s="6" t="str">
        <f>_xlfn.XLOOKUP(Jnl[[#This Row],[TrxId]], Trx[Id], Trx[Division],,0)</f>
        <v>Online</v>
      </c>
      <c r="D520" s="6" t="str">
        <f>_xlfn.XLOOKUP(Jnl[[#This Row],[TrxId]], Trx[Id], Trx[Action],,0)</f>
        <v>物流</v>
      </c>
      <c r="E520" s="27" t="s">
        <v>82</v>
      </c>
      <c r="F520" s="10" t="s">
        <v>596</v>
      </c>
      <c r="G520" s="10" t="s">
        <v>396</v>
      </c>
      <c r="H520" s="37">
        <v>-14284</v>
      </c>
      <c r="I520" s="11" t="b">
        <f>AND(Jnl[[#This Row],[TrxId]]&lt;&gt;"",Jnl[[#This Row],[Acct]]&lt;&gt;"",Jnl[[#This Row],[Item]]&lt;&gt;"",ISNUMBER(Jnl[[#This Row],[Bal]]))</f>
        <v>1</v>
      </c>
      <c r="J520" s="9">
        <f>IF(Jnl[[#This Row],[BSLv0]]="A",1,-1)*Jnl[[#This Row],[Bal]]</f>
        <v>-14284</v>
      </c>
      <c r="K520" t="str">
        <f>_xlfn.XLOOKUP(Jnl[[#This Row],[Acct]], config_BS[Acct], config_BS[Lv0],,0)</f>
        <v>A</v>
      </c>
      <c r="L520" t="str">
        <f>_xlfn.XLOOKUP(Jnl[[#This Row],[Acct]], config_BS[Acct], config_BS[Lv1],,0)</f>
        <v>Assets</v>
      </c>
      <c r="M520" t="str">
        <f>_xlfn.XLOOKUP(Jnl[[#This Row],[Acct]], config_BS[Acct], config_BS[Lv2],,0)</f>
        <v>Cash alike</v>
      </c>
      <c r="N520" t="str">
        <f>_xlfn.XLOOKUP(Jnl[[#This Row],[TrxId]], Trx[Id], Trx[IncNode], ,0)</f>
        <v>Expense</v>
      </c>
      <c r="O520" t="str">
        <f>_xlfn.XLOOKUP(Jnl[[#This Row],[IncNode]], config_IS[Node], config_IS[Type],,0)</f>
        <v>Op</v>
      </c>
      <c r="P520" t="str">
        <f>_xlfn.XLOOKUP(Jnl[[#This Row],[BSLv2]], dict[Key], dict[Name],,0)</f>
        <v>0.现金及类似</v>
      </c>
      <c r="Q520" t="str">
        <f>_xlfn.XLOOKUP(Jnl[[#This Row],[Acct]], dict[Key], dict[Name],,0)</f>
        <v>银行</v>
      </c>
      <c r="R520" t="str">
        <f>_xlfn.XLOOKUP(Jnl[[#This Row],[Vehicle]],config_vehicle[Id], config_vehicle[Name],,0)</f>
        <v>远家花园</v>
      </c>
      <c r="S520" t="str">
        <f>_xlfn.XLOOKUP(Jnl[[#This Row],[Division]],config_div[Id], config_div[Name],,0)</f>
        <v>网店</v>
      </c>
      <c r="T520" t="str">
        <f>IF(Jnl[[#This Row],[TrxDate]]&lt;=stmt_BS_date_end, "In", "Out")</f>
        <v>In</v>
      </c>
      <c r="U520" t="str">
        <f>IF(Jnl[[#This Row],[TrxDate]]&lt;debug_date_start, "prior", IF(Jnl[[#This Row],[TrxDate]]&gt;debug_date_end, "post", "curr"))</f>
        <v>curr</v>
      </c>
    </row>
    <row r="521" spans="1:21" hidden="1">
      <c r="A521" s="39" t="s">
        <v>727</v>
      </c>
      <c r="B521" s="6">
        <f>_xlfn.XLOOKUP(Jnl[[#This Row],[TrxId]], Trx[Id], Trx[Date],,0)</f>
        <v>46053</v>
      </c>
      <c r="C521" s="6" t="str">
        <f>_xlfn.XLOOKUP(Jnl[[#This Row],[TrxId]], Trx[Id], Trx[Division],,0)</f>
        <v>Online</v>
      </c>
      <c r="D521" s="6" t="str">
        <f>_xlfn.XLOOKUP(Jnl[[#This Row],[TrxId]], Trx[Id], Trx[Action],,0)</f>
        <v>包装</v>
      </c>
      <c r="E521" s="27" t="s">
        <v>82</v>
      </c>
      <c r="F521" s="10" t="s">
        <v>596</v>
      </c>
      <c r="G521" s="10" t="s">
        <v>396</v>
      </c>
      <c r="H521" s="37">
        <v>-277</v>
      </c>
      <c r="I521" s="11" t="b">
        <f>AND(Jnl[[#This Row],[TrxId]]&lt;&gt;"",Jnl[[#This Row],[Acct]]&lt;&gt;"",Jnl[[#This Row],[Item]]&lt;&gt;"",ISNUMBER(Jnl[[#This Row],[Bal]]))</f>
        <v>1</v>
      </c>
      <c r="J521" s="9">
        <f>IF(Jnl[[#This Row],[BSLv0]]="A",1,-1)*Jnl[[#This Row],[Bal]]</f>
        <v>-277</v>
      </c>
      <c r="K521" t="str">
        <f>_xlfn.XLOOKUP(Jnl[[#This Row],[Acct]], config_BS[Acct], config_BS[Lv0],,0)</f>
        <v>A</v>
      </c>
      <c r="L521" t="str">
        <f>_xlfn.XLOOKUP(Jnl[[#This Row],[Acct]], config_BS[Acct], config_BS[Lv1],,0)</f>
        <v>Assets</v>
      </c>
      <c r="M521" t="str">
        <f>_xlfn.XLOOKUP(Jnl[[#This Row],[Acct]], config_BS[Acct], config_BS[Lv2],,0)</f>
        <v>Cash alike</v>
      </c>
      <c r="N521" t="str">
        <f>_xlfn.XLOOKUP(Jnl[[#This Row],[TrxId]], Trx[Id], Trx[IncNode], ,0)</f>
        <v>Expense</v>
      </c>
      <c r="O521" t="str">
        <f>_xlfn.XLOOKUP(Jnl[[#This Row],[IncNode]], config_IS[Node], config_IS[Type],,0)</f>
        <v>Op</v>
      </c>
      <c r="P521" t="str">
        <f>_xlfn.XLOOKUP(Jnl[[#This Row],[BSLv2]], dict[Key], dict[Name],,0)</f>
        <v>0.现金及类似</v>
      </c>
      <c r="Q521" t="str">
        <f>_xlfn.XLOOKUP(Jnl[[#This Row],[Acct]], dict[Key], dict[Name],,0)</f>
        <v>银行</v>
      </c>
      <c r="R521" t="str">
        <f>_xlfn.XLOOKUP(Jnl[[#This Row],[Vehicle]],config_vehicle[Id], config_vehicle[Name],,0)</f>
        <v>远家花园</v>
      </c>
      <c r="S521" t="str">
        <f>_xlfn.XLOOKUP(Jnl[[#This Row],[Division]],config_div[Id], config_div[Name],,0)</f>
        <v>网店</v>
      </c>
      <c r="T521" t="str">
        <f>IF(Jnl[[#This Row],[TrxDate]]&lt;=stmt_BS_date_end, "In", "Out")</f>
        <v>In</v>
      </c>
      <c r="U521" t="str">
        <f>IF(Jnl[[#This Row],[TrxDate]]&lt;debug_date_start, "prior", IF(Jnl[[#This Row],[TrxDate]]&gt;debug_date_end, "post", "curr"))</f>
        <v>curr</v>
      </c>
    </row>
    <row r="522" spans="1:21" hidden="1">
      <c r="A522" s="39" t="s">
        <v>729</v>
      </c>
      <c r="B522" s="6">
        <f>_xlfn.XLOOKUP(Jnl[[#This Row],[TrxId]], Trx[Id], Trx[Date],,0)</f>
        <v>46053</v>
      </c>
      <c r="C522" s="6" t="str">
        <f>_xlfn.XLOOKUP(Jnl[[#This Row],[TrxId]], Trx[Id], Trx[Division],,0)</f>
        <v>Online</v>
      </c>
      <c r="D522" s="6" t="str">
        <f>_xlfn.XLOOKUP(Jnl[[#This Row],[TrxId]], Trx[Id], Trx[Action],,0)</f>
        <v>包装</v>
      </c>
      <c r="E522" s="27" t="s">
        <v>82</v>
      </c>
      <c r="F522" s="10" t="s">
        <v>596</v>
      </c>
      <c r="G522" s="10" t="s">
        <v>396</v>
      </c>
      <c r="H522" s="37">
        <v>-606.97</v>
      </c>
      <c r="I522" s="11" t="b">
        <f>AND(Jnl[[#This Row],[TrxId]]&lt;&gt;"",Jnl[[#This Row],[Acct]]&lt;&gt;"",Jnl[[#This Row],[Item]]&lt;&gt;"",ISNUMBER(Jnl[[#This Row],[Bal]]))</f>
        <v>1</v>
      </c>
      <c r="J522" s="9">
        <f>IF(Jnl[[#This Row],[BSLv0]]="A",1,-1)*Jnl[[#This Row],[Bal]]</f>
        <v>-606.97</v>
      </c>
      <c r="K522" t="str">
        <f>_xlfn.XLOOKUP(Jnl[[#This Row],[Acct]], config_BS[Acct], config_BS[Lv0],,0)</f>
        <v>A</v>
      </c>
      <c r="L522" t="str">
        <f>_xlfn.XLOOKUP(Jnl[[#This Row],[Acct]], config_BS[Acct], config_BS[Lv1],,0)</f>
        <v>Assets</v>
      </c>
      <c r="M522" t="str">
        <f>_xlfn.XLOOKUP(Jnl[[#This Row],[Acct]], config_BS[Acct], config_BS[Lv2],,0)</f>
        <v>Cash alike</v>
      </c>
      <c r="N522" t="str">
        <f>_xlfn.XLOOKUP(Jnl[[#This Row],[TrxId]], Trx[Id], Trx[IncNode], ,0)</f>
        <v>Expense</v>
      </c>
      <c r="O522" t="str">
        <f>_xlfn.XLOOKUP(Jnl[[#This Row],[IncNode]], config_IS[Node], config_IS[Type],,0)</f>
        <v>Op</v>
      </c>
      <c r="P522" t="str">
        <f>_xlfn.XLOOKUP(Jnl[[#This Row],[BSLv2]], dict[Key], dict[Name],,0)</f>
        <v>0.现金及类似</v>
      </c>
      <c r="Q522" t="str">
        <f>_xlfn.XLOOKUP(Jnl[[#This Row],[Acct]], dict[Key], dict[Name],,0)</f>
        <v>银行</v>
      </c>
      <c r="R522" t="str">
        <f>_xlfn.XLOOKUP(Jnl[[#This Row],[Vehicle]],config_vehicle[Id], config_vehicle[Name],,0)</f>
        <v>远家花园</v>
      </c>
      <c r="S522" t="str">
        <f>_xlfn.XLOOKUP(Jnl[[#This Row],[Division]],config_div[Id], config_div[Name],,0)</f>
        <v>网店</v>
      </c>
      <c r="T522" t="str">
        <f>IF(Jnl[[#This Row],[TrxDate]]&lt;=stmt_BS_date_end, "In", "Out")</f>
        <v>In</v>
      </c>
      <c r="U522" t="str">
        <f>IF(Jnl[[#This Row],[TrxDate]]&lt;debug_date_start, "prior", IF(Jnl[[#This Row],[TrxDate]]&gt;debug_date_end, "post", "curr"))</f>
        <v>curr</v>
      </c>
    </row>
    <row r="523" spans="1:21" hidden="1">
      <c r="A523" s="39" t="s">
        <v>730</v>
      </c>
      <c r="B523" s="6">
        <f>_xlfn.XLOOKUP(Jnl[[#This Row],[TrxId]], Trx[Id], Trx[Date],,0)</f>
        <v>46053</v>
      </c>
      <c r="C523" s="6" t="str">
        <f>_xlfn.XLOOKUP(Jnl[[#This Row],[TrxId]], Trx[Id], Trx[Division],,0)</f>
        <v>Brand</v>
      </c>
      <c r="D523" s="6" t="str">
        <f>_xlfn.XLOOKUP(Jnl[[#This Row],[TrxId]], Trx[Id], Trx[Action],,0)</f>
        <v>拍摄</v>
      </c>
      <c r="E523" s="27" t="s">
        <v>82</v>
      </c>
      <c r="F523" s="10" t="s">
        <v>596</v>
      </c>
      <c r="G523" s="10" t="s">
        <v>396</v>
      </c>
      <c r="H523" s="37">
        <v>-40.700000000000003</v>
      </c>
      <c r="I523" s="11" t="b">
        <f>AND(Jnl[[#This Row],[TrxId]]&lt;&gt;"",Jnl[[#This Row],[Acct]]&lt;&gt;"",Jnl[[#This Row],[Item]]&lt;&gt;"",ISNUMBER(Jnl[[#This Row],[Bal]]))</f>
        <v>1</v>
      </c>
      <c r="J523" s="9">
        <f>IF(Jnl[[#This Row],[BSLv0]]="A",1,-1)*Jnl[[#This Row],[Bal]]</f>
        <v>-40.700000000000003</v>
      </c>
      <c r="K523" t="str">
        <f>_xlfn.XLOOKUP(Jnl[[#This Row],[Acct]], config_BS[Acct], config_BS[Lv0],,0)</f>
        <v>A</v>
      </c>
      <c r="L523" t="str">
        <f>_xlfn.XLOOKUP(Jnl[[#This Row],[Acct]], config_BS[Acct], config_BS[Lv1],,0)</f>
        <v>Assets</v>
      </c>
      <c r="M523" t="str">
        <f>_xlfn.XLOOKUP(Jnl[[#This Row],[Acct]], config_BS[Acct], config_BS[Lv2],,0)</f>
        <v>Cash alike</v>
      </c>
      <c r="N523" t="str">
        <f>_xlfn.XLOOKUP(Jnl[[#This Row],[TrxId]], Trx[Id], Trx[IncNode], ,0)</f>
        <v>Expense</v>
      </c>
      <c r="O523" t="str">
        <f>_xlfn.XLOOKUP(Jnl[[#This Row],[IncNode]], config_IS[Node], config_IS[Type],,0)</f>
        <v>Op</v>
      </c>
      <c r="P523" t="str">
        <f>_xlfn.XLOOKUP(Jnl[[#This Row],[BSLv2]], dict[Key], dict[Name],,0)</f>
        <v>0.现金及类似</v>
      </c>
      <c r="Q523" t="str">
        <f>_xlfn.XLOOKUP(Jnl[[#This Row],[Acct]], dict[Key], dict[Name],,0)</f>
        <v>银行</v>
      </c>
      <c r="R523" t="str">
        <f>_xlfn.XLOOKUP(Jnl[[#This Row],[Vehicle]],config_vehicle[Id], config_vehicle[Name],,0)</f>
        <v>远家花园</v>
      </c>
      <c r="S523" t="str">
        <f>_xlfn.XLOOKUP(Jnl[[#This Row],[Division]],config_div[Id], config_div[Name],,0)</f>
        <v>品牌</v>
      </c>
      <c r="T523" t="str">
        <f>IF(Jnl[[#This Row],[TrxDate]]&lt;=stmt_BS_date_end, "In", "Out")</f>
        <v>In</v>
      </c>
      <c r="U523" t="str">
        <f>IF(Jnl[[#This Row],[TrxDate]]&lt;debug_date_start, "prior", IF(Jnl[[#This Row],[TrxDate]]&gt;debug_date_end, "post", "curr"))</f>
        <v>curr</v>
      </c>
    </row>
    <row r="524" spans="1:21" hidden="1">
      <c r="A524" s="39" t="s">
        <v>732</v>
      </c>
      <c r="B524" s="6">
        <f>_xlfn.XLOOKUP(Jnl[[#This Row],[TrxId]], Trx[Id], Trx[Date],,0)</f>
        <v>46053</v>
      </c>
      <c r="C524" s="6" t="str">
        <f>_xlfn.XLOOKUP(Jnl[[#This Row],[TrxId]], Trx[Id], Trx[Division],,0)</f>
        <v>Online</v>
      </c>
      <c r="D524" s="6" t="str">
        <f>_xlfn.XLOOKUP(Jnl[[#This Row],[TrxId]], Trx[Id], Trx[Action],,0)</f>
        <v>平台费</v>
      </c>
      <c r="E524" s="27" t="s">
        <v>82</v>
      </c>
      <c r="F524" s="10" t="s">
        <v>599</v>
      </c>
      <c r="G524" s="10" t="s">
        <v>600</v>
      </c>
      <c r="H524" s="37">
        <v>-140991.12</v>
      </c>
      <c r="I524" s="11" t="b">
        <f>AND(Jnl[[#This Row],[TrxId]]&lt;&gt;"",Jnl[[#This Row],[Acct]]&lt;&gt;"",Jnl[[#This Row],[Item]]&lt;&gt;"",ISNUMBER(Jnl[[#This Row],[Bal]]))</f>
        <v>1</v>
      </c>
      <c r="J524" s="9">
        <f>IF(Jnl[[#This Row],[BSLv0]]="A",1,-1)*Jnl[[#This Row],[Bal]]</f>
        <v>-140991.12</v>
      </c>
      <c r="K524" t="str">
        <f>_xlfn.XLOOKUP(Jnl[[#This Row],[Acct]], config_BS[Acct], config_BS[Lv0],,0)</f>
        <v>A</v>
      </c>
      <c r="L524" t="str">
        <f>_xlfn.XLOOKUP(Jnl[[#This Row],[Acct]], config_BS[Acct], config_BS[Lv1],,0)</f>
        <v>Assets</v>
      </c>
      <c r="M524" t="str">
        <f>_xlfn.XLOOKUP(Jnl[[#This Row],[Acct]], config_BS[Acct], config_BS[Lv2],,0)</f>
        <v>Rec-Pay</v>
      </c>
      <c r="N524" t="str">
        <f>_xlfn.XLOOKUP(Jnl[[#This Row],[TrxId]], Trx[Id], Trx[IncNode], ,0)</f>
        <v>Cost</v>
      </c>
      <c r="O524" t="str">
        <f>_xlfn.XLOOKUP(Jnl[[#This Row],[IncNode]], config_IS[Node], config_IS[Type],,0)</f>
        <v>Op</v>
      </c>
      <c r="P524" t="str">
        <f>_xlfn.XLOOKUP(Jnl[[#This Row],[BSLv2]], dict[Key], dict[Name],,0)</f>
        <v>1.应收-应付</v>
      </c>
      <c r="Q524" t="str">
        <f>_xlfn.XLOOKUP(Jnl[[#This Row],[Acct]], dict[Key], dict[Name],,0)</f>
        <v>应收-一般</v>
      </c>
      <c r="R524" t="str">
        <f>_xlfn.XLOOKUP(Jnl[[#This Row],[Vehicle]],config_vehicle[Id], config_vehicle[Name],,0)</f>
        <v>远家花园</v>
      </c>
      <c r="S524" t="str">
        <f>_xlfn.XLOOKUP(Jnl[[#This Row],[Division]],config_div[Id], config_div[Name],,0)</f>
        <v>网店</v>
      </c>
      <c r="T524" t="str">
        <f>IF(Jnl[[#This Row],[TrxDate]]&lt;=stmt_BS_date_end, "In", "Out")</f>
        <v>In</v>
      </c>
      <c r="U524" t="str">
        <f>IF(Jnl[[#This Row],[TrxDate]]&lt;debug_date_start, "prior", IF(Jnl[[#This Row],[TrxDate]]&gt;debug_date_end, "post", "curr"))</f>
        <v>curr</v>
      </c>
    </row>
    <row r="525" spans="1:21" hidden="1">
      <c r="A525" s="39" t="s">
        <v>945</v>
      </c>
      <c r="B525" s="6">
        <f>_xlfn.XLOOKUP(Jnl[[#This Row],[TrxId]], Trx[Id], Trx[Date],,0)</f>
        <v>46053</v>
      </c>
      <c r="C525" s="6" t="str">
        <f>_xlfn.XLOOKUP(Jnl[[#This Row],[TrxId]], Trx[Id], Trx[Division],,0)</f>
        <v>Online</v>
      </c>
      <c r="D525" s="6" t="str">
        <f>_xlfn.XLOOKUP(Jnl[[#This Row],[TrxId]], Trx[Id], Trx[Action],,0)</f>
        <v>服饰</v>
      </c>
      <c r="E525" s="27" t="s">
        <v>82</v>
      </c>
      <c r="F525" s="10" t="s">
        <v>599</v>
      </c>
      <c r="G525" s="10" t="s">
        <v>600</v>
      </c>
      <c r="H525" s="37">
        <f>-H524</f>
        <v>140991.12</v>
      </c>
      <c r="I525" s="11" t="b">
        <f>AND(Jnl[[#This Row],[TrxId]]&lt;&gt;"",Jnl[[#This Row],[Acct]]&lt;&gt;"",Jnl[[#This Row],[Item]]&lt;&gt;"",ISNUMBER(Jnl[[#This Row],[Bal]]))</f>
        <v>1</v>
      </c>
      <c r="J525" s="9">
        <f>IF(Jnl[[#This Row],[BSLv0]]="A",1,-1)*Jnl[[#This Row],[Bal]]</f>
        <v>140991.12</v>
      </c>
      <c r="K525" t="str">
        <f>_xlfn.XLOOKUP(Jnl[[#This Row],[Acct]], config_BS[Acct], config_BS[Lv0],,0)</f>
        <v>A</v>
      </c>
      <c r="L525" t="str">
        <f>_xlfn.XLOOKUP(Jnl[[#This Row],[Acct]], config_BS[Acct], config_BS[Lv1],,0)</f>
        <v>Assets</v>
      </c>
      <c r="M525" t="str">
        <f>_xlfn.XLOOKUP(Jnl[[#This Row],[Acct]], config_BS[Acct], config_BS[Lv2],,0)</f>
        <v>Rec-Pay</v>
      </c>
      <c r="N525" t="str">
        <f>_xlfn.XLOOKUP(Jnl[[#This Row],[TrxId]], Trx[Id], Trx[IncNode], ,0)</f>
        <v>Revenue</v>
      </c>
      <c r="O525" t="str">
        <f>_xlfn.XLOOKUP(Jnl[[#This Row],[IncNode]], config_IS[Node], config_IS[Type],,0)</f>
        <v>Op</v>
      </c>
      <c r="P525" t="str">
        <f>_xlfn.XLOOKUP(Jnl[[#This Row],[BSLv2]], dict[Key], dict[Name],,0)</f>
        <v>1.应收-应付</v>
      </c>
      <c r="Q525" t="str">
        <f>_xlfn.XLOOKUP(Jnl[[#This Row],[Acct]], dict[Key], dict[Name],,0)</f>
        <v>应收-一般</v>
      </c>
      <c r="R525" t="str">
        <f>_xlfn.XLOOKUP(Jnl[[#This Row],[Vehicle]],config_vehicle[Id], config_vehicle[Name],,0)</f>
        <v>远家花园</v>
      </c>
      <c r="S525" t="str">
        <f>_xlfn.XLOOKUP(Jnl[[#This Row],[Division]],config_div[Id], config_div[Name],,0)</f>
        <v>网店</v>
      </c>
      <c r="T525" t="str">
        <f>IF(Jnl[[#This Row],[TrxDate]]&lt;=stmt_BS_date_end, "In", "Out")</f>
        <v>In</v>
      </c>
      <c r="U525" t="str">
        <f>IF(Jnl[[#This Row],[TrxDate]]&lt;debug_date_start, "prior", IF(Jnl[[#This Row],[TrxDate]]&gt;debug_date_end, "post", "curr"))</f>
        <v>curr</v>
      </c>
    </row>
    <row r="526" spans="1:21" hidden="1">
      <c r="A526" s="39" t="s">
        <v>733</v>
      </c>
      <c r="B526" s="6">
        <f>_xlfn.XLOOKUP(Jnl[[#This Row],[TrxId]], Trx[Id], Trx[Date],,0)</f>
        <v>46053</v>
      </c>
      <c r="C526" s="6" t="str">
        <f>_xlfn.XLOOKUP(Jnl[[#This Row],[TrxId]], Trx[Id], Trx[Division],,0)</f>
        <v>Online</v>
      </c>
      <c r="D526" s="6" t="str">
        <f>_xlfn.XLOOKUP(Jnl[[#This Row],[TrxId]], Trx[Id], Trx[Action],,0)</f>
        <v>采购</v>
      </c>
      <c r="E526" s="27" t="s">
        <v>82</v>
      </c>
      <c r="F526" s="10" t="s">
        <v>604</v>
      </c>
      <c r="G526" s="10" t="s">
        <v>154</v>
      </c>
      <c r="H526" s="37">
        <v>1625</v>
      </c>
      <c r="I526" s="11" t="b">
        <f>AND(Jnl[[#This Row],[TrxId]]&lt;&gt;"",Jnl[[#This Row],[Acct]]&lt;&gt;"",Jnl[[#This Row],[Item]]&lt;&gt;"",ISNUMBER(Jnl[[#This Row],[Bal]]))</f>
        <v>1</v>
      </c>
      <c r="J526" s="9">
        <f>IF(Jnl[[#This Row],[BSLv0]]="A",1,-1)*Jnl[[#This Row],[Bal]]</f>
        <v>1625</v>
      </c>
      <c r="K526" t="str">
        <f>_xlfn.XLOOKUP(Jnl[[#This Row],[Acct]], config_BS[Acct], config_BS[Lv0],,0)</f>
        <v>A</v>
      </c>
      <c r="L526" t="str">
        <f>_xlfn.XLOOKUP(Jnl[[#This Row],[Acct]], config_BS[Acct], config_BS[Lv1],,0)</f>
        <v>Assets</v>
      </c>
      <c r="M526" t="str">
        <f>_xlfn.XLOOKUP(Jnl[[#This Row],[Acct]], config_BS[Acct], config_BS[Lv2],,0)</f>
        <v>Invtr</v>
      </c>
      <c r="N526" t="str">
        <f>_xlfn.XLOOKUP(Jnl[[#This Row],[TrxId]], Trx[Id], Trx[IncNode], ,0)</f>
        <v>Cost</v>
      </c>
      <c r="O526" t="str">
        <f>_xlfn.XLOOKUP(Jnl[[#This Row],[IncNode]], config_IS[Node], config_IS[Type],,0)</f>
        <v>Op</v>
      </c>
      <c r="P526" t="str">
        <f>_xlfn.XLOOKUP(Jnl[[#This Row],[BSLv2]], dict[Key], dict[Name],,0)</f>
        <v>3.库存占款</v>
      </c>
      <c r="Q526" t="str">
        <f>_xlfn.XLOOKUP(Jnl[[#This Row],[Acct]], dict[Key], dict[Name],,0)</f>
        <v>当期存货</v>
      </c>
      <c r="R526" t="str">
        <f>_xlfn.XLOOKUP(Jnl[[#This Row],[Vehicle]],config_vehicle[Id], config_vehicle[Name],,0)</f>
        <v>远家花园</v>
      </c>
      <c r="S526" t="str">
        <f>_xlfn.XLOOKUP(Jnl[[#This Row],[Division]],config_div[Id], config_div[Name],,0)</f>
        <v>网店</v>
      </c>
      <c r="T526" t="str">
        <f>IF(Jnl[[#This Row],[TrxDate]]&lt;=stmt_BS_date_end, "In", "Out")</f>
        <v>In</v>
      </c>
      <c r="U526" t="str">
        <f>IF(Jnl[[#This Row],[TrxDate]]&lt;debug_date_start, "prior", IF(Jnl[[#This Row],[TrxDate]]&gt;debug_date_end, "post", "curr"))</f>
        <v>curr</v>
      </c>
    </row>
    <row r="527" spans="1:21" hidden="1">
      <c r="A527" s="39" t="s">
        <v>733</v>
      </c>
      <c r="B527" s="6">
        <f>_xlfn.XLOOKUP(Jnl[[#This Row],[TrxId]], Trx[Id], Trx[Date],,0)</f>
        <v>46053</v>
      </c>
      <c r="C527" s="6" t="str">
        <f>_xlfn.XLOOKUP(Jnl[[#This Row],[TrxId]], Trx[Id], Trx[Division],,0)</f>
        <v>Online</v>
      </c>
      <c r="D527" s="6" t="str">
        <f>_xlfn.XLOOKUP(Jnl[[#This Row],[TrxId]], Trx[Id], Trx[Action],,0)</f>
        <v>采购</v>
      </c>
      <c r="E527" s="27" t="s">
        <v>82</v>
      </c>
      <c r="F527" s="10" t="s">
        <v>596</v>
      </c>
      <c r="G527" s="10" t="s">
        <v>396</v>
      </c>
      <c r="H527" s="37">
        <v>-1625</v>
      </c>
      <c r="I527" s="11" t="b">
        <f>AND(Jnl[[#This Row],[TrxId]]&lt;&gt;"",Jnl[[#This Row],[Acct]]&lt;&gt;"",Jnl[[#This Row],[Item]]&lt;&gt;"",ISNUMBER(Jnl[[#This Row],[Bal]]))</f>
        <v>1</v>
      </c>
      <c r="J527" s="9">
        <f>IF(Jnl[[#This Row],[BSLv0]]="A",1,-1)*Jnl[[#This Row],[Bal]]</f>
        <v>-1625</v>
      </c>
      <c r="K527" t="str">
        <f>_xlfn.XLOOKUP(Jnl[[#This Row],[Acct]], config_BS[Acct], config_BS[Lv0],,0)</f>
        <v>A</v>
      </c>
      <c r="L527" t="str">
        <f>_xlfn.XLOOKUP(Jnl[[#This Row],[Acct]], config_BS[Acct], config_BS[Lv1],,0)</f>
        <v>Assets</v>
      </c>
      <c r="M527" t="str">
        <f>_xlfn.XLOOKUP(Jnl[[#This Row],[Acct]], config_BS[Acct], config_BS[Lv2],,0)</f>
        <v>Cash alike</v>
      </c>
      <c r="N527" t="str">
        <f>_xlfn.XLOOKUP(Jnl[[#This Row],[TrxId]], Trx[Id], Trx[IncNode], ,0)</f>
        <v>Cost</v>
      </c>
      <c r="O527" t="str">
        <f>_xlfn.XLOOKUP(Jnl[[#This Row],[IncNode]], config_IS[Node], config_IS[Type],,0)</f>
        <v>Op</v>
      </c>
      <c r="P527" t="str">
        <f>_xlfn.XLOOKUP(Jnl[[#This Row],[BSLv2]], dict[Key], dict[Name],,0)</f>
        <v>0.现金及类似</v>
      </c>
      <c r="Q527" t="str">
        <f>_xlfn.XLOOKUP(Jnl[[#This Row],[Acct]], dict[Key], dict[Name],,0)</f>
        <v>银行</v>
      </c>
      <c r="R527" t="str">
        <f>_xlfn.XLOOKUP(Jnl[[#This Row],[Vehicle]],config_vehicle[Id], config_vehicle[Name],,0)</f>
        <v>远家花园</v>
      </c>
      <c r="S527" t="str">
        <f>_xlfn.XLOOKUP(Jnl[[#This Row],[Division]],config_div[Id], config_div[Name],,0)</f>
        <v>网店</v>
      </c>
      <c r="T527" t="str">
        <f>IF(Jnl[[#This Row],[TrxDate]]&lt;=stmt_BS_date_end, "In", "Out")</f>
        <v>In</v>
      </c>
      <c r="U527" t="str">
        <f>IF(Jnl[[#This Row],[TrxDate]]&lt;debug_date_start, "prior", IF(Jnl[[#This Row],[TrxDate]]&gt;debug_date_end, "post", "curr"))</f>
        <v>curr</v>
      </c>
    </row>
    <row r="528" spans="1:21" hidden="1">
      <c r="A528" s="39" t="s">
        <v>735</v>
      </c>
      <c r="B528" s="6">
        <f>_xlfn.XLOOKUP(Jnl[[#This Row],[TrxId]], Trx[Id], Trx[Date],,0)</f>
        <v>46053</v>
      </c>
      <c r="C528" s="6" t="str">
        <f>_xlfn.XLOOKUP(Jnl[[#This Row],[TrxId]], Trx[Id], Trx[Division],,0)</f>
        <v>Online</v>
      </c>
      <c r="D528" s="6" t="str">
        <f>_xlfn.XLOOKUP(Jnl[[#This Row],[TrxId]], Trx[Id], Trx[Action],,0)</f>
        <v>采购</v>
      </c>
      <c r="E528" s="27" t="s">
        <v>82</v>
      </c>
      <c r="F528" s="10" t="s">
        <v>604</v>
      </c>
      <c r="G528" s="10" t="s">
        <v>154</v>
      </c>
      <c r="H528" s="37">
        <f>-H529</f>
        <v>12875</v>
      </c>
      <c r="I528" s="11" t="b">
        <f>AND(Jnl[[#This Row],[TrxId]]&lt;&gt;"",Jnl[[#This Row],[Acct]]&lt;&gt;"",Jnl[[#This Row],[Item]]&lt;&gt;"",ISNUMBER(Jnl[[#This Row],[Bal]]))</f>
        <v>1</v>
      </c>
      <c r="J528" s="9">
        <f>IF(Jnl[[#This Row],[BSLv0]]="A",1,-1)*Jnl[[#This Row],[Bal]]</f>
        <v>12875</v>
      </c>
      <c r="K528" t="str">
        <f>_xlfn.XLOOKUP(Jnl[[#This Row],[Acct]], config_BS[Acct], config_BS[Lv0],,0)</f>
        <v>A</v>
      </c>
      <c r="L528" t="str">
        <f>_xlfn.XLOOKUP(Jnl[[#This Row],[Acct]], config_BS[Acct], config_BS[Lv1],,0)</f>
        <v>Assets</v>
      </c>
      <c r="M528" t="str">
        <f>_xlfn.XLOOKUP(Jnl[[#This Row],[Acct]], config_BS[Acct], config_BS[Lv2],,0)</f>
        <v>Invtr</v>
      </c>
      <c r="N528" t="str">
        <f>_xlfn.XLOOKUP(Jnl[[#This Row],[TrxId]], Trx[Id], Trx[IncNode], ,0)</f>
        <v>Cost</v>
      </c>
      <c r="O528" t="str">
        <f>_xlfn.XLOOKUP(Jnl[[#This Row],[IncNode]], config_IS[Node], config_IS[Type],,0)</f>
        <v>Op</v>
      </c>
      <c r="P528" t="str">
        <f>_xlfn.XLOOKUP(Jnl[[#This Row],[BSLv2]], dict[Key], dict[Name],,0)</f>
        <v>3.库存占款</v>
      </c>
      <c r="Q528" t="str">
        <f>_xlfn.XLOOKUP(Jnl[[#This Row],[Acct]], dict[Key], dict[Name],,0)</f>
        <v>当期存货</v>
      </c>
      <c r="R528" t="str">
        <f>_xlfn.XLOOKUP(Jnl[[#This Row],[Vehicle]],config_vehicle[Id], config_vehicle[Name],,0)</f>
        <v>远家花园</v>
      </c>
      <c r="S528" t="str">
        <f>_xlfn.XLOOKUP(Jnl[[#This Row],[Division]],config_div[Id], config_div[Name],,0)</f>
        <v>网店</v>
      </c>
      <c r="T528" t="str">
        <f>IF(Jnl[[#This Row],[TrxDate]]&lt;=stmt_BS_date_end, "In", "Out")</f>
        <v>In</v>
      </c>
      <c r="U528" t="str">
        <f>IF(Jnl[[#This Row],[TrxDate]]&lt;debug_date_start, "prior", IF(Jnl[[#This Row],[TrxDate]]&gt;debug_date_end, "post", "curr"))</f>
        <v>curr</v>
      </c>
    </row>
    <row r="529" spans="1:21" hidden="1">
      <c r="A529" s="39" t="s">
        <v>735</v>
      </c>
      <c r="B529" s="6">
        <f>_xlfn.XLOOKUP(Jnl[[#This Row],[TrxId]], Trx[Id], Trx[Date],,0)</f>
        <v>46053</v>
      </c>
      <c r="C529" s="6" t="str">
        <f>_xlfn.XLOOKUP(Jnl[[#This Row],[TrxId]], Trx[Id], Trx[Division],,0)</f>
        <v>Online</v>
      </c>
      <c r="D529" s="6" t="str">
        <f>_xlfn.XLOOKUP(Jnl[[#This Row],[TrxId]], Trx[Id], Trx[Action],,0)</f>
        <v>采购</v>
      </c>
      <c r="E529" s="27" t="s">
        <v>82</v>
      </c>
      <c r="F529" s="10" t="s">
        <v>596</v>
      </c>
      <c r="G529" s="10" t="s">
        <v>396</v>
      </c>
      <c r="H529" s="37">
        <v>-12875</v>
      </c>
      <c r="I529" s="11" t="b">
        <f>AND(Jnl[[#This Row],[TrxId]]&lt;&gt;"",Jnl[[#This Row],[Acct]]&lt;&gt;"",Jnl[[#This Row],[Item]]&lt;&gt;"",ISNUMBER(Jnl[[#This Row],[Bal]]))</f>
        <v>1</v>
      </c>
      <c r="J529" s="9">
        <f>IF(Jnl[[#This Row],[BSLv0]]="A",1,-1)*Jnl[[#This Row],[Bal]]</f>
        <v>-12875</v>
      </c>
      <c r="K529" t="str">
        <f>_xlfn.XLOOKUP(Jnl[[#This Row],[Acct]], config_BS[Acct], config_BS[Lv0],,0)</f>
        <v>A</v>
      </c>
      <c r="L529" t="str">
        <f>_xlfn.XLOOKUP(Jnl[[#This Row],[Acct]], config_BS[Acct], config_BS[Lv1],,0)</f>
        <v>Assets</v>
      </c>
      <c r="M529" t="str">
        <f>_xlfn.XLOOKUP(Jnl[[#This Row],[Acct]], config_BS[Acct], config_BS[Lv2],,0)</f>
        <v>Cash alike</v>
      </c>
      <c r="N529" t="str">
        <f>_xlfn.XLOOKUP(Jnl[[#This Row],[TrxId]], Trx[Id], Trx[IncNode], ,0)</f>
        <v>Cost</v>
      </c>
      <c r="O529" t="str">
        <f>_xlfn.XLOOKUP(Jnl[[#This Row],[IncNode]], config_IS[Node], config_IS[Type],,0)</f>
        <v>Op</v>
      </c>
      <c r="P529" t="str">
        <f>_xlfn.XLOOKUP(Jnl[[#This Row],[BSLv2]], dict[Key], dict[Name],,0)</f>
        <v>0.现金及类似</v>
      </c>
      <c r="Q529" t="str">
        <f>_xlfn.XLOOKUP(Jnl[[#This Row],[Acct]], dict[Key], dict[Name],,0)</f>
        <v>银行</v>
      </c>
      <c r="R529" t="str">
        <f>_xlfn.XLOOKUP(Jnl[[#This Row],[Vehicle]],config_vehicle[Id], config_vehicle[Name],,0)</f>
        <v>远家花园</v>
      </c>
      <c r="S529" t="str">
        <f>_xlfn.XLOOKUP(Jnl[[#This Row],[Division]],config_div[Id], config_div[Name],,0)</f>
        <v>网店</v>
      </c>
      <c r="T529" t="str">
        <f>IF(Jnl[[#This Row],[TrxDate]]&lt;=stmt_BS_date_end, "In", "Out")</f>
        <v>In</v>
      </c>
      <c r="U529" t="str">
        <f>IF(Jnl[[#This Row],[TrxDate]]&lt;debug_date_start, "prior", IF(Jnl[[#This Row],[TrxDate]]&gt;debug_date_end, "post", "curr"))</f>
        <v>curr</v>
      </c>
    </row>
    <row r="530" spans="1:21" hidden="1">
      <c r="A530" s="39" t="s">
        <v>736</v>
      </c>
      <c r="B530" s="6">
        <f>_xlfn.XLOOKUP(Jnl[[#This Row],[TrxId]], Trx[Id], Trx[Date],,0)</f>
        <v>46053</v>
      </c>
      <c r="C530" s="6" t="str">
        <f>_xlfn.XLOOKUP(Jnl[[#This Row],[TrxId]], Trx[Id], Trx[Division],,0)</f>
        <v>GM</v>
      </c>
      <c r="D530" s="6" t="str">
        <f>_xlfn.XLOOKUP(Jnl[[#This Row],[TrxId]], Trx[Id], Trx[Action],,0)</f>
        <v>支付</v>
      </c>
      <c r="E530" s="27" t="s">
        <v>82</v>
      </c>
      <c r="F530" s="10" t="s">
        <v>596</v>
      </c>
      <c r="G530" s="10" t="s">
        <v>396</v>
      </c>
      <c r="H530" s="37">
        <v>-421835.41</v>
      </c>
      <c r="I530" s="11" t="b">
        <f>AND(Jnl[[#This Row],[TrxId]]&lt;&gt;"",Jnl[[#This Row],[Acct]]&lt;&gt;"",Jnl[[#This Row],[Item]]&lt;&gt;"",ISNUMBER(Jnl[[#This Row],[Bal]]))</f>
        <v>1</v>
      </c>
      <c r="J530" s="9">
        <f>IF(Jnl[[#This Row],[BSLv0]]="A",1,-1)*Jnl[[#This Row],[Bal]]</f>
        <v>-421835.41</v>
      </c>
      <c r="K530" t="str">
        <f>_xlfn.XLOOKUP(Jnl[[#This Row],[Acct]], config_BS[Acct], config_BS[Lv0],,0)</f>
        <v>A</v>
      </c>
      <c r="L530" t="str">
        <f>_xlfn.XLOOKUP(Jnl[[#This Row],[Acct]], config_BS[Acct], config_BS[Lv1],,0)</f>
        <v>Assets</v>
      </c>
      <c r="M530" t="str">
        <f>_xlfn.XLOOKUP(Jnl[[#This Row],[Acct]], config_BS[Acct], config_BS[Lv2],,0)</f>
        <v>Cash alike</v>
      </c>
      <c r="N530" t="str">
        <f>_xlfn.XLOOKUP(Jnl[[#This Row],[TrxId]], Trx[Id], Trx[IncNode], ,0)</f>
        <v>Expense</v>
      </c>
      <c r="O530" t="str">
        <f>_xlfn.XLOOKUP(Jnl[[#This Row],[IncNode]], config_IS[Node], config_IS[Type],,0)</f>
        <v>Op</v>
      </c>
      <c r="P530" t="str">
        <f>_xlfn.XLOOKUP(Jnl[[#This Row],[BSLv2]], dict[Key], dict[Name],,0)</f>
        <v>0.现金及类似</v>
      </c>
      <c r="Q530" t="str">
        <f>_xlfn.XLOOKUP(Jnl[[#This Row],[Acct]], dict[Key], dict[Name],,0)</f>
        <v>银行</v>
      </c>
      <c r="R530" t="str">
        <f>_xlfn.XLOOKUP(Jnl[[#This Row],[Vehicle]],config_vehicle[Id], config_vehicle[Name],,0)</f>
        <v>远家花园</v>
      </c>
      <c r="S530" t="str">
        <f>_xlfn.XLOOKUP(Jnl[[#This Row],[Division]],config_div[Id], config_div[Name],,0)</f>
        <v>综合管理</v>
      </c>
      <c r="T530" t="str">
        <f>IF(Jnl[[#This Row],[TrxDate]]&lt;=stmt_BS_date_end, "In", "Out")</f>
        <v>In</v>
      </c>
      <c r="U530" t="str">
        <f>IF(Jnl[[#This Row],[TrxDate]]&lt;debug_date_start, "prior", IF(Jnl[[#This Row],[TrxDate]]&gt;debug_date_end, "post", "curr"))</f>
        <v>curr</v>
      </c>
    </row>
    <row r="531" spans="1:21" hidden="1">
      <c r="A531" s="39" t="s">
        <v>736</v>
      </c>
      <c r="B531" s="6">
        <f>_xlfn.XLOOKUP(Jnl[[#This Row],[TrxId]], Trx[Id], Trx[Date],,0)</f>
        <v>46053</v>
      </c>
      <c r="C531" s="6" t="str">
        <f>_xlfn.XLOOKUP(Jnl[[#This Row],[TrxId]], Trx[Id], Trx[Division],,0)</f>
        <v>GM</v>
      </c>
      <c r="D531" s="6" t="str">
        <f>_xlfn.XLOOKUP(Jnl[[#This Row],[TrxId]], Trx[Id], Trx[Action],,0)</f>
        <v>支付</v>
      </c>
      <c r="E531" s="27" t="s">
        <v>82</v>
      </c>
      <c r="F531" s="10" t="s">
        <v>602</v>
      </c>
      <c r="G531" s="10" t="s">
        <v>152</v>
      </c>
      <c r="H531" s="37">
        <v>-454010.9</v>
      </c>
      <c r="I531" s="11" t="b">
        <f>AND(Jnl[[#This Row],[TrxId]]&lt;&gt;"",Jnl[[#This Row],[Acct]]&lt;&gt;"",Jnl[[#This Row],[Item]]&lt;&gt;"",ISNUMBER(Jnl[[#This Row],[Bal]]))</f>
        <v>1</v>
      </c>
      <c r="J531" s="9">
        <f>IF(Jnl[[#This Row],[BSLv0]]="A",1,-1)*Jnl[[#This Row],[Bal]]</f>
        <v>454010.9</v>
      </c>
      <c r="K531" t="str">
        <f>_xlfn.XLOOKUP(Jnl[[#This Row],[Acct]], config_BS[Acct], config_BS[Lv0],,0)</f>
        <v>LC</v>
      </c>
      <c r="L531" t="str">
        <f>_xlfn.XLOOKUP(Jnl[[#This Row],[Acct]], config_BS[Acct], config_BS[Lv1],,0)</f>
        <v>Liability</v>
      </c>
      <c r="M531" t="str">
        <f>_xlfn.XLOOKUP(Jnl[[#This Row],[Acct]], config_BS[Acct], config_BS[Lv2],,0)</f>
        <v>Rec-Pay</v>
      </c>
      <c r="N531" t="str">
        <f>_xlfn.XLOOKUP(Jnl[[#This Row],[TrxId]], Trx[Id], Trx[IncNode], ,0)</f>
        <v>Expense</v>
      </c>
      <c r="O531" t="str">
        <f>_xlfn.XLOOKUP(Jnl[[#This Row],[IncNode]], config_IS[Node], config_IS[Type],,0)</f>
        <v>Op</v>
      </c>
      <c r="P531" t="str">
        <f>_xlfn.XLOOKUP(Jnl[[#This Row],[BSLv2]], dict[Key], dict[Name],,0)</f>
        <v>1.应收-应付</v>
      </c>
      <c r="Q531" t="str">
        <f>_xlfn.XLOOKUP(Jnl[[#This Row],[Acct]], dict[Key], dict[Name],,0)</f>
        <v>应付-薪资</v>
      </c>
      <c r="R531" t="str">
        <f>_xlfn.XLOOKUP(Jnl[[#This Row],[Vehicle]],config_vehicle[Id], config_vehicle[Name],,0)</f>
        <v>远家花园</v>
      </c>
      <c r="S531" t="str">
        <f>_xlfn.XLOOKUP(Jnl[[#This Row],[Division]],config_div[Id], config_div[Name],,0)</f>
        <v>综合管理</v>
      </c>
      <c r="T531" t="str">
        <f>IF(Jnl[[#This Row],[TrxDate]]&lt;=stmt_BS_date_end, "In", "Out")</f>
        <v>In</v>
      </c>
      <c r="U531" t="str">
        <f>IF(Jnl[[#This Row],[TrxDate]]&lt;debug_date_start, "prior", IF(Jnl[[#This Row],[TrxDate]]&gt;debug_date_end, "post", "curr"))</f>
        <v>curr</v>
      </c>
    </row>
    <row r="532" spans="1:21" hidden="1">
      <c r="A532" s="39" t="s">
        <v>736</v>
      </c>
      <c r="B532" s="6">
        <f>_xlfn.XLOOKUP(Jnl[[#This Row],[TrxId]], Trx[Id], Trx[Date],,0)</f>
        <v>46053</v>
      </c>
      <c r="C532" s="6" t="str">
        <f>_xlfn.XLOOKUP(Jnl[[#This Row],[TrxId]], Trx[Id], Trx[Division],,0)</f>
        <v>GM</v>
      </c>
      <c r="D532" s="6" t="str">
        <f>_xlfn.XLOOKUP(Jnl[[#This Row],[TrxId]], Trx[Id], Trx[Action],,0)</f>
        <v>支付</v>
      </c>
      <c r="E532" s="27" t="s">
        <v>82</v>
      </c>
      <c r="F532" s="10" t="s">
        <v>601</v>
      </c>
      <c r="G532" s="10" t="s">
        <v>349</v>
      </c>
      <c r="H532" s="37">
        <v>-24114.6</v>
      </c>
      <c r="I532" s="11" t="b">
        <f>AND(Jnl[[#This Row],[TrxId]]&lt;&gt;"",Jnl[[#This Row],[Acct]]&lt;&gt;"",Jnl[[#This Row],[Item]]&lt;&gt;"",ISNUMBER(Jnl[[#This Row],[Bal]]))</f>
        <v>1</v>
      </c>
      <c r="J532" s="9">
        <f>IF(Jnl[[#This Row],[BSLv0]]="A",1,-1)*Jnl[[#This Row],[Bal]]</f>
        <v>-24114.6</v>
      </c>
      <c r="K532" t="str">
        <f>_xlfn.XLOOKUP(Jnl[[#This Row],[Acct]], config_BS[Acct], config_BS[Lv0],,0)</f>
        <v>A</v>
      </c>
      <c r="L532" t="str">
        <f>_xlfn.XLOOKUP(Jnl[[#This Row],[Acct]], config_BS[Acct], config_BS[Lv1],,0)</f>
        <v>Assets</v>
      </c>
      <c r="M532" t="str">
        <f>_xlfn.XLOOKUP(Jnl[[#This Row],[Acct]], config_BS[Acct], config_BS[Lv2],,0)</f>
        <v>Rec-Pay</v>
      </c>
      <c r="N532" t="str">
        <f>_xlfn.XLOOKUP(Jnl[[#This Row],[TrxId]], Trx[Id], Trx[IncNode], ,0)</f>
        <v>Expense</v>
      </c>
      <c r="O532" t="str">
        <f>_xlfn.XLOOKUP(Jnl[[#This Row],[IncNode]], config_IS[Node], config_IS[Type],,0)</f>
        <v>Op</v>
      </c>
      <c r="P532" t="str">
        <f>_xlfn.XLOOKUP(Jnl[[#This Row],[BSLv2]], dict[Key], dict[Name],,0)</f>
        <v>1.应收-应付</v>
      </c>
      <c r="Q532" t="str">
        <f>_xlfn.XLOOKUP(Jnl[[#This Row],[Acct]], dict[Key], dict[Name],,0)</f>
        <v>应收-其他</v>
      </c>
      <c r="R532" t="str">
        <f>_xlfn.XLOOKUP(Jnl[[#This Row],[Vehicle]],config_vehicle[Id], config_vehicle[Name],,0)</f>
        <v>远家花园</v>
      </c>
      <c r="S532" t="str">
        <f>_xlfn.XLOOKUP(Jnl[[#This Row],[Division]],config_div[Id], config_div[Name],,0)</f>
        <v>综合管理</v>
      </c>
      <c r="T532" t="str">
        <f>IF(Jnl[[#This Row],[TrxDate]]&lt;=stmt_BS_date_end, "In", "Out")</f>
        <v>In</v>
      </c>
      <c r="U532" t="str">
        <f>IF(Jnl[[#This Row],[TrxDate]]&lt;debug_date_start, "prior", IF(Jnl[[#This Row],[TrxDate]]&gt;debug_date_end, "post", "curr"))</f>
        <v>curr</v>
      </c>
    </row>
    <row r="533" spans="1:21" hidden="1">
      <c r="A533" s="39" t="s">
        <v>736</v>
      </c>
      <c r="B533" s="6">
        <f>_xlfn.XLOOKUP(Jnl[[#This Row],[TrxId]], Trx[Id], Trx[Date],,0)</f>
        <v>46053</v>
      </c>
      <c r="C533" s="6" t="str">
        <f>_xlfn.XLOOKUP(Jnl[[#This Row],[TrxId]], Trx[Id], Trx[Division],,0)</f>
        <v>GM</v>
      </c>
      <c r="D533" s="6" t="str">
        <f>_xlfn.XLOOKUP(Jnl[[#This Row],[TrxId]], Trx[Id], Trx[Action],,0)</f>
        <v>支付</v>
      </c>
      <c r="E533" s="27" t="s">
        <v>82</v>
      </c>
      <c r="F533" s="10" t="s">
        <v>130</v>
      </c>
      <c r="G533" s="10" t="s">
        <v>348</v>
      </c>
      <c r="H533" s="37">
        <v>8060.89</v>
      </c>
      <c r="I533" s="11" t="b">
        <f>AND(Jnl[[#This Row],[TrxId]]&lt;&gt;"",Jnl[[#This Row],[Acct]]&lt;&gt;"",Jnl[[#This Row],[Item]]&lt;&gt;"",ISNUMBER(Jnl[[#This Row],[Bal]]))</f>
        <v>1</v>
      </c>
      <c r="J533" s="9">
        <f>IF(Jnl[[#This Row],[BSLv0]]="A",1,-1)*Jnl[[#This Row],[Bal]]</f>
        <v>-8060.89</v>
      </c>
      <c r="K533" t="str">
        <f>_xlfn.XLOOKUP(Jnl[[#This Row],[Acct]], config_BS[Acct], config_BS[Lv0],,0)</f>
        <v>LC</v>
      </c>
      <c r="L533" t="str">
        <f>_xlfn.XLOOKUP(Jnl[[#This Row],[Acct]], config_BS[Acct], config_BS[Lv1],,0)</f>
        <v>Liability</v>
      </c>
      <c r="M533" t="str">
        <f>_xlfn.XLOOKUP(Jnl[[#This Row],[Acct]], config_BS[Acct], config_BS[Lv2],,0)</f>
        <v>Rec-Pay</v>
      </c>
      <c r="N533" t="str">
        <f>_xlfn.XLOOKUP(Jnl[[#This Row],[TrxId]], Trx[Id], Trx[IncNode], ,0)</f>
        <v>Expense</v>
      </c>
      <c r="O533" t="str">
        <f>_xlfn.XLOOKUP(Jnl[[#This Row],[IncNode]], config_IS[Node], config_IS[Type],,0)</f>
        <v>Op</v>
      </c>
      <c r="P533" t="str">
        <f>_xlfn.XLOOKUP(Jnl[[#This Row],[BSLv2]], dict[Key], dict[Name],,0)</f>
        <v>1.应收-应付</v>
      </c>
      <c r="Q533" t="str">
        <f>_xlfn.XLOOKUP(Jnl[[#This Row],[Acct]], dict[Key], dict[Name],,0)</f>
        <v>应付-税款</v>
      </c>
      <c r="R533" t="str">
        <f>_xlfn.XLOOKUP(Jnl[[#This Row],[Vehicle]],config_vehicle[Id], config_vehicle[Name],,0)</f>
        <v>远家花园</v>
      </c>
      <c r="S533" t="str">
        <f>_xlfn.XLOOKUP(Jnl[[#This Row],[Division]],config_div[Id], config_div[Name],,0)</f>
        <v>综合管理</v>
      </c>
      <c r="T533" t="str">
        <f>IF(Jnl[[#This Row],[TrxDate]]&lt;=stmt_BS_date_end, "In", "Out")</f>
        <v>In</v>
      </c>
      <c r="U533" t="str">
        <f>IF(Jnl[[#This Row],[TrxDate]]&lt;debug_date_start, "prior", IF(Jnl[[#This Row],[TrxDate]]&gt;debug_date_end, "post", "curr"))</f>
        <v>curr</v>
      </c>
    </row>
    <row r="534" spans="1:21" hidden="1">
      <c r="A534" s="39" t="s">
        <v>737</v>
      </c>
      <c r="B534" s="6">
        <f>_xlfn.XLOOKUP(Jnl[[#This Row],[TrxId]], Trx[Id], Trx[Date],,0)</f>
        <v>46053</v>
      </c>
      <c r="C534" s="6" t="str">
        <f>_xlfn.XLOOKUP(Jnl[[#This Row],[TrxId]], Trx[Id], Trx[Division],,0)</f>
        <v>GM</v>
      </c>
      <c r="D534" s="6" t="str">
        <f>_xlfn.XLOOKUP(Jnl[[#This Row],[TrxId]], Trx[Id], Trx[Action],,0)</f>
        <v>支付</v>
      </c>
      <c r="E534" s="27" t="s">
        <v>82</v>
      </c>
      <c r="F534" s="10" t="s">
        <v>130</v>
      </c>
      <c r="G534" s="10" t="s">
        <v>348</v>
      </c>
      <c r="H534" s="37">
        <v>-8060.89</v>
      </c>
      <c r="I534" s="11" t="b">
        <f>AND(Jnl[[#This Row],[TrxId]]&lt;&gt;"",Jnl[[#This Row],[Acct]]&lt;&gt;"",Jnl[[#This Row],[Item]]&lt;&gt;"",ISNUMBER(Jnl[[#This Row],[Bal]]))</f>
        <v>1</v>
      </c>
      <c r="J534" s="9">
        <f>IF(Jnl[[#This Row],[BSLv0]]="A",1,-1)*Jnl[[#This Row],[Bal]]</f>
        <v>8060.89</v>
      </c>
      <c r="K534" t="str">
        <f>_xlfn.XLOOKUP(Jnl[[#This Row],[Acct]], config_BS[Acct], config_BS[Lv0],,0)</f>
        <v>LC</v>
      </c>
      <c r="L534" t="str">
        <f>_xlfn.XLOOKUP(Jnl[[#This Row],[Acct]], config_BS[Acct], config_BS[Lv1],,0)</f>
        <v>Liability</v>
      </c>
      <c r="M534" t="str">
        <f>_xlfn.XLOOKUP(Jnl[[#This Row],[Acct]], config_BS[Acct], config_BS[Lv2],,0)</f>
        <v>Rec-Pay</v>
      </c>
      <c r="N534" t="str">
        <f>_xlfn.XLOOKUP(Jnl[[#This Row],[TrxId]], Trx[Id], Trx[IncNode], ,0)</f>
        <v>Expense</v>
      </c>
      <c r="O534" t="str">
        <f>_xlfn.XLOOKUP(Jnl[[#This Row],[IncNode]], config_IS[Node], config_IS[Type],,0)</f>
        <v>Op</v>
      </c>
      <c r="P534" t="str">
        <f>_xlfn.XLOOKUP(Jnl[[#This Row],[BSLv2]], dict[Key], dict[Name],,0)</f>
        <v>1.应收-应付</v>
      </c>
      <c r="Q534" t="str">
        <f>_xlfn.XLOOKUP(Jnl[[#This Row],[Acct]], dict[Key], dict[Name],,0)</f>
        <v>应付-税款</v>
      </c>
      <c r="R534" t="str">
        <f>_xlfn.XLOOKUP(Jnl[[#This Row],[Vehicle]],config_vehicle[Id], config_vehicle[Name],,0)</f>
        <v>远家花园</v>
      </c>
      <c r="S534" t="str">
        <f>_xlfn.XLOOKUP(Jnl[[#This Row],[Division]],config_div[Id], config_div[Name],,0)</f>
        <v>综合管理</v>
      </c>
      <c r="T534" t="str">
        <f>IF(Jnl[[#This Row],[TrxDate]]&lt;=stmt_BS_date_end, "In", "Out")</f>
        <v>In</v>
      </c>
      <c r="U534" t="str">
        <f>IF(Jnl[[#This Row],[TrxDate]]&lt;debug_date_start, "prior", IF(Jnl[[#This Row],[TrxDate]]&gt;debug_date_end, "post", "curr"))</f>
        <v>curr</v>
      </c>
    </row>
    <row r="535" spans="1:21" hidden="1">
      <c r="A535" s="39" t="s">
        <v>737</v>
      </c>
      <c r="B535" s="6">
        <f>_xlfn.XLOOKUP(Jnl[[#This Row],[TrxId]], Trx[Id], Trx[Date],,0)</f>
        <v>46053</v>
      </c>
      <c r="C535" s="6" t="str">
        <f>_xlfn.XLOOKUP(Jnl[[#This Row],[TrxId]], Trx[Id], Trx[Division],,0)</f>
        <v>GM</v>
      </c>
      <c r="D535" s="6" t="str">
        <f>_xlfn.XLOOKUP(Jnl[[#This Row],[TrxId]], Trx[Id], Trx[Action],,0)</f>
        <v>支付</v>
      </c>
      <c r="E535" s="27" t="s">
        <v>82</v>
      </c>
      <c r="F535" s="10" t="s">
        <v>596</v>
      </c>
      <c r="G535" s="10" t="s">
        <v>396</v>
      </c>
      <c r="H535" s="37">
        <f>H534</f>
        <v>-8060.89</v>
      </c>
      <c r="I535" s="11" t="b">
        <f>AND(Jnl[[#This Row],[TrxId]]&lt;&gt;"",Jnl[[#This Row],[Acct]]&lt;&gt;"",Jnl[[#This Row],[Item]]&lt;&gt;"",ISNUMBER(Jnl[[#This Row],[Bal]]))</f>
        <v>1</v>
      </c>
      <c r="J535" s="9">
        <f>IF(Jnl[[#This Row],[BSLv0]]="A",1,-1)*Jnl[[#This Row],[Bal]]</f>
        <v>-8060.89</v>
      </c>
      <c r="K535" t="str">
        <f>_xlfn.XLOOKUP(Jnl[[#This Row],[Acct]], config_BS[Acct], config_BS[Lv0],,0)</f>
        <v>A</v>
      </c>
      <c r="L535" t="str">
        <f>_xlfn.XLOOKUP(Jnl[[#This Row],[Acct]], config_BS[Acct], config_BS[Lv1],,0)</f>
        <v>Assets</v>
      </c>
      <c r="M535" t="str">
        <f>_xlfn.XLOOKUP(Jnl[[#This Row],[Acct]], config_BS[Acct], config_BS[Lv2],,0)</f>
        <v>Cash alike</v>
      </c>
      <c r="N535" t="str">
        <f>_xlfn.XLOOKUP(Jnl[[#This Row],[TrxId]], Trx[Id], Trx[IncNode], ,0)</f>
        <v>Expense</v>
      </c>
      <c r="O535" t="str">
        <f>_xlfn.XLOOKUP(Jnl[[#This Row],[IncNode]], config_IS[Node], config_IS[Type],,0)</f>
        <v>Op</v>
      </c>
      <c r="P535" t="str">
        <f>_xlfn.XLOOKUP(Jnl[[#This Row],[BSLv2]], dict[Key], dict[Name],,0)</f>
        <v>0.现金及类似</v>
      </c>
      <c r="Q535" t="str">
        <f>_xlfn.XLOOKUP(Jnl[[#This Row],[Acct]], dict[Key], dict[Name],,0)</f>
        <v>银行</v>
      </c>
      <c r="R535" t="str">
        <f>_xlfn.XLOOKUP(Jnl[[#This Row],[Vehicle]],config_vehicle[Id], config_vehicle[Name],,0)</f>
        <v>远家花园</v>
      </c>
      <c r="S535" t="str">
        <f>_xlfn.XLOOKUP(Jnl[[#This Row],[Division]],config_div[Id], config_div[Name],,0)</f>
        <v>综合管理</v>
      </c>
      <c r="T535" t="str">
        <f>IF(Jnl[[#This Row],[TrxDate]]&lt;=stmt_BS_date_end, "In", "Out")</f>
        <v>In</v>
      </c>
      <c r="U535" t="str">
        <f>IF(Jnl[[#This Row],[TrxDate]]&lt;debug_date_start, "prior", IF(Jnl[[#This Row],[TrxDate]]&gt;debug_date_end, "post", "curr"))</f>
        <v>curr</v>
      </c>
    </row>
    <row r="536" spans="1:21" hidden="1">
      <c r="A536" s="39" t="s">
        <v>738</v>
      </c>
      <c r="B536" s="6">
        <f>_xlfn.XLOOKUP(Jnl[[#This Row],[TrxId]], Trx[Id], Trx[Date],,0)</f>
        <v>46053</v>
      </c>
      <c r="C536" s="6" t="str">
        <f>_xlfn.XLOOKUP(Jnl[[#This Row],[TrxId]], Trx[Id], Trx[Division],,0)</f>
        <v>GM</v>
      </c>
      <c r="D536" s="6" t="str">
        <f>_xlfn.XLOOKUP(Jnl[[#This Row],[TrxId]], Trx[Id], Trx[Action],,0)</f>
        <v>收款</v>
      </c>
      <c r="E536" s="27" t="s">
        <v>82</v>
      </c>
      <c r="F536" s="10" t="s">
        <v>596</v>
      </c>
      <c r="G536" s="10" t="s">
        <v>396</v>
      </c>
      <c r="H536" s="37">
        <v>477.15</v>
      </c>
      <c r="I536" s="11" t="b">
        <f>AND(Jnl[[#This Row],[TrxId]]&lt;&gt;"",Jnl[[#This Row],[Acct]]&lt;&gt;"",Jnl[[#This Row],[Item]]&lt;&gt;"",ISNUMBER(Jnl[[#This Row],[Bal]]))</f>
        <v>1</v>
      </c>
      <c r="J536" s="9">
        <f>IF(Jnl[[#This Row],[BSLv0]]="A",1,-1)*Jnl[[#This Row],[Bal]]</f>
        <v>477.15</v>
      </c>
      <c r="K536" t="str">
        <f>_xlfn.XLOOKUP(Jnl[[#This Row],[Acct]], config_BS[Acct], config_BS[Lv0],,0)</f>
        <v>A</v>
      </c>
      <c r="L536" t="str">
        <f>_xlfn.XLOOKUP(Jnl[[#This Row],[Acct]], config_BS[Acct], config_BS[Lv1],,0)</f>
        <v>Assets</v>
      </c>
      <c r="M536" t="str">
        <f>_xlfn.XLOOKUP(Jnl[[#This Row],[Acct]], config_BS[Acct], config_BS[Lv2],,0)</f>
        <v>Cash alike</v>
      </c>
      <c r="N536" t="str">
        <f>_xlfn.XLOOKUP(Jnl[[#This Row],[TrxId]], Trx[Id], Trx[IncNode], ,0)</f>
        <v>Expense</v>
      </c>
      <c r="O536" t="str">
        <f>_xlfn.XLOOKUP(Jnl[[#This Row],[IncNode]], config_IS[Node], config_IS[Type],,0)</f>
        <v>Op</v>
      </c>
      <c r="P536" t="str">
        <f>_xlfn.XLOOKUP(Jnl[[#This Row],[BSLv2]], dict[Key], dict[Name],,0)</f>
        <v>0.现金及类似</v>
      </c>
      <c r="Q536" t="str">
        <f>_xlfn.XLOOKUP(Jnl[[#This Row],[Acct]], dict[Key], dict[Name],,0)</f>
        <v>银行</v>
      </c>
      <c r="R536" t="str">
        <f>_xlfn.XLOOKUP(Jnl[[#This Row],[Vehicle]],config_vehicle[Id], config_vehicle[Name],,0)</f>
        <v>远家花园</v>
      </c>
      <c r="S536" t="str">
        <f>_xlfn.XLOOKUP(Jnl[[#This Row],[Division]],config_div[Id], config_div[Name],,0)</f>
        <v>综合管理</v>
      </c>
      <c r="T536" t="str">
        <f>IF(Jnl[[#This Row],[TrxDate]]&lt;=stmt_BS_date_end, "In", "Out")</f>
        <v>In</v>
      </c>
      <c r="U536" t="str">
        <f>IF(Jnl[[#This Row],[TrxDate]]&lt;debug_date_start, "prior", IF(Jnl[[#This Row],[TrxDate]]&gt;debug_date_end, "post", "curr"))</f>
        <v>curr</v>
      </c>
    </row>
    <row r="537" spans="1:21" hidden="1">
      <c r="A537" s="39" t="s">
        <v>738</v>
      </c>
      <c r="B537" s="6">
        <f>_xlfn.XLOOKUP(Jnl[[#This Row],[TrxId]], Trx[Id], Trx[Date],,0)</f>
        <v>46053</v>
      </c>
      <c r="C537" s="6" t="str">
        <f>_xlfn.XLOOKUP(Jnl[[#This Row],[TrxId]], Trx[Id], Trx[Division],,0)</f>
        <v>GM</v>
      </c>
      <c r="D537" s="6" t="str">
        <f>_xlfn.XLOOKUP(Jnl[[#This Row],[TrxId]], Trx[Id], Trx[Action],,0)</f>
        <v>收款</v>
      </c>
      <c r="E537" s="27" t="s">
        <v>82</v>
      </c>
      <c r="F537" s="10" t="s">
        <v>601</v>
      </c>
      <c r="G537" s="10" t="s">
        <v>349</v>
      </c>
      <c r="H537" s="37">
        <v>-477.15</v>
      </c>
      <c r="I537" s="11" t="b">
        <f>AND(Jnl[[#This Row],[TrxId]]&lt;&gt;"",Jnl[[#This Row],[Acct]]&lt;&gt;"",Jnl[[#This Row],[Item]]&lt;&gt;"",ISNUMBER(Jnl[[#This Row],[Bal]]))</f>
        <v>1</v>
      </c>
      <c r="J537" s="9">
        <f>IF(Jnl[[#This Row],[BSLv0]]="A",1,-1)*Jnl[[#This Row],[Bal]]</f>
        <v>-477.15</v>
      </c>
      <c r="K537" t="str">
        <f>_xlfn.XLOOKUP(Jnl[[#This Row],[Acct]], config_BS[Acct], config_BS[Lv0],,0)</f>
        <v>A</v>
      </c>
      <c r="L537" t="str">
        <f>_xlfn.XLOOKUP(Jnl[[#This Row],[Acct]], config_BS[Acct], config_BS[Lv1],,0)</f>
        <v>Assets</v>
      </c>
      <c r="M537" t="str">
        <f>_xlfn.XLOOKUP(Jnl[[#This Row],[Acct]], config_BS[Acct], config_BS[Lv2],,0)</f>
        <v>Rec-Pay</v>
      </c>
      <c r="N537" t="str">
        <f>_xlfn.XLOOKUP(Jnl[[#This Row],[TrxId]], Trx[Id], Trx[IncNode], ,0)</f>
        <v>Expense</v>
      </c>
      <c r="O537" t="str">
        <f>_xlfn.XLOOKUP(Jnl[[#This Row],[IncNode]], config_IS[Node], config_IS[Type],,0)</f>
        <v>Op</v>
      </c>
      <c r="P537" t="str">
        <f>_xlfn.XLOOKUP(Jnl[[#This Row],[BSLv2]], dict[Key], dict[Name],,0)</f>
        <v>1.应收-应付</v>
      </c>
      <c r="Q537" t="str">
        <f>_xlfn.XLOOKUP(Jnl[[#This Row],[Acct]], dict[Key], dict[Name],,0)</f>
        <v>应收-其他</v>
      </c>
      <c r="R537" t="str">
        <f>_xlfn.XLOOKUP(Jnl[[#This Row],[Vehicle]],config_vehicle[Id], config_vehicle[Name],,0)</f>
        <v>远家花园</v>
      </c>
      <c r="S537" t="str">
        <f>_xlfn.XLOOKUP(Jnl[[#This Row],[Division]],config_div[Id], config_div[Name],,0)</f>
        <v>综合管理</v>
      </c>
      <c r="T537" t="str">
        <f>IF(Jnl[[#This Row],[TrxDate]]&lt;=stmt_BS_date_end, "In", "Out")</f>
        <v>In</v>
      </c>
      <c r="U537" t="str">
        <f>IF(Jnl[[#This Row],[TrxDate]]&lt;debug_date_start, "prior", IF(Jnl[[#This Row],[TrxDate]]&gt;debug_date_end, "post", "curr"))</f>
        <v>curr</v>
      </c>
    </row>
    <row r="538" spans="1:21" hidden="1">
      <c r="A538" s="39" t="s">
        <v>739</v>
      </c>
      <c r="B538" s="6">
        <f>_xlfn.XLOOKUP(Jnl[[#This Row],[TrxId]], Trx[Id], Trx[Date],,0)</f>
        <v>46053</v>
      </c>
      <c r="C538" s="6" t="str">
        <f>_xlfn.XLOOKUP(Jnl[[#This Row],[TrxId]], Trx[Id], Trx[Division],,0)</f>
        <v>GM</v>
      </c>
      <c r="D538" s="6" t="str">
        <f>_xlfn.XLOOKUP(Jnl[[#This Row],[TrxId]], Trx[Id], Trx[Action],,0)</f>
        <v>薪酬-工资</v>
      </c>
      <c r="E538" s="27" t="s">
        <v>82</v>
      </c>
      <c r="F538" s="10" t="s">
        <v>596</v>
      </c>
      <c r="G538" s="10" t="s">
        <v>396</v>
      </c>
      <c r="H538" s="37">
        <v>-11932</v>
      </c>
      <c r="I538" s="11" t="b">
        <f>AND(Jnl[[#This Row],[TrxId]]&lt;&gt;"",Jnl[[#This Row],[Acct]]&lt;&gt;"",Jnl[[#This Row],[Item]]&lt;&gt;"",ISNUMBER(Jnl[[#This Row],[Bal]]))</f>
        <v>1</v>
      </c>
      <c r="J538" s="9">
        <f>IF(Jnl[[#This Row],[BSLv0]]="A",1,-1)*Jnl[[#This Row],[Bal]]</f>
        <v>-11932</v>
      </c>
      <c r="K538" t="str">
        <f>_xlfn.XLOOKUP(Jnl[[#This Row],[Acct]], config_BS[Acct], config_BS[Lv0],,0)</f>
        <v>A</v>
      </c>
      <c r="L538" t="str">
        <f>_xlfn.XLOOKUP(Jnl[[#This Row],[Acct]], config_BS[Acct], config_BS[Lv1],,0)</f>
        <v>Assets</v>
      </c>
      <c r="M538" t="str">
        <f>_xlfn.XLOOKUP(Jnl[[#This Row],[Acct]], config_BS[Acct], config_BS[Lv2],,0)</f>
        <v>Cash alike</v>
      </c>
      <c r="N538" t="str">
        <f>_xlfn.XLOOKUP(Jnl[[#This Row],[TrxId]], Trx[Id], Trx[IncNode], ,0)</f>
        <v>Expense</v>
      </c>
      <c r="O538" t="str">
        <f>_xlfn.XLOOKUP(Jnl[[#This Row],[IncNode]], config_IS[Node], config_IS[Type],,0)</f>
        <v>Op</v>
      </c>
      <c r="P538" t="str">
        <f>_xlfn.XLOOKUP(Jnl[[#This Row],[BSLv2]], dict[Key], dict[Name],,0)</f>
        <v>0.现金及类似</v>
      </c>
      <c r="Q538" t="str">
        <f>_xlfn.XLOOKUP(Jnl[[#This Row],[Acct]], dict[Key], dict[Name],,0)</f>
        <v>银行</v>
      </c>
      <c r="R538" t="str">
        <f>_xlfn.XLOOKUP(Jnl[[#This Row],[Vehicle]],config_vehicle[Id], config_vehicle[Name],,0)</f>
        <v>远家花园</v>
      </c>
      <c r="S538" t="str">
        <f>_xlfn.XLOOKUP(Jnl[[#This Row],[Division]],config_div[Id], config_div[Name],,0)</f>
        <v>综合管理</v>
      </c>
      <c r="T538" t="str">
        <f>IF(Jnl[[#This Row],[TrxDate]]&lt;=stmt_BS_date_end, "In", "Out")</f>
        <v>In</v>
      </c>
      <c r="U538" t="str">
        <f>IF(Jnl[[#This Row],[TrxDate]]&lt;debug_date_start, "prior", IF(Jnl[[#This Row],[TrxDate]]&gt;debug_date_end, "post", "curr"))</f>
        <v>curr</v>
      </c>
    </row>
    <row r="539" spans="1:21" hidden="1">
      <c r="A539" s="39" t="s">
        <v>740</v>
      </c>
      <c r="B539" s="6">
        <f>_xlfn.XLOOKUP(Jnl[[#This Row],[TrxId]], Trx[Id], Trx[Date],,0)</f>
        <v>46053</v>
      </c>
      <c r="C539" s="6" t="str">
        <f>_xlfn.XLOOKUP(Jnl[[#This Row],[TrxId]], Trx[Id], Trx[Division],,0)</f>
        <v>Online</v>
      </c>
      <c r="D539" s="6" t="str">
        <f>_xlfn.XLOOKUP(Jnl[[#This Row],[TrxId]], Trx[Id], Trx[Action],,0)</f>
        <v>收款</v>
      </c>
      <c r="E539" s="27" t="s">
        <v>82</v>
      </c>
      <c r="F539" s="10" t="s">
        <v>596</v>
      </c>
      <c r="G539" s="10" t="s">
        <v>396</v>
      </c>
      <c r="H539" s="37">
        <v>609035.81000000006</v>
      </c>
      <c r="I539" s="11" t="b">
        <f>AND(Jnl[[#This Row],[TrxId]]&lt;&gt;"",Jnl[[#This Row],[Acct]]&lt;&gt;"",Jnl[[#This Row],[Item]]&lt;&gt;"",ISNUMBER(Jnl[[#This Row],[Bal]]))</f>
        <v>1</v>
      </c>
      <c r="J539" s="9">
        <f>IF(Jnl[[#This Row],[BSLv0]]="A",1,-1)*Jnl[[#This Row],[Bal]]</f>
        <v>609035.81000000006</v>
      </c>
      <c r="K539" t="str">
        <f>_xlfn.XLOOKUP(Jnl[[#This Row],[Acct]], config_BS[Acct], config_BS[Lv0],,0)</f>
        <v>A</v>
      </c>
      <c r="L539" t="str">
        <f>_xlfn.XLOOKUP(Jnl[[#This Row],[Acct]], config_BS[Acct], config_BS[Lv1],,0)</f>
        <v>Assets</v>
      </c>
      <c r="M539" t="str">
        <f>_xlfn.XLOOKUP(Jnl[[#This Row],[Acct]], config_BS[Acct], config_BS[Lv2],,0)</f>
        <v>Cash alike</v>
      </c>
      <c r="N539" t="str">
        <f>_xlfn.XLOOKUP(Jnl[[#This Row],[TrxId]], Trx[Id], Trx[IncNode], ,0)</f>
        <v>Revenue</v>
      </c>
      <c r="O539" t="str">
        <f>_xlfn.XLOOKUP(Jnl[[#This Row],[IncNode]], config_IS[Node], config_IS[Type],,0)</f>
        <v>Op</v>
      </c>
      <c r="P539" t="str">
        <f>_xlfn.XLOOKUP(Jnl[[#This Row],[BSLv2]], dict[Key], dict[Name],,0)</f>
        <v>0.现金及类似</v>
      </c>
      <c r="Q539" t="str">
        <f>_xlfn.XLOOKUP(Jnl[[#This Row],[Acct]], dict[Key], dict[Name],,0)</f>
        <v>银行</v>
      </c>
      <c r="R539" t="str">
        <f>_xlfn.XLOOKUP(Jnl[[#This Row],[Vehicle]],config_vehicle[Id], config_vehicle[Name],,0)</f>
        <v>远家花园</v>
      </c>
      <c r="S539" t="str">
        <f>_xlfn.XLOOKUP(Jnl[[#This Row],[Division]],config_div[Id], config_div[Name],,0)</f>
        <v>网店</v>
      </c>
      <c r="T539" t="str">
        <f>IF(Jnl[[#This Row],[TrxDate]]&lt;=stmt_BS_date_end, "In", "Out")</f>
        <v>In</v>
      </c>
      <c r="U539" t="str">
        <f>IF(Jnl[[#This Row],[TrxDate]]&lt;debug_date_start, "prior", IF(Jnl[[#This Row],[TrxDate]]&gt;debug_date_end, "post", "curr"))</f>
        <v>curr</v>
      </c>
    </row>
    <row r="540" spans="1:21" hidden="1">
      <c r="A540" s="39" t="s">
        <v>740</v>
      </c>
      <c r="B540" s="6">
        <f>_xlfn.XLOOKUP(Jnl[[#This Row],[TrxId]], Trx[Id], Trx[Date],,0)</f>
        <v>46053</v>
      </c>
      <c r="C540" s="6" t="str">
        <f>_xlfn.XLOOKUP(Jnl[[#This Row],[TrxId]], Trx[Id], Trx[Division],,0)</f>
        <v>Online</v>
      </c>
      <c r="D540" s="6" t="str">
        <f>_xlfn.XLOOKUP(Jnl[[#This Row],[TrxId]], Trx[Id], Trx[Action],,0)</f>
        <v>收款</v>
      </c>
      <c r="E540" s="27" t="s">
        <v>82</v>
      </c>
      <c r="F540" s="10" t="s">
        <v>599</v>
      </c>
      <c r="G540" s="10" t="s">
        <v>600</v>
      </c>
      <c r="H540" s="37">
        <f>-H539</f>
        <v>-609035.81000000006</v>
      </c>
      <c r="I540" s="11" t="b">
        <f>AND(Jnl[[#This Row],[TrxId]]&lt;&gt;"",Jnl[[#This Row],[Acct]]&lt;&gt;"",Jnl[[#This Row],[Item]]&lt;&gt;"",ISNUMBER(Jnl[[#This Row],[Bal]]))</f>
        <v>1</v>
      </c>
      <c r="J540" s="9">
        <f>IF(Jnl[[#This Row],[BSLv0]]="A",1,-1)*Jnl[[#This Row],[Bal]]</f>
        <v>-609035.81000000006</v>
      </c>
      <c r="K540" t="str">
        <f>_xlfn.XLOOKUP(Jnl[[#This Row],[Acct]], config_BS[Acct], config_BS[Lv0],,0)</f>
        <v>A</v>
      </c>
      <c r="L540" t="str">
        <f>_xlfn.XLOOKUP(Jnl[[#This Row],[Acct]], config_BS[Acct], config_BS[Lv1],,0)</f>
        <v>Assets</v>
      </c>
      <c r="M540" t="str">
        <f>_xlfn.XLOOKUP(Jnl[[#This Row],[Acct]], config_BS[Acct], config_BS[Lv2],,0)</f>
        <v>Rec-Pay</v>
      </c>
      <c r="N540" t="str">
        <f>_xlfn.XLOOKUP(Jnl[[#This Row],[TrxId]], Trx[Id], Trx[IncNode], ,0)</f>
        <v>Revenue</v>
      </c>
      <c r="O540" t="str">
        <f>_xlfn.XLOOKUP(Jnl[[#This Row],[IncNode]], config_IS[Node], config_IS[Type],,0)</f>
        <v>Op</v>
      </c>
      <c r="P540" t="str">
        <f>_xlfn.XLOOKUP(Jnl[[#This Row],[BSLv2]], dict[Key], dict[Name],,0)</f>
        <v>1.应收-应付</v>
      </c>
      <c r="Q540" t="str">
        <f>_xlfn.XLOOKUP(Jnl[[#This Row],[Acct]], dict[Key], dict[Name],,0)</f>
        <v>应收-一般</v>
      </c>
      <c r="R540" t="str">
        <f>_xlfn.XLOOKUP(Jnl[[#This Row],[Vehicle]],config_vehicle[Id], config_vehicle[Name],,0)</f>
        <v>远家花园</v>
      </c>
      <c r="S540" t="str">
        <f>_xlfn.XLOOKUP(Jnl[[#This Row],[Division]],config_div[Id], config_div[Name],,0)</f>
        <v>网店</v>
      </c>
      <c r="T540" t="str">
        <f>IF(Jnl[[#This Row],[TrxDate]]&lt;=stmt_BS_date_end, "In", "Out")</f>
        <v>In</v>
      </c>
      <c r="U540" t="str">
        <f>IF(Jnl[[#This Row],[TrxDate]]&lt;debug_date_start, "prior", IF(Jnl[[#This Row],[TrxDate]]&gt;debug_date_end, "post", "curr"))</f>
        <v>curr</v>
      </c>
    </row>
    <row r="541" spans="1:21" hidden="1">
      <c r="A541" s="39" t="s">
        <v>741</v>
      </c>
      <c r="B541" s="6">
        <f>_xlfn.XLOOKUP(Jnl[[#This Row],[TrxId]], Trx[Id], Trx[Date],,0)</f>
        <v>46053</v>
      </c>
      <c r="C541" s="6" t="str">
        <f>_xlfn.XLOOKUP(Jnl[[#This Row],[TrxId]], Trx[Id], Trx[Division],,0)</f>
        <v>GM</v>
      </c>
      <c r="D541" s="6" t="str">
        <f>_xlfn.XLOOKUP(Jnl[[#This Row],[TrxId]], Trx[Id], Trx[Action],,0)</f>
        <v>支付</v>
      </c>
      <c r="E541" s="27" t="s">
        <v>82</v>
      </c>
      <c r="F541" s="10" t="s">
        <v>596</v>
      </c>
      <c r="G541" s="10" t="s">
        <v>396</v>
      </c>
      <c r="H541" s="37">
        <v>-2514.09</v>
      </c>
      <c r="I541" s="11" t="b">
        <f>AND(Jnl[[#This Row],[TrxId]]&lt;&gt;"",Jnl[[#This Row],[Acct]]&lt;&gt;"",Jnl[[#This Row],[Item]]&lt;&gt;"",ISNUMBER(Jnl[[#This Row],[Bal]]))</f>
        <v>1</v>
      </c>
      <c r="J541" s="9">
        <f>IF(Jnl[[#This Row],[BSLv0]]="A",1,-1)*Jnl[[#This Row],[Bal]]</f>
        <v>-2514.09</v>
      </c>
      <c r="K541" t="str">
        <f>_xlfn.XLOOKUP(Jnl[[#This Row],[Acct]], config_BS[Acct], config_BS[Lv0],,0)</f>
        <v>A</v>
      </c>
      <c r="L541" t="str">
        <f>_xlfn.XLOOKUP(Jnl[[#This Row],[Acct]], config_BS[Acct], config_BS[Lv1],,0)</f>
        <v>Assets</v>
      </c>
      <c r="M541" t="str">
        <f>_xlfn.XLOOKUP(Jnl[[#This Row],[Acct]], config_BS[Acct], config_BS[Lv2],,0)</f>
        <v>Cash alike</v>
      </c>
      <c r="N541" t="str">
        <f>_xlfn.XLOOKUP(Jnl[[#This Row],[TrxId]], Trx[Id], Trx[IncNode], ,0)</f>
        <v>Expense</v>
      </c>
      <c r="O541" t="str">
        <f>_xlfn.XLOOKUP(Jnl[[#This Row],[IncNode]], config_IS[Node], config_IS[Type],,0)</f>
        <v>Op</v>
      </c>
      <c r="P541" t="str">
        <f>_xlfn.XLOOKUP(Jnl[[#This Row],[BSLv2]], dict[Key], dict[Name],,0)</f>
        <v>0.现金及类似</v>
      </c>
      <c r="Q541" t="str">
        <f>_xlfn.XLOOKUP(Jnl[[#This Row],[Acct]], dict[Key], dict[Name],,0)</f>
        <v>银行</v>
      </c>
      <c r="R541" t="str">
        <f>_xlfn.XLOOKUP(Jnl[[#This Row],[Vehicle]],config_vehicle[Id], config_vehicle[Name],,0)</f>
        <v>远家花园</v>
      </c>
      <c r="S541" t="str">
        <f>_xlfn.XLOOKUP(Jnl[[#This Row],[Division]],config_div[Id], config_div[Name],,0)</f>
        <v>综合管理</v>
      </c>
      <c r="T541" t="str">
        <f>IF(Jnl[[#This Row],[TrxDate]]&lt;=stmt_BS_date_end, "In", "Out")</f>
        <v>In</v>
      </c>
      <c r="U541" t="str">
        <f>IF(Jnl[[#This Row],[TrxDate]]&lt;debug_date_start, "prior", IF(Jnl[[#This Row],[TrxDate]]&gt;debug_date_end, "post", "curr"))</f>
        <v>curr</v>
      </c>
    </row>
    <row r="542" spans="1:21" hidden="1">
      <c r="A542" s="39" t="s">
        <v>741</v>
      </c>
      <c r="B542" s="6">
        <f>_xlfn.XLOOKUP(Jnl[[#This Row],[TrxId]], Trx[Id], Trx[Date],,0)</f>
        <v>46053</v>
      </c>
      <c r="C542" s="6" t="str">
        <f>_xlfn.XLOOKUP(Jnl[[#This Row],[TrxId]], Trx[Id], Trx[Division],,0)</f>
        <v>GM</v>
      </c>
      <c r="D542" s="6" t="str">
        <f>_xlfn.XLOOKUP(Jnl[[#This Row],[TrxId]], Trx[Id], Trx[Action],,0)</f>
        <v>支付</v>
      </c>
      <c r="E542" s="27" t="s">
        <v>82</v>
      </c>
      <c r="F542" s="10" t="s">
        <v>498</v>
      </c>
      <c r="G542" s="10" t="s">
        <v>144</v>
      </c>
      <c r="H542" s="37">
        <f>-H541</f>
        <v>2514.09</v>
      </c>
      <c r="I542" s="11" t="b">
        <f>AND(Jnl[[#This Row],[TrxId]]&lt;&gt;"",Jnl[[#This Row],[Acct]]&lt;&gt;"",Jnl[[#This Row],[Item]]&lt;&gt;"",ISNUMBER(Jnl[[#This Row],[Bal]]))</f>
        <v>1</v>
      </c>
      <c r="J542" s="9">
        <f>IF(Jnl[[#This Row],[BSLv0]]="A",1,-1)*Jnl[[#This Row],[Bal]]</f>
        <v>2514.09</v>
      </c>
      <c r="K542" t="str">
        <f>_xlfn.XLOOKUP(Jnl[[#This Row],[Acct]], config_BS[Acct], config_BS[Lv0],,0)</f>
        <v>A</v>
      </c>
      <c r="L542" t="str">
        <f>_xlfn.XLOOKUP(Jnl[[#This Row],[Acct]], config_BS[Acct], config_BS[Lv1],,0)</f>
        <v>Assets</v>
      </c>
      <c r="M542" t="str">
        <f>_xlfn.XLOOKUP(Jnl[[#This Row],[Acct]], config_BS[Acct], config_BS[Lv2],,0)</f>
        <v>Prep-Sub</v>
      </c>
      <c r="N542" t="str">
        <f>_xlfn.XLOOKUP(Jnl[[#This Row],[TrxId]], Trx[Id], Trx[IncNode], ,0)</f>
        <v>Expense</v>
      </c>
      <c r="O542" t="str">
        <f>_xlfn.XLOOKUP(Jnl[[#This Row],[IncNode]], config_IS[Node], config_IS[Type],,0)</f>
        <v>Op</v>
      </c>
      <c r="P542" t="str">
        <f>_xlfn.XLOOKUP(Jnl[[#This Row],[BSLv2]], dict[Key], dict[Name],,0)</f>
        <v>2.预付-订阅</v>
      </c>
      <c r="Q542" t="str">
        <f>_xlfn.XLOOKUP(Jnl[[#This Row],[Acct]], dict[Key], dict[Name],,0)</f>
        <v>预付订单</v>
      </c>
      <c r="R542" t="str">
        <f>_xlfn.XLOOKUP(Jnl[[#This Row],[Vehicle]],config_vehicle[Id], config_vehicle[Name],,0)</f>
        <v>远家花园</v>
      </c>
      <c r="S542" t="str">
        <f>_xlfn.XLOOKUP(Jnl[[#This Row],[Division]],config_div[Id], config_div[Name],,0)</f>
        <v>综合管理</v>
      </c>
      <c r="T542" t="str">
        <f>IF(Jnl[[#This Row],[TrxDate]]&lt;=stmt_BS_date_end, "In", "Out")</f>
        <v>In</v>
      </c>
      <c r="U542" t="str">
        <f>IF(Jnl[[#This Row],[TrxDate]]&lt;debug_date_start, "prior", IF(Jnl[[#This Row],[TrxDate]]&gt;debug_date_end, "post", "curr"))</f>
        <v>curr</v>
      </c>
    </row>
    <row r="543" spans="1:21" hidden="1">
      <c r="A543" s="39" t="s">
        <v>742</v>
      </c>
      <c r="B543" s="6">
        <f>_xlfn.XLOOKUP(Jnl[[#This Row],[TrxId]], Trx[Id], Trx[Date],,0)</f>
        <v>46053</v>
      </c>
      <c r="C543" s="6" t="str">
        <f>_xlfn.XLOOKUP(Jnl[[#This Row],[TrxId]], Trx[Id], Trx[Division],,0)</f>
        <v>GM</v>
      </c>
      <c r="D543" s="6" t="str">
        <f>_xlfn.XLOOKUP(Jnl[[#This Row],[TrxId]], Trx[Id], Trx[Action],,0)</f>
        <v>薪酬-工资</v>
      </c>
      <c r="E543" s="27" t="s">
        <v>82</v>
      </c>
      <c r="F543" s="10" t="s">
        <v>596</v>
      </c>
      <c r="G543" s="10" t="s">
        <v>396</v>
      </c>
      <c r="H543" s="37">
        <v>-10500.58</v>
      </c>
      <c r="I543" s="11" t="b">
        <f>AND(Jnl[[#This Row],[TrxId]]&lt;&gt;"",Jnl[[#This Row],[Acct]]&lt;&gt;"",Jnl[[#This Row],[Item]]&lt;&gt;"",ISNUMBER(Jnl[[#This Row],[Bal]]))</f>
        <v>1</v>
      </c>
      <c r="J543" s="9">
        <f>IF(Jnl[[#This Row],[BSLv0]]="A",1,-1)*Jnl[[#This Row],[Bal]]</f>
        <v>-10500.58</v>
      </c>
      <c r="K543" t="str">
        <f>_xlfn.XLOOKUP(Jnl[[#This Row],[Acct]], config_BS[Acct], config_BS[Lv0],,0)</f>
        <v>A</v>
      </c>
      <c r="L543" t="str">
        <f>_xlfn.XLOOKUP(Jnl[[#This Row],[Acct]], config_BS[Acct], config_BS[Lv1],,0)</f>
        <v>Assets</v>
      </c>
      <c r="M543" t="str">
        <f>_xlfn.XLOOKUP(Jnl[[#This Row],[Acct]], config_BS[Acct], config_BS[Lv2],,0)</f>
        <v>Cash alike</v>
      </c>
      <c r="N543" t="str">
        <f>_xlfn.XLOOKUP(Jnl[[#This Row],[TrxId]], Trx[Id], Trx[IncNode], ,0)</f>
        <v>Expense</v>
      </c>
      <c r="O543" t="str">
        <f>_xlfn.XLOOKUP(Jnl[[#This Row],[IncNode]], config_IS[Node], config_IS[Type],,0)</f>
        <v>Op</v>
      </c>
      <c r="P543" t="str">
        <f>_xlfn.XLOOKUP(Jnl[[#This Row],[BSLv2]], dict[Key], dict[Name],,0)</f>
        <v>0.现金及类似</v>
      </c>
      <c r="Q543" t="str">
        <f>_xlfn.XLOOKUP(Jnl[[#This Row],[Acct]], dict[Key], dict[Name],,0)</f>
        <v>银行</v>
      </c>
      <c r="R543" t="str">
        <f>_xlfn.XLOOKUP(Jnl[[#This Row],[Vehicle]],config_vehicle[Id], config_vehicle[Name],,0)</f>
        <v>远家花园</v>
      </c>
      <c r="S543" t="str">
        <f>_xlfn.XLOOKUP(Jnl[[#This Row],[Division]],config_div[Id], config_div[Name],,0)</f>
        <v>综合管理</v>
      </c>
      <c r="T543" t="str">
        <f>IF(Jnl[[#This Row],[TrxDate]]&lt;=stmt_BS_date_end, "In", "Out")</f>
        <v>In</v>
      </c>
      <c r="U543" t="str">
        <f>IF(Jnl[[#This Row],[TrxDate]]&lt;debug_date_start, "prior", IF(Jnl[[#This Row],[TrxDate]]&gt;debug_date_end, "post", "curr"))</f>
        <v>curr</v>
      </c>
    </row>
    <row r="544" spans="1:21" hidden="1">
      <c r="A544" s="39" t="s">
        <v>743</v>
      </c>
      <c r="B544" s="6">
        <f>_xlfn.XLOOKUP(Jnl[[#This Row],[TrxId]], Trx[Id], Trx[Date],,0)</f>
        <v>46053</v>
      </c>
      <c r="C544" s="6" t="str">
        <f>_xlfn.XLOOKUP(Jnl[[#This Row],[TrxId]], Trx[Id], Trx[Division],,0)</f>
        <v>Online</v>
      </c>
      <c r="D544" s="6" t="str">
        <f>_xlfn.XLOOKUP(Jnl[[#This Row],[TrxId]], Trx[Id], Trx[Action],,0)</f>
        <v>采购</v>
      </c>
      <c r="E544" s="27" t="s">
        <v>82</v>
      </c>
      <c r="F544" s="10" t="s">
        <v>596</v>
      </c>
      <c r="G544" s="10" t="s">
        <v>396</v>
      </c>
      <c r="H544" s="37">
        <v>-5940</v>
      </c>
      <c r="I544" s="11" t="b">
        <f>AND(Jnl[[#This Row],[TrxId]]&lt;&gt;"",Jnl[[#This Row],[Acct]]&lt;&gt;"",Jnl[[#This Row],[Item]]&lt;&gt;"",ISNUMBER(Jnl[[#This Row],[Bal]]))</f>
        <v>1</v>
      </c>
      <c r="J544" s="9">
        <f>IF(Jnl[[#This Row],[BSLv0]]="A",1,-1)*Jnl[[#This Row],[Bal]]</f>
        <v>-5940</v>
      </c>
      <c r="K544" t="str">
        <f>_xlfn.XLOOKUP(Jnl[[#This Row],[Acct]], config_BS[Acct], config_BS[Lv0],,0)</f>
        <v>A</v>
      </c>
      <c r="L544" t="str">
        <f>_xlfn.XLOOKUP(Jnl[[#This Row],[Acct]], config_BS[Acct], config_BS[Lv1],,0)</f>
        <v>Assets</v>
      </c>
      <c r="M544" t="str">
        <f>_xlfn.XLOOKUP(Jnl[[#This Row],[Acct]], config_BS[Acct], config_BS[Lv2],,0)</f>
        <v>Cash alike</v>
      </c>
      <c r="N544" t="str">
        <f>_xlfn.XLOOKUP(Jnl[[#This Row],[TrxId]], Trx[Id], Trx[IncNode], ,0)</f>
        <v>Cost</v>
      </c>
      <c r="O544" t="str">
        <f>_xlfn.XLOOKUP(Jnl[[#This Row],[IncNode]], config_IS[Node], config_IS[Type],,0)</f>
        <v>Op</v>
      </c>
      <c r="P544" t="str">
        <f>_xlfn.XLOOKUP(Jnl[[#This Row],[BSLv2]], dict[Key], dict[Name],,0)</f>
        <v>0.现金及类似</v>
      </c>
      <c r="Q544" t="str">
        <f>_xlfn.XLOOKUP(Jnl[[#This Row],[Acct]], dict[Key], dict[Name],,0)</f>
        <v>银行</v>
      </c>
      <c r="R544" t="str">
        <f>_xlfn.XLOOKUP(Jnl[[#This Row],[Vehicle]],config_vehicle[Id], config_vehicle[Name],,0)</f>
        <v>远家花园</v>
      </c>
      <c r="S544" t="str">
        <f>_xlfn.XLOOKUP(Jnl[[#This Row],[Division]],config_div[Id], config_div[Name],,0)</f>
        <v>网店</v>
      </c>
      <c r="T544" t="str">
        <f>IF(Jnl[[#This Row],[TrxDate]]&lt;=stmt_BS_date_end, "In", "Out")</f>
        <v>In</v>
      </c>
      <c r="U544" t="str">
        <f>IF(Jnl[[#This Row],[TrxDate]]&lt;debug_date_start, "prior", IF(Jnl[[#This Row],[TrxDate]]&gt;debug_date_end, "post", "curr"))</f>
        <v>curr</v>
      </c>
    </row>
    <row r="545" spans="1:21" hidden="1">
      <c r="A545" s="39" t="s">
        <v>743</v>
      </c>
      <c r="B545" s="6">
        <f>_xlfn.XLOOKUP(Jnl[[#This Row],[TrxId]], Trx[Id], Trx[Date],,0)</f>
        <v>46053</v>
      </c>
      <c r="C545" s="6" t="str">
        <f>_xlfn.XLOOKUP(Jnl[[#This Row],[TrxId]], Trx[Id], Trx[Division],,0)</f>
        <v>Online</v>
      </c>
      <c r="D545" s="6" t="str">
        <f>_xlfn.XLOOKUP(Jnl[[#This Row],[TrxId]], Trx[Id], Trx[Action],,0)</f>
        <v>采购</v>
      </c>
      <c r="E545" s="27" t="s">
        <v>82</v>
      </c>
      <c r="F545" s="10" t="s">
        <v>604</v>
      </c>
      <c r="G545" s="10" t="s">
        <v>154</v>
      </c>
      <c r="H545" s="37">
        <f>-H544</f>
        <v>5940</v>
      </c>
      <c r="I545" s="11" t="b">
        <f>AND(Jnl[[#This Row],[TrxId]]&lt;&gt;"",Jnl[[#This Row],[Acct]]&lt;&gt;"",Jnl[[#This Row],[Item]]&lt;&gt;"",ISNUMBER(Jnl[[#This Row],[Bal]]))</f>
        <v>1</v>
      </c>
      <c r="J545" s="9">
        <f>IF(Jnl[[#This Row],[BSLv0]]="A",1,-1)*Jnl[[#This Row],[Bal]]</f>
        <v>5940</v>
      </c>
      <c r="K545" t="str">
        <f>_xlfn.XLOOKUP(Jnl[[#This Row],[Acct]], config_BS[Acct], config_BS[Lv0],,0)</f>
        <v>A</v>
      </c>
      <c r="L545" t="str">
        <f>_xlfn.XLOOKUP(Jnl[[#This Row],[Acct]], config_BS[Acct], config_BS[Lv1],,0)</f>
        <v>Assets</v>
      </c>
      <c r="M545" t="str">
        <f>_xlfn.XLOOKUP(Jnl[[#This Row],[Acct]], config_BS[Acct], config_BS[Lv2],,0)</f>
        <v>Invtr</v>
      </c>
      <c r="N545" t="str">
        <f>_xlfn.XLOOKUP(Jnl[[#This Row],[TrxId]], Trx[Id], Trx[IncNode], ,0)</f>
        <v>Cost</v>
      </c>
      <c r="O545" t="str">
        <f>_xlfn.XLOOKUP(Jnl[[#This Row],[IncNode]], config_IS[Node], config_IS[Type],,0)</f>
        <v>Op</v>
      </c>
      <c r="P545" t="str">
        <f>_xlfn.XLOOKUP(Jnl[[#This Row],[BSLv2]], dict[Key], dict[Name],,0)</f>
        <v>3.库存占款</v>
      </c>
      <c r="Q545" t="str">
        <f>_xlfn.XLOOKUP(Jnl[[#This Row],[Acct]], dict[Key], dict[Name],,0)</f>
        <v>当期存货</v>
      </c>
      <c r="R545" t="str">
        <f>_xlfn.XLOOKUP(Jnl[[#This Row],[Vehicle]],config_vehicle[Id], config_vehicle[Name],,0)</f>
        <v>远家花园</v>
      </c>
      <c r="S545" t="str">
        <f>_xlfn.XLOOKUP(Jnl[[#This Row],[Division]],config_div[Id], config_div[Name],,0)</f>
        <v>网店</v>
      </c>
      <c r="T545" t="str">
        <f>IF(Jnl[[#This Row],[TrxDate]]&lt;=stmt_BS_date_end, "In", "Out")</f>
        <v>In</v>
      </c>
      <c r="U545" t="str">
        <f>IF(Jnl[[#This Row],[TrxDate]]&lt;debug_date_start, "prior", IF(Jnl[[#This Row],[TrxDate]]&gt;debug_date_end, "post", "curr"))</f>
        <v>curr</v>
      </c>
    </row>
    <row r="546" spans="1:21" hidden="1">
      <c r="A546" s="39" t="s">
        <v>744</v>
      </c>
      <c r="B546" s="6">
        <f>_xlfn.XLOOKUP(Jnl[[#This Row],[TrxId]], Trx[Id], Trx[Date],,0)</f>
        <v>46053</v>
      </c>
      <c r="C546" s="6" t="str">
        <f>_xlfn.XLOOKUP(Jnl[[#This Row],[TrxId]], Trx[Id], Trx[Division],,0)</f>
        <v>Ctrl</v>
      </c>
      <c r="D546" s="6" t="str">
        <f>_xlfn.XLOOKUP(Jnl[[#This Row],[TrxId]], Trx[Id], Trx[Action],,0)</f>
        <v>支付</v>
      </c>
      <c r="E546" s="27" t="s">
        <v>82</v>
      </c>
      <c r="F546" s="10" t="s">
        <v>130</v>
      </c>
      <c r="G546" s="10" t="s">
        <v>312</v>
      </c>
      <c r="H546" s="37">
        <v>-379473.01</v>
      </c>
      <c r="I546" s="11" t="b">
        <f>AND(Jnl[[#This Row],[TrxId]]&lt;&gt;"",Jnl[[#This Row],[Acct]]&lt;&gt;"",Jnl[[#This Row],[Item]]&lt;&gt;"",ISNUMBER(Jnl[[#This Row],[Bal]]))</f>
        <v>1</v>
      </c>
      <c r="J546" s="9">
        <f>IF(Jnl[[#This Row],[BSLv0]]="A",1,-1)*Jnl[[#This Row],[Bal]]</f>
        <v>379473.01</v>
      </c>
      <c r="K546" t="str">
        <f>_xlfn.XLOOKUP(Jnl[[#This Row],[Acct]], config_BS[Acct], config_BS[Lv0],,0)</f>
        <v>LC</v>
      </c>
      <c r="L546" t="str">
        <f>_xlfn.XLOOKUP(Jnl[[#This Row],[Acct]], config_BS[Acct], config_BS[Lv1],,0)</f>
        <v>Liability</v>
      </c>
      <c r="M546" t="str">
        <f>_xlfn.XLOOKUP(Jnl[[#This Row],[Acct]], config_BS[Acct], config_BS[Lv2],,0)</f>
        <v>Rec-Pay</v>
      </c>
      <c r="N546" t="str">
        <f>_xlfn.XLOOKUP(Jnl[[#This Row],[TrxId]], Trx[Id], Trx[IncNode], ,0)</f>
        <v>Expense</v>
      </c>
      <c r="O546" t="str">
        <f>_xlfn.XLOOKUP(Jnl[[#This Row],[IncNode]], config_IS[Node], config_IS[Type],,0)</f>
        <v>Op</v>
      </c>
      <c r="P546" t="str">
        <f>_xlfn.XLOOKUP(Jnl[[#This Row],[BSLv2]], dict[Key], dict[Name],,0)</f>
        <v>1.应收-应付</v>
      </c>
      <c r="Q546" t="str">
        <f>_xlfn.XLOOKUP(Jnl[[#This Row],[Acct]], dict[Key], dict[Name],,0)</f>
        <v>应付-税款</v>
      </c>
      <c r="R546" t="str">
        <f>_xlfn.XLOOKUP(Jnl[[#This Row],[Vehicle]],config_vehicle[Id], config_vehicle[Name],,0)</f>
        <v>远家花园</v>
      </c>
      <c r="S546" t="str">
        <f>_xlfn.XLOOKUP(Jnl[[#This Row],[Division]],config_div[Id], config_div[Name],,0)</f>
        <v>内控合规</v>
      </c>
      <c r="T546" t="str">
        <f>IF(Jnl[[#This Row],[TrxDate]]&lt;=stmt_BS_date_end, "In", "Out")</f>
        <v>In</v>
      </c>
      <c r="U546" t="str">
        <f>IF(Jnl[[#This Row],[TrxDate]]&lt;debug_date_start, "prior", IF(Jnl[[#This Row],[TrxDate]]&gt;debug_date_end, "post", "curr"))</f>
        <v>curr</v>
      </c>
    </row>
    <row r="547" spans="1:21" hidden="1">
      <c r="A547" s="39" t="s">
        <v>744</v>
      </c>
      <c r="B547" s="6">
        <f>_xlfn.XLOOKUP(Jnl[[#This Row],[TrxId]], Trx[Id], Trx[Date],,0)</f>
        <v>46053</v>
      </c>
      <c r="C547" s="6" t="str">
        <f>_xlfn.XLOOKUP(Jnl[[#This Row],[TrxId]], Trx[Id], Trx[Division],,0)</f>
        <v>Ctrl</v>
      </c>
      <c r="D547" s="6" t="str">
        <f>_xlfn.XLOOKUP(Jnl[[#This Row],[TrxId]], Trx[Id], Trx[Action],,0)</f>
        <v>支付</v>
      </c>
      <c r="E547" s="27" t="s">
        <v>82</v>
      </c>
      <c r="F547" s="10" t="s">
        <v>130</v>
      </c>
      <c r="G547" s="10" t="s">
        <v>353</v>
      </c>
      <c r="H547" s="37">
        <v>-22987.3</v>
      </c>
      <c r="I547" s="11" t="b">
        <f>AND(Jnl[[#This Row],[TrxId]]&lt;&gt;"",Jnl[[#This Row],[Acct]]&lt;&gt;"",Jnl[[#This Row],[Item]]&lt;&gt;"",ISNUMBER(Jnl[[#This Row],[Bal]]))</f>
        <v>1</v>
      </c>
      <c r="J547" s="9">
        <f>IF(Jnl[[#This Row],[BSLv0]]="A",1,-1)*Jnl[[#This Row],[Bal]]</f>
        <v>22987.3</v>
      </c>
      <c r="K547" t="str">
        <f>_xlfn.XLOOKUP(Jnl[[#This Row],[Acct]], config_BS[Acct], config_BS[Lv0],,0)</f>
        <v>LC</v>
      </c>
      <c r="L547" t="str">
        <f>_xlfn.XLOOKUP(Jnl[[#This Row],[Acct]], config_BS[Acct], config_BS[Lv1],,0)</f>
        <v>Liability</v>
      </c>
      <c r="M547" t="str">
        <f>_xlfn.XLOOKUP(Jnl[[#This Row],[Acct]], config_BS[Acct], config_BS[Lv2],,0)</f>
        <v>Rec-Pay</v>
      </c>
      <c r="N547" t="str">
        <f>_xlfn.XLOOKUP(Jnl[[#This Row],[TrxId]], Trx[Id], Trx[IncNode], ,0)</f>
        <v>Expense</v>
      </c>
      <c r="O547" t="str">
        <f>_xlfn.XLOOKUP(Jnl[[#This Row],[IncNode]], config_IS[Node], config_IS[Type],,0)</f>
        <v>Op</v>
      </c>
      <c r="P547" t="str">
        <f>_xlfn.XLOOKUP(Jnl[[#This Row],[BSLv2]], dict[Key], dict[Name],,0)</f>
        <v>1.应收-应付</v>
      </c>
      <c r="Q547" t="str">
        <f>_xlfn.XLOOKUP(Jnl[[#This Row],[Acct]], dict[Key], dict[Name],,0)</f>
        <v>应付-税款</v>
      </c>
      <c r="R547" t="str">
        <f>_xlfn.XLOOKUP(Jnl[[#This Row],[Vehicle]],config_vehicle[Id], config_vehicle[Name],,0)</f>
        <v>远家花园</v>
      </c>
      <c r="S547" t="str">
        <f>_xlfn.XLOOKUP(Jnl[[#This Row],[Division]],config_div[Id], config_div[Name],,0)</f>
        <v>内控合规</v>
      </c>
      <c r="T547" t="str">
        <f>IF(Jnl[[#This Row],[TrxDate]]&lt;=stmt_BS_date_end, "In", "Out")</f>
        <v>In</v>
      </c>
      <c r="U547" t="str">
        <f>IF(Jnl[[#This Row],[TrxDate]]&lt;debug_date_start, "prior", IF(Jnl[[#This Row],[TrxDate]]&gt;debug_date_end, "post", "curr"))</f>
        <v>curr</v>
      </c>
    </row>
    <row r="548" spans="1:21" hidden="1">
      <c r="A548" s="39" t="s">
        <v>744</v>
      </c>
      <c r="B548" s="6">
        <f>_xlfn.XLOOKUP(Jnl[[#This Row],[TrxId]], Trx[Id], Trx[Date],,0)</f>
        <v>46053</v>
      </c>
      <c r="C548" s="6" t="str">
        <f>_xlfn.XLOOKUP(Jnl[[#This Row],[TrxId]], Trx[Id], Trx[Division],,0)</f>
        <v>Ctrl</v>
      </c>
      <c r="D548" s="6" t="str">
        <f>_xlfn.XLOOKUP(Jnl[[#This Row],[TrxId]], Trx[Id], Trx[Action],,0)</f>
        <v>支付</v>
      </c>
      <c r="E548" s="27" t="s">
        <v>82</v>
      </c>
      <c r="F548" s="10" t="s">
        <v>130</v>
      </c>
      <c r="G548" s="10" t="s">
        <v>354</v>
      </c>
      <c r="H548" s="37">
        <v>-583.9</v>
      </c>
      <c r="I548" s="11" t="b">
        <f>AND(Jnl[[#This Row],[TrxId]]&lt;&gt;"",Jnl[[#This Row],[Acct]]&lt;&gt;"",Jnl[[#This Row],[Item]]&lt;&gt;"",ISNUMBER(Jnl[[#This Row],[Bal]]))</f>
        <v>1</v>
      </c>
      <c r="J548" s="9">
        <f>IF(Jnl[[#This Row],[BSLv0]]="A",1,-1)*Jnl[[#This Row],[Bal]]</f>
        <v>583.9</v>
      </c>
      <c r="K548" t="str">
        <f>_xlfn.XLOOKUP(Jnl[[#This Row],[Acct]], config_BS[Acct], config_BS[Lv0],,0)</f>
        <v>LC</v>
      </c>
      <c r="L548" t="str">
        <f>_xlfn.XLOOKUP(Jnl[[#This Row],[Acct]], config_BS[Acct], config_BS[Lv1],,0)</f>
        <v>Liability</v>
      </c>
      <c r="M548" t="str">
        <f>_xlfn.XLOOKUP(Jnl[[#This Row],[Acct]], config_BS[Acct], config_BS[Lv2],,0)</f>
        <v>Rec-Pay</v>
      </c>
      <c r="N548" t="str">
        <f>_xlfn.XLOOKUP(Jnl[[#This Row],[TrxId]], Trx[Id], Trx[IncNode], ,0)</f>
        <v>Expense</v>
      </c>
      <c r="O548" t="str">
        <f>_xlfn.XLOOKUP(Jnl[[#This Row],[IncNode]], config_IS[Node], config_IS[Type],,0)</f>
        <v>Op</v>
      </c>
      <c r="P548" t="str">
        <f>_xlfn.XLOOKUP(Jnl[[#This Row],[BSLv2]], dict[Key], dict[Name],,0)</f>
        <v>1.应收-应付</v>
      </c>
      <c r="Q548" t="str">
        <f>_xlfn.XLOOKUP(Jnl[[#This Row],[Acct]], dict[Key], dict[Name],,0)</f>
        <v>应付-税款</v>
      </c>
      <c r="R548" t="str">
        <f>_xlfn.XLOOKUP(Jnl[[#This Row],[Vehicle]],config_vehicle[Id], config_vehicle[Name],,0)</f>
        <v>远家花园</v>
      </c>
      <c r="S548" t="str">
        <f>_xlfn.XLOOKUP(Jnl[[#This Row],[Division]],config_div[Id], config_div[Name],,0)</f>
        <v>内控合规</v>
      </c>
      <c r="T548" t="str">
        <f>IF(Jnl[[#This Row],[TrxDate]]&lt;=stmt_BS_date_end, "In", "Out")</f>
        <v>In</v>
      </c>
      <c r="U548" t="str">
        <f>IF(Jnl[[#This Row],[TrxDate]]&lt;debug_date_start, "prior", IF(Jnl[[#This Row],[TrxDate]]&gt;debug_date_end, "post", "curr"))</f>
        <v>curr</v>
      </c>
    </row>
    <row r="549" spans="1:21" hidden="1">
      <c r="A549" s="39" t="s">
        <v>744</v>
      </c>
      <c r="B549" s="6">
        <f>_xlfn.XLOOKUP(Jnl[[#This Row],[TrxId]], Trx[Id], Trx[Date],,0)</f>
        <v>46053</v>
      </c>
      <c r="C549" s="6" t="str">
        <f>_xlfn.XLOOKUP(Jnl[[#This Row],[TrxId]], Trx[Id], Trx[Division],,0)</f>
        <v>Ctrl</v>
      </c>
      <c r="D549" s="6" t="str">
        <f>_xlfn.XLOOKUP(Jnl[[#This Row],[TrxId]], Trx[Id], Trx[Action],,0)</f>
        <v>支付</v>
      </c>
      <c r="E549" s="27" t="s">
        <v>82</v>
      </c>
      <c r="F549" s="10" t="s">
        <v>130</v>
      </c>
      <c r="G549" s="10" t="s">
        <v>622</v>
      </c>
      <c r="H549" s="37">
        <v>-1049.06</v>
      </c>
      <c r="I549" s="11" t="b">
        <f>AND(Jnl[[#This Row],[TrxId]]&lt;&gt;"",Jnl[[#This Row],[Acct]]&lt;&gt;"",Jnl[[#This Row],[Item]]&lt;&gt;"",ISNUMBER(Jnl[[#This Row],[Bal]]))</f>
        <v>1</v>
      </c>
      <c r="J549" s="9">
        <f>IF(Jnl[[#This Row],[BSLv0]]="A",1,-1)*Jnl[[#This Row],[Bal]]</f>
        <v>1049.06</v>
      </c>
      <c r="K549" t="str">
        <f>_xlfn.XLOOKUP(Jnl[[#This Row],[Acct]], config_BS[Acct], config_BS[Lv0],,0)</f>
        <v>LC</v>
      </c>
      <c r="L549" t="str">
        <f>_xlfn.XLOOKUP(Jnl[[#This Row],[Acct]], config_BS[Acct], config_BS[Lv1],,0)</f>
        <v>Liability</v>
      </c>
      <c r="M549" t="str">
        <f>_xlfn.XLOOKUP(Jnl[[#This Row],[Acct]], config_BS[Acct], config_BS[Lv2],,0)</f>
        <v>Rec-Pay</v>
      </c>
      <c r="N549" t="str">
        <f>_xlfn.XLOOKUP(Jnl[[#This Row],[TrxId]], Trx[Id], Trx[IncNode], ,0)</f>
        <v>Expense</v>
      </c>
      <c r="O549" t="str">
        <f>_xlfn.XLOOKUP(Jnl[[#This Row],[IncNode]], config_IS[Node], config_IS[Type],,0)</f>
        <v>Op</v>
      </c>
      <c r="P549" t="str">
        <f>_xlfn.XLOOKUP(Jnl[[#This Row],[BSLv2]], dict[Key], dict[Name],,0)</f>
        <v>1.应收-应付</v>
      </c>
      <c r="Q549" t="str">
        <f>_xlfn.XLOOKUP(Jnl[[#This Row],[Acct]], dict[Key], dict[Name],,0)</f>
        <v>应付-税款</v>
      </c>
      <c r="R549" t="str">
        <f>_xlfn.XLOOKUP(Jnl[[#This Row],[Vehicle]],config_vehicle[Id], config_vehicle[Name],,0)</f>
        <v>远家花园</v>
      </c>
      <c r="S549" t="str">
        <f>_xlfn.XLOOKUP(Jnl[[#This Row],[Division]],config_div[Id], config_div[Name],,0)</f>
        <v>内控合规</v>
      </c>
      <c r="T549" t="str">
        <f>IF(Jnl[[#This Row],[TrxDate]]&lt;=stmt_BS_date_end, "In", "Out")</f>
        <v>In</v>
      </c>
      <c r="U549" t="str">
        <f>IF(Jnl[[#This Row],[TrxDate]]&lt;debug_date_start, "prior", IF(Jnl[[#This Row],[TrxDate]]&gt;debug_date_end, "post", "curr"))</f>
        <v>curr</v>
      </c>
    </row>
    <row r="550" spans="1:21" hidden="1">
      <c r="A550" s="39" t="s">
        <v>744</v>
      </c>
      <c r="B550" s="6">
        <f>_xlfn.XLOOKUP(Jnl[[#This Row],[TrxId]], Trx[Id], Trx[Date],,0)</f>
        <v>46053</v>
      </c>
      <c r="C550" s="6" t="str">
        <f>_xlfn.XLOOKUP(Jnl[[#This Row],[TrxId]], Trx[Id], Trx[Division],,0)</f>
        <v>Ctrl</v>
      </c>
      <c r="D550" s="6" t="str">
        <f>_xlfn.XLOOKUP(Jnl[[#This Row],[TrxId]], Trx[Id], Trx[Action],,0)</f>
        <v>支付</v>
      </c>
      <c r="E550" s="27" t="s">
        <v>82</v>
      </c>
      <c r="F550" s="10" t="s">
        <v>130</v>
      </c>
      <c r="G550" s="10" t="s">
        <v>352</v>
      </c>
      <c r="H550" s="37">
        <v>-37203.69</v>
      </c>
      <c r="I550" s="11" t="b">
        <f>AND(Jnl[[#This Row],[TrxId]]&lt;&gt;"",Jnl[[#This Row],[Acct]]&lt;&gt;"",Jnl[[#This Row],[Item]]&lt;&gt;"",ISNUMBER(Jnl[[#This Row],[Bal]]))</f>
        <v>1</v>
      </c>
      <c r="J550" s="9">
        <f>IF(Jnl[[#This Row],[BSLv0]]="A",1,-1)*Jnl[[#This Row],[Bal]]</f>
        <v>37203.69</v>
      </c>
      <c r="K550" t="str">
        <f>_xlfn.XLOOKUP(Jnl[[#This Row],[Acct]], config_BS[Acct], config_BS[Lv0],,0)</f>
        <v>LC</v>
      </c>
      <c r="L550" t="str">
        <f>_xlfn.XLOOKUP(Jnl[[#This Row],[Acct]], config_BS[Acct], config_BS[Lv1],,0)</f>
        <v>Liability</v>
      </c>
      <c r="M550" t="str">
        <f>_xlfn.XLOOKUP(Jnl[[#This Row],[Acct]], config_BS[Acct], config_BS[Lv2],,0)</f>
        <v>Rec-Pay</v>
      </c>
      <c r="N550" t="str">
        <f>_xlfn.XLOOKUP(Jnl[[#This Row],[TrxId]], Trx[Id], Trx[IncNode], ,0)</f>
        <v>Expense</v>
      </c>
      <c r="O550" t="str">
        <f>_xlfn.XLOOKUP(Jnl[[#This Row],[IncNode]], config_IS[Node], config_IS[Type],,0)</f>
        <v>Op</v>
      </c>
      <c r="P550" t="str">
        <f>_xlfn.XLOOKUP(Jnl[[#This Row],[BSLv2]], dict[Key], dict[Name],,0)</f>
        <v>1.应收-应付</v>
      </c>
      <c r="Q550" t="str">
        <f>_xlfn.XLOOKUP(Jnl[[#This Row],[Acct]], dict[Key], dict[Name],,0)</f>
        <v>应付-税款</v>
      </c>
      <c r="R550" t="str">
        <f>_xlfn.XLOOKUP(Jnl[[#This Row],[Vehicle]],config_vehicle[Id], config_vehicle[Name],,0)</f>
        <v>远家花园</v>
      </c>
      <c r="S550" t="str">
        <f>_xlfn.XLOOKUP(Jnl[[#This Row],[Division]],config_div[Id], config_div[Name],,0)</f>
        <v>内控合规</v>
      </c>
      <c r="T550" t="str">
        <f>IF(Jnl[[#This Row],[TrxDate]]&lt;=stmt_BS_date_end, "In", "Out")</f>
        <v>In</v>
      </c>
      <c r="U550" t="str">
        <f>IF(Jnl[[#This Row],[TrxDate]]&lt;debug_date_start, "prior", IF(Jnl[[#This Row],[TrxDate]]&gt;debug_date_end, "post", "curr"))</f>
        <v>curr</v>
      </c>
    </row>
    <row r="551" spans="1:21" hidden="1">
      <c r="A551" s="39" t="s">
        <v>744</v>
      </c>
      <c r="B551" s="6">
        <f>_xlfn.XLOOKUP(Jnl[[#This Row],[TrxId]], Trx[Id], Trx[Date],,0)</f>
        <v>46053</v>
      </c>
      <c r="C551" s="6" t="str">
        <f>_xlfn.XLOOKUP(Jnl[[#This Row],[TrxId]], Trx[Id], Trx[Division],,0)</f>
        <v>Ctrl</v>
      </c>
      <c r="D551" s="6" t="str">
        <f>_xlfn.XLOOKUP(Jnl[[#This Row],[TrxId]], Trx[Id], Trx[Action],,0)</f>
        <v>支付</v>
      </c>
      <c r="E551" s="27" t="s">
        <v>82</v>
      </c>
      <c r="F551" s="10" t="s">
        <v>596</v>
      </c>
      <c r="G551" s="10" t="s">
        <v>396</v>
      </c>
      <c r="H551" s="37">
        <f>-37203.69-404093.27</f>
        <v>-441296.96</v>
      </c>
      <c r="I551" s="11" t="b">
        <f>AND(Jnl[[#This Row],[TrxId]]&lt;&gt;"",Jnl[[#This Row],[Acct]]&lt;&gt;"",Jnl[[#This Row],[Item]]&lt;&gt;"",ISNUMBER(Jnl[[#This Row],[Bal]]))</f>
        <v>1</v>
      </c>
      <c r="J551" s="9">
        <f>IF(Jnl[[#This Row],[BSLv0]]="A",1,-1)*Jnl[[#This Row],[Bal]]</f>
        <v>-441296.96</v>
      </c>
      <c r="K551" t="str">
        <f>_xlfn.XLOOKUP(Jnl[[#This Row],[Acct]], config_BS[Acct], config_BS[Lv0],,0)</f>
        <v>A</v>
      </c>
      <c r="L551" t="str">
        <f>_xlfn.XLOOKUP(Jnl[[#This Row],[Acct]], config_BS[Acct], config_BS[Lv1],,0)</f>
        <v>Assets</v>
      </c>
      <c r="M551" t="str">
        <f>_xlfn.XLOOKUP(Jnl[[#This Row],[Acct]], config_BS[Acct], config_BS[Lv2],,0)</f>
        <v>Cash alike</v>
      </c>
      <c r="N551" t="str">
        <f>_xlfn.XLOOKUP(Jnl[[#This Row],[TrxId]], Trx[Id], Trx[IncNode], ,0)</f>
        <v>Expense</v>
      </c>
      <c r="O551" t="str">
        <f>_xlfn.XLOOKUP(Jnl[[#This Row],[IncNode]], config_IS[Node], config_IS[Type],,0)</f>
        <v>Op</v>
      </c>
      <c r="P551" t="str">
        <f>_xlfn.XLOOKUP(Jnl[[#This Row],[BSLv2]], dict[Key], dict[Name],,0)</f>
        <v>0.现金及类似</v>
      </c>
      <c r="Q551" t="str">
        <f>_xlfn.XLOOKUP(Jnl[[#This Row],[Acct]], dict[Key], dict[Name],,0)</f>
        <v>银行</v>
      </c>
      <c r="R551" t="str">
        <f>_xlfn.XLOOKUP(Jnl[[#This Row],[Vehicle]],config_vehicle[Id], config_vehicle[Name],,0)</f>
        <v>远家花园</v>
      </c>
      <c r="S551" t="str">
        <f>_xlfn.XLOOKUP(Jnl[[#This Row],[Division]],config_div[Id], config_div[Name],,0)</f>
        <v>内控合规</v>
      </c>
      <c r="T551" t="str">
        <f>IF(Jnl[[#This Row],[TrxDate]]&lt;=stmt_BS_date_end, "In", "Out")</f>
        <v>In</v>
      </c>
      <c r="U551" t="str">
        <f>IF(Jnl[[#This Row],[TrxDate]]&lt;debug_date_start, "prior", IF(Jnl[[#This Row],[TrxDate]]&gt;debug_date_end, "post", "curr"))</f>
        <v>curr</v>
      </c>
    </row>
    <row r="552" spans="1:21" hidden="1">
      <c r="A552" s="39" t="s">
        <v>745</v>
      </c>
      <c r="B552" s="6">
        <f>_xlfn.XLOOKUP(Jnl[[#This Row],[TrxId]], Trx[Id], Trx[Date],,0)</f>
        <v>46053</v>
      </c>
      <c r="C552" s="6" t="str">
        <f>_xlfn.XLOOKUP(Jnl[[#This Row],[TrxId]], Trx[Id], Trx[Division],,0)</f>
        <v>Online</v>
      </c>
      <c r="D552" s="6" t="str">
        <f>_xlfn.XLOOKUP(Jnl[[#This Row],[TrxId]], Trx[Id], Trx[Action],,0)</f>
        <v>采购</v>
      </c>
      <c r="E552" s="27" t="s">
        <v>82</v>
      </c>
      <c r="F552" s="10" t="s">
        <v>604</v>
      </c>
      <c r="G552" s="10" t="s">
        <v>154</v>
      </c>
      <c r="H552" s="37">
        <f>-H553</f>
        <v>50640</v>
      </c>
      <c r="I552" s="11" t="b">
        <f>AND(Jnl[[#This Row],[TrxId]]&lt;&gt;"",Jnl[[#This Row],[Acct]]&lt;&gt;"",Jnl[[#This Row],[Item]]&lt;&gt;"",ISNUMBER(Jnl[[#This Row],[Bal]]))</f>
        <v>1</v>
      </c>
      <c r="J552" s="9">
        <f>IF(Jnl[[#This Row],[BSLv0]]="A",1,-1)*Jnl[[#This Row],[Bal]]</f>
        <v>50640</v>
      </c>
      <c r="K552" t="str">
        <f>_xlfn.XLOOKUP(Jnl[[#This Row],[Acct]], config_BS[Acct], config_BS[Lv0],,0)</f>
        <v>A</v>
      </c>
      <c r="L552" t="str">
        <f>_xlfn.XLOOKUP(Jnl[[#This Row],[Acct]], config_BS[Acct], config_BS[Lv1],,0)</f>
        <v>Assets</v>
      </c>
      <c r="M552" t="str">
        <f>_xlfn.XLOOKUP(Jnl[[#This Row],[Acct]], config_BS[Acct], config_BS[Lv2],,0)</f>
        <v>Invtr</v>
      </c>
      <c r="N552" t="str">
        <f>_xlfn.XLOOKUP(Jnl[[#This Row],[TrxId]], Trx[Id], Trx[IncNode], ,0)</f>
        <v>Cost</v>
      </c>
      <c r="O552" t="str">
        <f>_xlfn.XLOOKUP(Jnl[[#This Row],[IncNode]], config_IS[Node], config_IS[Type],,0)</f>
        <v>Op</v>
      </c>
      <c r="P552" t="str">
        <f>_xlfn.XLOOKUP(Jnl[[#This Row],[BSLv2]], dict[Key], dict[Name],,0)</f>
        <v>3.库存占款</v>
      </c>
      <c r="Q552" t="str">
        <f>_xlfn.XLOOKUP(Jnl[[#This Row],[Acct]], dict[Key], dict[Name],,0)</f>
        <v>当期存货</v>
      </c>
      <c r="R552" t="str">
        <f>_xlfn.XLOOKUP(Jnl[[#This Row],[Vehicle]],config_vehicle[Id], config_vehicle[Name],,0)</f>
        <v>远家花园</v>
      </c>
      <c r="S552" t="str">
        <f>_xlfn.XLOOKUP(Jnl[[#This Row],[Division]],config_div[Id], config_div[Name],,0)</f>
        <v>网店</v>
      </c>
      <c r="T552" t="str">
        <f>IF(Jnl[[#This Row],[TrxDate]]&lt;=stmt_BS_date_end, "In", "Out")</f>
        <v>In</v>
      </c>
      <c r="U552" t="str">
        <f>IF(Jnl[[#This Row],[TrxDate]]&lt;debug_date_start, "prior", IF(Jnl[[#This Row],[TrxDate]]&gt;debug_date_end, "post", "curr"))</f>
        <v>curr</v>
      </c>
    </row>
    <row r="553" spans="1:21" hidden="1">
      <c r="A553" s="39" t="s">
        <v>745</v>
      </c>
      <c r="B553" s="6">
        <f>_xlfn.XLOOKUP(Jnl[[#This Row],[TrxId]], Trx[Id], Trx[Date],,0)</f>
        <v>46053</v>
      </c>
      <c r="C553" s="6" t="str">
        <f>_xlfn.XLOOKUP(Jnl[[#This Row],[TrxId]], Trx[Id], Trx[Division],,0)</f>
        <v>Online</v>
      </c>
      <c r="D553" s="6" t="str">
        <f>_xlfn.XLOOKUP(Jnl[[#This Row],[TrxId]], Trx[Id], Trx[Action],,0)</f>
        <v>采购</v>
      </c>
      <c r="E553" s="27" t="s">
        <v>82</v>
      </c>
      <c r="F553" s="10" t="s">
        <v>596</v>
      </c>
      <c r="G553" s="10" t="s">
        <v>396</v>
      </c>
      <c r="H553" s="37">
        <v>-50640</v>
      </c>
      <c r="I553" s="11" t="b">
        <f>AND(Jnl[[#This Row],[TrxId]]&lt;&gt;"",Jnl[[#This Row],[Acct]]&lt;&gt;"",Jnl[[#This Row],[Item]]&lt;&gt;"",ISNUMBER(Jnl[[#This Row],[Bal]]))</f>
        <v>1</v>
      </c>
      <c r="J553" s="9">
        <f>IF(Jnl[[#This Row],[BSLv0]]="A",1,-1)*Jnl[[#This Row],[Bal]]</f>
        <v>-50640</v>
      </c>
      <c r="K553" t="str">
        <f>_xlfn.XLOOKUP(Jnl[[#This Row],[Acct]], config_BS[Acct], config_BS[Lv0],,0)</f>
        <v>A</v>
      </c>
      <c r="L553" t="str">
        <f>_xlfn.XLOOKUP(Jnl[[#This Row],[Acct]], config_BS[Acct], config_BS[Lv1],,0)</f>
        <v>Assets</v>
      </c>
      <c r="M553" t="str">
        <f>_xlfn.XLOOKUP(Jnl[[#This Row],[Acct]], config_BS[Acct], config_BS[Lv2],,0)</f>
        <v>Cash alike</v>
      </c>
      <c r="N553" t="str">
        <f>_xlfn.XLOOKUP(Jnl[[#This Row],[TrxId]], Trx[Id], Trx[IncNode], ,0)</f>
        <v>Cost</v>
      </c>
      <c r="O553" t="str">
        <f>_xlfn.XLOOKUP(Jnl[[#This Row],[IncNode]], config_IS[Node], config_IS[Type],,0)</f>
        <v>Op</v>
      </c>
      <c r="P553" t="str">
        <f>_xlfn.XLOOKUP(Jnl[[#This Row],[BSLv2]], dict[Key], dict[Name],,0)</f>
        <v>0.现金及类似</v>
      </c>
      <c r="Q553" t="str">
        <f>_xlfn.XLOOKUP(Jnl[[#This Row],[Acct]], dict[Key], dict[Name],,0)</f>
        <v>银行</v>
      </c>
      <c r="R553" t="str">
        <f>_xlfn.XLOOKUP(Jnl[[#This Row],[Vehicle]],config_vehicle[Id], config_vehicle[Name],,0)</f>
        <v>远家花园</v>
      </c>
      <c r="S553" t="str">
        <f>_xlfn.XLOOKUP(Jnl[[#This Row],[Division]],config_div[Id], config_div[Name],,0)</f>
        <v>网店</v>
      </c>
      <c r="T553" t="str">
        <f>IF(Jnl[[#This Row],[TrxDate]]&lt;=stmt_BS_date_end, "In", "Out")</f>
        <v>In</v>
      </c>
      <c r="U553" t="str">
        <f>IF(Jnl[[#This Row],[TrxDate]]&lt;debug_date_start, "prior", IF(Jnl[[#This Row],[TrxDate]]&gt;debug_date_end, "post", "curr"))</f>
        <v>curr</v>
      </c>
    </row>
    <row r="554" spans="1:21" hidden="1">
      <c r="A554" s="39" t="s">
        <v>746</v>
      </c>
      <c r="B554" s="6">
        <f>_xlfn.XLOOKUP(Jnl[[#This Row],[TrxId]], Trx[Id], Trx[Date],,0)</f>
        <v>46053</v>
      </c>
      <c r="C554" s="6" t="str">
        <f>_xlfn.XLOOKUP(Jnl[[#This Row],[TrxId]], Trx[Id], Trx[Division],,0)</f>
        <v>GM</v>
      </c>
      <c r="D554" s="6" t="str">
        <f>_xlfn.XLOOKUP(Jnl[[#This Row],[TrxId]], Trx[Id], Trx[Action],,0)</f>
        <v>薪酬-工资</v>
      </c>
      <c r="E554" s="27" t="s">
        <v>82</v>
      </c>
      <c r="F554" s="10" t="s">
        <v>596</v>
      </c>
      <c r="G554" s="10" t="s">
        <v>396</v>
      </c>
      <c r="H554" s="37">
        <v>-10000</v>
      </c>
      <c r="I554" s="11" t="b">
        <f>AND(Jnl[[#This Row],[TrxId]]&lt;&gt;"",Jnl[[#This Row],[Acct]]&lt;&gt;"",Jnl[[#This Row],[Item]]&lt;&gt;"",ISNUMBER(Jnl[[#This Row],[Bal]]))</f>
        <v>1</v>
      </c>
      <c r="J554" s="9">
        <f>IF(Jnl[[#This Row],[BSLv0]]="A",1,-1)*Jnl[[#This Row],[Bal]]</f>
        <v>-10000</v>
      </c>
      <c r="K554" t="str">
        <f>_xlfn.XLOOKUP(Jnl[[#This Row],[Acct]], config_BS[Acct], config_BS[Lv0],,0)</f>
        <v>A</v>
      </c>
      <c r="L554" t="str">
        <f>_xlfn.XLOOKUP(Jnl[[#This Row],[Acct]], config_BS[Acct], config_BS[Lv1],,0)</f>
        <v>Assets</v>
      </c>
      <c r="M554" t="str">
        <f>_xlfn.XLOOKUP(Jnl[[#This Row],[Acct]], config_BS[Acct], config_BS[Lv2],,0)</f>
        <v>Cash alike</v>
      </c>
      <c r="N554" t="str">
        <f>_xlfn.XLOOKUP(Jnl[[#This Row],[TrxId]], Trx[Id], Trx[IncNode], ,0)</f>
        <v>Expense</v>
      </c>
      <c r="O554" t="str">
        <f>_xlfn.XLOOKUP(Jnl[[#This Row],[IncNode]], config_IS[Node], config_IS[Type],,0)</f>
        <v>Op</v>
      </c>
      <c r="P554" t="str">
        <f>_xlfn.XLOOKUP(Jnl[[#This Row],[BSLv2]], dict[Key], dict[Name],,0)</f>
        <v>0.现金及类似</v>
      </c>
      <c r="Q554" t="str">
        <f>_xlfn.XLOOKUP(Jnl[[#This Row],[Acct]], dict[Key], dict[Name],,0)</f>
        <v>银行</v>
      </c>
      <c r="R554" t="str">
        <f>_xlfn.XLOOKUP(Jnl[[#This Row],[Vehicle]],config_vehicle[Id], config_vehicle[Name],,0)</f>
        <v>远家花园</v>
      </c>
      <c r="S554" t="str">
        <f>_xlfn.XLOOKUP(Jnl[[#This Row],[Division]],config_div[Id], config_div[Name],,0)</f>
        <v>综合管理</v>
      </c>
      <c r="T554" t="str">
        <f>IF(Jnl[[#This Row],[TrxDate]]&lt;=stmt_BS_date_end, "In", "Out")</f>
        <v>In</v>
      </c>
      <c r="U554" t="str">
        <f>IF(Jnl[[#This Row],[TrxDate]]&lt;debug_date_start, "prior", IF(Jnl[[#This Row],[TrxDate]]&gt;debug_date_end, "post", "curr"))</f>
        <v>curr</v>
      </c>
    </row>
    <row r="555" spans="1:21" hidden="1">
      <c r="A555" s="39" t="s">
        <v>747</v>
      </c>
      <c r="B555" s="6">
        <f>_xlfn.XLOOKUP(Jnl[[#This Row],[TrxId]], Trx[Id], Trx[Date],,0)</f>
        <v>46053</v>
      </c>
      <c r="C555" s="6" t="str">
        <f>_xlfn.XLOOKUP(Jnl[[#This Row],[TrxId]], Trx[Id], Trx[Division],,0)</f>
        <v>Online</v>
      </c>
      <c r="D555" s="6" t="str">
        <f>_xlfn.XLOOKUP(Jnl[[#This Row],[TrxId]], Trx[Id], Trx[Action],,0)</f>
        <v>采购</v>
      </c>
      <c r="E555" s="27" t="s">
        <v>82</v>
      </c>
      <c r="F555" s="10" t="s">
        <v>596</v>
      </c>
      <c r="G555" s="10" t="s">
        <v>396</v>
      </c>
      <c r="H555" s="37">
        <v>-9576</v>
      </c>
      <c r="I555" s="11" t="b">
        <f>AND(Jnl[[#This Row],[TrxId]]&lt;&gt;"",Jnl[[#This Row],[Acct]]&lt;&gt;"",Jnl[[#This Row],[Item]]&lt;&gt;"",ISNUMBER(Jnl[[#This Row],[Bal]]))</f>
        <v>1</v>
      </c>
      <c r="J555" s="9">
        <f>IF(Jnl[[#This Row],[BSLv0]]="A",1,-1)*Jnl[[#This Row],[Bal]]</f>
        <v>-9576</v>
      </c>
      <c r="K555" t="str">
        <f>_xlfn.XLOOKUP(Jnl[[#This Row],[Acct]], config_BS[Acct], config_BS[Lv0],,0)</f>
        <v>A</v>
      </c>
      <c r="L555" t="str">
        <f>_xlfn.XLOOKUP(Jnl[[#This Row],[Acct]], config_BS[Acct], config_BS[Lv1],,0)</f>
        <v>Assets</v>
      </c>
      <c r="M555" t="str">
        <f>_xlfn.XLOOKUP(Jnl[[#This Row],[Acct]], config_BS[Acct], config_BS[Lv2],,0)</f>
        <v>Cash alike</v>
      </c>
      <c r="N555" t="str">
        <f>_xlfn.XLOOKUP(Jnl[[#This Row],[TrxId]], Trx[Id], Trx[IncNode], ,0)</f>
        <v>Cost</v>
      </c>
      <c r="O555" t="str">
        <f>_xlfn.XLOOKUP(Jnl[[#This Row],[IncNode]], config_IS[Node], config_IS[Type],,0)</f>
        <v>Op</v>
      </c>
      <c r="P555" t="str">
        <f>_xlfn.XLOOKUP(Jnl[[#This Row],[BSLv2]], dict[Key], dict[Name],,0)</f>
        <v>0.现金及类似</v>
      </c>
      <c r="Q555" t="str">
        <f>_xlfn.XLOOKUP(Jnl[[#This Row],[Acct]], dict[Key], dict[Name],,0)</f>
        <v>银行</v>
      </c>
      <c r="R555" t="str">
        <f>_xlfn.XLOOKUP(Jnl[[#This Row],[Vehicle]],config_vehicle[Id], config_vehicle[Name],,0)</f>
        <v>远家花园</v>
      </c>
      <c r="S555" t="str">
        <f>_xlfn.XLOOKUP(Jnl[[#This Row],[Division]],config_div[Id], config_div[Name],,0)</f>
        <v>网店</v>
      </c>
      <c r="T555" t="str">
        <f>IF(Jnl[[#This Row],[TrxDate]]&lt;=stmt_BS_date_end, "In", "Out")</f>
        <v>In</v>
      </c>
      <c r="U555" t="str">
        <f>IF(Jnl[[#This Row],[TrxDate]]&lt;debug_date_start, "prior", IF(Jnl[[#This Row],[TrxDate]]&gt;debug_date_end, "post", "curr"))</f>
        <v>curr</v>
      </c>
    </row>
    <row r="556" spans="1:21" hidden="1">
      <c r="A556" s="39" t="s">
        <v>747</v>
      </c>
      <c r="B556" s="6">
        <f>_xlfn.XLOOKUP(Jnl[[#This Row],[TrxId]], Trx[Id], Trx[Date],,0)</f>
        <v>46053</v>
      </c>
      <c r="C556" s="6" t="str">
        <f>_xlfn.XLOOKUP(Jnl[[#This Row],[TrxId]], Trx[Id], Trx[Division],,0)</f>
        <v>Online</v>
      </c>
      <c r="D556" s="6" t="str">
        <f>_xlfn.XLOOKUP(Jnl[[#This Row],[TrxId]], Trx[Id], Trx[Action],,0)</f>
        <v>采购</v>
      </c>
      <c r="E556" s="27" t="s">
        <v>82</v>
      </c>
      <c r="F556" s="10" t="s">
        <v>604</v>
      </c>
      <c r="G556" s="10" t="s">
        <v>154</v>
      </c>
      <c r="H556" s="37">
        <f>-H555</f>
        <v>9576</v>
      </c>
      <c r="I556" s="11" t="b">
        <f>AND(Jnl[[#This Row],[TrxId]]&lt;&gt;"",Jnl[[#This Row],[Acct]]&lt;&gt;"",Jnl[[#This Row],[Item]]&lt;&gt;"",ISNUMBER(Jnl[[#This Row],[Bal]]))</f>
        <v>1</v>
      </c>
      <c r="J556" s="9">
        <f>IF(Jnl[[#This Row],[BSLv0]]="A",1,-1)*Jnl[[#This Row],[Bal]]</f>
        <v>9576</v>
      </c>
      <c r="K556" t="str">
        <f>_xlfn.XLOOKUP(Jnl[[#This Row],[Acct]], config_BS[Acct], config_BS[Lv0],,0)</f>
        <v>A</v>
      </c>
      <c r="L556" t="str">
        <f>_xlfn.XLOOKUP(Jnl[[#This Row],[Acct]], config_BS[Acct], config_BS[Lv1],,0)</f>
        <v>Assets</v>
      </c>
      <c r="M556" t="str">
        <f>_xlfn.XLOOKUP(Jnl[[#This Row],[Acct]], config_BS[Acct], config_BS[Lv2],,0)</f>
        <v>Invtr</v>
      </c>
      <c r="N556" t="str">
        <f>_xlfn.XLOOKUP(Jnl[[#This Row],[TrxId]], Trx[Id], Trx[IncNode], ,0)</f>
        <v>Cost</v>
      </c>
      <c r="O556" t="str">
        <f>_xlfn.XLOOKUP(Jnl[[#This Row],[IncNode]], config_IS[Node], config_IS[Type],,0)</f>
        <v>Op</v>
      </c>
      <c r="P556" t="str">
        <f>_xlfn.XLOOKUP(Jnl[[#This Row],[BSLv2]], dict[Key], dict[Name],,0)</f>
        <v>3.库存占款</v>
      </c>
      <c r="Q556" t="str">
        <f>_xlfn.XLOOKUP(Jnl[[#This Row],[Acct]], dict[Key], dict[Name],,0)</f>
        <v>当期存货</v>
      </c>
      <c r="R556" t="str">
        <f>_xlfn.XLOOKUP(Jnl[[#This Row],[Vehicle]],config_vehicle[Id], config_vehicle[Name],,0)</f>
        <v>远家花园</v>
      </c>
      <c r="S556" t="str">
        <f>_xlfn.XLOOKUP(Jnl[[#This Row],[Division]],config_div[Id], config_div[Name],,0)</f>
        <v>网店</v>
      </c>
      <c r="T556" t="str">
        <f>IF(Jnl[[#This Row],[TrxDate]]&lt;=stmt_BS_date_end, "In", "Out")</f>
        <v>In</v>
      </c>
      <c r="U556" t="str">
        <f>IF(Jnl[[#This Row],[TrxDate]]&lt;debug_date_start, "prior", IF(Jnl[[#This Row],[TrxDate]]&gt;debug_date_end, "post", "curr"))</f>
        <v>curr</v>
      </c>
    </row>
    <row r="557" spans="1:21" hidden="1">
      <c r="A557" s="39" t="s">
        <v>748</v>
      </c>
      <c r="B557" s="6">
        <f>_xlfn.XLOOKUP(Jnl[[#This Row],[TrxId]], Trx[Id], Trx[Date],,0)</f>
        <v>46053</v>
      </c>
      <c r="C557" s="6" t="str">
        <f>_xlfn.XLOOKUP(Jnl[[#This Row],[TrxId]], Trx[Id], Trx[Division],,0)</f>
        <v>Online</v>
      </c>
      <c r="D557" s="6" t="str">
        <f>_xlfn.XLOOKUP(Jnl[[#This Row],[TrxId]], Trx[Id], Trx[Action],,0)</f>
        <v>采购</v>
      </c>
      <c r="E557" s="27" t="s">
        <v>82</v>
      </c>
      <c r="F557" s="10" t="s">
        <v>596</v>
      </c>
      <c r="G557" s="10" t="s">
        <v>396</v>
      </c>
      <c r="H557" s="37">
        <v>-3465</v>
      </c>
      <c r="I557" s="11" t="b">
        <f>AND(Jnl[[#This Row],[TrxId]]&lt;&gt;"",Jnl[[#This Row],[Acct]]&lt;&gt;"",Jnl[[#This Row],[Item]]&lt;&gt;"",ISNUMBER(Jnl[[#This Row],[Bal]]))</f>
        <v>1</v>
      </c>
      <c r="J557" s="9">
        <f>IF(Jnl[[#This Row],[BSLv0]]="A",1,-1)*Jnl[[#This Row],[Bal]]</f>
        <v>-3465</v>
      </c>
      <c r="K557" t="str">
        <f>_xlfn.XLOOKUP(Jnl[[#This Row],[Acct]], config_BS[Acct], config_BS[Lv0],,0)</f>
        <v>A</v>
      </c>
      <c r="L557" t="str">
        <f>_xlfn.XLOOKUP(Jnl[[#This Row],[Acct]], config_BS[Acct], config_BS[Lv1],,0)</f>
        <v>Assets</v>
      </c>
      <c r="M557" t="str">
        <f>_xlfn.XLOOKUP(Jnl[[#This Row],[Acct]], config_BS[Acct], config_BS[Lv2],,0)</f>
        <v>Cash alike</v>
      </c>
      <c r="N557" t="str">
        <f>_xlfn.XLOOKUP(Jnl[[#This Row],[TrxId]], Trx[Id], Trx[IncNode], ,0)</f>
        <v>Cost</v>
      </c>
      <c r="O557" t="str">
        <f>_xlfn.XLOOKUP(Jnl[[#This Row],[IncNode]], config_IS[Node], config_IS[Type],,0)</f>
        <v>Op</v>
      </c>
      <c r="P557" t="str">
        <f>_xlfn.XLOOKUP(Jnl[[#This Row],[BSLv2]], dict[Key], dict[Name],,0)</f>
        <v>0.现金及类似</v>
      </c>
      <c r="Q557" t="str">
        <f>_xlfn.XLOOKUP(Jnl[[#This Row],[Acct]], dict[Key], dict[Name],,0)</f>
        <v>银行</v>
      </c>
      <c r="R557" t="str">
        <f>_xlfn.XLOOKUP(Jnl[[#This Row],[Vehicle]],config_vehicle[Id], config_vehicle[Name],,0)</f>
        <v>远家花园</v>
      </c>
      <c r="S557" t="str">
        <f>_xlfn.XLOOKUP(Jnl[[#This Row],[Division]],config_div[Id], config_div[Name],,0)</f>
        <v>网店</v>
      </c>
      <c r="T557" t="str">
        <f>IF(Jnl[[#This Row],[TrxDate]]&lt;=stmt_BS_date_end, "In", "Out")</f>
        <v>In</v>
      </c>
      <c r="U557" t="str">
        <f>IF(Jnl[[#This Row],[TrxDate]]&lt;debug_date_start, "prior", IF(Jnl[[#This Row],[TrxDate]]&gt;debug_date_end, "post", "curr"))</f>
        <v>curr</v>
      </c>
    </row>
    <row r="558" spans="1:21" hidden="1">
      <c r="A558" s="39" t="s">
        <v>748</v>
      </c>
      <c r="B558" s="6">
        <f>_xlfn.XLOOKUP(Jnl[[#This Row],[TrxId]], Trx[Id], Trx[Date],,0)</f>
        <v>46053</v>
      </c>
      <c r="C558" s="6" t="str">
        <f>_xlfn.XLOOKUP(Jnl[[#This Row],[TrxId]], Trx[Id], Trx[Division],,0)</f>
        <v>Online</v>
      </c>
      <c r="D558" s="6" t="str">
        <f>_xlfn.XLOOKUP(Jnl[[#This Row],[TrxId]], Trx[Id], Trx[Action],,0)</f>
        <v>采购</v>
      </c>
      <c r="E558" s="27" t="s">
        <v>82</v>
      </c>
      <c r="F558" s="10" t="s">
        <v>604</v>
      </c>
      <c r="G558" s="10" t="s">
        <v>154</v>
      </c>
      <c r="H558" s="37">
        <v>3465</v>
      </c>
      <c r="I558" s="11" t="b">
        <f>AND(Jnl[[#This Row],[TrxId]]&lt;&gt;"",Jnl[[#This Row],[Acct]]&lt;&gt;"",Jnl[[#This Row],[Item]]&lt;&gt;"",ISNUMBER(Jnl[[#This Row],[Bal]]))</f>
        <v>1</v>
      </c>
      <c r="J558" s="9">
        <f>IF(Jnl[[#This Row],[BSLv0]]="A",1,-1)*Jnl[[#This Row],[Bal]]</f>
        <v>3465</v>
      </c>
      <c r="K558" t="str">
        <f>_xlfn.XLOOKUP(Jnl[[#This Row],[Acct]], config_BS[Acct], config_BS[Lv0],,0)</f>
        <v>A</v>
      </c>
      <c r="L558" t="str">
        <f>_xlfn.XLOOKUP(Jnl[[#This Row],[Acct]], config_BS[Acct], config_BS[Lv1],,0)</f>
        <v>Assets</v>
      </c>
      <c r="M558" t="str">
        <f>_xlfn.XLOOKUP(Jnl[[#This Row],[Acct]], config_BS[Acct], config_BS[Lv2],,0)</f>
        <v>Invtr</v>
      </c>
      <c r="N558" t="str">
        <f>_xlfn.XLOOKUP(Jnl[[#This Row],[TrxId]], Trx[Id], Trx[IncNode], ,0)</f>
        <v>Cost</v>
      </c>
      <c r="O558" t="str">
        <f>_xlfn.XLOOKUP(Jnl[[#This Row],[IncNode]], config_IS[Node], config_IS[Type],,0)</f>
        <v>Op</v>
      </c>
      <c r="P558" t="str">
        <f>_xlfn.XLOOKUP(Jnl[[#This Row],[BSLv2]], dict[Key], dict[Name],,0)</f>
        <v>3.库存占款</v>
      </c>
      <c r="Q558" t="str">
        <f>_xlfn.XLOOKUP(Jnl[[#This Row],[Acct]], dict[Key], dict[Name],,0)</f>
        <v>当期存货</v>
      </c>
      <c r="R558" t="str">
        <f>_xlfn.XLOOKUP(Jnl[[#This Row],[Vehicle]],config_vehicle[Id], config_vehicle[Name],,0)</f>
        <v>远家花园</v>
      </c>
      <c r="S558" t="str">
        <f>_xlfn.XLOOKUP(Jnl[[#This Row],[Division]],config_div[Id], config_div[Name],,0)</f>
        <v>网店</v>
      </c>
      <c r="T558" t="str">
        <f>IF(Jnl[[#This Row],[TrxDate]]&lt;=stmt_BS_date_end, "In", "Out")</f>
        <v>In</v>
      </c>
      <c r="U558" t="str">
        <f>IF(Jnl[[#This Row],[TrxDate]]&lt;debug_date_start, "prior", IF(Jnl[[#This Row],[TrxDate]]&gt;debug_date_end, "post", "curr"))</f>
        <v>curr</v>
      </c>
    </row>
    <row r="559" spans="1:21" hidden="1">
      <c r="A559" s="39" t="s">
        <v>749</v>
      </c>
      <c r="B559" s="6">
        <f>_xlfn.XLOOKUP(Jnl[[#This Row],[TrxId]], Trx[Id], Trx[Date],,0)</f>
        <v>46053</v>
      </c>
      <c r="C559" s="6" t="str">
        <f>_xlfn.XLOOKUP(Jnl[[#This Row],[TrxId]], Trx[Id], Trx[Division],,0)</f>
        <v>Online</v>
      </c>
      <c r="D559" s="6" t="str">
        <f>_xlfn.XLOOKUP(Jnl[[#This Row],[TrxId]], Trx[Id], Trx[Action],,0)</f>
        <v>采购</v>
      </c>
      <c r="E559" s="27" t="s">
        <v>82</v>
      </c>
      <c r="F559" s="10" t="s">
        <v>604</v>
      </c>
      <c r="G559" s="10" t="s">
        <v>154</v>
      </c>
      <c r="H559" s="37">
        <v>11886</v>
      </c>
      <c r="I559" s="11" t="b">
        <f>AND(Jnl[[#This Row],[TrxId]]&lt;&gt;"",Jnl[[#This Row],[Acct]]&lt;&gt;"",Jnl[[#This Row],[Item]]&lt;&gt;"",ISNUMBER(Jnl[[#This Row],[Bal]]))</f>
        <v>1</v>
      </c>
      <c r="J559" s="9">
        <f>IF(Jnl[[#This Row],[BSLv0]]="A",1,-1)*Jnl[[#This Row],[Bal]]</f>
        <v>11886</v>
      </c>
      <c r="K559" t="str">
        <f>_xlfn.XLOOKUP(Jnl[[#This Row],[Acct]], config_BS[Acct], config_BS[Lv0],,0)</f>
        <v>A</v>
      </c>
      <c r="L559" t="str">
        <f>_xlfn.XLOOKUP(Jnl[[#This Row],[Acct]], config_BS[Acct], config_BS[Lv1],,0)</f>
        <v>Assets</v>
      </c>
      <c r="M559" t="str">
        <f>_xlfn.XLOOKUP(Jnl[[#This Row],[Acct]], config_BS[Acct], config_BS[Lv2],,0)</f>
        <v>Invtr</v>
      </c>
      <c r="N559" t="str">
        <f>_xlfn.XLOOKUP(Jnl[[#This Row],[TrxId]], Trx[Id], Trx[IncNode], ,0)</f>
        <v>Cost</v>
      </c>
      <c r="O559" t="str">
        <f>_xlfn.XLOOKUP(Jnl[[#This Row],[IncNode]], config_IS[Node], config_IS[Type],,0)</f>
        <v>Op</v>
      </c>
      <c r="P559" t="str">
        <f>_xlfn.XLOOKUP(Jnl[[#This Row],[BSLv2]], dict[Key], dict[Name],,0)</f>
        <v>3.库存占款</v>
      </c>
      <c r="Q559" t="str">
        <f>_xlfn.XLOOKUP(Jnl[[#This Row],[Acct]], dict[Key], dict[Name],,0)</f>
        <v>当期存货</v>
      </c>
      <c r="R559" t="str">
        <f>_xlfn.XLOOKUP(Jnl[[#This Row],[Vehicle]],config_vehicle[Id], config_vehicle[Name],,0)</f>
        <v>远家花园</v>
      </c>
      <c r="S559" t="str">
        <f>_xlfn.XLOOKUP(Jnl[[#This Row],[Division]],config_div[Id], config_div[Name],,0)</f>
        <v>网店</v>
      </c>
      <c r="T559" t="str">
        <f>IF(Jnl[[#This Row],[TrxDate]]&lt;=stmt_BS_date_end, "In", "Out")</f>
        <v>In</v>
      </c>
      <c r="U559" t="str">
        <f>IF(Jnl[[#This Row],[TrxDate]]&lt;debug_date_start, "prior", IF(Jnl[[#This Row],[TrxDate]]&gt;debug_date_end, "post", "curr"))</f>
        <v>curr</v>
      </c>
    </row>
    <row r="560" spans="1:21" hidden="1">
      <c r="A560" s="39" t="s">
        <v>749</v>
      </c>
      <c r="B560" s="6">
        <f>_xlfn.XLOOKUP(Jnl[[#This Row],[TrxId]], Trx[Id], Trx[Date],,0)</f>
        <v>46053</v>
      </c>
      <c r="C560" s="6" t="str">
        <f>_xlfn.XLOOKUP(Jnl[[#This Row],[TrxId]], Trx[Id], Trx[Division],,0)</f>
        <v>Online</v>
      </c>
      <c r="D560" s="6" t="str">
        <f>_xlfn.XLOOKUP(Jnl[[#This Row],[TrxId]], Trx[Id], Trx[Action],,0)</f>
        <v>采购</v>
      </c>
      <c r="E560" s="27" t="s">
        <v>82</v>
      </c>
      <c r="F560" s="10" t="s">
        <v>596</v>
      </c>
      <c r="G560" s="10" t="s">
        <v>396</v>
      </c>
      <c r="H560" s="37">
        <v>-11886</v>
      </c>
      <c r="I560" s="11" t="b">
        <f>AND(Jnl[[#This Row],[TrxId]]&lt;&gt;"",Jnl[[#This Row],[Acct]]&lt;&gt;"",Jnl[[#This Row],[Item]]&lt;&gt;"",ISNUMBER(Jnl[[#This Row],[Bal]]))</f>
        <v>1</v>
      </c>
      <c r="J560" s="9">
        <f>IF(Jnl[[#This Row],[BSLv0]]="A",1,-1)*Jnl[[#This Row],[Bal]]</f>
        <v>-11886</v>
      </c>
      <c r="K560" t="str">
        <f>_xlfn.XLOOKUP(Jnl[[#This Row],[Acct]], config_BS[Acct], config_BS[Lv0],,0)</f>
        <v>A</v>
      </c>
      <c r="L560" t="str">
        <f>_xlfn.XLOOKUP(Jnl[[#This Row],[Acct]], config_BS[Acct], config_BS[Lv1],,0)</f>
        <v>Assets</v>
      </c>
      <c r="M560" t="str">
        <f>_xlfn.XLOOKUP(Jnl[[#This Row],[Acct]], config_BS[Acct], config_BS[Lv2],,0)</f>
        <v>Cash alike</v>
      </c>
      <c r="N560" t="str">
        <f>_xlfn.XLOOKUP(Jnl[[#This Row],[TrxId]], Trx[Id], Trx[IncNode], ,0)</f>
        <v>Cost</v>
      </c>
      <c r="O560" t="str">
        <f>_xlfn.XLOOKUP(Jnl[[#This Row],[IncNode]], config_IS[Node], config_IS[Type],,0)</f>
        <v>Op</v>
      </c>
      <c r="P560" t="str">
        <f>_xlfn.XLOOKUP(Jnl[[#This Row],[BSLv2]], dict[Key], dict[Name],,0)</f>
        <v>0.现金及类似</v>
      </c>
      <c r="Q560" t="str">
        <f>_xlfn.XLOOKUP(Jnl[[#This Row],[Acct]], dict[Key], dict[Name],,0)</f>
        <v>银行</v>
      </c>
      <c r="R560" t="str">
        <f>_xlfn.XLOOKUP(Jnl[[#This Row],[Vehicle]],config_vehicle[Id], config_vehicle[Name],,0)</f>
        <v>远家花园</v>
      </c>
      <c r="S560" t="str">
        <f>_xlfn.XLOOKUP(Jnl[[#This Row],[Division]],config_div[Id], config_div[Name],,0)</f>
        <v>网店</v>
      </c>
      <c r="T560" t="str">
        <f>IF(Jnl[[#This Row],[TrxDate]]&lt;=stmt_BS_date_end, "In", "Out")</f>
        <v>In</v>
      </c>
      <c r="U560" t="str">
        <f>IF(Jnl[[#This Row],[TrxDate]]&lt;debug_date_start, "prior", IF(Jnl[[#This Row],[TrxDate]]&gt;debug_date_end, "post", "curr"))</f>
        <v>curr</v>
      </c>
    </row>
    <row r="561" spans="1:21" hidden="1">
      <c r="A561" s="39" t="s">
        <v>750</v>
      </c>
      <c r="B561" s="6">
        <f>_xlfn.XLOOKUP(Jnl[[#This Row],[TrxId]], Trx[Id], Trx[Date],,0)</f>
        <v>46053</v>
      </c>
      <c r="C561" s="6" t="str">
        <f>_xlfn.XLOOKUP(Jnl[[#This Row],[TrxId]], Trx[Id], Trx[Division],,0)</f>
        <v>Online</v>
      </c>
      <c r="D561" s="6" t="str">
        <f>_xlfn.XLOOKUP(Jnl[[#This Row],[TrxId]], Trx[Id], Trx[Action],,0)</f>
        <v>设计</v>
      </c>
      <c r="E561" s="27" t="s">
        <v>82</v>
      </c>
      <c r="F561" s="10" t="s">
        <v>596</v>
      </c>
      <c r="G561" s="10" t="s">
        <v>396</v>
      </c>
      <c r="H561" s="37">
        <v>-180</v>
      </c>
      <c r="I561" s="11" t="b">
        <f>AND(Jnl[[#This Row],[TrxId]]&lt;&gt;"",Jnl[[#This Row],[Acct]]&lt;&gt;"",Jnl[[#This Row],[Item]]&lt;&gt;"",ISNUMBER(Jnl[[#This Row],[Bal]]))</f>
        <v>1</v>
      </c>
      <c r="J561" s="9">
        <f>IF(Jnl[[#This Row],[BSLv0]]="A",1,-1)*Jnl[[#This Row],[Bal]]</f>
        <v>-180</v>
      </c>
      <c r="K561" t="str">
        <f>_xlfn.XLOOKUP(Jnl[[#This Row],[Acct]], config_BS[Acct], config_BS[Lv0],,0)</f>
        <v>A</v>
      </c>
      <c r="L561" t="str">
        <f>_xlfn.XLOOKUP(Jnl[[#This Row],[Acct]], config_BS[Acct], config_BS[Lv1],,0)</f>
        <v>Assets</v>
      </c>
      <c r="M561" t="str">
        <f>_xlfn.XLOOKUP(Jnl[[#This Row],[Acct]], config_BS[Acct], config_BS[Lv2],,0)</f>
        <v>Cash alike</v>
      </c>
      <c r="N561" t="str">
        <f>_xlfn.XLOOKUP(Jnl[[#This Row],[TrxId]], Trx[Id], Trx[IncNode], ,0)</f>
        <v>Expense</v>
      </c>
      <c r="O561" t="str">
        <f>_xlfn.XLOOKUP(Jnl[[#This Row],[IncNode]], config_IS[Node], config_IS[Type],,0)</f>
        <v>Op</v>
      </c>
      <c r="P561" t="str">
        <f>_xlfn.XLOOKUP(Jnl[[#This Row],[BSLv2]], dict[Key], dict[Name],,0)</f>
        <v>0.现金及类似</v>
      </c>
      <c r="Q561" t="str">
        <f>_xlfn.XLOOKUP(Jnl[[#This Row],[Acct]], dict[Key], dict[Name],,0)</f>
        <v>银行</v>
      </c>
      <c r="R561" t="str">
        <f>_xlfn.XLOOKUP(Jnl[[#This Row],[Vehicle]],config_vehicle[Id], config_vehicle[Name],,0)</f>
        <v>远家花园</v>
      </c>
      <c r="S561" t="str">
        <f>_xlfn.XLOOKUP(Jnl[[#This Row],[Division]],config_div[Id], config_div[Name],,0)</f>
        <v>网店</v>
      </c>
      <c r="T561" t="str">
        <f>IF(Jnl[[#This Row],[TrxDate]]&lt;=stmt_BS_date_end, "In", "Out")</f>
        <v>In</v>
      </c>
      <c r="U561" t="str">
        <f>IF(Jnl[[#This Row],[TrxDate]]&lt;debug_date_start, "prior", IF(Jnl[[#This Row],[TrxDate]]&gt;debug_date_end, "post", "curr"))</f>
        <v>curr</v>
      </c>
    </row>
    <row r="562" spans="1:21" hidden="1">
      <c r="A562" s="39" t="s">
        <v>751</v>
      </c>
      <c r="B562" s="6">
        <f>_xlfn.XLOOKUP(Jnl[[#This Row],[TrxId]], Trx[Id], Trx[Date],,0)</f>
        <v>46053</v>
      </c>
      <c r="C562" s="6" t="str">
        <f>_xlfn.XLOOKUP(Jnl[[#This Row],[TrxId]], Trx[Id], Trx[Division],,0)</f>
        <v>Online</v>
      </c>
      <c r="D562" s="6" t="str">
        <f>_xlfn.XLOOKUP(Jnl[[#This Row],[TrxId]], Trx[Id], Trx[Action],,0)</f>
        <v>设计</v>
      </c>
      <c r="E562" s="27" t="s">
        <v>82</v>
      </c>
      <c r="F562" s="10" t="s">
        <v>596</v>
      </c>
      <c r="G562" s="10" t="s">
        <v>396</v>
      </c>
      <c r="H562" s="37">
        <v>-240</v>
      </c>
      <c r="I562" s="11" t="b">
        <f>AND(Jnl[[#This Row],[TrxId]]&lt;&gt;"",Jnl[[#This Row],[Acct]]&lt;&gt;"",Jnl[[#This Row],[Item]]&lt;&gt;"",ISNUMBER(Jnl[[#This Row],[Bal]]))</f>
        <v>1</v>
      </c>
      <c r="J562" s="9">
        <f>IF(Jnl[[#This Row],[BSLv0]]="A",1,-1)*Jnl[[#This Row],[Bal]]</f>
        <v>-240</v>
      </c>
      <c r="K562" t="str">
        <f>_xlfn.XLOOKUP(Jnl[[#This Row],[Acct]], config_BS[Acct], config_BS[Lv0],,0)</f>
        <v>A</v>
      </c>
      <c r="L562" t="str">
        <f>_xlfn.XLOOKUP(Jnl[[#This Row],[Acct]], config_BS[Acct], config_BS[Lv1],,0)</f>
        <v>Assets</v>
      </c>
      <c r="M562" t="str">
        <f>_xlfn.XLOOKUP(Jnl[[#This Row],[Acct]], config_BS[Acct], config_BS[Lv2],,0)</f>
        <v>Cash alike</v>
      </c>
      <c r="N562" t="str">
        <f>_xlfn.XLOOKUP(Jnl[[#This Row],[TrxId]], Trx[Id], Trx[IncNode], ,0)</f>
        <v>Expense</v>
      </c>
      <c r="O562" t="str">
        <f>_xlfn.XLOOKUP(Jnl[[#This Row],[IncNode]], config_IS[Node], config_IS[Type],,0)</f>
        <v>Op</v>
      </c>
      <c r="P562" t="str">
        <f>_xlfn.XLOOKUP(Jnl[[#This Row],[BSLv2]], dict[Key], dict[Name],,0)</f>
        <v>0.现金及类似</v>
      </c>
      <c r="Q562" t="str">
        <f>_xlfn.XLOOKUP(Jnl[[#This Row],[Acct]], dict[Key], dict[Name],,0)</f>
        <v>银行</v>
      </c>
      <c r="R562" t="str">
        <f>_xlfn.XLOOKUP(Jnl[[#This Row],[Vehicle]],config_vehicle[Id], config_vehicle[Name],,0)</f>
        <v>远家花园</v>
      </c>
      <c r="S562" t="str">
        <f>_xlfn.XLOOKUP(Jnl[[#This Row],[Division]],config_div[Id], config_div[Name],,0)</f>
        <v>网店</v>
      </c>
      <c r="T562" t="str">
        <f>IF(Jnl[[#This Row],[TrxDate]]&lt;=stmt_BS_date_end, "In", "Out")</f>
        <v>In</v>
      </c>
      <c r="U562" t="str">
        <f>IF(Jnl[[#This Row],[TrxDate]]&lt;debug_date_start, "prior", IF(Jnl[[#This Row],[TrxDate]]&gt;debug_date_end, "post", "curr"))</f>
        <v>curr</v>
      </c>
    </row>
    <row r="563" spans="1:21" hidden="1">
      <c r="A563" s="39" t="s">
        <v>752</v>
      </c>
      <c r="B563" s="6">
        <f>_xlfn.XLOOKUP(Jnl[[#This Row],[TrxId]], Trx[Id], Trx[Date],,0)</f>
        <v>46053</v>
      </c>
      <c r="C563" s="6" t="str">
        <f>_xlfn.XLOOKUP(Jnl[[#This Row],[TrxId]], Trx[Id], Trx[Division],,0)</f>
        <v>Online</v>
      </c>
      <c r="D563" s="6" t="str">
        <f>_xlfn.XLOOKUP(Jnl[[#This Row],[TrxId]], Trx[Id], Trx[Action],,0)</f>
        <v>采购</v>
      </c>
      <c r="E563" s="27" t="s">
        <v>82</v>
      </c>
      <c r="F563" s="10" t="s">
        <v>596</v>
      </c>
      <c r="G563" s="10" t="s">
        <v>396</v>
      </c>
      <c r="H563" s="37">
        <v>-5000</v>
      </c>
      <c r="I563" s="11" t="b">
        <f>AND(Jnl[[#This Row],[TrxId]]&lt;&gt;"",Jnl[[#This Row],[Acct]]&lt;&gt;"",Jnl[[#This Row],[Item]]&lt;&gt;"",ISNUMBER(Jnl[[#This Row],[Bal]]))</f>
        <v>1</v>
      </c>
      <c r="J563" s="9">
        <f>IF(Jnl[[#This Row],[BSLv0]]="A",1,-1)*Jnl[[#This Row],[Bal]]</f>
        <v>-5000</v>
      </c>
      <c r="K563" t="str">
        <f>_xlfn.XLOOKUP(Jnl[[#This Row],[Acct]], config_BS[Acct], config_BS[Lv0],,0)</f>
        <v>A</v>
      </c>
      <c r="L563" t="str">
        <f>_xlfn.XLOOKUP(Jnl[[#This Row],[Acct]], config_BS[Acct], config_BS[Lv1],,0)</f>
        <v>Assets</v>
      </c>
      <c r="M563" t="str">
        <f>_xlfn.XLOOKUP(Jnl[[#This Row],[Acct]], config_BS[Acct], config_BS[Lv2],,0)</f>
        <v>Cash alike</v>
      </c>
      <c r="N563" t="str">
        <f>_xlfn.XLOOKUP(Jnl[[#This Row],[TrxId]], Trx[Id], Trx[IncNode], ,0)</f>
        <v>Cost</v>
      </c>
      <c r="O563" t="str">
        <f>_xlfn.XLOOKUP(Jnl[[#This Row],[IncNode]], config_IS[Node], config_IS[Type],,0)</f>
        <v>Op</v>
      </c>
      <c r="P563" t="str">
        <f>_xlfn.XLOOKUP(Jnl[[#This Row],[BSLv2]], dict[Key], dict[Name],,0)</f>
        <v>0.现金及类似</v>
      </c>
      <c r="Q563" t="str">
        <f>_xlfn.XLOOKUP(Jnl[[#This Row],[Acct]], dict[Key], dict[Name],,0)</f>
        <v>银行</v>
      </c>
      <c r="R563" t="str">
        <f>_xlfn.XLOOKUP(Jnl[[#This Row],[Vehicle]],config_vehicle[Id], config_vehicle[Name],,0)</f>
        <v>远家花园</v>
      </c>
      <c r="S563" t="str">
        <f>_xlfn.XLOOKUP(Jnl[[#This Row],[Division]],config_div[Id], config_div[Name],,0)</f>
        <v>网店</v>
      </c>
      <c r="T563" t="str">
        <f>IF(Jnl[[#This Row],[TrxDate]]&lt;=stmt_BS_date_end, "In", "Out")</f>
        <v>In</v>
      </c>
      <c r="U563" t="str">
        <f>IF(Jnl[[#This Row],[TrxDate]]&lt;debug_date_start, "prior", IF(Jnl[[#This Row],[TrxDate]]&gt;debug_date_end, "post", "curr"))</f>
        <v>curr</v>
      </c>
    </row>
    <row r="564" spans="1:21" hidden="1">
      <c r="A564" s="39" t="s">
        <v>752</v>
      </c>
      <c r="B564" s="6">
        <f>_xlfn.XLOOKUP(Jnl[[#This Row],[TrxId]], Trx[Id], Trx[Date],,0)</f>
        <v>46053</v>
      </c>
      <c r="C564" s="6" t="str">
        <f>_xlfn.XLOOKUP(Jnl[[#This Row],[TrxId]], Trx[Id], Trx[Division],,0)</f>
        <v>Online</v>
      </c>
      <c r="D564" s="6" t="str">
        <f>_xlfn.XLOOKUP(Jnl[[#This Row],[TrxId]], Trx[Id], Trx[Action],,0)</f>
        <v>采购</v>
      </c>
      <c r="E564" s="27" t="s">
        <v>82</v>
      </c>
      <c r="F564" s="10" t="s">
        <v>604</v>
      </c>
      <c r="G564" s="10" t="s">
        <v>154</v>
      </c>
      <c r="H564" s="37">
        <v>5000</v>
      </c>
      <c r="I564" s="11" t="b">
        <f>AND(Jnl[[#This Row],[TrxId]]&lt;&gt;"",Jnl[[#This Row],[Acct]]&lt;&gt;"",Jnl[[#This Row],[Item]]&lt;&gt;"",ISNUMBER(Jnl[[#This Row],[Bal]]))</f>
        <v>1</v>
      </c>
      <c r="J564" s="9">
        <f>IF(Jnl[[#This Row],[BSLv0]]="A",1,-1)*Jnl[[#This Row],[Bal]]</f>
        <v>5000</v>
      </c>
      <c r="K564" t="str">
        <f>_xlfn.XLOOKUP(Jnl[[#This Row],[Acct]], config_BS[Acct], config_BS[Lv0],,0)</f>
        <v>A</v>
      </c>
      <c r="L564" t="str">
        <f>_xlfn.XLOOKUP(Jnl[[#This Row],[Acct]], config_BS[Acct], config_BS[Lv1],,0)</f>
        <v>Assets</v>
      </c>
      <c r="M564" t="str">
        <f>_xlfn.XLOOKUP(Jnl[[#This Row],[Acct]], config_BS[Acct], config_BS[Lv2],,0)</f>
        <v>Invtr</v>
      </c>
      <c r="N564" t="str">
        <f>_xlfn.XLOOKUP(Jnl[[#This Row],[TrxId]], Trx[Id], Trx[IncNode], ,0)</f>
        <v>Cost</v>
      </c>
      <c r="O564" t="str">
        <f>_xlfn.XLOOKUP(Jnl[[#This Row],[IncNode]], config_IS[Node], config_IS[Type],,0)</f>
        <v>Op</v>
      </c>
      <c r="P564" t="str">
        <f>_xlfn.XLOOKUP(Jnl[[#This Row],[BSLv2]], dict[Key], dict[Name],,0)</f>
        <v>3.库存占款</v>
      </c>
      <c r="Q564" t="str">
        <f>_xlfn.XLOOKUP(Jnl[[#This Row],[Acct]], dict[Key], dict[Name],,0)</f>
        <v>当期存货</v>
      </c>
      <c r="R564" t="str">
        <f>_xlfn.XLOOKUP(Jnl[[#This Row],[Vehicle]],config_vehicle[Id], config_vehicle[Name],,0)</f>
        <v>远家花园</v>
      </c>
      <c r="S564" t="str">
        <f>_xlfn.XLOOKUP(Jnl[[#This Row],[Division]],config_div[Id], config_div[Name],,0)</f>
        <v>网店</v>
      </c>
      <c r="T564" t="str">
        <f>IF(Jnl[[#This Row],[TrxDate]]&lt;=stmt_BS_date_end, "In", "Out")</f>
        <v>In</v>
      </c>
      <c r="U564" t="str">
        <f>IF(Jnl[[#This Row],[TrxDate]]&lt;debug_date_start, "prior", IF(Jnl[[#This Row],[TrxDate]]&gt;debug_date_end, "post", "curr"))</f>
        <v>curr</v>
      </c>
    </row>
    <row r="565" spans="1:21" hidden="1">
      <c r="A565" s="39" t="s">
        <v>753</v>
      </c>
      <c r="B565" s="6">
        <f>_xlfn.XLOOKUP(Jnl[[#This Row],[TrxId]], Trx[Id], Trx[Date],,0)</f>
        <v>46053</v>
      </c>
      <c r="C565" s="6" t="str">
        <f>_xlfn.XLOOKUP(Jnl[[#This Row],[TrxId]], Trx[Id], Trx[Division],,0)</f>
        <v>Online</v>
      </c>
      <c r="D565" s="6" t="str">
        <f>_xlfn.XLOOKUP(Jnl[[#This Row],[TrxId]], Trx[Id], Trx[Action],,0)</f>
        <v>采购</v>
      </c>
      <c r="E565" s="27" t="s">
        <v>82</v>
      </c>
      <c r="F565" s="10" t="s">
        <v>604</v>
      </c>
      <c r="G565" s="10" t="s">
        <v>154</v>
      </c>
      <c r="H565" s="37">
        <f>-H566</f>
        <v>5071.5</v>
      </c>
      <c r="I565" s="11" t="b">
        <f>AND(Jnl[[#This Row],[TrxId]]&lt;&gt;"",Jnl[[#This Row],[Acct]]&lt;&gt;"",Jnl[[#This Row],[Item]]&lt;&gt;"",ISNUMBER(Jnl[[#This Row],[Bal]]))</f>
        <v>1</v>
      </c>
      <c r="J565" s="9">
        <f>IF(Jnl[[#This Row],[BSLv0]]="A",1,-1)*Jnl[[#This Row],[Bal]]</f>
        <v>5071.5</v>
      </c>
      <c r="K565" t="str">
        <f>_xlfn.XLOOKUP(Jnl[[#This Row],[Acct]], config_BS[Acct], config_BS[Lv0],,0)</f>
        <v>A</v>
      </c>
      <c r="L565" t="str">
        <f>_xlfn.XLOOKUP(Jnl[[#This Row],[Acct]], config_BS[Acct], config_BS[Lv1],,0)</f>
        <v>Assets</v>
      </c>
      <c r="M565" t="str">
        <f>_xlfn.XLOOKUP(Jnl[[#This Row],[Acct]], config_BS[Acct], config_BS[Lv2],,0)</f>
        <v>Invtr</v>
      </c>
      <c r="N565" t="str">
        <f>_xlfn.XLOOKUP(Jnl[[#This Row],[TrxId]], Trx[Id], Trx[IncNode], ,0)</f>
        <v>Cost</v>
      </c>
      <c r="O565" t="str">
        <f>_xlfn.XLOOKUP(Jnl[[#This Row],[IncNode]], config_IS[Node], config_IS[Type],,0)</f>
        <v>Op</v>
      </c>
      <c r="P565" t="str">
        <f>_xlfn.XLOOKUP(Jnl[[#This Row],[BSLv2]], dict[Key], dict[Name],,0)</f>
        <v>3.库存占款</v>
      </c>
      <c r="Q565" t="str">
        <f>_xlfn.XLOOKUP(Jnl[[#This Row],[Acct]], dict[Key], dict[Name],,0)</f>
        <v>当期存货</v>
      </c>
      <c r="R565" t="str">
        <f>_xlfn.XLOOKUP(Jnl[[#This Row],[Vehicle]],config_vehicle[Id], config_vehicle[Name],,0)</f>
        <v>远家花园</v>
      </c>
      <c r="S565" t="str">
        <f>_xlfn.XLOOKUP(Jnl[[#This Row],[Division]],config_div[Id], config_div[Name],,0)</f>
        <v>网店</v>
      </c>
      <c r="T565" t="str">
        <f>IF(Jnl[[#This Row],[TrxDate]]&lt;=stmt_BS_date_end, "In", "Out")</f>
        <v>In</v>
      </c>
      <c r="U565" t="str">
        <f>IF(Jnl[[#This Row],[TrxDate]]&lt;debug_date_start, "prior", IF(Jnl[[#This Row],[TrxDate]]&gt;debug_date_end, "post", "curr"))</f>
        <v>curr</v>
      </c>
    </row>
    <row r="566" spans="1:21" hidden="1">
      <c r="A566" s="39" t="s">
        <v>753</v>
      </c>
      <c r="B566" s="6">
        <f>_xlfn.XLOOKUP(Jnl[[#This Row],[TrxId]], Trx[Id], Trx[Date],,0)</f>
        <v>46053</v>
      </c>
      <c r="C566" s="6" t="str">
        <f>_xlfn.XLOOKUP(Jnl[[#This Row],[TrxId]], Trx[Id], Trx[Division],,0)</f>
        <v>Online</v>
      </c>
      <c r="D566" s="6" t="str">
        <f>_xlfn.XLOOKUP(Jnl[[#This Row],[TrxId]], Trx[Id], Trx[Action],,0)</f>
        <v>采购</v>
      </c>
      <c r="E566" s="27" t="s">
        <v>82</v>
      </c>
      <c r="F566" s="10" t="s">
        <v>596</v>
      </c>
      <c r="G566" s="10" t="s">
        <v>396</v>
      </c>
      <c r="H566" s="37">
        <v>-5071.5</v>
      </c>
      <c r="I566" s="11" t="b">
        <f>AND(Jnl[[#This Row],[TrxId]]&lt;&gt;"",Jnl[[#This Row],[Acct]]&lt;&gt;"",Jnl[[#This Row],[Item]]&lt;&gt;"",ISNUMBER(Jnl[[#This Row],[Bal]]))</f>
        <v>1</v>
      </c>
      <c r="J566" s="9">
        <f>IF(Jnl[[#This Row],[BSLv0]]="A",1,-1)*Jnl[[#This Row],[Bal]]</f>
        <v>-5071.5</v>
      </c>
      <c r="K566" t="str">
        <f>_xlfn.XLOOKUP(Jnl[[#This Row],[Acct]], config_BS[Acct], config_BS[Lv0],,0)</f>
        <v>A</v>
      </c>
      <c r="L566" t="str">
        <f>_xlfn.XLOOKUP(Jnl[[#This Row],[Acct]], config_BS[Acct], config_BS[Lv1],,0)</f>
        <v>Assets</v>
      </c>
      <c r="M566" t="str">
        <f>_xlfn.XLOOKUP(Jnl[[#This Row],[Acct]], config_BS[Acct], config_BS[Lv2],,0)</f>
        <v>Cash alike</v>
      </c>
      <c r="N566" t="str">
        <f>_xlfn.XLOOKUP(Jnl[[#This Row],[TrxId]], Trx[Id], Trx[IncNode], ,0)</f>
        <v>Cost</v>
      </c>
      <c r="O566" t="str">
        <f>_xlfn.XLOOKUP(Jnl[[#This Row],[IncNode]], config_IS[Node], config_IS[Type],,0)</f>
        <v>Op</v>
      </c>
      <c r="P566" t="str">
        <f>_xlfn.XLOOKUP(Jnl[[#This Row],[BSLv2]], dict[Key], dict[Name],,0)</f>
        <v>0.现金及类似</v>
      </c>
      <c r="Q566" t="str">
        <f>_xlfn.XLOOKUP(Jnl[[#This Row],[Acct]], dict[Key], dict[Name],,0)</f>
        <v>银行</v>
      </c>
      <c r="R566" t="str">
        <f>_xlfn.XLOOKUP(Jnl[[#This Row],[Vehicle]],config_vehicle[Id], config_vehicle[Name],,0)</f>
        <v>远家花园</v>
      </c>
      <c r="S566" t="str">
        <f>_xlfn.XLOOKUP(Jnl[[#This Row],[Division]],config_div[Id], config_div[Name],,0)</f>
        <v>网店</v>
      </c>
      <c r="T566" t="str">
        <f>IF(Jnl[[#This Row],[TrxDate]]&lt;=stmt_BS_date_end, "In", "Out")</f>
        <v>In</v>
      </c>
      <c r="U566" t="str">
        <f>IF(Jnl[[#This Row],[TrxDate]]&lt;debug_date_start, "prior", IF(Jnl[[#This Row],[TrxDate]]&gt;debug_date_end, "post", "curr"))</f>
        <v>curr</v>
      </c>
    </row>
    <row r="567" spans="1:21" hidden="1">
      <c r="A567" s="39" t="s">
        <v>754</v>
      </c>
      <c r="B567" s="6">
        <f>_xlfn.XLOOKUP(Jnl[[#This Row],[TrxId]], Trx[Id], Trx[Date],,0)</f>
        <v>46053</v>
      </c>
      <c r="C567" s="6" t="str">
        <f>_xlfn.XLOOKUP(Jnl[[#This Row],[TrxId]], Trx[Id], Trx[Division],,0)</f>
        <v>Online</v>
      </c>
      <c r="D567" s="6" t="str">
        <f>_xlfn.XLOOKUP(Jnl[[#This Row],[TrxId]], Trx[Id], Trx[Action],,0)</f>
        <v>采购</v>
      </c>
      <c r="E567" s="27" t="s">
        <v>82</v>
      </c>
      <c r="F567" s="10" t="s">
        <v>604</v>
      </c>
      <c r="G567" s="10" t="s">
        <v>154</v>
      </c>
      <c r="H567" s="37">
        <v>8050</v>
      </c>
      <c r="I567" s="11" t="b">
        <f>AND(Jnl[[#This Row],[TrxId]]&lt;&gt;"",Jnl[[#This Row],[Acct]]&lt;&gt;"",Jnl[[#This Row],[Item]]&lt;&gt;"",ISNUMBER(Jnl[[#This Row],[Bal]]))</f>
        <v>1</v>
      </c>
      <c r="J567" s="9">
        <f>IF(Jnl[[#This Row],[BSLv0]]="A",1,-1)*Jnl[[#This Row],[Bal]]</f>
        <v>8050</v>
      </c>
      <c r="K567" t="str">
        <f>_xlfn.XLOOKUP(Jnl[[#This Row],[Acct]], config_BS[Acct], config_BS[Lv0],,0)</f>
        <v>A</v>
      </c>
      <c r="L567" t="str">
        <f>_xlfn.XLOOKUP(Jnl[[#This Row],[Acct]], config_BS[Acct], config_BS[Lv1],,0)</f>
        <v>Assets</v>
      </c>
      <c r="M567" t="str">
        <f>_xlfn.XLOOKUP(Jnl[[#This Row],[Acct]], config_BS[Acct], config_BS[Lv2],,0)</f>
        <v>Invtr</v>
      </c>
      <c r="N567" t="str">
        <f>_xlfn.XLOOKUP(Jnl[[#This Row],[TrxId]], Trx[Id], Trx[IncNode], ,0)</f>
        <v>Cost</v>
      </c>
      <c r="O567" t="str">
        <f>_xlfn.XLOOKUP(Jnl[[#This Row],[IncNode]], config_IS[Node], config_IS[Type],,0)</f>
        <v>Op</v>
      </c>
      <c r="P567" t="str">
        <f>_xlfn.XLOOKUP(Jnl[[#This Row],[BSLv2]], dict[Key], dict[Name],,0)</f>
        <v>3.库存占款</v>
      </c>
      <c r="Q567" t="str">
        <f>_xlfn.XLOOKUP(Jnl[[#This Row],[Acct]], dict[Key], dict[Name],,0)</f>
        <v>当期存货</v>
      </c>
      <c r="R567" t="str">
        <f>_xlfn.XLOOKUP(Jnl[[#This Row],[Vehicle]],config_vehicle[Id], config_vehicle[Name],,0)</f>
        <v>远家花园</v>
      </c>
      <c r="S567" t="str">
        <f>_xlfn.XLOOKUP(Jnl[[#This Row],[Division]],config_div[Id], config_div[Name],,0)</f>
        <v>网店</v>
      </c>
      <c r="T567" t="str">
        <f>IF(Jnl[[#This Row],[TrxDate]]&lt;=stmt_BS_date_end, "In", "Out")</f>
        <v>In</v>
      </c>
      <c r="U567" t="str">
        <f>IF(Jnl[[#This Row],[TrxDate]]&lt;debug_date_start, "prior", IF(Jnl[[#This Row],[TrxDate]]&gt;debug_date_end, "post", "curr"))</f>
        <v>curr</v>
      </c>
    </row>
    <row r="568" spans="1:21" hidden="1">
      <c r="A568" s="39" t="s">
        <v>754</v>
      </c>
      <c r="B568" s="6">
        <f>_xlfn.XLOOKUP(Jnl[[#This Row],[TrxId]], Trx[Id], Trx[Date],,0)</f>
        <v>46053</v>
      </c>
      <c r="C568" s="6" t="str">
        <f>_xlfn.XLOOKUP(Jnl[[#This Row],[TrxId]], Trx[Id], Trx[Division],,0)</f>
        <v>Online</v>
      </c>
      <c r="D568" s="6" t="str">
        <f>_xlfn.XLOOKUP(Jnl[[#This Row],[TrxId]], Trx[Id], Trx[Action],,0)</f>
        <v>采购</v>
      </c>
      <c r="E568" s="27" t="s">
        <v>82</v>
      </c>
      <c r="F568" s="10" t="s">
        <v>596</v>
      </c>
      <c r="G568" s="10" t="s">
        <v>396</v>
      </c>
      <c r="H568" s="37">
        <v>-8050</v>
      </c>
      <c r="I568" s="11" t="b">
        <f>AND(Jnl[[#This Row],[TrxId]]&lt;&gt;"",Jnl[[#This Row],[Acct]]&lt;&gt;"",Jnl[[#This Row],[Item]]&lt;&gt;"",ISNUMBER(Jnl[[#This Row],[Bal]]))</f>
        <v>1</v>
      </c>
      <c r="J568" s="9">
        <f>IF(Jnl[[#This Row],[BSLv0]]="A",1,-1)*Jnl[[#This Row],[Bal]]</f>
        <v>-8050</v>
      </c>
      <c r="K568" t="str">
        <f>_xlfn.XLOOKUP(Jnl[[#This Row],[Acct]], config_BS[Acct], config_BS[Lv0],,0)</f>
        <v>A</v>
      </c>
      <c r="L568" t="str">
        <f>_xlfn.XLOOKUP(Jnl[[#This Row],[Acct]], config_BS[Acct], config_BS[Lv1],,0)</f>
        <v>Assets</v>
      </c>
      <c r="M568" t="str">
        <f>_xlfn.XLOOKUP(Jnl[[#This Row],[Acct]], config_BS[Acct], config_BS[Lv2],,0)</f>
        <v>Cash alike</v>
      </c>
      <c r="N568" t="str">
        <f>_xlfn.XLOOKUP(Jnl[[#This Row],[TrxId]], Trx[Id], Trx[IncNode], ,0)</f>
        <v>Cost</v>
      </c>
      <c r="O568" t="str">
        <f>_xlfn.XLOOKUP(Jnl[[#This Row],[IncNode]], config_IS[Node], config_IS[Type],,0)</f>
        <v>Op</v>
      </c>
      <c r="P568" t="str">
        <f>_xlfn.XLOOKUP(Jnl[[#This Row],[BSLv2]], dict[Key], dict[Name],,0)</f>
        <v>0.现金及类似</v>
      </c>
      <c r="Q568" t="str">
        <f>_xlfn.XLOOKUP(Jnl[[#This Row],[Acct]], dict[Key], dict[Name],,0)</f>
        <v>银行</v>
      </c>
      <c r="R568" t="str">
        <f>_xlfn.XLOOKUP(Jnl[[#This Row],[Vehicle]],config_vehicle[Id], config_vehicle[Name],,0)</f>
        <v>远家花园</v>
      </c>
      <c r="S568" t="str">
        <f>_xlfn.XLOOKUP(Jnl[[#This Row],[Division]],config_div[Id], config_div[Name],,0)</f>
        <v>网店</v>
      </c>
      <c r="T568" t="str">
        <f>IF(Jnl[[#This Row],[TrxDate]]&lt;=stmt_BS_date_end, "In", "Out")</f>
        <v>In</v>
      </c>
      <c r="U568" t="str">
        <f>IF(Jnl[[#This Row],[TrxDate]]&lt;debug_date_start, "prior", IF(Jnl[[#This Row],[TrxDate]]&gt;debug_date_end, "post", "curr"))</f>
        <v>curr</v>
      </c>
    </row>
    <row r="569" spans="1:21" hidden="1">
      <c r="A569" s="39" t="s">
        <v>755</v>
      </c>
      <c r="B569" s="6">
        <f>_xlfn.XLOOKUP(Jnl[[#This Row],[TrxId]], Trx[Id], Trx[Date],,0)</f>
        <v>46053</v>
      </c>
      <c r="C569" s="6" t="str">
        <f>_xlfn.XLOOKUP(Jnl[[#This Row],[TrxId]], Trx[Id], Trx[Division],,0)</f>
        <v>GM</v>
      </c>
      <c r="D569" s="6" t="str">
        <f>_xlfn.XLOOKUP(Jnl[[#This Row],[TrxId]], Trx[Id], Trx[Action],,0)</f>
        <v>招待</v>
      </c>
      <c r="E569" s="27" t="s">
        <v>82</v>
      </c>
      <c r="F569" s="10" t="s">
        <v>596</v>
      </c>
      <c r="G569" s="10" t="s">
        <v>396</v>
      </c>
      <c r="H569" s="37">
        <v>-1885.8</v>
      </c>
      <c r="I569" s="11" t="b">
        <f>AND(Jnl[[#This Row],[TrxId]]&lt;&gt;"",Jnl[[#This Row],[Acct]]&lt;&gt;"",Jnl[[#This Row],[Item]]&lt;&gt;"",ISNUMBER(Jnl[[#This Row],[Bal]]))</f>
        <v>1</v>
      </c>
      <c r="J569" s="9">
        <f>IF(Jnl[[#This Row],[BSLv0]]="A",1,-1)*Jnl[[#This Row],[Bal]]</f>
        <v>-1885.8</v>
      </c>
      <c r="K569" t="str">
        <f>_xlfn.XLOOKUP(Jnl[[#This Row],[Acct]], config_BS[Acct], config_BS[Lv0],,0)</f>
        <v>A</v>
      </c>
      <c r="L569" t="str">
        <f>_xlfn.XLOOKUP(Jnl[[#This Row],[Acct]], config_BS[Acct], config_BS[Lv1],,0)</f>
        <v>Assets</v>
      </c>
      <c r="M569" t="str">
        <f>_xlfn.XLOOKUP(Jnl[[#This Row],[Acct]], config_BS[Acct], config_BS[Lv2],,0)</f>
        <v>Cash alike</v>
      </c>
      <c r="N569" t="str">
        <f>_xlfn.XLOOKUP(Jnl[[#This Row],[TrxId]], Trx[Id], Trx[IncNode], ,0)</f>
        <v>Expense</v>
      </c>
      <c r="O569" t="str">
        <f>_xlfn.XLOOKUP(Jnl[[#This Row],[IncNode]], config_IS[Node], config_IS[Type],,0)</f>
        <v>Op</v>
      </c>
      <c r="P569" t="str">
        <f>_xlfn.XLOOKUP(Jnl[[#This Row],[BSLv2]], dict[Key], dict[Name],,0)</f>
        <v>0.现金及类似</v>
      </c>
      <c r="Q569" t="str">
        <f>_xlfn.XLOOKUP(Jnl[[#This Row],[Acct]], dict[Key], dict[Name],,0)</f>
        <v>银行</v>
      </c>
      <c r="R569" t="str">
        <f>_xlfn.XLOOKUP(Jnl[[#This Row],[Vehicle]],config_vehicle[Id], config_vehicle[Name],,0)</f>
        <v>远家花园</v>
      </c>
      <c r="S569" t="str">
        <f>_xlfn.XLOOKUP(Jnl[[#This Row],[Division]],config_div[Id], config_div[Name],,0)</f>
        <v>综合管理</v>
      </c>
      <c r="T569" t="str">
        <f>IF(Jnl[[#This Row],[TrxDate]]&lt;=stmt_BS_date_end, "In", "Out")</f>
        <v>In</v>
      </c>
      <c r="U569" t="str">
        <f>IF(Jnl[[#This Row],[TrxDate]]&lt;debug_date_start, "prior", IF(Jnl[[#This Row],[TrxDate]]&gt;debug_date_end, "post", "curr"))</f>
        <v>curr</v>
      </c>
    </row>
    <row r="570" spans="1:21" hidden="1">
      <c r="A570" s="39" t="s">
        <v>756</v>
      </c>
      <c r="B570" s="6">
        <f>_xlfn.XLOOKUP(Jnl[[#This Row],[TrxId]], Trx[Id], Trx[Date],,0)</f>
        <v>46053</v>
      </c>
      <c r="C570" s="6" t="str">
        <f>_xlfn.XLOOKUP(Jnl[[#This Row],[TrxId]], Trx[Id], Trx[Division],,0)</f>
        <v>Online</v>
      </c>
      <c r="D570" s="6" t="str">
        <f>_xlfn.XLOOKUP(Jnl[[#This Row],[TrxId]], Trx[Id], Trx[Action],,0)</f>
        <v>采购</v>
      </c>
      <c r="E570" s="27" t="s">
        <v>82</v>
      </c>
      <c r="F570" s="10" t="s">
        <v>596</v>
      </c>
      <c r="G570" s="10" t="s">
        <v>396</v>
      </c>
      <c r="H570" s="37">
        <v>-373634.5</v>
      </c>
      <c r="I570" s="11" t="b">
        <f>AND(Jnl[[#This Row],[TrxId]]&lt;&gt;"",Jnl[[#This Row],[Acct]]&lt;&gt;"",Jnl[[#This Row],[Item]]&lt;&gt;"",ISNUMBER(Jnl[[#This Row],[Bal]]))</f>
        <v>1</v>
      </c>
      <c r="J570" s="9">
        <f>IF(Jnl[[#This Row],[BSLv0]]="A",1,-1)*Jnl[[#This Row],[Bal]]</f>
        <v>-373634.5</v>
      </c>
      <c r="K570" t="str">
        <f>_xlfn.XLOOKUP(Jnl[[#This Row],[Acct]], config_BS[Acct], config_BS[Lv0],,0)</f>
        <v>A</v>
      </c>
      <c r="L570" t="str">
        <f>_xlfn.XLOOKUP(Jnl[[#This Row],[Acct]], config_BS[Acct], config_BS[Lv1],,0)</f>
        <v>Assets</v>
      </c>
      <c r="M570" t="str">
        <f>_xlfn.XLOOKUP(Jnl[[#This Row],[Acct]], config_BS[Acct], config_BS[Lv2],,0)</f>
        <v>Cash alike</v>
      </c>
      <c r="N570" t="str">
        <f>_xlfn.XLOOKUP(Jnl[[#This Row],[TrxId]], Trx[Id], Trx[IncNode], ,0)</f>
        <v>Cost</v>
      </c>
      <c r="O570" t="str">
        <f>_xlfn.XLOOKUP(Jnl[[#This Row],[IncNode]], config_IS[Node], config_IS[Type],,0)</f>
        <v>Op</v>
      </c>
      <c r="P570" t="str">
        <f>_xlfn.XLOOKUP(Jnl[[#This Row],[BSLv2]], dict[Key], dict[Name],,0)</f>
        <v>0.现金及类似</v>
      </c>
      <c r="Q570" t="str">
        <f>_xlfn.XLOOKUP(Jnl[[#This Row],[Acct]], dict[Key], dict[Name],,0)</f>
        <v>银行</v>
      </c>
      <c r="R570" t="str">
        <f>_xlfn.XLOOKUP(Jnl[[#This Row],[Vehicle]],config_vehicle[Id], config_vehicle[Name],,0)</f>
        <v>远家花园</v>
      </c>
      <c r="S570" t="str">
        <f>_xlfn.XLOOKUP(Jnl[[#This Row],[Division]],config_div[Id], config_div[Name],,0)</f>
        <v>网店</v>
      </c>
      <c r="T570" t="str">
        <f>IF(Jnl[[#This Row],[TrxDate]]&lt;=stmt_BS_date_end, "In", "Out")</f>
        <v>In</v>
      </c>
      <c r="U570" t="str">
        <f>IF(Jnl[[#This Row],[TrxDate]]&lt;debug_date_start, "prior", IF(Jnl[[#This Row],[TrxDate]]&gt;debug_date_end, "post", "curr"))</f>
        <v>curr</v>
      </c>
    </row>
    <row r="571" spans="1:21" hidden="1">
      <c r="A571" s="39" t="s">
        <v>756</v>
      </c>
      <c r="B571" s="6">
        <f>_xlfn.XLOOKUP(Jnl[[#This Row],[TrxId]], Trx[Id], Trx[Date],,0)</f>
        <v>46053</v>
      </c>
      <c r="C571" s="6" t="str">
        <f>_xlfn.XLOOKUP(Jnl[[#This Row],[TrxId]], Trx[Id], Trx[Division],,0)</f>
        <v>Online</v>
      </c>
      <c r="D571" s="6" t="str">
        <f>_xlfn.XLOOKUP(Jnl[[#This Row],[TrxId]], Trx[Id], Trx[Action],,0)</f>
        <v>采购</v>
      </c>
      <c r="E571" s="27" t="s">
        <v>82</v>
      </c>
      <c r="F571" s="10" t="s">
        <v>604</v>
      </c>
      <c r="G571" s="10" t="s">
        <v>154</v>
      </c>
      <c r="H571" s="37">
        <f>-H570</f>
        <v>373634.5</v>
      </c>
      <c r="I571" s="11" t="b">
        <f>AND(Jnl[[#This Row],[TrxId]]&lt;&gt;"",Jnl[[#This Row],[Acct]]&lt;&gt;"",Jnl[[#This Row],[Item]]&lt;&gt;"",ISNUMBER(Jnl[[#This Row],[Bal]]))</f>
        <v>1</v>
      </c>
      <c r="J571" s="9">
        <f>IF(Jnl[[#This Row],[BSLv0]]="A",1,-1)*Jnl[[#This Row],[Bal]]</f>
        <v>373634.5</v>
      </c>
      <c r="K571" t="str">
        <f>_xlfn.XLOOKUP(Jnl[[#This Row],[Acct]], config_BS[Acct], config_BS[Lv0],,0)</f>
        <v>A</v>
      </c>
      <c r="L571" t="str">
        <f>_xlfn.XLOOKUP(Jnl[[#This Row],[Acct]], config_BS[Acct], config_BS[Lv1],,0)</f>
        <v>Assets</v>
      </c>
      <c r="M571" t="str">
        <f>_xlfn.XLOOKUP(Jnl[[#This Row],[Acct]], config_BS[Acct], config_BS[Lv2],,0)</f>
        <v>Invtr</v>
      </c>
      <c r="N571" t="str">
        <f>_xlfn.XLOOKUP(Jnl[[#This Row],[TrxId]], Trx[Id], Trx[IncNode], ,0)</f>
        <v>Cost</v>
      </c>
      <c r="O571" t="str">
        <f>_xlfn.XLOOKUP(Jnl[[#This Row],[IncNode]], config_IS[Node], config_IS[Type],,0)</f>
        <v>Op</v>
      </c>
      <c r="P571" t="str">
        <f>_xlfn.XLOOKUP(Jnl[[#This Row],[BSLv2]], dict[Key], dict[Name],,0)</f>
        <v>3.库存占款</v>
      </c>
      <c r="Q571" t="str">
        <f>_xlfn.XLOOKUP(Jnl[[#This Row],[Acct]], dict[Key], dict[Name],,0)</f>
        <v>当期存货</v>
      </c>
      <c r="R571" t="str">
        <f>_xlfn.XLOOKUP(Jnl[[#This Row],[Vehicle]],config_vehicle[Id], config_vehicle[Name],,0)</f>
        <v>远家花园</v>
      </c>
      <c r="S571" t="str">
        <f>_xlfn.XLOOKUP(Jnl[[#This Row],[Division]],config_div[Id], config_div[Name],,0)</f>
        <v>网店</v>
      </c>
      <c r="T571" t="str">
        <f>IF(Jnl[[#This Row],[TrxDate]]&lt;=stmt_BS_date_end, "In", "Out")</f>
        <v>In</v>
      </c>
      <c r="U571" t="str">
        <f>IF(Jnl[[#This Row],[TrxDate]]&lt;debug_date_start, "prior", IF(Jnl[[#This Row],[TrxDate]]&gt;debug_date_end, "post", "curr"))</f>
        <v>curr</v>
      </c>
    </row>
    <row r="572" spans="1:21" hidden="1">
      <c r="A572" s="39" t="s">
        <v>757</v>
      </c>
      <c r="B572" s="6">
        <f>_xlfn.XLOOKUP(Jnl[[#This Row],[TrxId]], Trx[Id], Trx[Date],,0)</f>
        <v>46053</v>
      </c>
      <c r="C572" s="6" t="str">
        <f>_xlfn.XLOOKUP(Jnl[[#This Row],[TrxId]], Trx[Id], Trx[Division],,0)</f>
        <v>Online</v>
      </c>
      <c r="D572" s="6" t="str">
        <f>_xlfn.XLOOKUP(Jnl[[#This Row],[TrxId]], Trx[Id], Trx[Action],,0)</f>
        <v>设计</v>
      </c>
      <c r="E572" s="27" t="s">
        <v>82</v>
      </c>
      <c r="F572" s="10" t="s">
        <v>596</v>
      </c>
      <c r="G572" s="10" t="s">
        <v>396</v>
      </c>
      <c r="H572" s="37">
        <v>-259</v>
      </c>
      <c r="I572" s="11" t="b">
        <f>AND(Jnl[[#This Row],[TrxId]]&lt;&gt;"",Jnl[[#This Row],[Acct]]&lt;&gt;"",Jnl[[#This Row],[Item]]&lt;&gt;"",ISNUMBER(Jnl[[#This Row],[Bal]]))</f>
        <v>1</v>
      </c>
      <c r="J572" s="9">
        <f>IF(Jnl[[#This Row],[BSLv0]]="A",1,-1)*Jnl[[#This Row],[Bal]]</f>
        <v>-259</v>
      </c>
      <c r="K572" t="str">
        <f>_xlfn.XLOOKUP(Jnl[[#This Row],[Acct]], config_BS[Acct], config_BS[Lv0],,0)</f>
        <v>A</v>
      </c>
      <c r="L572" t="str">
        <f>_xlfn.XLOOKUP(Jnl[[#This Row],[Acct]], config_BS[Acct], config_BS[Lv1],,0)</f>
        <v>Assets</v>
      </c>
      <c r="M572" t="str">
        <f>_xlfn.XLOOKUP(Jnl[[#This Row],[Acct]], config_BS[Acct], config_BS[Lv2],,0)</f>
        <v>Cash alike</v>
      </c>
      <c r="N572" t="str">
        <f>_xlfn.XLOOKUP(Jnl[[#This Row],[TrxId]], Trx[Id], Trx[IncNode], ,0)</f>
        <v>Expense</v>
      </c>
      <c r="O572" t="str">
        <f>_xlfn.XLOOKUP(Jnl[[#This Row],[IncNode]], config_IS[Node], config_IS[Type],,0)</f>
        <v>Op</v>
      </c>
      <c r="P572" t="str">
        <f>_xlfn.XLOOKUP(Jnl[[#This Row],[BSLv2]], dict[Key], dict[Name],,0)</f>
        <v>0.现金及类似</v>
      </c>
      <c r="Q572" t="str">
        <f>_xlfn.XLOOKUP(Jnl[[#This Row],[Acct]], dict[Key], dict[Name],,0)</f>
        <v>银行</v>
      </c>
      <c r="R572" t="str">
        <f>_xlfn.XLOOKUP(Jnl[[#This Row],[Vehicle]],config_vehicle[Id], config_vehicle[Name],,0)</f>
        <v>远家花园</v>
      </c>
      <c r="S572" t="str">
        <f>_xlfn.XLOOKUP(Jnl[[#This Row],[Division]],config_div[Id], config_div[Name],,0)</f>
        <v>网店</v>
      </c>
      <c r="T572" t="str">
        <f>IF(Jnl[[#This Row],[TrxDate]]&lt;=stmt_BS_date_end, "In", "Out")</f>
        <v>In</v>
      </c>
      <c r="U572" t="str">
        <f>IF(Jnl[[#This Row],[TrxDate]]&lt;debug_date_start, "prior", IF(Jnl[[#This Row],[TrxDate]]&gt;debug_date_end, "post", "curr"))</f>
        <v>curr</v>
      </c>
    </row>
    <row r="573" spans="1:21" hidden="1">
      <c r="A573" s="39" t="s">
        <v>758</v>
      </c>
      <c r="B573" s="6">
        <f>_xlfn.XLOOKUP(Jnl[[#This Row],[TrxId]], Trx[Id], Trx[Date],,0)</f>
        <v>46053</v>
      </c>
      <c r="C573" s="6" t="str">
        <f>_xlfn.XLOOKUP(Jnl[[#This Row],[TrxId]], Trx[Id], Trx[Division],,0)</f>
        <v>Ctrl</v>
      </c>
      <c r="D573" s="6" t="str">
        <f>_xlfn.XLOOKUP(Jnl[[#This Row],[TrxId]], Trx[Id], Trx[Action],,0)</f>
        <v>代付款</v>
      </c>
      <c r="E573" s="27" t="s">
        <v>95</v>
      </c>
      <c r="F573" s="10" t="s">
        <v>134</v>
      </c>
      <c r="G573" s="10" t="s">
        <v>409</v>
      </c>
      <c r="H573" s="37">
        <v>-12680</v>
      </c>
      <c r="I573" s="11" t="b">
        <f>AND(Jnl[[#This Row],[TrxId]]&lt;&gt;"",Jnl[[#This Row],[Acct]]&lt;&gt;"",Jnl[[#This Row],[Item]]&lt;&gt;"",ISNUMBER(Jnl[[#This Row],[Bal]]))</f>
        <v>1</v>
      </c>
      <c r="J573" s="9">
        <f>IF(Jnl[[#This Row],[BSLv0]]="A",1,-1)*Jnl[[#This Row],[Bal]]</f>
        <v>12680</v>
      </c>
      <c r="K573" t="str">
        <f>_xlfn.XLOOKUP(Jnl[[#This Row],[Acct]], config_BS[Acct], config_BS[Lv0],,0)</f>
        <v>LC</v>
      </c>
      <c r="L573" t="str">
        <f>_xlfn.XLOOKUP(Jnl[[#This Row],[Acct]], config_BS[Acct], config_BS[Lv1],,0)</f>
        <v>Liability</v>
      </c>
      <c r="M573" t="str">
        <f>_xlfn.XLOOKUP(Jnl[[#This Row],[Acct]], config_BS[Acct], config_BS[Lv2],,0)</f>
        <v>Rec-Pay</v>
      </c>
      <c r="N573" t="str">
        <f>_xlfn.XLOOKUP(Jnl[[#This Row],[TrxId]], Trx[Id], Trx[IncNode], ,0)</f>
        <v>Other</v>
      </c>
      <c r="O573" t="str">
        <f>_xlfn.XLOOKUP(Jnl[[#This Row],[IncNode]], config_IS[Node], config_IS[Type],,0)</f>
        <v>Non-Op</v>
      </c>
      <c r="P573" t="str">
        <f>_xlfn.XLOOKUP(Jnl[[#This Row],[BSLv2]], dict[Key], dict[Name],,0)</f>
        <v>1.应收-应付</v>
      </c>
      <c r="Q573" t="str">
        <f>_xlfn.XLOOKUP(Jnl[[#This Row],[Acct]], dict[Key], dict[Name],,0)</f>
        <v>应付-其他</v>
      </c>
      <c r="R573" t="str">
        <f>_xlfn.XLOOKUP(Jnl[[#This Row],[Vehicle]],config_vehicle[Id], config_vehicle[Name],,0)</f>
        <v>创业园-琦</v>
      </c>
      <c r="S573" t="str">
        <f>_xlfn.XLOOKUP(Jnl[[#This Row],[Division]],config_div[Id], config_div[Name],,0)</f>
        <v>内控合规</v>
      </c>
      <c r="T573" t="str">
        <f>IF(Jnl[[#This Row],[TrxDate]]&lt;=stmt_BS_date_end, "In", "Out")</f>
        <v>In</v>
      </c>
      <c r="U573" t="str">
        <f>IF(Jnl[[#This Row],[TrxDate]]&lt;debug_date_start, "prior", IF(Jnl[[#This Row],[TrxDate]]&gt;debug_date_end, "post", "curr"))</f>
        <v>curr</v>
      </c>
    </row>
    <row r="574" spans="1:21" hidden="1">
      <c r="A574" s="39" t="s">
        <v>758</v>
      </c>
      <c r="B574" s="6">
        <f>_xlfn.XLOOKUP(Jnl[[#This Row],[TrxId]], Trx[Id], Trx[Date],,0)</f>
        <v>46053</v>
      </c>
      <c r="C574" s="6" t="str">
        <f>_xlfn.XLOOKUP(Jnl[[#This Row],[TrxId]], Trx[Id], Trx[Division],,0)</f>
        <v>Ctrl</v>
      </c>
      <c r="D574" s="6" t="str">
        <f>_xlfn.XLOOKUP(Jnl[[#This Row],[TrxId]], Trx[Id], Trx[Action],,0)</f>
        <v>代付款</v>
      </c>
      <c r="E574" s="27" t="s">
        <v>82</v>
      </c>
      <c r="F574" s="10" t="s">
        <v>596</v>
      </c>
      <c r="G574" s="10" t="s">
        <v>396</v>
      </c>
      <c r="H574" s="37">
        <v>-12680</v>
      </c>
      <c r="I574" s="11" t="b">
        <f>AND(Jnl[[#This Row],[TrxId]]&lt;&gt;"",Jnl[[#This Row],[Acct]]&lt;&gt;"",Jnl[[#This Row],[Item]]&lt;&gt;"",ISNUMBER(Jnl[[#This Row],[Bal]]))</f>
        <v>1</v>
      </c>
      <c r="J574" s="9">
        <f>IF(Jnl[[#This Row],[BSLv0]]="A",1,-1)*Jnl[[#This Row],[Bal]]</f>
        <v>-12680</v>
      </c>
      <c r="K574" t="str">
        <f>_xlfn.XLOOKUP(Jnl[[#This Row],[Acct]], config_BS[Acct], config_BS[Lv0],,0)</f>
        <v>A</v>
      </c>
      <c r="L574" t="str">
        <f>_xlfn.XLOOKUP(Jnl[[#This Row],[Acct]], config_BS[Acct], config_BS[Lv1],,0)</f>
        <v>Assets</v>
      </c>
      <c r="M574" t="str">
        <f>_xlfn.XLOOKUP(Jnl[[#This Row],[Acct]], config_BS[Acct], config_BS[Lv2],,0)</f>
        <v>Cash alike</v>
      </c>
      <c r="N574" t="str">
        <f>_xlfn.XLOOKUP(Jnl[[#This Row],[TrxId]], Trx[Id], Trx[IncNode], ,0)</f>
        <v>Other</v>
      </c>
      <c r="O574" t="str">
        <f>_xlfn.XLOOKUP(Jnl[[#This Row],[IncNode]], config_IS[Node], config_IS[Type],,0)</f>
        <v>Non-Op</v>
      </c>
      <c r="P574" t="str">
        <f>_xlfn.XLOOKUP(Jnl[[#This Row],[BSLv2]], dict[Key], dict[Name],,0)</f>
        <v>0.现金及类似</v>
      </c>
      <c r="Q574" t="str">
        <f>_xlfn.XLOOKUP(Jnl[[#This Row],[Acct]], dict[Key], dict[Name],,0)</f>
        <v>银行</v>
      </c>
      <c r="R574" t="str">
        <f>_xlfn.XLOOKUP(Jnl[[#This Row],[Vehicle]],config_vehicle[Id], config_vehicle[Name],,0)</f>
        <v>远家花园</v>
      </c>
      <c r="S574" t="str">
        <f>_xlfn.XLOOKUP(Jnl[[#This Row],[Division]],config_div[Id], config_div[Name],,0)</f>
        <v>内控合规</v>
      </c>
      <c r="T574" t="str">
        <f>IF(Jnl[[#This Row],[TrxDate]]&lt;=stmt_BS_date_end, "In", "Out")</f>
        <v>In</v>
      </c>
      <c r="U574" t="str">
        <f>IF(Jnl[[#This Row],[TrxDate]]&lt;debug_date_start, "prior", IF(Jnl[[#This Row],[TrxDate]]&gt;debug_date_end, "post", "curr"))</f>
        <v>curr</v>
      </c>
    </row>
    <row r="575" spans="1:21" hidden="1">
      <c r="A575" s="39" t="s">
        <v>759</v>
      </c>
      <c r="B575" s="6">
        <f>_xlfn.XLOOKUP(Jnl[[#This Row],[TrxId]], Trx[Id], Trx[Date],,0)</f>
        <v>46053</v>
      </c>
      <c r="C575" s="6" t="str">
        <f>_xlfn.XLOOKUP(Jnl[[#This Row],[TrxId]], Trx[Id], Trx[Division],,0)</f>
        <v>GM</v>
      </c>
      <c r="D575" s="6" t="str">
        <f>_xlfn.XLOOKUP(Jnl[[#This Row],[TrxId]], Trx[Id], Trx[Action],,0)</f>
        <v>招待</v>
      </c>
      <c r="E575" s="27" t="s">
        <v>82</v>
      </c>
      <c r="F575" s="10" t="s">
        <v>596</v>
      </c>
      <c r="G575" s="10" t="s">
        <v>396</v>
      </c>
      <c r="H575" s="37">
        <v>-88.17</v>
      </c>
      <c r="I575" s="11" t="b">
        <f>AND(Jnl[[#This Row],[TrxId]]&lt;&gt;"",Jnl[[#This Row],[Acct]]&lt;&gt;"",Jnl[[#This Row],[Item]]&lt;&gt;"",ISNUMBER(Jnl[[#This Row],[Bal]]))</f>
        <v>1</v>
      </c>
      <c r="J575" s="9">
        <f>IF(Jnl[[#This Row],[BSLv0]]="A",1,-1)*Jnl[[#This Row],[Bal]]</f>
        <v>-88.17</v>
      </c>
      <c r="K575" t="str">
        <f>_xlfn.XLOOKUP(Jnl[[#This Row],[Acct]], config_BS[Acct], config_BS[Lv0],,0)</f>
        <v>A</v>
      </c>
      <c r="L575" t="str">
        <f>_xlfn.XLOOKUP(Jnl[[#This Row],[Acct]], config_BS[Acct], config_BS[Lv1],,0)</f>
        <v>Assets</v>
      </c>
      <c r="M575" t="str">
        <f>_xlfn.XLOOKUP(Jnl[[#This Row],[Acct]], config_BS[Acct], config_BS[Lv2],,0)</f>
        <v>Cash alike</v>
      </c>
      <c r="N575" t="str">
        <f>_xlfn.XLOOKUP(Jnl[[#This Row],[TrxId]], Trx[Id], Trx[IncNode], ,0)</f>
        <v>Expense</v>
      </c>
      <c r="O575" t="str">
        <f>_xlfn.XLOOKUP(Jnl[[#This Row],[IncNode]], config_IS[Node], config_IS[Type],,0)</f>
        <v>Op</v>
      </c>
      <c r="P575" t="str">
        <f>_xlfn.XLOOKUP(Jnl[[#This Row],[BSLv2]], dict[Key], dict[Name],,0)</f>
        <v>0.现金及类似</v>
      </c>
      <c r="Q575" t="str">
        <f>_xlfn.XLOOKUP(Jnl[[#This Row],[Acct]], dict[Key], dict[Name],,0)</f>
        <v>银行</v>
      </c>
      <c r="R575" t="str">
        <f>_xlfn.XLOOKUP(Jnl[[#This Row],[Vehicle]],config_vehicle[Id], config_vehicle[Name],,0)</f>
        <v>远家花园</v>
      </c>
      <c r="S575" t="str">
        <f>_xlfn.XLOOKUP(Jnl[[#This Row],[Division]],config_div[Id], config_div[Name],,0)</f>
        <v>综合管理</v>
      </c>
      <c r="T575" t="str">
        <f>IF(Jnl[[#This Row],[TrxDate]]&lt;=stmt_BS_date_end, "In", "Out")</f>
        <v>In</v>
      </c>
      <c r="U575" t="str">
        <f>IF(Jnl[[#This Row],[TrxDate]]&lt;debug_date_start, "prior", IF(Jnl[[#This Row],[TrxDate]]&gt;debug_date_end, "post", "curr"))</f>
        <v>curr</v>
      </c>
    </row>
    <row r="576" spans="1:21" hidden="1">
      <c r="A576" s="39" t="s">
        <v>760</v>
      </c>
      <c r="B576" s="6">
        <f>_xlfn.XLOOKUP(Jnl[[#This Row],[TrxId]], Trx[Id], Trx[Date],,0)</f>
        <v>46053</v>
      </c>
      <c r="C576" s="6" t="str">
        <f>_xlfn.XLOOKUP(Jnl[[#This Row],[TrxId]], Trx[Id], Trx[Division],,0)</f>
        <v>Online</v>
      </c>
      <c r="D576" s="6" t="str">
        <f>_xlfn.XLOOKUP(Jnl[[#This Row],[TrxId]], Trx[Id], Trx[Action],,0)</f>
        <v>退款-供应商</v>
      </c>
      <c r="E576" s="27" t="s">
        <v>82</v>
      </c>
      <c r="F576" s="10" t="s">
        <v>604</v>
      </c>
      <c r="G576" s="10" t="s">
        <v>154</v>
      </c>
      <c r="H576" s="37">
        <v>-16875</v>
      </c>
      <c r="I576" s="11" t="b">
        <f>AND(Jnl[[#This Row],[TrxId]]&lt;&gt;"",Jnl[[#This Row],[Acct]]&lt;&gt;"",Jnl[[#This Row],[Item]]&lt;&gt;"",ISNUMBER(Jnl[[#This Row],[Bal]]))</f>
        <v>1</v>
      </c>
      <c r="J576" s="9">
        <f>IF(Jnl[[#This Row],[BSLv0]]="A",1,-1)*Jnl[[#This Row],[Bal]]</f>
        <v>-16875</v>
      </c>
      <c r="K576" t="str">
        <f>_xlfn.XLOOKUP(Jnl[[#This Row],[Acct]], config_BS[Acct], config_BS[Lv0],,0)</f>
        <v>A</v>
      </c>
      <c r="L576" t="str">
        <f>_xlfn.XLOOKUP(Jnl[[#This Row],[Acct]], config_BS[Acct], config_BS[Lv1],,0)</f>
        <v>Assets</v>
      </c>
      <c r="M576" t="str">
        <f>_xlfn.XLOOKUP(Jnl[[#This Row],[Acct]], config_BS[Acct], config_BS[Lv2],,0)</f>
        <v>Invtr</v>
      </c>
      <c r="N576" t="str">
        <f>_xlfn.XLOOKUP(Jnl[[#This Row],[TrxId]], Trx[Id], Trx[IncNode], ,0)</f>
        <v>Cost</v>
      </c>
      <c r="O576" t="str">
        <f>_xlfn.XLOOKUP(Jnl[[#This Row],[IncNode]], config_IS[Node], config_IS[Type],,0)</f>
        <v>Op</v>
      </c>
      <c r="P576" t="str">
        <f>_xlfn.XLOOKUP(Jnl[[#This Row],[BSLv2]], dict[Key], dict[Name],,0)</f>
        <v>3.库存占款</v>
      </c>
      <c r="Q576" t="str">
        <f>_xlfn.XLOOKUP(Jnl[[#This Row],[Acct]], dict[Key], dict[Name],,0)</f>
        <v>当期存货</v>
      </c>
      <c r="R576" t="str">
        <f>_xlfn.XLOOKUP(Jnl[[#This Row],[Vehicle]],config_vehicle[Id], config_vehicle[Name],,0)</f>
        <v>远家花园</v>
      </c>
      <c r="S576" t="str">
        <f>_xlfn.XLOOKUP(Jnl[[#This Row],[Division]],config_div[Id], config_div[Name],,0)</f>
        <v>网店</v>
      </c>
      <c r="T576" t="str">
        <f>IF(Jnl[[#This Row],[TrxDate]]&lt;=stmt_BS_date_end, "In", "Out")</f>
        <v>In</v>
      </c>
      <c r="U576" t="str">
        <f>IF(Jnl[[#This Row],[TrxDate]]&lt;debug_date_start, "prior", IF(Jnl[[#This Row],[TrxDate]]&gt;debug_date_end, "post", "curr"))</f>
        <v>curr</v>
      </c>
    </row>
    <row r="577" spans="1:21" hidden="1">
      <c r="A577" s="39" t="s">
        <v>760</v>
      </c>
      <c r="B577" s="6">
        <f>_xlfn.XLOOKUP(Jnl[[#This Row],[TrxId]], Trx[Id], Trx[Date],,0)</f>
        <v>46053</v>
      </c>
      <c r="C577" s="6" t="str">
        <f>_xlfn.XLOOKUP(Jnl[[#This Row],[TrxId]], Trx[Id], Trx[Division],,0)</f>
        <v>Online</v>
      </c>
      <c r="D577" s="6" t="str">
        <f>_xlfn.XLOOKUP(Jnl[[#This Row],[TrxId]], Trx[Id], Trx[Action],,0)</f>
        <v>退款-供应商</v>
      </c>
      <c r="E577" s="27" t="s">
        <v>82</v>
      </c>
      <c r="F577" s="10" t="s">
        <v>596</v>
      </c>
      <c r="G577" s="10" t="s">
        <v>396</v>
      </c>
      <c r="H577" s="37">
        <v>16875</v>
      </c>
      <c r="I577" s="11" t="b">
        <f>AND(Jnl[[#This Row],[TrxId]]&lt;&gt;"",Jnl[[#This Row],[Acct]]&lt;&gt;"",Jnl[[#This Row],[Item]]&lt;&gt;"",ISNUMBER(Jnl[[#This Row],[Bal]]))</f>
        <v>1</v>
      </c>
      <c r="J577" s="9">
        <f>IF(Jnl[[#This Row],[BSLv0]]="A",1,-1)*Jnl[[#This Row],[Bal]]</f>
        <v>16875</v>
      </c>
      <c r="K577" t="str">
        <f>_xlfn.XLOOKUP(Jnl[[#This Row],[Acct]], config_BS[Acct], config_BS[Lv0],,0)</f>
        <v>A</v>
      </c>
      <c r="L577" t="str">
        <f>_xlfn.XLOOKUP(Jnl[[#This Row],[Acct]], config_BS[Acct], config_BS[Lv1],,0)</f>
        <v>Assets</v>
      </c>
      <c r="M577" t="str">
        <f>_xlfn.XLOOKUP(Jnl[[#This Row],[Acct]], config_BS[Acct], config_BS[Lv2],,0)</f>
        <v>Cash alike</v>
      </c>
      <c r="N577" t="str">
        <f>_xlfn.XLOOKUP(Jnl[[#This Row],[TrxId]], Trx[Id], Trx[IncNode], ,0)</f>
        <v>Cost</v>
      </c>
      <c r="O577" t="str">
        <f>_xlfn.XLOOKUP(Jnl[[#This Row],[IncNode]], config_IS[Node], config_IS[Type],,0)</f>
        <v>Op</v>
      </c>
      <c r="P577" t="str">
        <f>_xlfn.XLOOKUP(Jnl[[#This Row],[BSLv2]], dict[Key], dict[Name],,0)</f>
        <v>0.现金及类似</v>
      </c>
      <c r="Q577" t="str">
        <f>_xlfn.XLOOKUP(Jnl[[#This Row],[Acct]], dict[Key], dict[Name],,0)</f>
        <v>银行</v>
      </c>
      <c r="R577" t="str">
        <f>_xlfn.XLOOKUP(Jnl[[#This Row],[Vehicle]],config_vehicle[Id], config_vehicle[Name],,0)</f>
        <v>远家花园</v>
      </c>
      <c r="S577" t="str">
        <f>_xlfn.XLOOKUP(Jnl[[#This Row],[Division]],config_div[Id], config_div[Name],,0)</f>
        <v>网店</v>
      </c>
      <c r="T577" t="str">
        <f>IF(Jnl[[#This Row],[TrxDate]]&lt;=stmt_BS_date_end, "In", "Out")</f>
        <v>In</v>
      </c>
      <c r="U577" t="str">
        <f>IF(Jnl[[#This Row],[TrxDate]]&lt;debug_date_start, "prior", IF(Jnl[[#This Row],[TrxDate]]&gt;debug_date_end, "post", "curr"))</f>
        <v>curr</v>
      </c>
    </row>
    <row r="578" spans="1:21" hidden="1">
      <c r="A578" s="39" t="s">
        <v>761</v>
      </c>
      <c r="B578" s="6">
        <f>_xlfn.XLOOKUP(Jnl[[#This Row],[TrxId]], Trx[Id], Trx[Date],,0)</f>
        <v>46053</v>
      </c>
      <c r="C578" s="6" t="str">
        <f>_xlfn.XLOOKUP(Jnl[[#This Row],[TrxId]], Trx[Id], Trx[Division],,0)</f>
        <v>Online</v>
      </c>
      <c r="D578" s="6" t="str">
        <f>_xlfn.XLOOKUP(Jnl[[#This Row],[TrxId]], Trx[Id], Trx[Action],,0)</f>
        <v>采购</v>
      </c>
      <c r="E578" s="27" t="s">
        <v>82</v>
      </c>
      <c r="F578" s="10" t="s">
        <v>604</v>
      </c>
      <c r="G578" s="10" t="s">
        <v>154</v>
      </c>
      <c r="H578" s="37">
        <v>3000</v>
      </c>
      <c r="I578" s="11" t="b">
        <f>AND(Jnl[[#This Row],[TrxId]]&lt;&gt;"",Jnl[[#This Row],[Acct]]&lt;&gt;"",Jnl[[#This Row],[Item]]&lt;&gt;"",ISNUMBER(Jnl[[#This Row],[Bal]]))</f>
        <v>1</v>
      </c>
      <c r="J578" s="9">
        <f>IF(Jnl[[#This Row],[BSLv0]]="A",1,-1)*Jnl[[#This Row],[Bal]]</f>
        <v>3000</v>
      </c>
      <c r="K578" t="str">
        <f>_xlfn.XLOOKUP(Jnl[[#This Row],[Acct]], config_BS[Acct], config_BS[Lv0],,0)</f>
        <v>A</v>
      </c>
      <c r="L578" t="str">
        <f>_xlfn.XLOOKUP(Jnl[[#This Row],[Acct]], config_BS[Acct], config_BS[Lv1],,0)</f>
        <v>Assets</v>
      </c>
      <c r="M578" t="str">
        <f>_xlfn.XLOOKUP(Jnl[[#This Row],[Acct]], config_BS[Acct], config_BS[Lv2],,0)</f>
        <v>Invtr</v>
      </c>
      <c r="N578" t="str">
        <f>_xlfn.XLOOKUP(Jnl[[#This Row],[TrxId]], Trx[Id], Trx[IncNode], ,0)</f>
        <v>Cost</v>
      </c>
      <c r="O578" t="str">
        <f>_xlfn.XLOOKUP(Jnl[[#This Row],[IncNode]], config_IS[Node], config_IS[Type],,0)</f>
        <v>Op</v>
      </c>
      <c r="P578" t="str">
        <f>_xlfn.XLOOKUP(Jnl[[#This Row],[BSLv2]], dict[Key], dict[Name],,0)</f>
        <v>3.库存占款</v>
      </c>
      <c r="Q578" t="str">
        <f>_xlfn.XLOOKUP(Jnl[[#This Row],[Acct]], dict[Key], dict[Name],,0)</f>
        <v>当期存货</v>
      </c>
      <c r="R578" t="str">
        <f>_xlfn.XLOOKUP(Jnl[[#This Row],[Vehicle]],config_vehicle[Id], config_vehicle[Name],,0)</f>
        <v>远家花园</v>
      </c>
      <c r="S578" t="str">
        <f>_xlfn.XLOOKUP(Jnl[[#This Row],[Division]],config_div[Id], config_div[Name],,0)</f>
        <v>网店</v>
      </c>
      <c r="T578" t="str">
        <f>IF(Jnl[[#This Row],[TrxDate]]&lt;=stmt_BS_date_end, "In", "Out")</f>
        <v>In</v>
      </c>
      <c r="U578" t="str">
        <f>IF(Jnl[[#This Row],[TrxDate]]&lt;debug_date_start, "prior", IF(Jnl[[#This Row],[TrxDate]]&gt;debug_date_end, "post", "curr"))</f>
        <v>curr</v>
      </c>
    </row>
    <row r="579" spans="1:21" hidden="1">
      <c r="A579" s="39" t="s">
        <v>761</v>
      </c>
      <c r="B579" s="6">
        <f>_xlfn.XLOOKUP(Jnl[[#This Row],[TrxId]], Trx[Id], Trx[Date],,0)</f>
        <v>46053</v>
      </c>
      <c r="C579" s="6" t="str">
        <f>_xlfn.XLOOKUP(Jnl[[#This Row],[TrxId]], Trx[Id], Trx[Division],,0)</f>
        <v>Online</v>
      </c>
      <c r="D579" s="6" t="str">
        <f>_xlfn.XLOOKUP(Jnl[[#This Row],[TrxId]], Trx[Id], Trx[Action],,0)</f>
        <v>采购</v>
      </c>
      <c r="E579" s="27" t="s">
        <v>82</v>
      </c>
      <c r="F579" s="10" t="s">
        <v>596</v>
      </c>
      <c r="G579" s="10" t="s">
        <v>396</v>
      </c>
      <c r="H579" s="37">
        <v>-3000</v>
      </c>
      <c r="I579" s="11" t="b">
        <f>AND(Jnl[[#This Row],[TrxId]]&lt;&gt;"",Jnl[[#This Row],[Acct]]&lt;&gt;"",Jnl[[#This Row],[Item]]&lt;&gt;"",ISNUMBER(Jnl[[#This Row],[Bal]]))</f>
        <v>1</v>
      </c>
      <c r="J579" s="9">
        <f>IF(Jnl[[#This Row],[BSLv0]]="A",1,-1)*Jnl[[#This Row],[Bal]]</f>
        <v>-3000</v>
      </c>
      <c r="K579" t="str">
        <f>_xlfn.XLOOKUP(Jnl[[#This Row],[Acct]], config_BS[Acct], config_BS[Lv0],,0)</f>
        <v>A</v>
      </c>
      <c r="L579" t="str">
        <f>_xlfn.XLOOKUP(Jnl[[#This Row],[Acct]], config_BS[Acct], config_BS[Lv1],,0)</f>
        <v>Assets</v>
      </c>
      <c r="M579" t="str">
        <f>_xlfn.XLOOKUP(Jnl[[#This Row],[Acct]], config_BS[Acct], config_BS[Lv2],,0)</f>
        <v>Cash alike</v>
      </c>
      <c r="N579" t="str">
        <f>_xlfn.XLOOKUP(Jnl[[#This Row],[TrxId]], Trx[Id], Trx[IncNode], ,0)</f>
        <v>Cost</v>
      </c>
      <c r="O579" t="str">
        <f>_xlfn.XLOOKUP(Jnl[[#This Row],[IncNode]], config_IS[Node], config_IS[Type],,0)</f>
        <v>Op</v>
      </c>
      <c r="P579" t="str">
        <f>_xlfn.XLOOKUP(Jnl[[#This Row],[BSLv2]], dict[Key], dict[Name],,0)</f>
        <v>0.现金及类似</v>
      </c>
      <c r="Q579" t="str">
        <f>_xlfn.XLOOKUP(Jnl[[#This Row],[Acct]], dict[Key], dict[Name],,0)</f>
        <v>银行</v>
      </c>
      <c r="R579" t="str">
        <f>_xlfn.XLOOKUP(Jnl[[#This Row],[Vehicle]],config_vehicle[Id], config_vehicle[Name],,0)</f>
        <v>远家花园</v>
      </c>
      <c r="S579" t="str">
        <f>_xlfn.XLOOKUP(Jnl[[#This Row],[Division]],config_div[Id], config_div[Name],,0)</f>
        <v>网店</v>
      </c>
      <c r="T579" t="str">
        <f>IF(Jnl[[#This Row],[TrxDate]]&lt;=stmt_BS_date_end, "In", "Out")</f>
        <v>In</v>
      </c>
      <c r="U579" t="str">
        <f>IF(Jnl[[#This Row],[TrxDate]]&lt;debug_date_start, "prior", IF(Jnl[[#This Row],[TrxDate]]&gt;debug_date_end, "post", "curr"))</f>
        <v>curr</v>
      </c>
    </row>
    <row r="580" spans="1:21" hidden="1">
      <c r="A580" s="39" t="s">
        <v>762</v>
      </c>
      <c r="B580" s="6">
        <f>_xlfn.XLOOKUP(Jnl[[#This Row],[TrxId]], Trx[Id], Trx[Date],,0)</f>
        <v>46053</v>
      </c>
      <c r="C580" s="6" t="str">
        <f>_xlfn.XLOOKUP(Jnl[[#This Row],[TrxId]], Trx[Id], Trx[Division],,0)</f>
        <v>Online</v>
      </c>
      <c r="D580" s="6" t="str">
        <f>_xlfn.XLOOKUP(Jnl[[#This Row],[TrxId]], Trx[Id], Trx[Action],,0)</f>
        <v>采购</v>
      </c>
      <c r="E580" s="27" t="s">
        <v>82</v>
      </c>
      <c r="F580" s="10" t="s">
        <v>604</v>
      </c>
      <c r="G580" s="10" t="s">
        <v>154</v>
      </c>
      <c r="H580" s="37">
        <v>8064</v>
      </c>
      <c r="I580" s="11" t="b">
        <f>AND(Jnl[[#This Row],[TrxId]]&lt;&gt;"",Jnl[[#This Row],[Acct]]&lt;&gt;"",Jnl[[#This Row],[Item]]&lt;&gt;"",ISNUMBER(Jnl[[#This Row],[Bal]]))</f>
        <v>1</v>
      </c>
      <c r="J580" s="9">
        <f>IF(Jnl[[#This Row],[BSLv0]]="A",1,-1)*Jnl[[#This Row],[Bal]]</f>
        <v>8064</v>
      </c>
      <c r="K580" t="str">
        <f>_xlfn.XLOOKUP(Jnl[[#This Row],[Acct]], config_BS[Acct], config_BS[Lv0],,0)</f>
        <v>A</v>
      </c>
      <c r="L580" t="str">
        <f>_xlfn.XLOOKUP(Jnl[[#This Row],[Acct]], config_BS[Acct], config_BS[Lv1],,0)</f>
        <v>Assets</v>
      </c>
      <c r="M580" t="str">
        <f>_xlfn.XLOOKUP(Jnl[[#This Row],[Acct]], config_BS[Acct], config_BS[Lv2],,0)</f>
        <v>Invtr</v>
      </c>
      <c r="N580" t="str">
        <f>_xlfn.XLOOKUP(Jnl[[#This Row],[TrxId]], Trx[Id], Trx[IncNode], ,0)</f>
        <v>Cost</v>
      </c>
      <c r="O580" t="str">
        <f>_xlfn.XLOOKUP(Jnl[[#This Row],[IncNode]], config_IS[Node], config_IS[Type],,0)</f>
        <v>Op</v>
      </c>
      <c r="P580" t="str">
        <f>_xlfn.XLOOKUP(Jnl[[#This Row],[BSLv2]], dict[Key], dict[Name],,0)</f>
        <v>3.库存占款</v>
      </c>
      <c r="Q580" t="str">
        <f>_xlfn.XLOOKUP(Jnl[[#This Row],[Acct]], dict[Key], dict[Name],,0)</f>
        <v>当期存货</v>
      </c>
      <c r="R580" t="str">
        <f>_xlfn.XLOOKUP(Jnl[[#This Row],[Vehicle]],config_vehicle[Id], config_vehicle[Name],,0)</f>
        <v>远家花园</v>
      </c>
      <c r="S580" t="str">
        <f>_xlfn.XLOOKUP(Jnl[[#This Row],[Division]],config_div[Id], config_div[Name],,0)</f>
        <v>网店</v>
      </c>
      <c r="T580" t="str">
        <f>IF(Jnl[[#This Row],[TrxDate]]&lt;=stmt_BS_date_end, "In", "Out")</f>
        <v>In</v>
      </c>
      <c r="U580" t="str">
        <f>IF(Jnl[[#This Row],[TrxDate]]&lt;debug_date_start, "prior", IF(Jnl[[#This Row],[TrxDate]]&gt;debug_date_end, "post", "curr"))</f>
        <v>curr</v>
      </c>
    </row>
    <row r="581" spans="1:21" hidden="1">
      <c r="A581" s="39" t="s">
        <v>762</v>
      </c>
      <c r="B581" s="6">
        <f>_xlfn.XLOOKUP(Jnl[[#This Row],[TrxId]], Trx[Id], Trx[Date],,0)</f>
        <v>46053</v>
      </c>
      <c r="C581" s="6" t="str">
        <f>_xlfn.XLOOKUP(Jnl[[#This Row],[TrxId]], Trx[Id], Trx[Division],,0)</f>
        <v>Online</v>
      </c>
      <c r="D581" s="6" t="str">
        <f>_xlfn.XLOOKUP(Jnl[[#This Row],[TrxId]], Trx[Id], Trx[Action],,0)</f>
        <v>采购</v>
      </c>
      <c r="E581" s="27" t="s">
        <v>82</v>
      </c>
      <c r="F581" s="10" t="s">
        <v>596</v>
      </c>
      <c r="G581" s="10" t="s">
        <v>396</v>
      </c>
      <c r="H581" s="37">
        <v>-8064</v>
      </c>
      <c r="I581" s="11" t="b">
        <f>AND(Jnl[[#This Row],[TrxId]]&lt;&gt;"",Jnl[[#This Row],[Acct]]&lt;&gt;"",Jnl[[#This Row],[Item]]&lt;&gt;"",ISNUMBER(Jnl[[#This Row],[Bal]]))</f>
        <v>1</v>
      </c>
      <c r="J581" s="9">
        <f>IF(Jnl[[#This Row],[BSLv0]]="A",1,-1)*Jnl[[#This Row],[Bal]]</f>
        <v>-8064</v>
      </c>
      <c r="K581" t="str">
        <f>_xlfn.XLOOKUP(Jnl[[#This Row],[Acct]], config_BS[Acct], config_BS[Lv0],,0)</f>
        <v>A</v>
      </c>
      <c r="L581" t="str">
        <f>_xlfn.XLOOKUP(Jnl[[#This Row],[Acct]], config_BS[Acct], config_BS[Lv1],,0)</f>
        <v>Assets</v>
      </c>
      <c r="M581" t="str">
        <f>_xlfn.XLOOKUP(Jnl[[#This Row],[Acct]], config_BS[Acct], config_BS[Lv2],,0)</f>
        <v>Cash alike</v>
      </c>
      <c r="N581" t="str">
        <f>_xlfn.XLOOKUP(Jnl[[#This Row],[TrxId]], Trx[Id], Trx[IncNode], ,0)</f>
        <v>Cost</v>
      </c>
      <c r="O581" t="str">
        <f>_xlfn.XLOOKUP(Jnl[[#This Row],[IncNode]], config_IS[Node], config_IS[Type],,0)</f>
        <v>Op</v>
      </c>
      <c r="P581" t="str">
        <f>_xlfn.XLOOKUP(Jnl[[#This Row],[BSLv2]], dict[Key], dict[Name],,0)</f>
        <v>0.现金及类似</v>
      </c>
      <c r="Q581" t="str">
        <f>_xlfn.XLOOKUP(Jnl[[#This Row],[Acct]], dict[Key], dict[Name],,0)</f>
        <v>银行</v>
      </c>
      <c r="R581" t="str">
        <f>_xlfn.XLOOKUP(Jnl[[#This Row],[Vehicle]],config_vehicle[Id], config_vehicle[Name],,0)</f>
        <v>远家花园</v>
      </c>
      <c r="S581" t="str">
        <f>_xlfn.XLOOKUP(Jnl[[#This Row],[Division]],config_div[Id], config_div[Name],,0)</f>
        <v>网店</v>
      </c>
      <c r="T581" t="str">
        <f>IF(Jnl[[#This Row],[TrxDate]]&lt;=stmt_BS_date_end, "In", "Out")</f>
        <v>In</v>
      </c>
      <c r="U581" t="str">
        <f>IF(Jnl[[#This Row],[TrxDate]]&lt;debug_date_start, "prior", IF(Jnl[[#This Row],[TrxDate]]&gt;debug_date_end, "post", "curr"))</f>
        <v>curr</v>
      </c>
    </row>
    <row r="582" spans="1:21" hidden="1">
      <c r="A582" s="39" t="s">
        <v>763</v>
      </c>
      <c r="B582" s="6">
        <f>_xlfn.XLOOKUP(Jnl[[#This Row],[TrxId]], Trx[Id], Trx[Date],,0)</f>
        <v>46053</v>
      </c>
      <c r="C582" s="6" t="str">
        <f>_xlfn.XLOOKUP(Jnl[[#This Row],[TrxId]], Trx[Id], Trx[Division],,0)</f>
        <v>Online</v>
      </c>
      <c r="D582" s="6" t="str">
        <f>_xlfn.XLOOKUP(Jnl[[#This Row],[TrxId]], Trx[Id], Trx[Action],,0)</f>
        <v>采购</v>
      </c>
      <c r="E582" s="27" t="s">
        <v>82</v>
      </c>
      <c r="F582" s="10" t="s">
        <v>604</v>
      </c>
      <c r="G582" s="10" t="s">
        <v>154</v>
      </c>
      <c r="H582" s="37">
        <f>-H583</f>
        <v>20604</v>
      </c>
      <c r="I582" s="11" t="b">
        <f>AND(Jnl[[#This Row],[TrxId]]&lt;&gt;"",Jnl[[#This Row],[Acct]]&lt;&gt;"",Jnl[[#This Row],[Item]]&lt;&gt;"",ISNUMBER(Jnl[[#This Row],[Bal]]))</f>
        <v>1</v>
      </c>
      <c r="J582" s="9">
        <f>IF(Jnl[[#This Row],[BSLv0]]="A",1,-1)*Jnl[[#This Row],[Bal]]</f>
        <v>20604</v>
      </c>
      <c r="K582" t="str">
        <f>_xlfn.XLOOKUP(Jnl[[#This Row],[Acct]], config_BS[Acct], config_BS[Lv0],,0)</f>
        <v>A</v>
      </c>
      <c r="L582" t="str">
        <f>_xlfn.XLOOKUP(Jnl[[#This Row],[Acct]], config_BS[Acct], config_BS[Lv1],,0)</f>
        <v>Assets</v>
      </c>
      <c r="M582" t="str">
        <f>_xlfn.XLOOKUP(Jnl[[#This Row],[Acct]], config_BS[Acct], config_BS[Lv2],,0)</f>
        <v>Invtr</v>
      </c>
      <c r="N582" t="str">
        <f>_xlfn.XLOOKUP(Jnl[[#This Row],[TrxId]], Trx[Id], Trx[IncNode], ,0)</f>
        <v>Cost</v>
      </c>
      <c r="O582" t="str">
        <f>_xlfn.XLOOKUP(Jnl[[#This Row],[IncNode]], config_IS[Node], config_IS[Type],,0)</f>
        <v>Op</v>
      </c>
      <c r="P582" t="str">
        <f>_xlfn.XLOOKUP(Jnl[[#This Row],[BSLv2]], dict[Key], dict[Name],,0)</f>
        <v>3.库存占款</v>
      </c>
      <c r="Q582" t="str">
        <f>_xlfn.XLOOKUP(Jnl[[#This Row],[Acct]], dict[Key], dict[Name],,0)</f>
        <v>当期存货</v>
      </c>
      <c r="R582" t="str">
        <f>_xlfn.XLOOKUP(Jnl[[#This Row],[Vehicle]],config_vehicle[Id], config_vehicle[Name],,0)</f>
        <v>远家花园</v>
      </c>
      <c r="S582" t="str">
        <f>_xlfn.XLOOKUP(Jnl[[#This Row],[Division]],config_div[Id], config_div[Name],,0)</f>
        <v>网店</v>
      </c>
      <c r="T582" t="str">
        <f>IF(Jnl[[#This Row],[TrxDate]]&lt;=stmt_BS_date_end, "In", "Out")</f>
        <v>In</v>
      </c>
      <c r="U582" t="str">
        <f>IF(Jnl[[#This Row],[TrxDate]]&lt;debug_date_start, "prior", IF(Jnl[[#This Row],[TrxDate]]&gt;debug_date_end, "post", "curr"))</f>
        <v>curr</v>
      </c>
    </row>
    <row r="583" spans="1:21" hidden="1">
      <c r="A583" s="39" t="s">
        <v>763</v>
      </c>
      <c r="B583" s="6">
        <f>_xlfn.XLOOKUP(Jnl[[#This Row],[TrxId]], Trx[Id], Trx[Date],,0)</f>
        <v>46053</v>
      </c>
      <c r="C583" s="6" t="str">
        <f>_xlfn.XLOOKUP(Jnl[[#This Row],[TrxId]], Trx[Id], Trx[Division],,0)</f>
        <v>Online</v>
      </c>
      <c r="D583" s="6" t="str">
        <f>_xlfn.XLOOKUP(Jnl[[#This Row],[TrxId]], Trx[Id], Trx[Action],,0)</f>
        <v>采购</v>
      </c>
      <c r="E583" s="27" t="s">
        <v>82</v>
      </c>
      <c r="F583" s="10" t="s">
        <v>596</v>
      </c>
      <c r="G583" s="10" t="s">
        <v>396</v>
      </c>
      <c r="H583" s="37">
        <v>-20604</v>
      </c>
      <c r="I583" s="11" t="b">
        <f>AND(Jnl[[#This Row],[TrxId]]&lt;&gt;"",Jnl[[#This Row],[Acct]]&lt;&gt;"",Jnl[[#This Row],[Item]]&lt;&gt;"",ISNUMBER(Jnl[[#This Row],[Bal]]))</f>
        <v>1</v>
      </c>
      <c r="J583" s="9">
        <f>IF(Jnl[[#This Row],[BSLv0]]="A",1,-1)*Jnl[[#This Row],[Bal]]</f>
        <v>-20604</v>
      </c>
      <c r="K583" t="str">
        <f>_xlfn.XLOOKUP(Jnl[[#This Row],[Acct]], config_BS[Acct], config_BS[Lv0],,0)</f>
        <v>A</v>
      </c>
      <c r="L583" t="str">
        <f>_xlfn.XLOOKUP(Jnl[[#This Row],[Acct]], config_BS[Acct], config_BS[Lv1],,0)</f>
        <v>Assets</v>
      </c>
      <c r="M583" t="str">
        <f>_xlfn.XLOOKUP(Jnl[[#This Row],[Acct]], config_BS[Acct], config_BS[Lv2],,0)</f>
        <v>Cash alike</v>
      </c>
      <c r="N583" t="str">
        <f>_xlfn.XLOOKUP(Jnl[[#This Row],[TrxId]], Trx[Id], Trx[IncNode], ,0)</f>
        <v>Cost</v>
      </c>
      <c r="O583" t="str">
        <f>_xlfn.XLOOKUP(Jnl[[#This Row],[IncNode]], config_IS[Node], config_IS[Type],,0)</f>
        <v>Op</v>
      </c>
      <c r="P583" t="str">
        <f>_xlfn.XLOOKUP(Jnl[[#This Row],[BSLv2]], dict[Key], dict[Name],,0)</f>
        <v>0.现金及类似</v>
      </c>
      <c r="Q583" t="str">
        <f>_xlfn.XLOOKUP(Jnl[[#This Row],[Acct]], dict[Key], dict[Name],,0)</f>
        <v>银行</v>
      </c>
      <c r="R583" t="str">
        <f>_xlfn.XLOOKUP(Jnl[[#This Row],[Vehicle]],config_vehicle[Id], config_vehicle[Name],,0)</f>
        <v>远家花园</v>
      </c>
      <c r="S583" t="str">
        <f>_xlfn.XLOOKUP(Jnl[[#This Row],[Division]],config_div[Id], config_div[Name],,0)</f>
        <v>网店</v>
      </c>
      <c r="T583" t="str">
        <f>IF(Jnl[[#This Row],[TrxDate]]&lt;=stmt_BS_date_end, "In", "Out")</f>
        <v>In</v>
      </c>
      <c r="U583" t="str">
        <f>IF(Jnl[[#This Row],[TrxDate]]&lt;debug_date_start, "prior", IF(Jnl[[#This Row],[TrxDate]]&gt;debug_date_end, "post", "curr"))</f>
        <v>curr</v>
      </c>
    </row>
    <row r="584" spans="1:21" hidden="1">
      <c r="A584" s="39" t="s">
        <v>764</v>
      </c>
      <c r="B584" s="6">
        <f>_xlfn.XLOOKUP(Jnl[[#This Row],[TrxId]], Trx[Id], Trx[Date],,0)</f>
        <v>46053</v>
      </c>
      <c r="C584" s="6" t="str">
        <f>_xlfn.XLOOKUP(Jnl[[#This Row],[TrxId]], Trx[Id], Trx[Division],,0)</f>
        <v>Online</v>
      </c>
      <c r="D584" s="6" t="str">
        <f>_xlfn.XLOOKUP(Jnl[[#This Row],[TrxId]], Trx[Id], Trx[Action],,0)</f>
        <v>退款-供应商</v>
      </c>
      <c r="E584" s="27" t="s">
        <v>82</v>
      </c>
      <c r="F584" s="10" t="s">
        <v>604</v>
      </c>
      <c r="G584" s="10" t="s">
        <v>154</v>
      </c>
      <c r="H584" s="37">
        <v>-660</v>
      </c>
      <c r="I584" s="11" t="b">
        <f>AND(Jnl[[#This Row],[TrxId]]&lt;&gt;"",Jnl[[#This Row],[Acct]]&lt;&gt;"",Jnl[[#This Row],[Item]]&lt;&gt;"",ISNUMBER(Jnl[[#This Row],[Bal]]))</f>
        <v>1</v>
      </c>
      <c r="J584" s="9">
        <f>IF(Jnl[[#This Row],[BSLv0]]="A",1,-1)*Jnl[[#This Row],[Bal]]</f>
        <v>-660</v>
      </c>
      <c r="K584" t="str">
        <f>_xlfn.XLOOKUP(Jnl[[#This Row],[Acct]], config_BS[Acct], config_BS[Lv0],,0)</f>
        <v>A</v>
      </c>
      <c r="L584" t="str">
        <f>_xlfn.XLOOKUP(Jnl[[#This Row],[Acct]], config_BS[Acct], config_BS[Lv1],,0)</f>
        <v>Assets</v>
      </c>
      <c r="M584" t="str">
        <f>_xlfn.XLOOKUP(Jnl[[#This Row],[Acct]], config_BS[Acct], config_BS[Lv2],,0)</f>
        <v>Invtr</v>
      </c>
      <c r="N584" t="str">
        <f>_xlfn.XLOOKUP(Jnl[[#This Row],[TrxId]], Trx[Id], Trx[IncNode], ,0)</f>
        <v>Cost</v>
      </c>
      <c r="O584" t="str">
        <f>_xlfn.XLOOKUP(Jnl[[#This Row],[IncNode]], config_IS[Node], config_IS[Type],,0)</f>
        <v>Op</v>
      </c>
      <c r="P584" t="str">
        <f>_xlfn.XLOOKUP(Jnl[[#This Row],[BSLv2]], dict[Key], dict[Name],,0)</f>
        <v>3.库存占款</v>
      </c>
      <c r="Q584" t="str">
        <f>_xlfn.XLOOKUP(Jnl[[#This Row],[Acct]], dict[Key], dict[Name],,0)</f>
        <v>当期存货</v>
      </c>
      <c r="R584" t="str">
        <f>_xlfn.XLOOKUP(Jnl[[#This Row],[Vehicle]],config_vehicle[Id], config_vehicle[Name],,0)</f>
        <v>远家花园</v>
      </c>
      <c r="S584" t="str">
        <f>_xlfn.XLOOKUP(Jnl[[#This Row],[Division]],config_div[Id], config_div[Name],,0)</f>
        <v>网店</v>
      </c>
      <c r="T584" t="str">
        <f>IF(Jnl[[#This Row],[TrxDate]]&lt;=stmt_BS_date_end, "In", "Out")</f>
        <v>In</v>
      </c>
      <c r="U584" t="str">
        <f>IF(Jnl[[#This Row],[TrxDate]]&lt;debug_date_start, "prior", IF(Jnl[[#This Row],[TrxDate]]&gt;debug_date_end, "post", "curr"))</f>
        <v>curr</v>
      </c>
    </row>
    <row r="585" spans="1:21" hidden="1">
      <c r="A585" s="39" t="s">
        <v>764</v>
      </c>
      <c r="B585" s="6">
        <f>_xlfn.XLOOKUP(Jnl[[#This Row],[TrxId]], Trx[Id], Trx[Date],,0)</f>
        <v>46053</v>
      </c>
      <c r="C585" s="6" t="str">
        <f>_xlfn.XLOOKUP(Jnl[[#This Row],[TrxId]], Trx[Id], Trx[Division],,0)</f>
        <v>Online</v>
      </c>
      <c r="D585" s="6" t="str">
        <f>_xlfn.XLOOKUP(Jnl[[#This Row],[TrxId]], Trx[Id], Trx[Action],,0)</f>
        <v>退款-供应商</v>
      </c>
      <c r="E585" s="27" t="s">
        <v>82</v>
      </c>
      <c r="F585" s="10" t="s">
        <v>596</v>
      </c>
      <c r="G585" s="10" t="s">
        <v>396</v>
      </c>
      <c r="H585" s="37">
        <v>660</v>
      </c>
      <c r="I585" s="11" t="b">
        <f>AND(Jnl[[#This Row],[TrxId]]&lt;&gt;"",Jnl[[#This Row],[Acct]]&lt;&gt;"",Jnl[[#This Row],[Item]]&lt;&gt;"",ISNUMBER(Jnl[[#This Row],[Bal]]))</f>
        <v>1</v>
      </c>
      <c r="J585" s="9">
        <f>IF(Jnl[[#This Row],[BSLv0]]="A",1,-1)*Jnl[[#This Row],[Bal]]</f>
        <v>660</v>
      </c>
      <c r="K585" t="str">
        <f>_xlfn.XLOOKUP(Jnl[[#This Row],[Acct]], config_BS[Acct], config_BS[Lv0],,0)</f>
        <v>A</v>
      </c>
      <c r="L585" t="str">
        <f>_xlfn.XLOOKUP(Jnl[[#This Row],[Acct]], config_BS[Acct], config_BS[Lv1],,0)</f>
        <v>Assets</v>
      </c>
      <c r="M585" t="str">
        <f>_xlfn.XLOOKUP(Jnl[[#This Row],[Acct]], config_BS[Acct], config_BS[Lv2],,0)</f>
        <v>Cash alike</v>
      </c>
      <c r="N585" t="str">
        <f>_xlfn.XLOOKUP(Jnl[[#This Row],[TrxId]], Trx[Id], Trx[IncNode], ,0)</f>
        <v>Cost</v>
      </c>
      <c r="O585" t="str">
        <f>_xlfn.XLOOKUP(Jnl[[#This Row],[IncNode]], config_IS[Node], config_IS[Type],,0)</f>
        <v>Op</v>
      </c>
      <c r="P585" t="str">
        <f>_xlfn.XLOOKUP(Jnl[[#This Row],[BSLv2]], dict[Key], dict[Name],,0)</f>
        <v>0.现金及类似</v>
      </c>
      <c r="Q585" t="str">
        <f>_xlfn.XLOOKUP(Jnl[[#This Row],[Acct]], dict[Key], dict[Name],,0)</f>
        <v>银行</v>
      </c>
      <c r="R585" t="str">
        <f>_xlfn.XLOOKUP(Jnl[[#This Row],[Vehicle]],config_vehicle[Id], config_vehicle[Name],,0)</f>
        <v>远家花园</v>
      </c>
      <c r="S585" t="str">
        <f>_xlfn.XLOOKUP(Jnl[[#This Row],[Division]],config_div[Id], config_div[Name],,0)</f>
        <v>网店</v>
      </c>
      <c r="T585" t="str">
        <f>IF(Jnl[[#This Row],[TrxDate]]&lt;=stmt_BS_date_end, "In", "Out")</f>
        <v>In</v>
      </c>
      <c r="U585" t="str">
        <f>IF(Jnl[[#This Row],[TrxDate]]&lt;debug_date_start, "prior", IF(Jnl[[#This Row],[TrxDate]]&gt;debug_date_end, "post", "curr"))</f>
        <v>curr</v>
      </c>
    </row>
    <row r="586" spans="1:21" hidden="1">
      <c r="A586" s="39" t="s">
        <v>765</v>
      </c>
      <c r="B586" s="6">
        <f>_xlfn.XLOOKUP(Jnl[[#This Row],[TrxId]], Trx[Id], Trx[Date],,0)</f>
        <v>46053</v>
      </c>
      <c r="C586" s="6" t="str">
        <f>_xlfn.XLOOKUP(Jnl[[#This Row],[TrxId]], Trx[Id], Trx[Division],,0)</f>
        <v>GM</v>
      </c>
      <c r="D586" s="6" t="str">
        <f>_xlfn.XLOOKUP(Jnl[[#This Row],[TrxId]], Trx[Id], Trx[Action],,0)</f>
        <v>银行费</v>
      </c>
      <c r="E586" s="27" t="s">
        <v>82</v>
      </c>
      <c r="F586" s="10" t="s">
        <v>596</v>
      </c>
      <c r="G586" s="10" t="s">
        <v>396</v>
      </c>
      <c r="H586" s="37">
        <v>-558.29999999999995</v>
      </c>
      <c r="I586" s="11" t="b">
        <f>AND(Jnl[[#This Row],[TrxId]]&lt;&gt;"",Jnl[[#This Row],[Acct]]&lt;&gt;"",Jnl[[#This Row],[Item]]&lt;&gt;"",ISNUMBER(Jnl[[#This Row],[Bal]]))</f>
        <v>1</v>
      </c>
      <c r="J586" s="9">
        <f>IF(Jnl[[#This Row],[BSLv0]]="A",1,-1)*Jnl[[#This Row],[Bal]]</f>
        <v>-558.29999999999995</v>
      </c>
      <c r="K586" t="str">
        <f>_xlfn.XLOOKUP(Jnl[[#This Row],[Acct]], config_BS[Acct], config_BS[Lv0],,0)</f>
        <v>A</v>
      </c>
      <c r="L586" t="str">
        <f>_xlfn.XLOOKUP(Jnl[[#This Row],[Acct]], config_BS[Acct], config_BS[Lv1],,0)</f>
        <v>Assets</v>
      </c>
      <c r="M586" t="str">
        <f>_xlfn.XLOOKUP(Jnl[[#This Row],[Acct]], config_BS[Acct], config_BS[Lv2],,0)</f>
        <v>Cash alike</v>
      </c>
      <c r="N586" t="str">
        <f>_xlfn.XLOOKUP(Jnl[[#This Row],[TrxId]], Trx[Id], Trx[IncNode], ,0)</f>
        <v>Expense</v>
      </c>
      <c r="O586" t="str">
        <f>_xlfn.XLOOKUP(Jnl[[#This Row],[IncNode]], config_IS[Node], config_IS[Type],,0)</f>
        <v>Op</v>
      </c>
      <c r="P586" t="str">
        <f>_xlfn.XLOOKUP(Jnl[[#This Row],[BSLv2]], dict[Key], dict[Name],,0)</f>
        <v>0.现金及类似</v>
      </c>
      <c r="Q586" t="str">
        <f>_xlfn.XLOOKUP(Jnl[[#This Row],[Acct]], dict[Key], dict[Name],,0)</f>
        <v>银行</v>
      </c>
      <c r="R586" t="str">
        <f>_xlfn.XLOOKUP(Jnl[[#This Row],[Vehicle]],config_vehicle[Id], config_vehicle[Name],,0)</f>
        <v>远家花园</v>
      </c>
      <c r="S586" t="str">
        <f>_xlfn.XLOOKUP(Jnl[[#This Row],[Division]],config_div[Id], config_div[Name],,0)</f>
        <v>综合管理</v>
      </c>
      <c r="T586" t="str">
        <f>IF(Jnl[[#This Row],[TrxDate]]&lt;=stmt_BS_date_end, "In", "Out")</f>
        <v>In</v>
      </c>
      <c r="U586" t="str">
        <f>IF(Jnl[[#This Row],[TrxDate]]&lt;debug_date_start, "prior", IF(Jnl[[#This Row],[TrxDate]]&gt;debug_date_end, "post", "curr"))</f>
        <v>curr</v>
      </c>
    </row>
    <row r="587" spans="1:21" hidden="1">
      <c r="A587" s="39" t="s">
        <v>766</v>
      </c>
      <c r="B587" s="6">
        <f>_xlfn.XLOOKUP(Jnl[[#This Row],[TrxId]], Trx[Id], Trx[Date],,0)</f>
        <v>46053</v>
      </c>
      <c r="C587" s="6" t="str">
        <f>_xlfn.XLOOKUP(Jnl[[#This Row],[TrxId]], Trx[Id], Trx[Division],,0)</f>
        <v>GM</v>
      </c>
      <c r="D587" s="6" t="str">
        <f>_xlfn.XLOOKUP(Jnl[[#This Row],[TrxId]], Trx[Id], Trx[Action],,0)</f>
        <v>设备</v>
      </c>
      <c r="E587" s="27" t="s">
        <v>82</v>
      </c>
      <c r="F587" s="10" t="s">
        <v>596</v>
      </c>
      <c r="G587" s="10" t="s">
        <v>396</v>
      </c>
      <c r="H587" s="37">
        <v>-2300</v>
      </c>
      <c r="I587" s="11" t="b">
        <f>AND(Jnl[[#This Row],[TrxId]]&lt;&gt;"",Jnl[[#This Row],[Acct]]&lt;&gt;"",Jnl[[#This Row],[Item]]&lt;&gt;"",ISNUMBER(Jnl[[#This Row],[Bal]]))</f>
        <v>1</v>
      </c>
      <c r="J587" s="9">
        <f>IF(Jnl[[#This Row],[BSLv0]]="A",1,-1)*Jnl[[#This Row],[Bal]]</f>
        <v>-2300</v>
      </c>
      <c r="K587" t="str">
        <f>_xlfn.XLOOKUP(Jnl[[#This Row],[Acct]], config_BS[Acct], config_BS[Lv0],,0)</f>
        <v>A</v>
      </c>
      <c r="L587" t="str">
        <f>_xlfn.XLOOKUP(Jnl[[#This Row],[Acct]], config_BS[Acct], config_BS[Lv1],,0)</f>
        <v>Assets</v>
      </c>
      <c r="M587" t="str">
        <f>_xlfn.XLOOKUP(Jnl[[#This Row],[Acct]], config_BS[Acct], config_BS[Lv2],,0)</f>
        <v>Cash alike</v>
      </c>
      <c r="N587" t="str">
        <f>_xlfn.XLOOKUP(Jnl[[#This Row],[TrxId]], Trx[Id], Trx[IncNode], ,0)</f>
        <v>Expense</v>
      </c>
      <c r="O587" t="str">
        <f>_xlfn.XLOOKUP(Jnl[[#This Row],[IncNode]], config_IS[Node], config_IS[Type],,0)</f>
        <v>Op</v>
      </c>
      <c r="P587" t="str">
        <f>_xlfn.XLOOKUP(Jnl[[#This Row],[BSLv2]], dict[Key], dict[Name],,0)</f>
        <v>0.现金及类似</v>
      </c>
      <c r="Q587" t="str">
        <f>_xlfn.XLOOKUP(Jnl[[#This Row],[Acct]], dict[Key], dict[Name],,0)</f>
        <v>银行</v>
      </c>
      <c r="R587" t="str">
        <f>_xlfn.XLOOKUP(Jnl[[#This Row],[Vehicle]],config_vehicle[Id], config_vehicle[Name],,0)</f>
        <v>远家花园</v>
      </c>
      <c r="S587" t="str">
        <f>_xlfn.XLOOKUP(Jnl[[#This Row],[Division]],config_div[Id], config_div[Name],,0)</f>
        <v>综合管理</v>
      </c>
      <c r="T587" t="str">
        <f>IF(Jnl[[#This Row],[TrxDate]]&lt;=stmt_BS_date_end, "In", "Out")</f>
        <v>In</v>
      </c>
      <c r="U587" t="str">
        <f>IF(Jnl[[#This Row],[TrxDate]]&lt;debug_date_start, "prior", IF(Jnl[[#This Row],[TrxDate]]&gt;debug_date_end, "post", "curr"))</f>
        <v>curr</v>
      </c>
    </row>
    <row r="588" spans="1:21" hidden="1">
      <c r="A588" s="39" t="s">
        <v>768</v>
      </c>
      <c r="B588" s="6">
        <f>_xlfn.XLOOKUP(Jnl[[#This Row],[TrxId]], Trx[Id], Trx[Date],,0)</f>
        <v>46053</v>
      </c>
      <c r="C588" s="6" t="str">
        <f>_xlfn.XLOOKUP(Jnl[[#This Row],[TrxId]], Trx[Id], Trx[Division],,0)</f>
        <v>Online</v>
      </c>
      <c r="D588" s="6" t="str">
        <f>_xlfn.XLOOKUP(Jnl[[#This Row],[TrxId]], Trx[Id], Trx[Action],,0)</f>
        <v>采购</v>
      </c>
      <c r="E588" s="27" t="s">
        <v>82</v>
      </c>
      <c r="F588" s="10" t="s">
        <v>596</v>
      </c>
      <c r="G588" s="10" t="s">
        <v>396</v>
      </c>
      <c r="H588" s="37">
        <v>-774</v>
      </c>
      <c r="I588" s="11" t="b">
        <f>AND(Jnl[[#This Row],[TrxId]]&lt;&gt;"",Jnl[[#This Row],[Acct]]&lt;&gt;"",Jnl[[#This Row],[Item]]&lt;&gt;"",ISNUMBER(Jnl[[#This Row],[Bal]]))</f>
        <v>1</v>
      </c>
      <c r="J588" s="9">
        <f>IF(Jnl[[#This Row],[BSLv0]]="A",1,-1)*Jnl[[#This Row],[Bal]]</f>
        <v>-774</v>
      </c>
      <c r="K588" t="str">
        <f>_xlfn.XLOOKUP(Jnl[[#This Row],[Acct]], config_BS[Acct], config_BS[Lv0],,0)</f>
        <v>A</v>
      </c>
      <c r="L588" t="str">
        <f>_xlfn.XLOOKUP(Jnl[[#This Row],[Acct]], config_BS[Acct], config_BS[Lv1],,0)</f>
        <v>Assets</v>
      </c>
      <c r="M588" t="str">
        <f>_xlfn.XLOOKUP(Jnl[[#This Row],[Acct]], config_BS[Acct], config_BS[Lv2],,0)</f>
        <v>Cash alike</v>
      </c>
      <c r="N588" t="str">
        <f>_xlfn.XLOOKUP(Jnl[[#This Row],[TrxId]], Trx[Id], Trx[IncNode], ,0)</f>
        <v>Cost</v>
      </c>
      <c r="O588" t="str">
        <f>_xlfn.XLOOKUP(Jnl[[#This Row],[IncNode]], config_IS[Node], config_IS[Type],,0)</f>
        <v>Op</v>
      </c>
      <c r="P588" t="str">
        <f>_xlfn.XLOOKUP(Jnl[[#This Row],[BSLv2]], dict[Key], dict[Name],,0)</f>
        <v>0.现金及类似</v>
      </c>
      <c r="Q588" t="str">
        <f>_xlfn.XLOOKUP(Jnl[[#This Row],[Acct]], dict[Key], dict[Name],,0)</f>
        <v>银行</v>
      </c>
      <c r="R588" t="str">
        <f>_xlfn.XLOOKUP(Jnl[[#This Row],[Vehicle]],config_vehicle[Id], config_vehicle[Name],,0)</f>
        <v>远家花园</v>
      </c>
      <c r="S588" t="str">
        <f>_xlfn.XLOOKUP(Jnl[[#This Row],[Division]],config_div[Id], config_div[Name],,0)</f>
        <v>网店</v>
      </c>
      <c r="T588" t="str">
        <f>IF(Jnl[[#This Row],[TrxDate]]&lt;=stmt_BS_date_end, "In", "Out")</f>
        <v>In</v>
      </c>
      <c r="U588" t="str">
        <f>IF(Jnl[[#This Row],[TrxDate]]&lt;debug_date_start, "prior", IF(Jnl[[#This Row],[TrxDate]]&gt;debug_date_end, "post", "curr"))</f>
        <v>curr</v>
      </c>
    </row>
    <row r="589" spans="1:21" hidden="1">
      <c r="A589" s="39" t="s">
        <v>768</v>
      </c>
      <c r="B589" s="6">
        <f>_xlfn.XLOOKUP(Jnl[[#This Row],[TrxId]], Trx[Id], Trx[Date],,0)</f>
        <v>46053</v>
      </c>
      <c r="C589" s="6" t="str">
        <f>_xlfn.XLOOKUP(Jnl[[#This Row],[TrxId]], Trx[Id], Trx[Division],,0)</f>
        <v>Online</v>
      </c>
      <c r="D589" s="6" t="str">
        <f>_xlfn.XLOOKUP(Jnl[[#This Row],[TrxId]], Trx[Id], Trx[Action],,0)</f>
        <v>采购</v>
      </c>
      <c r="E589" s="27" t="s">
        <v>82</v>
      </c>
      <c r="F589" s="10" t="s">
        <v>604</v>
      </c>
      <c r="G589" s="10" t="s">
        <v>154</v>
      </c>
      <c r="H589" s="37">
        <v>774</v>
      </c>
      <c r="I589" s="11" t="b">
        <f>AND(Jnl[[#This Row],[TrxId]]&lt;&gt;"",Jnl[[#This Row],[Acct]]&lt;&gt;"",Jnl[[#This Row],[Item]]&lt;&gt;"",ISNUMBER(Jnl[[#This Row],[Bal]]))</f>
        <v>1</v>
      </c>
      <c r="J589" s="9">
        <f>IF(Jnl[[#This Row],[BSLv0]]="A",1,-1)*Jnl[[#This Row],[Bal]]</f>
        <v>774</v>
      </c>
      <c r="K589" t="str">
        <f>_xlfn.XLOOKUP(Jnl[[#This Row],[Acct]], config_BS[Acct], config_BS[Lv0],,0)</f>
        <v>A</v>
      </c>
      <c r="L589" t="str">
        <f>_xlfn.XLOOKUP(Jnl[[#This Row],[Acct]], config_BS[Acct], config_BS[Lv1],,0)</f>
        <v>Assets</v>
      </c>
      <c r="M589" t="str">
        <f>_xlfn.XLOOKUP(Jnl[[#This Row],[Acct]], config_BS[Acct], config_BS[Lv2],,0)</f>
        <v>Invtr</v>
      </c>
      <c r="N589" t="str">
        <f>_xlfn.XLOOKUP(Jnl[[#This Row],[TrxId]], Trx[Id], Trx[IncNode], ,0)</f>
        <v>Cost</v>
      </c>
      <c r="O589" t="str">
        <f>_xlfn.XLOOKUP(Jnl[[#This Row],[IncNode]], config_IS[Node], config_IS[Type],,0)</f>
        <v>Op</v>
      </c>
      <c r="P589" t="str">
        <f>_xlfn.XLOOKUP(Jnl[[#This Row],[BSLv2]], dict[Key], dict[Name],,0)</f>
        <v>3.库存占款</v>
      </c>
      <c r="Q589" t="str">
        <f>_xlfn.XLOOKUP(Jnl[[#This Row],[Acct]], dict[Key], dict[Name],,0)</f>
        <v>当期存货</v>
      </c>
      <c r="R589" t="str">
        <f>_xlfn.XLOOKUP(Jnl[[#This Row],[Vehicle]],config_vehicle[Id], config_vehicle[Name],,0)</f>
        <v>远家花园</v>
      </c>
      <c r="S589" t="str">
        <f>_xlfn.XLOOKUP(Jnl[[#This Row],[Division]],config_div[Id], config_div[Name],,0)</f>
        <v>网店</v>
      </c>
      <c r="T589" t="str">
        <f>IF(Jnl[[#This Row],[TrxDate]]&lt;=stmt_BS_date_end, "In", "Out")</f>
        <v>In</v>
      </c>
      <c r="U589" t="str">
        <f>IF(Jnl[[#This Row],[TrxDate]]&lt;debug_date_start, "prior", IF(Jnl[[#This Row],[TrxDate]]&gt;debug_date_end, "post", "curr"))</f>
        <v>curr</v>
      </c>
    </row>
    <row r="590" spans="1:21" hidden="1">
      <c r="A590" s="39" t="s">
        <v>769</v>
      </c>
      <c r="B590" s="6">
        <f>_xlfn.XLOOKUP(Jnl[[#This Row],[TrxId]], Trx[Id], Trx[Date],,0)</f>
        <v>46053</v>
      </c>
      <c r="C590" s="6" t="str">
        <f>_xlfn.XLOOKUP(Jnl[[#This Row],[TrxId]], Trx[Id], Trx[Division],,0)</f>
        <v>Online</v>
      </c>
      <c r="D590" s="6" t="str">
        <f>_xlfn.XLOOKUP(Jnl[[#This Row],[TrxId]], Trx[Id], Trx[Action],,0)</f>
        <v>采购</v>
      </c>
      <c r="E590" s="27" t="s">
        <v>82</v>
      </c>
      <c r="F590" s="10" t="s">
        <v>596</v>
      </c>
      <c r="G590" s="10" t="s">
        <v>396</v>
      </c>
      <c r="H590" s="37">
        <v>-57331.1</v>
      </c>
      <c r="I590" s="11" t="b">
        <f>AND(Jnl[[#This Row],[TrxId]]&lt;&gt;"",Jnl[[#This Row],[Acct]]&lt;&gt;"",Jnl[[#This Row],[Item]]&lt;&gt;"",ISNUMBER(Jnl[[#This Row],[Bal]]))</f>
        <v>1</v>
      </c>
      <c r="J590" s="9">
        <f>IF(Jnl[[#This Row],[BSLv0]]="A",1,-1)*Jnl[[#This Row],[Bal]]</f>
        <v>-57331.1</v>
      </c>
      <c r="K590" t="str">
        <f>_xlfn.XLOOKUP(Jnl[[#This Row],[Acct]], config_BS[Acct], config_BS[Lv0],,0)</f>
        <v>A</v>
      </c>
      <c r="L590" t="str">
        <f>_xlfn.XLOOKUP(Jnl[[#This Row],[Acct]], config_BS[Acct], config_BS[Lv1],,0)</f>
        <v>Assets</v>
      </c>
      <c r="M590" t="str">
        <f>_xlfn.XLOOKUP(Jnl[[#This Row],[Acct]], config_BS[Acct], config_BS[Lv2],,0)</f>
        <v>Cash alike</v>
      </c>
      <c r="N590" t="str">
        <f>_xlfn.XLOOKUP(Jnl[[#This Row],[TrxId]], Trx[Id], Trx[IncNode], ,0)</f>
        <v>Cost</v>
      </c>
      <c r="O590" t="str">
        <f>_xlfn.XLOOKUP(Jnl[[#This Row],[IncNode]], config_IS[Node], config_IS[Type],,0)</f>
        <v>Op</v>
      </c>
      <c r="P590" t="str">
        <f>_xlfn.XLOOKUP(Jnl[[#This Row],[BSLv2]], dict[Key], dict[Name],,0)</f>
        <v>0.现金及类似</v>
      </c>
      <c r="Q590" t="str">
        <f>_xlfn.XLOOKUP(Jnl[[#This Row],[Acct]], dict[Key], dict[Name],,0)</f>
        <v>银行</v>
      </c>
      <c r="R590" t="str">
        <f>_xlfn.XLOOKUP(Jnl[[#This Row],[Vehicle]],config_vehicle[Id], config_vehicle[Name],,0)</f>
        <v>远家花园</v>
      </c>
      <c r="S590" t="str">
        <f>_xlfn.XLOOKUP(Jnl[[#This Row],[Division]],config_div[Id], config_div[Name],,0)</f>
        <v>网店</v>
      </c>
      <c r="T590" t="str">
        <f>IF(Jnl[[#This Row],[TrxDate]]&lt;=stmt_BS_date_end, "In", "Out")</f>
        <v>In</v>
      </c>
      <c r="U590" t="str">
        <f>IF(Jnl[[#This Row],[TrxDate]]&lt;debug_date_start, "prior", IF(Jnl[[#This Row],[TrxDate]]&gt;debug_date_end, "post", "curr"))</f>
        <v>curr</v>
      </c>
    </row>
    <row r="591" spans="1:21" hidden="1">
      <c r="A591" s="39" t="s">
        <v>769</v>
      </c>
      <c r="B591" s="6">
        <f>_xlfn.XLOOKUP(Jnl[[#This Row],[TrxId]], Trx[Id], Trx[Date],,0)</f>
        <v>46053</v>
      </c>
      <c r="C591" s="6" t="str">
        <f>_xlfn.XLOOKUP(Jnl[[#This Row],[TrxId]], Trx[Id], Trx[Division],,0)</f>
        <v>Online</v>
      </c>
      <c r="D591" s="6" t="str">
        <f>_xlfn.XLOOKUP(Jnl[[#This Row],[TrxId]], Trx[Id], Trx[Action],,0)</f>
        <v>采购</v>
      </c>
      <c r="E591" s="27" t="s">
        <v>82</v>
      </c>
      <c r="F591" s="10" t="s">
        <v>604</v>
      </c>
      <c r="G591" s="10" t="s">
        <v>154</v>
      </c>
      <c r="H591" s="37">
        <v>57331.1</v>
      </c>
      <c r="I591" s="11" t="b">
        <f>AND(Jnl[[#This Row],[TrxId]]&lt;&gt;"",Jnl[[#This Row],[Acct]]&lt;&gt;"",Jnl[[#This Row],[Item]]&lt;&gt;"",ISNUMBER(Jnl[[#This Row],[Bal]]))</f>
        <v>1</v>
      </c>
      <c r="J591" s="9">
        <f>IF(Jnl[[#This Row],[BSLv0]]="A",1,-1)*Jnl[[#This Row],[Bal]]</f>
        <v>57331.1</v>
      </c>
      <c r="K591" t="str">
        <f>_xlfn.XLOOKUP(Jnl[[#This Row],[Acct]], config_BS[Acct], config_BS[Lv0],,0)</f>
        <v>A</v>
      </c>
      <c r="L591" t="str">
        <f>_xlfn.XLOOKUP(Jnl[[#This Row],[Acct]], config_BS[Acct], config_BS[Lv1],,0)</f>
        <v>Assets</v>
      </c>
      <c r="M591" t="str">
        <f>_xlfn.XLOOKUP(Jnl[[#This Row],[Acct]], config_BS[Acct], config_BS[Lv2],,0)</f>
        <v>Invtr</v>
      </c>
      <c r="N591" t="str">
        <f>_xlfn.XLOOKUP(Jnl[[#This Row],[TrxId]], Trx[Id], Trx[IncNode], ,0)</f>
        <v>Cost</v>
      </c>
      <c r="O591" t="str">
        <f>_xlfn.XLOOKUP(Jnl[[#This Row],[IncNode]], config_IS[Node], config_IS[Type],,0)</f>
        <v>Op</v>
      </c>
      <c r="P591" t="str">
        <f>_xlfn.XLOOKUP(Jnl[[#This Row],[BSLv2]], dict[Key], dict[Name],,0)</f>
        <v>3.库存占款</v>
      </c>
      <c r="Q591" t="str">
        <f>_xlfn.XLOOKUP(Jnl[[#This Row],[Acct]], dict[Key], dict[Name],,0)</f>
        <v>当期存货</v>
      </c>
      <c r="R591" t="str">
        <f>_xlfn.XLOOKUP(Jnl[[#This Row],[Vehicle]],config_vehicle[Id], config_vehicle[Name],,0)</f>
        <v>远家花园</v>
      </c>
      <c r="S591" t="str">
        <f>_xlfn.XLOOKUP(Jnl[[#This Row],[Division]],config_div[Id], config_div[Name],,0)</f>
        <v>网店</v>
      </c>
      <c r="T591" t="str">
        <f>IF(Jnl[[#This Row],[TrxDate]]&lt;=stmt_BS_date_end, "In", "Out")</f>
        <v>In</v>
      </c>
      <c r="U591" t="str">
        <f>IF(Jnl[[#This Row],[TrxDate]]&lt;debug_date_start, "prior", IF(Jnl[[#This Row],[TrxDate]]&gt;debug_date_end, "post", "curr"))</f>
        <v>curr</v>
      </c>
    </row>
    <row r="592" spans="1:21" hidden="1">
      <c r="A592" s="39" t="s">
        <v>770</v>
      </c>
      <c r="B592" s="6">
        <f>_xlfn.XLOOKUP(Jnl[[#This Row],[TrxId]], Trx[Id], Trx[Date],,0)</f>
        <v>46053</v>
      </c>
      <c r="C592" s="6" t="str">
        <f>_xlfn.XLOOKUP(Jnl[[#This Row],[TrxId]], Trx[Id], Trx[Division],,0)</f>
        <v>Ctrl</v>
      </c>
      <c r="D592" s="6" t="str">
        <f>_xlfn.XLOOKUP(Jnl[[#This Row],[TrxId]], Trx[Id], Trx[Action],,0)</f>
        <v>代理</v>
      </c>
      <c r="E592" s="27" t="s">
        <v>82</v>
      </c>
      <c r="F592" s="10" t="s">
        <v>596</v>
      </c>
      <c r="G592" s="10" t="s">
        <v>396</v>
      </c>
      <c r="H592" s="37">
        <v>-1170</v>
      </c>
      <c r="I592" s="11" t="b">
        <f>AND(Jnl[[#This Row],[TrxId]]&lt;&gt;"",Jnl[[#This Row],[Acct]]&lt;&gt;"",Jnl[[#This Row],[Item]]&lt;&gt;"",ISNUMBER(Jnl[[#This Row],[Bal]]))</f>
        <v>1</v>
      </c>
      <c r="J592" s="9">
        <f>IF(Jnl[[#This Row],[BSLv0]]="A",1,-1)*Jnl[[#This Row],[Bal]]</f>
        <v>-1170</v>
      </c>
      <c r="K592" t="str">
        <f>_xlfn.XLOOKUP(Jnl[[#This Row],[Acct]], config_BS[Acct], config_BS[Lv0],,0)</f>
        <v>A</v>
      </c>
      <c r="L592" t="str">
        <f>_xlfn.XLOOKUP(Jnl[[#This Row],[Acct]], config_BS[Acct], config_BS[Lv1],,0)</f>
        <v>Assets</v>
      </c>
      <c r="M592" t="str">
        <f>_xlfn.XLOOKUP(Jnl[[#This Row],[Acct]], config_BS[Acct], config_BS[Lv2],,0)</f>
        <v>Cash alike</v>
      </c>
      <c r="N592" t="str">
        <f>_xlfn.XLOOKUP(Jnl[[#This Row],[TrxId]], Trx[Id], Trx[IncNode], ,0)</f>
        <v>Expense</v>
      </c>
      <c r="O592" t="str">
        <f>_xlfn.XLOOKUP(Jnl[[#This Row],[IncNode]], config_IS[Node], config_IS[Type],,0)</f>
        <v>Op</v>
      </c>
      <c r="P592" t="str">
        <f>_xlfn.XLOOKUP(Jnl[[#This Row],[BSLv2]], dict[Key], dict[Name],,0)</f>
        <v>0.现金及类似</v>
      </c>
      <c r="Q592" t="str">
        <f>_xlfn.XLOOKUP(Jnl[[#This Row],[Acct]], dict[Key], dict[Name],,0)</f>
        <v>银行</v>
      </c>
      <c r="R592" t="str">
        <f>_xlfn.XLOOKUP(Jnl[[#This Row],[Vehicle]],config_vehicle[Id], config_vehicle[Name],,0)</f>
        <v>远家花园</v>
      </c>
      <c r="S592" t="str">
        <f>_xlfn.XLOOKUP(Jnl[[#This Row],[Division]],config_div[Id], config_div[Name],,0)</f>
        <v>内控合规</v>
      </c>
      <c r="T592" t="str">
        <f>IF(Jnl[[#This Row],[TrxDate]]&lt;=stmt_BS_date_end, "In", "Out")</f>
        <v>In</v>
      </c>
      <c r="U592" t="str">
        <f>IF(Jnl[[#This Row],[TrxDate]]&lt;debug_date_start, "prior", IF(Jnl[[#This Row],[TrxDate]]&gt;debug_date_end, "post", "curr"))</f>
        <v>curr</v>
      </c>
    </row>
    <row r="593" spans="1:21" hidden="1">
      <c r="A593" s="39" t="s">
        <v>771</v>
      </c>
      <c r="B593" s="6">
        <f>_xlfn.XLOOKUP(Jnl[[#This Row],[TrxId]], Trx[Id], Trx[Date],,0)</f>
        <v>46053</v>
      </c>
      <c r="C593" s="6" t="str">
        <f>_xlfn.XLOOKUP(Jnl[[#This Row],[TrxId]], Trx[Id], Trx[Division],,0)</f>
        <v>Online</v>
      </c>
      <c r="D593" s="6" t="str">
        <f>_xlfn.XLOOKUP(Jnl[[#This Row],[TrxId]], Trx[Id], Trx[Action],,0)</f>
        <v>采购</v>
      </c>
      <c r="E593" s="27" t="s">
        <v>82</v>
      </c>
      <c r="F593" s="10" t="s">
        <v>604</v>
      </c>
      <c r="G593" s="10" t="s">
        <v>154</v>
      </c>
      <c r="H593" s="37">
        <v>6415</v>
      </c>
      <c r="I593" s="11" t="b">
        <f>AND(Jnl[[#This Row],[TrxId]]&lt;&gt;"",Jnl[[#This Row],[Acct]]&lt;&gt;"",Jnl[[#This Row],[Item]]&lt;&gt;"",ISNUMBER(Jnl[[#This Row],[Bal]]))</f>
        <v>1</v>
      </c>
      <c r="J593" s="9">
        <f>IF(Jnl[[#This Row],[BSLv0]]="A",1,-1)*Jnl[[#This Row],[Bal]]</f>
        <v>6415</v>
      </c>
      <c r="K593" t="str">
        <f>_xlfn.XLOOKUP(Jnl[[#This Row],[Acct]], config_BS[Acct], config_BS[Lv0],,0)</f>
        <v>A</v>
      </c>
      <c r="L593" t="str">
        <f>_xlfn.XLOOKUP(Jnl[[#This Row],[Acct]], config_BS[Acct], config_BS[Lv1],,0)</f>
        <v>Assets</v>
      </c>
      <c r="M593" t="str">
        <f>_xlfn.XLOOKUP(Jnl[[#This Row],[Acct]], config_BS[Acct], config_BS[Lv2],,0)</f>
        <v>Invtr</v>
      </c>
      <c r="N593" t="str">
        <f>_xlfn.XLOOKUP(Jnl[[#This Row],[TrxId]], Trx[Id], Trx[IncNode], ,0)</f>
        <v>Cost</v>
      </c>
      <c r="O593" t="str">
        <f>_xlfn.XLOOKUP(Jnl[[#This Row],[IncNode]], config_IS[Node], config_IS[Type],,0)</f>
        <v>Op</v>
      </c>
      <c r="P593" t="str">
        <f>_xlfn.XLOOKUP(Jnl[[#This Row],[BSLv2]], dict[Key], dict[Name],,0)</f>
        <v>3.库存占款</v>
      </c>
      <c r="Q593" t="str">
        <f>_xlfn.XLOOKUP(Jnl[[#This Row],[Acct]], dict[Key], dict[Name],,0)</f>
        <v>当期存货</v>
      </c>
      <c r="R593" t="str">
        <f>_xlfn.XLOOKUP(Jnl[[#This Row],[Vehicle]],config_vehicle[Id], config_vehicle[Name],,0)</f>
        <v>远家花园</v>
      </c>
      <c r="S593" t="str">
        <f>_xlfn.XLOOKUP(Jnl[[#This Row],[Division]],config_div[Id], config_div[Name],,0)</f>
        <v>网店</v>
      </c>
      <c r="T593" t="str">
        <f>IF(Jnl[[#This Row],[TrxDate]]&lt;=stmt_BS_date_end, "In", "Out")</f>
        <v>In</v>
      </c>
      <c r="U593" t="str">
        <f>IF(Jnl[[#This Row],[TrxDate]]&lt;debug_date_start, "prior", IF(Jnl[[#This Row],[TrxDate]]&gt;debug_date_end, "post", "curr"))</f>
        <v>curr</v>
      </c>
    </row>
    <row r="594" spans="1:21" hidden="1">
      <c r="A594" s="39" t="s">
        <v>771</v>
      </c>
      <c r="B594" s="6">
        <f>_xlfn.XLOOKUP(Jnl[[#This Row],[TrxId]], Trx[Id], Trx[Date],,0)</f>
        <v>46053</v>
      </c>
      <c r="C594" s="6" t="str">
        <f>_xlfn.XLOOKUP(Jnl[[#This Row],[TrxId]], Trx[Id], Trx[Division],,0)</f>
        <v>Online</v>
      </c>
      <c r="D594" s="6" t="str">
        <f>_xlfn.XLOOKUP(Jnl[[#This Row],[TrxId]], Trx[Id], Trx[Action],,0)</f>
        <v>采购</v>
      </c>
      <c r="E594" s="27" t="s">
        <v>82</v>
      </c>
      <c r="F594" s="10" t="s">
        <v>596</v>
      </c>
      <c r="G594" s="10" t="s">
        <v>396</v>
      </c>
      <c r="H594" s="37">
        <v>-6415</v>
      </c>
      <c r="I594" s="11" t="b">
        <f>AND(Jnl[[#This Row],[TrxId]]&lt;&gt;"",Jnl[[#This Row],[Acct]]&lt;&gt;"",Jnl[[#This Row],[Item]]&lt;&gt;"",ISNUMBER(Jnl[[#This Row],[Bal]]))</f>
        <v>1</v>
      </c>
      <c r="J594" s="9">
        <f>IF(Jnl[[#This Row],[BSLv0]]="A",1,-1)*Jnl[[#This Row],[Bal]]</f>
        <v>-6415</v>
      </c>
      <c r="K594" t="str">
        <f>_xlfn.XLOOKUP(Jnl[[#This Row],[Acct]], config_BS[Acct], config_BS[Lv0],,0)</f>
        <v>A</v>
      </c>
      <c r="L594" t="str">
        <f>_xlfn.XLOOKUP(Jnl[[#This Row],[Acct]], config_BS[Acct], config_BS[Lv1],,0)</f>
        <v>Assets</v>
      </c>
      <c r="M594" t="str">
        <f>_xlfn.XLOOKUP(Jnl[[#This Row],[Acct]], config_BS[Acct], config_BS[Lv2],,0)</f>
        <v>Cash alike</v>
      </c>
      <c r="N594" t="str">
        <f>_xlfn.XLOOKUP(Jnl[[#This Row],[TrxId]], Trx[Id], Trx[IncNode], ,0)</f>
        <v>Cost</v>
      </c>
      <c r="O594" t="str">
        <f>_xlfn.XLOOKUP(Jnl[[#This Row],[IncNode]], config_IS[Node], config_IS[Type],,0)</f>
        <v>Op</v>
      </c>
      <c r="P594" t="str">
        <f>_xlfn.XLOOKUP(Jnl[[#This Row],[BSLv2]], dict[Key], dict[Name],,0)</f>
        <v>0.现金及类似</v>
      </c>
      <c r="Q594" t="str">
        <f>_xlfn.XLOOKUP(Jnl[[#This Row],[Acct]], dict[Key], dict[Name],,0)</f>
        <v>银行</v>
      </c>
      <c r="R594" t="str">
        <f>_xlfn.XLOOKUP(Jnl[[#This Row],[Vehicle]],config_vehicle[Id], config_vehicle[Name],,0)</f>
        <v>远家花园</v>
      </c>
      <c r="S594" t="str">
        <f>_xlfn.XLOOKUP(Jnl[[#This Row],[Division]],config_div[Id], config_div[Name],,0)</f>
        <v>网店</v>
      </c>
      <c r="T594" t="str">
        <f>IF(Jnl[[#This Row],[TrxDate]]&lt;=stmt_BS_date_end, "In", "Out")</f>
        <v>In</v>
      </c>
      <c r="U594" t="str">
        <f>IF(Jnl[[#This Row],[TrxDate]]&lt;debug_date_start, "prior", IF(Jnl[[#This Row],[TrxDate]]&gt;debug_date_end, "post", "curr"))</f>
        <v>curr</v>
      </c>
    </row>
    <row r="595" spans="1:21" hidden="1">
      <c r="A595" s="39" t="s">
        <v>772</v>
      </c>
      <c r="B595" s="6">
        <f>_xlfn.XLOOKUP(Jnl[[#This Row],[TrxId]], Trx[Id], Trx[Date],,0)</f>
        <v>46053</v>
      </c>
      <c r="C595" s="6" t="str">
        <f>_xlfn.XLOOKUP(Jnl[[#This Row],[TrxId]], Trx[Id], Trx[Division],,0)</f>
        <v>Online</v>
      </c>
      <c r="D595" s="6" t="str">
        <f>_xlfn.XLOOKUP(Jnl[[#This Row],[TrxId]], Trx[Id], Trx[Action],,0)</f>
        <v>加工</v>
      </c>
      <c r="E595" s="27" t="s">
        <v>82</v>
      </c>
      <c r="F595" s="10" t="s">
        <v>498</v>
      </c>
      <c r="G595" s="10" t="s">
        <v>433</v>
      </c>
      <c r="H595" s="37">
        <v>44252</v>
      </c>
      <c r="I595" s="11" t="b">
        <f>AND(Jnl[[#This Row],[TrxId]]&lt;&gt;"",Jnl[[#This Row],[Acct]]&lt;&gt;"",Jnl[[#This Row],[Item]]&lt;&gt;"",ISNUMBER(Jnl[[#This Row],[Bal]]))</f>
        <v>1</v>
      </c>
      <c r="J595" s="9">
        <f>IF(Jnl[[#This Row],[BSLv0]]="A",1,-1)*Jnl[[#This Row],[Bal]]</f>
        <v>44252</v>
      </c>
      <c r="K595" t="str">
        <f>_xlfn.XLOOKUP(Jnl[[#This Row],[Acct]], config_BS[Acct], config_BS[Lv0],,0)</f>
        <v>A</v>
      </c>
      <c r="L595" t="str">
        <f>_xlfn.XLOOKUP(Jnl[[#This Row],[Acct]], config_BS[Acct], config_BS[Lv1],,0)</f>
        <v>Assets</v>
      </c>
      <c r="M595" t="str">
        <f>_xlfn.XLOOKUP(Jnl[[#This Row],[Acct]], config_BS[Acct], config_BS[Lv2],,0)</f>
        <v>Prep-Sub</v>
      </c>
      <c r="N595" t="str">
        <f>_xlfn.XLOOKUP(Jnl[[#This Row],[TrxId]], Trx[Id], Trx[IncNode], ,0)</f>
        <v>Cost</v>
      </c>
      <c r="O595" t="str">
        <f>_xlfn.XLOOKUP(Jnl[[#This Row],[IncNode]], config_IS[Node], config_IS[Type],,0)</f>
        <v>Op</v>
      </c>
      <c r="P595" t="str">
        <f>_xlfn.XLOOKUP(Jnl[[#This Row],[BSLv2]], dict[Key], dict[Name],,0)</f>
        <v>2.预付-订阅</v>
      </c>
      <c r="Q595" t="str">
        <f>_xlfn.XLOOKUP(Jnl[[#This Row],[Acct]], dict[Key], dict[Name],,0)</f>
        <v>预付订单</v>
      </c>
      <c r="R595" t="str">
        <f>_xlfn.XLOOKUP(Jnl[[#This Row],[Vehicle]],config_vehicle[Id], config_vehicle[Name],,0)</f>
        <v>远家花园</v>
      </c>
      <c r="S595" t="str">
        <f>_xlfn.XLOOKUP(Jnl[[#This Row],[Division]],config_div[Id], config_div[Name],,0)</f>
        <v>网店</v>
      </c>
      <c r="T595" t="str">
        <f>IF(Jnl[[#This Row],[TrxDate]]&lt;=stmt_BS_date_end, "In", "Out")</f>
        <v>In</v>
      </c>
      <c r="U595" t="str">
        <f>IF(Jnl[[#This Row],[TrxDate]]&lt;debug_date_start, "prior", IF(Jnl[[#This Row],[TrxDate]]&gt;debug_date_end, "post", "curr"))</f>
        <v>curr</v>
      </c>
    </row>
    <row r="596" spans="1:21" hidden="1">
      <c r="A596" s="39" t="s">
        <v>772</v>
      </c>
      <c r="B596" s="6">
        <f>_xlfn.XLOOKUP(Jnl[[#This Row],[TrxId]], Trx[Id], Trx[Date],,0)</f>
        <v>46053</v>
      </c>
      <c r="C596" s="6" t="str">
        <f>_xlfn.XLOOKUP(Jnl[[#This Row],[TrxId]], Trx[Id], Trx[Division],,0)</f>
        <v>Online</v>
      </c>
      <c r="D596" s="6" t="str">
        <f>_xlfn.XLOOKUP(Jnl[[#This Row],[TrxId]], Trx[Id], Trx[Action],,0)</f>
        <v>加工</v>
      </c>
      <c r="E596" s="27" t="s">
        <v>82</v>
      </c>
      <c r="F596" s="10" t="s">
        <v>596</v>
      </c>
      <c r="G596" s="10" t="s">
        <v>396</v>
      </c>
      <c r="H596" s="37">
        <v>-44252</v>
      </c>
      <c r="I596" s="11" t="b">
        <f>AND(Jnl[[#This Row],[TrxId]]&lt;&gt;"",Jnl[[#This Row],[Acct]]&lt;&gt;"",Jnl[[#This Row],[Item]]&lt;&gt;"",ISNUMBER(Jnl[[#This Row],[Bal]]))</f>
        <v>1</v>
      </c>
      <c r="J596" s="9">
        <f>IF(Jnl[[#This Row],[BSLv0]]="A",1,-1)*Jnl[[#This Row],[Bal]]</f>
        <v>-44252</v>
      </c>
      <c r="K596" t="str">
        <f>_xlfn.XLOOKUP(Jnl[[#This Row],[Acct]], config_BS[Acct], config_BS[Lv0],,0)</f>
        <v>A</v>
      </c>
      <c r="L596" t="str">
        <f>_xlfn.XLOOKUP(Jnl[[#This Row],[Acct]], config_BS[Acct], config_BS[Lv1],,0)</f>
        <v>Assets</v>
      </c>
      <c r="M596" t="str">
        <f>_xlfn.XLOOKUP(Jnl[[#This Row],[Acct]], config_BS[Acct], config_BS[Lv2],,0)</f>
        <v>Cash alike</v>
      </c>
      <c r="N596" t="str">
        <f>_xlfn.XLOOKUP(Jnl[[#This Row],[TrxId]], Trx[Id], Trx[IncNode], ,0)</f>
        <v>Cost</v>
      </c>
      <c r="O596" t="str">
        <f>_xlfn.XLOOKUP(Jnl[[#This Row],[IncNode]], config_IS[Node], config_IS[Type],,0)</f>
        <v>Op</v>
      </c>
      <c r="P596" t="str">
        <f>_xlfn.XLOOKUP(Jnl[[#This Row],[BSLv2]], dict[Key], dict[Name],,0)</f>
        <v>0.现金及类似</v>
      </c>
      <c r="Q596" t="str">
        <f>_xlfn.XLOOKUP(Jnl[[#This Row],[Acct]], dict[Key], dict[Name],,0)</f>
        <v>银行</v>
      </c>
      <c r="R596" t="str">
        <f>_xlfn.XLOOKUP(Jnl[[#This Row],[Vehicle]],config_vehicle[Id], config_vehicle[Name],,0)</f>
        <v>远家花园</v>
      </c>
      <c r="S596" t="str">
        <f>_xlfn.XLOOKUP(Jnl[[#This Row],[Division]],config_div[Id], config_div[Name],,0)</f>
        <v>网店</v>
      </c>
      <c r="T596" t="str">
        <f>IF(Jnl[[#This Row],[TrxDate]]&lt;=stmt_BS_date_end, "In", "Out")</f>
        <v>In</v>
      </c>
      <c r="U596" t="str">
        <f>IF(Jnl[[#This Row],[TrxDate]]&lt;debug_date_start, "prior", IF(Jnl[[#This Row],[TrxDate]]&gt;debug_date_end, "post", "curr"))</f>
        <v>curr</v>
      </c>
    </row>
    <row r="597" spans="1:21" hidden="1">
      <c r="A597" s="39" t="s">
        <v>774</v>
      </c>
      <c r="B597" s="6">
        <f>_xlfn.XLOOKUP(Jnl[[#This Row],[TrxId]], Trx[Id], Trx[Date],,0)</f>
        <v>46053</v>
      </c>
      <c r="C597" s="6" t="str">
        <f>_xlfn.XLOOKUP(Jnl[[#This Row],[TrxId]], Trx[Id], Trx[Division],,0)</f>
        <v>Online</v>
      </c>
      <c r="D597" s="6" t="str">
        <f>_xlfn.XLOOKUP(Jnl[[#This Row],[TrxId]], Trx[Id], Trx[Action],,0)</f>
        <v>采购</v>
      </c>
      <c r="E597" s="27" t="s">
        <v>82</v>
      </c>
      <c r="F597" s="10" t="s">
        <v>604</v>
      </c>
      <c r="G597" s="10" t="s">
        <v>154</v>
      </c>
      <c r="H597" s="37">
        <v>4977.7</v>
      </c>
      <c r="I597" s="11" t="b">
        <f>AND(Jnl[[#This Row],[TrxId]]&lt;&gt;"",Jnl[[#This Row],[Acct]]&lt;&gt;"",Jnl[[#This Row],[Item]]&lt;&gt;"",ISNUMBER(Jnl[[#This Row],[Bal]]))</f>
        <v>1</v>
      </c>
      <c r="J597" s="9">
        <f>IF(Jnl[[#This Row],[BSLv0]]="A",1,-1)*Jnl[[#This Row],[Bal]]</f>
        <v>4977.7</v>
      </c>
      <c r="K597" t="str">
        <f>_xlfn.XLOOKUP(Jnl[[#This Row],[Acct]], config_BS[Acct], config_BS[Lv0],,0)</f>
        <v>A</v>
      </c>
      <c r="L597" t="str">
        <f>_xlfn.XLOOKUP(Jnl[[#This Row],[Acct]], config_BS[Acct], config_BS[Lv1],,0)</f>
        <v>Assets</v>
      </c>
      <c r="M597" t="str">
        <f>_xlfn.XLOOKUP(Jnl[[#This Row],[Acct]], config_BS[Acct], config_BS[Lv2],,0)</f>
        <v>Invtr</v>
      </c>
      <c r="N597" t="str">
        <f>_xlfn.XLOOKUP(Jnl[[#This Row],[TrxId]], Trx[Id], Trx[IncNode], ,0)</f>
        <v>Cost</v>
      </c>
      <c r="O597" t="str">
        <f>_xlfn.XLOOKUP(Jnl[[#This Row],[IncNode]], config_IS[Node], config_IS[Type],,0)</f>
        <v>Op</v>
      </c>
      <c r="P597" t="str">
        <f>_xlfn.XLOOKUP(Jnl[[#This Row],[BSLv2]], dict[Key], dict[Name],,0)</f>
        <v>3.库存占款</v>
      </c>
      <c r="Q597" t="str">
        <f>_xlfn.XLOOKUP(Jnl[[#This Row],[Acct]], dict[Key], dict[Name],,0)</f>
        <v>当期存货</v>
      </c>
      <c r="R597" t="str">
        <f>_xlfn.XLOOKUP(Jnl[[#This Row],[Vehicle]],config_vehicle[Id], config_vehicle[Name],,0)</f>
        <v>远家花园</v>
      </c>
      <c r="S597" t="str">
        <f>_xlfn.XLOOKUP(Jnl[[#This Row],[Division]],config_div[Id], config_div[Name],,0)</f>
        <v>网店</v>
      </c>
      <c r="T597" t="str">
        <f>IF(Jnl[[#This Row],[TrxDate]]&lt;=stmt_BS_date_end, "In", "Out")</f>
        <v>In</v>
      </c>
      <c r="U597" t="str">
        <f>IF(Jnl[[#This Row],[TrxDate]]&lt;debug_date_start, "prior", IF(Jnl[[#This Row],[TrxDate]]&gt;debug_date_end, "post", "curr"))</f>
        <v>curr</v>
      </c>
    </row>
    <row r="598" spans="1:21" hidden="1">
      <c r="A598" s="39" t="s">
        <v>774</v>
      </c>
      <c r="B598" s="6">
        <f>_xlfn.XLOOKUP(Jnl[[#This Row],[TrxId]], Trx[Id], Trx[Date],,0)</f>
        <v>46053</v>
      </c>
      <c r="C598" s="6" t="str">
        <f>_xlfn.XLOOKUP(Jnl[[#This Row],[TrxId]], Trx[Id], Trx[Division],,0)</f>
        <v>Online</v>
      </c>
      <c r="D598" s="6" t="str">
        <f>_xlfn.XLOOKUP(Jnl[[#This Row],[TrxId]], Trx[Id], Trx[Action],,0)</f>
        <v>采购</v>
      </c>
      <c r="E598" s="27" t="s">
        <v>82</v>
      </c>
      <c r="F598" s="10" t="s">
        <v>596</v>
      </c>
      <c r="G598" s="10" t="s">
        <v>396</v>
      </c>
      <c r="H598" s="37">
        <v>-4977.7</v>
      </c>
      <c r="I598" s="11" t="b">
        <f>AND(Jnl[[#This Row],[TrxId]]&lt;&gt;"",Jnl[[#This Row],[Acct]]&lt;&gt;"",Jnl[[#This Row],[Item]]&lt;&gt;"",ISNUMBER(Jnl[[#This Row],[Bal]]))</f>
        <v>1</v>
      </c>
      <c r="J598" s="9">
        <f>IF(Jnl[[#This Row],[BSLv0]]="A",1,-1)*Jnl[[#This Row],[Bal]]</f>
        <v>-4977.7</v>
      </c>
      <c r="K598" t="str">
        <f>_xlfn.XLOOKUP(Jnl[[#This Row],[Acct]], config_BS[Acct], config_BS[Lv0],,0)</f>
        <v>A</v>
      </c>
      <c r="L598" t="str">
        <f>_xlfn.XLOOKUP(Jnl[[#This Row],[Acct]], config_BS[Acct], config_BS[Lv1],,0)</f>
        <v>Assets</v>
      </c>
      <c r="M598" t="str">
        <f>_xlfn.XLOOKUP(Jnl[[#This Row],[Acct]], config_BS[Acct], config_BS[Lv2],,0)</f>
        <v>Cash alike</v>
      </c>
      <c r="N598" t="str">
        <f>_xlfn.XLOOKUP(Jnl[[#This Row],[TrxId]], Trx[Id], Trx[IncNode], ,0)</f>
        <v>Cost</v>
      </c>
      <c r="O598" t="str">
        <f>_xlfn.XLOOKUP(Jnl[[#This Row],[IncNode]], config_IS[Node], config_IS[Type],,0)</f>
        <v>Op</v>
      </c>
      <c r="P598" t="str">
        <f>_xlfn.XLOOKUP(Jnl[[#This Row],[BSLv2]], dict[Key], dict[Name],,0)</f>
        <v>0.现金及类似</v>
      </c>
      <c r="Q598" t="str">
        <f>_xlfn.XLOOKUP(Jnl[[#This Row],[Acct]], dict[Key], dict[Name],,0)</f>
        <v>银行</v>
      </c>
      <c r="R598" t="str">
        <f>_xlfn.XLOOKUP(Jnl[[#This Row],[Vehicle]],config_vehicle[Id], config_vehicle[Name],,0)</f>
        <v>远家花园</v>
      </c>
      <c r="S598" t="str">
        <f>_xlfn.XLOOKUP(Jnl[[#This Row],[Division]],config_div[Id], config_div[Name],,0)</f>
        <v>网店</v>
      </c>
      <c r="T598" t="str">
        <f>IF(Jnl[[#This Row],[TrxDate]]&lt;=stmt_BS_date_end, "In", "Out")</f>
        <v>In</v>
      </c>
      <c r="U598" t="str">
        <f>IF(Jnl[[#This Row],[TrxDate]]&lt;debug_date_start, "prior", IF(Jnl[[#This Row],[TrxDate]]&gt;debug_date_end, "post", "curr"))</f>
        <v>curr</v>
      </c>
    </row>
    <row r="599" spans="1:21" hidden="1">
      <c r="A599" s="39" t="s">
        <v>775</v>
      </c>
      <c r="B599" s="6">
        <f>_xlfn.XLOOKUP(Jnl[[#This Row],[TrxId]], Trx[Id], Trx[Date],,0)</f>
        <v>46053</v>
      </c>
      <c r="C599" s="6" t="str">
        <f>_xlfn.XLOOKUP(Jnl[[#This Row],[TrxId]], Trx[Id], Trx[Division],,0)</f>
        <v>Online</v>
      </c>
      <c r="D599" s="6" t="str">
        <f>_xlfn.XLOOKUP(Jnl[[#This Row],[TrxId]], Trx[Id], Trx[Action],,0)</f>
        <v>采购</v>
      </c>
      <c r="E599" s="27" t="s">
        <v>82</v>
      </c>
      <c r="F599" s="10" t="s">
        <v>604</v>
      </c>
      <c r="G599" s="10" t="s">
        <v>154</v>
      </c>
      <c r="H599" s="37">
        <v>19338</v>
      </c>
      <c r="I599" s="11" t="b">
        <f>AND(Jnl[[#This Row],[TrxId]]&lt;&gt;"",Jnl[[#This Row],[Acct]]&lt;&gt;"",Jnl[[#This Row],[Item]]&lt;&gt;"",ISNUMBER(Jnl[[#This Row],[Bal]]))</f>
        <v>1</v>
      </c>
      <c r="J599" s="9">
        <f>IF(Jnl[[#This Row],[BSLv0]]="A",1,-1)*Jnl[[#This Row],[Bal]]</f>
        <v>19338</v>
      </c>
      <c r="K599" t="str">
        <f>_xlfn.XLOOKUP(Jnl[[#This Row],[Acct]], config_BS[Acct], config_BS[Lv0],,0)</f>
        <v>A</v>
      </c>
      <c r="L599" t="str">
        <f>_xlfn.XLOOKUP(Jnl[[#This Row],[Acct]], config_BS[Acct], config_BS[Lv1],,0)</f>
        <v>Assets</v>
      </c>
      <c r="M599" t="str">
        <f>_xlfn.XLOOKUP(Jnl[[#This Row],[Acct]], config_BS[Acct], config_BS[Lv2],,0)</f>
        <v>Invtr</v>
      </c>
      <c r="N599" t="str">
        <f>_xlfn.XLOOKUP(Jnl[[#This Row],[TrxId]], Trx[Id], Trx[IncNode], ,0)</f>
        <v>Cost</v>
      </c>
      <c r="O599" t="str">
        <f>_xlfn.XLOOKUP(Jnl[[#This Row],[IncNode]], config_IS[Node], config_IS[Type],,0)</f>
        <v>Op</v>
      </c>
      <c r="P599" t="str">
        <f>_xlfn.XLOOKUP(Jnl[[#This Row],[BSLv2]], dict[Key], dict[Name],,0)</f>
        <v>3.库存占款</v>
      </c>
      <c r="Q599" t="str">
        <f>_xlfn.XLOOKUP(Jnl[[#This Row],[Acct]], dict[Key], dict[Name],,0)</f>
        <v>当期存货</v>
      </c>
      <c r="R599" t="str">
        <f>_xlfn.XLOOKUP(Jnl[[#This Row],[Vehicle]],config_vehicle[Id], config_vehicle[Name],,0)</f>
        <v>远家花园</v>
      </c>
      <c r="S599" t="str">
        <f>_xlfn.XLOOKUP(Jnl[[#This Row],[Division]],config_div[Id], config_div[Name],,0)</f>
        <v>网店</v>
      </c>
      <c r="T599" t="str">
        <f>IF(Jnl[[#This Row],[TrxDate]]&lt;=stmt_BS_date_end, "In", "Out")</f>
        <v>In</v>
      </c>
      <c r="U599" t="str">
        <f>IF(Jnl[[#This Row],[TrxDate]]&lt;debug_date_start, "prior", IF(Jnl[[#This Row],[TrxDate]]&gt;debug_date_end, "post", "curr"))</f>
        <v>curr</v>
      </c>
    </row>
    <row r="600" spans="1:21" hidden="1">
      <c r="A600" s="39" t="s">
        <v>775</v>
      </c>
      <c r="B600" s="6">
        <f>_xlfn.XLOOKUP(Jnl[[#This Row],[TrxId]], Trx[Id], Trx[Date],,0)</f>
        <v>46053</v>
      </c>
      <c r="C600" s="6" t="str">
        <f>_xlfn.XLOOKUP(Jnl[[#This Row],[TrxId]], Trx[Id], Trx[Division],,0)</f>
        <v>Online</v>
      </c>
      <c r="D600" s="6" t="str">
        <f>_xlfn.XLOOKUP(Jnl[[#This Row],[TrxId]], Trx[Id], Trx[Action],,0)</f>
        <v>采购</v>
      </c>
      <c r="E600" s="27" t="s">
        <v>82</v>
      </c>
      <c r="F600" s="10" t="s">
        <v>596</v>
      </c>
      <c r="G600" s="10" t="s">
        <v>396</v>
      </c>
      <c r="H600" s="37">
        <v>-19338</v>
      </c>
      <c r="I600" s="11" t="b">
        <f>AND(Jnl[[#This Row],[TrxId]]&lt;&gt;"",Jnl[[#This Row],[Acct]]&lt;&gt;"",Jnl[[#This Row],[Item]]&lt;&gt;"",ISNUMBER(Jnl[[#This Row],[Bal]]))</f>
        <v>1</v>
      </c>
      <c r="J600" s="9">
        <f>IF(Jnl[[#This Row],[BSLv0]]="A",1,-1)*Jnl[[#This Row],[Bal]]</f>
        <v>-19338</v>
      </c>
      <c r="K600" t="str">
        <f>_xlfn.XLOOKUP(Jnl[[#This Row],[Acct]], config_BS[Acct], config_BS[Lv0],,0)</f>
        <v>A</v>
      </c>
      <c r="L600" t="str">
        <f>_xlfn.XLOOKUP(Jnl[[#This Row],[Acct]], config_BS[Acct], config_BS[Lv1],,0)</f>
        <v>Assets</v>
      </c>
      <c r="M600" t="str">
        <f>_xlfn.XLOOKUP(Jnl[[#This Row],[Acct]], config_BS[Acct], config_BS[Lv2],,0)</f>
        <v>Cash alike</v>
      </c>
      <c r="N600" t="str">
        <f>_xlfn.XLOOKUP(Jnl[[#This Row],[TrxId]], Trx[Id], Trx[IncNode], ,0)</f>
        <v>Cost</v>
      </c>
      <c r="O600" t="str">
        <f>_xlfn.XLOOKUP(Jnl[[#This Row],[IncNode]], config_IS[Node], config_IS[Type],,0)</f>
        <v>Op</v>
      </c>
      <c r="P600" t="str">
        <f>_xlfn.XLOOKUP(Jnl[[#This Row],[BSLv2]], dict[Key], dict[Name],,0)</f>
        <v>0.现金及类似</v>
      </c>
      <c r="Q600" t="str">
        <f>_xlfn.XLOOKUP(Jnl[[#This Row],[Acct]], dict[Key], dict[Name],,0)</f>
        <v>银行</v>
      </c>
      <c r="R600" t="str">
        <f>_xlfn.XLOOKUP(Jnl[[#This Row],[Vehicle]],config_vehicle[Id], config_vehicle[Name],,0)</f>
        <v>远家花园</v>
      </c>
      <c r="S600" t="str">
        <f>_xlfn.XLOOKUP(Jnl[[#This Row],[Division]],config_div[Id], config_div[Name],,0)</f>
        <v>网店</v>
      </c>
      <c r="T600" t="str">
        <f>IF(Jnl[[#This Row],[TrxDate]]&lt;=stmt_BS_date_end, "In", "Out")</f>
        <v>In</v>
      </c>
      <c r="U600" t="str">
        <f>IF(Jnl[[#This Row],[TrxDate]]&lt;debug_date_start, "prior", IF(Jnl[[#This Row],[TrxDate]]&gt;debug_date_end, "post", "curr"))</f>
        <v>curr</v>
      </c>
    </row>
    <row r="601" spans="1:21" hidden="1">
      <c r="A601" s="39" t="s">
        <v>776</v>
      </c>
      <c r="B601" s="6">
        <f>_xlfn.XLOOKUP(Jnl[[#This Row],[TrxId]], Trx[Id], Trx[Date],,0)</f>
        <v>46053</v>
      </c>
      <c r="C601" s="6" t="str">
        <f>_xlfn.XLOOKUP(Jnl[[#This Row],[TrxId]], Trx[Id], Trx[Division],,0)</f>
        <v>Online</v>
      </c>
      <c r="D601" s="6" t="str">
        <f>_xlfn.XLOOKUP(Jnl[[#This Row],[TrxId]], Trx[Id], Trx[Action],,0)</f>
        <v>采购</v>
      </c>
      <c r="E601" s="27" t="s">
        <v>82</v>
      </c>
      <c r="F601" s="10" t="s">
        <v>604</v>
      </c>
      <c r="G601" s="10" t="s">
        <v>154</v>
      </c>
      <c r="H601" s="37">
        <f>-H602</f>
        <v>28184</v>
      </c>
      <c r="I601" s="11" t="b">
        <f>AND(Jnl[[#This Row],[TrxId]]&lt;&gt;"",Jnl[[#This Row],[Acct]]&lt;&gt;"",Jnl[[#This Row],[Item]]&lt;&gt;"",ISNUMBER(Jnl[[#This Row],[Bal]]))</f>
        <v>1</v>
      </c>
      <c r="J601" s="9">
        <f>IF(Jnl[[#This Row],[BSLv0]]="A",1,-1)*Jnl[[#This Row],[Bal]]</f>
        <v>28184</v>
      </c>
      <c r="K601" t="str">
        <f>_xlfn.XLOOKUP(Jnl[[#This Row],[Acct]], config_BS[Acct], config_BS[Lv0],,0)</f>
        <v>A</v>
      </c>
      <c r="L601" t="str">
        <f>_xlfn.XLOOKUP(Jnl[[#This Row],[Acct]], config_BS[Acct], config_BS[Lv1],,0)</f>
        <v>Assets</v>
      </c>
      <c r="M601" t="str">
        <f>_xlfn.XLOOKUP(Jnl[[#This Row],[Acct]], config_BS[Acct], config_BS[Lv2],,0)</f>
        <v>Invtr</v>
      </c>
      <c r="N601" t="str">
        <f>_xlfn.XLOOKUP(Jnl[[#This Row],[TrxId]], Trx[Id], Trx[IncNode], ,0)</f>
        <v>Cost</v>
      </c>
      <c r="O601" t="str">
        <f>_xlfn.XLOOKUP(Jnl[[#This Row],[IncNode]], config_IS[Node], config_IS[Type],,0)</f>
        <v>Op</v>
      </c>
      <c r="P601" t="str">
        <f>_xlfn.XLOOKUP(Jnl[[#This Row],[BSLv2]], dict[Key], dict[Name],,0)</f>
        <v>3.库存占款</v>
      </c>
      <c r="Q601" t="str">
        <f>_xlfn.XLOOKUP(Jnl[[#This Row],[Acct]], dict[Key], dict[Name],,0)</f>
        <v>当期存货</v>
      </c>
      <c r="R601" t="str">
        <f>_xlfn.XLOOKUP(Jnl[[#This Row],[Vehicle]],config_vehicle[Id], config_vehicle[Name],,0)</f>
        <v>远家花园</v>
      </c>
      <c r="S601" t="str">
        <f>_xlfn.XLOOKUP(Jnl[[#This Row],[Division]],config_div[Id], config_div[Name],,0)</f>
        <v>网店</v>
      </c>
      <c r="T601" t="str">
        <f>IF(Jnl[[#This Row],[TrxDate]]&lt;=stmt_BS_date_end, "In", "Out")</f>
        <v>In</v>
      </c>
      <c r="U601" t="str">
        <f>IF(Jnl[[#This Row],[TrxDate]]&lt;debug_date_start, "prior", IF(Jnl[[#This Row],[TrxDate]]&gt;debug_date_end, "post", "curr"))</f>
        <v>curr</v>
      </c>
    </row>
    <row r="602" spans="1:21" hidden="1">
      <c r="A602" s="39" t="s">
        <v>776</v>
      </c>
      <c r="B602" s="6">
        <f>_xlfn.XLOOKUP(Jnl[[#This Row],[TrxId]], Trx[Id], Trx[Date],,0)</f>
        <v>46053</v>
      </c>
      <c r="C602" s="6" t="str">
        <f>_xlfn.XLOOKUP(Jnl[[#This Row],[TrxId]], Trx[Id], Trx[Division],,0)</f>
        <v>Online</v>
      </c>
      <c r="D602" s="6" t="str">
        <f>_xlfn.XLOOKUP(Jnl[[#This Row],[TrxId]], Trx[Id], Trx[Action],,0)</f>
        <v>采购</v>
      </c>
      <c r="E602" s="27" t="s">
        <v>82</v>
      </c>
      <c r="F602" s="10" t="s">
        <v>596</v>
      </c>
      <c r="G602" s="10" t="s">
        <v>396</v>
      </c>
      <c r="H602" s="37">
        <v>-28184</v>
      </c>
      <c r="I602" s="11" t="b">
        <f>AND(Jnl[[#This Row],[TrxId]]&lt;&gt;"",Jnl[[#This Row],[Acct]]&lt;&gt;"",Jnl[[#This Row],[Item]]&lt;&gt;"",ISNUMBER(Jnl[[#This Row],[Bal]]))</f>
        <v>1</v>
      </c>
      <c r="J602" s="9">
        <f>IF(Jnl[[#This Row],[BSLv0]]="A",1,-1)*Jnl[[#This Row],[Bal]]</f>
        <v>-28184</v>
      </c>
      <c r="K602" t="str">
        <f>_xlfn.XLOOKUP(Jnl[[#This Row],[Acct]], config_BS[Acct], config_BS[Lv0],,0)</f>
        <v>A</v>
      </c>
      <c r="L602" t="str">
        <f>_xlfn.XLOOKUP(Jnl[[#This Row],[Acct]], config_BS[Acct], config_BS[Lv1],,0)</f>
        <v>Assets</v>
      </c>
      <c r="M602" t="str">
        <f>_xlfn.XLOOKUP(Jnl[[#This Row],[Acct]], config_BS[Acct], config_BS[Lv2],,0)</f>
        <v>Cash alike</v>
      </c>
      <c r="N602" t="str">
        <f>_xlfn.XLOOKUP(Jnl[[#This Row],[TrxId]], Trx[Id], Trx[IncNode], ,0)</f>
        <v>Cost</v>
      </c>
      <c r="O602" t="str">
        <f>_xlfn.XLOOKUP(Jnl[[#This Row],[IncNode]], config_IS[Node], config_IS[Type],,0)</f>
        <v>Op</v>
      </c>
      <c r="P602" t="str">
        <f>_xlfn.XLOOKUP(Jnl[[#This Row],[BSLv2]], dict[Key], dict[Name],,0)</f>
        <v>0.现金及类似</v>
      </c>
      <c r="Q602" t="str">
        <f>_xlfn.XLOOKUP(Jnl[[#This Row],[Acct]], dict[Key], dict[Name],,0)</f>
        <v>银行</v>
      </c>
      <c r="R602" t="str">
        <f>_xlfn.XLOOKUP(Jnl[[#This Row],[Vehicle]],config_vehicle[Id], config_vehicle[Name],,0)</f>
        <v>远家花园</v>
      </c>
      <c r="S602" t="str">
        <f>_xlfn.XLOOKUP(Jnl[[#This Row],[Division]],config_div[Id], config_div[Name],,0)</f>
        <v>网店</v>
      </c>
      <c r="T602" t="str">
        <f>IF(Jnl[[#This Row],[TrxDate]]&lt;=stmt_BS_date_end, "In", "Out")</f>
        <v>In</v>
      </c>
      <c r="U602" t="str">
        <f>IF(Jnl[[#This Row],[TrxDate]]&lt;debug_date_start, "prior", IF(Jnl[[#This Row],[TrxDate]]&gt;debug_date_end, "post", "curr"))</f>
        <v>curr</v>
      </c>
    </row>
    <row r="603" spans="1:21" hidden="1">
      <c r="A603" s="39" t="s">
        <v>777</v>
      </c>
      <c r="B603" s="6">
        <f>_xlfn.XLOOKUP(Jnl[[#This Row],[TrxId]], Trx[Id], Trx[Date],,0)</f>
        <v>46053</v>
      </c>
      <c r="C603" s="6" t="str">
        <f>_xlfn.XLOOKUP(Jnl[[#This Row],[TrxId]], Trx[Id], Trx[Division],,0)</f>
        <v>GM</v>
      </c>
      <c r="D603" s="6" t="str">
        <f>_xlfn.XLOOKUP(Jnl[[#This Row],[TrxId]], Trx[Id], Trx[Action],,0)</f>
        <v>公共设施</v>
      </c>
      <c r="E603" s="27" t="s">
        <v>82</v>
      </c>
      <c r="F603" s="10" t="s">
        <v>498</v>
      </c>
      <c r="G603" s="10" t="s">
        <v>144</v>
      </c>
      <c r="H603" s="37">
        <v>-2514.09</v>
      </c>
      <c r="I603" s="11" t="b">
        <f>AND(Jnl[[#This Row],[TrxId]]&lt;&gt;"",Jnl[[#This Row],[Acct]]&lt;&gt;"",Jnl[[#This Row],[Item]]&lt;&gt;"",ISNUMBER(Jnl[[#This Row],[Bal]]))</f>
        <v>1</v>
      </c>
      <c r="J603" s="9">
        <f>IF(Jnl[[#This Row],[BSLv0]]="A",1,-1)*Jnl[[#This Row],[Bal]]</f>
        <v>-2514.09</v>
      </c>
      <c r="K603" t="str">
        <f>_xlfn.XLOOKUP(Jnl[[#This Row],[Acct]], config_BS[Acct], config_BS[Lv0],,0)</f>
        <v>A</v>
      </c>
      <c r="L603" t="str">
        <f>_xlfn.XLOOKUP(Jnl[[#This Row],[Acct]], config_BS[Acct], config_BS[Lv1],,0)</f>
        <v>Assets</v>
      </c>
      <c r="M603" t="str">
        <f>_xlfn.XLOOKUP(Jnl[[#This Row],[Acct]], config_BS[Acct], config_BS[Lv2],,0)</f>
        <v>Prep-Sub</v>
      </c>
      <c r="N603" t="str">
        <f>_xlfn.XLOOKUP(Jnl[[#This Row],[TrxId]], Trx[Id], Trx[IncNode], ,0)</f>
        <v>Expense</v>
      </c>
      <c r="O603" t="str">
        <f>_xlfn.XLOOKUP(Jnl[[#This Row],[IncNode]], config_IS[Node], config_IS[Type],,0)</f>
        <v>Op</v>
      </c>
      <c r="P603" t="str">
        <f>_xlfn.XLOOKUP(Jnl[[#This Row],[BSLv2]], dict[Key], dict[Name],,0)</f>
        <v>2.预付-订阅</v>
      </c>
      <c r="Q603" t="str">
        <f>_xlfn.XLOOKUP(Jnl[[#This Row],[Acct]], dict[Key], dict[Name],,0)</f>
        <v>预付订单</v>
      </c>
      <c r="R603" t="str">
        <f>_xlfn.XLOOKUP(Jnl[[#This Row],[Vehicle]],config_vehicle[Id], config_vehicle[Name],,0)</f>
        <v>远家花园</v>
      </c>
      <c r="S603" t="str">
        <f>_xlfn.XLOOKUP(Jnl[[#This Row],[Division]],config_div[Id], config_div[Name],,0)</f>
        <v>综合管理</v>
      </c>
      <c r="T603" t="str">
        <f>IF(Jnl[[#This Row],[TrxDate]]&lt;=stmt_BS_date_end, "In", "Out")</f>
        <v>In</v>
      </c>
      <c r="U603" t="str">
        <f>IF(Jnl[[#This Row],[TrxDate]]&lt;debug_date_start, "prior", IF(Jnl[[#This Row],[TrxDate]]&gt;debug_date_end, "post", "curr"))</f>
        <v>curr</v>
      </c>
    </row>
    <row r="604" spans="1:21" hidden="1">
      <c r="A604" s="39" t="s">
        <v>778</v>
      </c>
      <c r="B604" s="6">
        <f>_xlfn.XLOOKUP(Jnl[[#This Row],[TrxId]], Trx[Id], Trx[Date],,0)</f>
        <v>46053</v>
      </c>
      <c r="C604" s="6" t="str">
        <f>_xlfn.XLOOKUP(Jnl[[#This Row],[TrxId]], Trx[Id], Trx[Division],,0)</f>
        <v>GM</v>
      </c>
      <c r="D604" s="6" t="str">
        <f>_xlfn.XLOOKUP(Jnl[[#This Row],[TrxId]], Trx[Id], Trx[Action],,0)</f>
        <v>福利</v>
      </c>
      <c r="E604" s="27" t="s">
        <v>82</v>
      </c>
      <c r="F604" s="10" t="s">
        <v>498</v>
      </c>
      <c r="G604" s="10" t="s">
        <v>144</v>
      </c>
      <c r="H604" s="37">
        <v>-2700</v>
      </c>
      <c r="I604" s="11" t="b">
        <f>AND(Jnl[[#This Row],[TrxId]]&lt;&gt;"",Jnl[[#This Row],[Acct]]&lt;&gt;"",Jnl[[#This Row],[Item]]&lt;&gt;"",ISNUMBER(Jnl[[#This Row],[Bal]]))</f>
        <v>1</v>
      </c>
      <c r="J604" s="9">
        <f>IF(Jnl[[#This Row],[BSLv0]]="A",1,-1)*Jnl[[#This Row],[Bal]]</f>
        <v>-2700</v>
      </c>
      <c r="K604" t="str">
        <f>_xlfn.XLOOKUP(Jnl[[#This Row],[Acct]], config_BS[Acct], config_BS[Lv0],,0)</f>
        <v>A</v>
      </c>
      <c r="L604" t="str">
        <f>_xlfn.XLOOKUP(Jnl[[#This Row],[Acct]], config_BS[Acct], config_BS[Lv1],,0)</f>
        <v>Assets</v>
      </c>
      <c r="M604" t="str">
        <f>_xlfn.XLOOKUP(Jnl[[#This Row],[Acct]], config_BS[Acct], config_BS[Lv2],,0)</f>
        <v>Prep-Sub</v>
      </c>
      <c r="N604" t="str">
        <f>_xlfn.XLOOKUP(Jnl[[#This Row],[TrxId]], Trx[Id], Trx[IncNode], ,0)</f>
        <v>Expense</v>
      </c>
      <c r="O604" t="str">
        <f>_xlfn.XLOOKUP(Jnl[[#This Row],[IncNode]], config_IS[Node], config_IS[Type],,0)</f>
        <v>Op</v>
      </c>
      <c r="P604" t="str">
        <f>_xlfn.XLOOKUP(Jnl[[#This Row],[BSLv2]], dict[Key], dict[Name],,0)</f>
        <v>2.预付-订阅</v>
      </c>
      <c r="Q604" t="str">
        <f>_xlfn.XLOOKUP(Jnl[[#This Row],[Acct]], dict[Key], dict[Name],,0)</f>
        <v>预付订单</v>
      </c>
      <c r="R604" t="str">
        <f>_xlfn.XLOOKUP(Jnl[[#This Row],[Vehicle]],config_vehicle[Id], config_vehicle[Name],,0)</f>
        <v>远家花园</v>
      </c>
      <c r="S604" t="str">
        <f>_xlfn.XLOOKUP(Jnl[[#This Row],[Division]],config_div[Id], config_div[Name],,0)</f>
        <v>综合管理</v>
      </c>
      <c r="T604" t="str">
        <f>IF(Jnl[[#This Row],[TrxDate]]&lt;=stmt_BS_date_end, "In", "Out")</f>
        <v>In</v>
      </c>
      <c r="U604" t="str">
        <f>IF(Jnl[[#This Row],[TrxDate]]&lt;debug_date_start, "prior", IF(Jnl[[#This Row],[TrxDate]]&gt;debug_date_end, "post", "curr"))</f>
        <v>curr</v>
      </c>
    </row>
    <row r="605" spans="1:21" hidden="1">
      <c r="A605" s="39" t="s">
        <v>779</v>
      </c>
      <c r="B605" s="6">
        <f>_xlfn.XLOOKUP(Jnl[[#This Row],[TrxId]], Trx[Id], Trx[Date],,0)</f>
        <v>46053</v>
      </c>
      <c r="C605" s="6" t="str">
        <f>_xlfn.XLOOKUP(Jnl[[#This Row],[TrxId]], Trx[Id], Trx[Division],,0)</f>
        <v>GM</v>
      </c>
      <c r="D605" s="6" t="str">
        <f>_xlfn.XLOOKUP(Jnl[[#This Row],[TrxId]], Trx[Id], Trx[Action],,0)</f>
        <v>办公</v>
      </c>
      <c r="E605" s="27" t="s">
        <v>82</v>
      </c>
      <c r="F605" s="10" t="s">
        <v>596</v>
      </c>
      <c r="G605" s="10" t="s">
        <v>396</v>
      </c>
      <c r="H605" s="37">
        <v>-1425.94</v>
      </c>
      <c r="I605" s="11" t="b">
        <f>AND(Jnl[[#This Row],[TrxId]]&lt;&gt;"",Jnl[[#This Row],[Acct]]&lt;&gt;"",Jnl[[#This Row],[Item]]&lt;&gt;"",ISNUMBER(Jnl[[#This Row],[Bal]]))</f>
        <v>1</v>
      </c>
      <c r="J605" s="9">
        <f>IF(Jnl[[#This Row],[BSLv0]]="A",1,-1)*Jnl[[#This Row],[Bal]]</f>
        <v>-1425.94</v>
      </c>
      <c r="K605" t="str">
        <f>_xlfn.XLOOKUP(Jnl[[#This Row],[Acct]], config_BS[Acct], config_BS[Lv0],,0)</f>
        <v>A</v>
      </c>
      <c r="L605" t="str">
        <f>_xlfn.XLOOKUP(Jnl[[#This Row],[Acct]], config_BS[Acct], config_BS[Lv1],,0)</f>
        <v>Assets</v>
      </c>
      <c r="M605" t="str">
        <f>_xlfn.XLOOKUP(Jnl[[#This Row],[Acct]], config_BS[Acct], config_BS[Lv2],,0)</f>
        <v>Cash alike</v>
      </c>
      <c r="N605" t="str">
        <f>_xlfn.XLOOKUP(Jnl[[#This Row],[TrxId]], Trx[Id], Trx[IncNode], ,0)</f>
        <v>Expense</v>
      </c>
      <c r="O605" t="str">
        <f>_xlfn.XLOOKUP(Jnl[[#This Row],[IncNode]], config_IS[Node], config_IS[Type],,0)</f>
        <v>Op</v>
      </c>
      <c r="P605" t="str">
        <f>_xlfn.XLOOKUP(Jnl[[#This Row],[BSLv2]], dict[Key], dict[Name],,0)</f>
        <v>0.现金及类似</v>
      </c>
      <c r="Q605" t="str">
        <f>_xlfn.XLOOKUP(Jnl[[#This Row],[Acct]], dict[Key], dict[Name],,0)</f>
        <v>银行</v>
      </c>
      <c r="R605" t="str">
        <f>_xlfn.XLOOKUP(Jnl[[#This Row],[Vehicle]],config_vehicle[Id], config_vehicle[Name],,0)</f>
        <v>远家花园</v>
      </c>
      <c r="S605" t="str">
        <f>_xlfn.XLOOKUP(Jnl[[#This Row],[Division]],config_div[Id], config_div[Name],,0)</f>
        <v>综合管理</v>
      </c>
      <c r="T605" t="str">
        <f>IF(Jnl[[#This Row],[TrxDate]]&lt;=stmt_BS_date_end, "In", "Out")</f>
        <v>In</v>
      </c>
      <c r="U605" t="str">
        <f>IF(Jnl[[#This Row],[TrxDate]]&lt;debug_date_start, "prior", IF(Jnl[[#This Row],[TrxDate]]&gt;debug_date_end, "post", "curr"))</f>
        <v>curr</v>
      </c>
    </row>
    <row r="606" spans="1:21" hidden="1">
      <c r="A606" s="39" t="s">
        <v>780</v>
      </c>
      <c r="B606" s="6">
        <f>_xlfn.XLOOKUP(Jnl[[#This Row],[TrxId]], Trx[Id], Trx[Date],,0)</f>
        <v>46053</v>
      </c>
      <c r="C606" s="6" t="str">
        <f>_xlfn.XLOOKUP(Jnl[[#This Row],[TrxId]], Trx[Id], Trx[Division],,0)</f>
        <v>GM</v>
      </c>
      <c r="D606" s="6" t="str">
        <f>_xlfn.XLOOKUP(Jnl[[#This Row],[TrxId]], Trx[Id], Trx[Action],,0)</f>
        <v>福利</v>
      </c>
      <c r="E606" s="27" t="s">
        <v>82</v>
      </c>
      <c r="F606" s="10" t="s">
        <v>596</v>
      </c>
      <c r="G606" s="10" t="s">
        <v>396</v>
      </c>
      <c r="H606" s="37">
        <v>-1432.66</v>
      </c>
      <c r="I606" s="11" t="b">
        <f>AND(Jnl[[#This Row],[TrxId]]&lt;&gt;"",Jnl[[#This Row],[Acct]]&lt;&gt;"",Jnl[[#This Row],[Item]]&lt;&gt;"",ISNUMBER(Jnl[[#This Row],[Bal]]))</f>
        <v>1</v>
      </c>
      <c r="J606" s="9">
        <f>IF(Jnl[[#This Row],[BSLv0]]="A",1,-1)*Jnl[[#This Row],[Bal]]</f>
        <v>-1432.66</v>
      </c>
      <c r="K606" t="str">
        <f>_xlfn.XLOOKUP(Jnl[[#This Row],[Acct]], config_BS[Acct], config_BS[Lv0],,0)</f>
        <v>A</v>
      </c>
      <c r="L606" t="str">
        <f>_xlfn.XLOOKUP(Jnl[[#This Row],[Acct]], config_BS[Acct], config_BS[Lv1],,0)</f>
        <v>Assets</v>
      </c>
      <c r="M606" t="str">
        <f>_xlfn.XLOOKUP(Jnl[[#This Row],[Acct]], config_BS[Acct], config_BS[Lv2],,0)</f>
        <v>Cash alike</v>
      </c>
      <c r="N606" t="str">
        <f>_xlfn.XLOOKUP(Jnl[[#This Row],[TrxId]], Trx[Id], Trx[IncNode], ,0)</f>
        <v>Expense</v>
      </c>
      <c r="O606" t="str">
        <f>_xlfn.XLOOKUP(Jnl[[#This Row],[IncNode]], config_IS[Node], config_IS[Type],,0)</f>
        <v>Op</v>
      </c>
      <c r="P606" t="str">
        <f>_xlfn.XLOOKUP(Jnl[[#This Row],[BSLv2]], dict[Key], dict[Name],,0)</f>
        <v>0.现金及类似</v>
      </c>
      <c r="Q606" t="str">
        <f>_xlfn.XLOOKUP(Jnl[[#This Row],[Acct]], dict[Key], dict[Name],,0)</f>
        <v>银行</v>
      </c>
      <c r="R606" t="str">
        <f>_xlfn.XLOOKUP(Jnl[[#This Row],[Vehicle]],config_vehicle[Id], config_vehicle[Name],,0)</f>
        <v>远家花园</v>
      </c>
      <c r="S606" t="str">
        <f>_xlfn.XLOOKUP(Jnl[[#This Row],[Division]],config_div[Id], config_div[Name],,0)</f>
        <v>综合管理</v>
      </c>
      <c r="T606" t="str">
        <f>IF(Jnl[[#This Row],[TrxDate]]&lt;=stmt_BS_date_end, "In", "Out")</f>
        <v>In</v>
      </c>
      <c r="U606" t="str">
        <f>IF(Jnl[[#This Row],[TrxDate]]&lt;debug_date_start, "prior", IF(Jnl[[#This Row],[TrxDate]]&gt;debug_date_end, "post", "curr"))</f>
        <v>curr</v>
      </c>
    </row>
    <row r="607" spans="1:21" hidden="1">
      <c r="A607" s="39" t="s">
        <v>781</v>
      </c>
      <c r="B607" s="6">
        <f>_xlfn.XLOOKUP(Jnl[[#This Row],[TrxId]], Trx[Id], Trx[Date],,0)</f>
        <v>46053</v>
      </c>
      <c r="C607" s="6" t="str">
        <f>_xlfn.XLOOKUP(Jnl[[#This Row],[TrxId]], Trx[Id], Trx[Division],,0)</f>
        <v>GM</v>
      </c>
      <c r="D607" s="6" t="str">
        <f>_xlfn.XLOOKUP(Jnl[[#This Row],[TrxId]], Trx[Id], Trx[Action],,0)</f>
        <v>办公</v>
      </c>
      <c r="E607" s="27" t="s">
        <v>82</v>
      </c>
      <c r="F607" s="10" t="s">
        <v>596</v>
      </c>
      <c r="G607" s="10" t="s">
        <v>396</v>
      </c>
      <c r="H607" s="37">
        <v>-666.24</v>
      </c>
      <c r="I607" s="11" t="b">
        <f>AND(Jnl[[#This Row],[TrxId]]&lt;&gt;"",Jnl[[#This Row],[Acct]]&lt;&gt;"",Jnl[[#This Row],[Item]]&lt;&gt;"",ISNUMBER(Jnl[[#This Row],[Bal]]))</f>
        <v>1</v>
      </c>
      <c r="J607" s="9">
        <f>IF(Jnl[[#This Row],[BSLv0]]="A",1,-1)*Jnl[[#This Row],[Bal]]</f>
        <v>-666.24</v>
      </c>
      <c r="K607" t="str">
        <f>_xlfn.XLOOKUP(Jnl[[#This Row],[Acct]], config_BS[Acct], config_BS[Lv0],,0)</f>
        <v>A</v>
      </c>
      <c r="L607" t="str">
        <f>_xlfn.XLOOKUP(Jnl[[#This Row],[Acct]], config_BS[Acct], config_BS[Lv1],,0)</f>
        <v>Assets</v>
      </c>
      <c r="M607" t="str">
        <f>_xlfn.XLOOKUP(Jnl[[#This Row],[Acct]], config_BS[Acct], config_BS[Lv2],,0)</f>
        <v>Cash alike</v>
      </c>
      <c r="N607" t="str">
        <f>_xlfn.XLOOKUP(Jnl[[#This Row],[TrxId]], Trx[Id], Trx[IncNode], ,0)</f>
        <v>Expense</v>
      </c>
      <c r="O607" t="str">
        <f>_xlfn.XLOOKUP(Jnl[[#This Row],[IncNode]], config_IS[Node], config_IS[Type],,0)</f>
        <v>Op</v>
      </c>
      <c r="P607" t="str">
        <f>_xlfn.XLOOKUP(Jnl[[#This Row],[BSLv2]], dict[Key], dict[Name],,0)</f>
        <v>0.现金及类似</v>
      </c>
      <c r="Q607" t="str">
        <f>_xlfn.XLOOKUP(Jnl[[#This Row],[Acct]], dict[Key], dict[Name],,0)</f>
        <v>银行</v>
      </c>
      <c r="R607" t="str">
        <f>_xlfn.XLOOKUP(Jnl[[#This Row],[Vehicle]],config_vehicle[Id], config_vehicle[Name],,0)</f>
        <v>远家花园</v>
      </c>
      <c r="S607" t="str">
        <f>_xlfn.XLOOKUP(Jnl[[#This Row],[Division]],config_div[Id], config_div[Name],,0)</f>
        <v>综合管理</v>
      </c>
      <c r="T607" t="str">
        <f>IF(Jnl[[#This Row],[TrxDate]]&lt;=stmt_BS_date_end, "In", "Out")</f>
        <v>In</v>
      </c>
      <c r="U607" t="str">
        <f>IF(Jnl[[#This Row],[TrxDate]]&lt;debug_date_start, "prior", IF(Jnl[[#This Row],[TrxDate]]&gt;debug_date_end, "post", "curr"))</f>
        <v>curr</v>
      </c>
    </row>
    <row r="608" spans="1:21" hidden="1">
      <c r="A608" s="39" t="s">
        <v>782</v>
      </c>
      <c r="B608" s="6">
        <f>_xlfn.XLOOKUP(Jnl[[#This Row],[TrxId]], Trx[Id], Trx[Date],,0)</f>
        <v>46053</v>
      </c>
      <c r="C608" s="6" t="str">
        <f>_xlfn.XLOOKUP(Jnl[[#This Row],[TrxId]], Trx[Id], Trx[Division],,0)</f>
        <v>GM</v>
      </c>
      <c r="D608" s="6" t="str">
        <f>_xlfn.XLOOKUP(Jnl[[#This Row],[TrxId]], Trx[Id], Trx[Action],,0)</f>
        <v>交通</v>
      </c>
      <c r="E608" s="27" t="s">
        <v>82</v>
      </c>
      <c r="F608" s="10" t="s">
        <v>596</v>
      </c>
      <c r="G608" s="10" t="s">
        <v>396</v>
      </c>
      <c r="H608" s="37">
        <v>-374.04</v>
      </c>
      <c r="I608" s="11" t="b">
        <f>AND(Jnl[[#This Row],[TrxId]]&lt;&gt;"",Jnl[[#This Row],[Acct]]&lt;&gt;"",Jnl[[#This Row],[Item]]&lt;&gt;"",ISNUMBER(Jnl[[#This Row],[Bal]]))</f>
        <v>1</v>
      </c>
      <c r="J608" s="9">
        <f>IF(Jnl[[#This Row],[BSLv0]]="A",1,-1)*Jnl[[#This Row],[Bal]]</f>
        <v>-374.04</v>
      </c>
      <c r="K608" t="str">
        <f>_xlfn.XLOOKUP(Jnl[[#This Row],[Acct]], config_BS[Acct], config_BS[Lv0],,0)</f>
        <v>A</v>
      </c>
      <c r="L608" t="str">
        <f>_xlfn.XLOOKUP(Jnl[[#This Row],[Acct]], config_BS[Acct], config_BS[Lv1],,0)</f>
        <v>Assets</v>
      </c>
      <c r="M608" t="str">
        <f>_xlfn.XLOOKUP(Jnl[[#This Row],[Acct]], config_BS[Acct], config_BS[Lv2],,0)</f>
        <v>Cash alike</v>
      </c>
      <c r="N608" t="str">
        <f>_xlfn.XLOOKUP(Jnl[[#This Row],[TrxId]], Trx[Id], Trx[IncNode], ,0)</f>
        <v>Expense</v>
      </c>
      <c r="O608" t="str">
        <f>_xlfn.XLOOKUP(Jnl[[#This Row],[IncNode]], config_IS[Node], config_IS[Type],,0)</f>
        <v>Op</v>
      </c>
      <c r="P608" t="str">
        <f>_xlfn.XLOOKUP(Jnl[[#This Row],[BSLv2]], dict[Key], dict[Name],,0)</f>
        <v>0.现金及类似</v>
      </c>
      <c r="Q608" t="str">
        <f>_xlfn.XLOOKUP(Jnl[[#This Row],[Acct]], dict[Key], dict[Name],,0)</f>
        <v>银行</v>
      </c>
      <c r="R608" t="str">
        <f>_xlfn.XLOOKUP(Jnl[[#This Row],[Vehicle]],config_vehicle[Id], config_vehicle[Name],,0)</f>
        <v>远家花园</v>
      </c>
      <c r="S608" t="str">
        <f>_xlfn.XLOOKUP(Jnl[[#This Row],[Division]],config_div[Id], config_div[Name],,0)</f>
        <v>综合管理</v>
      </c>
      <c r="T608" t="str">
        <f>IF(Jnl[[#This Row],[TrxDate]]&lt;=stmt_BS_date_end, "In", "Out")</f>
        <v>In</v>
      </c>
      <c r="U608" t="str">
        <f>IF(Jnl[[#This Row],[TrxDate]]&lt;debug_date_start, "prior", IF(Jnl[[#This Row],[TrxDate]]&gt;debug_date_end, "post", "curr"))</f>
        <v>curr</v>
      </c>
    </row>
    <row r="609" spans="1:21" hidden="1">
      <c r="A609" s="39" t="s">
        <v>784</v>
      </c>
      <c r="B609" s="6">
        <f>_xlfn.XLOOKUP(Jnl[[#This Row],[TrxId]], Trx[Id], Trx[Date],,0)</f>
        <v>46053</v>
      </c>
      <c r="C609" s="6" t="str">
        <f>_xlfn.XLOOKUP(Jnl[[#This Row],[TrxId]], Trx[Id], Trx[Division],,0)</f>
        <v>Brand</v>
      </c>
      <c r="D609" s="6" t="str">
        <f>_xlfn.XLOOKUP(Jnl[[#This Row],[TrxId]], Trx[Id], Trx[Action],,0)</f>
        <v>拍摄</v>
      </c>
      <c r="E609" s="27" t="s">
        <v>82</v>
      </c>
      <c r="F609" s="10" t="s">
        <v>596</v>
      </c>
      <c r="G609" s="10" t="s">
        <v>396</v>
      </c>
      <c r="H609" s="37">
        <v>-905</v>
      </c>
      <c r="I609" s="11" t="b">
        <f>AND(Jnl[[#This Row],[TrxId]]&lt;&gt;"",Jnl[[#This Row],[Acct]]&lt;&gt;"",Jnl[[#This Row],[Item]]&lt;&gt;"",ISNUMBER(Jnl[[#This Row],[Bal]]))</f>
        <v>1</v>
      </c>
      <c r="J609" s="9">
        <f>IF(Jnl[[#This Row],[BSLv0]]="A",1,-1)*Jnl[[#This Row],[Bal]]</f>
        <v>-905</v>
      </c>
      <c r="K609" t="str">
        <f>_xlfn.XLOOKUP(Jnl[[#This Row],[Acct]], config_BS[Acct], config_BS[Lv0],,0)</f>
        <v>A</v>
      </c>
      <c r="L609" t="str">
        <f>_xlfn.XLOOKUP(Jnl[[#This Row],[Acct]], config_BS[Acct], config_BS[Lv1],,0)</f>
        <v>Assets</v>
      </c>
      <c r="M609" t="str">
        <f>_xlfn.XLOOKUP(Jnl[[#This Row],[Acct]], config_BS[Acct], config_BS[Lv2],,0)</f>
        <v>Cash alike</v>
      </c>
      <c r="N609" t="str">
        <f>_xlfn.XLOOKUP(Jnl[[#This Row],[TrxId]], Trx[Id], Trx[IncNode], ,0)</f>
        <v>Expense</v>
      </c>
      <c r="O609" t="str">
        <f>_xlfn.XLOOKUP(Jnl[[#This Row],[IncNode]], config_IS[Node], config_IS[Type],,0)</f>
        <v>Op</v>
      </c>
      <c r="P609" t="str">
        <f>_xlfn.XLOOKUP(Jnl[[#This Row],[BSLv2]], dict[Key], dict[Name],,0)</f>
        <v>0.现金及类似</v>
      </c>
      <c r="Q609" t="str">
        <f>_xlfn.XLOOKUP(Jnl[[#This Row],[Acct]], dict[Key], dict[Name],,0)</f>
        <v>银行</v>
      </c>
      <c r="R609" t="str">
        <f>_xlfn.XLOOKUP(Jnl[[#This Row],[Vehicle]],config_vehicle[Id], config_vehicle[Name],,0)</f>
        <v>远家花园</v>
      </c>
      <c r="S609" t="str">
        <f>_xlfn.XLOOKUP(Jnl[[#This Row],[Division]],config_div[Id], config_div[Name],,0)</f>
        <v>品牌</v>
      </c>
      <c r="T609" t="str">
        <f>IF(Jnl[[#This Row],[TrxDate]]&lt;=stmt_BS_date_end, "In", "Out")</f>
        <v>In</v>
      </c>
      <c r="U609" t="str">
        <f>IF(Jnl[[#This Row],[TrxDate]]&lt;debug_date_start, "prior", IF(Jnl[[#This Row],[TrxDate]]&gt;debug_date_end, "post", "curr"))</f>
        <v>curr</v>
      </c>
    </row>
    <row r="610" spans="1:21" hidden="1">
      <c r="A610" s="39" t="s">
        <v>785</v>
      </c>
      <c r="B610" s="6">
        <f>_xlfn.XLOOKUP(Jnl[[#This Row],[TrxId]], Trx[Id], Trx[Date],,0)</f>
        <v>46053</v>
      </c>
      <c r="C610" s="6" t="str">
        <f>_xlfn.XLOOKUP(Jnl[[#This Row],[TrxId]], Trx[Id], Trx[Division],,0)</f>
        <v>Brand</v>
      </c>
      <c r="D610" s="6" t="str">
        <f>_xlfn.XLOOKUP(Jnl[[#This Row],[TrxId]], Trx[Id], Trx[Action],,0)</f>
        <v>商标</v>
      </c>
      <c r="E610" s="27" t="s">
        <v>82</v>
      </c>
      <c r="F610" s="10" t="s">
        <v>596</v>
      </c>
      <c r="G610" s="10" t="s">
        <v>396</v>
      </c>
      <c r="H610" s="37">
        <v>-7200</v>
      </c>
      <c r="I610" s="11" t="b">
        <f>AND(Jnl[[#This Row],[TrxId]]&lt;&gt;"",Jnl[[#This Row],[Acct]]&lt;&gt;"",Jnl[[#This Row],[Item]]&lt;&gt;"",ISNUMBER(Jnl[[#This Row],[Bal]]))</f>
        <v>1</v>
      </c>
      <c r="J610" s="9">
        <f>IF(Jnl[[#This Row],[BSLv0]]="A",1,-1)*Jnl[[#This Row],[Bal]]</f>
        <v>-7200</v>
      </c>
      <c r="K610" t="str">
        <f>_xlfn.XLOOKUP(Jnl[[#This Row],[Acct]], config_BS[Acct], config_BS[Lv0],,0)</f>
        <v>A</v>
      </c>
      <c r="L610" t="str">
        <f>_xlfn.XLOOKUP(Jnl[[#This Row],[Acct]], config_BS[Acct], config_BS[Lv1],,0)</f>
        <v>Assets</v>
      </c>
      <c r="M610" t="str">
        <f>_xlfn.XLOOKUP(Jnl[[#This Row],[Acct]], config_BS[Acct], config_BS[Lv2],,0)</f>
        <v>Cash alike</v>
      </c>
      <c r="N610" t="str">
        <f>_xlfn.XLOOKUP(Jnl[[#This Row],[TrxId]], Trx[Id], Trx[IncNode], ,0)</f>
        <v>Expense</v>
      </c>
      <c r="O610" t="str">
        <f>_xlfn.XLOOKUP(Jnl[[#This Row],[IncNode]], config_IS[Node], config_IS[Type],,0)</f>
        <v>Op</v>
      </c>
      <c r="P610" t="str">
        <f>_xlfn.XLOOKUP(Jnl[[#This Row],[BSLv2]], dict[Key], dict[Name],,0)</f>
        <v>0.现金及类似</v>
      </c>
      <c r="Q610" t="str">
        <f>_xlfn.XLOOKUP(Jnl[[#This Row],[Acct]], dict[Key], dict[Name],,0)</f>
        <v>银行</v>
      </c>
      <c r="R610" t="str">
        <f>_xlfn.XLOOKUP(Jnl[[#This Row],[Vehicle]],config_vehicle[Id], config_vehicle[Name],,0)</f>
        <v>远家花园</v>
      </c>
      <c r="S610" t="str">
        <f>_xlfn.XLOOKUP(Jnl[[#This Row],[Division]],config_div[Id], config_div[Name],,0)</f>
        <v>品牌</v>
      </c>
      <c r="T610" t="str">
        <f>IF(Jnl[[#This Row],[TrxDate]]&lt;=stmt_BS_date_end, "In", "Out")</f>
        <v>In</v>
      </c>
      <c r="U610" t="str">
        <f>IF(Jnl[[#This Row],[TrxDate]]&lt;debug_date_start, "prior", IF(Jnl[[#This Row],[TrxDate]]&gt;debug_date_end, "post", "curr"))</f>
        <v>curr</v>
      </c>
    </row>
    <row r="611" spans="1:21" hidden="1">
      <c r="A611" s="39" t="s">
        <v>787</v>
      </c>
      <c r="B611" s="6">
        <f>_xlfn.XLOOKUP(Jnl[[#This Row],[TrxId]], Trx[Id], Trx[Date],,0)</f>
        <v>46053</v>
      </c>
      <c r="C611" s="6" t="str">
        <f>_xlfn.XLOOKUP(Jnl[[#This Row],[TrxId]], Trx[Id], Trx[Division],,0)</f>
        <v>Online</v>
      </c>
      <c r="D611" s="6" t="str">
        <f>_xlfn.XLOOKUP(Jnl[[#This Row],[TrxId]], Trx[Id], Trx[Action],,0)</f>
        <v>采购</v>
      </c>
      <c r="E611" s="27" t="s">
        <v>82</v>
      </c>
      <c r="F611" s="10" t="s">
        <v>604</v>
      </c>
      <c r="G611" s="10" t="s">
        <v>154</v>
      </c>
      <c r="H611" s="37">
        <f>-H612</f>
        <v>8377.5</v>
      </c>
      <c r="I611" s="11" t="b">
        <f>AND(Jnl[[#This Row],[TrxId]]&lt;&gt;"",Jnl[[#This Row],[Acct]]&lt;&gt;"",Jnl[[#This Row],[Item]]&lt;&gt;"",ISNUMBER(Jnl[[#This Row],[Bal]]))</f>
        <v>1</v>
      </c>
      <c r="J611" s="9">
        <f>IF(Jnl[[#This Row],[BSLv0]]="A",1,-1)*Jnl[[#This Row],[Bal]]</f>
        <v>8377.5</v>
      </c>
      <c r="K611" t="str">
        <f>_xlfn.XLOOKUP(Jnl[[#This Row],[Acct]], config_BS[Acct], config_BS[Lv0],,0)</f>
        <v>A</v>
      </c>
      <c r="L611" t="str">
        <f>_xlfn.XLOOKUP(Jnl[[#This Row],[Acct]], config_BS[Acct], config_BS[Lv1],,0)</f>
        <v>Assets</v>
      </c>
      <c r="M611" t="str">
        <f>_xlfn.XLOOKUP(Jnl[[#This Row],[Acct]], config_BS[Acct], config_BS[Lv2],,0)</f>
        <v>Invtr</v>
      </c>
      <c r="N611" t="str">
        <f>_xlfn.XLOOKUP(Jnl[[#This Row],[TrxId]], Trx[Id], Trx[IncNode], ,0)</f>
        <v>Cost</v>
      </c>
      <c r="O611" t="str">
        <f>_xlfn.XLOOKUP(Jnl[[#This Row],[IncNode]], config_IS[Node], config_IS[Type],,0)</f>
        <v>Op</v>
      </c>
      <c r="P611" t="str">
        <f>_xlfn.XLOOKUP(Jnl[[#This Row],[BSLv2]], dict[Key], dict[Name],,0)</f>
        <v>3.库存占款</v>
      </c>
      <c r="Q611" t="str">
        <f>_xlfn.XLOOKUP(Jnl[[#This Row],[Acct]], dict[Key], dict[Name],,0)</f>
        <v>当期存货</v>
      </c>
      <c r="R611" t="str">
        <f>_xlfn.XLOOKUP(Jnl[[#This Row],[Vehicle]],config_vehicle[Id], config_vehicle[Name],,0)</f>
        <v>远家花园</v>
      </c>
      <c r="S611" t="str">
        <f>_xlfn.XLOOKUP(Jnl[[#This Row],[Division]],config_div[Id], config_div[Name],,0)</f>
        <v>网店</v>
      </c>
      <c r="T611" t="str">
        <f>IF(Jnl[[#This Row],[TrxDate]]&lt;=stmt_BS_date_end, "In", "Out")</f>
        <v>In</v>
      </c>
      <c r="U611" t="str">
        <f>IF(Jnl[[#This Row],[TrxDate]]&lt;debug_date_start, "prior", IF(Jnl[[#This Row],[TrxDate]]&gt;debug_date_end, "post", "curr"))</f>
        <v>curr</v>
      </c>
    </row>
    <row r="612" spans="1:21" hidden="1">
      <c r="A612" s="39" t="s">
        <v>787</v>
      </c>
      <c r="B612" s="6">
        <f>_xlfn.XLOOKUP(Jnl[[#This Row],[TrxId]], Trx[Id], Trx[Date],,0)</f>
        <v>46053</v>
      </c>
      <c r="C612" s="6" t="str">
        <f>_xlfn.XLOOKUP(Jnl[[#This Row],[TrxId]], Trx[Id], Trx[Division],,0)</f>
        <v>Online</v>
      </c>
      <c r="D612" s="6" t="str">
        <f>_xlfn.XLOOKUP(Jnl[[#This Row],[TrxId]], Trx[Id], Trx[Action],,0)</f>
        <v>采购</v>
      </c>
      <c r="E612" s="27" t="s">
        <v>82</v>
      </c>
      <c r="F612" s="10" t="s">
        <v>596</v>
      </c>
      <c r="G612" s="10" t="s">
        <v>396</v>
      </c>
      <c r="H612" s="37">
        <v>-8377.5</v>
      </c>
      <c r="I612" s="11" t="b">
        <f>AND(Jnl[[#This Row],[TrxId]]&lt;&gt;"",Jnl[[#This Row],[Acct]]&lt;&gt;"",Jnl[[#This Row],[Item]]&lt;&gt;"",ISNUMBER(Jnl[[#This Row],[Bal]]))</f>
        <v>1</v>
      </c>
      <c r="J612" s="9">
        <f>IF(Jnl[[#This Row],[BSLv0]]="A",1,-1)*Jnl[[#This Row],[Bal]]</f>
        <v>-8377.5</v>
      </c>
      <c r="K612" t="str">
        <f>_xlfn.XLOOKUP(Jnl[[#This Row],[Acct]], config_BS[Acct], config_BS[Lv0],,0)</f>
        <v>A</v>
      </c>
      <c r="L612" t="str">
        <f>_xlfn.XLOOKUP(Jnl[[#This Row],[Acct]], config_BS[Acct], config_BS[Lv1],,0)</f>
        <v>Assets</v>
      </c>
      <c r="M612" t="str">
        <f>_xlfn.XLOOKUP(Jnl[[#This Row],[Acct]], config_BS[Acct], config_BS[Lv2],,0)</f>
        <v>Cash alike</v>
      </c>
      <c r="N612" t="str">
        <f>_xlfn.XLOOKUP(Jnl[[#This Row],[TrxId]], Trx[Id], Trx[IncNode], ,0)</f>
        <v>Cost</v>
      </c>
      <c r="O612" t="str">
        <f>_xlfn.XLOOKUP(Jnl[[#This Row],[IncNode]], config_IS[Node], config_IS[Type],,0)</f>
        <v>Op</v>
      </c>
      <c r="P612" t="str">
        <f>_xlfn.XLOOKUP(Jnl[[#This Row],[BSLv2]], dict[Key], dict[Name],,0)</f>
        <v>0.现金及类似</v>
      </c>
      <c r="Q612" t="str">
        <f>_xlfn.XLOOKUP(Jnl[[#This Row],[Acct]], dict[Key], dict[Name],,0)</f>
        <v>银行</v>
      </c>
      <c r="R612" t="str">
        <f>_xlfn.XLOOKUP(Jnl[[#This Row],[Vehicle]],config_vehicle[Id], config_vehicle[Name],,0)</f>
        <v>远家花园</v>
      </c>
      <c r="S612" t="str">
        <f>_xlfn.XLOOKUP(Jnl[[#This Row],[Division]],config_div[Id], config_div[Name],,0)</f>
        <v>网店</v>
      </c>
      <c r="T612" t="str">
        <f>IF(Jnl[[#This Row],[TrxDate]]&lt;=stmt_BS_date_end, "In", "Out")</f>
        <v>In</v>
      </c>
      <c r="U612" t="str">
        <f>IF(Jnl[[#This Row],[TrxDate]]&lt;debug_date_start, "prior", IF(Jnl[[#This Row],[TrxDate]]&gt;debug_date_end, "post", "curr"))</f>
        <v>curr</v>
      </c>
    </row>
    <row r="613" spans="1:21" hidden="1">
      <c r="A613" s="39" t="s">
        <v>788</v>
      </c>
      <c r="B613" s="6">
        <f>_xlfn.XLOOKUP(Jnl[[#This Row],[TrxId]], Trx[Id], Trx[Date],,0)</f>
        <v>46053</v>
      </c>
      <c r="C613" s="6" t="str">
        <f>_xlfn.XLOOKUP(Jnl[[#This Row],[TrxId]], Trx[Id], Trx[Division],,0)</f>
        <v>GM</v>
      </c>
      <c r="D613" s="6" t="str">
        <f>_xlfn.XLOOKUP(Jnl[[#This Row],[TrxId]], Trx[Id], Trx[Action],,0)</f>
        <v>招待</v>
      </c>
      <c r="E613" s="27" t="s">
        <v>82</v>
      </c>
      <c r="F613" s="10" t="s">
        <v>596</v>
      </c>
      <c r="G613" s="10" t="s">
        <v>396</v>
      </c>
      <c r="H613" s="37">
        <v>-2900</v>
      </c>
      <c r="I613" s="11" t="b">
        <f>AND(Jnl[[#This Row],[TrxId]]&lt;&gt;"",Jnl[[#This Row],[Acct]]&lt;&gt;"",Jnl[[#This Row],[Item]]&lt;&gt;"",ISNUMBER(Jnl[[#This Row],[Bal]]))</f>
        <v>1</v>
      </c>
      <c r="J613" s="9">
        <f>IF(Jnl[[#This Row],[BSLv0]]="A",1,-1)*Jnl[[#This Row],[Bal]]</f>
        <v>-2900</v>
      </c>
      <c r="K613" t="str">
        <f>_xlfn.XLOOKUP(Jnl[[#This Row],[Acct]], config_BS[Acct], config_BS[Lv0],,0)</f>
        <v>A</v>
      </c>
      <c r="L613" t="str">
        <f>_xlfn.XLOOKUP(Jnl[[#This Row],[Acct]], config_BS[Acct], config_BS[Lv1],,0)</f>
        <v>Assets</v>
      </c>
      <c r="M613" t="str">
        <f>_xlfn.XLOOKUP(Jnl[[#This Row],[Acct]], config_BS[Acct], config_BS[Lv2],,0)</f>
        <v>Cash alike</v>
      </c>
      <c r="N613" t="str">
        <f>_xlfn.XLOOKUP(Jnl[[#This Row],[TrxId]], Trx[Id], Trx[IncNode], ,0)</f>
        <v>Expense</v>
      </c>
      <c r="O613" t="str">
        <f>_xlfn.XLOOKUP(Jnl[[#This Row],[IncNode]], config_IS[Node], config_IS[Type],,0)</f>
        <v>Op</v>
      </c>
      <c r="P613" t="str">
        <f>_xlfn.XLOOKUP(Jnl[[#This Row],[BSLv2]], dict[Key], dict[Name],,0)</f>
        <v>0.现金及类似</v>
      </c>
      <c r="Q613" t="str">
        <f>_xlfn.XLOOKUP(Jnl[[#This Row],[Acct]], dict[Key], dict[Name],,0)</f>
        <v>银行</v>
      </c>
      <c r="R613" t="str">
        <f>_xlfn.XLOOKUP(Jnl[[#This Row],[Vehicle]],config_vehicle[Id], config_vehicle[Name],,0)</f>
        <v>远家花园</v>
      </c>
      <c r="S613" t="str">
        <f>_xlfn.XLOOKUP(Jnl[[#This Row],[Division]],config_div[Id], config_div[Name],,0)</f>
        <v>综合管理</v>
      </c>
      <c r="T613" t="str">
        <f>IF(Jnl[[#This Row],[TrxDate]]&lt;=stmt_BS_date_end, "In", "Out")</f>
        <v>In</v>
      </c>
      <c r="U613" t="str">
        <f>IF(Jnl[[#This Row],[TrxDate]]&lt;debug_date_start, "prior", IF(Jnl[[#This Row],[TrxDate]]&gt;debug_date_end, "post", "curr"))</f>
        <v>curr</v>
      </c>
    </row>
    <row r="614" spans="1:21" hidden="1">
      <c r="A614" s="39" t="s">
        <v>789</v>
      </c>
      <c r="B614" s="6">
        <f>_xlfn.XLOOKUP(Jnl[[#This Row],[TrxId]], Trx[Id], Trx[Date],,0)</f>
        <v>46053</v>
      </c>
      <c r="C614" s="6" t="str">
        <f>_xlfn.XLOOKUP(Jnl[[#This Row],[TrxId]], Trx[Id], Trx[Division],,0)</f>
        <v>Online</v>
      </c>
      <c r="D614" s="6" t="str">
        <f>_xlfn.XLOOKUP(Jnl[[#This Row],[TrxId]], Trx[Id], Trx[Action],,0)</f>
        <v>采购</v>
      </c>
      <c r="E614" s="27" t="s">
        <v>82</v>
      </c>
      <c r="F614" s="10" t="s">
        <v>596</v>
      </c>
      <c r="G614" s="10" t="s">
        <v>396</v>
      </c>
      <c r="H614" s="37">
        <v>-4036.5</v>
      </c>
      <c r="I614" s="11" t="b">
        <f>AND(Jnl[[#This Row],[TrxId]]&lt;&gt;"",Jnl[[#This Row],[Acct]]&lt;&gt;"",Jnl[[#This Row],[Item]]&lt;&gt;"",ISNUMBER(Jnl[[#This Row],[Bal]]))</f>
        <v>1</v>
      </c>
      <c r="J614" s="9">
        <f>IF(Jnl[[#This Row],[BSLv0]]="A",1,-1)*Jnl[[#This Row],[Bal]]</f>
        <v>-4036.5</v>
      </c>
      <c r="K614" t="str">
        <f>_xlfn.XLOOKUP(Jnl[[#This Row],[Acct]], config_BS[Acct], config_BS[Lv0],,0)</f>
        <v>A</v>
      </c>
      <c r="L614" t="str">
        <f>_xlfn.XLOOKUP(Jnl[[#This Row],[Acct]], config_BS[Acct], config_BS[Lv1],,0)</f>
        <v>Assets</v>
      </c>
      <c r="M614" t="str">
        <f>_xlfn.XLOOKUP(Jnl[[#This Row],[Acct]], config_BS[Acct], config_BS[Lv2],,0)</f>
        <v>Cash alike</v>
      </c>
      <c r="N614" t="str">
        <f>_xlfn.XLOOKUP(Jnl[[#This Row],[TrxId]], Trx[Id], Trx[IncNode], ,0)</f>
        <v>Cost</v>
      </c>
      <c r="O614" t="str">
        <f>_xlfn.XLOOKUP(Jnl[[#This Row],[IncNode]], config_IS[Node], config_IS[Type],,0)</f>
        <v>Op</v>
      </c>
      <c r="P614" t="str">
        <f>_xlfn.XLOOKUP(Jnl[[#This Row],[BSLv2]], dict[Key], dict[Name],,0)</f>
        <v>0.现金及类似</v>
      </c>
      <c r="Q614" t="str">
        <f>_xlfn.XLOOKUP(Jnl[[#This Row],[Acct]], dict[Key], dict[Name],,0)</f>
        <v>银行</v>
      </c>
      <c r="R614" t="str">
        <f>_xlfn.XLOOKUP(Jnl[[#This Row],[Vehicle]],config_vehicle[Id], config_vehicle[Name],,0)</f>
        <v>远家花园</v>
      </c>
      <c r="S614" t="str">
        <f>_xlfn.XLOOKUP(Jnl[[#This Row],[Division]],config_div[Id], config_div[Name],,0)</f>
        <v>网店</v>
      </c>
      <c r="T614" t="str">
        <f>IF(Jnl[[#This Row],[TrxDate]]&lt;=stmt_BS_date_end, "In", "Out")</f>
        <v>In</v>
      </c>
      <c r="U614" t="str">
        <f>IF(Jnl[[#This Row],[TrxDate]]&lt;debug_date_start, "prior", IF(Jnl[[#This Row],[TrxDate]]&gt;debug_date_end, "post", "curr"))</f>
        <v>curr</v>
      </c>
    </row>
    <row r="615" spans="1:21" hidden="1">
      <c r="A615" s="39" t="s">
        <v>789</v>
      </c>
      <c r="B615" s="6">
        <f>_xlfn.XLOOKUP(Jnl[[#This Row],[TrxId]], Trx[Id], Trx[Date],,0)</f>
        <v>46053</v>
      </c>
      <c r="C615" s="6" t="str">
        <f>_xlfn.XLOOKUP(Jnl[[#This Row],[TrxId]], Trx[Id], Trx[Division],,0)</f>
        <v>Online</v>
      </c>
      <c r="D615" s="6" t="str">
        <f>_xlfn.XLOOKUP(Jnl[[#This Row],[TrxId]], Trx[Id], Trx[Action],,0)</f>
        <v>采购</v>
      </c>
      <c r="E615" s="27" t="s">
        <v>82</v>
      </c>
      <c r="F615" s="10" t="s">
        <v>604</v>
      </c>
      <c r="G615" s="10" t="s">
        <v>154</v>
      </c>
      <c r="H615" s="37">
        <v>4036.5</v>
      </c>
      <c r="I615" s="11" t="b">
        <f>AND(Jnl[[#This Row],[TrxId]]&lt;&gt;"",Jnl[[#This Row],[Acct]]&lt;&gt;"",Jnl[[#This Row],[Item]]&lt;&gt;"",ISNUMBER(Jnl[[#This Row],[Bal]]))</f>
        <v>1</v>
      </c>
      <c r="J615" s="9">
        <f>IF(Jnl[[#This Row],[BSLv0]]="A",1,-1)*Jnl[[#This Row],[Bal]]</f>
        <v>4036.5</v>
      </c>
      <c r="K615" t="str">
        <f>_xlfn.XLOOKUP(Jnl[[#This Row],[Acct]], config_BS[Acct], config_BS[Lv0],,0)</f>
        <v>A</v>
      </c>
      <c r="L615" t="str">
        <f>_xlfn.XLOOKUP(Jnl[[#This Row],[Acct]], config_BS[Acct], config_BS[Lv1],,0)</f>
        <v>Assets</v>
      </c>
      <c r="M615" t="str">
        <f>_xlfn.XLOOKUP(Jnl[[#This Row],[Acct]], config_BS[Acct], config_BS[Lv2],,0)</f>
        <v>Invtr</v>
      </c>
      <c r="N615" t="str">
        <f>_xlfn.XLOOKUP(Jnl[[#This Row],[TrxId]], Trx[Id], Trx[IncNode], ,0)</f>
        <v>Cost</v>
      </c>
      <c r="O615" t="str">
        <f>_xlfn.XLOOKUP(Jnl[[#This Row],[IncNode]], config_IS[Node], config_IS[Type],,0)</f>
        <v>Op</v>
      </c>
      <c r="P615" t="str">
        <f>_xlfn.XLOOKUP(Jnl[[#This Row],[BSLv2]], dict[Key], dict[Name],,0)</f>
        <v>3.库存占款</v>
      </c>
      <c r="Q615" t="str">
        <f>_xlfn.XLOOKUP(Jnl[[#This Row],[Acct]], dict[Key], dict[Name],,0)</f>
        <v>当期存货</v>
      </c>
      <c r="R615" t="str">
        <f>_xlfn.XLOOKUP(Jnl[[#This Row],[Vehicle]],config_vehicle[Id], config_vehicle[Name],,0)</f>
        <v>远家花园</v>
      </c>
      <c r="S615" t="str">
        <f>_xlfn.XLOOKUP(Jnl[[#This Row],[Division]],config_div[Id], config_div[Name],,0)</f>
        <v>网店</v>
      </c>
      <c r="T615" t="str">
        <f>IF(Jnl[[#This Row],[TrxDate]]&lt;=stmt_BS_date_end, "In", "Out")</f>
        <v>In</v>
      </c>
      <c r="U615" t="str">
        <f>IF(Jnl[[#This Row],[TrxDate]]&lt;debug_date_start, "prior", IF(Jnl[[#This Row],[TrxDate]]&gt;debug_date_end, "post", "curr"))</f>
        <v>curr</v>
      </c>
    </row>
    <row r="616" spans="1:21" hidden="1">
      <c r="A616" s="39" t="s">
        <v>790</v>
      </c>
      <c r="B616" s="6">
        <f>_xlfn.XLOOKUP(Jnl[[#This Row],[TrxId]], Trx[Id], Trx[Date],,0)</f>
        <v>46053</v>
      </c>
      <c r="C616" s="6" t="str">
        <f>_xlfn.XLOOKUP(Jnl[[#This Row],[TrxId]], Trx[Id], Trx[Division],,0)</f>
        <v>Online</v>
      </c>
      <c r="D616" s="6" t="str">
        <f>_xlfn.XLOOKUP(Jnl[[#This Row],[TrxId]], Trx[Id], Trx[Action],,0)</f>
        <v>收款</v>
      </c>
      <c r="E616" s="27" t="s">
        <v>82</v>
      </c>
      <c r="F616" s="10" t="s">
        <v>596</v>
      </c>
      <c r="G616" s="10" t="s">
        <v>396</v>
      </c>
      <c r="H616" s="37">
        <v>874802.28</v>
      </c>
      <c r="I616" s="11" t="b">
        <f>AND(Jnl[[#This Row],[TrxId]]&lt;&gt;"",Jnl[[#This Row],[Acct]]&lt;&gt;"",Jnl[[#This Row],[Item]]&lt;&gt;"",ISNUMBER(Jnl[[#This Row],[Bal]]))</f>
        <v>1</v>
      </c>
      <c r="J616" s="9">
        <f>IF(Jnl[[#This Row],[BSLv0]]="A",1,-1)*Jnl[[#This Row],[Bal]]</f>
        <v>874802.28</v>
      </c>
      <c r="K616" t="str">
        <f>_xlfn.XLOOKUP(Jnl[[#This Row],[Acct]], config_BS[Acct], config_BS[Lv0],,0)</f>
        <v>A</v>
      </c>
      <c r="L616" t="str">
        <f>_xlfn.XLOOKUP(Jnl[[#This Row],[Acct]], config_BS[Acct], config_BS[Lv1],,0)</f>
        <v>Assets</v>
      </c>
      <c r="M616" t="str">
        <f>_xlfn.XLOOKUP(Jnl[[#This Row],[Acct]], config_BS[Acct], config_BS[Lv2],,0)</f>
        <v>Cash alike</v>
      </c>
      <c r="N616" t="str">
        <f>_xlfn.XLOOKUP(Jnl[[#This Row],[TrxId]], Trx[Id], Trx[IncNode], ,0)</f>
        <v>Revenue</v>
      </c>
      <c r="O616" t="str">
        <f>_xlfn.XLOOKUP(Jnl[[#This Row],[IncNode]], config_IS[Node], config_IS[Type],,0)</f>
        <v>Op</v>
      </c>
      <c r="P616" t="str">
        <f>_xlfn.XLOOKUP(Jnl[[#This Row],[BSLv2]], dict[Key], dict[Name],,0)</f>
        <v>0.现金及类似</v>
      </c>
      <c r="Q616" t="str">
        <f>_xlfn.XLOOKUP(Jnl[[#This Row],[Acct]], dict[Key], dict[Name],,0)</f>
        <v>银行</v>
      </c>
      <c r="R616" t="str">
        <f>_xlfn.XLOOKUP(Jnl[[#This Row],[Vehicle]],config_vehicle[Id], config_vehicle[Name],,0)</f>
        <v>远家花园</v>
      </c>
      <c r="S616" t="str">
        <f>_xlfn.XLOOKUP(Jnl[[#This Row],[Division]],config_div[Id], config_div[Name],,0)</f>
        <v>网店</v>
      </c>
      <c r="T616" t="str">
        <f>IF(Jnl[[#This Row],[TrxDate]]&lt;=stmt_BS_date_end, "In", "Out")</f>
        <v>In</v>
      </c>
      <c r="U616" t="str">
        <f>IF(Jnl[[#This Row],[TrxDate]]&lt;debug_date_start, "prior", IF(Jnl[[#This Row],[TrxDate]]&gt;debug_date_end, "post", "curr"))</f>
        <v>curr</v>
      </c>
    </row>
    <row r="617" spans="1:21" hidden="1">
      <c r="A617" s="39" t="s">
        <v>790</v>
      </c>
      <c r="B617" s="6">
        <f>_xlfn.XLOOKUP(Jnl[[#This Row],[TrxId]], Trx[Id], Trx[Date],,0)</f>
        <v>46053</v>
      </c>
      <c r="C617" s="6" t="str">
        <f>_xlfn.XLOOKUP(Jnl[[#This Row],[TrxId]], Trx[Id], Trx[Division],,0)</f>
        <v>Online</v>
      </c>
      <c r="D617" s="6" t="str">
        <f>_xlfn.XLOOKUP(Jnl[[#This Row],[TrxId]], Trx[Id], Trx[Action],,0)</f>
        <v>收款</v>
      </c>
      <c r="E617" s="27" t="s">
        <v>82</v>
      </c>
      <c r="F617" s="10" t="s">
        <v>599</v>
      </c>
      <c r="G617" s="10" t="s">
        <v>600</v>
      </c>
      <c r="H617" s="37">
        <f>-H616</f>
        <v>-874802.28</v>
      </c>
      <c r="I617" s="11" t="b">
        <f>AND(Jnl[[#This Row],[TrxId]]&lt;&gt;"",Jnl[[#This Row],[Acct]]&lt;&gt;"",Jnl[[#This Row],[Item]]&lt;&gt;"",ISNUMBER(Jnl[[#This Row],[Bal]]))</f>
        <v>1</v>
      </c>
      <c r="J617" s="9">
        <f>IF(Jnl[[#This Row],[BSLv0]]="A",1,-1)*Jnl[[#This Row],[Bal]]</f>
        <v>-874802.28</v>
      </c>
      <c r="K617" t="str">
        <f>_xlfn.XLOOKUP(Jnl[[#This Row],[Acct]], config_BS[Acct], config_BS[Lv0],,0)</f>
        <v>A</v>
      </c>
      <c r="L617" t="str">
        <f>_xlfn.XLOOKUP(Jnl[[#This Row],[Acct]], config_BS[Acct], config_BS[Lv1],,0)</f>
        <v>Assets</v>
      </c>
      <c r="M617" t="str">
        <f>_xlfn.XLOOKUP(Jnl[[#This Row],[Acct]], config_BS[Acct], config_BS[Lv2],,0)</f>
        <v>Rec-Pay</v>
      </c>
      <c r="N617" t="str">
        <f>_xlfn.XLOOKUP(Jnl[[#This Row],[TrxId]], Trx[Id], Trx[IncNode], ,0)</f>
        <v>Revenue</v>
      </c>
      <c r="O617" t="str">
        <f>_xlfn.XLOOKUP(Jnl[[#This Row],[IncNode]], config_IS[Node], config_IS[Type],,0)</f>
        <v>Op</v>
      </c>
      <c r="P617" t="str">
        <f>_xlfn.XLOOKUP(Jnl[[#This Row],[BSLv2]], dict[Key], dict[Name],,0)</f>
        <v>1.应收-应付</v>
      </c>
      <c r="Q617" t="str">
        <f>_xlfn.XLOOKUP(Jnl[[#This Row],[Acct]], dict[Key], dict[Name],,0)</f>
        <v>应收-一般</v>
      </c>
      <c r="R617" t="str">
        <f>_xlfn.XLOOKUP(Jnl[[#This Row],[Vehicle]],config_vehicle[Id], config_vehicle[Name],,0)</f>
        <v>远家花园</v>
      </c>
      <c r="S617" t="str">
        <f>_xlfn.XLOOKUP(Jnl[[#This Row],[Division]],config_div[Id], config_div[Name],,0)</f>
        <v>网店</v>
      </c>
      <c r="T617" t="str">
        <f>IF(Jnl[[#This Row],[TrxDate]]&lt;=stmt_BS_date_end, "In", "Out")</f>
        <v>In</v>
      </c>
      <c r="U617" t="str">
        <f>IF(Jnl[[#This Row],[TrxDate]]&lt;debug_date_start, "prior", IF(Jnl[[#This Row],[TrxDate]]&gt;debug_date_end, "post", "curr"))</f>
        <v>curr</v>
      </c>
    </row>
    <row r="618" spans="1:21" hidden="1">
      <c r="A618" s="39" t="s">
        <v>791</v>
      </c>
      <c r="B618" s="6">
        <f>_xlfn.XLOOKUP(Jnl[[#This Row],[TrxId]], Trx[Id], Trx[Date],,0)</f>
        <v>46053</v>
      </c>
      <c r="C618" s="6" t="str">
        <f>_xlfn.XLOOKUP(Jnl[[#This Row],[TrxId]], Trx[Id], Trx[Division],,0)</f>
        <v>Online</v>
      </c>
      <c r="D618" s="6" t="str">
        <f>_xlfn.XLOOKUP(Jnl[[#This Row],[TrxId]], Trx[Id], Trx[Action],,0)</f>
        <v>采购</v>
      </c>
      <c r="E618" s="27" t="s">
        <v>82</v>
      </c>
      <c r="F618" s="10" t="s">
        <v>596</v>
      </c>
      <c r="G618" s="10" t="s">
        <v>396</v>
      </c>
      <c r="H618" s="37">
        <v>-2154</v>
      </c>
      <c r="I618" s="11" t="b">
        <f>AND(Jnl[[#This Row],[TrxId]]&lt;&gt;"",Jnl[[#This Row],[Acct]]&lt;&gt;"",Jnl[[#This Row],[Item]]&lt;&gt;"",ISNUMBER(Jnl[[#This Row],[Bal]]))</f>
        <v>1</v>
      </c>
      <c r="J618" s="9">
        <f>IF(Jnl[[#This Row],[BSLv0]]="A",1,-1)*Jnl[[#This Row],[Bal]]</f>
        <v>-2154</v>
      </c>
      <c r="K618" t="str">
        <f>_xlfn.XLOOKUP(Jnl[[#This Row],[Acct]], config_BS[Acct], config_BS[Lv0],,0)</f>
        <v>A</v>
      </c>
      <c r="L618" t="str">
        <f>_xlfn.XLOOKUP(Jnl[[#This Row],[Acct]], config_BS[Acct], config_BS[Lv1],,0)</f>
        <v>Assets</v>
      </c>
      <c r="M618" t="str">
        <f>_xlfn.XLOOKUP(Jnl[[#This Row],[Acct]], config_BS[Acct], config_BS[Lv2],,0)</f>
        <v>Cash alike</v>
      </c>
      <c r="N618" t="str">
        <f>_xlfn.XLOOKUP(Jnl[[#This Row],[TrxId]], Trx[Id], Trx[IncNode], ,0)</f>
        <v>Cost</v>
      </c>
      <c r="O618" t="str">
        <f>_xlfn.XLOOKUP(Jnl[[#This Row],[IncNode]], config_IS[Node], config_IS[Type],,0)</f>
        <v>Op</v>
      </c>
      <c r="P618" t="str">
        <f>_xlfn.XLOOKUP(Jnl[[#This Row],[BSLv2]], dict[Key], dict[Name],,0)</f>
        <v>0.现金及类似</v>
      </c>
      <c r="Q618" t="str">
        <f>_xlfn.XLOOKUP(Jnl[[#This Row],[Acct]], dict[Key], dict[Name],,0)</f>
        <v>银行</v>
      </c>
      <c r="R618" t="str">
        <f>_xlfn.XLOOKUP(Jnl[[#This Row],[Vehicle]],config_vehicle[Id], config_vehicle[Name],,0)</f>
        <v>远家花园</v>
      </c>
      <c r="S618" t="str">
        <f>_xlfn.XLOOKUP(Jnl[[#This Row],[Division]],config_div[Id], config_div[Name],,0)</f>
        <v>网店</v>
      </c>
      <c r="T618" t="str">
        <f>IF(Jnl[[#This Row],[TrxDate]]&lt;=stmt_BS_date_end, "In", "Out")</f>
        <v>In</v>
      </c>
      <c r="U618" t="str">
        <f>IF(Jnl[[#This Row],[TrxDate]]&lt;debug_date_start, "prior", IF(Jnl[[#This Row],[TrxDate]]&gt;debug_date_end, "post", "curr"))</f>
        <v>curr</v>
      </c>
    </row>
    <row r="619" spans="1:21" hidden="1">
      <c r="A619" s="39" t="s">
        <v>791</v>
      </c>
      <c r="B619" s="6">
        <f>_xlfn.XLOOKUP(Jnl[[#This Row],[TrxId]], Trx[Id], Trx[Date],,0)</f>
        <v>46053</v>
      </c>
      <c r="C619" s="6" t="str">
        <f>_xlfn.XLOOKUP(Jnl[[#This Row],[TrxId]], Trx[Id], Trx[Division],,0)</f>
        <v>Online</v>
      </c>
      <c r="D619" s="6" t="str">
        <f>_xlfn.XLOOKUP(Jnl[[#This Row],[TrxId]], Trx[Id], Trx[Action],,0)</f>
        <v>采购</v>
      </c>
      <c r="E619" s="27" t="s">
        <v>82</v>
      </c>
      <c r="F619" s="10" t="s">
        <v>604</v>
      </c>
      <c r="G619" s="10" t="s">
        <v>154</v>
      </c>
      <c r="H619" s="37">
        <v>2154</v>
      </c>
      <c r="I619" s="11" t="b">
        <f>AND(Jnl[[#This Row],[TrxId]]&lt;&gt;"",Jnl[[#This Row],[Acct]]&lt;&gt;"",Jnl[[#This Row],[Item]]&lt;&gt;"",ISNUMBER(Jnl[[#This Row],[Bal]]))</f>
        <v>1</v>
      </c>
      <c r="J619" s="9">
        <f>IF(Jnl[[#This Row],[BSLv0]]="A",1,-1)*Jnl[[#This Row],[Bal]]</f>
        <v>2154</v>
      </c>
      <c r="K619" t="str">
        <f>_xlfn.XLOOKUP(Jnl[[#This Row],[Acct]], config_BS[Acct], config_BS[Lv0],,0)</f>
        <v>A</v>
      </c>
      <c r="L619" t="str">
        <f>_xlfn.XLOOKUP(Jnl[[#This Row],[Acct]], config_BS[Acct], config_BS[Lv1],,0)</f>
        <v>Assets</v>
      </c>
      <c r="M619" t="str">
        <f>_xlfn.XLOOKUP(Jnl[[#This Row],[Acct]], config_BS[Acct], config_BS[Lv2],,0)</f>
        <v>Invtr</v>
      </c>
      <c r="N619" t="str">
        <f>_xlfn.XLOOKUP(Jnl[[#This Row],[TrxId]], Trx[Id], Trx[IncNode], ,0)</f>
        <v>Cost</v>
      </c>
      <c r="O619" t="str">
        <f>_xlfn.XLOOKUP(Jnl[[#This Row],[IncNode]], config_IS[Node], config_IS[Type],,0)</f>
        <v>Op</v>
      </c>
      <c r="P619" t="str">
        <f>_xlfn.XLOOKUP(Jnl[[#This Row],[BSLv2]], dict[Key], dict[Name],,0)</f>
        <v>3.库存占款</v>
      </c>
      <c r="Q619" t="str">
        <f>_xlfn.XLOOKUP(Jnl[[#This Row],[Acct]], dict[Key], dict[Name],,0)</f>
        <v>当期存货</v>
      </c>
      <c r="R619" t="str">
        <f>_xlfn.XLOOKUP(Jnl[[#This Row],[Vehicle]],config_vehicle[Id], config_vehicle[Name],,0)</f>
        <v>远家花园</v>
      </c>
      <c r="S619" t="str">
        <f>_xlfn.XLOOKUP(Jnl[[#This Row],[Division]],config_div[Id], config_div[Name],,0)</f>
        <v>网店</v>
      </c>
      <c r="T619" t="str">
        <f>IF(Jnl[[#This Row],[TrxDate]]&lt;=stmt_BS_date_end, "In", "Out")</f>
        <v>In</v>
      </c>
      <c r="U619" t="str">
        <f>IF(Jnl[[#This Row],[TrxDate]]&lt;debug_date_start, "prior", IF(Jnl[[#This Row],[TrxDate]]&gt;debug_date_end, "post", "curr"))</f>
        <v>curr</v>
      </c>
    </row>
    <row r="620" spans="1:21" hidden="1">
      <c r="A620" s="39" t="s">
        <v>792</v>
      </c>
      <c r="B620" s="6">
        <f>_xlfn.XLOOKUP(Jnl[[#This Row],[TrxId]], Trx[Id], Trx[Date],,0)</f>
        <v>46053</v>
      </c>
      <c r="C620" s="6" t="str">
        <f>_xlfn.XLOOKUP(Jnl[[#This Row],[TrxId]], Trx[Id], Trx[Division],,0)</f>
        <v>Online</v>
      </c>
      <c r="D620" s="6" t="str">
        <f>_xlfn.XLOOKUP(Jnl[[#This Row],[TrxId]], Trx[Id], Trx[Action],,0)</f>
        <v>其他材料</v>
      </c>
      <c r="E620" s="27" t="s">
        <v>82</v>
      </c>
      <c r="F620" s="10" t="s">
        <v>596</v>
      </c>
      <c r="G620" s="10" t="s">
        <v>396</v>
      </c>
      <c r="H620" s="37">
        <v>-662</v>
      </c>
      <c r="I620" s="11" t="b">
        <f>AND(Jnl[[#This Row],[TrxId]]&lt;&gt;"",Jnl[[#This Row],[Acct]]&lt;&gt;"",Jnl[[#This Row],[Item]]&lt;&gt;"",ISNUMBER(Jnl[[#This Row],[Bal]]))</f>
        <v>1</v>
      </c>
      <c r="J620" s="9">
        <f>IF(Jnl[[#This Row],[BSLv0]]="A",1,-1)*Jnl[[#This Row],[Bal]]</f>
        <v>-662</v>
      </c>
      <c r="K620" t="str">
        <f>_xlfn.XLOOKUP(Jnl[[#This Row],[Acct]], config_BS[Acct], config_BS[Lv0],,0)</f>
        <v>A</v>
      </c>
      <c r="L620" t="str">
        <f>_xlfn.XLOOKUP(Jnl[[#This Row],[Acct]], config_BS[Acct], config_BS[Lv1],,0)</f>
        <v>Assets</v>
      </c>
      <c r="M620" t="str">
        <f>_xlfn.XLOOKUP(Jnl[[#This Row],[Acct]], config_BS[Acct], config_BS[Lv2],,0)</f>
        <v>Cash alike</v>
      </c>
      <c r="N620" t="str">
        <f>_xlfn.XLOOKUP(Jnl[[#This Row],[TrxId]], Trx[Id], Trx[IncNode], ,0)</f>
        <v>Cost</v>
      </c>
      <c r="O620" t="str">
        <f>_xlfn.XLOOKUP(Jnl[[#This Row],[IncNode]], config_IS[Node], config_IS[Type],,0)</f>
        <v>Op</v>
      </c>
      <c r="P620" t="str">
        <f>_xlfn.XLOOKUP(Jnl[[#This Row],[BSLv2]], dict[Key], dict[Name],,0)</f>
        <v>0.现金及类似</v>
      </c>
      <c r="Q620" t="str">
        <f>_xlfn.XLOOKUP(Jnl[[#This Row],[Acct]], dict[Key], dict[Name],,0)</f>
        <v>银行</v>
      </c>
      <c r="R620" t="str">
        <f>_xlfn.XLOOKUP(Jnl[[#This Row],[Vehicle]],config_vehicle[Id], config_vehicle[Name],,0)</f>
        <v>远家花园</v>
      </c>
      <c r="S620" t="str">
        <f>_xlfn.XLOOKUP(Jnl[[#This Row],[Division]],config_div[Id], config_div[Name],,0)</f>
        <v>网店</v>
      </c>
      <c r="T620" t="str">
        <f>IF(Jnl[[#This Row],[TrxDate]]&lt;=stmt_BS_date_end, "In", "Out")</f>
        <v>In</v>
      </c>
      <c r="U620" t="str">
        <f>IF(Jnl[[#This Row],[TrxDate]]&lt;debug_date_start, "prior", IF(Jnl[[#This Row],[TrxDate]]&gt;debug_date_end, "post", "curr"))</f>
        <v>curr</v>
      </c>
    </row>
    <row r="621" spans="1:21" hidden="1">
      <c r="A621" s="39" t="s">
        <v>794</v>
      </c>
      <c r="B621" s="6">
        <f>_xlfn.XLOOKUP(Jnl[[#This Row],[TrxId]], Trx[Id], Trx[Date],,0)</f>
        <v>46053</v>
      </c>
      <c r="C621" s="6" t="str">
        <f>_xlfn.XLOOKUP(Jnl[[#This Row],[TrxId]], Trx[Id], Trx[Division],,0)</f>
        <v>Online</v>
      </c>
      <c r="D621" s="6" t="str">
        <f>_xlfn.XLOOKUP(Jnl[[#This Row],[TrxId]], Trx[Id], Trx[Action],,0)</f>
        <v>采购</v>
      </c>
      <c r="E621" s="27" t="s">
        <v>82</v>
      </c>
      <c r="F621" s="10" t="s">
        <v>596</v>
      </c>
      <c r="G621" s="10" t="s">
        <v>396</v>
      </c>
      <c r="H621" s="37">
        <v>-8700</v>
      </c>
      <c r="I621" s="11" t="b">
        <f>AND(Jnl[[#This Row],[TrxId]]&lt;&gt;"",Jnl[[#This Row],[Acct]]&lt;&gt;"",Jnl[[#This Row],[Item]]&lt;&gt;"",ISNUMBER(Jnl[[#This Row],[Bal]]))</f>
        <v>1</v>
      </c>
      <c r="J621" s="9">
        <f>IF(Jnl[[#This Row],[BSLv0]]="A",1,-1)*Jnl[[#This Row],[Bal]]</f>
        <v>-8700</v>
      </c>
      <c r="K621" t="str">
        <f>_xlfn.XLOOKUP(Jnl[[#This Row],[Acct]], config_BS[Acct], config_BS[Lv0],,0)</f>
        <v>A</v>
      </c>
      <c r="L621" t="str">
        <f>_xlfn.XLOOKUP(Jnl[[#This Row],[Acct]], config_BS[Acct], config_BS[Lv1],,0)</f>
        <v>Assets</v>
      </c>
      <c r="M621" t="str">
        <f>_xlfn.XLOOKUP(Jnl[[#This Row],[Acct]], config_BS[Acct], config_BS[Lv2],,0)</f>
        <v>Cash alike</v>
      </c>
      <c r="N621" t="str">
        <f>_xlfn.XLOOKUP(Jnl[[#This Row],[TrxId]], Trx[Id], Trx[IncNode], ,0)</f>
        <v>Cost</v>
      </c>
      <c r="O621" t="str">
        <f>_xlfn.XLOOKUP(Jnl[[#This Row],[IncNode]], config_IS[Node], config_IS[Type],,0)</f>
        <v>Op</v>
      </c>
      <c r="P621" t="str">
        <f>_xlfn.XLOOKUP(Jnl[[#This Row],[BSLv2]], dict[Key], dict[Name],,0)</f>
        <v>0.现金及类似</v>
      </c>
      <c r="Q621" t="str">
        <f>_xlfn.XLOOKUP(Jnl[[#This Row],[Acct]], dict[Key], dict[Name],,0)</f>
        <v>银行</v>
      </c>
      <c r="R621" t="str">
        <f>_xlfn.XLOOKUP(Jnl[[#This Row],[Vehicle]],config_vehicle[Id], config_vehicle[Name],,0)</f>
        <v>远家花园</v>
      </c>
      <c r="S621" t="str">
        <f>_xlfn.XLOOKUP(Jnl[[#This Row],[Division]],config_div[Id], config_div[Name],,0)</f>
        <v>网店</v>
      </c>
      <c r="T621" t="str">
        <f>IF(Jnl[[#This Row],[TrxDate]]&lt;=stmt_BS_date_end, "In", "Out")</f>
        <v>In</v>
      </c>
      <c r="U621" t="str">
        <f>IF(Jnl[[#This Row],[TrxDate]]&lt;debug_date_start, "prior", IF(Jnl[[#This Row],[TrxDate]]&gt;debug_date_end, "post", "curr"))</f>
        <v>curr</v>
      </c>
    </row>
    <row r="622" spans="1:21" hidden="1">
      <c r="A622" s="39" t="s">
        <v>794</v>
      </c>
      <c r="B622" s="6">
        <f>_xlfn.XLOOKUP(Jnl[[#This Row],[TrxId]], Trx[Id], Trx[Date],,0)</f>
        <v>46053</v>
      </c>
      <c r="C622" s="6" t="str">
        <f>_xlfn.XLOOKUP(Jnl[[#This Row],[TrxId]], Trx[Id], Trx[Division],,0)</f>
        <v>Online</v>
      </c>
      <c r="D622" s="6" t="str">
        <f>_xlfn.XLOOKUP(Jnl[[#This Row],[TrxId]], Trx[Id], Trx[Action],,0)</f>
        <v>采购</v>
      </c>
      <c r="E622" s="27" t="s">
        <v>82</v>
      </c>
      <c r="F622" s="10" t="s">
        <v>604</v>
      </c>
      <c r="G622" s="10" t="s">
        <v>154</v>
      </c>
      <c r="H622" s="37">
        <v>8700</v>
      </c>
      <c r="I622" s="11" t="b">
        <f>AND(Jnl[[#This Row],[TrxId]]&lt;&gt;"",Jnl[[#This Row],[Acct]]&lt;&gt;"",Jnl[[#This Row],[Item]]&lt;&gt;"",ISNUMBER(Jnl[[#This Row],[Bal]]))</f>
        <v>1</v>
      </c>
      <c r="J622" s="9">
        <f>IF(Jnl[[#This Row],[BSLv0]]="A",1,-1)*Jnl[[#This Row],[Bal]]</f>
        <v>8700</v>
      </c>
      <c r="K622" t="str">
        <f>_xlfn.XLOOKUP(Jnl[[#This Row],[Acct]], config_BS[Acct], config_BS[Lv0],,0)</f>
        <v>A</v>
      </c>
      <c r="L622" t="str">
        <f>_xlfn.XLOOKUP(Jnl[[#This Row],[Acct]], config_BS[Acct], config_BS[Lv1],,0)</f>
        <v>Assets</v>
      </c>
      <c r="M622" t="str">
        <f>_xlfn.XLOOKUP(Jnl[[#This Row],[Acct]], config_BS[Acct], config_BS[Lv2],,0)</f>
        <v>Invtr</v>
      </c>
      <c r="N622" t="str">
        <f>_xlfn.XLOOKUP(Jnl[[#This Row],[TrxId]], Trx[Id], Trx[IncNode], ,0)</f>
        <v>Cost</v>
      </c>
      <c r="O622" t="str">
        <f>_xlfn.XLOOKUP(Jnl[[#This Row],[IncNode]], config_IS[Node], config_IS[Type],,0)</f>
        <v>Op</v>
      </c>
      <c r="P622" t="str">
        <f>_xlfn.XLOOKUP(Jnl[[#This Row],[BSLv2]], dict[Key], dict[Name],,0)</f>
        <v>3.库存占款</v>
      </c>
      <c r="Q622" t="str">
        <f>_xlfn.XLOOKUP(Jnl[[#This Row],[Acct]], dict[Key], dict[Name],,0)</f>
        <v>当期存货</v>
      </c>
      <c r="R622" t="str">
        <f>_xlfn.XLOOKUP(Jnl[[#This Row],[Vehicle]],config_vehicle[Id], config_vehicle[Name],,0)</f>
        <v>远家花园</v>
      </c>
      <c r="S622" t="str">
        <f>_xlfn.XLOOKUP(Jnl[[#This Row],[Division]],config_div[Id], config_div[Name],,0)</f>
        <v>网店</v>
      </c>
      <c r="T622" t="str">
        <f>IF(Jnl[[#This Row],[TrxDate]]&lt;=stmt_BS_date_end, "In", "Out")</f>
        <v>In</v>
      </c>
      <c r="U622" t="str">
        <f>IF(Jnl[[#This Row],[TrxDate]]&lt;debug_date_start, "prior", IF(Jnl[[#This Row],[TrxDate]]&gt;debug_date_end, "post", "curr"))</f>
        <v>curr</v>
      </c>
    </row>
    <row r="623" spans="1:21" hidden="1">
      <c r="A623" s="39" t="s">
        <v>795</v>
      </c>
      <c r="B623" s="6">
        <f>_xlfn.XLOOKUP(Jnl[[#This Row],[TrxId]], Trx[Id], Trx[Date],,0)</f>
        <v>46053</v>
      </c>
      <c r="C623" s="6" t="str">
        <f>_xlfn.XLOOKUP(Jnl[[#This Row],[TrxId]], Trx[Id], Trx[Division],,0)</f>
        <v>GM</v>
      </c>
      <c r="D623" s="6" t="str">
        <f>_xlfn.XLOOKUP(Jnl[[#This Row],[TrxId]], Trx[Id], Trx[Action],,0)</f>
        <v>招待</v>
      </c>
      <c r="E623" s="27" t="s">
        <v>82</v>
      </c>
      <c r="F623" s="10" t="s">
        <v>596</v>
      </c>
      <c r="G623" s="10" t="s">
        <v>396</v>
      </c>
      <c r="H623" s="37">
        <v>-400</v>
      </c>
      <c r="I623" s="11" t="b">
        <f>AND(Jnl[[#This Row],[TrxId]]&lt;&gt;"",Jnl[[#This Row],[Acct]]&lt;&gt;"",Jnl[[#This Row],[Item]]&lt;&gt;"",ISNUMBER(Jnl[[#This Row],[Bal]]))</f>
        <v>1</v>
      </c>
      <c r="J623" s="9">
        <f>IF(Jnl[[#This Row],[BSLv0]]="A",1,-1)*Jnl[[#This Row],[Bal]]</f>
        <v>-400</v>
      </c>
      <c r="K623" t="str">
        <f>_xlfn.XLOOKUP(Jnl[[#This Row],[Acct]], config_BS[Acct], config_BS[Lv0],,0)</f>
        <v>A</v>
      </c>
      <c r="L623" t="str">
        <f>_xlfn.XLOOKUP(Jnl[[#This Row],[Acct]], config_BS[Acct], config_BS[Lv1],,0)</f>
        <v>Assets</v>
      </c>
      <c r="M623" t="str">
        <f>_xlfn.XLOOKUP(Jnl[[#This Row],[Acct]], config_BS[Acct], config_BS[Lv2],,0)</f>
        <v>Cash alike</v>
      </c>
      <c r="N623" t="str">
        <f>_xlfn.XLOOKUP(Jnl[[#This Row],[TrxId]], Trx[Id], Trx[IncNode], ,0)</f>
        <v>Expense</v>
      </c>
      <c r="O623" t="str">
        <f>_xlfn.XLOOKUP(Jnl[[#This Row],[IncNode]], config_IS[Node], config_IS[Type],,0)</f>
        <v>Op</v>
      </c>
      <c r="P623" t="str">
        <f>_xlfn.XLOOKUP(Jnl[[#This Row],[BSLv2]], dict[Key], dict[Name],,0)</f>
        <v>0.现金及类似</v>
      </c>
      <c r="Q623" t="str">
        <f>_xlfn.XLOOKUP(Jnl[[#This Row],[Acct]], dict[Key], dict[Name],,0)</f>
        <v>银行</v>
      </c>
      <c r="R623" t="str">
        <f>_xlfn.XLOOKUP(Jnl[[#This Row],[Vehicle]],config_vehicle[Id], config_vehicle[Name],,0)</f>
        <v>远家花园</v>
      </c>
      <c r="S623" t="str">
        <f>_xlfn.XLOOKUP(Jnl[[#This Row],[Division]],config_div[Id], config_div[Name],,0)</f>
        <v>综合管理</v>
      </c>
      <c r="T623" t="str">
        <f>IF(Jnl[[#This Row],[TrxDate]]&lt;=stmt_BS_date_end, "In", "Out")</f>
        <v>In</v>
      </c>
      <c r="U623" t="str">
        <f>IF(Jnl[[#This Row],[TrxDate]]&lt;debug_date_start, "prior", IF(Jnl[[#This Row],[TrxDate]]&gt;debug_date_end, "post", "curr"))</f>
        <v>curr</v>
      </c>
    </row>
    <row r="624" spans="1:21" hidden="1">
      <c r="A624" s="39" t="s">
        <v>797</v>
      </c>
      <c r="B624" s="6">
        <f>_xlfn.XLOOKUP(Jnl[[#This Row],[TrxId]], Trx[Id], Trx[Date],,0)</f>
        <v>46053</v>
      </c>
      <c r="C624" s="6" t="str">
        <f>_xlfn.XLOOKUP(Jnl[[#This Row],[TrxId]], Trx[Id], Trx[Division],,0)</f>
        <v>Online</v>
      </c>
      <c r="D624" s="6" t="str">
        <f>_xlfn.XLOOKUP(Jnl[[#This Row],[TrxId]], Trx[Id], Trx[Action],,0)</f>
        <v>采购</v>
      </c>
      <c r="E624" s="27" t="s">
        <v>82</v>
      </c>
      <c r="F624" s="10" t="s">
        <v>604</v>
      </c>
      <c r="G624" s="10" t="s">
        <v>154</v>
      </c>
      <c r="H624" s="37">
        <v>25800</v>
      </c>
      <c r="I624" s="11" t="b">
        <f>AND(Jnl[[#This Row],[TrxId]]&lt;&gt;"",Jnl[[#This Row],[Acct]]&lt;&gt;"",Jnl[[#This Row],[Item]]&lt;&gt;"",ISNUMBER(Jnl[[#This Row],[Bal]]))</f>
        <v>1</v>
      </c>
      <c r="J624" s="9">
        <f>IF(Jnl[[#This Row],[BSLv0]]="A",1,-1)*Jnl[[#This Row],[Bal]]</f>
        <v>25800</v>
      </c>
      <c r="K624" t="str">
        <f>_xlfn.XLOOKUP(Jnl[[#This Row],[Acct]], config_BS[Acct], config_BS[Lv0],,0)</f>
        <v>A</v>
      </c>
      <c r="L624" t="str">
        <f>_xlfn.XLOOKUP(Jnl[[#This Row],[Acct]], config_BS[Acct], config_BS[Lv1],,0)</f>
        <v>Assets</v>
      </c>
      <c r="M624" t="str">
        <f>_xlfn.XLOOKUP(Jnl[[#This Row],[Acct]], config_BS[Acct], config_BS[Lv2],,0)</f>
        <v>Invtr</v>
      </c>
      <c r="N624" t="str">
        <f>_xlfn.XLOOKUP(Jnl[[#This Row],[TrxId]], Trx[Id], Trx[IncNode], ,0)</f>
        <v>Cost</v>
      </c>
      <c r="O624" t="str">
        <f>_xlfn.XLOOKUP(Jnl[[#This Row],[IncNode]], config_IS[Node], config_IS[Type],,0)</f>
        <v>Op</v>
      </c>
      <c r="P624" t="str">
        <f>_xlfn.XLOOKUP(Jnl[[#This Row],[BSLv2]], dict[Key], dict[Name],,0)</f>
        <v>3.库存占款</v>
      </c>
      <c r="Q624" t="str">
        <f>_xlfn.XLOOKUP(Jnl[[#This Row],[Acct]], dict[Key], dict[Name],,0)</f>
        <v>当期存货</v>
      </c>
      <c r="R624" t="str">
        <f>_xlfn.XLOOKUP(Jnl[[#This Row],[Vehicle]],config_vehicle[Id], config_vehicle[Name],,0)</f>
        <v>远家花园</v>
      </c>
      <c r="S624" t="str">
        <f>_xlfn.XLOOKUP(Jnl[[#This Row],[Division]],config_div[Id], config_div[Name],,0)</f>
        <v>网店</v>
      </c>
      <c r="T624" t="str">
        <f>IF(Jnl[[#This Row],[TrxDate]]&lt;=stmt_BS_date_end, "In", "Out")</f>
        <v>In</v>
      </c>
      <c r="U624" t="str">
        <f>IF(Jnl[[#This Row],[TrxDate]]&lt;debug_date_start, "prior", IF(Jnl[[#This Row],[TrxDate]]&gt;debug_date_end, "post", "curr"))</f>
        <v>curr</v>
      </c>
    </row>
    <row r="625" spans="1:21" hidden="1">
      <c r="A625" s="39" t="s">
        <v>797</v>
      </c>
      <c r="B625" s="6">
        <f>_xlfn.XLOOKUP(Jnl[[#This Row],[TrxId]], Trx[Id], Trx[Date],,0)</f>
        <v>46053</v>
      </c>
      <c r="C625" s="6" t="str">
        <f>_xlfn.XLOOKUP(Jnl[[#This Row],[TrxId]], Trx[Id], Trx[Division],,0)</f>
        <v>Online</v>
      </c>
      <c r="D625" s="6" t="str">
        <f>_xlfn.XLOOKUP(Jnl[[#This Row],[TrxId]], Trx[Id], Trx[Action],,0)</f>
        <v>采购</v>
      </c>
      <c r="E625" s="27" t="s">
        <v>82</v>
      </c>
      <c r="F625" s="10" t="s">
        <v>596</v>
      </c>
      <c r="G625" s="10" t="s">
        <v>396</v>
      </c>
      <c r="H625" s="37">
        <v>-25800</v>
      </c>
      <c r="I625" s="11" t="b">
        <f>AND(Jnl[[#This Row],[TrxId]]&lt;&gt;"",Jnl[[#This Row],[Acct]]&lt;&gt;"",Jnl[[#This Row],[Item]]&lt;&gt;"",ISNUMBER(Jnl[[#This Row],[Bal]]))</f>
        <v>1</v>
      </c>
      <c r="J625" s="9">
        <f>IF(Jnl[[#This Row],[BSLv0]]="A",1,-1)*Jnl[[#This Row],[Bal]]</f>
        <v>-25800</v>
      </c>
      <c r="K625" t="str">
        <f>_xlfn.XLOOKUP(Jnl[[#This Row],[Acct]], config_BS[Acct], config_BS[Lv0],,0)</f>
        <v>A</v>
      </c>
      <c r="L625" t="str">
        <f>_xlfn.XLOOKUP(Jnl[[#This Row],[Acct]], config_BS[Acct], config_BS[Lv1],,0)</f>
        <v>Assets</v>
      </c>
      <c r="M625" t="str">
        <f>_xlfn.XLOOKUP(Jnl[[#This Row],[Acct]], config_BS[Acct], config_BS[Lv2],,0)</f>
        <v>Cash alike</v>
      </c>
      <c r="N625" t="str">
        <f>_xlfn.XLOOKUP(Jnl[[#This Row],[TrxId]], Trx[Id], Trx[IncNode], ,0)</f>
        <v>Cost</v>
      </c>
      <c r="O625" t="str">
        <f>_xlfn.XLOOKUP(Jnl[[#This Row],[IncNode]], config_IS[Node], config_IS[Type],,0)</f>
        <v>Op</v>
      </c>
      <c r="P625" t="str">
        <f>_xlfn.XLOOKUP(Jnl[[#This Row],[BSLv2]], dict[Key], dict[Name],,0)</f>
        <v>0.现金及类似</v>
      </c>
      <c r="Q625" t="str">
        <f>_xlfn.XLOOKUP(Jnl[[#This Row],[Acct]], dict[Key], dict[Name],,0)</f>
        <v>银行</v>
      </c>
      <c r="R625" t="str">
        <f>_xlfn.XLOOKUP(Jnl[[#This Row],[Vehicle]],config_vehicle[Id], config_vehicle[Name],,0)</f>
        <v>远家花园</v>
      </c>
      <c r="S625" t="str">
        <f>_xlfn.XLOOKUP(Jnl[[#This Row],[Division]],config_div[Id], config_div[Name],,0)</f>
        <v>网店</v>
      </c>
      <c r="T625" t="str">
        <f>IF(Jnl[[#This Row],[TrxDate]]&lt;=stmt_BS_date_end, "In", "Out")</f>
        <v>In</v>
      </c>
      <c r="U625" t="str">
        <f>IF(Jnl[[#This Row],[TrxDate]]&lt;debug_date_start, "prior", IF(Jnl[[#This Row],[TrxDate]]&gt;debug_date_end, "post", "curr"))</f>
        <v>curr</v>
      </c>
    </row>
    <row r="626" spans="1:21" hidden="1">
      <c r="A626" s="39" t="s">
        <v>798</v>
      </c>
      <c r="B626" s="6">
        <f>_xlfn.XLOOKUP(Jnl[[#This Row],[TrxId]], Trx[Id], Trx[Date],,0)</f>
        <v>46053</v>
      </c>
      <c r="C626" s="6" t="str">
        <f>_xlfn.XLOOKUP(Jnl[[#This Row],[TrxId]], Trx[Id], Trx[Division],,0)</f>
        <v>GM</v>
      </c>
      <c r="D626" s="6" t="str">
        <f>_xlfn.XLOOKUP(Jnl[[#This Row],[TrxId]], Trx[Id], Trx[Action],,0)</f>
        <v>团建</v>
      </c>
      <c r="E626" s="27" t="s">
        <v>82</v>
      </c>
      <c r="F626" s="10" t="s">
        <v>596</v>
      </c>
      <c r="G626" s="10" t="s">
        <v>396</v>
      </c>
      <c r="H626" s="37">
        <v>-2182.6999999999998</v>
      </c>
      <c r="I626" s="11" t="b">
        <f>AND(Jnl[[#This Row],[TrxId]]&lt;&gt;"",Jnl[[#This Row],[Acct]]&lt;&gt;"",Jnl[[#This Row],[Item]]&lt;&gt;"",ISNUMBER(Jnl[[#This Row],[Bal]]))</f>
        <v>1</v>
      </c>
      <c r="J626" s="9">
        <f>IF(Jnl[[#This Row],[BSLv0]]="A",1,-1)*Jnl[[#This Row],[Bal]]</f>
        <v>-2182.6999999999998</v>
      </c>
      <c r="K626" t="str">
        <f>_xlfn.XLOOKUP(Jnl[[#This Row],[Acct]], config_BS[Acct], config_BS[Lv0],,0)</f>
        <v>A</v>
      </c>
      <c r="L626" t="str">
        <f>_xlfn.XLOOKUP(Jnl[[#This Row],[Acct]], config_BS[Acct], config_BS[Lv1],,0)</f>
        <v>Assets</v>
      </c>
      <c r="M626" t="str">
        <f>_xlfn.XLOOKUP(Jnl[[#This Row],[Acct]], config_BS[Acct], config_BS[Lv2],,0)</f>
        <v>Cash alike</v>
      </c>
      <c r="N626" t="str">
        <f>_xlfn.XLOOKUP(Jnl[[#This Row],[TrxId]], Trx[Id], Trx[IncNode], ,0)</f>
        <v>Expense</v>
      </c>
      <c r="O626" t="str">
        <f>_xlfn.XLOOKUP(Jnl[[#This Row],[IncNode]], config_IS[Node], config_IS[Type],,0)</f>
        <v>Op</v>
      </c>
      <c r="P626" t="str">
        <f>_xlfn.XLOOKUP(Jnl[[#This Row],[BSLv2]], dict[Key], dict[Name],,0)</f>
        <v>0.现金及类似</v>
      </c>
      <c r="Q626" t="str">
        <f>_xlfn.XLOOKUP(Jnl[[#This Row],[Acct]], dict[Key], dict[Name],,0)</f>
        <v>银行</v>
      </c>
      <c r="R626" t="str">
        <f>_xlfn.XLOOKUP(Jnl[[#This Row],[Vehicle]],config_vehicle[Id], config_vehicle[Name],,0)</f>
        <v>远家花园</v>
      </c>
      <c r="S626" t="str">
        <f>_xlfn.XLOOKUP(Jnl[[#This Row],[Division]],config_div[Id], config_div[Name],,0)</f>
        <v>综合管理</v>
      </c>
      <c r="T626" t="str">
        <f>IF(Jnl[[#This Row],[TrxDate]]&lt;=stmt_BS_date_end, "In", "Out")</f>
        <v>In</v>
      </c>
      <c r="U626" t="str">
        <f>IF(Jnl[[#This Row],[TrxDate]]&lt;debug_date_start, "prior", IF(Jnl[[#This Row],[TrxDate]]&gt;debug_date_end, "post", "curr"))</f>
        <v>curr</v>
      </c>
    </row>
    <row r="627" spans="1:21" hidden="1">
      <c r="A627" s="39" t="s">
        <v>800</v>
      </c>
      <c r="B627" s="6">
        <f>_xlfn.XLOOKUP(Jnl[[#This Row],[TrxId]], Trx[Id], Trx[Date],,0)</f>
        <v>46053</v>
      </c>
      <c r="C627" s="6" t="str">
        <f>_xlfn.XLOOKUP(Jnl[[#This Row],[TrxId]], Trx[Id], Trx[Division],,0)</f>
        <v>Online</v>
      </c>
      <c r="D627" s="6" t="str">
        <f>_xlfn.XLOOKUP(Jnl[[#This Row],[TrxId]], Trx[Id], Trx[Action],,0)</f>
        <v>采购</v>
      </c>
      <c r="E627" s="27" t="s">
        <v>82</v>
      </c>
      <c r="F627" s="10" t="s">
        <v>604</v>
      </c>
      <c r="G627" s="10" t="s">
        <v>154</v>
      </c>
      <c r="H627" s="37">
        <v>1000</v>
      </c>
      <c r="I627" s="11" t="b">
        <f>AND(Jnl[[#This Row],[TrxId]]&lt;&gt;"",Jnl[[#This Row],[Acct]]&lt;&gt;"",Jnl[[#This Row],[Item]]&lt;&gt;"",ISNUMBER(Jnl[[#This Row],[Bal]]))</f>
        <v>1</v>
      </c>
      <c r="J627" s="9">
        <f>IF(Jnl[[#This Row],[BSLv0]]="A",1,-1)*Jnl[[#This Row],[Bal]]</f>
        <v>1000</v>
      </c>
      <c r="K627" t="str">
        <f>_xlfn.XLOOKUP(Jnl[[#This Row],[Acct]], config_BS[Acct], config_BS[Lv0],,0)</f>
        <v>A</v>
      </c>
      <c r="L627" t="str">
        <f>_xlfn.XLOOKUP(Jnl[[#This Row],[Acct]], config_BS[Acct], config_BS[Lv1],,0)</f>
        <v>Assets</v>
      </c>
      <c r="M627" t="str">
        <f>_xlfn.XLOOKUP(Jnl[[#This Row],[Acct]], config_BS[Acct], config_BS[Lv2],,0)</f>
        <v>Invtr</v>
      </c>
      <c r="N627" t="str">
        <f>_xlfn.XLOOKUP(Jnl[[#This Row],[TrxId]], Trx[Id], Trx[IncNode], ,0)</f>
        <v>Cost</v>
      </c>
      <c r="O627" t="str">
        <f>_xlfn.XLOOKUP(Jnl[[#This Row],[IncNode]], config_IS[Node], config_IS[Type],,0)</f>
        <v>Op</v>
      </c>
      <c r="P627" t="str">
        <f>_xlfn.XLOOKUP(Jnl[[#This Row],[BSLv2]], dict[Key], dict[Name],,0)</f>
        <v>3.库存占款</v>
      </c>
      <c r="Q627" t="str">
        <f>_xlfn.XLOOKUP(Jnl[[#This Row],[Acct]], dict[Key], dict[Name],,0)</f>
        <v>当期存货</v>
      </c>
      <c r="R627" t="str">
        <f>_xlfn.XLOOKUP(Jnl[[#This Row],[Vehicle]],config_vehicle[Id], config_vehicle[Name],,0)</f>
        <v>远家花园</v>
      </c>
      <c r="S627" t="str">
        <f>_xlfn.XLOOKUP(Jnl[[#This Row],[Division]],config_div[Id], config_div[Name],,0)</f>
        <v>网店</v>
      </c>
      <c r="T627" t="str">
        <f>IF(Jnl[[#This Row],[TrxDate]]&lt;=stmt_BS_date_end, "In", "Out")</f>
        <v>In</v>
      </c>
      <c r="U627" t="str">
        <f>IF(Jnl[[#This Row],[TrxDate]]&lt;debug_date_start, "prior", IF(Jnl[[#This Row],[TrxDate]]&gt;debug_date_end, "post", "curr"))</f>
        <v>curr</v>
      </c>
    </row>
    <row r="628" spans="1:21" hidden="1">
      <c r="A628" s="39" t="s">
        <v>800</v>
      </c>
      <c r="B628" s="6">
        <f>_xlfn.XLOOKUP(Jnl[[#This Row],[TrxId]], Trx[Id], Trx[Date],,0)</f>
        <v>46053</v>
      </c>
      <c r="C628" s="6" t="str">
        <f>_xlfn.XLOOKUP(Jnl[[#This Row],[TrxId]], Trx[Id], Trx[Division],,0)</f>
        <v>Online</v>
      </c>
      <c r="D628" s="6" t="str">
        <f>_xlfn.XLOOKUP(Jnl[[#This Row],[TrxId]], Trx[Id], Trx[Action],,0)</f>
        <v>采购</v>
      </c>
      <c r="E628" s="27" t="s">
        <v>82</v>
      </c>
      <c r="F628" s="10" t="s">
        <v>596</v>
      </c>
      <c r="G628" s="10" t="s">
        <v>396</v>
      </c>
      <c r="H628" s="37">
        <v>-1000</v>
      </c>
      <c r="I628" s="11" t="b">
        <f>AND(Jnl[[#This Row],[TrxId]]&lt;&gt;"",Jnl[[#This Row],[Acct]]&lt;&gt;"",Jnl[[#This Row],[Item]]&lt;&gt;"",ISNUMBER(Jnl[[#This Row],[Bal]]))</f>
        <v>1</v>
      </c>
      <c r="J628" s="9">
        <f>IF(Jnl[[#This Row],[BSLv0]]="A",1,-1)*Jnl[[#This Row],[Bal]]</f>
        <v>-1000</v>
      </c>
      <c r="K628" t="str">
        <f>_xlfn.XLOOKUP(Jnl[[#This Row],[Acct]], config_BS[Acct], config_BS[Lv0],,0)</f>
        <v>A</v>
      </c>
      <c r="L628" t="str">
        <f>_xlfn.XLOOKUP(Jnl[[#This Row],[Acct]], config_BS[Acct], config_BS[Lv1],,0)</f>
        <v>Assets</v>
      </c>
      <c r="M628" t="str">
        <f>_xlfn.XLOOKUP(Jnl[[#This Row],[Acct]], config_BS[Acct], config_BS[Lv2],,0)</f>
        <v>Cash alike</v>
      </c>
      <c r="N628" t="str">
        <f>_xlfn.XLOOKUP(Jnl[[#This Row],[TrxId]], Trx[Id], Trx[IncNode], ,0)</f>
        <v>Cost</v>
      </c>
      <c r="O628" t="str">
        <f>_xlfn.XLOOKUP(Jnl[[#This Row],[IncNode]], config_IS[Node], config_IS[Type],,0)</f>
        <v>Op</v>
      </c>
      <c r="P628" t="str">
        <f>_xlfn.XLOOKUP(Jnl[[#This Row],[BSLv2]], dict[Key], dict[Name],,0)</f>
        <v>0.现金及类似</v>
      </c>
      <c r="Q628" t="str">
        <f>_xlfn.XLOOKUP(Jnl[[#This Row],[Acct]], dict[Key], dict[Name],,0)</f>
        <v>银行</v>
      </c>
      <c r="R628" t="str">
        <f>_xlfn.XLOOKUP(Jnl[[#This Row],[Vehicle]],config_vehicle[Id], config_vehicle[Name],,0)</f>
        <v>远家花园</v>
      </c>
      <c r="S628" t="str">
        <f>_xlfn.XLOOKUP(Jnl[[#This Row],[Division]],config_div[Id], config_div[Name],,0)</f>
        <v>网店</v>
      </c>
      <c r="T628" t="str">
        <f>IF(Jnl[[#This Row],[TrxDate]]&lt;=stmt_BS_date_end, "In", "Out")</f>
        <v>In</v>
      </c>
      <c r="U628" t="str">
        <f>IF(Jnl[[#This Row],[TrxDate]]&lt;debug_date_start, "prior", IF(Jnl[[#This Row],[TrxDate]]&gt;debug_date_end, "post", "curr"))</f>
        <v>curr</v>
      </c>
    </row>
    <row r="629" spans="1:21" hidden="1">
      <c r="A629" s="39" t="s">
        <v>801</v>
      </c>
      <c r="B629" s="6">
        <f>_xlfn.XLOOKUP(Jnl[[#This Row],[TrxId]], Trx[Id], Trx[Date],,0)</f>
        <v>46053</v>
      </c>
      <c r="C629" s="6" t="str">
        <f>_xlfn.XLOOKUP(Jnl[[#This Row],[TrxId]], Trx[Id], Trx[Division],,0)</f>
        <v>Online</v>
      </c>
      <c r="D629" s="6" t="str">
        <f>_xlfn.XLOOKUP(Jnl[[#This Row],[TrxId]], Trx[Id], Trx[Action],,0)</f>
        <v>设计</v>
      </c>
      <c r="E629" s="27" t="s">
        <v>82</v>
      </c>
      <c r="F629" s="10" t="s">
        <v>596</v>
      </c>
      <c r="G629" s="10" t="s">
        <v>396</v>
      </c>
      <c r="H629" s="37">
        <v>-163</v>
      </c>
      <c r="I629" s="11" t="b">
        <f>AND(Jnl[[#This Row],[TrxId]]&lt;&gt;"",Jnl[[#This Row],[Acct]]&lt;&gt;"",Jnl[[#This Row],[Item]]&lt;&gt;"",ISNUMBER(Jnl[[#This Row],[Bal]]))</f>
        <v>1</v>
      </c>
      <c r="J629" s="9">
        <f>IF(Jnl[[#This Row],[BSLv0]]="A",1,-1)*Jnl[[#This Row],[Bal]]</f>
        <v>-163</v>
      </c>
      <c r="K629" t="str">
        <f>_xlfn.XLOOKUP(Jnl[[#This Row],[Acct]], config_BS[Acct], config_BS[Lv0],,0)</f>
        <v>A</v>
      </c>
      <c r="L629" t="str">
        <f>_xlfn.XLOOKUP(Jnl[[#This Row],[Acct]], config_BS[Acct], config_BS[Lv1],,0)</f>
        <v>Assets</v>
      </c>
      <c r="M629" t="str">
        <f>_xlfn.XLOOKUP(Jnl[[#This Row],[Acct]], config_BS[Acct], config_BS[Lv2],,0)</f>
        <v>Cash alike</v>
      </c>
      <c r="N629" t="str">
        <f>_xlfn.XLOOKUP(Jnl[[#This Row],[TrxId]], Trx[Id], Trx[IncNode], ,0)</f>
        <v>Expense</v>
      </c>
      <c r="O629" t="str">
        <f>_xlfn.XLOOKUP(Jnl[[#This Row],[IncNode]], config_IS[Node], config_IS[Type],,0)</f>
        <v>Op</v>
      </c>
      <c r="P629" t="str">
        <f>_xlfn.XLOOKUP(Jnl[[#This Row],[BSLv2]], dict[Key], dict[Name],,0)</f>
        <v>0.现金及类似</v>
      </c>
      <c r="Q629" t="str">
        <f>_xlfn.XLOOKUP(Jnl[[#This Row],[Acct]], dict[Key], dict[Name],,0)</f>
        <v>银行</v>
      </c>
      <c r="R629" t="str">
        <f>_xlfn.XLOOKUP(Jnl[[#This Row],[Vehicle]],config_vehicle[Id], config_vehicle[Name],,0)</f>
        <v>远家花园</v>
      </c>
      <c r="S629" t="str">
        <f>_xlfn.XLOOKUP(Jnl[[#This Row],[Division]],config_div[Id], config_div[Name],,0)</f>
        <v>网店</v>
      </c>
      <c r="T629" t="str">
        <f>IF(Jnl[[#This Row],[TrxDate]]&lt;=stmt_BS_date_end, "In", "Out")</f>
        <v>In</v>
      </c>
      <c r="U629" t="str">
        <f>IF(Jnl[[#This Row],[TrxDate]]&lt;debug_date_start, "prior", IF(Jnl[[#This Row],[TrxDate]]&gt;debug_date_end, "post", "curr"))</f>
        <v>curr</v>
      </c>
    </row>
    <row r="630" spans="1:21" hidden="1">
      <c r="A630" s="39" t="s">
        <v>802</v>
      </c>
      <c r="B630" s="6">
        <f>_xlfn.XLOOKUP(Jnl[[#This Row],[TrxId]], Trx[Id], Trx[Date],,0)</f>
        <v>46053</v>
      </c>
      <c r="C630" s="6" t="str">
        <f>_xlfn.XLOOKUP(Jnl[[#This Row],[TrxId]], Trx[Id], Trx[Division],,0)</f>
        <v>Online</v>
      </c>
      <c r="D630" s="6" t="str">
        <f>_xlfn.XLOOKUP(Jnl[[#This Row],[TrxId]], Trx[Id], Trx[Action],,0)</f>
        <v>加工</v>
      </c>
      <c r="E630" s="27" t="s">
        <v>82</v>
      </c>
      <c r="F630" s="10" t="s">
        <v>498</v>
      </c>
      <c r="G630" s="10" t="s">
        <v>433</v>
      </c>
      <c r="H630" s="37">
        <v>-44252</v>
      </c>
      <c r="I630" s="11" t="b">
        <f>AND(Jnl[[#This Row],[TrxId]]&lt;&gt;"",Jnl[[#This Row],[Acct]]&lt;&gt;"",Jnl[[#This Row],[Item]]&lt;&gt;"",ISNUMBER(Jnl[[#This Row],[Bal]]))</f>
        <v>1</v>
      </c>
      <c r="J630" s="9">
        <f>IF(Jnl[[#This Row],[BSLv0]]="A",1,-1)*Jnl[[#This Row],[Bal]]</f>
        <v>-44252</v>
      </c>
      <c r="K630" t="str">
        <f>_xlfn.XLOOKUP(Jnl[[#This Row],[Acct]], config_BS[Acct], config_BS[Lv0],,0)</f>
        <v>A</v>
      </c>
      <c r="L630" t="str">
        <f>_xlfn.XLOOKUP(Jnl[[#This Row],[Acct]], config_BS[Acct], config_BS[Lv1],,0)</f>
        <v>Assets</v>
      </c>
      <c r="M630" t="str">
        <f>_xlfn.XLOOKUP(Jnl[[#This Row],[Acct]], config_BS[Acct], config_BS[Lv2],,0)</f>
        <v>Prep-Sub</v>
      </c>
      <c r="N630" t="str">
        <f>_xlfn.XLOOKUP(Jnl[[#This Row],[TrxId]], Trx[Id], Trx[IncNode], ,0)</f>
        <v>Cost</v>
      </c>
      <c r="O630" t="str">
        <f>_xlfn.XLOOKUP(Jnl[[#This Row],[IncNode]], config_IS[Node], config_IS[Type],,0)</f>
        <v>Op</v>
      </c>
      <c r="P630" t="str">
        <f>_xlfn.XLOOKUP(Jnl[[#This Row],[BSLv2]], dict[Key], dict[Name],,0)</f>
        <v>2.预付-订阅</v>
      </c>
      <c r="Q630" t="str">
        <f>_xlfn.XLOOKUP(Jnl[[#This Row],[Acct]], dict[Key], dict[Name],,0)</f>
        <v>预付订单</v>
      </c>
      <c r="R630" t="str">
        <f>_xlfn.XLOOKUP(Jnl[[#This Row],[Vehicle]],config_vehicle[Id], config_vehicle[Name],,0)</f>
        <v>远家花园</v>
      </c>
      <c r="S630" t="str">
        <f>_xlfn.XLOOKUP(Jnl[[#This Row],[Division]],config_div[Id], config_div[Name],,0)</f>
        <v>网店</v>
      </c>
      <c r="T630" t="str">
        <f>IF(Jnl[[#This Row],[TrxDate]]&lt;=stmt_BS_date_end, "In", "Out")</f>
        <v>In</v>
      </c>
      <c r="U630" t="str">
        <f>IF(Jnl[[#This Row],[TrxDate]]&lt;debug_date_start, "prior", IF(Jnl[[#This Row],[TrxDate]]&gt;debug_date_end, "post", "curr"))</f>
        <v>curr</v>
      </c>
    </row>
    <row r="631" spans="1:21" hidden="1">
      <c r="A631" s="39" t="s">
        <v>802</v>
      </c>
      <c r="B631" s="6">
        <f>_xlfn.XLOOKUP(Jnl[[#This Row],[TrxId]], Trx[Id], Trx[Date],,0)</f>
        <v>46053</v>
      </c>
      <c r="C631" s="6" t="str">
        <f>_xlfn.XLOOKUP(Jnl[[#This Row],[TrxId]], Trx[Id], Trx[Division],,0)</f>
        <v>Online</v>
      </c>
      <c r="D631" s="6" t="str">
        <f>_xlfn.XLOOKUP(Jnl[[#This Row],[TrxId]], Trx[Id], Trx[Action],,0)</f>
        <v>加工</v>
      </c>
      <c r="E631" s="27" t="s">
        <v>82</v>
      </c>
      <c r="F631" s="10" t="s">
        <v>604</v>
      </c>
      <c r="G631" s="10" t="s">
        <v>154</v>
      </c>
      <c r="H631" s="37">
        <v>44252</v>
      </c>
      <c r="I631" s="11" t="b">
        <f>AND(Jnl[[#This Row],[TrxId]]&lt;&gt;"",Jnl[[#This Row],[Acct]]&lt;&gt;"",Jnl[[#This Row],[Item]]&lt;&gt;"",ISNUMBER(Jnl[[#This Row],[Bal]]))</f>
        <v>1</v>
      </c>
      <c r="J631" s="94">
        <f>IF(Jnl[[#This Row],[BSLv0]]="A",1,-1)*Jnl[[#This Row],[Bal]]</f>
        <v>44252</v>
      </c>
      <c r="K631" t="str">
        <f>_xlfn.XLOOKUP(Jnl[[#This Row],[Acct]], config_BS[Acct], config_BS[Lv0],,0)</f>
        <v>A</v>
      </c>
      <c r="L631" t="str">
        <f>_xlfn.XLOOKUP(Jnl[[#This Row],[Acct]], config_BS[Acct], config_BS[Lv1],,0)</f>
        <v>Assets</v>
      </c>
      <c r="M631" t="str">
        <f>_xlfn.XLOOKUP(Jnl[[#This Row],[Acct]], config_BS[Acct], config_BS[Lv2],,0)</f>
        <v>Invtr</v>
      </c>
      <c r="N631" t="str">
        <f>_xlfn.XLOOKUP(Jnl[[#This Row],[TrxId]], Trx[Id], Trx[IncNode], ,0)</f>
        <v>Cost</v>
      </c>
      <c r="O631" t="str">
        <f>_xlfn.XLOOKUP(Jnl[[#This Row],[IncNode]], config_IS[Node], config_IS[Type],,0)</f>
        <v>Op</v>
      </c>
      <c r="P631" s="95" t="str">
        <f>_xlfn.XLOOKUP(Jnl[[#This Row],[BSLv2]], dict[Key], dict[Name],,0)</f>
        <v>3.库存占款</v>
      </c>
      <c r="Q631" s="95" t="str">
        <f>_xlfn.XLOOKUP(Jnl[[#This Row],[Acct]], dict[Key], dict[Name],,0)</f>
        <v>当期存货</v>
      </c>
      <c r="R631" s="95" t="str">
        <f>_xlfn.XLOOKUP(Jnl[[#This Row],[Vehicle]],config_vehicle[Id], config_vehicle[Name],,0)</f>
        <v>远家花园</v>
      </c>
      <c r="S631" s="95" t="str">
        <f>_xlfn.XLOOKUP(Jnl[[#This Row],[Division]],config_div[Id], config_div[Name],,0)</f>
        <v>网店</v>
      </c>
      <c r="T631" s="95" t="str">
        <f>IF(Jnl[[#This Row],[TrxDate]]&lt;=stmt_BS_date_end, "In", "Out")</f>
        <v>In</v>
      </c>
      <c r="U631" s="95" t="str">
        <f>IF(Jnl[[#This Row],[TrxDate]]&lt;debug_date_start, "prior", IF(Jnl[[#This Row],[TrxDate]]&gt;debug_date_end, "post", "curr"))</f>
        <v>curr</v>
      </c>
    </row>
    <row r="632" spans="1:21" hidden="1">
      <c r="A632" s="39" t="s">
        <v>803</v>
      </c>
      <c r="B632" s="6">
        <f>_xlfn.XLOOKUP(Jnl[[#This Row],[TrxId]], Trx[Id], Trx[Date],,0)</f>
        <v>46053</v>
      </c>
      <c r="C632" s="6" t="str">
        <f>_xlfn.XLOOKUP(Jnl[[#This Row],[TrxId]], Trx[Id], Trx[Division],,0)</f>
        <v>Online</v>
      </c>
      <c r="D632" s="6" t="str">
        <f>_xlfn.XLOOKUP(Jnl[[#This Row],[TrxId]], Trx[Id], Trx[Action],,0)</f>
        <v>采购</v>
      </c>
      <c r="E632" s="27" t="s">
        <v>82</v>
      </c>
      <c r="F632" s="10" t="s">
        <v>604</v>
      </c>
      <c r="G632" s="10" t="s">
        <v>154</v>
      </c>
      <c r="H632" s="37">
        <f>-H633</f>
        <v>10878</v>
      </c>
      <c r="I632" s="11" t="b">
        <f>AND(Jnl[[#This Row],[TrxId]]&lt;&gt;"",Jnl[[#This Row],[Acct]]&lt;&gt;"",Jnl[[#This Row],[Item]]&lt;&gt;"",ISNUMBER(Jnl[[#This Row],[Bal]]))</f>
        <v>1</v>
      </c>
      <c r="J632" s="9">
        <f>IF(Jnl[[#This Row],[BSLv0]]="A",1,-1)*Jnl[[#This Row],[Bal]]</f>
        <v>10878</v>
      </c>
      <c r="K632" t="str">
        <f>_xlfn.XLOOKUP(Jnl[[#This Row],[Acct]], config_BS[Acct], config_BS[Lv0],,0)</f>
        <v>A</v>
      </c>
      <c r="L632" t="str">
        <f>_xlfn.XLOOKUP(Jnl[[#This Row],[Acct]], config_BS[Acct], config_BS[Lv1],,0)</f>
        <v>Assets</v>
      </c>
      <c r="M632" t="str">
        <f>_xlfn.XLOOKUP(Jnl[[#This Row],[Acct]], config_BS[Acct], config_BS[Lv2],,0)</f>
        <v>Invtr</v>
      </c>
      <c r="N632" t="str">
        <f>_xlfn.XLOOKUP(Jnl[[#This Row],[TrxId]], Trx[Id], Trx[IncNode], ,0)</f>
        <v>Cost</v>
      </c>
      <c r="O632" t="str">
        <f>_xlfn.XLOOKUP(Jnl[[#This Row],[IncNode]], config_IS[Node], config_IS[Type],,0)</f>
        <v>Op</v>
      </c>
      <c r="P632" t="str">
        <f>_xlfn.XLOOKUP(Jnl[[#This Row],[BSLv2]], dict[Key], dict[Name],,0)</f>
        <v>3.库存占款</v>
      </c>
      <c r="Q632" t="str">
        <f>_xlfn.XLOOKUP(Jnl[[#This Row],[Acct]], dict[Key], dict[Name],,0)</f>
        <v>当期存货</v>
      </c>
      <c r="R632" t="str">
        <f>_xlfn.XLOOKUP(Jnl[[#This Row],[Vehicle]],config_vehicle[Id], config_vehicle[Name],,0)</f>
        <v>远家花园</v>
      </c>
      <c r="S632" t="str">
        <f>_xlfn.XLOOKUP(Jnl[[#This Row],[Division]],config_div[Id], config_div[Name],,0)</f>
        <v>网店</v>
      </c>
      <c r="T632" t="str">
        <f>IF(Jnl[[#This Row],[TrxDate]]&lt;=stmt_BS_date_end, "In", "Out")</f>
        <v>In</v>
      </c>
      <c r="U632" t="str">
        <f>IF(Jnl[[#This Row],[TrxDate]]&lt;debug_date_start, "prior", IF(Jnl[[#This Row],[TrxDate]]&gt;debug_date_end, "post", "curr"))</f>
        <v>curr</v>
      </c>
    </row>
    <row r="633" spans="1:21" hidden="1">
      <c r="A633" s="39" t="s">
        <v>803</v>
      </c>
      <c r="B633" s="6">
        <f>_xlfn.XLOOKUP(Jnl[[#This Row],[TrxId]], Trx[Id], Trx[Date],,0)</f>
        <v>46053</v>
      </c>
      <c r="C633" s="6" t="str">
        <f>_xlfn.XLOOKUP(Jnl[[#This Row],[TrxId]], Trx[Id], Trx[Division],,0)</f>
        <v>Online</v>
      </c>
      <c r="D633" s="6" t="str">
        <f>_xlfn.XLOOKUP(Jnl[[#This Row],[TrxId]], Trx[Id], Trx[Action],,0)</f>
        <v>采购</v>
      </c>
      <c r="E633" s="27" t="s">
        <v>82</v>
      </c>
      <c r="F633" s="10" t="s">
        <v>596</v>
      </c>
      <c r="G633" s="10" t="s">
        <v>396</v>
      </c>
      <c r="H633" s="37">
        <v>-10878</v>
      </c>
      <c r="I633" s="11" t="b">
        <f>AND(Jnl[[#This Row],[TrxId]]&lt;&gt;"",Jnl[[#This Row],[Acct]]&lt;&gt;"",Jnl[[#This Row],[Item]]&lt;&gt;"",ISNUMBER(Jnl[[#This Row],[Bal]]))</f>
        <v>1</v>
      </c>
      <c r="J633" s="9">
        <f>IF(Jnl[[#This Row],[BSLv0]]="A",1,-1)*Jnl[[#This Row],[Bal]]</f>
        <v>-10878</v>
      </c>
      <c r="K633" t="str">
        <f>_xlfn.XLOOKUP(Jnl[[#This Row],[Acct]], config_BS[Acct], config_BS[Lv0],,0)</f>
        <v>A</v>
      </c>
      <c r="L633" t="str">
        <f>_xlfn.XLOOKUP(Jnl[[#This Row],[Acct]], config_BS[Acct], config_BS[Lv1],,0)</f>
        <v>Assets</v>
      </c>
      <c r="M633" t="str">
        <f>_xlfn.XLOOKUP(Jnl[[#This Row],[Acct]], config_BS[Acct], config_BS[Lv2],,0)</f>
        <v>Cash alike</v>
      </c>
      <c r="N633" t="str">
        <f>_xlfn.XLOOKUP(Jnl[[#This Row],[TrxId]], Trx[Id], Trx[IncNode], ,0)</f>
        <v>Cost</v>
      </c>
      <c r="O633" t="str">
        <f>_xlfn.XLOOKUP(Jnl[[#This Row],[IncNode]], config_IS[Node], config_IS[Type],,0)</f>
        <v>Op</v>
      </c>
      <c r="P633" t="str">
        <f>_xlfn.XLOOKUP(Jnl[[#This Row],[BSLv2]], dict[Key], dict[Name],,0)</f>
        <v>0.现金及类似</v>
      </c>
      <c r="Q633" t="str">
        <f>_xlfn.XLOOKUP(Jnl[[#This Row],[Acct]], dict[Key], dict[Name],,0)</f>
        <v>银行</v>
      </c>
      <c r="R633" t="str">
        <f>_xlfn.XLOOKUP(Jnl[[#This Row],[Vehicle]],config_vehicle[Id], config_vehicle[Name],,0)</f>
        <v>远家花园</v>
      </c>
      <c r="S633" t="str">
        <f>_xlfn.XLOOKUP(Jnl[[#This Row],[Division]],config_div[Id], config_div[Name],,0)</f>
        <v>网店</v>
      </c>
      <c r="T633" t="str">
        <f>IF(Jnl[[#This Row],[TrxDate]]&lt;=stmt_BS_date_end, "In", "Out")</f>
        <v>In</v>
      </c>
      <c r="U633" t="str">
        <f>IF(Jnl[[#This Row],[TrxDate]]&lt;debug_date_start, "prior", IF(Jnl[[#This Row],[TrxDate]]&gt;debug_date_end, "post", "curr"))</f>
        <v>curr</v>
      </c>
    </row>
    <row r="634" spans="1:21" hidden="1">
      <c r="A634" s="39" t="s">
        <v>804</v>
      </c>
      <c r="B634" s="6">
        <f>_xlfn.XLOOKUP(Jnl[[#This Row],[TrxId]], Trx[Id], Trx[Date],,0)</f>
        <v>46053</v>
      </c>
      <c r="C634" s="6" t="str">
        <f>_xlfn.XLOOKUP(Jnl[[#This Row],[TrxId]], Trx[Id], Trx[Division],,0)</f>
        <v>Online</v>
      </c>
      <c r="D634" s="6" t="str">
        <f>_xlfn.XLOOKUP(Jnl[[#This Row],[TrxId]], Trx[Id], Trx[Action],,0)</f>
        <v>采购</v>
      </c>
      <c r="E634" s="27" t="s">
        <v>82</v>
      </c>
      <c r="F634" s="10" t="s">
        <v>604</v>
      </c>
      <c r="G634" s="10" t="s">
        <v>154</v>
      </c>
      <c r="H634" s="37">
        <v>4500</v>
      </c>
      <c r="I634" s="11" t="b">
        <f>AND(Jnl[[#This Row],[TrxId]]&lt;&gt;"",Jnl[[#This Row],[Acct]]&lt;&gt;"",Jnl[[#This Row],[Item]]&lt;&gt;"",ISNUMBER(Jnl[[#This Row],[Bal]]))</f>
        <v>1</v>
      </c>
      <c r="J634" s="9">
        <f>IF(Jnl[[#This Row],[BSLv0]]="A",1,-1)*Jnl[[#This Row],[Bal]]</f>
        <v>4500</v>
      </c>
      <c r="K634" t="str">
        <f>_xlfn.XLOOKUP(Jnl[[#This Row],[Acct]], config_BS[Acct], config_BS[Lv0],,0)</f>
        <v>A</v>
      </c>
      <c r="L634" t="str">
        <f>_xlfn.XLOOKUP(Jnl[[#This Row],[Acct]], config_BS[Acct], config_BS[Lv1],,0)</f>
        <v>Assets</v>
      </c>
      <c r="M634" t="str">
        <f>_xlfn.XLOOKUP(Jnl[[#This Row],[Acct]], config_BS[Acct], config_BS[Lv2],,0)</f>
        <v>Invtr</v>
      </c>
      <c r="N634" t="str">
        <f>_xlfn.XLOOKUP(Jnl[[#This Row],[TrxId]], Trx[Id], Trx[IncNode], ,0)</f>
        <v>Cost</v>
      </c>
      <c r="O634" t="str">
        <f>_xlfn.XLOOKUP(Jnl[[#This Row],[IncNode]], config_IS[Node], config_IS[Type],,0)</f>
        <v>Op</v>
      </c>
      <c r="P634" t="str">
        <f>_xlfn.XLOOKUP(Jnl[[#This Row],[BSLv2]], dict[Key], dict[Name],,0)</f>
        <v>3.库存占款</v>
      </c>
      <c r="Q634" t="str">
        <f>_xlfn.XLOOKUP(Jnl[[#This Row],[Acct]], dict[Key], dict[Name],,0)</f>
        <v>当期存货</v>
      </c>
      <c r="R634" t="str">
        <f>_xlfn.XLOOKUP(Jnl[[#This Row],[Vehicle]],config_vehicle[Id], config_vehicle[Name],,0)</f>
        <v>远家花园</v>
      </c>
      <c r="S634" t="str">
        <f>_xlfn.XLOOKUP(Jnl[[#This Row],[Division]],config_div[Id], config_div[Name],,0)</f>
        <v>网店</v>
      </c>
      <c r="T634" t="str">
        <f>IF(Jnl[[#This Row],[TrxDate]]&lt;=stmt_BS_date_end, "In", "Out")</f>
        <v>In</v>
      </c>
      <c r="U634" t="str">
        <f>IF(Jnl[[#This Row],[TrxDate]]&lt;debug_date_start, "prior", IF(Jnl[[#This Row],[TrxDate]]&gt;debug_date_end, "post", "curr"))</f>
        <v>curr</v>
      </c>
    </row>
    <row r="635" spans="1:21" hidden="1">
      <c r="A635" s="39" t="s">
        <v>804</v>
      </c>
      <c r="B635" s="6">
        <f>_xlfn.XLOOKUP(Jnl[[#This Row],[TrxId]], Trx[Id], Trx[Date],,0)</f>
        <v>46053</v>
      </c>
      <c r="C635" s="6" t="str">
        <f>_xlfn.XLOOKUP(Jnl[[#This Row],[TrxId]], Trx[Id], Trx[Division],,0)</f>
        <v>Online</v>
      </c>
      <c r="D635" s="6" t="str">
        <f>_xlfn.XLOOKUP(Jnl[[#This Row],[TrxId]], Trx[Id], Trx[Action],,0)</f>
        <v>采购</v>
      </c>
      <c r="E635" s="27" t="s">
        <v>82</v>
      </c>
      <c r="F635" s="10" t="s">
        <v>596</v>
      </c>
      <c r="G635" s="10" t="s">
        <v>396</v>
      </c>
      <c r="H635" s="37">
        <v>-4500</v>
      </c>
      <c r="I635" s="11" t="b">
        <f>AND(Jnl[[#This Row],[TrxId]]&lt;&gt;"",Jnl[[#This Row],[Acct]]&lt;&gt;"",Jnl[[#This Row],[Item]]&lt;&gt;"",ISNUMBER(Jnl[[#This Row],[Bal]]))</f>
        <v>1</v>
      </c>
      <c r="J635" s="9">
        <f>IF(Jnl[[#This Row],[BSLv0]]="A",1,-1)*Jnl[[#This Row],[Bal]]</f>
        <v>-4500</v>
      </c>
      <c r="K635" t="str">
        <f>_xlfn.XLOOKUP(Jnl[[#This Row],[Acct]], config_BS[Acct], config_BS[Lv0],,0)</f>
        <v>A</v>
      </c>
      <c r="L635" t="str">
        <f>_xlfn.XLOOKUP(Jnl[[#This Row],[Acct]], config_BS[Acct], config_BS[Lv1],,0)</f>
        <v>Assets</v>
      </c>
      <c r="M635" t="str">
        <f>_xlfn.XLOOKUP(Jnl[[#This Row],[Acct]], config_BS[Acct], config_BS[Lv2],,0)</f>
        <v>Cash alike</v>
      </c>
      <c r="N635" t="str">
        <f>_xlfn.XLOOKUP(Jnl[[#This Row],[TrxId]], Trx[Id], Trx[IncNode], ,0)</f>
        <v>Cost</v>
      </c>
      <c r="O635" t="str">
        <f>_xlfn.XLOOKUP(Jnl[[#This Row],[IncNode]], config_IS[Node], config_IS[Type],,0)</f>
        <v>Op</v>
      </c>
      <c r="P635" t="str">
        <f>_xlfn.XLOOKUP(Jnl[[#This Row],[BSLv2]], dict[Key], dict[Name],,0)</f>
        <v>0.现金及类似</v>
      </c>
      <c r="Q635" t="str">
        <f>_xlfn.XLOOKUP(Jnl[[#This Row],[Acct]], dict[Key], dict[Name],,0)</f>
        <v>银行</v>
      </c>
      <c r="R635" t="str">
        <f>_xlfn.XLOOKUP(Jnl[[#This Row],[Vehicle]],config_vehicle[Id], config_vehicle[Name],,0)</f>
        <v>远家花园</v>
      </c>
      <c r="S635" t="str">
        <f>_xlfn.XLOOKUP(Jnl[[#This Row],[Division]],config_div[Id], config_div[Name],,0)</f>
        <v>网店</v>
      </c>
      <c r="T635" t="str">
        <f>IF(Jnl[[#This Row],[TrxDate]]&lt;=stmt_BS_date_end, "In", "Out")</f>
        <v>In</v>
      </c>
      <c r="U635" t="str">
        <f>IF(Jnl[[#This Row],[TrxDate]]&lt;debug_date_start, "prior", IF(Jnl[[#This Row],[TrxDate]]&gt;debug_date_end, "post", "curr"))</f>
        <v>curr</v>
      </c>
    </row>
    <row r="636" spans="1:21" hidden="1">
      <c r="A636" s="39" t="s">
        <v>805</v>
      </c>
      <c r="B636" s="6">
        <f>_xlfn.XLOOKUP(Jnl[[#This Row],[TrxId]], Trx[Id], Trx[Date],,0)</f>
        <v>46053</v>
      </c>
      <c r="C636" s="6" t="str">
        <f>_xlfn.XLOOKUP(Jnl[[#This Row],[TrxId]], Trx[Id], Trx[Division],,0)</f>
        <v>GM</v>
      </c>
      <c r="D636" s="6" t="str">
        <f>_xlfn.XLOOKUP(Jnl[[#This Row],[TrxId]], Trx[Id], Trx[Action],,0)</f>
        <v>收款</v>
      </c>
      <c r="E636" s="27" t="s">
        <v>82</v>
      </c>
      <c r="F636" s="10" t="s">
        <v>596</v>
      </c>
      <c r="G636" s="10" t="s">
        <v>396</v>
      </c>
      <c r="H636" s="37">
        <v>477.15</v>
      </c>
      <c r="I636" s="11" t="b">
        <f>AND(Jnl[[#This Row],[TrxId]]&lt;&gt;"",Jnl[[#This Row],[Acct]]&lt;&gt;"",Jnl[[#This Row],[Item]]&lt;&gt;"",ISNUMBER(Jnl[[#This Row],[Bal]]))</f>
        <v>1</v>
      </c>
      <c r="J636" s="9">
        <f>IF(Jnl[[#This Row],[BSLv0]]="A",1,-1)*Jnl[[#This Row],[Bal]]</f>
        <v>477.15</v>
      </c>
      <c r="K636" t="str">
        <f>_xlfn.XLOOKUP(Jnl[[#This Row],[Acct]], config_BS[Acct], config_BS[Lv0],,0)</f>
        <v>A</v>
      </c>
      <c r="L636" t="str">
        <f>_xlfn.XLOOKUP(Jnl[[#This Row],[Acct]], config_BS[Acct], config_BS[Lv1],,0)</f>
        <v>Assets</v>
      </c>
      <c r="M636" t="str">
        <f>_xlfn.XLOOKUP(Jnl[[#This Row],[Acct]], config_BS[Acct], config_BS[Lv2],,0)</f>
        <v>Cash alike</v>
      </c>
      <c r="N636" t="str">
        <f>_xlfn.XLOOKUP(Jnl[[#This Row],[TrxId]], Trx[Id], Trx[IncNode], ,0)</f>
        <v>Expense</v>
      </c>
      <c r="O636" t="str">
        <f>_xlfn.XLOOKUP(Jnl[[#This Row],[IncNode]], config_IS[Node], config_IS[Type],,0)</f>
        <v>Op</v>
      </c>
      <c r="P636" t="str">
        <f>_xlfn.XLOOKUP(Jnl[[#This Row],[BSLv2]], dict[Key], dict[Name],,0)</f>
        <v>0.现金及类似</v>
      </c>
      <c r="Q636" t="str">
        <f>_xlfn.XLOOKUP(Jnl[[#This Row],[Acct]], dict[Key], dict[Name],,0)</f>
        <v>银行</v>
      </c>
      <c r="R636" t="str">
        <f>_xlfn.XLOOKUP(Jnl[[#This Row],[Vehicle]],config_vehicle[Id], config_vehicle[Name],,0)</f>
        <v>远家花园</v>
      </c>
      <c r="S636" t="str">
        <f>_xlfn.XLOOKUP(Jnl[[#This Row],[Division]],config_div[Id], config_div[Name],,0)</f>
        <v>综合管理</v>
      </c>
      <c r="T636" t="str">
        <f>IF(Jnl[[#This Row],[TrxDate]]&lt;=stmt_BS_date_end, "In", "Out")</f>
        <v>In</v>
      </c>
      <c r="U636" t="str">
        <f>IF(Jnl[[#This Row],[TrxDate]]&lt;debug_date_start, "prior", IF(Jnl[[#This Row],[TrxDate]]&gt;debug_date_end, "post", "curr"))</f>
        <v>curr</v>
      </c>
    </row>
    <row r="637" spans="1:21" hidden="1">
      <c r="A637" s="39" t="s">
        <v>805</v>
      </c>
      <c r="B637" s="6">
        <f>_xlfn.XLOOKUP(Jnl[[#This Row],[TrxId]], Trx[Id], Trx[Date],,0)</f>
        <v>46053</v>
      </c>
      <c r="C637" s="6" t="str">
        <f>_xlfn.XLOOKUP(Jnl[[#This Row],[TrxId]], Trx[Id], Trx[Division],,0)</f>
        <v>GM</v>
      </c>
      <c r="D637" s="6" t="str">
        <f>_xlfn.XLOOKUP(Jnl[[#This Row],[TrxId]], Trx[Id], Trx[Action],,0)</f>
        <v>收款</v>
      </c>
      <c r="E637" s="27" t="s">
        <v>82</v>
      </c>
      <c r="F637" s="10" t="s">
        <v>601</v>
      </c>
      <c r="G637" s="10" t="s">
        <v>349</v>
      </c>
      <c r="H637" s="37">
        <f>-H636</f>
        <v>-477.15</v>
      </c>
      <c r="I637" s="11" t="b">
        <f>AND(Jnl[[#This Row],[TrxId]]&lt;&gt;"",Jnl[[#This Row],[Acct]]&lt;&gt;"",Jnl[[#This Row],[Item]]&lt;&gt;"",ISNUMBER(Jnl[[#This Row],[Bal]]))</f>
        <v>1</v>
      </c>
      <c r="J637" s="9">
        <f>IF(Jnl[[#This Row],[BSLv0]]="A",1,-1)*Jnl[[#This Row],[Bal]]</f>
        <v>-477.15</v>
      </c>
      <c r="K637" t="str">
        <f>_xlfn.XLOOKUP(Jnl[[#This Row],[Acct]], config_BS[Acct], config_BS[Lv0],,0)</f>
        <v>A</v>
      </c>
      <c r="L637" t="str">
        <f>_xlfn.XLOOKUP(Jnl[[#This Row],[Acct]], config_BS[Acct], config_BS[Lv1],,0)</f>
        <v>Assets</v>
      </c>
      <c r="M637" t="str">
        <f>_xlfn.XLOOKUP(Jnl[[#This Row],[Acct]], config_BS[Acct], config_BS[Lv2],,0)</f>
        <v>Rec-Pay</v>
      </c>
      <c r="N637" t="str">
        <f>_xlfn.XLOOKUP(Jnl[[#This Row],[TrxId]], Trx[Id], Trx[IncNode], ,0)</f>
        <v>Expense</v>
      </c>
      <c r="O637" t="str">
        <f>_xlfn.XLOOKUP(Jnl[[#This Row],[IncNode]], config_IS[Node], config_IS[Type],,0)</f>
        <v>Op</v>
      </c>
      <c r="P637" t="str">
        <f>_xlfn.XLOOKUP(Jnl[[#This Row],[BSLv2]], dict[Key], dict[Name],,0)</f>
        <v>1.应收-应付</v>
      </c>
      <c r="Q637" t="str">
        <f>_xlfn.XLOOKUP(Jnl[[#This Row],[Acct]], dict[Key], dict[Name],,0)</f>
        <v>应收-其他</v>
      </c>
      <c r="R637" t="str">
        <f>_xlfn.XLOOKUP(Jnl[[#This Row],[Vehicle]],config_vehicle[Id], config_vehicle[Name],,0)</f>
        <v>远家花园</v>
      </c>
      <c r="S637" t="str">
        <f>_xlfn.XLOOKUP(Jnl[[#This Row],[Division]],config_div[Id], config_div[Name],,0)</f>
        <v>综合管理</v>
      </c>
      <c r="T637" t="str">
        <f>IF(Jnl[[#This Row],[TrxDate]]&lt;=stmt_BS_date_end, "In", "Out")</f>
        <v>In</v>
      </c>
      <c r="U637" t="str">
        <f>IF(Jnl[[#This Row],[TrxDate]]&lt;debug_date_start, "prior", IF(Jnl[[#This Row],[TrxDate]]&gt;debug_date_end, "post", "curr"))</f>
        <v>curr</v>
      </c>
    </row>
    <row r="638" spans="1:21" hidden="1">
      <c r="A638" s="39" t="s">
        <v>806</v>
      </c>
      <c r="B638" s="6">
        <f>_xlfn.XLOOKUP(Jnl[[#This Row],[TrxId]], Trx[Id], Trx[Date],,0)</f>
        <v>46053</v>
      </c>
      <c r="C638" s="6" t="str">
        <f>_xlfn.XLOOKUP(Jnl[[#This Row],[TrxId]], Trx[Id], Trx[Division],,0)</f>
        <v>Online</v>
      </c>
      <c r="D638" s="6" t="str">
        <f>_xlfn.XLOOKUP(Jnl[[#This Row],[TrxId]], Trx[Id], Trx[Action],,0)</f>
        <v>采购</v>
      </c>
      <c r="E638" s="27" t="s">
        <v>82</v>
      </c>
      <c r="F638" s="10" t="s">
        <v>604</v>
      </c>
      <c r="G638" s="10" t="s">
        <v>154</v>
      </c>
      <c r="H638" s="37">
        <v>6728</v>
      </c>
      <c r="I638" s="11" t="b">
        <f>AND(Jnl[[#This Row],[TrxId]]&lt;&gt;"",Jnl[[#This Row],[Acct]]&lt;&gt;"",Jnl[[#This Row],[Item]]&lt;&gt;"",ISNUMBER(Jnl[[#This Row],[Bal]]))</f>
        <v>1</v>
      </c>
      <c r="J638" s="9">
        <f>IF(Jnl[[#This Row],[BSLv0]]="A",1,-1)*Jnl[[#This Row],[Bal]]</f>
        <v>6728</v>
      </c>
      <c r="K638" t="str">
        <f>_xlfn.XLOOKUP(Jnl[[#This Row],[Acct]], config_BS[Acct], config_BS[Lv0],,0)</f>
        <v>A</v>
      </c>
      <c r="L638" t="str">
        <f>_xlfn.XLOOKUP(Jnl[[#This Row],[Acct]], config_BS[Acct], config_BS[Lv1],,0)</f>
        <v>Assets</v>
      </c>
      <c r="M638" t="str">
        <f>_xlfn.XLOOKUP(Jnl[[#This Row],[Acct]], config_BS[Acct], config_BS[Lv2],,0)</f>
        <v>Invtr</v>
      </c>
      <c r="N638" t="str">
        <f>_xlfn.XLOOKUP(Jnl[[#This Row],[TrxId]], Trx[Id], Trx[IncNode], ,0)</f>
        <v>Cost</v>
      </c>
      <c r="O638" t="str">
        <f>_xlfn.XLOOKUP(Jnl[[#This Row],[IncNode]], config_IS[Node], config_IS[Type],,0)</f>
        <v>Op</v>
      </c>
      <c r="P638" t="str">
        <f>_xlfn.XLOOKUP(Jnl[[#This Row],[BSLv2]], dict[Key], dict[Name],,0)</f>
        <v>3.库存占款</v>
      </c>
      <c r="Q638" t="str">
        <f>_xlfn.XLOOKUP(Jnl[[#This Row],[Acct]], dict[Key], dict[Name],,0)</f>
        <v>当期存货</v>
      </c>
      <c r="R638" t="str">
        <f>_xlfn.XLOOKUP(Jnl[[#This Row],[Vehicle]],config_vehicle[Id], config_vehicle[Name],,0)</f>
        <v>远家花园</v>
      </c>
      <c r="S638" t="str">
        <f>_xlfn.XLOOKUP(Jnl[[#This Row],[Division]],config_div[Id], config_div[Name],,0)</f>
        <v>网店</v>
      </c>
      <c r="T638" t="str">
        <f>IF(Jnl[[#This Row],[TrxDate]]&lt;=stmt_BS_date_end, "In", "Out")</f>
        <v>In</v>
      </c>
      <c r="U638" t="str">
        <f>IF(Jnl[[#This Row],[TrxDate]]&lt;debug_date_start, "prior", IF(Jnl[[#This Row],[TrxDate]]&gt;debug_date_end, "post", "curr"))</f>
        <v>curr</v>
      </c>
    </row>
    <row r="639" spans="1:21" hidden="1">
      <c r="A639" s="39" t="s">
        <v>806</v>
      </c>
      <c r="B639" s="6">
        <f>_xlfn.XLOOKUP(Jnl[[#This Row],[TrxId]], Trx[Id], Trx[Date],,0)</f>
        <v>46053</v>
      </c>
      <c r="C639" s="6" t="str">
        <f>_xlfn.XLOOKUP(Jnl[[#This Row],[TrxId]], Trx[Id], Trx[Division],,0)</f>
        <v>Online</v>
      </c>
      <c r="D639" s="6" t="str">
        <f>_xlfn.XLOOKUP(Jnl[[#This Row],[TrxId]], Trx[Id], Trx[Action],,0)</f>
        <v>采购</v>
      </c>
      <c r="E639" s="27" t="s">
        <v>82</v>
      </c>
      <c r="F639" s="10" t="s">
        <v>596</v>
      </c>
      <c r="G639" s="10" t="s">
        <v>396</v>
      </c>
      <c r="H639" s="37">
        <v>-6728</v>
      </c>
      <c r="I639" s="38" t="b">
        <f>AND(Jnl[[#This Row],[TrxId]]&lt;&gt;"",Jnl[[#This Row],[Acct]]&lt;&gt;"",Jnl[[#This Row],[Item]]&lt;&gt;"",ISNUMBER(Jnl[[#This Row],[Bal]]))</f>
        <v>1</v>
      </c>
      <c r="J639" s="9">
        <f>IF(Jnl[[#This Row],[BSLv0]]="A",1,-1)*Jnl[[#This Row],[Bal]]</f>
        <v>-6728</v>
      </c>
      <c r="K639" t="str">
        <f>_xlfn.XLOOKUP(Jnl[[#This Row],[Acct]], config_BS[Acct], config_BS[Lv0],,0)</f>
        <v>A</v>
      </c>
      <c r="L639" t="str">
        <f>_xlfn.XLOOKUP(Jnl[[#This Row],[Acct]], config_BS[Acct], config_BS[Lv1],,0)</f>
        <v>Assets</v>
      </c>
      <c r="M639" t="str">
        <f>_xlfn.XLOOKUP(Jnl[[#This Row],[Acct]], config_BS[Acct], config_BS[Lv2],,0)</f>
        <v>Cash alike</v>
      </c>
      <c r="N639" t="str">
        <f>_xlfn.XLOOKUP(Jnl[[#This Row],[TrxId]], Trx[Id], Trx[IncNode], ,0)</f>
        <v>Cost</v>
      </c>
      <c r="O639" t="str">
        <f>_xlfn.XLOOKUP(Jnl[[#This Row],[IncNode]], config_IS[Node], config_IS[Type],,0)</f>
        <v>Op</v>
      </c>
      <c r="P639" t="str">
        <f>_xlfn.XLOOKUP(Jnl[[#This Row],[BSLv2]], dict[Key], dict[Name],,0)</f>
        <v>0.现金及类似</v>
      </c>
      <c r="Q639" t="str">
        <f>_xlfn.XLOOKUP(Jnl[[#This Row],[Acct]], dict[Key], dict[Name],,0)</f>
        <v>银行</v>
      </c>
      <c r="R639" t="str">
        <f>_xlfn.XLOOKUP(Jnl[[#This Row],[Vehicle]],config_vehicle[Id], config_vehicle[Name],,0)</f>
        <v>远家花园</v>
      </c>
      <c r="S639" t="str">
        <f>_xlfn.XLOOKUP(Jnl[[#This Row],[Division]],config_div[Id], config_div[Name],,0)</f>
        <v>网店</v>
      </c>
      <c r="T639" t="str">
        <f>IF(Jnl[[#This Row],[TrxDate]]&lt;=stmt_BS_date_end, "In", "Out")</f>
        <v>In</v>
      </c>
      <c r="U639" t="str">
        <f>IF(Jnl[[#This Row],[TrxDate]]&lt;debug_date_start, "prior", IF(Jnl[[#This Row],[TrxDate]]&gt;debug_date_end, "post", "curr"))</f>
        <v>curr</v>
      </c>
    </row>
    <row r="640" spans="1:21" hidden="1">
      <c r="A640" s="39" t="s">
        <v>807</v>
      </c>
      <c r="B640" s="6">
        <f>_xlfn.XLOOKUP(Jnl[[#This Row],[TrxId]], Trx[Id], Trx[Date],,0)</f>
        <v>46053</v>
      </c>
      <c r="C640" s="6" t="str">
        <f>_xlfn.XLOOKUP(Jnl[[#This Row],[TrxId]], Trx[Id], Trx[Division],,0)</f>
        <v>Online</v>
      </c>
      <c r="D640" s="6" t="str">
        <f>_xlfn.XLOOKUP(Jnl[[#This Row],[TrxId]], Trx[Id], Trx[Action],,0)</f>
        <v>加工</v>
      </c>
      <c r="E640" s="27" t="s">
        <v>82</v>
      </c>
      <c r="F640" s="10" t="s">
        <v>604</v>
      </c>
      <c r="G640" s="10" t="s">
        <v>154</v>
      </c>
      <c r="H640" s="37">
        <v>2550</v>
      </c>
      <c r="I640" s="38" t="b">
        <f>AND(Jnl[[#This Row],[TrxId]]&lt;&gt;"",Jnl[[#This Row],[Acct]]&lt;&gt;"",Jnl[[#This Row],[Item]]&lt;&gt;"",ISNUMBER(Jnl[[#This Row],[Bal]]))</f>
        <v>1</v>
      </c>
      <c r="J640" s="9">
        <f>IF(Jnl[[#This Row],[BSLv0]]="A",1,-1)*Jnl[[#This Row],[Bal]]</f>
        <v>2550</v>
      </c>
      <c r="K640" t="str">
        <f>_xlfn.XLOOKUP(Jnl[[#This Row],[Acct]], config_BS[Acct], config_BS[Lv0],,0)</f>
        <v>A</v>
      </c>
      <c r="L640" t="str">
        <f>_xlfn.XLOOKUP(Jnl[[#This Row],[Acct]], config_BS[Acct], config_BS[Lv1],,0)</f>
        <v>Assets</v>
      </c>
      <c r="M640" t="str">
        <f>_xlfn.XLOOKUP(Jnl[[#This Row],[Acct]], config_BS[Acct], config_BS[Lv2],,0)</f>
        <v>Invtr</v>
      </c>
      <c r="N640" t="str">
        <f>_xlfn.XLOOKUP(Jnl[[#This Row],[TrxId]], Trx[Id], Trx[IncNode], ,0)</f>
        <v>Cost</v>
      </c>
      <c r="O640" t="str">
        <f>_xlfn.XLOOKUP(Jnl[[#This Row],[IncNode]], config_IS[Node], config_IS[Type],,0)</f>
        <v>Op</v>
      </c>
      <c r="P640" t="str">
        <f>_xlfn.XLOOKUP(Jnl[[#This Row],[BSLv2]], dict[Key], dict[Name],,0)</f>
        <v>3.库存占款</v>
      </c>
      <c r="Q640" t="str">
        <f>_xlfn.XLOOKUP(Jnl[[#This Row],[Acct]], dict[Key], dict[Name],,0)</f>
        <v>当期存货</v>
      </c>
      <c r="R640" t="str">
        <f>_xlfn.XLOOKUP(Jnl[[#This Row],[Vehicle]],config_vehicle[Id], config_vehicle[Name],,0)</f>
        <v>远家花园</v>
      </c>
      <c r="S640" t="str">
        <f>_xlfn.XLOOKUP(Jnl[[#This Row],[Division]],config_div[Id], config_div[Name],,0)</f>
        <v>网店</v>
      </c>
      <c r="T640" t="str">
        <f>IF(Jnl[[#This Row],[TrxDate]]&lt;=stmt_BS_date_end, "In", "Out")</f>
        <v>In</v>
      </c>
      <c r="U640" t="str">
        <f>IF(Jnl[[#This Row],[TrxDate]]&lt;debug_date_start, "prior", IF(Jnl[[#This Row],[TrxDate]]&gt;debug_date_end, "post", "curr"))</f>
        <v>curr</v>
      </c>
    </row>
    <row r="641" spans="1:21" hidden="1">
      <c r="A641" s="39" t="s">
        <v>807</v>
      </c>
      <c r="B641" s="6">
        <f>_xlfn.XLOOKUP(Jnl[[#This Row],[TrxId]], Trx[Id], Trx[Date],,0)</f>
        <v>46053</v>
      </c>
      <c r="C641" s="6" t="str">
        <f>_xlfn.XLOOKUP(Jnl[[#This Row],[TrxId]], Trx[Id], Trx[Division],,0)</f>
        <v>Online</v>
      </c>
      <c r="D641" s="6" t="str">
        <f>_xlfn.XLOOKUP(Jnl[[#This Row],[TrxId]], Trx[Id], Trx[Action],,0)</f>
        <v>加工</v>
      </c>
      <c r="E641" s="27" t="s">
        <v>82</v>
      </c>
      <c r="F641" s="10" t="s">
        <v>596</v>
      </c>
      <c r="G641" s="10" t="s">
        <v>396</v>
      </c>
      <c r="H641" s="37">
        <v>-2550</v>
      </c>
      <c r="I641" s="38" t="b">
        <f>AND(Jnl[[#This Row],[TrxId]]&lt;&gt;"",Jnl[[#This Row],[Acct]]&lt;&gt;"",Jnl[[#This Row],[Item]]&lt;&gt;"",ISNUMBER(Jnl[[#This Row],[Bal]]))</f>
        <v>1</v>
      </c>
      <c r="J641" s="9">
        <f>IF(Jnl[[#This Row],[BSLv0]]="A",1,-1)*Jnl[[#This Row],[Bal]]</f>
        <v>-2550</v>
      </c>
      <c r="K641" t="str">
        <f>_xlfn.XLOOKUP(Jnl[[#This Row],[Acct]], config_BS[Acct], config_BS[Lv0],,0)</f>
        <v>A</v>
      </c>
      <c r="L641" t="str">
        <f>_xlfn.XLOOKUP(Jnl[[#This Row],[Acct]], config_BS[Acct], config_BS[Lv1],,0)</f>
        <v>Assets</v>
      </c>
      <c r="M641" t="str">
        <f>_xlfn.XLOOKUP(Jnl[[#This Row],[Acct]], config_BS[Acct], config_BS[Lv2],,0)</f>
        <v>Cash alike</v>
      </c>
      <c r="N641" t="str">
        <f>_xlfn.XLOOKUP(Jnl[[#This Row],[TrxId]], Trx[Id], Trx[IncNode], ,0)</f>
        <v>Cost</v>
      </c>
      <c r="O641" t="str">
        <f>_xlfn.XLOOKUP(Jnl[[#This Row],[IncNode]], config_IS[Node], config_IS[Type],,0)</f>
        <v>Op</v>
      </c>
      <c r="P641" t="str">
        <f>_xlfn.XLOOKUP(Jnl[[#This Row],[BSLv2]], dict[Key], dict[Name],,0)</f>
        <v>0.现金及类似</v>
      </c>
      <c r="Q641" t="str">
        <f>_xlfn.XLOOKUP(Jnl[[#This Row],[Acct]], dict[Key], dict[Name],,0)</f>
        <v>银行</v>
      </c>
      <c r="R641" t="str">
        <f>_xlfn.XLOOKUP(Jnl[[#This Row],[Vehicle]],config_vehicle[Id], config_vehicle[Name],,0)</f>
        <v>远家花园</v>
      </c>
      <c r="S641" t="str">
        <f>_xlfn.XLOOKUP(Jnl[[#This Row],[Division]],config_div[Id], config_div[Name],,0)</f>
        <v>网店</v>
      </c>
      <c r="T641" t="str">
        <f>IF(Jnl[[#This Row],[TrxDate]]&lt;=stmt_BS_date_end, "In", "Out")</f>
        <v>In</v>
      </c>
      <c r="U641" t="str">
        <f>IF(Jnl[[#This Row],[TrxDate]]&lt;debug_date_start, "prior", IF(Jnl[[#This Row],[TrxDate]]&gt;debug_date_end, "post", "curr"))</f>
        <v>curr</v>
      </c>
    </row>
    <row r="642" spans="1:21" hidden="1">
      <c r="A642" s="39" t="s">
        <v>813</v>
      </c>
      <c r="B642" s="6">
        <f>_xlfn.XLOOKUP(Jnl[[#This Row],[TrxId]], Trx[Id], Trx[Date],,0)</f>
        <v>46053</v>
      </c>
      <c r="C642" s="6" t="str">
        <f>_xlfn.XLOOKUP(Jnl[[#This Row],[TrxId]], Trx[Id], Trx[Division],,0)</f>
        <v>Online</v>
      </c>
      <c r="D642" s="6" t="str">
        <f>_xlfn.XLOOKUP(Jnl[[#This Row],[TrxId]], Trx[Id], Trx[Action],,0)</f>
        <v>采购</v>
      </c>
      <c r="E642" s="27" t="s">
        <v>82</v>
      </c>
      <c r="F642" s="10" t="s">
        <v>604</v>
      </c>
      <c r="G642" s="10" t="s">
        <v>154</v>
      </c>
      <c r="H642" s="37">
        <v>24762.5</v>
      </c>
      <c r="I642" s="38" t="b">
        <f>AND(Jnl[[#This Row],[TrxId]]&lt;&gt;"",Jnl[[#This Row],[Acct]]&lt;&gt;"",Jnl[[#This Row],[Item]]&lt;&gt;"",ISNUMBER(Jnl[[#This Row],[Bal]]))</f>
        <v>1</v>
      </c>
      <c r="J642" s="9">
        <f>IF(Jnl[[#This Row],[BSLv0]]="A",1,-1)*Jnl[[#This Row],[Bal]]</f>
        <v>24762.5</v>
      </c>
      <c r="K642" t="str">
        <f>_xlfn.XLOOKUP(Jnl[[#This Row],[Acct]], config_BS[Acct], config_BS[Lv0],,0)</f>
        <v>A</v>
      </c>
      <c r="L642" t="str">
        <f>_xlfn.XLOOKUP(Jnl[[#This Row],[Acct]], config_BS[Acct], config_BS[Lv1],,0)</f>
        <v>Assets</v>
      </c>
      <c r="M642" t="str">
        <f>_xlfn.XLOOKUP(Jnl[[#This Row],[Acct]], config_BS[Acct], config_BS[Lv2],,0)</f>
        <v>Invtr</v>
      </c>
      <c r="N642" t="str">
        <f>_xlfn.XLOOKUP(Jnl[[#This Row],[TrxId]], Trx[Id], Trx[IncNode], ,0)</f>
        <v>Cost</v>
      </c>
      <c r="O642" t="str">
        <f>_xlfn.XLOOKUP(Jnl[[#This Row],[IncNode]], config_IS[Node], config_IS[Type],,0)</f>
        <v>Op</v>
      </c>
      <c r="P642" t="str">
        <f>_xlfn.XLOOKUP(Jnl[[#This Row],[BSLv2]], dict[Key], dict[Name],,0)</f>
        <v>3.库存占款</v>
      </c>
      <c r="Q642" t="str">
        <f>_xlfn.XLOOKUP(Jnl[[#This Row],[Acct]], dict[Key], dict[Name],,0)</f>
        <v>当期存货</v>
      </c>
      <c r="R642" t="str">
        <f>_xlfn.XLOOKUP(Jnl[[#This Row],[Vehicle]],config_vehicle[Id], config_vehicle[Name],,0)</f>
        <v>远家花园</v>
      </c>
      <c r="S642" t="str">
        <f>_xlfn.XLOOKUP(Jnl[[#This Row],[Division]],config_div[Id], config_div[Name],,0)</f>
        <v>网店</v>
      </c>
      <c r="T642" t="str">
        <f>IF(Jnl[[#This Row],[TrxDate]]&lt;=stmt_BS_date_end, "In", "Out")</f>
        <v>In</v>
      </c>
      <c r="U642" t="str">
        <f>IF(Jnl[[#This Row],[TrxDate]]&lt;debug_date_start, "prior", IF(Jnl[[#This Row],[TrxDate]]&gt;debug_date_end, "post", "curr"))</f>
        <v>curr</v>
      </c>
    </row>
    <row r="643" spans="1:21" hidden="1">
      <c r="A643" s="39" t="s">
        <v>813</v>
      </c>
      <c r="B643" s="6">
        <f>_xlfn.XLOOKUP(Jnl[[#This Row],[TrxId]], Trx[Id], Trx[Date],,0)</f>
        <v>46053</v>
      </c>
      <c r="C643" s="6" t="str">
        <f>_xlfn.XLOOKUP(Jnl[[#This Row],[TrxId]], Trx[Id], Trx[Division],,0)</f>
        <v>Online</v>
      </c>
      <c r="D643" s="6" t="str">
        <f>_xlfn.XLOOKUP(Jnl[[#This Row],[TrxId]], Trx[Id], Trx[Action],,0)</f>
        <v>采购</v>
      </c>
      <c r="E643" s="27" t="s">
        <v>82</v>
      </c>
      <c r="F643" s="10" t="s">
        <v>596</v>
      </c>
      <c r="G643" s="10" t="s">
        <v>396</v>
      </c>
      <c r="H643" s="37">
        <v>-24762.5</v>
      </c>
      <c r="I643" s="38" t="b">
        <f>AND(Jnl[[#This Row],[TrxId]]&lt;&gt;"",Jnl[[#This Row],[Acct]]&lt;&gt;"",Jnl[[#This Row],[Item]]&lt;&gt;"",ISNUMBER(Jnl[[#This Row],[Bal]]))</f>
        <v>1</v>
      </c>
      <c r="J643" s="9">
        <f>IF(Jnl[[#This Row],[BSLv0]]="A",1,-1)*Jnl[[#This Row],[Bal]]</f>
        <v>-24762.5</v>
      </c>
      <c r="K643" t="str">
        <f>_xlfn.XLOOKUP(Jnl[[#This Row],[Acct]], config_BS[Acct], config_BS[Lv0],,0)</f>
        <v>A</v>
      </c>
      <c r="L643" t="str">
        <f>_xlfn.XLOOKUP(Jnl[[#This Row],[Acct]], config_BS[Acct], config_BS[Lv1],,0)</f>
        <v>Assets</v>
      </c>
      <c r="M643" t="str">
        <f>_xlfn.XLOOKUP(Jnl[[#This Row],[Acct]], config_BS[Acct], config_BS[Lv2],,0)</f>
        <v>Cash alike</v>
      </c>
      <c r="N643" t="str">
        <f>_xlfn.XLOOKUP(Jnl[[#This Row],[TrxId]], Trx[Id], Trx[IncNode], ,0)</f>
        <v>Cost</v>
      </c>
      <c r="O643" t="str">
        <f>_xlfn.XLOOKUP(Jnl[[#This Row],[IncNode]], config_IS[Node], config_IS[Type],,0)</f>
        <v>Op</v>
      </c>
      <c r="P643" t="str">
        <f>_xlfn.XLOOKUP(Jnl[[#This Row],[BSLv2]], dict[Key], dict[Name],,0)</f>
        <v>0.现金及类似</v>
      </c>
      <c r="Q643" t="str">
        <f>_xlfn.XLOOKUP(Jnl[[#This Row],[Acct]], dict[Key], dict[Name],,0)</f>
        <v>银行</v>
      </c>
      <c r="R643" t="str">
        <f>_xlfn.XLOOKUP(Jnl[[#This Row],[Vehicle]],config_vehicle[Id], config_vehicle[Name],,0)</f>
        <v>远家花园</v>
      </c>
      <c r="S643" t="str">
        <f>_xlfn.XLOOKUP(Jnl[[#This Row],[Division]],config_div[Id], config_div[Name],,0)</f>
        <v>网店</v>
      </c>
      <c r="T643" t="str">
        <f>IF(Jnl[[#This Row],[TrxDate]]&lt;=stmt_BS_date_end, "In", "Out")</f>
        <v>In</v>
      </c>
      <c r="U643" t="str">
        <f>IF(Jnl[[#This Row],[TrxDate]]&lt;debug_date_start, "prior", IF(Jnl[[#This Row],[TrxDate]]&gt;debug_date_end, "post", "curr"))</f>
        <v>curr</v>
      </c>
    </row>
    <row r="644" spans="1:21" hidden="1">
      <c r="A644" s="39" t="s">
        <v>814</v>
      </c>
      <c r="B644" s="6">
        <f>_xlfn.XLOOKUP(Jnl[[#This Row],[TrxId]], Trx[Id], Trx[Date],,0)</f>
        <v>46053</v>
      </c>
      <c r="C644" s="6" t="str">
        <f>_xlfn.XLOOKUP(Jnl[[#This Row],[TrxId]], Trx[Id], Trx[Division],,0)</f>
        <v>Online</v>
      </c>
      <c r="D644" s="6" t="str">
        <f>_xlfn.XLOOKUP(Jnl[[#This Row],[TrxId]], Trx[Id], Trx[Action],,0)</f>
        <v>采购</v>
      </c>
      <c r="E644" s="27" t="s">
        <v>82</v>
      </c>
      <c r="F644" s="10" t="s">
        <v>604</v>
      </c>
      <c r="G644" s="10" t="s">
        <v>154</v>
      </c>
      <c r="H644" s="37">
        <v>2000</v>
      </c>
      <c r="I644" s="38" t="b">
        <f>AND(Jnl[[#This Row],[TrxId]]&lt;&gt;"",Jnl[[#This Row],[Acct]]&lt;&gt;"",Jnl[[#This Row],[Item]]&lt;&gt;"",ISNUMBER(Jnl[[#This Row],[Bal]]))</f>
        <v>1</v>
      </c>
      <c r="J644" s="9">
        <f>IF(Jnl[[#This Row],[BSLv0]]="A",1,-1)*Jnl[[#This Row],[Bal]]</f>
        <v>2000</v>
      </c>
      <c r="K644" t="str">
        <f>_xlfn.XLOOKUP(Jnl[[#This Row],[Acct]], config_BS[Acct], config_BS[Lv0],,0)</f>
        <v>A</v>
      </c>
      <c r="L644" t="str">
        <f>_xlfn.XLOOKUP(Jnl[[#This Row],[Acct]], config_BS[Acct], config_BS[Lv1],,0)</f>
        <v>Assets</v>
      </c>
      <c r="M644" t="str">
        <f>_xlfn.XLOOKUP(Jnl[[#This Row],[Acct]], config_BS[Acct], config_BS[Lv2],,0)</f>
        <v>Invtr</v>
      </c>
      <c r="N644" t="str">
        <f>_xlfn.XLOOKUP(Jnl[[#This Row],[TrxId]], Trx[Id], Trx[IncNode], ,0)</f>
        <v>Cost</v>
      </c>
      <c r="O644" t="str">
        <f>_xlfn.XLOOKUP(Jnl[[#This Row],[IncNode]], config_IS[Node], config_IS[Type],,0)</f>
        <v>Op</v>
      </c>
      <c r="P644" t="str">
        <f>_xlfn.XLOOKUP(Jnl[[#This Row],[BSLv2]], dict[Key], dict[Name],,0)</f>
        <v>3.库存占款</v>
      </c>
      <c r="Q644" t="str">
        <f>_xlfn.XLOOKUP(Jnl[[#This Row],[Acct]], dict[Key], dict[Name],,0)</f>
        <v>当期存货</v>
      </c>
      <c r="R644" t="str">
        <f>_xlfn.XLOOKUP(Jnl[[#This Row],[Vehicle]],config_vehicle[Id], config_vehicle[Name],,0)</f>
        <v>远家花园</v>
      </c>
      <c r="S644" t="str">
        <f>_xlfn.XLOOKUP(Jnl[[#This Row],[Division]],config_div[Id], config_div[Name],,0)</f>
        <v>网店</v>
      </c>
      <c r="T644" t="str">
        <f>IF(Jnl[[#This Row],[TrxDate]]&lt;=stmt_BS_date_end, "In", "Out")</f>
        <v>In</v>
      </c>
      <c r="U644" t="str">
        <f>IF(Jnl[[#This Row],[TrxDate]]&lt;debug_date_start, "prior", IF(Jnl[[#This Row],[TrxDate]]&gt;debug_date_end, "post", "curr"))</f>
        <v>curr</v>
      </c>
    </row>
    <row r="645" spans="1:21" hidden="1">
      <c r="A645" s="39" t="s">
        <v>814</v>
      </c>
      <c r="B645" s="6">
        <f>_xlfn.XLOOKUP(Jnl[[#This Row],[TrxId]], Trx[Id], Trx[Date],,0)</f>
        <v>46053</v>
      </c>
      <c r="C645" s="6" t="str">
        <f>_xlfn.XLOOKUP(Jnl[[#This Row],[TrxId]], Trx[Id], Trx[Division],,0)</f>
        <v>Online</v>
      </c>
      <c r="D645" s="6" t="str">
        <f>_xlfn.XLOOKUP(Jnl[[#This Row],[TrxId]], Trx[Id], Trx[Action],,0)</f>
        <v>采购</v>
      </c>
      <c r="E645" s="27" t="s">
        <v>82</v>
      </c>
      <c r="F645" s="10" t="s">
        <v>596</v>
      </c>
      <c r="G645" s="10" t="s">
        <v>396</v>
      </c>
      <c r="H645" s="37">
        <v>-2000</v>
      </c>
      <c r="I645" s="38" t="b">
        <f>AND(Jnl[[#This Row],[TrxId]]&lt;&gt;"",Jnl[[#This Row],[Acct]]&lt;&gt;"",Jnl[[#This Row],[Item]]&lt;&gt;"",ISNUMBER(Jnl[[#This Row],[Bal]]))</f>
        <v>1</v>
      </c>
      <c r="J645" s="9">
        <f>IF(Jnl[[#This Row],[BSLv0]]="A",1,-1)*Jnl[[#This Row],[Bal]]</f>
        <v>-2000</v>
      </c>
      <c r="K645" t="str">
        <f>_xlfn.XLOOKUP(Jnl[[#This Row],[Acct]], config_BS[Acct], config_BS[Lv0],,0)</f>
        <v>A</v>
      </c>
      <c r="L645" t="str">
        <f>_xlfn.XLOOKUP(Jnl[[#This Row],[Acct]], config_BS[Acct], config_BS[Lv1],,0)</f>
        <v>Assets</v>
      </c>
      <c r="M645" t="str">
        <f>_xlfn.XLOOKUP(Jnl[[#This Row],[Acct]], config_BS[Acct], config_BS[Lv2],,0)</f>
        <v>Cash alike</v>
      </c>
      <c r="N645" t="str">
        <f>_xlfn.XLOOKUP(Jnl[[#This Row],[TrxId]], Trx[Id], Trx[IncNode], ,0)</f>
        <v>Cost</v>
      </c>
      <c r="O645" t="str">
        <f>_xlfn.XLOOKUP(Jnl[[#This Row],[IncNode]], config_IS[Node], config_IS[Type],,0)</f>
        <v>Op</v>
      </c>
      <c r="P645" t="str">
        <f>_xlfn.XLOOKUP(Jnl[[#This Row],[BSLv2]], dict[Key], dict[Name],,0)</f>
        <v>0.现金及类似</v>
      </c>
      <c r="Q645" t="str">
        <f>_xlfn.XLOOKUP(Jnl[[#This Row],[Acct]], dict[Key], dict[Name],,0)</f>
        <v>银行</v>
      </c>
      <c r="R645" t="str">
        <f>_xlfn.XLOOKUP(Jnl[[#This Row],[Vehicle]],config_vehicle[Id], config_vehicle[Name],,0)</f>
        <v>远家花园</v>
      </c>
      <c r="S645" t="str">
        <f>_xlfn.XLOOKUP(Jnl[[#This Row],[Division]],config_div[Id], config_div[Name],,0)</f>
        <v>网店</v>
      </c>
      <c r="T645" t="str">
        <f>IF(Jnl[[#This Row],[TrxDate]]&lt;=stmt_BS_date_end, "In", "Out")</f>
        <v>In</v>
      </c>
      <c r="U645" t="str">
        <f>IF(Jnl[[#This Row],[TrxDate]]&lt;debug_date_start, "prior", IF(Jnl[[#This Row],[TrxDate]]&gt;debug_date_end, "post", "curr"))</f>
        <v>curr</v>
      </c>
    </row>
    <row r="646" spans="1:21" hidden="1">
      <c r="A646" s="39" t="s">
        <v>815</v>
      </c>
      <c r="B646" s="6">
        <f>_xlfn.XLOOKUP(Jnl[[#This Row],[TrxId]], Trx[Id], Trx[Date],,0)</f>
        <v>46053</v>
      </c>
      <c r="C646" s="6" t="str">
        <f>_xlfn.XLOOKUP(Jnl[[#This Row],[TrxId]], Trx[Id], Trx[Division],,0)</f>
        <v>Online</v>
      </c>
      <c r="D646" s="6" t="str">
        <f>_xlfn.XLOOKUP(Jnl[[#This Row],[TrxId]], Trx[Id], Trx[Action],,0)</f>
        <v>加工</v>
      </c>
      <c r="E646" s="27" t="s">
        <v>82</v>
      </c>
      <c r="F646" s="10" t="s">
        <v>604</v>
      </c>
      <c r="G646" s="10" t="s">
        <v>154</v>
      </c>
      <c r="H646" s="37">
        <v>29022</v>
      </c>
      <c r="I646" s="38" t="b">
        <f>AND(Jnl[[#This Row],[TrxId]]&lt;&gt;"",Jnl[[#This Row],[Acct]]&lt;&gt;"",Jnl[[#This Row],[Item]]&lt;&gt;"",ISNUMBER(Jnl[[#This Row],[Bal]]))</f>
        <v>1</v>
      </c>
      <c r="J646" s="9">
        <f>IF(Jnl[[#This Row],[BSLv0]]="A",1,-1)*Jnl[[#This Row],[Bal]]</f>
        <v>29022</v>
      </c>
      <c r="K646" t="str">
        <f>_xlfn.XLOOKUP(Jnl[[#This Row],[Acct]], config_BS[Acct], config_BS[Lv0],,0)</f>
        <v>A</v>
      </c>
      <c r="L646" t="str">
        <f>_xlfn.XLOOKUP(Jnl[[#This Row],[Acct]], config_BS[Acct], config_BS[Lv1],,0)</f>
        <v>Assets</v>
      </c>
      <c r="M646" t="str">
        <f>_xlfn.XLOOKUP(Jnl[[#This Row],[Acct]], config_BS[Acct], config_BS[Lv2],,0)</f>
        <v>Invtr</v>
      </c>
      <c r="N646" t="str">
        <f>_xlfn.XLOOKUP(Jnl[[#This Row],[TrxId]], Trx[Id], Trx[IncNode], ,0)</f>
        <v>Cost</v>
      </c>
      <c r="O646" t="str">
        <f>_xlfn.XLOOKUP(Jnl[[#This Row],[IncNode]], config_IS[Node], config_IS[Type],,0)</f>
        <v>Op</v>
      </c>
      <c r="P646" t="str">
        <f>_xlfn.XLOOKUP(Jnl[[#This Row],[BSLv2]], dict[Key], dict[Name],,0)</f>
        <v>3.库存占款</v>
      </c>
      <c r="Q646" t="str">
        <f>_xlfn.XLOOKUP(Jnl[[#This Row],[Acct]], dict[Key], dict[Name],,0)</f>
        <v>当期存货</v>
      </c>
      <c r="R646" t="str">
        <f>_xlfn.XLOOKUP(Jnl[[#This Row],[Vehicle]],config_vehicle[Id], config_vehicle[Name],,0)</f>
        <v>远家花园</v>
      </c>
      <c r="S646" t="str">
        <f>_xlfn.XLOOKUP(Jnl[[#This Row],[Division]],config_div[Id], config_div[Name],,0)</f>
        <v>网店</v>
      </c>
      <c r="T646" t="str">
        <f>IF(Jnl[[#This Row],[TrxDate]]&lt;=stmt_BS_date_end, "In", "Out")</f>
        <v>In</v>
      </c>
      <c r="U646" t="str">
        <f>IF(Jnl[[#This Row],[TrxDate]]&lt;debug_date_start, "prior", IF(Jnl[[#This Row],[TrxDate]]&gt;debug_date_end, "post", "curr"))</f>
        <v>curr</v>
      </c>
    </row>
    <row r="647" spans="1:21" hidden="1">
      <c r="A647" s="39" t="s">
        <v>815</v>
      </c>
      <c r="B647" s="6">
        <f>_xlfn.XLOOKUP(Jnl[[#This Row],[TrxId]], Trx[Id], Trx[Date],,0)</f>
        <v>46053</v>
      </c>
      <c r="C647" s="6" t="str">
        <f>_xlfn.XLOOKUP(Jnl[[#This Row],[TrxId]], Trx[Id], Trx[Division],,0)</f>
        <v>Online</v>
      </c>
      <c r="D647" s="6" t="str">
        <f>_xlfn.XLOOKUP(Jnl[[#This Row],[TrxId]], Trx[Id], Trx[Action],,0)</f>
        <v>加工</v>
      </c>
      <c r="E647" s="27" t="s">
        <v>82</v>
      </c>
      <c r="F647" s="10" t="s">
        <v>596</v>
      </c>
      <c r="G647" s="10" t="s">
        <v>396</v>
      </c>
      <c r="H647" s="37">
        <v>-29022</v>
      </c>
      <c r="I647" s="38" t="b">
        <f>AND(Jnl[[#This Row],[TrxId]]&lt;&gt;"",Jnl[[#This Row],[Acct]]&lt;&gt;"",Jnl[[#This Row],[Item]]&lt;&gt;"",ISNUMBER(Jnl[[#This Row],[Bal]]))</f>
        <v>1</v>
      </c>
      <c r="J647" s="9">
        <f>IF(Jnl[[#This Row],[BSLv0]]="A",1,-1)*Jnl[[#This Row],[Bal]]</f>
        <v>-29022</v>
      </c>
      <c r="K647" t="str">
        <f>_xlfn.XLOOKUP(Jnl[[#This Row],[Acct]], config_BS[Acct], config_BS[Lv0],,0)</f>
        <v>A</v>
      </c>
      <c r="L647" t="str">
        <f>_xlfn.XLOOKUP(Jnl[[#This Row],[Acct]], config_BS[Acct], config_BS[Lv1],,0)</f>
        <v>Assets</v>
      </c>
      <c r="M647" t="str">
        <f>_xlfn.XLOOKUP(Jnl[[#This Row],[Acct]], config_BS[Acct], config_BS[Lv2],,0)</f>
        <v>Cash alike</v>
      </c>
      <c r="N647" t="str">
        <f>_xlfn.XLOOKUP(Jnl[[#This Row],[TrxId]], Trx[Id], Trx[IncNode], ,0)</f>
        <v>Cost</v>
      </c>
      <c r="O647" t="str">
        <f>_xlfn.XLOOKUP(Jnl[[#This Row],[IncNode]], config_IS[Node], config_IS[Type],,0)</f>
        <v>Op</v>
      </c>
      <c r="P647" t="str">
        <f>_xlfn.XLOOKUP(Jnl[[#This Row],[BSLv2]], dict[Key], dict[Name],,0)</f>
        <v>0.现金及类似</v>
      </c>
      <c r="Q647" t="str">
        <f>_xlfn.XLOOKUP(Jnl[[#This Row],[Acct]], dict[Key], dict[Name],,0)</f>
        <v>银行</v>
      </c>
      <c r="R647" t="str">
        <f>_xlfn.XLOOKUP(Jnl[[#This Row],[Vehicle]],config_vehicle[Id], config_vehicle[Name],,0)</f>
        <v>远家花园</v>
      </c>
      <c r="S647" t="str">
        <f>_xlfn.XLOOKUP(Jnl[[#This Row],[Division]],config_div[Id], config_div[Name],,0)</f>
        <v>网店</v>
      </c>
      <c r="T647" t="str">
        <f>IF(Jnl[[#This Row],[TrxDate]]&lt;=stmt_BS_date_end, "In", "Out")</f>
        <v>In</v>
      </c>
      <c r="U647" t="str">
        <f>IF(Jnl[[#This Row],[TrxDate]]&lt;debug_date_start, "prior", IF(Jnl[[#This Row],[TrxDate]]&gt;debug_date_end, "post", "curr"))</f>
        <v>curr</v>
      </c>
    </row>
    <row r="648" spans="1:21" hidden="1">
      <c r="A648" s="39" t="s">
        <v>816</v>
      </c>
      <c r="B648" s="6">
        <f>_xlfn.XLOOKUP(Jnl[[#This Row],[TrxId]], Trx[Id], Trx[Date],,0)</f>
        <v>46053</v>
      </c>
      <c r="C648" s="6" t="str">
        <f>_xlfn.XLOOKUP(Jnl[[#This Row],[TrxId]], Trx[Id], Trx[Division],,0)</f>
        <v>Online</v>
      </c>
      <c r="D648" s="6" t="str">
        <f>_xlfn.XLOOKUP(Jnl[[#This Row],[TrxId]], Trx[Id], Trx[Action],,0)</f>
        <v>采购</v>
      </c>
      <c r="E648" s="27" t="s">
        <v>82</v>
      </c>
      <c r="F648" s="10" t="s">
        <v>604</v>
      </c>
      <c r="G648" s="10" t="s">
        <v>154</v>
      </c>
      <c r="H648" s="37">
        <v>238743.9</v>
      </c>
      <c r="I648" s="38" t="b">
        <f>AND(Jnl[[#This Row],[TrxId]]&lt;&gt;"",Jnl[[#This Row],[Acct]]&lt;&gt;"",Jnl[[#This Row],[Item]]&lt;&gt;"",ISNUMBER(Jnl[[#This Row],[Bal]]))</f>
        <v>1</v>
      </c>
      <c r="J648" s="9">
        <f>IF(Jnl[[#This Row],[BSLv0]]="A",1,-1)*Jnl[[#This Row],[Bal]]</f>
        <v>238743.9</v>
      </c>
      <c r="K648" t="str">
        <f>_xlfn.XLOOKUP(Jnl[[#This Row],[Acct]], config_BS[Acct], config_BS[Lv0],,0)</f>
        <v>A</v>
      </c>
      <c r="L648" t="str">
        <f>_xlfn.XLOOKUP(Jnl[[#This Row],[Acct]], config_BS[Acct], config_BS[Lv1],,0)</f>
        <v>Assets</v>
      </c>
      <c r="M648" t="str">
        <f>_xlfn.XLOOKUP(Jnl[[#This Row],[Acct]], config_BS[Acct], config_BS[Lv2],,0)</f>
        <v>Invtr</v>
      </c>
      <c r="N648" t="str">
        <f>_xlfn.XLOOKUP(Jnl[[#This Row],[TrxId]], Trx[Id], Trx[IncNode], ,0)</f>
        <v>Cost</v>
      </c>
      <c r="O648" t="str">
        <f>_xlfn.XLOOKUP(Jnl[[#This Row],[IncNode]], config_IS[Node], config_IS[Type],,0)</f>
        <v>Op</v>
      </c>
      <c r="P648" t="str">
        <f>_xlfn.XLOOKUP(Jnl[[#This Row],[BSLv2]], dict[Key], dict[Name],,0)</f>
        <v>3.库存占款</v>
      </c>
      <c r="Q648" t="str">
        <f>_xlfn.XLOOKUP(Jnl[[#This Row],[Acct]], dict[Key], dict[Name],,0)</f>
        <v>当期存货</v>
      </c>
      <c r="R648" t="str">
        <f>_xlfn.XLOOKUP(Jnl[[#This Row],[Vehicle]],config_vehicle[Id], config_vehicle[Name],,0)</f>
        <v>远家花园</v>
      </c>
      <c r="S648" t="str">
        <f>_xlfn.XLOOKUP(Jnl[[#This Row],[Division]],config_div[Id], config_div[Name],,0)</f>
        <v>网店</v>
      </c>
      <c r="T648" t="str">
        <f>IF(Jnl[[#This Row],[TrxDate]]&lt;=stmt_BS_date_end, "In", "Out")</f>
        <v>In</v>
      </c>
      <c r="U648" t="str">
        <f>IF(Jnl[[#This Row],[TrxDate]]&lt;debug_date_start, "prior", IF(Jnl[[#This Row],[TrxDate]]&gt;debug_date_end, "post", "curr"))</f>
        <v>curr</v>
      </c>
    </row>
    <row r="649" spans="1:21" hidden="1">
      <c r="A649" s="39" t="s">
        <v>816</v>
      </c>
      <c r="B649" s="6">
        <f>_xlfn.XLOOKUP(Jnl[[#This Row],[TrxId]], Trx[Id], Trx[Date],,0)</f>
        <v>46053</v>
      </c>
      <c r="C649" s="6" t="str">
        <f>_xlfn.XLOOKUP(Jnl[[#This Row],[TrxId]], Trx[Id], Trx[Division],,0)</f>
        <v>Online</v>
      </c>
      <c r="D649" s="6" t="str">
        <f>_xlfn.XLOOKUP(Jnl[[#This Row],[TrxId]], Trx[Id], Trx[Action],,0)</f>
        <v>采购</v>
      </c>
      <c r="E649" s="27" t="s">
        <v>82</v>
      </c>
      <c r="F649" s="10" t="s">
        <v>596</v>
      </c>
      <c r="G649" s="10" t="s">
        <v>396</v>
      </c>
      <c r="H649" s="37">
        <v>-238743.9</v>
      </c>
      <c r="I649" s="38" t="b">
        <f>AND(Jnl[[#This Row],[TrxId]]&lt;&gt;"",Jnl[[#This Row],[Acct]]&lt;&gt;"",Jnl[[#This Row],[Item]]&lt;&gt;"",ISNUMBER(Jnl[[#This Row],[Bal]]))</f>
        <v>1</v>
      </c>
      <c r="J649" s="9">
        <f>IF(Jnl[[#This Row],[BSLv0]]="A",1,-1)*Jnl[[#This Row],[Bal]]</f>
        <v>-238743.9</v>
      </c>
      <c r="K649" t="str">
        <f>_xlfn.XLOOKUP(Jnl[[#This Row],[Acct]], config_BS[Acct], config_BS[Lv0],,0)</f>
        <v>A</v>
      </c>
      <c r="L649" t="str">
        <f>_xlfn.XLOOKUP(Jnl[[#This Row],[Acct]], config_BS[Acct], config_BS[Lv1],,0)</f>
        <v>Assets</v>
      </c>
      <c r="M649" t="str">
        <f>_xlfn.XLOOKUP(Jnl[[#This Row],[Acct]], config_BS[Acct], config_BS[Lv2],,0)</f>
        <v>Cash alike</v>
      </c>
      <c r="N649" t="str">
        <f>_xlfn.XLOOKUP(Jnl[[#This Row],[TrxId]], Trx[Id], Trx[IncNode], ,0)</f>
        <v>Cost</v>
      </c>
      <c r="O649" t="str">
        <f>_xlfn.XLOOKUP(Jnl[[#This Row],[IncNode]], config_IS[Node], config_IS[Type],,0)</f>
        <v>Op</v>
      </c>
      <c r="P649" t="str">
        <f>_xlfn.XLOOKUP(Jnl[[#This Row],[BSLv2]], dict[Key], dict[Name],,0)</f>
        <v>0.现金及类似</v>
      </c>
      <c r="Q649" t="str">
        <f>_xlfn.XLOOKUP(Jnl[[#This Row],[Acct]], dict[Key], dict[Name],,0)</f>
        <v>银行</v>
      </c>
      <c r="R649" t="str">
        <f>_xlfn.XLOOKUP(Jnl[[#This Row],[Vehicle]],config_vehicle[Id], config_vehicle[Name],,0)</f>
        <v>远家花园</v>
      </c>
      <c r="S649" t="str">
        <f>_xlfn.XLOOKUP(Jnl[[#This Row],[Division]],config_div[Id], config_div[Name],,0)</f>
        <v>网店</v>
      </c>
      <c r="T649" t="str">
        <f>IF(Jnl[[#This Row],[TrxDate]]&lt;=stmt_BS_date_end, "In", "Out")</f>
        <v>In</v>
      </c>
      <c r="U649" t="str">
        <f>IF(Jnl[[#This Row],[TrxDate]]&lt;debug_date_start, "prior", IF(Jnl[[#This Row],[TrxDate]]&gt;debug_date_end, "post", "curr"))</f>
        <v>curr</v>
      </c>
    </row>
    <row r="650" spans="1:21" hidden="1">
      <c r="A650" s="39" t="s">
        <v>817</v>
      </c>
      <c r="B650" s="6">
        <f>_xlfn.XLOOKUP(Jnl[[#This Row],[TrxId]], Trx[Id], Trx[Date],,0)</f>
        <v>46053</v>
      </c>
      <c r="C650" s="6" t="str">
        <f>_xlfn.XLOOKUP(Jnl[[#This Row],[TrxId]], Trx[Id], Trx[Division],,0)</f>
        <v>GM</v>
      </c>
      <c r="D650" s="6" t="str">
        <f>_xlfn.XLOOKUP(Jnl[[#This Row],[TrxId]], Trx[Id], Trx[Action],,0)</f>
        <v>福利</v>
      </c>
      <c r="E650" s="27" t="s">
        <v>82</v>
      </c>
      <c r="F650" s="10" t="s">
        <v>596</v>
      </c>
      <c r="G650" s="10" t="s">
        <v>396</v>
      </c>
      <c r="H650" s="37">
        <v>-317.3</v>
      </c>
      <c r="I650" s="38" t="b">
        <f>AND(Jnl[[#This Row],[TrxId]]&lt;&gt;"",Jnl[[#This Row],[Acct]]&lt;&gt;"",Jnl[[#This Row],[Item]]&lt;&gt;"",ISNUMBER(Jnl[[#This Row],[Bal]]))</f>
        <v>1</v>
      </c>
      <c r="J650" s="9">
        <f>IF(Jnl[[#This Row],[BSLv0]]="A",1,-1)*Jnl[[#This Row],[Bal]]</f>
        <v>-317.3</v>
      </c>
      <c r="K650" t="str">
        <f>_xlfn.XLOOKUP(Jnl[[#This Row],[Acct]], config_BS[Acct], config_BS[Lv0],,0)</f>
        <v>A</v>
      </c>
      <c r="L650" t="str">
        <f>_xlfn.XLOOKUP(Jnl[[#This Row],[Acct]], config_BS[Acct], config_BS[Lv1],,0)</f>
        <v>Assets</v>
      </c>
      <c r="M650" t="str">
        <f>_xlfn.XLOOKUP(Jnl[[#This Row],[Acct]], config_BS[Acct], config_BS[Lv2],,0)</f>
        <v>Cash alike</v>
      </c>
      <c r="N650" t="str">
        <f>_xlfn.XLOOKUP(Jnl[[#This Row],[TrxId]], Trx[Id], Trx[IncNode], ,0)</f>
        <v>Expense</v>
      </c>
      <c r="O650" t="str">
        <f>_xlfn.XLOOKUP(Jnl[[#This Row],[IncNode]], config_IS[Node], config_IS[Type],,0)</f>
        <v>Op</v>
      </c>
      <c r="P650" t="str">
        <f>_xlfn.XLOOKUP(Jnl[[#This Row],[BSLv2]], dict[Key], dict[Name],,0)</f>
        <v>0.现金及类似</v>
      </c>
      <c r="Q650" t="str">
        <f>_xlfn.XLOOKUP(Jnl[[#This Row],[Acct]], dict[Key], dict[Name],,0)</f>
        <v>银行</v>
      </c>
      <c r="R650" t="str">
        <f>_xlfn.XLOOKUP(Jnl[[#This Row],[Vehicle]],config_vehicle[Id], config_vehicle[Name],,0)</f>
        <v>远家花园</v>
      </c>
      <c r="S650" t="str">
        <f>_xlfn.XLOOKUP(Jnl[[#This Row],[Division]],config_div[Id], config_div[Name],,0)</f>
        <v>综合管理</v>
      </c>
      <c r="T650" t="str">
        <f>IF(Jnl[[#This Row],[TrxDate]]&lt;=stmt_BS_date_end, "In", "Out")</f>
        <v>In</v>
      </c>
      <c r="U650" t="str">
        <f>IF(Jnl[[#This Row],[TrxDate]]&lt;debug_date_start, "prior", IF(Jnl[[#This Row],[TrxDate]]&gt;debug_date_end, "post", "curr"))</f>
        <v>curr</v>
      </c>
    </row>
    <row r="651" spans="1:21" hidden="1">
      <c r="A651" s="39" t="s">
        <v>818</v>
      </c>
      <c r="B651" s="6">
        <f>_xlfn.XLOOKUP(Jnl[[#This Row],[TrxId]], Trx[Id], Trx[Date],,0)</f>
        <v>46053</v>
      </c>
      <c r="C651" s="6" t="str">
        <f>_xlfn.XLOOKUP(Jnl[[#This Row],[TrxId]], Trx[Id], Trx[Division],,0)</f>
        <v>Online</v>
      </c>
      <c r="D651" s="6" t="str">
        <f>_xlfn.XLOOKUP(Jnl[[#This Row],[TrxId]], Trx[Id], Trx[Action],,0)</f>
        <v>退款-供应商</v>
      </c>
      <c r="E651" s="27" t="s">
        <v>82</v>
      </c>
      <c r="F651" s="10" t="s">
        <v>596</v>
      </c>
      <c r="G651" s="10" t="s">
        <v>396</v>
      </c>
      <c r="H651" s="37">
        <v>76101</v>
      </c>
      <c r="I651" s="38" t="b">
        <f>AND(Jnl[[#This Row],[TrxId]]&lt;&gt;"",Jnl[[#This Row],[Acct]]&lt;&gt;"",Jnl[[#This Row],[Item]]&lt;&gt;"",ISNUMBER(Jnl[[#This Row],[Bal]]))</f>
        <v>1</v>
      </c>
      <c r="J651" s="9">
        <f>IF(Jnl[[#This Row],[BSLv0]]="A",1,-1)*Jnl[[#This Row],[Bal]]</f>
        <v>76101</v>
      </c>
      <c r="K651" t="str">
        <f>_xlfn.XLOOKUP(Jnl[[#This Row],[Acct]], config_BS[Acct], config_BS[Lv0],,0)</f>
        <v>A</v>
      </c>
      <c r="L651" t="str">
        <f>_xlfn.XLOOKUP(Jnl[[#This Row],[Acct]], config_BS[Acct], config_BS[Lv1],,0)</f>
        <v>Assets</v>
      </c>
      <c r="M651" t="str">
        <f>_xlfn.XLOOKUP(Jnl[[#This Row],[Acct]], config_BS[Acct], config_BS[Lv2],,0)</f>
        <v>Cash alike</v>
      </c>
      <c r="N651" t="str">
        <f>_xlfn.XLOOKUP(Jnl[[#This Row],[TrxId]], Trx[Id], Trx[IncNode], ,0)</f>
        <v>Cost</v>
      </c>
      <c r="O651" t="str">
        <f>_xlfn.XLOOKUP(Jnl[[#This Row],[IncNode]], config_IS[Node], config_IS[Type],,0)</f>
        <v>Op</v>
      </c>
      <c r="P651" t="str">
        <f>_xlfn.XLOOKUP(Jnl[[#This Row],[BSLv2]], dict[Key], dict[Name],,0)</f>
        <v>0.现金及类似</v>
      </c>
      <c r="Q651" t="str">
        <f>_xlfn.XLOOKUP(Jnl[[#This Row],[Acct]], dict[Key], dict[Name],,0)</f>
        <v>银行</v>
      </c>
      <c r="R651" t="str">
        <f>_xlfn.XLOOKUP(Jnl[[#This Row],[Vehicle]],config_vehicle[Id], config_vehicle[Name],,0)</f>
        <v>远家花园</v>
      </c>
      <c r="S651" t="str">
        <f>_xlfn.XLOOKUP(Jnl[[#This Row],[Division]],config_div[Id], config_div[Name],,0)</f>
        <v>网店</v>
      </c>
      <c r="T651" t="str">
        <f>IF(Jnl[[#This Row],[TrxDate]]&lt;=stmt_BS_date_end, "In", "Out")</f>
        <v>In</v>
      </c>
      <c r="U651" t="str">
        <f>IF(Jnl[[#This Row],[TrxDate]]&lt;debug_date_start, "prior", IF(Jnl[[#This Row],[TrxDate]]&gt;debug_date_end, "post", "curr"))</f>
        <v>curr</v>
      </c>
    </row>
    <row r="652" spans="1:21" hidden="1">
      <c r="A652" s="39" t="s">
        <v>818</v>
      </c>
      <c r="B652" s="6">
        <f>_xlfn.XLOOKUP(Jnl[[#This Row],[TrxId]], Trx[Id], Trx[Date],,0)</f>
        <v>46053</v>
      </c>
      <c r="C652" s="6" t="str">
        <f>_xlfn.XLOOKUP(Jnl[[#This Row],[TrxId]], Trx[Id], Trx[Division],,0)</f>
        <v>Online</v>
      </c>
      <c r="D652" s="6" t="str">
        <f>_xlfn.XLOOKUP(Jnl[[#This Row],[TrxId]], Trx[Id], Trx[Action],,0)</f>
        <v>退款-供应商</v>
      </c>
      <c r="E652" s="27" t="s">
        <v>82</v>
      </c>
      <c r="F652" s="10" t="s">
        <v>604</v>
      </c>
      <c r="G652" s="10" t="s">
        <v>154</v>
      </c>
      <c r="H652" s="37">
        <v>-76101</v>
      </c>
      <c r="I652" s="38" t="b">
        <f>AND(Jnl[[#This Row],[TrxId]]&lt;&gt;"",Jnl[[#This Row],[Acct]]&lt;&gt;"",Jnl[[#This Row],[Item]]&lt;&gt;"",ISNUMBER(Jnl[[#This Row],[Bal]]))</f>
        <v>1</v>
      </c>
      <c r="J652" s="9">
        <f>IF(Jnl[[#This Row],[BSLv0]]="A",1,-1)*Jnl[[#This Row],[Bal]]</f>
        <v>-76101</v>
      </c>
      <c r="K652" t="str">
        <f>_xlfn.XLOOKUP(Jnl[[#This Row],[Acct]], config_BS[Acct], config_BS[Lv0],,0)</f>
        <v>A</v>
      </c>
      <c r="L652" t="str">
        <f>_xlfn.XLOOKUP(Jnl[[#This Row],[Acct]], config_BS[Acct], config_BS[Lv1],,0)</f>
        <v>Assets</v>
      </c>
      <c r="M652" t="str">
        <f>_xlfn.XLOOKUP(Jnl[[#This Row],[Acct]], config_BS[Acct], config_BS[Lv2],,0)</f>
        <v>Invtr</v>
      </c>
      <c r="N652" t="str">
        <f>_xlfn.XLOOKUP(Jnl[[#This Row],[TrxId]], Trx[Id], Trx[IncNode], ,0)</f>
        <v>Cost</v>
      </c>
      <c r="O652" t="str">
        <f>_xlfn.XLOOKUP(Jnl[[#This Row],[IncNode]], config_IS[Node], config_IS[Type],,0)</f>
        <v>Op</v>
      </c>
      <c r="P652" t="str">
        <f>_xlfn.XLOOKUP(Jnl[[#This Row],[BSLv2]], dict[Key], dict[Name],,0)</f>
        <v>3.库存占款</v>
      </c>
      <c r="Q652" t="str">
        <f>_xlfn.XLOOKUP(Jnl[[#This Row],[Acct]], dict[Key], dict[Name],,0)</f>
        <v>当期存货</v>
      </c>
      <c r="R652" t="str">
        <f>_xlfn.XLOOKUP(Jnl[[#This Row],[Vehicle]],config_vehicle[Id], config_vehicle[Name],,0)</f>
        <v>远家花园</v>
      </c>
      <c r="S652" t="str">
        <f>_xlfn.XLOOKUP(Jnl[[#This Row],[Division]],config_div[Id], config_div[Name],,0)</f>
        <v>网店</v>
      </c>
      <c r="T652" t="str">
        <f>IF(Jnl[[#This Row],[TrxDate]]&lt;=stmt_BS_date_end, "In", "Out")</f>
        <v>In</v>
      </c>
      <c r="U652" t="str">
        <f>IF(Jnl[[#This Row],[TrxDate]]&lt;debug_date_start, "prior", IF(Jnl[[#This Row],[TrxDate]]&gt;debug_date_end, "post", "curr"))</f>
        <v>curr</v>
      </c>
    </row>
    <row r="653" spans="1:21" hidden="1">
      <c r="A653" s="39" t="s">
        <v>819</v>
      </c>
      <c r="B653" s="6">
        <f>_xlfn.XLOOKUP(Jnl[[#This Row],[TrxId]], Trx[Id], Trx[Date],,0)</f>
        <v>46053</v>
      </c>
      <c r="C653" s="6" t="str">
        <f>_xlfn.XLOOKUP(Jnl[[#This Row],[TrxId]], Trx[Id], Trx[Division],,0)</f>
        <v>Online</v>
      </c>
      <c r="D653" s="6" t="str">
        <f>_xlfn.XLOOKUP(Jnl[[#This Row],[TrxId]], Trx[Id], Trx[Action],,0)</f>
        <v>退款-供应商</v>
      </c>
      <c r="E653" s="27" t="s">
        <v>82</v>
      </c>
      <c r="F653" s="10" t="s">
        <v>596</v>
      </c>
      <c r="G653" s="10" t="s">
        <v>396</v>
      </c>
      <c r="H653" s="37">
        <v>292991.09999999998</v>
      </c>
      <c r="I653" s="38" t="b">
        <f>AND(Jnl[[#This Row],[TrxId]]&lt;&gt;"",Jnl[[#This Row],[Acct]]&lt;&gt;"",Jnl[[#This Row],[Item]]&lt;&gt;"",ISNUMBER(Jnl[[#This Row],[Bal]]))</f>
        <v>1</v>
      </c>
      <c r="J653" s="9">
        <f>IF(Jnl[[#This Row],[BSLv0]]="A",1,-1)*Jnl[[#This Row],[Bal]]</f>
        <v>292991.09999999998</v>
      </c>
      <c r="K653" t="str">
        <f>_xlfn.XLOOKUP(Jnl[[#This Row],[Acct]], config_BS[Acct], config_BS[Lv0],,0)</f>
        <v>A</v>
      </c>
      <c r="L653" t="str">
        <f>_xlfn.XLOOKUP(Jnl[[#This Row],[Acct]], config_BS[Acct], config_BS[Lv1],,0)</f>
        <v>Assets</v>
      </c>
      <c r="M653" t="str">
        <f>_xlfn.XLOOKUP(Jnl[[#This Row],[Acct]], config_BS[Acct], config_BS[Lv2],,0)</f>
        <v>Cash alike</v>
      </c>
      <c r="N653" t="str">
        <f>_xlfn.XLOOKUP(Jnl[[#This Row],[TrxId]], Trx[Id], Trx[IncNode], ,0)</f>
        <v>Cost</v>
      </c>
      <c r="O653" t="str">
        <f>_xlfn.XLOOKUP(Jnl[[#This Row],[IncNode]], config_IS[Node], config_IS[Type],,0)</f>
        <v>Op</v>
      </c>
      <c r="P653" t="str">
        <f>_xlfn.XLOOKUP(Jnl[[#This Row],[BSLv2]], dict[Key], dict[Name],,0)</f>
        <v>0.现金及类似</v>
      </c>
      <c r="Q653" t="str">
        <f>_xlfn.XLOOKUP(Jnl[[#This Row],[Acct]], dict[Key], dict[Name],,0)</f>
        <v>银行</v>
      </c>
      <c r="R653" t="str">
        <f>_xlfn.XLOOKUP(Jnl[[#This Row],[Vehicle]],config_vehicle[Id], config_vehicle[Name],,0)</f>
        <v>远家花园</v>
      </c>
      <c r="S653" t="str">
        <f>_xlfn.XLOOKUP(Jnl[[#This Row],[Division]],config_div[Id], config_div[Name],,0)</f>
        <v>网店</v>
      </c>
      <c r="T653" t="str">
        <f>IF(Jnl[[#This Row],[TrxDate]]&lt;=stmt_BS_date_end, "In", "Out")</f>
        <v>In</v>
      </c>
      <c r="U653" t="str">
        <f>IF(Jnl[[#This Row],[TrxDate]]&lt;debug_date_start, "prior", IF(Jnl[[#This Row],[TrxDate]]&gt;debug_date_end, "post", "curr"))</f>
        <v>curr</v>
      </c>
    </row>
    <row r="654" spans="1:21" hidden="1">
      <c r="A654" s="39" t="s">
        <v>819</v>
      </c>
      <c r="B654" s="6">
        <f>_xlfn.XLOOKUP(Jnl[[#This Row],[TrxId]], Trx[Id], Trx[Date],,0)</f>
        <v>46053</v>
      </c>
      <c r="C654" s="6" t="str">
        <f>_xlfn.XLOOKUP(Jnl[[#This Row],[TrxId]], Trx[Id], Trx[Division],,0)</f>
        <v>Online</v>
      </c>
      <c r="D654" s="6" t="str">
        <f>_xlfn.XLOOKUP(Jnl[[#This Row],[TrxId]], Trx[Id], Trx[Action],,0)</f>
        <v>退款-供应商</v>
      </c>
      <c r="E654" s="27" t="s">
        <v>82</v>
      </c>
      <c r="F654" s="10" t="s">
        <v>604</v>
      </c>
      <c r="G654" s="10" t="s">
        <v>154</v>
      </c>
      <c r="H654" s="37">
        <v>-292991.09999999998</v>
      </c>
      <c r="I654" s="38" t="b">
        <f>AND(Jnl[[#This Row],[TrxId]]&lt;&gt;"",Jnl[[#This Row],[Acct]]&lt;&gt;"",Jnl[[#This Row],[Item]]&lt;&gt;"",ISNUMBER(Jnl[[#This Row],[Bal]]))</f>
        <v>1</v>
      </c>
      <c r="J654" s="9">
        <f>IF(Jnl[[#This Row],[BSLv0]]="A",1,-1)*Jnl[[#This Row],[Bal]]</f>
        <v>-292991.09999999998</v>
      </c>
      <c r="K654" t="str">
        <f>_xlfn.XLOOKUP(Jnl[[#This Row],[Acct]], config_BS[Acct], config_BS[Lv0],,0)</f>
        <v>A</v>
      </c>
      <c r="L654" t="str">
        <f>_xlfn.XLOOKUP(Jnl[[#This Row],[Acct]], config_BS[Acct], config_BS[Lv1],,0)</f>
        <v>Assets</v>
      </c>
      <c r="M654" t="str">
        <f>_xlfn.XLOOKUP(Jnl[[#This Row],[Acct]], config_BS[Acct], config_BS[Lv2],,0)</f>
        <v>Invtr</v>
      </c>
      <c r="N654" t="str">
        <f>_xlfn.XLOOKUP(Jnl[[#This Row],[TrxId]], Trx[Id], Trx[IncNode], ,0)</f>
        <v>Cost</v>
      </c>
      <c r="O654" t="str">
        <f>_xlfn.XLOOKUP(Jnl[[#This Row],[IncNode]], config_IS[Node], config_IS[Type],,0)</f>
        <v>Op</v>
      </c>
      <c r="P654" t="str">
        <f>_xlfn.XLOOKUP(Jnl[[#This Row],[BSLv2]], dict[Key], dict[Name],,0)</f>
        <v>3.库存占款</v>
      </c>
      <c r="Q654" t="str">
        <f>_xlfn.XLOOKUP(Jnl[[#This Row],[Acct]], dict[Key], dict[Name],,0)</f>
        <v>当期存货</v>
      </c>
      <c r="R654" t="str">
        <f>_xlfn.XLOOKUP(Jnl[[#This Row],[Vehicle]],config_vehicle[Id], config_vehicle[Name],,0)</f>
        <v>远家花园</v>
      </c>
      <c r="S654" t="str">
        <f>_xlfn.XLOOKUP(Jnl[[#This Row],[Division]],config_div[Id], config_div[Name],,0)</f>
        <v>网店</v>
      </c>
      <c r="T654" t="str">
        <f>IF(Jnl[[#This Row],[TrxDate]]&lt;=stmt_BS_date_end, "In", "Out")</f>
        <v>In</v>
      </c>
      <c r="U654" t="str">
        <f>IF(Jnl[[#This Row],[TrxDate]]&lt;debug_date_start, "prior", IF(Jnl[[#This Row],[TrxDate]]&gt;debug_date_end, "post", "curr"))</f>
        <v>curr</v>
      </c>
    </row>
    <row r="655" spans="1:21" hidden="1">
      <c r="A655" s="39" t="s">
        <v>820</v>
      </c>
      <c r="B655" s="6">
        <f>_xlfn.XLOOKUP(Jnl[[#This Row],[TrxId]], Trx[Id], Trx[Date],,0)</f>
        <v>46053</v>
      </c>
      <c r="C655" s="6" t="str">
        <f>_xlfn.XLOOKUP(Jnl[[#This Row],[TrxId]], Trx[Id], Trx[Division],,0)</f>
        <v>Brand</v>
      </c>
      <c r="D655" s="6" t="str">
        <f>_xlfn.XLOOKUP(Jnl[[#This Row],[TrxId]], Trx[Id], Trx[Action],,0)</f>
        <v>拍摄</v>
      </c>
      <c r="E655" s="27" t="s">
        <v>82</v>
      </c>
      <c r="F655" s="10" t="s">
        <v>596</v>
      </c>
      <c r="G655" s="10" t="s">
        <v>396</v>
      </c>
      <c r="H655" s="37">
        <v>-4078</v>
      </c>
      <c r="I655" s="38" t="b">
        <f>AND(Jnl[[#This Row],[TrxId]]&lt;&gt;"",Jnl[[#This Row],[Acct]]&lt;&gt;"",Jnl[[#This Row],[Item]]&lt;&gt;"",ISNUMBER(Jnl[[#This Row],[Bal]]))</f>
        <v>1</v>
      </c>
      <c r="J655" s="9">
        <f>IF(Jnl[[#This Row],[BSLv0]]="A",1,-1)*Jnl[[#This Row],[Bal]]</f>
        <v>-4078</v>
      </c>
      <c r="K655" t="str">
        <f>_xlfn.XLOOKUP(Jnl[[#This Row],[Acct]], config_BS[Acct], config_BS[Lv0],,0)</f>
        <v>A</v>
      </c>
      <c r="L655" t="str">
        <f>_xlfn.XLOOKUP(Jnl[[#This Row],[Acct]], config_BS[Acct], config_BS[Lv1],,0)</f>
        <v>Assets</v>
      </c>
      <c r="M655" t="str">
        <f>_xlfn.XLOOKUP(Jnl[[#This Row],[Acct]], config_BS[Acct], config_BS[Lv2],,0)</f>
        <v>Cash alike</v>
      </c>
      <c r="N655" t="str">
        <f>_xlfn.XLOOKUP(Jnl[[#This Row],[TrxId]], Trx[Id], Trx[IncNode], ,0)</f>
        <v>Expense</v>
      </c>
      <c r="O655" t="str">
        <f>_xlfn.XLOOKUP(Jnl[[#This Row],[IncNode]], config_IS[Node], config_IS[Type],,0)</f>
        <v>Op</v>
      </c>
      <c r="P655" t="str">
        <f>_xlfn.XLOOKUP(Jnl[[#This Row],[BSLv2]], dict[Key], dict[Name],,0)</f>
        <v>0.现金及类似</v>
      </c>
      <c r="Q655" t="str">
        <f>_xlfn.XLOOKUP(Jnl[[#This Row],[Acct]], dict[Key], dict[Name],,0)</f>
        <v>银行</v>
      </c>
      <c r="R655" t="str">
        <f>_xlfn.XLOOKUP(Jnl[[#This Row],[Vehicle]],config_vehicle[Id], config_vehicle[Name],,0)</f>
        <v>远家花园</v>
      </c>
      <c r="S655" t="str">
        <f>_xlfn.XLOOKUP(Jnl[[#This Row],[Division]],config_div[Id], config_div[Name],,0)</f>
        <v>品牌</v>
      </c>
      <c r="T655" t="str">
        <f>IF(Jnl[[#This Row],[TrxDate]]&lt;=stmt_BS_date_end, "In", "Out")</f>
        <v>In</v>
      </c>
      <c r="U655" t="str">
        <f>IF(Jnl[[#This Row],[TrxDate]]&lt;debug_date_start, "prior", IF(Jnl[[#This Row],[TrxDate]]&gt;debug_date_end, "post", "curr"))</f>
        <v>curr</v>
      </c>
    </row>
    <row r="656" spans="1:21" hidden="1">
      <c r="A656" s="39" t="s">
        <v>821</v>
      </c>
      <c r="B656" s="6">
        <f>_xlfn.XLOOKUP(Jnl[[#This Row],[TrxId]], Trx[Id], Trx[Date],,0)</f>
        <v>46053</v>
      </c>
      <c r="C656" s="6" t="str">
        <f>_xlfn.XLOOKUP(Jnl[[#This Row],[TrxId]], Trx[Id], Trx[Division],,0)</f>
        <v>GM</v>
      </c>
      <c r="D656" s="6" t="str">
        <f>_xlfn.XLOOKUP(Jnl[[#This Row],[TrxId]], Trx[Id], Trx[Action],,0)</f>
        <v>办公</v>
      </c>
      <c r="E656" s="27" t="s">
        <v>82</v>
      </c>
      <c r="F656" s="10" t="s">
        <v>596</v>
      </c>
      <c r="G656" s="10" t="s">
        <v>396</v>
      </c>
      <c r="H656" s="37">
        <f>-6379.2-H655</f>
        <v>-2301.1999999999998</v>
      </c>
      <c r="I656" s="38" t="b">
        <f>AND(Jnl[[#This Row],[TrxId]]&lt;&gt;"",Jnl[[#This Row],[Acct]]&lt;&gt;"",Jnl[[#This Row],[Item]]&lt;&gt;"",ISNUMBER(Jnl[[#This Row],[Bal]]))</f>
        <v>1</v>
      </c>
      <c r="J656" s="9">
        <f>IF(Jnl[[#This Row],[BSLv0]]="A",1,-1)*Jnl[[#This Row],[Bal]]</f>
        <v>-2301.1999999999998</v>
      </c>
      <c r="K656" t="str">
        <f>_xlfn.XLOOKUP(Jnl[[#This Row],[Acct]], config_BS[Acct], config_BS[Lv0],,0)</f>
        <v>A</v>
      </c>
      <c r="L656" t="str">
        <f>_xlfn.XLOOKUP(Jnl[[#This Row],[Acct]], config_BS[Acct], config_BS[Lv1],,0)</f>
        <v>Assets</v>
      </c>
      <c r="M656" t="str">
        <f>_xlfn.XLOOKUP(Jnl[[#This Row],[Acct]], config_BS[Acct], config_BS[Lv2],,0)</f>
        <v>Cash alike</v>
      </c>
      <c r="N656" t="str">
        <f>_xlfn.XLOOKUP(Jnl[[#This Row],[TrxId]], Trx[Id], Trx[IncNode], ,0)</f>
        <v>Expense</v>
      </c>
      <c r="O656" t="str">
        <f>_xlfn.XLOOKUP(Jnl[[#This Row],[IncNode]], config_IS[Node], config_IS[Type],,0)</f>
        <v>Op</v>
      </c>
      <c r="P656" t="str">
        <f>_xlfn.XLOOKUP(Jnl[[#This Row],[BSLv2]], dict[Key], dict[Name],,0)</f>
        <v>0.现金及类似</v>
      </c>
      <c r="Q656" t="str">
        <f>_xlfn.XLOOKUP(Jnl[[#This Row],[Acct]], dict[Key], dict[Name],,0)</f>
        <v>银行</v>
      </c>
      <c r="R656" t="str">
        <f>_xlfn.XLOOKUP(Jnl[[#This Row],[Vehicle]],config_vehicle[Id], config_vehicle[Name],,0)</f>
        <v>远家花园</v>
      </c>
      <c r="S656" t="str">
        <f>_xlfn.XLOOKUP(Jnl[[#This Row],[Division]],config_div[Id], config_div[Name],,0)</f>
        <v>综合管理</v>
      </c>
      <c r="T656" t="str">
        <f>IF(Jnl[[#This Row],[TrxDate]]&lt;=stmt_BS_date_end, "In", "Out")</f>
        <v>In</v>
      </c>
      <c r="U656" t="str">
        <f>IF(Jnl[[#This Row],[TrxDate]]&lt;debug_date_start, "prior", IF(Jnl[[#This Row],[TrxDate]]&gt;debug_date_end, "post", "curr"))</f>
        <v>curr</v>
      </c>
    </row>
    <row r="657" spans="1:21" hidden="1">
      <c r="A657" s="39" t="s">
        <v>823</v>
      </c>
      <c r="B657" s="6">
        <f>_xlfn.XLOOKUP(Jnl[[#This Row],[TrxId]], Trx[Id], Trx[Date],,0)</f>
        <v>46053</v>
      </c>
      <c r="C657" s="6" t="str">
        <f>_xlfn.XLOOKUP(Jnl[[#This Row],[TrxId]], Trx[Id], Trx[Division],,0)</f>
        <v>GM</v>
      </c>
      <c r="D657" s="6" t="str">
        <f>_xlfn.XLOOKUP(Jnl[[#This Row],[TrxId]], Trx[Id], Trx[Action],,0)</f>
        <v>薪酬-工资</v>
      </c>
      <c r="E657" s="27" t="s">
        <v>82</v>
      </c>
      <c r="F657" s="10" t="s">
        <v>596</v>
      </c>
      <c r="G657" s="10" t="s">
        <v>396</v>
      </c>
      <c r="H657" s="37">
        <v>-29800</v>
      </c>
      <c r="I657" s="38" t="b">
        <f>AND(Jnl[[#This Row],[TrxId]]&lt;&gt;"",Jnl[[#This Row],[Acct]]&lt;&gt;"",Jnl[[#This Row],[Item]]&lt;&gt;"",ISNUMBER(Jnl[[#This Row],[Bal]]))</f>
        <v>1</v>
      </c>
      <c r="J657" s="9">
        <f>IF(Jnl[[#This Row],[BSLv0]]="A",1,-1)*Jnl[[#This Row],[Bal]]</f>
        <v>-29800</v>
      </c>
      <c r="K657" t="str">
        <f>_xlfn.XLOOKUP(Jnl[[#This Row],[Acct]], config_BS[Acct], config_BS[Lv0],,0)</f>
        <v>A</v>
      </c>
      <c r="L657" t="str">
        <f>_xlfn.XLOOKUP(Jnl[[#This Row],[Acct]], config_BS[Acct], config_BS[Lv1],,0)</f>
        <v>Assets</v>
      </c>
      <c r="M657" t="str">
        <f>_xlfn.XLOOKUP(Jnl[[#This Row],[Acct]], config_BS[Acct], config_BS[Lv2],,0)</f>
        <v>Cash alike</v>
      </c>
      <c r="N657" t="str">
        <f>_xlfn.XLOOKUP(Jnl[[#This Row],[TrxId]], Trx[Id], Trx[IncNode], ,0)</f>
        <v>Expense</v>
      </c>
      <c r="O657" t="str">
        <f>_xlfn.XLOOKUP(Jnl[[#This Row],[IncNode]], config_IS[Node], config_IS[Type],,0)</f>
        <v>Op</v>
      </c>
      <c r="P657" t="str">
        <f>_xlfn.XLOOKUP(Jnl[[#This Row],[BSLv2]], dict[Key], dict[Name],,0)</f>
        <v>0.现金及类似</v>
      </c>
      <c r="Q657" t="str">
        <f>_xlfn.XLOOKUP(Jnl[[#This Row],[Acct]], dict[Key], dict[Name],,0)</f>
        <v>银行</v>
      </c>
      <c r="R657" t="str">
        <f>_xlfn.XLOOKUP(Jnl[[#This Row],[Vehicle]],config_vehicle[Id], config_vehicle[Name],,0)</f>
        <v>远家花园</v>
      </c>
      <c r="S657" t="str">
        <f>_xlfn.XLOOKUP(Jnl[[#This Row],[Division]],config_div[Id], config_div[Name],,0)</f>
        <v>综合管理</v>
      </c>
      <c r="T657" t="str">
        <f>IF(Jnl[[#This Row],[TrxDate]]&lt;=stmt_BS_date_end, "In", "Out")</f>
        <v>In</v>
      </c>
      <c r="U657" t="str">
        <f>IF(Jnl[[#This Row],[TrxDate]]&lt;debug_date_start, "prior", IF(Jnl[[#This Row],[TrxDate]]&gt;debug_date_end, "post", "curr"))</f>
        <v>curr</v>
      </c>
    </row>
    <row r="658" spans="1:21" hidden="1">
      <c r="A658" s="39" t="s">
        <v>824</v>
      </c>
      <c r="B658" s="6">
        <f>_xlfn.XLOOKUP(Jnl[[#This Row],[TrxId]], Trx[Id], Trx[Date],,0)</f>
        <v>46053</v>
      </c>
      <c r="C658" s="6" t="str">
        <f>_xlfn.XLOOKUP(Jnl[[#This Row],[TrxId]], Trx[Id], Trx[Division],,0)</f>
        <v>Online</v>
      </c>
      <c r="D658" s="6" t="str">
        <f>_xlfn.XLOOKUP(Jnl[[#This Row],[TrxId]], Trx[Id], Trx[Action],,0)</f>
        <v>加工</v>
      </c>
      <c r="E658" s="27" t="s">
        <v>82</v>
      </c>
      <c r="F658" s="10" t="s">
        <v>596</v>
      </c>
      <c r="G658" s="10" t="s">
        <v>396</v>
      </c>
      <c r="H658" s="37">
        <v>-26300.7</v>
      </c>
      <c r="I658" s="38" t="b">
        <f>AND(Jnl[[#This Row],[TrxId]]&lt;&gt;"",Jnl[[#This Row],[Acct]]&lt;&gt;"",Jnl[[#This Row],[Item]]&lt;&gt;"",ISNUMBER(Jnl[[#This Row],[Bal]]))</f>
        <v>1</v>
      </c>
      <c r="J658" s="9">
        <f>IF(Jnl[[#This Row],[BSLv0]]="A",1,-1)*Jnl[[#This Row],[Bal]]</f>
        <v>-26300.7</v>
      </c>
      <c r="K658" t="str">
        <f>_xlfn.XLOOKUP(Jnl[[#This Row],[Acct]], config_BS[Acct], config_BS[Lv0],,0)</f>
        <v>A</v>
      </c>
      <c r="L658" t="str">
        <f>_xlfn.XLOOKUP(Jnl[[#This Row],[Acct]], config_BS[Acct], config_BS[Lv1],,0)</f>
        <v>Assets</v>
      </c>
      <c r="M658" t="str">
        <f>_xlfn.XLOOKUP(Jnl[[#This Row],[Acct]], config_BS[Acct], config_BS[Lv2],,0)</f>
        <v>Cash alike</v>
      </c>
      <c r="N658" t="str">
        <f>_xlfn.XLOOKUP(Jnl[[#This Row],[TrxId]], Trx[Id], Trx[IncNode], ,0)</f>
        <v>Cost</v>
      </c>
      <c r="O658" t="str">
        <f>_xlfn.XLOOKUP(Jnl[[#This Row],[IncNode]], config_IS[Node], config_IS[Type],,0)</f>
        <v>Op</v>
      </c>
      <c r="P658" t="str">
        <f>_xlfn.XLOOKUP(Jnl[[#This Row],[BSLv2]], dict[Key], dict[Name],,0)</f>
        <v>0.现金及类似</v>
      </c>
      <c r="Q658" t="str">
        <f>_xlfn.XLOOKUP(Jnl[[#This Row],[Acct]], dict[Key], dict[Name],,0)</f>
        <v>银行</v>
      </c>
      <c r="R658" t="str">
        <f>_xlfn.XLOOKUP(Jnl[[#This Row],[Vehicle]],config_vehicle[Id], config_vehicle[Name],,0)</f>
        <v>远家花园</v>
      </c>
      <c r="S658" t="str">
        <f>_xlfn.XLOOKUP(Jnl[[#This Row],[Division]],config_div[Id], config_div[Name],,0)</f>
        <v>网店</v>
      </c>
      <c r="T658" t="str">
        <f>IF(Jnl[[#This Row],[TrxDate]]&lt;=stmt_BS_date_end, "In", "Out")</f>
        <v>In</v>
      </c>
      <c r="U658" t="str">
        <f>IF(Jnl[[#This Row],[TrxDate]]&lt;debug_date_start, "prior", IF(Jnl[[#This Row],[TrxDate]]&gt;debug_date_end, "post", "curr"))</f>
        <v>curr</v>
      </c>
    </row>
    <row r="659" spans="1:21" hidden="1">
      <c r="A659" s="39" t="s">
        <v>824</v>
      </c>
      <c r="B659" s="6">
        <f>_xlfn.XLOOKUP(Jnl[[#This Row],[TrxId]], Trx[Id], Trx[Date],,0)</f>
        <v>46053</v>
      </c>
      <c r="C659" s="6" t="str">
        <f>_xlfn.XLOOKUP(Jnl[[#This Row],[TrxId]], Trx[Id], Trx[Division],,0)</f>
        <v>Online</v>
      </c>
      <c r="D659" s="6" t="str">
        <f>_xlfn.XLOOKUP(Jnl[[#This Row],[TrxId]], Trx[Id], Trx[Action],,0)</f>
        <v>加工</v>
      </c>
      <c r="E659" s="27" t="s">
        <v>82</v>
      </c>
      <c r="F659" s="10" t="s">
        <v>604</v>
      </c>
      <c r="G659" s="10" t="s">
        <v>154</v>
      </c>
      <c r="H659" s="37">
        <v>26300.7</v>
      </c>
      <c r="I659" s="38" t="b">
        <f>AND(Jnl[[#This Row],[TrxId]]&lt;&gt;"",Jnl[[#This Row],[Acct]]&lt;&gt;"",Jnl[[#This Row],[Item]]&lt;&gt;"",ISNUMBER(Jnl[[#This Row],[Bal]]))</f>
        <v>1</v>
      </c>
      <c r="J659" s="9">
        <f>IF(Jnl[[#This Row],[BSLv0]]="A",1,-1)*Jnl[[#This Row],[Bal]]</f>
        <v>26300.7</v>
      </c>
      <c r="K659" t="str">
        <f>_xlfn.XLOOKUP(Jnl[[#This Row],[Acct]], config_BS[Acct], config_BS[Lv0],,0)</f>
        <v>A</v>
      </c>
      <c r="L659" t="str">
        <f>_xlfn.XLOOKUP(Jnl[[#This Row],[Acct]], config_BS[Acct], config_BS[Lv1],,0)</f>
        <v>Assets</v>
      </c>
      <c r="M659" t="str">
        <f>_xlfn.XLOOKUP(Jnl[[#This Row],[Acct]], config_BS[Acct], config_BS[Lv2],,0)</f>
        <v>Invtr</v>
      </c>
      <c r="N659" t="str">
        <f>_xlfn.XLOOKUP(Jnl[[#This Row],[TrxId]], Trx[Id], Trx[IncNode], ,0)</f>
        <v>Cost</v>
      </c>
      <c r="O659" t="str">
        <f>_xlfn.XLOOKUP(Jnl[[#This Row],[IncNode]], config_IS[Node], config_IS[Type],,0)</f>
        <v>Op</v>
      </c>
      <c r="P659" t="str">
        <f>_xlfn.XLOOKUP(Jnl[[#This Row],[BSLv2]], dict[Key], dict[Name],,0)</f>
        <v>3.库存占款</v>
      </c>
      <c r="Q659" t="str">
        <f>_xlfn.XLOOKUP(Jnl[[#This Row],[Acct]], dict[Key], dict[Name],,0)</f>
        <v>当期存货</v>
      </c>
      <c r="R659" t="str">
        <f>_xlfn.XLOOKUP(Jnl[[#This Row],[Vehicle]],config_vehicle[Id], config_vehicle[Name],,0)</f>
        <v>远家花园</v>
      </c>
      <c r="S659" t="str">
        <f>_xlfn.XLOOKUP(Jnl[[#This Row],[Division]],config_div[Id], config_div[Name],,0)</f>
        <v>网店</v>
      </c>
      <c r="T659" t="str">
        <f>IF(Jnl[[#This Row],[TrxDate]]&lt;=stmt_BS_date_end, "In", "Out")</f>
        <v>In</v>
      </c>
      <c r="U659" t="str">
        <f>IF(Jnl[[#This Row],[TrxDate]]&lt;debug_date_start, "prior", IF(Jnl[[#This Row],[TrxDate]]&gt;debug_date_end, "post", "curr"))</f>
        <v>curr</v>
      </c>
    </row>
    <row r="660" spans="1:21" hidden="1">
      <c r="A660" s="39" t="s">
        <v>826</v>
      </c>
      <c r="B660" s="6">
        <f>_xlfn.XLOOKUP(Jnl[[#This Row],[TrxId]], Trx[Id], Trx[Date],,0)</f>
        <v>46053</v>
      </c>
      <c r="C660" s="6" t="str">
        <f>_xlfn.XLOOKUP(Jnl[[#This Row],[TrxId]], Trx[Id], Trx[Division],,0)</f>
        <v>GM</v>
      </c>
      <c r="D660" s="6" t="str">
        <f>_xlfn.XLOOKUP(Jnl[[#This Row],[TrxId]], Trx[Id], Trx[Action],,0)</f>
        <v>福利</v>
      </c>
      <c r="E660" s="27" t="s">
        <v>82</v>
      </c>
      <c r="F660" s="10" t="s">
        <v>596</v>
      </c>
      <c r="G660" s="10" t="s">
        <v>396</v>
      </c>
      <c r="H660" s="37">
        <v>-897.4</v>
      </c>
      <c r="I660" s="38" t="b">
        <f>AND(Jnl[[#This Row],[TrxId]]&lt;&gt;"",Jnl[[#This Row],[Acct]]&lt;&gt;"",Jnl[[#This Row],[Item]]&lt;&gt;"",ISNUMBER(Jnl[[#This Row],[Bal]]))</f>
        <v>1</v>
      </c>
      <c r="J660" s="9">
        <f>IF(Jnl[[#This Row],[BSLv0]]="A",1,-1)*Jnl[[#This Row],[Bal]]</f>
        <v>-897.4</v>
      </c>
      <c r="K660" t="str">
        <f>_xlfn.XLOOKUP(Jnl[[#This Row],[Acct]], config_BS[Acct], config_BS[Lv0],,0)</f>
        <v>A</v>
      </c>
      <c r="L660" t="str">
        <f>_xlfn.XLOOKUP(Jnl[[#This Row],[Acct]], config_BS[Acct], config_BS[Lv1],,0)</f>
        <v>Assets</v>
      </c>
      <c r="M660" t="str">
        <f>_xlfn.XLOOKUP(Jnl[[#This Row],[Acct]], config_BS[Acct], config_BS[Lv2],,0)</f>
        <v>Cash alike</v>
      </c>
      <c r="N660" t="str">
        <f>_xlfn.XLOOKUP(Jnl[[#This Row],[TrxId]], Trx[Id], Trx[IncNode], ,0)</f>
        <v>Expense</v>
      </c>
      <c r="O660" t="str">
        <f>_xlfn.XLOOKUP(Jnl[[#This Row],[IncNode]], config_IS[Node], config_IS[Type],,0)</f>
        <v>Op</v>
      </c>
      <c r="P660" t="str">
        <f>_xlfn.XLOOKUP(Jnl[[#This Row],[BSLv2]], dict[Key], dict[Name],,0)</f>
        <v>0.现金及类似</v>
      </c>
      <c r="Q660" t="str">
        <f>_xlfn.XLOOKUP(Jnl[[#This Row],[Acct]], dict[Key], dict[Name],,0)</f>
        <v>银行</v>
      </c>
      <c r="R660" t="str">
        <f>_xlfn.XLOOKUP(Jnl[[#This Row],[Vehicle]],config_vehicle[Id], config_vehicle[Name],,0)</f>
        <v>远家花园</v>
      </c>
      <c r="S660" t="str">
        <f>_xlfn.XLOOKUP(Jnl[[#This Row],[Division]],config_div[Id], config_div[Name],,0)</f>
        <v>综合管理</v>
      </c>
      <c r="T660" t="str">
        <f>IF(Jnl[[#This Row],[TrxDate]]&lt;=stmt_BS_date_end, "In", "Out")</f>
        <v>In</v>
      </c>
      <c r="U660" t="str">
        <f>IF(Jnl[[#This Row],[TrxDate]]&lt;debug_date_start, "prior", IF(Jnl[[#This Row],[TrxDate]]&gt;debug_date_end, "post", "curr"))</f>
        <v>curr</v>
      </c>
    </row>
    <row r="661" spans="1:21" hidden="1">
      <c r="A661" s="39" t="s">
        <v>827</v>
      </c>
      <c r="B661" s="6">
        <f>_xlfn.XLOOKUP(Jnl[[#This Row],[TrxId]], Trx[Id], Trx[Date],,0)</f>
        <v>46053</v>
      </c>
      <c r="C661" s="6" t="str">
        <f>_xlfn.XLOOKUP(Jnl[[#This Row],[TrxId]], Trx[Id], Trx[Division],,0)</f>
        <v>Online</v>
      </c>
      <c r="D661" s="6" t="str">
        <f>_xlfn.XLOOKUP(Jnl[[#This Row],[TrxId]], Trx[Id], Trx[Action],,0)</f>
        <v>加工</v>
      </c>
      <c r="E661" s="27" t="s">
        <v>82</v>
      </c>
      <c r="F661" s="10" t="s">
        <v>604</v>
      </c>
      <c r="G661" s="10" t="s">
        <v>154</v>
      </c>
      <c r="H661" s="37">
        <v>47022</v>
      </c>
      <c r="I661" s="38" t="b">
        <f>AND(Jnl[[#This Row],[TrxId]]&lt;&gt;"",Jnl[[#This Row],[Acct]]&lt;&gt;"",Jnl[[#This Row],[Item]]&lt;&gt;"",ISNUMBER(Jnl[[#This Row],[Bal]]))</f>
        <v>1</v>
      </c>
      <c r="J661" s="9">
        <f>IF(Jnl[[#This Row],[BSLv0]]="A",1,-1)*Jnl[[#This Row],[Bal]]</f>
        <v>47022</v>
      </c>
      <c r="K661" t="str">
        <f>_xlfn.XLOOKUP(Jnl[[#This Row],[Acct]], config_BS[Acct], config_BS[Lv0],,0)</f>
        <v>A</v>
      </c>
      <c r="L661" t="str">
        <f>_xlfn.XLOOKUP(Jnl[[#This Row],[Acct]], config_BS[Acct], config_BS[Lv1],,0)</f>
        <v>Assets</v>
      </c>
      <c r="M661" t="str">
        <f>_xlfn.XLOOKUP(Jnl[[#This Row],[Acct]], config_BS[Acct], config_BS[Lv2],,0)</f>
        <v>Invtr</v>
      </c>
      <c r="N661" t="str">
        <f>_xlfn.XLOOKUP(Jnl[[#This Row],[TrxId]], Trx[Id], Trx[IncNode], ,0)</f>
        <v>Cost</v>
      </c>
      <c r="O661" t="str">
        <f>_xlfn.XLOOKUP(Jnl[[#This Row],[IncNode]], config_IS[Node], config_IS[Type],,0)</f>
        <v>Op</v>
      </c>
      <c r="P661" t="str">
        <f>_xlfn.XLOOKUP(Jnl[[#This Row],[BSLv2]], dict[Key], dict[Name],,0)</f>
        <v>3.库存占款</v>
      </c>
      <c r="Q661" t="str">
        <f>_xlfn.XLOOKUP(Jnl[[#This Row],[Acct]], dict[Key], dict[Name],,0)</f>
        <v>当期存货</v>
      </c>
      <c r="R661" t="str">
        <f>_xlfn.XLOOKUP(Jnl[[#This Row],[Vehicle]],config_vehicle[Id], config_vehicle[Name],,0)</f>
        <v>远家花园</v>
      </c>
      <c r="S661" t="str">
        <f>_xlfn.XLOOKUP(Jnl[[#This Row],[Division]],config_div[Id], config_div[Name],,0)</f>
        <v>网店</v>
      </c>
      <c r="T661" t="str">
        <f>IF(Jnl[[#This Row],[TrxDate]]&lt;=stmt_BS_date_end, "In", "Out")</f>
        <v>In</v>
      </c>
      <c r="U661" t="str">
        <f>IF(Jnl[[#This Row],[TrxDate]]&lt;debug_date_start, "prior", IF(Jnl[[#This Row],[TrxDate]]&gt;debug_date_end, "post", "curr"))</f>
        <v>curr</v>
      </c>
    </row>
    <row r="662" spans="1:21" hidden="1">
      <c r="A662" s="39" t="s">
        <v>827</v>
      </c>
      <c r="B662" s="6">
        <f>_xlfn.XLOOKUP(Jnl[[#This Row],[TrxId]], Trx[Id], Trx[Date],,0)</f>
        <v>46053</v>
      </c>
      <c r="C662" s="6" t="str">
        <f>_xlfn.XLOOKUP(Jnl[[#This Row],[TrxId]], Trx[Id], Trx[Division],,0)</f>
        <v>Online</v>
      </c>
      <c r="D662" s="6" t="str">
        <f>_xlfn.XLOOKUP(Jnl[[#This Row],[TrxId]], Trx[Id], Trx[Action],,0)</f>
        <v>加工</v>
      </c>
      <c r="E662" s="27" t="s">
        <v>82</v>
      </c>
      <c r="F662" s="10" t="s">
        <v>596</v>
      </c>
      <c r="G662" s="10" t="s">
        <v>396</v>
      </c>
      <c r="H662" s="37">
        <v>-47022</v>
      </c>
      <c r="I662" s="38" t="b">
        <f>AND(Jnl[[#This Row],[TrxId]]&lt;&gt;"",Jnl[[#This Row],[Acct]]&lt;&gt;"",Jnl[[#This Row],[Item]]&lt;&gt;"",ISNUMBER(Jnl[[#This Row],[Bal]]))</f>
        <v>1</v>
      </c>
      <c r="J662" s="9">
        <f>IF(Jnl[[#This Row],[BSLv0]]="A",1,-1)*Jnl[[#This Row],[Bal]]</f>
        <v>-47022</v>
      </c>
      <c r="K662" t="str">
        <f>_xlfn.XLOOKUP(Jnl[[#This Row],[Acct]], config_BS[Acct], config_BS[Lv0],,0)</f>
        <v>A</v>
      </c>
      <c r="L662" t="str">
        <f>_xlfn.XLOOKUP(Jnl[[#This Row],[Acct]], config_BS[Acct], config_BS[Lv1],,0)</f>
        <v>Assets</v>
      </c>
      <c r="M662" t="str">
        <f>_xlfn.XLOOKUP(Jnl[[#This Row],[Acct]], config_BS[Acct], config_BS[Lv2],,0)</f>
        <v>Cash alike</v>
      </c>
      <c r="N662" t="str">
        <f>_xlfn.XLOOKUP(Jnl[[#This Row],[TrxId]], Trx[Id], Trx[IncNode], ,0)</f>
        <v>Cost</v>
      </c>
      <c r="O662" t="str">
        <f>_xlfn.XLOOKUP(Jnl[[#This Row],[IncNode]], config_IS[Node], config_IS[Type],,0)</f>
        <v>Op</v>
      </c>
      <c r="P662" t="str">
        <f>_xlfn.XLOOKUP(Jnl[[#This Row],[BSLv2]], dict[Key], dict[Name],,0)</f>
        <v>0.现金及类似</v>
      </c>
      <c r="Q662" t="str">
        <f>_xlfn.XLOOKUP(Jnl[[#This Row],[Acct]], dict[Key], dict[Name],,0)</f>
        <v>银行</v>
      </c>
      <c r="R662" t="str">
        <f>_xlfn.XLOOKUP(Jnl[[#This Row],[Vehicle]],config_vehicle[Id], config_vehicle[Name],,0)</f>
        <v>远家花园</v>
      </c>
      <c r="S662" t="str">
        <f>_xlfn.XLOOKUP(Jnl[[#This Row],[Division]],config_div[Id], config_div[Name],,0)</f>
        <v>网店</v>
      </c>
      <c r="T662" t="str">
        <f>IF(Jnl[[#This Row],[TrxDate]]&lt;=stmt_BS_date_end, "In", "Out")</f>
        <v>In</v>
      </c>
      <c r="U662" t="str">
        <f>IF(Jnl[[#This Row],[TrxDate]]&lt;debug_date_start, "prior", IF(Jnl[[#This Row],[TrxDate]]&gt;debug_date_end, "post", "curr"))</f>
        <v>curr</v>
      </c>
    </row>
    <row r="663" spans="1:21" hidden="1">
      <c r="A663" s="39" t="s">
        <v>828</v>
      </c>
      <c r="B663" s="6">
        <f>_xlfn.XLOOKUP(Jnl[[#This Row],[TrxId]], Trx[Id], Trx[Date],,0)</f>
        <v>46053</v>
      </c>
      <c r="C663" s="6" t="str">
        <f>_xlfn.XLOOKUP(Jnl[[#This Row],[TrxId]], Trx[Id], Trx[Division],,0)</f>
        <v>Online</v>
      </c>
      <c r="D663" s="6" t="str">
        <f>_xlfn.XLOOKUP(Jnl[[#This Row],[TrxId]], Trx[Id], Trx[Action],,0)</f>
        <v>加工</v>
      </c>
      <c r="E663" s="27" t="s">
        <v>82</v>
      </c>
      <c r="F663" s="10" t="s">
        <v>604</v>
      </c>
      <c r="G663" s="10" t="s">
        <v>154</v>
      </c>
      <c r="H663" s="37">
        <v>26652</v>
      </c>
      <c r="I663" s="38" t="b">
        <f>AND(Jnl[[#This Row],[TrxId]]&lt;&gt;"",Jnl[[#This Row],[Acct]]&lt;&gt;"",Jnl[[#This Row],[Item]]&lt;&gt;"",ISNUMBER(Jnl[[#This Row],[Bal]]))</f>
        <v>1</v>
      </c>
      <c r="J663" s="9">
        <f>IF(Jnl[[#This Row],[BSLv0]]="A",1,-1)*Jnl[[#This Row],[Bal]]</f>
        <v>26652</v>
      </c>
      <c r="K663" t="str">
        <f>_xlfn.XLOOKUP(Jnl[[#This Row],[Acct]], config_BS[Acct], config_BS[Lv0],,0)</f>
        <v>A</v>
      </c>
      <c r="L663" t="str">
        <f>_xlfn.XLOOKUP(Jnl[[#This Row],[Acct]], config_BS[Acct], config_BS[Lv1],,0)</f>
        <v>Assets</v>
      </c>
      <c r="M663" t="str">
        <f>_xlfn.XLOOKUP(Jnl[[#This Row],[Acct]], config_BS[Acct], config_BS[Lv2],,0)</f>
        <v>Invtr</v>
      </c>
      <c r="N663" t="str">
        <f>_xlfn.XLOOKUP(Jnl[[#This Row],[TrxId]], Trx[Id], Trx[IncNode], ,0)</f>
        <v>Cost</v>
      </c>
      <c r="O663" t="str">
        <f>_xlfn.XLOOKUP(Jnl[[#This Row],[IncNode]], config_IS[Node], config_IS[Type],,0)</f>
        <v>Op</v>
      </c>
      <c r="P663" t="str">
        <f>_xlfn.XLOOKUP(Jnl[[#This Row],[BSLv2]], dict[Key], dict[Name],,0)</f>
        <v>3.库存占款</v>
      </c>
      <c r="Q663" t="str">
        <f>_xlfn.XLOOKUP(Jnl[[#This Row],[Acct]], dict[Key], dict[Name],,0)</f>
        <v>当期存货</v>
      </c>
      <c r="R663" t="str">
        <f>_xlfn.XLOOKUP(Jnl[[#This Row],[Vehicle]],config_vehicle[Id], config_vehicle[Name],,0)</f>
        <v>远家花园</v>
      </c>
      <c r="S663" t="str">
        <f>_xlfn.XLOOKUP(Jnl[[#This Row],[Division]],config_div[Id], config_div[Name],,0)</f>
        <v>网店</v>
      </c>
      <c r="T663" t="str">
        <f>IF(Jnl[[#This Row],[TrxDate]]&lt;=stmt_BS_date_end, "In", "Out")</f>
        <v>In</v>
      </c>
      <c r="U663" t="str">
        <f>IF(Jnl[[#This Row],[TrxDate]]&lt;debug_date_start, "prior", IF(Jnl[[#This Row],[TrxDate]]&gt;debug_date_end, "post", "curr"))</f>
        <v>curr</v>
      </c>
    </row>
    <row r="664" spans="1:21" hidden="1">
      <c r="A664" s="39" t="s">
        <v>828</v>
      </c>
      <c r="B664" s="6">
        <f>_xlfn.XLOOKUP(Jnl[[#This Row],[TrxId]], Trx[Id], Trx[Date],,0)</f>
        <v>46053</v>
      </c>
      <c r="C664" s="6" t="str">
        <f>_xlfn.XLOOKUP(Jnl[[#This Row],[TrxId]], Trx[Id], Trx[Division],,0)</f>
        <v>Online</v>
      </c>
      <c r="D664" s="6" t="str">
        <f>_xlfn.XLOOKUP(Jnl[[#This Row],[TrxId]], Trx[Id], Trx[Action],,0)</f>
        <v>加工</v>
      </c>
      <c r="E664" s="27" t="s">
        <v>82</v>
      </c>
      <c r="F664" s="10" t="s">
        <v>596</v>
      </c>
      <c r="G664" s="10" t="s">
        <v>396</v>
      </c>
      <c r="H664" s="37">
        <v>-26652</v>
      </c>
      <c r="I664" s="38" t="b">
        <f>AND(Jnl[[#This Row],[TrxId]]&lt;&gt;"",Jnl[[#This Row],[Acct]]&lt;&gt;"",Jnl[[#This Row],[Item]]&lt;&gt;"",ISNUMBER(Jnl[[#This Row],[Bal]]))</f>
        <v>1</v>
      </c>
      <c r="J664" s="9">
        <f>IF(Jnl[[#This Row],[BSLv0]]="A",1,-1)*Jnl[[#This Row],[Bal]]</f>
        <v>-26652</v>
      </c>
      <c r="K664" t="str">
        <f>_xlfn.XLOOKUP(Jnl[[#This Row],[Acct]], config_BS[Acct], config_BS[Lv0],,0)</f>
        <v>A</v>
      </c>
      <c r="L664" t="str">
        <f>_xlfn.XLOOKUP(Jnl[[#This Row],[Acct]], config_BS[Acct], config_BS[Lv1],,0)</f>
        <v>Assets</v>
      </c>
      <c r="M664" t="str">
        <f>_xlfn.XLOOKUP(Jnl[[#This Row],[Acct]], config_BS[Acct], config_BS[Lv2],,0)</f>
        <v>Cash alike</v>
      </c>
      <c r="N664" t="str">
        <f>_xlfn.XLOOKUP(Jnl[[#This Row],[TrxId]], Trx[Id], Trx[IncNode], ,0)</f>
        <v>Cost</v>
      </c>
      <c r="O664" t="str">
        <f>_xlfn.XLOOKUP(Jnl[[#This Row],[IncNode]], config_IS[Node], config_IS[Type],,0)</f>
        <v>Op</v>
      </c>
      <c r="P664" t="str">
        <f>_xlfn.XLOOKUP(Jnl[[#This Row],[BSLv2]], dict[Key], dict[Name],,0)</f>
        <v>0.现金及类似</v>
      </c>
      <c r="Q664" t="str">
        <f>_xlfn.XLOOKUP(Jnl[[#This Row],[Acct]], dict[Key], dict[Name],,0)</f>
        <v>银行</v>
      </c>
      <c r="R664" t="str">
        <f>_xlfn.XLOOKUP(Jnl[[#This Row],[Vehicle]],config_vehicle[Id], config_vehicle[Name],,0)</f>
        <v>远家花园</v>
      </c>
      <c r="S664" t="str">
        <f>_xlfn.XLOOKUP(Jnl[[#This Row],[Division]],config_div[Id], config_div[Name],,0)</f>
        <v>网店</v>
      </c>
      <c r="T664" t="str">
        <f>IF(Jnl[[#This Row],[TrxDate]]&lt;=stmt_BS_date_end, "In", "Out")</f>
        <v>In</v>
      </c>
      <c r="U664" t="str">
        <f>IF(Jnl[[#This Row],[TrxDate]]&lt;debug_date_start, "prior", IF(Jnl[[#This Row],[TrxDate]]&gt;debug_date_end, "post", "curr"))</f>
        <v>curr</v>
      </c>
    </row>
    <row r="665" spans="1:21" hidden="1">
      <c r="A665" s="39" t="s">
        <v>829</v>
      </c>
      <c r="B665" s="6">
        <f>_xlfn.XLOOKUP(Jnl[[#This Row],[TrxId]], Trx[Id], Trx[Date],,0)</f>
        <v>46053</v>
      </c>
      <c r="C665" s="6" t="str">
        <f>_xlfn.XLOOKUP(Jnl[[#This Row],[TrxId]], Trx[Id], Trx[Division],,0)</f>
        <v>Online</v>
      </c>
      <c r="D665" s="6" t="str">
        <f>_xlfn.XLOOKUP(Jnl[[#This Row],[TrxId]], Trx[Id], Trx[Action],,0)</f>
        <v>采购</v>
      </c>
      <c r="E665" s="27" t="s">
        <v>82</v>
      </c>
      <c r="F665" s="10" t="s">
        <v>604</v>
      </c>
      <c r="G665" s="10" t="s">
        <v>154</v>
      </c>
      <c r="H665" s="37">
        <v>69198</v>
      </c>
      <c r="I665" s="38" t="b">
        <f>AND(Jnl[[#This Row],[TrxId]]&lt;&gt;"",Jnl[[#This Row],[Acct]]&lt;&gt;"",Jnl[[#This Row],[Item]]&lt;&gt;"",ISNUMBER(Jnl[[#This Row],[Bal]]))</f>
        <v>1</v>
      </c>
      <c r="J665" s="9">
        <f>IF(Jnl[[#This Row],[BSLv0]]="A",1,-1)*Jnl[[#This Row],[Bal]]</f>
        <v>69198</v>
      </c>
      <c r="K665" t="str">
        <f>_xlfn.XLOOKUP(Jnl[[#This Row],[Acct]], config_BS[Acct], config_BS[Lv0],,0)</f>
        <v>A</v>
      </c>
      <c r="L665" t="str">
        <f>_xlfn.XLOOKUP(Jnl[[#This Row],[Acct]], config_BS[Acct], config_BS[Lv1],,0)</f>
        <v>Assets</v>
      </c>
      <c r="M665" t="str">
        <f>_xlfn.XLOOKUP(Jnl[[#This Row],[Acct]], config_BS[Acct], config_BS[Lv2],,0)</f>
        <v>Invtr</v>
      </c>
      <c r="N665" t="str">
        <f>_xlfn.XLOOKUP(Jnl[[#This Row],[TrxId]], Trx[Id], Trx[IncNode], ,0)</f>
        <v>Cost</v>
      </c>
      <c r="O665" t="str">
        <f>_xlfn.XLOOKUP(Jnl[[#This Row],[IncNode]], config_IS[Node], config_IS[Type],,0)</f>
        <v>Op</v>
      </c>
      <c r="P665" t="str">
        <f>_xlfn.XLOOKUP(Jnl[[#This Row],[BSLv2]], dict[Key], dict[Name],,0)</f>
        <v>3.库存占款</v>
      </c>
      <c r="Q665" t="str">
        <f>_xlfn.XLOOKUP(Jnl[[#This Row],[Acct]], dict[Key], dict[Name],,0)</f>
        <v>当期存货</v>
      </c>
      <c r="R665" t="str">
        <f>_xlfn.XLOOKUP(Jnl[[#This Row],[Vehicle]],config_vehicle[Id], config_vehicle[Name],,0)</f>
        <v>远家花园</v>
      </c>
      <c r="S665" t="str">
        <f>_xlfn.XLOOKUP(Jnl[[#This Row],[Division]],config_div[Id], config_div[Name],,0)</f>
        <v>网店</v>
      </c>
      <c r="T665" t="str">
        <f>IF(Jnl[[#This Row],[TrxDate]]&lt;=stmt_BS_date_end, "In", "Out")</f>
        <v>In</v>
      </c>
      <c r="U665" t="str">
        <f>IF(Jnl[[#This Row],[TrxDate]]&lt;debug_date_start, "prior", IF(Jnl[[#This Row],[TrxDate]]&gt;debug_date_end, "post", "curr"))</f>
        <v>curr</v>
      </c>
    </row>
    <row r="666" spans="1:21" hidden="1">
      <c r="A666" s="39" t="s">
        <v>829</v>
      </c>
      <c r="B666" s="6">
        <f>_xlfn.XLOOKUP(Jnl[[#This Row],[TrxId]], Trx[Id], Trx[Date],,0)</f>
        <v>46053</v>
      </c>
      <c r="C666" s="6" t="str">
        <f>_xlfn.XLOOKUP(Jnl[[#This Row],[TrxId]], Trx[Id], Trx[Division],,0)</f>
        <v>Online</v>
      </c>
      <c r="D666" s="6" t="str">
        <f>_xlfn.XLOOKUP(Jnl[[#This Row],[TrxId]], Trx[Id], Trx[Action],,0)</f>
        <v>采购</v>
      </c>
      <c r="E666" s="27" t="s">
        <v>82</v>
      </c>
      <c r="F666" s="10" t="s">
        <v>596</v>
      </c>
      <c r="G666" s="10" t="s">
        <v>396</v>
      </c>
      <c r="H666" s="37">
        <v>-69198</v>
      </c>
      <c r="I666" s="38" t="b">
        <f>AND(Jnl[[#This Row],[TrxId]]&lt;&gt;"",Jnl[[#This Row],[Acct]]&lt;&gt;"",Jnl[[#This Row],[Item]]&lt;&gt;"",ISNUMBER(Jnl[[#This Row],[Bal]]))</f>
        <v>1</v>
      </c>
      <c r="J666" s="9">
        <f>IF(Jnl[[#This Row],[BSLv0]]="A",1,-1)*Jnl[[#This Row],[Bal]]</f>
        <v>-69198</v>
      </c>
      <c r="K666" t="str">
        <f>_xlfn.XLOOKUP(Jnl[[#This Row],[Acct]], config_BS[Acct], config_BS[Lv0],,0)</f>
        <v>A</v>
      </c>
      <c r="L666" t="str">
        <f>_xlfn.XLOOKUP(Jnl[[#This Row],[Acct]], config_BS[Acct], config_BS[Lv1],,0)</f>
        <v>Assets</v>
      </c>
      <c r="M666" t="str">
        <f>_xlfn.XLOOKUP(Jnl[[#This Row],[Acct]], config_BS[Acct], config_BS[Lv2],,0)</f>
        <v>Cash alike</v>
      </c>
      <c r="N666" t="str">
        <f>_xlfn.XLOOKUP(Jnl[[#This Row],[TrxId]], Trx[Id], Trx[IncNode], ,0)</f>
        <v>Cost</v>
      </c>
      <c r="O666" t="str">
        <f>_xlfn.XLOOKUP(Jnl[[#This Row],[IncNode]], config_IS[Node], config_IS[Type],,0)</f>
        <v>Op</v>
      </c>
      <c r="P666" t="str">
        <f>_xlfn.XLOOKUP(Jnl[[#This Row],[BSLv2]], dict[Key], dict[Name],,0)</f>
        <v>0.现金及类似</v>
      </c>
      <c r="Q666" t="str">
        <f>_xlfn.XLOOKUP(Jnl[[#This Row],[Acct]], dict[Key], dict[Name],,0)</f>
        <v>银行</v>
      </c>
      <c r="R666" t="str">
        <f>_xlfn.XLOOKUP(Jnl[[#This Row],[Vehicle]],config_vehicle[Id], config_vehicle[Name],,0)</f>
        <v>远家花园</v>
      </c>
      <c r="S666" t="str">
        <f>_xlfn.XLOOKUP(Jnl[[#This Row],[Division]],config_div[Id], config_div[Name],,0)</f>
        <v>网店</v>
      </c>
      <c r="T666" t="str">
        <f>IF(Jnl[[#This Row],[TrxDate]]&lt;=stmt_BS_date_end, "In", "Out")</f>
        <v>In</v>
      </c>
      <c r="U666" t="str">
        <f>IF(Jnl[[#This Row],[TrxDate]]&lt;debug_date_start, "prior", IF(Jnl[[#This Row],[TrxDate]]&gt;debug_date_end, "post", "curr"))</f>
        <v>curr</v>
      </c>
    </row>
    <row r="667" spans="1:21" hidden="1">
      <c r="A667" s="39" t="s">
        <v>830</v>
      </c>
      <c r="B667" s="6">
        <f>_xlfn.XLOOKUP(Jnl[[#This Row],[TrxId]], Trx[Id], Trx[Date],,0)</f>
        <v>46053</v>
      </c>
      <c r="C667" s="6" t="str">
        <f>_xlfn.XLOOKUP(Jnl[[#This Row],[TrxId]], Trx[Id], Trx[Division],,0)</f>
        <v>Online</v>
      </c>
      <c r="D667" s="6" t="str">
        <f>_xlfn.XLOOKUP(Jnl[[#This Row],[TrxId]], Trx[Id], Trx[Action],,0)</f>
        <v>采购</v>
      </c>
      <c r="E667" s="27" t="s">
        <v>82</v>
      </c>
      <c r="F667" s="10" t="s">
        <v>604</v>
      </c>
      <c r="G667" s="10" t="s">
        <v>154</v>
      </c>
      <c r="H667" s="37">
        <v>522</v>
      </c>
      <c r="I667" s="38" t="b">
        <f>AND(Jnl[[#This Row],[TrxId]]&lt;&gt;"",Jnl[[#This Row],[Acct]]&lt;&gt;"",Jnl[[#This Row],[Item]]&lt;&gt;"",ISNUMBER(Jnl[[#This Row],[Bal]]))</f>
        <v>1</v>
      </c>
      <c r="J667" s="9">
        <f>IF(Jnl[[#This Row],[BSLv0]]="A",1,-1)*Jnl[[#This Row],[Bal]]</f>
        <v>522</v>
      </c>
      <c r="K667" t="str">
        <f>_xlfn.XLOOKUP(Jnl[[#This Row],[Acct]], config_BS[Acct], config_BS[Lv0],,0)</f>
        <v>A</v>
      </c>
      <c r="L667" t="str">
        <f>_xlfn.XLOOKUP(Jnl[[#This Row],[Acct]], config_BS[Acct], config_BS[Lv1],,0)</f>
        <v>Assets</v>
      </c>
      <c r="M667" t="str">
        <f>_xlfn.XLOOKUP(Jnl[[#This Row],[Acct]], config_BS[Acct], config_BS[Lv2],,0)</f>
        <v>Invtr</v>
      </c>
      <c r="N667" t="str">
        <f>_xlfn.XLOOKUP(Jnl[[#This Row],[TrxId]], Trx[Id], Trx[IncNode], ,0)</f>
        <v>Cost</v>
      </c>
      <c r="O667" t="str">
        <f>_xlfn.XLOOKUP(Jnl[[#This Row],[IncNode]], config_IS[Node], config_IS[Type],,0)</f>
        <v>Op</v>
      </c>
      <c r="P667" t="str">
        <f>_xlfn.XLOOKUP(Jnl[[#This Row],[BSLv2]], dict[Key], dict[Name],,0)</f>
        <v>3.库存占款</v>
      </c>
      <c r="Q667" t="str">
        <f>_xlfn.XLOOKUP(Jnl[[#This Row],[Acct]], dict[Key], dict[Name],,0)</f>
        <v>当期存货</v>
      </c>
      <c r="R667" t="str">
        <f>_xlfn.XLOOKUP(Jnl[[#This Row],[Vehicle]],config_vehicle[Id], config_vehicle[Name],,0)</f>
        <v>远家花园</v>
      </c>
      <c r="S667" t="str">
        <f>_xlfn.XLOOKUP(Jnl[[#This Row],[Division]],config_div[Id], config_div[Name],,0)</f>
        <v>网店</v>
      </c>
      <c r="T667" t="str">
        <f>IF(Jnl[[#This Row],[TrxDate]]&lt;=stmt_BS_date_end, "In", "Out")</f>
        <v>In</v>
      </c>
      <c r="U667" t="str">
        <f>IF(Jnl[[#This Row],[TrxDate]]&lt;debug_date_start, "prior", IF(Jnl[[#This Row],[TrxDate]]&gt;debug_date_end, "post", "curr"))</f>
        <v>curr</v>
      </c>
    </row>
    <row r="668" spans="1:21" hidden="1">
      <c r="A668" s="39" t="s">
        <v>830</v>
      </c>
      <c r="B668" s="6">
        <f>_xlfn.XLOOKUP(Jnl[[#This Row],[TrxId]], Trx[Id], Trx[Date],,0)</f>
        <v>46053</v>
      </c>
      <c r="C668" s="6" t="str">
        <f>_xlfn.XLOOKUP(Jnl[[#This Row],[TrxId]], Trx[Id], Trx[Division],,0)</f>
        <v>Online</v>
      </c>
      <c r="D668" s="6" t="str">
        <f>_xlfn.XLOOKUP(Jnl[[#This Row],[TrxId]], Trx[Id], Trx[Action],,0)</f>
        <v>采购</v>
      </c>
      <c r="E668" s="27" t="s">
        <v>82</v>
      </c>
      <c r="F668" s="10" t="s">
        <v>596</v>
      </c>
      <c r="G668" s="10" t="s">
        <v>396</v>
      </c>
      <c r="H668" s="37">
        <v>-522</v>
      </c>
      <c r="I668" s="38" t="b">
        <f>AND(Jnl[[#This Row],[TrxId]]&lt;&gt;"",Jnl[[#This Row],[Acct]]&lt;&gt;"",Jnl[[#This Row],[Item]]&lt;&gt;"",ISNUMBER(Jnl[[#This Row],[Bal]]))</f>
        <v>1</v>
      </c>
      <c r="J668" s="9">
        <f>IF(Jnl[[#This Row],[BSLv0]]="A",1,-1)*Jnl[[#This Row],[Bal]]</f>
        <v>-522</v>
      </c>
      <c r="K668" t="str">
        <f>_xlfn.XLOOKUP(Jnl[[#This Row],[Acct]], config_BS[Acct], config_BS[Lv0],,0)</f>
        <v>A</v>
      </c>
      <c r="L668" t="str">
        <f>_xlfn.XLOOKUP(Jnl[[#This Row],[Acct]], config_BS[Acct], config_BS[Lv1],,0)</f>
        <v>Assets</v>
      </c>
      <c r="M668" t="str">
        <f>_xlfn.XLOOKUP(Jnl[[#This Row],[Acct]], config_BS[Acct], config_BS[Lv2],,0)</f>
        <v>Cash alike</v>
      </c>
      <c r="N668" t="str">
        <f>_xlfn.XLOOKUP(Jnl[[#This Row],[TrxId]], Trx[Id], Trx[IncNode], ,0)</f>
        <v>Cost</v>
      </c>
      <c r="O668" t="str">
        <f>_xlfn.XLOOKUP(Jnl[[#This Row],[IncNode]], config_IS[Node], config_IS[Type],,0)</f>
        <v>Op</v>
      </c>
      <c r="P668" t="str">
        <f>_xlfn.XLOOKUP(Jnl[[#This Row],[BSLv2]], dict[Key], dict[Name],,0)</f>
        <v>0.现金及类似</v>
      </c>
      <c r="Q668" t="str">
        <f>_xlfn.XLOOKUP(Jnl[[#This Row],[Acct]], dict[Key], dict[Name],,0)</f>
        <v>银行</v>
      </c>
      <c r="R668" t="str">
        <f>_xlfn.XLOOKUP(Jnl[[#This Row],[Vehicle]],config_vehicle[Id], config_vehicle[Name],,0)</f>
        <v>远家花园</v>
      </c>
      <c r="S668" t="str">
        <f>_xlfn.XLOOKUP(Jnl[[#This Row],[Division]],config_div[Id], config_div[Name],,0)</f>
        <v>网店</v>
      </c>
      <c r="T668" t="str">
        <f>IF(Jnl[[#This Row],[TrxDate]]&lt;=stmt_BS_date_end, "In", "Out")</f>
        <v>In</v>
      </c>
      <c r="U668" t="str">
        <f>IF(Jnl[[#This Row],[TrxDate]]&lt;debug_date_start, "prior", IF(Jnl[[#This Row],[TrxDate]]&gt;debug_date_end, "post", "curr"))</f>
        <v>curr</v>
      </c>
    </row>
    <row r="669" spans="1:21" hidden="1">
      <c r="A669" s="39" t="s">
        <v>831</v>
      </c>
      <c r="B669" s="6">
        <f>_xlfn.XLOOKUP(Jnl[[#This Row],[TrxId]], Trx[Id], Trx[Date],,0)</f>
        <v>46053</v>
      </c>
      <c r="C669" s="6" t="str">
        <f>_xlfn.XLOOKUP(Jnl[[#This Row],[TrxId]], Trx[Id], Trx[Division],,0)</f>
        <v>Online</v>
      </c>
      <c r="D669" s="6" t="str">
        <f>_xlfn.XLOOKUP(Jnl[[#This Row],[TrxId]], Trx[Id], Trx[Action],,0)</f>
        <v>采购</v>
      </c>
      <c r="E669" s="27" t="s">
        <v>82</v>
      </c>
      <c r="F669" s="10" t="s">
        <v>604</v>
      </c>
      <c r="G669" s="10" t="s">
        <v>154</v>
      </c>
      <c r="H669" s="37">
        <v>8292</v>
      </c>
      <c r="I669" s="38" t="b">
        <f>AND(Jnl[[#This Row],[TrxId]]&lt;&gt;"",Jnl[[#This Row],[Acct]]&lt;&gt;"",Jnl[[#This Row],[Item]]&lt;&gt;"",ISNUMBER(Jnl[[#This Row],[Bal]]))</f>
        <v>1</v>
      </c>
      <c r="J669" s="9">
        <f>IF(Jnl[[#This Row],[BSLv0]]="A",1,-1)*Jnl[[#This Row],[Bal]]</f>
        <v>8292</v>
      </c>
      <c r="K669" t="str">
        <f>_xlfn.XLOOKUP(Jnl[[#This Row],[Acct]], config_BS[Acct], config_BS[Lv0],,0)</f>
        <v>A</v>
      </c>
      <c r="L669" t="str">
        <f>_xlfn.XLOOKUP(Jnl[[#This Row],[Acct]], config_BS[Acct], config_BS[Lv1],,0)</f>
        <v>Assets</v>
      </c>
      <c r="M669" t="str">
        <f>_xlfn.XLOOKUP(Jnl[[#This Row],[Acct]], config_BS[Acct], config_BS[Lv2],,0)</f>
        <v>Invtr</v>
      </c>
      <c r="N669" t="str">
        <f>_xlfn.XLOOKUP(Jnl[[#This Row],[TrxId]], Trx[Id], Trx[IncNode], ,0)</f>
        <v>Cost</v>
      </c>
      <c r="O669" t="str">
        <f>_xlfn.XLOOKUP(Jnl[[#This Row],[IncNode]], config_IS[Node], config_IS[Type],,0)</f>
        <v>Op</v>
      </c>
      <c r="P669" t="str">
        <f>_xlfn.XLOOKUP(Jnl[[#This Row],[BSLv2]], dict[Key], dict[Name],,0)</f>
        <v>3.库存占款</v>
      </c>
      <c r="Q669" t="str">
        <f>_xlfn.XLOOKUP(Jnl[[#This Row],[Acct]], dict[Key], dict[Name],,0)</f>
        <v>当期存货</v>
      </c>
      <c r="R669" t="str">
        <f>_xlfn.XLOOKUP(Jnl[[#This Row],[Vehicle]],config_vehicle[Id], config_vehicle[Name],,0)</f>
        <v>远家花园</v>
      </c>
      <c r="S669" t="str">
        <f>_xlfn.XLOOKUP(Jnl[[#This Row],[Division]],config_div[Id], config_div[Name],,0)</f>
        <v>网店</v>
      </c>
      <c r="T669" t="str">
        <f>IF(Jnl[[#This Row],[TrxDate]]&lt;=stmt_BS_date_end, "In", "Out")</f>
        <v>In</v>
      </c>
      <c r="U669" t="str">
        <f>IF(Jnl[[#This Row],[TrxDate]]&lt;debug_date_start, "prior", IF(Jnl[[#This Row],[TrxDate]]&gt;debug_date_end, "post", "curr"))</f>
        <v>curr</v>
      </c>
    </row>
    <row r="670" spans="1:21" hidden="1">
      <c r="A670" s="39" t="s">
        <v>831</v>
      </c>
      <c r="B670" s="6">
        <f>_xlfn.XLOOKUP(Jnl[[#This Row],[TrxId]], Trx[Id], Trx[Date],,0)</f>
        <v>46053</v>
      </c>
      <c r="C670" s="6" t="str">
        <f>_xlfn.XLOOKUP(Jnl[[#This Row],[TrxId]], Trx[Id], Trx[Division],,0)</f>
        <v>Online</v>
      </c>
      <c r="D670" s="6" t="str">
        <f>_xlfn.XLOOKUP(Jnl[[#This Row],[TrxId]], Trx[Id], Trx[Action],,0)</f>
        <v>采购</v>
      </c>
      <c r="E670" s="27" t="s">
        <v>82</v>
      </c>
      <c r="F670" s="10" t="s">
        <v>596</v>
      </c>
      <c r="G670" s="10" t="s">
        <v>396</v>
      </c>
      <c r="H670" s="37">
        <v>-8292</v>
      </c>
      <c r="I670" s="38" t="b">
        <f>AND(Jnl[[#This Row],[TrxId]]&lt;&gt;"",Jnl[[#This Row],[Acct]]&lt;&gt;"",Jnl[[#This Row],[Item]]&lt;&gt;"",ISNUMBER(Jnl[[#This Row],[Bal]]))</f>
        <v>1</v>
      </c>
      <c r="J670" s="9">
        <f>IF(Jnl[[#This Row],[BSLv0]]="A",1,-1)*Jnl[[#This Row],[Bal]]</f>
        <v>-8292</v>
      </c>
      <c r="K670" t="str">
        <f>_xlfn.XLOOKUP(Jnl[[#This Row],[Acct]], config_BS[Acct], config_BS[Lv0],,0)</f>
        <v>A</v>
      </c>
      <c r="L670" t="str">
        <f>_xlfn.XLOOKUP(Jnl[[#This Row],[Acct]], config_BS[Acct], config_BS[Lv1],,0)</f>
        <v>Assets</v>
      </c>
      <c r="M670" t="str">
        <f>_xlfn.XLOOKUP(Jnl[[#This Row],[Acct]], config_BS[Acct], config_BS[Lv2],,0)</f>
        <v>Cash alike</v>
      </c>
      <c r="N670" t="str">
        <f>_xlfn.XLOOKUP(Jnl[[#This Row],[TrxId]], Trx[Id], Trx[IncNode], ,0)</f>
        <v>Cost</v>
      </c>
      <c r="O670" t="str">
        <f>_xlfn.XLOOKUP(Jnl[[#This Row],[IncNode]], config_IS[Node], config_IS[Type],,0)</f>
        <v>Op</v>
      </c>
      <c r="P670" t="str">
        <f>_xlfn.XLOOKUP(Jnl[[#This Row],[BSLv2]], dict[Key], dict[Name],,0)</f>
        <v>0.现金及类似</v>
      </c>
      <c r="Q670" t="str">
        <f>_xlfn.XLOOKUP(Jnl[[#This Row],[Acct]], dict[Key], dict[Name],,0)</f>
        <v>银行</v>
      </c>
      <c r="R670" t="str">
        <f>_xlfn.XLOOKUP(Jnl[[#This Row],[Vehicle]],config_vehicle[Id], config_vehicle[Name],,0)</f>
        <v>远家花园</v>
      </c>
      <c r="S670" t="str">
        <f>_xlfn.XLOOKUP(Jnl[[#This Row],[Division]],config_div[Id], config_div[Name],,0)</f>
        <v>网店</v>
      </c>
      <c r="T670" t="str">
        <f>IF(Jnl[[#This Row],[TrxDate]]&lt;=stmt_BS_date_end, "In", "Out")</f>
        <v>In</v>
      </c>
      <c r="U670" t="str">
        <f>IF(Jnl[[#This Row],[TrxDate]]&lt;debug_date_start, "prior", IF(Jnl[[#This Row],[TrxDate]]&gt;debug_date_end, "post", "curr"))</f>
        <v>curr</v>
      </c>
    </row>
    <row r="671" spans="1:21" hidden="1">
      <c r="A671" s="39" t="s">
        <v>832</v>
      </c>
      <c r="B671" s="6">
        <f>_xlfn.XLOOKUP(Jnl[[#This Row],[TrxId]], Trx[Id], Trx[Date],,0)</f>
        <v>46053</v>
      </c>
      <c r="C671" s="6" t="str">
        <f>_xlfn.XLOOKUP(Jnl[[#This Row],[TrxId]], Trx[Id], Trx[Division],,0)</f>
        <v>Online</v>
      </c>
      <c r="D671" s="6" t="str">
        <f>_xlfn.XLOOKUP(Jnl[[#This Row],[TrxId]], Trx[Id], Trx[Action],,0)</f>
        <v>退费-供应商</v>
      </c>
      <c r="E671" s="27" t="s">
        <v>82</v>
      </c>
      <c r="F671" s="10" t="s">
        <v>596</v>
      </c>
      <c r="G671" s="10" t="s">
        <v>396</v>
      </c>
      <c r="H671" s="37">
        <v>1600</v>
      </c>
      <c r="I671" s="38" t="b">
        <f>AND(Jnl[[#This Row],[TrxId]]&lt;&gt;"",Jnl[[#This Row],[Acct]]&lt;&gt;"",Jnl[[#This Row],[Item]]&lt;&gt;"",ISNUMBER(Jnl[[#This Row],[Bal]]))</f>
        <v>1</v>
      </c>
      <c r="J671" s="9">
        <f>IF(Jnl[[#This Row],[BSLv0]]="A",1,-1)*Jnl[[#This Row],[Bal]]</f>
        <v>1600</v>
      </c>
      <c r="K671" t="str">
        <f>_xlfn.XLOOKUP(Jnl[[#This Row],[Acct]], config_BS[Acct], config_BS[Lv0],,0)</f>
        <v>A</v>
      </c>
      <c r="L671" t="str">
        <f>_xlfn.XLOOKUP(Jnl[[#This Row],[Acct]], config_BS[Acct], config_BS[Lv1],,0)</f>
        <v>Assets</v>
      </c>
      <c r="M671" t="str">
        <f>_xlfn.XLOOKUP(Jnl[[#This Row],[Acct]], config_BS[Acct], config_BS[Lv2],,0)</f>
        <v>Cash alike</v>
      </c>
      <c r="N671" t="str">
        <f>_xlfn.XLOOKUP(Jnl[[#This Row],[TrxId]], Trx[Id], Trx[IncNode], ,0)</f>
        <v>Expense</v>
      </c>
      <c r="O671" t="str">
        <f>_xlfn.XLOOKUP(Jnl[[#This Row],[IncNode]], config_IS[Node], config_IS[Type],,0)</f>
        <v>Op</v>
      </c>
      <c r="P671" t="str">
        <f>_xlfn.XLOOKUP(Jnl[[#This Row],[BSLv2]], dict[Key], dict[Name],,0)</f>
        <v>0.现金及类似</v>
      </c>
      <c r="Q671" t="str">
        <f>_xlfn.XLOOKUP(Jnl[[#This Row],[Acct]], dict[Key], dict[Name],,0)</f>
        <v>银行</v>
      </c>
      <c r="R671" t="str">
        <f>_xlfn.XLOOKUP(Jnl[[#This Row],[Vehicle]],config_vehicle[Id], config_vehicle[Name],,0)</f>
        <v>远家花园</v>
      </c>
      <c r="S671" t="str">
        <f>_xlfn.XLOOKUP(Jnl[[#This Row],[Division]],config_div[Id], config_div[Name],,0)</f>
        <v>网店</v>
      </c>
      <c r="T671" t="str">
        <f>IF(Jnl[[#This Row],[TrxDate]]&lt;=stmt_BS_date_end, "In", "Out")</f>
        <v>In</v>
      </c>
      <c r="U671" t="str">
        <f>IF(Jnl[[#This Row],[TrxDate]]&lt;debug_date_start, "prior", IF(Jnl[[#This Row],[TrxDate]]&gt;debug_date_end, "post", "curr"))</f>
        <v>curr</v>
      </c>
    </row>
    <row r="672" spans="1:21" hidden="1">
      <c r="A672" s="39" t="s">
        <v>834</v>
      </c>
      <c r="B672" s="6">
        <f>_xlfn.XLOOKUP(Jnl[[#This Row],[TrxId]], Trx[Id], Trx[Date],,0)</f>
        <v>46053</v>
      </c>
      <c r="C672" s="6" t="str">
        <f>_xlfn.XLOOKUP(Jnl[[#This Row],[TrxId]], Trx[Id], Trx[Division],,0)</f>
        <v>Online</v>
      </c>
      <c r="D672" s="6" t="str">
        <f>_xlfn.XLOOKUP(Jnl[[#This Row],[TrxId]], Trx[Id], Trx[Action],,0)</f>
        <v>过账</v>
      </c>
      <c r="E672" s="27" t="s">
        <v>82</v>
      </c>
      <c r="F672" s="10" t="s">
        <v>596</v>
      </c>
      <c r="G672" s="10" t="s">
        <v>396</v>
      </c>
      <c r="H672" s="37">
        <v>7704</v>
      </c>
      <c r="I672" s="38" t="b">
        <f>AND(Jnl[[#This Row],[TrxId]]&lt;&gt;"",Jnl[[#This Row],[Acct]]&lt;&gt;"",Jnl[[#This Row],[Item]]&lt;&gt;"",ISNUMBER(Jnl[[#This Row],[Bal]]))</f>
        <v>1</v>
      </c>
      <c r="J672" s="9">
        <f>IF(Jnl[[#This Row],[BSLv0]]="A",1,-1)*Jnl[[#This Row],[Bal]]</f>
        <v>7704</v>
      </c>
      <c r="K672" t="str">
        <f>_xlfn.XLOOKUP(Jnl[[#This Row],[Acct]], config_BS[Acct], config_BS[Lv0],,0)</f>
        <v>A</v>
      </c>
      <c r="L672" t="str">
        <f>_xlfn.XLOOKUP(Jnl[[#This Row],[Acct]], config_BS[Acct], config_BS[Lv1],,0)</f>
        <v>Assets</v>
      </c>
      <c r="M672" t="str">
        <f>_xlfn.XLOOKUP(Jnl[[#This Row],[Acct]], config_BS[Acct], config_BS[Lv2],,0)</f>
        <v>Cash alike</v>
      </c>
      <c r="N672" t="str">
        <f>_xlfn.XLOOKUP(Jnl[[#This Row],[TrxId]], Trx[Id], Trx[IncNode], ,0)</f>
        <v>Other</v>
      </c>
      <c r="O672" t="str">
        <f>_xlfn.XLOOKUP(Jnl[[#This Row],[IncNode]], config_IS[Node], config_IS[Type],,0)</f>
        <v>Non-Op</v>
      </c>
      <c r="P672" t="str">
        <f>_xlfn.XLOOKUP(Jnl[[#This Row],[BSLv2]], dict[Key], dict[Name],,0)</f>
        <v>0.现金及类似</v>
      </c>
      <c r="Q672" t="str">
        <f>_xlfn.XLOOKUP(Jnl[[#This Row],[Acct]], dict[Key], dict[Name],,0)</f>
        <v>银行</v>
      </c>
      <c r="R672" t="str">
        <f>_xlfn.XLOOKUP(Jnl[[#This Row],[Vehicle]],config_vehicle[Id], config_vehicle[Name],,0)</f>
        <v>远家花园</v>
      </c>
      <c r="S672" t="str">
        <f>_xlfn.XLOOKUP(Jnl[[#This Row],[Division]],config_div[Id], config_div[Name],,0)</f>
        <v>网店</v>
      </c>
      <c r="T672" t="str">
        <f>IF(Jnl[[#This Row],[TrxDate]]&lt;=stmt_BS_date_end, "In", "Out")</f>
        <v>In</v>
      </c>
      <c r="U672" t="str">
        <f>IF(Jnl[[#This Row],[TrxDate]]&lt;debug_date_start, "prior", IF(Jnl[[#This Row],[TrxDate]]&gt;debug_date_end, "post", "curr"))</f>
        <v>curr</v>
      </c>
    </row>
    <row r="673" spans="1:21" hidden="1">
      <c r="A673" s="39" t="s">
        <v>834</v>
      </c>
      <c r="B673" s="6">
        <f>_xlfn.XLOOKUP(Jnl[[#This Row],[TrxId]], Trx[Id], Trx[Date],,0)</f>
        <v>46053</v>
      </c>
      <c r="C673" s="6" t="str">
        <f>_xlfn.XLOOKUP(Jnl[[#This Row],[TrxId]], Trx[Id], Trx[Division],,0)</f>
        <v>Online</v>
      </c>
      <c r="D673" s="6" t="str">
        <f>_xlfn.XLOOKUP(Jnl[[#This Row],[TrxId]], Trx[Id], Trx[Action],,0)</f>
        <v>过账</v>
      </c>
      <c r="E673" s="27" t="s">
        <v>85</v>
      </c>
      <c r="F673" s="10" t="s">
        <v>596</v>
      </c>
      <c r="G673" s="10" t="s">
        <v>852</v>
      </c>
      <c r="H673" s="37">
        <f>-H672</f>
        <v>-7704</v>
      </c>
      <c r="I673" s="38" t="b">
        <f>AND(Jnl[[#This Row],[TrxId]]&lt;&gt;"",Jnl[[#This Row],[Acct]]&lt;&gt;"",Jnl[[#This Row],[Item]]&lt;&gt;"",ISNUMBER(Jnl[[#This Row],[Bal]]))</f>
        <v>1</v>
      </c>
      <c r="J673" s="9">
        <f>IF(Jnl[[#This Row],[BSLv0]]="A",1,-1)*Jnl[[#This Row],[Bal]]</f>
        <v>-7704</v>
      </c>
      <c r="K673" t="str">
        <f>_xlfn.XLOOKUP(Jnl[[#This Row],[Acct]], config_BS[Acct], config_BS[Lv0],,0)</f>
        <v>A</v>
      </c>
      <c r="L673" t="str">
        <f>_xlfn.XLOOKUP(Jnl[[#This Row],[Acct]], config_BS[Acct], config_BS[Lv1],,0)</f>
        <v>Assets</v>
      </c>
      <c r="M673" t="str">
        <f>_xlfn.XLOOKUP(Jnl[[#This Row],[Acct]], config_BS[Acct], config_BS[Lv2],,0)</f>
        <v>Cash alike</v>
      </c>
      <c r="N673" t="str">
        <f>_xlfn.XLOOKUP(Jnl[[#This Row],[TrxId]], Trx[Id], Trx[IncNode], ,0)</f>
        <v>Other</v>
      </c>
      <c r="O673" t="str">
        <f>_xlfn.XLOOKUP(Jnl[[#This Row],[IncNode]], config_IS[Node], config_IS[Type],,0)</f>
        <v>Non-Op</v>
      </c>
      <c r="P673" t="str">
        <f>_xlfn.XLOOKUP(Jnl[[#This Row],[BSLv2]], dict[Key], dict[Name],,0)</f>
        <v>0.现金及类似</v>
      </c>
      <c r="Q673" t="str">
        <f>_xlfn.XLOOKUP(Jnl[[#This Row],[Acct]], dict[Key], dict[Name],,0)</f>
        <v>银行</v>
      </c>
      <c r="R673" t="str">
        <f>_xlfn.XLOOKUP(Jnl[[#This Row],[Vehicle]],config_vehicle[Id], config_vehicle[Name],,0)</f>
        <v>远家文化</v>
      </c>
      <c r="S673" t="str">
        <f>_xlfn.XLOOKUP(Jnl[[#This Row],[Division]],config_div[Id], config_div[Name],,0)</f>
        <v>网店</v>
      </c>
      <c r="T673" t="str">
        <f>IF(Jnl[[#This Row],[TrxDate]]&lt;=stmt_BS_date_end, "In", "Out")</f>
        <v>In</v>
      </c>
      <c r="U673" t="str">
        <f>IF(Jnl[[#This Row],[TrxDate]]&lt;debug_date_start, "prior", IF(Jnl[[#This Row],[TrxDate]]&gt;debug_date_end, "post", "curr"))</f>
        <v>curr</v>
      </c>
    </row>
    <row r="674" spans="1:21" hidden="1">
      <c r="A674" s="39" t="s">
        <v>836</v>
      </c>
      <c r="B674" s="6">
        <f>_xlfn.XLOOKUP(Jnl[[#This Row],[TrxId]], Trx[Id], Trx[Date],,0)</f>
        <v>46053</v>
      </c>
      <c r="C674" s="6" t="str">
        <f>_xlfn.XLOOKUP(Jnl[[#This Row],[TrxId]], Trx[Id], Trx[Division],,0)</f>
        <v>GM</v>
      </c>
      <c r="D674" s="6" t="str">
        <f>_xlfn.XLOOKUP(Jnl[[#This Row],[TrxId]], Trx[Id], Trx[Action],,0)</f>
        <v>交通</v>
      </c>
      <c r="E674" s="27" t="s">
        <v>82</v>
      </c>
      <c r="F674" s="10" t="s">
        <v>596</v>
      </c>
      <c r="G674" s="10" t="s">
        <v>396</v>
      </c>
      <c r="H674" s="37">
        <v>-49.32</v>
      </c>
      <c r="I674" s="38" t="b">
        <f>AND(Jnl[[#This Row],[TrxId]]&lt;&gt;"",Jnl[[#This Row],[Acct]]&lt;&gt;"",Jnl[[#This Row],[Item]]&lt;&gt;"",ISNUMBER(Jnl[[#This Row],[Bal]]))</f>
        <v>1</v>
      </c>
      <c r="J674" s="9">
        <f>IF(Jnl[[#This Row],[BSLv0]]="A",1,-1)*Jnl[[#This Row],[Bal]]</f>
        <v>-49.32</v>
      </c>
      <c r="K674" t="str">
        <f>_xlfn.XLOOKUP(Jnl[[#This Row],[Acct]], config_BS[Acct], config_BS[Lv0],,0)</f>
        <v>A</v>
      </c>
      <c r="L674" t="str">
        <f>_xlfn.XLOOKUP(Jnl[[#This Row],[Acct]], config_BS[Acct], config_BS[Lv1],,0)</f>
        <v>Assets</v>
      </c>
      <c r="M674" t="str">
        <f>_xlfn.XLOOKUP(Jnl[[#This Row],[Acct]], config_BS[Acct], config_BS[Lv2],,0)</f>
        <v>Cash alike</v>
      </c>
      <c r="N674" t="str">
        <f>_xlfn.XLOOKUP(Jnl[[#This Row],[TrxId]], Trx[Id], Trx[IncNode], ,0)</f>
        <v>Expense</v>
      </c>
      <c r="O674" t="str">
        <f>_xlfn.XLOOKUP(Jnl[[#This Row],[IncNode]], config_IS[Node], config_IS[Type],,0)</f>
        <v>Op</v>
      </c>
      <c r="P674" t="str">
        <f>_xlfn.XLOOKUP(Jnl[[#This Row],[BSLv2]], dict[Key], dict[Name],,0)</f>
        <v>0.现金及类似</v>
      </c>
      <c r="Q674" t="str">
        <f>_xlfn.XLOOKUP(Jnl[[#This Row],[Acct]], dict[Key], dict[Name],,0)</f>
        <v>银行</v>
      </c>
      <c r="R674" t="str">
        <f>_xlfn.XLOOKUP(Jnl[[#This Row],[Vehicle]],config_vehicle[Id], config_vehicle[Name],,0)</f>
        <v>远家花园</v>
      </c>
      <c r="S674" t="str">
        <f>_xlfn.XLOOKUP(Jnl[[#This Row],[Division]],config_div[Id], config_div[Name],,0)</f>
        <v>综合管理</v>
      </c>
      <c r="T674" t="str">
        <f>IF(Jnl[[#This Row],[TrxDate]]&lt;=stmt_BS_date_end, "In", "Out")</f>
        <v>In</v>
      </c>
      <c r="U674" t="str">
        <f>IF(Jnl[[#This Row],[TrxDate]]&lt;debug_date_start, "prior", IF(Jnl[[#This Row],[TrxDate]]&gt;debug_date_end, "post", "curr"))</f>
        <v>curr</v>
      </c>
    </row>
    <row r="675" spans="1:21" hidden="1">
      <c r="A675" s="39" t="s">
        <v>837</v>
      </c>
      <c r="B675" s="6">
        <f>_xlfn.XLOOKUP(Jnl[[#This Row],[TrxId]], Trx[Id], Trx[Date],,0)</f>
        <v>46053</v>
      </c>
      <c r="C675" s="6" t="str">
        <f>_xlfn.XLOOKUP(Jnl[[#This Row],[TrxId]], Trx[Id], Trx[Division],,0)</f>
        <v>Ctrl</v>
      </c>
      <c r="D675" s="6" t="str">
        <f>_xlfn.XLOOKUP(Jnl[[#This Row],[TrxId]], Trx[Id], Trx[Action],,0)</f>
        <v>计提税金</v>
      </c>
      <c r="E675" s="27" t="s">
        <v>82</v>
      </c>
      <c r="F675" s="10" t="s">
        <v>130</v>
      </c>
      <c r="G675" s="10" t="s">
        <v>622</v>
      </c>
      <c r="H675" s="37">
        <v>915.28</v>
      </c>
      <c r="I675" s="38" t="b">
        <f>AND(Jnl[[#This Row],[TrxId]]&lt;&gt;"",Jnl[[#This Row],[Acct]]&lt;&gt;"",Jnl[[#This Row],[Item]]&lt;&gt;"",ISNUMBER(Jnl[[#This Row],[Bal]]))</f>
        <v>1</v>
      </c>
      <c r="J675" s="9">
        <f>IF(Jnl[[#This Row],[BSLv0]]="A",1,-1)*Jnl[[#This Row],[Bal]]</f>
        <v>-915.28</v>
      </c>
      <c r="K675" t="str">
        <f>_xlfn.XLOOKUP(Jnl[[#This Row],[Acct]], config_BS[Acct], config_BS[Lv0],,0)</f>
        <v>LC</v>
      </c>
      <c r="L675" t="str">
        <f>_xlfn.XLOOKUP(Jnl[[#This Row],[Acct]], config_BS[Acct], config_BS[Lv1],,0)</f>
        <v>Liability</v>
      </c>
      <c r="M675" t="str">
        <f>_xlfn.XLOOKUP(Jnl[[#This Row],[Acct]], config_BS[Acct], config_BS[Lv2],,0)</f>
        <v>Rec-Pay</v>
      </c>
      <c r="N675" t="str">
        <f>_xlfn.XLOOKUP(Jnl[[#This Row],[TrxId]], Trx[Id], Trx[IncNode], ,0)</f>
        <v>Expense</v>
      </c>
      <c r="O675" t="str">
        <f>_xlfn.XLOOKUP(Jnl[[#This Row],[IncNode]], config_IS[Node], config_IS[Type],,0)</f>
        <v>Op</v>
      </c>
      <c r="P675" t="str">
        <f>_xlfn.XLOOKUP(Jnl[[#This Row],[BSLv2]], dict[Key], dict[Name],,0)</f>
        <v>1.应收-应付</v>
      </c>
      <c r="Q675" t="str">
        <f>_xlfn.XLOOKUP(Jnl[[#This Row],[Acct]], dict[Key], dict[Name],,0)</f>
        <v>应付-税款</v>
      </c>
      <c r="R675" t="str">
        <f>_xlfn.XLOOKUP(Jnl[[#This Row],[Vehicle]],config_vehicle[Id], config_vehicle[Name],,0)</f>
        <v>远家花园</v>
      </c>
      <c r="S675" t="str">
        <f>_xlfn.XLOOKUP(Jnl[[#This Row],[Division]],config_div[Id], config_div[Name],,0)</f>
        <v>内控合规</v>
      </c>
      <c r="T675" t="str">
        <f>IF(Jnl[[#This Row],[TrxDate]]&lt;=stmt_BS_date_end, "In", "Out")</f>
        <v>In</v>
      </c>
      <c r="U675" t="str">
        <f>IF(Jnl[[#This Row],[TrxDate]]&lt;debug_date_start, "prior", IF(Jnl[[#This Row],[TrxDate]]&gt;debug_date_end, "post", "curr"))</f>
        <v>curr</v>
      </c>
    </row>
    <row r="676" spans="1:21" hidden="1">
      <c r="A676" s="39" t="s">
        <v>837</v>
      </c>
      <c r="B676" s="6">
        <f>_xlfn.XLOOKUP(Jnl[[#This Row],[TrxId]], Trx[Id], Trx[Date],,0)</f>
        <v>46053</v>
      </c>
      <c r="C676" s="6" t="str">
        <f>_xlfn.XLOOKUP(Jnl[[#This Row],[TrxId]], Trx[Id], Trx[Division],,0)</f>
        <v>Ctrl</v>
      </c>
      <c r="D676" s="6" t="str">
        <f>_xlfn.XLOOKUP(Jnl[[#This Row],[TrxId]], Trx[Id], Trx[Action],,0)</f>
        <v>计提税金</v>
      </c>
      <c r="E676" s="27" t="s">
        <v>82</v>
      </c>
      <c r="F676" s="10" t="s">
        <v>130</v>
      </c>
      <c r="G676" s="10" t="s">
        <v>353</v>
      </c>
      <c r="H676" s="37">
        <v>17370.7</v>
      </c>
      <c r="I676" s="38" t="b">
        <f>AND(Jnl[[#This Row],[TrxId]]&lt;&gt;"",Jnl[[#This Row],[Acct]]&lt;&gt;"",Jnl[[#This Row],[Item]]&lt;&gt;"",ISNUMBER(Jnl[[#This Row],[Bal]]))</f>
        <v>1</v>
      </c>
      <c r="J676" s="9">
        <f>IF(Jnl[[#This Row],[BSLv0]]="A",1,-1)*Jnl[[#This Row],[Bal]]</f>
        <v>-17370.7</v>
      </c>
      <c r="K676" t="str">
        <f>_xlfn.XLOOKUP(Jnl[[#This Row],[Acct]], config_BS[Acct], config_BS[Lv0],,0)</f>
        <v>LC</v>
      </c>
      <c r="L676" t="str">
        <f>_xlfn.XLOOKUP(Jnl[[#This Row],[Acct]], config_BS[Acct], config_BS[Lv1],,0)</f>
        <v>Liability</v>
      </c>
      <c r="M676" t="str">
        <f>_xlfn.XLOOKUP(Jnl[[#This Row],[Acct]], config_BS[Acct], config_BS[Lv2],,0)</f>
        <v>Rec-Pay</v>
      </c>
      <c r="N676" t="str">
        <f>_xlfn.XLOOKUP(Jnl[[#This Row],[TrxId]], Trx[Id], Trx[IncNode], ,0)</f>
        <v>Expense</v>
      </c>
      <c r="O676" t="str">
        <f>_xlfn.XLOOKUP(Jnl[[#This Row],[IncNode]], config_IS[Node], config_IS[Type],,0)</f>
        <v>Op</v>
      </c>
      <c r="P676" t="str">
        <f>_xlfn.XLOOKUP(Jnl[[#This Row],[BSLv2]], dict[Key], dict[Name],,0)</f>
        <v>1.应收-应付</v>
      </c>
      <c r="Q676" t="str">
        <f>_xlfn.XLOOKUP(Jnl[[#This Row],[Acct]], dict[Key], dict[Name],,0)</f>
        <v>应付-税款</v>
      </c>
      <c r="R676" t="str">
        <f>_xlfn.XLOOKUP(Jnl[[#This Row],[Vehicle]],config_vehicle[Id], config_vehicle[Name],,0)</f>
        <v>远家花园</v>
      </c>
      <c r="S676" t="str">
        <f>_xlfn.XLOOKUP(Jnl[[#This Row],[Division]],config_div[Id], config_div[Name],,0)</f>
        <v>内控合规</v>
      </c>
      <c r="T676" t="str">
        <f>IF(Jnl[[#This Row],[TrxDate]]&lt;=stmt_BS_date_end, "In", "Out")</f>
        <v>In</v>
      </c>
      <c r="U676" t="str">
        <f>IF(Jnl[[#This Row],[TrxDate]]&lt;debug_date_start, "prior", IF(Jnl[[#This Row],[TrxDate]]&gt;debug_date_end, "post", "curr"))</f>
        <v>curr</v>
      </c>
    </row>
    <row r="677" spans="1:21" hidden="1">
      <c r="A677" s="39" t="s">
        <v>837</v>
      </c>
      <c r="B677" s="6">
        <f>_xlfn.XLOOKUP(Jnl[[#This Row],[TrxId]], Trx[Id], Trx[Date],,0)</f>
        <v>46053</v>
      </c>
      <c r="C677" s="6" t="str">
        <f>_xlfn.XLOOKUP(Jnl[[#This Row],[TrxId]], Trx[Id], Trx[Division],,0)</f>
        <v>Ctrl</v>
      </c>
      <c r="D677" s="6" t="str">
        <f>_xlfn.XLOOKUP(Jnl[[#This Row],[TrxId]], Trx[Id], Trx[Action],,0)</f>
        <v>计提税金</v>
      </c>
      <c r="E677" s="27" t="s">
        <v>82</v>
      </c>
      <c r="F677" s="10" t="s">
        <v>130</v>
      </c>
      <c r="G677" s="10" t="s">
        <v>354</v>
      </c>
      <c r="H677" s="37">
        <v>343.28</v>
      </c>
      <c r="I677" s="38" t="b">
        <f>AND(Jnl[[#This Row],[TrxId]]&lt;&gt;"",Jnl[[#This Row],[Acct]]&lt;&gt;"",Jnl[[#This Row],[Item]]&lt;&gt;"",ISNUMBER(Jnl[[#This Row],[Bal]]))</f>
        <v>1</v>
      </c>
      <c r="J677" s="9">
        <f>IF(Jnl[[#This Row],[BSLv0]]="A",1,-1)*Jnl[[#This Row],[Bal]]</f>
        <v>-343.28</v>
      </c>
      <c r="K677" t="str">
        <f>_xlfn.XLOOKUP(Jnl[[#This Row],[Acct]], config_BS[Acct], config_BS[Lv0],,0)</f>
        <v>LC</v>
      </c>
      <c r="L677" t="str">
        <f>_xlfn.XLOOKUP(Jnl[[#This Row],[Acct]], config_BS[Acct], config_BS[Lv1],,0)</f>
        <v>Liability</v>
      </c>
      <c r="M677" t="str">
        <f>_xlfn.XLOOKUP(Jnl[[#This Row],[Acct]], config_BS[Acct], config_BS[Lv2],,0)</f>
        <v>Rec-Pay</v>
      </c>
      <c r="N677" t="str">
        <f>_xlfn.XLOOKUP(Jnl[[#This Row],[TrxId]], Trx[Id], Trx[IncNode], ,0)</f>
        <v>Expense</v>
      </c>
      <c r="O677" t="str">
        <f>_xlfn.XLOOKUP(Jnl[[#This Row],[IncNode]], config_IS[Node], config_IS[Type],,0)</f>
        <v>Op</v>
      </c>
      <c r="P677" t="str">
        <f>_xlfn.XLOOKUP(Jnl[[#This Row],[BSLv2]], dict[Key], dict[Name],,0)</f>
        <v>1.应收-应付</v>
      </c>
      <c r="Q677" t="str">
        <f>_xlfn.XLOOKUP(Jnl[[#This Row],[Acct]], dict[Key], dict[Name],,0)</f>
        <v>应付-税款</v>
      </c>
      <c r="R677" t="str">
        <f>_xlfn.XLOOKUP(Jnl[[#This Row],[Vehicle]],config_vehicle[Id], config_vehicle[Name],,0)</f>
        <v>远家花园</v>
      </c>
      <c r="S677" t="str">
        <f>_xlfn.XLOOKUP(Jnl[[#This Row],[Division]],config_div[Id], config_div[Name],,0)</f>
        <v>内控合规</v>
      </c>
      <c r="T677" t="str">
        <f>IF(Jnl[[#This Row],[TrxDate]]&lt;=stmt_BS_date_end, "In", "Out")</f>
        <v>In</v>
      </c>
      <c r="U677" t="str">
        <f>IF(Jnl[[#This Row],[TrxDate]]&lt;debug_date_start, "prior", IF(Jnl[[#This Row],[TrxDate]]&gt;debug_date_end, "post", "curr"))</f>
        <v>curr</v>
      </c>
    </row>
    <row r="678" spans="1:21" hidden="1">
      <c r="A678" s="39" t="s">
        <v>838</v>
      </c>
      <c r="B678" s="6">
        <f>_xlfn.XLOOKUP(Jnl[[#This Row],[TrxId]], Trx[Id], Trx[Date],,0)</f>
        <v>46053</v>
      </c>
      <c r="C678" s="6" t="str">
        <f>_xlfn.XLOOKUP(Jnl[[#This Row],[TrxId]], Trx[Id], Trx[Division],,0)</f>
        <v>Online</v>
      </c>
      <c r="D678" s="6" t="str">
        <f>_xlfn.XLOOKUP(Jnl[[#This Row],[TrxId]], Trx[Id], Trx[Action],,0)</f>
        <v>计件</v>
      </c>
      <c r="E678" s="27" t="s">
        <v>82</v>
      </c>
      <c r="F678" s="10" t="s">
        <v>604</v>
      </c>
      <c r="G678" s="10" t="s">
        <v>154</v>
      </c>
      <c r="H678" s="37">
        <v>70845.600000000006</v>
      </c>
      <c r="I678" s="38" t="b">
        <f>AND(Jnl[[#This Row],[TrxId]]&lt;&gt;"",Jnl[[#This Row],[Acct]]&lt;&gt;"",Jnl[[#This Row],[Item]]&lt;&gt;"",ISNUMBER(Jnl[[#This Row],[Bal]]))</f>
        <v>1</v>
      </c>
      <c r="J678" s="9">
        <f>IF(Jnl[[#This Row],[BSLv0]]="A",1,-1)*Jnl[[#This Row],[Bal]]</f>
        <v>70845.600000000006</v>
      </c>
      <c r="K678" t="str">
        <f>_xlfn.XLOOKUP(Jnl[[#This Row],[Acct]], config_BS[Acct], config_BS[Lv0],,0)</f>
        <v>A</v>
      </c>
      <c r="L678" t="str">
        <f>_xlfn.XLOOKUP(Jnl[[#This Row],[Acct]], config_BS[Acct], config_BS[Lv1],,0)</f>
        <v>Assets</v>
      </c>
      <c r="M678" t="str">
        <f>_xlfn.XLOOKUP(Jnl[[#This Row],[Acct]], config_BS[Acct], config_BS[Lv2],,0)</f>
        <v>Invtr</v>
      </c>
      <c r="N678" t="str">
        <f>_xlfn.XLOOKUP(Jnl[[#This Row],[TrxId]], Trx[Id], Trx[IncNode], ,0)</f>
        <v>Cost</v>
      </c>
      <c r="O678" t="str">
        <f>_xlfn.XLOOKUP(Jnl[[#This Row],[IncNode]], config_IS[Node], config_IS[Type],,0)</f>
        <v>Op</v>
      </c>
      <c r="P678" t="str">
        <f>_xlfn.XLOOKUP(Jnl[[#This Row],[BSLv2]], dict[Key], dict[Name],,0)</f>
        <v>3.库存占款</v>
      </c>
      <c r="Q678" t="str">
        <f>_xlfn.XLOOKUP(Jnl[[#This Row],[Acct]], dict[Key], dict[Name],,0)</f>
        <v>当期存货</v>
      </c>
      <c r="R678" t="str">
        <f>_xlfn.XLOOKUP(Jnl[[#This Row],[Vehicle]],config_vehicle[Id], config_vehicle[Name],,0)</f>
        <v>远家花园</v>
      </c>
      <c r="S678" t="str">
        <f>_xlfn.XLOOKUP(Jnl[[#This Row],[Division]],config_div[Id], config_div[Name],,0)</f>
        <v>网店</v>
      </c>
      <c r="T678" t="str">
        <f>IF(Jnl[[#This Row],[TrxDate]]&lt;=stmt_BS_date_end, "In", "Out")</f>
        <v>In</v>
      </c>
      <c r="U678" t="str">
        <f>IF(Jnl[[#This Row],[TrxDate]]&lt;debug_date_start, "prior", IF(Jnl[[#This Row],[TrxDate]]&gt;debug_date_end, "post", "curr"))</f>
        <v>curr</v>
      </c>
    </row>
    <row r="679" spans="1:21" hidden="1">
      <c r="A679" s="39" t="s">
        <v>838</v>
      </c>
      <c r="B679" s="6">
        <f>_xlfn.XLOOKUP(Jnl[[#This Row],[TrxId]], Trx[Id], Trx[Date],,0)</f>
        <v>46053</v>
      </c>
      <c r="C679" s="6" t="str">
        <f>_xlfn.XLOOKUP(Jnl[[#This Row],[TrxId]], Trx[Id], Trx[Division],,0)</f>
        <v>Online</v>
      </c>
      <c r="D679" s="6" t="str">
        <f>_xlfn.XLOOKUP(Jnl[[#This Row],[TrxId]], Trx[Id], Trx[Action],,0)</f>
        <v>计件</v>
      </c>
      <c r="E679" s="27" t="s">
        <v>82</v>
      </c>
      <c r="F679" s="10" t="s">
        <v>602</v>
      </c>
      <c r="G679" s="10" t="s">
        <v>152</v>
      </c>
      <c r="H679" s="37">
        <v>70845.600000000006</v>
      </c>
      <c r="I679" s="38" t="b">
        <f>AND(Jnl[[#This Row],[TrxId]]&lt;&gt;"",Jnl[[#This Row],[Acct]]&lt;&gt;"",Jnl[[#This Row],[Item]]&lt;&gt;"",ISNUMBER(Jnl[[#This Row],[Bal]]))</f>
        <v>1</v>
      </c>
      <c r="J679" s="94">
        <f>IF(Jnl[[#This Row],[BSLv0]]="A",1,-1)*Jnl[[#This Row],[Bal]]</f>
        <v>-70845.600000000006</v>
      </c>
      <c r="K679" t="str">
        <f>_xlfn.XLOOKUP(Jnl[[#This Row],[Acct]], config_BS[Acct], config_BS[Lv0],,0)</f>
        <v>LC</v>
      </c>
      <c r="L679" t="str">
        <f>_xlfn.XLOOKUP(Jnl[[#This Row],[Acct]], config_BS[Acct], config_BS[Lv1],,0)</f>
        <v>Liability</v>
      </c>
      <c r="M679" t="str">
        <f>_xlfn.XLOOKUP(Jnl[[#This Row],[Acct]], config_BS[Acct], config_BS[Lv2],,0)</f>
        <v>Rec-Pay</v>
      </c>
      <c r="N679" t="str">
        <f>_xlfn.XLOOKUP(Jnl[[#This Row],[TrxId]], Trx[Id], Trx[IncNode], ,0)</f>
        <v>Cost</v>
      </c>
      <c r="O679" t="str">
        <f>_xlfn.XLOOKUP(Jnl[[#This Row],[IncNode]], config_IS[Node], config_IS[Type],,0)</f>
        <v>Op</v>
      </c>
      <c r="P679" s="95" t="str">
        <f>_xlfn.XLOOKUP(Jnl[[#This Row],[BSLv2]], dict[Key], dict[Name],,0)</f>
        <v>1.应收-应付</v>
      </c>
      <c r="Q679" s="95" t="str">
        <f>_xlfn.XLOOKUP(Jnl[[#This Row],[Acct]], dict[Key], dict[Name],,0)</f>
        <v>应付-薪资</v>
      </c>
      <c r="R679" s="95" t="str">
        <f>_xlfn.XLOOKUP(Jnl[[#This Row],[Vehicle]],config_vehicle[Id], config_vehicle[Name],,0)</f>
        <v>远家花园</v>
      </c>
      <c r="S679" s="95" t="str">
        <f>_xlfn.XLOOKUP(Jnl[[#This Row],[Division]],config_div[Id], config_div[Name],,0)</f>
        <v>网店</v>
      </c>
      <c r="T679" s="95" t="str">
        <f>IF(Jnl[[#This Row],[TrxDate]]&lt;=stmt_BS_date_end, "In", "Out")</f>
        <v>In</v>
      </c>
      <c r="U679" s="95" t="str">
        <f>IF(Jnl[[#This Row],[TrxDate]]&lt;debug_date_start, "prior", IF(Jnl[[#This Row],[TrxDate]]&gt;debug_date_end, "post", "curr"))</f>
        <v>curr</v>
      </c>
    </row>
    <row r="680" spans="1:21" hidden="1">
      <c r="A680" s="39" t="s">
        <v>839</v>
      </c>
      <c r="B680" s="6">
        <f>_xlfn.XLOOKUP(Jnl[[#This Row],[TrxId]], Trx[Id], Trx[Date],,0)</f>
        <v>46053</v>
      </c>
      <c r="C680" s="6" t="str">
        <f>_xlfn.XLOOKUP(Jnl[[#This Row],[TrxId]], Trx[Id], Trx[Division],,0)</f>
        <v>GM</v>
      </c>
      <c r="D680" s="6" t="str">
        <f>_xlfn.XLOOKUP(Jnl[[#This Row],[TrxId]], Trx[Id], Trx[Action],,0)</f>
        <v>薪酬-工资</v>
      </c>
      <c r="E680" s="27" t="s">
        <v>82</v>
      </c>
      <c r="F680" s="10" t="s">
        <v>602</v>
      </c>
      <c r="G680" s="10" t="s">
        <v>152</v>
      </c>
      <c r="H680" s="37">
        <v>230125.26</v>
      </c>
      <c r="I680" s="38" t="b">
        <f>AND(Jnl[[#This Row],[TrxId]]&lt;&gt;"",Jnl[[#This Row],[Acct]]&lt;&gt;"",Jnl[[#This Row],[Item]]&lt;&gt;"",ISNUMBER(Jnl[[#This Row],[Bal]]))</f>
        <v>1</v>
      </c>
      <c r="J680" s="9">
        <f>IF(Jnl[[#This Row],[BSLv0]]="A",1,-1)*Jnl[[#This Row],[Bal]]</f>
        <v>-230125.26</v>
      </c>
      <c r="K680" t="str">
        <f>_xlfn.XLOOKUP(Jnl[[#This Row],[Acct]], config_BS[Acct], config_BS[Lv0],,0)</f>
        <v>LC</v>
      </c>
      <c r="L680" t="str">
        <f>_xlfn.XLOOKUP(Jnl[[#This Row],[Acct]], config_BS[Acct], config_BS[Lv1],,0)</f>
        <v>Liability</v>
      </c>
      <c r="M680" t="str">
        <f>_xlfn.XLOOKUP(Jnl[[#This Row],[Acct]], config_BS[Acct], config_BS[Lv2],,0)</f>
        <v>Rec-Pay</v>
      </c>
      <c r="N680" t="str">
        <f>_xlfn.XLOOKUP(Jnl[[#This Row],[TrxId]], Trx[Id], Trx[IncNode], ,0)</f>
        <v>Expense</v>
      </c>
      <c r="O680" t="str">
        <f>_xlfn.XLOOKUP(Jnl[[#This Row],[IncNode]], config_IS[Node], config_IS[Type],,0)</f>
        <v>Op</v>
      </c>
      <c r="P680" t="str">
        <f>_xlfn.XLOOKUP(Jnl[[#This Row],[BSLv2]], dict[Key], dict[Name],,0)</f>
        <v>1.应收-应付</v>
      </c>
      <c r="Q680" t="str">
        <f>_xlfn.XLOOKUP(Jnl[[#This Row],[Acct]], dict[Key], dict[Name],,0)</f>
        <v>应付-薪资</v>
      </c>
      <c r="R680" t="str">
        <f>_xlfn.XLOOKUP(Jnl[[#This Row],[Vehicle]],config_vehicle[Id], config_vehicle[Name],,0)</f>
        <v>远家花园</v>
      </c>
      <c r="S680" t="str">
        <f>_xlfn.XLOOKUP(Jnl[[#This Row],[Division]],config_div[Id], config_div[Name],,0)</f>
        <v>综合管理</v>
      </c>
      <c r="T680" t="str">
        <f>IF(Jnl[[#This Row],[TrxDate]]&lt;=stmt_BS_date_end, "In", "Out")</f>
        <v>In</v>
      </c>
      <c r="U680" t="str">
        <f>IF(Jnl[[#This Row],[TrxDate]]&lt;debug_date_start, "prior", IF(Jnl[[#This Row],[TrxDate]]&gt;debug_date_end, "post", "curr"))</f>
        <v>curr</v>
      </c>
    </row>
    <row r="681" spans="1:21" hidden="1">
      <c r="A681" t="s">
        <v>1355</v>
      </c>
      <c r="B681" s="6">
        <f>_xlfn.XLOOKUP(Jnl[[#This Row],[TrxId]], Trx[Id], Trx[Date],,0)</f>
        <v>46053</v>
      </c>
      <c r="C681" s="6" t="str">
        <f>_xlfn.XLOOKUP(Jnl[[#This Row],[TrxId]], Trx[Id], Trx[Division],,0)</f>
        <v>Online</v>
      </c>
      <c r="D681" s="6" t="str">
        <f>_xlfn.XLOOKUP(Jnl[[#This Row],[TrxId]], Trx[Id], Trx[Action],,0)</f>
        <v>薪酬-工资</v>
      </c>
      <c r="E681" s="27" t="s">
        <v>82</v>
      </c>
      <c r="F681" s="10" t="s">
        <v>602</v>
      </c>
      <c r="G681" s="10" t="s">
        <v>152</v>
      </c>
      <c r="H681" s="93">
        <v>120767.17</v>
      </c>
      <c r="I681" s="38" t="b">
        <f>AND(Jnl[[#This Row],[TrxId]]&lt;&gt;"",Jnl[[#This Row],[Acct]]&lt;&gt;"",Jnl[[#This Row],[Item]]&lt;&gt;"",ISNUMBER(Jnl[[#This Row],[Bal]]))</f>
        <v>1</v>
      </c>
      <c r="J681" s="94">
        <f>IF(Jnl[[#This Row],[BSLv0]]="A",1,-1)*Jnl[[#This Row],[Bal]]</f>
        <v>-120767.17</v>
      </c>
      <c r="K681" t="str">
        <f>_xlfn.XLOOKUP(Jnl[[#This Row],[Acct]], config_BS[Acct], config_BS[Lv0],,0)</f>
        <v>LC</v>
      </c>
      <c r="L681" t="str">
        <f>_xlfn.XLOOKUP(Jnl[[#This Row],[Acct]], config_BS[Acct], config_BS[Lv1],,0)</f>
        <v>Liability</v>
      </c>
      <c r="M681" t="str">
        <f>_xlfn.XLOOKUP(Jnl[[#This Row],[Acct]], config_BS[Acct], config_BS[Lv2],,0)</f>
        <v>Rec-Pay</v>
      </c>
      <c r="N681" t="str">
        <f>_xlfn.XLOOKUP(Jnl[[#This Row],[TrxId]], Trx[Id], Trx[IncNode], ,0)</f>
        <v>Expense</v>
      </c>
      <c r="O681" t="str">
        <f>_xlfn.XLOOKUP(Jnl[[#This Row],[IncNode]], config_IS[Node], config_IS[Type],,0)</f>
        <v>Op</v>
      </c>
      <c r="P681" s="95" t="str">
        <f>_xlfn.XLOOKUP(Jnl[[#This Row],[BSLv2]], dict[Key], dict[Name],,0)</f>
        <v>1.应收-应付</v>
      </c>
      <c r="Q681" s="95" t="str">
        <f>_xlfn.XLOOKUP(Jnl[[#This Row],[Acct]], dict[Key], dict[Name],,0)</f>
        <v>应付-薪资</v>
      </c>
      <c r="R681" s="95" t="str">
        <f>_xlfn.XLOOKUP(Jnl[[#This Row],[Vehicle]],config_vehicle[Id], config_vehicle[Name],,0)</f>
        <v>远家花园</v>
      </c>
      <c r="S681" s="95" t="str">
        <f>_xlfn.XLOOKUP(Jnl[[#This Row],[Division]],config_div[Id], config_div[Name],,0)</f>
        <v>网店</v>
      </c>
      <c r="T681" s="95" t="str">
        <f>IF(Jnl[[#This Row],[TrxDate]]&lt;=stmt_BS_date_end, "In", "Out")</f>
        <v>In</v>
      </c>
      <c r="U681" s="95" t="str">
        <f>IF(Jnl[[#This Row],[TrxDate]]&lt;debug_date_start, "prior", IF(Jnl[[#This Row],[TrxDate]]&gt;debug_date_end, "post", "curr"))</f>
        <v>curr</v>
      </c>
    </row>
    <row r="682" spans="1:21" hidden="1">
      <c r="A682" s="39" t="s">
        <v>840</v>
      </c>
      <c r="B682" s="6">
        <f>_xlfn.XLOOKUP(Jnl[[#This Row],[TrxId]], Trx[Id], Trx[Date],,0)</f>
        <v>46053</v>
      </c>
      <c r="C682" s="6" t="str">
        <f>_xlfn.XLOOKUP(Jnl[[#This Row],[TrxId]], Trx[Id], Trx[Division],,0)</f>
        <v>Online</v>
      </c>
      <c r="D682" s="6" t="str">
        <f>_xlfn.XLOOKUP(Jnl[[#This Row],[TrxId]], Trx[Id], Trx[Action],,0)</f>
        <v>服饰</v>
      </c>
      <c r="E682" s="27" t="s">
        <v>82</v>
      </c>
      <c r="F682" s="10" t="s">
        <v>599</v>
      </c>
      <c r="G682" s="10" t="s">
        <v>600</v>
      </c>
      <c r="H682" s="37">
        <v>3312043.65</v>
      </c>
      <c r="I682" s="38" t="b">
        <f>AND(Jnl[[#This Row],[TrxId]]&lt;&gt;"",Jnl[[#This Row],[Acct]]&lt;&gt;"",Jnl[[#This Row],[Item]]&lt;&gt;"",ISNUMBER(Jnl[[#This Row],[Bal]]))</f>
        <v>1</v>
      </c>
      <c r="J682" s="9">
        <f>IF(Jnl[[#This Row],[BSLv0]]="A",1,-1)*Jnl[[#This Row],[Bal]]</f>
        <v>3312043.65</v>
      </c>
      <c r="K682" t="str">
        <f>_xlfn.XLOOKUP(Jnl[[#This Row],[Acct]], config_BS[Acct], config_BS[Lv0],,0)</f>
        <v>A</v>
      </c>
      <c r="L682" t="str">
        <f>_xlfn.XLOOKUP(Jnl[[#This Row],[Acct]], config_BS[Acct], config_BS[Lv1],,0)</f>
        <v>Assets</v>
      </c>
      <c r="M682" t="str">
        <f>_xlfn.XLOOKUP(Jnl[[#This Row],[Acct]], config_BS[Acct], config_BS[Lv2],,0)</f>
        <v>Rec-Pay</v>
      </c>
      <c r="N682" t="str">
        <f>_xlfn.XLOOKUP(Jnl[[#This Row],[TrxId]], Trx[Id], Trx[IncNode], ,0)</f>
        <v>Revenue</v>
      </c>
      <c r="O682" t="str">
        <f>_xlfn.XLOOKUP(Jnl[[#This Row],[IncNode]], config_IS[Node], config_IS[Type],,0)</f>
        <v>Op</v>
      </c>
      <c r="P682" t="str">
        <f>_xlfn.XLOOKUP(Jnl[[#This Row],[BSLv2]], dict[Key], dict[Name],,0)</f>
        <v>1.应收-应付</v>
      </c>
      <c r="Q682" t="str">
        <f>_xlfn.XLOOKUP(Jnl[[#This Row],[Acct]], dict[Key], dict[Name],,0)</f>
        <v>应收-一般</v>
      </c>
      <c r="R682" t="str">
        <f>_xlfn.XLOOKUP(Jnl[[#This Row],[Vehicle]],config_vehicle[Id], config_vehicle[Name],,0)</f>
        <v>远家花园</v>
      </c>
      <c r="S682" t="str">
        <f>_xlfn.XLOOKUP(Jnl[[#This Row],[Division]],config_div[Id], config_div[Name],,0)</f>
        <v>网店</v>
      </c>
      <c r="T682" t="str">
        <f>IF(Jnl[[#This Row],[TrxDate]]&lt;=stmt_BS_date_end, "In", "Out")</f>
        <v>In</v>
      </c>
      <c r="U682" t="str">
        <f>IF(Jnl[[#This Row],[TrxDate]]&lt;debug_date_start, "prior", IF(Jnl[[#This Row],[TrxDate]]&gt;debug_date_end, "post", "curr"))</f>
        <v>curr</v>
      </c>
    </row>
    <row r="683" spans="1:21" hidden="1">
      <c r="A683" s="39" t="s">
        <v>841</v>
      </c>
      <c r="B683" s="6">
        <f>_xlfn.XLOOKUP(Jnl[[#This Row],[TrxId]], Trx[Id], Trx[Date],,0)</f>
        <v>46053</v>
      </c>
      <c r="C683" s="6" t="str">
        <f>_xlfn.XLOOKUP(Jnl[[#This Row],[TrxId]], Trx[Id], Trx[Division],,0)</f>
        <v>Online</v>
      </c>
      <c r="D683" s="6" t="str">
        <f>_xlfn.XLOOKUP(Jnl[[#This Row],[TrxId]], Trx[Id], Trx[Action],,0)</f>
        <v>增值税</v>
      </c>
      <c r="E683" s="27" t="s">
        <v>82</v>
      </c>
      <c r="F683" s="10" t="s">
        <v>130</v>
      </c>
      <c r="G683" s="10" t="s">
        <v>312</v>
      </c>
      <c r="H683" s="37">
        <v>422122.49</v>
      </c>
      <c r="I683" s="38" t="b">
        <f>AND(Jnl[[#This Row],[TrxId]]&lt;&gt;"",Jnl[[#This Row],[Acct]]&lt;&gt;"",Jnl[[#This Row],[Item]]&lt;&gt;"",ISNUMBER(Jnl[[#This Row],[Bal]]))</f>
        <v>1</v>
      </c>
      <c r="J683" s="9">
        <f>IF(Jnl[[#This Row],[BSLv0]]="A",1,-1)*Jnl[[#This Row],[Bal]]</f>
        <v>-422122.49</v>
      </c>
      <c r="K683" t="str">
        <f>_xlfn.XLOOKUP(Jnl[[#This Row],[Acct]], config_BS[Acct], config_BS[Lv0],,0)</f>
        <v>LC</v>
      </c>
      <c r="L683" t="str">
        <f>_xlfn.XLOOKUP(Jnl[[#This Row],[Acct]], config_BS[Acct], config_BS[Lv1],,0)</f>
        <v>Liability</v>
      </c>
      <c r="M683" t="str">
        <f>_xlfn.XLOOKUP(Jnl[[#This Row],[Acct]], config_BS[Acct], config_BS[Lv2],,0)</f>
        <v>Rec-Pay</v>
      </c>
      <c r="N683" t="str">
        <f>_xlfn.XLOOKUP(Jnl[[#This Row],[TrxId]], Trx[Id], Trx[IncNode], ,0)</f>
        <v>Cost</v>
      </c>
      <c r="O683" t="str">
        <f>_xlfn.XLOOKUP(Jnl[[#This Row],[IncNode]], config_IS[Node], config_IS[Type],,0)</f>
        <v>Op</v>
      </c>
      <c r="P683" t="str">
        <f>_xlfn.XLOOKUP(Jnl[[#This Row],[BSLv2]], dict[Key], dict[Name],,0)</f>
        <v>1.应收-应付</v>
      </c>
      <c r="Q683" t="str">
        <f>_xlfn.XLOOKUP(Jnl[[#This Row],[Acct]], dict[Key], dict[Name],,0)</f>
        <v>应付-税款</v>
      </c>
      <c r="R683" t="str">
        <f>_xlfn.XLOOKUP(Jnl[[#This Row],[Vehicle]],config_vehicle[Id], config_vehicle[Name],,0)</f>
        <v>远家花园</v>
      </c>
      <c r="S683" t="str">
        <f>_xlfn.XLOOKUP(Jnl[[#This Row],[Division]],config_div[Id], config_div[Name],,0)</f>
        <v>网店</v>
      </c>
      <c r="T683" t="str">
        <f>IF(Jnl[[#This Row],[TrxDate]]&lt;=stmt_BS_date_end, "In", "Out")</f>
        <v>In</v>
      </c>
      <c r="U683" t="str">
        <f>IF(Jnl[[#This Row],[TrxDate]]&lt;debug_date_start, "prior", IF(Jnl[[#This Row],[TrxDate]]&gt;debug_date_end, "post", "curr"))</f>
        <v>curr</v>
      </c>
    </row>
    <row r="684" spans="1:21" hidden="1">
      <c r="A684" s="39" t="s">
        <v>842</v>
      </c>
      <c r="B684" s="6">
        <f>_xlfn.XLOOKUP(Jnl[[#This Row],[TrxId]], Trx[Id], Trx[Date],,0)</f>
        <v>46053</v>
      </c>
      <c r="C684" s="6" t="str">
        <f>_xlfn.XLOOKUP(Jnl[[#This Row],[TrxId]], Trx[Id], Trx[Division],,0)</f>
        <v>Online</v>
      </c>
      <c r="D684" s="6" t="str">
        <f>_xlfn.XLOOKUP(Jnl[[#This Row],[TrxId]], Trx[Id], Trx[Action],,0)</f>
        <v>增值税</v>
      </c>
      <c r="E684" s="27" t="s">
        <v>82</v>
      </c>
      <c r="F684" s="10" t="s">
        <v>130</v>
      </c>
      <c r="G684" s="10" t="s">
        <v>312</v>
      </c>
      <c r="H684" s="37">
        <v>-133525.85</v>
      </c>
      <c r="I684" s="38" t="b">
        <f>AND(Jnl[[#This Row],[TrxId]]&lt;&gt;"",Jnl[[#This Row],[Acct]]&lt;&gt;"",Jnl[[#This Row],[Item]]&lt;&gt;"",ISNUMBER(Jnl[[#This Row],[Bal]]))</f>
        <v>1</v>
      </c>
      <c r="J684" s="9">
        <f>IF(Jnl[[#This Row],[BSLv0]]="A",1,-1)*Jnl[[#This Row],[Bal]]</f>
        <v>133525.85</v>
      </c>
      <c r="K684" t="str">
        <f>_xlfn.XLOOKUP(Jnl[[#This Row],[Acct]], config_BS[Acct], config_BS[Lv0],,0)</f>
        <v>LC</v>
      </c>
      <c r="L684" t="str">
        <f>_xlfn.XLOOKUP(Jnl[[#This Row],[Acct]], config_BS[Acct], config_BS[Lv1],,0)</f>
        <v>Liability</v>
      </c>
      <c r="M684" t="str">
        <f>_xlfn.XLOOKUP(Jnl[[#This Row],[Acct]], config_BS[Acct], config_BS[Lv2],,0)</f>
        <v>Rec-Pay</v>
      </c>
      <c r="N684" t="str">
        <f>_xlfn.XLOOKUP(Jnl[[#This Row],[TrxId]], Trx[Id], Trx[IncNode], ,0)</f>
        <v>Cost</v>
      </c>
      <c r="O684" t="str">
        <f>_xlfn.XLOOKUP(Jnl[[#This Row],[IncNode]], config_IS[Node], config_IS[Type],,0)</f>
        <v>Op</v>
      </c>
      <c r="P684" t="str">
        <f>_xlfn.XLOOKUP(Jnl[[#This Row],[BSLv2]], dict[Key], dict[Name],,0)</f>
        <v>1.应收-应付</v>
      </c>
      <c r="Q684" t="str">
        <f>_xlfn.XLOOKUP(Jnl[[#This Row],[Acct]], dict[Key], dict[Name],,0)</f>
        <v>应付-税款</v>
      </c>
      <c r="R684" t="str">
        <f>_xlfn.XLOOKUP(Jnl[[#This Row],[Vehicle]],config_vehicle[Id], config_vehicle[Name],,0)</f>
        <v>远家花园</v>
      </c>
      <c r="S684" t="str">
        <f>_xlfn.XLOOKUP(Jnl[[#This Row],[Division]],config_div[Id], config_div[Name],,0)</f>
        <v>网店</v>
      </c>
      <c r="T684" t="str">
        <f>IF(Jnl[[#This Row],[TrxDate]]&lt;=stmt_BS_date_end, "In", "Out")</f>
        <v>In</v>
      </c>
      <c r="U684" t="str">
        <f>IF(Jnl[[#This Row],[TrxDate]]&lt;debug_date_start, "prior", IF(Jnl[[#This Row],[TrxDate]]&gt;debug_date_end, "post", "curr"))</f>
        <v>curr</v>
      </c>
    </row>
    <row r="685" spans="1:21" hidden="1">
      <c r="A685" s="39" t="s">
        <v>845</v>
      </c>
      <c r="B685" s="6">
        <f>_xlfn.XLOOKUP(Jnl[[#This Row],[TrxId]], Trx[Id], Trx[Date],,0)</f>
        <v>46053</v>
      </c>
      <c r="C685" s="6" t="str">
        <f>_xlfn.XLOOKUP(Jnl[[#This Row],[TrxId]], Trx[Id], Trx[Division],,0)</f>
        <v>GM</v>
      </c>
      <c r="D685" s="6" t="str">
        <f>_xlfn.XLOOKUP(Jnl[[#This Row],[TrxId]], Trx[Id], Trx[Action],,0)</f>
        <v>房租</v>
      </c>
      <c r="E685" s="27" t="s">
        <v>82</v>
      </c>
      <c r="F685" s="10" t="s">
        <v>498</v>
      </c>
      <c r="G685" s="10" t="s">
        <v>144</v>
      </c>
      <c r="H685" s="37">
        <v>-28258.42</v>
      </c>
      <c r="I685" s="38" t="b">
        <f>AND(Jnl[[#This Row],[TrxId]]&lt;&gt;"",Jnl[[#This Row],[Acct]]&lt;&gt;"",Jnl[[#This Row],[Item]]&lt;&gt;"",ISNUMBER(Jnl[[#This Row],[Bal]]))</f>
        <v>1</v>
      </c>
      <c r="J685" s="9">
        <f>IF(Jnl[[#This Row],[BSLv0]]="A",1,-1)*Jnl[[#This Row],[Bal]]</f>
        <v>-28258.42</v>
      </c>
      <c r="K685" t="str">
        <f>_xlfn.XLOOKUP(Jnl[[#This Row],[Acct]], config_BS[Acct], config_BS[Lv0],,0)</f>
        <v>A</v>
      </c>
      <c r="L685" t="str">
        <f>_xlfn.XLOOKUP(Jnl[[#This Row],[Acct]], config_BS[Acct], config_BS[Lv1],,0)</f>
        <v>Assets</v>
      </c>
      <c r="M685" t="str">
        <f>_xlfn.XLOOKUP(Jnl[[#This Row],[Acct]], config_BS[Acct], config_BS[Lv2],,0)</f>
        <v>Prep-Sub</v>
      </c>
      <c r="N685" t="str">
        <f>_xlfn.XLOOKUP(Jnl[[#This Row],[TrxId]], Trx[Id], Trx[IncNode], ,0)</f>
        <v>Expense</v>
      </c>
      <c r="O685" t="str">
        <f>_xlfn.XLOOKUP(Jnl[[#This Row],[IncNode]], config_IS[Node], config_IS[Type],,0)</f>
        <v>Op</v>
      </c>
      <c r="P685" t="str">
        <f>_xlfn.XLOOKUP(Jnl[[#This Row],[BSLv2]], dict[Key], dict[Name],,0)</f>
        <v>2.预付-订阅</v>
      </c>
      <c r="Q685" t="str">
        <f>_xlfn.XLOOKUP(Jnl[[#This Row],[Acct]], dict[Key], dict[Name],,0)</f>
        <v>预付订单</v>
      </c>
      <c r="R685" t="str">
        <f>_xlfn.XLOOKUP(Jnl[[#This Row],[Vehicle]],config_vehicle[Id], config_vehicle[Name],,0)</f>
        <v>远家花园</v>
      </c>
      <c r="S685" t="str">
        <f>_xlfn.XLOOKUP(Jnl[[#This Row],[Division]],config_div[Id], config_div[Name],,0)</f>
        <v>综合管理</v>
      </c>
      <c r="T685" t="str">
        <f>IF(Jnl[[#This Row],[TrxDate]]&lt;=stmt_BS_date_end, "In", "Out")</f>
        <v>In</v>
      </c>
      <c r="U685" t="str">
        <f>IF(Jnl[[#This Row],[TrxDate]]&lt;debug_date_start, "prior", IF(Jnl[[#This Row],[TrxDate]]&gt;debug_date_end, "post", "curr"))</f>
        <v>curr</v>
      </c>
    </row>
    <row r="686" spans="1:21" hidden="1">
      <c r="A686" s="39" t="s">
        <v>846</v>
      </c>
      <c r="B686" s="6">
        <f>_xlfn.XLOOKUP(Jnl[[#This Row],[TrxId]], Trx[Id], Trx[Date],,0)</f>
        <v>46053</v>
      </c>
      <c r="C686" s="6" t="str">
        <f>_xlfn.XLOOKUP(Jnl[[#This Row],[TrxId]], Trx[Id], Trx[Division],,0)</f>
        <v>Online</v>
      </c>
      <c r="D686" s="6" t="str">
        <f>_xlfn.XLOOKUP(Jnl[[#This Row],[TrxId]], Trx[Id], Trx[Action],,0)</f>
        <v>成本结转</v>
      </c>
      <c r="E686" s="27" t="s">
        <v>82</v>
      </c>
      <c r="F686" s="10" t="s">
        <v>118</v>
      </c>
      <c r="G686" s="10" t="s">
        <v>154</v>
      </c>
      <c r="H686" s="37">
        <f>-3512668.77*0.7</f>
        <v>-2458868.139</v>
      </c>
      <c r="I686" s="38" t="b">
        <f>AND(Jnl[[#This Row],[TrxId]]&lt;&gt;"",Jnl[[#This Row],[Acct]]&lt;&gt;"",Jnl[[#This Row],[Item]]&lt;&gt;"",ISNUMBER(Jnl[[#This Row],[Bal]]))</f>
        <v>1</v>
      </c>
      <c r="J686" s="9">
        <f>IF(Jnl[[#This Row],[BSLv0]]="A",1,-1)*Jnl[[#This Row],[Bal]]</f>
        <v>-2458868.139</v>
      </c>
      <c r="K686" t="str">
        <f>_xlfn.XLOOKUP(Jnl[[#This Row],[Acct]], config_BS[Acct], config_BS[Lv0],,0)</f>
        <v>A</v>
      </c>
      <c r="L686" t="str">
        <f>_xlfn.XLOOKUP(Jnl[[#This Row],[Acct]], config_BS[Acct], config_BS[Lv1],,0)</f>
        <v>Assets</v>
      </c>
      <c r="M686" t="str">
        <f>_xlfn.XLOOKUP(Jnl[[#This Row],[Acct]], config_BS[Acct], config_BS[Lv2],,0)</f>
        <v>Invtr</v>
      </c>
      <c r="N686" t="str">
        <f>_xlfn.XLOOKUP(Jnl[[#This Row],[TrxId]], Trx[Id], Trx[IncNode], ,0)</f>
        <v>Cost</v>
      </c>
      <c r="O686" t="str">
        <f>_xlfn.XLOOKUP(Jnl[[#This Row],[IncNode]], config_IS[Node], config_IS[Type],,0)</f>
        <v>Op</v>
      </c>
      <c r="P686" t="str">
        <f>_xlfn.XLOOKUP(Jnl[[#This Row],[BSLv2]], dict[Key], dict[Name],,0)</f>
        <v>3.库存占款</v>
      </c>
      <c r="Q686" t="str">
        <f>_xlfn.XLOOKUP(Jnl[[#This Row],[Acct]], dict[Key], dict[Name],,0)</f>
        <v>当期存货</v>
      </c>
      <c r="R686" t="str">
        <f>_xlfn.XLOOKUP(Jnl[[#This Row],[Vehicle]],config_vehicle[Id], config_vehicle[Name],,0)</f>
        <v>远家花园</v>
      </c>
      <c r="S686" t="str">
        <f>_xlfn.XLOOKUP(Jnl[[#This Row],[Division]],config_div[Id], config_div[Name],,0)</f>
        <v>网店</v>
      </c>
      <c r="T686" t="str">
        <f>IF(Jnl[[#This Row],[TrxDate]]&lt;=stmt_BS_date_end, "In", "Out")</f>
        <v>In</v>
      </c>
      <c r="U686" t="str">
        <f>IF(Jnl[[#This Row],[TrxDate]]&lt;debug_date_start, "prior", IF(Jnl[[#This Row],[TrxDate]]&gt;debug_date_end, "post", "curr"))</f>
        <v>curr</v>
      </c>
    </row>
    <row r="687" spans="1:21" hidden="1">
      <c r="A687" s="53" t="s">
        <v>1365</v>
      </c>
      <c r="B687" s="6">
        <f>_xlfn.XLOOKUP(Jnl[[#This Row],[TrxId]], Trx[Id], Trx[Date],,0)</f>
        <v>46053</v>
      </c>
      <c r="C687" s="6" t="str">
        <f>_xlfn.XLOOKUP(Jnl[[#This Row],[TrxId]], Trx[Id], Trx[Division],,0)</f>
        <v>Shuijie</v>
      </c>
      <c r="D687" s="6" t="str">
        <f>_xlfn.XLOOKUP(Jnl[[#This Row],[TrxId]], Trx[Id], Trx[Action],,0)</f>
        <v>成本结转</v>
      </c>
      <c r="E687" s="27" t="s">
        <v>82</v>
      </c>
      <c r="F687" s="10" t="s">
        <v>118</v>
      </c>
      <c r="G687" s="10" t="s">
        <v>154</v>
      </c>
      <c r="H687" s="93">
        <f>-623569.34*0.7+14188.2+306</f>
        <v>-422004.33799999993</v>
      </c>
      <c r="I687" s="38" t="b">
        <f>AND(Jnl[[#This Row],[TrxId]]&lt;&gt;"",Jnl[[#This Row],[Acct]]&lt;&gt;"",Jnl[[#This Row],[Item]]&lt;&gt;"",ISNUMBER(Jnl[[#This Row],[Bal]]))</f>
        <v>1</v>
      </c>
      <c r="J687" s="94">
        <f>IF(Jnl[[#This Row],[BSLv0]]="A",1,-1)*Jnl[[#This Row],[Bal]]</f>
        <v>-422004.33799999993</v>
      </c>
      <c r="K687" t="str">
        <f>_xlfn.XLOOKUP(Jnl[[#This Row],[Acct]], config_BS[Acct], config_BS[Lv0],,0)</f>
        <v>A</v>
      </c>
      <c r="L687" t="str">
        <f>_xlfn.XLOOKUP(Jnl[[#This Row],[Acct]], config_BS[Acct], config_BS[Lv1],,0)</f>
        <v>Assets</v>
      </c>
      <c r="M687" t="str">
        <f>_xlfn.XLOOKUP(Jnl[[#This Row],[Acct]], config_BS[Acct], config_BS[Lv2],,0)</f>
        <v>Invtr</v>
      </c>
      <c r="N687" t="str">
        <f>_xlfn.XLOOKUP(Jnl[[#This Row],[TrxId]], Trx[Id], Trx[IncNode], ,0)</f>
        <v>Cost</v>
      </c>
      <c r="O687" t="str">
        <f>_xlfn.XLOOKUP(Jnl[[#This Row],[IncNode]], config_IS[Node], config_IS[Type],,0)</f>
        <v>Op</v>
      </c>
      <c r="P687" s="95" t="str">
        <f>_xlfn.XLOOKUP(Jnl[[#This Row],[BSLv2]], dict[Key], dict[Name],,0)</f>
        <v>3.库存占款</v>
      </c>
      <c r="Q687" s="95" t="str">
        <f>_xlfn.XLOOKUP(Jnl[[#This Row],[Acct]], dict[Key], dict[Name],,0)</f>
        <v>当期存货</v>
      </c>
      <c r="R687" s="95" t="str">
        <f>_xlfn.XLOOKUP(Jnl[[#This Row],[Vehicle]],config_vehicle[Id], config_vehicle[Name],,0)</f>
        <v>远家花园</v>
      </c>
      <c r="S687" s="95" t="str">
        <f>_xlfn.XLOOKUP(Jnl[[#This Row],[Division]],config_div[Id], config_div[Name],,0)</f>
        <v>水街店</v>
      </c>
      <c r="T687" s="95" t="str">
        <f>IF(Jnl[[#This Row],[TrxDate]]&lt;=stmt_BS_date_end, "In", "Out")</f>
        <v>In</v>
      </c>
      <c r="U687" s="95" t="str">
        <f>IF(Jnl[[#This Row],[TrxDate]]&lt;debug_date_start, "prior", IF(Jnl[[#This Row],[TrxDate]]&gt;debug_date_end, "post", "curr"))</f>
        <v>curr</v>
      </c>
    </row>
    <row r="688" spans="1:21" hidden="1">
      <c r="A688" s="53" t="s">
        <v>1366</v>
      </c>
      <c r="B688" s="6">
        <f>_xlfn.XLOOKUP(Jnl[[#This Row],[TrxId]], Trx[Id], Trx[Date],,0)</f>
        <v>46053</v>
      </c>
      <c r="C688" s="6" t="str">
        <f>_xlfn.XLOOKUP(Jnl[[#This Row],[TrxId]], Trx[Id], Trx[Division],,0)</f>
        <v>MY</v>
      </c>
      <c r="D688" s="6" t="str">
        <f>_xlfn.XLOOKUP(Jnl[[#This Row],[TrxId]], Trx[Id], Trx[Action],,0)</f>
        <v>成本结转</v>
      </c>
      <c r="E688" s="27" t="s">
        <v>82</v>
      </c>
      <c r="F688" s="10" t="s">
        <v>118</v>
      </c>
      <c r="G688" s="10" t="s">
        <v>154</v>
      </c>
      <c r="H688" s="93">
        <f>-49931.55*0.7</f>
        <v>-34952.084999999999</v>
      </c>
      <c r="I688" s="38" t="b">
        <f>AND(Jnl[[#This Row],[TrxId]]&lt;&gt;"",Jnl[[#This Row],[Acct]]&lt;&gt;"",Jnl[[#This Row],[Item]]&lt;&gt;"",ISNUMBER(Jnl[[#This Row],[Bal]]))</f>
        <v>1</v>
      </c>
      <c r="J688" s="94">
        <f>IF(Jnl[[#This Row],[BSLv0]]="A",1,-1)*Jnl[[#This Row],[Bal]]</f>
        <v>-34952.084999999999</v>
      </c>
      <c r="K688" t="str">
        <f>_xlfn.XLOOKUP(Jnl[[#This Row],[Acct]], config_BS[Acct], config_BS[Lv0],,0)</f>
        <v>A</v>
      </c>
      <c r="L688" t="str">
        <f>_xlfn.XLOOKUP(Jnl[[#This Row],[Acct]], config_BS[Acct], config_BS[Lv1],,0)</f>
        <v>Assets</v>
      </c>
      <c r="M688" t="str">
        <f>_xlfn.XLOOKUP(Jnl[[#This Row],[Acct]], config_BS[Acct], config_BS[Lv2],,0)</f>
        <v>Invtr</v>
      </c>
      <c r="N688" t="str">
        <f>_xlfn.XLOOKUP(Jnl[[#This Row],[TrxId]], Trx[Id], Trx[IncNode], ,0)</f>
        <v>Cost</v>
      </c>
      <c r="O688" t="str">
        <f>_xlfn.XLOOKUP(Jnl[[#This Row],[IncNode]], config_IS[Node], config_IS[Type],,0)</f>
        <v>Op</v>
      </c>
      <c r="P688" s="95" t="str">
        <f>_xlfn.XLOOKUP(Jnl[[#This Row],[BSLv2]], dict[Key], dict[Name],,0)</f>
        <v>3.库存占款</v>
      </c>
      <c r="Q688" s="95" t="str">
        <f>_xlfn.XLOOKUP(Jnl[[#This Row],[Acct]], dict[Key], dict[Name],,0)</f>
        <v>当期存货</v>
      </c>
      <c r="R688" s="95" t="str">
        <f>_xlfn.XLOOKUP(Jnl[[#This Row],[Vehicle]],config_vehicle[Id], config_vehicle[Name],,0)</f>
        <v>远家花园</v>
      </c>
      <c r="S688" s="95" t="str">
        <f>_xlfn.XLOOKUP(Jnl[[#This Row],[Division]],config_div[Id], config_div[Name],,0)</f>
        <v>明月村</v>
      </c>
      <c r="T688" s="95" t="str">
        <f>IF(Jnl[[#This Row],[TrxDate]]&lt;=stmt_BS_date_end, "In", "Out")</f>
        <v>In</v>
      </c>
      <c r="U688" s="95" t="str">
        <f>IF(Jnl[[#This Row],[TrxDate]]&lt;debug_date_start, "prior", IF(Jnl[[#This Row],[TrxDate]]&gt;debug_date_end, "post", "curr"))</f>
        <v>curr</v>
      </c>
    </row>
    <row r="689" spans="1:21" hidden="1">
      <c r="A689" s="39" t="s">
        <v>851</v>
      </c>
      <c r="B689" s="6">
        <f>_xlfn.XLOOKUP(Jnl[[#This Row],[TrxId]], Trx[Id], Trx[Date],,0)</f>
        <v>46053</v>
      </c>
      <c r="C689" s="6" t="str">
        <f>_xlfn.XLOOKUP(Jnl[[#This Row],[TrxId]], Trx[Id], Trx[Division],,0)</f>
        <v>Online</v>
      </c>
      <c r="D689" s="6" t="str">
        <f>_xlfn.XLOOKUP(Jnl[[#This Row],[TrxId]], Trx[Id], Trx[Action],,0)</f>
        <v>增值税</v>
      </c>
      <c r="E689" s="27" t="s">
        <v>82</v>
      </c>
      <c r="F689" s="10" t="s">
        <v>130</v>
      </c>
      <c r="G689" s="10" t="s">
        <v>312</v>
      </c>
      <c r="H689" s="37">
        <v>-650</v>
      </c>
      <c r="I689" s="38" t="b">
        <f>AND(Jnl[[#This Row],[TrxId]]&lt;&gt;"",Jnl[[#This Row],[Acct]]&lt;&gt;"",Jnl[[#This Row],[Item]]&lt;&gt;"",ISNUMBER(Jnl[[#This Row],[Bal]]))</f>
        <v>1</v>
      </c>
      <c r="J689" s="9">
        <f>IF(Jnl[[#This Row],[BSLv0]]="A",1,-1)*Jnl[[#This Row],[Bal]]</f>
        <v>650</v>
      </c>
      <c r="K689" t="str">
        <f>_xlfn.XLOOKUP(Jnl[[#This Row],[Acct]], config_BS[Acct], config_BS[Lv0],,0)</f>
        <v>LC</v>
      </c>
      <c r="L689" t="str">
        <f>_xlfn.XLOOKUP(Jnl[[#This Row],[Acct]], config_BS[Acct], config_BS[Lv1],,0)</f>
        <v>Liability</v>
      </c>
      <c r="M689" t="str">
        <f>_xlfn.XLOOKUP(Jnl[[#This Row],[Acct]], config_BS[Acct], config_BS[Lv2],,0)</f>
        <v>Rec-Pay</v>
      </c>
      <c r="N689" t="str">
        <f>_xlfn.XLOOKUP(Jnl[[#This Row],[TrxId]], Trx[Id], Trx[IncNode], ,0)</f>
        <v>Cost</v>
      </c>
      <c r="O689" t="str">
        <f>_xlfn.XLOOKUP(Jnl[[#This Row],[IncNode]], config_IS[Node], config_IS[Type],,0)</f>
        <v>Op</v>
      </c>
      <c r="P689" t="str">
        <f>_xlfn.XLOOKUP(Jnl[[#This Row],[BSLv2]], dict[Key], dict[Name],,0)</f>
        <v>1.应收-应付</v>
      </c>
      <c r="Q689" t="str">
        <f>_xlfn.XLOOKUP(Jnl[[#This Row],[Acct]], dict[Key], dict[Name],,0)</f>
        <v>应付-税款</v>
      </c>
      <c r="R689" t="str">
        <f>_xlfn.XLOOKUP(Jnl[[#This Row],[Vehicle]],config_vehicle[Id], config_vehicle[Name],,0)</f>
        <v>远家花园</v>
      </c>
      <c r="S689" t="str">
        <f>_xlfn.XLOOKUP(Jnl[[#This Row],[Division]],config_div[Id], config_div[Name],,0)</f>
        <v>网店</v>
      </c>
      <c r="T689" t="str">
        <f>IF(Jnl[[#This Row],[TrxDate]]&lt;=stmt_BS_date_end, "In", "Out")</f>
        <v>In</v>
      </c>
      <c r="U689" t="str">
        <f>IF(Jnl[[#This Row],[TrxDate]]&lt;debug_date_start, "prior", IF(Jnl[[#This Row],[TrxDate]]&gt;debug_date_end, "post", "curr"))</f>
        <v>curr</v>
      </c>
    </row>
    <row r="690" spans="1:21" hidden="1">
      <c r="A690" s="39" t="s">
        <v>1157</v>
      </c>
      <c r="B690" s="6">
        <f>_xlfn.XLOOKUP(Jnl[[#This Row],[TrxId]], Trx[Id], Trx[Date],,0)</f>
        <v>46053</v>
      </c>
      <c r="C690" s="6" t="str">
        <f>_xlfn.XLOOKUP(Jnl[[#This Row],[TrxId]], Trx[Id], Trx[Division],,0)</f>
        <v>MY</v>
      </c>
      <c r="D690" s="6" t="str">
        <f>_xlfn.XLOOKUP(Jnl[[#This Row],[TrxId]], Trx[Id], Trx[Action],,0)</f>
        <v>收款</v>
      </c>
      <c r="E690" s="27" t="s">
        <v>85</v>
      </c>
      <c r="F690" s="10" t="s">
        <v>605</v>
      </c>
      <c r="G690" s="10" t="s">
        <v>138</v>
      </c>
      <c r="H690" s="37">
        <v>770</v>
      </c>
      <c r="I690" s="38" t="b">
        <f>AND(Jnl[[#This Row],[TrxId]]&lt;&gt;"",Jnl[[#This Row],[Acct]]&lt;&gt;"",Jnl[[#This Row],[Item]]&lt;&gt;"",ISNUMBER(Jnl[[#This Row],[Bal]]))</f>
        <v>1</v>
      </c>
      <c r="J690" s="9">
        <f>IF(Jnl[[#This Row],[BSLv0]]="A",1,-1)*Jnl[[#This Row],[Bal]]</f>
        <v>770</v>
      </c>
      <c r="K690" t="str">
        <f>_xlfn.XLOOKUP(Jnl[[#This Row],[Acct]], config_BS[Acct], config_BS[Lv0],,0)</f>
        <v>A</v>
      </c>
      <c r="L690" t="str">
        <f>_xlfn.XLOOKUP(Jnl[[#This Row],[Acct]], config_BS[Acct], config_BS[Lv1],,0)</f>
        <v>Assets</v>
      </c>
      <c r="M690" t="str">
        <f>_xlfn.XLOOKUP(Jnl[[#This Row],[Acct]], config_BS[Acct], config_BS[Lv2],,0)</f>
        <v>Cash alike</v>
      </c>
      <c r="N690" t="str">
        <f>_xlfn.XLOOKUP(Jnl[[#This Row],[TrxId]], Trx[Id], Trx[IncNode], ,0)</f>
        <v>Revenue</v>
      </c>
      <c r="O690" t="str">
        <f>_xlfn.XLOOKUP(Jnl[[#This Row],[IncNode]], config_IS[Node], config_IS[Type],,0)</f>
        <v>Op</v>
      </c>
      <c r="P690" t="str">
        <f>_xlfn.XLOOKUP(Jnl[[#This Row],[BSLv2]], dict[Key], dict[Name],,0)</f>
        <v>0.现金及类似</v>
      </c>
      <c r="Q690" t="str">
        <f>_xlfn.XLOOKUP(Jnl[[#This Row],[Acct]], dict[Key], dict[Name],,0)</f>
        <v>物理现金</v>
      </c>
      <c r="R690" t="str">
        <f>_xlfn.XLOOKUP(Jnl[[#This Row],[Vehicle]],config_vehicle[Id], config_vehicle[Name],,0)</f>
        <v>远家文化</v>
      </c>
      <c r="S690" t="str">
        <f>_xlfn.XLOOKUP(Jnl[[#This Row],[Division]],config_div[Id], config_div[Name],,0)</f>
        <v>明月村</v>
      </c>
      <c r="T690" t="str">
        <f>IF(Jnl[[#This Row],[TrxDate]]&lt;=stmt_BS_date_end, "In", "Out")</f>
        <v>In</v>
      </c>
      <c r="U690" t="str">
        <f>IF(Jnl[[#This Row],[TrxDate]]&lt;debug_date_start, "prior", IF(Jnl[[#This Row],[TrxDate]]&gt;debug_date_end, "post", "curr"))</f>
        <v>curr</v>
      </c>
    </row>
    <row r="691" spans="1:21" hidden="1">
      <c r="A691" s="39" t="s">
        <v>1157</v>
      </c>
      <c r="B691" s="6">
        <f>_xlfn.XLOOKUP(Jnl[[#This Row],[TrxId]], Trx[Id], Trx[Date],,0)</f>
        <v>46053</v>
      </c>
      <c r="C691" s="6" t="str">
        <f>_xlfn.XLOOKUP(Jnl[[#This Row],[TrxId]], Trx[Id], Trx[Division],,0)</f>
        <v>MY</v>
      </c>
      <c r="D691" s="6" t="str">
        <f>_xlfn.XLOOKUP(Jnl[[#This Row],[TrxId]], Trx[Id], Trx[Action],,0)</f>
        <v>收款</v>
      </c>
      <c r="E691" s="27" t="s">
        <v>85</v>
      </c>
      <c r="F691" s="10" t="s">
        <v>599</v>
      </c>
      <c r="G691" s="10" t="s">
        <v>949</v>
      </c>
      <c r="H691" s="37">
        <v>-770</v>
      </c>
      <c r="I691" s="38" t="b">
        <f>AND(Jnl[[#This Row],[TrxId]]&lt;&gt;"",Jnl[[#This Row],[Acct]]&lt;&gt;"",Jnl[[#This Row],[Item]]&lt;&gt;"",ISNUMBER(Jnl[[#This Row],[Bal]]))</f>
        <v>1</v>
      </c>
      <c r="J691" s="9">
        <f>IF(Jnl[[#This Row],[BSLv0]]="A",1,-1)*Jnl[[#This Row],[Bal]]</f>
        <v>-770</v>
      </c>
      <c r="K691" t="str">
        <f>_xlfn.XLOOKUP(Jnl[[#This Row],[Acct]], config_BS[Acct], config_BS[Lv0],,0)</f>
        <v>A</v>
      </c>
      <c r="L691" t="str">
        <f>_xlfn.XLOOKUP(Jnl[[#This Row],[Acct]], config_BS[Acct], config_BS[Lv1],,0)</f>
        <v>Assets</v>
      </c>
      <c r="M691" t="str">
        <f>_xlfn.XLOOKUP(Jnl[[#This Row],[Acct]], config_BS[Acct], config_BS[Lv2],,0)</f>
        <v>Rec-Pay</v>
      </c>
      <c r="N691" t="str">
        <f>_xlfn.XLOOKUP(Jnl[[#This Row],[TrxId]], Trx[Id], Trx[IncNode], ,0)</f>
        <v>Revenue</v>
      </c>
      <c r="O691" t="str">
        <f>_xlfn.XLOOKUP(Jnl[[#This Row],[IncNode]], config_IS[Node], config_IS[Type],,0)</f>
        <v>Op</v>
      </c>
      <c r="P691" t="str">
        <f>_xlfn.XLOOKUP(Jnl[[#This Row],[BSLv2]], dict[Key], dict[Name],,0)</f>
        <v>1.应收-应付</v>
      </c>
      <c r="Q691" t="str">
        <f>_xlfn.XLOOKUP(Jnl[[#This Row],[Acct]], dict[Key], dict[Name],,0)</f>
        <v>应收-一般</v>
      </c>
      <c r="R691" t="str">
        <f>_xlfn.XLOOKUP(Jnl[[#This Row],[Vehicle]],config_vehicle[Id], config_vehicle[Name],,0)</f>
        <v>远家文化</v>
      </c>
      <c r="S691" t="str">
        <f>_xlfn.XLOOKUP(Jnl[[#This Row],[Division]],config_div[Id], config_div[Name],,0)</f>
        <v>明月村</v>
      </c>
      <c r="T691" t="str">
        <f>IF(Jnl[[#This Row],[TrxDate]]&lt;=stmt_BS_date_end, "In", "Out")</f>
        <v>In</v>
      </c>
      <c r="U691" t="str">
        <f>IF(Jnl[[#This Row],[TrxDate]]&lt;debug_date_start, "prior", IF(Jnl[[#This Row],[TrxDate]]&gt;debug_date_end, "post", "curr"))</f>
        <v>curr</v>
      </c>
    </row>
    <row r="692" spans="1:21" hidden="1">
      <c r="A692" s="39" t="s">
        <v>1158</v>
      </c>
      <c r="B692" s="6">
        <f>_xlfn.XLOOKUP(Jnl[[#This Row],[TrxId]], Trx[Id], Trx[Date],,0)</f>
        <v>46053</v>
      </c>
      <c r="C692" s="6" t="str">
        <f>_xlfn.XLOOKUP(Jnl[[#This Row],[TrxId]], Trx[Id], Trx[Division],,0)</f>
        <v>MY</v>
      </c>
      <c r="D692" s="6" t="str">
        <f>_xlfn.XLOOKUP(Jnl[[#This Row],[TrxId]], Trx[Id], Trx[Action],,0)</f>
        <v>收款</v>
      </c>
      <c r="E692" s="27" t="s">
        <v>85</v>
      </c>
      <c r="F692" s="10" t="s">
        <v>605</v>
      </c>
      <c r="G692" s="10" t="s">
        <v>138</v>
      </c>
      <c r="H692" s="37">
        <v>1212</v>
      </c>
      <c r="I692" s="38" t="b">
        <f>AND(Jnl[[#This Row],[TrxId]]&lt;&gt;"",Jnl[[#This Row],[Acct]]&lt;&gt;"",Jnl[[#This Row],[Item]]&lt;&gt;"",ISNUMBER(Jnl[[#This Row],[Bal]]))</f>
        <v>1</v>
      </c>
      <c r="J692" s="9">
        <f>IF(Jnl[[#This Row],[BSLv0]]="A",1,-1)*Jnl[[#This Row],[Bal]]</f>
        <v>1212</v>
      </c>
      <c r="K692" t="str">
        <f>_xlfn.XLOOKUP(Jnl[[#This Row],[Acct]], config_BS[Acct], config_BS[Lv0],,0)</f>
        <v>A</v>
      </c>
      <c r="L692" t="str">
        <f>_xlfn.XLOOKUP(Jnl[[#This Row],[Acct]], config_BS[Acct], config_BS[Lv1],,0)</f>
        <v>Assets</v>
      </c>
      <c r="M692" t="str">
        <f>_xlfn.XLOOKUP(Jnl[[#This Row],[Acct]], config_BS[Acct], config_BS[Lv2],,0)</f>
        <v>Cash alike</v>
      </c>
      <c r="N692" t="str">
        <f>_xlfn.XLOOKUP(Jnl[[#This Row],[TrxId]], Trx[Id], Trx[IncNode], ,0)</f>
        <v>Revenue</v>
      </c>
      <c r="O692" t="str">
        <f>_xlfn.XLOOKUP(Jnl[[#This Row],[IncNode]], config_IS[Node], config_IS[Type],,0)</f>
        <v>Op</v>
      </c>
      <c r="P692" t="str">
        <f>_xlfn.XLOOKUP(Jnl[[#This Row],[BSLv2]], dict[Key], dict[Name],,0)</f>
        <v>0.现金及类似</v>
      </c>
      <c r="Q692" t="str">
        <f>_xlfn.XLOOKUP(Jnl[[#This Row],[Acct]], dict[Key], dict[Name],,0)</f>
        <v>物理现金</v>
      </c>
      <c r="R692" t="str">
        <f>_xlfn.XLOOKUP(Jnl[[#This Row],[Vehicle]],config_vehicle[Id], config_vehicle[Name],,0)</f>
        <v>远家文化</v>
      </c>
      <c r="S692" t="str">
        <f>_xlfn.XLOOKUP(Jnl[[#This Row],[Division]],config_div[Id], config_div[Name],,0)</f>
        <v>明月村</v>
      </c>
      <c r="T692" t="str">
        <f>IF(Jnl[[#This Row],[TrxDate]]&lt;=stmt_BS_date_end, "In", "Out")</f>
        <v>In</v>
      </c>
      <c r="U692" t="str">
        <f>IF(Jnl[[#This Row],[TrxDate]]&lt;debug_date_start, "prior", IF(Jnl[[#This Row],[TrxDate]]&gt;debug_date_end, "post", "curr"))</f>
        <v>curr</v>
      </c>
    </row>
    <row r="693" spans="1:21" hidden="1">
      <c r="A693" s="39" t="s">
        <v>1158</v>
      </c>
      <c r="B693" s="6">
        <f>_xlfn.XLOOKUP(Jnl[[#This Row],[TrxId]], Trx[Id], Trx[Date],,0)</f>
        <v>46053</v>
      </c>
      <c r="C693" s="6" t="str">
        <f>_xlfn.XLOOKUP(Jnl[[#This Row],[TrxId]], Trx[Id], Trx[Division],,0)</f>
        <v>MY</v>
      </c>
      <c r="D693" s="6" t="str">
        <f>_xlfn.XLOOKUP(Jnl[[#This Row],[TrxId]], Trx[Id], Trx[Action],,0)</f>
        <v>收款</v>
      </c>
      <c r="E693" s="27" t="s">
        <v>85</v>
      </c>
      <c r="F693" s="10" t="s">
        <v>599</v>
      </c>
      <c r="G693" s="10" t="s">
        <v>951</v>
      </c>
      <c r="H693" s="37">
        <v>-1212</v>
      </c>
      <c r="I693" s="38" t="b">
        <f>AND(Jnl[[#This Row],[TrxId]]&lt;&gt;"",Jnl[[#This Row],[Acct]]&lt;&gt;"",Jnl[[#This Row],[Item]]&lt;&gt;"",ISNUMBER(Jnl[[#This Row],[Bal]]))</f>
        <v>1</v>
      </c>
      <c r="J693" s="9">
        <f>IF(Jnl[[#This Row],[BSLv0]]="A",1,-1)*Jnl[[#This Row],[Bal]]</f>
        <v>-1212</v>
      </c>
      <c r="K693" t="str">
        <f>_xlfn.XLOOKUP(Jnl[[#This Row],[Acct]], config_BS[Acct], config_BS[Lv0],,0)</f>
        <v>A</v>
      </c>
      <c r="L693" t="str">
        <f>_xlfn.XLOOKUP(Jnl[[#This Row],[Acct]], config_BS[Acct], config_BS[Lv1],,0)</f>
        <v>Assets</v>
      </c>
      <c r="M693" t="str">
        <f>_xlfn.XLOOKUP(Jnl[[#This Row],[Acct]], config_BS[Acct], config_BS[Lv2],,0)</f>
        <v>Rec-Pay</v>
      </c>
      <c r="N693" t="str">
        <f>_xlfn.XLOOKUP(Jnl[[#This Row],[TrxId]], Trx[Id], Trx[IncNode], ,0)</f>
        <v>Revenue</v>
      </c>
      <c r="O693" t="str">
        <f>_xlfn.XLOOKUP(Jnl[[#This Row],[IncNode]], config_IS[Node], config_IS[Type],,0)</f>
        <v>Op</v>
      </c>
      <c r="P693" t="str">
        <f>_xlfn.XLOOKUP(Jnl[[#This Row],[BSLv2]], dict[Key], dict[Name],,0)</f>
        <v>1.应收-应付</v>
      </c>
      <c r="Q693" t="str">
        <f>_xlfn.XLOOKUP(Jnl[[#This Row],[Acct]], dict[Key], dict[Name],,0)</f>
        <v>应收-一般</v>
      </c>
      <c r="R693" t="str">
        <f>_xlfn.XLOOKUP(Jnl[[#This Row],[Vehicle]],config_vehicle[Id], config_vehicle[Name],,0)</f>
        <v>远家文化</v>
      </c>
      <c r="S693" t="str">
        <f>_xlfn.XLOOKUP(Jnl[[#This Row],[Division]],config_div[Id], config_div[Name],,0)</f>
        <v>明月村</v>
      </c>
      <c r="T693" t="str">
        <f>IF(Jnl[[#This Row],[TrxDate]]&lt;=stmt_BS_date_end, "In", "Out")</f>
        <v>In</v>
      </c>
      <c r="U693" t="str">
        <f>IF(Jnl[[#This Row],[TrxDate]]&lt;debug_date_start, "prior", IF(Jnl[[#This Row],[TrxDate]]&gt;debug_date_end, "post", "curr"))</f>
        <v>curr</v>
      </c>
    </row>
    <row r="694" spans="1:21" hidden="1">
      <c r="A694" s="39" t="s">
        <v>1159</v>
      </c>
      <c r="B694" s="6">
        <f>_xlfn.XLOOKUP(Jnl[[#This Row],[TrxId]], Trx[Id], Trx[Date],,0)</f>
        <v>46053</v>
      </c>
      <c r="C694" s="6" t="str">
        <f>_xlfn.XLOOKUP(Jnl[[#This Row],[TrxId]], Trx[Id], Trx[Division],,0)</f>
        <v>MY</v>
      </c>
      <c r="D694" s="6" t="str">
        <f>_xlfn.XLOOKUP(Jnl[[#This Row],[TrxId]], Trx[Id], Trx[Action],,0)</f>
        <v>收款</v>
      </c>
      <c r="E694" s="27" t="s">
        <v>85</v>
      </c>
      <c r="F694" s="10" t="s">
        <v>605</v>
      </c>
      <c r="G694" s="10" t="s">
        <v>138</v>
      </c>
      <c r="H694" s="37">
        <v>80</v>
      </c>
      <c r="I694" s="38" t="b">
        <f>AND(Jnl[[#This Row],[TrxId]]&lt;&gt;"",Jnl[[#This Row],[Acct]]&lt;&gt;"",Jnl[[#This Row],[Item]]&lt;&gt;"",ISNUMBER(Jnl[[#This Row],[Bal]]))</f>
        <v>1</v>
      </c>
      <c r="J694" s="9">
        <f>IF(Jnl[[#This Row],[BSLv0]]="A",1,-1)*Jnl[[#This Row],[Bal]]</f>
        <v>80</v>
      </c>
      <c r="K694" t="str">
        <f>_xlfn.XLOOKUP(Jnl[[#This Row],[Acct]], config_BS[Acct], config_BS[Lv0],,0)</f>
        <v>A</v>
      </c>
      <c r="L694" t="str">
        <f>_xlfn.XLOOKUP(Jnl[[#This Row],[Acct]], config_BS[Acct], config_BS[Lv1],,0)</f>
        <v>Assets</v>
      </c>
      <c r="M694" t="str">
        <f>_xlfn.XLOOKUP(Jnl[[#This Row],[Acct]], config_BS[Acct], config_BS[Lv2],,0)</f>
        <v>Cash alike</v>
      </c>
      <c r="N694" t="str">
        <f>_xlfn.XLOOKUP(Jnl[[#This Row],[TrxId]], Trx[Id], Trx[IncNode], ,0)</f>
        <v>Revenue</v>
      </c>
      <c r="O694" t="str">
        <f>_xlfn.XLOOKUP(Jnl[[#This Row],[IncNode]], config_IS[Node], config_IS[Type],,0)</f>
        <v>Op</v>
      </c>
      <c r="P694" t="str">
        <f>_xlfn.XLOOKUP(Jnl[[#This Row],[BSLv2]], dict[Key], dict[Name],,0)</f>
        <v>0.现金及类似</v>
      </c>
      <c r="Q694" t="str">
        <f>_xlfn.XLOOKUP(Jnl[[#This Row],[Acct]], dict[Key], dict[Name],,0)</f>
        <v>物理现金</v>
      </c>
      <c r="R694" t="str">
        <f>_xlfn.XLOOKUP(Jnl[[#This Row],[Vehicle]],config_vehicle[Id], config_vehicle[Name],,0)</f>
        <v>远家文化</v>
      </c>
      <c r="S694" t="str">
        <f>_xlfn.XLOOKUP(Jnl[[#This Row],[Division]],config_div[Id], config_div[Name],,0)</f>
        <v>明月村</v>
      </c>
      <c r="T694" t="str">
        <f>IF(Jnl[[#This Row],[TrxDate]]&lt;=stmt_BS_date_end, "In", "Out")</f>
        <v>In</v>
      </c>
      <c r="U694" t="str">
        <f>IF(Jnl[[#This Row],[TrxDate]]&lt;debug_date_start, "prior", IF(Jnl[[#This Row],[TrxDate]]&gt;debug_date_end, "post", "curr"))</f>
        <v>curr</v>
      </c>
    </row>
    <row r="695" spans="1:21" hidden="1">
      <c r="A695" s="39" t="s">
        <v>1159</v>
      </c>
      <c r="B695" s="6">
        <f>_xlfn.XLOOKUP(Jnl[[#This Row],[TrxId]], Trx[Id], Trx[Date],,0)</f>
        <v>46053</v>
      </c>
      <c r="C695" s="6" t="str">
        <f>_xlfn.XLOOKUP(Jnl[[#This Row],[TrxId]], Trx[Id], Trx[Division],,0)</f>
        <v>MY</v>
      </c>
      <c r="D695" s="6" t="str">
        <f>_xlfn.XLOOKUP(Jnl[[#This Row],[TrxId]], Trx[Id], Trx[Action],,0)</f>
        <v>收款</v>
      </c>
      <c r="E695" s="27" t="s">
        <v>85</v>
      </c>
      <c r="F695" s="10" t="s">
        <v>599</v>
      </c>
      <c r="G695" s="10" t="s">
        <v>951</v>
      </c>
      <c r="H695" s="37">
        <v>-80</v>
      </c>
      <c r="I695" s="38" t="b">
        <f>AND(Jnl[[#This Row],[TrxId]]&lt;&gt;"",Jnl[[#This Row],[Acct]]&lt;&gt;"",Jnl[[#This Row],[Item]]&lt;&gt;"",ISNUMBER(Jnl[[#This Row],[Bal]]))</f>
        <v>1</v>
      </c>
      <c r="J695" s="9">
        <f>IF(Jnl[[#This Row],[BSLv0]]="A",1,-1)*Jnl[[#This Row],[Bal]]</f>
        <v>-80</v>
      </c>
      <c r="K695" t="str">
        <f>_xlfn.XLOOKUP(Jnl[[#This Row],[Acct]], config_BS[Acct], config_BS[Lv0],,0)</f>
        <v>A</v>
      </c>
      <c r="L695" t="str">
        <f>_xlfn.XLOOKUP(Jnl[[#This Row],[Acct]], config_BS[Acct], config_BS[Lv1],,0)</f>
        <v>Assets</v>
      </c>
      <c r="M695" t="str">
        <f>_xlfn.XLOOKUP(Jnl[[#This Row],[Acct]], config_BS[Acct], config_BS[Lv2],,0)</f>
        <v>Rec-Pay</v>
      </c>
      <c r="N695" t="str">
        <f>_xlfn.XLOOKUP(Jnl[[#This Row],[TrxId]], Trx[Id], Trx[IncNode], ,0)</f>
        <v>Revenue</v>
      </c>
      <c r="O695" t="str">
        <f>_xlfn.XLOOKUP(Jnl[[#This Row],[IncNode]], config_IS[Node], config_IS[Type],,0)</f>
        <v>Op</v>
      </c>
      <c r="P695" t="str">
        <f>_xlfn.XLOOKUP(Jnl[[#This Row],[BSLv2]], dict[Key], dict[Name],,0)</f>
        <v>1.应收-应付</v>
      </c>
      <c r="Q695" t="str">
        <f>_xlfn.XLOOKUP(Jnl[[#This Row],[Acct]], dict[Key], dict[Name],,0)</f>
        <v>应收-一般</v>
      </c>
      <c r="R695" t="str">
        <f>_xlfn.XLOOKUP(Jnl[[#This Row],[Vehicle]],config_vehicle[Id], config_vehicle[Name],,0)</f>
        <v>远家文化</v>
      </c>
      <c r="S695" t="str">
        <f>_xlfn.XLOOKUP(Jnl[[#This Row],[Division]],config_div[Id], config_div[Name],,0)</f>
        <v>明月村</v>
      </c>
      <c r="T695" t="str">
        <f>IF(Jnl[[#This Row],[TrxDate]]&lt;=stmt_BS_date_end, "In", "Out")</f>
        <v>In</v>
      </c>
      <c r="U695" t="str">
        <f>IF(Jnl[[#This Row],[TrxDate]]&lt;debug_date_start, "prior", IF(Jnl[[#This Row],[TrxDate]]&gt;debug_date_end, "post", "curr"))</f>
        <v>curr</v>
      </c>
    </row>
    <row r="696" spans="1:21" hidden="1">
      <c r="A696" s="39" t="s">
        <v>1160</v>
      </c>
      <c r="B696" s="6">
        <f>_xlfn.XLOOKUP(Jnl[[#This Row],[TrxId]], Trx[Id], Trx[Date],,0)</f>
        <v>46053</v>
      </c>
      <c r="C696" s="6" t="str">
        <f>_xlfn.XLOOKUP(Jnl[[#This Row],[TrxId]], Trx[Id], Trx[Division],,0)</f>
        <v>MY</v>
      </c>
      <c r="D696" s="6" t="str">
        <f>_xlfn.XLOOKUP(Jnl[[#This Row],[TrxId]], Trx[Id], Trx[Action],,0)</f>
        <v>收款</v>
      </c>
      <c r="E696" s="27" t="s">
        <v>85</v>
      </c>
      <c r="F696" s="10" t="s">
        <v>605</v>
      </c>
      <c r="G696" s="10" t="s">
        <v>138</v>
      </c>
      <c r="H696" s="37">
        <v>298</v>
      </c>
      <c r="I696" s="38" t="b">
        <f>AND(Jnl[[#This Row],[TrxId]]&lt;&gt;"",Jnl[[#This Row],[Acct]]&lt;&gt;"",Jnl[[#This Row],[Item]]&lt;&gt;"",ISNUMBER(Jnl[[#This Row],[Bal]]))</f>
        <v>1</v>
      </c>
      <c r="J696" s="9">
        <f>IF(Jnl[[#This Row],[BSLv0]]="A",1,-1)*Jnl[[#This Row],[Bal]]</f>
        <v>298</v>
      </c>
      <c r="K696" t="str">
        <f>_xlfn.XLOOKUP(Jnl[[#This Row],[Acct]], config_BS[Acct], config_BS[Lv0],,0)</f>
        <v>A</v>
      </c>
      <c r="L696" t="str">
        <f>_xlfn.XLOOKUP(Jnl[[#This Row],[Acct]], config_BS[Acct], config_BS[Lv1],,0)</f>
        <v>Assets</v>
      </c>
      <c r="M696" t="str">
        <f>_xlfn.XLOOKUP(Jnl[[#This Row],[Acct]], config_BS[Acct], config_BS[Lv2],,0)</f>
        <v>Cash alike</v>
      </c>
      <c r="N696" t="str">
        <f>_xlfn.XLOOKUP(Jnl[[#This Row],[TrxId]], Trx[Id], Trx[IncNode], ,0)</f>
        <v>Revenue</v>
      </c>
      <c r="O696" t="str">
        <f>_xlfn.XLOOKUP(Jnl[[#This Row],[IncNode]], config_IS[Node], config_IS[Type],,0)</f>
        <v>Op</v>
      </c>
      <c r="P696" t="str">
        <f>_xlfn.XLOOKUP(Jnl[[#This Row],[BSLv2]], dict[Key], dict[Name],,0)</f>
        <v>0.现金及类似</v>
      </c>
      <c r="Q696" t="str">
        <f>_xlfn.XLOOKUP(Jnl[[#This Row],[Acct]], dict[Key], dict[Name],,0)</f>
        <v>物理现金</v>
      </c>
      <c r="R696" t="str">
        <f>_xlfn.XLOOKUP(Jnl[[#This Row],[Vehicle]],config_vehicle[Id], config_vehicle[Name],,0)</f>
        <v>远家文化</v>
      </c>
      <c r="S696" t="str">
        <f>_xlfn.XLOOKUP(Jnl[[#This Row],[Division]],config_div[Id], config_div[Name],,0)</f>
        <v>明月村</v>
      </c>
      <c r="T696" t="str">
        <f>IF(Jnl[[#This Row],[TrxDate]]&lt;=stmt_BS_date_end, "In", "Out")</f>
        <v>In</v>
      </c>
      <c r="U696" t="str">
        <f>IF(Jnl[[#This Row],[TrxDate]]&lt;debug_date_start, "prior", IF(Jnl[[#This Row],[TrxDate]]&gt;debug_date_end, "post", "curr"))</f>
        <v>curr</v>
      </c>
    </row>
    <row r="697" spans="1:21" hidden="1">
      <c r="A697" s="39" t="s">
        <v>1160</v>
      </c>
      <c r="B697" s="6">
        <f>_xlfn.XLOOKUP(Jnl[[#This Row],[TrxId]], Trx[Id], Trx[Date],,0)</f>
        <v>46053</v>
      </c>
      <c r="C697" s="6" t="str">
        <f>_xlfn.XLOOKUP(Jnl[[#This Row],[TrxId]], Trx[Id], Trx[Division],,0)</f>
        <v>MY</v>
      </c>
      <c r="D697" s="6" t="str">
        <f>_xlfn.XLOOKUP(Jnl[[#This Row],[TrxId]], Trx[Id], Trx[Action],,0)</f>
        <v>收款</v>
      </c>
      <c r="E697" s="27" t="s">
        <v>85</v>
      </c>
      <c r="F697" s="10" t="s">
        <v>599</v>
      </c>
      <c r="G697" s="10" t="s">
        <v>954</v>
      </c>
      <c r="H697" s="37">
        <v>-298</v>
      </c>
      <c r="I697" s="38" t="b">
        <f>AND(Jnl[[#This Row],[TrxId]]&lt;&gt;"",Jnl[[#This Row],[Acct]]&lt;&gt;"",Jnl[[#This Row],[Item]]&lt;&gt;"",ISNUMBER(Jnl[[#This Row],[Bal]]))</f>
        <v>1</v>
      </c>
      <c r="J697" s="9">
        <f>IF(Jnl[[#This Row],[BSLv0]]="A",1,-1)*Jnl[[#This Row],[Bal]]</f>
        <v>-298</v>
      </c>
      <c r="K697" t="str">
        <f>_xlfn.XLOOKUP(Jnl[[#This Row],[Acct]], config_BS[Acct], config_BS[Lv0],,0)</f>
        <v>A</v>
      </c>
      <c r="L697" t="str">
        <f>_xlfn.XLOOKUP(Jnl[[#This Row],[Acct]], config_BS[Acct], config_BS[Lv1],,0)</f>
        <v>Assets</v>
      </c>
      <c r="M697" t="str">
        <f>_xlfn.XLOOKUP(Jnl[[#This Row],[Acct]], config_BS[Acct], config_BS[Lv2],,0)</f>
        <v>Rec-Pay</v>
      </c>
      <c r="N697" t="str">
        <f>_xlfn.XLOOKUP(Jnl[[#This Row],[TrxId]], Trx[Id], Trx[IncNode], ,0)</f>
        <v>Revenue</v>
      </c>
      <c r="O697" t="str">
        <f>_xlfn.XLOOKUP(Jnl[[#This Row],[IncNode]], config_IS[Node], config_IS[Type],,0)</f>
        <v>Op</v>
      </c>
      <c r="P697" t="str">
        <f>_xlfn.XLOOKUP(Jnl[[#This Row],[BSLv2]], dict[Key], dict[Name],,0)</f>
        <v>1.应收-应付</v>
      </c>
      <c r="Q697" t="str">
        <f>_xlfn.XLOOKUP(Jnl[[#This Row],[Acct]], dict[Key], dict[Name],,0)</f>
        <v>应收-一般</v>
      </c>
      <c r="R697" t="str">
        <f>_xlfn.XLOOKUP(Jnl[[#This Row],[Vehicle]],config_vehicle[Id], config_vehicle[Name],,0)</f>
        <v>远家文化</v>
      </c>
      <c r="S697" t="str">
        <f>_xlfn.XLOOKUP(Jnl[[#This Row],[Division]],config_div[Id], config_div[Name],,0)</f>
        <v>明月村</v>
      </c>
      <c r="T697" t="str">
        <f>IF(Jnl[[#This Row],[TrxDate]]&lt;=stmt_BS_date_end, "In", "Out")</f>
        <v>In</v>
      </c>
      <c r="U697" t="str">
        <f>IF(Jnl[[#This Row],[TrxDate]]&lt;debug_date_start, "prior", IF(Jnl[[#This Row],[TrxDate]]&gt;debug_date_end, "post", "curr"))</f>
        <v>curr</v>
      </c>
    </row>
    <row r="698" spans="1:21" hidden="1">
      <c r="A698" s="39" t="s">
        <v>1161</v>
      </c>
      <c r="B698" s="6">
        <f>_xlfn.XLOOKUP(Jnl[[#This Row],[TrxId]], Trx[Id], Trx[Date],,0)</f>
        <v>46053</v>
      </c>
      <c r="C698" s="6" t="str">
        <f>_xlfn.XLOOKUP(Jnl[[#This Row],[TrxId]], Trx[Id], Trx[Division],,0)</f>
        <v>MY</v>
      </c>
      <c r="D698" s="6" t="str">
        <f>_xlfn.XLOOKUP(Jnl[[#This Row],[TrxId]], Trx[Id], Trx[Action],,0)</f>
        <v>福利</v>
      </c>
      <c r="E698" s="27" t="s">
        <v>85</v>
      </c>
      <c r="F698" s="10" t="s">
        <v>605</v>
      </c>
      <c r="G698" s="10" t="s">
        <v>138</v>
      </c>
      <c r="H698" s="37">
        <v>-600</v>
      </c>
      <c r="I698" s="38" t="b">
        <f>AND(Jnl[[#This Row],[TrxId]]&lt;&gt;"",Jnl[[#This Row],[Acct]]&lt;&gt;"",Jnl[[#This Row],[Item]]&lt;&gt;"",ISNUMBER(Jnl[[#This Row],[Bal]]))</f>
        <v>1</v>
      </c>
      <c r="J698" s="9">
        <f>IF(Jnl[[#This Row],[BSLv0]]="A",1,-1)*Jnl[[#This Row],[Bal]]</f>
        <v>-600</v>
      </c>
      <c r="K698" t="str">
        <f>_xlfn.XLOOKUP(Jnl[[#This Row],[Acct]], config_BS[Acct], config_BS[Lv0],,0)</f>
        <v>A</v>
      </c>
      <c r="L698" t="str">
        <f>_xlfn.XLOOKUP(Jnl[[#This Row],[Acct]], config_BS[Acct], config_BS[Lv1],,0)</f>
        <v>Assets</v>
      </c>
      <c r="M698" t="str">
        <f>_xlfn.XLOOKUP(Jnl[[#This Row],[Acct]], config_BS[Acct], config_BS[Lv2],,0)</f>
        <v>Cash alike</v>
      </c>
      <c r="N698" t="str">
        <f>_xlfn.XLOOKUP(Jnl[[#This Row],[TrxId]], Trx[Id], Trx[IncNode], ,0)</f>
        <v>Expense</v>
      </c>
      <c r="O698" t="str">
        <f>_xlfn.XLOOKUP(Jnl[[#This Row],[IncNode]], config_IS[Node], config_IS[Type],,0)</f>
        <v>Op</v>
      </c>
      <c r="P698" t="str">
        <f>_xlfn.XLOOKUP(Jnl[[#This Row],[BSLv2]], dict[Key], dict[Name],,0)</f>
        <v>0.现金及类似</v>
      </c>
      <c r="Q698" t="str">
        <f>_xlfn.XLOOKUP(Jnl[[#This Row],[Acct]], dict[Key], dict[Name],,0)</f>
        <v>物理现金</v>
      </c>
      <c r="R698" t="str">
        <f>_xlfn.XLOOKUP(Jnl[[#This Row],[Vehicle]],config_vehicle[Id], config_vehicle[Name],,0)</f>
        <v>远家文化</v>
      </c>
      <c r="S698" t="str">
        <f>_xlfn.XLOOKUP(Jnl[[#This Row],[Division]],config_div[Id], config_div[Name],,0)</f>
        <v>明月村</v>
      </c>
      <c r="T698" t="str">
        <f>IF(Jnl[[#This Row],[TrxDate]]&lt;=stmt_BS_date_end, "In", "Out")</f>
        <v>In</v>
      </c>
      <c r="U698" t="str">
        <f>IF(Jnl[[#This Row],[TrxDate]]&lt;debug_date_start, "prior", IF(Jnl[[#This Row],[TrxDate]]&gt;debug_date_end, "post", "curr"))</f>
        <v>curr</v>
      </c>
    </row>
    <row r="699" spans="1:21" hidden="1">
      <c r="A699" s="39" t="s">
        <v>1162</v>
      </c>
      <c r="B699" s="6">
        <f>_xlfn.XLOOKUP(Jnl[[#This Row],[TrxId]], Trx[Id], Trx[Date],,0)</f>
        <v>46053</v>
      </c>
      <c r="C699" s="6" t="str">
        <f>_xlfn.XLOOKUP(Jnl[[#This Row],[TrxId]], Trx[Id], Trx[Division],,0)</f>
        <v>MY</v>
      </c>
      <c r="D699" s="6" t="str">
        <f>_xlfn.XLOOKUP(Jnl[[#This Row],[TrxId]], Trx[Id], Trx[Action],,0)</f>
        <v>收款</v>
      </c>
      <c r="E699" s="27" t="s">
        <v>85</v>
      </c>
      <c r="F699" s="10" t="s">
        <v>596</v>
      </c>
      <c r="G699" s="10" t="s">
        <v>852</v>
      </c>
      <c r="H699" s="37">
        <v>3438.72</v>
      </c>
      <c r="I699" s="38" t="b">
        <f>AND(Jnl[[#This Row],[TrxId]]&lt;&gt;"",Jnl[[#This Row],[Acct]]&lt;&gt;"",Jnl[[#This Row],[Item]]&lt;&gt;"",ISNUMBER(Jnl[[#This Row],[Bal]]))</f>
        <v>1</v>
      </c>
      <c r="J699" s="9">
        <f>IF(Jnl[[#This Row],[BSLv0]]="A",1,-1)*Jnl[[#This Row],[Bal]]</f>
        <v>3438.72</v>
      </c>
      <c r="K699" t="str">
        <f>_xlfn.XLOOKUP(Jnl[[#This Row],[Acct]], config_BS[Acct], config_BS[Lv0],,0)</f>
        <v>A</v>
      </c>
      <c r="L699" t="str">
        <f>_xlfn.XLOOKUP(Jnl[[#This Row],[Acct]], config_BS[Acct], config_BS[Lv1],,0)</f>
        <v>Assets</v>
      </c>
      <c r="M699" t="str">
        <f>_xlfn.XLOOKUP(Jnl[[#This Row],[Acct]], config_BS[Acct], config_BS[Lv2],,0)</f>
        <v>Cash alike</v>
      </c>
      <c r="N699" t="str">
        <f>_xlfn.XLOOKUP(Jnl[[#This Row],[TrxId]], Trx[Id], Trx[IncNode], ,0)</f>
        <v>Revenue</v>
      </c>
      <c r="O699" t="str">
        <f>_xlfn.XLOOKUP(Jnl[[#This Row],[IncNode]], config_IS[Node], config_IS[Type],,0)</f>
        <v>Op</v>
      </c>
      <c r="P699" t="str">
        <f>_xlfn.XLOOKUP(Jnl[[#This Row],[BSLv2]], dict[Key], dict[Name],,0)</f>
        <v>0.现金及类似</v>
      </c>
      <c r="Q699" t="str">
        <f>_xlfn.XLOOKUP(Jnl[[#This Row],[Acct]], dict[Key], dict[Name],,0)</f>
        <v>银行</v>
      </c>
      <c r="R699" t="str">
        <f>_xlfn.XLOOKUP(Jnl[[#This Row],[Vehicle]],config_vehicle[Id], config_vehicle[Name],,0)</f>
        <v>远家文化</v>
      </c>
      <c r="S699" t="str">
        <f>_xlfn.XLOOKUP(Jnl[[#This Row],[Division]],config_div[Id], config_div[Name],,0)</f>
        <v>明月村</v>
      </c>
      <c r="T699" t="str">
        <f>IF(Jnl[[#This Row],[TrxDate]]&lt;=stmt_BS_date_end, "In", "Out")</f>
        <v>In</v>
      </c>
      <c r="U699" t="str">
        <f>IF(Jnl[[#This Row],[TrxDate]]&lt;debug_date_start, "prior", IF(Jnl[[#This Row],[TrxDate]]&gt;debug_date_end, "post", "curr"))</f>
        <v>curr</v>
      </c>
    </row>
    <row r="700" spans="1:21" hidden="1">
      <c r="A700" s="39" t="s">
        <v>1162</v>
      </c>
      <c r="B700" s="6">
        <f>_xlfn.XLOOKUP(Jnl[[#This Row],[TrxId]], Trx[Id], Trx[Date],,0)</f>
        <v>46053</v>
      </c>
      <c r="C700" s="6" t="str">
        <f>_xlfn.XLOOKUP(Jnl[[#This Row],[TrxId]], Trx[Id], Trx[Division],,0)</f>
        <v>MY</v>
      </c>
      <c r="D700" s="6" t="str">
        <f>_xlfn.XLOOKUP(Jnl[[#This Row],[TrxId]], Trx[Id], Trx[Action],,0)</f>
        <v>收款</v>
      </c>
      <c r="E700" s="27" t="s">
        <v>85</v>
      </c>
      <c r="F700" s="10" t="s">
        <v>599</v>
      </c>
      <c r="G700" s="10" t="s">
        <v>949</v>
      </c>
      <c r="H700" s="37">
        <v>-3438.72</v>
      </c>
      <c r="I700" s="38" t="b">
        <f>AND(Jnl[[#This Row],[TrxId]]&lt;&gt;"",Jnl[[#This Row],[Acct]]&lt;&gt;"",Jnl[[#This Row],[Item]]&lt;&gt;"",ISNUMBER(Jnl[[#This Row],[Bal]]))</f>
        <v>1</v>
      </c>
      <c r="J700" s="9">
        <f>IF(Jnl[[#This Row],[BSLv0]]="A",1,-1)*Jnl[[#This Row],[Bal]]</f>
        <v>-3438.72</v>
      </c>
      <c r="K700" t="str">
        <f>_xlfn.XLOOKUP(Jnl[[#This Row],[Acct]], config_BS[Acct], config_BS[Lv0],,0)</f>
        <v>A</v>
      </c>
      <c r="L700" t="str">
        <f>_xlfn.XLOOKUP(Jnl[[#This Row],[Acct]], config_BS[Acct], config_BS[Lv1],,0)</f>
        <v>Assets</v>
      </c>
      <c r="M700" t="str">
        <f>_xlfn.XLOOKUP(Jnl[[#This Row],[Acct]], config_BS[Acct], config_BS[Lv2],,0)</f>
        <v>Rec-Pay</v>
      </c>
      <c r="N700" t="str">
        <f>_xlfn.XLOOKUP(Jnl[[#This Row],[TrxId]], Trx[Id], Trx[IncNode], ,0)</f>
        <v>Revenue</v>
      </c>
      <c r="O700" t="str">
        <f>_xlfn.XLOOKUP(Jnl[[#This Row],[IncNode]], config_IS[Node], config_IS[Type],,0)</f>
        <v>Op</v>
      </c>
      <c r="P700" t="str">
        <f>_xlfn.XLOOKUP(Jnl[[#This Row],[BSLv2]], dict[Key], dict[Name],,0)</f>
        <v>1.应收-应付</v>
      </c>
      <c r="Q700" t="str">
        <f>_xlfn.XLOOKUP(Jnl[[#This Row],[Acct]], dict[Key], dict[Name],,0)</f>
        <v>应收-一般</v>
      </c>
      <c r="R700" t="str">
        <f>_xlfn.XLOOKUP(Jnl[[#This Row],[Vehicle]],config_vehicle[Id], config_vehicle[Name],,0)</f>
        <v>远家文化</v>
      </c>
      <c r="S700" t="str">
        <f>_xlfn.XLOOKUP(Jnl[[#This Row],[Division]],config_div[Id], config_div[Name],,0)</f>
        <v>明月村</v>
      </c>
      <c r="T700" t="str">
        <f>IF(Jnl[[#This Row],[TrxDate]]&lt;=stmt_BS_date_end, "In", "Out")</f>
        <v>In</v>
      </c>
      <c r="U700" t="str">
        <f>IF(Jnl[[#This Row],[TrxDate]]&lt;debug_date_start, "prior", IF(Jnl[[#This Row],[TrxDate]]&gt;debug_date_end, "post", "curr"))</f>
        <v>curr</v>
      </c>
    </row>
    <row r="701" spans="1:21" hidden="1">
      <c r="A701" s="39" t="s">
        <v>1163</v>
      </c>
      <c r="B701" s="6">
        <f>_xlfn.XLOOKUP(Jnl[[#This Row],[TrxId]], Trx[Id], Trx[Date],,0)</f>
        <v>46053</v>
      </c>
      <c r="C701" s="6" t="str">
        <f>_xlfn.XLOOKUP(Jnl[[#This Row],[TrxId]], Trx[Id], Trx[Division],,0)</f>
        <v>MY</v>
      </c>
      <c r="D701" s="6" t="str">
        <f>_xlfn.XLOOKUP(Jnl[[#This Row],[TrxId]], Trx[Id], Trx[Action],,0)</f>
        <v>食材</v>
      </c>
      <c r="E701" s="27" t="s">
        <v>85</v>
      </c>
      <c r="F701" s="10" t="s">
        <v>596</v>
      </c>
      <c r="G701" s="10" t="s">
        <v>852</v>
      </c>
      <c r="H701" s="37">
        <v>-118</v>
      </c>
      <c r="I701" s="38" t="b">
        <f>AND(Jnl[[#This Row],[TrxId]]&lt;&gt;"",Jnl[[#This Row],[Acct]]&lt;&gt;"",Jnl[[#This Row],[Item]]&lt;&gt;"",ISNUMBER(Jnl[[#This Row],[Bal]]))</f>
        <v>1</v>
      </c>
      <c r="J701" s="9">
        <f>IF(Jnl[[#This Row],[BSLv0]]="A",1,-1)*Jnl[[#This Row],[Bal]]</f>
        <v>-118</v>
      </c>
      <c r="K701" t="str">
        <f>_xlfn.XLOOKUP(Jnl[[#This Row],[Acct]], config_BS[Acct], config_BS[Lv0],,0)</f>
        <v>A</v>
      </c>
      <c r="L701" t="str">
        <f>_xlfn.XLOOKUP(Jnl[[#This Row],[Acct]], config_BS[Acct], config_BS[Lv1],,0)</f>
        <v>Assets</v>
      </c>
      <c r="M701" t="str">
        <f>_xlfn.XLOOKUP(Jnl[[#This Row],[Acct]], config_BS[Acct], config_BS[Lv2],,0)</f>
        <v>Cash alike</v>
      </c>
      <c r="N701" t="str">
        <f>_xlfn.XLOOKUP(Jnl[[#This Row],[TrxId]], Trx[Id], Trx[IncNode], ,0)</f>
        <v>Cost</v>
      </c>
      <c r="O701" t="str">
        <f>_xlfn.XLOOKUP(Jnl[[#This Row],[IncNode]], config_IS[Node], config_IS[Type],,0)</f>
        <v>Op</v>
      </c>
      <c r="P701" t="str">
        <f>_xlfn.XLOOKUP(Jnl[[#This Row],[BSLv2]], dict[Key], dict[Name],,0)</f>
        <v>0.现金及类似</v>
      </c>
      <c r="Q701" t="str">
        <f>_xlfn.XLOOKUP(Jnl[[#This Row],[Acct]], dict[Key], dict[Name],,0)</f>
        <v>银行</v>
      </c>
      <c r="R701" t="str">
        <f>_xlfn.XLOOKUP(Jnl[[#This Row],[Vehicle]],config_vehicle[Id], config_vehicle[Name],,0)</f>
        <v>远家文化</v>
      </c>
      <c r="S701" t="str">
        <f>_xlfn.XLOOKUP(Jnl[[#This Row],[Division]],config_div[Id], config_div[Name],,0)</f>
        <v>明月村</v>
      </c>
      <c r="T701" t="str">
        <f>IF(Jnl[[#This Row],[TrxDate]]&lt;=stmt_BS_date_end, "In", "Out")</f>
        <v>In</v>
      </c>
      <c r="U701" t="str">
        <f>IF(Jnl[[#This Row],[TrxDate]]&lt;debug_date_start, "prior", IF(Jnl[[#This Row],[TrxDate]]&gt;debug_date_end, "post", "curr"))</f>
        <v>curr</v>
      </c>
    </row>
    <row r="702" spans="1:21" hidden="1">
      <c r="A702" s="39" t="s">
        <v>1164</v>
      </c>
      <c r="B702" s="6">
        <f>_xlfn.XLOOKUP(Jnl[[#This Row],[TrxId]], Trx[Id], Trx[Date],,0)</f>
        <v>46053</v>
      </c>
      <c r="C702" s="6" t="str">
        <f>_xlfn.XLOOKUP(Jnl[[#This Row],[TrxId]], Trx[Id], Trx[Division],,0)</f>
        <v>GM</v>
      </c>
      <c r="D702" s="6" t="str">
        <f>_xlfn.XLOOKUP(Jnl[[#This Row],[TrxId]], Trx[Id], Trx[Action],,0)</f>
        <v>银行费</v>
      </c>
      <c r="E702" s="27" t="s">
        <v>85</v>
      </c>
      <c r="F702" s="10" t="s">
        <v>596</v>
      </c>
      <c r="G702" s="10" t="s">
        <v>852</v>
      </c>
      <c r="H702" s="37">
        <v>-100.5</v>
      </c>
      <c r="I702" s="38" t="b">
        <f>AND(Jnl[[#This Row],[TrxId]]&lt;&gt;"",Jnl[[#This Row],[Acct]]&lt;&gt;"",Jnl[[#This Row],[Item]]&lt;&gt;"",ISNUMBER(Jnl[[#This Row],[Bal]]))</f>
        <v>1</v>
      </c>
      <c r="J702" s="9">
        <f>IF(Jnl[[#This Row],[BSLv0]]="A",1,-1)*Jnl[[#This Row],[Bal]]</f>
        <v>-100.5</v>
      </c>
      <c r="K702" t="str">
        <f>_xlfn.XLOOKUP(Jnl[[#This Row],[Acct]], config_BS[Acct], config_BS[Lv0],,0)</f>
        <v>A</v>
      </c>
      <c r="L702" t="str">
        <f>_xlfn.XLOOKUP(Jnl[[#This Row],[Acct]], config_BS[Acct], config_BS[Lv1],,0)</f>
        <v>Assets</v>
      </c>
      <c r="M702" t="str">
        <f>_xlfn.XLOOKUP(Jnl[[#This Row],[Acct]], config_BS[Acct], config_BS[Lv2],,0)</f>
        <v>Cash alike</v>
      </c>
      <c r="N702" t="str">
        <f>_xlfn.XLOOKUP(Jnl[[#This Row],[TrxId]], Trx[Id], Trx[IncNode], ,0)</f>
        <v>Expense</v>
      </c>
      <c r="O702" t="str">
        <f>_xlfn.XLOOKUP(Jnl[[#This Row],[IncNode]], config_IS[Node], config_IS[Type],,0)</f>
        <v>Op</v>
      </c>
      <c r="P702" t="str">
        <f>_xlfn.XLOOKUP(Jnl[[#This Row],[BSLv2]], dict[Key], dict[Name],,0)</f>
        <v>0.现金及类似</v>
      </c>
      <c r="Q702" t="str">
        <f>_xlfn.XLOOKUP(Jnl[[#This Row],[Acct]], dict[Key], dict[Name],,0)</f>
        <v>银行</v>
      </c>
      <c r="R702" t="str">
        <f>_xlfn.XLOOKUP(Jnl[[#This Row],[Vehicle]],config_vehicle[Id], config_vehicle[Name],,0)</f>
        <v>远家文化</v>
      </c>
      <c r="S702" t="str">
        <f>_xlfn.XLOOKUP(Jnl[[#This Row],[Division]],config_div[Id], config_div[Name],,0)</f>
        <v>综合管理</v>
      </c>
      <c r="T702" t="str">
        <f>IF(Jnl[[#This Row],[TrxDate]]&lt;=stmt_BS_date_end, "In", "Out")</f>
        <v>In</v>
      </c>
      <c r="U702" t="str">
        <f>IF(Jnl[[#This Row],[TrxDate]]&lt;debug_date_start, "prior", IF(Jnl[[#This Row],[TrxDate]]&gt;debug_date_end, "post", "curr"))</f>
        <v>curr</v>
      </c>
    </row>
    <row r="703" spans="1:21" hidden="1">
      <c r="A703" s="39" t="s">
        <v>1165</v>
      </c>
      <c r="B703" s="6">
        <f>_xlfn.XLOOKUP(Jnl[[#This Row],[TrxId]], Trx[Id], Trx[Date],,0)</f>
        <v>46053</v>
      </c>
      <c r="C703" s="6" t="str">
        <f>_xlfn.XLOOKUP(Jnl[[#This Row],[TrxId]], Trx[Id], Trx[Division],,0)</f>
        <v>MY</v>
      </c>
      <c r="D703" s="6" t="str">
        <f>_xlfn.XLOOKUP(Jnl[[#This Row],[TrxId]], Trx[Id], Trx[Action],,0)</f>
        <v>临时人力</v>
      </c>
      <c r="E703" s="27" t="s">
        <v>85</v>
      </c>
      <c r="F703" s="10" t="s">
        <v>596</v>
      </c>
      <c r="G703" s="10" t="s">
        <v>852</v>
      </c>
      <c r="H703" s="37">
        <v>-180</v>
      </c>
      <c r="I703" s="38" t="b">
        <f>AND(Jnl[[#This Row],[TrxId]]&lt;&gt;"",Jnl[[#This Row],[Acct]]&lt;&gt;"",Jnl[[#This Row],[Item]]&lt;&gt;"",ISNUMBER(Jnl[[#This Row],[Bal]]))</f>
        <v>1</v>
      </c>
      <c r="J703" s="9">
        <f>IF(Jnl[[#This Row],[BSLv0]]="A",1,-1)*Jnl[[#This Row],[Bal]]</f>
        <v>-180</v>
      </c>
      <c r="K703" t="str">
        <f>_xlfn.XLOOKUP(Jnl[[#This Row],[Acct]], config_BS[Acct], config_BS[Lv0],,0)</f>
        <v>A</v>
      </c>
      <c r="L703" t="str">
        <f>_xlfn.XLOOKUP(Jnl[[#This Row],[Acct]], config_BS[Acct], config_BS[Lv1],,0)</f>
        <v>Assets</v>
      </c>
      <c r="M703" t="str">
        <f>_xlfn.XLOOKUP(Jnl[[#This Row],[Acct]], config_BS[Acct], config_BS[Lv2],,0)</f>
        <v>Cash alike</v>
      </c>
      <c r="N703" t="str">
        <f>_xlfn.XLOOKUP(Jnl[[#This Row],[TrxId]], Trx[Id], Trx[IncNode], ,0)</f>
        <v>Expense</v>
      </c>
      <c r="O703" t="str">
        <f>_xlfn.XLOOKUP(Jnl[[#This Row],[IncNode]], config_IS[Node], config_IS[Type],,0)</f>
        <v>Op</v>
      </c>
      <c r="P703" t="str">
        <f>_xlfn.XLOOKUP(Jnl[[#This Row],[BSLv2]], dict[Key], dict[Name],,0)</f>
        <v>0.现金及类似</v>
      </c>
      <c r="Q703" t="str">
        <f>_xlfn.XLOOKUP(Jnl[[#This Row],[Acct]], dict[Key], dict[Name],,0)</f>
        <v>银行</v>
      </c>
      <c r="R703" t="str">
        <f>_xlfn.XLOOKUP(Jnl[[#This Row],[Vehicle]],config_vehicle[Id], config_vehicle[Name],,0)</f>
        <v>远家文化</v>
      </c>
      <c r="S703" t="str">
        <f>_xlfn.XLOOKUP(Jnl[[#This Row],[Division]],config_div[Id], config_div[Name],,0)</f>
        <v>明月村</v>
      </c>
      <c r="T703" t="str">
        <f>IF(Jnl[[#This Row],[TrxDate]]&lt;=stmt_BS_date_end, "In", "Out")</f>
        <v>In</v>
      </c>
      <c r="U703" t="str">
        <f>IF(Jnl[[#This Row],[TrxDate]]&lt;debug_date_start, "prior", IF(Jnl[[#This Row],[TrxDate]]&gt;debug_date_end, "post", "curr"))</f>
        <v>curr</v>
      </c>
    </row>
    <row r="704" spans="1:21" hidden="1">
      <c r="A704" s="39" t="s">
        <v>1166</v>
      </c>
      <c r="B704" s="6">
        <f>_xlfn.XLOOKUP(Jnl[[#This Row],[TrxId]], Trx[Id], Trx[Date],,0)</f>
        <v>46053</v>
      </c>
      <c r="C704" s="6" t="str">
        <f>_xlfn.XLOOKUP(Jnl[[#This Row],[TrxId]], Trx[Id], Trx[Division],,0)</f>
        <v>MY</v>
      </c>
      <c r="D704" s="6" t="str">
        <f>_xlfn.XLOOKUP(Jnl[[#This Row],[TrxId]], Trx[Id], Trx[Action],,0)</f>
        <v>食材</v>
      </c>
      <c r="E704" s="27" t="s">
        <v>85</v>
      </c>
      <c r="F704" s="10" t="s">
        <v>596</v>
      </c>
      <c r="G704" s="10" t="s">
        <v>852</v>
      </c>
      <c r="H704" s="37">
        <v>-1826</v>
      </c>
      <c r="I704" s="38" t="b">
        <f>AND(Jnl[[#This Row],[TrxId]]&lt;&gt;"",Jnl[[#This Row],[Acct]]&lt;&gt;"",Jnl[[#This Row],[Item]]&lt;&gt;"",ISNUMBER(Jnl[[#This Row],[Bal]]))</f>
        <v>1</v>
      </c>
      <c r="J704" s="9">
        <f>IF(Jnl[[#This Row],[BSLv0]]="A",1,-1)*Jnl[[#This Row],[Bal]]</f>
        <v>-1826</v>
      </c>
      <c r="K704" t="str">
        <f>_xlfn.XLOOKUP(Jnl[[#This Row],[Acct]], config_BS[Acct], config_BS[Lv0],,0)</f>
        <v>A</v>
      </c>
      <c r="L704" t="str">
        <f>_xlfn.XLOOKUP(Jnl[[#This Row],[Acct]], config_BS[Acct], config_BS[Lv1],,0)</f>
        <v>Assets</v>
      </c>
      <c r="M704" t="str">
        <f>_xlfn.XLOOKUP(Jnl[[#This Row],[Acct]], config_BS[Acct], config_BS[Lv2],,0)</f>
        <v>Cash alike</v>
      </c>
      <c r="N704" t="str">
        <f>_xlfn.XLOOKUP(Jnl[[#This Row],[TrxId]], Trx[Id], Trx[IncNode], ,0)</f>
        <v>Cost</v>
      </c>
      <c r="O704" t="str">
        <f>_xlfn.XLOOKUP(Jnl[[#This Row],[IncNode]], config_IS[Node], config_IS[Type],,0)</f>
        <v>Op</v>
      </c>
      <c r="P704" t="str">
        <f>_xlfn.XLOOKUP(Jnl[[#This Row],[BSLv2]], dict[Key], dict[Name],,0)</f>
        <v>0.现金及类似</v>
      </c>
      <c r="Q704" t="str">
        <f>_xlfn.XLOOKUP(Jnl[[#This Row],[Acct]], dict[Key], dict[Name],,0)</f>
        <v>银行</v>
      </c>
      <c r="R704" t="str">
        <f>_xlfn.XLOOKUP(Jnl[[#This Row],[Vehicle]],config_vehicle[Id], config_vehicle[Name],,0)</f>
        <v>远家文化</v>
      </c>
      <c r="S704" t="str">
        <f>_xlfn.XLOOKUP(Jnl[[#This Row],[Division]],config_div[Id], config_div[Name],,0)</f>
        <v>明月村</v>
      </c>
      <c r="T704" t="str">
        <f>IF(Jnl[[#This Row],[TrxDate]]&lt;=stmt_BS_date_end, "In", "Out")</f>
        <v>In</v>
      </c>
      <c r="U704" t="str">
        <f>IF(Jnl[[#This Row],[TrxDate]]&lt;debug_date_start, "prior", IF(Jnl[[#This Row],[TrxDate]]&gt;debug_date_end, "post", "curr"))</f>
        <v>curr</v>
      </c>
    </row>
    <row r="705" spans="1:21" hidden="1">
      <c r="A705" s="39" t="s">
        <v>1167</v>
      </c>
      <c r="B705" s="6">
        <f>_xlfn.XLOOKUP(Jnl[[#This Row],[TrxId]], Trx[Id], Trx[Date],,0)</f>
        <v>46053</v>
      </c>
      <c r="C705" s="6" t="str">
        <f>_xlfn.XLOOKUP(Jnl[[#This Row],[TrxId]], Trx[Id], Trx[Division],,0)</f>
        <v>MY</v>
      </c>
      <c r="D705" s="6" t="str">
        <f>_xlfn.XLOOKUP(Jnl[[#This Row],[TrxId]], Trx[Id], Trx[Action],,0)</f>
        <v>演出</v>
      </c>
      <c r="E705" s="27" t="s">
        <v>85</v>
      </c>
      <c r="F705" s="10" t="s">
        <v>596</v>
      </c>
      <c r="G705" s="10" t="s">
        <v>852</v>
      </c>
      <c r="H705" s="37">
        <v>-2000</v>
      </c>
      <c r="I705" s="38" t="b">
        <f>AND(Jnl[[#This Row],[TrxId]]&lt;&gt;"",Jnl[[#This Row],[Acct]]&lt;&gt;"",Jnl[[#This Row],[Item]]&lt;&gt;"",ISNUMBER(Jnl[[#This Row],[Bal]]))</f>
        <v>1</v>
      </c>
      <c r="J705" s="9">
        <f>IF(Jnl[[#This Row],[BSLv0]]="A",1,-1)*Jnl[[#This Row],[Bal]]</f>
        <v>-2000</v>
      </c>
      <c r="K705" t="str">
        <f>_xlfn.XLOOKUP(Jnl[[#This Row],[Acct]], config_BS[Acct], config_BS[Lv0],,0)</f>
        <v>A</v>
      </c>
      <c r="L705" t="str">
        <f>_xlfn.XLOOKUP(Jnl[[#This Row],[Acct]], config_BS[Acct], config_BS[Lv1],,0)</f>
        <v>Assets</v>
      </c>
      <c r="M705" t="str">
        <f>_xlfn.XLOOKUP(Jnl[[#This Row],[Acct]], config_BS[Acct], config_BS[Lv2],,0)</f>
        <v>Cash alike</v>
      </c>
      <c r="N705" t="str">
        <f>_xlfn.XLOOKUP(Jnl[[#This Row],[TrxId]], Trx[Id], Trx[IncNode], ,0)</f>
        <v>Cost</v>
      </c>
      <c r="O705" t="str">
        <f>_xlfn.XLOOKUP(Jnl[[#This Row],[IncNode]], config_IS[Node], config_IS[Type],,0)</f>
        <v>Op</v>
      </c>
      <c r="P705" t="str">
        <f>_xlfn.XLOOKUP(Jnl[[#This Row],[BSLv2]], dict[Key], dict[Name],,0)</f>
        <v>0.现金及类似</v>
      </c>
      <c r="Q705" t="str">
        <f>_xlfn.XLOOKUP(Jnl[[#This Row],[Acct]], dict[Key], dict[Name],,0)</f>
        <v>银行</v>
      </c>
      <c r="R705" t="str">
        <f>_xlfn.XLOOKUP(Jnl[[#This Row],[Vehicle]],config_vehicle[Id], config_vehicle[Name],,0)</f>
        <v>远家文化</v>
      </c>
      <c r="S705" t="str">
        <f>_xlfn.XLOOKUP(Jnl[[#This Row],[Division]],config_div[Id], config_div[Name],,0)</f>
        <v>明月村</v>
      </c>
      <c r="T705" t="str">
        <f>IF(Jnl[[#This Row],[TrxDate]]&lt;=stmt_BS_date_end, "In", "Out")</f>
        <v>In</v>
      </c>
      <c r="U705" t="str">
        <f>IF(Jnl[[#This Row],[TrxDate]]&lt;debug_date_start, "prior", IF(Jnl[[#This Row],[TrxDate]]&gt;debug_date_end, "post", "curr"))</f>
        <v>curr</v>
      </c>
    </row>
    <row r="706" spans="1:21" hidden="1">
      <c r="A706" s="39" t="s">
        <v>1168</v>
      </c>
      <c r="B706" s="6">
        <f>_xlfn.XLOOKUP(Jnl[[#This Row],[TrxId]], Trx[Id], Trx[Date],,0)</f>
        <v>46053</v>
      </c>
      <c r="C706" s="6" t="str">
        <f>_xlfn.XLOOKUP(Jnl[[#This Row],[TrxId]], Trx[Id], Trx[Division],,0)</f>
        <v>MY</v>
      </c>
      <c r="D706" s="6" t="str">
        <f>_xlfn.XLOOKUP(Jnl[[#This Row],[TrxId]], Trx[Id], Trx[Action],,0)</f>
        <v>杂项</v>
      </c>
      <c r="E706" s="27" t="s">
        <v>85</v>
      </c>
      <c r="F706" s="10" t="s">
        <v>596</v>
      </c>
      <c r="G706" s="10" t="s">
        <v>852</v>
      </c>
      <c r="H706" s="37">
        <v>-1600</v>
      </c>
      <c r="I706" s="38" t="b">
        <f>AND(Jnl[[#This Row],[TrxId]]&lt;&gt;"",Jnl[[#This Row],[Acct]]&lt;&gt;"",Jnl[[#This Row],[Item]]&lt;&gt;"",ISNUMBER(Jnl[[#This Row],[Bal]]))</f>
        <v>1</v>
      </c>
      <c r="J706" s="9">
        <f>IF(Jnl[[#This Row],[BSLv0]]="A",1,-1)*Jnl[[#This Row],[Bal]]</f>
        <v>-1600</v>
      </c>
      <c r="K706" t="str">
        <f>_xlfn.XLOOKUP(Jnl[[#This Row],[Acct]], config_BS[Acct], config_BS[Lv0],,0)</f>
        <v>A</v>
      </c>
      <c r="L706" t="str">
        <f>_xlfn.XLOOKUP(Jnl[[#This Row],[Acct]], config_BS[Acct], config_BS[Lv1],,0)</f>
        <v>Assets</v>
      </c>
      <c r="M706" t="str">
        <f>_xlfn.XLOOKUP(Jnl[[#This Row],[Acct]], config_BS[Acct], config_BS[Lv2],,0)</f>
        <v>Cash alike</v>
      </c>
      <c r="N706" t="str">
        <f>_xlfn.XLOOKUP(Jnl[[#This Row],[TrxId]], Trx[Id], Trx[IncNode], ,0)</f>
        <v>Expense</v>
      </c>
      <c r="O706" t="str">
        <f>_xlfn.XLOOKUP(Jnl[[#This Row],[IncNode]], config_IS[Node], config_IS[Type],,0)</f>
        <v>Op</v>
      </c>
      <c r="P706" t="str">
        <f>_xlfn.XLOOKUP(Jnl[[#This Row],[BSLv2]], dict[Key], dict[Name],,0)</f>
        <v>0.现金及类似</v>
      </c>
      <c r="Q706" t="str">
        <f>_xlfn.XLOOKUP(Jnl[[#This Row],[Acct]], dict[Key], dict[Name],,0)</f>
        <v>银行</v>
      </c>
      <c r="R706" t="str">
        <f>_xlfn.XLOOKUP(Jnl[[#This Row],[Vehicle]],config_vehicle[Id], config_vehicle[Name],,0)</f>
        <v>远家文化</v>
      </c>
      <c r="S706" t="str">
        <f>_xlfn.XLOOKUP(Jnl[[#This Row],[Division]],config_div[Id], config_div[Name],,0)</f>
        <v>明月村</v>
      </c>
      <c r="T706" t="str">
        <f>IF(Jnl[[#This Row],[TrxDate]]&lt;=stmt_BS_date_end, "In", "Out")</f>
        <v>In</v>
      </c>
      <c r="U706" t="str">
        <f>IF(Jnl[[#This Row],[TrxDate]]&lt;debug_date_start, "prior", IF(Jnl[[#This Row],[TrxDate]]&gt;debug_date_end, "post", "curr"))</f>
        <v>curr</v>
      </c>
    </row>
    <row r="707" spans="1:21" hidden="1">
      <c r="A707" s="39" t="s">
        <v>1169</v>
      </c>
      <c r="B707" s="6">
        <f>_xlfn.XLOOKUP(Jnl[[#This Row],[TrxId]], Trx[Id], Trx[Date],,0)</f>
        <v>46053</v>
      </c>
      <c r="C707" s="6" t="str">
        <f>_xlfn.XLOOKUP(Jnl[[#This Row],[TrxId]], Trx[Id], Trx[Division],,0)</f>
        <v>MY</v>
      </c>
      <c r="D707" s="6" t="str">
        <f>_xlfn.XLOOKUP(Jnl[[#This Row],[TrxId]], Trx[Id], Trx[Action],,0)</f>
        <v>收款</v>
      </c>
      <c r="E707" s="27" t="s">
        <v>85</v>
      </c>
      <c r="F707" s="10" t="s">
        <v>596</v>
      </c>
      <c r="G707" s="10" t="s">
        <v>852</v>
      </c>
      <c r="H707" s="37">
        <v>4211.33</v>
      </c>
      <c r="I707" s="38" t="b">
        <f>AND(Jnl[[#This Row],[TrxId]]&lt;&gt;"",Jnl[[#This Row],[Acct]]&lt;&gt;"",Jnl[[#This Row],[Item]]&lt;&gt;"",ISNUMBER(Jnl[[#This Row],[Bal]]))</f>
        <v>1</v>
      </c>
      <c r="J707" s="9">
        <f>IF(Jnl[[#This Row],[BSLv0]]="A",1,-1)*Jnl[[#This Row],[Bal]]</f>
        <v>4211.33</v>
      </c>
      <c r="K707" t="str">
        <f>_xlfn.XLOOKUP(Jnl[[#This Row],[Acct]], config_BS[Acct], config_BS[Lv0],,0)</f>
        <v>A</v>
      </c>
      <c r="L707" t="str">
        <f>_xlfn.XLOOKUP(Jnl[[#This Row],[Acct]], config_BS[Acct], config_BS[Lv1],,0)</f>
        <v>Assets</v>
      </c>
      <c r="M707" t="str">
        <f>_xlfn.XLOOKUP(Jnl[[#This Row],[Acct]], config_BS[Acct], config_BS[Lv2],,0)</f>
        <v>Cash alike</v>
      </c>
      <c r="N707" t="str">
        <f>_xlfn.XLOOKUP(Jnl[[#This Row],[TrxId]], Trx[Id], Trx[IncNode], ,0)</f>
        <v>Revenue</v>
      </c>
      <c r="O707" t="str">
        <f>_xlfn.XLOOKUP(Jnl[[#This Row],[IncNode]], config_IS[Node], config_IS[Type],,0)</f>
        <v>Op</v>
      </c>
      <c r="P707" t="str">
        <f>_xlfn.XLOOKUP(Jnl[[#This Row],[BSLv2]], dict[Key], dict[Name],,0)</f>
        <v>0.现金及类似</v>
      </c>
      <c r="Q707" t="str">
        <f>_xlfn.XLOOKUP(Jnl[[#This Row],[Acct]], dict[Key], dict[Name],,0)</f>
        <v>银行</v>
      </c>
      <c r="R707" t="str">
        <f>_xlfn.XLOOKUP(Jnl[[#This Row],[Vehicle]],config_vehicle[Id], config_vehicle[Name],,0)</f>
        <v>远家文化</v>
      </c>
      <c r="S707" t="str">
        <f>_xlfn.XLOOKUP(Jnl[[#This Row],[Division]],config_div[Id], config_div[Name],,0)</f>
        <v>明月村</v>
      </c>
      <c r="T707" t="str">
        <f>IF(Jnl[[#This Row],[TrxDate]]&lt;=stmt_BS_date_end, "In", "Out")</f>
        <v>In</v>
      </c>
      <c r="U707" t="str">
        <f>IF(Jnl[[#This Row],[TrxDate]]&lt;debug_date_start, "prior", IF(Jnl[[#This Row],[TrxDate]]&gt;debug_date_end, "post", "curr"))</f>
        <v>curr</v>
      </c>
    </row>
    <row r="708" spans="1:21" hidden="1">
      <c r="A708" s="39" t="s">
        <v>1169</v>
      </c>
      <c r="B708" s="6">
        <f>_xlfn.XLOOKUP(Jnl[[#This Row],[TrxId]], Trx[Id], Trx[Date],,0)</f>
        <v>46053</v>
      </c>
      <c r="C708" s="6" t="str">
        <f>_xlfn.XLOOKUP(Jnl[[#This Row],[TrxId]], Trx[Id], Trx[Division],,0)</f>
        <v>MY</v>
      </c>
      <c r="D708" s="6" t="str">
        <f>_xlfn.XLOOKUP(Jnl[[#This Row],[TrxId]], Trx[Id], Trx[Action],,0)</f>
        <v>收款</v>
      </c>
      <c r="E708" s="27" t="s">
        <v>85</v>
      </c>
      <c r="F708" s="10" t="s">
        <v>599</v>
      </c>
      <c r="G708" s="10" t="s">
        <v>949</v>
      </c>
      <c r="H708" s="37">
        <v>-4211.33</v>
      </c>
      <c r="I708" s="38" t="b">
        <f>AND(Jnl[[#This Row],[TrxId]]&lt;&gt;"",Jnl[[#This Row],[Acct]]&lt;&gt;"",Jnl[[#This Row],[Item]]&lt;&gt;"",ISNUMBER(Jnl[[#This Row],[Bal]]))</f>
        <v>1</v>
      </c>
      <c r="J708" s="9">
        <f>IF(Jnl[[#This Row],[BSLv0]]="A",1,-1)*Jnl[[#This Row],[Bal]]</f>
        <v>-4211.33</v>
      </c>
      <c r="K708" t="str">
        <f>_xlfn.XLOOKUP(Jnl[[#This Row],[Acct]], config_BS[Acct], config_BS[Lv0],,0)</f>
        <v>A</v>
      </c>
      <c r="L708" t="str">
        <f>_xlfn.XLOOKUP(Jnl[[#This Row],[Acct]], config_BS[Acct], config_BS[Lv1],,0)</f>
        <v>Assets</v>
      </c>
      <c r="M708" t="str">
        <f>_xlfn.XLOOKUP(Jnl[[#This Row],[Acct]], config_BS[Acct], config_BS[Lv2],,0)</f>
        <v>Rec-Pay</v>
      </c>
      <c r="N708" t="str">
        <f>_xlfn.XLOOKUP(Jnl[[#This Row],[TrxId]], Trx[Id], Trx[IncNode], ,0)</f>
        <v>Revenue</v>
      </c>
      <c r="O708" t="str">
        <f>_xlfn.XLOOKUP(Jnl[[#This Row],[IncNode]], config_IS[Node], config_IS[Type],,0)</f>
        <v>Op</v>
      </c>
      <c r="P708" t="str">
        <f>_xlfn.XLOOKUP(Jnl[[#This Row],[BSLv2]], dict[Key], dict[Name],,0)</f>
        <v>1.应收-应付</v>
      </c>
      <c r="Q708" t="str">
        <f>_xlfn.XLOOKUP(Jnl[[#This Row],[Acct]], dict[Key], dict[Name],,0)</f>
        <v>应收-一般</v>
      </c>
      <c r="R708" t="str">
        <f>_xlfn.XLOOKUP(Jnl[[#This Row],[Vehicle]],config_vehicle[Id], config_vehicle[Name],,0)</f>
        <v>远家文化</v>
      </c>
      <c r="S708" t="str">
        <f>_xlfn.XLOOKUP(Jnl[[#This Row],[Division]],config_div[Id], config_div[Name],,0)</f>
        <v>明月村</v>
      </c>
      <c r="T708" t="str">
        <f>IF(Jnl[[#This Row],[TrxDate]]&lt;=stmt_BS_date_end, "In", "Out")</f>
        <v>In</v>
      </c>
      <c r="U708" t="str">
        <f>IF(Jnl[[#This Row],[TrxDate]]&lt;debug_date_start, "prior", IF(Jnl[[#This Row],[TrxDate]]&gt;debug_date_end, "post", "curr"))</f>
        <v>curr</v>
      </c>
    </row>
    <row r="709" spans="1:21" hidden="1">
      <c r="A709" s="39" t="s">
        <v>1170</v>
      </c>
      <c r="B709" s="6">
        <f>_xlfn.XLOOKUP(Jnl[[#This Row],[TrxId]], Trx[Id], Trx[Date],,0)</f>
        <v>46053</v>
      </c>
      <c r="C709" s="6" t="str">
        <f>_xlfn.XLOOKUP(Jnl[[#This Row],[TrxId]], Trx[Id], Trx[Division],,0)</f>
        <v>MY</v>
      </c>
      <c r="D709" s="6" t="str">
        <f>_xlfn.XLOOKUP(Jnl[[#This Row],[TrxId]], Trx[Id], Trx[Action],,0)</f>
        <v>收款</v>
      </c>
      <c r="E709" s="27" t="s">
        <v>85</v>
      </c>
      <c r="F709" s="10" t="s">
        <v>596</v>
      </c>
      <c r="G709" s="10" t="s">
        <v>852</v>
      </c>
      <c r="H709" s="37">
        <v>3394.82</v>
      </c>
      <c r="I709" s="38" t="b">
        <f>AND(Jnl[[#This Row],[TrxId]]&lt;&gt;"",Jnl[[#This Row],[Acct]]&lt;&gt;"",Jnl[[#This Row],[Item]]&lt;&gt;"",ISNUMBER(Jnl[[#This Row],[Bal]]))</f>
        <v>1</v>
      </c>
      <c r="J709" s="9">
        <f>IF(Jnl[[#This Row],[BSLv0]]="A",1,-1)*Jnl[[#This Row],[Bal]]</f>
        <v>3394.82</v>
      </c>
      <c r="K709" t="str">
        <f>_xlfn.XLOOKUP(Jnl[[#This Row],[Acct]], config_BS[Acct], config_BS[Lv0],,0)</f>
        <v>A</v>
      </c>
      <c r="L709" t="str">
        <f>_xlfn.XLOOKUP(Jnl[[#This Row],[Acct]], config_BS[Acct], config_BS[Lv1],,0)</f>
        <v>Assets</v>
      </c>
      <c r="M709" t="str">
        <f>_xlfn.XLOOKUP(Jnl[[#This Row],[Acct]], config_BS[Acct], config_BS[Lv2],,0)</f>
        <v>Cash alike</v>
      </c>
      <c r="N709" t="str">
        <f>_xlfn.XLOOKUP(Jnl[[#This Row],[TrxId]], Trx[Id], Trx[IncNode], ,0)</f>
        <v>Revenue</v>
      </c>
      <c r="O709" t="str">
        <f>_xlfn.XLOOKUP(Jnl[[#This Row],[IncNode]], config_IS[Node], config_IS[Type],,0)</f>
        <v>Op</v>
      </c>
      <c r="P709" t="str">
        <f>_xlfn.XLOOKUP(Jnl[[#This Row],[BSLv2]], dict[Key], dict[Name],,0)</f>
        <v>0.现金及类似</v>
      </c>
      <c r="Q709" t="str">
        <f>_xlfn.XLOOKUP(Jnl[[#This Row],[Acct]], dict[Key], dict[Name],,0)</f>
        <v>银行</v>
      </c>
      <c r="R709" t="str">
        <f>_xlfn.XLOOKUP(Jnl[[#This Row],[Vehicle]],config_vehicle[Id], config_vehicle[Name],,0)</f>
        <v>远家文化</v>
      </c>
      <c r="S709" t="str">
        <f>_xlfn.XLOOKUP(Jnl[[#This Row],[Division]],config_div[Id], config_div[Name],,0)</f>
        <v>明月村</v>
      </c>
      <c r="T709" t="str">
        <f>IF(Jnl[[#This Row],[TrxDate]]&lt;=stmt_BS_date_end, "In", "Out")</f>
        <v>In</v>
      </c>
      <c r="U709" t="str">
        <f>IF(Jnl[[#This Row],[TrxDate]]&lt;debug_date_start, "prior", IF(Jnl[[#This Row],[TrxDate]]&gt;debug_date_end, "post", "curr"))</f>
        <v>curr</v>
      </c>
    </row>
    <row r="710" spans="1:21" hidden="1">
      <c r="A710" s="39" t="s">
        <v>1170</v>
      </c>
      <c r="B710" s="6">
        <f>_xlfn.XLOOKUP(Jnl[[#This Row],[TrxId]], Trx[Id], Trx[Date],,0)</f>
        <v>46053</v>
      </c>
      <c r="C710" s="6" t="str">
        <f>_xlfn.XLOOKUP(Jnl[[#This Row],[TrxId]], Trx[Id], Trx[Division],,0)</f>
        <v>MY</v>
      </c>
      <c r="D710" s="6" t="str">
        <f>_xlfn.XLOOKUP(Jnl[[#This Row],[TrxId]], Trx[Id], Trx[Action],,0)</f>
        <v>收款</v>
      </c>
      <c r="E710" s="27" t="s">
        <v>85</v>
      </c>
      <c r="F710" s="10" t="s">
        <v>599</v>
      </c>
      <c r="G710" s="10" t="s">
        <v>1138</v>
      </c>
      <c r="H710" s="37">
        <v>-3394.82</v>
      </c>
      <c r="I710" s="38" t="b">
        <f>AND(Jnl[[#This Row],[TrxId]]&lt;&gt;"",Jnl[[#This Row],[Acct]]&lt;&gt;"",Jnl[[#This Row],[Item]]&lt;&gt;"",ISNUMBER(Jnl[[#This Row],[Bal]]))</f>
        <v>1</v>
      </c>
      <c r="J710" s="9">
        <f>IF(Jnl[[#This Row],[BSLv0]]="A",1,-1)*Jnl[[#This Row],[Bal]]</f>
        <v>-3394.82</v>
      </c>
      <c r="K710" t="str">
        <f>_xlfn.XLOOKUP(Jnl[[#This Row],[Acct]], config_BS[Acct], config_BS[Lv0],,0)</f>
        <v>A</v>
      </c>
      <c r="L710" t="str">
        <f>_xlfn.XLOOKUP(Jnl[[#This Row],[Acct]], config_BS[Acct], config_BS[Lv1],,0)</f>
        <v>Assets</v>
      </c>
      <c r="M710" t="str">
        <f>_xlfn.XLOOKUP(Jnl[[#This Row],[Acct]], config_BS[Acct], config_BS[Lv2],,0)</f>
        <v>Rec-Pay</v>
      </c>
      <c r="N710" t="str">
        <f>_xlfn.XLOOKUP(Jnl[[#This Row],[TrxId]], Trx[Id], Trx[IncNode], ,0)</f>
        <v>Revenue</v>
      </c>
      <c r="O710" t="str">
        <f>_xlfn.XLOOKUP(Jnl[[#This Row],[IncNode]], config_IS[Node], config_IS[Type],,0)</f>
        <v>Op</v>
      </c>
      <c r="P710" t="str">
        <f>_xlfn.XLOOKUP(Jnl[[#This Row],[BSLv2]], dict[Key], dict[Name],,0)</f>
        <v>1.应收-应付</v>
      </c>
      <c r="Q710" t="str">
        <f>_xlfn.XLOOKUP(Jnl[[#This Row],[Acct]], dict[Key], dict[Name],,0)</f>
        <v>应收-一般</v>
      </c>
      <c r="R710" t="str">
        <f>_xlfn.XLOOKUP(Jnl[[#This Row],[Vehicle]],config_vehicle[Id], config_vehicle[Name],,0)</f>
        <v>远家文化</v>
      </c>
      <c r="S710" t="str">
        <f>_xlfn.XLOOKUP(Jnl[[#This Row],[Division]],config_div[Id], config_div[Name],,0)</f>
        <v>明月村</v>
      </c>
      <c r="T710" t="str">
        <f>IF(Jnl[[#This Row],[TrxDate]]&lt;=stmt_BS_date_end, "In", "Out")</f>
        <v>In</v>
      </c>
      <c r="U710" t="str">
        <f>IF(Jnl[[#This Row],[TrxDate]]&lt;debug_date_start, "prior", IF(Jnl[[#This Row],[TrxDate]]&gt;debug_date_end, "post", "curr"))</f>
        <v>curr</v>
      </c>
    </row>
    <row r="711" spans="1:21" hidden="1">
      <c r="A711" s="39" t="s">
        <v>1171</v>
      </c>
      <c r="B711" s="6">
        <f>_xlfn.XLOOKUP(Jnl[[#This Row],[TrxId]], Trx[Id], Trx[Date],,0)</f>
        <v>46053</v>
      </c>
      <c r="C711" s="6" t="str">
        <f>_xlfn.XLOOKUP(Jnl[[#This Row],[TrxId]], Trx[Id], Trx[Division],,0)</f>
        <v>MY</v>
      </c>
      <c r="D711" s="6" t="str">
        <f>_xlfn.XLOOKUP(Jnl[[#This Row],[TrxId]], Trx[Id], Trx[Action],,0)</f>
        <v>收款</v>
      </c>
      <c r="E711" s="27" t="s">
        <v>85</v>
      </c>
      <c r="F711" s="10" t="s">
        <v>596</v>
      </c>
      <c r="G711" s="10" t="s">
        <v>852</v>
      </c>
      <c r="H711" s="37">
        <v>9243</v>
      </c>
      <c r="I711" s="38" t="b">
        <f>AND(Jnl[[#This Row],[TrxId]]&lt;&gt;"",Jnl[[#This Row],[Acct]]&lt;&gt;"",Jnl[[#This Row],[Item]]&lt;&gt;"",ISNUMBER(Jnl[[#This Row],[Bal]]))</f>
        <v>1</v>
      </c>
      <c r="J711" s="9">
        <f>IF(Jnl[[#This Row],[BSLv0]]="A",1,-1)*Jnl[[#This Row],[Bal]]</f>
        <v>9243</v>
      </c>
      <c r="K711" t="str">
        <f>_xlfn.XLOOKUP(Jnl[[#This Row],[Acct]], config_BS[Acct], config_BS[Lv0],,0)</f>
        <v>A</v>
      </c>
      <c r="L711" t="str">
        <f>_xlfn.XLOOKUP(Jnl[[#This Row],[Acct]], config_BS[Acct], config_BS[Lv1],,0)</f>
        <v>Assets</v>
      </c>
      <c r="M711" t="str">
        <f>_xlfn.XLOOKUP(Jnl[[#This Row],[Acct]], config_BS[Acct], config_BS[Lv2],,0)</f>
        <v>Cash alike</v>
      </c>
      <c r="N711" t="str">
        <f>_xlfn.XLOOKUP(Jnl[[#This Row],[TrxId]], Trx[Id], Trx[IncNode], ,0)</f>
        <v>Revenue</v>
      </c>
      <c r="O711" t="str">
        <f>_xlfn.XLOOKUP(Jnl[[#This Row],[IncNode]], config_IS[Node], config_IS[Type],,0)</f>
        <v>Op</v>
      </c>
      <c r="P711" t="str">
        <f>_xlfn.XLOOKUP(Jnl[[#This Row],[BSLv2]], dict[Key], dict[Name],,0)</f>
        <v>0.现金及类似</v>
      </c>
      <c r="Q711" t="str">
        <f>_xlfn.XLOOKUP(Jnl[[#This Row],[Acct]], dict[Key], dict[Name],,0)</f>
        <v>银行</v>
      </c>
      <c r="R711" t="str">
        <f>_xlfn.XLOOKUP(Jnl[[#This Row],[Vehicle]],config_vehicle[Id], config_vehicle[Name],,0)</f>
        <v>远家文化</v>
      </c>
      <c r="S711" t="str">
        <f>_xlfn.XLOOKUP(Jnl[[#This Row],[Division]],config_div[Id], config_div[Name],,0)</f>
        <v>明月村</v>
      </c>
      <c r="T711" t="str">
        <f>IF(Jnl[[#This Row],[TrxDate]]&lt;=stmt_BS_date_end, "In", "Out")</f>
        <v>In</v>
      </c>
      <c r="U711" t="str">
        <f>IF(Jnl[[#This Row],[TrxDate]]&lt;debug_date_start, "prior", IF(Jnl[[#This Row],[TrxDate]]&gt;debug_date_end, "post", "curr"))</f>
        <v>curr</v>
      </c>
    </row>
    <row r="712" spans="1:21" hidden="1">
      <c r="A712" s="39" t="s">
        <v>1171</v>
      </c>
      <c r="B712" s="6">
        <f>_xlfn.XLOOKUP(Jnl[[#This Row],[TrxId]], Trx[Id], Trx[Date],,0)</f>
        <v>46053</v>
      </c>
      <c r="C712" s="6" t="str">
        <f>_xlfn.XLOOKUP(Jnl[[#This Row],[TrxId]], Trx[Id], Trx[Division],,0)</f>
        <v>MY</v>
      </c>
      <c r="D712" s="6" t="str">
        <f>_xlfn.XLOOKUP(Jnl[[#This Row],[TrxId]], Trx[Id], Trx[Action],,0)</f>
        <v>收款</v>
      </c>
      <c r="E712" s="27" t="s">
        <v>85</v>
      </c>
      <c r="F712" s="10" t="s">
        <v>599</v>
      </c>
      <c r="G712" s="10" t="s">
        <v>972</v>
      </c>
      <c r="H712" s="37">
        <v>-9243</v>
      </c>
      <c r="I712" s="38" t="b">
        <f>AND(Jnl[[#This Row],[TrxId]]&lt;&gt;"",Jnl[[#This Row],[Acct]]&lt;&gt;"",Jnl[[#This Row],[Item]]&lt;&gt;"",ISNUMBER(Jnl[[#This Row],[Bal]]))</f>
        <v>1</v>
      </c>
      <c r="J712" s="9">
        <f>IF(Jnl[[#This Row],[BSLv0]]="A",1,-1)*Jnl[[#This Row],[Bal]]</f>
        <v>-9243</v>
      </c>
      <c r="K712" t="str">
        <f>_xlfn.XLOOKUP(Jnl[[#This Row],[Acct]], config_BS[Acct], config_BS[Lv0],,0)</f>
        <v>A</v>
      </c>
      <c r="L712" t="str">
        <f>_xlfn.XLOOKUP(Jnl[[#This Row],[Acct]], config_BS[Acct], config_BS[Lv1],,0)</f>
        <v>Assets</v>
      </c>
      <c r="M712" t="str">
        <f>_xlfn.XLOOKUP(Jnl[[#This Row],[Acct]], config_BS[Acct], config_BS[Lv2],,0)</f>
        <v>Rec-Pay</v>
      </c>
      <c r="N712" t="str">
        <f>_xlfn.XLOOKUP(Jnl[[#This Row],[TrxId]], Trx[Id], Trx[IncNode], ,0)</f>
        <v>Revenue</v>
      </c>
      <c r="O712" t="str">
        <f>_xlfn.XLOOKUP(Jnl[[#This Row],[IncNode]], config_IS[Node], config_IS[Type],,0)</f>
        <v>Op</v>
      </c>
      <c r="P712" t="str">
        <f>_xlfn.XLOOKUP(Jnl[[#This Row],[BSLv2]], dict[Key], dict[Name],,0)</f>
        <v>1.应收-应付</v>
      </c>
      <c r="Q712" t="str">
        <f>_xlfn.XLOOKUP(Jnl[[#This Row],[Acct]], dict[Key], dict[Name],,0)</f>
        <v>应收-一般</v>
      </c>
      <c r="R712" t="str">
        <f>_xlfn.XLOOKUP(Jnl[[#This Row],[Vehicle]],config_vehicle[Id], config_vehicle[Name],,0)</f>
        <v>远家文化</v>
      </c>
      <c r="S712" t="str">
        <f>_xlfn.XLOOKUP(Jnl[[#This Row],[Division]],config_div[Id], config_div[Name],,0)</f>
        <v>明月村</v>
      </c>
      <c r="T712" t="str">
        <f>IF(Jnl[[#This Row],[TrxDate]]&lt;=stmt_BS_date_end, "In", "Out")</f>
        <v>In</v>
      </c>
      <c r="U712" t="str">
        <f>IF(Jnl[[#This Row],[TrxDate]]&lt;debug_date_start, "prior", IF(Jnl[[#This Row],[TrxDate]]&gt;debug_date_end, "post", "curr"))</f>
        <v>curr</v>
      </c>
    </row>
    <row r="713" spans="1:21" hidden="1">
      <c r="A713" s="39" t="s">
        <v>1172</v>
      </c>
      <c r="B713" s="6">
        <f>_xlfn.XLOOKUP(Jnl[[#This Row],[TrxId]], Trx[Id], Trx[Date],,0)</f>
        <v>46053</v>
      </c>
      <c r="C713" s="6" t="str">
        <f>_xlfn.XLOOKUP(Jnl[[#This Row],[TrxId]], Trx[Id], Trx[Division],,0)</f>
        <v>MY</v>
      </c>
      <c r="D713" s="6" t="str">
        <f>_xlfn.XLOOKUP(Jnl[[#This Row],[TrxId]], Trx[Id], Trx[Action],,0)</f>
        <v>支付</v>
      </c>
      <c r="E713" s="27" t="s">
        <v>85</v>
      </c>
      <c r="F713" s="10" t="s">
        <v>130</v>
      </c>
      <c r="G713" s="10" t="s">
        <v>348</v>
      </c>
      <c r="H713" s="37">
        <f>H714</f>
        <v>-545.98</v>
      </c>
      <c r="I713" s="38" t="b">
        <f>AND(Jnl[[#This Row],[TrxId]]&lt;&gt;"",Jnl[[#This Row],[Acct]]&lt;&gt;"",Jnl[[#This Row],[Item]]&lt;&gt;"",ISNUMBER(Jnl[[#This Row],[Bal]]))</f>
        <v>1</v>
      </c>
      <c r="J713" s="9">
        <f>IF(Jnl[[#This Row],[BSLv0]]="A",1,-1)*Jnl[[#This Row],[Bal]]</f>
        <v>545.98</v>
      </c>
      <c r="K713" t="str">
        <f>_xlfn.XLOOKUP(Jnl[[#This Row],[Acct]], config_BS[Acct], config_BS[Lv0],,0)</f>
        <v>LC</v>
      </c>
      <c r="L713" t="str">
        <f>_xlfn.XLOOKUP(Jnl[[#This Row],[Acct]], config_BS[Acct], config_BS[Lv1],,0)</f>
        <v>Liability</v>
      </c>
      <c r="M713" t="str">
        <f>_xlfn.XLOOKUP(Jnl[[#This Row],[Acct]], config_BS[Acct], config_BS[Lv2],,0)</f>
        <v>Rec-Pay</v>
      </c>
      <c r="N713" t="str">
        <f>_xlfn.XLOOKUP(Jnl[[#This Row],[TrxId]], Trx[Id], Trx[IncNode], ,0)</f>
        <v>Expense</v>
      </c>
      <c r="O713" t="str">
        <f>_xlfn.XLOOKUP(Jnl[[#This Row],[IncNode]], config_IS[Node], config_IS[Type],,0)</f>
        <v>Op</v>
      </c>
      <c r="P713" t="str">
        <f>_xlfn.XLOOKUP(Jnl[[#This Row],[BSLv2]], dict[Key], dict[Name],,0)</f>
        <v>1.应收-应付</v>
      </c>
      <c r="Q713" t="str">
        <f>_xlfn.XLOOKUP(Jnl[[#This Row],[Acct]], dict[Key], dict[Name],,0)</f>
        <v>应付-税款</v>
      </c>
      <c r="R713" t="str">
        <f>_xlfn.XLOOKUP(Jnl[[#This Row],[Vehicle]],config_vehicle[Id], config_vehicle[Name],,0)</f>
        <v>远家文化</v>
      </c>
      <c r="S713" t="str">
        <f>_xlfn.XLOOKUP(Jnl[[#This Row],[Division]],config_div[Id], config_div[Name],,0)</f>
        <v>明月村</v>
      </c>
      <c r="T713" t="str">
        <f>IF(Jnl[[#This Row],[TrxDate]]&lt;=stmt_BS_date_end, "In", "Out")</f>
        <v>In</v>
      </c>
      <c r="U713" t="str">
        <f>IF(Jnl[[#This Row],[TrxDate]]&lt;debug_date_start, "prior", IF(Jnl[[#This Row],[TrxDate]]&gt;debug_date_end, "post", "curr"))</f>
        <v>curr</v>
      </c>
    </row>
    <row r="714" spans="1:21" hidden="1">
      <c r="A714" s="39" t="s">
        <v>1172</v>
      </c>
      <c r="B714" s="6">
        <f>_xlfn.XLOOKUP(Jnl[[#This Row],[TrxId]], Trx[Id], Trx[Date],,0)</f>
        <v>46053</v>
      </c>
      <c r="C714" s="6" t="str">
        <f>_xlfn.XLOOKUP(Jnl[[#This Row],[TrxId]], Trx[Id], Trx[Division],,0)</f>
        <v>MY</v>
      </c>
      <c r="D714" s="6" t="str">
        <f>_xlfn.XLOOKUP(Jnl[[#This Row],[TrxId]], Trx[Id], Trx[Action],,0)</f>
        <v>支付</v>
      </c>
      <c r="E714" s="27" t="s">
        <v>85</v>
      </c>
      <c r="F714" s="10" t="s">
        <v>596</v>
      </c>
      <c r="G714" s="10" t="s">
        <v>852</v>
      </c>
      <c r="H714" s="37">
        <v>-545.98</v>
      </c>
      <c r="I714" s="38" t="b">
        <f>AND(Jnl[[#This Row],[TrxId]]&lt;&gt;"",Jnl[[#This Row],[Acct]]&lt;&gt;"",Jnl[[#This Row],[Item]]&lt;&gt;"",ISNUMBER(Jnl[[#This Row],[Bal]]))</f>
        <v>1</v>
      </c>
      <c r="J714" s="9">
        <f>IF(Jnl[[#This Row],[BSLv0]]="A",1,-1)*Jnl[[#This Row],[Bal]]</f>
        <v>-545.98</v>
      </c>
      <c r="K714" t="str">
        <f>_xlfn.XLOOKUP(Jnl[[#This Row],[Acct]], config_BS[Acct], config_BS[Lv0],,0)</f>
        <v>A</v>
      </c>
      <c r="L714" t="str">
        <f>_xlfn.XLOOKUP(Jnl[[#This Row],[Acct]], config_BS[Acct], config_BS[Lv1],,0)</f>
        <v>Assets</v>
      </c>
      <c r="M714" t="str">
        <f>_xlfn.XLOOKUP(Jnl[[#This Row],[Acct]], config_BS[Acct], config_BS[Lv2],,0)</f>
        <v>Cash alike</v>
      </c>
      <c r="N714" t="str">
        <f>_xlfn.XLOOKUP(Jnl[[#This Row],[TrxId]], Trx[Id], Trx[IncNode], ,0)</f>
        <v>Expense</v>
      </c>
      <c r="O714" t="str">
        <f>_xlfn.XLOOKUP(Jnl[[#This Row],[IncNode]], config_IS[Node], config_IS[Type],,0)</f>
        <v>Op</v>
      </c>
      <c r="P714" t="str">
        <f>_xlfn.XLOOKUP(Jnl[[#This Row],[BSLv2]], dict[Key], dict[Name],,0)</f>
        <v>0.现金及类似</v>
      </c>
      <c r="Q714" t="str">
        <f>_xlfn.XLOOKUP(Jnl[[#This Row],[Acct]], dict[Key], dict[Name],,0)</f>
        <v>银行</v>
      </c>
      <c r="R714" t="str">
        <f>_xlfn.XLOOKUP(Jnl[[#This Row],[Vehicle]],config_vehicle[Id], config_vehicle[Name],,0)</f>
        <v>远家文化</v>
      </c>
      <c r="S714" t="str">
        <f>_xlfn.XLOOKUP(Jnl[[#This Row],[Division]],config_div[Id], config_div[Name],,0)</f>
        <v>明月村</v>
      </c>
      <c r="T714" t="str">
        <f>IF(Jnl[[#This Row],[TrxDate]]&lt;=stmt_BS_date_end, "In", "Out")</f>
        <v>In</v>
      </c>
      <c r="U714" t="str">
        <f>IF(Jnl[[#This Row],[TrxDate]]&lt;debug_date_start, "prior", IF(Jnl[[#This Row],[TrxDate]]&gt;debug_date_end, "post", "curr"))</f>
        <v>curr</v>
      </c>
    </row>
    <row r="715" spans="1:21" hidden="1">
      <c r="A715" s="39" t="s">
        <v>1173</v>
      </c>
      <c r="B715" s="6">
        <f>_xlfn.XLOOKUP(Jnl[[#This Row],[TrxId]], Trx[Id], Trx[Date],,0)</f>
        <v>46053</v>
      </c>
      <c r="C715" s="6" t="str">
        <f>_xlfn.XLOOKUP(Jnl[[#This Row],[TrxId]], Trx[Id], Trx[Division],,0)</f>
        <v>MY</v>
      </c>
      <c r="D715" s="6" t="str">
        <f>_xlfn.XLOOKUP(Jnl[[#This Row],[TrxId]], Trx[Id], Trx[Action],,0)</f>
        <v>退款-供应商</v>
      </c>
      <c r="E715" s="27" t="s">
        <v>85</v>
      </c>
      <c r="F715" s="10" t="s">
        <v>596</v>
      </c>
      <c r="G715" s="10" t="s">
        <v>852</v>
      </c>
      <c r="H715" s="37">
        <v>1320</v>
      </c>
      <c r="I715" s="38" t="b">
        <f>AND(Jnl[[#This Row],[TrxId]]&lt;&gt;"",Jnl[[#This Row],[Acct]]&lt;&gt;"",Jnl[[#This Row],[Item]]&lt;&gt;"",ISNUMBER(Jnl[[#This Row],[Bal]]))</f>
        <v>1</v>
      </c>
      <c r="J715" s="9">
        <f>IF(Jnl[[#This Row],[BSLv0]]="A",1,-1)*Jnl[[#This Row],[Bal]]</f>
        <v>1320</v>
      </c>
      <c r="K715" t="str">
        <f>_xlfn.XLOOKUP(Jnl[[#This Row],[Acct]], config_BS[Acct], config_BS[Lv0],,0)</f>
        <v>A</v>
      </c>
      <c r="L715" t="str">
        <f>_xlfn.XLOOKUP(Jnl[[#This Row],[Acct]], config_BS[Acct], config_BS[Lv1],,0)</f>
        <v>Assets</v>
      </c>
      <c r="M715" t="str">
        <f>_xlfn.XLOOKUP(Jnl[[#This Row],[Acct]], config_BS[Acct], config_BS[Lv2],,0)</f>
        <v>Cash alike</v>
      </c>
      <c r="N715" t="str">
        <f>_xlfn.XLOOKUP(Jnl[[#This Row],[TrxId]], Trx[Id], Trx[IncNode], ,0)</f>
        <v>Cost</v>
      </c>
      <c r="O715" t="str">
        <f>_xlfn.XLOOKUP(Jnl[[#This Row],[IncNode]], config_IS[Node], config_IS[Type],,0)</f>
        <v>Op</v>
      </c>
      <c r="P715" t="str">
        <f>_xlfn.XLOOKUP(Jnl[[#This Row],[BSLv2]], dict[Key], dict[Name],,0)</f>
        <v>0.现金及类似</v>
      </c>
      <c r="Q715" t="str">
        <f>_xlfn.XLOOKUP(Jnl[[#This Row],[Acct]], dict[Key], dict[Name],,0)</f>
        <v>银行</v>
      </c>
      <c r="R715" t="str">
        <f>_xlfn.XLOOKUP(Jnl[[#This Row],[Vehicle]],config_vehicle[Id], config_vehicle[Name],,0)</f>
        <v>远家文化</v>
      </c>
      <c r="S715" t="str">
        <f>_xlfn.XLOOKUP(Jnl[[#This Row],[Division]],config_div[Id], config_div[Name],,0)</f>
        <v>明月村</v>
      </c>
      <c r="T715" t="str">
        <f>IF(Jnl[[#This Row],[TrxDate]]&lt;=stmt_BS_date_end, "In", "Out")</f>
        <v>In</v>
      </c>
      <c r="U715" t="str">
        <f>IF(Jnl[[#This Row],[TrxDate]]&lt;debug_date_start, "prior", IF(Jnl[[#This Row],[TrxDate]]&gt;debug_date_end, "post", "curr"))</f>
        <v>curr</v>
      </c>
    </row>
    <row r="716" spans="1:21" hidden="1">
      <c r="A716" s="39" t="s">
        <v>1174</v>
      </c>
      <c r="B716" s="6">
        <f>_xlfn.XLOOKUP(Jnl[[#This Row],[TrxId]], Trx[Id], Trx[Date],,0)</f>
        <v>46053</v>
      </c>
      <c r="C716" s="6" t="str">
        <f>_xlfn.XLOOKUP(Jnl[[#This Row],[TrxId]], Trx[Id], Trx[Division],,0)</f>
        <v>GM</v>
      </c>
      <c r="D716" s="6" t="str">
        <f>_xlfn.XLOOKUP(Jnl[[#This Row],[TrxId]], Trx[Id], Trx[Action],,0)</f>
        <v>薪酬-社保</v>
      </c>
      <c r="E716" s="27" t="s">
        <v>85</v>
      </c>
      <c r="F716" s="10" t="s">
        <v>596</v>
      </c>
      <c r="G716" s="10" t="s">
        <v>852</v>
      </c>
      <c r="H716" s="37">
        <v>-16287.4</v>
      </c>
      <c r="I716" s="38" t="b">
        <f>AND(Jnl[[#This Row],[TrxId]]&lt;&gt;"",Jnl[[#This Row],[Acct]]&lt;&gt;"",Jnl[[#This Row],[Item]]&lt;&gt;"",ISNUMBER(Jnl[[#This Row],[Bal]]))</f>
        <v>1</v>
      </c>
      <c r="J716" s="9">
        <f>IF(Jnl[[#This Row],[BSLv0]]="A",1,-1)*Jnl[[#This Row],[Bal]]</f>
        <v>-16287.4</v>
      </c>
      <c r="K716" t="str">
        <f>_xlfn.XLOOKUP(Jnl[[#This Row],[Acct]], config_BS[Acct], config_BS[Lv0],,0)</f>
        <v>A</v>
      </c>
      <c r="L716" t="str">
        <f>_xlfn.XLOOKUP(Jnl[[#This Row],[Acct]], config_BS[Acct], config_BS[Lv1],,0)</f>
        <v>Assets</v>
      </c>
      <c r="M716" t="str">
        <f>_xlfn.XLOOKUP(Jnl[[#This Row],[Acct]], config_BS[Acct], config_BS[Lv2],,0)</f>
        <v>Cash alike</v>
      </c>
      <c r="N716" t="str">
        <f>_xlfn.XLOOKUP(Jnl[[#This Row],[TrxId]], Trx[Id], Trx[IncNode], ,0)</f>
        <v>Expense</v>
      </c>
      <c r="O716" t="str">
        <f>_xlfn.XLOOKUP(Jnl[[#This Row],[IncNode]], config_IS[Node], config_IS[Type],,0)</f>
        <v>Op</v>
      </c>
      <c r="P716" t="str">
        <f>_xlfn.XLOOKUP(Jnl[[#This Row],[BSLv2]], dict[Key], dict[Name],,0)</f>
        <v>0.现金及类似</v>
      </c>
      <c r="Q716" t="str">
        <f>_xlfn.XLOOKUP(Jnl[[#This Row],[Acct]], dict[Key], dict[Name],,0)</f>
        <v>银行</v>
      </c>
      <c r="R716" t="str">
        <f>_xlfn.XLOOKUP(Jnl[[#This Row],[Vehicle]],config_vehicle[Id], config_vehicle[Name],,0)</f>
        <v>远家文化</v>
      </c>
      <c r="S716" t="str">
        <f>_xlfn.XLOOKUP(Jnl[[#This Row],[Division]],config_div[Id], config_div[Name],,0)</f>
        <v>综合管理</v>
      </c>
      <c r="T716" t="str">
        <f>IF(Jnl[[#This Row],[TrxDate]]&lt;=stmt_BS_date_end, "In", "Out")</f>
        <v>In</v>
      </c>
      <c r="U716" t="str">
        <f>IF(Jnl[[#This Row],[TrxDate]]&lt;debug_date_start, "prior", IF(Jnl[[#This Row],[TrxDate]]&gt;debug_date_end, "post", "curr"))</f>
        <v>curr</v>
      </c>
    </row>
    <row r="717" spans="1:21" hidden="1">
      <c r="A717" s="39" t="s">
        <v>1175</v>
      </c>
      <c r="B717" s="6">
        <f>_xlfn.XLOOKUP(Jnl[[#This Row],[TrxId]], Trx[Id], Trx[Date],,0)</f>
        <v>46053</v>
      </c>
      <c r="C717" s="6" t="str">
        <f>_xlfn.XLOOKUP(Jnl[[#This Row],[TrxId]], Trx[Id], Trx[Division],,0)</f>
        <v>MY</v>
      </c>
      <c r="D717" s="6" t="str">
        <f>_xlfn.XLOOKUP(Jnl[[#This Row],[TrxId]], Trx[Id], Trx[Action],,0)</f>
        <v>支付</v>
      </c>
      <c r="E717" s="27" t="s">
        <v>85</v>
      </c>
      <c r="F717" s="10" t="s">
        <v>596</v>
      </c>
      <c r="G717" s="10" t="s">
        <v>852</v>
      </c>
      <c r="H717" s="37">
        <v>-56630.96</v>
      </c>
      <c r="I717" s="38" t="b">
        <f>AND(Jnl[[#This Row],[TrxId]]&lt;&gt;"",Jnl[[#This Row],[Acct]]&lt;&gt;"",Jnl[[#This Row],[Item]]&lt;&gt;"",ISNUMBER(Jnl[[#This Row],[Bal]]))</f>
        <v>1</v>
      </c>
      <c r="J717" s="9">
        <f>IF(Jnl[[#This Row],[BSLv0]]="A",1,-1)*Jnl[[#This Row],[Bal]]</f>
        <v>-56630.96</v>
      </c>
      <c r="K717" t="str">
        <f>_xlfn.XLOOKUP(Jnl[[#This Row],[Acct]], config_BS[Acct], config_BS[Lv0],,0)</f>
        <v>A</v>
      </c>
      <c r="L717" t="str">
        <f>_xlfn.XLOOKUP(Jnl[[#This Row],[Acct]], config_BS[Acct], config_BS[Lv1],,0)</f>
        <v>Assets</v>
      </c>
      <c r="M717" t="str">
        <f>_xlfn.XLOOKUP(Jnl[[#This Row],[Acct]], config_BS[Acct], config_BS[Lv2],,0)</f>
        <v>Cash alike</v>
      </c>
      <c r="N717" t="str">
        <f>_xlfn.XLOOKUP(Jnl[[#This Row],[TrxId]], Trx[Id], Trx[IncNode], ,0)</f>
        <v>Expense</v>
      </c>
      <c r="O717" t="str">
        <f>_xlfn.XLOOKUP(Jnl[[#This Row],[IncNode]], config_IS[Node], config_IS[Type],,0)</f>
        <v>Op</v>
      </c>
      <c r="P717" t="str">
        <f>_xlfn.XLOOKUP(Jnl[[#This Row],[BSLv2]], dict[Key], dict[Name],,0)</f>
        <v>0.现金及类似</v>
      </c>
      <c r="Q717" t="str">
        <f>_xlfn.XLOOKUP(Jnl[[#This Row],[Acct]], dict[Key], dict[Name],,0)</f>
        <v>银行</v>
      </c>
      <c r="R717" t="str">
        <f>_xlfn.XLOOKUP(Jnl[[#This Row],[Vehicle]],config_vehicle[Id], config_vehicle[Name],,0)</f>
        <v>远家文化</v>
      </c>
      <c r="S717" t="str">
        <f>_xlfn.XLOOKUP(Jnl[[#This Row],[Division]],config_div[Id], config_div[Name],,0)</f>
        <v>明月村</v>
      </c>
      <c r="T717" t="str">
        <f>IF(Jnl[[#This Row],[TrxDate]]&lt;=stmt_BS_date_end, "In", "Out")</f>
        <v>In</v>
      </c>
      <c r="U717" t="str">
        <f>IF(Jnl[[#This Row],[TrxDate]]&lt;debug_date_start, "prior", IF(Jnl[[#This Row],[TrxDate]]&gt;debug_date_end, "post", "curr"))</f>
        <v>curr</v>
      </c>
    </row>
    <row r="718" spans="1:21" hidden="1">
      <c r="A718" s="39" t="s">
        <v>1175</v>
      </c>
      <c r="B718" s="6">
        <f>_xlfn.XLOOKUP(Jnl[[#This Row],[TrxId]], Trx[Id], Trx[Date],,0)</f>
        <v>46053</v>
      </c>
      <c r="C718" s="6" t="str">
        <f>_xlfn.XLOOKUP(Jnl[[#This Row],[TrxId]], Trx[Id], Trx[Division],,0)</f>
        <v>MY</v>
      </c>
      <c r="D718" s="6" t="str">
        <f>_xlfn.XLOOKUP(Jnl[[#This Row],[TrxId]], Trx[Id], Trx[Action],,0)</f>
        <v>支付</v>
      </c>
      <c r="E718" s="27" t="s">
        <v>85</v>
      </c>
      <c r="F718" s="10" t="s">
        <v>602</v>
      </c>
      <c r="G718" s="10" t="s">
        <v>152</v>
      </c>
      <c r="H718" s="37">
        <v>-56630.96</v>
      </c>
      <c r="I718" s="38" t="b">
        <f>AND(Jnl[[#This Row],[TrxId]]&lt;&gt;"",Jnl[[#This Row],[Acct]]&lt;&gt;"",Jnl[[#This Row],[Item]]&lt;&gt;"",ISNUMBER(Jnl[[#This Row],[Bal]]))</f>
        <v>1</v>
      </c>
      <c r="J718" s="9">
        <f>IF(Jnl[[#This Row],[BSLv0]]="A",1,-1)*Jnl[[#This Row],[Bal]]</f>
        <v>56630.96</v>
      </c>
      <c r="K718" t="str">
        <f>_xlfn.XLOOKUP(Jnl[[#This Row],[Acct]], config_BS[Acct], config_BS[Lv0],,0)</f>
        <v>LC</v>
      </c>
      <c r="L718" t="str">
        <f>_xlfn.XLOOKUP(Jnl[[#This Row],[Acct]], config_BS[Acct], config_BS[Lv1],,0)</f>
        <v>Liability</v>
      </c>
      <c r="M718" t="str">
        <f>_xlfn.XLOOKUP(Jnl[[#This Row],[Acct]], config_BS[Acct], config_BS[Lv2],,0)</f>
        <v>Rec-Pay</v>
      </c>
      <c r="N718" t="str">
        <f>_xlfn.XLOOKUP(Jnl[[#This Row],[TrxId]], Trx[Id], Trx[IncNode], ,0)</f>
        <v>Expense</v>
      </c>
      <c r="O718" t="str">
        <f>_xlfn.XLOOKUP(Jnl[[#This Row],[IncNode]], config_IS[Node], config_IS[Type],,0)</f>
        <v>Op</v>
      </c>
      <c r="P718" t="str">
        <f>_xlfn.XLOOKUP(Jnl[[#This Row],[BSLv2]], dict[Key], dict[Name],,0)</f>
        <v>1.应收-应付</v>
      </c>
      <c r="Q718" t="str">
        <f>_xlfn.XLOOKUP(Jnl[[#This Row],[Acct]], dict[Key], dict[Name],,0)</f>
        <v>应付-薪资</v>
      </c>
      <c r="R718" t="str">
        <f>_xlfn.XLOOKUP(Jnl[[#This Row],[Vehicle]],config_vehicle[Id], config_vehicle[Name],,0)</f>
        <v>远家文化</v>
      </c>
      <c r="S718" t="str">
        <f>_xlfn.XLOOKUP(Jnl[[#This Row],[Division]],config_div[Id], config_div[Name],,0)</f>
        <v>明月村</v>
      </c>
      <c r="T718" t="str">
        <f>IF(Jnl[[#This Row],[TrxDate]]&lt;=stmt_BS_date_end, "In", "Out")</f>
        <v>In</v>
      </c>
      <c r="U718" t="str">
        <f>IF(Jnl[[#This Row],[TrxDate]]&lt;debug_date_start, "prior", IF(Jnl[[#This Row],[TrxDate]]&gt;debug_date_end, "post", "curr"))</f>
        <v>curr</v>
      </c>
    </row>
    <row r="719" spans="1:21" hidden="1">
      <c r="A719" s="39" t="s">
        <v>1176</v>
      </c>
      <c r="B719" s="6">
        <f>_xlfn.XLOOKUP(Jnl[[#This Row],[TrxId]], Trx[Id], Trx[Date],,0)</f>
        <v>46053</v>
      </c>
      <c r="C719" s="6" t="str">
        <f>_xlfn.XLOOKUP(Jnl[[#This Row],[TrxId]], Trx[Id], Trx[Division],,0)</f>
        <v>MY</v>
      </c>
      <c r="D719" s="6" t="str">
        <f>_xlfn.XLOOKUP(Jnl[[#This Row],[TrxId]], Trx[Id], Trx[Action],,0)</f>
        <v>布草</v>
      </c>
      <c r="E719" s="27" t="s">
        <v>85</v>
      </c>
      <c r="F719" s="10" t="s">
        <v>596</v>
      </c>
      <c r="G719" s="10" t="s">
        <v>852</v>
      </c>
      <c r="H719" s="37">
        <v>-1767.4</v>
      </c>
      <c r="I719" s="38" t="b">
        <f>AND(Jnl[[#This Row],[TrxId]]&lt;&gt;"",Jnl[[#This Row],[Acct]]&lt;&gt;"",Jnl[[#This Row],[Item]]&lt;&gt;"",ISNUMBER(Jnl[[#This Row],[Bal]]))</f>
        <v>1</v>
      </c>
      <c r="J719" s="9">
        <f>IF(Jnl[[#This Row],[BSLv0]]="A",1,-1)*Jnl[[#This Row],[Bal]]</f>
        <v>-1767.4</v>
      </c>
      <c r="K719" t="str">
        <f>_xlfn.XLOOKUP(Jnl[[#This Row],[Acct]], config_BS[Acct], config_BS[Lv0],,0)</f>
        <v>A</v>
      </c>
      <c r="L719" t="str">
        <f>_xlfn.XLOOKUP(Jnl[[#This Row],[Acct]], config_BS[Acct], config_BS[Lv1],,0)</f>
        <v>Assets</v>
      </c>
      <c r="M719" t="str">
        <f>_xlfn.XLOOKUP(Jnl[[#This Row],[Acct]], config_BS[Acct], config_BS[Lv2],,0)</f>
        <v>Cash alike</v>
      </c>
      <c r="N719" t="str">
        <f>_xlfn.XLOOKUP(Jnl[[#This Row],[TrxId]], Trx[Id], Trx[IncNode], ,0)</f>
        <v>Cost</v>
      </c>
      <c r="O719" t="str">
        <f>_xlfn.XLOOKUP(Jnl[[#This Row],[IncNode]], config_IS[Node], config_IS[Type],,0)</f>
        <v>Op</v>
      </c>
      <c r="P719" t="str">
        <f>_xlfn.XLOOKUP(Jnl[[#This Row],[BSLv2]], dict[Key], dict[Name],,0)</f>
        <v>0.现金及类似</v>
      </c>
      <c r="Q719" t="str">
        <f>_xlfn.XLOOKUP(Jnl[[#This Row],[Acct]], dict[Key], dict[Name],,0)</f>
        <v>银行</v>
      </c>
      <c r="R719" t="str">
        <f>_xlfn.XLOOKUP(Jnl[[#This Row],[Vehicle]],config_vehicle[Id], config_vehicle[Name],,0)</f>
        <v>远家文化</v>
      </c>
      <c r="S719" t="str">
        <f>_xlfn.XLOOKUP(Jnl[[#This Row],[Division]],config_div[Id], config_div[Name],,0)</f>
        <v>明月村</v>
      </c>
      <c r="T719" t="str">
        <f>IF(Jnl[[#This Row],[TrxDate]]&lt;=stmt_BS_date_end, "In", "Out")</f>
        <v>In</v>
      </c>
      <c r="U719" t="str">
        <f>IF(Jnl[[#This Row],[TrxDate]]&lt;debug_date_start, "prior", IF(Jnl[[#This Row],[TrxDate]]&gt;debug_date_end, "post", "curr"))</f>
        <v>curr</v>
      </c>
    </row>
    <row r="720" spans="1:21" hidden="1">
      <c r="A720" s="39" t="s">
        <v>1176</v>
      </c>
      <c r="B720" s="6">
        <f>_xlfn.XLOOKUP(Jnl[[#This Row],[TrxId]], Trx[Id], Trx[Date],,0)</f>
        <v>46053</v>
      </c>
      <c r="C720" s="6" t="str">
        <f>_xlfn.XLOOKUP(Jnl[[#This Row],[TrxId]], Trx[Id], Trx[Division],,0)</f>
        <v>MY</v>
      </c>
      <c r="D720" s="6" t="str">
        <f>_xlfn.XLOOKUP(Jnl[[#This Row],[TrxId]], Trx[Id], Trx[Action],,0)</f>
        <v>布草</v>
      </c>
      <c r="E720" s="27" t="s">
        <v>85</v>
      </c>
      <c r="F720" s="10" t="s">
        <v>596</v>
      </c>
      <c r="G720" s="10" t="s">
        <v>852</v>
      </c>
      <c r="H720" s="37">
        <v>-858.8</v>
      </c>
      <c r="I720" s="38" t="b">
        <f>AND(Jnl[[#This Row],[TrxId]]&lt;&gt;"",Jnl[[#This Row],[Acct]]&lt;&gt;"",Jnl[[#This Row],[Item]]&lt;&gt;"",ISNUMBER(Jnl[[#This Row],[Bal]]))</f>
        <v>1</v>
      </c>
      <c r="J720" s="9">
        <f>IF(Jnl[[#This Row],[BSLv0]]="A",1,-1)*Jnl[[#This Row],[Bal]]</f>
        <v>-858.8</v>
      </c>
      <c r="K720" t="str">
        <f>_xlfn.XLOOKUP(Jnl[[#This Row],[Acct]], config_BS[Acct], config_BS[Lv0],,0)</f>
        <v>A</v>
      </c>
      <c r="L720" t="str">
        <f>_xlfn.XLOOKUP(Jnl[[#This Row],[Acct]], config_BS[Acct], config_BS[Lv1],,0)</f>
        <v>Assets</v>
      </c>
      <c r="M720" t="str">
        <f>_xlfn.XLOOKUP(Jnl[[#This Row],[Acct]], config_BS[Acct], config_BS[Lv2],,0)</f>
        <v>Cash alike</v>
      </c>
      <c r="N720" t="str">
        <f>_xlfn.XLOOKUP(Jnl[[#This Row],[TrxId]], Trx[Id], Trx[IncNode], ,0)</f>
        <v>Cost</v>
      </c>
      <c r="O720" t="str">
        <f>_xlfn.XLOOKUP(Jnl[[#This Row],[IncNode]], config_IS[Node], config_IS[Type],,0)</f>
        <v>Op</v>
      </c>
      <c r="P720" t="str">
        <f>_xlfn.XLOOKUP(Jnl[[#This Row],[BSLv2]], dict[Key], dict[Name],,0)</f>
        <v>0.现金及类似</v>
      </c>
      <c r="Q720" t="str">
        <f>_xlfn.XLOOKUP(Jnl[[#This Row],[Acct]], dict[Key], dict[Name],,0)</f>
        <v>银行</v>
      </c>
      <c r="R720" t="str">
        <f>_xlfn.XLOOKUP(Jnl[[#This Row],[Vehicle]],config_vehicle[Id], config_vehicle[Name],,0)</f>
        <v>远家文化</v>
      </c>
      <c r="S720" t="str">
        <f>_xlfn.XLOOKUP(Jnl[[#This Row],[Division]],config_div[Id], config_div[Name],,0)</f>
        <v>明月村</v>
      </c>
      <c r="T720" t="str">
        <f>IF(Jnl[[#This Row],[TrxDate]]&lt;=stmt_BS_date_end, "In", "Out")</f>
        <v>In</v>
      </c>
      <c r="U720" t="str">
        <f>IF(Jnl[[#This Row],[TrxDate]]&lt;debug_date_start, "prior", IF(Jnl[[#This Row],[TrxDate]]&gt;debug_date_end, "post", "curr"))</f>
        <v>curr</v>
      </c>
    </row>
    <row r="721" spans="1:21" hidden="1">
      <c r="A721" s="39" t="s">
        <v>1177</v>
      </c>
      <c r="B721" s="6">
        <f>_xlfn.XLOOKUP(Jnl[[#This Row],[TrxId]], Trx[Id], Trx[Date],,0)</f>
        <v>46053</v>
      </c>
      <c r="C721" s="6" t="str">
        <f>_xlfn.XLOOKUP(Jnl[[#This Row],[TrxId]], Trx[Id], Trx[Division],,0)</f>
        <v>MY</v>
      </c>
      <c r="D721" s="6" t="str">
        <f>_xlfn.XLOOKUP(Jnl[[#This Row],[TrxId]], Trx[Id], Trx[Action],,0)</f>
        <v>收款</v>
      </c>
      <c r="E721" s="27" t="s">
        <v>85</v>
      </c>
      <c r="F721" s="10" t="s">
        <v>596</v>
      </c>
      <c r="G721" s="10" t="s">
        <v>852</v>
      </c>
      <c r="H721" s="37">
        <v>443.77</v>
      </c>
      <c r="I721" s="38" t="b">
        <f>AND(Jnl[[#This Row],[TrxId]]&lt;&gt;"",Jnl[[#This Row],[Acct]]&lt;&gt;"",Jnl[[#This Row],[Item]]&lt;&gt;"",ISNUMBER(Jnl[[#This Row],[Bal]]))</f>
        <v>1</v>
      </c>
      <c r="J721" s="9">
        <f>IF(Jnl[[#This Row],[BSLv0]]="A",1,-1)*Jnl[[#This Row],[Bal]]</f>
        <v>443.77</v>
      </c>
      <c r="K721" t="str">
        <f>_xlfn.XLOOKUP(Jnl[[#This Row],[Acct]], config_BS[Acct], config_BS[Lv0],,0)</f>
        <v>A</v>
      </c>
      <c r="L721" t="str">
        <f>_xlfn.XLOOKUP(Jnl[[#This Row],[Acct]], config_BS[Acct], config_BS[Lv1],,0)</f>
        <v>Assets</v>
      </c>
      <c r="M721" t="str">
        <f>_xlfn.XLOOKUP(Jnl[[#This Row],[Acct]], config_BS[Acct], config_BS[Lv2],,0)</f>
        <v>Cash alike</v>
      </c>
      <c r="N721" t="str">
        <f>_xlfn.XLOOKUP(Jnl[[#This Row],[TrxId]], Trx[Id], Trx[IncNode], ,0)</f>
        <v>Revenue</v>
      </c>
      <c r="O721" t="str">
        <f>_xlfn.XLOOKUP(Jnl[[#This Row],[IncNode]], config_IS[Node], config_IS[Type],,0)</f>
        <v>Op</v>
      </c>
      <c r="P721" t="str">
        <f>_xlfn.XLOOKUP(Jnl[[#This Row],[BSLv2]], dict[Key], dict[Name],,0)</f>
        <v>0.现金及类似</v>
      </c>
      <c r="Q721" t="str">
        <f>_xlfn.XLOOKUP(Jnl[[#This Row],[Acct]], dict[Key], dict[Name],,0)</f>
        <v>银行</v>
      </c>
      <c r="R721" t="str">
        <f>_xlfn.XLOOKUP(Jnl[[#This Row],[Vehicle]],config_vehicle[Id], config_vehicle[Name],,0)</f>
        <v>远家文化</v>
      </c>
      <c r="S721" t="str">
        <f>_xlfn.XLOOKUP(Jnl[[#This Row],[Division]],config_div[Id], config_div[Name],,0)</f>
        <v>明月村</v>
      </c>
      <c r="T721" t="str">
        <f>IF(Jnl[[#This Row],[TrxDate]]&lt;=stmt_BS_date_end, "In", "Out")</f>
        <v>In</v>
      </c>
      <c r="U721" t="str">
        <f>IF(Jnl[[#This Row],[TrxDate]]&lt;debug_date_start, "prior", IF(Jnl[[#This Row],[TrxDate]]&gt;debug_date_end, "post", "curr"))</f>
        <v>curr</v>
      </c>
    </row>
    <row r="722" spans="1:21" hidden="1">
      <c r="A722" s="39" t="s">
        <v>1177</v>
      </c>
      <c r="B722" s="6">
        <f>_xlfn.XLOOKUP(Jnl[[#This Row],[TrxId]], Trx[Id], Trx[Date],,0)</f>
        <v>46053</v>
      </c>
      <c r="C722" s="6" t="str">
        <f>_xlfn.XLOOKUP(Jnl[[#This Row],[TrxId]], Trx[Id], Trx[Division],,0)</f>
        <v>MY</v>
      </c>
      <c r="D722" s="6" t="str">
        <f>_xlfn.XLOOKUP(Jnl[[#This Row],[TrxId]], Trx[Id], Trx[Action],,0)</f>
        <v>收款</v>
      </c>
      <c r="E722" s="27" t="s">
        <v>85</v>
      </c>
      <c r="F722" s="10" t="s">
        <v>599</v>
      </c>
      <c r="G722" s="10" t="s">
        <v>951</v>
      </c>
      <c r="H722" s="37">
        <v>-443.77</v>
      </c>
      <c r="I722" s="38" t="b">
        <f>AND(Jnl[[#This Row],[TrxId]]&lt;&gt;"",Jnl[[#This Row],[Acct]]&lt;&gt;"",Jnl[[#This Row],[Item]]&lt;&gt;"",ISNUMBER(Jnl[[#This Row],[Bal]]))</f>
        <v>1</v>
      </c>
      <c r="J722" s="9">
        <f>IF(Jnl[[#This Row],[BSLv0]]="A",1,-1)*Jnl[[#This Row],[Bal]]</f>
        <v>-443.77</v>
      </c>
      <c r="K722" t="str">
        <f>_xlfn.XLOOKUP(Jnl[[#This Row],[Acct]], config_BS[Acct], config_BS[Lv0],,0)</f>
        <v>A</v>
      </c>
      <c r="L722" t="str">
        <f>_xlfn.XLOOKUP(Jnl[[#This Row],[Acct]], config_BS[Acct], config_BS[Lv1],,0)</f>
        <v>Assets</v>
      </c>
      <c r="M722" t="str">
        <f>_xlfn.XLOOKUP(Jnl[[#This Row],[Acct]], config_BS[Acct], config_BS[Lv2],,0)</f>
        <v>Rec-Pay</v>
      </c>
      <c r="N722" t="str">
        <f>_xlfn.XLOOKUP(Jnl[[#This Row],[TrxId]], Trx[Id], Trx[IncNode], ,0)</f>
        <v>Revenue</v>
      </c>
      <c r="O722" t="str">
        <f>_xlfn.XLOOKUP(Jnl[[#This Row],[IncNode]], config_IS[Node], config_IS[Type],,0)</f>
        <v>Op</v>
      </c>
      <c r="P722" t="str">
        <f>_xlfn.XLOOKUP(Jnl[[#This Row],[BSLv2]], dict[Key], dict[Name],,0)</f>
        <v>1.应收-应付</v>
      </c>
      <c r="Q722" t="str">
        <f>_xlfn.XLOOKUP(Jnl[[#This Row],[Acct]], dict[Key], dict[Name],,0)</f>
        <v>应收-一般</v>
      </c>
      <c r="R722" t="str">
        <f>_xlfn.XLOOKUP(Jnl[[#This Row],[Vehicle]],config_vehicle[Id], config_vehicle[Name],,0)</f>
        <v>远家文化</v>
      </c>
      <c r="S722" t="str">
        <f>_xlfn.XLOOKUP(Jnl[[#This Row],[Division]],config_div[Id], config_div[Name],,0)</f>
        <v>明月村</v>
      </c>
      <c r="T722" t="str">
        <f>IF(Jnl[[#This Row],[TrxDate]]&lt;=stmt_BS_date_end, "In", "Out")</f>
        <v>In</v>
      </c>
      <c r="U722" t="str">
        <f>IF(Jnl[[#This Row],[TrxDate]]&lt;debug_date_start, "prior", IF(Jnl[[#This Row],[TrxDate]]&gt;debug_date_end, "post", "curr"))</f>
        <v>curr</v>
      </c>
    </row>
    <row r="723" spans="1:21" hidden="1">
      <c r="A723" s="39" t="s">
        <v>1178</v>
      </c>
      <c r="B723" s="6">
        <f>_xlfn.XLOOKUP(Jnl[[#This Row],[TrxId]], Trx[Id], Trx[Date],,0)</f>
        <v>46053</v>
      </c>
      <c r="C723" s="6" t="str">
        <f>_xlfn.XLOOKUP(Jnl[[#This Row],[TrxId]], Trx[Id], Trx[Division],,0)</f>
        <v>MY</v>
      </c>
      <c r="D723" s="6" t="str">
        <f>_xlfn.XLOOKUP(Jnl[[#This Row],[TrxId]], Trx[Id], Trx[Action],,0)</f>
        <v>收款</v>
      </c>
      <c r="E723" s="27" t="s">
        <v>85</v>
      </c>
      <c r="F723" s="10" t="s">
        <v>596</v>
      </c>
      <c r="G723" s="10" t="s">
        <v>852</v>
      </c>
      <c r="H723" s="37">
        <v>10000</v>
      </c>
      <c r="I723" s="38" t="b">
        <f>AND(Jnl[[#This Row],[TrxId]]&lt;&gt;"",Jnl[[#This Row],[Acct]]&lt;&gt;"",Jnl[[#This Row],[Item]]&lt;&gt;"",ISNUMBER(Jnl[[#This Row],[Bal]]))</f>
        <v>1</v>
      </c>
      <c r="J723" s="9">
        <f>IF(Jnl[[#This Row],[BSLv0]]="A",1,-1)*Jnl[[#This Row],[Bal]]</f>
        <v>10000</v>
      </c>
      <c r="K723" t="str">
        <f>_xlfn.XLOOKUP(Jnl[[#This Row],[Acct]], config_BS[Acct], config_BS[Lv0],,0)</f>
        <v>A</v>
      </c>
      <c r="L723" t="str">
        <f>_xlfn.XLOOKUP(Jnl[[#This Row],[Acct]], config_BS[Acct], config_BS[Lv1],,0)</f>
        <v>Assets</v>
      </c>
      <c r="M723" t="str">
        <f>_xlfn.XLOOKUP(Jnl[[#This Row],[Acct]], config_BS[Acct], config_BS[Lv2],,0)</f>
        <v>Cash alike</v>
      </c>
      <c r="N723" t="str">
        <f>_xlfn.XLOOKUP(Jnl[[#This Row],[TrxId]], Trx[Id], Trx[IncNode], ,0)</f>
        <v>Revenue</v>
      </c>
      <c r="O723" t="str">
        <f>_xlfn.XLOOKUP(Jnl[[#This Row],[IncNode]], config_IS[Node], config_IS[Type],,0)</f>
        <v>Op</v>
      </c>
      <c r="P723" t="str">
        <f>_xlfn.XLOOKUP(Jnl[[#This Row],[BSLv2]], dict[Key], dict[Name],,0)</f>
        <v>0.现金及类似</v>
      </c>
      <c r="Q723" t="str">
        <f>_xlfn.XLOOKUP(Jnl[[#This Row],[Acct]], dict[Key], dict[Name],,0)</f>
        <v>银行</v>
      </c>
      <c r="R723" t="str">
        <f>_xlfn.XLOOKUP(Jnl[[#This Row],[Vehicle]],config_vehicle[Id], config_vehicle[Name],,0)</f>
        <v>远家文化</v>
      </c>
      <c r="S723" t="str">
        <f>_xlfn.XLOOKUP(Jnl[[#This Row],[Division]],config_div[Id], config_div[Name],,0)</f>
        <v>明月村</v>
      </c>
      <c r="T723" t="str">
        <f>IF(Jnl[[#This Row],[TrxDate]]&lt;=stmt_BS_date_end, "In", "Out")</f>
        <v>In</v>
      </c>
      <c r="U723" t="str">
        <f>IF(Jnl[[#This Row],[TrxDate]]&lt;debug_date_start, "prior", IF(Jnl[[#This Row],[TrxDate]]&gt;debug_date_end, "post", "curr"))</f>
        <v>curr</v>
      </c>
    </row>
    <row r="724" spans="1:21" hidden="1">
      <c r="A724" s="39" t="s">
        <v>1178</v>
      </c>
      <c r="B724" s="6">
        <f>_xlfn.XLOOKUP(Jnl[[#This Row],[TrxId]], Trx[Id], Trx[Date],,0)</f>
        <v>46053</v>
      </c>
      <c r="C724" s="6" t="str">
        <f>_xlfn.XLOOKUP(Jnl[[#This Row],[TrxId]], Trx[Id], Trx[Division],,0)</f>
        <v>MY</v>
      </c>
      <c r="D724" s="6" t="str">
        <f>_xlfn.XLOOKUP(Jnl[[#This Row],[TrxId]], Trx[Id], Trx[Action],,0)</f>
        <v>收款</v>
      </c>
      <c r="E724" s="27" t="s">
        <v>85</v>
      </c>
      <c r="F724" s="10" t="s">
        <v>599</v>
      </c>
      <c r="G724" s="10" t="s">
        <v>984</v>
      </c>
      <c r="H724" s="37">
        <v>-10000</v>
      </c>
      <c r="I724" s="38" t="b">
        <f>AND(Jnl[[#This Row],[TrxId]]&lt;&gt;"",Jnl[[#This Row],[Acct]]&lt;&gt;"",Jnl[[#This Row],[Item]]&lt;&gt;"",ISNUMBER(Jnl[[#This Row],[Bal]]))</f>
        <v>1</v>
      </c>
      <c r="J724" s="9">
        <f>IF(Jnl[[#This Row],[BSLv0]]="A",1,-1)*Jnl[[#This Row],[Bal]]</f>
        <v>-10000</v>
      </c>
      <c r="K724" t="str">
        <f>_xlfn.XLOOKUP(Jnl[[#This Row],[Acct]], config_BS[Acct], config_BS[Lv0],,0)</f>
        <v>A</v>
      </c>
      <c r="L724" t="str">
        <f>_xlfn.XLOOKUP(Jnl[[#This Row],[Acct]], config_BS[Acct], config_BS[Lv1],,0)</f>
        <v>Assets</v>
      </c>
      <c r="M724" t="str">
        <f>_xlfn.XLOOKUP(Jnl[[#This Row],[Acct]], config_BS[Acct], config_BS[Lv2],,0)</f>
        <v>Rec-Pay</v>
      </c>
      <c r="N724" t="str">
        <f>_xlfn.XLOOKUP(Jnl[[#This Row],[TrxId]], Trx[Id], Trx[IncNode], ,0)</f>
        <v>Revenue</v>
      </c>
      <c r="O724" t="str">
        <f>_xlfn.XLOOKUP(Jnl[[#This Row],[IncNode]], config_IS[Node], config_IS[Type],,0)</f>
        <v>Op</v>
      </c>
      <c r="P724" t="str">
        <f>_xlfn.XLOOKUP(Jnl[[#This Row],[BSLv2]], dict[Key], dict[Name],,0)</f>
        <v>1.应收-应付</v>
      </c>
      <c r="Q724" t="str">
        <f>_xlfn.XLOOKUP(Jnl[[#This Row],[Acct]], dict[Key], dict[Name],,0)</f>
        <v>应收-一般</v>
      </c>
      <c r="R724" t="str">
        <f>_xlfn.XLOOKUP(Jnl[[#This Row],[Vehicle]],config_vehicle[Id], config_vehicle[Name],,0)</f>
        <v>远家文化</v>
      </c>
      <c r="S724" t="str">
        <f>_xlfn.XLOOKUP(Jnl[[#This Row],[Division]],config_div[Id], config_div[Name],,0)</f>
        <v>明月村</v>
      </c>
      <c r="T724" t="str">
        <f>IF(Jnl[[#This Row],[TrxDate]]&lt;=stmt_BS_date_end, "In", "Out")</f>
        <v>In</v>
      </c>
      <c r="U724" t="str">
        <f>IF(Jnl[[#This Row],[TrxDate]]&lt;debug_date_start, "prior", IF(Jnl[[#This Row],[TrxDate]]&gt;debug_date_end, "post", "curr"))</f>
        <v>curr</v>
      </c>
    </row>
    <row r="725" spans="1:21" hidden="1">
      <c r="A725" s="39" t="s">
        <v>1179</v>
      </c>
      <c r="B725" s="6">
        <f>_xlfn.XLOOKUP(Jnl[[#This Row],[TrxId]], Trx[Id], Trx[Date],,0)</f>
        <v>46053</v>
      </c>
      <c r="C725" s="6" t="str">
        <f>_xlfn.XLOOKUP(Jnl[[#This Row],[TrxId]], Trx[Id], Trx[Division],,0)</f>
        <v>MY</v>
      </c>
      <c r="D725" s="6" t="str">
        <f>_xlfn.XLOOKUP(Jnl[[#This Row],[TrxId]], Trx[Id], Trx[Action],,0)</f>
        <v>其他材料</v>
      </c>
      <c r="E725" s="27" t="s">
        <v>85</v>
      </c>
      <c r="F725" s="10" t="s">
        <v>596</v>
      </c>
      <c r="G725" s="10" t="s">
        <v>852</v>
      </c>
      <c r="H725" s="37">
        <v>-3745</v>
      </c>
      <c r="I725" s="38" t="b">
        <f>AND(Jnl[[#This Row],[TrxId]]&lt;&gt;"",Jnl[[#This Row],[Acct]]&lt;&gt;"",Jnl[[#This Row],[Item]]&lt;&gt;"",ISNUMBER(Jnl[[#This Row],[Bal]]))</f>
        <v>1</v>
      </c>
      <c r="J725" s="9">
        <f>IF(Jnl[[#This Row],[BSLv0]]="A",1,-1)*Jnl[[#This Row],[Bal]]</f>
        <v>-3745</v>
      </c>
      <c r="K725" t="str">
        <f>_xlfn.XLOOKUP(Jnl[[#This Row],[Acct]], config_BS[Acct], config_BS[Lv0],,0)</f>
        <v>A</v>
      </c>
      <c r="L725" t="str">
        <f>_xlfn.XLOOKUP(Jnl[[#This Row],[Acct]], config_BS[Acct], config_BS[Lv1],,0)</f>
        <v>Assets</v>
      </c>
      <c r="M725" t="str">
        <f>_xlfn.XLOOKUP(Jnl[[#This Row],[Acct]], config_BS[Acct], config_BS[Lv2],,0)</f>
        <v>Cash alike</v>
      </c>
      <c r="N725" t="str">
        <f>_xlfn.XLOOKUP(Jnl[[#This Row],[TrxId]], Trx[Id], Trx[IncNode], ,0)</f>
        <v>Cost</v>
      </c>
      <c r="O725" t="str">
        <f>_xlfn.XLOOKUP(Jnl[[#This Row],[IncNode]], config_IS[Node], config_IS[Type],,0)</f>
        <v>Op</v>
      </c>
      <c r="P725" t="str">
        <f>_xlfn.XLOOKUP(Jnl[[#This Row],[BSLv2]], dict[Key], dict[Name],,0)</f>
        <v>0.现金及类似</v>
      </c>
      <c r="Q725" t="str">
        <f>_xlfn.XLOOKUP(Jnl[[#This Row],[Acct]], dict[Key], dict[Name],,0)</f>
        <v>银行</v>
      </c>
      <c r="R725" t="str">
        <f>_xlfn.XLOOKUP(Jnl[[#This Row],[Vehicle]],config_vehicle[Id], config_vehicle[Name],,0)</f>
        <v>远家文化</v>
      </c>
      <c r="S725" t="str">
        <f>_xlfn.XLOOKUP(Jnl[[#This Row],[Division]],config_div[Id], config_div[Name],,0)</f>
        <v>明月村</v>
      </c>
      <c r="T725" t="str">
        <f>IF(Jnl[[#This Row],[TrxDate]]&lt;=stmt_BS_date_end, "In", "Out")</f>
        <v>In</v>
      </c>
      <c r="U725" t="str">
        <f>IF(Jnl[[#This Row],[TrxDate]]&lt;debug_date_start, "prior", IF(Jnl[[#This Row],[TrxDate]]&gt;debug_date_end, "post", "curr"))</f>
        <v>curr</v>
      </c>
    </row>
    <row r="726" spans="1:21" hidden="1">
      <c r="A726" s="39" t="s">
        <v>1180</v>
      </c>
      <c r="B726" s="6">
        <f>_xlfn.XLOOKUP(Jnl[[#This Row],[TrxId]], Trx[Id], Trx[Date],,0)</f>
        <v>46053</v>
      </c>
      <c r="C726" s="6" t="str">
        <f>_xlfn.XLOOKUP(Jnl[[#This Row],[TrxId]], Trx[Id], Trx[Division],,0)</f>
        <v>MY</v>
      </c>
      <c r="D726" s="6" t="str">
        <f>_xlfn.XLOOKUP(Jnl[[#This Row],[TrxId]], Trx[Id], Trx[Action],,0)</f>
        <v>公共设施</v>
      </c>
      <c r="E726" s="27" t="s">
        <v>85</v>
      </c>
      <c r="F726" s="10" t="s">
        <v>596</v>
      </c>
      <c r="G726" s="10" t="s">
        <v>852</v>
      </c>
      <c r="H726" s="37">
        <v>-19562.7</v>
      </c>
      <c r="I726" s="38" t="b">
        <f>AND(Jnl[[#This Row],[TrxId]]&lt;&gt;"",Jnl[[#This Row],[Acct]]&lt;&gt;"",Jnl[[#This Row],[Item]]&lt;&gt;"",ISNUMBER(Jnl[[#This Row],[Bal]]))</f>
        <v>1</v>
      </c>
      <c r="J726" s="9">
        <f>IF(Jnl[[#This Row],[BSLv0]]="A",1,-1)*Jnl[[#This Row],[Bal]]</f>
        <v>-19562.7</v>
      </c>
      <c r="K726" t="str">
        <f>_xlfn.XLOOKUP(Jnl[[#This Row],[Acct]], config_BS[Acct], config_BS[Lv0],,0)</f>
        <v>A</v>
      </c>
      <c r="L726" t="str">
        <f>_xlfn.XLOOKUP(Jnl[[#This Row],[Acct]], config_BS[Acct], config_BS[Lv1],,0)</f>
        <v>Assets</v>
      </c>
      <c r="M726" t="str">
        <f>_xlfn.XLOOKUP(Jnl[[#This Row],[Acct]], config_BS[Acct], config_BS[Lv2],,0)</f>
        <v>Cash alike</v>
      </c>
      <c r="N726" t="str">
        <f>_xlfn.XLOOKUP(Jnl[[#This Row],[TrxId]], Trx[Id], Trx[IncNode], ,0)</f>
        <v>Expense</v>
      </c>
      <c r="O726" t="str">
        <f>_xlfn.XLOOKUP(Jnl[[#This Row],[IncNode]], config_IS[Node], config_IS[Type],,0)</f>
        <v>Op</v>
      </c>
      <c r="P726" t="str">
        <f>_xlfn.XLOOKUP(Jnl[[#This Row],[BSLv2]], dict[Key], dict[Name],,0)</f>
        <v>0.现金及类似</v>
      </c>
      <c r="Q726" t="str">
        <f>_xlfn.XLOOKUP(Jnl[[#This Row],[Acct]], dict[Key], dict[Name],,0)</f>
        <v>银行</v>
      </c>
      <c r="R726" t="str">
        <f>_xlfn.XLOOKUP(Jnl[[#This Row],[Vehicle]],config_vehicle[Id], config_vehicle[Name],,0)</f>
        <v>远家文化</v>
      </c>
      <c r="S726" t="str">
        <f>_xlfn.XLOOKUP(Jnl[[#This Row],[Division]],config_div[Id], config_div[Name],,0)</f>
        <v>明月村</v>
      </c>
      <c r="T726" t="str">
        <f>IF(Jnl[[#This Row],[TrxDate]]&lt;=stmt_BS_date_end, "In", "Out")</f>
        <v>In</v>
      </c>
      <c r="U726" t="str">
        <f>IF(Jnl[[#This Row],[TrxDate]]&lt;debug_date_start, "prior", IF(Jnl[[#This Row],[TrxDate]]&gt;debug_date_end, "post", "curr"))</f>
        <v>curr</v>
      </c>
    </row>
    <row r="727" spans="1:21" hidden="1">
      <c r="A727" s="39" t="s">
        <v>1181</v>
      </c>
      <c r="B727" s="6">
        <f>_xlfn.XLOOKUP(Jnl[[#This Row],[TrxId]], Trx[Id], Trx[Date],,0)</f>
        <v>46053</v>
      </c>
      <c r="C727" s="6" t="str">
        <f>_xlfn.XLOOKUP(Jnl[[#This Row],[TrxId]], Trx[Id], Trx[Division],,0)</f>
        <v>MY</v>
      </c>
      <c r="D727" s="6" t="str">
        <f>_xlfn.XLOOKUP(Jnl[[#This Row],[TrxId]], Trx[Id], Trx[Action],,0)</f>
        <v>支付</v>
      </c>
      <c r="E727" s="27" t="s">
        <v>85</v>
      </c>
      <c r="F727" s="10" t="s">
        <v>596</v>
      </c>
      <c r="G727" s="10" t="s">
        <v>852</v>
      </c>
      <c r="H727" s="37">
        <v>-4381.96</v>
      </c>
      <c r="I727" s="38" t="b">
        <f>AND(Jnl[[#This Row],[TrxId]]&lt;&gt;"",Jnl[[#This Row],[Acct]]&lt;&gt;"",Jnl[[#This Row],[Item]]&lt;&gt;"",ISNUMBER(Jnl[[#This Row],[Bal]]))</f>
        <v>1</v>
      </c>
      <c r="J727" s="9">
        <f>IF(Jnl[[#This Row],[BSLv0]]="A",1,-1)*Jnl[[#This Row],[Bal]]</f>
        <v>-4381.96</v>
      </c>
      <c r="K727" t="str">
        <f>_xlfn.XLOOKUP(Jnl[[#This Row],[Acct]], config_BS[Acct], config_BS[Lv0],,0)</f>
        <v>A</v>
      </c>
      <c r="L727" t="str">
        <f>_xlfn.XLOOKUP(Jnl[[#This Row],[Acct]], config_BS[Acct], config_BS[Lv1],,0)</f>
        <v>Assets</v>
      </c>
      <c r="M727" t="str">
        <f>_xlfn.XLOOKUP(Jnl[[#This Row],[Acct]], config_BS[Acct], config_BS[Lv2],,0)</f>
        <v>Cash alike</v>
      </c>
      <c r="N727" t="str">
        <f>_xlfn.XLOOKUP(Jnl[[#This Row],[TrxId]], Trx[Id], Trx[IncNode], ,0)</f>
        <v>Expense</v>
      </c>
      <c r="O727" t="str">
        <f>_xlfn.XLOOKUP(Jnl[[#This Row],[IncNode]], config_IS[Node], config_IS[Type],,0)</f>
        <v>Op</v>
      </c>
      <c r="P727" t="str">
        <f>_xlfn.XLOOKUP(Jnl[[#This Row],[BSLv2]], dict[Key], dict[Name],,0)</f>
        <v>0.现金及类似</v>
      </c>
      <c r="Q727" t="str">
        <f>_xlfn.XLOOKUP(Jnl[[#This Row],[Acct]], dict[Key], dict[Name],,0)</f>
        <v>银行</v>
      </c>
      <c r="R727" t="str">
        <f>_xlfn.XLOOKUP(Jnl[[#This Row],[Vehicle]],config_vehicle[Id], config_vehicle[Name],,0)</f>
        <v>远家文化</v>
      </c>
      <c r="S727" t="str">
        <f>_xlfn.XLOOKUP(Jnl[[#This Row],[Division]],config_div[Id], config_div[Name],,0)</f>
        <v>明月村</v>
      </c>
      <c r="T727" t="str">
        <f>IF(Jnl[[#This Row],[TrxDate]]&lt;=stmt_BS_date_end, "In", "Out")</f>
        <v>In</v>
      </c>
      <c r="U727" t="str">
        <f>IF(Jnl[[#This Row],[TrxDate]]&lt;debug_date_start, "prior", IF(Jnl[[#This Row],[TrxDate]]&gt;debug_date_end, "post", "curr"))</f>
        <v>curr</v>
      </c>
    </row>
    <row r="728" spans="1:21" hidden="1">
      <c r="A728" s="39" t="s">
        <v>1181</v>
      </c>
      <c r="B728" s="6">
        <f>_xlfn.XLOOKUP(Jnl[[#This Row],[TrxId]], Trx[Id], Trx[Date],,0)</f>
        <v>46053</v>
      </c>
      <c r="C728" s="6" t="str">
        <f>_xlfn.XLOOKUP(Jnl[[#This Row],[TrxId]], Trx[Id], Trx[Division],,0)</f>
        <v>MY</v>
      </c>
      <c r="D728" s="6" t="str">
        <f>_xlfn.XLOOKUP(Jnl[[#This Row],[TrxId]], Trx[Id], Trx[Action],,0)</f>
        <v>支付</v>
      </c>
      <c r="E728" s="27" t="s">
        <v>85</v>
      </c>
      <c r="F728" s="10" t="s">
        <v>130</v>
      </c>
      <c r="G728" s="10" t="s">
        <v>312</v>
      </c>
      <c r="H728" s="37">
        <v>-4381.96</v>
      </c>
      <c r="I728" s="38" t="b">
        <f>AND(Jnl[[#This Row],[TrxId]]&lt;&gt;"",Jnl[[#This Row],[Acct]]&lt;&gt;"",Jnl[[#This Row],[Item]]&lt;&gt;"",ISNUMBER(Jnl[[#This Row],[Bal]]))</f>
        <v>1</v>
      </c>
      <c r="J728" s="9">
        <f>IF(Jnl[[#This Row],[BSLv0]]="A",1,-1)*Jnl[[#This Row],[Bal]]</f>
        <v>4381.96</v>
      </c>
      <c r="K728" t="str">
        <f>_xlfn.XLOOKUP(Jnl[[#This Row],[Acct]], config_BS[Acct], config_BS[Lv0],,0)</f>
        <v>LC</v>
      </c>
      <c r="L728" t="str">
        <f>_xlfn.XLOOKUP(Jnl[[#This Row],[Acct]], config_BS[Acct], config_BS[Lv1],,0)</f>
        <v>Liability</v>
      </c>
      <c r="M728" t="str">
        <f>_xlfn.XLOOKUP(Jnl[[#This Row],[Acct]], config_BS[Acct], config_BS[Lv2],,0)</f>
        <v>Rec-Pay</v>
      </c>
      <c r="N728" t="str">
        <f>_xlfn.XLOOKUP(Jnl[[#This Row],[TrxId]], Trx[Id], Trx[IncNode], ,0)</f>
        <v>Expense</v>
      </c>
      <c r="O728" t="str">
        <f>_xlfn.XLOOKUP(Jnl[[#This Row],[IncNode]], config_IS[Node], config_IS[Type],,0)</f>
        <v>Op</v>
      </c>
      <c r="P728" t="str">
        <f>_xlfn.XLOOKUP(Jnl[[#This Row],[BSLv2]], dict[Key], dict[Name],,0)</f>
        <v>1.应收-应付</v>
      </c>
      <c r="Q728" t="str">
        <f>_xlfn.XLOOKUP(Jnl[[#This Row],[Acct]], dict[Key], dict[Name],,0)</f>
        <v>应付-税款</v>
      </c>
      <c r="R728" t="str">
        <f>_xlfn.XLOOKUP(Jnl[[#This Row],[Vehicle]],config_vehicle[Id], config_vehicle[Name],,0)</f>
        <v>远家文化</v>
      </c>
      <c r="S728" t="str">
        <f>_xlfn.XLOOKUP(Jnl[[#This Row],[Division]],config_div[Id], config_div[Name],,0)</f>
        <v>明月村</v>
      </c>
      <c r="T728" t="str">
        <f>IF(Jnl[[#This Row],[TrxDate]]&lt;=stmt_BS_date_end, "In", "Out")</f>
        <v>In</v>
      </c>
      <c r="U728" t="str">
        <f>IF(Jnl[[#This Row],[TrxDate]]&lt;debug_date_start, "prior", IF(Jnl[[#This Row],[TrxDate]]&gt;debug_date_end, "post", "curr"))</f>
        <v>curr</v>
      </c>
    </row>
    <row r="729" spans="1:21" hidden="1">
      <c r="A729" s="39" t="s">
        <v>1182</v>
      </c>
      <c r="B729" s="6">
        <f>_xlfn.XLOOKUP(Jnl[[#This Row],[TrxId]], Trx[Id], Trx[Date],,0)</f>
        <v>46053</v>
      </c>
      <c r="C729" s="6" t="str">
        <f>_xlfn.XLOOKUP(Jnl[[#This Row],[TrxId]], Trx[Id], Trx[Division],,0)</f>
        <v>MY</v>
      </c>
      <c r="D729" s="6" t="str">
        <f>_xlfn.XLOOKUP(Jnl[[#This Row],[TrxId]], Trx[Id], Trx[Action],,0)</f>
        <v>收款</v>
      </c>
      <c r="E729" s="27" t="s">
        <v>85</v>
      </c>
      <c r="F729" s="10" t="s">
        <v>599</v>
      </c>
      <c r="G729" s="10" t="s">
        <v>951</v>
      </c>
      <c r="H729" s="37">
        <v>-2480.5300000000002</v>
      </c>
      <c r="I729" s="38" t="b">
        <f>AND(Jnl[[#This Row],[TrxId]]&lt;&gt;"",Jnl[[#This Row],[Acct]]&lt;&gt;"",Jnl[[#This Row],[Item]]&lt;&gt;"",ISNUMBER(Jnl[[#This Row],[Bal]]))</f>
        <v>1</v>
      </c>
      <c r="J729" s="9">
        <f>IF(Jnl[[#This Row],[BSLv0]]="A",1,-1)*Jnl[[#This Row],[Bal]]</f>
        <v>-2480.5300000000002</v>
      </c>
      <c r="K729" t="str">
        <f>_xlfn.XLOOKUP(Jnl[[#This Row],[Acct]], config_BS[Acct], config_BS[Lv0],,0)</f>
        <v>A</v>
      </c>
      <c r="L729" t="str">
        <f>_xlfn.XLOOKUP(Jnl[[#This Row],[Acct]], config_BS[Acct], config_BS[Lv1],,0)</f>
        <v>Assets</v>
      </c>
      <c r="M729" t="str">
        <f>_xlfn.XLOOKUP(Jnl[[#This Row],[Acct]], config_BS[Acct], config_BS[Lv2],,0)</f>
        <v>Rec-Pay</v>
      </c>
      <c r="N729" t="str">
        <f>_xlfn.XLOOKUP(Jnl[[#This Row],[TrxId]], Trx[Id], Trx[IncNode], ,0)</f>
        <v>Revenue</v>
      </c>
      <c r="O729" t="str">
        <f>_xlfn.XLOOKUP(Jnl[[#This Row],[IncNode]], config_IS[Node], config_IS[Type],,0)</f>
        <v>Op</v>
      </c>
      <c r="P729" t="str">
        <f>_xlfn.XLOOKUP(Jnl[[#This Row],[BSLv2]], dict[Key], dict[Name],,0)</f>
        <v>1.应收-应付</v>
      </c>
      <c r="Q729" t="str">
        <f>_xlfn.XLOOKUP(Jnl[[#This Row],[Acct]], dict[Key], dict[Name],,0)</f>
        <v>应收-一般</v>
      </c>
      <c r="R729" t="str">
        <f>_xlfn.XLOOKUP(Jnl[[#This Row],[Vehicle]],config_vehicle[Id], config_vehicle[Name],,0)</f>
        <v>远家文化</v>
      </c>
      <c r="S729" t="str">
        <f>_xlfn.XLOOKUP(Jnl[[#This Row],[Division]],config_div[Id], config_div[Name],,0)</f>
        <v>明月村</v>
      </c>
      <c r="T729" t="str">
        <f>IF(Jnl[[#This Row],[TrxDate]]&lt;=stmt_BS_date_end, "In", "Out")</f>
        <v>In</v>
      </c>
      <c r="U729" t="str">
        <f>IF(Jnl[[#This Row],[TrxDate]]&lt;debug_date_start, "prior", IF(Jnl[[#This Row],[TrxDate]]&gt;debug_date_end, "post", "curr"))</f>
        <v>curr</v>
      </c>
    </row>
    <row r="730" spans="1:21" hidden="1">
      <c r="A730" s="39" t="s">
        <v>1182</v>
      </c>
      <c r="B730" s="6">
        <f>_xlfn.XLOOKUP(Jnl[[#This Row],[TrxId]], Trx[Id], Trx[Date],,0)</f>
        <v>46053</v>
      </c>
      <c r="C730" s="6" t="str">
        <f>_xlfn.XLOOKUP(Jnl[[#This Row],[TrxId]], Trx[Id], Trx[Division],,0)</f>
        <v>MY</v>
      </c>
      <c r="D730" s="6" t="str">
        <f>_xlfn.XLOOKUP(Jnl[[#This Row],[TrxId]], Trx[Id], Trx[Action],,0)</f>
        <v>收款</v>
      </c>
      <c r="E730" s="27" t="s">
        <v>85</v>
      </c>
      <c r="F730" s="10" t="s">
        <v>596</v>
      </c>
      <c r="G730" s="10" t="s">
        <v>852</v>
      </c>
      <c r="H730" s="37">
        <v>2480.5300000000002</v>
      </c>
      <c r="I730" s="38" t="b">
        <f>AND(Jnl[[#This Row],[TrxId]]&lt;&gt;"",Jnl[[#This Row],[Acct]]&lt;&gt;"",Jnl[[#This Row],[Item]]&lt;&gt;"",ISNUMBER(Jnl[[#This Row],[Bal]]))</f>
        <v>1</v>
      </c>
      <c r="J730" s="9">
        <f>IF(Jnl[[#This Row],[BSLv0]]="A",1,-1)*Jnl[[#This Row],[Bal]]</f>
        <v>2480.5300000000002</v>
      </c>
      <c r="K730" t="str">
        <f>_xlfn.XLOOKUP(Jnl[[#This Row],[Acct]], config_BS[Acct], config_BS[Lv0],,0)</f>
        <v>A</v>
      </c>
      <c r="L730" t="str">
        <f>_xlfn.XLOOKUP(Jnl[[#This Row],[Acct]], config_BS[Acct], config_BS[Lv1],,0)</f>
        <v>Assets</v>
      </c>
      <c r="M730" t="str">
        <f>_xlfn.XLOOKUP(Jnl[[#This Row],[Acct]], config_BS[Acct], config_BS[Lv2],,0)</f>
        <v>Cash alike</v>
      </c>
      <c r="N730" t="str">
        <f>_xlfn.XLOOKUP(Jnl[[#This Row],[TrxId]], Trx[Id], Trx[IncNode], ,0)</f>
        <v>Revenue</v>
      </c>
      <c r="O730" t="str">
        <f>_xlfn.XLOOKUP(Jnl[[#This Row],[IncNode]], config_IS[Node], config_IS[Type],,0)</f>
        <v>Op</v>
      </c>
      <c r="P730" t="str">
        <f>_xlfn.XLOOKUP(Jnl[[#This Row],[BSLv2]], dict[Key], dict[Name],,0)</f>
        <v>0.现金及类似</v>
      </c>
      <c r="Q730" t="str">
        <f>_xlfn.XLOOKUP(Jnl[[#This Row],[Acct]], dict[Key], dict[Name],,0)</f>
        <v>银行</v>
      </c>
      <c r="R730" t="str">
        <f>_xlfn.XLOOKUP(Jnl[[#This Row],[Vehicle]],config_vehicle[Id], config_vehicle[Name],,0)</f>
        <v>远家文化</v>
      </c>
      <c r="S730" t="str">
        <f>_xlfn.XLOOKUP(Jnl[[#This Row],[Division]],config_div[Id], config_div[Name],,0)</f>
        <v>明月村</v>
      </c>
      <c r="T730" t="str">
        <f>IF(Jnl[[#This Row],[TrxDate]]&lt;=stmt_BS_date_end, "In", "Out")</f>
        <v>In</v>
      </c>
      <c r="U730" t="str">
        <f>IF(Jnl[[#This Row],[TrxDate]]&lt;debug_date_start, "prior", IF(Jnl[[#This Row],[TrxDate]]&gt;debug_date_end, "post", "curr"))</f>
        <v>curr</v>
      </c>
    </row>
    <row r="731" spans="1:21" hidden="1">
      <c r="A731" s="39" t="s">
        <v>1183</v>
      </c>
      <c r="B731" s="6">
        <f>_xlfn.XLOOKUP(Jnl[[#This Row],[TrxId]], Trx[Id], Trx[Date],,0)</f>
        <v>46053</v>
      </c>
      <c r="C731" s="6" t="str">
        <f>_xlfn.XLOOKUP(Jnl[[#This Row],[TrxId]], Trx[Id], Trx[Division],,0)</f>
        <v>MY</v>
      </c>
      <c r="D731" s="6" t="str">
        <f>_xlfn.XLOOKUP(Jnl[[#This Row],[TrxId]], Trx[Id], Trx[Action],,0)</f>
        <v>收款</v>
      </c>
      <c r="E731" s="27" t="s">
        <v>85</v>
      </c>
      <c r="F731" s="10" t="s">
        <v>599</v>
      </c>
      <c r="G731" s="10" t="s">
        <v>984</v>
      </c>
      <c r="H731" s="37">
        <v>-37947</v>
      </c>
      <c r="I731" s="38" t="b">
        <f>AND(Jnl[[#This Row],[TrxId]]&lt;&gt;"",Jnl[[#This Row],[Acct]]&lt;&gt;"",Jnl[[#This Row],[Item]]&lt;&gt;"",ISNUMBER(Jnl[[#This Row],[Bal]]))</f>
        <v>1</v>
      </c>
      <c r="J731" s="9">
        <f>IF(Jnl[[#This Row],[BSLv0]]="A",1,-1)*Jnl[[#This Row],[Bal]]</f>
        <v>-37947</v>
      </c>
      <c r="K731" t="str">
        <f>_xlfn.XLOOKUP(Jnl[[#This Row],[Acct]], config_BS[Acct], config_BS[Lv0],,0)</f>
        <v>A</v>
      </c>
      <c r="L731" t="str">
        <f>_xlfn.XLOOKUP(Jnl[[#This Row],[Acct]], config_BS[Acct], config_BS[Lv1],,0)</f>
        <v>Assets</v>
      </c>
      <c r="M731" t="str">
        <f>_xlfn.XLOOKUP(Jnl[[#This Row],[Acct]], config_BS[Acct], config_BS[Lv2],,0)</f>
        <v>Rec-Pay</v>
      </c>
      <c r="N731" t="str">
        <f>_xlfn.XLOOKUP(Jnl[[#This Row],[TrxId]], Trx[Id], Trx[IncNode], ,0)</f>
        <v>Revenue</v>
      </c>
      <c r="O731" t="str">
        <f>_xlfn.XLOOKUP(Jnl[[#This Row],[IncNode]], config_IS[Node], config_IS[Type],,0)</f>
        <v>Op</v>
      </c>
      <c r="P731" t="str">
        <f>_xlfn.XLOOKUP(Jnl[[#This Row],[BSLv2]], dict[Key], dict[Name],,0)</f>
        <v>1.应收-应付</v>
      </c>
      <c r="Q731" t="str">
        <f>_xlfn.XLOOKUP(Jnl[[#This Row],[Acct]], dict[Key], dict[Name],,0)</f>
        <v>应收-一般</v>
      </c>
      <c r="R731" t="str">
        <f>_xlfn.XLOOKUP(Jnl[[#This Row],[Vehicle]],config_vehicle[Id], config_vehicle[Name],,0)</f>
        <v>远家文化</v>
      </c>
      <c r="S731" t="str">
        <f>_xlfn.XLOOKUP(Jnl[[#This Row],[Division]],config_div[Id], config_div[Name],,0)</f>
        <v>明月村</v>
      </c>
      <c r="T731" t="str">
        <f>IF(Jnl[[#This Row],[TrxDate]]&lt;=stmt_BS_date_end, "In", "Out")</f>
        <v>In</v>
      </c>
      <c r="U731" t="str">
        <f>IF(Jnl[[#This Row],[TrxDate]]&lt;debug_date_start, "prior", IF(Jnl[[#This Row],[TrxDate]]&gt;debug_date_end, "post", "curr"))</f>
        <v>curr</v>
      </c>
    </row>
    <row r="732" spans="1:21" hidden="1">
      <c r="A732" s="39" t="s">
        <v>1183</v>
      </c>
      <c r="B732" s="6">
        <f>_xlfn.XLOOKUP(Jnl[[#This Row],[TrxId]], Trx[Id], Trx[Date],,0)</f>
        <v>46053</v>
      </c>
      <c r="C732" s="6" t="str">
        <f>_xlfn.XLOOKUP(Jnl[[#This Row],[TrxId]], Trx[Id], Trx[Division],,0)</f>
        <v>MY</v>
      </c>
      <c r="D732" s="6" t="str">
        <f>_xlfn.XLOOKUP(Jnl[[#This Row],[TrxId]], Trx[Id], Trx[Action],,0)</f>
        <v>收款</v>
      </c>
      <c r="E732" s="27" t="s">
        <v>85</v>
      </c>
      <c r="F732" s="10" t="s">
        <v>596</v>
      </c>
      <c r="G732" s="10" t="s">
        <v>852</v>
      </c>
      <c r="H732" s="37">
        <v>37947</v>
      </c>
      <c r="I732" s="38" t="b">
        <f>AND(Jnl[[#This Row],[TrxId]]&lt;&gt;"",Jnl[[#This Row],[Acct]]&lt;&gt;"",Jnl[[#This Row],[Item]]&lt;&gt;"",ISNUMBER(Jnl[[#This Row],[Bal]]))</f>
        <v>1</v>
      </c>
      <c r="J732" s="9">
        <f>IF(Jnl[[#This Row],[BSLv0]]="A",1,-1)*Jnl[[#This Row],[Bal]]</f>
        <v>37947</v>
      </c>
      <c r="K732" t="str">
        <f>_xlfn.XLOOKUP(Jnl[[#This Row],[Acct]], config_BS[Acct], config_BS[Lv0],,0)</f>
        <v>A</v>
      </c>
      <c r="L732" t="str">
        <f>_xlfn.XLOOKUP(Jnl[[#This Row],[Acct]], config_BS[Acct], config_BS[Lv1],,0)</f>
        <v>Assets</v>
      </c>
      <c r="M732" t="str">
        <f>_xlfn.XLOOKUP(Jnl[[#This Row],[Acct]], config_BS[Acct], config_BS[Lv2],,0)</f>
        <v>Cash alike</v>
      </c>
      <c r="N732" t="str">
        <f>_xlfn.XLOOKUP(Jnl[[#This Row],[TrxId]], Trx[Id], Trx[IncNode], ,0)</f>
        <v>Revenue</v>
      </c>
      <c r="O732" t="str">
        <f>_xlfn.XLOOKUP(Jnl[[#This Row],[IncNode]], config_IS[Node], config_IS[Type],,0)</f>
        <v>Op</v>
      </c>
      <c r="P732" t="str">
        <f>_xlfn.XLOOKUP(Jnl[[#This Row],[BSLv2]], dict[Key], dict[Name],,0)</f>
        <v>0.现金及类似</v>
      </c>
      <c r="Q732" t="str">
        <f>_xlfn.XLOOKUP(Jnl[[#This Row],[Acct]], dict[Key], dict[Name],,0)</f>
        <v>银行</v>
      </c>
      <c r="R732" t="str">
        <f>_xlfn.XLOOKUP(Jnl[[#This Row],[Vehicle]],config_vehicle[Id], config_vehicle[Name],,0)</f>
        <v>远家文化</v>
      </c>
      <c r="S732" t="str">
        <f>_xlfn.XLOOKUP(Jnl[[#This Row],[Division]],config_div[Id], config_div[Name],,0)</f>
        <v>明月村</v>
      </c>
      <c r="T732" t="str">
        <f>IF(Jnl[[#This Row],[TrxDate]]&lt;=stmt_BS_date_end, "In", "Out")</f>
        <v>In</v>
      </c>
      <c r="U732" t="str">
        <f>IF(Jnl[[#This Row],[TrxDate]]&lt;debug_date_start, "prior", IF(Jnl[[#This Row],[TrxDate]]&gt;debug_date_end, "post", "curr"))</f>
        <v>curr</v>
      </c>
    </row>
    <row r="733" spans="1:21" hidden="1">
      <c r="A733" s="39" t="s">
        <v>1184</v>
      </c>
      <c r="B733" s="6">
        <f>_xlfn.XLOOKUP(Jnl[[#This Row],[TrxId]], Trx[Id], Trx[Date],,0)</f>
        <v>46053</v>
      </c>
      <c r="C733" s="6" t="str">
        <f>_xlfn.XLOOKUP(Jnl[[#This Row],[TrxId]], Trx[Id], Trx[Division],,0)</f>
        <v>MY</v>
      </c>
      <c r="D733" s="6" t="str">
        <f>_xlfn.XLOOKUP(Jnl[[#This Row],[TrxId]], Trx[Id], Trx[Action],,0)</f>
        <v>住宿</v>
      </c>
      <c r="E733" s="27" t="s">
        <v>85</v>
      </c>
      <c r="F733" s="10" t="s">
        <v>596</v>
      </c>
      <c r="G733" s="10" t="s">
        <v>852</v>
      </c>
      <c r="H733" s="37">
        <v>-1800</v>
      </c>
      <c r="I733" s="38" t="b">
        <f>AND(Jnl[[#This Row],[TrxId]]&lt;&gt;"",Jnl[[#This Row],[Acct]]&lt;&gt;"",Jnl[[#This Row],[Item]]&lt;&gt;"",ISNUMBER(Jnl[[#This Row],[Bal]]))</f>
        <v>1</v>
      </c>
      <c r="J733" s="9">
        <f>IF(Jnl[[#This Row],[BSLv0]]="A",1,-1)*Jnl[[#This Row],[Bal]]</f>
        <v>-1800</v>
      </c>
      <c r="K733" t="str">
        <f>_xlfn.XLOOKUP(Jnl[[#This Row],[Acct]], config_BS[Acct], config_BS[Lv0],,0)</f>
        <v>A</v>
      </c>
      <c r="L733" t="str">
        <f>_xlfn.XLOOKUP(Jnl[[#This Row],[Acct]], config_BS[Acct], config_BS[Lv1],,0)</f>
        <v>Assets</v>
      </c>
      <c r="M733" t="str">
        <f>_xlfn.XLOOKUP(Jnl[[#This Row],[Acct]], config_BS[Acct], config_BS[Lv2],,0)</f>
        <v>Cash alike</v>
      </c>
      <c r="N733" t="str">
        <f>_xlfn.XLOOKUP(Jnl[[#This Row],[TrxId]], Trx[Id], Trx[IncNode], ,0)</f>
        <v>Cost</v>
      </c>
      <c r="O733" t="str">
        <f>_xlfn.XLOOKUP(Jnl[[#This Row],[IncNode]], config_IS[Node], config_IS[Type],,0)</f>
        <v>Op</v>
      </c>
      <c r="P733" t="str">
        <f>_xlfn.XLOOKUP(Jnl[[#This Row],[BSLv2]], dict[Key], dict[Name],,0)</f>
        <v>0.现金及类似</v>
      </c>
      <c r="Q733" t="str">
        <f>_xlfn.XLOOKUP(Jnl[[#This Row],[Acct]], dict[Key], dict[Name],,0)</f>
        <v>银行</v>
      </c>
      <c r="R733" t="str">
        <f>_xlfn.XLOOKUP(Jnl[[#This Row],[Vehicle]],config_vehicle[Id], config_vehicle[Name],,0)</f>
        <v>远家文化</v>
      </c>
      <c r="S733" t="str">
        <f>_xlfn.XLOOKUP(Jnl[[#This Row],[Division]],config_div[Id], config_div[Name],,0)</f>
        <v>明月村</v>
      </c>
      <c r="T733" t="str">
        <f>IF(Jnl[[#This Row],[TrxDate]]&lt;=stmt_BS_date_end, "In", "Out")</f>
        <v>In</v>
      </c>
      <c r="U733" t="str">
        <f>IF(Jnl[[#This Row],[TrxDate]]&lt;debug_date_start, "prior", IF(Jnl[[#This Row],[TrxDate]]&gt;debug_date_end, "post", "curr"))</f>
        <v>curr</v>
      </c>
    </row>
    <row r="734" spans="1:21" hidden="1">
      <c r="A734" s="39" t="s">
        <v>1185</v>
      </c>
      <c r="B734" s="6">
        <f>_xlfn.XLOOKUP(Jnl[[#This Row],[TrxId]], Trx[Id], Trx[Date],,0)</f>
        <v>46053</v>
      </c>
      <c r="C734" s="6" t="str">
        <f>_xlfn.XLOOKUP(Jnl[[#This Row],[TrxId]], Trx[Id], Trx[Division],,0)</f>
        <v>MY</v>
      </c>
      <c r="D734" s="6" t="str">
        <f>_xlfn.XLOOKUP(Jnl[[#This Row],[TrxId]], Trx[Id], Trx[Action],,0)</f>
        <v>演出</v>
      </c>
      <c r="E734" s="27" t="s">
        <v>85</v>
      </c>
      <c r="F734" s="10" t="s">
        <v>596</v>
      </c>
      <c r="G734" s="10" t="s">
        <v>852</v>
      </c>
      <c r="H734" s="37">
        <v>-1500</v>
      </c>
      <c r="I734" s="38" t="b">
        <f>AND(Jnl[[#This Row],[TrxId]]&lt;&gt;"",Jnl[[#This Row],[Acct]]&lt;&gt;"",Jnl[[#This Row],[Item]]&lt;&gt;"",ISNUMBER(Jnl[[#This Row],[Bal]]))</f>
        <v>1</v>
      </c>
      <c r="J734" s="9">
        <f>IF(Jnl[[#This Row],[BSLv0]]="A",1,-1)*Jnl[[#This Row],[Bal]]</f>
        <v>-1500</v>
      </c>
      <c r="K734" t="str">
        <f>_xlfn.XLOOKUP(Jnl[[#This Row],[Acct]], config_BS[Acct], config_BS[Lv0],,0)</f>
        <v>A</v>
      </c>
      <c r="L734" t="str">
        <f>_xlfn.XLOOKUP(Jnl[[#This Row],[Acct]], config_BS[Acct], config_BS[Lv1],,0)</f>
        <v>Assets</v>
      </c>
      <c r="M734" t="str">
        <f>_xlfn.XLOOKUP(Jnl[[#This Row],[Acct]], config_BS[Acct], config_BS[Lv2],,0)</f>
        <v>Cash alike</v>
      </c>
      <c r="N734" t="str">
        <f>_xlfn.XLOOKUP(Jnl[[#This Row],[TrxId]], Trx[Id], Trx[IncNode], ,0)</f>
        <v>Cost</v>
      </c>
      <c r="O734" t="str">
        <f>_xlfn.XLOOKUP(Jnl[[#This Row],[IncNode]], config_IS[Node], config_IS[Type],,0)</f>
        <v>Op</v>
      </c>
      <c r="P734" t="str">
        <f>_xlfn.XLOOKUP(Jnl[[#This Row],[BSLv2]], dict[Key], dict[Name],,0)</f>
        <v>0.现金及类似</v>
      </c>
      <c r="Q734" t="str">
        <f>_xlfn.XLOOKUP(Jnl[[#This Row],[Acct]], dict[Key], dict[Name],,0)</f>
        <v>银行</v>
      </c>
      <c r="R734" t="str">
        <f>_xlfn.XLOOKUP(Jnl[[#This Row],[Vehicle]],config_vehicle[Id], config_vehicle[Name],,0)</f>
        <v>远家文化</v>
      </c>
      <c r="S734" t="str">
        <f>_xlfn.XLOOKUP(Jnl[[#This Row],[Division]],config_div[Id], config_div[Name],,0)</f>
        <v>明月村</v>
      </c>
      <c r="T734" t="str">
        <f>IF(Jnl[[#This Row],[TrxDate]]&lt;=stmt_BS_date_end, "In", "Out")</f>
        <v>In</v>
      </c>
      <c r="U734" t="str">
        <f>IF(Jnl[[#This Row],[TrxDate]]&lt;debug_date_start, "prior", IF(Jnl[[#This Row],[TrxDate]]&gt;debug_date_end, "post", "curr"))</f>
        <v>curr</v>
      </c>
    </row>
    <row r="735" spans="1:21" hidden="1">
      <c r="A735" s="39" t="s">
        <v>1186</v>
      </c>
      <c r="B735" s="6">
        <f>_xlfn.XLOOKUP(Jnl[[#This Row],[TrxId]], Trx[Id], Trx[Date],,0)</f>
        <v>46053</v>
      </c>
      <c r="C735" s="6" t="str">
        <f>_xlfn.XLOOKUP(Jnl[[#This Row],[TrxId]], Trx[Id], Trx[Division],,0)</f>
        <v>MY</v>
      </c>
      <c r="D735" s="6" t="str">
        <f>_xlfn.XLOOKUP(Jnl[[#This Row],[TrxId]], Trx[Id], Trx[Action],,0)</f>
        <v>临时人力</v>
      </c>
      <c r="E735" s="27" t="s">
        <v>85</v>
      </c>
      <c r="F735" s="10" t="s">
        <v>596</v>
      </c>
      <c r="G735" s="10" t="s">
        <v>852</v>
      </c>
      <c r="H735" s="37">
        <v>-540</v>
      </c>
      <c r="I735" s="38" t="b">
        <f>AND(Jnl[[#This Row],[TrxId]]&lt;&gt;"",Jnl[[#This Row],[Acct]]&lt;&gt;"",Jnl[[#This Row],[Item]]&lt;&gt;"",ISNUMBER(Jnl[[#This Row],[Bal]]))</f>
        <v>1</v>
      </c>
      <c r="J735" s="9">
        <f>IF(Jnl[[#This Row],[BSLv0]]="A",1,-1)*Jnl[[#This Row],[Bal]]</f>
        <v>-540</v>
      </c>
      <c r="K735" t="str">
        <f>_xlfn.XLOOKUP(Jnl[[#This Row],[Acct]], config_BS[Acct], config_BS[Lv0],,0)</f>
        <v>A</v>
      </c>
      <c r="L735" t="str">
        <f>_xlfn.XLOOKUP(Jnl[[#This Row],[Acct]], config_BS[Acct], config_BS[Lv1],,0)</f>
        <v>Assets</v>
      </c>
      <c r="M735" t="str">
        <f>_xlfn.XLOOKUP(Jnl[[#This Row],[Acct]], config_BS[Acct], config_BS[Lv2],,0)</f>
        <v>Cash alike</v>
      </c>
      <c r="N735" t="str">
        <f>_xlfn.XLOOKUP(Jnl[[#This Row],[TrxId]], Trx[Id], Trx[IncNode], ,0)</f>
        <v>Expense</v>
      </c>
      <c r="O735" t="str">
        <f>_xlfn.XLOOKUP(Jnl[[#This Row],[IncNode]], config_IS[Node], config_IS[Type],,0)</f>
        <v>Op</v>
      </c>
      <c r="P735" t="str">
        <f>_xlfn.XLOOKUP(Jnl[[#This Row],[BSLv2]], dict[Key], dict[Name],,0)</f>
        <v>0.现金及类似</v>
      </c>
      <c r="Q735" t="str">
        <f>_xlfn.XLOOKUP(Jnl[[#This Row],[Acct]], dict[Key], dict[Name],,0)</f>
        <v>银行</v>
      </c>
      <c r="R735" t="str">
        <f>_xlfn.XLOOKUP(Jnl[[#This Row],[Vehicle]],config_vehicle[Id], config_vehicle[Name],,0)</f>
        <v>远家文化</v>
      </c>
      <c r="S735" t="str">
        <f>_xlfn.XLOOKUP(Jnl[[#This Row],[Division]],config_div[Id], config_div[Name],,0)</f>
        <v>明月村</v>
      </c>
      <c r="T735" t="str">
        <f>IF(Jnl[[#This Row],[TrxDate]]&lt;=stmt_BS_date_end, "In", "Out")</f>
        <v>In</v>
      </c>
      <c r="U735" t="str">
        <f>IF(Jnl[[#This Row],[TrxDate]]&lt;debug_date_start, "prior", IF(Jnl[[#This Row],[TrxDate]]&gt;debug_date_end, "post", "curr"))</f>
        <v>curr</v>
      </c>
    </row>
    <row r="736" spans="1:21" hidden="1">
      <c r="A736" s="39" t="s">
        <v>1187</v>
      </c>
      <c r="B736" s="6">
        <f>_xlfn.XLOOKUP(Jnl[[#This Row],[TrxId]], Trx[Id], Trx[Date],,0)</f>
        <v>46053</v>
      </c>
      <c r="C736" s="6" t="str">
        <f>_xlfn.XLOOKUP(Jnl[[#This Row],[TrxId]], Trx[Id], Trx[Division],,0)</f>
        <v>MY</v>
      </c>
      <c r="D736" s="6" t="str">
        <f>_xlfn.XLOOKUP(Jnl[[#This Row],[TrxId]], Trx[Id], Trx[Action],,0)</f>
        <v>保险</v>
      </c>
      <c r="E736" s="27" t="s">
        <v>85</v>
      </c>
      <c r="F736" s="10" t="s">
        <v>596</v>
      </c>
      <c r="G736" s="10" t="s">
        <v>852</v>
      </c>
      <c r="H736" s="37">
        <v>-1540</v>
      </c>
      <c r="I736" s="38" t="b">
        <f>AND(Jnl[[#This Row],[TrxId]]&lt;&gt;"",Jnl[[#This Row],[Acct]]&lt;&gt;"",Jnl[[#This Row],[Item]]&lt;&gt;"",ISNUMBER(Jnl[[#This Row],[Bal]]))</f>
        <v>1</v>
      </c>
      <c r="J736" s="9">
        <f>IF(Jnl[[#This Row],[BSLv0]]="A",1,-1)*Jnl[[#This Row],[Bal]]</f>
        <v>-1540</v>
      </c>
      <c r="K736" t="str">
        <f>_xlfn.XLOOKUP(Jnl[[#This Row],[Acct]], config_BS[Acct], config_BS[Lv0],,0)</f>
        <v>A</v>
      </c>
      <c r="L736" t="str">
        <f>_xlfn.XLOOKUP(Jnl[[#This Row],[Acct]], config_BS[Acct], config_BS[Lv1],,0)</f>
        <v>Assets</v>
      </c>
      <c r="M736" t="str">
        <f>_xlfn.XLOOKUP(Jnl[[#This Row],[Acct]], config_BS[Acct], config_BS[Lv2],,0)</f>
        <v>Cash alike</v>
      </c>
      <c r="N736" t="str">
        <f>_xlfn.XLOOKUP(Jnl[[#This Row],[TrxId]], Trx[Id], Trx[IncNode], ,0)</f>
        <v>Expense</v>
      </c>
      <c r="O736" t="str">
        <f>_xlfn.XLOOKUP(Jnl[[#This Row],[IncNode]], config_IS[Node], config_IS[Type],,0)</f>
        <v>Op</v>
      </c>
      <c r="P736" t="str">
        <f>_xlfn.XLOOKUP(Jnl[[#This Row],[BSLv2]], dict[Key], dict[Name],,0)</f>
        <v>0.现金及类似</v>
      </c>
      <c r="Q736" t="str">
        <f>_xlfn.XLOOKUP(Jnl[[#This Row],[Acct]], dict[Key], dict[Name],,0)</f>
        <v>银行</v>
      </c>
      <c r="R736" t="str">
        <f>_xlfn.XLOOKUP(Jnl[[#This Row],[Vehicle]],config_vehicle[Id], config_vehicle[Name],,0)</f>
        <v>远家文化</v>
      </c>
      <c r="S736" t="str">
        <f>_xlfn.XLOOKUP(Jnl[[#This Row],[Division]],config_div[Id], config_div[Name],,0)</f>
        <v>明月村</v>
      </c>
      <c r="T736" t="str">
        <f>IF(Jnl[[#This Row],[TrxDate]]&lt;=stmt_BS_date_end, "In", "Out")</f>
        <v>In</v>
      </c>
      <c r="U736" t="str">
        <f>IF(Jnl[[#This Row],[TrxDate]]&lt;debug_date_start, "prior", IF(Jnl[[#This Row],[TrxDate]]&gt;debug_date_end, "post", "curr"))</f>
        <v>curr</v>
      </c>
    </row>
    <row r="737" spans="1:21" hidden="1">
      <c r="A737" s="39" t="s">
        <v>1188</v>
      </c>
      <c r="B737" s="6">
        <f>_xlfn.XLOOKUP(Jnl[[#This Row],[TrxId]], Trx[Id], Trx[Date],,0)</f>
        <v>46053</v>
      </c>
      <c r="C737" s="6" t="str">
        <f>_xlfn.XLOOKUP(Jnl[[#This Row],[TrxId]], Trx[Id], Trx[Division],,0)</f>
        <v>Brand</v>
      </c>
      <c r="D737" s="6" t="str">
        <f>_xlfn.XLOOKUP(Jnl[[#This Row],[TrxId]], Trx[Id], Trx[Action],,0)</f>
        <v>诗与歌</v>
      </c>
      <c r="E737" s="27" t="s">
        <v>85</v>
      </c>
      <c r="F737" s="10" t="s">
        <v>596</v>
      </c>
      <c r="G737" s="10" t="s">
        <v>852</v>
      </c>
      <c r="H737" s="37">
        <v>-36200</v>
      </c>
      <c r="I737" s="38" t="b">
        <f>AND(Jnl[[#This Row],[TrxId]]&lt;&gt;"",Jnl[[#This Row],[Acct]]&lt;&gt;"",Jnl[[#This Row],[Item]]&lt;&gt;"",ISNUMBER(Jnl[[#This Row],[Bal]]))</f>
        <v>1</v>
      </c>
      <c r="J737" s="9">
        <f>IF(Jnl[[#This Row],[BSLv0]]="A",1,-1)*Jnl[[#This Row],[Bal]]</f>
        <v>-36200</v>
      </c>
      <c r="K737" t="str">
        <f>_xlfn.XLOOKUP(Jnl[[#This Row],[Acct]], config_BS[Acct], config_BS[Lv0],,0)</f>
        <v>A</v>
      </c>
      <c r="L737" t="str">
        <f>_xlfn.XLOOKUP(Jnl[[#This Row],[Acct]], config_BS[Acct], config_BS[Lv1],,0)</f>
        <v>Assets</v>
      </c>
      <c r="M737" t="str">
        <f>_xlfn.XLOOKUP(Jnl[[#This Row],[Acct]], config_BS[Acct], config_BS[Lv2],,0)</f>
        <v>Cash alike</v>
      </c>
      <c r="N737" t="str">
        <f>_xlfn.XLOOKUP(Jnl[[#This Row],[TrxId]], Trx[Id], Trx[IncNode], ,0)</f>
        <v>Discretion</v>
      </c>
      <c r="O737" t="str">
        <f>_xlfn.XLOOKUP(Jnl[[#This Row],[IncNode]], config_IS[Node], config_IS[Type],,0)</f>
        <v>Non-Op</v>
      </c>
      <c r="P737" t="str">
        <f>_xlfn.XLOOKUP(Jnl[[#This Row],[BSLv2]], dict[Key], dict[Name],,0)</f>
        <v>0.现金及类似</v>
      </c>
      <c r="Q737" t="str">
        <f>_xlfn.XLOOKUP(Jnl[[#This Row],[Acct]], dict[Key], dict[Name],,0)</f>
        <v>银行</v>
      </c>
      <c r="R737" t="str">
        <f>_xlfn.XLOOKUP(Jnl[[#This Row],[Vehicle]],config_vehicle[Id], config_vehicle[Name],,0)</f>
        <v>远家文化</v>
      </c>
      <c r="S737" t="str">
        <f>_xlfn.XLOOKUP(Jnl[[#This Row],[Division]],config_div[Id], config_div[Name],,0)</f>
        <v>品牌</v>
      </c>
      <c r="T737" t="str">
        <f>IF(Jnl[[#This Row],[TrxDate]]&lt;=stmt_BS_date_end, "In", "Out")</f>
        <v>In</v>
      </c>
      <c r="U737" t="str">
        <f>IF(Jnl[[#This Row],[TrxDate]]&lt;debug_date_start, "prior", IF(Jnl[[#This Row],[TrxDate]]&gt;debug_date_end, "post", "curr"))</f>
        <v>curr</v>
      </c>
    </row>
    <row r="738" spans="1:21" hidden="1">
      <c r="A738" s="39" t="s">
        <v>1189</v>
      </c>
      <c r="B738" s="6">
        <f>_xlfn.XLOOKUP(Jnl[[#This Row],[TrxId]], Trx[Id], Trx[Date],,0)</f>
        <v>46053</v>
      </c>
      <c r="C738" s="6" t="str">
        <f>_xlfn.XLOOKUP(Jnl[[#This Row],[TrxId]], Trx[Id], Trx[Division],,0)</f>
        <v>MY</v>
      </c>
      <c r="D738" s="6" t="str">
        <f>_xlfn.XLOOKUP(Jnl[[#This Row],[TrxId]], Trx[Id], Trx[Action],,0)</f>
        <v>食材</v>
      </c>
      <c r="E738" s="27" t="s">
        <v>85</v>
      </c>
      <c r="F738" s="10" t="s">
        <v>596</v>
      </c>
      <c r="G738" s="10" t="s">
        <v>852</v>
      </c>
      <c r="H738" s="37">
        <v>-540</v>
      </c>
      <c r="I738" s="38" t="b">
        <f>AND(Jnl[[#This Row],[TrxId]]&lt;&gt;"",Jnl[[#This Row],[Acct]]&lt;&gt;"",Jnl[[#This Row],[Item]]&lt;&gt;"",ISNUMBER(Jnl[[#This Row],[Bal]]))</f>
        <v>1</v>
      </c>
      <c r="J738" s="9">
        <f>IF(Jnl[[#This Row],[BSLv0]]="A",1,-1)*Jnl[[#This Row],[Bal]]</f>
        <v>-540</v>
      </c>
      <c r="K738" t="str">
        <f>_xlfn.XLOOKUP(Jnl[[#This Row],[Acct]], config_BS[Acct], config_BS[Lv0],,0)</f>
        <v>A</v>
      </c>
      <c r="L738" t="str">
        <f>_xlfn.XLOOKUP(Jnl[[#This Row],[Acct]], config_BS[Acct], config_BS[Lv1],,0)</f>
        <v>Assets</v>
      </c>
      <c r="M738" t="str">
        <f>_xlfn.XLOOKUP(Jnl[[#This Row],[Acct]], config_BS[Acct], config_BS[Lv2],,0)</f>
        <v>Cash alike</v>
      </c>
      <c r="N738" t="str">
        <f>_xlfn.XLOOKUP(Jnl[[#This Row],[TrxId]], Trx[Id], Trx[IncNode], ,0)</f>
        <v>Cost</v>
      </c>
      <c r="O738" t="str">
        <f>_xlfn.XLOOKUP(Jnl[[#This Row],[IncNode]], config_IS[Node], config_IS[Type],,0)</f>
        <v>Op</v>
      </c>
      <c r="P738" t="str">
        <f>_xlfn.XLOOKUP(Jnl[[#This Row],[BSLv2]], dict[Key], dict[Name],,0)</f>
        <v>0.现金及类似</v>
      </c>
      <c r="Q738" t="str">
        <f>_xlfn.XLOOKUP(Jnl[[#This Row],[Acct]], dict[Key], dict[Name],,0)</f>
        <v>银行</v>
      </c>
      <c r="R738" t="str">
        <f>_xlfn.XLOOKUP(Jnl[[#This Row],[Vehicle]],config_vehicle[Id], config_vehicle[Name],,0)</f>
        <v>远家文化</v>
      </c>
      <c r="S738" t="str">
        <f>_xlfn.XLOOKUP(Jnl[[#This Row],[Division]],config_div[Id], config_div[Name],,0)</f>
        <v>明月村</v>
      </c>
      <c r="T738" t="str">
        <f>IF(Jnl[[#This Row],[TrxDate]]&lt;=stmt_BS_date_end, "In", "Out")</f>
        <v>In</v>
      </c>
      <c r="U738" t="str">
        <f>IF(Jnl[[#This Row],[TrxDate]]&lt;debug_date_start, "prior", IF(Jnl[[#This Row],[TrxDate]]&gt;debug_date_end, "post", "curr"))</f>
        <v>curr</v>
      </c>
    </row>
    <row r="739" spans="1:21" hidden="1">
      <c r="A739" s="39" t="s">
        <v>1190</v>
      </c>
      <c r="B739" s="6">
        <f>_xlfn.XLOOKUP(Jnl[[#This Row],[TrxId]], Trx[Id], Trx[Date],,0)</f>
        <v>46053</v>
      </c>
      <c r="C739" s="6" t="str">
        <f>_xlfn.XLOOKUP(Jnl[[#This Row],[TrxId]], Trx[Id], Trx[Division],,0)</f>
        <v>MY</v>
      </c>
      <c r="D739" s="6" t="str">
        <f>_xlfn.XLOOKUP(Jnl[[#This Row],[TrxId]], Trx[Id], Trx[Action],,0)</f>
        <v>收款</v>
      </c>
      <c r="E739" s="27" t="s">
        <v>85</v>
      </c>
      <c r="F739" s="10" t="s">
        <v>596</v>
      </c>
      <c r="G739" s="10" t="s">
        <v>852</v>
      </c>
      <c r="H739" s="37">
        <v>551.76</v>
      </c>
      <c r="I739" s="38" t="b">
        <f>AND(Jnl[[#This Row],[TrxId]]&lt;&gt;"",Jnl[[#This Row],[Acct]]&lt;&gt;"",Jnl[[#This Row],[Item]]&lt;&gt;"",ISNUMBER(Jnl[[#This Row],[Bal]]))</f>
        <v>1</v>
      </c>
      <c r="J739" s="9">
        <f>IF(Jnl[[#This Row],[BSLv0]]="A",1,-1)*Jnl[[#This Row],[Bal]]</f>
        <v>551.76</v>
      </c>
      <c r="K739" t="str">
        <f>_xlfn.XLOOKUP(Jnl[[#This Row],[Acct]], config_BS[Acct], config_BS[Lv0],,0)</f>
        <v>A</v>
      </c>
      <c r="L739" t="str">
        <f>_xlfn.XLOOKUP(Jnl[[#This Row],[Acct]], config_BS[Acct], config_BS[Lv1],,0)</f>
        <v>Assets</v>
      </c>
      <c r="M739" t="str">
        <f>_xlfn.XLOOKUP(Jnl[[#This Row],[Acct]], config_BS[Acct], config_BS[Lv2],,0)</f>
        <v>Cash alike</v>
      </c>
      <c r="N739" t="str">
        <f>_xlfn.XLOOKUP(Jnl[[#This Row],[TrxId]], Trx[Id], Trx[IncNode], ,0)</f>
        <v>Revenue</v>
      </c>
      <c r="O739" t="str">
        <f>_xlfn.XLOOKUP(Jnl[[#This Row],[IncNode]], config_IS[Node], config_IS[Type],,0)</f>
        <v>Op</v>
      </c>
      <c r="P739" t="str">
        <f>_xlfn.XLOOKUP(Jnl[[#This Row],[BSLv2]], dict[Key], dict[Name],,0)</f>
        <v>0.现金及类似</v>
      </c>
      <c r="Q739" t="str">
        <f>_xlfn.XLOOKUP(Jnl[[#This Row],[Acct]], dict[Key], dict[Name],,0)</f>
        <v>银行</v>
      </c>
      <c r="R739" t="str">
        <f>_xlfn.XLOOKUP(Jnl[[#This Row],[Vehicle]],config_vehicle[Id], config_vehicle[Name],,0)</f>
        <v>远家文化</v>
      </c>
      <c r="S739" t="str">
        <f>_xlfn.XLOOKUP(Jnl[[#This Row],[Division]],config_div[Id], config_div[Name],,0)</f>
        <v>明月村</v>
      </c>
      <c r="T739" t="str">
        <f>IF(Jnl[[#This Row],[TrxDate]]&lt;=stmt_BS_date_end, "In", "Out")</f>
        <v>In</v>
      </c>
      <c r="U739" t="str">
        <f>IF(Jnl[[#This Row],[TrxDate]]&lt;debug_date_start, "prior", IF(Jnl[[#This Row],[TrxDate]]&gt;debug_date_end, "post", "curr"))</f>
        <v>curr</v>
      </c>
    </row>
    <row r="740" spans="1:21" hidden="1">
      <c r="A740" s="39" t="s">
        <v>1190</v>
      </c>
      <c r="B740" s="6">
        <f>_xlfn.XLOOKUP(Jnl[[#This Row],[TrxId]], Trx[Id], Trx[Date],,0)</f>
        <v>46053</v>
      </c>
      <c r="C740" s="6" t="str">
        <f>_xlfn.XLOOKUP(Jnl[[#This Row],[TrxId]], Trx[Id], Trx[Division],,0)</f>
        <v>MY</v>
      </c>
      <c r="D740" s="6" t="str">
        <f>_xlfn.XLOOKUP(Jnl[[#This Row],[TrxId]], Trx[Id], Trx[Action],,0)</f>
        <v>收款</v>
      </c>
      <c r="E740" s="27" t="s">
        <v>85</v>
      </c>
      <c r="F740" s="10" t="s">
        <v>599</v>
      </c>
      <c r="G740" s="10" t="s">
        <v>949</v>
      </c>
      <c r="H740" s="37">
        <f>-H739</f>
        <v>-551.76</v>
      </c>
      <c r="I740" s="38" t="b">
        <f>AND(Jnl[[#This Row],[TrxId]]&lt;&gt;"",Jnl[[#This Row],[Acct]]&lt;&gt;"",Jnl[[#This Row],[Item]]&lt;&gt;"",ISNUMBER(Jnl[[#This Row],[Bal]]))</f>
        <v>1</v>
      </c>
      <c r="J740" s="9">
        <f>IF(Jnl[[#This Row],[BSLv0]]="A",1,-1)*Jnl[[#This Row],[Bal]]</f>
        <v>-551.76</v>
      </c>
      <c r="K740" t="str">
        <f>_xlfn.XLOOKUP(Jnl[[#This Row],[Acct]], config_BS[Acct], config_BS[Lv0],,0)</f>
        <v>A</v>
      </c>
      <c r="L740" t="str">
        <f>_xlfn.XLOOKUP(Jnl[[#This Row],[Acct]], config_BS[Acct], config_BS[Lv1],,0)</f>
        <v>Assets</v>
      </c>
      <c r="M740" t="str">
        <f>_xlfn.XLOOKUP(Jnl[[#This Row],[Acct]], config_BS[Acct], config_BS[Lv2],,0)</f>
        <v>Rec-Pay</v>
      </c>
      <c r="N740" t="str">
        <f>_xlfn.XLOOKUP(Jnl[[#This Row],[TrxId]], Trx[Id], Trx[IncNode], ,0)</f>
        <v>Revenue</v>
      </c>
      <c r="O740" t="str">
        <f>_xlfn.XLOOKUP(Jnl[[#This Row],[IncNode]], config_IS[Node], config_IS[Type],,0)</f>
        <v>Op</v>
      </c>
      <c r="P740" t="str">
        <f>_xlfn.XLOOKUP(Jnl[[#This Row],[BSLv2]], dict[Key], dict[Name],,0)</f>
        <v>1.应收-应付</v>
      </c>
      <c r="Q740" t="str">
        <f>_xlfn.XLOOKUP(Jnl[[#This Row],[Acct]], dict[Key], dict[Name],,0)</f>
        <v>应收-一般</v>
      </c>
      <c r="R740" t="str">
        <f>_xlfn.XLOOKUP(Jnl[[#This Row],[Vehicle]],config_vehicle[Id], config_vehicle[Name],,0)</f>
        <v>远家文化</v>
      </c>
      <c r="S740" t="str">
        <f>_xlfn.XLOOKUP(Jnl[[#This Row],[Division]],config_div[Id], config_div[Name],,0)</f>
        <v>明月村</v>
      </c>
      <c r="T740" t="str">
        <f>IF(Jnl[[#This Row],[TrxDate]]&lt;=stmt_BS_date_end, "In", "Out")</f>
        <v>In</v>
      </c>
      <c r="U740" t="str">
        <f>IF(Jnl[[#This Row],[TrxDate]]&lt;debug_date_start, "prior", IF(Jnl[[#This Row],[TrxDate]]&gt;debug_date_end, "post", "curr"))</f>
        <v>curr</v>
      </c>
    </row>
    <row r="741" spans="1:21" hidden="1">
      <c r="A741" s="39" t="s">
        <v>1191</v>
      </c>
      <c r="B741" s="6">
        <f>_xlfn.XLOOKUP(Jnl[[#This Row],[TrxId]], Trx[Id], Trx[Date],,0)</f>
        <v>46053</v>
      </c>
      <c r="C741" s="6" t="str">
        <f>_xlfn.XLOOKUP(Jnl[[#This Row],[TrxId]], Trx[Id], Trx[Division],,0)</f>
        <v>MY</v>
      </c>
      <c r="D741" s="6" t="str">
        <f>_xlfn.XLOOKUP(Jnl[[#This Row],[TrxId]], Trx[Id], Trx[Action],,0)</f>
        <v>食材</v>
      </c>
      <c r="E741" s="27" t="s">
        <v>85</v>
      </c>
      <c r="F741" s="10" t="s">
        <v>596</v>
      </c>
      <c r="G741" s="10" t="s">
        <v>852</v>
      </c>
      <c r="H741" s="37">
        <v>-1470</v>
      </c>
      <c r="I741" s="38" t="b">
        <f>AND(Jnl[[#This Row],[TrxId]]&lt;&gt;"",Jnl[[#This Row],[Acct]]&lt;&gt;"",Jnl[[#This Row],[Item]]&lt;&gt;"",ISNUMBER(Jnl[[#This Row],[Bal]]))</f>
        <v>1</v>
      </c>
      <c r="J741" s="9">
        <f>IF(Jnl[[#This Row],[BSLv0]]="A",1,-1)*Jnl[[#This Row],[Bal]]</f>
        <v>-1470</v>
      </c>
      <c r="K741" t="str">
        <f>_xlfn.XLOOKUP(Jnl[[#This Row],[Acct]], config_BS[Acct], config_BS[Lv0],,0)</f>
        <v>A</v>
      </c>
      <c r="L741" t="str">
        <f>_xlfn.XLOOKUP(Jnl[[#This Row],[Acct]], config_BS[Acct], config_BS[Lv1],,0)</f>
        <v>Assets</v>
      </c>
      <c r="M741" t="str">
        <f>_xlfn.XLOOKUP(Jnl[[#This Row],[Acct]], config_BS[Acct], config_BS[Lv2],,0)</f>
        <v>Cash alike</v>
      </c>
      <c r="N741" t="str">
        <f>_xlfn.XLOOKUP(Jnl[[#This Row],[TrxId]], Trx[Id], Trx[IncNode], ,0)</f>
        <v>Cost</v>
      </c>
      <c r="O741" t="str">
        <f>_xlfn.XLOOKUP(Jnl[[#This Row],[IncNode]], config_IS[Node], config_IS[Type],,0)</f>
        <v>Op</v>
      </c>
      <c r="P741" t="str">
        <f>_xlfn.XLOOKUP(Jnl[[#This Row],[BSLv2]], dict[Key], dict[Name],,0)</f>
        <v>0.现金及类似</v>
      </c>
      <c r="Q741" t="str">
        <f>_xlfn.XLOOKUP(Jnl[[#This Row],[Acct]], dict[Key], dict[Name],,0)</f>
        <v>银行</v>
      </c>
      <c r="R741" t="str">
        <f>_xlfn.XLOOKUP(Jnl[[#This Row],[Vehicle]],config_vehicle[Id], config_vehicle[Name],,0)</f>
        <v>远家文化</v>
      </c>
      <c r="S741" t="str">
        <f>_xlfn.XLOOKUP(Jnl[[#This Row],[Division]],config_div[Id], config_div[Name],,0)</f>
        <v>明月村</v>
      </c>
      <c r="T741" t="str">
        <f>IF(Jnl[[#This Row],[TrxDate]]&lt;=stmt_BS_date_end, "In", "Out")</f>
        <v>In</v>
      </c>
      <c r="U741" t="str">
        <f>IF(Jnl[[#This Row],[TrxDate]]&lt;debug_date_start, "prior", IF(Jnl[[#This Row],[TrxDate]]&gt;debug_date_end, "post", "curr"))</f>
        <v>curr</v>
      </c>
    </row>
    <row r="742" spans="1:21" hidden="1">
      <c r="A742" s="39" t="s">
        <v>1192</v>
      </c>
      <c r="B742" s="6">
        <f>_xlfn.XLOOKUP(Jnl[[#This Row],[TrxId]], Trx[Id], Trx[Date],,0)</f>
        <v>46053</v>
      </c>
      <c r="C742" s="6" t="str">
        <f>_xlfn.XLOOKUP(Jnl[[#This Row],[TrxId]], Trx[Id], Trx[Division],,0)</f>
        <v>MY</v>
      </c>
      <c r="D742" s="6" t="str">
        <f>_xlfn.XLOOKUP(Jnl[[#This Row],[TrxId]], Trx[Id], Trx[Action],,0)</f>
        <v>过账</v>
      </c>
      <c r="E742" s="27" t="s">
        <v>85</v>
      </c>
      <c r="F742" s="10" t="s">
        <v>596</v>
      </c>
      <c r="G742" s="10" t="s">
        <v>852</v>
      </c>
      <c r="H742" s="37">
        <v>-40000</v>
      </c>
      <c r="I742" s="38" t="b">
        <f>AND(Jnl[[#This Row],[TrxId]]&lt;&gt;"",Jnl[[#This Row],[Acct]]&lt;&gt;"",Jnl[[#This Row],[Item]]&lt;&gt;"",ISNUMBER(Jnl[[#This Row],[Bal]]))</f>
        <v>1</v>
      </c>
      <c r="J742" s="9">
        <f>IF(Jnl[[#This Row],[BSLv0]]="A",1,-1)*Jnl[[#This Row],[Bal]]</f>
        <v>-40000</v>
      </c>
      <c r="K742" t="str">
        <f>_xlfn.XLOOKUP(Jnl[[#This Row],[Acct]], config_BS[Acct], config_BS[Lv0],,0)</f>
        <v>A</v>
      </c>
      <c r="L742" t="str">
        <f>_xlfn.XLOOKUP(Jnl[[#This Row],[Acct]], config_BS[Acct], config_BS[Lv1],,0)</f>
        <v>Assets</v>
      </c>
      <c r="M742" t="str">
        <f>_xlfn.XLOOKUP(Jnl[[#This Row],[Acct]], config_BS[Acct], config_BS[Lv2],,0)</f>
        <v>Cash alike</v>
      </c>
      <c r="N742" t="str">
        <f>_xlfn.XLOOKUP(Jnl[[#This Row],[TrxId]], Trx[Id], Trx[IncNode], ,0)</f>
        <v>Other</v>
      </c>
      <c r="O742" t="str">
        <f>_xlfn.XLOOKUP(Jnl[[#This Row],[IncNode]], config_IS[Node], config_IS[Type],,0)</f>
        <v>Non-Op</v>
      </c>
      <c r="P742" t="str">
        <f>_xlfn.XLOOKUP(Jnl[[#This Row],[BSLv2]], dict[Key], dict[Name],,0)</f>
        <v>0.现金及类似</v>
      </c>
      <c r="Q742" t="str">
        <f>_xlfn.XLOOKUP(Jnl[[#This Row],[Acct]], dict[Key], dict[Name],,0)</f>
        <v>银行</v>
      </c>
      <c r="R742" t="str">
        <f>_xlfn.XLOOKUP(Jnl[[#This Row],[Vehicle]],config_vehicle[Id], config_vehicle[Name],,0)</f>
        <v>远家文化</v>
      </c>
      <c r="S742" t="str">
        <f>_xlfn.XLOOKUP(Jnl[[#This Row],[Division]],config_div[Id], config_div[Name],,0)</f>
        <v>明月村</v>
      </c>
      <c r="T742" t="str">
        <f>IF(Jnl[[#This Row],[TrxDate]]&lt;=stmt_BS_date_end, "In", "Out")</f>
        <v>In</v>
      </c>
      <c r="U742" t="str">
        <f>IF(Jnl[[#This Row],[TrxDate]]&lt;debug_date_start, "prior", IF(Jnl[[#This Row],[TrxDate]]&gt;debug_date_end, "post", "curr"))</f>
        <v>curr</v>
      </c>
    </row>
    <row r="743" spans="1:21" hidden="1">
      <c r="A743" s="39" t="s">
        <v>1192</v>
      </c>
      <c r="B743" s="6">
        <f>_xlfn.XLOOKUP(Jnl[[#This Row],[TrxId]], Trx[Id], Trx[Date],,0)</f>
        <v>46053</v>
      </c>
      <c r="C743" s="6" t="str">
        <f>_xlfn.XLOOKUP(Jnl[[#This Row],[TrxId]], Trx[Id], Trx[Division],,0)</f>
        <v>MY</v>
      </c>
      <c r="D743" s="6" t="str">
        <f>_xlfn.XLOOKUP(Jnl[[#This Row],[TrxId]], Trx[Id], Trx[Action],,0)</f>
        <v>过账</v>
      </c>
      <c r="E743" s="27" t="s">
        <v>90</v>
      </c>
      <c r="F743" s="10" t="s">
        <v>596</v>
      </c>
      <c r="G743" s="10" t="s">
        <v>1193</v>
      </c>
      <c r="H743" s="37">
        <f>-H742</f>
        <v>40000</v>
      </c>
      <c r="I743" s="38" t="b">
        <f>AND(Jnl[[#This Row],[TrxId]]&lt;&gt;"",Jnl[[#This Row],[Acct]]&lt;&gt;"",Jnl[[#This Row],[Item]]&lt;&gt;"",ISNUMBER(Jnl[[#This Row],[Bal]]))</f>
        <v>1</v>
      </c>
      <c r="J743" s="9">
        <f>IF(Jnl[[#This Row],[BSLv0]]="A",1,-1)*Jnl[[#This Row],[Bal]]</f>
        <v>40000</v>
      </c>
      <c r="K743" t="str">
        <f>_xlfn.XLOOKUP(Jnl[[#This Row],[Acct]], config_BS[Acct], config_BS[Lv0],,0)</f>
        <v>A</v>
      </c>
      <c r="L743" t="str">
        <f>_xlfn.XLOOKUP(Jnl[[#This Row],[Acct]], config_BS[Acct], config_BS[Lv1],,0)</f>
        <v>Assets</v>
      </c>
      <c r="M743" t="str">
        <f>_xlfn.XLOOKUP(Jnl[[#This Row],[Acct]], config_BS[Acct], config_BS[Lv2],,0)</f>
        <v>Cash alike</v>
      </c>
      <c r="N743" t="str">
        <f>_xlfn.XLOOKUP(Jnl[[#This Row],[TrxId]], Trx[Id], Trx[IncNode], ,0)</f>
        <v>Other</v>
      </c>
      <c r="O743" t="str">
        <f>_xlfn.XLOOKUP(Jnl[[#This Row],[IncNode]], config_IS[Node], config_IS[Type],,0)</f>
        <v>Non-Op</v>
      </c>
      <c r="P743" t="str">
        <f>_xlfn.XLOOKUP(Jnl[[#This Row],[BSLv2]], dict[Key], dict[Name],,0)</f>
        <v>0.现金及类似</v>
      </c>
      <c r="Q743" t="str">
        <f>_xlfn.XLOOKUP(Jnl[[#This Row],[Acct]], dict[Key], dict[Name],,0)</f>
        <v>银行</v>
      </c>
      <c r="R743" t="str">
        <f>_xlfn.XLOOKUP(Jnl[[#This Row],[Vehicle]],config_vehicle[Id], config_vehicle[Name],,0)</f>
        <v>郑术燕</v>
      </c>
      <c r="S743" t="str">
        <f>_xlfn.XLOOKUP(Jnl[[#This Row],[Division]],config_div[Id], config_div[Name],,0)</f>
        <v>明月村</v>
      </c>
      <c r="T743" t="str">
        <f>IF(Jnl[[#This Row],[TrxDate]]&lt;=stmt_BS_date_end, "In", "Out")</f>
        <v>In</v>
      </c>
      <c r="U743" t="str">
        <f>IF(Jnl[[#This Row],[TrxDate]]&lt;debug_date_start, "prior", IF(Jnl[[#This Row],[TrxDate]]&gt;debug_date_end, "post", "curr"))</f>
        <v>curr</v>
      </c>
    </row>
    <row r="744" spans="1:21" hidden="1">
      <c r="A744" s="39" t="s">
        <v>1194</v>
      </c>
      <c r="B744" s="6">
        <f>_xlfn.XLOOKUP(Jnl[[#This Row],[TrxId]], Trx[Id], Trx[Date],,0)</f>
        <v>46053</v>
      </c>
      <c r="C744" s="6" t="str">
        <f>_xlfn.XLOOKUP(Jnl[[#This Row],[TrxId]], Trx[Id], Trx[Division],,0)</f>
        <v>MY</v>
      </c>
      <c r="D744" s="6" t="str">
        <f>_xlfn.XLOOKUP(Jnl[[#This Row],[TrxId]], Trx[Id], Trx[Action],,0)</f>
        <v>收款</v>
      </c>
      <c r="E744" s="27" t="s">
        <v>109</v>
      </c>
      <c r="F744" s="10" t="s">
        <v>596</v>
      </c>
      <c r="G744" s="10" t="s">
        <v>1195</v>
      </c>
      <c r="H744" s="37">
        <v>167617.9</v>
      </c>
      <c r="I744" s="38" t="b">
        <f>AND(Jnl[[#This Row],[TrxId]]&lt;&gt;"",Jnl[[#This Row],[Acct]]&lt;&gt;"",Jnl[[#This Row],[Item]]&lt;&gt;"",ISNUMBER(Jnl[[#This Row],[Bal]]))</f>
        <v>1</v>
      </c>
      <c r="J744" s="9">
        <f>IF(Jnl[[#This Row],[BSLv0]]="A",1,-1)*Jnl[[#This Row],[Bal]]</f>
        <v>167617.9</v>
      </c>
      <c r="K744" t="str">
        <f>_xlfn.XLOOKUP(Jnl[[#This Row],[Acct]], config_BS[Acct], config_BS[Lv0],,0)</f>
        <v>A</v>
      </c>
      <c r="L744" t="str">
        <f>_xlfn.XLOOKUP(Jnl[[#This Row],[Acct]], config_BS[Acct], config_BS[Lv1],,0)</f>
        <v>Assets</v>
      </c>
      <c r="M744" t="str">
        <f>_xlfn.XLOOKUP(Jnl[[#This Row],[Acct]], config_BS[Acct], config_BS[Lv2],,0)</f>
        <v>Cash alike</v>
      </c>
      <c r="N744" t="str">
        <f>_xlfn.XLOOKUP(Jnl[[#This Row],[TrxId]], Trx[Id], Trx[IncNode], ,0)</f>
        <v>Revenue</v>
      </c>
      <c r="O744" t="str">
        <f>_xlfn.XLOOKUP(Jnl[[#This Row],[IncNode]], config_IS[Node], config_IS[Type],,0)</f>
        <v>Op</v>
      </c>
      <c r="P744" t="str">
        <f>_xlfn.XLOOKUP(Jnl[[#This Row],[BSLv2]], dict[Key], dict[Name],,0)</f>
        <v>0.现金及类似</v>
      </c>
      <c r="Q744" t="str">
        <f>_xlfn.XLOOKUP(Jnl[[#This Row],[Acct]], dict[Key], dict[Name],,0)</f>
        <v>银行</v>
      </c>
      <c r="R744" t="str">
        <f>_xlfn.XLOOKUP(Jnl[[#This Row],[Vehicle]],config_vehicle[Id], config_vehicle[Name],,0)</f>
        <v>远家文化蒲江分公司</v>
      </c>
      <c r="S744" t="str">
        <f>_xlfn.XLOOKUP(Jnl[[#This Row],[Division]],config_div[Id], config_div[Name],,0)</f>
        <v>明月村</v>
      </c>
      <c r="T744" t="str">
        <f>IF(Jnl[[#This Row],[TrxDate]]&lt;=stmt_BS_date_end, "In", "Out")</f>
        <v>In</v>
      </c>
      <c r="U744" t="str">
        <f>IF(Jnl[[#This Row],[TrxDate]]&lt;debug_date_start, "prior", IF(Jnl[[#This Row],[TrxDate]]&gt;debug_date_end, "post", "curr"))</f>
        <v>curr</v>
      </c>
    </row>
    <row r="745" spans="1:21" hidden="1">
      <c r="A745" s="39" t="s">
        <v>1194</v>
      </c>
      <c r="B745" s="6">
        <f>_xlfn.XLOOKUP(Jnl[[#This Row],[TrxId]], Trx[Id], Trx[Date],,0)</f>
        <v>46053</v>
      </c>
      <c r="C745" s="6" t="str">
        <f>_xlfn.XLOOKUP(Jnl[[#This Row],[TrxId]], Trx[Id], Trx[Division],,0)</f>
        <v>MY</v>
      </c>
      <c r="D745" s="6" t="str">
        <f>_xlfn.XLOOKUP(Jnl[[#This Row],[TrxId]], Trx[Id], Trx[Action],,0)</f>
        <v>收款</v>
      </c>
      <c r="E745" s="27" t="s">
        <v>85</v>
      </c>
      <c r="F745" s="10" t="s">
        <v>599</v>
      </c>
      <c r="G745" s="10" t="s">
        <v>1009</v>
      </c>
      <c r="H745" s="37">
        <v>-167617.9</v>
      </c>
      <c r="I745" s="38" t="b">
        <f>AND(Jnl[[#This Row],[TrxId]]&lt;&gt;"",Jnl[[#This Row],[Acct]]&lt;&gt;"",Jnl[[#This Row],[Item]]&lt;&gt;"",ISNUMBER(Jnl[[#This Row],[Bal]]))</f>
        <v>1</v>
      </c>
      <c r="J745" s="9">
        <f>IF(Jnl[[#This Row],[BSLv0]]="A",1,-1)*Jnl[[#This Row],[Bal]]</f>
        <v>-167617.9</v>
      </c>
      <c r="K745" t="str">
        <f>_xlfn.XLOOKUP(Jnl[[#This Row],[Acct]], config_BS[Acct], config_BS[Lv0],,0)</f>
        <v>A</v>
      </c>
      <c r="L745" t="str">
        <f>_xlfn.XLOOKUP(Jnl[[#This Row],[Acct]], config_BS[Acct], config_BS[Lv1],,0)</f>
        <v>Assets</v>
      </c>
      <c r="M745" t="str">
        <f>_xlfn.XLOOKUP(Jnl[[#This Row],[Acct]], config_BS[Acct], config_BS[Lv2],,0)</f>
        <v>Rec-Pay</v>
      </c>
      <c r="N745" t="str">
        <f>_xlfn.XLOOKUP(Jnl[[#This Row],[TrxId]], Trx[Id], Trx[IncNode], ,0)</f>
        <v>Revenue</v>
      </c>
      <c r="O745" t="str">
        <f>_xlfn.XLOOKUP(Jnl[[#This Row],[IncNode]], config_IS[Node], config_IS[Type],,0)</f>
        <v>Op</v>
      </c>
      <c r="P745" t="str">
        <f>_xlfn.XLOOKUP(Jnl[[#This Row],[BSLv2]], dict[Key], dict[Name],,0)</f>
        <v>1.应收-应付</v>
      </c>
      <c r="Q745" t="str">
        <f>_xlfn.XLOOKUP(Jnl[[#This Row],[Acct]], dict[Key], dict[Name],,0)</f>
        <v>应收-一般</v>
      </c>
      <c r="R745" t="str">
        <f>_xlfn.XLOOKUP(Jnl[[#This Row],[Vehicle]],config_vehicle[Id], config_vehicle[Name],,0)</f>
        <v>远家文化</v>
      </c>
      <c r="S745" t="str">
        <f>_xlfn.XLOOKUP(Jnl[[#This Row],[Division]],config_div[Id], config_div[Name],,0)</f>
        <v>明月村</v>
      </c>
      <c r="T745" t="str">
        <f>IF(Jnl[[#This Row],[TrxDate]]&lt;=stmt_BS_date_end, "In", "Out")</f>
        <v>In</v>
      </c>
      <c r="U745" t="str">
        <f>IF(Jnl[[#This Row],[TrxDate]]&lt;debug_date_start, "prior", IF(Jnl[[#This Row],[TrxDate]]&gt;debug_date_end, "post", "curr"))</f>
        <v>curr</v>
      </c>
    </row>
    <row r="746" spans="1:21" hidden="1">
      <c r="A746" s="39" t="s">
        <v>1196</v>
      </c>
      <c r="B746" s="6">
        <f>_xlfn.XLOOKUP(Jnl[[#This Row],[TrxId]], Trx[Id], Trx[Date],,0)</f>
        <v>46053</v>
      </c>
      <c r="C746" s="6" t="str">
        <f>_xlfn.XLOOKUP(Jnl[[#This Row],[TrxId]], Trx[Id], Trx[Division],,0)</f>
        <v>MY</v>
      </c>
      <c r="D746" s="6" t="str">
        <f>_xlfn.XLOOKUP(Jnl[[#This Row],[TrxId]], Trx[Id], Trx[Action],,0)</f>
        <v>收款</v>
      </c>
      <c r="E746" s="27" t="s">
        <v>109</v>
      </c>
      <c r="F746" s="10" t="s">
        <v>596</v>
      </c>
      <c r="G746" s="10" t="s">
        <v>1195</v>
      </c>
      <c r="H746" s="37">
        <v>2814</v>
      </c>
      <c r="I746" s="38" t="b">
        <f>AND(Jnl[[#This Row],[TrxId]]&lt;&gt;"",Jnl[[#This Row],[Acct]]&lt;&gt;"",Jnl[[#This Row],[Item]]&lt;&gt;"",ISNUMBER(Jnl[[#This Row],[Bal]]))</f>
        <v>1</v>
      </c>
      <c r="J746" s="9">
        <f>IF(Jnl[[#This Row],[BSLv0]]="A",1,-1)*Jnl[[#This Row],[Bal]]</f>
        <v>2814</v>
      </c>
      <c r="K746" t="str">
        <f>_xlfn.XLOOKUP(Jnl[[#This Row],[Acct]], config_BS[Acct], config_BS[Lv0],,0)</f>
        <v>A</v>
      </c>
      <c r="L746" t="str">
        <f>_xlfn.XLOOKUP(Jnl[[#This Row],[Acct]], config_BS[Acct], config_BS[Lv1],,0)</f>
        <v>Assets</v>
      </c>
      <c r="M746" t="str">
        <f>_xlfn.XLOOKUP(Jnl[[#This Row],[Acct]], config_BS[Acct], config_BS[Lv2],,0)</f>
        <v>Cash alike</v>
      </c>
      <c r="N746" t="str">
        <f>_xlfn.XLOOKUP(Jnl[[#This Row],[TrxId]], Trx[Id], Trx[IncNode], ,0)</f>
        <v>Revenue</v>
      </c>
      <c r="O746" t="str">
        <f>_xlfn.XLOOKUP(Jnl[[#This Row],[IncNode]], config_IS[Node], config_IS[Type],,0)</f>
        <v>Op</v>
      </c>
      <c r="P746" t="str">
        <f>_xlfn.XLOOKUP(Jnl[[#This Row],[BSLv2]], dict[Key], dict[Name],,0)</f>
        <v>0.现金及类似</v>
      </c>
      <c r="Q746" t="str">
        <f>_xlfn.XLOOKUP(Jnl[[#This Row],[Acct]], dict[Key], dict[Name],,0)</f>
        <v>银行</v>
      </c>
      <c r="R746" t="str">
        <f>_xlfn.XLOOKUP(Jnl[[#This Row],[Vehicle]],config_vehicle[Id], config_vehicle[Name],,0)</f>
        <v>远家文化蒲江分公司</v>
      </c>
      <c r="S746" t="str">
        <f>_xlfn.XLOOKUP(Jnl[[#This Row],[Division]],config_div[Id], config_div[Name],,0)</f>
        <v>明月村</v>
      </c>
      <c r="T746" t="str">
        <f>IF(Jnl[[#This Row],[TrxDate]]&lt;=stmt_BS_date_end, "In", "Out")</f>
        <v>In</v>
      </c>
      <c r="U746" t="str">
        <f>IF(Jnl[[#This Row],[TrxDate]]&lt;debug_date_start, "prior", IF(Jnl[[#This Row],[TrxDate]]&gt;debug_date_end, "post", "curr"))</f>
        <v>curr</v>
      </c>
    </row>
    <row r="747" spans="1:21" hidden="1">
      <c r="A747" s="39" t="s">
        <v>1196</v>
      </c>
      <c r="B747" s="6">
        <f>_xlfn.XLOOKUP(Jnl[[#This Row],[TrxId]], Trx[Id], Trx[Date],,0)</f>
        <v>46053</v>
      </c>
      <c r="C747" s="6" t="str">
        <f>_xlfn.XLOOKUP(Jnl[[#This Row],[TrxId]], Trx[Id], Trx[Division],,0)</f>
        <v>MY</v>
      </c>
      <c r="D747" s="6" t="str">
        <f>_xlfn.XLOOKUP(Jnl[[#This Row],[TrxId]], Trx[Id], Trx[Action],,0)</f>
        <v>收款</v>
      </c>
      <c r="E747" s="27" t="s">
        <v>85</v>
      </c>
      <c r="F747" s="10" t="s">
        <v>599</v>
      </c>
      <c r="G747" s="10" t="s">
        <v>954</v>
      </c>
      <c r="H747" s="37">
        <f>-H746</f>
        <v>-2814</v>
      </c>
      <c r="I747" s="38" t="b">
        <f>AND(Jnl[[#This Row],[TrxId]]&lt;&gt;"",Jnl[[#This Row],[Acct]]&lt;&gt;"",Jnl[[#This Row],[Item]]&lt;&gt;"",ISNUMBER(Jnl[[#This Row],[Bal]]))</f>
        <v>1</v>
      </c>
      <c r="J747" s="9">
        <f>IF(Jnl[[#This Row],[BSLv0]]="A",1,-1)*Jnl[[#This Row],[Bal]]</f>
        <v>-2814</v>
      </c>
      <c r="K747" t="str">
        <f>_xlfn.XLOOKUP(Jnl[[#This Row],[Acct]], config_BS[Acct], config_BS[Lv0],,0)</f>
        <v>A</v>
      </c>
      <c r="L747" t="str">
        <f>_xlfn.XLOOKUP(Jnl[[#This Row],[Acct]], config_BS[Acct], config_BS[Lv1],,0)</f>
        <v>Assets</v>
      </c>
      <c r="M747" t="str">
        <f>_xlfn.XLOOKUP(Jnl[[#This Row],[Acct]], config_BS[Acct], config_BS[Lv2],,0)</f>
        <v>Rec-Pay</v>
      </c>
      <c r="N747" t="str">
        <f>_xlfn.XLOOKUP(Jnl[[#This Row],[TrxId]], Trx[Id], Trx[IncNode], ,0)</f>
        <v>Revenue</v>
      </c>
      <c r="O747" t="str">
        <f>_xlfn.XLOOKUP(Jnl[[#This Row],[IncNode]], config_IS[Node], config_IS[Type],,0)</f>
        <v>Op</v>
      </c>
      <c r="P747" t="str">
        <f>_xlfn.XLOOKUP(Jnl[[#This Row],[BSLv2]], dict[Key], dict[Name],,0)</f>
        <v>1.应收-应付</v>
      </c>
      <c r="Q747" t="str">
        <f>_xlfn.XLOOKUP(Jnl[[#This Row],[Acct]], dict[Key], dict[Name],,0)</f>
        <v>应收-一般</v>
      </c>
      <c r="R747" t="str">
        <f>_xlfn.XLOOKUP(Jnl[[#This Row],[Vehicle]],config_vehicle[Id], config_vehicle[Name],,0)</f>
        <v>远家文化</v>
      </c>
      <c r="S747" t="str">
        <f>_xlfn.XLOOKUP(Jnl[[#This Row],[Division]],config_div[Id], config_div[Name],,0)</f>
        <v>明月村</v>
      </c>
      <c r="T747" t="str">
        <f>IF(Jnl[[#This Row],[TrxDate]]&lt;=stmt_BS_date_end, "In", "Out")</f>
        <v>In</v>
      </c>
      <c r="U747" t="str">
        <f>IF(Jnl[[#This Row],[TrxDate]]&lt;debug_date_start, "prior", IF(Jnl[[#This Row],[TrxDate]]&gt;debug_date_end, "post", "curr"))</f>
        <v>curr</v>
      </c>
    </row>
    <row r="748" spans="1:21" hidden="1">
      <c r="A748" s="39" t="s">
        <v>1197</v>
      </c>
      <c r="B748" s="6">
        <f>_xlfn.XLOOKUP(Jnl[[#This Row],[TrxId]], Trx[Id], Trx[Date],,0)</f>
        <v>46053</v>
      </c>
      <c r="C748" s="6" t="str">
        <f>_xlfn.XLOOKUP(Jnl[[#This Row],[TrxId]], Trx[Id], Trx[Division],,0)</f>
        <v>MY</v>
      </c>
      <c r="D748" s="6" t="str">
        <f>_xlfn.XLOOKUP(Jnl[[#This Row],[TrxId]], Trx[Id], Trx[Action],,0)</f>
        <v>收款</v>
      </c>
      <c r="E748" s="27" t="s">
        <v>109</v>
      </c>
      <c r="F748" s="10" t="s">
        <v>596</v>
      </c>
      <c r="G748" s="10" t="s">
        <v>1195</v>
      </c>
      <c r="H748" s="37">
        <v>14820</v>
      </c>
      <c r="I748" s="38" t="b">
        <f>AND(Jnl[[#This Row],[TrxId]]&lt;&gt;"",Jnl[[#This Row],[Acct]]&lt;&gt;"",Jnl[[#This Row],[Item]]&lt;&gt;"",ISNUMBER(Jnl[[#This Row],[Bal]]))</f>
        <v>1</v>
      </c>
      <c r="J748" s="9">
        <f>IF(Jnl[[#This Row],[BSLv0]]="A",1,-1)*Jnl[[#This Row],[Bal]]</f>
        <v>14820</v>
      </c>
      <c r="K748" t="str">
        <f>_xlfn.XLOOKUP(Jnl[[#This Row],[Acct]], config_BS[Acct], config_BS[Lv0],,0)</f>
        <v>A</v>
      </c>
      <c r="L748" t="str">
        <f>_xlfn.XLOOKUP(Jnl[[#This Row],[Acct]], config_BS[Acct], config_BS[Lv1],,0)</f>
        <v>Assets</v>
      </c>
      <c r="M748" t="str">
        <f>_xlfn.XLOOKUP(Jnl[[#This Row],[Acct]], config_BS[Acct], config_BS[Lv2],,0)</f>
        <v>Cash alike</v>
      </c>
      <c r="N748" t="str">
        <f>_xlfn.XLOOKUP(Jnl[[#This Row],[TrxId]], Trx[Id], Trx[IncNode], ,0)</f>
        <v>Revenue</v>
      </c>
      <c r="O748" t="str">
        <f>_xlfn.XLOOKUP(Jnl[[#This Row],[IncNode]], config_IS[Node], config_IS[Type],,0)</f>
        <v>Op</v>
      </c>
      <c r="P748" t="str">
        <f>_xlfn.XLOOKUP(Jnl[[#This Row],[BSLv2]], dict[Key], dict[Name],,0)</f>
        <v>0.现金及类似</v>
      </c>
      <c r="Q748" t="str">
        <f>_xlfn.XLOOKUP(Jnl[[#This Row],[Acct]], dict[Key], dict[Name],,0)</f>
        <v>银行</v>
      </c>
      <c r="R748" t="str">
        <f>_xlfn.XLOOKUP(Jnl[[#This Row],[Vehicle]],config_vehicle[Id], config_vehicle[Name],,0)</f>
        <v>远家文化蒲江分公司</v>
      </c>
      <c r="S748" t="str">
        <f>_xlfn.XLOOKUP(Jnl[[#This Row],[Division]],config_div[Id], config_div[Name],,0)</f>
        <v>明月村</v>
      </c>
      <c r="T748" t="str">
        <f>IF(Jnl[[#This Row],[TrxDate]]&lt;=stmt_BS_date_end, "In", "Out")</f>
        <v>In</v>
      </c>
      <c r="U748" t="str">
        <f>IF(Jnl[[#This Row],[TrxDate]]&lt;debug_date_start, "prior", IF(Jnl[[#This Row],[TrxDate]]&gt;debug_date_end, "post", "curr"))</f>
        <v>curr</v>
      </c>
    </row>
    <row r="749" spans="1:21" hidden="1">
      <c r="A749" s="39" t="s">
        <v>1197</v>
      </c>
      <c r="B749" s="6">
        <f>_xlfn.XLOOKUP(Jnl[[#This Row],[TrxId]], Trx[Id], Trx[Date],,0)</f>
        <v>46053</v>
      </c>
      <c r="C749" s="6" t="str">
        <f>_xlfn.XLOOKUP(Jnl[[#This Row],[TrxId]], Trx[Id], Trx[Division],,0)</f>
        <v>MY</v>
      </c>
      <c r="D749" s="6" t="str">
        <f>_xlfn.XLOOKUP(Jnl[[#This Row],[TrxId]], Trx[Id], Trx[Action],,0)</f>
        <v>收款</v>
      </c>
      <c r="E749" s="27" t="s">
        <v>85</v>
      </c>
      <c r="F749" s="10" t="s">
        <v>599</v>
      </c>
      <c r="G749" s="10" t="s">
        <v>984</v>
      </c>
      <c r="H749" s="37">
        <f>-H748</f>
        <v>-14820</v>
      </c>
      <c r="I749" s="38" t="b">
        <f>AND(Jnl[[#This Row],[TrxId]]&lt;&gt;"",Jnl[[#This Row],[Acct]]&lt;&gt;"",Jnl[[#This Row],[Item]]&lt;&gt;"",ISNUMBER(Jnl[[#This Row],[Bal]]))</f>
        <v>1</v>
      </c>
      <c r="J749" s="9">
        <f>IF(Jnl[[#This Row],[BSLv0]]="A",1,-1)*Jnl[[#This Row],[Bal]]</f>
        <v>-14820</v>
      </c>
      <c r="K749" t="str">
        <f>_xlfn.XLOOKUP(Jnl[[#This Row],[Acct]], config_BS[Acct], config_BS[Lv0],,0)</f>
        <v>A</v>
      </c>
      <c r="L749" t="str">
        <f>_xlfn.XLOOKUP(Jnl[[#This Row],[Acct]], config_BS[Acct], config_BS[Lv1],,0)</f>
        <v>Assets</v>
      </c>
      <c r="M749" t="str">
        <f>_xlfn.XLOOKUP(Jnl[[#This Row],[Acct]], config_BS[Acct], config_BS[Lv2],,0)</f>
        <v>Rec-Pay</v>
      </c>
      <c r="N749" t="str">
        <f>_xlfn.XLOOKUP(Jnl[[#This Row],[TrxId]], Trx[Id], Trx[IncNode], ,0)</f>
        <v>Revenue</v>
      </c>
      <c r="O749" t="str">
        <f>_xlfn.XLOOKUP(Jnl[[#This Row],[IncNode]], config_IS[Node], config_IS[Type],,0)</f>
        <v>Op</v>
      </c>
      <c r="P749" t="str">
        <f>_xlfn.XLOOKUP(Jnl[[#This Row],[BSLv2]], dict[Key], dict[Name],,0)</f>
        <v>1.应收-应付</v>
      </c>
      <c r="Q749" t="str">
        <f>_xlfn.XLOOKUP(Jnl[[#This Row],[Acct]], dict[Key], dict[Name],,0)</f>
        <v>应收-一般</v>
      </c>
      <c r="R749" t="str">
        <f>_xlfn.XLOOKUP(Jnl[[#This Row],[Vehicle]],config_vehicle[Id], config_vehicle[Name],,0)</f>
        <v>远家文化</v>
      </c>
      <c r="S749" t="str">
        <f>_xlfn.XLOOKUP(Jnl[[#This Row],[Division]],config_div[Id], config_div[Name],,0)</f>
        <v>明月村</v>
      </c>
      <c r="T749" t="str">
        <f>IF(Jnl[[#This Row],[TrxDate]]&lt;=stmt_BS_date_end, "In", "Out")</f>
        <v>In</v>
      </c>
      <c r="U749" t="str">
        <f>IF(Jnl[[#This Row],[TrxDate]]&lt;debug_date_start, "prior", IF(Jnl[[#This Row],[TrxDate]]&gt;debug_date_end, "post", "curr"))</f>
        <v>curr</v>
      </c>
    </row>
    <row r="750" spans="1:21" hidden="1">
      <c r="A750" s="39" t="s">
        <v>1198</v>
      </c>
      <c r="B750" s="6">
        <f>_xlfn.XLOOKUP(Jnl[[#This Row],[TrxId]], Trx[Id], Trx[Date],,0)</f>
        <v>46053</v>
      </c>
      <c r="C750" s="6" t="str">
        <f>_xlfn.XLOOKUP(Jnl[[#This Row],[TrxId]], Trx[Id], Trx[Division],,0)</f>
        <v>MY</v>
      </c>
      <c r="D750" s="6" t="str">
        <f>_xlfn.XLOOKUP(Jnl[[#This Row],[TrxId]], Trx[Id], Trx[Action],,0)</f>
        <v>食材</v>
      </c>
      <c r="E750" s="27" t="s">
        <v>109</v>
      </c>
      <c r="F750" s="10" t="s">
        <v>596</v>
      </c>
      <c r="G750" s="10" t="s">
        <v>1195</v>
      </c>
      <c r="H750" s="37">
        <v>-2708</v>
      </c>
      <c r="I750" s="38" t="b">
        <f>AND(Jnl[[#This Row],[TrxId]]&lt;&gt;"",Jnl[[#This Row],[Acct]]&lt;&gt;"",Jnl[[#This Row],[Item]]&lt;&gt;"",ISNUMBER(Jnl[[#This Row],[Bal]]))</f>
        <v>1</v>
      </c>
      <c r="J750" s="9">
        <f>IF(Jnl[[#This Row],[BSLv0]]="A",1,-1)*Jnl[[#This Row],[Bal]]</f>
        <v>-2708</v>
      </c>
      <c r="K750" t="str">
        <f>_xlfn.XLOOKUP(Jnl[[#This Row],[Acct]], config_BS[Acct], config_BS[Lv0],,0)</f>
        <v>A</v>
      </c>
      <c r="L750" t="str">
        <f>_xlfn.XLOOKUP(Jnl[[#This Row],[Acct]], config_BS[Acct], config_BS[Lv1],,0)</f>
        <v>Assets</v>
      </c>
      <c r="M750" t="str">
        <f>_xlfn.XLOOKUP(Jnl[[#This Row],[Acct]], config_BS[Acct], config_BS[Lv2],,0)</f>
        <v>Cash alike</v>
      </c>
      <c r="N750" t="str">
        <f>_xlfn.XLOOKUP(Jnl[[#This Row],[TrxId]], Trx[Id], Trx[IncNode], ,0)</f>
        <v>Cost</v>
      </c>
      <c r="O750" t="str">
        <f>_xlfn.XLOOKUP(Jnl[[#This Row],[IncNode]], config_IS[Node], config_IS[Type],,0)</f>
        <v>Op</v>
      </c>
      <c r="P750" t="str">
        <f>_xlfn.XLOOKUP(Jnl[[#This Row],[BSLv2]], dict[Key], dict[Name],,0)</f>
        <v>0.现金及类似</v>
      </c>
      <c r="Q750" t="str">
        <f>_xlfn.XLOOKUP(Jnl[[#This Row],[Acct]], dict[Key], dict[Name],,0)</f>
        <v>银行</v>
      </c>
      <c r="R750" t="str">
        <f>_xlfn.XLOOKUP(Jnl[[#This Row],[Vehicle]],config_vehicle[Id], config_vehicle[Name],,0)</f>
        <v>远家文化蒲江分公司</v>
      </c>
      <c r="S750" t="str">
        <f>_xlfn.XLOOKUP(Jnl[[#This Row],[Division]],config_div[Id], config_div[Name],,0)</f>
        <v>明月村</v>
      </c>
      <c r="T750" t="str">
        <f>IF(Jnl[[#This Row],[TrxDate]]&lt;=stmt_BS_date_end, "In", "Out")</f>
        <v>In</v>
      </c>
      <c r="U750" t="str">
        <f>IF(Jnl[[#This Row],[TrxDate]]&lt;debug_date_start, "prior", IF(Jnl[[#This Row],[TrxDate]]&gt;debug_date_end, "post", "curr"))</f>
        <v>curr</v>
      </c>
    </row>
    <row r="751" spans="1:21" hidden="1">
      <c r="A751" s="39" t="s">
        <v>1199</v>
      </c>
      <c r="B751" s="6">
        <f>_xlfn.XLOOKUP(Jnl[[#This Row],[TrxId]], Trx[Id], Trx[Date],,0)</f>
        <v>46053</v>
      </c>
      <c r="C751" s="6" t="str">
        <f>_xlfn.XLOOKUP(Jnl[[#This Row],[TrxId]], Trx[Id], Trx[Division],,0)</f>
        <v>MY</v>
      </c>
      <c r="D751" s="6" t="str">
        <f>_xlfn.XLOOKUP(Jnl[[#This Row],[TrxId]], Trx[Id], Trx[Action],,0)</f>
        <v>包装</v>
      </c>
      <c r="E751" s="27" t="s">
        <v>109</v>
      </c>
      <c r="F751" s="10" t="s">
        <v>596</v>
      </c>
      <c r="G751" s="10" t="s">
        <v>1195</v>
      </c>
      <c r="H751" s="37">
        <v>-611.62</v>
      </c>
      <c r="I751" s="38" t="b">
        <f>AND(Jnl[[#This Row],[TrxId]]&lt;&gt;"",Jnl[[#This Row],[Acct]]&lt;&gt;"",Jnl[[#This Row],[Item]]&lt;&gt;"",ISNUMBER(Jnl[[#This Row],[Bal]]))</f>
        <v>1</v>
      </c>
      <c r="J751" s="9">
        <f>IF(Jnl[[#This Row],[BSLv0]]="A",1,-1)*Jnl[[#This Row],[Bal]]</f>
        <v>-611.62</v>
      </c>
      <c r="K751" t="str">
        <f>_xlfn.XLOOKUP(Jnl[[#This Row],[Acct]], config_BS[Acct], config_BS[Lv0],,0)</f>
        <v>A</v>
      </c>
      <c r="L751" t="str">
        <f>_xlfn.XLOOKUP(Jnl[[#This Row],[Acct]], config_BS[Acct], config_BS[Lv1],,0)</f>
        <v>Assets</v>
      </c>
      <c r="M751" t="str">
        <f>_xlfn.XLOOKUP(Jnl[[#This Row],[Acct]], config_BS[Acct], config_BS[Lv2],,0)</f>
        <v>Cash alike</v>
      </c>
      <c r="N751" t="str">
        <f>_xlfn.XLOOKUP(Jnl[[#This Row],[TrxId]], Trx[Id], Trx[IncNode], ,0)</f>
        <v>Expense</v>
      </c>
      <c r="O751" t="str">
        <f>_xlfn.XLOOKUP(Jnl[[#This Row],[IncNode]], config_IS[Node], config_IS[Type],,0)</f>
        <v>Op</v>
      </c>
      <c r="P751" t="str">
        <f>_xlfn.XLOOKUP(Jnl[[#This Row],[BSLv2]], dict[Key], dict[Name],,0)</f>
        <v>0.现金及类似</v>
      </c>
      <c r="Q751" t="str">
        <f>_xlfn.XLOOKUP(Jnl[[#This Row],[Acct]], dict[Key], dict[Name],,0)</f>
        <v>银行</v>
      </c>
      <c r="R751" t="str">
        <f>_xlfn.XLOOKUP(Jnl[[#This Row],[Vehicle]],config_vehicle[Id], config_vehicle[Name],,0)</f>
        <v>远家文化蒲江分公司</v>
      </c>
      <c r="S751" t="str">
        <f>_xlfn.XLOOKUP(Jnl[[#This Row],[Division]],config_div[Id], config_div[Name],,0)</f>
        <v>明月村</v>
      </c>
      <c r="T751" t="str">
        <f>IF(Jnl[[#This Row],[TrxDate]]&lt;=stmt_BS_date_end, "In", "Out")</f>
        <v>In</v>
      </c>
      <c r="U751" t="str">
        <f>IF(Jnl[[#This Row],[TrxDate]]&lt;debug_date_start, "prior", IF(Jnl[[#This Row],[TrxDate]]&gt;debug_date_end, "post", "curr"))</f>
        <v>curr</v>
      </c>
    </row>
    <row r="752" spans="1:21" hidden="1">
      <c r="A752" s="39" t="s">
        <v>1200</v>
      </c>
      <c r="B752" s="6">
        <f>_xlfn.XLOOKUP(Jnl[[#This Row],[TrxId]], Trx[Id], Trx[Date],,0)</f>
        <v>46053</v>
      </c>
      <c r="C752" s="6" t="str">
        <f>_xlfn.XLOOKUP(Jnl[[#This Row],[TrxId]], Trx[Id], Trx[Division],,0)</f>
        <v>GM</v>
      </c>
      <c r="D752" s="6" t="str">
        <f>_xlfn.XLOOKUP(Jnl[[#This Row],[TrxId]], Trx[Id], Trx[Action],,0)</f>
        <v>薪酬-社保</v>
      </c>
      <c r="E752" s="27" t="s">
        <v>109</v>
      </c>
      <c r="F752" s="10" t="s">
        <v>596</v>
      </c>
      <c r="G752" s="10" t="s">
        <v>1195</v>
      </c>
      <c r="H752" s="37">
        <v>-18017.009999999998</v>
      </c>
      <c r="I752" s="38" t="b">
        <f>AND(Jnl[[#This Row],[TrxId]]&lt;&gt;"",Jnl[[#This Row],[Acct]]&lt;&gt;"",Jnl[[#This Row],[Item]]&lt;&gt;"",ISNUMBER(Jnl[[#This Row],[Bal]]))</f>
        <v>1</v>
      </c>
      <c r="J752" s="9">
        <f>IF(Jnl[[#This Row],[BSLv0]]="A",1,-1)*Jnl[[#This Row],[Bal]]</f>
        <v>-18017.009999999998</v>
      </c>
      <c r="K752" t="str">
        <f>_xlfn.XLOOKUP(Jnl[[#This Row],[Acct]], config_BS[Acct], config_BS[Lv0],,0)</f>
        <v>A</v>
      </c>
      <c r="L752" t="str">
        <f>_xlfn.XLOOKUP(Jnl[[#This Row],[Acct]], config_BS[Acct], config_BS[Lv1],,0)</f>
        <v>Assets</v>
      </c>
      <c r="M752" t="str">
        <f>_xlfn.XLOOKUP(Jnl[[#This Row],[Acct]], config_BS[Acct], config_BS[Lv2],,0)</f>
        <v>Cash alike</v>
      </c>
      <c r="N752" t="str">
        <f>_xlfn.XLOOKUP(Jnl[[#This Row],[TrxId]], Trx[Id], Trx[IncNode], ,0)</f>
        <v>Expense</v>
      </c>
      <c r="O752" t="str">
        <f>_xlfn.XLOOKUP(Jnl[[#This Row],[IncNode]], config_IS[Node], config_IS[Type],,0)</f>
        <v>Op</v>
      </c>
      <c r="P752" t="str">
        <f>_xlfn.XLOOKUP(Jnl[[#This Row],[BSLv2]], dict[Key], dict[Name],,0)</f>
        <v>0.现金及类似</v>
      </c>
      <c r="Q752" t="str">
        <f>_xlfn.XLOOKUP(Jnl[[#This Row],[Acct]], dict[Key], dict[Name],,0)</f>
        <v>银行</v>
      </c>
      <c r="R752" t="str">
        <f>_xlfn.XLOOKUP(Jnl[[#This Row],[Vehicle]],config_vehicle[Id], config_vehicle[Name],,0)</f>
        <v>远家文化蒲江分公司</v>
      </c>
      <c r="S752" t="str">
        <f>_xlfn.XLOOKUP(Jnl[[#This Row],[Division]],config_div[Id], config_div[Name],,0)</f>
        <v>综合管理</v>
      </c>
      <c r="T752" t="str">
        <f>IF(Jnl[[#This Row],[TrxDate]]&lt;=stmt_BS_date_end, "In", "Out")</f>
        <v>In</v>
      </c>
      <c r="U752" t="str">
        <f>IF(Jnl[[#This Row],[TrxDate]]&lt;debug_date_start, "prior", IF(Jnl[[#This Row],[TrxDate]]&gt;debug_date_end, "post", "curr"))</f>
        <v>curr</v>
      </c>
    </row>
    <row r="753" spans="1:21" hidden="1">
      <c r="A753" s="39" t="s">
        <v>1201</v>
      </c>
      <c r="B753" s="6">
        <f>_xlfn.XLOOKUP(Jnl[[#This Row],[TrxId]], Trx[Id], Trx[Date],,0)</f>
        <v>46053</v>
      </c>
      <c r="C753" s="6" t="str">
        <f>_xlfn.XLOOKUP(Jnl[[#This Row],[TrxId]], Trx[Id], Trx[Division],,0)</f>
        <v>MY</v>
      </c>
      <c r="D753" s="6" t="str">
        <f>_xlfn.XLOOKUP(Jnl[[#This Row],[TrxId]], Trx[Id], Trx[Action],,0)</f>
        <v>支付</v>
      </c>
      <c r="E753" s="27" t="s">
        <v>109</v>
      </c>
      <c r="F753" s="10" t="s">
        <v>596</v>
      </c>
      <c r="G753" s="10" t="s">
        <v>1195</v>
      </c>
      <c r="H753" s="37">
        <v>-47923.6</v>
      </c>
      <c r="I753" s="38" t="b">
        <f>AND(Jnl[[#This Row],[TrxId]]&lt;&gt;"",Jnl[[#This Row],[Acct]]&lt;&gt;"",Jnl[[#This Row],[Item]]&lt;&gt;"",ISNUMBER(Jnl[[#This Row],[Bal]]))</f>
        <v>1</v>
      </c>
      <c r="J753" s="9">
        <f>IF(Jnl[[#This Row],[BSLv0]]="A",1,-1)*Jnl[[#This Row],[Bal]]</f>
        <v>-47923.6</v>
      </c>
      <c r="K753" t="str">
        <f>_xlfn.XLOOKUP(Jnl[[#This Row],[Acct]], config_BS[Acct], config_BS[Lv0],,0)</f>
        <v>A</v>
      </c>
      <c r="L753" t="str">
        <f>_xlfn.XLOOKUP(Jnl[[#This Row],[Acct]], config_BS[Acct], config_BS[Lv1],,0)</f>
        <v>Assets</v>
      </c>
      <c r="M753" t="str">
        <f>_xlfn.XLOOKUP(Jnl[[#This Row],[Acct]], config_BS[Acct], config_BS[Lv2],,0)</f>
        <v>Cash alike</v>
      </c>
      <c r="N753" t="str">
        <f>_xlfn.XLOOKUP(Jnl[[#This Row],[TrxId]], Trx[Id], Trx[IncNode], ,0)</f>
        <v>Expense</v>
      </c>
      <c r="O753" t="str">
        <f>_xlfn.XLOOKUP(Jnl[[#This Row],[IncNode]], config_IS[Node], config_IS[Type],,0)</f>
        <v>Op</v>
      </c>
      <c r="P753" t="str">
        <f>_xlfn.XLOOKUP(Jnl[[#This Row],[BSLv2]], dict[Key], dict[Name],,0)</f>
        <v>0.现金及类似</v>
      </c>
      <c r="Q753" t="str">
        <f>_xlfn.XLOOKUP(Jnl[[#This Row],[Acct]], dict[Key], dict[Name],,0)</f>
        <v>银行</v>
      </c>
      <c r="R753" t="str">
        <f>_xlfn.XLOOKUP(Jnl[[#This Row],[Vehicle]],config_vehicle[Id], config_vehicle[Name],,0)</f>
        <v>远家文化蒲江分公司</v>
      </c>
      <c r="S753" t="str">
        <f>_xlfn.XLOOKUP(Jnl[[#This Row],[Division]],config_div[Id], config_div[Name],,0)</f>
        <v>明月村</v>
      </c>
      <c r="T753" t="str">
        <f>IF(Jnl[[#This Row],[TrxDate]]&lt;=stmt_BS_date_end, "In", "Out")</f>
        <v>In</v>
      </c>
      <c r="U753" t="str">
        <f>IF(Jnl[[#This Row],[TrxDate]]&lt;debug_date_start, "prior", IF(Jnl[[#This Row],[TrxDate]]&gt;debug_date_end, "post", "curr"))</f>
        <v>curr</v>
      </c>
    </row>
    <row r="754" spans="1:21" hidden="1">
      <c r="A754" s="39" t="s">
        <v>1201</v>
      </c>
      <c r="B754" s="6">
        <f>_xlfn.XLOOKUP(Jnl[[#This Row],[TrxId]], Trx[Id], Trx[Date],,0)</f>
        <v>46053</v>
      </c>
      <c r="C754" s="6" t="str">
        <f>_xlfn.XLOOKUP(Jnl[[#This Row],[TrxId]], Trx[Id], Trx[Division],,0)</f>
        <v>MY</v>
      </c>
      <c r="D754" s="6" t="str">
        <f>_xlfn.XLOOKUP(Jnl[[#This Row],[TrxId]], Trx[Id], Trx[Action],,0)</f>
        <v>支付</v>
      </c>
      <c r="E754" s="27" t="s">
        <v>1020</v>
      </c>
      <c r="F754" s="10" t="s">
        <v>602</v>
      </c>
      <c r="G754" s="10" t="s">
        <v>152</v>
      </c>
      <c r="H754" s="37">
        <f>H753</f>
        <v>-47923.6</v>
      </c>
      <c r="I754" s="38" t="b">
        <f>AND(Jnl[[#This Row],[TrxId]]&lt;&gt;"",Jnl[[#This Row],[Acct]]&lt;&gt;"",Jnl[[#This Row],[Item]]&lt;&gt;"",ISNUMBER(Jnl[[#This Row],[Bal]]))</f>
        <v>1</v>
      </c>
      <c r="J754" s="9">
        <f>IF(Jnl[[#This Row],[BSLv0]]="A",1,-1)*Jnl[[#This Row],[Bal]]</f>
        <v>47923.6</v>
      </c>
      <c r="K754" t="str">
        <f>_xlfn.XLOOKUP(Jnl[[#This Row],[Acct]], config_BS[Acct], config_BS[Lv0],,0)</f>
        <v>LC</v>
      </c>
      <c r="L754" t="str">
        <f>_xlfn.XLOOKUP(Jnl[[#This Row],[Acct]], config_BS[Acct], config_BS[Lv1],,0)</f>
        <v>Liability</v>
      </c>
      <c r="M754" t="str">
        <f>_xlfn.XLOOKUP(Jnl[[#This Row],[Acct]], config_BS[Acct], config_BS[Lv2],,0)</f>
        <v>Rec-Pay</v>
      </c>
      <c r="N754" t="str">
        <f>_xlfn.XLOOKUP(Jnl[[#This Row],[TrxId]], Trx[Id], Trx[IncNode], ,0)</f>
        <v>Expense</v>
      </c>
      <c r="O754" t="str">
        <f>_xlfn.XLOOKUP(Jnl[[#This Row],[IncNode]], config_IS[Node], config_IS[Type],,0)</f>
        <v>Op</v>
      </c>
      <c r="P754" t="str">
        <f>_xlfn.XLOOKUP(Jnl[[#This Row],[BSLv2]], dict[Key], dict[Name],,0)</f>
        <v>1.应收-应付</v>
      </c>
      <c r="Q754" t="str">
        <f>_xlfn.XLOOKUP(Jnl[[#This Row],[Acct]], dict[Key], dict[Name],,0)</f>
        <v>应付-薪资</v>
      </c>
      <c r="R754" t="str">
        <f>_xlfn.XLOOKUP(Jnl[[#This Row],[Vehicle]],config_vehicle[Id], config_vehicle[Name],,0)</f>
        <v>远家文化</v>
      </c>
      <c r="S754" t="str">
        <f>_xlfn.XLOOKUP(Jnl[[#This Row],[Division]],config_div[Id], config_div[Name],,0)</f>
        <v>明月村</v>
      </c>
      <c r="T754" t="str">
        <f>IF(Jnl[[#This Row],[TrxDate]]&lt;=stmt_BS_date_end, "In", "Out")</f>
        <v>In</v>
      </c>
      <c r="U754" t="str">
        <f>IF(Jnl[[#This Row],[TrxDate]]&lt;debug_date_start, "prior", IF(Jnl[[#This Row],[TrxDate]]&gt;debug_date_end, "post", "curr"))</f>
        <v>curr</v>
      </c>
    </row>
    <row r="755" spans="1:21" hidden="1">
      <c r="A755" s="39" t="s">
        <v>1202</v>
      </c>
      <c r="B755" s="6">
        <f>_xlfn.XLOOKUP(Jnl[[#This Row],[TrxId]], Trx[Id], Trx[Date],,0)</f>
        <v>46053</v>
      </c>
      <c r="C755" s="6" t="str">
        <f>_xlfn.XLOOKUP(Jnl[[#This Row],[TrxId]], Trx[Id], Trx[Division],,0)</f>
        <v>MY</v>
      </c>
      <c r="D755" s="6" t="str">
        <f>_xlfn.XLOOKUP(Jnl[[#This Row],[TrxId]], Trx[Id], Trx[Action],,0)</f>
        <v>退款-客人</v>
      </c>
      <c r="E755" s="27" t="s">
        <v>109</v>
      </c>
      <c r="F755" s="10" t="s">
        <v>596</v>
      </c>
      <c r="G755" s="10" t="s">
        <v>1195</v>
      </c>
      <c r="H755" s="37">
        <v>-980</v>
      </c>
      <c r="I755" s="38" t="b">
        <f>AND(Jnl[[#This Row],[TrxId]]&lt;&gt;"",Jnl[[#This Row],[Acct]]&lt;&gt;"",Jnl[[#This Row],[Item]]&lt;&gt;"",ISNUMBER(Jnl[[#This Row],[Bal]]))</f>
        <v>1</v>
      </c>
      <c r="J755" s="9">
        <f>IF(Jnl[[#This Row],[BSLv0]]="A",1,-1)*Jnl[[#This Row],[Bal]]</f>
        <v>-980</v>
      </c>
      <c r="K755" t="str">
        <f>_xlfn.XLOOKUP(Jnl[[#This Row],[Acct]], config_BS[Acct], config_BS[Lv0],,0)</f>
        <v>A</v>
      </c>
      <c r="L755" t="str">
        <f>_xlfn.XLOOKUP(Jnl[[#This Row],[Acct]], config_BS[Acct], config_BS[Lv1],,0)</f>
        <v>Assets</v>
      </c>
      <c r="M755" t="str">
        <f>_xlfn.XLOOKUP(Jnl[[#This Row],[Acct]], config_BS[Acct], config_BS[Lv2],,0)</f>
        <v>Cash alike</v>
      </c>
      <c r="N755" t="str">
        <f>_xlfn.XLOOKUP(Jnl[[#This Row],[TrxId]], Trx[Id], Trx[IncNode], ,0)</f>
        <v>Revenue</v>
      </c>
      <c r="O755" t="str">
        <f>_xlfn.XLOOKUP(Jnl[[#This Row],[IncNode]], config_IS[Node], config_IS[Type],,0)</f>
        <v>Op</v>
      </c>
      <c r="P755" t="str">
        <f>_xlfn.XLOOKUP(Jnl[[#This Row],[BSLv2]], dict[Key], dict[Name],,0)</f>
        <v>0.现金及类似</v>
      </c>
      <c r="Q755" t="str">
        <f>_xlfn.XLOOKUP(Jnl[[#This Row],[Acct]], dict[Key], dict[Name],,0)</f>
        <v>银行</v>
      </c>
      <c r="R755" t="str">
        <f>_xlfn.XLOOKUP(Jnl[[#This Row],[Vehicle]],config_vehicle[Id], config_vehicle[Name],,0)</f>
        <v>远家文化蒲江分公司</v>
      </c>
      <c r="S755" t="str">
        <f>_xlfn.XLOOKUP(Jnl[[#This Row],[Division]],config_div[Id], config_div[Name],,0)</f>
        <v>明月村</v>
      </c>
      <c r="T755" t="str">
        <f>IF(Jnl[[#This Row],[TrxDate]]&lt;=stmt_BS_date_end, "In", "Out")</f>
        <v>In</v>
      </c>
      <c r="U755" t="str">
        <f>IF(Jnl[[#This Row],[TrxDate]]&lt;debug_date_start, "prior", IF(Jnl[[#This Row],[TrxDate]]&gt;debug_date_end, "post", "curr"))</f>
        <v>curr</v>
      </c>
    </row>
    <row r="756" spans="1:21" hidden="1">
      <c r="A756" s="39" t="s">
        <v>1202</v>
      </c>
      <c r="B756" s="6">
        <f>_xlfn.XLOOKUP(Jnl[[#This Row],[TrxId]], Trx[Id], Trx[Date],,0)</f>
        <v>46053</v>
      </c>
      <c r="C756" s="6" t="str">
        <f>_xlfn.XLOOKUP(Jnl[[#This Row],[TrxId]], Trx[Id], Trx[Division],,0)</f>
        <v>MY</v>
      </c>
      <c r="D756" s="6" t="str">
        <f>_xlfn.XLOOKUP(Jnl[[#This Row],[TrxId]], Trx[Id], Trx[Action],,0)</f>
        <v>退款-客人</v>
      </c>
      <c r="E756" s="27" t="s">
        <v>85</v>
      </c>
      <c r="F756" s="10" t="s">
        <v>1203</v>
      </c>
      <c r="G756" s="10" t="s">
        <v>926</v>
      </c>
      <c r="H756" s="37">
        <v>-980</v>
      </c>
      <c r="I756" s="38" t="b">
        <f>AND(Jnl[[#This Row],[TrxId]]&lt;&gt;"",Jnl[[#This Row],[Acct]]&lt;&gt;"",Jnl[[#This Row],[Item]]&lt;&gt;"",ISNUMBER(Jnl[[#This Row],[Bal]]))</f>
        <v>1</v>
      </c>
      <c r="J756" s="9">
        <f>IF(Jnl[[#This Row],[BSLv0]]="A",1,-1)*Jnl[[#This Row],[Bal]]</f>
        <v>980</v>
      </c>
      <c r="K756" t="str">
        <f>_xlfn.XLOOKUP(Jnl[[#This Row],[Acct]], config_BS[Acct], config_BS[Lv0],,0)</f>
        <v>LC</v>
      </c>
      <c r="L756" t="str">
        <f>_xlfn.XLOOKUP(Jnl[[#This Row],[Acct]], config_BS[Acct], config_BS[Lv1],,0)</f>
        <v>Liability</v>
      </c>
      <c r="M756" t="str">
        <f>_xlfn.XLOOKUP(Jnl[[#This Row],[Acct]], config_BS[Acct], config_BS[Lv2],,0)</f>
        <v>Cash alike</v>
      </c>
      <c r="N756" t="str">
        <f>_xlfn.XLOOKUP(Jnl[[#This Row],[TrxId]], Trx[Id], Trx[IncNode], ,0)</f>
        <v>Revenue</v>
      </c>
      <c r="O756" t="str">
        <f>_xlfn.XLOOKUP(Jnl[[#This Row],[IncNode]], config_IS[Node], config_IS[Type],,0)</f>
        <v>Op</v>
      </c>
      <c r="P756" t="str">
        <f>_xlfn.XLOOKUP(Jnl[[#This Row],[BSLv2]], dict[Key], dict[Name],,0)</f>
        <v>0.现金及类似</v>
      </c>
      <c r="Q756" t="str">
        <f>_xlfn.XLOOKUP(Jnl[[#This Row],[Acct]], dict[Key], dict[Name],,0)</f>
        <v>会员充值</v>
      </c>
      <c r="R756" t="str">
        <f>_xlfn.XLOOKUP(Jnl[[#This Row],[Vehicle]],config_vehicle[Id], config_vehicle[Name],,0)</f>
        <v>远家文化</v>
      </c>
      <c r="S756" t="str">
        <f>_xlfn.XLOOKUP(Jnl[[#This Row],[Division]],config_div[Id], config_div[Name],,0)</f>
        <v>明月村</v>
      </c>
      <c r="T756" t="str">
        <f>IF(Jnl[[#This Row],[TrxDate]]&lt;=stmt_BS_date_end, "In", "Out")</f>
        <v>In</v>
      </c>
      <c r="U756" t="str">
        <f>IF(Jnl[[#This Row],[TrxDate]]&lt;debug_date_start, "prior", IF(Jnl[[#This Row],[TrxDate]]&gt;debug_date_end, "post", "curr"))</f>
        <v>curr</v>
      </c>
    </row>
    <row r="757" spans="1:21" hidden="1">
      <c r="A757" s="39" t="s">
        <v>1204</v>
      </c>
      <c r="B757" s="6">
        <f>_xlfn.XLOOKUP(Jnl[[#This Row],[TrxId]], Trx[Id], Trx[Date],,0)</f>
        <v>46053</v>
      </c>
      <c r="C757" s="6" t="str">
        <f>_xlfn.XLOOKUP(Jnl[[#This Row],[TrxId]], Trx[Id], Trx[Division],,0)</f>
        <v>MY</v>
      </c>
      <c r="D757" s="6" t="str">
        <f>_xlfn.XLOOKUP(Jnl[[#This Row],[TrxId]], Trx[Id], Trx[Action],,0)</f>
        <v>过账</v>
      </c>
      <c r="E757" s="27" t="s">
        <v>90</v>
      </c>
      <c r="F757" s="10" t="s">
        <v>596</v>
      </c>
      <c r="G757" s="10" t="s">
        <v>1193</v>
      </c>
      <c r="H757" s="37">
        <v>30000</v>
      </c>
      <c r="I757" s="38" t="b">
        <f>AND(Jnl[[#This Row],[TrxId]]&lt;&gt;"",Jnl[[#This Row],[Acct]]&lt;&gt;"",Jnl[[#This Row],[Item]]&lt;&gt;"",ISNUMBER(Jnl[[#This Row],[Bal]]))</f>
        <v>1</v>
      </c>
      <c r="J757" s="9">
        <f>IF(Jnl[[#This Row],[BSLv0]]="A",1,-1)*Jnl[[#This Row],[Bal]]</f>
        <v>30000</v>
      </c>
      <c r="K757" t="str">
        <f>_xlfn.XLOOKUP(Jnl[[#This Row],[Acct]], config_BS[Acct], config_BS[Lv0],,0)</f>
        <v>A</v>
      </c>
      <c r="L757" t="str">
        <f>_xlfn.XLOOKUP(Jnl[[#This Row],[Acct]], config_BS[Acct], config_BS[Lv1],,0)</f>
        <v>Assets</v>
      </c>
      <c r="M757" t="str">
        <f>_xlfn.XLOOKUP(Jnl[[#This Row],[Acct]], config_BS[Acct], config_BS[Lv2],,0)</f>
        <v>Cash alike</v>
      </c>
      <c r="N757" t="str">
        <f>_xlfn.XLOOKUP(Jnl[[#This Row],[TrxId]], Trx[Id], Trx[IncNode], ,0)</f>
        <v>Other</v>
      </c>
      <c r="O757" t="str">
        <f>_xlfn.XLOOKUP(Jnl[[#This Row],[IncNode]], config_IS[Node], config_IS[Type],,0)</f>
        <v>Non-Op</v>
      </c>
      <c r="P757" t="str">
        <f>_xlfn.XLOOKUP(Jnl[[#This Row],[BSLv2]], dict[Key], dict[Name],,0)</f>
        <v>0.现金及类似</v>
      </c>
      <c r="Q757" t="str">
        <f>_xlfn.XLOOKUP(Jnl[[#This Row],[Acct]], dict[Key], dict[Name],,0)</f>
        <v>银行</v>
      </c>
      <c r="R757" t="str">
        <f>_xlfn.XLOOKUP(Jnl[[#This Row],[Vehicle]],config_vehicle[Id], config_vehicle[Name],,0)</f>
        <v>郑术燕</v>
      </c>
      <c r="S757" t="str">
        <f>_xlfn.XLOOKUP(Jnl[[#This Row],[Division]],config_div[Id], config_div[Name],,0)</f>
        <v>明月村</v>
      </c>
      <c r="T757" t="str">
        <f>IF(Jnl[[#This Row],[TrxDate]]&lt;=stmt_BS_date_end, "In", "Out")</f>
        <v>In</v>
      </c>
      <c r="U757" t="str">
        <f>IF(Jnl[[#This Row],[TrxDate]]&lt;debug_date_start, "prior", IF(Jnl[[#This Row],[TrxDate]]&gt;debug_date_end, "post", "curr"))</f>
        <v>curr</v>
      </c>
    </row>
    <row r="758" spans="1:21" hidden="1">
      <c r="A758" s="39" t="s">
        <v>1204</v>
      </c>
      <c r="B758" s="6">
        <f>_xlfn.XLOOKUP(Jnl[[#This Row],[TrxId]], Trx[Id], Trx[Date],,0)</f>
        <v>46053</v>
      </c>
      <c r="C758" s="6" t="str">
        <f>_xlfn.XLOOKUP(Jnl[[#This Row],[TrxId]], Trx[Id], Trx[Division],,0)</f>
        <v>MY</v>
      </c>
      <c r="D758" s="6" t="str">
        <f>_xlfn.XLOOKUP(Jnl[[#This Row],[TrxId]], Trx[Id], Trx[Action],,0)</f>
        <v>过账</v>
      </c>
      <c r="E758" s="27" t="s">
        <v>109</v>
      </c>
      <c r="F758" s="10" t="s">
        <v>596</v>
      </c>
      <c r="G758" s="10" t="s">
        <v>1195</v>
      </c>
      <c r="H758" s="37">
        <v>-30000</v>
      </c>
      <c r="I758" s="38" t="b">
        <f>AND(Jnl[[#This Row],[TrxId]]&lt;&gt;"",Jnl[[#This Row],[Acct]]&lt;&gt;"",Jnl[[#This Row],[Item]]&lt;&gt;"",ISNUMBER(Jnl[[#This Row],[Bal]]))</f>
        <v>1</v>
      </c>
      <c r="J758" s="9">
        <f>IF(Jnl[[#This Row],[BSLv0]]="A",1,-1)*Jnl[[#This Row],[Bal]]</f>
        <v>-30000</v>
      </c>
      <c r="K758" t="str">
        <f>_xlfn.XLOOKUP(Jnl[[#This Row],[Acct]], config_BS[Acct], config_BS[Lv0],,0)</f>
        <v>A</v>
      </c>
      <c r="L758" t="str">
        <f>_xlfn.XLOOKUP(Jnl[[#This Row],[Acct]], config_BS[Acct], config_BS[Lv1],,0)</f>
        <v>Assets</v>
      </c>
      <c r="M758" t="str">
        <f>_xlfn.XLOOKUP(Jnl[[#This Row],[Acct]], config_BS[Acct], config_BS[Lv2],,0)</f>
        <v>Cash alike</v>
      </c>
      <c r="N758" t="str">
        <f>_xlfn.XLOOKUP(Jnl[[#This Row],[TrxId]], Trx[Id], Trx[IncNode], ,0)</f>
        <v>Other</v>
      </c>
      <c r="O758" t="str">
        <f>_xlfn.XLOOKUP(Jnl[[#This Row],[IncNode]], config_IS[Node], config_IS[Type],,0)</f>
        <v>Non-Op</v>
      </c>
      <c r="P758" t="str">
        <f>_xlfn.XLOOKUP(Jnl[[#This Row],[BSLv2]], dict[Key], dict[Name],,0)</f>
        <v>0.现金及类似</v>
      </c>
      <c r="Q758" t="str">
        <f>_xlfn.XLOOKUP(Jnl[[#This Row],[Acct]], dict[Key], dict[Name],,0)</f>
        <v>银行</v>
      </c>
      <c r="R758" t="str">
        <f>_xlfn.XLOOKUP(Jnl[[#This Row],[Vehicle]],config_vehicle[Id], config_vehicle[Name],,0)</f>
        <v>远家文化蒲江分公司</v>
      </c>
      <c r="S758" t="str">
        <f>_xlfn.XLOOKUP(Jnl[[#This Row],[Division]],config_div[Id], config_div[Name],,0)</f>
        <v>明月村</v>
      </c>
      <c r="T758" t="str">
        <f>IF(Jnl[[#This Row],[TrxDate]]&lt;=stmt_BS_date_end, "In", "Out")</f>
        <v>In</v>
      </c>
      <c r="U758" t="str">
        <f>IF(Jnl[[#This Row],[TrxDate]]&lt;debug_date_start, "prior", IF(Jnl[[#This Row],[TrxDate]]&gt;debug_date_end, "post", "curr"))</f>
        <v>curr</v>
      </c>
    </row>
    <row r="759" spans="1:21" hidden="1">
      <c r="A759" s="39" t="s">
        <v>1205</v>
      </c>
      <c r="B759" s="6">
        <f>_xlfn.XLOOKUP(Jnl[[#This Row],[TrxId]], Trx[Id], Trx[Date],,0)</f>
        <v>46053</v>
      </c>
      <c r="C759" s="6" t="str">
        <f>_xlfn.XLOOKUP(Jnl[[#This Row],[TrxId]], Trx[Id], Trx[Division],,0)</f>
        <v>MY</v>
      </c>
      <c r="D759" s="6" t="str">
        <f>_xlfn.XLOOKUP(Jnl[[#This Row],[TrxId]], Trx[Id], Trx[Action],,0)</f>
        <v>其他材料</v>
      </c>
      <c r="E759" s="27" t="s">
        <v>109</v>
      </c>
      <c r="F759" s="10" t="s">
        <v>596</v>
      </c>
      <c r="G759" s="10" t="s">
        <v>1195</v>
      </c>
      <c r="H759" s="37">
        <v>-360</v>
      </c>
      <c r="I759" s="38" t="b">
        <f>AND(Jnl[[#This Row],[TrxId]]&lt;&gt;"",Jnl[[#This Row],[Acct]]&lt;&gt;"",Jnl[[#This Row],[Item]]&lt;&gt;"",ISNUMBER(Jnl[[#This Row],[Bal]]))</f>
        <v>1</v>
      </c>
      <c r="J759" s="9">
        <f>IF(Jnl[[#This Row],[BSLv0]]="A",1,-1)*Jnl[[#This Row],[Bal]]</f>
        <v>-360</v>
      </c>
      <c r="K759" t="str">
        <f>_xlfn.XLOOKUP(Jnl[[#This Row],[Acct]], config_BS[Acct], config_BS[Lv0],,0)</f>
        <v>A</v>
      </c>
      <c r="L759" t="str">
        <f>_xlfn.XLOOKUP(Jnl[[#This Row],[Acct]], config_BS[Acct], config_BS[Lv1],,0)</f>
        <v>Assets</v>
      </c>
      <c r="M759" t="str">
        <f>_xlfn.XLOOKUP(Jnl[[#This Row],[Acct]], config_BS[Acct], config_BS[Lv2],,0)</f>
        <v>Cash alike</v>
      </c>
      <c r="N759" t="str">
        <f>_xlfn.XLOOKUP(Jnl[[#This Row],[TrxId]], Trx[Id], Trx[IncNode], ,0)</f>
        <v>Cost</v>
      </c>
      <c r="O759" t="str">
        <f>_xlfn.XLOOKUP(Jnl[[#This Row],[IncNode]], config_IS[Node], config_IS[Type],,0)</f>
        <v>Op</v>
      </c>
      <c r="P759" t="str">
        <f>_xlfn.XLOOKUP(Jnl[[#This Row],[BSLv2]], dict[Key], dict[Name],,0)</f>
        <v>0.现金及类似</v>
      </c>
      <c r="Q759" t="str">
        <f>_xlfn.XLOOKUP(Jnl[[#This Row],[Acct]], dict[Key], dict[Name],,0)</f>
        <v>银行</v>
      </c>
      <c r="R759" t="str">
        <f>_xlfn.XLOOKUP(Jnl[[#This Row],[Vehicle]],config_vehicle[Id], config_vehicle[Name],,0)</f>
        <v>远家文化蒲江分公司</v>
      </c>
      <c r="S759" t="str">
        <f>_xlfn.XLOOKUP(Jnl[[#This Row],[Division]],config_div[Id], config_div[Name],,0)</f>
        <v>明月村</v>
      </c>
      <c r="T759" t="str">
        <f>IF(Jnl[[#This Row],[TrxDate]]&lt;=stmt_BS_date_end, "In", "Out")</f>
        <v>In</v>
      </c>
      <c r="U759" t="str">
        <f>IF(Jnl[[#This Row],[TrxDate]]&lt;debug_date_start, "prior", IF(Jnl[[#This Row],[TrxDate]]&gt;debug_date_end, "post", "curr"))</f>
        <v>curr</v>
      </c>
    </row>
    <row r="760" spans="1:21" hidden="1">
      <c r="A760" s="39" t="s">
        <v>1206</v>
      </c>
      <c r="B760" s="6">
        <f>_xlfn.XLOOKUP(Jnl[[#This Row],[TrxId]], Trx[Id], Trx[Date],,0)</f>
        <v>46053</v>
      </c>
      <c r="C760" s="6" t="str">
        <f>_xlfn.XLOOKUP(Jnl[[#This Row],[TrxId]], Trx[Id], Trx[Division],,0)</f>
        <v>MY</v>
      </c>
      <c r="D760" s="6" t="str">
        <f>_xlfn.XLOOKUP(Jnl[[#This Row],[TrxId]], Trx[Id], Trx[Action],,0)</f>
        <v>退款-客人</v>
      </c>
      <c r="E760" s="27" t="s">
        <v>109</v>
      </c>
      <c r="F760" s="10" t="s">
        <v>596</v>
      </c>
      <c r="G760" s="10" t="s">
        <v>1195</v>
      </c>
      <c r="H760" s="37">
        <v>-2744</v>
      </c>
      <c r="I760" s="38" t="b">
        <f>AND(Jnl[[#This Row],[TrxId]]&lt;&gt;"",Jnl[[#This Row],[Acct]]&lt;&gt;"",Jnl[[#This Row],[Item]]&lt;&gt;"",ISNUMBER(Jnl[[#This Row],[Bal]]))</f>
        <v>1</v>
      </c>
      <c r="J760" s="9">
        <f>IF(Jnl[[#This Row],[BSLv0]]="A",1,-1)*Jnl[[#This Row],[Bal]]</f>
        <v>-2744</v>
      </c>
      <c r="K760" t="str">
        <f>_xlfn.XLOOKUP(Jnl[[#This Row],[Acct]], config_BS[Acct], config_BS[Lv0],,0)</f>
        <v>A</v>
      </c>
      <c r="L760" t="str">
        <f>_xlfn.XLOOKUP(Jnl[[#This Row],[Acct]], config_BS[Acct], config_BS[Lv1],,0)</f>
        <v>Assets</v>
      </c>
      <c r="M760" t="str">
        <f>_xlfn.XLOOKUP(Jnl[[#This Row],[Acct]], config_BS[Acct], config_BS[Lv2],,0)</f>
        <v>Cash alike</v>
      </c>
      <c r="N760" t="str">
        <f>_xlfn.XLOOKUP(Jnl[[#This Row],[TrxId]], Trx[Id], Trx[IncNode], ,0)</f>
        <v>Revenue</v>
      </c>
      <c r="O760" t="str">
        <f>_xlfn.XLOOKUP(Jnl[[#This Row],[IncNode]], config_IS[Node], config_IS[Type],,0)</f>
        <v>Op</v>
      </c>
      <c r="P760" t="str">
        <f>_xlfn.XLOOKUP(Jnl[[#This Row],[BSLv2]], dict[Key], dict[Name],,0)</f>
        <v>0.现金及类似</v>
      </c>
      <c r="Q760" t="str">
        <f>_xlfn.XLOOKUP(Jnl[[#This Row],[Acct]], dict[Key], dict[Name],,0)</f>
        <v>银行</v>
      </c>
      <c r="R760" t="str">
        <f>_xlfn.XLOOKUP(Jnl[[#This Row],[Vehicle]],config_vehicle[Id], config_vehicle[Name],,0)</f>
        <v>远家文化蒲江分公司</v>
      </c>
      <c r="S760" t="str">
        <f>_xlfn.XLOOKUP(Jnl[[#This Row],[Division]],config_div[Id], config_div[Name],,0)</f>
        <v>明月村</v>
      </c>
      <c r="T760" t="str">
        <f>IF(Jnl[[#This Row],[TrxDate]]&lt;=stmt_BS_date_end, "In", "Out")</f>
        <v>In</v>
      </c>
      <c r="U760" t="str">
        <f>IF(Jnl[[#This Row],[TrxDate]]&lt;debug_date_start, "prior", IF(Jnl[[#This Row],[TrxDate]]&gt;debug_date_end, "post", "curr"))</f>
        <v>curr</v>
      </c>
    </row>
    <row r="761" spans="1:21" hidden="1">
      <c r="A761" s="39" t="s">
        <v>1206</v>
      </c>
      <c r="B761" s="6">
        <f>_xlfn.XLOOKUP(Jnl[[#This Row],[TrxId]], Trx[Id], Trx[Date],,0)</f>
        <v>46053</v>
      </c>
      <c r="C761" s="6" t="str">
        <f>_xlfn.XLOOKUP(Jnl[[#This Row],[TrxId]], Trx[Id], Trx[Division],,0)</f>
        <v>MY</v>
      </c>
      <c r="D761" s="6" t="str">
        <f>_xlfn.XLOOKUP(Jnl[[#This Row],[TrxId]], Trx[Id], Trx[Action],,0)</f>
        <v>退款-客人</v>
      </c>
      <c r="E761" s="27" t="s">
        <v>85</v>
      </c>
      <c r="F761" s="10" t="s">
        <v>1203</v>
      </c>
      <c r="G761" s="10" t="s">
        <v>926</v>
      </c>
      <c r="H761" s="37">
        <v>-2744</v>
      </c>
      <c r="I761" s="38" t="b">
        <f>AND(Jnl[[#This Row],[TrxId]]&lt;&gt;"",Jnl[[#This Row],[Acct]]&lt;&gt;"",Jnl[[#This Row],[Item]]&lt;&gt;"",ISNUMBER(Jnl[[#This Row],[Bal]]))</f>
        <v>1</v>
      </c>
      <c r="J761" s="9">
        <f>IF(Jnl[[#This Row],[BSLv0]]="A",1,-1)*Jnl[[#This Row],[Bal]]</f>
        <v>2744</v>
      </c>
      <c r="K761" t="str">
        <f>_xlfn.XLOOKUP(Jnl[[#This Row],[Acct]], config_BS[Acct], config_BS[Lv0],,0)</f>
        <v>LC</v>
      </c>
      <c r="L761" t="str">
        <f>_xlfn.XLOOKUP(Jnl[[#This Row],[Acct]], config_BS[Acct], config_BS[Lv1],,0)</f>
        <v>Liability</v>
      </c>
      <c r="M761" t="str">
        <f>_xlfn.XLOOKUP(Jnl[[#This Row],[Acct]], config_BS[Acct], config_BS[Lv2],,0)</f>
        <v>Cash alike</v>
      </c>
      <c r="N761" t="str">
        <f>_xlfn.XLOOKUP(Jnl[[#This Row],[TrxId]], Trx[Id], Trx[IncNode], ,0)</f>
        <v>Revenue</v>
      </c>
      <c r="O761" t="str">
        <f>_xlfn.XLOOKUP(Jnl[[#This Row],[IncNode]], config_IS[Node], config_IS[Type],,0)</f>
        <v>Op</v>
      </c>
      <c r="P761" t="str">
        <f>_xlfn.XLOOKUP(Jnl[[#This Row],[BSLv2]], dict[Key], dict[Name],,0)</f>
        <v>0.现金及类似</v>
      </c>
      <c r="Q761" t="str">
        <f>_xlfn.XLOOKUP(Jnl[[#This Row],[Acct]], dict[Key], dict[Name],,0)</f>
        <v>会员充值</v>
      </c>
      <c r="R761" t="str">
        <f>_xlfn.XLOOKUP(Jnl[[#This Row],[Vehicle]],config_vehicle[Id], config_vehicle[Name],,0)</f>
        <v>远家文化</v>
      </c>
      <c r="S761" t="str">
        <f>_xlfn.XLOOKUP(Jnl[[#This Row],[Division]],config_div[Id], config_div[Name],,0)</f>
        <v>明月村</v>
      </c>
      <c r="T761" t="str">
        <f>IF(Jnl[[#This Row],[TrxDate]]&lt;=stmt_BS_date_end, "In", "Out")</f>
        <v>In</v>
      </c>
      <c r="U761" t="str">
        <f>IF(Jnl[[#This Row],[TrxDate]]&lt;debug_date_start, "prior", IF(Jnl[[#This Row],[TrxDate]]&gt;debug_date_end, "post", "curr"))</f>
        <v>curr</v>
      </c>
    </row>
    <row r="762" spans="1:21" hidden="1">
      <c r="A762" s="39" t="s">
        <v>1207</v>
      </c>
      <c r="B762" s="6">
        <f>_xlfn.XLOOKUP(Jnl[[#This Row],[TrxId]], Trx[Id], Trx[Date],,0)</f>
        <v>46053</v>
      </c>
      <c r="C762" s="6" t="str">
        <f>_xlfn.XLOOKUP(Jnl[[#This Row],[TrxId]], Trx[Id], Trx[Division],,0)</f>
        <v>MY</v>
      </c>
      <c r="D762" s="6" t="str">
        <f>_xlfn.XLOOKUP(Jnl[[#This Row],[TrxId]], Trx[Id], Trx[Action],,0)</f>
        <v>物流</v>
      </c>
      <c r="E762" s="27" t="s">
        <v>109</v>
      </c>
      <c r="F762" s="10" t="s">
        <v>596</v>
      </c>
      <c r="G762" s="10" t="s">
        <v>1195</v>
      </c>
      <c r="H762" s="37">
        <v>-9331.5</v>
      </c>
      <c r="I762" s="38" t="b">
        <f>AND(Jnl[[#This Row],[TrxId]]&lt;&gt;"",Jnl[[#This Row],[Acct]]&lt;&gt;"",Jnl[[#This Row],[Item]]&lt;&gt;"",ISNUMBER(Jnl[[#This Row],[Bal]]))</f>
        <v>1</v>
      </c>
      <c r="J762" s="9">
        <f>IF(Jnl[[#This Row],[BSLv0]]="A",1,-1)*Jnl[[#This Row],[Bal]]</f>
        <v>-9331.5</v>
      </c>
      <c r="K762" t="str">
        <f>_xlfn.XLOOKUP(Jnl[[#This Row],[Acct]], config_BS[Acct], config_BS[Lv0],,0)</f>
        <v>A</v>
      </c>
      <c r="L762" t="str">
        <f>_xlfn.XLOOKUP(Jnl[[#This Row],[Acct]], config_BS[Acct], config_BS[Lv1],,0)</f>
        <v>Assets</v>
      </c>
      <c r="M762" t="str">
        <f>_xlfn.XLOOKUP(Jnl[[#This Row],[Acct]], config_BS[Acct], config_BS[Lv2],,0)</f>
        <v>Cash alike</v>
      </c>
      <c r="N762" t="str">
        <f>_xlfn.XLOOKUP(Jnl[[#This Row],[TrxId]], Trx[Id], Trx[IncNode], ,0)</f>
        <v>Expense</v>
      </c>
      <c r="O762" t="str">
        <f>_xlfn.XLOOKUP(Jnl[[#This Row],[IncNode]], config_IS[Node], config_IS[Type],,0)</f>
        <v>Op</v>
      </c>
      <c r="P762" t="str">
        <f>_xlfn.XLOOKUP(Jnl[[#This Row],[BSLv2]], dict[Key], dict[Name],,0)</f>
        <v>0.现金及类似</v>
      </c>
      <c r="Q762" t="str">
        <f>_xlfn.XLOOKUP(Jnl[[#This Row],[Acct]], dict[Key], dict[Name],,0)</f>
        <v>银行</v>
      </c>
      <c r="R762" t="str">
        <f>_xlfn.XLOOKUP(Jnl[[#This Row],[Vehicle]],config_vehicle[Id], config_vehicle[Name],,0)</f>
        <v>远家文化蒲江分公司</v>
      </c>
      <c r="S762" t="str">
        <f>_xlfn.XLOOKUP(Jnl[[#This Row],[Division]],config_div[Id], config_div[Name],,0)</f>
        <v>明月村</v>
      </c>
      <c r="T762" t="str">
        <f>IF(Jnl[[#This Row],[TrxDate]]&lt;=stmt_BS_date_end, "In", "Out")</f>
        <v>In</v>
      </c>
      <c r="U762" t="str">
        <f>IF(Jnl[[#This Row],[TrxDate]]&lt;debug_date_start, "prior", IF(Jnl[[#This Row],[TrxDate]]&gt;debug_date_end, "post", "curr"))</f>
        <v>curr</v>
      </c>
    </row>
    <row r="763" spans="1:21" hidden="1">
      <c r="A763" s="39" t="s">
        <v>1208</v>
      </c>
      <c r="B763" s="6">
        <f>_xlfn.XLOOKUP(Jnl[[#This Row],[TrxId]], Trx[Id], Trx[Date],,0)</f>
        <v>46053</v>
      </c>
      <c r="C763" s="6" t="str">
        <f>_xlfn.XLOOKUP(Jnl[[#This Row],[TrxId]], Trx[Id], Trx[Division],,0)</f>
        <v>MY</v>
      </c>
      <c r="D763" s="6" t="str">
        <f>_xlfn.XLOOKUP(Jnl[[#This Row],[TrxId]], Trx[Id], Trx[Action],,0)</f>
        <v>包装</v>
      </c>
      <c r="E763" s="27" t="s">
        <v>109</v>
      </c>
      <c r="F763" s="10" t="s">
        <v>596</v>
      </c>
      <c r="G763" s="10" t="s">
        <v>1195</v>
      </c>
      <c r="H763" s="37">
        <v>-940</v>
      </c>
      <c r="I763" s="38" t="b">
        <f>AND(Jnl[[#This Row],[TrxId]]&lt;&gt;"",Jnl[[#This Row],[Acct]]&lt;&gt;"",Jnl[[#This Row],[Item]]&lt;&gt;"",ISNUMBER(Jnl[[#This Row],[Bal]]))</f>
        <v>1</v>
      </c>
      <c r="J763" s="9">
        <f>IF(Jnl[[#This Row],[BSLv0]]="A",1,-1)*Jnl[[#This Row],[Bal]]</f>
        <v>-940</v>
      </c>
      <c r="K763" t="str">
        <f>_xlfn.XLOOKUP(Jnl[[#This Row],[Acct]], config_BS[Acct], config_BS[Lv0],,0)</f>
        <v>A</v>
      </c>
      <c r="L763" t="str">
        <f>_xlfn.XLOOKUP(Jnl[[#This Row],[Acct]], config_BS[Acct], config_BS[Lv1],,0)</f>
        <v>Assets</v>
      </c>
      <c r="M763" t="str">
        <f>_xlfn.XLOOKUP(Jnl[[#This Row],[Acct]], config_BS[Acct], config_BS[Lv2],,0)</f>
        <v>Cash alike</v>
      </c>
      <c r="N763" t="str">
        <f>_xlfn.XLOOKUP(Jnl[[#This Row],[TrxId]], Trx[Id], Trx[IncNode], ,0)</f>
        <v>Expense</v>
      </c>
      <c r="O763" t="str">
        <f>_xlfn.XLOOKUP(Jnl[[#This Row],[IncNode]], config_IS[Node], config_IS[Type],,0)</f>
        <v>Op</v>
      </c>
      <c r="P763" t="str">
        <f>_xlfn.XLOOKUP(Jnl[[#This Row],[BSLv2]], dict[Key], dict[Name],,0)</f>
        <v>0.现金及类似</v>
      </c>
      <c r="Q763" t="str">
        <f>_xlfn.XLOOKUP(Jnl[[#This Row],[Acct]], dict[Key], dict[Name],,0)</f>
        <v>银行</v>
      </c>
      <c r="R763" t="str">
        <f>_xlfn.XLOOKUP(Jnl[[#This Row],[Vehicle]],config_vehicle[Id], config_vehicle[Name],,0)</f>
        <v>远家文化蒲江分公司</v>
      </c>
      <c r="S763" t="str">
        <f>_xlfn.XLOOKUP(Jnl[[#This Row],[Division]],config_div[Id], config_div[Name],,0)</f>
        <v>明月村</v>
      </c>
      <c r="T763" t="str">
        <f>IF(Jnl[[#This Row],[TrxDate]]&lt;=stmt_BS_date_end, "In", "Out")</f>
        <v>In</v>
      </c>
      <c r="U763" t="str">
        <f>IF(Jnl[[#This Row],[TrxDate]]&lt;debug_date_start, "prior", IF(Jnl[[#This Row],[TrxDate]]&gt;debug_date_end, "post", "curr"))</f>
        <v>curr</v>
      </c>
    </row>
    <row r="764" spans="1:21" hidden="1">
      <c r="A764" s="39" t="s">
        <v>1209</v>
      </c>
      <c r="B764" s="6">
        <f>_xlfn.XLOOKUP(Jnl[[#This Row],[TrxId]], Trx[Id], Trx[Date],,0)</f>
        <v>46053</v>
      </c>
      <c r="C764" s="6" t="str">
        <f>_xlfn.XLOOKUP(Jnl[[#This Row],[TrxId]], Trx[Id], Trx[Division],,0)</f>
        <v>MY</v>
      </c>
      <c r="D764" s="6" t="str">
        <f>_xlfn.XLOOKUP(Jnl[[#This Row],[TrxId]], Trx[Id], Trx[Action],,0)</f>
        <v>其他材料</v>
      </c>
      <c r="E764" s="27" t="s">
        <v>109</v>
      </c>
      <c r="F764" s="10" t="s">
        <v>596</v>
      </c>
      <c r="G764" s="10" t="s">
        <v>1195</v>
      </c>
      <c r="H764" s="37">
        <v>-384.3</v>
      </c>
      <c r="I764" s="38" t="b">
        <f>AND(Jnl[[#This Row],[TrxId]]&lt;&gt;"",Jnl[[#This Row],[Acct]]&lt;&gt;"",Jnl[[#This Row],[Item]]&lt;&gt;"",ISNUMBER(Jnl[[#This Row],[Bal]]))</f>
        <v>1</v>
      </c>
      <c r="J764" s="9">
        <f>IF(Jnl[[#This Row],[BSLv0]]="A",1,-1)*Jnl[[#This Row],[Bal]]</f>
        <v>-384.3</v>
      </c>
      <c r="K764" t="str">
        <f>_xlfn.XLOOKUP(Jnl[[#This Row],[Acct]], config_BS[Acct], config_BS[Lv0],,0)</f>
        <v>A</v>
      </c>
      <c r="L764" t="str">
        <f>_xlfn.XLOOKUP(Jnl[[#This Row],[Acct]], config_BS[Acct], config_BS[Lv1],,0)</f>
        <v>Assets</v>
      </c>
      <c r="M764" t="str">
        <f>_xlfn.XLOOKUP(Jnl[[#This Row],[Acct]], config_BS[Acct], config_BS[Lv2],,0)</f>
        <v>Cash alike</v>
      </c>
      <c r="N764" t="str">
        <f>_xlfn.XLOOKUP(Jnl[[#This Row],[TrxId]], Trx[Id], Trx[IncNode], ,0)</f>
        <v>Cost</v>
      </c>
      <c r="O764" t="str">
        <f>_xlfn.XLOOKUP(Jnl[[#This Row],[IncNode]], config_IS[Node], config_IS[Type],,0)</f>
        <v>Op</v>
      </c>
      <c r="P764" t="str">
        <f>_xlfn.XLOOKUP(Jnl[[#This Row],[BSLv2]], dict[Key], dict[Name],,0)</f>
        <v>0.现金及类似</v>
      </c>
      <c r="Q764" t="str">
        <f>_xlfn.XLOOKUP(Jnl[[#This Row],[Acct]], dict[Key], dict[Name],,0)</f>
        <v>银行</v>
      </c>
      <c r="R764" t="str">
        <f>_xlfn.XLOOKUP(Jnl[[#This Row],[Vehicle]],config_vehicle[Id], config_vehicle[Name],,0)</f>
        <v>远家文化蒲江分公司</v>
      </c>
      <c r="S764" t="str">
        <f>_xlfn.XLOOKUP(Jnl[[#This Row],[Division]],config_div[Id], config_div[Name],,0)</f>
        <v>明月村</v>
      </c>
      <c r="T764" t="str">
        <f>IF(Jnl[[#This Row],[TrxDate]]&lt;=stmt_BS_date_end, "In", "Out")</f>
        <v>In</v>
      </c>
      <c r="U764" t="str">
        <f>IF(Jnl[[#This Row],[TrxDate]]&lt;debug_date_start, "prior", IF(Jnl[[#This Row],[TrxDate]]&gt;debug_date_end, "post", "curr"))</f>
        <v>curr</v>
      </c>
    </row>
    <row r="765" spans="1:21" hidden="1">
      <c r="A765" s="39" t="s">
        <v>1210</v>
      </c>
      <c r="B765" s="6">
        <f>_xlfn.XLOOKUP(Jnl[[#This Row],[TrxId]], Trx[Id], Trx[Date],,0)</f>
        <v>46053</v>
      </c>
      <c r="C765" s="6" t="str">
        <f>_xlfn.XLOOKUP(Jnl[[#This Row],[TrxId]], Trx[Id], Trx[Division],,0)</f>
        <v>MY</v>
      </c>
      <c r="D765" s="6" t="str">
        <f>_xlfn.XLOOKUP(Jnl[[#This Row],[TrxId]], Trx[Id], Trx[Action],,0)</f>
        <v>收款</v>
      </c>
      <c r="E765" s="27" t="s">
        <v>88</v>
      </c>
      <c r="F765" s="10" t="s">
        <v>596</v>
      </c>
      <c r="G765" s="10" t="s">
        <v>486</v>
      </c>
      <c r="H765" s="37">
        <v>43003.48</v>
      </c>
      <c r="I765" s="38" t="b">
        <f>AND(Jnl[[#This Row],[TrxId]]&lt;&gt;"",Jnl[[#This Row],[Acct]]&lt;&gt;"",Jnl[[#This Row],[Item]]&lt;&gt;"",ISNUMBER(Jnl[[#This Row],[Bal]]))</f>
        <v>1</v>
      </c>
      <c r="J765" s="9">
        <f>IF(Jnl[[#This Row],[BSLv0]]="A",1,-1)*Jnl[[#This Row],[Bal]]</f>
        <v>43003.48</v>
      </c>
      <c r="K765" t="str">
        <f>_xlfn.XLOOKUP(Jnl[[#This Row],[Acct]], config_BS[Acct], config_BS[Lv0],,0)</f>
        <v>A</v>
      </c>
      <c r="L765" t="str">
        <f>_xlfn.XLOOKUP(Jnl[[#This Row],[Acct]], config_BS[Acct], config_BS[Lv1],,0)</f>
        <v>Assets</v>
      </c>
      <c r="M765" t="str">
        <f>_xlfn.XLOOKUP(Jnl[[#This Row],[Acct]], config_BS[Acct], config_BS[Lv2],,0)</f>
        <v>Cash alike</v>
      </c>
      <c r="N765" t="str">
        <f>_xlfn.XLOOKUP(Jnl[[#This Row],[TrxId]], Trx[Id], Trx[IncNode], ,0)</f>
        <v>Revenue</v>
      </c>
      <c r="O765" t="str">
        <f>_xlfn.XLOOKUP(Jnl[[#This Row],[IncNode]], config_IS[Node], config_IS[Type],,0)</f>
        <v>Op</v>
      </c>
      <c r="P765" t="str">
        <f>_xlfn.XLOOKUP(Jnl[[#This Row],[BSLv2]], dict[Key], dict[Name],,0)</f>
        <v>0.现金及类似</v>
      </c>
      <c r="Q765" t="str">
        <f>_xlfn.XLOOKUP(Jnl[[#This Row],[Acct]], dict[Key], dict[Name],,0)</f>
        <v>银行</v>
      </c>
      <c r="R765" t="str">
        <f>_xlfn.XLOOKUP(Jnl[[#This Row],[Vehicle]],config_vehicle[Id], config_vehicle[Name],,0)</f>
        <v>张小喜</v>
      </c>
      <c r="S765" t="str">
        <f>_xlfn.XLOOKUP(Jnl[[#This Row],[Division]],config_div[Id], config_div[Name],,0)</f>
        <v>明月村</v>
      </c>
      <c r="T765" t="str">
        <f>IF(Jnl[[#This Row],[TrxDate]]&lt;=stmt_BS_date_end, "In", "Out")</f>
        <v>In</v>
      </c>
      <c r="U765" t="str">
        <f>IF(Jnl[[#This Row],[TrxDate]]&lt;debug_date_start, "prior", IF(Jnl[[#This Row],[TrxDate]]&gt;debug_date_end, "post", "curr"))</f>
        <v>curr</v>
      </c>
    </row>
    <row r="766" spans="1:21" hidden="1">
      <c r="A766" s="39" t="s">
        <v>1210</v>
      </c>
      <c r="B766" s="6">
        <f>_xlfn.XLOOKUP(Jnl[[#This Row],[TrxId]], Trx[Id], Trx[Date],,0)</f>
        <v>46053</v>
      </c>
      <c r="C766" s="6" t="str">
        <f>_xlfn.XLOOKUP(Jnl[[#This Row],[TrxId]], Trx[Id], Trx[Division],,0)</f>
        <v>MY</v>
      </c>
      <c r="D766" s="6" t="str">
        <f>_xlfn.XLOOKUP(Jnl[[#This Row],[TrxId]], Trx[Id], Trx[Action],,0)</f>
        <v>收款</v>
      </c>
      <c r="E766" s="27" t="s">
        <v>85</v>
      </c>
      <c r="F766" s="10" t="s">
        <v>599</v>
      </c>
      <c r="G766" s="10" t="s">
        <v>951</v>
      </c>
      <c r="H766" s="37">
        <f>-H765</f>
        <v>-43003.48</v>
      </c>
      <c r="I766" s="38" t="b">
        <f>AND(Jnl[[#This Row],[TrxId]]&lt;&gt;"",Jnl[[#This Row],[Acct]]&lt;&gt;"",Jnl[[#This Row],[Item]]&lt;&gt;"",ISNUMBER(Jnl[[#This Row],[Bal]]))</f>
        <v>1</v>
      </c>
      <c r="J766" s="9">
        <f>IF(Jnl[[#This Row],[BSLv0]]="A",1,-1)*Jnl[[#This Row],[Bal]]</f>
        <v>-43003.48</v>
      </c>
      <c r="K766" t="str">
        <f>_xlfn.XLOOKUP(Jnl[[#This Row],[Acct]], config_BS[Acct], config_BS[Lv0],,0)</f>
        <v>A</v>
      </c>
      <c r="L766" t="str">
        <f>_xlfn.XLOOKUP(Jnl[[#This Row],[Acct]], config_BS[Acct], config_BS[Lv1],,0)</f>
        <v>Assets</v>
      </c>
      <c r="M766" t="str">
        <f>_xlfn.XLOOKUP(Jnl[[#This Row],[Acct]], config_BS[Acct], config_BS[Lv2],,0)</f>
        <v>Rec-Pay</v>
      </c>
      <c r="N766" t="str">
        <f>_xlfn.XLOOKUP(Jnl[[#This Row],[TrxId]], Trx[Id], Trx[IncNode], ,0)</f>
        <v>Revenue</v>
      </c>
      <c r="O766" t="str">
        <f>_xlfn.XLOOKUP(Jnl[[#This Row],[IncNode]], config_IS[Node], config_IS[Type],,0)</f>
        <v>Op</v>
      </c>
      <c r="P766" t="str">
        <f>_xlfn.XLOOKUP(Jnl[[#This Row],[BSLv2]], dict[Key], dict[Name],,0)</f>
        <v>1.应收-应付</v>
      </c>
      <c r="Q766" t="str">
        <f>_xlfn.XLOOKUP(Jnl[[#This Row],[Acct]], dict[Key], dict[Name],,0)</f>
        <v>应收-一般</v>
      </c>
      <c r="R766" t="str">
        <f>_xlfn.XLOOKUP(Jnl[[#This Row],[Vehicle]],config_vehicle[Id], config_vehicle[Name],,0)</f>
        <v>远家文化</v>
      </c>
      <c r="S766" t="str">
        <f>_xlfn.XLOOKUP(Jnl[[#This Row],[Division]],config_div[Id], config_div[Name],,0)</f>
        <v>明月村</v>
      </c>
      <c r="T766" t="str">
        <f>IF(Jnl[[#This Row],[TrxDate]]&lt;=stmt_BS_date_end, "In", "Out")</f>
        <v>In</v>
      </c>
      <c r="U766" t="str">
        <f>IF(Jnl[[#This Row],[TrxDate]]&lt;debug_date_start, "prior", IF(Jnl[[#This Row],[TrxDate]]&gt;debug_date_end, "post", "curr"))</f>
        <v>curr</v>
      </c>
    </row>
    <row r="767" spans="1:21" hidden="1">
      <c r="A767" s="39" t="s">
        <v>1211</v>
      </c>
      <c r="B767" s="6">
        <f>_xlfn.XLOOKUP(Jnl[[#This Row],[TrxId]], Trx[Id], Trx[Date],,0)</f>
        <v>46053</v>
      </c>
      <c r="C767" s="6" t="str">
        <f>_xlfn.XLOOKUP(Jnl[[#This Row],[TrxId]], Trx[Id], Trx[Division],,0)</f>
        <v>MY</v>
      </c>
      <c r="D767" s="6" t="str">
        <f>_xlfn.XLOOKUP(Jnl[[#This Row],[TrxId]], Trx[Id], Trx[Action],,0)</f>
        <v>其他销售</v>
      </c>
      <c r="E767" s="27" t="s">
        <v>88</v>
      </c>
      <c r="F767" s="10" t="s">
        <v>596</v>
      </c>
      <c r="G767" s="10" t="s">
        <v>486</v>
      </c>
      <c r="H767" s="37">
        <v>376.19</v>
      </c>
      <c r="I767" s="38" t="b">
        <f>AND(Jnl[[#This Row],[TrxId]]&lt;&gt;"",Jnl[[#This Row],[Acct]]&lt;&gt;"",Jnl[[#This Row],[Item]]&lt;&gt;"",ISNUMBER(Jnl[[#This Row],[Bal]]))</f>
        <v>1</v>
      </c>
      <c r="J767" s="9">
        <f>IF(Jnl[[#This Row],[BSLv0]]="A",1,-1)*Jnl[[#This Row],[Bal]]</f>
        <v>376.19</v>
      </c>
      <c r="K767" t="str">
        <f>_xlfn.XLOOKUP(Jnl[[#This Row],[Acct]], config_BS[Acct], config_BS[Lv0],,0)</f>
        <v>A</v>
      </c>
      <c r="L767" t="str">
        <f>_xlfn.XLOOKUP(Jnl[[#This Row],[Acct]], config_BS[Acct], config_BS[Lv1],,0)</f>
        <v>Assets</v>
      </c>
      <c r="M767" t="str">
        <f>_xlfn.XLOOKUP(Jnl[[#This Row],[Acct]], config_BS[Acct], config_BS[Lv2],,0)</f>
        <v>Cash alike</v>
      </c>
      <c r="N767" t="str">
        <f>_xlfn.XLOOKUP(Jnl[[#This Row],[TrxId]], Trx[Id], Trx[IncNode], ,0)</f>
        <v>Revenue</v>
      </c>
      <c r="O767" t="str">
        <f>_xlfn.XLOOKUP(Jnl[[#This Row],[IncNode]], config_IS[Node], config_IS[Type],,0)</f>
        <v>Op</v>
      </c>
      <c r="P767" t="str">
        <f>_xlfn.XLOOKUP(Jnl[[#This Row],[BSLv2]], dict[Key], dict[Name],,0)</f>
        <v>0.现金及类似</v>
      </c>
      <c r="Q767" t="str">
        <f>_xlfn.XLOOKUP(Jnl[[#This Row],[Acct]], dict[Key], dict[Name],,0)</f>
        <v>银行</v>
      </c>
      <c r="R767" t="str">
        <f>_xlfn.XLOOKUP(Jnl[[#This Row],[Vehicle]],config_vehicle[Id], config_vehicle[Name],,0)</f>
        <v>张小喜</v>
      </c>
      <c r="S767" t="str">
        <f>_xlfn.XLOOKUP(Jnl[[#This Row],[Division]],config_div[Id], config_div[Name],,0)</f>
        <v>明月村</v>
      </c>
      <c r="T767" t="str">
        <f>IF(Jnl[[#This Row],[TrxDate]]&lt;=stmt_BS_date_end, "In", "Out")</f>
        <v>In</v>
      </c>
      <c r="U767" t="str">
        <f>IF(Jnl[[#This Row],[TrxDate]]&lt;debug_date_start, "prior", IF(Jnl[[#This Row],[TrxDate]]&gt;debug_date_end, "post", "curr"))</f>
        <v>curr</v>
      </c>
    </row>
    <row r="768" spans="1:21" hidden="1">
      <c r="A768" s="39" t="s">
        <v>1212</v>
      </c>
      <c r="B768" s="6">
        <f>_xlfn.XLOOKUP(Jnl[[#This Row],[TrxId]], Trx[Id], Trx[Date],,0)</f>
        <v>46053</v>
      </c>
      <c r="C768" s="6" t="str">
        <f>_xlfn.XLOOKUP(Jnl[[#This Row],[TrxId]], Trx[Id], Trx[Division],,0)</f>
        <v>MY</v>
      </c>
      <c r="D768" s="6" t="str">
        <f>_xlfn.XLOOKUP(Jnl[[#This Row],[TrxId]], Trx[Id], Trx[Action],,0)</f>
        <v>食材</v>
      </c>
      <c r="E768" s="27" t="s">
        <v>90</v>
      </c>
      <c r="F768" s="10" t="s">
        <v>596</v>
      </c>
      <c r="G768" s="10" t="s">
        <v>1193</v>
      </c>
      <c r="H768" s="37">
        <v>-43824.95</v>
      </c>
      <c r="I768" s="38" t="b">
        <f>AND(Jnl[[#This Row],[TrxId]]&lt;&gt;"",Jnl[[#This Row],[Acct]]&lt;&gt;"",Jnl[[#This Row],[Item]]&lt;&gt;"",ISNUMBER(Jnl[[#This Row],[Bal]]))</f>
        <v>1</v>
      </c>
      <c r="J768" s="9">
        <f>IF(Jnl[[#This Row],[BSLv0]]="A",1,-1)*Jnl[[#This Row],[Bal]]</f>
        <v>-43824.95</v>
      </c>
      <c r="K768" t="str">
        <f>_xlfn.XLOOKUP(Jnl[[#This Row],[Acct]], config_BS[Acct], config_BS[Lv0],,0)</f>
        <v>A</v>
      </c>
      <c r="L768" t="str">
        <f>_xlfn.XLOOKUP(Jnl[[#This Row],[Acct]], config_BS[Acct], config_BS[Lv1],,0)</f>
        <v>Assets</v>
      </c>
      <c r="M768" t="str">
        <f>_xlfn.XLOOKUP(Jnl[[#This Row],[Acct]], config_BS[Acct], config_BS[Lv2],,0)</f>
        <v>Cash alike</v>
      </c>
      <c r="N768" t="str">
        <f>_xlfn.XLOOKUP(Jnl[[#This Row],[TrxId]], Trx[Id], Trx[IncNode], ,0)</f>
        <v>Cost</v>
      </c>
      <c r="O768" t="str">
        <f>_xlfn.XLOOKUP(Jnl[[#This Row],[IncNode]], config_IS[Node], config_IS[Type],,0)</f>
        <v>Op</v>
      </c>
      <c r="P768" t="str">
        <f>_xlfn.XLOOKUP(Jnl[[#This Row],[BSLv2]], dict[Key], dict[Name],,0)</f>
        <v>0.现金及类似</v>
      </c>
      <c r="Q768" t="str">
        <f>_xlfn.XLOOKUP(Jnl[[#This Row],[Acct]], dict[Key], dict[Name],,0)</f>
        <v>银行</v>
      </c>
      <c r="R768" t="str">
        <f>_xlfn.XLOOKUP(Jnl[[#This Row],[Vehicle]],config_vehicle[Id], config_vehicle[Name],,0)</f>
        <v>郑术燕</v>
      </c>
      <c r="S768" t="str">
        <f>_xlfn.XLOOKUP(Jnl[[#This Row],[Division]],config_div[Id], config_div[Name],,0)</f>
        <v>明月村</v>
      </c>
      <c r="T768" t="str">
        <f>IF(Jnl[[#This Row],[TrxDate]]&lt;=stmt_BS_date_end, "In", "Out")</f>
        <v>In</v>
      </c>
      <c r="U768" t="str">
        <f>IF(Jnl[[#This Row],[TrxDate]]&lt;debug_date_start, "prior", IF(Jnl[[#This Row],[TrxDate]]&gt;debug_date_end, "post", "curr"))</f>
        <v>curr</v>
      </c>
    </row>
    <row r="769" spans="1:21" hidden="1">
      <c r="A769" s="39" t="s">
        <v>1213</v>
      </c>
      <c r="B769" s="6">
        <f>_xlfn.XLOOKUP(Jnl[[#This Row],[TrxId]], Trx[Id], Trx[Date],,0)</f>
        <v>46053</v>
      </c>
      <c r="C769" s="6" t="str">
        <f>_xlfn.XLOOKUP(Jnl[[#This Row],[TrxId]], Trx[Id], Trx[Division],,0)</f>
        <v>MY</v>
      </c>
      <c r="D769" s="6" t="str">
        <f>_xlfn.XLOOKUP(Jnl[[#This Row],[TrxId]], Trx[Id], Trx[Action],,0)</f>
        <v>退款-供应商</v>
      </c>
      <c r="E769" s="27" t="s">
        <v>90</v>
      </c>
      <c r="F769" s="10" t="s">
        <v>596</v>
      </c>
      <c r="G769" s="10" t="s">
        <v>1193</v>
      </c>
      <c r="H769" s="37">
        <v>121.78</v>
      </c>
      <c r="I769" s="38" t="b">
        <f>AND(Jnl[[#This Row],[TrxId]]&lt;&gt;"",Jnl[[#This Row],[Acct]]&lt;&gt;"",Jnl[[#This Row],[Item]]&lt;&gt;"",ISNUMBER(Jnl[[#This Row],[Bal]]))</f>
        <v>1</v>
      </c>
      <c r="J769" s="9">
        <f>IF(Jnl[[#This Row],[BSLv0]]="A",1,-1)*Jnl[[#This Row],[Bal]]</f>
        <v>121.78</v>
      </c>
      <c r="K769" t="str">
        <f>_xlfn.XLOOKUP(Jnl[[#This Row],[Acct]], config_BS[Acct], config_BS[Lv0],,0)</f>
        <v>A</v>
      </c>
      <c r="L769" t="str">
        <f>_xlfn.XLOOKUP(Jnl[[#This Row],[Acct]], config_BS[Acct], config_BS[Lv1],,0)</f>
        <v>Assets</v>
      </c>
      <c r="M769" t="str">
        <f>_xlfn.XLOOKUP(Jnl[[#This Row],[Acct]], config_BS[Acct], config_BS[Lv2],,0)</f>
        <v>Cash alike</v>
      </c>
      <c r="N769" t="str">
        <f>_xlfn.XLOOKUP(Jnl[[#This Row],[TrxId]], Trx[Id], Trx[IncNode], ,0)</f>
        <v>Cost</v>
      </c>
      <c r="O769" t="str">
        <f>_xlfn.XLOOKUP(Jnl[[#This Row],[IncNode]], config_IS[Node], config_IS[Type],,0)</f>
        <v>Op</v>
      </c>
      <c r="P769" t="str">
        <f>_xlfn.XLOOKUP(Jnl[[#This Row],[BSLv2]], dict[Key], dict[Name],,0)</f>
        <v>0.现金及类似</v>
      </c>
      <c r="Q769" t="str">
        <f>_xlfn.XLOOKUP(Jnl[[#This Row],[Acct]], dict[Key], dict[Name],,0)</f>
        <v>银行</v>
      </c>
      <c r="R769" t="str">
        <f>_xlfn.XLOOKUP(Jnl[[#This Row],[Vehicle]],config_vehicle[Id], config_vehicle[Name],,0)</f>
        <v>郑术燕</v>
      </c>
      <c r="S769" t="str">
        <f>_xlfn.XLOOKUP(Jnl[[#This Row],[Division]],config_div[Id], config_div[Name],,0)</f>
        <v>明月村</v>
      </c>
      <c r="T769" t="str">
        <f>IF(Jnl[[#This Row],[TrxDate]]&lt;=stmt_BS_date_end, "In", "Out")</f>
        <v>In</v>
      </c>
      <c r="U769" t="str">
        <f>IF(Jnl[[#This Row],[TrxDate]]&lt;debug_date_start, "prior", IF(Jnl[[#This Row],[TrxDate]]&gt;debug_date_end, "post", "curr"))</f>
        <v>curr</v>
      </c>
    </row>
    <row r="770" spans="1:21" hidden="1">
      <c r="A770" s="39" t="s">
        <v>1214</v>
      </c>
      <c r="B770" s="6">
        <f>_xlfn.XLOOKUP(Jnl[[#This Row],[TrxId]], Trx[Id], Trx[Date],,0)</f>
        <v>46053</v>
      </c>
      <c r="C770" s="6" t="str">
        <f>_xlfn.XLOOKUP(Jnl[[#This Row],[TrxId]], Trx[Id], Trx[Division],,0)</f>
        <v>MY</v>
      </c>
      <c r="D770" s="6" t="str">
        <f>_xlfn.XLOOKUP(Jnl[[#This Row],[TrxId]], Trx[Id], Trx[Action],,0)</f>
        <v>其他材料</v>
      </c>
      <c r="E770" s="27" t="s">
        <v>90</v>
      </c>
      <c r="F770" s="10" t="s">
        <v>596</v>
      </c>
      <c r="G770" s="10" t="s">
        <v>1193</v>
      </c>
      <c r="H770" s="37">
        <v>-10151.14</v>
      </c>
      <c r="I770" s="38" t="b">
        <f>AND(Jnl[[#This Row],[TrxId]]&lt;&gt;"",Jnl[[#This Row],[Acct]]&lt;&gt;"",Jnl[[#This Row],[Item]]&lt;&gt;"",ISNUMBER(Jnl[[#This Row],[Bal]]))</f>
        <v>1</v>
      </c>
      <c r="J770" s="9">
        <f>IF(Jnl[[#This Row],[BSLv0]]="A",1,-1)*Jnl[[#This Row],[Bal]]</f>
        <v>-10151.14</v>
      </c>
      <c r="K770" t="str">
        <f>_xlfn.XLOOKUP(Jnl[[#This Row],[Acct]], config_BS[Acct], config_BS[Lv0],,0)</f>
        <v>A</v>
      </c>
      <c r="L770" t="str">
        <f>_xlfn.XLOOKUP(Jnl[[#This Row],[Acct]], config_BS[Acct], config_BS[Lv1],,0)</f>
        <v>Assets</v>
      </c>
      <c r="M770" t="str">
        <f>_xlfn.XLOOKUP(Jnl[[#This Row],[Acct]], config_BS[Acct], config_BS[Lv2],,0)</f>
        <v>Cash alike</v>
      </c>
      <c r="N770" t="str">
        <f>_xlfn.XLOOKUP(Jnl[[#This Row],[TrxId]], Trx[Id], Trx[IncNode], ,0)</f>
        <v>Cost</v>
      </c>
      <c r="O770" t="str">
        <f>_xlfn.XLOOKUP(Jnl[[#This Row],[IncNode]], config_IS[Node], config_IS[Type],,0)</f>
        <v>Op</v>
      </c>
      <c r="P770" t="str">
        <f>_xlfn.XLOOKUP(Jnl[[#This Row],[BSLv2]], dict[Key], dict[Name],,0)</f>
        <v>0.现金及类似</v>
      </c>
      <c r="Q770" t="str">
        <f>_xlfn.XLOOKUP(Jnl[[#This Row],[Acct]], dict[Key], dict[Name],,0)</f>
        <v>银行</v>
      </c>
      <c r="R770" t="str">
        <f>_xlfn.XLOOKUP(Jnl[[#This Row],[Vehicle]],config_vehicle[Id], config_vehicle[Name],,0)</f>
        <v>郑术燕</v>
      </c>
      <c r="S770" t="str">
        <f>_xlfn.XLOOKUP(Jnl[[#This Row],[Division]],config_div[Id], config_div[Name],,0)</f>
        <v>明月村</v>
      </c>
      <c r="T770" t="str">
        <f>IF(Jnl[[#This Row],[TrxDate]]&lt;=stmt_BS_date_end, "In", "Out")</f>
        <v>In</v>
      </c>
      <c r="U770" t="str">
        <f>IF(Jnl[[#This Row],[TrxDate]]&lt;debug_date_start, "prior", IF(Jnl[[#This Row],[TrxDate]]&gt;debug_date_end, "post", "curr"))</f>
        <v>curr</v>
      </c>
    </row>
    <row r="771" spans="1:21" hidden="1">
      <c r="A771" s="39" t="s">
        <v>1215</v>
      </c>
      <c r="B771" s="6">
        <f>_xlfn.XLOOKUP(Jnl[[#This Row],[TrxId]], Trx[Id], Trx[Date],,0)</f>
        <v>46053</v>
      </c>
      <c r="C771" s="6" t="str">
        <f>_xlfn.XLOOKUP(Jnl[[#This Row],[TrxId]], Trx[Id], Trx[Division],,0)</f>
        <v>MY</v>
      </c>
      <c r="D771" s="6" t="str">
        <f>_xlfn.XLOOKUP(Jnl[[#This Row],[TrxId]], Trx[Id], Trx[Action],,0)</f>
        <v>食材</v>
      </c>
      <c r="E771" s="27" t="s">
        <v>90</v>
      </c>
      <c r="F771" s="10" t="s">
        <v>596</v>
      </c>
      <c r="G771" s="10" t="s">
        <v>1193</v>
      </c>
      <c r="H771" s="37">
        <v>-4820.54</v>
      </c>
      <c r="I771" s="38" t="b">
        <f>AND(Jnl[[#This Row],[TrxId]]&lt;&gt;"",Jnl[[#This Row],[Acct]]&lt;&gt;"",Jnl[[#This Row],[Item]]&lt;&gt;"",ISNUMBER(Jnl[[#This Row],[Bal]]))</f>
        <v>1</v>
      </c>
      <c r="J771" s="9">
        <f>IF(Jnl[[#This Row],[BSLv0]]="A",1,-1)*Jnl[[#This Row],[Bal]]</f>
        <v>-4820.54</v>
      </c>
      <c r="K771" t="str">
        <f>_xlfn.XLOOKUP(Jnl[[#This Row],[Acct]], config_BS[Acct], config_BS[Lv0],,0)</f>
        <v>A</v>
      </c>
      <c r="L771" t="str">
        <f>_xlfn.XLOOKUP(Jnl[[#This Row],[Acct]], config_BS[Acct], config_BS[Lv1],,0)</f>
        <v>Assets</v>
      </c>
      <c r="M771" t="str">
        <f>_xlfn.XLOOKUP(Jnl[[#This Row],[Acct]], config_BS[Acct], config_BS[Lv2],,0)</f>
        <v>Cash alike</v>
      </c>
      <c r="N771" t="str">
        <f>_xlfn.XLOOKUP(Jnl[[#This Row],[TrxId]], Trx[Id], Trx[IncNode], ,0)</f>
        <v>Cost</v>
      </c>
      <c r="O771" t="str">
        <f>_xlfn.XLOOKUP(Jnl[[#This Row],[IncNode]], config_IS[Node], config_IS[Type],,0)</f>
        <v>Op</v>
      </c>
      <c r="P771" t="str">
        <f>_xlfn.XLOOKUP(Jnl[[#This Row],[BSLv2]], dict[Key], dict[Name],,0)</f>
        <v>0.现金及类似</v>
      </c>
      <c r="Q771" t="str">
        <f>_xlfn.XLOOKUP(Jnl[[#This Row],[Acct]], dict[Key], dict[Name],,0)</f>
        <v>银行</v>
      </c>
      <c r="R771" t="str">
        <f>_xlfn.XLOOKUP(Jnl[[#This Row],[Vehicle]],config_vehicle[Id], config_vehicle[Name],,0)</f>
        <v>郑术燕</v>
      </c>
      <c r="S771" t="str">
        <f>_xlfn.XLOOKUP(Jnl[[#This Row],[Division]],config_div[Id], config_div[Name],,0)</f>
        <v>明月村</v>
      </c>
      <c r="T771" t="str">
        <f>IF(Jnl[[#This Row],[TrxDate]]&lt;=stmt_BS_date_end, "In", "Out")</f>
        <v>In</v>
      </c>
      <c r="U771" t="str">
        <f>IF(Jnl[[#This Row],[TrxDate]]&lt;debug_date_start, "prior", IF(Jnl[[#This Row],[TrxDate]]&gt;debug_date_end, "post", "curr"))</f>
        <v>curr</v>
      </c>
    </row>
    <row r="772" spans="1:21" hidden="1">
      <c r="A772" s="39" t="s">
        <v>1216</v>
      </c>
      <c r="B772" s="6">
        <f>_xlfn.XLOOKUP(Jnl[[#This Row],[TrxId]], Trx[Id], Trx[Date],,0)</f>
        <v>46053</v>
      </c>
      <c r="C772" s="6" t="str">
        <f>_xlfn.XLOOKUP(Jnl[[#This Row],[TrxId]], Trx[Id], Trx[Division],,0)</f>
        <v>MY</v>
      </c>
      <c r="D772" s="6" t="str">
        <f>_xlfn.XLOOKUP(Jnl[[#This Row],[TrxId]], Trx[Id], Trx[Action],,0)</f>
        <v>其他材料</v>
      </c>
      <c r="E772" s="27" t="s">
        <v>90</v>
      </c>
      <c r="F772" s="10" t="s">
        <v>596</v>
      </c>
      <c r="G772" s="10" t="s">
        <v>1193</v>
      </c>
      <c r="H772" s="37">
        <v>-3989.13</v>
      </c>
      <c r="I772" s="38" t="b">
        <f>AND(Jnl[[#This Row],[TrxId]]&lt;&gt;"",Jnl[[#This Row],[Acct]]&lt;&gt;"",Jnl[[#This Row],[Item]]&lt;&gt;"",ISNUMBER(Jnl[[#This Row],[Bal]]))</f>
        <v>1</v>
      </c>
      <c r="J772" s="9">
        <f>IF(Jnl[[#This Row],[BSLv0]]="A",1,-1)*Jnl[[#This Row],[Bal]]</f>
        <v>-3989.13</v>
      </c>
      <c r="K772" t="str">
        <f>_xlfn.XLOOKUP(Jnl[[#This Row],[Acct]], config_BS[Acct], config_BS[Lv0],,0)</f>
        <v>A</v>
      </c>
      <c r="L772" t="str">
        <f>_xlfn.XLOOKUP(Jnl[[#This Row],[Acct]], config_BS[Acct], config_BS[Lv1],,0)</f>
        <v>Assets</v>
      </c>
      <c r="M772" t="str">
        <f>_xlfn.XLOOKUP(Jnl[[#This Row],[Acct]], config_BS[Acct], config_BS[Lv2],,0)</f>
        <v>Cash alike</v>
      </c>
      <c r="N772" t="str">
        <f>_xlfn.XLOOKUP(Jnl[[#This Row],[TrxId]], Trx[Id], Trx[IncNode], ,0)</f>
        <v>Cost</v>
      </c>
      <c r="O772" t="str">
        <f>_xlfn.XLOOKUP(Jnl[[#This Row],[IncNode]], config_IS[Node], config_IS[Type],,0)</f>
        <v>Op</v>
      </c>
      <c r="P772" t="str">
        <f>_xlfn.XLOOKUP(Jnl[[#This Row],[BSLv2]], dict[Key], dict[Name],,0)</f>
        <v>0.现金及类似</v>
      </c>
      <c r="Q772" t="str">
        <f>_xlfn.XLOOKUP(Jnl[[#This Row],[Acct]], dict[Key], dict[Name],,0)</f>
        <v>银行</v>
      </c>
      <c r="R772" t="str">
        <f>_xlfn.XLOOKUP(Jnl[[#This Row],[Vehicle]],config_vehicle[Id], config_vehicle[Name],,0)</f>
        <v>郑术燕</v>
      </c>
      <c r="S772" t="str">
        <f>_xlfn.XLOOKUP(Jnl[[#This Row],[Division]],config_div[Id], config_div[Name],,0)</f>
        <v>明月村</v>
      </c>
      <c r="T772" t="str">
        <f>IF(Jnl[[#This Row],[TrxDate]]&lt;=stmt_BS_date_end, "In", "Out")</f>
        <v>In</v>
      </c>
      <c r="U772" t="str">
        <f>IF(Jnl[[#This Row],[TrxDate]]&lt;debug_date_start, "prior", IF(Jnl[[#This Row],[TrxDate]]&gt;debug_date_end, "post", "curr"))</f>
        <v>curr</v>
      </c>
    </row>
    <row r="773" spans="1:21" hidden="1">
      <c r="A773" s="39" t="s">
        <v>1217</v>
      </c>
      <c r="B773" s="6">
        <f>_xlfn.XLOOKUP(Jnl[[#This Row],[TrxId]], Trx[Id], Trx[Date],,0)</f>
        <v>46053</v>
      </c>
      <c r="C773" s="6" t="str">
        <f>_xlfn.XLOOKUP(Jnl[[#This Row],[TrxId]], Trx[Id], Trx[Division],,0)</f>
        <v>GM</v>
      </c>
      <c r="D773" s="6" t="str">
        <f>_xlfn.XLOOKUP(Jnl[[#This Row],[TrxId]], Trx[Id], Trx[Action],,0)</f>
        <v>公共设施</v>
      </c>
      <c r="E773" s="27" t="s">
        <v>90</v>
      </c>
      <c r="F773" s="10" t="s">
        <v>596</v>
      </c>
      <c r="G773" s="10" t="s">
        <v>1193</v>
      </c>
      <c r="H773" s="37">
        <v>-11000</v>
      </c>
      <c r="I773" s="38" t="b">
        <f>AND(Jnl[[#This Row],[TrxId]]&lt;&gt;"",Jnl[[#This Row],[Acct]]&lt;&gt;"",Jnl[[#This Row],[Item]]&lt;&gt;"",ISNUMBER(Jnl[[#This Row],[Bal]]))</f>
        <v>1</v>
      </c>
      <c r="J773" s="9">
        <f>IF(Jnl[[#This Row],[BSLv0]]="A",1,-1)*Jnl[[#This Row],[Bal]]</f>
        <v>-11000</v>
      </c>
      <c r="K773" t="str">
        <f>_xlfn.XLOOKUP(Jnl[[#This Row],[Acct]], config_BS[Acct], config_BS[Lv0],,0)</f>
        <v>A</v>
      </c>
      <c r="L773" t="str">
        <f>_xlfn.XLOOKUP(Jnl[[#This Row],[Acct]], config_BS[Acct], config_BS[Lv1],,0)</f>
        <v>Assets</v>
      </c>
      <c r="M773" t="str">
        <f>_xlfn.XLOOKUP(Jnl[[#This Row],[Acct]], config_BS[Acct], config_BS[Lv2],,0)</f>
        <v>Cash alike</v>
      </c>
      <c r="N773" t="str">
        <f>_xlfn.XLOOKUP(Jnl[[#This Row],[TrxId]], Trx[Id], Trx[IncNode], ,0)</f>
        <v>Expense</v>
      </c>
      <c r="O773" t="str">
        <f>_xlfn.XLOOKUP(Jnl[[#This Row],[IncNode]], config_IS[Node], config_IS[Type],,0)</f>
        <v>Op</v>
      </c>
      <c r="P773" t="str">
        <f>_xlfn.XLOOKUP(Jnl[[#This Row],[BSLv2]], dict[Key], dict[Name],,0)</f>
        <v>0.现金及类似</v>
      </c>
      <c r="Q773" t="str">
        <f>_xlfn.XLOOKUP(Jnl[[#This Row],[Acct]], dict[Key], dict[Name],,0)</f>
        <v>银行</v>
      </c>
      <c r="R773" t="str">
        <f>_xlfn.XLOOKUP(Jnl[[#This Row],[Vehicle]],config_vehicle[Id], config_vehicle[Name],,0)</f>
        <v>郑术燕</v>
      </c>
      <c r="S773" t="str">
        <f>_xlfn.XLOOKUP(Jnl[[#This Row],[Division]],config_div[Id], config_div[Name],,0)</f>
        <v>综合管理</v>
      </c>
      <c r="T773" t="str">
        <f>IF(Jnl[[#This Row],[TrxDate]]&lt;=stmt_BS_date_end, "In", "Out")</f>
        <v>In</v>
      </c>
      <c r="U773" t="str">
        <f>IF(Jnl[[#This Row],[TrxDate]]&lt;debug_date_start, "prior", IF(Jnl[[#This Row],[TrxDate]]&gt;debug_date_end, "post", "curr"))</f>
        <v>curr</v>
      </c>
    </row>
    <row r="774" spans="1:21" hidden="1">
      <c r="A774" s="39" t="s">
        <v>1218</v>
      </c>
      <c r="B774" s="6">
        <f>_xlfn.XLOOKUP(Jnl[[#This Row],[TrxId]], Trx[Id], Trx[Date],,0)</f>
        <v>46053</v>
      </c>
      <c r="C774" s="6" t="str">
        <f>_xlfn.XLOOKUP(Jnl[[#This Row],[TrxId]], Trx[Id], Trx[Division],,0)</f>
        <v>MY</v>
      </c>
      <c r="D774" s="6" t="str">
        <f>_xlfn.XLOOKUP(Jnl[[#This Row],[TrxId]], Trx[Id], Trx[Action],,0)</f>
        <v>食材</v>
      </c>
      <c r="E774" s="27" t="s">
        <v>90</v>
      </c>
      <c r="F774" s="10" t="s">
        <v>596</v>
      </c>
      <c r="G774" s="10" t="s">
        <v>1193</v>
      </c>
      <c r="H774" s="37">
        <v>-885.77</v>
      </c>
      <c r="I774" s="38" t="b">
        <f>AND(Jnl[[#This Row],[TrxId]]&lt;&gt;"",Jnl[[#This Row],[Acct]]&lt;&gt;"",Jnl[[#This Row],[Item]]&lt;&gt;"",ISNUMBER(Jnl[[#This Row],[Bal]]))</f>
        <v>1</v>
      </c>
      <c r="J774" s="9">
        <f>IF(Jnl[[#This Row],[BSLv0]]="A",1,-1)*Jnl[[#This Row],[Bal]]</f>
        <v>-885.77</v>
      </c>
      <c r="K774" t="str">
        <f>_xlfn.XLOOKUP(Jnl[[#This Row],[Acct]], config_BS[Acct], config_BS[Lv0],,0)</f>
        <v>A</v>
      </c>
      <c r="L774" t="str">
        <f>_xlfn.XLOOKUP(Jnl[[#This Row],[Acct]], config_BS[Acct], config_BS[Lv1],,0)</f>
        <v>Assets</v>
      </c>
      <c r="M774" t="str">
        <f>_xlfn.XLOOKUP(Jnl[[#This Row],[Acct]], config_BS[Acct], config_BS[Lv2],,0)</f>
        <v>Cash alike</v>
      </c>
      <c r="N774" t="str">
        <f>_xlfn.XLOOKUP(Jnl[[#This Row],[TrxId]], Trx[Id], Trx[IncNode], ,0)</f>
        <v>Cost</v>
      </c>
      <c r="O774" t="str">
        <f>_xlfn.XLOOKUP(Jnl[[#This Row],[IncNode]], config_IS[Node], config_IS[Type],,0)</f>
        <v>Op</v>
      </c>
      <c r="P774" t="str">
        <f>_xlfn.XLOOKUP(Jnl[[#This Row],[BSLv2]], dict[Key], dict[Name],,0)</f>
        <v>0.现金及类似</v>
      </c>
      <c r="Q774" t="str">
        <f>_xlfn.XLOOKUP(Jnl[[#This Row],[Acct]], dict[Key], dict[Name],,0)</f>
        <v>银行</v>
      </c>
      <c r="R774" t="str">
        <f>_xlfn.XLOOKUP(Jnl[[#This Row],[Vehicle]],config_vehicle[Id], config_vehicle[Name],,0)</f>
        <v>郑术燕</v>
      </c>
      <c r="S774" t="str">
        <f>_xlfn.XLOOKUP(Jnl[[#This Row],[Division]],config_div[Id], config_div[Name],,0)</f>
        <v>明月村</v>
      </c>
      <c r="T774" t="str">
        <f>IF(Jnl[[#This Row],[TrxDate]]&lt;=stmt_BS_date_end, "In", "Out")</f>
        <v>In</v>
      </c>
      <c r="U774" t="str">
        <f>IF(Jnl[[#This Row],[TrxDate]]&lt;debug_date_start, "prior", IF(Jnl[[#This Row],[TrxDate]]&gt;debug_date_end, "post", "curr"))</f>
        <v>curr</v>
      </c>
    </row>
    <row r="775" spans="1:21" hidden="1">
      <c r="A775" s="39" t="s">
        <v>1219</v>
      </c>
      <c r="B775" s="6">
        <f>_xlfn.XLOOKUP(Jnl[[#This Row],[TrxId]], Trx[Id], Trx[Date],,0)</f>
        <v>46053</v>
      </c>
      <c r="C775" s="6" t="str">
        <f>_xlfn.XLOOKUP(Jnl[[#This Row],[TrxId]], Trx[Id], Trx[Division],,0)</f>
        <v>MY</v>
      </c>
      <c r="D775" s="6" t="str">
        <f>_xlfn.XLOOKUP(Jnl[[#This Row],[TrxId]], Trx[Id], Trx[Action],,0)</f>
        <v>食材</v>
      </c>
      <c r="E775" s="27" t="s">
        <v>90</v>
      </c>
      <c r="F775" s="10" t="s">
        <v>596</v>
      </c>
      <c r="G775" s="10" t="s">
        <v>1193</v>
      </c>
      <c r="H775" s="37">
        <v>-480</v>
      </c>
      <c r="I775" s="38" t="b">
        <f>AND(Jnl[[#This Row],[TrxId]]&lt;&gt;"",Jnl[[#This Row],[Acct]]&lt;&gt;"",Jnl[[#This Row],[Item]]&lt;&gt;"",ISNUMBER(Jnl[[#This Row],[Bal]]))</f>
        <v>1</v>
      </c>
      <c r="J775" s="9">
        <f>IF(Jnl[[#This Row],[BSLv0]]="A",1,-1)*Jnl[[#This Row],[Bal]]</f>
        <v>-480</v>
      </c>
      <c r="K775" t="str">
        <f>_xlfn.XLOOKUP(Jnl[[#This Row],[Acct]], config_BS[Acct], config_BS[Lv0],,0)</f>
        <v>A</v>
      </c>
      <c r="L775" t="str">
        <f>_xlfn.XLOOKUP(Jnl[[#This Row],[Acct]], config_BS[Acct], config_BS[Lv1],,0)</f>
        <v>Assets</v>
      </c>
      <c r="M775" t="str">
        <f>_xlfn.XLOOKUP(Jnl[[#This Row],[Acct]], config_BS[Acct], config_BS[Lv2],,0)</f>
        <v>Cash alike</v>
      </c>
      <c r="N775" t="str">
        <f>_xlfn.XLOOKUP(Jnl[[#This Row],[TrxId]], Trx[Id], Trx[IncNode], ,0)</f>
        <v>Cost</v>
      </c>
      <c r="O775" t="str">
        <f>_xlfn.XLOOKUP(Jnl[[#This Row],[IncNode]], config_IS[Node], config_IS[Type],,0)</f>
        <v>Op</v>
      </c>
      <c r="P775" t="str">
        <f>_xlfn.XLOOKUP(Jnl[[#This Row],[BSLv2]], dict[Key], dict[Name],,0)</f>
        <v>0.现金及类似</v>
      </c>
      <c r="Q775" t="str">
        <f>_xlfn.XLOOKUP(Jnl[[#This Row],[Acct]], dict[Key], dict[Name],,0)</f>
        <v>银行</v>
      </c>
      <c r="R775" t="str">
        <f>_xlfn.XLOOKUP(Jnl[[#This Row],[Vehicle]],config_vehicle[Id], config_vehicle[Name],,0)</f>
        <v>郑术燕</v>
      </c>
      <c r="S775" t="str">
        <f>_xlfn.XLOOKUP(Jnl[[#This Row],[Division]],config_div[Id], config_div[Name],,0)</f>
        <v>明月村</v>
      </c>
      <c r="T775" t="str">
        <f>IF(Jnl[[#This Row],[TrxDate]]&lt;=stmt_BS_date_end, "In", "Out")</f>
        <v>In</v>
      </c>
      <c r="U775" t="str">
        <f>IF(Jnl[[#This Row],[TrxDate]]&lt;debug_date_start, "prior", IF(Jnl[[#This Row],[TrxDate]]&gt;debug_date_end, "post", "curr"))</f>
        <v>curr</v>
      </c>
    </row>
    <row r="776" spans="1:21" hidden="1">
      <c r="A776" s="39" t="s">
        <v>1220</v>
      </c>
      <c r="B776" s="6">
        <f>_xlfn.XLOOKUP(Jnl[[#This Row],[TrxId]], Trx[Id], Trx[Date],,0)</f>
        <v>46053</v>
      </c>
      <c r="C776" s="6" t="str">
        <f>_xlfn.XLOOKUP(Jnl[[#This Row],[TrxId]], Trx[Id], Trx[Division],,0)</f>
        <v>GM</v>
      </c>
      <c r="D776" s="6" t="str">
        <f>_xlfn.XLOOKUP(Jnl[[#This Row],[TrxId]], Trx[Id], Trx[Action],,0)</f>
        <v>办公</v>
      </c>
      <c r="E776" s="27" t="s">
        <v>90</v>
      </c>
      <c r="F776" s="10" t="s">
        <v>596</v>
      </c>
      <c r="G776" s="10" t="s">
        <v>1193</v>
      </c>
      <c r="H776" s="37">
        <v>-1163.4000000000001</v>
      </c>
      <c r="I776" s="38" t="b">
        <f>AND(Jnl[[#This Row],[TrxId]]&lt;&gt;"",Jnl[[#This Row],[Acct]]&lt;&gt;"",Jnl[[#This Row],[Item]]&lt;&gt;"",ISNUMBER(Jnl[[#This Row],[Bal]]))</f>
        <v>1</v>
      </c>
      <c r="J776" s="9">
        <f>IF(Jnl[[#This Row],[BSLv0]]="A",1,-1)*Jnl[[#This Row],[Bal]]</f>
        <v>-1163.4000000000001</v>
      </c>
      <c r="K776" t="str">
        <f>_xlfn.XLOOKUP(Jnl[[#This Row],[Acct]], config_BS[Acct], config_BS[Lv0],,0)</f>
        <v>A</v>
      </c>
      <c r="L776" t="str">
        <f>_xlfn.XLOOKUP(Jnl[[#This Row],[Acct]], config_BS[Acct], config_BS[Lv1],,0)</f>
        <v>Assets</v>
      </c>
      <c r="M776" t="str">
        <f>_xlfn.XLOOKUP(Jnl[[#This Row],[Acct]], config_BS[Acct], config_BS[Lv2],,0)</f>
        <v>Cash alike</v>
      </c>
      <c r="N776" t="str">
        <f>_xlfn.XLOOKUP(Jnl[[#This Row],[TrxId]], Trx[Id], Trx[IncNode], ,0)</f>
        <v>Expense</v>
      </c>
      <c r="O776" t="str">
        <f>_xlfn.XLOOKUP(Jnl[[#This Row],[IncNode]], config_IS[Node], config_IS[Type],,0)</f>
        <v>Op</v>
      </c>
      <c r="P776" t="str">
        <f>_xlfn.XLOOKUP(Jnl[[#This Row],[BSLv2]], dict[Key], dict[Name],,0)</f>
        <v>0.现金及类似</v>
      </c>
      <c r="Q776" t="str">
        <f>_xlfn.XLOOKUP(Jnl[[#This Row],[Acct]], dict[Key], dict[Name],,0)</f>
        <v>银行</v>
      </c>
      <c r="R776" t="str">
        <f>_xlfn.XLOOKUP(Jnl[[#This Row],[Vehicle]],config_vehicle[Id], config_vehicle[Name],,0)</f>
        <v>郑术燕</v>
      </c>
      <c r="S776" t="str">
        <f>_xlfn.XLOOKUP(Jnl[[#This Row],[Division]],config_div[Id], config_div[Name],,0)</f>
        <v>综合管理</v>
      </c>
      <c r="T776" t="str">
        <f>IF(Jnl[[#This Row],[TrxDate]]&lt;=stmt_BS_date_end, "In", "Out")</f>
        <v>In</v>
      </c>
      <c r="U776" t="str">
        <f>IF(Jnl[[#This Row],[TrxDate]]&lt;debug_date_start, "prior", IF(Jnl[[#This Row],[TrxDate]]&gt;debug_date_end, "post", "curr"))</f>
        <v>curr</v>
      </c>
    </row>
    <row r="777" spans="1:21" hidden="1">
      <c r="A777" s="39" t="s">
        <v>1221</v>
      </c>
      <c r="B777" s="6">
        <f>_xlfn.XLOOKUP(Jnl[[#This Row],[TrxId]], Trx[Id], Trx[Date],,0)</f>
        <v>46053</v>
      </c>
      <c r="C777" s="6" t="str">
        <f>_xlfn.XLOOKUP(Jnl[[#This Row],[TrxId]], Trx[Id], Trx[Division],,0)</f>
        <v>Brand</v>
      </c>
      <c r="D777" s="6" t="str">
        <f>_xlfn.XLOOKUP(Jnl[[#This Row],[TrxId]], Trx[Id], Trx[Action],,0)</f>
        <v>设备</v>
      </c>
      <c r="E777" s="27" t="s">
        <v>90</v>
      </c>
      <c r="F777" s="10" t="s">
        <v>596</v>
      </c>
      <c r="G777" s="10" t="s">
        <v>1193</v>
      </c>
      <c r="H777" s="37">
        <v>-7874.41</v>
      </c>
      <c r="I777" s="38" t="b">
        <f>AND(Jnl[[#This Row],[TrxId]]&lt;&gt;"",Jnl[[#This Row],[Acct]]&lt;&gt;"",Jnl[[#This Row],[Item]]&lt;&gt;"",ISNUMBER(Jnl[[#This Row],[Bal]]))</f>
        <v>1</v>
      </c>
      <c r="J777" s="9">
        <f>IF(Jnl[[#This Row],[BSLv0]]="A",1,-1)*Jnl[[#This Row],[Bal]]</f>
        <v>-7874.41</v>
      </c>
      <c r="K777" t="str">
        <f>_xlfn.XLOOKUP(Jnl[[#This Row],[Acct]], config_BS[Acct], config_BS[Lv0],,0)</f>
        <v>A</v>
      </c>
      <c r="L777" t="str">
        <f>_xlfn.XLOOKUP(Jnl[[#This Row],[Acct]], config_BS[Acct], config_BS[Lv1],,0)</f>
        <v>Assets</v>
      </c>
      <c r="M777" t="str">
        <f>_xlfn.XLOOKUP(Jnl[[#This Row],[Acct]], config_BS[Acct], config_BS[Lv2],,0)</f>
        <v>Cash alike</v>
      </c>
      <c r="N777" t="str">
        <f>_xlfn.XLOOKUP(Jnl[[#This Row],[TrxId]], Trx[Id], Trx[IncNode], ,0)</f>
        <v>Expense</v>
      </c>
      <c r="O777" t="str">
        <f>_xlfn.XLOOKUP(Jnl[[#This Row],[IncNode]], config_IS[Node], config_IS[Type],,0)</f>
        <v>Op</v>
      </c>
      <c r="P777" t="str">
        <f>_xlfn.XLOOKUP(Jnl[[#This Row],[BSLv2]], dict[Key], dict[Name],,0)</f>
        <v>0.现金及类似</v>
      </c>
      <c r="Q777" t="str">
        <f>_xlfn.XLOOKUP(Jnl[[#This Row],[Acct]], dict[Key], dict[Name],,0)</f>
        <v>银行</v>
      </c>
      <c r="R777" t="str">
        <f>_xlfn.XLOOKUP(Jnl[[#This Row],[Vehicle]],config_vehicle[Id], config_vehicle[Name],,0)</f>
        <v>郑术燕</v>
      </c>
      <c r="S777" t="str">
        <f>_xlfn.XLOOKUP(Jnl[[#This Row],[Division]],config_div[Id], config_div[Name],,0)</f>
        <v>品牌</v>
      </c>
      <c r="T777" t="str">
        <f>IF(Jnl[[#This Row],[TrxDate]]&lt;=stmt_BS_date_end, "In", "Out")</f>
        <v>In</v>
      </c>
      <c r="U777" t="str">
        <f>IF(Jnl[[#This Row],[TrxDate]]&lt;debug_date_start, "prior", IF(Jnl[[#This Row],[TrxDate]]&gt;debug_date_end, "post", "curr"))</f>
        <v>curr</v>
      </c>
    </row>
    <row r="778" spans="1:21" hidden="1">
      <c r="A778" s="39" t="s">
        <v>1222</v>
      </c>
      <c r="B778" s="6">
        <f>_xlfn.XLOOKUP(Jnl[[#This Row],[TrxId]], Trx[Id], Trx[Date],,0)</f>
        <v>46053</v>
      </c>
      <c r="C778" s="6" t="str">
        <f>_xlfn.XLOOKUP(Jnl[[#This Row],[TrxId]], Trx[Id], Trx[Division],,0)</f>
        <v>MY</v>
      </c>
      <c r="D778" s="6" t="str">
        <f>_xlfn.XLOOKUP(Jnl[[#This Row],[TrxId]], Trx[Id], Trx[Action],,0)</f>
        <v>食材</v>
      </c>
      <c r="E778" s="27" t="s">
        <v>90</v>
      </c>
      <c r="F778" s="10" t="s">
        <v>596</v>
      </c>
      <c r="G778" s="10" t="s">
        <v>1193</v>
      </c>
      <c r="H778" s="37">
        <v>-2851.8</v>
      </c>
      <c r="I778" s="38" t="b">
        <f>AND(Jnl[[#This Row],[TrxId]]&lt;&gt;"",Jnl[[#This Row],[Acct]]&lt;&gt;"",Jnl[[#This Row],[Item]]&lt;&gt;"",ISNUMBER(Jnl[[#This Row],[Bal]]))</f>
        <v>1</v>
      </c>
      <c r="J778" s="9">
        <f>IF(Jnl[[#This Row],[BSLv0]]="A",1,-1)*Jnl[[#This Row],[Bal]]</f>
        <v>-2851.8</v>
      </c>
      <c r="K778" t="str">
        <f>_xlfn.XLOOKUP(Jnl[[#This Row],[Acct]], config_BS[Acct], config_BS[Lv0],,0)</f>
        <v>A</v>
      </c>
      <c r="L778" t="str">
        <f>_xlfn.XLOOKUP(Jnl[[#This Row],[Acct]], config_BS[Acct], config_BS[Lv1],,0)</f>
        <v>Assets</v>
      </c>
      <c r="M778" t="str">
        <f>_xlfn.XLOOKUP(Jnl[[#This Row],[Acct]], config_BS[Acct], config_BS[Lv2],,0)</f>
        <v>Cash alike</v>
      </c>
      <c r="N778" t="str">
        <f>_xlfn.XLOOKUP(Jnl[[#This Row],[TrxId]], Trx[Id], Trx[IncNode], ,0)</f>
        <v>Cost</v>
      </c>
      <c r="O778" t="str">
        <f>_xlfn.XLOOKUP(Jnl[[#This Row],[IncNode]], config_IS[Node], config_IS[Type],,0)</f>
        <v>Op</v>
      </c>
      <c r="P778" t="str">
        <f>_xlfn.XLOOKUP(Jnl[[#This Row],[BSLv2]], dict[Key], dict[Name],,0)</f>
        <v>0.现金及类似</v>
      </c>
      <c r="Q778" t="str">
        <f>_xlfn.XLOOKUP(Jnl[[#This Row],[Acct]], dict[Key], dict[Name],,0)</f>
        <v>银行</v>
      </c>
      <c r="R778" t="str">
        <f>_xlfn.XLOOKUP(Jnl[[#This Row],[Vehicle]],config_vehicle[Id], config_vehicle[Name],,0)</f>
        <v>郑术燕</v>
      </c>
      <c r="S778" t="str">
        <f>_xlfn.XLOOKUP(Jnl[[#This Row],[Division]],config_div[Id], config_div[Name],,0)</f>
        <v>明月村</v>
      </c>
      <c r="T778" t="str">
        <f>IF(Jnl[[#This Row],[TrxDate]]&lt;=stmt_BS_date_end, "In", "Out")</f>
        <v>In</v>
      </c>
      <c r="U778" t="str">
        <f>IF(Jnl[[#This Row],[TrxDate]]&lt;debug_date_start, "prior", IF(Jnl[[#This Row],[TrxDate]]&gt;debug_date_end, "post", "curr"))</f>
        <v>curr</v>
      </c>
    </row>
    <row r="779" spans="1:21" hidden="1">
      <c r="A779" s="39" t="s">
        <v>1223</v>
      </c>
      <c r="B779" s="6">
        <f>_xlfn.XLOOKUP(Jnl[[#This Row],[TrxId]], Trx[Id], Trx[Date],,0)</f>
        <v>46053</v>
      </c>
      <c r="C779" s="6" t="str">
        <f>_xlfn.XLOOKUP(Jnl[[#This Row],[TrxId]], Trx[Id], Trx[Division],,0)</f>
        <v>MY</v>
      </c>
      <c r="D779" s="6" t="str">
        <f>_xlfn.XLOOKUP(Jnl[[#This Row],[TrxId]], Trx[Id], Trx[Action],,0)</f>
        <v>课程</v>
      </c>
      <c r="E779" s="27" t="s">
        <v>90</v>
      </c>
      <c r="F779" s="10" t="s">
        <v>596</v>
      </c>
      <c r="G779" s="10" t="s">
        <v>1193</v>
      </c>
      <c r="H779" s="37">
        <v>-300</v>
      </c>
      <c r="I779" s="38" t="b">
        <f>AND(Jnl[[#This Row],[TrxId]]&lt;&gt;"",Jnl[[#This Row],[Acct]]&lt;&gt;"",Jnl[[#This Row],[Item]]&lt;&gt;"",ISNUMBER(Jnl[[#This Row],[Bal]]))</f>
        <v>1</v>
      </c>
      <c r="J779" s="9">
        <f>IF(Jnl[[#This Row],[BSLv0]]="A",1,-1)*Jnl[[#This Row],[Bal]]</f>
        <v>-300</v>
      </c>
      <c r="K779" t="str">
        <f>_xlfn.XLOOKUP(Jnl[[#This Row],[Acct]], config_BS[Acct], config_BS[Lv0],,0)</f>
        <v>A</v>
      </c>
      <c r="L779" t="str">
        <f>_xlfn.XLOOKUP(Jnl[[#This Row],[Acct]], config_BS[Acct], config_BS[Lv1],,0)</f>
        <v>Assets</v>
      </c>
      <c r="M779" t="str">
        <f>_xlfn.XLOOKUP(Jnl[[#This Row],[Acct]], config_BS[Acct], config_BS[Lv2],,0)</f>
        <v>Cash alike</v>
      </c>
      <c r="N779" t="str">
        <f>_xlfn.XLOOKUP(Jnl[[#This Row],[TrxId]], Trx[Id], Trx[IncNode], ,0)</f>
        <v>Cost</v>
      </c>
      <c r="O779" t="str">
        <f>_xlfn.XLOOKUP(Jnl[[#This Row],[IncNode]], config_IS[Node], config_IS[Type],,0)</f>
        <v>Op</v>
      </c>
      <c r="P779" t="str">
        <f>_xlfn.XLOOKUP(Jnl[[#This Row],[BSLv2]], dict[Key], dict[Name],,0)</f>
        <v>0.现金及类似</v>
      </c>
      <c r="Q779" t="str">
        <f>_xlfn.XLOOKUP(Jnl[[#This Row],[Acct]], dict[Key], dict[Name],,0)</f>
        <v>银行</v>
      </c>
      <c r="R779" t="str">
        <f>_xlfn.XLOOKUP(Jnl[[#This Row],[Vehicle]],config_vehicle[Id], config_vehicle[Name],,0)</f>
        <v>郑术燕</v>
      </c>
      <c r="S779" t="str">
        <f>_xlfn.XLOOKUP(Jnl[[#This Row],[Division]],config_div[Id], config_div[Name],,0)</f>
        <v>明月村</v>
      </c>
      <c r="T779" t="str">
        <f>IF(Jnl[[#This Row],[TrxDate]]&lt;=stmt_BS_date_end, "In", "Out")</f>
        <v>In</v>
      </c>
      <c r="U779" t="str">
        <f>IF(Jnl[[#This Row],[TrxDate]]&lt;debug_date_start, "prior", IF(Jnl[[#This Row],[TrxDate]]&gt;debug_date_end, "post", "curr"))</f>
        <v>curr</v>
      </c>
    </row>
    <row r="780" spans="1:21" hidden="1">
      <c r="A780" s="39" t="s">
        <v>1224</v>
      </c>
      <c r="B780" s="6">
        <f>_xlfn.XLOOKUP(Jnl[[#This Row],[TrxId]], Trx[Id], Trx[Date],,0)</f>
        <v>46053</v>
      </c>
      <c r="C780" s="6" t="str">
        <f>_xlfn.XLOOKUP(Jnl[[#This Row],[TrxId]], Trx[Id], Trx[Division],,0)</f>
        <v>MY</v>
      </c>
      <c r="D780" s="6" t="str">
        <f>_xlfn.XLOOKUP(Jnl[[#This Row],[TrxId]], Trx[Id], Trx[Action],,0)</f>
        <v>退款-供应商</v>
      </c>
      <c r="E780" s="27" t="s">
        <v>90</v>
      </c>
      <c r="F780" s="10" t="s">
        <v>596</v>
      </c>
      <c r="G780" s="10" t="s">
        <v>1193</v>
      </c>
      <c r="H780" s="37">
        <v>53</v>
      </c>
      <c r="I780" s="38" t="b">
        <f>AND(Jnl[[#This Row],[TrxId]]&lt;&gt;"",Jnl[[#This Row],[Acct]]&lt;&gt;"",Jnl[[#This Row],[Item]]&lt;&gt;"",ISNUMBER(Jnl[[#This Row],[Bal]]))</f>
        <v>1</v>
      </c>
      <c r="J780" s="9">
        <f>IF(Jnl[[#This Row],[BSLv0]]="A",1,-1)*Jnl[[#This Row],[Bal]]</f>
        <v>53</v>
      </c>
      <c r="K780" t="str">
        <f>_xlfn.XLOOKUP(Jnl[[#This Row],[Acct]], config_BS[Acct], config_BS[Lv0],,0)</f>
        <v>A</v>
      </c>
      <c r="L780" t="str">
        <f>_xlfn.XLOOKUP(Jnl[[#This Row],[Acct]], config_BS[Acct], config_BS[Lv1],,0)</f>
        <v>Assets</v>
      </c>
      <c r="M780" t="str">
        <f>_xlfn.XLOOKUP(Jnl[[#This Row],[Acct]], config_BS[Acct], config_BS[Lv2],,0)</f>
        <v>Cash alike</v>
      </c>
      <c r="N780" t="str">
        <f>_xlfn.XLOOKUP(Jnl[[#This Row],[TrxId]], Trx[Id], Trx[IncNode], ,0)</f>
        <v>Cost</v>
      </c>
      <c r="O780" t="str">
        <f>_xlfn.XLOOKUP(Jnl[[#This Row],[IncNode]], config_IS[Node], config_IS[Type],,0)</f>
        <v>Op</v>
      </c>
      <c r="P780" t="str">
        <f>_xlfn.XLOOKUP(Jnl[[#This Row],[BSLv2]], dict[Key], dict[Name],,0)</f>
        <v>0.现金及类似</v>
      </c>
      <c r="Q780" t="str">
        <f>_xlfn.XLOOKUP(Jnl[[#This Row],[Acct]], dict[Key], dict[Name],,0)</f>
        <v>银行</v>
      </c>
      <c r="R780" t="str">
        <f>_xlfn.XLOOKUP(Jnl[[#This Row],[Vehicle]],config_vehicle[Id], config_vehicle[Name],,0)</f>
        <v>郑术燕</v>
      </c>
      <c r="S780" t="str">
        <f>_xlfn.XLOOKUP(Jnl[[#This Row],[Division]],config_div[Id], config_div[Name],,0)</f>
        <v>明月村</v>
      </c>
      <c r="T780" t="str">
        <f>IF(Jnl[[#This Row],[TrxDate]]&lt;=stmt_BS_date_end, "In", "Out")</f>
        <v>In</v>
      </c>
      <c r="U780" t="str">
        <f>IF(Jnl[[#This Row],[TrxDate]]&lt;debug_date_start, "prior", IF(Jnl[[#This Row],[TrxDate]]&gt;debug_date_end, "post", "curr"))</f>
        <v>curr</v>
      </c>
    </row>
    <row r="781" spans="1:21" hidden="1">
      <c r="A781" s="39" t="s">
        <v>1225</v>
      </c>
      <c r="B781" s="6">
        <f>_xlfn.XLOOKUP(Jnl[[#This Row],[TrxId]], Trx[Id], Trx[Date],,0)</f>
        <v>46053</v>
      </c>
      <c r="C781" s="6" t="str">
        <f>_xlfn.XLOOKUP(Jnl[[#This Row],[TrxId]], Trx[Id], Trx[Division],,0)</f>
        <v>GM</v>
      </c>
      <c r="D781" s="6" t="str">
        <f>_xlfn.XLOOKUP(Jnl[[#This Row],[TrxId]], Trx[Id], Trx[Action],,0)</f>
        <v>办公</v>
      </c>
      <c r="E781" s="27" t="s">
        <v>90</v>
      </c>
      <c r="F781" s="10" t="s">
        <v>596</v>
      </c>
      <c r="G781" s="10" t="s">
        <v>1193</v>
      </c>
      <c r="H781" s="37">
        <v>-283.74</v>
      </c>
      <c r="I781" s="38" t="b">
        <f>AND(Jnl[[#This Row],[TrxId]]&lt;&gt;"",Jnl[[#This Row],[Acct]]&lt;&gt;"",Jnl[[#This Row],[Item]]&lt;&gt;"",ISNUMBER(Jnl[[#This Row],[Bal]]))</f>
        <v>1</v>
      </c>
      <c r="J781" s="9">
        <f>IF(Jnl[[#This Row],[BSLv0]]="A",1,-1)*Jnl[[#This Row],[Bal]]</f>
        <v>-283.74</v>
      </c>
      <c r="K781" t="str">
        <f>_xlfn.XLOOKUP(Jnl[[#This Row],[Acct]], config_BS[Acct], config_BS[Lv0],,0)</f>
        <v>A</v>
      </c>
      <c r="L781" t="str">
        <f>_xlfn.XLOOKUP(Jnl[[#This Row],[Acct]], config_BS[Acct], config_BS[Lv1],,0)</f>
        <v>Assets</v>
      </c>
      <c r="M781" t="str">
        <f>_xlfn.XLOOKUP(Jnl[[#This Row],[Acct]], config_BS[Acct], config_BS[Lv2],,0)</f>
        <v>Cash alike</v>
      </c>
      <c r="N781" t="str">
        <f>_xlfn.XLOOKUP(Jnl[[#This Row],[TrxId]], Trx[Id], Trx[IncNode], ,0)</f>
        <v>Expense</v>
      </c>
      <c r="O781" t="str">
        <f>_xlfn.XLOOKUP(Jnl[[#This Row],[IncNode]], config_IS[Node], config_IS[Type],,0)</f>
        <v>Op</v>
      </c>
      <c r="P781" t="str">
        <f>_xlfn.XLOOKUP(Jnl[[#This Row],[BSLv2]], dict[Key], dict[Name],,0)</f>
        <v>0.现金及类似</v>
      </c>
      <c r="Q781" t="str">
        <f>_xlfn.XLOOKUP(Jnl[[#This Row],[Acct]], dict[Key], dict[Name],,0)</f>
        <v>银行</v>
      </c>
      <c r="R781" t="str">
        <f>_xlfn.XLOOKUP(Jnl[[#This Row],[Vehicle]],config_vehicle[Id], config_vehicle[Name],,0)</f>
        <v>郑术燕</v>
      </c>
      <c r="S781" t="str">
        <f>_xlfn.XLOOKUP(Jnl[[#This Row],[Division]],config_div[Id], config_div[Name],,0)</f>
        <v>综合管理</v>
      </c>
      <c r="T781" t="str">
        <f>IF(Jnl[[#This Row],[TrxDate]]&lt;=stmt_BS_date_end, "In", "Out")</f>
        <v>In</v>
      </c>
      <c r="U781" t="str">
        <f>IF(Jnl[[#This Row],[TrxDate]]&lt;debug_date_start, "prior", IF(Jnl[[#This Row],[TrxDate]]&gt;debug_date_end, "post", "curr"))</f>
        <v>curr</v>
      </c>
    </row>
    <row r="782" spans="1:21" hidden="1">
      <c r="A782" s="39" t="s">
        <v>1226</v>
      </c>
      <c r="B782" s="6">
        <f>_xlfn.XLOOKUP(Jnl[[#This Row],[TrxId]], Trx[Id], Trx[Date],,0)</f>
        <v>46053</v>
      </c>
      <c r="C782" s="6" t="str">
        <f>_xlfn.XLOOKUP(Jnl[[#This Row],[TrxId]], Trx[Id], Trx[Division],,0)</f>
        <v>MY</v>
      </c>
      <c r="D782" s="6" t="str">
        <f>_xlfn.XLOOKUP(Jnl[[#This Row],[TrxId]], Trx[Id], Trx[Action],,0)</f>
        <v>退款-供应商</v>
      </c>
      <c r="E782" s="27" t="s">
        <v>90</v>
      </c>
      <c r="F782" s="10" t="s">
        <v>596</v>
      </c>
      <c r="G782" s="10" t="s">
        <v>1193</v>
      </c>
      <c r="H782" s="37">
        <v>46.8</v>
      </c>
      <c r="I782" s="38" t="b">
        <f>AND(Jnl[[#This Row],[TrxId]]&lt;&gt;"",Jnl[[#This Row],[Acct]]&lt;&gt;"",Jnl[[#This Row],[Item]]&lt;&gt;"",ISNUMBER(Jnl[[#This Row],[Bal]]))</f>
        <v>1</v>
      </c>
      <c r="J782" s="9">
        <f>IF(Jnl[[#This Row],[BSLv0]]="A",1,-1)*Jnl[[#This Row],[Bal]]</f>
        <v>46.8</v>
      </c>
      <c r="K782" t="str">
        <f>_xlfn.XLOOKUP(Jnl[[#This Row],[Acct]], config_BS[Acct], config_BS[Lv0],,0)</f>
        <v>A</v>
      </c>
      <c r="L782" t="str">
        <f>_xlfn.XLOOKUP(Jnl[[#This Row],[Acct]], config_BS[Acct], config_BS[Lv1],,0)</f>
        <v>Assets</v>
      </c>
      <c r="M782" t="str">
        <f>_xlfn.XLOOKUP(Jnl[[#This Row],[Acct]], config_BS[Acct], config_BS[Lv2],,0)</f>
        <v>Cash alike</v>
      </c>
      <c r="N782" t="str">
        <f>_xlfn.XLOOKUP(Jnl[[#This Row],[TrxId]], Trx[Id], Trx[IncNode], ,0)</f>
        <v>Cost</v>
      </c>
      <c r="O782" t="str">
        <f>_xlfn.XLOOKUP(Jnl[[#This Row],[IncNode]], config_IS[Node], config_IS[Type],,0)</f>
        <v>Op</v>
      </c>
      <c r="P782" t="str">
        <f>_xlfn.XLOOKUP(Jnl[[#This Row],[BSLv2]], dict[Key], dict[Name],,0)</f>
        <v>0.现金及类似</v>
      </c>
      <c r="Q782" t="str">
        <f>_xlfn.XLOOKUP(Jnl[[#This Row],[Acct]], dict[Key], dict[Name],,0)</f>
        <v>银行</v>
      </c>
      <c r="R782" t="str">
        <f>_xlfn.XLOOKUP(Jnl[[#This Row],[Vehicle]],config_vehicle[Id], config_vehicle[Name],,0)</f>
        <v>郑术燕</v>
      </c>
      <c r="S782" t="str">
        <f>_xlfn.XLOOKUP(Jnl[[#This Row],[Division]],config_div[Id], config_div[Name],,0)</f>
        <v>明月村</v>
      </c>
      <c r="T782" t="str">
        <f>IF(Jnl[[#This Row],[TrxDate]]&lt;=stmt_BS_date_end, "In", "Out")</f>
        <v>In</v>
      </c>
      <c r="U782" t="str">
        <f>IF(Jnl[[#This Row],[TrxDate]]&lt;debug_date_start, "prior", IF(Jnl[[#This Row],[TrxDate]]&gt;debug_date_end, "post", "curr"))</f>
        <v>curr</v>
      </c>
    </row>
    <row r="783" spans="1:21" hidden="1">
      <c r="A783" s="39" t="s">
        <v>1227</v>
      </c>
      <c r="B783" s="6">
        <f>_xlfn.XLOOKUP(Jnl[[#This Row],[TrxId]], Trx[Id], Trx[Date],,0)</f>
        <v>46053</v>
      </c>
      <c r="C783" s="6" t="str">
        <f>_xlfn.XLOOKUP(Jnl[[#This Row],[TrxId]], Trx[Id], Trx[Division],,0)</f>
        <v>MY</v>
      </c>
      <c r="D783" s="6" t="str">
        <f>_xlfn.XLOOKUP(Jnl[[#This Row],[TrxId]], Trx[Id], Trx[Action],,0)</f>
        <v>其他材料</v>
      </c>
      <c r="E783" s="27" t="s">
        <v>90</v>
      </c>
      <c r="F783" s="10" t="s">
        <v>596</v>
      </c>
      <c r="G783" s="10" t="s">
        <v>1193</v>
      </c>
      <c r="H783" s="37">
        <v>-75.900000000000006</v>
      </c>
      <c r="I783" s="38" t="b">
        <f>AND(Jnl[[#This Row],[TrxId]]&lt;&gt;"",Jnl[[#This Row],[Acct]]&lt;&gt;"",Jnl[[#This Row],[Item]]&lt;&gt;"",ISNUMBER(Jnl[[#This Row],[Bal]]))</f>
        <v>1</v>
      </c>
      <c r="J783" s="9">
        <f>IF(Jnl[[#This Row],[BSLv0]]="A",1,-1)*Jnl[[#This Row],[Bal]]</f>
        <v>-75.900000000000006</v>
      </c>
      <c r="K783" t="str">
        <f>_xlfn.XLOOKUP(Jnl[[#This Row],[Acct]], config_BS[Acct], config_BS[Lv0],,0)</f>
        <v>A</v>
      </c>
      <c r="L783" t="str">
        <f>_xlfn.XLOOKUP(Jnl[[#This Row],[Acct]], config_BS[Acct], config_BS[Lv1],,0)</f>
        <v>Assets</v>
      </c>
      <c r="M783" t="str">
        <f>_xlfn.XLOOKUP(Jnl[[#This Row],[Acct]], config_BS[Acct], config_BS[Lv2],,0)</f>
        <v>Cash alike</v>
      </c>
      <c r="N783" t="str">
        <f>_xlfn.XLOOKUP(Jnl[[#This Row],[TrxId]], Trx[Id], Trx[IncNode], ,0)</f>
        <v>Expense</v>
      </c>
      <c r="O783" t="str">
        <f>_xlfn.XLOOKUP(Jnl[[#This Row],[IncNode]], config_IS[Node], config_IS[Type],,0)</f>
        <v>Op</v>
      </c>
      <c r="P783" t="str">
        <f>_xlfn.XLOOKUP(Jnl[[#This Row],[BSLv2]], dict[Key], dict[Name],,0)</f>
        <v>0.现金及类似</v>
      </c>
      <c r="Q783" t="str">
        <f>_xlfn.XLOOKUP(Jnl[[#This Row],[Acct]], dict[Key], dict[Name],,0)</f>
        <v>银行</v>
      </c>
      <c r="R783" t="str">
        <f>_xlfn.XLOOKUP(Jnl[[#This Row],[Vehicle]],config_vehicle[Id], config_vehicle[Name],,0)</f>
        <v>郑术燕</v>
      </c>
      <c r="S783" t="str">
        <f>_xlfn.XLOOKUP(Jnl[[#This Row],[Division]],config_div[Id], config_div[Name],,0)</f>
        <v>明月村</v>
      </c>
      <c r="T783" t="str">
        <f>IF(Jnl[[#This Row],[TrxDate]]&lt;=stmt_BS_date_end, "In", "Out")</f>
        <v>In</v>
      </c>
      <c r="U783" t="str">
        <f>IF(Jnl[[#This Row],[TrxDate]]&lt;debug_date_start, "prior", IF(Jnl[[#This Row],[TrxDate]]&gt;debug_date_end, "post", "curr"))</f>
        <v>curr</v>
      </c>
    </row>
    <row r="784" spans="1:21" hidden="1">
      <c r="A784" s="39" t="s">
        <v>1228</v>
      </c>
      <c r="B784" s="6">
        <f>_xlfn.XLOOKUP(Jnl[[#This Row],[TrxId]], Trx[Id], Trx[Date],,0)</f>
        <v>46053</v>
      </c>
      <c r="C784" s="6" t="str">
        <f>_xlfn.XLOOKUP(Jnl[[#This Row],[TrxId]], Trx[Id], Trx[Division],,0)</f>
        <v>MY</v>
      </c>
      <c r="D784" s="6" t="str">
        <f>_xlfn.XLOOKUP(Jnl[[#This Row],[TrxId]], Trx[Id], Trx[Action],,0)</f>
        <v>退款-客人</v>
      </c>
      <c r="E784" s="27" t="s">
        <v>89</v>
      </c>
      <c r="F784" s="10" t="s">
        <v>596</v>
      </c>
      <c r="G784" s="10" t="s">
        <v>909</v>
      </c>
      <c r="H784" s="37">
        <v>-1413</v>
      </c>
      <c r="I784" s="38" t="b">
        <f>AND(Jnl[[#This Row],[TrxId]]&lt;&gt;"",Jnl[[#This Row],[Acct]]&lt;&gt;"",Jnl[[#This Row],[Item]]&lt;&gt;"",ISNUMBER(Jnl[[#This Row],[Bal]]))</f>
        <v>1</v>
      </c>
      <c r="J784" s="9">
        <f>IF(Jnl[[#This Row],[BSLv0]]="A",1,-1)*Jnl[[#This Row],[Bal]]</f>
        <v>-1413</v>
      </c>
      <c r="K784" t="str">
        <f>_xlfn.XLOOKUP(Jnl[[#This Row],[Acct]], config_BS[Acct], config_BS[Lv0],,0)</f>
        <v>A</v>
      </c>
      <c r="L784" t="str">
        <f>_xlfn.XLOOKUP(Jnl[[#This Row],[Acct]], config_BS[Acct], config_BS[Lv1],,0)</f>
        <v>Assets</v>
      </c>
      <c r="M784" t="str">
        <f>_xlfn.XLOOKUP(Jnl[[#This Row],[Acct]], config_BS[Acct], config_BS[Lv2],,0)</f>
        <v>Cash alike</v>
      </c>
      <c r="N784" t="str">
        <f>_xlfn.XLOOKUP(Jnl[[#This Row],[TrxId]], Trx[Id], Trx[IncNode], ,0)</f>
        <v>Revenue</v>
      </c>
      <c r="O784" t="str">
        <f>_xlfn.XLOOKUP(Jnl[[#This Row],[IncNode]], config_IS[Node], config_IS[Type],,0)</f>
        <v>Op</v>
      </c>
      <c r="P784" t="str">
        <f>_xlfn.XLOOKUP(Jnl[[#This Row],[BSLv2]], dict[Key], dict[Name],,0)</f>
        <v>0.现金及类似</v>
      </c>
      <c r="Q784" t="str">
        <f>_xlfn.XLOOKUP(Jnl[[#This Row],[Acct]], dict[Key], dict[Name],,0)</f>
        <v>银行</v>
      </c>
      <c r="R784" t="str">
        <f>_xlfn.XLOOKUP(Jnl[[#This Row],[Vehicle]],config_vehicle[Id], config_vehicle[Name],,0)</f>
        <v>小月号</v>
      </c>
      <c r="S784" t="str">
        <f>_xlfn.XLOOKUP(Jnl[[#This Row],[Division]],config_div[Id], config_div[Name],,0)</f>
        <v>明月村</v>
      </c>
      <c r="T784" t="str">
        <f>IF(Jnl[[#This Row],[TrxDate]]&lt;=stmt_BS_date_end, "In", "Out")</f>
        <v>In</v>
      </c>
      <c r="U784" t="str">
        <f>IF(Jnl[[#This Row],[TrxDate]]&lt;debug_date_start, "prior", IF(Jnl[[#This Row],[TrxDate]]&gt;debug_date_end, "post", "curr"))</f>
        <v>curr</v>
      </c>
    </row>
    <row r="785" spans="1:21" hidden="1">
      <c r="A785" s="39" t="s">
        <v>1228</v>
      </c>
      <c r="B785" s="6">
        <f>_xlfn.XLOOKUP(Jnl[[#This Row],[TrxId]], Trx[Id], Trx[Date],,0)</f>
        <v>46053</v>
      </c>
      <c r="C785" s="6" t="str">
        <f>_xlfn.XLOOKUP(Jnl[[#This Row],[TrxId]], Trx[Id], Trx[Division],,0)</f>
        <v>MY</v>
      </c>
      <c r="D785" s="6" t="str">
        <f>_xlfn.XLOOKUP(Jnl[[#This Row],[TrxId]], Trx[Id], Trx[Action],,0)</f>
        <v>退款-客人</v>
      </c>
      <c r="E785" s="27" t="s">
        <v>85</v>
      </c>
      <c r="F785" s="10" t="s">
        <v>599</v>
      </c>
      <c r="G785" s="10" t="s">
        <v>949</v>
      </c>
      <c r="H785" s="37">
        <f>-H784</f>
        <v>1413</v>
      </c>
      <c r="I785" s="38" t="b">
        <f>AND(Jnl[[#This Row],[TrxId]]&lt;&gt;"",Jnl[[#This Row],[Acct]]&lt;&gt;"",Jnl[[#This Row],[Item]]&lt;&gt;"",ISNUMBER(Jnl[[#This Row],[Bal]]))</f>
        <v>1</v>
      </c>
      <c r="J785" s="9">
        <f>IF(Jnl[[#This Row],[BSLv0]]="A",1,-1)*Jnl[[#This Row],[Bal]]</f>
        <v>1413</v>
      </c>
      <c r="K785" t="str">
        <f>_xlfn.XLOOKUP(Jnl[[#This Row],[Acct]], config_BS[Acct], config_BS[Lv0],,0)</f>
        <v>A</v>
      </c>
      <c r="L785" t="str">
        <f>_xlfn.XLOOKUP(Jnl[[#This Row],[Acct]], config_BS[Acct], config_BS[Lv1],,0)</f>
        <v>Assets</v>
      </c>
      <c r="M785" t="str">
        <f>_xlfn.XLOOKUP(Jnl[[#This Row],[Acct]], config_BS[Acct], config_BS[Lv2],,0)</f>
        <v>Rec-Pay</v>
      </c>
      <c r="N785" t="str">
        <f>_xlfn.XLOOKUP(Jnl[[#This Row],[TrxId]], Trx[Id], Trx[IncNode], ,0)</f>
        <v>Revenue</v>
      </c>
      <c r="O785" t="str">
        <f>_xlfn.XLOOKUP(Jnl[[#This Row],[IncNode]], config_IS[Node], config_IS[Type],,0)</f>
        <v>Op</v>
      </c>
      <c r="P785" t="str">
        <f>_xlfn.XLOOKUP(Jnl[[#This Row],[BSLv2]], dict[Key], dict[Name],,0)</f>
        <v>1.应收-应付</v>
      </c>
      <c r="Q785" t="str">
        <f>_xlfn.XLOOKUP(Jnl[[#This Row],[Acct]], dict[Key], dict[Name],,0)</f>
        <v>应收-一般</v>
      </c>
      <c r="R785" t="str">
        <f>_xlfn.XLOOKUP(Jnl[[#This Row],[Vehicle]],config_vehicle[Id], config_vehicle[Name],,0)</f>
        <v>远家文化</v>
      </c>
      <c r="S785" t="str">
        <f>_xlfn.XLOOKUP(Jnl[[#This Row],[Division]],config_div[Id], config_div[Name],,0)</f>
        <v>明月村</v>
      </c>
      <c r="T785" t="str">
        <f>IF(Jnl[[#This Row],[TrxDate]]&lt;=stmt_BS_date_end, "In", "Out")</f>
        <v>In</v>
      </c>
      <c r="U785" t="str">
        <f>IF(Jnl[[#This Row],[TrxDate]]&lt;debug_date_start, "prior", IF(Jnl[[#This Row],[TrxDate]]&gt;debug_date_end, "post", "curr"))</f>
        <v>curr</v>
      </c>
    </row>
    <row r="786" spans="1:21" hidden="1">
      <c r="A786" s="39" t="s">
        <v>1229</v>
      </c>
      <c r="B786" s="6">
        <f>_xlfn.XLOOKUP(Jnl[[#This Row],[TrxId]], Trx[Id], Trx[Date],,0)</f>
        <v>46053</v>
      </c>
      <c r="C786" s="6" t="str">
        <f>_xlfn.XLOOKUP(Jnl[[#This Row],[TrxId]], Trx[Id], Trx[Division],,0)</f>
        <v>MY</v>
      </c>
      <c r="D786" s="6" t="str">
        <f>_xlfn.XLOOKUP(Jnl[[#This Row],[TrxId]], Trx[Id], Trx[Action],,0)</f>
        <v>其他销售</v>
      </c>
      <c r="E786" s="27" t="s">
        <v>89</v>
      </c>
      <c r="F786" s="10" t="s">
        <v>596</v>
      </c>
      <c r="G786" s="10" t="s">
        <v>909</v>
      </c>
      <c r="H786" s="37">
        <v>500</v>
      </c>
      <c r="I786" s="38" t="b">
        <f>AND(Jnl[[#This Row],[TrxId]]&lt;&gt;"",Jnl[[#This Row],[Acct]]&lt;&gt;"",Jnl[[#This Row],[Item]]&lt;&gt;"",ISNUMBER(Jnl[[#This Row],[Bal]]))</f>
        <v>1</v>
      </c>
      <c r="J786" s="9">
        <f>IF(Jnl[[#This Row],[BSLv0]]="A",1,-1)*Jnl[[#This Row],[Bal]]</f>
        <v>500</v>
      </c>
      <c r="K786" t="str">
        <f>_xlfn.XLOOKUP(Jnl[[#This Row],[Acct]], config_BS[Acct], config_BS[Lv0],,0)</f>
        <v>A</v>
      </c>
      <c r="L786" t="str">
        <f>_xlfn.XLOOKUP(Jnl[[#This Row],[Acct]], config_BS[Acct], config_BS[Lv1],,0)</f>
        <v>Assets</v>
      </c>
      <c r="M786" t="str">
        <f>_xlfn.XLOOKUP(Jnl[[#This Row],[Acct]], config_BS[Acct], config_BS[Lv2],,0)</f>
        <v>Cash alike</v>
      </c>
      <c r="N786" t="str">
        <f>_xlfn.XLOOKUP(Jnl[[#This Row],[TrxId]], Trx[Id], Trx[IncNode], ,0)</f>
        <v>Revenue</v>
      </c>
      <c r="O786" t="str">
        <f>_xlfn.XLOOKUP(Jnl[[#This Row],[IncNode]], config_IS[Node], config_IS[Type],,0)</f>
        <v>Op</v>
      </c>
      <c r="P786" t="str">
        <f>_xlfn.XLOOKUP(Jnl[[#This Row],[BSLv2]], dict[Key], dict[Name],,0)</f>
        <v>0.现金及类似</v>
      </c>
      <c r="Q786" t="str">
        <f>_xlfn.XLOOKUP(Jnl[[#This Row],[Acct]], dict[Key], dict[Name],,0)</f>
        <v>银行</v>
      </c>
      <c r="R786" t="str">
        <f>_xlfn.XLOOKUP(Jnl[[#This Row],[Vehicle]],config_vehicle[Id], config_vehicle[Name],,0)</f>
        <v>小月号</v>
      </c>
      <c r="S786" t="str">
        <f>_xlfn.XLOOKUP(Jnl[[#This Row],[Division]],config_div[Id], config_div[Name],,0)</f>
        <v>明月村</v>
      </c>
      <c r="T786" t="str">
        <f>IF(Jnl[[#This Row],[TrxDate]]&lt;=stmt_BS_date_end, "In", "Out")</f>
        <v>In</v>
      </c>
      <c r="U786" t="str">
        <f>IF(Jnl[[#This Row],[TrxDate]]&lt;debug_date_start, "prior", IF(Jnl[[#This Row],[TrxDate]]&gt;debug_date_end, "post", "curr"))</f>
        <v>curr</v>
      </c>
    </row>
    <row r="787" spans="1:21" hidden="1">
      <c r="A787" s="39" t="s">
        <v>1230</v>
      </c>
      <c r="B787" s="6">
        <f>_xlfn.XLOOKUP(Jnl[[#This Row],[TrxId]], Trx[Id], Trx[Date],,0)</f>
        <v>46053</v>
      </c>
      <c r="C787" s="6" t="str">
        <f>_xlfn.XLOOKUP(Jnl[[#This Row],[TrxId]], Trx[Id], Trx[Division],,0)</f>
        <v>MY</v>
      </c>
      <c r="D787" s="6" t="str">
        <f>_xlfn.XLOOKUP(Jnl[[#This Row],[TrxId]], Trx[Id], Trx[Action],,0)</f>
        <v>食材</v>
      </c>
      <c r="E787" s="27" t="s">
        <v>89</v>
      </c>
      <c r="F787" s="10" t="s">
        <v>596</v>
      </c>
      <c r="G787" s="10" t="s">
        <v>909</v>
      </c>
      <c r="H787" s="37">
        <v>-96</v>
      </c>
      <c r="I787" s="38" t="b">
        <f>AND(Jnl[[#This Row],[TrxId]]&lt;&gt;"",Jnl[[#This Row],[Acct]]&lt;&gt;"",Jnl[[#This Row],[Item]]&lt;&gt;"",ISNUMBER(Jnl[[#This Row],[Bal]]))</f>
        <v>1</v>
      </c>
      <c r="J787" s="9">
        <f>IF(Jnl[[#This Row],[BSLv0]]="A",1,-1)*Jnl[[#This Row],[Bal]]</f>
        <v>-96</v>
      </c>
      <c r="K787" t="str">
        <f>_xlfn.XLOOKUP(Jnl[[#This Row],[Acct]], config_BS[Acct], config_BS[Lv0],,0)</f>
        <v>A</v>
      </c>
      <c r="L787" t="str">
        <f>_xlfn.XLOOKUP(Jnl[[#This Row],[Acct]], config_BS[Acct], config_BS[Lv1],,0)</f>
        <v>Assets</v>
      </c>
      <c r="M787" t="str">
        <f>_xlfn.XLOOKUP(Jnl[[#This Row],[Acct]], config_BS[Acct], config_BS[Lv2],,0)</f>
        <v>Cash alike</v>
      </c>
      <c r="N787" t="str">
        <f>_xlfn.XLOOKUP(Jnl[[#This Row],[TrxId]], Trx[Id], Trx[IncNode], ,0)</f>
        <v>Cost</v>
      </c>
      <c r="O787" t="str">
        <f>_xlfn.XLOOKUP(Jnl[[#This Row],[IncNode]], config_IS[Node], config_IS[Type],,0)</f>
        <v>Op</v>
      </c>
      <c r="P787" t="str">
        <f>_xlfn.XLOOKUP(Jnl[[#This Row],[BSLv2]], dict[Key], dict[Name],,0)</f>
        <v>0.现金及类似</v>
      </c>
      <c r="Q787" t="str">
        <f>_xlfn.XLOOKUP(Jnl[[#This Row],[Acct]], dict[Key], dict[Name],,0)</f>
        <v>银行</v>
      </c>
      <c r="R787" t="str">
        <f>_xlfn.XLOOKUP(Jnl[[#This Row],[Vehicle]],config_vehicle[Id], config_vehicle[Name],,0)</f>
        <v>小月号</v>
      </c>
      <c r="S787" t="str">
        <f>_xlfn.XLOOKUP(Jnl[[#This Row],[Division]],config_div[Id], config_div[Name],,0)</f>
        <v>明月村</v>
      </c>
      <c r="T787" t="str">
        <f>IF(Jnl[[#This Row],[TrxDate]]&lt;=stmt_BS_date_end, "In", "Out")</f>
        <v>In</v>
      </c>
      <c r="U787" t="str">
        <f>IF(Jnl[[#This Row],[TrxDate]]&lt;debug_date_start, "prior", IF(Jnl[[#This Row],[TrxDate]]&gt;debug_date_end, "post", "curr"))</f>
        <v>curr</v>
      </c>
    </row>
    <row r="788" spans="1:21" hidden="1">
      <c r="A788" s="39" t="s">
        <v>1231</v>
      </c>
      <c r="B788" s="6">
        <f>_xlfn.XLOOKUP(Jnl[[#This Row],[TrxId]], Trx[Id], Trx[Date],,0)</f>
        <v>46053</v>
      </c>
      <c r="C788" s="6" t="str">
        <f>_xlfn.XLOOKUP(Jnl[[#This Row],[TrxId]], Trx[Id], Trx[Division],,0)</f>
        <v>MY</v>
      </c>
      <c r="D788" s="6" t="str">
        <f>_xlfn.XLOOKUP(Jnl[[#This Row],[TrxId]], Trx[Id], Trx[Action],,0)</f>
        <v>公共设施</v>
      </c>
      <c r="E788" s="27" t="s">
        <v>89</v>
      </c>
      <c r="F788" s="10" t="s">
        <v>596</v>
      </c>
      <c r="G788" s="10" t="s">
        <v>909</v>
      </c>
      <c r="H788" s="37">
        <v>-200</v>
      </c>
      <c r="I788" s="38" t="b">
        <f>AND(Jnl[[#This Row],[TrxId]]&lt;&gt;"",Jnl[[#This Row],[Acct]]&lt;&gt;"",Jnl[[#This Row],[Item]]&lt;&gt;"",ISNUMBER(Jnl[[#This Row],[Bal]]))</f>
        <v>1</v>
      </c>
      <c r="J788" s="9">
        <f>IF(Jnl[[#This Row],[BSLv0]]="A",1,-1)*Jnl[[#This Row],[Bal]]</f>
        <v>-200</v>
      </c>
      <c r="K788" t="str">
        <f>_xlfn.XLOOKUP(Jnl[[#This Row],[Acct]], config_BS[Acct], config_BS[Lv0],,0)</f>
        <v>A</v>
      </c>
      <c r="L788" t="str">
        <f>_xlfn.XLOOKUP(Jnl[[#This Row],[Acct]], config_BS[Acct], config_BS[Lv1],,0)</f>
        <v>Assets</v>
      </c>
      <c r="M788" t="str">
        <f>_xlfn.XLOOKUP(Jnl[[#This Row],[Acct]], config_BS[Acct], config_BS[Lv2],,0)</f>
        <v>Cash alike</v>
      </c>
      <c r="N788" t="str">
        <f>_xlfn.XLOOKUP(Jnl[[#This Row],[TrxId]], Trx[Id], Trx[IncNode], ,0)</f>
        <v>Expense</v>
      </c>
      <c r="O788" t="str">
        <f>_xlfn.XLOOKUP(Jnl[[#This Row],[IncNode]], config_IS[Node], config_IS[Type],,0)</f>
        <v>Op</v>
      </c>
      <c r="P788" t="str">
        <f>_xlfn.XLOOKUP(Jnl[[#This Row],[BSLv2]], dict[Key], dict[Name],,0)</f>
        <v>0.现金及类似</v>
      </c>
      <c r="Q788" t="str">
        <f>_xlfn.XLOOKUP(Jnl[[#This Row],[Acct]], dict[Key], dict[Name],,0)</f>
        <v>银行</v>
      </c>
      <c r="R788" t="str">
        <f>_xlfn.XLOOKUP(Jnl[[#This Row],[Vehicle]],config_vehicle[Id], config_vehicle[Name],,0)</f>
        <v>小月号</v>
      </c>
      <c r="S788" t="str">
        <f>_xlfn.XLOOKUP(Jnl[[#This Row],[Division]],config_div[Id], config_div[Name],,0)</f>
        <v>明月村</v>
      </c>
      <c r="T788" t="str">
        <f>IF(Jnl[[#This Row],[TrxDate]]&lt;=stmt_BS_date_end, "In", "Out")</f>
        <v>In</v>
      </c>
      <c r="U788" t="str">
        <f>IF(Jnl[[#This Row],[TrxDate]]&lt;debug_date_start, "prior", IF(Jnl[[#This Row],[TrxDate]]&gt;debug_date_end, "post", "curr"))</f>
        <v>curr</v>
      </c>
    </row>
    <row r="789" spans="1:21" hidden="1">
      <c r="A789" s="39" t="s">
        <v>1232</v>
      </c>
      <c r="B789" s="6">
        <f>_xlfn.XLOOKUP(Jnl[[#This Row],[TrxId]], Trx[Id], Trx[Date],,0)</f>
        <v>46053</v>
      </c>
      <c r="C789" s="6" t="str">
        <f>_xlfn.XLOOKUP(Jnl[[#This Row],[TrxId]], Trx[Id], Trx[Division],,0)</f>
        <v>MY</v>
      </c>
      <c r="D789" s="6" t="str">
        <f>_xlfn.XLOOKUP(Jnl[[#This Row],[TrxId]], Trx[Id], Trx[Action],,0)</f>
        <v>收款</v>
      </c>
      <c r="E789" s="27" t="s">
        <v>89</v>
      </c>
      <c r="F789" s="10" t="s">
        <v>596</v>
      </c>
      <c r="G789" s="10" t="s">
        <v>909</v>
      </c>
      <c r="H789" s="37">
        <v>1105</v>
      </c>
      <c r="I789" s="38" t="b">
        <f>AND(Jnl[[#This Row],[TrxId]]&lt;&gt;"",Jnl[[#This Row],[Acct]]&lt;&gt;"",Jnl[[#This Row],[Item]]&lt;&gt;"",ISNUMBER(Jnl[[#This Row],[Bal]]))</f>
        <v>1</v>
      </c>
      <c r="J789" s="9">
        <f>IF(Jnl[[#This Row],[BSLv0]]="A",1,-1)*Jnl[[#This Row],[Bal]]</f>
        <v>1105</v>
      </c>
      <c r="K789" t="str">
        <f>_xlfn.XLOOKUP(Jnl[[#This Row],[Acct]], config_BS[Acct], config_BS[Lv0],,0)</f>
        <v>A</v>
      </c>
      <c r="L789" t="str">
        <f>_xlfn.XLOOKUP(Jnl[[#This Row],[Acct]], config_BS[Acct], config_BS[Lv1],,0)</f>
        <v>Assets</v>
      </c>
      <c r="M789" t="str">
        <f>_xlfn.XLOOKUP(Jnl[[#This Row],[Acct]], config_BS[Acct], config_BS[Lv2],,0)</f>
        <v>Cash alike</v>
      </c>
      <c r="N789" t="str">
        <f>_xlfn.XLOOKUP(Jnl[[#This Row],[TrxId]], Trx[Id], Trx[IncNode], ,0)</f>
        <v>Revenue</v>
      </c>
      <c r="O789" t="str">
        <f>_xlfn.XLOOKUP(Jnl[[#This Row],[IncNode]], config_IS[Node], config_IS[Type],,0)</f>
        <v>Op</v>
      </c>
      <c r="P789" t="str">
        <f>_xlfn.XLOOKUP(Jnl[[#This Row],[BSLv2]], dict[Key], dict[Name],,0)</f>
        <v>0.现金及类似</v>
      </c>
      <c r="Q789" t="str">
        <f>_xlfn.XLOOKUP(Jnl[[#This Row],[Acct]], dict[Key], dict[Name],,0)</f>
        <v>银行</v>
      </c>
      <c r="R789" t="str">
        <f>_xlfn.XLOOKUP(Jnl[[#This Row],[Vehicle]],config_vehicle[Id], config_vehicle[Name],,0)</f>
        <v>小月号</v>
      </c>
      <c r="S789" t="str">
        <f>_xlfn.XLOOKUP(Jnl[[#This Row],[Division]],config_div[Id], config_div[Name],,0)</f>
        <v>明月村</v>
      </c>
      <c r="T789" t="str">
        <f>IF(Jnl[[#This Row],[TrxDate]]&lt;=stmt_BS_date_end, "In", "Out")</f>
        <v>In</v>
      </c>
      <c r="U789" t="str">
        <f>IF(Jnl[[#This Row],[TrxDate]]&lt;debug_date_start, "prior", IF(Jnl[[#This Row],[TrxDate]]&gt;debug_date_end, "post", "curr"))</f>
        <v>curr</v>
      </c>
    </row>
    <row r="790" spans="1:21" hidden="1">
      <c r="A790" s="39" t="s">
        <v>1232</v>
      </c>
      <c r="B790" s="6">
        <f>_xlfn.XLOOKUP(Jnl[[#This Row],[TrxId]], Trx[Id], Trx[Date],,0)</f>
        <v>46053</v>
      </c>
      <c r="C790" s="6" t="str">
        <f>_xlfn.XLOOKUP(Jnl[[#This Row],[TrxId]], Trx[Id], Trx[Division],,0)</f>
        <v>MY</v>
      </c>
      <c r="D790" s="6" t="str">
        <f>_xlfn.XLOOKUP(Jnl[[#This Row],[TrxId]], Trx[Id], Trx[Action],,0)</f>
        <v>收款</v>
      </c>
      <c r="E790" s="27" t="s">
        <v>85</v>
      </c>
      <c r="F790" s="10" t="s">
        <v>599</v>
      </c>
      <c r="G790" s="10" t="s">
        <v>1068</v>
      </c>
      <c r="H790" s="37">
        <f>-H789</f>
        <v>-1105</v>
      </c>
      <c r="I790" s="38" t="b">
        <f>AND(Jnl[[#This Row],[TrxId]]&lt;&gt;"",Jnl[[#This Row],[Acct]]&lt;&gt;"",Jnl[[#This Row],[Item]]&lt;&gt;"",ISNUMBER(Jnl[[#This Row],[Bal]]))</f>
        <v>1</v>
      </c>
      <c r="J790" s="9">
        <f>IF(Jnl[[#This Row],[BSLv0]]="A",1,-1)*Jnl[[#This Row],[Bal]]</f>
        <v>-1105</v>
      </c>
      <c r="K790" t="str">
        <f>_xlfn.XLOOKUP(Jnl[[#This Row],[Acct]], config_BS[Acct], config_BS[Lv0],,0)</f>
        <v>A</v>
      </c>
      <c r="L790" t="str">
        <f>_xlfn.XLOOKUP(Jnl[[#This Row],[Acct]], config_BS[Acct], config_BS[Lv1],,0)</f>
        <v>Assets</v>
      </c>
      <c r="M790" t="str">
        <f>_xlfn.XLOOKUP(Jnl[[#This Row],[Acct]], config_BS[Acct], config_BS[Lv2],,0)</f>
        <v>Rec-Pay</v>
      </c>
      <c r="N790" t="str">
        <f>_xlfn.XLOOKUP(Jnl[[#This Row],[TrxId]], Trx[Id], Trx[IncNode], ,0)</f>
        <v>Revenue</v>
      </c>
      <c r="O790" t="str">
        <f>_xlfn.XLOOKUP(Jnl[[#This Row],[IncNode]], config_IS[Node], config_IS[Type],,0)</f>
        <v>Op</v>
      </c>
      <c r="P790" t="str">
        <f>_xlfn.XLOOKUP(Jnl[[#This Row],[BSLv2]], dict[Key], dict[Name],,0)</f>
        <v>1.应收-应付</v>
      </c>
      <c r="Q790" t="str">
        <f>_xlfn.XLOOKUP(Jnl[[#This Row],[Acct]], dict[Key], dict[Name],,0)</f>
        <v>应收-一般</v>
      </c>
      <c r="R790" t="str">
        <f>_xlfn.XLOOKUP(Jnl[[#This Row],[Vehicle]],config_vehicle[Id], config_vehicle[Name],,0)</f>
        <v>远家文化</v>
      </c>
      <c r="S790" t="str">
        <f>_xlfn.XLOOKUP(Jnl[[#This Row],[Division]],config_div[Id], config_div[Name],,0)</f>
        <v>明月村</v>
      </c>
      <c r="T790" t="str">
        <f>IF(Jnl[[#This Row],[TrxDate]]&lt;=stmt_BS_date_end, "In", "Out")</f>
        <v>In</v>
      </c>
      <c r="U790" t="str">
        <f>IF(Jnl[[#This Row],[TrxDate]]&lt;debug_date_start, "prior", IF(Jnl[[#This Row],[TrxDate]]&gt;debug_date_end, "post", "curr"))</f>
        <v>curr</v>
      </c>
    </row>
    <row r="791" spans="1:21" hidden="1">
      <c r="A791" s="39" t="s">
        <v>1233</v>
      </c>
      <c r="B791" s="6">
        <f>_xlfn.XLOOKUP(Jnl[[#This Row],[TrxId]], Trx[Id], Trx[Date],,0)</f>
        <v>46053</v>
      </c>
      <c r="C791" s="6" t="str">
        <f>_xlfn.XLOOKUP(Jnl[[#This Row],[TrxId]], Trx[Id], Trx[Division],,0)</f>
        <v>MY</v>
      </c>
      <c r="D791" s="6" t="str">
        <f>_xlfn.XLOOKUP(Jnl[[#This Row],[TrxId]], Trx[Id], Trx[Action],,0)</f>
        <v>收款</v>
      </c>
      <c r="E791" s="27" t="s">
        <v>89</v>
      </c>
      <c r="F791" s="10" t="s">
        <v>596</v>
      </c>
      <c r="G791" s="10" t="s">
        <v>909</v>
      </c>
      <c r="H791" s="37">
        <v>4000</v>
      </c>
      <c r="I791" s="38" t="b">
        <f>AND(Jnl[[#This Row],[TrxId]]&lt;&gt;"",Jnl[[#This Row],[Acct]]&lt;&gt;"",Jnl[[#This Row],[Item]]&lt;&gt;"",ISNUMBER(Jnl[[#This Row],[Bal]]))</f>
        <v>1</v>
      </c>
      <c r="J791" s="9">
        <f>IF(Jnl[[#This Row],[BSLv0]]="A",1,-1)*Jnl[[#This Row],[Bal]]</f>
        <v>4000</v>
      </c>
      <c r="K791" t="str">
        <f>_xlfn.XLOOKUP(Jnl[[#This Row],[Acct]], config_BS[Acct], config_BS[Lv0],,0)</f>
        <v>A</v>
      </c>
      <c r="L791" t="str">
        <f>_xlfn.XLOOKUP(Jnl[[#This Row],[Acct]], config_BS[Acct], config_BS[Lv1],,0)</f>
        <v>Assets</v>
      </c>
      <c r="M791" t="str">
        <f>_xlfn.XLOOKUP(Jnl[[#This Row],[Acct]], config_BS[Acct], config_BS[Lv2],,0)</f>
        <v>Cash alike</v>
      </c>
      <c r="N791" t="str">
        <f>_xlfn.XLOOKUP(Jnl[[#This Row],[TrxId]], Trx[Id], Trx[IncNode], ,0)</f>
        <v>Revenue</v>
      </c>
      <c r="O791" t="str">
        <f>_xlfn.XLOOKUP(Jnl[[#This Row],[IncNode]], config_IS[Node], config_IS[Type],,0)</f>
        <v>Op</v>
      </c>
      <c r="P791" t="str">
        <f>_xlfn.XLOOKUP(Jnl[[#This Row],[BSLv2]], dict[Key], dict[Name],,0)</f>
        <v>0.现金及类似</v>
      </c>
      <c r="Q791" t="str">
        <f>_xlfn.XLOOKUP(Jnl[[#This Row],[Acct]], dict[Key], dict[Name],,0)</f>
        <v>银行</v>
      </c>
      <c r="R791" t="str">
        <f>_xlfn.XLOOKUP(Jnl[[#This Row],[Vehicle]],config_vehicle[Id], config_vehicle[Name],,0)</f>
        <v>小月号</v>
      </c>
      <c r="S791" t="str">
        <f>_xlfn.XLOOKUP(Jnl[[#This Row],[Division]],config_div[Id], config_div[Name],,0)</f>
        <v>明月村</v>
      </c>
      <c r="T791" t="str">
        <f>IF(Jnl[[#This Row],[TrxDate]]&lt;=stmt_BS_date_end, "In", "Out")</f>
        <v>In</v>
      </c>
      <c r="U791" t="str">
        <f>IF(Jnl[[#This Row],[TrxDate]]&lt;debug_date_start, "prior", IF(Jnl[[#This Row],[TrxDate]]&gt;debug_date_end, "post", "curr"))</f>
        <v>curr</v>
      </c>
    </row>
    <row r="792" spans="1:21" hidden="1">
      <c r="A792" s="39" t="s">
        <v>1233</v>
      </c>
      <c r="B792" s="6">
        <f>_xlfn.XLOOKUP(Jnl[[#This Row],[TrxId]], Trx[Id], Trx[Date],,0)</f>
        <v>46053</v>
      </c>
      <c r="C792" s="6" t="str">
        <f>_xlfn.XLOOKUP(Jnl[[#This Row],[TrxId]], Trx[Id], Trx[Division],,0)</f>
        <v>MY</v>
      </c>
      <c r="D792" s="6" t="str">
        <f>_xlfn.XLOOKUP(Jnl[[#This Row],[TrxId]], Trx[Id], Trx[Action],,0)</f>
        <v>收款</v>
      </c>
      <c r="E792" s="27" t="s">
        <v>85</v>
      </c>
      <c r="F792" s="10" t="s">
        <v>599</v>
      </c>
      <c r="G792" s="10" t="s">
        <v>949</v>
      </c>
      <c r="H792" s="37">
        <f>-H791</f>
        <v>-4000</v>
      </c>
      <c r="I792" s="38" t="b">
        <f>AND(Jnl[[#This Row],[TrxId]]&lt;&gt;"",Jnl[[#This Row],[Acct]]&lt;&gt;"",Jnl[[#This Row],[Item]]&lt;&gt;"",ISNUMBER(Jnl[[#This Row],[Bal]]))</f>
        <v>1</v>
      </c>
      <c r="J792" s="9">
        <f>IF(Jnl[[#This Row],[BSLv0]]="A",1,-1)*Jnl[[#This Row],[Bal]]</f>
        <v>-4000</v>
      </c>
      <c r="K792" t="str">
        <f>_xlfn.XLOOKUP(Jnl[[#This Row],[Acct]], config_BS[Acct], config_BS[Lv0],,0)</f>
        <v>A</v>
      </c>
      <c r="L792" t="str">
        <f>_xlfn.XLOOKUP(Jnl[[#This Row],[Acct]], config_BS[Acct], config_BS[Lv1],,0)</f>
        <v>Assets</v>
      </c>
      <c r="M792" t="str">
        <f>_xlfn.XLOOKUP(Jnl[[#This Row],[Acct]], config_BS[Acct], config_BS[Lv2],,0)</f>
        <v>Rec-Pay</v>
      </c>
      <c r="N792" t="str">
        <f>_xlfn.XLOOKUP(Jnl[[#This Row],[TrxId]], Trx[Id], Trx[IncNode], ,0)</f>
        <v>Revenue</v>
      </c>
      <c r="O792" t="str">
        <f>_xlfn.XLOOKUP(Jnl[[#This Row],[IncNode]], config_IS[Node], config_IS[Type],,0)</f>
        <v>Op</v>
      </c>
      <c r="P792" t="str">
        <f>_xlfn.XLOOKUP(Jnl[[#This Row],[BSLv2]], dict[Key], dict[Name],,0)</f>
        <v>1.应收-应付</v>
      </c>
      <c r="Q792" t="str">
        <f>_xlfn.XLOOKUP(Jnl[[#This Row],[Acct]], dict[Key], dict[Name],,0)</f>
        <v>应收-一般</v>
      </c>
      <c r="R792" t="str">
        <f>_xlfn.XLOOKUP(Jnl[[#This Row],[Vehicle]],config_vehicle[Id], config_vehicle[Name],,0)</f>
        <v>远家文化</v>
      </c>
      <c r="S792" t="str">
        <f>_xlfn.XLOOKUP(Jnl[[#This Row],[Division]],config_div[Id], config_div[Name],,0)</f>
        <v>明月村</v>
      </c>
      <c r="T792" t="str">
        <f>IF(Jnl[[#This Row],[TrxDate]]&lt;=stmt_BS_date_end, "In", "Out")</f>
        <v>In</v>
      </c>
      <c r="U792" t="str">
        <f>IF(Jnl[[#This Row],[TrxDate]]&lt;debug_date_start, "prior", IF(Jnl[[#This Row],[TrxDate]]&gt;debug_date_end, "post", "curr"))</f>
        <v>curr</v>
      </c>
    </row>
    <row r="793" spans="1:21" hidden="1">
      <c r="A793" s="39" t="s">
        <v>1234</v>
      </c>
      <c r="B793" s="6">
        <f>_xlfn.XLOOKUP(Jnl[[#This Row],[TrxId]], Trx[Id], Trx[Date],,0)</f>
        <v>46053</v>
      </c>
      <c r="C793" s="6" t="str">
        <f>_xlfn.XLOOKUP(Jnl[[#This Row],[TrxId]], Trx[Id], Trx[Division],,0)</f>
        <v>MY</v>
      </c>
      <c r="D793" s="6" t="str">
        <f>_xlfn.XLOOKUP(Jnl[[#This Row],[TrxId]], Trx[Id], Trx[Action],,0)</f>
        <v>收款</v>
      </c>
      <c r="E793" s="27" t="s">
        <v>89</v>
      </c>
      <c r="F793" s="10" t="s">
        <v>596</v>
      </c>
      <c r="G793" s="10" t="s">
        <v>909</v>
      </c>
      <c r="H793" s="37">
        <v>2465</v>
      </c>
      <c r="I793" s="38" t="b">
        <f>AND(Jnl[[#This Row],[TrxId]]&lt;&gt;"",Jnl[[#This Row],[Acct]]&lt;&gt;"",Jnl[[#This Row],[Item]]&lt;&gt;"",ISNUMBER(Jnl[[#This Row],[Bal]]))</f>
        <v>1</v>
      </c>
      <c r="J793" s="9">
        <f>IF(Jnl[[#This Row],[BSLv0]]="A",1,-1)*Jnl[[#This Row],[Bal]]</f>
        <v>2465</v>
      </c>
      <c r="K793" t="str">
        <f>_xlfn.XLOOKUP(Jnl[[#This Row],[Acct]], config_BS[Acct], config_BS[Lv0],,0)</f>
        <v>A</v>
      </c>
      <c r="L793" t="str">
        <f>_xlfn.XLOOKUP(Jnl[[#This Row],[Acct]], config_BS[Acct], config_BS[Lv1],,0)</f>
        <v>Assets</v>
      </c>
      <c r="M793" t="str">
        <f>_xlfn.XLOOKUP(Jnl[[#This Row],[Acct]], config_BS[Acct], config_BS[Lv2],,0)</f>
        <v>Cash alike</v>
      </c>
      <c r="N793" t="str">
        <f>_xlfn.XLOOKUP(Jnl[[#This Row],[TrxId]], Trx[Id], Trx[IncNode], ,0)</f>
        <v>Revenue</v>
      </c>
      <c r="O793" t="str">
        <f>_xlfn.XLOOKUP(Jnl[[#This Row],[IncNode]], config_IS[Node], config_IS[Type],,0)</f>
        <v>Op</v>
      </c>
      <c r="P793" t="str">
        <f>_xlfn.XLOOKUP(Jnl[[#This Row],[BSLv2]], dict[Key], dict[Name],,0)</f>
        <v>0.现金及类似</v>
      </c>
      <c r="Q793" t="str">
        <f>_xlfn.XLOOKUP(Jnl[[#This Row],[Acct]], dict[Key], dict[Name],,0)</f>
        <v>银行</v>
      </c>
      <c r="R793" t="str">
        <f>_xlfn.XLOOKUP(Jnl[[#This Row],[Vehicle]],config_vehicle[Id], config_vehicle[Name],,0)</f>
        <v>小月号</v>
      </c>
      <c r="S793" t="str">
        <f>_xlfn.XLOOKUP(Jnl[[#This Row],[Division]],config_div[Id], config_div[Name],,0)</f>
        <v>明月村</v>
      </c>
      <c r="T793" t="str">
        <f>IF(Jnl[[#This Row],[TrxDate]]&lt;=stmt_BS_date_end, "In", "Out")</f>
        <v>In</v>
      </c>
      <c r="U793" t="str">
        <f>IF(Jnl[[#This Row],[TrxDate]]&lt;debug_date_start, "prior", IF(Jnl[[#This Row],[TrxDate]]&gt;debug_date_end, "post", "curr"))</f>
        <v>curr</v>
      </c>
    </row>
    <row r="794" spans="1:21" hidden="1">
      <c r="A794" s="39" t="s">
        <v>1234</v>
      </c>
      <c r="B794" s="6">
        <f>_xlfn.XLOOKUP(Jnl[[#This Row],[TrxId]], Trx[Id], Trx[Date],,0)</f>
        <v>46053</v>
      </c>
      <c r="C794" s="6" t="str">
        <f>_xlfn.XLOOKUP(Jnl[[#This Row],[TrxId]], Trx[Id], Trx[Division],,0)</f>
        <v>MY</v>
      </c>
      <c r="D794" s="6" t="str">
        <f>_xlfn.XLOOKUP(Jnl[[#This Row],[TrxId]], Trx[Id], Trx[Action],,0)</f>
        <v>收款</v>
      </c>
      <c r="E794" s="27" t="s">
        <v>85</v>
      </c>
      <c r="F794" s="10" t="s">
        <v>599</v>
      </c>
      <c r="G794" s="10" t="s">
        <v>1068</v>
      </c>
      <c r="H794" s="37">
        <v>-2465</v>
      </c>
      <c r="I794" s="38" t="b">
        <f>AND(Jnl[[#This Row],[TrxId]]&lt;&gt;"",Jnl[[#This Row],[Acct]]&lt;&gt;"",Jnl[[#This Row],[Item]]&lt;&gt;"",ISNUMBER(Jnl[[#This Row],[Bal]]))</f>
        <v>1</v>
      </c>
      <c r="J794" s="9">
        <f>IF(Jnl[[#This Row],[BSLv0]]="A",1,-1)*Jnl[[#This Row],[Bal]]</f>
        <v>-2465</v>
      </c>
      <c r="K794" t="str">
        <f>_xlfn.XLOOKUP(Jnl[[#This Row],[Acct]], config_BS[Acct], config_BS[Lv0],,0)</f>
        <v>A</v>
      </c>
      <c r="L794" t="str">
        <f>_xlfn.XLOOKUP(Jnl[[#This Row],[Acct]], config_BS[Acct], config_BS[Lv1],,0)</f>
        <v>Assets</v>
      </c>
      <c r="M794" t="str">
        <f>_xlfn.XLOOKUP(Jnl[[#This Row],[Acct]], config_BS[Acct], config_BS[Lv2],,0)</f>
        <v>Rec-Pay</v>
      </c>
      <c r="N794" t="str">
        <f>_xlfn.XLOOKUP(Jnl[[#This Row],[TrxId]], Trx[Id], Trx[IncNode], ,0)</f>
        <v>Revenue</v>
      </c>
      <c r="O794" t="str">
        <f>_xlfn.XLOOKUP(Jnl[[#This Row],[IncNode]], config_IS[Node], config_IS[Type],,0)</f>
        <v>Op</v>
      </c>
      <c r="P794" t="str">
        <f>_xlfn.XLOOKUP(Jnl[[#This Row],[BSLv2]], dict[Key], dict[Name],,0)</f>
        <v>1.应收-应付</v>
      </c>
      <c r="Q794" t="str">
        <f>_xlfn.XLOOKUP(Jnl[[#This Row],[Acct]], dict[Key], dict[Name],,0)</f>
        <v>应收-一般</v>
      </c>
      <c r="R794" t="str">
        <f>_xlfn.XLOOKUP(Jnl[[#This Row],[Vehicle]],config_vehicle[Id], config_vehicle[Name],,0)</f>
        <v>远家文化</v>
      </c>
      <c r="S794" t="str">
        <f>_xlfn.XLOOKUP(Jnl[[#This Row],[Division]],config_div[Id], config_div[Name],,0)</f>
        <v>明月村</v>
      </c>
      <c r="T794" t="str">
        <f>IF(Jnl[[#This Row],[TrxDate]]&lt;=stmt_BS_date_end, "In", "Out")</f>
        <v>In</v>
      </c>
      <c r="U794" t="str">
        <f>IF(Jnl[[#This Row],[TrxDate]]&lt;debug_date_start, "prior", IF(Jnl[[#This Row],[TrxDate]]&gt;debug_date_end, "post", "curr"))</f>
        <v>curr</v>
      </c>
    </row>
    <row r="795" spans="1:21" hidden="1">
      <c r="A795" s="39" t="s">
        <v>1235</v>
      </c>
      <c r="B795" s="6">
        <f>_xlfn.XLOOKUP(Jnl[[#This Row],[TrxId]], Trx[Id], Trx[Date],,0)</f>
        <v>46053</v>
      </c>
      <c r="C795" s="6" t="str">
        <f>_xlfn.XLOOKUP(Jnl[[#This Row],[TrxId]], Trx[Id], Trx[Division],,0)</f>
        <v>MY</v>
      </c>
      <c r="D795" s="6" t="str">
        <f>_xlfn.XLOOKUP(Jnl[[#This Row],[TrxId]], Trx[Id], Trx[Action],,0)</f>
        <v>退款-客人</v>
      </c>
      <c r="E795" s="27" t="s">
        <v>89</v>
      </c>
      <c r="F795" s="10" t="s">
        <v>596</v>
      </c>
      <c r="G795" s="10" t="s">
        <v>909</v>
      </c>
      <c r="H795" s="37">
        <v>-14820</v>
      </c>
      <c r="I795" s="38" t="b">
        <f>AND(Jnl[[#This Row],[TrxId]]&lt;&gt;"",Jnl[[#This Row],[Acct]]&lt;&gt;"",Jnl[[#This Row],[Item]]&lt;&gt;"",ISNUMBER(Jnl[[#This Row],[Bal]]))</f>
        <v>1</v>
      </c>
      <c r="J795" s="9">
        <f>IF(Jnl[[#This Row],[BSLv0]]="A",1,-1)*Jnl[[#This Row],[Bal]]</f>
        <v>-14820</v>
      </c>
      <c r="K795" t="str">
        <f>_xlfn.XLOOKUP(Jnl[[#This Row],[Acct]], config_BS[Acct], config_BS[Lv0],,0)</f>
        <v>A</v>
      </c>
      <c r="L795" t="str">
        <f>_xlfn.XLOOKUP(Jnl[[#This Row],[Acct]], config_BS[Acct], config_BS[Lv1],,0)</f>
        <v>Assets</v>
      </c>
      <c r="M795" t="str">
        <f>_xlfn.XLOOKUP(Jnl[[#This Row],[Acct]], config_BS[Acct], config_BS[Lv2],,0)</f>
        <v>Cash alike</v>
      </c>
      <c r="N795" t="str">
        <f>_xlfn.XLOOKUP(Jnl[[#This Row],[TrxId]], Trx[Id], Trx[IncNode], ,0)</f>
        <v>Revenue</v>
      </c>
      <c r="O795" t="str">
        <f>_xlfn.XLOOKUP(Jnl[[#This Row],[IncNode]], config_IS[Node], config_IS[Type],,0)</f>
        <v>Op</v>
      </c>
      <c r="P795" t="str">
        <f>_xlfn.XLOOKUP(Jnl[[#This Row],[BSLv2]], dict[Key], dict[Name],,0)</f>
        <v>0.现金及类似</v>
      </c>
      <c r="Q795" t="str">
        <f>_xlfn.XLOOKUP(Jnl[[#This Row],[Acct]], dict[Key], dict[Name],,0)</f>
        <v>银行</v>
      </c>
      <c r="R795" t="str">
        <f>_xlfn.XLOOKUP(Jnl[[#This Row],[Vehicle]],config_vehicle[Id], config_vehicle[Name],,0)</f>
        <v>小月号</v>
      </c>
      <c r="S795" t="str">
        <f>_xlfn.XLOOKUP(Jnl[[#This Row],[Division]],config_div[Id], config_div[Name],,0)</f>
        <v>明月村</v>
      </c>
      <c r="T795" t="str">
        <f>IF(Jnl[[#This Row],[TrxDate]]&lt;=stmt_BS_date_end, "In", "Out")</f>
        <v>In</v>
      </c>
      <c r="U795" t="str">
        <f>IF(Jnl[[#This Row],[TrxDate]]&lt;debug_date_start, "prior", IF(Jnl[[#This Row],[TrxDate]]&gt;debug_date_end, "post", "curr"))</f>
        <v>curr</v>
      </c>
    </row>
    <row r="796" spans="1:21" hidden="1">
      <c r="A796" s="39" t="s">
        <v>1235</v>
      </c>
      <c r="B796" s="6">
        <f>_xlfn.XLOOKUP(Jnl[[#This Row],[TrxId]], Trx[Id], Trx[Date],,0)</f>
        <v>46053</v>
      </c>
      <c r="C796" s="6" t="str">
        <f>_xlfn.XLOOKUP(Jnl[[#This Row],[TrxId]], Trx[Id], Trx[Division],,0)</f>
        <v>MY</v>
      </c>
      <c r="D796" s="6" t="str">
        <f>_xlfn.XLOOKUP(Jnl[[#This Row],[TrxId]], Trx[Id], Trx[Action],,0)</f>
        <v>退款-客人</v>
      </c>
      <c r="E796" s="27" t="s">
        <v>85</v>
      </c>
      <c r="F796" s="10" t="s">
        <v>599</v>
      </c>
      <c r="G796" s="92" t="s">
        <v>984</v>
      </c>
      <c r="H796" s="93">
        <v>14820</v>
      </c>
      <c r="I796" s="38" t="b">
        <f>AND(Jnl[[#This Row],[TrxId]]&lt;&gt;"",Jnl[[#This Row],[Acct]]&lt;&gt;"",Jnl[[#This Row],[Item]]&lt;&gt;"",ISNUMBER(Jnl[[#This Row],[Bal]]))</f>
        <v>1</v>
      </c>
      <c r="J796" s="94">
        <f>IF(Jnl[[#This Row],[BSLv0]]="A",1,-1)*Jnl[[#This Row],[Bal]]</f>
        <v>14820</v>
      </c>
      <c r="K796" t="str">
        <f>_xlfn.XLOOKUP(Jnl[[#This Row],[Acct]], config_BS[Acct], config_BS[Lv0],,0)</f>
        <v>A</v>
      </c>
      <c r="L796" t="str">
        <f>_xlfn.XLOOKUP(Jnl[[#This Row],[Acct]], config_BS[Acct], config_BS[Lv1],,0)</f>
        <v>Assets</v>
      </c>
      <c r="M796" t="str">
        <f>_xlfn.XLOOKUP(Jnl[[#This Row],[Acct]], config_BS[Acct], config_BS[Lv2],,0)</f>
        <v>Rec-Pay</v>
      </c>
      <c r="N796" t="str">
        <f>_xlfn.XLOOKUP(Jnl[[#This Row],[TrxId]], Trx[Id], Trx[IncNode], ,0)</f>
        <v>Revenue</v>
      </c>
      <c r="O796" t="str">
        <f>_xlfn.XLOOKUP(Jnl[[#This Row],[IncNode]], config_IS[Node], config_IS[Type],,0)</f>
        <v>Op</v>
      </c>
      <c r="P796" s="95" t="str">
        <f>_xlfn.XLOOKUP(Jnl[[#This Row],[BSLv2]], dict[Key], dict[Name],,0)</f>
        <v>1.应收-应付</v>
      </c>
      <c r="Q796" s="95" t="str">
        <f>_xlfn.XLOOKUP(Jnl[[#This Row],[Acct]], dict[Key], dict[Name],,0)</f>
        <v>应收-一般</v>
      </c>
      <c r="R796" s="95" t="str">
        <f>_xlfn.XLOOKUP(Jnl[[#This Row],[Vehicle]],config_vehicle[Id], config_vehicle[Name],,0)</f>
        <v>远家文化</v>
      </c>
      <c r="S796" s="95" t="str">
        <f>_xlfn.XLOOKUP(Jnl[[#This Row],[Division]],config_div[Id], config_div[Name],,0)</f>
        <v>明月村</v>
      </c>
      <c r="T796" s="95" t="str">
        <f>IF(Jnl[[#This Row],[TrxDate]]&lt;=stmt_BS_date_end, "In", "Out")</f>
        <v>In</v>
      </c>
      <c r="U796" s="95" t="str">
        <f>IF(Jnl[[#This Row],[TrxDate]]&lt;debug_date_start, "prior", IF(Jnl[[#This Row],[TrxDate]]&gt;debug_date_end, "post", "curr"))</f>
        <v>curr</v>
      </c>
    </row>
    <row r="797" spans="1:21" hidden="1">
      <c r="A797" s="39" t="s">
        <v>1236</v>
      </c>
      <c r="B797" s="6">
        <f>_xlfn.XLOOKUP(Jnl[[#This Row],[TrxId]], Trx[Id], Trx[Date],,0)</f>
        <v>46053</v>
      </c>
      <c r="C797" s="6" t="str">
        <f>_xlfn.XLOOKUP(Jnl[[#This Row],[TrxId]], Trx[Id], Trx[Division],,0)</f>
        <v>MY</v>
      </c>
      <c r="D797" s="6" t="str">
        <f>_xlfn.XLOOKUP(Jnl[[#This Row],[TrxId]], Trx[Id], Trx[Action],,0)</f>
        <v>退款-客人</v>
      </c>
      <c r="E797" s="27" t="s">
        <v>89</v>
      </c>
      <c r="F797" s="10" t="s">
        <v>596</v>
      </c>
      <c r="G797" s="10" t="s">
        <v>909</v>
      </c>
      <c r="H797" s="37">
        <v>-500</v>
      </c>
      <c r="I797" s="38" t="b">
        <f>AND(Jnl[[#This Row],[TrxId]]&lt;&gt;"",Jnl[[#This Row],[Acct]]&lt;&gt;"",Jnl[[#This Row],[Item]]&lt;&gt;"",ISNUMBER(Jnl[[#This Row],[Bal]]))</f>
        <v>1</v>
      </c>
      <c r="J797" s="9">
        <f>IF(Jnl[[#This Row],[BSLv0]]="A",1,-1)*Jnl[[#This Row],[Bal]]</f>
        <v>-500</v>
      </c>
      <c r="K797" t="str">
        <f>_xlfn.XLOOKUP(Jnl[[#This Row],[Acct]], config_BS[Acct], config_BS[Lv0],,0)</f>
        <v>A</v>
      </c>
      <c r="L797" t="str">
        <f>_xlfn.XLOOKUP(Jnl[[#This Row],[Acct]], config_BS[Acct], config_BS[Lv1],,0)</f>
        <v>Assets</v>
      </c>
      <c r="M797" t="str">
        <f>_xlfn.XLOOKUP(Jnl[[#This Row],[Acct]], config_BS[Acct], config_BS[Lv2],,0)</f>
        <v>Cash alike</v>
      </c>
      <c r="N797" t="str">
        <f>_xlfn.XLOOKUP(Jnl[[#This Row],[TrxId]], Trx[Id], Trx[IncNode], ,0)</f>
        <v>Revenue</v>
      </c>
      <c r="O797" t="str">
        <f>_xlfn.XLOOKUP(Jnl[[#This Row],[IncNode]], config_IS[Node], config_IS[Type],,0)</f>
        <v>Op</v>
      </c>
      <c r="P797" t="str">
        <f>_xlfn.XLOOKUP(Jnl[[#This Row],[BSLv2]], dict[Key], dict[Name],,0)</f>
        <v>0.现金及类似</v>
      </c>
      <c r="Q797" t="str">
        <f>_xlfn.XLOOKUP(Jnl[[#This Row],[Acct]], dict[Key], dict[Name],,0)</f>
        <v>银行</v>
      </c>
      <c r="R797" t="str">
        <f>_xlfn.XLOOKUP(Jnl[[#This Row],[Vehicle]],config_vehicle[Id], config_vehicle[Name],,0)</f>
        <v>小月号</v>
      </c>
      <c r="S797" t="str">
        <f>_xlfn.XLOOKUP(Jnl[[#This Row],[Division]],config_div[Id], config_div[Name],,0)</f>
        <v>明月村</v>
      </c>
      <c r="T797" t="str">
        <f>IF(Jnl[[#This Row],[TrxDate]]&lt;=stmt_BS_date_end, "In", "Out")</f>
        <v>In</v>
      </c>
      <c r="U797" t="str">
        <f>IF(Jnl[[#This Row],[TrxDate]]&lt;debug_date_start, "prior", IF(Jnl[[#This Row],[TrxDate]]&gt;debug_date_end, "post", "curr"))</f>
        <v>curr</v>
      </c>
    </row>
    <row r="798" spans="1:21" hidden="1">
      <c r="A798" s="39" t="s">
        <v>1236</v>
      </c>
      <c r="B798" s="6">
        <f>_xlfn.XLOOKUP(Jnl[[#This Row],[TrxId]], Trx[Id], Trx[Date],,0)</f>
        <v>46053</v>
      </c>
      <c r="C798" s="6" t="str">
        <f>_xlfn.XLOOKUP(Jnl[[#This Row],[TrxId]], Trx[Id], Trx[Division],,0)</f>
        <v>MY</v>
      </c>
      <c r="D798" s="6" t="str">
        <f>_xlfn.XLOOKUP(Jnl[[#This Row],[TrxId]], Trx[Id], Trx[Action],,0)</f>
        <v>退款-客人</v>
      </c>
      <c r="E798" s="27" t="s">
        <v>85</v>
      </c>
      <c r="F798" s="10" t="s">
        <v>599</v>
      </c>
      <c r="G798" s="10" t="s">
        <v>1073</v>
      </c>
      <c r="H798" s="37">
        <f>-H797</f>
        <v>500</v>
      </c>
      <c r="I798" s="38" t="b">
        <f>AND(Jnl[[#This Row],[TrxId]]&lt;&gt;"",Jnl[[#This Row],[Acct]]&lt;&gt;"",Jnl[[#This Row],[Item]]&lt;&gt;"",ISNUMBER(Jnl[[#This Row],[Bal]]))</f>
        <v>1</v>
      </c>
      <c r="J798" s="9">
        <f>IF(Jnl[[#This Row],[BSLv0]]="A",1,-1)*Jnl[[#This Row],[Bal]]</f>
        <v>500</v>
      </c>
      <c r="K798" t="str">
        <f>_xlfn.XLOOKUP(Jnl[[#This Row],[Acct]], config_BS[Acct], config_BS[Lv0],,0)</f>
        <v>A</v>
      </c>
      <c r="L798" t="str">
        <f>_xlfn.XLOOKUP(Jnl[[#This Row],[Acct]], config_BS[Acct], config_BS[Lv1],,0)</f>
        <v>Assets</v>
      </c>
      <c r="M798" t="str">
        <f>_xlfn.XLOOKUP(Jnl[[#This Row],[Acct]], config_BS[Acct], config_BS[Lv2],,0)</f>
        <v>Rec-Pay</v>
      </c>
      <c r="N798" t="str">
        <f>_xlfn.XLOOKUP(Jnl[[#This Row],[TrxId]], Trx[Id], Trx[IncNode], ,0)</f>
        <v>Revenue</v>
      </c>
      <c r="O798" t="str">
        <f>_xlfn.XLOOKUP(Jnl[[#This Row],[IncNode]], config_IS[Node], config_IS[Type],,0)</f>
        <v>Op</v>
      </c>
      <c r="P798" t="str">
        <f>_xlfn.XLOOKUP(Jnl[[#This Row],[BSLv2]], dict[Key], dict[Name],,0)</f>
        <v>1.应收-应付</v>
      </c>
      <c r="Q798" t="str">
        <f>_xlfn.XLOOKUP(Jnl[[#This Row],[Acct]], dict[Key], dict[Name],,0)</f>
        <v>应收-一般</v>
      </c>
      <c r="R798" t="str">
        <f>_xlfn.XLOOKUP(Jnl[[#This Row],[Vehicle]],config_vehicle[Id], config_vehicle[Name],,0)</f>
        <v>远家文化</v>
      </c>
      <c r="S798" t="str">
        <f>_xlfn.XLOOKUP(Jnl[[#This Row],[Division]],config_div[Id], config_div[Name],,0)</f>
        <v>明月村</v>
      </c>
      <c r="T798" t="str">
        <f>IF(Jnl[[#This Row],[TrxDate]]&lt;=stmt_BS_date_end, "In", "Out")</f>
        <v>In</v>
      </c>
      <c r="U798" t="str">
        <f>IF(Jnl[[#This Row],[TrxDate]]&lt;debug_date_start, "prior", IF(Jnl[[#This Row],[TrxDate]]&gt;debug_date_end, "post", "curr"))</f>
        <v>curr</v>
      </c>
    </row>
    <row r="799" spans="1:21" hidden="1">
      <c r="A799" s="39" t="s">
        <v>1237</v>
      </c>
      <c r="B799" s="6">
        <f>_xlfn.XLOOKUP(Jnl[[#This Row],[TrxId]], Trx[Id], Trx[Date],,0)</f>
        <v>46053</v>
      </c>
      <c r="C799" s="6" t="str">
        <f>_xlfn.XLOOKUP(Jnl[[#This Row],[TrxId]], Trx[Id], Trx[Division],,0)</f>
        <v>MY</v>
      </c>
      <c r="D799" s="6" t="str">
        <f>_xlfn.XLOOKUP(Jnl[[#This Row],[TrxId]], Trx[Id], Trx[Action],,0)</f>
        <v>退款-客人</v>
      </c>
      <c r="E799" s="27" t="s">
        <v>89</v>
      </c>
      <c r="F799" s="10" t="s">
        <v>596</v>
      </c>
      <c r="G799" s="10" t="s">
        <v>909</v>
      </c>
      <c r="H799" s="37">
        <v>-200</v>
      </c>
      <c r="I799" s="38" t="b">
        <f>AND(Jnl[[#This Row],[TrxId]]&lt;&gt;"",Jnl[[#This Row],[Acct]]&lt;&gt;"",Jnl[[#This Row],[Item]]&lt;&gt;"",ISNUMBER(Jnl[[#This Row],[Bal]]))</f>
        <v>1</v>
      </c>
      <c r="J799" s="9">
        <f>IF(Jnl[[#This Row],[BSLv0]]="A",1,-1)*Jnl[[#This Row],[Bal]]</f>
        <v>-200</v>
      </c>
      <c r="K799" t="str">
        <f>_xlfn.XLOOKUP(Jnl[[#This Row],[Acct]], config_BS[Acct], config_BS[Lv0],,0)</f>
        <v>A</v>
      </c>
      <c r="L799" t="str">
        <f>_xlfn.XLOOKUP(Jnl[[#This Row],[Acct]], config_BS[Acct], config_BS[Lv1],,0)</f>
        <v>Assets</v>
      </c>
      <c r="M799" t="str">
        <f>_xlfn.XLOOKUP(Jnl[[#This Row],[Acct]], config_BS[Acct], config_BS[Lv2],,0)</f>
        <v>Cash alike</v>
      </c>
      <c r="N799" t="str">
        <f>_xlfn.XLOOKUP(Jnl[[#This Row],[TrxId]], Trx[Id], Trx[IncNode], ,0)</f>
        <v>Revenue</v>
      </c>
      <c r="O799" t="str">
        <f>_xlfn.XLOOKUP(Jnl[[#This Row],[IncNode]], config_IS[Node], config_IS[Type],,0)</f>
        <v>Op</v>
      </c>
      <c r="P799" t="str">
        <f>_xlfn.XLOOKUP(Jnl[[#This Row],[BSLv2]], dict[Key], dict[Name],,0)</f>
        <v>0.现金及类似</v>
      </c>
      <c r="Q799" t="str">
        <f>_xlfn.XLOOKUP(Jnl[[#This Row],[Acct]], dict[Key], dict[Name],,0)</f>
        <v>银行</v>
      </c>
      <c r="R799" t="str">
        <f>_xlfn.XLOOKUP(Jnl[[#This Row],[Vehicle]],config_vehicle[Id], config_vehicle[Name],,0)</f>
        <v>小月号</v>
      </c>
      <c r="S799" t="str">
        <f>_xlfn.XLOOKUP(Jnl[[#This Row],[Division]],config_div[Id], config_div[Name],,0)</f>
        <v>明月村</v>
      </c>
      <c r="T799" t="str">
        <f>IF(Jnl[[#This Row],[TrxDate]]&lt;=stmt_BS_date_end, "In", "Out")</f>
        <v>In</v>
      </c>
      <c r="U799" t="str">
        <f>IF(Jnl[[#This Row],[TrxDate]]&lt;debug_date_start, "prior", IF(Jnl[[#This Row],[TrxDate]]&gt;debug_date_end, "post", "curr"))</f>
        <v>curr</v>
      </c>
    </row>
    <row r="800" spans="1:21" hidden="1">
      <c r="A800" s="39" t="s">
        <v>1237</v>
      </c>
      <c r="B800" s="6">
        <f>_xlfn.XLOOKUP(Jnl[[#This Row],[TrxId]], Trx[Id], Trx[Date],,0)</f>
        <v>46053</v>
      </c>
      <c r="C800" s="6" t="str">
        <f>_xlfn.XLOOKUP(Jnl[[#This Row],[TrxId]], Trx[Id], Trx[Division],,0)</f>
        <v>MY</v>
      </c>
      <c r="D800" s="6" t="str">
        <f>_xlfn.XLOOKUP(Jnl[[#This Row],[TrxId]], Trx[Id], Trx[Action],,0)</f>
        <v>退款-客人</v>
      </c>
      <c r="E800" s="27" t="s">
        <v>85</v>
      </c>
      <c r="F800" s="10" t="s">
        <v>599</v>
      </c>
      <c r="G800" s="10" t="s">
        <v>1073</v>
      </c>
      <c r="H800" s="37">
        <f>-H799</f>
        <v>200</v>
      </c>
      <c r="I800" s="38" t="b">
        <f>AND(Jnl[[#This Row],[TrxId]]&lt;&gt;"",Jnl[[#This Row],[Acct]]&lt;&gt;"",Jnl[[#This Row],[Item]]&lt;&gt;"",ISNUMBER(Jnl[[#This Row],[Bal]]))</f>
        <v>1</v>
      </c>
      <c r="J800" s="9">
        <f>IF(Jnl[[#This Row],[BSLv0]]="A",1,-1)*Jnl[[#This Row],[Bal]]</f>
        <v>200</v>
      </c>
      <c r="K800" t="str">
        <f>_xlfn.XLOOKUP(Jnl[[#This Row],[Acct]], config_BS[Acct], config_BS[Lv0],,0)</f>
        <v>A</v>
      </c>
      <c r="L800" t="str">
        <f>_xlfn.XLOOKUP(Jnl[[#This Row],[Acct]], config_BS[Acct], config_BS[Lv1],,0)</f>
        <v>Assets</v>
      </c>
      <c r="M800" t="str">
        <f>_xlfn.XLOOKUP(Jnl[[#This Row],[Acct]], config_BS[Acct], config_BS[Lv2],,0)</f>
        <v>Rec-Pay</v>
      </c>
      <c r="N800" t="str">
        <f>_xlfn.XLOOKUP(Jnl[[#This Row],[TrxId]], Trx[Id], Trx[IncNode], ,0)</f>
        <v>Revenue</v>
      </c>
      <c r="O800" t="str">
        <f>_xlfn.XLOOKUP(Jnl[[#This Row],[IncNode]], config_IS[Node], config_IS[Type],,0)</f>
        <v>Op</v>
      </c>
      <c r="P800" t="str">
        <f>_xlfn.XLOOKUP(Jnl[[#This Row],[BSLv2]], dict[Key], dict[Name],,0)</f>
        <v>1.应收-应付</v>
      </c>
      <c r="Q800" t="str">
        <f>_xlfn.XLOOKUP(Jnl[[#This Row],[Acct]], dict[Key], dict[Name],,0)</f>
        <v>应收-一般</v>
      </c>
      <c r="R800" t="str">
        <f>_xlfn.XLOOKUP(Jnl[[#This Row],[Vehicle]],config_vehicle[Id], config_vehicle[Name],,0)</f>
        <v>远家文化</v>
      </c>
      <c r="S800" t="str">
        <f>_xlfn.XLOOKUP(Jnl[[#This Row],[Division]],config_div[Id], config_div[Name],,0)</f>
        <v>明月村</v>
      </c>
      <c r="T800" t="str">
        <f>IF(Jnl[[#This Row],[TrxDate]]&lt;=stmt_BS_date_end, "In", "Out")</f>
        <v>In</v>
      </c>
      <c r="U800" t="str">
        <f>IF(Jnl[[#This Row],[TrxDate]]&lt;debug_date_start, "prior", IF(Jnl[[#This Row],[TrxDate]]&gt;debug_date_end, "post", "curr"))</f>
        <v>curr</v>
      </c>
    </row>
    <row r="801" spans="1:21" hidden="1">
      <c r="A801" s="39" t="s">
        <v>1238</v>
      </c>
      <c r="B801" s="6">
        <f>_xlfn.XLOOKUP(Jnl[[#This Row],[TrxId]], Trx[Id], Trx[Date],,0)</f>
        <v>46053</v>
      </c>
      <c r="C801" s="6" t="str">
        <f>_xlfn.XLOOKUP(Jnl[[#This Row],[TrxId]], Trx[Id], Trx[Division],,0)</f>
        <v>GM</v>
      </c>
      <c r="D801" s="6" t="str">
        <f>_xlfn.XLOOKUP(Jnl[[#This Row],[TrxId]], Trx[Id], Trx[Action],,0)</f>
        <v>支付</v>
      </c>
      <c r="E801" s="27" t="s">
        <v>89</v>
      </c>
      <c r="F801" s="10" t="s">
        <v>596</v>
      </c>
      <c r="G801" s="10" t="s">
        <v>909</v>
      </c>
      <c r="H801" s="37">
        <v>-7162</v>
      </c>
      <c r="I801" s="38" t="b">
        <f>AND(Jnl[[#This Row],[TrxId]]&lt;&gt;"",Jnl[[#This Row],[Acct]]&lt;&gt;"",Jnl[[#This Row],[Item]]&lt;&gt;"",ISNUMBER(Jnl[[#This Row],[Bal]]))</f>
        <v>1</v>
      </c>
      <c r="J801" s="9">
        <f>IF(Jnl[[#This Row],[BSLv0]]="A",1,-1)*Jnl[[#This Row],[Bal]]</f>
        <v>-7162</v>
      </c>
      <c r="K801" t="str">
        <f>_xlfn.XLOOKUP(Jnl[[#This Row],[Acct]], config_BS[Acct], config_BS[Lv0],,0)</f>
        <v>A</v>
      </c>
      <c r="L801" t="str">
        <f>_xlfn.XLOOKUP(Jnl[[#This Row],[Acct]], config_BS[Acct], config_BS[Lv1],,0)</f>
        <v>Assets</v>
      </c>
      <c r="M801" t="str">
        <f>_xlfn.XLOOKUP(Jnl[[#This Row],[Acct]], config_BS[Acct], config_BS[Lv2],,0)</f>
        <v>Cash alike</v>
      </c>
      <c r="N801" t="str">
        <f>_xlfn.XLOOKUP(Jnl[[#This Row],[TrxId]], Trx[Id], Trx[IncNode], ,0)</f>
        <v>Expense</v>
      </c>
      <c r="O801" t="str">
        <f>_xlfn.XLOOKUP(Jnl[[#This Row],[IncNode]], config_IS[Node], config_IS[Type],,0)</f>
        <v>Op</v>
      </c>
      <c r="P801" t="str">
        <f>_xlfn.XLOOKUP(Jnl[[#This Row],[BSLv2]], dict[Key], dict[Name],,0)</f>
        <v>0.现金及类似</v>
      </c>
      <c r="Q801" t="str">
        <f>_xlfn.XLOOKUP(Jnl[[#This Row],[Acct]], dict[Key], dict[Name],,0)</f>
        <v>银行</v>
      </c>
      <c r="R801" t="str">
        <f>_xlfn.XLOOKUP(Jnl[[#This Row],[Vehicle]],config_vehicle[Id], config_vehicle[Name],,0)</f>
        <v>小月号</v>
      </c>
      <c r="S801" t="str">
        <f>_xlfn.XLOOKUP(Jnl[[#This Row],[Division]],config_div[Id], config_div[Name],,0)</f>
        <v>综合管理</v>
      </c>
      <c r="T801" t="str">
        <f>IF(Jnl[[#This Row],[TrxDate]]&lt;=stmt_BS_date_end, "In", "Out")</f>
        <v>In</v>
      </c>
      <c r="U801" t="str">
        <f>IF(Jnl[[#This Row],[TrxDate]]&lt;debug_date_start, "prior", IF(Jnl[[#This Row],[TrxDate]]&gt;debug_date_end, "post", "curr"))</f>
        <v>curr</v>
      </c>
    </row>
    <row r="802" spans="1:21" hidden="1">
      <c r="A802" s="39" t="s">
        <v>1238</v>
      </c>
      <c r="B802" s="6">
        <f>_xlfn.XLOOKUP(Jnl[[#This Row],[TrxId]], Trx[Id], Trx[Date],,0)</f>
        <v>46053</v>
      </c>
      <c r="C802" s="6" t="str">
        <f>_xlfn.XLOOKUP(Jnl[[#This Row],[TrxId]], Trx[Id], Trx[Division],,0)</f>
        <v>GM</v>
      </c>
      <c r="D802" s="6" t="str">
        <f>_xlfn.XLOOKUP(Jnl[[#This Row],[TrxId]], Trx[Id], Trx[Action],,0)</f>
        <v>支付</v>
      </c>
      <c r="E802" s="27" t="s">
        <v>85</v>
      </c>
      <c r="F802" s="10" t="s">
        <v>602</v>
      </c>
      <c r="G802" s="10" t="s">
        <v>152</v>
      </c>
      <c r="H802" s="37">
        <f>H801</f>
        <v>-7162</v>
      </c>
      <c r="I802" s="38" t="b">
        <f>AND(Jnl[[#This Row],[TrxId]]&lt;&gt;"",Jnl[[#This Row],[Acct]]&lt;&gt;"",Jnl[[#This Row],[Item]]&lt;&gt;"",ISNUMBER(Jnl[[#This Row],[Bal]]))</f>
        <v>1</v>
      </c>
      <c r="J802" s="9">
        <f>IF(Jnl[[#This Row],[BSLv0]]="A",1,-1)*Jnl[[#This Row],[Bal]]</f>
        <v>7162</v>
      </c>
      <c r="K802" t="str">
        <f>_xlfn.XLOOKUP(Jnl[[#This Row],[Acct]], config_BS[Acct], config_BS[Lv0],,0)</f>
        <v>LC</v>
      </c>
      <c r="L802" t="str">
        <f>_xlfn.XLOOKUP(Jnl[[#This Row],[Acct]], config_BS[Acct], config_BS[Lv1],,0)</f>
        <v>Liability</v>
      </c>
      <c r="M802" t="str">
        <f>_xlfn.XLOOKUP(Jnl[[#This Row],[Acct]], config_BS[Acct], config_BS[Lv2],,0)</f>
        <v>Rec-Pay</v>
      </c>
      <c r="N802" t="str">
        <f>_xlfn.XLOOKUP(Jnl[[#This Row],[TrxId]], Trx[Id], Trx[IncNode], ,0)</f>
        <v>Expense</v>
      </c>
      <c r="O802" t="str">
        <f>_xlfn.XLOOKUP(Jnl[[#This Row],[IncNode]], config_IS[Node], config_IS[Type],,0)</f>
        <v>Op</v>
      </c>
      <c r="P802" t="str">
        <f>_xlfn.XLOOKUP(Jnl[[#This Row],[BSLv2]], dict[Key], dict[Name],,0)</f>
        <v>1.应收-应付</v>
      </c>
      <c r="Q802" t="str">
        <f>_xlfn.XLOOKUP(Jnl[[#This Row],[Acct]], dict[Key], dict[Name],,0)</f>
        <v>应付-薪资</v>
      </c>
      <c r="R802" t="str">
        <f>_xlfn.XLOOKUP(Jnl[[#This Row],[Vehicle]],config_vehicle[Id], config_vehicle[Name],,0)</f>
        <v>远家文化</v>
      </c>
      <c r="S802" t="str">
        <f>_xlfn.XLOOKUP(Jnl[[#This Row],[Division]],config_div[Id], config_div[Name],,0)</f>
        <v>综合管理</v>
      </c>
      <c r="T802" t="str">
        <f>IF(Jnl[[#This Row],[TrxDate]]&lt;=stmt_BS_date_end, "In", "Out")</f>
        <v>In</v>
      </c>
      <c r="U802" t="str">
        <f>IF(Jnl[[#This Row],[TrxDate]]&lt;debug_date_start, "prior", IF(Jnl[[#This Row],[TrxDate]]&gt;debug_date_end, "post", "curr"))</f>
        <v>curr</v>
      </c>
    </row>
    <row r="803" spans="1:21" hidden="1">
      <c r="A803" s="39" t="s">
        <v>1239</v>
      </c>
      <c r="B803" s="6">
        <f>_xlfn.XLOOKUP(Jnl[[#This Row],[TrxId]], Trx[Id], Trx[Date],,0)</f>
        <v>46053</v>
      </c>
      <c r="C803" s="6" t="str">
        <f>_xlfn.XLOOKUP(Jnl[[#This Row],[TrxId]], Trx[Id], Trx[Division],,0)</f>
        <v>MY</v>
      </c>
      <c r="D803" s="6" t="str">
        <f>_xlfn.XLOOKUP(Jnl[[#This Row],[TrxId]], Trx[Id], Trx[Action],,0)</f>
        <v>收款</v>
      </c>
      <c r="E803" s="27" t="s">
        <v>89</v>
      </c>
      <c r="F803" s="10" t="s">
        <v>596</v>
      </c>
      <c r="G803" s="10" t="s">
        <v>909</v>
      </c>
      <c r="H803" s="37">
        <v>758</v>
      </c>
      <c r="I803" s="38" t="b">
        <f>AND(Jnl[[#This Row],[TrxId]]&lt;&gt;"",Jnl[[#This Row],[Acct]]&lt;&gt;"",Jnl[[#This Row],[Item]]&lt;&gt;"",ISNUMBER(Jnl[[#This Row],[Bal]]))</f>
        <v>1</v>
      </c>
      <c r="J803" s="9">
        <f>IF(Jnl[[#This Row],[BSLv0]]="A",1,-1)*Jnl[[#This Row],[Bal]]</f>
        <v>758</v>
      </c>
      <c r="K803" t="str">
        <f>_xlfn.XLOOKUP(Jnl[[#This Row],[Acct]], config_BS[Acct], config_BS[Lv0],,0)</f>
        <v>A</v>
      </c>
      <c r="L803" t="str">
        <f>_xlfn.XLOOKUP(Jnl[[#This Row],[Acct]], config_BS[Acct], config_BS[Lv1],,0)</f>
        <v>Assets</v>
      </c>
      <c r="M803" t="str">
        <f>_xlfn.XLOOKUP(Jnl[[#This Row],[Acct]], config_BS[Acct], config_BS[Lv2],,0)</f>
        <v>Cash alike</v>
      </c>
      <c r="N803" t="str">
        <f>_xlfn.XLOOKUP(Jnl[[#This Row],[TrxId]], Trx[Id], Trx[IncNode], ,0)</f>
        <v>Revenue</v>
      </c>
      <c r="O803" t="str">
        <f>_xlfn.XLOOKUP(Jnl[[#This Row],[IncNode]], config_IS[Node], config_IS[Type],,0)</f>
        <v>Op</v>
      </c>
      <c r="P803" t="str">
        <f>_xlfn.XLOOKUP(Jnl[[#This Row],[BSLv2]], dict[Key], dict[Name],,0)</f>
        <v>0.现金及类似</v>
      </c>
      <c r="Q803" t="str">
        <f>_xlfn.XLOOKUP(Jnl[[#This Row],[Acct]], dict[Key], dict[Name],,0)</f>
        <v>银行</v>
      </c>
      <c r="R803" t="str">
        <f>_xlfn.XLOOKUP(Jnl[[#This Row],[Vehicle]],config_vehicle[Id], config_vehicle[Name],,0)</f>
        <v>小月号</v>
      </c>
      <c r="S803" t="str">
        <f>_xlfn.XLOOKUP(Jnl[[#This Row],[Division]],config_div[Id], config_div[Name],,0)</f>
        <v>明月村</v>
      </c>
      <c r="T803" t="str">
        <f>IF(Jnl[[#This Row],[TrxDate]]&lt;=stmt_BS_date_end, "In", "Out")</f>
        <v>In</v>
      </c>
      <c r="U803" t="str">
        <f>IF(Jnl[[#This Row],[TrxDate]]&lt;debug_date_start, "prior", IF(Jnl[[#This Row],[TrxDate]]&gt;debug_date_end, "post", "curr"))</f>
        <v>curr</v>
      </c>
    </row>
    <row r="804" spans="1:21" hidden="1">
      <c r="A804" s="39" t="s">
        <v>1239</v>
      </c>
      <c r="B804" s="6">
        <f>_xlfn.XLOOKUP(Jnl[[#This Row],[TrxId]], Trx[Id], Trx[Date],,0)</f>
        <v>46053</v>
      </c>
      <c r="C804" s="6" t="str">
        <f>_xlfn.XLOOKUP(Jnl[[#This Row],[TrxId]], Trx[Id], Trx[Division],,0)</f>
        <v>MY</v>
      </c>
      <c r="D804" s="6" t="str">
        <f>_xlfn.XLOOKUP(Jnl[[#This Row],[TrxId]], Trx[Id], Trx[Action],,0)</f>
        <v>收款</v>
      </c>
      <c r="E804" s="27" t="s">
        <v>85</v>
      </c>
      <c r="F804" s="10" t="s">
        <v>599</v>
      </c>
      <c r="G804" s="10" t="s">
        <v>1009</v>
      </c>
      <c r="H804" s="37">
        <v>-758</v>
      </c>
      <c r="I804" s="38" t="b">
        <f>AND(Jnl[[#This Row],[TrxId]]&lt;&gt;"",Jnl[[#This Row],[Acct]]&lt;&gt;"",Jnl[[#This Row],[Item]]&lt;&gt;"",ISNUMBER(Jnl[[#This Row],[Bal]]))</f>
        <v>1</v>
      </c>
      <c r="J804" s="9">
        <f>IF(Jnl[[#This Row],[BSLv0]]="A",1,-1)*Jnl[[#This Row],[Bal]]</f>
        <v>-758</v>
      </c>
      <c r="K804" t="str">
        <f>_xlfn.XLOOKUP(Jnl[[#This Row],[Acct]], config_BS[Acct], config_BS[Lv0],,0)</f>
        <v>A</v>
      </c>
      <c r="L804" t="str">
        <f>_xlfn.XLOOKUP(Jnl[[#This Row],[Acct]], config_BS[Acct], config_BS[Lv1],,0)</f>
        <v>Assets</v>
      </c>
      <c r="M804" t="str">
        <f>_xlfn.XLOOKUP(Jnl[[#This Row],[Acct]], config_BS[Acct], config_BS[Lv2],,0)</f>
        <v>Rec-Pay</v>
      </c>
      <c r="N804" t="str">
        <f>_xlfn.XLOOKUP(Jnl[[#This Row],[TrxId]], Trx[Id], Trx[IncNode], ,0)</f>
        <v>Revenue</v>
      </c>
      <c r="O804" t="str">
        <f>_xlfn.XLOOKUP(Jnl[[#This Row],[IncNode]], config_IS[Node], config_IS[Type],,0)</f>
        <v>Op</v>
      </c>
      <c r="P804" t="str">
        <f>_xlfn.XLOOKUP(Jnl[[#This Row],[BSLv2]], dict[Key], dict[Name],,0)</f>
        <v>1.应收-应付</v>
      </c>
      <c r="Q804" t="str">
        <f>_xlfn.XLOOKUP(Jnl[[#This Row],[Acct]], dict[Key], dict[Name],,0)</f>
        <v>应收-一般</v>
      </c>
      <c r="R804" t="str">
        <f>_xlfn.XLOOKUP(Jnl[[#This Row],[Vehicle]],config_vehicle[Id], config_vehicle[Name],,0)</f>
        <v>远家文化</v>
      </c>
      <c r="S804" t="str">
        <f>_xlfn.XLOOKUP(Jnl[[#This Row],[Division]],config_div[Id], config_div[Name],,0)</f>
        <v>明月村</v>
      </c>
      <c r="T804" t="str">
        <f>IF(Jnl[[#This Row],[TrxDate]]&lt;=stmt_BS_date_end, "In", "Out")</f>
        <v>In</v>
      </c>
      <c r="U804" t="str">
        <f>IF(Jnl[[#This Row],[TrxDate]]&lt;debug_date_start, "prior", IF(Jnl[[#This Row],[TrxDate]]&gt;debug_date_end, "post", "curr"))</f>
        <v>curr</v>
      </c>
    </row>
    <row r="805" spans="1:21" hidden="1">
      <c r="A805" s="39" t="s">
        <v>1240</v>
      </c>
      <c r="B805" s="6">
        <f>_xlfn.XLOOKUP(Jnl[[#This Row],[TrxId]], Trx[Id], Trx[Date],,0)</f>
        <v>46053</v>
      </c>
      <c r="C805" s="6" t="str">
        <f>_xlfn.XLOOKUP(Jnl[[#This Row],[TrxId]], Trx[Id], Trx[Division],,0)</f>
        <v>MY</v>
      </c>
      <c r="D805" s="6" t="str">
        <f>_xlfn.XLOOKUP(Jnl[[#This Row],[TrxId]], Trx[Id], Trx[Action],,0)</f>
        <v>其他材料</v>
      </c>
      <c r="E805" s="27" t="s">
        <v>89</v>
      </c>
      <c r="F805" s="10" t="s">
        <v>596</v>
      </c>
      <c r="G805" s="10" t="s">
        <v>909</v>
      </c>
      <c r="H805" s="37">
        <v>-44.1</v>
      </c>
      <c r="I805" s="38" t="b">
        <f>AND(Jnl[[#This Row],[TrxId]]&lt;&gt;"",Jnl[[#This Row],[Acct]]&lt;&gt;"",Jnl[[#This Row],[Item]]&lt;&gt;"",ISNUMBER(Jnl[[#This Row],[Bal]]))</f>
        <v>1</v>
      </c>
      <c r="J805" s="9">
        <f>IF(Jnl[[#This Row],[BSLv0]]="A",1,-1)*Jnl[[#This Row],[Bal]]</f>
        <v>-44.1</v>
      </c>
      <c r="K805" t="str">
        <f>_xlfn.XLOOKUP(Jnl[[#This Row],[Acct]], config_BS[Acct], config_BS[Lv0],,0)</f>
        <v>A</v>
      </c>
      <c r="L805" t="str">
        <f>_xlfn.XLOOKUP(Jnl[[#This Row],[Acct]], config_BS[Acct], config_BS[Lv1],,0)</f>
        <v>Assets</v>
      </c>
      <c r="M805" t="str">
        <f>_xlfn.XLOOKUP(Jnl[[#This Row],[Acct]], config_BS[Acct], config_BS[Lv2],,0)</f>
        <v>Cash alike</v>
      </c>
      <c r="N805" t="str">
        <f>_xlfn.XLOOKUP(Jnl[[#This Row],[TrxId]], Trx[Id], Trx[IncNode], ,0)</f>
        <v>Cost</v>
      </c>
      <c r="O805" t="str">
        <f>_xlfn.XLOOKUP(Jnl[[#This Row],[IncNode]], config_IS[Node], config_IS[Type],,0)</f>
        <v>Op</v>
      </c>
      <c r="P805" t="str">
        <f>_xlfn.XLOOKUP(Jnl[[#This Row],[BSLv2]], dict[Key], dict[Name],,0)</f>
        <v>0.现金及类似</v>
      </c>
      <c r="Q805" t="str">
        <f>_xlfn.XLOOKUP(Jnl[[#This Row],[Acct]], dict[Key], dict[Name],,0)</f>
        <v>银行</v>
      </c>
      <c r="R805" t="str">
        <f>_xlfn.XLOOKUP(Jnl[[#This Row],[Vehicle]],config_vehicle[Id], config_vehicle[Name],,0)</f>
        <v>小月号</v>
      </c>
      <c r="S805" t="str">
        <f>_xlfn.XLOOKUP(Jnl[[#This Row],[Division]],config_div[Id], config_div[Name],,0)</f>
        <v>明月村</v>
      </c>
      <c r="T805" t="str">
        <f>IF(Jnl[[#This Row],[TrxDate]]&lt;=stmt_BS_date_end, "In", "Out")</f>
        <v>In</v>
      </c>
      <c r="U805" t="str">
        <f>IF(Jnl[[#This Row],[TrxDate]]&lt;debug_date_start, "prior", IF(Jnl[[#This Row],[TrxDate]]&gt;debug_date_end, "post", "curr"))</f>
        <v>curr</v>
      </c>
    </row>
    <row r="806" spans="1:21" hidden="1">
      <c r="A806" s="39" t="s">
        <v>1241</v>
      </c>
      <c r="B806" s="6">
        <f>_xlfn.XLOOKUP(Jnl[[#This Row],[TrxId]], Trx[Id], Trx[Date],,0)</f>
        <v>46053</v>
      </c>
      <c r="C806" s="6" t="str">
        <f>_xlfn.XLOOKUP(Jnl[[#This Row],[TrxId]], Trx[Id], Trx[Division],,0)</f>
        <v>MY</v>
      </c>
      <c r="D806" s="6" t="str">
        <f>_xlfn.XLOOKUP(Jnl[[#This Row],[TrxId]], Trx[Id], Trx[Action],,0)</f>
        <v>其他材料</v>
      </c>
      <c r="E806" s="27" t="s">
        <v>89</v>
      </c>
      <c r="F806" s="10" t="s">
        <v>596</v>
      </c>
      <c r="G806" s="10" t="s">
        <v>909</v>
      </c>
      <c r="H806" s="37">
        <v>-340</v>
      </c>
      <c r="I806" s="38" t="b">
        <f>AND(Jnl[[#This Row],[TrxId]]&lt;&gt;"",Jnl[[#This Row],[Acct]]&lt;&gt;"",Jnl[[#This Row],[Item]]&lt;&gt;"",ISNUMBER(Jnl[[#This Row],[Bal]]))</f>
        <v>1</v>
      </c>
      <c r="J806" s="9">
        <f>IF(Jnl[[#This Row],[BSLv0]]="A",1,-1)*Jnl[[#This Row],[Bal]]</f>
        <v>-340</v>
      </c>
      <c r="K806" t="str">
        <f>_xlfn.XLOOKUP(Jnl[[#This Row],[Acct]], config_BS[Acct], config_BS[Lv0],,0)</f>
        <v>A</v>
      </c>
      <c r="L806" t="str">
        <f>_xlfn.XLOOKUP(Jnl[[#This Row],[Acct]], config_BS[Acct], config_BS[Lv1],,0)</f>
        <v>Assets</v>
      </c>
      <c r="M806" t="str">
        <f>_xlfn.XLOOKUP(Jnl[[#This Row],[Acct]], config_BS[Acct], config_BS[Lv2],,0)</f>
        <v>Cash alike</v>
      </c>
      <c r="N806" t="str">
        <f>_xlfn.XLOOKUP(Jnl[[#This Row],[TrxId]], Trx[Id], Trx[IncNode], ,0)</f>
        <v>Cost</v>
      </c>
      <c r="O806" t="str">
        <f>_xlfn.XLOOKUP(Jnl[[#This Row],[IncNode]], config_IS[Node], config_IS[Type],,0)</f>
        <v>Op</v>
      </c>
      <c r="P806" t="str">
        <f>_xlfn.XLOOKUP(Jnl[[#This Row],[BSLv2]], dict[Key], dict[Name],,0)</f>
        <v>0.现金及类似</v>
      </c>
      <c r="Q806" t="str">
        <f>_xlfn.XLOOKUP(Jnl[[#This Row],[Acct]], dict[Key], dict[Name],,0)</f>
        <v>银行</v>
      </c>
      <c r="R806" t="str">
        <f>_xlfn.XLOOKUP(Jnl[[#This Row],[Vehicle]],config_vehicle[Id], config_vehicle[Name],,0)</f>
        <v>小月号</v>
      </c>
      <c r="S806" t="str">
        <f>_xlfn.XLOOKUP(Jnl[[#This Row],[Division]],config_div[Id], config_div[Name],,0)</f>
        <v>明月村</v>
      </c>
      <c r="T806" t="str">
        <f>IF(Jnl[[#This Row],[TrxDate]]&lt;=stmt_BS_date_end, "In", "Out")</f>
        <v>In</v>
      </c>
      <c r="U806" t="str">
        <f>IF(Jnl[[#This Row],[TrxDate]]&lt;debug_date_start, "prior", IF(Jnl[[#This Row],[TrxDate]]&gt;debug_date_end, "post", "curr"))</f>
        <v>curr</v>
      </c>
    </row>
    <row r="807" spans="1:21" hidden="1">
      <c r="A807" s="39" t="s">
        <v>1242</v>
      </c>
      <c r="B807" s="6">
        <f>_xlfn.XLOOKUP(Jnl[[#This Row],[TrxId]], Trx[Id], Trx[Date],,0)</f>
        <v>46053</v>
      </c>
      <c r="C807" s="6" t="str">
        <f>_xlfn.XLOOKUP(Jnl[[#This Row],[TrxId]], Trx[Id], Trx[Division],,0)</f>
        <v>MY</v>
      </c>
      <c r="D807" s="6" t="str">
        <f>_xlfn.XLOOKUP(Jnl[[#This Row],[TrxId]], Trx[Id], Trx[Action],,0)</f>
        <v>收款</v>
      </c>
      <c r="E807" s="27" t="s">
        <v>89</v>
      </c>
      <c r="F807" s="10" t="s">
        <v>596</v>
      </c>
      <c r="G807" s="10" t="s">
        <v>909</v>
      </c>
      <c r="H807" s="37">
        <v>5000</v>
      </c>
      <c r="I807" s="38" t="b">
        <f>AND(Jnl[[#This Row],[TrxId]]&lt;&gt;"",Jnl[[#This Row],[Acct]]&lt;&gt;"",Jnl[[#This Row],[Item]]&lt;&gt;"",ISNUMBER(Jnl[[#This Row],[Bal]]))</f>
        <v>1</v>
      </c>
      <c r="J807" s="9">
        <f>IF(Jnl[[#This Row],[BSLv0]]="A",1,-1)*Jnl[[#This Row],[Bal]]</f>
        <v>5000</v>
      </c>
      <c r="K807" t="str">
        <f>_xlfn.XLOOKUP(Jnl[[#This Row],[Acct]], config_BS[Acct], config_BS[Lv0],,0)</f>
        <v>A</v>
      </c>
      <c r="L807" t="str">
        <f>_xlfn.XLOOKUP(Jnl[[#This Row],[Acct]], config_BS[Acct], config_BS[Lv1],,0)</f>
        <v>Assets</v>
      </c>
      <c r="M807" t="str">
        <f>_xlfn.XLOOKUP(Jnl[[#This Row],[Acct]], config_BS[Acct], config_BS[Lv2],,0)</f>
        <v>Cash alike</v>
      </c>
      <c r="N807" t="str">
        <f>_xlfn.XLOOKUP(Jnl[[#This Row],[TrxId]], Trx[Id], Trx[IncNode], ,0)</f>
        <v>Revenue</v>
      </c>
      <c r="O807" t="str">
        <f>_xlfn.XLOOKUP(Jnl[[#This Row],[IncNode]], config_IS[Node], config_IS[Type],,0)</f>
        <v>Op</v>
      </c>
      <c r="P807" t="str">
        <f>_xlfn.XLOOKUP(Jnl[[#This Row],[BSLv2]], dict[Key], dict[Name],,0)</f>
        <v>0.现金及类似</v>
      </c>
      <c r="Q807" t="str">
        <f>_xlfn.XLOOKUP(Jnl[[#This Row],[Acct]], dict[Key], dict[Name],,0)</f>
        <v>银行</v>
      </c>
      <c r="R807" t="str">
        <f>_xlfn.XLOOKUP(Jnl[[#This Row],[Vehicle]],config_vehicle[Id], config_vehicle[Name],,0)</f>
        <v>小月号</v>
      </c>
      <c r="S807" t="str">
        <f>_xlfn.XLOOKUP(Jnl[[#This Row],[Division]],config_div[Id], config_div[Name],,0)</f>
        <v>明月村</v>
      </c>
      <c r="T807" t="str">
        <f>IF(Jnl[[#This Row],[TrxDate]]&lt;=stmt_BS_date_end, "In", "Out")</f>
        <v>In</v>
      </c>
      <c r="U807" t="str">
        <f>IF(Jnl[[#This Row],[TrxDate]]&lt;debug_date_start, "prior", IF(Jnl[[#This Row],[TrxDate]]&gt;debug_date_end, "post", "curr"))</f>
        <v>curr</v>
      </c>
    </row>
    <row r="808" spans="1:21" hidden="1">
      <c r="A808" s="39" t="s">
        <v>1242</v>
      </c>
      <c r="B808" s="6">
        <f>_xlfn.XLOOKUP(Jnl[[#This Row],[TrxId]], Trx[Id], Trx[Date],,0)</f>
        <v>46053</v>
      </c>
      <c r="C808" s="6" t="str">
        <f>_xlfn.XLOOKUP(Jnl[[#This Row],[TrxId]], Trx[Id], Trx[Division],,0)</f>
        <v>MY</v>
      </c>
      <c r="D808" s="6" t="str">
        <f>_xlfn.XLOOKUP(Jnl[[#This Row],[TrxId]], Trx[Id], Trx[Action],,0)</f>
        <v>收款</v>
      </c>
      <c r="E808" s="27" t="s">
        <v>85</v>
      </c>
      <c r="F808" s="10" t="s">
        <v>599</v>
      </c>
      <c r="G808" s="10" t="s">
        <v>1073</v>
      </c>
      <c r="H808" s="37">
        <v>-5000</v>
      </c>
      <c r="I808" s="38" t="b">
        <f>AND(Jnl[[#This Row],[TrxId]]&lt;&gt;"",Jnl[[#This Row],[Acct]]&lt;&gt;"",Jnl[[#This Row],[Item]]&lt;&gt;"",ISNUMBER(Jnl[[#This Row],[Bal]]))</f>
        <v>1</v>
      </c>
      <c r="J808" s="9">
        <f>IF(Jnl[[#This Row],[BSLv0]]="A",1,-1)*Jnl[[#This Row],[Bal]]</f>
        <v>-5000</v>
      </c>
      <c r="K808" t="str">
        <f>_xlfn.XLOOKUP(Jnl[[#This Row],[Acct]], config_BS[Acct], config_BS[Lv0],,0)</f>
        <v>A</v>
      </c>
      <c r="L808" t="str">
        <f>_xlfn.XLOOKUP(Jnl[[#This Row],[Acct]], config_BS[Acct], config_BS[Lv1],,0)</f>
        <v>Assets</v>
      </c>
      <c r="M808" t="str">
        <f>_xlfn.XLOOKUP(Jnl[[#This Row],[Acct]], config_BS[Acct], config_BS[Lv2],,0)</f>
        <v>Rec-Pay</v>
      </c>
      <c r="N808" t="str">
        <f>_xlfn.XLOOKUP(Jnl[[#This Row],[TrxId]], Trx[Id], Trx[IncNode], ,0)</f>
        <v>Revenue</v>
      </c>
      <c r="O808" t="str">
        <f>_xlfn.XLOOKUP(Jnl[[#This Row],[IncNode]], config_IS[Node], config_IS[Type],,0)</f>
        <v>Op</v>
      </c>
      <c r="P808" t="str">
        <f>_xlfn.XLOOKUP(Jnl[[#This Row],[BSLv2]], dict[Key], dict[Name],,0)</f>
        <v>1.应收-应付</v>
      </c>
      <c r="Q808" t="str">
        <f>_xlfn.XLOOKUP(Jnl[[#This Row],[Acct]], dict[Key], dict[Name],,0)</f>
        <v>应收-一般</v>
      </c>
      <c r="R808" t="str">
        <f>_xlfn.XLOOKUP(Jnl[[#This Row],[Vehicle]],config_vehicle[Id], config_vehicle[Name],,0)</f>
        <v>远家文化</v>
      </c>
      <c r="S808" t="str">
        <f>_xlfn.XLOOKUP(Jnl[[#This Row],[Division]],config_div[Id], config_div[Name],,0)</f>
        <v>明月村</v>
      </c>
      <c r="T808" t="str">
        <f>IF(Jnl[[#This Row],[TrxDate]]&lt;=stmt_BS_date_end, "In", "Out")</f>
        <v>In</v>
      </c>
      <c r="U808" t="str">
        <f>IF(Jnl[[#This Row],[TrxDate]]&lt;debug_date_start, "prior", IF(Jnl[[#This Row],[TrxDate]]&gt;debug_date_end, "post", "curr"))</f>
        <v>curr</v>
      </c>
    </row>
    <row r="809" spans="1:21" hidden="1">
      <c r="A809" s="39" t="s">
        <v>1243</v>
      </c>
      <c r="B809" s="6">
        <f>_xlfn.XLOOKUP(Jnl[[#This Row],[TrxId]], Trx[Id], Trx[Date],,0)</f>
        <v>46053</v>
      </c>
      <c r="C809" s="6" t="str">
        <f>_xlfn.XLOOKUP(Jnl[[#This Row],[TrxId]], Trx[Id], Trx[Division],,0)</f>
        <v>MY</v>
      </c>
      <c r="D809" s="6" t="str">
        <f>_xlfn.XLOOKUP(Jnl[[#This Row],[TrxId]], Trx[Id], Trx[Action],,0)</f>
        <v>收款</v>
      </c>
      <c r="E809" s="27" t="s">
        <v>89</v>
      </c>
      <c r="F809" s="10" t="s">
        <v>596</v>
      </c>
      <c r="G809" s="10" t="s">
        <v>909</v>
      </c>
      <c r="H809" s="37">
        <v>1000</v>
      </c>
      <c r="I809" s="38" t="b">
        <f>AND(Jnl[[#This Row],[TrxId]]&lt;&gt;"",Jnl[[#This Row],[Acct]]&lt;&gt;"",Jnl[[#This Row],[Item]]&lt;&gt;"",ISNUMBER(Jnl[[#This Row],[Bal]]))</f>
        <v>1</v>
      </c>
      <c r="J809" s="9">
        <f>IF(Jnl[[#This Row],[BSLv0]]="A",1,-1)*Jnl[[#This Row],[Bal]]</f>
        <v>1000</v>
      </c>
      <c r="K809" t="str">
        <f>_xlfn.XLOOKUP(Jnl[[#This Row],[Acct]], config_BS[Acct], config_BS[Lv0],,0)</f>
        <v>A</v>
      </c>
      <c r="L809" t="str">
        <f>_xlfn.XLOOKUP(Jnl[[#This Row],[Acct]], config_BS[Acct], config_BS[Lv1],,0)</f>
        <v>Assets</v>
      </c>
      <c r="M809" t="str">
        <f>_xlfn.XLOOKUP(Jnl[[#This Row],[Acct]], config_BS[Acct], config_BS[Lv2],,0)</f>
        <v>Cash alike</v>
      </c>
      <c r="N809" t="str">
        <f>_xlfn.XLOOKUP(Jnl[[#This Row],[TrxId]], Trx[Id], Trx[IncNode], ,0)</f>
        <v>Revenue</v>
      </c>
      <c r="O809" t="str">
        <f>_xlfn.XLOOKUP(Jnl[[#This Row],[IncNode]], config_IS[Node], config_IS[Type],,0)</f>
        <v>Op</v>
      </c>
      <c r="P809" t="str">
        <f>_xlfn.XLOOKUP(Jnl[[#This Row],[BSLv2]], dict[Key], dict[Name],,0)</f>
        <v>0.现金及类似</v>
      </c>
      <c r="Q809" t="str">
        <f>_xlfn.XLOOKUP(Jnl[[#This Row],[Acct]], dict[Key], dict[Name],,0)</f>
        <v>银行</v>
      </c>
      <c r="R809" t="str">
        <f>_xlfn.XLOOKUP(Jnl[[#This Row],[Vehicle]],config_vehicle[Id], config_vehicle[Name],,0)</f>
        <v>小月号</v>
      </c>
      <c r="S809" t="str">
        <f>_xlfn.XLOOKUP(Jnl[[#This Row],[Division]],config_div[Id], config_div[Name],,0)</f>
        <v>明月村</v>
      </c>
      <c r="T809" t="str">
        <f>IF(Jnl[[#This Row],[TrxDate]]&lt;=stmt_BS_date_end, "In", "Out")</f>
        <v>In</v>
      </c>
      <c r="U809" t="str">
        <f>IF(Jnl[[#This Row],[TrxDate]]&lt;debug_date_start, "prior", IF(Jnl[[#This Row],[TrxDate]]&gt;debug_date_end, "post", "curr"))</f>
        <v>curr</v>
      </c>
    </row>
    <row r="810" spans="1:21" hidden="1">
      <c r="A810" s="39" t="s">
        <v>1243</v>
      </c>
      <c r="B810" s="6">
        <f>_xlfn.XLOOKUP(Jnl[[#This Row],[TrxId]], Trx[Id], Trx[Date],,0)</f>
        <v>46053</v>
      </c>
      <c r="C810" s="6" t="str">
        <f>_xlfn.XLOOKUP(Jnl[[#This Row],[TrxId]], Trx[Id], Trx[Division],,0)</f>
        <v>MY</v>
      </c>
      <c r="D810" s="6" t="str">
        <f>_xlfn.XLOOKUP(Jnl[[#This Row],[TrxId]], Trx[Id], Trx[Action],,0)</f>
        <v>收款</v>
      </c>
      <c r="E810" s="27" t="s">
        <v>85</v>
      </c>
      <c r="F810" s="10" t="s">
        <v>599</v>
      </c>
      <c r="G810" s="10" t="s">
        <v>1073</v>
      </c>
      <c r="H810" s="37">
        <f>-H809</f>
        <v>-1000</v>
      </c>
      <c r="I810" s="38" t="b">
        <f>AND(Jnl[[#This Row],[TrxId]]&lt;&gt;"",Jnl[[#This Row],[Acct]]&lt;&gt;"",Jnl[[#This Row],[Item]]&lt;&gt;"",ISNUMBER(Jnl[[#This Row],[Bal]]))</f>
        <v>1</v>
      </c>
      <c r="J810" s="9">
        <f>IF(Jnl[[#This Row],[BSLv0]]="A",1,-1)*Jnl[[#This Row],[Bal]]</f>
        <v>-1000</v>
      </c>
      <c r="K810" t="str">
        <f>_xlfn.XLOOKUP(Jnl[[#This Row],[Acct]], config_BS[Acct], config_BS[Lv0],,0)</f>
        <v>A</v>
      </c>
      <c r="L810" t="str">
        <f>_xlfn.XLOOKUP(Jnl[[#This Row],[Acct]], config_BS[Acct], config_BS[Lv1],,0)</f>
        <v>Assets</v>
      </c>
      <c r="M810" t="str">
        <f>_xlfn.XLOOKUP(Jnl[[#This Row],[Acct]], config_BS[Acct], config_BS[Lv2],,0)</f>
        <v>Rec-Pay</v>
      </c>
      <c r="N810" t="str">
        <f>_xlfn.XLOOKUP(Jnl[[#This Row],[TrxId]], Trx[Id], Trx[IncNode], ,0)</f>
        <v>Revenue</v>
      </c>
      <c r="O810" t="str">
        <f>_xlfn.XLOOKUP(Jnl[[#This Row],[IncNode]], config_IS[Node], config_IS[Type],,0)</f>
        <v>Op</v>
      </c>
      <c r="P810" t="str">
        <f>_xlfn.XLOOKUP(Jnl[[#This Row],[BSLv2]], dict[Key], dict[Name],,0)</f>
        <v>1.应收-应付</v>
      </c>
      <c r="Q810" t="str">
        <f>_xlfn.XLOOKUP(Jnl[[#This Row],[Acct]], dict[Key], dict[Name],,0)</f>
        <v>应收-一般</v>
      </c>
      <c r="R810" t="str">
        <f>_xlfn.XLOOKUP(Jnl[[#This Row],[Vehicle]],config_vehicle[Id], config_vehicle[Name],,0)</f>
        <v>远家文化</v>
      </c>
      <c r="S810" t="str">
        <f>_xlfn.XLOOKUP(Jnl[[#This Row],[Division]],config_div[Id], config_div[Name],,0)</f>
        <v>明月村</v>
      </c>
      <c r="T810" t="str">
        <f>IF(Jnl[[#This Row],[TrxDate]]&lt;=stmt_BS_date_end, "In", "Out")</f>
        <v>In</v>
      </c>
      <c r="U810" t="str">
        <f>IF(Jnl[[#This Row],[TrxDate]]&lt;debug_date_start, "prior", IF(Jnl[[#This Row],[TrxDate]]&gt;debug_date_end, "post", "curr"))</f>
        <v>curr</v>
      </c>
    </row>
    <row r="811" spans="1:21" hidden="1">
      <c r="A811" s="39" t="s">
        <v>1244</v>
      </c>
      <c r="B811" s="6">
        <f>_xlfn.XLOOKUP(Jnl[[#This Row],[TrxId]], Trx[Id], Trx[Date],,0)</f>
        <v>46053</v>
      </c>
      <c r="C811" s="6" t="str">
        <f>_xlfn.XLOOKUP(Jnl[[#This Row],[TrxId]], Trx[Id], Trx[Division],,0)</f>
        <v>MY</v>
      </c>
      <c r="D811" s="6" t="str">
        <f>_xlfn.XLOOKUP(Jnl[[#This Row],[TrxId]], Trx[Id], Trx[Action],,0)</f>
        <v>退款-客人</v>
      </c>
      <c r="E811" s="27" t="s">
        <v>89</v>
      </c>
      <c r="F811" s="10" t="s">
        <v>596</v>
      </c>
      <c r="G811" s="10" t="s">
        <v>909</v>
      </c>
      <c r="H811" s="37">
        <v>-5000</v>
      </c>
      <c r="I811" s="38" t="b">
        <f>AND(Jnl[[#This Row],[TrxId]]&lt;&gt;"",Jnl[[#This Row],[Acct]]&lt;&gt;"",Jnl[[#This Row],[Item]]&lt;&gt;"",ISNUMBER(Jnl[[#This Row],[Bal]]))</f>
        <v>1</v>
      </c>
      <c r="J811" s="9">
        <f>IF(Jnl[[#This Row],[BSLv0]]="A",1,-1)*Jnl[[#This Row],[Bal]]</f>
        <v>-5000</v>
      </c>
      <c r="K811" t="str">
        <f>_xlfn.XLOOKUP(Jnl[[#This Row],[Acct]], config_BS[Acct], config_BS[Lv0],,0)</f>
        <v>A</v>
      </c>
      <c r="L811" t="str">
        <f>_xlfn.XLOOKUP(Jnl[[#This Row],[Acct]], config_BS[Acct], config_BS[Lv1],,0)</f>
        <v>Assets</v>
      </c>
      <c r="M811" t="str">
        <f>_xlfn.XLOOKUP(Jnl[[#This Row],[Acct]], config_BS[Acct], config_BS[Lv2],,0)</f>
        <v>Cash alike</v>
      </c>
      <c r="N811" t="str">
        <f>_xlfn.XLOOKUP(Jnl[[#This Row],[TrxId]], Trx[Id], Trx[IncNode], ,0)</f>
        <v>Revenue</v>
      </c>
      <c r="O811" t="str">
        <f>_xlfn.XLOOKUP(Jnl[[#This Row],[IncNode]], config_IS[Node], config_IS[Type],,0)</f>
        <v>Op</v>
      </c>
      <c r="P811" t="str">
        <f>_xlfn.XLOOKUP(Jnl[[#This Row],[BSLv2]], dict[Key], dict[Name],,0)</f>
        <v>0.现金及类似</v>
      </c>
      <c r="Q811" t="str">
        <f>_xlfn.XLOOKUP(Jnl[[#This Row],[Acct]], dict[Key], dict[Name],,0)</f>
        <v>银行</v>
      </c>
      <c r="R811" t="str">
        <f>_xlfn.XLOOKUP(Jnl[[#This Row],[Vehicle]],config_vehicle[Id], config_vehicle[Name],,0)</f>
        <v>小月号</v>
      </c>
      <c r="S811" t="str">
        <f>_xlfn.XLOOKUP(Jnl[[#This Row],[Division]],config_div[Id], config_div[Name],,0)</f>
        <v>明月村</v>
      </c>
      <c r="T811" t="str">
        <f>IF(Jnl[[#This Row],[TrxDate]]&lt;=stmt_BS_date_end, "In", "Out")</f>
        <v>In</v>
      </c>
      <c r="U811" t="str">
        <f>IF(Jnl[[#This Row],[TrxDate]]&lt;debug_date_start, "prior", IF(Jnl[[#This Row],[TrxDate]]&gt;debug_date_end, "post", "curr"))</f>
        <v>curr</v>
      </c>
    </row>
    <row r="812" spans="1:21" hidden="1">
      <c r="A812" s="39" t="s">
        <v>1244</v>
      </c>
      <c r="B812" s="6">
        <f>_xlfn.XLOOKUP(Jnl[[#This Row],[TrxId]], Trx[Id], Trx[Date],,0)</f>
        <v>46053</v>
      </c>
      <c r="C812" s="6" t="str">
        <f>_xlfn.XLOOKUP(Jnl[[#This Row],[TrxId]], Trx[Id], Trx[Division],,0)</f>
        <v>MY</v>
      </c>
      <c r="D812" s="6" t="str">
        <f>_xlfn.XLOOKUP(Jnl[[#This Row],[TrxId]], Trx[Id], Trx[Action],,0)</f>
        <v>退款-客人</v>
      </c>
      <c r="E812" s="27" t="s">
        <v>85</v>
      </c>
      <c r="F812" s="10" t="s">
        <v>599</v>
      </c>
      <c r="G812" s="10" t="s">
        <v>1073</v>
      </c>
      <c r="H812" s="37">
        <v>5000</v>
      </c>
      <c r="I812" s="38" t="b">
        <f>AND(Jnl[[#This Row],[TrxId]]&lt;&gt;"",Jnl[[#This Row],[Acct]]&lt;&gt;"",Jnl[[#This Row],[Item]]&lt;&gt;"",ISNUMBER(Jnl[[#This Row],[Bal]]))</f>
        <v>1</v>
      </c>
      <c r="J812" s="9">
        <f>IF(Jnl[[#This Row],[BSLv0]]="A",1,-1)*Jnl[[#This Row],[Bal]]</f>
        <v>5000</v>
      </c>
      <c r="K812" t="str">
        <f>_xlfn.XLOOKUP(Jnl[[#This Row],[Acct]], config_BS[Acct], config_BS[Lv0],,0)</f>
        <v>A</v>
      </c>
      <c r="L812" t="str">
        <f>_xlfn.XLOOKUP(Jnl[[#This Row],[Acct]], config_BS[Acct], config_BS[Lv1],,0)</f>
        <v>Assets</v>
      </c>
      <c r="M812" t="str">
        <f>_xlfn.XLOOKUP(Jnl[[#This Row],[Acct]], config_BS[Acct], config_BS[Lv2],,0)</f>
        <v>Rec-Pay</v>
      </c>
      <c r="N812" t="str">
        <f>_xlfn.XLOOKUP(Jnl[[#This Row],[TrxId]], Trx[Id], Trx[IncNode], ,0)</f>
        <v>Revenue</v>
      </c>
      <c r="O812" t="str">
        <f>_xlfn.XLOOKUP(Jnl[[#This Row],[IncNode]], config_IS[Node], config_IS[Type],,0)</f>
        <v>Op</v>
      </c>
      <c r="P812" t="str">
        <f>_xlfn.XLOOKUP(Jnl[[#This Row],[BSLv2]], dict[Key], dict[Name],,0)</f>
        <v>1.应收-应付</v>
      </c>
      <c r="Q812" t="str">
        <f>_xlfn.XLOOKUP(Jnl[[#This Row],[Acct]], dict[Key], dict[Name],,0)</f>
        <v>应收-一般</v>
      </c>
      <c r="R812" t="str">
        <f>_xlfn.XLOOKUP(Jnl[[#This Row],[Vehicle]],config_vehicle[Id], config_vehicle[Name],,0)</f>
        <v>远家文化</v>
      </c>
      <c r="S812" t="str">
        <f>_xlfn.XLOOKUP(Jnl[[#This Row],[Division]],config_div[Id], config_div[Name],,0)</f>
        <v>明月村</v>
      </c>
      <c r="T812" t="str">
        <f>IF(Jnl[[#This Row],[TrxDate]]&lt;=stmt_BS_date_end, "In", "Out")</f>
        <v>In</v>
      </c>
      <c r="U812" t="str">
        <f>IF(Jnl[[#This Row],[TrxDate]]&lt;debug_date_start, "prior", IF(Jnl[[#This Row],[TrxDate]]&gt;debug_date_end, "post", "curr"))</f>
        <v>curr</v>
      </c>
    </row>
    <row r="813" spans="1:21" hidden="1">
      <c r="A813" s="39" t="s">
        <v>1245</v>
      </c>
      <c r="B813" s="6">
        <f>_xlfn.XLOOKUP(Jnl[[#This Row],[TrxId]], Trx[Id], Trx[Date],,0)</f>
        <v>46053</v>
      </c>
      <c r="C813" s="6" t="str">
        <f>_xlfn.XLOOKUP(Jnl[[#This Row],[TrxId]], Trx[Id], Trx[Division],,0)</f>
        <v>MY</v>
      </c>
      <c r="D813" s="6" t="str">
        <f>_xlfn.XLOOKUP(Jnl[[#This Row],[TrxId]], Trx[Id], Trx[Action],,0)</f>
        <v>收款</v>
      </c>
      <c r="E813" s="27" t="s">
        <v>89</v>
      </c>
      <c r="F813" s="10" t="s">
        <v>596</v>
      </c>
      <c r="G813" s="10" t="s">
        <v>909</v>
      </c>
      <c r="H813" s="37">
        <v>1000</v>
      </c>
      <c r="I813" s="38" t="b">
        <f>AND(Jnl[[#This Row],[TrxId]]&lt;&gt;"",Jnl[[#This Row],[Acct]]&lt;&gt;"",Jnl[[#This Row],[Item]]&lt;&gt;"",ISNUMBER(Jnl[[#This Row],[Bal]]))</f>
        <v>1</v>
      </c>
      <c r="J813" s="9">
        <f>IF(Jnl[[#This Row],[BSLv0]]="A",1,-1)*Jnl[[#This Row],[Bal]]</f>
        <v>1000</v>
      </c>
      <c r="K813" t="str">
        <f>_xlfn.XLOOKUP(Jnl[[#This Row],[Acct]], config_BS[Acct], config_BS[Lv0],,0)</f>
        <v>A</v>
      </c>
      <c r="L813" t="str">
        <f>_xlfn.XLOOKUP(Jnl[[#This Row],[Acct]], config_BS[Acct], config_BS[Lv1],,0)</f>
        <v>Assets</v>
      </c>
      <c r="M813" t="str">
        <f>_xlfn.XLOOKUP(Jnl[[#This Row],[Acct]], config_BS[Acct], config_BS[Lv2],,0)</f>
        <v>Cash alike</v>
      </c>
      <c r="N813" t="str">
        <f>_xlfn.XLOOKUP(Jnl[[#This Row],[TrxId]], Trx[Id], Trx[IncNode], ,0)</f>
        <v>Revenue</v>
      </c>
      <c r="O813" t="str">
        <f>_xlfn.XLOOKUP(Jnl[[#This Row],[IncNode]], config_IS[Node], config_IS[Type],,0)</f>
        <v>Op</v>
      </c>
      <c r="P813" t="str">
        <f>_xlfn.XLOOKUP(Jnl[[#This Row],[BSLv2]], dict[Key], dict[Name],,0)</f>
        <v>0.现金及类似</v>
      </c>
      <c r="Q813" t="str">
        <f>_xlfn.XLOOKUP(Jnl[[#This Row],[Acct]], dict[Key], dict[Name],,0)</f>
        <v>银行</v>
      </c>
      <c r="R813" t="str">
        <f>_xlfn.XLOOKUP(Jnl[[#This Row],[Vehicle]],config_vehicle[Id], config_vehicle[Name],,0)</f>
        <v>小月号</v>
      </c>
      <c r="S813" t="str">
        <f>_xlfn.XLOOKUP(Jnl[[#This Row],[Division]],config_div[Id], config_div[Name],,0)</f>
        <v>明月村</v>
      </c>
      <c r="T813" t="str">
        <f>IF(Jnl[[#This Row],[TrxDate]]&lt;=stmt_BS_date_end, "In", "Out")</f>
        <v>In</v>
      </c>
      <c r="U813" t="str">
        <f>IF(Jnl[[#This Row],[TrxDate]]&lt;debug_date_start, "prior", IF(Jnl[[#This Row],[TrxDate]]&gt;debug_date_end, "post", "curr"))</f>
        <v>curr</v>
      </c>
    </row>
    <row r="814" spans="1:21" hidden="1">
      <c r="A814" s="39" t="s">
        <v>1245</v>
      </c>
      <c r="B814" s="6">
        <f>_xlfn.XLOOKUP(Jnl[[#This Row],[TrxId]], Trx[Id], Trx[Date],,0)</f>
        <v>46053</v>
      </c>
      <c r="C814" s="6" t="str">
        <f>_xlfn.XLOOKUP(Jnl[[#This Row],[TrxId]], Trx[Id], Trx[Division],,0)</f>
        <v>MY</v>
      </c>
      <c r="D814" s="6" t="str">
        <f>_xlfn.XLOOKUP(Jnl[[#This Row],[TrxId]], Trx[Id], Trx[Action],,0)</f>
        <v>收款</v>
      </c>
      <c r="E814" s="27" t="s">
        <v>85</v>
      </c>
      <c r="F814" s="10" t="s">
        <v>599</v>
      </c>
      <c r="G814" s="10" t="s">
        <v>1073</v>
      </c>
      <c r="H814" s="37">
        <v>-1000</v>
      </c>
      <c r="I814" s="38" t="b">
        <f>AND(Jnl[[#This Row],[TrxId]]&lt;&gt;"",Jnl[[#This Row],[Acct]]&lt;&gt;"",Jnl[[#This Row],[Item]]&lt;&gt;"",ISNUMBER(Jnl[[#This Row],[Bal]]))</f>
        <v>1</v>
      </c>
      <c r="J814" s="9">
        <f>IF(Jnl[[#This Row],[BSLv0]]="A",1,-1)*Jnl[[#This Row],[Bal]]</f>
        <v>-1000</v>
      </c>
      <c r="K814" t="str">
        <f>_xlfn.XLOOKUP(Jnl[[#This Row],[Acct]], config_BS[Acct], config_BS[Lv0],,0)</f>
        <v>A</v>
      </c>
      <c r="L814" t="str">
        <f>_xlfn.XLOOKUP(Jnl[[#This Row],[Acct]], config_BS[Acct], config_BS[Lv1],,0)</f>
        <v>Assets</v>
      </c>
      <c r="M814" t="str">
        <f>_xlfn.XLOOKUP(Jnl[[#This Row],[Acct]], config_BS[Acct], config_BS[Lv2],,0)</f>
        <v>Rec-Pay</v>
      </c>
      <c r="N814" t="str">
        <f>_xlfn.XLOOKUP(Jnl[[#This Row],[TrxId]], Trx[Id], Trx[IncNode], ,0)</f>
        <v>Revenue</v>
      </c>
      <c r="O814" t="str">
        <f>_xlfn.XLOOKUP(Jnl[[#This Row],[IncNode]], config_IS[Node], config_IS[Type],,0)</f>
        <v>Op</v>
      </c>
      <c r="P814" t="str">
        <f>_xlfn.XLOOKUP(Jnl[[#This Row],[BSLv2]], dict[Key], dict[Name],,0)</f>
        <v>1.应收-应付</v>
      </c>
      <c r="Q814" t="str">
        <f>_xlfn.XLOOKUP(Jnl[[#This Row],[Acct]], dict[Key], dict[Name],,0)</f>
        <v>应收-一般</v>
      </c>
      <c r="R814" t="str">
        <f>_xlfn.XLOOKUP(Jnl[[#This Row],[Vehicle]],config_vehicle[Id], config_vehicle[Name],,0)</f>
        <v>远家文化</v>
      </c>
      <c r="S814" t="str">
        <f>_xlfn.XLOOKUP(Jnl[[#This Row],[Division]],config_div[Id], config_div[Name],,0)</f>
        <v>明月村</v>
      </c>
      <c r="T814" t="str">
        <f>IF(Jnl[[#This Row],[TrxDate]]&lt;=stmt_BS_date_end, "In", "Out")</f>
        <v>In</v>
      </c>
      <c r="U814" t="str">
        <f>IF(Jnl[[#This Row],[TrxDate]]&lt;debug_date_start, "prior", IF(Jnl[[#This Row],[TrxDate]]&gt;debug_date_end, "post", "curr"))</f>
        <v>curr</v>
      </c>
    </row>
    <row r="815" spans="1:21" hidden="1">
      <c r="A815" s="39" t="s">
        <v>1246</v>
      </c>
      <c r="B815" s="6">
        <f>_xlfn.XLOOKUP(Jnl[[#This Row],[TrxId]], Trx[Id], Trx[Date],,0)</f>
        <v>46053</v>
      </c>
      <c r="C815" s="6" t="str">
        <f>_xlfn.XLOOKUP(Jnl[[#This Row],[TrxId]], Trx[Id], Trx[Division],,0)</f>
        <v>MY</v>
      </c>
      <c r="D815" s="6" t="str">
        <f>_xlfn.XLOOKUP(Jnl[[#This Row],[TrxId]], Trx[Id], Trx[Action],,0)</f>
        <v>收款</v>
      </c>
      <c r="E815" s="27" t="s">
        <v>89</v>
      </c>
      <c r="F815" s="10" t="s">
        <v>596</v>
      </c>
      <c r="G815" s="10" t="s">
        <v>909</v>
      </c>
      <c r="H815" s="37">
        <v>484</v>
      </c>
      <c r="I815" s="38" t="b">
        <f>AND(Jnl[[#This Row],[TrxId]]&lt;&gt;"",Jnl[[#This Row],[Acct]]&lt;&gt;"",Jnl[[#This Row],[Item]]&lt;&gt;"",ISNUMBER(Jnl[[#This Row],[Bal]]))</f>
        <v>1</v>
      </c>
      <c r="J815" s="9">
        <f>IF(Jnl[[#This Row],[BSLv0]]="A",1,-1)*Jnl[[#This Row],[Bal]]</f>
        <v>484</v>
      </c>
      <c r="K815" t="str">
        <f>_xlfn.XLOOKUP(Jnl[[#This Row],[Acct]], config_BS[Acct], config_BS[Lv0],,0)</f>
        <v>A</v>
      </c>
      <c r="L815" t="str">
        <f>_xlfn.XLOOKUP(Jnl[[#This Row],[Acct]], config_BS[Acct], config_BS[Lv1],,0)</f>
        <v>Assets</v>
      </c>
      <c r="M815" t="str">
        <f>_xlfn.XLOOKUP(Jnl[[#This Row],[Acct]], config_BS[Acct], config_BS[Lv2],,0)</f>
        <v>Cash alike</v>
      </c>
      <c r="N815" t="str">
        <f>_xlfn.XLOOKUP(Jnl[[#This Row],[TrxId]], Trx[Id], Trx[IncNode], ,0)</f>
        <v>Revenue</v>
      </c>
      <c r="O815" t="str">
        <f>_xlfn.XLOOKUP(Jnl[[#This Row],[IncNode]], config_IS[Node], config_IS[Type],,0)</f>
        <v>Op</v>
      </c>
      <c r="P815" t="str">
        <f>_xlfn.XLOOKUP(Jnl[[#This Row],[BSLv2]], dict[Key], dict[Name],,0)</f>
        <v>0.现金及类似</v>
      </c>
      <c r="Q815" t="str">
        <f>_xlfn.XLOOKUP(Jnl[[#This Row],[Acct]], dict[Key], dict[Name],,0)</f>
        <v>银行</v>
      </c>
      <c r="R815" t="str">
        <f>_xlfn.XLOOKUP(Jnl[[#This Row],[Vehicle]],config_vehicle[Id], config_vehicle[Name],,0)</f>
        <v>小月号</v>
      </c>
      <c r="S815" t="str">
        <f>_xlfn.XLOOKUP(Jnl[[#This Row],[Division]],config_div[Id], config_div[Name],,0)</f>
        <v>明月村</v>
      </c>
      <c r="T815" t="str">
        <f>IF(Jnl[[#This Row],[TrxDate]]&lt;=stmt_BS_date_end, "In", "Out")</f>
        <v>In</v>
      </c>
      <c r="U815" t="str">
        <f>IF(Jnl[[#This Row],[TrxDate]]&lt;debug_date_start, "prior", IF(Jnl[[#This Row],[TrxDate]]&gt;debug_date_end, "post", "curr"))</f>
        <v>curr</v>
      </c>
    </row>
    <row r="816" spans="1:21" hidden="1">
      <c r="A816" s="39" t="s">
        <v>1246</v>
      </c>
      <c r="B816" s="6">
        <f>_xlfn.XLOOKUP(Jnl[[#This Row],[TrxId]], Trx[Id], Trx[Date],,0)</f>
        <v>46053</v>
      </c>
      <c r="C816" s="6" t="str">
        <f>_xlfn.XLOOKUP(Jnl[[#This Row],[TrxId]], Trx[Id], Trx[Division],,0)</f>
        <v>MY</v>
      </c>
      <c r="D816" s="6" t="str">
        <f>_xlfn.XLOOKUP(Jnl[[#This Row],[TrxId]], Trx[Id], Trx[Action],,0)</f>
        <v>收款</v>
      </c>
      <c r="E816" s="27" t="s">
        <v>85</v>
      </c>
      <c r="F816" s="10" t="s">
        <v>599</v>
      </c>
      <c r="G816" s="10" t="s">
        <v>949</v>
      </c>
      <c r="H816" s="37">
        <f>-H815</f>
        <v>-484</v>
      </c>
      <c r="I816" s="38" t="b">
        <f>AND(Jnl[[#This Row],[TrxId]]&lt;&gt;"",Jnl[[#This Row],[Acct]]&lt;&gt;"",Jnl[[#This Row],[Item]]&lt;&gt;"",ISNUMBER(Jnl[[#This Row],[Bal]]))</f>
        <v>1</v>
      </c>
      <c r="J816" s="9">
        <f>IF(Jnl[[#This Row],[BSLv0]]="A",1,-1)*Jnl[[#This Row],[Bal]]</f>
        <v>-484</v>
      </c>
      <c r="K816" t="str">
        <f>_xlfn.XLOOKUP(Jnl[[#This Row],[Acct]], config_BS[Acct], config_BS[Lv0],,0)</f>
        <v>A</v>
      </c>
      <c r="L816" t="str">
        <f>_xlfn.XLOOKUP(Jnl[[#This Row],[Acct]], config_BS[Acct], config_BS[Lv1],,0)</f>
        <v>Assets</v>
      </c>
      <c r="M816" t="str">
        <f>_xlfn.XLOOKUP(Jnl[[#This Row],[Acct]], config_BS[Acct], config_BS[Lv2],,0)</f>
        <v>Rec-Pay</v>
      </c>
      <c r="N816" t="str">
        <f>_xlfn.XLOOKUP(Jnl[[#This Row],[TrxId]], Trx[Id], Trx[IncNode], ,0)</f>
        <v>Revenue</v>
      </c>
      <c r="O816" t="str">
        <f>_xlfn.XLOOKUP(Jnl[[#This Row],[IncNode]], config_IS[Node], config_IS[Type],,0)</f>
        <v>Op</v>
      </c>
      <c r="P816" t="str">
        <f>_xlfn.XLOOKUP(Jnl[[#This Row],[BSLv2]], dict[Key], dict[Name],,0)</f>
        <v>1.应收-应付</v>
      </c>
      <c r="Q816" t="str">
        <f>_xlfn.XLOOKUP(Jnl[[#This Row],[Acct]], dict[Key], dict[Name],,0)</f>
        <v>应收-一般</v>
      </c>
      <c r="R816" t="str">
        <f>_xlfn.XLOOKUP(Jnl[[#This Row],[Vehicle]],config_vehicle[Id], config_vehicle[Name],,0)</f>
        <v>远家文化</v>
      </c>
      <c r="S816" t="str">
        <f>_xlfn.XLOOKUP(Jnl[[#This Row],[Division]],config_div[Id], config_div[Name],,0)</f>
        <v>明月村</v>
      </c>
      <c r="T816" t="str">
        <f>IF(Jnl[[#This Row],[TrxDate]]&lt;=stmt_BS_date_end, "In", "Out")</f>
        <v>In</v>
      </c>
      <c r="U816" t="str">
        <f>IF(Jnl[[#This Row],[TrxDate]]&lt;debug_date_start, "prior", IF(Jnl[[#This Row],[TrxDate]]&gt;debug_date_end, "post", "curr"))</f>
        <v>curr</v>
      </c>
    </row>
    <row r="817" spans="1:21" hidden="1">
      <c r="A817" s="39" t="s">
        <v>1247</v>
      </c>
      <c r="B817" s="6">
        <f>_xlfn.XLOOKUP(Jnl[[#This Row],[TrxId]], Trx[Id], Trx[Date],,0)</f>
        <v>46053</v>
      </c>
      <c r="C817" s="6" t="str">
        <f>_xlfn.XLOOKUP(Jnl[[#This Row],[TrxId]], Trx[Id], Trx[Division],,0)</f>
        <v>MY</v>
      </c>
      <c r="D817" s="6" t="str">
        <f>_xlfn.XLOOKUP(Jnl[[#This Row],[TrxId]], Trx[Id], Trx[Action],,0)</f>
        <v>收款</v>
      </c>
      <c r="E817" s="27" t="s">
        <v>89</v>
      </c>
      <c r="F817" s="10" t="s">
        <v>596</v>
      </c>
      <c r="G817" s="10" t="s">
        <v>909</v>
      </c>
      <c r="H817" s="37">
        <v>3600</v>
      </c>
      <c r="I817" s="38" t="b">
        <f>AND(Jnl[[#This Row],[TrxId]]&lt;&gt;"",Jnl[[#This Row],[Acct]]&lt;&gt;"",Jnl[[#This Row],[Item]]&lt;&gt;"",ISNUMBER(Jnl[[#This Row],[Bal]]))</f>
        <v>1</v>
      </c>
      <c r="J817" s="9">
        <f>IF(Jnl[[#This Row],[BSLv0]]="A",1,-1)*Jnl[[#This Row],[Bal]]</f>
        <v>3600</v>
      </c>
      <c r="K817" t="str">
        <f>_xlfn.XLOOKUP(Jnl[[#This Row],[Acct]], config_BS[Acct], config_BS[Lv0],,0)</f>
        <v>A</v>
      </c>
      <c r="L817" t="str">
        <f>_xlfn.XLOOKUP(Jnl[[#This Row],[Acct]], config_BS[Acct], config_BS[Lv1],,0)</f>
        <v>Assets</v>
      </c>
      <c r="M817" t="str">
        <f>_xlfn.XLOOKUP(Jnl[[#This Row],[Acct]], config_BS[Acct], config_BS[Lv2],,0)</f>
        <v>Cash alike</v>
      </c>
      <c r="N817" t="str">
        <f>_xlfn.XLOOKUP(Jnl[[#This Row],[TrxId]], Trx[Id], Trx[IncNode], ,0)</f>
        <v>Revenue</v>
      </c>
      <c r="O817" t="str">
        <f>_xlfn.XLOOKUP(Jnl[[#This Row],[IncNode]], config_IS[Node], config_IS[Type],,0)</f>
        <v>Op</v>
      </c>
      <c r="P817" t="str">
        <f>_xlfn.XLOOKUP(Jnl[[#This Row],[BSLv2]], dict[Key], dict[Name],,0)</f>
        <v>0.现金及类似</v>
      </c>
      <c r="Q817" t="str">
        <f>_xlfn.XLOOKUP(Jnl[[#This Row],[Acct]], dict[Key], dict[Name],,0)</f>
        <v>银行</v>
      </c>
      <c r="R817" t="str">
        <f>_xlfn.XLOOKUP(Jnl[[#This Row],[Vehicle]],config_vehicle[Id], config_vehicle[Name],,0)</f>
        <v>小月号</v>
      </c>
      <c r="S817" t="str">
        <f>_xlfn.XLOOKUP(Jnl[[#This Row],[Division]],config_div[Id], config_div[Name],,0)</f>
        <v>明月村</v>
      </c>
      <c r="T817" t="str">
        <f>IF(Jnl[[#This Row],[TrxDate]]&lt;=stmt_BS_date_end, "In", "Out")</f>
        <v>In</v>
      </c>
      <c r="U817" t="str">
        <f>IF(Jnl[[#This Row],[TrxDate]]&lt;debug_date_start, "prior", IF(Jnl[[#This Row],[TrxDate]]&gt;debug_date_end, "post", "curr"))</f>
        <v>curr</v>
      </c>
    </row>
    <row r="818" spans="1:21" hidden="1">
      <c r="A818" s="39" t="s">
        <v>1247</v>
      </c>
      <c r="B818" s="6">
        <f>_xlfn.XLOOKUP(Jnl[[#This Row],[TrxId]], Trx[Id], Trx[Date],,0)</f>
        <v>46053</v>
      </c>
      <c r="C818" s="6" t="str">
        <f>_xlfn.XLOOKUP(Jnl[[#This Row],[TrxId]], Trx[Id], Trx[Division],,0)</f>
        <v>MY</v>
      </c>
      <c r="D818" s="6" t="str">
        <f>_xlfn.XLOOKUP(Jnl[[#This Row],[TrxId]], Trx[Id], Trx[Action],,0)</f>
        <v>收款</v>
      </c>
      <c r="E818" s="27" t="s">
        <v>85</v>
      </c>
      <c r="F818" s="10" t="s">
        <v>599</v>
      </c>
      <c r="G818" s="10" t="s">
        <v>954</v>
      </c>
      <c r="H818" s="37">
        <f>-H817</f>
        <v>-3600</v>
      </c>
      <c r="I818" s="38" t="b">
        <f>AND(Jnl[[#This Row],[TrxId]]&lt;&gt;"",Jnl[[#This Row],[Acct]]&lt;&gt;"",Jnl[[#This Row],[Item]]&lt;&gt;"",ISNUMBER(Jnl[[#This Row],[Bal]]))</f>
        <v>1</v>
      </c>
      <c r="J818" s="9">
        <f>IF(Jnl[[#This Row],[BSLv0]]="A",1,-1)*Jnl[[#This Row],[Bal]]</f>
        <v>-3600</v>
      </c>
      <c r="K818" t="str">
        <f>_xlfn.XLOOKUP(Jnl[[#This Row],[Acct]], config_BS[Acct], config_BS[Lv0],,0)</f>
        <v>A</v>
      </c>
      <c r="L818" t="str">
        <f>_xlfn.XLOOKUP(Jnl[[#This Row],[Acct]], config_BS[Acct], config_BS[Lv1],,0)</f>
        <v>Assets</v>
      </c>
      <c r="M818" t="str">
        <f>_xlfn.XLOOKUP(Jnl[[#This Row],[Acct]], config_BS[Acct], config_BS[Lv2],,0)</f>
        <v>Rec-Pay</v>
      </c>
      <c r="N818" t="str">
        <f>_xlfn.XLOOKUP(Jnl[[#This Row],[TrxId]], Trx[Id], Trx[IncNode], ,0)</f>
        <v>Revenue</v>
      </c>
      <c r="O818" t="str">
        <f>_xlfn.XLOOKUP(Jnl[[#This Row],[IncNode]], config_IS[Node], config_IS[Type],,0)</f>
        <v>Op</v>
      </c>
      <c r="P818" t="str">
        <f>_xlfn.XLOOKUP(Jnl[[#This Row],[BSLv2]], dict[Key], dict[Name],,0)</f>
        <v>1.应收-应付</v>
      </c>
      <c r="Q818" t="str">
        <f>_xlfn.XLOOKUP(Jnl[[#This Row],[Acct]], dict[Key], dict[Name],,0)</f>
        <v>应收-一般</v>
      </c>
      <c r="R818" t="str">
        <f>_xlfn.XLOOKUP(Jnl[[#This Row],[Vehicle]],config_vehicle[Id], config_vehicle[Name],,0)</f>
        <v>远家文化</v>
      </c>
      <c r="S818" t="str">
        <f>_xlfn.XLOOKUP(Jnl[[#This Row],[Division]],config_div[Id], config_div[Name],,0)</f>
        <v>明月村</v>
      </c>
      <c r="T818" t="str">
        <f>IF(Jnl[[#This Row],[TrxDate]]&lt;=stmt_BS_date_end, "In", "Out")</f>
        <v>In</v>
      </c>
      <c r="U818" t="str">
        <f>IF(Jnl[[#This Row],[TrxDate]]&lt;debug_date_start, "prior", IF(Jnl[[#This Row],[TrxDate]]&gt;debug_date_end, "post", "curr"))</f>
        <v>curr</v>
      </c>
    </row>
    <row r="819" spans="1:21" hidden="1">
      <c r="A819" s="39" t="s">
        <v>1248</v>
      </c>
      <c r="B819" s="6">
        <f>_xlfn.XLOOKUP(Jnl[[#This Row],[TrxId]], Trx[Id], Trx[Date],,0)</f>
        <v>46053</v>
      </c>
      <c r="C819" s="6" t="str">
        <f>_xlfn.XLOOKUP(Jnl[[#This Row],[TrxId]], Trx[Id], Trx[Division],,0)</f>
        <v>MY</v>
      </c>
      <c r="D819" s="6" t="str">
        <f>_xlfn.XLOOKUP(Jnl[[#This Row],[TrxId]], Trx[Id], Trx[Action],,0)</f>
        <v>食材</v>
      </c>
      <c r="E819" s="27" t="s">
        <v>89</v>
      </c>
      <c r="F819" s="10" t="s">
        <v>596</v>
      </c>
      <c r="G819" s="10" t="s">
        <v>909</v>
      </c>
      <c r="H819" s="37">
        <v>-159</v>
      </c>
      <c r="I819" s="38" t="b">
        <f>AND(Jnl[[#This Row],[TrxId]]&lt;&gt;"",Jnl[[#This Row],[Acct]]&lt;&gt;"",Jnl[[#This Row],[Item]]&lt;&gt;"",ISNUMBER(Jnl[[#This Row],[Bal]]))</f>
        <v>1</v>
      </c>
      <c r="J819" s="9">
        <f>IF(Jnl[[#This Row],[BSLv0]]="A",1,-1)*Jnl[[#This Row],[Bal]]</f>
        <v>-159</v>
      </c>
      <c r="K819" t="str">
        <f>_xlfn.XLOOKUP(Jnl[[#This Row],[Acct]], config_BS[Acct], config_BS[Lv0],,0)</f>
        <v>A</v>
      </c>
      <c r="L819" t="str">
        <f>_xlfn.XLOOKUP(Jnl[[#This Row],[Acct]], config_BS[Acct], config_BS[Lv1],,0)</f>
        <v>Assets</v>
      </c>
      <c r="M819" t="str">
        <f>_xlfn.XLOOKUP(Jnl[[#This Row],[Acct]], config_BS[Acct], config_BS[Lv2],,0)</f>
        <v>Cash alike</v>
      </c>
      <c r="N819" t="str">
        <f>_xlfn.XLOOKUP(Jnl[[#This Row],[TrxId]], Trx[Id], Trx[IncNode], ,0)</f>
        <v>Cost</v>
      </c>
      <c r="O819" t="str">
        <f>_xlfn.XLOOKUP(Jnl[[#This Row],[IncNode]], config_IS[Node], config_IS[Type],,0)</f>
        <v>Op</v>
      </c>
      <c r="P819" t="str">
        <f>_xlfn.XLOOKUP(Jnl[[#This Row],[BSLv2]], dict[Key], dict[Name],,0)</f>
        <v>0.现金及类似</v>
      </c>
      <c r="Q819" t="str">
        <f>_xlfn.XLOOKUP(Jnl[[#This Row],[Acct]], dict[Key], dict[Name],,0)</f>
        <v>银行</v>
      </c>
      <c r="R819" t="str">
        <f>_xlfn.XLOOKUP(Jnl[[#This Row],[Vehicle]],config_vehicle[Id], config_vehicle[Name],,0)</f>
        <v>小月号</v>
      </c>
      <c r="S819" t="str">
        <f>_xlfn.XLOOKUP(Jnl[[#This Row],[Division]],config_div[Id], config_div[Name],,0)</f>
        <v>明月村</v>
      </c>
      <c r="T819" t="str">
        <f>IF(Jnl[[#This Row],[TrxDate]]&lt;=stmt_BS_date_end, "In", "Out")</f>
        <v>In</v>
      </c>
      <c r="U819" t="str">
        <f>IF(Jnl[[#This Row],[TrxDate]]&lt;debug_date_start, "prior", IF(Jnl[[#This Row],[TrxDate]]&gt;debug_date_end, "post", "curr"))</f>
        <v>curr</v>
      </c>
    </row>
    <row r="820" spans="1:21" hidden="1">
      <c r="A820" s="39" t="s">
        <v>1249</v>
      </c>
      <c r="B820" s="6">
        <f>_xlfn.XLOOKUP(Jnl[[#This Row],[TrxId]], Trx[Id], Trx[Date],,0)</f>
        <v>46053</v>
      </c>
      <c r="C820" s="6" t="str">
        <f>_xlfn.XLOOKUP(Jnl[[#This Row],[TrxId]], Trx[Id], Trx[Division],,0)</f>
        <v>MY</v>
      </c>
      <c r="D820" s="6" t="str">
        <f>_xlfn.XLOOKUP(Jnl[[#This Row],[TrxId]], Trx[Id], Trx[Action],,0)</f>
        <v>福利</v>
      </c>
      <c r="E820" s="27" t="s">
        <v>89</v>
      </c>
      <c r="F820" s="10" t="s">
        <v>596</v>
      </c>
      <c r="G820" s="10" t="s">
        <v>909</v>
      </c>
      <c r="H820" s="37">
        <v>-2027</v>
      </c>
      <c r="I820" s="38" t="b">
        <f>AND(Jnl[[#This Row],[TrxId]]&lt;&gt;"",Jnl[[#This Row],[Acct]]&lt;&gt;"",Jnl[[#This Row],[Item]]&lt;&gt;"",ISNUMBER(Jnl[[#This Row],[Bal]]))</f>
        <v>1</v>
      </c>
      <c r="J820" s="9">
        <f>IF(Jnl[[#This Row],[BSLv0]]="A",1,-1)*Jnl[[#This Row],[Bal]]</f>
        <v>-2027</v>
      </c>
      <c r="K820" t="str">
        <f>_xlfn.XLOOKUP(Jnl[[#This Row],[Acct]], config_BS[Acct], config_BS[Lv0],,0)</f>
        <v>A</v>
      </c>
      <c r="L820" t="str">
        <f>_xlfn.XLOOKUP(Jnl[[#This Row],[Acct]], config_BS[Acct], config_BS[Lv1],,0)</f>
        <v>Assets</v>
      </c>
      <c r="M820" t="str">
        <f>_xlfn.XLOOKUP(Jnl[[#This Row],[Acct]], config_BS[Acct], config_BS[Lv2],,0)</f>
        <v>Cash alike</v>
      </c>
      <c r="N820" t="str">
        <f>_xlfn.XLOOKUP(Jnl[[#This Row],[TrxId]], Trx[Id], Trx[IncNode], ,0)</f>
        <v>Expense</v>
      </c>
      <c r="O820" t="str">
        <f>_xlfn.XLOOKUP(Jnl[[#This Row],[IncNode]], config_IS[Node], config_IS[Type],,0)</f>
        <v>Op</v>
      </c>
      <c r="P820" t="str">
        <f>_xlfn.XLOOKUP(Jnl[[#This Row],[BSLv2]], dict[Key], dict[Name],,0)</f>
        <v>0.现金及类似</v>
      </c>
      <c r="Q820" t="str">
        <f>_xlfn.XLOOKUP(Jnl[[#This Row],[Acct]], dict[Key], dict[Name],,0)</f>
        <v>银行</v>
      </c>
      <c r="R820" t="str">
        <f>_xlfn.XLOOKUP(Jnl[[#This Row],[Vehicle]],config_vehicle[Id], config_vehicle[Name],,0)</f>
        <v>小月号</v>
      </c>
      <c r="S820" t="str">
        <f>_xlfn.XLOOKUP(Jnl[[#This Row],[Division]],config_div[Id], config_div[Name],,0)</f>
        <v>明月村</v>
      </c>
      <c r="T820" t="str">
        <f>IF(Jnl[[#This Row],[TrxDate]]&lt;=stmt_BS_date_end, "In", "Out")</f>
        <v>In</v>
      </c>
      <c r="U820" t="str">
        <f>IF(Jnl[[#This Row],[TrxDate]]&lt;debug_date_start, "prior", IF(Jnl[[#This Row],[TrxDate]]&gt;debug_date_end, "post", "curr"))</f>
        <v>curr</v>
      </c>
    </row>
    <row r="821" spans="1:21" hidden="1">
      <c r="A821" s="39" t="s">
        <v>1250</v>
      </c>
      <c r="B821" s="6">
        <f>_xlfn.XLOOKUP(Jnl[[#This Row],[TrxId]], Trx[Id], Trx[Date],,0)</f>
        <v>46053</v>
      </c>
      <c r="C821" s="6" t="str">
        <f>_xlfn.XLOOKUP(Jnl[[#This Row],[TrxId]], Trx[Id], Trx[Division],,0)</f>
        <v>MY</v>
      </c>
      <c r="D821" s="6" t="str">
        <f>_xlfn.XLOOKUP(Jnl[[#This Row],[TrxId]], Trx[Id], Trx[Action],,0)</f>
        <v>退款-客人</v>
      </c>
      <c r="E821" s="27" t="s">
        <v>89</v>
      </c>
      <c r="F821" s="10" t="s">
        <v>596</v>
      </c>
      <c r="G821" s="10" t="s">
        <v>909</v>
      </c>
      <c r="H821" s="37">
        <v>-900</v>
      </c>
      <c r="I821" s="38" t="b">
        <f>AND(Jnl[[#This Row],[TrxId]]&lt;&gt;"",Jnl[[#This Row],[Acct]]&lt;&gt;"",Jnl[[#This Row],[Item]]&lt;&gt;"",ISNUMBER(Jnl[[#This Row],[Bal]]))</f>
        <v>1</v>
      </c>
      <c r="J821" s="9">
        <f>IF(Jnl[[#This Row],[BSLv0]]="A",1,-1)*Jnl[[#This Row],[Bal]]</f>
        <v>-900</v>
      </c>
      <c r="K821" t="str">
        <f>_xlfn.XLOOKUP(Jnl[[#This Row],[Acct]], config_BS[Acct], config_BS[Lv0],,0)</f>
        <v>A</v>
      </c>
      <c r="L821" t="str">
        <f>_xlfn.XLOOKUP(Jnl[[#This Row],[Acct]], config_BS[Acct], config_BS[Lv1],,0)</f>
        <v>Assets</v>
      </c>
      <c r="M821" t="str">
        <f>_xlfn.XLOOKUP(Jnl[[#This Row],[Acct]], config_BS[Acct], config_BS[Lv2],,0)</f>
        <v>Cash alike</v>
      </c>
      <c r="N821" t="str">
        <f>_xlfn.XLOOKUP(Jnl[[#This Row],[TrxId]], Trx[Id], Trx[IncNode], ,0)</f>
        <v>Revenue</v>
      </c>
      <c r="O821" t="str">
        <f>_xlfn.XLOOKUP(Jnl[[#This Row],[IncNode]], config_IS[Node], config_IS[Type],,0)</f>
        <v>Op</v>
      </c>
      <c r="P821" t="str">
        <f>_xlfn.XLOOKUP(Jnl[[#This Row],[BSLv2]], dict[Key], dict[Name],,0)</f>
        <v>0.现金及类似</v>
      </c>
      <c r="Q821" t="str">
        <f>_xlfn.XLOOKUP(Jnl[[#This Row],[Acct]], dict[Key], dict[Name],,0)</f>
        <v>银行</v>
      </c>
      <c r="R821" t="str">
        <f>_xlfn.XLOOKUP(Jnl[[#This Row],[Vehicle]],config_vehicle[Id], config_vehicle[Name],,0)</f>
        <v>小月号</v>
      </c>
      <c r="S821" t="str">
        <f>_xlfn.XLOOKUP(Jnl[[#This Row],[Division]],config_div[Id], config_div[Name],,0)</f>
        <v>明月村</v>
      </c>
      <c r="T821" t="str">
        <f>IF(Jnl[[#This Row],[TrxDate]]&lt;=stmt_BS_date_end, "In", "Out")</f>
        <v>In</v>
      </c>
      <c r="U821" t="str">
        <f>IF(Jnl[[#This Row],[TrxDate]]&lt;debug_date_start, "prior", IF(Jnl[[#This Row],[TrxDate]]&gt;debug_date_end, "post", "curr"))</f>
        <v>curr</v>
      </c>
    </row>
    <row r="822" spans="1:21" hidden="1">
      <c r="A822" s="39" t="s">
        <v>1250</v>
      </c>
      <c r="B822" s="6">
        <f>_xlfn.XLOOKUP(Jnl[[#This Row],[TrxId]], Trx[Id], Trx[Date],,0)</f>
        <v>46053</v>
      </c>
      <c r="C822" s="6" t="str">
        <f>_xlfn.XLOOKUP(Jnl[[#This Row],[TrxId]], Trx[Id], Trx[Division],,0)</f>
        <v>MY</v>
      </c>
      <c r="D822" s="6" t="str">
        <f>_xlfn.XLOOKUP(Jnl[[#This Row],[TrxId]], Trx[Id], Trx[Action],,0)</f>
        <v>退款-客人</v>
      </c>
      <c r="E822" s="27" t="s">
        <v>85</v>
      </c>
      <c r="F822" s="10" t="s">
        <v>599</v>
      </c>
      <c r="G822" s="10" t="s">
        <v>949</v>
      </c>
      <c r="H822" s="37">
        <f>-H821</f>
        <v>900</v>
      </c>
      <c r="I822" s="38" t="b">
        <f>AND(Jnl[[#This Row],[TrxId]]&lt;&gt;"",Jnl[[#This Row],[Acct]]&lt;&gt;"",Jnl[[#This Row],[Item]]&lt;&gt;"",ISNUMBER(Jnl[[#This Row],[Bal]]))</f>
        <v>1</v>
      </c>
      <c r="J822" s="9">
        <f>IF(Jnl[[#This Row],[BSLv0]]="A",1,-1)*Jnl[[#This Row],[Bal]]</f>
        <v>900</v>
      </c>
      <c r="K822" t="str">
        <f>_xlfn.XLOOKUP(Jnl[[#This Row],[Acct]], config_BS[Acct], config_BS[Lv0],,0)</f>
        <v>A</v>
      </c>
      <c r="L822" t="str">
        <f>_xlfn.XLOOKUP(Jnl[[#This Row],[Acct]], config_BS[Acct], config_BS[Lv1],,0)</f>
        <v>Assets</v>
      </c>
      <c r="M822" t="str">
        <f>_xlfn.XLOOKUP(Jnl[[#This Row],[Acct]], config_BS[Acct], config_BS[Lv2],,0)</f>
        <v>Rec-Pay</v>
      </c>
      <c r="N822" t="str">
        <f>_xlfn.XLOOKUP(Jnl[[#This Row],[TrxId]], Trx[Id], Trx[IncNode], ,0)</f>
        <v>Revenue</v>
      </c>
      <c r="O822" t="str">
        <f>_xlfn.XLOOKUP(Jnl[[#This Row],[IncNode]], config_IS[Node], config_IS[Type],,0)</f>
        <v>Op</v>
      </c>
      <c r="P822" t="str">
        <f>_xlfn.XLOOKUP(Jnl[[#This Row],[BSLv2]], dict[Key], dict[Name],,0)</f>
        <v>1.应收-应付</v>
      </c>
      <c r="Q822" t="str">
        <f>_xlfn.XLOOKUP(Jnl[[#This Row],[Acct]], dict[Key], dict[Name],,0)</f>
        <v>应收-一般</v>
      </c>
      <c r="R822" t="str">
        <f>_xlfn.XLOOKUP(Jnl[[#This Row],[Vehicle]],config_vehicle[Id], config_vehicle[Name],,0)</f>
        <v>远家文化</v>
      </c>
      <c r="S822" t="str">
        <f>_xlfn.XLOOKUP(Jnl[[#This Row],[Division]],config_div[Id], config_div[Name],,0)</f>
        <v>明月村</v>
      </c>
      <c r="T822" t="str">
        <f>IF(Jnl[[#This Row],[TrxDate]]&lt;=stmt_BS_date_end, "In", "Out")</f>
        <v>In</v>
      </c>
      <c r="U822" t="str">
        <f>IF(Jnl[[#This Row],[TrxDate]]&lt;debug_date_start, "prior", IF(Jnl[[#This Row],[TrxDate]]&gt;debug_date_end, "post", "curr"))</f>
        <v>curr</v>
      </c>
    </row>
    <row r="823" spans="1:21" hidden="1">
      <c r="A823" s="39" t="s">
        <v>1251</v>
      </c>
      <c r="B823" s="6">
        <f>_xlfn.XLOOKUP(Jnl[[#This Row],[TrxId]], Trx[Id], Trx[Date],,0)</f>
        <v>46053</v>
      </c>
      <c r="C823" s="6" t="str">
        <f>_xlfn.XLOOKUP(Jnl[[#This Row],[TrxId]], Trx[Id], Trx[Division],,0)</f>
        <v>MY</v>
      </c>
      <c r="D823" s="6" t="str">
        <f>_xlfn.XLOOKUP(Jnl[[#This Row],[TrxId]], Trx[Id], Trx[Action],,0)</f>
        <v>课程</v>
      </c>
      <c r="E823" s="27" t="s">
        <v>89</v>
      </c>
      <c r="F823" s="10" t="s">
        <v>596</v>
      </c>
      <c r="G823" s="10" t="s">
        <v>909</v>
      </c>
      <c r="H823" s="37">
        <v>-164</v>
      </c>
      <c r="I823" s="38" t="b">
        <f>AND(Jnl[[#This Row],[TrxId]]&lt;&gt;"",Jnl[[#This Row],[Acct]]&lt;&gt;"",Jnl[[#This Row],[Item]]&lt;&gt;"",ISNUMBER(Jnl[[#This Row],[Bal]]))</f>
        <v>1</v>
      </c>
      <c r="J823" s="9">
        <f>IF(Jnl[[#This Row],[BSLv0]]="A",1,-1)*Jnl[[#This Row],[Bal]]</f>
        <v>-164</v>
      </c>
      <c r="K823" t="str">
        <f>_xlfn.XLOOKUP(Jnl[[#This Row],[Acct]], config_BS[Acct], config_BS[Lv0],,0)</f>
        <v>A</v>
      </c>
      <c r="L823" t="str">
        <f>_xlfn.XLOOKUP(Jnl[[#This Row],[Acct]], config_BS[Acct], config_BS[Lv1],,0)</f>
        <v>Assets</v>
      </c>
      <c r="M823" t="str">
        <f>_xlfn.XLOOKUP(Jnl[[#This Row],[Acct]], config_BS[Acct], config_BS[Lv2],,0)</f>
        <v>Cash alike</v>
      </c>
      <c r="N823" t="str">
        <f>_xlfn.XLOOKUP(Jnl[[#This Row],[TrxId]], Trx[Id], Trx[IncNode], ,0)</f>
        <v>Cost</v>
      </c>
      <c r="O823" t="str">
        <f>_xlfn.XLOOKUP(Jnl[[#This Row],[IncNode]], config_IS[Node], config_IS[Type],,0)</f>
        <v>Op</v>
      </c>
      <c r="P823" t="str">
        <f>_xlfn.XLOOKUP(Jnl[[#This Row],[BSLv2]], dict[Key], dict[Name],,0)</f>
        <v>0.现金及类似</v>
      </c>
      <c r="Q823" t="str">
        <f>_xlfn.XLOOKUP(Jnl[[#This Row],[Acct]], dict[Key], dict[Name],,0)</f>
        <v>银行</v>
      </c>
      <c r="R823" t="str">
        <f>_xlfn.XLOOKUP(Jnl[[#This Row],[Vehicle]],config_vehicle[Id], config_vehicle[Name],,0)</f>
        <v>小月号</v>
      </c>
      <c r="S823" t="str">
        <f>_xlfn.XLOOKUP(Jnl[[#This Row],[Division]],config_div[Id], config_div[Name],,0)</f>
        <v>明月村</v>
      </c>
      <c r="T823" t="str">
        <f>IF(Jnl[[#This Row],[TrxDate]]&lt;=stmt_BS_date_end, "In", "Out")</f>
        <v>In</v>
      </c>
      <c r="U823" t="str">
        <f>IF(Jnl[[#This Row],[TrxDate]]&lt;debug_date_start, "prior", IF(Jnl[[#This Row],[TrxDate]]&gt;debug_date_end, "post", "curr"))</f>
        <v>curr</v>
      </c>
    </row>
    <row r="824" spans="1:21" hidden="1">
      <c r="A824" s="39" t="s">
        <v>1252</v>
      </c>
      <c r="B824" s="6">
        <f>_xlfn.XLOOKUP(Jnl[[#This Row],[TrxId]], Trx[Id], Trx[Date],,0)</f>
        <v>46053</v>
      </c>
      <c r="C824" s="6" t="str">
        <f>_xlfn.XLOOKUP(Jnl[[#This Row],[TrxId]], Trx[Id], Trx[Division],,0)</f>
        <v>MY</v>
      </c>
      <c r="D824" s="6" t="str">
        <f>_xlfn.XLOOKUP(Jnl[[#This Row],[TrxId]], Trx[Id], Trx[Action],,0)</f>
        <v>退款-客人</v>
      </c>
      <c r="E824" s="27" t="s">
        <v>89</v>
      </c>
      <c r="F824" s="10" t="s">
        <v>596</v>
      </c>
      <c r="G824" s="10" t="s">
        <v>909</v>
      </c>
      <c r="H824" s="37">
        <v>-278</v>
      </c>
      <c r="I824" s="38" t="b">
        <f>AND(Jnl[[#This Row],[TrxId]]&lt;&gt;"",Jnl[[#This Row],[Acct]]&lt;&gt;"",Jnl[[#This Row],[Item]]&lt;&gt;"",ISNUMBER(Jnl[[#This Row],[Bal]]))</f>
        <v>1</v>
      </c>
      <c r="J824" s="9">
        <f>IF(Jnl[[#This Row],[BSLv0]]="A",1,-1)*Jnl[[#This Row],[Bal]]</f>
        <v>-278</v>
      </c>
      <c r="K824" t="str">
        <f>_xlfn.XLOOKUP(Jnl[[#This Row],[Acct]], config_BS[Acct], config_BS[Lv0],,0)</f>
        <v>A</v>
      </c>
      <c r="L824" t="str">
        <f>_xlfn.XLOOKUP(Jnl[[#This Row],[Acct]], config_BS[Acct], config_BS[Lv1],,0)</f>
        <v>Assets</v>
      </c>
      <c r="M824" t="str">
        <f>_xlfn.XLOOKUP(Jnl[[#This Row],[Acct]], config_BS[Acct], config_BS[Lv2],,0)</f>
        <v>Cash alike</v>
      </c>
      <c r="N824" t="str">
        <f>_xlfn.XLOOKUP(Jnl[[#This Row],[TrxId]], Trx[Id], Trx[IncNode], ,0)</f>
        <v>Revenue</v>
      </c>
      <c r="O824" t="str">
        <f>_xlfn.XLOOKUP(Jnl[[#This Row],[IncNode]], config_IS[Node], config_IS[Type],,0)</f>
        <v>Op</v>
      </c>
      <c r="P824" t="str">
        <f>_xlfn.XLOOKUP(Jnl[[#This Row],[BSLv2]], dict[Key], dict[Name],,0)</f>
        <v>0.现金及类似</v>
      </c>
      <c r="Q824" t="str">
        <f>_xlfn.XLOOKUP(Jnl[[#This Row],[Acct]], dict[Key], dict[Name],,0)</f>
        <v>银行</v>
      </c>
      <c r="R824" t="str">
        <f>_xlfn.XLOOKUP(Jnl[[#This Row],[Vehicle]],config_vehicle[Id], config_vehicle[Name],,0)</f>
        <v>小月号</v>
      </c>
      <c r="S824" t="str">
        <f>_xlfn.XLOOKUP(Jnl[[#This Row],[Division]],config_div[Id], config_div[Name],,0)</f>
        <v>明月村</v>
      </c>
      <c r="T824" t="str">
        <f>IF(Jnl[[#This Row],[TrxDate]]&lt;=stmt_BS_date_end, "In", "Out")</f>
        <v>In</v>
      </c>
      <c r="U824" t="str">
        <f>IF(Jnl[[#This Row],[TrxDate]]&lt;debug_date_start, "prior", IF(Jnl[[#This Row],[TrxDate]]&gt;debug_date_end, "post", "curr"))</f>
        <v>curr</v>
      </c>
    </row>
    <row r="825" spans="1:21" hidden="1">
      <c r="A825" s="39" t="s">
        <v>1252</v>
      </c>
      <c r="B825" s="6">
        <f>_xlfn.XLOOKUP(Jnl[[#This Row],[TrxId]], Trx[Id], Trx[Date],,0)</f>
        <v>46053</v>
      </c>
      <c r="C825" s="6" t="str">
        <f>_xlfn.XLOOKUP(Jnl[[#This Row],[TrxId]], Trx[Id], Trx[Division],,0)</f>
        <v>MY</v>
      </c>
      <c r="D825" s="6" t="str">
        <f>_xlfn.XLOOKUP(Jnl[[#This Row],[TrxId]], Trx[Id], Trx[Action],,0)</f>
        <v>退款-客人</v>
      </c>
      <c r="E825" s="27" t="s">
        <v>85</v>
      </c>
      <c r="F825" s="10" t="s">
        <v>599</v>
      </c>
      <c r="G825" s="10" t="s">
        <v>1009</v>
      </c>
      <c r="H825" s="37">
        <f>-H824</f>
        <v>278</v>
      </c>
      <c r="I825" s="38" t="b">
        <f>AND(Jnl[[#This Row],[TrxId]]&lt;&gt;"",Jnl[[#This Row],[Acct]]&lt;&gt;"",Jnl[[#This Row],[Item]]&lt;&gt;"",ISNUMBER(Jnl[[#This Row],[Bal]]))</f>
        <v>1</v>
      </c>
      <c r="J825" s="9">
        <f>IF(Jnl[[#This Row],[BSLv0]]="A",1,-1)*Jnl[[#This Row],[Bal]]</f>
        <v>278</v>
      </c>
      <c r="K825" t="str">
        <f>_xlfn.XLOOKUP(Jnl[[#This Row],[Acct]], config_BS[Acct], config_BS[Lv0],,0)</f>
        <v>A</v>
      </c>
      <c r="L825" t="str">
        <f>_xlfn.XLOOKUP(Jnl[[#This Row],[Acct]], config_BS[Acct], config_BS[Lv1],,0)</f>
        <v>Assets</v>
      </c>
      <c r="M825" t="str">
        <f>_xlfn.XLOOKUP(Jnl[[#This Row],[Acct]], config_BS[Acct], config_BS[Lv2],,0)</f>
        <v>Rec-Pay</v>
      </c>
      <c r="N825" t="str">
        <f>_xlfn.XLOOKUP(Jnl[[#This Row],[TrxId]], Trx[Id], Trx[IncNode], ,0)</f>
        <v>Revenue</v>
      </c>
      <c r="O825" t="str">
        <f>_xlfn.XLOOKUP(Jnl[[#This Row],[IncNode]], config_IS[Node], config_IS[Type],,0)</f>
        <v>Op</v>
      </c>
      <c r="P825" t="str">
        <f>_xlfn.XLOOKUP(Jnl[[#This Row],[BSLv2]], dict[Key], dict[Name],,0)</f>
        <v>1.应收-应付</v>
      </c>
      <c r="Q825" t="str">
        <f>_xlfn.XLOOKUP(Jnl[[#This Row],[Acct]], dict[Key], dict[Name],,0)</f>
        <v>应收-一般</v>
      </c>
      <c r="R825" t="str">
        <f>_xlfn.XLOOKUP(Jnl[[#This Row],[Vehicle]],config_vehicle[Id], config_vehicle[Name],,0)</f>
        <v>远家文化</v>
      </c>
      <c r="S825" t="str">
        <f>_xlfn.XLOOKUP(Jnl[[#This Row],[Division]],config_div[Id], config_div[Name],,0)</f>
        <v>明月村</v>
      </c>
      <c r="T825" t="str">
        <f>IF(Jnl[[#This Row],[TrxDate]]&lt;=stmt_BS_date_end, "In", "Out")</f>
        <v>In</v>
      </c>
      <c r="U825" t="str">
        <f>IF(Jnl[[#This Row],[TrxDate]]&lt;debug_date_start, "prior", IF(Jnl[[#This Row],[TrxDate]]&gt;debug_date_end, "post", "curr"))</f>
        <v>curr</v>
      </c>
    </row>
    <row r="826" spans="1:21" hidden="1">
      <c r="A826" s="39" t="s">
        <v>1253</v>
      </c>
      <c r="B826" s="6">
        <f>_xlfn.XLOOKUP(Jnl[[#This Row],[TrxId]], Trx[Id], Trx[Date],,0)</f>
        <v>46053</v>
      </c>
      <c r="C826" s="6" t="str">
        <f>_xlfn.XLOOKUP(Jnl[[#This Row],[TrxId]], Trx[Id], Trx[Division],,0)</f>
        <v>GM</v>
      </c>
      <c r="D826" s="6" t="str">
        <f>_xlfn.XLOOKUP(Jnl[[#This Row],[TrxId]], Trx[Id], Trx[Action],,0)</f>
        <v>招待</v>
      </c>
      <c r="E826" s="27" t="s">
        <v>89</v>
      </c>
      <c r="F826" s="10" t="s">
        <v>596</v>
      </c>
      <c r="G826" s="10" t="s">
        <v>909</v>
      </c>
      <c r="H826" s="37">
        <v>-400</v>
      </c>
      <c r="I826" s="38" t="b">
        <f>AND(Jnl[[#This Row],[TrxId]]&lt;&gt;"",Jnl[[#This Row],[Acct]]&lt;&gt;"",Jnl[[#This Row],[Item]]&lt;&gt;"",ISNUMBER(Jnl[[#This Row],[Bal]]))</f>
        <v>1</v>
      </c>
      <c r="J826" s="9">
        <f>IF(Jnl[[#This Row],[BSLv0]]="A",1,-1)*Jnl[[#This Row],[Bal]]</f>
        <v>-400</v>
      </c>
      <c r="K826" t="str">
        <f>_xlfn.XLOOKUP(Jnl[[#This Row],[Acct]], config_BS[Acct], config_BS[Lv0],,0)</f>
        <v>A</v>
      </c>
      <c r="L826" t="str">
        <f>_xlfn.XLOOKUP(Jnl[[#This Row],[Acct]], config_BS[Acct], config_BS[Lv1],,0)</f>
        <v>Assets</v>
      </c>
      <c r="M826" t="str">
        <f>_xlfn.XLOOKUP(Jnl[[#This Row],[Acct]], config_BS[Acct], config_BS[Lv2],,0)</f>
        <v>Cash alike</v>
      </c>
      <c r="N826" t="str">
        <f>_xlfn.XLOOKUP(Jnl[[#This Row],[TrxId]], Trx[Id], Trx[IncNode], ,0)</f>
        <v>Expense</v>
      </c>
      <c r="O826" t="str">
        <f>_xlfn.XLOOKUP(Jnl[[#This Row],[IncNode]], config_IS[Node], config_IS[Type],,0)</f>
        <v>Op</v>
      </c>
      <c r="P826" t="str">
        <f>_xlfn.XLOOKUP(Jnl[[#This Row],[BSLv2]], dict[Key], dict[Name],,0)</f>
        <v>0.现金及类似</v>
      </c>
      <c r="Q826" t="str">
        <f>_xlfn.XLOOKUP(Jnl[[#This Row],[Acct]], dict[Key], dict[Name],,0)</f>
        <v>银行</v>
      </c>
      <c r="R826" t="str">
        <f>_xlfn.XLOOKUP(Jnl[[#This Row],[Vehicle]],config_vehicle[Id], config_vehicle[Name],,0)</f>
        <v>小月号</v>
      </c>
      <c r="S826" t="str">
        <f>_xlfn.XLOOKUP(Jnl[[#This Row],[Division]],config_div[Id], config_div[Name],,0)</f>
        <v>综合管理</v>
      </c>
      <c r="T826" t="str">
        <f>IF(Jnl[[#This Row],[TrxDate]]&lt;=stmt_BS_date_end, "In", "Out")</f>
        <v>In</v>
      </c>
      <c r="U826" t="str">
        <f>IF(Jnl[[#This Row],[TrxDate]]&lt;debug_date_start, "prior", IF(Jnl[[#This Row],[TrxDate]]&gt;debug_date_end, "post", "curr"))</f>
        <v>curr</v>
      </c>
    </row>
    <row r="827" spans="1:21" hidden="1">
      <c r="A827" s="39" t="s">
        <v>1254</v>
      </c>
      <c r="B827" s="6">
        <f>_xlfn.XLOOKUP(Jnl[[#This Row],[TrxId]], Trx[Id], Trx[Date],,0)</f>
        <v>46053</v>
      </c>
      <c r="C827" s="6" t="str">
        <f>_xlfn.XLOOKUP(Jnl[[#This Row],[TrxId]], Trx[Id], Trx[Division],,0)</f>
        <v>MY</v>
      </c>
      <c r="D827" s="6" t="str">
        <f>_xlfn.XLOOKUP(Jnl[[#This Row],[TrxId]], Trx[Id], Trx[Action],,0)</f>
        <v>收款</v>
      </c>
      <c r="E827" s="27" t="s">
        <v>89</v>
      </c>
      <c r="F827" s="10" t="s">
        <v>596</v>
      </c>
      <c r="G827" s="10" t="s">
        <v>909</v>
      </c>
      <c r="H827" s="37">
        <v>5000</v>
      </c>
      <c r="I827" s="38" t="b">
        <f>AND(Jnl[[#This Row],[TrxId]]&lt;&gt;"",Jnl[[#This Row],[Acct]]&lt;&gt;"",Jnl[[#This Row],[Item]]&lt;&gt;"",ISNUMBER(Jnl[[#This Row],[Bal]]))</f>
        <v>1</v>
      </c>
      <c r="J827" s="9">
        <f>IF(Jnl[[#This Row],[BSLv0]]="A",1,-1)*Jnl[[#This Row],[Bal]]</f>
        <v>5000</v>
      </c>
      <c r="K827" t="str">
        <f>_xlfn.XLOOKUP(Jnl[[#This Row],[Acct]], config_BS[Acct], config_BS[Lv0],,0)</f>
        <v>A</v>
      </c>
      <c r="L827" t="str">
        <f>_xlfn.XLOOKUP(Jnl[[#This Row],[Acct]], config_BS[Acct], config_BS[Lv1],,0)</f>
        <v>Assets</v>
      </c>
      <c r="M827" t="str">
        <f>_xlfn.XLOOKUP(Jnl[[#This Row],[Acct]], config_BS[Acct], config_BS[Lv2],,0)</f>
        <v>Cash alike</v>
      </c>
      <c r="N827" t="str">
        <f>_xlfn.XLOOKUP(Jnl[[#This Row],[TrxId]], Trx[Id], Trx[IncNode], ,0)</f>
        <v>Revenue</v>
      </c>
      <c r="O827" t="str">
        <f>_xlfn.XLOOKUP(Jnl[[#This Row],[IncNode]], config_IS[Node], config_IS[Type],,0)</f>
        <v>Op</v>
      </c>
      <c r="P827" t="str">
        <f>_xlfn.XLOOKUP(Jnl[[#This Row],[BSLv2]], dict[Key], dict[Name],,0)</f>
        <v>0.现金及类似</v>
      </c>
      <c r="Q827" t="str">
        <f>_xlfn.XLOOKUP(Jnl[[#This Row],[Acct]], dict[Key], dict[Name],,0)</f>
        <v>银行</v>
      </c>
      <c r="R827" t="str">
        <f>_xlfn.XLOOKUP(Jnl[[#This Row],[Vehicle]],config_vehicle[Id], config_vehicle[Name],,0)</f>
        <v>小月号</v>
      </c>
      <c r="S827" t="str">
        <f>_xlfn.XLOOKUP(Jnl[[#This Row],[Division]],config_div[Id], config_div[Name],,0)</f>
        <v>明月村</v>
      </c>
      <c r="T827" t="str">
        <f>IF(Jnl[[#This Row],[TrxDate]]&lt;=stmt_BS_date_end, "In", "Out")</f>
        <v>In</v>
      </c>
      <c r="U827" t="str">
        <f>IF(Jnl[[#This Row],[TrxDate]]&lt;debug_date_start, "prior", IF(Jnl[[#This Row],[TrxDate]]&gt;debug_date_end, "post", "curr"))</f>
        <v>curr</v>
      </c>
    </row>
    <row r="828" spans="1:21" hidden="1">
      <c r="A828" s="39" t="s">
        <v>1254</v>
      </c>
      <c r="B828" s="6">
        <f>_xlfn.XLOOKUP(Jnl[[#This Row],[TrxId]], Trx[Id], Trx[Date],,0)</f>
        <v>46053</v>
      </c>
      <c r="C828" s="6" t="str">
        <f>_xlfn.XLOOKUP(Jnl[[#This Row],[TrxId]], Trx[Id], Trx[Division],,0)</f>
        <v>MY</v>
      </c>
      <c r="D828" s="6" t="str">
        <f>_xlfn.XLOOKUP(Jnl[[#This Row],[TrxId]], Trx[Id], Trx[Action],,0)</f>
        <v>收款</v>
      </c>
      <c r="E828" s="27" t="s">
        <v>85</v>
      </c>
      <c r="F828" s="10" t="s">
        <v>599</v>
      </c>
      <c r="G828" s="10" t="s">
        <v>1073</v>
      </c>
      <c r="H828" s="37">
        <f>-H827</f>
        <v>-5000</v>
      </c>
      <c r="I828" s="38" t="b">
        <f>AND(Jnl[[#This Row],[TrxId]]&lt;&gt;"",Jnl[[#This Row],[Acct]]&lt;&gt;"",Jnl[[#This Row],[Item]]&lt;&gt;"",ISNUMBER(Jnl[[#This Row],[Bal]]))</f>
        <v>1</v>
      </c>
      <c r="J828" s="9">
        <f>IF(Jnl[[#This Row],[BSLv0]]="A",1,-1)*Jnl[[#This Row],[Bal]]</f>
        <v>-5000</v>
      </c>
      <c r="K828" t="str">
        <f>_xlfn.XLOOKUP(Jnl[[#This Row],[Acct]], config_BS[Acct], config_BS[Lv0],,0)</f>
        <v>A</v>
      </c>
      <c r="L828" t="str">
        <f>_xlfn.XLOOKUP(Jnl[[#This Row],[Acct]], config_BS[Acct], config_BS[Lv1],,0)</f>
        <v>Assets</v>
      </c>
      <c r="M828" t="str">
        <f>_xlfn.XLOOKUP(Jnl[[#This Row],[Acct]], config_BS[Acct], config_BS[Lv2],,0)</f>
        <v>Rec-Pay</v>
      </c>
      <c r="N828" t="str">
        <f>_xlfn.XLOOKUP(Jnl[[#This Row],[TrxId]], Trx[Id], Trx[IncNode], ,0)</f>
        <v>Revenue</v>
      </c>
      <c r="O828" t="str">
        <f>_xlfn.XLOOKUP(Jnl[[#This Row],[IncNode]], config_IS[Node], config_IS[Type],,0)</f>
        <v>Op</v>
      </c>
      <c r="P828" t="str">
        <f>_xlfn.XLOOKUP(Jnl[[#This Row],[BSLv2]], dict[Key], dict[Name],,0)</f>
        <v>1.应收-应付</v>
      </c>
      <c r="Q828" t="str">
        <f>_xlfn.XLOOKUP(Jnl[[#This Row],[Acct]], dict[Key], dict[Name],,0)</f>
        <v>应收-一般</v>
      </c>
      <c r="R828" t="str">
        <f>_xlfn.XLOOKUP(Jnl[[#This Row],[Vehicle]],config_vehicle[Id], config_vehicle[Name],,0)</f>
        <v>远家文化</v>
      </c>
      <c r="S828" t="str">
        <f>_xlfn.XLOOKUP(Jnl[[#This Row],[Division]],config_div[Id], config_div[Name],,0)</f>
        <v>明月村</v>
      </c>
      <c r="T828" t="str">
        <f>IF(Jnl[[#This Row],[TrxDate]]&lt;=stmt_BS_date_end, "In", "Out")</f>
        <v>In</v>
      </c>
      <c r="U828" t="str">
        <f>IF(Jnl[[#This Row],[TrxDate]]&lt;debug_date_start, "prior", IF(Jnl[[#This Row],[TrxDate]]&gt;debug_date_end, "post", "curr"))</f>
        <v>curr</v>
      </c>
    </row>
    <row r="829" spans="1:21" hidden="1">
      <c r="A829" s="39" t="s">
        <v>1255</v>
      </c>
      <c r="B829" s="6">
        <f>_xlfn.XLOOKUP(Jnl[[#This Row],[TrxId]], Trx[Id], Trx[Date],,0)</f>
        <v>46053</v>
      </c>
      <c r="C829" s="6" t="str">
        <f>_xlfn.XLOOKUP(Jnl[[#This Row],[TrxId]], Trx[Id], Trx[Division],,0)</f>
        <v>MY</v>
      </c>
      <c r="D829" s="6" t="str">
        <f>_xlfn.XLOOKUP(Jnl[[#This Row],[TrxId]], Trx[Id], Trx[Action],,0)</f>
        <v>食材</v>
      </c>
      <c r="E829" s="27" t="s">
        <v>89</v>
      </c>
      <c r="F829" s="10" t="s">
        <v>596</v>
      </c>
      <c r="G829" s="10" t="s">
        <v>909</v>
      </c>
      <c r="H829" s="37">
        <v>-7110</v>
      </c>
      <c r="I829" s="38" t="b">
        <f>AND(Jnl[[#This Row],[TrxId]]&lt;&gt;"",Jnl[[#This Row],[Acct]]&lt;&gt;"",Jnl[[#This Row],[Item]]&lt;&gt;"",ISNUMBER(Jnl[[#This Row],[Bal]]))</f>
        <v>1</v>
      </c>
      <c r="J829" s="9">
        <f>IF(Jnl[[#This Row],[BSLv0]]="A",1,-1)*Jnl[[#This Row],[Bal]]</f>
        <v>-7110</v>
      </c>
      <c r="K829" t="str">
        <f>_xlfn.XLOOKUP(Jnl[[#This Row],[Acct]], config_BS[Acct], config_BS[Lv0],,0)</f>
        <v>A</v>
      </c>
      <c r="L829" t="str">
        <f>_xlfn.XLOOKUP(Jnl[[#This Row],[Acct]], config_BS[Acct], config_BS[Lv1],,0)</f>
        <v>Assets</v>
      </c>
      <c r="M829" t="str">
        <f>_xlfn.XLOOKUP(Jnl[[#This Row],[Acct]], config_BS[Acct], config_BS[Lv2],,0)</f>
        <v>Cash alike</v>
      </c>
      <c r="N829" t="str">
        <f>_xlfn.XLOOKUP(Jnl[[#This Row],[TrxId]], Trx[Id], Trx[IncNode], ,0)</f>
        <v>Cost</v>
      </c>
      <c r="O829" t="str">
        <f>_xlfn.XLOOKUP(Jnl[[#This Row],[IncNode]], config_IS[Node], config_IS[Type],,0)</f>
        <v>Op</v>
      </c>
      <c r="P829" t="str">
        <f>_xlfn.XLOOKUP(Jnl[[#This Row],[BSLv2]], dict[Key], dict[Name],,0)</f>
        <v>0.现金及类似</v>
      </c>
      <c r="Q829" t="str">
        <f>_xlfn.XLOOKUP(Jnl[[#This Row],[Acct]], dict[Key], dict[Name],,0)</f>
        <v>银行</v>
      </c>
      <c r="R829" t="str">
        <f>_xlfn.XLOOKUP(Jnl[[#This Row],[Vehicle]],config_vehicle[Id], config_vehicle[Name],,0)</f>
        <v>小月号</v>
      </c>
      <c r="S829" t="str">
        <f>_xlfn.XLOOKUP(Jnl[[#This Row],[Division]],config_div[Id], config_div[Name],,0)</f>
        <v>明月村</v>
      </c>
      <c r="T829" t="str">
        <f>IF(Jnl[[#This Row],[TrxDate]]&lt;=stmt_BS_date_end, "In", "Out")</f>
        <v>In</v>
      </c>
      <c r="U829" t="str">
        <f>IF(Jnl[[#This Row],[TrxDate]]&lt;debug_date_start, "prior", IF(Jnl[[#This Row],[TrxDate]]&gt;debug_date_end, "post", "curr"))</f>
        <v>curr</v>
      </c>
    </row>
    <row r="830" spans="1:21" hidden="1">
      <c r="A830" s="39" t="s">
        <v>1256</v>
      </c>
      <c r="B830" s="6">
        <f>_xlfn.XLOOKUP(Jnl[[#This Row],[TrxId]], Trx[Id], Trx[Date],,0)</f>
        <v>46053</v>
      </c>
      <c r="C830" s="6" t="str">
        <f>_xlfn.XLOOKUP(Jnl[[#This Row],[TrxId]], Trx[Id], Trx[Division],,0)</f>
        <v>MY</v>
      </c>
      <c r="D830" s="6" t="str">
        <f>_xlfn.XLOOKUP(Jnl[[#This Row],[TrxId]], Trx[Id], Trx[Action],,0)</f>
        <v>交通</v>
      </c>
      <c r="E830" s="27" t="s">
        <v>89</v>
      </c>
      <c r="F830" s="10" t="s">
        <v>596</v>
      </c>
      <c r="G830" s="10" t="s">
        <v>909</v>
      </c>
      <c r="H830" s="37">
        <v>-453.9</v>
      </c>
      <c r="I830" s="38" t="b">
        <f>AND(Jnl[[#This Row],[TrxId]]&lt;&gt;"",Jnl[[#This Row],[Acct]]&lt;&gt;"",Jnl[[#This Row],[Item]]&lt;&gt;"",ISNUMBER(Jnl[[#This Row],[Bal]]))</f>
        <v>1</v>
      </c>
      <c r="J830" s="9">
        <f>IF(Jnl[[#This Row],[BSLv0]]="A",1,-1)*Jnl[[#This Row],[Bal]]</f>
        <v>-453.9</v>
      </c>
      <c r="K830" t="str">
        <f>_xlfn.XLOOKUP(Jnl[[#This Row],[Acct]], config_BS[Acct], config_BS[Lv0],,0)</f>
        <v>A</v>
      </c>
      <c r="L830" t="str">
        <f>_xlfn.XLOOKUP(Jnl[[#This Row],[Acct]], config_BS[Acct], config_BS[Lv1],,0)</f>
        <v>Assets</v>
      </c>
      <c r="M830" t="str">
        <f>_xlfn.XLOOKUP(Jnl[[#This Row],[Acct]], config_BS[Acct], config_BS[Lv2],,0)</f>
        <v>Cash alike</v>
      </c>
      <c r="N830" t="str">
        <f>_xlfn.XLOOKUP(Jnl[[#This Row],[TrxId]], Trx[Id], Trx[IncNode], ,0)</f>
        <v>Expense</v>
      </c>
      <c r="O830" t="str">
        <f>_xlfn.XLOOKUP(Jnl[[#This Row],[IncNode]], config_IS[Node], config_IS[Type],,0)</f>
        <v>Op</v>
      </c>
      <c r="P830" t="str">
        <f>_xlfn.XLOOKUP(Jnl[[#This Row],[BSLv2]], dict[Key], dict[Name],,0)</f>
        <v>0.现金及类似</v>
      </c>
      <c r="Q830" t="str">
        <f>_xlfn.XLOOKUP(Jnl[[#This Row],[Acct]], dict[Key], dict[Name],,0)</f>
        <v>银行</v>
      </c>
      <c r="R830" t="str">
        <f>_xlfn.XLOOKUP(Jnl[[#This Row],[Vehicle]],config_vehicle[Id], config_vehicle[Name],,0)</f>
        <v>小月号</v>
      </c>
      <c r="S830" t="str">
        <f>_xlfn.XLOOKUP(Jnl[[#This Row],[Division]],config_div[Id], config_div[Name],,0)</f>
        <v>明月村</v>
      </c>
      <c r="T830" t="str">
        <f>IF(Jnl[[#This Row],[TrxDate]]&lt;=stmt_BS_date_end, "In", "Out")</f>
        <v>In</v>
      </c>
      <c r="U830" t="str">
        <f>IF(Jnl[[#This Row],[TrxDate]]&lt;debug_date_start, "prior", IF(Jnl[[#This Row],[TrxDate]]&gt;debug_date_end, "post", "curr"))</f>
        <v>curr</v>
      </c>
    </row>
    <row r="831" spans="1:21" hidden="1">
      <c r="A831" s="39" t="s">
        <v>1257</v>
      </c>
      <c r="B831" s="6">
        <f>_xlfn.XLOOKUP(Jnl[[#This Row],[TrxId]], Trx[Id], Trx[Date],,0)</f>
        <v>46053</v>
      </c>
      <c r="C831" s="6" t="str">
        <f>_xlfn.XLOOKUP(Jnl[[#This Row],[TrxId]], Trx[Id], Trx[Division],,0)</f>
        <v>GM</v>
      </c>
      <c r="D831" s="6" t="str">
        <f>_xlfn.XLOOKUP(Jnl[[#This Row],[TrxId]], Trx[Id], Trx[Action],,0)</f>
        <v>招待</v>
      </c>
      <c r="E831" s="27" t="s">
        <v>89</v>
      </c>
      <c r="F831" s="10" t="s">
        <v>596</v>
      </c>
      <c r="G831" s="10" t="s">
        <v>909</v>
      </c>
      <c r="H831" s="37">
        <v>400</v>
      </c>
      <c r="I831" s="38" t="b">
        <f>AND(Jnl[[#This Row],[TrxId]]&lt;&gt;"",Jnl[[#This Row],[Acct]]&lt;&gt;"",Jnl[[#This Row],[Item]]&lt;&gt;"",ISNUMBER(Jnl[[#This Row],[Bal]]))</f>
        <v>1</v>
      </c>
      <c r="J831" s="9">
        <f>IF(Jnl[[#This Row],[BSLv0]]="A",1,-1)*Jnl[[#This Row],[Bal]]</f>
        <v>400</v>
      </c>
      <c r="K831" t="str">
        <f>_xlfn.XLOOKUP(Jnl[[#This Row],[Acct]], config_BS[Acct], config_BS[Lv0],,0)</f>
        <v>A</v>
      </c>
      <c r="L831" t="str">
        <f>_xlfn.XLOOKUP(Jnl[[#This Row],[Acct]], config_BS[Acct], config_BS[Lv1],,0)</f>
        <v>Assets</v>
      </c>
      <c r="M831" t="str">
        <f>_xlfn.XLOOKUP(Jnl[[#This Row],[Acct]], config_BS[Acct], config_BS[Lv2],,0)</f>
        <v>Cash alike</v>
      </c>
      <c r="N831" t="str">
        <f>_xlfn.XLOOKUP(Jnl[[#This Row],[TrxId]], Trx[Id], Trx[IncNode], ,0)</f>
        <v>Expense</v>
      </c>
      <c r="O831" t="str">
        <f>_xlfn.XLOOKUP(Jnl[[#This Row],[IncNode]], config_IS[Node], config_IS[Type],,0)</f>
        <v>Op</v>
      </c>
      <c r="P831" t="str">
        <f>_xlfn.XLOOKUP(Jnl[[#This Row],[BSLv2]], dict[Key], dict[Name],,0)</f>
        <v>0.现金及类似</v>
      </c>
      <c r="Q831" t="str">
        <f>_xlfn.XLOOKUP(Jnl[[#This Row],[Acct]], dict[Key], dict[Name],,0)</f>
        <v>银行</v>
      </c>
      <c r="R831" t="str">
        <f>_xlfn.XLOOKUP(Jnl[[#This Row],[Vehicle]],config_vehicle[Id], config_vehicle[Name],,0)</f>
        <v>小月号</v>
      </c>
      <c r="S831" t="str">
        <f>_xlfn.XLOOKUP(Jnl[[#This Row],[Division]],config_div[Id], config_div[Name],,0)</f>
        <v>综合管理</v>
      </c>
      <c r="T831" t="str">
        <f>IF(Jnl[[#This Row],[TrxDate]]&lt;=stmt_BS_date_end, "In", "Out")</f>
        <v>In</v>
      </c>
      <c r="U831" t="str">
        <f>IF(Jnl[[#This Row],[TrxDate]]&lt;debug_date_start, "prior", IF(Jnl[[#This Row],[TrxDate]]&gt;debug_date_end, "post", "curr"))</f>
        <v>curr</v>
      </c>
    </row>
    <row r="832" spans="1:21" hidden="1">
      <c r="A832" s="39" t="s">
        <v>1258</v>
      </c>
      <c r="B832" s="6">
        <f>_xlfn.XLOOKUP(Jnl[[#This Row],[TrxId]], Trx[Id], Trx[Date],,0)</f>
        <v>46053</v>
      </c>
      <c r="C832" s="6" t="str">
        <f>_xlfn.XLOOKUP(Jnl[[#This Row],[TrxId]], Trx[Id], Trx[Division],,0)</f>
        <v>MY</v>
      </c>
      <c r="D832" s="6" t="str">
        <f>_xlfn.XLOOKUP(Jnl[[#This Row],[TrxId]], Trx[Id], Trx[Action],,0)</f>
        <v>其他销售</v>
      </c>
      <c r="E832" s="27" t="s">
        <v>89</v>
      </c>
      <c r="F832" s="10" t="s">
        <v>596</v>
      </c>
      <c r="G832" s="10" t="s">
        <v>909</v>
      </c>
      <c r="H832" s="37">
        <v>5</v>
      </c>
      <c r="I832" s="38" t="b">
        <f>AND(Jnl[[#This Row],[TrxId]]&lt;&gt;"",Jnl[[#This Row],[Acct]]&lt;&gt;"",Jnl[[#This Row],[Item]]&lt;&gt;"",ISNUMBER(Jnl[[#This Row],[Bal]]))</f>
        <v>1</v>
      </c>
      <c r="J832" s="9">
        <f>IF(Jnl[[#This Row],[BSLv0]]="A",1,-1)*Jnl[[#This Row],[Bal]]</f>
        <v>5</v>
      </c>
      <c r="K832" t="str">
        <f>_xlfn.XLOOKUP(Jnl[[#This Row],[Acct]], config_BS[Acct], config_BS[Lv0],,0)</f>
        <v>A</v>
      </c>
      <c r="L832" t="str">
        <f>_xlfn.XLOOKUP(Jnl[[#This Row],[Acct]], config_BS[Acct], config_BS[Lv1],,0)</f>
        <v>Assets</v>
      </c>
      <c r="M832" t="str">
        <f>_xlfn.XLOOKUP(Jnl[[#This Row],[Acct]], config_BS[Acct], config_BS[Lv2],,0)</f>
        <v>Cash alike</v>
      </c>
      <c r="N832" t="str">
        <f>_xlfn.XLOOKUP(Jnl[[#This Row],[TrxId]], Trx[Id], Trx[IncNode], ,0)</f>
        <v>Revenue</v>
      </c>
      <c r="O832" t="str">
        <f>_xlfn.XLOOKUP(Jnl[[#This Row],[IncNode]], config_IS[Node], config_IS[Type],,0)</f>
        <v>Op</v>
      </c>
      <c r="P832" t="str">
        <f>_xlfn.XLOOKUP(Jnl[[#This Row],[BSLv2]], dict[Key], dict[Name],,0)</f>
        <v>0.现金及类似</v>
      </c>
      <c r="Q832" t="str">
        <f>_xlfn.XLOOKUP(Jnl[[#This Row],[Acct]], dict[Key], dict[Name],,0)</f>
        <v>银行</v>
      </c>
      <c r="R832" t="str">
        <f>_xlfn.XLOOKUP(Jnl[[#This Row],[Vehicle]],config_vehicle[Id], config_vehicle[Name],,0)</f>
        <v>小月号</v>
      </c>
      <c r="S832" t="str">
        <f>_xlfn.XLOOKUP(Jnl[[#This Row],[Division]],config_div[Id], config_div[Name],,0)</f>
        <v>明月村</v>
      </c>
      <c r="T832" t="str">
        <f>IF(Jnl[[#This Row],[TrxDate]]&lt;=stmt_BS_date_end, "In", "Out")</f>
        <v>In</v>
      </c>
      <c r="U832" t="str">
        <f>IF(Jnl[[#This Row],[TrxDate]]&lt;debug_date_start, "prior", IF(Jnl[[#This Row],[TrxDate]]&gt;debug_date_end, "post", "curr"))</f>
        <v>curr</v>
      </c>
    </row>
    <row r="833" spans="1:21" hidden="1">
      <c r="A833" s="39" t="s">
        <v>1259</v>
      </c>
      <c r="B833" s="6">
        <f>_xlfn.XLOOKUP(Jnl[[#This Row],[TrxId]], Trx[Id], Trx[Date],,0)</f>
        <v>46053</v>
      </c>
      <c r="C833" s="6" t="str">
        <f>_xlfn.XLOOKUP(Jnl[[#This Row],[TrxId]], Trx[Id], Trx[Division],,0)</f>
        <v>MY</v>
      </c>
      <c r="D833" s="6" t="str">
        <f>_xlfn.XLOOKUP(Jnl[[#This Row],[TrxId]], Trx[Id], Trx[Action],,0)</f>
        <v>交通</v>
      </c>
      <c r="E833" s="27" t="s">
        <v>89</v>
      </c>
      <c r="F833" s="10" t="s">
        <v>596</v>
      </c>
      <c r="G833" s="10" t="s">
        <v>909</v>
      </c>
      <c r="H833" s="37">
        <v>-145.5</v>
      </c>
      <c r="I833" s="38" t="b">
        <f>AND(Jnl[[#This Row],[TrxId]]&lt;&gt;"",Jnl[[#This Row],[Acct]]&lt;&gt;"",Jnl[[#This Row],[Item]]&lt;&gt;"",ISNUMBER(Jnl[[#This Row],[Bal]]))</f>
        <v>1</v>
      </c>
      <c r="J833" s="9">
        <f>IF(Jnl[[#This Row],[BSLv0]]="A",1,-1)*Jnl[[#This Row],[Bal]]</f>
        <v>-145.5</v>
      </c>
      <c r="K833" t="str">
        <f>_xlfn.XLOOKUP(Jnl[[#This Row],[Acct]], config_BS[Acct], config_BS[Lv0],,0)</f>
        <v>A</v>
      </c>
      <c r="L833" t="str">
        <f>_xlfn.XLOOKUP(Jnl[[#This Row],[Acct]], config_BS[Acct], config_BS[Lv1],,0)</f>
        <v>Assets</v>
      </c>
      <c r="M833" t="str">
        <f>_xlfn.XLOOKUP(Jnl[[#This Row],[Acct]], config_BS[Acct], config_BS[Lv2],,0)</f>
        <v>Cash alike</v>
      </c>
      <c r="N833" t="str">
        <f>_xlfn.XLOOKUP(Jnl[[#This Row],[TrxId]], Trx[Id], Trx[IncNode], ,0)</f>
        <v>Expense</v>
      </c>
      <c r="O833" t="str">
        <f>_xlfn.XLOOKUP(Jnl[[#This Row],[IncNode]], config_IS[Node], config_IS[Type],,0)</f>
        <v>Op</v>
      </c>
      <c r="P833" t="str">
        <f>_xlfn.XLOOKUP(Jnl[[#This Row],[BSLv2]], dict[Key], dict[Name],,0)</f>
        <v>0.现金及类似</v>
      </c>
      <c r="Q833" t="str">
        <f>_xlfn.XLOOKUP(Jnl[[#This Row],[Acct]], dict[Key], dict[Name],,0)</f>
        <v>银行</v>
      </c>
      <c r="R833" t="str">
        <f>_xlfn.XLOOKUP(Jnl[[#This Row],[Vehicle]],config_vehicle[Id], config_vehicle[Name],,0)</f>
        <v>小月号</v>
      </c>
      <c r="S833" t="str">
        <f>_xlfn.XLOOKUP(Jnl[[#This Row],[Division]],config_div[Id], config_div[Name],,0)</f>
        <v>明月村</v>
      </c>
      <c r="T833" t="str">
        <f>IF(Jnl[[#This Row],[TrxDate]]&lt;=stmt_BS_date_end, "In", "Out")</f>
        <v>In</v>
      </c>
      <c r="U833" t="str">
        <f>IF(Jnl[[#This Row],[TrxDate]]&lt;debug_date_start, "prior", IF(Jnl[[#This Row],[TrxDate]]&gt;debug_date_end, "post", "curr"))</f>
        <v>curr</v>
      </c>
    </row>
    <row r="834" spans="1:21" hidden="1">
      <c r="A834" s="39" t="s">
        <v>1260</v>
      </c>
      <c r="B834" s="6">
        <f>_xlfn.XLOOKUP(Jnl[[#This Row],[TrxId]], Trx[Id], Trx[Date],,0)</f>
        <v>46053</v>
      </c>
      <c r="C834" s="6" t="str">
        <f>_xlfn.XLOOKUP(Jnl[[#This Row],[TrxId]], Trx[Id], Trx[Division],,0)</f>
        <v>MY</v>
      </c>
      <c r="D834" s="6" t="str">
        <f>_xlfn.XLOOKUP(Jnl[[#This Row],[TrxId]], Trx[Id], Trx[Action],,0)</f>
        <v>其他材料</v>
      </c>
      <c r="E834" s="27" t="s">
        <v>89</v>
      </c>
      <c r="F834" s="10" t="s">
        <v>596</v>
      </c>
      <c r="G834" s="10" t="s">
        <v>909</v>
      </c>
      <c r="H834" s="37">
        <v>-90</v>
      </c>
      <c r="I834" s="38" t="b">
        <f>AND(Jnl[[#This Row],[TrxId]]&lt;&gt;"",Jnl[[#This Row],[Acct]]&lt;&gt;"",Jnl[[#This Row],[Item]]&lt;&gt;"",ISNUMBER(Jnl[[#This Row],[Bal]]))</f>
        <v>1</v>
      </c>
      <c r="J834" s="9">
        <f>IF(Jnl[[#This Row],[BSLv0]]="A",1,-1)*Jnl[[#This Row],[Bal]]</f>
        <v>-90</v>
      </c>
      <c r="K834" t="str">
        <f>_xlfn.XLOOKUP(Jnl[[#This Row],[Acct]], config_BS[Acct], config_BS[Lv0],,0)</f>
        <v>A</v>
      </c>
      <c r="L834" t="str">
        <f>_xlfn.XLOOKUP(Jnl[[#This Row],[Acct]], config_BS[Acct], config_BS[Lv1],,0)</f>
        <v>Assets</v>
      </c>
      <c r="M834" t="str">
        <f>_xlfn.XLOOKUP(Jnl[[#This Row],[Acct]], config_BS[Acct], config_BS[Lv2],,0)</f>
        <v>Cash alike</v>
      </c>
      <c r="N834" t="str">
        <f>_xlfn.XLOOKUP(Jnl[[#This Row],[TrxId]], Trx[Id], Trx[IncNode], ,0)</f>
        <v>Cost</v>
      </c>
      <c r="O834" t="str">
        <f>_xlfn.XLOOKUP(Jnl[[#This Row],[IncNode]], config_IS[Node], config_IS[Type],,0)</f>
        <v>Op</v>
      </c>
      <c r="P834" t="str">
        <f>_xlfn.XLOOKUP(Jnl[[#This Row],[BSLv2]], dict[Key], dict[Name],,0)</f>
        <v>0.现金及类似</v>
      </c>
      <c r="Q834" t="str">
        <f>_xlfn.XLOOKUP(Jnl[[#This Row],[Acct]], dict[Key], dict[Name],,0)</f>
        <v>银行</v>
      </c>
      <c r="R834" t="str">
        <f>_xlfn.XLOOKUP(Jnl[[#This Row],[Vehicle]],config_vehicle[Id], config_vehicle[Name],,0)</f>
        <v>小月号</v>
      </c>
      <c r="S834" t="str">
        <f>_xlfn.XLOOKUP(Jnl[[#This Row],[Division]],config_div[Id], config_div[Name],,0)</f>
        <v>明月村</v>
      </c>
      <c r="T834" t="str">
        <f>IF(Jnl[[#This Row],[TrxDate]]&lt;=stmt_BS_date_end, "In", "Out")</f>
        <v>In</v>
      </c>
      <c r="U834" t="str">
        <f>IF(Jnl[[#This Row],[TrxDate]]&lt;debug_date_start, "prior", IF(Jnl[[#This Row],[TrxDate]]&gt;debug_date_end, "post", "curr"))</f>
        <v>curr</v>
      </c>
    </row>
    <row r="835" spans="1:21" hidden="1">
      <c r="A835" s="39" t="s">
        <v>1261</v>
      </c>
      <c r="B835" s="6">
        <f>_xlfn.XLOOKUP(Jnl[[#This Row],[TrxId]], Trx[Id], Trx[Date],,0)</f>
        <v>46053</v>
      </c>
      <c r="C835" s="6" t="str">
        <f>_xlfn.XLOOKUP(Jnl[[#This Row],[TrxId]], Trx[Id], Trx[Division],,0)</f>
        <v>MY</v>
      </c>
      <c r="D835" s="6" t="str">
        <f>_xlfn.XLOOKUP(Jnl[[#This Row],[TrxId]], Trx[Id], Trx[Action],,0)</f>
        <v>收款</v>
      </c>
      <c r="E835" s="27" t="s">
        <v>89</v>
      </c>
      <c r="F835" s="10" t="s">
        <v>596</v>
      </c>
      <c r="G835" s="10" t="s">
        <v>909</v>
      </c>
      <c r="H835" s="37">
        <v>3720</v>
      </c>
      <c r="I835" s="38" t="b">
        <f>AND(Jnl[[#This Row],[TrxId]]&lt;&gt;"",Jnl[[#This Row],[Acct]]&lt;&gt;"",Jnl[[#This Row],[Item]]&lt;&gt;"",ISNUMBER(Jnl[[#This Row],[Bal]]))</f>
        <v>1</v>
      </c>
      <c r="J835" s="9">
        <f>IF(Jnl[[#This Row],[BSLv0]]="A",1,-1)*Jnl[[#This Row],[Bal]]</f>
        <v>3720</v>
      </c>
      <c r="K835" t="str">
        <f>_xlfn.XLOOKUP(Jnl[[#This Row],[Acct]], config_BS[Acct], config_BS[Lv0],,0)</f>
        <v>A</v>
      </c>
      <c r="L835" t="str">
        <f>_xlfn.XLOOKUP(Jnl[[#This Row],[Acct]], config_BS[Acct], config_BS[Lv1],,0)</f>
        <v>Assets</v>
      </c>
      <c r="M835" t="str">
        <f>_xlfn.XLOOKUP(Jnl[[#This Row],[Acct]], config_BS[Acct], config_BS[Lv2],,0)</f>
        <v>Cash alike</v>
      </c>
      <c r="N835" t="str">
        <f>_xlfn.XLOOKUP(Jnl[[#This Row],[TrxId]], Trx[Id], Trx[IncNode], ,0)</f>
        <v>Revenue</v>
      </c>
      <c r="O835" t="str">
        <f>_xlfn.XLOOKUP(Jnl[[#This Row],[IncNode]], config_IS[Node], config_IS[Type],,0)</f>
        <v>Op</v>
      </c>
      <c r="P835" t="str">
        <f>_xlfn.XLOOKUP(Jnl[[#This Row],[BSLv2]], dict[Key], dict[Name],,0)</f>
        <v>0.现金及类似</v>
      </c>
      <c r="Q835" t="str">
        <f>_xlfn.XLOOKUP(Jnl[[#This Row],[Acct]], dict[Key], dict[Name],,0)</f>
        <v>银行</v>
      </c>
      <c r="R835" t="str">
        <f>_xlfn.XLOOKUP(Jnl[[#This Row],[Vehicle]],config_vehicle[Id], config_vehicle[Name],,0)</f>
        <v>小月号</v>
      </c>
      <c r="S835" t="str">
        <f>_xlfn.XLOOKUP(Jnl[[#This Row],[Division]],config_div[Id], config_div[Name],,0)</f>
        <v>明月村</v>
      </c>
      <c r="T835" t="str">
        <f>IF(Jnl[[#This Row],[TrxDate]]&lt;=stmt_BS_date_end, "In", "Out")</f>
        <v>In</v>
      </c>
      <c r="U835" t="str">
        <f>IF(Jnl[[#This Row],[TrxDate]]&lt;debug_date_start, "prior", IF(Jnl[[#This Row],[TrxDate]]&gt;debug_date_end, "post", "curr"))</f>
        <v>curr</v>
      </c>
    </row>
    <row r="836" spans="1:21" hidden="1">
      <c r="A836" s="39" t="s">
        <v>1261</v>
      </c>
      <c r="B836" s="6">
        <f>_xlfn.XLOOKUP(Jnl[[#This Row],[TrxId]], Trx[Id], Trx[Date],,0)</f>
        <v>46053</v>
      </c>
      <c r="C836" s="6" t="str">
        <f>_xlfn.XLOOKUP(Jnl[[#This Row],[TrxId]], Trx[Id], Trx[Division],,0)</f>
        <v>MY</v>
      </c>
      <c r="D836" s="6" t="str">
        <f>_xlfn.XLOOKUP(Jnl[[#This Row],[TrxId]], Trx[Id], Trx[Action],,0)</f>
        <v>收款</v>
      </c>
      <c r="E836" s="27" t="s">
        <v>85</v>
      </c>
      <c r="F836" s="10" t="s">
        <v>599</v>
      </c>
      <c r="G836" s="10" t="s">
        <v>1009</v>
      </c>
      <c r="H836" s="37">
        <f>-H835</f>
        <v>-3720</v>
      </c>
      <c r="I836" s="38" t="b">
        <f>AND(Jnl[[#This Row],[TrxId]]&lt;&gt;"",Jnl[[#This Row],[Acct]]&lt;&gt;"",Jnl[[#This Row],[Item]]&lt;&gt;"",ISNUMBER(Jnl[[#This Row],[Bal]]))</f>
        <v>1</v>
      </c>
      <c r="J836" s="9">
        <f>IF(Jnl[[#This Row],[BSLv0]]="A",1,-1)*Jnl[[#This Row],[Bal]]</f>
        <v>-3720</v>
      </c>
      <c r="K836" t="str">
        <f>_xlfn.XLOOKUP(Jnl[[#This Row],[Acct]], config_BS[Acct], config_BS[Lv0],,0)</f>
        <v>A</v>
      </c>
      <c r="L836" t="str">
        <f>_xlfn.XLOOKUP(Jnl[[#This Row],[Acct]], config_BS[Acct], config_BS[Lv1],,0)</f>
        <v>Assets</v>
      </c>
      <c r="M836" t="str">
        <f>_xlfn.XLOOKUP(Jnl[[#This Row],[Acct]], config_BS[Acct], config_BS[Lv2],,0)</f>
        <v>Rec-Pay</v>
      </c>
      <c r="N836" t="str">
        <f>_xlfn.XLOOKUP(Jnl[[#This Row],[TrxId]], Trx[Id], Trx[IncNode], ,0)</f>
        <v>Revenue</v>
      </c>
      <c r="O836" t="str">
        <f>_xlfn.XLOOKUP(Jnl[[#This Row],[IncNode]], config_IS[Node], config_IS[Type],,0)</f>
        <v>Op</v>
      </c>
      <c r="P836" t="str">
        <f>_xlfn.XLOOKUP(Jnl[[#This Row],[BSLv2]], dict[Key], dict[Name],,0)</f>
        <v>1.应收-应付</v>
      </c>
      <c r="Q836" t="str">
        <f>_xlfn.XLOOKUP(Jnl[[#This Row],[Acct]], dict[Key], dict[Name],,0)</f>
        <v>应收-一般</v>
      </c>
      <c r="R836" t="str">
        <f>_xlfn.XLOOKUP(Jnl[[#This Row],[Vehicle]],config_vehicle[Id], config_vehicle[Name],,0)</f>
        <v>远家文化</v>
      </c>
      <c r="S836" t="str">
        <f>_xlfn.XLOOKUP(Jnl[[#This Row],[Division]],config_div[Id], config_div[Name],,0)</f>
        <v>明月村</v>
      </c>
      <c r="T836" t="str">
        <f>IF(Jnl[[#This Row],[TrxDate]]&lt;=stmt_BS_date_end, "In", "Out")</f>
        <v>In</v>
      </c>
      <c r="U836" t="str">
        <f>IF(Jnl[[#This Row],[TrxDate]]&lt;debug_date_start, "prior", IF(Jnl[[#This Row],[TrxDate]]&gt;debug_date_end, "post", "curr"))</f>
        <v>curr</v>
      </c>
    </row>
    <row r="837" spans="1:21" hidden="1">
      <c r="A837" s="39" t="s">
        <v>1262</v>
      </c>
      <c r="B837" s="6">
        <f>_xlfn.XLOOKUP(Jnl[[#This Row],[TrxId]], Trx[Id], Trx[Date],,0)</f>
        <v>46053</v>
      </c>
      <c r="C837" s="6" t="str">
        <f>_xlfn.XLOOKUP(Jnl[[#This Row],[TrxId]], Trx[Id], Trx[Division],,0)</f>
        <v>MY</v>
      </c>
      <c r="D837" s="6" t="str">
        <f>_xlfn.XLOOKUP(Jnl[[#This Row],[TrxId]], Trx[Id], Trx[Action],,0)</f>
        <v>佣金</v>
      </c>
      <c r="E837" s="27" t="s">
        <v>89</v>
      </c>
      <c r="F837" s="10" t="s">
        <v>596</v>
      </c>
      <c r="G837" s="10" t="s">
        <v>909</v>
      </c>
      <c r="H837" s="37">
        <v>-2000</v>
      </c>
      <c r="I837" s="38" t="b">
        <f>AND(Jnl[[#This Row],[TrxId]]&lt;&gt;"",Jnl[[#This Row],[Acct]]&lt;&gt;"",Jnl[[#This Row],[Item]]&lt;&gt;"",ISNUMBER(Jnl[[#This Row],[Bal]]))</f>
        <v>1</v>
      </c>
      <c r="J837" s="9">
        <f>IF(Jnl[[#This Row],[BSLv0]]="A",1,-1)*Jnl[[#This Row],[Bal]]</f>
        <v>-2000</v>
      </c>
      <c r="K837" t="str">
        <f>_xlfn.XLOOKUP(Jnl[[#This Row],[Acct]], config_BS[Acct], config_BS[Lv0],,0)</f>
        <v>A</v>
      </c>
      <c r="L837" t="str">
        <f>_xlfn.XLOOKUP(Jnl[[#This Row],[Acct]], config_BS[Acct], config_BS[Lv1],,0)</f>
        <v>Assets</v>
      </c>
      <c r="M837" t="str">
        <f>_xlfn.XLOOKUP(Jnl[[#This Row],[Acct]], config_BS[Acct], config_BS[Lv2],,0)</f>
        <v>Cash alike</v>
      </c>
      <c r="N837" t="str">
        <f>_xlfn.XLOOKUP(Jnl[[#This Row],[TrxId]], Trx[Id], Trx[IncNode], ,0)</f>
        <v>Cost</v>
      </c>
      <c r="O837" t="str">
        <f>_xlfn.XLOOKUP(Jnl[[#This Row],[IncNode]], config_IS[Node], config_IS[Type],,0)</f>
        <v>Op</v>
      </c>
      <c r="P837" t="str">
        <f>_xlfn.XLOOKUP(Jnl[[#This Row],[BSLv2]], dict[Key], dict[Name],,0)</f>
        <v>0.现金及类似</v>
      </c>
      <c r="Q837" t="str">
        <f>_xlfn.XLOOKUP(Jnl[[#This Row],[Acct]], dict[Key], dict[Name],,0)</f>
        <v>银行</v>
      </c>
      <c r="R837" t="str">
        <f>_xlfn.XLOOKUP(Jnl[[#This Row],[Vehicle]],config_vehicle[Id], config_vehicle[Name],,0)</f>
        <v>小月号</v>
      </c>
      <c r="S837" t="str">
        <f>_xlfn.XLOOKUP(Jnl[[#This Row],[Division]],config_div[Id], config_div[Name],,0)</f>
        <v>明月村</v>
      </c>
      <c r="T837" t="str">
        <f>IF(Jnl[[#This Row],[TrxDate]]&lt;=stmt_BS_date_end, "In", "Out")</f>
        <v>In</v>
      </c>
      <c r="U837" t="str">
        <f>IF(Jnl[[#This Row],[TrxDate]]&lt;debug_date_start, "prior", IF(Jnl[[#This Row],[TrxDate]]&gt;debug_date_end, "post", "curr"))</f>
        <v>curr</v>
      </c>
    </row>
    <row r="838" spans="1:21" hidden="1">
      <c r="A838" s="39" t="s">
        <v>1263</v>
      </c>
      <c r="B838" s="6">
        <f>_xlfn.XLOOKUP(Jnl[[#This Row],[TrxId]], Trx[Id], Trx[Date],,0)</f>
        <v>46053</v>
      </c>
      <c r="C838" s="6" t="str">
        <f>_xlfn.XLOOKUP(Jnl[[#This Row],[TrxId]], Trx[Id], Trx[Division],,0)</f>
        <v>MY</v>
      </c>
      <c r="D838" s="6" t="str">
        <f>_xlfn.XLOOKUP(Jnl[[#This Row],[TrxId]], Trx[Id], Trx[Action],,0)</f>
        <v>其他材料</v>
      </c>
      <c r="E838" s="27" t="s">
        <v>89</v>
      </c>
      <c r="F838" s="10" t="s">
        <v>596</v>
      </c>
      <c r="G838" s="10" t="s">
        <v>909</v>
      </c>
      <c r="H838" s="37">
        <v>-120</v>
      </c>
      <c r="I838" s="38" t="b">
        <f>AND(Jnl[[#This Row],[TrxId]]&lt;&gt;"",Jnl[[#This Row],[Acct]]&lt;&gt;"",Jnl[[#This Row],[Item]]&lt;&gt;"",ISNUMBER(Jnl[[#This Row],[Bal]]))</f>
        <v>1</v>
      </c>
      <c r="J838" s="9">
        <f>IF(Jnl[[#This Row],[BSLv0]]="A",1,-1)*Jnl[[#This Row],[Bal]]</f>
        <v>-120</v>
      </c>
      <c r="K838" t="str">
        <f>_xlfn.XLOOKUP(Jnl[[#This Row],[Acct]], config_BS[Acct], config_BS[Lv0],,0)</f>
        <v>A</v>
      </c>
      <c r="L838" t="str">
        <f>_xlfn.XLOOKUP(Jnl[[#This Row],[Acct]], config_BS[Acct], config_BS[Lv1],,0)</f>
        <v>Assets</v>
      </c>
      <c r="M838" t="str">
        <f>_xlfn.XLOOKUP(Jnl[[#This Row],[Acct]], config_BS[Acct], config_BS[Lv2],,0)</f>
        <v>Cash alike</v>
      </c>
      <c r="N838" t="str">
        <f>_xlfn.XLOOKUP(Jnl[[#This Row],[TrxId]], Trx[Id], Trx[IncNode], ,0)</f>
        <v>Cost</v>
      </c>
      <c r="O838" t="str">
        <f>_xlfn.XLOOKUP(Jnl[[#This Row],[IncNode]], config_IS[Node], config_IS[Type],,0)</f>
        <v>Op</v>
      </c>
      <c r="P838" t="str">
        <f>_xlfn.XLOOKUP(Jnl[[#This Row],[BSLv2]], dict[Key], dict[Name],,0)</f>
        <v>0.现金及类似</v>
      </c>
      <c r="Q838" t="str">
        <f>_xlfn.XLOOKUP(Jnl[[#This Row],[Acct]], dict[Key], dict[Name],,0)</f>
        <v>银行</v>
      </c>
      <c r="R838" t="str">
        <f>_xlfn.XLOOKUP(Jnl[[#This Row],[Vehicle]],config_vehicle[Id], config_vehicle[Name],,0)</f>
        <v>小月号</v>
      </c>
      <c r="S838" t="str">
        <f>_xlfn.XLOOKUP(Jnl[[#This Row],[Division]],config_div[Id], config_div[Name],,0)</f>
        <v>明月村</v>
      </c>
      <c r="T838" t="str">
        <f>IF(Jnl[[#This Row],[TrxDate]]&lt;=stmt_BS_date_end, "In", "Out")</f>
        <v>In</v>
      </c>
      <c r="U838" t="str">
        <f>IF(Jnl[[#This Row],[TrxDate]]&lt;debug_date_start, "prior", IF(Jnl[[#This Row],[TrxDate]]&gt;debug_date_end, "post", "curr"))</f>
        <v>curr</v>
      </c>
    </row>
    <row r="839" spans="1:21" hidden="1">
      <c r="A839" s="39" t="s">
        <v>1264</v>
      </c>
      <c r="B839" s="6">
        <f>_xlfn.XLOOKUP(Jnl[[#This Row],[TrxId]], Trx[Id], Trx[Date],,0)</f>
        <v>46053</v>
      </c>
      <c r="C839" s="6" t="str">
        <f>_xlfn.XLOOKUP(Jnl[[#This Row],[TrxId]], Trx[Id], Trx[Division],,0)</f>
        <v>MY</v>
      </c>
      <c r="D839" s="6" t="str">
        <f>_xlfn.XLOOKUP(Jnl[[#This Row],[TrxId]], Trx[Id], Trx[Action],,0)</f>
        <v>过账</v>
      </c>
      <c r="E839" s="27" t="s">
        <v>89</v>
      </c>
      <c r="F839" s="10" t="s">
        <v>596</v>
      </c>
      <c r="G839" s="10" t="s">
        <v>909</v>
      </c>
      <c r="H839" s="37">
        <v>-100000</v>
      </c>
      <c r="I839" s="38" t="b">
        <f>AND(Jnl[[#This Row],[TrxId]]&lt;&gt;"",Jnl[[#This Row],[Acct]]&lt;&gt;"",Jnl[[#This Row],[Item]]&lt;&gt;"",ISNUMBER(Jnl[[#This Row],[Bal]]))</f>
        <v>1</v>
      </c>
      <c r="J839" s="9">
        <f>IF(Jnl[[#This Row],[BSLv0]]="A",1,-1)*Jnl[[#This Row],[Bal]]</f>
        <v>-100000</v>
      </c>
      <c r="K839" t="str">
        <f>_xlfn.XLOOKUP(Jnl[[#This Row],[Acct]], config_BS[Acct], config_BS[Lv0],,0)</f>
        <v>A</v>
      </c>
      <c r="L839" t="str">
        <f>_xlfn.XLOOKUP(Jnl[[#This Row],[Acct]], config_BS[Acct], config_BS[Lv1],,0)</f>
        <v>Assets</v>
      </c>
      <c r="M839" t="str">
        <f>_xlfn.XLOOKUP(Jnl[[#This Row],[Acct]], config_BS[Acct], config_BS[Lv2],,0)</f>
        <v>Cash alike</v>
      </c>
      <c r="N839" t="str">
        <f>_xlfn.XLOOKUP(Jnl[[#This Row],[TrxId]], Trx[Id], Trx[IncNode], ,0)</f>
        <v>Other</v>
      </c>
      <c r="O839" t="str">
        <f>_xlfn.XLOOKUP(Jnl[[#This Row],[IncNode]], config_IS[Node], config_IS[Type],,0)</f>
        <v>Non-Op</v>
      </c>
      <c r="P839" t="str">
        <f>_xlfn.XLOOKUP(Jnl[[#This Row],[BSLv2]], dict[Key], dict[Name],,0)</f>
        <v>0.现金及类似</v>
      </c>
      <c r="Q839" t="str">
        <f>_xlfn.XLOOKUP(Jnl[[#This Row],[Acct]], dict[Key], dict[Name],,0)</f>
        <v>银行</v>
      </c>
      <c r="R839" t="str">
        <f>_xlfn.XLOOKUP(Jnl[[#This Row],[Vehicle]],config_vehicle[Id], config_vehicle[Name],,0)</f>
        <v>小月号</v>
      </c>
      <c r="S839" t="str">
        <f>_xlfn.XLOOKUP(Jnl[[#This Row],[Division]],config_div[Id], config_div[Name],,0)</f>
        <v>明月村</v>
      </c>
      <c r="T839" t="str">
        <f>IF(Jnl[[#This Row],[TrxDate]]&lt;=stmt_BS_date_end, "In", "Out")</f>
        <v>In</v>
      </c>
      <c r="U839" t="str">
        <f>IF(Jnl[[#This Row],[TrxDate]]&lt;debug_date_start, "prior", IF(Jnl[[#This Row],[TrxDate]]&gt;debug_date_end, "post", "curr"))</f>
        <v>curr</v>
      </c>
    </row>
    <row r="840" spans="1:21" hidden="1">
      <c r="A840" s="39" t="s">
        <v>1264</v>
      </c>
      <c r="B840" s="6">
        <f>_xlfn.XLOOKUP(Jnl[[#This Row],[TrxId]], Trx[Id], Trx[Date],,0)</f>
        <v>46053</v>
      </c>
      <c r="C840" s="6" t="str">
        <f>_xlfn.XLOOKUP(Jnl[[#This Row],[TrxId]], Trx[Id], Trx[Division],,0)</f>
        <v>MY</v>
      </c>
      <c r="D840" s="6" t="str">
        <f>_xlfn.XLOOKUP(Jnl[[#This Row],[TrxId]], Trx[Id], Trx[Action],,0)</f>
        <v>过账</v>
      </c>
      <c r="E840" s="27" t="s">
        <v>88</v>
      </c>
      <c r="F840" s="10" t="s">
        <v>596</v>
      </c>
      <c r="G840" s="10" t="s">
        <v>486</v>
      </c>
      <c r="H840" s="37">
        <f>-H839</f>
        <v>100000</v>
      </c>
      <c r="I840" s="38" t="b">
        <f>AND(Jnl[[#This Row],[TrxId]]&lt;&gt;"",Jnl[[#This Row],[Acct]]&lt;&gt;"",Jnl[[#This Row],[Item]]&lt;&gt;"",ISNUMBER(Jnl[[#This Row],[Bal]]))</f>
        <v>1</v>
      </c>
      <c r="J840" s="9">
        <f>IF(Jnl[[#This Row],[BSLv0]]="A",1,-1)*Jnl[[#This Row],[Bal]]</f>
        <v>100000</v>
      </c>
      <c r="K840" t="str">
        <f>_xlfn.XLOOKUP(Jnl[[#This Row],[Acct]], config_BS[Acct], config_BS[Lv0],,0)</f>
        <v>A</v>
      </c>
      <c r="L840" t="str">
        <f>_xlfn.XLOOKUP(Jnl[[#This Row],[Acct]], config_BS[Acct], config_BS[Lv1],,0)</f>
        <v>Assets</v>
      </c>
      <c r="M840" t="str">
        <f>_xlfn.XLOOKUP(Jnl[[#This Row],[Acct]], config_BS[Acct], config_BS[Lv2],,0)</f>
        <v>Cash alike</v>
      </c>
      <c r="N840" t="str">
        <f>_xlfn.XLOOKUP(Jnl[[#This Row],[TrxId]], Trx[Id], Trx[IncNode], ,0)</f>
        <v>Other</v>
      </c>
      <c r="O840" t="str">
        <f>_xlfn.XLOOKUP(Jnl[[#This Row],[IncNode]], config_IS[Node], config_IS[Type],,0)</f>
        <v>Non-Op</v>
      </c>
      <c r="P840" t="str">
        <f>_xlfn.XLOOKUP(Jnl[[#This Row],[BSLv2]], dict[Key], dict[Name],,0)</f>
        <v>0.现金及类似</v>
      </c>
      <c r="Q840" t="str">
        <f>_xlfn.XLOOKUP(Jnl[[#This Row],[Acct]], dict[Key], dict[Name],,0)</f>
        <v>银行</v>
      </c>
      <c r="R840" t="str">
        <f>_xlfn.XLOOKUP(Jnl[[#This Row],[Vehicle]],config_vehicle[Id], config_vehicle[Name],,0)</f>
        <v>张小喜</v>
      </c>
      <c r="S840" t="str">
        <f>_xlfn.XLOOKUP(Jnl[[#This Row],[Division]],config_div[Id], config_div[Name],,0)</f>
        <v>明月村</v>
      </c>
      <c r="T840" t="str">
        <f>IF(Jnl[[#This Row],[TrxDate]]&lt;=stmt_BS_date_end, "In", "Out")</f>
        <v>In</v>
      </c>
      <c r="U840" t="str">
        <f>IF(Jnl[[#This Row],[TrxDate]]&lt;debug_date_start, "prior", IF(Jnl[[#This Row],[TrxDate]]&gt;debug_date_end, "post", "curr"))</f>
        <v>curr</v>
      </c>
    </row>
    <row r="841" spans="1:21" hidden="1">
      <c r="A841" s="39" t="s">
        <v>1265</v>
      </c>
      <c r="B841" s="6">
        <f>_xlfn.XLOOKUP(Jnl[[#This Row],[TrxId]], Trx[Id], Trx[Date],,0)</f>
        <v>46053</v>
      </c>
      <c r="C841" s="6" t="str">
        <f>_xlfn.XLOOKUP(Jnl[[#This Row],[TrxId]], Trx[Id], Trx[Division],,0)</f>
        <v>MY</v>
      </c>
      <c r="D841" s="6" t="str">
        <f>_xlfn.XLOOKUP(Jnl[[#This Row],[TrxId]], Trx[Id], Trx[Action],,0)</f>
        <v>银行费</v>
      </c>
      <c r="E841" s="27" t="s">
        <v>89</v>
      </c>
      <c r="F841" s="10" t="s">
        <v>596</v>
      </c>
      <c r="G841" s="10" t="s">
        <v>909</v>
      </c>
      <c r="H841" s="37">
        <v>-100</v>
      </c>
      <c r="I841" s="38" t="b">
        <f>AND(Jnl[[#This Row],[TrxId]]&lt;&gt;"",Jnl[[#This Row],[Acct]]&lt;&gt;"",Jnl[[#This Row],[Item]]&lt;&gt;"",ISNUMBER(Jnl[[#This Row],[Bal]]))</f>
        <v>1</v>
      </c>
      <c r="J841" s="9">
        <f>IF(Jnl[[#This Row],[BSLv0]]="A",1,-1)*Jnl[[#This Row],[Bal]]</f>
        <v>-100</v>
      </c>
      <c r="K841" t="str">
        <f>_xlfn.XLOOKUP(Jnl[[#This Row],[Acct]], config_BS[Acct], config_BS[Lv0],,0)</f>
        <v>A</v>
      </c>
      <c r="L841" t="str">
        <f>_xlfn.XLOOKUP(Jnl[[#This Row],[Acct]], config_BS[Acct], config_BS[Lv1],,0)</f>
        <v>Assets</v>
      </c>
      <c r="M841" t="str">
        <f>_xlfn.XLOOKUP(Jnl[[#This Row],[Acct]], config_BS[Acct], config_BS[Lv2],,0)</f>
        <v>Cash alike</v>
      </c>
      <c r="N841" t="str">
        <f>_xlfn.XLOOKUP(Jnl[[#This Row],[TrxId]], Trx[Id], Trx[IncNode], ,0)</f>
        <v>Expense</v>
      </c>
      <c r="O841" t="str">
        <f>_xlfn.XLOOKUP(Jnl[[#This Row],[IncNode]], config_IS[Node], config_IS[Type],,0)</f>
        <v>Op</v>
      </c>
      <c r="P841" t="str">
        <f>_xlfn.XLOOKUP(Jnl[[#This Row],[BSLv2]], dict[Key], dict[Name],,0)</f>
        <v>0.现金及类似</v>
      </c>
      <c r="Q841" t="str">
        <f>_xlfn.XLOOKUP(Jnl[[#This Row],[Acct]], dict[Key], dict[Name],,0)</f>
        <v>银行</v>
      </c>
      <c r="R841" t="str">
        <f>_xlfn.XLOOKUP(Jnl[[#This Row],[Vehicle]],config_vehicle[Id], config_vehicle[Name],,0)</f>
        <v>小月号</v>
      </c>
      <c r="S841" t="str">
        <f>_xlfn.XLOOKUP(Jnl[[#This Row],[Division]],config_div[Id], config_div[Name],,0)</f>
        <v>明月村</v>
      </c>
      <c r="T841" t="str">
        <f>IF(Jnl[[#This Row],[TrxDate]]&lt;=stmt_BS_date_end, "In", "Out")</f>
        <v>In</v>
      </c>
      <c r="U841" t="str">
        <f>IF(Jnl[[#This Row],[TrxDate]]&lt;debug_date_start, "prior", IF(Jnl[[#This Row],[TrxDate]]&gt;debug_date_end, "post", "curr"))</f>
        <v>curr</v>
      </c>
    </row>
    <row r="842" spans="1:21" hidden="1">
      <c r="A842" s="39" t="s">
        <v>1266</v>
      </c>
      <c r="B842" s="6">
        <f>_xlfn.XLOOKUP(Jnl[[#This Row],[TrxId]], Trx[Id], Trx[Date],,0)</f>
        <v>46053</v>
      </c>
      <c r="C842" s="6" t="str">
        <f>_xlfn.XLOOKUP(Jnl[[#This Row],[TrxId]], Trx[Id], Trx[Division],,0)</f>
        <v>MY</v>
      </c>
      <c r="D842" s="6" t="str">
        <f>_xlfn.XLOOKUP(Jnl[[#This Row],[TrxId]], Trx[Id], Trx[Action],,0)</f>
        <v>收款</v>
      </c>
      <c r="E842" s="27" t="s">
        <v>89</v>
      </c>
      <c r="F842" s="10" t="s">
        <v>596</v>
      </c>
      <c r="G842" s="10" t="s">
        <v>909</v>
      </c>
      <c r="H842" s="37">
        <v>162.4</v>
      </c>
      <c r="I842" s="38" t="b">
        <f>AND(Jnl[[#This Row],[TrxId]]&lt;&gt;"",Jnl[[#This Row],[Acct]]&lt;&gt;"",Jnl[[#This Row],[Item]]&lt;&gt;"",ISNUMBER(Jnl[[#This Row],[Bal]]))</f>
        <v>1</v>
      </c>
      <c r="J842" s="9">
        <f>IF(Jnl[[#This Row],[BSLv0]]="A",1,-1)*Jnl[[#This Row],[Bal]]</f>
        <v>162.4</v>
      </c>
      <c r="K842" t="str">
        <f>_xlfn.XLOOKUP(Jnl[[#This Row],[Acct]], config_BS[Acct], config_BS[Lv0],,0)</f>
        <v>A</v>
      </c>
      <c r="L842" t="str">
        <f>_xlfn.XLOOKUP(Jnl[[#This Row],[Acct]], config_BS[Acct], config_BS[Lv1],,0)</f>
        <v>Assets</v>
      </c>
      <c r="M842" t="str">
        <f>_xlfn.XLOOKUP(Jnl[[#This Row],[Acct]], config_BS[Acct], config_BS[Lv2],,0)</f>
        <v>Cash alike</v>
      </c>
      <c r="N842" t="str">
        <f>_xlfn.XLOOKUP(Jnl[[#This Row],[TrxId]], Trx[Id], Trx[IncNode], ,0)</f>
        <v>Revenue</v>
      </c>
      <c r="O842" t="str">
        <f>_xlfn.XLOOKUP(Jnl[[#This Row],[IncNode]], config_IS[Node], config_IS[Type],,0)</f>
        <v>Op</v>
      </c>
      <c r="P842" t="str">
        <f>_xlfn.XLOOKUP(Jnl[[#This Row],[BSLv2]], dict[Key], dict[Name],,0)</f>
        <v>0.现金及类似</v>
      </c>
      <c r="Q842" t="str">
        <f>_xlfn.XLOOKUP(Jnl[[#This Row],[Acct]], dict[Key], dict[Name],,0)</f>
        <v>银行</v>
      </c>
      <c r="R842" t="str">
        <f>_xlfn.XLOOKUP(Jnl[[#This Row],[Vehicle]],config_vehicle[Id], config_vehicle[Name],,0)</f>
        <v>小月号</v>
      </c>
      <c r="S842" t="str">
        <f>_xlfn.XLOOKUP(Jnl[[#This Row],[Division]],config_div[Id], config_div[Name],,0)</f>
        <v>明月村</v>
      </c>
      <c r="T842" t="str">
        <f>IF(Jnl[[#This Row],[TrxDate]]&lt;=stmt_BS_date_end, "In", "Out")</f>
        <v>In</v>
      </c>
      <c r="U842" t="str">
        <f>IF(Jnl[[#This Row],[TrxDate]]&lt;debug_date_start, "prior", IF(Jnl[[#This Row],[TrxDate]]&gt;debug_date_end, "post", "curr"))</f>
        <v>curr</v>
      </c>
    </row>
    <row r="843" spans="1:21" hidden="1">
      <c r="A843" s="39" t="s">
        <v>1266</v>
      </c>
      <c r="B843" s="6">
        <f>_xlfn.XLOOKUP(Jnl[[#This Row],[TrxId]], Trx[Id], Trx[Date],,0)</f>
        <v>46053</v>
      </c>
      <c r="C843" s="6" t="str">
        <f>_xlfn.XLOOKUP(Jnl[[#This Row],[TrxId]], Trx[Id], Trx[Division],,0)</f>
        <v>MY</v>
      </c>
      <c r="D843" s="6" t="str">
        <f>_xlfn.XLOOKUP(Jnl[[#This Row],[TrxId]], Trx[Id], Trx[Action],,0)</f>
        <v>收款</v>
      </c>
      <c r="E843" s="27" t="s">
        <v>85</v>
      </c>
      <c r="F843" s="10" t="s">
        <v>599</v>
      </c>
      <c r="G843" s="10" t="s">
        <v>1068</v>
      </c>
      <c r="H843" s="37">
        <v>-162.4</v>
      </c>
      <c r="I843" s="38" t="b">
        <f>AND(Jnl[[#This Row],[TrxId]]&lt;&gt;"",Jnl[[#This Row],[Acct]]&lt;&gt;"",Jnl[[#This Row],[Item]]&lt;&gt;"",ISNUMBER(Jnl[[#This Row],[Bal]]))</f>
        <v>1</v>
      </c>
      <c r="J843" s="9">
        <f>IF(Jnl[[#This Row],[BSLv0]]="A",1,-1)*Jnl[[#This Row],[Bal]]</f>
        <v>-162.4</v>
      </c>
      <c r="K843" t="str">
        <f>_xlfn.XLOOKUP(Jnl[[#This Row],[Acct]], config_BS[Acct], config_BS[Lv0],,0)</f>
        <v>A</v>
      </c>
      <c r="L843" t="str">
        <f>_xlfn.XLOOKUP(Jnl[[#This Row],[Acct]], config_BS[Acct], config_BS[Lv1],,0)</f>
        <v>Assets</v>
      </c>
      <c r="M843" t="str">
        <f>_xlfn.XLOOKUP(Jnl[[#This Row],[Acct]], config_BS[Acct], config_BS[Lv2],,0)</f>
        <v>Rec-Pay</v>
      </c>
      <c r="N843" t="str">
        <f>_xlfn.XLOOKUP(Jnl[[#This Row],[TrxId]], Trx[Id], Trx[IncNode], ,0)</f>
        <v>Revenue</v>
      </c>
      <c r="O843" t="str">
        <f>_xlfn.XLOOKUP(Jnl[[#This Row],[IncNode]], config_IS[Node], config_IS[Type],,0)</f>
        <v>Op</v>
      </c>
      <c r="P843" t="str">
        <f>_xlfn.XLOOKUP(Jnl[[#This Row],[BSLv2]], dict[Key], dict[Name],,0)</f>
        <v>1.应收-应付</v>
      </c>
      <c r="Q843" t="str">
        <f>_xlfn.XLOOKUP(Jnl[[#This Row],[Acct]], dict[Key], dict[Name],,0)</f>
        <v>应收-一般</v>
      </c>
      <c r="R843" t="str">
        <f>_xlfn.XLOOKUP(Jnl[[#This Row],[Vehicle]],config_vehicle[Id], config_vehicle[Name],,0)</f>
        <v>远家文化</v>
      </c>
      <c r="S843" t="str">
        <f>_xlfn.XLOOKUP(Jnl[[#This Row],[Division]],config_div[Id], config_div[Name],,0)</f>
        <v>明月村</v>
      </c>
      <c r="T843" t="str">
        <f>IF(Jnl[[#This Row],[TrxDate]]&lt;=stmt_BS_date_end, "In", "Out")</f>
        <v>In</v>
      </c>
      <c r="U843" t="str">
        <f>IF(Jnl[[#This Row],[TrxDate]]&lt;debug_date_start, "prior", IF(Jnl[[#This Row],[TrxDate]]&gt;debug_date_end, "post", "curr"))</f>
        <v>curr</v>
      </c>
    </row>
    <row r="844" spans="1:21" hidden="1">
      <c r="A844" s="39" t="s">
        <v>1267</v>
      </c>
      <c r="B844" s="6">
        <f>_xlfn.XLOOKUP(Jnl[[#This Row],[TrxId]], Trx[Id], Trx[Date],,0)</f>
        <v>46053</v>
      </c>
      <c r="C844" s="6" t="str">
        <f>_xlfn.XLOOKUP(Jnl[[#This Row],[TrxId]], Trx[Id], Trx[Division],,0)</f>
        <v>MY</v>
      </c>
      <c r="D844" s="6" t="str">
        <f>_xlfn.XLOOKUP(Jnl[[#This Row],[TrxId]], Trx[Id], Trx[Action],,0)</f>
        <v>收款</v>
      </c>
      <c r="E844" s="27" t="s">
        <v>89</v>
      </c>
      <c r="F844" s="10" t="s">
        <v>596</v>
      </c>
      <c r="G844" s="10" t="s">
        <v>909</v>
      </c>
      <c r="H844" s="37">
        <v>1000</v>
      </c>
      <c r="I844" s="38" t="b">
        <f>AND(Jnl[[#This Row],[TrxId]]&lt;&gt;"",Jnl[[#This Row],[Acct]]&lt;&gt;"",Jnl[[#This Row],[Item]]&lt;&gt;"",ISNUMBER(Jnl[[#This Row],[Bal]]))</f>
        <v>1</v>
      </c>
      <c r="J844" s="9">
        <f>IF(Jnl[[#This Row],[BSLv0]]="A",1,-1)*Jnl[[#This Row],[Bal]]</f>
        <v>1000</v>
      </c>
      <c r="K844" t="str">
        <f>_xlfn.XLOOKUP(Jnl[[#This Row],[Acct]], config_BS[Acct], config_BS[Lv0],,0)</f>
        <v>A</v>
      </c>
      <c r="L844" t="str">
        <f>_xlfn.XLOOKUP(Jnl[[#This Row],[Acct]], config_BS[Acct], config_BS[Lv1],,0)</f>
        <v>Assets</v>
      </c>
      <c r="M844" t="str">
        <f>_xlfn.XLOOKUP(Jnl[[#This Row],[Acct]], config_BS[Acct], config_BS[Lv2],,0)</f>
        <v>Cash alike</v>
      </c>
      <c r="N844" t="str">
        <f>_xlfn.XLOOKUP(Jnl[[#This Row],[TrxId]], Trx[Id], Trx[IncNode], ,0)</f>
        <v>Revenue</v>
      </c>
      <c r="O844" t="str">
        <f>_xlfn.XLOOKUP(Jnl[[#This Row],[IncNode]], config_IS[Node], config_IS[Type],,0)</f>
        <v>Op</v>
      </c>
      <c r="P844" t="str">
        <f>_xlfn.XLOOKUP(Jnl[[#This Row],[BSLv2]], dict[Key], dict[Name],,0)</f>
        <v>0.现金及类似</v>
      </c>
      <c r="Q844" t="str">
        <f>_xlfn.XLOOKUP(Jnl[[#This Row],[Acct]], dict[Key], dict[Name],,0)</f>
        <v>银行</v>
      </c>
      <c r="R844" t="str">
        <f>_xlfn.XLOOKUP(Jnl[[#This Row],[Vehicle]],config_vehicle[Id], config_vehicle[Name],,0)</f>
        <v>小月号</v>
      </c>
      <c r="S844" t="str">
        <f>_xlfn.XLOOKUP(Jnl[[#This Row],[Division]],config_div[Id], config_div[Name],,0)</f>
        <v>明月村</v>
      </c>
      <c r="T844" t="str">
        <f>IF(Jnl[[#This Row],[TrxDate]]&lt;=stmt_BS_date_end, "In", "Out")</f>
        <v>In</v>
      </c>
      <c r="U844" t="str">
        <f>IF(Jnl[[#This Row],[TrxDate]]&lt;debug_date_start, "prior", IF(Jnl[[#This Row],[TrxDate]]&gt;debug_date_end, "post", "curr"))</f>
        <v>curr</v>
      </c>
    </row>
    <row r="845" spans="1:21" hidden="1">
      <c r="A845" s="39" t="s">
        <v>1267</v>
      </c>
      <c r="B845" s="6">
        <f>_xlfn.XLOOKUP(Jnl[[#This Row],[TrxId]], Trx[Id], Trx[Date],,0)</f>
        <v>46053</v>
      </c>
      <c r="C845" s="6" t="str">
        <f>_xlfn.XLOOKUP(Jnl[[#This Row],[TrxId]], Trx[Id], Trx[Division],,0)</f>
        <v>MY</v>
      </c>
      <c r="D845" s="6" t="str">
        <f>_xlfn.XLOOKUP(Jnl[[#This Row],[TrxId]], Trx[Id], Trx[Action],,0)</f>
        <v>收款</v>
      </c>
      <c r="E845" s="27" t="s">
        <v>85</v>
      </c>
      <c r="F845" s="10" t="s">
        <v>599</v>
      </c>
      <c r="G845" s="10" t="s">
        <v>1073</v>
      </c>
      <c r="H845" s="37">
        <v>-1000</v>
      </c>
      <c r="I845" s="38" t="b">
        <f>AND(Jnl[[#This Row],[TrxId]]&lt;&gt;"",Jnl[[#This Row],[Acct]]&lt;&gt;"",Jnl[[#This Row],[Item]]&lt;&gt;"",ISNUMBER(Jnl[[#This Row],[Bal]]))</f>
        <v>1</v>
      </c>
      <c r="J845" s="9">
        <f>IF(Jnl[[#This Row],[BSLv0]]="A",1,-1)*Jnl[[#This Row],[Bal]]</f>
        <v>-1000</v>
      </c>
      <c r="K845" t="str">
        <f>_xlfn.XLOOKUP(Jnl[[#This Row],[Acct]], config_BS[Acct], config_BS[Lv0],,0)</f>
        <v>A</v>
      </c>
      <c r="L845" t="str">
        <f>_xlfn.XLOOKUP(Jnl[[#This Row],[Acct]], config_BS[Acct], config_BS[Lv1],,0)</f>
        <v>Assets</v>
      </c>
      <c r="M845" t="str">
        <f>_xlfn.XLOOKUP(Jnl[[#This Row],[Acct]], config_BS[Acct], config_BS[Lv2],,0)</f>
        <v>Rec-Pay</v>
      </c>
      <c r="N845" t="str">
        <f>_xlfn.XLOOKUP(Jnl[[#This Row],[TrxId]], Trx[Id], Trx[IncNode], ,0)</f>
        <v>Revenue</v>
      </c>
      <c r="O845" t="str">
        <f>_xlfn.XLOOKUP(Jnl[[#This Row],[IncNode]], config_IS[Node], config_IS[Type],,0)</f>
        <v>Op</v>
      </c>
      <c r="P845" t="str">
        <f>_xlfn.XLOOKUP(Jnl[[#This Row],[BSLv2]], dict[Key], dict[Name],,0)</f>
        <v>1.应收-应付</v>
      </c>
      <c r="Q845" t="str">
        <f>_xlfn.XLOOKUP(Jnl[[#This Row],[Acct]], dict[Key], dict[Name],,0)</f>
        <v>应收-一般</v>
      </c>
      <c r="R845" t="str">
        <f>_xlfn.XLOOKUP(Jnl[[#This Row],[Vehicle]],config_vehicle[Id], config_vehicle[Name],,0)</f>
        <v>远家文化</v>
      </c>
      <c r="S845" t="str">
        <f>_xlfn.XLOOKUP(Jnl[[#This Row],[Division]],config_div[Id], config_div[Name],,0)</f>
        <v>明月村</v>
      </c>
      <c r="T845" t="str">
        <f>IF(Jnl[[#This Row],[TrxDate]]&lt;=stmt_BS_date_end, "In", "Out")</f>
        <v>In</v>
      </c>
      <c r="U845" t="str">
        <f>IF(Jnl[[#This Row],[TrxDate]]&lt;debug_date_start, "prior", IF(Jnl[[#This Row],[TrxDate]]&gt;debug_date_end, "post", "curr"))</f>
        <v>curr</v>
      </c>
    </row>
    <row r="846" spans="1:21" hidden="1">
      <c r="A846" s="39" t="s">
        <v>1268</v>
      </c>
      <c r="B846" s="6">
        <f>_xlfn.XLOOKUP(Jnl[[#This Row],[TrxId]], Trx[Id], Trx[Date],,0)</f>
        <v>46053</v>
      </c>
      <c r="C846" s="6" t="str">
        <f>_xlfn.XLOOKUP(Jnl[[#This Row],[TrxId]], Trx[Id], Trx[Division],,0)</f>
        <v>MY</v>
      </c>
      <c r="D846" s="6" t="str">
        <f>_xlfn.XLOOKUP(Jnl[[#This Row],[TrxId]], Trx[Id], Trx[Action],,0)</f>
        <v>收款</v>
      </c>
      <c r="E846" s="27" t="s">
        <v>89</v>
      </c>
      <c r="F846" s="10" t="s">
        <v>596</v>
      </c>
      <c r="G846" s="10" t="s">
        <v>909</v>
      </c>
      <c r="H846" s="37">
        <v>409</v>
      </c>
      <c r="I846" s="38" t="b">
        <f>AND(Jnl[[#This Row],[TrxId]]&lt;&gt;"",Jnl[[#This Row],[Acct]]&lt;&gt;"",Jnl[[#This Row],[Item]]&lt;&gt;"",ISNUMBER(Jnl[[#This Row],[Bal]]))</f>
        <v>1</v>
      </c>
      <c r="J846" s="9">
        <f>IF(Jnl[[#This Row],[BSLv0]]="A",1,-1)*Jnl[[#This Row],[Bal]]</f>
        <v>409</v>
      </c>
      <c r="K846" t="str">
        <f>_xlfn.XLOOKUP(Jnl[[#This Row],[Acct]], config_BS[Acct], config_BS[Lv0],,0)</f>
        <v>A</v>
      </c>
      <c r="L846" t="str">
        <f>_xlfn.XLOOKUP(Jnl[[#This Row],[Acct]], config_BS[Acct], config_BS[Lv1],,0)</f>
        <v>Assets</v>
      </c>
      <c r="M846" t="str">
        <f>_xlfn.XLOOKUP(Jnl[[#This Row],[Acct]], config_BS[Acct], config_BS[Lv2],,0)</f>
        <v>Cash alike</v>
      </c>
      <c r="N846" t="str">
        <f>_xlfn.XLOOKUP(Jnl[[#This Row],[TrxId]], Trx[Id], Trx[IncNode], ,0)</f>
        <v>Revenue</v>
      </c>
      <c r="O846" t="str">
        <f>_xlfn.XLOOKUP(Jnl[[#This Row],[IncNode]], config_IS[Node], config_IS[Type],,0)</f>
        <v>Op</v>
      </c>
      <c r="P846" t="str">
        <f>_xlfn.XLOOKUP(Jnl[[#This Row],[BSLv2]], dict[Key], dict[Name],,0)</f>
        <v>0.现金及类似</v>
      </c>
      <c r="Q846" t="str">
        <f>_xlfn.XLOOKUP(Jnl[[#This Row],[Acct]], dict[Key], dict[Name],,0)</f>
        <v>银行</v>
      </c>
      <c r="R846" t="str">
        <f>_xlfn.XLOOKUP(Jnl[[#This Row],[Vehicle]],config_vehicle[Id], config_vehicle[Name],,0)</f>
        <v>小月号</v>
      </c>
      <c r="S846" t="str">
        <f>_xlfn.XLOOKUP(Jnl[[#This Row],[Division]],config_div[Id], config_div[Name],,0)</f>
        <v>明月村</v>
      </c>
      <c r="T846" t="str">
        <f>IF(Jnl[[#This Row],[TrxDate]]&lt;=stmt_BS_date_end, "In", "Out")</f>
        <v>In</v>
      </c>
      <c r="U846" t="str">
        <f>IF(Jnl[[#This Row],[TrxDate]]&lt;debug_date_start, "prior", IF(Jnl[[#This Row],[TrxDate]]&gt;debug_date_end, "post", "curr"))</f>
        <v>curr</v>
      </c>
    </row>
    <row r="847" spans="1:21" hidden="1">
      <c r="A847" s="39" t="s">
        <v>1268</v>
      </c>
      <c r="B847" s="6">
        <f>_xlfn.XLOOKUP(Jnl[[#This Row],[TrxId]], Trx[Id], Trx[Date],,0)</f>
        <v>46053</v>
      </c>
      <c r="C847" s="6" t="str">
        <f>_xlfn.XLOOKUP(Jnl[[#This Row],[TrxId]], Trx[Id], Trx[Division],,0)</f>
        <v>MY</v>
      </c>
      <c r="D847" s="6" t="str">
        <f>_xlfn.XLOOKUP(Jnl[[#This Row],[TrxId]], Trx[Id], Trx[Action],,0)</f>
        <v>收款</v>
      </c>
      <c r="E847" s="27" t="s">
        <v>85</v>
      </c>
      <c r="F847" s="10" t="s">
        <v>599</v>
      </c>
      <c r="G847" s="10" t="s">
        <v>1009</v>
      </c>
      <c r="H847" s="37">
        <v>-409</v>
      </c>
      <c r="I847" s="38" t="b">
        <f>AND(Jnl[[#This Row],[TrxId]]&lt;&gt;"",Jnl[[#This Row],[Acct]]&lt;&gt;"",Jnl[[#This Row],[Item]]&lt;&gt;"",ISNUMBER(Jnl[[#This Row],[Bal]]))</f>
        <v>1</v>
      </c>
      <c r="J847" s="9">
        <f>IF(Jnl[[#This Row],[BSLv0]]="A",1,-1)*Jnl[[#This Row],[Bal]]</f>
        <v>-409</v>
      </c>
      <c r="K847" t="str">
        <f>_xlfn.XLOOKUP(Jnl[[#This Row],[Acct]], config_BS[Acct], config_BS[Lv0],,0)</f>
        <v>A</v>
      </c>
      <c r="L847" t="str">
        <f>_xlfn.XLOOKUP(Jnl[[#This Row],[Acct]], config_BS[Acct], config_BS[Lv1],,0)</f>
        <v>Assets</v>
      </c>
      <c r="M847" t="str">
        <f>_xlfn.XLOOKUP(Jnl[[#This Row],[Acct]], config_BS[Acct], config_BS[Lv2],,0)</f>
        <v>Rec-Pay</v>
      </c>
      <c r="N847" t="str">
        <f>_xlfn.XLOOKUP(Jnl[[#This Row],[TrxId]], Trx[Id], Trx[IncNode], ,0)</f>
        <v>Revenue</v>
      </c>
      <c r="O847" t="str">
        <f>_xlfn.XLOOKUP(Jnl[[#This Row],[IncNode]], config_IS[Node], config_IS[Type],,0)</f>
        <v>Op</v>
      </c>
      <c r="P847" t="str">
        <f>_xlfn.XLOOKUP(Jnl[[#This Row],[BSLv2]], dict[Key], dict[Name],,0)</f>
        <v>1.应收-应付</v>
      </c>
      <c r="Q847" t="str">
        <f>_xlfn.XLOOKUP(Jnl[[#This Row],[Acct]], dict[Key], dict[Name],,0)</f>
        <v>应收-一般</v>
      </c>
      <c r="R847" t="str">
        <f>_xlfn.XLOOKUP(Jnl[[#This Row],[Vehicle]],config_vehicle[Id], config_vehicle[Name],,0)</f>
        <v>远家文化</v>
      </c>
      <c r="S847" t="str">
        <f>_xlfn.XLOOKUP(Jnl[[#This Row],[Division]],config_div[Id], config_div[Name],,0)</f>
        <v>明月村</v>
      </c>
      <c r="T847" t="str">
        <f>IF(Jnl[[#This Row],[TrxDate]]&lt;=stmt_BS_date_end, "In", "Out")</f>
        <v>In</v>
      </c>
      <c r="U847" t="str">
        <f>IF(Jnl[[#This Row],[TrxDate]]&lt;debug_date_start, "prior", IF(Jnl[[#This Row],[TrxDate]]&gt;debug_date_end, "post", "curr"))</f>
        <v>curr</v>
      </c>
    </row>
    <row r="848" spans="1:21" hidden="1">
      <c r="A848" s="39" t="s">
        <v>1269</v>
      </c>
      <c r="B848" s="6">
        <f>_xlfn.XLOOKUP(Jnl[[#This Row],[TrxId]], Trx[Id], Trx[Date],,0)</f>
        <v>46053</v>
      </c>
      <c r="C848" s="6" t="str">
        <f>_xlfn.XLOOKUP(Jnl[[#This Row],[TrxId]], Trx[Id], Trx[Division],,0)</f>
        <v>MY</v>
      </c>
      <c r="D848" s="6" t="str">
        <f>_xlfn.XLOOKUP(Jnl[[#This Row],[TrxId]], Trx[Id], Trx[Action],,0)</f>
        <v>退款-客人</v>
      </c>
      <c r="E848" s="27" t="s">
        <v>89</v>
      </c>
      <c r="F848" s="10" t="s">
        <v>596</v>
      </c>
      <c r="G848" s="10" t="s">
        <v>910</v>
      </c>
      <c r="H848" s="37">
        <v>-1500</v>
      </c>
      <c r="I848" s="38" t="b">
        <f>AND(Jnl[[#This Row],[TrxId]]&lt;&gt;"",Jnl[[#This Row],[Acct]]&lt;&gt;"",Jnl[[#This Row],[Item]]&lt;&gt;"",ISNUMBER(Jnl[[#This Row],[Bal]]))</f>
        <v>1</v>
      </c>
      <c r="J848" s="9">
        <f>IF(Jnl[[#This Row],[BSLv0]]="A",1,-1)*Jnl[[#This Row],[Bal]]</f>
        <v>-1500</v>
      </c>
      <c r="K848" t="str">
        <f>_xlfn.XLOOKUP(Jnl[[#This Row],[Acct]], config_BS[Acct], config_BS[Lv0],,0)</f>
        <v>A</v>
      </c>
      <c r="L848" t="str">
        <f>_xlfn.XLOOKUP(Jnl[[#This Row],[Acct]], config_BS[Acct], config_BS[Lv1],,0)</f>
        <v>Assets</v>
      </c>
      <c r="M848" t="str">
        <f>_xlfn.XLOOKUP(Jnl[[#This Row],[Acct]], config_BS[Acct], config_BS[Lv2],,0)</f>
        <v>Cash alike</v>
      </c>
      <c r="N848" t="str">
        <f>_xlfn.XLOOKUP(Jnl[[#This Row],[TrxId]], Trx[Id], Trx[IncNode], ,0)</f>
        <v>Revenue</v>
      </c>
      <c r="O848" t="str">
        <f>_xlfn.XLOOKUP(Jnl[[#This Row],[IncNode]], config_IS[Node], config_IS[Type],,0)</f>
        <v>Op</v>
      </c>
      <c r="P848" t="str">
        <f>_xlfn.XLOOKUP(Jnl[[#This Row],[BSLv2]], dict[Key], dict[Name],,0)</f>
        <v>0.现金及类似</v>
      </c>
      <c r="Q848" t="str">
        <f>_xlfn.XLOOKUP(Jnl[[#This Row],[Acct]], dict[Key], dict[Name],,0)</f>
        <v>银行</v>
      </c>
      <c r="R848" t="str">
        <f>_xlfn.XLOOKUP(Jnl[[#This Row],[Vehicle]],config_vehicle[Id], config_vehicle[Name],,0)</f>
        <v>小月号</v>
      </c>
      <c r="S848" t="str">
        <f>_xlfn.XLOOKUP(Jnl[[#This Row],[Division]],config_div[Id], config_div[Name],,0)</f>
        <v>明月村</v>
      </c>
      <c r="T848" t="str">
        <f>IF(Jnl[[#This Row],[TrxDate]]&lt;=stmt_BS_date_end, "In", "Out")</f>
        <v>In</v>
      </c>
      <c r="U848" t="str">
        <f>IF(Jnl[[#This Row],[TrxDate]]&lt;debug_date_start, "prior", IF(Jnl[[#This Row],[TrxDate]]&gt;debug_date_end, "post", "curr"))</f>
        <v>curr</v>
      </c>
    </row>
    <row r="849" spans="1:21" hidden="1">
      <c r="A849" s="39" t="s">
        <v>1269</v>
      </c>
      <c r="B849" s="6">
        <f>_xlfn.XLOOKUP(Jnl[[#This Row],[TrxId]], Trx[Id], Trx[Date],,0)</f>
        <v>46053</v>
      </c>
      <c r="C849" s="6" t="str">
        <f>_xlfn.XLOOKUP(Jnl[[#This Row],[TrxId]], Trx[Id], Trx[Division],,0)</f>
        <v>MY</v>
      </c>
      <c r="D849" s="6" t="str">
        <f>_xlfn.XLOOKUP(Jnl[[#This Row],[TrxId]], Trx[Id], Trx[Action],,0)</f>
        <v>退款-客人</v>
      </c>
      <c r="E849" s="27" t="s">
        <v>85</v>
      </c>
      <c r="F849" s="10" t="s">
        <v>599</v>
      </c>
      <c r="G849" s="10" t="s">
        <v>1073</v>
      </c>
      <c r="H849" s="37">
        <f>-H848</f>
        <v>1500</v>
      </c>
      <c r="I849" s="38" t="b">
        <f>AND(Jnl[[#This Row],[TrxId]]&lt;&gt;"",Jnl[[#This Row],[Acct]]&lt;&gt;"",Jnl[[#This Row],[Item]]&lt;&gt;"",ISNUMBER(Jnl[[#This Row],[Bal]]))</f>
        <v>1</v>
      </c>
      <c r="J849" s="9">
        <f>IF(Jnl[[#This Row],[BSLv0]]="A",1,-1)*Jnl[[#This Row],[Bal]]</f>
        <v>1500</v>
      </c>
      <c r="K849" t="str">
        <f>_xlfn.XLOOKUP(Jnl[[#This Row],[Acct]], config_BS[Acct], config_BS[Lv0],,0)</f>
        <v>A</v>
      </c>
      <c r="L849" t="str">
        <f>_xlfn.XLOOKUP(Jnl[[#This Row],[Acct]], config_BS[Acct], config_BS[Lv1],,0)</f>
        <v>Assets</v>
      </c>
      <c r="M849" t="str">
        <f>_xlfn.XLOOKUP(Jnl[[#This Row],[Acct]], config_BS[Acct], config_BS[Lv2],,0)</f>
        <v>Rec-Pay</v>
      </c>
      <c r="N849" t="str">
        <f>_xlfn.XLOOKUP(Jnl[[#This Row],[TrxId]], Trx[Id], Trx[IncNode], ,0)</f>
        <v>Revenue</v>
      </c>
      <c r="O849" t="str">
        <f>_xlfn.XLOOKUP(Jnl[[#This Row],[IncNode]], config_IS[Node], config_IS[Type],,0)</f>
        <v>Op</v>
      </c>
      <c r="P849" t="str">
        <f>_xlfn.XLOOKUP(Jnl[[#This Row],[BSLv2]], dict[Key], dict[Name],,0)</f>
        <v>1.应收-应付</v>
      </c>
      <c r="Q849" t="str">
        <f>_xlfn.XLOOKUP(Jnl[[#This Row],[Acct]], dict[Key], dict[Name],,0)</f>
        <v>应收-一般</v>
      </c>
      <c r="R849" t="str">
        <f>_xlfn.XLOOKUP(Jnl[[#This Row],[Vehicle]],config_vehicle[Id], config_vehicle[Name],,0)</f>
        <v>远家文化</v>
      </c>
      <c r="S849" t="str">
        <f>_xlfn.XLOOKUP(Jnl[[#This Row],[Division]],config_div[Id], config_div[Name],,0)</f>
        <v>明月村</v>
      </c>
      <c r="T849" t="str">
        <f>IF(Jnl[[#This Row],[TrxDate]]&lt;=stmt_BS_date_end, "In", "Out")</f>
        <v>In</v>
      </c>
      <c r="U849" t="str">
        <f>IF(Jnl[[#This Row],[TrxDate]]&lt;debug_date_start, "prior", IF(Jnl[[#This Row],[TrxDate]]&gt;debug_date_end, "post", "curr"))</f>
        <v>curr</v>
      </c>
    </row>
    <row r="850" spans="1:21" hidden="1">
      <c r="A850" s="39" t="s">
        <v>1270</v>
      </c>
      <c r="B850" s="6">
        <f>_xlfn.XLOOKUP(Jnl[[#This Row],[TrxId]], Trx[Id], Trx[Date],,0)</f>
        <v>46053</v>
      </c>
      <c r="C850" s="6" t="str">
        <f>_xlfn.XLOOKUP(Jnl[[#This Row],[TrxId]], Trx[Id], Trx[Division],,0)</f>
        <v>MY</v>
      </c>
      <c r="D850" s="6" t="str">
        <f>_xlfn.XLOOKUP(Jnl[[#This Row],[TrxId]], Trx[Id], Trx[Action],,0)</f>
        <v>退款-客人</v>
      </c>
      <c r="E850" s="27" t="s">
        <v>89</v>
      </c>
      <c r="F850" s="10" t="s">
        <v>596</v>
      </c>
      <c r="G850" s="10" t="s">
        <v>910</v>
      </c>
      <c r="H850" s="37">
        <v>-400</v>
      </c>
      <c r="I850" s="38" t="b">
        <f>AND(Jnl[[#This Row],[TrxId]]&lt;&gt;"",Jnl[[#This Row],[Acct]]&lt;&gt;"",Jnl[[#This Row],[Item]]&lt;&gt;"",ISNUMBER(Jnl[[#This Row],[Bal]]))</f>
        <v>1</v>
      </c>
      <c r="J850" s="9">
        <f>IF(Jnl[[#This Row],[BSLv0]]="A",1,-1)*Jnl[[#This Row],[Bal]]</f>
        <v>-400</v>
      </c>
      <c r="K850" t="str">
        <f>_xlfn.XLOOKUP(Jnl[[#This Row],[Acct]], config_BS[Acct], config_BS[Lv0],,0)</f>
        <v>A</v>
      </c>
      <c r="L850" t="str">
        <f>_xlfn.XLOOKUP(Jnl[[#This Row],[Acct]], config_BS[Acct], config_BS[Lv1],,0)</f>
        <v>Assets</v>
      </c>
      <c r="M850" t="str">
        <f>_xlfn.XLOOKUP(Jnl[[#This Row],[Acct]], config_BS[Acct], config_BS[Lv2],,0)</f>
        <v>Cash alike</v>
      </c>
      <c r="N850" t="str">
        <f>_xlfn.XLOOKUP(Jnl[[#This Row],[TrxId]], Trx[Id], Trx[IncNode], ,0)</f>
        <v>Revenue</v>
      </c>
      <c r="O850" t="str">
        <f>_xlfn.XLOOKUP(Jnl[[#This Row],[IncNode]], config_IS[Node], config_IS[Type],,0)</f>
        <v>Op</v>
      </c>
      <c r="P850" t="str">
        <f>_xlfn.XLOOKUP(Jnl[[#This Row],[BSLv2]], dict[Key], dict[Name],,0)</f>
        <v>0.现金及类似</v>
      </c>
      <c r="Q850" t="str">
        <f>_xlfn.XLOOKUP(Jnl[[#This Row],[Acct]], dict[Key], dict[Name],,0)</f>
        <v>银行</v>
      </c>
      <c r="R850" t="str">
        <f>_xlfn.XLOOKUP(Jnl[[#This Row],[Vehicle]],config_vehicle[Id], config_vehicle[Name],,0)</f>
        <v>小月号</v>
      </c>
      <c r="S850" t="str">
        <f>_xlfn.XLOOKUP(Jnl[[#This Row],[Division]],config_div[Id], config_div[Name],,0)</f>
        <v>明月村</v>
      </c>
      <c r="T850" t="str">
        <f>IF(Jnl[[#This Row],[TrxDate]]&lt;=stmt_BS_date_end, "In", "Out")</f>
        <v>In</v>
      </c>
      <c r="U850" t="str">
        <f>IF(Jnl[[#This Row],[TrxDate]]&lt;debug_date_start, "prior", IF(Jnl[[#This Row],[TrxDate]]&gt;debug_date_end, "post", "curr"))</f>
        <v>curr</v>
      </c>
    </row>
    <row r="851" spans="1:21" hidden="1">
      <c r="A851" s="39" t="s">
        <v>1270</v>
      </c>
      <c r="B851" s="6">
        <f>_xlfn.XLOOKUP(Jnl[[#This Row],[TrxId]], Trx[Id], Trx[Date],,0)</f>
        <v>46053</v>
      </c>
      <c r="C851" s="6" t="str">
        <f>_xlfn.XLOOKUP(Jnl[[#This Row],[TrxId]], Trx[Id], Trx[Division],,0)</f>
        <v>MY</v>
      </c>
      <c r="D851" s="6" t="str">
        <f>_xlfn.XLOOKUP(Jnl[[#This Row],[TrxId]], Trx[Id], Trx[Action],,0)</f>
        <v>退款-客人</v>
      </c>
      <c r="E851" s="27" t="s">
        <v>85</v>
      </c>
      <c r="F851" s="10" t="s">
        <v>599</v>
      </c>
      <c r="G851" s="10" t="s">
        <v>1073</v>
      </c>
      <c r="H851" s="37">
        <f>-H850</f>
        <v>400</v>
      </c>
      <c r="I851" s="38" t="b">
        <f>AND(Jnl[[#This Row],[TrxId]]&lt;&gt;"",Jnl[[#This Row],[Acct]]&lt;&gt;"",Jnl[[#This Row],[Item]]&lt;&gt;"",ISNUMBER(Jnl[[#This Row],[Bal]]))</f>
        <v>1</v>
      </c>
      <c r="J851" s="9">
        <f>IF(Jnl[[#This Row],[BSLv0]]="A",1,-1)*Jnl[[#This Row],[Bal]]</f>
        <v>400</v>
      </c>
      <c r="K851" t="str">
        <f>_xlfn.XLOOKUP(Jnl[[#This Row],[Acct]], config_BS[Acct], config_BS[Lv0],,0)</f>
        <v>A</v>
      </c>
      <c r="L851" t="str">
        <f>_xlfn.XLOOKUP(Jnl[[#This Row],[Acct]], config_BS[Acct], config_BS[Lv1],,0)</f>
        <v>Assets</v>
      </c>
      <c r="M851" t="str">
        <f>_xlfn.XLOOKUP(Jnl[[#This Row],[Acct]], config_BS[Acct], config_BS[Lv2],,0)</f>
        <v>Rec-Pay</v>
      </c>
      <c r="N851" t="str">
        <f>_xlfn.XLOOKUP(Jnl[[#This Row],[TrxId]], Trx[Id], Trx[IncNode], ,0)</f>
        <v>Revenue</v>
      </c>
      <c r="O851" t="str">
        <f>_xlfn.XLOOKUP(Jnl[[#This Row],[IncNode]], config_IS[Node], config_IS[Type],,0)</f>
        <v>Op</v>
      </c>
      <c r="P851" t="str">
        <f>_xlfn.XLOOKUP(Jnl[[#This Row],[BSLv2]], dict[Key], dict[Name],,0)</f>
        <v>1.应收-应付</v>
      </c>
      <c r="Q851" t="str">
        <f>_xlfn.XLOOKUP(Jnl[[#This Row],[Acct]], dict[Key], dict[Name],,0)</f>
        <v>应收-一般</v>
      </c>
      <c r="R851" t="str">
        <f>_xlfn.XLOOKUP(Jnl[[#This Row],[Vehicle]],config_vehicle[Id], config_vehicle[Name],,0)</f>
        <v>远家文化</v>
      </c>
      <c r="S851" t="str">
        <f>_xlfn.XLOOKUP(Jnl[[#This Row],[Division]],config_div[Id], config_div[Name],,0)</f>
        <v>明月村</v>
      </c>
      <c r="T851" t="str">
        <f>IF(Jnl[[#This Row],[TrxDate]]&lt;=stmt_BS_date_end, "In", "Out")</f>
        <v>In</v>
      </c>
      <c r="U851" t="str">
        <f>IF(Jnl[[#This Row],[TrxDate]]&lt;debug_date_start, "prior", IF(Jnl[[#This Row],[TrxDate]]&gt;debug_date_end, "post", "curr"))</f>
        <v>curr</v>
      </c>
    </row>
    <row r="852" spans="1:21" hidden="1">
      <c r="A852" s="39" t="s">
        <v>1271</v>
      </c>
      <c r="B852" s="6">
        <f>_xlfn.XLOOKUP(Jnl[[#This Row],[TrxId]], Trx[Id], Trx[Date],,0)</f>
        <v>46053</v>
      </c>
      <c r="C852" s="6" t="str">
        <f>_xlfn.XLOOKUP(Jnl[[#This Row],[TrxId]], Trx[Id], Trx[Division],,0)</f>
        <v>MY</v>
      </c>
      <c r="D852" s="6" t="str">
        <f>_xlfn.XLOOKUP(Jnl[[#This Row],[TrxId]], Trx[Id], Trx[Action],,0)</f>
        <v>事故</v>
      </c>
      <c r="E852" s="27" t="s">
        <v>89</v>
      </c>
      <c r="F852" s="10" t="s">
        <v>596</v>
      </c>
      <c r="G852" s="10" t="s">
        <v>910</v>
      </c>
      <c r="H852" s="37">
        <v>-275</v>
      </c>
      <c r="I852" s="38" t="b">
        <f>AND(Jnl[[#This Row],[TrxId]]&lt;&gt;"",Jnl[[#This Row],[Acct]]&lt;&gt;"",Jnl[[#This Row],[Item]]&lt;&gt;"",ISNUMBER(Jnl[[#This Row],[Bal]]))</f>
        <v>1</v>
      </c>
      <c r="J852" s="9">
        <f>IF(Jnl[[#This Row],[BSLv0]]="A",1,-1)*Jnl[[#This Row],[Bal]]</f>
        <v>-275</v>
      </c>
      <c r="K852" t="str">
        <f>_xlfn.XLOOKUP(Jnl[[#This Row],[Acct]], config_BS[Acct], config_BS[Lv0],,0)</f>
        <v>A</v>
      </c>
      <c r="L852" t="str">
        <f>_xlfn.XLOOKUP(Jnl[[#This Row],[Acct]], config_BS[Acct], config_BS[Lv1],,0)</f>
        <v>Assets</v>
      </c>
      <c r="M852" t="str">
        <f>_xlfn.XLOOKUP(Jnl[[#This Row],[Acct]], config_BS[Acct], config_BS[Lv2],,0)</f>
        <v>Cash alike</v>
      </c>
      <c r="N852" t="str">
        <f>_xlfn.XLOOKUP(Jnl[[#This Row],[TrxId]], Trx[Id], Trx[IncNode], ,0)</f>
        <v>Other</v>
      </c>
      <c r="O852" t="str">
        <f>_xlfn.XLOOKUP(Jnl[[#This Row],[IncNode]], config_IS[Node], config_IS[Type],,0)</f>
        <v>Non-Op</v>
      </c>
      <c r="P852" t="str">
        <f>_xlfn.XLOOKUP(Jnl[[#This Row],[BSLv2]], dict[Key], dict[Name],,0)</f>
        <v>0.现金及类似</v>
      </c>
      <c r="Q852" t="str">
        <f>_xlfn.XLOOKUP(Jnl[[#This Row],[Acct]], dict[Key], dict[Name],,0)</f>
        <v>银行</v>
      </c>
      <c r="R852" t="str">
        <f>_xlfn.XLOOKUP(Jnl[[#This Row],[Vehicle]],config_vehicle[Id], config_vehicle[Name],,0)</f>
        <v>小月号</v>
      </c>
      <c r="S852" t="str">
        <f>_xlfn.XLOOKUP(Jnl[[#This Row],[Division]],config_div[Id], config_div[Name],,0)</f>
        <v>明月村</v>
      </c>
      <c r="T852" t="str">
        <f>IF(Jnl[[#This Row],[TrxDate]]&lt;=stmt_BS_date_end, "In", "Out")</f>
        <v>In</v>
      </c>
      <c r="U852" t="str">
        <f>IF(Jnl[[#This Row],[TrxDate]]&lt;debug_date_start, "prior", IF(Jnl[[#This Row],[TrxDate]]&gt;debug_date_end, "post", "curr"))</f>
        <v>curr</v>
      </c>
    </row>
    <row r="853" spans="1:21" hidden="1">
      <c r="A853" s="39" t="s">
        <v>1272</v>
      </c>
      <c r="B853" s="6">
        <f>_xlfn.XLOOKUP(Jnl[[#This Row],[TrxId]], Trx[Id], Trx[Date],,0)</f>
        <v>46053</v>
      </c>
      <c r="C853" s="6" t="str">
        <f>_xlfn.XLOOKUP(Jnl[[#This Row],[TrxId]], Trx[Id], Trx[Division],,0)</f>
        <v>MY</v>
      </c>
      <c r="D853" s="6" t="str">
        <f>_xlfn.XLOOKUP(Jnl[[#This Row],[TrxId]], Trx[Id], Trx[Action],,0)</f>
        <v>退款-客人</v>
      </c>
      <c r="E853" s="27" t="s">
        <v>89</v>
      </c>
      <c r="F853" s="10" t="s">
        <v>596</v>
      </c>
      <c r="G853" s="10" t="s">
        <v>910</v>
      </c>
      <c r="H853" s="37">
        <v>-129.04</v>
      </c>
      <c r="I853" s="38" t="b">
        <f>AND(Jnl[[#This Row],[TrxId]]&lt;&gt;"",Jnl[[#This Row],[Acct]]&lt;&gt;"",Jnl[[#This Row],[Item]]&lt;&gt;"",ISNUMBER(Jnl[[#This Row],[Bal]]))</f>
        <v>1</v>
      </c>
      <c r="J853" s="9">
        <f>IF(Jnl[[#This Row],[BSLv0]]="A",1,-1)*Jnl[[#This Row],[Bal]]</f>
        <v>-129.04</v>
      </c>
      <c r="K853" t="str">
        <f>_xlfn.XLOOKUP(Jnl[[#This Row],[Acct]], config_BS[Acct], config_BS[Lv0],,0)</f>
        <v>A</v>
      </c>
      <c r="L853" t="str">
        <f>_xlfn.XLOOKUP(Jnl[[#This Row],[Acct]], config_BS[Acct], config_BS[Lv1],,0)</f>
        <v>Assets</v>
      </c>
      <c r="M853" t="str">
        <f>_xlfn.XLOOKUP(Jnl[[#This Row],[Acct]], config_BS[Acct], config_BS[Lv2],,0)</f>
        <v>Cash alike</v>
      </c>
      <c r="N853" t="str">
        <f>_xlfn.XLOOKUP(Jnl[[#This Row],[TrxId]], Trx[Id], Trx[IncNode], ,0)</f>
        <v>Revenue</v>
      </c>
      <c r="O853" t="str">
        <f>_xlfn.XLOOKUP(Jnl[[#This Row],[IncNode]], config_IS[Node], config_IS[Type],,0)</f>
        <v>Op</v>
      </c>
      <c r="P853" t="str">
        <f>_xlfn.XLOOKUP(Jnl[[#This Row],[BSLv2]], dict[Key], dict[Name],,0)</f>
        <v>0.现金及类似</v>
      </c>
      <c r="Q853" t="str">
        <f>_xlfn.XLOOKUP(Jnl[[#This Row],[Acct]], dict[Key], dict[Name],,0)</f>
        <v>银行</v>
      </c>
      <c r="R853" t="str">
        <f>_xlfn.XLOOKUP(Jnl[[#This Row],[Vehicle]],config_vehicle[Id], config_vehicle[Name],,0)</f>
        <v>小月号</v>
      </c>
      <c r="S853" t="str">
        <f>_xlfn.XLOOKUP(Jnl[[#This Row],[Division]],config_div[Id], config_div[Name],,0)</f>
        <v>明月村</v>
      </c>
      <c r="T853" t="str">
        <f>IF(Jnl[[#This Row],[TrxDate]]&lt;=stmt_BS_date_end, "In", "Out")</f>
        <v>In</v>
      </c>
      <c r="U853" t="str">
        <f>IF(Jnl[[#This Row],[TrxDate]]&lt;debug_date_start, "prior", IF(Jnl[[#This Row],[TrxDate]]&gt;debug_date_end, "post", "curr"))</f>
        <v>curr</v>
      </c>
    </row>
    <row r="854" spans="1:21" hidden="1">
      <c r="A854" s="39" t="s">
        <v>1272</v>
      </c>
      <c r="B854" s="6">
        <f>_xlfn.XLOOKUP(Jnl[[#This Row],[TrxId]], Trx[Id], Trx[Date],,0)</f>
        <v>46053</v>
      </c>
      <c r="C854" s="6" t="str">
        <f>_xlfn.XLOOKUP(Jnl[[#This Row],[TrxId]], Trx[Id], Trx[Division],,0)</f>
        <v>MY</v>
      </c>
      <c r="D854" s="6" t="str">
        <f>_xlfn.XLOOKUP(Jnl[[#This Row],[TrxId]], Trx[Id], Trx[Action],,0)</f>
        <v>退款-客人</v>
      </c>
      <c r="E854" s="27" t="s">
        <v>85</v>
      </c>
      <c r="F854" s="10" t="s">
        <v>599</v>
      </c>
      <c r="G854" s="10" t="s">
        <v>949</v>
      </c>
      <c r="H854" s="37">
        <v>129.04</v>
      </c>
      <c r="I854" s="38" t="b">
        <f>AND(Jnl[[#This Row],[TrxId]]&lt;&gt;"",Jnl[[#This Row],[Acct]]&lt;&gt;"",Jnl[[#This Row],[Item]]&lt;&gt;"",ISNUMBER(Jnl[[#This Row],[Bal]]))</f>
        <v>1</v>
      </c>
      <c r="J854" s="9">
        <f>IF(Jnl[[#This Row],[BSLv0]]="A",1,-1)*Jnl[[#This Row],[Bal]]</f>
        <v>129.04</v>
      </c>
      <c r="K854" t="str">
        <f>_xlfn.XLOOKUP(Jnl[[#This Row],[Acct]], config_BS[Acct], config_BS[Lv0],,0)</f>
        <v>A</v>
      </c>
      <c r="L854" t="str">
        <f>_xlfn.XLOOKUP(Jnl[[#This Row],[Acct]], config_BS[Acct], config_BS[Lv1],,0)</f>
        <v>Assets</v>
      </c>
      <c r="M854" t="str">
        <f>_xlfn.XLOOKUP(Jnl[[#This Row],[Acct]], config_BS[Acct], config_BS[Lv2],,0)</f>
        <v>Rec-Pay</v>
      </c>
      <c r="N854" t="str">
        <f>_xlfn.XLOOKUP(Jnl[[#This Row],[TrxId]], Trx[Id], Trx[IncNode], ,0)</f>
        <v>Revenue</v>
      </c>
      <c r="O854" t="str">
        <f>_xlfn.XLOOKUP(Jnl[[#This Row],[IncNode]], config_IS[Node], config_IS[Type],,0)</f>
        <v>Op</v>
      </c>
      <c r="P854" t="str">
        <f>_xlfn.XLOOKUP(Jnl[[#This Row],[BSLv2]], dict[Key], dict[Name],,0)</f>
        <v>1.应收-应付</v>
      </c>
      <c r="Q854" t="str">
        <f>_xlfn.XLOOKUP(Jnl[[#This Row],[Acct]], dict[Key], dict[Name],,0)</f>
        <v>应收-一般</v>
      </c>
      <c r="R854" t="str">
        <f>_xlfn.XLOOKUP(Jnl[[#This Row],[Vehicle]],config_vehicle[Id], config_vehicle[Name],,0)</f>
        <v>远家文化</v>
      </c>
      <c r="S854" t="str">
        <f>_xlfn.XLOOKUP(Jnl[[#This Row],[Division]],config_div[Id], config_div[Name],,0)</f>
        <v>明月村</v>
      </c>
      <c r="T854" t="str">
        <f>IF(Jnl[[#This Row],[TrxDate]]&lt;=stmt_BS_date_end, "In", "Out")</f>
        <v>In</v>
      </c>
      <c r="U854" t="str">
        <f>IF(Jnl[[#This Row],[TrxDate]]&lt;debug_date_start, "prior", IF(Jnl[[#This Row],[TrxDate]]&gt;debug_date_end, "post", "curr"))</f>
        <v>curr</v>
      </c>
    </row>
    <row r="855" spans="1:21" hidden="1">
      <c r="A855" s="39" t="s">
        <v>1273</v>
      </c>
      <c r="B855" s="6">
        <f>_xlfn.XLOOKUP(Jnl[[#This Row],[TrxId]], Trx[Id], Trx[Date],,0)</f>
        <v>46053</v>
      </c>
      <c r="C855" s="6" t="str">
        <f>_xlfn.XLOOKUP(Jnl[[#This Row],[TrxId]], Trx[Id], Trx[Division],,0)</f>
        <v>MY</v>
      </c>
      <c r="D855" s="6" t="str">
        <f>_xlfn.XLOOKUP(Jnl[[#This Row],[TrxId]], Trx[Id], Trx[Action],,0)</f>
        <v>收款</v>
      </c>
      <c r="E855" s="27" t="s">
        <v>85</v>
      </c>
      <c r="F855" s="10" t="s">
        <v>599</v>
      </c>
      <c r="G855" s="10" t="s">
        <v>1073</v>
      </c>
      <c r="H855" s="37">
        <f>-H856</f>
        <v>-200</v>
      </c>
      <c r="I855" s="38" t="b">
        <f>AND(Jnl[[#This Row],[TrxId]]&lt;&gt;"",Jnl[[#This Row],[Acct]]&lt;&gt;"",Jnl[[#This Row],[Item]]&lt;&gt;"",ISNUMBER(Jnl[[#This Row],[Bal]]))</f>
        <v>1</v>
      </c>
      <c r="J855" s="9">
        <f>IF(Jnl[[#This Row],[BSLv0]]="A",1,-1)*Jnl[[#This Row],[Bal]]</f>
        <v>-200</v>
      </c>
      <c r="K855" t="str">
        <f>_xlfn.XLOOKUP(Jnl[[#This Row],[Acct]], config_BS[Acct], config_BS[Lv0],,0)</f>
        <v>A</v>
      </c>
      <c r="L855" t="str">
        <f>_xlfn.XLOOKUP(Jnl[[#This Row],[Acct]], config_BS[Acct], config_BS[Lv1],,0)</f>
        <v>Assets</v>
      </c>
      <c r="M855" t="str">
        <f>_xlfn.XLOOKUP(Jnl[[#This Row],[Acct]], config_BS[Acct], config_BS[Lv2],,0)</f>
        <v>Rec-Pay</v>
      </c>
      <c r="N855" t="str">
        <f>_xlfn.XLOOKUP(Jnl[[#This Row],[TrxId]], Trx[Id], Trx[IncNode], ,0)</f>
        <v>Revenue</v>
      </c>
      <c r="O855" t="str">
        <f>_xlfn.XLOOKUP(Jnl[[#This Row],[IncNode]], config_IS[Node], config_IS[Type],,0)</f>
        <v>Op</v>
      </c>
      <c r="P855" t="str">
        <f>_xlfn.XLOOKUP(Jnl[[#This Row],[BSLv2]], dict[Key], dict[Name],,0)</f>
        <v>1.应收-应付</v>
      </c>
      <c r="Q855" t="str">
        <f>_xlfn.XLOOKUP(Jnl[[#This Row],[Acct]], dict[Key], dict[Name],,0)</f>
        <v>应收-一般</v>
      </c>
      <c r="R855" t="str">
        <f>_xlfn.XLOOKUP(Jnl[[#This Row],[Vehicle]],config_vehicle[Id], config_vehicle[Name],,0)</f>
        <v>远家文化</v>
      </c>
      <c r="S855" t="str">
        <f>_xlfn.XLOOKUP(Jnl[[#This Row],[Division]],config_div[Id], config_div[Name],,0)</f>
        <v>明月村</v>
      </c>
      <c r="T855" t="str">
        <f>IF(Jnl[[#This Row],[TrxDate]]&lt;=stmt_BS_date_end, "In", "Out")</f>
        <v>In</v>
      </c>
      <c r="U855" t="str">
        <f>IF(Jnl[[#This Row],[TrxDate]]&lt;debug_date_start, "prior", IF(Jnl[[#This Row],[TrxDate]]&gt;debug_date_end, "post", "curr"))</f>
        <v>curr</v>
      </c>
    </row>
    <row r="856" spans="1:21" hidden="1">
      <c r="A856" s="39" t="s">
        <v>1273</v>
      </c>
      <c r="B856" s="6">
        <f>_xlfn.XLOOKUP(Jnl[[#This Row],[TrxId]], Trx[Id], Trx[Date],,0)</f>
        <v>46053</v>
      </c>
      <c r="C856" s="6" t="str">
        <f>_xlfn.XLOOKUP(Jnl[[#This Row],[TrxId]], Trx[Id], Trx[Division],,0)</f>
        <v>MY</v>
      </c>
      <c r="D856" s="6" t="str">
        <f>_xlfn.XLOOKUP(Jnl[[#This Row],[TrxId]], Trx[Id], Trx[Action],,0)</f>
        <v>收款</v>
      </c>
      <c r="E856" s="27" t="s">
        <v>89</v>
      </c>
      <c r="F856" s="10" t="s">
        <v>596</v>
      </c>
      <c r="G856" s="10" t="s">
        <v>910</v>
      </c>
      <c r="H856" s="37">
        <v>200</v>
      </c>
      <c r="I856" s="38" t="b">
        <f>AND(Jnl[[#This Row],[TrxId]]&lt;&gt;"",Jnl[[#This Row],[Acct]]&lt;&gt;"",Jnl[[#This Row],[Item]]&lt;&gt;"",ISNUMBER(Jnl[[#This Row],[Bal]]))</f>
        <v>1</v>
      </c>
      <c r="J856" s="9">
        <f>IF(Jnl[[#This Row],[BSLv0]]="A",1,-1)*Jnl[[#This Row],[Bal]]</f>
        <v>200</v>
      </c>
      <c r="K856" t="str">
        <f>_xlfn.XLOOKUP(Jnl[[#This Row],[Acct]], config_BS[Acct], config_BS[Lv0],,0)</f>
        <v>A</v>
      </c>
      <c r="L856" t="str">
        <f>_xlfn.XLOOKUP(Jnl[[#This Row],[Acct]], config_BS[Acct], config_BS[Lv1],,0)</f>
        <v>Assets</v>
      </c>
      <c r="M856" t="str">
        <f>_xlfn.XLOOKUP(Jnl[[#This Row],[Acct]], config_BS[Acct], config_BS[Lv2],,0)</f>
        <v>Cash alike</v>
      </c>
      <c r="N856" t="str">
        <f>_xlfn.XLOOKUP(Jnl[[#This Row],[TrxId]], Trx[Id], Trx[IncNode], ,0)</f>
        <v>Revenue</v>
      </c>
      <c r="O856" t="str">
        <f>_xlfn.XLOOKUP(Jnl[[#This Row],[IncNode]], config_IS[Node], config_IS[Type],,0)</f>
        <v>Op</v>
      </c>
      <c r="P856" t="str">
        <f>_xlfn.XLOOKUP(Jnl[[#This Row],[BSLv2]], dict[Key], dict[Name],,0)</f>
        <v>0.现金及类似</v>
      </c>
      <c r="Q856" t="str">
        <f>_xlfn.XLOOKUP(Jnl[[#This Row],[Acct]], dict[Key], dict[Name],,0)</f>
        <v>银行</v>
      </c>
      <c r="R856" t="str">
        <f>_xlfn.XLOOKUP(Jnl[[#This Row],[Vehicle]],config_vehicle[Id], config_vehicle[Name],,0)</f>
        <v>小月号</v>
      </c>
      <c r="S856" t="str">
        <f>_xlfn.XLOOKUP(Jnl[[#This Row],[Division]],config_div[Id], config_div[Name],,0)</f>
        <v>明月村</v>
      </c>
      <c r="T856" t="str">
        <f>IF(Jnl[[#This Row],[TrxDate]]&lt;=stmt_BS_date_end, "In", "Out")</f>
        <v>In</v>
      </c>
      <c r="U856" t="str">
        <f>IF(Jnl[[#This Row],[TrxDate]]&lt;debug_date_start, "prior", IF(Jnl[[#This Row],[TrxDate]]&gt;debug_date_end, "post", "curr"))</f>
        <v>curr</v>
      </c>
    </row>
    <row r="857" spans="1:21" hidden="1">
      <c r="A857" s="39" t="s">
        <v>1274</v>
      </c>
      <c r="B857" s="6">
        <f>_xlfn.XLOOKUP(Jnl[[#This Row],[TrxId]], Trx[Id], Trx[Date],,0)</f>
        <v>46053</v>
      </c>
      <c r="C857" s="6" t="str">
        <f>_xlfn.XLOOKUP(Jnl[[#This Row],[TrxId]], Trx[Id], Trx[Division],,0)</f>
        <v>MY</v>
      </c>
      <c r="D857" s="6" t="str">
        <f>_xlfn.XLOOKUP(Jnl[[#This Row],[TrxId]], Trx[Id], Trx[Action],,0)</f>
        <v>收款</v>
      </c>
      <c r="E857" s="27" t="s">
        <v>85</v>
      </c>
      <c r="F857" s="10" t="s">
        <v>1203</v>
      </c>
      <c r="G857" s="10" t="s">
        <v>926</v>
      </c>
      <c r="H857" s="37">
        <v>980</v>
      </c>
      <c r="I857" s="38" t="b">
        <f>AND(Jnl[[#This Row],[TrxId]]&lt;&gt;"",Jnl[[#This Row],[Acct]]&lt;&gt;"",Jnl[[#This Row],[Item]]&lt;&gt;"",ISNUMBER(Jnl[[#This Row],[Bal]]))</f>
        <v>1</v>
      </c>
      <c r="J857" s="9">
        <f>IF(Jnl[[#This Row],[BSLv0]]="A",1,-1)*Jnl[[#This Row],[Bal]]</f>
        <v>-980</v>
      </c>
      <c r="K857" t="str">
        <f>_xlfn.XLOOKUP(Jnl[[#This Row],[Acct]], config_BS[Acct], config_BS[Lv0],,0)</f>
        <v>LC</v>
      </c>
      <c r="L857" t="str">
        <f>_xlfn.XLOOKUP(Jnl[[#This Row],[Acct]], config_BS[Acct], config_BS[Lv1],,0)</f>
        <v>Liability</v>
      </c>
      <c r="M857" t="str">
        <f>_xlfn.XLOOKUP(Jnl[[#This Row],[Acct]], config_BS[Acct], config_BS[Lv2],,0)</f>
        <v>Cash alike</v>
      </c>
      <c r="N857" t="str">
        <f>_xlfn.XLOOKUP(Jnl[[#This Row],[TrxId]], Trx[Id], Trx[IncNode], ,0)</f>
        <v>Revenue</v>
      </c>
      <c r="O857" t="str">
        <f>_xlfn.XLOOKUP(Jnl[[#This Row],[IncNode]], config_IS[Node], config_IS[Type],,0)</f>
        <v>Op</v>
      </c>
      <c r="P857" t="str">
        <f>_xlfn.XLOOKUP(Jnl[[#This Row],[BSLv2]], dict[Key], dict[Name],,0)</f>
        <v>0.现金及类似</v>
      </c>
      <c r="Q857" t="str">
        <f>_xlfn.XLOOKUP(Jnl[[#This Row],[Acct]], dict[Key], dict[Name],,0)</f>
        <v>会员充值</v>
      </c>
      <c r="R857" t="str">
        <f>_xlfn.XLOOKUP(Jnl[[#This Row],[Vehicle]],config_vehicle[Id], config_vehicle[Name],,0)</f>
        <v>远家文化</v>
      </c>
      <c r="S857" t="str">
        <f>_xlfn.XLOOKUP(Jnl[[#This Row],[Division]],config_div[Id], config_div[Name],,0)</f>
        <v>明月村</v>
      </c>
      <c r="T857" t="str">
        <f>IF(Jnl[[#This Row],[TrxDate]]&lt;=stmt_BS_date_end, "In", "Out")</f>
        <v>In</v>
      </c>
      <c r="U857" t="str">
        <f>IF(Jnl[[#This Row],[TrxDate]]&lt;debug_date_start, "prior", IF(Jnl[[#This Row],[TrxDate]]&gt;debug_date_end, "post", "curr"))</f>
        <v>curr</v>
      </c>
    </row>
    <row r="858" spans="1:21" hidden="1">
      <c r="A858" s="39" t="s">
        <v>1274</v>
      </c>
      <c r="B858" s="6">
        <f>_xlfn.XLOOKUP(Jnl[[#This Row],[TrxId]], Trx[Id], Trx[Date],,0)</f>
        <v>46053</v>
      </c>
      <c r="C858" s="6" t="str">
        <f>_xlfn.XLOOKUP(Jnl[[#This Row],[TrxId]], Trx[Id], Trx[Division],,0)</f>
        <v>MY</v>
      </c>
      <c r="D858" s="6" t="str">
        <f>_xlfn.XLOOKUP(Jnl[[#This Row],[TrxId]], Trx[Id], Trx[Action],,0)</f>
        <v>收款</v>
      </c>
      <c r="E858" s="27" t="s">
        <v>89</v>
      </c>
      <c r="F858" s="10" t="s">
        <v>596</v>
      </c>
      <c r="G858" s="10" t="s">
        <v>910</v>
      </c>
      <c r="H858" s="37">
        <f>H857</f>
        <v>980</v>
      </c>
      <c r="I858" s="38" t="b">
        <f>AND(Jnl[[#This Row],[TrxId]]&lt;&gt;"",Jnl[[#This Row],[Acct]]&lt;&gt;"",Jnl[[#This Row],[Item]]&lt;&gt;"",ISNUMBER(Jnl[[#This Row],[Bal]]))</f>
        <v>1</v>
      </c>
      <c r="J858" s="9">
        <f>IF(Jnl[[#This Row],[BSLv0]]="A",1,-1)*Jnl[[#This Row],[Bal]]</f>
        <v>980</v>
      </c>
      <c r="K858" t="str">
        <f>_xlfn.XLOOKUP(Jnl[[#This Row],[Acct]], config_BS[Acct], config_BS[Lv0],,0)</f>
        <v>A</v>
      </c>
      <c r="L858" t="str">
        <f>_xlfn.XLOOKUP(Jnl[[#This Row],[Acct]], config_BS[Acct], config_BS[Lv1],,0)</f>
        <v>Assets</v>
      </c>
      <c r="M858" t="str">
        <f>_xlfn.XLOOKUP(Jnl[[#This Row],[Acct]], config_BS[Acct], config_BS[Lv2],,0)</f>
        <v>Cash alike</v>
      </c>
      <c r="N858" t="str">
        <f>_xlfn.XLOOKUP(Jnl[[#This Row],[TrxId]], Trx[Id], Trx[IncNode], ,0)</f>
        <v>Revenue</v>
      </c>
      <c r="O858" t="str">
        <f>_xlfn.XLOOKUP(Jnl[[#This Row],[IncNode]], config_IS[Node], config_IS[Type],,0)</f>
        <v>Op</v>
      </c>
      <c r="P858" t="str">
        <f>_xlfn.XLOOKUP(Jnl[[#This Row],[BSLv2]], dict[Key], dict[Name],,0)</f>
        <v>0.现金及类似</v>
      </c>
      <c r="Q858" t="str">
        <f>_xlfn.XLOOKUP(Jnl[[#This Row],[Acct]], dict[Key], dict[Name],,0)</f>
        <v>银行</v>
      </c>
      <c r="R858" t="str">
        <f>_xlfn.XLOOKUP(Jnl[[#This Row],[Vehicle]],config_vehicle[Id], config_vehicle[Name],,0)</f>
        <v>小月号</v>
      </c>
      <c r="S858" t="str">
        <f>_xlfn.XLOOKUP(Jnl[[#This Row],[Division]],config_div[Id], config_div[Name],,0)</f>
        <v>明月村</v>
      </c>
      <c r="T858" t="str">
        <f>IF(Jnl[[#This Row],[TrxDate]]&lt;=stmt_BS_date_end, "In", "Out")</f>
        <v>In</v>
      </c>
      <c r="U858" t="str">
        <f>IF(Jnl[[#This Row],[TrxDate]]&lt;debug_date_start, "prior", IF(Jnl[[#This Row],[TrxDate]]&gt;debug_date_end, "post", "curr"))</f>
        <v>curr</v>
      </c>
    </row>
    <row r="859" spans="1:21" hidden="1">
      <c r="A859" s="39" t="s">
        <v>1275</v>
      </c>
      <c r="B859" s="6">
        <f>_xlfn.XLOOKUP(Jnl[[#This Row],[TrxId]], Trx[Id], Trx[Date],,0)</f>
        <v>46053</v>
      </c>
      <c r="C859" s="6" t="str">
        <f>_xlfn.XLOOKUP(Jnl[[#This Row],[TrxId]], Trx[Id], Trx[Division],,0)</f>
        <v>MY</v>
      </c>
      <c r="D859" s="6" t="str">
        <f>_xlfn.XLOOKUP(Jnl[[#This Row],[TrxId]], Trx[Id], Trx[Action],,0)</f>
        <v>收款</v>
      </c>
      <c r="E859" s="27" t="s">
        <v>85</v>
      </c>
      <c r="F859" s="10" t="s">
        <v>596</v>
      </c>
      <c r="G859" s="10" t="s">
        <v>852</v>
      </c>
      <c r="H859" s="37">
        <v>22937</v>
      </c>
      <c r="I859" s="38" t="b">
        <f>AND(Jnl[[#This Row],[TrxId]]&lt;&gt;"",Jnl[[#This Row],[Acct]]&lt;&gt;"",Jnl[[#This Row],[Item]]&lt;&gt;"",ISNUMBER(Jnl[[#This Row],[Bal]]))</f>
        <v>1</v>
      </c>
      <c r="J859" s="9">
        <f>IF(Jnl[[#This Row],[BSLv0]]="A",1,-1)*Jnl[[#This Row],[Bal]]</f>
        <v>22937</v>
      </c>
      <c r="K859" t="str">
        <f>_xlfn.XLOOKUP(Jnl[[#This Row],[Acct]], config_BS[Acct], config_BS[Lv0],,0)</f>
        <v>A</v>
      </c>
      <c r="L859" t="str">
        <f>_xlfn.XLOOKUP(Jnl[[#This Row],[Acct]], config_BS[Acct], config_BS[Lv1],,0)</f>
        <v>Assets</v>
      </c>
      <c r="M859" t="str">
        <f>_xlfn.XLOOKUP(Jnl[[#This Row],[Acct]], config_BS[Acct], config_BS[Lv2],,0)</f>
        <v>Cash alike</v>
      </c>
      <c r="N859" t="str">
        <f>_xlfn.XLOOKUP(Jnl[[#This Row],[TrxId]], Trx[Id], Trx[IncNode], ,0)</f>
        <v>Revenue</v>
      </c>
      <c r="O859" t="str">
        <f>_xlfn.XLOOKUP(Jnl[[#This Row],[IncNode]], config_IS[Node], config_IS[Type],,0)</f>
        <v>Op</v>
      </c>
      <c r="P859" t="str">
        <f>_xlfn.XLOOKUP(Jnl[[#This Row],[BSLv2]], dict[Key], dict[Name],,0)</f>
        <v>0.现金及类似</v>
      </c>
      <c r="Q859" t="str">
        <f>_xlfn.XLOOKUP(Jnl[[#This Row],[Acct]], dict[Key], dict[Name],,0)</f>
        <v>银行</v>
      </c>
      <c r="R859" t="str">
        <f>_xlfn.XLOOKUP(Jnl[[#This Row],[Vehicle]],config_vehicle[Id], config_vehicle[Name],,0)</f>
        <v>远家文化</v>
      </c>
      <c r="S859" t="str">
        <f>_xlfn.XLOOKUP(Jnl[[#This Row],[Division]],config_div[Id], config_div[Name],,0)</f>
        <v>明月村</v>
      </c>
      <c r="T859" t="str">
        <f>IF(Jnl[[#This Row],[TrxDate]]&lt;=stmt_BS_date_end, "In", "Out")</f>
        <v>In</v>
      </c>
      <c r="U859" t="str">
        <f>IF(Jnl[[#This Row],[TrxDate]]&lt;debug_date_start, "prior", IF(Jnl[[#This Row],[TrxDate]]&gt;debug_date_end, "post", "curr"))</f>
        <v>curr</v>
      </c>
    </row>
    <row r="860" spans="1:21" hidden="1">
      <c r="A860" s="39" t="s">
        <v>1275</v>
      </c>
      <c r="B860" s="6">
        <f>_xlfn.XLOOKUP(Jnl[[#This Row],[TrxId]], Trx[Id], Trx[Date],,0)</f>
        <v>46053</v>
      </c>
      <c r="C860" s="6" t="str">
        <f>_xlfn.XLOOKUP(Jnl[[#This Row],[TrxId]], Trx[Id], Trx[Division],,0)</f>
        <v>MY</v>
      </c>
      <c r="D860" s="6" t="str">
        <f>_xlfn.XLOOKUP(Jnl[[#This Row],[TrxId]], Trx[Id], Trx[Action],,0)</f>
        <v>收款</v>
      </c>
      <c r="E860" s="27" t="s">
        <v>85</v>
      </c>
      <c r="F860" s="10" t="s">
        <v>599</v>
      </c>
      <c r="G860" s="10" t="s">
        <v>1135</v>
      </c>
      <c r="H860" s="37">
        <f>-H859</f>
        <v>-22937</v>
      </c>
      <c r="I860" s="38" t="b">
        <f>AND(Jnl[[#This Row],[TrxId]]&lt;&gt;"",Jnl[[#This Row],[Acct]]&lt;&gt;"",Jnl[[#This Row],[Item]]&lt;&gt;"",ISNUMBER(Jnl[[#This Row],[Bal]]))</f>
        <v>1</v>
      </c>
      <c r="J860" s="9">
        <f>IF(Jnl[[#This Row],[BSLv0]]="A",1,-1)*Jnl[[#This Row],[Bal]]</f>
        <v>-22937</v>
      </c>
      <c r="K860" t="str">
        <f>_xlfn.XLOOKUP(Jnl[[#This Row],[Acct]], config_BS[Acct], config_BS[Lv0],,0)</f>
        <v>A</v>
      </c>
      <c r="L860" t="str">
        <f>_xlfn.XLOOKUP(Jnl[[#This Row],[Acct]], config_BS[Acct], config_BS[Lv1],,0)</f>
        <v>Assets</v>
      </c>
      <c r="M860" t="str">
        <f>_xlfn.XLOOKUP(Jnl[[#This Row],[Acct]], config_BS[Acct], config_BS[Lv2],,0)</f>
        <v>Rec-Pay</v>
      </c>
      <c r="N860" t="str">
        <f>_xlfn.XLOOKUP(Jnl[[#This Row],[TrxId]], Trx[Id], Trx[IncNode], ,0)</f>
        <v>Revenue</v>
      </c>
      <c r="O860" t="str">
        <f>_xlfn.XLOOKUP(Jnl[[#This Row],[IncNode]], config_IS[Node], config_IS[Type],,0)</f>
        <v>Op</v>
      </c>
      <c r="P860" t="str">
        <f>_xlfn.XLOOKUP(Jnl[[#This Row],[BSLv2]], dict[Key], dict[Name],,0)</f>
        <v>1.应收-应付</v>
      </c>
      <c r="Q860" t="str">
        <f>_xlfn.XLOOKUP(Jnl[[#This Row],[Acct]], dict[Key], dict[Name],,0)</f>
        <v>应收-一般</v>
      </c>
      <c r="R860" t="str">
        <f>_xlfn.XLOOKUP(Jnl[[#This Row],[Vehicle]],config_vehicle[Id], config_vehicle[Name],,0)</f>
        <v>远家文化</v>
      </c>
      <c r="S860" t="str">
        <f>_xlfn.XLOOKUP(Jnl[[#This Row],[Division]],config_div[Id], config_div[Name],,0)</f>
        <v>明月村</v>
      </c>
      <c r="T860" t="str">
        <f>IF(Jnl[[#This Row],[TrxDate]]&lt;=stmt_BS_date_end, "In", "Out")</f>
        <v>In</v>
      </c>
      <c r="U860" t="str">
        <f>IF(Jnl[[#This Row],[TrxDate]]&lt;debug_date_start, "prior", IF(Jnl[[#This Row],[TrxDate]]&gt;debug_date_end, "post", "curr"))</f>
        <v>curr</v>
      </c>
    </row>
    <row r="861" spans="1:21" hidden="1">
      <c r="A861" s="39" t="s">
        <v>1276</v>
      </c>
      <c r="B861" s="6">
        <f>_xlfn.XLOOKUP(Jnl[[#This Row],[TrxId]], Trx[Id], Trx[Date],,0)</f>
        <v>46053</v>
      </c>
      <c r="C861" s="6" t="str">
        <f>_xlfn.XLOOKUP(Jnl[[#This Row],[TrxId]], Trx[Id], Trx[Division],,0)</f>
        <v>Online</v>
      </c>
      <c r="D861" s="6" t="str">
        <f>_xlfn.XLOOKUP(Jnl[[#This Row],[TrxId]], Trx[Id], Trx[Action],,0)</f>
        <v>服饰</v>
      </c>
      <c r="E861" s="27" t="s">
        <v>85</v>
      </c>
      <c r="F861" s="10" t="s">
        <v>596</v>
      </c>
      <c r="G861" s="10" t="s">
        <v>852</v>
      </c>
      <c r="H861" s="37">
        <v>13458.45</v>
      </c>
      <c r="I861" s="38" t="b">
        <f>AND(Jnl[[#This Row],[TrxId]]&lt;&gt;"",Jnl[[#This Row],[Acct]]&lt;&gt;"",Jnl[[#This Row],[Item]]&lt;&gt;"",ISNUMBER(Jnl[[#This Row],[Bal]]))</f>
        <v>1</v>
      </c>
      <c r="J861" s="9">
        <f>IF(Jnl[[#This Row],[BSLv0]]="A",1,-1)*Jnl[[#This Row],[Bal]]</f>
        <v>13458.45</v>
      </c>
      <c r="K861" t="str">
        <f>_xlfn.XLOOKUP(Jnl[[#This Row],[Acct]], config_BS[Acct], config_BS[Lv0],,0)</f>
        <v>A</v>
      </c>
      <c r="L861" t="str">
        <f>_xlfn.XLOOKUP(Jnl[[#This Row],[Acct]], config_BS[Acct], config_BS[Lv1],,0)</f>
        <v>Assets</v>
      </c>
      <c r="M861" t="str">
        <f>_xlfn.XLOOKUP(Jnl[[#This Row],[Acct]], config_BS[Acct], config_BS[Lv2],,0)</f>
        <v>Cash alike</v>
      </c>
      <c r="N861" t="str">
        <f>_xlfn.XLOOKUP(Jnl[[#This Row],[TrxId]], Trx[Id], Trx[IncNode], ,0)</f>
        <v>Revenue</v>
      </c>
      <c r="O861" t="str">
        <f>_xlfn.XLOOKUP(Jnl[[#This Row],[IncNode]], config_IS[Node], config_IS[Type],,0)</f>
        <v>Op</v>
      </c>
      <c r="P861" t="str">
        <f>_xlfn.XLOOKUP(Jnl[[#This Row],[BSLv2]], dict[Key], dict[Name],,0)</f>
        <v>0.现金及类似</v>
      </c>
      <c r="Q861" t="str">
        <f>_xlfn.XLOOKUP(Jnl[[#This Row],[Acct]], dict[Key], dict[Name],,0)</f>
        <v>银行</v>
      </c>
      <c r="R861" t="str">
        <f>_xlfn.XLOOKUP(Jnl[[#This Row],[Vehicle]],config_vehicle[Id], config_vehicle[Name],,0)</f>
        <v>远家文化</v>
      </c>
      <c r="S861" t="str">
        <f>_xlfn.XLOOKUP(Jnl[[#This Row],[Division]],config_div[Id], config_div[Name],,0)</f>
        <v>网店</v>
      </c>
      <c r="T861" t="str">
        <f>IF(Jnl[[#This Row],[TrxDate]]&lt;=stmt_BS_date_end, "In", "Out")</f>
        <v>In</v>
      </c>
      <c r="U861" t="str">
        <f>IF(Jnl[[#This Row],[TrxDate]]&lt;debug_date_start, "prior", IF(Jnl[[#This Row],[TrxDate]]&gt;debug_date_end, "post", "curr"))</f>
        <v>curr</v>
      </c>
    </row>
    <row r="862" spans="1:21" hidden="1">
      <c r="A862" s="39" t="s">
        <v>1277</v>
      </c>
      <c r="B862" s="6">
        <f>_xlfn.XLOOKUP(Jnl[[#This Row],[TrxId]], Trx[Id], Trx[Date],,0)</f>
        <v>46053</v>
      </c>
      <c r="C862" s="6" t="str">
        <f>_xlfn.XLOOKUP(Jnl[[#This Row],[TrxId]], Trx[Id], Trx[Division],,0)</f>
        <v>MY</v>
      </c>
      <c r="D862" s="6" t="str">
        <f>_xlfn.XLOOKUP(Jnl[[#This Row],[TrxId]], Trx[Id], Trx[Action],,0)</f>
        <v>其他销售</v>
      </c>
      <c r="E862" s="27" t="s">
        <v>88</v>
      </c>
      <c r="F862" s="10" t="s">
        <v>596</v>
      </c>
      <c r="G862" s="10" t="s">
        <v>486</v>
      </c>
      <c r="H862" s="37">
        <v>14.9</v>
      </c>
      <c r="I862" s="38" t="b">
        <f>AND(Jnl[[#This Row],[TrxId]]&lt;&gt;"",Jnl[[#This Row],[Acct]]&lt;&gt;"",Jnl[[#This Row],[Item]]&lt;&gt;"",ISNUMBER(Jnl[[#This Row],[Bal]]))</f>
        <v>1</v>
      </c>
      <c r="J862" s="9">
        <f>IF(Jnl[[#This Row],[BSLv0]]="A",1,-1)*Jnl[[#This Row],[Bal]]</f>
        <v>14.9</v>
      </c>
      <c r="K862" t="str">
        <f>_xlfn.XLOOKUP(Jnl[[#This Row],[Acct]], config_BS[Acct], config_BS[Lv0],,0)</f>
        <v>A</v>
      </c>
      <c r="L862" t="str">
        <f>_xlfn.XLOOKUP(Jnl[[#This Row],[Acct]], config_BS[Acct], config_BS[Lv1],,0)</f>
        <v>Assets</v>
      </c>
      <c r="M862" t="str">
        <f>_xlfn.XLOOKUP(Jnl[[#This Row],[Acct]], config_BS[Acct], config_BS[Lv2],,0)</f>
        <v>Cash alike</v>
      </c>
      <c r="N862" t="str">
        <f>_xlfn.XLOOKUP(Jnl[[#This Row],[TrxId]], Trx[Id], Trx[IncNode], ,0)</f>
        <v>Revenue</v>
      </c>
      <c r="O862" t="str">
        <f>_xlfn.XLOOKUP(Jnl[[#This Row],[IncNode]], config_IS[Node], config_IS[Type],,0)</f>
        <v>Op</v>
      </c>
      <c r="P862" t="str">
        <f>_xlfn.XLOOKUP(Jnl[[#This Row],[BSLv2]], dict[Key], dict[Name],,0)</f>
        <v>0.现金及类似</v>
      </c>
      <c r="Q862" t="str">
        <f>_xlfn.XLOOKUP(Jnl[[#This Row],[Acct]], dict[Key], dict[Name],,0)</f>
        <v>银行</v>
      </c>
      <c r="R862" t="str">
        <f>_xlfn.XLOOKUP(Jnl[[#This Row],[Vehicle]],config_vehicle[Id], config_vehicle[Name],,0)</f>
        <v>张小喜</v>
      </c>
      <c r="S862" t="str">
        <f>_xlfn.XLOOKUP(Jnl[[#This Row],[Division]],config_div[Id], config_div[Name],,0)</f>
        <v>明月村</v>
      </c>
      <c r="T862" t="str">
        <f>IF(Jnl[[#This Row],[TrxDate]]&lt;=stmt_BS_date_end, "In", "Out")</f>
        <v>In</v>
      </c>
      <c r="U862" t="str">
        <f>IF(Jnl[[#This Row],[TrxDate]]&lt;debug_date_start, "prior", IF(Jnl[[#This Row],[TrxDate]]&gt;debug_date_end, "post", "curr"))</f>
        <v>curr</v>
      </c>
    </row>
    <row r="863" spans="1:21" hidden="1">
      <c r="A863" s="39" t="s">
        <v>1278</v>
      </c>
      <c r="B863" s="6">
        <f>_xlfn.XLOOKUP(Jnl[[#This Row],[TrxId]], Trx[Id], Trx[Date],,0)</f>
        <v>46053</v>
      </c>
      <c r="C863" s="6" t="str">
        <f>_xlfn.XLOOKUP(Jnl[[#This Row],[TrxId]], Trx[Id], Trx[Division],,0)</f>
        <v>GM</v>
      </c>
      <c r="D863" s="6" t="str">
        <f>_xlfn.XLOOKUP(Jnl[[#This Row],[TrxId]], Trx[Id], Trx[Action],,0)</f>
        <v>薪酬-社保</v>
      </c>
      <c r="E863" s="27" t="s">
        <v>109</v>
      </c>
      <c r="F863" s="10" t="s">
        <v>596</v>
      </c>
      <c r="G863" s="10" t="s">
        <v>1195</v>
      </c>
      <c r="H863" s="37">
        <v>-274.27999999999997</v>
      </c>
      <c r="I863" s="38" t="b">
        <f>AND(Jnl[[#This Row],[TrxId]]&lt;&gt;"",Jnl[[#This Row],[Acct]]&lt;&gt;"",Jnl[[#This Row],[Item]]&lt;&gt;"",ISNUMBER(Jnl[[#This Row],[Bal]]))</f>
        <v>1</v>
      </c>
      <c r="J863" s="9">
        <f>IF(Jnl[[#This Row],[BSLv0]]="A",1,-1)*Jnl[[#This Row],[Bal]]</f>
        <v>-274.27999999999997</v>
      </c>
      <c r="K863" t="str">
        <f>_xlfn.XLOOKUP(Jnl[[#This Row],[Acct]], config_BS[Acct], config_BS[Lv0],,0)</f>
        <v>A</v>
      </c>
      <c r="L863" t="str">
        <f>_xlfn.XLOOKUP(Jnl[[#This Row],[Acct]], config_BS[Acct], config_BS[Lv1],,0)</f>
        <v>Assets</v>
      </c>
      <c r="M863" t="str">
        <f>_xlfn.XLOOKUP(Jnl[[#This Row],[Acct]], config_BS[Acct], config_BS[Lv2],,0)</f>
        <v>Cash alike</v>
      </c>
      <c r="N863" t="str">
        <f>_xlfn.XLOOKUP(Jnl[[#This Row],[TrxId]], Trx[Id], Trx[IncNode], ,0)</f>
        <v>Expense</v>
      </c>
      <c r="O863" t="str">
        <f>_xlfn.XLOOKUP(Jnl[[#This Row],[IncNode]], config_IS[Node], config_IS[Type],,0)</f>
        <v>Op</v>
      </c>
      <c r="P863" t="str">
        <f>_xlfn.XLOOKUP(Jnl[[#This Row],[BSLv2]], dict[Key], dict[Name],,0)</f>
        <v>0.现金及类似</v>
      </c>
      <c r="Q863" t="str">
        <f>_xlfn.XLOOKUP(Jnl[[#This Row],[Acct]], dict[Key], dict[Name],,0)</f>
        <v>银行</v>
      </c>
      <c r="R863" t="str">
        <f>_xlfn.XLOOKUP(Jnl[[#This Row],[Vehicle]],config_vehicle[Id], config_vehicle[Name],,0)</f>
        <v>远家文化蒲江分公司</v>
      </c>
      <c r="S863" t="str">
        <f>_xlfn.XLOOKUP(Jnl[[#This Row],[Division]],config_div[Id], config_div[Name],,0)</f>
        <v>综合管理</v>
      </c>
      <c r="T863" t="str">
        <f>IF(Jnl[[#This Row],[TrxDate]]&lt;=stmt_BS_date_end, "In", "Out")</f>
        <v>In</v>
      </c>
      <c r="U863" t="str">
        <f>IF(Jnl[[#This Row],[TrxDate]]&lt;debug_date_start, "prior", IF(Jnl[[#This Row],[TrxDate]]&gt;debug_date_end, "post", "curr"))</f>
        <v>curr</v>
      </c>
    </row>
    <row r="864" spans="1:21" hidden="1">
      <c r="A864" s="39" t="s">
        <v>1279</v>
      </c>
      <c r="B864" s="6">
        <f>_xlfn.XLOOKUP(Jnl[[#This Row],[TrxId]], Trx[Id], Trx[Date],,0)</f>
        <v>46053</v>
      </c>
      <c r="C864" s="6" t="str">
        <f>_xlfn.XLOOKUP(Jnl[[#This Row],[TrxId]], Trx[Id], Trx[Division],,0)</f>
        <v>MY</v>
      </c>
      <c r="D864" s="6" t="str">
        <f>_xlfn.XLOOKUP(Jnl[[#This Row],[TrxId]], Trx[Id], Trx[Action],,0)</f>
        <v>内部结算</v>
      </c>
      <c r="E864" s="27" t="s">
        <v>88</v>
      </c>
      <c r="F864" s="10" t="s">
        <v>596</v>
      </c>
      <c r="G864" s="10" t="s">
        <v>486</v>
      </c>
      <c r="H864" s="37">
        <v>-25204.7</v>
      </c>
      <c r="I864" s="38" t="b">
        <f>AND(Jnl[[#This Row],[TrxId]]&lt;&gt;"",Jnl[[#This Row],[Acct]]&lt;&gt;"",Jnl[[#This Row],[Item]]&lt;&gt;"",ISNUMBER(Jnl[[#This Row],[Bal]]))</f>
        <v>1</v>
      </c>
      <c r="J864" s="9">
        <f>IF(Jnl[[#This Row],[BSLv0]]="A",1,-1)*Jnl[[#This Row],[Bal]]</f>
        <v>-25204.7</v>
      </c>
      <c r="K864" t="str">
        <f>_xlfn.XLOOKUP(Jnl[[#This Row],[Acct]], config_BS[Acct], config_BS[Lv0],,0)</f>
        <v>A</v>
      </c>
      <c r="L864" t="str">
        <f>_xlfn.XLOOKUP(Jnl[[#This Row],[Acct]], config_BS[Acct], config_BS[Lv1],,0)</f>
        <v>Assets</v>
      </c>
      <c r="M864" t="str">
        <f>_xlfn.XLOOKUP(Jnl[[#This Row],[Acct]], config_BS[Acct], config_BS[Lv2],,0)</f>
        <v>Cash alike</v>
      </c>
      <c r="N864" t="str">
        <f>_xlfn.XLOOKUP(Jnl[[#This Row],[TrxId]], Trx[Id], Trx[IncNode], ,0)</f>
        <v>Other</v>
      </c>
      <c r="O864" t="str">
        <f>_xlfn.XLOOKUP(Jnl[[#This Row],[IncNode]], config_IS[Node], config_IS[Type],,0)</f>
        <v>Non-Op</v>
      </c>
      <c r="P864" t="str">
        <f>_xlfn.XLOOKUP(Jnl[[#This Row],[BSLv2]], dict[Key], dict[Name],,0)</f>
        <v>0.现金及类似</v>
      </c>
      <c r="Q864" t="str">
        <f>_xlfn.XLOOKUP(Jnl[[#This Row],[Acct]], dict[Key], dict[Name],,0)</f>
        <v>银行</v>
      </c>
      <c r="R864" t="str">
        <f>_xlfn.XLOOKUP(Jnl[[#This Row],[Vehicle]],config_vehicle[Id], config_vehicle[Name],,0)</f>
        <v>张小喜</v>
      </c>
      <c r="S864" t="str">
        <f>_xlfn.XLOOKUP(Jnl[[#This Row],[Division]],config_div[Id], config_div[Name],,0)</f>
        <v>明月村</v>
      </c>
      <c r="T864" t="str">
        <f>IF(Jnl[[#This Row],[TrxDate]]&lt;=stmt_BS_date_end, "In", "Out")</f>
        <v>In</v>
      </c>
      <c r="U864" t="str">
        <f>IF(Jnl[[#This Row],[TrxDate]]&lt;debug_date_start, "prior", IF(Jnl[[#This Row],[TrxDate]]&gt;debug_date_end, "post", "curr"))</f>
        <v>curr</v>
      </c>
    </row>
    <row r="865" spans="1:21" hidden="1">
      <c r="A865" s="39" t="s">
        <v>1279</v>
      </c>
      <c r="B865" s="6">
        <f>_xlfn.XLOOKUP(Jnl[[#This Row],[TrxId]], Trx[Id], Trx[Date],,0)</f>
        <v>46053</v>
      </c>
      <c r="C865" s="6" t="str">
        <f>_xlfn.XLOOKUP(Jnl[[#This Row],[TrxId]], Trx[Id], Trx[Division],,0)</f>
        <v>MY</v>
      </c>
      <c r="D865" s="6" t="str">
        <f>_xlfn.XLOOKUP(Jnl[[#This Row],[TrxId]], Trx[Id], Trx[Action],,0)</f>
        <v>内部结算</v>
      </c>
      <c r="E865" s="27" t="s">
        <v>85</v>
      </c>
      <c r="F865" s="10" t="s">
        <v>658</v>
      </c>
      <c r="G865" s="10" t="s">
        <v>1133</v>
      </c>
      <c r="H865" s="37">
        <f>H864</f>
        <v>-25204.7</v>
      </c>
      <c r="I865" s="38" t="b">
        <f>AND(Jnl[[#This Row],[TrxId]]&lt;&gt;"",Jnl[[#This Row],[Acct]]&lt;&gt;"",Jnl[[#This Row],[Item]]&lt;&gt;"",ISNUMBER(Jnl[[#This Row],[Bal]]))</f>
        <v>1</v>
      </c>
      <c r="J865" s="9">
        <f>IF(Jnl[[#This Row],[BSLv0]]="A",1,-1)*Jnl[[#This Row],[Bal]]</f>
        <v>25204.7</v>
      </c>
      <c r="K865" t="str">
        <f>_xlfn.XLOOKUP(Jnl[[#This Row],[Acct]], config_BS[Acct], config_BS[Lv0],,0)</f>
        <v>LC</v>
      </c>
      <c r="L865" t="str">
        <f>_xlfn.XLOOKUP(Jnl[[#This Row],[Acct]], config_BS[Acct], config_BS[Lv1],,0)</f>
        <v>Liability</v>
      </c>
      <c r="M865" t="str">
        <f>_xlfn.XLOOKUP(Jnl[[#This Row],[Acct]], config_BS[Acct], config_BS[Lv2],,0)</f>
        <v>Rec-Pay</v>
      </c>
      <c r="N865" t="str">
        <f>_xlfn.XLOOKUP(Jnl[[#This Row],[TrxId]], Trx[Id], Trx[IncNode], ,0)</f>
        <v>Other</v>
      </c>
      <c r="O865" t="str">
        <f>_xlfn.XLOOKUP(Jnl[[#This Row],[IncNode]], config_IS[Node], config_IS[Type],,0)</f>
        <v>Non-Op</v>
      </c>
      <c r="P865" t="str">
        <f>_xlfn.XLOOKUP(Jnl[[#This Row],[BSLv2]], dict[Key], dict[Name],,0)</f>
        <v>1.应收-应付</v>
      </c>
      <c r="Q865" t="str">
        <f>_xlfn.XLOOKUP(Jnl[[#This Row],[Acct]], dict[Key], dict[Name],,0)</f>
        <v>应付-一般</v>
      </c>
      <c r="R865" t="str">
        <f>_xlfn.XLOOKUP(Jnl[[#This Row],[Vehicle]],config_vehicle[Id], config_vehicle[Name],,0)</f>
        <v>远家文化</v>
      </c>
      <c r="S865" t="str">
        <f>_xlfn.XLOOKUP(Jnl[[#This Row],[Division]],config_div[Id], config_div[Name],,0)</f>
        <v>明月村</v>
      </c>
      <c r="T865" t="str">
        <f>IF(Jnl[[#This Row],[TrxDate]]&lt;=stmt_BS_date_end, "In", "Out")</f>
        <v>In</v>
      </c>
      <c r="U865" t="str">
        <f>IF(Jnl[[#This Row],[TrxDate]]&lt;debug_date_start, "prior", IF(Jnl[[#This Row],[TrxDate]]&gt;debug_date_end, "post", "curr"))</f>
        <v>curr</v>
      </c>
    </row>
    <row r="866" spans="1:21" hidden="1">
      <c r="A866" s="39" t="s">
        <v>1280</v>
      </c>
      <c r="B866" s="6">
        <f>_xlfn.XLOOKUP(Jnl[[#This Row],[TrxId]], Trx[Id], Trx[Date],,0)</f>
        <v>46053</v>
      </c>
      <c r="C866" s="6" t="str">
        <f>_xlfn.XLOOKUP(Jnl[[#This Row],[TrxId]], Trx[Id], Trx[Division],,0)</f>
        <v>MY</v>
      </c>
      <c r="D866" s="6" t="str">
        <f>_xlfn.XLOOKUP(Jnl[[#This Row],[TrxId]], Trx[Id], Trx[Action],,0)</f>
        <v>服饰</v>
      </c>
      <c r="E866" s="27" t="s">
        <v>85</v>
      </c>
      <c r="F866" s="10" t="s">
        <v>599</v>
      </c>
      <c r="G866" s="10" t="s">
        <v>951</v>
      </c>
      <c r="H866" s="101">
        <v>49931.55</v>
      </c>
      <c r="I866" s="38" t="b">
        <f>AND(Jnl[[#This Row],[TrxId]]&lt;&gt;"",Jnl[[#This Row],[Acct]]&lt;&gt;"",Jnl[[#This Row],[Item]]&lt;&gt;"",ISNUMBER(Jnl[[#This Row],[Bal]]))</f>
        <v>1</v>
      </c>
      <c r="J866" s="9">
        <f>IF(Jnl[[#This Row],[BSLv0]]="A",1,-1)*Jnl[[#This Row],[Bal]]</f>
        <v>49931.55</v>
      </c>
      <c r="K866" t="str">
        <f>_xlfn.XLOOKUP(Jnl[[#This Row],[Acct]], config_BS[Acct], config_BS[Lv0],,0)</f>
        <v>A</v>
      </c>
      <c r="L866" t="str">
        <f>_xlfn.XLOOKUP(Jnl[[#This Row],[Acct]], config_BS[Acct], config_BS[Lv1],,0)</f>
        <v>Assets</v>
      </c>
      <c r="M866" t="str">
        <f>_xlfn.XLOOKUP(Jnl[[#This Row],[Acct]], config_BS[Acct], config_BS[Lv2],,0)</f>
        <v>Rec-Pay</v>
      </c>
      <c r="N866" t="str">
        <f>_xlfn.XLOOKUP(Jnl[[#This Row],[TrxId]], Trx[Id], Trx[IncNode], ,0)</f>
        <v>Revenue</v>
      </c>
      <c r="O866" t="str">
        <f>_xlfn.XLOOKUP(Jnl[[#This Row],[IncNode]], config_IS[Node], config_IS[Type],,0)</f>
        <v>Op</v>
      </c>
      <c r="P866" t="str">
        <f>_xlfn.XLOOKUP(Jnl[[#This Row],[BSLv2]], dict[Key], dict[Name],,0)</f>
        <v>1.应收-应付</v>
      </c>
      <c r="Q866" t="str">
        <f>_xlfn.XLOOKUP(Jnl[[#This Row],[Acct]], dict[Key], dict[Name],,0)</f>
        <v>应收-一般</v>
      </c>
      <c r="R866" t="str">
        <f>_xlfn.XLOOKUP(Jnl[[#This Row],[Vehicle]],config_vehicle[Id], config_vehicle[Name],,0)</f>
        <v>远家文化</v>
      </c>
      <c r="S866" t="str">
        <f>_xlfn.XLOOKUP(Jnl[[#This Row],[Division]],config_div[Id], config_div[Name],,0)</f>
        <v>明月村</v>
      </c>
      <c r="T866" t="str">
        <f>IF(Jnl[[#This Row],[TrxDate]]&lt;=stmt_BS_date_end, "In", "Out")</f>
        <v>In</v>
      </c>
      <c r="U866" t="str">
        <f>IF(Jnl[[#This Row],[TrxDate]]&lt;debug_date_start, "prior", IF(Jnl[[#This Row],[TrxDate]]&gt;debug_date_end, "post", "curr"))</f>
        <v>curr</v>
      </c>
    </row>
    <row r="867" spans="1:21" hidden="1">
      <c r="A867" s="39" t="s">
        <v>1281</v>
      </c>
      <c r="B867" s="6">
        <f>_xlfn.XLOOKUP(Jnl[[#This Row],[TrxId]], Trx[Id], Trx[Date],,0)</f>
        <v>46053</v>
      </c>
      <c r="C867" s="6" t="str">
        <f>_xlfn.XLOOKUP(Jnl[[#This Row],[TrxId]], Trx[Id], Trx[Division],,0)</f>
        <v>MY</v>
      </c>
      <c r="D867" s="6" t="str">
        <f>_xlfn.XLOOKUP(Jnl[[#This Row],[TrxId]], Trx[Id], Trx[Action],,0)</f>
        <v>住宿</v>
      </c>
      <c r="E867" s="27" t="s">
        <v>85</v>
      </c>
      <c r="F867" s="10" t="s">
        <v>599</v>
      </c>
      <c r="G867" s="10" t="s">
        <v>972</v>
      </c>
      <c r="H867" s="101">
        <v>9205.5</v>
      </c>
      <c r="I867" s="38" t="b">
        <f>AND(Jnl[[#This Row],[TrxId]]&lt;&gt;"",Jnl[[#This Row],[Acct]]&lt;&gt;"",Jnl[[#This Row],[Item]]&lt;&gt;"",ISNUMBER(Jnl[[#This Row],[Bal]]))</f>
        <v>1</v>
      </c>
      <c r="J867" s="9">
        <f>IF(Jnl[[#This Row],[BSLv0]]="A",1,-1)*Jnl[[#This Row],[Bal]]</f>
        <v>9205.5</v>
      </c>
      <c r="K867" t="str">
        <f>_xlfn.XLOOKUP(Jnl[[#This Row],[Acct]], config_BS[Acct], config_BS[Lv0],,0)</f>
        <v>A</v>
      </c>
      <c r="L867" t="str">
        <f>_xlfn.XLOOKUP(Jnl[[#This Row],[Acct]], config_BS[Acct], config_BS[Lv1],,0)</f>
        <v>Assets</v>
      </c>
      <c r="M867" t="str">
        <f>_xlfn.XLOOKUP(Jnl[[#This Row],[Acct]], config_BS[Acct], config_BS[Lv2],,0)</f>
        <v>Rec-Pay</v>
      </c>
      <c r="N867" t="str">
        <f>_xlfn.XLOOKUP(Jnl[[#This Row],[TrxId]], Trx[Id], Trx[IncNode], ,0)</f>
        <v>Revenue</v>
      </c>
      <c r="O867" t="str">
        <f>_xlfn.XLOOKUP(Jnl[[#This Row],[IncNode]], config_IS[Node], config_IS[Type],,0)</f>
        <v>Op</v>
      </c>
      <c r="P867" t="str">
        <f>_xlfn.XLOOKUP(Jnl[[#This Row],[BSLv2]], dict[Key], dict[Name],,0)</f>
        <v>1.应收-应付</v>
      </c>
      <c r="Q867" t="str">
        <f>_xlfn.XLOOKUP(Jnl[[#This Row],[Acct]], dict[Key], dict[Name],,0)</f>
        <v>应收-一般</v>
      </c>
      <c r="R867" t="str">
        <f>_xlfn.XLOOKUP(Jnl[[#This Row],[Vehicle]],config_vehicle[Id], config_vehicle[Name],,0)</f>
        <v>远家文化</v>
      </c>
      <c r="S867" t="str">
        <f>_xlfn.XLOOKUP(Jnl[[#This Row],[Division]],config_div[Id], config_div[Name],,0)</f>
        <v>明月村</v>
      </c>
      <c r="T867" t="str">
        <f>IF(Jnl[[#This Row],[TrxDate]]&lt;=stmt_BS_date_end, "In", "Out")</f>
        <v>In</v>
      </c>
      <c r="U867" t="str">
        <f>IF(Jnl[[#This Row],[TrxDate]]&lt;debug_date_start, "prior", IF(Jnl[[#This Row],[TrxDate]]&gt;debug_date_end, "post", "curr"))</f>
        <v>curr</v>
      </c>
    </row>
    <row r="868" spans="1:21" hidden="1">
      <c r="A868" s="39" t="s">
        <v>1281</v>
      </c>
      <c r="B868" s="6">
        <f>_xlfn.XLOOKUP(Jnl[[#This Row],[TrxId]], Trx[Id], Trx[Date],,0)</f>
        <v>46053</v>
      </c>
      <c r="C868" s="6" t="str">
        <f>_xlfn.XLOOKUP(Jnl[[#This Row],[TrxId]], Trx[Id], Trx[Division],,0)</f>
        <v>MY</v>
      </c>
      <c r="D868" s="6" t="str">
        <f>_xlfn.XLOOKUP(Jnl[[#This Row],[TrxId]], Trx[Id], Trx[Action],,0)</f>
        <v>住宿</v>
      </c>
      <c r="E868" s="27" t="s">
        <v>85</v>
      </c>
      <c r="F868" s="10" t="s">
        <v>599</v>
      </c>
      <c r="G868" s="10" t="s">
        <v>1138</v>
      </c>
      <c r="H868" s="101">
        <v>20245.97</v>
      </c>
      <c r="I868" s="38" t="b">
        <f>AND(Jnl[[#This Row],[TrxId]]&lt;&gt;"",Jnl[[#This Row],[Acct]]&lt;&gt;"",Jnl[[#This Row],[Item]]&lt;&gt;"",ISNUMBER(Jnl[[#This Row],[Bal]]))</f>
        <v>1</v>
      </c>
      <c r="J868" s="9">
        <f>IF(Jnl[[#This Row],[BSLv0]]="A",1,-1)*Jnl[[#This Row],[Bal]]</f>
        <v>20245.97</v>
      </c>
      <c r="K868" t="str">
        <f>_xlfn.XLOOKUP(Jnl[[#This Row],[Acct]], config_BS[Acct], config_BS[Lv0],,0)</f>
        <v>A</v>
      </c>
      <c r="L868" t="str">
        <f>_xlfn.XLOOKUP(Jnl[[#This Row],[Acct]], config_BS[Acct], config_BS[Lv1],,0)</f>
        <v>Assets</v>
      </c>
      <c r="M868" t="str">
        <f>_xlfn.XLOOKUP(Jnl[[#This Row],[Acct]], config_BS[Acct], config_BS[Lv2],,0)</f>
        <v>Rec-Pay</v>
      </c>
      <c r="N868" t="str">
        <f>_xlfn.XLOOKUP(Jnl[[#This Row],[TrxId]], Trx[Id], Trx[IncNode], ,0)</f>
        <v>Revenue</v>
      </c>
      <c r="O868" t="str">
        <f>_xlfn.XLOOKUP(Jnl[[#This Row],[IncNode]], config_IS[Node], config_IS[Type],,0)</f>
        <v>Op</v>
      </c>
      <c r="P868" t="str">
        <f>_xlfn.XLOOKUP(Jnl[[#This Row],[BSLv2]], dict[Key], dict[Name],,0)</f>
        <v>1.应收-应付</v>
      </c>
      <c r="Q868" t="str">
        <f>_xlfn.XLOOKUP(Jnl[[#This Row],[Acct]], dict[Key], dict[Name],,0)</f>
        <v>应收-一般</v>
      </c>
      <c r="R868" t="str">
        <f>_xlfn.XLOOKUP(Jnl[[#This Row],[Vehicle]],config_vehicle[Id], config_vehicle[Name],,0)</f>
        <v>远家文化</v>
      </c>
      <c r="S868" t="str">
        <f>_xlfn.XLOOKUP(Jnl[[#This Row],[Division]],config_div[Id], config_div[Name],,0)</f>
        <v>明月村</v>
      </c>
      <c r="T868" t="str">
        <f>IF(Jnl[[#This Row],[TrxDate]]&lt;=stmt_BS_date_end, "In", "Out")</f>
        <v>In</v>
      </c>
      <c r="U868" t="str">
        <f>IF(Jnl[[#This Row],[TrxDate]]&lt;debug_date_start, "prior", IF(Jnl[[#This Row],[TrxDate]]&gt;debug_date_end, "post", "curr"))</f>
        <v>curr</v>
      </c>
    </row>
    <row r="869" spans="1:21" hidden="1">
      <c r="A869" s="39" t="s">
        <v>1281</v>
      </c>
      <c r="B869" s="6">
        <f>_xlfn.XLOOKUP(Jnl[[#This Row],[TrxId]], Trx[Id], Trx[Date],,0)</f>
        <v>46053</v>
      </c>
      <c r="C869" s="6" t="str">
        <f>_xlfn.XLOOKUP(Jnl[[#This Row],[TrxId]], Trx[Id], Trx[Division],,0)</f>
        <v>MY</v>
      </c>
      <c r="D869" s="6" t="str">
        <f>_xlfn.XLOOKUP(Jnl[[#This Row],[TrxId]], Trx[Id], Trx[Action],,0)</f>
        <v>住宿</v>
      </c>
      <c r="E869" s="27" t="s">
        <v>85</v>
      </c>
      <c r="F869" s="10" t="s">
        <v>599</v>
      </c>
      <c r="G869" s="10" t="s">
        <v>949</v>
      </c>
      <c r="H869" s="101">
        <v>11013.77</v>
      </c>
      <c r="I869" s="38" t="b">
        <f>AND(Jnl[[#This Row],[TrxId]]&lt;&gt;"",Jnl[[#This Row],[Acct]]&lt;&gt;"",Jnl[[#This Row],[Item]]&lt;&gt;"",ISNUMBER(Jnl[[#This Row],[Bal]]))</f>
        <v>1</v>
      </c>
      <c r="J869" s="9">
        <f>IF(Jnl[[#This Row],[BSLv0]]="A",1,-1)*Jnl[[#This Row],[Bal]]</f>
        <v>11013.77</v>
      </c>
      <c r="K869" t="str">
        <f>_xlfn.XLOOKUP(Jnl[[#This Row],[Acct]], config_BS[Acct], config_BS[Lv0],,0)</f>
        <v>A</v>
      </c>
      <c r="L869" t="str">
        <f>_xlfn.XLOOKUP(Jnl[[#This Row],[Acct]], config_BS[Acct], config_BS[Lv1],,0)</f>
        <v>Assets</v>
      </c>
      <c r="M869" t="str">
        <f>_xlfn.XLOOKUP(Jnl[[#This Row],[Acct]], config_BS[Acct], config_BS[Lv2],,0)</f>
        <v>Rec-Pay</v>
      </c>
      <c r="N869" t="str">
        <f>_xlfn.XLOOKUP(Jnl[[#This Row],[TrxId]], Trx[Id], Trx[IncNode], ,0)</f>
        <v>Revenue</v>
      </c>
      <c r="O869" t="str">
        <f>_xlfn.XLOOKUP(Jnl[[#This Row],[IncNode]], config_IS[Node], config_IS[Type],,0)</f>
        <v>Op</v>
      </c>
      <c r="P869" t="str">
        <f>_xlfn.XLOOKUP(Jnl[[#This Row],[BSLv2]], dict[Key], dict[Name],,0)</f>
        <v>1.应收-应付</v>
      </c>
      <c r="Q869" t="str">
        <f>_xlfn.XLOOKUP(Jnl[[#This Row],[Acct]], dict[Key], dict[Name],,0)</f>
        <v>应收-一般</v>
      </c>
      <c r="R869" t="str">
        <f>_xlfn.XLOOKUP(Jnl[[#This Row],[Vehicle]],config_vehicle[Id], config_vehicle[Name],,0)</f>
        <v>远家文化</v>
      </c>
      <c r="S869" t="str">
        <f>_xlfn.XLOOKUP(Jnl[[#This Row],[Division]],config_div[Id], config_div[Name],,0)</f>
        <v>明月村</v>
      </c>
      <c r="T869" t="str">
        <f>IF(Jnl[[#This Row],[TrxDate]]&lt;=stmt_BS_date_end, "In", "Out")</f>
        <v>In</v>
      </c>
      <c r="U869" t="str">
        <f>IF(Jnl[[#This Row],[TrxDate]]&lt;debug_date_start, "prior", IF(Jnl[[#This Row],[TrxDate]]&gt;debug_date_end, "post", "curr"))</f>
        <v>curr</v>
      </c>
    </row>
    <row r="870" spans="1:21" hidden="1">
      <c r="A870" s="39" t="s">
        <v>1282</v>
      </c>
      <c r="B870" s="6">
        <f>_xlfn.XLOOKUP(Jnl[[#This Row],[TrxId]], Trx[Id], Trx[Date],,0)</f>
        <v>46053</v>
      </c>
      <c r="C870" s="6" t="str">
        <f>_xlfn.XLOOKUP(Jnl[[#This Row],[TrxId]], Trx[Id], Trx[Division],,0)</f>
        <v>MY</v>
      </c>
      <c r="D870" s="6" t="str">
        <f>_xlfn.XLOOKUP(Jnl[[#This Row],[TrxId]], Trx[Id], Trx[Action],,0)</f>
        <v>餐饮</v>
      </c>
      <c r="E870" s="27" t="s">
        <v>85</v>
      </c>
      <c r="F870" s="10" t="s">
        <v>599</v>
      </c>
      <c r="G870" s="10" t="s">
        <v>954</v>
      </c>
      <c r="H870" s="101">
        <v>8300</v>
      </c>
      <c r="I870" s="38" t="b">
        <f>AND(Jnl[[#This Row],[TrxId]]&lt;&gt;"",Jnl[[#This Row],[Acct]]&lt;&gt;"",Jnl[[#This Row],[Item]]&lt;&gt;"",ISNUMBER(Jnl[[#This Row],[Bal]]))</f>
        <v>1</v>
      </c>
      <c r="J870" s="9">
        <f>IF(Jnl[[#This Row],[BSLv0]]="A",1,-1)*Jnl[[#This Row],[Bal]]</f>
        <v>8300</v>
      </c>
      <c r="K870" t="str">
        <f>_xlfn.XLOOKUP(Jnl[[#This Row],[Acct]], config_BS[Acct], config_BS[Lv0],,0)</f>
        <v>A</v>
      </c>
      <c r="L870" t="str">
        <f>_xlfn.XLOOKUP(Jnl[[#This Row],[Acct]], config_BS[Acct], config_BS[Lv1],,0)</f>
        <v>Assets</v>
      </c>
      <c r="M870" t="str">
        <f>_xlfn.XLOOKUP(Jnl[[#This Row],[Acct]], config_BS[Acct], config_BS[Lv2],,0)</f>
        <v>Rec-Pay</v>
      </c>
      <c r="N870" t="str">
        <f>_xlfn.XLOOKUP(Jnl[[#This Row],[TrxId]], Trx[Id], Trx[IncNode], ,0)</f>
        <v>Revenue</v>
      </c>
      <c r="O870" t="str">
        <f>_xlfn.XLOOKUP(Jnl[[#This Row],[IncNode]], config_IS[Node], config_IS[Type],,0)</f>
        <v>Op</v>
      </c>
      <c r="P870" t="str">
        <f>_xlfn.XLOOKUP(Jnl[[#This Row],[BSLv2]], dict[Key], dict[Name],,0)</f>
        <v>1.应收-应付</v>
      </c>
      <c r="Q870" t="str">
        <f>_xlfn.XLOOKUP(Jnl[[#This Row],[Acct]], dict[Key], dict[Name],,0)</f>
        <v>应收-一般</v>
      </c>
      <c r="R870" t="str">
        <f>_xlfn.XLOOKUP(Jnl[[#This Row],[Vehicle]],config_vehicle[Id], config_vehicle[Name],,0)</f>
        <v>远家文化</v>
      </c>
      <c r="S870" t="str">
        <f>_xlfn.XLOOKUP(Jnl[[#This Row],[Division]],config_div[Id], config_div[Name],,0)</f>
        <v>明月村</v>
      </c>
      <c r="T870" t="str">
        <f>IF(Jnl[[#This Row],[TrxDate]]&lt;=stmt_BS_date_end, "In", "Out")</f>
        <v>In</v>
      </c>
      <c r="U870" t="str">
        <f>IF(Jnl[[#This Row],[TrxDate]]&lt;debug_date_start, "prior", IF(Jnl[[#This Row],[TrxDate]]&gt;debug_date_end, "post", "curr"))</f>
        <v>curr</v>
      </c>
    </row>
    <row r="871" spans="1:21" hidden="1">
      <c r="A871" s="39" t="s">
        <v>1282</v>
      </c>
      <c r="B871" s="6">
        <f>_xlfn.XLOOKUP(Jnl[[#This Row],[TrxId]], Trx[Id], Trx[Date],,0)</f>
        <v>46053</v>
      </c>
      <c r="C871" s="6" t="str">
        <f>_xlfn.XLOOKUP(Jnl[[#This Row],[TrxId]], Trx[Id], Trx[Division],,0)</f>
        <v>MY</v>
      </c>
      <c r="D871" s="6" t="str">
        <f>_xlfn.XLOOKUP(Jnl[[#This Row],[TrxId]], Trx[Id], Trx[Action],,0)</f>
        <v>餐饮</v>
      </c>
      <c r="E871" s="27" t="s">
        <v>85</v>
      </c>
      <c r="F871" s="10" t="s">
        <v>599</v>
      </c>
      <c r="G871" s="10" t="s">
        <v>1138</v>
      </c>
      <c r="H871" s="101">
        <v>32476.36</v>
      </c>
      <c r="I871" s="38" t="b">
        <f>AND(Jnl[[#This Row],[TrxId]]&lt;&gt;"",Jnl[[#This Row],[Acct]]&lt;&gt;"",Jnl[[#This Row],[Item]]&lt;&gt;"",ISNUMBER(Jnl[[#This Row],[Bal]]))</f>
        <v>1</v>
      </c>
      <c r="J871" s="9">
        <f>IF(Jnl[[#This Row],[BSLv0]]="A",1,-1)*Jnl[[#This Row],[Bal]]</f>
        <v>32476.36</v>
      </c>
      <c r="K871" t="str">
        <f>_xlfn.XLOOKUP(Jnl[[#This Row],[Acct]], config_BS[Acct], config_BS[Lv0],,0)</f>
        <v>A</v>
      </c>
      <c r="L871" t="str">
        <f>_xlfn.XLOOKUP(Jnl[[#This Row],[Acct]], config_BS[Acct], config_BS[Lv1],,0)</f>
        <v>Assets</v>
      </c>
      <c r="M871" t="str">
        <f>_xlfn.XLOOKUP(Jnl[[#This Row],[Acct]], config_BS[Acct], config_BS[Lv2],,0)</f>
        <v>Rec-Pay</v>
      </c>
      <c r="N871" t="str">
        <f>_xlfn.XLOOKUP(Jnl[[#This Row],[TrxId]], Trx[Id], Trx[IncNode], ,0)</f>
        <v>Revenue</v>
      </c>
      <c r="O871" t="str">
        <f>_xlfn.XLOOKUP(Jnl[[#This Row],[IncNode]], config_IS[Node], config_IS[Type],,0)</f>
        <v>Op</v>
      </c>
      <c r="P871" t="str">
        <f>_xlfn.XLOOKUP(Jnl[[#This Row],[BSLv2]], dict[Key], dict[Name],,0)</f>
        <v>1.应收-应付</v>
      </c>
      <c r="Q871" t="str">
        <f>_xlfn.XLOOKUP(Jnl[[#This Row],[Acct]], dict[Key], dict[Name],,0)</f>
        <v>应收-一般</v>
      </c>
      <c r="R871" t="str">
        <f>_xlfn.XLOOKUP(Jnl[[#This Row],[Vehicle]],config_vehicle[Id], config_vehicle[Name],,0)</f>
        <v>远家文化</v>
      </c>
      <c r="S871" t="str">
        <f>_xlfn.XLOOKUP(Jnl[[#This Row],[Division]],config_div[Id], config_div[Name],,0)</f>
        <v>明月村</v>
      </c>
      <c r="T871" t="str">
        <f>IF(Jnl[[#This Row],[TrxDate]]&lt;=stmt_BS_date_end, "In", "Out")</f>
        <v>In</v>
      </c>
      <c r="U871" t="str">
        <f>IF(Jnl[[#This Row],[TrxDate]]&lt;debug_date_start, "prior", IF(Jnl[[#This Row],[TrxDate]]&gt;debug_date_end, "post", "curr"))</f>
        <v>curr</v>
      </c>
    </row>
    <row r="872" spans="1:21" hidden="1">
      <c r="A872" s="39" t="s">
        <v>1282</v>
      </c>
      <c r="B872" s="6">
        <f>_xlfn.XLOOKUP(Jnl[[#This Row],[TrxId]], Trx[Id], Trx[Date],,0)</f>
        <v>46053</v>
      </c>
      <c r="C872" s="6" t="str">
        <f>_xlfn.XLOOKUP(Jnl[[#This Row],[TrxId]], Trx[Id], Trx[Division],,0)</f>
        <v>MY</v>
      </c>
      <c r="D872" s="6" t="str">
        <f>_xlfn.XLOOKUP(Jnl[[#This Row],[TrxId]], Trx[Id], Trx[Action],,0)</f>
        <v>餐饮</v>
      </c>
      <c r="E872" s="27" t="s">
        <v>85</v>
      </c>
      <c r="F872" s="10" t="s">
        <v>1203</v>
      </c>
      <c r="G872" s="10" t="s">
        <v>926</v>
      </c>
      <c r="H872" s="101">
        <v>-5055</v>
      </c>
      <c r="I872" s="38" t="b">
        <f>AND(Jnl[[#This Row],[TrxId]]&lt;&gt;"",Jnl[[#This Row],[Acct]]&lt;&gt;"",Jnl[[#This Row],[Item]]&lt;&gt;"",ISNUMBER(Jnl[[#This Row],[Bal]]))</f>
        <v>1</v>
      </c>
      <c r="J872" s="9">
        <f>IF(Jnl[[#This Row],[BSLv0]]="A",1,-1)*Jnl[[#This Row],[Bal]]</f>
        <v>5055</v>
      </c>
      <c r="K872" t="str">
        <f>_xlfn.XLOOKUP(Jnl[[#This Row],[Acct]], config_BS[Acct], config_BS[Lv0],,0)</f>
        <v>LC</v>
      </c>
      <c r="L872" t="str">
        <f>_xlfn.XLOOKUP(Jnl[[#This Row],[Acct]], config_BS[Acct], config_BS[Lv1],,0)</f>
        <v>Liability</v>
      </c>
      <c r="M872" t="str">
        <f>_xlfn.XLOOKUP(Jnl[[#This Row],[Acct]], config_BS[Acct], config_BS[Lv2],,0)</f>
        <v>Cash alike</v>
      </c>
      <c r="N872" t="str">
        <f>_xlfn.XLOOKUP(Jnl[[#This Row],[TrxId]], Trx[Id], Trx[IncNode], ,0)</f>
        <v>Revenue</v>
      </c>
      <c r="O872" t="str">
        <f>_xlfn.XLOOKUP(Jnl[[#This Row],[IncNode]], config_IS[Node], config_IS[Type],,0)</f>
        <v>Op</v>
      </c>
      <c r="P872" t="str">
        <f>_xlfn.XLOOKUP(Jnl[[#This Row],[BSLv2]], dict[Key], dict[Name],,0)</f>
        <v>0.现金及类似</v>
      </c>
      <c r="Q872" t="str">
        <f>_xlfn.XLOOKUP(Jnl[[#This Row],[Acct]], dict[Key], dict[Name],,0)</f>
        <v>会员充值</v>
      </c>
      <c r="R872" t="str">
        <f>_xlfn.XLOOKUP(Jnl[[#This Row],[Vehicle]],config_vehicle[Id], config_vehicle[Name],,0)</f>
        <v>远家文化</v>
      </c>
      <c r="S872" t="str">
        <f>_xlfn.XLOOKUP(Jnl[[#This Row],[Division]],config_div[Id], config_div[Name],,0)</f>
        <v>明月村</v>
      </c>
      <c r="T872" t="str">
        <f>IF(Jnl[[#This Row],[TrxDate]]&lt;=stmt_BS_date_end, "In", "Out")</f>
        <v>In</v>
      </c>
      <c r="U872" t="str">
        <f>IF(Jnl[[#This Row],[TrxDate]]&lt;debug_date_start, "prior", IF(Jnl[[#This Row],[TrxDate]]&gt;debug_date_end, "post", "curr"))</f>
        <v>curr</v>
      </c>
    </row>
    <row r="873" spans="1:21" hidden="1">
      <c r="A873" s="39" t="s">
        <v>1283</v>
      </c>
      <c r="B873" s="6">
        <f>_xlfn.XLOOKUP(Jnl[[#This Row],[TrxId]], Trx[Id], Trx[Date],,0)</f>
        <v>46053</v>
      </c>
      <c r="C873" s="6" t="str">
        <f>_xlfn.XLOOKUP(Jnl[[#This Row],[TrxId]], Trx[Id], Trx[Division],,0)</f>
        <v>MY</v>
      </c>
      <c r="D873" s="6" t="str">
        <f>_xlfn.XLOOKUP(Jnl[[#This Row],[TrxId]], Trx[Id], Trx[Action],,0)</f>
        <v>杂货</v>
      </c>
      <c r="E873" s="27" t="s">
        <v>85</v>
      </c>
      <c r="F873" s="10" t="s">
        <v>599</v>
      </c>
      <c r="G873" s="10" t="s">
        <v>1140</v>
      </c>
      <c r="H873" s="101">
        <v>34014.42</v>
      </c>
      <c r="I873" s="38" t="b">
        <f>AND(Jnl[[#This Row],[TrxId]]&lt;&gt;"",Jnl[[#This Row],[Acct]]&lt;&gt;"",Jnl[[#This Row],[Item]]&lt;&gt;"",ISNUMBER(Jnl[[#This Row],[Bal]]))</f>
        <v>1</v>
      </c>
      <c r="J873" s="9">
        <f>IF(Jnl[[#This Row],[BSLv0]]="A",1,-1)*Jnl[[#This Row],[Bal]]</f>
        <v>34014.42</v>
      </c>
      <c r="K873" t="str">
        <f>_xlfn.XLOOKUP(Jnl[[#This Row],[Acct]], config_BS[Acct], config_BS[Lv0],,0)</f>
        <v>A</v>
      </c>
      <c r="L873" t="str">
        <f>_xlfn.XLOOKUP(Jnl[[#This Row],[Acct]], config_BS[Acct], config_BS[Lv1],,0)</f>
        <v>Assets</v>
      </c>
      <c r="M873" t="str">
        <f>_xlfn.XLOOKUP(Jnl[[#This Row],[Acct]], config_BS[Acct], config_BS[Lv2],,0)</f>
        <v>Rec-Pay</v>
      </c>
      <c r="N873" t="str">
        <f>_xlfn.XLOOKUP(Jnl[[#This Row],[TrxId]], Trx[Id], Trx[IncNode], ,0)</f>
        <v>Revenue</v>
      </c>
      <c r="O873" t="str">
        <f>_xlfn.XLOOKUP(Jnl[[#This Row],[IncNode]], config_IS[Node], config_IS[Type],,0)</f>
        <v>Op</v>
      </c>
      <c r="P873" t="str">
        <f>_xlfn.XLOOKUP(Jnl[[#This Row],[BSLv2]], dict[Key], dict[Name],,0)</f>
        <v>1.应收-应付</v>
      </c>
      <c r="Q873" t="str">
        <f>_xlfn.XLOOKUP(Jnl[[#This Row],[Acct]], dict[Key], dict[Name],,0)</f>
        <v>应收-一般</v>
      </c>
      <c r="R873" t="str">
        <f>_xlfn.XLOOKUP(Jnl[[#This Row],[Vehicle]],config_vehicle[Id], config_vehicle[Name],,0)</f>
        <v>远家文化</v>
      </c>
      <c r="S873" t="str">
        <f>_xlfn.XLOOKUP(Jnl[[#This Row],[Division]],config_div[Id], config_div[Name],,0)</f>
        <v>明月村</v>
      </c>
      <c r="T873" t="str">
        <f>IF(Jnl[[#This Row],[TrxDate]]&lt;=stmt_BS_date_end, "In", "Out")</f>
        <v>In</v>
      </c>
      <c r="U873" t="str">
        <f>IF(Jnl[[#This Row],[TrxDate]]&lt;debug_date_start, "prior", IF(Jnl[[#This Row],[TrxDate]]&gt;debug_date_end, "post", "curr"))</f>
        <v>curr</v>
      </c>
    </row>
    <row r="874" spans="1:21" hidden="1">
      <c r="A874" s="39" t="s">
        <v>1143</v>
      </c>
      <c r="B874" s="6">
        <f>_xlfn.XLOOKUP(Jnl[[#This Row],[TrxId]], Trx[Id], Trx[Date],,0)</f>
        <v>46053</v>
      </c>
      <c r="C874" s="6" t="str">
        <f>_xlfn.XLOOKUP(Jnl[[#This Row],[TrxId]], Trx[Id], Trx[Division],,0)</f>
        <v>Ctrl</v>
      </c>
      <c r="D874" s="6" t="str">
        <f>_xlfn.XLOOKUP(Jnl[[#This Row],[TrxId]], Trx[Id], Trx[Action],,0)</f>
        <v>调整</v>
      </c>
      <c r="E874" s="27" t="s">
        <v>85</v>
      </c>
      <c r="F874" s="10" t="s">
        <v>599</v>
      </c>
      <c r="G874" s="10" t="s">
        <v>1135</v>
      </c>
      <c r="H874" s="37">
        <v>-0.1</v>
      </c>
      <c r="I874" s="38" t="b">
        <f>AND(Jnl[[#This Row],[TrxId]]&lt;&gt;"",Jnl[[#This Row],[Acct]]&lt;&gt;"",Jnl[[#This Row],[Item]]&lt;&gt;"",ISNUMBER(Jnl[[#This Row],[Bal]]))</f>
        <v>1</v>
      </c>
      <c r="J874" s="9">
        <f>IF(Jnl[[#This Row],[BSLv0]]="A",1,-1)*Jnl[[#This Row],[Bal]]</f>
        <v>-0.1</v>
      </c>
      <c r="K874" t="str">
        <f>_xlfn.XLOOKUP(Jnl[[#This Row],[Acct]], config_BS[Acct], config_BS[Lv0],,0)</f>
        <v>A</v>
      </c>
      <c r="L874" t="str">
        <f>_xlfn.XLOOKUP(Jnl[[#This Row],[Acct]], config_BS[Acct], config_BS[Lv1],,0)</f>
        <v>Assets</v>
      </c>
      <c r="M874" t="str">
        <f>_xlfn.XLOOKUP(Jnl[[#This Row],[Acct]], config_BS[Acct], config_BS[Lv2],,0)</f>
        <v>Rec-Pay</v>
      </c>
      <c r="N874" t="str">
        <f>_xlfn.XLOOKUP(Jnl[[#This Row],[TrxId]], Trx[Id], Trx[IncNode], ,0)</f>
        <v>Other</v>
      </c>
      <c r="O874" t="str">
        <f>_xlfn.XLOOKUP(Jnl[[#This Row],[IncNode]], config_IS[Node], config_IS[Type],,0)</f>
        <v>Non-Op</v>
      </c>
      <c r="P874" t="str">
        <f>_xlfn.XLOOKUP(Jnl[[#This Row],[BSLv2]], dict[Key], dict[Name],,0)</f>
        <v>1.应收-应付</v>
      </c>
      <c r="Q874" t="str">
        <f>_xlfn.XLOOKUP(Jnl[[#This Row],[Acct]], dict[Key], dict[Name],,0)</f>
        <v>应收-一般</v>
      </c>
      <c r="R874" t="str">
        <f>_xlfn.XLOOKUP(Jnl[[#This Row],[Vehicle]],config_vehicle[Id], config_vehicle[Name],,0)</f>
        <v>远家文化</v>
      </c>
      <c r="S874" t="str">
        <f>_xlfn.XLOOKUP(Jnl[[#This Row],[Division]],config_div[Id], config_div[Name],,0)</f>
        <v>内控合规</v>
      </c>
      <c r="T874" t="str">
        <f>IF(Jnl[[#This Row],[TrxDate]]&lt;=stmt_BS_date_end, "In", "Out")</f>
        <v>In</v>
      </c>
      <c r="U874" t="str">
        <f>IF(Jnl[[#This Row],[TrxDate]]&lt;debug_date_start, "prior", IF(Jnl[[#This Row],[TrxDate]]&gt;debug_date_end, "post", "curr"))</f>
        <v>curr</v>
      </c>
    </row>
    <row r="875" spans="1:21" hidden="1">
      <c r="A875" s="39" t="s">
        <v>1284</v>
      </c>
      <c r="B875" s="6">
        <f>_xlfn.XLOOKUP(Jnl[[#This Row],[TrxId]], Trx[Id], Trx[Date],,0)</f>
        <v>46053</v>
      </c>
      <c r="C875" s="6" t="str">
        <f>_xlfn.XLOOKUP(Jnl[[#This Row],[TrxId]], Trx[Id], Trx[Division],,0)</f>
        <v>MY</v>
      </c>
      <c r="D875" s="6" t="str">
        <f>_xlfn.XLOOKUP(Jnl[[#This Row],[TrxId]], Trx[Id], Trx[Action],,0)</f>
        <v>杂货</v>
      </c>
      <c r="E875" s="27" t="s">
        <v>85</v>
      </c>
      <c r="F875" s="10" t="s">
        <v>599</v>
      </c>
      <c r="G875" s="10" t="s">
        <v>1135</v>
      </c>
      <c r="H875" s="101">
        <v>4014.4</v>
      </c>
      <c r="I875" s="38" t="b">
        <f>AND(Jnl[[#This Row],[TrxId]]&lt;&gt;"",Jnl[[#This Row],[Acct]]&lt;&gt;"",Jnl[[#This Row],[Item]]&lt;&gt;"",ISNUMBER(Jnl[[#This Row],[Bal]]))</f>
        <v>1</v>
      </c>
      <c r="J875" s="9">
        <f>IF(Jnl[[#This Row],[BSLv0]]="A",1,-1)*Jnl[[#This Row],[Bal]]</f>
        <v>4014.4</v>
      </c>
      <c r="K875" t="str">
        <f>_xlfn.XLOOKUP(Jnl[[#This Row],[Acct]], config_BS[Acct], config_BS[Lv0],,0)</f>
        <v>A</v>
      </c>
      <c r="L875" t="str">
        <f>_xlfn.XLOOKUP(Jnl[[#This Row],[Acct]], config_BS[Acct], config_BS[Lv1],,0)</f>
        <v>Assets</v>
      </c>
      <c r="M875" t="str">
        <f>_xlfn.XLOOKUP(Jnl[[#This Row],[Acct]], config_BS[Acct], config_BS[Lv2],,0)</f>
        <v>Rec-Pay</v>
      </c>
      <c r="N875" t="str">
        <f>_xlfn.XLOOKUP(Jnl[[#This Row],[TrxId]], Trx[Id], Trx[IncNode], ,0)</f>
        <v>Revenue</v>
      </c>
      <c r="O875" t="str">
        <f>_xlfn.XLOOKUP(Jnl[[#This Row],[IncNode]], config_IS[Node], config_IS[Type],,0)</f>
        <v>Op</v>
      </c>
      <c r="P875" t="str">
        <f>_xlfn.XLOOKUP(Jnl[[#This Row],[BSLv2]], dict[Key], dict[Name],,0)</f>
        <v>1.应收-应付</v>
      </c>
      <c r="Q875" t="str">
        <f>_xlfn.XLOOKUP(Jnl[[#This Row],[Acct]], dict[Key], dict[Name],,0)</f>
        <v>应收-一般</v>
      </c>
      <c r="R875" t="str">
        <f>_xlfn.XLOOKUP(Jnl[[#This Row],[Vehicle]],config_vehicle[Id], config_vehicle[Name],,0)</f>
        <v>远家文化</v>
      </c>
      <c r="S875" t="str">
        <f>_xlfn.XLOOKUP(Jnl[[#This Row],[Division]],config_div[Id], config_div[Name],,0)</f>
        <v>明月村</v>
      </c>
      <c r="T875" t="str">
        <f>IF(Jnl[[#This Row],[TrxDate]]&lt;=stmt_BS_date_end, "In", "Out")</f>
        <v>In</v>
      </c>
      <c r="U875" t="str">
        <f>IF(Jnl[[#This Row],[TrxDate]]&lt;debug_date_start, "prior", IF(Jnl[[#This Row],[TrxDate]]&gt;debug_date_end, "post", "curr"))</f>
        <v>curr</v>
      </c>
    </row>
    <row r="876" spans="1:21" hidden="1">
      <c r="A876" s="39" t="s">
        <v>1285</v>
      </c>
      <c r="B876" s="6">
        <f>_xlfn.XLOOKUP(Jnl[[#This Row],[TrxId]], Trx[Id], Trx[Date],,0)</f>
        <v>46053</v>
      </c>
      <c r="C876" s="6" t="str">
        <f>_xlfn.XLOOKUP(Jnl[[#This Row],[TrxId]], Trx[Id], Trx[Division],,0)</f>
        <v>MY</v>
      </c>
      <c r="D876" s="6" t="str">
        <f>_xlfn.XLOOKUP(Jnl[[#This Row],[TrxId]], Trx[Id], Trx[Action],,0)</f>
        <v>住宿</v>
      </c>
      <c r="E876" s="27" t="s">
        <v>85</v>
      </c>
      <c r="F876" s="10" t="s">
        <v>599</v>
      </c>
      <c r="G876" s="10" t="s">
        <v>984</v>
      </c>
      <c r="H876" s="101">
        <v>25984.6</v>
      </c>
      <c r="I876" s="38" t="b">
        <f>AND(Jnl[[#This Row],[TrxId]]&lt;&gt;"",Jnl[[#This Row],[Acct]]&lt;&gt;"",Jnl[[#This Row],[Item]]&lt;&gt;"",ISNUMBER(Jnl[[#This Row],[Bal]]))</f>
        <v>1</v>
      </c>
      <c r="J876" s="9">
        <f>IF(Jnl[[#This Row],[BSLv0]]="A",1,-1)*Jnl[[#This Row],[Bal]]</f>
        <v>25984.6</v>
      </c>
      <c r="K876" t="str">
        <f>_xlfn.XLOOKUP(Jnl[[#This Row],[Acct]], config_BS[Acct], config_BS[Lv0],,0)</f>
        <v>A</v>
      </c>
      <c r="L876" t="str">
        <f>_xlfn.XLOOKUP(Jnl[[#This Row],[Acct]], config_BS[Acct], config_BS[Lv1],,0)</f>
        <v>Assets</v>
      </c>
      <c r="M876" t="str">
        <f>_xlfn.XLOOKUP(Jnl[[#This Row],[Acct]], config_BS[Acct], config_BS[Lv2],,0)</f>
        <v>Rec-Pay</v>
      </c>
      <c r="N876" t="str">
        <f>_xlfn.XLOOKUP(Jnl[[#This Row],[TrxId]], Trx[Id], Trx[IncNode], ,0)</f>
        <v>Revenue</v>
      </c>
      <c r="O876" t="str">
        <f>_xlfn.XLOOKUP(Jnl[[#This Row],[IncNode]], config_IS[Node], config_IS[Type],,0)</f>
        <v>Op</v>
      </c>
      <c r="P876" t="str">
        <f>_xlfn.XLOOKUP(Jnl[[#This Row],[BSLv2]], dict[Key], dict[Name],,0)</f>
        <v>1.应收-应付</v>
      </c>
      <c r="Q876" t="str">
        <f>_xlfn.XLOOKUP(Jnl[[#This Row],[Acct]], dict[Key], dict[Name],,0)</f>
        <v>应收-一般</v>
      </c>
      <c r="R876" t="str">
        <f>_xlfn.XLOOKUP(Jnl[[#This Row],[Vehicle]],config_vehicle[Id], config_vehicle[Name],,0)</f>
        <v>远家文化</v>
      </c>
      <c r="S876" t="str">
        <f>_xlfn.XLOOKUP(Jnl[[#This Row],[Division]],config_div[Id], config_div[Name],,0)</f>
        <v>明月村</v>
      </c>
      <c r="T876" t="str">
        <f>IF(Jnl[[#This Row],[TrxDate]]&lt;=stmt_BS_date_end, "In", "Out")</f>
        <v>In</v>
      </c>
      <c r="U876" t="str">
        <f>IF(Jnl[[#This Row],[TrxDate]]&lt;debug_date_start, "prior", IF(Jnl[[#This Row],[TrxDate]]&gt;debug_date_end, "post", "curr"))</f>
        <v>curr</v>
      </c>
    </row>
    <row r="877" spans="1:21" hidden="1">
      <c r="A877" t="s">
        <v>1370</v>
      </c>
      <c r="B877" s="6">
        <f>_xlfn.XLOOKUP(Jnl[[#This Row],[TrxId]], Trx[Id], Trx[Date],,0)</f>
        <v>46053</v>
      </c>
      <c r="C877" s="6" t="str">
        <f>_xlfn.XLOOKUP(Jnl[[#This Row],[TrxId]], Trx[Id], Trx[Division],,0)</f>
        <v>MY</v>
      </c>
      <c r="D877" s="6" t="str">
        <f>_xlfn.XLOOKUP(Jnl[[#This Row],[TrxId]], Trx[Id], Trx[Action],,0)</f>
        <v>餐饮</v>
      </c>
      <c r="E877" s="27" t="s">
        <v>85</v>
      </c>
      <c r="F877" s="10" t="s">
        <v>599</v>
      </c>
      <c r="G877" s="10" t="s">
        <v>984</v>
      </c>
      <c r="H877" s="103">
        <v>31249</v>
      </c>
      <c r="I877" s="38" t="b">
        <f>AND(Jnl[[#This Row],[TrxId]]&lt;&gt;"",Jnl[[#This Row],[Acct]]&lt;&gt;"",Jnl[[#This Row],[Item]]&lt;&gt;"",ISNUMBER(Jnl[[#This Row],[Bal]]))</f>
        <v>1</v>
      </c>
      <c r="J877" s="94">
        <f>IF(Jnl[[#This Row],[BSLv0]]="A",1,-1)*Jnl[[#This Row],[Bal]]</f>
        <v>31249</v>
      </c>
      <c r="K877" t="str">
        <f>_xlfn.XLOOKUP(Jnl[[#This Row],[Acct]], config_BS[Acct], config_BS[Lv0],,0)</f>
        <v>A</v>
      </c>
      <c r="L877" t="str">
        <f>_xlfn.XLOOKUP(Jnl[[#This Row],[Acct]], config_BS[Acct], config_BS[Lv1],,0)</f>
        <v>Assets</v>
      </c>
      <c r="M877" t="str">
        <f>_xlfn.XLOOKUP(Jnl[[#This Row],[Acct]], config_BS[Acct], config_BS[Lv2],,0)</f>
        <v>Rec-Pay</v>
      </c>
      <c r="N877" t="str">
        <f>_xlfn.XLOOKUP(Jnl[[#This Row],[TrxId]], Trx[Id], Trx[IncNode], ,0)</f>
        <v>Revenue</v>
      </c>
      <c r="O877" t="str">
        <f>_xlfn.XLOOKUP(Jnl[[#This Row],[IncNode]], config_IS[Node], config_IS[Type],,0)</f>
        <v>Op</v>
      </c>
      <c r="P877" s="95" t="str">
        <f>_xlfn.XLOOKUP(Jnl[[#This Row],[BSLv2]], dict[Key], dict[Name],,0)</f>
        <v>1.应收-应付</v>
      </c>
      <c r="Q877" s="95" t="str">
        <f>_xlfn.XLOOKUP(Jnl[[#This Row],[Acct]], dict[Key], dict[Name],,0)</f>
        <v>应收-一般</v>
      </c>
      <c r="R877" s="95" t="str">
        <f>_xlfn.XLOOKUP(Jnl[[#This Row],[Vehicle]],config_vehicle[Id], config_vehicle[Name],,0)</f>
        <v>远家文化</v>
      </c>
      <c r="S877" s="95" t="str">
        <f>_xlfn.XLOOKUP(Jnl[[#This Row],[Division]],config_div[Id], config_div[Name],,0)</f>
        <v>明月村</v>
      </c>
      <c r="T877" s="95" t="str">
        <f>IF(Jnl[[#This Row],[TrxDate]]&lt;=stmt_BS_date_end, "In", "Out")</f>
        <v>In</v>
      </c>
      <c r="U877" s="95" t="str">
        <f>IF(Jnl[[#This Row],[TrxDate]]&lt;debug_date_start, "prior", IF(Jnl[[#This Row],[TrxDate]]&gt;debug_date_end, "post", "curr"))</f>
        <v>curr</v>
      </c>
    </row>
    <row r="878" spans="1:21" hidden="1">
      <c r="A878" t="s">
        <v>1371</v>
      </c>
      <c r="B878" s="6">
        <f>_xlfn.XLOOKUP(Jnl[[#This Row],[TrxId]], Trx[Id], Trx[Date],,0)</f>
        <v>46053</v>
      </c>
      <c r="C878" s="6" t="str">
        <f>_xlfn.XLOOKUP(Jnl[[#This Row],[TrxId]], Trx[Id], Trx[Division],,0)</f>
        <v>MY</v>
      </c>
      <c r="D878" s="6" t="str">
        <f>_xlfn.XLOOKUP(Jnl[[#This Row],[TrxId]], Trx[Id], Trx[Action],,0)</f>
        <v>杂货</v>
      </c>
      <c r="E878" s="27" t="s">
        <v>85</v>
      </c>
      <c r="F878" s="10" t="s">
        <v>599</v>
      </c>
      <c r="G878" s="10" t="s">
        <v>984</v>
      </c>
      <c r="H878" s="103">
        <v>5533.4</v>
      </c>
      <c r="I878" s="38" t="b">
        <f>AND(Jnl[[#This Row],[TrxId]]&lt;&gt;"",Jnl[[#This Row],[Acct]]&lt;&gt;"",Jnl[[#This Row],[Item]]&lt;&gt;"",ISNUMBER(Jnl[[#This Row],[Bal]]))</f>
        <v>1</v>
      </c>
      <c r="J878" s="94">
        <f>IF(Jnl[[#This Row],[BSLv0]]="A",1,-1)*Jnl[[#This Row],[Bal]]</f>
        <v>5533.4</v>
      </c>
      <c r="K878" t="str">
        <f>_xlfn.XLOOKUP(Jnl[[#This Row],[Acct]], config_BS[Acct], config_BS[Lv0],,0)</f>
        <v>A</v>
      </c>
      <c r="L878" t="str">
        <f>_xlfn.XLOOKUP(Jnl[[#This Row],[Acct]], config_BS[Acct], config_BS[Lv1],,0)</f>
        <v>Assets</v>
      </c>
      <c r="M878" t="str">
        <f>_xlfn.XLOOKUP(Jnl[[#This Row],[Acct]], config_BS[Acct], config_BS[Lv2],,0)</f>
        <v>Rec-Pay</v>
      </c>
      <c r="N878" t="str">
        <f>_xlfn.XLOOKUP(Jnl[[#This Row],[TrxId]], Trx[Id], Trx[IncNode], ,0)</f>
        <v>Revenue</v>
      </c>
      <c r="O878" t="str">
        <f>_xlfn.XLOOKUP(Jnl[[#This Row],[IncNode]], config_IS[Node], config_IS[Type],,0)</f>
        <v>Op</v>
      </c>
      <c r="P878" s="95" t="str">
        <f>_xlfn.XLOOKUP(Jnl[[#This Row],[BSLv2]], dict[Key], dict[Name],,0)</f>
        <v>1.应收-应付</v>
      </c>
      <c r="Q878" s="95" t="str">
        <f>_xlfn.XLOOKUP(Jnl[[#This Row],[Acct]], dict[Key], dict[Name],,0)</f>
        <v>应收-一般</v>
      </c>
      <c r="R878" s="95" t="str">
        <f>_xlfn.XLOOKUP(Jnl[[#This Row],[Vehicle]],config_vehicle[Id], config_vehicle[Name],,0)</f>
        <v>远家文化</v>
      </c>
      <c r="S878" s="95" t="str">
        <f>_xlfn.XLOOKUP(Jnl[[#This Row],[Division]],config_div[Id], config_div[Name],,0)</f>
        <v>明月村</v>
      </c>
      <c r="T878" s="95" t="str">
        <f>IF(Jnl[[#This Row],[TrxDate]]&lt;=stmt_BS_date_end, "In", "Out")</f>
        <v>In</v>
      </c>
      <c r="U878" s="95" t="str">
        <f>IF(Jnl[[#This Row],[TrxDate]]&lt;debug_date_start, "prior", IF(Jnl[[#This Row],[TrxDate]]&gt;debug_date_end, "post", "curr"))</f>
        <v>curr</v>
      </c>
    </row>
    <row r="879" spans="1:21" hidden="1">
      <c r="A879" s="39" t="s">
        <v>1286</v>
      </c>
      <c r="B879" s="6">
        <f>_xlfn.XLOOKUP(Jnl[[#This Row],[TrxId]], Trx[Id], Trx[Date],,0)</f>
        <v>46053</v>
      </c>
      <c r="C879" s="6" t="str">
        <f>_xlfn.XLOOKUP(Jnl[[#This Row],[TrxId]], Trx[Id], Trx[Division],,0)</f>
        <v>MY</v>
      </c>
      <c r="D879" s="6" t="str">
        <f>_xlfn.XLOOKUP(Jnl[[#This Row],[TrxId]], Trx[Id], Trx[Action],,0)</f>
        <v>杂货</v>
      </c>
      <c r="E879" s="27" t="s">
        <v>85</v>
      </c>
      <c r="F879" s="10" t="s">
        <v>599</v>
      </c>
      <c r="G879" s="10" t="s">
        <v>1009</v>
      </c>
      <c r="H879" s="101">
        <v>14532.1</v>
      </c>
      <c r="I879" s="38" t="b">
        <f>AND(Jnl[[#This Row],[TrxId]]&lt;&gt;"",Jnl[[#This Row],[Acct]]&lt;&gt;"",Jnl[[#This Row],[Item]]&lt;&gt;"",ISNUMBER(Jnl[[#This Row],[Bal]]))</f>
        <v>1</v>
      </c>
      <c r="J879" s="9">
        <f>IF(Jnl[[#This Row],[BSLv0]]="A",1,-1)*Jnl[[#This Row],[Bal]]</f>
        <v>14532.1</v>
      </c>
      <c r="K879" t="str">
        <f>_xlfn.XLOOKUP(Jnl[[#This Row],[Acct]], config_BS[Acct], config_BS[Lv0],,0)</f>
        <v>A</v>
      </c>
      <c r="L879" t="str">
        <f>_xlfn.XLOOKUP(Jnl[[#This Row],[Acct]], config_BS[Acct], config_BS[Lv1],,0)</f>
        <v>Assets</v>
      </c>
      <c r="M879" t="str">
        <f>_xlfn.XLOOKUP(Jnl[[#This Row],[Acct]], config_BS[Acct], config_BS[Lv2],,0)</f>
        <v>Rec-Pay</v>
      </c>
      <c r="N879" t="str">
        <f>_xlfn.XLOOKUP(Jnl[[#This Row],[TrxId]], Trx[Id], Trx[IncNode], ,0)</f>
        <v>Revenue</v>
      </c>
      <c r="O879" t="str">
        <f>_xlfn.XLOOKUP(Jnl[[#This Row],[IncNode]], config_IS[Node], config_IS[Type],,0)</f>
        <v>Op</v>
      </c>
      <c r="P879" t="str">
        <f>_xlfn.XLOOKUP(Jnl[[#This Row],[BSLv2]], dict[Key], dict[Name],,0)</f>
        <v>1.应收-应付</v>
      </c>
      <c r="Q879" t="str">
        <f>_xlfn.XLOOKUP(Jnl[[#This Row],[Acct]], dict[Key], dict[Name],,0)</f>
        <v>应收-一般</v>
      </c>
      <c r="R879" t="str">
        <f>_xlfn.XLOOKUP(Jnl[[#This Row],[Vehicle]],config_vehicle[Id], config_vehicle[Name],,0)</f>
        <v>远家文化</v>
      </c>
      <c r="S879" t="str">
        <f>_xlfn.XLOOKUP(Jnl[[#This Row],[Division]],config_div[Id], config_div[Name],,0)</f>
        <v>明月村</v>
      </c>
      <c r="T879" t="str">
        <f>IF(Jnl[[#This Row],[TrxDate]]&lt;=stmt_BS_date_end, "In", "Out")</f>
        <v>In</v>
      </c>
      <c r="U879" t="str">
        <f>IF(Jnl[[#This Row],[TrxDate]]&lt;debug_date_start, "prior", IF(Jnl[[#This Row],[TrxDate]]&gt;debug_date_end, "post", "curr"))</f>
        <v>curr</v>
      </c>
    </row>
    <row r="880" spans="1:21" hidden="1">
      <c r="A880" s="39" t="s">
        <v>1287</v>
      </c>
      <c r="B880" s="6">
        <f>_xlfn.XLOOKUP(Jnl[[#This Row],[TrxId]], Trx[Id], Trx[Date],,0)</f>
        <v>46053</v>
      </c>
      <c r="C880" s="6" t="str">
        <f>_xlfn.XLOOKUP(Jnl[[#This Row],[TrxId]], Trx[Id], Trx[Division],,0)</f>
        <v>GM</v>
      </c>
      <c r="D880" s="6" t="str">
        <f>_xlfn.XLOOKUP(Jnl[[#This Row],[TrxId]], Trx[Id], Trx[Action],,0)</f>
        <v>薪酬-工资</v>
      </c>
      <c r="E880" s="27" t="s">
        <v>85</v>
      </c>
      <c r="F880" s="10" t="s">
        <v>602</v>
      </c>
      <c r="G880" s="10" t="s">
        <v>152</v>
      </c>
      <c r="H880" s="37">
        <v>26142</v>
      </c>
      <c r="I880" s="38" t="b">
        <f>AND(Jnl[[#This Row],[TrxId]]&lt;&gt;"",Jnl[[#This Row],[Acct]]&lt;&gt;"",Jnl[[#This Row],[Item]]&lt;&gt;"",ISNUMBER(Jnl[[#This Row],[Bal]]))</f>
        <v>1</v>
      </c>
      <c r="J880" s="9">
        <f>IF(Jnl[[#This Row],[BSLv0]]="A",1,-1)*Jnl[[#This Row],[Bal]]</f>
        <v>-26142</v>
      </c>
      <c r="K880" t="str">
        <f>_xlfn.XLOOKUP(Jnl[[#This Row],[Acct]], config_BS[Acct], config_BS[Lv0],,0)</f>
        <v>LC</v>
      </c>
      <c r="L880" t="str">
        <f>_xlfn.XLOOKUP(Jnl[[#This Row],[Acct]], config_BS[Acct], config_BS[Lv1],,0)</f>
        <v>Liability</v>
      </c>
      <c r="M880" t="str">
        <f>_xlfn.XLOOKUP(Jnl[[#This Row],[Acct]], config_BS[Acct], config_BS[Lv2],,0)</f>
        <v>Rec-Pay</v>
      </c>
      <c r="N880" t="str">
        <f>_xlfn.XLOOKUP(Jnl[[#This Row],[TrxId]], Trx[Id], Trx[IncNode], ,0)</f>
        <v>Expense</v>
      </c>
      <c r="O880" t="str">
        <f>_xlfn.XLOOKUP(Jnl[[#This Row],[IncNode]], config_IS[Node], config_IS[Type],,0)</f>
        <v>Op</v>
      </c>
      <c r="P880" t="str">
        <f>_xlfn.XLOOKUP(Jnl[[#This Row],[BSLv2]], dict[Key], dict[Name],,0)</f>
        <v>1.应收-应付</v>
      </c>
      <c r="Q880" t="str">
        <f>_xlfn.XLOOKUP(Jnl[[#This Row],[Acct]], dict[Key], dict[Name],,0)</f>
        <v>应付-薪资</v>
      </c>
      <c r="R880" t="str">
        <f>_xlfn.XLOOKUP(Jnl[[#This Row],[Vehicle]],config_vehicle[Id], config_vehicle[Name],,0)</f>
        <v>远家文化</v>
      </c>
      <c r="S880" t="str">
        <f>_xlfn.XLOOKUP(Jnl[[#This Row],[Division]],config_div[Id], config_div[Name],,0)</f>
        <v>综合管理</v>
      </c>
      <c r="T880" t="str">
        <f>IF(Jnl[[#This Row],[TrxDate]]&lt;=stmt_BS_date_end, "In", "Out")</f>
        <v>In</v>
      </c>
      <c r="U880" t="str">
        <f>IF(Jnl[[#This Row],[TrxDate]]&lt;debug_date_start, "prior", IF(Jnl[[#This Row],[TrxDate]]&gt;debug_date_end, "post", "curr"))</f>
        <v>curr</v>
      </c>
    </row>
    <row r="881" spans="1:21" hidden="1">
      <c r="A881" t="s">
        <v>1359</v>
      </c>
      <c r="B881" s="6">
        <f>_xlfn.XLOOKUP(Jnl[[#This Row],[TrxId]], Trx[Id], Trx[Date],,0)</f>
        <v>46053</v>
      </c>
      <c r="C881" s="6" t="str">
        <f>_xlfn.XLOOKUP(Jnl[[#This Row],[TrxId]], Trx[Id], Trx[Division],,0)</f>
        <v>MY</v>
      </c>
      <c r="D881" s="6" t="str">
        <f>_xlfn.XLOOKUP(Jnl[[#This Row],[TrxId]], Trx[Id], Trx[Action],,0)</f>
        <v>薪酬-工资</v>
      </c>
      <c r="E881" s="27" t="s">
        <v>85</v>
      </c>
      <c r="F881" s="10" t="s">
        <v>602</v>
      </c>
      <c r="G881" s="10" t="s">
        <v>152</v>
      </c>
      <c r="H881" s="37">
        <v>92274.28</v>
      </c>
      <c r="I881" s="38" t="b">
        <f>AND(Jnl[[#This Row],[TrxId]]&lt;&gt;"",Jnl[[#This Row],[Acct]]&lt;&gt;"",Jnl[[#This Row],[Item]]&lt;&gt;"",ISNUMBER(Jnl[[#This Row],[Bal]]))</f>
        <v>1</v>
      </c>
      <c r="J881" s="9">
        <f>IF(Jnl[[#This Row],[BSLv0]]="A",1,-1)*Jnl[[#This Row],[Bal]]</f>
        <v>-92274.28</v>
      </c>
      <c r="K881" t="str">
        <f>_xlfn.XLOOKUP(Jnl[[#This Row],[Acct]], config_BS[Acct], config_BS[Lv0],,0)</f>
        <v>LC</v>
      </c>
      <c r="L881" t="str">
        <f>_xlfn.XLOOKUP(Jnl[[#This Row],[Acct]], config_BS[Acct], config_BS[Lv1],,0)</f>
        <v>Liability</v>
      </c>
      <c r="M881" t="str">
        <f>_xlfn.XLOOKUP(Jnl[[#This Row],[Acct]], config_BS[Acct], config_BS[Lv2],,0)</f>
        <v>Rec-Pay</v>
      </c>
      <c r="N881" t="str">
        <f>_xlfn.XLOOKUP(Jnl[[#This Row],[TrxId]], Trx[Id], Trx[IncNode], ,0)</f>
        <v>Expense</v>
      </c>
      <c r="O881" t="str">
        <f>_xlfn.XLOOKUP(Jnl[[#This Row],[IncNode]], config_IS[Node], config_IS[Type],,0)</f>
        <v>Op</v>
      </c>
      <c r="P881" t="str">
        <f>_xlfn.XLOOKUP(Jnl[[#This Row],[BSLv2]], dict[Key], dict[Name],,0)</f>
        <v>1.应收-应付</v>
      </c>
      <c r="Q881" t="str">
        <f>_xlfn.XLOOKUP(Jnl[[#This Row],[Acct]], dict[Key], dict[Name],,0)</f>
        <v>应付-薪资</v>
      </c>
      <c r="R881" t="str">
        <f>_xlfn.XLOOKUP(Jnl[[#This Row],[Vehicle]],config_vehicle[Id], config_vehicle[Name],,0)</f>
        <v>远家文化</v>
      </c>
      <c r="S881" t="str">
        <f>_xlfn.XLOOKUP(Jnl[[#This Row],[Division]],config_div[Id], config_div[Name],,0)</f>
        <v>明月村</v>
      </c>
      <c r="T881" t="str">
        <f>IF(Jnl[[#This Row],[TrxDate]]&lt;=stmt_BS_date_end, "In", "Out")</f>
        <v>In</v>
      </c>
      <c r="U881" t="str">
        <f>IF(Jnl[[#This Row],[TrxDate]]&lt;debug_date_start, "prior", IF(Jnl[[#This Row],[TrxDate]]&gt;debug_date_end, "post", "curr"))</f>
        <v>curr</v>
      </c>
    </row>
    <row r="882" spans="1:21" hidden="1">
      <c r="A882" s="39" t="s">
        <v>1288</v>
      </c>
      <c r="B882" s="6">
        <f>_xlfn.XLOOKUP(Jnl[[#This Row],[TrxId]], Trx[Id], Trx[Date],,0)</f>
        <v>46053</v>
      </c>
      <c r="C882" s="6" t="str">
        <f>_xlfn.XLOOKUP(Jnl[[#This Row],[TrxId]], Trx[Id], Trx[Division],,0)</f>
        <v>GM</v>
      </c>
      <c r="D882" s="6" t="str">
        <f>_xlfn.XLOOKUP(Jnl[[#This Row],[TrxId]], Trx[Id], Trx[Action],,0)</f>
        <v>年终奖</v>
      </c>
      <c r="E882" s="27" t="s">
        <v>85</v>
      </c>
      <c r="F882" s="10" t="s">
        <v>602</v>
      </c>
      <c r="G882" s="10" t="s">
        <v>323</v>
      </c>
      <c r="H882" s="37">
        <v>99375</v>
      </c>
      <c r="I882" s="38" t="b">
        <f>AND(Jnl[[#This Row],[TrxId]]&lt;&gt;"",Jnl[[#This Row],[Acct]]&lt;&gt;"",Jnl[[#This Row],[Item]]&lt;&gt;"",ISNUMBER(Jnl[[#This Row],[Bal]]))</f>
        <v>1</v>
      </c>
      <c r="J882" s="9">
        <f>IF(Jnl[[#This Row],[BSLv0]]="A",1,-1)*Jnl[[#This Row],[Bal]]</f>
        <v>-99375</v>
      </c>
      <c r="K882" t="str">
        <f>_xlfn.XLOOKUP(Jnl[[#This Row],[Acct]], config_BS[Acct], config_BS[Lv0],,0)</f>
        <v>LC</v>
      </c>
      <c r="L882" t="str">
        <f>_xlfn.XLOOKUP(Jnl[[#This Row],[Acct]], config_BS[Acct], config_BS[Lv1],,0)</f>
        <v>Liability</v>
      </c>
      <c r="M882" t="str">
        <f>_xlfn.XLOOKUP(Jnl[[#This Row],[Acct]], config_BS[Acct], config_BS[Lv2],,0)</f>
        <v>Rec-Pay</v>
      </c>
      <c r="N882" t="str">
        <f>_xlfn.XLOOKUP(Jnl[[#This Row],[TrxId]], Trx[Id], Trx[IncNode], ,0)</f>
        <v>Discretion</v>
      </c>
      <c r="O882" t="str">
        <f>_xlfn.XLOOKUP(Jnl[[#This Row],[IncNode]], config_IS[Node], config_IS[Type],,0)</f>
        <v>Non-Op</v>
      </c>
      <c r="P882" t="str">
        <f>_xlfn.XLOOKUP(Jnl[[#This Row],[BSLv2]], dict[Key], dict[Name],,0)</f>
        <v>1.应收-应付</v>
      </c>
      <c r="Q882" t="str">
        <f>_xlfn.XLOOKUP(Jnl[[#This Row],[Acct]], dict[Key], dict[Name],,0)</f>
        <v>应付-薪资</v>
      </c>
      <c r="R882" t="str">
        <f>_xlfn.XLOOKUP(Jnl[[#This Row],[Vehicle]],config_vehicle[Id], config_vehicle[Name],,0)</f>
        <v>远家文化</v>
      </c>
      <c r="S882" t="str">
        <f>_xlfn.XLOOKUP(Jnl[[#This Row],[Division]],config_div[Id], config_div[Name],,0)</f>
        <v>综合管理</v>
      </c>
      <c r="T882" t="str">
        <f>IF(Jnl[[#This Row],[TrxDate]]&lt;=stmt_BS_date_end, "In", "Out")</f>
        <v>In</v>
      </c>
      <c r="U882" t="str">
        <f>IF(Jnl[[#This Row],[TrxDate]]&lt;debug_date_start, "prior", IF(Jnl[[#This Row],[TrxDate]]&gt;debug_date_end, "post", "curr"))</f>
        <v>curr</v>
      </c>
    </row>
    <row r="883" spans="1:21" hidden="1">
      <c r="A883" s="39" t="s">
        <v>1289</v>
      </c>
      <c r="B883" s="6">
        <f>_xlfn.XLOOKUP(Jnl[[#This Row],[TrxId]], Trx[Id], Trx[Date],,0)</f>
        <v>46053</v>
      </c>
      <c r="C883" s="6" t="str">
        <f>_xlfn.XLOOKUP(Jnl[[#This Row],[TrxId]], Trx[Id], Trx[Division],,0)</f>
        <v>MY</v>
      </c>
      <c r="D883" s="6" t="str">
        <f>_xlfn.XLOOKUP(Jnl[[#This Row],[TrxId]], Trx[Id], Trx[Action],,0)</f>
        <v>退款-客人</v>
      </c>
      <c r="E883" s="27" t="s">
        <v>89</v>
      </c>
      <c r="F883" s="10" t="s">
        <v>596</v>
      </c>
      <c r="G883" s="10" t="s">
        <v>910</v>
      </c>
      <c r="H883" s="37">
        <v>-20</v>
      </c>
      <c r="I883" s="38" t="b">
        <f>AND(Jnl[[#This Row],[TrxId]]&lt;&gt;"",Jnl[[#This Row],[Acct]]&lt;&gt;"",Jnl[[#This Row],[Item]]&lt;&gt;"",ISNUMBER(Jnl[[#This Row],[Bal]]))</f>
        <v>1</v>
      </c>
      <c r="J883" s="9">
        <f>IF(Jnl[[#This Row],[BSLv0]]="A",1,-1)*Jnl[[#This Row],[Bal]]</f>
        <v>-20</v>
      </c>
      <c r="K883" t="str">
        <f>_xlfn.XLOOKUP(Jnl[[#This Row],[Acct]], config_BS[Acct], config_BS[Lv0],,0)</f>
        <v>A</v>
      </c>
      <c r="L883" t="str">
        <f>_xlfn.XLOOKUP(Jnl[[#This Row],[Acct]], config_BS[Acct], config_BS[Lv1],,0)</f>
        <v>Assets</v>
      </c>
      <c r="M883" t="str">
        <f>_xlfn.XLOOKUP(Jnl[[#This Row],[Acct]], config_BS[Acct], config_BS[Lv2],,0)</f>
        <v>Cash alike</v>
      </c>
      <c r="N883" t="str">
        <f>_xlfn.XLOOKUP(Jnl[[#This Row],[TrxId]], Trx[Id], Trx[IncNode], ,0)</f>
        <v>Revenue</v>
      </c>
      <c r="O883" t="str">
        <f>_xlfn.XLOOKUP(Jnl[[#This Row],[IncNode]], config_IS[Node], config_IS[Type],,0)</f>
        <v>Op</v>
      </c>
      <c r="P883" t="str">
        <f>_xlfn.XLOOKUP(Jnl[[#This Row],[BSLv2]], dict[Key], dict[Name],,0)</f>
        <v>0.现金及类似</v>
      </c>
      <c r="Q883" t="str">
        <f>_xlfn.XLOOKUP(Jnl[[#This Row],[Acct]], dict[Key], dict[Name],,0)</f>
        <v>银行</v>
      </c>
      <c r="R883" t="str">
        <f>_xlfn.XLOOKUP(Jnl[[#This Row],[Vehicle]],config_vehicle[Id], config_vehicle[Name],,0)</f>
        <v>小月号</v>
      </c>
      <c r="S883" t="str">
        <f>_xlfn.XLOOKUP(Jnl[[#This Row],[Division]],config_div[Id], config_div[Name],,0)</f>
        <v>明月村</v>
      </c>
      <c r="T883" t="str">
        <f>IF(Jnl[[#This Row],[TrxDate]]&lt;=stmt_BS_date_end, "In", "Out")</f>
        <v>In</v>
      </c>
      <c r="U883" t="str">
        <f>IF(Jnl[[#This Row],[TrxDate]]&lt;debug_date_start, "prior", IF(Jnl[[#This Row],[TrxDate]]&gt;debug_date_end, "post", "curr"))</f>
        <v>curr</v>
      </c>
    </row>
    <row r="884" spans="1:21" hidden="1">
      <c r="A884" s="39" t="s">
        <v>1289</v>
      </c>
      <c r="B884" s="6">
        <f>_xlfn.XLOOKUP(Jnl[[#This Row],[TrxId]], Trx[Id], Trx[Date],,0)</f>
        <v>46053</v>
      </c>
      <c r="C884" s="6" t="str">
        <f>_xlfn.XLOOKUP(Jnl[[#This Row],[TrxId]], Trx[Id], Trx[Division],,0)</f>
        <v>MY</v>
      </c>
      <c r="D884" s="6" t="str">
        <f>_xlfn.XLOOKUP(Jnl[[#This Row],[TrxId]], Trx[Id], Trx[Action],,0)</f>
        <v>退款-客人</v>
      </c>
      <c r="E884" s="27" t="s">
        <v>85</v>
      </c>
      <c r="F884" s="10" t="s">
        <v>599</v>
      </c>
      <c r="G884" s="10" t="s">
        <v>1068</v>
      </c>
      <c r="H884" s="37">
        <v>20</v>
      </c>
      <c r="I884" s="38" t="b">
        <f>AND(Jnl[[#This Row],[TrxId]]&lt;&gt;"",Jnl[[#This Row],[Acct]]&lt;&gt;"",Jnl[[#This Row],[Item]]&lt;&gt;"",ISNUMBER(Jnl[[#This Row],[Bal]]))</f>
        <v>1</v>
      </c>
      <c r="J884" s="9">
        <f>IF(Jnl[[#This Row],[BSLv0]]="A",1,-1)*Jnl[[#This Row],[Bal]]</f>
        <v>20</v>
      </c>
      <c r="K884" t="str">
        <f>_xlfn.XLOOKUP(Jnl[[#This Row],[Acct]], config_BS[Acct], config_BS[Lv0],,0)</f>
        <v>A</v>
      </c>
      <c r="L884" t="str">
        <f>_xlfn.XLOOKUP(Jnl[[#This Row],[Acct]], config_BS[Acct], config_BS[Lv1],,0)</f>
        <v>Assets</v>
      </c>
      <c r="M884" t="str">
        <f>_xlfn.XLOOKUP(Jnl[[#This Row],[Acct]], config_BS[Acct], config_BS[Lv2],,0)</f>
        <v>Rec-Pay</v>
      </c>
      <c r="N884" t="str">
        <f>_xlfn.XLOOKUP(Jnl[[#This Row],[TrxId]], Trx[Id], Trx[IncNode], ,0)</f>
        <v>Revenue</v>
      </c>
      <c r="O884" t="str">
        <f>_xlfn.XLOOKUP(Jnl[[#This Row],[IncNode]], config_IS[Node], config_IS[Type],,0)</f>
        <v>Op</v>
      </c>
      <c r="P884" t="str">
        <f>_xlfn.XLOOKUP(Jnl[[#This Row],[BSLv2]], dict[Key], dict[Name],,0)</f>
        <v>1.应收-应付</v>
      </c>
      <c r="Q884" t="str">
        <f>_xlfn.XLOOKUP(Jnl[[#This Row],[Acct]], dict[Key], dict[Name],,0)</f>
        <v>应收-一般</v>
      </c>
      <c r="R884" t="str">
        <f>_xlfn.XLOOKUP(Jnl[[#This Row],[Vehicle]],config_vehicle[Id], config_vehicle[Name],,0)</f>
        <v>远家文化</v>
      </c>
      <c r="S884" t="str">
        <f>_xlfn.XLOOKUP(Jnl[[#This Row],[Division]],config_div[Id], config_div[Name],,0)</f>
        <v>明月村</v>
      </c>
      <c r="T884" t="str">
        <f>IF(Jnl[[#This Row],[TrxDate]]&lt;=stmt_BS_date_end, "In", "Out")</f>
        <v>In</v>
      </c>
      <c r="U884" t="str">
        <f>IF(Jnl[[#This Row],[TrxDate]]&lt;debug_date_start, "prior", IF(Jnl[[#This Row],[TrxDate]]&gt;debug_date_end, "post", "curr"))</f>
        <v>curr</v>
      </c>
    </row>
    <row r="885" spans="1:21" hidden="1">
      <c r="A885" s="39" t="s">
        <v>1290</v>
      </c>
      <c r="B885" s="6">
        <f>_xlfn.XLOOKUP(Jnl[[#This Row],[TrxId]], Trx[Id], Trx[Date],,0)</f>
        <v>46053</v>
      </c>
      <c r="C885" s="6" t="str">
        <f>_xlfn.XLOOKUP(Jnl[[#This Row],[TrxId]], Trx[Id], Trx[Division],,0)</f>
        <v>MY</v>
      </c>
      <c r="D885" s="6" t="str">
        <f>_xlfn.XLOOKUP(Jnl[[#This Row],[TrxId]], Trx[Id], Trx[Action],,0)</f>
        <v>内部结算</v>
      </c>
      <c r="E885" s="27" t="s">
        <v>85</v>
      </c>
      <c r="F885" s="10" t="s">
        <v>658</v>
      </c>
      <c r="G885" s="10" t="s">
        <v>1133</v>
      </c>
      <c r="H885" s="37">
        <v>-2975</v>
      </c>
      <c r="I885" s="38" t="b">
        <f>AND(Jnl[[#This Row],[TrxId]]&lt;&gt;"",Jnl[[#This Row],[Acct]]&lt;&gt;"",Jnl[[#This Row],[Item]]&lt;&gt;"",ISNUMBER(Jnl[[#This Row],[Bal]]))</f>
        <v>1</v>
      </c>
      <c r="J885" s="9">
        <f>IF(Jnl[[#This Row],[BSLv0]]="A",1,-1)*Jnl[[#This Row],[Bal]]</f>
        <v>2975</v>
      </c>
      <c r="K885" t="str">
        <f>_xlfn.XLOOKUP(Jnl[[#This Row],[Acct]], config_BS[Acct], config_BS[Lv0],,0)</f>
        <v>LC</v>
      </c>
      <c r="L885" t="str">
        <f>_xlfn.XLOOKUP(Jnl[[#This Row],[Acct]], config_BS[Acct], config_BS[Lv1],,0)</f>
        <v>Liability</v>
      </c>
      <c r="M885" t="str">
        <f>_xlfn.XLOOKUP(Jnl[[#This Row],[Acct]], config_BS[Acct], config_BS[Lv2],,0)</f>
        <v>Rec-Pay</v>
      </c>
      <c r="N885" t="str">
        <f>_xlfn.XLOOKUP(Jnl[[#This Row],[TrxId]], Trx[Id], Trx[IncNode], ,0)</f>
        <v>Other</v>
      </c>
      <c r="O885" t="str">
        <f>_xlfn.XLOOKUP(Jnl[[#This Row],[IncNode]], config_IS[Node], config_IS[Type],,0)</f>
        <v>Non-Op</v>
      </c>
      <c r="P885" t="str">
        <f>_xlfn.XLOOKUP(Jnl[[#This Row],[BSLv2]], dict[Key], dict[Name],,0)</f>
        <v>1.应收-应付</v>
      </c>
      <c r="Q885" t="str">
        <f>_xlfn.XLOOKUP(Jnl[[#This Row],[Acct]], dict[Key], dict[Name],,0)</f>
        <v>应付-一般</v>
      </c>
      <c r="R885" t="str">
        <f>_xlfn.XLOOKUP(Jnl[[#This Row],[Vehicle]],config_vehicle[Id], config_vehicle[Name],,0)</f>
        <v>远家文化</v>
      </c>
      <c r="S885" t="str">
        <f>_xlfn.XLOOKUP(Jnl[[#This Row],[Division]],config_div[Id], config_div[Name],,0)</f>
        <v>明月村</v>
      </c>
      <c r="T885" t="str">
        <f>IF(Jnl[[#This Row],[TrxDate]]&lt;=stmt_BS_date_end, "In", "Out")</f>
        <v>In</v>
      </c>
      <c r="U885" t="str">
        <f>IF(Jnl[[#This Row],[TrxDate]]&lt;debug_date_start, "prior", IF(Jnl[[#This Row],[TrxDate]]&gt;debug_date_end, "post", "curr"))</f>
        <v>curr</v>
      </c>
    </row>
    <row r="886" spans="1:21" hidden="1">
      <c r="A886" s="39" t="s">
        <v>1290</v>
      </c>
      <c r="B886" s="6">
        <f>_xlfn.XLOOKUP(Jnl[[#This Row],[TrxId]], Trx[Id], Trx[Date],,0)</f>
        <v>46053</v>
      </c>
      <c r="C886" s="6" t="str">
        <f>_xlfn.XLOOKUP(Jnl[[#This Row],[TrxId]], Trx[Id], Trx[Division],,0)</f>
        <v>MY</v>
      </c>
      <c r="D886" s="6" t="str">
        <f>_xlfn.XLOOKUP(Jnl[[#This Row],[TrxId]], Trx[Id], Trx[Action],,0)</f>
        <v>内部结算</v>
      </c>
      <c r="E886" s="27" t="s">
        <v>95</v>
      </c>
      <c r="F886" s="10" t="s">
        <v>599</v>
      </c>
      <c r="G886" s="10" t="s">
        <v>915</v>
      </c>
      <c r="H886" s="37">
        <v>-2975</v>
      </c>
      <c r="I886" s="38" t="b">
        <f>AND(Jnl[[#This Row],[TrxId]]&lt;&gt;"",Jnl[[#This Row],[Acct]]&lt;&gt;"",Jnl[[#This Row],[Item]]&lt;&gt;"",ISNUMBER(Jnl[[#This Row],[Bal]]))</f>
        <v>1</v>
      </c>
      <c r="J886" s="9">
        <f>IF(Jnl[[#This Row],[BSLv0]]="A",1,-1)*Jnl[[#This Row],[Bal]]</f>
        <v>-2975</v>
      </c>
      <c r="K886" t="str">
        <f>_xlfn.XLOOKUP(Jnl[[#This Row],[Acct]], config_BS[Acct], config_BS[Lv0],,0)</f>
        <v>A</v>
      </c>
      <c r="L886" t="str">
        <f>_xlfn.XLOOKUP(Jnl[[#This Row],[Acct]], config_BS[Acct], config_BS[Lv1],,0)</f>
        <v>Assets</v>
      </c>
      <c r="M886" t="str">
        <f>_xlfn.XLOOKUP(Jnl[[#This Row],[Acct]], config_BS[Acct], config_BS[Lv2],,0)</f>
        <v>Rec-Pay</v>
      </c>
      <c r="N886" t="str">
        <f>_xlfn.XLOOKUP(Jnl[[#This Row],[TrxId]], Trx[Id], Trx[IncNode], ,0)</f>
        <v>Other</v>
      </c>
      <c r="O886" t="str">
        <f>_xlfn.XLOOKUP(Jnl[[#This Row],[IncNode]], config_IS[Node], config_IS[Type],,0)</f>
        <v>Non-Op</v>
      </c>
      <c r="P886" t="str">
        <f>_xlfn.XLOOKUP(Jnl[[#This Row],[BSLv2]], dict[Key], dict[Name],,0)</f>
        <v>1.应收-应付</v>
      </c>
      <c r="Q886" t="str">
        <f>_xlfn.XLOOKUP(Jnl[[#This Row],[Acct]], dict[Key], dict[Name],,0)</f>
        <v>应收-一般</v>
      </c>
      <c r="R886" t="str">
        <f>_xlfn.XLOOKUP(Jnl[[#This Row],[Vehicle]],config_vehicle[Id], config_vehicle[Name],,0)</f>
        <v>创业园-琦</v>
      </c>
      <c r="S886" t="str">
        <f>_xlfn.XLOOKUP(Jnl[[#This Row],[Division]],config_div[Id], config_div[Name],,0)</f>
        <v>明月村</v>
      </c>
      <c r="T886" t="str">
        <f>IF(Jnl[[#This Row],[TrxDate]]&lt;=stmt_BS_date_end, "In", "Out")</f>
        <v>In</v>
      </c>
      <c r="U886" t="str">
        <f>IF(Jnl[[#This Row],[TrxDate]]&lt;debug_date_start, "prior", IF(Jnl[[#This Row],[TrxDate]]&gt;debug_date_end, "post", "curr"))</f>
        <v>curr</v>
      </c>
    </row>
    <row r="887" spans="1:21" hidden="1">
      <c r="A887" s="39" t="s">
        <v>1291</v>
      </c>
      <c r="B887" s="6">
        <f>_xlfn.XLOOKUP(Jnl[[#This Row],[TrxId]], Trx[Id], Trx[Date],,0)</f>
        <v>46053</v>
      </c>
      <c r="C887" s="6" t="str">
        <f>_xlfn.XLOOKUP(Jnl[[#This Row],[TrxId]], Trx[Id], Trx[Division],,0)</f>
        <v>Brand</v>
      </c>
      <c r="D887" s="6" t="str">
        <f>_xlfn.XLOOKUP(Jnl[[#This Row],[TrxId]], Trx[Id], Trx[Action],,0)</f>
        <v>折旧</v>
      </c>
      <c r="E887" s="27" t="s">
        <v>85</v>
      </c>
      <c r="F887" s="10" t="s">
        <v>695</v>
      </c>
      <c r="G887" s="10" t="s">
        <v>1292</v>
      </c>
      <c r="H887" s="37">
        <v>-102296.66725490197</v>
      </c>
      <c r="I887" s="38" t="b">
        <f>AND(Jnl[[#This Row],[TrxId]]&lt;&gt;"",Jnl[[#This Row],[Acct]]&lt;&gt;"",Jnl[[#This Row],[Item]]&lt;&gt;"",ISNUMBER(Jnl[[#This Row],[Bal]]))</f>
        <v>1</v>
      </c>
      <c r="J887" s="9">
        <f>IF(Jnl[[#This Row],[BSLv0]]="A",1,-1)*Jnl[[#This Row],[Bal]]</f>
        <v>-102296.66725490197</v>
      </c>
      <c r="K887" t="str">
        <f>_xlfn.XLOOKUP(Jnl[[#This Row],[Acct]], config_BS[Acct], config_BS[Lv0],,0)</f>
        <v>A</v>
      </c>
      <c r="L887" t="str">
        <f>_xlfn.XLOOKUP(Jnl[[#This Row],[Acct]], config_BS[Acct], config_BS[Lv1],,0)</f>
        <v>Assets</v>
      </c>
      <c r="M887" t="str">
        <f>_xlfn.XLOOKUP(Jnl[[#This Row],[Acct]], config_BS[Acct], config_BS[Lv2],,0)</f>
        <v>PP&amp;E</v>
      </c>
      <c r="N887" t="str">
        <f>_xlfn.XLOOKUP(Jnl[[#This Row],[TrxId]], Trx[Id], Trx[IncNode], ,0)</f>
        <v>Expense</v>
      </c>
      <c r="O887" t="str">
        <f>_xlfn.XLOOKUP(Jnl[[#This Row],[IncNode]], config_IS[Node], config_IS[Type],,0)</f>
        <v>Op</v>
      </c>
      <c r="P887" t="str">
        <f>_xlfn.XLOOKUP(Jnl[[#This Row],[BSLv2]], dict[Key], dict[Name],,0)</f>
        <v>5.硬件设施</v>
      </c>
      <c r="Q887" t="str">
        <f>_xlfn.XLOOKUP(Jnl[[#This Row],[Acct]], dict[Key], dict[Name],,0)</f>
        <v>房地产</v>
      </c>
      <c r="R887" t="str">
        <f>_xlfn.XLOOKUP(Jnl[[#This Row],[Vehicle]],config_vehicle[Id], config_vehicle[Name],,0)</f>
        <v>远家文化</v>
      </c>
      <c r="S887" t="str">
        <f>_xlfn.XLOOKUP(Jnl[[#This Row],[Division]],config_div[Id], config_div[Name],,0)</f>
        <v>品牌</v>
      </c>
      <c r="T887" t="str">
        <f>IF(Jnl[[#This Row],[TrxDate]]&lt;=stmt_BS_date_end, "In", "Out")</f>
        <v>In</v>
      </c>
      <c r="U887" t="str">
        <f>IF(Jnl[[#This Row],[TrxDate]]&lt;debug_date_start, "prior", IF(Jnl[[#This Row],[TrxDate]]&gt;debug_date_end, "post", "curr"))</f>
        <v>curr</v>
      </c>
    </row>
    <row r="888" spans="1:21" hidden="1">
      <c r="A888" s="39" t="s">
        <v>1293</v>
      </c>
      <c r="B888" s="6">
        <f>_xlfn.XLOOKUP(Jnl[[#This Row],[TrxId]], Trx[Id], Trx[Date],,0)</f>
        <v>46053</v>
      </c>
      <c r="C888" s="6" t="str">
        <f>_xlfn.XLOOKUP(Jnl[[#This Row],[TrxId]], Trx[Id], Trx[Division],,0)</f>
        <v>GM</v>
      </c>
      <c r="D888" s="6" t="str">
        <f>_xlfn.XLOOKUP(Jnl[[#This Row],[TrxId]], Trx[Id], Trx[Action],,0)</f>
        <v>年终奖</v>
      </c>
      <c r="E888" s="27" t="s">
        <v>82</v>
      </c>
      <c r="F888" s="10" t="s">
        <v>602</v>
      </c>
      <c r="G888" s="10" t="s">
        <v>323</v>
      </c>
      <c r="H888" s="37">
        <f>979869.55-530000</f>
        <v>449869.55000000005</v>
      </c>
      <c r="I888" s="38" t="b">
        <f>AND(Jnl[[#This Row],[TrxId]]&lt;&gt;"",Jnl[[#This Row],[Acct]]&lt;&gt;"",Jnl[[#This Row],[Item]]&lt;&gt;"",ISNUMBER(Jnl[[#This Row],[Bal]]))</f>
        <v>1</v>
      </c>
      <c r="J888" s="9">
        <f>IF(Jnl[[#This Row],[BSLv0]]="A",1,-1)*Jnl[[#This Row],[Bal]]</f>
        <v>-449869.55000000005</v>
      </c>
      <c r="K888" t="str">
        <f>_xlfn.XLOOKUP(Jnl[[#This Row],[Acct]], config_BS[Acct], config_BS[Lv0],,0)</f>
        <v>LC</v>
      </c>
      <c r="L888" t="str">
        <f>_xlfn.XLOOKUP(Jnl[[#This Row],[Acct]], config_BS[Acct], config_BS[Lv1],,0)</f>
        <v>Liability</v>
      </c>
      <c r="M888" t="str">
        <f>_xlfn.XLOOKUP(Jnl[[#This Row],[Acct]], config_BS[Acct], config_BS[Lv2],,0)</f>
        <v>Rec-Pay</v>
      </c>
      <c r="N888" t="str">
        <f>_xlfn.XLOOKUP(Jnl[[#This Row],[TrxId]], Trx[Id], Trx[IncNode], ,0)</f>
        <v>Discretion</v>
      </c>
      <c r="O888" t="str">
        <f>_xlfn.XLOOKUP(Jnl[[#This Row],[IncNode]], config_IS[Node], config_IS[Type],,0)</f>
        <v>Non-Op</v>
      </c>
      <c r="P888" t="str">
        <f>_xlfn.XLOOKUP(Jnl[[#This Row],[BSLv2]], dict[Key], dict[Name],,0)</f>
        <v>1.应收-应付</v>
      </c>
      <c r="Q888" t="str">
        <f>_xlfn.XLOOKUP(Jnl[[#This Row],[Acct]], dict[Key], dict[Name],,0)</f>
        <v>应付-薪资</v>
      </c>
      <c r="R888" t="str">
        <f>_xlfn.XLOOKUP(Jnl[[#This Row],[Vehicle]],config_vehicle[Id], config_vehicle[Name],,0)</f>
        <v>远家花园</v>
      </c>
      <c r="S888" t="str">
        <f>_xlfn.XLOOKUP(Jnl[[#This Row],[Division]],config_div[Id], config_div[Name],,0)</f>
        <v>综合管理</v>
      </c>
      <c r="T888" t="str">
        <f>IF(Jnl[[#This Row],[TrxDate]]&lt;=stmt_BS_date_end, "In", "Out")</f>
        <v>In</v>
      </c>
      <c r="U888" t="str">
        <f>IF(Jnl[[#This Row],[TrxDate]]&lt;debug_date_start, "prior", IF(Jnl[[#This Row],[TrxDate]]&gt;debug_date_end, "post", "curr"))</f>
        <v>curr</v>
      </c>
    </row>
  </sheetData>
  <phoneticPr fontId="5" type="noConversion"/>
  <dataValidations count="2">
    <dataValidation type="list" allowBlank="1" showInputMessage="1" showErrorMessage="1" sqref="F267:F268 F259:F260 F887 F262:F263 F334:F336 F273 F385:F387 F275 F250:F257 F292:F296 F298:F299 F301 F303:F308 F310 F312 F314 F316:F317 F319 F321 F323 F325:F327 F331:F332 F414:F421 F338 F343 F346:F347 F350 F352 F354 F356 F359 F361:F364 F366:F372 F395:F404 F406 F408:F409 F411 F464 F670:F674 F429:F430 F433:F435 F424:F427 F453:F456 F458:F459 F543:F544 F467:F468 F470:F472 F474 F441 F483:F485 F488:F489 F491:F492 F494:F496 F498 F500:F501 F503:F504 F506 F508 F510:F512 F514:F516 F518:F523 F527 F529:F530 F535:F536 F538:F539 F541 F761 F546:F551 F557 F560:F563 F568:F570 F572 F574:F575 F577 F579 F581 F585:F588 F590 F594 F596 F598 F600 F602 F616 F618 F620:F621 F623 F625:F626 F628:F629 F635:F636 F553:F555 F566 F583 F592 F605:F610 F612:F614 F633 F639 F641 F643 F645 F647 F649:F651 F653 F655:F658 F660 F662 F664 F666 F668 F756 F2:F113 F246:F248 F277:F286 F288:F289 F115:F244" xr:uid="{27180EBA-4775-47D1-B40D-F072FAF2E681}">
      <formula1>INDIRECT("config_BS[Acct]")</formula1>
    </dataValidation>
    <dataValidation type="list" allowBlank="1" showInputMessage="1" showErrorMessage="1" sqref="E2:E888" xr:uid="{BD76B49A-841E-4A06-8F67-699AAC331038}">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tabColor theme="9" tint="0.79998168889431442"/>
  </sheetPr>
  <dimension ref="A1:Z33"/>
  <sheetViews>
    <sheetView tabSelected="1" topLeftCell="E1" zoomScale="110" zoomScaleNormal="110" workbookViewId="0">
      <selection activeCell="O16" sqref="O16"/>
    </sheetView>
  </sheetViews>
  <sheetFormatPr defaultRowHeight="13.8"/>
  <cols>
    <col min="1" max="1" width="16.5546875" customWidth="1"/>
    <col min="2" max="2" width="14.6640625" bestFit="1" customWidth="1"/>
    <col min="3" max="3" width="12.88671875" customWidth="1"/>
    <col min="4" max="4" width="12.5546875" customWidth="1"/>
    <col min="5" max="5" width="12.88671875" customWidth="1"/>
    <col min="6" max="6" width="18.109375" bestFit="1" customWidth="1"/>
    <col min="7" max="7" width="15.33203125" customWidth="1"/>
    <col min="8" max="8" width="16.33203125" customWidth="1"/>
    <col min="9" max="9" width="15" customWidth="1"/>
    <col min="10" max="10" width="13.109375" customWidth="1"/>
    <col min="11" max="11" width="20.44140625" bestFit="1" customWidth="1"/>
    <col min="12" max="12" width="17.88671875" customWidth="1"/>
    <col min="13" max="13" width="15.33203125" customWidth="1"/>
    <col min="14" max="15" width="15" customWidth="1"/>
    <col min="16" max="16" width="13.6640625" customWidth="1"/>
    <col min="17" max="17" width="16.5546875" customWidth="1"/>
    <col min="18" max="19" width="13.6640625" customWidth="1"/>
    <col min="20" max="20" width="15" customWidth="1"/>
    <col min="21" max="22" width="8.109375" customWidth="1"/>
    <col min="23" max="23" width="14.109375" bestFit="1" customWidth="1"/>
    <col min="24" max="24" width="14.5546875" bestFit="1" customWidth="1"/>
    <col min="25" max="25" width="11.6640625" bestFit="1" customWidth="1"/>
  </cols>
  <sheetData>
    <row r="1" spans="1:26">
      <c r="A1" s="1" t="s">
        <v>219</v>
      </c>
      <c r="B1" s="1"/>
      <c r="C1" s="1"/>
      <c r="D1" s="1"/>
      <c r="F1" s="13" t="s">
        <v>112</v>
      </c>
      <c r="G1" s="13" t="s">
        <v>1334</v>
      </c>
      <c r="H1" s="5"/>
      <c r="I1" s="5"/>
      <c r="L1" s="12" t="s">
        <v>292</v>
      </c>
      <c r="M1" t="s">
        <v>1337</v>
      </c>
    </row>
    <row r="2" spans="1:26">
      <c r="A2" s="21" t="s">
        <v>38</v>
      </c>
      <c r="F2" s="13" t="s">
        <v>1335</v>
      </c>
      <c r="G2" s="17" t="s">
        <v>223</v>
      </c>
      <c r="H2" s="17" t="s">
        <v>293</v>
      </c>
      <c r="I2" s="17" t="s">
        <v>291</v>
      </c>
      <c r="W2" t="s">
        <v>1339</v>
      </c>
      <c r="X2" s="81">
        <f>SUMIFS(Jnl[NetBal], Jnl[IncNode], "Revenue")</f>
        <v>4936550.8500000006</v>
      </c>
    </row>
    <row r="3" spans="1:26">
      <c r="A3" s="5" t="s">
        <v>118</v>
      </c>
      <c r="B3" s="25">
        <f>MAX(Jnl[TrxDate])</f>
        <v>46053</v>
      </c>
      <c r="F3" s="14" t="s">
        <v>162</v>
      </c>
      <c r="G3" s="8">
        <v>49656.15</v>
      </c>
      <c r="H3" s="8">
        <v>-5663.9500000000007</v>
      </c>
      <c r="I3" s="8">
        <v>43992.2</v>
      </c>
      <c r="J3" s="8"/>
      <c r="K3" s="65"/>
      <c r="L3" s="13" t="s">
        <v>295</v>
      </c>
      <c r="M3" s="13" t="s">
        <v>1334</v>
      </c>
      <c r="N3" s="5"/>
      <c r="O3" s="5"/>
      <c r="P3" s="5"/>
      <c r="Q3" s="5"/>
      <c r="R3" s="5"/>
      <c r="S3" s="5"/>
      <c r="T3" s="5"/>
    </row>
    <row r="4" spans="1:26">
      <c r="A4" s="5" t="s">
        <v>290</v>
      </c>
      <c r="B4" s="25">
        <f>IF(C4&lt;&gt;"",C4, EOMONTH(B4,-1)+1)</f>
        <v>46023</v>
      </c>
      <c r="C4" s="27">
        <v>46023</v>
      </c>
      <c r="F4" s="14" t="s">
        <v>161</v>
      </c>
      <c r="G4" s="8">
        <v>11030625.309999999</v>
      </c>
      <c r="H4" s="8">
        <v>-1012386.6100000008</v>
      </c>
      <c r="I4" s="8">
        <v>10018238.699999997</v>
      </c>
      <c r="J4" s="8"/>
      <c r="K4" s="55"/>
      <c r="L4" s="13" t="s">
        <v>1335</v>
      </c>
      <c r="M4" s="17" t="s">
        <v>298</v>
      </c>
      <c r="N4" s="17" t="s">
        <v>595</v>
      </c>
      <c r="O4" s="17" t="s">
        <v>31</v>
      </c>
      <c r="P4" s="17" t="s">
        <v>1156</v>
      </c>
      <c r="Q4" s="17" t="s">
        <v>36</v>
      </c>
      <c r="R4" s="17" t="s">
        <v>34</v>
      </c>
      <c r="S4" s="17" t="s">
        <v>297</v>
      </c>
      <c r="T4" s="17" t="s">
        <v>1336</v>
      </c>
      <c r="W4" s="82" t="s">
        <v>1340</v>
      </c>
      <c r="X4" s="84">
        <f>SUM(X5:X6)</f>
        <v>-3221419.0259999996</v>
      </c>
    </row>
    <row r="5" spans="1:26">
      <c r="A5" s="5" t="s">
        <v>291</v>
      </c>
      <c r="B5" s="25">
        <f>IF(C5&lt;&gt;"",C5,EOMONTH(B4,0))</f>
        <v>46053</v>
      </c>
      <c r="C5" s="27"/>
      <c r="F5" s="14" t="s">
        <v>186</v>
      </c>
      <c r="G5" s="8">
        <v>740667.64</v>
      </c>
      <c r="H5" s="8">
        <v>734938.14000000036</v>
      </c>
      <c r="I5" s="8">
        <v>1475605.7800000003</v>
      </c>
      <c r="J5" s="8"/>
      <c r="K5" s="62"/>
      <c r="L5" s="14" t="s">
        <v>26</v>
      </c>
      <c r="M5" s="8">
        <v>363759.49099999951</v>
      </c>
      <c r="N5" s="8">
        <v>318794.42200000002</v>
      </c>
      <c r="O5" s="8">
        <v>-15144.675000000023</v>
      </c>
      <c r="P5" s="8">
        <v>-18181.620000000003</v>
      </c>
      <c r="Q5" s="8">
        <v>-737128.64583333337</v>
      </c>
      <c r="R5" s="8">
        <v>-177446.81725490198</v>
      </c>
      <c r="S5" s="8">
        <v>-39903.939999999995</v>
      </c>
      <c r="T5" s="8">
        <v>-305251.78508823225</v>
      </c>
      <c r="W5" t="s">
        <v>1341</v>
      </c>
      <c r="X5" s="81">
        <f>SUMIFS(Jnl[NetBal], Jnl[IncNode], "Cost", Jnl[Action], "&lt;&gt;成本结转")</f>
        <v>-709717.2300000001</v>
      </c>
    </row>
    <row r="6" spans="1:26">
      <c r="F6" s="14" t="s">
        <v>202</v>
      </c>
      <c r="G6" s="8">
        <v>58969.249999999993</v>
      </c>
      <c r="H6" s="8">
        <v>-1908.6000000000031</v>
      </c>
      <c r="I6" s="8">
        <v>57060.649999999987</v>
      </c>
      <c r="L6" s="15" t="s">
        <v>22</v>
      </c>
      <c r="M6" s="8">
        <v>3512960.92</v>
      </c>
      <c r="N6" s="8">
        <v>1170442.24</v>
      </c>
      <c r="O6" s="8">
        <v>252452.16</v>
      </c>
      <c r="P6" s="8">
        <v>695.53</v>
      </c>
      <c r="Q6" s="8"/>
      <c r="R6" s="8"/>
      <c r="S6" s="8"/>
      <c r="T6" s="8">
        <v>4936550.8500000015</v>
      </c>
      <c r="W6" t="s">
        <v>590</v>
      </c>
      <c r="X6" s="81">
        <f>Z6*Z7*-1</f>
        <v>-2511701.7959999996</v>
      </c>
      <c r="Y6" t="s">
        <v>1342</v>
      </c>
      <c r="Z6">
        <v>4186169.6599999997</v>
      </c>
    </row>
    <row r="7" spans="1:26">
      <c r="F7" s="15" t="s">
        <v>140</v>
      </c>
      <c r="G7" s="8">
        <v>58969.249999999993</v>
      </c>
      <c r="H7" s="8">
        <v>-1908.6000000000031</v>
      </c>
      <c r="I7" s="8">
        <v>57060.649999999987</v>
      </c>
      <c r="L7" s="15" t="s">
        <v>23</v>
      </c>
      <c r="M7" s="8">
        <v>-2896195.389</v>
      </c>
      <c r="N7" s="8">
        <v>-630009.12799999991</v>
      </c>
      <c r="O7" s="8">
        <v>-137414.435</v>
      </c>
      <c r="P7" s="8">
        <v>21534.46</v>
      </c>
      <c r="Q7" s="8"/>
      <c r="R7" s="8"/>
      <c r="S7" s="8"/>
      <c r="T7" s="8">
        <v>-3642084.4919999996</v>
      </c>
      <c r="Y7" t="s">
        <v>1344</v>
      </c>
      <c r="Z7" s="83">
        <v>0.6</v>
      </c>
    </row>
    <row r="8" spans="1:26">
      <c r="A8" s="2" t="s">
        <v>294</v>
      </c>
      <c r="F8" s="14" t="s">
        <v>1369</v>
      </c>
      <c r="G8" s="8">
        <v>318808.92</v>
      </c>
      <c r="H8" s="8">
        <v>129848.1041666667</v>
      </c>
      <c r="I8" s="8">
        <v>448657.02416666667</v>
      </c>
      <c r="L8" s="15" t="s">
        <v>24</v>
      </c>
      <c r="M8" s="8">
        <v>-253006.04</v>
      </c>
      <c r="N8" s="8">
        <v>-221638.69</v>
      </c>
      <c r="O8" s="8">
        <v>-130182.39999999998</v>
      </c>
      <c r="P8" s="8">
        <v>-40411.61</v>
      </c>
      <c r="Q8" s="8">
        <v>-737128.64583333337</v>
      </c>
      <c r="R8" s="8">
        <v>-177446.81725490198</v>
      </c>
      <c r="S8" s="8">
        <v>-39903.939999999995</v>
      </c>
      <c r="T8" s="8">
        <v>-1599718.1430882341</v>
      </c>
      <c r="W8" t="s">
        <v>1343</v>
      </c>
      <c r="X8" s="84">
        <f>X2+X4</f>
        <v>1715131.824000001</v>
      </c>
    </row>
    <row r="9" spans="1:26">
      <c r="F9" s="14" t="s">
        <v>196</v>
      </c>
      <c r="G9" s="8">
        <v>209278.6</v>
      </c>
      <c r="H9" s="8"/>
      <c r="I9" s="8">
        <v>209278.6</v>
      </c>
      <c r="L9" s="14" t="s">
        <v>27</v>
      </c>
      <c r="M9" s="8"/>
      <c r="N9" s="8"/>
      <c r="O9" s="8">
        <v>-275</v>
      </c>
      <c r="P9" s="8"/>
      <c r="Q9" s="8">
        <v>-782116.57000000007</v>
      </c>
      <c r="R9" s="8">
        <v>63800</v>
      </c>
      <c r="S9" s="8">
        <v>-115.74</v>
      </c>
      <c r="T9" s="8">
        <v>-718707.30999999994</v>
      </c>
      <c r="U9" s="85"/>
    </row>
    <row r="10" spans="1:26">
      <c r="F10" s="14" t="s">
        <v>163</v>
      </c>
      <c r="G10" s="8">
        <v>6361319.5999999996</v>
      </c>
      <c r="H10" s="8">
        <v>-1516454.112</v>
      </c>
      <c r="I10" s="8">
        <v>4844865.4879999999</v>
      </c>
      <c r="L10" s="14" t="s">
        <v>1336</v>
      </c>
      <c r="M10" s="8">
        <v>363759.49099999951</v>
      </c>
      <c r="N10" s="8">
        <v>318794.42200000002</v>
      </c>
      <c r="O10" s="8">
        <v>-15419.675000000023</v>
      </c>
      <c r="P10" s="8">
        <v>-18181.620000000003</v>
      </c>
      <c r="Q10" s="8">
        <v>-1519245.2158333336</v>
      </c>
      <c r="R10" s="8">
        <v>-113646.81725490198</v>
      </c>
      <c r="S10" s="8">
        <v>-40019.679999999993</v>
      </c>
      <c r="T10" s="8">
        <v>-1023959.0950882323</v>
      </c>
      <c r="U10" s="85"/>
      <c r="W10" s="77" t="s">
        <v>1345</v>
      </c>
      <c r="X10">
        <f>GETPIVOTDATA("NetBal",$L$3,"IncNode","Expense","IncType","Op")</f>
        <v>-1599718.1430882341</v>
      </c>
    </row>
    <row r="11" spans="1:26">
      <c r="F11" s="15" t="s">
        <v>847</v>
      </c>
      <c r="G11" s="8">
        <v>192761.82</v>
      </c>
      <c r="H11" s="8"/>
      <c r="I11" s="8">
        <v>192761.82</v>
      </c>
      <c r="U11" s="85"/>
      <c r="W11" s="78"/>
    </row>
    <row r="12" spans="1:26">
      <c r="F12" s="15" t="s">
        <v>848</v>
      </c>
      <c r="G12" s="8">
        <v>242182.81</v>
      </c>
      <c r="H12" s="8">
        <v>3929.3999999999996</v>
      </c>
      <c r="I12" s="8">
        <v>246112.21</v>
      </c>
      <c r="U12" s="85"/>
      <c r="V12" s="77"/>
    </row>
    <row r="13" spans="1:26">
      <c r="F13" s="15" t="s">
        <v>153</v>
      </c>
      <c r="G13" s="8">
        <v>3926374.9699999997</v>
      </c>
      <c r="H13" s="8">
        <v>-1520383.5119999999</v>
      </c>
      <c r="I13" s="8">
        <v>2405991.4579999996</v>
      </c>
      <c r="U13" s="85"/>
    </row>
    <row r="14" spans="1:26">
      <c r="F14" s="15" t="s">
        <v>209</v>
      </c>
      <c r="G14" s="8">
        <v>2000000</v>
      </c>
      <c r="H14" s="8"/>
      <c r="I14" s="8">
        <v>2000000</v>
      </c>
      <c r="U14" s="85"/>
      <c r="V14" s="8"/>
    </row>
    <row r="15" spans="1:26">
      <c r="F15" s="14" t="s">
        <v>199</v>
      </c>
      <c r="G15" s="8">
        <v>439975.23000000004</v>
      </c>
      <c r="H15" s="8">
        <v>-7799</v>
      </c>
      <c r="I15" s="8">
        <v>432176.23000000004</v>
      </c>
      <c r="U15" s="85"/>
      <c r="V15" s="8"/>
    </row>
    <row r="16" spans="1:26">
      <c r="F16" s="14" t="s">
        <v>187</v>
      </c>
      <c r="G16" s="8">
        <v>32443.1</v>
      </c>
      <c r="H16" s="8">
        <v>-20143.900000000001</v>
      </c>
      <c r="I16" s="8">
        <v>12299.199999999997</v>
      </c>
      <c r="U16" s="85"/>
      <c r="V16" s="8"/>
    </row>
    <row r="17" spans="6:21">
      <c r="F17" s="14" t="s">
        <v>170</v>
      </c>
      <c r="G17" s="8">
        <v>26456.400000000001</v>
      </c>
      <c r="H17" s="8">
        <v>-18258.900000000001</v>
      </c>
      <c r="I17" s="8">
        <v>8197.5</v>
      </c>
      <c r="U17" s="85"/>
    </row>
    <row r="18" spans="6:21">
      <c r="F18" s="14" t="s">
        <v>213</v>
      </c>
      <c r="G18" s="8">
        <v>0</v>
      </c>
      <c r="H18" s="8"/>
      <c r="I18" s="8">
        <v>0</v>
      </c>
      <c r="U18" s="85"/>
    </row>
    <row r="19" spans="6:21">
      <c r="F19" s="14" t="s">
        <v>169</v>
      </c>
      <c r="G19" s="8">
        <v>922996.67</v>
      </c>
      <c r="H19" s="8">
        <v>727805.8</v>
      </c>
      <c r="I19" s="8">
        <v>1650802.4700000002</v>
      </c>
      <c r="U19" s="85"/>
    </row>
    <row r="20" spans="6:21">
      <c r="F20" s="14" t="s">
        <v>168</v>
      </c>
      <c r="G20" s="8">
        <v>656060.89</v>
      </c>
      <c r="H20" s="8">
        <v>-285591.56</v>
      </c>
      <c r="I20" s="8">
        <v>370469.33</v>
      </c>
      <c r="U20" s="85"/>
    </row>
    <row r="21" spans="6:21">
      <c r="F21" s="15" t="s">
        <v>286</v>
      </c>
      <c r="G21" s="8">
        <v>439032.83</v>
      </c>
      <c r="H21" s="8">
        <v>-106932.64000000003</v>
      </c>
      <c r="I21" s="8">
        <v>332100.19</v>
      </c>
      <c r="U21" s="85"/>
    </row>
    <row r="22" spans="6:21">
      <c r="F22" s="15" t="s">
        <v>303</v>
      </c>
      <c r="G22" s="8">
        <v>40000</v>
      </c>
      <c r="H22" s="8">
        <v>-40545.980000000003</v>
      </c>
      <c r="I22" s="8">
        <v>-545.9800000000032</v>
      </c>
      <c r="U22" s="85"/>
    </row>
    <row r="23" spans="6:21">
      <c r="F23" s="15" t="s">
        <v>302</v>
      </c>
      <c r="G23" s="8">
        <v>134909.91999999998</v>
      </c>
      <c r="H23" s="8">
        <v>-129198.45</v>
      </c>
      <c r="I23" s="8">
        <v>5711.4699999999866</v>
      </c>
      <c r="U23" s="85"/>
    </row>
    <row r="24" spans="6:21">
      <c r="F24" s="15" t="s">
        <v>1357</v>
      </c>
      <c r="G24" s="8">
        <v>12351.18</v>
      </c>
      <c r="H24" s="8"/>
      <c r="I24" s="8">
        <v>12351.18</v>
      </c>
      <c r="U24" s="85"/>
    </row>
    <row r="25" spans="6:21">
      <c r="F25" s="15" t="s">
        <v>304</v>
      </c>
      <c r="G25" s="8">
        <v>26995.059999999998</v>
      </c>
      <c r="H25" s="8">
        <v>-7639.32</v>
      </c>
      <c r="I25" s="8">
        <v>19355.739999999998</v>
      </c>
      <c r="U25" s="85"/>
    </row>
    <row r="26" spans="6:21">
      <c r="F26" s="15" t="s">
        <v>903</v>
      </c>
      <c r="G26" s="8">
        <v>1644.75</v>
      </c>
      <c r="H26" s="8">
        <v>-1146.6000000000001</v>
      </c>
      <c r="I26" s="8">
        <v>498.14999999999986</v>
      </c>
      <c r="U26" s="85"/>
    </row>
    <row r="27" spans="6:21" ht="14.4" customHeight="1">
      <c r="F27" s="15" t="s">
        <v>902</v>
      </c>
      <c r="G27" s="8">
        <v>1127.1499999999999</v>
      </c>
      <c r="H27" s="8">
        <v>-128.56999999999994</v>
      </c>
      <c r="I27" s="8">
        <v>998.57999999999993</v>
      </c>
      <c r="U27" s="85"/>
    </row>
    <row r="28" spans="6:21">
      <c r="F28" s="14" t="s">
        <v>194</v>
      </c>
      <c r="G28" s="8">
        <v>30000</v>
      </c>
      <c r="H28" s="8">
        <v>5.1727511163335294E-12</v>
      </c>
      <c r="I28" s="8">
        <v>30000.000000000004</v>
      </c>
      <c r="U28" s="85"/>
    </row>
    <row r="29" spans="6:21">
      <c r="F29" s="14" t="s">
        <v>165</v>
      </c>
      <c r="G29" s="8">
        <v>24264229.27</v>
      </c>
      <c r="H29" s="8">
        <v>-156319.62725490198</v>
      </c>
      <c r="I29" s="8">
        <v>24107909.642745096</v>
      </c>
      <c r="U29" s="85"/>
    </row>
    <row r="30" spans="6:21">
      <c r="F30" s="14" t="s">
        <v>166</v>
      </c>
      <c r="G30" s="8">
        <v>2100000</v>
      </c>
      <c r="H30" s="8"/>
      <c r="I30" s="8">
        <v>2100000</v>
      </c>
      <c r="U30" s="85"/>
    </row>
    <row r="31" spans="6:21">
      <c r="F31" s="14" t="s">
        <v>172</v>
      </c>
      <c r="G31" s="8">
        <v>25036191</v>
      </c>
      <c r="H31" s="8"/>
      <c r="I31" s="8">
        <v>25036191</v>
      </c>
      <c r="U31" s="85"/>
    </row>
    <row r="32" spans="6:21">
      <c r="F32" s="14" t="s">
        <v>171</v>
      </c>
      <c r="G32" s="8">
        <v>3647386.4500000114</v>
      </c>
      <c r="H32" s="8">
        <v>-1200000</v>
      </c>
      <c r="I32" s="8">
        <v>2447386.4500000114</v>
      </c>
      <c r="U32" s="85"/>
    </row>
    <row r="33" spans="6:21">
      <c r="F33" s="14" t="s">
        <v>173</v>
      </c>
      <c r="G33" s="8">
        <v>14402045</v>
      </c>
      <c r="H33" s="8"/>
      <c r="I33" s="8">
        <v>14402045</v>
      </c>
      <c r="U33" s="85"/>
    </row>
  </sheetData>
  <phoneticPr fontId="5" type="noConversion"/>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tabColor theme="9" tint="0.39997558519241921"/>
  </sheetPr>
  <dimension ref="A1:M18"/>
  <sheetViews>
    <sheetView topLeftCell="E1" zoomScaleNormal="100" workbookViewId="0">
      <selection activeCell="I20" sqref="I20"/>
    </sheetView>
  </sheetViews>
  <sheetFormatPr defaultRowHeight="13.8"/>
  <cols>
    <col min="1" max="1" width="15.88671875" customWidth="1"/>
    <col min="2" max="2" width="13.33203125" customWidth="1"/>
    <col min="3" max="3" width="12.33203125" customWidth="1"/>
    <col min="4" max="4" width="13.33203125" customWidth="1"/>
    <col min="5" max="5" width="17" customWidth="1"/>
    <col min="6" max="6" width="18.6640625" bestFit="1" customWidth="1"/>
    <col min="7" max="7" width="23.109375" customWidth="1"/>
    <col min="8" max="8" width="12.44140625" bestFit="1" customWidth="1"/>
    <col min="9" max="9" width="21.88671875" customWidth="1"/>
    <col min="10" max="10" width="15.44140625" bestFit="1" customWidth="1"/>
    <col min="11" max="11" width="11.6640625" customWidth="1"/>
    <col min="12" max="12" width="13.5546875" bestFit="1" customWidth="1"/>
    <col min="13" max="13" width="11.6640625" customWidth="1"/>
  </cols>
  <sheetData>
    <row r="1" spans="1:13">
      <c r="A1" s="1" t="s">
        <v>219</v>
      </c>
      <c r="B1" s="1"/>
      <c r="C1" s="1"/>
      <c r="E1" s="1" t="s">
        <v>221</v>
      </c>
      <c r="F1" s="1"/>
      <c r="G1" s="1"/>
      <c r="I1" s="12" t="s">
        <v>231</v>
      </c>
      <c r="J1" t="s">
        <v>239</v>
      </c>
    </row>
    <row r="2" spans="1:13">
      <c r="A2" t="s">
        <v>206</v>
      </c>
      <c r="B2" s="9">
        <f>SUMIFS(Jnl[NetBal], Jnl[TrxDate], "&lt;"&amp;const_date_start)</f>
        <v>1.3038516044616699E-8</v>
      </c>
      <c r="E2" s="21" t="s">
        <v>228</v>
      </c>
    </row>
    <row r="3" spans="1:13">
      <c r="A3" s="26" t="s">
        <v>207</v>
      </c>
      <c r="E3" s="24" t="s">
        <v>212</v>
      </c>
      <c r="F3" s="22">
        <v>58333810.554496594</v>
      </c>
      <c r="I3" s="5"/>
      <c r="J3" s="13" t="s">
        <v>1334</v>
      </c>
      <c r="K3" s="5"/>
      <c r="L3" s="5"/>
      <c r="M3" s="5"/>
    </row>
    <row r="4" spans="1:13">
      <c r="A4" t="s">
        <v>232</v>
      </c>
      <c r="B4" s="25">
        <f>IF(C4&lt;&gt;"",C4, const_date_prior)</f>
        <v>46053</v>
      </c>
      <c r="C4" s="25">
        <v>46053</v>
      </c>
      <c r="I4" s="5"/>
      <c r="J4" s="89" t="s">
        <v>119</v>
      </c>
      <c r="K4" s="90"/>
      <c r="L4" s="89" t="s">
        <v>126</v>
      </c>
      <c r="M4" s="90"/>
    </row>
    <row r="5" spans="1:13">
      <c r="A5" s="2" t="s">
        <v>224</v>
      </c>
      <c r="E5" s="24" t="s">
        <v>305</v>
      </c>
      <c r="F5" s="22">
        <v>13209505.352789778</v>
      </c>
      <c r="I5" s="13" t="s">
        <v>1335</v>
      </c>
      <c r="J5" s="17" t="s">
        <v>112</v>
      </c>
      <c r="K5" s="17" t="s">
        <v>159</v>
      </c>
      <c r="L5" s="17" t="s">
        <v>112</v>
      </c>
      <c r="M5" s="17" t="s">
        <v>159</v>
      </c>
    </row>
    <row r="6" spans="1:13">
      <c r="E6" s="29" t="s">
        <v>306</v>
      </c>
      <c r="F6" s="30">
        <f>F5/F3</f>
        <v>0.22644681064421804</v>
      </c>
      <c r="G6" s="5"/>
      <c r="I6" s="14" t="s">
        <v>230</v>
      </c>
      <c r="J6" s="9">
        <v>10062230.900000004</v>
      </c>
      <c r="K6" s="16">
        <v>0.23219313965282484</v>
      </c>
      <c r="L6" s="9">
        <v>432176.23000000004</v>
      </c>
      <c r="M6" s="16">
        <v>9.7425709373208519E-3</v>
      </c>
    </row>
    <row r="7" spans="1:13">
      <c r="E7" s="24" t="s">
        <v>208</v>
      </c>
      <c r="F7" s="23">
        <f>SUMIFS(Jnl[Bal], Jnl[BSLv2], "Cap")</f>
        <v>39438236</v>
      </c>
      <c r="I7" s="15" t="s">
        <v>161</v>
      </c>
      <c r="J7" s="9">
        <v>10018238.700000005</v>
      </c>
      <c r="K7" s="16">
        <v>0.23117798832706518</v>
      </c>
      <c r="L7" s="9"/>
      <c r="M7" s="16">
        <v>0</v>
      </c>
    </row>
    <row r="8" spans="1:13">
      <c r="E8" s="29" t="s">
        <v>220</v>
      </c>
      <c r="F8" s="30">
        <f>F5/F7</f>
        <v>0.33494158696118603</v>
      </c>
      <c r="I8" s="15" t="s">
        <v>162</v>
      </c>
      <c r="J8" s="9">
        <v>43992.2</v>
      </c>
      <c r="K8" s="16">
        <v>1.0151513257596779E-3</v>
      </c>
      <c r="L8" s="9"/>
      <c r="M8" s="16">
        <v>0</v>
      </c>
    </row>
    <row r="9" spans="1:13">
      <c r="I9" s="15" t="s">
        <v>199</v>
      </c>
      <c r="J9" s="9"/>
      <c r="K9" s="16">
        <v>0</v>
      </c>
      <c r="L9" s="9">
        <v>432176.23000000004</v>
      </c>
      <c r="M9" s="16">
        <v>9.7425709373208519E-3</v>
      </c>
    </row>
    <row r="10" spans="1:13">
      <c r="I10" s="14" t="s">
        <v>177</v>
      </c>
      <c r="J10" s="9">
        <v>1532666.4299999997</v>
      </c>
      <c r="K10" s="16">
        <v>3.5367368723588553E-2</v>
      </c>
      <c r="L10" s="9">
        <v>2041768.5000000002</v>
      </c>
      <c r="M10" s="16">
        <v>4.6027692103374568E-2</v>
      </c>
    </row>
    <row r="11" spans="1:13">
      <c r="E11" s="21" t="s">
        <v>227</v>
      </c>
      <c r="G11" s="2"/>
      <c r="I11" s="14" t="s">
        <v>178</v>
      </c>
      <c r="J11" s="9">
        <v>687935.62416666676</v>
      </c>
      <c r="K11" s="16">
        <v>1.5874604155057107E-2</v>
      </c>
      <c r="L11" s="9"/>
      <c r="M11" s="16">
        <v>0</v>
      </c>
    </row>
    <row r="12" spans="1:13">
      <c r="E12" s="24" t="s">
        <v>226</v>
      </c>
      <c r="F12" s="23">
        <f>SUMIFS(Jnl[NetBal], Jnl[ScopeBS], "In", Jnl[BSLv2], "Cash alike")</f>
        <v>9630054.6699999981</v>
      </c>
      <c r="I12" s="14" t="s">
        <v>179</v>
      </c>
      <c r="J12" s="9">
        <v>4844865.4880000008</v>
      </c>
      <c r="K12" s="16">
        <v>0.11179871939276757</v>
      </c>
      <c r="L12" s="9"/>
      <c r="M12" s="16">
        <v>0</v>
      </c>
    </row>
    <row r="13" spans="1:13">
      <c r="E13" s="24" t="s">
        <v>233</v>
      </c>
      <c r="F13" s="23">
        <f>SUMIFS(Jnl[Bal], Jnl[ScopeBS], "In", Jnl[BSLv2], "Rec-Pay", Jnl[BSLv0], "LC")</f>
        <v>2041768.4999999995</v>
      </c>
      <c r="I13" s="14" t="s">
        <v>180</v>
      </c>
      <c r="J13" s="9">
        <v>24107909.642745096</v>
      </c>
      <c r="K13" s="16">
        <v>0.55630717343363612</v>
      </c>
      <c r="L13" s="9"/>
      <c r="M13" s="16">
        <v>0</v>
      </c>
    </row>
    <row r="14" spans="1:13">
      <c r="E14" s="29" t="s">
        <v>238</v>
      </c>
      <c r="F14" s="31">
        <f>F12/F13</f>
        <v>4.716526222243119</v>
      </c>
      <c r="G14" s="2" t="s">
        <v>235</v>
      </c>
      <c r="I14" s="14" t="s">
        <v>181</v>
      </c>
      <c r="J14" s="9">
        <v>2100000</v>
      </c>
      <c r="K14" s="16">
        <v>4.8458994642125733E-2</v>
      </c>
      <c r="L14" s="9"/>
      <c r="M14" s="16">
        <v>0</v>
      </c>
    </row>
    <row r="15" spans="1:13">
      <c r="I15" s="14" t="s">
        <v>214</v>
      </c>
      <c r="J15" s="9"/>
      <c r="K15" s="16">
        <v>0</v>
      </c>
      <c r="L15" s="9">
        <v>2447386.4500000114</v>
      </c>
      <c r="M15" s="16">
        <v>5.5171558371368459E-2</v>
      </c>
    </row>
    <row r="16" spans="1:13">
      <c r="E16" s="24" t="s">
        <v>234</v>
      </c>
      <c r="F16" s="23">
        <f>SUMIFS(Jnl[Bal], Jnl[ScopeBS], "In", Jnl[Acct], "Curr")</f>
        <v>4844865.4880000027</v>
      </c>
      <c r="I16" s="14" t="s">
        <v>182</v>
      </c>
      <c r="J16" s="9"/>
      <c r="K16" s="16">
        <v>0</v>
      </c>
      <c r="L16" s="9">
        <v>39438236</v>
      </c>
      <c r="M16" s="16">
        <v>0.88905817858793601</v>
      </c>
    </row>
    <row r="17" spans="5:13">
      <c r="E17" s="32" t="s">
        <v>237</v>
      </c>
      <c r="F17" s="31">
        <f>(F12-F13)/F16</f>
        <v>1.5662532197839203</v>
      </c>
      <c r="G17" s="2" t="s">
        <v>236</v>
      </c>
      <c r="I17" s="14" t="s">
        <v>1336</v>
      </c>
      <c r="J17" s="9">
        <v>43335608.084911771</v>
      </c>
      <c r="K17" s="16">
        <v>1</v>
      </c>
      <c r="L17" s="9">
        <v>44359567.180000015</v>
      </c>
      <c r="M17" s="16">
        <v>1</v>
      </c>
    </row>
    <row r="18" spans="5:13">
      <c r="L18" s="102"/>
    </row>
  </sheetData>
  <mergeCells count="2">
    <mergeCell ref="J4:K4"/>
    <mergeCell ref="L4:M4"/>
  </mergeCells>
  <phoneticPr fontId="5" type="noConversion"/>
  <conditionalFormatting pivot="1" sqref="K6:K17 M6:M17">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K6:K17 M6:M17</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tabColor theme="9" tint="0.39997558519241921"/>
  </sheetPr>
  <dimension ref="A1"/>
  <sheetViews>
    <sheetView zoomScale="145" zoomScaleNormal="145" workbookViewId="0">
      <selection activeCell="G30" sqref="G30"/>
    </sheetView>
  </sheetViews>
  <sheetFormatPr defaultRowHeight="13.8"/>
  <sheetData>
    <row r="1" spans="1:1">
      <c r="A1" t="s">
        <v>301</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1"/>
  <sheetViews>
    <sheetView zoomScale="110" zoomScaleNormal="110" workbookViewId="0">
      <pane ySplit="1" topLeftCell="A2" activePane="bottomLeft" state="frozen"/>
      <selection pane="bottomLeft" activeCell="J8" sqref="J8"/>
    </sheetView>
  </sheetViews>
  <sheetFormatPr defaultRowHeight="13.8"/>
  <cols>
    <col min="1" max="1" width="12.5546875" customWidth="1"/>
    <col min="2" max="2" width="11.5546875" customWidth="1"/>
    <col min="3" max="3" width="18.44140625" customWidth="1"/>
    <col min="5" max="5" width="12.33203125" customWidth="1"/>
    <col min="6" max="7" width="13.33203125" customWidth="1"/>
    <col min="8" max="8" width="10.6640625" customWidth="1"/>
    <col min="10" max="10" width="12.6640625" customWidth="1"/>
    <col min="11" max="11" width="13.33203125" customWidth="1"/>
    <col min="13" max="13" width="11.6640625" customWidth="1"/>
    <col min="14" max="14" width="20.5546875" customWidth="1"/>
    <col min="16" max="16" width="12.44140625" customWidth="1"/>
    <col min="17" max="17" width="11.33203125" customWidth="1"/>
    <col min="18" max="18" width="20.5546875" bestFit="1" customWidth="1"/>
    <col min="19" max="19" width="41.33203125" bestFit="1" customWidth="1"/>
  </cols>
  <sheetData>
    <row r="1" spans="1:19">
      <c r="A1" s="1" t="s">
        <v>0</v>
      </c>
      <c r="B1" s="1"/>
      <c r="C1" s="1"/>
      <c r="E1" s="5" t="s">
        <v>8</v>
      </c>
      <c r="F1" s="5" t="s">
        <v>9</v>
      </c>
      <c r="G1" s="5" t="s">
        <v>10</v>
      </c>
      <c r="H1" s="5" t="s">
        <v>11</v>
      </c>
      <c r="J1" s="5" t="s">
        <v>20</v>
      </c>
      <c r="K1" s="5" t="s">
        <v>21</v>
      </c>
      <c r="M1" s="5" t="s">
        <v>28</v>
      </c>
      <c r="N1" s="5" t="s">
        <v>53</v>
      </c>
      <c r="P1" s="5" t="s">
        <v>28</v>
      </c>
      <c r="Q1" s="5" t="s">
        <v>21</v>
      </c>
      <c r="R1" s="5" t="s">
        <v>53</v>
      </c>
      <c r="S1" s="5" t="s">
        <v>32</v>
      </c>
    </row>
    <row r="2" spans="1:19">
      <c r="A2" t="s">
        <v>1</v>
      </c>
      <c r="B2" s="3" t="s">
        <v>3</v>
      </c>
      <c r="C2" s="2" t="s">
        <v>2</v>
      </c>
      <c r="E2" t="s">
        <v>12</v>
      </c>
      <c r="F2" t="s">
        <v>229</v>
      </c>
      <c r="G2" t="s">
        <v>13</v>
      </c>
      <c r="H2" t="str">
        <f>IF(config_BS[[#This Row],[Lv1]]="Assets", "A","LC")</f>
        <v>A</v>
      </c>
      <c r="J2" t="s">
        <v>22</v>
      </c>
      <c r="K2" t="s">
        <v>135</v>
      </c>
      <c r="M2" t="s">
        <v>299</v>
      </c>
      <c r="N2" t="s">
        <v>298</v>
      </c>
      <c r="P2" t="s">
        <v>87</v>
      </c>
      <c r="Q2" t="s">
        <v>54</v>
      </c>
      <c r="R2" t="s">
        <v>71</v>
      </c>
      <c r="S2" s="2" t="s">
        <v>72</v>
      </c>
    </row>
    <row r="3" spans="1:19">
      <c r="A3" t="s">
        <v>4</v>
      </c>
      <c r="B3" s="4" t="s">
        <v>5</v>
      </c>
      <c r="C3" s="2" t="s">
        <v>6</v>
      </c>
      <c r="E3" t="s">
        <v>14</v>
      </c>
      <c r="F3" t="s">
        <v>229</v>
      </c>
      <c r="G3" t="s">
        <v>13</v>
      </c>
      <c r="H3" t="str">
        <f>IF(config_BS[[#This Row],[Lv1]]="Assets", "A","LC")</f>
        <v>A</v>
      </c>
      <c r="J3" t="s">
        <v>23</v>
      </c>
      <c r="K3" t="s">
        <v>26</v>
      </c>
      <c r="M3" t="s">
        <v>29</v>
      </c>
      <c r="N3" t="s">
        <v>137</v>
      </c>
      <c r="P3" t="s">
        <v>88</v>
      </c>
      <c r="Q3" t="s">
        <v>54</v>
      </c>
      <c r="R3" t="s">
        <v>73</v>
      </c>
      <c r="S3" s="2" t="s">
        <v>74</v>
      </c>
    </row>
    <row r="4" spans="1:19">
      <c r="A4" t="s">
        <v>38</v>
      </c>
      <c r="E4" t="s">
        <v>198</v>
      </c>
      <c r="F4" t="s">
        <v>229</v>
      </c>
      <c r="G4" t="s">
        <v>125</v>
      </c>
      <c r="H4" t="str">
        <f>IF(config_BS[[#This Row],[Lv1]]="Assets", "A","LC")</f>
        <v>LC</v>
      </c>
      <c r="J4" t="s">
        <v>24</v>
      </c>
      <c r="K4" t="s">
        <v>26</v>
      </c>
      <c r="M4" t="s">
        <v>30</v>
      </c>
      <c r="N4" t="s">
        <v>31</v>
      </c>
      <c r="P4" t="s">
        <v>89</v>
      </c>
      <c r="Q4" t="s">
        <v>54</v>
      </c>
      <c r="R4" t="s">
        <v>75</v>
      </c>
      <c r="S4" s="2" t="s">
        <v>76</v>
      </c>
    </row>
    <row r="5" spans="1:19">
      <c r="A5" s="5" t="s">
        <v>222</v>
      </c>
      <c r="B5" s="7">
        <v>46023</v>
      </c>
      <c r="C5" s="2" t="s">
        <v>7</v>
      </c>
      <c r="E5" t="s">
        <v>115</v>
      </c>
      <c r="F5" t="s">
        <v>114</v>
      </c>
      <c r="G5" t="s">
        <v>13</v>
      </c>
      <c r="H5" t="str">
        <f>IF(config_BS[[#This Row],[Lv1]]="Assets", "A","LC")</f>
        <v>A</v>
      </c>
      <c r="J5" s="19" t="s">
        <v>136</v>
      </c>
      <c r="K5" s="19" t="s">
        <v>27</v>
      </c>
      <c r="M5" t="s">
        <v>490</v>
      </c>
      <c r="N5" t="s">
        <v>491</v>
      </c>
      <c r="P5" t="s">
        <v>90</v>
      </c>
      <c r="Q5" t="s">
        <v>54</v>
      </c>
      <c r="R5" t="s">
        <v>78</v>
      </c>
      <c r="S5" s="2" t="s">
        <v>79</v>
      </c>
    </row>
    <row r="6" spans="1:19">
      <c r="A6" s="5" t="s">
        <v>223</v>
      </c>
      <c r="B6" s="25">
        <f>const_date_start-1</f>
        <v>46022</v>
      </c>
      <c r="C6" s="28" t="s">
        <v>225</v>
      </c>
      <c r="E6" t="s">
        <v>201</v>
      </c>
      <c r="F6" t="s">
        <v>114</v>
      </c>
      <c r="G6" t="s">
        <v>13</v>
      </c>
      <c r="H6" t="str">
        <f>IF(config_BS[[#This Row],[Lv1]]="Assets", "A","LC")</f>
        <v>A</v>
      </c>
      <c r="J6" s="19" t="s">
        <v>158</v>
      </c>
      <c r="K6" s="19" t="s">
        <v>27</v>
      </c>
      <c r="M6" t="s">
        <v>33</v>
      </c>
      <c r="N6" t="s">
        <v>34</v>
      </c>
      <c r="P6" t="s">
        <v>95</v>
      </c>
      <c r="Q6" t="s">
        <v>54</v>
      </c>
      <c r="R6" s="18" t="s">
        <v>94</v>
      </c>
      <c r="S6" s="2" t="s">
        <v>77</v>
      </c>
    </row>
    <row r="7" spans="1:19">
      <c r="E7" t="s">
        <v>117</v>
      </c>
      <c r="F7" t="s">
        <v>132</v>
      </c>
      <c r="G7" t="s">
        <v>13</v>
      </c>
      <c r="H7" t="str">
        <f>IF(config_BS[[#This Row],[Lv1]]="Assets", "A","LC")</f>
        <v>A</v>
      </c>
      <c r="J7" t="s">
        <v>25</v>
      </c>
      <c r="K7" t="s">
        <v>27</v>
      </c>
      <c r="M7" t="s">
        <v>35</v>
      </c>
      <c r="N7" t="s">
        <v>36</v>
      </c>
      <c r="P7" t="s">
        <v>108</v>
      </c>
      <c r="Q7" t="s">
        <v>81</v>
      </c>
      <c r="R7" t="s">
        <v>57</v>
      </c>
      <c r="S7" s="2" t="s">
        <v>58</v>
      </c>
    </row>
    <row r="8" spans="1:19">
      <c r="E8" t="s">
        <v>192</v>
      </c>
      <c r="F8" t="s">
        <v>132</v>
      </c>
      <c r="G8" t="s">
        <v>13</v>
      </c>
      <c r="H8" t="str">
        <f>IF(config_BS[[#This Row],[Lv1]]="Assets", "A","LC")</f>
        <v>A</v>
      </c>
      <c r="M8" t="s">
        <v>37</v>
      </c>
      <c r="N8" t="s">
        <v>297</v>
      </c>
      <c r="P8" t="s">
        <v>109</v>
      </c>
      <c r="Q8" t="s">
        <v>81</v>
      </c>
      <c r="R8" t="s">
        <v>65</v>
      </c>
      <c r="S8" s="2" t="s">
        <v>66</v>
      </c>
    </row>
    <row r="9" spans="1:19">
      <c r="E9" t="s">
        <v>453</v>
      </c>
      <c r="F9" t="s">
        <v>132</v>
      </c>
      <c r="G9" t="s">
        <v>13</v>
      </c>
      <c r="H9" t="str">
        <f>IF(config_BS[[#This Row],[Lv1]]="Assets", "A","LC")</f>
        <v>A</v>
      </c>
      <c r="P9" t="s">
        <v>82</v>
      </c>
      <c r="Q9" t="s">
        <v>80</v>
      </c>
      <c r="R9" t="s">
        <v>55</v>
      </c>
      <c r="S9" s="2" t="s">
        <v>56</v>
      </c>
    </row>
    <row r="10" spans="1:19">
      <c r="E10" t="s">
        <v>118</v>
      </c>
      <c r="F10" t="s">
        <v>121</v>
      </c>
      <c r="G10" t="s">
        <v>13</v>
      </c>
      <c r="H10" t="str">
        <f>IF(config_BS[[#This Row],[Lv1]]="Assets", "A","LC")</f>
        <v>A</v>
      </c>
      <c r="P10" t="s">
        <v>83</v>
      </c>
      <c r="Q10" t="s">
        <v>80</v>
      </c>
      <c r="R10" t="s">
        <v>59</v>
      </c>
      <c r="S10" s="2" t="s">
        <v>60</v>
      </c>
    </row>
    <row r="11" spans="1:19">
      <c r="E11" t="s">
        <v>164</v>
      </c>
      <c r="F11" t="s">
        <v>121</v>
      </c>
      <c r="G11" t="s">
        <v>13</v>
      </c>
      <c r="H11" t="str">
        <f>IF(config_BS[[#This Row],[Lv1]]="Assets", "A","LC")</f>
        <v>A</v>
      </c>
      <c r="P11" t="s">
        <v>84</v>
      </c>
      <c r="Q11" t="s">
        <v>80</v>
      </c>
      <c r="R11" t="s">
        <v>61</v>
      </c>
      <c r="S11" s="2" t="s">
        <v>62</v>
      </c>
    </row>
    <row r="12" spans="1:19">
      <c r="E12" t="s">
        <v>123</v>
      </c>
      <c r="F12" t="s">
        <v>122</v>
      </c>
      <c r="G12" t="s">
        <v>13</v>
      </c>
      <c r="H12" t="str">
        <f>IF(config_BS[[#This Row],[Lv1]]="Assets", "A","LC")</f>
        <v>A</v>
      </c>
      <c r="P12" t="s">
        <v>85</v>
      </c>
      <c r="Q12" t="s">
        <v>80</v>
      </c>
      <c r="R12" t="s">
        <v>63</v>
      </c>
      <c r="S12" s="2" t="s">
        <v>64</v>
      </c>
    </row>
    <row r="13" spans="1:19">
      <c r="E13" t="s">
        <v>167</v>
      </c>
      <c r="F13" t="s">
        <v>183</v>
      </c>
      <c r="G13" t="s">
        <v>13</v>
      </c>
      <c r="H13" t="str">
        <f>IF(config_BS[[#This Row],[Lv1]]="Assets", "A","LC")</f>
        <v>A</v>
      </c>
      <c r="M13" t="s">
        <v>127</v>
      </c>
      <c r="P13" t="s">
        <v>86</v>
      </c>
      <c r="Q13" t="s">
        <v>80</v>
      </c>
      <c r="R13" t="s">
        <v>67</v>
      </c>
      <c r="S13" s="2" t="s">
        <v>68</v>
      </c>
    </row>
    <row r="14" spans="1:19">
      <c r="E14" t="s">
        <v>116</v>
      </c>
      <c r="F14" t="s">
        <v>114</v>
      </c>
      <c r="G14" t="s">
        <v>125</v>
      </c>
      <c r="H14" t="str">
        <f>IF(config_BS[[#This Row],[Lv1]]="Assets", "A","LC")</f>
        <v>LC</v>
      </c>
      <c r="P14" t="s">
        <v>113</v>
      </c>
      <c r="Q14" t="s">
        <v>80</v>
      </c>
      <c r="R14" t="s">
        <v>69</v>
      </c>
      <c r="S14" s="2" t="s">
        <v>70</v>
      </c>
    </row>
    <row r="15" spans="1:19">
      <c r="E15" t="s">
        <v>130</v>
      </c>
      <c r="F15" t="s">
        <v>131</v>
      </c>
      <c r="G15" t="s">
        <v>125</v>
      </c>
      <c r="H15" t="str">
        <f>IF(config_BS[[#This Row],[Lv1]]="Assets", "A","LC")</f>
        <v>LC</v>
      </c>
    </row>
    <row r="16" spans="1:19">
      <c r="E16" t="s">
        <v>602</v>
      </c>
      <c r="F16" t="s">
        <v>114</v>
      </c>
      <c r="G16" t="s">
        <v>125</v>
      </c>
      <c r="H16" t="str">
        <f>IF(config_BS[[#This Row],[Lv1]]="Assets", "A","LC")</f>
        <v>LC</v>
      </c>
    </row>
    <row r="17" spans="5:8">
      <c r="E17" t="s">
        <v>134</v>
      </c>
      <c r="F17" t="s">
        <v>114</v>
      </c>
      <c r="G17" t="s">
        <v>125</v>
      </c>
      <c r="H17" t="str">
        <f>IF(config_BS[[#This Row],[Lv1]]="Assets", "A","LC")</f>
        <v>LC</v>
      </c>
    </row>
    <row r="18" spans="5:8">
      <c r="E18" t="s">
        <v>1298</v>
      </c>
      <c r="F18" t="s">
        <v>114</v>
      </c>
      <c r="G18" t="s">
        <v>125</v>
      </c>
      <c r="H18" t="str">
        <f>IF(config_BS[[#This Row],[Lv1]]="Assets", "A","LC")</f>
        <v>LC</v>
      </c>
    </row>
    <row r="19" spans="5:8">
      <c r="E19" t="s">
        <v>18</v>
      </c>
      <c r="F19" t="s">
        <v>19</v>
      </c>
      <c r="G19" t="s">
        <v>17</v>
      </c>
      <c r="H19" t="str">
        <f>IF(config_BS[[#This Row],[Lv1]]="Assets", "A","LC")</f>
        <v>LC</v>
      </c>
    </row>
    <row r="20" spans="5:8">
      <c r="E20" t="s">
        <v>157</v>
      </c>
      <c r="F20" t="s">
        <v>15</v>
      </c>
      <c r="G20" t="s">
        <v>17</v>
      </c>
      <c r="H20" t="str">
        <f>IF(config_BS[[#This Row],[Lv1]]="Assets", "A","LC")</f>
        <v>LC</v>
      </c>
    </row>
    <row r="21" spans="5:8">
      <c r="E21" t="s">
        <v>16</v>
      </c>
      <c r="F21" t="s">
        <v>15</v>
      </c>
      <c r="G21" t="s">
        <v>17</v>
      </c>
      <c r="H21" t="str">
        <f>IF(config_BS[[#This Row],[Lv1]]="Assets", "A","LC")</f>
        <v>LC</v>
      </c>
    </row>
  </sheetData>
  <phoneticPr fontId="5" type="noConversion"/>
  <dataValidations count="1">
    <dataValidation type="list" allowBlank="1" showInputMessage="1" showErrorMessage="1" sqref="G2:G21"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tabColor theme="0" tint="-0.249977111117893"/>
  </sheetPr>
  <dimension ref="A1:C29"/>
  <sheetViews>
    <sheetView zoomScale="130" zoomScaleNormal="130" workbookViewId="0">
      <pane ySplit="1" topLeftCell="A5" activePane="bottomLeft" state="frozen"/>
      <selection pane="bottomLeft" activeCell="F18" sqref="F18"/>
    </sheetView>
  </sheetViews>
  <sheetFormatPr defaultRowHeight="13.8"/>
  <cols>
    <col min="1" max="1" width="12.88671875" customWidth="1"/>
    <col min="2" max="2" width="20.6640625" customWidth="1"/>
    <col min="3" max="3" width="10.109375" customWidth="1"/>
  </cols>
  <sheetData>
    <row r="1" spans="1:3">
      <c r="A1" s="5" t="s">
        <v>160</v>
      </c>
      <c r="B1" s="5" t="s">
        <v>53</v>
      </c>
      <c r="C1" s="5" t="s">
        <v>174</v>
      </c>
    </row>
    <row r="2" spans="1:3">
      <c r="A2" t="s">
        <v>12</v>
      </c>
      <c r="B2" t="s">
        <v>161</v>
      </c>
      <c r="C2" t="s">
        <v>175</v>
      </c>
    </row>
    <row r="3" spans="1:3">
      <c r="A3" t="s">
        <v>14</v>
      </c>
      <c r="B3" t="s">
        <v>162</v>
      </c>
      <c r="C3" t="s">
        <v>175</v>
      </c>
    </row>
    <row r="4" spans="1:3">
      <c r="A4" t="s">
        <v>198</v>
      </c>
      <c r="B4" t="s">
        <v>199</v>
      </c>
      <c r="C4" t="s">
        <v>175</v>
      </c>
    </row>
    <row r="5" spans="1:3">
      <c r="A5" t="s">
        <v>115</v>
      </c>
      <c r="B5" t="s">
        <v>186</v>
      </c>
      <c r="C5" t="s">
        <v>175</v>
      </c>
    </row>
    <row r="6" spans="1:3">
      <c r="A6" t="s">
        <v>201</v>
      </c>
      <c r="B6" t="s">
        <v>202</v>
      </c>
      <c r="C6" t="s">
        <v>175</v>
      </c>
    </row>
    <row r="7" spans="1:3">
      <c r="A7" t="s">
        <v>117</v>
      </c>
      <c r="B7" t="s">
        <v>657</v>
      </c>
      <c r="C7" t="s">
        <v>175</v>
      </c>
    </row>
    <row r="8" spans="1:3">
      <c r="A8" t="s">
        <v>192</v>
      </c>
      <c r="B8" t="s">
        <v>194</v>
      </c>
      <c r="C8" t="s">
        <v>175</v>
      </c>
    </row>
    <row r="9" spans="1:3">
      <c r="A9" t="s">
        <v>195</v>
      </c>
      <c r="B9" t="s">
        <v>196</v>
      </c>
      <c r="C9" t="s">
        <v>175</v>
      </c>
    </row>
    <row r="10" spans="1:3">
      <c r="A10" t="s">
        <v>118</v>
      </c>
      <c r="B10" t="s">
        <v>163</v>
      </c>
      <c r="C10" t="s">
        <v>175</v>
      </c>
    </row>
    <row r="11" spans="1:3">
      <c r="A11" t="s">
        <v>164</v>
      </c>
      <c r="B11" t="s">
        <v>213</v>
      </c>
      <c r="C11" t="s">
        <v>175</v>
      </c>
    </row>
    <row r="12" spans="1:3">
      <c r="A12" t="s">
        <v>123</v>
      </c>
      <c r="B12" t="s">
        <v>165</v>
      </c>
      <c r="C12" t="s">
        <v>175</v>
      </c>
    </row>
    <row r="13" spans="1:3">
      <c r="A13" t="s">
        <v>167</v>
      </c>
      <c r="B13" t="s">
        <v>166</v>
      </c>
      <c r="C13" t="s">
        <v>175</v>
      </c>
    </row>
    <row r="14" spans="1:3">
      <c r="A14" t="s">
        <v>116</v>
      </c>
      <c r="B14" t="s">
        <v>187</v>
      </c>
      <c r="C14" t="s">
        <v>175</v>
      </c>
    </row>
    <row r="15" spans="1:3">
      <c r="A15" t="s">
        <v>129</v>
      </c>
      <c r="B15" t="s">
        <v>168</v>
      </c>
      <c r="C15" t="s">
        <v>175</v>
      </c>
    </row>
    <row r="16" spans="1:3">
      <c r="A16" t="s">
        <v>191</v>
      </c>
      <c r="B16" t="s">
        <v>169</v>
      </c>
      <c r="C16" t="s">
        <v>175</v>
      </c>
    </row>
    <row r="17" spans="1:3">
      <c r="A17" t="s">
        <v>133</v>
      </c>
      <c r="B17" t="s">
        <v>170</v>
      </c>
      <c r="C17" t="s">
        <v>175</v>
      </c>
    </row>
    <row r="18" spans="1:3">
      <c r="A18" t="s">
        <v>1298</v>
      </c>
      <c r="B18" t="s">
        <v>1299</v>
      </c>
      <c r="C18" t="s">
        <v>175</v>
      </c>
    </row>
    <row r="19" spans="1:3">
      <c r="A19" t="s">
        <v>18</v>
      </c>
      <c r="B19" t="s">
        <v>171</v>
      </c>
      <c r="C19" t="s">
        <v>175</v>
      </c>
    </row>
    <row r="20" spans="1:3">
      <c r="A20" t="s">
        <v>157</v>
      </c>
      <c r="B20" t="s">
        <v>173</v>
      </c>
      <c r="C20" t="s">
        <v>175</v>
      </c>
    </row>
    <row r="21" spans="1:3">
      <c r="A21" t="s">
        <v>16</v>
      </c>
      <c r="B21" t="s">
        <v>172</v>
      </c>
      <c r="C21" t="s">
        <v>175</v>
      </c>
    </row>
    <row r="22" spans="1:3">
      <c r="A22" t="s">
        <v>229</v>
      </c>
      <c r="B22" t="s">
        <v>230</v>
      </c>
      <c r="C22" t="s">
        <v>176</v>
      </c>
    </row>
    <row r="23" spans="1:3">
      <c r="A23" t="s">
        <v>114</v>
      </c>
      <c r="B23" t="s">
        <v>177</v>
      </c>
      <c r="C23" t="s">
        <v>176</v>
      </c>
    </row>
    <row r="24" spans="1:3">
      <c r="A24" t="s">
        <v>120</v>
      </c>
      <c r="B24" t="s">
        <v>178</v>
      </c>
      <c r="C24" t="s">
        <v>176</v>
      </c>
    </row>
    <row r="25" spans="1:3">
      <c r="A25" t="s">
        <v>121</v>
      </c>
      <c r="B25" t="s">
        <v>179</v>
      </c>
      <c r="C25" t="s">
        <v>176</v>
      </c>
    </row>
    <row r="26" spans="1:3">
      <c r="A26" t="s">
        <v>122</v>
      </c>
      <c r="B26" t="s">
        <v>180</v>
      </c>
      <c r="C26" t="s">
        <v>176</v>
      </c>
    </row>
    <row r="27" spans="1:3">
      <c r="A27" t="s">
        <v>183</v>
      </c>
      <c r="B27" t="s">
        <v>181</v>
      </c>
      <c r="C27" t="s">
        <v>176</v>
      </c>
    </row>
    <row r="28" spans="1:3">
      <c r="A28" t="s">
        <v>19</v>
      </c>
      <c r="B28" t="s">
        <v>214</v>
      </c>
      <c r="C28" t="s">
        <v>176</v>
      </c>
    </row>
    <row r="29" spans="1:3">
      <c r="A29" t="s">
        <v>15</v>
      </c>
      <c r="B29" t="s">
        <v>182</v>
      </c>
      <c r="C29" t="s">
        <v>176</v>
      </c>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3AD77-7F60-4BF9-A7B0-DB58FFA4F614}">
  <sheetPr>
    <tabColor theme="4" tint="0.39997558519241921"/>
  </sheetPr>
  <dimension ref="A1:R11"/>
  <sheetViews>
    <sheetView workbookViewId="0">
      <selection activeCell="I14" sqref="I14"/>
    </sheetView>
  </sheetViews>
  <sheetFormatPr defaultRowHeight="13.8"/>
  <cols>
    <col min="2" max="4" width="13.88671875" customWidth="1"/>
    <col min="5" max="5" width="11.6640625" bestFit="1" customWidth="1"/>
    <col min="17" max="17" width="13.33203125" customWidth="1"/>
    <col min="18" max="18" width="15.6640625" customWidth="1"/>
  </cols>
  <sheetData>
    <row r="1" spans="1:18">
      <c r="A1" s="43" t="s">
        <v>124</v>
      </c>
      <c r="B1" s="43" t="s">
        <v>44</v>
      </c>
      <c r="C1" s="43" t="s">
        <v>676</v>
      </c>
      <c r="D1" s="43" t="s">
        <v>692</v>
      </c>
      <c r="E1" s="44" t="s">
        <v>437</v>
      </c>
      <c r="F1" s="44" t="s">
        <v>438</v>
      </c>
      <c r="G1" s="44" t="s">
        <v>439</v>
      </c>
      <c r="H1" s="44" t="s">
        <v>440</v>
      </c>
      <c r="I1" s="44" t="s">
        <v>441</v>
      </c>
      <c r="J1" s="44" t="s">
        <v>442</v>
      </c>
      <c r="K1" s="44" t="s">
        <v>443</v>
      </c>
      <c r="L1" s="44" t="s">
        <v>444</v>
      </c>
      <c r="M1" s="44" t="s">
        <v>445</v>
      </c>
      <c r="N1" s="44" t="s">
        <v>446</v>
      </c>
      <c r="O1" s="44" t="s">
        <v>447</v>
      </c>
      <c r="P1" s="44" t="s">
        <v>448</v>
      </c>
      <c r="Q1" s="44" t="s">
        <v>450</v>
      </c>
      <c r="R1" s="44" t="s">
        <v>678</v>
      </c>
    </row>
    <row r="2" spans="1:18">
      <c r="A2" s="45" t="s">
        <v>86</v>
      </c>
      <c r="B2" s="46" t="s">
        <v>685</v>
      </c>
      <c r="C2" s="57">
        <v>155989.63</v>
      </c>
      <c r="D2" s="57"/>
      <c r="E2" s="59">
        <f>-155989.63/12</f>
        <v>-12999.135833333334</v>
      </c>
      <c r="F2" s="58"/>
      <c r="G2" s="58"/>
      <c r="H2" s="58"/>
      <c r="I2" s="58"/>
      <c r="J2" s="58"/>
      <c r="K2" s="58"/>
      <c r="L2" s="58"/>
      <c r="M2" s="58"/>
      <c r="N2" s="58"/>
      <c r="O2" s="58"/>
      <c r="P2" s="58"/>
      <c r="Q2" s="59">
        <f>SUM(E2:P2)</f>
        <v>-12999.135833333334</v>
      </c>
      <c r="R2" s="60">
        <f>C2+D2+Q2</f>
        <v>142990.49416666667</v>
      </c>
    </row>
    <row r="3" spans="1:18">
      <c r="A3" s="61" t="s">
        <v>108</v>
      </c>
      <c r="B3" s="46" t="s">
        <v>677</v>
      </c>
      <c r="C3" s="57">
        <v>6467900</v>
      </c>
      <c r="D3" s="57">
        <v>-1065602.3999999999</v>
      </c>
      <c r="E3" s="59">
        <v>-54022.96</v>
      </c>
      <c r="F3" s="58"/>
      <c r="G3" s="58"/>
      <c r="H3" s="58"/>
      <c r="I3" s="58"/>
      <c r="J3" s="58"/>
      <c r="K3" s="58"/>
      <c r="L3" s="58"/>
      <c r="M3" s="58"/>
      <c r="N3" s="58"/>
      <c r="O3" s="58"/>
      <c r="P3" s="58"/>
      <c r="Q3" s="59">
        <f>SUM(E3:P3)</f>
        <v>-54022.96</v>
      </c>
      <c r="R3" s="60">
        <f>C3+D3+Q3</f>
        <v>5348274.6399999997</v>
      </c>
    </row>
    <row r="4" spans="1:18">
      <c r="A4" s="91" t="s">
        <v>85</v>
      </c>
      <c r="B4" s="46" t="s">
        <v>203</v>
      </c>
      <c r="C4" s="57">
        <v>2949723.27</v>
      </c>
      <c r="D4" s="57"/>
      <c r="E4" s="74"/>
      <c r="F4" s="74"/>
      <c r="G4" s="74"/>
      <c r="H4" s="74"/>
      <c r="I4" s="74"/>
      <c r="J4" s="74"/>
      <c r="K4" s="74"/>
      <c r="L4" s="74"/>
      <c r="M4" s="74"/>
      <c r="N4" s="74"/>
      <c r="O4" s="74"/>
      <c r="P4" s="74"/>
      <c r="Q4" s="59">
        <f t="shared" ref="Q4:Q5" si="0">SUM(E4:P4)</f>
        <v>0</v>
      </c>
      <c r="R4" s="60">
        <f t="shared" ref="R4:R5" si="1">C4+D4+Q4</f>
        <v>2949723.27</v>
      </c>
    </row>
    <row r="5" spans="1:18">
      <c r="A5" s="91"/>
      <c r="B5" s="46" t="s">
        <v>204</v>
      </c>
      <c r="C5" s="57">
        <v>21129338.43</v>
      </c>
      <c r="D5" s="57">
        <v>-5217130.03</v>
      </c>
      <c r="E5" s="74">
        <v>-102296.66725490197</v>
      </c>
      <c r="F5" s="74"/>
      <c r="G5" s="74"/>
      <c r="H5" s="74"/>
      <c r="I5" s="74"/>
      <c r="J5" s="74"/>
      <c r="K5" s="74"/>
      <c r="L5" s="74"/>
      <c r="M5" s="74"/>
      <c r="N5" s="74"/>
      <c r="O5" s="74"/>
      <c r="P5" s="74"/>
      <c r="Q5" s="59">
        <f t="shared" si="0"/>
        <v>-102296.66725490197</v>
      </c>
      <c r="R5" s="60">
        <f t="shared" si="1"/>
        <v>15809911.732745096</v>
      </c>
    </row>
    <row r="8" spans="1:18">
      <c r="D8" s="75"/>
    </row>
    <row r="9" spans="1:18">
      <c r="D9" s="75"/>
    </row>
    <row r="11" spans="1:18">
      <c r="D11" s="75"/>
    </row>
  </sheetData>
  <mergeCells count="1">
    <mergeCell ref="A4:A5"/>
  </mergeCells>
  <phoneticPr fontId="5" type="noConversion"/>
  <dataValidations count="1">
    <dataValidation type="list" allowBlank="1" showInputMessage="1" showErrorMessage="1" sqref="A2:A4" xr:uid="{FE1BE97B-8037-42CE-B261-889D4B69EBE4}">
      <formula1>INDIRECT("config_vehicle[Id]")</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7</vt:i4>
      </vt:variant>
    </vt:vector>
  </HeadingPairs>
  <TitlesOfParts>
    <vt:vector size="16" baseType="lpstr">
      <vt:lpstr>参考说明</vt:lpstr>
      <vt:lpstr>src_trx</vt:lpstr>
      <vt:lpstr>src_jnl</vt:lpstr>
      <vt:lpstr>debug</vt:lpstr>
      <vt:lpstr>stmt_BS</vt:lpstr>
      <vt:lpstr>stmt_IS</vt:lpstr>
      <vt:lpstr>config</vt:lpstr>
      <vt:lpstr>dict</vt:lpstr>
      <vt:lpstr>摊销折旧明细</vt:lpstr>
      <vt:lpstr>const_date_prior</vt:lpstr>
      <vt:lpstr>const_date_start</vt:lpstr>
      <vt:lpstr>const_default_str</vt:lpstr>
      <vt:lpstr>const_func_ccy</vt:lpstr>
      <vt:lpstr>debug_date_end</vt:lpstr>
      <vt:lpstr>debug_date_start</vt:lpstr>
      <vt:lpstr>stmt_BS_date_end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二毛 邓</cp:lastModifiedBy>
  <dcterms:created xsi:type="dcterms:W3CDTF">2015-06-05T18:17:20Z</dcterms:created>
  <dcterms:modified xsi:type="dcterms:W3CDTF">2026-03-11T08:19:23Z</dcterms:modified>
</cp:coreProperties>
</file>